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00" windowWidth="28800" windowHeight="15720" tabRatio="600" firstSheet="0" activeTab="3" autoFilterDateGrouping="1"/>
  </bookViews>
  <sheets>
    <sheet xmlns:r="http://schemas.openxmlformats.org/officeDocument/2006/relationships" name="Front Page" sheetId="1" state="visible" r:id="rId1"/>
    <sheet xmlns:r="http://schemas.openxmlformats.org/officeDocument/2006/relationships" name="Multiples" sheetId="2" state="visible" r:id="rId2"/>
    <sheet xmlns:r="http://schemas.openxmlformats.org/officeDocument/2006/relationships" name="DCF" sheetId="3" state="visible" r:id="rId3"/>
    <sheet xmlns:r="http://schemas.openxmlformats.org/officeDocument/2006/relationships" name="Model" sheetId="4" state="visible" r:id="rId4"/>
    <sheet xmlns:r="http://schemas.openxmlformats.org/officeDocument/2006/relationships" name="Exec Comp" sheetId="5" state="visible" r:id="rId5"/>
    <sheet xmlns:r="http://schemas.openxmlformats.org/officeDocument/2006/relationships" name="Guidance" sheetId="6" state="visible" r:id="rId6"/>
    <sheet xmlns:r="http://schemas.openxmlformats.org/officeDocument/2006/relationships" name="Summary Page" sheetId="7" state="visible" r:id="rId7"/>
    <sheet xmlns:r="http://schemas.openxmlformats.org/officeDocument/2006/relationships" name="MLNX" sheetId="8" state="visible" r:id="rId8"/>
    <sheet xmlns:r="http://schemas.openxmlformats.org/officeDocument/2006/relationships" name="Update Log" sheetId="9" state="visible" r:id="rId9"/>
  </sheets>
  <definedNames>
    <definedName name="AA.AlternatePriceSourceStartPeriod">"Q1-2019"</definedName>
    <definedName name="AA.CIK">"1045810"</definedName>
    <definedName name="AA.ColorizerVersion">"2.0.4.0"</definedName>
    <definedName name="AA.CompareQuarters.LatestMRQ">"Q2-2025"</definedName>
    <definedName name="AA.CSIN">"A7FLSL0150"</definedName>
    <definedName name="AA.CurationVersion">"2023.11.1.0"</definedName>
    <definedName name="AA.DBMacroVersion">"1.0.13.0"</definedName>
    <definedName name="AA.FreeCashFlow">"TRUE"</definedName>
    <definedName name="AA.GuidanceAnalysisNonGaapGrossProfitVersion">"1.0.0.0"</definedName>
    <definedName name="AA.GuidanceAnalysisRevenueVersion">"1.0.0.0"</definedName>
    <definedName name="AA.HardcodeChecker.LatestMRQ">"Q3-2020"</definedName>
    <definedName name="AA.ModelChecks.LatestMRQ">"Q3-2022"</definedName>
    <definedName name="AA.ModelChecks.LatestVersionNumber">"2.38.25.0"</definedName>
    <definedName name="AA.ModelColorScheme">"Classic"</definedName>
    <definedName name="AA.ModelVersion">"Q3-2026.20"</definedName>
    <definedName name="AA.NonLibraryWideCurationVersion">"4"</definedName>
    <definedName name="AA.PartialUpdate.BsAvailable">"TRUE"</definedName>
    <definedName name="AA.PartialUpdate.CfsAvailable">"TRUE"</definedName>
    <definedName name="AA.PartialUpdate.IsAvailable">"TRUE"</definedName>
    <definedName name="AA.PeriodLayout">"QFY"</definedName>
    <definedName name="AA.PersonalMacro.VersionNumber">""</definedName>
    <definedName name="AA.RowNameEnforcerVersion">"2023.11.1.0"</definedName>
    <definedName name="AA.SessionToUploadId">""</definedName>
    <definedName name="AA.StartWorkModelVersion">"Q2-2026.22"</definedName>
    <definedName name="AA.StartWorkType">""</definedName>
    <definedName name="AA.SubyearType">"Q"</definedName>
    <definedName name="AA.TemplateUpgradeAttempted">"TRUE"</definedName>
    <definedName name="AA.TemplateVersion">"7.5.4.0"</definedName>
    <definedName name="AA.UpdateType">"Regular"</definedName>
    <definedName name="AA.VerifyUnitsAtModelVersion">"Q2-2019.21"</definedName>
    <definedName name="EC_CEO_BasePay">'Exec Comp'!$7:$7</definedName>
    <definedName name="EC_CEO_EquityComp_Percent">'Exec Comp'!$12:$12</definedName>
    <definedName name="EC_CEO_SharesOwned">'Exec Comp'!$38:$38</definedName>
    <definedName name="EC_CEO_TotalComp">'Exec Comp'!$11:$11</definedName>
    <definedName name="EC_CFO_BasePay">'Exec Comp'!$40:$40</definedName>
    <definedName name="EC_CFO_EquityComp_Percent">'Exec Comp'!$45:$45</definedName>
    <definedName name="EC_CFO_SharesOwned">'Exec Comp'!$49:$49</definedName>
    <definedName name="EC_CFO_TotalComp">'Exec Comp'!$44:$44</definedName>
    <definedName name="EC_Director_Compensation_Cash">'Exec Comp'!$74:$74</definedName>
    <definedName name="EC_Director_Compensation_Total">'Exec Comp'!$103:$103</definedName>
    <definedName name="EC_Directors_Current">'Exec Comp'!$52:$52</definedName>
    <definedName name="EC_Directors_Current_Diverse">'Exec Comp'!$55:$55</definedName>
    <definedName name="EC_Directors_Current_Female">'Exec Comp'!$54:$54</definedName>
    <definedName name="EC_Directors_Current_Independent">'Exec Comp'!$53:$53</definedName>
    <definedName name="EC_Directors_Nominees">'Exec Comp'!$57:$57</definedName>
    <definedName name="EC_Directors_Nominees_Independent">'Exec Comp'!$58:$58</definedName>
    <definedName name="EC_OperatingIncome_Target_NONGAAP">'Exec Comp'!$118:$118</definedName>
    <definedName name="EC_Revenue_Target">'Exec Comp'!$113:$113</definedName>
    <definedName name="FP_Comment">'Front Page'!$M$13:$P$20</definedName>
    <definedName name="FP_StockPriceOverride">'Front Page'!$C$20:$H$20</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GD.CompanyName">Guidance!$B$1</definedName>
    <definedName name="GD.MRQ">Guidance!$F$2</definedName>
    <definedName name="HP.MRFX">Model!$B$1173</definedName>
    <definedName name="HP.ReportCurrency">Model!$B$1172</definedName>
    <definedName name="HP.Ticker">Model!$A$2</definedName>
    <definedName name="HP.TradeCurrency">Model!$B$1170</definedName>
    <definedName name="HP.TradeCurrency.HardCoded">Model!$B$1171</definedName>
    <definedName name="MO_AN_DA">Model!$119:$119</definedName>
    <definedName name="MO_AN_EBIT_Adj">Model!$354:$354</definedName>
    <definedName name="MO_AN_GP_Adj">Model!$331:$331</definedName>
    <definedName name="MO_AN_NI_NONGAAP_Diluted">Model!$319:$319</definedName>
    <definedName name="MO_AN_OPEX_Adj">Model!$344:$344</definedName>
    <definedName name="MO_AN_SBC">Model!$129:$129</definedName>
    <definedName name="MO_BS_AEandOther">Model!$987:$987</definedName>
    <definedName name="MO_BS_AP">Model!$985:$985</definedName>
    <definedName name="MO_BS_AR">Model!$954:$954</definedName>
    <definedName name="MO_BS_CA">Model!$962:$962</definedName>
    <definedName name="MO_BS_Cash">Model!$952:$952</definedName>
    <definedName name="MO_BS_CL">Model!$989:$989</definedName>
    <definedName name="MO_BS_CommonStock">Model!$1002:$1002</definedName>
    <definedName name="MO_BS_ContributedSurplus">Model!$1003:$1003</definedName>
    <definedName name="MO_BS_DefRev">Model!$210:$210</definedName>
    <definedName name="MO_BS_FL_NonCurrent">Model!$995:$995</definedName>
    <definedName name="MO_BS_Goodwill">Model!$967:$967</definedName>
    <definedName name="MO_BS_Intangibles">Model!$970:$970</definedName>
    <definedName name="MO_BS_INV">Model!$958:$958</definedName>
    <definedName name="MO_BS_INV_FG">Model!$957:$957</definedName>
    <definedName name="MO_BS_INV_RM">Model!$955:$955</definedName>
    <definedName name="MO_BS_INV_WIP">Model!$956:$956</definedName>
    <definedName name="MO_BS_LTInvestments">Model!$974:$974</definedName>
    <definedName name="MO_BS_NCA">Model!$981:$981</definedName>
    <definedName name="MO_BS_NCI">Model!$1008:$1008</definedName>
    <definedName name="MO_BS_NCL">Model!$997:$997</definedName>
    <definedName name="MO_BS_OCI">Model!$1005:$1005</definedName>
    <definedName name="MO_BS_OL_Current">Model!$986:$986</definedName>
    <definedName name="MO_BS_OL_NonCurrent">Model!$993:$993</definedName>
    <definedName name="MO_BS_PPE">Model!$965:$965</definedName>
    <definedName name="MO_BS_PreferredStock">Model!$1001:$1001</definedName>
    <definedName name="MO_BS_PrepaidExpensesAndOther">Model!$960:$960</definedName>
    <definedName name="MO_BS_RetainedEarnings">Model!$1006:$1006</definedName>
    <definedName name="MO_BS_ROU">Model!$966:$966</definedName>
    <definedName name="MO_BS_SE">Model!$1007:$1007</definedName>
    <definedName name="MO_BS_STInvestments">Model!$953:$953</definedName>
    <definedName name="MO_BS_TA">Model!$982:$982</definedName>
    <definedName name="MO_BS_TaxAssets_Deferred_Current">Model!$961:$961</definedName>
    <definedName name="MO_BS_TaxAssets_Deferred_NonCurrent">Model!$971:$971</definedName>
    <definedName name="MO_BS_TL">Model!$998:$998</definedName>
    <definedName name="MO_BS_TLSE">Model!$1009:$1009</definedName>
    <definedName name="MO_BS_TreasuryStock">Model!$1004:$1004</definedName>
    <definedName name="MO_BSS_Cash">Model!$726:$726</definedName>
    <definedName name="MO_BSS_Debt">Model!$729:$729</definedName>
    <definedName name="MO_BSS_Debt_LT">Model!$728:$728</definedName>
    <definedName name="MO_BSS_Debt_Net">Model!$731:$731</definedName>
    <definedName name="MO_BSS_Debt_ST">Model!$727:$727</definedName>
    <definedName name="MO_BSS_Debt_ToCF">Model!$742:$742</definedName>
    <definedName name="MO_BSS_Debt_ToEBITDA">Model!$741:$741</definedName>
    <definedName name="MO_BSS_IE">Model!$733:$733</definedName>
    <definedName name="MO_BSS_IE_Net">Model!$737:$737</definedName>
    <definedName name="MO_BSS_II">Model!$735:$735</definedName>
    <definedName name="MO_BSS_InterestRate_Cash">Model!$736:$736</definedName>
    <definedName name="MO_BSS_InterestRate_Debt">Model!$734:$734</definedName>
    <definedName name="MO_BSS_NetInterestCoverage">Model!$740:$740</definedName>
    <definedName name="MO_BSS_NetInterestRate_Debt">Model!$738:$738</definedName>
    <definedName name="MO_BSS_OL">Model!$730:$730</definedName>
    <definedName name="MO_CCFS_Balance_Begin">Model!$835:$835</definedName>
    <definedName name="MO_CCFS_Balance_End">Model!$836:$836</definedName>
    <definedName name="MO_CCFS_CFF">Model!$830:$830</definedName>
    <definedName name="MO_CCFS_CFI">Model!$810:$810</definedName>
    <definedName name="MO_CCFS_CFO">Model!$797:$797</definedName>
    <definedName name="MO_CCFS_CFO_BeforeWC">Model!$788:$788</definedName>
    <definedName name="MO_CCFS_FX">Model!$832:$832</definedName>
    <definedName name="MO_CCFS_NetChange">Model!$833:$833</definedName>
    <definedName name="MO_CCFS_Sup_CashInterest">Model!$838:$838</definedName>
    <definedName name="MO_CCFS_Sup_CashTax">Model!$839:$839</definedName>
    <definedName name="MO_CFS_Balance_Begin">Model!$907:$907</definedName>
    <definedName name="MO_CFS_Balance_End">Model!$908:$908</definedName>
    <definedName name="MO_CFS_Buyback">Model!$892:$892</definedName>
    <definedName name="MO_CFS_Buyback_1">Model!$895:$895</definedName>
    <definedName name="MO_CFS_Capex">Model!$876:$876</definedName>
    <definedName name="MO_CFS_CFF">Model!$902:$902</definedName>
    <definedName name="MO_CFS_CFI">Model!$882:$882</definedName>
    <definedName name="MO_CFS_CFO">Model!$869:$869</definedName>
    <definedName name="MO_CFS_CFO_BeforeWC">Model!$860:$860</definedName>
    <definedName name="MO_CFS_DA">Model!$846:$846</definedName>
    <definedName name="MO_CFS_DeferredTax">Model!$852:$852</definedName>
    <definedName name="MO_CFS_Dividend">Model!$894:$894</definedName>
    <definedName name="MO_CFS_FX">Model!$904:$904</definedName>
    <definedName name="MO_CFS_Impairment">Model!$859:$859</definedName>
    <definedName name="MO_CFS_NetChange">Model!$905:$905</definedName>
    <definedName name="MO_CFS_NewEquityIssued">Model!$890:$890</definedName>
    <definedName name="MO_CFS_NI">Model!$843:$843</definedName>
    <definedName name="MO_CFS_SBC">Model!$847:$847</definedName>
    <definedName name="MO_CFS_Sup_CashInterest">Model!$910:$910</definedName>
    <definedName name="MO_CFS_Sup_CashTax">Model!$911:$911</definedName>
    <definedName name="MO_CFS_WC_AEandOther">Model!$867:$867</definedName>
    <definedName name="MO_CFS_WC_AP">Model!$866:$866</definedName>
    <definedName name="MO_CFS_WC_AR">Model!$861:$861</definedName>
    <definedName name="MO_CFS_WC_DefRev">Model!$212:$212</definedName>
    <definedName name="MO_CFS_WC_INV">Model!$862:$862</definedName>
    <definedName name="MO_CFS_WC_PrepaidExpensesAndOther">Model!$863:$863</definedName>
    <definedName name="MO_CFSum_Acquisition">Model!$704:$704</definedName>
    <definedName name="MO_CFSum_Capex">Model!$701:$701</definedName>
    <definedName name="MO_CFSum_CFO">Model!$697:$697</definedName>
    <definedName name="MO_CFSum_CFO_BeforeWC">Model!$695:$695</definedName>
    <definedName name="MO_CFSum_CFOPS">Model!$699:$699</definedName>
    <definedName name="MO_CFSum_CFOPS_BeforeWC">Model!$698:$698</definedName>
    <definedName name="MO_CFSum_CFPS">Model!$699:$699</definedName>
    <definedName name="MO_CFSum_ChangeInWC">Model!$696:$696</definedName>
    <definedName name="MO_CFSum_Divestiture">Model!$705:$705</definedName>
    <definedName name="MO_CFSum_Dividend">Model!$706:$706</definedName>
    <definedName name="MO_CFSum_DPS">Model!$707:$707</definedName>
    <definedName name="MO_CFSum_FCF_PostDivPostAD">Model!$718:$718</definedName>
    <definedName name="MO_CFSum_FCF_PostDivPostADPostDebtPostBuyback">Model!$719:$719</definedName>
    <definedName name="MO_CFSum_FCF_PostDivPreAD">Model!$717:$717</definedName>
    <definedName name="MO_CFSum_FCF_PostWCPostDivPostAD">Model!$722:$722</definedName>
    <definedName name="MO_CFSum_FCF_PostWCPostDivPostADPostDebtPostBuyback">Model!$723:$723</definedName>
    <definedName name="MO_CFSum_FCF_PostWCPostDivPreAD">Model!$721:$721</definedName>
    <definedName name="MO_CFSum_FCF_PostWCPreDiv">Model!$720:$720</definedName>
    <definedName name="MO_CFSum_FCF_PreDiv">Model!$716:$716</definedName>
    <definedName name="MO_CFSum_NetDebtIssuance">Model!$709:$709</definedName>
    <definedName name="MO_CFSum_NetShares">Model!$710:$710</definedName>
    <definedName name="MO_CFSum_NetShares_Price">Model!$711:$711</definedName>
    <definedName name="MO_CFSum_SBC">Model!$713:$713</definedName>
    <definedName name="MO_CFSum_SBC_Margin">Model!$714:$714</definedName>
    <definedName name="MO_Checks_Bottom">Model!$C$1014:$XFD$1035</definedName>
    <definedName name="MO_Checks_BS">Model!$1011:$1011</definedName>
    <definedName name="MO_Checks_CF">Model!$913:$913</definedName>
    <definedName name="MO_Checks_IS">Model!$309:$309</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Model!$1159:$1159</definedName>
    <definedName name="MO_DAF_A">Model!$923:$923</definedName>
    <definedName name="MO_DAF_A_Percentage">Model!$929:$929</definedName>
    <definedName name="MO_DAF_Acquisition">Model!$936:$936</definedName>
    <definedName name="MO_DAF_Capex">Model!$934:$934</definedName>
    <definedName name="MO_DAF_D">Model!$917:$917</definedName>
    <definedName name="MO_DAF_D_Percentage">Model!$928:$928</definedName>
    <definedName name="MO_DAF_DA">Model!$933:$933</definedName>
    <definedName name="MO_DAF_Intangibles_Acquisition_Percent">Model!$937:$937</definedName>
    <definedName name="MO_DAF_Intangibles_BoP">Model!$922:$922</definedName>
    <definedName name="MO_DAF_Intangibles_Capex">Model!$924:$924</definedName>
    <definedName name="MO_DAF_Intangibles_Capex_Percent">Model!$935:$935</definedName>
    <definedName name="MO_DAF_Intangibles_EoP">Model!$926:$926</definedName>
    <definedName name="MO_DAF_Intangibles_Life">Model!$931:$931</definedName>
    <definedName name="MO_DAF_Intangibles_Other">Model!$925:$925</definedName>
    <definedName name="MO_DAF_PPE_BoP">Model!$916:$916</definedName>
    <definedName name="MO_DAF_PPE_Capex">Model!$918:$918</definedName>
    <definedName name="MO_DAF_PPE_EoP">Model!$920:$920</definedName>
    <definedName name="MO_DAF_PPE_Life">Model!$930:$930</definedName>
    <definedName name="MO_DAF_PPE_Other">Model!$919:$919</definedName>
    <definedName name="MO_GA_REV_SEMI">Model!$38:$38</definedName>
    <definedName name="MO_GA_REV_SEMI_Auto">Model!$28:$28</definedName>
    <definedName name="MO_GA_REV_SEMI_Comp">Model!$13:$13</definedName>
    <definedName name="MO_GA_REV_SEMI_Cons">Model!$9:$9</definedName>
    <definedName name="MO_GA_REV_SEMI_Data">Model!$24:$24</definedName>
    <definedName name="MO_GA_TotalRevenue">Model!$38:$38</definedName>
    <definedName name="MO_GuidanceAnalysis_NonGaapGrossProfit_FY">Model!$678:$678</definedName>
    <definedName name="MO_GuidanceAnalysis_NonGaapGrossProfit_MostRecentMidpoint">Model!$626:$626</definedName>
    <definedName name="MO_GuidanceAnalysis_NonGaapGrossProfit_Q">Model!$650:$650</definedName>
    <definedName name="MO_GuidanceAnalysis_NonGaapGrossProfitMargin_MostRecentMidpoint">Model!$642:$642</definedName>
    <definedName name="MO_GuidanceAnalysis_Revenue_FY">Model!$605:$605</definedName>
    <definedName name="MO_GuidanceAnalysis_Revenue_MostRecentMidpoint">Model!$572:$572</definedName>
    <definedName name="MO_GuidanceAnalysis_Revenue_Q">Model!$588:$588</definedName>
    <definedName name="MO_IS_COGS">Model!$293:$293</definedName>
    <definedName name="MO_IS_EBIT">Model!$301:$301</definedName>
    <definedName name="MO_IS_EBT">Model!$305:$305</definedName>
    <definedName name="MO_IS_FirstRow">Model!$292:$292</definedName>
    <definedName name="MO_IS_GP">Model!$294:$294</definedName>
    <definedName name="MO_IS_IE">Model!$303:$303</definedName>
    <definedName name="MO_IS_II">Model!$302:$302</definedName>
    <definedName name="MO_IS_NI_ContinOp">Model!$307:$307</definedName>
    <definedName name="MO_IS_OPEX">Model!$300:$300</definedName>
    <definedName name="MO_IS_RD">Model!$295:$295</definedName>
    <definedName name="MO_IS_Restructuring">Model!$297:$297</definedName>
    <definedName name="MO_IS_REV">Model!$292:$292</definedName>
    <definedName name="MO_IS_SGA">Model!$296:$296</definedName>
    <definedName name="MO_IS_Tax">Model!$306:$306</definedName>
    <definedName name="MO_KPI_EmployeeCount">Model!$236:$236</definedName>
    <definedName name="MO_KPI_EmployeeCount_RD">Model!$234:$234</definedName>
    <definedName name="MO_KPI_REV_ADAS">Model!$26:$26</definedName>
    <definedName name="MO_KPI_REV_Geo_China">Model!$186:$186</definedName>
    <definedName name="MO_KPI_REV_Geo_Taiwan">Model!$185:$185</definedName>
    <definedName name="MO_KPI_REV_Geo_US">Model!$187:$187</definedName>
    <definedName name="MO_KPI_REV_SEMI">Model!$34:$34</definedName>
    <definedName name="MO_KPI_REV_SEMI_Auto">Model!$26:$26</definedName>
    <definedName name="MO_KPI_REV_SEMI_Auto_Growth">Model!$28:$28</definedName>
    <definedName name="MO_KPI_REV_SEMI_Comp">Model!$11:$11</definedName>
    <definedName name="MO_KPI_REV_SEMI_Comp_Growth">Model!$13:$13</definedName>
    <definedName name="MO_KPI_REV_SEMI_Cons">Model!$7:$7</definedName>
    <definedName name="MO_KPI_REV_SEMI_Cons_Growth">Model!$9:$9</definedName>
    <definedName name="MO_KPI_REV_SEMI_Data">Model!$22:$22</definedName>
    <definedName name="MO_KPI_REV_SEMI_Data_Growth">Model!$24:$24</definedName>
    <definedName name="MO_KPI_REV_SEMI_Growth">Model!$38:$38</definedName>
    <definedName name="MO_KPI_RevenueContribution_LargestClient">Model!$263:$263</definedName>
    <definedName name="MO_KPI_RevenueContribution_SecondLargestClient">Model!$264:$264</definedName>
    <definedName name="MO_KPI_RPO">Model!$216:$216</definedName>
    <definedName name="MO_KPI_RPO_Current">Model!$214:$214</definedName>
    <definedName name="MO_KPI_RPO_NonCurrent">Model!$215:$215</definedName>
    <definedName name="MO_MA_COGS">Model!$269:$269</definedName>
    <definedName name="MO_MA_COGS_NONGAAP">Model!$277:$277</definedName>
    <definedName name="MO_MA_EBIT">Model!$275:$275</definedName>
    <definedName name="MO_MA_EBITDA_Adj">Model!$289:$289</definedName>
    <definedName name="MO_MA_GM">Model!$270:$270</definedName>
    <definedName name="MO_MA_GM_NONGAAP">Model!$278:$278</definedName>
    <definedName name="MO_MA_OperatingIncome">Model!$286:$286</definedName>
    <definedName name="MO_MA_OperatingIncome_NONGAAP">Model!$285:$285</definedName>
    <definedName name="MO_MA_OPEX">Model!$274:$274</definedName>
    <definedName name="MO_MA_OPEX_NONGAAP">Model!$284:$284</definedName>
    <definedName name="MO_MA_RD">Model!$273:$273</definedName>
    <definedName name="MO_MA_RD_NONGAAP">Model!$283:$283</definedName>
    <definedName name="MO_MA_Reported_OperatingIncome_NONGAAP">Model!$286:$286</definedName>
    <definedName name="MO_MA_RIS_EBIT_NONGAAP">Model!$403:$403</definedName>
    <definedName name="MO_MA_SGA">Model!$272:$272</definedName>
    <definedName name="MO_MA_SGA_NONGAAP">Model!$282:$282</definedName>
    <definedName name="MO_OS_EmployeeCount">Model!$236:$236</definedName>
    <definedName name="MO_OS_EmployeeCount_RD">Model!$234:$234</definedName>
    <definedName name="MO_OS_OPEX">Model!$113:$113</definedName>
    <definedName name="MO_OS_REV_ADAS">Model!$26:$26</definedName>
    <definedName name="MO_OS_REV_SEMI">Model!$34:$34</definedName>
    <definedName name="MO_OS_RevenueContribution_LargestClient">Model!$263:$263</definedName>
    <definedName name="MO_OS_RevenueContribution_SecondLargestClient">Model!$264:$264</definedName>
    <definedName name="MO_OS_RPO">Model!$216:$216</definedName>
    <definedName name="MO_OS_RPO_Current">Model!$214:$214</definedName>
    <definedName name="MO_OS_RPO_NonCurrent">Model!$215:$215</definedName>
    <definedName name="MO_RIS_Acquisition_COGS">Model!$368:$368</definedName>
    <definedName name="MO_RIS_Acquisition_RD">Model!$375:$375</definedName>
    <definedName name="MO_RIS_Acquisition_SGA">Model!$380:$380</definedName>
    <definedName name="MO_RIS_Adjustments_Dilution_GAAP">Model!$415:$415</definedName>
    <definedName name="MO_RIS_Adjustments_NONGAAP_Other">Model!$412:$412</definedName>
    <definedName name="MO_RIS_COGS">Model!$366:$366</definedName>
    <definedName name="MO_RIS_COGS_Adjustments">Model!$369:$369</definedName>
    <definedName name="MO_RIS_DA">Model!$391:$391</definedName>
    <definedName name="MO_RIS_DAintangibles">Model!$409:$409</definedName>
    <definedName name="MO_RIS_DeferredTax_To_TotalNonGAAPTax">Model!$421:$421</definedName>
    <definedName name="MO_RIS_EBIT_NONGAAP">Model!$386:$386</definedName>
    <definedName name="MO_RIS_EBITDA_Adj">Model!$392:$392</definedName>
    <definedName name="MO_RIS_EBITDA_NONGAAP">Model!$392:$392</definedName>
    <definedName name="MO_RIS_EBT_NONGAAP">Model!$403:$403</definedName>
    <definedName name="MO_RIS_EPS_WAB">Model!$423:$423</definedName>
    <definedName name="MO_RIS_EPS_WAD">Model!$424:$424</definedName>
    <definedName name="MO_RIS_EPS_WAD_Adj">Model!$425:$425</definedName>
    <definedName name="MO_RIS_GAAP_Adjustments">Model!$412:$412</definedName>
    <definedName name="MO_RIS_GP_NONGAAP">Model!$370:$370</definedName>
    <definedName name="MO_RIS_IE">Model!$395:$395</definedName>
    <definedName name="MO_RIS_IE_Adjustments">Model!$411:$411</definedName>
    <definedName name="MO_RIS_IE_Net">Model!$397:$397</definedName>
    <definedName name="MO_RIS_IE_Net_NONGAAP">Model!$399:$399</definedName>
    <definedName name="MO_RIS_IE_NONGAAP_Adjustments">Model!$398:$398</definedName>
    <definedName name="MO_RIS_II">Model!$396:$396</definedName>
    <definedName name="MO_RIS_NI_GAAP_Basic">Model!$414:$414</definedName>
    <definedName name="MO_RIS_NI_GAAP_Diluted">Model!$416:$416</definedName>
    <definedName name="MO_RIS_NI_NONGAAP_Diluted">Model!$407:$407</definedName>
    <definedName name="MO_RIS_OI">Model!$400:$400</definedName>
    <definedName name="MO_RIS_OI_NONGAAP">Model!$402:$402</definedName>
    <definedName name="MO_RIS_OI_NONGAAP_Adjustments">Model!$401:$401</definedName>
    <definedName name="MO_RIS_OO_Adjustments">Model!$410:$410</definedName>
    <definedName name="MO_RIS_OPEX">Model!$383:$383</definedName>
    <definedName name="MO_RIS_OPEX_Adjustments">Model!$384:$384</definedName>
    <definedName name="MO_RIS_OPEX_NONGAAP">Model!$385:$385</definedName>
    <definedName name="MO_RIS_OtherOperating_NONGAAP">Model!$387:$387</definedName>
    <definedName name="MO_RIS_RD">Model!$373:$373</definedName>
    <definedName name="MO_RIS_RD_Adjustments">Model!$376:$376</definedName>
    <definedName name="MO_RIS_RD_NONGAAP">Model!$377:$377</definedName>
    <definedName name="MO_RIS_Reported_OperatingIncome_NONGAAP">Model!$388:$388</definedName>
    <definedName name="MO_RIS_REV">Model!$362:$362</definedName>
    <definedName name="MO_RIS_SBC">Model!$408:$408</definedName>
    <definedName name="MO_RIS_SBC_COGS">Model!$367:$367</definedName>
    <definedName name="MO_RIS_SBC_RD">Model!$374:$374</definedName>
    <definedName name="MO_RIS_SBC_SGA">Model!$379:$379</definedName>
    <definedName name="MO_RIS_SGA">Model!$378:$378</definedName>
    <definedName name="MO_RIS_SGA_Adjustments">Model!$381:$381</definedName>
    <definedName name="MO_RIS_SGA_NONGAAP">Model!$382:$382</definedName>
    <definedName name="MO_RIS_ShareCount_WAB">Model!$428:$428</definedName>
    <definedName name="MO_RIS_ShareCount_WAD">Model!$429:$429</definedName>
    <definedName name="MO_RIS_ShareCount_WAD_Adj">Model!$430:$430</definedName>
    <definedName name="MO_RIS_Tax">Model!$404:$404</definedName>
    <definedName name="MO_RIS_Tax_NONGAAP">Model!$406:$406</definedName>
    <definedName name="MO_RIS_Tax_NONGAAP_Adjustments">Model!$405:$405</definedName>
    <definedName name="MO_RIS_TaxImpact_Adjustments">Model!$413:$413</definedName>
    <definedName name="MO_RIS_TaxRate">Model!$420:$420</definedName>
    <definedName name="MO_RIS_TaxRate_NONGAAP">Model!$418:$418</definedName>
    <definedName name="MO_RIS_TaxRate_OnAdjustments">Model!$419:$419</definedName>
    <definedName name="MO_SCA_Date_CoverPage">Model!$487:$487</definedName>
    <definedName name="MO_SCA_Date_LastWorkingDay">Model!$433:$433</definedName>
    <definedName name="MO_SCA_ESPPObligations_EoP">Model!$480:$480</definedName>
    <definedName name="MO_SCA_Ratio_DilutedOverBasic">Model!$445:$445</definedName>
    <definedName name="MO_SCA_Repurchase_DollarValue">Model!$504:$504</definedName>
    <definedName name="MO_SCA_Repurchase_Program_Addition">Model!$509:$509</definedName>
    <definedName name="MO_SCA_Repurchase_Program_Remaining">Model!$514:$514</definedName>
    <definedName name="MO_SCA_Repurchase_Reported_Price">Model!$499:$499</definedName>
    <definedName name="MO_SCA_Repurchase_Reported_Shares_Total">Model!$494:$494</definedName>
    <definedName name="MO_SCA_ShareCount_CoverPage">Model!$486:$486</definedName>
    <definedName name="MO_SCA_ShareCount_CoverPage_Class1">Model!$486:$486</definedName>
    <definedName name="MO_SCA_ShareCount_CoverPage_Dilutive">Model!$489:$489</definedName>
    <definedName name="MO_SCA_ShareCount_CoverPage_Ticker1">Model!$486:$486</definedName>
    <definedName name="MO_SCA_ShareCount_DilutiveShares">Model!$444:$444</definedName>
    <definedName name="MO_SCA_ShareCount_EoP">Model!$436:$436</definedName>
    <definedName name="MO_SCA_ShareCount_EoP_Class1">Model!$436:$436</definedName>
    <definedName name="MO_SCA_ShareCount_EoP_Diluted">Model!$447:$447</definedName>
    <definedName name="MO_SCA_ShareCount_EoP_Growth_Dilutive_QoQ">Model!$437:$437</definedName>
    <definedName name="MO_SCA_ShareCount_EoP_Growth_Dilutive_YoY">Model!$438:$438</definedName>
    <definedName name="MO_SCA_ShareCount_EoP_Growth_NetIssuance_QoQ">Model!$439:$439</definedName>
    <definedName name="MO_SCA_ShareCount_EoP_Growth_NetIssuance_YoY">Model!$440:$440</definedName>
    <definedName name="MO_SCA_ShareCount_EoP_Growth_QoQ">Model!$441:$441</definedName>
    <definedName name="MO_SCA_ShareCount_EoP_Growth_YoY">Model!$442:$442</definedName>
    <definedName name="MO_SCA_ShareCount_EoP_Ticker1">Model!$436:$436</definedName>
    <definedName name="MO_SCA_ShareCount_FullyDiluted">Model!$484:$484</definedName>
    <definedName name="MO_SCA_ShareCount_PotentialDilution">Model!$482:$482</definedName>
    <definedName name="MO_SCA_StockOptions_BoP">Model!$455:$455</definedName>
    <definedName name="MO_SCA_StockOptions_Canceled">Model!$458:$458</definedName>
    <definedName name="MO_SCA_StockOptions_Cumulative_BoP">Model!$449:$449</definedName>
    <definedName name="MO_SCA_StockOptions_Cumulative_Canceled">Model!$452:$452</definedName>
    <definedName name="MO_SCA_StockOptions_Cumulative_EoP">Model!$453:$453</definedName>
    <definedName name="MO_SCA_StockOptions_Cumulative_Exercised">Model!$451:$451</definedName>
    <definedName name="MO_SCA_StockOptions_Cumulative_Granted">Model!$450:$450</definedName>
    <definedName name="MO_SCA_StockOptions_Dilution">Model!$472:$472</definedName>
    <definedName name="MO_SCA_StockOptions_EoP">Model!$459:$459</definedName>
    <definedName name="MO_SCA_StockOptions_Exercisable">Model!$474:$474</definedName>
    <definedName name="MO_SCA_StockOptions_Exercised">Model!$457:$457</definedName>
    <definedName name="MO_SCA_StockOptions_Granted">Model!$456:$456</definedName>
    <definedName name="MO_SCA_StockOptions_Price_BoP">Model!$467:$467</definedName>
    <definedName name="MO_SCA_StockOptions_Price_Canceled">Model!$470:$470</definedName>
    <definedName name="MO_SCA_StockOptions_Price_Cumulative_BoP">Model!$461:$461</definedName>
    <definedName name="MO_SCA_StockOptions_Price_Cumulative_Canceled">Model!$464:$464</definedName>
    <definedName name="MO_SCA_StockOptions_Price_Cumulative_EoP">Model!$465:$465</definedName>
    <definedName name="MO_SCA_StockOptions_Price_Cumulative_Exercised">Model!$463:$463</definedName>
    <definedName name="MO_SCA_StockOptions_Price_Cumulative_Granted">Model!$462:$462</definedName>
    <definedName name="MO_SCA_StockOptions_Price_EoP">Model!$471:$471</definedName>
    <definedName name="MO_SCA_StockOptions_Price_Exercisable">Model!$475:$475</definedName>
    <definedName name="MO_SCA_StockOptions_Price_Exercised">Model!$469:$469</definedName>
    <definedName name="MO_SCA_StockOptions_Price_Granted">Model!$468:$468</definedName>
    <definedName name="MO_SCA_StockPrice_EoP">Model!$434:$434</definedName>
    <definedName name="MO_SCA_UnvestedRSU_EoP">Model!$477:$477</definedName>
    <definedName name="MO_SCA_UnvestedRSU_Price_EoP">Model!$478:$478</definedName>
    <definedName name="MO_Section_AdjustedNumbers">Model!$311:$311</definedName>
    <definedName name="MO_Section_BalanceSheet">Model!$950:$950</definedName>
    <definedName name="MO_Section_BalanceSheetSummary">Model!$725:$725</definedName>
    <definedName name="MO_Section_BoardDiversity">'Exec Comp'!$51:$51</definedName>
    <definedName name="MO_Section_Canalyst">'Exec Comp'!$129:$129</definedName>
    <definedName name="MO_Section_CapexGuidanceAnalysis">Model!$542:$542</definedName>
    <definedName name="MO_Section_CashFlowStatement">Model!$841:$841</definedName>
    <definedName name="MO_Section_CashFlowSummary">Model!$694:$694</definedName>
    <definedName name="MO_Section_CompanyFinancialGoals">'Exec Comp'!$111:$111</definedName>
    <definedName name="MO_Section_CumulativeCashFlowStatement">Model!$769:$769</definedName>
    <definedName name="MO_Section_DAForecasting">Model!$915:$915</definedName>
    <definedName name="MO_Section_DirectorCompensation">'Exec Comp'!$60:$60</definedName>
    <definedName name="MO_Section_ExecutiveCompensation">'Exec Comp'!$6:$6</definedName>
    <definedName name="MO_Section_GuidanceAnalysis">Model!$516:$516</definedName>
    <definedName name="MO_Section_IncomeStatement">Model!$291:$291</definedName>
    <definedName name="MO_Section_KeyMetricsCustomerConcentrationFS">Model!$262:$262</definedName>
    <definedName name="MO_Section_KeyMetricsDaysSalesOutstandingCFOCommentary">Model!$220:$220</definedName>
    <definedName name="MO_Section_KeyMetricsDeferredRevenuesandRPOsFS">Model!$205:$205</definedName>
    <definedName name="MO_Section_KeyMetricsEmployeesFS">Model!$233:$233</definedName>
    <definedName name="MO_Section_KeyMetricsInventoryProvisionsFS">Model!$238:$238</definedName>
    <definedName name="MO_Section_KeyMetricsInventoryPurchaseandLongtermSupplyObligationsFS">Model!$245:$245</definedName>
    <definedName name="MO_Section_KeyMetricsTotalAddressableMarketIP">Model!$225:$225</definedName>
    <definedName name="MO_Section_LastRow">Model!$1182:$1182</definedName>
    <definedName name="MO_Section_MarginAnalysis">Model!$268:$268</definedName>
    <definedName name="MO_Section_ModelChecks">Model!$1013:$1013</definedName>
    <definedName name="MO_Section_NonGaapGrossProfitGuidanceAnalysis">Model!$621:$621</definedName>
    <definedName name="MO_Section_NonGAAPOperatingExpensesGuidanceAnalysis">Model!$517:$517</definedName>
    <definedName name="MO_Section_OperatingExpenseForecasting">Model!$43:$43</definedName>
    <definedName name="MO_Section_OtherAlignmentDataPoints">'Exec Comp'!$106:$106</definedName>
    <definedName name="MO_Section_RevenueBuildFSPR">Model!$6:$6</definedName>
    <definedName name="MO_Section_RevenueGuidanceAnalysis">Model!$567:$567</definedName>
    <definedName name="MO_Section_RevisedIncomeStatement">Model!$361:$361</definedName>
    <definedName name="MO_Section_SBCDAAcquisitionrelatedCostsBreakdownFS">Model!$116:$116</definedName>
    <definedName name="MO_Section_SegmentedResultsGeographicBreakdownFS">Model!$184:$184</definedName>
    <definedName name="MO_Section_SegmentedResultsOperatingIncomeBreakdownFS">Model!$142:$142</definedName>
    <definedName name="MO_Section_SegmentedResultsRevenueBreakdownFS">Model!$132:$132</definedName>
    <definedName name="MO_Section_ShareCountAnalysis">Model!$432:$432</definedName>
    <definedName name="MO_Section_SupplementalData">Model!$131:$131</definedName>
    <definedName name="MO_Section_Tables">Model!$1037:$1037</definedName>
    <definedName name="MO_Section_Valuation">Model!$744:$744</definedName>
    <definedName name="MO_Section_WorkingCapitalForecasting">Model!$939:$939</definedName>
    <definedName name="MO_SNA_ConsensusEstimatePeriodNumber">Model!$1118:$1118</definedName>
    <definedName name="MO_SNA_ConsensusEstimatePeriodType">Model!$1117:$1117</definedName>
    <definedName name="MO_SNA_FPStartDate">Model!$1129:$1129</definedName>
    <definedName name="MO_SNA_Guidance_ApplicablePeriod_FY">Model!$1101:$1101</definedName>
    <definedName name="MO_SNA_Guidance_ApplicablePeriod_Q">Model!$1083:$1083</definedName>
    <definedName name="MO_SNA_Guidance_IsLatest_FY">Model!$1100:$1100</definedName>
    <definedName name="MO_SNA_Guidance_ReportDate_FY">Model!$1099:$1099</definedName>
    <definedName name="MO_SNA_Guidance_ReportDate_Q">Model!$1082:$1082</definedName>
    <definedName name="MO_SNA_IsHistoricalPeriod">Model!$1130:$1130</definedName>
    <definedName name="MO_SNA_LastDataRow">Model!$1009:$1009</definedName>
    <definedName name="MO_SPT_FXAverage">Model!$1152:$1152</definedName>
    <definedName name="MO_SPT_FXAverage_Sources">Model!$1153:$1157</definedName>
    <definedName name="MO_SPT_FXAverage_Sources_Bloomberg">Model!$1154:$1154</definedName>
    <definedName name="MO_SPT_FXAverage_Sources_CapIQ">Model!$1155:$1155</definedName>
    <definedName name="MO_SPT_FXAverage_Sources_FactSet">Model!$1156:$1156</definedName>
    <definedName name="MO_SPT_FXAverage_Sources_RealTimeOff">Model!$1153:$1153</definedName>
    <definedName name="MO_SPT_FXAverage_Sources_Thomson">Model!$1157:$1157</definedName>
    <definedName name="MO_SPT_FXEoP">Model!$1161:$1161</definedName>
    <definedName name="MO_SPT_StockAverage">Model!$1145:$1145</definedName>
    <definedName name="MO_SPT_StockAverage_Sources">Model!$1146:$1150</definedName>
    <definedName name="MO_SPT_StockAverage_Sources_Bloomberg">Model!$1147:$1147</definedName>
    <definedName name="MO_SPT_StockAverage_Sources_CapIQ">Model!$1148:$1148</definedName>
    <definedName name="MO_SPT_StockAverage_Sources_FactSet">Model!$1149:$1149</definedName>
    <definedName name="MO_SPT_StockAverage_Sources_RealTimeOff">Model!$1146:$1146</definedName>
    <definedName name="MO_SPT_StockAverage_Sources_Thomson">Model!$1150:$1150</definedName>
    <definedName name="MO_SPT_StockEoP">Model!$1160:$1160</definedName>
    <definedName name="MO_SPT_StockHigh">Model!$1131:$1131</definedName>
    <definedName name="MO_SPT_StockHigh_Sources">Model!$1132:$1136</definedName>
    <definedName name="MO_SPT_StockHigh_Sources_Bloomberg">Model!$1133:$1133</definedName>
    <definedName name="MO_SPT_StockHigh_Sources_CapIQ">Model!$1134:$1134</definedName>
    <definedName name="MO_SPT_StockHigh_Sources_FactSet">Model!$1135:$1135</definedName>
    <definedName name="MO_SPT_StockHigh_Sources_RealTimeOff">Model!$1132:$1132</definedName>
    <definedName name="MO_SPT_StockHigh_Sources_Thomson">Model!$1136:$1136</definedName>
    <definedName name="MO_SPT_StockLow">Model!$1138:$1138</definedName>
    <definedName name="MO_SPT_StockLow_Sources">Model!$1139:$1143</definedName>
    <definedName name="MO_SPT_StockLow_Sources_Bloomberg">Model!$1140:$1140</definedName>
    <definedName name="MO_SPT_StockLow_Sources_CapIQ">Model!$1141:$1141</definedName>
    <definedName name="MO_SPT_StockLow_Sources_FactSet">Model!$1142:$1142</definedName>
    <definedName name="MO_SPT_StockLow_Sources_RealTimeOff">Model!$1139:$1139</definedName>
    <definedName name="MO_SPT_StockLow_Sources_Thomson">Model!$1143:$1143</definedName>
    <definedName name="MO_SR_Geo_China">Model!$186:$186</definedName>
    <definedName name="MO_SR_Geo_Taiwan">Model!$185:$185</definedName>
    <definedName name="MO_SR_Geo_US">Model!$187:$187</definedName>
    <definedName name="MO_SR_SEMI_Auto">Model!$26:$26</definedName>
    <definedName name="MO_SR_SEMI_Comp">Model!$11:$11</definedName>
    <definedName name="MO_SR_SEMI_Cons">Model!$7:$7</definedName>
    <definedName name="MO_SR_SEMI_Data">Model!$22:$22</definedName>
    <definedName name="MO_SubSection_BS_CA">Model!$951:$951</definedName>
    <definedName name="MO_SubSection_BS_CL">Model!$984:$984</definedName>
    <definedName name="MO_SubSection_BS_NCA">Model!$964:$964</definedName>
    <definedName name="MO_SubSection_BS_NCL">Model!$991:$991</definedName>
    <definedName name="MO_SubSection_BS_SE">Model!$1000:$1000</definedName>
    <definedName name="MO_SubSection_CCFS_CFF">Model!$812:$812</definedName>
    <definedName name="MO_SubSection_CCFS_CFI">Model!$799:$799</definedName>
    <definedName name="MO_SubSection_CCFS_CFO">Model!$770:$770</definedName>
    <definedName name="MO_SubSection_CFS_CFF">Model!$884:$884</definedName>
    <definedName name="MO_SubSection_CFS_CFI">Model!$871:$871</definedName>
    <definedName name="MO_SubSection_CFS_CFO">Model!$842:$842</definedName>
    <definedName name="MO_VA_EV">Model!$747:$747</definedName>
    <definedName name="MO_VA_EV_ToEBITDA">Model!$751:$751</definedName>
    <definedName name="MO_VA_EV_ToSales">Model!$750:$750</definedName>
    <definedName name="MO_VA_EVCalc_NCI">Model!$765:$765</definedName>
    <definedName name="MO_VA_EVCalc_Other">Model!$767:$767</definedName>
    <definedName name="MO_VA_EVCalc_Prefs">Model!$766:$766</definedName>
    <definedName name="MO_VA_FCFYield_ToEV">Model!$754:$754</definedName>
    <definedName name="MO_VA_FCFYield_ToMktCap">Model!$753:$753</definedName>
    <definedName name="MO_VA_FX_Average">Model!$760:$760</definedName>
    <definedName name="MO_VA_FX_EoP">Model!$761:$761</definedName>
    <definedName name="MO_VA_MarketCap">Model!$746:$746</definedName>
    <definedName name="MO_VA_P_ToCF">Model!$752:$752</definedName>
    <definedName name="MO_VA_P_ToE">Model!$749:$749</definedName>
    <definedName name="MO_VA_StockPrice">Model!$745:$745</definedName>
    <definedName name="MO_VA_StockPrice_Avg">Model!$758:$758</definedName>
    <definedName name="MO_VA_StockPrice_EoP">Model!$759:$759</definedName>
    <definedName name="MO_VA_StockPrice_High">Model!$756:$756</definedName>
    <definedName name="MO_VA_StockPrice_Low">Model!$757:$757</definedName>
    <definedName name="MO_VA_StockPrice_TradingCurrency">Model!$762:$762</definedName>
    <definedName name="MO_WCF_AP_Margin">Model!$942:$942</definedName>
    <definedName name="MO_WCF_AP_Margin_Change">Model!$947:$947</definedName>
    <definedName name="MO_WCF_AR_Margin">Model!$940:$940</definedName>
    <definedName name="MO_WCF_AR_Margin_Change">Model!$945:$945</definedName>
    <definedName name="MO_WCF_INV_Margin">Model!$941:$941</definedName>
    <definedName name="MO_WCF_INV_Margin_Change">Model!$946:$946</definedName>
    <definedName name="MO.ApplyTradeCurrencyScaling">Model!$B$1169</definedName>
    <definedName name="MO.CFY">Model!$B$1177</definedName>
    <definedName name="MO.CompanyName">Model!$A$1</definedName>
    <definedName name="MO.DataSourceIndex">Model!$B$1180</definedName>
    <definedName name="MO.DataSourceName">Model!$A$4</definedName>
    <definedName name="MO.FirstForecastedFiscalYear">Model!$B$1178</definedName>
    <definedName name="MO.KPI.1">Model!$A$1061</definedName>
    <definedName name="MO.KPI.10">Model!$A$1070</definedName>
    <definedName name="MO.KPI.11">Model!$A$1071</definedName>
    <definedName name="MO.KPI.12">Model!$A$1072</definedName>
    <definedName name="MO.KPI.13">Model!$A$1073</definedName>
    <definedName name="MO.KPI.14">Model!$A$1074</definedName>
    <definedName name="MO.KPI.15">Model!$A$1075</definedName>
    <definedName name="MO.KPI.16">Model!$A$1076</definedName>
    <definedName name="MO.KPI.17">Model!$A$1077</definedName>
    <definedName name="MO.KPI.18">Model!$A$1078</definedName>
    <definedName name="MO.KPI.2">Model!$A$1062</definedName>
    <definedName name="MO.KPI.3">Model!$A$1063</definedName>
    <definedName name="MO.KPI.4">Model!$A$1064</definedName>
    <definedName name="MO.KPI.5">Model!$A$1065</definedName>
    <definedName name="MO.KPI.6">Model!$A$1066</definedName>
    <definedName name="MO.KPI.7">Model!$A$1067</definedName>
    <definedName name="MO.KPI.8">Model!$A$1068</definedName>
    <definedName name="MO.KPI.9">Model!$A$1069</definedName>
    <definedName name="MO.KPI.Count">Model!$B$1179</definedName>
    <definedName name="MO.LastPrice">Model!$B$3</definedName>
    <definedName name="MO.LastPriceDate">Model!$B$1166</definedName>
    <definedName name="MO.LastPriceFormula">Model!$B$1168</definedName>
    <definedName name="MO.LastPriceHardcoded">Model!$B$1165</definedName>
    <definedName name="MO.MRFP">Model!$B$1176</definedName>
    <definedName name="MO.MRFPColumnNumber">Model!$B$1175</definedName>
    <definedName name="MO.MRFX.Hardcoded">Model!$B$1174</definedName>
    <definedName name="MO.RealTime">Model!$B$4</definedName>
    <definedName name="MO.RealTimeStockPriceToggle">Model!$B$1167</definedName>
    <definedName name="MO.ReportCurrency">Model!$B$1172</definedName>
    <definedName name="MO.ReportFX">Model!$A$5</definedName>
    <definedName name="MO.Ticker">Model!$A$2</definedName>
    <definedName name="MO.Ticker.Bloomberg">Model!$A$1041</definedName>
    <definedName name="MO.Ticker.Canalyst">Model!$A$1040</definedName>
    <definedName name="MO.Ticker.CapIQ">Model!$A$1042</definedName>
    <definedName name="MO.Ticker.FactSet">Model!$A$1043</definedName>
    <definedName name="MO.Ticker.Thomson">Model!$A$1044</definedName>
    <definedName name="MO.TradingCurrency">Model!$A$3</definedName>
    <definedName name="MO.ValuationToggle">Model!$B$745</definedName>
    <definedName name="SP_BSR_Capital">'Summary Page'!$87:$87</definedName>
    <definedName name="SP_BSR_CashFlow">'Summary Page'!$86:$86</definedName>
    <definedName name="SP_BSR_CashFlow_LTM">'Summary Page'!$89:$89</definedName>
    <definedName name="SP_BSR_CL">'Summary Page'!$108:$108</definedName>
    <definedName name="SP_BSR_CL_Avg">'Summary Page'!$109:$109</definedName>
    <definedName name="SP_BSR_Debt">'Summary Page'!$102:$102</definedName>
    <definedName name="SP_BSR_Debt_Avg">'Summary Page'!$103:$103</definedName>
    <definedName name="SP_BSR_EBITDA">'Summary Page'!$85:$85</definedName>
    <definedName name="SP_BSR_EBITDA_LTM">'Summary Page'!$88:$88</definedName>
    <definedName name="SP_BSR_SE">'Summary Page'!$94:$94</definedName>
    <definedName name="SP_BSR_SE_Avg">'Summary Page'!$95:$95</definedName>
    <definedName name="SP_BSR_TA">'Summary Page'!$99:$99</definedName>
    <definedName name="SP_BSR_TA_Avg">'Summary Page'!$100:$100</definedName>
    <definedName name="SP_CFA_Acquisition">'Summary Page'!$71:$71</definedName>
    <definedName name="SP_CFA_Capex">'Summary Page'!$67:$67</definedName>
    <definedName name="SP_CFA_CFO">'Summary Page'!$66:$66</definedName>
    <definedName name="SP_CFA_CFO_BeforeWC">'Summary Page'!$64:$64</definedName>
    <definedName name="SP_CFA_CFO_PerShare">'Summary Page'!$78:$78</definedName>
    <definedName name="SP_CFA_Debt">'Summary Page'!$74:$74</definedName>
    <definedName name="SP_CFA_Div">'Summary Page'!$69:$69</definedName>
    <definedName name="SP_CFA_Div_PerShare">'Summary Page'!$80:$80</definedName>
    <definedName name="SP_CFA_Divestiture">'Summary Page'!$72:$72</definedName>
    <definedName name="SP_CFA_Equity">'Summary Page'!$73:$73</definedName>
    <definedName name="SP_CFA_FCF_PerShare">'Summary Page'!$79:$79</definedName>
    <definedName name="SP_CFA_FCF_PostDiv">'Summary Page'!$70:$70</definedName>
    <definedName name="SP_CFA_FCF_PreDiv">'Summary Page'!$68:$68</definedName>
    <definedName name="SP_CFA_NetChange">'Summary Page'!$76:$76</definedName>
    <definedName name="SP_CFA_Other">'Summary Page'!$75:$75</definedName>
    <definedName name="SP_CFA_Payout_vsEPS">'Summary Page'!$82:$82</definedName>
    <definedName name="SP_CFA_Payout_vsFCF">'Summary Page'!$81:$81</definedName>
    <definedName name="SP_CFA_WC">'Summary Page'!$65:$65</definedName>
    <definedName name="SP_Checks_SummaryPage">'Summary Page'!$C$129:$XFD$132</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COGS">'Summary Page'!$30:$30</definedName>
    <definedName name="SP_GF_EBITDA">'Summary Page'!$38:$38</definedName>
    <definedName name="SP_GF_EBT">'Summary Page'!$41:$41</definedName>
    <definedName name="SP_GF_EPS_WAD">'Summary Page'!$47:$47</definedName>
    <definedName name="SP_GF_IE">'Summary Page'!$39:$39</definedName>
    <definedName name="SP_GF_IE_Net">'Summary Page'!$39:$39</definedName>
    <definedName name="SP_GF_NI">'Summary Page'!$43:$43</definedName>
    <definedName name="SP_GF_OI">'Summary Page'!$40:$40</definedName>
    <definedName name="SP_GF_RD">'Summary Page'!$35:$35</definedName>
    <definedName name="SP_GF_Rev">'Summary Page'!$29:$29</definedName>
    <definedName name="SP_GF_SGA">'Summary Page'!$35:$35</definedName>
    <definedName name="SP_GF_ShareCount">'Summary Page'!$48:$48</definedName>
    <definedName name="SP_GF_SM">'Summary Page'!$35:$35</definedName>
    <definedName name="SP_GF_Tax">'Summary Page'!$42:$42</definedName>
    <definedName name="SP_MA_EBITDA">'Summary Page'!$60:$60</definedName>
    <definedName name="SP_MA_EBITDA_Adj">'Summary Page'!$61:$61</definedName>
    <definedName name="SP_MA_GA">'Summary Page'!$58:$58</definedName>
    <definedName name="SP_MA_SM">'Summary Page'!$57:$57</definedName>
    <definedName name="SP_NGF_EBITDA">'Summary Page'!$51:$51</definedName>
    <definedName name="SP_NGF_EPS">'Summary Page'!$53:$53</definedName>
    <definedName name="SP_NGF_NI">'Summary Page'!$52:$52</definedName>
    <definedName name="SP_PR_ROA">'Summary Page'!$101:$101</definedName>
    <definedName name="SP_PR_ROCE">'Summary Page'!$111:$111</definedName>
    <definedName name="SP_PR_ROE">'Summary Page'!$96:$96</definedName>
    <definedName name="SP_PR_ROIC">'Summary Page'!$105:$105</definedName>
    <definedName name="SP_PSGM_CFO">'Summary Page'!$117:$117</definedName>
    <definedName name="SP_Section_BalanceSheetRatios">'Summary Page'!$84:$84</definedName>
    <definedName name="SP_Section_CapitalizationSummary">'Summary Page'!$3:$3</definedName>
    <definedName name="SP_Section_CashFlowAnalysis">'Summary Page'!$63:$63</definedName>
    <definedName name="SP_Section_Checks">'Summary Page'!$128:$128</definedName>
    <definedName name="SP_Section_GAAPFinancials">'Summary Page'!$28:$28</definedName>
    <definedName name="SP_Section_LastRow">'Summary Page'!$134:$134</definedName>
    <definedName name="SP_Section_PerShareGrowthMetrics">'Summary Page'!$113:$113</definedName>
    <definedName name="SP_Section_ProfitabilityRatios">'Summary Page'!$91:$91</definedName>
    <definedName name="SP_VM_EV_toSales">'Summary Page'!$122:$122</definedName>
    <definedName name="SP.ReportFX">'Summary Page'!$B$2</definedName>
    <definedName name="SP.ValuationToggle">'Summary Page'!$B$4</definedName>
    <definedName name="tb_ConsensusEstimate">Model!$A$1116:$CF$1126</definedName>
    <definedName name="tb_EntireModel">Model!$A$1:$CF$1011</definedName>
    <definedName name="tb_Guidance_FY">Model!$A$1098:$CF$1114</definedName>
    <definedName name="tb_Guidance_Q">Model!$A$1081:$CF$1096</definedName>
    <definedName name="tb_KeyOutputs">Model!$A$1052:$A$1058</definedName>
    <definedName name="tb_KPIs">Model!$A$1060:$A$1079</definedName>
    <definedName name="tb_StockPrice">Model!$A$1128:$CF$1158</definedName>
    <definedName name="tb_Tickers">Model!$A$1039:$A$1044</definedName>
    <definedName name="tb_UpdateLog">'Update Log'!$C$10:$H$70</definedName>
    <definedName name="tb_ValuationToggle">Model!$A$1046:$B$1050</definedName>
    <definedName name="Tegus_functions_Workbook_ID">"680aa494-0471-4ebc-82bf-ac8923f12792"</definedName>
    <definedName name="UL.CSIN">'Update Log'!$H$7</definedName>
    <definedName name="UL.ModelVersion">'Update Log'!$H$8</definedName>
    <definedName name="UL.MRQ">'Update Log'!$F$7</definedName>
    <definedName name="UL.MRQColNum">'Update Log'!$E$7</definedName>
    <definedName name="z_A7FLSL0150_MO_AN_Acquisitionrelatedandothercosts">Model!$322:$322</definedName>
    <definedName name="z_A7FLSL0150_MO_AN_Acquisitionrelatedcosts">Model!$335:$335</definedName>
    <definedName name="z_A7FLSL0150_MO_AN_AcquisitionrelatedcostsinDirectCosts">Model!$121:$121</definedName>
    <definedName name="z_A7FLSL0150_MO_AN_AcquisitionrelatedcostsinGA">Model!$123:$123</definedName>
    <definedName name="z_A7FLSL0150_MO_AN_AcquisitionrelatedcostsinRD">Model!$122:$122</definedName>
    <definedName name="z_A7FLSL0150_MO_AN_Acquisitionterminationcost">Model!$337:$337</definedName>
    <definedName name="z_A7FLSL0150_MO_AN_Amortization_1">Model!$118:$118</definedName>
    <definedName name="z_A7FLSL0150_MO_AN_Amortizationofacquisitionrelatedintangibleassets">Model!$340:$340</definedName>
    <definedName name="z_A7FLSL0150_MO_AN_contributions">Model!$339:$339</definedName>
    <definedName name="z_A7FLSL0150_MO_AN_creditfromaweakdiepackagingmaterialset">Model!$326:$326</definedName>
    <definedName name="z_A7FLSL0150_MO_AN_creditfromaweakdiepackagingmaterialset_1">Model!$341:$341</definedName>
    <definedName name="z_A7FLSL0150_MO_AN_Debtrelatedcosts">Model!$349:$349</definedName>
    <definedName name="z_A7FLSL0150_MO_AN_Depreciation">Model!$117:$117</definedName>
    <definedName name="z_A7FLSL0150_MO_AN_DepreciationAmortization">Model!$119:$119</definedName>
    <definedName name="z_A7FLSL0150_MO_AN_Domesticationtaxbenefit">Model!$316:$316</definedName>
    <definedName name="z_A7FLSL0150_MO_AN_Foreigntaxbenefit">Model!$317:$317</definedName>
    <definedName name="z_A7FLSL0150_MO_AN_Freecashflow">Model!$359:$359</definedName>
    <definedName name="z_A7FLSL0150_MO_AN_gaapgrossprofit">Model!$321:$321</definedName>
    <definedName name="z_A7FLSL0150_MO_AN_gaapincomefromoperations">Model!$352:$352</definedName>
    <definedName name="z_A7FLSL0150_MO_AN_GAAPnetcashprovidedbyoperatingactivities">Model!$356:$356</definedName>
    <definedName name="z_A7FLSL0150_MO_AN_gaapnetincome">Model!$312:$312</definedName>
    <definedName name="z_A7FLSL0150_MO_AN_gaapoperatingexpenses">Model!$333:$333</definedName>
    <definedName name="z_A7FLSL0150_MO_AN_gaapotherincomeexpense">"Deleted"</definedName>
    <definedName name="z_A7FLSL0150_MO_AN_GAAPotherincomeexpense_1">Model!$346:$346</definedName>
    <definedName name="z_A7FLSL0150_MO_AN_gainsfromnonaffiliatedinvestments">"Deleted"</definedName>
    <definedName name="z_A7FLSL0150_MO_AN_Gainslossesfromnonaffiliatedinvestments">Model!$347:$347</definedName>
    <definedName name="z_A7FLSL0150_MO_AN_incometaximpactofnongaapadjustments">Model!$314:$314</definedName>
    <definedName name="z_A7FLSL0150_MO_AN_interestexpenserelatedtoamortizationofdebtdiscount">"Deleted"</definedName>
    <definedName name="z_A7FLSL0150_MO_AN_Interestexpenserelatedtoamortizationofdebtdiscount_1">Model!$348:$348</definedName>
    <definedName name="z_A7FLSL0150_MO_AN_IPrelatedcostsandassetsheldforsalerelatedadjustments">Model!$325:$325</definedName>
    <definedName name="z_A7FLSL0150_MO_AN_legalsettlementcosts">Model!$324:$324</definedName>
    <definedName name="z_A7FLSL0150_MO_AN_legalsettlementcosts_1">Model!$338:$338</definedName>
    <definedName name="z_A7FLSL0150_MO_AN_lossonearlydebtconversions">"Deleted"</definedName>
    <definedName name="z_A7FLSL0150_MO_AN_nongaapgrossprofit">Model!$331:$331</definedName>
    <definedName name="z_A7FLSL0150_MO_AN_nongaapincomefromoperations">Model!$354:$354</definedName>
    <definedName name="z_A7FLSL0150_MO_AN_nongaapnetincome">Model!$319:$319</definedName>
    <definedName name="z_A7FLSL0150_MO_AN_nongaapoperatingexpenses">Model!$344:$344</definedName>
    <definedName name="z_A7FLSL0150_MO_AN_nongaapotherincomeexpense">"Deleted"</definedName>
    <definedName name="z_A7FLSL0150_MO_AN_NonGAAPotherincomeexpense_1">Model!$350:$350</definedName>
    <definedName name="z_A7FLSL0150_MO_AN_nonrecurringchargerelatedtoroyaltydispute">Model!$327:$327</definedName>
    <definedName name="z_A7FLSL0150_MO_AN_Other">Model!$330:$330</definedName>
    <definedName name="z_A7FLSL0150_MO_AN_Other_1">Model!$343:$343</definedName>
    <definedName name="z_A7FLSL0150_MO_AN_Principalpaymentsonpropertyandequipmentandintangibleassets">Model!$358:$358</definedName>
    <definedName name="z_A7FLSL0150_MO_AN_productwarrantychange">Model!$329:$329</definedName>
    <definedName name="z_A7FLSL0150_MO_AN_Provisionaltaxbenefitfromincometaxreform">Model!$318:$318</definedName>
    <definedName name="z_A7FLSL0150_MO_AN_Purchasesrelatedtopropertyandequipmentandintangibleassets">Model!$357:$357</definedName>
    <definedName name="z_A7FLSL0150_MO_AN_Restructuringandothercharges">Model!$336:$336</definedName>
    <definedName name="z_A7FLSL0150_MO_AN_sbcindirectcosts">Model!$126:$126</definedName>
    <definedName name="z_A7FLSL0150_MO_AN_sbcinga">Model!$128:$128</definedName>
    <definedName name="z_A7FLSL0150_MO_AN_sbcinrd">Model!$127:$127</definedName>
    <definedName name="z_A7FLSL0150_MO_AN_stockbasedcompensationexpense">Model!$323:$323</definedName>
    <definedName name="z_A7FLSL0150_MO_AN_stockbasedcompensationexpense_1">Model!$334:$334</definedName>
    <definedName name="z_A7FLSL0150_MO_AN_stockoptionpurchasechargerelatedtocostofrevenue">Model!$328:$328</definedName>
    <definedName name="z_A7FLSL0150_MO_AN_stockoptionpurchasechargerelatedtooperatingexpenses">Model!$342:$342</definedName>
    <definedName name="z_A7FLSL0150_MO_AN_TaxexpensefromOBBBA">Model!$315:$315</definedName>
    <definedName name="z_A7FLSL0150_MO_AN_TotalAcquisitionrelatedcosts">Model!$124:$124</definedName>
    <definedName name="z_A7FLSL0150_MO_AN_totalimpactofnongaapadjustmentstoincomefromoperations">Model!$353:$353</definedName>
    <definedName name="z_A7FLSL0150_MO_AN_totalpretaximpactofnongaapadjustments">Model!$313:$313</definedName>
    <definedName name="z_A7FLSL0150_MO_AN_totalsbc">Model!$129:$129</definedName>
    <definedName name="z_A7FLSL0150_MO_BlankRow_AN">Model!$320:$320</definedName>
    <definedName name="z_A7FLSL0150_MO_BlankRow_AN_1">Model!$332:$332</definedName>
    <definedName name="z_A7FLSL0150_MO_BlankRow_AN_2">Model!$345:$345</definedName>
    <definedName name="z_A7FLSL0150_MO_BlankRow_AN_4">Model!$360:$360</definedName>
    <definedName name="z_A7FLSL0150_MO_BlankRow_AN_5">Model!$125:$125</definedName>
    <definedName name="z_A7FLSL0150_MO_BlankRow_AN_6">Model!$120:$120</definedName>
    <definedName name="z_A7FLSL0150_MO_BlankRow_AN_7">Model!$351:$351</definedName>
    <definedName name="z_A7FLSL0150_MO_BlankRow_AN_8">"Deleted"</definedName>
    <definedName name="z_A7FLSL0150_MO_BlankRow_AN_9">Model!$355:$355</definedName>
    <definedName name="z_A7FLSL0150_MO_BlankRow_BS_1">Model!$963:$963</definedName>
    <definedName name="z_A7FLSL0150_MO_BlankRow_BS_2">Model!$983:$983</definedName>
    <definedName name="z_A7FLSL0150_MO_BlankRow_BS_3">Model!$990:$990</definedName>
    <definedName name="z_A7FLSL0150_MO_BlankRow_BS_4">Model!$999:$999</definedName>
    <definedName name="z_A7FLSL0150_MO_BlankRow_BS_5">Model!$1010:$1010</definedName>
    <definedName name="z_A7FLSL0150_MO_BlankRow_BS_6">Model!$1012:$1012</definedName>
    <definedName name="z_A7FLSL0150_MO_BlankRow_BSS">Model!$743:$743</definedName>
    <definedName name="z_A7FLSL0150_MO_BlankRow_BSS_1">Model!$732:$732</definedName>
    <definedName name="z_A7FLSL0150_MO_BlankRow_BSS_2">Model!$739:$739</definedName>
    <definedName name="z_A7FLSL0150_MO_BlankRow_CCFS">Model!$798:$798</definedName>
    <definedName name="z_A7FLSL0150_MO_BlankRow_CCFS_1">Model!$811:$811</definedName>
    <definedName name="z_A7FLSL0150_MO_BlankRow_CCFS_2">Model!$831:$831</definedName>
    <definedName name="z_A7FLSL0150_MO_BlankRow_CCFS_3">Model!$834:$834</definedName>
    <definedName name="z_A7FLSL0150_MO_BlankRow_CCFS_4">Model!$840:$840</definedName>
    <definedName name="z_A7FLSL0150_MO_BlankRow_CCFS_5">Model!$837:$837</definedName>
    <definedName name="z_A7FLSL0150_MO_BlankRow_CFS_10">Model!$909:$909</definedName>
    <definedName name="z_A7FLSL0150_MO_BlankRow_CFS_2">Model!$870:$870</definedName>
    <definedName name="z_A7FLSL0150_MO_BlankRow_CFS_3">Model!$883:$883</definedName>
    <definedName name="z_A7FLSL0150_MO_BlankRow_CFS_4">Model!$903:$903</definedName>
    <definedName name="z_A7FLSL0150_MO_BlankRow_CFS_5">Model!$906:$906</definedName>
    <definedName name="z_A7FLSL0150_MO_BlankRow_CFS_6">Model!$912:$912</definedName>
    <definedName name="z_A7FLSL0150_MO_BlankRow_CFS_7">Model!$914:$914</definedName>
    <definedName name="z_A7FLSL0150_MO_BlankRow_CFSum">Model!$712:$712</definedName>
    <definedName name="z_A7FLSL0150_MO_BlankRow_CFSum_1">Model!$724:$724</definedName>
    <definedName name="z_A7FLSL0150_MO_BlankRow_CFSum_2">Model!$708:$708</definedName>
    <definedName name="z_A7FLSL0150_MO_BlankRow_CFSum_3">Model!$715:$715</definedName>
    <definedName name="z_A7FLSL0150_MO_BlankRow_DAF">Model!$921:$921</definedName>
    <definedName name="z_A7FLSL0150_MO_BlankRow_DAF_1">"Deleted"</definedName>
    <definedName name="z_A7FLSL0150_MO_BlankRow_DAF_2">Model!$927:$927</definedName>
    <definedName name="z_A7FLSL0150_MO_BlankRow_DAF_3">Model!$932:$932</definedName>
    <definedName name="z_A7FLSL0150_MO_BlankRow_DAF_4">Model!$938:$938</definedName>
    <definedName name="z_A7FLSL0150_MO_BlankRow_IS">Model!$308:$308</definedName>
    <definedName name="z_A7FLSL0150_MO_BlankRow_IS_1">Model!$310:$310</definedName>
    <definedName name="z_A7FLSL0150_MO_BlankRow_MA_10">Model!$288:$288</definedName>
    <definedName name="z_A7FLSL0150_MO_BlankRow_MA_2">Model!$748:$748</definedName>
    <definedName name="z_A7FLSL0150_MO_BlankRow_MA_3">Model!$763:$763</definedName>
    <definedName name="z_A7FLSL0150_MO_BlankRow_MA_4">Model!$768:$768</definedName>
    <definedName name="z_A7FLSL0150_MO_BlankRow_MA_5">Model!$755:$755</definedName>
    <definedName name="z_A7FLSL0150_MO_BlankRow_MA_6">Model!$271:$271</definedName>
    <definedName name="z_A7FLSL0150_MO_BlankRow_MA_7">Model!$276:$276</definedName>
    <definedName name="z_A7FLSL0150_MO_BlankRow_MA_8">Model!$281:$281</definedName>
    <definedName name="z_A7FLSL0150_MO_BlankRow_MA_9">Model!$290:$290</definedName>
    <definedName name="z_A7FLSL0150_MO_BlankRow_OS">Model!$39:$39</definedName>
    <definedName name="z_A7FLSL0150_MO_BlankRow_OS_1">Model!$143:$143</definedName>
    <definedName name="z_A7FLSL0150_MO_BlankRow_OS_10">Model!$164:$164</definedName>
    <definedName name="z_A7FLSL0150_MO_BlankRow_OS_100">'Exec Comp'!$110:$110</definedName>
    <definedName name="z_A7FLSL0150_MO_BlankRow_OS_101">'Exec Comp'!$116:$116</definedName>
    <definedName name="z_A7FLSL0150_MO_BlankRow_OS_102">'Exec Comp'!$123:$123</definedName>
    <definedName name="z_A7FLSL0150_MO_BlankRow_OS_103">'Exec Comp'!$128:$128</definedName>
    <definedName name="z_A7FLSL0150_MO_BlankRow_OS_104">Model!$490:$490</definedName>
    <definedName name="z_A7FLSL0150_MO_BlankRow_OS_105">Model!$495:$495</definedName>
    <definedName name="z_A7FLSL0150_MO_BlankRow_OS_106">Model!$500:$500</definedName>
    <definedName name="z_A7FLSL0150_MO_BlankRow_OS_107">Model!$505:$505</definedName>
    <definedName name="z_A7FLSL0150_MO_BlankRow_OS_108">Model!$510:$510</definedName>
    <definedName name="z_A7FLSL0150_MO_BlankRow_OS_109">Model!$18:$18</definedName>
    <definedName name="z_A7FLSL0150_MO_BlankRow_OS_11">Model!$183:$183</definedName>
    <definedName name="z_A7FLSL0150_MO_BlankRow_OS_110">"Deleted"</definedName>
    <definedName name="z_A7FLSL0150_MO_BlankRow_OS_111">Model!$242:$242</definedName>
    <definedName name="z_A7FLSL0150_MO_BlankRow_OS_112">Model!$244:$244</definedName>
    <definedName name="z_A7FLSL0150_MO_BlankRow_OS_113">Model!$213:$213</definedName>
    <definedName name="z_A7FLSL0150_MO_BlankRow_OS_12">Model!$211:$211</definedName>
    <definedName name="z_A7FLSL0150_MO_BlankRow_OS_13">Model!$217:$217</definedName>
    <definedName name="z_A7FLSL0150_MO_BlankRow_OS_14">Model!$219:$219</definedName>
    <definedName name="z_A7FLSL0150_MO_BlankRow_OS_15">Model!$237:$237</definedName>
    <definedName name="z_A7FLSL0150_MO_BlankRow_OS_17">Model!$249:$249</definedName>
    <definedName name="z_A7FLSL0150_MO_BlankRow_OS_18">Model!$267:$267</definedName>
    <definedName name="z_A7FLSL0150_MO_BlankRow_OS_19">Model!$485:$485</definedName>
    <definedName name="z_A7FLSL0150_MO_BlankRow_OS_2">Model!$204:$204</definedName>
    <definedName name="z_A7FLSL0150_MO_BlankRow_OS_20">Model!$488:$488</definedName>
    <definedName name="z_A7FLSL0150_MO_BlankRow_OS_21">Model!$10:$10</definedName>
    <definedName name="z_A7FLSL0150_MO_BlankRow_OS_22">Model!$14:$14</definedName>
    <definedName name="z_A7FLSL0150_MO_BlankRow_OS_23">Model!$25:$25</definedName>
    <definedName name="z_A7FLSL0150_MO_BlankRow_OS_24">Model!$29:$29</definedName>
    <definedName name="z_A7FLSL0150_MO_BlankRow_OS_25">Model!$33:$33</definedName>
    <definedName name="z_A7FLSL0150_MO_BlankRow_OS_26">Model!$42:$42</definedName>
    <definedName name="z_A7FLSL0150_MO_BlankRow_OS_27">Model!$50:$50</definedName>
    <definedName name="z_A7FLSL0150_MO_BlankRow_OS_28">Model!$63:$63</definedName>
    <definedName name="z_A7FLSL0150_MO_BlankRow_OS_29">Model!$68:$68</definedName>
    <definedName name="z_A7FLSL0150_MO_BlankRow_OS_3">Model!$944:$944</definedName>
    <definedName name="z_A7FLSL0150_MO_BlankRow_OS_30">Model!$78:$78</definedName>
    <definedName name="z_A7FLSL0150_MO_BlankRow_OS_31">Model!$83:$83</definedName>
    <definedName name="z_A7FLSL0150_MO_BlankRow_OS_32">Model!$104:$104</definedName>
    <definedName name="z_A7FLSL0150_MO_BlankRow_OS_33">Model!$115:$115</definedName>
    <definedName name="z_A7FLSL0150_MO_BlankRow_OS_34">Model!$130:$130</definedName>
    <definedName name="z_A7FLSL0150_MO_BlankRow_OS_35">Model!$252:$252</definedName>
    <definedName name="z_A7FLSL0150_MO_BlankRow_OS_36">Model!$93:$93</definedName>
    <definedName name="z_A7FLSL0150_MO_BlankRow_OS_37">Model!$98:$98</definedName>
    <definedName name="z_A7FLSL0150_MO_BlankRow_OS_38">Model!$155:$155</definedName>
    <definedName name="z_A7FLSL0150_MO_BlankRow_OS_39">Model!$178:$178</definedName>
    <definedName name="z_A7FLSL0150_MO_BlankRow_OS_4">Model!$949:$949</definedName>
    <definedName name="z_A7FLSL0150_MO_BlankRow_OS_40">Model!$194:$194</definedName>
    <definedName name="z_A7FLSL0150_MO_BlankRow_OS_41">"Deleted"</definedName>
    <definedName name="z_A7FLSL0150_MO_BlankRow_OS_42">"Deleted"</definedName>
    <definedName name="z_A7FLSL0150_MO_BlankRow_OS_43">"Deleted"</definedName>
    <definedName name="z_A7FLSL0150_MO_BlankRow_OS_44">Model!$443:$443</definedName>
    <definedName name="z_A7FLSL0150_MO_BlankRow_OS_45">Model!$446:$446</definedName>
    <definedName name="z_A7FLSL0150_MO_BlankRow_OS_46">Model!$448:$448</definedName>
    <definedName name="z_A7FLSL0150_MO_BlankRow_OS_47">Model!$460:$460</definedName>
    <definedName name="z_A7FLSL0150_MO_BlankRow_OS_48">Model!$473:$473</definedName>
    <definedName name="z_A7FLSL0150_MO_BlankRow_OS_49">Model!$476:$476</definedName>
    <definedName name="z_A7FLSL0150_MO_BlankRow_OS_5">"Deleted"</definedName>
    <definedName name="z_A7FLSL0150_MO_BlankRow_OS_50">Model!$481:$481</definedName>
    <definedName name="z_A7FLSL0150_MO_BlankRow_OS_51">Model!$483:$483</definedName>
    <definedName name="z_A7FLSL0150_MO_BlankRow_OS_52">"Deleted"</definedName>
    <definedName name="z_A7FLSL0150_MO_BlankRow_OS_53">Model!$515:$515</definedName>
    <definedName name="z_A7FLSL0150_MO_BlankRow_OS_54">Model!$435:$435</definedName>
    <definedName name="z_A7FLSL0150_MO_BlankRow_OS_55">Model!$454:$454</definedName>
    <definedName name="z_A7FLSL0150_MO_BlankRow_OS_56">Model!$466:$466</definedName>
    <definedName name="z_A7FLSL0150_MO_BlankRow_OS_57">Model!$479:$479</definedName>
    <definedName name="z_A7FLSL0150_MO_BlankRow_OS_58">Model!$112:$112</definedName>
    <definedName name="z_A7FLSL0150_MO_BlankRow_OS_59">Model!$526:$526</definedName>
    <definedName name="z_A7FLSL0150_MO_BlankRow_OS_6">"Deleted"</definedName>
    <definedName name="z_A7FLSL0150_MO_BlankRow_OS_60">Model!$534:$534</definedName>
    <definedName name="z_A7FLSL0150_MO_BlankRow_OS_61">Model!$541:$541</definedName>
    <definedName name="z_A7FLSL0150_MO_BlankRow_OS_62">Model!$551:$551</definedName>
    <definedName name="z_A7FLSL0150_MO_BlankRow_OS_63">Model!$559:$559</definedName>
    <definedName name="z_A7FLSL0150_MO_BlankRow_OS_64">Model!$566:$566</definedName>
    <definedName name="z_A7FLSL0150_MO_BlankRow_OS_65">Model!$576:$576</definedName>
    <definedName name="z_A7FLSL0150_MO_BlankRow_OS_66">Model!$583:$583</definedName>
    <definedName name="z_A7FLSL0150_MO_BlankRow_OS_67">Model!$597:$597</definedName>
    <definedName name="z_A7FLSL0150_MO_BlankRow_OS_68">Model!$601:$601</definedName>
    <definedName name="z_A7FLSL0150_MO_BlankRow_OS_69">Model!$611:$611</definedName>
    <definedName name="z_A7FLSL0150_MO_BlankRow_OS_7">Model!$136:$136</definedName>
    <definedName name="z_A7FLSL0150_MO_BlankRow_OS_70">Model!$616:$616</definedName>
    <definedName name="z_A7FLSL0150_MO_BlankRow_OS_71">Model!$620:$620</definedName>
    <definedName name="z_A7FLSL0150_MO_BlankRow_OS_72">Model!$630:$630</definedName>
    <definedName name="z_A7FLSL0150_MO_BlankRow_OS_73">Model!$637:$637</definedName>
    <definedName name="z_A7FLSL0150_MO_BlankRow_OS_74">Model!$645:$645</definedName>
    <definedName name="z_A7FLSL0150_MO_BlankRow_OS_75">Model!$659:$659</definedName>
    <definedName name="z_A7FLSL0150_MO_BlankRow_OS_76">Model!$670:$670</definedName>
    <definedName name="z_A7FLSL0150_MO_BlankRow_OS_77">Model!$674:$674</definedName>
    <definedName name="z_A7FLSL0150_MO_BlankRow_OS_78">Model!$684:$684</definedName>
    <definedName name="z_A7FLSL0150_MO_BlankRow_OS_79">Model!$692:$692</definedName>
    <definedName name="z_A7FLSL0150_MO_BlankRow_OS_8">Model!$141:$141</definedName>
    <definedName name="z_A7FLSL0150_MO_BlankRow_OS_80">Model!$693:$693</definedName>
    <definedName name="z_A7FLSL0150_MO_BlankRow_OS_81">Model!$222:$222</definedName>
    <definedName name="z_A7FLSL0150_MO_BlankRow_OS_82">Model!$224:$224</definedName>
    <definedName name="z_A7FLSL0150_MO_BlankRow_OS_83">Model!$261:$261</definedName>
    <definedName name="z_A7FLSL0150_MO_BlankRow_OS_84">"Deleted"</definedName>
    <definedName name="z_A7FLSL0150_MO_BlankRow_OS_85">Model!$232:$232</definedName>
    <definedName name="z_A7FLSL0150_MO_BlankRow_OS_86">'Exec Comp'!$14:$14</definedName>
    <definedName name="z_A7FLSL0150_MO_BlankRow_OS_87">'Exec Comp'!$17:$17</definedName>
    <definedName name="z_A7FLSL0150_MO_BlankRow_OS_88">'Exec Comp'!$20:$20</definedName>
    <definedName name="z_A7FLSL0150_MO_BlankRow_OS_89">'Exec Comp'!$23:$23</definedName>
    <definedName name="z_A7FLSL0150_MO_BlankRow_OS_9">Model!$159:$159</definedName>
    <definedName name="z_A7FLSL0150_MO_BlankRow_OS_90">'Exec Comp'!$26:$26</definedName>
    <definedName name="z_A7FLSL0150_MO_BlankRow_OS_91">'Exec Comp'!$29:$29</definedName>
    <definedName name="z_A7FLSL0150_MO_BlankRow_OS_92">'Exec Comp'!$32:$32</definedName>
    <definedName name="z_A7FLSL0150_MO_BlankRow_OS_93">'Exec Comp'!$35:$35</definedName>
    <definedName name="z_A7FLSL0150_MO_BlankRow_OS_94">'Exec Comp'!$39:$39</definedName>
    <definedName name="z_A7FLSL0150_MO_BlankRow_OS_95">'Exec Comp'!$46:$46</definedName>
    <definedName name="z_A7FLSL0150_MO_BlankRow_OS_96">'Exec Comp'!$50:$50</definedName>
    <definedName name="z_A7FLSL0150_MO_BlankRow_OS_97">'Exec Comp'!$56:$56</definedName>
    <definedName name="z_A7FLSL0150_MO_BlankRow_OS_98">'Exec Comp'!$59:$59</definedName>
    <definedName name="z_A7FLSL0150_MO_BlankRow_OS_99">'Exec Comp'!$105:$105</definedName>
    <definedName name="z_A7FLSL0150_MO_BlankRow_RIS">Model!$365:$365</definedName>
    <definedName name="z_A7FLSL0150_MO_BlankRow_RIS_1">Model!$372:$372</definedName>
    <definedName name="z_A7FLSL0150_MO_BlankRow_RIS_2">Model!$390:$390</definedName>
    <definedName name="z_A7FLSL0150_MO_BlankRow_RIS_3">Model!$394:$394</definedName>
    <definedName name="z_A7FLSL0150_MO_BlankRow_RIS_4">"Deleted"</definedName>
    <definedName name="z_A7FLSL0150_MO_BlankRow_RIS_5">Model!$417:$417</definedName>
    <definedName name="z_A7FLSL0150_MO_BlankRow_RIS_6">Model!$422:$422</definedName>
    <definedName name="z_A7FLSL0150_MO_BlankRow_RIS_7">Model!$427:$427</definedName>
    <definedName name="z_A7FLSL0150_MO_BlankRow_RIS_8">Model!$431:$431</definedName>
    <definedName name="z_A7FLSL0150_MO_BlankRow_SNA">Model!$1036:$1036</definedName>
    <definedName name="z_A7FLSL0150_MO_BlankRow_SNA_1">Model!$1038:$1038</definedName>
    <definedName name="z_A7FLSL0150_MO_BlankRow_SNA_10">Model!$1151:$1151</definedName>
    <definedName name="z_A7FLSL0150_MO_BlankRow_SNA_11">Model!$1158:$1158</definedName>
    <definedName name="z_A7FLSL0150_MO_BlankRow_SNA_12">Model!$1163:$1163</definedName>
    <definedName name="z_A7FLSL0150_MO_BlankRow_SNA_13">Model!$1181:$1181</definedName>
    <definedName name="z_A7FLSL0150_MO_BlankRow_SNA_14">Model!$1162:$1162</definedName>
    <definedName name="z_A7FLSL0150_MO_BlankRow_SNA_15">Model!$1079:$1079</definedName>
    <definedName name="z_A7FLSL0150_MO_BlankRow_SNA_16">Model!$1080:$1080</definedName>
    <definedName name="z_A7FLSL0150_MO_BlankRow_SNA_17">Model!$1096:$1096</definedName>
    <definedName name="z_A7FLSL0150_MO_BlankRow_SNA_18">Model!$1097:$1097</definedName>
    <definedName name="z_A7FLSL0150_MO_BlankRow_SNA_19">Model!$1114:$1114</definedName>
    <definedName name="z_A7FLSL0150_MO_BlankRow_SNA_2">Model!$1045:$1045</definedName>
    <definedName name="z_A7FLSL0150_MO_BlankRow_SNA_20">Model!$1115:$1115</definedName>
    <definedName name="z_A7FLSL0150_MO_BlankRow_SNA_3">Model!$1051:$1051</definedName>
    <definedName name="z_A7FLSL0150_MO_BlankRow_SNA_4">Model!$1058:$1058</definedName>
    <definedName name="z_A7FLSL0150_MO_BlankRow_SNA_5">Model!$1059:$1059</definedName>
    <definedName name="z_A7FLSL0150_MO_BlankRow_SNA_6">Model!$1126:$1126</definedName>
    <definedName name="z_A7FLSL0150_MO_BlankRow_SNA_7">Model!$1127:$1127</definedName>
    <definedName name="z_A7FLSL0150_MO_BlankRow_SNA_8">Model!$1137:$1137</definedName>
    <definedName name="z_A7FLSL0150_MO_BlankRow_SNA_9">Model!$1144:$1144</definedName>
    <definedName name="z_A7FLSL0150_MO_BS_Accountspayable">Model!$985:$985</definedName>
    <definedName name="z_A7FLSL0150_MO_BS_Accountsreceivable">Model!$954:$954</definedName>
    <definedName name="z_A7FLSL0150_MO_BS_Accruedandothercurrentliabilities">Model!$987:$987</definedName>
    <definedName name="z_A7FLSL0150_MO_BS_Accumulatedothercomprehensiveincomeloss">Model!$1005:$1005</definedName>
    <definedName name="z_A7FLSL0150_MO_BS_Acquisitionrelatedintangibleassets">Model!$968:$968</definedName>
    <definedName name="z_A7FLSL0150_MO_BS_Additionalpaidincapital">Model!$1003:$1003</definedName>
    <definedName name="z_A7FLSL0150_MO_BS_Advancedconsiderationforacquisition">Model!$977:$977</definedName>
    <definedName name="z_A7FLSL0150_MO_BS_BSCheck">Model!$1011:$1011</definedName>
    <definedName name="z_A7FLSL0150_MO_BS_capitalleaseobligations">Model!$995:$995</definedName>
    <definedName name="z_A7FLSL0150_MO_BS_cashandcashequivalents">Model!$952:$952</definedName>
    <definedName name="z_A7FLSL0150_MO_BS_commonstock">Model!$1002:$1002</definedName>
    <definedName name="z_A7FLSL0150_MO_BS_Convertibledebtconversionobligation">Model!$996:$996</definedName>
    <definedName name="z_A7FLSL0150_MO_BS_Convertiblelongtermdebt">Model!$992:$992</definedName>
    <definedName name="z_A7FLSL0150_MO_BS_Convertibleshorttermdebt">Model!$988:$988</definedName>
    <definedName name="z_A7FLSL0150_MO_BS_CurrentAssets">Model!$951:$951</definedName>
    <definedName name="z_A7FLSL0150_MO_BS_CurrentLiabilities">Model!$984:$984</definedName>
    <definedName name="z_A7FLSL0150_MO_BS_Deferredincometaxassets">Model!$971:$971</definedName>
    <definedName name="z_A7FLSL0150_MO_BS_deferredincometaxes">Model!$961:$961</definedName>
    <definedName name="z_A7FLSL0150_MO_BS_Deposits">Model!$978:$978</definedName>
    <definedName name="z_A7FLSL0150_MO_BS_Finishedgoods">Model!$957:$957</definedName>
    <definedName name="z_A7FLSL0150_MO_BS_Goodwill">Model!$967:$967</definedName>
    <definedName name="z_A7FLSL0150_MO_BS_Incometaxreceivable">Model!$975:$975</definedName>
    <definedName name="z_A7FLSL0150_MO_BS_Intangibleassets">Model!$970:$970</definedName>
    <definedName name="z_A7FLSL0150_MO_BS_Inventories">Model!$958:$958</definedName>
    <definedName name="z_A7FLSL0150_MO_BS_Investmentinnonaffiliatedentities">Model!$974:$974</definedName>
    <definedName name="z_A7FLSL0150_MO_BS_Longtermoperatingleaseliabilities">Model!$993:$993</definedName>
    <definedName name="z_A7FLSL0150_MO_BS_marketablesecurities">Model!$953:$953</definedName>
    <definedName name="z_A7FLSL0150_MO_BS_NCI">Model!$1008:$1008</definedName>
    <definedName name="z_A7FLSL0150_MO_BS_NetIncomeonReportedISNIonRevised">Model!$1015:$1015</definedName>
    <definedName name="z_A7FLSL0150_MO_BS_NetIncomeonRevisedISNIonCFstatement">Model!$1014:$1014</definedName>
    <definedName name="z_A7FLSL0150_MO_BS_NonCurrentAssets">Model!$964:$964</definedName>
    <definedName name="z_A7FLSL0150_MO_BS_NonCurrentLiabilities">Model!$991:$991</definedName>
    <definedName name="z_A7FLSL0150_MO_BS_Operatingleaseassets">Model!$966:$966</definedName>
    <definedName name="z_A7FLSL0150_MO_BS_Otherassets">Model!$980:$980</definedName>
    <definedName name="z_A7FLSL0150_MO_BS_Otherassets_1">Model!$979:$979</definedName>
    <definedName name="z_A7FLSL0150_MO_BS_Otherlongtermliabilities">Model!$994:$994</definedName>
    <definedName name="z_A7FLSL0150_MO_BS_Patentsandlicensedtechnology">Model!$969:$969</definedName>
    <definedName name="z_A7FLSL0150_MO_BS_preferredstock">Model!$1001:$1001</definedName>
    <definedName name="z_A7FLSL0150_MO_BS_Prepaidcloudservices">Model!$976:$976</definedName>
    <definedName name="z_A7FLSL0150_MO_BS_Prepaidexpensesandothercurrentassets">Model!$960:$960</definedName>
    <definedName name="z_A7FLSL0150_MO_BS_Prepaidroyalties">Model!$973:$973</definedName>
    <definedName name="z_A7FLSL0150_MO_BS_Prepaidsupplyagreements">Model!$972:$972</definedName>
    <definedName name="z_A7FLSL0150_MO_BS_Propertyandequipment">Model!$965:$965</definedName>
    <definedName name="z_A7FLSL0150_MO_BS_Rawmaterials">Model!$955:$955</definedName>
    <definedName name="z_A7FLSL0150_MO_BS_Restrictedcash">Model!$959:$959</definedName>
    <definedName name="z_A7FLSL0150_MO_BS_retainedearnings">Model!$1006:$1006</definedName>
    <definedName name="z_A7FLSL0150_MO_BS_ShareholdersEquity">Model!$1000:$1000</definedName>
    <definedName name="z_A7FLSL0150_MO_BS_Shorttermoperatingleaseliabilities">Model!$986:$986</definedName>
    <definedName name="z_A7FLSL0150_MO_BS_TotalAssets">Model!$982:$982</definedName>
    <definedName name="z_A7FLSL0150_MO_BS_TotalCurrentAssets">Model!$962:$962</definedName>
    <definedName name="z_A7FLSL0150_MO_BS_TotalCurrentLiabilities">Model!$989:$989</definedName>
    <definedName name="z_A7FLSL0150_MO_BS_TotalLiabilities">Model!$998:$998</definedName>
    <definedName name="z_A7FLSL0150_MO_BS_TotalLiabilitiesSE">Model!$1009:$1009</definedName>
    <definedName name="z_A7FLSL0150_MO_BS_TotalNonCurrentAssets">Model!$981:$981</definedName>
    <definedName name="z_A7FLSL0150_MO_BS_TotalNonCurrentliabilities">Model!$997:$997</definedName>
    <definedName name="z_A7FLSL0150_MO_BS_TotalSE">Model!$1007:$1007</definedName>
    <definedName name="z_A7FLSL0150_MO_BS_treasurystock">Model!$1004:$1004</definedName>
    <definedName name="z_A7FLSL0150_MO_BS_Workinprocess">Model!$956:$956</definedName>
    <definedName name="z_A7FLSL0150_MO_BSS_Cash">Model!$726:$726</definedName>
    <definedName name="z_A7FLSL0150_MO_BSS_Debt">Model!$729:$729</definedName>
    <definedName name="z_A7FLSL0150_MO_BSS_DebtCashFlow">Model!$742:$742</definedName>
    <definedName name="z_A7FLSL0150_MO_BSS_DebtEBITDA">Model!$741:$741</definedName>
    <definedName name="z_A7FLSL0150_MO_BSS_EBITDANetInterestExpense">Model!$740:$740</definedName>
    <definedName name="z_A7FLSL0150_MO_BSS_EffectiveInterestRateonCash">Model!$736:$736</definedName>
    <definedName name="z_A7FLSL0150_MO_BSS_EffectiveInterestRateonDebt">Model!$734:$734</definedName>
    <definedName name="z_A7FLSL0150_MO_BSS_EffectiveNetInterestRateonDebt">Model!$738:$738</definedName>
    <definedName name="z_A7FLSL0150_MO_BSS_InterestExpense">Model!$733:$733</definedName>
    <definedName name="z_A7FLSL0150_MO_BSS_InterestIncome">Model!$735:$735</definedName>
    <definedName name="z_A7FLSL0150_MO_BSS_LTDebt">Model!$728:$728</definedName>
    <definedName name="z_A7FLSL0150_MO_BSS_NetDebt">Model!$731:$731</definedName>
    <definedName name="z_A7FLSL0150_MO_BSS_NetInterestExpenseIncome">Model!$737:$737</definedName>
    <definedName name="z_A7FLSL0150_MO_BSS_OperatingLeaseLiabilities">Model!$730:$730</definedName>
    <definedName name="z_A7FLSL0150_MO_BSS_STDebt">Model!$727:$727</definedName>
    <definedName name="z_A7FLSL0150_MO_CCFS_accountspayable">Model!$794:$794</definedName>
    <definedName name="z_A7FLSL0150_MO_CCFS_accountsreceivable">Model!$789:$789</definedName>
    <definedName name="z_A7FLSL0150_MO_CCFS_Accruedandothercurrentliabilities">Model!$795:$795</definedName>
    <definedName name="z_A7FLSL0150_MO_CCFS_Acquisitionofbusinesses">Model!$806:$806</definedName>
    <definedName name="z_A7FLSL0150_MO_CCFS_Acquisitionterminationcost">Model!$773:$773</definedName>
    <definedName name="z_A7FLSL0150_MO_CCFS_Amortizationofdebtdiscount">Model!$777:$777</definedName>
    <definedName name="z_A7FLSL0150_MO_CCFS_BeginningCashBalance">Model!$835:$835</definedName>
    <definedName name="z_A7FLSL0150_MO_CCFS_Cashpaidforinterest">Model!$838:$838</definedName>
    <definedName name="z_A7FLSL0150_MO_CCFS_Cashreceivedpaidforincometaxes">Model!$839:$839</definedName>
    <definedName name="z_A7FLSL0150_MO_CCFS_CFF">Model!$812:$812</definedName>
    <definedName name="z_A7FLSL0150_MO_CCFS_CFI">Model!$799:$799</definedName>
    <definedName name="z_A7FLSL0150_MO_CCFS_CFO">Model!$770:$770</definedName>
    <definedName name="z_A7FLSL0150_MO_CCFS_CFObeforeWC">Model!$788:$788</definedName>
    <definedName name="z_A7FLSL0150_MO_CCFS_deferredincometaxes">Model!$780:$780</definedName>
    <definedName name="z_A7FLSL0150_MO_CCFS_Depositsandotherassets">Model!$792:$792</definedName>
    <definedName name="z_A7FLSL0150_MO_CCFS_depreciationandamortization">Model!$774:$774</definedName>
    <definedName name="z_A7FLSL0150_MO_CCFS_Dividendspaid">Model!$822:$822</definedName>
    <definedName name="z_A7FLSL0150_MO_CCFS_EndingCashBalance">Model!$836:$836</definedName>
    <definedName name="z_A7FLSL0150_MO_CCFS_FX">Model!$832:$832</definedName>
    <definedName name="z_A7FLSL0150_MO_CCFS_Gainslossesoninvestmentsinnonaffiliates">Model!$785:$785</definedName>
    <definedName name="z_A7FLSL0150_MO_CCFS_impairmentchargeoninvestments">Model!$787:$787</definedName>
    <definedName name="z_A7FLSL0150_MO_CCFS_inprocessresearchanddevelopmentexpenses">Model!$782:$782</definedName>
    <definedName name="z_A7FLSL0150_MO_CCFS_inventories">Model!$790:$790</definedName>
    <definedName name="z_A7FLSL0150_MO_CCFS_Investmentinnonaffiliates">Model!$808:$808</definedName>
    <definedName name="z_A7FLSL0150_MO_CCFS_Issuanceofdebtnetofissuancecosts">Model!$815:$815</definedName>
    <definedName name="z_A7FLSL0150_MO_CCFS_Lossonearlydebtconversion">Model!$779:$779</definedName>
    <definedName name="z_A7FLSL0150_MO_CCFS_NetCFF">Model!$830:$830</definedName>
    <definedName name="z_A7FLSL0150_MO_CCFS_NetCFI">Model!$810:$810</definedName>
    <definedName name="z_A7FLSL0150_MO_CCFS_NetCFO">Model!$797:$797</definedName>
    <definedName name="z_A7FLSL0150_MO_CCFS_NetChangeinCashBalance">Model!$833:$833</definedName>
    <definedName name="z_A7FLSL0150_MO_CCFS_netgainonsaleanddisposaloflonglivedassetsandinvestments">Model!$778:$778</definedName>
    <definedName name="z_A7FLSL0150_MO_CCFS_netincome">Model!$771:$771</definedName>
    <definedName name="z_A7FLSL0150_MO_CCFS_Other">Model!$786:$786</definedName>
    <definedName name="z_A7FLSL0150_MO_CCFS_Other_1">Model!$809:$809</definedName>
    <definedName name="z_A7FLSL0150_MO_CCFS_Other_2">Model!$829:$829</definedName>
    <definedName name="z_A7FLSL0150_MO_CCFS_Otherlongtermliabilities">Model!$796:$796</definedName>
    <definedName name="z_A7FLSL0150_MO_CCFS_Paymentofnotespayablefromacquisition">Model!$825:$825</definedName>
    <definedName name="z_A7FLSL0150_MO_CCFS_Paymentsfordebtissuancecosts">Model!$827:$827</definedName>
    <definedName name="z_A7FLSL0150_MO_CCFS_Paymentsofconvertibledebt">"Deleted"</definedName>
    <definedName name="z_A7FLSL0150_MO_CCFS_paymentsrelatedtorepurchasesofcommonstock">Model!$820:$820</definedName>
    <definedName name="z_A7FLSL0150_MO_CCFS_paymentsrelatedtostockoptionpurchase">Model!$813:$813</definedName>
    <definedName name="z_A7FLSL0150_MO_CCFS_paymentsrelatedtotaxonrestrictedstockunits">Model!$823:$823</definedName>
    <definedName name="z_A7FLSL0150_MO_CCFS_paymentsundercapitalleaseobligations">Model!$826:$826</definedName>
    <definedName name="z_A7FLSL0150_MO_CCFS_paymentsunderpatentlicensingarrangement">Model!$781:$781</definedName>
    <definedName name="z_A7FLSL0150_MO_CCFS_Prepaidexpensesandotherassets">Model!$793:$793</definedName>
    <definedName name="z_A7FLSL0150_MO_CCFS_Prepaidexpensesandothercurrentassets">Model!$791:$791</definedName>
    <definedName name="z_A7FLSL0150_MO_CCFS_Principalpaymentsonpropertyandequipment">Model!$828:$828</definedName>
    <definedName name="z_A7FLSL0150_MO_CCFS_proceedsfromissuanceofcommonstockunderemployeestockplans">Model!$818:$818</definedName>
    <definedName name="z_A7FLSL0150_MO_CCFS_proceedsfromissuanceofconvertiblenotes">Model!$814:$814</definedName>
    <definedName name="z_A7FLSL0150_MO_CCFS_proceedsfrommaturitiesofmarketablesecurities">Model!$802:$802</definedName>
    <definedName name="z_A7FLSL0150_MO_CCFS_proceedsfromsaleoflonglivedassetsandinvestments">Model!$805:$805</definedName>
    <definedName name="z_A7FLSL0150_MO_CCFS_proceedsfromsalesofmarketablesecurities">Model!$801:$801</definedName>
    <definedName name="z_A7FLSL0150_MO_CCFS_Proceedsfromsalesofnonmarketableequitysecurities">Model!$803:$803</definedName>
    <definedName name="z_A7FLSL0150_MO_CCFS_proceedsfromthesaleofcommonstockwarrants">Model!$817:$817</definedName>
    <definedName name="z_A7FLSL0150_MO_CCFS_purchaseofconvertiblenotehedges">Model!$816:$816</definedName>
    <definedName name="z_A7FLSL0150_MO_CCFS_purchasesofmarketablesecurities">Model!$800:$800</definedName>
    <definedName name="z_A7FLSL0150_MO_CCFS_purchasesofpropertyandequipmentandintangibleassets">Model!$804:$804</definedName>
    <definedName name="z_A7FLSL0150_MO_CCFS_reimbursementofheadquartersbuildingdevelopmentcostsfrombanks">Model!$807:$807</definedName>
    <definedName name="z_A7FLSL0150_MO_CCFS_repaymentofconvertiblenotes">Model!$821:$821</definedName>
    <definedName name="z_A7FLSL0150_MO_CCFS_Repaymentofdebt">Model!$819:$819</definedName>
    <definedName name="z_A7FLSL0150_MO_CCFS_Restructuringandothercharges">Model!$776:$776</definedName>
    <definedName name="z_A7FLSL0150_MO_CCFS_stockbasedcompensationexpense">Model!$775:$775</definedName>
    <definedName name="z_A7FLSL0150_MO_CCFS_stockbasedcompensationexpenserelatedtostockoptionpurchase">Model!$772:$772</definedName>
    <definedName name="z_A7FLSL0150_MO_CCFS_taxbenefitfromstockbasedcompensation">Model!$784:$784</definedName>
    <definedName name="z_A7FLSL0150_MO_CCFS_taxbenefitfromstockbasedcompensation_1">Model!$824:$824</definedName>
    <definedName name="z_A7FLSL0150_MO_CCFS_taxbenefitfromstockoptions">Model!$783:$783</definedName>
    <definedName name="z_A7FLSL0150_MO_CFS_accountspayable">Model!$866:$866</definedName>
    <definedName name="z_A7FLSL0150_MO_CFS_accountsreceivable">Model!$861:$861</definedName>
    <definedName name="z_A7FLSL0150_MO_CFS_Accruedandothercurrentliabilities">Model!$867:$867</definedName>
    <definedName name="z_A7FLSL0150_MO_CFS_Acquisitionofbusinesses">Model!$878:$878</definedName>
    <definedName name="z_A7FLSL0150_MO_CFS_Acquisitionterminationcost">Model!$845:$845</definedName>
    <definedName name="z_A7FLSL0150_MO_CFS_Amortizationofdebtdiscount">Model!$849:$849</definedName>
    <definedName name="z_A7FLSL0150_MO_CFS_BeginningCashBalance">Model!$907:$907</definedName>
    <definedName name="z_A7FLSL0150_MO_CFS_Cashpaidforinterest">Model!$910:$910</definedName>
    <definedName name="z_A7FLSL0150_MO_CFS_Cashreceivedpaidforincometaxes">Model!$911:$911</definedName>
    <definedName name="z_A7FLSL0150_MO_CFS_CFCheck">Model!$913:$913</definedName>
    <definedName name="z_A7FLSL0150_MO_CFS_CFF">Model!$884:$884</definedName>
    <definedName name="z_A7FLSL0150_MO_CFS_CFI">Model!$871:$871</definedName>
    <definedName name="z_A7FLSL0150_MO_CFS_CFO">Model!$842:$842</definedName>
    <definedName name="z_A7FLSL0150_MO_CFS_CFObeforeWC">Model!$860:$860</definedName>
    <definedName name="z_A7FLSL0150_MO_CFS_deferredincometaxes">Model!$852:$852</definedName>
    <definedName name="z_A7FLSL0150_MO_CFS_Depositsandotherassets">Model!$864:$864</definedName>
    <definedName name="z_A7FLSL0150_MO_CFS_depreciationandamortization">Model!$846:$846</definedName>
    <definedName name="z_A7FLSL0150_MO_CFS_Dividendspaid">Model!$894:$894</definedName>
    <definedName name="z_A7FLSL0150_MO_CFS_EndingCashBalance">Model!$908:$908</definedName>
    <definedName name="z_A7FLSL0150_MO_CFS_FX">Model!$904:$904</definedName>
    <definedName name="z_A7FLSL0150_MO_CFS_Gainslossesoninvestmentsinnonaffiliates">Model!$857:$857</definedName>
    <definedName name="z_A7FLSL0150_MO_CFS_impairmentchargeoninvestments">Model!$859:$859</definedName>
    <definedName name="z_A7FLSL0150_MO_CFS_inprocessresearchanddevelopmentexpenses">Model!$854:$854</definedName>
    <definedName name="z_A7FLSL0150_MO_CFS_inventories">Model!$862:$862</definedName>
    <definedName name="z_A7FLSL0150_MO_CFS_Investmentinnonaffiliates">Model!$880:$880</definedName>
    <definedName name="z_A7FLSL0150_MO_CFS_Issuanceofdebtnetofissuancecosts">Model!$887:$887</definedName>
    <definedName name="z_A7FLSL0150_MO_CFS_Lossonearlydebtconversion">Model!$851:$851</definedName>
    <definedName name="z_A7FLSL0150_MO_CFS_NetCFF">Model!$902:$902</definedName>
    <definedName name="z_A7FLSL0150_MO_CFS_NetCFI">Model!$882:$882</definedName>
    <definedName name="z_A7FLSL0150_MO_CFS_NetCFO">Model!$869:$869</definedName>
    <definedName name="z_A7FLSL0150_MO_CFS_NetChangeinCashBalance">Model!$905:$905</definedName>
    <definedName name="z_A7FLSL0150_MO_CFS_netgainonsaleanddisposaloflonglivedassetsandinvestments">Model!$850:$850</definedName>
    <definedName name="z_A7FLSL0150_MO_CFS_netincome">Model!$843:$843</definedName>
    <definedName name="z_A7FLSL0150_MO_CFS_Other">Model!$858:$858</definedName>
    <definedName name="z_A7FLSL0150_MO_CFS_Other_1">Model!$881:$881</definedName>
    <definedName name="z_A7FLSL0150_MO_CFS_Other_2">Model!$901:$901</definedName>
    <definedName name="z_A7FLSL0150_MO_CFS_Otherlongtermliabilities">Model!$868:$868</definedName>
    <definedName name="z_A7FLSL0150_MO_CFS_Paymentofnotespayablefromacquisition">Model!$897:$897</definedName>
    <definedName name="z_A7FLSL0150_MO_CFS_Paymentsfordebtissuancecosts">Model!$899:$899</definedName>
    <definedName name="z_A7FLSL0150_MO_CFS_Paymentsofconvertibledebt">"Deleted"</definedName>
    <definedName name="z_A7FLSL0150_MO_CFS_Paymentsrelatedtorepurchasesofcommonstock">Model!$892:$892</definedName>
    <definedName name="z_A7FLSL0150_MO_CFS_paymentsrelatedtostockoptionpurchase">Model!$885:$885</definedName>
    <definedName name="z_A7FLSL0150_MO_CFS_paymentsrelatedtotaxonrestrictedstockunits">Model!$895:$895</definedName>
    <definedName name="z_A7FLSL0150_MO_CFS_paymentsundercapitalleaseobligations">Model!$898:$898</definedName>
    <definedName name="z_A7FLSL0150_MO_CFS_paymentsunderpatentlicensingarrangement">Model!$853:$853</definedName>
    <definedName name="z_A7FLSL0150_MO_CFS_Prepaidexpensesandotherassets">Model!$865:$865</definedName>
    <definedName name="z_A7FLSL0150_MO_CFS_Prepaidexpensesandothercurrentassets">Model!$863:$863</definedName>
    <definedName name="z_A7FLSL0150_MO_CFS_Principalpaymentsonpropertyandequipment">Model!$900:$900</definedName>
    <definedName name="z_A7FLSL0150_MO_CFS_proceedsfromissuanceofcommonstockunderemployeestockplans">Model!$890:$890</definedName>
    <definedName name="z_A7FLSL0150_MO_CFS_proceedsfromissuanceofconvertiblenotes">Model!$886:$886</definedName>
    <definedName name="z_A7FLSL0150_MO_CFS_proceedsfrommaturitiesofmarketablesecurities">Model!$874:$874</definedName>
    <definedName name="z_A7FLSL0150_MO_CFS_proceedsfromsaleoflonglivedassetsandinvestments">Model!$877:$877</definedName>
    <definedName name="z_A7FLSL0150_MO_CFS_proceedsfromsalesofmarketablesecurities">Model!$873:$873</definedName>
    <definedName name="z_A7FLSL0150_MO_CFS_Proceedsfromsalesofnonmarketableequitysecurities">Model!$875:$875</definedName>
    <definedName name="z_A7FLSL0150_MO_CFS_proceedsfromthesaleofcommonstockwarrants">Model!$889:$889</definedName>
    <definedName name="z_A7FLSL0150_MO_CFS_purchaseofconvertiblenotehedges">Model!$888:$888</definedName>
    <definedName name="z_A7FLSL0150_MO_CFS_purchasesofmarketablesecurities">Model!$872:$872</definedName>
    <definedName name="z_A7FLSL0150_MO_CFS_purchasesofpropertyandequipmentandintangibleassets">Model!$876:$876</definedName>
    <definedName name="z_A7FLSL0150_MO_CFS_reimbursementofheadquartersbuildingdevelopmentcostsfrombanks">Model!$879:$879</definedName>
    <definedName name="z_A7FLSL0150_MO_CFS_repaymentofconvertiblenotes">Model!$893:$893</definedName>
    <definedName name="z_A7FLSL0150_MO_CFS_Repaymentofdebt">Model!$891:$891</definedName>
    <definedName name="z_A7FLSL0150_MO_CFS_Restructuringandothercharges">Model!$848:$848</definedName>
    <definedName name="z_A7FLSL0150_MO_CFS_stockbasedcompensationexpense">Model!$847:$847</definedName>
    <definedName name="z_A7FLSL0150_MO_CFS_stockbasedcompensationexpenserelatedtostockoptionpurchase">Model!$844:$844</definedName>
    <definedName name="z_A7FLSL0150_MO_CFS_taxbenefitfromstockbasedcompensation">Model!$856:$856</definedName>
    <definedName name="z_A7FLSL0150_MO_CFS_taxbenefitfromstockbasedcompensation_1">Model!$896:$896</definedName>
    <definedName name="z_A7FLSL0150_MO_CFS_taxbenefitfromstockoptions">Model!$855:$855</definedName>
    <definedName name="z_A7FLSL0150_MO_CFSum_Acquisitions">Model!$704:$704</definedName>
    <definedName name="z_A7FLSL0150_MO_CFSum_Capex">Model!$701:$701</definedName>
    <definedName name="z_A7FLSL0150_MO_CFSum_CashFlowPerDilutedShare">Model!$698:$698</definedName>
    <definedName name="z_A7FLSL0150_MO_CFSum_CashFlowPerDilutedShare_1">Model!$699:$699</definedName>
    <definedName name="z_A7FLSL0150_MO_CFSum_ChangeinWorkingCapital">Model!$696:$696</definedName>
    <definedName name="z_A7FLSL0150_MO_CFSum_ConsensusEstimatesCapex">Model!$702:$702</definedName>
    <definedName name="z_A7FLSL0150_MO_CFSum_consensusestimatescashflowperdilutedshare">Model!$700:$700</definedName>
    <definedName name="z_A7FLSL0150_MO_CFSum_Divestiture">Model!$705:$705</definedName>
    <definedName name="z_A7FLSL0150_MO_CFSum_DividendPaid">Model!$706:$706</definedName>
    <definedName name="z_A7FLSL0150_MO_CFSum_DividendPerShare">Model!$707:$707</definedName>
    <definedName name="z_A7FLSL0150_MO_CFSum_EstimatedSharePriceforIssuanceBuybacks">Model!$711:$711</definedName>
    <definedName name="z_A7FLSL0150_MO_CFSum_FCF">Model!$716:$716</definedName>
    <definedName name="z_A7FLSL0150_MO_CFSum_FCF_1">Model!$717:$717</definedName>
    <definedName name="z_A7FLSL0150_MO_CFSum_FCF_2">Model!$718:$718</definedName>
    <definedName name="z_A7FLSL0150_MO_CFSum_FCF_4">Model!$720:$720</definedName>
    <definedName name="z_A7FLSL0150_MO_CFSum_FCFPostDiv_1">Model!$721:$721</definedName>
    <definedName name="z_A7FLSL0150_MO_CFSum_FCFPostDiv_2">Model!$722:$722</definedName>
    <definedName name="z_A7FLSL0150_MO_CFSum_FCFPostDivDebtBuyback">Model!$719:$719</definedName>
    <definedName name="z_A7FLSL0150_MO_CFSum_FCFPostDivDebtBuyback_1">Model!$723:$723</definedName>
    <definedName name="z_A7FLSL0150_MO_CFSum_GuidanceCapex">Model!$703:$703</definedName>
    <definedName name="z_A7FLSL0150_MO_CFSum_NetDebtIssuanceRepayment">Model!$709:$709</definedName>
    <definedName name="z_A7FLSL0150_MO_CFSum_NetShareIssuanceBuybacks">Model!$710:$710</definedName>
    <definedName name="z_A7FLSL0150_MO_CFSum_OperatingCashFlowafterWC">Model!$697:$697</definedName>
    <definedName name="z_A7FLSL0150_MO_CFSum_OperatingCashFlowbeforeWC">Model!$695:$695</definedName>
    <definedName name="z_A7FLSL0150_MO_CFSum_SBCexpense">Model!$713:$713</definedName>
    <definedName name="z_A7FLSL0150_MO_CFSum_SBCexpenseasofrevenue">Model!$714:$714</definedName>
    <definedName name="z_A7FLSL0150_MO_Checks_SNA_AdjustedNumbersFYSumofQs">Model!$1026:$1026</definedName>
    <definedName name="z_A7FLSL0150_MO_Checks_SNA_BalanceSheetisnotRepeated">Model!$1022:$1022</definedName>
    <definedName name="z_A7FLSL0150_MO_Checks_SNA_CapexisUpdated">Model!$1024:$1024</definedName>
    <definedName name="z_A7FLSL0150_MO_Checks_SNA_CashFlowisnotRepeated">Model!$1020:$1020</definedName>
    <definedName name="z_A7FLSL0150_MO_Checks_SNA_CashFlowSummarySignsareCorrect">Model!$1028:$1028</definedName>
    <definedName name="z_A7FLSL0150_MO_Checks_SNA_CashisPositive">Model!$1016:$1016</definedName>
    <definedName name="z_A7FLSL0150_MO_Checks_SNA_CFFsubtotalFYSumofQs">Model!$1034:$1034</definedName>
    <definedName name="z_A7FLSL0150_MO_Checks_SNA_CFIsubtotalFYSumofQs">Model!$1033:$1033</definedName>
    <definedName name="z_A7FLSL0150_MO_Checks_SNA_CFOBeforeWCsubtotalFYSumofQs">Model!$1031:$1031</definedName>
    <definedName name="z_A7FLSL0150_MO_Checks_SNA_CFOsubtotalFYSumofQs">Model!$1032:$1032</definedName>
    <definedName name="z_A7FLSL0150_MO_Checks_SNA_CFSummaryFYSumofQs">Model!$1035:$1035</definedName>
    <definedName name="z_A7FLSL0150_MO_Checks_SNA_DebtisPositive">Model!$1017:$1017</definedName>
    <definedName name="z_A7FLSL0150_MO_Checks_SNA_EndingCFEndingCumulativeCF">Model!$1023:$1023</definedName>
    <definedName name="z_A7FLSL0150_MO_Checks_SNA_IncomeStatementisnotRepeated">Model!$1021:$1021</definedName>
    <definedName name="z_A7FLSL0150_MO_Checks_SNA_Marginaddsupto100">Model!$1027:$1027</definedName>
    <definedName name="z_A7FLSL0150_MO_Checks_SNA_MarginisUpdated">Model!$1025:$1025</definedName>
    <definedName name="z_A7FLSL0150_MO_Checks_SNA_RISAdjustedEBITAdjustedEBIT">Model!$1019:$1019</definedName>
    <definedName name="z_A7FLSL0150_MO_Checks_SNA_RISAdjustedNIFYSumofQs">Model!$1030:$1030</definedName>
    <definedName name="z_A7FLSL0150_MO_Checks_SNA_RISNIFYSumofQs">Model!$1029:$1029</definedName>
    <definedName name="z_A7FLSL0150_MO_Checks_SNA_SegmentedRevenueRevenue">Model!$1018:$1018</definedName>
    <definedName name="z_A7FLSL0150_MO_DAF_Additionstoacquiredintangibles">Model!$924:$924</definedName>
    <definedName name="z_A7FLSL0150_MO_DAF_AmortizationaspercentageofIntangiblesBoP">Model!$929:$929</definedName>
    <definedName name="z_A7FLSL0150_MO_DAF_Amortizationofintangibles">Model!$923:$923</definedName>
    <definedName name="z_A7FLSL0150_MO_DAF_CapexofPPE">Model!$918:$918</definedName>
    <definedName name="z_A7FLSL0150_MO_DAF_CapexofPPEandIntangibles">Model!$934:$934</definedName>
    <definedName name="z_A7FLSL0150_MO_DAF_DAofPPEandIntangibles">Model!$933:$933</definedName>
    <definedName name="z_A7FLSL0150_MO_DAF_DepreciationaspercentageofPPEBoP">Model!$928:$928</definedName>
    <definedName name="z_A7FLSL0150_MO_DAF_Depreciationoffixedassets">Model!$917:$917</definedName>
    <definedName name="z_A7FLSL0150_MO_DAF_Impliedlifeoffixedassets">Model!$930:$930</definedName>
    <definedName name="z_A7FLSL0150_MO_DAF_Impliedlifeofintangibles">Model!$931:$931</definedName>
    <definedName name="z_A7FLSL0150_MO_DAF_IntangiblesBoP">Model!$922:$922</definedName>
    <definedName name="z_A7FLSL0150_MO_DAF_IntangiblesEoP">Model!$926:$926</definedName>
    <definedName name="z_A7FLSL0150_MO_DAF_Othernetadditionstointangibles">Model!$925:$925</definedName>
    <definedName name="z_A7FLSL0150_MO_DAF_OthernetadditionstoPPE">Model!$919:$919</definedName>
    <definedName name="z_A7FLSL0150_MO_DAF_Percentageofacquisitionexpenditureallocatedtointangibleassets">Model!$937:$937</definedName>
    <definedName name="z_A7FLSL0150_MO_DAF_Percentageofcapexallocatedtointangibleassets">Model!$935:$935</definedName>
    <definedName name="z_A7FLSL0150_MO_DAF_PPEBoP">Model!$916:$916</definedName>
    <definedName name="z_A7FLSL0150_MO_DAF_PPEEoP">Model!$920:$920</definedName>
    <definedName name="z_A7FLSL0150_MO_DAF_TotalAcquisitions">Model!$936:$936</definedName>
    <definedName name="z_A7FLSL0150_MO_Header_ColumnHeader">Model!$5:$5</definedName>
    <definedName name="z_A7FLSL0150_MO_Header_CompanySubTitle">Model!$2:$2</definedName>
    <definedName name="z_A7FLSL0150_MO_Header_CompanyTitle">Model!$1:$1</definedName>
    <definedName name="z_A7FLSL0150_MO_Header_FPDays">Model!$3:$3</definedName>
    <definedName name="z_A7FLSL0150_MO_Header_HeaderRow">'Exec Comp'!$1:$1</definedName>
    <definedName name="z_A7FLSL0150_MO_Header_HeaderRow_1">'Exec Comp'!$2:$2</definedName>
    <definedName name="z_A7FLSL0150_MO_Header_HeaderRow_2">'Exec Comp'!$3:$3</definedName>
    <definedName name="z_A7FLSL0150_MO_Header_HeaderRow_3">'Exec Comp'!$4:$4</definedName>
    <definedName name="z_A7FLSL0150_MO_Header_HeaderRow_4">'Exec Comp'!$5:$5</definedName>
    <definedName name="z_A7FLSL0150_MO_Header_QEndDate">Model!$4:$4</definedName>
    <definedName name="z_A7FLSL0150_MO_IS_costofrevenue">Model!$293:$293</definedName>
    <definedName name="z_A7FLSL0150_MO_IS_grossprofit">Model!$294:$294</definedName>
    <definedName name="z_A7FLSL0150_MO_IS_incomebeforeincometaxexpense">Model!$305:$305</definedName>
    <definedName name="z_A7FLSL0150_MO_IS_incomefromoperations">Model!$301:$301</definedName>
    <definedName name="z_A7FLSL0150_MO_IS_incometaxexpense">Model!$306:$306</definedName>
    <definedName name="z_A7FLSL0150_MO_IS_interestexpense">Model!$303:$303</definedName>
    <definedName name="z_A7FLSL0150_MO_IS_interestincome">Model!$302:$302</definedName>
    <definedName name="z_A7FLSL0150_MO_IS_ISCheck">Model!$309:$309</definedName>
    <definedName name="z_A7FLSL0150_MO_IS_legalsettlement">Model!$298:$298</definedName>
    <definedName name="z_A7FLSL0150_MO_IS_netincome">Model!$307:$307</definedName>
    <definedName name="z_A7FLSL0150_MO_IS_Otherincome">Model!$304:$304</definedName>
    <definedName name="z_A7FLSL0150_MO_IS_researchanddevelopment">Model!$295:$295</definedName>
    <definedName name="z_A7FLSL0150_MO_IS_Restructuringandothercharges">Model!$299:$299</definedName>
    <definedName name="z_A7FLSL0150_MO_IS_RestructuringChargesandOther">Model!$297:$297</definedName>
    <definedName name="z_A7FLSL0150_MO_IS_revenue">Model!$292:$292</definedName>
    <definedName name="z_A7FLSL0150_MO_IS_sales">Model!$296:$296</definedName>
    <definedName name="z_A7FLSL0150_MO_IS_totaloperatingexpenses">Model!$300:$300</definedName>
    <definedName name="z_A7FLSL0150_MO_MA_AverageFXRate">Model!$760:$760</definedName>
    <definedName name="z_A7FLSL0150_MO_MA_CompanyReportedNonGAAPOperatingIncomeMargin">Model!$286:$286</definedName>
    <definedName name="z_A7FLSL0150_MO_MA_ConsensusEstimatesCompanyReportedNonGAAPOperatingIncomeMargin">Model!$287:$287</definedName>
    <definedName name="z_A7FLSL0150_MO_MA_ConsensusEstimatesGrossMargin">Model!$279:$279</definedName>
    <definedName name="z_A7FLSL0150_MO_MA_EoPFXRate">Model!$761:$761</definedName>
    <definedName name="z_A7FLSL0150_MO_MA_EVSalesAvg">Model!$750:$750</definedName>
    <definedName name="z_A7FLSL0150_MO_MA_GAAPCOGSMargin">Model!$269:$269</definedName>
    <definedName name="z_A7FLSL0150_MO_MA_GAAPGrossMargin">Model!$270:$270</definedName>
    <definedName name="z_A7FLSL0150_MO_MA_GAAPOperatingIncomeMargin">Model!$275:$275</definedName>
    <definedName name="z_A7FLSL0150_MO_MA_GAAPOPEXMargin">Model!$274:$274</definedName>
    <definedName name="z_A7FLSL0150_MO_MA_GAAPRDMargin">Model!$273:$273</definedName>
    <definedName name="z_A7FLSL0150_MO_MA_GAAPSGAMargin">Model!$272:$272</definedName>
    <definedName name="z_A7FLSL0150_MO_MA_GuidanceNonGAAPGrossMargin">Model!$280:$280</definedName>
    <definedName name="z_A7FLSL0150_MO_MA_NonGAAPCOGSMargin">Model!$277:$277</definedName>
    <definedName name="z_A7FLSL0150_MO_MA_NonGAAPEBITDAMargin">Model!$289:$289</definedName>
    <definedName name="z_A7FLSL0150_MO_MA_NonGAAPGrossMargin">Model!$278:$278</definedName>
    <definedName name="z_A7FLSL0150_MO_MA_NonGAAPOperatingIncomeMargin">Model!$285:$285</definedName>
    <definedName name="z_A7FLSL0150_MO_MA_NonGAAPOPEXMargin">Model!$284:$284</definedName>
    <definedName name="z_A7FLSL0150_MO_MA_NonGAAPRDMargin">Model!$283:$283</definedName>
    <definedName name="z_A7FLSL0150_MO_MA_NonGAAPSGAMargin">Model!$282:$282</definedName>
    <definedName name="z_A7FLSL0150_MO_MA_StockEoP">Model!$759:$759</definedName>
    <definedName name="z_A7FLSL0150_MO_MA_StockPriceTradingCurAvg">Model!$762:$762</definedName>
    <definedName name="z_A7FLSL0150_MO_OS_Accountspayable">"Deleted"</definedName>
    <definedName name="z_A7FLSL0150_MO_OS_Accountspayable_2">Model!$942:$942</definedName>
    <definedName name="z_A7FLSL0150_MO_OS_AccountspayableYYChange">Model!$947:$947</definedName>
    <definedName name="z_A7FLSL0150_MO_OS_Accountsreceivablenet">Model!$940:$940</definedName>
    <definedName name="z_A7FLSL0150_MO_OS_AccountsreceivablenetYYChange">Model!$945:$945</definedName>
    <definedName name="z_A7FLSL0150_MO_OS_Accruedandothercurrentliabilities">Model!$943:$943</definedName>
    <definedName name="z_A7FLSL0150_MO_OS_AccruedandothercurrentliabilitiesYYChange">Model!$948:$948</definedName>
    <definedName name="z_A7FLSL0150_MO_OS_Acquisitionrelatedandothercosts">Model!$147:$147</definedName>
    <definedName name="z_A7FLSL0150_MO_OS_Acquisitionrelatedandothercosts_1">Model!$170:$170</definedName>
    <definedName name="z_A7FLSL0150_MO_OS_AcquisitionrelatedcostsCOGS">Model!$53:$53</definedName>
    <definedName name="z_A7FLSL0150_MO_OS_AcquisitionrelatedcostsCOGSasofrevenue">Model!$54:$54</definedName>
    <definedName name="z_A7FLSL0150_MO_OS_AcquisitionrelatedcostsRD">Model!$71:$71</definedName>
    <definedName name="z_A7FLSL0150_MO_OS_AcquisitionrelatedcostsRDasofrevenue">Model!$72:$72</definedName>
    <definedName name="z_A7FLSL0150_MO_OS_AcquisitionrelatedcostsSGA">Model!$86:$86</definedName>
    <definedName name="z_A7FLSL0150_MO_OS_AcquisitionrelatedcostsSGAasofrevenue">Model!$87:$87</definedName>
    <definedName name="z_A7FLSL0150_MO_OS_Acquisitionrelatedintangibleassets">"Deleted"</definedName>
    <definedName name="z_A7FLSL0150_MO_OS_Acquisitionterminationcost">Model!$145:$145</definedName>
    <definedName name="z_A7FLSL0150_MO_OS_Additionduetobusinesscombinations">Model!$208:$208</definedName>
    <definedName name="z_A7FLSL0150_MO_OS_Additionofrepurchaseauthorized_3">Model!$509:$509</definedName>
    <definedName name="z_A7FLSL0150_MO_OS_Additionofrepurchaseauthorizedmonth1">Model!$506:$506</definedName>
    <definedName name="z_A7FLSL0150_MO_OS_Additionofrepurchaseauthorizedmonth2">Model!$507:$507</definedName>
    <definedName name="z_A7FLSL0150_MO_OS_Additionofrepurchaseauthorizedmonth3">Model!$508:$508</definedName>
    <definedName name="z_A7FLSL0150_MO_OS_AllOtherDepreciationandamortization">Model!$162:$162</definedName>
    <definedName name="z_A7FLSL0150_MO_OS_AllOtherOperatingIncomeloss">Model!$153:$153</definedName>
    <definedName name="z_A7FLSL0150_MO_OS_AllOtherOperatingIncomeloss_1">Model!$176:$176</definedName>
    <definedName name="z_A7FLSL0150_MO_OS_AllOtherOperatingIncomeMargin">Model!$181:$181</definedName>
    <definedName name="z_A7FLSL0150_MO_OS_AllOtherRevenue">Model!$139:$139</definedName>
    <definedName name="z_A7FLSL0150_MO_OS_AllOtherRevenue_1">Model!$167:$167</definedName>
    <definedName name="z_A7FLSL0150_MO_OS_automotiverevenue">Model!$26:$26</definedName>
    <definedName name="z_A7FLSL0150_MO_OS_AutomotiveRevenueGrowth">Model!$28:$28</definedName>
    <definedName name="z_A7FLSL0150_MO_OS_AutonomousmachinesTAM">Model!$227:$227</definedName>
    <definedName name="z_A7FLSL0150_MO_OS_Averagepriceofsharerepurchasedcalculated">Model!$499:$499</definedName>
    <definedName name="z_A7FLSL0150_MO_OS_Averagepriceofsharerepurchasedmonth1">Model!$496:$496</definedName>
    <definedName name="z_A7FLSL0150_MO_OS_Averagepriceofsharerepurchasedmonth2">Model!$497:$497</definedName>
    <definedName name="z_A7FLSL0150_MO_OS_Averagepriceofsharerepurchasedmonth3">Model!$498:$498</definedName>
    <definedName name="z_A7FLSL0150_MO_OS_BlackwellRevenue">Model!$40:$40</definedName>
    <definedName name="z_A7FLSL0150_MO_OS_BoPtotalstockoptionsoutstanding">Model!$455:$455</definedName>
    <definedName name="z_A7FLSL0150_MO_OS_BoPweightedaverageexerciseprice">Model!$467:$467</definedName>
    <definedName name="z_A7FLSL0150_MO_OS_Canalystfullydilutedsharesoutstanding">Model!$484:$484</definedName>
    <definedName name="z_A7FLSL0150_MO_OS_Canalystpotentiallydilutivecoverpagesharesoutstanding">Model!$489:$489</definedName>
    <definedName name="z_A7FLSL0150_MO_OS_Capexbeatmissvsmostrecentguidancemidpoint">Model!$549:$549</definedName>
    <definedName name="z_A7FLSL0150_MO_OS_Capexguidanceinitialmidpoint">Model!$543:$543</definedName>
    <definedName name="z_A7FLSL0150_MO_OS_Capexguidancemostrecentmidpoint">Model!$547:$547</definedName>
    <definedName name="z_A7FLSL0150_MO_OS_Capexguidanceupdate1midpoint">Model!$544:$544</definedName>
    <definedName name="z_A7FLSL0150_MO_OS_Capexguidanceupdate2midpoint">Model!$545:$545</definedName>
    <definedName name="z_A7FLSL0150_MO_OS_Capexguidanceupdate3midpoint">Model!$546:$546</definedName>
    <definedName name="z_A7FLSL0150_MO_OS_Capexreportedmodelestimate">Model!$548:$548</definedName>
    <definedName name="z_A7FLSL0150_MO_OS_CEOAllothercompensation">'Exec Comp'!$10:$10</definedName>
    <definedName name="z_A7FLSL0150_MO_OS_CEOBasePay">'Exec Comp'!$7:$7</definedName>
    <definedName name="z_A7FLSL0150_MO_OS_CEOcomptiedtoequity">'Exec Comp'!$12:$12</definedName>
    <definedName name="z_A7FLSL0150_MO_OS_CEOEoPsharesbeneficiallyowned">'Exec Comp'!$38:$38</definedName>
    <definedName name="z_A7FLSL0150_MO_OS_CEOEoPSharesIssuableWithin60days">'Exec Comp'!$37:$37</definedName>
    <definedName name="z_A7FLSL0150_MO_OS_CEOEoPsharesowned">'Exec Comp'!$36:$36</definedName>
    <definedName name="z_A7FLSL0150_MO_OS_CEONonequityincentiveplans">'Exec Comp'!$9:$9</definedName>
    <definedName name="z_A7FLSL0150_MO_OS_CEOOptions03172021exerciseprice">'Exec Comp'!$19:$19</definedName>
    <definedName name="z_A7FLSL0150_MO_OS_CEOOptions03172021ofunexercisedexercisableoptions">'Exec Comp'!$18:$18</definedName>
    <definedName name="z_A7FLSL0150_MO_OS_CEOOptions03192023exerciseprice">'Exec Comp'!$31:$31</definedName>
    <definedName name="z_A7FLSL0150_MO_OS_CEOOptions03192023ofunexercisedexercisableoptions">'Exec Comp'!$30:$30</definedName>
    <definedName name="z_A7FLSL0150_MO_OS_CEOOptions03202022exerciseprice">'Exec Comp'!$25:$25</definedName>
    <definedName name="z_A7FLSL0150_MO_OS_CEOOptions03202022ofunexercisedexercisableoptions">'Exec Comp'!$24:$24</definedName>
    <definedName name="z_A7FLSL0150_MO_OS_CEOOptions09142020exerciseprice">'Exec Comp'!$16:$16</definedName>
    <definedName name="z_A7FLSL0150_MO_OS_CEOOptions09142020ofunexercisedexercisableoptions">'Exec Comp'!$15:$15</definedName>
    <definedName name="z_A7FLSL0150_MO_OS_CEOOptions09172023exerciseprice">'Exec Comp'!$34:$34</definedName>
    <definedName name="z_A7FLSL0150_MO_OS_CEOOptions09172023ofunexercisedexcercisableoptions">'Exec Comp'!$33:$33</definedName>
    <definedName name="z_A7FLSL0150_MO_OS_CEOOptions09182022exerciseprice">'Exec Comp'!$28:$28</definedName>
    <definedName name="z_A7FLSL0150_MO_OS_CEOOptions09182022ofunexercisedexercisableoptions">'Exec Comp'!$27:$27</definedName>
    <definedName name="z_A7FLSL0150_MO_OS_CEOOptions09202021exerciseprice">'Exec Comp'!$22:$22</definedName>
    <definedName name="z_A7FLSL0150_MO_OS_CEOOptions09202021ofunexercisedexercisableoptions">'Exec Comp'!$21:$21</definedName>
    <definedName name="z_A7FLSL0150_MO_OS_CEOStockAwards">'Exec Comp'!$8:$8</definedName>
    <definedName name="z_A7FLSL0150_MO_OS_CEOStockOwnershipGuidelinestimesbasesalary">'Exec Comp'!$107:$107</definedName>
    <definedName name="z_A7FLSL0150_MO_OS_CEOTotalComp">'Exec Comp'!$11:$11</definedName>
    <definedName name="z_A7FLSL0150_MO_OS_CFOAllothercompensation">'Exec Comp'!$43:$43</definedName>
    <definedName name="z_A7FLSL0150_MO_OS_CFOBasePay">'Exec Comp'!$40:$40</definedName>
    <definedName name="z_A7FLSL0150_MO_OS_CFOcomptiedtoequity">'Exec Comp'!$45:$45</definedName>
    <definedName name="z_A7FLSL0150_MO_OS_CFOEoPsharesbeneficiallyowned">'Exec Comp'!$49:$49</definedName>
    <definedName name="z_A7FLSL0150_MO_OS_CFOEoPSharesIssuableWithin60days">'Exec Comp'!$48:$48</definedName>
    <definedName name="z_A7FLSL0150_MO_OS_CFOEoPsharesowned">'Exec Comp'!$47:$47</definedName>
    <definedName name="z_A7FLSL0150_MO_OS_CFONonequityincentiveplans">'Exec Comp'!$42:$42</definedName>
    <definedName name="z_A7FLSL0150_MO_OS_CFOStockAwards">'Exec Comp'!$41:$41</definedName>
    <definedName name="z_A7FLSL0150_MO_OS_CFOTotalComp">'Exec Comp'!$44:$44</definedName>
    <definedName name="z_A7FLSL0150_MO_OS_ChangeinDeferredRevenueBalance">Model!$212:$212</definedName>
    <definedName name="z_A7FLSL0150_MO_OS_ChangeinimpliedROYrevenue">Model!$619:$619</definedName>
    <definedName name="z_A7FLSL0150_MO_OS_chinarevenue">Model!$186:$186</definedName>
    <definedName name="z_A7FLSL0150_MO_OS_ChinaRevenue_1">Model!$196:$196</definedName>
    <definedName name="z_A7FLSL0150_MO_OS_CMPRevenue">Model!$41:$41</definedName>
    <definedName name="z_A7FLSL0150_MO_OS_CommonstockoutstandingEoP">Model!$436:$436</definedName>
    <definedName name="z_A7FLSL0150_MO_OS_ComputeNetworkingOperatingIncomeloss">Model!$144:$144</definedName>
    <definedName name="z_A7FLSL0150_MO_OS_ComputeNetworkingOperatingIncomeMargin">Model!$157:$157</definedName>
    <definedName name="z_A7FLSL0150_MO_OS_ComputeNetworkingrevenuemm">Model!$134:$134</definedName>
    <definedName name="z_A7FLSL0150_MO_OS_Computerevenue">Model!$15:$15</definedName>
    <definedName name="z_A7FLSL0150_MO_OS_ConsensusEstimatesNonGAAPGrossMargin">Model!$60:$60</definedName>
    <definedName name="z_A7FLSL0150_MO_OS_ConsensusEstimatesNonGAAPOperatingIncome">Model!$107:$107</definedName>
    <definedName name="z_A7FLSL0150_MO_OS_ConsensusEstimatesNonGAAPOperatingIncomeMargin">Model!$110:$110</definedName>
    <definedName name="z_A7FLSL0150_MO_OS_ConsensusEstimatesTotalRevenue">Model!$35:$35</definedName>
    <definedName name="z_A7FLSL0150_MO_OS_Contributions">Model!$171:$171</definedName>
    <definedName name="z_A7FLSL0150_MO_OS_Contributions_1">Model!$150:$150</definedName>
    <definedName name="z_A7FLSL0150_MO_OS_Costofrevenue">Model!$45:$45</definedName>
    <definedName name="z_A7FLSL0150_MO_OS_Coverpagecommonstockoutstanding">Model!$486:$486</definedName>
    <definedName name="z_A7FLSL0150_MO_OS_CumulativeBoPTotalStockOptionsOutstanding">Model!$449:$449</definedName>
    <definedName name="z_A7FLSL0150_MO_OS_CumulativeBoPWeightedAverageExercisePrice">Model!$461:$461</definedName>
    <definedName name="z_A7FLSL0150_MO_OS_CumulativeEoPTotalStockOptionsOutstanding">Model!$453:$453</definedName>
    <definedName name="z_A7FLSL0150_MO_OS_CumulativeEoPWeightedAverageExercisePrice">Model!$465:$465</definedName>
    <definedName name="z_A7FLSL0150_MO_OS_CumulativeExercisedAverageExercisePrice">Model!$463:$463</definedName>
    <definedName name="z_A7FLSL0150_MO_OS_CumulativeExercisedStockOptions">Model!$451:$451</definedName>
    <definedName name="z_A7FLSL0150_MO_OS_CumulativeForfeitedandCanceledAverageExercisePrice">Model!$464:$464</definedName>
    <definedName name="z_A7FLSL0150_MO_OS_CumulativeForfeitedandCanceledStockOptions">Model!$452:$452</definedName>
    <definedName name="z_A7FLSL0150_MO_OS_CumulativeGrantedAverageExercisePrice">Model!$462:$462</definedName>
    <definedName name="z_A7FLSL0150_MO_OS_CumulativeGrantedStockOptions">Model!$450:$450</definedName>
    <definedName name="z_A7FLSL0150_MO_OS_Currentinventorypurchaseandlongtermsupplyobligations">Model!$246:$246</definedName>
    <definedName name="z_A7FLSL0150_MO_OS_CurrentRPOs">Model!$214:$214</definedName>
    <definedName name="z_A7FLSL0150_MO_OS_CurrentRPOs_1">Model!$218:$218</definedName>
    <definedName name="z_A7FLSL0150_MO_OS_datacenterrevenue">Model!$22:$22</definedName>
    <definedName name="z_A7FLSL0150_MO_OS_DatacenterRevenueGrowth">Model!$24:$24</definedName>
    <definedName name="z_A7FLSL0150_MO_OS_DatacentersystemsTAM">Model!$229:$229</definedName>
    <definedName name="z_A7FLSL0150_MO_OS_Dateofcoverpagesharecount">Model!$487:$487</definedName>
    <definedName name="z_A7FLSL0150_MO_OS_DayssalesininventoryDSI">Model!$223:$223</definedName>
    <definedName name="z_A7FLSL0150_MO_OS_DayssalesoutstandingDSO">Model!$221:$221</definedName>
    <definedName name="z_A7FLSL0150_MO_OS_DeferredRevenueaddedduringtheperiod">Model!$207:$207</definedName>
    <definedName name="z_A7FLSL0150_MO_OS_DeferredRevenueBalanceatbeginningofperiod">Model!$206:$206</definedName>
    <definedName name="z_A7FLSL0150_MO_OS_DeferredRevenueBalanceatEndofperiod">Model!$210:$210</definedName>
    <definedName name="z_A7FLSL0150_MO_OS_Dilutedsharecounttobasicsharecountratio">Model!$445:$445</definedName>
    <definedName name="z_A7FLSL0150_MO_OS_Dilutiveshares">Model!$444:$444</definedName>
    <definedName name="z_A7FLSL0150_MO_OS_Dilutivesharesfromexercisedoptionstreasurymethod">Model!$472:$472</definedName>
    <definedName name="z_A7FLSL0150_MO_OS_Director10allothercomp">'Exec Comp'!$98:$98</definedName>
    <definedName name="z_A7FLSL0150_MO_OS_Director10cashcomp">'Exec Comp'!$70:$70</definedName>
    <definedName name="z_A7FLSL0150_MO_OS_Director10stockawardcomp">'Exec Comp'!$84:$84</definedName>
    <definedName name="z_A7FLSL0150_MO_OS_Director11allothercomp">'Exec Comp'!$99:$99</definedName>
    <definedName name="z_A7FLSL0150_MO_OS_Director11cashcomp">'Exec Comp'!$71:$71</definedName>
    <definedName name="z_A7FLSL0150_MO_OS_Director11stockawardcomp">'Exec Comp'!$85:$85</definedName>
    <definedName name="z_A7FLSL0150_MO_OS_Director12allothercomp">'Exec Comp'!$100:$100</definedName>
    <definedName name="z_A7FLSL0150_MO_OS_Director12cashcomp">'Exec Comp'!$72:$72</definedName>
    <definedName name="z_A7FLSL0150_MO_OS_Director12stockawardcomp">'Exec Comp'!$86:$86</definedName>
    <definedName name="z_A7FLSL0150_MO_OS_Director13allothercomp">'Exec Comp'!$101:$101</definedName>
    <definedName name="z_A7FLSL0150_MO_OS_Director13cashcomp">'Exec Comp'!$73:$73</definedName>
    <definedName name="z_A7FLSL0150_MO_OS_Director13stockawardcomp">'Exec Comp'!$87:$87</definedName>
    <definedName name="z_A7FLSL0150_MO_OS_Director1allothercomp">'Exec Comp'!$89:$89</definedName>
    <definedName name="z_A7FLSL0150_MO_OS_Director1cashcomp">'Exec Comp'!$61:$61</definedName>
    <definedName name="z_A7FLSL0150_MO_OS_Director1stockawardcomp">'Exec Comp'!$75:$75</definedName>
    <definedName name="z_A7FLSL0150_MO_OS_Director2allothercomp">'Exec Comp'!$90:$90</definedName>
    <definedName name="z_A7FLSL0150_MO_OS_Director2cashcomp">'Exec Comp'!$62:$62</definedName>
    <definedName name="z_A7FLSL0150_MO_OS_Director2stockawardcomp">'Exec Comp'!$76:$76</definedName>
    <definedName name="z_A7FLSL0150_MO_OS_Director3allothercomp">'Exec Comp'!$91:$91</definedName>
    <definedName name="z_A7FLSL0150_MO_OS_Director3cashcomp">'Exec Comp'!$63:$63</definedName>
    <definedName name="z_A7FLSL0150_MO_OS_Director3stockawardcomp">'Exec Comp'!$77:$77</definedName>
    <definedName name="z_A7FLSL0150_MO_OS_Director4allothercomp">'Exec Comp'!$92:$92</definedName>
    <definedName name="z_A7FLSL0150_MO_OS_Director4cashcomp">'Exec Comp'!$64:$64</definedName>
    <definedName name="z_A7FLSL0150_MO_OS_Director4stockawardcomp">'Exec Comp'!$78:$78</definedName>
    <definedName name="z_A7FLSL0150_MO_OS_Director5allothercomp">'Exec Comp'!$93:$93</definedName>
    <definedName name="z_A7FLSL0150_MO_OS_Director5cashcomp">'Exec Comp'!$65:$65</definedName>
    <definedName name="z_A7FLSL0150_MO_OS_Director5stockawardcomp">'Exec Comp'!$79:$79</definedName>
    <definedName name="z_A7FLSL0150_MO_OS_Director6allothercomp">'Exec Comp'!$94:$94</definedName>
    <definedName name="z_A7FLSL0150_MO_OS_Director6cashcomp">'Exec Comp'!$66:$66</definedName>
    <definedName name="z_A7FLSL0150_MO_OS_Director6stockawardcomp">'Exec Comp'!$80:$80</definedName>
    <definedName name="z_A7FLSL0150_MO_OS_Director7allothercomp">'Exec Comp'!$95:$95</definedName>
    <definedName name="z_A7FLSL0150_MO_OS_Director7cashcomp">'Exec Comp'!$67:$67</definedName>
    <definedName name="z_A7FLSL0150_MO_OS_Director7stockawardcomp">'Exec Comp'!$81:$81</definedName>
    <definedName name="z_A7FLSL0150_MO_OS_Director8allothercomp">'Exec Comp'!$96:$96</definedName>
    <definedName name="z_A7FLSL0150_MO_OS_Director8cashcomp">'Exec Comp'!$68:$68</definedName>
    <definedName name="z_A7FLSL0150_MO_OS_Director8stockawardcomp">'Exec Comp'!$82:$82</definedName>
    <definedName name="z_A7FLSL0150_MO_OS_Director9allothercomp">'Exec Comp'!$97:$97</definedName>
    <definedName name="z_A7FLSL0150_MO_OS_Director9cashcomp">'Exec Comp'!$69:$69</definedName>
    <definedName name="z_A7FLSL0150_MO_OS_Director9stockawardcomp">'Exec Comp'!$83:$83</definedName>
    <definedName name="z_A7FLSL0150_MO_OS_DirectorsStockOwneshershipGuidelinesbasesalary">'Exec Comp'!$109:$109</definedName>
    <definedName name="z_A7FLSL0150_MO_OS_Employeecount">Model!$236:$236</definedName>
    <definedName name="z_A7FLSL0150_MO_OS_Endofperiodstockprice">Model!$434:$434</definedName>
    <definedName name="z_A7FLSL0150_MO_OS_EoPESPPObligations">Model!$480:$480</definedName>
    <definedName name="z_A7FLSL0150_MO_OS_EoPRSUs_1">Model!$478:$478</definedName>
    <definedName name="z_A7FLSL0150_MO_OS_EoPRSUsPSUsandmarketbasedPSUs">Model!$477:$477</definedName>
    <definedName name="z_A7FLSL0150_MO_OS_EoPtotalstockoptionsexercisable">Model!$474:$474</definedName>
    <definedName name="z_A7FLSL0150_MO_OS_EoPtotalstockoptionsoutstanding">Model!$459:$459</definedName>
    <definedName name="z_A7FLSL0150_MO_OS_EoPweightedaverageexercisableoptionexerciseprice">Model!$475:$475</definedName>
    <definedName name="z_A7FLSL0150_MO_OS_EoPweightedaverageexerciseprice">Model!$471:$471</definedName>
    <definedName name="z_A7FLSL0150_MO_OS_europerevenue">Model!$190:$190</definedName>
    <definedName name="z_A7FLSL0150_MO_OS_EuropeRevenue_1">Model!$200:$200</definedName>
    <definedName name="z_A7FLSL0150_MO_OS_ExcessinventorypurchaseobligationsrelatedtoCOGS">Model!$240:$240</definedName>
    <definedName name="z_A7FLSL0150_MO_OS_Exercisedaverageexerciseprice">Model!$469:$469</definedName>
    <definedName name="z_A7FLSL0150_MO_OS_Exercisedstockoptions">Model!$457:$457</definedName>
    <definedName name="z_A7FLSL0150_MO_OS_Finishedgoods">"Deleted"</definedName>
    <definedName name="z_A7FLSL0150_MO_OS_Forfeitedandcanceledaverageexerciseprice">Model!$470:$470</definedName>
    <definedName name="z_A7FLSL0150_MO_OS_Forfeitedandcanceledstockoptions">Model!$458:$458</definedName>
    <definedName name="z_A7FLSL0150_MO_OS_ForwardannualCapexguidancehigh">Model!$562:$562</definedName>
    <definedName name="z_A7FLSL0150_MO_OS_ForwardannualCapexguidancelow">Model!$561:$561</definedName>
    <definedName name="z_A7FLSL0150_MO_OS_ForwardannualCapexguidancemidpoint">Model!$563:$563</definedName>
    <definedName name="z_A7FLSL0150_MO_OS_ForwardannualCapexguidancevariance">Model!$564:$564</definedName>
    <definedName name="z_A7FLSL0150_MO_OS_ForwardannualCapexguidancevariance_1">Model!$565:$565</definedName>
    <definedName name="z_A7FLSL0150_MO_OS_Forwardannualguidanceapplicableperiod">Model!$535:$535</definedName>
    <definedName name="z_A7FLSL0150_MO_OS_Forwardannualguidanceapplicableperiod_1">Model!$560:$560</definedName>
    <definedName name="z_A7FLSL0150_MO_OS_Forwardannualguidanceapplicableperiod_2">Model!$602:$602</definedName>
    <definedName name="z_A7FLSL0150_MO_OS_Forwardannualguidanceapplicableperiod_3">Model!$675:$675</definedName>
    <definedName name="z_A7FLSL0150_MO_OS_ForwardannualguidedYYnonGAAPgrossprofitgrowthhigh">Model!$682:$682</definedName>
    <definedName name="z_A7FLSL0150_MO_OS_ForwardannualguidedYYnonGAAPgrossprofitgrowthlow">Model!$681:$681</definedName>
    <definedName name="z_A7FLSL0150_MO_OS_ForwardannualguidedYYnonGAAPgrossprofitgrowthmidpoint">Model!$683:$683</definedName>
    <definedName name="z_A7FLSL0150_MO_OS_ForwardannualguidedYYnonGAAPgrossprofitmarginimprovementhigh">Model!$690:$690</definedName>
    <definedName name="z_A7FLSL0150_MO_OS_ForwardannualguidedYYnonGAAPgrossprofitmarginimprovementlow">Model!$689:$689</definedName>
    <definedName name="z_A7FLSL0150_MO_OS_ForwardannualguidedYYnonGAAPgrossprofitmarginimprovementmidpoint">Model!$691:$691</definedName>
    <definedName name="z_A7FLSL0150_MO_OS_ForwardannualguidedYYrevenuegrowthhigh">Model!$609:$609</definedName>
    <definedName name="z_A7FLSL0150_MO_OS_ForwardannualguidedYYrevenuegrowthlow">Model!$608:$608</definedName>
    <definedName name="z_A7FLSL0150_MO_OS_ForwardannualguidedYYrevenuegrowthmidpoint">Model!$610:$610</definedName>
    <definedName name="z_A7FLSL0150_MO_OS_ForwardannualnonGAAPgrossprofitguidancehigh">Model!$677:$677</definedName>
    <definedName name="z_A7FLSL0150_MO_OS_ForwardannualnonGAAPgrossprofitguidancelow">Model!$676:$676</definedName>
    <definedName name="z_A7FLSL0150_MO_OS_ForwardannualnonGAAPgrossprofitguidancemidpoint">Model!$678:$678</definedName>
    <definedName name="z_A7FLSL0150_MO_OS_ForwardannualnonGAAPgrossprofitguidancevariance">Model!$679:$679</definedName>
    <definedName name="z_A7FLSL0150_MO_OS_ForwardannualnonGAAPgrossprofitguidancevariance_1">Model!$680:$680</definedName>
    <definedName name="z_A7FLSL0150_MO_OS_ForwardannualnonGAAPgrossprofitmarginguidancehigh">Model!$686:$686</definedName>
    <definedName name="z_A7FLSL0150_MO_OS_ForwardannualnonGAAPgrossprofitmarginguidancelow">Model!$685:$685</definedName>
    <definedName name="z_A7FLSL0150_MO_OS_ForwardannualnonGAAPgrossprofitmarginguidancemidpoint">Model!$687:$687</definedName>
    <definedName name="z_A7FLSL0150_MO_OS_ForwardannualnonGAAPgrossprofitmarginguidancevariance">Model!$688:$688</definedName>
    <definedName name="z_A7FLSL0150_MO_OS_ForwardannualNonGAAPOperatingExpensesguidancehigh">Model!$537:$537</definedName>
    <definedName name="z_A7FLSL0150_MO_OS_ForwardannualNonGAAPOperatingExpensesguidancelow">Model!$536:$536</definedName>
    <definedName name="z_A7FLSL0150_MO_OS_ForwardannualNonGAAPOperatingExpensesguidancemidpoint">Model!$538:$538</definedName>
    <definedName name="z_A7FLSL0150_MO_OS_ForwardannualNonGAAPOperatingExpensesguidancevariance">Model!$539:$539</definedName>
    <definedName name="z_A7FLSL0150_MO_OS_ForwardannualNonGAAPOperatingExpensesguidancevariance_1">Model!$540:$540</definedName>
    <definedName name="z_A7FLSL0150_MO_OS_Forwardannualrevenueguidancehigh">Model!$604:$604</definedName>
    <definedName name="z_A7FLSL0150_MO_OS_Forwardannualrevenueguidancelow">Model!$603:$603</definedName>
    <definedName name="z_A7FLSL0150_MO_OS_Forwardannualrevenueguidancemidpoint">Model!$605:$605</definedName>
    <definedName name="z_A7FLSL0150_MO_OS_Forwardannualrevenueguidancevariance">Model!$606:$606</definedName>
    <definedName name="z_A7FLSL0150_MO_OS_Forwardannualrevenueguidancevariance_1">Model!$607:$607</definedName>
    <definedName name="z_A7FLSL0150_MO_OS_Forwardguidancereportdate">Model!$527:$527</definedName>
    <definedName name="z_A7FLSL0150_MO_OS_Forwardguidancereportdate_1">Model!$552:$552</definedName>
    <definedName name="z_A7FLSL0150_MO_OS_Forwardguidancereportdate_2">Model!$584:$584</definedName>
    <definedName name="z_A7FLSL0150_MO_OS_Forwardguidancereportdate_3">Model!$646:$646</definedName>
    <definedName name="z_A7FLSL0150_MO_OS_ForwardquarterlyCapexguidancehigh">Model!$555:$555</definedName>
    <definedName name="z_A7FLSL0150_MO_OS_ForwardquarterlyCapexguidancelow">Model!$554:$554</definedName>
    <definedName name="z_A7FLSL0150_MO_OS_ForwardquarterlyCapexguidancemidpoint">Model!$556:$556</definedName>
    <definedName name="z_A7FLSL0150_MO_OS_ForwardquarterlyCapexguidancevariance">Model!$557:$557</definedName>
    <definedName name="z_A7FLSL0150_MO_OS_ForwardquarterlyCapexguidancevariance_1">Model!$558:$558</definedName>
    <definedName name="z_A7FLSL0150_MO_OS_Forwardquarterlyguidanceapplicableperiod">Model!$528:$528</definedName>
    <definedName name="z_A7FLSL0150_MO_OS_Forwardquarterlyguidanceapplicableperiod_1">Model!$553:$553</definedName>
    <definedName name="z_A7FLSL0150_MO_OS_Forwardquarterlyguidanceapplicableperiod_2">Model!$585:$585</definedName>
    <definedName name="z_A7FLSL0150_MO_OS_Forwardquarterlyguidanceapplicableperiod_3">Model!$647:$647</definedName>
    <definedName name="z_A7FLSL0150_MO_OS_ForwardquarterlyguidedQQnonGAAPgrossprofitgrowthhigh">Model!$654:$654</definedName>
    <definedName name="z_A7FLSL0150_MO_OS_ForwardquarterlyguidedQQnonGAAPgrossprofitgrowthlow">Model!$653:$653</definedName>
    <definedName name="z_A7FLSL0150_MO_OS_ForwardquarterlyguidedQQnonGAAPgrossprofitgrowthmidpoint">Model!$655:$655</definedName>
    <definedName name="z_A7FLSL0150_MO_OS_ForwardquarterlyguidedQQnonGAAPgrossprofitmarginimprovementhigh">Model!$665:$665</definedName>
    <definedName name="z_A7FLSL0150_MO_OS_ForwardquarterlyguidedQQnonGAAPgrossprofitmarginimprovementlow">Model!$664:$664</definedName>
    <definedName name="z_A7FLSL0150_MO_OS_ForwardquarterlyguidedQQnonGAAPgrossprofitmarginimprovementmidpoint">Model!$666:$666</definedName>
    <definedName name="z_A7FLSL0150_MO_OS_ForwardquarterlyguidedQQrevenuegrowthhigh">Model!$592:$592</definedName>
    <definedName name="z_A7FLSL0150_MO_OS_ForwardquarterlyguidedQQrevenuegrowthlow">Model!$591:$591</definedName>
    <definedName name="z_A7FLSL0150_MO_OS_ForwardquarterlyguidedQQrevenuegrowthmidpoint">Model!$593:$593</definedName>
    <definedName name="z_A7FLSL0150_MO_OS_ForwardquarterlyguidedYYnonGAAPgrossprofitgrowthhigh">Model!$657:$657</definedName>
    <definedName name="z_A7FLSL0150_MO_OS_ForwardquarterlyguidedYYnonGAAPgrossprofitgrowthlow">Model!$656:$656</definedName>
    <definedName name="z_A7FLSL0150_MO_OS_ForwardquarterlyguidedYYnonGAAPgrossprofitgrowthmidpoint">Model!$658:$658</definedName>
    <definedName name="z_A7FLSL0150_MO_OS_ForwardquarterlyguidedYYnonGAAPgrossprofitmarginimprovementhigh">Model!$668:$668</definedName>
    <definedName name="z_A7FLSL0150_MO_OS_ForwardquarterlyguidedYYnonGAAPgrossprofitmarginimprovementlow">Model!$667:$667</definedName>
    <definedName name="z_A7FLSL0150_MO_OS_ForwardquarterlyguidedYYnonGAAPgrossprofitmarginimprovementmidpoint">Model!$669:$669</definedName>
    <definedName name="z_A7FLSL0150_MO_OS_ForwardquarterlyguidedYYrevenuegrowthhigh">Model!$595:$595</definedName>
    <definedName name="z_A7FLSL0150_MO_OS_ForwardquarterlyguidedYYrevenuegrowthlow">Model!$594:$594</definedName>
    <definedName name="z_A7FLSL0150_MO_OS_ForwardquarterlyguidedYYrevenuegrowthmidpoint">Model!$596:$596</definedName>
    <definedName name="z_A7FLSL0150_MO_OS_ForwardquarterlynonGAAPgrossprofitguidancehigh">Model!$649:$649</definedName>
    <definedName name="z_A7FLSL0150_MO_OS_ForwardquarterlynonGAAPgrossprofitguidancelow">Model!$648:$648</definedName>
    <definedName name="z_A7FLSL0150_MO_OS_ForwardquarterlynonGAAPgrossprofitguidancemidpoint">Model!$650:$650</definedName>
    <definedName name="z_A7FLSL0150_MO_OS_ForwardquarterlynonGAAPgrossprofitguidancevariance">Model!$651:$651</definedName>
    <definedName name="z_A7FLSL0150_MO_OS_ForwardquarterlynonGAAPgrossprofitguidancevariance_1">Model!$652:$652</definedName>
    <definedName name="z_A7FLSL0150_MO_OS_ForwardquarterlynonGAAPgrossprofitmarginguidancehigh">Model!$661:$661</definedName>
    <definedName name="z_A7FLSL0150_MO_OS_ForwardquarterlynonGAAPgrossprofitmarginguidancelow">Model!$660:$660</definedName>
    <definedName name="z_A7FLSL0150_MO_OS_ForwardquarterlynonGAAPgrossprofitmarginguidancemidpoint">Model!$662:$662</definedName>
    <definedName name="z_A7FLSL0150_MO_OS_ForwardquarterlynonGAAPgrossprofitmarginguidancevariance">Model!$663:$663</definedName>
    <definedName name="z_A7FLSL0150_MO_OS_ForwardquarterlyNonGAAPOperatingExpensesguidancehigh">Model!$530:$530</definedName>
    <definedName name="z_A7FLSL0150_MO_OS_ForwardquarterlyNonGAAPOperatingExpensesguidancelow">Model!$529:$529</definedName>
    <definedName name="z_A7FLSL0150_MO_OS_ForwardquarterlyNonGAAPOperatingExpensesguidancemidpoint">Model!$531:$531</definedName>
    <definedName name="z_A7FLSL0150_MO_OS_ForwardquarterlyNonGAAPOperatingExpensesguidancevariance">Model!$532:$532</definedName>
    <definedName name="z_A7FLSL0150_MO_OS_ForwardquarterlyNonGAAPOperatingExpensesguidancevariance_1">Model!$533:$533</definedName>
    <definedName name="z_A7FLSL0150_MO_OS_Forwardquarterlyrevenueguidancehigh">Model!$587:$587</definedName>
    <definedName name="z_A7FLSL0150_MO_OS_Forwardquarterlyrevenueguidancelow">Model!$586:$586</definedName>
    <definedName name="z_A7FLSL0150_MO_OS_Forwardquarterlyrevenueguidancemidpoint">Model!$588:$588</definedName>
    <definedName name="z_A7FLSL0150_MO_OS_Forwardquarterlyrevenueguidancevariance">Model!$589:$589</definedName>
    <definedName name="z_A7FLSL0150_MO_OS_Forwardquarterlyrevenueguidancevariance_1">Model!$590:$590</definedName>
    <definedName name="z_A7FLSL0150_MO_OS_Futureunconditionalpurchasecommitmentsduein1year">Model!$254:$254</definedName>
    <definedName name="z_A7FLSL0150_MO_OS_Futureunconditionalpurchasecommitmentsduein2years">Model!$255:$255</definedName>
    <definedName name="z_A7FLSL0150_MO_OS_Futureunconditionalpurchasecommitmentsduein3years">Model!$256:$256</definedName>
    <definedName name="z_A7FLSL0150_MO_OS_Futureunconditionalpurchasecommitmentsduein4year">Model!$257:$257</definedName>
    <definedName name="z_A7FLSL0150_MO_OS_Futureunconditionalpurchasecommitmentsduein5years">Model!$258:$258</definedName>
    <definedName name="z_A7FLSL0150_MO_OS_Futureunconditionalpurchasecommitmentsduein6years">Model!$259:$259</definedName>
    <definedName name="z_A7FLSL0150_MO_OS_GAAPGrossMargin">Model!$48:$48</definedName>
    <definedName name="z_A7FLSL0150_MO_OS_GAAPGrossProfit">Model!$46:$46</definedName>
    <definedName name="z_A7FLSL0150_MO_OS_GAAPOPEXExpense">Model!$94:$94</definedName>
    <definedName name="z_A7FLSL0150_MO_OS_GAAPOPEXMargin">Model!$96:$96</definedName>
    <definedName name="z_A7FLSL0150_MO_OS_GAAPRDExpense">Model!$64:$64</definedName>
    <definedName name="z_A7FLSL0150_MO_OS_GAAPRDMargin">Model!$66:$66</definedName>
    <definedName name="z_A7FLSL0150_MO_OS_GAAPSGAExpense">Model!$79:$79</definedName>
    <definedName name="z_A7FLSL0150_MO_OS_GAAPSGAMargin">Model!$81:$81</definedName>
    <definedName name="z_A7FLSL0150_MO_OS_gamingrevenue">Model!$7:$7</definedName>
    <definedName name="z_A7FLSL0150_MO_OS_GamingTAM">Model!$230:$230</definedName>
    <definedName name="z_A7FLSL0150_MO_OS_GPUDepreciationandamortization">Model!$160:$160</definedName>
    <definedName name="z_A7FLSL0150_MO_OS_GPUOperatingIncomeloss">Model!$165:$165</definedName>
    <definedName name="z_A7FLSL0150_MO_OS_GPUOperatingIncomeMargin">Model!$179:$179</definedName>
    <definedName name="z_A7FLSL0150_MO_OS_gpurevenue">Model!$137:$137</definedName>
    <definedName name="z_A7FLSL0150_MO_OS_gpurevenuegrowth">Model!$9:$9</definedName>
    <definedName name="z_A7FLSL0150_MO_OS_Grantedaverageexerciseprice">Model!$468:$468</definedName>
    <definedName name="z_A7FLSL0150_MO_OS_Grantedstockoptions">Model!$456:$456</definedName>
    <definedName name="z_A7FLSL0150_MO_OS_GraphicsOperatingIncomeMargin">Model!$156:$156</definedName>
    <definedName name="z_A7FLSL0150_MO_OS_Graphicsrevenuemm">Model!$133:$133</definedName>
    <definedName name="z_A7FLSL0150_MO_OS_GuidanceNonGAAPGrossMargin">Model!$61:$61</definedName>
    <definedName name="z_A7FLSL0150_MO_OS_GuidanceTotalNonGAAPOperatingExpenses">Model!$114:$114</definedName>
    <definedName name="z_A7FLSL0150_MO_OS_GuidanceTotalRevenue">Model!$36:$36</definedName>
    <definedName name="z_A7FLSL0150_MO_OS_ImpliedrestofyearrevenueatBoP">Model!$617:$617</definedName>
    <definedName name="z_A7FLSL0150_MO_OS_ImpliedrestofyearrevenueatEoP">Model!$618:$618</definedName>
    <definedName name="z_A7FLSL0150_MO_OS_IncreasedecreaseinrevenueoutlookforROY">Model!$613:$613</definedName>
    <definedName name="z_A7FLSL0150_MO_OS_Inventories">"Deleted"</definedName>
    <definedName name="z_A7FLSL0150_MO_OS_Inventories_2">Model!$941:$941</definedName>
    <definedName name="z_A7FLSL0150_MO_OS_InventoriesYYChange">Model!$946:$946</definedName>
    <definedName name="z_A7FLSL0150_MO_OS_Inventorypurchaseandlongtermsupplyobligations">Model!$248:$248</definedName>
    <definedName name="z_A7FLSL0150_MO_OS_IPrelatedandlegalsettlementcosts">Model!$151:$151</definedName>
    <definedName name="z_A7FLSL0150_MO_OS_Lastworkingday">Model!$433:$433</definedName>
    <definedName name="z_A7FLSL0150_MO_OS_Legalsettlementcosts">Model!$172:$172</definedName>
    <definedName name="z_A7FLSL0150_MO_OS_Longtermsupplyagreementsunpaidobligations">Model!$251:$251</definedName>
    <definedName name="z_A7FLSL0150_MO_OS_MarketCapEoP">'Exec Comp'!$13:$13</definedName>
    <definedName name="z_A7FLSL0150_MO_OS_MarketCapEoP_1">'Exec Comp'!$104:$104</definedName>
    <definedName name="z_A7FLSL0150_MO_OS_NEOreportingtoCEOStockOwnershipGuidelinesbasesalary">'Exec Comp'!$108:$108</definedName>
    <definedName name="z_A7FLSL0150_MO_OS_Networkingrevenue">Model!$19:$19</definedName>
    <definedName name="z_A7FLSL0150_MO_OS_Noncurrentinventorypurchaseandlongtermsupplyobligations">Model!$247:$247</definedName>
    <definedName name="z_A7FLSL0150_MO_OS_NonCurrentRPOs">Model!$215:$215</definedName>
    <definedName name="z_A7FLSL0150_MO_OS_NonGAAPCOGS">Model!$56:$56</definedName>
    <definedName name="z_A7FLSL0150_MO_OS_NonGAAPGrossMargin">Model!$59:$59</definedName>
    <definedName name="z_A7FLSL0150_MO_OS_NonGAAPGrossProfit">Model!$57:$57</definedName>
    <definedName name="z_A7FLSL0150_MO_OS_NonGAAPGrossProfitbeatmissvsmostrecentguidancemidpoint">Model!$628:$628</definedName>
    <definedName name="z_A7FLSL0150_MO_OS_NonGAAPGrossProfitguidanceinitialmidpoint">Model!$622:$622</definedName>
    <definedName name="z_A7FLSL0150_MO_OS_NonGAAPGrossProfitguidancemostrecentmidpoint">Model!$626:$626</definedName>
    <definedName name="z_A7FLSL0150_MO_OS_NonGAAPGrossProfitguidanceupdate1midpoint">Model!$623:$623</definedName>
    <definedName name="z_A7FLSL0150_MO_OS_NonGAAPGrossProfitguidanceupdate2midpoint">Model!$624:$624</definedName>
    <definedName name="z_A7FLSL0150_MO_OS_NonGAAPGrossProfitguidanceupdate3midpoint">Model!$625:$625</definedName>
    <definedName name="z_A7FLSL0150_MO_OS_NonGAAPGrossProfitMarginguidanceinitialmidpoint">Model!$638:$638</definedName>
    <definedName name="z_A7FLSL0150_MO_OS_NonGAAPGrossProfitMarginguidancemostrecentmidpoint">Model!$642:$642</definedName>
    <definedName name="z_A7FLSL0150_MO_OS_NonGAAPGrossProfitMarginguidanceupdate1midpoint">Model!$639:$639</definedName>
    <definedName name="z_A7FLSL0150_MO_OS_NonGAAPGrossProfitMarginguidanceupdate2midpoint">Model!$640:$640</definedName>
    <definedName name="z_A7FLSL0150_MO_OS_NonGAAPGrossProfitMarginguidanceupdate3midpoint">Model!$641:$641</definedName>
    <definedName name="z_A7FLSL0150_MO_OS_NonGAAPGrossProfitMarginreportedmodelestimate">Model!$643:$643</definedName>
    <definedName name="z_A7FLSL0150_MO_OS_NonGAAPGrossProfitreportedmodelestimate">Model!$627:$627</definedName>
    <definedName name="z_A7FLSL0150_MO_OS_NonGAAPOperatingExpensesbeatmissvsmostrecentguidancemidpoint">Model!$524:$524</definedName>
    <definedName name="z_A7FLSL0150_MO_OS_NonGAAPOperatingExpensesguidanceinitialmidpoint">Model!$518:$518</definedName>
    <definedName name="z_A7FLSL0150_MO_OS_NonGAAPOperatingExpensesguidancemostrecentmidpoint">Model!$522:$522</definedName>
    <definedName name="z_A7FLSL0150_MO_OS_NonGAAPOperatingExpensesguidanceupdate1midpoint">Model!$519:$519</definedName>
    <definedName name="z_A7FLSL0150_MO_OS_NonGAAPOperatingExpensesguidanceupdate2midpoint">Model!$520:$520</definedName>
    <definedName name="z_A7FLSL0150_MO_OS_NonGAAPOperatingExpensesguidanceupdate3midpoint">Model!$521:$521</definedName>
    <definedName name="z_A7FLSL0150_MO_OS_NonGAAPOperatingExpensesreportedmodelestimate">Model!$523:$523</definedName>
    <definedName name="z_A7FLSL0150_MO_OS_NonGAAPOperatingIncome">Model!$106:$106</definedName>
    <definedName name="z_A7FLSL0150_MO_OS_NongaapOperatingincomeactual">'Exec Comp'!$119:$119</definedName>
    <definedName name="z_A7FLSL0150_MO_OS_NongaapoperatingincomeBaseOperatingPlangoal">'Exec Comp'!$117:$117</definedName>
    <definedName name="z_A7FLSL0150_MO_OS_NongaapoperatingincomeBaseOperatingPlangoal_1">'Exec Comp'!$118:$118</definedName>
    <definedName name="z_A7FLSL0150_MO_OS_NonGAAPOperatingIncomemargin">Model!$109:$109</definedName>
    <definedName name="z_A7FLSL0150_MO_OS_NonGAAPOPEXExpense">Model!$100:$100</definedName>
    <definedName name="z_A7FLSL0150_MO_OS_NonGAAPOPEXMargin">Model!$102:$102</definedName>
    <definedName name="z_A7FLSL0150_MO_OS_NonGAAPRDExpense">Model!$74:$74</definedName>
    <definedName name="z_A7FLSL0150_MO_OS_NonGAAPRDMargin">Model!$76:$76</definedName>
    <definedName name="z_A7FLSL0150_MO_OS_NonGAAPSGAExpense">Model!$89:$89</definedName>
    <definedName name="z_A7FLSL0150_MO_OS_NonGAAPSGAMargin">Model!$91:$91</definedName>
    <definedName name="z_A7FLSL0150_MO_OS_Numberofsharerepurchased_3">Model!$494:$494</definedName>
    <definedName name="z_A7FLSL0150_MO_OS_Numberofsharerepurchasedmonth1">Model!$491:$491</definedName>
    <definedName name="z_A7FLSL0150_MO_OS_Numberofsharerepurchasedmonth2">Model!$492:$492</definedName>
    <definedName name="z_A7FLSL0150_MO_OS_Numberofsharerepurchasedmonth3">Model!$493:$493</definedName>
    <definedName name="z_A7FLSL0150_MO_OS_NvidiaAIenterpriseDGXCloudTAM">Model!$228:$228</definedName>
    <definedName name="z_A7FLSL0150_MO_OS_oemiprevenue">Model!$30:$30</definedName>
    <definedName name="z_A7FLSL0150_MO_OS_OmniverseenterpriseTAM">Model!$226:$226</definedName>
    <definedName name="z_A7FLSL0150_MO_OS_Operatingincomepayout_2">'Exec Comp'!$122:$122</definedName>
    <definedName name="z_A7FLSL0150_MO_OS_OperatingincomepayoutofCEO">'Exec Comp'!$120:$120</definedName>
    <definedName name="z_A7FLSL0150_MO_OS_OperatingincomepayoutotherNEOs">'Exec Comp'!$121:$121</definedName>
    <definedName name="z_A7FLSL0150_MO_OS_Other_14">Model!$152:$152</definedName>
    <definedName name="z_A7FLSL0150_MO_OS_OtherAmericasRevenue">Model!$191:$191</definedName>
    <definedName name="z_A7FLSL0150_MO_OS_OtherAmericasRevenue_1">Model!$201:$201</definedName>
    <definedName name="z_A7FLSL0150_MO_OS_OtherAsiaPacificRevenue">Model!$189:$189</definedName>
    <definedName name="z_A7FLSL0150_MO_OS_OtherAsiaPacificRevenue_1">Model!$199:$199</definedName>
    <definedName name="z_A7FLSL0150_MO_OS_OtherCOGSAdjustments">Model!$55:$55</definedName>
    <definedName name="z_A7FLSL0150_MO_OS_OthercountriesRevenue">Model!$192:$192</definedName>
    <definedName name="z_A7FLSL0150_MO_OS_OtherCountriesRevenue_1">Model!$202:$202</definedName>
    <definedName name="z_A7FLSL0150_MO_OS_OtherNonGAAPOperatingItems">Model!$105:$105</definedName>
    <definedName name="z_A7FLSL0150_MO_OS_Othernonrecurringexpensesandbenefits">Model!$175:$175</definedName>
    <definedName name="z_A7FLSL0150_MO_OS_OtherOPEXAdjustments">Model!$99:$99</definedName>
    <definedName name="z_A7FLSL0150_MO_OS_Otherpurchaseobligations">Model!$250:$250</definedName>
    <definedName name="z_A7FLSL0150_MO_OS_OtherRD">Model!$73:$73</definedName>
    <definedName name="z_A7FLSL0150_MO_OS_OtherRevenueGrowth">Model!$32:$32</definedName>
    <definedName name="z_A7FLSL0150_MO_OS_OtherSGA">Model!$88:$88</definedName>
    <definedName name="z_A7FLSL0150_MO_OS_Patentsandlicensedtechnology">"Deleted"</definedName>
    <definedName name="z_A7FLSL0150_MO_OS_Potentiallydilutivesecurities">Model!$482:$482</definedName>
    <definedName name="z_A7FLSL0150_MO_OS_Productwarrantycharges">Model!$174:$174</definedName>
    <definedName name="z_A7FLSL0150_MO_OS_professionalvisualizationrevenue">Model!$11:$11</definedName>
    <definedName name="z_A7FLSL0150_MO_OS_ProvisionsforinventoryandotherrelatedchargesCOGS">Model!$241:$241</definedName>
    <definedName name="z_A7FLSL0150_MO_OS_ProvisionsforinventoryrelatedtoCOGS">Model!$239:$239</definedName>
    <definedName name="z_A7FLSL0150_MO_OS_QQAutomotiveRevenuegrowth">Model!$27:$27</definedName>
    <definedName name="z_A7FLSL0150_MO_OS_QQbasicshareexpansionEoP">Model!$441:$441</definedName>
    <definedName name="z_A7FLSL0150_MO_OS_QQbasicshareexpansionfromdilutivesecurities">Model!$437:$437</definedName>
    <definedName name="z_A7FLSL0150_MO_OS_QQbasicshareexpansionfromshareissuancebuyback">Model!$439:$439</definedName>
    <definedName name="z_A7FLSL0150_MO_OS_QQbeatmissnonGAAPgrossprofitgrowth">Model!$632:$632</definedName>
    <definedName name="z_A7FLSL0150_MO_OS_QQbeatmissrevenuegrowth">Model!$578:$578</definedName>
    <definedName name="z_A7FLSL0150_MO_OS_QQComputeRevenuegrowth">Model!$16:$16</definedName>
    <definedName name="z_A7FLSL0150_MO_OS_QQDatacenterRevenuegrowth">Model!$23:$23</definedName>
    <definedName name="z_A7FLSL0150_MO_OS_QQGamingRevenuegrowth">Model!$8:$8</definedName>
    <definedName name="z_A7FLSL0150_MO_OS_QQguidednonGAAPgrossprofitgrowth">Model!$631:$631</definedName>
    <definedName name="z_A7FLSL0150_MO_OS_QQguidedrevenuegrowth">Model!$577:$577</definedName>
    <definedName name="z_A7FLSL0150_MO_OS_QQNetworkingRevenuegrowth">Model!$20:$20</definedName>
    <definedName name="z_A7FLSL0150_MO_OS_QQnonGAAPgrossprofitgrowth">Model!$633:$633</definedName>
    <definedName name="z_A7FLSL0150_MO_OS_QQOEMIPRevenuegrowth">Model!$31:$31</definedName>
    <definedName name="z_A7FLSL0150_MO_OS_QQProfessionalVisualizationRevenuegrowth">Model!$12:$12</definedName>
    <definedName name="z_A7FLSL0150_MO_OS_QQrevenuegrowth">Model!$579:$579</definedName>
    <definedName name="z_A7FLSL0150_MO_OS_QQTotalRevenuegrowth">Model!$37:$37</definedName>
    <definedName name="z_A7FLSL0150_MO_OS_Quarterlyrevenueguidancebeatmiss">Model!$612:$612</definedName>
    <definedName name="z_A7FLSL0150_MO_OS_Rawmaterials">"Deleted"</definedName>
    <definedName name="z_A7FLSL0150_MO_OS_RD">Model!$234:$234</definedName>
    <definedName name="z_A7FLSL0150_MO_OS_RelativeCapexbeatmissvsmostrecentguidancemidpoint">Model!$550:$550</definedName>
    <definedName name="z_A7FLSL0150_MO_OS_RelativenonGAAPgrossprofitbeatmissvsmostrecentguidancemidpoint">Model!$629:$629</definedName>
    <definedName name="z_A7FLSL0150_MO_OS_RelativenonGAAPgrossprofitmarginbeatmissvsmostrecentguidancemidpoint">Model!$644:$644</definedName>
    <definedName name="z_A7FLSL0150_MO_OS_RelativeNonGAAPOperatingExpensesbeatmissvsmostrecentguidancemidpoint">Model!$525:$525</definedName>
    <definedName name="z_A7FLSL0150_MO_OS_Relativerevenuebeatmissvsmostrecentguidancemidpoint">Model!$575:$575</definedName>
    <definedName name="z_A7FLSL0150_MO_OS_RelativeTSRPerformanceBaseOperatingPlangoal">'Exec Comp'!$124:$124</definedName>
    <definedName name="z_A7FLSL0150_MO_OS_RelativeTSRPerformancepayoutofCEO">'Exec Comp'!$126:$126</definedName>
    <definedName name="z_A7FLSL0150_MO_OS_RelativeTSRPerformancepayoutofNEO">'Exec Comp'!$127:$127</definedName>
    <definedName name="z_A7FLSL0150_MO_OS_RelativeTSRPerformancepercentileofSP500actual">'Exec Comp'!$125:$125</definedName>
    <definedName name="z_A7FLSL0150_MO_OS_Remainingdollarvalueunderrepurchaseprogram_3">Model!$514:$514</definedName>
    <definedName name="z_A7FLSL0150_MO_OS_Remainingdollarvalueunderrepurchaseprogrammonth1">Model!$511:$511</definedName>
    <definedName name="z_A7FLSL0150_MO_OS_Remainingdollarvalueunderrepurchaseprogrammonth2">Model!$512:$512</definedName>
    <definedName name="z_A7FLSL0150_MO_OS_Remainingdollarvalueunderrepurchaseprogrammonth3">Model!$513:$513</definedName>
    <definedName name="z_A7FLSL0150_MO_OS_RemainingFutureunconditionalpurchasecommitmentsdueincurrentyear">Model!$253:$253</definedName>
    <definedName name="z_A7FLSL0150_MO_OS_Repurchasedollarvalue_3">Model!$504:$504</definedName>
    <definedName name="z_A7FLSL0150_MO_OS_Repurchasedollarvaluemonth1">Model!$501:$501</definedName>
    <definedName name="z_A7FLSL0150_MO_OS_Repurchasedollarvaluemonth2">Model!$502:$502</definedName>
    <definedName name="z_A7FLSL0150_MO_OS_Repurchasedollarvaluemonth3">Model!$503:$503</definedName>
    <definedName name="z_A7FLSL0150_MO_OS_Restructuringandother">Model!$173:$173</definedName>
    <definedName name="z_A7FLSL0150_MO_OS_Restructuringcosts">Model!$149:$149</definedName>
    <definedName name="z_A7FLSL0150_MO_OS_Revenue_1">Model!$44:$44</definedName>
    <definedName name="z_A7FLSL0150_MO_OS_Revenueactual">'Exec Comp'!$114:$114</definedName>
    <definedName name="z_A7FLSL0150_MO_OS_RevenueBaseOperatingPlangoal">'Exec Comp'!$112:$112</definedName>
    <definedName name="z_A7FLSL0150_MO_OS_RevenueBaseOperatingPlangoal_1">'Exec Comp'!$113:$113</definedName>
    <definedName name="z_A7FLSL0150_MO_OS_Revenuebeatmissvsmostrecentguidancemidpoint">Model!$574:$574</definedName>
    <definedName name="z_A7FLSL0150_MO_OS_Revenueguidanceinitialmidpoint">Model!$568:$568</definedName>
    <definedName name="z_A7FLSL0150_MO_OS_Revenueguidancemostrecentmidpoint">Model!$572:$572</definedName>
    <definedName name="z_A7FLSL0150_MO_OS_Revenueguidanceupdate1midpoint">Model!$569:$569</definedName>
    <definedName name="z_A7FLSL0150_MO_OS_Revenueguidanceupdate2midpoint">Model!$570:$570</definedName>
    <definedName name="z_A7FLSL0150_MO_OS_Revenueguidanceupdate3midpoint">Model!$571:$571</definedName>
    <definedName name="z_A7FLSL0150_MO_OS_Revenuepayout">'Exec Comp'!$115:$115</definedName>
    <definedName name="z_A7FLSL0150_MO_OS_Revenuerecognizedduringtheperiod">Model!$209:$209</definedName>
    <definedName name="z_A7FLSL0150_MO_OS_Revenuereportedmodelestimate">Model!$573:$573</definedName>
    <definedName name="z_A7FLSL0150_MO_OS_RPOs">Model!$216:$216</definedName>
    <definedName name="z_A7FLSL0150_MO_OS_Salesmarketingoperationsadmin">Model!$235:$235</definedName>
    <definedName name="z_A7FLSL0150_MO_OS_Salesofinventorythatwaspreviouslywrittenoffordownandsettlementsofexcessinventorypurchaseobligations">Model!$243:$243</definedName>
    <definedName name="z_A7FLSL0150_MO_OS_Salestofourthlargestcustomerasaoftotalsales">Model!$266:$266</definedName>
    <definedName name="z_A7FLSL0150_MO_OS_Salestolargestcustomerasaoftotalsales">Model!$263:$263</definedName>
    <definedName name="z_A7FLSL0150_MO_OS_Salestosecondlargestcustomerasaoftotalsales">Model!$264:$264</definedName>
    <definedName name="z_A7FLSL0150_MO_OS_Salestothirdlargestcustomerasaoftotalsales">Model!$265:$265</definedName>
    <definedName name="z_A7FLSL0150_MO_OS_SBCCOGS">Model!$51:$51</definedName>
    <definedName name="z_A7FLSL0150_MO_OS_SBCCOGSasofrevenue">Model!$52:$52</definedName>
    <definedName name="z_A7FLSL0150_MO_OS_SBCRD">Model!$69:$69</definedName>
    <definedName name="z_A7FLSL0150_MO_OS_SBCRDasofrevenue">Model!$70:$70</definedName>
    <definedName name="z_A7FLSL0150_MO_OS_SBCSGA">Model!$84:$84</definedName>
    <definedName name="z_A7FLSL0150_MO_OS_SBCSGAasofrevenue">Model!$85:$85</definedName>
    <definedName name="z_A7FLSL0150_MO_OS_SequentialincreasedecreaseinforwardFYrevenueguidance">Model!$615:$615</definedName>
    <definedName name="z_A7FLSL0150_MO_OS_SingaporeRevenue">Model!$188:$188</definedName>
    <definedName name="z_A7FLSL0150_MO_OS_SingaporeRevenue_1">Model!$198:$198</definedName>
    <definedName name="z_A7FLSL0150_MO_OS_Stockbasedcompensationexpense">Model!$146:$146</definedName>
    <definedName name="z_A7FLSL0150_MO_OS_Stockbasedcompensationexpense_1">Model!$168:$168</definedName>
    <definedName name="z_A7FLSL0150_MO_OS_taiwanrevenue">Model!$185:$185</definedName>
    <definedName name="z_A7FLSL0150_MO_OS_TaiwanRevenue_1">Model!$195:$195</definedName>
    <definedName name="z_A7FLSL0150_MO_OS_TegraOperatingIncomeMargin">Model!$180:$180</definedName>
    <definedName name="z_A7FLSL0150_MO_OS_TegraProcessorDepreciationandamortization">Model!$161:$161</definedName>
    <definedName name="z_A7FLSL0150_MO_OS_TegraProcessorOperatingIncomeloss">Model!$166:$166</definedName>
    <definedName name="z_A7FLSL0150_MO_OS_tegraprocessorrevenue">Model!$138:$138</definedName>
    <definedName name="z_A7FLSL0150_MO_OS_tegraprocessorrevenuegrowth">Model!$13:$13</definedName>
    <definedName name="z_A7FLSL0150_MO_OS_TotalDepreciationandamortization">Model!$163:$163</definedName>
    <definedName name="z_A7FLSL0150_MO_OS_TotaldilutedcommonstockoutstandingEoP">Model!$447:$447</definedName>
    <definedName name="z_A7FLSL0150_MO_OS_Totaldirectorallothercomp">'Exec Comp'!$102:$102</definedName>
    <definedName name="z_A7FLSL0150_MO_OS_Totaldirectorcashcomp">'Exec Comp'!$74:$74</definedName>
    <definedName name="z_A7FLSL0150_MO_OS_Totaldirectorcompensation">'Exec Comp'!$103:$103</definedName>
    <definedName name="z_A7FLSL0150_MO_OS_Totaldirectorstockawardcomp">'Exec Comp'!$88:$88</definedName>
    <definedName name="z_A7FLSL0150_MO_OS_Totalfutureunconditionalpurchasecommitments">Model!$260:$260</definedName>
    <definedName name="z_A7FLSL0150_MO_OS_TotalFYrevenueguidanceraiselower">Model!$614:$614</definedName>
    <definedName name="z_A7FLSL0150_MO_OS_Totalintangibleassets">"Deleted"</definedName>
    <definedName name="z_A7FLSL0150_MO_OS_TotalInventoryreported">"Deleted"</definedName>
    <definedName name="z_A7FLSL0150_MO_OS_TotallongtermTAM">Model!$231:$231</definedName>
    <definedName name="z_A7FLSL0150_MO_OS_TotalNonGAAPOperatingExpenses">Model!$113:$113</definedName>
    <definedName name="z_A7FLSL0150_MO_OS_Totalofcurrentdirectors">'Exec Comp'!$52:$52</definedName>
    <definedName name="z_A7FLSL0150_MO_OS_Totalofdirectornominees">'Exec Comp'!$57:$57</definedName>
    <definedName name="z_A7FLSL0150_MO_OS_Totaloffemalecurrentdirectors">'Exec Comp'!$54:$54</definedName>
    <definedName name="z_A7FLSL0150_MO_OS_Totalofindependentcurrentdirectors">'Exec Comp'!$53:$53</definedName>
    <definedName name="z_A7FLSL0150_MO_OS_Totalofindependentdirectornominees">'Exec Comp'!$58:$58</definedName>
    <definedName name="z_A7FLSL0150_MO_OS_Totalofraciallyethnicallydiversecurrentdirectors">'Exec Comp'!$55:$55</definedName>
    <definedName name="z_A7FLSL0150_MO_OS_TotalOperatingIncomeloss">Model!$154:$154</definedName>
    <definedName name="z_A7FLSL0150_MO_OS_TotalOperatingIncomeloss_1">Model!$177:$177</definedName>
    <definedName name="z_A7FLSL0150_MO_OS_TotalOperatingIncomeMargin">Model!$158:$158</definedName>
    <definedName name="z_A7FLSL0150_MO_OS_TotalOperatingIncomeMargin_1">Model!$182:$182</definedName>
    <definedName name="z_A7FLSL0150_MO_OS_totalrevenue">Model!$140:$140</definedName>
    <definedName name="z_A7FLSL0150_MO_OS_totalrevenue_1">Model!$34:$34</definedName>
    <definedName name="z_A7FLSL0150_MO_OS_totalrevenue_2">Model!$193:$193</definedName>
    <definedName name="z_A7FLSL0150_MO_OS_TotalRevenue_5">Model!$203:$203</definedName>
    <definedName name="z_A7FLSL0150_MO_OS_TotalRevenueGrowth">Model!$38:$38</definedName>
    <definedName name="z_A7FLSL0150_MO_OS_TotalRevenuemm">Model!$135:$135</definedName>
    <definedName name="z_A7FLSL0150_MO_OS_Unallocatedcostofrevenueandoperatingexpenses">Model!$148:$148</definedName>
    <definedName name="z_A7FLSL0150_MO_OS_Unallocatedcostofrevenueandoperatingexpenses_1">Model!$169:$169</definedName>
    <definedName name="z_A7FLSL0150_MO_OS_unitedstatesrevenue">Model!$187:$187</definedName>
    <definedName name="z_A7FLSL0150_MO_OS_UnitedStatesRevenue_1">Model!$197:$197</definedName>
    <definedName name="z_A7FLSL0150_MO_OS_Workinprocess">"Deleted"</definedName>
    <definedName name="z_A7FLSL0150_MO_OS_YYannualguidancebeatmissnonGAAPgrossprofitgrowth">Model!$672:$672</definedName>
    <definedName name="z_A7FLSL0150_MO_OS_YYannualguidancebeatmissrevenuegrowth">Model!$599:$599</definedName>
    <definedName name="z_A7FLSL0150_MO_OS_YYannualnonGAAPgrossprofitgrowth">Model!$673:$673</definedName>
    <definedName name="z_A7FLSL0150_MO_OS_YYannualrevenuegrowth">Model!$600:$600</definedName>
    <definedName name="z_A7FLSL0150_MO_OS_YYbasicshareexpansionEoP">Model!$442:$442</definedName>
    <definedName name="z_A7FLSL0150_MO_OS_YYbasicshareexpansionfromdilutivesecurities">Model!$438:$438</definedName>
    <definedName name="z_A7FLSL0150_MO_OS_YYbasicshareexpansionfromshareissuancebuyback">Model!$440:$440</definedName>
    <definedName name="z_A7FLSL0150_MO_OS_YYbeatmissnonGAAPgrossprofitgrowth">Model!$635:$635</definedName>
    <definedName name="z_A7FLSL0150_MO_OS_YYbeatmissrevenuegrowth">Model!$581:$581</definedName>
    <definedName name="z_A7FLSL0150_MO_OS_YYComputeRevenueGrowth">Model!$17:$17</definedName>
    <definedName name="z_A7FLSL0150_MO_OS_YYgrowthinGAAPOPEX">Model!$95:$95</definedName>
    <definedName name="z_A7FLSL0150_MO_OS_YYgrowthinGAAPRD">Model!$65:$65</definedName>
    <definedName name="z_A7FLSL0150_MO_OS_YYgrowthinGAAPSGA">Model!$80:$80</definedName>
    <definedName name="z_A7FLSL0150_MO_OS_YYgrowthinGrossProfit">Model!$47:$47</definedName>
    <definedName name="z_A7FLSL0150_MO_OS_YYGrowthinNonGAAPOperatingIncome">Model!$108:$108</definedName>
    <definedName name="z_A7FLSL0150_MO_OS_YYGrowthinnonGAAPOPEXExpense">Model!$101:$101</definedName>
    <definedName name="z_A7FLSL0150_MO_OS_YYGrowthinnonGAAPRDExpense">Model!$75:$75</definedName>
    <definedName name="z_A7FLSL0150_MO_OS_YYGrowthinnonGAAPSGAExpense">Model!$90:$90</definedName>
    <definedName name="z_A7FLSL0150_MO_OS_YYguidednonGAAPgrossprofitgrowth">Model!$634:$634</definedName>
    <definedName name="z_A7FLSL0150_MO_OS_YYguidedrevenuegrowth">Model!$580:$580</definedName>
    <definedName name="z_A7FLSL0150_MO_OS_YYImpliedannualguidancenonGAAPgrossprofitgrowth">Model!$671:$671</definedName>
    <definedName name="z_A7FLSL0150_MO_OS_YYImpliedannualguidancerevenuegrowth">Model!$598:$598</definedName>
    <definedName name="z_A7FLSL0150_MO_OS_YYimprovementinGAAPGrossMargin">Model!$49:$49</definedName>
    <definedName name="z_A7FLSL0150_MO_OS_YYImprovementinGAAPOPEXMargin">Model!$97:$97</definedName>
    <definedName name="z_A7FLSL0150_MO_OS_YYImprovementinGAAPRDMargin">Model!$67:$67</definedName>
    <definedName name="z_A7FLSL0150_MO_OS_YYImprovementinGAAPSGAMargin">Model!$82:$82</definedName>
    <definedName name="z_A7FLSL0150_MO_OS_YYImprovementinnonGAAPgrossmargin">Model!$62:$62</definedName>
    <definedName name="z_A7FLSL0150_MO_OS_YYImprovementinNonGAAPOperatingIncomemargin">Model!$111:$111</definedName>
    <definedName name="z_A7FLSL0150_MO_OS_YYImprovementinNonGAAPOPEXMargin">Model!$103:$103</definedName>
    <definedName name="z_A7FLSL0150_MO_OS_YYImprovementinNonGAAPRDMargin">Model!$77:$77</definedName>
    <definedName name="z_A7FLSL0150_MO_OS_YYImprovementinNonGAAPSGAMargin">Model!$92:$92</definedName>
    <definedName name="z_A7FLSL0150_MO_OS_YYNetworkingRevenueGrowth">Model!$21:$21</definedName>
    <definedName name="z_A7FLSL0150_MO_OS_YYNonGAAPgrossprofitgrowth">Model!$58:$58</definedName>
    <definedName name="z_A7FLSL0150_MO_OS_YYnonGAAPgrossprofitgrowth_1">Model!$636:$636</definedName>
    <definedName name="z_A7FLSL0150_MO_OS_YYrevenuegrowth">Model!$582:$582</definedName>
    <definedName name="z_A7FLSL0150_MO_RIS_AcquisitionrelatedcostsCOGS">Model!$368:$368</definedName>
    <definedName name="z_A7FLSL0150_MO_RIS_AcquisitionrelatedcostsRD">Model!$375:$375</definedName>
    <definedName name="z_A7FLSL0150_MO_RIS_AcquisitionrelatedcostsSGA">Model!$380:$380</definedName>
    <definedName name="z_A7FLSL0150_MO_RIS_AdjustedSharesOutstandingWAD">Model!$430:$430</definedName>
    <definedName name="z_A7FLSL0150_MO_RIS_AdjustmentsforConvertibleSecurities">Model!$415:$415</definedName>
    <definedName name="z_A7FLSL0150_MO_RIS_CompanyReportedNonGAAPOperatingIncome">Model!$388:$388</definedName>
    <definedName name="z_A7FLSL0150_MO_RIS_consensusestimatescompanyreportednongaapoperatingincome">Model!$389:$389</definedName>
    <definedName name="z_A7FLSL0150_MO_RIS_consensusestimatesnetrevenue">Model!$363:$363</definedName>
    <definedName name="z_A7FLSL0150_MO_RIS_consensusestimatesnongaapadjustedearningspersharewad">Model!$426:$426</definedName>
    <definedName name="z_A7FLSL0150_MO_RIS_consensusestimatesnongaapebitda">Model!$393:$393</definedName>
    <definedName name="z_A7FLSL0150_MO_RIS_deferredincometaxasofnongaaptaxes">Model!$421:$421</definedName>
    <definedName name="z_A7FLSL0150_MO_RIS_GAAPCOGS">Model!$366:$366</definedName>
    <definedName name="z_A7FLSL0150_MO_RIS_GAAPEarningsPerShareWAB">Model!$423:$423</definedName>
    <definedName name="z_A7FLSL0150_MO_RIS_GAAPEarningsPerShareWAD">Model!$424:$424</definedName>
    <definedName name="z_A7FLSL0150_MO_RIS_GAAPNetIncome">Model!$416:$416</definedName>
    <definedName name="z_A7FLSL0150_MO_RIS_GAAPNetIncomeBasic">Model!$414:$414</definedName>
    <definedName name="z_A7FLSL0150_MO_RIS_GAAPNetInterestExpense">Model!$397:$397</definedName>
    <definedName name="z_A7FLSL0150_MO_RIS_GAAPOPEX">Model!$383:$383</definedName>
    <definedName name="z_A7FLSL0150_MO_RIS_GAAPOtherItems">Model!$400:$400</definedName>
    <definedName name="z_A7FLSL0150_MO_RIS_GAAPProvisionforTaxes">Model!$404:$404</definedName>
    <definedName name="z_A7FLSL0150_MO_RIS_GAAPRD">Model!$373:$373</definedName>
    <definedName name="z_A7FLSL0150_MO_RIS_GAAPSGA">Model!$378:$378</definedName>
    <definedName name="z_A7FLSL0150_MO_RIS_GAAPTaxRate">Model!$420:$420</definedName>
    <definedName name="z_A7FLSL0150_MO_RIS_GuidanceNetRevenue">Model!$364:$364</definedName>
    <definedName name="z_A7FLSL0150_MO_RIS_GuidanceNonGAAPGrossProfit">Model!$371:$371</definedName>
    <definedName name="z_A7FLSL0150_MO_RIS_IntangibleAmortizationAcquisitionAdj">Model!$409:$409</definedName>
    <definedName name="z_A7FLSL0150_MO_RIS_InterestExpenseAdjustments">Model!$411:$411</definedName>
    <definedName name="z_A7FLSL0150_MO_RIS_MarginalTaxRateonAdjustments">Model!$419:$419</definedName>
    <definedName name="z_A7FLSL0150_MO_RIS_NetRevenue">Model!$362:$362</definedName>
    <definedName name="z_A7FLSL0150_MO_RIS_NonGAAPAdjustedEarningsPerShareWAD">Model!$425:$425</definedName>
    <definedName name="z_A7FLSL0150_MO_RIS_NonGAAPAdjustmentstoIncomeTaxes">Model!$405:$405</definedName>
    <definedName name="z_A7FLSL0150_MO_RIS_NonGAAPAdjustmentstoNetInterestExpense">Model!$398:$398</definedName>
    <definedName name="z_A7FLSL0150_MO_RIS_NonGAAPAdjustmentstoOtherItems">Model!$401:$401</definedName>
    <definedName name="z_A7FLSL0150_MO_RIS_NonGAAPEarningsbeforeTaxes">Model!$403:$403</definedName>
    <definedName name="z_A7FLSL0150_MO_RIS_NonGAAPEBITDA">Model!$392:$392</definedName>
    <definedName name="z_A7FLSL0150_MO_RIS_NonGAAPGrossProfit">Model!$370:$370</definedName>
    <definedName name="z_A7FLSL0150_MO_RIS_NonGAAPInterestExpense">Model!$395:$395</definedName>
    <definedName name="z_A7FLSL0150_MO_RIS_NonGAAPInterestExpense_1">Model!$399:$399</definedName>
    <definedName name="z_A7FLSL0150_MO_RIS_NonGAAPInterestIncome">Model!$396:$396</definedName>
    <definedName name="z_A7FLSL0150_MO_RIS_NonGAAPNetIncome">Model!$407:$407</definedName>
    <definedName name="z_A7FLSL0150_MO_RIS_NonGAAPOperatingIncomeBeforeOther">Model!$386:$386</definedName>
    <definedName name="z_A7FLSL0150_MO_RIS_NonGAAPOPEX">Model!$385:$385</definedName>
    <definedName name="z_A7FLSL0150_MO_RIS_NonGAAPOtherItems">Model!$402:$402</definedName>
    <definedName name="z_A7FLSL0150_MO_RIS_NonGAAPProvisionfortaxes">Model!$406:$406</definedName>
    <definedName name="z_A7FLSL0150_MO_RIS_NonGAAPRD">Model!$377:$377</definedName>
    <definedName name="z_A7FLSL0150_MO_RIS_NonGAAPSGA">Model!$382:$382</definedName>
    <definedName name="z_A7FLSL0150_MO_RIS_nongaaptaxrate">Model!$418:$418</definedName>
    <definedName name="z_A7FLSL0150_MO_RIS_OtherAdjustments">Model!$412:$412</definedName>
    <definedName name="z_A7FLSL0150_MO_RIS_OtherAdjustmentsOPEX">Model!$384:$384</definedName>
    <definedName name="z_A7FLSL0150_MO_RIS_OtherAdjustmentsRD">Model!$376:$376</definedName>
    <definedName name="z_A7FLSL0150_MO_RIS_OtherAdjustmentsSGA">Model!$381:$381</definedName>
    <definedName name="z_A7FLSL0150_MO_RIS_OtherCOGSadjustments">Model!$369:$369</definedName>
    <definedName name="z_A7FLSL0150_MO_RIS_OtherNonGAAPOperatingItems">Model!$387:$387</definedName>
    <definedName name="z_A7FLSL0150_MO_RIS_OtherOperatingAdjustments">Model!$410:$410</definedName>
    <definedName name="z_A7FLSL0150_MO_RIS_ReportedDepreciation">Model!$391:$391</definedName>
    <definedName name="z_A7FLSL0150_MO_RIS_SBC">Model!$408:$408</definedName>
    <definedName name="z_A7FLSL0150_MO_RIS_sbc_1">Model!$379:$379</definedName>
    <definedName name="z_A7FLSL0150_MO_RIS_SBC_2">Model!$374:$374</definedName>
    <definedName name="z_A7FLSL0150_MO_RIS_SBCinCOGS">Model!$367:$367</definedName>
    <definedName name="z_A7FLSL0150_MO_RIS_SharesOutstandingWAB">Model!$428:$428</definedName>
    <definedName name="z_A7FLSL0150_MO_RIS_SharesOutstandingWAD">Model!$429:$429</definedName>
    <definedName name="z_A7FLSL0150_MO_RIS_TaxImpactonnonGAAPAdjustments">Model!$413:$413</definedName>
    <definedName name="z_A7FLSL0150_MO_Section_AN_AdjustedNumbers">Model!$311:$311</definedName>
    <definedName name="z_A7FLSL0150_MO_Section_BS_BalanceSheet">Model!$950:$950</definedName>
    <definedName name="z_A7FLSL0150_MO_Section_BS_ModelChecks">Model!$1013:$1013</definedName>
    <definedName name="z_A7FLSL0150_MO_Section_BSS_BalanceSheetSummary">Model!$725:$725</definedName>
    <definedName name="z_A7FLSL0150_MO_Section_CCFS_CumulativeCashFlowStatement">Model!$769:$769</definedName>
    <definedName name="z_A7FLSL0150_MO_Section_CFS_CashFlowStatement">Model!$841:$841</definedName>
    <definedName name="z_A7FLSL0150_MO_Section_CFSum_CashFlowSummary">Model!$694:$694</definedName>
    <definedName name="z_A7FLSL0150_MO_Section_DAF_DAForecasting">Model!$915:$915</definedName>
    <definedName name="z_A7FLSL0150_MO_Section_IS_IncomeStatement">Model!$291:$291</definedName>
    <definedName name="z_A7FLSL0150_MO_Section_MA_MarginAnalysis">Model!$268:$268</definedName>
    <definedName name="z_A7FLSL0150_MO_Section_OS_BoardDiversity">'Exec Comp'!$51:$51</definedName>
    <definedName name="z_A7FLSL0150_MO_Section_OS_Canalyst">'Exec Comp'!$129:$129</definedName>
    <definedName name="z_A7FLSL0150_MO_Section_OS_CapexGuidanceAnalysis">Model!$542:$542</definedName>
    <definedName name="z_A7FLSL0150_MO_Section_OS_CompanyFinancialGoals">'Exec Comp'!$111:$111</definedName>
    <definedName name="z_A7FLSL0150_MO_Section_OS_DirectorCompensation">'Exec Comp'!$60:$60</definedName>
    <definedName name="z_A7FLSL0150_MO_Section_OS_ExecutiveCompensation">'Exec Comp'!$6:$6</definedName>
    <definedName name="z_A7FLSL0150_MO_Section_OS_GuidanceAnalysisSection">Model!$516:$516</definedName>
    <definedName name="z_A7FLSL0150_MO_Section_OS_KeyMetricsCustomerConcentrationFS">Model!$262:$262</definedName>
    <definedName name="z_A7FLSL0150_MO_Section_OS_KeyMetricsDaysSalesOutstandingCFOCommentary">Model!$220:$220</definedName>
    <definedName name="z_A7FLSL0150_MO_Section_OS_KeyMetricsDeferredRevenuesandRPOsFS">Model!$205:$205</definedName>
    <definedName name="z_A7FLSL0150_MO_Section_OS_KeyMetricsEmployeesFS">Model!$233:$233</definedName>
    <definedName name="z_A7FLSL0150_MO_Section_OS_KeyMetricsIntangibleAssetsBreakoutFS">"Deleted"</definedName>
    <definedName name="z_A7FLSL0150_MO_Section_OS_KeyMetricsInventoryBreakoutFS">"Deleted"</definedName>
    <definedName name="z_A7FLSL0150_MO_Section_OS_KeyMetricsInventoryProvisionsFS">Model!$238:$238</definedName>
    <definedName name="z_A7FLSL0150_MO_Section_OS_KeyMetricsInventoryPurchaseandLongtermSupplyObligationsFS">Model!$245:$245</definedName>
    <definedName name="z_A7FLSL0150_MO_Section_OS_KeyMetricsTotalAddressableMarketIP">Model!$225:$225</definedName>
    <definedName name="z_A7FLSL0150_MO_Section_OS_NonGAAPGrossProfitGuidanceAnalysis">Model!$621:$621</definedName>
    <definedName name="z_A7FLSL0150_MO_Section_OS_NonGAAPOperatingExpensesGuidanceAnalysis">Model!$517:$517</definedName>
    <definedName name="z_A7FLSL0150_MO_Section_OS_OperatingExpenseForecasting">Model!$43:$43</definedName>
    <definedName name="z_A7FLSL0150_MO_Section_OS_OtherAlignmentDataPoints">'Exec Comp'!$106:$106</definedName>
    <definedName name="z_A7FLSL0150_MO_Section_OS_RevenueBuildFSPR">Model!$6:$6</definedName>
    <definedName name="z_A7FLSL0150_MO_Section_OS_RevenueGuidanceAnalysis">Model!$567:$567</definedName>
    <definedName name="z_A7FLSL0150_MO_Section_OS_SBCDAAcquisitionrelatedCostsBreakdownFS">Model!$116:$116</definedName>
    <definedName name="z_A7FLSL0150_MO_Section_OS_SegmentedResultsGeographicBreakdownFS">Model!$184:$184</definedName>
    <definedName name="z_A7FLSL0150_MO_Section_OS_SegmentedResultsOperatingIncomeBreakdownFS">Model!$142:$142</definedName>
    <definedName name="z_A7FLSL0150_MO_Section_OS_SegmentedResultsRevenueBreakdownFS">Model!$132:$132</definedName>
    <definedName name="z_A7FLSL0150_MO_Section_OS_ShareCountAnalysis">Model!$432:$432</definedName>
    <definedName name="z_A7FLSL0150_MO_Section_OS_SupplementalData">Model!$131:$131</definedName>
    <definedName name="z_A7FLSL0150_MO_Section_OS_WorkingCapitalForecasting">Model!$939:$939</definedName>
    <definedName name="z_A7FLSL0150_MO_Section_RIS_RevisedIncomeStatement">Model!$361:$361</definedName>
    <definedName name="z_A7FLSL0150_MO_Section_SNA_Canalyst">Model!$1182:$1182</definedName>
    <definedName name="z_A7FLSL0150_MO_Section_TB_Tables">Model!$1037:$1037</definedName>
    <definedName name="z_A7FLSL0150_MO_Section_VA_Valuation">Model!$744:$744</definedName>
    <definedName name="z_A7FLSL0150_MO_Unstructured_SNA_AnnualGuidanceTable">Model!$1098:$1098</definedName>
    <definedName name="z_A7FLSL0150_MO_Unstructured_SNA_ApplicablePeriod">Model!$1083:$1083</definedName>
    <definedName name="z_A7FLSL0150_MO_Unstructured_SNA_ApplicablePeriod_1">Model!$1101:$1101</definedName>
    <definedName name="z_A7FLSL0150_MO_Unstructured_SNA_ApplyTradeCurrencyScaling">Model!$1169:$1169</definedName>
    <definedName name="z_A7FLSL0150_MO_Unstructured_SNA_Avg">Model!$1049:$1049</definedName>
    <definedName name="z_A7FLSL0150_MO_Unstructured_SNA_Bloomberg">Model!$1133:$1133</definedName>
    <definedName name="z_A7FLSL0150_MO_Unstructured_SNA_Bloomberg_1">Model!$1140:$1140</definedName>
    <definedName name="z_A7FLSL0150_MO_Unstructured_SNA_Bloomberg_2">Model!$1147:$1147</definedName>
    <definedName name="z_A7FLSL0150_MO_Unstructured_SNA_Bloomberg_3">Model!$1154:$1154</definedName>
    <definedName name="z_A7FLSL0150_MO_Unstructured_SNA_CapitalIQ">Model!$1134:$1134</definedName>
    <definedName name="z_A7FLSL0150_MO_Unstructured_SNA_CapitalIQ_1">Model!$1141:$1141</definedName>
    <definedName name="z_A7FLSL0150_MO_Unstructured_SNA_CapitalIQ_2">Model!$1148:$1148</definedName>
    <definedName name="z_A7FLSL0150_MO_Unstructured_SNA_CapitalIQ_3">Model!$1155:$1155</definedName>
    <definedName name="z_A7FLSL0150_MO_Unstructured_SNA_ConsensusEstimatesCapex">Model!$1125:$1125</definedName>
    <definedName name="z_A7FLSL0150_MO_Unstructured_SNA_ConsensusEstimatesCashFlowPerDilutedShare">Model!$1124:$1124</definedName>
    <definedName name="z_A7FLSL0150_MO_Unstructured_SNA_ConsensusEstimatesCompanyReportedNonGAAPOperatingIncome">Model!$1122:$1122</definedName>
    <definedName name="z_A7FLSL0150_MO_Unstructured_SNA_ConsensusEstimatesGrossMargin">Model!$1119:$1119</definedName>
    <definedName name="z_A7FLSL0150_MO_Unstructured_SNA_ConsensusEstimatesNetRevenue">Model!$1120:$1120</definedName>
    <definedName name="z_A7FLSL0150_MO_Unstructured_SNA_ConsensusEstimatesNonGAAPAdjustedEarningsPerShareWAD">Model!$1123:$1123</definedName>
    <definedName name="z_A7FLSL0150_MO_Unstructured_SNA_ConsensusEstimatesNonGAAPEBITDA">Model!$1121:$1121</definedName>
    <definedName name="z_A7FLSL0150_MO_Unstructured_SNA_ConsensusEstimateTable">Model!$1116:$1116</definedName>
    <definedName name="z_A7FLSL0150_MO_Unstructured_SNA_CurrentFiscalYear">Model!$1177:$1177</definedName>
    <definedName name="z_A7FLSL0150_MO_Unstructured_SNA_DataSourceIndex">Model!$1180:$1180</definedName>
    <definedName name="z_A7FLSL0150_MO_Unstructured_SNA_EoP">Model!$1050:$1050</definedName>
    <definedName name="z_A7FLSL0150_MO_Unstructured_SNA_EVEBITDAAvg">Model!$1056:$1056</definedName>
    <definedName name="z_A7FLSL0150_MO_Unstructured_SNA_FactSet">Model!$1135:$1135</definedName>
    <definedName name="z_A7FLSL0150_MO_Unstructured_SNA_FactSet_1">Model!$1142:$1142</definedName>
    <definedName name="z_A7FLSL0150_MO_Unstructured_SNA_FactSet_2">Model!$1149:$1149</definedName>
    <definedName name="z_A7FLSL0150_MO_Unstructured_SNA_FactSet_3">Model!$1156:$1156</definedName>
    <definedName name="z_A7FLSL0150_MO_Unstructured_SNA_FirstForecastFiscalYear">Model!$1178:$1178</definedName>
    <definedName name="z_A7FLSL0150_MO_Unstructured_SNA_FiscalPeriodStartDate">Model!$1129:$1129</definedName>
    <definedName name="z_A7FLSL0150_MO_Unstructured_SNA_FXAverageRealTimeOffSource">Model!$1152:$1152</definedName>
    <definedName name="z_A7FLSL0150_MO_Unstructured_SNA_FXEoP">Model!$1161:$1161</definedName>
    <definedName name="z_A7FLSL0150_MO_Unstructured_SNA_FYorFQ">Model!$1117:$1117</definedName>
    <definedName name="z_A7FLSL0150_MO_Unstructured_SNA_GeneralTable">Model!$1164:$1164</definedName>
    <definedName name="z_A7FLSL0150_MO_Unstructured_SNA_High">Model!$1047:$1047</definedName>
    <definedName name="z_A7FLSL0150_MO_Unstructured_SNA_HighCapex">Model!$1094:$1094</definedName>
    <definedName name="z_A7FLSL0150_MO_Unstructured_SNA_HighCapex_1">Model!$1112:$1112</definedName>
    <definedName name="z_A7FLSL0150_MO_Unstructured_SNA_HighNetRevenue">Model!$1085:$1085</definedName>
    <definedName name="z_A7FLSL0150_MO_Unstructured_SNA_HighNetRevenue_1">Model!$1103:$1103</definedName>
    <definedName name="z_A7FLSL0150_MO_Unstructured_SNA_HighNonGAAPGrossMargin">Model!$1088:$1088</definedName>
    <definedName name="z_A7FLSL0150_MO_Unstructured_SNA_HighNonGAAPGrossMargin_1">Model!$1106:$1106</definedName>
    <definedName name="z_A7FLSL0150_MO_Unstructured_SNA_HighTotalNonGAAPOperatingExpenses">Model!$1091:$1091</definedName>
    <definedName name="z_A7FLSL0150_MO_Unstructured_SNA_HighTotalNonGAAPOperatingExpenses_1">Model!$1109:$1109</definedName>
    <definedName name="z_A7FLSL0150_MO_Unstructured_SNA_IsHistoricalPeriod">Model!$1130:$1130</definedName>
    <definedName name="z_A7FLSL0150_MO_Unstructured_SNA_IsLatest">Model!$1100:$1100</definedName>
    <definedName name="z_A7FLSL0150_MO_Unstructured_SNA_KeyOutputs">Model!$1052:$1052</definedName>
    <definedName name="z_A7FLSL0150_MO_Unstructured_SNA_KPICount">Model!$1179:$1179</definedName>
    <definedName name="z_A7FLSL0150_MO_Unstructured_SNA_KPIData">Model!$1060:$1060</definedName>
    <definedName name="z_A7FLSL0150_MO_Unstructured_SNA_LastPrice">Model!$1165:$1165</definedName>
    <definedName name="z_A7FLSL0150_MO_Unstructured_SNA_LastPriceDate">Model!$1166:$1166</definedName>
    <definedName name="z_A7FLSL0150_MO_Unstructured_SNA_LastPriceFormula">Model!$1168:$1168</definedName>
    <definedName name="z_A7FLSL0150_MO_Unstructured_SNA_LastWorkingDayInPeriod">Model!$1159:$1159</definedName>
    <definedName name="z_A7FLSL0150_MO_Unstructured_SNA_Low">Model!$1048:$1048</definedName>
    <definedName name="z_A7FLSL0150_MO_Unstructured_SNA_LowCapex">Model!$1093:$1093</definedName>
    <definedName name="z_A7FLSL0150_MO_Unstructured_SNA_LowCapex_1">Model!$1111:$1111</definedName>
    <definedName name="z_A7FLSL0150_MO_Unstructured_SNA_LowNetRevenue">Model!$1084:$1084</definedName>
    <definedName name="z_A7FLSL0150_MO_Unstructured_SNA_LowNetRevenue_1">Model!$1102:$1102</definedName>
    <definedName name="z_A7FLSL0150_MO_Unstructured_SNA_LowNonGAAPGrossMargin">Model!$1087:$1087</definedName>
    <definedName name="z_A7FLSL0150_MO_Unstructured_SNA_LowNonGAAPGrossMargin_1">Model!$1105:$1105</definedName>
    <definedName name="z_A7FLSL0150_MO_Unstructured_SNA_LowTotalNonGAAPOperatingExpenses">Model!$1090:$1090</definedName>
    <definedName name="z_A7FLSL0150_MO_Unstructured_SNA_LowTotalNonGAAPOperatingExpenses_1">Model!$1108:$1108</definedName>
    <definedName name="z_A7FLSL0150_MO_Unstructured_SNA_MidCapex">Model!$1095:$1095</definedName>
    <definedName name="z_A7FLSL0150_MO_Unstructured_SNA_MidCapex_1">Model!$1113:$1113</definedName>
    <definedName name="z_A7FLSL0150_MO_Unstructured_SNA_MidNetRevenue">Model!$1086:$1086</definedName>
    <definedName name="z_A7FLSL0150_MO_Unstructured_SNA_MidNetRevenue_1">Model!$1104:$1104</definedName>
    <definedName name="z_A7FLSL0150_MO_Unstructured_SNA_MidNonGAAPGrossMargin">Model!$1089:$1089</definedName>
    <definedName name="z_A7FLSL0150_MO_Unstructured_SNA_MidNonGAAPGrossMargin_1">Model!$1107:$1107</definedName>
    <definedName name="z_A7FLSL0150_MO_Unstructured_SNA_MidTotalNonGAAPOperatingExpenses">Model!$1092:$1092</definedName>
    <definedName name="z_A7FLSL0150_MO_Unstructured_SNA_MidTotalNonGAAPOperatingExpenses_1">Model!$1110:$1110</definedName>
    <definedName name="z_A7FLSL0150_MO_Unstructured_SNA_MOCFSumCapex">Model!$1077:$1077</definedName>
    <definedName name="z_A7FLSL0150_MO_Unstructured_SNA_ModelSheetCurrencyHardcoded">Model!$1172:$1172</definedName>
    <definedName name="z_A7FLSL0150_MO_Unstructured_SNA_MOKPIREVADAS">"Deleted"</definedName>
    <definedName name="z_A7FLSL0150_MO_Unstructured_SNA_MOKPIREVSEMI">Model!$1066:$1066</definedName>
    <definedName name="z_A7FLSL0150_MO_Unstructured_SNA_MOKPIREVSEMIAuto">Model!$1068:$1068</definedName>
    <definedName name="z_A7FLSL0150_MO_Unstructured_SNA_MOKPIREVSEMIAutoGrowth">Model!$1069:$1069</definedName>
    <definedName name="z_A7FLSL0150_MO_Unstructured_SNA_MOKPIREVSEMIComp">Model!$1070:$1070</definedName>
    <definedName name="z_A7FLSL0150_MO_Unstructured_SNA_MOKPIREVSEMICompGrowth">Model!$1071:$1071</definedName>
    <definedName name="z_A7FLSL0150_MO_Unstructured_SNA_MOKPIREVSEMICons">Model!$1074:$1074</definedName>
    <definedName name="z_A7FLSL0150_MO_Unstructured_SNA_MOKPIREVSEMIConsGrowth">Model!$1075:$1075</definedName>
    <definedName name="z_A7FLSL0150_MO_Unstructured_SNA_MOKPIREVSEMIData">Model!$1072:$1072</definedName>
    <definedName name="z_A7FLSL0150_MO_Unstructured_SNA_MOKPIREVSEMIDataGrowth">Model!$1073:$1073</definedName>
    <definedName name="z_A7FLSL0150_MO_Unstructured_SNA_MOKPIREVSEMIGrowth">Model!$1067:$1067</definedName>
    <definedName name="z_A7FLSL0150_MO_Unstructured_SNA_MOMAGM">Model!$1078:$1078</definedName>
    <definedName name="z_A7FLSL0150_MO_Unstructured_SNA_MOMARD">"Deleted"</definedName>
    <definedName name="z_A7FLSL0150_MO_Unstructured_SNA_MOMARDNONGAAP">Model!$1076:$1076</definedName>
    <definedName name="z_A7FLSL0150_MO_Unstructured_SNA_MOOSEmployeeCount">Model!$1065:$1065</definedName>
    <definedName name="z_A7FLSL0150_MO_Unstructured_SNA_MORISEBITDAAdj">Model!$1064:$1064</definedName>
    <definedName name="z_A7FLSL0150_MO_Unstructured_SNA_MORISEPSWADAdj">Model!$1063:$1063</definedName>
    <definedName name="z_A7FLSL0150_MO_Unstructured_SNA_MORISNINONGAAPDiluted">Model!$1062:$1062</definedName>
    <definedName name="z_A7FLSL0150_MO_Unstructured_SNA_MORISREV">Model!$1061:$1061</definedName>
    <definedName name="z_A7FLSL0150_MO_Unstructured_SNA_MostRecentFiscalPeriodMRFP">Model!$1176:$1176</definedName>
    <definedName name="z_A7FLSL0150_MO_Unstructured_SNA_MostRecentFX">Model!$1173:$1173</definedName>
    <definedName name="z_A7FLSL0150_MO_Unstructured_SNA_MostRecentFXHardcoded">Model!$1174:$1174</definedName>
    <definedName name="z_A7FLSL0150_MO_Unstructured_SNA_MRFPColumnNumber">Model!$1175:$1175</definedName>
    <definedName name="z_A7FLSL0150_MO_Unstructured_SNA_NASDAQNVDA">Model!$1042:$1042</definedName>
    <definedName name="z_A7FLSL0150_MO_Unstructured_SNA_NetRevenue">Model!$1053:$1053</definedName>
    <definedName name="z_A7FLSL0150_MO_Unstructured_SNA_NonGAAPAdjustedEarningsPerShareWAD">Model!$1055:$1055</definedName>
    <definedName name="z_A7FLSL0150_MO_Unstructured_SNA_NonGAAPEBITDA">Model!$1054:$1054</definedName>
    <definedName name="z_A7FLSL0150_MO_Unstructured_SNA_NVDAOQ">Model!$1044:$1044</definedName>
    <definedName name="z_A7FLSL0150_MO_Unstructured_SNA_NVDAUS">Model!$1041:$1041</definedName>
    <definedName name="z_A7FLSL0150_MO_Unstructured_SNA_NVDAUS_1">Model!$1043:$1043</definedName>
    <definedName name="z_A7FLSL0150_MO_Unstructured_SNA_NVDAUS_2">Model!$1040:$1040</definedName>
    <definedName name="z_A7FLSL0150_MO_Unstructured_SNA_PEAvg">Model!$1057:$1057</definedName>
    <definedName name="z_A7FLSL0150_MO_Unstructured_SNA_Period">Model!$1118:$1118</definedName>
    <definedName name="z_A7FLSL0150_MO_Unstructured_SNA_QuarterlyGuidanceTable">Model!$1081:$1081</definedName>
    <definedName name="z_A7FLSL0150_MO_Unstructured_SNA_RealTimeOffSource">Model!$1132:$1132</definedName>
    <definedName name="z_A7FLSL0150_MO_Unstructured_SNA_RealTimeOffSource_1">Model!$1139:$1139</definedName>
    <definedName name="z_A7FLSL0150_MO_Unstructured_SNA_RealTimeOffSource_2">Model!$1146:$1146</definedName>
    <definedName name="z_A7FLSL0150_MO_Unstructured_SNA_RealTimeOffSource_3">Model!$1153:$1153</definedName>
    <definedName name="z_A7FLSL0150_MO_Unstructured_SNA_RealTimeStockPrice">Model!$1167:$1167</definedName>
    <definedName name="z_A7FLSL0150_MO_Unstructured_SNA_Refinitiv">Model!$1136:$1136</definedName>
    <definedName name="z_A7FLSL0150_MO_Unstructured_SNA_Refinitiv_1">Model!$1143:$1143</definedName>
    <definedName name="z_A7FLSL0150_MO_Unstructured_SNA_Refinitiv_2">Model!$1150:$1150</definedName>
    <definedName name="z_A7FLSL0150_MO_Unstructured_SNA_Refinitiv_3">Model!$1157:$1157</definedName>
    <definedName name="z_A7FLSL0150_MO_Unstructured_SNA_ReportingDate">Model!$1082:$1082</definedName>
    <definedName name="z_A7FLSL0150_MO_Unstructured_SNA_ReportingDate_1">Model!$1099:$1099</definedName>
    <definedName name="z_A7FLSL0150_MO_Unstructured_SNA_StockAverageRealTimeOffSource">Model!$1145:$1145</definedName>
    <definedName name="z_A7FLSL0150_MO_Unstructured_SNA_StockHighRealTimeOffSource">Model!$1131:$1131</definedName>
    <definedName name="z_A7FLSL0150_MO_Unstructured_SNA_StockLowRealTimeOffSource">Model!$1138:$1138</definedName>
    <definedName name="z_A7FLSL0150_MO_Unstructured_SNA_StockPriceEoP">Model!$1160:$1160</definedName>
    <definedName name="z_A7FLSL0150_MO_Unstructured_SNA_StockPriceTable">Model!$1128:$1128</definedName>
    <definedName name="z_A7FLSL0150_MO_Unstructured_SNA_TickerSymbol">Model!$1039:$1039</definedName>
    <definedName name="z_A7FLSL0150_MO_Unstructured_SNA_TradeCurrency">Model!$1170:$1170</definedName>
    <definedName name="z_A7FLSL0150_MO_Unstructured_SNA_TradeCurrencyHardcoded">Model!$1171:$1171</definedName>
    <definedName name="z_A7FLSL0150_MO_Unstructured_SNA_ValuationToggleTable">Model!$1046:$1046</definedName>
    <definedName name="z_A7FLSL0150_MO_VA_EnterpriseValueAverage">Model!$747:$747</definedName>
    <definedName name="z_A7FLSL0150_MO_VA_EnterpriseValueAvg">"Deleted"</definedName>
    <definedName name="z_A7FLSL0150_MO_VA_enterprisevaluecomponents">Model!$764:$764</definedName>
    <definedName name="z_A7FLSL0150_MO_VA_EnterpriseValueHigh">"Deleted"</definedName>
    <definedName name="z_A7FLSL0150_MO_VA_EnterpriseValueLow">"Deleted"</definedName>
    <definedName name="z_A7FLSL0150_MO_VA_EVEBITDAAverage">Model!$751:$751</definedName>
    <definedName name="z_A7FLSL0150_MO_VA_FCFYieldtoAverageEnterpriseValue">Model!$754:$754</definedName>
    <definedName name="z_A7FLSL0150_MO_VA_FCFYieldtoAverageMarketCap">Model!$753:$753</definedName>
    <definedName name="z_A7FLSL0150_MO_VA_MarketCapAverage">Model!$746:$746</definedName>
    <definedName name="z_A7FLSL0150_MO_VA_MarketCapAvg">"Deleted"</definedName>
    <definedName name="z_A7FLSL0150_MO_VA_MarketCapHigh">"Deleted"</definedName>
    <definedName name="z_A7FLSL0150_MO_VA_MarketCapLow">"Deleted"</definedName>
    <definedName name="z_A7FLSL0150_MO_VA_NoncontrollingInterest">Model!$765:$765</definedName>
    <definedName name="z_A7FLSL0150_MO_VA_OtherEVComponents">Model!$767:$767</definedName>
    <definedName name="z_A7FLSL0150_MO_VA_PCFAverage">Model!$752:$752</definedName>
    <definedName name="z_A7FLSL0150_MO_VA_PEAverage">Model!$749:$749</definedName>
    <definedName name="z_A7FLSL0150_MO_VA_PreferredShares">Model!$766:$766</definedName>
    <definedName name="z_A7FLSL0150_MO_VA_StockAvg">Model!$758:$758</definedName>
    <definedName name="z_A7FLSL0150_MO_VA_StockHigh">Model!$756:$756</definedName>
    <definedName name="z_A7FLSL0150_MO_VA_StockLow">Model!$757:$757</definedName>
    <definedName name="z_A7FLSL0150_MO_VA_StockPriceAverage">Model!$745:$745</definedName>
    <definedName name="z_T31NOW0153_MO_RIS_DiscontinuedOperations">"Deleted"</definedName>
    <definedName name="z_T31NOW0153_MO_RIS_SBC">"Deleted"</definedName>
    <definedName name="z_T31NOW0153_MO_VA_EnterpriseValueAvg">"Deleted"</definedName>
    <definedName name="z_T31NOW0153_MO_VA_EnterpriseValueHigh">"Deleted"</definedName>
    <definedName name="z_T31NOW0153_MO_VA_EnterpriseValueLow">"Deleted"</definedName>
    <definedName name="z_T31NOW0153_MO_VA_MarketCapAvg">"Deleted"</definedName>
    <definedName name="z_T31NOW0153_MO_VA_MarketCapHigh">"Deleted"</definedName>
    <definedName name="z_T31NOW0153_MO_VA_MarketCapLow">"Deleted"</definedName>
    <definedName name="WS.CanalystName" localSheetId="0">"Front Page"</definedName>
    <definedName name="WS.CanalystName" localSheetId="3">"Model"</definedName>
    <definedName name="_xlnm.Print_Titles" localSheetId="3">'Model'!$5:$5</definedName>
    <definedName name="_xlnm.Print_Area" localSheetId="3">'Model'!$A$1:$CF$1009</definedName>
    <definedName name="WS_ColumnHeader" localSheetId="4">'Exec Comp'!$5:$5</definedName>
    <definedName name="WS_LastRow" localSheetId="4">'Exec Comp'!$129:$129</definedName>
    <definedName name="WS_PeriodMetadata_FPDays" localSheetId="4">'Exec Comp'!$3:$3</definedName>
    <definedName name="WS_PeriodMetadata_PAnnotation" localSheetId="4">'Exec Comp'!$2:$2</definedName>
    <definedName name="WS_PeriodMetadata_PEndDate" localSheetId="4">'Exec Comp'!$4:$4</definedName>
    <definedName name="WS_RowTitle" localSheetId="4">'Exec Comp'!$A:$A</definedName>
    <definedName name="WS_WorkingRange_FirstColumn" localSheetId="4">'Exec Comp'!$C:$C</definedName>
    <definedName name="WS_WorkingRange_FirstRow" localSheetId="4">'Exec Comp'!$6:$6</definedName>
    <definedName name="WS_WorkingRange_LastColumn" localSheetId="4">'Exec Comp'!$CF:$CF</definedName>
    <definedName name="WS_WorkingRange_LastRow" localSheetId="4">'Exec Comp'!$129:$129</definedName>
    <definedName name="WS.CanalystName" localSheetId="4">"Exec Comp"</definedName>
    <definedName name="WS.HasWorkingRange" localSheetId="4">"TRUE"</definedName>
    <definedName name="WS.WorkingRangeType" localSheetId="4">"Standard"</definedName>
    <definedName name="WS.WorksheetType" localSheetId="4">"Supplemental"</definedName>
    <definedName name="_xlnm._FilterDatabase" localSheetId="5" hidden="1">'Guidance'!$A$5:$U$5</definedName>
    <definedName name="WS.CanalystName" localSheetId="6">"Summary Page"</definedName>
    <definedName name="_xlnm.Print_Area" localSheetId="6">'Summary Page'!$A$1:$CF$126</definedName>
    <definedName name="FP.DataSourceName" localSheetId="7">'Front Page'!$H$15</definedName>
    <definedName name="FP.LastPrice" localSheetId="7">'Front Page'!$H$20</definedName>
    <definedName name="FP.LastPriceDate" localSheetId="7">'Front Page'!$F$20</definedName>
    <definedName name="FP.RealTimeToggle" localSheetId="7">'Front Page'!$H$18</definedName>
    <definedName name="HP.MRFX" localSheetId="7">MLNX!$B$488</definedName>
    <definedName name="HP.ReportCurrency" localSheetId="7">MLNX!$B$487</definedName>
    <definedName name="HP.Ticker" localSheetId="7">MLNX!$A$2</definedName>
    <definedName name="HP.TradeCurrency" localSheetId="7">MLNX!$B$485</definedName>
    <definedName name="HP.TradeCurrency.HardCoded" localSheetId="7">MLNX!$B$486</definedName>
    <definedName name="MO_BS_AP" localSheetId="7">MLNX!$372:$372</definedName>
    <definedName name="MO_BS_AR" localSheetId="7">MLNX!$354:$354</definedName>
    <definedName name="MO_BS_CA" localSheetId="7">MLNX!$358:$358</definedName>
    <definedName name="MO_BS_CL" localSheetId="7">MLNX!$378:$378</definedName>
    <definedName name="MO_BS_Goodwill" localSheetId="7">MLNX!$365:$365</definedName>
    <definedName name="MO_BS_Intangibles" localSheetId="7">MLNX!$363:$363</definedName>
    <definedName name="MO_BS_INV" localSheetId="7">MLNX!$355:$355</definedName>
    <definedName name="MO_BS_NCA" localSheetId="7">MLNX!$368:$368</definedName>
    <definedName name="MO_BS_NCI" localSheetId="7">MLNX!$396:$396</definedName>
    <definedName name="MO_BS_NCL" localSheetId="7">MLNX!$387:$387</definedName>
    <definedName name="MO_BS_PPE" localSheetId="7">MLNX!$361:$361</definedName>
    <definedName name="MO_BS_SE" localSheetId="7">MLNX!$395:$395</definedName>
    <definedName name="MO_BS_TA" localSheetId="7">MLNX!$369:$369</definedName>
    <definedName name="MO_BS_TL" localSheetId="7">MLNX!$388:$388</definedName>
    <definedName name="MO_BS_TLSE" localSheetId="7">MLNX!$397:$397</definedName>
    <definedName name="MO_BSS_Cash" localSheetId="7">MLNX!$208:$208</definedName>
    <definedName name="MO_BSS_Debt" localSheetId="7">MLNX!$209:$209</definedName>
    <definedName name="MO_BSS_Debt_Net" localSheetId="7">MLNX!$210:$210</definedName>
    <definedName name="MO_BSS_Debt_ToCF" localSheetId="7">MLNX!$212:$212</definedName>
    <definedName name="MO_BSS_Debt_ToEBITDA" localSheetId="7">MLNX!$211:$211</definedName>
    <definedName name="MO_CCFS_Balance_Begin" localSheetId="7">MLNX!$283:$283</definedName>
    <definedName name="MO_CCFS_Balance_End" localSheetId="7">MLNX!$284:$284</definedName>
    <definedName name="MO_CCFS_CFF" localSheetId="7">MLNX!$278:$278</definedName>
    <definedName name="MO_CCFS_CFI" localSheetId="7">MLNX!$267:$267</definedName>
    <definedName name="MO_CCFS_CFO" localSheetId="7">MLNX!$253:$253</definedName>
    <definedName name="MO_CCFS_CFO_BeforeWC" localSheetId="7">MLNX!$247:$247</definedName>
    <definedName name="MO_CCFS_FX" localSheetId="7">MLNX!$280:$280</definedName>
    <definedName name="MO_CCFS_NetChange" localSheetId="7">MLNX!$281:$281</definedName>
    <definedName name="MO_CFS_Balance_Begin" localSheetId="7">MLNX!$333:$333</definedName>
    <definedName name="MO_CFS_Balance_End" localSheetId="7">MLNX!$334:$334</definedName>
    <definedName name="MO_CFS_CFF" localSheetId="7">MLNX!$328:$328</definedName>
    <definedName name="MO_CFS_CFI" localSheetId="7">MLNX!$317:$317</definedName>
    <definedName name="MO_CFS_CFO" localSheetId="7">MLNX!$303:$303</definedName>
    <definedName name="MO_CFS_CFO_BeforeWC" localSheetId="7">MLNX!$297:$297</definedName>
    <definedName name="MO_CFS_FX" localSheetId="7">MLNX!$330:$330</definedName>
    <definedName name="MO_CFS_NetChange" localSheetId="7">MLNX!$331:$331</definedName>
    <definedName name="MO_CFSum_Acquisition" localSheetId="7">MLNX!$198:$198</definedName>
    <definedName name="MO_CFSum_Capex" localSheetId="7">MLNX!$196:$196</definedName>
    <definedName name="MO_CFSum_CFO_BeforeWC" localSheetId="7">MLNX!$193:$193</definedName>
    <definedName name="MO_CFSum_CFPS" localSheetId="7">MLNX!$194:$194</definedName>
    <definedName name="MO_CFSum_Divestiture" localSheetId="7">MLNX!$199:$199</definedName>
    <definedName name="MO_CFSum_Dividend" localSheetId="7">MLNX!$200:$200</definedName>
    <definedName name="MO_CFSum_DPS" localSheetId="7">MLNX!$201:$201</definedName>
    <definedName name="MO_CFSum_FCF_PostDivPostAD" localSheetId="7">MLNX!$205:$205</definedName>
    <definedName name="MO_CFSum_FCF_PostDivPreAD" localSheetId="7">MLNX!$204:$204</definedName>
    <definedName name="MO_CFSum_FCF_PreDiv" localSheetId="7">MLNX!$203:$203</definedName>
    <definedName name="MO_Checks_Bottom" localSheetId="7">MLNX!$C$402:$XFD$421</definedName>
    <definedName name="MO_Checks_BS" localSheetId="7">MLNX!$399:$399</definedName>
    <definedName name="MO_Checks_CF" localSheetId="7">MLNX!$336:$336</definedName>
    <definedName name="MO_Checks_IS" localSheetId="7">MLNX!$72:$72</definedName>
    <definedName name="MO_Common_Column_A" localSheetId="7">MLNX!$A:$A</definedName>
    <definedName name="MO_Common_Column_B" localSheetId="7">MLNX!$B:$B</definedName>
    <definedName name="MO_Common_ColumnHeader" localSheetId="7">MLNX!$5:$5</definedName>
    <definedName name="MO_Common_CompanySubtitle" localSheetId="7">MLNX!$2:$2</definedName>
    <definedName name="MO_Common_CompanyTitle" localSheetId="7">MLNX!$1:$1</definedName>
    <definedName name="MO_Common_FPDays" localSheetId="7">MLNX!$3:$3</definedName>
    <definedName name="MO_Common_QEndDate" localSheetId="7">MLNX!$4:$4</definedName>
    <definedName name="MO_GA_TotalRevenue" localSheetId="7">MLNX!$11:$11</definedName>
    <definedName name="MO_IS_FirstRow" localSheetId="7">MLNX!$56:$56</definedName>
    <definedName name="MO_MA_COGS" localSheetId="7">MLNX!$39:$39</definedName>
    <definedName name="MO_MA_COGS_NONGAAP" localSheetId="7">MLNX!$40:$40</definedName>
    <definedName name="MO_MA_GA" localSheetId="7">MLNX!$45:$45</definedName>
    <definedName name="MO_MA_GA_NONGAAP" localSheetId="7">MLNX!$46:$46</definedName>
    <definedName name="MO_MA_GM" localSheetId="7">MLNX!$41:$41</definedName>
    <definedName name="MO_MA_GM_NONGAAP" localSheetId="7">MLNX!$42:$42</definedName>
    <definedName name="MO_MA_OperatingIncome" localSheetId="7">MLNX!$52:$52</definedName>
    <definedName name="MO_MA_OperatingIncome_NONGAAP" localSheetId="7">MLNX!$51:$51</definedName>
    <definedName name="MO_MA_RD" localSheetId="7">MLNX!$49:$49</definedName>
    <definedName name="MO_MA_RD_NONGAAP" localSheetId="7">MLNX!$50:$50</definedName>
    <definedName name="MO_MA_SM" localSheetId="7">MLNX!$47:$47</definedName>
    <definedName name="MO_MA_SM_NONGAAP" localSheetId="7">MLNX!$48:$48</definedName>
    <definedName name="MO_RIS_AcquisitionCharges_COGS" localSheetId="7">MLNX!$139:$139</definedName>
    <definedName name="MO_RIS_COGS" localSheetId="7">MLNX!$136:$136</definedName>
    <definedName name="MO_RIS_COGS_Adjustments" localSheetId="7">MLNX!$140:$140</definedName>
    <definedName name="MO_RIS_DA" localSheetId="7">MLNX!$163:$163</definedName>
    <definedName name="MO_RIS_DAintangibles" localSheetId="7">MLNX!$174:$174</definedName>
    <definedName name="MO_RIS_DAintangibles_COGS" localSheetId="7">MLNX!$138:$138</definedName>
    <definedName name="MO_RIS_EBITDA_Adj" localSheetId="7">MLNX!$164:$164</definedName>
    <definedName name="MO_RIS_EPS_WAB" localSheetId="7">MLNX!$183:$183</definedName>
    <definedName name="MO_RIS_EPS_WAD" localSheetId="7">MLNX!$184:$184</definedName>
    <definedName name="MO_RIS_EPS_WAD_Adj" localSheetId="7">MLNX!$185:$185</definedName>
    <definedName name="MO_RIS_GA" localSheetId="7">MLNX!$148:$148</definedName>
    <definedName name="MO_RIS_GA_NONGAAP" localSheetId="7">MLNX!$152:$152</definedName>
    <definedName name="MO_RIS_GAAP_Adjustments" localSheetId="7">MLNX!$175:$175</definedName>
    <definedName name="MO_RIS_GP_NONGAAP" localSheetId="7">MLNX!$141:$141</definedName>
    <definedName name="MO_RIS_IE_NONGAAP" localSheetId="7">MLNX!$167:$167</definedName>
    <definedName name="MO_RIS_NI_GAAP_Basic" localSheetId="7">MLNX!$176:$176</definedName>
    <definedName name="MO_RIS_NI_GAAP_Diluted" localSheetId="7">MLNX!$178:$178</definedName>
    <definedName name="MO_RIS_NI_NONGAAP_Diluted" localSheetId="7">MLNX!$172:$172</definedName>
    <definedName name="MO_RIS_OI_NONGAAP" localSheetId="7">MLNX!$168:$168</definedName>
    <definedName name="MO_RIS_OtherOperating_NONGAAP" localSheetId="7">MLNX!$159:$159</definedName>
    <definedName name="MO_RIS_RD" localSheetId="7">MLNX!$143:$143</definedName>
    <definedName name="MO_RIS_RD_NONGAAP" localSheetId="7">MLNX!$147:$147</definedName>
    <definedName name="MO_RIS_Reported_OperatingIncome_NONGAAP" localSheetId="7">MLNX!$160:$160</definedName>
    <definedName name="MO_RIS_REV" localSheetId="7">MLNX!$133:$133</definedName>
    <definedName name="MO_RIS_SBC" localSheetId="7">MLNX!$173:$173</definedName>
    <definedName name="MO_RIS_SBC_COGS" localSheetId="7">MLNX!$137:$137</definedName>
    <definedName name="MO_RIS_ShareCount_WAB" localSheetId="7">MLNX!$188:$188</definedName>
    <definedName name="MO_RIS_ShareCount_WAD" localSheetId="7">MLNX!$189:$189</definedName>
    <definedName name="MO_RIS_ShareCount_WAD_Adj" localSheetId="7">MLNX!$190:$190</definedName>
    <definedName name="MO_RIS_SM" localSheetId="7">MLNX!$153:$153</definedName>
    <definedName name="MO_RIS_SM_NONGAAP" localSheetId="7">MLNX!$157:$157</definedName>
    <definedName name="MO_RIS_Tax_NONGAAP" localSheetId="7">MLNX!$171:$171</definedName>
    <definedName name="MO_RIS_TaxRate_NONGAAP" localSheetId="7">MLNX!$180:$180</definedName>
    <definedName name="MO_Section_AdjustedNumbers" localSheetId="7">MLNX!$74:$74</definedName>
    <definedName name="MO_Section_BalanceSheet" localSheetId="7">MLNX!$349:$349</definedName>
    <definedName name="MO_Section_BalanceSheetSummary" localSheetId="7">MLNX!$207:$207</definedName>
    <definedName name="MO_Section_CashFlowStatement" localSheetId="7">MLNX!$286:$286</definedName>
    <definedName name="MO_Section_CashFlowSummary" localSheetId="7">MLNX!$192:$192</definedName>
    <definedName name="MO_Section_Copyright" localSheetId="7">MLNX!$495:$495</definedName>
    <definedName name="MO_Section_CumulativeCashFlowStatement" localSheetId="7">MLNX!$236:$236</definedName>
    <definedName name="MO_Section_GrowthAnalysis" localSheetId="7">MLNX!$6:$6</definedName>
    <definedName name="MO_Section_IncomeStatement" localSheetId="7">MLNX!$55:$55</definedName>
    <definedName name="MO_Section_KeyMetricsMajorCustomerswithRevenues10FS" localSheetId="7">MLNX!$33:$33</definedName>
    <definedName name="MO_Section_LastRow" localSheetId="7">MLNX!$495:$495</definedName>
    <definedName name="MO_Section_MarginAnalysis" localSheetId="7">MLNX!$38:$38</definedName>
    <definedName name="MO_Section_ModelChecks" localSheetId="7">MLNX!$401:$401</definedName>
    <definedName name="MO_Section_RevisedIncomeStatement" localSheetId="7">MLNX!$132:$132</definedName>
    <definedName name="MO_Section_SegmentedResultsRevenueBreakdownInterconnectProtocolandDataRateFS" localSheetId="7">MLNX!$20:$20</definedName>
    <definedName name="MO_Section_SegmentedResultsRevenueBreakdownProductCategoryFS" localSheetId="7">MLNX!$13:$13</definedName>
    <definedName name="MO_Section_Tables" localSheetId="7">MLNX!$423:$423</definedName>
    <definedName name="MO_Section_Valuation" localSheetId="7">MLNX!$214:$214</definedName>
    <definedName name="MO_Section_WorkingCapitalForecasting" localSheetId="7">MLNX!$338:$338</definedName>
    <definedName name="MO_SNA_FPStartDate" localSheetId="7">MLNX!$449:$449</definedName>
    <definedName name="MO_SNA_IsHistoricalPeriod" localSheetId="7">MLNX!$450:$450</definedName>
    <definedName name="MO_SNA_LastDataRow" localSheetId="7">MLNX!$397:$397</definedName>
    <definedName name="MO_SPT_FXAverage" localSheetId="7">MLNX!$472:$472</definedName>
    <definedName name="MO_SPT_FXAverage_Sources" localSheetId="7">MLNX!$473:$477</definedName>
    <definedName name="MO_SPT_StockAverage" localSheetId="7">MLNX!$465:$465</definedName>
    <definedName name="MO_SPT_StockAverage_Sources" localSheetId="7">MLNX!$466:$470</definedName>
    <definedName name="MO_SPT_StockHigh" localSheetId="7">MLNX!$451:$451</definedName>
    <definedName name="MO_SPT_StockHigh_Sources" localSheetId="7">MLNX!$452:$456</definedName>
    <definedName name="MO_SPT_StockLow" localSheetId="7">MLNX!$458:$458</definedName>
    <definedName name="MO_SPT_StockLow_Sources" localSheetId="7">MLNX!$459:$463</definedName>
    <definedName name="MO_SubSection_BS_CA" localSheetId="7">MLNX!$350:$350</definedName>
    <definedName name="MO_SubSection_BS_CL" localSheetId="7">MLNX!$371:$371</definedName>
    <definedName name="MO_SubSection_BS_NCA" localSheetId="7">MLNX!$360:$360</definedName>
    <definedName name="MO_SubSection_BS_NCL" localSheetId="7">MLNX!$380:$380</definedName>
    <definedName name="MO_SubSection_BS_SE" localSheetId="7">MLNX!$390:$390</definedName>
    <definedName name="MO_SubSection_CCFS_CFF" localSheetId="7">MLNX!$269:$269</definedName>
    <definedName name="MO_SubSection_CCFS_CFI" localSheetId="7">MLNX!$255:$255</definedName>
    <definedName name="MO_SubSection_CCFS_CFO" localSheetId="7">MLNX!$237:$237</definedName>
    <definedName name="MO_SubSection_CFS_CFF" localSheetId="7">MLNX!$319:$319</definedName>
    <definedName name="MO_SubSection_CFS_CFI" localSheetId="7">MLNX!$305:$305</definedName>
    <definedName name="MO_SubSection_CFS_CFO" localSheetId="7">MLNX!$287:$287</definedName>
    <definedName name="MO_VA_EV" localSheetId="7">MLNX!$217:$217</definedName>
    <definedName name="MO_VA_EV_ToEBITDA" localSheetId="7">MLNX!$220:$220</definedName>
    <definedName name="MO_VA_EVCalc_NCI" localSheetId="7">MLNX!$232:$232</definedName>
    <definedName name="MO_VA_EVCalc_Other" localSheetId="7">MLNX!$234:$234</definedName>
    <definedName name="MO_VA_EVCalc_Prefs" localSheetId="7">MLNX!$233:$233</definedName>
    <definedName name="MO_VA_FCFYield_ToEV" localSheetId="7">MLNX!$223:$223</definedName>
    <definedName name="MO_VA_FCFYield_ToMktCap" localSheetId="7">MLNX!$222:$222</definedName>
    <definedName name="MO_VA_FX_Average" localSheetId="7">MLNX!$228:$228</definedName>
    <definedName name="MO_VA_MarketCap" localSheetId="7">MLNX!$216:$216</definedName>
    <definedName name="MO_VA_P_ToCF" localSheetId="7">MLNX!$221:$221</definedName>
    <definedName name="MO_VA_P_ToE" localSheetId="7">MLNX!$219:$219</definedName>
    <definedName name="MO_VA_StockPrice" localSheetId="7">MLNX!$215:$215</definedName>
    <definedName name="MO_VA_StockPrice_Avg" localSheetId="7">MLNX!$227:$227</definedName>
    <definedName name="MO_VA_StockPrice_High" localSheetId="7">MLNX!$225:$225</definedName>
    <definedName name="MO_VA_StockPrice_Low" localSheetId="7">MLNX!$226:$226</definedName>
    <definedName name="MO_VA_StockPrice_TradingCurrency" localSheetId="7">MLNX!$229:$229</definedName>
    <definedName name="MO_WCF_AP_Margin" localSheetId="7">MLNX!$341:$341</definedName>
    <definedName name="MO_WCF_AP_Margin_Change" localSheetId="7">MLNX!$346:$346</definedName>
    <definedName name="MO_WCF_AR_Margin" localSheetId="7">MLNX!$339:$339</definedName>
    <definedName name="MO_WCF_AR_Margin_Change" localSheetId="7">MLNX!$344:$344</definedName>
    <definedName name="MO_WCF_INV_Margin" localSheetId="7">MLNX!$340:$340</definedName>
    <definedName name="MO_WCF_INV_Margin_Change" localSheetId="7">MLNX!$345:$345</definedName>
    <definedName name="MO.CFY" localSheetId="7">MLNX!$B$492</definedName>
    <definedName name="MO.CompanyName" localSheetId="7">MLNX!$A$1</definedName>
    <definedName name="MO.DataSourceIndex" localSheetId="7">MLNX!$B$493</definedName>
    <definedName name="MO.DataSourceName" localSheetId="7">MLNX!$A$4</definedName>
    <definedName name="MO.LastPrice" localSheetId="7">MLNX!$B$3</definedName>
    <definedName name="MO.LastPriceDate" localSheetId="7">MLNX!$B$482</definedName>
    <definedName name="MO.LastPriceFormula" localSheetId="7">MLNX!$B$484</definedName>
    <definedName name="MO.LastPriceHardcoded" localSheetId="7">MLNX!$B$481</definedName>
    <definedName name="MO.MRFP" localSheetId="7">MLNX!$B$491</definedName>
    <definedName name="MO.MRFPColumnNumber" localSheetId="7">MLNX!$B$490</definedName>
    <definedName name="MO.MRFX.Hardcoded" localSheetId="7">MLNX!$B$489</definedName>
    <definedName name="MO.RealTime" localSheetId="7">MLNX!$B$4</definedName>
    <definedName name="MO.RealTimeStockPriceToggle" localSheetId="7">MLNX!$B$483</definedName>
    <definedName name="MO.ReportCurrency" localSheetId="7">MLNX!$B$487</definedName>
    <definedName name="MO.ReportFX" localSheetId="7">MLNX!$A$5</definedName>
    <definedName name="MO.Ticker" localSheetId="7">MLNX!$A$2</definedName>
    <definedName name="MO.Ticker.Bloomberg" localSheetId="7">MLNX!$A$426</definedName>
    <definedName name="MO.Ticker.CapIQ" localSheetId="7">MLNX!$A$427</definedName>
    <definedName name="MO.Ticker.FactSet" localSheetId="7">MLNX!$A$428</definedName>
    <definedName name="MO.Ticker.Thomson" localSheetId="7">MLNX!$A$429</definedName>
    <definedName name="MO.TradingCurrency" localSheetId="7">MLNX!$A$3</definedName>
    <definedName name="MO.ValuationToggle" localSheetId="7">MLNX!$B$215</definedName>
    <definedName name="tb_ConsensusEstimate" localSheetId="7">MLNX!$A$436:$AW$446</definedName>
    <definedName name="tb_EntireModel" localSheetId="7">MLNX!$A$1:$AW$399</definedName>
    <definedName name="tb_StockPrice" localSheetId="7">MLNX!$A$448:$AW$478</definedName>
    <definedName name="tb_Tickers" localSheetId="7">MLNX!$A$425:$A$429</definedName>
    <definedName name="tb_ValuationToggle" localSheetId="7">MLNX!$A$431:$B$434</definedName>
    <definedName name="z_T31NOW0153_MO_AN_Acquisitionrelatedcharges" localSheetId="7">"Deleted"</definedName>
    <definedName name="z_T31NOW0153_MO_AN_Acquisitionrelatedcharges_1" localSheetId="7">"Deleted"</definedName>
    <definedName name="z_T31NOW0153_MO_AN_Acquisitionrelatedcharges_2" localSheetId="7">"Deleted"</definedName>
    <definedName name="z_T31NOW0153_MO_AN_Acquisitionrelatedcharges_3" localSheetId="7">"Deleted"</definedName>
    <definedName name="z_T31NOW0153_MO_AN_amortizationofacquiredintangibleassets" localSheetId="7">"Deleted"</definedName>
    <definedName name="z_T31NOW0153_MO_AN_amortizationofacquiredintangibleassets_1" localSheetId="7">"Deleted"</definedName>
    <definedName name="z_T31NOW0153_MO_AN_amortizationofacquiredintangibles" localSheetId="7">"Deleted"</definedName>
    <definedName name="z_T31NOW0153_MO_AN_amortizationofacquiredintangibles_1" localSheetId="7">"Deleted"</definedName>
    <definedName name="z_T31NOW0153_MO_AN_benefitfromprovisionforincometaxesvaluationallowanceadjustment" localSheetId="7">"Deleted"</definedName>
    <definedName name="z_T31NOW0153_MO_AN_costofgoodssold" localSheetId="7">"Deleted"</definedName>
    <definedName name="z_T31NOW0153_MO_AN_Costofgoodssoldacquisitionrelatedcharges" localSheetId="7">"Deleted"</definedName>
    <definedName name="z_T31NOW0153_MO_AN_CostofgoodssoldSettlementCosts" localSheetId="7">"Deleted"</definedName>
    <definedName name="z_T31NOW0153_MO_AN_Costofrevenuesintangibleamortization" localSheetId="7">"Deleted"</definedName>
    <definedName name="z_T31NOW0153_MO_AN_deferredtaxesonnolisrael" localSheetId="7">"Deleted"</definedName>
    <definedName name="z_T31NOW0153_MO_AN_gaapgrossprofit" localSheetId="7">"Deleted"</definedName>
    <definedName name="z_T31NOW0153_MO_AN_gaapincomelossfromoperations" localSheetId="7">"Deleted"</definedName>
    <definedName name="z_T31NOW0153_MO_AN_gaaplossnetincome" localSheetId="7">"Deleted"</definedName>
    <definedName name="z_T31NOW0153_MO_AN_gaapoperatingexpenses" localSheetId="7">"Deleted"</definedName>
    <definedName name="z_T31NOW0153_MO_AN_generalandadministrative" localSheetId="7">"Deleted"</definedName>
    <definedName name="z_T31NOW0153_MO_AN_Generalandadministrativeacquisitionrelatedcharges" localSheetId="7">"Deleted"</definedName>
    <definedName name="z_T31NOW0153_MO_AN_GeneralandadministrativeSettlementCosts" localSheetId="7">"Deleted"</definedName>
    <definedName name="z_T31NOW0153_MO_AN_Impairmentlossonequityinvestmentinaprivatecompany" localSheetId="7">"Deleted"</definedName>
    <definedName name="z_T31NOW0153_MO_AN_nongaapgrossprofit" localSheetId="7">"Deleted"</definedName>
    <definedName name="z_T31NOW0153_MO_AN_nongaapincomefromoperations" localSheetId="7">"Deleted"</definedName>
    <definedName name="z_T31NOW0153_MO_AN_nongaapnetincome" localSheetId="7">"Deleted"</definedName>
    <definedName name="z_T31NOW0153_MO_AN_nongaapoperatingexpenses" localSheetId="7">"Deleted"</definedName>
    <definedName name="z_T31NOW0153_MO_AN_Nonoperatingforeignexchangeloss" localSheetId="7">"Deleted"</definedName>
    <definedName name="z_T31NOW0153_MO_AN_Otherincome" localSheetId="7">"Deleted"</definedName>
    <definedName name="z_T31NOW0153_MO_AN_researchanddevelopment" localSheetId="7">"Deleted"</definedName>
    <definedName name="z_T31NOW0153_MO_AN_Researchanddevelopmentacquisitionrelatedcharges" localSheetId="7">"Deleted"</definedName>
    <definedName name="z_T31NOW0153_MO_AN_Researchanddevelopmentintangibleamortization" localSheetId="7">"Deleted"</definedName>
    <definedName name="z_T31NOW0153_MO_AN_Restructuringandrelatedcharges" localSheetId="7">"Deleted"</definedName>
    <definedName name="z_T31NOW0153_MO_AN_Restructuringandrelatedcharges_1" localSheetId="7">"Deleted"</definedName>
    <definedName name="z_T31NOW0153_MO_AN_Restructuringandrelatedcharges_2" localSheetId="7">"Deleted"</definedName>
    <definedName name="z_T31NOW0153_MO_AN_salesandmarketing" localSheetId="7">"Deleted"</definedName>
    <definedName name="z_T31NOW0153_MO_AN_Salesandmarketingacquisitionrelatedcharges" localSheetId="7">"Deleted"</definedName>
    <definedName name="z_T31NOW0153_MO_AN_Salesandmarketingintangibleamortization" localSheetId="7">"Deleted"</definedName>
    <definedName name="z_T31NOW0153_MO_AN_sbcexpense" localSheetId="7">"Deleted"</definedName>
    <definedName name="z_T31NOW0153_MO_AN_sbcexpense_1" localSheetId="7">"Deleted"</definedName>
    <definedName name="z_T31NOW0153_MO_AN_sbcexpense_2" localSheetId="7">"Deleted"</definedName>
    <definedName name="z_T31NOW0153_MO_AN_sbcexpense_3" localSheetId="7">"Deleted"</definedName>
    <definedName name="z_T31NOW0153_MO_AN_settlementcosts" localSheetId="7">"Deleted"</definedName>
    <definedName name="z_T31NOW0153_MO_AN_settlementcosts_1" localSheetId="7">"Deleted"</definedName>
    <definedName name="z_T31NOW0153_MO_AN_settlementcosts_2" localSheetId="7">"Deleted"</definedName>
    <definedName name="z_T31NOW0153_MO_AN_settlementcosts_3" localSheetId="7">"Deleted"</definedName>
    <definedName name="z_T31NOW0153_MO_AN_TotalAcquisitionRelatedCharges" localSheetId="7">"Deleted"</definedName>
    <definedName name="z_T31NOW0153_MO_AN_TotalAmortizationofAcquiredIntangibles" localSheetId="7">"Deleted"</definedName>
    <definedName name="z_T31NOW0153_MO_AN_TotalSettlementCosts" localSheetId="7">"Deleted"</definedName>
    <definedName name="z_T31NOW0153_MO_AN_totalsharebasedcompensationexpense" localSheetId="7">"Deleted"</definedName>
    <definedName name="z_T31NOW0153_MO_BlankRow_AN" localSheetId="7">"Deleted"</definedName>
    <definedName name="z_T31NOW0153_MO_BlankRow_AN_1" localSheetId="7">"Deleted"</definedName>
    <definedName name="z_T31NOW0153_MO_BlankRow_AN_2" localSheetId="7">"Deleted"</definedName>
    <definedName name="z_T31NOW0153_MO_BlankRow_AN_3" localSheetId="7">"Deleted"</definedName>
    <definedName name="z_T31NOW0153_MO_BlankRow_AN_4" localSheetId="7">"Deleted"</definedName>
    <definedName name="z_T31NOW0153_MO_BlankRow_AN_5" localSheetId="7">"Deleted"</definedName>
    <definedName name="z_T31NOW0153_MO_BlankRow_AN_6" localSheetId="7">"Deleted"</definedName>
    <definedName name="z_T31NOW0153_MO_BlankRow_AN_7" localSheetId="7">"Deleted"</definedName>
    <definedName name="z_T31NOW0153_MO_BlankRow_BS_1" localSheetId="7">"Deleted"</definedName>
    <definedName name="z_T31NOW0153_MO_BlankRow_BS_2" localSheetId="7">"Deleted"</definedName>
    <definedName name="z_T31NOW0153_MO_BlankRow_BS_3" localSheetId="7">"Deleted"</definedName>
    <definedName name="z_T31NOW0153_MO_BlankRow_BS_4" localSheetId="7">"Deleted"</definedName>
    <definedName name="z_T31NOW0153_MO_BlankRow_BS_5" localSheetId="7">"Deleted"</definedName>
    <definedName name="z_T31NOW0153_MO_BlankRow_BS_6" localSheetId="7">"Deleted"</definedName>
    <definedName name="z_T31NOW0153_MO_BlankRow_BSS" localSheetId="7">"Deleted"</definedName>
    <definedName name="z_T31NOW0153_MO_BlankRow_CCFS" localSheetId="7">"Deleted"</definedName>
    <definedName name="z_T31NOW0153_MO_BlankRow_CCFS_1" localSheetId="7">"Deleted"</definedName>
    <definedName name="z_T31NOW0153_MO_BlankRow_CCFS_2" localSheetId="7">"Deleted"</definedName>
    <definedName name="z_T31NOW0153_MO_BlankRow_CCFS_3" localSheetId="7">"Deleted"</definedName>
    <definedName name="z_T31NOW0153_MO_BlankRow_CCFS_4" localSheetId="7">"Deleted"</definedName>
    <definedName name="z_T31NOW0153_MO_BlankRow_CFS_2" localSheetId="7">"Deleted"</definedName>
    <definedName name="z_T31NOW0153_MO_BlankRow_CFS_3" localSheetId="7">"Deleted"</definedName>
    <definedName name="z_T31NOW0153_MO_BlankRow_CFS_4" localSheetId="7">"Deleted"</definedName>
    <definedName name="z_T31NOW0153_MO_BlankRow_CFS_5" localSheetId="7">"Deleted"</definedName>
    <definedName name="z_T31NOW0153_MO_BlankRow_CFS_6" localSheetId="7">"Deleted"</definedName>
    <definedName name="z_T31NOW0153_MO_BlankRow_CFS_7" localSheetId="7">"Deleted"</definedName>
    <definedName name="z_T31NOW0153_MO_BlankRow_CFSum" localSheetId="7">"Deleted"</definedName>
    <definedName name="z_T31NOW0153_MO_BlankRow_CFSum_1" localSheetId="7">"Deleted"</definedName>
    <definedName name="z_T31NOW0153_MO_BlankRow_GA" localSheetId="7">"Deleted"</definedName>
    <definedName name="z_T31NOW0153_MO_BlankRow_IS" localSheetId="7">"Deleted"</definedName>
    <definedName name="z_T31NOW0153_MO_BlankRow_IS_1" localSheetId="7">"Deleted"</definedName>
    <definedName name="z_T31NOW0153_MO_BlankRow_MA" localSheetId="7">"Deleted"</definedName>
    <definedName name="z_T31NOW0153_MO_BlankRow_MA_1" localSheetId="7">"Deleted"</definedName>
    <definedName name="z_T31NOW0153_MO_BlankRow_MA_2" localSheetId="7">"Deleted"</definedName>
    <definedName name="z_T31NOW0153_MO_BlankRow_MA_3" localSheetId="7">"Deleted"</definedName>
    <definedName name="z_T31NOW0153_MO_BlankRow_MA_4" localSheetId="7">"Deleted"</definedName>
    <definedName name="z_T31NOW0153_MO_BlankRow_MA_5" localSheetId="7">"Deleted"</definedName>
    <definedName name="z_T31NOW0153_MO_BlankRow_OS" localSheetId="7">"Deleted"</definedName>
    <definedName name="z_T31NOW0153_MO_BlankRow_OS_1" localSheetId="7">"Deleted"</definedName>
    <definedName name="z_T31NOW0153_MO_BlankRow_OS_2" localSheetId="7">"Deleted"</definedName>
    <definedName name="z_T31NOW0153_MO_BlankRow_OS_3" localSheetId="7">"Deleted"</definedName>
    <definedName name="z_T31NOW0153_MO_BlankRow_OS_4" localSheetId="7">"Deleted"</definedName>
    <definedName name="z_T31NOW0153_MO_BlankRow_RIS" localSheetId="7">"Deleted"</definedName>
    <definedName name="z_T31NOW0153_MO_BlankRow_RIS_1" localSheetId="7">"Deleted"</definedName>
    <definedName name="z_T31NOW0153_MO_BlankRow_RIS_2" localSheetId="7">"Deleted"</definedName>
    <definedName name="z_T31NOW0153_MO_BlankRow_RIS_3" localSheetId="7">"Deleted"</definedName>
    <definedName name="z_T31NOW0153_MO_BS_Accountspayable" localSheetId="7">"Deleted"</definedName>
    <definedName name="z_T31NOW0153_MO_BS_Accountsreceivable" localSheetId="7">"Deleted"</definedName>
    <definedName name="z_T31NOW0153_MO_BS_accruedliabilities" localSheetId="7">"Deleted"</definedName>
    <definedName name="z_T31NOW0153_MO_BS_accruedseverance" localSheetId="7">"Deleted"</definedName>
    <definedName name="z_T31NOW0153_MO_BS_Accumulatedothercomprehensiveincomeloss" localSheetId="7">"Deleted"</definedName>
    <definedName name="z_T31NOW0153_MO_BS_additionalpaidincapital" localSheetId="7">"Deleted"</definedName>
    <definedName name="z_T31NOW0153_MO_BS_BSCheck" localSheetId="7">"Deleted"</definedName>
    <definedName name="z_T31NOW0153_MO_BS_capitalleaseliabilities" localSheetId="7">"Deleted"</definedName>
    <definedName name="z_T31NOW0153_MO_BS_capitalleaseliabilities_1" localSheetId="7">"Deleted"</definedName>
    <definedName name="z_T31NOW0153_MO_BS_cashandcashequivalents" localSheetId="7">"Deleted"</definedName>
    <definedName name="z_T31NOW0153_MO_BS_CurrentAssets" localSheetId="7">"Deleted"</definedName>
    <definedName name="z_T31NOW0153_MO_BS_CurrentLiabilities" localSheetId="7">"Deleted"</definedName>
    <definedName name="z_T31NOW0153_MO_BS_Currentportionoftermdebt" localSheetId="7">"Deleted"</definedName>
    <definedName name="z_T31NOW0153_MO_BS_deferredrevenue" localSheetId="7">"Deleted"</definedName>
    <definedName name="z_T31NOW0153_MO_BS_deferredrevenue_1" localSheetId="7">"Deleted"</definedName>
    <definedName name="z_T31NOW0153_MO_BS_deferredtaxes" localSheetId="7">"Deleted"</definedName>
    <definedName name="z_T31NOW0153_MO_BS_Deferredtaxesandotherlongtermassets" localSheetId="7">"Deleted"</definedName>
    <definedName name="z_T31NOW0153_MO_BS_Goodwill" localSheetId="7">"Deleted"</definedName>
    <definedName name="z_T31NOW0153_MO_BS_Intangibleassets" localSheetId="7">"Deleted"</definedName>
    <definedName name="z_T31NOW0153_MO_BS_Inventories" localSheetId="7">"Deleted"</definedName>
    <definedName name="z_T31NOW0153_MO_BS_Leaseliabilities" localSheetId="7">"Deleted"</definedName>
    <definedName name="z_T31NOW0153_MO_BS_Leaseliabilities_1" localSheetId="7">"Deleted"</definedName>
    <definedName name="z_T31NOW0153_MO_BS_NCI" localSheetId="7">"Deleted"</definedName>
    <definedName name="z_T31NOW0153_MO_BS_NetIncomeonReportedISNIonRevised" localSheetId="7">"Deleted"</definedName>
    <definedName name="z_T31NOW0153_MO_BS_NetIncomeonRevisedISNIonCFstatement" localSheetId="7">"Deleted"</definedName>
    <definedName name="z_T31NOW0153_MO_BS_NonCurrentAssets" localSheetId="7">"Deleted"</definedName>
    <definedName name="z_T31NOW0153_MO_BS_NonCurrentLiabilities" localSheetId="7">"Deleted"</definedName>
    <definedName name="z_T31NOW0153_MO_BS_ordinaryshares" localSheetId="7">"Deleted"</definedName>
    <definedName name="z_T31NOW0153_MO_BS_Othercurrentassets" localSheetId="7">"Deleted"</definedName>
    <definedName name="z_T31NOW0153_MO_BS_Otherlongtermliabilities" localSheetId="7">"Deleted"</definedName>
    <definedName name="z_T31NOW0153_MO_BS_Propertyandequipment" localSheetId="7">"Deleted"</definedName>
    <definedName name="z_T31NOW0153_MO_BS_restrictedcash" localSheetId="7">"Deleted"</definedName>
    <definedName name="z_T31NOW0153_MO_BS_Restrictedcash_1" localSheetId="7">"Deleted"</definedName>
    <definedName name="z_T31NOW0153_MO_BS_retainedearnings" localSheetId="7">"Deleted"</definedName>
    <definedName name="z_T31NOW0153_MO_BS_Rightofuseassets" localSheetId="7">"Deleted"</definedName>
    <definedName name="z_T31NOW0153_MO_BS_severanceassets" localSheetId="7">"Deleted"</definedName>
    <definedName name="z_T31NOW0153_MO_BS_ShareholdersEquity" localSheetId="7">"Deleted"</definedName>
    <definedName name="z_T31NOW0153_MO_BS_shortterminvestments" localSheetId="7">"Deleted"</definedName>
    <definedName name="z_T31NOW0153_MO_BS_Termdebt" localSheetId="7">"Deleted"</definedName>
    <definedName name="z_T31NOW0153_MO_BS_TotalAssets" localSheetId="7">"Deleted"</definedName>
    <definedName name="z_T31NOW0153_MO_BS_TotalCurrentAssets" localSheetId="7">"Deleted"</definedName>
    <definedName name="z_T31NOW0153_MO_BS_TotalCurrentLiabilities" localSheetId="7">"Deleted"</definedName>
    <definedName name="z_T31NOW0153_MO_BS_TotalLiabilities" localSheetId="7">"Deleted"</definedName>
    <definedName name="z_T31NOW0153_MO_BS_TotalLiabilitiesSE" localSheetId="7">"Deleted"</definedName>
    <definedName name="z_T31NOW0153_MO_BS_TotalNonCurrentAssets" localSheetId="7">"Deleted"</definedName>
    <definedName name="z_T31NOW0153_MO_BS_TotalNonCurrentliabilities" localSheetId="7">"Deleted"</definedName>
    <definedName name="z_T31NOW0153_MO_BS_TotalSE" localSheetId="7">"Deleted"</definedName>
    <definedName name="z_T31NOW0153_MO_BSS_Cash" localSheetId="7">"Deleted"</definedName>
    <definedName name="z_T31NOW0153_MO_BSS_Debt" localSheetId="7">"Deleted"</definedName>
    <definedName name="z_T31NOW0153_MO_BSS_DebtCashFlow" localSheetId="7">"Deleted"</definedName>
    <definedName name="z_T31NOW0153_MO_BSS_DebtEBITDA" localSheetId="7">"Deleted"</definedName>
    <definedName name="z_T31NOW0153_MO_BSS_NetDebt" localSheetId="7">"Deleted"</definedName>
    <definedName name="z_T31NOW0153_MO_CCFS_accountspayable" localSheetId="7">"Deleted"</definedName>
    <definedName name="z_T31NOW0153_MO_CCFS_accountsreceivable" localSheetId="7">"Deleted"</definedName>
    <definedName name="z_T31NOW0153_MO_CCFS_Accruedliabilitiesandotherliabilities" localSheetId="7">"Deleted"</definedName>
    <definedName name="z_T31NOW0153_MO_CCFS_Acquisitionnetofcashacquired" localSheetId="7">"Deleted"</definedName>
    <definedName name="z_T31NOW0153_MO_CCFS_BeginningCashBalance" localSheetId="7">"Deleted"</definedName>
    <definedName name="z_T31NOW0153_MO_CCFS_CFF" localSheetId="7">"Deleted"</definedName>
    <definedName name="z_T31NOW0153_MO_CCFS_CFI" localSheetId="7">"Deleted"</definedName>
    <definedName name="z_T31NOW0153_MO_CCFS_CFO" localSheetId="7">"Deleted"</definedName>
    <definedName name="z_T31NOW0153_MO_CCFS_CFObeforeWC" localSheetId="7">"Deleted"</definedName>
    <definedName name="z_T31NOW0153_MO_CCFS_Debtissuancecosts" localSheetId="7">"Deleted"</definedName>
    <definedName name="z_T31NOW0153_MO_CCFS_deferredincometaxes" localSheetId="7">"Deleted"</definedName>
    <definedName name="z_T31NOW0153_MO_CCFS_depreciationandamortization" localSheetId="7">"Deleted"</definedName>
    <definedName name="z_T31NOW0153_MO_CCFS_Divestiture" localSheetId="7">"Deleted"</definedName>
    <definedName name="z_T31NOW0153_MO_CCFS_Dividendpaid" localSheetId="7">"Deleted"</definedName>
    <definedName name="z_T31NOW0153_MO_CCFS_EndingCashBalance" localSheetId="7">"Deleted"</definedName>
    <definedName name="z_T31NOW0153_MO_CCFS_excesstaxbenefitfromsbc" localSheetId="7">"Deleted"</definedName>
    <definedName name="z_T31NOW0153_MO_CCFS_excesstaxbenefitfromsharebasedcompensation" localSheetId="7">"Deleted"</definedName>
    <definedName name="z_T31NOW0153_MO_CCFS_FX" localSheetId="7">"Deleted"</definedName>
    <definedName name="z_T31NOW0153_MO_CCFS_Gainonsaleofaninvestmentinaprivatelyheldcompany" localSheetId="7">"Deleted"</definedName>
    <definedName name="z_T31NOW0153_MO_CCFS_Impairmentcharges" localSheetId="7">"Deleted"</definedName>
    <definedName name="z_T31NOW0153_MO_CCFS_inventories" localSheetId="7">"Deleted"</definedName>
    <definedName name="z_T31NOW0153_MO_CCFS_lossgainoninvestments" localSheetId="7">"Deleted"</definedName>
    <definedName name="z_T31NOW0153_MO_CCFS_Lossondisposalofpropertyandequipment" localSheetId="7">"Deleted"</definedName>
    <definedName name="z_T31NOW0153_MO_CCFS_NetCFF" localSheetId="7">"Deleted"</definedName>
    <definedName name="z_T31NOW0153_MO_CCFS_NetCFI" localSheetId="7">"Deleted"</definedName>
    <definedName name="z_T31NOW0153_MO_CCFS_NetCFO" localSheetId="7">"Deleted"</definedName>
    <definedName name="z_T31NOW0153_MO_CCFS_NetChangeinCashBalance" localSheetId="7">"Deleted"</definedName>
    <definedName name="z_T31NOW0153_MO_CCFS_netlossincome" localSheetId="7">"Deleted"</definedName>
    <definedName name="z_T31NOW0153_MO_CCFS_Prepaidexpensesandotherassets" localSheetId="7">"Deleted"</definedName>
    <definedName name="z_T31NOW0153_MO_CCFS_principalpaymentsoncapitalleaseobligations" localSheetId="7">"Deleted"</definedName>
    <definedName name="z_T31NOW0153_MO_CCFS_Principalpaymentsontermdebt" localSheetId="7">"Deleted"</definedName>
    <definedName name="z_T31NOW0153_MO_CCFS_Proceedsfrombanktermdebt" localSheetId="7">"Deleted"</definedName>
    <definedName name="z_T31NOW0153_MO_CCFS_proceedsfromexerciseofshareawards" localSheetId="7">"Deleted"</definedName>
    <definedName name="z_T31NOW0153_MO_CCFS_proceedsfrommaturitiesofshortterminvestments" localSheetId="7">"Deleted"</definedName>
    <definedName name="z_T31NOW0153_MO_CCFS_proceedsfrompublicoffering" localSheetId="7">"Deleted"</definedName>
    <definedName name="z_T31NOW0153_MO_CCFS_Proceedsfromsaleofaninvestmentinprivatelyheldcompanies" localSheetId="7">"Deleted"</definedName>
    <definedName name="z_T31NOW0153_MO_CCFS_proceedsfromsalesofshortterminvestments" localSheetId="7">"Deleted"</definedName>
    <definedName name="z_T31NOW0153_MO_CCFS_Purchaseofequityinvestmentsinprivatecompanies" localSheetId="7">"Deleted"</definedName>
    <definedName name="z_T31NOW0153_MO_CCFS_purchaseofintangibleassets" localSheetId="7">"Deleted"</definedName>
    <definedName name="z_T31NOW0153_MO_CCFS_purchaseofpropertyandequipment" localSheetId="7">"Deleted"</definedName>
    <definedName name="z_T31NOW0153_MO_CCFS_purchaseofseverancerelatedinsurancepolicies" localSheetId="7">"Deleted"</definedName>
    <definedName name="z_T31NOW0153_MO_CCFS_purchaseofshortterminvestments" localSheetId="7">"Deleted"</definedName>
    <definedName name="z_T31NOW0153_MO_CCFS_restrictedcash" localSheetId="7">"Deleted"</definedName>
    <definedName name="z_T31NOW0153_MO_CCFS_sharebasedcompensation" localSheetId="7">"Deleted"</definedName>
    <definedName name="z_T31NOW0153_MO_CFS_accountspayable" localSheetId="7">"Deleted"</definedName>
    <definedName name="z_T31NOW0153_MO_CFS_accountsreceivable" localSheetId="7">"Deleted"</definedName>
    <definedName name="z_T31NOW0153_MO_CFS_Accruedliabilitiesandotherliabilities" localSheetId="7">"Deleted"</definedName>
    <definedName name="z_T31NOW0153_MO_CFS_Acquisitionnetofcashacquired" localSheetId="7">"Deleted"</definedName>
    <definedName name="z_T31NOW0153_MO_CFS_BeginningCashBalance" localSheetId="7">"Deleted"</definedName>
    <definedName name="z_T31NOW0153_MO_CFS_CFCheck" localSheetId="7">"Deleted"</definedName>
    <definedName name="z_T31NOW0153_MO_CFS_CFF" localSheetId="7">"Deleted"</definedName>
    <definedName name="z_T31NOW0153_MO_CFS_CFI" localSheetId="7">"Deleted"</definedName>
    <definedName name="z_T31NOW0153_MO_CFS_CFO" localSheetId="7">"Deleted"</definedName>
    <definedName name="z_T31NOW0153_MO_CFS_CFObeforeWC" localSheetId="7">"Deleted"</definedName>
    <definedName name="z_T31NOW0153_MO_CFS_Debtissuancecosts" localSheetId="7">"Deleted"</definedName>
    <definedName name="z_T31NOW0153_MO_CFS_deferredincometaxes" localSheetId="7">"Deleted"</definedName>
    <definedName name="z_T31NOW0153_MO_CFS_depreciationandamortization" localSheetId="7">"Deleted"</definedName>
    <definedName name="z_T31NOW0153_MO_CFS_Divestiture" localSheetId="7">"Deleted"</definedName>
    <definedName name="z_T31NOW0153_MO_CFS_Dividendpaid" localSheetId="7">"Deleted"</definedName>
    <definedName name="z_T31NOW0153_MO_CFS_EndingCashBalance" localSheetId="7">"Deleted"</definedName>
    <definedName name="z_T31NOW0153_MO_CFS_excesstaxbenefitfromsbc" localSheetId="7">"Deleted"</definedName>
    <definedName name="z_T31NOW0153_MO_CFS_excesstaxbenefitfromsharebasedcompensation" localSheetId="7">"Deleted"</definedName>
    <definedName name="z_T31NOW0153_MO_CFS_FX" localSheetId="7">"Deleted"</definedName>
    <definedName name="z_T31NOW0153_MO_CFS_Gainonsaleofaninvestmentinaprivatelyheldcompany" localSheetId="7">"Deleted"</definedName>
    <definedName name="z_T31NOW0153_MO_CFS_Impairmentcharges" localSheetId="7">"Deleted"</definedName>
    <definedName name="z_T31NOW0153_MO_CFS_inventories" localSheetId="7">"Deleted"</definedName>
    <definedName name="z_T31NOW0153_MO_CFS_lossgainoninvestments" localSheetId="7">"Deleted"</definedName>
    <definedName name="z_T31NOW0153_MO_CFS_Lossondisposalofpropertyandequipment" localSheetId="7">"Deleted"</definedName>
    <definedName name="z_T31NOW0153_MO_CFS_NetCFF" localSheetId="7">"Deleted"</definedName>
    <definedName name="z_T31NOW0153_MO_CFS_NetCFI" localSheetId="7">"Deleted"</definedName>
    <definedName name="z_T31NOW0153_MO_CFS_NetCFO" localSheetId="7">"Deleted"</definedName>
    <definedName name="z_T31NOW0153_MO_CFS_NetChangeinCashBalance" localSheetId="7">"Deleted"</definedName>
    <definedName name="z_T31NOW0153_MO_CFS_netlossincome" localSheetId="7">"Deleted"</definedName>
    <definedName name="z_T31NOW0153_MO_CFS_Prepaidexpensesandotherassets" localSheetId="7">"Deleted"</definedName>
    <definedName name="z_T31NOW0153_MO_CFS_principalpaymentsoncapitalleaseobligations" localSheetId="7">"Deleted"</definedName>
    <definedName name="z_T31NOW0153_MO_CFS_Principalpaymentsontermdebt" localSheetId="7">"Deleted"</definedName>
    <definedName name="z_T31NOW0153_MO_CFS_Proceedsfrombanktermdebt" localSheetId="7">"Deleted"</definedName>
    <definedName name="z_T31NOW0153_MO_CFS_proceedsfromexerciseofshareawards" localSheetId="7">"Deleted"</definedName>
    <definedName name="z_T31NOW0153_MO_CFS_proceedsfrommaturitiesofshortterminvestments" localSheetId="7">"Deleted"</definedName>
    <definedName name="z_T31NOW0153_MO_CFS_proceedsfrompublicoffering" localSheetId="7">"Deleted"</definedName>
    <definedName name="z_T31NOW0153_MO_CFS_Proceedsfromsaleofaninvestmentinprivatelyheldcompanies" localSheetId="7">"Deleted"</definedName>
    <definedName name="z_T31NOW0153_MO_CFS_proceedsfromsalesofshortterminvestments" localSheetId="7">"Deleted"</definedName>
    <definedName name="z_T31NOW0153_MO_CFS_Purchaseofequityinvestmentsinprivatecompanies" localSheetId="7">"Deleted"</definedName>
    <definedName name="z_T31NOW0153_MO_CFS_purchaseofintangibleassets" localSheetId="7">"Deleted"</definedName>
    <definedName name="z_T31NOW0153_MO_CFS_purchaseofpropertyandequipment" localSheetId="7">"Deleted"</definedName>
    <definedName name="z_T31NOW0153_MO_CFS_purchaseofseverancerelatedinsurancepolicies" localSheetId="7">"Deleted"</definedName>
    <definedName name="z_T31NOW0153_MO_CFS_purchaseofshortterminvestments" localSheetId="7">"Deleted"</definedName>
    <definedName name="z_T31NOW0153_MO_CFS_restrictedcash" localSheetId="7">"Deleted"</definedName>
    <definedName name="z_T31NOW0153_MO_CFS_sharebasedcompensation" localSheetId="7">"Deleted"</definedName>
    <definedName name="z_T31NOW0153_MO_CFSum_Acquisitions" localSheetId="7">"Deleted"</definedName>
    <definedName name="z_T31NOW0153_MO_CFSum_Capex" localSheetId="7">"Deleted"</definedName>
    <definedName name="z_T31NOW0153_MO_CFSum_CashFlowPerDilutedShare" localSheetId="7">"Deleted"</definedName>
    <definedName name="z_T31NOW0153_MO_CFSum_ConsensusEstimatesCapex" localSheetId="7">"Deleted"</definedName>
    <definedName name="z_T31NOW0153_MO_CFSum_consensusestimatescashflowperdilutedshare" localSheetId="7">"Deleted"</definedName>
    <definedName name="z_T31NOW0153_MO_CFSum_Divestiture" localSheetId="7">"Deleted"</definedName>
    <definedName name="z_T31NOW0153_MO_CFSum_DividendPaid" localSheetId="7">"Deleted"</definedName>
    <definedName name="z_T31NOW0153_MO_CFSum_DividendPerShare" localSheetId="7">"Deleted"</definedName>
    <definedName name="z_T31NOW0153_MO_CFSum_FCF" localSheetId="7">"Deleted"</definedName>
    <definedName name="z_T31NOW0153_MO_CFSum_FCF_1" localSheetId="7">"Deleted"</definedName>
    <definedName name="z_T31NOW0153_MO_CFSum_FCF_2" localSheetId="7">"Deleted"</definedName>
    <definedName name="z_T31NOW0153_MO_CFSum_OperatingCashFlowbeforeWC" localSheetId="7">"Deleted"</definedName>
    <definedName name="z_T31NOW0153_MO_Header_ColumnHeader" localSheetId="7">"Deleted"</definedName>
    <definedName name="z_T31NOW0153_MO_Header_CompanySubTitle" localSheetId="7">"Deleted"</definedName>
    <definedName name="z_T31NOW0153_MO_Header_CompanyTitle" localSheetId="7">"Deleted"</definedName>
    <definedName name="z_T31NOW0153_MO_Header_FPDays" localSheetId="7">"Deleted"</definedName>
    <definedName name="z_T31NOW0153_MO_Header_QEndDate" localSheetId="7">"Deleted"</definedName>
    <definedName name="z_T31NOW0153_MO_IS_costofrevenues" localSheetId="7">"Deleted"</definedName>
    <definedName name="z_T31NOW0153_MO_IS_generalandadministrative" localSheetId="7">"Deleted"</definedName>
    <definedName name="z_T31NOW0153_MO_IS_grossprofit" localSheetId="7">"Deleted"</definedName>
    <definedName name="z_T31NOW0153_MO_IS_Impairmentoflonglivedassets" localSheetId="7">"Deleted"</definedName>
    <definedName name="z_T31NOW0153_MO_IS_interestexpense" localSheetId="7">"Deleted"</definedName>
    <definedName name="z_T31NOW0153_MO_IS_ISCheck" localSheetId="7">"Deleted"</definedName>
    <definedName name="z_T31NOW0153_MO_IS_lossincomebeforetaxesonincome" localSheetId="7">"Deleted"</definedName>
    <definedName name="z_T31NOW0153_MO_IS_lossincomefromoperations" localSheetId="7">"Deleted"</definedName>
    <definedName name="z_T31NOW0153_MO_IS_netlossincome" localSheetId="7">"Deleted"</definedName>
    <definedName name="z_T31NOW0153_MO_IS_Otherloss" localSheetId="7">"Deleted"</definedName>
    <definedName name="z_T31NOW0153_MO_IS_provisionfortaxesonincome" localSheetId="7">"Deleted"</definedName>
    <definedName name="z_T31NOW0153_MO_IS_researchanddevelopment" localSheetId="7">"Deleted"</definedName>
    <definedName name="z_T31NOW0153_MO_IS_Restructuringcharges" localSheetId="7">"Deleted"</definedName>
    <definedName name="z_T31NOW0153_MO_IS_salesandmarketing" localSheetId="7">"Deleted"</definedName>
    <definedName name="z_T31NOW0153_MO_IS_totaloperatingexpenses" localSheetId="7">"Deleted"</definedName>
    <definedName name="z_T31NOW0153_MO_IS_totalrevenues" localSheetId="7">"Deleted"</definedName>
    <definedName name="z_T31NOW0153_MO_MA_AdjustedEBITDAMargin" localSheetId="7">"Deleted"</definedName>
    <definedName name="z_T31NOW0153_MO_MA_AverageFXRate" localSheetId="7">"Deleted"</definedName>
    <definedName name="z_T31NOW0153_MO_MA_COGSMarginExcludingDAandSBC" localSheetId="7">"Deleted"</definedName>
    <definedName name="z_T31NOW0153_MO_MA_COGSMarginIncludingDAandSBC" localSheetId="7">"Deleted"</definedName>
    <definedName name="z_T31NOW0153_MO_MA_consensusestimatesadjustedebitdamargin" localSheetId="7">"Deleted"</definedName>
    <definedName name="z_T31NOW0153_MO_MA_consensusestimatesgrossmargin" localSheetId="7">"Deleted"</definedName>
    <definedName name="z_T31NOW0153_MO_MA_EBITDAMargin" localSheetId="7">"Deleted"</definedName>
    <definedName name="z_T31NOW0153_MO_MA_GAAPRDMargin" localSheetId="7">"Deleted"</definedName>
    <definedName name="z_T31NOW0153_MO_MA_GAAPSMMargin" localSheetId="7">"Deleted"</definedName>
    <definedName name="z_T31NOW0153_MO_MA_GAMarginadjforSBC" localSheetId="7">"Deleted"</definedName>
    <definedName name="z_T31NOW0153_MO_MA_GrossMarginExcludingDAandSBC" localSheetId="7">"Deleted"</definedName>
    <definedName name="z_T31NOW0153_MO_MA_GrossMarginIncludingDAandSBC" localSheetId="7">"Deleted"</definedName>
    <definedName name="z_T31NOW0153_MO_MA_NonGAAPSMMargin" localSheetId="7">"Deleted"</definedName>
    <definedName name="z_T31NOW0153_MO_MA_RDMarginadjforSBC" localSheetId="7">"Deleted"</definedName>
    <definedName name="z_T31NOW0153_MO_MA_SMMarginadjforSBC" localSheetId="7">"Deleted"</definedName>
    <definedName name="z_T31NOW0153_MO_MA_StockPriceTradingCurAvg" localSheetId="7">"Deleted"</definedName>
    <definedName name="z_T31NOW0153_MO_OS_Accountspayable" localSheetId="7">"Deleted"</definedName>
    <definedName name="z_T31NOW0153_MO_OS_AccountspayableYYChange" localSheetId="7">"Deleted"</definedName>
    <definedName name="z_T31NOW0153_MO_OS_Accountsreceivablenet" localSheetId="7">"Deleted"</definedName>
    <definedName name="z_T31NOW0153_MO_OS_AccountsreceivablenetYYChange" localSheetId="7">"Deleted"</definedName>
    <definedName name="z_T31NOW0153_MO_OS_Accruedliabilities" localSheetId="7">"Deleted"</definedName>
    <definedName name="z_T31NOW0153_MO_OS_AccruedliabilitiesYYChange" localSheetId="7">"Deleted"</definedName>
    <definedName name="z_T31NOW0153_MO_OS_boardsrevenue" localSheetId="7">"Deleted"</definedName>
    <definedName name="z_T31NOW0153_MO_OS_boardsrevenuegrowth" localSheetId="7">"Deleted"</definedName>
    <definedName name="z_T31NOW0153_MO_OS_CablesAccessoriesandOtherRevenue" localSheetId="7">"Deleted"</definedName>
    <definedName name="z_T31NOW0153_MO_OS_CablesAccessoriesandOtherRevenueGrowth" localSheetId="7">"Deleted"</definedName>
    <definedName name="z_T31NOW0153_MO_OS_ddrrevenue" localSheetId="7">"Deleted"</definedName>
    <definedName name="z_T31NOW0153_MO_OS_ddrsdrrevenue" localSheetId="7">"Deleted"</definedName>
    <definedName name="z_T31NOW0153_MO_OS_dell" localSheetId="7">"Deleted"</definedName>
    <definedName name="z_T31NOW0153_MO_OS_edrrevenue" localSheetId="7">"Deleted"</definedName>
    <definedName name="z_T31NOW0153_MO_OS_ethernetrevenue" localSheetId="7">"Deleted"</definedName>
    <definedName name="z_T31NOW0153_MO_OS_fdrrevenue" localSheetId="7">"Deleted"</definedName>
    <definedName name="z_T31NOW0153_MO_OS_HDRRevenue" localSheetId="7">"Deleted"</definedName>
    <definedName name="z_T31NOW0153_MO_OS_hewlettpackard" localSheetId="7">"Deleted"</definedName>
    <definedName name="z_T31NOW0153_MO_OS_ibm" localSheetId="7">"Deleted"</definedName>
    <definedName name="z_T31NOW0153_MO_OS_icsrevenue" localSheetId="7">"Deleted"</definedName>
    <definedName name="z_T31NOW0153_MO_OS_icsrevenuegrowth" localSheetId="7">"Deleted"</definedName>
    <definedName name="z_T31NOW0153_MO_OS_Inventories" localSheetId="7">"Deleted"</definedName>
    <definedName name="z_T31NOW0153_MO_OS_InventoriesYYChange" localSheetId="7">"Deleted"</definedName>
    <definedName name="z_T31NOW0153_MO_OS_OtherRevenue" localSheetId="7">"Deleted"</definedName>
    <definedName name="z_T31NOW0153_MO_OS_qdrrevenue" localSheetId="7">"Deleted"</definedName>
    <definedName name="z_T31NOW0153_MO_OS_sdrrevenue" localSheetId="7">"Deleted"</definedName>
    <definedName name="z_T31NOW0153_MO_OS_switchandgatewaysystemsrevenue" localSheetId="7">"Deleted"</definedName>
    <definedName name="z_T31NOW0153_MO_OS_switchandgatewaysystemsrevenuegrowth" localSheetId="7">"Deleted"</definedName>
    <definedName name="z_T31NOW0153_MO_OS_totalinfinibandrevenue" localSheetId="7">"Deleted"</definedName>
    <definedName name="z_T31NOW0153_MO_OS_totalrevenue" localSheetId="7">"Deleted"</definedName>
    <definedName name="z_T31NOW0153_MO_OS_totalrevenue_1" localSheetId="7">"Deleted"</definedName>
    <definedName name="z_T31NOW0153_MO_OS_TotalRevenueGrowth" localSheetId="7">"Deleted"</definedName>
    <definedName name="z_T31NOW0153_MO_RIS_AcquisitionrelatedchargesCOGS" localSheetId="7">"Deleted"</definedName>
    <definedName name="z_T31NOW0153_MO_RIS_AcquisitionrelatedchargesGA" localSheetId="7">"Deleted"</definedName>
    <definedName name="z_T31NOW0153_MO_RIS_AcquisitionrelatedchargesRD" localSheetId="7">"Deleted"</definedName>
    <definedName name="z_T31NOW0153_MO_RIS_AcquisitionrelatedchargesSM" localSheetId="7">"Deleted"</definedName>
    <definedName name="z_T31NOW0153_MO_RIS_AdjustedEarningsPerShareWAD" localSheetId="7">"Deleted"</definedName>
    <definedName name="z_T31NOW0153_MO_RIS_AdjustedEBITDANoAdjustments" localSheetId="7">"Deleted"</definedName>
    <definedName name="z_T31NOW0153_MO_RIS_AdjustedNetIncome" localSheetId="7">"Deleted"</definedName>
    <definedName name="z_T31NOW0153_MO_RIS_AdjustedSharesOutstandingWAD" localSheetId="7">"Deleted"</definedName>
    <definedName name="z_T31NOW0153_MO_RIS_AdjustmentsforConvertibleSecurities" localSheetId="7">"Deleted"</definedName>
    <definedName name="z_T31NOW0153_MO_RIS_AmortizationofIntangiblesCOGS" localSheetId="7">"Deleted"</definedName>
    <definedName name="z_T31NOW0153_MO_RIS_AmortizationofIntangiblesRD" localSheetId="7">"Deleted"</definedName>
    <definedName name="z_T31NOW0153_MO_RIS_AmortizationofIntangiblesSM" localSheetId="7">"Deleted"</definedName>
    <definedName name="z_T31NOW0153_MO_RIS_COGSadjforDAandSBC" localSheetId="7">"Deleted"</definedName>
    <definedName name="z_T31NOW0153_MO_RIS_CompanyReportedNonGAAPOperatingIncome" localSheetId="7">"Deleted"</definedName>
    <definedName name="z_T31NOW0153_MO_RIS_consensusestimatesadjustedearningspersharewad" localSheetId="7">"Deleted"</definedName>
    <definedName name="z_T31NOW0153_MO_RIS_consensusestimatesadjustedebitda" localSheetId="7">"Deleted"</definedName>
    <definedName name="z_T31NOW0153_MO_RIS_consensusestimatesnetrevenue" localSheetId="7">"Deleted"</definedName>
    <definedName name="z_T31NOW0153_MO_RIS_ConsensusEstimatesNonGAAPAdjustedEarningsPerShareWAD" localSheetId="7">"Deleted"</definedName>
    <definedName name="z_T31NOW0153_MO_RIS_ConsensusEstimatesNonGAAPEBITDA" localSheetId="7">"Deleted"</definedName>
    <definedName name="z_T31NOW0153_MO_RIS_Currenttax" localSheetId="7">"Deleted"</definedName>
    <definedName name="z_T31NOW0153_MO_RIS_Currenttaxrate" localSheetId="7">"Deleted"</definedName>
    <definedName name="z_T31NOW0153_MO_RIS_DA" localSheetId="7">"Deleted"</definedName>
    <definedName name="z_T31NOW0153_MO_RIS_DeferredIncomeTaxasofNonGAAPTaxes" localSheetId="7">"Deleted"</definedName>
    <definedName name="z_T31NOW0153_MO_RIS_Deferredtax" localSheetId="7">"Deleted"</definedName>
    <definedName name="z_T31NOW0153_MO_RIS_Deferredtaxrate" localSheetId="7">"Deleted"</definedName>
    <definedName name="z_T31NOW0153_MO_RIS_DilutedNetIncometoCommonShareholders" localSheetId="7">"Deleted"</definedName>
    <definedName name="z_T31NOW0153_MO_RIS_EarningsPerShareWAB" localSheetId="7">"Deleted"</definedName>
    <definedName name="z_T31NOW0153_MO_RIS_EarningsPerShareWAD" localSheetId="7">"Deleted"</definedName>
    <definedName name="z_T31NOW0153_MO_RIS_EBIT" localSheetId="7">"Deleted"</definedName>
    <definedName name="z_T31NOW0153_MO_RIS_EBITDA" localSheetId="7">"Deleted"</definedName>
    <definedName name="z_T31NOW0153_MO_RIS_EBT" localSheetId="7">"Deleted"</definedName>
    <definedName name="z_T31NOW0153_MO_RIS_GAadjforSBC" localSheetId="7">"Deleted"</definedName>
    <definedName name="z_T31NOW0153_MO_RIS_GAAPEarningsPerShareWAB" localSheetId="7">"Deleted"</definedName>
    <definedName name="z_T31NOW0153_MO_RIS_GAAPEarningsPerShareWAD" localSheetId="7">"Deleted"</definedName>
    <definedName name="z_T31NOW0153_MO_RIS_GAAPGA" localSheetId="7">"Deleted"</definedName>
    <definedName name="z_T31NOW0153_MO_RIS_GAAPSM" localSheetId="7">"Deleted"</definedName>
    <definedName name="z_T31NOW0153_MO_RIS_GrossProfit" localSheetId="7">"Deleted"</definedName>
    <definedName name="z_T31NOW0153_MO_RIS_Interestexpense" localSheetId="7">"Deleted"</definedName>
    <definedName name="z_T31NOW0153_MO_RIS_NetIncomefromContinuedOperation" localSheetId="7">"Deleted"</definedName>
    <definedName name="z_T31NOW0153_MO_RIS_NetIncometoCommonShareholders" localSheetId="7">"Deleted"</definedName>
    <definedName name="z_T31NOW0153_MO_RIS_NetIncometoNCI" localSheetId="7">"Deleted"</definedName>
    <definedName name="z_T31NOW0153_MO_RIS_NetRevenue" localSheetId="7">"Deleted"</definedName>
    <definedName name="z_T31NOW0153_MO_RIS_NonGAAPAdjustedEarningsPerShareWAD" localSheetId="7">"Deleted"</definedName>
    <definedName name="z_T31NOW0153_MO_RIS_NonGAAPAdjustments" localSheetId="7">"Deleted"</definedName>
    <definedName name="z_T31NOW0153_MO_RIS_NonGAAPAdjustmentsforDilutiveSecurities" localSheetId="7">"Deleted"</definedName>
    <definedName name="z_T31NOW0153_MO_RIS_NonGAAPNetIncometocommonshareholders" localSheetId="7">"Deleted"</definedName>
    <definedName name="z_T31NOW0153_MO_RIS_NonGAAPTaxRate" localSheetId="7">"Deleted"</definedName>
    <definedName name="z_T31NOW0153_MO_RIS_Onetimeitem" localSheetId="7">"Deleted"</definedName>
    <definedName name="z_T31NOW0153_MO_RIS_OtherAdjustments" localSheetId="7">"Deleted"</definedName>
    <definedName name="z_T31NOW0153_MO_RIS_Otheritems" localSheetId="7">"Deleted"</definedName>
    <definedName name="z_T31NOW0153_MO_RIS_Others" localSheetId="7">"Deleted"</definedName>
    <definedName name="z_T31NOW0153_MO_RIS_RDadjforSBC" localSheetId="7">"Deleted"</definedName>
    <definedName name="z_T31NOW0153_MO_RIS_SharesOutstandingWAB" localSheetId="7">"Deleted"</definedName>
    <definedName name="z_T31NOW0153_MO_RIS_SharesOutstandingWAD" localSheetId="7">"Deleted"</definedName>
    <definedName name="z_T31NOW0153_MO_RIS_SMadjforSBC" localSheetId="7">"Deleted"</definedName>
    <definedName name="z_T31NOW0153_MO_Section_AN_AdjustedNumbers" localSheetId="7">"Deleted"</definedName>
    <definedName name="z_T31NOW0153_MO_Section_BS_BalanceSheet" localSheetId="7">"Deleted"</definedName>
    <definedName name="z_T31NOW0153_MO_Section_BS_ModelChecks" localSheetId="7">"Deleted"</definedName>
    <definedName name="z_T31NOW0153_MO_Section_BSS_BalanceSheetSummary" localSheetId="7">"Deleted"</definedName>
    <definedName name="z_T31NOW0153_MO_Section_CCFS_CumulativeCashFlowStatement" localSheetId="7">"Deleted"</definedName>
    <definedName name="z_T31NOW0153_MO_Section_CFS_CashFlowStatement" localSheetId="7">"Deleted"</definedName>
    <definedName name="z_T31NOW0153_MO_Section_CFSum_CashFlowSummary" localSheetId="7">"Deleted"</definedName>
    <definedName name="z_T31NOW0153_MO_Section_GA_GrowthAnalysis" localSheetId="7">"Deleted"</definedName>
    <definedName name="z_T31NOW0153_MO_Section_IS_IncomeStatement" localSheetId="7">"Deleted"</definedName>
    <definedName name="z_T31NOW0153_MO_Section_MA_MarginAnalysis" localSheetId="7">"Deleted"</definedName>
    <definedName name="z_T31NOW0153_MO_Section_OS_KeyMetricsMajorCustomerswithRevenues10FS" localSheetId="7">"Deleted"</definedName>
    <definedName name="z_T31NOW0153_MO_Section_OS_SegmentedResultsRevenueBreakdownInterconnectProtocolandDataRateFS" localSheetId="7">"Deleted"</definedName>
    <definedName name="z_T31NOW0153_MO_Section_OS_SegmentedResultsRevenueBreakdownProductCategoryFS" localSheetId="7">"Deleted"</definedName>
    <definedName name="z_T31NOW0153_MO_Section_OS_WorkingCapitalForecasting" localSheetId="7">"Deleted"</definedName>
    <definedName name="z_T31NOW0153_MO_Section_RIS_RevisedIncomeStatement" localSheetId="7">"Deleted"</definedName>
    <definedName name="z_T31NOW0153_MO_Section_TB_Tables" localSheetId="7">"Deleted"</definedName>
    <definedName name="z_T31NOW0153_MO_Section_VA_Valuation" localSheetId="7">"Deleted"</definedName>
    <definedName name="z_T31NOW0153_MO_VA_EnterpriseValueAverage" localSheetId="7">"Deleted"</definedName>
    <definedName name="z_T31NOW0153_MO_VA_enterprisevaluecomponents" localSheetId="7">"Deleted"</definedName>
    <definedName name="z_T31NOW0153_MO_VA_EVEBITDAAverage" localSheetId="7">"Deleted"</definedName>
    <definedName name="z_T31NOW0153_MO_VA_FCFYieldtoAverageEnterpriseValue" localSheetId="7">"Deleted"</definedName>
    <definedName name="z_T31NOW0153_MO_VA_FCFYieldtoAverageMarketCap" localSheetId="7">"Deleted"</definedName>
    <definedName name="z_T31NOW0153_MO_VA_MarketCapAverage" localSheetId="7">"Deleted"</definedName>
    <definedName name="z_T31NOW0153_MO_VA_NoncontrollingInterest" localSheetId="7">"Deleted"</definedName>
    <definedName name="z_T31NOW0153_MO_VA_OtherEVComponents" localSheetId="7">"Deleted"</definedName>
    <definedName name="z_T31NOW0153_MO_VA_PCFAverage" localSheetId="7">"Deleted"</definedName>
    <definedName name="z_T31NOW0153_MO_VA_PEAverage" localSheetId="7">"Deleted"</definedName>
    <definedName name="z_T31NOW0153_MO_VA_PreferredShares" localSheetId="7">"Deleted"</definedName>
    <definedName name="z_T31NOW0153_MO_VA_StockAvg" localSheetId="7">"Deleted"</definedName>
    <definedName name="z_T31NOW0153_MO_VA_StockHigh" localSheetId="7">"Deleted"</definedName>
    <definedName name="z_T31NOW0153_MO_VA_StockLow" localSheetId="7">"Deleted"</definedName>
    <definedName name="z_T31NOW0153_MO_VA_StockPriceAverage" localSheetId="7">"Deleted"</definedName>
    <definedName name="WS.CanalystName" localSheetId="8">"Update Log"</definedName>
  </definedNames>
  <calcPr calcId="191029" fullCalcOnLoad="1"/>
</workbook>
</file>

<file path=xl/styles.xml><?xml version="1.0" encoding="utf-8"?>
<styleSheet xmlns="http://schemas.openxmlformats.org/spreadsheetml/2006/main">
  <numFmts count="46">
    <numFmt numFmtId="164" formatCode="_(* #,##0.0_);_(* \(#,##0.0\);_(* &quot;-&quot;??_);_(@_)"/>
    <numFmt numFmtId="165" formatCode="_(* 0.0%_);_(* \-0.0%_);_(* &quot;-&quot;??_);_(@_)"/>
    <numFmt numFmtId="166" formatCode="_(* 0.0\ \x_);\ _(* &quot;n/a&quot;_);_(* &quot;-&quot;??_);_(@_)"/>
    <numFmt numFmtId="167" formatCode="_(&quot;$&quot;* 0.000_);_(&quot;$&quot;* \(0.000\);_(&quot;$&quot;* &quot;-&quot;??_);_(@_)"/>
    <numFmt numFmtId="168" formatCode="_(&quot;$&quot;* 0.00_);_(&quot;$&quot;* \(0.00\);_(&quot;$&quot;* &quot;-&quot;??_);_(@_)"/>
    <numFmt numFmtId="169" formatCode="_(* #,##0_);_(* \(#,##0\);_(* &quot;-&quot;??_);_(@_)"/>
    <numFmt numFmtId="170" formatCode="_(* #,##0.0_);_(* \(#,##0.0\);_(* &quot;-&quot;??_);@"/>
    <numFmt numFmtId="171" formatCode="_(* #,##0.0_);_(* \(#,##0.0\);_(* &quot;-&quot;??_);_(&quot;Model Sheet Currency :   &quot;@_)"/>
    <numFmt numFmtId="172" formatCode="_(&quot;$&quot;* 0.00_);_(&quot;$&quot;* \(0.00\);_(&quot;$&quot;* &quot;-&quot;??_);_(@\ * \ &quot;Toggle  &gt;&gt;&gt;&quot;_)"/>
    <numFmt numFmtId="173" formatCode="_(* #,##0.0_);_(* \(#,##0.0\);_(* &quot;-&quot;??_);_(@\ * \ &quot;Toggle  &gt;&gt;&gt;&quot;_)"/>
    <numFmt numFmtId="174" formatCode="_(* 0.0%_);_(* &quot;NMF&quot;_);_(* &quot;-&quot;??_);_(@_)"/>
    <numFmt numFmtId="175" formatCode="_(* 0.0%_);_(* &quot;n/a&quot;_);_(* &quot;-&quot;??_);_(@_)"/>
    <numFmt numFmtId="176" formatCode="_(* #,##0.0_);_(* \(#,##0.0\);_(* &quot; - &quot;??_);_(&quot;Last Price (&quot;@&quot;) &quot;_)"/>
    <numFmt numFmtId="177" formatCode="_(* #,##0.0_);_(* \(#,##0.0\);_(* &quot;-&quot;??_);_(&quot;Real-Time Stock Price :   &quot;@_)"/>
    <numFmt numFmtId="178" formatCode="_(&quot;$&quot;* 0.00_);_(&quot;$&quot;* \(0.00\);_(&quot;$&quot;* &quot; - &quot;??_);_(@_)"/>
    <numFmt numFmtId="179" formatCode="0.0%"/>
    <numFmt numFmtId="180" formatCode="_(* #,##0.000_);_(* \(#,##0.000\);_(* &quot;-&quot;??_);_(@_)"/>
    <numFmt numFmtId="181" formatCode="_(&quot;$&quot;* #,##0_);_(&quot;$&quot;* \(#,##0\);_(&quot;$&quot;* &quot;-&quot;??_);_(@_)"/>
    <numFmt numFmtId="182" formatCode=";;;"/>
    <numFmt numFmtId="183" formatCode="_(&quot;$&quot;* #,##0.000_);_(&quot;$&quot;* \(#,##0.000\);_(&quot;$&quot;* &quot;-&quot;??_);_(@_)"/>
    <numFmt numFmtId="184" formatCode="_(* #,##0.0_);_(* \(#,##0.0\);_(* &quot;-&quot;??_);_(&quot;Ticker :   &quot;@_)"/>
    <numFmt numFmtId="185" formatCode="_(&quot;$&quot;* #,##0.00_);_(&quot;$&quot;* \(#,##0.00\);_(&quot;$&quot;* &quot;-&quot;??_);_(@_)"/>
    <numFmt numFmtId="186" formatCode="_(* #,##0.0_);_(* \(#,##0.0\);_(* &quot;-&quot;??_);_(&quot;Bloomberg &gt;&gt; &quot;@_)"/>
    <numFmt numFmtId="187" formatCode="_(* #,##0.0_);_(* \(#,##0.0\);_(* &quot;-&quot;??_);_(&quot;Capital IQ &gt;&gt; &quot;@_)"/>
    <numFmt numFmtId="188" formatCode="_(* #,##0.0_);_(* \(#,##0.0\);_(* &quot;-&quot;??_);_(&quot;FactSet &gt;&gt; &quot;@_)"/>
    <numFmt numFmtId="189" formatCode="_(* #,##0.0_);_(* \(#,##0.0\);_(* &quot; -&quot;??_);_(&quot;Thomson &gt;&gt; &quot;@_)"/>
    <numFmt numFmtId="190" formatCode="_(* #,##0.0_);_(* \(#,##0.0\);_(* &quot; -&quot;??_);_(&quot;Refinitiv &gt;&gt; &quot;@_)"/>
    <numFmt numFmtId="191" formatCode="yyyy\-mm\-dd"/>
    <numFmt numFmtId="192" formatCode="m\-d\-yy"/>
    <numFmt numFmtId="193" formatCode="_(\$* 0.00_);_(\$* \(0.00\);_(\$* &quot; - &quot;??_);_(@_)"/>
    <numFmt numFmtId="194" formatCode="_(* 0%_);_(* \-0%_);_(* &quot;-&quot;??_);_(@_)"/>
    <numFmt numFmtId="195" formatCode="&quot;Most Recent Period:&quot;"/>
    <numFmt numFmtId="196" formatCode="_(* #,##0.0_);_(* \(#,##0.0\);_(* &quot;-&quot;??_);_(&quot;Canalyst Security Identification #: &quot;@_)"/>
    <numFmt numFmtId="197" formatCode="_(* #,##0.0_);_(* \(#,##0.0\);_(* &quot;-&quot;??_);_(&quot;Model Version #: &quot;@_)"/>
    <numFmt numFmtId="198" formatCode="m/d/yy;@"/>
    <numFmt numFmtId="199" formatCode="_(&quot;$&quot;* #,##0.00_);_(&quot;$&quot;* \(#,##0.00\);_(&quot;$&quot;* &quot; - &quot;??_);_(@_)"/>
    <numFmt numFmtId="200" formatCode=";;"/>
    <numFmt numFmtId="201" formatCode="_(* #,##0.0_);_(* \(#,##0.0\);_(* &quot;-&quot;??_);_(&quot;Tegus Ticker &gt;&gt; &quot;@_)"/>
    <numFmt numFmtId="202" formatCode="_(* 0.00\ \x_);\ _(* &quot;n/a&quot;_);_(* &quot;-&quot;??_);_(@_)"/>
    <numFmt numFmtId="203" formatCode="#,##0.0&quot;x&quot;"/>
    <numFmt numFmtId="204" formatCode="\$#,##0.00"/>
    <numFmt numFmtId="205" formatCode="0.0\x"/>
    <numFmt numFmtId="206" formatCode="\+0.0%;\-0.0%"/>
    <numFmt numFmtId="207" formatCode="$#,##0.00"/>
    <numFmt numFmtId="208" formatCode="0.0x"/>
    <numFmt numFmtId="209" formatCode="+0.0%;-0.0%"/>
  </numFmts>
  <fonts count="84">
    <font>
      <name val="Calibri"/>
      <family val="2"/>
      <sz val="11"/>
    </font>
    <font>
      <name val="Arial"/>
      <family val="2"/>
      <color theme="1"/>
      <sz val="10"/>
    </font>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b val="1"/>
      <sz val="11"/>
      <scheme val="minor"/>
    </font>
    <font>
      <name val="Calibri"/>
      <family val="2"/>
      <b val="1"/>
      <sz val="11"/>
    </font>
    <font>
      <name val="Calibri"/>
      <family val="2"/>
      <b val="1"/>
      <color theme="0"/>
      <sz val="11"/>
    </font>
    <font>
      <name val="Calibri"/>
      <family val="2"/>
      <sz val="11"/>
      <scheme val="minor"/>
    </font>
    <font>
      <name val="Calibri"/>
      <family val="2"/>
      <color rgb="FFFF0000"/>
      <sz val="11"/>
    </font>
    <font>
      <name val="Calibri"/>
      <family val="2"/>
      <b val="1"/>
      <i val="1"/>
      <sz val="11"/>
    </font>
    <font>
      <name val="Calibri"/>
      <family val="2"/>
      <color theme="1"/>
      <sz val="22"/>
      <scheme val="minor"/>
    </font>
    <font>
      <name val="Calibri"/>
      <family val="2"/>
      <color theme="10"/>
      <sz val="11"/>
      <u val="single"/>
    </font>
    <font>
      <name val="Calibri"/>
      <family val="2"/>
      <color theme="1"/>
      <sz val="14"/>
      <scheme val="minor"/>
    </font>
    <font>
      <name val="Calibri"/>
      <family val="2"/>
      <b val="1"/>
      <color rgb="FFFF0000"/>
      <sz val="11"/>
    </font>
    <font>
      <name val="Calibri"/>
      <family val="2"/>
      <color rgb="FF006100"/>
      <sz val="11"/>
      <scheme val="minor"/>
    </font>
    <font>
      <name val="Calibri"/>
      <family val="2"/>
      <color theme="1"/>
      <sz val="10"/>
      <scheme val="minor"/>
    </font>
    <font>
      <name val="Calibri"/>
      <family val="2"/>
      <b val="1"/>
      <color theme="1"/>
      <sz val="10"/>
      <scheme val="minor"/>
    </font>
    <font>
      <name val="Calibri"/>
      <family val="2"/>
      <b val="1"/>
      <color theme="1"/>
      <sz val="14"/>
      <scheme val="minor"/>
    </font>
    <font>
      <name val="Calibri"/>
      <family val="2"/>
      <sz val="14"/>
      <scheme val="minor"/>
    </font>
    <font>
      <name val="Calibri"/>
      <family val="2"/>
      <i val="1"/>
      <sz val="11"/>
    </font>
    <font>
      <name val="Calibri"/>
      <family val="2"/>
      <i val="1"/>
      <sz val="11"/>
      <scheme val="minor"/>
    </font>
    <font>
      <name val="Calibri"/>
      <family val="2"/>
      <color theme="10"/>
      <sz val="22"/>
      <u val="single"/>
      <scheme val="minor"/>
    </font>
    <font>
      <name val="Calibri"/>
      <family val="2"/>
      <color rgb="FF000000"/>
      <sz val="11"/>
      <scheme val="minor"/>
    </font>
    <font>
      <name val="Calibri"/>
      <family val="2"/>
      <b val="1"/>
      <color rgb="FFFF0000"/>
      <sz val="11"/>
      <scheme val="minor"/>
    </font>
    <font>
      <name val="Calibri"/>
      <family val="2"/>
      <b val="1"/>
      <color rgb="FFFFFFFF"/>
      <sz val="11"/>
    </font>
    <font>
      <name val="Calibri"/>
      <family val="2"/>
      <b val="1"/>
      <color rgb="FF000000"/>
      <sz val="11"/>
    </font>
    <font>
      <name val="Calibri"/>
      <family val="2"/>
      <b val="1"/>
      <color rgb="FF000000"/>
      <sz val="11"/>
      <scheme val="minor"/>
    </font>
    <font>
      <name val="Calibri"/>
      <family val="2"/>
      <color rgb="FF000000"/>
      <sz val="11"/>
    </font>
    <font>
      <name val="Calibri"/>
      <family val="2"/>
      <i val="1"/>
      <color rgb="FF000000"/>
      <sz val="11"/>
    </font>
    <font>
      <name val="Calibri"/>
      <family val="2"/>
      <i val="1"/>
      <color rgb="FF000000"/>
      <sz val="11"/>
      <scheme val="minor"/>
    </font>
    <font>
      <name val="Calibri"/>
      <family val="2"/>
      <color theme="0"/>
      <sz val="10"/>
      <scheme val="minor"/>
    </font>
    <font>
      <name val="Calibri"/>
      <family val="2"/>
      <b val="1"/>
      <color rgb="FFFFFFFF"/>
      <sz val="11"/>
      <scheme val="minor"/>
    </font>
    <font>
      <name val="Calibri"/>
      <family val="2"/>
      <b val="1"/>
      <i val="1"/>
      <color rgb="FF000000"/>
      <sz val="11"/>
    </font>
    <font>
      <name val="Calibri"/>
      <family val="2"/>
      <b val="1"/>
      <i val="1"/>
      <color rgb="FF000000"/>
      <sz val="11"/>
      <scheme val="minor"/>
    </font>
    <font>
      <name val="Calibri"/>
      <family val="2"/>
      <color rgb="FFFFFFFF"/>
      <sz val="11"/>
    </font>
    <font>
      <name val="Calibri"/>
      <family val="2"/>
      <color rgb="FFFF0000"/>
      <sz val="11"/>
      <scheme val="minor"/>
    </font>
    <font>
      <name val="Calibri"/>
      <family val="2"/>
      <color theme="0" tint="-0.03707998901333659"/>
      <sz val="11"/>
    </font>
    <font>
      <name val="Calibri"/>
      <family val="2"/>
      <color rgb="FFF2F2F2"/>
      <sz val="11"/>
    </font>
    <font>
      <name val="Calibri"/>
      <family val="2"/>
      <color rgb="FF000000"/>
      <sz val="22"/>
      <u val="single"/>
      <scheme val="minor"/>
    </font>
    <font>
      <name val="Calibri"/>
      <family val="2"/>
      <color rgb="FF000000"/>
      <sz val="11"/>
      <u val="single"/>
      <scheme val="minor"/>
    </font>
    <font>
      <name val="Calibri"/>
      <family val="2"/>
      <color rgb="FF0000FF"/>
      <sz val="11"/>
      <u val="single"/>
      <scheme val="minor"/>
    </font>
    <font>
      <name val="Calibri"/>
      <family val="2"/>
      <color rgb="FF0000FF"/>
      <sz val="14"/>
      <u val="single"/>
      <scheme val="minor"/>
    </font>
    <font>
      <name val="Calibri"/>
      <family val="2"/>
      <b val="1"/>
      <i val="1"/>
      <color rgb="FFFF0000"/>
      <sz val="11"/>
    </font>
    <font>
      <name val="Calibri"/>
      <family val="2"/>
      <color theme="1" tint="0.0499893185216834"/>
      <sz val="11"/>
    </font>
    <font>
      <name val="Calibri"/>
      <family val="2"/>
      <color rgb="FF000000"/>
      <sz val="7"/>
      <scheme val="minor"/>
    </font>
    <font>
      <name val="Calibri"/>
      <family val="2"/>
      <b val="1"/>
      <i val="1"/>
      <color rgb="FFFFFFFF"/>
      <sz val="11"/>
    </font>
    <font>
      <name val="Calibri"/>
      <family val="2"/>
      <color theme="10"/>
      <sz val="26"/>
      <u val="single"/>
      <scheme val="minor"/>
    </font>
    <font>
      <name val="Calibri"/>
      <family val="2"/>
      <b val="1"/>
      <color rgb="FFD04B35"/>
      <sz val="14"/>
      <scheme val="minor"/>
    </font>
    <font>
      <name val="Calibri"/>
      <family val="2"/>
      <color rgb="FF000000"/>
      <sz val="11"/>
      <u val="single"/>
    </font>
    <font>
      <name val="Calibri"/>
      <family val="2"/>
      <color theme="1"/>
      <sz val="22"/>
      <u val="single"/>
      <scheme val="minor"/>
    </font>
    <font>
      <name val="Calibri"/>
      <family val="2"/>
      <color theme="10"/>
      <sz val="14"/>
      <u val="single"/>
      <scheme val="minor"/>
    </font>
    <font>
      <name val="Calibri"/>
      <family val="2"/>
      <color rgb="FF0000FC"/>
      <sz val="11"/>
    </font>
    <font>
      <name val="Calibri"/>
      <family val="2"/>
      <color rgb="FF009900"/>
      <sz val="11"/>
    </font>
    <font>
      <name val="Calibri"/>
      <family val="2"/>
      <b val="1"/>
      <color rgb="FF009900"/>
      <sz val="11"/>
    </font>
    <font>
      <name val="Calibri"/>
      <family val="2"/>
      <b val="1"/>
      <i val="1"/>
      <color rgb="FF0000FC"/>
      <sz val="11"/>
    </font>
    <font>
      <name val="Calibri"/>
      <family val="2"/>
      <b val="1"/>
      <color rgb="FF0000FC"/>
      <sz val="11"/>
    </font>
    <font>
      <name val="Calibri"/>
      <family val="2"/>
      <i val="1"/>
      <color rgb="FF0000FC"/>
      <sz val="11"/>
    </font>
    <font>
      <name val="Calibri"/>
      <family val="2"/>
      <color rgb="FF0000FC"/>
      <sz val="11"/>
      <scheme val="minor"/>
    </font>
    <font>
      <name val="Calibri"/>
      <family val="2"/>
      <sz val="11"/>
    </font>
    <font>
      <name val="Calibri"/>
      <family val="2"/>
      <color rgb="FF000000"/>
      <sz val="11"/>
    </font>
    <font>
      <name val="Calibri"/>
      <family val="2"/>
      <b val="1"/>
      <color rgb="FF000000"/>
      <sz val="14"/>
    </font>
    <font>
      <name val="Calibri"/>
      <family val="2"/>
      <b val="1"/>
      <color rgb="FF000000"/>
      <sz val="11"/>
    </font>
    <font>
      <name val="Calibri"/>
      <family val="2"/>
      <b val="1"/>
      <color rgb="FF000000"/>
      <sz val="10"/>
    </font>
    <font>
      <name val="Calibri"/>
      <family val="2"/>
      <b val="1"/>
      <color rgb="FF000000"/>
      <sz val="12"/>
      <u val="single"/>
    </font>
    <font>
      <name val="Calibri"/>
      <family val="2"/>
      <i val="1"/>
      <color rgb="FF000000"/>
      <sz val="9"/>
    </font>
    <font>
      <name val="Calibri"/>
      <family val="2"/>
      <b val="1"/>
      <color rgb="FF000000"/>
      <sz val="11"/>
    </font>
    <font>
      <name val="Calibri"/>
      <family val="2"/>
      <color rgb="FF0000FF"/>
      <sz val="11"/>
    </font>
    <font>
      <name val="Calibri"/>
      <family val="2"/>
      <i val="1"/>
      <color rgb="FF666666"/>
      <sz val="9"/>
    </font>
    <font>
      <name val="Calibri"/>
      <family val="2"/>
      <color rgb="FF000000"/>
      <sz val="11"/>
    </font>
    <font>
      <name val="Calibri"/>
      <family val="2"/>
      <b val="1"/>
      <color rgb="FF000000"/>
      <sz val="11"/>
      <u val="single"/>
    </font>
    <font>
      <name val="Calibri"/>
      <family val="2"/>
      <color rgb="FF007F00"/>
      <sz val="11"/>
    </font>
    <font>
      <name val="Calibri"/>
      <family val="2"/>
      <b val="1"/>
      <color rgb="FF007F00"/>
      <sz val="11"/>
    </font>
    <font>
      <name val="Calibri"/>
      <family val="2"/>
      <b val="1"/>
      <color rgb="FF000000"/>
      <sz val="12"/>
    </font>
    <font>
      <name val="Calibri"/>
      <family val="2"/>
      <b val="1"/>
      <color rgb="FF0000CC"/>
      <sz val="11"/>
    </font>
    <font>
      <name val="Calibri"/>
      <family val="2"/>
      <b val="1"/>
      <color rgb="FFFF0000"/>
      <sz val="11"/>
    </font>
    <font>
      <name val="Calibri"/>
      <family val="2"/>
      <b val="1"/>
      <color rgb="FFFF0000"/>
      <sz val="12"/>
    </font>
    <font>
      <b val="1"/>
      <color rgb="00000000"/>
      <sz val="14"/>
    </font>
    <font>
      <b val="1"/>
      <color rgb="00000000"/>
    </font>
    <font>
      <b val="1"/>
      <color rgb="00000000"/>
      <sz val="12"/>
    </font>
    <font>
      <color rgb="00007F00"/>
    </font>
    <font>
      <b val="1"/>
      <color rgb="00000000"/>
      <sz val="10"/>
    </font>
    <font>
      <b val="1"/>
      <color rgb="00FF0000"/>
    </font>
    <font>
      <b val="1"/>
      <color rgb="00FF0000"/>
      <sz val="12"/>
    </font>
  </fonts>
  <fills count="11">
    <fill>
      <patternFill/>
    </fill>
    <fill>
      <patternFill patternType="gray125"/>
    </fill>
    <fill>
      <patternFill patternType="solid">
        <fgColor rgb="FFC6EFCE"/>
        <bgColor indexed="64"/>
      </patternFill>
    </fill>
    <fill>
      <patternFill patternType="solid">
        <fgColor rgb="FFFFFFFF"/>
        <bgColor indexed="64"/>
      </patternFill>
    </fill>
    <fill>
      <patternFill patternType="solid">
        <fgColor rgb="FF89E0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
      <patternFill patternType="solid">
        <fgColor rgb="FFF2F2F2"/>
        <bgColor rgb="FFF2F2F2"/>
      </patternFill>
    </fill>
    <fill>
      <patternFill patternType="solid">
        <fgColor rgb="00F2F2F2"/>
        <bgColor rgb="00F2F2F2"/>
      </patternFill>
    </fill>
  </fills>
  <borders count="44">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ck">
        <color rgb="FF000000"/>
      </right>
      <top/>
      <bottom/>
      <diagonal/>
    </border>
    <border>
      <left/>
      <right style="thick">
        <color rgb="FF000000"/>
      </right>
      <top style="thin">
        <color auto="1"/>
      </top>
      <bottom/>
      <diagonal/>
    </border>
    <border>
      <left/>
      <right style="thick">
        <color rgb="FF000000"/>
      </right>
      <top/>
      <bottom style="thin">
        <color auto="1"/>
      </bottom>
      <diagonal/>
    </border>
    <border>
      <left/>
      <right style="thick">
        <color rgb="FF000000"/>
      </right>
      <top style="thin">
        <color auto="1"/>
      </top>
      <bottom style="thin">
        <color auto="1"/>
      </bottom>
      <diagonal/>
    </border>
    <border>
      <left/>
      <right style="thick">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ck">
        <color auto="1"/>
      </right>
      <top style="thin">
        <color rgb="FF000000"/>
      </top>
      <bottom/>
      <diagonal/>
    </border>
    <border>
      <left/>
      <right style="thick">
        <color auto="1"/>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right style="thick">
        <color auto="1"/>
      </right>
      <top style="thin">
        <color auto="1"/>
      </top>
      <bottom style="thin">
        <color auto="1"/>
      </bottom>
      <diagonal/>
    </border>
    <border>
      <left/>
      <right/>
      <top/>
      <bottom style="thin">
        <color auto="1"/>
      </bottom>
      <diagonal/>
    </border>
    <border>
      <left/>
      <right/>
      <top/>
      <bottom style="thin">
        <color auto="1"/>
      </bottom>
      <diagonal/>
    </border>
    <border>
      <left/>
      <right/>
      <top style="thin">
        <color auto="1"/>
      </top>
      <bottom style="double">
        <color auto="1"/>
      </bottom>
      <diagonal/>
    </border>
  </borders>
  <cellStyleXfs count="18">
    <xf numFmtId="0" fontId="59" fillId="0" borderId="0"/>
    <xf numFmtId="9" fontId="59" fillId="0" borderId="0"/>
    <xf numFmtId="44" fontId="59" fillId="0" borderId="0"/>
    <xf numFmtId="42" fontId="1" fillId="0" borderId="0"/>
    <xf numFmtId="43" fontId="1" fillId="0" borderId="0"/>
    <xf numFmtId="41" fontId="1" fillId="0" borderId="0"/>
    <xf numFmtId="44" fontId="2" fillId="0" borderId="0"/>
    <xf numFmtId="44" fontId="59" fillId="0" borderId="0"/>
    <xf numFmtId="0" fontId="15" fillId="2" borderId="0"/>
    <xf numFmtId="0" fontId="4" fillId="0" borderId="0"/>
    <xf numFmtId="0" fontId="12" fillId="0" borderId="0" applyAlignment="1" applyProtection="1">
      <alignment vertical="top"/>
      <protection locked="0" hidden="0"/>
    </xf>
    <xf numFmtId="0" fontId="2" fillId="0" borderId="0"/>
    <xf numFmtId="0" fontId="2" fillId="0" borderId="0"/>
    <xf numFmtId="0" fontId="59" fillId="0" borderId="0"/>
    <xf numFmtId="9" fontId="2" fillId="0" borderId="0"/>
    <xf numFmtId="0" fontId="2" fillId="0" borderId="0"/>
    <xf numFmtId="0" fontId="2" fillId="0" borderId="0"/>
    <xf numFmtId="44" fontId="69" fillId="0" borderId="0"/>
  </cellStyleXfs>
  <cellXfs count="1483">
    <xf numFmtId="0" fontId="0" fillId="0" borderId="0" pivotButton="0" quotePrefix="0" xfId="0"/>
    <xf numFmtId="0" fontId="16" fillId="3" borderId="0" pivotButton="0" quotePrefix="0" xfId="12"/>
    <xf numFmtId="0" fontId="2" fillId="0" borderId="0" pivotButton="0" quotePrefix="0" xfId="12"/>
    <xf numFmtId="0" fontId="2" fillId="3" borderId="0" pivotButton="0" quotePrefix="0" xfId="12"/>
    <xf numFmtId="164" fontId="6" fillId="4" borderId="0" pivotButton="0" quotePrefix="0" xfId="0"/>
    <xf numFmtId="164" fontId="0" fillId="0" borderId="0" pivotButton="0" quotePrefix="0" xfId="0"/>
    <xf numFmtId="165" fontId="6" fillId="4" borderId="0" applyAlignment="1" pivotButton="0" quotePrefix="0" xfId="0">
      <alignment horizontal="right"/>
    </xf>
    <xf numFmtId="165" fontId="9" fillId="4" borderId="0" applyAlignment="1" pivotButton="0" quotePrefix="0" xfId="0">
      <alignment horizontal="right"/>
    </xf>
    <xf numFmtId="164" fontId="14" fillId="4" borderId="0" pivotButton="0" quotePrefix="0" xfId="0"/>
    <xf numFmtId="164" fontId="6" fillId="0" borderId="0" pivotButton="0" quotePrefix="0" xfId="0"/>
    <xf numFmtId="166" fontId="6" fillId="4" borderId="0" applyAlignment="1" pivotButton="0" quotePrefix="0" xfId="0">
      <alignment horizontal="right"/>
    </xf>
    <xf numFmtId="166" fontId="0" fillId="4" borderId="0" applyAlignment="1" pivotButton="0" quotePrefix="0" xfId="0">
      <alignment horizontal="right"/>
    </xf>
    <xf numFmtId="164" fontId="20" fillId="4" borderId="0" pivotButton="0" quotePrefix="0" xfId="0"/>
    <xf numFmtId="165" fontId="14" fillId="4" borderId="0" applyAlignment="1" pivotButton="0" quotePrefix="0" xfId="0">
      <alignment horizontal="right"/>
    </xf>
    <xf numFmtId="167" fontId="9" fillId="4" borderId="0" pivotButton="0" quotePrefix="0" xfId="0"/>
    <xf numFmtId="164" fontId="6" fillId="0" borderId="0" applyAlignment="1" pivotButton="0" quotePrefix="0" xfId="0">
      <alignment horizontal="center"/>
    </xf>
    <xf numFmtId="165" fontId="6" fillId="0" borderId="0" pivotButton="0" quotePrefix="0" xfId="0"/>
    <xf numFmtId="164" fontId="20" fillId="0" borderId="0" pivotButton="0" quotePrefix="0" xfId="0"/>
    <xf numFmtId="168" fontId="6" fillId="0" borderId="0" pivotButton="0" quotePrefix="0" xfId="0"/>
    <xf numFmtId="166" fontId="6" fillId="0" borderId="0" pivotButton="0" quotePrefix="0" xfId="0"/>
    <xf numFmtId="165" fontId="6" fillId="4" borderId="7" applyAlignment="1" pivotButton="0" quotePrefix="0" xfId="0">
      <alignment horizontal="right"/>
    </xf>
    <xf numFmtId="165" fontId="6" fillId="3" borderId="7" applyAlignment="1" pivotButton="0" quotePrefix="0" xfId="0">
      <alignment horizontal="right"/>
    </xf>
    <xf numFmtId="164" fontId="6" fillId="3" borderId="0" pivotButton="0" quotePrefix="0" xfId="0"/>
    <xf numFmtId="165" fontId="6" fillId="3" borderId="0" applyAlignment="1" pivotButton="0" quotePrefix="0" xfId="0">
      <alignment horizontal="right"/>
    </xf>
    <xf numFmtId="164" fontId="20" fillId="3" borderId="0" pivotButton="0" quotePrefix="0" xfId="0"/>
    <xf numFmtId="165" fontId="6" fillId="3" borderId="0" pivotButton="0" quotePrefix="0" xfId="0"/>
    <xf numFmtId="165" fontId="14" fillId="3" borderId="0" applyAlignment="1" pivotButton="0" quotePrefix="0" xfId="0">
      <alignment horizontal="right"/>
    </xf>
    <xf numFmtId="169" fontId="0" fillId="3" borderId="0" pivotButton="0" quotePrefix="0" xfId="0"/>
    <xf numFmtId="169" fontId="6" fillId="3" borderId="0" pivotButton="0" quotePrefix="0" xfId="0"/>
    <xf numFmtId="165" fontId="9" fillId="3" borderId="0" applyAlignment="1" pivotButton="0" quotePrefix="0" xfId="0">
      <alignment horizontal="right"/>
    </xf>
    <xf numFmtId="166" fontId="6" fillId="3" borderId="0" pivotButton="0" quotePrefix="0" xfId="0"/>
    <xf numFmtId="170" fontId="22" fillId="3" borderId="0" applyAlignment="1" pivotButton="0" quotePrefix="0" xfId="9">
      <alignment horizontal="left"/>
    </xf>
    <xf numFmtId="0" fontId="6" fillId="0" borderId="0" pivotButton="0" quotePrefix="0" xfId="0"/>
    <xf numFmtId="165" fontId="5" fillId="3" borderId="0" pivotButton="0" quotePrefix="0" xfId="2"/>
    <xf numFmtId="165" fontId="8" fillId="3" borderId="0" pivotButton="0" quotePrefix="0" xfId="2"/>
    <xf numFmtId="164" fontId="6" fillId="3" borderId="0" applyAlignment="1" pivotButton="0" quotePrefix="0" xfId="0">
      <alignment horizontal="left"/>
    </xf>
    <xf numFmtId="164" fontId="0" fillId="3" borderId="0" applyAlignment="1" pivotButton="0" quotePrefix="0" xfId="0">
      <alignment horizontal="left" indent="1"/>
    </xf>
    <xf numFmtId="164" fontId="21" fillId="3" borderId="0" applyAlignment="1" pivotButton="0" quotePrefix="0" xfId="0">
      <alignment horizontal="left" indent="1"/>
    </xf>
    <xf numFmtId="168" fontId="3" fillId="3" borderId="0" pivotButton="0" quotePrefix="0" xfId="2"/>
    <xf numFmtId="168" fontId="3" fillId="3" borderId="0" applyAlignment="1" pivotButton="0" quotePrefix="0" xfId="0">
      <alignment horizontal="left"/>
    </xf>
    <xf numFmtId="166" fontId="3" fillId="3" borderId="0" pivotButton="0" quotePrefix="0" xfId="0"/>
    <xf numFmtId="166" fontId="8" fillId="3" borderId="0" pivotButton="0" quotePrefix="0" xfId="0"/>
    <xf numFmtId="165" fontId="0" fillId="3" borderId="0" applyAlignment="1" pivotButton="0" quotePrefix="0" xfId="0">
      <alignment horizontal="left"/>
    </xf>
    <xf numFmtId="164" fontId="6" fillId="3" borderId="0" applyAlignment="1" pivotButton="0" quotePrefix="0" xfId="0">
      <alignment horizontal="left" indent="1"/>
    </xf>
    <xf numFmtId="169" fontId="6" fillId="0" borderId="0" pivotButton="0" quotePrefix="0" xfId="0"/>
    <xf numFmtId="164" fontId="25" fillId="5" borderId="0" pivotButton="0" quotePrefix="0" xfId="0"/>
    <xf numFmtId="165" fontId="25" fillId="5" borderId="0" pivotButton="0" quotePrefix="0" xfId="0"/>
    <xf numFmtId="0" fontId="27" fillId="3" borderId="0" applyAlignment="1" pivotButton="0" quotePrefix="0" xfId="0">
      <alignment horizontal="center"/>
    </xf>
    <xf numFmtId="165" fontId="28" fillId="4" borderId="0" applyAlignment="1" pivotButton="0" quotePrefix="0" xfId="0">
      <alignment horizontal="right"/>
    </xf>
    <xf numFmtId="165" fontId="26" fillId="3" borderId="7" applyAlignment="1" pivotButton="0" quotePrefix="0" xfId="0">
      <alignment horizontal="right"/>
    </xf>
    <xf numFmtId="165" fontId="26" fillId="4" borderId="7" applyAlignment="1" pivotButton="0" quotePrefix="0" xfId="0">
      <alignment horizontal="right"/>
    </xf>
    <xf numFmtId="165" fontId="26" fillId="4" borderId="0" applyAlignment="1" pivotButton="0" quotePrefix="0" xfId="0">
      <alignment horizontal="right"/>
    </xf>
    <xf numFmtId="168" fontId="29" fillId="4" borderId="0" applyAlignment="1" pivotButton="0" quotePrefix="0" xfId="0">
      <alignment horizontal="right"/>
    </xf>
    <xf numFmtId="168" fontId="26" fillId="4" borderId="0" pivotButton="0" quotePrefix="0" xfId="2"/>
    <xf numFmtId="168" fontId="30" fillId="4" borderId="0" applyAlignment="1" pivotButton="0" quotePrefix="0" xfId="2">
      <alignment horizontal="right"/>
    </xf>
    <xf numFmtId="167" fontId="28" fillId="4" borderId="0" pivotButton="0" quotePrefix="0" xfId="0"/>
    <xf numFmtId="166" fontId="26" fillId="4" borderId="0" applyAlignment="1" pivotButton="0" quotePrefix="0" xfId="0">
      <alignment horizontal="right"/>
    </xf>
    <xf numFmtId="166" fontId="28" fillId="4" borderId="0" applyAlignment="1" pivotButton="0" quotePrefix="0" xfId="0">
      <alignment horizontal="right"/>
    </xf>
    <xf numFmtId="0" fontId="16" fillId="0" borderId="0" pivotButton="0" quotePrefix="0" xfId="12"/>
    <xf numFmtId="169" fontId="6" fillId="3" borderId="7" applyAlignment="1" pivotButton="0" quotePrefix="0" xfId="0">
      <alignment horizontal="left"/>
    </xf>
    <xf numFmtId="169" fontId="6" fillId="3" borderId="7" pivotButton="0" quotePrefix="0" xfId="0"/>
    <xf numFmtId="169" fontId="26" fillId="3" borderId="7" pivotButton="0" quotePrefix="0" xfId="0"/>
    <xf numFmtId="169" fontId="6" fillId="3" borderId="0" applyAlignment="1" pivotButton="0" quotePrefix="0" xfId="0">
      <alignment horizontal="left"/>
    </xf>
    <xf numFmtId="169" fontId="26" fillId="3" borderId="0" pivotButton="0" quotePrefix="0" xfId="0"/>
    <xf numFmtId="169" fontId="6" fillId="3" borderId="9" applyAlignment="1" pivotButton="0" quotePrefix="0" xfId="0">
      <alignment horizontal="left"/>
    </xf>
    <xf numFmtId="169" fontId="6" fillId="3" borderId="9" pivotButton="0" quotePrefix="0" xfId="0"/>
    <xf numFmtId="169" fontId="26" fillId="3" borderId="9" pivotButton="0" quotePrefix="0" xfId="0"/>
    <xf numFmtId="169" fontId="0" fillId="3" borderId="0" applyAlignment="1" pivotButton="0" quotePrefix="0" xfId="0">
      <alignment horizontal="left" indent="1"/>
    </xf>
    <xf numFmtId="169" fontId="28" fillId="3" borderId="0" pivotButton="0" quotePrefix="0" xfId="0"/>
    <xf numFmtId="169" fontId="3" fillId="3" borderId="0" pivotButton="0" quotePrefix="0" xfId="0"/>
    <xf numFmtId="1" fontId="26" fillId="3" borderId="0" applyAlignment="1" pivotButton="0" quotePrefix="0" xfId="0">
      <alignment horizontal="center"/>
    </xf>
    <xf numFmtId="17" fontId="23" fillId="3" borderId="0" applyAlignment="1" pivotButton="0" quotePrefix="0" xfId="0">
      <alignment horizontal="center"/>
    </xf>
    <xf numFmtId="164" fontId="14" fillId="3" borderId="0" pivotButton="0" quotePrefix="0" xfId="0"/>
    <xf numFmtId="169" fontId="0" fillId="3" borderId="0" applyAlignment="1" pivotButton="0" quotePrefix="0" xfId="0">
      <alignment horizontal="left" indent="2"/>
    </xf>
    <xf numFmtId="171" fontId="3" fillId="3" borderId="0" pivotButton="0" quotePrefix="0" xfId="0"/>
    <xf numFmtId="169" fontId="30" fillId="3" borderId="0" applyAlignment="1" pivotButton="0" quotePrefix="0" xfId="0">
      <alignment horizontal="left" indent="1"/>
    </xf>
    <xf numFmtId="169" fontId="29" fillId="3" borderId="0" pivotButton="0" quotePrefix="0" xfId="0"/>
    <xf numFmtId="169" fontId="30" fillId="3" borderId="0" pivotButton="0" quotePrefix="0" xfId="0"/>
    <xf numFmtId="168" fontId="30" fillId="3" borderId="0" applyAlignment="1" pivotButton="0" quotePrefix="0" xfId="0">
      <alignment horizontal="left" indent="1"/>
    </xf>
    <xf numFmtId="168" fontId="29" fillId="3" borderId="0" pivotButton="0" quotePrefix="0" xfId="0"/>
    <xf numFmtId="168" fontId="29" fillId="0" borderId="0" pivotButton="0" quotePrefix="0" xfId="0"/>
    <xf numFmtId="165" fontId="20" fillId="3" borderId="0" applyAlignment="1" pivotButton="0" quotePrefix="0" xfId="0">
      <alignment horizontal="left" indent="1"/>
    </xf>
    <xf numFmtId="165" fontId="20" fillId="0" borderId="0" applyAlignment="1" pivotButton="0" quotePrefix="0" xfId="0">
      <alignment horizontal="left" indent="1"/>
    </xf>
    <xf numFmtId="165" fontId="5" fillId="3" borderId="7" pivotButton="0" quotePrefix="0" xfId="2"/>
    <xf numFmtId="165" fontId="21" fillId="3" borderId="0" applyAlignment="1" pivotButton="0" quotePrefix="0" xfId="2">
      <alignment horizontal="left" indent="1"/>
    </xf>
    <xf numFmtId="165" fontId="27" fillId="3" borderId="0" pivotButton="0" quotePrefix="0" xfId="2"/>
    <xf numFmtId="165" fontId="26" fillId="3" borderId="0" applyAlignment="1" pivotButton="0" quotePrefix="0" xfId="0">
      <alignment horizontal="right"/>
    </xf>
    <xf numFmtId="165" fontId="26" fillId="0" borderId="0" pivotButton="0" quotePrefix="0" xfId="0"/>
    <xf numFmtId="165" fontId="27" fillId="3" borderId="7" pivotButton="0" quotePrefix="0" xfId="2"/>
    <xf numFmtId="165" fontId="30" fillId="3" borderId="0" applyAlignment="1" pivotButton="0" quotePrefix="0" xfId="0">
      <alignment horizontal="left" indent="1"/>
    </xf>
    <xf numFmtId="165" fontId="29" fillId="3" borderId="0" pivotButton="0" quotePrefix="0" xfId="0"/>
    <xf numFmtId="165" fontId="29" fillId="4" borderId="0" applyAlignment="1" pivotButton="0" quotePrefix="0" xfId="0">
      <alignment horizontal="right"/>
    </xf>
    <xf numFmtId="165" fontId="29" fillId="0" borderId="0" pivotButton="0" quotePrefix="0" xfId="0"/>
    <xf numFmtId="164" fontId="28" fillId="3" borderId="0" pivotButton="0" quotePrefix="0" xfId="0"/>
    <xf numFmtId="168" fontId="26" fillId="3" borderId="0" pivotButton="0" quotePrefix="0" xfId="2"/>
    <xf numFmtId="164" fontId="32" fillId="5" borderId="0" pivotButton="0" quotePrefix="0" xfId="0"/>
    <xf numFmtId="165" fontId="6" fillId="3" borderId="0" applyAlignment="1" pivotButton="0" quotePrefix="0" xfId="0">
      <alignment horizontal="left"/>
    </xf>
    <xf numFmtId="165" fontId="6" fillId="3" borderId="0" applyAlignment="1" pivotButton="0" quotePrefix="0" xfId="0">
      <alignment horizontal="left" indent="1"/>
    </xf>
    <xf numFmtId="172" fontId="6" fillId="3" borderId="0" applyAlignment="1" pivotButton="0" quotePrefix="0" xfId="0">
      <alignment horizontal="left"/>
    </xf>
    <xf numFmtId="169" fontId="28" fillId="3" borderId="0" applyAlignment="1" pivotButton="0" quotePrefix="0" xfId="0">
      <alignment horizontal="left" indent="1"/>
    </xf>
    <xf numFmtId="169" fontId="0" fillId="3" borderId="0" applyAlignment="1" pivotButton="0" quotePrefix="0" xfId="0">
      <alignment horizontal="left"/>
    </xf>
    <xf numFmtId="165" fontId="29" fillId="3" borderId="0" applyAlignment="1" pivotButton="0" quotePrefix="0" xfId="0">
      <alignment horizontal="left" indent="3"/>
    </xf>
    <xf numFmtId="169" fontId="29" fillId="3" borderId="0" applyAlignment="1" pivotButton="0" quotePrefix="0" xfId="0">
      <alignment horizontal="left" indent="3"/>
    </xf>
    <xf numFmtId="164" fontId="6" fillId="3" borderId="0" applyAlignment="1" pivotButton="0" quotePrefix="0" xfId="0">
      <alignment horizontal="left" indent="3"/>
    </xf>
    <xf numFmtId="164" fontId="20" fillId="3" borderId="0" applyAlignment="1" pivotButton="0" quotePrefix="0" xfId="0">
      <alignment horizontal="left" indent="3"/>
    </xf>
    <xf numFmtId="168" fontId="6" fillId="3" borderId="0" applyAlignment="1" pivotButton="0" quotePrefix="0" xfId="0">
      <alignment horizontal="left" indent="3"/>
    </xf>
    <xf numFmtId="168" fontId="29" fillId="3" borderId="0" applyAlignment="1" pivotButton="0" quotePrefix="0" xfId="0">
      <alignment horizontal="left" indent="3"/>
    </xf>
    <xf numFmtId="166" fontId="6" fillId="3" borderId="0" applyAlignment="1" pivotButton="0" quotePrefix="0" xfId="0">
      <alignment horizontal="left" indent="3"/>
    </xf>
    <xf numFmtId="167" fontId="9" fillId="3" borderId="0" pivotButton="0" quotePrefix="0" xfId="0"/>
    <xf numFmtId="169" fontId="28" fillId="3" borderId="2" pivotButton="0" quotePrefix="0" xfId="0"/>
    <xf numFmtId="169" fontId="0" fillId="3" borderId="2" pivotButton="0" quotePrefix="0" xfId="0"/>
    <xf numFmtId="164" fontId="30" fillId="3" borderId="0" applyAlignment="1" pivotButton="0" quotePrefix="0" xfId="0">
      <alignment horizontal="left" indent="1"/>
    </xf>
    <xf numFmtId="164" fontId="29" fillId="3" borderId="0" applyAlignment="1" pivotButton="0" quotePrefix="0" xfId="0">
      <alignment horizontal="left" indent="3"/>
    </xf>
    <xf numFmtId="164" fontId="29" fillId="3" borderId="0" pivotButton="0" quotePrefix="0" xfId="0"/>
    <xf numFmtId="164" fontId="30" fillId="3" borderId="0" pivotButton="0" quotePrefix="0" xfId="0"/>
    <xf numFmtId="164" fontId="29" fillId="4" borderId="0" applyAlignment="1" pivotButton="0" quotePrefix="0" xfId="0">
      <alignment horizontal="right"/>
    </xf>
    <xf numFmtId="164" fontId="29" fillId="0" borderId="0" pivotButton="0" quotePrefix="0" xfId="0"/>
    <xf numFmtId="164" fontId="26" fillId="4" borderId="0" pivotButton="0" quotePrefix="0" xfId="0"/>
    <xf numFmtId="169" fontId="27" fillId="3" borderId="0" pivotButton="0" quotePrefix="0" xfId="0"/>
    <xf numFmtId="169" fontId="27" fillId="3" borderId="9" pivotButton="0" quotePrefix="0" xfId="0"/>
    <xf numFmtId="168" fontId="6" fillId="3" borderId="0" pivotButton="0" quotePrefix="0" xfId="0"/>
    <xf numFmtId="169" fontId="0" fillId="3" borderId="2" applyAlignment="1" pivotButton="0" quotePrefix="0" xfId="0">
      <alignment horizontal="left" indent="1"/>
    </xf>
    <xf numFmtId="169" fontId="34" fillId="3" borderId="0" applyAlignment="1" pivotButton="0" quotePrefix="0" xfId="0">
      <alignment horizontal="left" indent="1"/>
    </xf>
    <xf numFmtId="169" fontId="33" fillId="3" borderId="0" applyAlignment="1" pivotButton="0" quotePrefix="0" xfId="0">
      <alignment horizontal="left" indent="3"/>
    </xf>
    <xf numFmtId="169" fontId="33" fillId="3" borderId="0" pivotButton="0" quotePrefix="0" xfId="0"/>
    <xf numFmtId="169" fontId="34" fillId="3" borderId="0" pivotButton="0" quotePrefix="0" xfId="0"/>
    <xf numFmtId="164" fontId="32" fillId="5" borderId="0" pivotButton="0" quotePrefix="0" xfId="13"/>
    <xf numFmtId="165" fontId="35" fillId="5" borderId="0" pivotButton="0" quotePrefix="0" xfId="13"/>
    <xf numFmtId="164" fontId="27" fillId="3" borderId="0" applyAlignment="1" pivotButton="0" quotePrefix="0" xfId="13">
      <alignment horizontal="center"/>
    </xf>
    <xf numFmtId="165" fontId="28" fillId="3" borderId="0" applyAlignment="1" pivotButton="0" quotePrefix="0" xfId="13">
      <alignment horizontal="right"/>
    </xf>
    <xf numFmtId="165" fontId="28" fillId="3" borderId="0" pivotButton="0" quotePrefix="0" xfId="13"/>
    <xf numFmtId="165" fontId="28" fillId="3" borderId="2" pivotButton="0" quotePrefix="0" xfId="13"/>
    <xf numFmtId="165" fontId="26" fillId="3" borderId="0" pivotButton="0" quotePrefix="0" xfId="13"/>
    <xf numFmtId="168" fontId="26" fillId="3" borderId="0" pivotButton="0" quotePrefix="0" xfId="13"/>
    <xf numFmtId="165" fontId="26" fillId="3" borderId="0" applyAlignment="1" pivotButton="0" quotePrefix="0" xfId="13">
      <alignment horizontal="center"/>
    </xf>
    <xf numFmtId="165" fontId="26" fillId="3" borderId="7" applyAlignment="1" pivotButton="0" quotePrefix="0" xfId="13">
      <alignment horizontal="right"/>
    </xf>
    <xf numFmtId="165" fontId="26" fillId="3" borderId="0" applyAlignment="1" pivotButton="0" quotePrefix="0" xfId="13">
      <alignment horizontal="right"/>
    </xf>
    <xf numFmtId="166" fontId="26" fillId="3" borderId="0" pivotButton="0" quotePrefix="0" xfId="13"/>
    <xf numFmtId="166" fontId="28" fillId="3" borderId="0" pivotButton="0" quotePrefix="0" xfId="13"/>
    <xf numFmtId="165" fontId="25" fillId="5" borderId="0" pivotButton="0" quotePrefix="0" xfId="13"/>
    <xf numFmtId="165" fontId="28" fillId="3" borderId="0" applyAlignment="1" pivotButton="0" quotePrefix="0" xfId="13">
      <alignment horizontal="center"/>
    </xf>
    <xf numFmtId="165" fontId="3" fillId="3" borderId="0" pivotButton="0" quotePrefix="0" xfId="2"/>
    <xf numFmtId="165" fontId="6" fillId="3" borderId="0" applyAlignment="1" pivotButton="0" quotePrefix="0" xfId="0">
      <alignment horizontal="left" indent="3"/>
    </xf>
    <xf numFmtId="165" fontId="14" fillId="3" borderId="0" pivotButton="0" quotePrefix="0" xfId="1"/>
    <xf numFmtId="169" fontId="29" fillId="3" borderId="2" applyAlignment="1" pivotButton="0" quotePrefix="0" xfId="0">
      <alignment horizontal="left" indent="3"/>
    </xf>
    <xf numFmtId="169" fontId="23" fillId="3" borderId="0" applyAlignment="1" pivotButton="0" quotePrefix="0" xfId="0">
      <alignment horizontal="left" indent="1"/>
    </xf>
    <xf numFmtId="169" fontId="28" fillId="3" borderId="0" applyAlignment="1" pivotButton="0" quotePrefix="0" xfId="0">
      <alignment horizontal="left" indent="3"/>
    </xf>
    <xf numFmtId="169" fontId="23" fillId="3" borderId="0" pivotButton="0" quotePrefix="0" xfId="0"/>
    <xf numFmtId="169" fontId="23" fillId="3" borderId="2" applyAlignment="1" pivotButton="0" quotePrefix="0" xfId="0">
      <alignment horizontal="left" indent="2"/>
    </xf>
    <xf numFmtId="169" fontId="28" fillId="3" borderId="2" applyAlignment="1" pivotButton="0" quotePrefix="0" xfId="0">
      <alignment horizontal="left" indent="3"/>
    </xf>
    <xf numFmtId="169" fontId="0" fillId="3" borderId="2" applyAlignment="1" pivotButton="0" quotePrefix="0" xfId="0">
      <alignment horizontal="left" indent="2"/>
    </xf>
    <xf numFmtId="168" fontId="5" fillId="6" borderId="0" applyAlignment="1" pivotButton="0" quotePrefix="0" xfId="2">
      <alignment horizontal="center"/>
    </xf>
    <xf numFmtId="0" fontId="24" fillId="3" borderId="0" applyAlignment="1" pivotButton="0" quotePrefix="0" xfId="2">
      <alignment horizontal="center"/>
    </xf>
    <xf numFmtId="17" fontId="34" fillId="3" borderId="0" applyAlignment="1" pivotButton="0" quotePrefix="0" xfId="13">
      <alignment horizontal="center"/>
    </xf>
    <xf numFmtId="0" fontId="38" fillId="3" borderId="0" pivotButton="0" quotePrefix="0" xfId="13"/>
    <xf numFmtId="0" fontId="0" fillId="3" borderId="0" pivotButton="0" quotePrefix="0" xfId="0"/>
    <xf numFmtId="170" fontId="36" fillId="6" borderId="0" applyAlignment="1" pivotButton="0" quotePrefix="0" xfId="0">
      <alignment horizontal="center"/>
    </xf>
    <xf numFmtId="164" fontId="26" fillId="3" borderId="10" pivotButton="0" quotePrefix="0" xfId="0"/>
    <xf numFmtId="164" fontId="28" fillId="3" borderId="11" pivotButton="0" quotePrefix="0" xfId="0"/>
    <xf numFmtId="164" fontId="26" fillId="3" borderId="12" pivotButton="0" quotePrefix="0" xfId="0"/>
    <xf numFmtId="164" fontId="26" fillId="3" borderId="13" pivotButton="0" quotePrefix="0" xfId="0"/>
    <xf numFmtId="165" fontId="28" fillId="3" borderId="13" pivotButton="0" quotePrefix="0" xfId="0"/>
    <xf numFmtId="164" fontId="28" fillId="3" borderId="13" pivotButton="0" quotePrefix="0" xfId="0"/>
    <xf numFmtId="164" fontId="28" fillId="3" borderId="14" pivotButton="0" quotePrefix="0" xfId="0"/>
    <xf numFmtId="164" fontId="26" fillId="3" borderId="15" pivotButton="0" quotePrefix="0" xfId="0"/>
    <xf numFmtId="164" fontId="26" fillId="3" borderId="16" pivotButton="0" quotePrefix="0" xfId="0"/>
    <xf numFmtId="164" fontId="23" fillId="3" borderId="16" applyAlignment="1" pivotButton="0" quotePrefix="0" xfId="11">
      <alignment horizontal="left" indent="1"/>
    </xf>
    <xf numFmtId="170" fontId="39" fillId="3" borderId="0" applyAlignment="1" pivotButton="0" quotePrefix="0" xfId="9">
      <alignment horizontal="left"/>
    </xf>
    <xf numFmtId="0" fontId="26" fillId="3" borderId="0" pivotButton="0" quotePrefix="0" xfId="13"/>
    <xf numFmtId="0" fontId="29" fillId="3" borderId="0" pivotButton="0" quotePrefix="0" xfId="13"/>
    <xf numFmtId="0" fontId="28" fillId="3" borderId="0" applyAlignment="1" pivotButton="0" quotePrefix="0" xfId="13">
      <alignment horizontal="left"/>
    </xf>
    <xf numFmtId="0" fontId="28" fillId="3" borderId="0" pivotButton="0" quotePrefix="0" xfId="13"/>
    <xf numFmtId="164" fontId="26" fillId="3" borderId="0" applyAlignment="1" pivotButton="0" quotePrefix="0" xfId="13">
      <alignment horizontal="center"/>
    </xf>
    <xf numFmtId="14" fontId="28" fillId="3" borderId="0" applyAlignment="1" pivotButton="0" quotePrefix="0" xfId="13">
      <alignment horizontal="left"/>
    </xf>
    <xf numFmtId="0" fontId="40" fillId="3" borderId="0" pivotButton="0" quotePrefix="0" xfId="9"/>
    <xf numFmtId="0" fontId="28" fillId="3" borderId="0" applyAlignment="1" pivotButton="0" quotePrefix="0" xfId="13">
      <alignment horizontal="center"/>
    </xf>
    <xf numFmtId="164" fontId="28" fillId="3" borderId="0" applyAlignment="1" pivotButton="0" quotePrefix="0" xfId="13">
      <alignment horizontal="center"/>
    </xf>
    <xf numFmtId="0" fontId="25" fillId="5" borderId="0" applyAlignment="1" pivotButton="0" quotePrefix="0" xfId="13">
      <alignment horizontal="left"/>
    </xf>
    <xf numFmtId="0" fontId="25" fillId="5" borderId="0" applyAlignment="1" pivotButton="0" quotePrefix="0" xfId="13">
      <alignment horizontal="centerContinuous"/>
    </xf>
    <xf numFmtId="0" fontId="25" fillId="5" borderId="0" applyAlignment="1" pivotButton="0" quotePrefix="0" xfId="13">
      <alignment horizontal="center"/>
    </xf>
    <xf numFmtId="165" fontId="25" fillId="5" borderId="0" applyAlignment="1" pivotButton="0" quotePrefix="0" xfId="13">
      <alignment horizontal="center"/>
    </xf>
    <xf numFmtId="0" fontId="28" fillId="6" borderId="0" pivotButton="0" quotePrefix="0" xfId="13"/>
    <xf numFmtId="0" fontId="29" fillId="6" borderId="0" pivotButton="0" quotePrefix="0" xfId="13"/>
    <xf numFmtId="164" fontId="28" fillId="6" borderId="0" pivotButton="0" quotePrefix="0" xfId="13"/>
    <xf numFmtId="14" fontId="28" fillId="6" borderId="0" applyAlignment="1" pivotButton="0" quotePrefix="0" xfId="13">
      <alignment horizontal="left"/>
    </xf>
    <xf numFmtId="165" fontId="28" fillId="6" borderId="0" pivotButton="0" quotePrefix="0" xfId="13"/>
    <xf numFmtId="0" fontId="25" fillId="3" borderId="0" applyAlignment="1" pivotButton="0" quotePrefix="0" xfId="13">
      <alignment horizontal="left"/>
    </xf>
    <xf numFmtId="0" fontId="25" fillId="3" borderId="0" applyAlignment="1" pivotButton="0" quotePrefix="0" xfId="13">
      <alignment horizontal="center"/>
    </xf>
    <xf numFmtId="0" fontId="26" fillId="6" borderId="0" pivotButton="0" quotePrefix="0" xfId="13"/>
    <xf numFmtId="164" fontId="26" fillId="6" borderId="0" applyAlignment="1" pivotButton="0" quotePrefix="0" xfId="13">
      <alignment horizontal="center"/>
    </xf>
    <xf numFmtId="165" fontId="26" fillId="6" borderId="0" applyAlignment="1" pivotButton="0" quotePrefix="0" xfId="13">
      <alignment horizontal="center"/>
    </xf>
    <xf numFmtId="0" fontId="41" fillId="6" borderId="0" pivotButton="0" quotePrefix="0" xfId="9"/>
    <xf numFmtId="0" fontId="41" fillId="3" borderId="0" pivotButton="0" quotePrefix="0" xfId="9"/>
    <xf numFmtId="164" fontId="27" fillId="3" borderId="0" applyAlignment="1" pivotButton="0" quotePrefix="0" xfId="13">
      <alignment horizontal="left"/>
    </xf>
    <xf numFmtId="164" fontId="34" fillId="3" borderId="0" applyAlignment="1" pivotButton="0" quotePrefix="0" xfId="13">
      <alignment horizontal="center"/>
    </xf>
    <xf numFmtId="173" fontId="26" fillId="3" borderId="0" applyAlignment="1" pivotButton="0" quotePrefix="0" xfId="13">
      <alignment horizontal="left" indent="1"/>
    </xf>
    <xf numFmtId="164" fontId="26" fillId="3" borderId="0" applyAlignment="1" pivotButton="0" quotePrefix="0" xfId="13">
      <alignment horizontal="left"/>
    </xf>
    <xf numFmtId="164" fontId="28" fillId="3" borderId="0" applyAlignment="1" pivotButton="0" quotePrefix="0" xfId="13">
      <alignment horizontal="left" indent="1"/>
    </xf>
    <xf numFmtId="164" fontId="28" fillId="3" borderId="0" applyAlignment="1" pivotButton="0" quotePrefix="0" xfId="13">
      <alignment horizontal="left" indent="3"/>
    </xf>
    <xf numFmtId="164" fontId="26" fillId="3" borderId="7" applyAlignment="1" pivotButton="0" quotePrefix="0" xfId="13">
      <alignment horizontal="left"/>
    </xf>
    <xf numFmtId="164" fontId="26" fillId="3" borderId="0" applyAlignment="1" pivotButton="0" quotePrefix="0" xfId="13">
      <alignment horizontal="left" indent="3"/>
    </xf>
    <xf numFmtId="165" fontId="28" fillId="3" borderId="0" applyAlignment="1" pivotButton="0" quotePrefix="0" xfId="13">
      <alignment horizontal="left" indent="1"/>
    </xf>
    <xf numFmtId="165" fontId="23" fillId="3" borderId="0" pivotButton="0" quotePrefix="0" xfId="2"/>
    <xf numFmtId="165" fontId="28" fillId="3" borderId="0" applyAlignment="1" pivotButton="0" quotePrefix="0" xfId="13">
      <alignment horizontal="left" indent="4"/>
    </xf>
    <xf numFmtId="165" fontId="28" fillId="3" borderId="2" applyAlignment="1" pivotButton="0" quotePrefix="0" xfId="13">
      <alignment horizontal="left" indent="1"/>
    </xf>
    <xf numFmtId="165" fontId="28" fillId="3" borderId="2" applyAlignment="1" pivotButton="0" quotePrefix="0" xfId="13">
      <alignment horizontal="left" indent="4"/>
    </xf>
    <xf numFmtId="165" fontId="26" fillId="3" borderId="0" applyAlignment="1" pivotButton="0" quotePrefix="0" xfId="13">
      <alignment horizontal="left"/>
    </xf>
    <xf numFmtId="165" fontId="26" fillId="3" borderId="0" applyAlignment="1" pivotButton="0" quotePrefix="0" xfId="13">
      <alignment horizontal="left" indent="4"/>
    </xf>
    <xf numFmtId="164" fontId="28" fillId="3" borderId="0" applyAlignment="1" pivotButton="0" quotePrefix="0" xfId="13">
      <alignment horizontal="left" indent="4"/>
    </xf>
    <xf numFmtId="168" fontId="26" fillId="3" borderId="0" applyAlignment="1" pivotButton="0" quotePrefix="0" xfId="13">
      <alignment horizontal="left"/>
    </xf>
    <xf numFmtId="168" fontId="26" fillId="3" borderId="0" applyAlignment="1" pivotButton="0" quotePrefix="0" xfId="13">
      <alignment horizontal="left" indent="3"/>
    </xf>
    <xf numFmtId="168" fontId="27" fillId="3" borderId="0" pivotButton="0" quotePrefix="0" xfId="2"/>
    <xf numFmtId="165" fontId="26" fillId="3" borderId="7" applyAlignment="1" pivotButton="0" quotePrefix="0" xfId="13">
      <alignment horizontal="left"/>
    </xf>
    <xf numFmtId="174" fontId="26" fillId="3" borderId="0" applyAlignment="1" pivotButton="0" quotePrefix="0" xfId="13">
      <alignment horizontal="left"/>
    </xf>
    <xf numFmtId="174" fontId="27" fillId="3" borderId="0" pivotButton="0" quotePrefix="0" xfId="2"/>
    <xf numFmtId="166" fontId="27" fillId="3" borderId="0" pivotButton="0" quotePrefix="0" xfId="13"/>
    <xf numFmtId="166" fontId="26" fillId="3" borderId="0" applyAlignment="1" pivotButton="0" quotePrefix="0" xfId="13">
      <alignment horizontal="left" indent="3"/>
    </xf>
    <xf numFmtId="175" fontId="26" fillId="3" borderId="0" applyAlignment="1" pivotButton="0" quotePrefix="0" xfId="13">
      <alignment horizontal="left"/>
    </xf>
    <xf numFmtId="175" fontId="27" fillId="3" borderId="0" pivotButton="0" quotePrefix="0" xfId="2"/>
    <xf numFmtId="165" fontId="28" fillId="3" borderId="0" applyAlignment="1" pivotButton="0" quotePrefix="0" xfId="13">
      <alignment horizontal="left"/>
    </xf>
    <xf numFmtId="166" fontId="23" fillId="3" borderId="0" pivotButton="0" quotePrefix="0" xfId="13"/>
    <xf numFmtId="166" fontId="28" fillId="3" borderId="0" applyAlignment="1" pivotButton="0" quotePrefix="0" xfId="13">
      <alignment horizontal="left" indent="3"/>
    </xf>
    <xf numFmtId="176" fontId="3" fillId="6" borderId="0" applyAlignment="1" pivotButton="0" quotePrefix="0" xfId="0">
      <alignment horizontal="left"/>
    </xf>
    <xf numFmtId="177" fontId="3" fillId="6" borderId="0" pivotButton="0" quotePrefix="0" xfId="0"/>
    <xf numFmtId="0" fontId="6" fillId="6" borderId="0" applyAlignment="1" pivotButton="0" quotePrefix="0" xfId="0">
      <alignment horizontal="center"/>
    </xf>
    <xf numFmtId="164" fontId="6" fillId="3" borderId="10" pivotButton="0" quotePrefix="0" xfId="0"/>
    <xf numFmtId="178" fontId="0" fillId="0" borderId="0" pivotButton="0" quotePrefix="0" xfId="0"/>
    <xf numFmtId="169" fontId="0" fillId="0" borderId="0" pivotButton="0" quotePrefix="0" xfId="0"/>
    <xf numFmtId="164" fontId="0" fillId="3" borderId="0" pivotButton="0" quotePrefix="0" xfId="0"/>
    <xf numFmtId="164" fontId="0" fillId="3" borderId="10" pivotButton="0" quotePrefix="0" xfId="0"/>
    <xf numFmtId="178" fontId="0" fillId="3" borderId="0" applyAlignment="1" pivotButton="0" quotePrefix="0" xfId="0">
      <alignment horizontal="left" indent="1"/>
    </xf>
    <xf numFmtId="178" fontId="9" fillId="3" borderId="0" pivotButton="0" quotePrefix="0" xfId="0"/>
    <xf numFmtId="178" fontId="0" fillId="3" borderId="0" pivotButton="0" quotePrefix="0" xfId="0"/>
    <xf numFmtId="14" fontId="9" fillId="3" borderId="0" pivotButton="0" quotePrefix="0" xfId="0"/>
    <xf numFmtId="169" fontId="0" fillId="3" borderId="11" applyAlignment="1" pivotButton="0" quotePrefix="0" xfId="0">
      <alignment horizontal="left" indent="1"/>
    </xf>
    <xf numFmtId="169" fontId="0" fillId="3" borderId="11" pivotButton="0" quotePrefix="0" xfId="0"/>
    <xf numFmtId="0" fontId="35" fillId="5" borderId="0" pivotButton="0" quotePrefix="0" xfId="0"/>
    <xf numFmtId="0" fontId="6" fillId="3" borderId="0" pivotButton="0" quotePrefix="0" xfId="0"/>
    <xf numFmtId="165" fontId="26" fillId="3" borderId="0" pivotButton="0" quotePrefix="0" xfId="0"/>
    <xf numFmtId="174" fontId="26" fillId="3" borderId="0" pivotButton="0" quotePrefix="0" xfId="13"/>
    <xf numFmtId="175" fontId="26" fillId="3" borderId="0" pivotButton="0" quotePrefix="0" xfId="13"/>
    <xf numFmtId="169" fontId="25" fillId="5" borderId="0" applyAlignment="1" pivotButton="0" quotePrefix="0" xfId="0">
      <alignment horizontal="left"/>
    </xf>
    <xf numFmtId="169" fontId="25" fillId="5" borderId="0" applyAlignment="1" pivotButton="0" quotePrefix="0" xfId="0">
      <alignment horizontal="left" indent="3"/>
    </xf>
    <xf numFmtId="179" fontId="10" fillId="4" borderId="0" pivotButton="0" quotePrefix="0" xfId="0"/>
    <xf numFmtId="179" fontId="10" fillId="3" borderId="0" pivotButton="0" quotePrefix="0" xfId="0"/>
    <xf numFmtId="165" fontId="6" fillId="4" borderId="0" pivotButton="0" quotePrefix="0" xfId="0"/>
    <xf numFmtId="165" fontId="10" fillId="3" borderId="0" applyAlignment="1" pivotButton="0" quotePrefix="0" xfId="0">
      <alignment horizontal="left" indent="1"/>
    </xf>
    <xf numFmtId="165" fontId="10" fillId="3" borderId="0" applyAlignment="1" pivotButton="0" quotePrefix="0" xfId="0">
      <alignment horizontal="left" indent="3"/>
    </xf>
    <xf numFmtId="165" fontId="10" fillId="4" borderId="0" pivotButton="0" quotePrefix="0" xfId="0"/>
    <xf numFmtId="165" fontId="43" fillId="3" borderId="0" pivotButton="0" quotePrefix="0" xfId="0"/>
    <xf numFmtId="165" fontId="43" fillId="4" borderId="0" pivotButton="0" quotePrefix="0" xfId="0"/>
    <xf numFmtId="180" fontId="0" fillId="3" borderId="0" pivotButton="0" quotePrefix="0" xfId="0"/>
    <xf numFmtId="180" fontId="9" fillId="3" borderId="0" pivotButton="0" quotePrefix="0" xfId="0"/>
    <xf numFmtId="164" fontId="23" fillId="3" borderId="0" applyAlignment="1" pivotButton="0" quotePrefix="0" xfId="11">
      <alignment horizontal="left" indent="1"/>
    </xf>
    <xf numFmtId="164" fontId="28" fillId="3" borderId="10" pivotButton="0" quotePrefix="0" xfId="0"/>
    <xf numFmtId="164" fontId="23" fillId="3" borderId="10" pivotButton="0" quotePrefix="0" xfId="11"/>
    <xf numFmtId="164" fontId="28" fillId="3" borderId="12" pivotButton="0" quotePrefix="0" xfId="0"/>
    <xf numFmtId="181" fontId="27" fillId="3" borderId="15" applyAlignment="1" pivotButton="0" quotePrefix="0" xfId="11">
      <alignment horizontal="left"/>
    </xf>
    <xf numFmtId="181" fontId="23" fillId="3" borderId="16" applyAlignment="1" pivotButton="0" quotePrefix="0" xfId="11">
      <alignment horizontal="left"/>
    </xf>
    <xf numFmtId="17" fontId="28" fillId="3" borderId="0" pivotButton="0" quotePrefix="0" xfId="0"/>
    <xf numFmtId="17" fontId="28" fillId="3" borderId="13" pivotButton="0" quotePrefix="0" xfId="0"/>
    <xf numFmtId="178" fontId="23" fillId="3" borderId="16" applyAlignment="1" pivotButton="0" quotePrefix="0" xfId="11">
      <alignment horizontal="left" indent="1"/>
    </xf>
    <xf numFmtId="178" fontId="28" fillId="3" borderId="0" pivotButton="0" quotePrefix="0" xfId="0"/>
    <xf numFmtId="178" fontId="28" fillId="3" borderId="13" pivotButton="0" quotePrefix="0" xfId="0"/>
    <xf numFmtId="178" fontId="23" fillId="3" borderId="16" applyAlignment="1" pivotButton="0" quotePrefix="0" xfId="11">
      <alignment horizontal="left" indent="2"/>
    </xf>
    <xf numFmtId="180" fontId="23" fillId="3" borderId="16" applyAlignment="1" pivotButton="0" quotePrefix="0" xfId="11">
      <alignment horizontal="left" indent="1"/>
    </xf>
    <xf numFmtId="180" fontId="28" fillId="3" borderId="0" pivotButton="0" quotePrefix="0" xfId="0"/>
    <xf numFmtId="180" fontId="28" fillId="3" borderId="13" pivotButton="0" quotePrefix="0" xfId="0"/>
    <xf numFmtId="180" fontId="23" fillId="3" borderId="16" applyAlignment="1" pivotButton="0" quotePrefix="0" xfId="11">
      <alignment horizontal="left" indent="2"/>
    </xf>
    <xf numFmtId="178" fontId="8" fillId="3" borderId="0" pivotButton="0" quotePrefix="0" xfId="2"/>
    <xf numFmtId="178" fontId="28" fillId="4" borderId="0" pivotButton="0" quotePrefix="0" xfId="0"/>
    <xf numFmtId="180" fontId="0" fillId="3" borderId="0" applyAlignment="1" pivotButton="0" quotePrefix="0" xfId="0">
      <alignment horizontal="left" indent="1"/>
    </xf>
    <xf numFmtId="180" fontId="8" fillId="3" borderId="0" pivotButton="0" quotePrefix="0" xfId="2"/>
    <xf numFmtId="180" fontId="28" fillId="4" borderId="0" pivotButton="0" quotePrefix="0" xfId="0"/>
    <xf numFmtId="178" fontId="14" fillId="3" borderId="0" applyAlignment="1" pivotButton="0" quotePrefix="0" xfId="0">
      <alignment horizontal="left"/>
    </xf>
    <xf numFmtId="178" fontId="6" fillId="3" borderId="0" applyAlignment="1" pivotButton="0" quotePrefix="0" xfId="0">
      <alignment horizontal="right"/>
    </xf>
    <xf numFmtId="178" fontId="26" fillId="4" borderId="0" pivotButton="0" quotePrefix="0" xfId="0"/>
    <xf numFmtId="178" fontId="6" fillId="3" borderId="0" pivotButton="0" quotePrefix="0" xfId="0"/>
    <xf numFmtId="178" fontId="6" fillId="0" borderId="0" pivotButton="0" quotePrefix="0" xfId="0"/>
    <xf numFmtId="169" fontId="26" fillId="3" borderId="0" applyAlignment="1" pivotButton="0" quotePrefix="0" xfId="0">
      <alignment horizontal="left" indent="3"/>
    </xf>
    <xf numFmtId="167" fontId="23" fillId="3" borderId="0" pivotButton="0" quotePrefix="0" xfId="2"/>
    <xf numFmtId="167" fontId="28" fillId="3" borderId="0" applyAlignment="1" pivotButton="0" quotePrefix="0" xfId="0">
      <alignment horizontal="left" indent="3"/>
    </xf>
    <xf numFmtId="169" fontId="28" fillId="3" borderId="2" applyAlignment="1" pivotButton="0" quotePrefix="0" xfId="0">
      <alignment horizontal="left" indent="1"/>
    </xf>
    <xf numFmtId="165" fontId="26" fillId="3" borderId="0" applyAlignment="1" pivotButton="0" quotePrefix="0" xfId="0">
      <alignment horizontal="left" indent="3"/>
    </xf>
    <xf numFmtId="165" fontId="26" fillId="4" borderId="0" pivotButton="0" quotePrefix="0" xfId="1"/>
    <xf numFmtId="165" fontId="0" fillId="4" borderId="0" applyAlignment="1" pivotButton="0" quotePrefix="0" xfId="0">
      <alignment horizontal="right"/>
    </xf>
    <xf numFmtId="169" fontId="25" fillId="5" borderId="0" pivotButton="0" quotePrefix="0" xfId="0"/>
    <xf numFmtId="165" fontId="6" fillId="3" borderId="0" pivotButton="0" quotePrefix="0" xfId="1"/>
    <xf numFmtId="165" fontId="26" fillId="3" borderId="0" pivotButton="0" quotePrefix="0" xfId="1"/>
    <xf numFmtId="167" fontId="28" fillId="3" borderId="0" pivotButton="0" quotePrefix="0" xfId="0"/>
    <xf numFmtId="182" fontId="0" fillId="3" borderId="0" pivotButton="0" quotePrefix="0" xfId="0"/>
    <xf numFmtId="1" fontId="6" fillId="3" borderId="0" applyAlignment="1" pivotButton="0" quotePrefix="0" xfId="0">
      <alignment horizontal="center"/>
    </xf>
    <xf numFmtId="17" fontId="2" fillId="3" borderId="0" applyAlignment="1" pivotButton="0" quotePrefix="0" xfId="0">
      <alignment horizontal="center"/>
    </xf>
    <xf numFmtId="17" fontId="8" fillId="3" borderId="0" applyAlignment="1" pivotButton="0" quotePrefix="0" xfId="0">
      <alignment horizontal="center"/>
    </xf>
    <xf numFmtId="0" fontId="3" fillId="3" borderId="0" applyAlignment="1" pivotButton="0" quotePrefix="0" xfId="0">
      <alignment horizontal="center"/>
    </xf>
    <xf numFmtId="0" fontId="5" fillId="3" borderId="0" applyAlignment="1" pivotButton="0" quotePrefix="0" xfId="0">
      <alignment horizontal="center"/>
    </xf>
    <xf numFmtId="168" fontId="29" fillId="4" borderId="0" pivotButton="0" quotePrefix="0" xfId="0"/>
    <xf numFmtId="168" fontId="30" fillId="3" borderId="0" pivotButton="0" quotePrefix="0" xfId="2"/>
    <xf numFmtId="178" fontId="0" fillId="4" borderId="0" applyAlignment="1" pivotButton="0" quotePrefix="0" xfId="0">
      <alignment horizontal="right"/>
    </xf>
    <xf numFmtId="178" fontId="0" fillId="3" borderId="0" applyAlignment="1" pivotButton="0" quotePrefix="0" xfId="0">
      <alignment horizontal="right"/>
    </xf>
    <xf numFmtId="1" fontId="6" fillId="3" borderId="17" applyAlignment="1" pivotButton="0" quotePrefix="0" xfId="0">
      <alignment horizontal="center"/>
    </xf>
    <xf numFmtId="17" fontId="8" fillId="3" borderId="17" applyAlignment="1" pivotButton="0" quotePrefix="0" xfId="0">
      <alignment horizontal="center"/>
    </xf>
    <xf numFmtId="0" fontId="5" fillId="3" borderId="17" applyAlignment="1" pivotButton="0" quotePrefix="0" xfId="0">
      <alignment horizontal="center"/>
    </xf>
    <xf numFmtId="165" fontId="25" fillId="5" borderId="17" pivotButton="0" quotePrefix="0" xfId="0"/>
    <xf numFmtId="165" fontId="6" fillId="3" borderId="18" applyAlignment="1" pivotButton="0" quotePrefix="0" xfId="0">
      <alignment horizontal="right"/>
    </xf>
    <xf numFmtId="165" fontId="6" fillId="3" borderId="17" applyAlignment="1" pivotButton="0" quotePrefix="0" xfId="0">
      <alignment horizontal="right"/>
    </xf>
    <xf numFmtId="164" fontId="25" fillId="5" borderId="17" pivotButton="0" quotePrefix="0" xfId="0"/>
    <xf numFmtId="164" fontId="20" fillId="3" borderId="17" pivotButton="0" quotePrefix="0" xfId="0"/>
    <xf numFmtId="164" fontId="6" fillId="3" borderId="17" pivotButton="0" quotePrefix="0" xfId="0"/>
    <xf numFmtId="166" fontId="6" fillId="3" borderId="17" pivotButton="0" quotePrefix="0" xfId="0"/>
    <xf numFmtId="178" fontId="6" fillId="3" borderId="17" applyAlignment="1" pivotButton="0" quotePrefix="0" xfId="0">
      <alignment horizontal="right"/>
    </xf>
    <xf numFmtId="165" fontId="6" fillId="3" borderId="17" pivotButton="0" quotePrefix="0" xfId="0"/>
    <xf numFmtId="165" fontId="10" fillId="3" borderId="17" pivotButton="0" quotePrefix="0" xfId="0"/>
    <xf numFmtId="179" fontId="10" fillId="3" borderId="17" pivotButton="0" quotePrefix="0" xfId="0"/>
    <xf numFmtId="164" fontId="32" fillId="5" borderId="17" pivotButton="0" quotePrefix="0" xfId="0"/>
    <xf numFmtId="165" fontId="28" fillId="3" borderId="0" pivotButton="0" quotePrefix="0" xfId="0"/>
    <xf numFmtId="183" fontId="23" fillId="3" borderId="0" pivotButton="0" quotePrefix="0" xfId="2"/>
    <xf numFmtId="174" fontId="26" fillId="3" borderId="0" applyAlignment="1" pivotButton="0" quotePrefix="0" xfId="13">
      <alignment horizontal="right"/>
    </xf>
    <xf numFmtId="175" fontId="26" fillId="3" borderId="0" applyAlignment="1" pivotButton="0" quotePrefix="0" xfId="13">
      <alignment horizontal="right"/>
    </xf>
    <xf numFmtId="165" fontId="26" fillId="3" borderId="17" applyAlignment="1" pivotButton="0" quotePrefix="0" xfId="0">
      <alignment horizontal="right"/>
    </xf>
    <xf numFmtId="165" fontId="20" fillId="3" borderId="17" applyAlignment="1" pivotButton="0" quotePrefix="0" xfId="0">
      <alignment horizontal="left" indent="1"/>
    </xf>
    <xf numFmtId="164" fontId="28" fillId="3" borderId="17" pivotButton="0" quotePrefix="0" xfId="0"/>
    <xf numFmtId="164" fontId="0" fillId="3" borderId="17" pivotButton="0" quotePrefix="0" xfId="0"/>
    <xf numFmtId="0" fontId="0" fillId="3" borderId="17" pivotButton="0" quotePrefix="0" xfId="0"/>
    <xf numFmtId="0" fontId="26" fillId="3" borderId="12" pivotButton="0" quotePrefix="0" xfId="0"/>
    <xf numFmtId="184" fontId="2" fillId="6" borderId="0" applyAlignment="1" pivotButton="0" quotePrefix="0" xfId="0">
      <alignment horizontal="left"/>
    </xf>
    <xf numFmtId="164" fontId="6" fillId="3" borderId="0" applyAlignment="1" pivotButton="0" quotePrefix="0" xfId="0">
      <alignment horizontal="center"/>
    </xf>
    <xf numFmtId="17" fontId="0" fillId="3" borderId="0" applyAlignment="1" pivotButton="0" quotePrefix="0" xfId="0">
      <alignment horizontal="center"/>
    </xf>
    <xf numFmtId="0" fontId="6" fillId="3" borderId="0" applyAlignment="1" pivotButton="0" quotePrefix="0" xfId="0">
      <alignment horizontal="center"/>
    </xf>
    <xf numFmtId="165" fontId="0" fillId="3" borderId="0" applyAlignment="1" pivotButton="0" quotePrefix="0" xfId="0">
      <alignment horizontal="left" indent="1"/>
    </xf>
    <xf numFmtId="165" fontId="0" fillId="3" borderId="0" applyAlignment="1" pivotButton="0" quotePrefix="0" xfId="0">
      <alignment horizontal="right"/>
    </xf>
    <xf numFmtId="165" fontId="0" fillId="3" borderId="17" applyAlignment="1" pivotButton="0" quotePrefix="0" xfId="0">
      <alignment horizontal="right"/>
    </xf>
    <xf numFmtId="165" fontId="0" fillId="3" borderId="0" pivotButton="0" quotePrefix="0" xfId="0"/>
    <xf numFmtId="165" fontId="0" fillId="0" borderId="0" pivotButton="0" quotePrefix="0" xfId="0"/>
    <xf numFmtId="165" fontId="0" fillId="3" borderId="2" applyAlignment="1" pivotButton="0" quotePrefix="0" xfId="0">
      <alignment horizontal="left" indent="1"/>
    </xf>
    <xf numFmtId="165" fontId="8" fillId="3" borderId="2" pivotButton="0" quotePrefix="0" xfId="2"/>
    <xf numFmtId="165" fontId="0" fillId="4" borderId="2" applyAlignment="1" pivotButton="0" quotePrefix="0" xfId="0">
      <alignment horizontal="right"/>
    </xf>
    <xf numFmtId="165" fontId="0" fillId="3" borderId="2" applyAlignment="1" pivotButton="0" quotePrefix="0" xfId="0">
      <alignment horizontal="right"/>
    </xf>
    <xf numFmtId="165" fontId="0" fillId="3" borderId="19" applyAlignment="1" pivotButton="0" quotePrefix="0" xfId="0">
      <alignment horizontal="right"/>
    </xf>
    <xf numFmtId="165" fontId="9" fillId="3" borderId="2" applyAlignment="1" pivotButton="0" quotePrefix="0" xfId="0">
      <alignment horizontal="right"/>
    </xf>
    <xf numFmtId="165" fontId="28" fillId="4" borderId="2" applyAlignment="1" pivotButton="0" quotePrefix="0" xfId="0">
      <alignment horizontal="right"/>
    </xf>
    <xf numFmtId="165" fontId="9" fillId="4" borderId="2" applyAlignment="1" pivotButton="0" quotePrefix="0" xfId="0">
      <alignment horizontal="right"/>
    </xf>
    <xf numFmtId="164" fontId="0" fillId="3" borderId="0" applyAlignment="1" pivotButton="0" quotePrefix="0" xfId="0">
      <alignment horizontal="left" indent="4"/>
    </xf>
    <xf numFmtId="164" fontId="0" fillId="4" borderId="0" pivotButton="0" quotePrefix="0" xfId="0"/>
    <xf numFmtId="164" fontId="28" fillId="4" borderId="0" pivotButton="0" quotePrefix="0" xfId="0"/>
    <xf numFmtId="164" fontId="0" fillId="3" borderId="2" pivotButton="0" quotePrefix="0" xfId="0"/>
    <xf numFmtId="164" fontId="0" fillId="3" borderId="19" pivotButton="0" quotePrefix="0" xfId="0"/>
    <xf numFmtId="164" fontId="6" fillId="3" borderId="7" applyAlignment="1" pivotButton="0" quotePrefix="0" xfId="0">
      <alignment horizontal="left"/>
    </xf>
    <xf numFmtId="164" fontId="6" fillId="3" borderId="7" applyAlignment="1" pivotButton="0" quotePrefix="0" xfId="0">
      <alignment horizontal="left" indent="4"/>
    </xf>
    <xf numFmtId="164" fontId="6" fillId="4" borderId="7" pivotButton="0" quotePrefix="0" xfId="0"/>
    <xf numFmtId="164" fontId="6" fillId="3" borderId="7" pivotButton="0" quotePrefix="0" xfId="0"/>
    <xf numFmtId="164" fontId="26" fillId="3" borderId="7" pivotButton="0" quotePrefix="0" xfId="0"/>
    <xf numFmtId="164" fontId="26" fillId="4" borderId="7" pivotButton="0" quotePrefix="0" xfId="0"/>
    <xf numFmtId="164" fontId="6" fillId="3" borderId="18" pivotButton="0" quotePrefix="0" xfId="0"/>
    <xf numFmtId="164" fontId="0" fillId="3" borderId="0" applyAlignment="1" pivotButton="0" quotePrefix="0" xfId="0">
      <alignment horizontal="left"/>
    </xf>
    <xf numFmtId="165" fontId="2" fillId="3" borderId="0" applyAlignment="1" pivotButton="0" quotePrefix="0" xfId="2">
      <alignment horizontal="left" indent="1"/>
    </xf>
    <xf numFmtId="165" fontId="0" fillId="3" borderId="0" applyAlignment="1" pivotButton="0" quotePrefix="0" xfId="0">
      <alignment horizontal="left" indent="3"/>
    </xf>
    <xf numFmtId="165" fontId="0" fillId="4" borderId="0" pivotButton="0" quotePrefix="0" xfId="0"/>
    <xf numFmtId="165" fontId="0" fillId="3" borderId="17" pivotButton="0" quotePrefix="0" xfId="0"/>
    <xf numFmtId="165" fontId="6" fillId="3" borderId="0" applyAlignment="1" pivotButton="0" quotePrefix="0" xfId="13">
      <alignment horizontal="left" indent="2"/>
    </xf>
    <xf numFmtId="165" fontId="26" fillId="3" borderId="0" applyAlignment="1" pivotButton="0" quotePrefix="0" xfId="13">
      <alignment horizontal="left" indent="2"/>
    </xf>
    <xf numFmtId="165" fontId="26" fillId="3" borderId="7" applyAlignment="1" pivotButton="0" quotePrefix="0" xfId="13">
      <alignment horizontal="left" indent="1"/>
    </xf>
    <xf numFmtId="165" fontId="26" fillId="3" borderId="18" applyAlignment="1" pivotButton="0" quotePrefix="0" xfId="0">
      <alignment horizontal="right"/>
    </xf>
    <xf numFmtId="165" fontId="26" fillId="3" borderId="0" applyAlignment="1" pivotButton="0" quotePrefix="0" xfId="13">
      <alignment horizontal="left" indent="1"/>
    </xf>
    <xf numFmtId="165" fontId="29" fillId="4" borderId="0" pivotButton="0" quotePrefix="0" xfId="0"/>
    <xf numFmtId="165" fontId="30" fillId="3" borderId="0" pivotButton="0" quotePrefix="0" xfId="0"/>
    <xf numFmtId="165" fontId="20" fillId="3" borderId="0" pivotButton="0" quotePrefix="0" xfId="0"/>
    <xf numFmtId="165" fontId="30" fillId="3" borderId="17" pivotButton="0" quotePrefix="0" xfId="0"/>
    <xf numFmtId="165" fontId="6" fillId="3" borderId="0" applyAlignment="1" pivotButton="0" quotePrefix="0" xfId="13">
      <alignment horizontal="left" indent="1"/>
    </xf>
    <xf numFmtId="165" fontId="30" fillId="3" borderId="0" applyAlignment="1" pivotButton="0" quotePrefix="0" xfId="1">
      <alignment horizontal="left" indent="1"/>
    </xf>
    <xf numFmtId="165" fontId="20" fillId="4" borderId="0" applyAlignment="1" pivotButton="0" quotePrefix="0" xfId="0">
      <alignment horizontal="left" indent="1"/>
    </xf>
    <xf numFmtId="165" fontId="29" fillId="3" borderId="0" applyAlignment="1" pivotButton="0" quotePrefix="0" xfId="0">
      <alignment horizontal="left" indent="1"/>
    </xf>
    <xf numFmtId="165" fontId="29" fillId="4" borderId="0" applyAlignment="1" pivotButton="0" quotePrefix="0" xfId="0">
      <alignment horizontal="left" indent="1"/>
    </xf>
    <xf numFmtId="165" fontId="0" fillId="4" borderId="0" applyAlignment="1" pivotButton="0" quotePrefix="0" xfId="0">
      <alignment horizontal="center"/>
    </xf>
    <xf numFmtId="165" fontId="0" fillId="3" borderId="0" applyAlignment="1" pivotButton="0" quotePrefix="0" xfId="0">
      <alignment horizontal="center"/>
    </xf>
    <xf numFmtId="165" fontId="0" fillId="3" borderId="17" applyAlignment="1" pivotButton="0" quotePrefix="0" xfId="0">
      <alignment horizontal="center"/>
    </xf>
    <xf numFmtId="164" fontId="0" fillId="3" borderId="0" applyAlignment="1" pivotButton="0" quotePrefix="0" xfId="0">
      <alignment horizontal="left" indent="3"/>
    </xf>
    <xf numFmtId="164" fontId="6" fillId="3" borderId="7" applyAlignment="1" pivotButton="0" quotePrefix="0" xfId="0">
      <alignment horizontal="left" indent="3"/>
    </xf>
    <xf numFmtId="164" fontId="26" fillId="3" borderId="0" pivotButton="0" quotePrefix="0" xfId="0"/>
    <xf numFmtId="164" fontId="6" fillId="3" borderId="9" applyAlignment="1" pivotButton="0" quotePrefix="0" xfId="0">
      <alignment horizontal="left"/>
    </xf>
    <xf numFmtId="164" fontId="6" fillId="3" borderId="9" applyAlignment="1" pivotButton="0" quotePrefix="0" xfId="0">
      <alignment horizontal="left" indent="3"/>
    </xf>
    <xf numFmtId="164" fontId="6" fillId="4" borderId="9" pivotButton="0" quotePrefix="0" xfId="0"/>
    <xf numFmtId="164" fontId="6" fillId="3" borderId="9" pivotButton="0" quotePrefix="0" xfId="0"/>
    <xf numFmtId="164" fontId="26" fillId="3" borderId="9" pivotButton="0" quotePrefix="0" xfId="0"/>
    <xf numFmtId="164" fontId="26" fillId="4" borderId="9" pivotButton="0" quotePrefix="0" xfId="0"/>
    <xf numFmtId="164" fontId="6" fillId="3" borderId="20" pivotButton="0" quotePrefix="0" xfId="0"/>
    <xf numFmtId="164" fontId="23" fillId="2" borderId="0" pivotButton="0" quotePrefix="0" xfId="8"/>
    <xf numFmtId="164" fontId="23" fillId="2" borderId="0" applyAlignment="1" pivotButton="0" quotePrefix="0" xfId="8">
      <alignment horizontal="right"/>
    </xf>
    <xf numFmtId="164" fontId="23" fillId="2" borderId="17" applyAlignment="1" pivotButton="0" quotePrefix="0" xfId="8">
      <alignment horizontal="right"/>
    </xf>
    <xf numFmtId="164" fontId="29" fillId="4" borderId="0" pivotButton="0" quotePrefix="0" xfId="0"/>
    <xf numFmtId="164" fontId="30" fillId="3" borderId="17" pivotButton="0" quotePrefix="0" xfId="0"/>
    <xf numFmtId="164" fontId="9" fillId="3" borderId="0" pivotButton="0" quotePrefix="0" xfId="0"/>
    <xf numFmtId="164" fontId="9" fillId="4" borderId="0" pivotButton="0" quotePrefix="0" xfId="0"/>
    <xf numFmtId="164" fontId="44" fillId="3" borderId="0" applyAlignment="1" pivotButton="0" quotePrefix="0" xfId="13">
      <alignment horizontal="left" indent="1"/>
    </xf>
    <xf numFmtId="164" fontId="28" fillId="3" borderId="0" applyAlignment="1" pivotButton="0" quotePrefix="0" xfId="13">
      <alignment horizontal="left" indent="2"/>
    </xf>
    <xf numFmtId="166" fontId="28" fillId="3" borderId="7" applyAlignment="1" pivotButton="0" quotePrefix="0" xfId="13">
      <alignment horizontal="left" indent="1"/>
    </xf>
    <xf numFmtId="164" fontId="28" fillId="3" borderId="7" applyAlignment="1" pivotButton="0" quotePrefix="0" xfId="0">
      <alignment horizontal="left" indent="3"/>
    </xf>
    <xf numFmtId="164" fontId="28" fillId="4" borderId="7" pivotButton="0" quotePrefix="0" xfId="0"/>
    <xf numFmtId="164" fontId="28" fillId="3" borderId="7" pivotButton="0" quotePrefix="0" xfId="0"/>
    <xf numFmtId="164" fontId="23" fillId="3" borderId="7" pivotButton="0" quotePrefix="0" xfId="0"/>
    <xf numFmtId="164" fontId="28" fillId="4" borderId="7" applyAlignment="1" pivotButton="0" quotePrefix="0" xfId="0">
      <alignment horizontal="right"/>
    </xf>
    <xf numFmtId="164" fontId="0" fillId="3" borderId="7" pivotButton="0" quotePrefix="0" xfId="0"/>
    <xf numFmtId="164" fontId="23" fillId="3" borderId="18" pivotButton="0" quotePrefix="0" xfId="0"/>
    <xf numFmtId="164" fontId="0" fillId="4" borderId="7" applyAlignment="1" pivotButton="0" quotePrefix="0" xfId="0">
      <alignment horizontal="right"/>
    </xf>
    <xf numFmtId="164" fontId="59" fillId="3" borderId="0" applyAlignment="1" pivotButton="0" quotePrefix="0" xfId="13">
      <alignment horizontal="left" indent="1"/>
    </xf>
    <xf numFmtId="164" fontId="8" fillId="3" borderId="0" pivotButton="0" quotePrefix="0" xfId="0"/>
    <xf numFmtId="164" fontId="8" fillId="3" borderId="17" pivotButton="0" quotePrefix="0" xfId="0"/>
    <xf numFmtId="164" fontId="8" fillId="4" borderId="0" pivotButton="0" quotePrefix="0" xfId="0"/>
    <xf numFmtId="168" fontId="20" fillId="3" borderId="0" pivotButton="0" quotePrefix="0" xfId="0"/>
    <xf numFmtId="168" fontId="20" fillId="0" borderId="0" pivotButton="0" quotePrefix="0" xfId="0"/>
    <xf numFmtId="164" fontId="59" fillId="3" borderId="0" applyAlignment="1" pivotButton="0" quotePrefix="0" xfId="13">
      <alignment horizontal="left" indent="2"/>
    </xf>
    <xf numFmtId="164" fontId="59" fillId="3" borderId="7" applyAlignment="1" pivotButton="0" quotePrefix="0" xfId="13">
      <alignment horizontal="left" indent="1"/>
    </xf>
    <xf numFmtId="164" fontId="0" fillId="3" borderId="7" applyAlignment="1" pivotButton="0" quotePrefix="0" xfId="0">
      <alignment horizontal="left" indent="3"/>
    </xf>
    <xf numFmtId="164" fontId="0" fillId="4" borderId="7" pivotButton="0" quotePrefix="0" xfId="0"/>
    <xf numFmtId="164" fontId="0" fillId="3" borderId="18" pivotButton="0" quotePrefix="0" xfId="0"/>
    <xf numFmtId="164" fontId="59" fillId="3" borderId="9" applyAlignment="1" pivotButton="0" quotePrefix="0" xfId="13">
      <alignment horizontal="left" indent="1"/>
    </xf>
    <xf numFmtId="164" fontId="0" fillId="3" borderId="9" applyAlignment="1" pivotButton="0" quotePrefix="0" xfId="0">
      <alignment horizontal="left" indent="3"/>
    </xf>
    <xf numFmtId="164" fontId="0" fillId="4" borderId="9" pivotButton="0" quotePrefix="0" xfId="0"/>
    <xf numFmtId="164" fontId="0" fillId="3" borderId="9" pivotButton="0" quotePrefix="0" xfId="0"/>
    <xf numFmtId="164" fontId="0" fillId="3" borderId="20" pivotButton="0" quotePrefix="0" xfId="0"/>
    <xf numFmtId="164" fontId="6" fillId="3" borderId="0" applyAlignment="1" pivotButton="0" quotePrefix="0" xfId="13">
      <alignment horizontal="left"/>
    </xf>
    <xf numFmtId="164" fontId="6" fillId="3" borderId="7" applyAlignment="1" pivotButton="0" quotePrefix="0" xfId="13">
      <alignment horizontal="left"/>
    </xf>
    <xf numFmtId="164" fontId="20" fillId="3" borderId="0" applyAlignment="1" pivotButton="0" quotePrefix="0" xfId="13">
      <alignment horizontal="left" indent="1"/>
    </xf>
    <xf numFmtId="164" fontId="20" fillId="4" borderId="0" applyAlignment="1" pivotButton="0" quotePrefix="0" xfId="0">
      <alignment horizontal="right"/>
    </xf>
    <xf numFmtId="164" fontId="29" fillId="3" borderId="0" applyAlignment="1" pivotButton="0" quotePrefix="0" xfId="13">
      <alignment horizontal="left"/>
    </xf>
    <xf numFmtId="164" fontId="28" fillId="3" borderId="0" applyAlignment="1" pivotButton="0" quotePrefix="0" xfId="13">
      <alignment horizontal="left"/>
    </xf>
    <xf numFmtId="164" fontId="6" fillId="3" borderId="9" applyAlignment="1" pivotButton="0" quotePrefix="0" xfId="13">
      <alignment horizontal="left"/>
    </xf>
    <xf numFmtId="164" fontId="59" fillId="3" borderId="2" applyAlignment="1" pivotButton="0" quotePrefix="0" xfId="13">
      <alignment horizontal="left" indent="1"/>
    </xf>
    <xf numFmtId="164" fontId="28" fillId="3" borderId="0" applyAlignment="1" pivotButton="0" quotePrefix="0" xfId="0">
      <alignment horizontal="left" indent="3"/>
    </xf>
    <xf numFmtId="164" fontId="23" fillId="3" borderId="0" pivotButton="0" quotePrefix="0" xfId="0"/>
    <xf numFmtId="164" fontId="28" fillId="4" borderId="0" applyAlignment="1" pivotButton="0" quotePrefix="0" xfId="0">
      <alignment horizontal="right"/>
    </xf>
    <xf numFmtId="164" fontId="23" fillId="3" borderId="17" pivotButton="0" quotePrefix="0" xfId="0"/>
    <xf numFmtId="164" fontId="0" fillId="4" borderId="0" applyAlignment="1" pivotButton="0" quotePrefix="0" xfId="0">
      <alignment horizontal="right"/>
    </xf>
    <xf numFmtId="165" fontId="26" fillId="3" borderId="0" applyAlignment="1" pivotButton="0" quotePrefix="0" xfId="1">
      <alignment horizontal="left"/>
    </xf>
    <xf numFmtId="165" fontId="26" fillId="3" borderId="0" applyAlignment="1" pivotButton="0" quotePrefix="0" xfId="1">
      <alignment horizontal="left" indent="3"/>
    </xf>
    <xf numFmtId="165" fontId="27" fillId="3" borderId="0" pivotButton="0" quotePrefix="0" xfId="1"/>
    <xf numFmtId="165" fontId="26" fillId="4" borderId="0" applyAlignment="1" pivotButton="0" quotePrefix="0" xfId="1">
      <alignment horizontal="right"/>
    </xf>
    <xf numFmtId="165" fontId="27" fillId="3" borderId="17" pivotButton="0" quotePrefix="0" xfId="1"/>
    <xf numFmtId="165" fontId="14" fillId="4" borderId="0" applyAlignment="1" pivotButton="0" quotePrefix="0" xfId="1">
      <alignment horizontal="right"/>
    </xf>
    <xf numFmtId="165" fontId="33" fillId="3" borderId="0" pivotButton="0" quotePrefix="0" xfId="1"/>
    <xf numFmtId="165" fontId="33" fillId="0" borderId="0" pivotButton="0" quotePrefix="0" xfId="1"/>
    <xf numFmtId="185" fontId="3" fillId="3" borderId="0" pivotButton="0" quotePrefix="0" xfId="2"/>
    <xf numFmtId="185" fontId="26" fillId="3" borderId="0" applyAlignment="1" pivotButton="0" quotePrefix="0" xfId="2">
      <alignment horizontal="left" indent="3"/>
    </xf>
    <xf numFmtId="185" fontId="26" fillId="4" borderId="0" pivotButton="0" quotePrefix="0" xfId="2"/>
    <xf numFmtId="185" fontId="26" fillId="3" borderId="0" pivotButton="0" quotePrefix="0" xfId="2"/>
    <xf numFmtId="185" fontId="27" fillId="3" borderId="0" pivotButton="0" quotePrefix="0" xfId="2"/>
    <xf numFmtId="185" fontId="26" fillId="4" borderId="0" applyAlignment="1" pivotButton="0" quotePrefix="0" xfId="2">
      <alignment horizontal="right"/>
    </xf>
    <xf numFmtId="185" fontId="6" fillId="3" borderId="0" pivotButton="0" quotePrefix="0" xfId="2"/>
    <xf numFmtId="185" fontId="27" fillId="3" borderId="17" pivotButton="0" quotePrefix="0" xfId="2"/>
    <xf numFmtId="185" fontId="6" fillId="4" borderId="0" applyAlignment="1" pivotButton="0" quotePrefix="0" xfId="2">
      <alignment horizontal="right"/>
    </xf>
    <xf numFmtId="185" fontId="33" fillId="3" borderId="0" pivotButton="0" quotePrefix="0" xfId="2"/>
    <xf numFmtId="185" fontId="33" fillId="0" borderId="0" pivotButton="0" quotePrefix="0" xfId="2"/>
    <xf numFmtId="185" fontId="20" fillId="3" borderId="0" applyAlignment="1" pivotButton="0" quotePrefix="0" xfId="13">
      <alignment horizontal="left" indent="1"/>
    </xf>
    <xf numFmtId="185" fontId="28" fillId="3" borderId="0" applyAlignment="1" pivotButton="0" quotePrefix="0" xfId="0">
      <alignment horizontal="left" indent="3"/>
    </xf>
    <xf numFmtId="185" fontId="28" fillId="4" borderId="0" pivotButton="0" quotePrefix="0" xfId="0"/>
    <xf numFmtId="185" fontId="28" fillId="3" borderId="0" pivotButton="0" quotePrefix="0" xfId="0"/>
    <xf numFmtId="185" fontId="23" fillId="3" borderId="0" pivotButton="0" quotePrefix="0" xfId="0"/>
    <xf numFmtId="185" fontId="28" fillId="4" borderId="0" applyAlignment="1" pivotButton="0" quotePrefix="0" xfId="0">
      <alignment horizontal="right"/>
    </xf>
    <xf numFmtId="185" fontId="0" fillId="3" borderId="0" pivotButton="0" quotePrefix="0" xfId="0"/>
    <xf numFmtId="185" fontId="23" fillId="3" borderId="17" pivotButton="0" quotePrefix="0" xfId="0"/>
    <xf numFmtId="185" fontId="29" fillId="3" borderId="0" pivotButton="0" quotePrefix="0" xfId="0"/>
    <xf numFmtId="185" fontId="29" fillId="4" borderId="0" applyAlignment="1" pivotButton="0" quotePrefix="0" xfId="0">
      <alignment horizontal="right"/>
    </xf>
    <xf numFmtId="164" fontId="23" fillId="3" borderId="0" applyAlignment="1" pivotButton="0" quotePrefix="0" xfId="0">
      <alignment horizontal="left" indent="1"/>
    </xf>
    <xf numFmtId="168" fontId="6" fillId="4" borderId="0" applyAlignment="1" pivotButton="0" quotePrefix="0" xfId="2">
      <alignment horizontal="right" indent="1"/>
    </xf>
    <xf numFmtId="168" fontId="6" fillId="4" borderId="0" pivotButton="0" quotePrefix="0" xfId="2"/>
    <xf numFmtId="168" fontId="6" fillId="3" borderId="0" pivotButton="0" quotePrefix="0" xfId="2"/>
    <xf numFmtId="168" fontId="6" fillId="3" borderId="17" pivotButton="0" quotePrefix="0" xfId="2"/>
    <xf numFmtId="168" fontId="30" fillId="3" borderId="17" pivotButton="0" quotePrefix="0" xfId="2"/>
    <xf numFmtId="164" fontId="3" fillId="3" borderId="0" pivotButton="0" quotePrefix="0" xfId="0"/>
    <xf numFmtId="164" fontId="30" fillId="4" borderId="0" applyAlignment="1" pivotButton="0" quotePrefix="0" xfId="0">
      <alignment horizontal="right"/>
    </xf>
    <xf numFmtId="167" fontId="2" fillId="3" borderId="0" pivotButton="0" quotePrefix="0" xfId="2"/>
    <xf numFmtId="167" fontId="0" fillId="3" borderId="0" applyAlignment="1" pivotButton="0" quotePrefix="0" xfId="0">
      <alignment horizontal="left" indent="3"/>
    </xf>
    <xf numFmtId="167" fontId="0" fillId="4" borderId="0" pivotButton="0" quotePrefix="0" xfId="0"/>
    <xf numFmtId="167" fontId="0" fillId="3" borderId="0" pivotButton="0" quotePrefix="0" xfId="0"/>
    <xf numFmtId="167" fontId="0" fillId="3" borderId="17" pivotButton="0" quotePrefix="0" xfId="0"/>
    <xf numFmtId="167" fontId="0" fillId="0" borderId="0" pivotButton="0" quotePrefix="0" xfId="0"/>
    <xf numFmtId="166" fontId="6" fillId="3" borderId="0" applyAlignment="1" pivotButton="0" quotePrefix="0" xfId="0">
      <alignment horizontal="right"/>
    </xf>
    <xf numFmtId="0" fontId="0" fillId="3" borderId="0" applyAlignment="1" pivotButton="0" quotePrefix="0" xfId="0">
      <alignment horizontal="left" indent="3"/>
    </xf>
    <xf numFmtId="0" fontId="0" fillId="4" borderId="0" pivotButton="0" quotePrefix="0" xfId="0"/>
    <xf numFmtId="178" fontId="6" fillId="4" borderId="0" applyAlignment="1" pivotButton="0" quotePrefix="0" xfId="0">
      <alignment horizontal="right"/>
    </xf>
    <xf numFmtId="166" fontId="0" fillId="3" borderId="0" applyAlignment="1" pivotButton="0" quotePrefix="0" xfId="0">
      <alignment horizontal="left" indent="3"/>
    </xf>
    <xf numFmtId="166" fontId="0" fillId="3" borderId="0" applyAlignment="1" pivotButton="0" quotePrefix="0" xfId="0">
      <alignment horizontal="right"/>
    </xf>
    <xf numFmtId="166" fontId="0" fillId="3" borderId="0" pivotButton="0" quotePrefix="0" xfId="0"/>
    <xf numFmtId="166" fontId="0" fillId="3" borderId="17" pivotButton="0" quotePrefix="0" xfId="0"/>
    <xf numFmtId="166" fontId="0" fillId="0" borderId="0" pivotButton="0" quotePrefix="0" xfId="0"/>
    <xf numFmtId="166" fontId="2" fillId="3" borderId="0" pivotButton="0" quotePrefix="0" xfId="0"/>
    <xf numFmtId="178" fontId="0" fillId="3" borderId="17" applyAlignment="1" pivotButton="0" quotePrefix="0" xfId="0">
      <alignment horizontal="right"/>
    </xf>
    <xf numFmtId="180" fontId="0" fillId="4" borderId="0" applyAlignment="1" pivotButton="0" quotePrefix="0" xfId="0">
      <alignment horizontal="right"/>
    </xf>
    <xf numFmtId="180" fontId="0" fillId="3" borderId="0" applyAlignment="1" pivotButton="0" quotePrefix="0" xfId="0">
      <alignment horizontal="right"/>
    </xf>
    <xf numFmtId="180" fontId="0" fillId="3" borderId="17" applyAlignment="1" pivotButton="0" quotePrefix="0" xfId="0">
      <alignment horizontal="right"/>
    </xf>
    <xf numFmtId="180" fontId="0" fillId="0" borderId="0" pivotButton="0" quotePrefix="0" xfId="0"/>
    <xf numFmtId="164" fontId="0" fillId="3" borderId="0" applyAlignment="1" pivotButton="0" quotePrefix="0" xfId="0">
      <alignment horizontal="left" indent="2"/>
    </xf>
    <xf numFmtId="164" fontId="28" fillId="3" borderId="0" applyAlignment="1" pivotButton="0" quotePrefix="0" xfId="0">
      <alignment horizontal="left" indent="1"/>
    </xf>
    <xf numFmtId="164" fontId="25" fillId="5" borderId="0" applyAlignment="1" pivotButton="0" quotePrefix="0" xfId="0">
      <alignment horizontal="left"/>
    </xf>
    <xf numFmtId="164" fontId="25" fillId="5" borderId="0" applyAlignment="1" pivotButton="0" quotePrefix="0" xfId="0">
      <alignment horizontal="left" indent="3"/>
    </xf>
    <xf numFmtId="165" fontId="10" fillId="3" borderId="0" pivotButton="0" quotePrefix="0" xfId="0"/>
    <xf numFmtId="164" fontId="10" fillId="3" borderId="0" applyAlignment="1" pivotButton="0" quotePrefix="0" xfId="0">
      <alignment horizontal="left" indent="1"/>
    </xf>
    <xf numFmtId="164" fontId="10" fillId="3" borderId="0" applyAlignment="1" pivotButton="0" quotePrefix="0" xfId="0">
      <alignment horizontal="left" indent="3"/>
    </xf>
    <xf numFmtId="164" fontId="0" fillId="3" borderId="0" applyAlignment="1" pivotButton="0" quotePrefix="0" xfId="0">
      <alignment horizontal="right"/>
    </xf>
    <xf numFmtId="164" fontId="0" fillId="3" borderId="21" pivotButton="0" quotePrefix="0" xfId="0"/>
    <xf numFmtId="164" fontId="32" fillId="5" borderId="21" pivotButton="0" quotePrefix="0" xfId="0"/>
    <xf numFmtId="164" fontId="2" fillId="3" borderId="0" applyAlignment="1" pivotButton="0" quotePrefix="0" xfId="15">
      <alignment horizontal="left" indent="1"/>
    </xf>
    <xf numFmtId="164" fontId="2" fillId="3" borderId="0" pivotButton="0" quotePrefix="0" xfId="15"/>
    <xf numFmtId="164" fontId="27" fillId="3" borderId="22" pivotButton="0" quotePrefix="0" xfId="15"/>
    <xf numFmtId="169" fontId="3" fillId="3" borderId="0" pivotButton="0" quotePrefix="0" xfId="15"/>
    <xf numFmtId="169" fontId="6" fillId="3" borderId="21" pivotButton="0" quotePrefix="0" xfId="0"/>
    <xf numFmtId="186" fontId="23" fillId="3" borderId="23" applyAlignment="1" pivotButton="0" quotePrefix="0" xfId="15">
      <alignment horizontal="left" indent="1"/>
    </xf>
    <xf numFmtId="169" fontId="2" fillId="3" borderId="0" pivotButton="0" quotePrefix="0" xfId="15"/>
    <xf numFmtId="169" fontId="0" fillId="3" borderId="21" pivotButton="0" quotePrefix="0" xfId="0"/>
    <xf numFmtId="187" fontId="23" fillId="3" borderId="23" applyAlignment="1" pivotButton="0" quotePrefix="0" xfId="15">
      <alignment horizontal="left" indent="1"/>
    </xf>
    <xf numFmtId="188" fontId="23" fillId="3" borderId="23" applyAlignment="1" pivotButton="0" quotePrefix="0" xfId="15">
      <alignment horizontal="left" indent="1"/>
    </xf>
    <xf numFmtId="189" fontId="23" fillId="3" borderId="24" applyAlignment="1" pivotButton="0" quotePrefix="0" xfId="15">
      <alignment horizontal="left" indent="1"/>
    </xf>
    <xf numFmtId="164" fontId="27" fillId="3" borderId="15" pivotButton="0" quotePrefix="0" xfId="15"/>
    <xf numFmtId="0" fontId="6" fillId="3" borderId="21" pivotButton="0" quotePrefix="0" xfId="0"/>
    <xf numFmtId="164" fontId="23" fillId="3" borderId="16" applyAlignment="1" pivotButton="0" quotePrefix="0" xfId="15">
      <alignment horizontal="left" indent="1"/>
    </xf>
    <xf numFmtId="169" fontId="23" fillId="3" borderId="13" pivotButton="0" quotePrefix="0" xfId="15"/>
    <xf numFmtId="164" fontId="23" fillId="3" borderId="25" applyAlignment="1" pivotButton="0" quotePrefix="0" xfId="15">
      <alignment horizontal="left" indent="1"/>
    </xf>
    <xf numFmtId="169" fontId="23" fillId="3" borderId="14" pivotButton="0" quotePrefix="0" xfId="15"/>
    <xf numFmtId="165" fontId="23" fillId="3" borderId="0" pivotButton="0" quotePrefix="0" xfId="15"/>
    <xf numFmtId="164" fontId="23" fillId="3" borderId="0" pivotButton="0" quotePrefix="0" xfId="15"/>
    <xf numFmtId="164" fontId="23" fillId="3" borderId="11" pivotButton="0" quotePrefix="0" xfId="15"/>
    <xf numFmtId="164" fontId="23" fillId="3" borderId="0" applyAlignment="1" pivotButton="0" quotePrefix="0" xfId="15">
      <alignment horizontal="left" indent="1"/>
    </xf>
    <xf numFmtId="164" fontId="28" fillId="3" borderId="21" pivotButton="0" quotePrefix="0" xfId="0"/>
    <xf numFmtId="181" fontId="27" fillId="3" borderId="15" applyAlignment="1" pivotButton="0" quotePrefix="0" xfId="15">
      <alignment horizontal="left"/>
    </xf>
    <xf numFmtId="164" fontId="23" fillId="3" borderId="10" pivotButton="0" quotePrefix="0" xfId="15"/>
    <xf numFmtId="164" fontId="28" fillId="3" borderId="26" pivotButton="0" quotePrefix="0" xfId="0"/>
    <xf numFmtId="181" fontId="23" fillId="3" borderId="16" applyAlignment="1" pivotButton="0" quotePrefix="0" xfId="15">
      <alignment horizontal="left"/>
    </xf>
    <xf numFmtId="17" fontId="23" fillId="3" borderId="0" pivotButton="0" quotePrefix="0" xfId="15"/>
    <xf numFmtId="17" fontId="28" fillId="3" borderId="21" pivotButton="0" quotePrefix="0" xfId="0"/>
    <xf numFmtId="178" fontId="23" fillId="3" borderId="16" applyAlignment="1" pivotButton="0" quotePrefix="0" xfId="15">
      <alignment horizontal="left" indent="1"/>
    </xf>
    <xf numFmtId="178" fontId="23" fillId="3" borderId="0" pivotButton="0" quotePrefix="0" xfId="15"/>
    <xf numFmtId="178" fontId="28" fillId="3" borderId="21" pivotButton="0" quotePrefix="0" xfId="0"/>
    <xf numFmtId="178" fontId="23" fillId="3" borderId="16" applyAlignment="1" pivotButton="0" quotePrefix="0" xfId="15">
      <alignment horizontal="left" indent="2"/>
    </xf>
    <xf numFmtId="180" fontId="23" fillId="3" borderId="16" applyAlignment="1" pivotButton="0" quotePrefix="0" xfId="15">
      <alignment horizontal="left" indent="1"/>
    </xf>
    <xf numFmtId="180" fontId="23" fillId="3" borderId="0" pivotButton="0" quotePrefix="0" xfId="15"/>
    <xf numFmtId="180" fontId="28" fillId="3" borderId="21" pivotButton="0" quotePrefix="0" xfId="0"/>
    <xf numFmtId="180" fontId="23" fillId="3" borderId="16" applyAlignment="1" pivotButton="0" quotePrefix="0" xfId="15">
      <alignment horizontal="left" indent="2"/>
    </xf>
    <xf numFmtId="164" fontId="28" fillId="3" borderId="27" pivotButton="0" quotePrefix="0" xfId="0"/>
    <xf numFmtId="178" fontId="0" fillId="3" borderId="21" pivotButton="0" quotePrefix="0" xfId="0"/>
    <xf numFmtId="0" fontId="0" fillId="3" borderId="21" pivotButton="0" quotePrefix="0" xfId="0"/>
    <xf numFmtId="0" fontId="35" fillId="5" borderId="21" pivotButton="0" quotePrefix="0" xfId="0"/>
    <xf numFmtId="165" fontId="25" fillId="5" borderId="21" pivotButton="0" quotePrefix="0" xfId="0"/>
    <xf numFmtId="169" fontId="25" fillId="5" borderId="21" pivotButton="0" quotePrefix="0" xfId="0"/>
    <xf numFmtId="164" fontId="32" fillId="5" borderId="21" pivotButton="0" quotePrefix="0" xfId="13"/>
    <xf numFmtId="165" fontId="35" fillId="5" borderId="21" pivotButton="0" quotePrefix="0" xfId="13"/>
    <xf numFmtId="164" fontId="23" fillId="3" borderId="2" pivotButton="0" quotePrefix="0" xfId="11"/>
    <xf numFmtId="165" fontId="28" fillId="3" borderId="4" pivotButton="0" quotePrefix="0" xfId="0"/>
    <xf numFmtId="164" fontId="28" fillId="3" borderId="4" pivotButton="0" quotePrefix="0" xfId="0"/>
    <xf numFmtId="164" fontId="28" fillId="3" borderId="1" pivotButton="0" quotePrefix="0" xfId="0"/>
    <xf numFmtId="164" fontId="23" fillId="3" borderId="5" applyAlignment="1" pivotButton="0" quotePrefix="0" xfId="11">
      <alignment horizontal="left" indent="1"/>
    </xf>
    <xf numFmtId="164" fontId="23" fillId="3" borderId="3" applyAlignment="1" pivotButton="0" quotePrefix="0" xfId="11">
      <alignment horizontal="left" indent="1"/>
    </xf>
    <xf numFmtId="164" fontId="27" fillId="3" borderId="28" pivotButton="0" quotePrefix="0" xfId="11"/>
    <xf numFmtId="186" fontId="23" fillId="3" borderId="29" applyAlignment="1" pivotButton="0" quotePrefix="0" xfId="11">
      <alignment horizontal="left" indent="1"/>
    </xf>
    <xf numFmtId="187" fontId="23" fillId="3" borderId="29" applyAlignment="1" pivotButton="0" quotePrefix="0" xfId="11">
      <alignment horizontal="left" indent="1"/>
    </xf>
    <xf numFmtId="188" fontId="23" fillId="3" borderId="29" applyAlignment="1" pivotButton="0" quotePrefix="0" xfId="11">
      <alignment horizontal="left" indent="1"/>
    </xf>
    <xf numFmtId="0" fontId="26" fillId="3" borderId="6" pivotButton="0" quotePrefix="0" xfId="0"/>
    <xf numFmtId="164" fontId="27" fillId="3" borderId="8" pivotButton="0" quotePrefix="0" xfId="11"/>
    <xf numFmtId="164" fontId="3" fillId="3" borderId="6" applyAlignment="1" pivotButton="0" quotePrefix="0" xfId="11">
      <alignment horizontal="left"/>
    </xf>
    <xf numFmtId="164" fontId="2" fillId="3" borderId="4" applyAlignment="1" pivotButton="0" quotePrefix="0" xfId="11">
      <alignment horizontal="left" indent="1"/>
    </xf>
    <xf numFmtId="169" fontId="0" fillId="3" borderId="7" applyAlignment="1" pivotButton="0" quotePrefix="0" xfId="0">
      <alignment horizontal="left" indent="1"/>
    </xf>
    <xf numFmtId="169" fontId="0" fillId="3" borderId="7" pivotButton="0" quotePrefix="0" xfId="0"/>
    <xf numFmtId="169" fontId="28" fillId="3" borderId="7" pivotButton="0" quotePrefix="0" xfId="0"/>
    <xf numFmtId="0" fontId="4" fillId="3" borderId="24" pivotButton="0" quotePrefix="0" xfId="9"/>
    <xf numFmtId="169" fontId="28" fillId="3" borderId="0" applyAlignment="1" pivotButton="0" quotePrefix="0" xfId="0">
      <alignment horizontal="right"/>
    </xf>
    <xf numFmtId="166" fontId="26" fillId="3" borderId="0" applyAlignment="1" pivotButton="0" quotePrefix="0" xfId="0">
      <alignment horizontal="right"/>
    </xf>
    <xf numFmtId="169" fontId="28" fillId="3" borderId="11" pivotButton="0" quotePrefix="0" xfId="0"/>
    <xf numFmtId="167" fontId="27" fillId="3" borderId="0" pivotButton="0" quotePrefix="0" xfId="2"/>
    <xf numFmtId="167" fontId="26" fillId="3" borderId="0" applyAlignment="1" pivotButton="0" quotePrefix="0" xfId="0">
      <alignment horizontal="left" indent="3"/>
    </xf>
    <xf numFmtId="169" fontId="5" fillId="3" borderId="7" pivotButton="0" quotePrefix="0" xfId="0"/>
    <xf numFmtId="169" fontId="27" fillId="3" borderId="7" pivotButton="0" quotePrefix="0" xfId="0"/>
    <xf numFmtId="164" fontId="23" fillId="3" borderId="7" applyAlignment="1" pivotButton="0" quotePrefix="0" xfId="0">
      <alignment horizontal="left" indent="1"/>
    </xf>
    <xf numFmtId="169" fontId="28" fillId="3" borderId="7" applyAlignment="1" pivotButton="0" quotePrefix="0" xfId="0">
      <alignment horizontal="left" indent="3"/>
    </xf>
    <xf numFmtId="169" fontId="28" fillId="3" borderId="0" applyAlignment="1" pivotButton="0" quotePrefix="0" xfId="0">
      <alignment horizontal="left" indent="2"/>
    </xf>
    <xf numFmtId="169" fontId="25" fillId="5" borderId="0" pivotButton="0" quotePrefix="0" xfId="13"/>
    <xf numFmtId="169" fontId="26" fillId="3" borderId="0" pivotButton="0" quotePrefix="0" xfId="13"/>
    <xf numFmtId="165" fontId="26" fillId="3" borderId="2" applyAlignment="1" pivotButton="0" quotePrefix="0" xfId="0">
      <alignment horizontal="left" indent="2"/>
    </xf>
    <xf numFmtId="165" fontId="27" fillId="3" borderId="2" pivotButton="0" quotePrefix="0" xfId="2"/>
    <xf numFmtId="165" fontId="26" fillId="3" borderId="2" applyAlignment="1" pivotButton="0" quotePrefix="0" xfId="0">
      <alignment horizontal="center"/>
    </xf>
    <xf numFmtId="165" fontId="26" fillId="3" borderId="2" applyAlignment="1" pivotButton="0" quotePrefix="0" xfId="0">
      <alignment horizontal="left" indent="1"/>
    </xf>
    <xf numFmtId="165" fontId="26" fillId="3" borderId="0" applyAlignment="1" pivotButton="0" quotePrefix="0" xfId="0">
      <alignment horizontal="left" indent="1"/>
    </xf>
    <xf numFmtId="165" fontId="26" fillId="3" borderId="0" applyAlignment="1" pivotButton="0" quotePrefix="0" xfId="0">
      <alignment horizontal="center"/>
    </xf>
    <xf numFmtId="165" fontId="26" fillId="3" borderId="0" applyAlignment="1" pivotButton="0" quotePrefix="0" xfId="0">
      <alignment horizontal="left"/>
    </xf>
    <xf numFmtId="165" fontId="30" fillId="3" borderId="0" pivotButton="0" quotePrefix="0" xfId="2"/>
    <xf numFmtId="165" fontId="29" fillId="3" borderId="0" applyAlignment="1" pivotButton="0" quotePrefix="0" xfId="0">
      <alignment horizontal="center"/>
    </xf>
    <xf numFmtId="190" fontId="23" fillId="3" borderId="30" applyAlignment="1" pivotButton="0" quotePrefix="0" xfId="11">
      <alignment horizontal="left" indent="1"/>
    </xf>
    <xf numFmtId="0" fontId="4" fillId="3" borderId="30" pivotButton="0" quotePrefix="0" xfId="9"/>
    <xf numFmtId="168" fontId="26" fillId="3" borderId="0" applyAlignment="1" pivotButton="0" quotePrefix="0" xfId="13">
      <alignment horizontal="right"/>
    </xf>
    <xf numFmtId="169" fontId="26" fillId="3" borderId="21" pivotButton="0" quotePrefix="0" xfId="0"/>
    <xf numFmtId="169" fontId="28" fillId="3" borderId="21" pivotButton="0" quotePrefix="0" xfId="0"/>
    <xf numFmtId="184" fontId="2" fillId="3" borderId="0" applyAlignment="1" pivotButton="0" quotePrefix="0" xfId="0">
      <alignment horizontal="left"/>
    </xf>
    <xf numFmtId="176" fontId="3" fillId="3" borderId="0" applyAlignment="1" pivotButton="0" quotePrefix="0" xfId="0">
      <alignment horizontal="left"/>
    </xf>
    <xf numFmtId="168" fontId="5" fillId="3" borderId="0" applyAlignment="1" pivotButton="0" quotePrefix="0" xfId="2">
      <alignment horizontal="center"/>
    </xf>
    <xf numFmtId="177" fontId="3" fillId="3" borderId="0" pivotButton="0" quotePrefix="0" xfId="0"/>
    <xf numFmtId="43" fontId="26" fillId="3" borderId="0" pivotButton="0" quotePrefix="0" xfId="0"/>
    <xf numFmtId="165" fontId="28" fillId="3" borderId="0" applyAlignment="1" pivotButton="0" quotePrefix="0" xfId="0">
      <alignment horizontal="right"/>
    </xf>
    <xf numFmtId="170" fontId="23" fillId="3" borderId="0" applyAlignment="1" pivotButton="0" quotePrefix="0" xfId="0">
      <alignment horizontal="center"/>
    </xf>
    <xf numFmtId="0" fontId="28" fillId="3" borderId="0" pivotButton="0" quotePrefix="0" xfId="0"/>
    <xf numFmtId="0" fontId="27" fillId="3" borderId="0" applyAlignment="1" pivotButton="0" quotePrefix="0" xfId="2">
      <alignment horizontal="center"/>
    </xf>
    <xf numFmtId="169" fontId="23" fillId="3" borderId="0" pivotButton="0" quotePrefix="0" xfId="2"/>
    <xf numFmtId="169" fontId="27" fillId="3" borderId="7" pivotButton="0" quotePrefix="0" xfId="2"/>
    <xf numFmtId="169" fontId="26" fillId="3" borderId="0" applyAlignment="1" pivotButton="0" quotePrefix="0" xfId="0">
      <alignment horizontal="left"/>
    </xf>
    <xf numFmtId="169" fontId="27" fillId="3" borderId="0" pivotButton="0" quotePrefix="0" xfId="2"/>
    <xf numFmtId="169" fontId="28" fillId="3" borderId="0" applyAlignment="1" pivotButton="0" quotePrefix="0" xfId="0">
      <alignment horizontal="left" indent="4"/>
    </xf>
    <xf numFmtId="169" fontId="28" fillId="3" borderId="2" applyAlignment="1" pivotButton="0" quotePrefix="0" xfId="0">
      <alignment horizontal="left" indent="4"/>
    </xf>
    <xf numFmtId="169" fontId="26" fillId="3" borderId="7" applyAlignment="1" pivotButton="0" quotePrefix="0" xfId="0">
      <alignment horizontal="left" indent="4"/>
    </xf>
    <xf numFmtId="164" fontId="28" fillId="3" borderId="0" applyAlignment="1" pivotButton="0" quotePrefix="0" xfId="0">
      <alignment horizontal="left"/>
    </xf>
    <xf numFmtId="164" fontId="28" fillId="3" borderId="0" applyAlignment="1" pivotButton="0" quotePrefix="0" xfId="0">
      <alignment horizontal="left" indent="4"/>
    </xf>
    <xf numFmtId="169" fontId="26" fillId="3" borderId="7" applyAlignment="1" pivotButton="0" quotePrefix="0" xfId="0">
      <alignment horizontal="left" indent="3"/>
    </xf>
    <xf numFmtId="169" fontId="26" fillId="3" borderId="9" applyAlignment="1" pivotButton="0" quotePrefix="0" xfId="0">
      <alignment horizontal="left" indent="3"/>
    </xf>
    <xf numFmtId="164" fontId="26" fillId="3" borderId="0" applyAlignment="1" pivotButton="0" quotePrefix="0" xfId="0">
      <alignment horizontal="left"/>
    </xf>
    <xf numFmtId="164" fontId="26" fillId="3" borderId="0" applyAlignment="1" pivotButton="0" quotePrefix="0" xfId="0">
      <alignment horizontal="left" indent="3"/>
    </xf>
    <xf numFmtId="43" fontId="26" fillId="3" borderId="0" applyAlignment="1" pivotButton="0" quotePrefix="0" xfId="0">
      <alignment horizontal="left"/>
    </xf>
    <xf numFmtId="43" fontId="26" fillId="3" borderId="0" applyAlignment="1" pivotButton="0" quotePrefix="0" xfId="0">
      <alignment horizontal="left" indent="3"/>
    </xf>
    <xf numFmtId="168" fontId="26" fillId="3" borderId="0" applyAlignment="1" pivotButton="0" quotePrefix="0" xfId="0">
      <alignment horizontal="left" indent="3"/>
    </xf>
    <xf numFmtId="169" fontId="28" fillId="3" borderId="11" applyAlignment="1" pivotButton="0" quotePrefix="0" xfId="0">
      <alignment horizontal="left" indent="3"/>
    </xf>
    <xf numFmtId="166" fontId="26" fillId="3" borderId="0" applyAlignment="1" pivotButton="0" quotePrefix="0" xfId="0">
      <alignment horizontal="left" indent="3"/>
    </xf>
    <xf numFmtId="166" fontId="26" fillId="3" borderId="0" pivotButton="0" quotePrefix="0" xfId="0"/>
    <xf numFmtId="0" fontId="28" fillId="3" borderId="0" applyAlignment="1" pivotButton="0" quotePrefix="0" xfId="0">
      <alignment horizontal="left" indent="3"/>
    </xf>
    <xf numFmtId="166" fontId="23" fillId="3" borderId="0" pivotButton="0" quotePrefix="0" xfId="0"/>
    <xf numFmtId="166" fontId="28" fillId="3" borderId="0" applyAlignment="1" pivotButton="0" quotePrefix="0" xfId="0">
      <alignment horizontal="left" indent="3"/>
    </xf>
    <xf numFmtId="166" fontId="28" fillId="3" borderId="0" pivotButton="0" quotePrefix="0" xfId="0"/>
    <xf numFmtId="165" fontId="28" fillId="3" borderId="0" applyAlignment="1" pivotButton="0" quotePrefix="0" xfId="0">
      <alignment horizontal="left"/>
    </xf>
    <xf numFmtId="178" fontId="23" fillId="3" borderId="0" pivotButton="0" quotePrefix="0" xfId="2"/>
    <xf numFmtId="180" fontId="23" fillId="3" borderId="0" pivotButton="0" quotePrefix="0" xfId="2"/>
    <xf numFmtId="164" fontId="28" fillId="3" borderId="0" applyAlignment="1" pivotButton="0" quotePrefix="0" xfId="0">
      <alignment horizontal="left" indent="2"/>
    </xf>
    <xf numFmtId="165" fontId="33" fillId="3" borderId="0" applyAlignment="1" pivotButton="0" quotePrefix="0" xfId="0">
      <alignment horizontal="left" indent="3"/>
    </xf>
    <xf numFmtId="164" fontId="28" fillId="3" borderId="0" applyAlignment="1" pivotButton="0" quotePrefix="0" xfId="0">
      <alignment horizontal="right"/>
    </xf>
    <xf numFmtId="0" fontId="26" fillId="3" borderId="0" pivotButton="0" quotePrefix="0" xfId="0"/>
    <xf numFmtId="0" fontId="26" fillId="3" borderId="21" pivotButton="0" quotePrefix="0" xfId="0"/>
    <xf numFmtId="164" fontId="23" fillId="3" borderId="1" applyAlignment="1" pivotButton="0" quotePrefix="0" xfId="11">
      <alignment horizontal="left" indent="1"/>
    </xf>
    <xf numFmtId="0" fontId="28" fillId="3" borderId="21" pivotButton="0" quotePrefix="0" xfId="0"/>
    <xf numFmtId="169" fontId="26" fillId="3" borderId="7" applyAlignment="1" pivotButton="0" quotePrefix="0" xfId="0">
      <alignment horizontal="left"/>
    </xf>
    <xf numFmtId="169" fontId="23" fillId="3" borderId="0" applyAlignment="1" pivotButton="0" quotePrefix="0" xfId="0">
      <alignment horizontal="left" indent="2"/>
    </xf>
    <xf numFmtId="169" fontId="26" fillId="3" borderId="0" applyAlignment="1" pivotButton="0" quotePrefix="0" xfId="0">
      <alignment horizontal="left" indent="4"/>
    </xf>
    <xf numFmtId="191" fontId="28" fillId="3" borderId="0" pivotButton="0" quotePrefix="0" xfId="0"/>
    <xf numFmtId="0" fontId="4" fillId="3" borderId="31" pivotButton="0" quotePrefix="0" xfId="9"/>
    <xf numFmtId="169" fontId="28" fillId="3" borderId="0" applyAlignment="1" pivotButton="0" quotePrefix="0" xfId="0">
      <alignment horizontal="left"/>
    </xf>
    <xf numFmtId="169" fontId="5" fillId="3" borderId="9" pivotButton="0" quotePrefix="0" xfId="0"/>
    <xf numFmtId="192" fontId="28" fillId="3" borderId="0" pivotButton="0" quotePrefix="0" xfId="0"/>
    <xf numFmtId="169" fontId="23" fillId="3" borderId="2" pivotButton="0" quotePrefix="0" xfId="2"/>
    <xf numFmtId="169" fontId="20" fillId="3" borderId="0" applyAlignment="1" pivotButton="0" quotePrefix="0" xfId="0">
      <alignment horizontal="left" indent="2"/>
    </xf>
    <xf numFmtId="169" fontId="30" fillId="3" borderId="0" pivotButton="0" quotePrefix="0" xfId="2"/>
    <xf numFmtId="169" fontId="20" fillId="3" borderId="0" applyAlignment="1" pivotButton="0" quotePrefix="0" xfId="0">
      <alignment horizontal="left" indent="1"/>
    </xf>
    <xf numFmtId="165" fontId="29" fillId="3" borderId="0" applyAlignment="1" pivotButton="0" quotePrefix="0" xfId="0">
      <alignment horizontal="right"/>
    </xf>
    <xf numFmtId="169" fontId="28" fillId="3" borderId="9" applyAlignment="1" pivotButton="0" quotePrefix="0" xfId="0">
      <alignment horizontal="left" indent="1"/>
    </xf>
    <xf numFmtId="169" fontId="23" fillId="3" borderId="9" pivotButton="0" quotePrefix="0" xfId="2"/>
    <xf numFmtId="169" fontId="28" fillId="3" borderId="9" pivotButton="0" quotePrefix="0" xfId="0"/>
    <xf numFmtId="165" fontId="28" fillId="3" borderId="0" applyAlignment="1" pivotButton="0" quotePrefix="0" xfId="0">
      <alignment horizontal="left" indent="1"/>
    </xf>
    <xf numFmtId="165" fontId="29" fillId="3" borderId="0" applyAlignment="1" pivotButton="0" quotePrefix="0" xfId="0">
      <alignment horizontal="left" indent="2"/>
    </xf>
    <xf numFmtId="169" fontId="28" fillId="3" borderId="2" applyAlignment="1" pivotButton="0" quotePrefix="0" xfId="0">
      <alignment horizontal="left" indent="2"/>
    </xf>
    <xf numFmtId="169" fontId="25" fillId="5" borderId="0" applyAlignment="1" pivotButton="0" quotePrefix="0" xfId="0">
      <alignment horizontal="right"/>
    </xf>
    <xf numFmtId="169" fontId="26" fillId="3" borderId="10" applyAlignment="1" pivotButton="0" quotePrefix="0" xfId="0">
      <alignment horizontal="left"/>
    </xf>
    <xf numFmtId="169" fontId="26" fillId="3" borderId="10" applyAlignment="1" pivotButton="0" quotePrefix="0" xfId="0">
      <alignment horizontal="left" indent="3"/>
    </xf>
    <xf numFmtId="169" fontId="26" fillId="3" borderId="10" applyAlignment="1" pivotButton="0" quotePrefix="0" xfId="0">
      <alignment horizontal="right"/>
    </xf>
    <xf numFmtId="169" fontId="26" fillId="3" borderId="0" applyAlignment="1" pivotButton="0" quotePrefix="0" xfId="0">
      <alignment horizontal="right"/>
    </xf>
    <xf numFmtId="169" fontId="29" fillId="3" borderId="0" applyAlignment="1" pivotButton="0" quotePrefix="0" xfId="0">
      <alignment horizontal="left"/>
    </xf>
    <xf numFmtId="169" fontId="29" fillId="3" borderId="0" applyAlignment="1" pivotButton="0" quotePrefix="0" xfId="0">
      <alignment horizontal="left" indent="1"/>
    </xf>
    <xf numFmtId="169" fontId="23" fillId="3" borderId="0" applyAlignment="1" pivotButton="0" quotePrefix="0" xfId="0">
      <alignment horizontal="left"/>
    </xf>
    <xf numFmtId="169" fontId="26" fillId="3" borderId="9" applyAlignment="1" pivotButton="0" quotePrefix="0" xfId="0">
      <alignment horizontal="left"/>
    </xf>
    <xf numFmtId="169" fontId="28" fillId="3" borderId="2" applyAlignment="1" pivotButton="0" quotePrefix="0" xfId="0">
      <alignment horizontal="right"/>
    </xf>
    <xf numFmtId="169" fontId="23" fillId="3" borderId="2" applyAlignment="1" pivotButton="0" quotePrefix="0" xfId="0">
      <alignment horizontal="right"/>
    </xf>
    <xf numFmtId="169" fontId="28" fillId="3" borderId="7" applyAlignment="1" pivotButton="0" quotePrefix="0" xfId="0">
      <alignment horizontal="left" indent="1"/>
    </xf>
    <xf numFmtId="169" fontId="28" fillId="3" borderId="7" applyAlignment="1" pivotButton="0" quotePrefix="0" xfId="0">
      <alignment horizontal="right"/>
    </xf>
    <xf numFmtId="169" fontId="23" fillId="3" borderId="7" applyAlignment="1" pivotButton="0" quotePrefix="0" xfId="0">
      <alignment horizontal="right"/>
    </xf>
    <xf numFmtId="165" fontId="26" fillId="3" borderId="0" applyAlignment="1" pivotButton="0" quotePrefix="0" xfId="1">
      <alignment horizontal="right"/>
    </xf>
    <xf numFmtId="169" fontId="27" fillId="3" borderId="0" applyAlignment="1" pivotButton="0" quotePrefix="0" xfId="2">
      <alignment horizontal="left"/>
    </xf>
    <xf numFmtId="165" fontId="26" fillId="3" borderId="7" applyAlignment="1" pivotButton="0" quotePrefix="0" xfId="0">
      <alignment horizontal="left"/>
    </xf>
    <xf numFmtId="165" fontId="26" fillId="3" borderId="7" applyAlignment="1" pivotButton="0" quotePrefix="0" xfId="0">
      <alignment horizontal="center"/>
    </xf>
    <xf numFmtId="169" fontId="33" fillId="3" borderId="7" applyAlignment="1" pivotButton="0" quotePrefix="0" xfId="0">
      <alignment horizontal="left" indent="3"/>
    </xf>
    <xf numFmtId="165" fontId="20" fillId="3" borderId="0" applyAlignment="1" pivotButton="0" quotePrefix="0" xfId="0">
      <alignment horizontal="left" indent="2"/>
    </xf>
    <xf numFmtId="165" fontId="28" fillId="3" borderId="0" applyAlignment="1" pivotButton="0" quotePrefix="0" xfId="0">
      <alignment horizontal="left" indent="4"/>
    </xf>
    <xf numFmtId="165" fontId="0" fillId="3" borderId="0" applyAlignment="1" pivotButton="0" quotePrefix="0" xfId="0">
      <alignment horizontal="left" indent="2"/>
    </xf>
    <xf numFmtId="165" fontId="6" fillId="3" borderId="7" applyAlignment="1" pivotButton="0" quotePrefix="0" xfId="0">
      <alignment horizontal="left"/>
    </xf>
    <xf numFmtId="165" fontId="26" fillId="3" borderId="7" applyAlignment="1" pivotButton="0" quotePrefix="0" xfId="0">
      <alignment horizontal="left" indent="4"/>
    </xf>
    <xf numFmtId="165" fontId="6" fillId="3" borderId="7" pivotButton="0" quotePrefix="0" xfId="0"/>
    <xf numFmtId="165" fontId="26" fillId="3" borderId="7" pivotButton="0" quotePrefix="0" xfId="0"/>
    <xf numFmtId="169" fontId="28" fillId="3" borderId="0" applyAlignment="1" pivotButton="0" quotePrefix="0" xfId="13">
      <alignment horizontal="left" indent="1"/>
    </xf>
    <xf numFmtId="169" fontId="28" fillId="3" borderId="0" applyAlignment="1" pivotButton="0" quotePrefix="0" xfId="13">
      <alignment horizontal="left" indent="4"/>
    </xf>
    <xf numFmtId="169" fontId="28" fillId="3" borderId="0" pivotButton="0" quotePrefix="0" xfId="13"/>
    <xf numFmtId="169" fontId="28" fillId="3" borderId="2" applyAlignment="1" pivotButton="0" quotePrefix="0" xfId="13">
      <alignment horizontal="left" indent="1"/>
    </xf>
    <xf numFmtId="169" fontId="28" fillId="3" borderId="2" applyAlignment="1" pivotButton="0" quotePrefix="0" xfId="13">
      <alignment horizontal="left" indent="3"/>
    </xf>
    <xf numFmtId="169" fontId="28" fillId="3" borderId="2" pivotButton="0" quotePrefix="0" xfId="13"/>
    <xf numFmtId="169" fontId="26" fillId="3" borderId="0" applyAlignment="1" pivotButton="0" quotePrefix="0" xfId="13">
      <alignment horizontal="left"/>
    </xf>
    <xf numFmtId="169" fontId="26" fillId="3" borderId="0" applyAlignment="1" pivotButton="0" quotePrefix="0" xfId="13">
      <alignment horizontal="left" indent="4"/>
    </xf>
    <xf numFmtId="169" fontId="26" fillId="3" borderId="0" applyAlignment="1" pivotButton="0" quotePrefix="0" xfId="13">
      <alignment horizontal="left" indent="3"/>
    </xf>
    <xf numFmtId="169" fontId="28" fillId="3" borderId="0" applyAlignment="1" pivotButton="0" quotePrefix="0" xfId="13">
      <alignment horizontal="left" indent="3"/>
    </xf>
    <xf numFmtId="169" fontId="26" fillId="3" borderId="7" applyAlignment="1" pivotButton="0" quotePrefix="0" xfId="13">
      <alignment horizontal="left"/>
    </xf>
    <xf numFmtId="169" fontId="26" fillId="3" borderId="7" applyAlignment="1" pivotButton="0" quotePrefix="0" xfId="13">
      <alignment horizontal="left" indent="3"/>
    </xf>
    <xf numFmtId="169" fontId="26" fillId="3" borderId="7" pivotButton="0" quotePrefix="0" xfId="13"/>
    <xf numFmtId="193" fontId="28" fillId="3" borderId="0" pivotButton="0" quotePrefix="0" xfId="0"/>
    <xf numFmtId="193" fontId="28" fillId="3" borderId="13" pivotButton="0" quotePrefix="0" xfId="0"/>
    <xf numFmtId="164" fontId="23" fillId="3" borderId="32" applyAlignment="1" pivotButton="0" quotePrefix="0" xfId="11">
      <alignment horizontal="left" indent="1"/>
    </xf>
    <xf numFmtId="180" fontId="23" fillId="3" borderId="2" pivotButton="0" quotePrefix="0" xfId="11"/>
    <xf numFmtId="180" fontId="28" fillId="3" borderId="2" pivotButton="0" quotePrefix="0" xfId="0"/>
    <xf numFmtId="180" fontId="28" fillId="3" borderId="33" pivotButton="0" quotePrefix="0" xfId="0"/>
    <xf numFmtId="180" fontId="28" fillId="3" borderId="34" pivotButton="0" quotePrefix="0" xfId="0"/>
    <xf numFmtId="164" fontId="23" fillId="3" borderId="2" pivotButton="0" quotePrefix="0" xfId="2"/>
    <xf numFmtId="165" fontId="0" fillId="3" borderId="2" applyAlignment="1" pivotButton="0" quotePrefix="0" xfId="0">
      <alignment horizontal="left" indent="2"/>
    </xf>
    <xf numFmtId="165" fontId="28" fillId="3" borderId="2" applyAlignment="1" pivotButton="0" quotePrefix="0" xfId="0">
      <alignment horizontal="left" indent="4"/>
    </xf>
    <xf numFmtId="165" fontId="28" fillId="3" borderId="2" pivotButton="0" quotePrefix="0" xfId="0"/>
    <xf numFmtId="169" fontId="25" fillId="5" borderId="21" applyAlignment="1" pivotButton="0" quotePrefix="0" xfId="0">
      <alignment horizontal="right"/>
    </xf>
    <xf numFmtId="169" fontId="29" fillId="3" borderId="11" applyAlignment="1" pivotButton="0" quotePrefix="0" xfId="0">
      <alignment horizontal="left" indent="1"/>
    </xf>
    <xf numFmtId="169" fontId="29" fillId="3" borderId="11" applyAlignment="1" pivotButton="0" quotePrefix="0" xfId="0">
      <alignment horizontal="left" indent="3"/>
    </xf>
    <xf numFmtId="165" fontId="29" fillId="3" borderId="11" pivotButton="0" quotePrefix="0" xfId="0"/>
    <xf numFmtId="164" fontId="29" fillId="3" borderId="0" applyAlignment="1" pivotButton="0" quotePrefix="0" xfId="0">
      <alignment horizontal="left" indent="1"/>
    </xf>
    <xf numFmtId="169" fontId="28" fillId="3" borderId="0" applyAlignment="1" pivotButton="0" quotePrefix="0" xfId="13">
      <alignment horizontal="left"/>
    </xf>
    <xf numFmtId="164" fontId="28" fillId="3" borderId="11" applyAlignment="1" pivotButton="0" quotePrefix="0" xfId="13">
      <alignment horizontal="left" indent="1"/>
    </xf>
    <xf numFmtId="185" fontId="28" fillId="3" borderId="0" applyAlignment="1" pivotButton="0" quotePrefix="0" xfId="0">
      <alignment horizontal="left" indent="1"/>
    </xf>
    <xf numFmtId="185" fontId="28" fillId="3" borderId="0" applyAlignment="1" pivotButton="0" quotePrefix="0" xfId="0">
      <alignment horizontal="left" indent="2"/>
    </xf>
    <xf numFmtId="185" fontId="28" fillId="3" borderId="2" applyAlignment="1" pivotButton="0" quotePrefix="0" xfId="0">
      <alignment horizontal="left" indent="2"/>
    </xf>
    <xf numFmtId="185" fontId="28" fillId="3" borderId="2" applyAlignment="1" pivotButton="0" quotePrefix="0" xfId="0">
      <alignment horizontal="left" indent="3"/>
    </xf>
    <xf numFmtId="185" fontId="28" fillId="3" borderId="2" pivotButton="0" quotePrefix="0" xfId="0"/>
    <xf numFmtId="185" fontId="28" fillId="3" borderId="2" applyAlignment="1" pivotButton="0" quotePrefix="0" xfId="0">
      <alignment horizontal="left" indent="1"/>
    </xf>
    <xf numFmtId="185" fontId="26" fillId="3" borderId="0" applyAlignment="1" pivotButton="0" quotePrefix="0" xfId="0">
      <alignment horizontal="left"/>
    </xf>
    <xf numFmtId="185" fontId="26" fillId="3" borderId="0" applyAlignment="1" pivotButton="0" quotePrefix="0" xfId="0">
      <alignment horizontal="left" indent="3"/>
    </xf>
    <xf numFmtId="185" fontId="26" fillId="3" borderId="0" pivotButton="0" quotePrefix="0" xfId="0"/>
    <xf numFmtId="185" fontId="6" fillId="3" borderId="0" pivotButton="0" quotePrefix="0" xfId="0"/>
    <xf numFmtId="185" fontId="28" fillId="3" borderId="0" applyAlignment="1" pivotButton="0" quotePrefix="0" xfId="0">
      <alignment horizontal="left"/>
    </xf>
    <xf numFmtId="164" fontId="28" fillId="3" borderId="2" applyAlignment="1" pivotButton="0" quotePrefix="0" xfId="0">
      <alignment horizontal="left" indent="3"/>
    </xf>
    <xf numFmtId="168" fontId="27" fillId="3" borderId="0" applyAlignment="1" pivotButton="0" quotePrefix="0" xfId="0">
      <alignment horizontal="left"/>
    </xf>
    <xf numFmtId="164" fontId="28" fillId="3" borderId="11" applyAlignment="1" pivotButton="0" quotePrefix="0" xfId="13">
      <alignment horizontal="left"/>
    </xf>
    <xf numFmtId="168" fontId="26" fillId="3" borderId="0" pivotButton="0" quotePrefix="0" xfId="0"/>
    <xf numFmtId="168" fontId="26" fillId="3" borderId="0" applyAlignment="1" pivotButton="0" quotePrefix="0" xfId="0">
      <alignment horizontal="right"/>
    </xf>
    <xf numFmtId="178" fontId="28" fillId="3" borderId="0" applyAlignment="1" pivotButton="0" quotePrefix="0" xfId="0">
      <alignment horizontal="right"/>
    </xf>
    <xf numFmtId="193" fontId="28" fillId="3" borderId="0" applyAlignment="1" pivotButton="0" quotePrefix="0" xfId="0">
      <alignment horizontal="right"/>
    </xf>
    <xf numFmtId="180" fontId="28" fillId="3" borderId="0" applyAlignment="1" pivotButton="0" quotePrefix="0" xfId="0">
      <alignment horizontal="right"/>
    </xf>
    <xf numFmtId="165" fontId="33" fillId="3" borderId="0" applyAlignment="1" pivotButton="0" quotePrefix="0" xfId="0">
      <alignment horizontal="left"/>
    </xf>
    <xf numFmtId="0" fontId="47" fillId="3" borderId="0" pivotButton="0" quotePrefix="0" xfId="9"/>
    <xf numFmtId="164" fontId="27" fillId="3" borderId="6" applyAlignment="1" pivotButton="0" quotePrefix="0" xfId="11">
      <alignment horizontal="left"/>
    </xf>
    <xf numFmtId="164" fontId="23" fillId="3" borderId="4" applyAlignment="1" pivotButton="0" quotePrefix="0" xfId="11">
      <alignment horizontal="left" indent="1"/>
    </xf>
    <xf numFmtId="169" fontId="28" fillId="3" borderId="33" pivotButton="0" quotePrefix="0" xfId="0"/>
    <xf numFmtId="169" fontId="28" fillId="3" borderId="21" applyAlignment="1" pivotButton="0" quotePrefix="0" xfId="0">
      <alignment horizontal="right"/>
    </xf>
    <xf numFmtId="165" fontId="28" fillId="3" borderId="21" applyAlignment="1" pivotButton="0" quotePrefix="0" xfId="0">
      <alignment horizontal="right"/>
    </xf>
    <xf numFmtId="194" fontId="29" fillId="3" borderId="0" applyAlignment="1" pivotButton="0" quotePrefix="0" xfId="0">
      <alignment horizontal="left"/>
    </xf>
    <xf numFmtId="194" fontId="29" fillId="3" borderId="0" applyAlignment="1" pivotButton="0" quotePrefix="0" xfId="0">
      <alignment horizontal="left" indent="4"/>
    </xf>
    <xf numFmtId="194" fontId="29" fillId="3" borderId="0" pivotButton="0" quotePrefix="0" xfId="0"/>
    <xf numFmtId="194" fontId="0" fillId="3" borderId="0" pivotButton="0" quotePrefix="0" xfId="0"/>
    <xf numFmtId="169" fontId="23" fillId="3" borderId="7" pivotButton="0" quotePrefix="0" xfId="11"/>
    <xf numFmtId="169" fontId="28" fillId="3" borderId="35" pivotButton="0" quotePrefix="0" xfId="0"/>
    <xf numFmtId="169" fontId="28" fillId="3" borderId="6" pivotButton="0" quotePrefix="0" xfId="0"/>
    <xf numFmtId="169" fontId="23" fillId="3" borderId="2" pivotButton="0" quotePrefix="0" xfId="11"/>
    <xf numFmtId="169" fontId="28" fillId="3" borderId="1" pivotButton="0" quotePrefix="0" xfId="0"/>
    <xf numFmtId="164" fontId="27" fillId="3" borderId="7" applyAlignment="1" pivotButton="0" quotePrefix="0" xfId="11">
      <alignment horizontal="left"/>
    </xf>
    <xf numFmtId="164" fontId="27" fillId="3" borderId="0" applyAlignment="1" pivotButton="0" quotePrefix="0" xfId="11">
      <alignment horizontal="left"/>
    </xf>
    <xf numFmtId="164" fontId="27" fillId="3" borderId="2" applyAlignment="1" pivotButton="0" quotePrefix="0" xfId="11">
      <alignment horizontal="left"/>
    </xf>
    <xf numFmtId="14" fontId="26" fillId="3" borderId="0" applyAlignment="1" pivotButton="0" quotePrefix="0" xfId="0">
      <alignment horizontal="right"/>
    </xf>
    <xf numFmtId="14" fontId="26" fillId="3" borderId="21" applyAlignment="1" pivotButton="0" quotePrefix="0" xfId="0">
      <alignment horizontal="right"/>
    </xf>
    <xf numFmtId="14" fontId="26" fillId="3" borderId="4" applyAlignment="1" pivotButton="0" quotePrefix="0" xfId="0">
      <alignment horizontal="right"/>
    </xf>
    <xf numFmtId="0" fontId="26" fillId="3" borderId="0" applyAlignment="1" pivotButton="0" quotePrefix="0" xfId="0">
      <alignment horizontal="right"/>
    </xf>
    <xf numFmtId="0" fontId="26" fillId="3" borderId="21" applyAlignment="1" pivotButton="0" quotePrefix="0" xfId="0">
      <alignment horizontal="right"/>
    </xf>
    <xf numFmtId="0" fontId="26" fillId="3" borderId="4" applyAlignment="1" pivotButton="0" quotePrefix="0" xfId="0">
      <alignment horizontal="right"/>
    </xf>
    <xf numFmtId="0" fontId="13" fillId="3" borderId="0" applyAlignment="1" pivotButton="0" quotePrefix="0" xfId="12">
      <alignment vertical="center"/>
    </xf>
    <xf numFmtId="0" fontId="18" fillId="3" borderId="0" applyAlignment="1" pivotButton="0" quotePrefix="0" xfId="12">
      <alignment vertical="center"/>
    </xf>
    <xf numFmtId="0" fontId="2" fillId="3" borderId="0" applyAlignment="1" pivotButton="0" quotePrefix="0" xfId="12">
      <alignment vertical="center"/>
    </xf>
    <xf numFmtId="0" fontId="18" fillId="3" borderId="0" applyAlignment="1" pivotButton="0" quotePrefix="0" xfId="12">
      <alignment horizontal="center" vertical="center"/>
    </xf>
    <xf numFmtId="0" fontId="13" fillId="3" borderId="0" pivotButton="0" quotePrefix="0" xfId="12"/>
    <xf numFmtId="14" fontId="13" fillId="3" borderId="0" applyAlignment="1" pivotButton="0" quotePrefix="0" xfId="12">
      <alignment horizontal="center" vertical="center"/>
    </xf>
    <xf numFmtId="0" fontId="13" fillId="3" borderId="0" applyAlignment="1" pivotButton="0" quotePrefix="0" xfId="12">
      <alignment horizontal="center"/>
    </xf>
    <xf numFmtId="0" fontId="17" fillId="3" borderId="0" pivotButton="0" quotePrefix="0" xfId="12"/>
    <xf numFmtId="0" fontId="31" fillId="3" borderId="0" applyAlignment="1" pivotButton="0" quotePrefix="0" xfId="12">
      <alignment horizontal="center"/>
    </xf>
    <xf numFmtId="1" fontId="16" fillId="3" borderId="0" applyAlignment="1" pivotButton="0" quotePrefix="0" xfId="12">
      <alignment horizontal="center"/>
    </xf>
    <xf numFmtId="0" fontId="17" fillId="3" borderId="0" pivotButton="0" quotePrefix="1" xfId="12"/>
    <xf numFmtId="0" fontId="18" fillId="3" borderId="0" pivotButton="0" quotePrefix="0" xfId="12"/>
    <xf numFmtId="191" fontId="16" fillId="3" borderId="0" pivotButton="0" quotePrefix="0" xfId="12"/>
    <xf numFmtId="195" fontId="18" fillId="3" borderId="0" applyAlignment="1" pivotButton="0" quotePrefix="0" xfId="12">
      <alignment horizontal="center" vertical="center"/>
    </xf>
    <xf numFmtId="196" fontId="3" fillId="3" borderId="0" applyAlignment="1" pivotButton="0" quotePrefix="0" xfId="12">
      <alignment horizontal="right"/>
    </xf>
    <xf numFmtId="197" fontId="3" fillId="3" borderId="0" applyAlignment="1" pivotButton="0" quotePrefix="0" xfId="12">
      <alignment horizontal="right"/>
    </xf>
    <xf numFmtId="14" fontId="8" fillId="3" borderId="30" applyAlignment="1" pivotButton="0" quotePrefix="0" xfId="12">
      <alignment horizontal="center"/>
    </xf>
    <xf numFmtId="0" fontId="8" fillId="3" borderId="30" applyAlignment="1" pivotButton="0" quotePrefix="0" xfId="12">
      <alignment horizontal="center"/>
    </xf>
    <xf numFmtId="0" fontId="2" fillId="3" borderId="30" applyAlignment="1" pivotButton="0" quotePrefix="0" xfId="12">
      <alignment horizontal="center"/>
    </xf>
    <xf numFmtId="0" fontId="8" fillId="3" borderId="30" applyAlignment="1" pivotButton="0" quotePrefix="0" xfId="12">
      <alignment horizontal="left"/>
    </xf>
    <xf numFmtId="0" fontId="4" fillId="3" borderId="36" pivotButton="0" quotePrefix="0" xfId="9"/>
    <xf numFmtId="0" fontId="4" fillId="3" borderId="1" pivotButton="0" quotePrefix="0" xfId="9"/>
    <xf numFmtId="14" fontId="8" fillId="3" borderId="37" applyAlignment="1" pivotButton="0" quotePrefix="0" xfId="12">
      <alignment horizontal="center"/>
    </xf>
    <xf numFmtId="0" fontId="8" fillId="3" borderId="38" applyAlignment="1" pivotButton="0" quotePrefix="0" xfId="12">
      <alignment horizontal="center"/>
    </xf>
    <xf numFmtId="0" fontId="2" fillId="3" borderId="38" applyAlignment="1" pivotButton="0" quotePrefix="0" xfId="12">
      <alignment horizontal="center"/>
    </xf>
    <xf numFmtId="0" fontId="8" fillId="3" borderId="38" applyAlignment="1" pivotButton="0" quotePrefix="0" xfId="12">
      <alignment horizontal="left"/>
    </xf>
    <xf numFmtId="0" fontId="4" fillId="3" borderId="14" pivotButton="0" quotePrefix="0" xfId="9"/>
    <xf numFmtId="0" fontId="4" fillId="3" borderId="39" applyAlignment="1" pivotButton="0" quotePrefix="0" xfId="9">
      <alignment horizontal="left"/>
    </xf>
    <xf numFmtId="0" fontId="4" fillId="3" borderId="30" applyAlignment="1" pivotButton="0" quotePrefix="0" xfId="9">
      <alignment horizontal="left"/>
    </xf>
    <xf numFmtId="14" fontId="8" fillId="3" borderId="36" applyAlignment="1" pivotButton="0" quotePrefix="0" xfId="12">
      <alignment horizontal="center"/>
    </xf>
    <xf numFmtId="0" fontId="8" fillId="3" borderId="36" applyAlignment="1" pivotButton="0" quotePrefix="0" xfId="12">
      <alignment horizontal="center"/>
    </xf>
    <xf numFmtId="0" fontId="2" fillId="3" borderId="36" applyAlignment="1" pivotButton="0" quotePrefix="0" xfId="12">
      <alignment horizontal="center"/>
    </xf>
    <xf numFmtId="0" fontId="8" fillId="3" borderId="36" applyAlignment="1" pivotButton="0" quotePrefix="0" xfId="12">
      <alignment horizontal="left"/>
    </xf>
    <xf numFmtId="0" fontId="4" fillId="3" borderId="36" applyAlignment="1" pivotButton="0" quotePrefix="0" xfId="9">
      <alignment horizontal="left"/>
    </xf>
    <xf numFmtId="14" fontId="13" fillId="7" borderId="0" applyAlignment="1" pivotButton="0" quotePrefix="0" xfId="12">
      <alignment horizontal="center" vertical="center"/>
    </xf>
    <xf numFmtId="0" fontId="19" fillId="7" borderId="0" applyAlignment="1" pivotButton="0" quotePrefix="0" xfId="12">
      <alignment horizontal="center" vertical="center"/>
    </xf>
    <xf numFmtId="1" fontId="48" fillId="8" borderId="0" applyAlignment="1" pivotButton="0" quotePrefix="0" xfId="12">
      <alignment horizontal="center" vertical="center"/>
    </xf>
    <xf numFmtId="168" fontId="48" fillId="8" borderId="0" applyAlignment="1" pivotButton="0" quotePrefix="0" xfId="2">
      <alignment horizontal="center" vertical="center"/>
    </xf>
    <xf numFmtId="0" fontId="27" fillId="3" borderId="36" applyAlignment="1" pivotButton="0" quotePrefix="0" xfId="12">
      <alignment horizontal="center"/>
    </xf>
    <xf numFmtId="0" fontId="27" fillId="3" borderId="28" applyAlignment="1" pivotButton="0" quotePrefix="0" xfId="12">
      <alignment horizontal="center"/>
    </xf>
    <xf numFmtId="0" fontId="20" fillId="3" borderId="0" pivotButton="0" quotePrefix="0" xfId="0"/>
    <xf numFmtId="165" fontId="33" fillId="3" borderId="0" pivotButton="0" quotePrefix="0" xfId="0"/>
    <xf numFmtId="169" fontId="23" fillId="3" borderId="0" applyAlignment="1" pivotButton="0" quotePrefix="0" xfId="11">
      <alignment horizontal="left"/>
    </xf>
    <xf numFmtId="169" fontId="28" fillId="3" borderId="4" applyAlignment="1" pivotButton="0" quotePrefix="0" xfId="0">
      <alignment horizontal="right"/>
    </xf>
    <xf numFmtId="165" fontId="23" fillId="3" borderId="0" applyAlignment="1" pivotButton="0" quotePrefix="0" xfId="11">
      <alignment horizontal="left"/>
    </xf>
    <xf numFmtId="165" fontId="28" fillId="3" borderId="4" applyAlignment="1" pivotButton="0" quotePrefix="0" xfId="0">
      <alignment horizontal="right"/>
    </xf>
    <xf numFmtId="164" fontId="33" fillId="3" borderId="0" applyAlignment="1" pivotButton="0" quotePrefix="0" xfId="0">
      <alignment horizontal="left" indent="3"/>
    </xf>
    <xf numFmtId="165" fontId="33" fillId="3" borderId="0" applyAlignment="1" pivotButton="0" quotePrefix="0" xfId="0">
      <alignment horizontal="left" indent="1"/>
    </xf>
    <xf numFmtId="0" fontId="28" fillId="3" borderId="0" applyAlignment="1" pivotButton="0" quotePrefix="0" xfId="0">
      <alignment horizontal="left"/>
    </xf>
    <xf numFmtId="198" fontId="28" fillId="3" borderId="0" applyAlignment="1" pivotButton="0" quotePrefix="0" xfId="0">
      <alignment horizontal="center"/>
    </xf>
    <xf numFmtId="164" fontId="49" fillId="3" borderId="0" applyAlignment="1" pivotButton="0" quotePrefix="0" xfId="0">
      <alignment horizontal="left" indent="3"/>
    </xf>
    <xf numFmtId="169" fontId="49" fillId="3" borderId="0" applyAlignment="1" pivotButton="0" quotePrefix="0" xfId="0">
      <alignment horizontal="right"/>
    </xf>
    <xf numFmtId="169" fontId="49" fillId="3" borderId="0" applyAlignment="1" pivotButton="0" quotePrefix="0" xfId="0">
      <alignment horizontal="left"/>
    </xf>
    <xf numFmtId="164" fontId="29" fillId="3" borderId="2" applyAlignment="1" pivotButton="0" quotePrefix="0" xfId="0">
      <alignment horizontal="left" indent="3"/>
    </xf>
    <xf numFmtId="165" fontId="29" fillId="3" borderId="2" pivotButton="0" quotePrefix="0" xfId="0"/>
    <xf numFmtId="165" fontId="29" fillId="3" borderId="2" applyAlignment="1" pivotButton="0" quotePrefix="0" xfId="0">
      <alignment horizontal="left" indent="1"/>
    </xf>
    <xf numFmtId="164" fontId="33" fillId="3" borderId="7" applyAlignment="1" pivotButton="0" quotePrefix="0" xfId="0">
      <alignment horizontal="left" indent="3"/>
    </xf>
    <xf numFmtId="165" fontId="33" fillId="3" borderId="7" pivotButton="0" quotePrefix="0" xfId="0"/>
    <xf numFmtId="165" fontId="33" fillId="3" borderId="7" applyAlignment="1" pivotButton="0" quotePrefix="0" xfId="0">
      <alignment horizontal="left"/>
    </xf>
    <xf numFmtId="165" fontId="29" fillId="3" borderId="2" applyAlignment="1" pivotButton="0" quotePrefix="0" xfId="0">
      <alignment horizontal="left" indent="2"/>
    </xf>
    <xf numFmtId="164" fontId="28" fillId="3" borderId="2" applyAlignment="1" pivotButton="0" quotePrefix="0" xfId="0">
      <alignment horizontal="left"/>
    </xf>
    <xf numFmtId="164" fontId="28" fillId="3" borderId="2" applyAlignment="1" pivotButton="0" quotePrefix="0" xfId="0">
      <alignment horizontal="left" indent="1"/>
    </xf>
    <xf numFmtId="164" fontId="28" fillId="3" borderId="7" applyAlignment="1" pivotButton="0" quotePrefix="0" xfId="0">
      <alignment horizontal="left"/>
    </xf>
    <xf numFmtId="164" fontId="26" fillId="3" borderId="7" applyAlignment="1" pivotButton="0" quotePrefix="0" xfId="0">
      <alignment horizontal="left"/>
    </xf>
    <xf numFmtId="164" fontId="26" fillId="3" borderId="7" applyAlignment="1" pivotButton="0" quotePrefix="0" xfId="0">
      <alignment horizontal="left" indent="3"/>
    </xf>
    <xf numFmtId="165" fontId="28" fillId="3" borderId="2" applyAlignment="1" pivotButton="0" quotePrefix="0" xfId="0">
      <alignment horizontal="left" indent="1"/>
    </xf>
    <xf numFmtId="165" fontId="28" fillId="3" borderId="2" applyAlignment="1" pivotButton="0" quotePrefix="0" xfId="0">
      <alignment horizontal="left"/>
    </xf>
    <xf numFmtId="169" fontId="33" fillId="3" borderId="7" applyAlignment="1" pivotButton="0" quotePrefix="0" xfId="0">
      <alignment horizontal="left" indent="1"/>
    </xf>
    <xf numFmtId="169" fontId="33" fillId="3" borderId="7" pivotButton="0" quotePrefix="0" xfId="0"/>
    <xf numFmtId="169" fontId="29" fillId="3" borderId="0" applyAlignment="1" pivotButton="0" quotePrefix="0" xfId="0">
      <alignment horizontal="left" indent="2"/>
    </xf>
    <xf numFmtId="169" fontId="29" fillId="3" borderId="2" applyAlignment="1" pivotButton="0" quotePrefix="0" xfId="0">
      <alignment horizontal="left" indent="2"/>
    </xf>
    <xf numFmtId="169" fontId="29" fillId="3" borderId="2" pivotButton="0" quotePrefix="0" xfId="0"/>
    <xf numFmtId="164" fontId="28" fillId="3" borderId="11" applyAlignment="1" pivotButton="0" quotePrefix="0" xfId="0">
      <alignment horizontal="left" indent="1"/>
    </xf>
    <xf numFmtId="164" fontId="28" fillId="3" borderId="11" applyAlignment="1" pivotButton="0" quotePrefix="0" xfId="0">
      <alignment horizontal="left" indent="3"/>
    </xf>
    <xf numFmtId="0" fontId="59" fillId="3" borderId="0" pivotButton="0" quotePrefix="0" xfId="13"/>
    <xf numFmtId="0" fontId="35" fillId="5" borderId="0" pivotButton="0" quotePrefix="0" xfId="13"/>
    <xf numFmtId="169" fontId="59" fillId="3" borderId="0" pivotButton="0" quotePrefix="0" xfId="13"/>
    <xf numFmtId="164" fontId="6" fillId="3" borderId="0" pivotButton="0" quotePrefix="0" xfId="13"/>
    <xf numFmtId="169" fontId="6" fillId="3" borderId="0" pivotButton="0" quotePrefix="0" xfId="13"/>
    <xf numFmtId="166" fontId="28" fillId="3" borderId="0" applyAlignment="1" pivotButton="0" quotePrefix="0" xfId="13">
      <alignment horizontal="left" indent="4"/>
    </xf>
    <xf numFmtId="166" fontId="28" fillId="3" borderId="0" applyAlignment="1" pivotButton="0" quotePrefix="0" xfId="13">
      <alignment horizontal="left"/>
    </xf>
    <xf numFmtId="164" fontId="28" fillId="3" borderId="2" applyAlignment="1" pivotButton="0" quotePrefix="0" xfId="13">
      <alignment horizontal="left" indent="1"/>
    </xf>
    <xf numFmtId="164" fontId="28" fillId="3" borderId="2" applyAlignment="1" pivotButton="0" quotePrefix="0" xfId="13">
      <alignment horizontal="left" indent="2"/>
    </xf>
    <xf numFmtId="199" fontId="28" fillId="3" borderId="0" applyAlignment="1" pivotButton="0" quotePrefix="0" xfId="13">
      <alignment horizontal="left"/>
    </xf>
    <xf numFmtId="0" fontId="6" fillId="3" borderId="0" applyAlignment="1" pivotButton="0" quotePrefix="0" xfId="13">
      <alignment horizontal="center"/>
    </xf>
    <xf numFmtId="0" fontId="27" fillId="3" borderId="0" applyAlignment="1" pivotButton="0" quotePrefix="0" xfId="17">
      <alignment horizontal="center"/>
    </xf>
    <xf numFmtId="171" fontId="3" fillId="3" borderId="0" pivotButton="0" quotePrefix="0" xfId="13"/>
    <xf numFmtId="0" fontId="50" fillId="3" borderId="0" pivotButton="0" quotePrefix="0" xfId="9"/>
    <xf numFmtId="184" fontId="2" fillId="3" borderId="0" applyAlignment="1" pivotButton="0" quotePrefix="0" xfId="13">
      <alignment horizontal="left"/>
    </xf>
    <xf numFmtId="170" fontId="23" fillId="3" borderId="0" applyAlignment="1" pivotButton="0" quotePrefix="0" xfId="13">
      <alignment horizontal="center"/>
    </xf>
    <xf numFmtId="200" fontId="59" fillId="3" borderId="0" pivotButton="0" quotePrefix="0" xfId="13"/>
    <xf numFmtId="176" fontId="3" fillId="3" borderId="0" applyAlignment="1" pivotButton="0" quotePrefix="0" xfId="13">
      <alignment horizontal="left"/>
    </xf>
    <xf numFmtId="168" fontId="5" fillId="3" borderId="0" applyAlignment="1" pivotButton="0" quotePrefix="0" xfId="17">
      <alignment horizontal="center"/>
    </xf>
    <xf numFmtId="177" fontId="3" fillId="3" borderId="0" pivotButton="0" quotePrefix="0" xfId="13"/>
    <xf numFmtId="200" fontId="59" fillId="3" borderId="21" pivotButton="0" quotePrefix="0" xfId="13"/>
    <xf numFmtId="169" fontId="26" fillId="3" borderId="2" applyAlignment="1" pivotButton="0" quotePrefix="0" xfId="13">
      <alignment horizontal="left" indent="4"/>
    </xf>
    <xf numFmtId="169" fontId="26" fillId="3" borderId="2" pivotButton="0" quotePrefix="0" xfId="13"/>
    <xf numFmtId="164" fontId="26" fillId="3" borderId="0" applyAlignment="1" pivotButton="0" quotePrefix="0" xfId="13">
      <alignment horizontal="left" indent="4"/>
    </xf>
    <xf numFmtId="199" fontId="26" fillId="3" borderId="0" applyAlignment="1" pivotButton="0" quotePrefix="0" xfId="13">
      <alignment horizontal="left" indent="4"/>
    </xf>
    <xf numFmtId="199" fontId="26" fillId="3" borderId="0" pivotButton="0" quotePrefix="0" xfId="13"/>
    <xf numFmtId="199" fontId="6" fillId="3" borderId="0" pivotButton="0" quotePrefix="0" xfId="13"/>
    <xf numFmtId="165" fontId="6" fillId="3" borderId="0" pivotButton="0" quotePrefix="0" xfId="13"/>
    <xf numFmtId="166" fontId="59" fillId="3" borderId="0" pivotButton="0" quotePrefix="0" xfId="13"/>
    <xf numFmtId="169" fontId="26" fillId="3" borderId="10" pivotButton="0" quotePrefix="0" xfId="13"/>
    <xf numFmtId="199" fontId="28" fillId="3" borderId="0" applyAlignment="1" pivotButton="0" quotePrefix="0" xfId="0">
      <alignment horizontal="left" indent="3"/>
    </xf>
    <xf numFmtId="199" fontId="28" fillId="3" borderId="0" pivotButton="0" quotePrefix="0" xfId="0"/>
    <xf numFmtId="199" fontId="0" fillId="3" borderId="0" pivotButton="0" quotePrefix="0" xfId="0"/>
    <xf numFmtId="199" fontId="28" fillId="3" borderId="2" applyAlignment="1" pivotButton="0" quotePrefix="0" xfId="0">
      <alignment horizontal="left" indent="3"/>
    </xf>
    <xf numFmtId="199" fontId="28" fillId="3" borderId="2" pivotButton="0" quotePrefix="0" xfId="0"/>
    <xf numFmtId="165" fontId="59" fillId="3" borderId="0" pivotButton="0" quotePrefix="0" xfId="13"/>
    <xf numFmtId="164" fontId="59" fillId="3" borderId="0" pivotButton="0" quotePrefix="0" xfId="13"/>
    <xf numFmtId="164" fontId="28" fillId="3" borderId="2" applyAlignment="1" pivotButton="0" quotePrefix="0" xfId="13">
      <alignment horizontal="left" indent="4"/>
    </xf>
    <xf numFmtId="169" fontId="28" fillId="3" borderId="2" applyAlignment="1" pivotButton="0" quotePrefix="0" xfId="13">
      <alignment horizontal="left" indent="4"/>
    </xf>
    <xf numFmtId="0" fontId="4" fillId="0" borderId="30" pivotButton="0" quotePrefix="0" xfId="9"/>
    <xf numFmtId="199" fontId="28" fillId="3" borderId="0" applyAlignment="1" pivotButton="0" quotePrefix="0" xfId="0">
      <alignment horizontal="left" indent="1"/>
    </xf>
    <xf numFmtId="199" fontId="28" fillId="3" borderId="2" applyAlignment="1" pivotButton="0" quotePrefix="0" xfId="0">
      <alignment horizontal="left" indent="1"/>
    </xf>
    <xf numFmtId="199" fontId="28" fillId="3" borderId="0" applyAlignment="1" pivotButton="0" quotePrefix="0" xfId="0">
      <alignment horizontal="left"/>
    </xf>
    <xf numFmtId="169" fontId="29" fillId="3" borderId="0" applyAlignment="1" pivotButton="0" quotePrefix="0" xfId="0">
      <alignment horizontal="right"/>
    </xf>
    <xf numFmtId="168" fontId="29" fillId="3" borderId="0" applyAlignment="1" pivotButton="0" quotePrefix="0" xfId="0">
      <alignment horizontal="right"/>
    </xf>
    <xf numFmtId="0" fontId="13" fillId="0" borderId="0" pivotButton="0" quotePrefix="0" xfId="12"/>
    <xf numFmtId="0" fontId="51" fillId="3" borderId="0" pivotButton="0" quotePrefix="0" xfId="9"/>
    <xf numFmtId="201" fontId="23" fillId="3" borderId="29" applyAlignment="1" pivotButton="0" quotePrefix="0" xfId="11">
      <alignment horizontal="left" indent="1"/>
    </xf>
    <xf numFmtId="200" fontId="28" fillId="3" borderId="0" pivotButton="0" quotePrefix="0" xfId="13"/>
    <xf numFmtId="0" fontId="26" fillId="3" borderId="0" applyAlignment="1" pivotButton="0" quotePrefix="0" xfId="13">
      <alignment horizontal="center"/>
    </xf>
    <xf numFmtId="17" fontId="28" fillId="3" borderId="0" applyAlignment="1" pivotButton="0" quotePrefix="0" xfId="13">
      <alignment horizontal="center"/>
    </xf>
    <xf numFmtId="169" fontId="23" fillId="3" borderId="7" pivotButton="0" quotePrefix="0" xfId="2"/>
    <xf numFmtId="1" fontId="6" fillId="3" borderId="21" applyAlignment="1" pivotButton="0" quotePrefix="0" xfId="0">
      <alignment horizontal="center"/>
    </xf>
    <xf numFmtId="165" fontId="20" fillId="3" borderId="21" pivotButton="0" quotePrefix="0" xfId="0"/>
    <xf numFmtId="165" fontId="20" fillId="3" borderId="21" applyAlignment="1" pivotButton="0" quotePrefix="0" xfId="0">
      <alignment horizontal="right"/>
    </xf>
    <xf numFmtId="165" fontId="29" fillId="3" borderId="21" pivotButton="0" quotePrefix="0" xfId="0"/>
    <xf numFmtId="169" fontId="29" fillId="3" borderId="21" pivotButton="0" quotePrefix="0" xfId="0"/>
    <xf numFmtId="169" fontId="0" fillId="3" borderId="35" pivotButton="0" quotePrefix="0" xfId="0"/>
    <xf numFmtId="169" fontId="6" fillId="3" borderId="35" pivotButton="0" quotePrefix="0" xfId="0"/>
    <xf numFmtId="169" fontId="26" fillId="3" borderId="35" pivotButton="0" quotePrefix="0" xfId="0"/>
    <xf numFmtId="165" fontId="28" fillId="3" borderId="21" pivotButton="0" quotePrefix="0" xfId="0"/>
    <xf numFmtId="169" fontId="28" fillId="3" borderId="40" pivotButton="0" quotePrefix="0" xfId="0"/>
    <xf numFmtId="169" fontId="0" fillId="3" borderId="33" pivotButton="0" quotePrefix="0" xfId="0"/>
    <xf numFmtId="165" fontId="26" fillId="3" borderId="35" pivotButton="0" quotePrefix="0" xfId="0"/>
    <xf numFmtId="165" fontId="28" fillId="3" borderId="33" pivotButton="0" quotePrefix="0" xfId="0"/>
    <xf numFmtId="165" fontId="26" fillId="3" borderId="33" applyAlignment="1" pivotButton="0" quotePrefix="0" xfId="0">
      <alignment horizontal="center"/>
    </xf>
    <xf numFmtId="165" fontId="26" fillId="3" borderId="21" applyAlignment="1" pivotButton="0" quotePrefix="0" xfId="0">
      <alignment horizontal="center"/>
    </xf>
    <xf numFmtId="165" fontId="26" fillId="3" borderId="35" applyAlignment="1" pivotButton="0" quotePrefix="0" xfId="0">
      <alignment horizontal="center"/>
    </xf>
    <xf numFmtId="165" fontId="29" fillId="3" borderId="21" applyAlignment="1" pivotButton="0" quotePrefix="0" xfId="0">
      <alignment horizontal="center"/>
    </xf>
    <xf numFmtId="169" fontId="6" fillId="3" borderId="40" pivotButton="0" quotePrefix="0" xfId="0"/>
    <xf numFmtId="169" fontId="28" fillId="3" borderId="33" applyAlignment="1" pivotButton="0" quotePrefix="0" xfId="0">
      <alignment horizontal="right"/>
    </xf>
    <xf numFmtId="165" fontId="6" fillId="3" borderId="21" pivotButton="0" quotePrefix="0" xfId="1"/>
    <xf numFmtId="165" fontId="26" fillId="3" borderId="21" applyAlignment="1" pivotButton="0" quotePrefix="0" xfId="1">
      <alignment horizontal="right"/>
    </xf>
    <xf numFmtId="43" fontId="26" fillId="3" borderId="21" pivotButton="0" quotePrefix="0" xfId="0"/>
    <xf numFmtId="168" fontId="29" fillId="3" borderId="21" pivotButton="0" quotePrefix="0" xfId="0"/>
    <xf numFmtId="192" fontId="28" fillId="3" borderId="21" pivotButton="0" quotePrefix="0" xfId="0"/>
    <xf numFmtId="185" fontId="26" fillId="3" borderId="21" pivotButton="0" quotePrefix="0" xfId="0"/>
    <xf numFmtId="165" fontId="29" fillId="3" borderId="27" pivotButton="0" quotePrefix="0" xfId="0"/>
    <xf numFmtId="202" fontId="29" fillId="3" borderId="21" pivotButton="0" quotePrefix="0" xfId="0"/>
    <xf numFmtId="185" fontId="28" fillId="3" borderId="21" pivotButton="0" quotePrefix="0" xfId="0"/>
    <xf numFmtId="185" fontId="28" fillId="3" borderId="33" pivotButton="0" quotePrefix="0" xfId="0"/>
    <xf numFmtId="199" fontId="28" fillId="3" borderId="21" pivotButton="0" quotePrefix="0" xfId="0"/>
    <xf numFmtId="165" fontId="33" fillId="3" borderId="21" pivotButton="0" quotePrefix="0" xfId="0"/>
    <xf numFmtId="198" fontId="28" fillId="3" borderId="21" applyAlignment="1" pivotButton="0" quotePrefix="0" xfId="0">
      <alignment horizontal="center"/>
    </xf>
    <xf numFmtId="169" fontId="49" fillId="3" borderId="21" applyAlignment="1" pivotButton="0" quotePrefix="0" xfId="0">
      <alignment horizontal="right"/>
    </xf>
    <xf numFmtId="165" fontId="29" fillId="3" borderId="33" pivotButton="0" quotePrefix="0" xfId="0"/>
    <xf numFmtId="165" fontId="33" fillId="3" borderId="35" pivotButton="0" quotePrefix="0" xfId="0"/>
    <xf numFmtId="169" fontId="33" fillId="3" borderId="35" pivotButton="0" quotePrefix="0" xfId="0"/>
    <xf numFmtId="165" fontId="26" fillId="3" borderId="21" pivotButton="0" quotePrefix="0" xfId="0"/>
    <xf numFmtId="169" fontId="29" fillId="3" borderId="33" pivotButton="0" quotePrefix="0" xfId="0"/>
    <xf numFmtId="168" fontId="26" fillId="3" borderId="21" pivotButton="0" quotePrefix="0" xfId="2"/>
    <xf numFmtId="167" fontId="28" fillId="3" borderId="21" pivotButton="0" quotePrefix="0" xfId="0"/>
    <xf numFmtId="178" fontId="26" fillId="3" borderId="21" pivotButton="0" quotePrefix="0" xfId="0"/>
    <xf numFmtId="169" fontId="0" fillId="3" borderId="21" applyAlignment="1" pivotButton="0" quotePrefix="0" xfId="0">
      <alignment horizontal="right"/>
    </xf>
    <xf numFmtId="165" fontId="6" fillId="3" borderId="21" applyAlignment="1" pivotButton="0" quotePrefix="0" xfId="0">
      <alignment horizontal="right"/>
    </xf>
    <xf numFmtId="165" fontId="26" fillId="3" borderId="21" applyAlignment="1" pivotButton="0" quotePrefix="0" xfId="0">
      <alignment horizontal="right"/>
    </xf>
    <xf numFmtId="166" fontId="26" fillId="3" borderId="21" applyAlignment="1" pivotButton="0" quotePrefix="0" xfId="0">
      <alignment horizontal="right"/>
    </xf>
    <xf numFmtId="166" fontId="26" fillId="3" borderId="21" pivotButton="0" quotePrefix="0" xfId="0"/>
    <xf numFmtId="168" fontId="6" fillId="3" borderId="21" applyAlignment="1" pivotButton="0" quotePrefix="0" xfId="0">
      <alignment horizontal="right"/>
    </xf>
    <xf numFmtId="166" fontId="28" fillId="3" borderId="21" pivotButton="0" quotePrefix="0" xfId="0"/>
    <xf numFmtId="178" fontId="0" fillId="3" borderId="21" applyAlignment="1" pivotButton="0" quotePrefix="0" xfId="0">
      <alignment horizontal="right"/>
    </xf>
    <xf numFmtId="193" fontId="0" fillId="3" borderId="21" applyAlignment="1" pivotButton="0" quotePrefix="0" xfId="0">
      <alignment horizontal="right"/>
    </xf>
    <xf numFmtId="180" fontId="0" fillId="3" borderId="21" applyAlignment="1" pivotButton="0" quotePrefix="0" xfId="0">
      <alignment horizontal="right"/>
    </xf>
    <xf numFmtId="169" fontId="26" fillId="3" borderId="21" applyAlignment="1" pivotButton="0" quotePrefix="0" xfId="0">
      <alignment horizontal="right"/>
    </xf>
    <xf numFmtId="169" fontId="26" fillId="3" borderId="26" applyAlignment="1" pivotButton="0" quotePrefix="0" xfId="0">
      <alignment horizontal="right"/>
    </xf>
    <xf numFmtId="165" fontId="29" fillId="3" borderId="21" applyAlignment="1" pivotButton="0" quotePrefix="0" xfId="0">
      <alignment horizontal="right"/>
    </xf>
    <xf numFmtId="165" fontId="6" fillId="3" borderId="21" pivotButton="0" quotePrefix="0" xfId="0"/>
    <xf numFmtId="0" fontId="6" fillId="3" borderId="21" applyAlignment="1" pivotButton="0" quotePrefix="0" xfId="13">
      <alignment horizontal="center"/>
    </xf>
    <xf numFmtId="17" fontId="59" fillId="3" borderId="21" applyAlignment="1" pivotButton="0" quotePrefix="0" xfId="13">
      <alignment horizontal="center"/>
    </xf>
    <xf numFmtId="165" fontId="28" fillId="3" borderId="21" pivotButton="0" quotePrefix="0" xfId="13"/>
    <xf numFmtId="169" fontId="28" fillId="3" borderId="21" pivotButton="0" quotePrefix="0" xfId="13"/>
    <xf numFmtId="169" fontId="26" fillId="3" borderId="21" pivotButton="0" quotePrefix="0" xfId="13"/>
    <xf numFmtId="199" fontId="26" fillId="3" borderId="21" pivotButton="0" quotePrefix="0" xfId="13"/>
    <xf numFmtId="169" fontId="26" fillId="3" borderId="33" pivotButton="0" quotePrefix="0" xfId="13"/>
    <xf numFmtId="169" fontId="28" fillId="3" borderId="33" pivotButton="0" quotePrefix="0" xfId="13"/>
    <xf numFmtId="166" fontId="28" fillId="3" borderId="21" pivotButton="0" quotePrefix="0" xfId="13"/>
    <xf numFmtId="165" fontId="26" fillId="3" borderId="21" pivotButton="0" quotePrefix="0" xfId="13"/>
    <xf numFmtId="17" fontId="34" fillId="3" borderId="21" applyAlignment="1" pivotButton="0" quotePrefix="0" xfId="13">
      <alignment horizontal="center"/>
    </xf>
    <xf numFmtId="164" fontId="27" fillId="3" borderId="21" applyAlignment="1" pivotButton="0" quotePrefix="0" xfId="13">
      <alignment horizontal="center"/>
    </xf>
    <xf numFmtId="168" fontId="26" fillId="3" borderId="21" applyAlignment="1" pivotButton="0" quotePrefix="0" xfId="13">
      <alignment horizontal="right"/>
    </xf>
    <xf numFmtId="169" fontId="26" fillId="3" borderId="35" pivotButton="0" quotePrefix="0" xfId="13"/>
    <xf numFmtId="165" fontId="28" fillId="3" borderId="21" applyAlignment="1" pivotButton="0" quotePrefix="0" xfId="13">
      <alignment horizontal="right"/>
    </xf>
    <xf numFmtId="165" fontId="28" fillId="3" borderId="33" pivotButton="0" quotePrefix="0" xfId="13"/>
    <xf numFmtId="168" fontId="26" fillId="3" borderId="21" pivotButton="0" quotePrefix="0" xfId="13"/>
    <xf numFmtId="165" fontId="26" fillId="3" borderId="21" applyAlignment="1" pivotButton="0" quotePrefix="0" xfId="13">
      <alignment horizontal="center"/>
    </xf>
    <xf numFmtId="165" fontId="26" fillId="3" borderId="35" applyAlignment="1" pivotButton="0" quotePrefix="0" xfId="13">
      <alignment horizontal="right"/>
    </xf>
    <xf numFmtId="165" fontId="26" fillId="3" borderId="21" applyAlignment="1" pivotButton="0" quotePrefix="0" xfId="13">
      <alignment horizontal="right"/>
    </xf>
    <xf numFmtId="174" fontId="26" fillId="3" borderId="21" applyAlignment="1" pivotButton="0" quotePrefix="0" xfId="13">
      <alignment horizontal="right"/>
    </xf>
    <xf numFmtId="166" fontId="26" fillId="3" borderId="21" pivotButton="0" quotePrefix="0" xfId="13"/>
    <xf numFmtId="175" fontId="26" fillId="3" borderId="21" applyAlignment="1" pivotButton="0" quotePrefix="0" xfId="13">
      <alignment horizontal="right"/>
    </xf>
    <xf numFmtId="0" fontId="42" fillId="3" borderId="0" pivotButton="0" quotePrefix="0" xfId="9"/>
    <xf numFmtId="165" fontId="20" fillId="0" borderId="0" pivotButton="0" quotePrefix="0" xfId="0"/>
    <xf numFmtId="0" fontId="20" fillId="0" borderId="0" pivotButton="0" quotePrefix="0" xfId="0"/>
    <xf numFmtId="194" fontId="0" fillId="0" borderId="0" pivotButton="0" quotePrefix="0" xfId="0"/>
    <xf numFmtId="185" fontId="6" fillId="0" borderId="0" pivotButton="0" quotePrefix="0" xfId="0"/>
    <xf numFmtId="185" fontId="0" fillId="0" borderId="0" pivotButton="0" quotePrefix="0" xfId="0"/>
    <xf numFmtId="199" fontId="0" fillId="0" borderId="0" pivotButton="0" quotePrefix="0" xfId="0"/>
    <xf numFmtId="0" fontId="37" fillId="0" borderId="0" pivotButton="0" quotePrefix="0" xfId="13"/>
    <xf numFmtId="0" fontId="59" fillId="0" borderId="0" pivotButton="0" quotePrefix="0" xfId="13"/>
    <xf numFmtId="0" fontId="6" fillId="0" borderId="0" pivotButton="0" quotePrefix="0" xfId="13"/>
    <xf numFmtId="0" fontId="20" fillId="0" borderId="0" pivotButton="0" quotePrefix="0" xfId="13"/>
    <xf numFmtId="165" fontId="59" fillId="0" borderId="0" pivotButton="0" quotePrefix="0" xfId="13"/>
    <xf numFmtId="0" fontId="59" fillId="0" borderId="0" applyAlignment="1" pivotButton="0" quotePrefix="0" xfId="13">
      <alignment horizontal="left"/>
    </xf>
    <xf numFmtId="0" fontId="9" fillId="0" borderId="0" pivotButton="0" quotePrefix="0" xfId="13"/>
    <xf numFmtId="0" fontId="7" fillId="0" borderId="0" applyAlignment="1" pivotButton="0" quotePrefix="0" xfId="13">
      <alignment horizontal="left"/>
    </xf>
    <xf numFmtId="0" fontId="7" fillId="0" borderId="0" applyAlignment="1" pivotButton="0" quotePrefix="0" xfId="13">
      <alignment horizontal="center"/>
    </xf>
    <xf numFmtId="164" fontId="59" fillId="0" borderId="0" pivotButton="0" quotePrefix="0" xfId="13"/>
    <xf numFmtId="168" fontId="6" fillId="0" borderId="0" pivotButton="0" quotePrefix="0" xfId="13"/>
    <xf numFmtId="169" fontId="6" fillId="0" borderId="0" pivotButton="0" quotePrefix="0" xfId="13"/>
    <xf numFmtId="169" fontId="59" fillId="0" borderId="0" pivotButton="0" quotePrefix="0" xfId="13"/>
    <xf numFmtId="164" fontId="6" fillId="0" borderId="0" pivotButton="0" quotePrefix="0" xfId="13"/>
    <xf numFmtId="165" fontId="6" fillId="0" borderId="0" pivotButton="0" quotePrefix="0" xfId="13"/>
    <xf numFmtId="174" fontId="6" fillId="0" borderId="0" pivotButton="0" quotePrefix="0" xfId="13"/>
    <xf numFmtId="166" fontId="6" fillId="0" borderId="0" pivotButton="0" quotePrefix="0" xfId="13"/>
    <xf numFmtId="175" fontId="6" fillId="0" borderId="0" pivotButton="0" quotePrefix="0" xfId="13"/>
    <xf numFmtId="166" fontId="59" fillId="0" borderId="0" pivotButton="0" quotePrefix="0" xfId="13"/>
    <xf numFmtId="199" fontId="6" fillId="0" borderId="0" pivotButton="0" quotePrefix="0" xfId="13"/>
    <xf numFmtId="164" fontId="25" fillId="5" borderId="21" pivotButton="0" quotePrefix="0" xfId="0"/>
    <xf numFmtId="164" fontId="28" fillId="3" borderId="2" pivotButton="0" quotePrefix="0" xfId="0"/>
    <xf numFmtId="164" fontId="28" fillId="3" borderId="33" pivotButton="0" quotePrefix="0" xfId="0"/>
    <xf numFmtId="169" fontId="23" fillId="2" borderId="0" pivotButton="0" quotePrefix="0" xfId="8"/>
    <xf numFmtId="169" fontId="23" fillId="2" borderId="0" applyAlignment="1" pivotButton="0" quotePrefix="0" xfId="8">
      <alignment horizontal="right"/>
    </xf>
    <xf numFmtId="169" fontId="23" fillId="2" borderId="21" applyAlignment="1" pivotButton="0" quotePrefix="0" xfId="8">
      <alignment horizontal="right"/>
    </xf>
    <xf numFmtId="165" fontId="23" fillId="3" borderId="0" pivotButton="0" quotePrefix="0" xfId="11"/>
    <xf numFmtId="164" fontId="23" fillId="3" borderId="0" pivotButton="0" quotePrefix="0" xfId="11"/>
    <xf numFmtId="165" fontId="20" fillId="3" borderId="0" applyAlignment="1" pivotButton="0" quotePrefix="0" xfId="0">
      <alignment horizontal="right"/>
    </xf>
    <xf numFmtId="169" fontId="5" fillId="3" borderId="0" pivotButton="0" quotePrefix="0" xfId="0"/>
    <xf numFmtId="169" fontId="20" fillId="3" borderId="0" pivotButton="0" quotePrefix="0" xfId="0"/>
    <xf numFmtId="169" fontId="21" fillId="3" borderId="0" pivotButton="0" quotePrefix="0" xfId="0"/>
    <xf numFmtId="168" fontId="30" fillId="3" borderId="0" pivotButton="0" quotePrefix="0" xfId="0"/>
    <xf numFmtId="202" fontId="29" fillId="3" borderId="0" pivotButton="0" quotePrefix="0" xfId="0"/>
    <xf numFmtId="178" fontId="26" fillId="3" borderId="0" pivotButton="0" quotePrefix="0" xfId="0"/>
    <xf numFmtId="169" fontId="0" fillId="3" borderId="0" applyAlignment="1" pivotButton="0" quotePrefix="0" xfId="0">
      <alignment horizontal="right"/>
    </xf>
    <xf numFmtId="168" fontId="6" fillId="3" borderId="0" applyAlignment="1" pivotButton="0" quotePrefix="0" xfId="0">
      <alignment horizontal="right"/>
    </xf>
    <xf numFmtId="166" fontId="28" fillId="3" borderId="0" applyAlignment="1" pivotButton="0" quotePrefix="0" xfId="0">
      <alignment horizontal="right"/>
    </xf>
    <xf numFmtId="193" fontId="0" fillId="3" borderId="0" applyAlignment="1" pivotButton="0" quotePrefix="0" xfId="0">
      <alignment horizontal="right"/>
    </xf>
    <xf numFmtId="169" fontId="28" fillId="2" borderId="0" applyAlignment="1" pivotButton="0" quotePrefix="0" xfId="8">
      <alignment horizontal="right"/>
    </xf>
    <xf numFmtId="169" fontId="27" fillId="3" borderId="0" pivotButton="0" quotePrefix="0" xfId="11"/>
    <xf numFmtId="169" fontId="23" fillId="3" borderId="0" pivotButton="0" quotePrefix="0" xfId="11"/>
    <xf numFmtId="14" fontId="27" fillId="3" borderId="0" applyAlignment="1" pivotButton="0" quotePrefix="0" xfId="11">
      <alignment horizontal="right"/>
    </xf>
    <xf numFmtId="0" fontId="27" fillId="3" borderId="0" applyAlignment="1" pivotButton="0" quotePrefix="0" xfId="11">
      <alignment horizontal="right"/>
    </xf>
    <xf numFmtId="169" fontId="23" fillId="3" borderId="0" applyAlignment="1" pivotButton="0" quotePrefix="0" xfId="11">
      <alignment horizontal="right"/>
    </xf>
    <xf numFmtId="165" fontId="23" fillId="3" borderId="0" applyAlignment="1" pivotButton="0" quotePrefix="0" xfId="11">
      <alignment horizontal="right"/>
    </xf>
    <xf numFmtId="17" fontId="23" fillId="3" borderId="0" pivotButton="0" quotePrefix="0" xfId="11"/>
    <xf numFmtId="178" fontId="23" fillId="3" borderId="0" pivotButton="0" quotePrefix="0" xfId="11"/>
    <xf numFmtId="180" fontId="23" fillId="3" borderId="0" pivotButton="0" quotePrefix="0" xfId="11"/>
    <xf numFmtId="164" fontId="26" fillId="3" borderId="0" pivotButton="0" quotePrefix="0" xfId="13"/>
    <xf numFmtId="164" fontId="35" fillId="5" borderId="0" pivotButton="0" quotePrefix="0" xfId="13"/>
    <xf numFmtId="164" fontId="28" fillId="3" borderId="0" pivotButton="0" quotePrefix="0" xfId="13"/>
    <xf numFmtId="164" fontId="28" fillId="3" borderId="21" pivotButton="0" quotePrefix="0" xfId="13"/>
    <xf numFmtId="166" fontId="26" fillId="3" borderId="0" applyAlignment="1" pivotButton="0" quotePrefix="0" xfId="13">
      <alignment horizontal="right"/>
    </xf>
    <xf numFmtId="166" fontId="28" fillId="3" borderId="0" applyAlignment="1" pivotButton="0" quotePrefix="0" xfId="13">
      <alignment horizontal="right"/>
    </xf>
    <xf numFmtId="164" fontId="25" fillId="5" borderId="0" pivotButton="0" quotePrefix="0" xfId="13"/>
    <xf numFmtId="164" fontId="25" fillId="5" borderId="21" pivotButton="0" quotePrefix="0" xfId="13"/>
    <xf numFmtId="17" fontId="59" fillId="3" borderId="0" applyAlignment="1" pivotButton="0" quotePrefix="0" xfId="13">
      <alignment horizontal="center"/>
    </xf>
    <xf numFmtId="199" fontId="28" fillId="3" borderId="0" pivotButton="0" quotePrefix="0" xfId="13"/>
    <xf numFmtId="0" fontId="5" fillId="3" borderId="21" applyAlignment="1" pivotButton="0" quotePrefix="0" xfId="0">
      <alignment horizontal="center"/>
    </xf>
    <xf numFmtId="169" fontId="5" fillId="3" borderId="21" pivotButton="0" quotePrefix="0" xfId="0"/>
    <xf numFmtId="169" fontId="21" fillId="3" borderId="21" pivotButton="0" quotePrefix="0" xfId="0"/>
    <xf numFmtId="169" fontId="33" fillId="3" borderId="21" pivotButton="0" quotePrefix="0" xfId="0"/>
    <xf numFmtId="169" fontId="5" fillId="3" borderId="35" pivotButton="0" quotePrefix="0" xfId="0"/>
    <xf numFmtId="169" fontId="23" fillId="3" borderId="35" applyAlignment="1" pivotButton="0" quotePrefix="0" xfId="0">
      <alignment horizontal="right"/>
    </xf>
    <xf numFmtId="169" fontId="23" fillId="3" borderId="33" applyAlignment="1" pivotButton="0" quotePrefix="0" xfId="0">
      <alignment horizontal="right"/>
    </xf>
    <xf numFmtId="165" fontId="26" fillId="3" borderId="21" pivotButton="0" quotePrefix="0" xfId="1"/>
    <xf numFmtId="169" fontId="0" fillId="3" borderId="27" pivotButton="0" quotePrefix="0" xfId="0"/>
    <xf numFmtId="0" fontId="29" fillId="3" borderId="0" pivotButton="0" quotePrefix="0" xfId="0"/>
    <xf numFmtId="0" fontId="4" fillId="0" borderId="0" pivotButton="0" quotePrefix="0" xfId="9"/>
    <xf numFmtId="169" fontId="5" fillId="3" borderId="40" pivotButton="0" quotePrefix="0" xfId="0"/>
    <xf numFmtId="169" fontId="26" fillId="3" borderId="40" pivotButton="0" quotePrefix="0" xfId="0"/>
    <xf numFmtId="168" fontId="6" fillId="3" borderId="21" pivotButton="0" quotePrefix="0" xfId="0"/>
    <xf numFmtId="164" fontId="46" fillId="5" borderId="0" pivotButton="0" quotePrefix="0" xfId="0"/>
    <xf numFmtId="164" fontId="29" fillId="3" borderId="21" pivotButton="0" quotePrefix="0" xfId="0"/>
    <xf numFmtId="164" fontId="26" fillId="3" borderId="21" pivotButton="0" quotePrefix="0" xfId="0"/>
    <xf numFmtId="164" fontId="28" fillId="3" borderId="35" pivotButton="0" quotePrefix="0" xfId="0"/>
    <xf numFmtId="164" fontId="26" fillId="3" borderId="35" pivotButton="0" quotePrefix="0" xfId="0"/>
    <xf numFmtId="164" fontId="26" fillId="3" borderId="8" pivotButton="0" quotePrefix="0" xfId="0"/>
    <xf numFmtId="164" fontId="26" fillId="3" borderId="6" pivotButton="0" quotePrefix="0" xfId="0"/>
    <xf numFmtId="164" fontId="26" fillId="3" borderId="5" pivotButton="0" quotePrefix="0" xfId="0"/>
    <xf numFmtId="164" fontId="26" fillId="3" borderId="4" pivotButton="0" quotePrefix="0" xfId="0"/>
    <xf numFmtId="164" fontId="23" fillId="2" borderId="21" applyAlignment="1" pivotButton="0" quotePrefix="0" xfId="8">
      <alignment horizontal="right"/>
    </xf>
    <xf numFmtId="164" fontId="28" fillId="3" borderId="11" applyAlignment="1" pivotButton="0" quotePrefix="0" xfId="13">
      <alignment horizontal="right"/>
    </xf>
    <xf numFmtId="164" fontId="28" fillId="3" borderId="27" applyAlignment="1" pivotButton="0" quotePrefix="0" xfId="13">
      <alignment horizontal="right"/>
    </xf>
    <xf numFmtId="164" fontId="26" fillId="3" borderId="21" pivotButton="0" quotePrefix="0" xfId="13"/>
    <xf numFmtId="164" fontId="35" fillId="5" borderId="21" pivotButton="0" quotePrefix="0" xfId="13"/>
    <xf numFmtId="164" fontId="28" fillId="3" borderId="2" pivotButton="0" quotePrefix="0" xfId="13"/>
    <xf numFmtId="164" fontId="28" fillId="3" borderId="33" pivotButton="0" quotePrefix="0" xfId="13"/>
    <xf numFmtId="17" fontId="58" fillId="3" borderId="0" applyAlignment="1" pivotButton="0" quotePrefix="0" xfId="0">
      <alignment horizontal="center"/>
    </xf>
    <xf numFmtId="17" fontId="58" fillId="3" borderId="21" applyAlignment="1" pivotButton="0" quotePrefix="0" xfId="0">
      <alignment horizontal="center"/>
    </xf>
    <xf numFmtId="169" fontId="52" fillId="3" borderId="0" pivotButton="0" quotePrefix="0" xfId="0"/>
    <xf numFmtId="169" fontId="52" fillId="3" borderId="21" pivotButton="0" quotePrefix="0" xfId="0"/>
    <xf numFmtId="165" fontId="57" fillId="3" borderId="0" applyAlignment="1" pivotButton="0" quotePrefix="0" xfId="0">
      <alignment horizontal="right"/>
    </xf>
    <xf numFmtId="169" fontId="52" fillId="3" borderId="7" pivotButton="0" quotePrefix="0" xfId="0"/>
    <xf numFmtId="169" fontId="52" fillId="3" borderId="35" pivotButton="0" quotePrefix="0" xfId="0"/>
    <xf numFmtId="165" fontId="57" fillId="3" borderId="0" pivotButton="0" quotePrefix="0" xfId="0"/>
    <xf numFmtId="164" fontId="52" fillId="3" borderId="2" pivotButton="0" quotePrefix="0" xfId="0"/>
    <xf numFmtId="169" fontId="52" fillId="3" borderId="2" pivotButton="0" quotePrefix="0" xfId="0"/>
    <xf numFmtId="169" fontId="52" fillId="3" borderId="33" pivotButton="0" quotePrefix="0" xfId="0"/>
    <xf numFmtId="169" fontId="56" fillId="3" borderId="0" pivotButton="0" quotePrefix="0" xfId="0"/>
    <xf numFmtId="169" fontId="56" fillId="3" borderId="7" pivotButton="0" quotePrefix="0" xfId="0"/>
    <xf numFmtId="169" fontId="56" fillId="3" borderId="35" pivotButton="0" quotePrefix="0" xfId="0"/>
    <xf numFmtId="194" fontId="57" fillId="3" borderId="0" pivotButton="0" quotePrefix="0" xfId="0"/>
    <xf numFmtId="194" fontId="57" fillId="3" borderId="21" pivotButton="0" quotePrefix="0" xfId="0"/>
    <xf numFmtId="165" fontId="52" fillId="3" borderId="0" pivotButton="0" quotePrefix="0" xfId="0"/>
    <xf numFmtId="165" fontId="52" fillId="3" borderId="21" pivotButton="0" quotePrefix="0" xfId="0"/>
    <xf numFmtId="169" fontId="56" fillId="3" borderId="21" pivotButton="0" quotePrefix="0" xfId="0"/>
    <xf numFmtId="169" fontId="52" fillId="3" borderId="2" applyAlignment="1" pivotButton="0" quotePrefix="0" xfId="0">
      <alignment horizontal="right"/>
    </xf>
    <xf numFmtId="165" fontId="56" fillId="3" borderId="0" pivotButton="0" quotePrefix="0" xfId="1"/>
    <xf numFmtId="165" fontId="56" fillId="3" borderId="0" applyAlignment="1" pivotButton="0" quotePrefix="0" xfId="1">
      <alignment horizontal="right"/>
    </xf>
    <xf numFmtId="202" fontId="57" fillId="3" borderId="0" pivotButton="0" quotePrefix="0" xfId="0"/>
    <xf numFmtId="185" fontId="52" fillId="3" borderId="0" pivotButton="0" quotePrefix="0" xfId="0"/>
    <xf numFmtId="185" fontId="52" fillId="3" borderId="2" pivotButton="0" quotePrefix="0" xfId="0"/>
    <xf numFmtId="185" fontId="52" fillId="3" borderId="21" pivotButton="0" quotePrefix="0" xfId="0"/>
    <xf numFmtId="192" fontId="52" fillId="3" borderId="0" pivotButton="0" quotePrefix="0" xfId="0"/>
    <xf numFmtId="192" fontId="52" fillId="3" borderId="21" pivotButton="0" quotePrefix="0" xfId="0"/>
    <xf numFmtId="199" fontId="52" fillId="3" borderId="0" pivotButton="0" quotePrefix="0" xfId="0"/>
    <xf numFmtId="199" fontId="52" fillId="3" borderId="21" pivotButton="0" quotePrefix="0" xfId="0"/>
    <xf numFmtId="199" fontId="52" fillId="3" borderId="2" pivotButton="0" quotePrefix="0" xfId="0"/>
    <xf numFmtId="199" fontId="52" fillId="3" borderId="33" pivotButton="0" quotePrefix="0" xfId="0"/>
    <xf numFmtId="167" fontId="52" fillId="3" borderId="0" pivotButton="0" quotePrefix="0" xfId="0"/>
    <xf numFmtId="167" fontId="52" fillId="3" borderId="21" pivotButton="0" quotePrefix="0" xfId="0"/>
    <xf numFmtId="178" fontId="56" fillId="3" borderId="0" pivotButton="0" quotePrefix="0" xfId="0"/>
    <xf numFmtId="165" fontId="56" fillId="3" borderId="0" applyAlignment="1" pivotButton="0" quotePrefix="0" xfId="0">
      <alignment horizontal="right"/>
    </xf>
    <xf numFmtId="178" fontId="56" fillId="3" borderId="0" applyAlignment="1" pivotButton="0" quotePrefix="0" xfId="0">
      <alignment horizontal="left"/>
    </xf>
    <xf numFmtId="165" fontId="55" fillId="3" borderId="0" pivotButton="0" quotePrefix="0" xfId="0"/>
    <xf numFmtId="169" fontId="58" fillId="3" borderId="4" pivotButton="0" quotePrefix="0" xfId="11"/>
    <xf numFmtId="169" fontId="58" fillId="3" borderId="1" pivotButton="0" quotePrefix="0" xfId="11"/>
    <xf numFmtId="14" fontId="56" fillId="3" borderId="0" applyAlignment="1" pivotButton="0" quotePrefix="0" xfId="0">
      <alignment horizontal="right"/>
    </xf>
    <xf numFmtId="14" fontId="56" fillId="3" borderId="21" applyAlignment="1" pivotButton="0" quotePrefix="0" xfId="0">
      <alignment horizontal="right"/>
    </xf>
    <xf numFmtId="178" fontId="58" fillId="3" borderId="0" pivotButton="0" quotePrefix="0" xfId="11"/>
    <xf numFmtId="178" fontId="52" fillId="3" borderId="0" pivotButton="0" quotePrefix="0" xfId="0"/>
    <xf numFmtId="178" fontId="52" fillId="3" borderId="21" pivotButton="0" quotePrefix="0" xfId="0"/>
    <xf numFmtId="180" fontId="58" fillId="3" borderId="0" pivotButton="0" quotePrefix="0" xfId="11"/>
    <xf numFmtId="180" fontId="52" fillId="3" borderId="0" pivotButton="0" quotePrefix="0" xfId="0"/>
    <xf numFmtId="180" fontId="52" fillId="3" borderId="21" pivotButton="0" quotePrefix="0" xfId="0"/>
    <xf numFmtId="193" fontId="58" fillId="3" borderId="0" pivotButton="0" quotePrefix="0" xfId="11"/>
    <xf numFmtId="193" fontId="52" fillId="3" borderId="0" pivotButton="0" quotePrefix="0" xfId="0"/>
    <xf numFmtId="193" fontId="52" fillId="3" borderId="21" pivotButton="0" quotePrefix="0" xfId="0"/>
    <xf numFmtId="1" fontId="6" fillId="6" borderId="0" applyAlignment="1" pivotButton="0" quotePrefix="0" xfId="0">
      <alignment horizontal="center"/>
    </xf>
    <xf numFmtId="1" fontId="26" fillId="6" borderId="0" applyAlignment="1" pivotButton="0" quotePrefix="0" xfId="0">
      <alignment horizontal="center"/>
    </xf>
    <xf numFmtId="17" fontId="52" fillId="6" borderId="0" applyAlignment="1" pivotButton="0" quotePrefix="0" xfId="0">
      <alignment horizontal="center"/>
    </xf>
    <xf numFmtId="17" fontId="58" fillId="6" borderId="0" applyAlignment="1" pivotButton="0" quotePrefix="0" xfId="0">
      <alignment horizontal="center"/>
    </xf>
    <xf numFmtId="17" fontId="23" fillId="6" borderId="0" applyAlignment="1" pivotButton="0" quotePrefix="0" xfId="0">
      <alignment horizontal="center"/>
    </xf>
    <xf numFmtId="0" fontId="56" fillId="6" borderId="0" applyAlignment="1" pivotButton="0" quotePrefix="0" xfId="0">
      <alignment horizontal="center"/>
    </xf>
    <xf numFmtId="0" fontId="27" fillId="6" borderId="0" applyAlignment="1" pivotButton="0" quotePrefix="0" xfId="0">
      <alignment horizontal="center"/>
    </xf>
    <xf numFmtId="0" fontId="5" fillId="6" borderId="0" applyAlignment="1" pivotButton="0" quotePrefix="0" xfId="0">
      <alignment horizontal="center"/>
    </xf>
    <xf numFmtId="169" fontId="28" fillId="6" borderId="0" pivotButton="0" quotePrefix="0" xfId="0"/>
    <xf numFmtId="169" fontId="52" fillId="6" borderId="0" pivotButton="0" quotePrefix="0" xfId="0"/>
    <xf numFmtId="169" fontId="0" fillId="6" borderId="0" pivotButton="0" quotePrefix="0" xfId="0"/>
    <xf numFmtId="165" fontId="29" fillId="6" borderId="0" pivotButton="0" quotePrefix="0" xfId="0"/>
    <xf numFmtId="165" fontId="29" fillId="6" borderId="0" applyAlignment="1" pivotButton="0" quotePrefix="0" xfId="0">
      <alignment horizontal="right"/>
    </xf>
    <xf numFmtId="165" fontId="20" fillId="6" borderId="0" applyAlignment="1" pivotButton="0" quotePrefix="0" xfId="0">
      <alignment horizontal="right"/>
    </xf>
    <xf numFmtId="165" fontId="57" fillId="6" borderId="0" applyAlignment="1" pivotButton="0" quotePrefix="0" xfId="0">
      <alignment horizontal="right"/>
    </xf>
    <xf numFmtId="169" fontId="29" fillId="6" borderId="0" pivotButton="0" quotePrefix="0" xfId="0"/>
    <xf numFmtId="169" fontId="28" fillId="6" borderId="7" pivotButton="0" quotePrefix="0" xfId="0"/>
    <xf numFmtId="169" fontId="52" fillId="6" borderId="7" pivotButton="0" quotePrefix="0" xfId="0"/>
    <xf numFmtId="169" fontId="0" fillId="6" borderId="7" pivotButton="0" quotePrefix="0" xfId="0"/>
    <xf numFmtId="169" fontId="28" fillId="6" borderId="2" pivotButton="0" quotePrefix="0" xfId="0"/>
    <xf numFmtId="169" fontId="26" fillId="6" borderId="7" pivotButton="0" quotePrefix="0" xfId="0"/>
    <xf numFmtId="169" fontId="6" fillId="6" borderId="7" pivotButton="0" quotePrefix="0" xfId="0"/>
    <xf numFmtId="169" fontId="29" fillId="6" borderId="0" applyAlignment="1" pivotButton="0" quotePrefix="0" xfId="0">
      <alignment horizontal="right"/>
    </xf>
    <xf numFmtId="169" fontId="26" fillId="6" borderId="0" pivotButton="0" quotePrefix="0" xfId="0"/>
    <xf numFmtId="165" fontId="28" fillId="6" borderId="0" pivotButton="0" quotePrefix="0" xfId="0"/>
    <xf numFmtId="165" fontId="57" fillId="6" borderId="0" pivotButton="0" quotePrefix="0" xfId="0"/>
    <xf numFmtId="169" fontId="28" fillId="6" borderId="9" pivotButton="0" quotePrefix="0" xfId="0"/>
    <xf numFmtId="164" fontId="28" fillId="6" borderId="2" pivotButton="0" quotePrefix="0" xfId="0"/>
    <xf numFmtId="164" fontId="52" fillId="6" borderId="2" pivotButton="0" quotePrefix="0" xfId="0"/>
    <xf numFmtId="169" fontId="52" fillId="6" borderId="2" pivotButton="0" quotePrefix="0" xfId="0"/>
    <xf numFmtId="169" fontId="6" fillId="6" borderId="0" pivotButton="0" quotePrefix="0" xfId="0"/>
    <xf numFmtId="165" fontId="26" fillId="6" borderId="7" pivotButton="0" quotePrefix="0" xfId="0"/>
    <xf numFmtId="164" fontId="28" fillId="6" borderId="0" pivotButton="0" quotePrefix="0" xfId="0"/>
    <xf numFmtId="165" fontId="0" fillId="6" borderId="0" pivotButton="0" quotePrefix="0" xfId="0"/>
    <xf numFmtId="165" fontId="28" fillId="6" borderId="2" pivotButton="0" quotePrefix="0" xfId="0"/>
    <xf numFmtId="165" fontId="6" fillId="6" borderId="7" pivotButton="0" quotePrefix="0" xfId="0"/>
    <xf numFmtId="169" fontId="56" fillId="6" borderId="7" pivotButton="0" quotePrefix="0" xfId="0"/>
    <xf numFmtId="194" fontId="29" fillId="6" borderId="0" pivotButton="0" quotePrefix="0" xfId="0"/>
    <xf numFmtId="194" fontId="57" fillId="6" borderId="0" pivotButton="0" quotePrefix="0" xfId="0"/>
    <xf numFmtId="165" fontId="52" fillId="6" borderId="0" pivotButton="0" quotePrefix="0" xfId="0"/>
    <xf numFmtId="165" fontId="26" fillId="6" borderId="2" applyAlignment="1" pivotButton="0" quotePrefix="0" xfId="0">
      <alignment horizontal="center"/>
    </xf>
    <xf numFmtId="165" fontId="26" fillId="6" borderId="2" pivotButton="0" quotePrefix="0" xfId="0"/>
    <xf numFmtId="165" fontId="26" fillId="6" borderId="0" applyAlignment="1" pivotButton="0" quotePrefix="0" xfId="0">
      <alignment horizontal="center"/>
    </xf>
    <xf numFmtId="165" fontId="26" fillId="6" borderId="0" pivotButton="0" quotePrefix="0" xfId="0"/>
    <xf numFmtId="165" fontId="26" fillId="6" borderId="7" applyAlignment="1" pivotButton="0" quotePrefix="0" xfId="0">
      <alignment horizontal="center"/>
    </xf>
    <xf numFmtId="165" fontId="29" fillId="6" borderId="0" applyAlignment="1" pivotButton="0" quotePrefix="0" xfId="0">
      <alignment horizontal="center"/>
    </xf>
    <xf numFmtId="169" fontId="56" fillId="6" borderId="0" pivotButton="0" quotePrefix="0" xfId="0"/>
    <xf numFmtId="169" fontId="6" fillId="6" borderId="9" pivotButton="0" quotePrefix="0" xfId="0"/>
    <xf numFmtId="169" fontId="26" fillId="6" borderId="9" pivotButton="0" quotePrefix="0" xfId="0"/>
    <xf numFmtId="169" fontId="28" fillId="6" borderId="0" applyAlignment="1" pivotButton="0" quotePrefix="0" xfId="0">
      <alignment horizontal="right"/>
    </xf>
    <xf numFmtId="169" fontId="28" fillId="6" borderId="2" applyAlignment="1" pivotButton="0" quotePrefix="0" xfId="0">
      <alignment horizontal="right"/>
    </xf>
    <xf numFmtId="169" fontId="26" fillId="6" borderId="0" applyAlignment="1" pivotButton="0" quotePrefix="0" xfId="0">
      <alignment horizontal="right"/>
    </xf>
    <xf numFmtId="169" fontId="20" fillId="6" borderId="0" pivotButton="0" quotePrefix="0" xfId="0"/>
    <xf numFmtId="169" fontId="33" fillId="6" borderId="0" applyAlignment="1" pivotButton="0" quotePrefix="0" xfId="0">
      <alignment horizontal="right"/>
    </xf>
    <xf numFmtId="169" fontId="26" fillId="6" borderId="7" applyAlignment="1" pivotButton="0" quotePrefix="0" xfId="0">
      <alignment horizontal="right"/>
    </xf>
    <xf numFmtId="164" fontId="29" fillId="6" borderId="0" pivotButton="0" quotePrefix="0" xfId="0"/>
    <xf numFmtId="164" fontId="29" fillId="6" borderId="0" applyAlignment="1" pivotButton="0" quotePrefix="0" xfId="0">
      <alignment horizontal="right"/>
    </xf>
    <xf numFmtId="164" fontId="26" fillId="6" borderId="0" pivotButton="0" quotePrefix="0" xfId="0"/>
    <xf numFmtId="169" fontId="28" fillId="6" borderId="7" applyAlignment="1" pivotButton="0" quotePrefix="0" xfId="0">
      <alignment horizontal="right"/>
    </xf>
    <xf numFmtId="169" fontId="52" fillId="6" borderId="2" applyAlignment="1" pivotButton="0" quotePrefix="0" xfId="0">
      <alignment horizontal="right"/>
    </xf>
    <xf numFmtId="169" fontId="52" fillId="6" borderId="0" applyAlignment="1" pivotButton="0" quotePrefix="0" xfId="0">
      <alignment horizontal="right"/>
    </xf>
    <xf numFmtId="169" fontId="27" fillId="6" borderId="7" pivotButton="0" quotePrefix="0" xfId="0"/>
    <xf numFmtId="169" fontId="23" fillId="6" borderId="7" applyAlignment="1" pivotButton="0" quotePrefix="0" xfId="0">
      <alignment horizontal="right"/>
    </xf>
    <xf numFmtId="169" fontId="23" fillId="6" borderId="2" applyAlignment="1" pivotButton="0" quotePrefix="0" xfId="0">
      <alignment horizontal="right"/>
    </xf>
    <xf numFmtId="169" fontId="26" fillId="6" borderId="9" applyAlignment="1" pivotButton="0" quotePrefix="0" xfId="0">
      <alignment horizontal="right"/>
    </xf>
    <xf numFmtId="165" fontId="6" fillId="6" borderId="0" pivotButton="0" quotePrefix="0" xfId="1"/>
    <xf numFmtId="165" fontId="26" fillId="6" borderId="0" pivotButton="0" quotePrefix="0" xfId="1"/>
    <xf numFmtId="165" fontId="56" fillId="6" borderId="0" pivotButton="0" quotePrefix="0" xfId="1"/>
    <xf numFmtId="165" fontId="26" fillId="6" borderId="0" applyAlignment="1" pivotButton="0" quotePrefix="0" xfId="1">
      <alignment horizontal="right"/>
    </xf>
    <xf numFmtId="165" fontId="56" fillId="6" borderId="0" applyAlignment="1" pivotButton="0" quotePrefix="0" xfId="1">
      <alignment horizontal="right"/>
    </xf>
    <xf numFmtId="43" fontId="26" fillId="6" borderId="0" pivotButton="0" quotePrefix="0" xfId="0"/>
    <xf numFmtId="168" fontId="6" fillId="6" borderId="0" pivotButton="0" quotePrefix="0" xfId="0"/>
    <xf numFmtId="168" fontId="26" fillId="6" borderId="0" pivotButton="0" quotePrefix="0" xfId="0"/>
    <xf numFmtId="168" fontId="29" fillId="6" borderId="0" pivotButton="0" quotePrefix="0" xfId="0"/>
    <xf numFmtId="168" fontId="29" fillId="6" borderId="0" applyAlignment="1" pivotButton="0" quotePrefix="0" xfId="0">
      <alignment horizontal="right"/>
    </xf>
    <xf numFmtId="192" fontId="28" fillId="6" borderId="0" pivotButton="0" quotePrefix="0" xfId="0"/>
    <xf numFmtId="185" fontId="26" fillId="6" borderId="0" pivotButton="0" quotePrefix="0" xfId="0"/>
    <xf numFmtId="165" fontId="29" fillId="6" borderId="11" pivotButton="0" quotePrefix="0" xfId="0"/>
    <xf numFmtId="202" fontId="29" fillId="6" borderId="0" pivotButton="0" quotePrefix="0" xfId="0"/>
    <xf numFmtId="202" fontId="57" fillId="6" borderId="0" pivotButton="0" quotePrefix="0" xfId="0"/>
    <xf numFmtId="185" fontId="52" fillId="6" borderId="0" pivotButton="0" quotePrefix="0" xfId="0"/>
    <xf numFmtId="185" fontId="28" fillId="6" borderId="0" pivotButton="0" quotePrefix="0" xfId="0"/>
    <xf numFmtId="185" fontId="52" fillId="6" borderId="2" pivotButton="0" quotePrefix="0" xfId="0"/>
    <xf numFmtId="185" fontId="28" fillId="6" borderId="2" pivotButton="0" quotePrefix="0" xfId="0"/>
    <xf numFmtId="185" fontId="56" fillId="6" borderId="0" pivotButton="0" quotePrefix="0" xfId="0"/>
    <xf numFmtId="192" fontId="52" fillId="6" borderId="0" pivotButton="0" quotePrefix="0" xfId="0"/>
    <xf numFmtId="199" fontId="28" fillId="6" borderId="0" pivotButton="0" quotePrefix="0" xfId="0"/>
    <xf numFmtId="199" fontId="28" fillId="6" borderId="2" pivotButton="0" quotePrefix="0" xfId="0"/>
    <xf numFmtId="164" fontId="28" fillId="6" borderId="7" pivotButton="0" quotePrefix="0" xfId="0"/>
    <xf numFmtId="165" fontId="33" fillId="6" borderId="0" pivotButton="0" quotePrefix="0" xfId="0"/>
    <xf numFmtId="198" fontId="28" fillId="6" borderId="0" applyAlignment="1" pivotButton="0" quotePrefix="0" xfId="0">
      <alignment horizontal="center"/>
    </xf>
    <xf numFmtId="169" fontId="49" fillId="6" borderId="0" applyAlignment="1" pivotButton="0" quotePrefix="0" xfId="0">
      <alignment horizontal="right"/>
    </xf>
    <xf numFmtId="165" fontId="29" fillId="6" borderId="2" pivotButton="0" quotePrefix="0" xfId="0"/>
    <xf numFmtId="165" fontId="33" fillId="6" borderId="7" pivotButton="0" quotePrefix="0" xfId="0"/>
    <xf numFmtId="164" fontId="26" fillId="6" borderId="7" pivotButton="0" quotePrefix="0" xfId="0"/>
    <xf numFmtId="169" fontId="33" fillId="6" borderId="7" pivotButton="0" quotePrefix="0" xfId="0"/>
    <xf numFmtId="169" fontId="29" fillId="6" borderId="2" pivotButton="0" quotePrefix="0" xfId="0"/>
    <xf numFmtId="164" fontId="28" fillId="6" borderId="11" pivotButton="0" quotePrefix="0" xfId="0"/>
    <xf numFmtId="168" fontId="26" fillId="6" borderId="0" applyAlignment="1" pivotButton="0" quotePrefix="0" xfId="2">
      <alignment horizontal="right" indent="1"/>
    </xf>
    <xf numFmtId="168" fontId="26" fillId="6" borderId="0" pivotButton="0" quotePrefix="0" xfId="2"/>
    <xf numFmtId="168" fontId="30" fillId="6" borderId="0" applyAlignment="1" pivotButton="0" quotePrefix="0" xfId="2">
      <alignment horizontal="right"/>
    </xf>
    <xf numFmtId="169" fontId="30" fillId="6" borderId="0" applyAlignment="1" pivotButton="0" quotePrefix="0" xfId="0">
      <alignment horizontal="right"/>
    </xf>
    <xf numFmtId="167" fontId="52" fillId="6" borderId="0" pivotButton="0" quotePrefix="0" xfId="0"/>
    <xf numFmtId="167" fontId="28" fillId="6" borderId="0" pivotButton="0" quotePrefix="0" xfId="0"/>
    <xf numFmtId="178" fontId="26" fillId="6" borderId="0" pivotButton="0" quotePrefix="0" xfId="0"/>
    <xf numFmtId="178" fontId="56" fillId="6" borderId="0" pivotButton="0" quotePrefix="0" xfId="0"/>
    <xf numFmtId="169" fontId="0" fillId="6" borderId="11" pivotButton="0" quotePrefix="0" xfId="0"/>
    <xf numFmtId="169" fontId="28" fillId="6" borderId="11" pivotButton="0" quotePrefix="0" xfId="0"/>
    <xf numFmtId="169" fontId="0" fillId="6" borderId="0" applyAlignment="1" pivotButton="0" quotePrefix="0" xfId="0">
      <alignment horizontal="right"/>
    </xf>
    <xf numFmtId="165" fontId="26" fillId="6" borderId="0" applyAlignment="1" pivotButton="0" quotePrefix="0" xfId="0">
      <alignment horizontal="right"/>
    </xf>
    <xf numFmtId="165" fontId="6" fillId="6" borderId="0" applyAlignment="1" pivotButton="0" quotePrefix="0" xfId="0">
      <alignment horizontal="right"/>
    </xf>
    <xf numFmtId="165" fontId="56" fillId="6" borderId="0" applyAlignment="1" pivotButton="0" quotePrefix="0" xfId="0">
      <alignment horizontal="right"/>
    </xf>
    <xf numFmtId="166" fontId="26" fillId="6" borderId="0" applyAlignment="1" pivotButton="0" quotePrefix="0" xfId="0">
      <alignment horizontal="right"/>
    </xf>
    <xf numFmtId="166" fontId="6" fillId="6" borderId="0" applyAlignment="1" pivotButton="0" quotePrefix="0" xfId="0">
      <alignment horizontal="right"/>
    </xf>
    <xf numFmtId="0" fontId="28" fillId="6" borderId="0" pivotButton="0" quotePrefix="0" xfId="0"/>
    <xf numFmtId="168" fontId="6" fillId="6" borderId="0" applyAlignment="1" pivotButton="0" quotePrefix="0" xfId="0">
      <alignment horizontal="right"/>
    </xf>
    <xf numFmtId="166" fontId="28" fillId="6" borderId="0" applyAlignment="1" pivotButton="0" quotePrefix="0" xfId="0">
      <alignment horizontal="right"/>
    </xf>
    <xf numFmtId="166" fontId="0" fillId="6" borderId="0" applyAlignment="1" pivotButton="0" quotePrefix="0" xfId="0">
      <alignment horizontal="right"/>
    </xf>
    <xf numFmtId="165" fontId="0" fillId="6" borderId="0" applyAlignment="1" pivotButton="0" quotePrefix="0" xfId="0">
      <alignment horizontal="right"/>
    </xf>
    <xf numFmtId="165" fontId="28" fillId="6" borderId="0" applyAlignment="1" pivotButton="0" quotePrefix="0" xfId="0">
      <alignment horizontal="right"/>
    </xf>
    <xf numFmtId="178" fontId="0" fillId="6" borderId="0" applyAlignment="1" pivotButton="0" quotePrefix="0" xfId="0">
      <alignment horizontal="right"/>
    </xf>
    <xf numFmtId="178" fontId="0" fillId="6" borderId="0" pivotButton="0" quotePrefix="0" xfId="0"/>
    <xf numFmtId="178" fontId="28" fillId="6" borderId="0" pivotButton="0" quotePrefix="0" xfId="0"/>
    <xf numFmtId="193" fontId="0" fillId="6" borderId="0" applyAlignment="1" pivotButton="0" quotePrefix="0" xfId="0">
      <alignment horizontal="right"/>
    </xf>
    <xf numFmtId="193" fontId="0" fillId="6" borderId="0" pivotButton="0" quotePrefix="0" xfId="0"/>
    <xf numFmtId="193" fontId="28" fillId="6" borderId="0" pivotButton="0" quotePrefix="0" xfId="0"/>
    <xf numFmtId="180" fontId="0" fillId="6" borderId="0" applyAlignment="1" pivotButton="0" quotePrefix="0" xfId="0">
      <alignment horizontal="right"/>
    </xf>
    <xf numFmtId="180" fontId="0" fillId="6" borderId="0" pivotButton="0" quotePrefix="0" xfId="0"/>
    <xf numFmtId="180" fontId="28" fillId="6" borderId="0" pivotButton="0" quotePrefix="0" xfId="0"/>
    <xf numFmtId="169" fontId="26" fillId="6" borderId="10" applyAlignment="1" pivotButton="0" quotePrefix="0" xfId="0">
      <alignment horizontal="right"/>
    </xf>
    <xf numFmtId="165" fontId="6" fillId="6" borderId="0" pivotButton="0" quotePrefix="0" xfId="0"/>
    <xf numFmtId="165" fontId="55" fillId="6" borderId="0" pivotButton="0" quotePrefix="0" xfId="0"/>
    <xf numFmtId="17" fontId="33" fillId="6" borderId="0" applyAlignment="1" pivotButton="0" quotePrefix="0" xfId="13">
      <alignment horizontal="center"/>
    </xf>
    <xf numFmtId="17" fontId="34" fillId="6" borderId="0" applyAlignment="1" pivotButton="0" quotePrefix="0" xfId="13">
      <alignment horizontal="center"/>
    </xf>
    <xf numFmtId="164" fontId="27" fillId="6" borderId="0" applyAlignment="1" pivotButton="0" quotePrefix="0" xfId="13">
      <alignment horizontal="center"/>
    </xf>
    <xf numFmtId="168" fontId="26" fillId="6" borderId="0" applyAlignment="1" pivotButton="0" quotePrefix="0" xfId="13">
      <alignment horizontal="right"/>
    </xf>
    <xf numFmtId="168" fontId="26" fillId="6" borderId="0" pivotButton="0" quotePrefix="0" xfId="13"/>
    <xf numFmtId="164" fontId="28" fillId="6" borderId="11" applyAlignment="1" pivotButton="0" quotePrefix="0" xfId="13">
      <alignment horizontal="right"/>
    </xf>
    <xf numFmtId="164" fontId="28" fillId="6" borderId="11" pivotButton="0" quotePrefix="0" xfId="13"/>
    <xf numFmtId="169" fontId="26" fillId="6" borderId="0" pivotButton="0" quotePrefix="0" xfId="13"/>
    <xf numFmtId="169" fontId="28" fillId="6" borderId="0" pivotButton="0" quotePrefix="0" xfId="13"/>
    <xf numFmtId="169" fontId="26" fillId="6" borderId="7" pivotButton="0" quotePrefix="0" xfId="13"/>
    <xf numFmtId="164" fontId="26" fillId="6" borderId="0" pivotButton="0" quotePrefix="0" xfId="13"/>
    <xf numFmtId="165" fontId="28" fillId="6" borderId="0" applyAlignment="1" pivotButton="0" quotePrefix="0" xfId="13">
      <alignment horizontal="right"/>
    </xf>
    <xf numFmtId="165" fontId="28" fillId="6" borderId="2" pivotButton="0" quotePrefix="0" xfId="13"/>
    <xf numFmtId="165" fontId="26" fillId="6" borderId="0" pivotButton="0" quotePrefix="0" xfId="13"/>
    <xf numFmtId="169" fontId="28" fillId="6" borderId="2" pivotButton="0" quotePrefix="0" xfId="13"/>
    <xf numFmtId="165" fontId="26" fillId="6" borderId="7" applyAlignment="1" pivotButton="0" quotePrefix="0" xfId="13">
      <alignment horizontal="right"/>
    </xf>
    <xf numFmtId="165" fontId="26" fillId="6" borderId="0" applyAlignment="1" pivotButton="0" quotePrefix="0" xfId="13">
      <alignment horizontal="right"/>
    </xf>
    <xf numFmtId="174" fontId="26" fillId="6" borderId="0" applyAlignment="1" pivotButton="0" quotePrefix="0" xfId="13">
      <alignment horizontal="right"/>
    </xf>
    <xf numFmtId="166" fontId="26" fillId="6" borderId="0" applyAlignment="1" pivotButton="0" quotePrefix="0" xfId="13">
      <alignment horizontal="right"/>
    </xf>
    <xf numFmtId="175" fontId="26" fillId="6" borderId="0" applyAlignment="1" pivotButton="0" quotePrefix="0" xfId="13">
      <alignment horizontal="right"/>
    </xf>
    <xf numFmtId="166" fontId="28" fillId="6" borderId="0" applyAlignment="1" pivotButton="0" quotePrefix="0" xfId="13">
      <alignment horizontal="right"/>
    </xf>
    <xf numFmtId="0" fontId="54" fillId="3" borderId="0" applyAlignment="1" pivotButton="0" quotePrefix="0" xfId="13">
      <alignment horizontal="center"/>
    </xf>
    <xf numFmtId="0" fontId="54" fillId="3" borderId="21" applyAlignment="1" pivotButton="0" quotePrefix="0" xfId="13">
      <alignment horizontal="center"/>
    </xf>
    <xf numFmtId="169" fontId="53" fillId="3" borderId="0" pivotButton="0" quotePrefix="0" xfId="13"/>
    <xf numFmtId="169" fontId="53" fillId="3" borderId="21" pivotButton="0" quotePrefix="0" xfId="13"/>
    <xf numFmtId="0" fontId="6" fillId="6" borderId="0" applyAlignment="1" pivotButton="0" quotePrefix="0" xfId="13">
      <alignment horizontal="center"/>
    </xf>
    <xf numFmtId="0" fontId="26" fillId="6" borderId="0" applyAlignment="1" pivotButton="0" quotePrefix="0" xfId="13">
      <alignment horizontal="center"/>
    </xf>
    <xf numFmtId="17" fontId="59" fillId="6" borderId="0" applyAlignment="1" pivotButton="0" quotePrefix="0" xfId="13">
      <alignment horizontal="center"/>
    </xf>
    <xf numFmtId="17" fontId="28" fillId="6" borderId="0" applyAlignment="1" pivotButton="0" quotePrefix="0" xfId="13">
      <alignment horizontal="center"/>
    </xf>
    <xf numFmtId="0" fontId="54" fillId="6" borderId="0" applyAlignment="1" pivotButton="0" quotePrefix="0" xfId="13">
      <alignment horizontal="center"/>
    </xf>
    <xf numFmtId="164" fontId="52" fillId="6" borderId="0" pivotButton="0" quotePrefix="0" xfId="13"/>
    <xf numFmtId="164" fontId="28" fillId="6" borderId="2" pivotButton="0" quotePrefix="0" xfId="13"/>
    <xf numFmtId="164" fontId="52" fillId="6" borderId="2" pivotButton="0" quotePrefix="0" xfId="13"/>
    <xf numFmtId="169" fontId="53" fillId="6" borderId="0" pivotButton="0" quotePrefix="0" xfId="13"/>
    <xf numFmtId="169" fontId="52" fillId="6" borderId="0" pivotButton="0" quotePrefix="0" xfId="13"/>
    <xf numFmtId="199" fontId="26" fillId="6" borderId="0" pivotButton="0" quotePrefix="0" xfId="13"/>
    <xf numFmtId="199" fontId="52" fillId="6" borderId="0" pivotButton="0" quotePrefix="0" xfId="13"/>
    <xf numFmtId="199" fontId="28" fillId="6" borderId="0" pivotButton="0" quotePrefix="0" xfId="13"/>
    <xf numFmtId="169" fontId="26" fillId="6" borderId="2" pivotButton="0" quotePrefix="0" xfId="13"/>
    <xf numFmtId="169" fontId="26" fillId="6" borderId="10" pivotButton="0" quotePrefix="0" xfId="13"/>
    <xf numFmtId="169" fontId="52" fillId="6" borderId="2" pivotButton="0" quotePrefix="0" xfId="13"/>
    <xf numFmtId="169" fontId="28" fillId="6" borderId="10" pivotButton="0" quotePrefix="0" xfId="13"/>
    <xf numFmtId="166" fontId="28" fillId="6" borderId="0" pivotButton="0" quotePrefix="0" xfId="13"/>
    <xf numFmtId="166" fontId="52" fillId="6" borderId="0" pivotButton="0" quotePrefix="0" xfId="13"/>
    <xf numFmtId="165" fontId="52" fillId="6" borderId="0" pivotButton="0" quotePrefix="0" xfId="13"/>
    <xf numFmtId="0" fontId="61" fillId="0" borderId="0" pivotButton="0" quotePrefix="0" xfId="0"/>
    <xf numFmtId="0" fontId="62" fillId="0" borderId="0" pivotButton="0" quotePrefix="0" xfId="0"/>
    <xf numFmtId="0" fontId="63" fillId="0" borderId="0" applyAlignment="1" pivotButton="0" quotePrefix="0" xfId="0">
      <alignment horizontal="center"/>
    </xf>
    <xf numFmtId="0" fontId="64" fillId="0" borderId="0" pivotButton="0" quotePrefix="0" xfId="0"/>
    <xf numFmtId="0" fontId="66" fillId="0" borderId="0" pivotButton="0" quotePrefix="0" xfId="0"/>
    <xf numFmtId="10" fontId="67" fillId="0" borderId="0" pivotButton="0" quotePrefix="0" xfId="0"/>
    <xf numFmtId="0" fontId="68" fillId="0" borderId="0" pivotButton="0" quotePrefix="0" xfId="0"/>
    <xf numFmtId="0" fontId="65" fillId="0" borderId="0" pivotButton="0" quotePrefix="0" xfId="0"/>
    <xf numFmtId="0" fontId="66" fillId="0" borderId="42" applyAlignment="1" pivotButton="0" quotePrefix="0" xfId="0">
      <alignment horizontal="center"/>
    </xf>
    <xf numFmtId="2" fontId="67" fillId="0" borderId="0" pivotButton="0" quotePrefix="0" xfId="0"/>
    <xf numFmtId="0" fontId="70" fillId="0" borderId="0" pivotButton="0" quotePrefix="0" xfId="0"/>
    <xf numFmtId="179" fontId="67" fillId="0" borderId="0" pivotButton="0" quotePrefix="0" xfId="0"/>
    <xf numFmtId="0" fontId="69" fillId="0" borderId="0" pivotButton="0" quotePrefix="0" xfId="0"/>
    <xf numFmtId="169" fontId="71" fillId="0" borderId="0" pivotButton="0" quotePrefix="0" xfId="0"/>
    <xf numFmtId="2" fontId="69" fillId="0" borderId="0" pivotButton="0" quotePrefix="0" xfId="0"/>
    <xf numFmtId="179" fontId="71" fillId="0" borderId="0" pivotButton="0" quotePrefix="0" xfId="0"/>
    <xf numFmtId="10" fontId="69" fillId="0" borderId="0" pivotButton="0" quotePrefix="0" xfId="0"/>
    <xf numFmtId="9" fontId="67" fillId="0" borderId="0" pivotButton="0" quotePrefix="0" xfId="0"/>
    <xf numFmtId="179" fontId="69" fillId="0" borderId="0" pivotButton="0" quotePrefix="0" xfId="0"/>
    <xf numFmtId="203" fontId="71" fillId="0" borderId="0" pivotButton="0" quotePrefix="0" xfId="0"/>
    <xf numFmtId="0" fontId="72" fillId="0" borderId="0" pivotButton="0" quotePrefix="0" xfId="0"/>
    <xf numFmtId="169" fontId="72" fillId="0" borderId="42" pivotButton="0" quotePrefix="0" xfId="0"/>
    <xf numFmtId="3" fontId="71" fillId="0" borderId="0" pivotButton="0" quotePrefix="0" xfId="0"/>
    <xf numFmtId="179" fontId="72" fillId="0" borderId="0" pivotButton="0" quotePrefix="0" xfId="0"/>
    <xf numFmtId="169" fontId="69" fillId="0" borderId="0" pivotButton="0" quotePrefix="0" xfId="0"/>
    <xf numFmtId="0" fontId="66" fillId="0" borderId="43" pivotButton="0" quotePrefix="0" xfId="0"/>
    <xf numFmtId="169" fontId="66" fillId="0" borderId="43" pivotButton="0" quotePrefix="0" xfId="0"/>
    <xf numFmtId="180" fontId="69" fillId="0" borderId="0" pivotButton="0" quotePrefix="0" xfId="0"/>
    <xf numFmtId="181" fontId="69" fillId="0" borderId="0" pivotButton="0" quotePrefix="0" xfId="0"/>
    <xf numFmtId="0" fontId="73" fillId="0" borderId="0" pivotButton="0" quotePrefix="0" xfId="0"/>
    <xf numFmtId="181" fontId="69" fillId="0" borderId="43" pivotButton="0" quotePrefix="0" xfId="0"/>
    <xf numFmtId="181" fontId="71" fillId="0" borderId="0" pivotButton="0" quotePrefix="0" xfId="0"/>
    <xf numFmtId="185" fontId="69" fillId="0" borderId="43" pivotButton="0" quotePrefix="0" xfId="0"/>
    <xf numFmtId="185" fontId="71" fillId="0" borderId="0" pivotButton="0" quotePrefix="0" xfId="0"/>
    <xf numFmtId="0" fontId="74" fillId="0" borderId="0" pivotButton="0" quotePrefix="0" xfId="0"/>
    <xf numFmtId="179" fontId="74" fillId="0" borderId="0" pivotButton="0" quotePrefix="0" xfId="0"/>
    <xf numFmtId="0" fontId="66" fillId="0" borderId="42" pivotButton="0" quotePrefix="0" xfId="0"/>
    <xf numFmtId="169" fontId="69" fillId="0" borderId="42" pivotButton="0" quotePrefix="0" xfId="0"/>
    <xf numFmtId="3" fontId="0" fillId="0" borderId="0" pivotButton="0" quotePrefix="0" xfId="0"/>
    <xf numFmtId="204" fontId="0" fillId="0" borderId="0" pivotButton="0" quotePrefix="0" xfId="0"/>
    <xf numFmtId="0" fontId="63" fillId="0" borderId="0" pivotButton="0" quotePrefix="0" xfId="0"/>
    <xf numFmtId="205" fontId="0" fillId="9" borderId="0" pivotButton="0" quotePrefix="0" xfId="0"/>
    <xf numFmtId="3" fontId="75" fillId="0" borderId="0" pivotButton="0" quotePrefix="0" xfId="0"/>
    <xf numFmtId="3" fontId="66" fillId="0" borderId="0" pivotButton="0" quotePrefix="0" xfId="0"/>
    <xf numFmtId="204" fontId="75" fillId="0" borderId="0" pivotButton="0" quotePrefix="0" xfId="0"/>
    <xf numFmtId="204" fontId="66" fillId="0" borderId="0" pivotButton="0" quotePrefix="0" xfId="0"/>
    <xf numFmtId="206" fontId="0" fillId="0" borderId="0" pivotButton="0" quotePrefix="0" xfId="0"/>
    <xf numFmtId="3" fontId="0" fillId="9" borderId="0" pivotButton="0" quotePrefix="0" xfId="0"/>
    <xf numFmtId="204" fontId="76" fillId="0" borderId="0" pivotButton="0" quotePrefix="0" xfId="0"/>
    <xf numFmtId="206" fontId="76" fillId="0" borderId="0" pivotButton="0" quotePrefix="0" xfId="0"/>
    <xf numFmtId="0" fontId="2" fillId="3" borderId="0" applyAlignment="1" pivotButton="0" quotePrefix="1" xfId="12">
      <alignment horizontal="left" vertical="top" wrapText="1"/>
    </xf>
    <xf numFmtId="0" fontId="2" fillId="0" borderId="0" pivotButton="0" quotePrefix="0" xfId="12"/>
    <xf numFmtId="0" fontId="16" fillId="0" borderId="0" pivotButton="0" quotePrefix="0" xfId="12"/>
    <xf numFmtId="0" fontId="11" fillId="3" borderId="0" applyAlignment="1" pivotButton="0" quotePrefix="0" xfId="12">
      <alignment horizontal="center"/>
    </xf>
    <xf numFmtId="0" fontId="45" fillId="3" borderId="36" applyAlignment="1" pivotButton="0" quotePrefix="0" xfId="12">
      <alignment vertical="top" wrapText="1"/>
    </xf>
    <xf numFmtId="0" fontId="0" fillId="0" borderId="7" pivotButton="0" quotePrefix="0" xfId="0"/>
    <xf numFmtId="0" fontId="0" fillId="0" borderId="6" pivotButton="0" quotePrefix="0" xfId="0"/>
    <xf numFmtId="0" fontId="0" fillId="0" borderId="5" pivotButton="0" quotePrefix="0" xfId="0"/>
    <xf numFmtId="0" fontId="0" fillId="0" borderId="4" pivotButton="0" quotePrefix="0" xfId="0"/>
    <xf numFmtId="0" fontId="0" fillId="0" borderId="3" pivotButton="0" quotePrefix="0" xfId="0"/>
    <xf numFmtId="0" fontId="0" fillId="0" borderId="41" pivotButton="0" quotePrefix="0" xfId="0"/>
    <xf numFmtId="0" fontId="0" fillId="0" borderId="1" pivotButton="0" quotePrefix="0" xfId="0"/>
    <xf numFmtId="191" fontId="16" fillId="3" borderId="0" pivotButton="0" quotePrefix="0" xfId="12"/>
    <xf numFmtId="0" fontId="0" fillId="0" borderId="42" pivotButton="0" quotePrefix="0" xfId="0"/>
    <xf numFmtId="0" fontId="77" fillId="0" borderId="0" pivotButton="0" quotePrefix="0" xfId="0"/>
    <xf numFmtId="0" fontId="78" fillId="0" borderId="0" pivotButton="0" quotePrefix="0" xfId="0"/>
    <xf numFmtId="0" fontId="79" fillId="0" borderId="0" pivotButton="0" quotePrefix="0" xfId="0"/>
    <xf numFmtId="3" fontId="80" fillId="0" borderId="0" pivotButton="0" quotePrefix="0" xfId="0"/>
    <xf numFmtId="207" fontId="0" fillId="0" borderId="0" pivotButton="0" quotePrefix="0" xfId="0"/>
    <xf numFmtId="0" fontId="81" fillId="0" borderId="0" pivotButton="0" quotePrefix="0" xfId="0"/>
    <xf numFmtId="208" fontId="0" fillId="10" borderId="0" pivotButton="0" quotePrefix="0" xfId="0"/>
    <xf numFmtId="3" fontId="82" fillId="0" borderId="0" pivotButton="0" quotePrefix="0" xfId="0"/>
    <xf numFmtId="3" fontId="78" fillId="0" borderId="0" pivotButton="0" quotePrefix="0" xfId="0"/>
    <xf numFmtId="207" fontId="82" fillId="0" borderId="0" pivotButton="0" quotePrefix="0" xfId="0"/>
    <xf numFmtId="207" fontId="78" fillId="0" borderId="0" pivotButton="0" quotePrefix="0" xfId="0"/>
    <xf numFmtId="209" fontId="0" fillId="0" borderId="0" pivotButton="0" quotePrefix="0" xfId="0"/>
    <xf numFmtId="3" fontId="0" fillId="10" borderId="0" pivotButton="0" quotePrefix="0" xfId="0"/>
    <xf numFmtId="207" fontId="83" fillId="0" borderId="0" pivotButton="0" quotePrefix="0" xfId="0"/>
    <xf numFmtId="209" fontId="83" fillId="0" borderId="0" pivotButton="0" quotePrefix="0" xfId="0"/>
    <xf numFmtId="203" fontId="71" fillId="0" borderId="0" pivotButton="0" quotePrefix="0" xfId="0"/>
    <xf numFmtId="185" fontId="69" fillId="0" borderId="43" pivotButton="0" quotePrefix="0" xfId="0"/>
    <xf numFmtId="185" fontId="71" fillId="0" borderId="0" pivotButton="0" quotePrefix="0" xfId="0"/>
    <xf numFmtId="194" fontId="0" fillId="0" borderId="0" pivotButton="0" quotePrefix="0" xfId="0"/>
    <xf numFmtId="194" fontId="29" fillId="3" borderId="0" applyAlignment="1" pivotButton="0" quotePrefix="0" xfId="0">
      <alignment horizontal="left"/>
    </xf>
    <xf numFmtId="194" fontId="29" fillId="3" borderId="0" applyAlignment="1" pivotButton="0" quotePrefix="0" xfId="0">
      <alignment horizontal="left" indent="4"/>
    </xf>
    <xf numFmtId="194" fontId="29" fillId="6" borderId="0" pivotButton="0" quotePrefix="0" xfId="0"/>
    <xf numFmtId="194" fontId="29" fillId="3" borderId="0" pivotButton="0" quotePrefix="0" xfId="0"/>
    <xf numFmtId="194" fontId="57" fillId="3" borderId="0" pivotButton="0" quotePrefix="0" xfId="0"/>
    <xf numFmtId="194" fontId="57" fillId="6" borderId="0" pivotButton="0" quotePrefix="0" xfId="0"/>
    <xf numFmtId="194" fontId="57" fillId="3" borderId="21" pivotButton="0" quotePrefix="0" xfId="0"/>
    <xf numFmtId="194" fontId="0" fillId="3" borderId="0" pivotButton="0" quotePrefix="0" xfId="0"/>
    <xf numFmtId="192" fontId="28" fillId="6" borderId="0" pivotButton="0" quotePrefix="0" xfId="0"/>
    <xf numFmtId="192" fontId="28" fillId="3" borderId="0" pivotButton="0" quotePrefix="0" xfId="0"/>
    <xf numFmtId="192" fontId="28" fillId="3" borderId="21" pivotButton="0" quotePrefix="0" xfId="0"/>
    <xf numFmtId="185" fontId="6" fillId="0" borderId="0" pivotButton="0" quotePrefix="0" xfId="0"/>
    <xf numFmtId="185" fontId="26" fillId="3" borderId="0" applyAlignment="1" pivotButton="0" quotePrefix="0" xfId="0">
      <alignment horizontal="left"/>
    </xf>
    <xf numFmtId="185" fontId="26" fillId="3" borderId="0" applyAlignment="1" pivotButton="0" quotePrefix="0" xfId="0">
      <alignment horizontal="left" indent="3"/>
    </xf>
    <xf numFmtId="185" fontId="26" fillId="6" borderId="0" pivotButton="0" quotePrefix="0" xfId="0"/>
    <xf numFmtId="185" fontId="26" fillId="3" borderId="0" pivotButton="0" quotePrefix="0" xfId="0"/>
    <xf numFmtId="185" fontId="26" fillId="3" borderId="21" pivotButton="0" quotePrefix="0" xfId="0"/>
    <xf numFmtId="185" fontId="6" fillId="3" borderId="0" pivotButton="0" quotePrefix="0" xfId="0"/>
    <xf numFmtId="202" fontId="29" fillId="6" borderId="0" pivotButton="0" quotePrefix="0" xfId="0"/>
    <xf numFmtId="202" fontId="29" fillId="3" borderId="0" pivotButton="0" quotePrefix="0" xfId="0"/>
    <xf numFmtId="202" fontId="29" fillId="3" borderId="21" pivotButton="0" quotePrefix="0" xfId="0"/>
    <xf numFmtId="202" fontId="57" fillId="3" borderId="0" pivotButton="0" quotePrefix="0" xfId="0"/>
    <xf numFmtId="202" fontId="57" fillId="6" borderId="0" pivotButton="0" quotePrefix="0" xfId="0"/>
    <xf numFmtId="185" fontId="0" fillId="0" borderId="0" pivotButton="0" quotePrefix="0" xfId="0"/>
    <xf numFmtId="185" fontId="28" fillId="3" borderId="0" applyAlignment="1" pivotButton="0" quotePrefix="0" xfId="0">
      <alignment horizontal="left" indent="1"/>
    </xf>
    <xf numFmtId="185" fontId="28" fillId="3" borderId="0" applyAlignment="1" pivotButton="0" quotePrefix="0" xfId="0">
      <alignment horizontal="left" indent="3"/>
    </xf>
    <xf numFmtId="185" fontId="52" fillId="6" borderId="0" pivotButton="0" quotePrefix="0" xfId="0"/>
    <xf numFmtId="185" fontId="52" fillId="3" borderId="0" pivotButton="0" quotePrefix="0" xfId="0"/>
    <xf numFmtId="185" fontId="28" fillId="3" borderId="0" pivotButton="0" quotePrefix="0" xfId="0"/>
    <xf numFmtId="185" fontId="28" fillId="6" borderId="0" pivotButton="0" quotePrefix="0" xfId="0"/>
    <xf numFmtId="185" fontId="28" fillId="3" borderId="21" pivotButton="0" quotePrefix="0" xfId="0"/>
    <xf numFmtId="185" fontId="0" fillId="3" borderId="0" pivotButton="0" quotePrefix="0" xfId="0"/>
    <xf numFmtId="185" fontId="28" fillId="3" borderId="0" applyAlignment="1" pivotButton="0" quotePrefix="0" xfId="0">
      <alignment horizontal="left" indent="2"/>
    </xf>
    <xf numFmtId="185" fontId="28" fillId="3" borderId="2" applyAlignment="1" pivotButton="0" quotePrefix="0" xfId="0">
      <alignment horizontal="left" indent="2"/>
    </xf>
    <xf numFmtId="185" fontId="28" fillId="3" borderId="2" applyAlignment="1" pivotButton="0" quotePrefix="0" xfId="0">
      <alignment horizontal="left" indent="3"/>
    </xf>
    <xf numFmtId="185" fontId="52" fillId="6" borderId="2" pivotButton="0" quotePrefix="0" xfId="0"/>
    <xf numFmtId="185" fontId="52" fillId="3" borderId="2" pivotButton="0" quotePrefix="0" xfId="0"/>
    <xf numFmtId="185" fontId="28" fillId="3" borderId="2" pivotButton="0" quotePrefix="0" xfId="0"/>
    <xf numFmtId="185" fontId="28" fillId="6" borderId="2" pivotButton="0" quotePrefix="0" xfId="0"/>
    <xf numFmtId="185" fontId="28" fillId="3" borderId="33" pivotButton="0" quotePrefix="0" xfId="0"/>
    <xf numFmtId="185" fontId="28" fillId="3" borderId="2" applyAlignment="1" pivotButton="0" quotePrefix="0" xfId="0">
      <alignment horizontal="left" indent="1"/>
    </xf>
    <xf numFmtId="185" fontId="56" fillId="6" borderId="0" pivotButton="0" quotePrefix="0" xfId="0"/>
    <xf numFmtId="185" fontId="28" fillId="3" borderId="0" applyAlignment="1" pivotButton="0" quotePrefix="0" xfId="0">
      <alignment horizontal="left"/>
    </xf>
    <xf numFmtId="185" fontId="52" fillId="3" borderId="21" pivotButton="0" quotePrefix="0" xfId="0"/>
    <xf numFmtId="192" fontId="52" fillId="6" borderId="0" pivotButton="0" quotePrefix="0" xfId="0"/>
    <xf numFmtId="192" fontId="52" fillId="3" borderId="0" pivotButton="0" quotePrefix="0" xfId="0"/>
    <xf numFmtId="192" fontId="52" fillId="3" borderId="21" pivotButton="0" quotePrefix="0" xfId="0"/>
    <xf numFmtId="199" fontId="0" fillId="0" borderId="0" pivotButton="0" quotePrefix="0" xfId="0"/>
    <xf numFmtId="199" fontId="28" fillId="3" borderId="0" applyAlignment="1" pivotButton="0" quotePrefix="0" xfId="0">
      <alignment horizontal="left" indent="1"/>
    </xf>
    <xf numFmtId="199" fontId="28" fillId="3" borderId="0" applyAlignment="1" pivotButton="0" quotePrefix="0" xfId="0">
      <alignment horizontal="left" indent="3"/>
    </xf>
    <xf numFmtId="199" fontId="28" fillId="6" borderId="0" pivotButton="0" quotePrefix="0" xfId="0"/>
    <xf numFmtId="199" fontId="28" fillId="3" borderId="0" pivotButton="0" quotePrefix="0" xfId="0"/>
    <xf numFmtId="199" fontId="52" fillId="3" borderId="0" pivotButton="0" quotePrefix="0" xfId="0"/>
    <xf numFmtId="199" fontId="52" fillId="3" borderId="21" pivotButton="0" quotePrefix="0" xfId="0"/>
    <xf numFmtId="199" fontId="0" fillId="3" borderId="0" pivotButton="0" quotePrefix="0" xfId="0"/>
    <xf numFmtId="199" fontId="28" fillId="3" borderId="2" applyAlignment="1" pivotButton="0" quotePrefix="0" xfId="0">
      <alignment horizontal="left" indent="1"/>
    </xf>
    <xf numFmtId="199" fontId="28" fillId="3" borderId="2" applyAlignment="1" pivotButton="0" quotePrefix="0" xfId="0">
      <alignment horizontal="left" indent="3"/>
    </xf>
    <xf numFmtId="199" fontId="28" fillId="6" borderId="2" pivotButton="0" quotePrefix="0" xfId="0"/>
    <xf numFmtId="199" fontId="28" fillId="3" borderId="2" pivotButton="0" quotePrefix="0" xfId="0"/>
    <xf numFmtId="199" fontId="52" fillId="3" borderId="2" pivotButton="0" quotePrefix="0" xfId="0"/>
    <xf numFmtId="199" fontId="52" fillId="3" borderId="33" pivotButton="0" quotePrefix="0" xfId="0"/>
    <xf numFmtId="199" fontId="28" fillId="3" borderId="0" applyAlignment="1" pivotButton="0" quotePrefix="0" xfId="0">
      <alignment horizontal="left"/>
    </xf>
    <xf numFmtId="199" fontId="28" fillId="3" borderId="21" pivotButton="0" quotePrefix="0" xfId="0"/>
    <xf numFmtId="198" fontId="28" fillId="6" borderId="0" applyAlignment="1" pivotButton="0" quotePrefix="0" xfId="0">
      <alignment horizontal="center"/>
    </xf>
    <xf numFmtId="198" fontId="28" fillId="3" borderId="0" applyAlignment="1" pivotButton="0" quotePrefix="0" xfId="0">
      <alignment horizontal="center"/>
    </xf>
    <xf numFmtId="198" fontId="28" fillId="3" borderId="21" applyAlignment="1" pivotButton="0" quotePrefix="0" xfId="0">
      <alignment horizontal="center"/>
    </xf>
    <xf numFmtId="193" fontId="0" fillId="6" borderId="0" applyAlignment="1" pivotButton="0" quotePrefix="0" xfId="0">
      <alignment horizontal="right"/>
    </xf>
    <xf numFmtId="193" fontId="0" fillId="3" borderId="0" applyAlignment="1" pivotButton="0" quotePrefix="0" xfId="0">
      <alignment horizontal="right"/>
    </xf>
    <xf numFmtId="193" fontId="0" fillId="6" borderId="0" pivotButton="0" quotePrefix="0" xfId="0"/>
    <xf numFmtId="193" fontId="28" fillId="6" borderId="0" pivotButton="0" quotePrefix="0" xfId="0"/>
    <xf numFmtId="193" fontId="0" fillId="3" borderId="21" applyAlignment="1" pivotButton="0" quotePrefix="0" xfId="0">
      <alignment horizontal="right"/>
    </xf>
    <xf numFmtId="193" fontId="28" fillId="3" borderId="0" applyAlignment="1" pivotButton="0" quotePrefix="0" xfId="0">
      <alignment horizontal="right"/>
    </xf>
    <xf numFmtId="201" fontId="23" fillId="3" borderId="29" applyAlignment="1" pivotButton="0" quotePrefix="0" xfId="11">
      <alignment horizontal="left" indent="1"/>
    </xf>
    <xf numFmtId="186" fontId="23" fillId="3" borderId="29" applyAlignment="1" pivotButton="0" quotePrefix="0" xfId="11">
      <alignment horizontal="left" indent="1"/>
    </xf>
    <xf numFmtId="187" fontId="23" fillId="3" borderId="29" applyAlignment="1" pivotButton="0" quotePrefix="0" xfId="11">
      <alignment horizontal="left" indent="1"/>
    </xf>
    <xf numFmtId="188" fontId="23" fillId="3" borderId="29" applyAlignment="1" pivotButton="0" quotePrefix="0" xfId="11">
      <alignment horizontal="left" indent="1"/>
    </xf>
    <xf numFmtId="190" fontId="23" fillId="3" borderId="30" applyAlignment="1" pivotButton="0" quotePrefix="0" xfId="11">
      <alignment horizontal="left" indent="1"/>
    </xf>
    <xf numFmtId="193" fontId="58" fillId="3" borderId="0" pivotButton="0" quotePrefix="0" xfId="11"/>
    <xf numFmtId="193" fontId="52" fillId="3" borderId="0" pivotButton="0" quotePrefix="0" xfId="0"/>
    <xf numFmtId="193" fontId="52" fillId="3" borderId="21" pivotButton="0" quotePrefix="0" xfId="0"/>
    <xf numFmtId="193" fontId="28" fillId="3" borderId="0" pivotButton="0" quotePrefix="0" xfId="0"/>
    <xf numFmtId="193" fontId="28" fillId="3" borderId="13" pivotButton="0" quotePrefix="0" xfId="0"/>
    <xf numFmtId="191" fontId="28" fillId="3" borderId="0" pivotButton="0" quotePrefix="0" xfId="0"/>
    <xf numFmtId="200" fontId="59" fillId="3" borderId="0" pivotButton="0" quotePrefix="0" xfId="13"/>
    <xf numFmtId="200" fontId="59" fillId="3" borderId="21" pivotButton="0" quotePrefix="0" xfId="13"/>
    <xf numFmtId="200" fontId="28" fillId="3" borderId="0" pivotButton="0" quotePrefix="0" xfId="13"/>
    <xf numFmtId="199" fontId="6" fillId="0" borderId="0" pivotButton="0" quotePrefix="0" xfId="13"/>
    <xf numFmtId="199" fontId="28" fillId="3" borderId="0" applyAlignment="1" pivotButton="0" quotePrefix="0" xfId="13">
      <alignment horizontal="left"/>
    </xf>
    <xf numFmtId="199" fontId="26" fillId="3" borderId="0" applyAlignment="1" pivotButton="0" quotePrefix="0" xfId="13">
      <alignment horizontal="left" indent="4"/>
    </xf>
    <xf numFmtId="199" fontId="26" fillId="6" borderId="0" pivotButton="0" quotePrefix="0" xfId="13"/>
    <xf numFmtId="199" fontId="26" fillId="3" borderId="0" pivotButton="0" quotePrefix="0" xfId="13"/>
    <xf numFmtId="199" fontId="52" fillId="6" borderId="0" pivotButton="0" quotePrefix="0" xfId="13"/>
    <xf numFmtId="199" fontId="28" fillId="3" borderId="0" pivotButton="0" quotePrefix="0" xfId="13"/>
    <xf numFmtId="199" fontId="28" fillId="6" borderId="0" pivotButton="0" quotePrefix="0" xfId="13"/>
    <xf numFmtId="199" fontId="26" fillId="3" borderId="21" pivotButton="0" quotePrefix="0" xfId="13"/>
    <xf numFmtId="199" fontId="6" fillId="3" borderId="0" pivotButton="0" quotePrefix="0" xfId="13"/>
    <xf numFmtId="185" fontId="33" fillId="0" borderId="0" pivotButton="0" quotePrefix="0" xfId="2"/>
    <xf numFmtId="185" fontId="3" fillId="3" borderId="0" pivotButton="0" quotePrefix="0" xfId="2"/>
    <xf numFmtId="185" fontId="26" fillId="3" borderId="0" applyAlignment="1" pivotButton="0" quotePrefix="0" xfId="2">
      <alignment horizontal="left" indent="3"/>
    </xf>
    <xf numFmtId="185" fontId="26" fillId="4" borderId="0" pivotButton="0" quotePrefix="0" xfId="2"/>
    <xf numFmtId="185" fontId="26" fillId="3" borderId="0" pivotButton="0" quotePrefix="0" xfId="2"/>
    <xf numFmtId="185" fontId="27" fillId="3" borderId="0" pivotButton="0" quotePrefix="0" xfId="2"/>
    <xf numFmtId="185" fontId="26" fillId="4" borderId="0" applyAlignment="1" pivotButton="0" quotePrefix="0" xfId="2">
      <alignment horizontal="right"/>
    </xf>
    <xf numFmtId="185" fontId="6" fillId="3" borderId="0" pivotButton="0" quotePrefix="0" xfId="2"/>
    <xf numFmtId="185" fontId="27" fillId="3" borderId="17" pivotButton="0" quotePrefix="0" xfId="2"/>
    <xf numFmtId="185" fontId="6" fillId="4" borderId="0" applyAlignment="1" pivotButton="0" quotePrefix="0" xfId="2">
      <alignment horizontal="right"/>
    </xf>
    <xf numFmtId="185" fontId="33" fillId="3" borderId="0" pivotButton="0" quotePrefix="0" xfId="2"/>
    <xf numFmtId="185" fontId="20" fillId="3" borderId="0" applyAlignment="1" pivotButton="0" quotePrefix="0" xfId="13">
      <alignment horizontal="left" indent="1"/>
    </xf>
    <xf numFmtId="185" fontId="28" fillId="4" borderId="0" pivotButton="0" quotePrefix="0" xfId="0"/>
    <xf numFmtId="185" fontId="23" fillId="3" borderId="0" pivotButton="0" quotePrefix="0" xfId="0"/>
    <xf numFmtId="185" fontId="28" fillId="4" borderId="0" applyAlignment="1" pivotButton="0" quotePrefix="0" xfId="0">
      <alignment horizontal="right"/>
    </xf>
    <xf numFmtId="185" fontId="23" fillId="3" borderId="17" pivotButton="0" quotePrefix="0" xfId="0"/>
    <xf numFmtId="185" fontId="29" fillId="3" borderId="0" pivotButton="0" quotePrefix="0" xfId="0"/>
    <xf numFmtId="185" fontId="29" fillId="4" borderId="0" applyAlignment="1" pivotButton="0" quotePrefix="0" xfId="0">
      <alignment horizontal="right"/>
    </xf>
    <xf numFmtId="186" fontId="23" fillId="3" borderId="23" applyAlignment="1" pivotButton="0" quotePrefix="0" xfId="15">
      <alignment horizontal="left" indent="1"/>
    </xf>
    <xf numFmtId="187" fontId="23" fillId="3" borderId="23" applyAlignment="1" pivotButton="0" quotePrefix="0" xfId="15">
      <alignment horizontal="left" indent="1"/>
    </xf>
    <xf numFmtId="188" fontId="23" fillId="3" borderId="23" applyAlignment="1" pivotButton="0" quotePrefix="0" xfId="15">
      <alignment horizontal="left" indent="1"/>
    </xf>
    <xf numFmtId="189" fontId="23" fillId="3" borderId="24" applyAlignment="1" pivotButton="0" quotePrefix="0" xfId="15">
      <alignment horizontal="left" indent="1"/>
    </xf>
    <xf numFmtId="195" fontId="18" fillId="3" borderId="0" applyAlignment="1" pivotButton="0" quotePrefix="0" xfId="12">
      <alignment horizontal="center" vertical="center"/>
    </xf>
    <xf numFmtId="196" fontId="3" fillId="3" borderId="0" applyAlignment="1" pivotButton="0" quotePrefix="0" xfId="12">
      <alignment horizontal="right"/>
    </xf>
    <xf numFmtId="197" fontId="3" fillId="3" borderId="0" applyAlignment="1" pivotButton="0" quotePrefix="0" xfId="12">
      <alignment horizontal="right"/>
    </xf>
  </cellXfs>
  <cellStyles count="18">
    <cellStyle name="Normal" xfId="0" builtinId="0"/>
    <cellStyle name="Percent" xfId="1"/>
    <cellStyle name="Currency" xfId="2"/>
    <cellStyle name="Currency [0]" xfId="3"/>
    <cellStyle name="Comma" xfId="4"/>
    <cellStyle name="Comma [0]" xfId="5"/>
    <cellStyle name="Currency 2" xfId="6"/>
    <cellStyle name="Currency 2 2" xfId="7"/>
    <cellStyle name="Good" xfId="8"/>
    <cellStyle name="Hyperlink" xfId="9"/>
    <cellStyle name="Hyperlink 2" xfId="10"/>
    <cellStyle name="Normal 2" xfId="11"/>
    <cellStyle name="Normal 3" xfId="12"/>
    <cellStyle name="Normal 4" xfId="13"/>
    <cellStyle name="Percent 2" xfId="14"/>
    <cellStyle name="Normal 2 2" xfId="15"/>
    <cellStyle name="Normal 5" xfId="16"/>
    <cellStyle name="Currency 3" xfId="17"/>
  </cellStyles>
  <dxfs count="31">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Canalyst (AW)</author>
    <author>Tegus (TP)</author>
    <author>Tegus (AN)</author>
    <author>Tegus (ALT)</author>
    <author>Tegus (CZ)</author>
  </authors>
  <commentList>
    <comment ref="BH6" authorId="0" shapeId="0">
      <text>
        <t>Tegus (SH):
From Quarterly Revenue Trend</t>
      </text>
    </comment>
    <comment ref="AV24" authorId="0" shapeId="0">
      <text>
        <t>Tegus (HS):
Not comparable due to acquisition</t>
      </text>
    </comment>
    <comment ref="AW24" authorId="0" shapeId="0">
      <text>
        <t>Tegus (HS):
Not comparable due to acquisition</t>
      </text>
    </comment>
    <comment ref="AX24" authorId="0" shapeId="0">
      <text>
        <t>Tegus (HS):
Not comparable due to acquisition</t>
      </text>
    </comment>
    <comment ref="AY24" authorId="0" shapeId="0">
      <text>
        <t>Tegus (HS):
Not comparable due to acquisition</t>
      </text>
    </comment>
    <comment ref="AZ24" authorId="0" shapeId="0">
      <text>
        <t>Tegus (HS):
Not comparable due to acquisition</t>
      </text>
    </comment>
    <comment ref="BR40" authorId="1" shapeId="0">
      <text>
        <t>Tegus (TP):
We delivered $11.0 billion of Blackwell architecture revenue in the fourth quarter of fiscal 2025, the fastest product ramp in our company’s history.</t>
      </text>
    </comment>
    <comment ref="A41" authorId="0" shapeId="0">
      <text>
        <t>Tegus (TP):
CMP revenue is included within OEM &amp; IP Revenue.</t>
      </text>
    </comment>
    <comment ref="AK41" authorId="0" shapeId="0">
      <text>
        <t>Tegus (TP):
"Absence of CMP sales"</t>
      </text>
    </comment>
    <comment ref="AY41" authorId="0" shapeId="0">
      <text>
        <t>Tegus (TP):
"Nominal amounts"</t>
      </text>
    </comment>
    <comment ref="BE41" authorId="0" shapeId="0">
      <text>
        <t>Tegus (TP):
"Nominal amounts"</t>
      </text>
    </comment>
    <comment ref="BF41" authorId="0" shapeId="0">
      <text>
        <t>Tegus (LZ):
"Nominal amounts"</t>
      </text>
    </comment>
    <comment ref="BG41" authorId="0" shapeId="0">
      <text>
        <t>Tegus (BL):
Cryptocurrency Mining Processor (CMP) revenue was nominal in the current quarter</t>
      </text>
    </comment>
    <comment ref="BI41" authorId="0" shapeId="0">
      <text>
        <t>Tegus (SH):
CMP revenue was nominal in fiscal 2023</t>
      </text>
    </comment>
    <comment ref="BJ41" authorId="0" shapeId="0">
      <text>
        <t>Tegus (TZ):
Not reported</t>
      </text>
    </comment>
    <comment ref="BK41" authorId="0" shapeId="0">
      <text>
        <t>Tegus (WW):
Not reported.</t>
      </text>
    </comment>
    <comment ref="P117" authorId="0" shapeId="0">
      <text>
        <t>Tegus (TP):
Backed out. Reported as 164.</t>
      </text>
    </comment>
    <comment ref="AE117" authorId="0" shapeId="0">
      <text>
        <t>Tegus (TP):
Backed out. Reported as 118</t>
      </text>
    </comment>
    <comment ref="AT117" authorId="0" shapeId="0">
      <text>
        <t>Tegus (TP):
Backed out. Reported as 355.</t>
      </text>
    </comment>
    <comment ref="AU122" authorId="0" shapeId="0">
      <text>
        <t>Tegus (TP):
Backed out</t>
      </text>
    </comment>
    <comment ref="C123" authorId="0" shapeId="0">
      <text>
        <t>Tegus (TP):
Estimated, not reported.</t>
      </text>
    </comment>
    <comment ref="D123" authorId="0" shapeId="0">
      <text>
        <t>Tegus (TP):
Estimated, not reported.</t>
      </text>
    </comment>
    <comment ref="E123" authorId="0" shapeId="0">
      <text>
        <t>Tegus (TP):
Estimated, not reported.</t>
      </text>
    </comment>
    <comment ref="F123" authorId="0" shapeId="0">
      <text>
        <t>Tegus (TP):
Estimated, not reported.</t>
      </text>
    </comment>
    <comment ref="G123" authorId="0" shapeId="0">
      <text>
        <t>Tegus (TP):
Estimated, not reported.</t>
      </text>
    </comment>
    <comment ref="H123" authorId="0" shapeId="0">
      <text>
        <t>Tegus (TP):
Estimated, not reported.</t>
      </text>
    </comment>
    <comment ref="I123" authorId="0" shapeId="0">
      <text>
        <t>Tegus (TP):
Estimated, not reported.</t>
      </text>
    </comment>
    <comment ref="J123" authorId="0" shapeId="0">
      <text>
        <t>Tegus (TP):
Estimated, not reported.</t>
      </text>
    </comment>
    <comment ref="L123" authorId="0" shapeId="0">
      <text>
        <t>Tegus (TP):
Estimated, not reported.</t>
      </text>
    </comment>
    <comment ref="M123" authorId="0" shapeId="0">
      <text>
        <t>Tegus (TP):
Estimated, not reported.</t>
      </text>
    </comment>
    <comment ref="N123" authorId="0" shapeId="0">
      <text>
        <t>Tegus (TP):
Estimated, not reported.</t>
      </text>
    </comment>
    <comment ref="O123" authorId="0" shapeId="0">
      <text>
        <t>Tegus (TP):
Estimated, not reported.</t>
      </text>
    </comment>
    <comment ref="Q123" authorId="0" shapeId="0">
      <text>
        <t>Tegus (TP):
Estimated, not reported.</t>
      </text>
    </comment>
    <comment ref="R123" authorId="0" shapeId="0">
      <text>
        <t>Tegus (TP):
Estimated, not reported.</t>
      </text>
    </comment>
    <comment ref="S123" authorId="0" shapeId="0">
      <text>
        <t>Tegus (TP):
Estimated, not reported.</t>
      </text>
    </comment>
    <comment ref="T123" authorId="0" shapeId="0">
      <text>
        <t>Tegus (TP):
Estimated, not reported.</t>
      </text>
    </comment>
    <comment ref="V123" authorId="0" shapeId="0">
      <text>
        <t>Tegus (TP):
Estimated, not reported.</t>
      </text>
    </comment>
    <comment ref="W123" authorId="0" shapeId="0">
      <text>
        <t>Tegus (TP):
Estimated, not reported.</t>
      </text>
    </comment>
    <comment ref="X123" authorId="0" shapeId="0">
      <text>
        <t>Tegus (TP):
Estimated, not reported.</t>
      </text>
    </comment>
    <comment ref="Y123" authorId="0" shapeId="0">
      <text>
        <t>Tegus (TP):
Estimated, not reported.</t>
      </text>
    </comment>
    <comment ref="AA123" authorId="0" shapeId="0">
      <text>
        <t>Tegus (TP):
Estimated, not reported.</t>
      </text>
    </comment>
    <comment ref="AB123" authorId="0" shapeId="0">
      <text>
        <t>Tegus (TP):
Estimated, not reported.</t>
      </text>
    </comment>
    <comment ref="AC123" authorId="0" shapeId="0">
      <text>
        <t>Tegus (TP):
Estimated, not reported.</t>
      </text>
    </comment>
    <comment ref="AD123" authorId="0" shapeId="0">
      <text>
        <t>Tegus (TP):
Estimated, not reported.</t>
      </text>
    </comment>
    <comment ref="AF123" authorId="0" shapeId="0">
      <text>
        <t>Tegus (TP):
Estimated, not reported.</t>
      </text>
    </comment>
    <comment ref="AG123" authorId="0" shapeId="0">
      <text>
        <t>Tegus (TP):
Estimated, not reported.</t>
      </text>
    </comment>
    <comment ref="AH123" authorId="0" shapeId="0">
      <text>
        <t>Tegus (TP):
Estimated, not reported.</t>
      </text>
    </comment>
    <comment ref="AI123" authorId="0" shapeId="0">
      <text>
        <t>Tegus (TP):
Estimated, not reported.</t>
      </text>
    </comment>
    <comment ref="AK123" authorId="0" shapeId="0">
      <text>
        <t>Tegus (TP):
Estimated, not reported.</t>
      </text>
    </comment>
    <comment ref="AL123" authorId="0" shapeId="0">
      <text>
        <t>Tegus (TP):
Estimated, not reported.</t>
      </text>
    </comment>
    <comment ref="AM123" authorId="0" shapeId="0">
      <text>
        <t>Tegus (TP):
Estimated, not reported.</t>
      </text>
    </comment>
    <comment ref="AN123" authorId="0" shapeId="0">
      <text>
        <t>Tegus (TP):
Estimated, not reported.</t>
      </text>
    </comment>
    <comment ref="AO123" authorId="0" shapeId="0">
      <text>
        <t>Tegus (TP):
Estimated, not reported.</t>
      </text>
    </comment>
    <comment ref="AP123" authorId="0" shapeId="0">
      <text>
        <t>Tegus (TP):
Estimated, not reported.</t>
      </text>
    </comment>
    <comment ref="AQ123" authorId="0" shapeId="0">
      <text>
        <t>Tegus (TP):
Estimated, not reported.</t>
      </text>
    </comment>
    <comment ref="AU123" authorId="0" shapeId="0">
      <text>
        <t>Tegus (TP):
Estimated, not reported.</t>
      </text>
    </comment>
    <comment ref="AJ128" authorId="0" shapeId="0">
      <text>
        <t>Tegus (VT):
Hardcoded as reported.</t>
      </text>
    </comment>
    <comment ref="A133" authorId="0" shapeId="0">
      <text>
        <t xml:space="preserve">Tegus (AW):
Starting with the first quarter of fiscal 2021, the company's reportable segments have changed to “Graphics” and “Compute &amp; Networking.” </t>
      </text>
    </comment>
    <comment ref="A134" authorId="0" shapeId="0">
      <text>
        <t>Tegus (AW):
Starting with the first quarter of fiscal 2021, the company's reportable segments have changed to “Graphics” and “Compute &amp; Networking.”. Starting with the second quarter of fiscal 2021, the company will also include Mellanox revenue in this segment.</t>
      </text>
    </comment>
    <comment ref="AT147" authorId="0" shapeId="0">
      <text>
        <t xml:space="preserve">Tegus (TP):
Acquisition-related intangible asset amortization of -6, Acquisition-related and other costs of -25. </t>
      </text>
    </comment>
    <comment ref="AY147" authorId="0" shapeId="0">
      <text>
        <t xml:space="preserve">Tegus (TP):
Acquisition-related intangible asset amortization of -591, Acquisition-related inventory step-up charge of -161, Acquisition-related and other costs of -84. </t>
      </text>
    </comment>
    <comment ref="BO184" authorId="2" shapeId="0">
      <text>
        <t>Tegus (AN):
The company has changed its geographic revenue  breakdown based on headquarters location to have a better representation of its geographic distribution in Q3-2026, this period will not be restated due to inability to restate Q1 and Q2 data</t>
      </text>
    </comment>
    <comment ref="BP184" authorId="2" shapeId="0">
      <text>
        <t>Tegus (AN):
The company has changed its geographic revenue  breakdown based on headquarters location to have a better representation of its geographic distribution in Q3-2026, this period will not be restated due to inability to restate Q1 and Q2 data</t>
      </text>
    </comment>
    <comment ref="BQ184" authorId="2" shapeId="0">
      <text>
        <t>Tegus (AN):
The company has changed its geographic revenue  breakdown based on headquarters location to have a better representation of its geographic distribution in Q3-2026, this period will not be restated due to inability to restate Q1 and Q2 data</t>
      </text>
    </comment>
    <comment ref="BR184" authorId="2" shapeId="0">
      <text>
        <t>Tegus (AN):
The company has changed its geographic revenue  breakdown based on headquarters location to have a better representation of its geographic distribution in Q3-2026, this period will not be restated due to inability to restate Q1 and Q2 data</t>
      </text>
    </comment>
    <comment ref="BS184" authorId="2" shapeId="0">
      <text>
        <t>Tegus (AN):
The company has changed its geographic revenue  breakdown based on headquarters location to have a better representation of its geographic distribution in Q3-2026, this period will not be restated due to inability to restate Q1 and Q2 data</t>
      </text>
    </comment>
    <comment ref="BT184" authorId="2" shapeId="0">
      <text>
        <t>Tegus (AN):
The company has changed its geographic revenue  breakdown based on headquarters location to have a better representation of its geographic distribution in Q3-2026, this period to be restated</t>
      </text>
    </comment>
    <comment ref="BU184" authorId="2" shapeId="0">
      <text>
        <t>Tegus (AN):
The company has changed its geographic revenue  breakdown based on headquarters location to have a better representation of its geographic distribution in Q3-2026, this period to be restated</t>
      </text>
    </comment>
    <comment ref="BV184" authorId="2" shapeId="0">
      <text>
        <t>Tegus (AN):
Previously, revenue by geographic area was reported based on the billing location of customers. The company has changed its geographic revenue  breakdown based on headquarters location to have a better representation of its geographic distribution</t>
      </text>
    </comment>
    <comment ref="BJ192" authorId="0" shapeId="0">
      <text>
        <t>Tegus (DHJ):
Singapore + Other countires</t>
      </text>
    </comment>
    <comment ref="BP216" authorId="1" shapeId="0">
      <text>
        <t>Tegus (TP):
For revenue contracts with a length greater than one year, $1.3 billion is included in deferred revenue and $123 million has not yet been billed nor recognized as revenue as of July 28, 2024. Approximately 37% of this combined amount will be recognized as revenue over the next twelve months.</t>
      </text>
    </comment>
    <comment ref="BQ216" authorId="3" shapeId="0">
      <text>
        <t>Tegus (ALT):
As of October 27, 2024, revenue related to remaining performance obligations from contracts greater than one year in length was $1.6 billion, which includes $1.4 billion from deferred revenue and $187 million which has not yet been billed nor recognized as revenue.</t>
      </text>
    </comment>
    <comment ref="BS216" authorId="1" shapeId="0">
      <text>
        <t>Tegus (TP):
As of January 26, 2025, revenue related to remaining performance obligations from contracts greater than one year in length was $1.7 billion, which includes $1.6 billion from deferred revenue and $151 million which has not yet been billed nor recognized as revenue. Approximately 39% of revenue from contracts greater than one year in length will be recognized over the next twelve months.</t>
      </text>
    </comment>
    <comment ref="BT216" authorId="1" shapeId="0">
      <text>
        <t>Tegus (TP):
As of April 27, 2025, revenue related to remaining performance obligations from contracts greater than one year in length was $1.8 billion, which includes $1.6 billion from deferred revenue and $160 million which has not yet been billed nor recognized as revenue. Approximately 39% of revenue from contracts greater than one year in length will be recognized over the next twelve months.</t>
      </text>
    </comment>
    <comment ref="BU216" authorId="1" shapeId="0">
      <text>
        <t>Tegus (TP):
As of July 27, 2025, revenue related to remaining performance obligations from contracts greater than one year in length was $1.9 billion, which includes $1.8 billion from deferred revenue and $118 million which has not yet been billed nor recognized as revenue. Approximately 40% of revenue from contracts greater than one year in length will be recognized over the next twelve months.</t>
      </text>
    </comment>
    <comment ref="BV216" authorId="2" shapeId="0">
      <text>
        <t>Tegus (AN):
As of October 26, 2025, revenue related to remaining performance obligations from contracts greater than one year in length was $2.5 billion, which includes $2.0 billion from deferred revenue and $449 million which has not yet been billed nor recognized as revenue.</t>
      </text>
    </comment>
    <comment ref="C221" authorId="0" shapeId="0">
      <text>
        <t>Tegus (BL):
Not reported.</t>
      </text>
    </comment>
    <comment ref="C223" authorId="0" shapeId="0">
      <text>
        <t>Tegus (BL):
Not reported.</t>
      </text>
    </comment>
    <comment ref="D223" authorId="0" shapeId="0">
      <text>
        <t>Tegus (BL):
Reported as " Inventory days on hand at quarter-end"</t>
      </text>
    </comment>
    <comment ref="E223" authorId="0" shapeId="0">
      <text>
        <t>Tegus (BL):
Not reported in FY2011, backfilled from FY2012 fiilings</t>
      </text>
    </comment>
    <comment ref="BU223" authorId="1" shapeId="0">
      <text>
        <t>Tegus (TP):
Not reported</t>
      </text>
    </comment>
    <comment ref="BV223" authorId="2" shapeId="0">
      <text>
        <t>Tegus (AN):
Not reported</t>
      </text>
    </comment>
    <comment ref="BO225" authorId="0" shapeId="0">
      <text>
        <t>Tegus (AG):
Not reported</t>
      </text>
    </comment>
    <comment ref="BP225" authorId="1" shapeId="0">
      <text>
        <t>Tegus (TP):
To be updated with Quarterly Presentation</t>
      </text>
    </comment>
    <comment ref="BQ225" authorId="3" shapeId="0">
      <text>
        <t>Tegus (ALT):
To be updated with Quarterly Presentation</t>
      </text>
    </comment>
    <comment ref="BR225" authorId="3" shapeId="0">
      <text>
        <t>Tegus (ALT):
To be updated with Quarterly Presentation</t>
      </text>
    </comment>
    <comment ref="BS225" authorId="3" shapeId="0">
      <text>
        <t>Tegus (ALT):
To be updated with Quarterly Presentation</t>
      </text>
    </comment>
    <comment ref="A229" authorId="0" shapeId="0">
      <text>
        <t>Tegus (BL):
Called Chips &amp; Systems prior Q3-2024.</t>
      </text>
    </comment>
    <comment ref="BF231" authorId="0" shapeId="0">
      <text>
        <t>Tegus (BL):
Not reported prior this period.</t>
      </text>
    </comment>
    <comment ref="BQ239" authorId="3" shapeId="0">
      <text>
        <t>Tegus (ALT):
We recorded an inventory provision of $322 million and $208 million for the third quarter, and $876 million and $657 million for the first nine months, of fiscal years 2025 and 2024, respectively, in cost of revenue.</t>
      </text>
    </comment>
    <comment ref="BS239" authorId="3" shapeId="0">
      <text>
        <t>Tegus (ALT):
In fiscal years 2025 and 2024, we recorded an inventory provision of $1.6 billion and $774 million</t>
      </text>
    </comment>
    <comment ref="BT239" authorId="1" shapeId="0">
      <text>
        <t>Tegus (TP):
We recorded an inventory provision of $2.3 billion in cost of revenue, including $1.9 billion for H20 product inventory for the first quarter of fiscal year 2026. The $1.9 billion inventory provision for H20 product inventory is part of the overall $4.5 billion charge associated with H20 product excess inventory and purchase obligations; the remaining portion is included in excess inventory purchase obligation liabilities.</t>
      </text>
    </comment>
    <comment ref="BU239" authorId="1" shapeId="0">
      <text>
        <t>Tegus (TP):
We recorded an inventory provision of $886 million and $345 million for the second quarter of fiscal years 2026 and 2025, respectively, and $3.2 billion and $555 million for the first half of fiscal years 2026 and 2025, respectively, in cost of revenue.</t>
      </text>
    </comment>
    <comment ref="BV239" authorId="2" shapeId="0">
      <text>
        <t>Tegus (AN):
We recorded inventory provisions of $378 million and $322 million for the third quarter of fiscal years 2026 and 2025, respectively, and $3.6 billion and $876 million for the first nine months of fiscal years 2026 and 2025, respectively, in cost of revenue</t>
      </text>
    </comment>
    <comment ref="H241" authorId="3" shapeId="0">
      <text>
        <t>Tegus (ALT):
6-month</t>
      </text>
    </comment>
    <comment ref="BS241" authorId="3" shapeId="0">
      <text>
        <t>Tegus (ALT):
Provisions for inventory and excess inventory purchase obligations totaled $3.7 billion and $2.2 billion for fiscal years 2025 and 2024, respectively.</t>
      </text>
    </comment>
    <comment ref="BT241" authorId="1" shapeId="0">
      <text>
        <t>Tegus (TP):
Provisions for inventory and excess inventory purchase obligations totaled $5.3 billion, including $4.5 billion associated with H20 excess inventory and purchase obligations, and $393 million for the first quarter of fiscal years 2026 and 2025, respectively.</t>
      </text>
    </comment>
    <comment ref="BU241" authorId="1" shapeId="0">
      <text>
        <t>Tegus (TP):
Provisions for inventory and excess inventory purchase obligations totaled $1.0 billion and $6.3 billion for the second quarter and first half of fiscal year 2026, respectively, including $4.5 billion associated with H20 excess inventory and purchase obligations for the first quarter of fiscal year 2026.</t>
      </text>
    </comment>
    <comment ref="BV241" authorId="2" shapeId="0">
      <text>
        <t>Tegus (AN):
Provisions for inventory and excess inventory purchase obligations totaled $410 million and $6.7 billion for the third quarter and first nine months of fiscal year 2026</t>
      </text>
    </comment>
    <comment ref="H243" authorId="3" shapeId="0">
      <text>
        <t>Tegus (ALT):
6-month</t>
      </text>
    </comment>
    <comment ref="R243" authorId="3" shapeId="0">
      <text>
        <t>Tegus (ALT):
Unrestated</t>
      </text>
    </comment>
    <comment ref="BS243" authorId="3" shapeId="0">
      <text>
        <t>Tegus (ALT):
Sales of previously reserved inventory and settlements of excess inventory purchase obligations resulted in a provision release of $689 million and $540 million for fiscal years 2025 and 2024, respectively.</t>
      </text>
    </comment>
    <comment ref="BT243" authorId="1" shapeId="0">
      <text>
        <t>Tegus (TP):
Sales of previously reserved inventory and settlements of excess inventory purchase obligations resulted in a provision release of $436 million and $114 million for the first quarter of fiscal years 2026 and 2025, respectively.</t>
      </text>
    </comment>
    <comment ref="BU243" authorId="1" shapeId="0">
      <text>
        <t>Tegus (TP):
Sales of previously reserved inventory and settlements of excess inventory purchase obligations resulted in a provision release of $501 million and $937 million for the second quarter and first half of fiscal year 2026, respectively. The second quarter of fiscal year 2026 included a provision release of $180 million upon the sale of H20 products outside of the China market.</t>
      </text>
    </comment>
    <comment ref="BV243" authorId="2" shapeId="0">
      <text>
        <t>Tegus (AN):
Sales of previously reserved inventory and settlements of excess inventory purchase obligations resulted in a provision release of $366 million and $1.3 billion for the third quarter and first nine months of fiscal year 2026, respectively</t>
      </text>
    </comment>
    <comment ref="AA245" authorId="0" shapeId="0">
      <text>
        <t>Tegus (DH):
No restated figures available</t>
      </text>
    </comment>
    <comment ref="AB245" authorId="0" shapeId="0">
      <text>
        <t>Tegus (DH):
No restated figures available</t>
      </text>
    </comment>
    <comment ref="AC245" authorId="0" shapeId="0">
      <text>
        <t>Tegus (DH):
No restated figures available</t>
      </text>
    </comment>
    <comment ref="AD245" authorId="0" shapeId="0">
      <text>
        <t>Tegus (DH):
No restated figures available</t>
      </text>
    </comment>
    <comment ref="AE245" authorId="0" shapeId="0">
      <text>
        <t>Tegus (DH):
No restated figures available</t>
      </text>
    </comment>
    <comment ref="BB246" authorId="0" shapeId="0">
      <text>
        <t>Tegus (DH):
Not reported</t>
      </text>
    </comment>
    <comment ref="BD246" authorId="0" shapeId="0">
      <text>
        <t>Tegus (DH):
Not reported</t>
      </text>
    </comment>
    <comment ref="BB247" authorId="0" shapeId="0">
      <text>
        <t>Tegus (DH):
Not reported</t>
      </text>
    </comment>
    <comment ref="BD247" authorId="0" shapeId="0">
      <text>
        <t>Tegus (DH):
Not reported</t>
      </text>
    </comment>
    <comment ref="BT248" authorId="1" shapeId="0">
      <text>
        <t>Tegus (TP):
As of April 27, 2025, we had outstanding inventory purchase and long-term supply and capacity obligations totaling $29.8 billion, an increase from the prior year led by commitments, capacity and components for our Blackwell architecture.</t>
      </text>
    </comment>
    <comment ref="BU248" authorId="1" shapeId="0">
      <text>
        <t>Tegus (TP):
Not reported</t>
      </text>
    </comment>
    <comment ref="BV248" authorId="2" shapeId="0">
      <text>
        <t>Tegus (AN):
Not reported</t>
      </text>
    </comment>
    <comment ref="C250" authorId="0" shapeId="0">
      <text>
        <t>Tegus (DH):
Capital purchase obligations</t>
      </text>
    </comment>
    <comment ref="D250" authorId="0" shapeId="0">
      <text>
        <t>Tegus (DH):
Capital purchase obligations</t>
      </text>
    </comment>
    <comment ref="E250" authorId="0" shapeId="0">
      <text>
        <t>Tegus (DH):
Capital purchase obligations</t>
      </text>
    </comment>
    <comment ref="F250" authorId="0" shapeId="0">
      <text>
        <t>Tegus (DH):
Capital purchase obligations</t>
      </text>
    </comment>
    <comment ref="J250" authorId="0" shapeId="0">
      <text>
        <t>Tegus (DH):
Capital purchase obligations</t>
      </text>
    </comment>
    <comment ref="K250" authorId="0" shapeId="0">
      <text>
        <t>Tegus (DH):
Capital purchase obligations</t>
      </text>
    </comment>
    <comment ref="O250" authorId="0" shapeId="0">
      <text>
        <t>Tegus (DH):
Capital purchase obligations</t>
      </text>
    </comment>
    <comment ref="P250" authorId="0" shapeId="0">
      <text>
        <t>Tegus (DH):
Capital purchase obligations</t>
      </text>
    </comment>
    <comment ref="T250" authorId="0" shapeId="0">
      <text>
        <t>Tegus (DH):
Capital purchase obligations</t>
      </text>
    </comment>
    <comment ref="U250" authorId="0" shapeId="0">
      <text>
        <t>Tegus (DH):
Capital purchase obligations</t>
      </text>
    </comment>
    <comment ref="Y250" authorId="0" shapeId="0">
      <text>
        <t>Tegus (DH):
Capital purchase obligations</t>
      </text>
    </comment>
    <comment ref="Z250" authorId="0" shapeId="0">
      <text>
        <t>Tegus (DH):
Capital purchase obligations</t>
      </text>
    </comment>
    <comment ref="AD250" authorId="0" shapeId="0">
      <text>
        <t>Tegus (DH):
Capital purchase obligations</t>
      </text>
    </comment>
    <comment ref="AE250" authorId="0" shapeId="0">
      <text>
        <t>Tegus (DH):
Capital purchase obligations</t>
      </text>
    </comment>
    <comment ref="AI250" authorId="0" shapeId="0">
      <text>
        <t>Tegus (DH):
Capital purchase obligations</t>
      </text>
    </comment>
    <comment ref="AJ250" authorId="0" shapeId="0">
      <text>
        <t>Tegus (DH):
Capital purchase obligations</t>
      </text>
    </comment>
    <comment ref="AN250" authorId="0" shapeId="0">
      <text>
        <t>Tegus (DH):
Capital purchase obligations</t>
      </text>
    </comment>
    <comment ref="AO250" authorId="0" shapeId="0">
      <text>
        <t>Tegus (DH):
Capital purchase obligations</t>
      </text>
    </comment>
    <comment ref="AP250" authorId="0" shapeId="0">
      <text>
        <t>Tegus (DH):
Capital purchase obligations</t>
      </text>
    </comment>
    <comment ref="AQ250" authorId="0" shapeId="0">
      <text>
        <t>Tegus (DH):
Capital purchase obligations</t>
      </text>
    </comment>
    <comment ref="BG250" authorId="0" shapeId="0">
      <text>
        <t>Tegus (BL):
reported as other non-inventory purchase obligations. Include $1.59bn of multi-year cloud service agreements.</t>
      </text>
    </comment>
    <comment ref="BI250" authorId="0" shapeId="0">
      <text>
        <t>Tegus (ALT):
Other non-inventory purchase obligations of $3.14 billion include $2.23 billion of multi-year cloud service agreements.</t>
      </text>
    </comment>
    <comment ref="BJ250" authorId="0" shapeId="0">
      <text>
        <t>Tegus (DHJ):
Other non-inventory purchase obligations of $3.26 billion include $2.43 billion of multi-year cloud service agreements</t>
      </text>
    </comment>
    <comment ref="BK250" authorId="0" shapeId="0">
      <text>
        <t>Tegus (WW):
Other non-inventory purchase obligations of $4.31 billion include $3.50 billion of multi-year cloud service agreements.</t>
      </text>
    </comment>
    <comment ref="BL250" authorId="0" shapeId="0">
      <text>
        <t>Tegus (TZ):
Other non-inventory purchase obligations were $4.43 billion, which includes $3.60 billion of multi-year cloud service agreements, primarily to support our research and development efforts.</t>
      </text>
    </comment>
    <comment ref="BN250" authorId="0" shapeId="0">
      <text>
        <t>Tegus (TP):
Other non-inventory purchase obligations were $4.6 billion, which includes $3.5 billion of multi-year cloud service agreements, primarily to support our research and development efforts.</t>
      </text>
    </comment>
    <comment ref="BO250" authorId="0" shapeId="0">
      <text>
        <t>Tegus (AG):
"Other non-inventory purchase obligations were $10.6 billion, including $8.8 billion of multi-year cloud service agreements"</t>
      </text>
    </comment>
    <comment ref="BP250" authorId="1" shapeId="0">
      <text>
        <t>Tegus (TP):
Other non-inventory purchase obligations were $12.0 billion, including $9.8 billion of multi-year cloud service agreements.</t>
      </text>
    </comment>
    <comment ref="BQ250" authorId="3" shapeId="0">
      <text>
        <t>Tegus (ALT):
Other non-inventory purchase obligations were $13.2 billion, including $11.3 billion of multi-year cloud service agreements.</t>
      </text>
    </comment>
    <comment ref="BS250" authorId="1" shapeId="0">
      <text>
        <t>Tegus (TP):
Other non-inventory purchase obligations were $14.3 billion, including $10.9 billion of multi-year cloud service agreements.</t>
      </text>
    </comment>
    <comment ref="BT250" authorId="1" shapeId="0">
      <text>
        <t>Tegus (TP):
Though, changes to these agreements may result in additional costs. Other non-inventory purchase obligations were $13.7 billion, including $10.6 billion of multi-year cloud service agreements. We expect our cloud service agreements to primarily be used to support our research and development efforts, as well as our DGX Cloud offerings.</t>
      </text>
    </comment>
    <comment ref="BU250" authorId="1" shapeId="0">
      <text>
        <t>Tegus (TP):
Not reported</t>
      </text>
    </comment>
    <comment ref="BV250" authorId="2" shapeId="0">
      <text>
        <t>Tegus (AN):
Not reported</t>
      </text>
    </comment>
    <comment ref="BJ251" authorId="0" shapeId="0">
      <text>
        <t>Tegus (DHJ):
Not reported</t>
      </text>
    </comment>
    <comment ref="BE258" authorId="0" shapeId="0">
      <text>
        <t>Tegus (TP):
Due in 2028 and thereafter</t>
      </text>
    </comment>
    <comment ref="BF258" authorId="0" shapeId="0">
      <text>
        <t>Tegus (LZ):
Due in 2028 and thereafter</t>
      </text>
    </comment>
    <comment ref="BG258" authorId="0" shapeId="0">
      <text>
        <t>Tegus (BL):
due in 2028 and thereafter</t>
      </text>
    </comment>
    <comment ref="BN258" authorId="0" shapeId="0">
      <text>
        <t>Tegus (TP):
2029 and thereafter</t>
      </text>
    </comment>
    <comment ref="BH259" authorId="0" shapeId="0">
      <text>
        <t>Tegus (ALT):
2029 and thereafter</t>
      </text>
    </comment>
    <comment ref="BI259" authorId="0" shapeId="0">
      <text>
        <t>Tegus (ALT):
2029 and thereafter</t>
      </text>
    </comment>
    <comment ref="BV260" authorId="2" shapeId="0">
      <text>
        <t>Tegus (AN):
Breakdown not reported. 
Multi-year cloud service agreement commitments as of October 26, 2025, were $26 billion for which $1 billion, $6 billion, $6 billion, $5 billion, $4 billion, and $4 billion will be paid in fiscal years 2026 (fourth quarter), 2027, 2028, 2029, 2030, and 2031 &amp; thereafter, respectively.</t>
      </text>
    </comment>
    <comment ref="A263" authorId="0" shapeId="0">
      <text>
        <t>Tegus (MB):
May not represent the same customer across periods.</t>
      </text>
    </comment>
    <comment ref="BN263" authorId="0" shapeId="0">
      <text>
        <t>Tegus (TP):
One indirect customer which primarily purchases our products through system integrators and distributors, including through Customer A, is estimated to have represented approximately 19% of total revenue for fiscal year 2024, attributable to the Compute &amp; Networking segment.</t>
      </text>
    </comment>
    <comment ref="BO263" authorId="0" shapeId="0">
      <text>
        <t>Tegus (AG):
Attributable to Compute and Networking segment</t>
      </text>
    </comment>
    <comment ref="BP263" authorId="4" shapeId="0">
      <text>
        <t>Tegus (CZ):
attributable to the Compute &amp; Networking segment.</t>
      </text>
    </comment>
    <comment ref="BQ263" authorId="4" shapeId="0">
      <text>
        <t>Tegus (ALT):
attributable to the Compute &amp; Networking segment.</t>
      </text>
    </comment>
    <comment ref="BR263" authorId="4" shapeId="0">
      <text>
        <t>Tegus (ALT):
attributable to the Compute &amp; Networking segment.</t>
      </text>
    </comment>
    <comment ref="BS263" authorId="4" shapeId="0">
      <text>
        <t>Tegus (ALT):
attributable to the Compute &amp; Networking segment.</t>
      </text>
    </comment>
    <comment ref="BT263" authorId="1" shapeId="0">
      <text>
        <t>Tegus (TP):
Sales to one direct customer, Customer A, represented 16% of total revenue and sales to a second direct customer, Customer B, represented 14% of total revenue for the first quarter of fiscal year 2026, both of which were attributable to the Compute &amp; Networking segment.</t>
      </text>
    </comment>
    <comment ref="BU263" authorId="1" shapeId="0">
      <text>
        <t>Tegus (TP):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text>
    </comment>
    <comment ref="A264" authorId="0" shapeId="0">
      <text>
        <t>Tegus (MB):
May not represent the same customer across periods.</t>
      </text>
    </comment>
    <comment ref="BN264" authorId="0" shapeId="0">
      <text>
        <t>Tegus (TP):
attributable to the Compute &amp; Networking segment.</t>
      </text>
    </comment>
    <comment ref="BO264" authorId="0" shapeId="0">
      <text>
        <t>Tegus (AG):
Attributable to Compute and Networking segment</t>
      </text>
    </comment>
    <comment ref="BP264" authorId="4" shapeId="0">
      <text>
        <t>Tegus (CZ):
attributable to the Compute &amp; Networking segment.</t>
      </text>
    </comment>
    <comment ref="BQ264" authorId="4" shapeId="0">
      <text>
        <t>Tegus (ALT):
attributable to the Compute &amp; Networking segment.</t>
      </text>
    </comment>
    <comment ref="BR264" authorId="4" shapeId="0">
      <text>
        <t>Tegus (ALT):
attributable to the Compute &amp; Networking segment.</t>
      </text>
    </comment>
    <comment ref="BS264" authorId="4" shapeId="0">
      <text>
        <t>Tegus (ALT):
attributable to the Compute &amp; Networking segment.</t>
      </text>
    </comment>
    <comment ref="BT264" authorId="1" shapeId="0">
      <text>
        <t>Tegus (TP):
Sales to one direct customer, Customer A, represented 16% of total revenue and sales to a second direct customer, Customer B, represented 14% of total revenue for the first quarter of fiscal year 2026, both of which were attributable to the Compute &amp; Networking segment.</t>
      </text>
    </comment>
    <comment ref="BU264" authorId="1" shapeId="0">
      <text>
        <t>Tegus (TP):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text>
    </comment>
    <comment ref="A265" authorId="0" shapeId="0">
      <text>
        <t>Tegus (MB):
May not represent the same customer across periods.</t>
      </text>
    </comment>
    <comment ref="BP265" authorId="4" shapeId="0">
      <text>
        <t>Tegus (CZ):
attributable to the Compute &amp; Networking segment.</t>
      </text>
    </comment>
    <comment ref="BQ265" authorId="4" shapeId="0">
      <text>
        <t>Tegus (ALT):
attributable to the Compute &amp; Networking segment.</t>
      </text>
    </comment>
    <comment ref="BR265" authorId="4" shapeId="0">
      <text>
        <t>Tegus (ALT):
attributable to the Compute &amp; Networking segment.</t>
      </text>
    </comment>
    <comment ref="BS265" authorId="4" shapeId="0">
      <text>
        <t>Tegus (ALT):
attributable to the Compute &amp; Networking segment.</t>
      </text>
    </comment>
    <comment ref="S309" authorId="0" shapeId="0">
      <text>
        <t>Tegus:
Tegus SC: Error due to change in rounding</t>
      </text>
    </comment>
    <comment ref="T309" authorId="0" shapeId="0">
      <text>
        <t xml:space="preserve">Tegus (SC):
Error due to change in rounding </t>
      </text>
    </comment>
    <comment ref="Y309" authorId="0" shapeId="0">
      <text>
        <t>Tegus (VT):
Rounding error. Q4 IS hardcoded as reported.</t>
      </text>
    </comment>
    <comment ref="AC309" authorId="0" shapeId="0">
      <text>
        <t>Tegus (BP):
Rounding error</t>
      </text>
    </comment>
    <comment ref="AD309" authorId="0" shapeId="0">
      <text>
        <t>Tegus (JA):
Discrepancy as reported</t>
      </text>
    </comment>
    <comment ref="AG309" authorId="0" shapeId="0">
      <text>
        <t>Tegus (AH):
Due to rounding error</t>
      </text>
    </comment>
    <comment ref="AH309" authorId="0" shapeId="0">
      <text>
        <t>Tegus (GJ):
Due to rounding error</t>
      </text>
    </comment>
    <comment ref="AI309" authorId="0" shapeId="0">
      <text>
        <t>Tegus (AB):
Due to rounding error.</t>
      </text>
    </comment>
    <comment ref="AN309" authorId="0" shapeId="0">
      <text>
        <t>Tegus (LZ):
Rounding error</t>
      </text>
    </comment>
    <comment ref="AQ309" authorId="0" shapeId="0">
      <text>
        <t>Tegus (WC):
-as reported -error due to rounding</t>
      </text>
    </comment>
    <comment ref="AR309" authorId="0" shapeId="0">
      <text>
        <t>Tegus (WC):
-as reported -error due to rounding</t>
      </text>
    </comment>
    <comment ref="AS309" authorId="0" shapeId="0">
      <text>
        <t>Tegus (AW):
-as reported -error due to rounding</t>
      </text>
    </comment>
    <comment ref="BA309" authorId="0" shapeId="0">
      <text>
        <t>Tegus (SK):
As reported</t>
      </text>
    </comment>
    <comment ref="BK309" authorId="0" shapeId="0">
      <text>
        <t>Tegus (TP):
Rounding error</t>
      </text>
    </comment>
    <comment ref="T331" authorId="0" shapeId="0">
      <text>
        <t>Tegus (AH):
Company reported $703</t>
      </text>
    </comment>
    <comment ref="U331" authorId="0" shapeId="0">
      <text>
        <t>Tegus (AH):
Quarterly data is as reported but does not add up to annually data.</t>
      </text>
    </comment>
    <comment ref="C336" authorId="0" shapeId="0">
      <text>
        <t>Tegus (TP):
Estimated. Not reported</t>
      </text>
    </comment>
    <comment ref="C341" authorId="0" shapeId="0">
      <text>
        <t>Tegus (TP):
Estimated as the discrepancy between "Total pre-tax impact of non-GAAP adjustments" and the remaining non-GAAP Adjustments</t>
      </text>
    </comment>
    <comment ref="T346" authorId="0" shapeId="0">
      <text>
        <t>Tegus (DH):
Hardcoded as reported</t>
      </text>
    </comment>
    <comment ref="AE348" authorId="0" shapeId="0">
      <text>
        <t>Tegus (AN):
row fliping</t>
      </text>
    </comment>
    <comment ref="AJ348" authorId="0" shapeId="0">
      <text>
        <t>Tegus (AN):
row fliping</t>
      </text>
    </comment>
    <comment ref="AE349" authorId="0" shapeId="0">
      <text>
        <t>Tegus (AN):
row fliping</t>
      </text>
    </comment>
    <comment ref="AJ349" authorId="0" shapeId="0">
      <text>
        <t>Tegus (AN):
row fliping</t>
      </text>
    </comment>
    <comment ref="Q352" authorId="0" shapeId="0">
      <text>
        <t>Tegus (AH):
Company did not report</t>
      </text>
    </comment>
    <comment ref="R352" authorId="0" shapeId="0">
      <text>
        <t>Tegus (AH):
Company did not report</t>
      </text>
    </comment>
    <comment ref="Q353" authorId="0" shapeId="0">
      <text>
        <t>Tegus (AH):
Company did not report adjustment for Non-GAAP income from operations</t>
      </text>
    </comment>
    <comment ref="R353" authorId="0" shapeId="0">
      <text>
        <t>Tegus (AH):
Company did not report adjustment for Non-GAAP income from operations</t>
      </text>
    </comment>
    <comment ref="AZ381" authorId="0" shapeId="0">
      <text>
        <t>Tegus (LZ):
Formula changed starting this quarter</t>
      </text>
    </comment>
    <comment ref="AZ384" authorId="0" shapeId="0">
      <text>
        <t>Tegus (LZ):
Formula changed starting this quarter</t>
      </text>
    </comment>
    <comment ref="C388" authorId="0" shapeId="0">
      <text>
        <t>Tegus (AP):
Calculated</t>
      </text>
    </comment>
    <comment ref="Q423" authorId="0" shapeId="0">
      <text>
        <t>Tegus (VT):
Reported as $0.24</t>
      </text>
    </comment>
    <comment ref="A428" authorId="0" shapeId="0">
      <text>
        <t xml:space="preserve">Tegus (TP):
Periods prior to Q1-2024 adjusted for 10-for-1 stock split occurred June 10, 2024. Periods prior to Q1-2022 adjusted for 4-for-1 stock split occurred July 20, 2021. </t>
      </text>
    </comment>
    <comment ref="A429" authorId="0" shapeId="0">
      <text>
        <t xml:space="preserve">Tegus (TP):
Periods prior to Q1-2024 adjusted for 10-for-1 stock split occurred June 10, 2024. Periods prior to Q1-2022 adjusted for 4-for-1 stock split occurred July 20, 2021. </t>
      </text>
    </comment>
    <comment ref="A430" authorId="0" shapeId="0">
      <text>
        <t xml:space="preserve">Tegus (TP):
Periods prior to Q1-2024 adjusted for 10-for-1 stock split occurred June 10, 2024. Periods prior to Q1-2022 adjusted for 4-for-1 stock split occurred July 20, 2021. </t>
      </text>
    </comment>
    <comment ref="A436" authorId="0" shapeId="0">
      <text>
        <t>Tegus (GR):
Red quarters are estimated</t>
      </text>
    </comment>
    <comment ref="G436" authorId="2" shapeId="0">
      <text>
        <t>Canalyst:
Assumption by Canalyst</t>
      </text>
    </comment>
    <comment ref="H436" authorId="2" shapeId="0">
      <text>
        <t>Canalyst:
Assumption by Canalyst</t>
      </text>
    </comment>
    <comment ref="I436" authorId="2" shapeId="0">
      <text>
        <t>Canalyst:
Assumption by Canalyst</t>
      </text>
    </comment>
    <comment ref="L436" authorId="2" shapeId="0">
      <text>
        <t>Canalyst:
Assumption by Canalyst</t>
      </text>
    </comment>
    <comment ref="M436" authorId="2" shapeId="0">
      <text>
        <t>Canalyst:
Assumption by Canalyst</t>
      </text>
    </comment>
    <comment ref="N436" authorId="2" shapeId="0">
      <text>
        <t>Canalyst:
Assumption by Canalyst</t>
      </text>
    </comment>
    <comment ref="Q436" authorId="2" shapeId="0">
      <text>
        <t>Canalyst:
Assumption by Canalyst</t>
      </text>
    </comment>
    <comment ref="R436" authorId="2" shapeId="0">
      <text>
        <t>Canalyst:
Assumption by Canalyst</t>
      </text>
    </comment>
    <comment ref="S436" authorId="2" shapeId="0">
      <text>
        <t>Canalyst:
Assumption by Canalyst</t>
      </text>
    </comment>
    <comment ref="V436" authorId="2" shapeId="0">
      <text>
        <t>Canalyst:
Assumption by Canalyst</t>
      </text>
    </comment>
    <comment ref="W436" authorId="2" shapeId="0">
      <text>
        <t>Canalyst:
Assumption by Canalyst</t>
      </text>
    </comment>
    <comment ref="X436" authorId="2" shapeId="0">
      <text>
        <t>Canalyst:
Assumption by Canalyst</t>
      </text>
    </comment>
    <comment ref="AA436" authorId="2" shapeId="0">
      <text>
        <t>Canalyst:
Assumption by Canalyst</t>
      </text>
    </comment>
    <comment ref="AB436" authorId="2" shapeId="0">
      <text>
        <t>Canalyst:
Assumption by Canalyst</t>
      </text>
    </comment>
    <comment ref="AC436" authorId="2" shapeId="0">
      <text>
        <t>Canalyst:
Assumption by Canalyst</t>
      </text>
    </comment>
    <comment ref="AF436" authorId="2" shapeId="0">
      <text>
        <t>Canalyst:
Assumption by Canalyst</t>
      </text>
    </comment>
    <comment ref="AG436" authorId="2" shapeId="0">
      <text>
        <t>Canalyst:
Assumption by Canalyst</t>
      </text>
    </comment>
    <comment ref="AH436" authorId="2" shapeId="0">
      <text>
        <t>Canalyst:
Assumption by Canalyst</t>
      </text>
    </comment>
    <comment ref="BA436" authorId="0" shapeId="0">
      <text>
        <t>Tegus (JS):
All shares have been retroactively restated for all previous periods to reflect the four-for-one stock split, in the form of a stock dividend, distributed after the close of trading on July 19, 2021</t>
      </text>
    </comment>
    <comment ref="A444" authorId="0" shapeId="0">
      <text>
        <t>Tegus:
In periods where EPS is negative, this amount is calculated using the closest prior period where EPS was positive.</t>
      </text>
    </comment>
    <comment ref="D444" authorId="0" shapeId="0">
      <text>
        <t>Tegus (DT):
Previously, all dilutive securities were excluded from WAD due to the antidilutive effect.</t>
      </text>
    </comment>
    <comment ref="D452" authorId="0" shapeId="0">
      <text>
        <t>Tegus (DT):
Cancelled and cancellations related to stock option holders.</t>
      </text>
    </comment>
    <comment ref="U453" authorId="0" shapeId="0">
      <text>
        <t>Tegus (DT):
Rounding error. Outstanding #'s switched to reporting in millions.</t>
      </text>
    </comment>
    <comment ref="U459" authorId="0" shapeId="0">
      <text>
        <t>Tegus (DT):
Rounding error. Set to equal BoP reported in later filings. Originally reported as 85 mln (split-adjusted).</t>
      </text>
    </comment>
    <comment ref="D464" authorId="0" shapeId="0">
      <text>
        <t>Tegus (DT):
Cancelled and cancellations related to stock option holders.</t>
      </text>
    </comment>
    <comment ref="AI465" authorId="0" shapeId="0">
      <text>
        <t>Tegus (DT):
Not reported, estimated</t>
      </text>
    </comment>
    <comment ref="AJ465" authorId="0" shapeId="0">
      <text>
        <t>Tegus (DT):
Not reported, estimated</t>
      </text>
    </comment>
    <comment ref="AI471" authorId="0" shapeId="0">
      <text>
        <t>Tegus (DT):
Not reported, estimated</t>
      </text>
    </comment>
    <comment ref="AJ471" authorId="0" shapeId="0">
      <text>
        <t>Tegus (DT):
Not reported, estimated</t>
      </text>
    </comment>
    <comment ref="A474" authorId="0" shapeId="0">
      <text>
        <t>Tegus (DT):
Quarterly data not reported.</t>
      </text>
    </comment>
    <comment ref="AJ474" authorId="0" shapeId="0">
      <text>
        <t>Tegus (DT):
The amount of unvested stock options was not significant.</t>
      </text>
    </comment>
    <comment ref="A480" authorId="0" shapeId="0">
      <text>
        <t>Tegus (DT):
Dilutive impact of future ESPP purchases not reported.</t>
      </text>
    </comment>
    <comment ref="BA486" authorId="0" shapeId="0">
      <text>
        <t>Tegus (JS):
All shares have been retroactively restated for all previous periods to reflect the four-for-one stock split, in the form of a stock dividend, distributed after the close of trading on July 19, 2021</t>
      </text>
    </comment>
    <comment ref="BN486" authorId="0" shapeId="0">
      <text>
        <t>Tegus (TP):
2.5 billion</t>
      </text>
    </comment>
    <comment ref="C494" authorId="0" shapeId="0">
      <text>
        <t>Tegus (WW):
Hardcoded as reported</t>
      </text>
    </comment>
    <comment ref="BB494" authorId="0" shapeId="0">
      <text>
        <t>Tegus (BL):
Adjust for stock-split prior this period.</t>
      </text>
    </comment>
    <comment ref="L498" authorId="0" shapeId="0">
      <text>
        <t>Tegus (WW):
Under ASRs. Remaining delivery after the up-front payment</t>
      </text>
    </comment>
    <comment ref="N498" authorId="0" shapeId="0">
      <text>
        <t>Tegus (WW):
Under ASRs. Remaining delivery after the up-front payment</t>
      </text>
    </comment>
    <comment ref="R498" authorId="0" shapeId="0">
      <text>
        <t>Tegus (WW):
Under ASRs. Remaining delivery after the up-front payment</t>
      </text>
    </comment>
    <comment ref="S498" authorId="0" shapeId="0">
      <text>
        <t>Tegus (WW):
Under ASRs. Remaining delivery after the up-front payment</t>
      </text>
    </comment>
    <comment ref="X498" authorId="0" shapeId="0">
      <text>
        <t>Tegus (WW):
Under ASRs. Remaining delivery after the up-front payment</t>
      </text>
    </comment>
    <comment ref="AA498" authorId="0" shapeId="0">
      <text>
        <t>Tegus (WW):
Under ASRs. Remaining delivery after the up-front payment</t>
      </text>
    </comment>
    <comment ref="BB499" authorId="0" shapeId="0">
      <text>
        <t>Tegus (BL):
Adjust for stock-split prior this period.</t>
      </text>
    </comment>
    <comment ref="J501" authorId="0" shapeId="0">
      <text>
        <t>Tegus (WW):
Hardcoded. Due to reporting unit changed</t>
      </text>
    </comment>
    <comment ref="AB503" authorId="0" shapeId="0">
      <text>
        <t>Tegus (WW):
ASR up-front payment. No share delivered during this quarter.</t>
      </text>
    </comment>
    <comment ref="C504" authorId="0" shapeId="0">
      <text>
        <t>Tegus (WW):
Hardcoded as reported</t>
      </text>
    </comment>
    <comment ref="O506" authorId="0" shapeId="0">
      <text>
        <t>Tegus (WW):
In November 2013,, the Company authorized an additional $1 billion under the repurchase program.</t>
      </text>
    </comment>
    <comment ref="W506" authorId="0" shapeId="0">
      <text>
        <t>Tegus (WW):
In May 2015, the Company authorized an additional $1.62 billion under the repurchase program.</t>
      </text>
    </comment>
    <comment ref="AD506" authorId="0" shapeId="0">
      <text>
        <t>Tegus (WW):
On November 7, 2016, the Company authorized an additional $2 billion under repurchase program.</t>
      </text>
    </comment>
    <comment ref="AN506" authorId="0" shapeId="0">
      <text>
        <t>Tegus (WW):
In November 2018, the Company authorized an additional $7 billion under repurchase program.</t>
      </text>
    </comment>
    <comment ref="BF506" authorId="0" shapeId="0">
      <text>
        <t xml:space="preserve">Tegus (WW):
On May 23, 2022,the Company increased and extended share repurchase program to repurchase additional common stock up to a total of $15 billion </t>
      </text>
    </comment>
    <comment ref="BL506" authorId="0" shapeId="0">
      <text>
        <t>Tegus (WW):
On August 21, 2023, the Company approved an increase to share repurchase program of an additional $25 billion.</t>
      </text>
    </comment>
    <comment ref="BQ507" authorId="3" shapeId="0">
      <text>
        <t>Tegus (ALT):
On August 26, 2024, our Board of Directors approved an additional $50 billion to our share repurchase authorization, without expiration.</t>
      </text>
    </comment>
    <comment ref="AA511" authorId="0" shapeId="0">
      <text>
        <t>Tegus (WW):
Adjusted formular due to reporting unit changed</t>
      </text>
    </comment>
    <comment ref="BJ511" authorId="0" shapeId="0">
      <text>
        <t>Tegus (WW):
The Company did not repurchase any shares during the first quarter of FY2024</t>
      </text>
    </comment>
    <comment ref="AA512" authorId="0" shapeId="0">
      <text>
        <t>Tegus (WW):
Adjusted formular due to reporting unit changed</t>
      </text>
    </comment>
    <comment ref="BJ512" authorId="0" shapeId="0">
      <text>
        <t>Tegus (WW):
The Company did not repurchase any shares during the first quarter of FY2024</t>
      </text>
    </comment>
    <comment ref="BJ513" authorId="0" shapeId="0">
      <text>
        <t>Tegus (WW):
The Company did not repurchase any shares during the first quarter of FY2024</t>
      </text>
    </comment>
    <comment ref="C514" authorId="0" shapeId="0">
      <text>
        <t>Tegus (WW):
Hardcoded as reported</t>
      </text>
    </comment>
    <comment ref="D514" authorId="0" shapeId="0">
      <text>
        <t>Tegus (WW):
The Company did not enter into any structured share repurchase transitions during FY2010</t>
      </text>
    </comment>
    <comment ref="E514" authorId="0" shapeId="0">
      <text>
        <t>Tegus (WW):
The Company did not enter into any structured share repurchase transitions during FY2011</t>
      </text>
    </comment>
    <comment ref="F514" authorId="0" shapeId="0">
      <text>
        <t>Tegus (WW):
The Company did not enter into any structured share repurchase transitions during FY2012</t>
      </text>
    </comment>
    <comment ref="AC514" authorId="0" shapeId="0">
      <text>
        <t>Tegus (WW):
The Company did not enter any structured share repurchase transactions during the Q3-2017</t>
      </text>
    </comment>
    <comment ref="AL514" authorId="0" shapeId="0">
      <text>
        <t>Tegus (WW):
The Company had no share repurchase transactions during Q2-2019</t>
      </text>
    </comment>
    <comment ref="AT514" authorId="0" shapeId="0">
      <text>
        <t>Tegus (WW):
The Company did not repurchase any shares during FY2020</t>
      </text>
    </comment>
    <comment ref="AY514" authorId="0" shapeId="0">
      <text>
        <t xml:space="preserve">Tegus (WW):
The Company did not repurchase any shares during FY2021 </t>
      </text>
    </comment>
    <comment ref="BD514" authorId="0" shapeId="0">
      <text>
        <t>Tegus (WW):
The Company did not repurchase any shares during FY2022</t>
      </text>
    </comment>
    <comment ref="BJ514" authorId="0" shapeId="0">
      <text>
        <t>Tegus (WW):
The Company did not repurchase any shares during the first quarter of FY2024</t>
      </text>
    </comment>
    <comment ref="AV704" authorId="0" shapeId="0">
      <text>
        <t xml:space="preserve">Tegus (AW):
The company closed the acquisition of Mellanox for a transaction value of approximately $7.0 billion in cash on April 27, 2020. </t>
      </text>
    </comment>
    <comment ref="A707" authorId="0" shapeId="0">
      <text>
        <t xml:space="preserve">Tegus (TP):
Periods prior to Q1-2024 adjusted for 10-for-1 stock split occurred June 10, 2024. Periods prior to Q1-2022 adjusted for 4-for-1 stock split occurred July 20, 2021. </t>
      </text>
    </comment>
    <comment ref="BW710" authorId="2" shapeId="0">
      <text>
        <t>Tegus (AN):
From October 27, 2025 through November 14, 2025, we repurchased 6 million shares for $1.1 billion pursuant to a pre-established trading plan.</t>
      </text>
    </comment>
    <comment ref="BP808" authorId="1" shapeId="0">
      <text>
        <t xml:space="preserve">Tegus (TP):
Purchases and proceeds from sales of investments in non-affiliated entities </t>
      </text>
    </comment>
    <comment ref="BQ808" authorId="3" shapeId="0">
      <text>
        <t xml:space="preserve">Tegus (ALT):
Purchases and proceeds from sales of investments in non-affiliated entities </t>
      </text>
    </comment>
    <comment ref="BT808" authorId="1" shapeId="0">
      <text>
        <t>Tegus (TP):
Purchases of non-marketable equity securities: -649
Proceeds from sales of non-marketable equity securities: 0</t>
      </text>
    </comment>
    <comment ref="BU808" authorId="1" shapeId="0">
      <text>
        <t>Tegus (TP):
Purchases of non-marketable equity securities: -995
Proceeds from sales of non-marketable equity securities: 70</t>
      </text>
    </comment>
    <comment ref="BV808" authorId="2" shapeId="0">
      <text>
        <t>Tegus (AN):
Purchases of non-marketable equity securities: 4,720</t>
      </text>
    </comment>
    <comment ref="AC823" authorId="0" shapeId="0">
      <text>
        <t>Tegus (AN):
Ommission</t>
      </text>
    </comment>
    <comment ref="AE823" authorId="0" shapeId="0">
      <text>
        <t>Tegus (AN):
Ommission</t>
      </text>
    </comment>
    <comment ref="A838" authorId="0" shapeId="0">
      <text>
        <t>Tegus (KE):
Reported as "Cash paid for interest on capital lease obligations" for periods prior to FY2015.</t>
      </text>
    </comment>
    <comment ref="U907" authorId="0" shapeId="0">
      <text>
        <t>Tegus:
Tegus SC: Hardcoded due to change in rounding</t>
      </text>
    </comment>
    <comment ref="A910" authorId="0" shapeId="0">
      <text>
        <t>Tegus (KE):
Reported as "Cash paid for interest on capital lease obligations" for periods prior to FY2015.</t>
      </text>
    </comment>
    <comment ref="BO911" authorId="1" shapeId="0">
      <text>
        <t>Tegus (TP):
Backed out of Q2-2024 cumulative</t>
      </text>
    </comment>
    <comment ref="BT911" authorId="1" shapeId="0">
      <text>
        <t>Tegus (TP):
To be backed out in Q2-2026</t>
      </text>
    </comment>
    <comment ref="Q913" authorId="0" shapeId="0">
      <text>
        <t xml:space="preserve">Tegus:
Tegus SC: Errors due to change in rounding </t>
      </text>
    </comment>
    <comment ref="R913" authorId="0" shapeId="0">
      <text>
        <t xml:space="preserve">Tegus:
Tegus SC: Errors due to change in rounding </t>
      </text>
    </comment>
    <comment ref="S913" authorId="0" shapeId="0">
      <text>
        <t>Tegus:
Tegus SC: Errors due to change in rounding</t>
      </text>
    </comment>
    <comment ref="T913" authorId="0" shapeId="0">
      <text>
        <t xml:space="preserve">Tegus:
Tegus SC: Errors due to change in rounding </t>
      </text>
    </comment>
    <comment ref="BK913" authorId="0" shapeId="0">
      <text>
        <t>Tegus (AA):
formula adj.</t>
      </text>
    </comment>
    <comment ref="BK960" authorId="0" shapeId="0">
      <text>
        <t>Tegus (AA):
adj for restricted cash</t>
      </text>
    </comment>
    <comment ref="BL960" authorId="0" shapeId="0">
      <text>
        <t>Tegus (AA):
adj for restricted cash</t>
      </text>
    </comment>
    <comment ref="BP960" authorId="0" shapeId="0">
      <text>
        <t>Tegus (CZ):
adj for restricted cash</t>
      </text>
    </comment>
    <comment ref="BS974" authorId="1" shapeId="0">
      <text>
        <t>Tegus (TP):
Non-Marketable Equity Securities</t>
      </text>
    </comment>
    <comment ref="BP979" authorId="4" shapeId="0">
      <text>
        <t>Tegus (CZ):
prepaid tax 331
other 186</t>
      </text>
    </comment>
    <comment ref="AP987" authorId="0" shapeId="0">
      <text>
        <t>Tegus (LZ):
Adjusted for short-term operating lease liabilities</t>
      </text>
    </comment>
    <comment ref="AQ987" authorId="0" shapeId="0">
      <text>
        <t>Tegus (LZ):
Adjusted for short-term operating lease liabilities</t>
      </text>
    </comment>
    <comment ref="AR987" authorId="0" shapeId="0">
      <text>
        <t>Tegus (LZ):
Adjusted for short-term operating lease liabilities</t>
      </text>
    </comment>
    <comment ref="AS987" authorId="0" shapeId="0">
      <text>
        <t>Tegus (LZ):
Adjusted for short-term operating lease liabilities</t>
      </text>
    </comment>
    <comment ref="AT987" authorId="0" shapeId="0">
      <text>
        <t>Tegus (LZ):
Adjusted for short-term operating lease liabilities</t>
      </text>
    </comment>
    <comment ref="AU987" authorId="0" shapeId="0">
      <text>
        <t>Tegus (LZ):
Adjusted for short-term operating lease liabilities</t>
      </text>
    </comment>
    <comment ref="AV987" authorId="0" shapeId="0">
      <text>
        <t>Tegus (LZ):
Adjusted for short-term operating lease liabilities</t>
      </text>
    </comment>
    <comment ref="AW987" authorId="0" shapeId="0">
      <text>
        <t>Tegus (LZ):
Adjusted for short-term operating lease liabilities</t>
      </text>
    </comment>
    <comment ref="AX987" authorId="0" shapeId="0">
      <text>
        <t>Tegus (TP):
Adjusted for short-term operating lease liabilities</t>
      </text>
    </comment>
    <comment ref="AY987" authorId="0" shapeId="0">
      <text>
        <t>Tegus (TP):
Adjusted for short-term operating lease liabilities</t>
      </text>
    </comment>
    <comment ref="AZ987" authorId="0" shapeId="0">
      <text>
        <t>Tegus (TP):
Adjusted for short-term operating lease liabilities</t>
      </text>
    </comment>
    <comment ref="BA987" authorId="0" shapeId="0">
      <text>
        <t>Tegus (TP):
Adjusted for short-term operating lease liabilities</t>
      </text>
    </comment>
    <comment ref="BB987" authorId="0" shapeId="0">
      <text>
        <t>Tegus (LZ):
Adjusted for short-term operating lease liabilities</t>
      </text>
    </comment>
    <comment ref="BC987" authorId="0" shapeId="0">
      <text>
        <t>Tegus (LZ):
Adjusted for short-term operating lease liabilities</t>
      </text>
    </comment>
    <comment ref="BD987" authorId="0" shapeId="0">
      <text>
        <t>Tegus (LZ):
Adjusted for short-term operating lease liabilities</t>
      </text>
    </comment>
    <comment ref="BE987" authorId="0" shapeId="0">
      <text>
        <t>Tegus (LZ):
Adjusted for short-term operating lease liabilities</t>
      </text>
    </comment>
    <comment ref="BF987" authorId="0" shapeId="0">
      <text>
        <t>Tegus (LZ):
Adjusted for short-term operating lease liabilities</t>
      </text>
    </comment>
    <comment ref="BG987" authorId="0" shapeId="0">
      <text>
        <t>Tegus (LZ):
Adjusted for short-term operating lease liabilities</t>
      </text>
    </comment>
    <comment ref="BH987" authorId="0" shapeId="0">
      <text>
        <t>Tegus (SH):
Adjusted for short-term operating lease liabilities</t>
      </text>
    </comment>
    <comment ref="BI987" authorId="0" shapeId="0">
      <text>
        <t>Tegus (SH):
Adjusted for short-term operating lease liabilities</t>
      </text>
    </comment>
    <comment ref="BJ987" authorId="0" shapeId="0">
      <text>
        <t>Tegus (DHJ):
Adjusted for short-term operating lease liabilities</t>
      </text>
    </comment>
    <comment ref="BK987" authorId="0" shapeId="0">
      <text>
        <t>Tegus (TP):
Adjusted for short-term operating lease liabilities</t>
      </text>
    </comment>
    <comment ref="BL987" authorId="0" shapeId="0">
      <text>
        <t>Tegus (TP):
Adjusted for short-term operating lease liabilities</t>
      </text>
    </comment>
    <comment ref="BM987" authorId="0" shapeId="0">
      <text>
        <t>Tegus (SH):
Adjusted for short-term operating lease liabilities</t>
      </text>
    </comment>
    <comment ref="BN987" authorId="0" shapeId="0">
      <text>
        <t>Tegus (SH):
Adjusted for short-term operating lease liabilities</t>
      </text>
    </comment>
    <comment ref="BO987" authorId="0" shapeId="0">
      <text>
        <t>Tegus (TP):
Adjusted for short-term operating lease liabilities</t>
      </text>
    </comment>
    <comment ref="BP987" authorId="1" shapeId="0">
      <text>
        <t>Tegus (TP):
Adjusted for short-term operating lease liabilities</t>
      </text>
    </comment>
    <comment ref="BQ987" authorId="1" shapeId="0">
      <text>
        <t>Tegus (TP):
Adjusted for short-term operating lease liabilities</t>
      </text>
    </comment>
    <comment ref="BR987" authorId="1" shapeId="0">
      <text>
        <t>Tegus (TP):
Adjusted for short-term operating lease liabilities</t>
      </text>
    </comment>
    <comment ref="BS987" authorId="1" shapeId="0">
      <text>
        <t>Tegus (TP):
Adjusted for short-term operating lease liabilities</t>
      </text>
    </comment>
    <comment ref="BT987" authorId="0" shapeId="0">
      <text>
        <t>Tegus (TP):
Adjusted for short-term operating lease liabilities</t>
      </text>
    </comment>
    <comment ref="BU987" authorId="0" shapeId="0">
      <text>
        <t>Tegus (TP):
Adjusted for short-term operating lease liabilities</t>
      </text>
    </comment>
    <comment ref="BV987" authorId="0" shapeId="0">
      <text>
        <t>Tegus (AN):
Adjusted for short-term operating lease liabilities</t>
      </text>
    </comment>
    <comment ref="Q1014" authorId="0" shapeId="0">
      <text>
        <t>Tegus (TP):
Due to change in rounding</t>
      </text>
    </comment>
    <comment ref="S1014" authorId="0" shapeId="0">
      <text>
        <t xml:space="preserve">Tegus:
Tegus SC: Error due to change in rounding </t>
      </text>
    </comment>
    <comment ref="T1014" authorId="0" shapeId="0">
      <text>
        <t xml:space="preserve">Tegus:
Tegus SC: Error due to change in rounding </t>
      </text>
    </comment>
    <comment ref="U1014" authorId="0" shapeId="0">
      <text>
        <t>Tegus (TP):
Due to change in rounding</t>
      </text>
    </comment>
    <comment ref="Y1014" authorId="0" shapeId="0">
      <text>
        <t>Tegus (VT):
Rounding error. Q4 IS hardcoded as reported.</t>
      </text>
    </comment>
    <comment ref="Z1014" authorId="0" shapeId="0">
      <text>
        <t>Tegus (VT):
Rounding error. Q4 IS hardcoded as reported.</t>
      </text>
    </comment>
    <comment ref="AC1014" authorId="0" shapeId="0">
      <text>
        <t>Tegus (BP):
Rounding error</t>
      </text>
    </comment>
    <comment ref="AD1014" authorId="0" shapeId="0">
      <text>
        <t>Tegus (JA):
Discrepancy as reported. Likely due to rounding in financial statements.</t>
      </text>
    </comment>
    <comment ref="AG1014" authorId="0" shapeId="0">
      <text>
        <t>Tegus (AH):
Due to rounding error</t>
      </text>
    </comment>
    <comment ref="AH1014" authorId="0" shapeId="0">
      <text>
        <t>Tegus (GJ):
Due to rounding error</t>
      </text>
    </comment>
    <comment ref="AI1014" authorId="0" shapeId="0">
      <text>
        <t>Tegus (AB):
Due to rounding error.</t>
      </text>
    </comment>
    <comment ref="AN1014" authorId="0" shapeId="0">
      <text>
        <t>Tegus (LZ):
Rounding error</t>
      </text>
    </comment>
    <comment ref="AQ1014" authorId="0" shapeId="0">
      <text>
        <t>Tegus (WC):
-as reported -error due to rounding</t>
      </text>
    </comment>
    <comment ref="AR1014" authorId="0" shapeId="0">
      <text>
        <t>Tegus (WC):
-as reported -error due to rounding</t>
      </text>
    </comment>
    <comment ref="AS1014" authorId="0" shapeId="0">
      <text>
        <t>Tegus (WC):
-as reported -error due to rounding</t>
      </text>
    </comment>
    <comment ref="BA1014" authorId="0" shapeId="0">
      <text>
        <t>Tegus (SK):
As reported</t>
      </text>
    </comment>
    <comment ref="BK1014" authorId="0" shapeId="0">
      <text>
        <t>Tegus (TP):
Rounding error</t>
      </text>
    </comment>
    <comment ref="Q1015" authorId="0" shapeId="0">
      <text>
        <t>Tegus (TP):
Due to change in rounding</t>
      </text>
    </comment>
    <comment ref="S1015" authorId="0" shapeId="0">
      <text>
        <t>Tegus (TP):
Due to change in rounding</t>
      </text>
    </comment>
    <comment ref="U1015" authorId="0" shapeId="0">
      <text>
        <t>Tegus (TP):
Due to change in rounding</t>
      </text>
    </comment>
    <comment ref="Z1015" authorId="0" shapeId="0">
      <text>
        <t>Tegus (VT):
Rounding error. Q4 IS hardcoded as reported.</t>
      </text>
    </comment>
    <comment ref="P1018" authorId="0" shapeId="0">
      <text>
        <t>Tegus (VT):
Segmented revenue reported to 0 decimal places whereas IS revenue reported to 3 decimal places.</t>
      </text>
    </comment>
    <comment ref="P1019" authorId="0" shapeId="0">
      <text>
        <t>Tegus (VT):
Segmented revenue reported to 0 decimal places whereas IS revenue reported to 3 decimal places.</t>
      </text>
    </comment>
    <comment ref="U1026" authorId="0" shapeId="0">
      <text>
        <t>Tegus (SC):
Non-GAAP adjustments do not sum due to rounding</t>
      </text>
    </comment>
    <comment ref="AE1026" authorId="0" shapeId="0">
      <text>
        <t>Tegus (JA):
Discrepancy as reported</t>
      </text>
    </comment>
    <comment ref="AO1026" authorId="0" shapeId="0">
      <text>
        <t>Tegus (JK):
As reported</t>
      </text>
    </comment>
    <comment ref="BI1026" authorId="0" shapeId="0">
      <text>
        <t>Tegus (SH):
Rounding</t>
      </text>
    </comment>
    <comment ref="BS1026" authorId="1" shapeId="0">
      <text>
        <t>Tegus (TP):
Rounding, NG NI as reported</t>
      </text>
    </comment>
    <comment ref="U1029" authorId="0" shapeId="0">
      <text>
        <t>Tegus (TP):
Due to change in rounding</t>
      </text>
    </comment>
    <comment ref="Z1029" authorId="0" shapeId="0">
      <text>
        <t>Tegus (VT):
Rounding error. Q4 IS hardcoded as reported.</t>
      </text>
    </comment>
    <comment ref="AJ1029" authorId="0" shapeId="0">
      <text>
        <t>Tegus (VT):
Rounding error. As reported.</t>
      </text>
    </comment>
    <comment ref="AO1029" authorId="0" shapeId="0">
      <text>
        <t>Tegus (JK):
As reported</t>
      </text>
    </comment>
    <comment ref="AT1029" authorId="0" shapeId="0">
      <text>
        <t>Tegus (AW):
As reported</t>
      </text>
    </comment>
    <comment ref="BD1029" authorId="0" shapeId="0">
      <text>
        <t>Tegus (EC):
As reported. Due to Q2 2021 ISAR being off by 1</t>
      </text>
    </comment>
    <comment ref="BN1029" authorId="0" shapeId="0">
      <text>
        <t>Tegus (TP):
Rounding error</t>
      </text>
    </comment>
    <comment ref="U1030" authorId="0" shapeId="0">
      <text>
        <t xml:space="preserve">Tegus:
Tegus SC: Non-GAAP adjustments do not sum due to rounding </t>
      </text>
    </comment>
    <comment ref="AE1030" authorId="0" shapeId="0">
      <text>
        <t>Tegus (JA):
Discrepancy as reported</t>
      </text>
    </comment>
    <comment ref="AO1030" authorId="0" shapeId="0">
      <text>
        <t>Tegus (JK):
As reported</t>
      </text>
    </comment>
    <comment ref="BI1030" authorId="0" shapeId="0">
      <text>
        <t>Tegus (SH):
Rounding</t>
      </text>
    </comment>
    <comment ref="BS1030" authorId="1" shapeId="0">
      <text>
        <t>Tegus (TP):
Rounding</t>
      </text>
    </comment>
  </commentList>
</comments>
</file>

<file path=xl/comments/comment2.xml><?xml version="1.0" encoding="utf-8"?>
<comments xmlns="http://schemas.openxmlformats.org/spreadsheetml/2006/main">
  <authors>
    <author>Canalyst (AW)</author>
  </authors>
  <commentList>
    <comment ref="BN52" authorId="0" shapeId="0">
      <text>
        <t>Tegus (AA):
Board currently consists of 14 members. The company only listed 12 members in the Board Diversity Matrix (as of May 14, 2024)</t>
      </text>
    </comment>
    <comment ref="BN53" authorId="0" shapeId="0">
      <text>
        <t>Tegus (AA):
except for Mr. Huang, all of our directors are “independent”</t>
      </text>
    </comment>
    <comment ref="BN54" authorId="0" shapeId="0">
      <text>
        <t>Tegus (AA):
Board currently consists of 14 members. The company only listed 12 members in the Board Diversity Matrix (as of May 14, 2024)</t>
      </text>
    </comment>
    <comment ref="BN55" authorId="0" shapeId="0">
      <text>
        <t>Tegus (AA):
Board currently consists of 14 members. The company only listed 12 members in the Board Diversity Matrix (as of May 14, 2024)</t>
      </text>
    </comment>
    <comment ref="A113" authorId="0" shapeId="0">
      <text>
        <t>Tegus (QB):
Standardized scale for dashboard purposes.</t>
      </text>
    </comment>
    <comment ref="A118" authorId="0" shapeId="0">
      <text>
        <t>Tegus (QB):
Standardized scale for dashboard purposes.</t>
      </text>
    </comment>
  </commentList>
</comments>
</file>

<file path=xl/comments/comment3.xml><?xml version="1.0" encoding="utf-8"?>
<comments xmlns="http://schemas.openxmlformats.org/spreadsheetml/2006/main">
  <authors>
    <author>Canalyst (AW)</author>
    <author>Tegus (AN)</author>
  </authors>
  <commentList>
    <comment ref="A4" authorId="0" shapeId="0">
      <text>
        <t>Tegus:
Sort Largest to Smallest to return to default.</t>
      </text>
    </comment>
    <comment ref="K6" authorId="0" shapeId="0">
      <text>
        <t>Tegus (TP):
+/- 2%</t>
      </text>
    </comment>
    <comment ref="K7" authorId="0" shapeId="0">
      <text>
        <t>Tegus (TP):
+/- 50 bps</t>
      </text>
    </comment>
    <comment ref="K8" authorId="0" shapeId="0">
      <text>
        <t>Tegus (TP):
+/- 50 bps</t>
      </text>
    </comment>
    <comment ref="D9" authorId="0" shapeId="0">
      <text>
        <t>Tegus (TP):
OPEX guidance only includes R&amp;D and SG&amp;A expense.</t>
      </text>
    </comment>
    <comment ref="K11" authorId="1" shapeId="0">
      <text>
        <t>Tegus (AN):
excluding gains and losses from non-marketable and publicly-held equity securities</t>
      </text>
    </comment>
    <comment ref="N11" authorId="0" shapeId="0">
      <text>
        <t>Tegus (EC):
Tegus does not currently forecast this number.</t>
      </text>
    </comment>
    <comment ref="K12" authorId="1" shapeId="0">
      <text>
        <t>Tegus (AN):
excluding gains and losses from non-marketable and publicly-held equity securities</t>
      </text>
    </comment>
    <comment ref="K13" authorId="0" shapeId="0">
      <text>
        <t>Tegus (TP):
+/- 1%</t>
      </text>
    </comment>
    <comment ref="K14" authorId="0" shapeId="0">
      <text>
        <t>Tegus (TP):
+/- 1%</t>
      </text>
    </comment>
    <comment ref="K16" authorId="0" shapeId="0">
      <text>
        <t>Tegus (TP):
+/- 2%</t>
      </text>
    </comment>
    <comment ref="K17" authorId="0" shapeId="0">
      <text>
        <t>Tegus (TP):
+/- 50 bps</t>
      </text>
    </comment>
    <comment ref="K18" authorId="0" shapeId="0">
      <text>
        <t>Tegus (TP):
+/- 50 bps</t>
      </text>
    </comment>
    <comment ref="D19" authorId="0" shapeId="0">
      <text>
        <t>Tegus (TP):
OPEX guidance only includes R&amp;D and SG&amp;A expense.</t>
      </text>
    </comment>
    <comment ref="K21" authorId="0" shapeId="0">
      <text>
        <t>Tegus (TP):
Negative in RIS means income</t>
      </text>
    </comment>
    <comment ref="N21" authorId="0" shapeId="0">
      <text>
        <t>Tegus (EC):
Tegus does not currently forecast this number.</t>
      </text>
    </comment>
    <comment ref="K22" authorId="0" shapeId="0">
      <text>
        <t>Tegus (TP):
Negative in RIS means income</t>
      </text>
    </comment>
    <comment ref="K23" authorId="0" shapeId="0">
      <text>
        <t>Tegus (TP):
+/- 1%</t>
      </text>
    </comment>
    <comment ref="N23" authorId="0" shapeId="0">
      <text>
        <t>Tegus (EC):
Tegus does not currently forecast this number.</t>
      </text>
    </comment>
    <comment ref="K24" authorId="0" shapeId="0">
      <text>
        <t>Tegus (TP):
+/- 1%</t>
      </text>
    </comment>
    <comment ref="K26" authorId="0" shapeId="0">
      <text>
        <t>Tegus (TP):
+/- 2%</t>
      </text>
    </comment>
    <comment ref="K27" authorId="0" shapeId="0">
      <text>
        <t>Tegus (TP):
+/- 50 bps</t>
      </text>
    </comment>
    <comment ref="K28" authorId="0" shapeId="0">
      <text>
        <t>Tegus (TP):
+/- 50 bps</t>
      </text>
    </comment>
    <comment ref="D29" authorId="0" shapeId="0">
      <text>
        <t>Tegus (TP):
OPEX guidance only includes R&amp;D and SG&amp;A expense.</t>
      </text>
    </comment>
    <comment ref="K31" authorId="0" shapeId="0">
      <text>
        <t>Tegus (TP):
Negative in RIS means income</t>
      </text>
    </comment>
    <comment ref="N31" authorId="0" shapeId="0">
      <text>
        <t>Tegus (EC):
Tegus does not currently forecast this number.</t>
      </text>
    </comment>
    <comment ref="K32" authorId="0" shapeId="0">
      <text>
        <t>Tegus (TP):
Negative in RIS means income</t>
      </text>
    </comment>
    <comment ref="K33" authorId="0" shapeId="0">
      <text>
        <t>Tegus (TP):
+/- 1%</t>
      </text>
    </comment>
    <comment ref="N33" authorId="0" shapeId="0">
      <text>
        <t>Tegus (EC):
Tegus does not currently forecast this number.</t>
      </text>
    </comment>
    <comment ref="K34" authorId="0" shapeId="0">
      <text>
        <t>Tegus (TP):
+/- 1%</t>
      </text>
    </comment>
    <comment ref="K36" authorId="0" shapeId="0">
      <text>
        <t>Tegus (TP):
+/- 2%</t>
      </text>
    </comment>
    <comment ref="K37" authorId="0" shapeId="0">
      <text>
        <t>Tegus (TP):
+/- 50 bps</t>
      </text>
    </comment>
    <comment ref="K38" authorId="0" shapeId="0">
      <text>
        <t>Tegus (TP):
+/- 50 bps</t>
      </text>
    </comment>
    <comment ref="D39" authorId="0" shapeId="0">
      <text>
        <t>Tegus (TP):
OPEX guidance only includes R&amp;D and SG&amp;A expense.</t>
      </text>
    </comment>
    <comment ref="K41" authorId="0" shapeId="0">
      <text>
        <t>Tegus (TP):
Negative in RIS means income</t>
      </text>
    </comment>
    <comment ref="N41" authorId="0" shapeId="0">
      <text>
        <t>Tegus (EC):
Tegus does not currently forecast this number.</t>
      </text>
    </comment>
    <comment ref="K42" authorId="0" shapeId="0">
      <text>
        <t>Tegus (TP):
Negative in RIS means income</t>
      </text>
    </comment>
    <comment ref="K43" authorId="0" shapeId="0">
      <text>
        <t>Tegus (TP):
+/- 1%</t>
      </text>
    </comment>
    <comment ref="N43" authorId="0" shapeId="0">
      <text>
        <t>Tegus (EC):
Tegus does not currently forecast this number.</t>
      </text>
    </comment>
    <comment ref="K44" authorId="0" shapeId="0">
      <text>
        <t>Tegus (TP):
+/- 1%</t>
      </text>
    </comment>
    <comment ref="K46" authorId="0" shapeId="0">
      <text>
        <t>Tegus (TP):
+/- 2%</t>
      </text>
    </comment>
    <comment ref="K47" authorId="0" shapeId="0">
      <text>
        <t>Tegus (TP):
+/- 50 bps</t>
      </text>
    </comment>
    <comment ref="K48" authorId="0" shapeId="0">
      <text>
        <t>Tegus (TP):
+/- 50 bps</t>
      </text>
    </comment>
    <comment ref="D49" authorId="0" shapeId="0">
      <text>
        <t>Tegus (TP):
OPEX guidance only includes R&amp;D and SG&amp;A expense.</t>
      </text>
    </comment>
    <comment ref="K51" authorId="0" shapeId="0">
      <text>
        <t>Tegus (TP):
Negative in RIS means income</t>
      </text>
    </comment>
    <comment ref="N51" authorId="0" shapeId="0">
      <text>
        <t>Tegus (EC):
Tegus does not currently forecast this number.</t>
      </text>
    </comment>
    <comment ref="K52" authorId="0" shapeId="0">
      <text>
        <t>Tegus (TP):
Negative in RIS means income</t>
      </text>
    </comment>
    <comment ref="K53" authorId="0" shapeId="0">
      <text>
        <t>Tegus (TP):
+/- 1%</t>
      </text>
    </comment>
    <comment ref="N53" authorId="0" shapeId="0">
      <text>
        <t>Tegus (EC):
Tegus does not currently forecast this number.</t>
      </text>
    </comment>
    <comment ref="K54" authorId="0" shapeId="0">
      <text>
        <t>Tegus (TP):
+/- 1%</t>
      </text>
    </comment>
    <comment ref="K56" authorId="0" shapeId="0">
      <text>
        <t>Tegus (TP):
For the full year, gross margins are expected to be in the mid-70% range.</t>
      </text>
    </comment>
    <comment ref="K57" authorId="0" shapeId="0">
      <text>
        <t>Tegus (TP):
For the full year, gross margins are expected to be in the mid-70% range.</t>
      </text>
    </comment>
    <comment ref="D58" authorId="0" shapeId="0">
      <text>
        <t>Tegus (TP):
OPEX guidance only includes R&amp;D and SG&amp;A expense.</t>
      </text>
    </comment>
    <comment ref="K58" authorId="0" shapeId="0">
      <text>
        <t>Tegus (TP):
Full-year operating expenses are expected to grow in the mid to
upper 40% range.</t>
      </text>
    </comment>
    <comment ref="K59" authorId="0" shapeId="0">
      <text>
        <t>Tegus (TP):
Full-year operating expenses are expected to grow in the mid to
upper 40% range.</t>
      </text>
    </comment>
    <comment ref="K61" authorId="0" shapeId="0">
      <text>
        <t>Tegus (TP):
+/- 2%</t>
      </text>
    </comment>
    <comment ref="K62" authorId="0" shapeId="0">
      <text>
        <t>Tegus (TP):
+/- 50 bps</t>
      </text>
    </comment>
    <comment ref="K63" authorId="0" shapeId="0">
      <text>
        <t>Tegus (TP):
+/- 50 bps</t>
      </text>
    </comment>
    <comment ref="D64" authorId="0" shapeId="0">
      <text>
        <t>Tegus (TP):
OPEX guidance only includes R&amp;D and SG&amp;A expense.</t>
      </text>
    </comment>
    <comment ref="K66" authorId="0" shapeId="0">
      <text>
        <t>Tegus (TP):
Negative in RIS means income</t>
      </text>
    </comment>
    <comment ref="N66" authorId="0" shapeId="0">
      <text>
        <t>Tegus (EC):
Tegus does not currently forecast this number.</t>
      </text>
    </comment>
    <comment ref="K67" authorId="0" shapeId="0">
      <text>
        <t>Tegus (TP):
Negative in RIS means income</t>
      </text>
    </comment>
    <comment ref="K68" authorId="0" shapeId="0">
      <text>
        <t>Tegus (TP):
+/- 1%</t>
      </text>
    </comment>
    <comment ref="N68" authorId="0" shapeId="0">
      <text>
        <t>Tegus (EC):
Tegus does not currently forecast this number.</t>
      </text>
    </comment>
    <comment ref="K69" authorId="0" shapeId="0">
      <text>
        <t>Tegus (TP):
+/- 1%</t>
      </text>
    </comment>
    <comment ref="K71" authorId="0" shapeId="0">
      <text>
        <t>Tegus (TP):
For the full year, gross margins are expected to be in the mid-70% range.</t>
      </text>
    </comment>
    <comment ref="K72" authorId="0" shapeId="0">
      <text>
        <t>Tegus (TP):
For the full year, gross margins are expected to be in the mid-70% range.</t>
      </text>
    </comment>
    <comment ref="D73" authorId="0" shapeId="0">
      <text>
        <t>Tegus (TP):
OPEX guidance only includes R&amp;D and SG&amp;A expense.</t>
      </text>
    </comment>
    <comment ref="K73" authorId="0" shapeId="0">
      <text>
        <t xml:space="preserve">Tegus (TP):
Full-year operating expenses are expected to grow in the low-40% range. </t>
      </text>
    </comment>
    <comment ref="K74" authorId="0" shapeId="0">
      <text>
        <t xml:space="preserve">Tegus (TP):
Full-year operating expenses are expected to grow in the low-40% range. </t>
      </text>
    </comment>
    <comment ref="K76" authorId="0" shapeId="0">
      <text>
        <t>Tegus (TP):
+/- 2%</t>
      </text>
    </comment>
    <comment ref="K77" authorId="0" shapeId="0">
      <text>
        <t>Tegus (TP):
+/- 50 bps</t>
      </text>
    </comment>
    <comment ref="K78" authorId="0" shapeId="0">
      <text>
        <t>Tegus (TP):
+/- 50 bps</t>
      </text>
    </comment>
    <comment ref="D79" authorId="0" shapeId="0">
      <text>
        <t>Tegus (TP):
OPEX guidance only includes R&amp;D and SG&amp;A expense.</t>
      </text>
    </comment>
    <comment ref="K81" authorId="0" shapeId="0">
      <text>
        <t>Tegus (TP):
Negative in RIS means income</t>
      </text>
    </comment>
    <comment ref="N81" authorId="0" shapeId="0">
      <text>
        <t>Tegus (EC):
Tegus does not currently forecast this number.</t>
      </text>
    </comment>
    <comment ref="K82" authorId="0" shapeId="0">
      <text>
        <t>Tegus (TP):
Negative in RIS means income</t>
      </text>
    </comment>
    <comment ref="K83" authorId="0" shapeId="0">
      <text>
        <t>Tegus (TP):
+/- 1%</t>
      </text>
    </comment>
    <comment ref="N83" authorId="0" shapeId="0">
      <text>
        <t>Tegus (EC):
Tegus does not currently forecast this number.</t>
      </text>
    </comment>
    <comment ref="K84" authorId="0" shapeId="0">
      <text>
        <t>Tegus (TP):
+/- 1%</t>
      </text>
    </comment>
    <comment ref="K86" authorId="0" shapeId="0">
      <text>
        <t>Tegus (TP):
+/- 2%</t>
      </text>
    </comment>
    <comment ref="K87" authorId="0" shapeId="0">
      <text>
        <t>Tegus (TP):
+/- 50 bps</t>
      </text>
    </comment>
    <comment ref="K88" authorId="0" shapeId="0">
      <text>
        <t>Tegus (TP):
+/- 50 bps</t>
      </text>
    </comment>
    <comment ref="D89" authorId="0" shapeId="0">
      <text>
        <t>Tegus (TP):
OPEX guidance only includes R&amp;D and SG&amp;A expense.</t>
      </text>
    </comment>
    <comment ref="K91" authorId="0" shapeId="0">
      <text>
        <t>Tegus (TP):
Negative in RIS means income</t>
      </text>
    </comment>
    <comment ref="N91" authorId="0" shapeId="0">
      <text>
        <t>Tegus (EC):
Tegus does not currently forecast this number.</t>
      </text>
    </comment>
    <comment ref="K92" authorId="0" shapeId="0">
      <text>
        <t>Tegus (TP):
Negative in RIS means income</t>
      </text>
    </comment>
    <comment ref="K93" authorId="0" shapeId="0">
      <text>
        <t>Tegus (TP):
+/- 1%</t>
      </text>
    </comment>
    <comment ref="N93" authorId="0" shapeId="0">
      <text>
        <t>Tegus (EC):
Tegus does not currently forecast this number.</t>
      </text>
    </comment>
    <comment ref="K94" authorId="0" shapeId="0">
      <text>
        <t>Tegus (TP):
+/- 1%</t>
      </text>
    </comment>
    <comment ref="K96" authorId="0" shapeId="0">
      <text>
        <t>Tegus (TP):
+/- 2%</t>
      </text>
    </comment>
    <comment ref="K97" authorId="0" shapeId="0">
      <text>
        <t>Tegus (TP):
+/- 50 bps</t>
      </text>
    </comment>
    <comment ref="K98" authorId="0" shapeId="0">
      <text>
        <t>Tegus (TP):
+/- 50 bps</t>
      </text>
    </comment>
    <comment ref="D99" authorId="0" shapeId="0">
      <text>
        <t>Tegus (TP):
OPEX guidance only includes R&amp;D and SG&amp;A expense.</t>
      </text>
    </comment>
    <comment ref="K101" authorId="0" shapeId="0">
      <text>
        <t>Tegus (TZ):
Negative in RIS means income</t>
      </text>
    </comment>
    <comment ref="N101" authorId="0" shapeId="0">
      <text>
        <t>Tegus (EC):
Tegus does not currently forecast this number.</t>
      </text>
    </comment>
    <comment ref="K102" authorId="0" shapeId="0">
      <text>
        <t>Tegus (TZ):
Negative in RIS means income</t>
      </text>
    </comment>
    <comment ref="K103" authorId="0" shapeId="0">
      <text>
        <t>Tegus (TZ):
+/- 1%</t>
      </text>
    </comment>
    <comment ref="N103" authorId="0" shapeId="0">
      <text>
        <t>Tegus (EC):
Tegus does not currently forecast this number.</t>
      </text>
    </comment>
    <comment ref="K104" authorId="0" shapeId="0">
      <text>
        <t>Tegus (TZ):
+/- 1%</t>
      </text>
    </comment>
    <comment ref="K106" authorId="0" shapeId="0">
      <text>
        <t>Tegus (TP):
+/- 2%</t>
      </text>
    </comment>
    <comment ref="K107" authorId="0" shapeId="0">
      <text>
        <t>Tegus (TP):
+/- 50 bps</t>
      </text>
    </comment>
    <comment ref="K108" authorId="0" shapeId="0">
      <text>
        <t>Tegus (TP):
+/- 50 bps</t>
      </text>
    </comment>
    <comment ref="D109" authorId="0" shapeId="0">
      <text>
        <t>Tegus (TP):
OPEX guidance only includes R&amp;D and SG&amp;A expense.</t>
      </text>
    </comment>
    <comment ref="K111" authorId="0" shapeId="0">
      <text>
        <t>Tegus (TZ):
Negative in RIS means income</t>
      </text>
    </comment>
    <comment ref="N111" authorId="0" shapeId="0">
      <text>
        <t>Tegus (EC):
Tegus does not currently forecast this number.</t>
      </text>
    </comment>
    <comment ref="K112" authorId="0" shapeId="0">
      <text>
        <t>Tegus (TZ):
Negative in RIS means income</t>
      </text>
    </comment>
    <comment ref="N113" authorId="0" shapeId="0">
      <text>
        <t>Tegus (EC):
Tegus does not currently forecast this number.</t>
      </text>
    </comment>
    <comment ref="K118" authorId="0" shapeId="0">
      <text>
        <t>Tegus (TZ):
+/- 2%</t>
      </text>
    </comment>
    <comment ref="K119" authorId="0" shapeId="0">
      <text>
        <t>Tegus (TZ):
+/- 50 bps</t>
      </text>
    </comment>
    <comment ref="K120" authorId="0" shapeId="0">
      <text>
        <t>Tegus (TZ):
+/- 50 bps</t>
      </text>
    </comment>
    <comment ref="D121" authorId="0" shapeId="0">
      <text>
        <t>Tegus (TP):
OPEX guidance only includes R&amp;D and SG&amp;A expense.</t>
      </text>
    </comment>
    <comment ref="K123" authorId="0" shapeId="0">
      <text>
        <t>Tegus (TZ):
Negative in RIS means income</t>
      </text>
    </comment>
    <comment ref="N123" authorId="0" shapeId="0">
      <text>
        <t>Tegus (EC):
Tegus does not currently forecast this number.</t>
      </text>
    </comment>
    <comment ref="K124" authorId="0" shapeId="0">
      <text>
        <t>Tegus (TZ):
Negative in RIS means income</t>
      </text>
    </comment>
    <comment ref="N125" authorId="0" shapeId="0">
      <text>
        <t>Tegus (EC):
Tegus does not currently forecast this number.</t>
      </text>
    </comment>
    <comment ref="I131" authorId="0" shapeId="0">
      <text>
        <t>Tegus (SH):
6.50 billion, plus or minus 2%</t>
      </text>
    </comment>
    <comment ref="J131" authorId="0" shapeId="0">
      <text>
        <t>Tegus (SH):
6.50 billion, plus or minus 2%</t>
      </text>
    </comment>
    <comment ref="K132" authorId="0" shapeId="0">
      <text>
        <t>Tegus (SH):
GAAP gross margin is expected to be 64.1%, plus or minus 50 basis points.</t>
      </text>
    </comment>
    <comment ref="K133" authorId="0" shapeId="0">
      <text>
        <t>Tegus (SH):
non-GAAP gross margin is expected to be 66.5%, plus or minus 50 basis points.</t>
      </text>
    </comment>
    <comment ref="D134" authorId="0" shapeId="0">
      <text>
        <t>Tegus (TP):
OPEX guidance only includes R&amp;D and SG&amp;A expense.</t>
      </text>
    </comment>
    <comment ref="K136" authorId="0" shapeId="0">
      <text>
        <t>Tegus (SH):
excluding gains and losses from non-affiliated investments.</t>
      </text>
    </comment>
    <comment ref="N136" authorId="0" shapeId="0">
      <text>
        <t>Tegus (EC):
Tegus does not currently forecast this number.</t>
      </text>
    </comment>
    <comment ref="K137" authorId="0" shapeId="0">
      <text>
        <t>Tegus (SH):
excluding gains and losses from non-affiliated investments.</t>
      </text>
    </comment>
    <comment ref="K138" authorId="0" shapeId="0">
      <text>
        <t>Tegus (SH):
GAAP and non-GAAP tax rates are expected to be 13.0%, plus or minus 1%, excluding any discrete items.</t>
      </text>
    </comment>
    <comment ref="N138" authorId="0" shapeId="0">
      <text>
        <t>Tegus (EC):
Tegus does not currently forecast this number.</t>
      </text>
    </comment>
    <comment ref="I142" authorId="0" shapeId="0">
      <text>
        <t>Tegus (BL):
6.00 billion, plus or minus 2%</t>
      </text>
    </comment>
    <comment ref="J142" authorId="0" shapeId="0">
      <text>
        <t>Tegus (BL):
6.00 billion, plus or minus 2%</t>
      </text>
    </comment>
    <comment ref="K143" authorId="0" shapeId="0">
      <text>
        <t>Tegus (LZ):
GAAP and non-GAAP gross margins are expected to be 63.2% and 66.0%, respectively, plus or minus 50 basis points.</t>
      </text>
    </comment>
    <comment ref="K144" authorId="0" shapeId="0">
      <text>
        <t>Tegus (LZ):
GAAP and non-GAAP gross margins are expected to be 63.2% and 66.0%, respectively, plus or minus 50 basis points.</t>
      </text>
    </comment>
    <comment ref="D145" authorId="0" shapeId="0">
      <text>
        <t>Tegus (TP):
OPEX guidance only includes R&amp;D and SG&amp;A expense.</t>
      </text>
    </comment>
    <comment ref="N147" authorId="0" shapeId="0">
      <text>
        <t>Tegus (EC):
Tegus does not currently forecast this number.</t>
      </text>
    </comment>
    <comment ref="N149" authorId="0" shapeId="0">
      <text>
        <t>Tegus (EC):
Tegus does not currently forecast this number.</t>
      </text>
    </comment>
    <comment ref="I153" authorId="0" shapeId="0">
      <text>
        <t>Tegus (TP):
Revenue is expected to be $5.90 billion, plus or minus 2%. Gaming and Professional Visualization revenue are expected to decline sequentially, as OEMs and channel partners reduce inventory levels to align with current levels of demand and prepare for NVIDIA’s new product generation. The company expects that decline to be partially offset by sequential growth in Data Center and Automotive.</t>
      </text>
    </comment>
    <comment ref="J153" authorId="0" shapeId="0">
      <text>
        <t>Tegus (TP):
Revenue is expected to be $5.90 billion, plus or minus 2%. Gaming and Professional Visualization revenue are expected to decline sequentially, as OEMs and channel partners reduce inventory levels to align with current levels of demand and prepare for NVIDIA’s new product generation. The company expects that decline to be partially offset by sequential growth in Data Center and Automotive.</t>
      </text>
    </comment>
    <comment ref="I154" authorId="0" shapeId="0">
      <text>
        <t xml:space="preserve">Tegus (TP):
GAAP and non-GAAP gross margins are expected to be 62.4% and 65.0%, respectively, plus or minus 50 basis points. </t>
      </text>
    </comment>
    <comment ref="J154" authorId="0" shapeId="0">
      <text>
        <t xml:space="preserve">Tegus (TP):
GAAP and non-GAAP gross margins are expected to be 62.4% and 65.0%, respectively, plus or minus 50 basis points. </t>
      </text>
    </comment>
    <comment ref="I155" authorId="0" shapeId="0">
      <text>
        <t xml:space="preserve">Tegus (TP):
GAAP and non-GAAP gross margins are expected to be 62.4% and 65.0%, respectively, plus or minus 50 basis points. </t>
      </text>
    </comment>
    <comment ref="J155" authorId="0" shapeId="0">
      <text>
        <t xml:space="preserve">Tegus (TP):
GAAP and non-GAAP gross margins are expected to be 62.4% and 65.0%, respectively, plus or minus 50 basis points. </t>
      </text>
    </comment>
    <comment ref="D156" authorId="0" shapeId="0">
      <text>
        <t>Tegus (TP):
OPEX guidance only includes R&amp;D and SG&amp;A expense.</t>
      </text>
    </comment>
    <comment ref="N158" authorId="0" shapeId="0">
      <text>
        <t>Tegus (EC):
Tegus does not currently forecast this number.</t>
      </text>
    </comment>
    <comment ref="N160" authorId="0" shapeId="0">
      <text>
        <t>Tegus (EC):
Tegus does not currently forecast this number.</t>
      </text>
    </comment>
    <comment ref="I164" authorId="0" shapeId="0">
      <text>
        <t>Tegus (TP):
Revenue is expected to be $8.1 billion, plus or minus 2 percent. This includes an estimated reduction of approximately $500 million relating to Russia and the COVID lockdowns in China.</t>
      </text>
    </comment>
    <comment ref="J164" authorId="0" shapeId="0">
      <text>
        <t>Tegus (TP):
Revenue is expected to be $8.1 billion, plus or minus 2 percent. This includes an estimated reduction of approximately $500 million relating to Russia and the COVID lockdowns in China.</t>
      </text>
    </comment>
    <comment ref="I165" authorId="0" shapeId="0">
      <text>
        <t xml:space="preserve">Tegus (TP):
expected to be 65.1 percent plus or minus 50 basis points. </t>
      </text>
    </comment>
    <comment ref="J165" authorId="0" shapeId="0">
      <text>
        <t xml:space="preserve">Tegus (TP):
expected to be 65.1 percent plus or minus 50 basis points. </t>
      </text>
    </comment>
    <comment ref="I166" authorId="0" shapeId="0">
      <text>
        <t xml:space="preserve">Tegus (TP):
expected to be 67.1 percent plus or minus 50 basis points. </t>
      </text>
    </comment>
    <comment ref="J166" authorId="0" shapeId="0">
      <text>
        <t xml:space="preserve">Tegus (TP):
expected to be 67.1 percent plus or minus 50 basis points. </t>
      </text>
    </comment>
    <comment ref="D167" authorId="0" shapeId="0">
      <text>
        <t>Tegus (TP):
OPEX guidance only includes R&amp;D and SG&amp;A expense.</t>
      </text>
    </comment>
    <comment ref="N169" authorId="0" shapeId="0">
      <text>
        <t>Tegus (EC):
Tegus does not currently forecast this number.</t>
      </text>
    </comment>
    <comment ref="N171" authorId="0" shapeId="0">
      <text>
        <t>Tegus (EC):
Tegus does not currently forecast this number.</t>
      </text>
    </comment>
    <comment ref="I175" authorId="0" shapeId="0">
      <text>
        <t>Tegus (EC):
Revenue is expected to be $8.1 billion, plus or minus 2 percent</t>
      </text>
    </comment>
    <comment ref="J175" authorId="0" shapeId="0">
      <text>
        <t>Tegus (EC):
Revenue is expected to be $8.1 billion, plus or minus 2 percent</t>
      </text>
    </comment>
    <comment ref="I176" authorId="0" shapeId="0">
      <text>
        <t xml:space="preserve">Tegus (EC):
expected to be 65.2 percent plus or minus 50 basis points. </t>
      </text>
    </comment>
    <comment ref="J176" authorId="0" shapeId="0">
      <text>
        <t xml:space="preserve">Tegus (EC):
expected to be 65.2 percent plus or minus 50 basis points. </t>
      </text>
    </comment>
    <comment ref="I177" authorId="0" shapeId="0">
      <text>
        <t xml:space="preserve">Tegus (EC):
expected to be 67 percent plus or minus 50 basis points. </t>
      </text>
    </comment>
    <comment ref="J177" authorId="0" shapeId="0">
      <text>
        <t xml:space="preserve">Tegus (EC):
expected to be 67 percent plus or minus 50 basis points. </t>
      </text>
    </comment>
    <comment ref="I178" authorId="0" shapeId="0">
      <text>
        <t>Tegus (EC):
Including the Arm Write-off of $1.36 billion</t>
      </text>
    </comment>
    <comment ref="J178" authorId="0" shapeId="0">
      <text>
        <t>Tegus (EC):
Including the Arm Write-off of $1.36 billion</t>
      </text>
    </comment>
    <comment ref="N180" authorId="0" shapeId="0">
      <text>
        <t>Tegus (EC):
Tegus does not currently forecast this number.</t>
      </text>
    </comment>
    <comment ref="N182" authorId="0" shapeId="0">
      <text>
        <t>Tegus (EC):
Tegus does not currently forecast this number.</t>
      </text>
    </comment>
    <comment ref="I186" authorId="0" shapeId="0">
      <text>
        <t>Tegus (LZ):
Revenue is expected to be $7.40 billion, plus or minus 2 percent</t>
      </text>
    </comment>
    <comment ref="J186" authorId="0" shapeId="0">
      <text>
        <t>Tegus (LZ):
Revenue is expected to be $7.40 billion, plus or minus 2 percent</t>
      </text>
    </comment>
    <comment ref="N191" authorId="0" shapeId="0">
      <text>
        <t>Tegus (RG):
Tegus does not currently forecast this number.</t>
      </text>
    </comment>
    <comment ref="N193" authorId="0" shapeId="0">
      <text>
        <t>Tegus (RG):
Tegus does not currently forecast this number.</t>
      </text>
    </comment>
    <comment ref="I199" authorId="0" shapeId="0">
      <text>
        <t>Tegus (HS):
Revenue is expected to be $6.80 billion, plus or minus 2 percent</t>
      </text>
    </comment>
    <comment ref="J199" authorId="0" shapeId="0">
      <text>
        <t>Tegus (HS):
Revenue is expected to be $6.80 billion, plus or minus 2 percent</t>
      </text>
    </comment>
    <comment ref="N204" authorId="0" shapeId="0">
      <text>
        <t>Tegus (RG):
Tegus does not currently forecast this number.</t>
      </text>
    </comment>
    <comment ref="N206" authorId="0" shapeId="0">
      <text>
        <t>Tegus (RG):
Tegus does not currently forecast this number.</t>
      </text>
    </comment>
    <comment ref="N217" authorId="0" shapeId="0">
      <text>
        <t>Tegus (RG):
Tegus does not currently forecast this number.</t>
      </text>
    </comment>
    <comment ref="N219" authorId="0" shapeId="0">
      <text>
        <t>Tegus (RG):
Tegus does not currently forecast this number.</t>
      </text>
    </comment>
    <comment ref="N230" authorId="0" shapeId="0">
      <text>
        <t>Tegus (RG):
Tegus does not currently forecast this number.</t>
      </text>
    </comment>
    <comment ref="N232" authorId="0" shapeId="0">
      <text>
        <t>Tegus (RG):
Tegus does not currently forecast this number.</t>
      </text>
    </comment>
    <comment ref="N243" authorId="0" shapeId="0">
      <text>
        <t>Tegus (RG):
Tegus does not currently forecast this number.</t>
      </text>
    </comment>
    <comment ref="N245" authorId="0" shapeId="0">
      <text>
        <t>Tegus (RG):
Tegus does not currently forecast this number.</t>
      </text>
    </comment>
    <comment ref="N255" authorId="0" shapeId="0">
      <text>
        <t>Tegus (RG):
Tegus does not currently forecast this number.</t>
      </text>
    </comment>
    <comment ref="N257" authorId="0" shapeId="0">
      <text>
        <t>Tegus (RG):
Tegus does not currently forecast this number.</t>
      </text>
    </comment>
    <comment ref="K263" authorId="0" shapeId="0">
      <text>
        <t>Tegus (AW):
Includes Mellanox</t>
      </text>
    </comment>
    <comment ref="K264" authorId="0" shapeId="0">
      <text>
        <t>Tegus (AW):
Includes Mellanox</t>
      </text>
    </comment>
    <comment ref="I267" authorId="0" shapeId="0">
      <text>
        <t>Tegus (AW):
"$3.65bn +/- 2%"</t>
      </text>
    </comment>
    <comment ref="J267" authorId="0" shapeId="0">
      <text>
        <t>Tegus (AW):
"$3.65bn +/- 2%"</t>
      </text>
    </comment>
    <comment ref="K267" authorId="0" shapeId="0">
      <text>
        <t>Tegus (AW):
"$3.65bn +/- 2%"</t>
      </text>
    </comment>
    <comment ref="I268" authorId="0" shapeId="0">
      <text>
        <t>Tegus (AW):
65% plus or minus 50 basis points</t>
      </text>
    </comment>
    <comment ref="J268" authorId="0" shapeId="0">
      <text>
        <t>Tegus (AW):
65% plus or minus 50 basis points</t>
      </text>
    </comment>
    <comment ref="K268" authorId="0" shapeId="0">
      <text>
        <t>Tegus (AW):
58.6% plus or minus 50 basis points</t>
      </text>
    </comment>
    <comment ref="I269" authorId="0" shapeId="0">
      <text>
        <t>Tegus (AW):
65.4% plus or minus 50 basis points</t>
      </text>
    </comment>
    <comment ref="J269" authorId="0" shapeId="0">
      <text>
        <t>Tegus (AW):
65.4% plus or minus 50 basis points</t>
      </text>
    </comment>
    <comment ref="K269" authorId="0" shapeId="0">
      <text>
        <t>Tegus (AW):
66% plus or minus 50 basis points</t>
      </text>
    </comment>
    <comment ref="N272" authorId="0" shapeId="0">
      <text>
        <t>Tegus (RG):
Tegus does not currently forecast this number.</t>
      </text>
    </comment>
    <comment ref="N274" authorId="0" shapeId="0">
      <text>
        <t>Tegus (RG):
Tegus does not currently forecast this number.</t>
      </text>
    </comment>
    <comment ref="N279" authorId="0" shapeId="0">
      <text>
        <t>Tegus (RG):
Tegus does not currently forecast this number.</t>
      </text>
    </comment>
    <comment ref="I281" authorId="0" shapeId="0">
      <text>
        <t>Tegus (AW):
"$3.00bn +/- 2%"</t>
      </text>
    </comment>
    <comment ref="J281" authorId="0" shapeId="0">
      <text>
        <t>Tegus (AW):
"$3.00bn +/- 2%"</t>
      </text>
    </comment>
    <comment ref="K281" authorId="0" shapeId="0">
      <text>
        <t>Tegus (AW):
"$3.00bn +/- 2%"</t>
      </text>
    </comment>
    <comment ref="I282" authorId="0" shapeId="0">
      <text>
        <t>Tegus (AW):
65% plus or minus 50 basis points</t>
      </text>
    </comment>
    <comment ref="J282" authorId="0" shapeId="0">
      <text>
        <t>Tegus (AW):
65% plus or minus 50 basis points</t>
      </text>
    </comment>
    <comment ref="K282" authorId="0" shapeId="0">
      <text>
        <t>Tegus (AW):
65% plus or minus 50 basis points</t>
      </text>
    </comment>
    <comment ref="I283" authorId="0" shapeId="0">
      <text>
        <t>Tegus (AW):
65.4% plus or minus 50 basis points</t>
      </text>
    </comment>
    <comment ref="J283" authorId="0" shapeId="0">
      <text>
        <t>Tegus (AW):
65.4% plus or minus 50 basis points</t>
      </text>
    </comment>
    <comment ref="K283" authorId="0" shapeId="0">
      <text>
        <t>Tegus (AW):
65.4% plus or minus 50 basis points</t>
      </text>
    </comment>
    <comment ref="N286" authorId="0" shapeId="0">
      <text>
        <t>Tegus (RG):
Tegus does not currently forecast this number.</t>
      </text>
    </comment>
    <comment ref="N288" authorId="0" shapeId="0">
      <text>
        <t>Tegus (RG):
Tegus does not currently forecast this number.</t>
      </text>
    </comment>
    <comment ref="I293" authorId="0" shapeId="0">
      <text>
        <t>Tegus (WC):
"$2.950bn +/- 2%"</t>
      </text>
    </comment>
    <comment ref="J293" authorId="0" shapeId="0">
      <text>
        <t>Tegus (WC):
"$2.950bn +/- 2%"</t>
      </text>
    </comment>
    <comment ref="K293" authorId="0" shapeId="0">
      <text>
        <t>Tegus (WC):
"$2.950bn +/- 2%"</t>
      </text>
    </comment>
    <comment ref="N298" authorId="0" shapeId="0">
      <text>
        <t>Tegus (RG):
Tegus does not currently forecast this number.</t>
      </text>
    </comment>
    <comment ref="N300" authorId="0" shapeId="0">
      <text>
        <t>Tegus (RG):
Tegus does not currently forecast this number.</t>
      </text>
    </comment>
    <comment ref="I306" authorId="0" shapeId="0">
      <text>
        <t>Tegus (WC):
"$2.9bn +/- 2%"</t>
      </text>
    </comment>
    <comment ref="J306" authorId="0" shapeId="0">
      <text>
        <t>Tegus (WC):
"$2.9bn +/- 2%"</t>
      </text>
    </comment>
    <comment ref="K306" authorId="0" shapeId="0">
      <text>
        <t>Tegus (WC):
"$2.9bn +/- 2%"</t>
      </text>
    </comment>
    <comment ref="N311" authorId="0" shapeId="0">
      <text>
        <t>Tegus (RG):
Tegus does not currently forecast this number.</t>
      </text>
    </comment>
    <comment ref="N313" authorId="0" shapeId="0">
      <text>
        <t>Tegus (RG):
Tegus does not currently forecast this number.</t>
      </text>
    </comment>
    <comment ref="I318" authorId="0" shapeId="0">
      <text>
        <t>Tegus (WC):
"$2.55bn +/- 2%"</t>
      </text>
    </comment>
    <comment ref="J318" authorId="0" shapeId="0">
      <text>
        <t>Tegus (WC):
"$2.55bn +/- 2%"</t>
      </text>
    </comment>
    <comment ref="K318" authorId="0" shapeId="0">
      <text>
        <t>Tegus (WC):
"$2.55bn +/- 2%"</t>
      </text>
    </comment>
    <comment ref="N323" authorId="0" shapeId="0">
      <text>
        <t>Tegus (RG):
Tegus does not currently forecast this number.</t>
      </text>
    </comment>
    <comment ref="N325" authorId="0" shapeId="0">
      <text>
        <t>Tegus (RG):
Tegus does not currently forecast this number.</t>
      </text>
    </comment>
    <comment ref="K330" authorId="0" shapeId="0">
      <text>
        <t>Tegus (JK):
2.2Bn +/- 2%</t>
      </text>
    </comment>
    <comment ref="N335" authorId="0" shapeId="0">
      <text>
        <t>Tegus (RG):
Tegus does not currently forecast this number.</t>
      </text>
    </comment>
    <comment ref="N337" authorId="0" shapeId="0">
      <text>
        <t>Tegus (RG):
Tegus does not currently forecast this number.</t>
      </text>
    </comment>
    <comment ref="N347" authorId="0" shapeId="0">
      <text>
        <t>Tegus (RG):
Tegus does not currently forecast this number.</t>
      </text>
    </comment>
    <comment ref="N349" authorId="0" shapeId="0">
      <text>
        <t>Tegus (RG):
Tegus does not currently forecast this number.</t>
      </text>
    </comment>
    <comment ref="I354" authorId="0" shapeId="0">
      <text>
        <t>Tegus (RG):
Company expected revgenue to be $3.25B, +/- 2%</t>
      </text>
    </comment>
    <comment ref="J354" authorId="0" shapeId="0">
      <text>
        <t>Tegus (RG):
Company expected revgenue to be $3.25B, +/- 2%</t>
      </text>
    </comment>
    <comment ref="N359" authorId="0" shapeId="0">
      <text>
        <t>Tegus (RG):
Tegus does not currently forecast this number.</t>
      </text>
    </comment>
    <comment ref="N361" authorId="0" shapeId="0">
      <text>
        <t>Tegus (RG):
Tegus does not currently forecast this number.</t>
      </text>
    </comment>
    <comment ref="I366" authorId="0" shapeId="0">
      <text>
        <t>Tegus (AH):
Company expected revgenue to be $3.1B, +/- 2%</t>
      </text>
    </comment>
    <comment ref="J366" authorId="0" shapeId="0">
      <text>
        <t>Tegus (AH):
Company expected revgenue to be $3.1B, +/- 2%</t>
      </text>
    </comment>
    <comment ref="N371" authorId="0" shapeId="0">
      <text>
        <t>Tegus (VT):
Tegus does not currently forecast this number.</t>
      </text>
    </comment>
    <comment ref="N382" authorId="0" shapeId="0">
      <text>
        <t>Tegus (VT):
Tegus does not currently forecast this number.</t>
      </text>
    </comment>
    <comment ref="N392" authorId="0" shapeId="0">
      <text>
        <t>Tegus (AB):
Tegus does not currently forecast this number.</t>
      </text>
    </comment>
  </commentList>
</comments>
</file>

<file path=xl/comments/comment4.xml><?xml version="1.0" encoding="utf-8"?>
<comments xmlns="http://schemas.openxmlformats.org/spreadsheetml/2006/main">
  <authors>
    <author>Canalyst (AW)</author>
  </authors>
  <commentList>
    <comment ref="A1" authorId="0" shapeId="0">
      <text>
        <t>Tegus:
Customizations on this worksheet are not supported by the Updater.</t>
      </text>
    </comment>
    <comment ref="A27" authorId="0" shapeId="0">
      <text>
        <t>Tegus (JeS):
Includes QDR after FY 2013</t>
      </text>
    </comment>
    <comment ref="J34" authorId="0" shapeId="0">
      <text>
        <t xml:space="preserve">Tegus (WC):
calculated </t>
      </text>
    </comment>
    <comment ref="T34" authorId="0" shapeId="0">
      <text>
        <t xml:space="preserve">Tegus (WC):
calculated </t>
      </text>
    </comment>
    <comment ref="Y34" authorId="0" shapeId="0">
      <text>
        <t xml:space="preserve">Tegus (WC):
calculated </t>
      </text>
    </comment>
    <comment ref="AD34" authorId="0" shapeId="0">
      <text>
        <t xml:space="preserve">Tegus (WC):
calculated </t>
      </text>
    </comment>
    <comment ref="AI35" authorId="0" shapeId="0">
      <text>
        <t xml:space="preserve">Tegus (WC):
calculated </t>
      </text>
    </comment>
    <comment ref="J36" authorId="0" shapeId="0">
      <text>
        <t xml:space="preserve">Tegus (WC):
calculated </t>
      </text>
    </comment>
    <comment ref="C40" authorId="0" shapeId="0">
      <text>
        <t>Tegus (GJ):
Non-GAAP metric not reported for this period</t>
      </text>
    </comment>
    <comment ref="C46" authorId="0" shapeId="0">
      <text>
        <t>Tegus (GJ):
Non-GAAP metric not reported for this period</t>
      </text>
    </comment>
    <comment ref="C48" authorId="0" shapeId="0">
      <text>
        <t>Tegus (GJ):
Non-GAAP metric not reported for this period</t>
      </text>
    </comment>
    <comment ref="C50" authorId="0" shapeId="0">
      <text>
        <t>Tegus (GJ):
Non-GAAP metric not reported for this period</t>
      </text>
    </comment>
    <comment ref="C51" authorId="0" shapeId="0">
      <text>
        <t>Tegus (GJ):
Non-GAAP metric not reported for this period</t>
      </text>
    </comment>
    <comment ref="C52" authorId="0" shapeId="0">
      <text>
        <t>Tegus (GJ):
Non-GAAP metric not reported for this period</t>
      </text>
    </comment>
    <comment ref="AJ66" authorId="0" shapeId="0">
      <text>
        <t>Tegus (WC):
as reported</t>
      </text>
    </comment>
    <comment ref="AJ69" authorId="0" shapeId="0">
      <text>
        <t>Tegus (WC):
as reported</t>
      </text>
    </comment>
    <comment ref="I72" authorId="0" shapeId="0">
      <text>
        <t>Tegus (JeS):
Discrepancy in net income reported on income statement and balance sheet</t>
      </text>
    </comment>
    <comment ref="J72" authorId="0" shapeId="0">
      <text>
        <t>Tegus (JeS):
Discrepancy in net income reported on income statement and balance sheet</t>
      </text>
    </comment>
    <comment ref="AJ81" authorId="0" shapeId="0">
      <text>
        <t xml:space="preserve">Tegus (WC):
as reported </t>
      </text>
    </comment>
    <comment ref="AJ90" authorId="0" shapeId="0">
      <text>
        <t xml:space="preserve">Tegus (WC):
as reported </t>
      </text>
    </comment>
    <comment ref="C93" authorId="0" shapeId="0">
      <text>
        <t>Tegus (GJ):
Non-GAAP breakdown not reported for this period</t>
      </text>
    </comment>
    <comment ref="AJ97" authorId="0" shapeId="0">
      <text>
        <t>Tegus (WC):
as reported</t>
      </text>
    </comment>
    <comment ref="AJ100" authorId="0" shapeId="0">
      <text>
        <t>Tegus (WC):
as reported</t>
      </text>
    </comment>
    <comment ref="C101" authorId="0" shapeId="0">
      <text>
        <t>Tegus (GJ):
Non-GAAP breakdown not reported for this period</t>
      </text>
    </comment>
    <comment ref="AJ108" authorId="0" shapeId="0">
      <text>
        <t xml:space="preserve">Tegus (WC):
as reported </t>
      </text>
    </comment>
    <comment ref="C109" authorId="0" shapeId="0">
      <text>
        <t>Tegus (GJ):
Non-GAAP breakdown not reported for this period</t>
      </text>
    </comment>
    <comment ref="Y115" authorId="0" shapeId="0">
      <text>
        <t>Tegus (GJ):
Discrepancy with SBC reported on CF statement. As reported</t>
      </text>
    </comment>
    <comment ref="Z115" authorId="0" shapeId="0">
      <text>
        <t>Tegus (GJ):
Discrepancy with SBC reported on CF statement. As reported</t>
      </text>
    </comment>
    <comment ref="C141" authorId="0" shapeId="0">
      <text>
        <t>Tegus (GJ):
Non-GAAP breakdown not reported for this period</t>
      </text>
    </comment>
    <comment ref="C147" authorId="0" shapeId="0">
      <text>
        <t>Tegus (GJ):
Non-GAAP breakdown not reported for this period</t>
      </text>
    </comment>
    <comment ref="C152" authorId="0" shapeId="0">
      <text>
        <t>Tegus (GJ):
Non-GAAP breakdown not reported for this period</t>
      </text>
    </comment>
    <comment ref="C157" authorId="0" shapeId="0">
      <text>
        <t>Tegus (GJ):
Non-GAAP breakdown not reported for this period</t>
      </text>
    </comment>
    <comment ref="C160" authorId="0" shapeId="0">
      <text>
        <t>Tegus (GJ):
Non-GAAP breakdown not reported for this period</t>
      </text>
    </comment>
    <comment ref="AH167" authorId="0" shapeId="0">
      <text>
        <t>Tegus (VT):
On April 30, 2018, the company paid off all outstanding principal and interest related to the Term Debt.</t>
      </text>
    </comment>
    <comment ref="AL180" authorId="0" shapeId="0">
      <text>
        <t>Tegus (WC):
Company's Beneficiary Etnerprise Status in Israel entitles the company to 10% tax rate. Actual rate may vary depending on the percentage of foreign investment in the company</t>
      </text>
    </comment>
    <comment ref="N185" authorId="0" shapeId="0">
      <text>
        <t>Tegus (GJ):
Company reported $0.38</t>
      </text>
    </comment>
    <comment ref="V198" authorId="0" shapeId="0">
      <text>
        <t>Tegus (GJ):
Acquisition of EZchip Semiconductor, Ltd.</t>
      </text>
    </comment>
    <comment ref="AD336" authorId="0" shapeId="0">
      <text>
        <t>Tegus (GJ):
Company began including restricted cash in the ending cash balance on the CFS, but not in the cash balance on the balance sheet. Check altered to reflect this change.</t>
      </text>
    </comment>
    <comment ref="AE336" authorId="0" shapeId="0">
      <text>
        <t>Tegus (GJ):
Company began including restricted cash in the ending cash balance on the CFS, but not in the cash balance on the balance sheet. Check altered to reflect this change.</t>
      </text>
    </comment>
    <comment ref="AE366" authorId="0" shapeId="0">
      <text>
        <t>Tegus (GJ):
Long-Term restricted cash has been taken out of long-term assets.</t>
      </text>
    </comment>
    <comment ref="AF366" authorId="0" shapeId="0">
      <text>
        <t>Tegus (WC):
adjusted for restricted cash</t>
      </text>
    </comment>
    <comment ref="AG366" authorId="0" shapeId="0">
      <text>
        <t>Tegus (WC):
adjusted for restricted cash</t>
      </text>
    </comment>
    <comment ref="AH366" authorId="0" shapeId="0">
      <text>
        <t>Tegus (WC):
adjusted for restricted cash</t>
      </text>
    </comment>
    <comment ref="AI366" authorId="0" shapeId="0">
      <text>
        <t>Tegus (WC):
adjusted for restricted cash</t>
      </text>
    </comment>
    <comment ref="AJ366" authorId="0" shapeId="0">
      <text>
        <t>Tegus (WC):
adjusted for restricted cash</t>
      </text>
    </comment>
    <comment ref="AK366" authorId="0" shapeId="0">
      <text>
        <t>Tegus (WC):
adjusted for restricted cash</t>
      </text>
    </comment>
    <comment ref="A376" authorId="0" shapeId="0">
      <text>
        <t>Tegus (WC):
operating lease as a result of ASC 842 adoption</t>
      </text>
    </comment>
    <comment ref="A384" authorId="0" shapeId="0">
      <text>
        <t>Tegus (WC):
operating lease as a result of ASC 842 adoption</t>
      </text>
    </comment>
    <comment ref="I402" authorId="0" shapeId="0">
      <text>
        <t>Tegus (JeS):
Discrepancy in net income reported on income statement and balance sheet</t>
      </text>
    </comment>
    <comment ref="J402" authorId="0" shapeId="0">
      <text>
        <t>Tegus (JeS):
Discrepancy in net income reported on income statement and balance sheet</t>
      </text>
    </comment>
    <comment ref="Z412" authorId="0" shapeId="0">
      <text>
        <t>Tegus (BP):
Reported adjusted figures do not sum at year end.</t>
      </text>
    </comment>
    <comment ref="Y414" authorId="0" shapeId="0">
      <text>
        <t>Tegus (BP):
Acquisitions are net of cash acquired.</t>
      </text>
    </comment>
    <comment ref="Z416" authorId="0" shapeId="0">
      <text>
        <t>Tegus (BP):
Reported adjusted figures do not sum at year end.</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0</colOff>
      <row>1</row>
      <rowOff>0</rowOff>
    </from>
    <to>
      <col>5</col>
      <colOff>180975</colOff>
      <row>6</row>
      <rowOff>19050</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95350" y="190500"/>
          <a:ext cx="2143125" cy="10191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0</colOff>
      <row>1</row>
      <rowOff>0</rowOff>
    </from>
    <to>
      <col>3</col>
      <colOff>1257300</colOff>
      <row>6</row>
      <rowOff>142875</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42975" y="190500"/>
          <a:ext cx="2305050" cy="10953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upport@canalyst.com?subject=Canalyst%20Support:%20NVIDIA%20Corporation%20NVDA%20US&amp;body=Model%20Version:%20Q1-2020.20" TargetMode="External" Id="rId1"/><Relationship Type="http://schemas.openxmlformats.org/officeDocument/2006/relationships/hyperlink" Target="mailto:support@canalyst.com?subject=Canalyst%20Support:%20NVIDIA%20Corporation%20NVDA%20US&amp;body=Model%20Version:%20Q1-2020.20" TargetMode="External" Id="rId2"/><Relationship Type="http://schemas.openxmlformats.org/officeDocument/2006/relationships/hyperlink" Target="mailto:support@canalyst.com?subject=Canalyst%20Support:%20NVIDIA%20Corporation%20NVDA%20US&amp;body=Model%20Version:%20Q1-2020.20" TargetMode="External" Id="rId3"/><Relationship Type="http://schemas.openxmlformats.org/officeDocument/2006/relationships/drawing" Target="/xl/drawings/drawing1.xml" Id="rId4"/></Relationships>
</file>

<file path=xl/worksheets/_rels/sheet4.xml.rels><Relationships xmlns="http://schemas.openxmlformats.org/package/2006/relationships"><Relationship Type="http://schemas.openxmlformats.org/officeDocument/2006/relationships/hyperlink" Target="https://investor.nvidia.com/home/default.aspx"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s201.q4cdn.com/141608511/files/doc_financials/2026/Q326/Q3FY26-CFO-Commentary.pdf" TargetMode="External" Id="rId1"/><Relationship Type="http://schemas.openxmlformats.org/officeDocument/2006/relationships/hyperlink" Target="https://s201.q4cdn.com/141608511/files/doc_financials/2026/Q326/Q3FY26-CFO-Commentary.pdf" TargetMode="External" Id="rId2"/><Relationship Type="http://schemas.openxmlformats.org/officeDocument/2006/relationships/hyperlink" Target="https://s201.q4cdn.com/141608511/files/doc_financials/2026/Q326/Q3FY26-CFO-Commentary.pdf" TargetMode="External" Id="rId3"/><Relationship Type="http://schemas.openxmlformats.org/officeDocument/2006/relationships/hyperlink" Target="https://s201.q4cdn.com/141608511/files/doc_financials/2026/Q326/Q3FY26-CFO-Commentary.pdf" TargetMode="External" Id="rId4"/><Relationship Type="http://schemas.openxmlformats.org/officeDocument/2006/relationships/hyperlink" Target="https://s201.q4cdn.com/141608511/files/doc_financials/2026/Q326/Q3FY26-CFO-Commentary.pdf" TargetMode="External" Id="rId5"/><Relationship Type="http://schemas.openxmlformats.org/officeDocument/2006/relationships/hyperlink" Target="https://s201.q4cdn.com/141608511/files/doc_financials/2026/Q326/Q3FY26-CFO-Commentary.pdf" TargetMode="External" Id="rId6"/><Relationship Type="http://schemas.openxmlformats.org/officeDocument/2006/relationships/hyperlink" Target="https://s201.q4cdn.com/141608511/files/doc_financials/2026/Q326/Q3FY26-CFO-Commentary.pdf" TargetMode="External" Id="rId7"/><Relationship Type="http://schemas.openxmlformats.org/officeDocument/2006/relationships/hyperlink" Target="https://s201.q4cdn.com/141608511/files/doc_financials/2026/Q326/Q3FY26-CFO-Commentary.pdf" TargetMode="External" Id="rId8"/><Relationship Type="http://schemas.openxmlformats.org/officeDocument/2006/relationships/hyperlink" Target="https://s201.q4cdn.com/141608511/files/doc_financials/2026/Q326/Q3FY26-CFO-Commentary.pdf" TargetMode="External" Id="rId9"/><Relationship Type="http://schemas.openxmlformats.org/officeDocument/2006/relationships/hyperlink" Target="https://investor.nvidia.com/files/doc_financials/2026/Q226/Q2FY26-CFO-Commentary.pdf" TargetMode="External" Id="rId10"/><Relationship Type="http://schemas.openxmlformats.org/officeDocument/2006/relationships/hyperlink" Target="https://investor.nvidia.com/files/doc_financials/2026/Q226/Q2FY26-CFO-Commentary.pdf" TargetMode="External" Id="rId11"/><Relationship Type="http://schemas.openxmlformats.org/officeDocument/2006/relationships/hyperlink" Target="https://investor.nvidia.com/files/doc_financials/2026/Q226/Q2FY26-CFO-Commentary.pdf" TargetMode="External" Id="rId12"/><Relationship Type="http://schemas.openxmlformats.org/officeDocument/2006/relationships/hyperlink" Target="https://investor.nvidia.com/files/doc_financials/2026/Q226/Q2FY26-CFO-Commentary.pdf" TargetMode="External" Id="rId13"/><Relationship Type="http://schemas.openxmlformats.org/officeDocument/2006/relationships/hyperlink" Target="https://investor.nvidia.com/files/doc_financials/2026/Q226/Q2FY26-CFO-Commentary.pdf" TargetMode="External" Id="rId14"/><Relationship Type="http://schemas.openxmlformats.org/officeDocument/2006/relationships/hyperlink" Target="https://investor.nvidia.com/files/doc_financials/2026/Q226/Q2FY26-CFO-Commentary.pdf" TargetMode="External" Id="rId15"/><Relationship Type="http://schemas.openxmlformats.org/officeDocument/2006/relationships/hyperlink" Target="https://investor.nvidia.com/files/doc_financials/2026/Q226/Q2FY26-CFO-Commentary.pdf" TargetMode="External" Id="rId16"/><Relationship Type="http://schemas.openxmlformats.org/officeDocument/2006/relationships/hyperlink" Target="https://investor.nvidia.com/files/doc_financials/2026/Q226/Q2FY26-CFO-Commentary.pdf" TargetMode="External" Id="rId17"/><Relationship Type="http://schemas.openxmlformats.org/officeDocument/2006/relationships/hyperlink" Target="https://investor.nvidia.com/files/doc_financials/2026/Q226/Q2FY26-CFO-Commentary.pdf" TargetMode="External" Id="rId18"/><Relationship Type="http://schemas.openxmlformats.org/officeDocument/2006/relationships/hyperlink" Target="https://investor.nvidia.com/files/doc_financials/2025/Q425/Q4FY25-CFO-Commentary.pdf" TargetMode="External" Id="rId19"/><Relationship Type="http://schemas.openxmlformats.org/officeDocument/2006/relationships/hyperlink" Target="https://investor.nvidia.com/files/doc_financials/2025/Q425/Q4FY25-CFO-Commentary.pdf" TargetMode="External" Id="rId20"/><Relationship Type="http://schemas.openxmlformats.org/officeDocument/2006/relationships/hyperlink" Target="https://investor.nvidia.com/files/doc_financials/2025/Q425/Q4FY25-CFO-Commentary.pdf" TargetMode="External" Id="rId21"/><Relationship Type="http://schemas.openxmlformats.org/officeDocument/2006/relationships/hyperlink" Target="https://investor.nvidia.com/files/doc_financials/2025/Q425/Q4FY25-CFO-Commentary.pdf" TargetMode="External" Id="rId22"/><Relationship Type="http://schemas.openxmlformats.org/officeDocument/2006/relationships/hyperlink" Target="https://investor.nvidia.com/files/doc_financials/2025/Q425/Q4FY25-CFO-Commentary.pdf" TargetMode="External" Id="rId23"/><Relationship Type="http://schemas.openxmlformats.org/officeDocument/2006/relationships/hyperlink" Target="https://investor.nvidia.com/files/doc_financials/2025/Q425/Q4FY25-CFO-Commentary.pdf" TargetMode="External" Id="rId24"/><Relationship Type="http://schemas.openxmlformats.org/officeDocument/2006/relationships/hyperlink" Target="https://investor.nvidia.com/files/doc_financials/2025/Q425/Q4FY25-CFO-Commentary.pdf" TargetMode="External" Id="rId25"/><Relationship Type="http://schemas.openxmlformats.org/officeDocument/2006/relationships/hyperlink" Target="https://investor.nvidia.com/files/doc_financials/2025/Q425/Q4FY25-CFO-Commentary.pdf" TargetMode="External" Id="rId26"/><Relationship Type="http://schemas.openxmlformats.org/officeDocument/2006/relationships/hyperlink" Target="https://investor.nvidia.com/files/doc_financials/2025/Q425/Q4FY25-CFO-Commentary.pdf" TargetMode="External" Id="rId27"/><Relationship Type="http://schemas.openxmlformats.org/officeDocument/2006/relationships/hyperlink" Target="https://investor.nvidia.com/files/doc_financials/2025/Q325/Q3FY25-CFO-Commentary.pdf" TargetMode="External" Id="rId28"/><Relationship Type="http://schemas.openxmlformats.org/officeDocument/2006/relationships/hyperlink" Target="https://investor.nvidia.com/files/doc_financials/2025/Q325/Q3FY25-CFO-Commentary.pdf" TargetMode="External" Id="rId29"/><Relationship Type="http://schemas.openxmlformats.org/officeDocument/2006/relationships/hyperlink" Target="https://investor.nvidia.com/files/doc_financials/2025/Q325/Q3FY25-CFO-Commentary.pdf" TargetMode="External" Id="rId30"/><Relationship Type="http://schemas.openxmlformats.org/officeDocument/2006/relationships/hyperlink" Target="https://investor.nvidia.com/files/doc_financials/2025/Q325/Q3FY25-CFO-Commentary.pdf" TargetMode="External" Id="rId31"/><Relationship Type="http://schemas.openxmlformats.org/officeDocument/2006/relationships/hyperlink" Target="https://investor.nvidia.com/files/doc_financials/2025/Q325/Q3FY25-CFO-Commentary.pdf" TargetMode="External" Id="rId32"/><Relationship Type="http://schemas.openxmlformats.org/officeDocument/2006/relationships/hyperlink" Target="https://investor.nvidia.com/files/doc_financials/2025/Q325/Q3FY25-CFO-Commentary.pdf" TargetMode="External" Id="rId33"/><Relationship Type="http://schemas.openxmlformats.org/officeDocument/2006/relationships/hyperlink" Target="https://investor.nvidia.com/files/doc_financials/2025/Q325/Q3FY25-CFO-Commentary.pdf" TargetMode="External" Id="rId34"/><Relationship Type="http://schemas.openxmlformats.org/officeDocument/2006/relationships/hyperlink" Target="https://investor.nvidia.com/files/doc_financials/2025/Q325/Q3FY25-CFO-Commentary.pdf" TargetMode="External" Id="rId35"/><Relationship Type="http://schemas.openxmlformats.org/officeDocument/2006/relationships/hyperlink" Target="https://investor.nvidia.com/files/doc_financials/2025/Q325/Q3FY25-CFO-Commentary.pdf" TargetMode="External" Id="rId36"/><Relationship Type="http://schemas.openxmlformats.org/officeDocument/2006/relationships/hyperlink" Target="https://investor.nvidia.com/files/doc_financials/2025/Q225/Q2FY25-CFO-Commentary.pdf" TargetMode="External" Id="rId37"/><Relationship Type="http://schemas.openxmlformats.org/officeDocument/2006/relationships/hyperlink" Target="https://investor.nvidia.com/files/doc_financials/2025/Q225/Q2FY25-CFO-Commentary.pdf" TargetMode="External" Id="rId38"/><Relationship Type="http://schemas.openxmlformats.org/officeDocument/2006/relationships/hyperlink" Target="https://investor.nvidia.com/files/doc_financials/2025/Q225/Q2FY25-CFO-Commentary.pdf" TargetMode="External" Id="rId39"/><Relationship Type="http://schemas.openxmlformats.org/officeDocument/2006/relationships/hyperlink" Target="https://investor.nvidia.com/files/doc_financials/2025/Q225/Q2FY25-CFO-Commentary.pdf" TargetMode="External" Id="rId40"/><Relationship Type="http://schemas.openxmlformats.org/officeDocument/2006/relationships/hyperlink" Target="https://investor.nvidia.com/files/doc_financials/2025/Q225/Q2FY25-CFO-Commentary.pdf" TargetMode="External" Id="rId41"/><Relationship Type="http://schemas.openxmlformats.org/officeDocument/2006/relationships/hyperlink" Target="https://investor.nvidia.com/files/doc_financials/2025/Q225/Q2FY25-CFO-Commentary.pdf" TargetMode="External" Id="rId42"/><Relationship Type="http://schemas.openxmlformats.org/officeDocument/2006/relationships/hyperlink" Target="https://investor.nvidia.com/files/doc_financials/2025/Q225/Q2FY25-CFO-Commentary.pdf" TargetMode="External" Id="rId43"/><Relationship Type="http://schemas.openxmlformats.org/officeDocument/2006/relationships/hyperlink" Target="https://investor.nvidia.com/files/doc_financials/2025/Q225/Q2FY25-CFO-Commentary.pdf" TargetMode="External" Id="rId44"/><Relationship Type="http://schemas.openxmlformats.org/officeDocument/2006/relationships/hyperlink" Target="https://investor.nvidia.com/files/doc_financials/2025/Q225/Q2FY25-CFO-Commentary.pdf" TargetMode="External" Id="rId45"/><Relationship Type="http://schemas.openxmlformats.org/officeDocument/2006/relationships/hyperlink" Target="https://investor.nvidia.com/files/doc_financials/2025/Q225/Q2FY25-CFO-Commentary.pdf" TargetMode="External" Id="rId46"/><Relationship Type="http://schemas.openxmlformats.org/officeDocument/2006/relationships/hyperlink" Target="https://investor.nvidia.com/files/doc_financials/2025/Q225/Q2FY25-CFO-Commentary.pdf" TargetMode="External" Id="rId47"/><Relationship Type="http://schemas.openxmlformats.org/officeDocument/2006/relationships/hyperlink" Target="https://investor.nvidia.com/files/doc_financials/2025/Q225/Q2FY25-CFO-Commentary.pdf" TargetMode="External" Id="rId48"/><Relationship Type="http://schemas.openxmlformats.org/officeDocument/2006/relationships/hyperlink" Target="https://investor.nvidia.com/files/doc_financials/2025/Q225/Q2FY25-CFO-Commentary.pdf" TargetMode="External" Id="rId49"/><Relationship Type="http://schemas.openxmlformats.org/officeDocument/2006/relationships/hyperlink" Target="https://investor.nvidia.com/files/doc_financials/2025/Q1FY25-CFO-Commentary.pdf" TargetMode="External" Id="rId50"/><Relationship Type="http://schemas.openxmlformats.org/officeDocument/2006/relationships/hyperlink" Target="https://investor.nvidia.com/files/doc_financials/2025/Q1FY25-CFO-Commentary.pdf" TargetMode="External" Id="rId51"/><Relationship Type="http://schemas.openxmlformats.org/officeDocument/2006/relationships/hyperlink" Target="https://investor.nvidia.com/files/doc_financials/2025/Q1FY25-CFO-Commentary.pdf" TargetMode="External" Id="rId52"/><Relationship Type="http://schemas.openxmlformats.org/officeDocument/2006/relationships/hyperlink" Target="https://investor.nvidia.com/files/doc_financials/2025/Q1FY25-CFO-Commentary.pdf" TargetMode="External" Id="rId53"/><Relationship Type="http://schemas.openxmlformats.org/officeDocument/2006/relationships/hyperlink" Target="https://investor.nvidia.com/files/doc_financials/2025/Q1FY25-CFO-Commentary.pdf" TargetMode="External" Id="rId54"/><Relationship Type="http://schemas.openxmlformats.org/officeDocument/2006/relationships/hyperlink" Target="https://investor.nvidia.com/files/doc_financials/2025/Q1FY25-CFO-Commentary.pdf" TargetMode="External" Id="rId55"/><Relationship Type="http://schemas.openxmlformats.org/officeDocument/2006/relationships/hyperlink" Target="https://investor.nvidia.com/files/doc_financials/2025/Q1FY25-CFO-Commentary.pdf" TargetMode="External" Id="rId56"/><Relationship Type="http://schemas.openxmlformats.org/officeDocument/2006/relationships/hyperlink" Target="https://investor.nvidia.com/files/doc_financials/2025/Q1FY25-CFO-Commentary.pdf" TargetMode="External" Id="rId57"/><Relationship Type="http://schemas.openxmlformats.org/officeDocument/2006/relationships/hyperlink" Target="https://investor.nvidia.com/files/doc_financials/2025/Q1FY25-CFO-Commentary.pdf" TargetMode="External" Id="rId58"/><Relationship Type="http://schemas.openxmlformats.org/officeDocument/2006/relationships/hyperlink" Target="https://investor.nvidia.com/files/doc_financials/2025/Q1FY25-CFO-Commentary.pdf" TargetMode="External" Id="rId59"/><Relationship Type="http://schemas.openxmlformats.org/officeDocument/2006/relationships/hyperlink" Target="https://investor.nvidia.com/files/doc_financials/2025/Q1FY25-CFO-Commentary.pdf" TargetMode="External" Id="rId60"/><Relationship Type="http://schemas.openxmlformats.org/officeDocument/2006/relationships/hyperlink" Target="https://investor.nvidia.com/files/doc_financials/2025/Q1FY25-CFO-Commentary.pdf" TargetMode="External" Id="rId61"/><Relationship Type="http://schemas.openxmlformats.org/officeDocument/2006/relationships/hyperlink" Target="https://investor.nvidia.com/files/doc_financials/2025/Q1FY25-CFO-Commentary.pdf" TargetMode="External" Id="rId62"/><Relationship Type="http://schemas.openxmlformats.org/officeDocument/2006/relationships/hyperlink" Target="https://investor.nvidia.com/files/doc_financials/2024/Q4FY24/Q4FY24-CFO-Commentary.pdf" TargetMode="External" Id="rId63"/><Relationship Type="http://schemas.openxmlformats.org/officeDocument/2006/relationships/hyperlink" Target="https://investor.nvidia.com/files/doc_financials/2024/Q4FY24/Q4FY24-CFO-Commentary.pdf" TargetMode="External" Id="rId64"/><Relationship Type="http://schemas.openxmlformats.org/officeDocument/2006/relationships/hyperlink" Target="https://investor.nvidia.com/files/doc_financials/2024/Q4FY24/Q4FY24-CFO-Commentary.pdf" TargetMode="External" Id="rId65"/><Relationship Type="http://schemas.openxmlformats.org/officeDocument/2006/relationships/hyperlink" Target="https://investor.nvidia.com/files/doc_financials/2024/Q4FY24/Q4FY24-CFO-Commentary.pdf" TargetMode="External" Id="rId66"/><Relationship Type="http://schemas.openxmlformats.org/officeDocument/2006/relationships/hyperlink" Target="https://investor.nvidia.com/files/doc_financials/2024/Q4FY24/Q4FY24-CFO-Commentary.pdf" TargetMode="External" Id="rId67"/><Relationship Type="http://schemas.openxmlformats.org/officeDocument/2006/relationships/hyperlink" Target="https://investor.nvidia.com/files/doc_financials/2024/Q4FY24/Q4FY24-CFO-Commentary.pdf" TargetMode="External" Id="rId68"/><Relationship Type="http://schemas.openxmlformats.org/officeDocument/2006/relationships/hyperlink" Target="https://investor.nvidia.com/files/doc_financials/2024/Q4FY24/Q4FY24-CFO-Commentary.pdf" TargetMode="External" Id="rId69"/><Relationship Type="http://schemas.openxmlformats.org/officeDocument/2006/relationships/hyperlink" Target="https://investor.nvidia.com/files/doc_financials/2024/Q4FY24/Q4FY24-CFO-Commentary.pdf" TargetMode="External" Id="rId70"/><Relationship Type="http://schemas.openxmlformats.org/officeDocument/2006/relationships/hyperlink" Target="https://investor.nvidia.com/files/doc_financials/2024/Q4FY24/Q4FY24-CFO-Commentary.pdf" TargetMode="External" Id="rId71"/><Relationship Type="http://schemas.openxmlformats.org/officeDocument/2006/relationships/hyperlink" Target="https://investor.nvidia.com/files/doc_financials/2024/Q2FY24/Q2FY24-CFO-Commentary.pdf" TargetMode="External" Id="rId72"/><Relationship Type="http://schemas.openxmlformats.org/officeDocument/2006/relationships/hyperlink" Target="https://investor.nvidia.com/files/doc_financials/2024/Q2FY24/Q2FY24-CFO-Commentary.pdf" TargetMode="External" Id="rId73"/><Relationship Type="http://schemas.openxmlformats.org/officeDocument/2006/relationships/hyperlink" Target="https://investor.nvidia.com/files/doc_financials/2024/Q2FY24/Q2FY24-CFO-Commentary.pdf" TargetMode="External" Id="rId74"/><Relationship Type="http://schemas.openxmlformats.org/officeDocument/2006/relationships/hyperlink" Target="https://investor.nvidia.com/files/doc_financials/2024/Q2FY24/Q2FY24-CFO-Commentary.pdf" TargetMode="External" Id="rId75"/><Relationship Type="http://schemas.openxmlformats.org/officeDocument/2006/relationships/hyperlink" Target="https://investor.nvidia.com/files/doc_financials/2024/Q2FY24/Q2FY24-CFO-Commentary.pdf" TargetMode="External" Id="rId76"/><Relationship Type="http://schemas.openxmlformats.org/officeDocument/2006/relationships/hyperlink" Target="https://investor.nvidia.com/files/doc_financials/2024/Q2FY24/Q2FY24-CFO-Commentary.pdf" TargetMode="External" Id="rId77"/><Relationship Type="http://schemas.openxmlformats.org/officeDocument/2006/relationships/hyperlink" Target="https://investor.nvidia.com/files/doc_financials/2024/Q2FY24/Q2FY24-CFO-Commentary.pdf" TargetMode="External" Id="rId78"/><Relationship Type="http://schemas.openxmlformats.org/officeDocument/2006/relationships/hyperlink" Target="https://investor.nvidia.com/files/doc_financials/2024/Q2FY24/Q2FY24-CFO-Commentary.pdf" TargetMode="External" Id="rId79"/><Relationship Type="http://schemas.openxmlformats.org/officeDocument/2006/relationships/hyperlink" Target="https://investor.nvidia.com/files/doc_financials/2024/Q2FY24/Q2FY24-CFO-Commentary.pdf" TargetMode="External" Id="rId80"/><Relationship Type="http://schemas.openxmlformats.org/officeDocument/2006/relationships/hyperlink" Target="https://investor.nvidia.com/files/doc_financials/2024/Q2FY24/Q2FY24-CFO-Commentary.pdf" TargetMode="External" Id="rId81"/><Relationship Type="http://schemas.openxmlformats.org/officeDocument/2006/relationships/hyperlink" Target="https://investor.nvidia.com/files/doc_financials/2024/Q2FY24/Q2FY24-CFO-Commentary.pdf" TargetMode="External" Id="rId82"/><Relationship Type="http://schemas.openxmlformats.org/officeDocument/2006/relationships/hyperlink" Target="https://investor.nvidia.com/files/doc_financials/2024/Q2FY24/Q2FY24-CFO-Commentary.pdf" TargetMode="External" Id="rId83"/><Relationship Type="http://schemas.openxmlformats.org/officeDocument/2006/relationships/hyperlink" Target="https://investor.nvidia.com/files/doc_financials/2024/Q2FY24/Q2FY24-CFO-Commentary.pdf" TargetMode="External" Id="rId84"/><Relationship Type="http://schemas.openxmlformats.org/officeDocument/2006/relationships/hyperlink" Target="https://investor.nvidia.com/files/doc_financials/2024/Q2FY24/Q2FY24-CFO-Commentary.pdf" TargetMode="External" Id="rId85"/><Relationship Type="http://schemas.openxmlformats.org/officeDocument/2006/relationships/hyperlink" Target="https://investor.nvidia.com/files/doc_financials/2024/Q2FY24/Q2FY24-CFO-Commentary.pdf" TargetMode="External" Id="rId86"/><Relationship Type="http://schemas.openxmlformats.org/officeDocument/2006/relationships/hyperlink" Target="https://investor.nvidia.com/files/doc_financials/2024/Q2FY24/Q2FY24-CFO-Commentary.pdf" TargetMode="External" Id="rId87"/><Relationship Type="http://schemas.openxmlformats.org/officeDocument/2006/relationships/hyperlink" Target="https://investor.nvidia.com/files/doc_financials/2024/Q2FY24/Q2FY24-CFO-Commentary.pdf" TargetMode="External" Id="rId88"/><Relationship Type="http://schemas.openxmlformats.org/officeDocument/2006/relationships/hyperlink" Target="https://investor.nvidia.com/files/doc_financials/2024/Q2FY24/Q2FY24-CFO-Commentary.pdf" TargetMode="External" Id="rId89"/><Relationship Type="http://schemas.openxmlformats.org/officeDocument/2006/relationships/hyperlink" Target="https://s201.q4cdn.com/141608511/files/doc_financials/2024/Q1FY24/Q1FY24-CFO-Commentary.pdf" TargetMode="External" Id="rId90"/><Relationship Type="http://schemas.openxmlformats.org/officeDocument/2006/relationships/hyperlink" Target="https://s201.q4cdn.com/141608511/files/doc_financials/2024/Q1FY24/Q1FY24-CFO-Commentary.pdf" TargetMode="External" Id="rId91"/><Relationship Type="http://schemas.openxmlformats.org/officeDocument/2006/relationships/hyperlink" Target="https://s201.q4cdn.com/141608511/files/doc_financials/2024/Q1FY24/Q1FY24-CFO-Commentary.pdf" TargetMode="External" Id="rId92"/><Relationship Type="http://schemas.openxmlformats.org/officeDocument/2006/relationships/hyperlink" Target="https://s201.q4cdn.com/141608511/files/doc_financials/2024/Q1FY24/Q1FY24-CFO-Commentary.pdf" TargetMode="External" Id="rId93"/><Relationship Type="http://schemas.openxmlformats.org/officeDocument/2006/relationships/hyperlink" Target="https://s201.q4cdn.com/141608511/files/doc_financials/2024/Q1FY24/Q1FY24-CFO-Commentary.pdf" TargetMode="External" Id="rId94"/><Relationship Type="http://schemas.openxmlformats.org/officeDocument/2006/relationships/hyperlink" Target="https://s201.q4cdn.com/141608511/files/doc_financials/2024/Q1FY24/Q1FY24-CFO-Commentary.pdf" TargetMode="External" Id="rId95"/><Relationship Type="http://schemas.openxmlformats.org/officeDocument/2006/relationships/hyperlink" Target="https://s201.q4cdn.com/141608511/files/doc_financials/2024/Q1FY24/Q1FY24-CFO-Commentary.pdf" TargetMode="External" Id="rId96"/><Relationship Type="http://schemas.openxmlformats.org/officeDocument/2006/relationships/hyperlink" Target="https://s201.q4cdn.com/141608511/files/doc_financials/2024/Q1FY24/Q1FY24-CFO-Commentary.pdf" TargetMode="External" Id="rId97"/><Relationship Type="http://schemas.openxmlformats.org/officeDocument/2006/relationships/hyperlink" Target="https://s201.q4cdn.com/141608511/files/doc_financials/2024/Q1FY24/Q1FY24-CFO-Commentary.pdf" TargetMode="External" Id="rId98"/><Relationship Type="http://schemas.openxmlformats.org/officeDocument/2006/relationships/hyperlink" Target="https://s201.q4cdn.com/141608511/files/doc_financials/2024/Q1FY24/Q1FY24-CFO-Commentary.pdf" TargetMode="External" Id="rId99"/><Relationship Type="http://schemas.openxmlformats.org/officeDocument/2006/relationships/hyperlink" Target="https://s201.q4cdn.com/141608511/files/doc_financials/2024/Q1FY24/Q1FY24-CFO-Commentary.pdf" TargetMode="External" Id="rId100"/><Relationship Type="http://schemas.openxmlformats.org/officeDocument/2006/relationships/hyperlink" Target="https://s201.q4cdn.com/141608511/files/doc_financials/2023/Q423/Q4FY23-CFO-Commentary.pdf" TargetMode="External" Id="rId101"/><Relationship Type="http://schemas.openxmlformats.org/officeDocument/2006/relationships/hyperlink" Target="https://s201.q4cdn.com/141608511/files/doc_financials/2023/Q423/Q4FY23-CFO-Commentary.pdf" TargetMode="External" Id="rId102"/><Relationship Type="http://schemas.openxmlformats.org/officeDocument/2006/relationships/hyperlink" Target="https://s201.q4cdn.com/141608511/files/doc_financials/2023/Q423/Q4FY23-CFO-Commentary.pdf" TargetMode="External" Id="rId103"/><Relationship Type="http://schemas.openxmlformats.org/officeDocument/2006/relationships/hyperlink" Target="https://s201.q4cdn.com/141608511/files/doc_financials/2023/Q423/Q4FY23-CFO-Commentary.pdf" TargetMode="External" Id="rId104"/><Relationship Type="http://schemas.openxmlformats.org/officeDocument/2006/relationships/hyperlink" Target="https://s201.q4cdn.com/141608511/files/doc_financials/2023/Q423/Q4FY23-CFO-Commentary.pdf" TargetMode="External" Id="rId105"/><Relationship Type="http://schemas.openxmlformats.org/officeDocument/2006/relationships/hyperlink" Target="https://s201.q4cdn.com/141608511/files/doc_financials/2023/Q423/Q4FY23-CFO-Commentary.pdf" TargetMode="External" Id="rId106"/><Relationship Type="http://schemas.openxmlformats.org/officeDocument/2006/relationships/hyperlink" Target="https://s201.q4cdn.com/141608511/files/doc_financials/2023/Q423/Q4FY23-CFO-Commentary.pdf" TargetMode="External" Id="rId107"/><Relationship Type="http://schemas.openxmlformats.org/officeDocument/2006/relationships/hyperlink" Target="https://s201.q4cdn.com/141608511/files/doc_financials/2023/Q423/Q4FY23-CFO-Commentary.pdf" TargetMode="External" Id="rId108"/><Relationship Type="http://schemas.openxmlformats.org/officeDocument/2006/relationships/hyperlink" Target="https://s201.q4cdn.com/141608511/files/doc_financials/2023/Q423/Q4FY23-CFO-Commentary.pdf" TargetMode="External" Id="rId109"/><Relationship Type="http://schemas.openxmlformats.org/officeDocument/2006/relationships/hyperlink" Target="https://s201.q4cdn.com/141608511/files/doc_financials/2023/Q423/Q4FY23-CFO-Commentary.pdf" TargetMode="External" Id="rId110"/><Relationship Type="http://schemas.openxmlformats.org/officeDocument/2006/relationships/hyperlink" Target="https://s201.q4cdn.com/141608511/files/doc_financials/2023/Q423/Q4FY23-CFO-Commentary.pdf" TargetMode="External" Id="rId111"/><Relationship Type="http://schemas.openxmlformats.org/officeDocument/2006/relationships/hyperlink" Target="https://nvidianews.nvidia.com/news/nvidia-announces-financial-results-for-third-quarter-fiscal-2023" TargetMode="External" Id="rId112"/><Relationship Type="http://schemas.openxmlformats.org/officeDocument/2006/relationships/hyperlink" Target="https://nvidianews.nvidia.com/news/nvidia-announces-financial-results-for-third-quarter-fiscal-2023" TargetMode="External" Id="rId113"/><Relationship Type="http://schemas.openxmlformats.org/officeDocument/2006/relationships/hyperlink" Target="https://nvidianews.nvidia.com/news/nvidia-announces-financial-results-for-third-quarter-fiscal-2023" TargetMode="External" Id="rId114"/><Relationship Type="http://schemas.openxmlformats.org/officeDocument/2006/relationships/hyperlink" Target="https://nvidianews.nvidia.com/news/nvidia-announces-financial-results-for-third-quarter-fiscal-2023" TargetMode="External" Id="rId115"/><Relationship Type="http://schemas.openxmlformats.org/officeDocument/2006/relationships/hyperlink" Target="https://nvidianews.nvidia.com/news/nvidia-announces-financial-results-for-third-quarter-fiscal-2023" TargetMode="External" Id="rId116"/><Relationship Type="http://schemas.openxmlformats.org/officeDocument/2006/relationships/hyperlink" Target="https://nvidianews.nvidia.com/news/nvidia-announces-financial-results-for-third-quarter-fiscal-2023" TargetMode="External" Id="rId117"/><Relationship Type="http://schemas.openxmlformats.org/officeDocument/2006/relationships/hyperlink" Target="https://nvidianews.nvidia.com/news/nvidia-announces-financial-results-for-third-quarter-fiscal-2023" TargetMode="External" Id="rId118"/><Relationship Type="http://schemas.openxmlformats.org/officeDocument/2006/relationships/hyperlink" Target="https://nvidianews.nvidia.com/news/nvidia-announces-financial-results-for-third-quarter-fiscal-2023" TargetMode="External" Id="rId119"/><Relationship Type="http://schemas.openxmlformats.org/officeDocument/2006/relationships/hyperlink" Target="https://nvidianews.nvidia.com/news/nvidia-announces-financial-results-for-third-quarter-fiscal-2023" TargetMode="External" Id="rId120"/><Relationship Type="http://schemas.openxmlformats.org/officeDocument/2006/relationships/hyperlink" Target="https://s22.q4cdn.com/364334381/files/doc_financials/2023/Q3FY23-CFO-Commentary.pdf" TargetMode="External" Id="rId121"/><Relationship Type="http://schemas.openxmlformats.org/officeDocument/2006/relationships/hyperlink" Target="https://nvidianews.nvidia.com/news/nvidia-announces-financial-results-for-second-quarter-fiscal-2023" TargetMode="External" Id="rId122"/><Relationship Type="http://schemas.openxmlformats.org/officeDocument/2006/relationships/hyperlink" Target="https://nvidianews.nvidia.com/news/nvidia-announces-financial-results-for-second-quarter-fiscal-2023" TargetMode="External" Id="rId123"/><Relationship Type="http://schemas.openxmlformats.org/officeDocument/2006/relationships/hyperlink" Target="https://nvidianews.nvidia.com/news/nvidia-announces-financial-results-for-second-quarter-fiscal-2023" TargetMode="External" Id="rId124"/><Relationship Type="http://schemas.openxmlformats.org/officeDocument/2006/relationships/hyperlink" Target="https://nvidianews.nvidia.com/news/nvidia-announces-financial-results-for-second-quarter-fiscal-2023" TargetMode="External" Id="rId125"/><Relationship Type="http://schemas.openxmlformats.org/officeDocument/2006/relationships/hyperlink" Target="https://nvidianews.nvidia.com/news/nvidia-announces-financial-results-for-second-quarter-fiscal-2023" TargetMode="External" Id="rId126"/><Relationship Type="http://schemas.openxmlformats.org/officeDocument/2006/relationships/hyperlink" Target="https://nvidianews.nvidia.com/news/nvidia-announces-financial-results-for-second-quarter-fiscal-2023" TargetMode="External" Id="rId127"/><Relationship Type="http://schemas.openxmlformats.org/officeDocument/2006/relationships/hyperlink" Target="https://nvidianews.nvidia.com/news/nvidia-announces-financial-results-for-second-quarter-fiscal-2023" TargetMode="External" Id="rId128"/><Relationship Type="http://schemas.openxmlformats.org/officeDocument/2006/relationships/hyperlink" Target="https://nvidianews.nvidia.com/news/nvidia-announces-financial-results-for-second-quarter-fiscal-2023" TargetMode="External" Id="rId129"/><Relationship Type="http://schemas.openxmlformats.org/officeDocument/2006/relationships/hyperlink" Target="https://nvidianews.nvidia.com/news/nvidia-announces-financial-results-for-second-quarter-fiscal-2023" TargetMode="External" Id="rId130"/><Relationship Type="http://schemas.openxmlformats.org/officeDocument/2006/relationships/hyperlink" Target="https://investor.nvidia.com/files/doc_financials/2023/Q223/Q2FY23-CFO-Commentary.pdf" TargetMode="External" Id="rId131"/><Relationship Type="http://schemas.openxmlformats.org/officeDocument/2006/relationships/hyperlink" Target="https://nvidianews.nvidia.com/news/nvidia-announces-financial-results-for-first-quarter-fiscal-2023" TargetMode="External" Id="rId132"/><Relationship Type="http://schemas.openxmlformats.org/officeDocument/2006/relationships/hyperlink" Target="https://nvidianews.nvidia.com/news/nvidia-announces-financial-results-for-first-quarter-fiscal-2023" TargetMode="External" Id="rId133"/><Relationship Type="http://schemas.openxmlformats.org/officeDocument/2006/relationships/hyperlink" Target="https://nvidianews.nvidia.com/news/nvidia-announces-financial-results-for-first-quarter-fiscal-2023" TargetMode="External" Id="rId134"/><Relationship Type="http://schemas.openxmlformats.org/officeDocument/2006/relationships/hyperlink" Target="https://nvidianews.nvidia.com/news/nvidia-announces-financial-results-for-first-quarter-fiscal-2023" TargetMode="External" Id="rId135"/><Relationship Type="http://schemas.openxmlformats.org/officeDocument/2006/relationships/hyperlink" Target="https://nvidianews.nvidia.com/news/nvidia-announces-financial-results-for-first-quarter-fiscal-2023" TargetMode="External" Id="rId136"/><Relationship Type="http://schemas.openxmlformats.org/officeDocument/2006/relationships/hyperlink" Target="https://nvidianews.nvidia.com/news/nvidia-announces-financial-results-for-first-quarter-fiscal-2023" TargetMode="External" Id="rId137"/><Relationship Type="http://schemas.openxmlformats.org/officeDocument/2006/relationships/hyperlink" Target="https://nvidianews.nvidia.com/news/nvidia-announces-financial-results-for-first-quarter-fiscal-2023" TargetMode="External" Id="rId138"/><Relationship Type="http://schemas.openxmlformats.org/officeDocument/2006/relationships/hyperlink" Target="https://nvidianews.nvidia.com/news/nvidia-announces-financial-results-for-first-quarter-fiscal-2023" TargetMode="External" Id="rId139"/><Relationship Type="http://schemas.openxmlformats.org/officeDocument/2006/relationships/hyperlink" Target="https://nvidianews.nvidia.com/news/nvidia-announces-financial-results-for-first-quarter-fiscal-2023" TargetMode="External" Id="rId140"/><Relationship Type="http://schemas.openxmlformats.org/officeDocument/2006/relationships/hyperlink" Target="https://s22.q4cdn.com/364334381/files/doc_financials/2023/Q123/Q1FY23-CFO-Commentary.pdf" TargetMode="External" Id="rId141"/><Relationship Type="http://schemas.openxmlformats.org/officeDocument/2006/relationships/hyperlink" Target="https://nvidianews.nvidia.com/news/nvidia-announces-financial-results-for-fourth-quarter-and-fiscal-2022" TargetMode="External" Id="rId142"/><Relationship Type="http://schemas.openxmlformats.org/officeDocument/2006/relationships/hyperlink" Target="https://nvidianews.nvidia.com/news/nvidia-announces-financial-results-for-fourth-quarter-and-fiscal-2022" TargetMode="External" Id="rId143"/><Relationship Type="http://schemas.openxmlformats.org/officeDocument/2006/relationships/hyperlink" Target="https://nvidianews.nvidia.com/news/nvidia-announces-financial-results-for-fourth-quarter-and-fiscal-2022" TargetMode="External" Id="rId144"/><Relationship Type="http://schemas.openxmlformats.org/officeDocument/2006/relationships/hyperlink" Target="https://nvidianews.nvidia.com/news/nvidia-announces-financial-results-for-fourth-quarter-and-fiscal-2022" TargetMode="External" Id="rId145"/><Relationship Type="http://schemas.openxmlformats.org/officeDocument/2006/relationships/hyperlink" Target="https://nvidianews.nvidia.com/news/nvidia-announces-financial-results-for-fourth-quarter-and-fiscal-2022" TargetMode="External" Id="rId146"/><Relationship Type="http://schemas.openxmlformats.org/officeDocument/2006/relationships/hyperlink" Target="https://nvidianews.nvidia.com/news/nvidia-announces-financial-results-for-fourth-quarter-and-fiscal-2022" TargetMode="External" Id="rId147"/><Relationship Type="http://schemas.openxmlformats.org/officeDocument/2006/relationships/hyperlink" Target="https://nvidianews.nvidia.com/news/nvidia-announces-financial-results-for-fourth-quarter-and-fiscal-2022" TargetMode="External" Id="rId148"/><Relationship Type="http://schemas.openxmlformats.org/officeDocument/2006/relationships/hyperlink" Target="https://nvidianews.nvidia.com/news/nvidia-announces-financial-results-for-fourth-quarter-and-fiscal-2022" TargetMode="External" Id="rId149"/><Relationship Type="http://schemas.openxmlformats.org/officeDocument/2006/relationships/hyperlink" Target="https://nvidianews.nvidia.com/news/nvidia-announces-financial-results-for-fourth-quarter-and-fiscal-2022" TargetMode="External" Id="rId150"/><Relationship Type="http://schemas.openxmlformats.org/officeDocument/2006/relationships/hyperlink" Target="https://s22.q4cdn.com/364334381/files/doc_financials/2022/q4/Q4FY22-CFO-Commentary.pdf" TargetMode="External" Id="rId151"/><Relationship Type="http://schemas.openxmlformats.org/officeDocument/2006/relationships/hyperlink" Target="https://nvidianews.nvidia.com/news/nvidia-announces-financial-results-for-third-quarter-fiscal-2022" TargetMode="External" Id="rId152"/><Relationship Type="http://schemas.openxmlformats.org/officeDocument/2006/relationships/hyperlink" Target="https://nvidianews.nvidia.com/news/nvidia-announces-financial-results-for-third-quarter-fiscal-2022" TargetMode="External" Id="rId153"/><Relationship Type="http://schemas.openxmlformats.org/officeDocument/2006/relationships/hyperlink" Target="https://nvidianews.nvidia.com/news/nvidia-announces-financial-results-for-third-quarter-fiscal-2022" TargetMode="External" Id="rId154"/><Relationship Type="http://schemas.openxmlformats.org/officeDocument/2006/relationships/hyperlink" Target="https://nvidianews.nvidia.com/news/nvidia-announces-financial-results-for-third-quarter-fiscal-2022" TargetMode="External" Id="rId155"/><Relationship Type="http://schemas.openxmlformats.org/officeDocument/2006/relationships/hyperlink" Target="https://nvidianews.nvidia.com/news/nvidia-announces-financial-results-for-third-quarter-fiscal-2022" TargetMode="External" Id="rId156"/><Relationship Type="http://schemas.openxmlformats.org/officeDocument/2006/relationships/hyperlink" Target="https://nvidianews.nvidia.com/news/nvidia-announces-financial-results-for-third-quarter-fiscal-2022" TargetMode="External" Id="rId157"/><Relationship Type="http://schemas.openxmlformats.org/officeDocument/2006/relationships/hyperlink" Target="https://nvidianews.nvidia.com/news/nvidia-announces-financial-results-for-third-quarter-fiscal-2022" TargetMode="External" Id="rId158"/><Relationship Type="http://schemas.openxmlformats.org/officeDocument/2006/relationships/hyperlink" Target="https://nvidianews.nvidia.com/news/nvidia-announces-financial-results-for-third-quarter-fiscal-2022" TargetMode="External" Id="rId159"/><Relationship Type="http://schemas.openxmlformats.org/officeDocument/2006/relationships/hyperlink" Target="https://nvidianews.nvidia.com/news/nvidia-announces-financial-results-for-third-quarter-fiscal-2022" TargetMode="External" Id="rId160"/><Relationship Type="http://schemas.openxmlformats.org/officeDocument/2006/relationships/hyperlink" Target="https://nvidianews.nvidia.com/news/nvidia-announces-financial-results-for-third-quarter-fiscal-2022" TargetMode="External" Id="rId161"/><Relationship Type="http://schemas.openxmlformats.org/officeDocument/2006/relationships/hyperlink" Target="https://nvidianews.nvidia.com/news/nvidia-announces-financial-results-for-third-quarter-fiscal-2022" TargetMode="External" Id="rId162"/><Relationship Type="http://schemas.openxmlformats.org/officeDocument/2006/relationships/hyperlink" Target="https://s22.q4cdn.com/364334381/files/doc_financials/2022/q2/Q2FY22-CFO-Commentary.pdf" TargetMode="External" Id="rId163"/><Relationship Type="http://schemas.openxmlformats.org/officeDocument/2006/relationships/hyperlink" Target="https://nvidianews.nvidia.com/news/nvidia-announces-financial-results-for-second-quarter-fiscal-2022" TargetMode="External" Id="rId164"/><Relationship Type="http://schemas.openxmlformats.org/officeDocument/2006/relationships/hyperlink" Target="https://nvidianews.nvidia.com/news/nvidia-announces-financial-results-for-second-quarter-fiscal-2022" TargetMode="External" Id="rId165"/><Relationship Type="http://schemas.openxmlformats.org/officeDocument/2006/relationships/hyperlink" Target="https://nvidianews.nvidia.com/news/nvidia-announces-financial-results-for-second-quarter-fiscal-2022" TargetMode="External" Id="rId166"/><Relationship Type="http://schemas.openxmlformats.org/officeDocument/2006/relationships/hyperlink" Target="https://nvidianews.nvidia.com/news/nvidia-announces-financial-results-for-second-quarter-fiscal-2022" TargetMode="External" Id="rId167"/><Relationship Type="http://schemas.openxmlformats.org/officeDocument/2006/relationships/hyperlink" Target="https://nvidianews.nvidia.com/news/nvidia-announces-financial-results-for-second-quarter-fiscal-2022" TargetMode="External" Id="rId168"/><Relationship Type="http://schemas.openxmlformats.org/officeDocument/2006/relationships/hyperlink" Target="https://nvidianews.nvidia.com/news/nvidia-announces-financial-results-for-second-quarter-fiscal-2022" TargetMode="External" Id="rId169"/><Relationship Type="http://schemas.openxmlformats.org/officeDocument/2006/relationships/hyperlink" Target="https://nvidianews.nvidia.com/news/nvidia-announces-financial-results-for-second-quarter-fiscal-2022" TargetMode="External" Id="rId170"/><Relationship Type="http://schemas.openxmlformats.org/officeDocument/2006/relationships/hyperlink" Target="https://nvidianews.nvidia.com/news/nvidia-announces-financial-results-for-second-quarter-fiscal-2022" TargetMode="External" Id="rId171"/><Relationship Type="http://schemas.openxmlformats.org/officeDocument/2006/relationships/hyperlink" Target="https://nvidianews.nvidia.com/news/nvidia-announces-financial-results-for-second-quarter-fiscal-2022" TargetMode="External" Id="rId172"/><Relationship Type="http://schemas.openxmlformats.org/officeDocument/2006/relationships/hyperlink" Target="https://nvidianews.nvidia.com/news/nvidia-announces-financial-results-for-second-quarter-fiscal-2022" TargetMode="External" Id="rId173"/><Relationship Type="http://schemas.openxmlformats.org/officeDocument/2006/relationships/hyperlink" Target="https://nvidianews.nvidia.com/news/nvidia-announces-financial-results-for-second-quarter-fiscal-2022" TargetMode="External" Id="rId174"/><Relationship Type="http://schemas.openxmlformats.org/officeDocument/2006/relationships/hyperlink" Target="https://s22.q4cdn.com/364334381/files/doc_financials/2022/q2/Q2FY22-CFO-Commentary.pdf" TargetMode="External" Id="rId175"/><Relationship Type="http://schemas.openxmlformats.org/officeDocument/2006/relationships/hyperlink" Target="https://nvidianews.nvidia.com/news/nvidia-announces-financial-results-for-first-quarter-fiscal-2022" TargetMode="External" Id="rId176"/><Relationship Type="http://schemas.openxmlformats.org/officeDocument/2006/relationships/hyperlink" Target="https://nvidianews.nvidia.com/news/nvidia-announces-financial-results-for-first-quarter-fiscal-2022" TargetMode="External" Id="rId177"/><Relationship Type="http://schemas.openxmlformats.org/officeDocument/2006/relationships/hyperlink" Target="https://nvidianews.nvidia.com/news/nvidia-announces-financial-results-for-first-quarter-fiscal-2022" TargetMode="External" Id="rId178"/><Relationship Type="http://schemas.openxmlformats.org/officeDocument/2006/relationships/hyperlink" Target="https://nvidianews.nvidia.com/news/nvidia-announces-financial-results-for-first-quarter-fiscal-2022" TargetMode="External" Id="rId179"/><Relationship Type="http://schemas.openxmlformats.org/officeDocument/2006/relationships/hyperlink" Target="https://nvidianews.nvidia.com/news/nvidia-announces-financial-results-for-first-quarter-fiscal-2022" TargetMode="External" Id="rId180"/><Relationship Type="http://schemas.openxmlformats.org/officeDocument/2006/relationships/hyperlink" Target="https://nvidianews.nvidia.com/news/nvidia-announces-financial-results-for-first-quarter-fiscal-2022" TargetMode="External" Id="rId181"/><Relationship Type="http://schemas.openxmlformats.org/officeDocument/2006/relationships/hyperlink" Target="https://nvidianews.nvidia.com/news/nvidia-announces-financial-results-for-first-quarter-fiscal-2022" TargetMode="External" Id="rId182"/><Relationship Type="http://schemas.openxmlformats.org/officeDocument/2006/relationships/hyperlink" Target="https://nvidianews.nvidia.com/news/nvidia-announces-financial-results-for-first-quarter-fiscal-2022" TargetMode="External" Id="rId183"/><Relationship Type="http://schemas.openxmlformats.org/officeDocument/2006/relationships/hyperlink" Target="https://nvidianews.nvidia.com/news/nvidia-announces-financial-results-for-first-quarter-fiscal-2022" TargetMode="External" Id="rId184"/><Relationship Type="http://schemas.openxmlformats.org/officeDocument/2006/relationships/hyperlink" Target="https://nvidianews.nvidia.com/news/nvidia-announces-financial-results-for-first-quarter-fiscal-2022" TargetMode="External" Id="rId185"/><Relationship Type="http://schemas.openxmlformats.org/officeDocument/2006/relationships/hyperlink" Target="https://nvidianews.nvidia.com/news/nvidia-announces-financial-results-for-first-quarter-fiscal-2022" TargetMode="External" Id="rId186"/><Relationship Type="http://schemas.openxmlformats.org/officeDocument/2006/relationships/hyperlink" Target="https://investor.nvidia.com/files/doc_financials/quarterly_reports/2022/Q122/Q1FY22-CFO-Commentary.pdf" TargetMode="External" Id="rId187"/><Relationship Type="http://schemas.openxmlformats.org/officeDocument/2006/relationships/hyperlink" Target="https://nvidianews.nvidia.com/news/nvidia-announces-financial-results-for-fourth-quarter-and-fiscal-2021" TargetMode="External" Id="rId188"/><Relationship Type="http://schemas.openxmlformats.org/officeDocument/2006/relationships/hyperlink" Target="https://nvidianews.nvidia.com/news/nvidia-announces-financial-results-for-fourth-quarter-and-fiscal-2021" TargetMode="External" Id="rId189"/><Relationship Type="http://schemas.openxmlformats.org/officeDocument/2006/relationships/hyperlink" Target="https://nvidianews.nvidia.com/news/nvidia-announces-financial-results-for-fourth-quarter-and-fiscal-2021" TargetMode="External" Id="rId190"/><Relationship Type="http://schemas.openxmlformats.org/officeDocument/2006/relationships/hyperlink" Target="https://nvidianews.nvidia.com/news/nvidia-announces-financial-results-for-fourth-quarter-and-fiscal-2021" TargetMode="External" Id="rId191"/><Relationship Type="http://schemas.openxmlformats.org/officeDocument/2006/relationships/hyperlink" Target="https://nvidianews.nvidia.com/news/nvidia-announces-financial-results-for-fourth-quarter-and-fiscal-2021" TargetMode="External" Id="rId192"/><Relationship Type="http://schemas.openxmlformats.org/officeDocument/2006/relationships/hyperlink" Target="https://nvidianews.nvidia.com/news/nvidia-announces-financial-results-for-fourth-quarter-and-fiscal-2021" TargetMode="External" Id="rId193"/><Relationship Type="http://schemas.openxmlformats.org/officeDocument/2006/relationships/hyperlink" Target="https://nvidianews.nvidia.com/news/nvidia-announces-financial-results-for-fourth-quarter-and-fiscal-2021" TargetMode="External" Id="rId194"/><Relationship Type="http://schemas.openxmlformats.org/officeDocument/2006/relationships/hyperlink" Target="https://nvidianews.nvidia.com/news/nvidia-announces-financial-results-for-fourth-quarter-and-fiscal-2021" TargetMode="External" Id="rId195"/><Relationship Type="http://schemas.openxmlformats.org/officeDocument/2006/relationships/hyperlink" Target="https://nvidianews.nvidia.com/news/nvidia-announces-financial-results-for-fourth-quarter-and-fiscal-2021" TargetMode="External" Id="rId196"/><Relationship Type="http://schemas.openxmlformats.org/officeDocument/2006/relationships/hyperlink" Target="https://nvidianews.nvidia.com/news/nvidia-announces-financial-results-for-fourth-quarter-and-fiscal-2021" TargetMode="External" Id="rId197"/><Relationship Type="http://schemas.openxmlformats.org/officeDocument/2006/relationships/hyperlink" Target="https://nvidianews.nvidia.com/news/nvidia-announces-financial-results-for-fourth-quarter-and-fiscal-2021" TargetMode="External" Id="rId198"/><Relationship Type="http://schemas.openxmlformats.org/officeDocument/2006/relationships/hyperlink" Target="https://s22.q4cdn.com/364334381/files/doc_financials/annual/2021/Q4FY21-CFO-Commentary.pdf" TargetMode="External" Id="rId199"/><Relationship Type="http://schemas.openxmlformats.org/officeDocument/2006/relationships/hyperlink" Target="https://nvidianews.nvidia.com/news/nvidia-announces-financial-results-for-third-quarter-fiscal-2021" TargetMode="External" Id="rId200"/><Relationship Type="http://schemas.openxmlformats.org/officeDocument/2006/relationships/hyperlink" Target="https://nvidianews.nvidia.com/news/nvidia-announces-financial-results-for-third-quarter-fiscal-2021" TargetMode="External" Id="rId201"/><Relationship Type="http://schemas.openxmlformats.org/officeDocument/2006/relationships/hyperlink" Target="https://nvidianews.nvidia.com/news/nvidia-announces-financial-results-for-third-quarter-fiscal-2021" TargetMode="External" Id="rId202"/><Relationship Type="http://schemas.openxmlformats.org/officeDocument/2006/relationships/hyperlink" Target="https://nvidianews.nvidia.com/news/nvidia-announces-financial-results-for-third-quarter-fiscal-2021" TargetMode="External" Id="rId203"/><Relationship Type="http://schemas.openxmlformats.org/officeDocument/2006/relationships/hyperlink" Target="https://nvidianews.nvidia.com/news/nvidia-announces-financial-results-for-third-quarter-fiscal-2021" TargetMode="External" Id="rId204"/><Relationship Type="http://schemas.openxmlformats.org/officeDocument/2006/relationships/hyperlink" Target="https://nvidianews.nvidia.com/news/nvidia-announces-financial-results-for-third-quarter-fiscal-2021" TargetMode="External" Id="rId205"/><Relationship Type="http://schemas.openxmlformats.org/officeDocument/2006/relationships/hyperlink" Target="https://nvidianews.nvidia.com/news/nvidia-announces-financial-results-for-third-quarter-fiscal-2021" TargetMode="External" Id="rId206"/><Relationship Type="http://schemas.openxmlformats.org/officeDocument/2006/relationships/hyperlink" Target="https://nvidianews.nvidia.com/news/nvidia-announces-financial-results-for-third-quarter-fiscal-2021" TargetMode="External" Id="rId207"/><Relationship Type="http://schemas.openxmlformats.org/officeDocument/2006/relationships/hyperlink" Target="https://nvidianews.nvidia.com/news/nvidia-announces-financial-results-for-third-quarter-fiscal-2021" TargetMode="External" Id="rId208"/><Relationship Type="http://schemas.openxmlformats.org/officeDocument/2006/relationships/hyperlink" Target="https://nvidianews.nvidia.com/news/nvidia-announces-financial-results-for-third-quarter-fiscal-2021" TargetMode="External" Id="rId209"/><Relationship Type="http://schemas.openxmlformats.org/officeDocument/2006/relationships/hyperlink" Target="https://nvidianews.nvidia.com/news/nvidia-announces-financial-results-for-third-quarter-fiscal-2021" TargetMode="External" Id="rId210"/><Relationship Type="http://schemas.openxmlformats.org/officeDocument/2006/relationships/hyperlink" Target="https://nvidianews.nvidia.com/news/nvidia-announces-financial-results-for-second-quarter-fiscal-2021" TargetMode="External" Id="rId211"/><Relationship Type="http://schemas.openxmlformats.org/officeDocument/2006/relationships/hyperlink" Target="https://nvidianews.nvidia.com/news/nvidia-announces-financial-results-for-second-quarter-fiscal-2021" TargetMode="External" Id="rId212"/><Relationship Type="http://schemas.openxmlformats.org/officeDocument/2006/relationships/hyperlink" Target="https://nvidianews.nvidia.com/news/nvidia-announces-financial-results-for-second-quarter-fiscal-2021" TargetMode="External" Id="rId213"/><Relationship Type="http://schemas.openxmlformats.org/officeDocument/2006/relationships/hyperlink" Target="https://nvidianews.nvidia.com/news/nvidia-announces-financial-results-for-second-quarter-fiscal-2021" TargetMode="External" Id="rId214"/><Relationship Type="http://schemas.openxmlformats.org/officeDocument/2006/relationships/hyperlink" Target="https://nvidianews.nvidia.com/news/nvidia-announces-financial-results-for-second-quarter-fiscal-2021" TargetMode="External" Id="rId215"/><Relationship Type="http://schemas.openxmlformats.org/officeDocument/2006/relationships/hyperlink" Target="https://nvidianews.nvidia.com/news/nvidia-announces-financial-results-for-second-quarter-fiscal-2021" TargetMode="External" Id="rId216"/><Relationship Type="http://schemas.openxmlformats.org/officeDocument/2006/relationships/hyperlink" Target="https://nvidianews.nvidia.com/news/nvidia-announces-financial-results-for-second-quarter-fiscal-2021" TargetMode="External" Id="rId217"/><Relationship Type="http://schemas.openxmlformats.org/officeDocument/2006/relationships/hyperlink" Target="https://nvidianews.nvidia.com/news/nvidia-announces-financial-results-for-second-quarter-fiscal-2021" TargetMode="External" Id="rId218"/><Relationship Type="http://schemas.openxmlformats.org/officeDocument/2006/relationships/hyperlink" Target="https://nvidianews.nvidia.com/news/nvidia-announces-financial-results-for-second-quarter-fiscal-2021" TargetMode="External" Id="rId219"/><Relationship Type="http://schemas.openxmlformats.org/officeDocument/2006/relationships/hyperlink" Target="https://nvidianews.nvidia.com/news/nvidia-announces-financial-results-for-second-quarter-fiscal-2021" TargetMode="External" Id="rId220"/><Relationship Type="http://schemas.openxmlformats.org/officeDocument/2006/relationships/hyperlink" Target="https://nvidianews.nvidia.com/news/nvidia-announces-financial-results-for-second-quarter-fiscal-2021" TargetMode="External" Id="rId221"/><Relationship Type="http://schemas.openxmlformats.org/officeDocument/2006/relationships/hyperlink" Target="https://nvidianews.nvidia.com/news/nvidia-announces-financial-results-for-second-quarter-fiscal-2021" TargetMode="External" Id="rId222"/><Relationship Type="http://schemas.openxmlformats.org/officeDocument/2006/relationships/hyperlink" Target="https://nvidianews.nvidia.com/news/nvidia-announces-financial-results-for-first-quarter-fiscal-2021" TargetMode="External" Id="rId223"/><Relationship Type="http://schemas.openxmlformats.org/officeDocument/2006/relationships/hyperlink" Target="https://nvidianews.nvidia.com/news/nvidia-announces-financial-results-for-fourth-quarter-and-fiscal-2020" TargetMode="External" Id="rId224"/><Relationship Type="http://schemas.openxmlformats.org/officeDocument/2006/relationships/hyperlink" Target="https://nvidianews.nvidia.com/news/nvidia-announces-financial-results-for-fourth-quarter-and-fiscal-2020" TargetMode="External" Id="rId225"/><Relationship Type="http://schemas.openxmlformats.org/officeDocument/2006/relationships/hyperlink" Target="https://nvidianews.nvidia.com/news/nvidia-announces-financial-results-for-first-quarter-fiscal-2021" TargetMode="External" Id="rId226"/><Relationship Type="http://schemas.openxmlformats.org/officeDocument/2006/relationships/hyperlink" Target="https://nvidianews.nvidia.com/news/nvidia-announces-financial-results-for-first-quarter-fiscal-2021" TargetMode="External" Id="rId227"/><Relationship Type="http://schemas.openxmlformats.org/officeDocument/2006/relationships/hyperlink" Target="https://nvidianews.nvidia.com/news/nvidia-announces-financial-results-for-first-quarter-fiscal-2021" TargetMode="External" Id="rId228"/><Relationship Type="http://schemas.openxmlformats.org/officeDocument/2006/relationships/hyperlink" Target="https://nvidianews.nvidia.com/news/nvidia-announces-financial-results-for-first-quarter-fiscal-2021" TargetMode="External" Id="rId229"/><Relationship Type="http://schemas.openxmlformats.org/officeDocument/2006/relationships/hyperlink" Target="https://nvidianews.nvidia.com/news/nvidia-announces-financial-results-for-first-quarter-fiscal-2021" TargetMode="External" Id="rId230"/><Relationship Type="http://schemas.openxmlformats.org/officeDocument/2006/relationships/hyperlink" Target="https://nvidianews.nvidia.com/news/nvidia-announces-financial-results-for-first-quarter-fiscal-2021" TargetMode="External" Id="rId231"/><Relationship Type="http://schemas.openxmlformats.org/officeDocument/2006/relationships/hyperlink" Target="https://nvidianews.nvidia.com/news/nvidia-announces-financial-results-for-first-quarter-fiscal-2021" TargetMode="External" Id="rId232"/><Relationship Type="http://schemas.openxmlformats.org/officeDocument/2006/relationships/hyperlink" Target="https://nvidianews.nvidia.com/news/nvidia-announces-financial-results-for-first-quarter-fiscal-2021" TargetMode="External" Id="rId233"/><Relationship Type="http://schemas.openxmlformats.org/officeDocument/2006/relationships/hyperlink" Target="https://nvidianews.nvidia.com/news/nvidia-announces-financial-results-for-first-quarter-fiscal-2021" TargetMode="External" Id="rId234"/><Relationship Type="http://schemas.openxmlformats.org/officeDocument/2006/relationships/hyperlink" Target="https://nvidianews.nvidia.com/news/nvidia-announces-financial-results-for-first-quarter-fiscal-2021" TargetMode="External" Id="rId235"/><Relationship Type="http://schemas.openxmlformats.org/officeDocument/2006/relationships/hyperlink" Target="https://nvidianews.nvidia.com/news/nvidia-announces-financial-results-for-first-quarter-fiscal-2021" TargetMode="External" Id="rId236"/><Relationship Type="http://schemas.openxmlformats.org/officeDocument/2006/relationships/hyperlink" Target="https://nvidianews.nvidia.com/news/nvidia-announces-financial-results-for-first-quarter-fiscal-2021" TargetMode="External" Id="rId237"/><Relationship Type="http://schemas.openxmlformats.org/officeDocument/2006/relationships/hyperlink" Target="https://nvidianews.nvidia.com/news/nvidia-announces-financial-results-for-first-quarter-fiscal-2021" TargetMode="External" Id="rId238"/><Relationship Type="http://schemas.openxmlformats.org/officeDocument/2006/relationships/hyperlink" Target="https://nvidianews.nvidia.com/news/nvidia-announces-financial-results-for-fourth-quarter-and-fiscal-2020" TargetMode="External" Id="rId239"/><Relationship Type="http://schemas.openxmlformats.org/officeDocument/2006/relationships/hyperlink" Target="https://nvidianews.nvidia.com/news/nvidia-announces-financial-results-for-fourth-quarter-and-fiscal-2020" TargetMode="External" Id="rId240"/><Relationship Type="http://schemas.openxmlformats.org/officeDocument/2006/relationships/hyperlink" Target="https://nvidianews.nvidia.com/news/nvidia-announces-financial-results-for-fourth-quarter-and-fiscal-2020" TargetMode="External" Id="rId241"/><Relationship Type="http://schemas.openxmlformats.org/officeDocument/2006/relationships/hyperlink" Target="https://nvidianews.nvidia.com/news/nvidia-announces-financial-results-for-fourth-quarter-and-fiscal-2020" TargetMode="External" Id="rId242"/><Relationship Type="http://schemas.openxmlformats.org/officeDocument/2006/relationships/hyperlink" Target="https://nvidianews.nvidia.com/news/nvidia-announces-financial-results-for-fourth-quarter-and-fiscal-2020" TargetMode="External" Id="rId243"/><Relationship Type="http://schemas.openxmlformats.org/officeDocument/2006/relationships/hyperlink" Target="https://nvidianews.nvidia.com/news/nvidia-announces-financial-results-for-fourth-quarter-and-fiscal-2020" TargetMode="External" Id="rId244"/><Relationship Type="http://schemas.openxmlformats.org/officeDocument/2006/relationships/hyperlink" Target="https://nvidianews.nvidia.com/news/nvidia-announces-financial-results-for-fourth-quarter-and-fiscal-2020" TargetMode="External" Id="rId245"/><Relationship Type="http://schemas.openxmlformats.org/officeDocument/2006/relationships/hyperlink" Target="https://nvidianews.nvidia.com/news/nvidia-announces-financial-results-for-fourth-quarter-and-fiscal-2020" TargetMode="External" Id="rId246"/><Relationship Type="http://schemas.openxmlformats.org/officeDocument/2006/relationships/hyperlink" Target="https://nvidianews.nvidia.com/news/nvidia-announces-financial-results-for-fourth-quarter-and-fiscal-2020" TargetMode="External" Id="rId247"/><Relationship Type="http://schemas.openxmlformats.org/officeDocument/2006/relationships/hyperlink" Target="https://nvidianews.nvidia.com/news/nvidia-announces-financial-results-for-fourth-quarter-and-fiscal-2020" TargetMode="External" Id="rId248"/><Relationship Type="http://schemas.openxmlformats.org/officeDocument/2006/relationships/hyperlink" Target="https://nvidianews.nvidia.com/news/nvidia-announces-financial-results-for-fourth-quarter-and-fiscal-2020" TargetMode="External" Id="rId249"/><Relationship Type="http://schemas.openxmlformats.org/officeDocument/2006/relationships/hyperlink" Target="https://nvidianews.nvidia.com/news/nvidia-announces-financial-results-for-third-quarter-fiscal-2020" TargetMode="External" Id="rId250"/><Relationship Type="http://schemas.openxmlformats.org/officeDocument/2006/relationships/hyperlink" Target="https://nvidianews.nvidia.com/news/nvidia-announces-financial-results-for-third-quarter-fiscal-2020" TargetMode="External" Id="rId251"/><Relationship Type="http://schemas.openxmlformats.org/officeDocument/2006/relationships/hyperlink" Target="https://nvidianews.nvidia.com/news/nvidia-announces-financial-results-for-third-quarter-fiscal-2020" TargetMode="External" Id="rId252"/><Relationship Type="http://schemas.openxmlformats.org/officeDocument/2006/relationships/hyperlink" Target="https://nvidianews.nvidia.com/news/nvidia-announces-financial-results-for-third-quarter-fiscal-2020" TargetMode="External" Id="rId253"/><Relationship Type="http://schemas.openxmlformats.org/officeDocument/2006/relationships/hyperlink" Target="https://nvidianews.nvidia.com/news/nvidia-announces-financial-results-for-third-quarter-fiscal-2020" TargetMode="External" Id="rId254"/><Relationship Type="http://schemas.openxmlformats.org/officeDocument/2006/relationships/hyperlink" Target="https://nvidianews.nvidia.com/news/nvidia-announces-financial-results-for-third-quarter-fiscal-2020" TargetMode="External" Id="rId255"/><Relationship Type="http://schemas.openxmlformats.org/officeDocument/2006/relationships/hyperlink" Target="https://nvidianews.nvidia.com/news/nvidia-announces-financial-results-for-third-quarter-fiscal-2020" TargetMode="External" Id="rId256"/><Relationship Type="http://schemas.openxmlformats.org/officeDocument/2006/relationships/hyperlink" Target="https://nvidianews.nvidia.com/news/nvidia-announces-financial-results-for-third-quarter-fiscal-2020" TargetMode="External" Id="rId257"/><Relationship Type="http://schemas.openxmlformats.org/officeDocument/2006/relationships/hyperlink" Target="https://nvidianews.nvidia.com/news/nvidia-announces-financial-results-for-third-quarter-fiscal-2020" TargetMode="External" Id="rId258"/><Relationship Type="http://schemas.openxmlformats.org/officeDocument/2006/relationships/hyperlink" Target="https://nvidianews.nvidia.com/news/nvidia-announces-financial-results-for-third-quarter-fiscal-2020" TargetMode="External" Id="rId259"/><Relationship Type="http://schemas.openxmlformats.org/officeDocument/2006/relationships/hyperlink" Target="https://nvidianews.nvidia.com/news/nvidia-announces-financial-results-for-third-quarter-fiscal-2020" TargetMode="External" Id="rId260"/><Relationship Type="http://schemas.openxmlformats.org/officeDocument/2006/relationships/hyperlink" Target="https://nvidianews.nvidia.com/news/nvidia-announces-financial-results-for-third-quarter-fiscal-2020" TargetMode="External" Id="rId261"/><Relationship Type="http://schemas.openxmlformats.org/officeDocument/2006/relationships/hyperlink" Target="https://nvidianews.nvidia.com/news/nvidia-announces-financial-results-for-second-quarter-fiscal-2020" TargetMode="External" Id="rId262"/><Relationship Type="http://schemas.openxmlformats.org/officeDocument/2006/relationships/hyperlink" Target="https://nvidianews.nvidia.com/news/nvidia-announces-financial-results-for-second-quarter-fiscal-2020" TargetMode="External" Id="rId263"/><Relationship Type="http://schemas.openxmlformats.org/officeDocument/2006/relationships/hyperlink" Target="https://nvidianews.nvidia.com/news/nvidia-announces-financial-results-for-second-quarter-fiscal-2020" TargetMode="External" Id="rId264"/><Relationship Type="http://schemas.openxmlformats.org/officeDocument/2006/relationships/hyperlink" Target="https://nvidianews.nvidia.com/news/nvidia-announces-financial-results-for-second-quarter-fiscal-2020" TargetMode="External" Id="rId265"/><Relationship Type="http://schemas.openxmlformats.org/officeDocument/2006/relationships/hyperlink" Target="https://nvidianews.nvidia.com/news/nvidia-announces-financial-results-for-second-quarter-fiscal-2020" TargetMode="External" Id="rId266"/><Relationship Type="http://schemas.openxmlformats.org/officeDocument/2006/relationships/hyperlink" Target="https://nvidianews.nvidia.com/news/nvidia-announces-financial-results-for-second-quarter-fiscal-2020" TargetMode="External" Id="rId267"/><Relationship Type="http://schemas.openxmlformats.org/officeDocument/2006/relationships/hyperlink" Target="https://nvidianews.nvidia.com/news/nvidia-announces-financial-results-for-second-quarter-fiscal-2020" TargetMode="External" Id="rId268"/><Relationship Type="http://schemas.openxmlformats.org/officeDocument/2006/relationships/hyperlink" Target="https://nvidianews.nvidia.com/news/nvidia-announces-financial-results-for-second-quarter-fiscal-2020" TargetMode="External" Id="rId269"/><Relationship Type="http://schemas.openxmlformats.org/officeDocument/2006/relationships/hyperlink" Target="https://nvidianews.nvidia.com/news/nvidia-announces-financial-results-for-second-quarter-fiscal-2020" TargetMode="External" Id="rId270"/><Relationship Type="http://schemas.openxmlformats.org/officeDocument/2006/relationships/hyperlink" Target="https://nvidianews.nvidia.com/news/nvidia-announces-financial-results-for-second-quarter-fiscal-2020" TargetMode="External" Id="rId271"/><Relationship Type="http://schemas.openxmlformats.org/officeDocument/2006/relationships/hyperlink" Target="https://nvidianews.nvidia.com/news/nvidia-announces-financial-results-for-second-quarter-fiscal-2020" TargetMode="External" Id="rId272"/><Relationship Type="http://schemas.openxmlformats.org/officeDocument/2006/relationships/hyperlink" Target="https://nvidianews.nvidia.com/news/nvidia-announces-financial-results-for-first-quarter-fiscal-2020" TargetMode="External" Id="rId273"/><Relationship Type="http://schemas.openxmlformats.org/officeDocument/2006/relationships/hyperlink" Target="https://nvidianews.nvidia.com/news/nvidia-announces-financial-results-for-first-quarter-fiscal-2020" TargetMode="External" Id="rId274"/><Relationship Type="http://schemas.openxmlformats.org/officeDocument/2006/relationships/hyperlink" Target="https://nvidianews.nvidia.com/news/nvidia-announces-financial-results-for-first-quarter-fiscal-2020" TargetMode="External" Id="rId275"/><Relationship Type="http://schemas.openxmlformats.org/officeDocument/2006/relationships/hyperlink" Target="https://nvidianews.nvidia.com/news/nvidia-announces-financial-results-for-first-quarter-fiscal-2020" TargetMode="External" Id="rId276"/><Relationship Type="http://schemas.openxmlformats.org/officeDocument/2006/relationships/hyperlink" Target="https://nvidianews.nvidia.com/news/nvidia-announces-financial-results-for-first-quarter-fiscal-2020" TargetMode="External" Id="rId277"/><Relationship Type="http://schemas.openxmlformats.org/officeDocument/2006/relationships/hyperlink" Target="https://nvidianews.nvidia.com/news/nvidia-announces-financial-results-for-first-quarter-fiscal-2020" TargetMode="External" Id="rId278"/><Relationship Type="http://schemas.openxmlformats.org/officeDocument/2006/relationships/hyperlink" Target="https://nvidianews.nvidia.com/news/nvidia-announces-financial-results-for-first-quarter-fiscal-2020" TargetMode="External" Id="rId279"/><Relationship Type="http://schemas.openxmlformats.org/officeDocument/2006/relationships/hyperlink" Target="https://nvidianews.nvidia.com/news/nvidia-announces-financial-results-for-first-quarter-fiscal-2020" TargetMode="External" Id="rId280"/><Relationship Type="http://schemas.openxmlformats.org/officeDocument/2006/relationships/hyperlink" Target="https://nvidianews.nvidia.com/news/nvidia-announces-financial-results-for-first-quarter-fiscal-2020" TargetMode="External" Id="rId281"/><Relationship Type="http://schemas.openxmlformats.org/officeDocument/2006/relationships/hyperlink" Target="https://nvidianews.nvidia.com/news/nvidia-announces-financial-results-for-first-quarter-fiscal-2020" TargetMode="External" Id="rId282"/><Relationship Type="http://schemas.openxmlformats.org/officeDocument/2006/relationships/hyperlink" Target="https://nvidianews.nvidia.com/news/nvidia-announces-financial-results-for-first-quarter-fiscal-2020" TargetMode="External" Id="rId283"/><Relationship Type="http://schemas.openxmlformats.org/officeDocument/2006/relationships/hyperlink" Target="https://nvidianews.nvidia.com/news/nvidia-announces-financial-results-for-fourth-quarter-and-fiscal-2019" TargetMode="External" Id="rId284"/><Relationship Type="http://schemas.openxmlformats.org/officeDocument/2006/relationships/hyperlink" Target="https://nvidianews.nvidia.com/news/nvidia-announces-financial-results-for-fourth-quarter-and-fiscal-2019" TargetMode="External" Id="rId285"/><Relationship Type="http://schemas.openxmlformats.org/officeDocument/2006/relationships/hyperlink" Target="https://nvidianews.nvidia.com/news/nvidia-announces-financial-results-for-fourth-quarter-and-fiscal-2019" TargetMode="External" Id="rId286"/><Relationship Type="http://schemas.openxmlformats.org/officeDocument/2006/relationships/hyperlink" Target="https://nvidianews.nvidia.com/news/nvidia-announces-financial-results-for-fourth-quarter-and-fiscal-2019" TargetMode="External" Id="rId287"/><Relationship Type="http://schemas.openxmlformats.org/officeDocument/2006/relationships/hyperlink" Target="https://nvidianews.nvidia.com/news/nvidia-announces-financial-results-for-fourth-quarter-and-fiscal-2019" TargetMode="External" Id="rId288"/><Relationship Type="http://schemas.openxmlformats.org/officeDocument/2006/relationships/hyperlink" Target="https://nvidianews.nvidia.com/news/nvidia-announces-financial-results-for-fourth-quarter-and-fiscal-2019" TargetMode="External" Id="rId289"/><Relationship Type="http://schemas.openxmlformats.org/officeDocument/2006/relationships/hyperlink" Target="https://nvidianews.nvidia.com/news/nvidia-announces-financial-results-for-fourth-quarter-and-fiscal-2019" TargetMode="External" Id="rId290"/><Relationship Type="http://schemas.openxmlformats.org/officeDocument/2006/relationships/hyperlink" Target="https://nvidianews.nvidia.com/news/nvidia-announces-financial-results-for-fourth-quarter-and-fiscal-2019" TargetMode="External" Id="rId291"/><Relationship Type="http://schemas.openxmlformats.org/officeDocument/2006/relationships/hyperlink" Target="https://nvidianews.nvidia.com/news/nvidia-announces-financial-results-for-fourth-quarter-and-fiscal-2019" TargetMode="External" Id="rId292"/><Relationship Type="http://schemas.openxmlformats.org/officeDocument/2006/relationships/hyperlink" Target="https://nvidianews.nvidia.com/news/nvidia-announces-financial-results-for-fourth-quarter-and-fiscal-2019" TargetMode="External" Id="rId293"/><Relationship Type="http://schemas.openxmlformats.org/officeDocument/2006/relationships/hyperlink" Target="https://nvidianews.nvidia.com/news/nvidia-announces-financial-results-for-fourth-quarter-and-fiscal-2019" TargetMode="External" Id="rId294"/><Relationship Type="http://schemas.openxmlformats.org/officeDocument/2006/relationships/hyperlink" Target="https://nvidianews.nvidia.com/news/nvidia-announces-financial-results-for-third-quarter-fiscal-2019" TargetMode="External" Id="rId295"/><Relationship Type="http://schemas.openxmlformats.org/officeDocument/2006/relationships/hyperlink" Target="https://nvidianews.nvidia.com/news/nvidia-announces-financial-results-for-third-quarter-fiscal-2019" TargetMode="External" Id="rId296"/><Relationship Type="http://schemas.openxmlformats.org/officeDocument/2006/relationships/hyperlink" Target="https://nvidianews.nvidia.com/news/nvidia-announces-financial-results-for-third-quarter-fiscal-2019" TargetMode="External" Id="rId297"/><Relationship Type="http://schemas.openxmlformats.org/officeDocument/2006/relationships/hyperlink" Target="https://nvidianews.nvidia.com/news/nvidia-announces-financial-results-for-third-quarter-fiscal-2019" TargetMode="External" Id="rId298"/><Relationship Type="http://schemas.openxmlformats.org/officeDocument/2006/relationships/hyperlink" Target="https://nvidianews.nvidia.com/news/nvidia-announces-financial-results-for-third-quarter-fiscal-2019" TargetMode="External" Id="rId299"/><Relationship Type="http://schemas.openxmlformats.org/officeDocument/2006/relationships/hyperlink" Target="https://nvidianews.nvidia.com/news/nvidia-announces-financial-results-for-third-quarter-fiscal-2019" TargetMode="External" Id="rId300"/><Relationship Type="http://schemas.openxmlformats.org/officeDocument/2006/relationships/hyperlink" Target="https://nvidianews.nvidia.com/news/nvidia-announces-financial-results-for-third-quarter-fiscal-2019" TargetMode="External" Id="rId301"/><Relationship Type="http://schemas.openxmlformats.org/officeDocument/2006/relationships/hyperlink" Target="https://nvidianews.nvidia.com/news/nvidia-announces-financial-results-for-third-quarter-fiscal-2019" TargetMode="External" Id="rId302"/><Relationship Type="http://schemas.openxmlformats.org/officeDocument/2006/relationships/hyperlink" Target="https://nvidianews.nvidia.com/news/nvidia-announces-financial-results-for-third-quarter-fiscal-2019" TargetMode="External" Id="rId303"/><Relationship Type="http://schemas.openxmlformats.org/officeDocument/2006/relationships/hyperlink" Target="https://nvidianews.nvidia.com/news/nvidia-announces-financial-results-for-third-quarter-fiscal-2019" TargetMode="External" Id="rId304"/><Relationship Type="http://schemas.openxmlformats.org/officeDocument/2006/relationships/hyperlink" Target="https://nvidianews.nvidia.com/news/nvidia-announces-financial-results-for-third-quarter-fiscal-2019" TargetMode="External" Id="rId305"/><Relationship Type="http://schemas.openxmlformats.org/officeDocument/2006/relationships/hyperlink" Target="https://nvidianews.nvidia.com/news/nvidia-announces-financial-results-for-second-quarter-fiscal-2019" TargetMode="External" Id="rId306"/><Relationship Type="http://schemas.openxmlformats.org/officeDocument/2006/relationships/hyperlink" Target="https://nvidianews.nvidia.com/news/nvidia-announces-financial-results-for-second-quarter-fiscal-2019" TargetMode="External" Id="rId307"/><Relationship Type="http://schemas.openxmlformats.org/officeDocument/2006/relationships/hyperlink" Target="https://nvidianews.nvidia.com/news/nvidia-announces-financial-results-for-second-quarter-fiscal-2019" TargetMode="External" Id="rId308"/><Relationship Type="http://schemas.openxmlformats.org/officeDocument/2006/relationships/hyperlink" Target="https://nvidianews.nvidia.com/news/nvidia-announces-financial-results-for-second-quarter-fiscal-2019" TargetMode="External" Id="rId309"/><Relationship Type="http://schemas.openxmlformats.org/officeDocument/2006/relationships/hyperlink" Target="https://nvidianews.nvidia.com/news/nvidia-announces-financial-results-for-second-quarter-fiscal-2019" TargetMode="External" Id="rId310"/><Relationship Type="http://schemas.openxmlformats.org/officeDocument/2006/relationships/hyperlink" Target="https://nvidianews.nvidia.com/news/nvidia-announces-financial-results-for-second-quarter-fiscal-2019" TargetMode="External" Id="rId311"/><Relationship Type="http://schemas.openxmlformats.org/officeDocument/2006/relationships/hyperlink" Target="https://nvidianews.nvidia.com/news/nvidia-announces-financial-results-for-second-quarter-fiscal-2019" TargetMode="External" Id="rId312"/><Relationship Type="http://schemas.openxmlformats.org/officeDocument/2006/relationships/hyperlink" Target="https://nvidianews.nvidia.com/news/nvidia-announces-financial-results-for-second-quarter-fiscal-2019" TargetMode="External" Id="rId313"/><Relationship Type="http://schemas.openxmlformats.org/officeDocument/2006/relationships/hyperlink" Target="https://nvidianews.nvidia.com/news/nvidia-announces-financial-results-for-second-quarter-fiscal-2019" TargetMode="External" Id="rId314"/><Relationship Type="http://schemas.openxmlformats.org/officeDocument/2006/relationships/hyperlink" Target="https://nvidianews.nvidia.com/news/nvidia-announces-financial-results-for-second-quarter-fiscal-2019" TargetMode="External" Id="rId315"/><Relationship Type="http://schemas.openxmlformats.org/officeDocument/2006/relationships/hyperlink" Target="https://nvidianews.nvidia.com/news/nvidia-announces-financial-results-for-second-quarter-fiscal-2019" TargetMode="External" Id="rId316"/><Relationship Type="http://schemas.openxmlformats.org/officeDocument/2006/relationships/hyperlink" Target="https://nvidianews.nvidia.com/news/nvidia-announces-financial-results-for-first-quarter-fiscal-2019" TargetMode="External" Id="rId317"/><Relationship Type="http://schemas.openxmlformats.org/officeDocument/2006/relationships/hyperlink" Target="https://nvidianews.nvidia.com/news/nvidia-announces-financial-results-for-first-quarter-fiscal-2019" TargetMode="External" Id="rId318"/><Relationship Type="http://schemas.openxmlformats.org/officeDocument/2006/relationships/hyperlink" Target="https://nvidianews.nvidia.com/news/nvidia-announces-financial-results-for-first-quarter-fiscal-2019" TargetMode="External" Id="rId319"/><Relationship Type="http://schemas.openxmlformats.org/officeDocument/2006/relationships/hyperlink" Target="https://nvidianews.nvidia.com/news/nvidia-announces-financial-results-for-first-quarter-fiscal-2019" TargetMode="External" Id="rId320"/><Relationship Type="http://schemas.openxmlformats.org/officeDocument/2006/relationships/hyperlink" Target="https://nvidianews.nvidia.com/news/nvidia-announces-financial-results-for-first-quarter-fiscal-2019" TargetMode="External" Id="rId321"/><Relationship Type="http://schemas.openxmlformats.org/officeDocument/2006/relationships/hyperlink" Target="https://nvidianews.nvidia.com/news/nvidia-announces-financial-results-for-first-quarter-fiscal-2019" TargetMode="External" Id="rId322"/><Relationship Type="http://schemas.openxmlformats.org/officeDocument/2006/relationships/hyperlink" Target="https://nvidianews.nvidia.com/news/nvidia-announces-financial-results-for-first-quarter-fiscal-2019" TargetMode="External" Id="rId323"/><Relationship Type="http://schemas.openxmlformats.org/officeDocument/2006/relationships/hyperlink" Target="https://nvidianews.nvidia.com/news/nvidia-announces-financial-results-for-first-quarter-fiscal-2019" TargetMode="External" Id="rId324"/><Relationship Type="http://schemas.openxmlformats.org/officeDocument/2006/relationships/hyperlink" Target="https://nvidianews.nvidia.com/news/nvidia-announces-financial-results-for-first-quarter-fiscal-2019" TargetMode="External" Id="rId325"/><Relationship Type="http://schemas.openxmlformats.org/officeDocument/2006/relationships/hyperlink" Target="https://nvidianews.nvidia.com/news/nvidia-announces-financial-results-for-fourth-quarter-and-fiscal-2018" TargetMode="External" Id="rId326"/><Relationship Type="http://schemas.openxmlformats.org/officeDocument/2006/relationships/hyperlink" Target="https://nvidianews.nvidia.com/news/nvidia-announces-financial-results-for-fourth-quarter-and-fiscal-2018" TargetMode="External" Id="rId327"/><Relationship Type="http://schemas.openxmlformats.org/officeDocument/2006/relationships/hyperlink" Target="https://nvidianews.nvidia.com/news/nvidia-announces-financial-results-for-fourth-quarter-and-fiscal-2018" TargetMode="External" Id="rId328"/><Relationship Type="http://schemas.openxmlformats.org/officeDocument/2006/relationships/hyperlink" Target="https://nvidianews.nvidia.com/news/nvidia-announces-financial-results-for-fourth-quarter-and-fiscal-2018" TargetMode="External" Id="rId329"/><Relationship Type="http://schemas.openxmlformats.org/officeDocument/2006/relationships/hyperlink" Target="https://nvidianews.nvidia.com/news/nvidia-announces-financial-results-for-fourth-quarter-and-fiscal-2018" TargetMode="External" Id="rId330"/><Relationship Type="http://schemas.openxmlformats.org/officeDocument/2006/relationships/hyperlink" Target="https://nvidianews.nvidia.com/news/nvidia-announces-financial-results-for-fourth-quarter-and-fiscal-2018" TargetMode="External" Id="rId331"/><Relationship Type="http://schemas.openxmlformats.org/officeDocument/2006/relationships/hyperlink" Target="https://nvidianews.nvidia.com/news/nvidia-announces-financial-results-for-fourth-quarter-and-fiscal-2018" TargetMode="External" Id="rId332"/><Relationship Type="http://schemas.openxmlformats.org/officeDocument/2006/relationships/hyperlink" Target="https://nvidianews.nvidia.com/news/nvidia-announces-financial-results-for-fourth-quarter-and-fiscal-2018" TargetMode="External" Id="rId333"/><Relationship Type="http://schemas.openxmlformats.org/officeDocument/2006/relationships/hyperlink" Target="https://nvidianews.nvidia.com/news/nvidia-announces-financial-results-for-fourth-quarter-and-fiscal-2018" TargetMode="External" Id="rId334"/><Relationship Type="http://schemas.openxmlformats.org/officeDocument/2006/relationships/hyperlink" Target="https://nvidianews.nvidia.com/news/nvidia-announces-financial-results-for-fourth-quarter-and-fiscal-2018" TargetMode="External" Id="rId335"/><Relationship Type="http://schemas.openxmlformats.org/officeDocument/2006/relationships/hyperlink" Target="https://nvidianews.nvidia.com/news/nvidia-announces-financial-results-for-third-quarter-fiscal-2018" TargetMode="External" Id="rId336"/><Relationship Type="http://schemas.openxmlformats.org/officeDocument/2006/relationships/hyperlink" Target="https://nvidianews.nvidia.com/news/nvidia-announces-financial-results-for-third-quarter-fiscal-2018" TargetMode="External" Id="rId337"/><Relationship Type="http://schemas.openxmlformats.org/officeDocument/2006/relationships/hyperlink" Target="https://nvidianews.nvidia.com/news/nvidia-announces-financial-results-for-third-quarter-fiscal-2018" TargetMode="External" Id="rId338"/><Relationship Type="http://schemas.openxmlformats.org/officeDocument/2006/relationships/hyperlink" Target="https://nvidianews.nvidia.com/news/nvidia-announces-financial-results-for-third-quarter-fiscal-2018" TargetMode="External" Id="rId339"/><Relationship Type="http://schemas.openxmlformats.org/officeDocument/2006/relationships/hyperlink" Target="https://nvidianews.nvidia.com/news/nvidia-announces-financial-results-for-third-quarter-fiscal-2018" TargetMode="External" Id="rId340"/><Relationship Type="http://schemas.openxmlformats.org/officeDocument/2006/relationships/hyperlink" Target="https://nvidianews.nvidia.com/news/nvidia-announces-financial-results-for-third-quarter-fiscal-2018" TargetMode="External" Id="rId341"/><Relationship Type="http://schemas.openxmlformats.org/officeDocument/2006/relationships/hyperlink" Target="https://nvidianews.nvidia.com/news/nvidia-announces-financial-results-for-third-quarter-fiscal-2018" TargetMode="External" Id="rId34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hyperlink" Target="http://ir.mellanox.com/" TargetMode="Externa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hyperlink" Target="https://nvidianews.nvidia.com/news/nvidia-announces-financial-results-for-third-quarter-fiscal-2026" TargetMode="External" Id="rId1"/><Relationship Type="http://schemas.openxmlformats.org/officeDocument/2006/relationships/hyperlink" Target="https://investor.nvidia.com/files/doc_financials/2026/Q226/Q2FY26-CFO-Commentary.pdf" TargetMode="External" Id="rId2"/><Relationship Type="http://schemas.openxmlformats.org/officeDocument/2006/relationships/hyperlink" Target="https://investor.nvidia.com/files/doc_financials/2026/Q226/Q2FY26-CFO-Commentary.pdf" TargetMode="External" Id="rId3"/><Relationship Type="http://schemas.openxmlformats.org/officeDocument/2006/relationships/hyperlink" Target="https://nvidianews.nvidia.com/news/nvidia-announces-financial-results-for-first-quarter-fiscal-2026" TargetMode="External" Id="rId4"/><Relationship Type="http://schemas.openxmlformats.org/officeDocument/2006/relationships/hyperlink" Target="https://nvidianews.nvidia.com/news/nvidia-announces-financial-results-for-fourth-quarter-and-fiscal-2025" TargetMode="External" Id="rId5"/><Relationship Type="http://schemas.openxmlformats.org/officeDocument/2006/relationships/hyperlink" Target="https://nvidianews.nvidia.com/news/nvidia-announces-financial-results-for-fourth-quarter-and-fiscal-2025" TargetMode="External" Id="rId6"/><Relationship Type="http://schemas.openxmlformats.org/officeDocument/2006/relationships/hyperlink" Target="https://nvidianews.nvidia.com/news/nvidia-announces-financial-results-for-third-quarter-fiscal-2025" TargetMode="External" Id="rId7"/><Relationship Type="http://schemas.openxmlformats.org/officeDocument/2006/relationships/hyperlink" Target="https://nvidianews.nvidia.com/news/nvidia-announces-financial-results-for-third-quarter-fiscal-2025" TargetMode="External" Id="rId8"/><Relationship Type="http://schemas.openxmlformats.org/officeDocument/2006/relationships/hyperlink" Target="https://investor.nvidia.com/files/doc_financials/2025/Q225/Q2FY25-CFO-Commentary.pdf" TargetMode="External" Id="rId9"/><Relationship Type="http://schemas.openxmlformats.org/officeDocument/2006/relationships/hyperlink" Target="https://investor.nvidia.com/files/doc_financials/2025/Q225/Q2FY25-CFO-Commentary.pdf" TargetMode="External" Id="rId10"/><Relationship Type="http://schemas.openxmlformats.org/officeDocument/2006/relationships/hyperlink" Target="https://nvidianews.nvidia.com/news/nvidia-announces-financial-results-for-first-quarter-fiscal-2025" TargetMode="External" Id="rId11"/><Relationship Type="http://schemas.openxmlformats.org/officeDocument/2006/relationships/hyperlink" Target="https://nvidianews.nvidia.com/news/nvidia-announces-financial-results-for-first-quarter-fiscal-2025" TargetMode="External" Id="rId12"/><Relationship Type="http://schemas.openxmlformats.org/officeDocument/2006/relationships/hyperlink" Target="https://nvidianews.nvidia.com/news/nvidia-announces-financial-results-for-fourth-quarter-and-fiscal-2024" TargetMode="External" Id="rId13"/><Relationship Type="http://schemas.openxmlformats.org/officeDocument/2006/relationships/hyperlink" Target="https://nvidianews.nvidia.com/news/nvidia-announces-financial-results-for-fourth-quarter-and-fiscal-2024" TargetMode="External" Id="rId14"/><Relationship Type="http://schemas.openxmlformats.org/officeDocument/2006/relationships/hyperlink" Target="https://nvidianews.nvidia.com/news/nvidia-announces-financial-results-for-third-quarter-fiscal-2024" TargetMode="External" Id="rId15"/><Relationship Type="http://schemas.openxmlformats.org/officeDocument/2006/relationships/hyperlink" Target="https://nvidianews.nvidia.com/news/nvidia-announces-financial-results-for-third-quarter-fiscal-2024" TargetMode="External" Id="rId16"/><Relationship Type="http://schemas.openxmlformats.org/officeDocument/2006/relationships/hyperlink" Target="https://investor.nvidia.com/news/press-release-details/2023/NVIDIA-Announces-Financial-Results-for-second-Quarter-Fiscal-2024/default.aspx" TargetMode="External" Id="rId17"/><Relationship Type="http://schemas.openxmlformats.org/officeDocument/2006/relationships/hyperlink" Target="https://investor.nvidia.com/news/press-release-details/2023/NVIDIA-Announces-Financial-Results-for-second-Quarter-Fiscal-2024/default.aspx" TargetMode="External" Id="rId18"/><Relationship Type="http://schemas.openxmlformats.org/officeDocument/2006/relationships/hyperlink" Target="https://investor.nvidia.com/news/press-release-details/2023/NVIDIA-Announces-Financial-Results-for-First-Quarter-Fiscal-2024/default.aspx" TargetMode="External" Id="rId19"/><Relationship Type="http://schemas.openxmlformats.org/officeDocument/2006/relationships/hyperlink" Target="https://investor.nvidia.com/news/press-release-details/2023/NVIDIA-Announces-Financial-Results-for-First-Quarter-Fiscal-2024/default.aspx" TargetMode="External" Id="rId20"/><Relationship Type="http://schemas.openxmlformats.org/officeDocument/2006/relationships/hyperlink" Target="https://nvidianews.nvidia.com/news/nvidia-announces-financial-results-for-fourth-quarter-and-fiscal-2023" TargetMode="External" Id="rId21"/><Relationship Type="http://schemas.openxmlformats.org/officeDocument/2006/relationships/hyperlink" Target="https://nvidianews.nvidia.com/news/nvidia-announces-financial-results-for-fourth-quarter-and-fiscal-2023" TargetMode="External" Id="rId22"/><Relationship Type="http://schemas.openxmlformats.org/officeDocument/2006/relationships/hyperlink" Target="https://nvidianews.nvidia.com/news/nvidia-announces-financial-results-for-third-quarter-fiscal-2023" TargetMode="External" Id="rId23"/><Relationship Type="http://schemas.openxmlformats.org/officeDocument/2006/relationships/hyperlink" Target="https://nvidianews.nvidia.com/news/nvidia-announces-financial-results-for-third-quarter-fiscal-2023" TargetMode="External" Id="rId24"/><Relationship Type="http://schemas.openxmlformats.org/officeDocument/2006/relationships/hyperlink" Target="https://nvidianews.nvidia.com/news/nvidia-announces-financial-results-for-second-quarter-fiscal-2023" TargetMode="External" Id="rId25"/><Relationship Type="http://schemas.openxmlformats.org/officeDocument/2006/relationships/hyperlink" Target="https://nvidianews.nvidia.com/news/nvidia-announces-financial-results-for-second-quarter-fiscal-2023" TargetMode="External" Id="rId26"/><Relationship Type="http://schemas.openxmlformats.org/officeDocument/2006/relationships/hyperlink" Target="https://nvidianews.nvidia.com/news/nvidia-announces-financial-results-for-first-quarter-fiscal-2023" TargetMode="External" Id="rId27"/><Relationship Type="http://schemas.openxmlformats.org/officeDocument/2006/relationships/hyperlink" Target="https://nvidianews.nvidia.com/news/nvidia-announces-financial-results-for-first-quarter-fiscal-2023" TargetMode="External" Id="rId28"/><Relationship Type="http://schemas.openxmlformats.org/officeDocument/2006/relationships/hyperlink" Target="https://nvidianews.nvidia.com/news/nvidia-announces-financial-results-for-fourth-quarter-and-fiscal-2022" TargetMode="External" Id="rId29"/><Relationship Type="http://schemas.openxmlformats.org/officeDocument/2006/relationships/hyperlink" Target="https://nvidianews.nvidia.com/news/nvidia-announces-financial-results-for-fourth-quarter-and-fiscal-2022" TargetMode="External" Id="rId30"/><Relationship Type="http://schemas.openxmlformats.org/officeDocument/2006/relationships/hyperlink" Target="https://nvidianews.nvidia.com/news/nvidia-announces-financial-results-for-third-quarter-fiscal-2022" TargetMode="External" Id="rId31"/><Relationship Type="http://schemas.openxmlformats.org/officeDocument/2006/relationships/hyperlink" Target="https://nvidianews.nvidia.com/news/nvidia-announces-financial-results-for-third-quarter-fiscal-2022" TargetMode="External" Id="rId32"/><Relationship Type="http://schemas.openxmlformats.org/officeDocument/2006/relationships/hyperlink" Target="https://nvidianews.nvidia.com/news/nvidia-announces-financial-results-for-second-quarter-fiscal-2022" TargetMode="External" Id="rId33"/><Relationship Type="http://schemas.openxmlformats.org/officeDocument/2006/relationships/hyperlink" Target="https://nvidianews.nvidia.com/news/nvidia-announces-financial-results-for-second-quarter-fiscal-2022" TargetMode="External" Id="rId34"/><Relationship Type="http://schemas.openxmlformats.org/officeDocument/2006/relationships/hyperlink" Target="https://nvidianews.nvidia.com/news/nvidia-announces-financial-results-for-first-quarter-fiscal-2022" TargetMode="External" Id="rId35"/><Relationship Type="http://schemas.openxmlformats.org/officeDocument/2006/relationships/hyperlink" Target="https://nvidianews.nvidia.com/news/nvidia-announces-financial-results-for-fourth-quarter-and-fiscal-2021" TargetMode="External" Id="rId36"/><Relationship Type="http://schemas.openxmlformats.org/officeDocument/2006/relationships/hyperlink" Target="https://nvidianews.nvidia.com/news/nvidia-announces-financial-results-for-fourth-quarter-and-fiscal-2021" TargetMode="External" Id="rId37"/><Relationship Type="http://schemas.openxmlformats.org/officeDocument/2006/relationships/hyperlink" Target="https://nvidianews.nvidia.com/news/nvidia-announces-financial-results-for-third-quarter-fiscal-2021" TargetMode="External" Id="rId38"/><Relationship Type="http://schemas.openxmlformats.org/officeDocument/2006/relationships/hyperlink" Target="https://nvidianews.nvidia.com/news/nvidia-announces-financial-results-for-second-quarter-fiscal-2021" TargetMode="External" Id="rId39"/><Relationship Type="http://schemas.openxmlformats.org/officeDocument/2006/relationships/hyperlink" Target="https://nvidianews.nvidia.com/news/nvidia-announces-financial-results-for-first-quarter-fiscal-2021" TargetMode="External" Id="rId40"/><Relationship Type="http://schemas.openxmlformats.org/officeDocument/2006/relationships/hyperlink" Target="https://nvidianews.nvidia.com/news/nvidia-announces-financial-results-for-fourth-quarter-and-fiscal-2020" TargetMode="External" Id="rId41"/><Relationship Type="http://schemas.openxmlformats.org/officeDocument/2006/relationships/hyperlink" Target="https://nvidianews.nvidia.com/news/nvidia-announces-financial-results-for-fourth-quarter-and-fiscal-2020" TargetMode="External" Id="rId42"/><Relationship Type="http://schemas.openxmlformats.org/officeDocument/2006/relationships/hyperlink" Target="https://nvidianews.nvidia.com/news/nvidia-announces-financial-results-for-third-quarter-fiscal-2020" TargetMode="External" Id="rId43"/><Relationship Type="http://schemas.openxmlformats.org/officeDocument/2006/relationships/hyperlink" Target="https://nvidianews.nvidia.com/news/nvidia-announces-financial-results-for-second-quarter-fiscal-2020" TargetMode="External" Id="rId44"/><Relationship Type="http://schemas.openxmlformats.org/officeDocument/2006/relationships/hyperlink" Target="https://nvidianews.nvidia.com/news/nvidia-announces-financial-results-for-first-quarter-fiscal-2020" TargetMode="External" Id="rId45"/><Relationship Type="http://schemas.openxmlformats.org/officeDocument/2006/relationships/hyperlink" Target="https://nvidianews.nvidia.com/news/nvidia-announces-financial-results-for-fourth-quarter-and-fiscal-2019" TargetMode="External" Id="rId46"/><Relationship Type="http://schemas.openxmlformats.org/officeDocument/2006/relationships/hyperlink" Target="https://nvidianews.nvidia.com/news/nvidia-announces-financial-results-for-third-quarter-fiscal-2019" TargetMode="External" Id="rId47"/><Relationship Type="http://schemas.openxmlformats.org/officeDocument/2006/relationships/hyperlink" Target="https://nvidianews.nvidia.com/news/nvidia-announces-financial-results-for-second-quarter-fiscal-2019" TargetMode="External" Id="rId48"/><Relationship Type="http://schemas.openxmlformats.org/officeDocument/2006/relationships/hyperlink" Target="https://nvidianews.nvidia.com/news/nvidia-announces-financial-results-for-first-quarter-fiscal-2019" TargetMode="External" Id="rId49"/><Relationship Type="http://schemas.openxmlformats.org/officeDocument/2006/relationships/hyperlink" Target="https://nvidianews.nvidia.com/news/nvidia-announces-financial-results-for-fourth-quarter-and-fiscal-2018" TargetMode="External" Id="rId50"/><Relationship Type="http://schemas.openxmlformats.org/officeDocument/2006/relationships/hyperlink" Target="https://nvidianews.nvidia.com/news/nvidia-announces-financial-results-for-third-quarter-fiscal-2018" TargetMode="External" Id="rId51"/><Relationship Type="http://schemas.openxmlformats.org/officeDocument/2006/relationships/hyperlink" Target="http://nvidianews.nvidia.com/news/nvidia-announces-financial-results-for-second-quarter-fiscal-2018" TargetMode="External" Id="rId52"/><Relationship Type="http://schemas.openxmlformats.org/officeDocument/2006/relationships/hyperlink" Target="http://nvidianews.nvidia.com/news/nvidia-announces-financial-results-for-first-quarter-fiscal-2018" TargetMode="External" Id="rId53"/><Relationship Type="http://schemas.openxmlformats.org/officeDocument/2006/relationships/hyperlink" Target="http://nvidianews.nvidia.com/news/nvidia-announces-financial-results-for-fourth-quarter-and-fiscal-2017" TargetMode="External" Id="rId54"/><Relationship Type="http://schemas.openxmlformats.org/officeDocument/2006/relationships/hyperlink" Target="http://nvidianews.nvidia.com/news/nvidia-announces-financial-results-for-third-quarter-fiscal-2017" TargetMode="External" Id="rId55"/><Relationship Type="http://schemas.openxmlformats.org/officeDocument/2006/relationships/hyperlink" Target="http://nvidianews.nvidia.com/news/nvidia-announces-financial-results-for-second-quarter-fiscal-2017" TargetMode="External" Id="rId56"/><Relationship Type="http://schemas.openxmlformats.org/officeDocument/2006/relationships/drawing" Target="/xl/drawings/drawing2.xml" Id="rId57"/></Relationships>
</file>

<file path=xl/worksheets/sheet1.xml><?xml version="1.0" encoding="utf-8"?>
<worksheet xmlns="http://schemas.openxmlformats.org/spreadsheetml/2006/main">
  <sheetPr codeName="Sheet5">
    <outlinePr summaryBelow="1" summaryRight="1"/>
    <pageSetUpPr fitToPage="1"/>
  </sheetPr>
  <dimension ref="A1:W57"/>
  <sheetViews>
    <sheetView showGridLines="0" workbookViewId="0">
      <selection activeCell="A1" sqref="A1"/>
    </sheetView>
  </sheetViews>
  <sheetFormatPr baseColWidth="10" defaultColWidth="8.6640625" defaultRowHeight="15"/>
  <cols>
    <col width="5.6640625" customWidth="1" style="1330" min="1" max="1"/>
    <col width="7.6640625" customWidth="1" style="1330" min="2" max="2"/>
    <col width="10.33203125" customWidth="1" style="1330" min="3" max="3"/>
    <col width="13.6640625" customWidth="1" style="1330" min="4" max="4"/>
    <col width="5.5" customWidth="1" style="1330" min="5" max="5"/>
    <col width="13.6640625" customWidth="1" style="1330" min="6" max="6"/>
    <col width="6.6640625" customWidth="1" style="1330" min="7" max="7"/>
    <col width="31.6640625" customWidth="1" style="1330" min="8" max="8"/>
    <col width="8.6640625" customWidth="1" style="1330" min="9" max="15"/>
    <col width="45.6640625" customWidth="1" style="1330" min="16" max="16"/>
    <col width="8.6640625" customWidth="1" style="1330" min="17" max="24"/>
    <col width="8.6640625" customWidth="1" style="1330" min="25" max="16384"/>
  </cols>
  <sheetData>
    <row r="1">
      <c r="A1" s="3" t="n"/>
      <c r="B1" s="3" t="n"/>
      <c r="C1" s="3" t="n"/>
      <c r="D1" s="3" t="n"/>
      <c r="E1" s="3" t="n"/>
      <c r="F1" s="3" t="n"/>
      <c r="G1" s="3" t="n"/>
      <c r="H1" s="3" t="n"/>
      <c r="I1" s="3" t="n"/>
      <c r="J1" s="3" t="n"/>
      <c r="K1" s="3" t="n"/>
      <c r="L1" s="3" t="n"/>
      <c r="M1" s="3" t="n"/>
      <c r="N1" s="3" t="n"/>
      <c r="O1" s="3" t="n"/>
      <c r="P1" s="3" t="n"/>
      <c r="Q1" s="3" t="n"/>
      <c r="R1" s="3" t="n"/>
      <c r="S1" s="3" t="n"/>
      <c r="T1" s="3" t="n"/>
      <c r="U1" s="3" t="n"/>
      <c r="V1" s="3" t="n"/>
      <c r="W1" s="3" t="n"/>
    </row>
    <row r="2">
      <c r="A2" s="3" t="n"/>
      <c r="B2" s="3" t="n"/>
      <c r="C2" s="3" t="n"/>
      <c r="D2" s="3" t="n"/>
      <c r="E2" s="3" t="n"/>
      <c r="F2" s="3" t="n"/>
      <c r="G2" s="3" t="n"/>
      <c r="H2" s="3" t="n"/>
      <c r="I2" s="3" t="n"/>
      <c r="J2" s="3" t="n"/>
      <c r="K2" s="3" t="n"/>
      <c r="L2" s="3" t="n"/>
      <c r="M2" s="3" t="n"/>
      <c r="N2" s="3" t="n"/>
      <c r="O2" s="3" t="n"/>
      <c r="P2" s="3" t="n"/>
      <c r="Q2" s="3" t="n"/>
      <c r="R2" s="3" t="n"/>
      <c r="S2" s="3" t="n"/>
      <c r="T2" s="3" t="n"/>
      <c r="U2" s="3" t="n"/>
      <c r="V2" s="3" t="n"/>
      <c r="W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row>
    <row r="6" ht="19" customHeight="1">
      <c r="A6" s="3" t="n"/>
      <c r="B6" s="3" t="n"/>
      <c r="C6" s="3" t="n"/>
      <c r="D6" s="3" t="n"/>
      <c r="E6" s="3" t="n"/>
      <c r="F6" s="3" t="n"/>
      <c r="G6" s="3" t="n"/>
      <c r="H6" s="3" t="n"/>
      <c r="I6" s="3" t="n"/>
      <c r="J6" s="3" t="n"/>
      <c r="K6" s="3" t="n"/>
      <c r="L6" s="3" t="n"/>
      <c r="M6" s="751" t="inlineStr">
        <is>
          <t xml:space="preserve">Please contact this email for any model-specific questions: </t>
        </is>
      </c>
      <c r="N6" s="3" t="n"/>
      <c r="O6" s="3" t="n"/>
      <c r="P6" s="3" t="n"/>
      <c r="Q6" s="3" t="n"/>
      <c r="R6" s="3" t="n"/>
      <c r="S6" s="3" t="n"/>
      <c r="T6" s="3" t="n"/>
      <c r="U6" s="3" t="n"/>
      <c r="V6" s="3" t="n"/>
      <c r="W6" s="3" t="n"/>
    </row>
    <row r="7" ht="19" customHeight="1">
      <c r="A7" s="3" t="n"/>
      <c r="B7" s="3" t="n"/>
      <c r="C7" s="3" t="n"/>
      <c r="D7" s="3" t="n"/>
      <c r="E7" s="3" t="n"/>
      <c r="F7" s="3" t="n"/>
      <c r="G7" s="3" t="n"/>
      <c r="H7" s="3" t="n"/>
      <c r="I7" s="3" t="n"/>
      <c r="J7" s="3" t="n"/>
      <c r="K7" s="3" t="n"/>
      <c r="L7" s="3" t="n"/>
      <c r="M7" s="955" t="inlineStr">
        <is>
          <t>modelsupport@alpha-sense.com</t>
        </is>
      </c>
      <c r="N7" s="955" t="inlineStr">
        <is>
          <t>mailto:support@canalyst.com?subject=Canalyst%20Support:%20NVIDIA%20Corporation%20NVDA%20US&amp;body=Model%20Version:%20Q1-2020.20</t>
        </is>
      </c>
      <c r="O7" s="955" t="inlineStr">
        <is>
          <t>mailto:support@canalyst.com?subject=Canalyst%20Support:%20NVIDIA%20Corporation%20NVDA%20US&amp;body=Model%20Version:%20Q1-2020.20</t>
        </is>
      </c>
      <c r="P7" s="3" t="n"/>
      <c r="Q7" s="3" t="n"/>
      <c r="R7" s="3" t="n"/>
      <c r="S7" s="3" t="n"/>
      <c r="T7" s="3" t="n"/>
      <c r="U7" s="3" t="n"/>
      <c r="V7" s="3" t="n"/>
      <c r="W7" s="3" t="n"/>
    </row>
    <row r="8" ht="29" customHeight="1">
      <c r="A8" s="3" t="n"/>
      <c r="B8" s="3" t="n"/>
      <c r="C8" s="3" t="n"/>
      <c r="D8" s="3" t="n"/>
      <c r="E8" s="3" t="n"/>
      <c r="F8" s="1332" t="n"/>
      <c r="L8" s="3" t="n"/>
      <c r="M8" s="3" t="n"/>
      <c r="N8" s="3" t="n"/>
      <c r="O8" s="3" t="n"/>
      <c r="P8" s="3" t="n"/>
      <c r="Q8" s="3" t="n"/>
      <c r="R8" s="3" t="n"/>
      <c r="S8" s="3" t="n"/>
      <c r="T8" s="3" t="n"/>
      <c r="U8" s="3" t="n"/>
      <c r="V8" s="3" t="n"/>
      <c r="W8" s="3" t="n"/>
    </row>
    <row r="9" ht="19" customHeight="1">
      <c r="A9" s="3" t="n"/>
      <c r="B9" s="3" t="n"/>
      <c r="C9" s="752" t="inlineStr">
        <is>
          <t>Company Model:</t>
        </is>
      </c>
      <c r="D9" s="753" t="n"/>
      <c r="E9" s="753" t="n"/>
      <c r="F9" s="753" t="n"/>
      <c r="G9" s="753" t="n"/>
      <c r="H9" s="754">
        <f>Model!A1</f>
        <v/>
      </c>
      <c r="I9" s="753" t="n"/>
      <c r="J9" s="753" t="n"/>
      <c r="K9" s="753" t="n"/>
      <c r="L9" s="753" t="n"/>
      <c r="M9" s="870" t="n"/>
      <c r="N9" s="753" t="n"/>
      <c r="O9" s="753" t="n"/>
      <c r="Q9" s="3" t="n"/>
      <c r="R9" s="3" t="n"/>
      <c r="S9" s="3" t="n"/>
      <c r="T9" s="3" t="n"/>
      <c r="U9" s="3" t="n"/>
      <c r="V9" s="3" t="n"/>
      <c r="W9" s="3" t="n"/>
    </row>
    <row r="10" ht="19" customHeight="1">
      <c r="A10" s="3" t="n"/>
      <c r="B10" s="3" t="n"/>
      <c r="C10" s="755" t="n"/>
      <c r="D10" s="3" t="n"/>
      <c r="E10" s="3" t="n"/>
      <c r="F10" s="3" t="n"/>
      <c r="G10" s="3" t="n"/>
      <c r="H10" s="3" t="n"/>
      <c r="I10" s="3" t="n"/>
      <c r="J10" s="3" t="n"/>
      <c r="K10" s="3" t="n"/>
      <c r="L10" s="3" t="n"/>
      <c r="M10" s="871" t="n"/>
      <c r="N10" s="3" t="n"/>
      <c r="O10" s="3" t="n"/>
      <c r="Q10" s="3" t="n"/>
      <c r="R10" s="3" t="n"/>
      <c r="S10" s="3" t="n"/>
      <c r="T10" s="3" t="n"/>
      <c r="U10" s="3" t="n"/>
      <c r="V10" s="3" t="n"/>
      <c r="W10" s="3" t="n"/>
    </row>
    <row r="11" ht="19" customHeight="1">
      <c r="A11" s="3" t="n"/>
      <c r="B11" s="3" t="n"/>
      <c r="C11" s="752" t="inlineStr">
        <is>
          <t xml:space="preserve">Updated: </t>
        </is>
      </c>
      <c r="D11" s="3" t="n"/>
      <c r="E11" s="3" t="n"/>
      <c r="F11" s="3" t="n"/>
      <c r="G11" s="3" t="n"/>
      <c r="H11" s="785">
        <f>OFFSET('Update Log'!$C$10,1,0,1,1)</f>
        <v/>
      </c>
      <c r="I11" s="3" t="n"/>
      <c r="J11" s="3" t="n"/>
      <c r="K11" s="3" t="n"/>
      <c r="L11" s="3" t="n"/>
      <c r="M11" s="3" t="n"/>
      <c r="N11" s="3" t="n"/>
      <c r="O11" s="3" t="n"/>
      <c r="Q11" s="3" t="n"/>
      <c r="R11" s="3" t="n"/>
      <c r="S11" s="3" t="n"/>
      <c r="T11" s="3" t="n"/>
      <c r="U11" s="3" t="n"/>
      <c r="V11" s="3" t="n"/>
      <c r="W11" s="3" t="n"/>
    </row>
    <row r="12" ht="19" customHeight="1">
      <c r="A12" s="3" t="n"/>
      <c r="B12" s="3" t="n"/>
      <c r="C12" s="3" t="n"/>
      <c r="D12" s="3" t="n"/>
      <c r="E12" s="3" t="n"/>
      <c r="F12" s="3" t="n"/>
      <c r="G12" s="3" t="n"/>
      <c r="H12" s="757" t="n"/>
      <c r="I12" s="3" t="n"/>
      <c r="J12" s="3" t="n"/>
      <c r="K12" s="3" t="n"/>
      <c r="L12" s="3" t="n"/>
      <c r="M12" s="752" t="inlineStr">
        <is>
          <t>Comments on Model:</t>
        </is>
      </c>
      <c r="N12" s="3" t="n"/>
      <c r="O12" s="3" t="n"/>
      <c r="Q12" s="3" t="n"/>
      <c r="R12" s="3" t="n"/>
      <c r="S12" s="3" t="n"/>
      <c r="T12" s="3" t="n"/>
      <c r="U12" s="3" t="n"/>
      <c r="V12" s="3" t="n"/>
      <c r="W12" s="3" t="n"/>
    </row>
    <row r="13" ht="19" customHeight="1">
      <c r="A13" s="3" t="n"/>
      <c r="B13" s="3" t="n"/>
      <c r="C13" s="752" t="inlineStr">
        <is>
          <t>For:</t>
        </is>
      </c>
      <c r="D13" s="3" t="n"/>
      <c r="E13" s="3" t="n"/>
      <c r="F13" s="3" t="n"/>
      <c r="G13" s="3" t="n"/>
      <c r="H13" s="786">
        <f>OFFSET('Update Log'!$E$10,1,0,1,1)</f>
        <v/>
      </c>
      <c r="I13" s="3" t="n"/>
      <c r="J13" s="3" t="n"/>
      <c r="K13" s="3" t="n"/>
      <c r="L13" s="3" t="n"/>
      <c r="M13" s="1329" t="inlineStr">
        <is>
          <t>On August 26, 2024, the Board of Directors approved an additional $50.0 billion in share repurchase authorization, without expiration.
'On, May 21, 2021, The company announced a 4-for-1 stock split. The model was adjusted for the split on July 20, 2021'
'Starting with the first quarter of fiscal 2021, the company's reportable segments have changed to “Graphics” and “Compute &amp; Networking.” 
During the third quarter, NVIDIA announced a definitive agreement to acquire Arm Limited from SoftBank Capital Limited and SVF Holdco (UK) Limited in a transaction valued at $40 billion. The transaction -- which is expected to be immediately accretive to NVIDIA’s non-GAAP gross margin and non-GAAP earnings per share -- is expected to close in the first quarter of calendar 2022.</t>
        </is>
      </c>
      <c r="Q13" s="3" t="n"/>
      <c r="R13" s="3" t="n"/>
      <c r="S13" s="3" t="n"/>
      <c r="T13" s="3" t="n"/>
      <c r="U13" s="3" t="n"/>
      <c r="V13" s="3" t="n"/>
      <c r="W13" s="3" t="n"/>
    </row>
    <row r="14">
      <c r="A14" s="3" t="n"/>
      <c r="B14" s="3" t="n"/>
      <c r="C14" s="3" t="n"/>
      <c r="D14" s="3" t="n"/>
      <c r="E14" s="3" t="n"/>
      <c r="F14" s="3" t="n"/>
      <c r="G14" s="3" t="n"/>
      <c r="H14" s="3" t="n"/>
      <c r="I14" s="3" t="n"/>
      <c r="J14" s="3" t="n"/>
      <c r="K14" s="3" t="n"/>
      <c r="L14" s="3" t="n"/>
      <c r="Q14" s="3" t="n"/>
      <c r="R14" s="3" t="n"/>
      <c r="S14" s="3" t="n"/>
      <c r="T14" s="3" t="n"/>
      <c r="U14" s="3" t="n"/>
      <c r="V14" s="3" t="n"/>
      <c r="W14" s="3" t="n"/>
    </row>
    <row r="15" ht="18.75" customHeight="1">
      <c r="A15" s="3" t="n"/>
      <c r="B15" s="3" t="n"/>
      <c r="C15" s="752" t="inlineStr">
        <is>
          <t>Consensus Data and Real-Time Stock Price:</t>
        </is>
      </c>
      <c r="D15" s="753" t="n"/>
      <c r="E15" s="753" t="n"/>
      <c r="F15" s="753" t="n"/>
      <c r="G15" s="753" t="n"/>
      <c r="H15" s="787" t="inlineStr">
        <is>
          <t>Bloomberg</t>
        </is>
      </c>
      <c r="I15" s="3" t="n"/>
      <c r="J15" s="758" t="n"/>
      <c r="K15" s="3" t="n"/>
      <c r="L15" s="3" t="n"/>
      <c r="Q15" s="3" t="n"/>
      <c r="R15" s="3" t="n"/>
      <c r="S15" s="3" t="n"/>
      <c r="T15" s="3" t="n"/>
      <c r="U15" s="3" t="n"/>
      <c r="V15" s="3" t="n"/>
      <c r="W15" s="3" t="n"/>
    </row>
    <row r="16" ht="15" customHeight="1">
      <c r="A16" s="3" t="n"/>
      <c r="B16" s="3" t="n"/>
      <c r="C16" s="753" t="n"/>
      <c r="D16" s="1" t="n"/>
      <c r="E16" s="1" t="n"/>
      <c r="F16" s="1" t="n"/>
      <c r="G16" s="1" t="n"/>
      <c r="H16" s="759">
        <f>IF(FP.DataSourceName="Bloomberg",1,IF(FP.DataSourceName="Capital IQ",2,IF(FP.DataSourceName="FactSet",3,IF(FP.DataSourceName="Refinitiv",4))))</f>
        <v/>
      </c>
      <c r="I16" s="760" t="n"/>
      <c r="J16" s="758" t="n"/>
      <c r="K16" s="3" t="n"/>
      <c r="L16" s="3" t="n"/>
      <c r="Q16" s="3" t="n"/>
      <c r="R16" s="3" t="n"/>
      <c r="S16" s="3" t="n"/>
      <c r="T16" s="3" t="n"/>
      <c r="U16" s="3" t="n"/>
      <c r="V16" s="3" t="n"/>
      <c r="W16" s="3" t="n"/>
    </row>
    <row r="17" ht="19" customFormat="1" customHeight="1" s="1331">
      <c r="A17" s="1" t="n"/>
      <c r="B17" s="1" t="n"/>
      <c r="C17" s="755" t="n"/>
      <c r="D17" s="1" t="n"/>
      <c r="E17" s="1" t="n"/>
      <c r="F17" s="1" t="n"/>
      <c r="G17" s="1" t="n"/>
      <c r="H17" s="1" t="n"/>
      <c r="I17" s="760" t="n"/>
      <c r="J17" s="758" t="n"/>
      <c r="K17" s="3" t="n"/>
      <c r="L17" s="3" t="n"/>
      <c r="Q17" s="1" t="n"/>
      <c r="R17" s="1" t="n"/>
      <c r="S17" s="1" t="n"/>
      <c r="T17" s="1" t="n"/>
      <c r="U17" s="1" t="n"/>
      <c r="V17" s="1" t="n"/>
      <c r="W17" s="3" t="n"/>
    </row>
    <row r="18" ht="18.75" customFormat="1" customHeight="1" s="1331">
      <c r="A18" s="1" t="n"/>
      <c r="B18" s="1" t="n"/>
      <c r="C18" s="752" t="inlineStr">
        <is>
          <t>Real-Time Stock Price:</t>
        </is>
      </c>
      <c r="D18" s="753" t="n"/>
      <c r="E18" s="753" t="n"/>
      <c r="F18" s="753" t="n"/>
      <c r="G18" s="753" t="n"/>
      <c r="H18" s="787" t="inlineStr">
        <is>
          <t>OFF</t>
        </is>
      </c>
      <c r="I18" s="761" t="n"/>
      <c r="J18" s="761" t="n"/>
      <c r="K18" s="3" t="n"/>
      <c r="L18" s="3" t="n"/>
      <c r="Q18" s="1" t="n"/>
      <c r="R18" s="1" t="n"/>
      <c r="S18" s="1" t="n"/>
      <c r="T18" s="1" t="n"/>
      <c r="U18" s="1" t="n"/>
      <c r="V18" s="1" t="n"/>
      <c r="W18" s="3" t="n"/>
    </row>
    <row r="19" customFormat="1" s="1331">
      <c r="A19" s="1" t="n"/>
      <c r="B19" s="1" t="n"/>
      <c r="C19" s="753" t="n"/>
      <c r="D19" s="1" t="n"/>
      <c r="E19" s="1" t="n"/>
      <c r="F19" s="1" t="n"/>
      <c r="G19" s="1" t="n"/>
      <c r="H19" s="1" t="n"/>
      <c r="I19" s="760" t="n"/>
      <c r="J19" s="758" t="n"/>
      <c r="K19" s="3" t="n"/>
      <c r="L19" s="3" t="n"/>
      <c r="Q19" s="1" t="n"/>
      <c r="R19" s="1" t="n"/>
      <c r="S19" s="1" t="n"/>
      <c r="T19" s="1" t="n"/>
      <c r="U19" s="1" t="n"/>
      <c r="V19" s="1" t="n"/>
      <c r="W19" s="3" t="n"/>
    </row>
    <row r="20" ht="18.75" customFormat="1" customHeight="1" s="1331">
      <c r="A20" s="1" t="n"/>
      <c r="B20" s="1" t="n"/>
      <c r="C20" s="762" t="inlineStr">
        <is>
          <t>Stock Price Override:</t>
        </is>
      </c>
      <c r="D20" s="1" t="n"/>
      <c r="E20" s="1" t="n"/>
      <c r="F20" s="1341" t="n">
        <v>45979</v>
      </c>
      <c r="G20" s="1" t="n"/>
      <c r="H20" s="788" t="n">
        <v>181.36</v>
      </c>
      <c r="I20" s="760" t="n"/>
      <c r="J20" s="758" t="n"/>
      <c r="K20" s="3" t="n"/>
      <c r="L20" s="3" t="n"/>
      <c r="Q20" s="1" t="n"/>
      <c r="R20" s="1" t="n"/>
      <c r="S20" s="1" t="n"/>
      <c r="T20" s="1" t="n"/>
      <c r="U20" s="1" t="n"/>
      <c r="V20" s="1" t="n"/>
      <c r="W20" s="3" t="n"/>
    </row>
    <row r="21" customFormat="1" s="1331">
      <c r="A21" s="1" t="n"/>
      <c r="B21" s="1" t="n"/>
      <c r="C21" s="1" t="n"/>
      <c r="D21" s="3" t="n"/>
      <c r="E21" s="3" t="n"/>
      <c r="F21" s="3" t="n"/>
      <c r="G21" s="3" t="n"/>
      <c r="H21" s="3" t="n"/>
      <c r="I21" s="3" t="n"/>
      <c r="J21" s="3" t="n"/>
      <c r="K21" s="3" t="n"/>
      <c r="L21" s="3" t="n"/>
      <c r="M21" s="3" t="n"/>
      <c r="N21" s="1" t="n"/>
      <c r="O21" s="1" t="n"/>
      <c r="P21" s="1" t="n"/>
      <c r="Q21" s="1" t="n"/>
      <c r="R21" s="1" t="n"/>
      <c r="S21" s="1" t="n"/>
      <c r="T21" s="1" t="n"/>
      <c r="U21" s="1" t="n"/>
      <c r="V21" s="1" t="n"/>
      <c r="W21" s="1" t="n"/>
    </row>
    <row r="22" ht="16.25" customHeight="1">
      <c r="A22" s="3" t="n"/>
      <c r="B22" s="3" t="n"/>
      <c r="C22" s="1333" t="inlineStr">
        <is>
          <t>DISCLAIMER
Access to and use of this model, including the data contained herein (this "Model") is subject to Tegus, Inc.'s (a successor entity to Canalyst Financial Modeling Corporation)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LEGAL@TEGUS.COM OF SUCH UNLAWFUL OR UNAUTHORIZED ACCESS AND USE; AND, (III) CERTIFY THAT YOU HAVE DESTROYED THIS MODEL (AND ANY DERIVATIVE WORKS ARISING FROM OR RELATING THERETO) AND ANY COPIES FROM YOUR SYSTEMS SO AS TO ENSURE THEY ARE INCAPABLE OF RETRIEVAL.
A portion of the data contained in this Model may be powered by third party contributors and their respective licensors, or derived from data provided by such contributors, including (but not limited to): (i) QuoteMedia Inc.: A portion of the market data is powered by Quotemedia.com. All rights reserved. Data delayed 15 minutes unless otherwise indicated; (ii) S&amp;P Global Market Intelligence LLC: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Refinitiv Canada Holdings Limited: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 Access to data in this Model that is sourced from third party contributors is subject to termination in the event that any agreement between the Company and such third party contributors terminates for any reason.
Copyright 2023 Tegus. All rights reserved.</t>
        </is>
      </c>
      <c r="D22" s="1334" t="n"/>
      <c r="E22" s="1334" t="n"/>
      <c r="F22" s="1334" t="n"/>
      <c r="G22" s="1334" t="n"/>
      <c r="H22" s="1334" t="n"/>
      <c r="I22" s="1334" t="n"/>
      <c r="J22" s="1334" t="n"/>
      <c r="K22" s="1334" t="n"/>
      <c r="L22" s="1334" t="n"/>
      <c r="M22" s="1334" t="n"/>
      <c r="N22" s="1334" t="n"/>
      <c r="O22" s="1334" t="n"/>
      <c r="P22" s="1335" t="n"/>
      <c r="Q22" s="3" t="n"/>
      <c r="R22" s="3" t="n"/>
      <c r="S22" s="3" t="n"/>
      <c r="T22" s="3" t="n"/>
      <c r="U22" s="3" t="n"/>
      <c r="V22" s="3" t="n"/>
      <c r="W22" s="3" t="n"/>
    </row>
    <row r="23" ht="16.25" customHeight="1">
      <c r="A23" s="3" t="n"/>
      <c r="B23" s="3" t="n"/>
      <c r="C23" s="1336" t="n"/>
      <c r="P23" s="1337" t="n"/>
      <c r="Q23" s="3" t="n"/>
      <c r="R23" s="3" t="n"/>
      <c r="S23" s="3" t="n"/>
      <c r="T23" s="3" t="n"/>
      <c r="U23" s="3" t="n"/>
      <c r="V23" s="3" t="n"/>
      <c r="W23" s="3" t="n"/>
    </row>
    <row r="24" ht="16.25" customHeight="1">
      <c r="A24" s="3" t="n"/>
      <c r="B24" s="3" t="n"/>
      <c r="C24" s="1336" t="n"/>
      <c r="P24" s="1337" t="n"/>
      <c r="Q24" s="3" t="n"/>
      <c r="R24" s="3" t="n"/>
      <c r="S24" s="3" t="n"/>
      <c r="T24" s="3" t="n"/>
      <c r="U24" s="3" t="n"/>
      <c r="V24" s="3" t="n"/>
      <c r="W24" s="3" t="n"/>
    </row>
    <row r="25" ht="16.25" customHeight="1">
      <c r="A25" s="3" t="n"/>
      <c r="B25" s="3" t="n"/>
      <c r="C25" s="1336" t="n"/>
      <c r="P25" s="1337" t="n"/>
      <c r="Q25" s="3" t="n"/>
      <c r="R25" s="3" t="n"/>
      <c r="S25" s="3" t="n"/>
      <c r="T25" s="3" t="n"/>
      <c r="U25" s="3" t="n"/>
      <c r="V25" s="3" t="n"/>
      <c r="W25" s="3" t="n"/>
    </row>
    <row r="26" ht="16.25" customHeight="1">
      <c r="A26" s="3" t="n"/>
      <c r="B26" s="3" t="n"/>
      <c r="C26" s="1336" t="n"/>
      <c r="P26" s="1337" t="n"/>
      <c r="Q26" s="3" t="n"/>
      <c r="R26" s="3" t="n"/>
      <c r="S26" s="3" t="n"/>
      <c r="T26" s="3" t="n"/>
      <c r="U26" s="3" t="n"/>
      <c r="V26" s="3" t="n"/>
      <c r="W26" s="3" t="n"/>
    </row>
    <row r="27" ht="16.25" customHeight="1">
      <c r="A27" s="3" t="n"/>
      <c r="B27" s="3" t="n"/>
      <c r="C27" s="1336" t="n"/>
      <c r="P27" s="1337" t="n"/>
      <c r="Q27" s="3" t="n"/>
      <c r="R27" s="3" t="n"/>
      <c r="S27" s="3" t="n"/>
      <c r="T27" s="3" t="n"/>
      <c r="U27" s="3" t="n"/>
      <c r="V27" s="3" t="n"/>
      <c r="W27" s="3" t="n"/>
    </row>
    <row r="28" ht="16.25" customHeight="1">
      <c r="A28" s="3" t="n"/>
      <c r="B28" s="3" t="n"/>
      <c r="C28" s="1336" t="n"/>
      <c r="P28" s="1337" t="n"/>
      <c r="Q28" s="3" t="n"/>
      <c r="R28" s="3" t="n"/>
      <c r="S28" s="3" t="n"/>
      <c r="T28" s="3" t="n"/>
      <c r="U28" s="3" t="n"/>
      <c r="V28" s="3" t="n"/>
      <c r="W28" s="3" t="n"/>
    </row>
    <row r="29" ht="16.25" customHeight="1">
      <c r="A29" s="3" t="n"/>
      <c r="B29" s="3" t="n"/>
      <c r="C29" s="1336" t="n"/>
      <c r="P29" s="1337" t="n"/>
      <c r="Q29" s="3" t="n"/>
      <c r="R29" s="3" t="n"/>
      <c r="S29" s="3" t="n"/>
      <c r="T29" s="3" t="n"/>
      <c r="U29" s="3" t="n"/>
      <c r="V29" s="3" t="n"/>
      <c r="W29" s="3" t="n"/>
    </row>
    <row r="30" ht="16.25" customHeight="1">
      <c r="A30" s="3" t="n"/>
      <c r="B30" s="3" t="n"/>
      <c r="C30" s="1336" t="n"/>
      <c r="P30" s="1337" t="n"/>
      <c r="Q30" s="3" t="n"/>
      <c r="R30" s="3" t="n"/>
      <c r="S30" s="3" t="n"/>
      <c r="T30" s="3" t="n"/>
      <c r="U30" s="3" t="n"/>
      <c r="V30" s="3" t="n"/>
      <c r="W30" s="3" t="n"/>
    </row>
    <row r="31" ht="16.25" customHeight="1">
      <c r="A31" s="3" t="n"/>
      <c r="B31" s="3" t="n"/>
      <c r="C31" s="1336" t="n"/>
      <c r="P31" s="1337" t="n"/>
      <c r="Q31" s="3" t="n"/>
      <c r="R31" s="3" t="n"/>
      <c r="S31" s="3" t="n"/>
      <c r="T31" s="3" t="n"/>
      <c r="U31" s="3" t="n"/>
      <c r="V31" s="3" t="n"/>
      <c r="W31" s="3" t="n"/>
    </row>
    <row r="32" ht="16.25" customHeight="1">
      <c r="A32" s="3" t="n"/>
      <c r="B32" s="3" t="n"/>
      <c r="C32" s="1336" t="n"/>
      <c r="P32" s="1337" t="n"/>
      <c r="Q32" s="3" t="n"/>
      <c r="R32" s="3" t="n"/>
      <c r="S32" s="3" t="n"/>
      <c r="T32" s="3" t="n"/>
      <c r="U32" s="3" t="n"/>
      <c r="V32" s="3" t="n"/>
      <c r="W32" s="3" t="n"/>
    </row>
    <row r="33" ht="16.25" customHeight="1">
      <c r="A33" s="3" t="n"/>
      <c r="B33" s="3" t="n"/>
      <c r="C33" s="1336" t="n"/>
      <c r="P33" s="1337" t="n"/>
      <c r="Q33" s="3" t="n"/>
      <c r="R33" s="3" t="n"/>
      <c r="S33" s="3" t="n"/>
      <c r="T33" s="3" t="n"/>
      <c r="U33" s="3" t="n"/>
      <c r="V33" s="3" t="n"/>
      <c r="W33" s="3" t="n"/>
    </row>
    <row r="34" ht="16.25" customHeight="1">
      <c r="A34" s="3" t="n"/>
      <c r="B34" s="3" t="n"/>
      <c r="C34" s="1336" t="n"/>
      <c r="P34" s="1337" t="n"/>
      <c r="Q34" s="3" t="n"/>
      <c r="R34" s="3" t="n"/>
      <c r="S34" s="3" t="n"/>
      <c r="T34" s="3" t="n"/>
      <c r="U34" s="3" t="n"/>
      <c r="V34" s="3" t="n"/>
      <c r="W34" s="3" t="n"/>
    </row>
    <row r="35" ht="16.25" customHeight="1">
      <c r="A35" s="3" t="n"/>
      <c r="B35" s="3" t="n"/>
      <c r="C35" s="1336" t="n"/>
      <c r="P35" s="1337" t="n"/>
      <c r="Q35" s="3" t="n"/>
      <c r="R35" s="3" t="n"/>
      <c r="S35" s="3" t="n"/>
      <c r="T35" s="3" t="n"/>
      <c r="U35" s="3" t="n"/>
      <c r="V35" s="3" t="n"/>
      <c r="W35" s="3" t="n"/>
    </row>
    <row r="36" ht="16.25" customHeight="1">
      <c r="A36" s="3" t="n"/>
      <c r="B36" s="3" t="n"/>
      <c r="C36" s="1336" t="n"/>
      <c r="P36" s="1337" t="n"/>
      <c r="Q36" s="3" t="n"/>
      <c r="R36" s="3" t="n"/>
      <c r="S36" s="3" t="n"/>
      <c r="T36" s="3" t="n"/>
      <c r="U36" s="3" t="n"/>
      <c r="V36" s="3" t="n"/>
      <c r="W36" s="3" t="n"/>
    </row>
    <row r="37" ht="16.25" customHeight="1">
      <c r="A37" s="3" t="n"/>
      <c r="B37" s="3" t="n"/>
      <c r="C37" s="1336" t="n"/>
      <c r="P37" s="1337" t="n"/>
      <c r="Q37" s="3" t="n"/>
      <c r="R37" s="3" t="n"/>
      <c r="S37" s="3" t="n"/>
      <c r="T37" s="3" t="n"/>
      <c r="U37" s="3" t="n"/>
      <c r="V37" s="3" t="n"/>
      <c r="W37" s="3" t="n"/>
    </row>
    <row r="38" ht="16.25" customHeight="1">
      <c r="A38" s="3" t="n"/>
      <c r="B38" s="3" t="n"/>
      <c r="C38" s="1336" t="n"/>
      <c r="P38" s="1337" t="n"/>
      <c r="Q38" s="3" t="n"/>
      <c r="R38" s="3" t="n"/>
      <c r="S38" s="3" t="n"/>
      <c r="T38" s="3" t="n"/>
      <c r="U38" s="3" t="n"/>
      <c r="V38" s="3" t="n"/>
      <c r="W38" s="3" t="n"/>
    </row>
    <row r="39" ht="16.25" customHeight="1">
      <c r="A39" s="3" t="n"/>
      <c r="B39" s="3" t="n"/>
      <c r="C39" s="1336" t="n"/>
      <c r="P39" s="1337" t="n"/>
      <c r="Q39" s="3" t="n"/>
      <c r="R39" s="3" t="n"/>
      <c r="S39" s="3" t="n"/>
      <c r="T39" s="3" t="n"/>
      <c r="U39" s="3" t="n"/>
      <c r="V39" s="3" t="n"/>
      <c r="W39" s="3" t="n"/>
    </row>
    <row r="40" ht="16.25" customHeight="1">
      <c r="A40" s="3" t="n"/>
      <c r="B40" s="3" t="n"/>
      <c r="C40" s="1336" t="n"/>
      <c r="P40" s="1337" t="n"/>
      <c r="Q40" s="3" t="n"/>
      <c r="R40" s="3" t="n"/>
      <c r="S40" s="3" t="n"/>
      <c r="T40" s="3" t="n"/>
      <c r="U40" s="3" t="n"/>
      <c r="V40" s="3" t="n"/>
      <c r="W40" s="3" t="n"/>
    </row>
    <row r="41" ht="16.25" customHeight="1">
      <c r="A41" s="3" t="n"/>
      <c r="B41" s="3" t="n"/>
      <c r="C41" s="1338" t="n"/>
      <c r="D41" s="1342" t="n"/>
      <c r="E41" s="1342" t="n"/>
      <c r="F41" s="1342" t="n"/>
      <c r="G41" s="1342" t="n"/>
      <c r="H41" s="1342" t="n"/>
      <c r="I41" s="1342" t="n"/>
      <c r="J41" s="1342" t="n"/>
      <c r="K41" s="1342" t="n"/>
      <c r="L41" s="1342" t="n"/>
      <c r="M41" s="1342" t="n"/>
      <c r="N41" s="1342" t="n"/>
      <c r="O41" s="1342" t="n"/>
      <c r="P41" s="1340" t="n"/>
      <c r="Q41" s="3" t="n"/>
      <c r="R41" s="3" t="n"/>
      <c r="S41" s="3" t="n"/>
      <c r="T41" s="3" t="n"/>
      <c r="U41" s="3" t="n"/>
      <c r="V41" s="3" t="n"/>
      <c r="W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row>
  </sheetData>
  <mergeCells count="3">
    <mergeCell ref="M13:P20"/>
    <mergeCell ref="F8:K8"/>
    <mergeCell ref="C22:P41"/>
  </mergeCells>
  <conditionalFormatting sqref="C20:H20">
    <cfRule type="expression" priority="60" dxfId="30">
      <formula>AND(FP.RealTimeToggle="ON",MO.RealTime="ON")</formula>
    </cfRule>
  </conditionalFormatting>
  <dataValidations count="3">
    <dataValidation sqref="H18" showDropDown="0" showInputMessage="1" showErrorMessage="1" allowBlank="1" type="list">
      <formula1>"ON, OFF"</formula1>
    </dataValidation>
    <dataValidation sqref="H16" showDropDown="0" showInputMessage="1" showErrorMessage="1" allowBlank="1"/>
    <dataValidation sqref="H15" showDropDown="0" showInputMessage="1" showErrorMessage="1" allowBlank="1" type="list">
      <formula1>"Bloomberg, Capital IQ, FactSet, Refinitiv"</formula1>
    </dataValidation>
  </dataValidations>
  <hyperlinks>
    <hyperlink xmlns:r="http://schemas.openxmlformats.org/officeDocument/2006/relationships" ref="M7" tooltip="Click to directly email Canalyst support" r:id="rId1"/>
    <hyperlink xmlns:r="http://schemas.openxmlformats.org/officeDocument/2006/relationships" ref="N7" tooltip="Click to directly email Canalyst support" display="modelsupport@alpha-sense.com" r:id="rId2"/>
    <hyperlink xmlns:r="http://schemas.openxmlformats.org/officeDocument/2006/relationships" ref="O7" tooltip="Click to directly email Canalyst support" display="modelsupport@alpha-sense.com" r:id="rId3"/>
  </hyperlinks>
  <pageMargins left="0.7" right="0.7" top="0.75" bottom="0.75" header="0.3" footer="0.3"/>
  <pageSetup orientation="portrait" scale="45"/>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343" t="inlineStr">
        <is>
          <t>NVIDIA — MULTIPLES-BASED VALUATION</t>
        </is>
      </c>
    </row>
    <row r="3">
      <c r="A3" t="inlineStr">
        <is>
          <t>Period</t>
        </is>
      </c>
      <c r="F3" s="1344" t="inlineStr">
        <is>
          <t>TTM</t>
        </is>
      </c>
      <c r="G3" s="1344" t="inlineStr">
        <is>
          <t>NTM</t>
        </is>
      </c>
      <c r="H3" s="1344" t="inlineStr">
        <is>
          <t>FY2027</t>
        </is>
      </c>
      <c r="I3" s="1344" t="inlineStr">
        <is>
          <t>FY2028</t>
        </is>
      </c>
      <c r="J3" s="1344" t="inlineStr">
        <is>
          <t>FY2029</t>
        </is>
      </c>
    </row>
    <row r="5">
      <c r="A5" s="1345" t="inlineStr">
        <is>
          <t>FINANCIAL METRICS</t>
        </is>
      </c>
    </row>
    <row r="6">
      <c r="A6" t="inlineStr">
        <is>
          <t>Revenue ($M)</t>
        </is>
      </c>
      <c r="F6" s="1346">
        <f>Model!BS34</f>
        <v/>
      </c>
      <c r="G6" s="1346">
        <f>Model!BX34</f>
        <v/>
      </c>
      <c r="H6" s="1346">
        <f>Model!CC34</f>
        <v/>
      </c>
      <c r="I6" s="1346">
        <f>Model!CD34</f>
        <v/>
      </c>
      <c r="J6" s="1346">
        <f>Model!CE34</f>
        <v/>
      </c>
    </row>
    <row r="7">
      <c r="A7" t="inlineStr">
        <is>
          <t>Operating Income / EBIT ($M)</t>
        </is>
      </c>
      <c r="F7" s="1346">
        <f>Model!BS386</f>
        <v/>
      </c>
      <c r="G7" s="1346">
        <f>Model!BX386</f>
        <v/>
      </c>
      <c r="H7" s="1346">
        <f>Model!CC386</f>
        <v/>
      </c>
      <c r="I7" s="1346">
        <f>Model!CD386</f>
        <v/>
      </c>
      <c r="J7" s="1346">
        <f>Model!CE386</f>
        <v/>
      </c>
    </row>
    <row r="8">
      <c r="A8" t="inlineStr">
        <is>
          <t>EBITDA ($M)</t>
        </is>
      </c>
      <c r="F8" s="1346">
        <f>Model!BS392</f>
        <v/>
      </c>
      <c r="G8" s="1346">
        <f>Model!BX392</f>
        <v/>
      </c>
      <c r="H8" s="1346">
        <f>Model!CC392</f>
        <v/>
      </c>
      <c r="I8" s="1346">
        <f>Model!CD392</f>
        <v/>
      </c>
      <c r="J8" s="1346">
        <f>Model!CE392</f>
        <v/>
      </c>
    </row>
    <row r="9">
      <c r="A9" t="inlineStr">
        <is>
          <t>Shares Outstanding (M)</t>
        </is>
      </c>
      <c r="F9" s="1317">
        <f>Model!BS429</f>
        <v/>
      </c>
      <c r="G9" s="1317">
        <f>Model!BS429</f>
        <v/>
      </c>
      <c r="H9" s="1317">
        <f>Model!BS429</f>
        <v/>
      </c>
      <c r="I9" s="1317">
        <f>Model!BS429</f>
        <v/>
      </c>
      <c r="J9" s="1317">
        <f>Model!BS429</f>
        <v/>
      </c>
    </row>
    <row r="10">
      <c r="A10" t="inlineStr">
        <is>
          <t>Current Stock Price ($)</t>
        </is>
      </c>
      <c r="F10" s="1347">
        <f>Model!'Front Page'!H20</f>
        <v/>
      </c>
      <c r="G10" s="1347">
        <f>Model!'Front Page'!H20</f>
        <v/>
      </c>
      <c r="H10" s="1347">
        <f>Model!'Front Page'!H20</f>
        <v/>
      </c>
      <c r="I10" s="1347">
        <f>Model!'Front Page'!H20</f>
        <v/>
      </c>
      <c r="J10" s="1347">
        <f>Model!'Front Page'!H20</f>
        <v/>
      </c>
    </row>
    <row r="11">
      <c r="A11" t="inlineStr">
        <is>
          <t>Market Cap ($M)</t>
        </is>
      </c>
      <c r="F11" s="1317">
        <f>F9*F10</f>
        <v/>
      </c>
      <c r="G11" s="1317">
        <f>G9*G10</f>
        <v/>
      </c>
      <c r="H11" s="1317">
        <f>H9*H10</f>
        <v/>
      </c>
      <c r="I11" s="1317">
        <f>I9*I10</f>
        <v/>
      </c>
      <c r="J11" s="1317">
        <f>J9*J10</f>
        <v/>
      </c>
    </row>
    <row r="13">
      <c r="A13" s="1345" t="inlineStr">
        <is>
          <t>P/E VALUATION</t>
        </is>
      </c>
    </row>
    <row r="14">
      <c r="A14" s="1348" t="inlineStr">
        <is>
          <t>Consensus P/E Multiple</t>
        </is>
      </c>
      <c r="F14" s="1349" t="n">
        <v>45</v>
      </c>
      <c r="G14" s="1349" t="n">
        <v>24</v>
      </c>
      <c r="H14" s="1349" t="n">
        <v>22</v>
      </c>
      <c r="I14" s="1349" t="n">
        <v>20</v>
      </c>
      <c r="J14" s="1349" t="n">
        <v>19</v>
      </c>
    </row>
    <row r="15">
      <c r="A15" t="inlineStr">
        <is>
          <t>Earnings for P/E ($M)</t>
        </is>
      </c>
      <c r="F15" s="1317">
        <f>F7</f>
        <v/>
      </c>
      <c r="G15" s="1317">
        <f>G7</f>
        <v/>
      </c>
      <c r="H15" s="1317">
        <f>H7</f>
        <v/>
      </c>
      <c r="I15" s="1317">
        <f>I7</f>
        <v/>
      </c>
      <c r="J15" s="1317">
        <f>J7</f>
        <v/>
      </c>
    </row>
    <row r="16">
      <c r="A16" t="inlineStr">
        <is>
          <t>Implied Market Cap via P/E ($M)</t>
        </is>
      </c>
      <c r="F16" s="1350">
        <f>F14*F15</f>
        <v/>
      </c>
      <c r="G16" s="1351">
        <f>G14*G15</f>
        <v/>
      </c>
      <c r="H16" s="1350">
        <f>H14*H15</f>
        <v/>
      </c>
      <c r="I16" s="1350">
        <f>I14*I15</f>
        <v/>
      </c>
      <c r="J16" s="1350">
        <f>J14*J15</f>
        <v/>
      </c>
    </row>
    <row r="17">
      <c r="A17" t="inlineStr">
        <is>
          <t>Implied Price via P/E ($)</t>
        </is>
      </c>
      <c r="F17" s="1352">
        <f>F16/F9</f>
        <v/>
      </c>
      <c r="G17" s="1353">
        <f>G16/G9</f>
        <v/>
      </c>
      <c r="H17" s="1352">
        <f>H16/H9</f>
        <v/>
      </c>
      <c r="I17" s="1352">
        <f>I16/I9</f>
        <v/>
      </c>
      <c r="J17" s="1352">
        <f>J16/J9</f>
        <v/>
      </c>
    </row>
    <row r="18">
      <c r="A18" t="inlineStr">
        <is>
          <t>Upside vs Current (P/E)</t>
        </is>
      </c>
      <c r="F18" s="1354">
        <f>F17/F10-1</f>
        <v/>
      </c>
      <c r="G18" s="1354">
        <f>G17/G10-1</f>
        <v/>
      </c>
      <c r="H18" s="1354">
        <f>H17/H10-1</f>
        <v/>
      </c>
      <c r="I18" s="1354">
        <f>I17/I10-1</f>
        <v/>
      </c>
      <c r="J18" s="1354">
        <f>J17/J10-1</f>
        <v/>
      </c>
    </row>
    <row r="20">
      <c r="A20" s="1345" t="inlineStr">
        <is>
          <t>EV/EBITDA VALUATION</t>
        </is>
      </c>
    </row>
    <row r="21">
      <c r="A21" s="1348" t="inlineStr">
        <is>
          <t>Consensus EV/EBITDA Multiple</t>
        </is>
      </c>
      <c r="F21" s="1349" t="n">
        <v>35</v>
      </c>
      <c r="G21" s="1349" t="n">
        <v>18</v>
      </c>
      <c r="H21" s="1349" t="n">
        <v>16</v>
      </c>
      <c r="I21" s="1349" t="n">
        <v>15</v>
      </c>
      <c r="J21" s="1349" t="n">
        <v>14</v>
      </c>
    </row>
    <row r="22">
      <c r="A22" t="inlineStr">
        <is>
          <t>EBITDA ($M)</t>
        </is>
      </c>
      <c r="F22">
        <f>F8</f>
        <v/>
      </c>
      <c r="G22">
        <f>G8</f>
        <v/>
      </c>
      <c r="H22">
        <f>H8</f>
        <v/>
      </c>
      <c r="I22">
        <f>I8</f>
        <v/>
      </c>
      <c r="J22">
        <f>J8</f>
        <v/>
      </c>
    </row>
    <row r="23">
      <c r="A23" t="inlineStr">
        <is>
          <t>Implied TEV via EV/EBITDA ($M)</t>
        </is>
      </c>
      <c r="F23" s="1350">
        <f>F21*F22</f>
        <v/>
      </c>
      <c r="G23" s="1351">
        <f>G21*G22</f>
        <v/>
      </c>
      <c r="H23" s="1350">
        <f>H21*H22</f>
        <v/>
      </c>
      <c r="I23" s="1350">
        <f>I21*I22</f>
        <v/>
      </c>
      <c r="J23" s="1350">
        <f>J21*J22</f>
        <v/>
      </c>
    </row>
    <row r="24">
      <c r="A24" t="inlineStr">
        <is>
          <t>Less: Net Debt ($M)</t>
        </is>
      </c>
      <c r="F24" s="1355" t="n">
        <v>5000</v>
      </c>
      <c r="G24" s="1355" t="n">
        <v>5000</v>
      </c>
      <c r="H24" s="1355" t="n">
        <v>5000</v>
      </c>
      <c r="I24" s="1355" t="n">
        <v>5000</v>
      </c>
      <c r="J24" s="1355" t="n">
        <v>5000</v>
      </c>
    </row>
    <row r="25">
      <c r="A25" t="inlineStr">
        <is>
          <t>Implied Equity Value ($M)</t>
        </is>
      </c>
      <c r="F25" s="1317">
        <f>F23-F24</f>
        <v/>
      </c>
      <c r="G25" s="1317">
        <f>G23-G24</f>
        <v/>
      </c>
      <c r="H25" s="1317">
        <f>H23-H24</f>
        <v/>
      </c>
      <c r="I25" s="1317">
        <f>I23-I24</f>
        <v/>
      </c>
      <c r="J25" s="1317">
        <f>J23-J24</f>
        <v/>
      </c>
    </row>
    <row r="26">
      <c r="A26" t="inlineStr">
        <is>
          <t>Implied Price via EV/EBITDA ($)</t>
        </is>
      </c>
      <c r="F26" s="1352">
        <f>F25/F9</f>
        <v/>
      </c>
      <c r="G26" s="1353">
        <f>G25/G9</f>
        <v/>
      </c>
      <c r="H26" s="1352">
        <f>H25/H9</f>
        <v/>
      </c>
      <c r="I26" s="1352">
        <f>I25/I9</f>
        <v/>
      </c>
      <c r="J26" s="1352">
        <f>J25/J9</f>
        <v/>
      </c>
    </row>
    <row r="27">
      <c r="A27" t="inlineStr">
        <is>
          <t>Upside vs Current (EV/EBITDA)</t>
        </is>
      </c>
      <c r="F27" s="1354">
        <f>F26/F10-1</f>
        <v/>
      </c>
      <c r="G27" s="1354">
        <f>G26/G10-1</f>
        <v/>
      </c>
      <c r="H27" s="1354">
        <f>H26/H10-1</f>
        <v/>
      </c>
      <c r="I27" s="1354">
        <f>I26/I10-1</f>
        <v/>
      </c>
      <c r="J27" s="1354">
        <f>J26/J10-1</f>
        <v/>
      </c>
    </row>
    <row r="29">
      <c r="A29" s="1345" t="inlineStr">
        <is>
          <t>VALUATION SUMMARY</t>
        </is>
      </c>
    </row>
    <row r="30">
      <c r="A30" t="inlineStr">
        <is>
          <t>Current Price</t>
        </is>
      </c>
      <c r="F30" s="1353">
        <f>F10</f>
        <v/>
      </c>
      <c r="G30" s="1353">
        <f>G10</f>
        <v/>
      </c>
      <c r="H30" s="1353">
        <f>H10</f>
        <v/>
      </c>
      <c r="I30" s="1353">
        <f>I10</f>
        <v/>
      </c>
      <c r="J30" s="1353">
        <f>J10</f>
        <v/>
      </c>
    </row>
    <row r="31">
      <c r="A31" t="inlineStr">
        <is>
          <t>P/E Implied (NTM)</t>
        </is>
      </c>
      <c r="G31" s="1353">
        <f>G17</f>
        <v/>
      </c>
    </row>
    <row r="32">
      <c r="A32" t="inlineStr">
        <is>
          <t>EV/EBITDA Implied (NTM)</t>
        </is>
      </c>
      <c r="G32" s="1353">
        <f>G26</f>
        <v/>
      </c>
    </row>
    <row r="33">
      <c r="A33" t="inlineStr">
        <is>
          <t>Average Implied Price</t>
        </is>
      </c>
      <c r="G33" s="1356">
        <f>(G17+G26)/2</f>
        <v/>
      </c>
    </row>
    <row r="34">
      <c r="A34" t="inlineStr">
        <is>
          <t>Upside (Avg vs Current)</t>
        </is>
      </c>
      <c r="G34" s="1357">
        <f>G33/G30-1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R78"/>
  <sheetViews>
    <sheetView topLeftCell="A3" workbookViewId="0">
      <selection activeCell="A1" sqref="A1"/>
    </sheetView>
  </sheetViews>
  <sheetFormatPr baseColWidth="10" defaultColWidth="8.83203125" defaultRowHeight="15"/>
  <cols>
    <col width="2" customWidth="1" min="1" max="1"/>
    <col width="44" customWidth="1" min="2" max="2"/>
    <col width="5" customWidth="1" min="3" max="3"/>
    <col width="2" customWidth="1" min="4" max="5"/>
    <col width="16" customWidth="1" min="6" max="11"/>
    <col width="3" customWidth="1" min="12" max="12"/>
    <col width="30" customWidth="1" min="13" max="13"/>
    <col width="2" customWidth="1" min="14" max="15"/>
    <col width="12" customWidth="1" min="16" max="16"/>
    <col width="2" customWidth="1" min="17" max="17"/>
    <col width="38" customWidth="1" min="18" max="18"/>
  </cols>
  <sheetData>
    <row r="1" ht="19" customHeight="1">
      <c r="B1" s="1279" t="inlineStr">
        <is>
          <t>NVIDIA Corporation</t>
        </is>
      </c>
    </row>
    <row r="2">
      <c r="B2" s="1280" t="inlineStr">
        <is>
          <t>Discounted Cash Flow Valuation Analysis</t>
        </is>
      </c>
    </row>
    <row r="5" ht="16" customHeight="1">
      <c r="F5" s="1281" t="inlineStr">
        <is>
          <t>Historical</t>
        </is>
      </c>
      <c r="G5" s="1281" t="inlineStr">
        <is>
          <t>Projected</t>
        </is>
      </c>
      <c r="M5" s="1282" t="inlineStr">
        <is>
          <t>Assumptions</t>
        </is>
      </c>
      <c r="R5" s="1282" t="inlineStr">
        <is>
          <t>Notes</t>
        </is>
      </c>
    </row>
    <row r="6">
      <c r="M6" s="1283" t="inlineStr">
        <is>
          <t>Risk Free Rate:</t>
        </is>
      </c>
      <c r="P6" s="1284" t="n">
        <v>0.0425</v>
      </c>
      <c r="R6" s="1285" t="inlineStr">
        <is>
          <t>10-Year US Treasury yield</t>
        </is>
      </c>
    </row>
    <row r="7">
      <c r="B7" s="1286" t="inlineStr">
        <is>
          <t>($ in millions)</t>
        </is>
      </c>
      <c r="F7" s="1287" t="inlineStr">
        <is>
          <t>FY2025</t>
        </is>
      </c>
      <c r="G7" s="1287" t="inlineStr">
        <is>
          <t>FY2026</t>
        </is>
      </c>
      <c r="H7" s="1287" t="inlineStr">
        <is>
          <t>FY2027</t>
        </is>
      </c>
      <c r="I7" s="1287" t="inlineStr">
        <is>
          <t>FY2028</t>
        </is>
      </c>
      <c r="J7" s="1287" t="inlineStr">
        <is>
          <t>FY2029</t>
        </is>
      </c>
      <c r="K7" s="1287" t="inlineStr">
        <is>
          <t>FY2030</t>
        </is>
      </c>
      <c r="M7" s="1283" t="inlineStr">
        <is>
          <t>Market Risk Premium:</t>
        </is>
      </c>
      <c r="P7" s="1284" t="n">
        <v>0.055</v>
      </c>
      <c r="R7" s="1285" t="inlineStr">
        <is>
          <t>Damodaran equity risk premium</t>
        </is>
      </c>
    </row>
    <row r="8">
      <c r="M8" s="1283" t="inlineStr">
        <is>
          <t>Unlevered Beta:</t>
        </is>
      </c>
      <c r="P8" s="1288" t="n">
        <v>1.65</v>
      </c>
      <c r="R8" s="1285" t="inlineStr">
        <is>
          <t>Semiconductor industry avg</t>
        </is>
      </c>
    </row>
    <row r="9">
      <c r="B9" s="1289" t="inlineStr">
        <is>
          <t>Revenue Build by Segment</t>
        </is>
      </c>
      <c r="M9" s="1283" t="inlineStr">
        <is>
          <t>Projected Equity to Value:</t>
        </is>
      </c>
      <c r="P9" s="1290" t="n">
        <v>0.998</v>
      </c>
      <c r="R9" s="1285" t="inlineStr">
        <is>
          <t>NVDA ~100% equity-financed</t>
        </is>
      </c>
    </row>
    <row r="10">
      <c r="B10" s="1291" t="inlineStr">
        <is>
          <t>Datacenter Revenue</t>
        </is>
      </c>
      <c r="F10" s="1292">
        <f>Model!BS22</f>
        <v/>
      </c>
      <c r="G10" s="1292">
        <f>Model!BX22</f>
        <v/>
      </c>
      <c r="H10" s="1292">
        <f>Model!CC22</f>
        <v/>
      </c>
      <c r="I10" s="1292">
        <f>Model!CD22</f>
        <v/>
      </c>
      <c r="J10" s="1292">
        <f>Model!CE22</f>
        <v/>
      </c>
      <c r="K10" s="1292">
        <f>Model!CF22</f>
        <v/>
      </c>
      <c r="M10" s="1283" t="inlineStr">
        <is>
          <t>Levered Beta:</t>
        </is>
      </c>
      <c r="P10" s="1293">
        <f>(1+(1-P12)*(1-P9)/P9)*P8</f>
        <v/>
      </c>
      <c r="R10" s="1285" t="inlineStr">
        <is>
          <t>Hamada equation</t>
        </is>
      </c>
    </row>
    <row r="11">
      <c r="B11" s="1291" t="inlineStr">
        <is>
          <t xml:space="preserve">  Y/Y Growth</t>
        </is>
      </c>
      <c r="F11" s="1294">
        <f>Model!BS24</f>
        <v/>
      </c>
      <c r="G11" s="1294">
        <f>Model!BX24</f>
        <v/>
      </c>
      <c r="H11" s="1294">
        <f>Model!CC24</f>
        <v/>
      </c>
      <c r="I11" s="1294">
        <f>Model!CD24</f>
        <v/>
      </c>
      <c r="J11" s="1294">
        <f>Model!CE24</f>
        <v/>
      </c>
      <c r="K11" s="1294">
        <f>Model!CF24</f>
        <v/>
      </c>
      <c r="M11" s="1283" t="inlineStr">
        <is>
          <t>Cost of Equity:</t>
        </is>
      </c>
      <c r="P11" s="1295">
        <f>P6+P7*P10</f>
        <v/>
      </c>
      <c r="R11" s="1285" t="inlineStr">
        <is>
          <t>CAPM: Rf + B(Rm-Rf)</t>
        </is>
      </c>
    </row>
    <row r="12">
      <c r="B12" s="1291" t="inlineStr">
        <is>
          <t>Gaming Revenue</t>
        </is>
      </c>
      <c r="F12" s="1292">
        <f>Model!BS7</f>
        <v/>
      </c>
      <c r="G12" s="1292">
        <f>Model!BX7</f>
        <v/>
      </c>
      <c r="H12" s="1292">
        <f>Model!CC7</f>
        <v/>
      </c>
      <c r="I12" s="1292">
        <f>Model!CD7</f>
        <v/>
      </c>
      <c r="J12" s="1292">
        <f>Model!CE7</f>
        <v/>
      </c>
      <c r="K12" s="1292">
        <f>Model!CF7</f>
        <v/>
      </c>
      <c r="M12" s="1283" t="inlineStr">
        <is>
          <t>Tax Rate:</t>
        </is>
      </c>
      <c r="P12" s="1296" t="n">
        <v>0.15</v>
      </c>
      <c r="R12" s="1285" t="inlineStr">
        <is>
          <t>Long-term effective tax rate</t>
        </is>
      </c>
    </row>
    <row r="13">
      <c r="B13" s="1291" t="inlineStr">
        <is>
          <t xml:space="preserve">  Y/Y Growth</t>
        </is>
      </c>
      <c r="F13" s="1294">
        <f>Model!BS9</f>
        <v/>
      </c>
      <c r="G13" s="1294">
        <f>Model!BX9</f>
        <v/>
      </c>
      <c r="H13" s="1294">
        <f>Model!CC9</f>
        <v/>
      </c>
      <c r="I13" s="1294">
        <f>Model!CD9</f>
        <v/>
      </c>
      <c r="J13" s="1294">
        <f>Model!CE9</f>
        <v/>
      </c>
      <c r="K13" s="1294">
        <f>Model!CF9</f>
        <v/>
      </c>
      <c r="M13" s="1283" t="inlineStr">
        <is>
          <t>Cost of Debt:</t>
        </is>
      </c>
      <c r="P13" s="1284" t="n">
        <v>0.035</v>
      </c>
      <c r="R13" s="1285" t="inlineStr">
        <is>
          <t>Based on outstanding senior notes</t>
        </is>
      </c>
    </row>
    <row r="14">
      <c r="B14" s="1291" t="inlineStr">
        <is>
          <t>Automotive Revenue</t>
        </is>
      </c>
      <c r="F14" s="1292">
        <f>Model!BS26</f>
        <v/>
      </c>
      <c r="G14" s="1292">
        <f>Model!BX26</f>
        <v/>
      </c>
      <c r="H14" s="1292">
        <f>Model!CC26</f>
        <v/>
      </c>
      <c r="I14" s="1292">
        <f>Model!CD26</f>
        <v/>
      </c>
      <c r="J14" s="1292">
        <f>Model!CE26</f>
        <v/>
      </c>
      <c r="K14" s="1292">
        <f>Model!CF26</f>
        <v/>
      </c>
      <c r="M14" s="1283" t="inlineStr">
        <is>
          <t>WACC:</t>
        </is>
      </c>
      <c r="P14" s="1297">
        <f>P11*P9+P13*(1-P12)*(1-P9)</f>
        <v/>
      </c>
      <c r="R14" s="1285" t="inlineStr">
        <is>
          <t>Rd*(1-T)*(D/V) + Re*(E/V)</t>
        </is>
      </c>
    </row>
    <row r="15">
      <c r="B15" s="1291" t="inlineStr">
        <is>
          <t xml:space="preserve">  Y/Y Growth</t>
        </is>
      </c>
      <c r="F15" s="1294">
        <f>Model!BS28</f>
        <v/>
      </c>
      <c r="G15" s="1294">
        <f>Model!BX28</f>
        <v/>
      </c>
      <c r="H15" s="1294">
        <f>Model!CC28</f>
        <v/>
      </c>
      <c r="I15" s="1294">
        <f>Model!CD28</f>
        <v/>
      </c>
      <c r="J15" s="1294">
        <f>Model!CE28</f>
        <v/>
      </c>
      <c r="K15" s="1294">
        <f>Model!CF28</f>
        <v/>
      </c>
      <c r="M15" s="1283" t="inlineStr">
        <is>
          <t>Terminal Growth Rate:</t>
        </is>
      </c>
      <c r="P15" s="1284" t="n">
        <v>0.03</v>
      </c>
      <c r="R15" s="1285" t="inlineStr">
        <is>
          <t>Long-term nominal GDP growth</t>
        </is>
      </c>
    </row>
    <row r="16">
      <c r="B16" s="1291" t="inlineStr">
        <is>
          <t>Professional Visualization Revenue</t>
        </is>
      </c>
      <c r="F16" s="1292">
        <f>Model!BS11</f>
        <v/>
      </c>
      <c r="G16" s="1292">
        <f>Model!BX11</f>
        <v/>
      </c>
      <c r="H16" s="1292">
        <f>Model!CC11</f>
        <v/>
      </c>
      <c r="I16" s="1292">
        <f>Model!CD11</f>
        <v/>
      </c>
      <c r="J16" s="1292">
        <f>Model!CE11</f>
        <v/>
      </c>
      <c r="K16" s="1292">
        <f>Model!CF11</f>
        <v/>
      </c>
      <c r="M16" s="1283" t="inlineStr">
        <is>
          <t>Implied TV/EBITDA:</t>
        </is>
      </c>
      <c r="P16" s="1358">
        <f>F46/Model!CF392</f>
        <v/>
      </c>
      <c r="R16" s="1285" t="inlineStr">
        <is>
          <t>Terminal value / FY2030 EBITDA</t>
        </is>
      </c>
    </row>
    <row r="17">
      <c r="B17" s="1291" t="inlineStr">
        <is>
          <t xml:space="preserve">  Y/Y Growth</t>
        </is>
      </c>
      <c r="F17" s="1294">
        <f>Model!BS13</f>
        <v/>
      </c>
      <c r="G17" s="1294">
        <f>Model!BX13</f>
        <v/>
      </c>
      <c r="H17" s="1294">
        <f>Model!CC13</f>
        <v/>
      </c>
      <c r="I17" s="1294">
        <f>Model!CD13</f>
        <v/>
      </c>
      <c r="J17" s="1294">
        <f>Model!CE13</f>
        <v/>
      </c>
      <c r="K17" s="1294">
        <f>Model!CF13</f>
        <v/>
      </c>
    </row>
    <row r="18">
      <c r="B18" s="1291" t="inlineStr">
        <is>
          <t>OEM &amp; IP Revenue</t>
        </is>
      </c>
      <c r="F18" s="1292">
        <f>Model!BS30</f>
        <v/>
      </c>
      <c r="G18" s="1292">
        <f>Model!BX30</f>
        <v/>
      </c>
      <c r="H18" s="1292">
        <f>Model!CC30</f>
        <v/>
      </c>
      <c r="I18" s="1292">
        <f>Model!CD30</f>
        <v/>
      </c>
      <c r="J18" s="1292">
        <f>Model!CE30</f>
        <v/>
      </c>
      <c r="K18" s="1292">
        <f>Model!CF30</f>
        <v/>
      </c>
    </row>
    <row r="19">
      <c r="B19" s="1291" t="inlineStr">
        <is>
          <t xml:space="preserve">  Y/Y Growth</t>
        </is>
      </c>
      <c r="F19" s="1294">
        <f>Model!BS32</f>
        <v/>
      </c>
      <c r="G19" s="1294">
        <f>Model!BX32</f>
        <v/>
      </c>
      <c r="H19" s="1294">
        <f>Model!CC32</f>
        <v/>
      </c>
      <c r="I19" s="1294">
        <f>Model!CD32</f>
        <v/>
      </c>
      <c r="J19" s="1294">
        <f>Model!CE32</f>
        <v/>
      </c>
      <c r="K19" s="1294">
        <f>Model!CF32</f>
        <v/>
      </c>
    </row>
    <row r="20">
      <c r="B20" s="1299" t="inlineStr">
        <is>
          <t>Total Revenue</t>
        </is>
      </c>
      <c r="F20" s="1300">
        <f>Model!BS34</f>
        <v/>
      </c>
      <c r="G20" s="1300">
        <f>Model!BX34</f>
        <v/>
      </c>
      <c r="H20" s="1300">
        <f>Model!CC34</f>
        <v/>
      </c>
      <c r="I20" s="1300">
        <f>Model!CD34</f>
        <v/>
      </c>
      <c r="J20" s="1300">
        <f>Model!CE34</f>
        <v/>
      </c>
      <c r="K20" s="1300">
        <f>Model!CF34</f>
        <v/>
      </c>
    </row>
    <row r="21">
      <c r="B21" s="1283" t="inlineStr">
        <is>
          <t>Y/Y Total Revenue Growth</t>
        </is>
      </c>
      <c r="G21" s="1297">
        <f>G20/F20-1</f>
        <v/>
      </c>
      <c r="H21" s="1297">
        <f>H20/G20-1</f>
        <v/>
      </c>
      <c r="I21" s="1297">
        <f>I20/H20-1</f>
        <v/>
      </c>
      <c r="J21" s="1297">
        <f>J20/I20-1</f>
        <v/>
      </c>
      <c r="K21" s="1297">
        <f>K20/J20-1</f>
        <v/>
      </c>
    </row>
    <row r="23">
      <c r="B23" s="1289" t="inlineStr">
        <is>
          <t>Operating Margin Drivers</t>
        </is>
      </c>
    </row>
    <row r="24">
      <c r="B24" s="1291" t="inlineStr">
        <is>
          <t>Non-GAAP Gross Margin %</t>
        </is>
      </c>
      <c r="F24" s="1294">
        <f>Model!BS59</f>
        <v/>
      </c>
      <c r="G24" s="1294">
        <f>Model!BX59</f>
        <v/>
      </c>
      <c r="H24" s="1294">
        <f>Model!CC59</f>
        <v/>
      </c>
      <c r="I24" s="1294">
        <f>Model!CD59</f>
        <v/>
      </c>
      <c r="J24" s="1294">
        <f>Model!CE59</f>
        <v/>
      </c>
      <c r="K24" s="1294">
        <f>Model!CF59</f>
        <v/>
      </c>
    </row>
    <row r="25">
      <c r="B25" s="1291" t="inlineStr">
        <is>
          <t xml:space="preserve">  Gross Margin Improvement (bps)</t>
        </is>
      </c>
      <c r="F25" s="1301">
        <f>Model!BS62</f>
        <v/>
      </c>
      <c r="G25" s="1301">
        <f>Model!BX62</f>
        <v/>
      </c>
      <c r="H25" s="1301">
        <f>Model!CC62</f>
        <v/>
      </c>
      <c r="I25" s="1301">
        <f>Model!CD62</f>
        <v/>
      </c>
      <c r="J25" s="1301">
        <f>Model!CE62</f>
        <v/>
      </c>
      <c r="K25" s="1301">
        <f>Model!CF62</f>
        <v/>
      </c>
    </row>
    <row r="26">
      <c r="B26" s="1291" t="inlineStr">
        <is>
          <t>Non-GAAP R&amp;D Margin %</t>
        </is>
      </c>
      <c r="F26" s="1294">
        <f>Model!BS76</f>
        <v/>
      </c>
      <c r="G26" s="1294">
        <f>Model!BX76</f>
        <v/>
      </c>
      <c r="H26" s="1294">
        <f>Model!CC76</f>
        <v/>
      </c>
      <c r="I26" s="1294">
        <f>Model!CD76</f>
        <v/>
      </c>
      <c r="J26" s="1294">
        <f>Model!CE76</f>
        <v/>
      </c>
      <c r="K26" s="1294">
        <f>Model!CF76</f>
        <v/>
      </c>
    </row>
    <row r="27">
      <c r="B27" s="1291" t="inlineStr">
        <is>
          <t xml:space="preserve">  R&amp;D Margin Improvement (bps)</t>
        </is>
      </c>
      <c r="F27" s="1301">
        <f>Model!BS77</f>
        <v/>
      </c>
      <c r="G27" s="1301">
        <f>Model!BX77</f>
        <v/>
      </c>
      <c r="H27" s="1301">
        <f>Model!CC77</f>
        <v/>
      </c>
      <c r="I27" s="1301">
        <f>Model!CD77</f>
        <v/>
      </c>
      <c r="J27" s="1301">
        <f>Model!CE77</f>
        <v/>
      </c>
      <c r="K27" s="1301">
        <f>Model!CF77</f>
        <v/>
      </c>
    </row>
    <row r="28">
      <c r="B28" s="1291" t="inlineStr">
        <is>
          <t>Non-GAAP SG&amp;A Margin %</t>
        </is>
      </c>
      <c r="F28" s="1294">
        <f>Model!BS91</f>
        <v/>
      </c>
      <c r="G28" s="1294">
        <f>Model!BX91</f>
        <v/>
      </c>
      <c r="H28" s="1294">
        <f>Model!CC91</f>
        <v/>
      </c>
      <c r="I28" s="1294">
        <f>Model!CD91</f>
        <v/>
      </c>
      <c r="J28" s="1294">
        <f>Model!CE91</f>
        <v/>
      </c>
      <c r="K28" s="1294">
        <f>Model!CF91</f>
        <v/>
      </c>
    </row>
    <row r="29">
      <c r="B29" s="1291" t="inlineStr">
        <is>
          <t xml:space="preserve">  SG&amp;A Margin Improvement (bps)</t>
        </is>
      </c>
      <c r="F29" s="1301">
        <f>Model!BS92</f>
        <v/>
      </c>
      <c r="G29" s="1301">
        <f>Model!BX92</f>
        <v/>
      </c>
      <c r="H29" s="1301">
        <f>Model!CC92</f>
        <v/>
      </c>
      <c r="I29" s="1301">
        <f>Model!CD92</f>
        <v/>
      </c>
      <c r="J29" s="1301">
        <f>Model!CE92</f>
        <v/>
      </c>
      <c r="K29" s="1301">
        <f>Model!CF92</f>
        <v/>
      </c>
    </row>
    <row r="30">
      <c r="B30" s="1283" t="inlineStr">
        <is>
          <t>Non-GAAP EBIT Margin %</t>
        </is>
      </c>
      <c r="F30" s="1302">
        <f>Model!BS109</f>
        <v/>
      </c>
      <c r="G30" s="1302">
        <f>Model!BX109</f>
        <v/>
      </c>
      <c r="H30" s="1302">
        <f>Model!CC109</f>
        <v/>
      </c>
      <c r="I30" s="1302">
        <f>Model!CD109</f>
        <v/>
      </c>
      <c r="J30" s="1302">
        <f>Model!CE109</f>
        <v/>
      </c>
      <c r="K30" s="1302">
        <f>Model!CF109</f>
        <v/>
      </c>
    </row>
    <row r="31">
      <c r="B31" s="1299" t="inlineStr">
        <is>
          <t>Non-GAAP Operating Income (EBIT)</t>
        </is>
      </c>
      <c r="F31" s="1300">
        <f>Model!BS386</f>
        <v/>
      </c>
      <c r="G31" s="1300">
        <f>Model!BX386</f>
        <v/>
      </c>
      <c r="H31" s="1300">
        <f>Model!CC386</f>
        <v/>
      </c>
      <c r="I31" s="1300">
        <f>Model!CD386</f>
        <v/>
      </c>
      <c r="J31" s="1300">
        <f>Model!CE386</f>
        <v/>
      </c>
      <c r="K31" s="1300">
        <f>Model!CF386</f>
        <v/>
      </c>
    </row>
    <row r="33">
      <c r="B33" s="1289" t="inlineStr">
        <is>
          <t>Unlevered Free Cash Flow Build</t>
        </is>
      </c>
    </row>
    <row r="34">
      <c r="B34" s="1283" t="inlineStr">
        <is>
          <t>Non-GAAP EBIT</t>
        </is>
      </c>
      <c r="G34" s="1303">
        <f>G31</f>
        <v/>
      </c>
      <c r="H34" s="1303">
        <f>H31</f>
        <v/>
      </c>
      <c r="I34" s="1303">
        <f>I31</f>
        <v/>
      </c>
      <c r="J34" s="1303">
        <f>J31</f>
        <v/>
      </c>
      <c r="K34" s="1303">
        <f>K31</f>
        <v/>
      </c>
    </row>
    <row r="35">
      <c r="B35" t="inlineStr">
        <is>
          <t>Less: Taxes on EBIT</t>
        </is>
      </c>
      <c r="G35" s="1303">
        <f>-G34*$P$12</f>
        <v/>
      </c>
      <c r="H35" s="1303">
        <f>-H34*$P$12</f>
        <v/>
      </c>
      <c r="I35" s="1303">
        <f>-I34*$P$12</f>
        <v/>
      </c>
      <c r="J35" s="1303">
        <f>-J34*$P$12</f>
        <v/>
      </c>
      <c r="K35" s="1303">
        <f>-K34*$P$12</f>
        <v/>
      </c>
    </row>
    <row r="36">
      <c r="B36" s="1283" t="inlineStr">
        <is>
          <t>NOPAT</t>
        </is>
      </c>
      <c r="G36" s="1303">
        <f>G34+G35</f>
        <v/>
      </c>
      <c r="H36" s="1303">
        <f>H34+H35</f>
        <v/>
      </c>
      <c r="I36" s="1303">
        <f>I34+I35</f>
        <v/>
      </c>
      <c r="J36" s="1303">
        <f>J34+J35</f>
        <v/>
      </c>
      <c r="K36" s="1303">
        <f>K34+K35</f>
        <v/>
      </c>
    </row>
    <row r="37">
      <c r="B37" t="inlineStr">
        <is>
          <t>Plus: Depreciation &amp; Amortization</t>
        </is>
      </c>
      <c r="G37" s="1292">
        <f>Model!BX933</f>
        <v/>
      </c>
      <c r="H37" s="1292">
        <f>Model!CC933</f>
        <v/>
      </c>
      <c r="I37" s="1292">
        <f>Model!CD933</f>
        <v/>
      </c>
      <c r="J37" s="1292">
        <f>Model!CE933</f>
        <v/>
      </c>
      <c r="K37" s="1292">
        <f>Model!CF933</f>
        <v/>
      </c>
    </row>
    <row r="38">
      <c r="B38" t="inlineStr">
        <is>
          <t>Less: Capital Expenditures</t>
        </is>
      </c>
      <c r="G38" s="1292">
        <f>-Model!BX934</f>
        <v/>
      </c>
      <c r="H38" s="1292">
        <f>-Model!CC934</f>
        <v/>
      </c>
      <c r="I38" s="1292">
        <f>-Model!CD934</f>
        <v/>
      </c>
      <c r="J38" s="1292">
        <f>-Model!CE934</f>
        <v/>
      </c>
      <c r="K38" s="1292">
        <f>-Model!CF934</f>
        <v/>
      </c>
    </row>
    <row r="39">
      <c r="B39" t="inlineStr">
        <is>
          <t>Less: Increase in Net Working Capital</t>
        </is>
      </c>
      <c r="G39" s="1303">
        <f>-G72</f>
        <v/>
      </c>
      <c r="H39" s="1303">
        <f>-H72</f>
        <v/>
      </c>
      <c r="I39" s="1303">
        <f>-I72</f>
        <v/>
      </c>
      <c r="J39" s="1303">
        <f>-J72</f>
        <v/>
      </c>
      <c r="K39" s="1303">
        <f>-K72</f>
        <v/>
      </c>
    </row>
    <row r="40">
      <c r="B40" s="1304" t="inlineStr">
        <is>
          <t>Unlevered Free Cash Flow</t>
        </is>
      </c>
      <c r="G40" s="1305">
        <f>SUM(G36:G39)</f>
        <v/>
      </c>
      <c r="H40" s="1305">
        <f>SUM(H36:H39)</f>
        <v/>
      </c>
      <c r="I40" s="1305">
        <f>SUM(I36:I39)</f>
        <v/>
      </c>
      <c r="J40" s="1305">
        <f>SUM(J36:J39)</f>
        <v/>
      </c>
      <c r="K40" s="1305">
        <f>SUM(K36:K39)</f>
        <v/>
      </c>
    </row>
    <row r="42">
      <c r="B42" t="inlineStr">
        <is>
          <t>Times: Discount Factor</t>
        </is>
      </c>
      <c r="G42" s="1306">
        <f>1/(1+$P$14)^1</f>
        <v/>
      </c>
      <c r="H42" s="1306">
        <f>1/(1+$P$14)^2</f>
        <v/>
      </c>
      <c r="I42" s="1306">
        <f>1/(1+$P$14)^3</f>
        <v/>
      </c>
      <c r="J42" s="1306">
        <f>1/(1+$P$14)^4</f>
        <v/>
      </c>
      <c r="K42" s="1306">
        <f>1/(1+$P$14)^5</f>
        <v/>
      </c>
    </row>
    <row r="43">
      <c r="B43" t="inlineStr">
        <is>
          <t>Discounted Cash Flows</t>
        </is>
      </c>
      <c r="G43" s="1303">
        <f>G40*G42</f>
        <v/>
      </c>
      <c r="H43" s="1303">
        <f>H40*H42</f>
        <v/>
      </c>
      <c r="I43" s="1303">
        <f>I40*I42</f>
        <v/>
      </c>
      <c r="J43" s="1303">
        <f>J40*J42</f>
        <v/>
      </c>
      <c r="K43" s="1303">
        <f>K40*K42</f>
        <v/>
      </c>
    </row>
    <row r="45">
      <c r="B45" s="1283" t="inlineStr">
        <is>
          <t>Sum of Discounted Cash Flows</t>
        </is>
      </c>
      <c r="F45" s="1307">
        <f>SUM(G43:K43)</f>
        <v/>
      </c>
    </row>
    <row r="46">
      <c r="B46" s="1283" t="inlineStr">
        <is>
          <t>Terminal Value:</t>
        </is>
      </c>
      <c r="F46" s="1303">
        <f>(K40*(1+$P$15))/($P$14-$P$15)</f>
        <v/>
      </c>
    </row>
    <row r="47">
      <c r="B47" t="inlineStr">
        <is>
          <t>Times: Discount Factor</t>
        </is>
      </c>
      <c r="F47" s="1306">
        <f>K42</f>
        <v/>
      </c>
    </row>
    <row r="48">
      <c r="B48" t="inlineStr">
        <is>
          <t>PV of Terminal Value</t>
        </is>
      </c>
      <c r="F48" s="1307">
        <f>F46*F47</f>
        <v/>
      </c>
    </row>
    <row r="49" ht="16" customHeight="1">
      <c r="C49" s="1308" t="inlineStr">
        <is>
          <t>Enterprise Value</t>
        </is>
      </c>
      <c r="F49" s="1309">
        <f>F45+F48</f>
        <v/>
      </c>
    </row>
    <row r="51">
      <c r="B51" s="1289" t="inlineStr">
        <is>
          <t>Equity Bridge:</t>
        </is>
      </c>
    </row>
    <row r="52">
      <c r="B52" t="inlineStr">
        <is>
          <t>Enterprise Value</t>
        </is>
      </c>
      <c r="F52" s="1307">
        <f>F49</f>
        <v/>
      </c>
    </row>
    <row r="53">
      <c r="B53" t="inlineStr">
        <is>
          <t>Less: Total Debt</t>
        </is>
      </c>
      <c r="F53" s="1310">
        <f>-(Model!BS992+IF(ISNUMBER(Model!BS988),Model!BS988,0))</f>
        <v/>
      </c>
    </row>
    <row r="54">
      <c r="B54" t="inlineStr">
        <is>
          <t>Plus: Cash &amp; Cash Equivalents</t>
        </is>
      </c>
      <c r="F54" s="1310">
        <f>Model!BS952</f>
        <v/>
      </c>
    </row>
    <row r="55">
      <c r="B55" t="inlineStr">
        <is>
          <t>Plus: Marketable Securities</t>
        </is>
      </c>
      <c r="F55" s="1310">
        <f>Model!BS953</f>
        <v/>
      </c>
    </row>
    <row r="56" ht="16" customHeight="1">
      <c r="C56" s="1308" t="inlineStr">
        <is>
          <t>Equity Value</t>
        </is>
      </c>
      <c r="F56" s="1309">
        <f>SUM(F52:F55)</f>
        <v/>
      </c>
    </row>
    <row r="57">
      <c r="B57" t="inlineStr">
        <is>
          <t>Diluted Shares Outstanding (mm)</t>
        </is>
      </c>
      <c r="F57" s="1292">
        <f>Model!BS429</f>
        <v/>
      </c>
    </row>
    <row r="58" ht="16" customHeight="1">
      <c r="C58" s="1308" t="inlineStr">
        <is>
          <t>Implied Share Price ($/share)</t>
        </is>
      </c>
      <c r="F58" s="1359">
        <f>F56/F57</f>
        <v/>
      </c>
    </row>
    <row r="60">
      <c r="B60" s="1283" t="inlineStr">
        <is>
          <t>Current Stock Price ($/share)</t>
        </is>
      </c>
      <c r="F60" s="1360">
        <f>'Front Page'!H20</f>
        <v/>
      </c>
    </row>
    <row r="61">
      <c r="B61" s="1313" t="inlineStr">
        <is>
          <t>Upside / (Downside)</t>
        </is>
      </c>
      <c r="F61" s="1314">
        <f>F58/F60-1</f>
        <v/>
      </c>
    </row>
    <row r="64">
      <c r="B64" s="1289" t="inlineStr">
        <is>
          <t>Net Working Capital Calculation:</t>
        </is>
      </c>
    </row>
    <row r="65">
      <c r="F65" s="1287" t="inlineStr">
        <is>
          <t>FY2025</t>
        </is>
      </c>
      <c r="G65" s="1287" t="inlineStr">
        <is>
          <t>FY2026</t>
        </is>
      </c>
      <c r="H65" s="1287" t="inlineStr">
        <is>
          <t>FY2027</t>
        </is>
      </c>
      <c r="I65" s="1287" t="inlineStr">
        <is>
          <t>FY2028</t>
        </is>
      </c>
      <c r="J65" s="1287" t="inlineStr">
        <is>
          <t>FY2029</t>
        </is>
      </c>
      <c r="K65" s="1287" t="inlineStr">
        <is>
          <t>FY2030</t>
        </is>
      </c>
    </row>
    <row r="66">
      <c r="B66" t="inlineStr">
        <is>
          <t>Accounts Receivable</t>
        </is>
      </c>
      <c r="F66" s="1292">
        <f>Model!BS954</f>
        <v/>
      </c>
      <c r="G66" s="1292">
        <f>Model!BX954</f>
        <v/>
      </c>
      <c r="H66" s="1292">
        <f>Model!CC954</f>
        <v/>
      </c>
      <c r="I66" s="1292">
        <f>Model!CD954</f>
        <v/>
      </c>
      <c r="J66" s="1292">
        <f>Model!CE954</f>
        <v/>
      </c>
      <c r="K66" s="1292">
        <f>Model!CF954</f>
        <v/>
      </c>
    </row>
    <row r="67">
      <c r="B67" t="inlineStr">
        <is>
          <t>Inventories</t>
        </is>
      </c>
      <c r="F67" s="1292">
        <f>Model!BS958</f>
        <v/>
      </c>
      <c r="G67" s="1292">
        <f>Model!BX958</f>
        <v/>
      </c>
      <c r="H67" s="1292">
        <f>Model!CC958</f>
        <v/>
      </c>
      <c r="I67" s="1292">
        <f>Model!CD958</f>
        <v/>
      </c>
      <c r="J67" s="1292">
        <f>Model!CE958</f>
        <v/>
      </c>
      <c r="K67" s="1292">
        <f>Model!CF958</f>
        <v/>
      </c>
    </row>
    <row r="68">
      <c r="B68" t="inlineStr">
        <is>
          <t>Less: Accounts Payable</t>
        </is>
      </c>
      <c r="F68" s="1292">
        <f>-Model!BS985</f>
        <v/>
      </c>
      <c r="G68" s="1292">
        <f>-Model!BX985</f>
        <v/>
      </c>
      <c r="H68" s="1292">
        <f>-Model!CC985</f>
        <v/>
      </c>
      <c r="I68" s="1292">
        <f>-Model!CD985</f>
        <v/>
      </c>
      <c r="J68" s="1292">
        <f>-Model!CE985</f>
        <v/>
      </c>
      <c r="K68" s="1292">
        <f>-Model!CF985</f>
        <v/>
      </c>
    </row>
    <row r="69">
      <c r="B69" t="inlineStr">
        <is>
          <t>Less: Accrued &amp; Other Current Liabilities</t>
        </is>
      </c>
      <c r="F69" s="1292">
        <f>-Model!BS987</f>
        <v/>
      </c>
      <c r="G69" s="1292">
        <f>-Model!BX987</f>
        <v/>
      </c>
      <c r="H69" s="1292">
        <f>-Model!CC987</f>
        <v/>
      </c>
      <c r="I69" s="1292">
        <f>-Model!CD987</f>
        <v/>
      </c>
      <c r="J69" s="1292">
        <f>-Model!CE987</f>
        <v/>
      </c>
      <c r="K69" s="1292">
        <f>-Model!CF987</f>
        <v/>
      </c>
    </row>
    <row r="70">
      <c r="B70" s="1315" t="inlineStr">
        <is>
          <t>Net Working Capital</t>
        </is>
      </c>
      <c r="F70" s="1316">
        <f>SUM(F66:F69)</f>
        <v/>
      </c>
      <c r="G70" s="1316">
        <f>SUM(G66:G69)</f>
        <v/>
      </c>
      <c r="H70" s="1316">
        <f>SUM(H66:H69)</f>
        <v/>
      </c>
      <c r="I70" s="1316">
        <f>SUM(I66:I69)</f>
        <v/>
      </c>
      <c r="J70" s="1316">
        <f>SUM(J66:J69)</f>
        <v/>
      </c>
      <c r="K70" s="1316">
        <f>SUM(K66:K69)</f>
        <v/>
      </c>
    </row>
    <row r="72">
      <c r="B72" s="1283" t="inlineStr">
        <is>
          <t>Change in Net Working Capital</t>
        </is>
      </c>
      <c r="G72" s="1303">
        <f>G70-F70</f>
        <v/>
      </c>
      <c r="H72" s="1303">
        <f>H70-G70</f>
        <v/>
      </c>
      <c r="I72" s="1303">
        <f>I70-H70</f>
        <v/>
      </c>
      <c r="J72" s="1303">
        <f>J70-I70</f>
        <v/>
      </c>
      <c r="K72" s="1303">
        <f>K70-J70</f>
        <v/>
      </c>
    </row>
    <row r="75">
      <c r="B75" s="1289" t="inlineStr">
        <is>
          <t>Memo:</t>
        </is>
      </c>
    </row>
    <row r="76">
      <c r="B76" t="inlineStr">
        <is>
          <t>Stock-Based Compensation (excluded from UFCF)</t>
        </is>
      </c>
      <c r="G76" s="1292">
        <f>Model!BX408</f>
        <v/>
      </c>
      <c r="H76" s="1292">
        <f>Model!CC408</f>
        <v/>
      </c>
      <c r="I76" s="1292">
        <f>Model!CD408</f>
        <v/>
      </c>
      <c r="J76" s="1292">
        <f>Model!CE408</f>
        <v/>
      </c>
      <c r="K76" s="1292">
        <f>Model!CF408</f>
        <v/>
      </c>
    </row>
    <row r="77">
      <c r="B77" t="inlineStr">
        <is>
          <t>Non-GAAP EBITDA</t>
        </is>
      </c>
      <c r="F77" s="1292">
        <f>Model!BS392</f>
        <v/>
      </c>
      <c r="G77" s="1292">
        <f>Model!BX392</f>
        <v/>
      </c>
      <c r="H77" s="1292">
        <f>Model!CC392</f>
        <v/>
      </c>
      <c r="I77" s="1292">
        <f>Model!CD392</f>
        <v/>
      </c>
      <c r="J77" s="1292">
        <f>Model!CE392</f>
        <v/>
      </c>
      <c r="K77" s="1292">
        <f>Model!CF392</f>
        <v/>
      </c>
    </row>
    <row r="78">
      <c r="B78" t="inlineStr">
        <is>
          <t>UFCF Growth Rate</t>
        </is>
      </c>
      <c r="H78" s="1297">
        <f>H40/G40-1</f>
        <v/>
      </c>
      <c r="I78" s="1297">
        <f>I40/H40-1</f>
        <v/>
      </c>
      <c r="J78" s="1297">
        <f>J40/I40-1</f>
        <v/>
      </c>
      <c r="K78" s="1297">
        <f>K40/J40-1</f>
        <v/>
      </c>
    </row>
  </sheetData>
  <pageMargins left="0.75" right="0.75" top="1" bottom="1" header="0.5" footer="0.5"/>
</worksheet>
</file>

<file path=xl/worksheets/sheet4.xml><?xml version="1.0" encoding="utf-8"?>
<worksheet xmlns="http://schemas.openxmlformats.org/spreadsheetml/2006/main">
  <sheetPr codeName="Sheet2">
    <outlinePr summaryBelow="1" summaryRight="1"/>
    <pageSetUpPr fitToPage="1"/>
  </sheetPr>
  <dimension ref="A1:CG1183"/>
  <sheetViews>
    <sheetView tabSelected="1" zoomScaleNormal="85" workbookViewId="0">
      <pane xSplit="2" ySplit="5" topLeftCell="M290" activePane="bottomRight" state="frozenSplit"/>
      <selection pane="topRight" activeCell="C1" sqref="C1"/>
      <selection pane="bottomLeft" activeCell="A6" sqref="A6"/>
      <selection pane="bottomRight" activeCell="R4" sqref="R4"/>
    </sheetView>
  </sheetViews>
  <sheetFormatPr baseColWidth="10" defaultColWidth="9.33203125" defaultRowHeight="15" outlineLevelRow="3"/>
  <cols>
    <col width="50.6640625" customWidth="1" min="1" max="1"/>
    <col width="10.6640625" customWidth="1" min="2" max="2"/>
    <col width="10.5" customWidth="1" min="3" max="6"/>
    <col outlineLevel="1" width="10.5" customWidth="1" min="7" max="10"/>
    <col width="10.5" customWidth="1" min="11" max="11"/>
    <col outlineLevel="1" width="10.5" customWidth="1" min="12" max="15"/>
    <col width="10.5" customWidth="1" min="16" max="16"/>
    <col outlineLevel="1" width="10.5" customWidth="1" min="17" max="20"/>
    <col width="10.5" customWidth="1" min="21" max="21"/>
    <col outlineLevel="1" width="10.5" customWidth="1" min="22" max="25"/>
    <col width="10.5" customWidth="1" min="26" max="26"/>
    <col outlineLevel="1" width="10.5" customWidth="1" min="27" max="30"/>
    <col width="10.5" customWidth="1" min="31" max="31"/>
    <col outlineLevel="1" width="10.5" customWidth="1" min="32" max="35"/>
    <col width="10.5" customWidth="1" min="36" max="36"/>
    <col outlineLevel="1" width="10.5" customWidth="1" min="37" max="40"/>
    <col width="10.5" customWidth="1" min="41" max="41"/>
    <col outlineLevel="1" width="10.5" customWidth="1" min="42" max="45"/>
    <col width="10.5" customWidth="1" min="46" max="46"/>
    <col outlineLevel="1" width="10.5" customWidth="1" min="47" max="50"/>
    <col width="10.5" customWidth="1" min="51" max="51"/>
    <col outlineLevel="1" width="10.5" customWidth="1" min="52" max="55"/>
    <col width="10.5" customWidth="1" min="56" max="56"/>
    <col outlineLevel="1" width="10.5" customWidth="1" min="57" max="60"/>
    <col width="10.5" customWidth="1" min="61" max="61"/>
    <col outlineLevel="1" width="10.5" customWidth="1" min="62" max="65"/>
    <col width="10.5" customWidth="1" min="66" max="66"/>
    <col outlineLevel="1" width="10.5" customWidth="1" min="67" max="70"/>
    <col width="10.5" customWidth="1" min="71" max="71"/>
    <col outlineLevel="1" width="10.5" customWidth="1" min="72" max="75"/>
    <col width="10.5" customWidth="1" min="76" max="76"/>
    <col outlineLevel="1" width="10.5" customWidth="1" min="77" max="80"/>
    <col width="10.5" customWidth="1" min="81" max="84"/>
    <col width="9.6640625" customWidth="1" min="85" max="85"/>
  </cols>
  <sheetData>
    <row r="1" ht="34" customHeight="1">
      <c r="A1" s="727" t="inlineStr">
        <is>
          <t>NVIDIA Corporation</t>
        </is>
      </c>
      <c r="B1" s="93" t="n"/>
      <c r="C1" s="93" t="n"/>
      <c r="D1" s="93" t="n"/>
      <c r="E1" s="93" t="n"/>
      <c r="F1" s="93" t="n"/>
      <c r="G1" s="93" t="n"/>
      <c r="H1" s="93" t="n"/>
      <c r="I1" s="93" t="n"/>
      <c r="J1" s="93" t="n"/>
      <c r="K1" s="93" t="n"/>
      <c r="L1" s="93" t="n"/>
      <c r="M1" s="93" t="n"/>
      <c r="N1" s="93" t="n"/>
      <c r="O1" s="93" t="n"/>
      <c r="P1" s="93" t="n"/>
      <c r="Q1" s="93" t="n"/>
      <c r="R1" s="93" t="n"/>
      <c r="S1" s="93" t="n"/>
      <c r="T1" s="93" t="n"/>
      <c r="U1" s="93" t="n"/>
      <c r="V1" s="93" t="n"/>
      <c r="W1" s="93" t="n"/>
      <c r="X1" s="93" t="n"/>
      <c r="Y1" s="93" t="n"/>
      <c r="Z1" s="93" t="n"/>
      <c r="AA1" s="93" t="n"/>
      <c r="AB1" s="93" t="n"/>
      <c r="AC1" s="93" t="n"/>
      <c r="AD1" s="93" t="n"/>
      <c r="AE1" s="93" t="n"/>
      <c r="AF1" s="93" t="n"/>
      <c r="AG1" s="93" t="n"/>
      <c r="AH1" s="93" t="n"/>
      <c r="AI1" s="93" t="n"/>
      <c r="AJ1" s="93" t="n"/>
      <c r="AK1" s="93" t="n"/>
      <c r="AL1" s="93" t="n"/>
      <c r="AM1" s="93" t="n"/>
      <c r="AN1" s="93" t="n"/>
      <c r="AO1" s="93" t="n"/>
      <c r="AP1" s="93" t="n"/>
      <c r="AQ1" s="93" t="n"/>
      <c r="AR1" s="93" t="n"/>
      <c r="AS1" s="93" t="n"/>
      <c r="AT1" s="93" t="n"/>
      <c r="AU1" s="93" t="n"/>
      <c r="AV1" s="93" t="n"/>
      <c r="AW1" s="93" t="n"/>
      <c r="AX1" s="93" t="n"/>
      <c r="AY1" s="93" t="n"/>
      <c r="AZ1" s="93" t="n"/>
      <c r="BA1" s="93" t="n"/>
      <c r="BB1" s="93" t="n"/>
      <c r="BC1" s="93" t="n"/>
      <c r="BD1" s="93" t="n"/>
      <c r="BE1" s="93" t="n"/>
      <c r="BF1" s="93" t="n"/>
      <c r="BG1" s="93" t="n"/>
      <c r="BH1" s="93" t="n"/>
      <c r="BI1" s="93" t="n"/>
      <c r="BJ1" s="93" t="n"/>
      <c r="BK1" s="93" t="n"/>
      <c r="BL1" s="93" t="n"/>
      <c r="BM1" s="93" t="n"/>
      <c r="BN1" s="93" t="n"/>
      <c r="BO1" s="93" t="n"/>
      <c r="BP1" s="93" t="n"/>
      <c r="BQ1" s="93" t="n"/>
      <c r="BR1" s="93" t="n"/>
      <c r="BS1" s="93" t="n"/>
      <c r="BT1" s="93" t="n"/>
      <c r="BU1" s="93" t="n"/>
      <c r="BV1" s="522" t="n"/>
      <c r="BW1" s="93" t="n"/>
      <c r="BX1" s="93" t="n"/>
      <c r="BY1" s="93" t="n"/>
      <c r="BZ1" s="93" t="n"/>
      <c r="CA1" s="93" t="n"/>
      <c r="CB1" s="93" t="n"/>
      <c r="CC1" s="93" t="n"/>
      <c r="CD1" s="93" t="n"/>
      <c r="CE1" s="93" t="n"/>
      <c r="CF1" s="93" t="n"/>
      <c r="CG1" s="155" t="n"/>
    </row>
    <row r="2">
      <c r="A2" s="589">
        <f>CHOOSE(MO.DataSourceIndex,MO.Ticker.Bloomberg,MO.Ticker.CapIQ,MO.Ticker.FactSet,MO.Ticker.Thomson)</f>
        <v/>
      </c>
      <c r="B2" s="595" t="n"/>
      <c r="C2" s="290">
        <f>EOMONTH(C4,-12)</f>
        <v/>
      </c>
      <c r="D2" s="596" t="n"/>
      <c r="E2" s="596" t="n"/>
      <c r="F2" s="596" t="n"/>
      <c r="G2" s="596" t="n"/>
      <c r="H2" s="596" t="n"/>
      <c r="I2" s="596" t="n"/>
      <c r="J2" s="596" t="n"/>
      <c r="K2" s="596" t="n"/>
      <c r="L2" s="596" t="n"/>
      <c r="M2" s="596" t="n"/>
      <c r="N2" s="596" t="n"/>
      <c r="O2" s="596" t="n"/>
      <c r="P2" s="596" t="n"/>
      <c r="Q2" s="596" t="n"/>
      <c r="R2" s="596" t="n"/>
      <c r="S2" s="596" t="n"/>
      <c r="T2" s="596" t="n"/>
      <c r="U2" s="596" t="n"/>
      <c r="V2" s="596" t="n"/>
      <c r="W2" s="596" t="n"/>
      <c r="X2" s="596" t="n"/>
      <c r="Y2" s="596" t="n"/>
      <c r="Z2" s="596" t="n"/>
      <c r="AA2" s="791" t="inlineStr">
        <is>
          <t>Restated</t>
        </is>
      </c>
      <c r="AB2" s="791" t="inlineStr">
        <is>
          <t>Restated</t>
        </is>
      </c>
      <c r="AC2" s="791" t="inlineStr">
        <is>
          <t>Restated</t>
        </is>
      </c>
      <c r="AD2" s="791" t="inlineStr">
        <is>
          <t>Restated</t>
        </is>
      </c>
      <c r="AE2" s="791" t="inlineStr">
        <is>
          <t>Restated</t>
        </is>
      </c>
      <c r="AF2" s="596" t="n"/>
      <c r="AG2" s="596" t="n"/>
      <c r="AH2" s="596" t="n"/>
      <c r="AI2" s="596" t="n"/>
      <c r="AJ2" s="596" t="n"/>
      <c r="AK2" s="596" t="n"/>
      <c r="AL2" s="596" t="n"/>
      <c r="AM2" s="596" t="n"/>
      <c r="AN2" s="596" t="n"/>
      <c r="AO2" s="596" t="n"/>
      <c r="AP2" s="596" t="n"/>
      <c r="AQ2" s="596" t="n"/>
      <c r="AR2" s="596" t="n"/>
      <c r="AS2" s="596" t="n"/>
      <c r="AT2" s="596" t="n"/>
      <c r="AU2" s="596" t="n"/>
      <c r="AV2" s="596" t="n"/>
      <c r="AW2" s="596" t="n"/>
      <c r="AX2" s="596" t="n"/>
      <c r="AY2" s="596" t="n"/>
      <c r="AZ2" s="596" t="n"/>
      <c r="BA2" s="596" t="n"/>
      <c r="BB2" s="596" t="n"/>
      <c r="BC2" s="596" t="n"/>
      <c r="BD2" s="596" t="n"/>
      <c r="BE2" s="596" t="n"/>
      <c r="BF2" s="596" t="n"/>
      <c r="BG2" s="596" t="n"/>
      <c r="BH2" s="596" t="n"/>
      <c r="BI2" s="596" t="n"/>
      <c r="BJ2" s="596" t="n"/>
      <c r="BK2" s="596" t="n"/>
      <c r="BL2" s="596" t="n"/>
      <c r="BM2" s="596" t="n"/>
      <c r="BN2" s="596" t="n"/>
      <c r="BO2" s="596" t="n"/>
      <c r="BP2" s="596" t="n"/>
      <c r="BQ2" s="596" t="n"/>
      <c r="BR2" s="596" t="n"/>
      <c r="BS2" s="596" t="n"/>
      <c r="BT2" s="596" t="n"/>
      <c r="BU2" s="1030" t="n"/>
      <c r="BV2" s="630" t="n"/>
      <c r="BW2" s="596" t="n"/>
      <c r="BX2" s="596" t="n"/>
      <c r="BY2" s="596" t="n"/>
      <c r="BZ2" s="596" t="n"/>
      <c r="CA2" s="596" t="n"/>
      <c r="CB2" s="596" t="n"/>
      <c r="CC2" s="596" t="n"/>
      <c r="CD2" s="596" t="n"/>
      <c r="CE2" s="596" t="n"/>
      <c r="CF2" s="596" t="n"/>
      <c r="CG2" s="155" t="n"/>
    </row>
    <row r="3">
      <c r="A3" s="590">
        <f>HP.TradeCurrency</f>
        <v/>
      </c>
      <c r="B3" s="591">
        <f>IF(MO.RealTime="OFF",MO.LastPriceHardcoded,MO.LastPriceFormula)</f>
        <v/>
      </c>
      <c r="C3" s="1102">
        <f>C4-C2</f>
        <v/>
      </c>
      <c r="D3" s="1102">
        <f>D4-C4</f>
        <v/>
      </c>
      <c r="E3" s="1102">
        <f>E4-D4</f>
        <v/>
      </c>
      <c r="F3" s="1102">
        <f>F4-E4</f>
        <v/>
      </c>
      <c r="G3" s="291">
        <f>G4-F4</f>
        <v/>
      </c>
      <c r="H3" s="291">
        <f>H4-G4</f>
        <v/>
      </c>
      <c r="I3" s="291">
        <f>I4-H4</f>
        <v/>
      </c>
      <c r="J3" s="291">
        <f>J4-I4</f>
        <v/>
      </c>
      <c r="K3" s="1102">
        <f>K4-F4</f>
        <v/>
      </c>
      <c r="L3" s="291">
        <f>L4-K4</f>
        <v/>
      </c>
      <c r="M3" s="291">
        <f>M4-L4</f>
        <v/>
      </c>
      <c r="N3" s="291">
        <f>N4-M4</f>
        <v/>
      </c>
      <c r="O3" s="291">
        <f>O4-N4</f>
        <v/>
      </c>
      <c r="P3" s="1102">
        <f>P4-K4</f>
        <v/>
      </c>
      <c r="Q3" s="291">
        <f>Q4-P4</f>
        <v/>
      </c>
      <c r="R3" s="291">
        <f>R4-Q4</f>
        <v/>
      </c>
      <c r="S3" s="291">
        <f>S4-R4</f>
        <v/>
      </c>
      <c r="T3" s="291">
        <f>T4-S4</f>
        <v/>
      </c>
      <c r="U3" s="1102">
        <f>U4-P4</f>
        <v/>
      </c>
      <c r="V3" s="291">
        <f>V4-U4</f>
        <v/>
      </c>
      <c r="W3" s="291">
        <f>W4-V4</f>
        <v/>
      </c>
      <c r="X3" s="291">
        <f>X4-W4</f>
        <v/>
      </c>
      <c r="Y3" s="291">
        <f>Y4-X4</f>
        <v/>
      </c>
      <c r="Z3" s="1102">
        <f>Z4-U4</f>
        <v/>
      </c>
      <c r="AA3" s="291">
        <f>AA4-Z4</f>
        <v/>
      </c>
      <c r="AB3" s="291">
        <f>AB4-AA4</f>
        <v/>
      </c>
      <c r="AC3" s="70">
        <f>AC4-AB4</f>
        <v/>
      </c>
      <c r="AD3" s="70">
        <f>AD4-AC4</f>
        <v/>
      </c>
      <c r="AE3" s="1103">
        <f>AE4-Z4</f>
        <v/>
      </c>
      <c r="AF3" s="70">
        <f>AF4-AE4</f>
        <v/>
      </c>
      <c r="AG3" s="291">
        <f>AG4-AF4</f>
        <v/>
      </c>
      <c r="AH3" s="291">
        <f>AH4-AG4</f>
        <v/>
      </c>
      <c r="AI3" s="70">
        <f>AI4-AH4</f>
        <v/>
      </c>
      <c r="AJ3" s="1103">
        <f>AJ4-AE4</f>
        <v/>
      </c>
      <c r="AK3" s="291">
        <f>AK4-AJ4</f>
        <v/>
      </c>
      <c r="AL3" s="291">
        <f>AL4-AK4</f>
        <v/>
      </c>
      <c r="AM3" s="291">
        <f>AM4-AL4</f>
        <v/>
      </c>
      <c r="AN3" s="70">
        <f>AN4-AM4</f>
        <v/>
      </c>
      <c r="AO3" s="1103">
        <f>AO4-AJ4</f>
        <v/>
      </c>
      <c r="AP3" s="291">
        <f>AP4-AO4</f>
        <v/>
      </c>
      <c r="AQ3" s="291">
        <f>AQ4-AP4</f>
        <v/>
      </c>
      <c r="AR3" s="291">
        <f>AR4-AQ4</f>
        <v/>
      </c>
      <c r="AS3" s="70">
        <f>AS4-AR4</f>
        <v/>
      </c>
      <c r="AT3" s="1103">
        <f>AT4-AO4</f>
        <v/>
      </c>
      <c r="AU3" s="291">
        <f>AU4-AT4</f>
        <v/>
      </c>
      <c r="AV3" s="291">
        <f>AV4-AU4</f>
        <v/>
      </c>
      <c r="AW3" s="291">
        <f>AW4-AV4</f>
        <v/>
      </c>
      <c r="AX3" s="70">
        <f>AX4-AW4</f>
        <v/>
      </c>
      <c r="AY3" s="1103">
        <f>AY4-AT4</f>
        <v/>
      </c>
      <c r="AZ3" s="291">
        <f>AZ4-AY4</f>
        <v/>
      </c>
      <c r="BA3" s="291">
        <f>BA4-AZ4</f>
        <v/>
      </c>
      <c r="BB3" s="291">
        <f>BB4-BA4</f>
        <v/>
      </c>
      <c r="BC3" s="70">
        <f>BC4-BB4</f>
        <v/>
      </c>
      <c r="BD3" s="1103">
        <f>BD4-AY4</f>
        <v/>
      </c>
      <c r="BE3" s="291">
        <f>BE4-BD4</f>
        <v/>
      </c>
      <c r="BF3" s="291">
        <f>BF4-BE4</f>
        <v/>
      </c>
      <c r="BG3" s="291">
        <f>BG4-BF4</f>
        <v/>
      </c>
      <c r="BH3" s="70">
        <f>BH4-BG4</f>
        <v/>
      </c>
      <c r="BI3" s="1103">
        <f>BI4-BD4</f>
        <v/>
      </c>
      <c r="BJ3" s="291">
        <f>BJ4-BI4</f>
        <v/>
      </c>
      <c r="BK3" s="291">
        <f>BK4-BJ4</f>
        <v/>
      </c>
      <c r="BL3" s="291">
        <f>BL4-BK4</f>
        <v/>
      </c>
      <c r="BM3" s="70">
        <f>BM4-BL4</f>
        <v/>
      </c>
      <c r="BN3" s="1103">
        <f>BN4-BI4</f>
        <v/>
      </c>
      <c r="BO3" s="291">
        <f>BO4-BN4</f>
        <v/>
      </c>
      <c r="BP3" s="291">
        <f>BP4-BO4</f>
        <v/>
      </c>
      <c r="BQ3" s="291">
        <f>BQ4-BP4</f>
        <v/>
      </c>
      <c r="BR3" s="70">
        <f>BR4-BQ4</f>
        <v/>
      </c>
      <c r="BS3" s="1103">
        <f>BS4-BN4</f>
        <v/>
      </c>
      <c r="BT3" s="291">
        <f>BT4-BS4</f>
        <v/>
      </c>
      <c r="BU3" s="291">
        <f>BU4-BT4</f>
        <v/>
      </c>
      <c r="BV3" s="877">
        <f>BV4-BU4</f>
        <v/>
      </c>
      <c r="BW3" s="70">
        <f>BW4-BV4</f>
        <v/>
      </c>
      <c r="BX3" s="1103">
        <f>BX4-BS4</f>
        <v/>
      </c>
      <c r="BY3" s="70">
        <f>BY4-BX4</f>
        <v/>
      </c>
      <c r="BZ3" s="70">
        <f>BZ4-BY4</f>
        <v/>
      </c>
      <c r="CA3" s="70">
        <f>CA4-BZ4</f>
        <v/>
      </c>
      <c r="CB3" s="70">
        <f>CB4-CA4</f>
        <v/>
      </c>
      <c r="CC3" s="1103">
        <f>CC4-BX4</f>
        <v/>
      </c>
      <c r="CD3" s="1103">
        <f>CD4-CC4</f>
        <v/>
      </c>
      <c r="CE3" s="1103">
        <f>CE4-CD4</f>
        <v/>
      </c>
      <c r="CF3" s="1103">
        <f>CF4-CE4</f>
        <v/>
      </c>
      <c r="CG3" s="155" t="n"/>
    </row>
    <row r="4">
      <c r="A4" s="592">
        <f>FP.DataSourceName</f>
        <v/>
      </c>
      <c r="B4" s="328">
        <f>IF(AND(MO.RealTimeStockPriceToggle,MO.LastPriceFormula&lt;&gt;"N/A"),"ON","OFF")</f>
        <v/>
      </c>
      <c r="C4" s="1104" t="n">
        <v>39838</v>
      </c>
      <c r="D4" s="1105" t="n">
        <v>40209</v>
      </c>
      <c r="E4" s="1105" t="n">
        <v>40573</v>
      </c>
      <c r="F4" s="1105" t="n">
        <v>40937</v>
      </c>
      <c r="G4" s="1051" t="n">
        <v>41028</v>
      </c>
      <c r="H4" s="1051" t="n">
        <v>41119</v>
      </c>
      <c r="I4" s="1051" t="n">
        <v>41210</v>
      </c>
      <c r="J4" s="71">
        <f>K4</f>
        <v/>
      </c>
      <c r="K4" s="1105" t="n">
        <v>41301</v>
      </c>
      <c r="L4" s="1051" t="n">
        <v>41392</v>
      </c>
      <c r="M4" s="1051" t="n">
        <v>41483</v>
      </c>
      <c r="N4" s="1051" t="n">
        <v>41574</v>
      </c>
      <c r="O4" s="71">
        <f>P4</f>
        <v/>
      </c>
      <c r="P4" s="1105" t="n">
        <v>41665</v>
      </c>
      <c r="Q4" s="1051" t="n">
        <v>41756</v>
      </c>
      <c r="R4" s="1051" t="n">
        <v>41847</v>
      </c>
      <c r="S4" s="1051" t="n">
        <v>41938</v>
      </c>
      <c r="T4" s="71">
        <f>U4</f>
        <v/>
      </c>
      <c r="U4" s="1105" t="n">
        <v>42029</v>
      </c>
      <c r="V4" s="1051" t="n">
        <v>42120</v>
      </c>
      <c r="W4" s="1051" t="n">
        <v>42211</v>
      </c>
      <c r="X4" s="1051" t="n">
        <v>42302</v>
      </c>
      <c r="Y4" s="71">
        <f>Z4</f>
        <v/>
      </c>
      <c r="Z4" s="1105" t="n">
        <v>42400</v>
      </c>
      <c r="AA4" s="1051" t="n">
        <v>42491</v>
      </c>
      <c r="AB4" s="1051" t="n">
        <v>42582</v>
      </c>
      <c r="AC4" s="1051" t="n">
        <v>42673</v>
      </c>
      <c r="AD4" s="71">
        <f>AE4</f>
        <v/>
      </c>
      <c r="AE4" s="1105" t="n">
        <v>42764</v>
      </c>
      <c r="AF4" s="1051" t="n">
        <v>42855</v>
      </c>
      <c r="AG4" s="1051" t="n">
        <v>42946</v>
      </c>
      <c r="AH4" s="1051" t="n">
        <v>43037</v>
      </c>
      <c r="AI4" s="71">
        <f>AJ4</f>
        <v/>
      </c>
      <c r="AJ4" s="1105" t="n">
        <v>43128</v>
      </c>
      <c r="AK4" s="1051" t="n">
        <v>43219</v>
      </c>
      <c r="AL4" s="1051" t="n">
        <v>43310</v>
      </c>
      <c r="AM4" s="1051" t="n">
        <v>43401</v>
      </c>
      <c r="AN4" s="71">
        <f>AO4</f>
        <v/>
      </c>
      <c r="AO4" s="1105" t="n">
        <v>43492</v>
      </c>
      <c r="AP4" s="1051" t="n">
        <v>43583</v>
      </c>
      <c r="AQ4" s="1051" t="n">
        <v>43674</v>
      </c>
      <c r="AR4" s="1051" t="n">
        <v>43765</v>
      </c>
      <c r="AS4" s="71">
        <f>AT4</f>
        <v/>
      </c>
      <c r="AT4" s="1105" t="n">
        <v>43856</v>
      </c>
      <c r="AU4" s="1051" t="n">
        <v>43947</v>
      </c>
      <c r="AV4" s="1051" t="n">
        <v>44038</v>
      </c>
      <c r="AW4" s="1051" t="n">
        <v>44129</v>
      </c>
      <c r="AX4" s="71">
        <f>AY4</f>
        <v/>
      </c>
      <c r="AY4" s="1105" t="n">
        <v>44227</v>
      </c>
      <c r="AZ4" s="1051" t="n">
        <v>44318</v>
      </c>
      <c r="BA4" s="1051" t="n">
        <v>44409</v>
      </c>
      <c r="BB4" s="1051" t="n">
        <v>44500</v>
      </c>
      <c r="BC4" s="71">
        <f>BD4</f>
        <v/>
      </c>
      <c r="BD4" s="1105" t="n">
        <v>44591</v>
      </c>
      <c r="BE4" s="1051" t="n">
        <v>44682</v>
      </c>
      <c r="BF4" s="1051" t="n">
        <v>44773</v>
      </c>
      <c r="BG4" s="1051" t="n">
        <v>44864</v>
      </c>
      <c r="BH4" s="71">
        <f>BI4</f>
        <v/>
      </c>
      <c r="BI4" s="1105" t="n">
        <v>44955</v>
      </c>
      <c r="BJ4" s="1051" t="n">
        <v>45046</v>
      </c>
      <c r="BK4" s="1051" t="n">
        <v>45137</v>
      </c>
      <c r="BL4" s="1051" t="n">
        <v>45228</v>
      </c>
      <c r="BM4" s="71">
        <f>BN4</f>
        <v/>
      </c>
      <c r="BN4" s="1105" t="n">
        <v>45319</v>
      </c>
      <c r="BO4" s="1051" t="n">
        <v>45410</v>
      </c>
      <c r="BP4" s="1051" t="n">
        <v>45501</v>
      </c>
      <c r="BQ4" s="1051" t="n">
        <v>45592</v>
      </c>
      <c r="BR4" s="71">
        <f>BS4</f>
        <v/>
      </c>
      <c r="BS4" s="1105" t="n">
        <v>45683</v>
      </c>
      <c r="BT4" s="1051" t="n">
        <v>45774</v>
      </c>
      <c r="BU4" s="1051" t="n">
        <v>45865</v>
      </c>
      <c r="BV4" s="1052" t="n">
        <v>45956</v>
      </c>
      <c r="BW4" s="71">
        <f>DATE(YEAR(BV4)+1,1,31)</f>
        <v/>
      </c>
      <c r="BX4" s="1106">
        <f>BW4</f>
        <v/>
      </c>
      <c r="BY4" s="71">
        <f>+EDATE(BX4,3)</f>
        <v/>
      </c>
      <c r="BZ4" s="71">
        <f>+EDATE(BY4,3)</f>
        <v/>
      </c>
      <c r="CA4" s="71">
        <f>+EDATE(BZ4,3)</f>
        <v/>
      </c>
      <c r="CB4" s="71">
        <f>DATE(YEAR(CA4)+1,1,31)</f>
        <v/>
      </c>
      <c r="CC4" s="1106">
        <f>CB4</f>
        <v/>
      </c>
      <c r="CD4" s="1106">
        <f>EOMONTH(CC4,12)</f>
        <v/>
      </c>
      <c r="CE4" s="1106">
        <f>EOMONTH(CD4,12)</f>
        <v/>
      </c>
      <c r="CF4" s="1106">
        <f>EOMONTH(CE4,12)</f>
        <v/>
      </c>
      <c r="CG4" s="155" t="n"/>
    </row>
    <row r="5">
      <c r="A5" s="74">
        <f>MO.ReportCurrency</f>
        <v/>
      </c>
      <c r="B5" s="597" t="n"/>
      <c r="C5" s="1107" t="inlineStr">
        <is>
          <t>FY2009</t>
        </is>
      </c>
      <c r="D5" s="1108">
        <f>CONCATENATE("FY",RIGHT(C5,4)+1)</f>
        <v/>
      </c>
      <c r="E5" s="1108">
        <f>CONCATENATE("FY",RIGHT(D5,4)+1)</f>
        <v/>
      </c>
      <c r="F5" s="1108">
        <f>CONCATENATE("FY",RIGHT(E5,4)+1)</f>
        <v/>
      </c>
      <c r="G5" s="47">
        <f>CONCATENATE("Q1","-",RIGHT(F5,4)+1)</f>
        <v/>
      </c>
      <c r="H5" s="47">
        <f>CONCATENATE("Q2","-",RIGHT(G5,4))</f>
        <v/>
      </c>
      <c r="I5" s="47">
        <f>CONCATENATE("Q3","-",RIGHT(H5,4))</f>
        <v/>
      </c>
      <c r="J5" s="47">
        <f>CONCATENATE("Q4","-",RIGHT(I5,4))</f>
        <v/>
      </c>
      <c r="K5" s="1108">
        <f>CONCATENATE("FY",RIGHT(F5,4)+1)</f>
        <v/>
      </c>
      <c r="L5" s="47">
        <f>CONCATENATE("Q1","-",RIGHT(K5,4)+1)</f>
        <v/>
      </c>
      <c r="M5" s="47">
        <f>CONCATENATE("Q2","-",RIGHT(L5,4))</f>
        <v/>
      </c>
      <c r="N5" s="47">
        <f>CONCATENATE("Q3","-",RIGHT(M5,4))</f>
        <v/>
      </c>
      <c r="O5" s="47">
        <f>CONCATENATE("Q4","-",RIGHT(N5,4))</f>
        <v/>
      </c>
      <c r="P5" s="1108">
        <f>CONCATENATE("FY",RIGHT(K5,4)+1)</f>
        <v/>
      </c>
      <c r="Q5" s="47">
        <f>CONCATENATE("Q1","-",RIGHT(P5,4)+1)</f>
        <v/>
      </c>
      <c r="R5" s="47">
        <f>CONCATENATE("Q2","-",RIGHT(Q5,4))</f>
        <v/>
      </c>
      <c r="S5" s="47">
        <f>CONCATENATE("Q3","-",RIGHT(R5,4))</f>
        <v/>
      </c>
      <c r="T5" s="47">
        <f>CONCATENATE("Q4","-",RIGHT(S5,4))</f>
        <v/>
      </c>
      <c r="U5" s="1108">
        <f>CONCATENATE("FY",RIGHT(P5,4)+1)</f>
        <v/>
      </c>
      <c r="V5" s="47">
        <f>CONCATENATE("Q1","-",RIGHT(U5,4)+1)</f>
        <v/>
      </c>
      <c r="W5" s="295">
        <f>CONCATENATE("Q2","-",RIGHT(V5,4))</f>
        <v/>
      </c>
      <c r="X5" s="295">
        <f>CONCATENATE("Q3","-",RIGHT(W5,4))</f>
        <v/>
      </c>
      <c r="Y5" s="295">
        <f>CONCATENATE("Q4","-",RIGHT(X5,4))</f>
        <v/>
      </c>
      <c r="Z5" s="1109">
        <f>CONCATENATE("FY",RIGHT(U5,4)+1)</f>
        <v/>
      </c>
      <c r="AA5" s="295">
        <f>CONCATENATE("Q1","-",RIGHT(Z5,4)+1)</f>
        <v/>
      </c>
      <c r="AB5" s="295">
        <f>CONCATENATE("Q2","-",RIGHT(AA5,4))</f>
        <v/>
      </c>
      <c r="AC5" s="47">
        <f>CONCATENATE("Q3","-",RIGHT(AB5,4))</f>
        <v/>
      </c>
      <c r="AD5" s="47">
        <f>CONCATENATE("Q4","-",RIGHT(AC5,4))</f>
        <v/>
      </c>
      <c r="AE5" s="1108">
        <f>CONCATENATE("FY",RIGHT(Z5,4)+1)</f>
        <v/>
      </c>
      <c r="AF5" s="47">
        <f>CONCATENATE("Q1","-",RIGHT(AE5,4)+1)</f>
        <v/>
      </c>
      <c r="AG5" s="295">
        <f>CONCATENATE("Q2","-",RIGHT(AF5,4))</f>
        <v/>
      </c>
      <c r="AH5" s="295">
        <f>CONCATENATE("Q3","-",RIGHT(AG5,4))</f>
        <v/>
      </c>
      <c r="AI5" s="47">
        <f>CONCATENATE("Q4","-",RIGHT(AH5,4))</f>
        <v/>
      </c>
      <c r="AJ5" s="1108">
        <f>CONCATENATE("FY",RIGHT(AE5,4)+1)</f>
        <v/>
      </c>
      <c r="AK5" s="295">
        <f>CONCATENATE("Q1","-",RIGHT(AJ5,4)+1)</f>
        <v/>
      </c>
      <c r="AL5" s="295">
        <f>CONCATENATE("Q2","-",RIGHT(AK5,4))</f>
        <v/>
      </c>
      <c r="AM5" s="295">
        <f>CONCATENATE("Q3","-",RIGHT(AL5,4))</f>
        <v/>
      </c>
      <c r="AN5" s="47">
        <f>CONCATENATE("Q4","-",RIGHT(AM5,4))</f>
        <v/>
      </c>
      <c r="AO5" s="1108">
        <f>CONCATENATE("FY",RIGHT(AJ5,4)+1)</f>
        <v/>
      </c>
      <c r="AP5" s="295">
        <f>CONCATENATE("Q1","-",RIGHT(AO5,4)+1)</f>
        <v/>
      </c>
      <c r="AQ5" s="295">
        <f>CONCATENATE("Q2","-",RIGHT(AP5,4))</f>
        <v/>
      </c>
      <c r="AR5" s="295">
        <f>CONCATENATE("Q3","-",RIGHT(AQ5,4))</f>
        <v/>
      </c>
      <c r="AS5" s="47">
        <f>CONCATENATE("Q4","-",RIGHT(AR5,4))</f>
        <v/>
      </c>
      <c r="AT5" s="1108">
        <f>CONCATENATE("FY",RIGHT(AO5,4)+1)</f>
        <v/>
      </c>
      <c r="AU5" s="295">
        <f>CONCATENATE("Q1","-",RIGHT(AT5,4)+1)</f>
        <v/>
      </c>
      <c r="AV5" s="295">
        <f>CONCATENATE("Q2","-",RIGHT(AU5,4))</f>
        <v/>
      </c>
      <c r="AW5" s="295">
        <f>CONCATENATE("Q3","-",RIGHT(AV5,4))</f>
        <v/>
      </c>
      <c r="AX5" s="47">
        <f>CONCATENATE("Q4","-",RIGHT(AW5,4))</f>
        <v/>
      </c>
      <c r="AY5" s="1108">
        <f>CONCATENATE("FY",RIGHT(AT5,4)+1)</f>
        <v/>
      </c>
      <c r="AZ5" s="295">
        <f>CONCATENATE("Q1","-",RIGHT(AY5,4)+1)</f>
        <v/>
      </c>
      <c r="BA5" s="295">
        <f>CONCATENATE("Q2","-",RIGHT(AZ5,4))</f>
        <v/>
      </c>
      <c r="BB5" s="295">
        <f>CONCATENATE("Q3","-",RIGHT(BA5,4))</f>
        <v/>
      </c>
      <c r="BC5" s="47">
        <f>CONCATENATE("Q4","-",RIGHT(BB5,4))</f>
        <v/>
      </c>
      <c r="BD5" s="1108">
        <f>CONCATENATE("FY",RIGHT(AY5,4)+1)</f>
        <v/>
      </c>
      <c r="BE5" s="295">
        <f>CONCATENATE("Q1","-",RIGHT(BD5,4)+1)</f>
        <v/>
      </c>
      <c r="BF5" s="47">
        <f>CONCATENATE("Q2","-",RIGHT(BE5,4))</f>
        <v/>
      </c>
      <c r="BG5" s="295">
        <f>CONCATENATE("Q3","-",RIGHT(BF5,4))</f>
        <v/>
      </c>
      <c r="BH5" s="47">
        <f>CONCATENATE("Q4","-",RIGHT(BG5,4))</f>
        <v/>
      </c>
      <c r="BI5" s="1108">
        <f>CONCATENATE("FY",RIGHT(BD5,4)+1)</f>
        <v/>
      </c>
      <c r="BJ5" s="295">
        <f>CONCATENATE("Q1","-",RIGHT(BI5,4)+1)</f>
        <v/>
      </c>
      <c r="BK5" s="47">
        <f>CONCATENATE("Q2","-",RIGHT(BJ5,4))</f>
        <v/>
      </c>
      <c r="BL5" s="295">
        <f>CONCATENATE("Q3","-",RIGHT(BK5,4))</f>
        <v/>
      </c>
      <c r="BM5" s="47">
        <f>CONCATENATE("Q4","-",RIGHT(BL5,4))</f>
        <v/>
      </c>
      <c r="BN5" s="1108">
        <f>CONCATENATE("FY",RIGHT(BI5,4)+1)</f>
        <v/>
      </c>
      <c r="BO5" s="295">
        <f>CONCATENATE("Q1","-",RIGHT(BN5,4)+1)</f>
        <v/>
      </c>
      <c r="BP5" s="47">
        <f>CONCATENATE("Q2","-",RIGHT(BO5,4))</f>
        <v/>
      </c>
      <c r="BQ5" s="295">
        <f>CONCATENATE("Q3","-",RIGHT(BP5,4))</f>
        <v/>
      </c>
      <c r="BR5" s="47">
        <f>CONCATENATE("Q4","-",RIGHT(BQ5,4))</f>
        <v/>
      </c>
      <c r="BS5" s="1108">
        <f>CONCATENATE("FY",RIGHT(BN5,4)+1)</f>
        <v/>
      </c>
      <c r="BT5" s="295">
        <f>CONCATENATE("Q1","-",RIGHT(BS5,4)+1)</f>
        <v/>
      </c>
      <c r="BU5" s="47">
        <f>CONCATENATE("Q2","-",RIGHT(BT5,4))</f>
        <v/>
      </c>
      <c r="BV5" s="1021">
        <f>CONCATENATE("Q3","-",RIGHT(BU5,4))</f>
        <v/>
      </c>
      <c r="BW5" s="47">
        <f>CONCATENATE("Q4","-",RIGHT(BV5,4))</f>
        <v/>
      </c>
      <c r="BX5" s="1108">
        <f>CONCATENATE("FY",RIGHT(BS5,4)+1)</f>
        <v/>
      </c>
      <c r="BY5" s="47">
        <f>CONCATENATE("Q1","-",RIGHT(BX5,4)+1)</f>
        <v/>
      </c>
      <c r="BZ5" s="47">
        <f>CONCATENATE("Q2","-",RIGHT(BY5,4))</f>
        <v/>
      </c>
      <c r="CA5" s="47">
        <f>CONCATENATE("Q3","-",RIGHT(BZ5,4))</f>
        <v/>
      </c>
      <c r="CB5" s="47">
        <f>CONCATENATE("Q4","-",RIGHT(CA5,4))</f>
        <v/>
      </c>
      <c r="CC5" s="1108">
        <f>CONCATENATE("FY",RIGHT(BX5,4)+1)</f>
        <v/>
      </c>
      <c r="CD5" s="1108">
        <f>CONCATENATE("FY",RIGHT(CC5,4)+1)</f>
        <v/>
      </c>
      <c r="CE5" s="1108">
        <f>CONCATENATE("FY",RIGHT(CD5,4)+1)</f>
        <v/>
      </c>
      <c r="CF5" s="1108">
        <f>CONCATENATE("FY",RIGHT(CE5,4)+1)</f>
        <v/>
      </c>
      <c r="CG5" s="155" t="n"/>
    </row>
    <row r="6">
      <c r="A6" s="45" t="inlineStr">
        <is>
          <t>Revenue Build (FS/PR)</t>
        </is>
      </c>
      <c r="B6" s="45"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c r="AA6" s="45" t="n"/>
      <c r="AB6" s="45" t="n"/>
      <c r="AC6" s="45" t="n"/>
      <c r="AD6" s="45" t="n"/>
      <c r="AE6" s="45" t="n"/>
      <c r="AF6" s="45" t="n"/>
      <c r="AG6" s="45" t="n"/>
      <c r="AH6" s="45" t="n"/>
      <c r="AI6" s="45" t="n"/>
      <c r="AJ6" s="45" t="n"/>
      <c r="AK6" s="45" t="n"/>
      <c r="AL6" s="45" t="n"/>
      <c r="AM6" s="45" t="n"/>
      <c r="AN6" s="45" t="n"/>
      <c r="AO6" s="45" t="n"/>
      <c r="AP6" s="45" t="n"/>
      <c r="AQ6" s="45" t="n"/>
      <c r="AR6" s="45" t="n"/>
      <c r="AS6" s="45" t="n"/>
      <c r="AT6" s="45" t="n"/>
      <c r="AU6" s="45" t="n"/>
      <c r="AV6" s="45" t="n"/>
      <c r="AW6" s="45" t="n"/>
      <c r="AX6" s="45" t="n"/>
      <c r="AY6" s="45" t="n"/>
      <c r="AZ6" s="45" t="n"/>
      <c r="BA6" s="45" t="n"/>
      <c r="BB6" s="45" t="n"/>
      <c r="BC6" s="45" t="n"/>
      <c r="BD6" s="45" t="n"/>
      <c r="BE6" s="45" t="n"/>
      <c r="BF6" s="45" t="n"/>
      <c r="BG6" s="45" t="n"/>
      <c r="BH6" s="45" t="n"/>
      <c r="BI6" s="45" t="n"/>
      <c r="BJ6" s="45" t="n"/>
      <c r="BK6" s="45" t="n"/>
      <c r="BL6" s="45" t="n"/>
      <c r="BM6" s="45" t="n"/>
      <c r="BN6" s="45" t="n"/>
      <c r="BO6" s="45" t="n"/>
      <c r="BP6" s="45" t="n"/>
      <c r="BQ6" s="45" t="n"/>
      <c r="BR6" s="45" t="n"/>
      <c r="BS6" s="45" t="n"/>
      <c r="BT6" s="45" t="n"/>
      <c r="BU6" s="45" t="n"/>
      <c r="BV6" s="982" t="n"/>
      <c r="BW6" s="45" t="n"/>
      <c r="BX6" s="45" t="n"/>
      <c r="BY6" s="45" t="n"/>
      <c r="BZ6" s="45" t="n"/>
      <c r="CA6" s="45" t="n"/>
      <c r="CB6" s="45" t="n"/>
      <c r="CC6" s="45" t="n"/>
      <c r="CD6" s="45" t="n"/>
      <c r="CE6" s="45" t="n"/>
      <c r="CF6" s="45" t="n"/>
      <c r="CG6" s="155" t="n"/>
    </row>
    <row r="7">
      <c r="A7" s="67" t="inlineStr">
        <is>
          <t>Gaming Revenue, mm</t>
        </is>
      </c>
      <c r="B7" s="598" t="n"/>
      <c r="C7" s="1110" t="n"/>
      <c r="D7" s="1110" t="n"/>
      <c r="E7" s="1110" t="n"/>
      <c r="F7" s="1110" t="n"/>
      <c r="G7" s="68" t="n"/>
      <c r="H7" s="68" t="n"/>
      <c r="I7" s="68" t="n"/>
      <c r="J7" s="68" t="n"/>
      <c r="K7" s="1110" t="n"/>
      <c r="L7" s="68" t="n"/>
      <c r="M7" s="68" t="n"/>
      <c r="N7" s="68" t="n"/>
      <c r="O7" s="68" t="n"/>
      <c r="P7" s="1111" t="n">
        <v>1511</v>
      </c>
      <c r="Q7" s="1053" t="n">
        <v>468</v>
      </c>
      <c r="R7" s="1053" t="n">
        <v>417</v>
      </c>
      <c r="S7" s="1053" t="n">
        <v>527</v>
      </c>
      <c r="T7" s="27">
        <f>U7-SUM(Q7,R7,S7)</f>
        <v/>
      </c>
      <c r="U7" s="1111" t="n">
        <v>2058</v>
      </c>
      <c r="V7" s="1053" t="n">
        <v>587</v>
      </c>
      <c r="W7" s="1053" t="n">
        <v>660</v>
      </c>
      <c r="X7" s="1053" t="n">
        <v>761</v>
      </c>
      <c r="Y7" s="27">
        <f>Z7-SUM(V7,W7,X7)</f>
        <v/>
      </c>
      <c r="Z7" s="1111" t="n">
        <v>2818</v>
      </c>
      <c r="AA7" s="1053" t="n">
        <v>687</v>
      </c>
      <c r="AB7" s="1053" t="n">
        <v>781</v>
      </c>
      <c r="AC7" s="1053" t="n">
        <v>1244</v>
      </c>
      <c r="AD7" s="27">
        <f>AE7-SUM(AA7,AB7,AC7)</f>
        <v/>
      </c>
      <c r="AE7" s="1111" t="n">
        <v>4060</v>
      </c>
      <c r="AF7" s="1053" t="n">
        <v>1027</v>
      </c>
      <c r="AG7" s="1053" t="n">
        <v>1186</v>
      </c>
      <c r="AH7" s="1053" t="n">
        <v>1561</v>
      </c>
      <c r="AI7" s="27">
        <f>AJ7-SUM(AF7,AG7,AH7)</f>
        <v/>
      </c>
      <c r="AJ7" s="1111" t="n">
        <v>5513</v>
      </c>
      <c r="AK7" s="1053" t="n">
        <v>1723</v>
      </c>
      <c r="AL7" s="1053" t="n">
        <v>1805</v>
      </c>
      <c r="AM7" s="1053" t="n">
        <v>1764</v>
      </c>
      <c r="AN7" s="1053" t="n">
        <v>954</v>
      </c>
      <c r="AO7" s="1112">
        <f>SUM(AK7,AL7,AM7,AN7)</f>
        <v/>
      </c>
      <c r="AP7" s="1053" t="n">
        <v>1055</v>
      </c>
      <c r="AQ7" s="1053" t="n">
        <v>1313</v>
      </c>
      <c r="AR7" s="1053" t="n">
        <v>1659</v>
      </c>
      <c r="AS7" s="1053" t="n">
        <v>1491</v>
      </c>
      <c r="AT7" s="1112">
        <f>SUM(AP7,AQ7,AR7,AS7)</f>
        <v/>
      </c>
      <c r="AU7" s="1053" t="n">
        <v>1339</v>
      </c>
      <c r="AV7" s="1053" t="n">
        <v>1654</v>
      </c>
      <c r="AW7" s="1053" t="n">
        <v>2271</v>
      </c>
      <c r="AX7" s="1053" t="n">
        <v>2495</v>
      </c>
      <c r="AY7" s="1112">
        <f>SUM(AU7,AV7,AW7,AX7)</f>
        <v/>
      </c>
      <c r="AZ7" s="1053" t="n">
        <v>2760</v>
      </c>
      <c r="BA7" s="1053" t="n">
        <v>3061</v>
      </c>
      <c r="BB7" s="1053" t="n">
        <v>3221</v>
      </c>
      <c r="BC7" s="1053" t="n">
        <v>3420</v>
      </c>
      <c r="BD7" s="1112">
        <f>SUM(AZ7,BA7,BB7,BC7)</f>
        <v/>
      </c>
      <c r="BE7" s="1053" t="n">
        <v>3620</v>
      </c>
      <c r="BF7" s="1053" t="n">
        <v>2042</v>
      </c>
      <c r="BG7" s="1053" t="n">
        <v>1574</v>
      </c>
      <c r="BH7" s="1053" t="n">
        <v>1831</v>
      </c>
      <c r="BI7" s="1112">
        <f>SUM(BE7,BF7,BG7,BH7)</f>
        <v/>
      </c>
      <c r="BJ7" s="1053" t="n">
        <v>2240</v>
      </c>
      <c r="BK7" s="1053" t="n">
        <v>2486</v>
      </c>
      <c r="BL7" s="1053" t="n">
        <v>2856</v>
      </c>
      <c r="BM7" s="1053" t="n">
        <v>2865</v>
      </c>
      <c r="BN7" s="1112">
        <f>SUM(BJ7,BK7,BL7,BM7)</f>
        <v/>
      </c>
      <c r="BO7" s="1053" t="n">
        <v>2647</v>
      </c>
      <c r="BP7" s="1053" t="n">
        <v>2880</v>
      </c>
      <c r="BQ7" s="1053" t="n">
        <v>3279</v>
      </c>
      <c r="BR7" s="1053" t="n">
        <v>2544</v>
      </c>
      <c r="BS7" s="1112">
        <f>SUM(BO7,BP7,BQ7,BR7)</f>
        <v/>
      </c>
      <c r="BT7" s="1053" t="n">
        <v>3763</v>
      </c>
      <c r="BU7" s="1053" t="n">
        <v>4287</v>
      </c>
      <c r="BV7" s="1054" t="n">
        <v>4265</v>
      </c>
      <c r="BW7" s="68">
        <f>+BR7*(1+BW9)</f>
        <v/>
      </c>
      <c r="BX7" s="1110">
        <f>SUM(BT7,BU7,BV7,BW7)</f>
        <v/>
      </c>
      <c r="BY7" s="68">
        <f>+BT7*(1+BY9)</f>
        <v/>
      </c>
      <c r="BZ7" s="68">
        <f>+BU7*(1+BZ9)</f>
        <v/>
      </c>
      <c r="CA7" s="68">
        <f>+BV7*(1+CA9)</f>
        <v/>
      </c>
      <c r="CB7" s="68">
        <f>+BW7*(1+CB9)</f>
        <v/>
      </c>
      <c r="CC7" s="1110">
        <f>SUM(BY7,BZ7,CA7,CB7)</f>
        <v/>
      </c>
      <c r="CD7" s="1110">
        <f>+CC7*(1+CD9)</f>
        <v/>
      </c>
      <c r="CE7" s="1110">
        <f>+CD7*(1+CE9)</f>
        <v/>
      </c>
      <c r="CF7" s="1110">
        <f>+CE7*(1+CF9)</f>
        <v/>
      </c>
      <c r="CG7" s="155" t="n"/>
    </row>
    <row r="8">
      <c r="A8" s="640" t="inlineStr">
        <is>
          <t>Q/Q Gaming Revenue growth, %</t>
        </is>
      </c>
      <c r="B8" s="641" t="n"/>
      <c r="C8" s="1113" t="n"/>
      <c r="D8" s="1113" t="n"/>
      <c r="E8" s="1113" t="n"/>
      <c r="F8" s="1113" t="n"/>
      <c r="G8" s="90" t="n"/>
      <c r="H8" s="90" t="n"/>
      <c r="I8" s="90" t="n"/>
      <c r="J8" s="90" t="n"/>
      <c r="K8" s="1113" t="n"/>
      <c r="L8" s="90" t="n"/>
      <c r="M8" s="90" t="n"/>
      <c r="N8" s="90" t="n"/>
      <c r="O8" s="90" t="n"/>
      <c r="P8" s="1113" t="n"/>
      <c r="Q8" s="90" t="n"/>
      <c r="R8" s="366">
        <f>R7/Q7-1</f>
        <v/>
      </c>
      <c r="S8" s="366">
        <f>S7/R7-1</f>
        <v/>
      </c>
      <c r="T8" s="366">
        <f>T7/S7-1</f>
        <v/>
      </c>
      <c r="U8" s="1113" t="n"/>
      <c r="V8" s="366">
        <f>V7/T7-1</f>
        <v/>
      </c>
      <c r="W8" s="366">
        <f>W7/V7-1</f>
        <v/>
      </c>
      <c r="X8" s="366">
        <f>X7/W7-1</f>
        <v/>
      </c>
      <c r="Y8" s="366">
        <f>Y7/X7-1</f>
        <v/>
      </c>
      <c r="Z8" s="1113" t="n"/>
      <c r="AA8" s="366">
        <f>AA7/Y7-1</f>
        <v/>
      </c>
      <c r="AB8" s="366">
        <f>AB7/AA7-1</f>
        <v/>
      </c>
      <c r="AC8" s="366">
        <f>AC7/AB7-1</f>
        <v/>
      </c>
      <c r="AD8" s="366">
        <f>AD7/AC7-1</f>
        <v/>
      </c>
      <c r="AE8" s="1113" t="n"/>
      <c r="AF8" s="366">
        <f>AF7/AD7-1</f>
        <v/>
      </c>
      <c r="AG8" s="366">
        <f>AG7/AF7-1</f>
        <v/>
      </c>
      <c r="AH8" s="366">
        <f>AH7/AG7-1</f>
        <v/>
      </c>
      <c r="AI8" s="366">
        <f>AI7/AH7-1</f>
        <v/>
      </c>
      <c r="AJ8" s="1113" t="n"/>
      <c r="AK8" s="366">
        <f>AK7/AI7-1</f>
        <v/>
      </c>
      <c r="AL8" s="366">
        <f>AL7/AK7-1</f>
        <v/>
      </c>
      <c r="AM8" s="366">
        <f>AM7/AL7-1</f>
        <v/>
      </c>
      <c r="AN8" s="366">
        <f>AN7/AM7-1</f>
        <v/>
      </c>
      <c r="AO8" s="1113" t="n"/>
      <c r="AP8" s="366">
        <f>AP7/AN7-1</f>
        <v/>
      </c>
      <c r="AQ8" s="366">
        <f>AQ7/AP7-1</f>
        <v/>
      </c>
      <c r="AR8" s="366">
        <f>AR7/AQ7-1</f>
        <v/>
      </c>
      <c r="AS8" s="366">
        <f>AS7/AR7-1</f>
        <v/>
      </c>
      <c r="AT8" s="1113" t="n"/>
      <c r="AU8" s="366">
        <f>AU7/AS7-1</f>
        <v/>
      </c>
      <c r="AV8" s="366">
        <f>AV7/AU7-1</f>
        <v/>
      </c>
      <c r="AW8" s="366">
        <f>AW7/AV7-1</f>
        <v/>
      </c>
      <c r="AX8" s="366">
        <f>AX7/AW7-1</f>
        <v/>
      </c>
      <c r="AY8" s="1113" t="n"/>
      <c r="AZ8" s="366">
        <f>AZ7/AX7-1</f>
        <v/>
      </c>
      <c r="BA8" s="366">
        <f>BA7/AZ7-1</f>
        <v/>
      </c>
      <c r="BB8" s="366">
        <f>BB7/BA7-1</f>
        <v/>
      </c>
      <c r="BC8" s="366">
        <f>BC7/BB7-1</f>
        <v/>
      </c>
      <c r="BD8" s="1113" t="n"/>
      <c r="BE8" s="366">
        <f>BE7/BC7-1</f>
        <v/>
      </c>
      <c r="BF8" s="366">
        <f>BF7/BE7-1</f>
        <v/>
      </c>
      <c r="BG8" s="366">
        <f>BG7/BF7-1</f>
        <v/>
      </c>
      <c r="BH8" s="366">
        <f>BH7/BG7-1</f>
        <v/>
      </c>
      <c r="BI8" s="1113" t="n"/>
      <c r="BJ8" s="366">
        <f>BJ7/BH7-1</f>
        <v/>
      </c>
      <c r="BK8" s="366">
        <f>BK7/BJ7-1</f>
        <v/>
      </c>
      <c r="BL8" s="366">
        <f>BL7/BK7-1</f>
        <v/>
      </c>
      <c r="BM8" s="366">
        <f>BM7/BL7-1</f>
        <v/>
      </c>
      <c r="BN8" s="1113" t="n"/>
      <c r="BO8" s="366">
        <f>BO7/BM7-1</f>
        <v/>
      </c>
      <c r="BP8" s="366">
        <f>BP7/BO7-1</f>
        <v/>
      </c>
      <c r="BQ8" s="366">
        <f>BQ7/BP7-1</f>
        <v/>
      </c>
      <c r="BR8" s="366">
        <f>BR7/BQ7-1</f>
        <v/>
      </c>
      <c r="BS8" s="1113" t="n"/>
      <c r="BT8" s="366">
        <f>BT7/BR7-1</f>
        <v/>
      </c>
      <c r="BU8" s="366">
        <f>BU7/BT7-1</f>
        <v/>
      </c>
      <c r="BV8" s="878">
        <f>BV7/BU7-1</f>
        <v/>
      </c>
      <c r="BW8" s="90">
        <f>BW7/BV7-1</f>
        <v/>
      </c>
      <c r="BX8" s="1113" t="n"/>
      <c r="BY8" s="90">
        <f>BY7/BW7-1</f>
        <v/>
      </c>
      <c r="BZ8" s="90">
        <f>BZ7/BY7-1</f>
        <v/>
      </c>
      <c r="CA8" s="90">
        <f>CA7/BZ7-1</f>
        <v/>
      </c>
      <c r="CB8" s="90">
        <f>CB7/CA7-1</f>
        <v/>
      </c>
      <c r="CC8" s="1113" t="n"/>
      <c r="CD8" s="1113" t="n"/>
      <c r="CE8" s="1113" t="n"/>
      <c r="CF8" s="1113" t="n"/>
      <c r="CG8" s="155" t="n"/>
    </row>
    <row r="9">
      <c r="A9" s="669" t="inlineStr">
        <is>
          <t>Y/Y Gaming Revenue Growth, %</t>
        </is>
      </c>
      <c r="B9" s="582" t="n"/>
      <c r="C9" s="1114" t="n"/>
      <c r="D9" s="1114" t="n"/>
      <c r="E9" s="1114" t="n"/>
      <c r="F9" s="1114" t="n"/>
      <c r="G9" s="643" t="n"/>
      <c r="H9" s="643" t="n"/>
      <c r="I9" s="643" t="n"/>
      <c r="J9" s="643" t="n"/>
      <c r="K9" s="1114" t="n"/>
      <c r="L9" s="643" t="n"/>
      <c r="M9" s="643" t="n"/>
      <c r="N9" s="643" t="n"/>
      <c r="O9" s="643" t="n"/>
      <c r="P9" s="1114" t="n"/>
      <c r="Q9" s="643" t="n"/>
      <c r="R9" s="643" t="n"/>
      <c r="S9" s="643" t="n"/>
      <c r="T9" s="643" t="n"/>
      <c r="U9" s="1115">
        <f>+U7/P7-1</f>
        <v/>
      </c>
      <c r="V9" s="990">
        <f>+V7/Q7-1</f>
        <v/>
      </c>
      <c r="W9" s="990">
        <f>+W7/R7-1</f>
        <v/>
      </c>
      <c r="X9" s="990">
        <f>+X7/S7-1</f>
        <v/>
      </c>
      <c r="Y9" s="990">
        <f>+Y7/T7-1</f>
        <v/>
      </c>
      <c r="Z9" s="1115">
        <f>+Z7/U7-1</f>
        <v/>
      </c>
      <c r="AA9" s="990">
        <f>+AA7/V7-1</f>
        <v/>
      </c>
      <c r="AB9" s="990">
        <f>+AB7/W7-1</f>
        <v/>
      </c>
      <c r="AC9" s="990">
        <f>+AC7/X7-1</f>
        <v/>
      </c>
      <c r="AD9" s="990">
        <f>+AD7/Y7-1</f>
        <v/>
      </c>
      <c r="AE9" s="1115">
        <f>+AE7/Z7-1</f>
        <v/>
      </c>
      <c r="AF9" s="990">
        <f>+AF7/AA7-1</f>
        <v/>
      </c>
      <c r="AG9" s="990">
        <f>+AG7/AB7-1</f>
        <v/>
      </c>
      <c r="AH9" s="990">
        <f>+AH7/AC7-1</f>
        <v/>
      </c>
      <c r="AI9" s="990">
        <f>+AI7/AD7-1</f>
        <v/>
      </c>
      <c r="AJ9" s="1115">
        <f>+AJ7/AE7-1</f>
        <v/>
      </c>
      <c r="AK9" s="990">
        <f>+AK7/AF7-1</f>
        <v/>
      </c>
      <c r="AL9" s="990">
        <f>+AL7/AG7-1</f>
        <v/>
      </c>
      <c r="AM9" s="990">
        <f>+AM7/AH7-1</f>
        <v/>
      </c>
      <c r="AN9" s="990">
        <f>+AN7/AI7-1</f>
        <v/>
      </c>
      <c r="AO9" s="1115">
        <f>+AO7/AJ7-1</f>
        <v/>
      </c>
      <c r="AP9" s="990">
        <f>+AP7/AK7-1</f>
        <v/>
      </c>
      <c r="AQ9" s="990">
        <f>+AQ7/AL7-1</f>
        <v/>
      </c>
      <c r="AR9" s="990">
        <f>+AR7/AM7-1</f>
        <v/>
      </c>
      <c r="AS9" s="990">
        <f>+AS7/AN7-1</f>
        <v/>
      </c>
      <c r="AT9" s="1115">
        <f>+AT7/AO7-1</f>
        <v/>
      </c>
      <c r="AU9" s="990">
        <f>+AU7/AP7-1</f>
        <v/>
      </c>
      <c r="AV9" s="990">
        <f>+AV7/AQ7-1</f>
        <v/>
      </c>
      <c r="AW9" s="990">
        <f>+AW7/AR7-1</f>
        <v/>
      </c>
      <c r="AX9" s="990">
        <f>+AX7/AS7-1</f>
        <v/>
      </c>
      <c r="AY9" s="1115">
        <f>+AY7/AT7-1</f>
        <v/>
      </c>
      <c r="AZ9" s="990">
        <f>+AZ7/AU7-1</f>
        <v/>
      </c>
      <c r="BA9" s="990">
        <f>+BA7/AV7-1</f>
        <v/>
      </c>
      <c r="BB9" s="990">
        <f>+BB7/AW7-1</f>
        <v/>
      </c>
      <c r="BC9" s="990">
        <f>+BC7/AX7-1</f>
        <v/>
      </c>
      <c r="BD9" s="1115">
        <f>+BD7/AY7-1</f>
        <v/>
      </c>
      <c r="BE9" s="990">
        <f>+BE7/AZ7-1</f>
        <v/>
      </c>
      <c r="BF9" s="990">
        <f>+BF7/BA7-1</f>
        <v/>
      </c>
      <c r="BG9" s="990">
        <f>+BG7/BB7-1</f>
        <v/>
      </c>
      <c r="BH9" s="990">
        <f>+BH7/BC7-1</f>
        <v/>
      </c>
      <c r="BI9" s="1115">
        <f>+BI7/BD7-1</f>
        <v/>
      </c>
      <c r="BJ9" s="990">
        <f>+BJ7/BE7-1</f>
        <v/>
      </c>
      <c r="BK9" s="990">
        <f>+BK7/BF7-1</f>
        <v/>
      </c>
      <c r="BL9" s="990">
        <f>+BL7/BG7-1</f>
        <v/>
      </c>
      <c r="BM9" s="990">
        <f>+BM7/BH7-1</f>
        <v/>
      </c>
      <c r="BN9" s="1115">
        <f>+BN7/BI7-1</f>
        <v/>
      </c>
      <c r="BO9" s="990">
        <f>+BO7/BJ7-1</f>
        <v/>
      </c>
      <c r="BP9" s="990">
        <f>+BP7/BK7-1</f>
        <v/>
      </c>
      <c r="BQ9" s="990">
        <f>+BQ7/BL7-1</f>
        <v/>
      </c>
      <c r="BR9" s="990">
        <f>+BR7/BM7-1</f>
        <v/>
      </c>
      <c r="BS9" s="1115">
        <f>+BS7/BN7-1</f>
        <v/>
      </c>
      <c r="BT9" s="990">
        <f>+BT7/BO7-1</f>
        <v/>
      </c>
      <c r="BU9" s="990">
        <f>+BU7/BP7-1</f>
        <v/>
      </c>
      <c r="BV9" s="879">
        <f>+BV7/BQ7-1</f>
        <v/>
      </c>
      <c r="BW9" s="1055" t="n">
        <v>0.5</v>
      </c>
      <c r="BX9" s="1114">
        <f>+BX7/BS7-1</f>
        <v/>
      </c>
      <c r="BY9" s="1055" t="n">
        <v>0.5</v>
      </c>
      <c r="BZ9" s="1055" t="n">
        <v>0.3</v>
      </c>
      <c r="CA9" s="1055" t="n">
        <v>0.25</v>
      </c>
      <c r="CB9" s="1055" t="n">
        <v>0.2</v>
      </c>
      <c r="CC9" s="1114">
        <f>+CC7/BX7-1</f>
        <v/>
      </c>
      <c r="CD9" s="1116" t="n">
        <v>0.1</v>
      </c>
      <c r="CE9" s="1116" t="n">
        <v>0.1</v>
      </c>
      <c r="CF9" s="1116" t="n">
        <v>0.1</v>
      </c>
      <c r="CG9" s="155" t="n"/>
    </row>
    <row r="10" ht="7.25" customHeight="1">
      <c r="A10" s="99" t="n"/>
      <c r="B10" s="598" t="n"/>
      <c r="C10" s="1110" t="n"/>
      <c r="D10" s="1110" t="n"/>
      <c r="E10" s="1110" t="n"/>
      <c r="F10" s="1110" t="n"/>
      <c r="G10" s="68" t="n"/>
      <c r="H10" s="68" t="n"/>
      <c r="I10" s="68" t="n"/>
      <c r="J10" s="68" t="n"/>
      <c r="K10" s="1110" t="n"/>
      <c r="L10" s="68" t="n"/>
      <c r="M10" s="68" t="n"/>
      <c r="N10" s="68" t="n"/>
      <c r="O10" s="68" t="n"/>
      <c r="P10" s="1110" t="n"/>
      <c r="Q10" s="68" t="n"/>
      <c r="R10" s="68" t="n"/>
      <c r="S10" s="68" t="n"/>
      <c r="T10" s="68" t="n"/>
      <c r="U10" s="1110" t="n"/>
      <c r="V10" s="68" t="n"/>
      <c r="W10" s="68" t="n"/>
      <c r="X10" s="68" t="n"/>
      <c r="Y10" s="68" t="n"/>
      <c r="Z10" s="1110" t="n"/>
      <c r="AA10" s="68" t="n"/>
      <c r="AB10" s="68" t="n"/>
      <c r="AC10" s="68" t="n"/>
      <c r="AD10" s="68" t="n"/>
      <c r="AE10" s="1110" t="n"/>
      <c r="AF10" s="68" t="n"/>
      <c r="AG10" s="68" t="n"/>
      <c r="AH10" s="68" t="n"/>
      <c r="AI10" s="68" t="n"/>
      <c r="AJ10" s="1110" t="n"/>
      <c r="AK10" s="68" t="n"/>
      <c r="AL10" s="68" t="n"/>
      <c r="AM10" s="68" t="n"/>
      <c r="AN10" s="68" t="n"/>
      <c r="AO10" s="1110" t="n"/>
      <c r="AP10" s="68" t="n"/>
      <c r="AQ10" s="68" t="n"/>
      <c r="AR10" s="68" t="n"/>
      <c r="AS10" s="68" t="n"/>
      <c r="AT10" s="1110" t="n"/>
      <c r="AU10" s="68" t="n"/>
      <c r="AV10" s="68" t="n"/>
      <c r="AW10" s="68" t="n"/>
      <c r="AX10" s="68" t="n"/>
      <c r="AY10" s="1110" t="n"/>
      <c r="AZ10" s="68" t="n"/>
      <c r="BA10" s="68" t="n"/>
      <c r="BB10" s="68" t="n"/>
      <c r="BC10" s="68" t="n"/>
      <c r="BD10" s="1110" t="n"/>
      <c r="BE10" s="68" t="n"/>
      <c r="BF10" s="68" t="n"/>
      <c r="BG10" s="68" t="n"/>
      <c r="BH10" s="68" t="n"/>
      <c r="BI10" s="1110" t="n"/>
      <c r="BJ10" s="68" t="n"/>
      <c r="BK10" s="68" t="n"/>
      <c r="BL10" s="68" t="n"/>
      <c r="BM10" s="68" t="n"/>
      <c r="BN10" s="1110" t="n"/>
      <c r="BO10" s="68" t="n"/>
      <c r="BP10" s="68" t="n"/>
      <c r="BQ10" s="68" t="n"/>
      <c r="BR10" s="68" t="n"/>
      <c r="BS10" s="1110" t="n"/>
      <c r="BT10" s="68" t="n"/>
      <c r="BU10" s="68" t="n"/>
      <c r="BV10" s="588" t="n"/>
      <c r="BW10" s="68" t="n"/>
      <c r="BX10" s="1110" t="n"/>
      <c r="BY10" s="68" t="n"/>
      <c r="BZ10" s="68" t="n"/>
      <c r="CA10" s="68" t="n"/>
      <c r="CB10" s="68" t="n"/>
      <c r="CC10" s="1110" t="n"/>
      <c r="CD10" s="1110" t="n"/>
      <c r="CE10" s="1110" t="n"/>
      <c r="CF10" s="1110" t="n"/>
      <c r="CG10" s="155" t="n"/>
    </row>
    <row r="11">
      <c r="A11" s="67" t="inlineStr">
        <is>
          <t>Professional Visualization Revenue, mm</t>
        </is>
      </c>
      <c r="B11" s="598" t="n"/>
      <c r="C11" s="1110" t="n"/>
      <c r="D11" s="1110" t="n"/>
      <c r="E11" s="1110" t="n"/>
      <c r="F11" s="1110" t="n"/>
      <c r="G11" s="68" t="n"/>
      <c r="H11" s="68" t="n"/>
      <c r="I11" s="68" t="n"/>
      <c r="J11" s="68" t="n"/>
      <c r="K11" s="1110" t="n"/>
      <c r="L11" s="68" t="n"/>
      <c r="M11" s="68" t="n"/>
      <c r="N11" s="68" t="n"/>
      <c r="O11" s="68" t="n"/>
      <c r="P11" s="1111" t="n">
        <v>789</v>
      </c>
      <c r="Q11" s="1053" t="n">
        <v>191</v>
      </c>
      <c r="R11" s="1053" t="n">
        <v>208</v>
      </c>
      <c r="S11" s="1053" t="n">
        <v>206</v>
      </c>
      <c r="T11" s="27">
        <f>U11-SUM(Q11,R11,S11)</f>
        <v/>
      </c>
      <c r="U11" s="1111" t="n">
        <v>795</v>
      </c>
      <c r="V11" s="1053" t="n">
        <v>181</v>
      </c>
      <c r="W11" s="1053" t="n">
        <v>176</v>
      </c>
      <c r="X11" s="1053" t="n">
        <v>190</v>
      </c>
      <c r="Y11" s="27">
        <f>Z11-SUM(V11,W11,X11)</f>
        <v/>
      </c>
      <c r="Z11" s="1111" t="n">
        <v>750</v>
      </c>
      <c r="AA11" s="1053" t="n">
        <v>189</v>
      </c>
      <c r="AB11" s="1053" t="n">
        <v>214</v>
      </c>
      <c r="AC11" s="1053" t="n">
        <v>207</v>
      </c>
      <c r="AD11" s="27">
        <f>AE11-SUM(AA11,AB11,AC11)</f>
        <v/>
      </c>
      <c r="AE11" s="1111" t="n">
        <v>835</v>
      </c>
      <c r="AF11" s="1053" t="n">
        <v>205</v>
      </c>
      <c r="AG11" s="1053" t="n">
        <v>235</v>
      </c>
      <c r="AH11" s="1053" t="n">
        <v>239</v>
      </c>
      <c r="AI11" s="27">
        <f>AJ11-SUM(AF11,AG11,AH11)</f>
        <v/>
      </c>
      <c r="AJ11" s="1111" t="n">
        <v>934</v>
      </c>
      <c r="AK11" s="1053" t="n">
        <v>251</v>
      </c>
      <c r="AL11" s="1053" t="n">
        <v>281</v>
      </c>
      <c r="AM11" s="1053" t="n">
        <v>305</v>
      </c>
      <c r="AN11" s="1053" t="n">
        <v>293</v>
      </c>
      <c r="AO11" s="1112">
        <f>SUM(AK11,AL11,AM11,AN11)</f>
        <v/>
      </c>
      <c r="AP11" s="1053" t="n">
        <v>266</v>
      </c>
      <c r="AQ11" s="1053" t="n">
        <v>291</v>
      </c>
      <c r="AR11" s="1053" t="n">
        <v>324</v>
      </c>
      <c r="AS11" s="1053" t="n">
        <v>331</v>
      </c>
      <c r="AT11" s="1112">
        <f>SUM(AP11,AQ11,AR11,AS11)</f>
        <v/>
      </c>
      <c r="AU11" s="1053" t="n">
        <v>307</v>
      </c>
      <c r="AV11" s="1053" t="n">
        <v>203</v>
      </c>
      <c r="AW11" s="1053" t="n">
        <v>236</v>
      </c>
      <c r="AX11" s="1053" t="n">
        <v>307</v>
      </c>
      <c r="AY11" s="1112">
        <f>SUM(AU11,AV11,AW11,AX11)</f>
        <v/>
      </c>
      <c r="AZ11" s="1053" t="n">
        <v>372</v>
      </c>
      <c r="BA11" s="1053" t="n">
        <v>519</v>
      </c>
      <c r="BB11" s="1053" t="n">
        <v>577</v>
      </c>
      <c r="BC11" s="1053" t="n">
        <v>643</v>
      </c>
      <c r="BD11" s="1112">
        <f>SUM(AZ11,BA11,BB11,BC11)</f>
        <v/>
      </c>
      <c r="BE11" s="1053" t="n">
        <v>622</v>
      </c>
      <c r="BF11" s="1053" t="n">
        <v>496</v>
      </c>
      <c r="BG11" s="1053" t="n">
        <v>200</v>
      </c>
      <c r="BH11" s="1053" t="n">
        <v>226</v>
      </c>
      <c r="BI11" s="1112">
        <f>SUM(BE11,BF11,BG11,BH11)</f>
        <v/>
      </c>
      <c r="BJ11" s="1053" t="n">
        <v>295</v>
      </c>
      <c r="BK11" s="1053" t="n">
        <v>379</v>
      </c>
      <c r="BL11" s="1053" t="n">
        <v>416</v>
      </c>
      <c r="BM11" s="1053" t="n">
        <v>463</v>
      </c>
      <c r="BN11" s="1112">
        <f>SUM(BJ11,BK11,BL11,BM11)</f>
        <v/>
      </c>
      <c r="BO11" s="1053" t="n">
        <v>427</v>
      </c>
      <c r="BP11" s="1053" t="n">
        <v>454</v>
      </c>
      <c r="BQ11" s="1053" t="n">
        <v>486</v>
      </c>
      <c r="BR11" s="1053" t="n">
        <v>511</v>
      </c>
      <c r="BS11" s="1112">
        <f>SUM(BO11,BP11,BQ11,BR11)</f>
        <v/>
      </c>
      <c r="BT11" s="1053" t="n">
        <v>509</v>
      </c>
      <c r="BU11" s="1053" t="n">
        <v>601</v>
      </c>
      <c r="BV11" s="1054" t="n">
        <v>760</v>
      </c>
      <c r="BW11" s="68">
        <f>+BR11*(1+BW13)</f>
        <v/>
      </c>
      <c r="BX11" s="1110">
        <f>SUM(BT11,BU11,BV11,BW11)</f>
        <v/>
      </c>
      <c r="BY11" s="68">
        <f>+BT11*(1+BY13)</f>
        <v/>
      </c>
      <c r="BZ11" s="68">
        <f>+BU11*(1+BZ13)</f>
        <v/>
      </c>
      <c r="CA11" s="68">
        <f>+BV11*(1+CA13)</f>
        <v/>
      </c>
      <c r="CB11" s="68">
        <f>+BW11*(1+CB13)</f>
        <v/>
      </c>
      <c r="CC11" s="1110">
        <f>SUM(BY11,BZ11,CA11,CB11)</f>
        <v/>
      </c>
      <c r="CD11" s="1110">
        <f>+CC11*(1+CD13)</f>
        <v/>
      </c>
      <c r="CE11" s="1110">
        <f>+CD11*(1+CE13)</f>
        <v/>
      </c>
      <c r="CF11" s="1110">
        <f>+CE11*(1+CF13)</f>
        <v/>
      </c>
      <c r="CG11" s="155" t="n"/>
    </row>
    <row r="12">
      <c r="A12" s="640" t="inlineStr">
        <is>
          <t>Q/Q Professional Visualization Revenue growth, %</t>
        </is>
      </c>
      <c r="B12" s="641" t="n"/>
      <c r="C12" s="1113" t="n"/>
      <c r="D12" s="1113" t="n"/>
      <c r="E12" s="1113" t="n"/>
      <c r="F12" s="1113" t="n"/>
      <c r="G12" s="90" t="n"/>
      <c r="H12" s="90" t="n"/>
      <c r="I12" s="90" t="n"/>
      <c r="J12" s="90" t="n"/>
      <c r="K12" s="1113" t="n"/>
      <c r="L12" s="90" t="n"/>
      <c r="M12" s="90" t="n"/>
      <c r="N12" s="90" t="n"/>
      <c r="O12" s="90" t="n"/>
      <c r="P12" s="1113" t="n"/>
      <c r="Q12" s="90" t="n"/>
      <c r="R12" s="366">
        <f>R11/Q11-1</f>
        <v/>
      </c>
      <c r="S12" s="366">
        <f>S11/R11-1</f>
        <v/>
      </c>
      <c r="T12" s="366">
        <f>T11/S11-1</f>
        <v/>
      </c>
      <c r="U12" s="1113" t="n"/>
      <c r="V12" s="366">
        <f>V11/T11-1</f>
        <v/>
      </c>
      <c r="W12" s="366">
        <f>W11/V11-1</f>
        <v/>
      </c>
      <c r="X12" s="366">
        <f>X11/W11-1</f>
        <v/>
      </c>
      <c r="Y12" s="366">
        <f>Y11/X11-1</f>
        <v/>
      </c>
      <c r="Z12" s="1113" t="n"/>
      <c r="AA12" s="366">
        <f>AA11/Y11-1</f>
        <v/>
      </c>
      <c r="AB12" s="366">
        <f>AB11/AA11-1</f>
        <v/>
      </c>
      <c r="AC12" s="366">
        <f>AC11/AB11-1</f>
        <v/>
      </c>
      <c r="AD12" s="366">
        <f>AD11/AC11-1</f>
        <v/>
      </c>
      <c r="AE12" s="1113" t="n"/>
      <c r="AF12" s="366">
        <f>AF11/AD11-1</f>
        <v/>
      </c>
      <c r="AG12" s="366">
        <f>AG11/AF11-1</f>
        <v/>
      </c>
      <c r="AH12" s="366">
        <f>AH11/AG11-1</f>
        <v/>
      </c>
      <c r="AI12" s="366">
        <f>AI11/AH11-1</f>
        <v/>
      </c>
      <c r="AJ12" s="1113" t="n"/>
      <c r="AK12" s="366">
        <f>AK11/AI11-1</f>
        <v/>
      </c>
      <c r="AL12" s="366">
        <f>AL11/AK11-1</f>
        <v/>
      </c>
      <c r="AM12" s="366">
        <f>AM11/AL11-1</f>
        <v/>
      </c>
      <c r="AN12" s="366">
        <f>AN11/AM11-1</f>
        <v/>
      </c>
      <c r="AO12" s="1113" t="n"/>
      <c r="AP12" s="366">
        <f>AP11/AN11-1</f>
        <v/>
      </c>
      <c r="AQ12" s="366">
        <f>AQ11/AP11-1</f>
        <v/>
      </c>
      <c r="AR12" s="366">
        <f>AR11/AQ11-1</f>
        <v/>
      </c>
      <c r="AS12" s="366">
        <f>AS11/AR11-1</f>
        <v/>
      </c>
      <c r="AT12" s="1113" t="n"/>
      <c r="AU12" s="366">
        <f>AU11/AS11-1</f>
        <v/>
      </c>
      <c r="AV12" s="366">
        <f>AV11/AU11-1</f>
        <v/>
      </c>
      <c r="AW12" s="366">
        <f>AW11/AV11-1</f>
        <v/>
      </c>
      <c r="AX12" s="366">
        <f>AX11/AW11-1</f>
        <v/>
      </c>
      <c r="AY12" s="1113" t="n"/>
      <c r="AZ12" s="366">
        <f>AZ11/AX11-1</f>
        <v/>
      </c>
      <c r="BA12" s="366">
        <f>BA11/AZ11-1</f>
        <v/>
      </c>
      <c r="BB12" s="366">
        <f>BB11/BA11-1</f>
        <v/>
      </c>
      <c r="BC12" s="366">
        <f>BC11/BB11-1</f>
        <v/>
      </c>
      <c r="BD12" s="1113" t="n"/>
      <c r="BE12" s="366">
        <f>BE11/BC11-1</f>
        <v/>
      </c>
      <c r="BF12" s="366">
        <f>BF11/BE11-1</f>
        <v/>
      </c>
      <c r="BG12" s="366">
        <f>BG11/BF11-1</f>
        <v/>
      </c>
      <c r="BH12" s="366">
        <f>BH11/BG11-1</f>
        <v/>
      </c>
      <c r="BI12" s="1113" t="n"/>
      <c r="BJ12" s="366">
        <f>BJ11/BH11-1</f>
        <v/>
      </c>
      <c r="BK12" s="366">
        <f>BK11/BJ11-1</f>
        <v/>
      </c>
      <c r="BL12" s="366">
        <f>BL11/BK11-1</f>
        <v/>
      </c>
      <c r="BM12" s="366">
        <f>BM11/BL11-1</f>
        <v/>
      </c>
      <c r="BN12" s="1113" t="n"/>
      <c r="BO12" s="366">
        <f>BO11/BM11-1</f>
        <v/>
      </c>
      <c r="BP12" s="366">
        <f>BP11/BO11-1</f>
        <v/>
      </c>
      <c r="BQ12" s="366">
        <f>BQ11/BP11-1</f>
        <v/>
      </c>
      <c r="BR12" s="366">
        <f>BR11/BQ11-1</f>
        <v/>
      </c>
      <c r="BS12" s="1113" t="n"/>
      <c r="BT12" s="366">
        <f>BT11/BR11-1</f>
        <v/>
      </c>
      <c r="BU12" s="366">
        <f>BU11/BT11-1</f>
        <v/>
      </c>
      <c r="BV12" s="878">
        <f>BV11/BU11-1</f>
        <v/>
      </c>
      <c r="BW12" s="90">
        <f>BW11/BV11-1</f>
        <v/>
      </c>
      <c r="BX12" s="1113" t="n"/>
      <c r="BY12" s="90">
        <f>BY11/BW11-1</f>
        <v/>
      </c>
      <c r="BZ12" s="90">
        <f>BZ11/BY11-1</f>
        <v/>
      </c>
      <c r="CA12" s="90">
        <f>CA11/BZ11-1</f>
        <v/>
      </c>
      <c r="CB12" s="90">
        <f>CB11/CA11-1</f>
        <v/>
      </c>
      <c r="CC12" s="1113" t="n"/>
      <c r="CD12" s="1113" t="n"/>
      <c r="CE12" s="1113" t="n"/>
      <c r="CF12" s="1113" t="n"/>
      <c r="CG12" s="155" t="n"/>
    </row>
    <row r="13">
      <c r="A13" s="669" t="inlineStr">
        <is>
          <t>Y/Y Professional Visualization Revenue Growth, %</t>
        </is>
      </c>
      <c r="B13" s="582" t="n"/>
      <c r="C13" s="1114" t="n"/>
      <c r="D13" s="1114" t="n"/>
      <c r="E13" s="1114" t="n"/>
      <c r="F13" s="1114" t="n"/>
      <c r="G13" s="643" t="n"/>
      <c r="H13" s="643" t="n"/>
      <c r="I13" s="643" t="n"/>
      <c r="J13" s="643" t="n"/>
      <c r="K13" s="1114" t="n"/>
      <c r="L13" s="643" t="n"/>
      <c r="M13" s="643" t="n"/>
      <c r="N13" s="643" t="n"/>
      <c r="O13" s="643" t="n"/>
      <c r="P13" s="1114" t="n"/>
      <c r="Q13" s="643" t="n"/>
      <c r="R13" s="643" t="n"/>
      <c r="S13" s="643" t="n"/>
      <c r="T13" s="643" t="n"/>
      <c r="U13" s="1115">
        <f>+U11/P11-1</f>
        <v/>
      </c>
      <c r="V13" s="990">
        <f>+V11/Q11-1</f>
        <v/>
      </c>
      <c r="W13" s="990">
        <f>+W11/R11-1</f>
        <v/>
      </c>
      <c r="X13" s="990">
        <f>+X11/S11-1</f>
        <v/>
      </c>
      <c r="Y13" s="990">
        <f>+Y11/T11-1</f>
        <v/>
      </c>
      <c r="Z13" s="1115">
        <f>+Z11/U11-1</f>
        <v/>
      </c>
      <c r="AA13" s="990">
        <f>+AA11/V11-1</f>
        <v/>
      </c>
      <c r="AB13" s="990">
        <f>+AB11/W11-1</f>
        <v/>
      </c>
      <c r="AC13" s="990">
        <f>+AC11/X11-1</f>
        <v/>
      </c>
      <c r="AD13" s="990">
        <f>+AD11/Y11-1</f>
        <v/>
      </c>
      <c r="AE13" s="1115">
        <f>+AE11/Z11-1</f>
        <v/>
      </c>
      <c r="AF13" s="990">
        <f>+AF11/AA11-1</f>
        <v/>
      </c>
      <c r="AG13" s="990">
        <f>+AG11/AB11-1</f>
        <v/>
      </c>
      <c r="AH13" s="990">
        <f>+AH11/AC11-1</f>
        <v/>
      </c>
      <c r="AI13" s="990">
        <f>+AI11/AD11-1</f>
        <v/>
      </c>
      <c r="AJ13" s="1115">
        <f>+AJ11/AE11-1</f>
        <v/>
      </c>
      <c r="AK13" s="990">
        <f>+AK11/AF11-1</f>
        <v/>
      </c>
      <c r="AL13" s="990">
        <f>+AL11/AG11-1</f>
        <v/>
      </c>
      <c r="AM13" s="990">
        <f>+AM11/AH11-1</f>
        <v/>
      </c>
      <c r="AN13" s="990">
        <f>+AN11/AI11-1</f>
        <v/>
      </c>
      <c r="AO13" s="1115">
        <f>+AO11/AJ11-1</f>
        <v/>
      </c>
      <c r="AP13" s="990">
        <f>+AP11/AK11-1</f>
        <v/>
      </c>
      <c r="AQ13" s="990">
        <f>+AQ11/AL11-1</f>
        <v/>
      </c>
      <c r="AR13" s="990">
        <f>+AR11/AM11-1</f>
        <v/>
      </c>
      <c r="AS13" s="990">
        <f>+AS11/AN11-1</f>
        <v/>
      </c>
      <c r="AT13" s="1115">
        <f>+AT11/AO11-1</f>
        <v/>
      </c>
      <c r="AU13" s="990">
        <f>+AU11/AP11-1</f>
        <v/>
      </c>
      <c r="AV13" s="990">
        <f>+AV11/AQ11-1</f>
        <v/>
      </c>
      <c r="AW13" s="990">
        <f>+AW11/AR11-1</f>
        <v/>
      </c>
      <c r="AX13" s="990">
        <f>+AX11/AS11-1</f>
        <v/>
      </c>
      <c r="AY13" s="1115">
        <f>+AY11/AT11-1</f>
        <v/>
      </c>
      <c r="AZ13" s="990">
        <f>+AZ11/AU11-1</f>
        <v/>
      </c>
      <c r="BA13" s="990">
        <f>+BA11/AV11-1</f>
        <v/>
      </c>
      <c r="BB13" s="990">
        <f>+BB11/AW11-1</f>
        <v/>
      </c>
      <c r="BC13" s="990">
        <f>+BC11/AX11-1</f>
        <v/>
      </c>
      <c r="BD13" s="1115">
        <f>+BD11/AY11-1</f>
        <v/>
      </c>
      <c r="BE13" s="990">
        <f>+BE11/AZ11-1</f>
        <v/>
      </c>
      <c r="BF13" s="990">
        <f>+BF11/BA11-1</f>
        <v/>
      </c>
      <c r="BG13" s="990">
        <f>+BG11/BB11-1</f>
        <v/>
      </c>
      <c r="BH13" s="990">
        <f>+BH11/BC11-1</f>
        <v/>
      </c>
      <c r="BI13" s="1115">
        <f>+BI11/BD11-1</f>
        <v/>
      </c>
      <c r="BJ13" s="990">
        <f>+BJ11/BE11-1</f>
        <v/>
      </c>
      <c r="BK13" s="990">
        <f>+BK11/BF11-1</f>
        <v/>
      </c>
      <c r="BL13" s="990">
        <f>+BL11/BG11-1</f>
        <v/>
      </c>
      <c r="BM13" s="990">
        <f>+BM11/BH11-1</f>
        <v/>
      </c>
      <c r="BN13" s="1115">
        <f>+BN11/BI11-1</f>
        <v/>
      </c>
      <c r="BO13" s="990">
        <f>+BO11/BJ11-1</f>
        <v/>
      </c>
      <c r="BP13" s="990">
        <f>+BP11/BK11-1</f>
        <v/>
      </c>
      <c r="BQ13" s="990">
        <f>+BQ11/BL11-1</f>
        <v/>
      </c>
      <c r="BR13" s="990">
        <f>+BR11/BM11-1</f>
        <v/>
      </c>
      <c r="BS13" s="1115">
        <f>+BS11/BN11-1</f>
        <v/>
      </c>
      <c r="BT13" s="990">
        <f>+BT11/BO11-1</f>
        <v/>
      </c>
      <c r="BU13" s="990">
        <f>+BU11/BP11-1</f>
        <v/>
      </c>
      <c r="BV13" s="879">
        <f>+BV11/BQ11-1</f>
        <v/>
      </c>
      <c r="BW13" s="1055" t="n">
        <v>0.3</v>
      </c>
      <c r="BX13" s="1114">
        <f>+BX11/BS11-1</f>
        <v/>
      </c>
      <c r="BY13" s="1055" t="n">
        <v>0.05</v>
      </c>
      <c r="BZ13" s="1055" t="n">
        <v>0.05</v>
      </c>
      <c r="CA13" s="1055" t="n">
        <v>0.05</v>
      </c>
      <c r="CB13" s="1055" t="n">
        <v>0.05</v>
      </c>
      <c r="CC13" s="1114">
        <f>+CC11/BX11-1</f>
        <v/>
      </c>
      <c r="CD13" s="1116" t="n">
        <v>0.1</v>
      </c>
      <c r="CE13" s="1116" t="n">
        <v>0.1</v>
      </c>
      <c r="CF13" s="1116" t="n">
        <v>0.1</v>
      </c>
      <c r="CG13" s="155" t="n"/>
    </row>
    <row r="14" ht="7.25" customHeight="1">
      <c r="A14" s="99" t="n"/>
      <c r="B14" s="598" t="n"/>
      <c r="C14" s="1110" t="n"/>
      <c r="D14" s="1110" t="n"/>
      <c r="E14" s="1110" t="n"/>
      <c r="F14" s="1110" t="n"/>
      <c r="G14" s="68" t="n"/>
      <c r="H14" s="68" t="n"/>
      <c r="I14" s="68" t="n"/>
      <c r="J14" s="68" t="n"/>
      <c r="K14" s="1110" t="n"/>
      <c r="L14" s="68" t="n"/>
      <c r="M14" s="68" t="n"/>
      <c r="N14" s="68" t="n"/>
      <c r="O14" s="68" t="n"/>
      <c r="P14" s="1110" t="n"/>
      <c r="Q14" s="68" t="n"/>
      <c r="R14" s="68" t="n"/>
      <c r="S14" s="68" t="n"/>
      <c r="T14" s="68" t="n"/>
      <c r="U14" s="1110" t="n"/>
      <c r="V14" s="68" t="n"/>
      <c r="W14" s="68" t="n"/>
      <c r="X14" s="68" t="n"/>
      <c r="Y14" s="68" t="n"/>
      <c r="Z14" s="1110" t="n"/>
      <c r="AA14" s="68" t="n"/>
      <c r="AB14" s="68" t="n"/>
      <c r="AC14" s="68" t="n"/>
      <c r="AD14" s="68" t="n"/>
      <c r="AE14" s="1110" t="n"/>
      <c r="AF14" s="68" t="n"/>
      <c r="AG14" s="68" t="n"/>
      <c r="AH14" s="68" t="n"/>
      <c r="AI14" s="68" t="n"/>
      <c r="AJ14" s="1110" t="n"/>
      <c r="AK14" s="68" t="n"/>
      <c r="AL14" s="68" t="n"/>
      <c r="AM14" s="68" t="n"/>
      <c r="AN14" s="68" t="n"/>
      <c r="AO14" s="1110" t="n"/>
      <c r="AP14" s="68" t="n"/>
      <c r="AQ14" s="68" t="n"/>
      <c r="AR14" s="68" t="n"/>
      <c r="AS14" s="68" t="n"/>
      <c r="AT14" s="1110" t="n"/>
      <c r="AU14" s="68" t="n"/>
      <c r="AV14" s="68" t="n"/>
      <c r="AW14" s="68" t="n"/>
      <c r="AX14" s="68" t="n"/>
      <c r="AY14" s="1110" t="n"/>
      <c r="AZ14" s="68" t="n"/>
      <c r="BA14" s="68" t="n"/>
      <c r="BB14" s="68" t="n"/>
      <c r="BC14" s="68" t="n"/>
      <c r="BD14" s="1110" t="n"/>
      <c r="BE14" s="68" t="n"/>
      <c r="BF14" s="68" t="n"/>
      <c r="BG14" s="68" t="n"/>
      <c r="BH14" s="68" t="n"/>
      <c r="BI14" s="1110" t="n"/>
      <c r="BJ14" s="68" t="n"/>
      <c r="BK14" s="68" t="n"/>
      <c r="BL14" s="68" t="n"/>
      <c r="BM14" s="68" t="n"/>
      <c r="BN14" s="1110" t="n"/>
      <c r="BO14" s="68" t="n"/>
      <c r="BP14" s="68" t="n"/>
      <c r="BQ14" s="68" t="n"/>
      <c r="BR14" s="68" t="n"/>
      <c r="BS14" s="1110" t="n"/>
      <c r="BT14" s="68" t="n"/>
      <c r="BU14" s="68" t="n"/>
      <c r="BV14" s="588" t="n"/>
      <c r="BW14" s="68" t="n"/>
      <c r="BX14" s="1110" t="n"/>
      <c r="BY14" s="68" t="n"/>
      <c r="BZ14" s="68" t="n"/>
      <c r="CA14" s="68" t="n"/>
      <c r="CB14" s="68" t="n"/>
      <c r="CC14" s="1110" t="n"/>
      <c r="CD14" s="1110" t="n"/>
      <c r="CE14" s="1110" t="n"/>
      <c r="CF14" s="1110" t="n"/>
      <c r="CG14" s="155" t="n"/>
    </row>
    <row r="15" ht="14.5" customHeight="1">
      <c r="A15" s="572" t="inlineStr">
        <is>
          <t>Compute revenue, mm</t>
        </is>
      </c>
      <c r="B15" s="598" t="n"/>
      <c r="C15" s="1110" t="n"/>
      <c r="D15" s="1110" t="n"/>
      <c r="E15" s="1110" t="n"/>
      <c r="F15" s="1110" t="n"/>
      <c r="G15" s="68" t="n"/>
      <c r="H15" s="68" t="n"/>
      <c r="I15" s="68" t="n"/>
      <c r="J15" s="68" t="n"/>
      <c r="K15" s="1110" t="n"/>
      <c r="L15" s="68" t="n"/>
      <c r="M15" s="68" t="n"/>
      <c r="N15" s="68" t="n"/>
      <c r="O15" s="68" t="n"/>
      <c r="P15" s="1110" t="n"/>
      <c r="Q15" s="68" t="n"/>
      <c r="R15" s="68" t="n"/>
      <c r="S15" s="68" t="n"/>
      <c r="T15" s="68" t="n"/>
      <c r="U15" s="1110" t="n"/>
      <c r="V15" s="68" t="n"/>
      <c r="W15" s="68" t="n"/>
      <c r="X15" s="68" t="n"/>
      <c r="Y15" s="68" t="n"/>
      <c r="Z15" s="1110" t="n"/>
      <c r="AA15" s="68" t="n"/>
      <c r="AB15" s="68" t="n"/>
      <c r="AC15" s="68" t="n"/>
      <c r="AD15" s="68" t="n"/>
      <c r="AE15" s="1110" t="n"/>
      <c r="AF15" s="68" t="n"/>
      <c r="AG15" s="68" t="n"/>
      <c r="AH15" s="68" t="n"/>
      <c r="AI15" s="68" t="n"/>
      <c r="AJ15" s="1110" t="n"/>
      <c r="AK15" s="68" t="n"/>
      <c r="AL15" s="68" t="n"/>
      <c r="AM15" s="68" t="n"/>
      <c r="AN15" s="68" t="n"/>
      <c r="AO15" s="1110" t="n"/>
      <c r="AP15" s="68" t="n"/>
      <c r="AQ15" s="68" t="n"/>
      <c r="AR15" s="68" t="n"/>
      <c r="AS15" s="68" t="n"/>
      <c r="AT15" s="1110" t="n"/>
      <c r="AU15" s="68" t="n"/>
      <c r="AV15" s="68" t="n"/>
      <c r="AW15" s="68" t="n"/>
      <c r="AX15" s="68" t="n"/>
      <c r="AY15" s="1110" t="n"/>
      <c r="AZ15" s="68" t="n"/>
      <c r="BA15" s="68" t="n"/>
      <c r="BB15" s="68" t="n"/>
      <c r="BC15" s="68" t="n"/>
      <c r="BD15" s="1110" t="n"/>
      <c r="BE15" s="68" t="n"/>
      <c r="BF15" s="68" t="n"/>
      <c r="BG15" s="68" t="n"/>
      <c r="BH15" s="68" t="n"/>
      <c r="BI15" s="1110" t="n"/>
      <c r="BJ15" s="1053" t="n">
        <v>3357</v>
      </c>
      <c r="BK15" s="1053" t="n">
        <v>8612</v>
      </c>
      <c r="BL15" s="1053" t="n">
        <v>11908</v>
      </c>
      <c r="BM15" s="1053" t="n">
        <v>15073</v>
      </c>
      <c r="BN15" s="1111" t="n">
        <v>38950</v>
      </c>
      <c r="BO15" s="1053" t="n">
        <v>19392</v>
      </c>
      <c r="BP15" s="1053" t="n">
        <v>22604</v>
      </c>
      <c r="BQ15" s="1053" t="n">
        <v>27644</v>
      </c>
      <c r="BR15" s="68">
        <f>BS15-SUM(BO15,BP15,BQ15)</f>
        <v/>
      </c>
      <c r="BS15" s="1111" t="n">
        <v>102196</v>
      </c>
      <c r="BT15" s="1053" t="n">
        <v>34155</v>
      </c>
      <c r="BU15" s="1053" t="n">
        <v>33844</v>
      </c>
      <c r="BV15" s="1054" t="n">
        <v>43028</v>
      </c>
      <c r="BW15" s="68" t="n"/>
      <c r="BX15" s="1110" t="n"/>
      <c r="BY15" s="68" t="n"/>
      <c r="BZ15" s="68" t="n"/>
      <c r="CA15" s="68" t="n"/>
      <c r="CB15" s="68" t="n"/>
      <c r="CC15" s="1110" t="n"/>
      <c r="CD15" s="1110" t="n"/>
      <c r="CE15" s="1110" t="n"/>
      <c r="CF15" s="1110" t="n"/>
      <c r="CG15" s="155" t="n"/>
    </row>
    <row r="16" ht="14.5" customFormat="1" customHeight="1" s="956">
      <c r="A16" s="101" t="inlineStr">
        <is>
          <t>Q/Q Compute Revenue growth, %</t>
        </is>
      </c>
      <c r="B16" s="582" t="n"/>
      <c r="C16" s="1113" t="n"/>
      <c r="D16" s="1113" t="n"/>
      <c r="E16" s="1113" t="n"/>
      <c r="F16" s="1113" t="n"/>
      <c r="G16" s="90" t="n"/>
      <c r="H16" s="90" t="n"/>
      <c r="I16" s="90" t="n"/>
      <c r="J16" s="90" t="n"/>
      <c r="K16" s="1113" t="n"/>
      <c r="L16" s="90" t="n"/>
      <c r="M16" s="90" t="n"/>
      <c r="N16" s="90" t="n"/>
      <c r="O16" s="90" t="n"/>
      <c r="P16" s="1113" t="n"/>
      <c r="Q16" s="90" t="n"/>
      <c r="R16" s="90" t="n"/>
      <c r="S16" s="90" t="n"/>
      <c r="T16" s="90" t="n"/>
      <c r="U16" s="1113" t="n"/>
      <c r="V16" s="90" t="n"/>
      <c r="W16" s="90" t="n"/>
      <c r="X16" s="90" t="n"/>
      <c r="Y16" s="90" t="n"/>
      <c r="Z16" s="1113" t="n"/>
      <c r="AA16" s="90" t="n"/>
      <c r="AB16" s="90" t="n"/>
      <c r="AC16" s="90" t="n"/>
      <c r="AD16" s="90" t="n"/>
      <c r="AE16" s="1113" t="n"/>
      <c r="AF16" s="90" t="n"/>
      <c r="AG16" s="90" t="n"/>
      <c r="AH16" s="90" t="n"/>
      <c r="AI16" s="90" t="n"/>
      <c r="AJ16" s="1113" t="n"/>
      <c r="AK16" s="90" t="n"/>
      <c r="AL16" s="90" t="n"/>
      <c r="AM16" s="90" t="n"/>
      <c r="AN16" s="90" t="n"/>
      <c r="AO16" s="1113" t="n"/>
      <c r="AP16" s="90" t="n"/>
      <c r="AQ16" s="90" t="n"/>
      <c r="AR16" s="90" t="n"/>
      <c r="AS16" s="90" t="n"/>
      <c r="AT16" s="1113" t="n"/>
      <c r="AU16" s="90" t="n"/>
      <c r="AV16" s="90" t="n"/>
      <c r="AW16" s="90" t="n"/>
      <c r="AX16" s="90" t="n"/>
      <c r="AY16" s="1113" t="n"/>
      <c r="AZ16" s="90" t="n"/>
      <c r="BA16" s="90" t="n"/>
      <c r="BB16" s="90" t="n"/>
      <c r="BC16" s="90" t="n"/>
      <c r="BD16" s="1113" t="n"/>
      <c r="BE16" s="90" t="n"/>
      <c r="BF16" s="90" t="n"/>
      <c r="BG16" s="90" t="n"/>
      <c r="BH16" s="90" t="n"/>
      <c r="BI16" s="1113" t="n"/>
      <c r="BJ16" s="90" t="n"/>
      <c r="BK16" s="90">
        <f>BK15/BJ15-1</f>
        <v/>
      </c>
      <c r="BL16" s="90">
        <f>BL15/BK15-1</f>
        <v/>
      </c>
      <c r="BM16" s="90">
        <f>BM15/BL15-1</f>
        <v/>
      </c>
      <c r="BN16" s="1113" t="n"/>
      <c r="BO16" s="90">
        <f>BO15/BM15-1</f>
        <v/>
      </c>
      <c r="BP16" s="90">
        <f>BP15/BO15-1</f>
        <v/>
      </c>
      <c r="BQ16" s="90">
        <f>BQ15/BP15-1</f>
        <v/>
      </c>
      <c r="BR16" s="90">
        <f>BR15/BQ15-1</f>
        <v/>
      </c>
      <c r="BS16" s="1113" t="n"/>
      <c r="BT16" s="90">
        <f>BT15/BR15-1</f>
        <v/>
      </c>
      <c r="BU16" s="90">
        <f>BU15/BT15-1</f>
        <v/>
      </c>
      <c r="BV16" s="880">
        <f>BV15/BU15-1</f>
        <v/>
      </c>
      <c r="BW16" s="90" t="n"/>
      <c r="BX16" s="1113" t="n"/>
      <c r="BY16" s="90" t="n"/>
      <c r="BZ16" s="90" t="n"/>
      <c r="CA16" s="90" t="n"/>
      <c r="CB16" s="90" t="n"/>
      <c r="CC16" s="1113" t="n"/>
      <c r="CD16" s="1113" t="n"/>
      <c r="CE16" s="1113" t="n"/>
      <c r="CF16" s="1113" t="n"/>
      <c r="CG16" s="366" t="n"/>
    </row>
    <row r="17" ht="14.5" customFormat="1" customHeight="1" s="956">
      <c r="A17" s="101" t="inlineStr">
        <is>
          <t>Y/Y Compute Revenue Growth, %</t>
        </is>
      </c>
      <c r="B17" s="582" t="n"/>
      <c r="C17" s="1113" t="n"/>
      <c r="D17" s="1113" t="n"/>
      <c r="E17" s="1113" t="n"/>
      <c r="F17" s="1113" t="n"/>
      <c r="G17" s="90" t="n"/>
      <c r="H17" s="90" t="n"/>
      <c r="I17" s="90" t="n"/>
      <c r="J17" s="90" t="n"/>
      <c r="K17" s="1113" t="n"/>
      <c r="L17" s="90" t="n"/>
      <c r="M17" s="90" t="n"/>
      <c r="N17" s="90" t="n"/>
      <c r="O17" s="90" t="n"/>
      <c r="P17" s="1113" t="n"/>
      <c r="Q17" s="90" t="n"/>
      <c r="R17" s="90" t="n"/>
      <c r="S17" s="90" t="n"/>
      <c r="T17" s="90" t="n"/>
      <c r="U17" s="1113" t="n"/>
      <c r="V17" s="90" t="n"/>
      <c r="W17" s="90" t="n"/>
      <c r="X17" s="90" t="n"/>
      <c r="Y17" s="90" t="n"/>
      <c r="Z17" s="1113" t="n"/>
      <c r="AA17" s="90" t="n"/>
      <c r="AB17" s="90" t="n"/>
      <c r="AC17" s="90" t="n"/>
      <c r="AD17" s="90" t="n"/>
      <c r="AE17" s="1113" t="n"/>
      <c r="AF17" s="90" t="n"/>
      <c r="AG17" s="90" t="n"/>
      <c r="AH17" s="90" t="n"/>
      <c r="AI17" s="90" t="n"/>
      <c r="AJ17" s="1113" t="n"/>
      <c r="AK17" s="90" t="n"/>
      <c r="AL17" s="90" t="n"/>
      <c r="AM17" s="90" t="n"/>
      <c r="AN17" s="90" t="n"/>
      <c r="AO17" s="1113" t="n"/>
      <c r="AP17" s="90" t="n"/>
      <c r="AQ17" s="90" t="n"/>
      <c r="AR17" s="90" t="n"/>
      <c r="AS17" s="90" t="n"/>
      <c r="AT17" s="1113" t="n"/>
      <c r="AU17" s="90" t="n"/>
      <c r="AV17" s="90" t="n"/>
      <c r="AW17" s="90" t="n"/>
      <c r="AX17" s="90" t="n"/>
      <c r="AY17" s="1113" t="n"/>
      <c r="AZ17" s="90" t="n"/>
      <c r="BA17" s="90" t="n"/>
      <c r="BB17" s="90" t="n"/>
      <c r="BC17" s="90" t="n"/>
      <c r="BD17" s="1113" t="n"/>
      <c r="BE17" s="90" t="n"/>
      <c r="BF17" s="90" t="n"/>
      <c r="BG17" s="90" t="n"/>
      <c r="BH17" s="90" t="n"/>
      <c r="BI17" s="1113" t="n"/>
      <c r="BJ17" s="90" t="n"/>
      <c r="BK17" s="90" t="n"/>
      <c r="BL17" s="90" t="n"/>
      <c r="BM17" s="90" t="n"/>
      <c r="BN17" s="1113" t="n"/>
      <c r="BO17" s="90">
        <f>+BO15/BJ15-1</f>
        <v/>
      </c>
      <c r="BP17" s="90">
        <f>+BP15/BK15-1</f>
        <v/>
      </c>
      <c r="BQ17" s="90">
        <f>+BQ15/BL15-1</f>
        <v/>
      </c>
      <c r="BR17" s="90">
        <f>+BR15/BM15-1</f>
        <v/>
      </c>
      <c r="BS17" s="1113">
        <f>+BS15/BN15-1</f>
        <v/>
      </c>
      <c r="BT17" s="90">
        <f>+BT15/BO15-1</f>
        <v/>
      </c>
      <c r="BU17" s="90">
        <f>+BU15/BP15-1</f>
        <v/>
      </c>
      <c r="BV17" s="880">
        <f>+BV15/BQ15-1</f>
        <v/>
      </c>
      <c r="BW17" s="90" t="n"/>
      <c r="BX17" s="1113" t="n"/>
      <c r="BY17" s="90" t="n"/>
      <c r="BZ17" s="90" t="n"/>
      <c r="CA17" s="90" t="n"/>
      <c r="CB17" s="90" t="n"/>
      <c r="CC17" s="1113" t="n"/>
      <c r="CD17" s="1113" t="n"/>
      <c r="CE17" s="1113" t="n"/>
      <c r="CF17" s="1113" t="n"/>
      <c r="CG17" s="366" t="n"/>
    </row>
    <row r="18" ht="7.25" customFormat="1" customHeight="1" s="957">
      <c r="A18" s="102" t="n"/>
      <c r="B18" s="641" t="n"/>
      <c r="C18" s="1117" t="n"/>
      <c r="D18" s="1117" t="n"/>
      <c r="E18" s="1117" t="n"/>
      <c r="F18" s="1117" t="n"/>
      <c r="G18" s="76" t="n"/>
      <c r="H18" s="76" t="n"/>
      <c r="I18" s="76" t="n"/>
      <c r="J18" s="76" t="n"/>
      <c r="K18" s="1117" t="n"/>
      <c r="L18" s="76" t="n"/>
      <c r="M18" s="76" t="n"/>
      <c r="N18" s="76" t="n"/>
      <c r="O18" s="76" t="n"/>
      <c r="P18" s="1117" t="n"/>
      <c r="Q18" s="76" t="n"/>
      <c r="R18" s="76" t="n"/>
      <c r="S18" s="76" t="n"/>
      <c r="T18" s="76" t="n"/>
      <c r="U18" s="1117" t="n"/>
      <c r="V18" s="76" t="n"/>
      <c r="W18" s="76" t="n"/>
      <c r="X18" s="76" t="n"/>
      <c r="Y18" s="76" t="n"/>
      <c r="Z18" s="1117" t="n"/>
      <c r="AA18" s="76" t="n"/>
      <c r="AB18" s="76" t="n"/>
      <c r="AC18" s="76" t="n"/>
      <c r="AD18" s="76" t="n"/>
      <c r="AE18" s="1117" t="n"/>
      <c r="AF18" s="76" t="n"/>
      <c r="AG18" s="76" t="n"/>
      <c r="AH18" s="76" t="n"/>
      <c r="AI18" s="76" t="n"/>
      <c r="AJ18" s="1117" t="n"/>
      <c r="AK18" s="76" t="n"/>
      <c r="AL18" s="76" t="n"/>
      <c r="AM18" s="76" t="n"/>
      <c r="AN18" s="76" t="n"/>
      <c r="AO18" s="1117" t="n"/>
      <c r="AP18" s="76" t="n"/>
      <c r="AQ18" s="76" t="n"/>
      <c r="AR18" s="76" t="n"/>
      <c r="AS18" s="76" t="n"/>
      <c r="AT18" s="1117" t="n"/>
      <c r="AU18" s="76" t="n"/>
      <c r="AV18" s="76" t="n"/>
      <c r="AW18" s="76" t="n"/>
      <c r="AX18" s="76" t="n"/>
      <c r="AY18" s="1117" t="n"/>
      <c r="AZ18" s="76" t="n"/>
      <c r="BA18" s="76" t="n"/>
      <c r="BB18" s="76" t="n"/>
      <c r="BC18" s="76" t="n"/>
      <c r="BD18" s="1117" t="n"/>
      <c r="BE18" s="76" t="n"/>
      <c r="BF18" s="76" t="n"/>
      <c r="BG18" s="76" t="n"/>
      <c r="BH18" s="76" t="n"/>
      <c r="BI18" s="1117" t="n"/>
      <c r="BJ18" s="76" t="n"/>
      <c r="BK18" s="76" t="n"/>
      <c r="BL18" s="76" t="n"/>
      <c r="BM18" s="76" t="n"/>
      <c r="BN18" s="1117" t="n"/>
      <c r="BO18" s="76" t="n"/>
      <c r="BP18" s="76" t="n"/>
      <c r="BQ18" s="76" t="n"/>
      <c r="BR18" s="76" t="n"/>
      <c r="BS18" s="1117" t="n"/>
      <c r="BT18" s="76" t="n"/>
      <c r="BU18" s="76" t="n"/>
      <c r="BV18" s="881" t="n"/>
      <c r="BW18" s="76" t="n"/>
      <c r="BX18" s="1117" t="n"/>
      <c r="BY18" s="76" t="n"/>
      <c r="BZ18" s="76" t="n"/>
      <c r="CA18" s="76" t="n"/>
      <c r="CB18" s="76" t="n"/>
      <c r="CC18" s="1117" t="n"/>
      <c r="CD18" s="1117" t="n"/>
      <c r="CE18" s="1117" t="n"/>
      <c r="CF18" s="1117" t="n"/>
      <c r="CG18" s="791" t="n"/>
    </row>
    <row r="19" ht="14.5" customHeight="1">
      <c r="A19" s="572" t="inlineStr">
        <is>
          <t>Networking revenue, mm</t>
        </is>
      </c>
      <c r="B19" s="598" t="n"/>
      <c r="C19" s="1110" t="n"/>
      <c r="D19" s="1110" t="n"/>
      <c r="E19" s="1110" t="n"/>
      <c r="F19" s="1110" t="n"/>
      <c r="G19" s="68" t="n"/>
      <c r="H19" s="68" t="n"/>
      <c r="I19" s="68" t="n"/>
      <c r="J19" s="68" t="n"/>
      <c r="K19" s="1110" t="n"/>
      <c r="L19" s="68" t="n"/>
      <c r="M19" s="68" t="n"/>
      <c r="N19" s="68" t="n"/>
      <c r="O19" s="68" t="n"/>
      <c r="P19" s="1110" t="n"/>
      <c r="Q19" s="68" t="n"/>
      <c r="R19" s="68" t="n"/>
      <c r="S19" s="68" t="n"/>
      <c r="T19" s="68" t="n"/>
      <c r="U19" s="1110" t="n"/>
      <c r="V19" s="68" t="n"/>
      <c r="W19" s="68" t="n"/>
      <c r="X19" s="68" t="n"/>
      <c r="Y19" s="68" t="n"/>
      <c r="Z19" s="1110" t="n"/>
      <c r="AA19" s="68" t="n"/>
      <c r="AB19" s="68" t="n"/>
      <c r="AC19" s="68" t="n"/>
      <c r="AD19" s="68" t="n"/>
      <c r="AE19" s="1110" t="n"/>
      <c r="AF19" s="68" t="n"/>
      <c r="AG19" s="68" t="n"/>
      <c r="AH19" s="68" t="n"/>
      <c r="AI19" s="68" t="n"/>
      <c r="AJ19" s="1110" t="n"/>
      <c r="AK19" s="68" t="n"/>
      <c r="AL19" s="68" t="n"/>
      <c r="AM19" s="68" t="n"/>
      <c r="AN19" s="68" t="n"/>
      <c r="AO19" s="1110" t="n"/>
      <c r="AP19" s="68" t="n"/>
      <c r="AQ19" s="68" t="n"/>
      <c r="AR19" s="68" t="n"/>
      <c r="AS19" s="68" t="n"/>
      <c r="AT19" s="1110" t="n"/>
      <c r="AU19" s="68" t="n"/>
      <c r="AV19" s="68" t="n"/>
      <c r="AW19" s="68" t="n"/>
      <c r="AX19" s="68" t="n"/>
      <c r="AY19" s="1110" t="n"/>
      <c r="AZ19" s="68" t="n"/>
      <c r="BA19" s="68" t="n"/>
      <c r="BB19" s="68" t="n"/>
      <c r="BC19" s="68" t="n"/>
      <c r="BD19" s="1110" t="n"/>
      <c r="BE19" s="68" t="n"/>
      <c r="BF19" s="68" t="n"/>
      <c r="BG19" s="68" t="n"/>
      <c r="BH19" s="68" t="n"/>
      <c r="BI19" s="1110" t="n"/>
      <c r="BJ19" s="1053" t="n">
        <v>927</v>
      </c>
      <c r="BK19" s="1053" t="n">
        <v>1711</v>
      </c>
      <c r="BL19" s="1053" t="n">
        <v>2606</v>
      </c>
      <c r="BM19" s="1053" t="n">
        <v>3331</v>
      </c>
      <c r="BN19" s="1111" t="n">
        <v>8575</v>
      </c>
      <c r="BO19" s="1053" t="n">
        <v>3171</v>
      </c>
      <c r="BP19" s="1053" t="n">
        <v>3668</v>
      </c>
      <c r="BQ19" s="1053" t="n">
        <v>3127</v>
      </c>
      <c r="BR19" s="68">
        <f>BS19-SUM(BO19,BP19,BQ19)</f>
        <v/>
      </c>
      <c r="BS19" s="1111" t="n">
        <v>12990</v>
      </c>
      <c r="BT19" s="1053" t="n">
        <v>4957</v>
      </c>
      <c r="BU19" s="1053" t="n">
        <v>7252</v>
      </c>
      <c r="BV19" s="1054" t="n">
        <v>8187</v>
      </c>
      <c r="BW19" s="68" t="n"/>
      <c r="BX19" s="1110" t="n"/>
      <c r="BY19" s="68" t="n"/>
      <c r="BZ19" s="68" t="n"/>
      <c r="CA19" s="68" t="n"/>
      <c r="CB19" s="68" t="n"/>
      <c r="CC19" s="1110" t="n"/>
      <c r="CD19" s="1110" t="n"/>
      <c r="CE19" s="1110" t="n"/>
      <c r="CF19" s="1110" t="n"/>
      <c r="CG19" s="155" t="n"/>
    </row>
    <row r="20" ht="14.5" customFormat="1" customHeight="1" s="956">
      <c r="A20" s="101" t="inlineStr">
        <is>
          <t>Q/Q Networking Revenue growth, %</t>
        </is>
      </c>
      <c r="B20" s="582" t="n"/>
      <c r="C20" s="1113" t="n"/>
      <c r="D20" s="1113" t="n"/>
      <c r="E20" s="1113" t="n"/>
      <c r="F20" s="1113" t="n"/>
      <c r="G20" s="90" t="n"/>
      <c r="H20" s="90" t="n"/>
      <c r="I20" s="90" t="n"/>
      <c r="J20" s="90" t="n"/>
      <c r="K20" s="1113" t="n"/>
      <c r="L20" s="90" t="n"/>
      <c r="M20" s="90" t="n"/>
      <c r="N20" s="90" t="n"/>
      <c r="O20" s="90" t="n"/>
      <c r="P20" s="1113" t="n"/>
      <c r="Q20" s="90" t="n"/>
      <c r="R20" s="90" t="n"/>
      <c r="S20" s="90" t="n"/>
      <c r="T20" s="90" t="n"/>
      <c r="U20" s="1113" t="n"/>
      <c r="V20" s="90" t="n"/>
      <c r="W20" s="90" t="n"/>
      <c r="X20" s="90" t="n"/>
      <c r="Y20" s="90" t="n"/>
      <c r="Z20" s="1113" t="n"/>
      <c r="AA20" s="90" t="n"/>
      <c r="AB20" s="90" t="n"/>
      <c r="AC20" s="90" t="n"/>
      <c r="AD20" s="90" t="n"/>
      <c r="AE20" s="1113" t="n"/>
      <c r="AF20" s="90" t="n"/>
      <c r="AG20" s="90" t="n"/>
      <c r="AH20" s="90" t="n"/>
      <c r="AI20" s="90" t="n"/>
      <c r="AJ20" s="1113" t="n"/>
      <c r="AK20" s="90" t="n"/>
      <c r="AL20" s="90" t="n"/>
      <c r="AM20" s="90" t="n"/>
      <c r="AN20" s="90" t="n"/>
      <c r="AO20" s="1113" t="n"/>
      <c r="AP20" s="90" t="n"/>
      <c r="AQ20" s="90" t="n"/>
      <c r="AR20" s="90" t="n"/>
      <c r="AS20" s="90" t="n"/>
      <c r="AT20" s="1113" t="n"/>
      <c r="AU20" s="90" t="n"/>
      <c r="AV20" s="90" t="n"/>
      <c r="AW20" s="90" t="n"/>
      <c r="AX20" s="90" t="n"/>
      <c r="AY20" s="1113" t="n"/>
      <c r="AZ20" s="90" t="n"/>
      <c r="BA20" s="90" t="n"/>
      <c r="BB20" s="90" t="n"/>
      <c r="BC20" s="90" t="n"/>
      <c r="BD20" s="1113" t="n"/>
      <c r="BE20" s="90" t="n"/>
      <c r="BF20" s="90" t="n"/>
      <c r="BG20" s="90" t="n"/>
      <c r="BH20" s="90" t="n"/>
      <c r="BI20" s="1113" t="n"/>
      <c r="BJ20" s="90" t="n"/>
      <c r="BK20" s="90">
        <f>BK19/BJ19-1</f>
        <v/>
      </c>
      <c r="BL20" s="90">
        <f>BL19/BK19-1</f>
        <v/>
      </c>
      <c r="BM20" s="90">
        <f>BM19/BL19-1</f>
        <v/>
      </c>
      <c r="BN20" s="1113" t="n"/>
      <c r="BO20" s="90">
        <f>BO19/BM19-1</f>
        <v/>
      </c>
      <c r="BP20" s="90">
        <f>BP19/BO19-1</f>
        <v/>
      </c>
      <c r="BQ20" s="90">
        <f>BQ19/BP19-1</f>
        <v/>
      </c>
      <c r="BR20" s="90">
        <f>BR19/BQ19-1</f>
        <v/>
      </c>
      <c r="BS20" s="1113" t="n"/>
      <c r="BT20" s="90">
        <f>BT19/BR19-1</f>
        <v/>
      </c>
      <c r="BU20" s="90">
        <f>BU19/BT19-1</f>
        <v/>
      </c>
      <c r="BV20" s="880">
        <f>BV19/BU19-1</f>
        <v/>
      </c>
      <c r="BW20" s="90" t="n"/>
      <c r="BX20" s="1113" t="n"/>
      <c r="BY20" s="90" t="n"/>
      <c r="BZ20" s="90" t="n"/>
      <c r="CA20" s="90" t="n"/>
      <c r="CB20" s="90" t="n"/>
      <c r="CC20" s="1113" t="n"/>
      <c r="CD20" s="1113" t="n"/>
      <c r="CE20" s="1113" t="n"/>
      <c r="CF20" s="1113" t="n"/>
      <c r="CG20" s="366" t="n"/>
    </row>
    <row r="21" ht="14.5" customFormat="1" customHeight="1" s="956">
      <c r="A21" s="101" t="inlineStr">
        <is>
          <t>Y/Y Networking Revenue Growth, %</t>
        </is>
      </c>
      <c r="B21" s="582" t="n"/>
      <c r="C21" s="1113" t="n"/>
      <c r="D21" s="1113" t="n"/>
      <c r="E21" s="1113" t="n"/>
      <c r="F21" s="1113" t="n"/>
      <c r="G21" s="90" t="n"/>
      <c r="H21" s="90" t="n"/>
      <c r="I21" s="90" t="n"/>
      <c r="J21" s="90" t="n"/>
      <c r="K21" s="1113" t="n"/>
      <c r="L21" s="90" t="n"/>
      <c r="M21" s="90" t="n"/>
      <c r="N21" s="90" t="n"/>
      <c r="O21" s="90" t="n"/>
      <c r="P21" s="1113" t="n"/>
      <c r="Q21" s="90" t="n"/>
      <c r="R21" s="90" t="n"/>
      <c r="S21" s="90" t="n"/>
      <c r="T21" s="90" t="n"/>
      <c r="U21" s="1113" t="n"/>
      <c r="V21" s="90" t="n"/>
      <c r="W21" s="90" t="n"/>
      <c r="X21" s="90" t="n"/>
      <c r="Y21" s="90" t="n"/>
      <c r="Z21" s="1113" t="n"/>
      <c r="AA21" s="90" t="n"/>
      <c r="AB21" s="90" t="n"/>
      <c r="AC21" s="90" t="n"/>
      <c r="AD21" s="90" t="n"/>
      <c r="AE21" s="1113" t="n"/>
      <c r="AF21" s="90" t="n"/>
      <c r="AG21" s="90" t="n"/>
      <c r="AH21" s="90" t="n"/>
      <c r="AI21" s="90" t="n"/>
      <c r="AJ21" s="1113" t="n"/>
      <c r="AK21" s="90" t="n"/>
      <c r="AL21" s="90" t="n"/>
      <c r="AM21" s="90" t="n"/>
      <c r="AN21" s="90" t="n"/>
      <c r="AO21" s="1113" t="n"/>
      <c r="AP21" s="90" t="n"/>
      <c r="AQ21" s="90" t="n"/>
      <c r="AR21" s="90" t="n"/>
      <c r="AS21" s="90" t="n"/>
      <c r="AT21" s="1113" t="n"/>
      <c r="AU21" s="90" t="n"/>
      <c r="AV21" s="90" t="n"/>
      <c r="AW21" s="90" t="n"/>
      <c r="AX21" s="90" t="n"/>
      <c r="AY21" s="1113" t="n"/>
      <c r="AZ21" s="90" t="n"/>
      <c r="BA21" s="90" t="n"/>
      <c r="BB21" s="90" t="n"/>
      <c r="BC21" s="90" t="n"/>
      <c r="BD21" s="1113" t="n"/>
      <c r="BE21" s="90" t="n"/>
      <c r="BF21" s="90" t="n"/>
      <c r="BG21" s="90" t="n"/>
      <c r="BH21" s="90" t="n"/>
      <c r="BI21" s="1113" t="n"/>
      <c r="BJ21" s="90" t="n"/>
      <c r="BK21" s="90" t="n"/>
      <c r="BL21" s="90" t="n"/>
      <c r="BM21" s="90" t="n"/>
      <c r="BN21" s="1113" t="n"/>
      <c r="BO21" s="90">
        <f>+BO19/BJ19-1</f>
        <v/>
      </c>
      <c r="BP21" s="90">
        <f>+BP19/BK19-1</f>
        <v/>
      </c>
      <c r="BQ21" s="90">
        <f>+BQ19/BL19-1</f>
        <v/>
      </c>
      <c r="BR21" s="90">
        <f>+BR19/BM19-1</f>
        <v/>
      </c>
      <c r="BS21" s="1113">
        <f>+BS19/BN19-1</f>
        <v/>
      </c>
      <c r="BT21" s="90">
        <f>+BT19/BO19-1</f>
        <v/>
      </c>
      <c r="BU21" s="90">
        <f>+BU19/BP19-1</f>
        <v/>
      </c>
      <c r="BV21" s="880">
        <f>+BV19/BQ19-1</f>
        <v/>
      </c>
      <c r="BW21" s="90" t="n"/>
      <c r="BX21" s="1113" t="n"/>
      <c r="BY21" s="90" t="n"/>
      <c r="BZ21" s="90" t="n"/>
      <c r="CA21" s="90" t="n"/>
      <c r="CB21" s="90" t="n"/>
      <c r="CC21" s="1113" t="n"/>
      <c r="CD21" s="1113" t="n"/>
      <c r="CE21" s="1113" t="n"/>
      <c r="CF21" s="1113" t="n"/>
      <c r="CG21" s="366" t="n"/>
    </row>
    <row r="22">
      <c r="A22" s="559" t="inlineStr">
        <is>
          <t>Datacenter Revenue, mm</t>
        </is>
      </c>
      <c r="B22" s="876" t="n"/>
      <c r="C22" s="1118" t="n"/>
      <c r="D22" s="1118" t="n"/>
      <c r="E22" s="1118" t="n"/>
      <c r="F22" s="1118" t="n"/>
      <c r="G22" s="561" t="n"/>
      <c r="H22" s="561" t="n"/>
      <c r="I22" s="561" t="n"/>
      <c r="J22" s="561" t="n"/>
      <c r="K22" s="1118" t="n"/>
      <c r="L22" s="561" t="n"/>
      <c r="M22" s="561" t="n"/>
      <c r="N22" s="561" t="n"/>
      <c r="O22" s="561" t="n"/>
      <c r="P22" s="1119" t="n">
        <v>199</v>
      </c>
      <c r="Q22" s="1056" t="n">
        <v>57</v>
      </c>
      <c r="R22" s="1056" t="n">
        <v>83</v>
      </c>
      <c r="S22" s="1056" t="n">
        <v>89</v>
      </c>
      <c r="T22" s="560">
        <f>U22-SUM(Q22,R22,S22)</f>
        <v/>
      </c>
      <c r="U22" s="1119" t="n">
        <v>317</v>
      </c>
      <c r="V22" s="1056" t="n">
        <v>88</v>
      </c>
      <c r="W22" s="1056" t="n">
        <v>72</v>
      </c>
      <c r="X22" s="1056" t="n">
        <v>82</v>
      </c>
      <c r="Y22" s="560">
        <f>Z22-SUM(V22,W22,X22)</f>
        <v/>
      </c>
      <c r="Z22" s="1119" t="n">
        <v>339</v>
      </c>
      <c r="AA22" s="1056" t="n">
        <v>143</v>
      </c>
      <c r="AB22" s="1056" t="n">
        <v>151</v>
      </c>
      <c r="AC22" s="1056" t="n">
        <v>240</v>
      </c>
      <c r="AD22" s="560">
        <f>AE22-SUM(AA22,AB22,AC22)</f>
        <v/>
      </c>
      <c r="AE22" s="1119" t="n">
        <v>830</v>
      </c>
      <c r="AF22" s="1056" t="n">
        <v>409</v>
      </c>
      <c r="AG22" s="1056" t="n">
        <v>416</v>
      </c>
      <c r="AH22" s="1056" t="n">
        <v>501</v>
      </c>
      <c r="AI22" s="560">
        <f>AJ22-SUM(AF22,AG22,AH22)</f>
        <v/>
      </c>
      <c r="AJ22" s="1119" t="n">
        <v>1932</v>
      </c>
      <c r="AK22" s="1056" t="n">
        <v>701</v>
      </c>
      <c r="AL22" s="1056" t="n">
        <v>760</v>
      </c>
      <c r="AM22" s="1056" t="n">
        <v>792</v>
      </c>
      <c r="AN22" s="1056" t="n">
        <v>679</v>
      </c>
      <c r="AO22" s="1120">
        <f>SUM(AK22,AL22,AM22,AN22)</f>
        <v/>
      </c>
      <c r="AP22" s="1056" t="n">
        <v>634</v>
      </c>
      <c r="AQ22" s="1056" t="n">
        <v>655</v>
      </c>
      <c r="AR22" s="1056" t="n">
        <v>726</v>
      </c>
      <c r="AS22" s="1056" t="n">
        <v>968</v>
      </c>
      <c r="AT22" s="1120">
        <f>SUM(AP22,AQ22,AR22,AS22)</f>
        <v/>
      </c>
      <c r="AU22" s="1056" t="n">
        <v>1141</v>
      </c>
      <c r="AV22" s="1056" t="n">
        <v>1752</v>
      </c>
      <c r="AW22" s="1056" t="n">
        <v>1900</v>
      </c>
      <c r="AX22" s="1056" t="n">
        <v>1903</v>
      </c>
      <c r="AY22" s="1120">
        <f>SUM(AU22,AV22,AW22,AX22)</f>
        <v/>
      </c>
      <c r="AZ22" s="1056" t="n">
        <v>2048</v>
      </c>
      <c r="BA22" s="1056" t="n">
        <v>2366</v>
      </c>
      <c r="BB22" s="1056" t="n">
        <v>2936</v>
      </c>
      <c r="BC22" s="1056" t="n">
        <v>3263</v>
      </c>
      <c r="BD22" s="1120">
        <f>SUM(AZ22,BA22,BB22,BC22)</f>
        <v/>
      </c>
      <c r="BE22" s="1056" t="n">
        <v>3750</v>
      </c>
      <c r="BF22" s="1056" t="n">
        <v>3806</v>
      </c>
      <c r="BG22" s="1056" t="n">
        <v>3833</v>
      </c>
      <c r="BH22" s="1056" t="n">
        <v>3616</v>
      </c>
      <c r="BI22" s="1120">
        <f>SUM(BE22,BF22,BG22,BH22)</f>
        <v/>
      </c>
      <c r="BJ22" s="1056" t="n">
        <v>4284</v>
      </c>
      <c r="BK22" s="1056" t="n">
        <v>10323</v>
      </c>
      <c r="BL22" s="1056" t="n">
        <v>14514</v>
      </c>
      <c r="BM22" s="1056" t="n">
        <v>18404</v>
      </c>
      <c r="BN22" s="1120">
        <f>SUM(BJ22,BK22,BL22,BM22)</f>
        <v/>
      </c>
      <c r="BO22" s="1056" t="n">
        <v>22563</v>
      </c>
      <c r="BP22" s="1056" t="n">
        <v>26272</v>
      </c>
      <c r="BQ22" s="1056" t="n">
        <v>30771</v>
      </c>
      <c r="BR22" s="1056" t="n">
        <v>35580</v>
      </c>
      <c r="BS22" s="1120">
        <f>SUM(BO22,BP22,BQ22,BR22)</f>
        <v/>
      </c>
      <c r="BT22" s="1056" t="n">
        <v>39112</v>
      </c>
      <c r="BU22" s="1056" t="n">
        <v>41096</v>
      </c>
      <c r="BV22" s="1057" t="n">
        <v>51215</v>
      </c>
      <c r="BW22" s="561">
        <f>+BR22*(1+BW24)</f>
        <v/>
      </c>
      <c r="BX22" s="1118">
        <f>SUM(BT22,BU22,BV22,BW22)</f>
        <v/>
      </c>
      <c r="BY22" s="561">
        <f>+BT22*(1+BY24)</f>
        <v/>
      </c>
      <c r="BZ22" s="561">
        <f>+BU22*(1+BZ24)</f>
        <v/>
      </c>
      <c r="CA22" s="561">
        <f>+BV22*(1+CA24)</f>
        <v/>
      </c>
      <c r="CB22" s="561">
        <f>+BW22*(1+CB24)</f>
        <v/>
      </c>
      <c r="CC22" s="1118">
        <f>SUM(BY22,BZ22,CA22,CB22)</f>
        <v/>
      </c>
      <c r="CD22" s="1118">
        <f>+CC22*(1+CD24)</f>
        <v/>
      </c>
      <c r="CE22" s="1118">
        <f>+CD22*(1+CE24)</f>
        <v/>
      </c>
      <c r="CF22" s="1118">
        <f>+CE22*(1+CF24)</f>
        <v/>
      </c>
      <c r="CG22" s="155" t="n"/>
    </row>
    <row r="23">
      <c r="A23" s="640" t="inlineStr">
        <is>
          <t>Q/Q Datacenter Revenue growth, %</t>
        </is>
      </c>
      <c r="B23" s="641" t="n"/>
      <c r="C23" s="1113" t="n"/>
      <c r="D23" s="1113" t="n"/>
      <c r="E23" s="1113" t="n"/>
      <c r="F23" s="1113" t="n"/>
      <c r="G23" s="90" t="n"/>
      <c r="H23" s="90" t="n"/>
      <c r="I23" s="90" t="n"/>
      <c r="J23" s="90" t="n"/>
      <c r="K23" s="1113" t="n"/>
      <c r="L23" s="90" t="n"/>
      <c r="M23" s="90" t="n"/>
      <c r="N23" s="90" t="n"/>
      <c r="O23" s="90" t="n"/>
      <c r="P23" s="1113" t="n"/>
      <c r="Q23" s="90" t="n"/>
      <c r="R23" s="366">
        <f>R22/Q22-1</f>
        <v/>
      </c>
      <c r="S23" s="366">
        <f>S22/R22-1</f>
        <v/>
      </c>
      <c r="T23" s="366">
        <f>T22/S22-1</f>
        <v/>
      </c>
      <c r="U23" s="1113" t="n"/>
      <c r="V23" s="366">
        <f>V22/T22-1</f>
        <v/>
      </c>
      <c r="W23" s="366">
        <f>W22/V22-1</f>
        <v/>
      </c>
      <c r="X23" s="366">
        <f>X22/W22-1</f>
        <v/>
      </c>
      <c r="Y23" s="366">
        <f>Y22/X22-1</f>
        <v/>
      </c>
      <c r="Z23" s="1113" t="n"/>
      <c r="AA23" s="366">
        <f>AA22/Y22-1</f>
        <v/>
      </c>
      <c r="AB23" s="366">
        <f>AB22/AA22-1</f>
        <v/>
      </c>
      <c r="AC23" s="366">
        <f>AC22/AB22-1</f>
        <v/>
      </c>
      <c r="AD23" s="366">
        <f>AD22/AC22-1</f>
        <v/>
      </c>
      <c r="AE23" s="1113" t="n"/>
      <c r="AF23" s="366">
        <f>AF22/AD22-1</f>
        <v/>
      </c>
      <c r="AG23" s="366">
        <f>AG22/AF22-1</f>
        <v/>
      </c>
      <c r="AH23" s="366">
        <f>AH22/AG22-1</f>
        <v/>
      </c>
      <c r="AI23" s="366">
        <f>AI22/AH22-1</f>
        <v/>
      </c>
      <c r="AJ23" s="1113" t="n"/>
      <c r="AK23" s="366">
        <f>AK22/AI22-1</f>
        <v/>
      </c>
      <c r="AL23" s="366">
        <f>AL22/AK22-1</f>
        <v/>
      </c>
      <c r="AM23" s="366">
        <f>AM22/AL22-1</f>
        <v/>
      </c>
      <c r="AN23" s="366">
        <f>AN22/AM22-1</f>
        <v/>
      </c>
      <c r="AO23" s="1113" t="n"/>
      <c r="AP23" s="366">
        <f>AP22/AN22-1</f>
        <v/>
      </c>
      <c r="AQ23" s="366">
        <f>AQ22/AP22-1</f>
        <v/>
      </c>
      <c r="AR23" s="366">
        <f>AR22/AQ22-1</f>
        <v/>
      </c>
      <c r="AS23" s="366">
        <f>AS22/AR22-1</f>
        <v/>
      </c>
      <c r="AT23" s="1113" t="n"/>
      <c r="AU23" s="366">
        <f>AU22/AS22-1</f>
        <v/>
      </c>
      <c r="AV23" s="366">
        <f>AV22/AU22-1</f>
        <v/>
      </c>
      <c r="AW23" s="366">
        <f>AW22/AV22-1</f>
        <v/>
      </c>
      <c r="AX23" s="366">
        <f>AX22/AW22-1</f>
        <v/>
      </c>
      <c r="AY23" s="1113" t="n"/>
      <c r="AZ23" s="366">
        <f>AZ22/AX22-1</f>
        <v/>
      </c>
      <c r="BA23" s="366">
        <f>BA22/AZ22-1</f>
        <v/>
      </c>
      <c r="BB23" s="366">
        <f>BB22/BA22-1</f>
        <v/>
      </c>
      <c r="BC23" s="366">
        <f>BC22/BB22-1</f>
        <v/>
      </c>
      <c r="BD23" s="1113" t="n"/>
      <c r="BE23" s="366">
        <f>BE22/BC22-1</f>
        <v/>
      </c>
      <c r="BF23" s="366">
        <f>BF22/BE22-1</f>
        <v/>
      </c>
      <c r="BG23" s="366">
        <f>BG22/BF22-1</f>
        <v/>
      </c>
      <c r="BH23" s="366">
        <f>BH22/BG22-1</f>
        <v/>
      </c>
      <c r="BI23" s="1113" t="n"/>
      <c r="BJ23" s="366">
        <f>BJ22/BH22-1</f>
        <v/>
      </c>
      <c r="BK23" s="366">
        <f>BK22/BJ22-1</f>
        <v/>
      </c>
      <c r="BL23" s="366">
        <f>BL22/BK22-1</f>
        <v/>
      </c>
      <c r="BM23" s="366">
        <f>BM22/BL22-1</f>
        <v/>
      </c>
      <c r="BN23" s="1113" t="n"/>
      <c r="BO23" s="366">
        <f>BO22/BM22-1</f>
        <v/>
      </c>
      <c r="BP23" s="366">
        <f>BP22/BO22-1</f>
        <v/>
      </c>
      <c r="BQ23" s="366">
        <f>BQ22/BP22-1</f>
        <v/>
      </c>
      <c r="BR23" s="366">
        <f>BR22/BQ22-1</f>
        <v/>
      </c>
      <c r="BS23" s="1113" t="n"/>
      <c r="BT23" s="366">
        <f>BT22/BR22-1</f>
        <v/>
      </c>
      <c r="BU23" s="366">
        <f>BU22/BT22-1</f>
        <v/>
      </c>
      <c r="BV23" s="878">
        <f>BV22/BU22-1</f>
        <v/>
      </c>
      <c r="BW23" s="90">
        <f>BW22/BV22-1</f>
        <v/>
      </c>
      <c r="BX23" s="1113" t="n"/>
      <c r="BY23" s="90">
        <f>BY22/BW22-1</f>
        <v/>
      </c>
      <c r="BZ23" s="90">
        <f>BZ22/BY22-1</f>
        <v/>
      </c>
      <c r="CA23" s="90">
        <f>CA22/BZ22-1</f>
        <v/>
      </c>
      <c r="CB23" s="90">
        <f>CB22/CA22-1</f>
        <v/>
      </c>
      <c r="CC23" s="1113" t="n"/>
      <c r="CD23" s="1113" t="n"/>
      <c r="CE23" s="1113" t="n"/>
      <c r="CF23" s="1113" t="n"/>
      <c r="CG23" s="155" t="n"/>
    </row>
    <row r="24">
      <c r="A24" s="669" t="inlineStr">
        <is>
          <t>Y/Y Datacenter Revenue Growth, %</t>
        </is>
      </c>
      <c r="B24" s="582" t="n"/>
      <c r="C24" s="1114" t="n"/>
      <c r="D24" s="1114" t="n"/>
      <c r="E24" s="1114" t="n"/>
      <c r="F24" s="1114" t="n"/>
      <c r="G24" s="643" t="n"/>
      <c r="H24" s="643" t="n"/>
      <c r="I24" s="643" t="n"/>
      <c r="J24" s="643" t="n"/>
      <c r="K24" s="1114" t="n"/>
      <c r="L24" s="643" t="n"/>
      <c r="M24" s="643" t="n"/>
      <c r="N24" s="643" t="n"/>
      <c r="O24" s="643" t="n"/>
      <c r="P24" s="1114" t="n"/>
      <c r="Q24" s="643" t="n"/>
      <c r="R24" s="643" t="n"/>
      <c r="S24" s="643" t="n"/>
      <c r="T24" s="643" t="n"/>
      <c r="U24" s="1115">
        <f>+U22/P22-1</f>
        <v/>
      </c>
      <c r="V24" s="990">
        <f>+V22/Q22-1</f>
        <v/>
      </c>
      <c r="W24" s="990">
        <f>+W22/R22-1</f>
        <v/>
      </c>
      <c r="X24" s="990">
        <f>+X22/S22-1</f>
        <v/>
      </c>
      <c r="Y24" s="990">
        <f>+Y22/T22-1</f>
        <v/>
      </c>
      <c r="Z24" s="1115">
        <f>+Z22/U22-1</f>
        <v/>
      </c>
      <c r="AA24" s="990">
        <f>+AA22/V22-1</f>
        <v/>
      </c>
      <c r="AB24" s="990">
        <f>+AB22/W22-1</f>
        <v/>
      </c>
      <c r="AC24" s="990">
        <f>+AC22/X22-1</f>
        <v/>
      </c>
      <c r="AD24" s="990">
        <f>+AD22/Y22-1</f>
        <v/>
      </c>
      <c r="AE24" s="1115">
        <f>+AE22/Z22-1</f>
        <v/>
      </c>
      <c r="AF24" s="990">
        <f>+AF22/AA22-1</f>
        <v/>
      </c>
      <c r="AG24" s="990">
        <f>+AG22/AB22-1</f>
        <v/>
      </c>
      <c r="AH24" s="990">
        <f>+AH22/AC22-1</f>
        <v/>
      </c>
      <c r="AI24" s="990">
        <f>+AI22/AD22-1</f>
        <v/>
      </c>
      <c r="AJ24" s="1115">
        <f>+AJ22/AE22-1</f>
        <v/>
      </c>
      <c r="AK24" s="990">
        <f>+AK22/AF22-1</f>
        <v/>
      </c>
      <c r="AL24" s="990">
        <f>+AL22/AG22-1</f>
        <v/>
      </c>
      <c r="AM24" s="990">
        <f>+AM22/AH22-1</f>
        <v/>
      </c>
      <c r="AN24" s="990">
        <f>+AN22/AI22-1</f>
        <v/>
      </c>
      <c r="AO24" s="1115">
        <f>+AO22/AJ22-1</f>
        <v/>
      </c>
      <c r="AP24" s="990">
        <f>+AP22/AK22-1</f>
        <v/>
      </c>
      <c r="AQ24" s="990">
        <f>+AQ22/AL22-1</f>
        <v/>
      </c>
      <c r="AR24" s="990">
        <f>+AR22/AM22-1</f>
        <v/>
      </c>
      <c r="AS24" s="990">
        <f>+AS22/AN22-1</f>
        <v/>
      </c>
      <c r="AT24" s="1115">
        <f>+AT22/AO22-1</f>
        <v/>
      </c>
      <c r="AU24" s="990">
        <f>+AU22/AP22-1</f>
        <v/>
      </c>
      <c r="AV24" s="990">
        <f>+AV22/AQ22-1</f>
        <v/>
      </c>
      <c r="AW24" s="990">
        <f>+AW22/AR22-1</f>
        <v/>
      </c>
      <c r="AX24" s="990">
        <f>+AX22/AS22-1</f>
        <v/>
      </c>
      <c r="AY24" s="1115">
        <f>+AY22/AT22-1</f>
        <v/>
      </c>
      <c r="AZ24" s="990">
        <f>+AZ22/AU22-1</f>
        <v/>
      </c>
      <c r="BA24" s="990">
        <f>+BA22/AV22-1</f>
        <v/>
      </c>
      <c r="BB24" s="990">
        <f>+BB22/AW22-1</f>
        <v/>
      </c>
      <c r="BC24" s="990">
        <f>+BC22/AX22-1</f>
        <v/>
      </c>
      <c r="BD24" s="1115">
        <f>+BD22/AY22-1</f>
        <v/>
      </c>
      <c r="BE24" s="990">
        <f>+BE22/AZ22-1</f>
        <v/>
      </c>
      <c r="BF24" s="990">
        <f>+BF22/BA22-1</f>
        <v/>
      </c>
      <c r="BG24" s="990">
        <f>+BG22/BB22-1</f>
        <v/>
      </c>
      <c r="BH24" s="990">
        <f>+BH22/BC22-1</f>
        <v/>
      </c>
      <c r="BI24" s="1115">
        <f>+BI22/BD22-1</f>
        <v/>
      </c>
      <c r="BJ24" s="990">
        <f>+BJ22/BE22-1</f>
        <v/>
      </c>
      <c r="BK24" s="990">
        <f>+BK22/BF22-1</f>
        <v/>
      </c>
      <c r="BL24" s="990">
        <f>+BL22/BG22-1</f>
        <v/>
      </c>
      <c r="BM24" s="990">
        <f>+BM22/BH22-1</f>
        <v/>
      </c>
      <c r="BN24" s="1115">
        <f>+BN22/BI22-1</f>
        <v/>
      </c>
      <c r="BO24" s="990">
        <f>+BO22/BJ22-1</f>
        <v/>
      </c>
      <c r="BP24" s="990">
        <f>+BP22/BK22-1</f>
        <v/>
      </c>
      <c r="BQ24" s="990">
        <f>+BQ22/BL22-1</f>
        <v/>
      </c>
      <c r="BR24" s="990">
        <f>+BR22/BM22-1</f>
        <v/>
      </c>
      <c r="BS24" s="1115">
        <f>+BS22/BN22-1</f>
        <v/>
      </c>
      <c r="BT24" s="990">
        <f>+BT22/BO22-1</f>
        <v/>
      </c>
      <c r="BU24" s="990">
        <f>+BU22/BP22-1</f>
        <v/>
      </c>
      <c r="BV24" s="879">
        <f>+BV22/BQ22-1</f>
        <v/>
      </c>
      <c r="BW24" s="1055" t="n">
        <v>0.67</v>
      </c>
      <c r="BX24" s="1114">
        <f>+BX22/BS22-1</f>
        <v/>
      </c>
      <c r="BY24" s="1055" t="n">
        <v>0.5</v>
      </c>
      <c r="BZ24" s="1055" t="n">
        <v>0.5</v>
      </c>
      <c r="CA24" s="1055" t="n">
        <v>0.35</v>
      </c>
      <c r="CB24" s="1055" t="n">
        <v>0.3</v>
      </c>
      <c r="CC24" s="1114">
        <f>+CC22/BX22-1</f>
        <v/>
      </c>
      <c r="CD24" s="1116" t="n">
        <v>0.25</v>
      </c>
      <c r="CE24" s="1116" t="n">
        <v>0.2</v>
      </c>
      <c r="CF24" s="1116" t="n">
        <v>0.18</v>
      </c>
      <c r="CG24" s="155" t="n"/>
    </row>
    <row r="25" ht="7.25" customHeight="1">
      <c r="A25" s="99" t="n"/>
      <c r="B25" s="598" t="n"/>
      <c r="C25" s="1110" t="n"/>
      <c r="D25" s="1110" t="n"/>
      <c r="E25" s="1110" t="n"/>
      <c r="F25" s="1110" t="n"/>
      <c r="G25" s="68" t="n"/>
      <c r="H25" s="68" t="n"/>
      <c r="I25" s="68" t="n"/>
      <c r="J25" s="68" t="n"/>
      <c r="K25" s="1110" t="n"/>
      <c r="L25" s="68" t="n"/>
      <c r="M25" s="68" t="n"/>
      <c r="N25" s="68" t="n"/>
      <c r="O25" s="68" t="n"/>
      <c r="P25" s="1110" t="n"/>
      <c r="Q25" s="68" t="n"/>
      <c r="R25" s="68" t="n"/>
      <c r="S25" s="68" t="n"/>
      <c r="T25" s="68" t="n"/>
      <c r="U25" s="1110" t="n"/>
      <c r="V25" s="68" t="n"/>
      <c r="W25" s="68" t="n"/>
      <c r="X25" s="68" t="n"/>
      <c r="Y25" s="68" t="n"/>
      <c r="Z25" s="1110" t="n"/>
      <c r="AA25" s="68" t="n"/>
      <c r="AB25" s="68" t="n"/>
      <c r="AC25" s="68" t="n"/>
      <c r="AD25" s="68" t="n"/>
      <c r="AE25" s="1110" t="n"/>
      <c r="AF25" s="68" t="n"/>
      <c r="AG25" s="68" t="n"/>
      <c r="AH25" s="68" t="n"/>
      <c r="AI25" s="68" t="n"/>
      <c r="AJ25" s="1110" t="n"/>
      <c r="AK25" s="68" t="n"/>
      <c r="AL25" s="68" t="n"/>
      <c r="AM25" s="68" t="n"/>
      <c r="AN25" s="68" t="n"/>
      <c r="AO25" s="1110" t="n"/>
      <c r="AP25" s="68" t="n"/>
      <c r="AQ25" s="68" t="n"/>
      <c r="AR25" s="68" t="n"/>
      <c r="AS25" s="68" t="n"/>
      <c r="AT25" s="1110" t="n"/>
      <c r="AU25" s="68" t="n"/>
      <c r="AV25" s="68" t="n"/>
      <c r="AW25" s="68" t="n"/>
      <c r="AX25" s="68" t="n"/>
      <c r="AY25" s="1110" t="n"/>
      <c r="AZ25" s="68" t="n"/>
      <c r="BA25" s="68" t="n"/>
      <c r="BB25" s="68" t="n"/>
      <c r="BC25" s="68" t="n"/>
      <c r="BD25" s="1110" t="n"/>
      <c r="BE25" s="68" t="n"/>
      <c r="BF25" s="68" t="n"/>
      <c r="BG25" s="68" t="n"/>
      <c r="BH25" s="68" t="n"/>
      <c r="BI25" s="1110" t="n"/>
      <c r="BJ25" s="68" t="n"/>
      <c r="BK25" s="68" t="n"/>
      <c r="BL25" s="68" t="n"/>
      <c r="BM25" s="68" t="n"/>
      <c r="BN25" s="1110" t="n"/>
      <c r="BO25" s="68" t="n"/>
      <c r="BP25" s="68" t="n"/>
      <c r="BQ25" s="68" t="n"/>
      <c r="BR25" s="68" t="n"/>
      <c r="BS25" s="1110" t="n"/>
      <c r="BT25" s="68" t="n"/>
      <c r="BU25" s="68" t="n"/>
      <c r="BV25" s="588" t="n"/>
      <c r="BW25" s="68" t="n"/>
      <c r="BX25" s="1110" t="n"/>
      <c r="BY25" s="68" t="n"/>
      <c r="BZ25" s="68" t="n"/>
      <c r="CA25" s="68" t="n"/>
      <c r="CB25" s="68" t="n"/>
      <c r="CC25" s="1110" t="n"/>
      <c r="CD25" s="1110" t="n"/>
      <c r="CE25" s="1110" t="n"/>
      <c r="CF25" s="1110" t="n"/>
      <c r="CG25" s="155" t="n"/>
    </row>
    <row r="26">
      <c r="A26" s="67" t="inlineStr">
        <is>
          <t>Automotive Revenue, mm</t>
        </is>
      </c>
      <c r="B26" s="598" t="n"/>
      <c r="C26" s="1110" t="n"/>
      <c r="D26" s="1110" t="n"/>
      <c r="E26" s="1110" t="n"/>
      <c r="F26" s="1110" t="n"/>
      <c r="G26" s="68" t="n"/>
      <c r="H26" s="68" t="n"/>
      <c r="I26" s="68" t="n"/>
      <c r="J26" s="68" t="n"/>
      <c r="K26" s="1110" t="n"/>
      <c r="L26" s="68" t="n"/>
      <c r="M26" s="68" t="n"/>
      <c r="N26" s="68" t="n"/>
      <c r="O26" s="68" t="n"/>
      <c r="P26" s="1111" t="n">
        <v>99</v>
      </c>
      <c r="Q26" s="1053" t="n">
        <v>35</v>
      </c>
      <c r="R26" s="1053" t="n">
        <v>40</v>
      </c>
      <c r="S26" s="1053" t="n">
        <v>52</v>
      </c>
      <c r="T26" s="27">
        <f>U26-SUM(Q26,R26,S26)</f>
        <v/>
      </c>
      <c r="U26" s="1111" t="n">
        <v>183</v>
      </c>
      <c r="V26" s="1053" t="n">
        <v>77</v>
      </c>
      <c r="W26" s="1053" t="n">
        <v>71</v>
      </c>
      <c r="X26" s="1053" t="n">
        <v>79</v>
      </c>
      <c r="Y26" s="27">
        <f>Z26-SUM(V26,W26,X26)</f>
        <v/>
      </c>
      <c r="Z26" s="1111" t="n">
        <v>320</v>
      </c>
      <c r="AA26" s="1053" t="n">
        <v>113</v>
      </c>
      <c r="AB26" s="1053" t="n">
        <v>119</v>
      </c>
      <c r="AC26" s="1053" t="n">
        <v>127</v>
      </c>
      <c r="AD26" s="27">
        <f>AE26-SUM(AA26,AB26,AC26)</f>
        <v/>
      </c>
      <c r="AE26" s="1111" t="n">
        <v>487</v>
      </c>
      <c r="AF26" s="1053" t="n">
        <v>140</v>
      </c>
      <c r="AG26" s="1053" t="n">
        <v>142</v>
      </c>
      <c r="AH26" s="1053" t="n">
        <v>144</v>
      </c>
      <c r="AI26" s="27">
        <f>AJ26-SUM(AF26,AG26,AH26)</f>
        <v/>
      </c>
      <c r="AJ26" s="1111" t="n">
        <v>558</v>
      </c>
      <c r="AK26" s="1053" t="n">
        <v>145</v>
      </c>
      <c r="AL26" s="1053" t="n">
        <v>161</v>
      </c>
      <c r="AM26" s="1053" t="n">
        <v>172</v>
      </c>
      <c r="AN26" s="1053" t="n">
        <v>163</v>
      </c>
      <c r="AO26" s="1112">
        <f>SUM(AK26,AL26,AM26,AN26)</f>
        <v/>
      </c>
      <c r="AP26" s="1053" t="n">
        <v>166</v>
      </c>
      <c r="AQ26" s="1053" t="n">
        <v>209</v>
      </c>
      <c r="AR26" s="1053" t="n">
        <v>162</v>
      </c>
      <c r="AS26" s="1053" t="n">
        <v>163</v>
      </c>
      <c r="AT26" s="1112">
        <f>SUM(AP26,AQ26,AR26,AS26)</f>
        <v/>
      </c>
      <c r="AU26" s="1053" t="n">
        <v>155</v>
      </c>
      <c r="AV26" s="1053" t="n">
        <v>111</v>
      </c>
      <c r="AW26" s="1053" t="n">
        <v>125</v>
      </c>
      <c r="AX26" s="1053" t="n">
        <v>145</v>
      </c>
      <c r="AY26" s="1112">
        <f>SUM(AU26,AV26,AW26,AX26)</f>
        <v/>
      </c>
      <c r="AZ26" s="1053" t="n">
        <v>154</v>
      </c>
      <c r="BA26" s="1053" t="n">
        <v>152</v>
      </c>
      <c r="BB26" s="1053" t="n">
        <v>135</v>
      </c>
      <c r="BC26" s="1053" t="n">
        <v>125</v>
      </c>
      <c r="BD26" s="1112">
        <f>SUM(AZ26,BA26,BB26,BC26)</f>
        <v/>
      </c>
      <c r="BE26" s="1053" t="n">
        <v>138</v>
      </c>
      <c r="BF26" s="1053" t="n">
        <v>220</v>
      </c>
      <c r="BG26" s="1053" t="n">
        <v>251</v>
      </c>
      <c r="BH26" s="1053" t="n">
        <v>294</v>
      </c>
      <c r="BI26" s="1112">
        <f>SUM(BE26,BF26,BG26,BH26)</f>
        <v/>
      </c>
      <c r="BJ26" s="1053" t="n">
        <v>296</v>
      </c>
      <c r="BK26" s="1053" t="n">
        <v>253</v>
      </c>
      <c r="BL26" s="1053" t="n">
        <v>261</v>
      </c>
      <c r="BM26" s="1053" t="n">
        <v>281</v>
      </c>
      <c r="BN26" s="1112">
        <f>SUM(BJ26,BK26,BL26,BM26)</f>
        <v/>
      </c>
      <c r="BO26" s="1053" t="n">
        <v>329</v>
      </c>
      <c r="BP26" s="1053" t="n">
        <v>346</v>
      </c>
      <c r="BQ26" s="1053" t="n">
        <v>449</v>
      </c>
      <c r="BR26" s="1053" t="n">
        <v>570</v>
      </c>
      <c r="BS26" s="1112">
        <f>SUM(BO26,BP26,BQ26,BR26)</f>
        <v/>
      </c>
      <c r="BT26" s="1053" t="n">
        <v>567</v>
      </c>
      <c r="BU26" s="1053" t="n">
        <v>586</v>
      </c>
      <c r="BV26" s="1054" t="n">
        <v>592</v>
      </c>
      <c r="BW26" s="68">
        <f>+BR26*(1+BW28)</f>
        <v/>
      </c>
      <c r="BX26" s="1110">
        <f>SUM(BT26,BU26,BV26,BW26)</f>
        <v/>
      </c>
      <c r="BY26" s="68">
        <f>+BT26*(1+BY28)</f>
        <v/>
      </c>
      <c r="BZ26" s="68">
        <f>+BU26*(1+BZ28)</f>
        <v/>
      </c>
      <c r="CA26" s="68">
        <f>+BV26*(1+CA28)</f>
        <v/>
      </c>
      <c r="CB26" s="68">
        <f>+BW26*(1+CB28)</f>
        <v/>
      </c>
      <c r="CC26" s="1110">
        <f>SUM(BY26,BZ26,CA26,CB26)</f>
        <v/>
      </c>
      <c r="CD26" s="1110">
        <f>+CC26*(1+CD28)</f>
        <v/>
      </c>
      <c r="CE26" s="1110">
        <f>+CD26*(1+CE28)</f>
        <v/>
      </c>
      <c r="CF26" s="1110">
        <f>+CE26*(1+CF28)</f>
        <v/>
      </c>
      <c r="CG26" s="155" t="n"/>
    </row>
    <row r="27">
      <c r="A27" s="640" t="inlineStr">
        <is>
          <t>Q/Q Automotive Revenue growth, %</t>
        </is>
      </c>
      <c r="B27" s="641" t="n"/>
      <c r="C27" s="1113" t="n"/>
      <c r="D27" s="1113" t="n"/>
      <c r="E27" s="1113" t="n"/>
      <c r="F27" s="1113" t="n"/>
      <c r="G27" s="90" t="n"/>
      <c r="H27" s="90" t="n"/>
      <c r="I27" s="90" t="n"/>
      <c r="J27" s="90" t="n"/>
      <c r="K27" s="1113" t="n"/>
      <c r="L27" s="90" t="n"/>
      <c r="M27" s="90" t="n"/>
      <c r="N27" s="90" t="n"/>
      <c r="O27" s="90" t="n"/>
      <c r="P27" s="1113" t="n"/>
      <c r="Q27" s="90" t="n"/>
      <c r="R27" s="366">
        <f>R26/Q26-1</f>
        <v/>
      </c>
      <c r="S27" s="366">
        <f>S26/R26-1</f>
        <v/>
      </c>
      <c r="T27" s="366">
        <f>T26/S26-1</f>
        <v/>
      </c>
      <c r="U27" s="1113" t="n"/>
      <c r="V27" s="366">
        <f>V26/T26-1</f>
        <v/>
      </c>
      <c r="W27" s="366">
        <f>W26/V26-1</f>
        <v/>
      </c>
      <c r="X27" s="366">
        <f>X26/W26-1</f>
        <v/>
      </c>
      <c r="Y27" s="366">
        <f>Y26/X26-1</f>
        <v/>
      </c>
      <c r="Z27" s="1113" t="n"/>
      <c r="AA27" s="366">
        <f>AA26/Y26-1</f>
        <v/>
      </c>
      <c r="AB27" s="366">
        <f>AB26/AA26-1</f>
        <v/>
      </c>
      <c r="AC27" s="366">
        <f>AC26/AB26-1</f>
        <v/>
      </c>
      <c r="AD27" s="366">
        <f>AD26/AC26-1</f>
        <v/>
      </c>
      <c r="AE27" s="1113" t="n"/>
      <c r="AF27" s="366">
        <f>AF26/AD26-1</f>
        <v/>
      </c>
      <c r="AG27" s="366">
        <f>AG26/AF26-1</f>
        <v/>
      </c>
      <c r="AH27" s="366">
        <f>AH26/AG26-1</f>
        <v/>
      </c>
      <c r="AI27" s="366">
        <f>AI26/AH26-1</f>
        <v/>
      </c>
      <c r="AJ27" s="1113" t="n"/>
      <c r="AK27" s="366">
        <f>AK26/AI26-1</f>
        <v/>
      </c>
      <c r="AL27" s="366">
        <f>AL26/AK26-1</f>
        <v/>
      </c>
      <c r="AM27" s="366">
        <f>AM26/AL26-1</f>
        <v/>
      </c>
      <c r="AN27" s="366">
        <f>AN26/AM26-1</f>
        <v/>
      </c>
      <c r="AO27" s="1113" t="n"/>
      <c r="AP27" s="366">
        <f>AP26/AN26-1</f>
        <v/>
      </c>
      <c r="AQ27" s="366">
        <f>AQ26/AP26-1</f>
        <v/>
      </c>
      <c r="AR27" s="366">
        <f>AR26/AQ26-1</f>
        <v/>
      </c>
      <c r="AS27" s="366">
        <f>AS26/AR26-1</f>
        <v/>
      </c>
      <c r="AT27" s="1113" t="n"/>
      <c r="AU27" s="366">
        <f>AU26/AS26-1</f>
        <v/>
      </c>
      <c r="AV27" s="366">
        <f>AV26/AU26-1</f>
        <v/>
      </c>
      <c r="AW27" s="366">
        <f>AW26/AV26-1</f>
        <v/>
      </c>
      <c r="AX27" s="366">
        <f>AX26/AW26-1</f>
        <v/>
      </c>
      <c r="AY27" s="1113" t="n"/>
      <c r="AZ27" s="366">
        <f>AZ26/AX26-1</f>
        <v/>
      </c>
      <c r="BA27" s="366">
        <f>BA26/AZ26-1</f>
        <v/>
      </c>
      <c r="BB27" s="366">
        <f>BB26/BA26-1</f>
        <v/>
      </c>
      <c r="BC27" s="366">
        <f>BC26/BB26-1</f>
        <v/>
      </c>
      <c r="BD27" s="1113" t="n"/>
      <c r="BE27" s="366">
        <f>BE26/BC26-1</f>
        <v/>
      </c>
      <c r="BF27" s="366">
        <f>BF26/BE26-1</f>
        <v/>
      </c>
      <c r="BG27" s="366">
        <f>BG26/BF26-1</f>
        <v/>
      </c>
      <c r="BH27" s="366">
        <f>BH26/BG26-1</f>
        <v/>
      </c>
      <c r="BI27" s="1113" t="n"/>
      <c r="BJ27" s="366">
        <f>BJ26/BH26-1</f>
        <v/>
      </c>
      <c r="BK27" s="366">
        <f>BK26/BJ26-1</f>
        <v/>
      </c>
      <c r="BL27" s="366">
        <f>BL26/BK26-1</f>
        <v/>
      </c>
      <c r="BM27" s="366">
        <f>BM26/BL26-1</f>
        <v/>
      </c>
      <c r="BN27" s="1113" t="n"/>
      <c r="BO27" s="366">
        <f>BO26/BM26-1</f>
        <v/>
      </c>
      <c r="BP27" s="366">
        <f>BP26/BO26-1</f>
        <v/>
      </c>
      <c r="BQ27" s="366">
        <f>BQ26/BP26-1</f>
        <v/>
      </c>
      <c r="BR27" s="366">
        <f>BR26/BQ26-1</f>
        <v/>
      </c>
      <c r="BS27" s="1113" t="n"/>
      <c r="BT27" s="366">
        <f>BT26/BR26-1</f>
        <v/>
      </c>
      <c r="BU27" s="366">
        <f>BU26/BT26-1</f>
        <v/>
      </c>
      <c r="BV27" s="878">
        <f>BV26/BU26-1</f>
        <v/>
      </c>
      <c r="BW27" s="90">
        <f>BW26/BV26-1</f>
        <v/>
      </c>
      <c r="BX27" s="1113" t="n"/>
      <c r="BY27" s="90">
        <f>BY26/BW26-1</f>
        <v/>
      </c>
      <c r="BZ27" s="90">
        <f>BZ26/BY26-1</f>
        <v/>
      </c>
      <c r="CA27" s="90">
        <f>CA26/BZ26-1</f>
        <v/>
      </c>
      <c r="CB27" s="90">
        <f>CB26/CA26-1</f>
        <v/>
      </c>
      <c r="CC27" s="1113" t="n"/>
      <c r="CD27" s="1113" t="n"/>
      <c r="CE27" s="1113" t="n"/>
      <c r="CF27" s="1113" t="n"/>
      <c r="CG27" s="155" t="n"/>
    </row>
    <row r="28">
      <c r="A28" s="669" t="inlineStr">
        <is>
          <t>Y/Y Automotive Revenue Growth, %</t>
        </is>
      </c>
      <c r="B28" s="582" t="n"/>
      <c r="C28" s="1114" t="n"/>
      <c r="D28" s="1114" t="n"/>
      <c r="E28" s="1114" t="n"/>
      <c r="F28" s="1114" t="n"/>
      <c r="G28" s="643" t="n"/>
      <c r="H28" s="643" t="n"/>
      <c r="I28" s="643" t="n"/>
      <c r="J28" s="643" t="n"/>
      <c r="K28" s="1114" t="n"/>
      <c r="L28" s="643" t="n"/>
      <c r="M28" s="643" t="n"/>
      <c r="N28" s="643" t="n"/>
      <c r="O28" s="643" t="n"/>
      <c r="P28" s="1114" t="n"/>
      <c r="Q28" s="643" t="n"/>
      <c r="R28" s="643" t="n"/>
      <c r="S28" s="643" t="n"/>
      <c r="T28" s="643" t="n"/>
      <c r="U28" s="1115">
        <f>+U26/P26-1</f>
        <v/>
      </c>
      <c r="V28" s="990">
        <f>+V26/Q26-1</f>
        <v/>
      </c>
      <c r="W28" s="990">
        <f>+W26/R26-1</f>
        <v/>
      </c>
      <c r="X28" s="990">
        <f>+X26/S26-1</f>
        <v/>
      </c>
      <c r="Y28" s="990">
        <f>+Y26/T26-1</f>
        <v/>
      </c>
      <c r="Z28" s="1115">
        <f>+Z26/U26-1</f>
        <v/>
      </c>
      <c r="AA28" s="990">
        <f>+AA26/V26-1</f>
        <v/>
      </c>
      <c r="AB28" s="990">
        <f>+AB26/W26-1</f>
        <v/>
      </c>
      <c r="AC28" s="990">
        <f>+AC26/X26-1</f>
        <v/>
      </c>
      <c r="AD28" s="990">
        <f>+AD26/Y26-1</f>
        <v/>
      </c>
      <c r="AE28" s="1115">
        <f>+AE26/Z26-1</f>
        <v/>
      </c>
      <c r="AF28" s="990">
        <f>+AF26/AA26-1</f>
        <v/>
      </c>
      <c r="AG28" s="990">
        <f>+AG26/AB26-1</f>
        <v/>
      </c>
      <c r="AH28" s="990">
        <f>+AH26/AC26-1</f>
        <v/>
      </c>
      <c r="AI28" s="990">
        <f>+AI26/AD26-1</f>
        <v/>
      </c>
      <c r="AJ28" s="1115">
        <f>+AJ26/AE26-1</f>
        <v/>
      </c>
      <c r="AK28" s="990">
        <f>+AK26/AF26-1</f>
        <v/>
      </c>
      <c r="AL28" s="990">
        <f>+AL26/AG26-1</f>
        <v/>
      </c>
      <c r="AM28" s="990">
        <f>+AM26/AH26-1</f>
        <v/>
      </c>
      <c r="AN28" s="990">
        <f>+AN26/AI26-1</f>
        <v/>
      </c>
      <c r="AO28" s="1115">
        <f>+AO26/AJ26-1</f>
        <v/>
      </c>
      <c r="AP28" s="990">
        <f>+AP26/AK26-1</f>
        <v/>
      </c>
      <c r="AQ28" s="990">
        <f>+AQ26/AL26-1</f>
        <v/>
      </c>
      <c r="AR28" s="990">
        <f>+AR26/AM26-1</f>
        <v/>
      </c>
      <c r="AS28" s="990">
        <f>+AS26/AN26-1</f>
        <v/>
      </c>
      <c r="AT28" s="1115">
        <f>+AT26/AO26-1</f>
        <v/>
      </c>
      <c r="AU28" s="990">
        <f>+AU26/AP26-1</f>
        <v/>
      </c>
      <c r="AV28" s="990">
        <f>+AV26/AQ26-1</f>
        <v/>
      </c>
      <c r="AW28" s="990">
        <f>+AW26/AR26-1</f>
        <v/>
      </c>
      <c r="AX28" s="990">
        <f>+AX26/AS26-1</f>
        <v/>
      </c>
      <c r="AY28" s="1115">
        <f>+AY26/AT26-1</f>
        <v/>
      </c>
      <c r="AZ28" s="990">
        <f>+AZ26/AU26-1</f>
        <v/>
      </c>
      <c r="BA28" s="990">
        <f>+BA26/AV26-1</f>
        <v/>
      </c>
      <c r="BB28" s="990">
        <f>+BB26/AW26-1</f>
        <v/>
      </c>
      <c r="BC28" s="990">
        <f>+BC26/AX26-1</f>
        <v/>
      </c>
      <c r="BD28" s="1115">
        <f>+BD26/AY26-1</f>
        <v/>
      </c>
      <c r="BE28" s="990">
        <f>+BE26/AZ26-1</f>
        <v/>
      </c>
      <c r="BF28" s="990">
        <f>+BF26/BA26-1</f>
        <v/>
      </c>
      <c r="BG28" s="990">
        <f>+BG26/BB26-1</f>
        <v/>
      </c>
      <c r="BH28" s="990">
        <f>+BH26/BC26-1</f>
        <v/>
      </c>
      <c r="BI28" s="1115">
        <f>+BI26/BD26-1</f>
        <v/>
      </c>
      <c r="BJ28" s="990">
        <f>+BJ26/BE26-1</f>
        <v/>
      </c>
      <c r="BK28" s="990">
        <f>+BK26/BF26-1</f>
        <v/>
      </c>
      <c r="BL28" s="990">
        <f>+BL26/BG26-1</f>
        <v/>
      </c>
      <c r="BM28" s="990">
        <f>+BM26/BH26-1</f>
        <v/>
      </c>
      <c r="BN28" s="1115">
        <f>+BN26/BI26-1</f>
        <v/>
      </c>
      <c r="BO28" s="990">
        <f>+BO26/BJ26-1</f>
        <v/>
      </c>
      <c r="BP28" s="990">
        <f>+BP26/BK26-1</f>
        <v/>
      </c>
      <c r="BQ28" s="990">
        <f>+BQ26/BL26-1</f>
        <v/>
      </c>
      <c r="BR28" s="990">
        <f>+BR26/BM26-1</f>
        <v/>
      </c>
      <c r="BS28" s="1115">
        <f>+BS26/BN26-1</f>
        <v/>
      </c>
      <c r="BT28" s="990">
        <f>+BT26/BO26-1</f>
        <v/>
      </c>
      <c r="BU28" s="990">
        <f>+BU26/BP26-1</f>
        <v/>
      </c>
      <c r="BV28" s="879">
        <f>+BV26/BQ26-1</f>
        <v/>
      </c>
      <c r="BW28" s="1055" t="n">
        <v>0.1</v>
      </c>
      <c r="BX28" s="1114">
        <f>+BX26/BS26-1</f>
        <v/>
      </c>
      <c r="BY28" s="1055" t="n">
        <v>0.3</v>
      </c>
      <c r="BZ28" s="1055" t="n">
        <v>0.2</v>
      </c>
      <c r="CA28" s="1055" t="n">
        <v>0.2</v>
      </c>
      <c r="CB28" s="1055" t="n">
        <v>0.2</v>
      </c>
      <c r="CC28" s="1114">
        <f>+CC26/BX26-1</f>
        <v/>
      </c>
      <c r="CD28" s="1116" t="n">
        <v>0.1</v>
      </c>
      <c r="CE28" s="1116" t="n">
        <v>0.1</v>
      </c>
      <c r="CF28" s="1116" t="n">
        <v>0.1</v>
      </c>
      <c r="CG28" s="155" t="n"/>
    </row>
    <row r="29" ht="7.25" customHeight="1">
      <c r="A29" s="99" t="n"/>
      <c r="B29" s="598" t="n"/>
      <c r="C29" s="1110" t="n"/>
      <c r="D29" s="1110" t="n"/>
      <c r="E29" s="1110" t="n"/>
      <c r="F29" s="1110" t="n"/>
      <c r="G29" s="68" t="n"/>
      <c r="H29" s="68" t="n"/>
      <c r="I29" s="68" t="n"/>
      <c r="J29" s="68" t="n"/>
      <c r="K29" s="1110" t="n"/>
      <c r="L29" s="68" t="n"/>
      <c r="M29" s="68" t="n"/>
      <c r="N29" s="68" t="n"/>
      <c r="O29" s="68" t="n"/>
      <c r="P29" s="1110" t="n"/>
      <c r="Q29" s="68" t="n"/>
      <c r="R29" s="68" t="n"/>
      <c r="S29" s="68" t="n"/>
      <c r="T29" s="68" t="n"/>
      <c r="U29" s="1110" t="n"/>
      <c r="V29" s="68" t="n"/>
      <c r="W29" s="68" t="n"/>
      <c r="X29" s="68" t="n"/>
      <c r="Y29" s="68" t="n"/>
      <c r="Z29" s="1110" t="n"/>
      <c r="AA29" s="68" t="n"/>
      <c r="AB29" s="68" t="n"/>
      <c r="AC29" s="68" t="n"/>
      <c r="AD29" s="68" t="n"/>
      <c r="AE29" s="1110" t="n"/>
      <c r="AF29" s="68" t="n"/>
      <c r="AG29" s="68" t="n"/>
      <c r="AH29" s="68" t="n"/>
      <c r="AI29" s="68" t="n"/>
      <c r="AJ29" s="1110" t="n"/>
      <c r="AK29" s="68" t="n"/>
      <c r="AL29" s="68" t="n"/>
      <c r="AM29" s="68" t="n"/>
      <c r="AN29" s="68" t="n"/>
      <c r="AO29" s="1110" t="n"/>
      <c r="AP29" s="68" t="n"/>
      <c r="AQ29" s="68" t="n"/>
      <c r="AR29" s="68" t="n"/>
      <c r="AS29" s="68" t="n"/>
      <c r="AT29" s="1110" t="n"/>
      <c r="AU29" s="68" t="n"/>
      <c r="AV29" s="68" t="n"/>
      <c r="AW29" s="68" t="n"/>
      <c r="AX29" s="68" t="n"/>
      <c r="AY29" s="1110" t="n"/>
      <c r="AZ29" s="68" t="n"/>
      <c r="BA29" s="68" t="n"/>
      <c r="BB29" s="68" t="n"/>
      <c r="BC29" s="68" t="n"/>
      <c r="BD29" s="1110" t="n"/>
      <c r="BE29" s="68" t="n"/>
      <c r="BF29" s="68" t="n"/>
      <c r="BG29" s="68" t="n"/>
      <c r="BH29" s="68" t="n"/>
      <c r="BI29" s="1110" t="n"/>
      <c r="BJ29" s="68" t="n"/>
      <c r="BK29" s="68" t="n"/>
      <c r="BL29" s="68" t="n"/>
      <c r="BM29" s="68" t="n"/>
      <c r="BN29" s="1110" t="n"/>
      <c r="BO29" s="68" t="n"/>
      <c r="BP29" s="68" t="n"/>
      <c r="BQ29" s="68" t="n"/>
      <c r="BR29" s="68" t="n"/>
      <c r="BS29" s="1110" t="n"/>
      <c r="BT29" s="68" t="n"/>
      <c r="BU29" s="68" t="n"/>
      <c r="BV29" s="588" t="n"/>
      <c r="BW29" s="68" t="n"/>
      <c r="BX29" s="1110" t="n"/>
      <c r="BY29" s="68" t="n"/>
      <c r="BZ29" s="68" t="n"/>
      <c r="CA29" s="68" t="n"/>
      <c r="CB29" s="68" t="n"/>
      <c r="CC29" s="1110" t="n"/>
      <c r="CD29" s="1110" t="n"/>
      <c r="CE29" s="1110" t="n"/>
      <c r="CF29" s="1110" t="n"/>
      <c r="CG29" s="155" t="n"/>
    </row>
    <row r="30">
      <c r="A30" s="67" t="inlineStr">
        <is>
          <t>OEM &amp; IP Revenue, mm</t>
        </is>
      </c>
      <c r="B30" s="598" t="n"/>
      <c r="C30" s="1110" t="n"/>
      <c r="D30" s="1110" t="n"/>
      <c r="E30" s="1110" t="n"/>
      <c r="F30" s="1110" t="n"/>
      <c r="G30" s="68" t="n"/>
      <c r="H30" s="68" t="n"/>
      <c r="I30" s="68" t="n"/>
      <c r="J30" s="68" t="n"/>
      <c r="K30" s="1110" t="n"/>
      <c r="L30" s="68" t="n"/>
      <c r="M30" s="68" t="n"/>
      <c r="N30" s="68" t="n"/>
      <c r="O30" s="68" t="n"/>
      <c r="P30" s="1111" t="n">
        <v>1532</v>
      </c>
      <c r="Q30" s="1053" t="n">
        <v>352</v>
      </c>
      <c r="R30" s="1053" t="n">
        <v>355</v>
      </c>
      <c r="S30" s="1053" t="n">
        <v>351</v>
      </c>
      <c r="T30" s="27">
        <f>U30-SUM(Q30,R30,S30)</f>
        <v/>
      </c>
      <c r="U30" s="1111" t="n">
        <v>1329</v>
      </c>
      <c r="V30" s="1053" t="n">
        <v>218</v>
      </c>
      <c r="W30" s="1053" t="n">
        <v>174</v>
      </c>
      <c r="X30" s="1053" t="n">
        <v>193</v>
      </c>
      <c r="Y30" s="27">
        <f>Z30-SUM(V30,W30,X30)</f>
        <v/>
      </c>
      <c r="Z30" s="1111" t="n">
        <v>783</v>
      </c>
      <c r="AA30" s="1053" t="n">
        <v>173</v>
      </c>
      <c r="AB30" s="1053" t="n">
        <v>163</v>
      </c>
      <c r="AC30" s="1053" t="n">
        <v>186</v>
      </c>
      <c r="AD30" s="27">
        <f>AE30-SUM(AA30,AB30,AC30)</f>
        <v/>
      </c>
      <c r="AE30" s="1111" t="n">
        <v>698</v>
      </c>
      <c r="AF30" s="1053" t="n">
        <v>156</v>
      </c>
      <c r="AG30" s="1053" t="n">
        <v>251</v>
      </c>
      <c r="AH30" s="1053" t="n">
        <v>191</v>
      </c>
      <c r="AI30" s="27">
        <f>AJ30-SUM(AF30,AG30,AH30)</f>
        <v/>
      </c>
      <c r="AJ30" s="1111" t="n">
        <v>777</v>
      </c>
      <c r="AK30" s="1053" t="n">
        <v>387</v>
      </c>
      <c r="AL30" s="1053" t="n">
        <v>116</v>
      </c>
      <c r="AM30" s="1053" t="n">
        <v>148</v>
      </c>
      <c r="AN30" s="1053" t="n">
        <v>116</v>
      </c>
      <c r="AO30" s="1112">
        <f>SUM(AK30,AL30,AM30,AN30)</f>
        <v/>
      </c>
      <c r="AP30" s="1053" t="n">
        <v>99</v>
      </c>
      <c r="AQ30" s="1053" t="n">
        <v>111</v>
      </c>
      <c r="AR30" s="1053" t="n">
        <v>143</v>
      </c>
      <c r="AS30" s="1053" t="n">
        <v>152</v>
      </c>
      <c r="AT30" s="1112">
        <f>SUM(AP30,AQ30,AR30,AS30)</f>
        <v/>
      </c>
      <c r="AU30" s="1053" t="n">
        <v>138</v>
      </c>
      <c r="AV30" s="1053" t="n">
        <v>146</v>
      </c>
      <c r="AW30" s="1053" t="n">
        <v>194</v>
      </c>
      <c r="AX30" s="1053" t="n">
        <v>153</v>
      </c>
      <c r="AY30" s="1112">
        <f>SUM(AU30,AV30,AW30,AX30)</f>
        <v/>
      </c>
      <c r="AZ30" s="1053" t="n">
        <v>327</v>
      </c>
      <c r="BA30" s="1053" t="n">
        <v>409</v>
      </c>
      <c r="BB30" s="1053" t="n">
        <v>234</v>
      </c>
      <c r="BC30" s="1053" t="n">
        <v>192</v>
      </c>
      <c r="BD30" s="1112">
        <f>SUM(AZ30,BA30,BB30,BC30)</f>
        <v/>
      </c>
      <c r="BE30" s="1053" t="n">
        <v>158</v>
      </c>
      <c r="BF30" s="1053" t="n">
        <v>140</v>
      </c>
      <c r="BG30" s="1053" t="n">
        <v>73</v>
      </c>
      <c r="BH30" s="1053" t="n">
        <v>84</v>
      </c>
      <c r="BI30" s="1112">
        <f>SUM(BE30,BF30,BG30,BH30)</f>
        <v/>
      </c>
      <c r="BJ30" s="1053" t="n">
        <v>77</v>
      </c>
      <c r="BK30" s="1053" t="n">
        <v>66</v>
      </c>
      <c r="BL30" s="1053" t="n">
        <v>73</v>
      </c>
      <c r="BM30" s="1053" t="n">
        <v>90</v>
      </c>
      <c r="BN30" s="1112">
        <f>SUM(BJ30,BK30,BL30,BM30)</f>
        <v/>
      </c>
      <c r="BO30" s="1053" t="n">
        <v>78</v>
      </c>
      <c r="BP30" s="1053" t="n">
        <v>88</v>
      </c>
      <c r="BQ30" s="1053" t="n">
        <v>97</v>
      </c>
      <c r="BR30" s="1053" t="n">
        <v>126</v>
      </c>
      <c r="BS30" s="1112">
        <f>SUM(BO30,BP30,BQ30,BR30)</f>
        <v/>
      </c>
      <c r="BT30" s="1053" t="n">
        <v>111</v>
      </c>
      <c r="BU30" s="1053" t="n">
        <v>173</v>
      </c>
      <c r="BV30" s="1054" t="n">
        <v>174</v>
      </c>
      <c r="BW30" s="68">
        <f>+BR30*(1+BW32)</f>
        <v/>
      </c>
      <c r="BX30" s="1110">
        <f>SUM(BT30,BU30,BV30,BW30)</f>
        <v/>
      </c>
      <c r="BY30" s="68">
        <f>+BT30*(1+BY32)</f>
        <v/>
      </c>
      <c r="BZ30" s="68">
        <f>+BU30*(1+BZ32)</f>
        <v/>
      </c>
      <c r="CA30" s="68">
        <f>+BV30*(1+CA32)</f>
        <v/>
      </c>
      <c r="CB30" s="68">
        <f>+BW30*(1+CB32)</f>
        <v/>
      </c>
      <c r="CC30" s="1110">
        <f>SUM(BY30,BZ30,CA30,CB30)</f>
        <v/>
      </c>
      <c r="CD30" s="1110">
        <f>+CC30*(1+CD32)</f>
        <v/>
      </c>
      <c r="CE30" s="1110">
        <f>+CD30*(1+CE32)</f>
        <v/>
      </c>
      <c r="CF30" s="1110">
        <f>+CE30*(1+CF32)</f>
        <v/>
      </c>
      <c r="CG30" s="155" t="n"/>
    </row>
    <row r="31">
      <c r="A31" s="640" t="inlineStr">
        <is>
          <t>Q/Q OEM &amp; IP Revenue growth, %</t>
        </is>
      </c>
      <c r="B31" s="641" t="n"/>
      <c r="C31" s="1113" t="n"/>
      <c r="D31" s="1113" t="n"/>
      <c r="E31" s="1113" t="n"/>
      <c r="F31" s="1113" t="n"/>
      <c r="G31" s="90" t="n"/>
      <c r="H31" s="90" t="n"/>
      <c r="I31" s="90" t="n"/>
      <c r="J31" s="90" t="n"/>
      <c r="K31" s="1113" t="n"/>
      <c r="L31" s="90" t="n"/>
      <c r="M31" s="90" t="n"/>
      <c r="N31" s="90" t="n"/>
      <c r="O31" s="90" t="n"/>
      <c r="P31" s="1113" t="n"/>
      <c r="Q31" s="90" t="n"/>
      <c r="R31" s="366">
        <f>R30/Q30-1</f>
        <v/>
      </c>
      <c r="S31" s="366">
        <f>S30/R30-1</f>
        <v/>
      </c>
      <c r="T31" s="366">
        <f>T30/S30-1</f>
        <v/>
      </c>
      <c r="U31" s="1113" t="n"/>
      <c r="V31" s="366">
        <f>V30/T30-1</f>
        <v/>
      </c>
      <c r="W31" s="366">
        <f>W30/V30-1</f>
        <v/>
      </c>
      <c r="X31" s="366">
        <f>X30/W30-1</f>
        <v/>
      </c>
      <c r="Y31" s="366">
        <f>Y30/X30-1</f>
        <v/>
      </c>
      <c r="Z31" s="1113" t="n"/>
      <c r="AA31" s="366">
        <f>AA30/Y30-1</f>
        <v/>
      </c>
      <c r="AB31" s="366">
        <f>AB30/AA30-1</f>
        <v/>
      </c>
      <c r="AC31" s="366">
        <f>AC30/AB30-1</f>
        <v/>
      </c>
      <c r="AD31" s="366">
        <f>AD30/AC30-1</f>
        <v/>
      </c>
      <c r="AE31" s="1113" t="n"/>
      <c r="AF31" s="366">
        <f>AF30/AD30-1</f>
        <v/>
      </c>
      <c r="AG31" s="366">
        <f>AG30/AF30-1</f>
        <v/>
      </c>
      <c r="AH31" s="366">
        <f>AH30/AG30-1</f>
        <v/>
      </c>
      <c r="AI31" s="366">
        <f>AI30/AH30-1</f>
        <v/>
      </c>
      <c r="AJ31" s="1113" t="n"/>
      <c r="AK31" s="366">
        <f>AK30/AI30-1</f>
        <v/>
      </c>
      <c r="AL31" s="366">
        <f>AL30/AK30-1</f>
        <v/>
      </c>
      <c r="AM31" s="366">
        <f>AM30/AL30-1</f>
        <v/>
      </c>
      <c r="AN31" s="366">
        <f>AN30/AM30-1</f>
        <v/>
      </c>
      <c r="AO31" s="1113" t="n"/>
      <c r="AP31" s="366">
        <f>AP30/AN30-1</f>
        <v/>
      </c>
      <c r="AQ31" s="366">
        <f>AQ30/AP30-1</f>
        <v/>
      </c>
      <c r="AR31" s="366">
        <f>AR30/AQ30-1</f>
        <v/>
      </c>
      <c r="AS31" s="366">
        <f>AS30/AR30-1</f>
        <v/>
      </c>
      <c r="AT31" s="1113" t="n"/>
      <c r="AU31" s="366">
        <f>AU30/AS30-1</f>
        <v/>
      </c>
      <c r="AV31" s="366">
        <f>AV30/AU30-1</f>
        <v/>
      </c>
      <c r="AW31" s="366">
        <f>AW30/AV30-1</f>
        <v/>
      </c>
      <c r="AX31" s="366">
        <f>AX30/AW30-1</f>
        <v/>
      </c>
      <c r="AY31" s="1113" t="n"/>
      <c r="AZ31" s="366">
        <f>AZ30/AX30-1</f>
        <v/>
      </c>
      <c r="BA31" s="366">
        <f>BA30/AZ30-1</f>
        <v/>
      </c>
      <c r="BB31" s="366">
        <f>BB30/BA30-1</f>
        <v/>
      </c>
      <c r="BC31" s="366">
        <f>BC30/BB30-1</f>
        <v/>
      </c>
      <c r="BD31" s="1113" t="n"/>
      <c r="BE31" s="366">
        <f>BE30/BC30-1</f>
        <v/>
      </c>
      <c r="BF31" s="366">
        <f>BF30/BE30-1</f>
        <v/>
      </c>
      <c r="BG31" s="366">
        <f>BG30/BF30-1</f>
        <v/>
      </c>
      <c r="BH31" s="366">
        <f>BH30/BG30-1</f>
        <v/>
      </c>
      <c r="BI31" s="1113" t="n"/>
      <c r="BJ31" s="366">
        <f>BJ30/BH30-1</f>
        <v/>
      </c>
      <c r="BK31" s="366">
        <f>BK30/BJ30-1</f>
        <v/>
      </c>
      <c r="BL31" s="366">
        <f>BL30/BK30-1</f>
        <v/>
      </c>
      <c r="BM31" s="366">
        <f>BM30/BL30-1</f>
        <v/>
      </c>
      <c r="BN31" s="1113" t="n"/>
      <c r="BO31" s="366">
        <f>BO30/BM30-1</f>
        <v/>
      </c>
      <c r="BP31" s="366">
        <f>BP30/BO30-1</f>
        <v/>
      </c>
      <c r="BQ31" s="366">
        <f>BQ30/BP30-1</f>
        <v/>
      </c>
      <c r="BR31" s="366">
        <f>BR30/BQ30-1</f>
        <v/>
      </c>
      <c r="BS31" s="1113" t="n"/>
      <c r="BT31" s="366">
        <f>BT30/BR30-1</f>
        <v/>
      </c>
      <c r="BU31" s="366">
        <f>BU30/BT30-1</f>
        <v/>
      </c>
      <c r="BV31" s="878">
        <f>BV30/BU30-1</f>
        <v/>
      </c>
      <c r="BW31" s="90">
        <f>BW30/BV30-1</f>
        <v/>
      </c>
      <c r="BX31" s="1113" t="n"/>
      <c r="BY31" s="90">
        <f>BY30/BW30-1</f>
        <v/>
      </c>
      <c r="BZ31" s="90">
        <f>BZ30/BY30-1</f>
        <v/>
      </c>
      <c r="CA31" s="90">
        <f>CA30/BZ30-1</f>
        <v/>
      </c>
      <c r="CB31" s="90">
        <f>CB30/CA30-1</f>
        <v/>
      </c>
      <c r="CC31" s="1113" t="n"/>
      <c r="CD31" s="1113" t="n"/>
      <c r="CE31" s="1113" t="n"/>
      <c r="CF31" s="1113" t="n"/>
      <c r="CG31" s="155" t="n"/>
    </row>
    <row r="32">
      <c r="A32" s="669" t="inlineStr">
        <is>
          <t>Y/Y OEM &amp; IP Revenue Growth, %</t>
        </is>
      </c>
      <c r="B32" s="582" t="n"/>
      <c r="C32" s="1114" t="n"/>
      <c r="D32" s="1114" t="n"/>
      <c r="E32" s="1114" t="n"/>
      <c r="F32" s="1114" t="n"/>
      <c r="G32" s="643" t="n"/>
      <c r="H32" s="643" t="n"/>
      <c r="I32" s="643" t="n"/>
      <c r="J32" s="643" t="n"/>
      <c r="K32" s="1114" t="n"/>
      <c r="L32" s="643" t="n"/>
      <c r="M32" s="643" t="n"/>
      <c r="N32" s="643" t="n"/>
      <c r="O32" s="643" t="n"/>
      <c r="P32" s="1114" t="n"/>
      <c r="Q32" s="643" t="n"/>
      <c r="R32" s="643" t="n"/>
      <c r="S32" s="643" t="n"/>
      <c r="T32" s="643" t="n"/>
      <c r="U32" s="1115">
        <f>+U30/P30-1</f>
        <v/>
      </c>
      <c r="V32" s="990">
        <f>+V30/Q30-1</f>
        <v/>
      </c>
      <c r="W32" s="990">
        <f>+W30/R30-1</f>
        <v/>
      </c>
      <c r="X32" s="990">
        <f>+X30/S30-1</f>
        <v/>
      </c>
      <c r="Y32" s="990">
        <f>+Y30/T30-1</f>
        <v/>
      </c>
      <c r="Z32" s="1115">
        <f>+Z30/U30-1</f>
        <v/>
      </c>
      <c r="AA32" s="990">
        <f>+AA30/V30-1</f>
        <v/>
      </c>
      <c r="AB32" s="990">
        <f>+AB30/W30-1</f>
        <v/>
      </c>
      <c r="AC32" s="990">
        <f>+AC30/X30-1</f>
        <v/>
      </c>
      <c r="AD32" s="990">
        <f>+AD30/Y30-1</f>
        <v/>
      </c>
      <c r="AE32" s="1115">
        <f>+AE30/Z30-1</f>
        <v/>
      </c>
      <c r="AF32" s="990">
        <f>+AF30/AA30-1</f>
        <v/>
      </c>
      <c r="AG32" s="990">
        <f>+AG30/AB30-1</f>
        <v/>
      </c>
      <c r="AH32" s="990">
        <f>+AH30/AC30-1</f>
        <v/>
      </c>
      <c r="AI32" s="990">
        <f>+AI30/AD30-1</f>
        <v/>
      </c>
      <c r="AJ32" s="1115">
        <f>+AJ30/AE30-1</f>
        <v/>
      </c>
      <c r="AK32" s="990">
        <f>+AK30/AF30-1</f>
        <v/>
      </c>
      <c r="AL32" s="990">
        <f>+AL30/AG30-1</f>
        <v/>
      </c>
      <c r="AM32" s="990">
        <f>+AM30/AH30-1</f>
        <v/>
      </c>
      <c r="AN32" s="990">
        <f>+AN30/AI30-1</f>
        <v/>
      </c>
      <c r="AO32" s="1115">
        <f>+AO30/AJ30-1</f>
        <v/>
      </c>
      <c r="AP32" s="990">
        <f>+AP30/AK30-1</f>
        <v/>
      </c>
      <c r="AQ32" s="990">
        <f>+AQ30/AL30-1</f>
        <v/>
      </c>
      <c r="AR32" s="990">
        <f>+AR30/AM30-1</f>
        <v/>
      </c>
      <c r="AS32" s="990">
        <f>+AS30/AN30-1</f>
        <v/>
      </c>
      <c r="AT32" s="1115">
        <f>+AT30/AO30-1</f>
        <v/>
      </c>
      <c r="AU32" s="990">
        <f>+AU30/AP30-1</f>
        <v/>
      </c>
      <c r="AV32" s="990">
        <f>+AV30/AQ30-1</f>
        <v/>
      </c>
      <c r="AW32" s="990">
        <f>+AW30/AR30-1</f>
        <v/>
      </c>
      <c r="AX32" s="990">
        <f>+AX30/AS30-1</f>
        <v/>
      </c>
      <c r="AY32" s="1115">
        <f>+AY30/AT30-1</f>
        <v/>
      </c>
      <c r="AZ32" s="990">
        <f>+AZ30/AU30-1</f>
        <v/>
      </c>
      <c r="BA32" s="990">
        <f>+BA30/AV30-1</f>
        <v/>
      </c>
      <c r="BB32" s="990">
        <f>+BB30/AW30-1</f>
        <v/>
      </c>
      <c r="BC32" s="990">
        <f>+BC30/AX30-1</f>
        <v/>
      </c>
      <c r="BD32" s="1115">
        <f>+BD30/AY30-1</f>
        <v/>
      </c>
      <c r="BE32" s="990">
        <f>+BE30/AZ30-1</f>
        <v/>
      </c>
      <c r="BF32" s="990">
        <f>+BF30/BA30-1</f>
        <v/>
      </c>
      <c r="BG32" s="990">
        <f>+BG30/BB30-1</f>
        <v/>
      </c>
      <c r="BH32" s="990">
        <f>+BH30/BC30-1</f>
        <v/>
      </c>
      <c r="BI32" s="1115">
        <f>+BI30/BD30-1</f>
        <v/>
      </c>
      <c r="BJ32" s="990">
        <f>+BJ30/BE30-1</f>
        <v/>
      </c>
      <c r="BK32" s="990">
        <f>+BK30/BF30-1</f>
        <v/>
      </c>
      <c r="BL32" s="990">
        <f>+BL30/BG30-1</f>
        <v/>
      </c>
      <c r="BM32" s="990">
        <f>+BM30/BH30-1</f>
        <v/>
      </c>
      <c r="BN32" s="1115">
        <f>+BN30/BI30-1</f>
        <v/>
      </c>
      <c r="BO32" s="990">
        <f>+BO30/BJ30-1</f>
        <v/>
      </c>
      <c r="BP32" s="990">
        <f>+BP30/BK30-1</f>
        <v/>
      </c>
      <c r="BQ32" s="990">
        <f>+BQ30/BL30-1</f>
        <v/>
      </c>
      <c r="BR32" s="990">
        <f>+BR30/BM30-1</f>
        <v/>
      </c>
      <c r="BS32" s="1115">
        <f>+BS30/BN30-1</f>
        <v/>
      </c>
      <c r="BT32" s="990">
        <f>+BT30/BO30-1</f>
        <v/>
      </c>
      <c r="BU32" s="990">
        <f>+BU30/BP30-1</f>
        <v/>
      </c>
      <c r="BV32" s="879">
        <f>+BV30/BQ30-1</f>
        <v/>
      </c>
      <c r="BW32" s="1055" t="n">
        <v>0.5</v>
      </c>
      <c r="BX32" s="1114">
        <f>+BX30/BS30-1</f>
        <v/>
      </c>
      <c r="BY32" s="1055" t="n">
        <v>0.1</v>
      </c>
      <c r="BZ32" s="1055" t="n">
        <v>0.1</v>
      </c>
      <c r="CA32" s="1055" t="n">
        <v>0.1</v>
      </c>
      <c r="CB32" s="1055" t="n">
        <v>0.1</v>
      </c>
      <c r="CC32" s="1114">
        <f>+CC30/BX30-1</f>
        <v/>
      </c>
      <c r="CD32" s="1116" t="n">
        <v>0.1</v>
      </c>
      <c r="CE32" s="1116" t="n">
        <v>0.1</v>
      </c>
      <c r="CF32" s="1116" t="n">
        <v>0.1</v>
      </c>
      <c r="CG32" s="155" t="n"/>
    </row>
    <row r="33" ht="7.25" customHeight="1">
      <c r="A33" s="282" t="n"/>
      <c r="B33" s="639" t="n"/>
      <c r="C33" s="1121" t="n"/>
      <c r="D33" s="1121" t="n"/>
      <c r="E33" s="1121" t="n"/>
      <c r="F33" s="1121" t="n"/>
      <c r="G33" s="109" t="n"/>
      <c r="H33" s="109" t="n"/>
      <c r="I33" s="109" t="n"/>
      <c r="J33" s="109" t="n"/>
      <c r="K33" s="1121" t="n"/>
      <c r="L33" s="109" t="n"/>
      <c r="M33" s="109" t="n"/>
      <c r="N33" s="109" t="n"/>
      <c r="O33" s="109" t="n"/>
      <c r="P33" s="1121" t="n"/>
      <c r="Q33" s="109" t="n"/>
      <c r="R33" s="109" t="n"/>
      <c r="S33" s="109" t="n"/>
      <c r="T33" s="109" t="n"/>
      <c r="U33" s="1121" t="n"/>
      <c r="V33" s="109" t="n"/>
      <c r="W33" s="109" t="n"/>
      <c r="X33" s="109" t="n"/>
      <c r="Y33" s="109" t="n"/>
      <c r="Z33" s="1121" t="n"/>
      <c r="AA33" s="109" t="n"/>
      <c r="AB33" s="109" t="n"/>
      <c r="AC33" s="109" t="n"/>
      <c r="AD33" s="109" t="n"/>
      <c r="AE33" s="1121" t="n"/>
      <c r="AF33" s="109" t="n"/>
      <c r="AG33" s="109" t="n"/>
      <c r="AH33" s="109" t="n"/>
      <c r="AI33" s="109" t="n"/>
      <c r="AJ33" s="1121" t="n"/>
      <c r="AK33" s="109" t="n"/>
      <c r="AL33" s="109" t="n"/>
      <c r="AM33" s="109" t="n"/>
      <c r="AN33" s="109" t="n"/>
      <c r="AO33" s="1121" t="n"/>
      <c r="AP33" s="109" t="n"/>
      <c r="AQ33" s="109" t="n"/>
      <c r="AR33" s="109" t="n"/>
      <c r="AS33" s="109" t="n"/>
      <c r="AT33" s="1121" t="n"/>
      <c r="AU33" s="109" t="n"/>
      <c r="AV33" s="109" t="n"/>
      <c r="AW33" s="109" t="n"/>
      <c r="AX33" s="109" t="n"/>
      <c r="AY33" s="1121" t="n"/>
      <c r="AZ33" s="109" t="n"/>
      <c r="BA33" s="109" t="n"/>
      <c r="BB33" s="109" t="n"/>
      <c r="BC33" s="109" t="n"/>
      <c r="BD33" s="1121" t="n"/>
      <c r="BE33" s="109" t="n"/>
      <c r="BF33" s="109" t="n"/>
      <c r="BG33" s="109" t="n"/>
      <c r="BH33" s="109" t="n"/>
      <c r="BI33" s="1121" t="n"/>
      <c r="BJ33" s="109" t="n"/>
      <c r="BK33" s="109" t="n"/>
      <c r="BL33" s="109" t="n"/>
      <c r="BM33" s="109" t="n"/>
      <c r="BN33" s="1121" t="n"/>
      <c r="BO33" s="109" t="n"/>
      <c r="BP33" s="109" t="n"/>
      <c r="BQ33" s="109" t="n"/>
      <c r="BR33" s="109" t="n"/>
      <c r="BS33" s="1121" t="n"/>
      <c r="BT33" s="109" t="n"/>
      <c r="BU33" s="109" t="n"/>
      <c r="BV33" s="730" t="n"/>
      <c r="BW33" s="109" t="n"/>
      <c r="BX33" s="1121" t="n"/>
      <c r="BY33" s="109" t="n"/>
      <c r="BZ33" s="109" t="n"/>
      <c r="CA33" s="109" t="n"/>
      <c r="CB33" s="109" t="n"/>
      <c r="CC33" s="1121" t="n"/>
      <c r="CD33" s="1121" t="n"/>
      <c r="CE33" s="1121" t="n"/>
      <c r="CF33" s="1121" t="n"/>
      <c r="CG33" s="155" t="n"/>
    </row>
    <row r="34">
      <c r="A34" s="59" t="inlineStr">
        <is>
          <t>Total Revenue, mm</t>
        </is>
      </c>
      <c r="B34" s="599" t="n"/>
      <c r="C34" s="1122">
        <f>C292</f>
        <v/>
      </c>
      <c r="D34" s="1122">
        <f>D292</f>
        <v/>
      </c>
      <c r="E34" s="1122">
        <f>E292</f>
        <v/>
      </c>
      <c r="F34" s="1122">
        <f>F292</f>
        <v/>
      </c>
      <c r="G34" s="61">
        <f>G292</f>
        <v/>
      </c>
      <c r="H34" s="61">
        <f>H292</f>
        <v/>
      </c>
      <c r="I34" s="61">
        <f>I292</f>
        <v/>
      </c>
      <c r="J34" s="61">
        <f>J292</f>
        <v/>
      </c>
      <c r="K34" s="1122">
        <f>K292</f>
        <v/>
      </c>
      <c r="L34" s="61">
        <f>L292</f>
        <v/>
      </c>
      <c r="M34" s="61">
        <f>M292</f>
        <v/>
      </c>
      <c r="N34" s="61">
        <f>N292</f>
        <v/>
      </c>
      <c r="O34" s="61">
        <f>O292</f>
        <v/>
      </c>
      <c r="P34" s="1123">
        <f>P7+P11+P22+P26+P30</f>
        <v/>
      </c>
      <c r="Q34" s="60">
        <f>Q7+Q11+Q22+Q26+Q30</f>
        <v/>
      </c>
      <c r="R34" s="60">
        <f>R7+R11+R22+R26+R30</f>
        <v/>
      </c>
      <c r="S34" s="60">
        <f>S7+S11+S22+S26+S30</f>
        <v/>
      </c>
      <c r="T34" s="60">
        <f>T7+T11+T22+T26+T30</f>
        <v/>
      </c>
      <c r="U34" s="1123">
        <f>U7+U11+U22+U26+U30</f>
        <v/>
      </c>
      <c r="V34" s="60">
        <f>V7+V11+V22+V26+V30</f>
        <v/>
      </c>
      <c r="W34" s="60">
        <f>W7+W11+W22+W26+W30</f>
        <v/>
      </c>
      <c r="X34" s="60">
        <f>X7+X11+X22+X26+X30</f>
        <v/>
      </c>
      <c r="Y34" s="60">
        <f>Y7+Y11+Y22+Y26+Y30</f>
        <v/>
      </c>
      <c r="Z34" s="1123">
        <f>Z7+Z11+Z22+Z26+Z30</f>
        <v/>
      </c>
      <c r="AA34" s="60">
        <f>AA7+AA11+AA22+AA26+AA30</f>
        <v/>
      </c>
      <c r="AB34" s="60">
        <f>AB7+AB11+AB22+AB26+AB30</f>
        <v/>
      </c>
      <c r="AC34" s="61">
        <f>AC7+AC11+AC22+AC26+AC30</f>
        <v/>
      </c>
      <c r="AD34" s="61">
        <f>AD7+AD11+AD22+AD26+AD30</f>
        <v/>
      </c>
      <c r="AE34" s="1122">
        <f>AE7+AE11+AE22+AE26+AE30</f>
        <v/>
      </c>
      <c r="AF34" s="61">
        <f>AF7+AF11+AF22+AF26+AF30</f>
        <v/>
      </c>
      <c r="AG34" s="60">
        <f>AG7+AG11+AG22+AG26+AG30</f>
        <v/>
      </c>
      <c r="AH34" s="60">
        <f>AH7+AH11+AH22+AH26+AH30</f>
        <v/>
      </c>
      <c r="AI34" s="61">
        <f>AI7+AI11+AI22+AI26+AI30</f>
        <v/>
      </c>
      <c r="AJ34" s="1122">
        <f>AJ7+AJ11+AJ22+AJ26+AJ30</f>
        <v/>
      </c>
      <c r="AK34" s="60">
        <f>AK7+AK11+AK22+AK26+AK30</f>
        <v/>
      </c>
      <c r="AL34" s="60">
        <f>AL7+AL11+AL22+AL26+AL30</f>
        <v/>
      </c>
      <c r="AM34" s="60">
        <f>AM7+AM11+AM22+AM26+AM30</f>
        <v/>
      </c>
      <c r="AN34" s="61">
        <f>AN7+AN11+AN22+AN26+AN30</f>
        <v/>
      </c>
      <c r="AO34" s="1122">
        <f>AO7+AO11+AO22+AO26+AO30</f>
        <v/>
      </c>
      <c r="AP34" s="60">
        <f>AP7+AP11+AP22+AP26+AP30</f>
        <v/>
      </c>
      <c r="AQ34" s="60">
        <f>AQ7+AQ11+AQ22+AQ26+AQ30</f>
        <v/>
      </c>
      <c r="AR34" s="60">
        <f>AR7+AR11+AR22+AR26+AR30</f>
        <v/>
      </c>
      <c r="AS34" s="61">
        <f>AS7+AS11+AS22+AS26+AS30</f>
        <v/>
      </c>
      <c r="AT34" s="1122">
        <f>AT7+AT11+AT22+AT26+AT30</f>
        <v/>
      </c>
      <c r="AU34" s="60">
        <f>AU7+AU11+AU22+AU26+AU30</f>
        <v/>
      </c>
      <c r="AV34" s="60">
        <f>AV7+AV11+AV22+AV26+AV30</f>
        <v/>
      </c>
      <c r="AW34" s="60">
        <f>AW7+AW11+AW22+AW26+AW30</f>
        <v/>
      </c>
      <c r="AX34" s="61">
        <f>AX7+AX11+AX22+AX26+AX30</f>
        <v/>
      </c>
      <c r="AY34" s="1122">
        <f>AY7+AY11+AY22+AY26+AY30</f>
        <v/>
      </c>
      <c r="AZ34" s="60">
        <f>AZ7+AZ11+AZ22+AZ26+AZ30</f>
        <v/>
      </c>
      <c r="BA34" s="60">
        <f>BA7+BA11+BA22+BA26+BA30</f>
        <v/>
      </c>
      <c r="BB34" s="60">
        <f>BB7+BB11+BB22+BB26+BB30</f>
        <v/>
      </c>
      <c r="BC34" s="61">
        <f>BC7+BC11+BC22+BC26+BC30</f>
        <v/>
      </c>
      <c r="BD34" s="1122">
        <f>BD7+BD11+BD22+BD26+BD30</f>
        <v/>
      </c>
      <c r="BE34" s="60">
        <f>BE7+BE11+BE22+BE26+BE30</f>
        <v/>
      </c>
      <c r="BF34" s="60">
        <f>BF7+BF11+BF22+BF26+BF30</f>
        <v/>
      </c>
      <c r="BG34" s="60">
        <f>BG7+BG11+BG22+BG26+BG30</f>
        <v/>
      </c>
      <c r="BH34" s="61">
        <f>BH7+BH11+BH22+BH26+BH30</f>
        <v/>
      </c>
      <c r="BI34" s="1122">
        <f>BI7+BI11+BI22+BI26+BI30</f>
        <v/>
      </c>
      <c r="BJ34" s="60">
        <f>BJ7+BJ11+BJ22+BJ26+BJ30</f>
        <v/>
      </c>
      <c r="BK34" s="60">
        <f>BK7+BK11+BK22+BK26+BK30</f>
        <v/>
      </c>
      <c r="BL34" s="60">
        <f>BL7+BL11+BL22+BL26+BL30</f>
        <v/>
      </c>
      <c r="BM34" s="61">
        <f>BM7+BM11+BM22+BM26+BM30</f>
        <v/>
      </c>
      <c r="BN34" s="1122">
        <f>BN7+BN11+BN22+BN26+BN30</f>
        <v/>
      </c>
      <c r="BO34" s="60">
        <f>BO7+BO11+BO22+BO26+BO30</f>
        <v/>
      </c>
      <c r="BP34" s="60">
        <f>BP7+BP11+BP22+BP26+BP30</f>
        <v/>
      </c>
      <c r="BQ34" s="60">
        <f>BQ7+BQ11+BQ22+BQ26+BQ30</f>
        <v/>
      </c>
      <c r="BR34" s="61">
        <f>BR7+BR11+BR22+BR26+BR30</f>
        <v/>
      </c>
      <c r="BS34" s="1122">
        <f>BS7+BS11+BS22+BS26+BS30</f>
        <v/>
      </c>
      <c r="BT34" s="60">
        <f>BT7+BT11+BT22+BT26+BT30</f>
        <v/>
      </c>
      <c r="BU34" s="60">
        <f>BU7+BU11+BU22+BU26+BU30</f>
        <v/>
      </c>
      <c r="BV34" s="883">
        <f>BV7+BV11+BV22+BV26+BV30</f>
        <v/>
      </c>
      <c r="BW34" s="61">
        <f>BW7+BW11+BW22+BW26+BW30</f>
        <v/>
      </c>
      <c r="BX34" s="1122">
        <f>BX7+BX11+BX22+BX26+BX30</f>
        <v/>
      </c>
      <c r="BY34" s="61">
        <f>BY7+BY11+BY22+BY26+BY30</f>
        <v/>
      </c>
      <c r="BZ34" s="61">
        <f>BZ7+BZ11+BZ22+BZ26+BZ30</f>
        <v/>
      </c>
      <c r="CA34" s="61">
        <f>CA7+CA11+CA22+CA26+CA30</f>
        <v/>
      </c>
      <c r="CB34" s="61">
        <f>CB7+CB11+CB22+CB26+CB30</f>
        <v/>
      </c>
      <c r="CC34" s="1122">
        <f>CC7+CC11+CC22+CC26+CC30</f>
        <v/>
      </c>
      <c r="CD34" s="1122">
        <f>CD7+CD11+CD22+CD26+CD30</f>
        <v/>
      </c>
      <c r="CE34" s="1122">
        <f>CE7+CE11+CE22+CE26+CE30</f>
        <v/>
      </c>
      <c r="CF34" s="1122">
        <f>CF7+CF11+CF22+CF26+CF30</f>
        <v/>
      </c>
      <c r="CG34" s="155" t="n"/>
    </row>
    <row r="35">
      <c r="A35" s="642">
        <f>CONCATENATE("Consensus Estimates - ",IFERROR(LEFT(A34,FIND("(",A34)-1),A34))</f>
        <v/>
      </c>
      <c r="B35" s="641" t="n"/>
      <c r="C35" s="1117" t="n"/>
      <c r="D35" s="1117" t="n"/>
      <c r="E35" s="1117" t="n"/>
      <c r="F35" s="1117" t="n"/>
      <c r="G35" s="76" t="n"/>
      <c r="H35" s="76" t="n"/>
      <c r="I35" s="76" t="n"/>
      <c r="J35" s="76" t="n"/>
      <c r="K35" s="1117" t="n"/>
      <c r="L35" s="76" t="n"/>
      <c r="M35" s="76" t="n"/>
      <c r="N35" s="76" t="n"/>
      <c r="O35" s="76" t="n"/>
      <c r="P35" s="1117" t="n"/>
      <c r="Q35" s="76" t="n"/>
      <c r="R35" s="76" t="n"/>
      <c r="S35" s="76" t="n"/>
      <c r="T35" s="76" t="n"/>
      <c r="U35" s="1117" t="n"/>
      <c r="V35" s="76" t="n"/>
      <c r="W35" s="76" t="n"/>
      <c r="X35" s="76" t="n"/>
      <c r="Y35" s="76" t="n"/>
      <c r="Z35" s="1117" t="n"/>
      <c r="AA35" s="76" t="n"/>
      <c r="AB35" s="76" t="n"/>
      <c r="AC35" s="76" t="n"/>
      <c r="AD35" s="76" t="n"/>
      <c r="AE35" s="1117" t="n"/>
      <c r="AF35" s="76" t="n"/>
      <c r="AG35" s="76" t="n"/>
      <c r="AH35" s="76" t="n"/>
      <c r="AI35" s="76" t="n"/>
      <c r="AJ35" s="1117" t="n"/>
      <c r="AK35" s="76" t="n"/>
      <c r="AL35" s="76" t="n"/>
      <c r="AM35" s="76" t="n"/>
      <c r="AN35" s="76" t="n"/>
      <c r="AO35" s="1117" t="n"/>
      <c r="AP35" s="76" t="n"/>
      <c r="AQ35" s="76" t="n"/>
      <c r="AR35" s="76" t="n"/>
      <c r="AS35" s="76" t="n"/>
      <c r="AT35" s="1117" t="n"/>
      <c r="AU35" s="76" t="n"/>
      <c r="AV35" s="76" t="n"/>
      <c r="AW35" s="76" t="n"/>
      <c r="AX35" s="76" t="n"/>
      <c r="AY35" s="1117" t="n"/>
      <c r="AZ35" s="76" t="n"/>
      <c r="BA35" s="76" t="n"/>
      <c r="BB35" s="76" t="n"/>
      <c r="BC35" s="76" t="n"/>
      <c r="BD35" s="1117" t="n"/>
      <c r="BE35" s="76" t="n"/>
      <c r="BF35" s="76" t="n"/>
      <c r="BG35" s="76" t="n"/>
      <c r="BH35" s="76" t="n"/>
      <c r="BI35" s="1117" t="n"/>
      <c r="BJ35" s="76" t="n"/>
      <c r="BK35" s="76" t="n"/>
      <c r="BL35" s="76" t="n"/>
      <c r="BM35" s="76" t="n"/>
      <c r="BN35" s="1117" t="n"/>
      <c r="BO35" s="76" t="n"/>
      <c r="BP35" s="76" t="n"/>
      <c r="BQ35" s="76" t="n"/>
      <c r="BR35" s="76" t="n"/>
      <c r="BS35" s="1117" t="n"/>
      <c r="BT35" s="76" t="n"/>
      <c r="BU35" s="76" t="n"/>
      <c r="BV35" s="881" t="n"/>
      <c r="BW35" s="868">
        <f>BW363</f>
        <v/>
      </c>
      <c r="BX35" s="1124">
        <f>BX363</f>
        <v/>
      </c>
      <c r="BY35" s="868">
        <f>BY363</f>
        <v/>
      </c>
      <c r="BZ35" s="868">
        <f>BZ363</f>
        <v/>
      </c>
      <c r="CA35" s="868">
        <f>CA363</f>
        <v/>
      </c>
      <c r="CB35" s="868">
        <f>CB363</f>
        <v/>
      </c>
      <c r="CC35" s="1124">
        <f>CC363</f>
        <v/>
      </c>
      <c r="CD35" s="1124">
        <f>CD363</f>
        <v/>
      </c>
      <c r="CE35" s="1124">
        <f>CE363</f>
        <v/>
      </c>
      <c r="CF35" s="1124">
        <f>CF363</f>
        <v/>
      </c>
      <c r="CG35" s="155" t="n"/>
    </row>
    <row r="36">
      <c r="A36" s="642" t="inlineStr">
        <is>
          <t>Guidance - Total Revenue, mm</t>
        </is>
      </c>
      <c r="B36" s="641" t="n"/>
      <c r="C36" s="1117" t="n"/>
      <c r="D36" s="1117" t="n"/>
      <c r="E36" s="1117" t="n"/>
      <c r="F36" s="1117" t="n"/>
      <c r="G36" s="76" t="n"/>
      <c r="H36" s="76" t="n"/>
      <c r="I36" s="76" t="n"/>
      <c r="J36" s="76" t="n"/>
      <c r="K36" s="1117" t="n"/>
      <c r="L36" s="76" t="n"/>
      <c r="M36" s="76" t="n"/>
      <c r="N36" s="76" t="n"/>
      <c r="O36" s="76" t="n"/>
      <c r="P36" s="1117" t="n"/>
      <c r="Q36" s="76" t="n"/>
      <c r="R36" s="76" t="n"/>
      <c r="S36" s="76" t="n"/>
      <c r="T36" s="76" t="n"/>
      <c r="U36" s="1117" t="n"/>
      <c r="V36" s="76" t="n"/>
      <c r="W36" s="76" t="n"/>
      <c r="X36" s="76" t="n"/>
      <c r="Y36" s="76" t="n"/>
      <c r="Z36" s="1117" t="n"/>
      <c r="AA36" s="76" t="n"/>
      <c r="AB36" s="76" t="n"/>
      <c r="AC36" s="76" t="n"/>
      <c r="AD36" s="76" t="n"/>
      <c r="AE36" s="1117" t="n"/>
      <c r="AF36" s="76" t="n"/>
      <c r="AG36" s="76" t="n"/>
      <c r="AH36" s="76" t="n"/>
      <c r="AI36" s="76" t="n"/>
      <c r="AJ36" s="1117" t="n"/>
      <c r="AK36" s="76" t="n"/>
      <c r="AL36" s="76" t="n"/>
      <c r="AM36" s="76" t="n"/>
      <c r="AN36" s="76" t="n"/>
      <c r="AO36" s="1117" t="n"/>
      <c r="AP36" s="76" t="n"/>
      <c r="AQ36" s="76" t="n"/>
      <c r="AR36" s="76" t="n"/>
      <c r="AS36" s="76" t="n"/>
      <c r="AT36" s="1117" t="n"/>
      <c r="AU36" s="76" t="n"/>
      <c r="AV36" s="76" t="n"/>
      <c r="AW36" s="76" t="n"/>
      <c r="AX36" s="76" t="n"/>
      <c r="AY36" s="1117" t="n"/>
      <c r="AZ36" s="76" t="n"/>
      <c r="BA36" s="76" t="n"/>
      <c r="BB36" s="76" t="n"/>
      <c r="BC36" s="76" t="n"/>
      <c r="BD36" s="1117" t="n"/>
      <c r="BE36" s="76" t="n"/>
      <c r="BF36" s="76" t="n"/>
      <c r="BG36" s="76" t="n"/>
      <c r="BH36" s="76" t="n"/>
      <c r="BI36" s="1117" t="n"/>
      <c r="BJ36" s="76" t="n"/>
      <c r="BK36" s="76" t="n"/>
      <c r="BL36" s="76" t="n"/>
      <c r="BM36" s="76" t="n"/>
      <c r="BN36" s="1117" t="n"/>
      <c r="BO36" s="76" t="n"/>
      <c r="BP36" s="76" t="n"/>
      <c r="BQ36" s="76" t="n"/>
      <c r="BR36" s="76" t="n"/>
      <c r="BS36" s="1117" t="n"/>
      <c r="BT36" s="76" t="n"/>
      <c r="BU36" s="76" t="n"/>
      <c r="BV36" s="881" t="n"/>
      <c r="BW36" s="76">
        <f>BW572</f>
        <v/>
      </c>
      <c r="BX36" s="1117">
        <f>BX572</f>
        <v/>
      </c>
      <c r="BY36" s="76">
        <f>BY572</f>
        <v/>
      </c>
      <c r="BZ36" s="76">
        <f>BZ572</f>
        <v/>
      </c>
      <c r="CA36" s="76">
        <f>CA572</f>
        <v/>
      </c>
      <c r="CB36" s="76">
        <f>CB572</f>
        <v/>
      </c>
      <c r="CC36" s="1117">
        <f>CC572</f>
        <v/>
      </c>
      <c r="CD36" s="1117">
        <f>CD572</f>
        <v/>
      </c>
      <c r="CE36" s="1117">
        <f>CE572</f>
        <v/>
      </c>
      <c r="CF36" s="1117">
        <f>CF572</f>
        <v/>
      </c>
      <c r="CG36" s="155" t="n"/>
    </row>
    <row r="37">
      <c r="A37" s="642" t="inlineStr">
        <is>
          <t>Q/Q Total Revenue growth, %</t>
        </is>
      </c>
      <c r="B37" s="641" t="n"/>
      <c r="C37" s="1113" t="n"/>
      <c r="D37" s="1113" t="n"/>
      <c r="E37" s="1113" t="n"/>
      <c r="F37" s="1113" t="n"/>
      <c r="G37" s="90" t="n"/>
      <c r="H37" s="90">
        <f>H34/G34-1</f>
        <v/>
      </c>
      <c r="I37" s="90">
        <f>I34/H34-1</f>
        <v/>
      </c>
      <c r="J37" s="90">
        <f>J34/I34-1</f>
        <v/>
      </c>
      <c r="K37" s="1113" t="n"/>
      <c r="L37" s="90">
        <f>L34/J34-1</f>
        <v/>
      </c>
      <c r="M37" s="90">
        <f>M34/L34-1</f>
        <v/>
      </c>
      <c r="N37" s="90">
        <f>N34/M34-1</f>
        <v/>
      </c>
      <c r="O37" s="90">
        <f>O34/N34-1</f>
        <v/>
      </c>
      <c r="P37" s="1113" t="n"/>
      <c r="Q37" s="90">
        <f>Q34/O34-1</f>
        <v/>
      </c>
      <c r="R37" s="366">
        <f>R34/Q34-1</f>
        <v/>
      </c>
      <c r="S37" s="366">
        <f>S34/R34-1</f>
        <v/>
      </c>
      <c r="T37" s="366">
        <f>T34/S34-1</f>
        <v/>
      </c>
      <c r="U37" s="1113" t="n"/>
      <c r="V37" s="366">
        <f>V34/T34-1</f>
        <v/>
      </c>
      <c r="W37" s="366">
        <f>W34/V34-1</f>
        <v/>
      </c>
      <c r="X37" s="366">
        <f>X34/W34-1</f>
        <v/>
      </c>
      <c r="Y37" s="366">
        <f>Y34/X34-1</f>
        <v/>
      </c>
      <c r="Z37" s="1113" t="n"/>
      <c r="AA37" s="366">
        <f>AA34/Y34-1</f>
        <v/>
      </c>
      <c r="AB37" s="366">
        <f>AB34/AA34-1</f>
        <v/>
      </c>
      <c r="AC37" s="90">
        <f>AC34/AB34-1</f>
        <v/>
      </c>
      <c r="AD37" s="90">
        <f>AD34/AC34-1</f>
        <v/>
      </c>
      <c r="AE37" s="1113" t="n"/>
      <c r="AF37" s="90">
        <f>AF34/AD34-1</f>
        <v/>
      </c>
      <c r="AG37" s="366">
        <f>AG34/AF34-1</f>
        <v/>
      </c>
      <c r="AH37" s="366">
        <f>AH34/AG34-1</f>
        <v/>
      </c>
      <c r="AI37" s="90">
        <f>AI34/AH34-1</f>
        <v/>
      </c>
      <c r="AJ37" s="1113" t="n"/>
      <c r="AK37" s="366">
        <f>AK34/AI34-1</f>
        <v/>
      </c>
      <c r="AL37" s="366">
        <f>AL34/AK34-1</f>
        <v/>
      </c>
      <c r="AM37" s="366">
        <f>AM34/AL34-1</f>
        <v/>
      </c>
      <c r="AN37" s="90">
        <f>AN34/AM34-1</f>
        <v/>
      </c>
      <c r="AO37" s="1113" t="n"/>
      <c r="AP37" s="366">
        <f>AP34/AN34-1</f>
        <v/>
      </c>
      <c r="AQ37" s="366">
        <f>AQ34/AP34-1</f>
        <v/>
      </c>
      <c r="AR37" s="366">
        <f>AR34/AQ34-1</f>
        <v/>
      </c>
      <c r="AS37" s="90">
        <f>AS34/AR34-1</f>
        <v/>
      </c>
      <c r="AT37" s="1113" t="n"/>
      <c r="AU37" s="366">
        <f>AU34/AS34-1</f>
        <v/>
      </c>
      <c r="AV37" s="366">
        <f>AV34/AU34-1</f>
        <v/>
      </c>
      <c r="AW37" s="366">
        <f>AW34/AV34-1</f>
        <v/>
      </c>
      <c r="AX37" s="90">
        <f>AX34/AW34-1</f>
        <v/>
      </c>
      <c r="AY37" s="1113" t="n"/>
      <c r="AZ37" s="366">
        <f>AZ34/AX34-1</f>
        <v/>
      </c>
      <c r="BA37" s="366">
        <f>BA34/AZ34-1</f>
        <v/>
      </c>
      <c r="BB37" s="366">
        <f>BB34/BA34-1</f>
        <v/>
      </c>
      <c r="BC37" s="90">
        <f>BC34/BB34-1</f>
        <v/>
      </c>
      <c r="BD37" s="1113" t="n"/>
      <c r="BE37" s="366">
        <f>BE34/BC34-1</f>
        <v/>
      </c>
      <c r="BF37" s="366">
        <f>BF34/BE34-1</f>
        <v/>
      </c>
      <c r="BG37" s="366">
        <f>BG34/BF34-1</f>
        <v/>
      </c>
      <c r="BH37" s="90">
        <f>BH34/BG34-1</f>
        <v/>
      </c>
      <c r="BI37" s="1113" t="n"/>
      <c r="BJ37" s="366">
        <f>BJ34/BH34-1</f>
        <v/>
      </c>
      <c r="BK37" s="366">
        <f>BK34/BJ34-1</f>
        <v/>
      </c>
      <c r="BL37" s="366">
        <f>BL34/BK34-1</f>
        <v/>
      </c>
      <c r="BM37" s="90">
        <f>BM34/BL34-1</f>
        <v/>
      </c>
      <c r="BN37" s="1113" t="n"/>
      <c r="BO37" s="366">
        <f>BO34/BM34-1</f>
        <v/>
      </c>
      <c r="BP37" s="366">
        <f>BP34/BO34-1</f>
        <v/>
      </c>
      <c r="BQ37" s="366">
        <f>BQ34/BP34-1</f>
        <v/>
      </c>
      <c r="BR37" s="90">
        <f>BR34/BQ34-1</f>
        <v/>
      </c>
      <c r="BS37" s="1113" t="n"/>
      <c r="BT37" s="366">
        <f>BT34/BR34-1</f>
        <v/>
      </c>
      <c r="BU37" s="366">
        <f>BU34/BT34-1</f>
        <v/>
      </c>
      <c r="BV37" s="878">
        <f>BV34/BU34-1</f>
        <v/>
      </c>
      <c r="BW37" s="90">
        <f>BW34/BV34-1</f>
        <v/>
      </c>
      <c r="BX37" s="1113" t="n"/>
      <c r="BY37" s="90">
        <f>BY34/BW34-1</f>
        <v/>
      </c>
      <c r="BZ37" s="90">
        <f>BZ34/BY34-1</f>
        <v/>
      </c>
      <c r="CA37" s="90">
        <f>CA34/BZ34-1</f>
        <v/>
      </c>
      <c r="CB37" s="90">
        <f>CB34/CA34-1</f>
        <v/>
      </c>
      <c r="CC37" s="1113" t="n"/>
      <c r="CD37" s="1113" t="n"/>
      <c r="CE37" s="1113" t="n"/>
      <c r="CF37" s="1113" t="n"/>
      <c r="CG37" s="155" t="n"/>
    </row>
    <row r="38">
      <c r="A38" s="81" t="inlineStr">
        <is>
          <t>Y/Y Total Revenue Growth, %</t>
        </is>
      </c>
      <c r="B38" s="582" t="n"/>
      <c r="C38" s="1114" t="n"/>
      <c r="D38" s="1115">
        <f>D34/C34-1</f>
        <v/>
      </c>
      <c r="E38" s="1115">
        <f>E34/D34-1</f>
        <v/>
      </c>
      <c r="F38" s="1115">
        <f>F34/E34-1</f>
        <v/>
      </c>
      <c r="G38" s="643" t="n"/>
      <c r="H38" s="643" t="n"/>
      <c r="I38" s="643" t="n"/>
      <c r="J38" s="643" t="n"/>
      <c r="K38" s="1115">
        <f>K34/F34-1</f>
        <v/>
      </c>
      <c r="L38" s="990">
        <f>L34/G34-1</f>
        <v/>
      </c>
      <c r="M38" s="990">
        <f>M34/H34-1</f>
        <v/>
      </c>
      <c r="N38" s="990">
        <f>N34/I34-1</f>
        <v/>
      </c>
      <c r="O38" s="990">
        <f>O34/J34-1</f>
        <v/>
      </c>
      <c r="P38" s="1115">
        <f>P34/K34-1</f>
        <v/>
      </c>
      <c r="Q38" s="990">
        <f>Q34/L34-1</f>
        <v/>
      </c>
      <c r="R38" s="990">
        <f>R34/M34-1</f>
        <v/>
      </c>
      <c r="S38" s="990">
        <f>S34/N34-1</f>
        <v/>
      </c>
      <c r="T38" s="990">
        <f>T34/O34-1</f>
        <v/>
      </c>
      <c r="U38" s="1115">
        <f>U34/P34-1</f>
        <v/>
      </c>
      <c r="V38" s="990">
        <f>V34/Q34-1</f>
        <v/>
      </c>
      <c r="W38" s="990">
        <f>W34/R34-1</f>
        <v/>
      </c>
      <c r="X38" s="990">
        <f>X34/S34-1</f>
        <v/>
      </c>
      <c r="Y38" s="990">
        <f>Y34/T34-1</f>
        <v/>
      </c>
      <c r="Z38" s="1115">
        <f>Z34/U34-1</f>
        <v/>
      </c>
      <c r="AA38" s="990">
        <f>AA34/V34-1</f>
        <v/>
      </c>
      <c r="AB38" s="990">
        <f>AB34/W34-1</f>
        <v/>
      </c>
      <c r="AC38" s="990">
        <f>AC34/X34-1</f>
        <v/>
      </c>
      <c r="AD38" s="990">
        <f>AD34/Y34-1</f>
        <v/>
      </c>
      <c r="AE38" s="1115">
        <f>AE34/Z34-1</f>
        <v/>
      </c>
      <c r="AF38" s="990">
        <f>AF34/AA34-1</f>
        <v/>
      </c>
      <c r="AG38" s="990">
        <f>AG34/AB34-1</f>
        <v/>
      </c>
      <c r="AH38" s="990">
        <f>AH34/AC34-1</f>
        <v/>
      </c>
      <c r="AI38" s="990">
        <f>AI34/AD34-1</f>
        <v/>
      </c>
      <c r="AJ38" s="1115">
        <f>AJ34/AE34-1</f>
        <v/>
      </c>
      <c r="AK38" s="990">
        <f>AK34/AF34-1</f>
        <v/>
      </c>
      <c r="AL38" s="990">
        <f>AL34/AG34-1</f>
        <v/>
      </c>
      <c r="AM38" s="990">
        <f>AM34/AH34-1</f>
        <v/>
      </c>
      <c r="AN38" s="990">
        <f>AN34/AI34-1</f>
        <v/>
      </c>
      <c r="AO38" s="1115">
        <f>AO34/AJ34-1</f>
        <v/>
      </c>
      <c r="AP38" s="990">
        <f>AP34/AK34-1</f>
        <v/>
      </c>
      <c r="AQ38" s="990">
        <f>AQ34/AL34-1</f>
        <v/>
      </c>
      <c r="AR38" s="990">
        <f>AR34/AM34-1</f>
        <v/>
      </c>
      <c r="AS38" s="990">
        <f>AS34/AN34-1</f>
        <v/>
      </c>
      <c r="AT38" s="1115">
        <f>AT34/AO34-1</f>
        <v/>
      </c>
      <c r="AU38" s="990">
        <f>AU34/AP34-1</f>
        <v/>
      </c>
      <c r="AV38" s="990">
        <f>AV34/AQ34-1</f>
        <v/>
      </c>
      <c r="AW38" s="990">
        <f>AW34/AR34-1</f>
        <v/>
      </c>
      <c r="AX38" s="990">
        <f>AX34/AS34-1</f>
        <v/>
      </c>
      <c r="AY38" s="1115">
        <f>AY34/AT34-1</f>
        <v/>
      </c>
      <c r="AZ38" s="990">
        <f>AZ34/AU34-1</f>
        <v/>
      </c>
      <c r="BA38" s="990">
        <f>BA34/AV34-1</f>
        <v/>
      </c>
      <c r="BB38" s="990">
        <f>BB34/AW34-1</f>
        <v/>
      </c>
      <c r="BC38" s="990">
        <f>BC34/AX34-1</f>
        <v/>
      </c>
      <c r="BD38" s="1115">
        <f>BD34/AY34-1</f>
        <v/>
      </c>
      <c r="BE38" s="990">
        <f>BE34/AZ34-1</f>
        <v/>
      </c>
      <c r="BF38" s="990">
        <f>BF34/BA34-1</f>
        <v/>
      </c>
      <c r="BG38" s="990">
        <f>BG34/BB34-1</f>
        <v/>
      </c>
      <c r="BH38" s="990">
        <f>BH34/BC34-1</f>
        <v/>
      </c>
      <c r="BI38" s="1115">
        <f>BI34/BD34-1</f>
        <v/>
      </c>
      <c r="BJ38" s="990">
        <f>BJ34/BE34-1</f>
        <v/>
      </c>
      <c r="BK38" s="990">
        <f>BK34/BF34-1</f>
        <v/>
      </c>
      <c r="BL38" s="990">
        <f>BL34/BG34-1</f>
        <v/>
      </c>
      <c r="BM38" s="990">
        <f>BM34/BH34-1</f>
        <v/>
      </c>
      <c r="BN38" s="1115">
        <f>BN34/BI34-1</f>
        <v/>
      </c>
      <c r="BO38" s="990">
        <f>BO34/BJ34-1</f>
        <v/>
      </c>
      <c r="BP38" s="990">
        <f>BP34/BK34-1</f>
        <v/>
      </c>
      <c r="BQ38" s="990">
        <f>BQ34/BL34-1</f>
        <v/>
      </c>
      <c r="BR38" s="990">
        <f>BR34/BM34-1</f>
        <v/>
      </c>
      <c r="BS38" s="1115">
        <f>BS34/BN34-1</f>
        <v/>
      </c>
      <c r="BT38" s="990">
        <f>BT34/BO34-1</f>
        <v/>
      </c>
      <c r="BU38" s="990">
        <f>BU34/BP34-1</f>
        <v/>
      </c>
      <c r="BV38" s="879">
        <f>BV34/BQ34-1</f>
        <v/>
      </c>
      <c r="BW38" s="643">
        <f>BW34/BR34-1</f>
        <v/>
      </c>
      <c r="BX38" s="1114">
        <f>BX34/BS34-1</f>
        <v/>
      </c>
      <c r="BY38" s="643">
        <f>BY34/BT34-1</f>
        <v/>
      </c>
      <c r="BZ38" s="643">
        <f>BZ34/BU34-1</f>
        <v/>
      </c>
      <c r="CA38" s="643">
        <f>CA34/BV34-1</f>
        <v/>
      </c>
      <c r="CB38" s="643">
        <f>CB34/BW34-1</f>
        <v/>
      </c>
      <c r="CC38" s="1114">
        <f>CC34/BX34-1</f>
        <v/>
      </c>
      <c r="CD38" s="1114">
        <f>CD34/CC34-1</f>
        <v/>
      </c>
      <c r="CE38" s="1114">
        <f>CE34/CD34-1</f>
        <v/>
      </c>
      <c r="CF38" s="1114">
        <f>CF34/CE34-1</f>
        <v/>
      </c>
      <c r="CG38" s="155" t="n"/>
    </row>
    <row r="39">
      <c r="A39" s="600" t="n"/>
      <c r="B39" s="601" t="n"/>
      <c r="C39" s="1125" t="n"/>
      <c r="D39" s="1125" t="n"/>
      <c r="E39" s="1125" t="n"/>
      <c r="F39" s="1125" t="n"/>
      <c r="G39" s="63" t="n"/>
      <c r="H39" s="63" t="n"/>
      <c r="I39" s="63" t="n"/>
      <c r="J39" s="63" t="n"/>
      <c r="K39" s="1125" t="n"/>
      <c r="L39" s="63" t="n"/>
      <c r="M39" s="63" t="n"/>
      <c r="N39" s="63" t="n"/>
      <c r="O39" s="63" t="n"/>
      <c r="P39" s="1125" t="n"/>
      <c r="Q39" s="63" t="n"/>
      <c r="R39" s="63" t="n"/>
      <c r="S39" s="63" t="n"/>
      <c r="T39" s="63" t="n"/>
      <c r="U39" s="1125" t="n"/>
      <c r="V39" s="63" t="n"/>
      <c r="W39" s="63" t="n"/>
      <c r="X39" s="63" t="n"/>
      <c r="Y39" s="63" t="n"/>
      <c r="Z39" s="1125" t="n"/>
      <c r="AA39" s="63" t="n"/>
      <c r="AB39" s="63" t="n"/>
      <c r="AC39" s="63" t="n"/>
      <c r="AD39" s="63" t="n"/>
      <c r="AE39" s="1125" t="n"/>
      <c r="AF39" s="63" t="n"/>
      <c r="AG39" s="63" t="n"/>
      <c r="AH39" s="63" t="n"/>
      <c r="AI39" s="63" t="n"/>
      <c r="AJ39" s="1125" t="n"/>
      <c r="AK39" s="63" t="n"/>
      <c r="AL39" s="63" t="n"/>
      <c r="AM39" s="63" t="n"/>
      <c r="AN39" s="63" t="n"/>
      <c r="AO39" s="1125" t="n"/>
      <c r="AP39" s="63" t="n"/>
      <c r="AQ39" s="63" t="n"/>
      <c r="AR39" s="63" t="n"/>
      <c r="AS39" s="63" t="n"/>
      <c r="AT39" s="1125" t="n"/>
      <c r="AU39" s="63" t="n"/>
      <c r="AV39" s="63" t="n"/>
      <c r="AW39" s="63" t="n"/>
      <c r="AX39" s="63" t="n"/>
      <c r="AY39" s="1125" t="n"/>
      <c r="AZ39" s="63" t="n"/>
      <c r="BA39" s="63" t="n"/>
      <c r="BB39" s="63" t="n"/>
      <c r="BC39" s="63" t="n"/>
      <c r="BD39" s="1125" t="n"/>
      <c r="BE39" s="63" t="n"/>
      <c r="BF39" s="63" t="n"/>
      <c r="BG39" s="63" t="n"/>
      <c r="BH39" s="63" t="n"/>
      <c r="BI39" s="1125" t="n"/>
      <c r="BJ39" s="63" t="n"/>
      <c r="BK39" s="63" t="n"/>
      <c r="BL39" s="63" t="n"/>
      <c r="BM39" s="63" t="n"/>
      <c r="BN39" s="1125" t="n"/>
      <c r="BO39" s="63" t="n"/>
      <c r="BP39" s="63" t="n"/>
      <c r="BQ39" s="63" t="n"/>
      <c r="BR39" s="63" t="n"/>
      <c r="BS39" s="1125" t="n"/>
      <c r="BT39" s="63" t="n"/>
      <c r="BU39" s="63" t="n"/>
      <c r="BV39" s="587" t="n"/>
      <c r="BW39" s="63" t="n"/>
      <c r="BX39" s="1125" t="n"/>
      <c r="BY39" s="63" t="n"/>
      <c r="BZ39" s="63" t="n"/>
      <c r="CA39" s="63" t="n"/>
      <c r="CB39" s="63" t="n"/>
      <c r="CC39" s="1125" t="n"/>
      <c r="CD39" s="1125" t="n"/>
      <c r="CE39" s="1125" t="n"/>
      <c r="CF39" s="1125" t="n"/>
      <c r="CG39" s="155" t="n"/>
    </row>
    <row r="40">
      <c r="A40" s="636" t="inlineStr">
        <is>
          <t>Blackwell Revenue, mm</t>
        </is>
      </c>
      <c r="B40" s="598" t="n"/>
      <c r="C40" s="1110" t="n"/>
      <c r="D40" s="1110" t="n"/>
      <c r="E40" s="1110" t="n"/>
      <c r="F40" s="1110" t="n"/>
      <c r="G40" s="68" t="n"/>
      <c r="H40" s="68" t="n"/>
      <c r="I40" s="68" t="n"/>
      <c r="J40" s="68" t="n"/>
      <c r="K40" s="1110" t="n"/>
      <c r="L40" s="68" t="n"/>
      <c r="M40" s="68" t="n"/>
      <c r="N40" s="68" t="n"/>
      <c r="O40" s="68" t="n"/>
      <c r="P40" s="1110" t="n"/>
      <c r="Q40" s="68" t="n"/>
      <c r="R40" s="68" t="n"/>
      <c r="S40" s="68" t="n"/>
      <c r="T40" s="68" t="n"/>
      <c r="U40" s="1110" t="n"/>
      <c r="V40" s="68" t="n"/>
      <c r="W40" s="68" t="n"/>
      <c r="X40" s="68" t="n"/>
      <c r="Y40" s="68" t="n"/>
      <c r="Z40" s="1110" t="n"/>
      <c r="AA40" s="68" t="n"/>
      <c r="AB40" s="68" t="n"/>
      <c r="AC40" s="68" t="n"/>
      <c r="AD40" s="68" t="n"/>
      <c r="AE40" s="1110" t="n"/>
      <c r="AF40" s="68" t="n"/>
      <c r="AG40" s="68" t="n"/>
      <c r="AH40" s="68" t="n"/>
      <c r="AI40" s="68" t="n"/>
      <c r="AJ40" s="1110" t="n"/>
      <c r="AK40" s="68" t="n"/>
      <c r="AL40" s="68" t="n"/>
      <c r="AM40" s="68" t="n"/>
      <c r="AN40" s="68" t="n"/>
      <c r="AO40" s="1110" t="n"/>
      <c r="AP40" s="68" t="n"/>
      <c r="AQ40" s="68" t="n"/>
      <c r="AR40" s="68" t="n"/>
      <c r="AS40" s="68" t="n"/>
      <c r="AT40" s="1110" t="n"/>
      <c r="AU40" s="68" t="n"/>
      <c r="AV40" s="68" t="n"/>
      <c r="AW40" s="68" t="n"/>
      <c r="AX40" s="68" t="n"/>
      <c r="AY40" s="1110" t="n"/>
      <c r="AZ40" s="68" t="n"/>
      <c r="BA40" s="68" t="n"/>
      <c r="BB40" s="68" t="n"/>
      <c r="BC40" s="68" t="n"/>
      <c r="BD40" s="1110" t="n"/>
      <c r="BE40" s="68" t="n"/>
      <c r="BF40" s="68" t="n"/>
      <c r="BG40" s="68" t="n"/>
      <c r="BH40" s="68" t="n"/>
      <c r="BI40" s="1110" t="n"/>
      <c r="BJ40" s="68" t="n"/>
      <c r="BK40" s="68" t="n"/>
      <c r="BL40" s="68" t="n"/>
      <c r="BM40" s="68" t="n"/>
      <c r="BN40" s="1110" t="n"/>
      <c r="BO40" s="68" t="n"/>
      <c r="BP40" s="68" t="n"/>
      <c r="BQ40" s="68" t="n"/>
      <c r="BR40" s="1053" t="n">
        <v>11000</v>
      </c>
      <c r="BS40" s="1110" t="n"/>
      <c r="BT40" s="68" t="n"/>
      <c r="BU40" s="68" t="n"/>
      <c r="BV40" s="588" t="n"/>
      <c r="BW40" s="68" t="n"/>
      <c r="BX40" s="1110" t="n"/>
      <c r="BY40" s="68" t="n"/>
      <c r="BZ40" s="68" t="n"/>
      <c r="CA40" s="68" t="n"/>
      <c r="CB40" s="68" t="n"/>
      <c r="CC40" s="1110" t="n"/>
      <c r="CD40" s="1110" t="n"/>
      <c r="CE40" s="1110" t="n"/>
      <c r="CF40" s="1110" t="n"/>
      <c r="CG40" s="155" t="n"/>
    </row>
    <row r="41">
      <c r="A41" s="636" t="inlineStr">
        <is>
          <t>CMP Revenue, mm</t>
        </is>
      </c>
      <c r="B41" s="598" t="n"/>
      <c r="C41" s="1110" t="n"/>
      <c r="D41" s="1110" t="n"/>
      <c r="E41" s="1110" t="n"/>
      <c r="F41" s="1110" t="n"/>
      <c r="G41" s="68" t="n"/>
      <c r="H41" s="68" t="n"/>
      <c r="I41" s="68" t="n"/>
      <c r="J41" s="68" t="n"/>
      <c r="K41" s="1110" t="n"/>
      <c r="L41" s="68" t="n"/>
      <c r="M41" s="68" t="n"/>
      <c r="N41" s="68" t="n"/>
      <c r="O41" s="68" t="n"/>
      <c r="P41" s="1110" t="n"/>
      <c r="Q41" s="68" t="n"/>
      <c r="R41" s="68" t="n"/>
      <c r="S41" s="68" t="n"/>
      <c r="T41" s="68" t="n"/>
      <c r="U41" s="1110" t="n"/>
      <c r="V41" s="68" t="n"/>
      <c r="W41" s="68" t="n"/>
      <c r="X41" s="68" t="n"/>
      <c r="Y41" s="68" t="n"/>
      <c r="Z41" s="1110" t="n"/>
      <c r="AA41" s="68" t="n"/>
      <c r="AB41" s="68" t="n"/>
      <c r="AC41" s="68" t="n"/>
      <c r="AD41" s="68" t="n"/>
      <c r="AE41" s="1110" t="n"/>
      <c r="AF41" s="1053" t="n">
        <v>289</v>
      </c>
      <c r="AG41" s="68" t="n"/>
      <c r="AH41" s="68" t="n"/>
      <c r="AI41" s="68" t="n"/>
      <c r="AJ41" s="1110" t="n"/>
      <c r="AK41" s="1053" t="n">
        <v>0</v>
      </c>
      <c r="AL41" s="68" t="n"/>
      <c r="AM41" s="68" t="n"/>
      <c r="AN41" s="68" t="n"/>
      <c r="AO41" s="1110" t="n"/>
      <c r="AP41" s="68" t="n"/>
      <c r="AQ41" s="68" t="n"/>
      <c r="AR41" s="68" t="n"/>
      <c r="AS41" s="68" t="n"/>
      <c r="AT41" s="1110" t="n"/>
      <c r="AU41" s="68" t="n"/>
      <c r="AV41" s="68" t="n"/>
      <c r="AW41" s="68" t="n"/>
      <c r="AX41" s="68" t="n"/>
      <c r="AY41" s="1111" t="n">
        <v>0</v>
      </c>
      <c r="AZ41" s="1053" t="n">
        <v>155</v>
      </c>
      <c r="BA41" s="1053" t="n">
        <v>266</v>
      </c>
      <c r="BB41" s="1053" t="n">
        <v>105</v>
      </c>
      <c r="BC41" s="68">
        <f>BD41-SUM(AZ41,BA41,BB41)</f>
        <v/>
      </c>
      <c r="BD41" s="1111" t="n">
        <v>550</v>
      </c>
      <c r="BE41" s="1053" t="n">
        <v>0</v>
      </c>
      <c r="BF41" s="1053" t="n">
        <v>0</v>
      </c>
      <c r="BG41" s="1053" t="n">
        <v>0</v>
      </c>
      <c r="BH41" s="68">
        <f>BI41-SUM(BE41,BF41,BG41)</f>
        <v/>
      </c>
      <c r="BI41" s="1111" t="n">
        <v>0</v>
      </c>
      <c r="BJ41" s="68" t="n"/>
      <c r="BK41" s="68" t="n"/>
      <c r="BL41" s="68" t="n"/>
      <c r="BM41" s="68">
        <f>BN41-SUM(BJ41,BK41,BL41)</f>
        <v/>
      </c>
      <c r="BN41" s="1110" t="n"/>
      <c r="BO41" s="68" t="n"/>
      <c r="BP41" s="68" t="n"/>
      <c r="BQ41" s="68" t="n"/>
      <c r="BR41" s="68">
        <f>BS41-SUM(BO41,BP41,BQ41)</f>
        <v/>
      </c>
      <c r="BS41" s="1110" t="n"/>
      <c r="BT41" s="68" t="n"/>
      <c r="BU41" s="68" t="n"/>
      <c r="BV41" s="588" t="n"/>
      <c r="BW41" s="68" t="n"/>
      <c r="BX41" s="1110" t="n"/>
      <c r="BY41" s="68" t="n"/>
      <c r="BZ41" s="68" t="n"/>
      <c r="CA41" s="68" t="n"/>
      <c r="CB41" s="68" t="n"/>
      <c r="CC41" s="1110" t="n"/>
      <c r="CD41" s="1110" t="n"/>
      <c r="CE41" s="1110" t="n"/>
      <c r="CF41" s="1110" t="n"/>
      <c r="CG41" s="155" t="n"/>
    </row>
    <row r="42">
      <c r="A42" s="600" t="n"/>
      <c r="B42" s="601" t="n"/>
      <c r="C42" s="1125" t="n"/>
      <c r="D42" s="1125" t="n"/>
      <c r="E42" s="1125" t="n"/>
      <c r="F42" s="1125" t="n"/>
      <c r="G42" s="63" t="n"/>
      <c r="H42" s="63" t="n"/>
      <c r="I42" s="63" t="n"/>
      <c r="J42" s="63" t="n"/>
      <c r="K42" s="1125" t="n"/>
      <c r="L42" s="63" t="n"/>
      <c r="M42" s="63" t="n"/>
      <c r="N42" s="63" t="n"/>
      <c r="O42" s="63" t="n"/>
      <c r="P42" s="1125" t="n"/>
      <c r="Q42" s="63" t="n"/>
      <c r="R42" s="63" t="n"/>
      <c r="S42" s="63" t="n"/>
      <c r="T42" s="63" t="n"/>
      <c r="U42" s="1125" t="n"/>
      <c r="V42" s="63" t="n"/>
      <c r="W42" s="63" t="n"/>
      <c r="X42" s="63" t="n"/>
      <c r="Y42" s="63" t="n"/>
      <c r="Z42" s="1125" t="n"/>
      <c r="AA42" s="63" t="n"/>
      <c r="AB42" s="63" t="n"/>
      <c r="AC42" s="63" t="n"/>
      <c r="AD42" s="63" t="n"/>
      <c r="AE42" s="1125" t="n"/>
      <c r="AF42" s="63" t="n"/>
      <c r="AG42" s="63" t="n"/>
      <c r="AH42" s="63" t="n"/>
      <c r="AI42" s="63" t="n"/>
      <c r="AJ42" s="1125" t="n"/>
      <c r="AK42" s="63" t="n"/>
      <c r="AL42" s="63" t="n"/>
      <c r="AM42" s="63" t="n"/>
      <c r="AN42" s="63" t="n"/>
      <c r="AO42" s="1125" t="n"/>
      <c r="AP42" s="63" t="n"/>
      <c r="AQ42" s="63" t="n"/>
      <c r="AR42" s="63" t="n"/>
      <c r="AS42" s="63" t="n"/>
      <c r="AT42" s="1125" t="n"/>
      <c r="AU42" s="63" t="n"/>
      <c r="AV42" s="63" t="n"/>
      <c r="AW42" s="63" t="n"/>
      <c r="AX42" s="63" t="n"/>
      <c r="AY42" s="1125" t="n"/>
      <c r="AZ42" s="63" t="n"/>
      <c r="BA42" s="63" t="n"/>
      <c r="BB42" s="63" t="n"/>
      <c r="BC42" s="63" t="n"/>
      <c r="BD42" s="1125" t="n"/>
      <c r="BE42" s="63" t="n"/>
      <c r="BF42" s="63" t="n"/>
      <c r="BG42" s="63" t="n"/>
      <c r="BH42" s="63" t="n"/>
      <c r="BI42" s="1125" t="n"/>
      <c r="BJ42" s="63" t="n"/>
      <c r="BK42" s="63" t="n"/>
      <c r="BL42" s="63" t="n"/>
      <c r="BM42" s="63" t="n"/>
      <c r="BN42" s="1125" t="n"/>
      <c r="BO42" s="63" t="n"/>
      <c r="BP42" s="63" t="n"/>
      <c r="BQ42" s="63" t="n"/>
      <c r="BR42" s="63" t="n"/>
      <c r="BS42" s="1125" t="n"/>
      <c r="BT42" s="63" t="n"/>
      <c r="BU42" s="63" t="n"/>
      <c r="BV42" s="587" t="n"/>
      <c r="BW42" s="63" t="n"/>
      <c r="BX42" s="1125" t="n"/>
      <c r="BY42" s="63" t="n"/>
      <c r="BZ42" s="63" t="n"/>
      <c r="CA42" s="63" t="n"/>
      <c r="CB42" s="63" t="n"/>
      <c r="CC42" s="1125" t="n"/>
      <c r="CD42" s="1125" t="n"/>
      <c r="CE42" s="1125" t="n"/>
      <c r="CF42" s="1125" t="n"/>
      <c r="CG42" s="155" t="n"/>
    </row>
    <row r="43">
      <c r="A43" s="45" t="inlineStr">
        <is>
          <t>Operating Expense Forecasting</t>
        </is>
      </c>
      <c r="B43" s="45" t="n"/>
      <c r="C43" s="45" t="n"/>
      <c r="D43" s="45" t="n"/>
      <c r="E43" s="45" t="n"/>
      <c r="F43" s="45" t="n"/>
      <c r="G43" s="45" t="n"/>
      <c r="H43" s="45" t="n"/>
      <c r="I43" s="45" t="n"/>
      <c r="J43" s="45" t="n"/>
      <c r="K43" s="45" t="n"/>
      <c r="L43" s="45" t="n"/>
      <c r="M43" s="45" t="n"/>
      <c r="N43" s="45" t="n"/>
      <c r="O43" s="45" t="n"/>
      <c r="P43" s="45" t="n"/>
      <c r="Q43" s="45" t="n"/>
      <c r="R43" s="45" t="n"/>
      <c r="S43" s="45" t="n"/>
      <c r="T43" s="45" t="n"/>
      <c r="U43" s="45" t="n"/>
      <c r="V43" s="45" t="n"/>
      <c r="W43" s="45" t="n"/>
      <c r="X43" s="45" t="n"/>
      <c r="Y43" s="45" t="n"/>
      <c r="Z43" s="45" t="n"/>
      <c r="AA43" s="45" t="n"/>
      <c r="AB43" s="45" t="n"/>
      <c r="AC43" s="45" t="n"/>
      <c r="AD43" s="45" t="n"/>
      <c r="AE43" s="45" t="n"/>
      <c r="AF43" s="45" t="n"/>
      <c r="AG43" s="45" t="n"/>
      <c r="AH43" s="45" t="n"/>
      <c r="AI43" s="45" t="n"/>
      <c r="AJ43" s="45" t="n"/>
      <c r="AK43" s="45" t="n"/>
      <c r="AL43" s="45" t="n"/>
      <c r="AM43" s="45" t="n"/>
      <c r="AN43" s="45" t="n"/>
      <c r="AO43" s="45" t="n"/>
      <c r="AP43" s="45" t="n"/>
      <c r="AQ43" s="45" t="n"/>
      <c r="AR43" s="45" t="n"/>
      <c r="AS43" s="45" t="n"/>
      <c r="AT43" s="45" t="n"/>
      <c r="AU43" s="45" t="n"/>
      <c r="AV43" s="45" t="n"/>
      <c r="AW43" s="45" t="n"/>
      <c r="AX43" s="45" t="n"/>
      <c r="AY43" s="45" t="n"/>
      <c r="AZ43" s="45" t="n"/>
      <c r="BA43" s="45" t="n"/>
      <c r="BB43" s="45" t="n"/>
      <c r="BC43" s="45" t="n"/>
      <c r="BD43" s="45" t="n"/>
      <c r="BE43" s="45" t="n"/>
      <c r="BF43" s="45" t="n"/>
      <c r="BG43" s="45" t="n"/>
      <c r="BH43" s="45" t="n"/>
      <c r="BI43" s="45" t="n"/>
      <c r="BJ43" s="45" t="n"/>
      <c r="BK43" s="45" t="n"/>
      <c r="BL43" s="45" t="n"/>
      <c r="BM43" s="45" t="n"/>
      <c r="BN43" s="45" t="n"/>
      <c r="BO43" s="45" t="n"/>
      <c r="BP43" s="45" t="n"/>
      <c r="BQ43" s="45" t="n"/>
      <c r="BR43" s="45" t="n"/>
      <c r="BS43" s="45" t="n"/>
      <c r="BT43" s="45" t="n"/>
      <c r="BU43" s="45" t="n"/>
      <c r="BV43" s="982" t="n"/>
      <c r="BW43" s="45" t="n"/>
      <c r="BX43" s="45" t="n"/>
      <c r="BY43" s="45" t="n"/>
      <c r="BZ43" s="45" t="n"/>
      <c r="CA43" s="45" t="n"/>
      <c r="CB43" s="45" t="n"/>
      <c r="CC43" s="45" t="n"/>
      <c r="CD43" s="45" t="n"/>
      <c r="CE43" s="45" t="n"/>
      <c r="CF43" s="45" t="n"/>
      <c r="CG43" s="155" t="n"/>
    </row>
    <row r="44" hidden="1" outlineLevel="1">
      <c r="A44" s="600" t="inlineStr">
        <is>
          <t>Revenue, mm</t>
        </is>
      </c>
      <c r="B44" s="601" t="n"/>
      <c r="C44" s="1125">
        <f>C292</f>
        <v/>
      </c>
      <c r="D44" s="1125">
        <f>D292</f>
        <v/>
      </c>
      <c r="E44" s="1125">
        <f>E292</f>
        <v/>
      </c>
      <c r="F44" s="1125">
        <f>F292</f>
        <v/>
      </c>
      <c r="G44" s="63">
        <f>G292</f>
        <v/>
      </c>
      <c r="H44" s="63">
        <f>H292</f>
        <v/>
      </c>
      <c r="I44" s="63">
        <f>I292</f>
        <v/>
      </c>
      <c r="J44" s="63">
        <f>J292</f>
        <v/>
      </c>
      <c r="K44" s="1125">
        <f>K292</f>
        <v/>
      </c>
      <c r="L44" s="63">
        <f>L292</f>
        <v/>
      </c>
      <c r="M44" s="63">
        <f>M292</f>
        <v/>
      </c>
      <c r="N44" s="63">
        <f>N292</f>
        <v/>
      </c>
      <c r="O44" s="63">
        <f>O292</f>
        <v/>
      </c>
      <c r="P44" s="1125">
        <f>P34</f>
        <v/>
      </c>
      <c r="Q44" s="63">
        <f>Q34</f>
        <v/>
      </c>
      <c r="R44" s="63">
        <f>R34</f>
        <v/>
      </c>
      <c r="S44" s="63">
        <f>S34</f>
        <v/>
      </c>
      <c r="T44" s="63">
        <f>T34</f>
        <v/>
      </c>
      <c r="U44" s="1125">
        <f>U34</f>
        <v/>
      </c>
      <c r="V44" s="63">
        <f>V34</f>
        <v/>
      </c>
      <c r="W44" s="63">
        <f>W34</f>
        <v/>
      </c>
      <c r="X44" s="63">
        <f>X34</f>
        <v/>
      </c>
      <c r="Y44" s="63">
        <f>Y34</f>
        <v/>
      </c>
      <c r="Z44" s="1125">
        <f>Z34</f>
        <v/>
      </c>
      <c r="AA44" s="63">
        <f>AA34</f>
        <v/>
      </c>
      <c r="AB44" s="63">
        <f>AB34</f>
        <v/>
      </c>
      <c r="AC44" s="63">
        <f>AC34</f>
        <v/>
      </c>
      <c r="AD44" s="63">
        <f>AD34</f>
        <v/>
      </c>
      <c r="AE44" s="1125">
        <f>AE34</f>
        <v/>
      </c>
      <c r="AF44" s="63">
        <f>AF34</f>
        <v/>
      </c>
      <c r="AG44" s="63">
        <f>AG34</f>
        <v/>
      </c>
      <c r="AH44" s="63">
        <f>AH34</f>
        <v/>
      </c>
      <c r="AI44" s="63">
        <f>AI34</f>
        <v/>
      </c>
      <c r="AJ44" s="1125">
        <f>AJ34</f>
        <v/>
      </c>
      <c r="AK44" s="63">
        <f>AK34</f>
        <v/>
      </c>
      <c r="AL44" s="63">
        <f>AL34</f>
        <v/>
      </c>
      <c r="AM44" s="63">
        <f>AM34</f>
        <v/>
      </c>
      <c r="AN44" s="63">
        <f>AN34</f>
        <v/>
      </c>
      <c r="AO44" s="1125">
        <f>AO34</f>
        <v/>
      </c>
      <c r="AP44" s="63">
        <f>AP34</f>
        <v/>
      </c>
      <c r="AQ44" s="63">
        <f>AQ34</f>
        <v/>
      </c>
      <c r="AR44" s="63">
        <f>AR34</f>
        <v/>
      </c>
      <c r="AS44" s="63">
        <f>AS34</f>
        <v/>
      </c>
      <c r="AT44" s="1125">
        <f>AT34</f>
        <v/>
      </c>
      <c r="AU44" s="63">
        <f>AU34</f>
        <v/>
      </c>
      <c r="AV44" s="63">
        <f>AV34</f>
        <v/>
      </c>
      <c r="AW44" s="63">
        <f>AW34</f>
        <v/>
      </c>
      <c r="AX44" s="63">
        <f>AX34</f>
        <v/>
      </c>
      <c r="AY44" s="1125">
        <f>AY34</f>
        <v/>
      </c>
      <c r="AZ44" s="63">
        <f>AZ34</f>
        <v/>
      </c>
      <c r="BA44" s="63">
        <f>BA34</f>
        <v/>
      </c>
      <c r="BB44" s="63">
        <f>BB34</f>
        <v/>
      </c>
      <c r="BC44" s="63">
        <f>BC34</f>
        <v/>
      </c>
      <c r="BD44" s="1125">
        <f>BD34</f>
        <v/>
      </c>
      <c r="BE44" s="63">
        <f>BE34</f>
        <v/>
      </c>
      <c r="BF44" s="63">
        <f>BF34</f>
        <v/>
      </c>
      <c r="BG44" s="63">
        <f>BG34</f>
        <v/>
      </c>
      <c r="BH44" s="63">
        <f>BH34</f>
        <v/>
      </c>
      <c r="BI44" s="1125">
        <f>BI34</f>
        <v/>
      </c>
      <c r="BJ44" s="63">
        <f>BJ34</f>
        <v/>
      </c>
      <c r="BK44" s="63">
        <f>BK34</f>
        <v/>
      </c>
      <c r="BL44" s="63">
        <f>BL34</f>
        <v/>
      </c>
      <c r="BM44" s="63">
        <f>BM34</f>
        <v/>
      </c>
      <c r="BN44" s="1125">
        <f>BN34</f>
        <v/>
      </c>
      <c r="BO44" s="63">
        <f>BO34</f>
        <v/>
      </c>
      <c r="BP44" s="63">
        <f>BP34</f>
        <v/>
      </c>
      <c r="BQ44" s="63">
        <f>BQ34</f>
        <v/>
      </c>
      <c r="BR44" s="63">
        <f>BR34</f>
        <v/>
      </c>
      <c r="BS44" s="1125">
        <f>BS34</f>
        <v/>
      </c>
      <c r="BT44" s="63">
        <f>BT34</f>
        <v/>
      </c>
      <c r="BU44" s="63">
        <f>BU34</f>
        <v/>
      </c>
      <c r="BV44" s="587">
        <f>BV34</f>
        <v/>
      </c>
      <c r="BW44" s="63">
        <f>BW34</f>
        <v/>
      </c>
      <c r="BX44" s="1125">
        <f>BX34</f>
        <v/>
      </c>
      <c r="BY44" s="63">
        <f>BY34</f>
        <v/>
      </c>
      <c r="BZ44" s="63">
        <f>BZ34</f>
        <v/>
      </c>
      <c r="CA44" s="63">
        <f>CA34</f>
        <v/>
      </c>
      <c r="CB44" s="63">
        <f>CB34</f>
        <v/>
      </c>
      <c r="CC44" s="1125">
        <f>CC34</f>
        <v/>
      </c>
      <c r="CD44" s="1125">
        <f>CD34</f>
        <v/>
      </c>
      <c r="CE44" s="1125">
        <f>CE34</f>
        <v/>
      </c>
      <c r="CF44" s="1125">
        <f>CF34</f>
        <v/>
      </c>
      <c r="CG44" s="155" t="n"/>
    </row>
    <row r="45" hidden="1" outlineLevel="1">
      <c r="A45" s="99" t="inlineStr">
        <is>
          <t>Cost of revenue, mm</t>
        </is>
      </c>
      <c r="B45" s="598" t="n"/>
      <c r="C45" s="1110">
        <f>C293</f>
        <v/>
      </c>
      <c r="D45" s="1110">
        <f>D293</f>
        <v/>
      </c>
      <c r="E45" s="1110">
        <f>E293</f>
        <v/>
      </c>
      <c r="F45" s="1110">
        <f>F293</f>
        <v/>
      </c>
      <c r="G45" s="68">
        <f>G293</f>
        <v/>
      </c>
      <c r="H45" s="68">
        <f>H293</f>
        <v/>
      </c>
      <c r="I45" s="68">
        <f>I293</f>
        <v/>
      </c>
      <c r="J45" s="68">
        <f>J293</f>
        <v/>
      </c>
      <c r="K45" s="1110">
        <f>K293</f>
        <v/>
      </c>
      <c r="L45" s="68">
        <f>L293</f>
        <v/>
      </c>
      <c r="M45" s="68">
        <f>M293</f>
        <v/>
      </c>
      <c r="N45" s="68">
        <f>N293</f>
        <v/>
      </c>
      <c r="O45" s="68">
        <f>O293</f>
        <v/>
      </c>
      <c r="P45" s="1110">
        <f>P293</f>
        <v/>
      </c>
      <c r="Q45" s="68">
        <f>Q293</f>
        <v/>
      </c>
      <c r="R45" s="68">
        <f>R293</f>
        <v/>
      </c>
      <c r="S45" s="68">
        <f>S293</f>
        <v/>
      </c>
      <c r="T45" s="68">
        <f>T293</f>
        <v/>
      </c>
      <c r="U45" s="1110">
        <f>U293</f>
        <v/>
      </c>
      <c r="V45" s="68">
        <f>V293</f>
        <v/>
      </c>
      <c r="W45" s="68">
        <f>W293</f>
        <v/>
      </c>
      <c r="X45" s="68">
        <f>X293</f>
        <v/>
      </c>
      <c r="Y45" s="68">
        <f>Y293</f>
        <v/>
      </c>
      <c r="Z45" s="1110">
        <f>Z293</f>
        <v/>
      </c>
      <c r="AA45" s="68">
        <f>AA293</f>
        <v/>
      </c>
      <c r="AB45" s="68">
        <f>AB293</f>
        <v/>
      </c>
      <c r="AC45" s="68">
        <f>AC293</f>
        <v/>
      </c>
      <c r="AD45" s="68">
        <f>AD293</f>
        <v/>
      </c>
      <c r="AE45" s="1110">
        <f>AE293</f>
        <v/>
      </c>
      <c r="AF45" s="68">
        <f>AF293</f>
        <v/>
      </c>
      <c r="AG45" s="68">
        <f>AG293</f>
        <v/>
      </c>
      <c r="AH45" s="68">
        <f>AH293</f>
        <v/>
      </c>
      <c r="AI45" s="68">
        <f>AI293</f>
        <v/>
      </c>
      <c r="AJ45" s="1110">
        <f>AJ293</f>
        <v/>
      </c>
      <c r="AK45" s="68">
        <f>AK293</f>
        <v/>
      </c>
      <c r="AL45" s="68">
        <f>AL293</f>
        <v/>
      </c>
      <c r="AM45" s="68">
        <f>AM293</f>
        <v/>
      </c>
      <c r="AN45" s="68">
        <f>AN293</f>
        <v/>
      </c>
      <c r="AO45" s="1110">
        <f>AO293</f>
        <v/>
      </c>
      <c r="AP45" s="68">
        <f>AP293</f>
        <v/>
      </c>
      <c r="AQ45" s="68">
        <f>AQ293</f>
        <v/>
      </c>
      <c r="AR45" s="68">
        <f>AR293</f>
        <v/>
      </c>
      <c r="AS45" s="68">
        <f>AS293</f>
        <v/>
      </c>
      <c r="AT45" s="1110">
        <f>AT293</f>
        <v/>
      </c>
      <c r="AU45" s="68">
        <f>AU293</f>
        <v/>
      </c>
      <c r="AV45" s="68">
        <f>AV293</f>
        <v/>
      </c>
      <c r="AW45" s="68">
        <f>AW293</f>
        <v/>
      </c>
      <c r="AX45" s="68">
        <f>AX293</f>
        <v/>
      </c>
      <c r="AY45" s="1110">
        <f>AY293</f>
        <v/>
      </c>
      <c r="AZ45" s="68">
        <f>AZ293</f>
        <v/>
      </c>
      <c r="BA45" s="68">
        <f>BA293</f>
        <v/>
      </c>
      <c r="BB45" s="68">
        <f>BB293</f>
        <v/>
      </c>
      <c r="BC45" s="68">
        <f>BC293</f>
        <v/>
      </c>
      <c r="BD45" s="1110">
        <f>BD293</f>
        <v/>
      </c>
      <c r="BE45" s="68">
        <f>BE293</f>
        <v/>
      </c>
      <c r="BF45" s="68">
        <f>BF293</f>
        <v/>
      </c>
      <c r="BG45" s="68">
        <f>BG293</f>
        <v/>
      </c>
      <c r="BH45" s="68">
        <f>BH293</f>
        <v/>
      </c>
      <c r="BI45" s="1110">
        <f>BI293</f>
        <v/>
      </c>
      <c r="BJ45" s="68">
        <f>BJ293</f>
        <v/>
      </c>
      <c r="BK45" s="68">
        <f>BK293</f>
        <v/>
      </c>
      <c r="BL45" s="68">
        <f>BL293</f>
        <v/>
      </c>
      <c r="BM45" s="68">
        <f>BM293</f>
        <v/>
      </c>
      <c r="BN45" s="1110">
        <f>BN293</f>
        <v/>
      </c>
      <c r="BO45" s="68">
        <f>BO293</f>
        <v/>
      </c>
      <c r="BP45" s="68">
        <f>BP293</f>
        <v/>
      </c>
      <c r="BQ45" s="68">
        <f>BQ293</f>
        <v/>
      </c>
      <c r="BR45" s="68">
        <f>BR293</f>
        <v/>
      </c>
      <c r="BS45" s="1110">
        <f>BS293</f>
        <v/>
      </c>
      <c r="BT45" s="68">
        <f>BT293</f>
        <v/>
      </c>
      <c r="BU45" s="68">
        <f>BU293</f>
        <v/>
      </c>
      <c r="BV45" s="588">
        <f>BV293</f>
        <v/>
      </c>
      <c r="BW45" s="68">
        <f>BW44-BW46</f>
        <v/>
      </c>
      <c r="BX45" s="1110">
        <f>BX44-BX46</f>
        <v/>
      </c>
      <c r="BY45" s="68">
        <f>BY44-BY46</f>
        <v/>
      </c>
      <c r="BZ45" s="68">
        <f>BZ44-BZ46</f>
        <v/>
      </c>
      <c r="CA45" s="68">
        <f>CA44-CA46</f>
        <v/>
      </c>
      <c r="CB45" s="68">
        <f>CB44-CB46</f>
        <v/>
      </c>
      <c r="CC45" s="1110">
        <f>CC44-CC46</f>
        <v/>
      </c>
      <c r="CD45" s="1110">
        <f>CD44-CD46</f>
        <v/>
      </c>
      <c r="CE45" s="1110">
        <f>CE44-CE46</f>
        <v/>
      </c>
      <c r="CF45" s="1110">
        <f>CF44-CF46</f>
        <v/>
      </c>
      <c r="CG45" s="155" t="n"/>
    </row>
    <row r="46" hidden="1" outlineLevel="1">
      <c r="A46" s="631" t="inlineStr">
        <is>
          <t>GAAP Gross Profit, mm</t>
        </is>
      </c>
      <c r="B46" s="599" t="n"/>
      <c r="C46" s="1122">
        <f>C44-C45</f>
        <v/>
      </c>
      <c r="D46" s="1122">
        <f>D44-D45</f>
        <v/>
      </c>
      <c r="E46" s="1122">
        <f>E44-E45</f>
        <v/>
      </c>
      <c r="F46" s="1122">
        <f>F44-F45</f>
        <v/>
      </c>
      <c r="G46" s="61">
        <f>G44-G45</f>
        <v/>
      </c>
      <c r="H46" s="61">
        <f>H44-H45</f>
        <v/>
      </c>
      <c r="I46" s="61">
        <f>I44-I45</f>
        <v/>
      </c>
      <c r="J46" s="61">
        <f>J44-J45</f>
        <v/>
      </c>
      <c r="K46" s="1122">
        <f>K44-K45</f>
        <v/>
      </c>
      <c r="L46" s="61">
        <f>L44-L45</f>
        <v/>
      </c>
      <c r="M46" s="61">
        <f>M44-M45</f>
        <v/>
      </c>
      <c r="N46" s="61">
        <f>N44-N45</f>
        <v/>
      </c>
      <c r="O46" s="61">
        <f>O44-O45</f>
        <v/>
      </c>
      <c r="P46" s="1122">
        <f>P44-P45</f>
        <v/>
      </c>
      <c r="Q46" s="61">
        <f>Q44-Q45</f>
        <v/>
      </c>
      <c r="R46" s="61">
        <f>R44-R45</f>
        <v/>
      </c>
      <c r="S46" s="61">
        <f>S44-S45</f>
        <v/>
      </c>
      <c r="T46" s="61">
        <f>T44-T45</f>
        <v/>
      </c>
      <c r="U46" s="1122">
        <f>U44-U45</f>
        <v/>
      </c>
      <c r="V46" s="61">
        <f>V44-V45</f>
        <v/>
      </c>
      <c r="W46" s="61">
        <f>W44-W45</f>
        <v/>
      </c>
      <c r="X46" s="61">
        <f>X44-X45</f>
        <v/>
      </c>
      <c r="Y46" s="61">
        <f>Y44-Y45</f>
        <v/>
      </c>
      <c r="Z46" s="1122">
        <f>Z44-Z45</f>
        <v/>
      </c>
      <c r="AA46" s="61">
        <f>AA44-AA45</f>
        <v/>
      </c>
      <c r="AB46" s="61">
        <f>AB44-AB45</f>
        <v/>
      </c>
      <c r="AC46" s="61">
        <f>AC44-AC45</f>
        <v/>
      </c>
      <c r="AD46" s="61">
        <f>AD44-AD45</f>
        <v/>
      </c>
      <c r="AE46" s="1122">
        <f>AE44-AE45</f>
        <v/>
      </c>
      <c r="AF46" s="61">
        <f>AF44-AF45</f>
        <v/>
      </c>
      <c r="AG46" s="61">
        <f>AG44-AG45</f>
        <v/>
      </c>
      <c r="AH46" s="61">
        <f>AH44-AH45</f>
        <v/>
      </c>
      <c r="AI46" s="61">
        <f>AI44-AI45</f>
        <v/>
      </c>
      <c r="AJ46" s="1122">
        <f>AJ44-AJ45</f>
        <v/>
      </c>
      <c r="AK46" s="61">
        <f>AK44-AK45</f>
        <v/>
      </c>
      <c r="AL46" s="61">
        <f>AL44-AL45</f>
        <v/>
      </c>
      <c r="AM46" s="61">
        <f>AM44-AM45</f>
        <v/>
      </c>
      <c r="AN46" s="61">
        <f>AN44-AN45</f>
        <v/>
      </c>
      <c r="AO46" s="1122">
        <f>AO44-AO45</f>
        <v/>
      </c>
      <c r="AP46" s="61">
        <f>AP44-AP45</f>
        <v/>
      </c>
      <c r="AQ46" s="61">
        <f>AQ44-AQ45</f>
        <v/>
      </c>
      <c r="AR46" s="61">
        <f>AR44-AR45</f>
        <v/>
      </c>
      <c r="AS46" s="61">
        <f>AS44-AS45</f>
        <v/>
      </c>
      <c r="AT46" s="1122">
        <f>AT44-AT45</f>
        <v/>
      </c>
      <c r="AU46" s="61">
        <f>AU44-AU45</f>
        <v/>
      </c>
      <c r="AV46" s="61">
        <f>AV44-AV45</f>
        <v/>
      </c>
      <c r="AW46" s="61">
        <f>AW44-AW45</f>
        <v/>
      </c>
      <c r="AX46" s="61">
        <f>AX44-AX45</f>
        <v/>
      </c>
      <c r="AY46" s="1122">
        <f>AY44-AY45</f>
        <v/>
      </c>
      <c r="AZ46" s="61">
        <f>AZ44-AZ45</f>
        <v/>
      </c>
      <c r="BA46" s="61">
        <f>BA44-BA45</f>
        <v/>
      </c>
      <c r="BB46" s="61">
        <f>BB44-BB45</f>
        <v/>
      </c>
      <c r="BC46" s="61">
        <f>BC44-BC45</f>
        <v/>
      </c>
      <c r="BD46" s="1122">
        <f>BD44-BD45</f>
        <v/>
      </c>
      <c r="BE46" s="61">
        <f>BE44-BE45</f>
        <v/>
      </c>
      <c r="BF46" s="61">
        <f>BF44-BF45</f>
        <v/>
      </c>
      <c r="BG46" s="61">
        <f>BG44-BG45</f>
        <v/>
      </c>
      <c r="BH46" s="61">
        <f>BH44-BH45</f>
        <v/>
      </c>
      <c r="BI46" s="1122">
        <f>BI44-BI45</f>
        <v/>
      </c>
      <c r="BJ46" s="61">
        <f>BJ44-BJ45</f>
        <v/>
      </c>
      <c r="BK46" s="61">
        <f>BK44-BK45</f>
        <v/>
      </c>
      <c r="BL46" s="61">
        <f>BL44-BL45</f>
        <v/>
      </c>
      <c r="BM46" s="61">
        <f>BM44-BM45</f>
        <v/>
      </c>
      <c r="BN46" s="1122">
        <f>BN44-BN45</f>
        <v/>
      </c>
      <c r="BO46" s="61">
        <f>BO44-BO45</f>
        <v/>
      </c>
      <c r="BP46" s="61">
        <f>BP44-BP45</f>
        <v/>
      </c>
      <c r="BQ46" s="61">
        <f>BQ44-BQ45</f>
        <v/>
      </c>
      <c r="BR46" s="61">
        <f>BR44-BR45</f>
        <v/>
      </c>
      <c r="BS46" s="1122">
        <f>BS44-BS45</f>
        <v/>
      </c>
      <c r="BT46" s="61">
        <f>BT44-BT45</f>
        <v/>
      </c>
      <c r="BU46" s="61">
        <f>BU44-BU45</f>
        <v/>
      </c>
      <c r="BV46" s="884">
        <f>BV44-BV45</f>
        <v/>
      </c>
      <c r="BW46" s="61">
        <f>BW57-BW55-BW53-BW51</f>
        <v/>
      </c>
      <c r="BX46" s="1122">
        <f>SUM(BT46,BU46,BV46,BW46)</f>
        <v/>
      </c>
      <c r="BY46" s="61">
        <f>BY57-BY55-BY53-BY51</f>
        <v/>
      </c>
      <c r="BZ46" s="61">
        <f>BZ57-BZ55-BZ53-BZ51</f>
        <v/>
      </c>
      <c r="CA46" s="61">
        <f>CA57-CA55-CA53-CA51</f>
        <v/>
      </c>
      <c r="CB46" s="61">
        <f>CB57-CB55-CB53-CB51</f>
        <v/>
      </c>
      <c r="CC46" s="1122">
        <f>SUM(BY46,BZ46,CA46,CB46)</f>
        <v/>
      </c>
      <c r="CD46" s="1122">
        <f>CD57-CD55-CD53-CD51</f>
        <v/>
      </c>
      <c r="CE46" s="1122">
        <f>CE57-CE55-CE53-CE51</f>
        <v/>
      </c>
      <c r="CF46" s="1122">
        <f>CF57-CF55-CF53-CF51</f>
        <v/>
      </c>
      <c r="CG46" s="155" t="n"/>
    </row>
    <row r="47" hidden="1" outlineLevel="1">
      <c r="A47" s="371" t="inlineStr">
        <is>
          <t>Y/Y growth in Gross Profit, %</t>
        </is>
      </c>
      <c r="B47" s="582" t="n"/>
      <c r="C47" s="1113" t="n"/>
      <c r="D47" s="1113">
        <f>D46/C46-1</f>
        <v/>
      </c>
      <c r="E47" s="1113">
        <f>E46/D46-1</f>
        <v/>
      </c>
      <c r="F47" s="1113">
        <f>F46/E46-1</f>
        <v/>
      </c>
      <c r="G47" s="90" t="n"/>
      <c r="H47" s="90" t="n"/>
      <c r="I47" s="90" t="n"/>
      <c r="J47" s="90" t="n"/>
      <c r="K47" s="1113">
        <f>K46/F46-1</f>
        <v/>
      </c>
      <c r="L47" s="90">
        <f>L46/G46-1</f>
        <v/>
      </c>
      <c r="M47" s="90">
        <f>M46/H46-1</f>
        <v/>
      </c>
      <c r="N47" s="90">
        <f>N46/I46-1</f>
        <v/>
      </c>
      <c r="O47" s="90">
        <f>O46/J46-1</f>
        <v/>
      </c>
      <c r="P47" s="1113">
        <f>P46/K46-1</f>
        <v/>
      </c>
      <c r="Q47" s="90">
        <f>Q46/L46-1</f>
        <v/>
      </c>
      <c r="R47" s="90">
        <f>R46/M46-1</f>
        <v/>
      </c>
      <c r="S47" s="90">
        <f>S46/N46-1</f>
        <v/>
      </c>
      <c r="T47" s="90">
        <f>T46/O46-1</f>
        <v/>
      </c>
      <c r="U47" s="1113">
        <f>U46/P46-1</f>
        <v/>
      </c>
      <c r="V47" s="90">
        <f>V46/Q46-1</f>
        <v/>
      </c>
      <c r="W47" s="90">
        <f>W46/R46-1</f>
        <v/>
      </c>
      <c r="X47" s="90">
        <f>X46/S46-1</f>
        <v/>
      </c>
      <c r="Y47" s="90">
        <f>Y46/T46-1</f>
        <v/>
      </c>
      <c r="Z47" s="1113">
        <f>Z46/U46-1</f>
        <v/>
      </c>
      <c r="AA47" s="90">
        <f>AA46/V46-1</f>
        <v/>
      </c>
      <c r="AB47" s="90">
        <f>AB46/W46-1</f>
        <v/>
      </c>
      <c r="AC47" s="90">
        <f>AC46/X46-1</f>
        <v/>
      </c>
      <c r="AD47" s="90">
        <f>AD46/Y46-1</f>
        <v/>
      </c>
      <c r="AE47" s="1113">
        <f>AE46/Z46-1</f>
        <v/>
      </c>
      <c r="AF47" s="90">
        <f>AF46/AA46-1</f>
        <v/>
      </c>
      <c r="AG47" s="90">
        <f>AG46/AB46-1</f>
        <v/>
      </c>
      <c r="AH47" s="90">
        <f>AH46/AC46-1</f>
        <v/>
      </c>
      <c r="AI47" s="90">
        <f>AI46/AD46-1</f>
        <v/>
      </c>
      <c r="AJ47" s="1113">
        <f>AJ46/AE46-1</f>
        <v/>
      </c>
      <c r="AK47" s="90">
        <f>AK46/AF46-1</f>
        <v/>
      </c>
      <c r="AL47" s="90">
        <f>AL46/AG46-1</f>
        <v/>
      </c>
      <c r="AM47" s="90">
        <f>AM46/AH46-1</f>
        <v/>
      </c>
      <c r="AN47" s="90">
        <f>AN46/AI46-1</f>
        <v/>
      </c>
      <c r="AO47" s="1113">
        <f>AO46/AJ46-1</f>
        <v/>
      </c>
      <c r="AP47" s="90">
        <f>AP46/AK46-1</f>
        <v/>
      </c>
      <c r="AQ47" s="90">
        <f>AQ46/AL46-1</f>
        <v/>
      </c>
      <c r="AR47" s="90">
        <f>AR46/AM46-1</f>
        <v/>
      </c>
      <c r="AS47" s="90">
        <f>AS46/AN46-1</f>
        <v/>
      </c>
      <c r="AT47" s="1113">
        <f>AT46/AO46-1</f>
        <v/>
      </c>
      <c r="AU47" s="90">
        <f>AU46/AP46-1</f>
        <v/>
      </c>
      <c r="AV47" s="90">
        <f>AV46/AQ46-1</f>
        <v/>
      </c>
      <c r="AW47" s="90">
        <f>AW46/AR46-1</f>
        <v/>
      </c>
      <c r="AX47" s="90">
        <f>AX46/AS46-1</f>
        <v/>
      </c>
      <c r="AY47" s="1113">
        <f>AY46/AT46-1</f>
        <v/>
      </c>
      <c r="AZ47" s="90">
        <f>AZ46/AU46-1</f>
        <v/>
      </c>
      <c r="BA47" s="90">
        <f>BA46/AV46-1</f>
        <v/>
      </c>
      <c r="BB47" s="90">
        <f>BB46/AW46-1</f>
        <v/>
      </c>
      <c r="BC47" s="90">
        <f>BC46/AX46-1</f>
        <v/>
      </c>
      <c r="BD47" s="1113">
        <f>BD46/AY46-1</f>
        <v/>
      </c>
      <c r="BE47" s="90">
        <f>BE46/AZ46-1</f>
        <v/>
      </c>
      <c r="BF47" s="90">
        <f>BF46/BA46-1</f>
        <v/>
      </c>
      <c r="BG47" s="90">
        <f>BG46/BB46-1</f>
        <v/>
      </c>
      <c r="BH47" s="90">
        <f>BH46/BC46-1</f>
        <v/>
      </c>
      <c r="BI47" s="1113">
        <f>BI46/BD46-1</f>
        <v/>
      </c>
      <c r="BJ47" s="90">
        <f>BJ46/BE46-1</f>
        <v/>
      </c>
      <c r="BK47" s="90">
        <f>BK46/BF46-1</f>
        <v/>
      </c>
      <c r="BL47" s="90">
        <f>BL46/BG46-1</f>
        <v/>
      </c>
      <c r="BM47" s="90">
        <f>BM46/BH46-1</f>
        <v/>
      </c>
      <c r="BN47" s="1113">
        <f>BN46/BI46-1</f>
        <v/>
      </c>
      <c r="BO47" s="90">
        <f>BO46/BJ46-1</f>
        <v/>
      </c>
      <c r="BP47" s="90">
        <f>BP46/BK46-1</f>
        <v/>
      </c>
      <c r="BQ47" s="90">
        <f>BQ46/BL46-1</f>
        <v/>
      </c>
      <c r="BR47" s="90">
        <f>BR46/BM46-1</f>
        <v/>
      </c>
      <c r="BS47" s="1113">
        <f>BS46/BN46-1</f>
        <v/>
      </c>
      <c r="BT47" s="90">
        <f>BT46/BO46-1</f>
        <v/>
      </c>
      <c r="BU47" s="90">
        <f>BU46/BP46-1</f>
        <v/>
      </c>
      <c r="BV47" s="880">
        <f>BV46/BQ46-1</f>
        <v/>
      </c>
      <c r="BW47" s="90">
        <f>BW46/BR46-1</f>
        <v/>
      </c>
      <c r="BX47" s="1113">
        <f>BX46/BS46-1</f>
        <v/>
      </c>
      <c r="BY47" s="90">
        <f>BY46/BT46-1</f>
        <v/>
      </c>
      <c r="BZ47" s="90">
        <f>BZ46/BU46-1</f>
        <v/>
      </c>
      <c r="CA47" s="90">
        <f>CA46/BV46-1</f>
        <v/>
      </c>
      <c r="CB47" s="90">
        <f>CB46/BW46-1</f>
        <v/>
      </c>
      <c r="CC47" s="1113">
        <f>CC46/BX46-1</f>
        <v/>
      </c>
      <c r="CD47" s="1113">
        <f>CD46/CC46-1</f>
        <v/>
      </c>
      <c r="CE47" s="1113">
        <f>CE46/CD46-1</f>
        <v/>
      </c>
      <c r="CF47" s="1113">
        <f>CF46/CE46-1</f>
        <v/>
      </c>
      <c r="CG47" s="155" t="n"/>
    </row>
    <row r="48" hidden="1" outlineLevel="1">
      <c r="A48" s="621" t="inlineStr">
        <is>
          <t>GAAP Gross Margin, %</t>
        </is>
      </c>
      <c r="B48" s="202" t="n"/>
      <c r="C48" s="1126">
        <f>C46/C44</f>
        <v/>
      </c>
      <c r="D48" s="1126">
        <f>D46/D44</f>
        <v/>
      </c>
      <c r="E48" s="1126">
        <f>E46/E44</f>
        <v/>
      </c>
      <c r="F48" s="1126">
        <f>F46/F44</f>
        <v/>
      </c>
      <c r="G48" s="315">
        <f>G46/G44</f>
        <v/>
      </c>
      <c r="H48" s="315">
        <f>H46/H44</f>
        <v/>
      </c>
      <c r="I48" s="315">
        <f>I46/I44</f>
        <v/>
      </c>
      <c r="J48" s="315">
        <f>J46/J44</f>
        <v/>
      </c>
      <c r="K48" s="1126">
        <f>K46/K44</f>
        <v/>
      </c>
      <c r="L48" s="315">
        <f>L46/L44</f>
        <v/>
      </c>
      <c r="M48" s="315">
        <f>M46/M44</f>
        <v/>
      </c>
      <c r="N48" s="315">
        <f>N46/N44</f>
        <v/>
      </c>
      <c r="O48" s="315">
        <f>O46/O44</f>
        <v/>
      </c>
      <c r="P48" s="1126">
        <f>P46/P44</f>
        <v/>
      </c>
      <c r="Q48" s="315">
        <f>Q46/Q44</f>
        <v/>
      </c>
      <c r="R48" s="315">
        <f>R46/R44</f>
        <v/>
      </c>
      <c r="S48" s="315">
        <f>S46/S44</f>
        <v/>
      </c>
      <c r="T48" s="315">
        <f>T46/T44</f>
        <v/>
      </c>
      <c r="U48" s="1126">
        <f>U46/U44</f>
        <v/>
      </c>
      <c r="V48" s="315">
        <f>V46/V44</f>
        <v/>
      </c>
      <c r="W48" s="315">
        <f>W46/W44</f>
        <v/>
      </c>
      <c r="X48" s="315">
        <f>X46/X44</f>
        <v/>
      </c>
      <c r="Y48" s="315">
        <f>Y46/Y44</f>
        <v/>
      </c>
      <c r="Z48" s="1126">
        <f>Z46/Z44</f>
        <v/>
      </c>
      <c r="AA48" s="315">
        <f>AA46/AA44</f>
        <v/>
      </c>
      <c r="AB48" s="315">
        <f>AB46/AB44</f>
        <v/>
      </c>
      <c r="AC48" s="315">
        <f>AC46/AC44</f>
        <v/>
      </c>
      <c r="AD48" s="315">
        <f>AD46/AD44</f>
        <v/>
      </c>
      <c r="AE48" s="1126">
        <f>AE46/AE44</f>
        <v/>
      </c>
      <c r="AF48" s="315">
        <f>AF46/AF44</f>
        <v/>
      </c>
      <c r="AG48" s="315">
        <f>AG46/AG44</f>
        <v/>
      </c>
      <c r="AH48" s="315">
        <f>AH46/AH44</f>
        <v/>
      </c>
      <c r="AI48" s="315">
        <f>AI46/AI44</f>
        <v/>
      </c>
      <c r="AJ48" s="1126">
        <f>AJ46/AJ44</f>
        <v/>
      </c>
      <c r="AK48" s="315">
        <f>AK46/AK44</f>
        <v/>
      </c>
      <c r="AL48" s="315">
        <f>AL46/AL44</f>
        <v/>
      </c>
      <c r="AM48" s="315">
        <f>AM46/AM44</f>
        <v/>
      </c>
      <c r="AN48" s="315">
        <f>AN46/AN44</f>
        <v/>
      </c>
      <c r="AO48" s="1126">
        <f>AO46/AO44</f>
        <v/>
      </c>
      <c r="AP48" s="315">
        <f>AP46/AP44</f>
        <v/>
      </c>
      <c r="AQ48" s="315">
        <f>AQ46/AQ44</f>
        <v/>
      </c>
      <c r="AR48" s="315">
        <f>AR46/AR44</f>
        <v/>
      </c>
      <c r="AS48" s="315">
        <f>AS46/AS44</f>
        <v/>
      </c>
      <c r="AT48" s="1126">
        <f>AT46/AT44</f>
        <v/>
      </c>
      <c r="AU48" s="315">
        <f>AU46/AU44</f>
        <v/>
      </c>
      <c r="AV48" s="315">
        <f>AV46/AV44</f>
        <v/>
      </c>
      <c r="AW48" s="315">
        <f>AW46/AW44</f>
        <v/>
      </c>
      <c r="AX48" s="315">
        <f>AX46/AX44</f>
        <v/>
      </c>
      <c r="AY48" s="1126">
        <f>AY46/AY44</f>
        <v/>
      </c>
      <c r="AZ48" s="315">
        <f>AZ46/AZ44</f>
        <v/>
      </c>
      <c r="BA48" s="315">
        <f>BA46/BA44</f>
        <v/>
      </c>
      <c r="BB48" s="315">
        <f>BB46/BB44</f>
        <v/>
      </c>
      <c r="BC48" s="315">
        <f>BC46/BC44</f>
        <v/>
      </c>
      <c r="BD48" s="1126">
        <f>BD46/BD44</f>
        <v/>
      </c>
      <c r="BE48" s="315">
        <f>BE46/BE44</f>
        <v/>
      </c>
      <c r="BF48" s="315">
        <f>BF46/BF44</f>
        <v/>
      </c>
      <c r="BG48" s="315">
        <f>BG46/BG44</f>
        <v/>
      </c>
      <c r="BH48" s="315">
        <f>BH46/BH44</f>
        <v/>
      </c>
      <c r="BI48" s="1126">
        <f>BI46/BI44</f>
        <v/>
      </c>
      <c r="BJ48" s="315">
        <f>BJ46/BJ44</f>
        <v/>
      </c>
      <c r="BK48" s="315">
        <f>BK46/BK44</f>
        <v/>
      </c>
      <c r="BL48" s="315">
        <f>BL46/BL44</f>
        <v/>
      </c>
      <c r="BM48" s="315">
        <f>BM46/BM44</f>
        <v/>
      </c>
      <c r="BN48" s="1126">
        <f>BN46/BN44</f>
        <v/>
      </c>
      <c r="BO48" s="315">
        <f>BO46/BO44</f>
        <v/>
      </c>
      <c r="BP48" s="315">
        <f>BP46/BP44</f>
        <v/>
      </c>
      <c r="BQ48" s="315">
        <f>BQ46/BQ44</f>
        <v/>
      </c>
      <c r="BR48" s="315">
        <f>BR46/BR44</f>
        <v/>
      </c>
      <c r="BS48" s="1126">
        <f>BS46/BS44</f>
        <v/>
      </c>
      <c r="BT48" s="315">
        <f>BT46/BT44</f>
        <v/>
      </c>
      <c r="BU48" s="315">
        <f>BU46/BU44</f>
        <v/>
      </c>
      <c r="BV48" s="885">
        <f>BV46/BV44</f>
        <v/>
      </c>
      <c r="BW48" s="315">
        <f>BW46/BW44</f>
        <v/>
      </c>
      <c r="BX48" s="1126">
        <f>BX46/BX44</f>
        <v/>
      </c>
      <c r="BY48" s="315">
        <f>BY46/BY44</f>
        <v/>
      </c>
      <c r="BZ48" s="315">
        <f>BZ46/BZ44</f>
        <v/>
      </c>
      <c r="CA48" s="315">
        <f>CA46/CA44</f>
        <v/>
      </c>
      <c r="CB48" s="315">
        <f>CB46/CB44</f>
        <v/>
      </c>
      <c r="CC48" s="1126">
        <f>CC46/CC44</f>
        <v/>
      </c>
      <c r="CD48" s="1126">
        <f>CD46/CD44</f>
        <v/>
      </c>
      <c r="CE48" s="1126">
        <f>CE46/CE44</f>
        <v/>
      </c>
      <c r="CF48" s="1126">
        <f>CF46/CF44</f>
        <v/>
      </c>
      <c r="CG48" s="155" t="n"/>
    </row>
    <row r="49" hidden="1" outlineLevel="1">
      <c r="A49" s="99" t="inlineStr">
        <is>
          <t>Y/Y improvement in GAAP Gross Margin, bps</t>
        </is>
      </c>
      <c r="B49" s="598" t="n"/>
      <c r="C49" s="1110" t="n"/>
      <c r="D49" s="1110">
        <f>(D48-C48)*10000</f>
        <v/>
      </c>
      <c r="E49" s="1110">
        <f>(E48-D48)*10000</f>
        <v/>
      </c>
      <c r="F49" s="1110">
        <f>(F48-E48)*10000</f>
        <v/>
      </c>
      <c r="G49" s="68" t="n"/>
      <c r="H49" s="68" t="n"/>
      <c r="I49" s="68" t="n"/>
      <c r="J49" s="68" t="n"/>
      <c r="K49" s="1110">
        <f>(K48-F48)*10000</f>
        <v/>
      </c>
      <c r="L49" s="68">
        <f>(L48-G48)*10000</f>
        <v/>
      </c>
      <c r="M49" s="68">
        <f>(M48-H48)*10000</f>
        <v/>
      </c>
      <c r="N49" s="68">
        <f>(N48-I48)*10000</f>
        <v/>
      </c>
      <c r="O49" s="68">
        <f>(O48-J48)*10000</f>
        <v/>
      </c>
      <c r="P49" s="1110">
        <f>(P48-K48)*10000</f>
        <v/>
      </c>
      <c r="Q49" s="68">
        <f>(Q48-L48)*10000</f>
        <v/>
      </c>
      <c r="R49" s="68">
        <f>(R48-M48)*10000</f>
        <v/>
      </c>
      <c r="S49" s="68">
        <f>(S48-N48)*10000</f>
        <v/>
      </c>
      <c r="T49" s="68">
        <f>(T48-O48)*10000</f>
        <v/>
      </c>
      <c r="U49" s="1110">
        <f>(U48-P48)*10000</f>
        <v/>
      </c>
      <c r="V49" s="68">
        <f>(V48-Q48)*10000</f>
        <v/>
      </c>
      <c r="W49" s="68">
        <f>(W48-R48)*10000</f>
        <v/>
      </c>
      <c r="X49" s="68">
        <f>(X48-S48)*10000</f>
        <v/>
      </c>
      <c r="Y49" s="68">
        <f>(Y48-T48)*10000</f>
        <v/>
      </c>
      <c r="Z49" s="1110">
        <f>(Z48-U48)*10000</f>
        <v/>
      </c>
      <c r="AA49" s="68">
        <f>(AA48-V48)*10000</f>
        <v/>
      </c>
      <c r="AB49" s="68">
        <f>(AB48-W48)*10000</f>
        <v/>
      </c>
      <c r="AC49" s="68">
        <f>(AC48-X48)*10000</f>
        <v/>
      </c>
      <c r="AD49" s="68">
        <f>(AD48-Y48)*10000</f>
        <v/>
      </c>
      <c r="AE49" s="1110">
        <f>(AE48-Z48)*10000</f>
        <v/>
      </c>
      <c r="AF49" s="68">
        <f>(AF48-AA48)*10000</f>
        <v/>
      </c>
      <c r="AG49" s="68">
        <f>(AG48-AB48)*10000</f>
        <v/>
      </c>
      <c r="AH49" s="68">
        <f>(AH48-AC48)*10000</f>
        <v/>
      </c>
      <c r="AI49" s="68">
        <f>(AI48-AD48)*10000</f>
        <v/>
      </c>
      <c r="AJ49" s="1110">
        <f>(AJ48-AE48)*10000</f>
        <v/>
      </c>
      <c r="AK49" s="68">
        <f>(AK48-AF48)*10000</f>
        <v/>
      </c>
      <c r="AL49" s="68">
        <f>(AL48-AG48)*10000</f>
        <v/>
      </c>
      <c r="AM49" s="68">
        <f>(AM48-AH48)*10000</f>
        <v/>
      </c>
      <c r="AN49" s="68">
        <f>(AN48-AI48)*10000</f>
        <v/>
      </c>
      <c r="AO49" s="1110">
        <f>(AO48-AJ48)*10000</f>
        <v/>
      </c>
      <c r="AP49" s="68">
        <f>(AP48-AK48)*10000</f>
        <v/>
      </c>
      <c r="AQ49" s="68">
        <f>(AQ48-AL48)*10000</f>
        <v/>
      </c>
      <c r="AR49" s="68">
        <f>(AR48-AM48)*10000</f>
        <v/>
      </c>
      <c r="AS49" s="68">
        <f>(AS48-AN48)*10000</f>
        <v/>
      </c>
      <c r="AT49" s="1110">
        <f>(AT48-AO48)*10000</f>
        <v/>
      </c>
      <c r="AU49" s="68">
        <f>(AU48-AP48)*10000</f>
        <v/>
      </c>
      <c r="AV49" s="68">
        <f>(AV48-AQ48)*10000</f>
        <v/>
      </c>
      <c r="AW49" s="68">
        <f>(AW48-AR48)*10000</f>
        <v/>
      </c>
      <c r="AX49" s="68">
        <f>(AX48-AS48)*10000</f>
        <v/>
      </c>
      <c r="AY49" s="1110">
        <f>(AY48-AT48)*10000</f>
        <v/>
      </c>
      <c r="AZ49" s="68">
        <f>(AZ48-AU48)*10000</f>
        <v/>
      </c>
      <c r="BA49" s="68">
        <f>(BA48-AV48)*10000</f>
        <v/>
      </c>
      <c r="BB49" s="68">
        <f>(BB48-AW48)*10000</f>
        <v/>
      </c>
      <c r="BC49" s="68">
        <f>(BC48-AX48)*10000</f>
        <v/>
      </c>
      <c r="BD49" s="1110">
        <f>(BD48-AY48)*10000</f>
        <v/>
      </c>
      <c r="BE49" s="68">
        <f>(BE48-AZ48)*10000</f>
        <v/>
      </c>
      <c r="BF49" s="68">
        <f>(BF48-BA48)*10000</f>
        <v/>
      </c>
      <c r="BG49" s="68">
        <f>(BG48-BB48)*10000</f>
        <v/>
      </c>
      <c r="BH49" s="68">
        <f>(BH48-BC48)*10000</f>
        <v/>
      </c>
      <c r="BI49" s="1110">
        <f>(BI48-BD48)*10000</f>
        <v/>
      </c>
      <c r="BJ49" s="68">
        <f>(BJ48-BE48)*10000</f>
        <v/>
      </c>
      <c r="BK49" s="68">
        <f>(BK48-BF48)*10000</f>
        <v/>
      </c>
      <c r="BL49" s="68">
        <f>(BL48-BG48)*10000</f>
        <v/>
      </c>
      <c r="BM49" s="68">
        <f>(BM48-BH48)*10000</f>
        <v/>
      </c>
      <c r="BN49" s="1110">
        <f>(BN48-BI48)*10000</f>
        <v/>
      </c>
      <c r="BO49" s="68">
        <f>(BO48-BJ48)*10000</f>
        <v/>
      </c>
      <c r="BP49" s="68">
        <f>(BP48-BK48)*10000</f>
        <v/>
      </c>
      <c r="BQ49" s="68">
        <f>(BQ48-BL48)*10000</f>
        <v/>
      </c>
      <c r="BR49" s="68">
        <f>(BR48-BM48)*10000</f>
        <v/>
      </c>
      <c r="BS49" s="1110">
        <f>(BS48-BN48)*10000</f>
        <v/>
      </c>
      <c r="BT49" s="68">
        <f>(BT48-BO48)*10000</f>
        <v/>
      </c>
      <c r="BU49" s="68">
        <f>(BU48-BP48)*10000</f>
        <v/>
      </c>
      <c r="BV49" s="588">
        <f>(BV48-BQ48)*10000</f>
        <v/>
      </c>
      <c r="BW49" s="68">
        <f>(BW48-BR48)*10000</f>
        <v/>
      </c>
      <c r="BX49" s="1110">
        <f>(BX48-BS48)*10000</f>
        <v/>
      </c>
      <c r="BY49" s="68">
        <f>(BY48-BT48)*10000</f>
        <v/>
      </c>
      <c r="BZ49" s="68">
        <f>(BZ48-BU48)*10000</f>
        <v/>
      </c>
      <c r="CA49" s="68">
        <f>(CA48-BV48)*10000</f>
        <v/>
      </c>
      <c r="CB49" s="68">
        <f>(CB48-BW48)*10000</f>
        <v/>
      </c>
      <c r="CC49" s="1110">
        <f>(CC48-BX48)*10000</f>
        <v/>
      </c>
      <c r="CD49" s="1110">
        <f>(CD48-CC48)*10000</f>
        <v/>
      </c>
      <c r="CE49" s="1110">
        <f>(CE48-CD48)*10000</f>
        <v/>
      </c>
      <c r="CF49" s="1110">
        <f>(CF48-CE48)*10000</f>
        <v/>
      </c>
      <c r="CG49" s="155" t="n"/>
    </row>
    <row r="50" hidden="1" outlineLevel="1" ht="7.25" customHeight="1">
      <c r="A50" s="600" t="n"/>
      <c r="B50" s="601" t="n"/>
      <c r="C50" s="1125" t="n"/>
      <c r="D50" s="1125" t="n"/>
      <c r="E50" s="1125" t="n"/>
      <c r="F50" s="1125" t="n"/>
      <c r="G50" s="63" t="n"/>
      <c r="H50" s="63" t="n"/>
      <c r="I50" s="63" t="n"/>
      <c r="J50" s="63" t="n"/>
      <c r="K50" s="1125" t="n"/>
      <c r="L50" s="63" t="n"/>
      <c r="M50" s="63" t="n"/>
      <c r="N50" s="63" t="n"/>
      <c r="O50" s="63" t="n"/>
      <c r="P50" s="1125" t="n"/>
      <c r="Q50" s="63" t="n"/>
      <c r="R50" s="63" t="n"/>
      <c r="S50" s="63" t="n"/>
      <c r="T50" s="63" t="n"/>
      <c r="U50" s="1125" t="n"/>
      <c r="V50" s="63" t="n"/>
      <c r="W50" s="63" t="n"/>
      <c r="X50" s="63" t="n"/>
      <c r="Y50" s="63" t="n"/>
      <c r="Z50" s="1125" t="n"/>
      <c r="AA50" s="63" t="n"/>
      <c r="AB50" s="63" t="n"/>
      <c r="AC50" s="63" t="n"/>
      <c r="AD50" s="63" t="n"/>
      <c r="AE50" s="1125" t="n"/>
      <c r="AF50" s="63" t="n"/>
      <c r="AG50" s="63" t="n"/>
      <c r="AH50" s="63" t="n"/>
      <c r="AI50" s="63" t="n"/>
      <c r="AJ50" s="1125" t="n"/>
      <c r="AK50" s="63" t="n"/>
      <c r="AL50" s="63" t="n"/>
      <c r="AM50" s="63" t="n"/>
      <c r="AN50" s="63" t="n"/>
      <c r="AO50" s="1125" t="n"/>
      <c r="AP50" s="63" t="n"/>
      <c r="AQ50" s="63" t="n"/>
      <c r="AR50" s="63" t="n"/>
      <c r="AS50" s="63" t="n"/>
      <c r="AT50" s="1125" t="n"/>
      <c r="AU50" s="63" t="n"/>
      <c r="AV50" s="63" t="n"/>
      <c r="AW50" s="63" t="n"/>
      <c r="AX50" s="63" t="n"/>
      <c r="AY50" s="1125" t="n"/>
      <c r="AZ50" s="63" t="n"/>
      <c r="BA50" s="63" t="n"/>
      <c r="BB50" s="63" t="n"/>
      <c r="BC50" s="63" t="n"/>
      <c r="BD50" s="1125" t="n"/>
      <c r="BE50" s="63" t="n"/>
      <c r="BF50" s="63" t="n"/>
      <c r="BG50" s="63" t="n"/>
      <c r="BH50" s="63" t="n"/>
      <c r="BI50" s="1125" t="n"/>
      <c r="BJ50" s="63" t="n"/>
      <c r="BK50" s="63" t="n"/>
      <c r="BL50" s="63" t="n"/>
      <c r="BM50" s="63" t="n"/>
      <c r="BN50" s="1125" t="n"/>
      <c r="BO50" s="63" t="n"/>
      <c r="BP50" s="63" t="n"/>
      <c r="BQ50" s="63" t="n"/>
      <c r="BR50" s="63" t="n"/>
      <c r="BS50" s="1125" t="n"/>
      <c r="BT50" s="63" t="n"/>
      <c r="BU50" s="63" t="n"/>
      <c r="BV50" s="587" t="n"/>
      <c r="BW50" s="63" t="n"/>
      <c r="BX50" s="1125" t="n"/>
      <c r="BY50" s="63" t="n"/>
      <c r="BZ50" s="63" t="n"/>
      <c r="CA50" s="63" t="n"/>
      <c r="CB50" s="63" t="n"/>
      <c r="CC50" s="1125" t="n"/>
      <c r="CD50" s="1125" t="n"/>
      <c r="CE50" s="1125" t="n"/>
      <c r="CF50" s="1125" t="n"/>
      <c r="CG50" s="155" t="n"/>
    </row>
    <row r="51" hidden="1" outlineLevel="1">
      <c r="A51" s="572" t="inlineStr">
        <is>
          <t>SBC COGS, mm</t>
        </is>
      </c>
      <c r="B51" s="598" t="n"/>
      <c r="C51" s="1110">
        <f>-C367</f>
        <v/>
      </c>
      <c r="D51" s="1110">
        <f>-D367</f>
        <v/>
      </c>
      <c r="E51" s="1110">
        <f>-E367</f>
        <v/>
      </c>
      <c r="F51" s="1110">
        <f>-F367</f>
        <v/>
      </c>
      <c r="G51" s="68">
        <f>-G367</f>
        <v/>
      </c>
      <c r="H51" s="68">
        <f>-H367</f>
        <v/>
      </c>
      <c r="I51" s="68">
        <f>-I367</f>
        <v/>
      </c>
      <c r="J51" s="68">
        <f>-J367</f>
        <v/>
      </c>
      <c r="K51" s="1110">
        <f>-K367</f>
        <v/>
      </c>
      <c r="L51" s="68">
        <f>-L367</f>
        <v/>
      </c>
      <c r="M51" s="68">
        <f>-M367</f>
        <v/>
      </c>
      <c r="N51" s="68">
        <f>-N367</f>
        <v/>
      </c>
      <c r="O51" s="68">
        <f>-O367</f>
        <v/>
      </c>
      <c r="P51" s="1110">
        <f>-P367</f>
        <v/>
      </c>
      <c r="Q51" s="68">
        <f>-Q367</f>
        <v/>
      </c>
      <c r="R51" s="68">
        <f>-R367</f>
        <v/>
      </c>
      <c r="S51" s="68">
        <f>-S367</f>
        <v/>
      </c>
      <c r="T51" s="68">
        <f>-T367</f>
        <v/>
      </c>
      <c r="U51" s="1110">
        <f>-U367</f>
        <v/>
      </c>
      <c r="V51" s="68">
        <f>-V367</f>
        <v/>
      </c>
      <c r="W51" s="68">
        <f>-W367</f>
        <v/>
      </c>
      <c r="X51" s="68">
        <f>-X367</f>
        <v/>
      </c>
      <c r="Y51" s="68">
        <f>-Y367</f>
        <v/>
      </c>
      <c r="Z51" s="1110">
        <f>-Z367</f>
        <v/>
      </c>
      <c r="AA51" s="68">
        <f>-AA367</f>
        <v/>
      </c>
      <c r="AB51" s="68">
        <f>-AB367</f>
        <v/>
      </c>
      <c r="AC51" s="68">
        <f>-AC367</f>
        <v/>
      </c>
      <c r="AD51" s="68">
        <f>-AD367</f>
        <v/>
      </c>
      <c r="AE51" s="1110">
        <f>-AE367</f>
        <v/>
      </c>
      <c r="AF51" s="68">
        <f>-AF367</f>
        <v/>
      </c>
      <c r="AG51" s="68">
        <f>-AG367</f>
        <v/>
      </c>
      <c r="AH51" s="68">
        <f>-AH367</f>
        <v/>
      </c>
      <c r="AI51" s="68">
        <f>-AI367</f>
        <v/>
      </c>
      <c r="AJ51" s="1110">
        <f>-AJ367</f>
        <v/>
      </c>
      <c r="AK51" s="68">
        <f>-AK367</f>
        <v/>
      </c>
      <c r="AL51" s="68">
        <f>-AL367</f>
        <v/>
      </c>
      <c r="AM51" s="68">
        <f>-AM367</f>
        <v/>
      </c>
      <c r="AN51" s="68">
        <f>-AN367</f>
        <v/>
      </c>
      <c r="AO51" s="1110">
        <f>-AO367</f>
        <v/>
      </c>
      <c r="AP51" s="68">
        <f>-AP367</f>
        <v/>
      </c>
      <c r="AQ51" s="68">
        <f>-AQ367</f>
        <v/>
      </c>
      <c r="AR51" s="68">
        <f>-AR367</f>
        <v/>
      </c>
      <c r="AS51" s="68">
        <f>-AS367</f>
        <v/>
      </c>
      <c r="AT51" s="1110">
        <f>-AT367</f>
        <v/>
      </c>
      <c r="AU51" s="68">
        <f>-AU367</f>
        <v/>
      </c>
      <c r="AV51" s="68">
        <f>-AV367</f>
        <v/>
      </c>
      <c r="AW51" s="68">
        <f>-AW367</f>
        <v/>
      </c>
      <c r="AX51" s="68">
        <f>-AX367</f>
        <v/>
      </c>
      <c r="AY51" s="1110">
        <f>-AY367</f>
        <v/>
      </c>
      <c r="AZ51" s="68">
        <f>-AZ367</f>
        <v/>
      </c>
      <c r="BA51" s="68">
        <f>-BA367</f>
        <v/>
      </c>
      <c r="BB51" s="68">
        <f>-BB367</f>
        <v/>
      </c>
      <c r="BC51" s="68">
        <f>-BC367</f>
        <v/>
      </c>
      <c r="BD51" s="1110">
        <f>-BD367</f>
        <v/>
      </c>
      <c r="BE51" s="68">
        <f>-BE367</f>
        <v/>
      </c>
      <c r="BF51" s="68">
        <f>-BF367</f>
        <v/>
      </c>
      <c r="BG51" s="68">
        <f>-BG367</f>
        <v/>
      </c>
      <c r="BH51" s="68">
        <f>-BH367</f>
        <v/>
      </c>
      <c r="BI51" s="1110">
        <f>-BI367</f>
        <v/>
      </c>
      <c r="BJ51" s="68">
        <f>-BJ367</f>
        <v/>
      </c>
      <c r="BK51" s="68">
        <f>-BK367</f>
        <v/>
      </c>
      <c r="BL51" s="68">
        <f>-BL367</f>
        <v/>
      </c>
      <c r="BM51" s="68">
        <f>-BM367</f>
        <v/>
      </c>
      <c r="BN51" s="1110">
        <f>-BN367</f>
        <v/>
      </c>
      <c r="BO51" s="68">
        <f>-BO367</f>
        <v/>
      </c>
      <c r="BP51" s="68">
        <f>-BP367</f>
        <v/>
      </c>
      <c r="BQ51" s="68">
        <f>-BQ367</f>
        <v/>
      </c>
      <c r="BR51" s="68">
        <f>-BR367</f>
        <v/>
      </c>
      <c r="BS51" s="1110">
        <f>-BS367</f>
        <v/>
      </c>
      <c r="BT51" s="68">
        <f>-BT367</f>
        <v/>
      </c>
      <c r="BU51" s="68">
        <f>-BU367</f>
        <v/>
      </c>
      <c r="BV51" s="588">
        <f>-BV367</f>
        <v/>
      </c>
      <c r="BW51" s="68">
        <f>BW44*BW52</f>
        <v/>
      </c>
      <c r="BX51" s="1110">
        <f>SUM(BT51,BU51,BV51,BW51)</f>
        <v/>
      </c>
      <c r="BY51" s="68">
        <f>BY44*BY52</f>
        <v/>
      </c>
      <c r="BZ51" s="68">
        <f>BZ44*BZ52</f>
        <v/>
      </c>
      <c r="CA51" s="68">
        <f>CA44*CA52</f>
        <v/>
      </c>
      <c r="CB51" s="68">
        <f>CB44*CB52</f>
        <v/>
      </c>
      <c r="CC51" s="1110">
        <f>SUM(BY51,BZ51,CA51,CB51)</f>
        <v/>
      </c>
      <c r="CD51" s="1110">
        <f>CD44*CD52</f>
        <v/>
      </c>
      <c r="CE51" s="1110">
        <f>CE44*CE52</f>
        <v/>
      </c>
      <c r="CF51" s="1110">
        <f>CF44*CF52</f>
        <v/>
      </c>
      <c r="CG51" s="155" t="n"/>
    </row>
    <row r="52" hidden="1" outlineLevel="1">
      <c r="A52" s="101" t="inlineStr">
        <is>
          <t>SBC COGS as % of revenue, %</t>
        </is>
      </c>
      <c r="B52" s="582" t="n"/>
      <c r="C52" s="1113">
        <f>C51/C44</f>
        <v/>
      </c>
      <c r="D52" s="1113">
        <f>D51/D44</f>
        <v/>
      </c>
      <c r="E52" s="1113">
        <f>E51/E44</f>
        <v/>
      </c>
      <c r="F52" s="1113">
        <f>F51/F44</f>
        <v/>
      </c>
      <c r="G52" s="90">
        <f>G51/G44</f>
        <v/>
      </c>
      <c r="H52" s="90">
        <f>H51/H44</f>
        <v/>
      </c>
      <c r="I52" s="90">
        <f>I51/I44</f>
        <v/>
      </c>
      <c r="J52" s="90">
        <f>J51/J44</f>
        <v/>
      </c>
      <c r="K52" s="1113">
        <f>K51/K44</f>
        <v/>
      </c>
      <c r="L52" s="90">
        <f>L51/L44</f>
        <v/>
      </c>
      <c r="M52" s="90">
        <f>M51/M44</f>
        <v/>
      </c>
      <c r="N52" s="90">
        <f>N51/N44</f>
        <v/>
      </c>
      <c r="O52" s="90">
        <f>O51/O44</f>
        <v/>
      </c>
      <c r="P52" s="1113">
        <f>P51/P44</f>
        <v/>
      </c>
      <c r="Q52" s="90">
        <f>Q51/Q44</f>
        <v/>
      </c>
      <c r="R52" s="90">
        <f>R51/R44</f>
        <v/>
      </c>
      <c r="S52" s="90">
        <f>S51/S44</f>
        <v/>
      </c>
      <c r="T52" s="90">
        <f>T51/T44</f>
        <v/>
      </c>
      <c r="U52" s="1113">
        <f>U51/U44</f>
        <v/>
      </c>
      <c r="V52" s="90">
        <f>V51/V44</f>
        <v/>
      </c>
      <c r="W52" s="90">
        <f>W51/W44</f>
        <v/>
      </c>
      <c r="X52" s="90">
        <f>X51/X44</f>
        <v/>
      </c>
      <c r="Y52" s="90">
        <f>Y51/Y44</f>
        <v/>
      </c>
      <c r="Z52" s="1113">
        <f>Z51/Z44</f>
        <v/>
      </c>
      <c r="AA52" s="90">
        <f>AA51/AA44</f>
        <v/>
      </c>
      <c r="AB52" s="90">
        <f>AB51/AB44</f>
        <v/>
      </c>
      <c r="AC52" s="90">
        <f>AC51/AC44</f>
        <v/>
      </c>
      <c r="AD52" s="90">
        <f>AD51/AD44</f>
        <v/>
      </c>
      <c r="AE52" s="1113">
        <f>AE51/AE44</f>
        <v/>
      </c>
      <c r="AF52" s="90">
        <f>AF51/AF44</f>
        <v/>
      </c>
      <c r="AG52" s="90">
        <f>AG51/AG44</f>
        <v/>
      </c>
      <c r="AH52" s="90">
        <f>AH51/AH44</f>
        <v/>
      </c>
      <c r="AI52" s="90">
        <f>AI51/AI44</f>
        <v/>
      </c>
      <c r="AJ52" s="1113">
        <f>AJ51/AJ44</f>
        <v/>
      </c>
      <c r="AK52" s="90">
        <f>AK51/AK44</f>
        <v/>
      </c>
      <c r="AL52" s="90">
        <f>AL51/AL44</f>
        <v/>
      </c>
      <c r="AM52" s="90">
        <f>AM51/AM44</f>
        <v/>
      </c>
      <c r="AN52" s="90">
        <f>AN51/AN44</f>
        <v/>
      </c>
      <c r="AO52" s="1113">
        <f>AO51/AO44</f>
        <v/>
      </c>
      <c r="AP52" s="90">
        <f>AP51/AP44</f>
        <v/>
      </c>
      <c r="AQ52" s="90">
        <f>AQ51/AQ44</f>
        <v/>
      </c>
      <c r="AR52" s="90">
        <f>AR51/AR44</f>
        <v/>
      </c>
      <c r="AS52" s="90">
        <f>AS51/AS44</f>
        <v/>
      </c>
      <c r="AT52" s="1113">
        <f>AT51/AT44</f>
        <v/>
      </c>
      <c r="AU52" s="90">
        <f>AU51/AU44</f>
        <v/>
      </c>
      <c r="AV52" s="90">
        <f>AV51/AV44</f>
        <v/>
      </c>
      <c r="AW52" s="90">
        <f>AW51/AW44</f>
        <v/>
      </c>
      <c r="AX52" s="90">
        <f>AX51/AX44</f>
        <v/>
      </c>
      <c r="AY52" s="1113">
        <f>AY51/AY44</f>
        <v/>
      </c>
      <c r="AZ52" s="90">
        <f>AZ51/AZ44</f>
        <v/>
      </c>
      <c r="BA52" s="90">
        <f>BA51/BA44</f>
        <v/>
      </c>
      <c r="BB52" s="90">
        <f>BB51/BB44</f>
        <v/>
      </c>
      <c r="BC52" s="90">
        <f>BC51/BC44</f>
        <v/>
      </c>
      <c r="BD52" s="1113">
        <f>BD51/BD44</f>
        <v/>
      </c>
      <c r="BE52" s="90">
        <f>BE51/BE44</f>
        <v/>
      </c>
      <c r="BF52" s="90">
        <f>BF51/BF44</f>
        <v/>
      </c>
      <c r="BG52" s="90">
        <f>BG51/BG44</f>
        <v/>
      </c>
      <c r="BH52" s="90">
        <f>BH51/BH44</f>
        <v/>
      </c>
      <c r="BI52" s="1113">
        <f>BI51/BI44</f>
        <v/>
      </c>
      <c r="BJ52" s="90">
        <f>BJ51/BJ44</f>
        <v/>
      </c>
      <c r="BK52" s="90">
        <f>BK51/BK44</f>
        <v/>
      </c>
      <c r="BL52" s="90">
        <f>BL51/BL44</f>
        <v/>
      </c>
      <c r="BM52" s="90">
        <f>BM51/BM44</f>
        <v/>
      </c>
      <c r="BN52" s="1113">
        <f>BN51/BN44</f>
        <v/>
      </c>
      <c r="BO52" s="90">
        <f>BO51/BO44</f>
        <v/>
      </c>
      <c r="BP52" s="90">
        <f>BP51/BP44</f>
        <v/>
      </c>
      <c r="BQ52" s="90">
        <f>BQ51/BQ44</f>
        <v/>
      </c>
      <c r="BR52" s="90">
        <f>BR51/BR44</f>
        <v/>
      </c>
      <c r="BS52" s="1113">
        <f>BS51/BS44</f>
        <v/>
      </c>
      <c r="BT52" s="90">
        <f>BT51/BT44</f>
        <v/>
      </c>
      <c r="BU52" s="90">
        <f>BU51/BU44</f>
        <v/>
      </c>
      <c r="BV52" s="880">
        <f>BV51/BV44</f>
        <v/>
      </c>
      <c r="BW52" s="1058" t="n">
        <v>0.001</v>
      </c>
      <c r="BX52" s="1113">
        <f>BX51/BX44</f>
        <v/>
      </c>
      <c r="BY52" s="1058" t="n">
        <v>0.001</v>
      </c>
      <c r="BZ52" s="1058" t="n">
        <v>0.001</v>
      </c>
      <c r="CA52" s="1058" t="n">
        <v>0.001</v>
      </c>
      <c r="CB52" s="1058" t="n">
        <v>0.001</v>
      </c>
      <c r="CC52" s="1113">
        <f>CC51/CC44</f>
        <v/>
      </c>
      <c r="CD52" s="1127" t="n">
        <v>0.001</v>
      </c>
      <c r="CE52" s="1127" t="n">
        <v>0.001</v>
      </c>
      <c r="CF52" s="1127" t="n">
        <v>0.001</v>
      </c>
      <c r="CG52" s="155" t="n"/>
    </row>
    <row r="53" hidden="1" outlineLevel="1">
      <c r="A53" s="572" t="inlineStr">
        <is>
          <t>Acquisition-related costs COGS, mm</t>
        </is>
      </c>
      <c r="B53" s="598" t="n"/>
      <c r="C53" s="1110">
        <f>-C368</f>
        <v/>
      </c>
      <c r="D53" s="1110">
        <f>-D368</f>
        <v/>
      </c>
      <c r="E53" s="1110">
        <f>-E368</f>
        <v/>
      </c>
      <c r="F53" s="1110">
        <f>-F368</f>
        <v/>
      </c>
      <c r="G53" s="68">
        <f>-G368</f>
        <v/>
      </c>
      <c r="H53" s="68">
        <f>-H368</f>
        <v/>
      </c>
      <c r="I53" s="68">
        <f>-I368</f>
        <v/>
      </c>
      <c r="J53" s="68">
        <f>-J368</f>
        <v/>
      </c>
      <c r="K53" s="1110">
        <f>-K368</f>
        <v/>
      </c>
      <c r="L53" s="68">
        <f>-L368</f>
        <v/>
      </c>
      <c r="M53" s="68">
        <f>-M368</f>
        <v/>
      </c>
      <c r="N53" s="68">
        <f>-N368</f>
        <v/>
      </c>
      <c r="O53" s="68">
        <f>-O368</f>
        <v/>
      </c>
      <c r="P53" s="1110">
        <f>-P368</f>
        <v/>
      </c>
      <c r="Q53" s="68">
        <f>-Q368</f>
        <v/>
      </c>
      <c r="R53" s="68">
        <f>-R368</f>
        <v/>
      </c>
      <c r="S53" s="68">
        <f>-S368</f>
        <v/>
      </c>
      <c r="T53" s="68">
        <f>-T368</f>
        <v/>
      </c>
      <c r="U53" s="1110">
        <f>-U368</f>
        <v/>
      </c>
      <c r="V53" s="68">
        <f>-V368</f>
        <v/>
      </c>
      <c r="W53" s="68">
        <f>-W368</f>
        <v/>
      </c>
      <c r="X53" s="68">
        <f>-X368</f>
        <v/>
      </c>
      <c r="Y53" s="68">
        <f>-Y368</f>
        <v/>
      </c>
      <c r="Z53" s="1110">
        <f>-Z368</f>
        <v/>
      </c>
      <c r="AA53" s="68">
        <f>-AA368</f>
        <v/>
      </c>
      <c r="AB53" s="68">
        <f>-AB368</f>
        <v/>
      </c>
      <c r="AC53" s="68">
        <f>-AC368</f>
        <v/>
      </c>
      <c r="AD53" s="68">
        <f>-AD368</f>
        <v/>
      </c>
      <c r="AE53" s="1110">
        <f>-AE368</f>
        <v/>
      </c>
      <c r="AF53" s="68">
        <f>-AF368</f>
        <v/>
      </c>
      <c r="AG53" s="68">
        <f>-AG368</f>
        <v/>
      </c>
      <c r="AH53" s="68">
        <f>-AH368</f>
        <v/>
      </c>
      <c r="AI53" s="68">
        <f>-AI368</f>
        <v/>
      </c>
      <c r="AJ53" s="1110">
        <f>-AJ368</f>
        <v/>
      </c>
      <c r="AK53" s="68">
        <f>-AK368</f>
        <v/>
      </c>
      <c r="AL53" s="68">
        <f>-AL368</f>
        <v/>
      </c>
      <c r="AM53" s="68">
        <f>-AM368</f>
        <v/>
      </c>
      <c r="AN53" s="68">
        <f>-AN368</f>
        <v/>
      </c>
      <c r="AO53" s="1110">
        <f>-AO368</f>
        <v/>
      </c>
      <c r="AP53" s="68">
        <f>-AP368</f>
        <v/>
      </c>
      <c r="AQ53" s="68">
        <f>-AQ368</f>
        <v/>
      </c>
      <c r="AR53" s="68">
        <f>-AR368</f>
        <v/>
      </c>
      <c r="AS53" s="68">
        <f>-AS368</f>
        <v/>
      </c>
      <c r="AT53" s="1110">
        <f>-AT368</f>
        <v/>
      </c>
      <c r="AU53" s="68">
        <f>-AU368</f>
        <v/>
      </c>
      <c r="AV53" s="68">
        <f>-AV368</f>
        <v/>
      </c>
      <c r="AW53" s="68">
        <f>-AW368</f>
        <v/>
      </c>
      <c r="AX53" s="68">
        <f>-AX368</f>
        <v/>
      </c>
      <c r="AY53" s="1110">
        <f>-AY368</f>
        <v/>
      </c>
      <c r="AZ53" s="68">
        <f>-AZ368</f>
        <v/>
      </c>
      <c r="BA53" s="68">
        <f>-BA368</f>
        <v/>
      </c>
      <c r="BB53" s="68">
        <f>-BB368</f>
        <v/>
      </c>
      <c r="BC53" s="68">
        <f>-BC368</f>
        <v/>
      </c>
      <c r="BD53" s="1110">
        <f>-BD368</f>
        <v/>
      </c>
      <c r="BE53" s="68">
        <f>-BE368</f>
        <v/>
      </c>
      <c r="BF53" s="68">
        <f>-BF368</f>
        <v/>
      </c>
      <c r="BG53" s="68">
        <f>-BG368</f>
        <v/>
      </c>
      <c r="BH53" s="68">
        <f>-BH368</f>
        <v/>
      </c>
      <c r="BI53" s="1110">
        <f>-BI368</f>
        <v/>
      </c>
      <c r="BJ53" s="68">
        <f>-BJ368</f>
        <v/>
      </c>
      <c r="BK53" s="68">
        <f>-BK368</f>
        <v/>
      </c>
      <c r="BL53" s="68">
        <f>-BL368</f>
        <v/>
      </c>
      <c r="BM53" s="68">
        <f>-BM368</f>
        <v/>
      </c>
      <c r="BN53" s="1110">
        <f>-BN368</f>
        <v/>
      </c>
      <c r="BO53" s="68">
        <f>-BO368</f>
        <v/>
      </c>
      <c r="BP53" s="68">
        <f>-BP368</f>
        <v/>
      </c>
      <c r="BQ53" s="68">
        <f>-BQ368</f>
        <v/>
      </c>
      <c r="BR53" s="68">
        <f>-BR368</f>
        <v/>
      </c>
      <c r="BS53" s="1110">
        <f>-BS368</f>
        <v/>
      </c>
      <c r="BT53" s="68">
        <f>-BT368</f>
        <v/>
      </c>
      <c r="BU53" s="68">
        <f>-BU368</f>
        <v/>
      </c>
      <c r="BV53" s="588">
        <f>-BV368</f>
        <v/>
      </c>
      <c r="BW53" s="68">
        <f>BW44*BW54</f>
        <v/>
      </c>
      <c r="BX53" s="1110">
        <f>SUM(BT53,BU53,BV53,BW53)</f>
        <v/>
      </c>
      <c r="BY53" s="68">
        <f>BY44*BY54</f>
        <v/>
      </c>
      <c r="BZ53" s="68">
        <f>BZ44*BZ54</f>
        <v/>
      </c>
      <c r="CA53" s="68">
        <f>CA44*CA54</f>
        <v/>
      </c>
      <c r="CB53" s="68">
        <f>CB44*CB54</f>
        <v/>
      </c>
      <c r="CC53" s="1110">
        <f>SUM(BY53,BZ53,CA53,CB53)</f>
        <v/>
      </c>
      <c r="CD53" s="1110">
        <f>CD44*CD54</f>
        <v/>
      </c>
      <c r="CE53" s="1110">
        <f>CE44*CE54</f>
        <v/>
      </c>
      <c r="CF53" s="1110">
        <f>CF44*CF54</f>
        <v/>
      </c>
      <c r="CG53" s="155" t="n"/>
    </row>
    <row r="54" hidden="1" outlineLevel="1">
      <c r="A54" s="101" t="inlineStr">
        <is>
          <t>Acquisition-related costs COGS as % of revenue, %</t>
        </is>
      </c>
      <c r="B54" s="582" t="n"/>
      <c r="C54" s="1113">
        <f>C53/C44</f>
        <v/>
      </c>
      <c r="D54" s="1113">
        <f>D53/D44</f>
        <v/>
      </c>
      <c r="E54" s="1113">
        <f>E53/E44</f>
        <v/>
      </c>
      <c r="F54" s="1113">
        <f>F53/F44</f>
        <v/>
      </c>
      <c r="G54" s="90">
        <f>G53/G44</f>
        <v/>
      </c>
      <c r="H54" s="90">
        <f>H53/H44</f>
        <v/>
      </c>
      <c r="I54" s="90">
        <f>I53/I44</f>
        <v/>
      </c>
      <c r="J54" s="90">
        <f>J53/J44</f>
        <v/>
      </c>
      <c r="K54" s="1113">
        <f>K53/K44</f>
        <v/>
      </c>
      <c r="L54" s="90">
        <f>L53/L44</f>
        <v/>
      </c>
      <c r="M54" s="90">
        <f>M53/M44</f>
        <v/>
      </c>
      <c r="N54" s="90">
        <f>N53/N44</f>
        <v/>
      </c>
      <c r="O54" s="90">
        <f>O53/O44</f>
        <v/>
      </c>
      <c r="P54" s="1113">
        <f>P53/P44</f>
        <v/>
      </c>
      <c r="Q54" s="90">
        <f>Q53/Q44</f>
        <v/>
      </c>
      <c r="R54" s="90">
        <f>R53/R44</f>
        <v/>
      </c>
      <c r="S54" s="90">
        <f>S53/S44</f>
        <v/>
      </c>
      <c r="T54" s="90">
        <f>T53/T44</f>
        <v/>
      </c>
      <c r="U54" s="1113">
        <f>U53/U44</f>
        <v/>
      </c>
      <c r="V54" s="90">
        <f>V53/V44</f>
        <v/>
      </c>
      <c r="W54" s="90">
        <f>W53/W44</f>
        <v/>
      </c>
      <c r="X54" s="90">
        <f>X53/X44</f>
        <v/>
      </c>
      <c r="Y54" s="90">
        <f>Y53/Y44</f>
        <v/>
      </c>
      <c r="Z54" s="1113">
        <f>Z53/Z44</f>
        <v/>
      </c>
      <c r="AA54" s="90">
        <f>AA53/AA44</f>
        <v/>
      </c>
      <c r="AB54" s="90">
        <f>AB53/AB44</f>
        <v/>
      </c>
      <c r="AC54" s="90">
        <f>AC53/AC44</f>
        <v/>
      </c>
      <c r="AD54" s="90">
        <f>AD53/AD44</f>
        <v/>
      </c>
      <c r="AE54" s="1113">
        <f>AE53/AE44</f>
        <v/>
      </c>
      <c r="AF54" s="90">
        <f>AF53/AF44</f>
        <v/>
      </c>
      <c r="AG54" s="90">
        <f>AG53/AG44</f>
        <v/>
      </c>
      <c r="AH54" s="90">
        <f>AH53/AH44</f>
        <v/>
      </c>
      <c r="AI54" s="90">
        <f>AI53/AI44</f>
        <v/>
      </c>
      <c r="AJ54" s="1113">
        <f>AJ53/AJ44</f>
        <v/>
      </c>
      <c r="AK54" s="90">
        <f>AK53/AK44</f>
        <v/>
      </c>
      <c r="AL54" s="90">
        <f>AL53/AL44</f>
        <v/>
      </c>
      <c r="AM54" s="90">
        <f>AM53/AM44</f>
        <v/>
      </c>
      <c r="AN54" s="90">
        <f>AN53/AN44</f>
        <v/>
      </c>
      <c r="AO54" s="1113">
        <f>AO53/AO44</f>
        <v/>
      </c>
      <c r="AP54" s="90">
        <f>AP53/AP44</f>
        <v/>
      </c>
      <c r="AQ54" s="90">
        <f>AQ53/AQ44</f>
        <v/>
      </c>
      <c r="AR54" s="90">
        <f>AR53/AR44</f>
        <v/>
      </c>
      <c r="AS54" s="90">
        <f>AS53/AS44</f>
        <v/>
      </c>
      <c r="AT54" s="1113">
        <f>AT53/AT44</f>
        <v/>
      </c>
      <c r="AU54" s="90">
        <f>AU53/AU44</f>
        <v/>
      </c>
      <c r="AV54" s="90">
        <f>AV53/AV44</f>
        <v/>
      </c>
      <c r="AW54" s="90">
        <f>AW53/AW44</f>
        <v/>
      </c>
      <c r="AX54" s="90">
        <f>AX53/AX44</f>
        <v/>
      </c>
      <c r="AY54" s="1113">
        <f>AY53/AY44</f>
        <v/>
      </c>
      <c r="AZ54" s="90">
        <f>AZ53/AZ44</f>
        <v/>
      </c>
      <c r="BA54" s="90">
        <f>BA53/BA44</f>
        <v/>
      </c>
      <c r="BB54" s="90">
        <f>BB53/BB44</f>
        <v/>
      </c>
      <c r="BC54" s="90">
        <f>BC53/BC44</f>
        <v/>
      </c>
      <c r="BD54" s="1113">
        <f>BD53/BD44</f>
        <v/>
      </c>
      <c r="BE54" s="90">
        <f>BE53/BE44</f>
        <v/>
      </c>
      <c r="BF54" s="90">
        <f>BF53/BF44</f>
        <v/>
      </c>
      <c r="BG54" s="90">
        <f>BG53/BG44</f>
        <v/>
      </c>
      <c r="BH54" s="90">
        <f>BH53/BH44</f>
        <v/>
      </c>
      <c r="BI54" s="1113">
        <f>BI53/BI44</f>
        <v/>
      </c>
      <c r="BJ54" s="90">
        <f>BJ53/BJ44</f>
        <v/>
      </c>
      <c r="BK54" s="90">
        <f>BK53/BK44</f>
        <v/>
      </c>
      <c r="BL54" s="90">
        <f>BL53/BL44</f>
        <v/>
      </c>
      <c r="BM54" s="90">
        <f>BM53/BM44</f>
        <v/>
      </c>
      <c r="BN54" s="1113">
        <f>BN53/BN44</f>
        <v/>
      </c>
      <c r="BO54" s="90">
        <f>BO53/BO44</f>
        <v/>
      </c>
      <c r="BP54" s="90">
        <f>BP53/BP44</f>
        <v/>
      </c>
      <c r="BQ54" s="90">
        <f>BQ53/BQ44</f>
        <v/>
      </c>
      <c r="BR54" s="90">
        <f>BR53/BR44</f>
        <v/>
      </c>
      <c r="BS54" s="1113">
        <f>BS53/BS44</f>
        <v/>
      </c>
      <c r="BT54" s="90">
        <f>BT53/BT44</f>
        <v/>
      </c>
      <c r="BU54" s="90">
        <f>BU53/BU44</f>
        <v/>
      </c>
      <c r="BV54" s="880">
        <f>BV53/BV44</f>
        <v/>
      </c>
      <c r="BW54" s="1058" t="n">
        <v>0.001</v>
      </c>
      <c r="BX54" s="1113">
        <f>BX53/BX44</f>
        <v/>
      </c>
      <c r="BY54" s="1058" t="n">
        <v>0.001</v>
      </c>
      <c r="BZ54" s="1058" t="n">
        <v>0.001</v>
      </c>
      <c r="CA54" s="1058" t="n">
        <v>0.001</v>
      </c>
      <c r="CB54" s="1058" t="n">
        <v>0.001</v>
      </c>
      <c r="CC54" s="1113">
        <f>CC53/CC44</f>
        <v/>
      </c>
      <c r="CD54" s="1127" t="n">
        <v>0.002</v>
      </c>
      <c r="CE54" s="1127" t="n">
        <v>0.002</v>
      </c>
      <c r="CF54" s="1127" t="n">
        <v>0.002</v>
      </c>
      <c r="CG54" s="155" t="n"/>
    </row>
    <row r="55" hidden="1" outlineLevel="1">
      <c r="A55" s="572" t="inlineStr">
        <is>
          <t>Other COGS Adjustments, mm</t>
        </is>
      </c>
      <c r="B55" s="598" t="n"/>
      <c r="C55" s="1110">
        <f>-C369</f>
        <v/>
      </c>
      <c r="D55" s="1110">
        <f>-D369</f>
        <v/>
      </c>
      <c r="E55" s="1110">
        <f>-E369</f>
        <v/>
      </c>
      <c r="F55" s="1110">
        <f>-F369</f>
        <v/>
      </c>
      <c r="G55" s="68">
        <f>-G369</f>
        <v/>
      </c>
      <c r="H55" s="68">
        <f>-H369</f>
        <v/>
      </c>
      <c r="I55" s="68">
        <f>-I369</f>
        <v/>
      </c>
      <c r="J55" s="68">
        <f>-J369</f>
        <v/>
      </c>
      <c r="K55" s="1110">
        <f>-K369</f>
        <v/>
      </c>
      <c r="L55" s="68">
        <f>-L369</f>
        <v/>
      </c>
      <c r="M55" s="68">
        <f>-M369</f>
        <v/>
      </c>
      <c r="N55" s="68">
        <f>-N369</f>
        <v/>
      </c>
      <c r="O55" s="68">
        <f>-O369</f>
        <v/>
      </c>
      <c r="P55" s="1110">
        <f>-P369</f>
        <v/>
      </c>
      <c r="Q55" s="68">
        <f>-Q369</f>
        <v/>
      </c>
      <c r="R55" s="68">
        <f>-R369</f>
        <v/>
      </c>
      <c r="S55" s="68">
        <f>-S369</f>
        <v/>
      </c>
      <c r="T55" s="68">
        <f>-T369</f>
        <v/>
      </c>
      <c r="U55" s="1110">
        <f>-U369</f>
        <v/>
      </c>
      <c r="V55" s="68">
        <f>-V369</f>
        <v/>
      </c>
      <c r="W55" s="68">
        <f>-W369</f>
        <v/>
      </c>
      <c r="X55" s="68">
        <f>-X369</f>
        <v/>
      </c>
      <c r="Y55" s="68">
        <f>-Y369</f>
        <v/>
      </c>
      <c r="Z55" s="1110">
        <f>-Z369</f>
        <v/>
      </c>
      <c r="AA55" s="68">
        <f>-AA369</f>
        <v/>
      </c>
      <c r="AB55" s="68">
        <f>-AB369</f>
        <v/>
      </c>
      <c r="AC55" s="68">
        <f>-AC369</f>
        <v/>
      </c>
      <c r="AD55" s="68">
        <f>-AD369</f>
        <v/>
      </c>
      <c r="AE55" s="1110">
        <f>-AE369</f>
        <v/>
      </c>
      <c r="AF55" s="68">
        <f>-AF369</f>
        <v/>
      </c>
      <c r="AG55" s="68">
        <f>-AG369</f>
        <v/>
      </c>
      <c r="AH55" s="68">
        <f>-AH369</f>
        <v/>
      </c>
      <c r="AI55" s="68">
        <f>-AI369</f>
        <v/>
      </c>
      <c r="AJ55" s="1110">
        <f>-AJ369</f>
        <v/>
      </c>
      <c r="AK55" s="68">
        <f>-AK369</f>
        <v/>
      </c>
      <c r="AL55" s="68">
        <f>-AL369</f>
        <v/>
      </c>
      <c r="AM55" s="68">
        <f>-AM369</f>
        <v/>
      </c>
      <c r="AN55" s="68">
        <f>-AN369</f>
        <v/>
      </c>
      <c r="AO55" s="1110">
        <f>-AO369</f>
        <v/>
      </c>
      <c r="AP55" s="68">
        <f>-AP369</f>
        <v/>
      </c>
      <c r="AQ55" s="68">
        <f>-AQ369</f>
        <v/>
      </c>
      <c r="AR55" s="68">
        <f>-AR369</f>
        <v/>
      </c>
      <c r="AS55" s="68">
        <f>-AS369</f>
        <v/>
      </c>
      <c r="AT55" s="1110">
        <f>-AT369</f>
        <v/>
      </c>
      <c r="AU55" s="68">
        <f>-AU369</f>
        <v/>
      </c>
      <c r="AV55" s="68">
        <f>-AV369</f>
        <v/>
      </c>
      <c r="AW55" s="68">
        <f>-AW369</f>
        <v/>
      </c>
      <c r="AX55" s="68">
        <f>-AX369</f>
        <v/>
      </c>
      <c r="AY55" s="1110">
        <f>-AY369</f>
        <v/>
      </c>
      <c r="AZ55" s="68">
        <f>-AZ369</f>
        <v/>
      </c>
      <c r="BA55" s="68">
        <f>-BA369</f>
        <v/>
      </c>
      <c r="BB55" s="68">
        <f>-BB369</f>
        <v/>
      </c>
      <c r="BC55" s="68">
        <f>-BC369</f>
        <v/>
      </c>
      <c r="BD55" s="1110">
        <f>-BD369</f>
        <v/>
      </c>
      <c r="BE55" s="68">
        <f>-BE369</f>
        <v/>
      </c>
      <c r="BF55" s="68">
        <f>-BF369</f>
        <v/>
      </c>
      <c r="BG55" s="68">
        <f>-BG369</f>
        <v/>
      </c>
      <c r="BH55" s="68">
        <f>-BH369</f>
        <v/>
      </c>
      <c r="BI55" s="1110">
        <f>-BI369</f>
        <v/>
      </c>
      <c r="BJ55" s="68">
        <f>-BJ369</f>
        <v/>
      </c>
      <c r="BK55" s="68">
        <f>-BK369</f>
        <v/>
      </c>
      <c r="BL55" s="68">
        <f>-BL369</f>
        <v/>
      </c>
      <c r="BM55" s="68">
        <f>-BM369</f>
        <v/>
      </c>
      <c r="BN55" s="1110">
        <f>-BN369</f>
        <v/>
      </c>
      <c r="BO55" s="68">
        <f>-BO369</f>
        <v/>
      </c>
      <c r="BP55" s="68">
        <f>-BP369</f>
        <v/>
      </c>
      <c r="BQ55" s="68">
        <f>-BQ369</f>
        <v/>
      </c>
      <c r="BR55" s="68">
        <f>-BR369</f>
        <v/>
      </c>
      <c r="BS55" s="1110">
        <f>-BS369</f>
        <v/>
      </c>
      <c r="BT55" s="68">
        <f>-BT369</f>
        <v/>
      </c>
      <c r="BU55" s="68">
        <f>-BU369</f>
        <v/>
      </c>
      <c r="BV55" s="588">
        <f>-BV369</f>
        <v/>
      </c>
      <c r="BW55" s="1053" t="n">
        <v>0</v>
      </c>
      <c r="BX55" s="1110">
        <f>SUM(BT55,BU55,BV55,BW55)</f>
        <v/>
      </c>
      <c r="BY55" s="1053" t="n">
        <v>0</v>
      </c>
      <c r="BZ55" s="1053" t="n">
        <v>0</v>
      </c>
      <c r="CA55" s="1053" t="n">
        <v>0</v>
      </c>
      <c r="CB55" s="1053" t="n">
        <v>0</v>
      </c>
      <c r="CC55" s="1110">
        <f>SUM(BY55,BZ55,CA55,CB55)</f>
        <v/>
      </c>
      <c r="CD55" s="1111" t="n">
        <v>0</v>
      </c>
      <c r="CE55" s="1111" t="n">
        <v>0</v>
      </c>
      <c r="CF55" s="1111" t="n">
        <v>0</v>
      </c>
      <c r="CG55" s="155" t="n"/>
    </row>
    <row r="56" hidden="1" outlineLevel="1">
      <c r="A56" s="644" t="inlineStr">
        <is>
          <t>Non-GAAP COGS, mm</t>
        </is>
      </c>
      <c r="B56" s="645" t="n"/>
      <c r="C56" s="1128">
        <f>C45-C51-C53-C55</f>
        <v/>
      </c>
      <c r="D56" s="1128">
        <f>D45-D51-D53-D55</f>
        <v/>
      </c>
      <c r="E56" s="1128">
        <f>E45-E51-E53-E55</f>
        <v/>
      </c>
      <c r="F56" s="1128">
        <f>F45-F51-F53-F55</f>
        <v/>
      </c>
      <c r="G56" s="646">
        <f>G45-G51-G53-G55</f>
        <v/>
      </c>
      <c r="H56" s="646">
        <f>H45-H51-H53-H55</f>
        <v/>
      </c>
      <c r="I56" s="646">
        <f>I45-I51-I53-I55</f>
        <v/>
      </c>
      <c r="J56" s="646">
        <f>J45-J51-J53-J55</f>
        <v/>
      </c>
      <c r="K56" s="1128">
        <f>K45-K51-K53-K55</f>
        <v/>
      </c>
      <c r="L56" s="646">
        <f>L45-L51-L53-L55</f>
        <v/>
      </c>
      <c r="M56" s="646">
        <f>M45-M51-M53-M55</f>
        <v/>
      </c>
      <c r="N56" s="646">
        <f>N45-N51-N53-N55</f>
        <v/>
      </c>
      <c r="O56" s="646">
        <f>O45-O51-O53-O55</f>
        <v/>
      </c>
      <c r="P56" s="1128">
        <f>P45-P51-P53-P55</f>
        <v/>
      </c>
      <c r="Q56" s="646">
        <f>Q45-Q51-Q53-Q55</f>
        <v/>
      </c>
      <c r="R56" s="646">
        <f>R45-R51-R53-R55</f>
        <v/>
      </c>
      <c r="S56" s="646">
        <f>S45-S51-S53-S55</f>
        <v/>
      </c>
      <c r="T56" s="646">
        <f>T45-T51-T53-T55</f>
        <v/>
      </c>
      <c r="U56" s="1128">
        <f>U45-U51-U53-U55</f>
        <v/>
      </c>
      <c r="V56" s="646">
        <f>V45-V51-V53-V55</f>
        <v/>
      </c>
      <c r="W56" s="646">
        <f>W45-W51-W53-W55</f>
        <v/>
      </c>
      <c r="X56" s="646">
        <f>X45-X51-X53-X55</f>
        <v/>
      </c>
      <c r="Y56" s="646">
        <f>Y45-Y51-Y53-Y55</f>
        <v/>
      </c>
      <c r="Z56" s="1128">
        <f>Z45-Z51-Z53-Z55</f>
        <v/>
      </c>
      <c r="AA56" s="646">
        <f>AA45-AA51-AA53-AA55</f>
        <v/>
      </c>
      <c r="AB56" s="646">
        <f>AB45-AB51-AB53-AB55</f>
        <v/>
      </c>
      <c r="AC56" s="646">
        <f>AC45-AC51-AC53-AC55</f>
        <v/>
      </c>
      <c r="AD56" s="646">
        <f>AD45-AD51-AD53-AD55</f>
        <v/>
      </c>
      <c r="AE56" s="1128">
        <f>AE45-AE51-AE53-AE55</f>
        <v/>
      </c>
      <c r="AF56" s="646">
        <f>AF45-AF51-AF53-AF55</f>
        <v/>
      </c>
      <c r="AG56" s="646">
        <f>AG45-AG51-AG53-AG55</f>
        <v/>
      </c>
      <c r="AH56" s="646">
        <f>AH45-AH51-AH53-AH55</f>
        <v/>
      </c>
      <c r="AI56" s="646">
        <f>AI45-AI51-AI53-AI55</f>
        <v/>
      </c>
      <c r="AJ56" s="1128">
        <f>AJ45-AJ51-AJ53-AJ55</f>
        <v/>
      </c>
      <c r="AK56" s="646">
        <f>AK45-AK51-AK53-AK55</f>
        <v/>
      </c>
      <c r="AL56" s="646">
        <f>AL45-AL51-AL53-AL55</f>
        <v/>
      </c>
      <c r="AM56" s="646">
        <f>AM45-AM51-AM53-AM55</f>
        <v/>
      </c>
      <c r="AN56" s="646">
        <f>AN45-AN51-AN53-AN55</f>
        <v/>
      </c>
      <c r="AO56" s="1128">
        <f>AO45-AO51-AO53-AO55</f>
        <v/>
      </c>
      <c r="AP56" s="646">
        <f>AP45-AP51-AP53-AP55</f>
        <v/>
      </c>
      <c r="AQ56" s="646">
        <f>AQ45-AQ51-AQ53-AQ55</f>
        <v/>
      </c>
      <c r="AR56" s="646">
        <f>AR45-AR51-AR53-AR55</f>
        <v/>
      </c>
      <c r="AS56" s="646">
        <f>AS45-AS51-AS53-AS55</f>
        <v/>
      </c>
      <c r="AT56" s="1128">
        <f>AT45-AT51-AT53-AT55</f>
        <v/>
      </c>
      <c r="AU56" s="646">
        <f>AU45-AU51-AU53-AU55</f>
        <v/>
      </c>
      <c r="AV56" s="646">
        <f>AV45-AV51-AV53-AV55</f>
        <v/>
      </c>
      <c r="AW56" s="646">
        <f>AW45-AW51-AW53-AW55</f>
        <v/>
      </c>
      <c r="AX56" s="646">
        <f>AX45-AX51-AX53-AX55</f>
        <v/>
      </c>
      <c r="AY56" s="1128">
        <f>AY45-AY51-AY53-AY55</f>
        <v/>
      </c>
      <c r="AZ56" s="646">
        <f>AZ45-AZ51-AZ53-AZ55</f>
        <v/>
      </c>
      <c r="BA56" s="646">
        <f>BA45-BA51-BA53-BA55</f>
        <v/>
      </c>
      <c r="BB56" s="646">
        <f>BB45-BB51-BB53-BB55</f>
        <v/>
      </c>
      <c r="BC56" s="646">
        <f>BC45-BC51-BC53-BC55</f>
        <v/>
      </c>
      <c r="BD56" s="1128">
        <f>BD45-BD51-BD53-BD55</f>
        <v/>
      </c>
      <c r="BE56" s="646">
        <f>BE45-BE51-BE53-BE55</f>
        <v/>
      </c>
      <c r="BF56" s="646">
        <f>BF45-BF51-BF53-BF55</f>
        <v/>
      </c>
      <c r="BG56" s="646">
        <f>BG45-BG51-BG53-BG55</f>
        <v/>
      </c>
      <c r="BH56" s="646">
        <f>BH45-BH51-BH53-BH55</f>
        <v/>
      </c>
      <c r="BI56" s="1128">
        <f>BI45-BI51-BI53-BI55</f>
        <v/>
      </c>
      <c r="BJ56" s="646">
        <f>BJ45-BJ51-BJ53-BJ55</f>
        <v/>
      </c>
      <c r="BK56" s="646">
        <f>BK45-BK51-BK53-BK55</f>
        <v/>
      </c>
      <c r="BL56" s="646">
        <f>BL45-BL51-BL53-BL55</f>
        <v/>
      </c>
      <c r="BM56" s="646">
        <f>BM45-BM51-BM53-BM55</f>
        <v/>
      </c>
      <c r="BN56" s="1128">
        <f>BN45-BN51-BN53-BN55</f>
        <v/>
      </c>
      <c r="BO56" s="646">
        <f>BO45-BO51-BO53-BO55</f>
        <v/>
      </c>
      <c r="BP56" s="646">
        <f>BP45-BP51-BP53-BP55</f>
        <v/>
      </c>
      <c r="BQ56" s="646">
        <f>BQ45-BQ51-BQ53-BQ55</f>
        <v/>
      </c>
      <c r="BR56" s="646">
        <f>BR45-BR51-BR53-BR55</f>
        <v/>
      </c>
      <c r="BS56" s="1128">
        <f>BS45-BS51-BS53-BS55</f>
        <v/>
      </c>
      <c r="BT56" s="646">
        <f>BT45-BT51-BT53-BT55</f>
        <v/>
      </c>
      <c r="BU56" s="646">
        <f>BU45-BU51-BU53-BU55</f>
        <v/>
      </c>
      <c r="BV56" s="886">
        <f>BV45-BV51-BV53-BV55</f>
        <v/>
      </c>
      <c r="BW56" s="646">
        <f>BW44-BW57</f>
        <v/>
      </c>
      <c r="BX56" s="1128">
        <f>SUM(BT56,BU56,BV56,BW56)</f>
        <v/>
      </c>
      <c r="BY56" s="646">
        <f>BY44-BY57</f>
        <v/>
      </c>
      <c r="BZ56" s="646">
        <f>BZ44-BZ57</f>
        <v/>
      </c>
      <c r="CA56" s="646">
        <f>CA44-CA57</f>
        <v/>
      </c>
      <c r="CB56" s="646">
        <f>CB44-CB57</f>
        <v/>
      </c>
      <c r="CC56" s="1128">
        <f>SUM(BY56,BZ56,CA56,CB56)</f>
        <v/>
      </c>
      <c r="CD56" s="1128">
        <f>CD44-CD57</f>
        <v/>
      </c>
      <c r="CE56" s="1128">
        <f>CE44-CE57</f>
        <v/>
      </c>
      <c r="CF56" s="1128">
        <f>CF44-CF57</f>
        <v/>
      </c>
      <c r="CG56" s="155" t="n"/>
    </row>
    <row r="57" collapsed="1">
      <c r="A57" s="631" t="inlineStr">
        <is>
          <t>Non-GAAP Gross Profit, mm</t>
        </is>
      </c>
      <c r="B57" s="599" t="n"/>
      <c r="C57" s="1122">
        <f>C44-C56</f>
        <v/>
      </c>
      <c r="D57" s="1122">
        <f>D44-D56</f>
        <v/>
      </c>
      <c r="E57" s="1122">
        <f>E44-E56</f>
        <v/>
      </c>
      <c r="F57" s="1122">
        <f>F44-F56</f>
        <v/>
      </c>
      <c r="G57" s="61">
        <f>G44-G56</f>
        <v/>
      </c>
      <c r="H57" s="61">
        <f>H44-H56</f>
        <v/>
      </c>
      <c r="I57" s="61">
        <f>I44-I56</f>
        <v/>
      </c>
      <c r="J57" s="61">
        <f>J44-J56</f>
        <v/>
      </c>
      <c r="K57" s="1122">
        <f>K44-K56</f>
        <v/>
      </c>
      <c r="L57" s="61">
        <f>L44-L56</f>
        <v/>
      </c>
      <c r="M57" s="61">
        <f>M44-M56</f>
        <v/>
      </c>
      <c r="N57" s="61">
        <f>N44-N56</f>
        <v/>
      </c>
      <c r="O57" s="61">
        <f>O44-O56</f>
        <v/>
      </c>
      <c r="P57" s="1122">
        <f>P44-P56</f>
        <v/>
      </c>
      <c r="Q57" s="61">
        <f>Q44-Q56</f>
        <v/>
      </c>
      <c r="R57" s="61">
        <f>R44-R56</f>
        <v/>
      </c>
      <c r="S57" s="61">
        <f>S44-S56</f>
        <v/>
      </c>
      <c r="T57" s="61">
        <f>T44-T56</f>
        <v/>
      </c>
      <c r="U57" s="1122">
        <f>U44-U56</f>
        <v/>
      </c>
      <c r="V57" s="61">
        <f>V44-V56</f>
        <v/>
      </c>
      <c r="W57" s="61">
        <f>W44-W56</f>
        <v/>
      </c>
      <c r="X57" s="61">
        <f>X44-X56</f>
        <v/>
      </c>
      <c r="Y57" s="61">
        <f>Y44-Y56</f>
        <v/>
      </c>
      <c r="Z57" s="1122">
        <f>Z44-Z56</f>
        <v/>
      </c>
      <c r="AA57" s="61">
        <f>AA44-AA56</f>
        <v/>
      </c>
      <c r="AB57" s="61">
        <f>AB44-AB56</f>
        <v/>
      </c>
      <c r="AC57" s="61">
        <f>AC44-AC56</f>
        <v/>
      </c>
      <c r="AD57" s="61">
        <f>AD44-AD56</f>
        <v/>
      </c>
      <c r="AE57" s="1122">
        <f>AE44-AE56</f>
        <v/>
      </c>
      <c r="AF57" s="61">
        <f>AF44-AF56</f>
        <v/>
      </c>
      <c r="AG57" s="61">
        <f>AG44-AG56</f>
        <v/>
      </c>
      <c r="AH57" s="61">
        <f>AH44-AH56</f>
        <v/>
      </c>
      <c r="AI57" s="61">
        <f>AI44-AI56</f>
        <v/>
      </c>
      <c r="AJ57" s="1122">
        <f>AJ44-AJ56</f>
        <v/>
      </c>
      <c r="AK57" s="61">
        <f>AK44-AK56</f>
        <v/>
      </c>
      <c r="AL57" s="61">
        <f>AL44-AL56</f>
        <v/>
      </c>
      <c r="AM57" s="61">
        <f>AM44-AM56</f>
        <v/>
      </c>
      <c r="AN57" s="61">
        <f>AN44-AN56</f>
        <v/>
      </c>
      <c r="AO57" s="1122">
        <f>AO44-AO56</f>
        <v/>
      </c>
      <c r="AP57" s="61">
        <f>AP44-AP56</f>
        <v/>
      </c>
      <c r="AQ57" s="61">
        <f>AQ44-AQ56</f>
        <v/>
      </c>
      <c r="AR57" s="61">
        <f>AR44-AR56</f>
        <v/>
      </c>
      <c r="AS57" s="61">
        <f>AS44-AS56</f>
        <v/>
      </c>
      <c r="AT57" s="1122">
        <f>AT44-AT56</f>
        <v/>
      </c>
      <c r="AU57" s="61">
        <f>AU44-AU56</f>
        <v/>
      </c>
      <c r="AV57" s="61">
        <f>AV44-AV56</f>
        <v/>
      </c>
      <c r="AW57" s="61">
        <f>AW44-AW56</f>
        <v/>
      </c>
      <c r="AX57" s="61">
        <f>AX44-AX56</f>
        <v/>
      </c>
      <c r="AY57" s="1122">
        <f>AY44-AY56</f>
        <v/>
      </c>
      <c r="AZ57" s="61">
        <f>AZ44-AZ56</f>
        <v/>
      </c>
      <c r="BA57" s="61">
        <f>BA44-BA56</f>
        <v/>
      </c>
      <c r="BB57" s="61">
        <f>BB44-BB56</f>
        <v/>
      </c>
      <c r="BC57" s="61">
        <f>BC44-BC56</f>
        <v/>
      </c>
      <c r="BD57" s="1122">
        <f>BD44-BD56</f>
        <v/>
      </c>
      <c r="BE57" s="61">
        <f>BE44-BE56</f>
        <v/>
      </c>
      <c r="BF57" s="61">
        <f>BF44-BF56</f>
        <v/>
      </c>
      <c r="BG57" s="61">
        <f>BG44-BG56</f>
        <v/>
      </c>
      <c r="BH57" s="61">
        <f>BH44-BH56</f>
        <v/>
      </c>
      <c r="BI57" s="1122">
        <f>BI44-BI56</f>
        <v/>
      </c>
      <c r="BJ57" s="61">
        <f>BJ44-BJ56</f>
        <v/>
      </c>
      <c r="BK57" s="61">
        <f>BK44-BK56</f>
        <v/>
      </c>
      <c r="BL57" s="61">
        <f>BL44-BL56</f>
        <v/>
      </c>
      <c r="BM57" s="61">
        <f>BM44-BM56</f>
        <v/>
      </c>
      <c r="BN57" s="1122">
        <f>BN44-BN56</f>
        <v/>
      </c>
      <c r="BO57" s="61">
        <f>BO44-BO56</f>
        <v/>
      </c>
      <c r="BP57" s="61">
        <f>BP44-BP56</f>
        <v/>
      </c>
      <c r="BQ57" s="61">
        <f>BQ44-BQ56</f>
        <v/>
      </c>
      <c r="BR57" s="61">
        <f>BR44-BR56</f>
        <v/>
      </c>
      <c r="BS57" s="1122">
        <f>BS44-BS56</f>
        <v/>
      </c>
      <c r="BT57" s="61">
        <f>BT44-BT56</f>
        <v/>
      </c>
      <c r="BU57" s="61">
        <f>BU44-BU56</f>
        <v/>
      </c>
      <c r="BV57" s="884">
        <f>BV44-BV56</f>
        <v/>
      </c>
      <c r="BW57" s="61">
        <f>BW44*BW59</f>
        <v/>
      </c>
      <c r="BX57" s="1122">
        <f>SUM(BT57,BU57,BV57,BW57)</f>
        <v/>
      </c>
      <c r="BY57" s="61">
        <f>BY44*BY59</f>
        <v/>
      </c>
      <c r="BZ57" s="61">
        <f>BZ44*BZ59</f>
        <v/>
      </c>
      <c r="CA57" s="61">
        <f>CA44*CA59</f>
        <v/>
      </c>
      <c r="CB57" s="61">
        <f>CB44*CB59</f>
        <v/>
      </c>
      <c r="CC57" s="1122">
        <f>SUM(BY57,BZ57,CA57,CB57)</f>
        <v/>
      </c>
      <c r="CD57" s="1122">
        <f>CD44*CD59</f>
        <v/>
      </c>
      <c r="CE57" s="1122">
        <f>CE44*CE59</f>
        <v/>
      </c>
      <c r="CF57" s="1122">
        <f>CF44*CF59</f>
        <v/>
      </c>
      <c r="CG57" s="155" t="n"/>
    </row>
    <row r="58">
      <c r="A58" s="371" t="inlineStr">
        <is>
          <t>Y/Y Non-GAAP gross profit growth, %</t>
        </is>
      </c>
      <c r="B58" s="582" t="n"/>
      <c r="C58" s="1113" t="n"/>
      <c r="D58" s="1113">
        <f>D57/C57-1</f>
        <v/>
      </c>
      <c r="E58" s="1113">
        <f>E57/D57-1</f>
        <v/>
      </c>
      <c r="F58" s="1113">
        <f>F57/E57-1</f>
        <v/>
      </c>
      <c r="G58" s="90" t="n"/>
      <c r="H58" s="90" t="n"/>
      <c r="I58" s="90" t="n"/>
      <c r="J58" s="90" t="n"/>
      <c r="K58" s="1113">
        <f>K57/F57-1</f>
        <v/>
      </c>
      <c r="L58" s="90">
        <f>L57/G57-1</f>
        <v/>
      </c>
      <c r="M58" s="90">
        <f>M57/H57-1</f>
        <v/>
      </c>
      <c r="N58" s="90">
        <f>N57/I57-1</f>
        <v/>
      </c>
      <c r="O58" s="90">
        <f>O57/J57-1</f>
        <v/>
      </c>
      <c r="P58" s="1113">
        <f>P57/K57-1</f>
        <v/>
      </c>
      <c r="Q58" s="90">
        <f>Q57/L57-1</f>
        <v/>
      </c>
      <c r="R58" s="90">
        <f>R57/M57-1</f>
        <v/>
      </c>
      <c r="S58" s="90">
        <f>S57/N57-1</f>
        <v/>
      </c>
      <c r="T58" s="90">
        <f>T57/O57-1</f>
        <v/>
      </c>
      <c r="U58" s="1113">
        <f>U57/P57-1</f>
        <v/>
      </c>
      <c r="V58" s="90">
        <f>V57/Q57-1</f>
        <v/>
      </c>
      <c r="W58" s="90">
        <f>W57/R57-1</f>
        <v/>
      </c>
      <c r="X58" s="90">
        <f>X57/S57-1</f>
        <v/>
      </c>
      <c r="Y58" s="90">
        <f>Y57/T57-1</f>
        <v/>
      </c>
      <c r="Z58" s="1113">
        <f>Z57/U57-1</f>
        <v/>
      </c>
      <c r="AA58" s="90">
        <f>AA57/V57-1</f>
        <v/>
      </c>
      <c r="AB58" s="90">
        <f>AB57/W57-1</f>
        <v/>
      </c>
      <c r="AC58" s="90">
        <f>AC57/X57-1</f>
        <v/>
      </c>
      <c r="AD58" s="90">
        <f>AD57/Y57-1</f>
        <v/>
      </c>
      <c r="AE58" s="1113">
        <f>AE57/Z57-1</f>
        <v/>
      </c>
      <c r="AF58" s="90">
        <f>AF57/AA57-1</f>
        <v/>
      </c>
      <c r="AG58" s="90">
        <f>AG57/AB57-1</f>
        <v/>
      </c>
      <c r="AH58" s="90">
        <f>AH57/AC57-1</f>
        <v/>
      </c>
      <c r="AI58" s="90">
        <f>AI57/AD57-1</f>
        <v/>
      </c>
      <c r="AJ58" s="1113">
        <f>AJ57/AE57-1</f>
        <v/>
      </c>
      <c r="AK58" s="90">
        <f>AK57/AF57-1</f>
        <v/>
      </c>
      <c r="AL58" s="90">
        <f>AL57/AG57-1</f>
        <v/>
      </c>
      <c r="AM58" s="90">
        <f>AM57/AH57-1</f>
        <v/>
      </c>
      <c r="AN58" s="90">
        <f>AN57/AI57-1</f>
        <v/>
      </c>
      <c r="AO58" s="1113">
        <f>AO57/AJ57-1</f>
        <v/>
      </c>
      <c r="AP58" s="90">
        <f>AP57/AK57-1</f>
        <v/>
      </c>
      <c r="AQ58" s="90">
        <f>AQ57/AL57-1</f>
        <v/>
      </c>
      <c r="AR58" s="90">
        <f>AR57/AM57-1</f>
        <v/>
      </c>
      <c r="AS58" s="90">
        <f>AS57/AN57-1</f>
        <v/>
      </c>
      <c r="AT58" s="1113">
        <f>AT57/AO57-1</f>
        <v/>
      </c>
      <c r="AU58" s="90">
        <f>AU57/AP57-1</f>
        <v/>
      </c>
      <c r="AV58" s="90">
        <f>AV57/AQ57-1</f>
        <v/>
      </c>
      <c r="AW58" s="90">
        <f>AW57/AR57-1</f>
        <v/>
      </c>
      <c r="AX58" s="90">
        <f>AX57/AS57-1</f>
        <v/>
      </c>
      <c r="AY58" s="1113">
        <f>AY57/AT57-1</f>
        <v/>
      </c>
      <c r="AZ58" s="90">
        <f>AZ57/AU57-1</f>
        <v/>
      </c>
      <c r="BA58" s="90">
        <f>BA57/AV57-1</f>
        <v/>
      </c>
      <c r="BB58" s="90">
        <f>BB57/AW57-1</f>
        <v/>
      </c>
      <c r="BC58" s="90">
        <f>BC57/AX57-1</f>
        <v/>
      </c>
      <c r="BD58" s="1113">
        <f>BD57/AY57-1</f>
        <v/>
      </c>
      <c r="BE58" s="90">
        <f>BE57/AZ57-1</f>
        <v/>
      </c>
      <c r="BF58" s="90">
        <f>BF57/BA57-1</f>
        <v/>
      </c>
      <c r="BG58" s="90">
        <f>BG57/BB57-1</f>
        <v/>
      </c>
      <c r="BH58" s="90">
        <f>BH57/BC57-1</f>
        <v/>
      </c>
      <c r="BI58" s="1113">
        <f>BI57/BD57-1</f>
        <v/>
      </c>
      <c r="BJ58" s="90">
        <f>BJ57/BE57-1</f>
        <v/>
      </c>
      <c r="BK58" s="90">
        <f>BK57/BF57-1</f>
        <v/>
      </c>
      <c r="BL58" s="90">
        <f>BL57/BG57-1</f>
        <v/>
      </c>
      <c r="BM58" s="90">
        <f>BM57/BH57-1</f>
        <v/>
      </c>
      <c r="BN58" s="1113">
        <f>BN57/BI57-1</f>
        <v/>
      </c>
      <c r="BO58" s="90">
        <f>BO57/BJ57-1</f>
        <v/>
      </c>
      <c r="BP58" s="90">
        <f>BP57/BK57-1</f>
        <v/>
      </c>
      <c r="BQ58" s="90">
        <f>BQ57/BL57-1</f>
        <v/>
      </c>
      <c r="BR58" s="90">
        <f>BR57/BM57-1</f>
        <v/>
      </c>
      <c r="BS58" s="1113">
        <f>BS57/BN57-1</f>
        <v/>
      </c>
      <c r="BT58" s="90">
        <f>BT57/BO57-1</f>
        <v/>
      </c>
      <c r="BU58" s="90">
        <f>BU57/BP57-1</f>
        <v/>
      </c>
      <c r="BV58" s="880">
        <f>BV57/BQ57-1</f>
        <v/>
      </c>
      <c r="BW58" s="90">
        <f>BW57/BR57-1</f>
        <v/>
      </c>
      <c r="BX58" s="1113">
        <f>BX57/BS57-1</f>
        <v/>
      </c>
      <c r="BY58" s="90">
        <f>BY57/BT57-1</f>
        <v/>
      </c>
      <c r="BZ58" s="90">
        <f>BZ57/BU57-1</f>
        <v/>
      </c>
      <c r="CA58" s="90">
        <f>CA57/BV57-1</f>
        <v/>
      </c>
      <c r="CB58" s="90">
        <f>CB57/BW57-1</f>
        <v/>
      </c>
      <c r="CC58" s="1113">
        <f>CC57/BX57-1</f>
        <v/>
      </c>
      <c r="CD58" s="1113">
        <f>CD57/CC57-1</f>
        <v/>
      </c>
      <c r="CE58" s="1113">
        <f>CE57/CD57-1</f>
        <v/>
      </c>
      <c r="CF58" s="1113">
        <f>CF57/CE57-1</f>
        <v/>
      </c>
      <c r="CG58" s="155" t="n"/>
    </row>
    <row r="59">
      <c r="A59" s="621" t="inlineStr">
        <is>
          <t>Non-GAAP Gross Margin, %</t>
        </is>
      </c>
      <c r="B59" s="202" t="n"/>
      <c r="C59" s="1126">
        <f>C57/C44</f>
        <v/>
      </c>
      <c r="D59" s="1126">
        <f>D57/D44</f>
        <v/>
      </c>
      <c r="E59" s="1126">
        <f>E57/E44</f>
        <v/>
      </c>
      <c r="F59" s="1126">
        <f>F57/F44</f>
        <v/>
      </c>
      <c r="G59" s="315">
        <f>G57/G44</f>
        <v/>
      </c>
      <c r="H59" s="315">
        <f>H57/H44</f>
        <v/>
      </c>
      <c r="I59" s="315">
        <f>I57/I44</f>
        <v/>
      </c>
      <c r="J59" s="315">
        <f>J57/J44</f>
        <v/>
      </c>
      <c r="K59" s="1126">
        <f>K57/K44</f>
        <v/>
      </c>
      <c r="L59" s="315">
        <f>L57/L44</f>
        <v/>
      </c>
      <c r="M59" s="315">
        <f>M57/M44</f>
        <v/>
      </c>
      <c r="N59" s="315">
        <f>N57/N44</f>
        <v/>
      </c>
      <c r="O59" s="315">
        <f>O57/O44</f>
        <v/>
      </c>
      <c r="P59" s="1126">
        <f>P57/P44</f>
        <v/>
      </c>
      <c r="Q59" s="315">
        <f>Q57/Q44</f>
        <v/>
      </c>
      <c r="R59" s="315">
        <f>R57/R44</f>
        <v/>
      </c>
      <c r="S59" s="315">
        <f>S57/S44</f>
        <v/>
      </c>
      <c r="T59" s="315">
        <f>T57/T44</f>
        <v/>
      </c>
      <c r="U59" s="1126">
        <f>U57/U44</f>
        <v/>
      </c>
      <c r="V59" s="315">
        <f>V57/V44</f>
        <v/>
      </c>
      <c r="W59" s="315">
        <f>W57/W44</f>
        <v/>
      </c>
      <c r="X59" s="315">
        <f>X57/X44</f>
        <v/>
      </c>
      <c r="Y59" s="315">
        <f>Y57/Y44</f>
        <v/>
      </c>
      <c r="Z59" s="1126">
        <f>Z57/Z44</f>
        <v/>
      </c>
      <c r="AA59" s="315">
        <f>AA57/AA44</f>
        <v/>
      </c>
      <c r="AB59" s="315">
        <f>AB57/AB44</f>
        <v/>
      </c>
      <c r="AC59" s="315">
        <f>AC57/AC44</f>
        <v/>
      </c>
      <c r="AD59" s="315">
        <f>AD57/AD44</f>
        <v/>
      </c>
      <c r="AE59" s="1126">
        <f>AE57/AE44</f>
        <v/>
      </c>
      <c r="AF59" s="315">
        <f>AF57/AF44</f>
        <v/>
      </c>
      <c r="AG59" s="315">
        <f>AG57/AG44</f>
        <v/>
      </c>
      <c r="AH59" s="315">
        <f>AH57/AH44</f>
        <v/>
      </c>
      <c r="AI59" s="315">
        <f>AI57/AI44</f>
        <v/>
      </c>
      <c r="AJ59" s="1126">
        <f>AJ57/AJ44</f>
        <v/>
      </c>
      <c r="AK59" s="315">
        <f>AK57/AK44</f>
        <v/>
      </c>
      <c r="AL59" s="315">
        <f>AL57/AL44</f>
        <v/>
      </c>
      <c r="AM59" s="315">
        <f>AM57/AM44</f>
        <v/>
      </c>
      <c r="AN59" s="315">
        <f>AN57/AN44</f>
        <v/>
      </c>
      <c r="AO59" s="1126">
        <f>AO57/AO44</f>
        <v/>
      </c>
      <c r="AP59" s="315">
        <f>AP57/AP44</f>
        <v/>
      </c>
      <c r="AQ59" s="315">
        <f>AQ57/AQ44</f>
        <v/>
      </c>
      <c r="AR59" s="315">
        <f>AR57/AR44</f>
        <v/>
      </c>
      <c r="AS59" s="315">
        <f>AS57/AS44</f>
        <v/>
      </c>
      <c r="AT59" s="1126">
        <f>AT57/AT44</f>
        <v/>
      </c>
      <c r="AU59" s="315">
        <f>AU57/AU44</f>
        <v/>
      </c>
      <c r="AV59" s="315">
        <f>AV57/AV44</f>
        <v/>
      </c>
      <c r="AW59" s="315">
        <f>AW57/AW44</f>
        <v/>
      </c>
      <c r="AX59" s="315">
        <f>AX57/AX44</f>
        <v/>
      </c>
      <c r="AY59" s="1126">
        <f>AY57/AY44</f>
        <v/>
      </c>
      <c r="AZ59" s="315">
        <f>AZ57/AZ44</f>
        <v/>
      </c>
      <c r="BA59" s="315">
        <f>BA57/BA44</f>
        <v/>
      </c>
      <c r="BB59" s="315">
        <f>BB57/BB44</f>
        <v/>
      </c>
      <c r="BC59" s="315">
        <f>BC57/BC44</f>
        <v/>
      </c>
      <c r="BD59" s="1126">
        <f>BD57/BD44</f>
        <v/>
      </c>
      <c r="BE59" s="315">
        <f>BE57/BE44</f>
        <v/>
      </c>
      <c r="BF59" s="315">
        <f>BF57/BF44</f>
        <v/>
      </c>
      <c r="BG59" s="315">
        <f>BG57/BG44</f>
        <v/>
      </c>
      <c r="BH59" s="315">
        <f>BH57/BH44</f>
        <v/>
      </c>
      <c r="BI59" s="1126">
        <f>BI57/BI44</f>
        <v/>
      </c>
      <c r="BJ59" s="315">
        <f>BJ57/BJ44</f>
        <v/>
      </c>
      <c r="BK59" s="315">
        <f>BK57/BK44</f>
        <v/>
      </c>
      <c r="BL59" s="315">
        <f>BL57/BL44</f>
        <v/>
      </c>
      <c r="BM59" s="315">
        <f>BM57/BM44</f>
        <v/>
      </c>
      <c r="BN59" s="1126">
        <f>BN57/BN44</f>
        <v/>
      </c>
      <c r="BO59" s="315">
        <f>BO57/BO44</f>
        <v/>
      </c>
      <c r="BP59" s="315">
        <f>BP57/BP44</f>
        <v/>
      </c>
      <c r="BQ59" s="315">
        <f>BQ57/BQ44</f>
        <v/>
      </c>
      <c r="BR59" s="315">
        <f>BR57/BR44</f>
        <v/>
      </c>
      <c r="BS59" s="1126">
        <f>BS57/BS44</f>
        <v/>
      </c>
      <c r="BT59" s="315">
        <f>BT57/BT44</f>
        <v/>
      </c>
      <c r="BU59" s="315">
        <f>BU57/BU44</f>
        <v/>
      </c>
      <c r="BV59" s="885">
        <f>BV57/BV44</f>
        <v/>
      </c>
      <c r="BW59" s="315">
        <f>BR59+BW62/10000</f>
        <v/>
      </c>
      <c r="BX59" s="1126">
        <f>BX57/BX44</f>
        <v/>
      </c>
      <c r="BY59" s="315">
        <f>BT59+BY62/10000</f>
        <v/>
      </c>
      <c r="BZ59" s="315">
        <f>BU59+BZ62/10000</f>
        <v/>
      </c>
      <c r="CA59" s="315">
        <f>BV59+CA62/10000</f>
        <v/>
      </c>
      <c r="CB59" s="315">
        <f>BW59+CB62/10000</f>
        <v/>
      </c>
      <c r="CC59" s="1126">
        <f>CC57/CC44</f>
        <v/>
      </c>
      <c r="CD59" s="1126">
        <f>CC59+CD62/10000</f>
        <v/>
      </c>
      <c r="CE59" s="1126">
        <f>CD59+CE62/10000</f>
        <v/>
      </c>
      <c r="CF59" s="1126">
        <f>CE59+CF62/10000</f>
        <v/>
      </c>
      <c r="CG59" s="155" t="n"/>
    </row>
    <row r="60">
      <c r="A60" s="371" t="inlineStr">
        <is>
          <t>Consensus Estimates - Non-GAAP Gross Margin, %</t>
        </is>
      </c>
      <c r="B60" s="582" t="n"/>
      <c r="C60" s="1113" t="n"/>
      <c r="D60" s="1113" t="n"/>
      <c r="E60" s="1113" t="n"/>
      <c r="F60" s="1113" t="n"/>
      <c r="G60" s="90" t="n"/>
      <c r="H60" s="90" t="n"/>
      <c r="I60" s="90" t="n"/>
      <c r="J60" s="90" t="n"/>
      <c r="K60" s="1113" t="n"/>
      <c r="L60" s="90" t="n"/>
      <c r="M60" s="90" t="n"/>
      <c r="N60" s="90" t="n"/>
      <c r="O60" s="90" t="n"/>
      <c r="P60" s="1113" t="n"/>
      <c r="Q60" s="90" t="n"/>
      <c r="R60" s="90" t="n"/>
      <c r="S60" s="90" t="n"/>
      <c r="T60" s="90" t="n"/>
      <c r="U60" s="1113" t="n"/>
      <c r="V60" s="90" t="n"/>
      <c r="W60" s="90" t="n"/>
      <c r="X60" s="90" t="n"/>
      <c r="Y60" s="90" t="n"/>
      <c r="Z60" s="1113" t="n"/>
      <c r="AA60" s="90" t="n"/>
      <c r="AB60" s="90" t="n"/>
      <c r="AC60" s="90" t="n"/>
      <c r="AD60" s="90" t="n"/>
      <c r="AE60" s="1113" t="n"/>
      <c r="AF60" s="90" t="n"/>
      <c r="AG60" s="90" t="n"/>
      <c r="AH60" s="90" t="n"/>
      <c r="AI60" s="90" t="n"/>
      <c r="AJ60" s="1113" t="n"/>
      <c r="AK60" s="90" t="n"/>
      <c r="AL60" s="90" t="n"/>
      <c r="AM60" s="90" t="n"/>
      <c r="AN60" s="90" t="n"/>
      <c r="AO60" s="1113" t="n"/>
      <c r="AP60" s="90" t="n"/>
      <c r="AQ60" s="90" t="n"/>
      <c r="AR60" s="90" t="n"/>
      <c r="AS60" s="90" t="n"/>
      <c r="AT60" s="1113" t="n"/>
      <c r="AU60" s="90" t="n"/>
      <c r="AV60" s="90" t="n"/>
      <c r="AW60" s="90" t="n"/>
      <c r="AX60" s="90" t="n"/>
      <c r="AY60" s="1113" t="n"/>
      <c r="AZ60" s="90" t="n"/>
      <c r="BA60" s="90" t="n"/>
      <c r="BB60" s="90" t="n"/>
      <c r="BC60" s="90" t="n"/>
      <c r="BD60" s="1113" t="n"/>
      <c r="BE60" s="90" t="n"/>
      <c r="BF60" s="90" t="n"/>
      <c r="BG60" s="90" t="n"/>
      <c r="BH60" s="90" t="n"/>
      <c r="BI60" s="1113" t="n"/>
      <c r="BJ60" s="90" t="n"/>
      <c r="BK60" s="90" t="n"/>
      <c r="BL60" s="90" t="n"/>
      <c r="BM60" s="90" t="n"/>
      <c r="BN60" s="1113" t="n"/>
      <c r="BO60" s="90" t="n"/>
      <c r="BP60" s="90" t="n"/>
      <c r="BQ60" s="90" t="n"/>
      <c r="BR60" s="90" t="n"/>
      <c r="BS60" s="1113" t="n"/>
      <c r="BT60" s="90" t="n"/>
      <c r="BU60" s="90" t="n"/>
      <c r="BV60" s="880" t="n"/>
      <c r="BW60" s="643">
        <f>BW279</f>
        <v/>
      </c>
      <c r="BX60" s="1114">
        <f>BX279</f>
        <v/>
      </c>
      <c r="BY60" s="643">
        <f>BY279</f>
        <v/>
      </c>
      <c r="BZ60" s="643">
        <f>BZ279</f>
        <v/>
      </c>
      <c r="CA60" s="643">
        <f>CA279</f>
        <v/>
      </c>
      <c r="CB60" s="643">
        <f>CB279</f>
        <v/>
      </c>
      <c r="CC60" s="1114">
        <f>CC279</f>
        <v/>
      </c>
      <c r="CD60" s="1114">
        <f>CD279</f>
        <v/>
      </c>
      <c r="CE60" s="1114">
        <f>CE279</f>
        <v/>
      </c>
      <c r="CF60" s="1114">
        <f>CF279</f>
        <v/>
      </c>
      <c r="CG60" s="155" t="n"/>
    </row>
    <row r="61">
      <c r="A61" s="371" t="inlineStr">
        <is>
          <t>Guidance - Non-GAAP Gross Margin, %</t>
        </is>
      </c>
      <c r="B61" s="582" t="n"/>
      <c r="C61" s="1113" t="n"/>
      <c r="D61" s="1113" t="n"/>
      <c r="E61" s="1113" t="n"/>
      <c r="F61" s="1113" t="n"/>
      <c r="G61" s="90" t="n"/>
      <c r="H61" s="90" t="n"/>
      <c r="I61" s="90" t="n"/>
      <c r="J61" s="90" t="n"/>
      <c r="K61" s="1113" t="n"/>
      <c r="L61" s="90" t="n"/>
      <c r="M61" s="90" t="n"/>
      <c r="N61" s="90" t="n"/>
      <c r="O61" s="90" t="n"/>
      <c r="P61" s="1113" t="n"/>
      <c r="Q61" s="90" t="n"/>
      <c r="R61" s="90" t="n"/>
      <c r="S61" s="90" t="n"/>
      <c r="T61" s="90" t="n"/>
      <c r="U61" s="1113" t="n"/>
      <c r="V61" s="90" t="n"/>
      <c r="W61" s="90" t="n"/>
      <c r="X61" s="90" t="n"/>
      <c r="Y61" s="90" t="n"/>
      <c r="Z61" s="1113" t="n"/>
      <c r="AA61" s="90" t="n"/>
      <c r="AB61" s="90" t="n"/>
      <c r="AC61" s="90" t="n"/>
      <c r="AD61" s="90" t="n"/>
      <c r="AE61" s="1113" t="n"/>
      <c r="AF61" s="90" t="n"/>
      <c r="AG61" s="90" t="n"/>
      <c r="AH61" s="90" t="n"/>
      <c r="AI61" s="90" t="n"/>
      <c r="AJ61" s="1113" t="n"/>
      <c r="AK61" s="90" t="n"/>
      <c r="AL61" s="90" t="n"/>
      <c r="AM61" s="90" t="n"/>
      <c r="AN61" s="90" t="n"/>
      <c r="AO61" s="1113" t="n"/>
      <c r="AP61" s="90" t="n"/>
      <c r="AQ61" s="90" t="n"/>
      <c r="AR61" s="90" t="n"/>
      <c r="AS61" s="90" t="n"/>
      <c r="AT61" s="1113" t="n"/>
      <c r="AU61" s="90" t="n"/>
      <c r="AV61" s="90" t="n"/>
      <c r="AW61" s="90" t="n"/>
      <c r="AX61" s="90" t="n"/>
      <c r="AY61" s="1113" t="n"/>
      <c r="AZ61" s="90" t="n"/>
      <c r="BA61" s="90" t="n"/>
      <c r="BB61" s="90" t="n"/>
      <c r="BC61" s="90" t="n"/>
      <c r="BD61" s="1113" t="n"/>
      <c r="BE61" s="90" t="n"/>
      <c r="BF61" s="90" t="n"/>
      <c r="BG61" s="90" t="n"/>
      <c r="BH61" s="90" t="n"/>
      <c r="BI61" s="1113" t="n"/>
      <c r="BJ61" s="90" t="n"/>
      <c r="BK61" s="90" t="n"/>
      <c r="BL61" s="90" t="n"/>
      <c r="BM61" s="90" t="n"/>
      <c r="BN61" s="1113" t="n"/>
      <c r="BO61" s="90" t="n"/>
      <c r="BP61" s="90" t="n"/>
      <c r="BQ61" s="90" t="n"/>
      <c r="BR61" s="90" t="n"/>
      <c r="BS61" s="1113" t="n"/>
      <c r="BT61" s="90" t="n"/>
      <c r="BU61" s="90" t="n"/>
      <c r="BV61" s="880" t="n"/>
      <c r="BW61" s="90">
        <f>BW642</f>
        <v/>
      </c>
      <c r="BX61" s="1113">
        <f>BX642</f>
        <v/>
      </c>
      <c r="BY61" s="90">
        <f>BY642</f>
        <v/>
      </c>
      <c r="BZ61" s="90">
        <f>BZ642</f>
        <v/>
      </c>
      <c r="CA61" s="90">
        <f>CA642</f>
        <v/>
      </c>
      <c r="CB61" s="90">
        <f>CB642</f>
        <v/>
      </c>
      <c r="CC61" s="1113">
        <f>CC642</f>
        <v/>
      </c>
      <c r="CD61" s="1113">
        <f>CD642</f>
        <v/>
      </c>
      <c r="CE61" s="1113">
        <f>CE642</f>
        <v/>
      </c>
      <c r="CF61" s="1113">
        <f>CF642</f>
        <v/>
      </c>
      <c r="CG61" s="155" t="n"/>
    </row>
    <row r="62">
      <c r="A62" s="99" t="inlineStr">
        <is>
          <t>Y/Y Improvement in non-GAAP gross margin, bps</t>
        </is>
      </c>
      <c r="B62" s="598" t="n"/>
      <c r="C62" s="1110" t="n"/>
      <c r="D62" s="1110">
        <f>(D59-C59)*10000</f>
        <v/>
      </c>
      <c r="E62" s="1110">
        <f>(E59-D59)*10000</f>
        <v/>
      </c>
      <c r="F62" s="1110">
        <f>(F59-E59)*10000</f>
        <v/>
      </c>
      <c r="G62" s="68" t="n"/>
      <c r="H62" s="68" t="n"/>
      <c r="I62" s="68" t="n"/>
      <c r="J62" s="68" t="n"/>
      <c r="K62" s="1110">
        <f>(K59-F59)*10000</f>
        <v/>
      </c>
      <c r="L62" s="68">
        <f>(L59-G59)*10000</f>
        <v/>
      </c>
      <c r="M62" s="68">
        <f>(M59-H59)*10000</f>
        <v/>
      </c>
      <c r="N62" s="68">
        <f>(N59-I59)*10000</f>
        <v/>
      </c>
      <c r="O62" s="68">
        <f>(O59-J59)*10000</f>
        <v/>
      </c>
      <c r="P62" s="1110">
        <f>(P59-K59)*10000</f>
        <v/>
      </c>
      <c r="Q62" s="68">
        <f>(Q59-L59)*10000</f>
        <v/>
      </c>
      <c r="R62" s="68">
        <f>(R59-M59)*10000</f>
        <v/>
      </c>
      <c r="S62" s="68">
        <f>(S59-N59)*10000</f>
        <v/>
      </c>
      <c r="T62" s="68">
        <f>(T59-O59)*10000</f>
        <v/>
      </c>
      <c r="U62" s="1110">
        <f>(U59-P59)*10000</f>
        <v/>
      </c>
      <c r="V62" s="68">
        <f>(V59-Q59)*10000</f>
        <v/>
      </c>
      <c r="W62" s="68">
        <f>(W59-R59)*10000</f>
        <v/>
      </c>
      <c r="X62" s="68">
        <f>(X59-S59)*10000</f>
        <v/>
      </c>
      <c r="Y62" s="68">
        <f>(Y59-T59)*10000</f>
        <v/>
      </c>
      <c r="Z62" s="1110">
        <f>(Z59-U59)*10000</f>
        <v/>
      </c>
      <c r="AA62" s="68">
        <f>(AA59-V59)*10000</f>
        <v/>
      </c>
      <c r="AB62" s="68">
        <f>(AB59-W59)*10000</f>
        <v/>
      </c>
      <c r="AC62" s="68">
        <f>(AC59-X59)*10000</f>
        <v/>
      </c>
      <c r="AD62" s="68">
        <f>(AD59-Y59)*10000</f>
        <v/>
      </c>
      <c r="AE62" s="1110">
        <f>(AE59-Z59)*10000</f>
        <v/>
      </c>
      <c r="AF62" s="68">
        <f>(AF59-AA59)*10000</f>
        <v/>
      </c>
      <c r="AG62" s="68">
        <f>(AG59-AB59)*10000</f>
        <v/>
      </c>
      <c r="AH62" s="68">
        <f>(AH59-AC59)*10000</f>
        <v/>
      </c>
      <c r="AI62" s="68">
        <f>(AI59-AD59)*10000</f>
        <v/>
      </c>
      <c r="AJ62" s="1110">
        <f>(AJ59-AE59)*10000</f>
        <v/>
      </c>
      <c r="AK62" s="68">
        <f>(AK59-AF59)*10000</f>
        <v/>
      </c>
      <c r="AL62" s="68">
        <f>(AL59-AG59)*10000</f>
        <v/>
      </c>
      <c r="AM62" s="68">
        <f>(AM59-AH59)*10000</f>
        <v/>
      </c>
      <c r="AN62" s="68">
        <f>(AN59-AI59)*10000</f>
        <v/>
      </c>
      <c r="AO62" s="1110">
        <f>(AO59-AJ59)*10000</f>
        <v/>
      </c>
      <c r="AP62" s="68">
        <f>(AP59-AK59)*10000</f>
        <v/>
      </c>
      <c r="AQ62" s="68">
        <f>(AQ59-AL59)*10000</f>
        <v/>
      </c>
      <c r="AR62" s="68">
        <f>(AR59-AM59)*10000</f>
        <v/>
      </c>
      <c r="AS62" s="68">
        <f>(AS59-AN59)*10000</f>
        <v/>
      </c>
      <c r="AT62" s="1110">
        <f>(AT59-AO59)*10000</f>
        <v/>
      </c>
      <c r="AU62" s="68">
        <f>(AU59-AP59)*10000</f>
        <v/>
      </c>
      <c r="AV62" s="68">
        <f>(AV59-AQ59)*10000</f>
        <v/>
      </c>
      <c r="AW62" s="68">
        <f>(AW59-AR59)*10000</f>
        <v/>
      </c>
      <c r="AX62" s="68">
        <f>(AX59-AS59)*10000</f>
        <v/>
      </c>
      <c r="AY62" s="1110">
        <f>(AY59-AT59)*10000</f>
        <v/>
      </c>
      <c r="AZ62" s="68">
        <f>(AZ59-AU59)*10000</f>
        <v/>
      </c>
      <c r="BA62" s="68">
        <f>(BA59-AV59)*10000</f>
        <v/>
      </c>
      <c r="BB62" s="68">
        <f>(BB59-AW59)*10000</f>
        <v/>
      </c>
      <c r="BC62" s="68">
        <f>(BC59-AX59)*10000</f>
        <v/>
      </c>
      <c r="BD62" s="1110">
        <f>(BD59-AY59)*10000</f>
        <v/>
      </c>
      <c r="BE62" s="68">
        <f>(BE59-AZ59)*10000</f>
        <v/>
      </c>
      <c r="BF62" s="68">
        <f>(BF59-BA59)*10000</f>
        <v/>
      </c>
      <c r="BG62" s="68">
        <f>(BG59-BB59)*10000</f>
        <v/>
      </c>
      <c r="BH62" s="68">
        <f>(BH59-BC59)*10000</f>
        <v/>
      </c>
      <c r="BI62" s="1110">
        <f>(BI59-BD59)*10000</f>
        <v/>
      </c>
      <c r="BJ62" s="68">
        <f>(BJ59-BE59)*10000</f>
        <v/>
      </c>
      <c r="BK62" s="68">
        <f>(BK59-BF59)*10000</f>
        <v/>
      </c>
      <c r="BL62" s="68">
        <f>(BL59-BG59)*10000</f>
        <v/>
      </c>
      <c r="BM62" s="68">
        <f>(BM59-BH59)*10000</f>
        <v/>
      </c>
      <c r="BN62" s="1110">
        <f>(BN59-BI59)*10000</f>
        <v/>
      </c>
      <c r="BO62" s="68">
        <f>(BO59-BJ59)*10000</f>
        <v/>
      </c>
      <c r="BP62" s="68">
        <f>(BP59-BK59)*10000</f>
        <v/>
      </c>
      <c r="BQ62" s="68">
        <f>(BQ59-BL59)*10000</f>
        <v/>
      </c>
      <c r="BR62" s="68">
        <f>(BR59-BM59)*10000</f>
        <v/>
      </c>
      <c r="BS62" s="1110">
        <f>(BS59-BN59)*10000</f>
        <v/>
      </c>
      <c r="BT62" s="68">
        <f>(BT59-BO59)*10000</f>
        <v/>
      </c>
      <c r="BU62" s="68">
        <f>(BU59-BP59)*10000</f>
        <v/>
      </c>
      <c r="BV62" s="588">
        <f>(BV59-BQ59)*10000</f>
        <v/>
      </c>
      <c r="BW62" s="1053" t="n">
        <v>150</v>
      </c>
      <c r="BX62" s="1110">
        <f>(BX59-BS59)*10000</f>
        <v/>
      </c>
      <c r="BY62" s="1053" t="n">
        <v>1500</v>
      </c>
      <c r="BZ62" s="1053" t="n">
        <v>200</v>
      </c>
      <c r="CA62" s="1053" t="n">
        <v>100</v>
      </c>
      <c r="CB62" s="1053" t="n">
        <v>100</v>
      </c>
      <c r="CC62" s="1110">
        <f>(CC59-BX59)*10000</f>
        <v/>
      </c>
      <c r="CD62" s="1111" t="n">
        <v>0</v>
      </c>
      <c r="CE62" s="1111" t="n">
        <v>0</v>
      </c>
      <c r="CF62" s="1111" t="n">
        <v>0</v>
      </c>
      <c r="CG62" s="155" t="n"/>
    </row>
    <row r="63">
      <c r="A63" s="600" t="n"/>
      <c r="B63" s="601" t="n"/>
      <c r="C63" s="1125" t="n"/>
      <c r="D63" s="1125" t="n"/>
      <c r="E63" s="1125" t="n"/>
      <c r="F63" s="1125" t="n"/>
      <c r="G63" s="63" t="n"/>
      <c r="H63" s="63" t="n"/>
      <c r="I63" s="63" t="n"/>
      <c r="J63" s="63" t="n"/>
      <c r="K63" s="1125" t="n"/>
      <c r="L63" s="63" t="n"/>
      <c r="M63" s="63" t="n"/>
      <c r="N63" s="63" t="n"/>
      <c r="O63" s="63" t="n"/>
      <c r="P63" s="1125" t="n"/>
      <c r="Q63" s="63" t="n"/>
      <c r="R63" s="63" t="n"/>
      <c r="S63" s="63" t="n"/>
      <c r="T63" s="63" t="n"/>
      <c r="U63" s="1125" t="n"/>
      <c r="V63" s="63" t="n"/>
      <c r="W63" s="63" t="n"/>
      <c r="X63" s="63" t="n"/>
      <c r="Y63" s="63" t="n"/>
      <c r="Z63" s="1125" t="n"/>
      <c r="AA63" s="63" t="n"/>
      <c r="AB63" s="63" t="n"/>
      <c r="AC63" s="63" t="n"/>
      <c r="AD63" s="63" t="n"/>
      <c r="AE63" s="1125" t="n"/>
      <c r="AF63" s="63" t="n"/>
      <c r="AG63" s="63" t="n"/>
      <c r="AH63" s="63" t="n"/>
      <c r="AI63" s="63" t="n"/>
      <c r="AJ63" s="1125" t="n"/>
      <c r="AK63" s="63" t="n"/>
      <c r="AL63" s="63" t="n"/>
      <c r="AM63" s="63" t="n"/>
      <c r="AN63" s="63" t="n"/>
      <c r="AO63" s="1125" t="n"/>
      <c r="AP63" s="63" t="n"/>
      <c r="AQ63" s="63" t="n"/>
      <c r="AR63" s="63" t="n"/>
      <c r="AS63" s="63" t="n"/>
      <c r="AT63" s="1125" t="n"/>
      <c r="AU63" s="63" t="n"/>
      <c r="AV63" s="63" t="n"/>
      <c r="AW63" s="63" t="n"/>
      <c r="AX63" s="63" t="n"/>
      <c r="AY63" s="1125" t="n"/>
      <c r="AZ63" s="63" t="n"/>
      <c r="BA63" s="63" t="n"/>
      <c r="BB63" s="63" t="n"/>
      <c r="BC63" s="63" t="n"/>
      <c r="BD63" s="1125" t="n"/>
      <c r="BE63" s="63" t="n"/>
      <c r="BF63" s="63" t="n"/>
      <c r="BG63" s="63" t="n"/>
      <c r="BH63" s="63" t="n"/>
      <c r="BI63" s="1125" t="n"/>
      <c r="BJ63" s="63" t="n"/>
      <c r="BK63" s="63" t="n"/>
      <c r="BL63" s="63" t="n"/>
      <c r="BM63" s="63" t="n"/>
      <c r="BN63" s="1125" t="n"/>
      <c r="BO63" s="63" t="n"/>
      <c r="BP63" s="63" t="n"/>
      <c r="BQ63" s="63" t="n"/>
      <c r="BR63" s="63" t="n"/>
      <c r="BS63" s="1125" t="n"/>
      <c r="BT63" s="63" t="n"/>
      <c r="BU63" s="63" t="n"/>
      <c r="BV63" s="587" t="n"/>
      <c r="BW63" s="63" t="n"/>
      <c r="BX63" s="1125" t="n"/>
      <c r="BY63" s="63" t="n"/>
      <c r="BZ63" s="63" t="n"/>
      <c r="CA63" s="63" t="n"/>
      <c r="CB63" s="63" t="n"/>
      <c r="CC63" s="1125" t="n"/>
      <c r="CD63" s="1125" t="n"/>
      <c r="CE63" s="1125" t="n"/>
      <c r="CF63" s="1125" t="n"/>
      <c r="CG63" s="155" t="n"/>
    </row>
    <row r="64" hidden="1" outlineLevel="1">
      <c r="A64" s="636" t="inlineStr">
        <is>
          <t>GAAP R&amp;D Expense, mm</t>
        </is>
      </c>
      <c r="B64" s="598" t="n"/>
      <c r="C64" s="1110">
        <f>C373</f>
        <v/>
      </c>
      <c r="D64" s="1110">
        <f>D373</f>
        <v/>
      </c>
      <c r="E64" s="1110">
        <f>E373</f>
        <v/>
      </c>
      <c r="F64" s="1110">
        <f>F373</f>
        <v/>
      </c>
      <c r="G64" s="68">
        <f>G373</f>
        <v/>
      </c>
      <c r="H64" s="68">
        <f>H373</f>
        <v/>
      </c>
      <c r="I64" s="68">
        <f>I373</f>
        <v/>
      </c>
      <c r="J64" s="68">
        <f>J373</f>
        <v/>
      </c>
      <c r="K64" s="1110">
        <f>K373</f>
        <v/>
      </c>
      <c r="L64" s="68">
        <f>L373</f>
        <v/>
      </c>
      <c r="M64" s="68">
        <f>M373</f>
        <v/>
      </c>
      <c r="N64" s="68">
        <f>N373</f>
        <v/>
      </c>
      <c r="O64" s="68">
        <f>O373</f>
        <v/>
      </c>
      <c r="P64" s="1110">
        <f>P373</f>
        <v/>
      </c>
      <c r="Q64" s="68">
        <f>Q373</f>
        <v/>
      </c>
      <c r="R64" s="68">
        <f>R373</f>
        <v/>
      </c>
      <c r="S64" s="68">
        <f>S373</f>
        <v/>
      </c>
      <c r="T64" s="68">
        <f>T373</f>
        <v/>
      </c>
      <c r="U64" s="1110">
        <f>U373</f>
        <v/>
      </c>
      <c r="V64" s="68">
        <f>V373</f>
        <v/>
      </c>
      <c r="W64" s="68">
        <f>W373</f>
        <v/>
      </c>
      <c r="X64" s="68">
        <f>X373</f>
        <v/>
      </c>
      <c r="Y64" s="68">
        <f>Y373</f>
        <v/>
      </c>
      <c r="Z64" s="1110">
        <f>Z373</f>
        <v/>
      </c>
      <c r="AA64" s="68">
        <f>AA373</f>
        <v/>
      </c>
      <c r="AB64" s="68">
        <f>AB373</f>
        <v/>
      </c>
      <c r="AC64" s="68">
        <f>AC373</f>
        <v/>
      </c>
      <c r="AD64" s="68">
        <f>AD373</f>
        <v/>
      </c>
      <c r="AE64" s="1110">
        <f>AE373</f>
        <v/>
      </c>
      <c r="AF64" s="68">
        <f>AF373</f>
        <v/>
      </c>
      <c r="AG64" s="68">
        <f>AG373</f>
        <v/>
      </c>
      <c r="AH64" s="68">
        <f>AH373</f>
        <v/>
      </c>
      <c r="AI64" s="68">
        <f>AI373</f>
        <v/>
      </c>
      <c r="AJ64" s="1110">
        <f>AJ373</f>
        <v/>
      </c>
      <c r="AK64" s="68">
        <f>AK373</f>
        <v/>
      </c>
      <c r="AL64" s="68">
        <f>AL373</f>
        <v/>
      </c>
      <c r="AM64" s="68">
        <f>AM373</f>
        <v/>
      </c>
      <c r="AN64" s="68">
        <f>AN373</f>
        <v/>
      </c>
      <c r="AO64" s="1110">
        <f>AO373</f>
        <v/>
      </c>
      <c r="AP64" s="68">
        <f>AP373</f>
        <v/>
      </c>
      <c r="AQ64" s="68">
        <f>AQ373</f>
        <v/>
      </c>
      <c r="AR64" s="68">
        <f>AR373</f>
        <v/>
      </c>
      <c r="AS64" s="68">
        <f>AS373</f>
        <v/>
      </c>
      <c r="AT64" s="1110">
        <f>AT373</f>
        <v/>
      </c>
      <c r="AU64" s="68">
        <f>AU373</f>
        <v/>
      </c>
      <c r="AV64" s="68">
        <f>AV373</f>
        <v/>
      </c>
      <c r="AW64" s="68">
        <f>AW373</f>
        <v/>
      </c>
      <c r="AX64" s="68">
        <f>AX373</f>
        <v/>
      </c>
      <c r="AY64" s="1110">
        <f>AY373</f>
        <v/>
      </c>
      <c r="AZ64" s="68">
        <f>AZ373</f>
        <v/>
      </c>
      <c r="BA64" s="68">
        <f>BA373</f>
        <v/>
      </c>
      <c r="BB64" s="68">
        <f>BB373</f>
        <v/>
      </c>
      <c r="BC64" s="68">
        <f>BC373</f>
        <v/>
      </c>
      <c r="BD64" s="1110">
        <f>BD373</f>
        <v/>
      </c>
      <c r="BE64" s="68">
        <f>BE373</f>
        <v/>
      </c>
      <c r="BF64" s="68">
        <f>BF373</f>
        <v/>
      </c>
      <c r="BG64" s="68">
        <f>BG373</f>
        <v/>
      </c>
      <c r="BH64" s="68">
        <f>BH373</f>
        <v/>
      </c>
      <c r="BI64" s="1110">
        <f>BI373</f>
        <v/>
      </c>
      <c r="BJ64" s="68">
        <f>BJ373</f>
        <v/>
      </c>
      <c r="BK64" s="68">
        <f>BK373</f>
        <v/>
      </c>
      <c r="BL64" s="68">
        <f>BL373</f>
        <v/>
      </c>
      <c r="BM64" s="68">
        <f>BM373</f>
        <v/>
      </c>
      <c r="BN64" s="1110">
        <f>BN373</f>
        <v/>
      </c>
      <c r="BO64" s="68">
        <f>BO373</f>
        <v/>
      </c>
      <c r="BP64" s="68">
        <f>BP373</f>
        <v/>
      </c>
      <c r="BQ64" s="68">
        <f>BQ373</f>
        <v/>
      </c>
      <c r="BR64" s="68">
        <f>BR373</f>
        <v/>
      </c>
      <c r="BS64" s="1110">
        <f>BS373</f>
        <v/>
      </c>
      <c r="BT64" s="68">
        <f>BT373</f>
        <v/>
      </c>
      <c r="BU64" s="68">
        <f>BU373</f>
        <v/>
      </c>
      <c r="BV64" s="588">
        <f>BV373</f>
        <v/>
      </c>
      <c r="BW64" s="68">
        <f>BW74+BW71+BW69+BW73</f>
        <v/>
      </c>
      <c r="BX64" s="1110">
        <f>SUM(BT64,BU64,BV64,BW64)</f>
        <v/>
      </c>
      <c r="BY64" s="68">
        <f>BY74+BY71+BY69+BY73</f>
        <v/>
      </c>
      <c r="BZ64" s="68">
        <f>BZ74+BZ71+BZ69+BZ73</f>
        <v/>
      </c>
      <c r="CA64" s="68">
        <f>CA74+CA71+CA69+CA73</f>
        <v/>
      </c>
      <c r="CB64" s="68">
        <f>CB74+CB71+CB69+CB73</f>
        <v/>
      </c>
      <c r="CC64" s="1110">
        <f>SUM(BY64,BZ64,CA64,CB64)</f>
        <v/>
      </c>
      <c r="CD64" s="1110">
        <f>CD74+CD71+CD69+CD73</f>
        <v/>
      </c>
      <c r="CE64" s="1110">
        <f>CE74+CE71+CE69+CE73</f>
        <v/>
      </c>
      <c r="CF64" s="1110">
        <f>CF74+CF71+CF69+CF73</f>
        <v/>
      </c>
      <c r="CG64" s="155" t="n"/>
    </row>
    <row r="65" hidden="1" outlineLevel="1">
      <c r="A65" s="371" t="inlineStr">
        <is>
          <t>Y/Y growth in GAAP R&amp;D, %</t>
        </is>
      </c>
      <c r="B65" s="582" t="n"/>
      <c r="C65" s="1113" t="n"/>
      <c r="D65" s="1113">
        <f>D64/C64-1</f>
        <v/>
      </c>
      <c r="E65" s="1113">
        <f>E64/D64-1</f>
        <v/>
      </c>
      <c r="F65" s="1113">
        <f>F64/E64-1</f>
        <v/>
      </c>
      <c r="G65" s="90" t="n"/>
      <c r="H65" s="90" t="n"/>
      <c r="I65" s="90" t="n"/>
      <c r="J65" s="90" t="n"/>
      <c r="K65" s="1113">
        <f>K64/F64-1</f>
        <v/>
      </c>
      <c r="L65" s="90">
        <f>L64/G64-1</f>
        <v/>
      </c>
      <c r="M65" s="90">
        <f>M64/H64-1</f>
        <v/>
      </c>
      <c r="N65" s="90">
        <f>N64/I64-1</f>
        <v/>
      </c>
      <c r="O65" s="90">
        <f>O64/J64-1</f>
        <v/>
      </c>
      <c r="P65" s="1113">
        <f>P64/K64-1</f>
        <v/>
      </c>
      <c r="Q65" s="90">
        <f>Q64/L64-1</f>
        <v/>
      </c>
      <c r="R65" s="90">
        <f>R64/M64-1</f>
        <v/>
      </c>
      <c r="S65" s="90">
        <f>S64/N64-1</f>
        <v/>
      </c>
      <c r="T65" s="90">
        <f>T64/O64-1</f>
        <v/>
      </c>
      <c r="U65" s="1113">
        <f>U64/P64-1</f>
        <v/>
      </c>
      <c r="V65" s="90">
        <f>V64/Q64-1</f>
        <v/>
      </c>
      <c r="W65" s="90">
        <f>W64/R64-1</f>
        <v/>
      </c>
      <c r="X65" s="90">
        <f>X64/S64-1</f>
        <v/>
      </c>
      <c r="Y65" s="90">
        <f>Y64/T64-1</f>
        <v/>
      </c>
      <c r="Z65" s="1113">
        <f>Z64/U64-1</f>
        <v/>
      </c>
      <c r="AA65" s="90">
        <f>AA64/V64-1</f>
        <v/>
      </c>
      <c r="AB65" s="90">
        <f>AB64/W64-1</f>
        <v/>
      </c>
      <c r="AC65" s="90">
        <f>AC64/X64-1</f>
        <v/>
      </c>
      <c r="AD65" s="90">
        <f>AD64/Y64-1</f>
        <v/>
      </c>
      <c r="AE65" s="1113">
        <f>AE64/Z64-1</f>
        <v/>
      </c>
      <c r="AF65" s="90">
        <f>AF64/AA64-1</f>
        <v/>
      </c>
      <c r="AG65" s="90">
        <f>AG64/AB64-1</f>
        <v/>
      </c>
      <c r="AH65" s="90">
        <f>AH64/AC64-1</f>
        <v/>
      </c>
      <c r="AI65" s="90">
        <f>AI64/AD64-1</f>
        <v/>
      </c>
      <c r="AJ65" s="1113">
        <f>AJ64/AE64-1</f>
        <v/>
      </c>
      <c r="AK65" s="90">
        <f>AK64/AF64-1</f>
        <v/>
      </c>
      <c r="AL65" s="90">
        <f>AL64/AG64-1</f>
        <v/>
      </c>
      <c r="AM65" s="90">
        <f>AM64/AH64-1</f>
        <v/>
      </c>
      <c r="AN65" s="90">
        <f>AN64/AI64-1</f>
        <v/>
      </c>
      <c r="AO65" s="1113">
        <f>AO64/AJ64-1</f>
        <v/>
      </c>
      <c r="AP65" s="90">
        <f>AP64/AK64-1</f>
        <v/>
      </c>
      <c r="AQ65" s="90">
        <f>AQ64/AL64-1</f>
        <v/>
      </c>
      <c r="AR65" s="90">
        <f>AR64/AM64-1</f>
        <v/>
      </c>
      <c r="AS65" s="90">
        <f>AS64/AN64-1</f>
        <v/>
      </c>
      <c r="AT65" s="1113">
        <f>AT64/AO64-1</f>
        <v/>
      </c>
      <c r="AU65" s="90">
        <f>AU64/AP64-1</f>
        <v/>
      </c>
      <c r="AV65" s="90">
        <f>AV64/AQ64-1</f>
        <v/>
      </c>
      <c r="AW65" s="90">
        <f>AW64/AR64-1</f>
        <v/>
      </c>
      <c r="AX65" s="90">
        <f>AX64/AS64-1</f>
        <v/>
      </c>
      <c r="AY65" s="1113">
        <f>AY64/AT64-1</f>
        <v/>
      </c>
      <c r="AZ65" s="90">
        <f>AZ64/AU64-1</f>
        <v/>
      </c>
      <c r="BA65" s="90">
        <f>BA64/AV64-1</f>
        <v/>
      </c>
      <c r="BB65" s="90">
        <f>BB64/AW64-1</f>
        <v/>
      </c>
      <c r="BC65" s="90">
        <f>BC64/AX64-1</f>
        <v/>
      </c>
      <c r="BD65" s="1113">
        <f>BD64/AY64-1</f>
        <v/>
      </c>
      <c r="BE65" s="90">
        <f>BE64/AZ64-1</f>
        <v/>
      </c>
      <c r="BF65" s="90">
        <f>BF64/BA64-1</f>
        <v/>
      </c>
      <c r="BG65" s="90">
        <f>BG64/BB64-1</f>
        <v/>
      </c>
      <c r="BH65" s="90">
        <f>BH64/BC64-1</f>
        <v/>
      </c>
      <c r="BI65" s="1113">
        <f>BI64/BD64-1</f>
        <v/>
      </c>
      <c r="BJ65" s="90">
        <f>BJ64/BE64-1</f>
        <v/>
      </c>
      <c r="BK65" s="90">
        <f>BK64/BF64-1</f>
        <v/>
      </c>
      <c r="BL65" s="90">
        <f>BL64/BG64-1</f>
        <v/>
      </c>
      <c r="BM65" s="90">
        <f>BM64/BH64-1</f>
        <v/>
      </c>
      <c r="BN65" s="1113">
        <f>BN64/BI64-1</f>
        <v/>
      </c>
      <c r="BO65" s="90">
        <f>BO64/BJ64-1</f>
        <v/>
      </c>
      <c r="BP65" s="90">
        <f>BP64/BK64-1</f>
        <v/>
      </c>
      <c r="BQ65" s="90">
        <f>BQ64/BL64-1</f>
        <v/>
      </c>
      <c r="BR65" s="90">
        <f>BR64/BM64-1</f>
        <v/>
      </c>
      <c r="BS65" s="1113">
        <f>BS64/BN64-1</f>
        <v/>
      </c>
      <c r="BT65" s="90">
        <f>BT64/BO64-1</f>
        <v/>
      </c>
      <c r="BU65" s="90">
        <f>BU64/BP64-1</f>
        <v/>
      </c>
      <c r="BV65" s="880">
        <f>BV64/BQ64-1</f>
        <v/>
      </c>
      <c r="BW65" s="90">
        <f>BW64/BR64-1</f>
        <v/>
      </c>
      <c r="BX65" s="1113">
        <f>BX64/BS64-1</f>
        <v/>
      </c>
      <c r="BY65" s="90">
        <f>BY64/BT64-1</f>
        <v/>
      </c>
      <c r="BZ65" s="90">
        <f>BZ64/BU64-1</f>
        <v/>
      </c>
      <c r="CA65" s="90">
        <f>CA64/BV64-1</f>
        <v/>
      </c>
      <c r="CB65" s="90">
        <f>CB64/BW64-1</f>
        <v/>
      </c>
      <c r="CC65" s="1113">
        <f>CC64/BX64-1</f>
        <v/>
      </c>
      <c r="CD65" s="1113">
        <f>CD64/CC64-1</f>
        <v/>
      </c>
      <c r="CE65" s="1113">
        <f>CE64/CD64-1</f>
        <v/>
      </c>
      <c r="CF65" s="1113">
        <f>CF64/CE64-1</f>
        <v/>
      </c>
      <c r="CG65" s="155" t="n"/>
    </row>
    <row r="66" hidden="1" outlineLevel="1">
      <c r="A66" s="621" t="inlineStr">
        <is>
          <t>GAAP R&amp;D Margin, %</t>
        </is>
      </c>
      <c r="B66" s="202" t="n"/>
      <c r="C66" s="1126">
        <f>C64/C44</f>
        <v/>
      </c>
      <c r="D66" s="1126">
        <f>D64/D44</f>
        <v/>
      </c>
      <c r="E66" s="1126">
        <f>E64/E44</f>
        <v/>
      </c>
      <c r="F66" s="1126">
        <f>F64/F44</f>
        <v/>
      </c>
      <c r="G66" s="315">
        <f>G64/G44</f>
        <v/>
      </c>
      <c r="H66" s="315">
        <f>H64/H44</f>
        <v/>
      </c>
      <c r="I66" s="315">
        <f>I64/I44</f>
        <v/>
      </c>
      <c r="J66" s="315">
        <f>J64/J44</f>
        <v/>
      </c>
      <c r="K66" s="1126">
        <f>K64/K44</f>
        <v/>
      </c>
      <c r="L66" s="315">
        <f>L64/L44</f>
        <v/>
      </c>
      <c r="M66" s="315">
        <f>M64/M44</f>
        <v/>
      </c>
      <c r="N66" s="315">
        <f>N64/N44</f>
        <v/>
      </c>
      <c r="O66" s="315">
        <f>O64/O44</f>
        <v/>
      </c>
      <c r="P66" s="1126">
        <f>P64/P44</f>
        <v/>
      </c>
      <c r="Q66" s="315">
        <f>Q64/Q44</f>
        <v/>
      </c>
      <c r="R66" s="315">
        <f>R64/R44</f>
        <v/>
      </c>
      <c r="S66" s="315">
        <f>S64/S44</f>
        <v/>
      </c>
      <c r="T66" s="315">
        <f>T64/T44</f>
        <v/>
      </c>
      <c r="U66" s="1126">
        <f>U64/U44</f>
        <v/>
      </c>
      <c r="V66" s="315">
        <f>V64/V44</f>
        <v/>
      </c>
      <c r="W66" s="315">
        <f>W64/W44</f>
        <v/>
      </c>
      <c r="X66" s="315">
        <f>X64/X44</f>
        <v/>
      </c>
      <c r="Y66" s="315">
        <f>Y64/Y44</f>
        <v/>
      </c>
      <c r="Z66" s="1126">
        <f>Z64/Z44</f>
        <v/>
      </c>
      <c r="AA66" s="315">
        <f>AA64/AA44</f>
        <v/>
      </c>
      <c r="AB66" s="315">
        <f>AB64/AB44</f>
        <v/>
      </c>
      <c r="AC66" s="315">
        <f>AC64/AC44</f>
        <v/>
      </c>
      <c r="AD66" s="315">
        <f>AD64/AD44</f>
        <v/>
      </c>
      <c r="AE66" s="1126">
        <f>AE64/AE44</f>
        <v/>
      </c>
      <c r="AF66" s="315">
        <f>AF64/AF44</f>
        <v/>
      </c>
      <c r="AG66" s="315">
        <f>AG64/AG44</f>
        <v/>
      </c>
      <c r="AH66" s="315">
        <f>AH64/AH44</f>
        <v/>
      </c>
      <c r="AI66" s="315">
        <f>AI64/AI44</f>
        <v/>
      </c>
      <c r="AJ66" s="1126">
        <f>AJ64/AJ44</f>
        <v/>
      </c>
      <c r="AK66" s="315">
        <f>AK64/AK44</f>
        <v/>
      </c>
      <c r="AL66" s="315">
        <f>AL64/AL44</f>
        <v/>
      </c>
      <c r="AM66" s="315">
        <f>AM64/AM44</f>
        <v/>
      </c>
      <c r="AN66" s="315">
        <f>AN64/AN44</f>
        <v/>
      </c>
      <c r="AO66" s="1126">
        <f>AO64/AO44</f>
        <v/>
      </c>
      <c r="AP66" s="315">
        <f>AP64/AP44</f>
        <v/>
      </c>
      <c r="AQ66" s="315">
        <f>AQ64/AQ44</f>
        <v/>
      </c>
      <c r="AR66" s="315">
        <f>AR64/AR44</f>
        <v/>
      </c>
      <c r="AS66" s="315">
        <f>AS64/AS44</f>
        <v/>
      </c>
      <c r="AT66" s="1126">
        <f>AT64/AT44</f>
        <v/>
      </c>
      <c r="AU66" s="315">
        <f>AU64/AU44</f>
        <v/>
      </c>
      <c r="AV66" s="315">
        <f>AV64/AV44</f>
        <v/>
      </c>
      <c r="AW66" s="315">
        <f>AW64/AW44</f>
        <v/>
      </c>
      <c r="AX66" s="315">
        <f>AX64/AX44</f>
        <v/>
      </c>
      <c r="AY66" s="1126">
        <f>AY64/AY44</f>
        <v/>
      </c>
      <c r="AZ66" s="315">
        <f>AZ64/AZ44</f>
        <v/>
      </c>
      <c r="BA66" s="315">
        <f>BA64/BA44</f>
        <v/>
      </c>
      <c r="BB66" s="315">
        <f>BB64/BB44</f>
        <v/>
      </c>
      <c r="BC66" s="315">
        <f>BC64/BC44</f>
        <v/>
      </c>
      <c r="BD66" s="1126">
        <f>BD64/BD44</f>
        <v/>
      </c>
      <c r="BE66" s="315">
        <f>BE64/BE44</f>
        <v/>
      </c>
      <c r="BF66" s="315">
        <f>BF64/BF44</f>
        <v/>
      </c>
      <c r="BG66" s="315">
        <f>BG64/BG44</f>
        <v/>
      </c>
      <c r="BH66" s="315">
        <f>BH64/BH44</f>
        <v/>
      </c>
      <c r="BI66" s="1126">
        <f>BI64/BI44</f>
        <v/>
      </c>
      <c r="BJ66" s="315">
        <f>BJ64/BJ44</f>
        <v/>
      </c>
      <c r="BK66" s="315">
        <f>BK64/BK44</f>
        <v/>
      </c>
      <c r="BL66" s="315">
        <f>BL64/BL44</f>
        <v/>
      </c>
      <c r="BM66" s="315">
        <f>BM64/BM44</f>
        <v/>
      </c>
      <c r="BN66" s="1126">
        <f>BN64/BN44</f>
        <v/>
      </c>
      <c r="BO66" s="315">
        <f>BO64/BO44</f>
        <v/>
      </c>
      <c r="BP66" s="315">
        <f>BP64/BP44</f>
        <v/>
      </c>
      <c r="BQ66" s="315">
        <f>BQ64/BQ44</f>
        <v/>
      </c>
      <c r="BR66" s="315">
        <f>BR64/BR44</f>
        <v/>
      </c>
      <c r="BS66" s="1126">
        <f>BS64/BS44</f>
        <v/>
      </c>
      <c r="BT66" s="315">
        <f>BT64/BT44</f>
        <v/>
      </c>
      <c r="BU66" s="315">
        <f>BU64/BU44</f>
        <v/>
      </c>
      <c r="BV66" s="885">
        <f>BV64/BV44</f>
        <v/>
      </c>
      <c r="BW66" s="315">
        <f>BW64/BW44</f>
        <v/>
      </c>
      <c r="BX66" s="1126">
        <f>BX64/BX44</f>
        <v/>
      </c>
      <c r="BY66" s="315">
        <f>BY64/BY44</f>
        <v/>
      </c>
      <c r="BZ66" s="315">
        <f>BZ64/BZ44</f>
        <v/>
      </c>
      <c r="CA66" s="315">
        <f>CA64/CA44</f>
        <v/>
      </c>
      <c r="CB66" s="315">
        <f>CB64/CB44</f>
        <v/>
      </c>
      <c r="CC66" s="1126">
        <f>CC64/CC44</f>
        <v/>
      </c>
      <c r="CD66" s="1126">
        <f>CD64/CD44</f>
        <v/>
      </c>
      <c r="CE66" s="1126">
        <f>CE64/CE44</f>
        <v/>
      </c>
      <c r="CF66" s="1126">
        <f>CF64/CF44</f>
        <v/>
      </c>
      <c r="CG66" s="155" t="n"/>
    </row>
    <row r="67" hidden="1" outlineLevel="1">
      <c r="A67" s="99" t="inlineStr">
        <is>
          <t>Y/Y Improvement in GAAP R&amp;D Margin, bps</t>
        </is>
      </c>
      <c r="B67" s="598" t="n"/>
      <c r="C67" s="1110" t="n"/>
      <c r="D67" s="1110">
        <f>-(D66-C66)*10000</f>
        <v/>
      </c>
      <c r="E67" s="1110">
        <f>-(E66-D66)*10000</f>
        <v/>
      </c>
      <c r="F67" s="1110">
        <f>-(F66-E66)*10000</f>
        <v/>
      </c>
      <c r="G67" s="68" t="n"/>
      <c r="H67" s="68" t="n"/>
      <c r="I67" s="68" t="n"/>
      <c r="J67" s="68" t="n"/>
      <c r="K67" s="1110">
        <f>-(K66-F66)*10000</f>
        <v/>
      </c>
      <c r="L67" s="68">
        <f>-(L66-G66)*10000</f>
        <v/>
      </c>
      <c r="M67" s="68">
        <f>-(M66-H66)*10000</f>
        <v/>
      </c>
      <c r="N67" s="68">
        <f>-(N66-I66)*10000</f>
        <v/>
      </c>
      <c r="O67" s="68">
        <f>-(O66-J66)*10000</f>
        <v/>
      </c>
      <c r="P67" s="1110">
        <f>-(P66-K66)*10000</f>
        <v/>
      </c>
      <c r="Q67" s="68">
        <f>-(Q66-L66)*10000</f>
        <v/>
      </c>
      <c r="R67" s="68">
        <f>-(R66-M66)*10000</f>
        <v/>
      </c>
      <c r="S67" s="68">
        <f>-(S66-N66)*10000</f>
        <v/>
      </c>
      <c r="T67" s="68">
        <f>-(T66-O66)*10000</f>
        <v/>
      </c>
      <c r="U67" s="1110">
        <f>-(U66-P66)*10000</f>
        <v/>
      </c>
      <c r="V67" s="68">
        <f>-(V66-Q66)*10000</f>
        <v/>
      </c>
      <c r="W67" s="68">
        <f>-(W66-R66)*10000</f>
        <v/>
      </c>
      <c r="X67" s="68">
        <f>-(X66-S66)*10000</f>
        <v/>
      </c>
      <c r="Y67" s="68">
        <f>-(Y66-T66)*10000</f>
        <v/>
      </c>
      <c r="Z67" s="1110">
        <f>-(Z66-U66)*10000</f>
        <v/>
      </c>
      <c r="AA67" s="68">
        <f>-(AA66-V66)*10000</f>
        <v/>
      </c>
      <c r="AB67" s="68">
        <f>-(AB66-W66)*10000</f>
        <v/>
      </c>
      <c r="AC67" s="68">
        <f>-(AC66-X66)*10000</f>
        <v/>
      </c>
      <c r="AD67" s="68">
        <f>-(AD66-Y66)*10000</f>
        <v/>
      </c>
      <c r="AE67" s="1110">
        <f>-(AE66-Z66)*10000</f>
        <v/>
      </c>
      <c r="AF67" s="68">
        <f>-(AF66-AA66)*10000</f>
        <v/>
      </c>
      <c r="AG67" s="68">
        <f>-(AG66-AB66)*10000</f>
        <v/>
      </c>
      <c r="AH67" s="68">
        <f>-(AH66-AC66)*10000</f>
        <v/>
      </c>
      <c r="AI67" s="68">
        <f>-(AI66-AD66)*10000</f>
        <v/>
      </c>
      <c r="AJ67" s="1110">
        <f>-(AJ66-AE66)*10000</f>
        <v/>
      </c>
      <c r="AK67" s="68">
        <f>-(AK66-AF66)*10000</f>
        <v/>
      </c>
      <c r="AL67" s="68">
        <f>-(AL66-AG66)*10000</f>
        <v/>
      </c>
      <c r="AM67" s="68">
        <f>-(AM66-AH66)*10000</f>
        <v/>
      </c>
      <c r="AN67" s="68">
        <f>-(AN66-AI66)*10000</f>
        <v/>
      </c>
      <c r="AO67" s="1110">
        <f>-(AO66-AJ66)*10000</f>
        <v/>
      </c>
      <c r="AP67" s="68">
        <f>-(AP66-AK66)*10000</f>
        <v/>
      </c>
      <c r="AQ67" s="68">
        <f>-(AQ66-AL66)*10000</f>
        <v/>
      </c>
      <c r="AR67" s="68">
        <f>-(AR66-AM66)*10000</f>
        <v/>
      </c>
      <c r="AS67" s="68">
        <f>-(AS66-AN66)*10000</f>
        <v/>
      </c>
      <c r="AT67" s="1110">
        <f>-(AT66-AO66)*10000</f>
        <v/>
      </c>
      <c r="AU67" s="68">
        <f>-(AU66-AP66)*10000</f>
        <v/>
      </c>
      <c r="AV67" s="68">
        <f>-(AV66-AQ66)*10000</f>
        <v/>
      </c>
      <c r="AW67" s="68">
        <f>-(AW66-AR66)*10000</f>
        <v/>
      </c>
      <c r="AX67" s="68">
        <f>-(AX66-AS66)*10000</f>
        <v/>
      </c>
      <c r="AY67" s="1110">
        <f>-(AY66-AT66)*10000</f>
        <v/>
      </c>
      <c r="AZ67" s="68">
        <f>-(AZ66-AU66)*10000</f>
        <v/>
      </c>
      <c r="BA67" s="68">
        <f>-(BA66-AV66)*10000</f>
        <v/>
      </c>
      <c r="BB67" s="68">
        <f>-(BB66-AW66)*10000</f>
        <v/>
      </c>
      <c r="BC67" s="68">
        <f>-(BC66-AX66)*10000</f>
        <v/>
      </c>
      <c r="BD67" s="1110">
        <f>-(BD66-AY66)*10000</f>
        <v/>
      </c>
      <c r="BE67" s="68">
        <f>-(BE66-AZ66)*10000</f>
        <v/>
      </c>
      <c r="BF67" s="68">
        <f>-(BF66-BA66)*10000</f>
        <v/>
      </c>
      <c r="BG67" s="68">
        <f>-(BG66-BB66)*10000</f>
        <v/>
      </c>
      <c r="BH67" s="68">
        <f>-(BH66-BC66)*10000</f>
        <v/>
      </c>
      <c r="BI67" s="1110">
        <f>-(BI66-BD66)*10000</f>
        <v/>
      </c>
      <c r="BJ67" s="68">
        <f>-(BJ66-BE66)*10000</f>
        <v/>
      </c>
      <c r="BK67" s="68">
        <f>-(BK66-BF66)*10000</f>
        <v/>
      </c>
      <c r="BL67" s="68">
        <f>-(BL66-BG66)*10000</f>
        <v/>
      </c>
      <c r="BM67" s="68">
        <f>-(BM66-BH66)*10000</f>
        <v/>
      </c>
      <c r="BN67" s="1110">
        <f>-(BN66-BI66)*10000</f>
        <v/>
      </c>
      <c r="BO67" s="68">
        <f>-(BO66-BJ66)*10000</f>
        <v/>
      </c>
      <c r="BP67" s="68">
        <f>-(BP66-BK66)*10000</f>
        <v/>
      </c>
      <c r="BQ67" s="68">
        <f>-(BQ66-BL66)*10000</f>
        <v/>
      </c>
      <c r="BR67" s="68">
        <f>-(BR66-BM66)*10000</f>
        <v/>
      </c>
      <c r="BS67" s="1110">
        <f>-(BS66-BN66)*10000</f>
        <v/>
      </c>
      <c r="BT67" s="68">
        <f>-(BT66-BO66)*10000</f>
        <v/>
      </c>
      <c r="BU67" s="68">
        <f>-(BU66-BP66)*10000</f>
        <v/>
      </c>
      <c r="BV67" s="588">
        <f>-(BV66-BQ66)*10000</f>
        <v/>
      </c>
      <c r="BW67" s="68">
        <f>-(BW66-BR66)*10000</f>
        <v/>
      </c>
      <c r="BX67" s="1110">
        <f>-(BX66-BS66)*10000</f>
        <v/>
      </c>
      <c r="BY67" s="68">
        <f>-(BY66-BT66)*10000</f>
        <v/>
      </c>
      <c r="BZ67" s="68">
        <f>-(BZ66-BU66)*10000</f>
        <v/>
      </c>
      <c r="CA67" s="68">
        <f>-(CA66-BV66)*10000</f>
        <v/>
      </c>
      <c r="CB67" s="68">
        <f>-(CB66-BW66)*10000</f>
        <v/>
      </c>
      <c r="CC67" s="1110">
        <f>-(CC66-BX66)*10000</f>
        <v/>
      </c>
      <c r="CD67" s="1110">
        <f>-(CD66-CC66)*10000</f>
        <v/>
      </c>
      <c r="CE67" s="1110">
        <f>-(CE66-CD66)*10000</f>
        <v/>
      </c>
      <c r="CF67" s="1110">
        <f>-(CF66-CE66)*10000</f>
        <v/>
      </c>
      <c r="CG67" s="155" t="n"/>
    </row>
    <row r="68" hidden="1" outlineLevel="1" ht="7.25" customHeight="1">
      <c r="A68" s="99" t="n"/>
      <c r="B68" s="598" t="n"/>
      <c r="C68" s="1110" t="n"/>
      <c r="D68" s="1110" t="n"/>
      <c r="E68" s="1110" t="n"/>
      <c r="F68" s="1110" t="n"/>
      <c r="G68" s="68" t="n"/>
      <c r="H68" s="68" t="n"/>
      <c r="I68" s="68" t="n"/>
      <c r="J68" s="68" t="n"/>
      <c r="K68" s="1110" t="n"/>
      <c r="L68" s="68" t="n"/>
      <c r="M68" s="68" t="n"/>
      <c r="N68" s="68" t="n"/>
      <c r="O68" s="68" t="n"/>
      <c r="P68" s="1110" t="n"/>
      <c r="Q68" s="68" t="n"/>
      <c r="R68" s="68" t="n"/>
      <c r="S68" s="68" t="n"/>
      <c r="T68" s="68" t="n"/>
      <c r="U68" s="1110" t="n"/>
      <c r="V68" s="68" t="n"/>
      <c r="W68" s="68" t="n"/>
      <c r="X68" s="68" t="n"/>
      <c r="Y68" s="68" t="n"/>
      <c r="Z68" s="1110" t="n"/>
      <c r="AA68" s="68" t="n"/>
      <c r="AB68" s="68" t="n"/>
      <c r="AC68" s="68" t="n"/>
      <c r="AD68" s="68" t="n"/>
      <c r="AE68" s="1110" t="n"/>
      <c r="AF68" s="68" t="n"/>
      <c r="AG68" s="68" t="n"/>
      <c r="AH68" s="68" t="n"/>
      <c r="AI68" s="68" t="n"/>
      <c r="AJ68" s="1110" t="n"/>
      <c r="AK68" s="68" t="n"/>
      <c r="AL68" s="68" t="n"/>
      <c r="AM68" s="68" t="n"/>
      <c r="AN68" s="68" t="n"/>
      <c r="AO68" s="1110" t="n"/>
      <c r="AP68" s="68" t="n"/>
      <c r="AQ68" s="68" t="n"/>
      <c r="AR68" s="68" t="n"/>
      <c r="AS68" s="68" t="n"/>
      <c r="AT68" s="1110" t="n"/>
      <c r="AU68" s="68" t="n"/>
      <c r="AV68" s="68" t="n"/>
      <c r="AW68" s="68" t="n"/>
      <c r="AX68" s="68" t="n"/>
      <c r="AY68" s="1110" t="n"/>
      <c r="AZ68" s="68" t="n"/>
      <c r="BA68" s="68" t="n"/>
      <c r="BB68" s="68" t="n"/>
      <c r="BC68" s="68" t="n"/>
      <c r="BD68" s="1110" t="n"/>
      <c r="BE68" s="68" t="n"/>
      <c r="BF68" s="68" t="n"/>
      <c r="BG68" s="68" t="n"/>
      <c r="BH68" s="68" t="n"/>
      <c r="BI68" s="1110" t="n"/>
      <c r="BJ68" s="68" t="n"/>
      <c r="BK68" s="68" t="n"/>
      <c r="BL68" s="68" t="n"/>
      <c r="BM68" s="68" t="n"/>
      <c r="BN68" s="1110" t="n"/>
      <c r="BO68" s="68" t="n"/>
      <c r="BP68" s="68" t="n"/>
      <c r="BQ68" s="68" t="n"/>
      <c r="BR68" s="68" t="n"/>
      <c r="BS68" s="1110" t="n"/>
      <c r="BT68" s="68" t="n"/>
      <c r="BU68" s="68" t="n"/>
      <c r="BV68" s="588" t="n"/>
      <c r="BW68" s="68" t="n"/>
      <c r="BX68" s="1110" t="n"/>
      <c r="BY68" s="68" t="n"/>
      <c r="BZ68" s="68" t="n"/>
      <c r="CA68" s="68" t="n"/>
      <c r="CB68" s="68" t="n"/>
      <c r="CC68" s="1110" t="n"/>
      <c r="CD68" s="1110" t="n"/>
      <c r="CE68" s="1110" t="n"/>
      <c r="CF68" s="1110" t="n"/>
      <c r="CG68" s="155" t="n"/>
    </row>
    <row r="69" hidden="1" outlineLevel="1">
      <c r="A69" s="99" t="inlineStr">
        <is>
          <t>SBC R&amp;D, mm</t>
        </is>
      </c>
      <c r="B69" s="598" t="n"/>
      <c r="C69" s="1110">
        <f>C374</f>
        <v/>
      </c>
      <c r="D69" s="1110">
        <f>D374</f>
        <v/>
      </c>
      <c r="E69" s="1110">
        <f>E374</f>
        <v/>
      </c>
      <c r="F69" s="1110">
        <f>F374</f>
        <v/>
      </c>
      <c r="G69" s="68">
        <f>G374</f>
        <v/>
      </c>
      <c r="H69" s="68">
        <f>H374</f>
        <v/>
      </c>
      <c r="I69" s="68">
        <f>I374</f>
        <v/>
      </c>
      <c r="J69" s="68">
        <f>J374</f>
        <v/>
      </c>
      <c r="K69" s="1110">
        <f>K374</f>
        <v/>
      </c>
      <c r="L69" s="68">
        <f>L374</f>
        <v/>
      </c>
      <c r="M69" s="68">
        <f>M374</f>
        <v/>
      </c>
      <c r="N69" s="68">
        <f>N374</f>
        <v/>
      </c>
      <c r="O69" s="68">
        <f>O374</f>
        <v/>
      </c>
      <c r="P69" s="1110">
        <f>P374</f>
        <v/>
      </c>
      <c r="Q69" s="68">
        <f>Q374</f>
        <v/>
      </c>
      <c r="R69" s="68">
        <f>R374</f>
        <v/>
      </c>
      <c r="S69" s="68">
        <f>S374</f>
        <v/>
      </c>
      <c r="T69" s="68">
        <f>T374</f>
        <v/>
      </c>
      <c r="U69" s="1110">
        <f>U374</f>
        <v/>
      </c>
      <c r="V69" s="68">
        <f>V374</f>
        <v/>
      </c>
      <c r="W69" s="68">
        <f>W374</f>
        <v/>
      </c>
      <c r="X69" s="68">
        <f>X374</f>
        <v/>
      </c>
      <c r="Y69" s="68">
        <f>Y374</f>
        <v/>
      </c>
      <c r="Z69" s="1110">
        <f>Z374</f>
        <v/>
      </c>
      <c r="AA69" s="68">
        <f>AA374</f>
        <v/>
      </c>
      <c r="AB69" s="68">
        <f>AB374</f>
        <v/>
      </c>
      <c r="AC69" s="68">
        <f>AC374</f>
        <v/>
      </c>
      <c r="AD69" s="68">
        <f>AD374</f>
        <v/>
      </c>
      <c r="AE69" s="1110">
        <f>AE374</f>
        <v/>
      </c>
      <c r="AF69" s="68">
        <f>AF374</f>
        <v/>
      </c>
      <c r="AG69" s="68">
        <f>AG374</f>
        <v/>
      </c>
      <c r="AH69" s="68">
        <f>AH374</f>
        <v/>
      </c>
      <c r="AI69" s="68">
        <f>AI374</f>
        <v/>
      </c>
      <c r="AJ69" s="1110">
        <f>AJ374</f>
        <v/>
      </c>
      <c r="AK69" s="68">
        <f>AK374</f>
        <v/>
      </c>
      <c r="AL69" s="68">
        <f>AL374</f>
        <v/>
      </c>
      <c r="AM69" s="68">
        <f>AM374</f>
        <v/>
      </c>
      <c r="AN69" s="68">
        <f>AN374</f>
        <v/>
      </c>
      <c r="AO69" s="1110">
        <f>AO374</f>
        <v/>
      </c>
      <c r="AP69" s="68">
        <f>AP374</f>
        <v/>
      </c>
      <c r="AQ69" s="68">
        <f>AQ374</f>
        <v/>
      </c>
      <c r="AR69" s="68">
        <f>AR374</f>
        <v/>
      </c>
      <c r="AS69" s="68">
        <f>AS374</f>
        <v/>
      </c>
      <c r="AT69" s="1110">
        <f>AT374</f>
        <v/>
      </c>
      <c r="AU69" s="68">
        <f>AU374</f>
        <v/>
      </c>
      <c r="AV69" s="68">
        <f>AV374</f>
        <v/>
      </c>
      <c r="AW69" s="68">
        <f>AW374</f>
        <v/>
      </c>
      <c r="AX69" s="68">
        <f>AX374</f>
        <v/>
      </c>
      <c r="AY69" s="1110">
        <f>AY374</f>
        <v/>
      </c>
      <c r="AZ69" s="68">
        <f>AZ374</f>
        <v/>
      </c>
      <c r="BA69" s="68">
        <f>BA374</f>
        <v/>
      </c>
      <c r="BB69" s="68">
        <f>BB374</f>
        <v/>
      </c>
      <c r="BC69" s="68">
        <f>BC374</f>
        <v/>
      </c>
      <c r="BD69" s="1110">
        <f>BD374</f>
        <v/>
      </c>
      <c r="BE69" s="68">
        <f>BE374</f>
        <v/>
      </c>
      <c r="BF69" s="68">
        <f>BF374</f>
        <v/>
      </c>
      <c r="BG69" s="68">
        <f>BG374</f>
        <v/>
      </c>
      <c r="BH69" s="68">
        <f>BH374</f>
        <v/>
      </c>
      <c r="BI69" s="1110">
        <f>BI374</f>
        <v/>
      </c>
      <c r="BJ69" s="68">
        <f>BJ374</f>
        <v/>
      </c>
      <c r="BK69" s="68">
        <f>BK374</f>
        <v/>
      </c>
      <c r="BL69" s="68">
        <f>BL374</f>
        <v/>
      </c>
      <c r="BM69" s="68">
        <f>BM374</f>
        <v/>
      </c>
      <c r="BN69" s="1110">
        <f>BN374</f>
        <v/>
      </c>
      <c r="BO69" s="68">
        <f>BO374</f>
        <v/>
      </c>
      <c r="BP69" s="68">
        <f>BP374</f>
        <v/>
      </c>
      <c r="BQ69" s="68">
        <f>BQ374</f>
        <v/>
      </c>
      <c r="BR69" s="68">
        <f>BR374</f>
        <v/>
      </c>
      <c r="BS69" s="1110">
        <f>BS374</f>
        <v/>
      </c>
      <c r="BT69" s="68">
        <f>BT374</f>
        <v/>
      </c>
      <c r="BU69" s="68">
        <f>BU374</f>
        <v/>
      </c>
      <c r="BV69" s="588">
        <f>BV374</f>
        <v/>
      </c>
      <c r="BW69" s="68">
        <f>BW44*BW70</f>
        <v/>
      </c>
      <c r="BX69" s="1110">
        <f>SUM(BT69,BU69,BV69,BW69)</f>
        <v/>
      </c>
      <c r="BY69" s="68">
        <f>BY44*BY70</f>
        <v/>
      </c>
      <c r="BZ69" s="68">
        <f>BZ44*BZ70</f>
        <v/>
      </c>
      <c r="CA69" s="68">
        <f>CA44*CA70</f>
        <v/>
      </c>
      <c r="CB69" s="68">
        <f>CB44*CB70</f>
        <v/>
      </c>
      <c r="CC69" s="1110">
        <f>SUM(BY69,BZ69,CA69,CB69)</f>
        <v/>
      </c>
      <c r="CD69" s="1110">
        <f>CD44*CD70</f>
        <v/>
      </c>
      <c r="CE69" s="1110">
        <f>CE44*CE70</f>
        <v/>
      </c>
      <c r="CF69" s="1110">
        <f>CF44*CF70</f>
        <v/>
      </c>
      <c r="CG69" s="155" t="n"/>
    </row>
    <row r="70" hidden="1" outlineLevel="1">
      <c r="A70" s="648" t="inlineStr">
        <is>
          <t>SBC R&amp;D as % of revenue, %</t>
        </is>
      </c>
      <c r="B70" s="582" t="n"/>
      <c r="C70" s="1113">
        <f>C69/C44</f>
        <v/>
      </c>
      <c r="D70" s="1113">
        <f>D69/D44</f>
        <v/>
      </c>
      <c r="E70" s="1113">
        <f>E69/E44</f>
        <v/>
      </c>
      <c r="F70" s="1113">
        <f>F69/F44</f>
        <v/>
      </c>
      <c r="G70" s="90">
        <f>G69/G44</f>
        <v/>
      </c>
      <c r="H70" s="90">
        <f>H69/H44</f>
        <v/>
      </c>
      <c r="I70" s="90">
        <f>I69/I44</f>
        <v/>
      </c>
      <c r="J70" s="90">
        <f>J69/J44</f>
        <v/>
      </c>
      <c r="K70" s="1113">
        <f>K69/K44</f>
        <v/>
      </c>
      <c r="L70" s="90">
        <f>L69/L44</f>
        <v/>
      </c>
      <c r="M70" s="90">
        <f>M69/M44</f>
        <v/>
      </c>
      <c r="N70" s="90">
        <f>N69/N44</f>
        <v/>
      </c>
      <c r="O70" s="90">
        <f>O69/O44</f>
        <v/>
      </c>
      <c r="P70" s="1113">
        <f>P69/P44</f>
        <v/>
      </c>
      <c r="Q70" s="90">
        <f>Q69/Q44</f>
        <v/>
      </c>
      <c r="R70" s="90">
        <f>R69/R44</f>
        <v/>
      </c>
      <c r="S70" s="90">
        <f>S69/S44</f>
        <v/>
      </c>
      <c r="T70" s="90">
        <f>T69/T44</f>
        <v/>
      </c>
      <c r="U70" s="1113">
        <f>U69/U44</f>
        <v/>
      </c>
      <c r="V70" s="90">
        <f>V69/V44</f>
        <v/>
      </c>
      <c r="W70" s="90">
        <f>W69/W44</f>
        <v/>
      </c>
      <c r="X70" s="90">
        <f>X69/X44</f>
        <v/>
      </c>
      <c r="Y70" s="90">
        <f>Y69/Y44</f>
        <v/>
      </c>
      <c r="Z70" s="1113">
        <f>Z69/Z44</f>
        <v/>
      </c>
      <c r="AA70" s="90">
        <f>AA69/AA44</f>
        <v/>
      </c>
      <c r="AB70" s="90">
        <f>AB69/AB44</f>
        <v/>
      </c>
      <c r="AC70" s="90">
        <f>AC69/AC44</f>
        <v/>
      </c>
      <c r="AD70" s="90">
        <f>AD69/AD44</f>
        <v/>
      </c>
      <c r="AE70" s="1113">
        <f>AE69/AE44</f>
        <v/>
      </c>
      <c r="AF70" s="90">
        <f>AF69/AF44</f>
        <v/>
      </c>
      <c r="AG70" s="90">
        <f>AG69/AG44</f>
        <v/>
      </c>
      <c r="AH70" s="90">
        <f>AH69/AH44</f>
        <v/>
      </c>
      <c r="AI70" s="90">
        <f>AI69/AI44</f>
        <v/>
      </c>
      <c r="AJ70" s="1113">
        <f>AJ69/AJ44</f>
        <v/>
      </c>
      <c r="AK70" s="90">
        <f>AK69/AK44</f>
        <v/>
      </c>
      <c r="AL70" s="90">
        <f>AL69/AL44</f>
        <v/>
      </c>
      <c r="AM70" s="90">
        <f>AM69/AM44</f>
        <v/>
      </c>
      <c r="AN70" s="90">
        <f>AN69/AN44</f>
        <v/>
      </c>
      <c r="AO70" s="1113">
        <f>AO69/AO44</f>
        <v/>
      </c>
      <c r="AP70" s="90">
        <f>AP69/AP44</f>
        <v/>
      </c>
      <c r="AQ70" s="90">
        <f>AQ69/AQ44</f>
        <v/>
      </c>
      <c r="AR70" s="90">
        <f>AR69/AR44</f>
        <v/>
      </c>
      <c r="AS70" s="90">
        <f>AS69/AS44</f>
        <v/>
      </c>
      <c r="AT70" s="1113">
        <f>AT69/AT44</f>
        <v/>
      </c>
      <c r="AU70" s="90">
        <f>AU69/AU44</f>
        <v/>
      </c>
      <c r="AV70" s="90">
        <f>AV69/AV44</f>
        <v/>
      </c>
      <c r="AW70" s="90">
        <f>AW69/AW44</f>
        <v/>
      </c>
      <c r="AX70" s="90">
        <f>AX69/AX44</f>
        <v/>
      </c>
      <c r="AY70" s="1113">
        <f>AY69/AY44</f>
        <v/>
      </c>
      <c r="AZ70" s="90">
        <f>AZ69/AZ44</f>
        <v/>
      </c>
      <c r="BA70" s="90">
        <f>BA69/BA44</f>
        <v/>
      </c>
      <c r="BB70" s="90">
        <f>BB69/BB44</f>
        <v/>
      </c>
      <c r="BC70" s="90">
        <f>BC69/BC44</f>
        <v/>
      </c>
      <c r="BD70" s="1113">
        <f>BD69/BD44</f>
        <v/>
      </c>
      <c r="BE70" s="90">
        <f>BE69/BE44</f>
        <v/>
      </c>
      <c r="BF70" s="90">
        <f>BF69/BF44</f>
        <v/>
      </c>
      <c r="BG70" s="90">
        <f>BG69/BG44</f>
        <v/>
      </c>
      <c r="BH70" s="90">
        <f>BH69/BH44</f>
        <v/>
      </c>
      <c r="BI70" s="1113">
        <f>BI69/BI44</f>
        <v/>
      </c>
      <c r="BJ70" s="90">
        <f>BJ69/BJ44</f>
        <v/>
      </c>
      <c r="BK70" s="90">
        <f>BK69/BK44</f>
        <v/>
      </c>
      <c r="BL70" s="90">
        <f>BL69/BL44</f>
        <v/>
      </c>
      <c r="BM70" s="90">
        <f>BM69/BM44</f>
        <v/>
      </c>
      <c r="BN70" s="1113">
        <f>BN69/BN44</f>
        <v/>
      </c>
      <c r="BO70" s="90">
        <f>BO69/BO44</f>
        <v/>
      </c>
      <c r="BP70" s="90">
        <f>BP69/BP44</f>
        <v/>
      </c>
      <c r="BQ70" s="90">
        <f>BQ69/BQ44</f>
        <v/>
      </c>
      <c r="BR70" s="90">
        <f>BR69/BR44</f>
        <v/>
      </c>
      <c r="BS70" s="1113">
        <f>BS69/BS44</f>
        <v/>
      </c>
      <c r="BT70" s="90">
        <f>BT69/BT44</f>
        <v/>
      </c>
      <c r="BU70" s="90">
        <f>BU69/BU44</f>
        <v/>
      </c>
      <c r="BV70" s="880">
        <f>BV69/BV44</f>
        <v/>
      </c>
      <c r="BW70" s="1058" t="n">
        <v>0.021</v>
      </c>
      <c r="BX70" s="1113">
        <f>BX69/BX44</f>
        <v/>
      </c>
      <c r="BY70" s="1058" t="n">
        <v>0.021</v>
      </c>
      <c r="BZ70" s="1058" t="n">
        <v>0.021</v>
      </c>
      <c r="CA70" s="1058" t="n">
        <v>0.021</v>
      </c>
      <c r="CB70" s="1058" t="n">
        <v>0.021</v>
      </c>
      <c r="CC70" s="1113">
        <f>CC69/CC44</f>
        <v/>
      </c>
      <c r="CD70" s="1127" t="n">
        <v>0.021</v>
      </c>
      <c r="CE70" s="1127" t="n">
        <v>0.021</v>
      </c>
      <c r="CF70" s="1127" t="n">
        <v>0.021</v>
      </c>
      <c r="CG70" s="155" t="n"/>
    </row>
    <row r="71" hidden="1" outlineLevel="1">
      <c r="A71" s="99" t="inlineStr">
        <is>
          <t>Acquisition-related costs R&amp;D, mm</t>
        </is>
      </c>
      <c r="B71" s="598" t="n"/>
      <c r="C71" s="1110">
        <f>C375</f>
        <v/>
      </c>
      <c r="D71" s="1110">
        <f>D375</f>
        <v/>
      </c>
      <c r="E71" s="1110">
        <f>E375</f>
        <v/>
      </c>
      <c r="F71" s="1110">
        <f>F375</f>
        <v/>
      </c>
      <c r="G71" s="68">
        <f>G375</f>
        <v/>
      </c>
      <c r="H71" s="68">
        <f>H375</f>
        <v/>
      </c>
      <c r="I71" s="68">
        <f>I375</f>
        <v/>
      </c>
      <c r="J71" s="68">
        <f>J375</f>
        <v/>
      </c>
      <c r="K71" s="1110">
        <f>K375</f>
        <v/>
      </c>
      <c r="L71" s="68">
        <f>L375</f>
        <v/>
      </c>
      <c r="M71" s="68">
        <f>M375</f>
        <v/>
      </c>
      <c r="N71" s="68">
        <f>N375</f>
        <v/>
      </c>
      <c r="O71" s="68">
        <f>O375</f>
        <v/>
      </c>
      <c r="P71" s="1110">
        <f>P375</f>
        <v/>
      </c>
      <c r="Q71" s="68">
        <f>Q375</f>
        <v/>
      </c>
      <c r="R71" s="68">
        <f>R375</f>
        <v/>
      </c>
      <c r="S71" s="68">
        <f>S375</f>
        <v/>
      </c>
      <c r="T71" s="68">
        <f>T375</f>
        <v/>
      </c>
      <c r="U71" s="1110">
        <f>U375</f>
        <v/>
      </c>
      <c r="V71" s="68">
        <f>V375</f>
        <v/>
      </c>
      <c r="W71" s="68">
        <f>W375</f>
        <v/>
      </c>
      <c r="X71" s="68">
        <f>X375</f>
        <v/>
      </c>
      <c r="Y71" s="68">
        <f>Y375</f>
        <v/>
      </c>
      <c r="Z71" s="1110">
        <f>Z375</f>
        <v/>
      </c>
      <c r="AA71" s="68">
        <f>AA375</f>
        <v/>
      </c>
      <c r="AB71" s="68">
        <f>AB375</f>
        <v/>
      </c>
      <c r="AC71" s="68">
        <f>AC375</f>
        <v/>
      </c>
      <c r="AD71" s="68">
        <f>AD375</f>
        <v/>
      </c>
      <c r="AE71" s="1110">
        <f>AE375</f>
        <v/>
      </c>
      <c r="AF71" s="68">
        <f>AF375</f>
        <v/>
      </c>
      <c r="AG71" s="68">
        <f>AG375</f>
        <v/>
      </c>
      <c r="AH71" s="68">
        <f>AH375</f>
        <v/>
      </c>
      <c r="AI71" s="68">
        <f>AI375</f>
        <v/>
      </c>
      <c r="AJ71" s="1110">
        <f>AJ375</f>
        <v/>
      </c>
      <c r="AK71" s="68">
        <f>AK375</f>
        <v/>
      </c>
      <c r="AL71" s="68">
        <f>AL375</f>
        <v/>
      </c>
      <c r="AM71" s="68">
        <f>AM375</f>
        <v/>
      </c>
      <c r="AN71" s="68">
        <f>AN375</f>
        <v/>
      </c>
      <c r="AO71" s="1110">
        <f>AO375</f>
        <v/>
      </c>
      <c r="AP71" s="68">
        <f>AP375</f>
        <v/>
      </c>
      <c r="AQ71" s="68">
        <f>AQ375</f>
        <v/>
      </c>
      <c r="AR71" s="68">
        <f>AR375</f>
        <v/>
      </c>
      <c r="AS71" s="68">
        <f>AS375</f>
        <v/>
      </c>
      <c r="AT71" s="1110">
        <f>AT375</f>
        <v/>
      </c>
      <c r="AU71" s="68">
        <f>AU375</f>
        <v/>
      </c>
      <c r="AV71" s="68">
        <f>AV375</f>
        <v/>
      </c>
      <c r="AW71" s="68">
        <f>AW375</f>
        <v/>
      </c>
      <c r="AX71" s="68">
        <f>AX375</f>
        <v/>
      </c>
      <c r="AY71" s="1110">
        <f>AY375</f>
        <v/>
      </c>
      <c r="AZ71" s="68">
        <f>AZ375</f>
        <v/>
      </c>
      <c r="BA71" s="68">
        <f>BA375</f>
        <v/>
      </c>
      <c r="BB71" s="68">
        <f>BB375</f>
        <v/>
      </c>
      <c r="BC71" s="68">
        <f>BC375</f>
        <v/>
      </c>
      <c r="BD71" s="1110">
        <f>BD375</f>
        <v/>
      </c>
      <c r="BE71" s="68">
        <f>BE375</f>
        <v/>
      </c>
      <c r="BF71" s="68">
        <f>BF375</f>
        <v/>
      </c>
      <c r="BG71" s="68">
        <f>BG375</f>
        <v/>
      </c>
      <c r="BH71" s="68">
        <f>BH375</f>
        <v/>
      </c>
      <c r="BI71" s="1110">
        <f>BI375</f>
        <v/>
      </c>
      <c r="BJ71" s="68">
        <f>BJ375</f>
        <v/>
      </c>
      <c r="BK71" s="68">
        <f>BK375</f>
        <v/>
      </c>
      <c r="BL71" s="68">
        <f>BL375</f>
        <v/>
      </c>
      <c r="BM71" s="68">
        <f>BM375</f>
        <v/>
      </c>
      <c r="BN71" s="1110">
        <f>BN375</f>
        <v/>
      </c>
      <c r="BO71" s="68">
        <f>BO375</f>
        <v/>
      </c>
      <c r="BP71" s="68">
        <f>BP375</f>
        <v/>
      </c>
      <c r="BQ71" s="68">
        <f>BQ375</f>
        <v/>
      </c>
      <c r="BR71" s="68">
        <f>BR375</f>
        <v/>
      </c>
      <c r="BS71" s="1110">
        <f>BS375</f>
        <v/>
      </c>
      <c r="BT71" s="68">
        <f>BT375</f>
        <v/>
      </c>
      <c r="BU71" s="68">
        <f>BU375</f>
        <v/>
      </c>
      <c r="BV71" s="588">
        <f>BV375</f>
        <v/>
      </c>
      <c r="BW71" s="68">
        <f>BW44*BW72</f>
        <v/>
      </c>
      <c r="BX71" s="1110">
        <f>SUM(BT71,BU71,BV71,BW71)</f>
        <v/>
      </c>
      <c r="BY71" s="68">
        <f>BY44*BY72</f>
        <v/>
      </c>
      <c r="BZ71" s="68">
        <f>BZ44*BZ72</f>
        <v/>
      </c>
      <c r="CA71" s="68">
        <f>CA44*CA72</f>
        <v/>
      </c>
      <c r="CB71" s="68">
        <f>CB44*CB72</f>
        <v/>
      </c>
      <c r="CC71" s="1110">
        <f>SUM(BY71,BZ71,CA71,CB71)</f>
        <v/>
      </c>
      <c r="CD71" s="1110">
        <f>CD44*CD72</f>
        <v/>
      </c>
      <c r="CE71" s="1110">
        <f>CE44*CE72</f>
        <v/>
      </c>
      <c r="CF71" s="1110">
        <f>CF44*CF72</f>
        <v/>
      </c>
      <c r="CG71" s="155" t="n"/>
    </row>
    <row r="72" hidden="1" outlineLevel="1">
      <c r="A72" s="648" t="inlineStr">
        <is>
          <t>Acquisition-related costs R&amp;D as % of revenue, %</t>
        </is>
      </c>
      <c r="B72" s="582" t="n"/>
      <c r="C72" s="1113">
        <f>C71/C44</f>
        <v/>
      </c>
      <c r="D72" s="1113">
        <f>D71/D44</f>
        <v/>
      </c>
      <c r="E72" s="1113">
        <f>E71/E44</f>
        <v/>
      </c>
      <c r="F72" s="1113">
        <f>F71/F44</f>
        <v/>
      </c>
      <c r="G72" s="90">
        <f>G71/G44</f>
        <v/>
      </c>
      <c r="H72" s="90">
        <f>H71/H44</f>
        <v/>
      </c>
      <c r="I72" s="90">
        <f>I71/I44</f>
        <v/>
      </c>
      <c r="J72" s="90">
        <f>J71/J44</f>
        <v/>
      </c>
      <c r="K72" s="1113">
        <f>K71/K44</f>
        <v/>
      </c>
      <c r="L72" s="90">
        <f>L71/L44</f>
        <v/>
      </c>
      <c r="M72" s="90">
        <f>M71/M44</f>
        <v/>
      </c>
      <c r="N72" s="90">
        <f>N71/N44</f>
        <v/>
      </c>
      <c r="O72" s="90">
        <f>O71/O44</f>
        <v/>
      </c>
      <c r="P72" s="1113">
        <f>P71/P44</f>
        <v/>
      </c>
      <c r="Q72" s="90">
        <f>Q71/Q44</f>
        <v/>
      </c>
      <c r="R72" s="90">
        <f>R71/R44</f>
        <v/>
      </c>
      <c r="S72" s="90">
        <f>S71/S44</f>
        <v/>
      </c>
      <c r="T72" s="90">
        <f>T71/T44</f>
        <v/>
      </c>
      <c r="U72" s="1113">
        <f>U71/U44</f>
        <v/>
      </c>
      <c r="V72" s="90">
        <f>V71/V44</f>
        <v/>
      </c>
      <c r="W72" s="90">
        <f>W71/W44</f>
        <v/>
      </c>
      <c r="X72" s="90">
        <f>X71/X44</f>
        <v/>
      </c>
      <c r="Y72" s="90">
        <f>Y71/Y44</f>
        <v/>
      </c>
      <c r="Z72" s="1113">
        <f>Z71/Z44</f>
        <v/>
      </c>
      <c r="AA72" s="90">
        <f>AA71/AA44</f>
        <v/>
      </c>
      <c r="AB72" s="90">
        <f>AB71/AB44</f>
        <v/>
      </c>
      <c r="AC72" s="90">
        <f>AC71/AC44</f>
        <v/>
      </c>
      <c r="AD72" s="90">
        <f>AD71/AD44</f>
        <v/>
      </c>
      <c r="AE72" s="1113">
        <f>AE71/AE44</f>
        <v/>
      </c>
      <c r="AF72" s="90">
        <f>AF71/AF44</f>
        <v/>
      </c>
      <c r="AG72" s="90">
        <f>AG71/AG44</f>
        <v/>
      </c>
      <c r="AH72" s="90">
        <f>AH71/AH44</f>
        <v/>
      </c>
      <c r="AI72" s="90">
        <f>AI71/AI44</f>
        <v/>
      </c>
      <c r="AJ72" s="1113">
        <f>AJ71/AJ44</f>
        <v/>
      </c>
      <c r="AK72" s="90">
        <f>AK71/AK44</f>
        <v/>
      </c>
      <c r="AL72" s="90">
        <f>AL71/AL44</f>
        <v/>
      </c>
      <c r="AM72" s="90">
        <f>AM71/AM44</f>
        <v/>
      </c>
      <c r="AN72" s="90">
        <f>AN71/AN44</f>
        <v/>
      </c>
      <c r="AO72" s="1113">
        <f>AO71/AO44</f>
        <v/>
      </c>
      <c r="AP72" s="90">
        <f>AP71/AP44</f>
        <v/>
      </c>
      <c r="AQ72" s="90">
        <f>AQ71/AQ44</f>
        <v/>
      </c>
      <c r="AR72" s="90">
        <f>AR71/AR44</f>
        <v/>
      </c>
      <c r="AS72" s="90">
        <f>AS71/AS44</f>
        <v/>
      </c>
      <c r="AT72" s="1113">
        <f>AT71/AT44</f>
        <v/>
      </c>
      <c r="AU72" s="90">
        <f>AU71/AU44</f>
        <v/>
      </c>
      <c r="AV72" s="90">
        <f>AV71/AV44</f>
        <v/>
      </c>
      <c r="AW72" s="90">
        <f>AW71/AW44</f>
        <v/>
      </c>
      <c r="AX72" s="90">
        <f>AX71/AX44</f>
        <v/>
      </c>
      <c r="AY72" s="1113">
        <f>AY71/AY44</f>
        <v/>
      </c>
      <c r="AZ72" s="90">
        <f>AZ71/AZ44</f>
        <v/>
      </c>
      <c r="BA72" s="90">
        <f>BA71/BA44</f>
        <v/>
      </c>
      <c r="BB72" s="90">
        <f>BB71/BB44</f>
        <v/>
      </c>
      <c r="BC72" s="90">
        <f>BC71/BC44</f>
        <v/>
      </c>
      <c r="BD72" s="1113">
        <f>BD71/BD44</f>
        <v/>
      </c>
      <c r="BE72" s="90">
        <f>BE71/BE44</f>
        <v/>
      </c>
      <c r="BF72" s="90">
        <f>BF71/BF44</f>
        <v/>
      </c>
      <c r="BG72" s="90">
        <f>BG71/BG44</f>
        <v/>
      </c>
      <c r="BH72" s="90">
        <f>BH71/BH44</f>
        <v/>
      </c>
      <c r="BI72" s="1113">
        <f>BI71/BI44</f>
        <v/>
      </c>
      <c r="BJ72" s="90">
        <f>BJ71/BJ44</f>
        <v/>
      </c>
      <c r="BK72" s="90">
        <f>BK71/BK44</f>
        <v/>
      </c>
      <c r="BL72" s="90">
        <f>BL71/BL44</f>
        <v/>
      </c>
      <c r="BM72" s="90">
        <f>BM71/BM44</f>
        <v/>
      </c>
      <c r="BN72" s="1113">
        <f>BN71/BN44</f>
        <v/>
      </c>
      <c r="BO72" s="90">
        <f>BO71/BO44</f>
        <v/>
      </c>
      <c r="BP72" s="90">
        <f>BP71/BP44</f>
        <v/>
      </c>
      <c r="BQ72" s="90">
        <f>BQ71/BQ44</f>
        <v/>
      </c>
      <c r="BR72" s="90">
        <f>BR71/BR44</f>
        <v/>
      </c>
      <c r="BS72" s="1113">
        <f>BS71/BS44</f>
        <v/>
      </c>
      <c r="BT72" s="90">
        <f>BT71/BT44</f>
        <v/>
      </c>
      <c r="BU72" s="90">
        <f>BU71/BU44</f>
        <v/>
      </c>
      <c r="BV72" s="880">
        <f>BV71/BV44</f>
        <v/>
      </c>
      <c r="BW72" s="1058" t="n">
        <v>0.001</v>
      </c>
      <c r="BX72" s="1113">
        <f>BX71/BX44</f>
        <v/>
      </c>
      <c r="BY72" s="1058" t="n">
        <v>0.001</v>
      </c>
      <c r="BZ72" s="1058" t="n">
        <v>0.001</v>
      </c>
      <c r="CA72" s="1058" t="n">
        <v>0.001</v>
      </c>
      <c r="CB72" s="1058" t="n">
        <v>0.001</v>
      </c>
      <c r="CC72" s="1113">
        <f>CC71/CC44</f>
        <v/>
      </c>
      <c r="CD72" s="1127" t="n">
        <v>0.001</v>
      </c>
      <c r="CE72" s="1127" t="n">
        <v>0.001</v>
      </c>
      <c r="CF72" s="1127" t="n">
        <v>0.001</v>
      </c>
      <c r="CG72" s="155" t="n"/>
    </row>
    <row r="73" hidden="1" outlineLevel="1">
      <c r="A73" s="812" t="inlineStr">
        <is>
          <t>Other R&amp;D, mm</t>
        </is>
      </c>
      <c r="B73" s="696" t="n"/>
      <c r="C73" s="1129">
        <f>C376</f>
        <v/>
      </c>
      <c r="D73" s="1129">
        <f>D376</f>
        <v/>
      </c>
      <c r="E73" s="1129">
        <f>E376</f>
        <v/>
      </c>
      <c r="F73" s="1129">
        <f>F376</f>
        <v/>
      </c>
      <c r="G73" s="983">
        <f>G376</f>
        <v/>
      </c>
      <c r="H73" s="983">
        <f>H376</f>
        <v/>
      </c>
      <c r="I73" s="983">
        <f>I376</f>
        <v/>
      </c>
      <c r="J73" s="983">
        <f>J376</f>
        <v/>
      </c>
      <c r="K73" s="1129">
        <f>K376</f>
        <v/>
      </c>
      <c r="L73" s="983">
        <f>L376</f>
        <v/>
      </c>
      <c r="M73" s="983">
        <f>M376</f>
        <v/>
      </c>
      <c r="N73" s="983">
        <f>N376</f>
        <v/>
      </c>
      <c r="O73" s="983">
        <f>O376</f>
        <v/>
      </c>
      <c r="P73" s="1129">
        <f>P376</f>
        <v/>
      </c>
      <c r="Q73" s="983">
        <f>Q376</f>
        <v/>
      </c>
      <c r="R73" s="983">
        <f>R376</f>
        <v/>
      </c>
      <c r="S73" s="983">
        <f>S376</f>
        <v/>
      </c>
      <c r="T73" s="983">
        <f>T376</f>
        <v/>
      </c>
      <c r="U73" s="1129">
        <f>U376</f>
        <v/>
      </c>
      <c r="V73" s="983">
        <f>V376</f>
        <v/>
      </c>
      <c r="W73" s="983">
        <f>W376</f>
        <v/>
      </c>
      <c r="X73" s="983">
        <f>X376</f>
        <v/>
      </c>
      <c r="Y73" s="983">
        <f>Y376</f>
        <v/>
      </c>
      <c r="Z73" s="1129">
        <f>Z376</f>
        <v/>
      </c>
      <c r="AA73" s="983">
        <f>AA376</f>
        <v/>
      </c>
      <c r="AB73" s="983">
        <f>AB376</f>
        <v/>
      </c>
      <c r="AC73" s="983">
        <f>AC376</f>
        <v/>
      </c>
      <c r="AD73" s="983">
        <f>AD376</f>
        <v/>
      </c>
      <c r="AE73" s="1129">
        <f>AE376</f>
        <v/>
      </c>
      <c r="AF73" s="983">
        <f>AF376</f>
        <v/>
      </c>
      <c r="AG73" s="983">
        <f>AG376</f>
        <v/>
      </c>
      <c r="AH73" s="983">
        <f>AH376</f>
        <v/>
      </c>
      <c r="AI73" s="983">
        <f>AI376</f>
        <v/>
      </c>
      <c r="AJ73" s="1129">
        <f>AJ376</f>
        <v/>
      </c>
      <c r="AK73" s="983">
        <f>AK376</f>
        <v/>
      </c>
      <c r="AL73" s="983">
        <f>AL376</f>
        <v/>
      </c>
      <c r="AM73" s="983">
        <f>AM376</f>
        <v/>
      </c>
      <c r="AN73" s="983">
        <f>AN376</f>
        <v/>
      </c>
      <c r="AO73" s="1129">
        <f>AO376</f>
        <v/>
      </c>
      <c r="AP73" s="983">
        <f>AP376</f>
        <v/>
      </c>
      <c r="AQ73" s="983">
        <f>AQ376</f>
        <v/>
      </c>
      <c r="AR73" s="983">
        <f>AR376</f>
        <v/>
      </c>
      <c r="AS73" s="983">
        <f>AS376</f>
        <v/>
      </c>
      <c r="AT73" s="1129">
        <f>AT376</f>
        <v/>
      </c>
      <c r="AU73" s="983">
        <f>AU376</f>
        <v/>
      </c>
      <c r="AV73" s="983">
        <f>AV376</f>
        <v/>
      </c>
      <c r="AW73" s="983">
        <f>AW376</f>
        <v/>
      </c>
      <c r="AX73" s="983">
        <f>AX376</f>
        <v/>
      </c>
      <c r="AY73" s="1129">
        <f>AY376</f>
        <v/>
      </c>
      <c r="AZ73" s="983">
        <f>AZ376</f>
        <v/>
      </c>
      <c r="BA73" s="983">
        <f>BA376</f>
        <v/>
      </c>
      <c r="BB73" s="983">
        <f>BB376</f>
        <v/>
      </c>
      <c r="BC73" s="983">
        <f>BC376</f>
        <v/>
      </c>
      <c r="BD73" s="1129">
        <f>BD376</f>
        <v/>
      </c>
      <c r="BE73" s="983">
        <f>BE376</f>
        <v/>
      </c>
      <c r="BF73" s="983">
        <f>BF376</f>
        <v/>
      </c>
      <c r="BG73" s="983">
        <f>BG376</f>
        <v/>
      </c>
      <c r="BH73" s="983">
        <f>BH376</f>
        <v/>
      </c>
      <c r="BI73" s="1129">
        <f>BI376</f>
        <v/>
      </c>
      <c r="BJ73" s="983">
        <f>BJ376</f>
        <v/>
      </c>
      <c r="BK73" s="983">
        <f>BK376</f>
        <v/>
      </c>
      <c r="BL73" s="983">
        <f>BL376</f>
        <v/>
      </c>
      <c r="BM73" s="983">
        <f>BM376</f>
        <v/>
      </c>
      <c r="BN73" s="1129">
        <f>BN376</f>
        <v/>
      </c>
      <c r="BO73" s="983">
        <f>BO376</f>
        <v/>
      </c>
      <c r="BP73" s="983">
        <f>BP376</f>
        <v/>
      </c>
      <c r="BQ73" s="983">
        <f>BQ376</f>
        <v/>
      </c>
      <c r="BR73" s="983">
        <f>BR376</f>
        <v/>
      </c>
      <c r="BS73" s="1129">
        <f>BS376</f>
        <v/>
      </c>
      <c r="BT73" s="983">
        <f>BT376</f>
        <v/>
      </c>
      <c r="BU73" s="983">
        <f>BU376</f>
        <v/>
      </c>
      <c r="BV73" s="984">
        <f>BV376</f>
        <v/>
      </c>
      <c r="BW73" s="1059" t="n">
        <v>0</v>
      </c>
      <c r="BX73" s="1129">
        <f>SUM(BT73,BU73,BV73,BW73)</f>
        <v/>
      </c>
      <c r="BY73" s="1059" t="n">
        <v>0</v>
      </c>
      <c r="BZ73" s="1059" t="n">
        <v>0</v>
      </c>
      <c r="CA73" s="1059" t="n">
        <v>0</v>
      </c>
      <c r="CB73" s="1059" t="n">
        <v>0</v>
      </c>
      <c r="CC73" s="1129">
        <f>SUM(BY73,BZ73,CA73,CB73)</f>
        <v/>
      </c>
      <c r="CD73" s="1130" t="n">
        <v>0</v>
      </c>
      <c r="CE73" s="1130" t="n">
        <v>0</v>
      </c>
      <c r="CF73" s="1130" t="n">
        <v>0</v>
      </c>
      <c r="CG73" s="155" t="n"/>
    </row>
    <row r="74" collapsed="1">
      <c r="A74" s="636" t="inlineStr">
        <is>
          <t>Non-GAAP R&amp;D Expense, mm</t>
        </is>
      </c>
      <c r="B74" s="598" t="n"/>
      <c r="C74" s="1110">
        <f>C64-C69-C71-C73</f>
        <v/>
      </c>
      <c r="D74" s="1110">
        <f>D64-D69-D71-D73</f>
        <v/>
      </c>
      <c r="E74" s="1110">
        <f>E64-E69-E71-E73</f>
        <v/>
      </c>
      <c r="F74" s="1110">
        <f>F64-F69-F71-F73</f>
        <v/>
      </c>
      <c r="G74" s="68">
        <f>G64-G69-G71-G73</f>
        <v/>
      </c>
      <c r="H74" s="68">
        <f>H64-H69-H71-H73</f>
        <v/>
      </c>
      <c r="I74" s="68">
        <f>I64-I69-I71-I73</f>
        <v/>
      </c>
      <c r="J74" s="68">
        <f>J64-J69-J71-J73</f>
        <v/>
      </c>
      <c r="K74" s="1110">
        <f>K64-K69-K71-K73</f>
        <v/>
      </c>
      <c r="L74" s="68">
        <f>L64-L69-L71-L73</f>
        <v/>
      </c>
      <c r="M74" s="68">
        <f>M64-M69-M71-M73</f>
        <v/>
      </c>
      <c r="N74" s="68">
        <f>N64-N69-N71-N73</f>
        <v/>
      </c>
      <c r="O74" s="68">
        <f>O64-O69-O71-O73</f>
        <v/>
      </c>
      <c r="P74" s="1110">
        <f>P64-P69-P71-P73</f>
        <v/>
      </c>
      <c r="Q74" s="68">
        <f>Q64-Q69-Q71-Q73</f>
        <v/>
      </c>
      <c r="R74" s="68">
        <f>R64-R69-R71-R73</f>
        <v/>
      </c>
      <c r="S74" s="68">
        <f>S64-S69-S71-S73</f>
        <v/>
      </c>
      <c r="T74" s="68">
        <f>T64-T69-T71-T73</f>
        <v/>
      </c>
      <c r="U74" s="1110">
        <f>U64-U69-U71-U73</f>
        <v/>
      </c>
      <c r="V74" s="68">
        <f>V64-V69-V71-V73</f>
        <v/>
      </c>
      <c r="W74" s="68">
        <f>W64-W69-W71-W73</f>
        <v/>
      </c>
      <c r="X74" s="68">
        <f>X64-X69-X71-X73</f>
        <v/>
      </c>
      <c r="Y74" s="68">
        <f>Y64-Y69-Y71-Y73</f>
        <v/>
      </c>
      <c r="Z74" s="1110">
        <f>Z64-Z69-Z71-Z73</f>
        <v/>
      </c>
      <c r="AA74" s="68">
        <f>AA64-AA69-AA71-AA73</f>
        <v/>
      </c>
      <c r="AB74" s="68">
        <f>AB64-AB69-AB71-AB73</f>
        <v/>
      </c>
      <c r="AC74" s="68">
        <f>AC64-AC69-AC71-AC73</f>
        <v/>
      </c>
      <c r="AD74" s="68">
        <f>AD64-AD69-AD71-AD73</f>
        <v/>
      </c>
      <c r="AE74" s="1110">
        <f>AE64-AE69-AE71-AE73</f>
        <v/>
      </c>
      <c r="AF74" s="68">
        <f>AF64-AF69-AF71-AF73</f>
        <v/>
      </c>
      <c r="AG74" s="68">
        <f>AG64-AG69-AG71-AG73</f>
        <v/>
      </c>
      <c r="AH74" s="68">
        <f>AH64-AH69-AH71-AH73</f>
        <v/>
      </c>
      <c r="AI74" s="68">
        <f>AI64-AI69-AI71-AI73</f>
        <v/>
      </c>
      <c r="AJ74" s="1110">
        <f>AJ64-AJ69-AJ71-AJ73</f>
        <v/>
      </c>
      <c r="AK74" s="68">
        <f>AK64-AK69-AK71-AK73</f>
        <v/>
      </c>
      <c r="AL74" s="68">
        <f>AL64-AL69-AL71-AL73</f>
        <v/>
      </c>
      <c r="AM74" s="68">
        <f>AM64-AM69-AM71-AM73</f>
        <v/>
      </c>
      <c r="AN74" s="68">
        <f>AN64-AN69-AN71-AN73</f>
        <v/>
      </c>
      <c r="AO74" s="1110">
        <f>AO64-AO69-AO71-AO73</f>
        <v/>
      </c>
      <c r="AP74" s="68">
        <f>AP64-AP69-AP71-AP73</f>
        <v/>
      </c>
      <c r="AQ74" s="68">
        <f>AQ64-AQ69-AQ71-AQ73</f>
        <v/>
      </c>
      <c r="AR74" s="68">
        <f>AR64-AR69-AR71-AR73</f>
        <v/>
      </c>
      <c r="AS74" s="68">
        <f>AS64-AS69-AS71-AS73</f>
        <v/>
      </c>
      <c r="AT74" s="1110">
        <f>AT64-AT69-AT71-AT73</f>
        <v/>
      </c>
      <c r="AU74" s="68">
        <f>AU64-AU69-AU71-AU73</f>
        <v/>
      </c>
      <c r="AV74" s="68">
        <f>AV64-AV69-AV71-AV73</f>
        <v/>
      </c>
      <c r="AW74" s="68">
        <f>AW64-AW69-AW71-AW73</f>
        <v/>
      </c>
      <c r="AX74" s="68">
        <f>AX64-AX69-AX71-AX73</f>
        <v/>
      </c>
      <c r="AY74" s="1110">
        <f>AY64-AY69-AY71-AY73</f>
        <v/>
      </c>
      <c r="AZ74" s="68">
        <f>AZ64-AZ69-AZ71-AZ73</f>
        <v/>
      </c>
      <c r="BA74" s="68">
        <f>BA64-BA69-BA71-BA73</f>
        <v/>
      </c>
      <c r="BB74" s="68">
        <f>BB64-BB69-BB71-BB73</f>
        <v/>
      </c>
      <c r="BC74" s="68">
        <f>BC64-BC69-BC71-BC73</f>
        <v/>
      </c>
      <c r="BD74" s="1110">
        <f>BD64-BD69-BD71-BD73</f>
        <v/>
      </c>
      <c r="BE74" s="68">
        <f>BE64-BE69-BE71-BE73</f>
        <v/>
      </c>
      <c r="BF74" s="68">
        <f>BF64-BF69-BF71-BF73</f>
        <v/>
      </c>
      <c r="BG74" s="68">
        <f>BG64-BG69-BG71-BG73</f>
        <v/>
      </c>
      <c r="BH74" s="68">
        <f>BH64-BH69-BH71-BH73</f>
        <v/>
      </c>
      <c r="BI74" s="1110">
        <f>BI64-BI69-BI71-BI73</f>
        <v/>
      </c>
      <c r="BJ74" s="68">
        <f>BJ64-BJ69-BJ71-BJ73</f>
        <v/>
      </c>
      <c r="BK74" s="68">
        <f>BK64-BK69-BK71-BK73</f>
        <v/>
      </c>
      <c r="BL74" s="68">
        <f>BL64-BL69-BL71-BL73</f>
        <v/>
      </c>
      <c r="BM74" s="68">
        <f>BM64-BM69-BM71-BM73</f>
        <v/>
      </c>
      <c r="BN74" s="1110">
        <f>BN64-BN69-BN71-BN73</f>
        <v/>
      </c>
      <c r="BO74" s="68">
        <f>BO64-BO69-BO71-BO73</f>
        <v/>
      </c>
      <c r="BP74" s="68">
        <f>BP64-BP69-BP71-BP73</f>
        <v/>
      </c>
      <c r="BQ74" s="68">
        <f>BQ64-BQ69-BQ71-BQ73</f>
        <v/>
      </c>
      <c r="BR74" s="68">
        <f>BR64-BR69-BR71-BR73</f>
        <v/>
      </c>
      <c r="BS74" s="1110">
        <f>BS64-BS69-BS71-BS73</f>
        <v/>
      </c>
      <c r="BT74" s="68">
        <f>BT64-BT69-BT71-BT73</f>
        <v/>
      </c>
      <c r="BU74" s="68">
        <f>BU64-BU69-BU71-BU73</f>
        <v/>
      </c>
      <c r="BV74" s="588">
        <f>BV64-BV69-BV71-BV73</f>
        <v/>
      </c>
      <c r="BW74" s="68">
        <f>BW44*BW76</f>
        <v/>
      </c>
      <c r="BX74" s="1110">
        <f>SUM(BT74,BU74,BV74,BW74)</f>
        <v/>
      </c>
      <c r="BY74" s="68">
        <f>BY44*BY76</f>
        <v/>
      </c>
      <c r="BZ74" s="68">
        <f>BZ44*BZ76</f>
        <v/>
      </c>
      <c r="CA74" s="68">
        <f>CA44*CA76</f>
        <v/>
      </c>
      <c r="CB74" s="68">
        <f>CB44*CB76</f>
        <v/>
      </c>
      <c r="CC74" s="1110">
        <f>SUM(BY74,BZ74,CA74,CB74)</f>
        <v/>
      </c>
      <c r="CD74" s="1110">
        <f>CD44*CD76</f>
        <v/>
      </c>
      <c r="CE74" s="1110">
        <f>CE44*CE76</f>
        <v/>
      </c>
      <c r="CF74" s="1110">
        <f>CF44*CF76</f>
        <v/>
      </c>
      <c r="CG74" s="155" t="n"/>
    </row>
    <row r="75">
      <c r="A75" s="371" t="inlineStr">
        <is>
          <t>Y/Y Growth in non-GAAP R&amp;D Expense, %</t>
        </is>
      </c>
      <c r="B75" s="582" t="n"/>
      <c r="C75" s="1113" t="n"/>
      <c r="D75" s="1113">
        <f>D74/C74-1</f>
        <v/>
      </c>
      <c r="E75" s="1113">
        <f>E74/D74-1</f>
        <v/>
      </c>
      <c r="F75" s="1113">
        <f>F74/E74-1</f>
        <v/>
      </c>
      <c r="G75" s="90" t="n"/>
      <c r="H75" s="90" t="n"/>
      <c r="I75" s="90" t="n"/>
      <c r="J75" s="90" t="n"/>
      <c r="K75" s="1113">
        <f>K74/F74-1</f>
        <v/>
      </c>
      <c r="L75" s="90">
        <f>L74/G74-1</f>
        <v/>
      </c>
      <c r="M75" s="90">
        <f>M74/H74-1</f>
        <v/>
      </c>
      <c r="N75" s="90">
        <f>N74/I74-1</f>
        <v/>
      </c>
      <c r="O75" s="90">
        <f>O74/J74-1</f>
        <v/>
      </c>
      <c r="P75" s="1113">
        <f>P74/K74-1</f>
        <v/>
      </c>
      <c r="Q75" s="90">
        <f>Q74/L74-1</f>
        <v/>
      </c>
      <c r="R75" s="90">
        <f>R74/M74-1</f>
        <v/>
      </c>
      <c r="S75" s="90">
        <f>S74/N74-1</f>
        <v/>
      </c>
      <c r="T75" s="90">
        <f>T74/O74-1</f>
        <v/>
      </c>
      <c r="U75" s="1113">
        <f>U74/P74-1</f>
        <v/>
      </c>
      <c r="V75" s="90">
        <f>V74/Q74-1</f>
        <v/>
      </c>
      <c r="W75" s="90">
        <f>W74/R74-1</f>
        <v/>
      </c>
      <c r="X75" s="90">
        <f>X74/S74-1</f>
        <v/>
      </c>
      <c r="Y75" s="90">
        <f>Y74/T74-1</f>
        <v/>
      </c>
      <c r="Z75" s="1113">
        <f>Z74/U74-1</f>
        <v/>
      </c>
      <c r="AA75" s="90">
        <f>AA74/V74-1</f>
        <v/>
      </c>
      <c r="AB75" s="90">
        <f>AB74/W74-1</f>
        <v/>
      </c>
      <c r="AC75" s="90">
        <f>AC74/X74-1</f>
        <v/>
      </c>
      <c r="AD75" s="90">
        <f>AD74/Y74-1</f>
        <v/>
      </c>
      <c r="AE75" s="1113">
        <f>AE74/Z74-1</f>
        <v/>
      </c>
      <c r="AF75" s="90">
        <f>AF74/AA74-1</f>
        <v/>
      </c>
      <c r="AG75" s="90">
        <f>AG74/AB74-1</f>
        <v/>
      </c>
      <c r="AH75" s="90">
        <f>AH74/AC74-1</f>
        <v/>
      </c>
      <c r="AI75" s="90">
        <f>AI74/AD74-1</f>
        <v/>
      </c>
      <c r="AJ75" s="1113">
        <f>AJ74/AE74-1</f>
        <v/>
      </c>
      <c r="AK75" s="90">
        <f>AK74/AF74-1</f>
        <v/>
      </c>
      <c r="AL75" s="90">
        <f>AL74/AG74-1</f>
        <v/>
      </c>
      <c r="AM75" s="90">
        <f>AM74/AH74-1</f>
        <v/>
      </c>
      <c r="AN75" s="90">
        <f>AN74/AI74-1</f>
        <v/>
      </c>
      <c r="AO75" s="1113">
        <f>AO74/AJ74-1</f>
        <v/>
      </c>
      <c r="AP75" s="90">
        <f>AP74/AK74-1</f>
        <v/>
      </c>
      <c r="AQ75" s="90">
        <f>AQ74/AL74-1</f>
        <v/>
      </c>
      <c r="AR75" s="90">
        <f>AR74/AM74-1</f>
        <v/>
      </c>
      <c r="AS75" s="90">
        <f>AS74/AN74-1</f>
        <v/>
      </c>
      <c r="AT75" s="1113">
        <f>AT74/AO74-1</f>
        <v/>
      </c>
      <c r="AU75" s="90">
        <f>AU74/AP74-1</f>
        <v/>
      </c>
      <c r="AV75" s="90">
        <f>AV74/AQ74-1</f>
        <v/>
      </c>
      <c r="AW75" s="90">
        <f>AW74/AR74-1</f>
        <v/>
      </c>
      <c r="AX75" s="90">
        <f>AX74/AS74-1</f>
        <v/>
      </c>
      <c r="AY75" s="1113">
        <f>AY74/AT74-1</f>
        <v/>
      </c>
      <c r="AZ75" s="90">
        <f>AZ74/AU74-1</f>
        <v/>
      </c>
      <c r="BA75" s="90">
        <f>BA74/AV74-1</f>
        <v/>
      </c>
      <c r="BB75" s="90">
        <f>BB74/AW74-1</f>
        <v/>
      </c>
      <c r="BC75" s="90">
        <f>BC74/AX74-1</f>
        <v/>
      </c>
      <c r="BD75" s="1113">
        <f>BD74/AY74-1</f>
        <v/>
      </c>
      <c r="BE75" s="90">
        <f>BE74/AZ74-1</f>
        <v/>
      </c>
      <c r="BF75" s="90">
        <f>BF74/BA74-1</f>
        <v/>
      </c>
      <c r="BG75" s="90">
        <f>BG74/BB74-1</f>
        <v/>
      </c>
      <c r="BH75" s="90">
        <f>BH74/BC74-1</f>
        <v/>
      </c>
      <c r="BI75" s="1113">
        <f>BI74/BD74-1</f>
        <v/>
      </c>
      <c r="BJ75" s="90">
        <f>BJ74/BE74-1</f>
        <v/>
      </c>
      <c r="BK75" s="90">
        <f>BK74/BF74-1</f>
        <v/>
      </c>
      <c r="BL75" s="90">
        <f>BL74/BG74-1</f>
        <v/>
      </c>
      <c r="BM75" s="90">
        <f>BM74/BH74-1</f>
        <v/>
      </c>
      <c r="BN75" s="1113">
        <f>BN74/BI74-1</f>
        <v/>
      </c>
      <c r="BO75" s="90">
        <f>BO74/BJ74-1</f>
        <v/>
      </c>
      <c r="BP75" s="90">
        <f>BP74/BK74-1</f>
        <v/>
      </c>
      <c r="BQ75" s="90">
        <f>BQ74/BL74-1</f>
        <v/>
      </c>
      <c r="BR75" s="90">
        <f>BR74/BM74-1</f>
        <v/>
      </c>
      <c r="BS75" s="1113">
        <f>BS74/BN74-1</f>
        <v/>
      </c>
      <c r="BT75" s="90">
        <f>BT74/BO74-1</f>
        <v/>
      </c>
      <c r="BU75" s="90">
        <f>BU74/BP74-1</f>
        <v/>
      </c>
      <c r="BV75" s="880">
        <f>BV74/BQ74-1</f>
        <v/>
      </c>
      <c r="BW75" s="90">
        <f>BW74/BR74-1</f>
        <v/>
      </c>
      <c r="BX75" s="1113">
        <f>BX74/BS74-1</f>
        <v/>
      </c>
      <c r="BY75" s="90">
        <f>BY74/BT74-1</f>
        <v/>
      </c>
      <c r="BZ75" s="90">
        <f>BZ74/BU74-1</f>
        <v/>
      </c>
      <c r="CA75" s="90">
        <f>CA74/BV74-1</f>
        <v/>
      </c>
      <c r="CB75" s="90">
        <f>CB74/BW74-1</f>
        <v/>
      </c>
      <c r="CC75" s="1113">
        <f>CC74/BX74-1</f>
        <v/>
      </c>
      <c r="CD75" s="1113">
        <f>CD74/CC74-1</f>
        <v/>
      </c>
      <c r="CE75" s="1113">
        <f>CE74/CD74-1</f>
        <v/>
      </c>
      <c r="CF75" s="1113">
        <f>CF74/CE74-1</f>
        <v/>
      </c>
      <c r="CG75" s="155" t="n"/>
    </row>
    <row r="76">
      <c r="A76" s="621" t="inlineStr">
        <is>
          <t>Non-GAAP R&amp;D Margin, %</t>
        </is>
      </c>
      <c r="B76" s="202" t="n"/>
      <c r="C76" s="1126">
        <f>C74/C44</f>
        <v/>
      </c>
      <c r="D76" s="1126">
        <f>D74/D44</f>
        <v/>
      </c>
      <c r="E76" s="1126">
        <f>E74/E44</f>
        <v/>
      </c>
      <c r="F76" s="1126">
        <f>F74/F44</f>
        <v/>
      </c>
      <c r="G76" s="315">
        <f>G74/G44</f>
        <v/>
      </c>
      <c r="H76" s="315">
        <f>H74/H44</f>
        <v/>
      </c>
      <c r="I76" s="315">
        <f>I74/I44</f>
        <v/>
      </c>
      <c r="J76" s="315">
        <f>J74/J44</f>
        <v/>
      </c>
      <c r="K76" s="1126">
        <f>K74/K44</f>
        <v/>
      </c>
      <c r="L76" s="315">
        <f>L74/L44</f>
        <v/>
      </c>
      <c r="M76" s="315">
        <f>M74/M44</f>
        <v/>
      </c>
      <c r="N76" s="315">
        <f>N74/N44</f>
        <v/>
      </c>
      <c r="O76" s="315">
        <f>O74/O44</f>
        <v/>
      </c>
      <c r="P76" s="1126">
        <f>P74/P44</f>
        <v/>
      </c>
      <c r="Q76" s="315">
        <f>Q74/Q44</f>
        <v/>
      </c>
      <c r="R76" s="315">
        <f>R74/R44</f>
        <v/>
      </c>
      <c r="S76" s="315">
        <f>S74/S44</f>
        <v/>
      </c>
      <c r="T76" s="315">
        <f>T74/T44</f>
        <v/>
      </c>
      <c r="U76" s="1126">
        <f>U74/U44</f>
        <v/>
      </c>
      <c r="V76" s="315">
        <f>V74/V44</f>
        <v/>
      </c>
      <c r="W76" s="315">
        <f>W74/W44</f>
        <v/>
      </c>
      <c r="X76" s="315">
        <f>X74/X44</f>
        <v/>
      </c>
      <c r="Y76" s="315">
        <f>Y74/Y44</f>
        <v/>
      </c>
      <c r="Z76" s="1126">
        <f>Z74/Z44</f>
        <v/>
      </c>
      <c r="AA76" s="315">
        <f>AA74/AA44</f>
        <v/>
      </c>
      <c r="AB76" s="315">
        <f>AB74/AB44</f>
        <v/>
      </c>
      <c r="AC76" s="315">
        <f>AC74/AC44</f>
        <v/>
      </c>
      <c r="AD76" s="315">
        <f>AD74/AD44</f>
        <v/>
      </c>
      <c r="AE76" s="1126">
        <f>AE74/AE44</f>
        <v/>
      </c>
      <c r="AF76" s="315">
        <f>AF74/AF44</f>
        <v/>
      </c>
      <c r="AG76" s="315">
        <f>AG74/AG44</f>
        <v/>
      </c>
      <c r="AH76" s="315">
        <f>AH74/AH44</f>
        <v/>
      </c>
      <c r="AI76" s="315">
        <f>AI74/AI44</f>
        <v/>
      </c>
      <c r="AJ76" s="1126">
        <f>AJ74/AJ44</f>
        <v/>
      </c>
      <c r="AK76" s="315">
        <f>AK74/AK44</f>
        <v/>
      </c>
      <c r="AL76" s="315">
        <f>AL74/AL44</f>
        <v/>
      </c>
      <c r="AM76" s="315">
        <f>AM74/AM44</f>
        <v/>
      </c>
      <c r="AN76" s="315">
        <f>AN74/AN44</f>
        <v/>
      </c>
      <c r="AO76" s="1126">
        <f>AO74/AO44</f>
        <v/>
      </c>
      <c r="AP76" s="315">
        <f>AP74/AP44</f>
        <v/>
      </c>
      <c r="AQ76" s="315">
        <f>AQ74/AQ44</f>
        <v/>
      </c>
      <c r="AR76" s="315">
        <f>AR74/AR44</f>
        <v/>
      </c>
      <c r="AS76" s="315">
        <f>AS74/AS44</f>
        <v/>
      </c>
      <c r="AT76" s="1126">
        <f>AT74/AT44</f>
        <v/>
      </c>
      <c r="AU76" s="315">
        <f>AU74/AU44</f>
        <v/>
      </c>
      <c r="AV76" s="315">
        <f>AV74/AV44</f>
        <v/>
      </c>
      <c r="AW76" s="315">
        <f>AW74/AW44</f>
        <v/>
      </c>
      <c r="AX76" s="315">
        <f>AX74/AX44</f>
        <v/>
      </c>
      <c r="AY76" s="1126">
        <f>AY74/AY44</f>
        <v/>
      </c>
      <c r="AZ76" s="315">
        <f>AZ74/AZ44</f>
        <v/>
      </c>
      <c r="BA76" s="315">
        <f>BA74/BA44</f>
        <v/>
      </c>
      <c r="BB76" s="315">
        <f>BB74/BB44</f>
        <v/>
      </c>
      <c r="BC76" s="315">
        <f>BC74/BC44</f>
        <v/>
      </c>
      <c r="BD76" s="1126">
        <f>BD74/BD44</f>
        <v/>
      </c>
      <c r="BE76" s="315">
        <f>BE74/BE44</f>
        <v/>
      </c>
      <c r="BF76" s="315">
        <f>BF74/BF44</f>
        <v/>
      </c>
      <c r="BG76" s="315">
        <f>BG74/BG44</f>
        <v/>
      </c>
      <c r="BH76" s="315">
        <f>BH74/BH44</f>
        <v/>
      </c>
      <c r="BI76" s="1126">
        <f>BI74/BI44</f>
        <v/>
      </c>
      <c r="BJ76" s="315">
        <f>BJ74/BJ44</f>
        <v/>
      </c>
      <c r="BK76" s="315">
        <f>BK74/BK44</f>
        <v/>
      </c>
      <c r="BL76" s="315">
        <f>BL74/BL44</f>
        <v/>
      </c>
      <c r="BM76" s="315">
        <f>BM74/BM44</f>
        <v/>
      </c>
      <c r="BN76" s="1126">
        <f>BN74/BN44</f>
        <v/>
      </c>
      <c r="BO76" s="315">
        <f>BO74/BO44</f>
        <v/>
      </c>
      <c r="BP76" s="315">
        <f>BP74/BP44</f>
        <v/>
      </c>
      <c r="BQ76" s="315">
        <f>BQ74/BQ44</f>
        <v/>
      </c>
      <c r="BR76" s="315">
        <f>BR74/BR44</f>
        <v/>
      </c>
      <c r="BS76" s="1126">
        <f>BS74/BS44</f>
        <v/>
      </c>
      <c r="BT76" s="315">
        <f>BT74/BT44</f>
        <v/>
      </c>
      <c r="BU76" s="315">
        <f>BU74/BU44</f>
        <v/>
      </c>
      <c r="BV76" s="885">
        <f>BV74/BV44</f>
        <v/>
      </c>
      <c r="BW76" s="315">
        <f>BR76-BW77/10000</f>
        <v/>
      </c>
      <c r="BX76" s="1126">
        <f>BX74/BX44</f>
        <v/>
      </c>
      <c r="BY76" s="315">
        <f>BT76-BY77/10000</f>
        <v/>
      </c>
      <c r="BZ76" s="315">
        <f>BU76-BZ77/10000</f>
        <v/>
      </c>
      <c r="CA76" s="315">
        <f>BV76-CA77/10000</f>
        <v/>
      </c>
      <c r="CB76" s="315">
        <f>BW76-CB77/10000</f>
        <v/>
      </c>
      <c r="CC76" s="1126">
        <f>CC74/CC44</f>
        <v/>
      </c>
      <c r="CD76" s="1126">
        <f>CC76-CD77/10000</f>
        <v/>
      </c>
      <c r="CE76" s="1126">
        <f>CD76-CE77/10000</f>
        <v/>
      </c>
      <c r="CF76" s="1126">
        <f>CE76-CF77/10000</f>
        <v/>
      </c>
      <c r="CG76" s="155" t="n"/>
    </row>
    <row r="77">
      <c r="A77" s="99" t="inlineStr">
        <is>
          <t>Y/Y Improvement in Non-GAAP R&amp;D Margin, bps</t>
        </is>
      </c>
      <c r="B77" s="598" t="n"/>
      <c r="C77" s="1110" t="n"/>
      <c r="D77" s="1110">
        <f>-(D76-C76)*10000</f>
        <v/>
      </c>
      <c r="E77" s="1110">
        <f>-(E76-D76)*10000</f>
        <v/>
      </c>
      <c r="F77" s="1110">
        <f>-(F76-E76)*10000</f>
        <v/>
      </c>
      <c r="G77" s="68" t="n"/>
      <c r="H77" s="68" t="n"/>
      <c r="I77" s="68" t="n"/>
      <c r="J77" s="68" t="n"/>
      <c r="K77" s="1110">
        <f>-(K76-F76)*10000</f>
        <v/>
      </c>
      <c r="L77" s="68">
        <f>-(L76-G76)*10000</f>
        <v/>
      </c>
      <c r="M77" s="68">
        <f>-(M76-H76)*10000</f>
        <v/>
      </c>
      <c r="N77" s="68">
        <f>-(N76-I76)*10000</f>
        <v/>
      </c>
      <c r="O77" s="68">
        <f>-(O76-J76)*10000</f>
        <v/>
      </c>
      <c r="P77" s="1110">
        <f>-(P76-K76)*10000</f>
        <v/>
      </c>
      <c r="Q77" s="68">
        <f>-(Q76-L76)*10000</f>
        <v/>
      </c>
      <c r="R77" s="68">
        <f>-(R76-M76)*10000</f>
        <v/>
      </c>
      <c r="S77" s="68">
        <f>-(S76-N76)*10000</f>
        <v/>
      </c>
      <c r="T77" s="68">
        <f>-(T76-O76)*10000</f>
        <v/>
      </c>
      <c r="U77" s="1110">
        <f>-(U76-P76)*10000</f>
        <v/>
      </c>
      <c r="V77" s="68">
        <f>-(V76-Q76)*10000</f>
        <v/>
      </c>
      <c r="W77" s="68">
        <f>-(W76-R76)*10000</f>
        <v/>
      </c>
      <c r="X77" s="68">
        <f>-(X76-S76)*10000</f>
        <v/>
      </c>
      <c r="Y77" s="68">
        <f>-(Y76-T76)*10000</f>
        <v/>
      </c>
      <c r="Z77" s="1110">
        <f>-(Z76-U76)*10000</f>
        <v/>
      </c>
      <c r="AA77" s="68">
        <f>-(AA76-V76)*10000</f>
        <v/>
      </c>
      <c r="AB77" s="68">
        <f>-(AB76-W76)*10000</f>
        <v/>
      </c>
      <c r="AC77" s="68">
        <f>-(AC76-X76)*10000</f>
        <v/>
      </c>
      <c r="AD77" s="68">
        <f>-(AD76-Y76)*10000</f>
        <v/>
      </c>
      <c r="AE77" s="1110">
        <f>-(AE76-Z76)*10000</f>
        <v/>
      </c>
      <c r="AF77" s="68">
        <f>-(AF76-AA76)*10000</f>
        <v/>
      </c>
      <c r="AG77" s="68">
        <f>-(AG76-AB76)*10000</f>
        <v/>
      </c>
      <c r="AH77" s="68">
        <f>-(AH76-AC76)*10000</f>
        <v/>
      </c>
      <c r="AI77" s="68">
        <f>-(AI76-AD76)*10000</f>
        <v/>
      </c>
      <c r="AJ77" s="1110">
        <f>-(AJ76-AE76)*10000</f>
        <v/>
      </c>
      <c r="AK77" s="68">
        <f>-(AK76-AF76)*10000</f>
        <v/>
      </c>
      <c r="AL77" s="68">
        <f>-(AL76-AG76)*10000</f>
        <v/>
      </c>
      <c r="AM77" s="68">
        <f>-(AM76-AH76)*10000</f>
        <v/>
      </c>
      <c r="AN77" s="68">
        <f>-(AN76-AI76)*10000</f>
        <v/>
      </c>
      <c r="AO77" s="1110">
        <f>-(AO76-AJ76)*10000</f>
        <v/>
      </c>
      <c r="AP77" s="68">
        <f>-(AP76-AK76)*10000</f>
        <v/>
      </c>
      <c r="AQ77" s="68">
        <f>-(AQ76-AL76)*10000</f>
        <v/>
      </c>
      <c r="AR77" s="68">
        <f>-(AR76-AM76)*10000</f>
        <v/>
      </c>
      <c r="AS77" s="68">
        <f>-(AS76-AN76)*10000</f>
        <v/>
      </c>
      <c r="AT77" s="1110">
        <f>-(AT76-AO76)*10000</f>
        <v/>
      </c>
      <c r="AU77" s="68">
        <f>-(AU76-AP76)*10000</f>
        <v/>
      </c>
      <c r="AV77" s="68">
        <f>-(AV76-AQ76)*10000</f>
        <v/>
      </c>
      <c r="AW77" s="68">
        <f>-(AW76-AR76)*10000</f>
        <v/>
      </c>
      <c r="AX77" s="68">
        <f>-(AX76-AS76)*10000</f>
        <v/>
      </c>
      <c r="AY77" s="1110">
        <f>-(AY76-AT76)*10000</f>
        <v/>
      </c>
      <c r="AZ77" s="68">
        <f>-(AZ76-AU76)*10000</f>
        <v/>
      </c>
      <c r="BA77" s="68">
        <f>-(BA76-AV76)*10000</f>
        <v/>
      </c>
      <c r="BB77" s="68">
        <f>-(BB76-AW76)*10000</f>
        <v/>
      </c>
      <c r="BC77" s="68">
        <f>-(BC76-AX76)*10000</f>
        <v/>
      </c>
      <c r="BD77" s="1110">
        <f>-(BD76-AY76)*10000</f>
        <v/>
      </c>
      <c r="BE77" s="68">
        <f>-(BE76-AZ76)*10000</f>
        <v/>
      </c>
      <c r="BF77" s="68">
        <f>-(BF76-BA76)*10000</f>
        <v/>
      </c>
      <c r="BG77" s="68">
        <f>-(BG76-BB76)*10000</f>
        <v/>
      </c>
      <c r="BH77" s="68">
        <f>-(BH76-BC76)*10000</f>
        <v/>
      </c>
      <c r="BI77" s="1110">
        <f>-(BI76-BD76)*10000</f>
        <v/>
      </c>
      <c r="BJ77" s="68">
        <f>-(BJ76-BE76)*10000</f>
        <v/>
      </c>
      <c r="BK77" s="68">
        <f>-(BK76-BF76)*10000</f>
        <v/>
      </c>
      <c r="BL77" s="68">
        <f>-(BL76-BG76)*10000</f>
        <v/>
      </c>
      <c r="BM77" s="68">
        <f>-(BM76-BH76)*10000</f>
        <v/>
      </c>
      <c r="BN77" s="1110">
        <f>-(BN76-BI76)*10000</f>
        <v/>
      </c>
      <c r="BO77" s="68">
        <f>-(BO76-BJ76)*10000</f>
        <v/>
      </c>
      <c r="BP77" s="68">
        <f>-(BP76-BK76)*10000</f>
        <v/>
      </c>
      <c r="BQ77" s="68">
        <f>-(BQ76-BL76)*10000</f>
        <v/>
      </c>
      <c r="BR77" s="68">
        <f>-(BR76-BM76)*10000</f>
        <v/>
      </c>
      <c r="BS77" s="1110">
        <f>-(BS76-BN76)*10000</f>
        <v/>
      </c>
      <c r="BT77" s="68">
        <f>-(BT76-BO76)*10000</f>
        <v/>
      </c>
      <c r="BU77" s="68">
        <f>-(BU76-BP76)*10000</f>
        <v/>
      </c>
      <c r="BV77" s="588">
        <f>-(BV76-BQ76)*10000</f>
        <v/>
      </c>
      <c r="BW77" s="1053" t="n">
        <v>60</v>
      </c>
      <c r="BX77" s="1110">
        <f>-(BX76-BS76)*10000</f>
        <v/>
      </c>
      <c r="BY77" s="1053" t="n">
        <v>0</v>
      </c>
      <c r="BZ77" s="1053" t="n">
        <v>0</v>
      </c>
      <c r="CA77" s="1053" t="n">
        <v>0</v>
      </c>
      <c r="CB77" s="1053" t="n">
        <v>0</v>
      </c>
      <c r="CC77" s="1110">
        <f>-(CC76-BX76)*10000</f>
        <v/>
      </c>
      <c r="CD77" s="1111" t="n">
        <v>0</v>
      </c>
      <c r="CE77" s="1111" t="n">
        <v>0</v>
      </c>
      <c r="CF77" s="1111" t="n">
        <v>0</v>
      </c>
      <c r="CG77" s="155" t="n"/>
    </row>
    <row r="78">
      <c r="A78" s="600" t="n"/>
      <c r="B78" s="601" t="n"/>
      <c r="C78" s="1125" t="n"/>
      <c r="D78" s="1125" t="n"/>
      <c r="E78" s="1125" t="n"/>
      <c r="F78" s="1125" t="n"/>
      <c r="G78" s="63" t="n"/>
      <c r="H78" s="63" t="n"/>
      <c r="I78" s="63" t="n"/>
      <c r="J78" s="63" t="n"/>
      <c r="K78" s="1125" t="n"/>
      <c r="L78" s="63" t="n"/>
      <c r="M78" s="63" t="n"/>
      <c r="N78" s="63" t="n"/>
      <c r="O78" s="63" t="n"/>
      <c r="P78" s="1125" t="n"/>
      <c r="Q78" s="63" t="n"/>
      <c r="R78" s="63" t="n"/>
      <c r="S78" s="63" t="n"/>
      <c r="T78" s="63" t="n"/>
      <c r="U78" s="1125" t="n"/>
      <c r="V78" s="63" t="n"/>
      <c r="W78" s="63" t="n"/>
      <c r="X78" s="63" t="n"/>
      <c r="Y78" s="63" t="n"/>
      <c r="Z78" s="1125" t="n"/>
      <c r="AA78" s="63" t="n"/>
      <c r="AB78" s="63" t="n"/>
      <c r="AC78" s="63" t="n"/>
      <c r="AD78" s="63" t="n"/>
      <c r="AE78" s="1125" t="n"/>
      <c r="AF78" s="63" t="n"/>
      <c r="AG78" s="63" t="n"/>
      <c r="AH78" s="63" t="n"/>
      <c r="AI78" s="63" t="n"/>
      <c r="AJ78" s="1125" t="n"/>
      <c r="AK78" s="63" t="n"/>
      <c r="AL78" s="63" t="n"/>
      <c r="AM78" s="63" t="n"/>
      <c r="AN78" s="63" t="n"/>
      <c r="AO78" s="1125" t="n"/>
      <c r="AP78" s="63" t="n"/>
      <c r="AQ78" s="63" t="n"/>
      <c r="AR78" s="63" t="n"/>
      <c r="AS78" s="63" t="n"/>
      <c r="AT78" s="1125" t="n"/>
      <c r="AU78" s="63" t="n"/>
      <c r="AV78" s="63" t="n"/>
      <c r="AW78" s="63" t="n"/>
      <c r="AX78" s="63" t="n"/>
      <c r="AY78" s="1125" t="n"/>
      <c r="AZ78" s="63" t="n"/>
      <c r="BA78" s="63" t="n"/>
      <c r="BB78" s="63" t="n"/>
      <c r="BC78" s="63" t="n"/>
      <c r="BD78" s="1125" t="n"/>
      <c r="BE78" s="63" t="n"/>
      <c r="BF78" s="63" t="n"/>
      <c r="BG78" s="63" t="n"/>
      <c r="BH78" s="63" t="n"/>
      <c r="BI78" s="1125" t="n"/>
      <c r="BJ78" s="63" t="n"/>
      <c r="BK78" s="63" t="n"/>
      <c r="BL78" s="63" t="n"/>
      <c r="BM78" s="63" t="n"/>
      <c r="BN78" s="1125" t="n"/>
      <c r="BO78" s="63" t="n"/>
      <c r="BP78" s="63" t="n"/>
      <c r="BQ78" s="63" t="n"/>
      <c r="BR78" s="63" t="n"/>
      <c r="BS78" s="1125" t="n"/>
      <c r="BT78" s="63" t="n"/>
      <c r="BU78" s="63" t="n"/>
      <c r="BV78" s="587" t="n"/>
      <c r="BW78" s="63" t="n"/>
      <c r="BX78" s="1125" t="n"/>
      <c r="BY78" s="63" t="n"/>
      <c r="BZ78" s="63" t="n"/>
      <c r="CA78" s="63" t="n"/>
      <c r="CB78" s="63" t="n"/>
      <c r="CC78" s="1125" t="n"/>
      <c r="CD78" s="1125" t="n"/>
      <c r="CE78" s="1125" t="n"/>
      <c r="CF78" s="1125" t="n"/>
      <c r="CG78" s="155" t="n"/>
    </row>
    <row r="79" hidden="1" outlineLevel="1">
      <c r="A79" s="636" t="inlineStr">
        <is>
          <t>GAAP SG&amp;A Expense, mm</t>
        </is>
      </c>
      <c r="B79" s="598" t="n"/>
      <c r="C79" s="1110">
        <f>C378</f>
        <v/>
      </c>
      <c r="D79" s="1110">
        <f>D378</f>
        <v/>
      </c>
      <c r="E79" s="1110">
        <f>E378</f>
        <v/>
      </c>
      <c r="F79" s="1110">
        <f>F378</f>
        <v/>
      </c>
      <c r="G79" s="68">
        <f>G378</f>
        <v/>
      </c>
      <c r="H79" s="68">
        <f>H378</f>
        <v/>
      </c>
      <c r="I79" s="68">
        <f>I378</f>
        <v/>
      </c>
      <c r="J79" s="68">
        <f>J378</f>
        <v/>
      </c>
      <c r="K79" s="1110">
        <f>K378</f>
        <v/>
      </c>
      <c r="L79" s="68">
        <f>L378</f>
        <v/>
      </c>
      <c r="M79" s="68">
        <f>M378</f>
        <v/>
      </c>
      <c r="N79" s="68">
        <f>N378</f>
        <v/>
      </c>
      <c r="O79" s="68">
        <f>O378</f>
        <v/>
      </c>
      <c r="P79" s="1110">
        <f>P378</f>
        <v/>
      </c>
      <c r="Q79" s="68">
        <f>Q378</f>
        <v/>
      </c>
      <c r="R79" s="68">
        <f>R378</f>
        <v/>
      </c>
      <c r="S79" s="68">
        <f>S378</f>
        <v/>
      </c>
      <c r="T79" s="68">
        <f>T378</f>
        <v/>
      </c>
      <c r="U79" s="1110">
        <f>U378</f>
        <v/>
      </c>
      <c r="V79" s="68">
        <f>V378</f>
        <v/>
      </c>
      <c r="W79" s="68">
        <f>W378</f>
        <v/>
      </c>
      <c r="X79" s="68">
        <f>X378</f>
        <v/>
      </c>
      <c r="Y79" s="68">
        <f>Y378</f>
        <v/>
      </c>
      <c r="Z79" s="1110">
        <f>Z378</f>
        <v/>
      </c>
      <c r="AA79" s="68">
        <f>AA378</f>
        <v/>
      </c>
      <c r="AB79" s="68">
        <f>AB378</f>
        <v/>
      </c>
      <c r="AC79" s="68">
        <f>AC378</f>
        <v/>
      </c>
      <c r="AD79" s="68">
        <f>AD378</f>
        <v/>
      </c>
      <c r="AE79" s="1110">
        <f>AE378</f>
        <v/>
      </c>
      <c r="AF79" s="68">
        <f>AF378</f>
        <v/>
      </c>
      <c r="AG79" s="68">
        <f>AG378</f>
        <v/>
      </c>
      <c r="AH79" s="68">
        <f>AH378</f>
        <v/>
      </c>
      <c r="AI79" s="68">
        <f>AI378</f>
        <v/>
      </c>
      <c r="AJ79" s="1110">
        <f>AJ378</f>
        <v/>
      </c>
      <c r="AK79" s="68">
        <f>AK378</f>
        <v/>
      </c>
      <c r="AL79" s="68">
        <f>AL378</f>
        <v/>
      </c>
      <c r="AM79" s="68">
        <f>AM378</f>
        <v/>
      </c>
      <c r="AN79" s="68">
        <f>AN378</f>
        <v/>
      </c>
      <c r="AO79" s="1110">
        <f>AO378</f>
        <v/>
      </c>
      <c r="AP79" s="68">
        <f>AP378</f>
        <v/>
      </c>
      <c r="AQ79" s="68">
        <f>AQ378</f>
        <v/>
      </c>
      <c r="AR79" s="68">
        <f>AR378</f>
        <v/>
      </c>
      <c r="AS79" s="68">
        <f>AS378</f>
        <v/>
      </c>
      <c r="AT79" s="1110">
        <f>AT378</f>
        <v/>
      </c>
      <c r="AU79" s="68">
        <f>AU378</f>
        <v/>
      </c>
      <c r="AV79" s="68">
        <f>AV378</f>
        <v/>
      </c>
      <c r="AW79" s="68">
        <f>AW378</f>
        <v/>
      </c>
      <c r="AX79" s="68">
        <f>AX378</f>
        <v/>
      </c>
      <c r="AY79" s="1110">
        <f>AY378</f>
        <v/>
      </c>
      <c r="AZ79" s="68">
        <f>AZ378</f>
        <v/>
      </c>
      <c r="BA79" s="68">
        <f>BA378</f>
        <v/>
      </c>
      <c r="BB79" s="68">
        <f>BB378</f>
        <v/>
      </c>
      <c r="BC79" s="68">
        <f>BC378</f>
        <v/>
      </c>
      <c r="BD79" s="1110">
        <f>BD378</f>
        <v/>
      </c>
      <c r="BE79" s="68">
        <f>BE378</f>
        <v/>
      </c>
      <c r="BF79" s="68">
        <f>BF378</f>
        <v/>
      </c>
      <c r="BG79" s="68">
        <f>BG378</f>
        <v/>
      </c>
      <c r="BH79" s="68">
        <f>BH378</f>
        <v/>
      </c>
      <c r="BI79" s="1110">
        <f>BI378</f>
        <v/>
      </c>
      <c r="BJ79" s="68">
        <f>BJ378</f>
        <v/>
      </c>
      <c r="BK79" s="68">
        <f>BK378</f>
        <v/>
      </c>
      <c r="BL79" s="68">
        <f>BL378</f>
        <v/>
      </c>
      <c r="BM79" s="68">
        <f>BM378</f>
        <v/>
      </c>
      <c r="BN79" s="1110">
        <f>BN378</f>
        <v/>
      </c>
      <c r="BO79" s="68">
        <f>BO378</f>
        <v/>
      </c>
      <c r="BP79" s="68">
        <f>BP378</f>
        <v/>
      </c>
      <c r="BQ79" s="68">
        <f>BQ378</f>
        <v/>
      </c>
      <c r="BR79" s="68">
        <f>BR378</f>
        <v/>
      </c>
      <c r="BS79" s="1110">
        <f>BS378</f>
        <v/>
      </c>
      <c r="BT79" s="68">
        <f>BT378</f>
        <v/>
      </c>
      <c r="BU79" s="68">
        <f>BU378</f>
        <v/>
      </c>
      <c r="BV79" s="588">
        <f>BV378</f>
        <v/>
      </c>
      <c r="BW79" s="68">
        <f>BW89+BW86+BW84+BW88</f>
        <v/>
      </c>
      <c r="BX79" s="1110">
        <f>SUM(BT79,BU79,BV79,BW79)</f>
        <v/>
      </c>
      <c r="BY79" s="68">
        <f>BY89+BY86+BY84+BY88</f>
        <v/>
      </c>
      <c r="BZ79" s="68">
        <f>BZ89+BZ86+BZ84+BZ88</f>
        <v/>
      </c>
      <c r="CA79" s="68">
        <f>CA89+CA86+CA84+CA88</f>
        <v/>
      </c>
      <c r="CB79" s="68">
        <f>CB89+CB86+CB84+CB88</f>
        <v/>
      </c>
      <c r="CC79" s="1110">
        <f>SUM(BY79,BZ79,CA79,CB79)</f>
        <v/>
      </c>
      <c r="CD79" s="1110">
        <f>CD89+CD86+CD84+CD88</f>
        <v/>
      </c>
      <c r="CE79" s="1110">
        <f>CE89+CE86+CE84+CE88</f>
        <v/>
      </c>
      <c r="CF79" s="1110">
        <f>CF89+CF86+CF84+CF88</f>
        <v/>
      </c>
      <c r="CG79" s="155" t="n"/>
    </row>
    <row r="80" hidden="1" outlineLevel="1">
      <c r="A80" s="371" t="inlineStr">
        <is>
          <t>Y/Y growth in GAAP SG&amp;A, %</t>
        </is>
      </c>
      <c r="B80" s="582" t="n"/>
      <c r="C80" s="1113" t="n"/>
      <c r="D80" s="1113">
        <f>D79/C79-1</f>
        <v/>
      </c>
      <c r="E80" s="1113">
        <f>E79/D79-1</f>
        <v/>
      </c>
      <c r="F80" s="1113">
        <f>F79/E79-1</f>
        <v/>
      </c>
      <c r="G80" s="90" t="n"/>
      <c r="H80" s="90" t="n"/>
      <c r="I80" s="90" t="n"/>
      <c r="J80" s="90" t="n"/>
      <c r="K80" s="1113">
        <f>K79/F79-1</f>
        <v/>
      </c>
      <c r="L80" s="90">
        <f>L79/G79-1</f>
        <v/>
      </c>
      <c r="M80" s="90">
        <f>M79/H79-1</f>
        <v/>
      </c>
      <c r="N80" s="90">
        <f>N79/I79-1</f>
        <v/>
      </c>
      <c r="O80" s="90">
        <f>O79/J79-1</f>
        <v/>
      </c>
      <c r="P80" s="1113">
        <f>P79/K79-1</f>
        <v/>
      </c>
      <c r="Q80" s="90">
        <f>Q79/L79-1</f>
        <v/>
      </c>
      <c r="R80" s="90">
        <f>R79/M79-1</f>
        <v/>
      </c>
      <c r="S80" s="90">
        <f>S79/N79-1</f>
        <v/>
      </c>
      <c r="T80" s="90">
        <f>T79/O79-1</f>
        <v/>
      </c>
      <c r="U80" s="1113">
        <f>U79/P79-1</f>
        <v/>
      </c>
      <c r="V80" s="90">
        <f>V79/Q79-1</f>
        <v/>
      </c>
      <c r="W80" s="90">
        <f>W79/R79-1</f>
        <v/>
      </c>
      <c r="X80" s="90">
        <f>X79/S79-1</f>
        <v/>
      </c>
      <c r="Y80" s="90">
        <f>Y79/T79-1</f>
        <v/>
      </c>
      <c r="Z80" s="1113">
        <f>Z79/U79-1</f>
        <v/>
      </c>
      <c r="AA80" s="90">
        <f>AA79/V79-1</f>
        <v/>
      </c>
      <c r="AB80" s="90">
        <f>AB79/W79-1</f>
        <v/>
      </c>
      <c r="AC80" s="90">
        <f>AC79/X79-1</f>
        <v/>
      </c>
      <c r="AD80" s="90">
        <f>AD79/Y79-1</f>
        <v/>
      </c>
      <c r="AE80" s="1113">
        <f>AE79/Z79-1</f>
        <v/>
      </c>
      <c r="AF80" s="90">
        <f>AF79/AA79-1</f>
        <v/>
      </c>
      <c r="AG80" s="90">
        <f>AG79/AB79-1</f>
        <v/>
      </c>
      <c r="AH80" s="90">
        <f>AH79/AC79-1</f>
        <v/>
      </c>
      <c r="AI80" s="90">
        <f>AI79/AD79-1</f>
        <v/>
      </c>
      <c r="AJ80" s="1113">
        <f>AJ79/AE79-1</f>
        <v/>
      </c>
      <c r="AK80" s="90">
        <f>AK79/AF79-1</f>
        <v/>
      </c>
      <c r="AL80" s="90">
        <f>AL79/AG79-1</f>
        <v/>
      </c>
      <c r="AM80" s="90">
        <f>AM79/AH79-1</f>
        <v/>
      </c>
      <c r="AN80" s="90">
        <f>AN79/AI79-1</f>
        <v/>
      </c>
      <c r="AO80" s="1113">
        <f>AO79/AJ79-1</f>
        <v/>
      </c>
      <c r="AP80" s="90">
        <f>AP79/AK79-1</f>
        <v/>
      </c>
      <c r="AQ80" s="90">
        <f>AQ79/AL79-1</f>
        <v/>
      </c>
      <c r="AR80" s="90">
        <f>AR79/AM79-1</f>
        <v/>
      </c>
      <c r="AS80" s="90">
        <f>AS79/AN79-1</f>
        <v/>
      </c>
      <c r="AT80" s="1113">
        <f>AT79/AO79-1</f>
        <v/>
      </c>
      <c r="AU80" s="90">
        <f>AU79/AP79-1</f>
        <v/>
      </c>
      <c r="AV80" s="90">
        <f>AV79/AQ79-1</f>
        <v/>
      </c>
      <c r="AW80" s="90">
        <f>AW79/AR79-1</f>
        <v/>
      </c>
      <c r="AX80" s="90">
        <f>AX79/AS79-1</f>
        <v/>
      </c>
      <c r="AY80" s="1113">
        <f>AY79/AT79-1</f>
        <v/>
      </c>
      <c r="AZ80" s="90">
        <f>AZ79/AU79-1</f>
        <v/>
      </c>
      <c r="BA80" s="90">
        <f>BA79/AV79-1</f>
        <v/>
      </c>
      <c r="BB80" s="90">
        <f>BB79/AW79-1</f>
        <v/>
      </c>
      <c r="BC80" s="90">
        <f>BC79/AX79-1</f>
        <v/>
      </c>
      <c r="BD80" s="1113">
        <f>BD79/AY79-1</f>
        <v/>
      </c>
      <c r="BE80" s="90">
        <f>BE79/AZ79-1</f>
        <v/>
      </c>
      <c r="BF80" s="90">
        <f>BF79/BA79-1</f>
        <v/>
      </c>
      <c r="BG80" s="90">
        <f>BG79/BB79-1</f>
        <v/>
      </c>
      <c r="BH80" s="90">
        <f>BH79/BC79-1</f>
        <v/>
      </c>
      <c r="BI80" s="1113">
        <f>BI79/BD79-1</f>
        <v/>
      </c>
      <c r="BJ80" s="90">
        <f>BJ79/BE79-1</f>
        <v/>
      </c>
      <c r="BK80" s="90">
        <f>BK79/BF79-1</f>
        <v/>
      </c>
      <c r="BL80" s="90">
        <f>BL79/BG79-1</f>
        <v/>
      </c>
      <c r="BM80" s="90">
        <f>BM79/BH79-1</f>
        <v/>
      </c>
      <c r="BN80" s="1113">
        <f>BN79/BI79-1</f>
        <v/>
      </c>
      <c r="BO80" s="90">
        <f>BO79/BJ79-1</f>
        <v/>
      </c>
      <c r="BP80" s="90">
        <f>BP79/BK79-1</f>
        <v/>
      </c>
      <c r="BQ80" s="90">
        <f>BQ79/BL79-1</f>
        <v/>
      </c>
      <c r="BR80" s="90">
        <f>BR79/BM79-1</f>
        <v/>
      </c>
      <c r="BS80" s="1113">
        <f>BS79/BN79-1</f>
        <v/>
      </c>
      <c r="BT80" s="90">
        <f>BT79/BO79-1</f>
        <v/>
      </c>
      <c r="BU80" s="90">
        <f>BU79/BP79-1</f>
        <v/>
      </c>
      <c r="BV80" s="880">
        <f>BV79/BQ79-1</f>
        <v/>
      </c>
      <c r="BW80" s="90">
        <f>BW79/BR79-1</f>
        <v/>
      </c>
      <c r="BX80" s="1113">
        <f>BX79/BS79-1</f>
        <v/>
      </c>
      <c r="BY80" s="90">
        <f>BY79/BT79-1</f>
        <v/>
      </c>
      <c r="BZ80" s="90">
        <f>BZ79/BU79-1</f>
        <v/>
      </c>
      <c r="CA80" s="90">
        <f>CA79/BV79-1</f>
        <v/>
      </c>
      <c r="CB80" s="90">
        <f>CB79/BW79-1</f>
        <v/>
      </c>
      <c r="CC80" s="1113">
        <f>CC79/BX79-1</f>
        <v/>
      </c>
      <c r="CD80" s="1113">
        <f>CD79/CC79-1</f>
        <v/>
      </c>
      <c r="CE80" s="1113">
        <f>CE79/CD79-1</f>
        <v/>
      </c>
      <c r="CF80" s="1113">
        <f>CF79/CE79-1</f>
        <v/>
      </c>
      <c r="CG80" s="155" t="n"/>
    </row>
    <row r="81" hidden="1" outlineLevel="1">
      <c r="A81" s="621" t="inlineStr">
        <is>
          <t>GAAP SG&amp;A Margin, %</t>
        </is>
      </c>
      <c r="B81" s="202" t="n"/>
      <c r="C81" s="1126">
        <f>C79/C44</f>
        <v/>
      </c>
      <c r="D81" s="1126">
        <f>D79/D44</f>
        <v/>
      </c>
      <c r="E81" s="1126">
        <f>E79/E44</f>
        <v/>
      </c>
      <c r="F81" s="1126">
        <f>F79/F44</f>
        <v/>
      </c>
      <c r="G81" s="315">
        <f>G79/G44</f>
        <v/>
      </c>
      <c r="H81" s="315">
        <f>H79/H44</f>
        <v/>
      </c>
      <c r="I81" s="315">
        <f>I79/I44</f>
        <v/>
      </c>
      <c r="J81" s="315">
        <f>J79/J44</f>
        <v/>
      </c>
      <c r="K81" s="1126">
        <f>K79/K44</f>
        <v/>
      </c>
      <c r="L81" s="315">
        <f>L79/L44</f>
        <v/>
      </c>
      <c r="M81" s="315">
        <f>M79/M44</f>
        <v/>
      </c>
      <c r="N81" s="315">
        <f>N79/N44</f>
        <v/>
      </c>
      <c r="O81" s="315">
        <f>O79/O44</f>
        <v/>
      </c>
      <c r="P81" s="1126">
        <f>P79/P44</f>
        <v/>
      </c>
      <c r="Q81" s="315">
        <f>Q79/Q44</f>
        <v/>
      </c>
      <c r="R81" s="315">
        <f>R79/R44</f>
        <v/>
      </c>
      <c r="S81" s="315">
        <f>S79/S44</f>
        <v/>
      </c>
      <c r="T81" s="315">
        <f>T79/T44</f>
        <v/>
      </c>
      <c r="U81" s="1126">
        <f>U79/U44</f>
        <v/>
      </c>
      <c r="V81" s="315">
        <f>V79/V44</f>
        <v/>
      </c>
      <c r="W81" s="315">
        <f>W79/W44</f>
        <v/>
      </c>
      <c r="X81" s="315">
        <f>X79/X44</f>
        <v/>
      </c>
      <c r="Y81" s="315">
        <f>Y79/Y44</f>
        <v/>
      </c>
      <c r="Z81" s="1126">
        <f>Z79/Z44</f>
        <v/>
      </c>
      <c r="AA81" s="315">
        <f>AA79/AA44</f>
        <v/>
      </c>
      <c r="AB81" s="315">
        <f>AB79/AB44</f>
        <v/>
      </c>
      <c r="AC81" s="315">
        <f>AC79/AC44</f>
        <v/>
      </c>
      <c r="AD81" s="315">
        <f>AD79/AD44</f>
        <v/>
      </c>
      <c r="AE81" s="1126">
        <f>AE79/AE44</f>
        <v/>
      </c>
      <c r="AF81" s="315">
        <f>AF79/AF44</f>
        <v/>
      </c>
      <c r="AG81" s="315">
        <f>AG79/AG44</f>
        <v/>
      </c>
      <c r="AH81" s="315">
        <f>AH79/AH44</f>
        <v/>
      </c>
      <c r="AI81" s="315">
        <f>AI79/AI44</f>
        <v/>
      </c>
      <c r="AJ81" s="1126">
        <f>AJ79/AJ44</f>
        <v/>
      </c>
      <c r="AK81" s="315">
        <f>AK79/AK44</f>
        <v/>
      </c>
      <c r="AL81" s="315">
        <f>AL79/AL44</f>
        <v/>
      </c>
      <c r="AM81" s="315">
        <f>AM79/AM44</f>
        <v/>
      </c>
      <c r="AN81" s="315">
        <f>AN79/AN44</f>
        <v/>
      </c>
      <c r="AO81" s="1126">
        <f>AO79/AO44</f>
        <v/>
      </c>
      <c r="AP81" s="315">
        <f>AP79/AP44</f>
        <v/>
      </c>
      <c r="AQ81" s="315">
        <f>AQ79/AQ44</f>
        <v/>
      </c>
      <c r="AR81" s="315">
        <f>AR79/AR44</f>
        <v/>
      </c>
      <c r="AS81" s="315">
        <f>AS79/AS44</f>
        <v/>
      </c>
      <c r="AT81" s="1126">
        <f>AT79/AT44</f>
        <v/>
      </c>
      <c r="AU81" s="315">
        <f>AU79/AU44</f>
        <v/>
      </c>
      <c r="AV81" s="315">
        <f>AV79/AV44</f>
        <v/>
      </c>
      <c r="AW81" s="315">
        <f>AW79/AW44</f>
        <v/>
      </c>
      <c r="AX81" s="315">
        <f>AX79/AX44</f>
        <v/>
      </c>
      <c r="AY81" s="1126">
        <f>AY79/AY44</f>
        <v/>
      </c>
      <c r="AZ81" s="315">
        <f>AZ79/AZ44</f>
        <v/>
      </c>
      <c r="BA81" s="315">
        <f>BA79/BA44</f>
        <v/>
      </c>
      <c r="BB81" s="315">
        <f>BB79/BB44</f>
        <v/>
      </c>
      <c r="BC81" s="315">
        <f>BC79/BC44</f>
        <v/>
      </c>
      <c r="BD81" s="1126">
        <f>BD79/BD44</f>
        <v/>
      </c>
      <c r="BE81" s="315">
        <f>BE79/BE44</f>
        <v/>
      </c>
      <c r="BF81" s="315">
        <f>BF79/BF44</f>
        <v/>
      </c>
      <c r="BG81" s="315">
        <f>BG79/BG44</f>
        <v/>
      </c>
      <c r="BH81" s="315">
        <f>BH79/BH44</f>
        <v/>
      </c>
      <c r="BI81" s="1126">
        <f>BI79/BI44</f>
        <v/>
      </c>
      <c r="BJ81" s="315">
        <f>BJ79/BJ44</f>
        <v/>
      </c>
      <c r="BK81" s="315">
        <f>BK79/BK44</f>
        <v/>
      </c>
      <c r="BL81" s="315">
        <f>BL79/BL44</f>
        <v/>
      </c>
      <c r="BM81" s="315">
        <f>BM79/BM44</f>
        <v/>
      </c>
      <c r="BN81" s="1126">
        <f>BN79/BN44</f>
        <v/>
      </c>
      <c r="BO81" s="315">
        <f>BO79/BO44</f>
        <v/>
      </c>
      <c r="BP81" s="315">
        <f>BP79/BP44</f>
        <v/>
      </c>
      <c r="BQ81" s="315">
        <f>BQ79/BQ44</f>
        <v/>
      </c>
      <c r="BR81" s="315">
        <f>BR79/BR44</f>
        <v/>
      </c>
      <c r="BS81" s="1126">
        <f>BS79/BS44</f>
        <v/>
      </c>
      <c r="BT81" s="315">
        <f>BT79/BT44</f>
        <v/>
      </c>
      <c r="BU81" s="315">
        <f>BU79/BU44</f>
        <v/>
      </c>
      <c r="BV81" s="885">
        <f>BV79/BV44</f>
        <v/>
      </c>
      <c r="BW81" s="315">
        <f>BW79/BW44</f>
        <v/>
      </c>
      <c r="BX81" s="1126">
        <f>BX79/BX44</f>
        <v/>
      </c>
      <c r="BY81" s="315">
        <f>BY79/BY44</f>
        <v/>
      </c>
      <c r="BZ81" s="315">
        <f>BZ79/BZ44</f>
        <v/>
      </c>
      <c r="CA81" s="315">
        <f>CA79/CA44</f>
        <v/>
      </c>
      <c r="CB81" s="315">
        <f>CB79/CB44</f>
        <v/>
      </c>
      <c r="CC81" s="1126">
        <f>CC79/CC44</f>
        <v/>
      </c>
      <c r="CD81" s="1126">
        <f>CD79/CD44</f>
        <v/>
      </c>
      <c r="CE81" s="1126">
        <f>CE79/CE44</f>
        <v/>
      </c>
      <c r="CF81" s="1126">
        <f>CF79/CF44</f>
        <v/>
      </c>
      <c r="CG81" s="155" t="n"/>
    </row>
    <row r="82" hidden="1" outlineLevel="1">
      <c r="A82" s="99" t="inlineStr">
        <is>
          <t>Y/Y Improvement in GAAP SG&amp;A Margin, bps</t>
        </is>
      </c>
      <c r="B82" s="598" t="n"/>
      <c r="C82" s="1110" t="n"/>
      <c r="D82" s="1110">
        <f>-(D81-C81)*10000</f>
        <v/>
      </c>
      <c r="E82" s="1110">
        <f>-(E81-D81)*10000</f>
        <v/>
      </c>
      <c r="F82" s="1110">
        <f>-(F81-E81)*10000</f>
        <v/>
      </c>
      <c r="G82" s="68" t="n"/>
      <c r="H82" s="68" t="n"/>
      <c r="I82" s="68" t="n"/>
      <c r="J82" s="68" t="n"/>
      <c r="K82" s="1110">
        <f>-(K81-F81)*10000</f>
        <v/>
      </c>
      <c r="L82" s="68">
        <f>-(L81-G81)*10000</f>
        <v/>
      </c>
      <c r="M82" s="68">
        <f>-(M81-H81)*10000</f>
        <v/>
      </c>
      <c r="N82" s="68">
        <f>-(N81-I81)*10000</f>
        <v/>
      </c>
      <c r="O82" s="68">
        <f>-(O81-J81)*10000</f>
        <v/>
      </c>
      <c r="P82" s="1110">
        <f>-(P81-K81)*10000</f>
        <v/>
      </c>
      <c r="Q82" s="68">
        <f>-(Q81-L81)*10000</f>
        <v/>
      </c>
      <c r="R82" s="68">
        <f>-(R81-M81)*10000</f>
        <v/>
      </c>
      <c r="S82" s="68">
        <f>-(S81-N81)*10000</f>
        <v/>
      </c>
      <c r="T82" s="68">
        <f>-(T81-O81)*10000</f>
        <v/>
      </c>
      <c r="U82" s="1110">
        <f>-(U81-P81)*10000</f>
        <v/>
      </c>
      <c r="V82" s="68">
        <f>-(V81-Q81)*10000</f>
        <v/>
      </c>
      <c r="W82" s="68">
        <f>-(W81-R81)*10000</f>
        <v/>
      </c>
      <c r="X82" s="68">
        <f>-(X81-S81)*10000</f>
        <v/>
      </c>
      <c r="Y82" s="68">
        <f>-(Y81-T81)*10000</f>
        <v/>
      </c>
      <c r="Z82" s="1110">
        <f>-(Z81-U81)*10000</f>
        <v/>
      </c>
      <c r="AA82" s="68">
        <f>-(AA81-V81)*10000</f>
        <v/>
      </c>
      <c r="AB82" s="68">
        <f>-(AB81-W81)*10000</f>
        <v/>
      </c>
      <c r="AC82" s="68">
        <f>-(AC81-X81)*10000</f>
        <v/>
      </c>
      <c r="AD82" s="68">
        <f>-(AD81-Y81)*10000</f>
        <v/>
      </c>
      <c r="AE82" s="1110">
        <f>-(AE81-Z81)*10000</f>
        <v/>
      </c>
      <c r="AF82" s="68">
        <f>-(AF81-AA81)*10000</f>
        <v/>
      </c>
      <c r="AG82" s="68">
        <f>-(AG81-AB81)*10000</f>
        <v/>
      </c>
      <c r="AH82" s="68">
        <f>-(AH81-AC81)*10000</f>
        <v/>
      </c>
      <c r="AI82" s="68">
        <f>-(AI81-AD81)*10000</f>
        <v/>
      </c>
      <c r="AJ82" s="1110">
        <f>-(AJ81-AE81)*10000</f>
        <v/>
      </c>
      <c r="AK82" s="68">
        <f>-(AK81-AF81)*10000</f>
        <v/>
      </c>
      <c r="AL82" s="68">
        <f>-(AL81-AG81)*10000</f>
        <v/>
      </c>
      <c r="AM82" s="68">
        <f>-(AM81-AH81)*10000</f>
        <v/>
      </c>
      <c r="AN82" s="68">
        <f>-(AN81-AI81)*10000</f>
        <v/>
      </c>
      <c r="AO82" s="1110">
        <f>-(AO81-AJ81)*10000</f>
        <v/>
      </c>
      <c r="AP82" s="68">
        <f>-(AP81-AK81)*10000</f>
        <v/>
      </c>
      <c r="AQ82" s="68">
        <f>-(AQ81-AL81)*10000</f>
        <v/>
      </c>
      <c r="AR82" s="68">
        <f>-(AR81-AM81)*10000</f>
        <v/>
      </c>
      <c r="AS82" s="68">
        <f>-(AS81-AN81)*10000</f>
        <v/>
      </c>
      <c r="AT82" s="1110">
        <f>-(AT81-AO81)*10000</f>
        <v/>
      </c>
      <c r="AU82" s="68">
        <f>-(AU81-AP81)*10000</f>
        <v/>
      </c>
      <c r="AV82" s="68">
        <f>-(AV81-AQ81)*10000</f>
        <v/>
      </c>
      <c r="AW82" s="68">
        <f>-(AW81-AR81)*10000</f>
        <v/>
      </c>
      <c r="AX82" s="68">
        <f>-(AX81-AS81)*10000</f>
        <v/>
      </c>
      <c r="AY82" s="1110">
        <f>-(AY81-AT81)*10000</f>
        <v/>
      </c>
      <c r="AZ82" s="68">
        <f>-(AZ81-AU81)*10000</f>
        <v/>
      </c>
      <c r="BA82" s="68">
        <f>-(BA81-AV81)*10000</f>
        <v/>
      </c>
      <c r="BB82" s="68">
        <f>-(BB81-AW81)*10000</f>
        <v/>
      </c>
      <c r="BC82" s="68">
        <f>-(BC81-AX81)*10000</f>
        <v/>
      </c>
      <c r="BD82" s="1110">
        <f>-(BD81-AY81)*10000</f>
        <v/>
      </c>
      <c r="BE82" s="68">
        <f>-(BE81-AZ81)*10000</f>
        <v/>
      </c>
      <c r="BF82" s="68">
        <f>-(BF81-BA81)*10000</f>
        <v/>
      </c>
      <c r="BG82" s="68">
        <f>-(BG81-BB81)*10000</f>
        <v/>
      </c>
      <c r="BH82" s="68">
        <f>-(BH81-BC81)*10000</f>
        <v/>
      </c>
      <c r="BI82" s="1110">
        <f>-(BI81-BD81)*10000</f>
        <v/>
      </c>
      <c r="BJ82" s="68">
        <f>-(BJ81-BE81)*10000</f>
        <v/>
      </c>
      <c r="BK82" s="68">
        <f>-(BK81-BF81)*10000</f>
        <v/>
      </c>
      <c r="BL82" s="68">
        <f>-(BL81-BG81)*10000</f>
        <v/>
      </c>
      <c r="BM82" s="68">
        <f>-(BM81-BH81)*10000</f>
        <v/>
      </c>
      <c r="BN82" s="1110">
        <f>-(BN81-BI81)*10000</f>
        <v/>
      </c>
      <c r="BO82" s="68">
        <f>-(BO81-BJ81)*10000</f>
        <v/>
      </c>
      <c r="BP82" s="68">
        <f>-(BP81-BK81)*10000</f>
        <v/>
      </c>
      <c r="BQ82" s="68">
        <f>-(BQ81-BL81)*10000</f>
        <v/>
      </c>
      <c r="BR82" s="68">
        <f>-(BR81-BM81)*10000</f>
        <v/>
      </c>
      <c r="BS82" s="1110">
        <f>-(BS81-BN81)*10000</f>
        <v/>
      </c>
      <c r="BT82" s="68">
        <f>-(BT81-BO81)*10000</f>
        <v/>
      </c>
      <c r="BU82" s="68">
        <f>-(BU81-BP81)*10000</f>
        <v/>
      </c>
      <c r="BV82" s="588">
        <f>-(BV81-BQ81)*10000</f>
        <v/>
      </c>
      <c r="BW82" s="68">
        <f>-(BW81-BR81)*10000</f>
        <v/>
      </c>
      <c r="BX82" s="1110">
        <f>-(BX81-BS81)*10000</f>
        <v/>
      </c>
      <c r="BY82" s="68">
        <f>-(BY81-BT81)*10000</f>
        <v/>
      </c>
      <c r="BZ82" s="68">
        <f>-(BZ81-BU81)*10000</f>
        <v/>
      </c>
      <c r="CA82" s="68">
        <f>-(CA81-BV81)*10000</f>
        <v/>
      </c>
      <c r="CB82" s="68">
        <f>-(CB81-BW81)*10000</f>
        <v/>
      </c>
      <c r="CC82" s="1110">
        <f>-(CC81-BX81)*10000</f>
        <v/>
      </c>
      <c r="CD82" s="1110">
        <f>-(CD81-CC81)*10000</f>
        <v/>
      </c>
      <c r="CE82" s="1110">
        <f>-(CE81-CD81)*10000</f>
        <v/>
      </c>
      <c r="CF82" s="1110">
        <f>-(CF81-CE81)*10000</f>
        <v/>
      </c>
      <c r="CG82" s="155" t="n"/>
    </row>
    <row r="83" hidden="1" outlineLevel="1" ht="7.25" customHeight="1">
      <c r="A83" s="99" t="n"/>
      <c r="B83" s="598" t="n"/>
      <c r="C83" s="1110" t="n"/>
      <c r="D83" s="1110" t="n"/>
      <c r="E83" s="1110" t="n"/>
      <c r="F83" s="1110" t="n"/>
      <c r="G83" s="68" t="n"/>
      <c r="H83" s="68" t="n"/>
      <c r="I83" s="68" t="n"/>
      <c r="J83" s="68" t="n"/>
      <c r="K83" s="1110" t="n"/>
      <c r="L83" s="68" t="n"/>
      <c r="M83" s="68" t="n"/>
      <c r="N83" s="68" t="n"/>
      <c r="O83" s="68" t="n"/>
      <c r="P83" s="1110" t="n"/>
      <c r="Q83" s="68" t="n"/>
      <c r="R83" s="68" t="n"/>
      <c r="S83" s="68" t="n"/>
      <c r="T83" s="68" t="n"/>
      <c r="U83" s="1110" t="n"/>
      <c r="V83" s="68" t="n"/>
      <c r="W83" s="68" t="n"/>
      <c r="X83" s="68" t="n"/>
      <c r="Y83" s="68" t="n"/>
      <c r="Z83" s="1110" t="n"/>
      <c r="AA83" s="68" t="n"/>
      <c r="AB83" s="68" t="n"/>
      <c r="AC83" s="68" t="n"/>
      <c r="AD83" s="68" t="n"/>
      <c r="AE83" s="1110" t="n"/>
      <c r="AF83" s="68" t="n"/>
      <c r="AG83" s="68" t="n"/>
      <c r="AH83" s="68" t="n"/>
      <c r="AI83" s="68" t="n"/>
      <c r="AJ83" s="1110" t="n"/>
      <c r="AK83" s="68" t="n"/>
      <c r="AL83" s="68" t="n"/>
      <c r="AM83" s="68" t="n"/>
      <c r="AN83" s="68" t="n"/>
      <c r="AO83" s="1110" t="n"/>
      <c r="AP83" s="68" t="n"/>
      <c r="AQ83" s="68" t="n"/>
      <c r="AR83" s="68" t="n"/>
      <c r="AS83" s="68" t="n"/>
      <c r="AT83" s="1110" t="n"/>
      <c r="AU83" s="68" t="n"/>
      <c r="AV83" s="68" t="n"/>
      <c r="AW83" s="68" t="n"/>
      <c r="AX83" s="68" t="n"/>
      <c r="AY83" s="1110" t="n"/>
      <c r="AZ83" s="68" t="n"/>
      <c r="BA83" s="68" t="n"/>
      <c r="BB83" s="68" t="n"/>
      <c r="BC83" s="68" t="n"/>
      <c r="BD83" s="1110" t="n"/>
      <c r="BE83" s="68" t="n"/>
      <c r="BF83" s="68" t="n"/>
      <c r="BG83" s="68" t="n"/>
      <c r="BH83" s="68" t="n"/>
      <c r="BI83" s="1110" t="n"/>
      <c r="BJ83" s="68" t="n"/>
      <c r="BK83" s="68" t="n"/>
      <c r="BL83" s="68" t="n"/>
      <c r="BM83" s="68" t="n"/>
      <c r="BN83" s="1110" t="n"/>
      <c r="BO83" s="68" t="n"/>
      <c r="BP83" s="68" t="n"/>
      <c r="BQ83" s="68" t="n"/>
      <c r="BR83" s="68" t="n"/>
      <c r="BS83" s="1110" t="n"/>
      <c r="BT83" s="68" t="n"/>
      <c r="BU83" s="68" t="n"/>
      <c r="BV83" s="588" t="n"/>
      <c r="BW83" s="68" t="n"/>
      <c r="BX83" s="1110" t="n"/>
      <c r="BY83" s="68" t="n"/>
      <c r="BZ83" s="68" t="n"/>
      <c r="CA83" s="68" t="n"/>
      <c r="CB83" s="68" t="n"/>
      <c r="CC83" s="1110" t="n"/>
      <c r="CD83" s="1110" t="n"/>
      <c r="CE83" s="1110" t="n"/>
      <c r="CF83" s="1110" t="n"/>
      <c r="CG83" s="155" t="n"/>
    </row>
    <row r="84" hidden="1" outlineLevel="1">
      <c r="A84" s="99" t="inlineStr">
        <is>
          <t>SBC SG&amp;A, mm</t>
        </is>
      </c>
      <c r="B84" s="598" t="n"/>
      <c r="C84" s="1110">
        <f>C379</f>
        <v/>
      </c>
      <c r="D84" s="1110">
        <f>D379</f>
        <v/>
      </c>
      <c r="E84" s="1110">
        <f>E379</f>
        <v/>
      </c>
      <c r="F84" s="1110">
        <f>F379</f>
        <v/>
      </c>
      <c r="G84" s="68">
        <f>G379</f>
        <v/>
      </c>
      <c r="H84" s="68">
        <f>H379</f>
        <v/>
      </c>
      <c r="I84" s="68">
        <f>I379</f>
        <v/>
      </c>
      <c r="J84" s="68">
        <f>J379</f>
        <v/>
      </c>
      <c r="K84" s="1110">
        <f>K379</f>
        <v/>
      </c>
      <c r="L84" s="68">
        <f>L379</f>
        <v/>
      </c>
      <c r="M84" s="68">
        <f>M379</f>
        <v/>
      </c>
      <c r="N84" s="68">
        <f>N379</f>
        <v/>
      </c>
      <c r="O84" s="68">
        <f>O379</f>
        <v/>
      </c>
      <c r="P84" s="1110">
        <f>P379</f>
        <v/>
      </c>
      <c r="Q84" s="68">
        <f>Q379</f>
        <v/>
      </c>
      <c r="R84" s="68">
        <f>R379</f>
        <v/>
      </c>
      <c r="S84" s="68">
        <f>S379</f>
        <v/>
      </c>
      <c r="T84" s="68">
        <f>T379</f>
        <v/>
      </c>
      <c r="U84" s="1110">
        <f>U379</f>
        <v/>
      </c>
      <c r="V84" s="68">
        <f>V379</f>
        <v/>
      </c>
      <c r="W84" s="68">
        <f>W379</f>
        <v/>
      </c>
      <c r="X84" s="68">
        <f>X379</f>
        <v/>
      </c>
      <c r="Y84" s="68">
        <f>Y379</f>
        <v/>
      </c>
      <c r="Z84" s="1110">
        <f>Z379</f>
        <v/>
      </c>
      <c r="AA84" s="68">
        <f>AA379</f>
        <v/>
      </c>
      <c r="AB84" s="68">
        <f>AB379</f>
        <v/>
      </c>
      <c r="AC84" s="68">
        <f>AC379</f>
        <v/>
      </c>
      <c r="AD84" s="68">
        <f>AD379</f>
        <v/>
      </c>
      <c r="AE84" s="1110">
        <f>AE379</f>
        <v/>
      </c>
      <c r="AF84" s="68">
        <f>AF379</f>
        <v/>
      </c>
      <c r="AG84" s="68">
        <f>AG379</f>
        <v/>
      </c>
      <c r="AH84" s="68">
        <f>AH379</f>
        <v/>
      </c>
      <c r="AI84" s="68">
        <f>AI379</f>
        <v/>
      </c>
      <c r="AJ84" s="1110">
        <f>AJ379</f>
        <v/>
      </c>
      <c r="AK84" s="68">
        <f>AK379</f>
        <v/>
      </c>
      <c r="AL84" s="68">
        <f>AL379</f>
        <v/>
      </c>
      <c r="AM84" s="68">
        <f>AM379</f>
        <v/>
      </c>
      <c r="AN84" s="68">
        <f>AN379</f>
        <v/>
      </c>
      <c r="AO84" s="1110">
        <f>AO379</f>
        <v/>
      </c>
      <c r="AP84" s="68">
        <f>AP379</f>
        <v/>
      </c>
      <c r="AQ84" s="68">
        <f>AQ379</f>
        <v/>
      </c>
      <c r="AR84" s="68">
        <f>AR379</f>
        <v/>
      </c>
      <c r="AS84" s="68">
        <f>AS379</f>
        <v/>
      </c>
      <c r="AT84" s="1110">
        <f>AT379</f>
        <v/>
      </c>
      <c r="AU84" s="68">
        <f>AU379</f>
        <v/>
      </c>
      <c r="AV84" s="68">
        <f>AV379</f>
        <v/>
      </c>
      <c r="AW84" s="68">
        <f>AW379</f>
        <v/>
      </c>
      <c r="AX84" s="68">
        <f>AX379</f>
        <v/>
      </c>
      <c r="AY84" s="1110">
        <f>AY379</f>
        <v/>
      </c>
      <c r="AZ84" s="68">
        <f>AZ379</f>
        <v/>
      </c>
      <c r="BA84" s="68">
        <f>BA379</f>
        <v/>
      </c>
      <c r="BB84" s="68">
        <f>BB379</f>
        <v/>
      </c>
      <c r="BC84" s="68">
        <f>BC379</f>
        <v/>
      </c>
      <c r="BD84" s="1110">
        <f>BD379</f>
        <v/>
      </c>
      <c r="BE84" s="68">
        <f>BE379</f>
        <v/>
      </c>
      <c r="BF84" s="68">
        <f>BF379</f>
        <v/>
      </c>
      <c r="BG84" s="68">
        <f>BG379</f>
        <v/>
      </c>
      <c r="BH84" s="68">
        <f>BH379</f>
        <v/>
      </c>
      <c r="BI84" s="1110">
        <f>BI379</f>
        <v/>
      </c>
      <c r="BJ84" s="68">
        <f>BJ379</f>
        <v/>
      </c>
      <c r="BK84" s="68">
        <f>BK379</f>
        <v/>
      </c>
      <c r="BL84" s="68">
        <f>BL379</f>
        <v/>
      </c>
      <c r="BM84" s="68">
        <f>BM379</f>
        <v/>
      </c>
      <c r="BN84" s="1110">
        <f>BN379</f>
        <v/>
      </c>
      <c r="BO84" s="68">
        <f>BO379</f>
        <v/>
      </c>
      <c r="BP84" s="68">
        <f>BP379</f>
        <v/>
      </c>
      <c r="BQ84" s="68">
        <f>BQ379</f>
        <v/>
      </c>
      <c r="BR84" s="68">
        <f>BR379</f>
        <v/>
      </c>
      <c r="BS84" s="1110">
        <f>BS379</f>
        <v/>
      </c>
      <c r="BT84" s="68">
        <f>BT379</f>
        <v/>
      </c>
      <c r="BU84" s="68">
        <f>BU379</f>
        <v/>
      </c>
      <c r="BV84" s="588">
        <f>BV379</f>
        <v/>
      </c>
      <c r="BW84" s="68">
        <f>BW44*BW85</f>
        <v/>
      </c>
      <c r="BX84" s="1110">
        <f>SUM(BT84,BU84,BV84,BW84)</f>
        <v/>
      </c>
      <c r="BY84" s="68">
        <f>BY44*BY85</f>
        <v/>
      </c>
      <c r="BZ84" s="68">
        <f>BZ44*BZ85</f>
        <v/>
      </c>
      <c r="CA84" s="68">
        <f>CA44*CA85</f>
        <v/>
      </c>
      <c r="CB84" s="68">
        <f>CB44*CB85</f>
        <v/>
      </c>
      <c r="CC84" s="1110">
        <f>SUM(BY84,BZ84,CA84,CB84)</f>
        <v/>
      </c>
      <c r="CD84" s="1110">
        <f>CD44*CD85</f>
        <v/>
      </c>
      <c r="CE84" s="1110">
        <f>CE44*CE85</f>
        <v/>
      </c>
      <c r="CF84" s="1110">
        <f>CF44*CF85</f>
        <v/>
      </c>
      <c r="CG84" s="155" t="n"/>
    </row>
    <row r="85" hidden="1" outlineLevel="1">
      <c r="A85" s="648" t="inlineStr">
        <is>
          <t>SBC SG&amp;A as % of revenue, %</t>
        </is>
      </c>
      <c r="B85" s="582" t="n"/>
      <c r="C85" s="1113">
        <f>C84/C44</f>
        <v/>
      </c>
      <c r="D85" s="1113">
        <f>D84/D44</f>
        <v/>
      </c>
      <c r="E85" s="1113">
        <f>E84/E44</f>
        <v/>
      </c>
      <c r="F85" s="1113">
        <f>F84/F44</f>
        <v/>
      </c>
      <c r="G85" s="90">
        <f>G84/G44</f>
        <v/>
      </c>
      <c r="H85" s="90">
        <f>H84/H44</f>
        <v/>
      </c>
      <c r="I85" s="90">
        <f>I84/I44</f>
        <v/>
      </c>
      <c r="J85" s="90">
        <f>J84/J44</f>
        <v/>
      </c>
      <c r="K85" s="1113">
        <f>K84/K44</f>
        <v/>
      </c>
      <c r="L85" s="90">
        <f>L84/L44</f>
        <v/>
      </c>
      <c r="M85" s="90">
        <f>M84/M44</f>
        <v/>
      </c>
      <c r="N85" s="90">
        <f>N84/N44</f>
        <v/>
      </c>
      <c r="O85" s="90">
        <f>O84/O44</f>
        <v/>
      </c>
      <c r="P85" s="1113">
        <f>P84/P44</f>
        <v/>
      </c>
      <c r="Q85" s="90">
        <f>Q84/Q44</f>
        <v/>
      </c>
      <c r="R85" s="90">
        <f>R84/R44</f>
        <v/>
      </c>
      <c r="S85" s="90">
        <f>S84/S44</f>
        <v/>
      </c>
      <c r="T85" s="90">
        <f>T84/T44</f>
        <v/>
      </c>
      <c r="U85" s="1113">
        <f>U84/U44</f>
        <v/>
      </c>
      <c r="V85" s="90">
        <f>V84/V44</f>
        <v/>
      </c>
      <c r="W85" s="90">
        <f>W84/W44</f>
        <v/>
      </c>
      <c r="X85" s="90">
        <f>X84/X44</f>
        <v/>
      </c>
      <c r="Y85" s="90">
        <f>Y84/Y44</f>
        <v/>
      </c>
      <c r="Z85" s="1113">
        <f>Z84/Z44</f>
        <v/>
      </c>
      <c r="AA85" s="90">
        <f>AA84/AA44</f>
        <v/>
      </c>
      <c r="AB85" s="90">
        <f>AB84/AB44</f>
        <v/>
      </c>
      <c r="AC85" s="90">
        <f>AC84/AC44</f>
        <v/>
      </c>
      <c r="AD85" s="90">
        <f>AD84/AD44</f>
        <v/>
      </c>
      <c r="AE85" s="1113">
        <f>AE84/AE44</f>
        <v/>
      </c>
      <c r="AF85" s="90">
        <f>AF84/AF44</f>
        <v/>
      </c>
      <c r="AG85" s="90">
        <f>AG84/AG44</f>
        <v/>
      </c>
      <c r="AH85" s="90">
        <f>AH84/AH44</f>
        <v/>
      </c>
      <c r="AI85" s="90">
        <f>AI84/AI44</f>
        <v/>
      </c>
      <c r="AJ85" s="1113">
        <f>AJ84/AJ44</f>
        <v/>
      </c>
      <c r="AK85" s="90">
        <f>AK84/AK44</f>
        <v/>
      </c>
      <c r="AL85" s="90">
        <f>AL84/AL44</f>
        <v/>
      </c>
      <c r="AM85" s="90">
        <f>AM84/AM44</f>
        <v/>
      </c>
      <c r="AN85" s="90">
        <f>AN84/AN44</f>
        <v/>
      </c>
      <c r="AO85" s="1113">
        <f>AO84/AO44</f>
        <v/>
      </c>
      <c r="AP85" s="90">
        <f>AP84/AP44</f>
        <v/>
      </c>
      <c r="AQ85" s="90">
        <f>AQ84/AQ44</f>
        <v/>
      </c>
      <c r="AR85" s="90">
        <f>AR84/AR44</f>
        <v/>
      </c>
      <c r="AS85" s="90">
        <f>AS84/AS44</f>
        <v/>
      </c>
      <c r="AT85" s="1113">
        <f>AT84/AT44</f>
        <v/>
      </c>
      <c r="AU85" s="90">
        <f>AU84/AU44</f>
        <v/>
      </c>
      <c r="AV85" s="90">
        <f>AV84/AV44</f>
        <v/>
      </c>
      <c r="AW85" s="90">
        <f>AW84/AW44</f>
        <v/>
      </c>
      <c r="AX85" s="90">
        <f>AX84/AX44</f>
        <v/>
      </c>
      <c r="AY85" s="1113">
        <f>AY84/AY44</f>
        <v/>
      </c>
      <c r="AZ85" s="90">
        <f>AZ84/AZ44</f>
        <v/>
      </c>
      <c r="BA85" s="90">
        <f>BA84/BA44</f>
        <v/>
      </c>
      <c r="BB85" s="90">
        <f>BB84/BB44</f>
        <v/>
      </c>
      <c r="BC85" s="90">
        <f>BC84/BC44</f>
        <v/>
      </c>
      <c r="BD85" s="1113">
        <f>BD84/BD44</f>
        <v/>
      </c>
      <c r="BE85" s="90">
        <f>BE84/BE44</f>
        <v/>
      </c>
      <c r="BF85" s="90">
        <f>BF84/BF44</f>
        <v/>
      </c>
      <c r="BG85" s="90">
        <f>BG84/BG44</f>
        <v/>
      </c>
      <c r="BH85" s="90">
        <f>BH84/BH44</f>
        <v/>
      </c>
      <c r="BI85" s="1113">
        <f>BI84/BI44</f>
        <v/>
      </c>
      <c r="BJ85" s="90">
        <f>BJ84/BJ44</f>
        <v/>
      </c>
      <c r="BK85" s="90">
        <f>BK84/BK44</f>
        <v/>
      </c>
      <c r="BL85" s="90">
        <f>BL84/BL44</f>
        <v/>
      </c>
      <c r="BM85" s="90">
        <f>BM84/BM44</f>
        <v/>
      </c>
      <c r="BN85" s="1113">
        <f>BN84/BN44</f>
        <v/>
      </c>
      <c r="BO85" s="90">
        <f>BO84/BO44</f>
        <v/>
      </c>
      <c r="BP85" s="90">
        <f>BP84/BP44</f>
        <v/>
      </c>
      <c r="BQ85" s="90">
        <f>BQ84/BQ44</f>
        <v/>
      </c>
      <c r="BR85" s="90">
        <f>BR84/BR44</f>
        <v/>
      </c>
      <c r="BS85" s="1113">
        <f>BS84/BS44</f>
        <v/>
      </c>
      <c r="BT85" s="90">
        <f>BT84/BT44</f>
        <v/>
      </c>
      <c r="BU85" s="90">
        <f>BU84/BU44</f>
        <v/>
      </c>
      <c r="BV85" s="880">
        <f>BV84/BV44</f>
        <v/>
      </c>
      <c r="BW85" s="1058" t="n">
        <v>0.007</v>
      </c>
      <c r="BX85" s="1113">
        <f>BX84/BX44</f>
        <v/>
      </c>
      <c r="BY85" s="1058" t="n">
        <v>0.007</v>
      </c>
      <c r="BZ85" s="1058" t="n">
        <v>0.007</v>
      </c>
      <c r="CA85" s="1058" t="n">
        <v>0.007</v>
      </c>
      <c r="CB85" s="1058" t="n">
        <v>0.007</v>
      </c>
      <c r="CC85" s="1113">
        <f>CC84/CC44</f>
        <v/>
      </c>
      <c r="CD85" s="1127" t="n">
        <v>0.007</v>
      </c>
      <c r="CE85" s="1127" t="n">
        <v>0.007</v>
      </c>
      <c r="CF85" s="1127" t="n">
        <v>0.007</v>
      </c>
      <c r="CG85" s="155" t="n"/>
    </row>
    <row r="86" hidden="1" outlineLevel="1">
      <c r="A86" s="99" t="inlineStr">
        <is>
          <t>Acquisition-related costs SG&amp;A, mm</t>
        </is>
      </c>
      <c r="B86" s="598" t="n"/>
      <c r="C86" s="1110">
        <f>C380</f>
        <v/>
      </c>
      <c r="D86" s="1110">
        <f>D380</f>
        <v/>
      </c>
      <c r="E86" s="1110">
        <f>E380</f>
        <v/>
      </c>
      <c r="F86" s="1110">
        <f>F380</f>
        <v/>
      </c>
      <c r="G86" s="68">
        <f>G380</f>
        <v/>
      </c>
      <c r="H86" s="68">
        <f>H380</f>
        <v/>
      </c>
      <c r="I86" s="68">
        <f>I380</f>
        <v/>
      </c>
      <c r="J86" s="68">
        <f>J380</f>
        <v/>
      </c>
      <c r="K86" s="1110">
        <f>K380</f>
        <v/>
      </c>
      <c r="L86" s="68">
        <f>L380</f>
        <v/>
      </c>
      <c r="M86" s="68">
        <f>M380</f>
        <v/>
      </c>
      <c r="N86" s="68">
        <f>N380</f>
        <v/>
      </c>
      <c r="O86" s="68">
        <f>O380</f>
        <v/>
      </c>
      <c r="P86" s="1110">
        <f>P380</f>
        <v/>
      </c>
      <c r="Q86" s="68">
        <f>Q380</f>
        <v/>
      </c>
      <c r="R86" s="68">
        <f>R380</f>
        <v/>
      </c>
      <c r="S86" s="68">
        <f>S380</f>
        <v/>
      </c>
      <c r="T86" s="68">
        <f>T380</f>
        <v/>
      </c>
      <c r="U86" s="1110">
        <f>U380</f>
        <v/>
      </c>
      <c r="V86" s="68">
        <f>V380</f>
        <v/>
      </c>
      <c r="W86" s="68">
        <f>W380</f>
        <v/>
      </c>
      <c r="X86" s="68">
        <f>X380</f>
        <v/>
      </c>
      <c r="Y86" s="68">
        <f>Y380</f>
        <v/>
      </c>
      <c r="Z86" s="1110">
        <f>Z380</f>
        <v/>
      </c>
      <c r="AA86" s="68">
        <f>AA380</f>
        <v/>
      </c>
      <c r="AB86" s="68">
        <f>AB380</f>
        <v/>
      </c>
      <c r="AC86" s="68">
        <f>AC380</f>
        <v/>
      </c>
      <c r="AD86" s="68">
        <f>AD380</f>
        <v/>
      </c>
      <c r="AE86" s="1110">
        <f>AE380</f>
        <v/>
      </c>
      <c r="AF86" s="68">
        <f>AF380</f>
        <v/>
      </c>
      <c r="AG86" s="68">
        <f>AG380</f>
        <v/>
      </c>
      <c r="AH86" s="68">
        <f>AH380</f>
        <v/>
      </c>
      <c r="AI86" s="68">
        <f>AI380</f>
        <v/>
      </c>
      <c r="AJ86" s="1110">
        <f>AJ380</f>
        <v/>
      </c>
      <c r="AK86" s="68">
        <f>AK380</f>
        <v/>
      </c>
      <c r="AL86" s="68">
        <f>AL380</f>
        <v/>
      </c>
      <c r="AM86" s="68">
        <f>AM380</f>
        <v/>
      </c>
      <c r="AN86" s="68">
        <f>AN380</f>
        <v/>
      </c>
      <c r="AO86" s="1110">
        <f>AO380</f>
        <v/>
      </c>
      <c r="AP86" s="68">
        <f>AP380</f>
        <v/>
      </c>
      <c r="AQ86" s="68">
        <f>AQ380</f>
        <v/>
      </c>
      <c r="AR86" s="68">
        <f>AR380</f>
        <v/>
      </c>
      <c r="AS86" s="68">
        <f>AS380</f>
        <v/>
      </c>
      <c r="AT86" s="1110">
        <f>AT380</f>
        <v/>
      </c>
      <c r="AU86" s="68">
        <f>AU380</f>
        <v/>
      </c>
      <c r="AV86" s="68">
        <f>AV380</f>
        <v/>
      </c>
      <c r="AW86" s="68">
        <f>AW380</f>
        <v/>
      </c>
      <c r="AX86" s="68">
        <f>AX380</f>
        <v/>
      </c>
      <c r="AY86" s="1110">
        <f>AY380</f>
        <v/>
      </c>
      <c r="AZ86" s="68">
        <f>AZ380</f>
        <v/>
      </c>
      <c r="BA86" s="68">
        <f>BA380</f>
        <v/>
      </c>
      <c r="BB86" s="68">
        <f>BB380</f>
        <v/>
      </c>
      <c r="BC86" s="68">
        <f>BC380</f>
        <v/>
      </c>
      <c r="BD86" s="1110">
        <f>BD380</f>
        <v/>
      </c>
      <c r="BE86" s="68">
        <f>BE380</f>
        <v/>
      </c>
      <c r="BF86" s="68">
        <f>BF380</f>
        <v/>
      </c>
      <c r="BG86" s="68">
        <f>BG380</f>
        <v/>
      </c>
      <c r="BH86" s="68">
        <f>BH380</f>
        <v/>
      </c>
      <c r="BI86" s="1110">
        <f>BI380</f>
        <v/>
      </c>
      <c r="BJ86" s="68">
        <f>BJ380</f>
        <v/>
      </c>
      <c r="BK86" s="68">
        <f>BK380</f>
        <v/>
      </c>
      <c r="BL86" s="68">
        <f>BL380</f>
        <v/>
      </c>
      <c r="BM86" s="68">
        <f>BM380</f>
        <v/>
      </c>
      <c r="BN86" s="1110">
        <f>BN380</f>
        <v/>
      </c>
      <c r="BO86" s="68">
        <f>BO380</f>
        <v/>
      </c>
      <c r="BP86" s="68">
        <f>BP380</f>
        <v/>
      </c>
      <c r="BQ86" s="68">
        <f>BQ380</f>
        <v/>
      </c>
      <c r="BR86" s="68">
        <f>BR380</f>
        <v/>
      </c>
      <c r="BS86" s="1110">
        <f>BS380</f>
        <v/>
      </c>
      <c r="BT86" s="68">
        <f>BT380</f>
        <v/>
      </c>
      <c r="BU86" s="68">
        <f>BU380</f>
        <v/>
      </c>
      <c r="BV86" s="588">
        <f>BV380</f>
        <v/>
      </c>
      <c r="BW86" s="68">
        <f>BW44*BW87</f>
        <v/>
      </c>
      <c r="BX86" s="1110">
        <f>SUM(BT86,BU86,BV86,BW86)</f>
        <v/>
      </c>
      <c r="BY86" s="68">
        <f>BY44*BY87</f>
        <v/>
      </c>
      <c r="BZ86" s="68">
        <f>BZ44*BZ87</f>
        <v/>
      </c>
      <c r="CA86" s="68">
        <f>CA44*CA87</f>
        <v/>
      </c>
      <c r="CB86" s="68">
        <f>CB44*CB87</f>
        <v/>
      </c>
      <c r="CC86" s="1110">
        <f>SUM(BY86,BZ86,CA86,CB86)</f>
        <v/>
      </c>
      <c r="CD86" s="1110">
        <f>CD44*CD87</f>
        <v/>
      </c>
      <c r="CE86" s="1110">
        <f>CE44*CE87</f>
        <v/>
      </c>
      <c r="CF86" s="1110">
        <f>CF44*CF87</f>
        <v/>
      </c>
      <c r="CG86" s="155" t="n"/>
    </row>
    <row r="87" hidden="1" outlineLevel="1">
      <c r="A87" s="648" t="inlineStr">
        <is>
          <t>Acquisition-related costs SG&amp;A as % of revenue, %</t>
        </is>
      </c>
      <c r="B87" s="582" t="n"/>
      <c r="C87" s="1113">
        <f>C86/C44</f>
        <v/>
      </c>
      <c r="D87" s="1113">
        <f>D86/D44</f>
        <v/>
      </c>
      <c r="E87" s="1113">
        <f>E86/E44</f>
        <v/>
      </c>
      <c r="F87" s="1113">
        <f>F86/F44</f>
        <v/>
      </c>
      <c r="G87" s="90">
        <f>G86/G44</f>
        <v/>
      </c>
      <c r="H87" s="90">
        <f>H86/H44</f>
        <v/>
      </c>
      <c r="I87" s="90">
        <f>I86/I44</f>
        <v/>
      </c>
      <c r="J87" s="90">
        <f>J86/J44</f>
        <v/>
      </c>
      <c r="K87" s="1113">
        <f>K86/K44</f>
        <v/>
      </c>
      <c r="L87" s="90">
        <f>L86/L44</f>
        <v/>
      </c>
      <c r="M87" s="90">
        <f>M86/M44</f>
        <v/>
      </c>
      <c r="N87" s="90">
        <f>N86/N44</f>
        <v/>
      </c>
      <c r="O87" s="90">
        <f>O86/O44</f>
        <v/>
      </c>
      <c r="P87" s="1113">
        <f>P86/P44</f>
        <v/>
      </c>
      <c r="Q87" s="90">
        <f>Q86/Q44</f>
        <v/>
      </c>
      <c r="R87" s="90">
        <f>R86/R44</f>
        <v/>
      </c>
      <c r="S87" s="90">
        <f>S86/S44</f>
        <v/>
      </c>
      <c r="T87" s="90">
        <f>T86/T44</f>
        <v/>
      </c>
      <c r="U87" s="1113">
        <f>U86/U44</f>
        <v/>
      </c>
      <c r="V87" s="90">
        <f>V86/V44</f>
        <v/>
      </c>
      <c r="W87" s="90">
        <f>W86/W44</f>
        <v/>
      </c>
      <c r="X87" s="90">
        <f>X86/X44</f>
        <v/>
      </c>
      <c r="Y87" s="90">
        <f>Y86/Y44</f>
        <v/>
      </c>
      <c r="Z87" s="1113">
        <f>Z86/Z44</f>
        <v/>
      </c>
      <c r="AA87" s="90">
        <f>AA86/AA44</f>
        <v/>
      </c>
      <c r="AB87" s="90">
        <f>AB86/AB44</f>
        <v/>
      </c>
      <c r="AC87" s="90">
        <f>AC86/AC44</f>
        <v/>
      </c>
      <c r="AD87" s="90">
        <f>AD86/AD44</f>
        <v/>
      </c>
      <c r="AE87" s="1113">
        <f>AE86/AE44</f>
        <v/>
      </c>
      <c r="AF87" s="90">
        <f>AF86/AF44</f>
        <v/>
      </c>
      <c r="AG87" s="90">
        <f>AG86/AG44</f>
        <v/>
      </c>
      <c r="AH87" s="90">
        <f>AH86/AH44</f>
        <v/>
      </c>
      <c r="AI87" s="90">
        <f>AI86/AI44</f>
        <v/>
      </c>
      <c r="AJ87" s="1113">
        <f>AJ86/AJ44</f>
        <v/>
      </c>
      <c r="AK87" s="90">
        <f>AK86/AK44</f>
        <v/>
      </c>
      <c r="AL87" s="90">
        <f>AL86/AL44</f>
        <v/>
      </c>
      <c r="AM87" s="90">
        <f>AM86/AM44</f>
        <v/>
      </c>
      <c r="AN87" s="90">
        <f>AN86/AN44</f>
        <v/>
      </c>
      <c r="AO87" s="1113">
        <f>AO86/AO44</f>
        <v/>
      </c>
      <c r="AP87" s="90">
        <f>AP86/AP44</f>
        <v/>
      </c>
      <c r="AQ87" s="90">
        <f>AQ86/AQ44</f>
        <v/>
      </c>
      <c r="AR87" s="90">
        <f>AR86/AR44</f>
        <v/>
      </c>
      <c r="AS87" s="90">
        <f>AS86/AS44</f>
        <v/>
      </c>
      <c r="AT87" s="1113">
        <f>AT86/AT44</f>
        <v/>
      </c>
      <c r="AU87" s="90">
        <f>AU86/AU44</f>
        <v/>
      </c>
      <c r="AV87" s="90">
        <f>AV86/AV44</f>
        <v/>
      </c>
      <c r="AW87" s="90">
        <f>AW86/AW44</f>
        <v/>
      </c>
      <c r="AX87" s="90">
        <f>AX86/AX44</f>
        <v/>
      </c>
      <c r="AY87" s="1113">
        <f>AY86/AY44</f>
        <v/>
      </c>
      <c r="AZ87" s="90">
        <f>AZ86/AZ44</f>
        <v/>
      </c>
      <c r="BA87" s="90">
        <f>BA86/BA44</f>
        <v/>
      </c>
      <c r="BB87" s="90">
        <f>BB86/BB44</f>
        <v/>
      </c>
      <c r="BC87" s="90">
        <f>BC86/BC44</f>
        <v/>
      </c>
      <c r="BD87" s="1113">
        <f>BD86/BD44</f>
        <v/>
      </c>
      <c r="BE87" s="90">
        <f>BE86/BE44</f>
        <v/>
      </c>
      <c r="BF87" s="90">
        <f>BF86/BF44</f>
        <v/>
      </c>
      <c r="BG87" s="90">
        <f>BG86/BG44</f>
        <v/>
      </c>
      <c r="BH87" s="90">
        <f>BH86/BH44</f>
        <v/>
      </c>
      <c r="BI87" s="1113">
        <f>BI86/BI44</f>
        <v/>
      </c>
      <c r="BJ87" s="90">
        <f>BJ86/BJ44</f>
        <v/>
      </c>
      <c r="BK87" s="90">
        <f>BK86/BK44</f>
        <v/>
      </c>
      <c r="BL87" s="90">
        <f>BL86/BL44</f>
        <v/>
      </c>
      <c r="BM87" s="90">
        <f>BM86/BM44</f>
        <v/>
      </c>
      <c r="BN87" s="1113">
        <f>BN86/BN44</f>
        <v/>
      </c>
      <c r="BO87" s="90">
        <f>BO86/BO44</f>
        <v/>
      </c>
      <c r="BP87" s="90">
        <f>BP86/BP44</f>
        <v/>
      </c>
      <c r="BQ87" s="90">
        <f>BQ86/BQ44</f>
        <v/>
      </c>
      <c r="BR87" s="90">
        <f>BR86/BR44</f>
        <v/>
      </c>
      <c r="BS87" s="1113">
        <f>BS86/BS44</f>
        <v/>
      </c>
      <c r="BT87" s="90">
        <f>BT86/BT44</f>
        <v/>
      </c>
      <c r="BU87" s="90">
        <f>BU86/BU44</f>
        <v/>
      </c>
      <c r="BV87" s="880">
        <f>BV86/BV44</f>
        <v/>
      </c>
      <c r="BW87" s="1058" t="n">
        <v>0.0002</v>
      </c>
      <c r="BX87" s="1113">
        <f>BX86/BX44</f>
        <v/>
      </c>
      <c r="BY87" s="1058" t="n">
        <v>0.0002</v>
      </c>
      <c r="BZ87" s="1058" t="n">
        <v>0.0002</v>
      </c>
      <c r="CA87" s="1058" t="n">
        <v>0.0002</v>
      </c>
      <c r="CB87" s="1058" t="n">
        <v>0.0002</v>
      </c>
      <c r="CC87" s="1113">
        <f>CC86/CC44</f>
        <v/>
      </c>
      <c r="CD87" s="1127" t="n">
        <v>0.0002</v>
      </c>
      <c r="CE87" s="1127" t="n">
        <v>0.0002</v>
      </c>
      <c r="CF87" s="1127" t="n">
        <v>0.0002</v>
      </c>
      <c r="CG87" s="155" t="n"/>
    </row>
    <row r="88" hidden="1" outlineLevel="1" customFormat="1" s="227">
      <c r="A88" s="282" t="inlineStr">
        <is>
          <t>Other SG&amp;A, mm</t>
        </is>
      </c>
      <c r="B88" s="639" t="n"/>
      <c r="C88" s="1121">
        <f>C381</f>
        <v/>
      </c>
      <c r="D88" s="1121">
        <f>D381</f>
        <v/>
      </c>
      <c r="E88" s="1121">
        <f>E381</f>
        <v/>
      </c>
      <c r="F88" s="1121">
        <f>F381</f>
        <v/>
      </c>
      <c r="G88" s="109">
        <f>G381</f>
        <v/>
      </c>
      <c r="H88" s="109">
        <f>H381</f>
        <v/>
      </c>
      <c r="I88" s="109">
        <f>I381</f>
        <v/>
      </c>
      <c r="J88" s="109">
        <f>J381</f>
        <v/>
      </c>
      <c r="K88" s="1121">
        <f>K381</f>
        <v/>
      </c>
      <c r="L88" s="109">
        <f>L381</f>
        <v/>
      </c>
      <c r="M88" s="109">
        <f>M381</f>
        <v/>
      </c>
      <c r="N88" s="109">
        <f>N381</f>
        <v/>
      </c>
      <c r="O88" s="109">
        <f>O381</f>
        <v/>
      </c>
      <c r="P88" s="1121">
        <f>P381</f>
        <v/>
      </c>
      <c r="Q88" s="109">
        <f>Q381</f>
        <v/>
      </c>
      <c r="R88" s="109">
        <f>R381</f>
        <v/>
      </c>
      <c r="S88" s="109">
        <f>S381</f>
        <v/>
      </c>
      <c r="T88" s="109">
        <f>T381</f>
        <v/>
      </c>
      <c r="U88" s="1121">
        <f>U381</f>
        <v/>
      </c>
      <c r="V88" s="109">
        <f>V381</f>
        <v/>
      </c>
      <c r="W88" s="109">
        <f>W381</f>
        <v/>
      </c>
      <c r="X88" s="109">
        <f>X381</f>
        <v/>
      </c>
      <c r="Y88" s="109">
        <f>Y381</f>
        <v/>
      </c>
      <c r="Z88" s="1121">
        <f>Z381</f>
        <v/>
      </c>
      <c r="AA88" s="109">
        <f>AA381</f>
        <v/>
      </c>
      <c r="AB88" s="109">
        <f>AB381</f>
        <v/>
      </c>
      <c r="AC88" s="109">
        <f>AC381</f>
        <v/>
      </c>
      <c r="AD88" s="109">
        <f>AD381</f>
        <v/>
      </c>
      <c r="AE88" s="1121">
        <f>AE381</f>
        <v/>
      </c>
      <c r="AF88" s="109">
        <f>AF381</f>
        <v/>
      </c>
      <c r="AG88" s="109">
        <f>AG381</f>
        <v/>
      </c>
      <c r="AH88" s="109">
        <f>AH381</f>
        <v/>
      </c>
      <c r="AI88" s="109">
        <f>AI381</f>
        <v/>
      </c>
      <c r="AJ88" s="1121">
        <f>AJ381</f>
        <v/>
      </c>
      <c r="AK88" s="109">
        <f>AK381</f>
        <v/>
      </c>
      <c r="AL88" s="109">
        <f>AL381</f>
        <v/>
      </c>
      <c r="AM88" s="109">
        <f>AM381</f>
        <v/>
      </c>
      <c r="AN88" s="109">
        <f>AN381</f>
        <v/>
      </c>
      <c r="AO88" s="1121">
        <f>AO381</f>
        <v/>
      </c>
      <c r="AP88" s="109">
        <f>AP381</f>
        <v/>
      </c>
      <c r="AQ88" s="109">
        <f>AQ381</f>
        <v/>
      </c>
      <c r="AR88" s="109">
        <f>AR381</f>
        <v/>
      </c>
      <c r="AS88" s="109">
        <f>AS381</f>
        <v/>
      </c>
      <c r="AT88" s="1121">
        <f>AT381</f>
        <v/>
      </c>
      <c r="AU88" s="109">
        <f>AU381</f>
        <v/>
      </c>
      <c r="AV88" s="109">
        <f>AV381</f>
        <v/>
      </c>
      <c r="AW88" s="109">
        <f>AW381</f>
        <v/>
      </c>
      <c r="AX88" s="109">
        <f>AX381</f>
        <v/>
      </c>
      <c r="AY88" s="1121">
        <f>AY381</f>
        <v/>
      </c>
      <c r="AZ88" s="109">
        <f>AZ381</f>
        <v/>
      </c>
      <c r="BA88" s="109">
        <f>BA381</f>
        <v/>
      </c>
      <c r="BB88" s="109">
        <f>BB381</f>
        <v/>
      </c>
      <c r="BC88" s="109">
        <f>BC381</f>
        <v/>
      </c>
      <c r="BD88" s="1121">
        <f>BD381</f>
        <v/>
      </c>
      <c r="BE88" s="109">
        <f>BE381</f>
        <v/>
      </c>
      <c r="BF88" s="109">
        <f>BF381</f>
        <v/>
      </c>
      <c r="BG88" s="109">
        <f>BG381</f>
        <v/>
      </c>
      <c r="BH88" s="109">
        <f>BH381</f>
        <v/>
      </c>
      <c r="BI88" s="1121">
        <f>BI381</f>
        <v/>
      </c>
      <c r="BJ88" s="109">
        <f>BJ381</f>
        <v/>
      </c>
      <c r="BK88" s="109">
        <f>BK381</f>
        <v/>
      </c>
      <c r="BL88" s="109">
        <f>BL381</f>
        <v/>
      </c>
      <c r="BM88" s="109">
        <f>BM381</f>
        <v/>
      </c>
      <c r="BN88" s="1121">
        <f>BN381</f>
        <v/>
      </c>
      <c r="BO88" s="109">
        <f>BO381</f>
        <v/>
      </c>
      <c r="BP88" s="109">
        <f>BP381</f>
        <v/>
      </c>
      <c r="BQ88" s="109">
        <f>BQ381</f>
        <v/>
      </c>
      <c r="BR88" s="109">
        <f>BR381</f>
        <v/>
      </c>
      <c r="BS88" s="1121">
        <f>BS381</f>
        <v/>
      </c>
      <c r="BT88" s="109">
        <f>BT381</f>
        <v/>
      </c>
      <c r="BU88" s="109">
        <f>BU381</f>
        <v/>
      </c>
      <c r="BV88" s="730">
        <f>BV381</f>
        <v/>
      </c>
      <c r="BW88" s="1060" t="n">
        <v>0</v>
      </c>
      <c r="BX88" s="1121">
        <f>SUM(BT88,BU88,BV88,BW88)</f>
        <v/>
      </c>
      <c r="BY88" s="1060" t="n">
        <v>0</v>
      </c>
      <c r="BZ88" s="1060" t="n">
        <v>0</v>
      </c>
      <c r="CA88" s="1060" t="n">
        <v>0</v>
      </c>
      <c r="CB88" s="1060" t="n">
        <v>0</v>
      </c>
      <c r="CC88" s="1121">
        <f>SUM(BY88,BZ88,CA88,CB88)</f>
        <v/>
      </c>
      <c r="CD88" s="1131" t="n">
        <v>0</v>
      </c>
      <c r="CE88" s="1131" t="n">
        <v>0</v>
      </c>
      <c r="CF88" s="1131" t="n">
        <v>0</v>
      </c>
      <c r="CG88" s="27" t="n"/>
    </row>
    <row r="89" collapsed="1">
      <c r="A89" s="636" t="inlineStr">
        <is>
          <t>Non-GAAP SG&amp;A Expense, mm</t>
        </is>
      </c>
      <c r="B89" s="598" t="n"/>
      <c r="C89" s="1110">
        <f>C79-C84-C86-C88</f>
        <v/>
      </c>
      <c r="D89" s="1110">
        <f>D79-D84-D86-D88</f>
        <v/>
      </c>
      <c r="E89" s="1110">
        <f>E79-E84-E86-E88</f>
        <v/>
      </c>
      <c r="F89" s="1110">
        <f>F79-F84-F86-F88</f>
        <v/>
      </c>
      <c r="G89" s="68">
        <f>G79-G84-G86-G88</f>
        <v/>
      </c>
      <c r="H89" s="68">
        <f>H79-H84-H86-H88</f>
        <v/>
      </c>
      <c r="I89" s="68">
        <f>I79-I84-I86-I88</f>
        <v/>
      </c>
      <c r="J89" s="68">
        <f>J79-J84-J86-J88</f>
        <v/>
      </c>
      <c r="K89" s="1110">
        <f>K79-K84-K86-K88</f>
        <v/>
      </c>
      <c r="L89" s="68">
        <f>L79-L84-L86-L88</f>
        <v/>
      </c>
      <c r="M89" s="68">
        <f>M79-M84-M86-M88</f>
        <v/>
      </c>
      <c r="N89" s="68">
        <f>N79-N84-N86-N88</f>
        <v/>
      </c>
      <c r="O89" s="68">
        <f>O79-O84-O86-O88</f>
        <v/>
      </c>
      <c r="P89" s="1110">
        <f>P79-P84-P86-P88</f>
        <v/>
      </c>
      <c r="Q89" s="68">
        <f>Q79-Q84-Q86-Q88</f>
        <v/>
      </c>
      <c r="R89" s="68">
        <f>R79-R84-R86-R88</f>
        <v/>
      </c>
      <c r="S89" s="68">
        <f>S79-S84-S86-S88</f>
        <v/>
      </c>
      <c r="T89" s="68">
        <f>T79-T84-T86-T88</f>
        <v/>
      </c>
      <c r="U89" s="1110">
        <f>U79-U84-U86-U88</f>
        <v/>
      </c>
      <c r="V89" s="68">
        <f>V79-V84-V86-V88</f>
        <v/>
      </c>
      <c r="W89" s="68">
        <f>W79-W84-W86-W88</f>
        <v/>
      </c>
      <c r="X89" s="68">
        <f>X79-X84-X86-X88</f>
        <v/>
      </c>
      <c r="Y89" s="68">
        <f>Y79-Y84-Y86-Y88</f>
        <v/>
      </c>
      <c r="Z89" s="1110">
        <f>Z79-Z84-Z86-Z88</f>
        <v/>
      </c>
      <c r="AA89" s="68">
        <f>AA79-AA84-AA86-AA88</f>
        <v/>
      </c>
      <c r="AB89" s="68">
        <f>AB79-AB84-AB86-AB88</f>
        <v/>
      </c>
      <c r="AC89" s="68">
        <f>AC79-AC84-AC86-AC88</f>
        <v/>
      </c>
      <c r="AD89" s="68">
        <f>AD79-AD84-AD86-AD88</f>
        <v/>
      </c>
      <c r="AE89" s="1110">
        <f>AE79-AE84-AE86-AE88</f>
        <v/>
      </c>
      <c r="AF89" s="68">
        <f>AF79-AF84-AF86-AF88</f>
        <v/>
      </c>
      <c r="AG89" s="68">
        <f>AG79-AG84-AG86-AG88</f>
        <v/>
      </c>
      <c r="AH89" s="68">
        <f>AH79-AH84-AH86-AH88</f>
        <v/>
      </c>
      <c r="AI89" s="68">
        <f>AI79-AI84-AI86-AI88</f>
        <v/>
      </c>
      <c r="AJ89" s="1110">
        <f>AJ79-AJ84-AJ86-AJ88</f>
        <v/>
      </c>
      <c r="AK89" s="68">
        <f>AK79-AK84-AK86-AK88</f>
        <v/>
      </c>
      <c r="AL89" s="68">
        <f>AL79-AL84-AL86-AL88</f>
        <v/>
      </c>
      <c r="AM89" s="68">
        <f>AM79-AM84-AM86-AM88</f>
        <v/>
      </c>
      <c r="AN89" s="68">
        <f>AN79-AN84-AN86-AN88</f>
        <v/>
      </c>
      <c r="AO89" s="1110">
        <f>AO79-AO84-AO86-AO88</f>
        <v/>
      </c>
      <c r="AP89" s="68">
        <f>AP79-AP84-AP86-AP88</f>
        <v/>
      </c>
      <c r="AQ89" s="68">
        <f>AQ79-AQ84-AQ86-AQ88</f>
        <v/>
      </c>
      <c r="AR89" s="68">
        <f>AR79-AR84-AR86-AR88</f>
        <v/>
      </c>
      <c r="AS89" s="68">
        <f>AS79-AS84-AS86-AS88</f>
        <v/>
      </c>
      <c r="AT89" s="1110">
        <f>AT79-AT84-AT86-AT88</f>
        <v/>
      </c>
      <c r="AU89" s="68">
        <f>AU79-AU84-AU86-AU88</f>
        <v/>
      </c>
      <c r="AV89" s="68">
        <f>AV79-AV84-AV86-AV88</f>
        <v/>
      </c>
      <c r="AW89" s="68">
        <f>AW79-AW84-AW86-AW88</f>
        <v/>
      </c>
      <c r="AX89" s="68">
        <f>AX79-AX84-AX86-AX88</f>
        <v/>
      </c>
      <c r="AY89" s="1110">
        <f>AY79-AY84-AY86-AY88</f>
        <v/>
      </c>
      <c r="AZ89" s="68">
        <f>AZ79-AZ84-AZ86-AZ88</f>
        <v/>
      </c>
      <c r="BA89" s="68">
        <f>BA79-BA84-BA86-BA88</f>
        <v/>
      </c>
      <c r="BB89" s="68">
        <f>BB79-BB84-BB86-BB88</f>
        <v/>
      </c>
      <c r="BC89" s="68">
        <f>BC79-BC84-BC86-BC88</f>
        <v/>
      </c>
      <c r="BD89" s="1110">
        <f>BD79-BD84-BD86-BD88</f>
        <v/>
      </c>
      <c r="BE89" s="68">
        <f>BE79-BE84-BE86-BE88</f>
        <v/>
      </c>
      <c r="BF89" s="68">
        <f>BF79-BF84-BF86-BF88</f>
        <v/>
      </c>
      <c r="BG89" s="68">
        <f>BG79-BG84-BG86-BG88</f>
        <v/>
      </c>
      <c r="BH89" s="68">
        <f>BH79-BH84-BH86-BH88</f>
        <v/>
      </c>
      <c r="BI89" s="1110">
        <f>BI79-BI84-BI86-BI88</f>
        <v/>
      </c>
      <c r="BJ89" s="68">
        <f>BJ79-BJ84-BJ86-BJ88</f>
        <v/>
      </c>
      <c r="BK89" s="68">
        <f>BK79-BK84-BK86-BK88</f>
        <v/>
      </c>
      <c r="BL89" s="68">
        <f>BL79-BL84-BL86-BL88</f>
        <v/>
      </c>
      <c r="BM89" s="68">
        <f>BM79-BM84-BM86-BM88</f>
        <v/>
      </c>
      <c r="BN89" s="1110">
        <f>BN79-BN84-BN86-BN88</f>
        <v/>
      </c>
      <c r="BO89" s="68">
        <f>BO79-BO84-BO86-BO88</f>
        <v/>
      </c>
      <c r="BP89" s="68">
        <f>BP79-BP84-BP86-BP88</f>
        <v/>
      </c>
      <c r="BQ89" s="68">
        <f>BQ79-BQ84-BQ86-BQ88</f>
        <v/>
      </c>
      <c r="BR89" s="68">
        <f>BR79-BR84-BR86-BR88</f>
        <v/>
      </c>
      <c r="BS89" s="1110">
        <f>BS79-BS84-BS86-BS88</f>
        <v/>
      </c>
      <c r="BT89" s="68">
        <f>BT79-BT84-BT86-BT88</f>
        <v/>
      </c>
      <c r="BU89" s="68">
        <f>BU79-BU84-BU86-BU88</f>
        <v/>
      </c>
      <c r="BV89" s="588">
        <f>BV79-BV84-BV86-BV88</f>
        <v/>
      </c>
      <c r="BW89" s="68">
        <f>BW91*BW44</f>
        <v/>
      </c>
      <c r="BX89" s="1110">
        <f>SUM(BT89,BU89,BV89,BW89)</f>
        <v/>
      </c>
      <c r="BY89" s="68">
        <f>BY91*BY44</f>
        <v/>
      </c>
      <c r="BZ89" s="68">
        <f>BZ91*BZ44</f>
        <v/>
      </c>
      <c r="CA89" s="68">
        <f>CA91*CA44</f>
        <v/>
      </c>
      <c r="CB89" s="68">
        <f>CB91*CB44</f>
        <v/>
      </c>
      <c r="CC89" s="1110">
        <f>SUM(BY89,BZ89,CA89,CB89)</f>
        <v/>
      </c>
      <c r="CD89" s="1110">
        <f>CD91*CD44</f>
        <v/>
      </c>
      <c r="CE89" s="1110">
        <f>CE91*CE44</f>
        <v/>
      </c>
      <c r="CF89" s="1110">
        <f>CF91*CF44</f>
        <v/>
      </c>
      <c r="CG89" s="155" t="n"/>
    </row>
    <row r="90">
      <c r="A90" s="371" t="inlineStr">
        <is>
          <t>Y/Y Growth in non-GAAP SG&amp;A Expense, %</t>
        </is>
      </c>
      <c r="B90" s="582" t="n"/>
      <c r="C90" s="1113" t="n"/>
      <c r="D90" s="1113">
        <f>D89/C89-1</f>
        <v/>
      </c>
      <c r="E90" s="1113">
        <f>E89/D89-1</f>
        <v/>
      </c>
      <c r="F90" s="1113">
        <f>F89/E89-1</f>
        <v/>
      </c>
      <c r="G90" s="90" t="n"/>
      <c r="H90" s="90" t="n"/>
      <c r="I90" s="90" t="n"/>
      <c r="J90" s="90" t="n"/>
      <c r="K90" s="1113">
        <f>K89/F89-1</f>
        <v/>
      </c>
      <c r="L90" s="90">
        <f>L89/G89-1</f>
        <v/>
      </c>
      <c r="M90" s="90">
        <f>M89/H89-1</f>
        <v/>
      </c>
      <c r="N90" s="90">
        <f>N89/I89-1</f>
        <v/>
      </c>
      <c r="O90" s="90">
        <f>O89/J89-1</f>
        <v/>
      </c>
      <c r="P90" s="1113">
        <f>P89/K89-1</f>
        <v/>
      </c>
      <c r="Q90" s="90">
        <f>Q89/L89-1</f>
        <v/>
      </c>
      <c r="R90" s="90">
        <f>R89/M89-1</f>
        <v/>
      </c>
      <c r="S90" s="90">
        <f>S89/N89-1</f>
        <v/>
      </c>
      <c r="T90" s="90">
        <f>T89/O89-1</f>
        <v/>
      </c>
      <c r="U90" s="1113">
        <f>U89/P89-1</f>
        <v/>
      </c>
      <c r="V90" s="90">
        <f>V89/Q89-1</f>
        <v/>
      </c>
      <c r="W90" s="90">
        <f>W89/R89-1</f>
        <v/>
      </c>
      <c r="X90" s="90">
        <f>X89/S89-1</f>
        <v/>
      </c>
      <c r="Y90" s="90">
        <f>Y89/T89-1</f>
        <v/>
      </c>
      <c r="Z90" s="1113">
        <f>Z89/U89-1</f>
        <v/>
      </c>
      <c r="AA90" s="90">
        <f>AA89/V89-1</f>
        <v/>
      </c>
      <c r="AB90" s="90">
        <f>AB89/W89-1</f>
        <v/>
      </c>
      <c r="AC90" s="90">
        <f>AC89/X89-1</f>
        <v/>
      </c>
      <c r="AD90" s="90">
        <f>AD89/Y89-1</f>
        <v/>
      </c>
      <c r="AE90" s="1113">
        <f>AE89/Z89-1</f>
        <v/>
      </c>
      <c r="AF90" s="90">
        <f>AF89/AA89-1</f>
        <v/>
      </c>
      <c r="AG90" s="90">
        <f>AG89/AB89-1</f>
        <v/>
      </c>
      <c r="AH90" s="90">
        <f>AH89/AC89-1</f>
        <v/>
      </c>
      <c r="AI90" s="90">
        <f>AI89/AD89-1</f>
        <v/>
      </c>
      <c r="AJ90" s="1113">
        <f>AJ89/AE89-1</f>
        <v/>
      </c>
      <c r="AK90" s="90">
        <f>AK89/AF89-1</f>
        <v/>
      </c>
      <c r="AL90" s="90">
        <f>AL89/AG89-1</f>
        <v/>
      </c>
      <c r="AM90" s="90">
        <f>AM89/AH89-1</f>
        <v/>
      </c>
      <c r="AN90" s="90">
        <f>AN89/AI89-1</f>
        <v/>
      </c>
      <c r="AO90" s="1113">
        <f>AO89/AJ89-1</f>
        <v/>
      </c>
      <c r="AP90" s="90">
        <f>AP89/AK89-1</f>
        <v/>
      </c>
      <c r="AQ90" s="90">
        <f>AQ89/AL89-1</f>
        <v/>
      </c>
      <c r="AR90" s="90">
        <f>AR89/AM89-1</f>
        <v/>
      </c>
      <c r="AS90" s="90">
        <f>AS89/AN89-1</f>
        <v/>
      </c>
      <c r="AT90" s="1113">
        <f>AT89/AO89-1</f>
        <v/>
      </c>
      <c r="AU90" s="90">
        <f>AU89/AP89-1</f>
        <v/>
      </c>
      <c r="AV90" s="90">
        <f>AV89/AQ89-1</f>
        <v/>
      </c>
      <c r="AW90" s="90">
        <f>AW89/AR89-1</f>
        <v/>
      </c>
      <c r="AX90" s="90">
        <f>AX89/AS89-1</f>
        <v/>
      </c>
      <c r="AY90" s="1113">
        <f>AY89/AT89-1</f>
        <v/>
      </c>
      <c r="AZ90" s="90">
        <f>AZ89/AU89-1</f>
        <v/>
      </c>
      <c r="BA90" s="90">
        <f>BA89/AV89-1</f>
        <v/>
      </c>
      <c r="BB90" s="90">
        <f>BB89/AW89-1</f>
        <v/>
      </c>
      <c r="BC90" s="90">
        <f>BC89/AX89-1</f>
        <v/>
      </c>
      <c r="BD90" s="1113">
        <f>BD89/AY89-1</f>
        <v/>
      </c>
      <c r="BE90" s="90">
        <f>BE89/AZ89-1</f>
        <v/>
      </c>
      <c r="BF90" s="90">
        <f>BF89/BA89-1</f>
        <v/>
      </c>
      <c r="BG90" s="90">
        <f>BG89/BB89-1</f>
        <v/>
      </c>
      <c r="BH90" s="90">
        <f>BH89/BC89-1</f>
        <v/>
      </c>
      <c r="BI90" s="1113">
        <f>BI89/BD89-1</f>
        <v/>
      </c>
      <c r="BJ90" s="90">
        <f>BJ89/BE89-1</f>
        <v/>
      </c>
      <c r="BK90" s="90">
        <f>BK89/BF89-1</f>
        <v/>
      </c>
      <c r="BL90" s="90">
        <f>BL89/BG89-1</f>
        <v/>
      </c>
      <c r="BM90" s="90">
        <f>BM89/BH89-1</f>
        <v/>
      </c>
      <c r="BN90" s="1113">
        <f>BN89/BI89-1</f>
        <v/>
      </c>
      <c r="BO90" s="90">
        <f>BO89/BJ89-1</f>
        <v/>
      </c>
      <c r="BP90" s="90">
        <f>BP89/BK89-1</f>
        <v/>
      </c>
      <c r="BQ90" s="90">
        <f>BQ89/BL89-1</f>
        <v/>
      </c>
      <c r="BR90" s="90">
        <f>BR89/BM89-1</f>
        <v/>
      </c>
      <c r="BS90" s="1113">
        <f>BS89/BN89-1</f>
        <v/>
      </c>
      <c r="BT90" s="90">
        <f>BT89/BO89-1</f>
        <v/>
      </c>
      <c r="BU90" s="90">
        <f>BU89/BP89-1</f>
        <v/>
      </c>
      <c r="BV90" s="880">
        <f>BV89/BQ89-1</f>
        <v/>
      </c>
      <c r="BW90" s="90">
        <f>BW89/BR89-1</f>
        <v/>
      </c>
      <c r="BX90" s="1113">
        <f>BX89/BS89-1</f>
        <v/>
      </c>
      <c r="BY90" s="90">
        <f>BY89/BT89-1</f>
        <v/>
      </c>
      <c r="BZ90" s="90">
        <f>BZ89/BU89-1</f>
        <v/>
      </c>
      <c r="CA90" s="90">
        <f>CA89/BV89-1</f>
        <v/>
      </c>
      <c r="CB90" s="90">
        <f>CB89/BW89-1</f>
        <v/>
      </c>
      <c r="CC90" s="1113">
        <f>CC89/BX89-1</f>
        <v/>
      </c>
      <c r="CD90" s="1113">
        <f>CD89/CC89-1</f>
        <v/>
      </c>
      <c r="CE90" s="1113">
        <f>CE89/CD89-1</f>
        <v/>
      </c>
      <c r="CF90" s="1113">
        <f>CF89/CE89-1</f>
        <v/>
      </c>
      <c r="CG90" s="155" t="n"/>
    </row>
    <row r="91">
      <c r="A91" s="621" t="inlineStr">
        <is>
          <t>Non-GAAP SG&amp;A Margin, %</t>
        </is>
      </c>
      <c r="B91" s="202" t="n"/>
      <c r="C91" s="1126">
        <f>C89/C44</f>
        <v/>
      </c>
      <c r="D91" s="1126">
        <f>D89/D44</f>
        <v/>
      </c>
      <c r="E91" s="1126">
        <f>E89/E44</f>
        <v/>
      </c>
      <c r="F91" s="1126">
        <f>F89/F44</f>
        <v/>
      </c>
      <c r="G91" s="315">
        <f>G89/G44</f>
        <v/>
      </c>
      <c r="H91" s="315">
        <f>H89/H44</f>
        <v/>
      </c>
      <c r="I91" s="315">
        <f>I89/I44</f>
        <v/>
      </c>
      <c r="J91" s="315">
        <f>J89/J44</f>
        <v/>
      </c>
      <c r="K91" s="1126">
        <f>K89/K44</f>
        <v/>
      </c>
      <c r="L91" s="315">
        <f>L89/L44</f>
        <v/>
      </c>
      <c r="M91" s="315">
        <f>M89/M44</f>
        <v/>
      </c>
      <c r="N91" s="315">
        <f>N89/N44</f>
        <v/>
      </c>
      <c r="O91" s="315">
        <f>O89/O44</f>
        <v/>
      </c>
      <c r="P91" s="1126">
        <f>P89/P44</f>
        <v/>
      </c>
      <c r="Q91" s="315">
        <f>Q89/Q44</f>
        <v/>
      </c>
      <c r="R91" s="315">
        <f>R89/R44</f>
        <v/>
      </c>
      <c r="S91" s="315">
        <f>S89/S44</f>
        <v/>
      </c>
      <c r="T91" s="315">
        <f>T89/T44</f>
        <v/>
      </c>
      <c r="U91" s="1126">
        <f>U89/U44</f>
        <v/>
      </c>
      <c r="V91" s="315">
        <f>V89/V44</f>
        <v/>
      </c>
      <c r="W91" s="315">
        <f>W89/W44</f>
        <v/>
      </c>
      <c r="X91" s="315">
        <f>X89/X44</f>
        <v/>
      </c>
      <c r="Y91" s="315">
        <f>Y89/Y44</f>
        <v/>
      </c>
      <c r="Z91" s="1126">
        <f>Z89/Z44</f>
        <v/>
      </c>
      <c r="AA91" s="315">
        <f>AA89/AA44</f>
        <v/>
      </c>
      <c r="AB91" s="315">
        <f>AB89/AB44</f>
        <v/>
      </c>
      <c r="AC91" s="315">
        <f>AC89/AC44</f>
        <v/>
      </c>
      <c r="AD91" s="315">
        <f>AD89/AD44</f>
        <v/>
      </c>
      <c r="AE91" s="1126">
        <f>AE89/AE44</f>
        <v/>
      </c>
      <c r="AF91" s="315">
        <f>AF89/AF44</f>
        <v/>
      </c>
      <c r="AG91" s="315">
        <f>AG89/AG44</f>
        <v/>
      </c>
      <c r="AH91" s="315">
        <f>AH89/AH44</f>
        <v/>
      </c>
      <c r="AI91" s="315">
        <f>AI89/AI44</f>
        <v/>
      </c>
      <c r="AJ91" s="1126">
        <f>AJ89/AJ44</f>
        <v/>
      </c>
      <c r="AK91" s="315">
        <f>AK89/AK44</f>
        <v/>
      </c>
      <c r="AL91" s="315">
        <f>AL89/AL44</f>
        <v/>
      </c>
      <c r="AM91" s="315">
        <f>AM89/AM44</f>
        <v/>
      </c>
      <c r="AN91" s="315">
        <f>AN89/AN44</f>
        <v/>
      </c>
      <c r="AO91" s="1126">
        <f>AO89/AO44</f>
        <v/>
      </c>
      <c r="AP91" s="315">
        <f>AP89/AP44</f>
        <v/>
      </c>
      <c r="AQ91" s="315">
        <f>AQ89/AQ44</f>
        <v/>
      </c>
      <c r="AR91" s="315">
        <f>AR89/AR44</f>
        <v/>
      </c>
      <c r="AS91" s="315">
        <f>AS89/AS44</f>
        <v/>
      </c>
      <c r="AT91" s="1126">
        <f>AT89/AT44</f>
        <v/>
      </c>
      <c r="AU91" s="315">
        <f>AU89/AU44</f>
        <v/>
      </c>
      <c r="AV91" s="315">
        <f>AV89/AV44</f>
        <v/>
      </c>
      <c r="AW91" s="315">
        <f>AW89/AW44</f>
        <v/>
      </c>
      <c r="AX91" s="315">
        <f>AX89/AX44</f>
        <v/>
      </c>
      <c r="AY91" s="1126">
        <f>AY89/AY44</f>
        <v/>
      </c>
      <c r="AZ91" s="315">
        <f>AZ89/AZ44</f>
        <v/>
      </c>
      <c r="BA91" s="315">
        <f>BA89/BA44</f>
        <v/>
      </c>
      <c r="BB91" s="315">
        <f>BB89/BB44</f>
        <v/>
      </c>
      <c r="BC91" s="315">
        <f>BC89/BC44</f>
        <v/>
      </c>
      <c r="BD91" s="1126">
        <f>BD89/BD44</f>
        <v/>
      </c>
      <c r="BE91" s="315">
        <f>BE89/BE44</f>
        <v/>
      </c>
      <c r="BF91" s="315">
        <f>BF89/BF44</f>
        <v/>
      </c>
      <c r="BG91" s="315">
        <f>BG89/BG44</f>
        <v/>
      </c>
      <c r="BH91" s="315">
        <f>BH89/BH44</f>
        <v/>
      </c>
      <c r="BI91" s="1126">
        <f>BI89/BI44</f>
        <v/>
      </c>
      <c r="BJ91" s="315">
        <f>BJ89/BJ44</f>
        <v/>
      </c>
      <c r="BK91" s="315">
        <f>BK89/BK44</f>
        <v/>
      </c>
      <c r="BL91" s="315">
        <f>BL89/BL44</f>
        <v/>
      </c>
      <c r="BM91" s="315">
        <f>BM89/BM44</f>
        <v/>
      </c>
      <c r="BN91" s="1126">
        <f>BN89/BN44</f>
        <v/>
      </c>
      <c r="BO91" s="315">
        <f>BO89/BO44</f>
        <v/>
      </c>
      <c r="BP91" s="315">
        <f>BP89/BP44</f>
        <v/>
      </c>
      <c r="BQ91" s="315">
        <f>BQ89/BQ44</f>
        <v/>
      </c>
      <c r="BR91" s="315">
        <f>BR89/BR44</f>
        <v/>
      </c>
      <c r="BS91" s="1126">
        <f>BS89/BS44</f>
        <v/>
      </c>
      <c r="BT91" s="315">
        <f>BT89/BT44</f>
        <v/>
      </c>
      <c r="BU91" s="315">
        <f>BU89/BU44</f>
        <v/>
      </c>
      <c r="BV91" s="885">
        <f>BV89/BV44</f>
        <v/>
      </c>
      <c r="BW91" s="315">
        <f>BR91-BW92/10000</f>
        <v/>
      </c>
      <c r="BX91" s="1126">
        <f>BX89/BX44</f>
        <v/>
      </c>
      <c r="BY91" s="315">
        <f>BT91-BY92/10000</f>
        <v/>
      </c>
      <c r="BZ91" s="315">
        <f>BU91-BZ92/10000</f>
        <v/>
      </c>
      <c r="CA91" s="315">
        <f>BV91-CA92/10000</f>
        <v/>
      </c>
      <c r="CB91" s="315">
        <f>BW91-CB92/10000</f>
        <v/>
      </c>
      <c r="CC91" s="1126">
        <f>CC89/CC44</f>
        <v/>
      </c>
      <c r="CD91" s="1126">
        <f>CC91-CD92/10000</f>
        <v/>
      </c>
      <c r="CE91" s="1126">
        <f>CD91-CE92/10000</f>
        <v/>
      </c>
      <c r="CF91" s="1126">
        <f>CE91-CF92/10000</f>
        <v/>
      </c>
      <c r="CG91" s="155" t="n"/>
    </row>
    <row r="92">
      <c r="A92" s="99" t="inlineStr">
        <is>
          <t>Y/Y Improvement in Non-GAAP SG&amp;A Margin, bps</t>
        </is>
      </c>
      <c r="B92" s="598" t="n"/>
      <c r="C92" s="1110" t="n"/>
      <c r="D92" s="1110">
        <f>-(D91-C91)*10000</f>
        <v/>
      </c>
      <c r="E92" s="1110">
        <f>-(E91-D91)*10000</f>
        <v/>
      </c>
      <c r="F92" s="1110">
        <f>-(F91-E91)*10000</f>
        <v/>
      </c>
      <c r="G92" s="68" t="n"/>
      <c r="H92" s="68" t="n"/>
      <c r="I92" s="68" t="n"/>
      <c r="J92" s="68" t="n"/>
      <c r="K92" s="1110">
        <f>-(K91-F91)*10000</f>
        <v/>
      </c>
      <c r="L92" s="68">
        <f>-(L91-G91)*10000</f>
        <v/>
      </c>
      <c r="M92" s="68">
        <f>-(M91-H91)*10000</f>
        <v/>
      </c>
      <c r="N92" s="68">
        <f>-(N91-I91)*10000</f>
        <v/>
      </c>
      <c r="O92" s="68">
        <f>-(O91-J91)*10000</f>
        <v/>
      </c>
      <c r="P92" s="1110">
        <f>-(P91-K91)*10000</f>
        <v/>
      </c>
      <c r="Q92" s="68">
        <f>-(Q91-L91)*10000</f>
        <v/>
      </c>
      <c r="R92" s="68">
        <f>-(R91-M91)*10000</f>
        <v/>
      </c>
      <c r="S92" s="68">
        <f>-(S91-N91)*10000</f>
        <v/>
      </c>
      <c r="T92" s="68">
        <f>-(T91-O91)*10000</f>
        <v/>
      </c>
      <c r="U92" s="1110">
        <f>-(U91-P91)*10000</f>
        <v/>
      </c>
      <c r="V92" s="68">
        <f>-(V91-Q91)*10000</f>
        <v/>
      </c>
      <c r="W92" s="68">
        <f>-(W91-R91)*10000</f>
        <v/>
      </c>
      <c r="X92" s="68">
        <f>-(X91-S91)*10000</f>
        <v/>
      </c>
      <c r="Y92" s="68">
        <f>-(Y91-T91)*10000</f>
        <v/>
      </c>
      <c r="Z92" s="1110">
        <f>-(Z91-U91)*10000</f>
        <v/>
      </c>
      <c r="AA92" s="68">
        <f>-(AA91-V91)*10000</f>
        <v/>
      </c>
      <c r="AB92" s="68">
        <f>-(AB91-W91)*10000</f>
        <v/>
      </c>
      <c r="AC92" s="68">
        <f>-(AC91-X91)*10000</f>
        <v/>
      </c>
      <c r="AD92" s="68">
        <f>-(AD91-Y91)*10000</f>
        <v/>
      </c>
      <c r="AE92" s="1110">
        <f>-(AE91-Z91)*10000</f>
        <v/>
      </c>
      <c r="AF92" s="68">
        <f>-(AF91-AA91)*10000</f>
        <v/>
      </c>
      <c r="AG92" s="68">
        <f>-(AG91-AB91)*10000</f>
        <v/>
      </c>
      <c r="AH92" s="68">
        <f>-(AH91-AC91)*10000</f>
        <v/>
      </c>
      <c r="AI92" s="68">
        <f>-(AI91-AD91)*10000</f>
        <v/>
      </c>
      <c r="AJ92" s="1110">
        <f>-(AJ91-AE91)*10000</f>
        <v/>
      </c>
      <c r="AK92" s="68">
        <f>-(AK91-AF91)*10000</f>
        <v/>
      </c>
      <c r="AL92" s="68">
        <f>-(AL91-AG91)*10000</f>
        <v/>
      </c>
      <c r="AM92" s="68">
        <f>-(AM91-AH91)*10000</f>
        <v/>
      </c>
      <c r="AN92" s="68">
        <f>-(AN91-AI91)*10000</f>
        <v/>
      </c>
      <c r="AO92" s="1110">
        <f>-(AO91-AJ91)*10000</f>
        <v/>
      </c>
      <c r="AP92" s="68">
        <f>-(AP91-AK91)*10000</f>
        <v/>
      </c>
      <c r="AQ92" s="68">
        <f>-(AQ91-AL91)*10000</f>
        <v/>
      </c>
      <c r="AR92" s="68">
        <f>-(AR91-AM91)*10000</f>
        <v/>
      </c>
      <c r="AS92" s="68">
        <f>-(AS91-AN91)*10000</f>
        <v/>
      </c>
      <c r="AT92" s="1110">
        <f>-(AT91-AO91)*10000</f>
        <v/>
      </c>
      <c r="AU92" s="68">
        <f>-(AU91-AP91)*10000</f>
        <v/>
      </c>
      <c r="AV92" s="68">
        <f>-(AV91-AQ91)*10000</f>
        <v/>
      </c>
      <c r="AW92" s="68">
        <f>-(AW91-AR91)*10000</f>
        <v/>
      </c>
      <c r="AX92" s="68">
        <f>-(AX91-AS91)*10000</f>
        <v/>
      </c>
      <c r="AY92" s="1110">
        <f>-(AY91-AT91)*10000</f>
        <v/>
      </c>
      <c r="AZ92" s="68">
        <f>-(AZ91-AU91)*10000</f>
        <v/>
      </c>
      <c r="BA92" s="68">
        <f>-(BA91-AV91)*10000</f>
        <v/>
      </c>
      <c r="BB92" s="68">
        <f>-(BB91-AW91)*10000</f>
        <v/>
      </c>
      <c r="BC92" s="68">
        <f>-(BC91-AX91)*10000</f>
        <v/>
      </c>
      <c r="BD92" s="1110">
        <f>-(BD91-AY91)*10000</f>
        <v/>
      </c>
      <c r="BE92" s="68">
        <f>-(BE91-AZ91)*10000</f>
        <v/>
      </c>
      <c r="BF92" s="68">
        <f>-(BF91-BA91)*10000</f>
        <v/>
      </c>
      <c r="BG92" s="68">
        <f>-(BG91-BB91)*10000</f>
        <v/>
      </c>
      <c r="BH92" s="68">
        <f>-(BH91-BC91)*10000</f>
        <v/>
      </c>
      <c r="BI92" s="1110">
        <f>-(BI91-BD91)*10000</f>
        <v/>
      </c>
      <c r="BJ92" s="68">
        <f>-(BJ91-BE91)*10000</f>
        <v/>
      </c>
      <c r="BK92" s="68">
        <f>-(BK91-BF91)*10000</f>
        <v/>
      </c>
      <c r="BL92" s="68">
        <f>-(BL91-BG91)*10000</f>
        <v/>
      </c>
      <c r="BM92" s="68">
        <f>-(BM91-BH91)*10000</f>
        <v/>
      </c>
      <c r="BN92" s="1110">
        <f>-(BN91-BI91)*10000</f>
        <v/>
      </c>
      <c r="BO92" s="68">
        <f>-(BO91-BJ91)*10000</f>
        <v/>
      </c>
      <c r="BP92" s="68">
        <f>-(BP91-BK91)*10000</f>
        <v/>
      </c>
      <c r="BQ92" s="68">
        <f>-(BQ91-BL91)*10000</f>
        <v/>
      </c>
      <c r="BR92" s="68">
        <f>-(BR91-BM91)*10000</f>
        <v/>
      </c>
      <c r="BS92" s="1110">
        <f>-(BS91-BN91)*10000</f>
        <v/>
      </c>
      <c r="BT92" s="68">
        <f>-(BT91-BO91)*10000</f>
        <v/>
      </c>
      <c r="BU92" s="68">
        <f>-(BU91-BP91)*10000</f>
        <v/>
      </c>
      <c r="BV92" s="588">
        <f>-(BV91-BQ91)*10000</f>
        <v/>
      </c>
      <c r="BW92" s="1053" t="n">
        <v>30</v>
      </c>
      <c r="BX92" s="1110">
        <f>-(BX91-BS91)*10000</f>
        <v/>
      </c>
      <c r="BY92" s="1053" t="n">
        <v>0</v>
      </c>
      <c r="BZ92" s="1053" t="n">
        <v>0</v>
      </c>
      <c r="CA92" s="1053" t="n">
        <v>0</v>
      </c>
      <c r="CB92" s="1053" t="n">
        <v>0</v>
      </c>
      <c r="CC92" s="1110">
        <f>-(CC91-BX91)*10000</f>
        <v/>
      </c>
      <c r="CD92" s="1111" t="n">
        <v>5</v>
      </c>
      <c r="CE92" s="1111" t="n">
        <v>5</v>
      </c>
      <c r="CF92" s="1111" t="n">
        <v>5</v>
      </c>
      <c r="CG92" s="155" t="n"/>
    </row>
    <row r="93">
      <c r="A93" s="99" t="n"/>
      <c r="B93" s="598" t="n"/>
      <c r="C93" s="1110" t="n"/>
      <c r="D93" s="1110" t="n"/>
      <c r="E93" s="1110" t="n"/>
      <c r="F93" s="1110" t="n"/>
      <c r="G93" s="68" t="n"/>
      <c r="H93" s="68" t="n"/>
      <c r="I93" s="68" t="n"/>
      <c r="J93" s="68" t="n"/>
      <c r="K93" s="1110" t="n"/>
      <c r="L93" s="68" t="n"/>
      <c r="M93" s="68" t="n"/>
      <c r="N93" s="68" t="n"/>
      <c r="O93" s="68" t="n"/>
      <c r="P93" s="1110" t="n"/>
      <c r="Q93" s="68" t="n"/>
      <c r="R93" s="68" t="n"/>
      <c r="S93" s="68" t="n"/>
      <c r="T93" s="68" t="n"/>
      <c r="U93" s="1110" t="n"/>
      <c r="V93" s="68" t="n"/>
      <c r="W93" s="68" t="n"/>
      <c r="X93" s="68" t="n"/>
      <c r="Y93" s="68" t="n"/>
      <c r="Z93" s="1110" t="n"/>
      <c r="AA93" s="68" t="n"/>
      <c r="AB93" s="68" t="n"/>
      <c r="AC93" s="68" t="n"/>
      <c r="AD93" s="68" t="n"/>
      <c r="AE93" s="1110" t="n"/>
      <c r="AF93" s="68" t="n"/>
      <c r="AG93" s="68" t="n"/>
      <c r="AH93" s="68" t="n"/>
      <c r="AI93" s="68" t="n"/>
      <c r="AJ93" s="1110" t="n"/>
      <c r="AK93" s="68" t="n"/>
      <c r="AL93" s="68" t="n"/>
      <c r="AM93" s="68" t="n"/>
      <c r="AN93" s="68" t="n"/>
      <c r="AO93" s="1110" t="n"/>
      <c r="AP93" s="68" t="n"/>
      <c r="AQ93" s="68" t="n"/>
      <c r="AR93" s="68" t="n"/>
      <c r="AS93" s="68" t="n"/>
      <c r="AT93" s="1110" t="n"/>
      <c r="AU93" s="68" t="n"/>
      <c r="AV93" s="68" t="n"/>
      <c r="AW93" s="68" t="n"/>
      <c r="AX93" s="68" t="n"/>
      <c r="AY93" s="1110" t="n"/>
      <c r="AZ93" s="68" t="n"/>
      <c r="BA93" s="68" t="n"/>
      <c r="BB93" s="68" t="n"/>
      <c r="BC93" s="68" t="n"/>
      <c r="BD93" s="1110" t="n"/>
      <c r="BE93" s="68" t="n"/>
      <c r="BF93" s="68" t="n"/>
      <c r="BG93" s="68" t="n"/>
      <c r="BH93" s="68" t="n"/>
      <c r="BI93" s="1110" t="n"/>
      <c r="BJ93" s="68" t="n"/>
      <c r="BK93" s="68" t="n"/>
      <c r="BL93" s="68" t="n"/>
      <c r="BM93" s="68" t="n"/>
      <c r="BN93" s="1110" t="n"/>
      <c r="BO93" s="68" t="n"/>
      <c r="BP93" s="68" t="n"/>
      <c r="BQ93" s="68" t="n"/>
      <c r="BR93" s="68" t="n"/>
      <c r="BS93" s="1110" t="n"/>
      <c r="BT93" s="68" t="n"/>
      <c r="BU93" s="68" t="n"/>
      <c r="BV93" s="588" t="n"/>
      <c r="BW93" s="68" t="n"/>
      <c r="BX93" s="1110" t="n"/>
      <c r="BY93" s="68" t="n"/>
      <c r="BZ93" s="68" t="n"/>
      <c r="CA93" s="68" t="n"/>
      <c r="CB93" s="68" t="n"/>
      <c r="CC93" s="1110" t="n"/>
      <c r="CD93" s="1110" t="n"/>
      <c r="CE93" s="1110" t="n"/>
      <c r="CF93" s="1110" t="n"/>
      <c r="CG93" s="155" t="n"/>
    </row>
    <row r="94" hidden="1" outlineLevel="1">
      <c r="A94" s="636" t="inlineStr">
        <is>
          <t>GAAP OPEX Expense, mm</t>
        </is>
      </c>
      <c r="B94" s="598" t="n"/>
      <c r="C94" s="1110">
        <f>SUM(C297:C299)</f>
        <v/>
      </c>
      <c r="D94" s="1110">
        <f>SUM(D297:D299)</f>
        <v/>
      </c>
      <c r="E94" s="1110">
        <f>SUM(E297:E299)</f>
        <v/>
      </c>
      <c r="F94" s="1110">
        <f>SUM(F297:F299)</f>
        <v/>
      </c>
      <c r="G94" s="68">
        <f>SUM(G297:G299)</f>
        <v/>
      </c>
      <c r="H94" s="68">
        <f>SUM(H297:H299)</f>
        <v/>
      </c>
      <c r="I94" s="68">
        <f>SUM(I297:I299)</f>
        <v/>
      </c>
      <c r="J94" s="68">
        <f>SUM(J297:J299)</f>
        <v/>
      </c>
      <c r="K94" s="1110">
        <f>SUM(K297:K299)</f>
        <v/>
      </c>
      <c r="L94" s="68">
        <f>SUM(L297:L299)</f>
        <v/>
      </c>
      <c r="M94" s="68">
        <f>SUM(M297:M299)</f>
        <v/>
      </c>
      <c r="N94" s="68">
        <f>SUM(N297:N299)</f>
        <v/>
      </c>
      <c r="O94" s="68">
        <f>SUM(O297:O299)</f>
        <v/>
      </c>
      <c r="P94" s="1110">
        <f>SUM(P297:P299)</f>
        <v/>
      </c>
      <c r="Q94" s="68">
        <f>SUM(Q297:Q299)</f>
        <v/>
      </c>
      <c r="R94" s="68">
        <f>SUM(R297:R299)</f>
        <v/>
      </c>
      <c r="S94" s="68">
        <f>SUM(S297:S299)</f>
        <v/>
      </c>
      <c r="T94" s="68">
        <f>SUM(T297:T299)</f>
        <v/>
      </c>
      <c r="U94" s="1110">
        <f>SUM(U297:U299)</f>
        <v/>
      </c>
      <c r="V94" s="68">
        <f>SUM(V297:V299)</f>
        <v/>
      </c>
      <c r="W94" s="68">
        <f>SUM(W297:W299)</f>
        <v/>
      </c>
      <c r="X94" s="68">
        <f>SUM(X297:X299)</f>
        <v/>
      </c>
      <c r="Y94" s="68">
        <f>SUM(Y297:Y299)</f>
        <v/>
      </c>
      <c r="Z94" s="1110">
        <f>SUM(Z297:Z299)</f>
        <v/>
      </c>
      <c r="AA94" s="68">
        <f>SUM(AA297:AA299)</f>
        <v/>
      </c>
      <c r="AB94" s="68">
        <f>SUM(AB297:AB299)</f>
        <v/>
      </c>
      <c r="AC94" s="68">
        <f>SUM(AC297:AC299)</f>
        <v/>
      </c>
      <c r="AD94" s="68">
        <f>SUM(AD297:AD299)</f>
        <v/>
      </c>
      <c r="AE94" s="1110">
        <f>SUM(AE297:AE299)</f>
        <v/>
      </c>
      <c r="AF94" s="68">
        <f>SUM(AF297:AF299)</f>
        <v/>
      </c>
      <c r="AG94" s="68">
        <f>SUM(AG297:AG299)</f>
        <v/>
      </c>
      <c r="AH94" s="68">
        <f>SUM(AH297:AH299)</f>
        <v/>
      </c>
      <c r="AI94" s="68">
        <f>SUM(AI297:AI299)</f>
        <v/>
      </c>
      <c r="AJ94" s="1110">
        <f>SUM(AJ297:AJ299)</f>
        <v/>
      </c>
      <c r="AK94" s="68">
        <f>SUM(AK297:AK299)</f>
        <v/>
      </c>
      <c r="AL94" s="68">
        <f>SUM(AL297:AL299)</f>
        <v/>
      </c>
      <c r="AM94" s="68">
        <f>SUM(AM297:AM299)</f>
        <v/>
      </c>
      <c r="AN94" s="68">
        <f>SUM(AN297:AN299)</f>
        <v/>
      </c>
      <c r="AO94" s="1110">
        <f>SUM(AO297:AO299)</f>
        <v/>
      </c>
      <c r="AP94" s="68">
        <f>SUM(AP297:AP299)</f>
        <v/>
      </c>
      <c r="AQ94" s="68">
        <f>SUM(AQ297:AQ299)</f>
        <v/>
      </c>
      <c r="AR94" s="68">
        <f>SUM(AR297:AR299)</f>
        <v/>
      </c>
      <c r="AS94" s="68">
        <f>SUM(AS297:AS299)</f>
        <v/>
      </c>
      <c r="AT94" s="1110">
        <f>SUM(AT297:AT299)</f>
        <v/>
      </c>
      <c r="AU94" s="68">
        <f>SUM(AU297:AU299)</f>
        <v/>
      </c>
      <c r="AV94" s="68">
        <f>SUM(AV297:AV299)</f>
        <v/>
      </c>
      <c r="AW94" s="68">
        <f>SUM(AW297:AW299)</f>
        <v/>
      </c>
      <c r="AX94" s="68">
        <f>SUM(AX297:AX299)</f>
        <v/>
      </c>
      <c r="AY94" s="1110">
        <f>SUM(AY297:AY299)</f>
        <v/>
      </c>
      <c r="AZ94" s="68">
        <f>SUM(AZ297:AZ299)</f>
        <v/>
      </c>
      <c r="BA94" s="68">
        <f>SUM(BA297:BA299)</f>
        <v/>
      </c>
      <c r="BB94" s="68">
        <f>SUM(BB297:BB299)</f>
        <v/>
      </c>
      <c r="BC94" s="68">
        <f>SUM(BC297:BC299)</f>
        <v/>
      </c>
      <c r="BD94" s="1110">
        <f>SUM(BD297:BD299)</f>
        <v/>
      </c>
      <c r="BE94" s="68">
        <f>SUM(BE297:BE299)</f>
        <v/>
      </c>
      <c r="BF94" s="68">
        <f>SUM(BF297:BF299)</f>
        <v/>
      </c>
      <c r="BG94" s="68">
        <f>SUM(BG297:BG299)</f>
        <v/>
      </c>
      <c r="BH94" s="68">
        <f>SUM(BH297:BH299)</f>
        <v/>
      </c>
      <c r="BI94" s="1110">
        <f>SUM(BI297:BI299)</f>
        <v/>
      </c>
      <c r="BJ94" s="68">
        <f>SUM(BJ297:BJ299)</f>
        <v/>
      </c>
      <c r="BK94" s="68">
        <f>SUM(BK297:BK299)</f>
        <v/>
      </c>
      <c r="BL94" s="68">
        <f>SUM(BL297:BL299)</f>
        <v/>
      </c>
      <c r="BM94" s="68">
        <f>SUM(BM297:BM299)</f>
        <v/>
      </c>
      <c r="BN94" s="1110">
        <f>SUM(BN297:BN299)</f>
        <v/>
      </c>
      <c r="BO94" s="68">
        <f>SUM(BO297:BO299)</f>
        <v/>
      </c>
      <c r="BP94" s="68">
        <f>SUM(BP297:BP299)</f>
        <v/>
      </c>
      <c r="BQ94" s="68">
        <f>SUM(BQ297:BQ299)</f>
        <v/>
      </c>
      <c r="BR94" s="68">
        <f>SUM(BR297:BR299)</f>
        <v/>
      </c>
      <c r="BS94" s="1110">
        <f>SUM(BS297:BS299)</f>
        <v/>
      </c>
      <c r="BT94" s="68">
        <f>SUM(BT297:BT299)</f>
        <v/>
      </c>
      <c r="BU94" s="68">
        <f>SUM(BU297:BU299)</f>
        <v/>
      </c>
      <c r="BV94" s="588">
        <f>SUM(BV297:BV299)</f>
        <v/>
      </c>
      <c r="BW94" s="68">
        <f>BW100+BW99</f>
        <v/>
      </c>
      <c r="BX94" s="1110">
        <f>SUM(BT94,BU94,BV94,BW94)</f>
        <v/>
      </c>
      <c r="BY94" s="68">
        <f>BY100+BY99</f>
        <v/>
      </c>
      <c r="BZ94" s="68">
        <f>BZ100+BZ99</f>
        <v/>
      </c>
      <c r="CA94" s="68">
        <f>CA100+CA99</f>
        <v/>
      </c>
      <c r="CB94" s="68">
        <f>CB100+CB99</f>
        <v/>
      </c>
      <c r="CC94" s="1110">
        <f>SUM(BY94,BZ94,CA94,CB94)</f>
        <v/>
      </c>
      <c r="CD94" s="1110">
        <f>CD100+CD99</f>
        <v/>
      </c>
      <c r="CE94" s="1110">
        <f>CE100+CE99</f>
        <v/>
      </c>
      <c r="CF94" s="1110">
        <f>CF100+CF99</f>
        <v/>
      </c>
      <c r="CG94" s="155" t="n"/>
    </row>
    <row r="95" hidden="1" outlineLevel="1">
      <c r="A95" s="371" t="inlineStr">
        <is>
          <t>Y/Y growth in GAAP OPEX, %</t>
        </is>
      </c>
      <c r="B95" s="582" t="n"/>
      <c r="C95" s="1113" t="n"/>
      <c r="D95" s="1113">
        <f>IFERROR(D94/C94-1,"N/A")</f>
        <v/>
      </c>
      <c r="E95" s="1113">
        <f>IFERROR(E94/D94-1,"N/A")</f>
        <v/>
      </c>
      <c r="F95" s="1113">
        <f>IFERROR(F94/E94-1,"N/A")</f>
        <v/>
      </c>
      <c r="G95" s="90" t="n"/>
      <c r="H95" s="90" t="n"/>
      <c r="I95" s="90" t="n"/>
      <c r="J95" s="90" t="n"/>
      <c r="K95" s="1113">
        <f>IFERROR(K94/F94-1,"N/A")</f>
        <v/>
      </c>
      <c r="L95" s="90">
        <f>IFERROR(L94/G94-1,"N/A")</f>
        <v/>
      </c>
      <c r="M95" s="90">
        <f>IFERROR(M94/H94-1,"N/A")</f>
        <v/>
      </c>
      <c r="N95" s="90">
        <f>IFERROR(N94/I94-1,"N/A")</f>
        <v/>
      </c>
      <c r="O95" s="90">
        <f>IFERROR(O94/J94-1,"N/A")</f>
        <v/>
      </c>
      <c r="P95" s="1113">
        <f>IFERROR(P94/K94-1,"N/A")</f>
        <v/>
      </c>
      <c r="Q95" s="90">
        <f>IFERROR(Q94/L94-1,"N/A")</f>
        <v/>
      </c>
      <c r="R95" s="90">
        <f>IFERROR(R94/M94-1,"N/A")</f>
        <v/>
      </c>
      <c r="S95" s="90">
        <f>IFERROR(S94/N94-1,"N/A")</f>
        <v/>
      </c>
      <c r="T95" s="90">
        <f>IFERROR(T94/O94-1,"N/A")</f>
        <v/>
      </c>
      <c r="U95" s="1113">
        <f>IFERROR(U94/P94-1,"N/A")</f>
        <v/>
      </c>
      <c r="V95" s="90">
        <f>IFERROR(V94/Q94-1,"N/A")</f>
        <v/>
      </c>
      <c r="W95" s="90">
        <f>IFERROR(W94/R94-1,"N/A")</f>
        <v/>
      </c>
      <c r="X95" s="90">
        <f>IFERROR(X94/S94-1,"N/A")</f>
        <v/>
      </c>
      <c r="Y95" s="90">
        <f>IFERROR(Y94/T94-1,"N/A")</f>
        <v/>
      </c>
      <c r="Z95" s="1113">
        <f>IFERROR(Z94/U94-1,"N/A")</f>
        <v/>
      </c>
      <c r="AA95" s="90">
        <f>IFERROR(AA94/V94-1,"N/A")</f>
        <v/>
      </c>
      <c r="AB95" s="90">
        <f>IFERROR(AB94/W94-1,"N/A")</f>
        <v/>
      </c>
      <c r="AC95" s="90">
        <f>IFERROR(AC94/X94-1,"N/A")</f>
        <v/>
      </c>
      <c r="AD95" s="90">
        <f>IFERROR(AD94/Y94-1,"N/A")</f>
        <v/>
      </c>
      <c r="AE95" s="1113">
        <f>IFERROR(AE94/Z94-1,"N/A")</f>
        <v/>
      </c>
      <c r="AF95" s="90">
        <f>IFERROR(AF94/AA94-1,"N/A")</f>
        <v/>
      </c>
      <c r="AG95" s="90">
        <f>IFERROR(AG94/AB94-1,"N/A")</f>
        <v/>
      </c>
      <c r="AH95" s="90">
        <f>IFERROR(AH94/AC94-1,"N/A")</f>
        <v/>
      </c>
      <c r="AI95" s="90">
        <f>IFERROR(AI94/AD94-1,"N/A")</f>
        <v/>
      </c>
      <c r="AJ95" s="1113">
        <f>IFERROR(AJ94/AE94-1,"N/A")</f>
        <v/>
      </c>
      <c r="AK95" s="90">
        <f>IFERROR(AK94/AF94-1,"N/A")</f>
        <v/>
      </c>
      <c r="AL95" s="90">
        <f>IFERROR(AL94/AG94-1,"N/A")</f>
        <v/>
      </c>
      <c r="AM95" s="90">
        <f>IFERROR(AM94/AH94-1,"N/A")</f>
        <v/>
      </c>
      <c r="AN95" s="90">
        <f>IFERROR(AN94/AI94-1,"N/A")</f>
        <v/>
      </c>
      <c r="AO95" s="1113">
        <f>IFERROR(AO94/AJ94-1,"N/A")</f>
        <v/>
      </c>
      <c r="AP95" s="90">
        <f>IFERROR(AP94/AK94-1,"N/A")</f>
        <v/>
      </c>
      <c r="AQ95" s="90">
        <f>IFERROR(AQ94/AL94-1,"N/A")</f>
        <v/>
      </c>
      <c r="AR95" s="90">
        <f>IFERROR(AR94/AM94-1,"N/A")</f>
        <v/>
      </c>
      <c r="AS95" s="90">
        <f>IFERROR(AS94/AN94-1,"N/A")</f>
        <v/>
      </c>
      <c r="AT95" s="1113">
        <f>IFERROR(AT94/AO94-1,"N/A")</f>
        <v/>
      </c>
      <c r="AU95" s="90">
        <f>IFERROR(AU94/AP94-1,"N/A")</f>
        <v/>
      </c>
      <c r="AV95" s="90">
        <f>IFERROR(AV94/AQ94-1,"N/A")</f>
        <v/>
      </c>
      <c r="AW95" s="90">
        <f>IFERROR(AW94/AR94-1,"N/A")</f>
        <v/>
      </c>
      <c r="AX95" s="90">
        <f>IFERROR(AX94/AS94-1,"N/A")</f>
        <v/>
      </c>
      <c r="AY95" s="1113">
        <f>IFERROR(AY94/AT94-1,"N/A")</f>
        <v/>
      </c>
      <c r="AZ95" s="90">
        <f>IFERROR(AZ94/AU94-1,"N/A")</f>
        <v/>
      </c>
      <c r="BA95" s="90">
        <f>IFERROR(BA94/AV94-1,"N/A")</f>
        <v/>
      </c>
      <c r="BB95" s="90">
        <f>IFERROR(BB94/AW94-1,"N/A")</f>
        <v/>
      </c>
      <c r="BC95" s="90">
        <f>IFERROR(BC94/AX94-1,"N/A")</f>
        <v/>
      </c>
      <c r="BD95" s="1113">
        <f>IFERROR(BD94/AY94-1,"N/A")</f>
        <v/>
      </c>
      <c r="BE95" s="90">
        <f>IFERROR(BE94/AZ94-1,"N/A")</f>
        <v/>
      </c>
      <c r="BF95" s="90">
        <f>IFERROR(BF94/BA94-1,"N/A")</f>
        <v/>
      </c>
      <c r="BG95" s="90">
        <f>IFERROR(BG94/BB94-1,"N/A")</f>
        <v/>
      </c>
      <c r="BH95" s="90">
        <f>IFERROR(BH94/BC94-1,"N/A")</f>
        <v/>
      </c>
      <c r="BI95" s="1113">
        <f>IFERROR(BI94/BD94-1,"N/A")</f>
        <v/>
      </c>
      <c r="BJ95" s="90">
        <f>IFERROR(BJ94/BE94-1,"N/A")</f>
        <v/>
      </c>
      <c r="BK95" s="90">
        <f>IFERROR(BK94/BF94-1,"N/A")</f>
        <v/>
      </c>
      <c r="BL95" s="90">
        <f>IFERROR(BL94/BG94-1,"N/A")</f>
        <v/>
      </c>
      <c r="BM95" s="90">
        <f>IFERROR(BM94/BH94-1,"N/A")</f>
        <v/>
      </c>
      <c r="BN95" s="1113">
        <f>IFERROR(BN94/BI94-1,"N/A")</f>
        <v/>
      </c>
      <c r="BO95" s="90">
        <f>IFERROR(BO94/BJ94-1,"N/A")</f>
        <v/>
      </c>
      <c r="BP95" s="90">
        <f>IFERROR(BP94/BK94-1,"N/A")</f>
        <v/>
      </c>
      <c r="BQ95" s="90">
        <f>IFERROR(BQ94/BL94-1,"N/A")</f>
        <v/>
      </c>
      <c r="BR95" s="90">
        <f>IFERROR(BR94/BM94-1,"N/A")</f>
        <v/>
      </c>
      <c r="BS95" s="1113">
        <f>IFERROR(BS94/BN94-1,"N/A")</f>
        <v/>
      </c>
      <c r="BT95" s="90">
        <f>IFERROR(BT94/BO94-1,"N/A")</f>
        <v/>
      </c>
      <c r="BU95" s="90">
        <f>IFERROR(BU94/BP94-1,"N/A")</f>
        <v/>
      </c>
      <c r="BV95" s="880">
        <f>IFERROR(BV94/BQ94-1,"N/A")</f>
        <v/>
      </c>
      <c r="BW95" s="90">
        <f>IFERROR(BW94/BR94-1,"N/A")</f>
        <v/>
      </c>
      <c r="BX95" s="1113">
        <f>IFERROR(BX94/BS94-1,"N/A")</f>
        <v/>
      </c>
      <c r="BY95" s="90">
        <f>IFERROR(BY94/BT94-1,"N/A")</f>
        <v/>
      </c>
      <c r="BZ95" s="90">
        <f>IFERROR(BZ94/BU94-1,"N/A")</f>
        <v/>
      </c>
      <c r="CA95" s="90">
        <f>IFERROR(CA94/BV94-1,"N/A")</f>
        <v/>
      </c>
      <c r="CB95" s="90">
        <f>IFERROR(CB94/BW94-1,"N/A")</f>
        <v/>
      </c>
      <c r="CC95" s="1113">
        <f>IFERROR(CC94/BX94-1,"N/A")</f>
        <v/>
      </c>
      <c r="CD95" s="1113">
        <f>IFERROR(CD94/CC94-1,"N/A")</f>
        <v/>
      </c>
      <c r="CE95" s="1113">
        <f>IFERROR(CE94/CD94-1,"N/A")</f>
        <v/>
      </c>
      <c r="CF95" s="1113">
        <f>IFERROR(CF94/CE94-1,"N/A")</f>
        <v/>
      </c>
      <c r="CG95" s="155" t="n"/>
    </row>
    <row r="96" hidden="1" outlineLevel="1">
      <c r="A96" s="621" t="inlineStr">
        <is>
          <t>GAAP OPEX Margin, %</t>
        </is>
      </c>
      <c r="B96" s="202" t="n"/>
      <c r="C96" s="1126">
        <f>C94/C44</f>
        <v/>
      </c>
      <c r="D96" s="1126">
        <f>D94/D44</f>
        <v/>
      </c>
      <c r="E96" s="1126">
        <f>E94/E44</f>
        <v/>
      </c>
      <c r="F96" s="1126">
        <f>F94/F44</f>
        <v/>
      </c>
      <c r="G96" s="315">
        <f>G94/G44</f>
        <v/>
      </c>
      <c r="H96" s="315">
        <f>H94/H44</f>
        <v/>
      </c>
      <c r="I96" s="315">
        <f>I94/I44</f>
        <v/>
      </c>
      <c r="J96" s="315">
        <f>J94/J44</f>
        <v/>
      </c>
      <c r="K96" s="1126">
        <f>K94/K44</f>
        <v/>
      </c>
      <c r="L96" s="315">
        <f>L94/L44</f>
        <v/>
      </c>
      <c r="M96" s="315">
        <f>M94/M44</f>
        <v/>
      </c>
      <c r="N96" s="315">
        <f>N94/N44</f>
        <v/>
      </c>
      <c r="O96" s="315">
        <f>O94/O44</f>
        <v/>
      </c>
      <c r="P96" s="1126">
        <f>P94/P44</f>
        <v/>
      </c>
      <c r="Q96" s="315">
        <f>Q94/Q44</f>
        <v/>
      </c>
      <c r="R96" s="315">
        <f>R94/R44</f>
        <v/>
      </c>
      <c r="S96" s="315">
        <f>S94/S44</f>
        <v/>
      </c>
      <c r="T96" s="315">
        <f>T94/T44</f>
        <v/>
      </c>
      <c r="U96" s="1126">
        <f>U94/U44</f>
        <v/>
      </c>
      <c r="V96" s="315">
        <f>V94/V44</f>
        <v/>
      </c>
      <c r="W96" s="315">
        <f>W94/W44</f>
        <v/>
      </c>
      <c r="X96" s="315">
        <f>X94/X44</f>
        <v/>
      </c>
      <c r="Y96" s="315">
        <f>Y94/Y44</f>
        <v/>
      </c>
      <c r="Z96" s="1126">
        <f>Z94/Z44</f>
        <v/>
      </c>
      <c r="AA96" s="315">
        <f>AA94/AA44</f>
        <v/>
      </c>
      <c r="AB96" s="315">
        <f>AB94/AB44</f>
        <v/>
      </c>
      <c r="AC96" s="315">
        <f>AC94/AC44</f>
        <v/>
      </c>
      <c r="AD96" s="315">
        <f>AD94/AD44</f>
        <v/>
      </c>
      <c r="AE96" s="1126">
        <f>AE94/AE44</f>
        <v/>
      </c>
      <c r="AF96" s="315">
        <f>AF94/AF44</f>
        <v/>
      </c>
      <c r="AG96" s="315">
        <f>AG94/AG44</f>
        <v/>
      </c>
      <c r="AH96" s="315">
        <f>AH94/AH44</f>
        <v/>
      </c>
      <c r="AI96" s="315">
        <f>AI94/AI44</f>
        <v/>
      </c>
      <c r="AJ96" s="1126">
        <f>AJ94/AJ44</f>
        <v/>
      </c>
      <c r="AK96" s="315">
        <f>AK94/AK44</f>
        <v/>
      </c>
      <c r="AL96" s="315">
        <f>AL94/AL44</f>
        <v/>
      </c>
      <c r="AM96" s="315">
        <f>AM94/AM44</f>
        <v/>
      </c>
      <c r="AN96" s="315">
        <f>AN94/AN44</f>
        <v/>
      </c>
      <c r="AO96" s="1126">
        <f>AO94/AO44</f>
        <v/>
      </c>
      <c r="AP96" s="315">
        <f>AP94/AP44</f>
        <v/>
      </c>
      <c r="AQ96" s="315">
        <f>AQ94/AQ44</f>
        <v/>
      </c>
      <c r="AR96" s="315">
        <f>AR94/AR44</f>
        <v/>
      </c>
      <c r="AS96" s="315">
        <f>AS94/AS44</f>
        <v/>
      </c>
      <c r="AT96" s="1126">
        <f>AT94/AT44</f>
        <v/>
      </c>
      <c r="AU96" s="315">
        <f>AU94/AU44</f>
        <v/>
      </c>
      <c r="AV96" s="315">
        <f>AV94/AV44</f>
        <v/>
      </c>
      <c r="AW96" s="315">
        <f>AW94/AW44</f>
        <v/>
      </c>
      <c r="AX96" s="315">
        <f>AX94/AX44</f>
        <v/>
      </c>
      <c r="AY96" s="1126">
        <f>AY94/AY44</f>
        <v/>
      </c>
      <c r="AZ96" s="315">
        <f>AZ94/AZ44</f>
        <v/>
      </c>
      <c r="BA96" s="315">
        <f>BA94/BA44</f>
        <v/>
      </c>
      <c r="BB96" s="315">
        <f>BB94/BB44</f>
        <v/>
      </c>
      <c r="BC96" s="315">
        <f>BC94/BC44</f>
        <v/>
      </c>
      <c r="BD96" s="1126">
        <f>BD94/BD44</f>
        <v/>
      </c>
      <c r="BE96" s="315">
        <f>BE94/BE44</f>
        <v/>
      </c>
      <c r="BF96" s="315">
        <f>BF94/BF44</f>
        <v/>
      </c>
      <c r="BG96" s="315">
        <f>BG94/BG44</f>
        <v/>
      </c>
      <c r="BH96" s="315">
        <f>BH94/BH44</f>
        <v/>
      </c>
      <c r="BI96" s="1126">
        <f>BI94/BI44</f>
        <v/>
      </c>
      <c r="BJ96" s="315">
        <f>BJ94/BJ44</f>
        <v/>
      </c>
      <c r="BK96" s="315">
        <f>BK94/BK44</f>
        <v/>
      </c>
      <c r="BL96" s="315">
        <f>BL94/BL44</f>
        <v/>
      </c>
      <c r="BM96" s="315">
        <f>BM94/BM44</f>
        <v/>
      </c>
      <c r="BN96" s="1126">
        <f>BN94/BN44</f>
        <v/>
      </c>
      <c r="BO96" s="315">
        <f>BO94/BO44</f>
        <v/>
      </c>
      <c r="BP96" s="315">
        <f>BP94/BP44</f>
        <v/>
      </c>
      <c r="BQ96" s="315">
        <f>BQ94/BQ44</f>
        <v/>
      </c>
      <c r="BR96" s="315">
        <f>BR94/BR44</f>
        <v/>
      </c>
      <c r="BS96" s="1126">
        <f>BS94/BS44</f>
        <v/>
      </c>
      <c r="BT96" s="315">
        <f>BT94/BT44</f>
        <v/>
      </c>
      <c r="BU96" s="315">
        <f>BU94/BU44</f>
        <v/>
      </c>
      <c r="BV96" s="885">
        <f>BV94/BV44</f>
        <v/>
      </c>
      <c r="BW96" s="315">
        <f>BW94/BW44</f>
        <v/>
      </c>
      <c r="BX96" s="1126">
        <f>BX94/BX44</f>
        <v/>
      </c>
      <c r="BY96" s="315">
        <f>BY94/BY44</f>
        <v/>
      </c>
      <c r="BZ96" s="315">
        <f>BZ94/BZ44</f>
        <v/>
      </c>
      <c r="CA96" s="315">
        <f>CA94/CA44</f>
        <v/>
      </c>
      <c r="CB96" s="315">
        <f>CB94/CB44</f>
        <v/>
      </c>
      <c r="CC96" s="1126">
        <f>CC94/CC44</f>
        <v/>
      </c>
      <c r="CD96" s="1126">
        <f>CD94/CD44</f>
        <v/>
      </c>
      <c r="CE96" s="1126">
        <f>CE94/CE44</f>
        <v/>
      </c>
      <c r="CF96" s="1126">
        <f>CF94/CF44</f>
        <v/>
      </c>
      <c r="CG96" s="155" t="n"/>
    </row>
    <row r="97" hidden="1" outlineLevel="1">
      <c r="A97" s="99" t="inlineStr">
        <is>
          <t>Y/Y Improvement in GAAP OPEX Margin, bps</t>
        </is>
      </c>
      <c r="B97" s="598" t="n"/>
      <c r="C97" s="1110" t="n"/>
      <c r="D97" s="1110">
        <f>-(D96-C96)*10000</f>
        <v/>
      </c>
      <c r="E97" s="1110">
        <f>-(E96-D96)*10000</f>
        <v/>
      </c>
      <c r="F97" s="1110">
        <f>-(F96-E96)*10000</f>
        <v/>
      </c>
      <c r="G97" s="68" t="n"/>
      <c r="H97" s="68" t="n"/>
      <c r="I97" s="68" t="n"/>
      <c r="J97" s="68" t="n"/>
      <c r="K97" s="1110">
        <f>-(K96-F96)*10000</f>
        <v/>
      </c>
      <c r="L97" s="68">
        <f>-(L96-G96)*10000</f>
        <v/>
      </c>
      <c r="M97" s="68">
        <f>-(M96-H96)*10000</f>
        <v/>
      </c>
      <c r="N97" s="68">
        <f>-(N96-I96)*10000</f>
        <v/>
      </c>
      <c r="O97" s="68">
        <f>-(O96-J96)*10000</f>
        <v/>
      </c>
      <c r="P97" s="1110">
        <f>-(P96-K96)*10000</f>
        <v/>
      </c>
      <c r="Q97" s="68">
        <f>-(Q96-L96)*10000</f>
        <v/>
      </c>
      <c r="R97" s="68">
        <f>-(R96-M96)*10000</f>
        <v/>
      </c>
      <c r="S97" s="68">
        <f>-(S96-N96)*10000</f>
        <v/>
      </c>
      <c r="T97" s="68">
        <f>-(T96-O96)*10000</f>
        <v/>
      </c>
      <c r="U97" s="1110">
        <f>-(U96-P96)*10000</f>
        <v/>
      </c>
      <c r="V97" s="68">
        <f>-(V96-Q96)*10000</f>
        <v/>
      </c>
      <c r="W97" s="68">
        <f>-(W96-R96)*10000</f>
        <v/>
      </c>
      <c r="X97" s="68">
        <f>-(X96-S96)*10000</f>
        <v/>
      </c>
      <c r="Y97" s="68">
        <f>-(Y96-T96)*10000</f>
        <v/>
      </c>
      <c r="Z97" s="1110">
        <f>-(Z96-U96)*10000</f>
        <v/>
      </c>
      <c r="AA97" s="68">
        <f>-(AA96-V96)*10000</f>
        <v/>
      </c>
      <c r="AB97" s="68">
        <f>-(AB96-W96)*10000</f>
        <v/>
      </c>
      <c r="AC97" s="68">
        <f>-(AC96-X96)*10000</f>
        <v/>
      </c>
      <c r="AD97" s="68">
        <f>-(AD96-Y96)*10000</f>
        <v/>
      </c>
      <c r="AE97" s="1110">
        <f>-(AE96-Z96)*10000</f>
        <v/>
      </c>
      <c r="AF97" s="68">
        <f>-(AF96-AA96)*10000</f>
        <v/>
      </c>
      <c r="AG97" s="68">
        <f>-(AG96-AB96)*10000</f>
        <v/>
      </c>
      <c r="AH97" s="68">
        <f>-(AH96-AC96)*10000</f>
        <v/>
      </c>
      <c r="AI97" s="68">
        <f>-(AI96-AD96)*10000</f>
        <v/>
      </c>
      <c r="AJ97" s="1110">
        <f>-(AJ96-AE96)*10000</f>
        <v/>
      </c>
      <c r="AK97" s="68">
        <f>-(AK96-AF96)*10000</f>
        <v/>
      </c>
      <c r="AL97" s="68">
        <f>-(AL96-AG96)*10000</f>
        <v/>
      </c>
      <c r="AM97" s="68">
        <f>-(AM96-AH96)*10000</f>
        <v/>
      </c>
      <c r="AN97" s="68">
        <f>-(AN96-AI96)*10000</f>
        <v/>
      </c>
      <c r="AO97" s="1110">
        <f>-(AO96-AJ96)*10000</f>
        <v/>
      </c>
      <c r="AP97" s="68">
        <f>-(AP96-AK96)*10000</f>
        <v/>
      </c>
      <c r="AQ97" s="68">
        <f>-(AQ96-AL96)*10000</f>
        <v/>
      </c>
      <c r="AR97" s="68">
        <f>-(AR96-AM96)*10000</f>
        <v/>
      </c>
      <c r="AS97" s="68">
        <f>-(AS96-AN96)*10000</f>
        <v/>
      </c>
      <c r="AT97" s="1110">
        <f>-(AT96-AO96)*10000</f>
        <v/>
      </c>
      <c r="AU97" s="68">
        <f>-(AU96-AP96)*10000</f>
        <v/>
      </c>
      <c r="AV97" s="68">
        <f>-(AV96-AQ96)*10000</f>
        <v/>
      </c>
      <c r="AW97" s="68">
        <f>-(AW96-AR96)*10000</f>
        <v/>
      </c>
      <c r="AX97" s="68">
        <f>-(AX96-AS96)*10000</f>
        <v/>
      </c>
      <c r="AY97" s="1110">
        <f>-(AY96-AT96)*10000</f>
        <v/>
      </c>
      <c r="AZ97" s="68">
        <f>-(AZ96-AU96)*10000</f>
        <v/>
      </c>
      <c r="BA97" s="68">
        <f>-(BA96-AV96)*10000</f>
        <v/>
      </c>
      <c r="BB97" s="68">
        <f>-(BB96-AW96)*10000</f>
        <v/>
      </c>
      <c r="BC97" s="68">
        <f>-(BC96-AX96)*10000</f>
        <v/>
      </c>
      <c r="BD97" s="1110">
        <f>-(BD96-AY96)*10000</f>
        <v/>
      </c>
      <c r="BE97" s="68">
        <f>-(BE96-AZ96)*10000</f>
        <v/>
      </c>
      <c r="BF97" s="68">
        <f>-(BF96-BA96)*10000</f>
        <v/>
      </c>
      <c r="BG97" s="68">
        <f>-(BG96-BB96)*10000</f>
        <v/>
      </c>
      <c r="BH97" s="68">
        <f>-(BH96-BC96)*10000</f>
        <v/>
      </c>
      <c r="BI97" s="1110">
        <f>-(BI96-BD96)*10000</f>
        <v/>
      </c>
      <c r="BJ97" s="68">
        <f>-(BJ96-BE96)*10000</f>
        <v/>
      </c>
      <c r="BK97" s="68">
        <f>-(BK96-BF96)*10000</f>
        <v/>
      </c>
      <c r="BL97" s="68">
        <f>-(BL96-BG96)*10000</f>
        <v/>
      </c>
      <c r="BM97" s="68">
        <f>-(BM96-BH96)*10000</f>
        <v/>
      </c>
      <c r="BN97" s="1110">
        <f>-(BN96-BI96)*10000</f>
        <v/>
      </c>
      <c r="BO97" s="68">
        <f>-(BO96-BJ96)*10000</f>
        <v/>
      </c>
      <c r="BP97" s="68">
        <f>-(BP96-BK96)*10000</f>
        <v/>
      </c>
      <c r="BQ97" s="68">
        <f>-(BQ96-BL96)*10000</f>
        <v/>
      </c>
      <c r="BR97" s="68">
        <f>-(BR96-BM96)*10000</f>
        <v/>
      </c>
      <c r="BS97" s="1110">
        <f>-(BS96-BN96)*10000</f>
        <v/>
      </c>
      <c r="BT97" s="68">
        <f>-(BT96-BO96)*10000</f>
        <v/>
      </c>
      <c r="BU97" s="68">
        <f>-(BU96-BP96)*10000</f>
        <v/>
      </c>
      <c r="BV97" s="588">
        <f>-(BV96-BQ96)*10000</f>
        <v/>
      </c>
      <c r="BW97" s="68">
        <f>-(BW96-BR96)*10000</f>
        <v/>
      </c>
      <c r="BX97" s="1110">
        <f>-(BX96-BS96)*10000</f>
        <v/>
      </c>
      <c r="BY97" s="68">
        <f>-(BY96-BT96)*10000</f>
        <v/>
      </c>
      <c r="BZ97" s="68">
        <f>-(BZ96-BU96)*10000</f>
        <v/>
      </c>
      <c r="CA97" s="68">
        <f>-(CA96-BV96)*10000</f>
        <v/>
      </c>
      <c r="CB97" s="68">
        <f>-(CB96-BW96)*10000</f>
        <v/>
      </c>
      <c r="CC97" s="1110">
        <f>-(CC96-BX96)*10000</f>
        <v/>
      </c>
      <c r="CD97" s="1110">
        <f>-(CD96-CC96)*10000</f>
        <v/>
      </c>
      <c r="CE97" s="1110">
        <f>-(CE96-CD96)*10000</f>
        <v/>
      </c>
      <c r="CF97" s="1110">
        <f>-(CF96-CE96)*10000</f>
        <v/>
      </c>
      <c r="CG97" s="155" t="n"/>
    </row>
    <row r="98" hidden="1" outlineLevel="1" ht="7.25" customHeight="1">
      <c r="A98" s="99" t="n"/>
      <c r="B98" s="598" t="n"/>
      <c r="C98" s="1110" t="n"/>
      <c r="D98" s="1110" t="n"/>
      <c r="E98" s="1110" t="n"/>
      <c r="F98" s="1110" t="n"/>
      <c r="G98" s="68" t="n"/>
      <c r="H98" s="68" t="n"/>
      <c r="I98" s="68" t="n"/>
      <c r="J98" s="68" t="n"/>
      <c r="K98" s="1110" t="n"/>
      <c r="L98" s="68" t="n"/>
      <c r="M98" s="68" t="n"/>
      <c r="N98" s="68" t="n"/>
      <c r="O98" s="68" t="n"/>
      <c r="P98" s="1110" t="n"/>
      <c r="Q98" s="68" t="n"/>
      <c r="R98" s="68" t="n"/>
      <c r="S98" s="68" t="n"/>
      <c r="T98" s="68" t="n"/>
      <c r="U98" s="1110" t="n"/>
      <c r="V98" s="68" t="n"/>
      <c r="W98" s="68" t="n"/>
      <c r="X98" s="68" t="n"/>
      <c r="Y98" s="68" t="n"/>
      <c r="Z98" s="1110" t="n"/>
      <c r="AA98" s="68" t="n"/>
      <c r="AB98" s="68" t="n"/>
      <c r="AC98" s="68" t="n"/>
      <c r="AD98" s="68" t="n"/>
      <c r="AE98" s="1110" t="n"/>
      <c r="AF98" s="68" t="n"/>
      <c r="AG98" s="68" t="n"/>
      <c r="AH98" s="68" t="n"/>
      <c r="AI98" s="68" t="n"/>
      <c r="AJ98" s="1110" t="n"/>
      <c r="AK98" s="68" t="n"/>
      <c r="AL98" s="68" t="n"/>
      <c r="AM98" s="68" t="n"/>
      <c r="AN98" s="68" t="n"/>
      <c r="AO98" s="1110" t="n"/>
      <c r="AP98" s="68" t="n"/>
      <c r="AQ98" s="68" t="n"/>
      <c r="AR98" s="68" t="n"/>
      <c r="AS98" s="68" t="n"/>
      <c r="AT98" s="1110" t="n"/>
      <c r="AU98" s="68" t="n"/>
      <c r="AV98" s="68" t="n"/>
      <c r="AW98" s="68" t="n"/>
      <c r="AX98" s="68" t="n"/>
      <c r="AY98" s="1110" t="n"/>
      <c r="AZ98" s="68" t="n"/>
      <c r="BA98" s="68" t="n"/>
      <c r="BB98" s="68" t="n"/>
      <c r="BC98" s="68" t="n"/>
      <c r="BD98" s="1110" t="n"/>
      <c r="BE98" s="68" t="n"/>
      <c r="BF98" s="68" t="n"/>
      <c r="BG98" s="68" t="n"/>
      <c r="BH98" s="68" t="n"/>
      <c r="BI98" s="1110" t="n"/>
      <c r="BJ98" s="68" t="n"/>
      <c r="BK98" s="68" t="n"/>
      <c r="BL98" s="68" t="n"/>
      <c r="BM98" s="68" t="n"/>
      <c r="BN98" s="1110" t="n"/>
      <c r="BO98" s="68" t="n"/>
      <c r="BP98" s="68" t="n"/>
      <c r="BQ98" s="68" t="n"/>
      <c r="BR98" s="68" t="n"/>
      <c r="BS98" s="1110" t="n"/>
      <c r="BT98" s="68" t="n"/>
      <c r="BU98" s="68" t="n"/>
      <c r="BV98" s="588" t="n"/>
      <c r="BW98" s="68" t="n"/>
      <c r="BX98" s="1110" t="n"/>
      <c r="BY98" s="68" t="n"/>
      <c r="BZ98" s="68" t="n"/>
      <c r="CA98" s="68" t="n"/>
      <c r="CB98" s="68" t="n"/>
      <c r="CC98" s="1110" t="n"/>
      <c r="CD98" s="1110" t="n"/>
      <c r="CE98" s="1110" t="n"/>
      <c r="CF98" s="1110" t="n"/>
      <c r="CG98" s="155" t="n"/>
    </row>
    <row r="99" hidden="1" outlineLevel="1">
      <c r="A99" s="282" t="inlineStr">
        <is>
          <t>Other OPEX Adjustments, mm</t>
        </is>
      </c>
      <c r="B99" s="639" t="n"/>
      <c r="C99" s="1121">
        <f>C384</f>
        <v/>
      </c>
      <c r="D99" s="1121">
        <f>D384</f>
        <v/>
      </c>
      <c r="E99" s="1121">
        <f>E384</f>
        <v/>
      </c>
      <c r="F99" s="1121">
        <f>F384</f>
        <v/>
      </c>
      <c r="G99" s="109">
        <f>G384</f>
        <v/>
      </c>
      <c r="H99" s="109">
        <f>H384</f>
        <v/>
      </c>
      <c r="I99" s="109">
        <f>I384</f>
        <v/>
      </c>
      <c r="J99" s="109">
        <f>J384</f>
        <v/>
      </c>
      <c r="K99" s="1121">
        <f>K384</f>
        <v/>
      </c>
      <c r="L99" s="109">
        <f>L384</f>
        <v/>
      </c>
      <c r="M99" s="109">
        <f>M384</f>
        <v/>
      </c>
      <c r="N99" s="109">
        <f>N384</f>
        <v/>
      </c>
      <c r="O99" s="109">
        <f>O384</f>
        <v/>
      </c>
      <c r="P99" s="1121">
        <f>P384</f>
        <v/>
      </c>
      <c r="Q99" s="109">
        <f>Q384</f>
        <v/>
      </c>
      <c r="R99" s="109">
        <f>R384</f>
        <v/>
      </c>
      <c r="S99" s="109">
        <f>S384</f>
        <v/>
      </c>
      <c r="T99" s="109">
        <f>T384</f>
        <v/>
      </c>
      <c r="U99" s="1121">
        <f>U384</f>
        <v/>
      </c>
      <c r="V99" s="109">
        <f>V384</f>
        <v/>
      </c>
      <c r="W99" s="109">
        <f>W384</f>
        <v/>
      </c>
      <c r="X99" s="109">
        <f>X384</f>
        <v/>
      </c>
      <c r="Y99" s="109">
        <f>Y384</f>
        <v/>
      </c>
      <c r="Z99" s="1121">
        <f>Z384</f>
        <v/>
      </c>
      <c r="AA99" s="109">
        <f>AA384</f>
        <v/>
      </c>
      <c r="AB99" s="109">
        <f>AB384</f>
        <v/>
      </c>
      <c r="AC99" s="109">
        <f>AC384</f>
        <v/>
      </c>
      <c r="AD99" s="109">
        <f>AD384</f>
        <v/>
      </c>
      <c r="AE99" s="1121">
        <f>AE384</f>
        <v/>
      </c>
      <c r="AF99" s="109">
        <f>AF384</f>
        <v/>
      </c>
      <c r="AG99" s="109">
        <f>AG384</f>
        <v/>
      </c>
      <c r="AH99" s="109">
        <f>AH384</f>
        <v/>
      </c>
      <c r="AI99" s="109">
        <f>AI384</f>
        <v/>
      </c>
      <c r="AJ99" s="1121">
        <f>AJ384</f>
        <v/>
      </c>
      <c r="AK99" s="109">
        <f>AK384</f>
        <v/>
      </c>
      <c r="AL99" s="109">
        <f>AL384</f>
        <v/>
      </c>
      <c r="AM99" s="109">
        <f>AM384</f>
        <v/>
      </c>
      <c r="AN99" s="109">
        <f>AN384</f>
        <v/>
      </c>
      <c r="AO99" s="1121">
        <f>AO384</f>
        <v/>
      </c>
      <c r="AP99" s="109">
        <f>AP384</f>
        <v/>
      </c>
      <c r="AQ99" s="109">
        <f>AQ384</f>
        <v/>
      </c>
      <c r="AR99" s="109">
        <f>AR384</f>
        <v/>
      </c>
      <c r="AS99" s="109">
        <f>AS384</f>
        <v/>
      </c>
      <c r="AT99" s="1121">
        <f>AT384</f>
        <v/>
      </c>
      <c r="AU99" s="109">
        <f>AU384</f>
        <v/>
      </c>
      <c r="AV99" s="109">
        <f>AV384</f>
        <v/>
      </c>
      <c r="AW99" s="109">
        <f>AW384</f>
        <v/>
      </c>
      <c r="AX99" s="109">
        <f>AX384</f>
        <v/>
      </c>
      <c r="AY99" s="1121">
        <f>AY384</f>
        <v/>
      </c>
      <c r="AZ99" s="109">
        <f>AZ384</f>
        <v/>
      </c>
      <c r="BA99" s="109">
        <f>BA384</f>
        <v/>
      </c>
      <c r="BB99" s="109">
        <f>BB384</f>
        <v/>
      </c>
      <c r="BC99" s="109">
        <f>BC384</f>
        <v/>
      </c>
      <c r="BD99" s="1121">
        <f>BD384</f>
        <v/>
      </c>
      <c r="BE99" s="109">
        <f>BE384</f>
        <v/>
      </c>
      <c r="BF99" s="109">
        <f>BF384</f>
        <v/>
      </c>
      <c r="BG99" s="109">
        <f>BG384</f>
        <v/>
      </c>
      <c r="BH99" s="109">
        <f>BH384</f>
        <v/>
      </c>
      <c r="BI99" s="1121">
        <f>BI384</f>
        <v/>
      </c>
      <c r="BJ99" s="109">
        <f>BJ384</f>
        <v/>
      </c>
      <c r="BK99" s="109">
        <f>BK384</f>
        <v/>
      </c>
      <c r="BL99" s="109">
        <f>BL384</f>
        <v/>
      </c>
      <c r="BM99" s="109">
        <f>BM384</f>
        <v/>
      </c>
      <c r="BN99" s="1121">
        <f>BN384</f>
        <v/>
      </c>
      <c r="BO99" s="109">
        <f>BO384</f>
        <v/>
      </c>
      <c r="BP99" s="109">
        <f>BP384</f>
        <v/>
      </c>
      <c r="BQ99" s="109">
        <f>BQ384</f>
        <v/>
      </c>
      <c r="BR99" s="109">
        <f>BR384</f>
        <v/>
      </c>
      <c r="BS99" s="1121">
        <f>BS384</f>
        <v/>
      </c>
      <c r="BT99" s="109">
        <f>BT384</f>
        <v/>
      </c>
      <c r="BU99" s="109">
        <f>BU384</f>
        <v/>
      </c>
      <c r="BV99" s="730">
        <f>BV384</f>
        <v/>
      </c>
      <c r="BW99" s="1060" t="n">
        <v>0</v>
      </c>
      <c r="BX99" s="1121">
        <f>SUM(BT99,BU99,BV99,BW99)</f>
        <v/>
      </c>
      <c r="BY99" s="1060" t="n">
        <v>0</v>
      </c>
      <c r="BZ99" s="1060" t="n">
        <v>0</v>
      </c>
      <c r="CA99" s="1060" t="n">
        <v>0</v>
      </c>
      <c r="CB99" s="1060" t="n">
        <v>0</v>
      </c>
      <c r="CC99" s="1121">
        <f>SUM(BY99,BZ99,CA99,CB99)</f>
        <v/>
      </c>
      <c r="CD99" s="1131" t="n">
        <v>0</v>
      </c>
      <c r="CE99" s="1131" t="n">
        <v>0</v>
      </c>
      <c r="CF99" s="1131" t="n">
        <v>0</v>
      </c>
      <c r="CG99" s="155" t="n"/>
    </row>
    <row r="100" collapsed="1">
      <c r="A100" s="636" t="inlineStr">
        <is>
          <t>Non-GAAP OPEX Expense, mm</t>
        </is>
      </c>
      <c r="B100" s="598" t="n"/>
      <c r="C100" s="1110">
        <f>C94-C99</f>
        <v/>
      </c>
      <c r="D100" s="1110">
        <f>D94-D99</f>
        <v/>
      </c>
      <c r="E100" s="1110">
        <f>E94-E99</f>
        <v/>
      </c>
      <c r="F100" s="1110">
        <f>F94-F99</f>
        <v/>
      </c>
      <c r="G100" s="68">
        <f>G94-G99</f>
        <v/>
      </c>
      <c r="H100" s="68">
        <f>H94-H99</f>
        <v/>
      </c>
      <c r="I100" s="68">
        <f>I94-I99</f>
        <v/>
      </c>
      <c r="J100" s="68">
        <f>J94-J99</f>
        <v/>
      </c>
      <c r="K100" s="1110">
        <f>K94-K99</f>
        <v/>
      </c>
      <c r="L100" s="68">
        <f>L94-L99</f>
        <v/>
      </c>
      <c r="M100" s="68">
        <f>M94-M99</f>
        <v/>
      </c>
      <c r="N100" s="68">
        <f>N94-N99</f>
        <v/>
      </c>
      <c r="O100" s="68">
        <f>O94-O99</f>
        <v/>
      </c>
      <c r="P100" s="1110">
        <f>P94-P99</f>
        <v/>
      </c>
      <c r="Q100" s="68">
        <f>Q94-Q99</f>
        <v/>
      </c>
      <c r="R100" s="68">
        <f>R94-R99</f>
        <v/>
      </c>
      <c r="S100" s="68">
        <f>S94-S99</f>
        <v/>
      </c>
      <c r="T100" s="68">
        <f>T94-T99</f>
        <v/>
      </c>
      <c r="U100" s="1110">
        <f>U94-U99</f>
        <v/>
      </c>
      <c r="V100" s="68">
        <f>V94-V99</f>
        <v/>
      </c>
      <c r="W100" s="68">
        <f>W94-W99</f>
        <v/>
      </c>
      <c r="X100" s="68">
        <f>X94-X99</f>
        <v/>
      </c>
      <c r="Y100" s="68">
        <f>Y94-Y99</f>
        <v/>
      </c>
      <c r="Z100" s="1110">
        <f>Z94-Z99</f>
        <v/>
      </c>
      <c r="AA100" s="68">
        <f>AA94-AA99</f>
        <v/>
      </c>
      <c r="AB100" s="68">
        <f>AB94-AB99</f>
        <v/>
      </c>
      <c r="AC100" s="68">
        <f>AC94-AC99</f>
        <v/>
      </c>
      <c r="AD100" s="68">
        <f>AD94-AD99</f>
        <v/>
      </c>
      <c r="AE100" s="1110">
        <f>AE94-AE99</f>
        <v/>
      </c>
      <c r="AF100" s="68">
        <f>AF94-AF99</f>
        <v/>
      </c>
      <c r="AG100" s="68">
        <f>AG94-AG99</f>
        <v/>
      </c>
      <c r="AH100" s="68">
        <f>AH94-AH99</f>
        <v/>
      </c>
      <c r="AI100" s="68">
        <f>AI94-AI99</f>
        <v/>
      </c>
      <c r="AJ100" s="1110">
        <f>AJ94-AJ99</f>
        <v/>
      </c>
      <c r="AK100" s="68">
        <f>AK94-AK99</f>
        <v/>
      </c>
      <c r="AL100" s="68">
        <f>AL94-AL99</f>
        <v/>
      </c>
      <c r="AM100" s="68">
        <f>AM94-AM99</f>
        <v/>
      </c>
      <c r="AN100" s="68">
        <f>AN94-AN99</f>
        <v/>
      </c>
      <c r="AO100" s="1110">
        <f>AO94-AO99</f>
        <v/>
      </c>
      <c r="AP100" s="68">
        <f>AP94-AP99</f>
        <v/>
      </c>
      <c r="AQ100" s="68">
        <f>AQ94-AQ99</f>
        <v/>
      </c>
      <c r="AR100" s="68">
        <f>AR94-AR99</f>
        <v/>
      </c>
      <c r="AS100" s="68">
        <f>AS94-AS99</f>
        <v/>
      </c>
      <c r="AT100" s="1110">
        <f>AT94-AT99</f>
        <v/>
      </c>
      <c r="AU100" s="68">
        <f>AU94-AU99</f>
        <v/>
      </c>
      <c r="AV100" s="68">
        <f>AV94-AV99</f>
        <v/>
      </c>
      <c r="AW100" s="68">
        <f>AW94-AW99</f>
        <v/>
      </c>
      <c r="AX100" s="68">
        <f>AX94-AX99</f>
        <v/>
      </c>
      <c r="AY100" s="1110">
        <f>AY94-AY99</f>
        <v/>
      </c>
      <c r="AZ100" s="68">
        <f>AZ94-AZ99</f>
        <v/>
      </c>
      <c r="BA100" s="68">
        <f>BA94-BA99</f>
        <v/>
      </c>
      <c r="BB100" s="68">
        <f>BB94-BB99</f>
        <v/>
      </c>
      <c r="BC100" s="68">
        <f>BC94-BC99</f>
        <v/>
      </c>
      <c r="BD100" s="1110">
        <f>BD94-BD99</f>
        <v/>
      </c>
      <c r="BE100" s="68">
        <f>BE94-BE99</f>
        <v/>
      </c>
      <c r="BF100" s="68">
        <f>BF94-BF99</f>
        <v/>
      </c>
      <c r="BG100" s="68">
        <f>BG94-BG99</f>
        <v/>
      </c>
      <c r="BH100" s="68">
        <f>BH94-BH99</f>
        <v/>
      </c>
      <c r="BI100" s="1110">
        <f>BI94-BI99</f>
        <v/>
      </c>
      <c r="BJ100" s="68">
        <f>BJ94-BJ99</f>
        <v/>
      </c>
      <c r="BK100" s="68">
        <f>BK94-BK99</f>
        <v/>
      </c>
      <c r="BL100" s="68">
        <f>BL94-BL99</f>
        <v/>
      </c>
      <c r="BM100" s="68">
        <f>BM94-BM99</f>
        <v/>
      </c>
      <c r="BN100" s="1110">
        <f>BN94-BN99</f>
        <v/>
      </c>
      <c r="BO100" s="68">
        <f>BO94-BO99</f>
        <v/>
      </c>
      <c r="BP100" s="68">
        <f>BP94-BP99</f>
        <v/>
      </c>
      <c r="BQ100" s="68">
        <f>BQ94-BQ99</f>
        <v/>
      </c>
      <c r="BR100" s="68">
        <f>BR94-BR99</f>
        <v/>
      </c>
      <c r="BS100" s="1110">
        <f>BS94-BS99</f>
        <v/>
      </c>
      <c r="BT100" s="68">
        <f>BT94-BT99</f>
        <v/>
      </c>
      <c r="BU100" s="68">
        <f>BU94-BU99</f>
        <v/>
      </c>
      <c r="BV100" s="588">
        <f>BV94-BV99</f>
        <v/>
      </c>
      <c r="BW100" s="1053" t="n">
        <v>0</v>
      </c>
      <c r="BX100" s="1110">
        <f>BX94-BX99</f>
        <v/>
      </c>
      <c r="BY100" s="1053" t="n">
        <v>0</v>
      </c>
      <c r="BZ100" s="1053" t="n">
        <v>0</v>
      </c>
      <c r="CA100" s="1053" t="n">
        <v>0</v>
      </c>
      <c r="CB100" s="1053" t="n">
        <v>0</v>
      </c>
      <c r="CC100" s="1110">
        <f>CC94-CC99</f>
        <v/>
      </c>
      <c r="CD100" s="1111" t="n">
        <v>0</v>
      </c>
      <c r="CE100" s="1111" t="n">
        <v>0</v>
      </c>
      <c r="CF100" s="1111" t="n">
        <v>0</v>
      </c>
      <c r="CG100" s="155" t="n"/>
    </row>
    <row r="101">
      <c r="A101" s="371" t="inlineStr">
        <is>
          <t>Y/Y Growth in non-GAAP OPEX Expense, %</t>
        </is>
      </c>
      <c r="B101" s="582" t="n"/>
      <c r="C101" s="1113" t="n"/>
      <c r="D101" s="1113">
        <f>IFERROR(D100/C100-1,"N/A")</f>
        <v/>
      </c>
      <c r="E101" s="1113">
        <f>IFERROR(E100/D100-1,"N/A")</f>
        <v/>
      </c>
      <c r="F101" s="1113">
        <f>IFERROR(F100/E100-1,"N/A")</f>
        <v/>
      </c>
      <c r="G101" s="90" t="n"/>
      <c r="H101" s="90" t="n"/>
      <c r="I101" s="90" t="n"/>
      <c r="J101" s="90" t="n"/>
      <c r="K101" s="1113">
        <f>IFERROR(K100/F100-1,"N/A")</f>
        <v/>
      </c>
      <c r="L101" s="90">
        <f>IFERROR(L100/G100-1,"N/A")</f>
        <v/>
      </c>
      <c r="M101" s="90">
        <f>IFERROR(M100/H100-1,"N/A")</f>
        <v/>
      </c>
      <c r="N101" s="90">
        <f>IFERROR(N100/I100-1,"N/A")</f>
        <v/>
      </c>
      <c r="O101" s="90">
        <f>IFERROR(O100/J100-1,"N/A")</f>
        <v/>
      </c>
      <c r="P101" s="1113">
        <f>IFERROR(P100/K100-1,"N/A")</f>
        <v/>
      </c>
      <c r="Q101" s="90">
        <f>IFERROR(Q100/L100-1,"N/A")</f>
        <v/>
      </c>
      <c r="R101" s="90">
        <f>IFERROR(R100/M100-1,"N/A")</f>
        <v/>
      </c>
      <c r="S101" s="90">
        <f>IFERROR(S100/N100-1,"N/A")</f>
        <v/>
      </c>
      <c r="T101" s="90">
        <f>IFERROR(T100/O100-1,"N/A")</f>
        <v/>
      </c>
      <c r="U101" s="1113">
        <f>IFERROR(U100/P100-1,"N/A")</f>
        <v/>
      </c>
      <c r="V101" s="90">
        <f>IFERROR(V100/Q100-1,"N/A")</f>
        <v/>
      </c>
      <c r="W101" s="90">
        <f>IFERROR(W100/R100-1,"N/A")</f>
        <v/>
      </c>
      <c r="X101" s="90">
        <f>IFERROR(X100/S100-1,"N/A")</f>
        <v/>
      </c>
      <c r="Y101" s="90">
        <f>IFERROR(Y100/T100-1,"N/A")</f>
        <v/>
      </c>
      <c r="Z101" s="1113">
        <f>IFERROR(Z100/U100-1,"N/A")</f>
        <v/>
      </c>
      <c r="AA101" s="90">
        <f>IFERROR(AA100/V100-1,"N/A")</f>
        <v/>
      </c>
      <c r="AB101" s="90">
        <f>IFERROR(AB100/W100-1,"N/A")</f>
        <v/>
      </c>
      <c r="AC101" s="90">
        <f>IFERROR(AC100/X100-1,"N/A")</f>
        <v/>
      </c>
      <c r="AD101" s="90">
        <f>IFERROR(AD100/Y100-1,"N/A")</f>
        <v/>
      </c>
      <c r="AE101" s="1113">
        <f>IFERROR(AE100/Z100-1,"N/A")</f>
        <v/>
      </c>
      <c r="AF101" s="90">
        <f>IFERROR(AF100/AA100-1,"N/A")</f>
        <v/>
      </c>
      <c r="AG101" s="90">
        <f>IFERROR(AG100/AB100-1,"N/A")</f>
        <v/>
      </c>
      <c r="AH101" s="90">
        <f>IFERROR(AH100/AC100-1,"N/A")</f>
        <v/>
      </c>
      <c r="AI101" s="90">
        <f>IFERROR(AI100/AD100-1,"N/A")</f>
        <v/>
      </c>
      <c r="AJ101" s="1113">
        <f>IFERROR(AJ100/AE100-1,"N/A")</f>
        <v/>
      </c>
      <c r="AK101" s="90">
        <f>IFERROR(AK100/AF100-1,"N/A")</f>
        <v/>
      </c>
      <c r="AL101" s="90">
        <f>IFERROR(AL100/AG100-1,"N/A")</f>
        <v/>
      </c>
      <c r="AM101" s="90">
        <f>IFERROR(AM100/AH100-1,"N/A")</f>
        <v/>
      </c>
      <c r="AN101" s="90">
        <f>IFERROR(AN100/AI100-1,"N/A")</f>
        <v/>
      </c>
      <c r="AO101" s="1113">
        <f>IFERROR(AO100/AJ100-1,"N/A")</f>
        <v/>
      </c>
      <c r="AP101" s="90">
        <f>IFERROR(AP100/AK100-1,"N/A")</f>
        <v/>
      </c>
      <c r="AQ101" s="90">
        <f>IFERROR(AQ100/AL100-1,"N/A")</f>
        <v/>
      </c>
      <c r="AR101" s="90">
        <f>IFERROR(AR100/AM100-1,"N/A")</f>
        <v/>
      </c>
      <c r="AS101" s="90">
        <f>IFERROR(AS100/AN100-1,"N/A")</f>
        <v/>
      </c>
      <c r="AT101" s="1113">
        <f>IFERROR(AT100/AO100-1,"N/A")</f>
        <v/>
      </c>
      <c r="AU101" s="90">
        <f>IFERROR(AU100/AP100-1,"N/A")</f>
        <v/>
      </c>
      <c r="AV101" s="90">
        <f>IFERROR(AV100/AQ100-1,"N/A")</f>
        <v/>
      </c>
      <c r="AW101" s="90">
        <f>IFERROR(AW100/AR100-1,"N/A")</f>
        <v/>
      </c>
      <c r="AX101" s="90">
        <f>IFERROR(AX100/AS100-1,"N/A")</f>
        <v/>
      </c>
      <c r="AY101" s="1113">
        <f>IFERROR(AY100/AT100-1,"N/A")</f>
        <v/>
      </c>
      <c r="AZ101" s="90">
        <f>IFERROR(AZ100/AU100-1,"N/A")</f>
        <v/>
      </c>
      <c r="BA101" s="90">
        <f>IFERROR(BA100/AV100-1,"N/A")</f>
        <v/>
      </c>
      <c r="BB101" s="90">
        <f>IFERROR(BB100/AW100-1,"N/A")</f>
        <v/>
      </c>
      <c r="BC101" s="90">
        <f>IFERROR(BC100/AX100-1,"N/A")</f>
        <v/>
      </c>
      <c r="BD101" s="1113">
        <f>IFERROR(BD100/AY100-1,"N/A")</f>
        <v/>
      </c>
      <c r="BE101" s="90">
        <f>IFERROR(BE100/AZ100-1,"N/A")</f>
        <v/>
      </c>
      <c r="BF101" s="90">
        <f>IFERROR(BF100/BA100-1,"N/A")</f>
        <v/>
      </c>
      <c r="BG101" s="90">
        <f>IFERROR(BG100/BB100-1,"N/A")</f>
        <v/>
      </c>
      <c r="BH101" s="90">
        <f>IFERROR(BH100/BC100-1,"N/A")</f>
        <v/>
      </c>
      <c r="BI101" s="1113">
        <f>IFERROR(BI100/BD100-1,"N/A")</f>
        <v/>
      </c>
      <c r="BJ101" s="90">
        <f>IFERROR(BJ100/BE100-1,"N/A")</f>
        <v/>
      </c>
      <c r="BK101" s="90">
        <f>IFERROR(BK100/BF100-1,"N/A")</f>
        <v/>
      </c>
      <c r="BL101" s="90">
        <f>IFERROR(BL100/BG100-1,"N/A")</f>
        <v/>
      </c>
      <c r="BM101" s="90">
        <f>IFERROR(BM100/BH100-1,"N/A")</f>
        <v/>
      </c>
      <c r="BN101" s="1113">
        <f>IFERROR(BN100/BI100-1,"N/A")</f>
        <v/>
      </c>
      <c r="BO101" s="90">
        <f>IFERROR(BO100/BJ100-1,"N/A")</f>
        <v/>
      </c>
      <c r="BP101" s="90">
        <f>IFERROR(BP100/BK100-1,"N/A")</f>
        <v/>
      </c>
      <c r="BQ101" s="90">
        <f>IFERROR(BQ100/BL100-1,"N/A")</f>
        <v/>
      </c>
      <c r="BR101" s="90">
        <f>IFERROR(BR100/BM100-1,"N/A")</f>
        <v/>
      </c>
      <c r="BS101" s="1113">
        <f>IFERROR(BS100/BN100-1,"N/A")</f>
        <v/>
      </c>
      <c r="BT101" s="90">
        <f>IFERROR(BT100/BO100-1,"N/A")</f>
        <v/>
      </c>
      <c r="BU101" s="90">
        <f>IFERROR(BU100/BP100-1,"N/A")</f>
        <v/>
      </c>
      <c r="BV101" s="880">
        <f>IFERROR(BV100/BQ100-1,"N/A")</f>
        <v/>
      </c>
      <c r="BW101" s="90">
        <f>IFERROR(BW100/BR100-1,"N/A")</f>
        <v/>
      </c>
      <c r="BX101" s="1113">
        <f>IFERROR(BX100/BS100-1,"N/A")</f>
        <v/>
      </c>
      <c r="BY101" s="90">
        <f>IFERROR(BY100/BT100-1,"N/A")</f>
        <v/>
      </c>
      <c r="BZ101" s="90">
        <f>IFERROR(BZ100/BU100-1,"N/A")</f>
        <v/>
      </c>
      <c r="CA101" s="90">
        <f>IFERROR(CA100/BV100-1,"N/A")</f>
        <v/>
      </c>
      <c r="CB101" s="90">
        <f>IFERROR(CB100/BW100-1,"N/A")</f>
        <v/>
      </c>
      <c r="CC101" s="1113">
        <f>IFERROR(CC100/BX100-1,"N/A")</f>
        <v/>
      </c>
      <c r="CD101" s="1113">
        <f>IFERROR(CD100/CC100-1,"N/A")</f>
        <v/>
      </c>
      <c r="CE101" s="1113">
        <f>IFERROR(CE100/CD100-1,"N/A")</f>
        <v/>
      </c>
      <c r="CF101" s="1113">
        <f>IFERROR(CF100/CE100-1,"N/A")</f>
        <v/>
      </c>
      <c r="CG101" s="155" t="n"/>
    </row>
    <row r="102">
      <c r="A102" s="621" t="inlineStr">
        <is>
          <t>Non-GAAP OPEX Margin, %</t>
        </is>
      </c>
      <c r="B102" s="202" t="n"/>
      <c r="C102" s="1126">
        <f>C100/C44</f>
        <v/>
      </c>
      <c r="D102" s="1126">
        <f>D100/D44</f>
        <v/>
      </c>
      <c r="E102" s="1126">
        <f>E100/E44</f>
        <v/>
      </c>
      <c r="F102" s="1126">
        <f>F100/F44</f>
        <v/>
      </c>
      <c r="G102" s="315">
        <f>G100/G44</f>
        <v/>
      </c>
      <c r="H102" s="315">
        <f>H100/H44</f>
        <v/>
      </c>
      <c r="I102" s="315">
        <f>I100/I44</f>
        <v/>
      </c>
      <c r="J102" s="315">
        <f>J100/J44</f>
        <v/>
      </c>
      <c r="K102" s="1126">
        <f>K100/K44</f>
        <v/>
      </c>
      <c r="L102" s="315">
        <f>L100/L44</f>
        <v/>
      </c>
      <c r="M102" s="315">
        <f>M100/M44</f>
        <v/>
      </c>
      <c r="N102" s="315">
        <f>N100/N44</f>
        <v/>
      </c>
      <c r="O102" s="315">
        <f>O100/O44</f>
        <v/>
      </c>
      <c r="P102" s="1126">
        <f>P100/P44</f>
        <v/>
      </c>
      <c r="Q102" s="315">
        <f>Q100/Q44</f>
        <v/>
      </c>
      <c r="R102" s="315">
        <f>R100/R44</f>
        <v/>
      </c>
      <c r="S102" s="315">
        <f>S100/S44</f>
        <v/>
      </c>
      <c r="T102" s="315">
        <f>T100/T44</f>
        <v/>
      </c>
      <c r="U102" s="1126">
        <f>U100/U44</f>
        <v/>
      </c>
      <c r="V102" s="315">
        <f>V100/V44</f>
        <v/>
      </c>
      <c r="W102" s="315">
        <f>W100/W44</f>
        <v/>
      </c>
      <c r="X102" s="315">
        <f>X100/X44</f>
        <v/>
      </c>
      <c r="Y102" s="315">
        <f>Y100/Y44</f>
        <v/>
      </c>
      <c r="Z102" s="1126">
        <f>Z100/Z44</f>
        <v/>
      </c>
      <c r="AA102" s="315">
        <f>AA100/AA44</f>
        <v/>
      </c>
      <c r="AB102" s="315">
        <f>AB100/AB44</f>
        <v/>
      </c>
      <c r="AC102" s="315">
        <f>AC100/AC44</f>
        <v/>
      </c>
      <c r="AD102" s="315">
        <f>AD100/AD44</f>
        <v/>
      </c>
      <c r="AE102" s="1126">
        <f>AE100/AE44</f>
        <v/>
      </c>
      <c r="AF102" s="315">
        <f>AF100/AF44</f>
        <v/>
      </c>
      <c r="AG102" s="315">
        <f>AG100/AG44</f>
        <v/>
      </c>
      <c r="AH102" s="315">
        <f>AH100/AH44</f>
        <v/>
      </c>
      <c r="AI102" s="315">
        <f>AI100/AI44</f>
        <v/>
      </c>
      <c r="AJ102" s="1126">
        <f>AJ100/AJ44</f>
        <v/>
      </c>
      <c r="AK102" s="315">
        <f>AK100/AK44</f>
        <v/>
      </c>
      <c r="AL102" s="315">
        <f>AL100/AL44</f>
        <v/>
      </c>
      <c r="AM102" s="315">
        <f>AM100/AM44</f>
        <v/>
      </c>
      <c r="AN102" s="315">
        <f>AN100/AN44</f>
        <v/>
      </c>
      <c r="AO102" s="1126">
        <f>AO100/AO44</f>
        <v/>
      </c>
      <c r="AP102" s="315">
        <f>AP100/AP44</f>
        <v/>
      </c>
      <c r="AQ102" s="315">
        <f>AQ100/AQ44</f>
        <v/>
      </c>
      <c r="AR102" s="315">
        <f>AR100/AR44</f>
        <v/>
      </c>
      <c r="AS102" s="315">
        <f>AS100/AS44</f>
        <v/>
      </c>
      <c r="AT102" s="1126">
        <f>AT100/AT44</f>
        <v/>
      </c>
      <c r="AU102" s="315">
        <f>AU100/AU44</f>
        <v/>
      </c>
      <c r="AV102" s="315">
        <f>AV100/AV44</f>
        <v/>
      </c>
      <c r="AW102" s="315">
        <f>AW100/AW44</f>
        <v/>
      </c>
      <c r="AX102" s="315">
        <f>AX100/AX44</f>
        <v/>
      </c>
      <c r="AY102" s="1126">
        <f>AY100/AY44</f>
        <v/>
      </c>
      <c r="AZ102" s="315">
        <f>AZ100/AZ44</f>
        <v/>
      </c>
      <c r="BA102" s="315">
        <f>BA100/BA44</f>
        <v/>
      </c>
      <c r="BB102" s="315">
        <f>BB100/BB44</f>
        <v/>
      </c>
      <c r="BC102" s="315">
        <f>BC100/BC44</f>
        <v/>
      </c>
      <c r="BD102" s="1126">
        <f>BD100/BD44</f>
        <v/>
      </c>
      <c r="BE102" s="315">
        <f>BE100/BE44</f>
        <v/>
      </c>
      <c r="BF102" s="315">
        <f>BF100/BF44</f>
        <v/>
      </c>
      <c r="BG102" s="315">
        <f>BG100/BG44</f>
        <v/>
      </c>
      <c r="BH102" s="315">
        <f>BH100/BH44</f>
        <v/>
      </c>
      <c r="BI102" s="1126">
        <f>BI100/BI44</f>
        <v/>
      </c>
      <c r="BJ102" s="315">
        <f>BJ100/BJ44</f>
        <v/>
      </c>
      <c r="BK102" s="315">
        <f>BK100/BK44</f>
        <v/>
      </c>
      <c r="BL102" s="315">
        <f>BL100/BL44</f>
        <v/>
      </c>
      <c r="BM102" s="315">
        <f>BM100/BM44</f>
        <v/>
      </c>
      <c r="BN102" s="1126">
        <f>BN100/BN44</f>
        <v/>
      </c>
      <c r="BO102" s="315">
        <f>BO100/BO44</f>
        <v/>
      </c>
      <c r="BP102" s="315">
        <f>BP100/BP44</f>
        <v/>
      </c>
      <c r="BQ102" s="315">
        <f>BQ100/BQ44</f>
        <v/>
      </c>
      <c r="BR102" s="315">
        <f>BR100/BR44</f>
        <v/>
      </c>
      <c r="BS102" s="1126">
        <f>BS100/BS44</f>
        <v/>
      </c>
      <c r="BT102" s="315">
        <f>BT100/BT44</f>
        <v/>
      </c>
      <c r="BU102" s="315">
        <f>BU100/BU44</f>
        <v/>
      </c>
      <c r="BV102" s="885">
        <f>BV100/BV44</f>
        <v/>
      </c>
      <c r="BW102" s="315">
        <f>BW100/BW44</f>
        <v/>
      </c>
      <c r="BX102" s="1126">
        <f>BX100/BX44</f>
        <v/>
      </c>
      <c r="BY102" s="315">
        <f>BY100/BY44</f>
        <v/>
      </c>
      <c r="BZ102" s="315">
        <f>BZ100/BZ44</f>
        <v/>
      </c>
      <c r="CA102" s="315">
        <f>CA100/CA44</f>
        <v/>
      </c>
      <c r="CB102" s="315">
        <f>CB100/CB44</f>
        <v/>
      </c>
      <c r="CC102" s="1126">
        <f>CC100/CC44</f>
        <v/>
      </c>
      <c r="CD102" s="1126">
        <f>CD100/CD44</f>
        <v/>
      </c>
      <c r="CE102" s="1126">
        <f>CE100/CE44</f>
        <v/>
      </c>
      <c r="CF102" s="1126">
        <f>CF100/CF44</f>
        <v/>
      </c>
      <c r="CG102" s="155" t="n"/>
    </row>
    <row r="103">
      <c r="A103" s="99" t="inlineStr">
        <is>
          <t>Y/Y Improvement in Non-GAAP OPEX Margin, bps</t>
        </is>
      </c>
      <c r="B103" s="598" t="n"/>
      <c r="C103" s="1110" t="n"/>
      <c r="D103" s="1110">
        <f>-(D102-C102)*10000</f>
        <v/>
      </c>
      <c r="E103" s="1110">
        <f>-(E102-D102)*10000</f>
        <v/>
      </c>
      <c r="F103" s="1110">
        <f>-(F102-E102)*10000</f>
        <v/>
      </c>
      <c r="G103" s="68" t="n"/>
      <c r="H103" s="68" t="n"/>
      <c r="I103" s="68" t="n"/>
      <c r="J103" s="68" t="n"/>
      <c r="K103" s="1110">
        <f>-(K102-F102)*10000</f>
        <v/>
      </c>
      <c r="L103" s="68">
        <f>-(L102-G102)*10000</f>
        <v/>
      </c>
      <c r="M103" s="68">
        <f>-(M102-H102)*10000</f>
        <v/>
      </c>
      <c r="N103" s="68">
        <f>-(N102-I102)*10000</f>
        <v/>
      </c>
      <c r="O103" s="68">
        <f>-(O102-J102)*10000</f>
        <v/>
      </c>
      <c r="P103" s="1110">
        <f>-(P102-K102)*10000</f>
        <v/>
      </c>
      <c r="Q103" s="68">
        <f>-(Q102-L102)*10000</f>
        <v/>
      </c>
      <c r="R103" s="68">
        <f>-(R102-M102)*10000</f>
        <v/>
      </c>
      <c r="S103" s="68">
        <f>-(S102-N102)*10000</f>
        <v/>
      </c>
      <c r="T103" s="68">
        <f>-(T102-O102)*10000</f>
        <v/>
      </c>
      <c r="U103" s="1110">
        <f>-(U102-P102)*10000</f>
        <v/>
      </c>
      <c r="V103" s="68">
        <f>-(V102-Q102)*10000</f>
        <v/>
      </c>
      <c r="W103" s="68">
        <f>-(W102-R102)*10000</f>
        <v/>
      </c>
      <c r="X103" s="68">
        <f>-(X102-S102)*10000</f>
        <v/>
      </c>
      <c r="Y103" s="68">
        <f>-(Y102-T102)*10000</f>
        <v/>
      </c>
      <c r="Z103" s="1110">
        <f>-(Z102-U102)*10000</f>
        <v/>
      </c>
      <c r="AA103" s="68">
        <f>-(AA102-V102)*10000</f>
        <v/>
      </c>
      <c r="AB103" s="68">
        <f>-(AB102-W102)*10000</f>
        <v/>
      </c>
      <c r="AC103" s="68">
        <f>-(AC102-X102)*10000</f>
        <v/>
      </c>
      <c r="AD103" s="68">
        <f>-(AD102-Y102)*10000</f>
        <v/>
      </c>
      <c r="AE103" s="1110">
        <f>-(AE102-Z102)*10000</f>
        <v/>
      </c>
      <c r="AF103" s="68">
        <f>-(AF102-AA102)*10000</f>
        <v/>
      </c>
      <c r="AG103" s="68">
        <f>-(AG102-AB102)*10000</f>
        <v/>
      </c>
      <c r="AH103" s="68">
        <f>-(AH102-AC102)*10000</f>
        <v/>
      </c>
      <c r="AI103" s="68">
        <f>-(AI102-AD102)*10000</f>
        <v/>
      </c>
      <c r="AJ103" s="1110">
        <f>-(AJ102-AE102)*10000</f>
        <v/>
      </c>
      <c r="AK103" s="68">
        <f>-(AK102-AF102)*10000</f>
        <v/>
      </c>
      <c r="AL103" s="68">
        <f>-(AL102-AG102)*10000</f>
        <v/>
      </c>
      <c r="AM103" s="68">
        <f>-(AM102-AH102)*10000</f>
        <v/>
      </c>
      <c r="AN103" s="68">
        <f>-(AN102-AI102)*10000</f>
        <v/>
      </c>
      <c r="AO103" s="1110">
        <f>-(AO102-AJ102)*10000</f>
        <v/>
      </c>
      <c r="AP103" s="68">
        <f>-(AP102-AK102)*10000</f>
        <v/>
      </c>
      <c r="AQ103" s="68">
        <f>-(AQ102-AL102)*10000</f>
        <v/>
      </c>
      <c r="AR103" s="68">
        <f>-(AR102-AM102)*10000</f>
        <v/>
      </c>
      <c r="AS103" s="68">
        <f>-(AS102-AN102)*10000</f>
        <v/>
      </c>
      <c r="AT103" s="1110">
        <f>-(AT102-AO102)*10000</f>
        <v/>
      </c>
      <c r="AU103" s="68">
        <f>-(AU102-AP102)*10000</f>
        <v/>
      </c>
      <c r="AV103" s="68">
        <f>-(AV102-AQ102)*10000</f>
        <v/>
      </c>
      <c r="AW103" s="68">
        <f>-(AW102-AR102)*10000</f>
        <v/>
      </c>
      <c r="AX103" s="68">
        <f>-(AX102-AS102)*10000</f>
        <v/>
      </c>
      <c r="AY103" s="1110">
        <f>-(AY102-AT102)*10000</f>
        <v/>
      </c>
      <c r="AZ103" s="68">
        <f>-(AZ102-AU102)*10000</f>
        <v/>
      </c>
      <c r="BA103" s="68">
        <f>-(BA102-AV102)*10000</f>
        <v/>
      </c>
      <c r="BB103" s="68">
        <f>-(BB102-AW102)*10000</f>
        <v/>
      </c>
      <c r="BC103" s="68">
        <f>-(BC102-AX102)*10000</f>
        <v/>
      </c>
      <c r="BD103" s="1110">
        <f>-(BD102-AY102)*10000</f>
        <v/>
      </c>
      <c r="BE103" s="68">
        <f>-(BE102-AZ102)*10000</f>
        <v/>
      </c>
      <c r="BF103" s="68">
        <f>-(BF102-BA102)*10000</f>
        <v/>
      </c>
      <c r="BG103" s="68">
        <f>-(BG102-BB102)*10000</f>
        <v/>
      </c>
      <c r="BH103" s="68">
        <f>-(BH102-BC102)*10000</f>
        <v/>
      </c>
      <c r="BI103" s="1110">
        <f>-(BI102-BD102)*10000</f>
        <v/>
      </c>
      <c r="BJ103" s="68">
        <f>-(BJ102-BE102)*10000</f>
        <v/>
      </c>
      <c r="BK103" s="68">
        <f>-(BK102-BF102)*10000</f>
        <v/>
      </c>
      <c r="BL103" s="68">
        <f>-(BL102-BG102)*10000</f>
        <v/>
      </c>
      <c r="BM103" s="68">
        <f>-(BM102-BH102)*10000</f>
        <v/>
      </c>
      <c r="BN103" s="1110">
        <f>-(BN102-BI102)*10000</f>
        <v/>
      </c>
      <c r="BO103" s="68">
        <f>-(BO102-BJ102)*10000</f>
        <v/>
      </c>
      <c r="BP103" s="68">
        <f>-(BP102-BK102)*10000</f>
        <v/>
      </c>
      <c r="BQ103" s="68">
        <f>-(BQ102-BL102)*10000</f>
        <v/>
      </c>
      <c r="BR103" s="68">
        <f>-(BR102-BM102)*10000</f>
        <v/>
      </c>
      <c r="BS103" s="1110">
        <f>-(BS102-BN102)*10000</f>
        <v/>
      </c>
      <c r="BT103" s="68">
        <f>-(BT102-BO102)*10000</f>
        <v/>
      </c>
      <c r="BU103" s="68">
        <f>-(BU102-BP102)*10000</f>
        <v/>
      </c>
      <c r="BV103" s="588">
        <f>-(BV102-BQ102)*10000</f>
        <v/>
      </c>
      <c r="BW103" s="68">
        <f>-(BW102-BR102)*10000</f>
        <v/>
      </c>
      <c r="BX103" s="1110">
        <f>-(BX102-BS102)*10000</f>
        <v/>
      </c>
      <c r="BY103" s="68">
        <f>-(BY102-BT102)*10000</f>
        <v/>
      </c>
      <c r="BZ103" s="68">
        <f>-(BZ102-BU102)*10000</f>
        <v/>
      </c>
      <c r="CA103" s="68">
        <f>-(CA102-BV102)*10000</f>
        <v/>
      </c>
      <c r="CB103" s="68">
        <f>-(CB102-BW102)*10000</f>
        <v/>
      </c>
      <c r="CC103" s="1110">
        <f>-(CC102-BX102)*10000</f>
        <v/>
      </c>
      <c r="CD103" s="1110">
        <f>-(CD102-CC102)*10000</f>
        <v/>
      </c>
      <c r="CE103" s="1110">
        <f>-(CE102-CD102)*10000</f>
        <v/>
      </c>
      <c r="CF103" s="1110">
        <f>-(CF102-CE102)*10000</f>
        <v/>
      </c>
      <c r="CG103" s="155" t="n"/>
    </row>
    <row r="104">
      <c r="A104" s="647" t="n"/>
      <c r="B104" s="202" t="n"/>
      <c r="C104" s="1126" t="n"/>
      <c r="D104" s="1126" t="n"/>
      <c r="E104" s="1126" t="n"/>
      <c r="F104" s="1126" t="n"/>
      <c r="G104" s="315" t="n"/>
      <c r="H104" s="315" t="n"/>
      <c r="I104" s="315" t="n"/>
      <c r="J104" s="315" t="n"/>
      <c r="K104" s="1126" t="n"/>
      <c r="L104" s="315" t="n"/>
      <c r="M104" s="315" t="n"/>
      <c r="N104" s="315" t="n"/>
      <c r="O104" s="315" t="n"/>
      <c r="P104" s="1126" t="n"/>
      <c r="Q104" s="315" t="n"/>
      <c r="R104" s="315" t="n"/>
      <c r="S104" s="315" t="n"/>
      <c r="T104" s="315" t="n"/>
      <c r="U104" s="1126" t="n"/>
      <c r="V104" s="315" t="n"/>
      <c r="W104" s="315" t="n"/>
      <c r="X104" s="315" t="n"/>
      <c r="Y104" s="315" t="n"/>
      <c r="Z104" s="1126" t="n"/>
      <c r="AA104" s="315" t="n"/>
      <c r="AB104" s="315" t="n"/>
      <c r="AC104" s="315" t="n"/>
      <c r="AD104" s="315" t="n"/>
      <c r="AE104" s="1126" t="n"/>
      <c r="AF104" s="315" t="n"/>
      <c r="AG104" s="315" t="n"/>
      <c r="AH104" s="315" t="n"/>
      <c r="AI104" s="315" t="n"/>
      <c r="AJ104" s="1126" t="n"/>
      <c r="AK104" s="315" t="n"/>
      <c r="AL104" s="315" t="n"/>
      <c r="AM104" s="315" t="n"/>
      <c r="AN104" s="315" t="n"/>
      <c r="AO104" s="1126" t="n"/>
      <c r="AP104" s="315" t="n"/>
      <c r="AQ104" s="315" t="n"/>
      <c r="AR104" s="315" t="n"/>
      <c r="AS104" s="315" t="n"/>
      <c r="AT104" s="1126" t="n"/>
      <c r="AU104" s="315" t="n"/>
      <c r="AV104" s="315" t="n"/>
      <c r="AW104" s="315" t="n"/>
      <c r="AX104" s="315" t="n"/>
      <c r="AY104" s="1126" t="n"/>
      <c r="AZ104" s="315" t="n"/>
      <c r="BA104" s="315" t="n"/>
      <c r="BB104" s="315" t="n"/>
      <c r="BC104" s="315" t="n"/>
      <c r="BD104" s="1126" t="n"/>
      <c r="BE104" s="315" t="n"/>
      <c r="BF104" s="315" t="n"/>
      <c r="BG104" s="315" t="n"/>
      <c r="BH104" s="315" t="n"/>
      <c r="BI104" s="1126" t="n"/>
      <c r="BJ104" s="315" t="n"/>
      <c r="BK104" s="315" t="n"/>
      <c r="BL104" s="315" t="n"/>
      <c r="BM104" s="315" t="n"/>
      <c r="BN104" s="1126" t="n"/>
      <c r="BO104" s="315" t="n"/>
      <c r="BP104" s="315" t="n"/>
      <c r="BQ104" s="315" t="n"/>
      <c r="BR104" s="315" t="n"/>
      <c r="BS104" s="1126" t="n"/>
      <c r="BT104" s="315" t="n"/>
      <c r="BU104" s="315" t="n"/>
      <c r="BV104" s="885" t="n"/>
      <c r="BW104" s="315" t="n"/>
      <c r="BX104" s="1126" t="n"/>
      <c r="BY104" s="315" t="n"/>
      <c r="BZ104" s="315" t="n"/>
      <c r="CA104" s="315" t="n"/>
      <c r="CB104" s="315" t="n"/>
      <c r="CC104" s="1126" t="n"/>
      <c r="CD104" s="1126" t="n"/>
      <c r="CE104" s="1126" t="n"/>
      <c r="CF104" s="1126" t="n"/>
      <c r="CG104" s="155" t="n"/>
    </row>
    <row r="105">
      <c r="A105" s="99" t="inlineStr">
        <is>
          <t>Other Non-GAAP Operating Items, mm</t>
        </is>
      </c>
      <c r="B105" s="598" t="n"/>
      <c r="C105" s="1110">
        <f>C387</f>
        <v/>
      </c>
      <c r="D105" s="1110">
        <f>D387</f>
        <v/>
      </c>
      <c r="E105" s="1110">
        <f>E387</f>
        <v/>
      </c>
      <c r="F105" s="1110">
        <f>F387</f>
        <v/>
      </c>
      <c r="G105" s="68">
        <f>G387</f>
        <v/>
      </c>
      <c r="H105" s="68">
        <f>H387</f>
        <v/>
      </c>
      <c r="I105" s="68">
        <f>I387</f>
        <v/>
      </c>
      <c r="J105" s="68">
        <f>J387</f>
        <v/>
      </c>
      <c r="K105" s="1110">
        <f>K387</f>
        <v/>
      </c>
      <c r="L105" s="68">
        <f>L387</f>
        <v/>
      </c>
      <c r="M105" s="68">
        <f>M387</f>
        <v/>
      </c>
      <c r="N105" s="68">
        <f>N387</f>
        <v/>
      </c>
      <c r="O105" s="68">
        <f>O387</f>
        <v/>
      </c>
      <c r="P105" s="1110">
        <f>P387</f>
        <v/>
      </c>
      <c r="Q105" s="68">
        <f>Q387</f>
        <v/>
      </c>
      <c r="R105" s="68">
        <f>R387</f>
        <v/>
      </c>
      <c r="S105" s="68">
        <f>S387</f>
        <v/>
      </c>
      <c r="T105" s="68">
        <f>T387</f>
        <v/>
      </c>
      <c r="U105" s="1110">
        <f>U387</f>
        <v/>
      </c>
      <c r="V105" s="68">
        <f>V387</f>
        <v/>
      </c>
      <c r="W105" s="68">
        <f>W387</f>
        <v/>
      </c>
      <c r="X105" s="68">
        <f>X387</f>
        <v/>
      </c>
      <c r="Y105" s="68">
        <f>Y387</f>
        <v/>
      </c>
      <c r="Z105" s="1110">
        <f>Z387</f>
        <v/>
      </c>
      <c r="AA105" s="68">
        <f>AA387</f>
        <v/>
      </c>
      <c r="AB105" s="68">
        <f>AB387</f>
        <v/>
      </c>
      <c r="AC105" s="68">
        <f>AC387</f>
        <v/>
      </c>
      <c r="AD105" s="68">
        <f>AD387</f>
        <v/>
      </c>
      <c r="AE105" s="1110">
        <f>AE387</f>
        <v/>
      </c>
      <c r="AF105" s="68">
        <f>AF387</f>
        <v/>
      </c>
      <c r="AG105" s="68">
        <f>AG387</f>
        <v/>
      </c>
      <c r="AH105" s="68">
        <f>AH387</f>
        <v/>
      </c>
      <c r="AI105" s="68">
        <f>AI387</f>
        <v/>
      </c>
      <c r="AJ105" s="1110">
        <f>AJ387</f>
        <v/>
      </c>
      <c r="AK105" s="68">
        <f>AK387</f>
        <v/>
      </c>
      <c r="AL105" s="68">
        <f>AL387</f>
        <v/>
      </c>
      <c r="AM105" s="68">
        <f>AM387</f>
        <v/>
      </c>
      <c r="AN105" s="68">
        <f>AN387</f>
        <v/>
      </c>
      <c r="AO105" s="1110">
        <f>AO387</f>
        <v/>
      </c>
      <c r="AP105" s="68">
        <f>AP387</f>
        <v/>
      </c>
      <c r="AQ105" s="68">
        <f>AQ387</f>
        <v/>
      </c>
      <c r="AR105" s="68">
        <f>AR387</f>
        <v/>
      </c>
      <c r="AS105" s="68">
        <f>AS387</f>
        <v/>
      </c>
      <c r="AT105" s="1110">
        <f>AT387</f>
        <v/>
      </c>
      <c r="AU105" s="68">
        <f>AU387</f>
        <v/>
      </c>
      <c r="AV105" s="68">
        <f>AV387</f>
        <v/>
      </c>
      <c r="AW105" s="68">
        <f>AW387</f>
        <v/>
      </c>
      <c r="AX105" s="68">
        <f>AX387</f>
        <v/>
      </c>
      <c r="AY105" s="1110">
        <f>AY387</f>
        <v/>
      </c>
      <c r="AZ105" s="68">
        <f>AZ387</f>
        <v/>
      </c>
      <c r="BA105" s="68">
        <f>BA387</f>
        <v/>
      </c>
      <c r="BB105" s="68">
        <f>BB387</f>
        <v/>
      </c>
      <c r="BC105" s="68">
        <f>BC387</f>
        <v/>
      </c>
      <c r="BD105" s="1110">
        <f>BD387</f>
        <v/>
      </c>
      <c r="BE105" s="68">
        <f>BE387</f>
        <v/>
      </c>
      <c r="BF105" s="68">
        <f>BF387</f>
        <v/>
      </c>
      <c r="BG105" s="68">
        <f>BG387</f>
        <v/>
      </c>
      <c r="BH105" s="68">
        <f>BH387</f>
        <v/>
      </c>
      <c r="BI105" s="1110">
        <f>BI387</f>
        <v/>
      </c>
      <c r="BJ105" s="68">
        <f>BJ387</f>
        <v/>
      </c>
      <c r="BK105" s="68">
        <f>BK387</f>
        <v/>
      </c>
      <c r="BL105" s="68">
        <f>BL387</f>
        <v/>
      </c>
      <c r="BM105" s="68">
        <f>BM387</f>
        <v/>
      </c>
      <c r="BN105" s="1110">
        <f>BN387</f>
        <v/>
      </c>
      <c r="BO105" s="68">
        <f>BO387</f>
        <v/>
      </c>
      <c r="BP105" s="68">
        <f>BP387</f>
        <v/>
      </c>
      <c r="BQ105" s="68">
        <f>BQ387</f>
        <v/>
      </c>
      <c r="BR105" s="68">
        <f>BR387</f>
        <v/>
      </c>
      <c r="BS105" s="1110">
        <f>BS387</f>
        <v/>
      </c>
      <c r="BT105" s="68">
        <f>BT387</f>
        <v/>
      </c>
      <c r="BU105" s="68">
        <f>BU387</f>
        <v/>
      </c>
      <c r="BV105" s="588">
        <f>BV387</f>
        <v/>
      </c>
      <c r="BW105" s="1053" t="n">
        <v>0</v>
      </c>
      <c r="BX105" s="1110">
        <f>SUM(BT105,BU105,BV105,BW105)</f>
        <v/>
      </c>
      <c r="BY105" s="1053" t="n">
        <v>0</v>
      </c>
      <c r="BZ105" s="1053" t="n">
        <v>0</v>
      </c>
      <c r="CA105" s="1053" t="n">
        <v>0</v>
      </c>
      <c r="CB105" s="1053" t="n">
        <v>0</v>
      </c>
      <c r="CC105" s="1110">
        <f>SUM(BY105,BZ105,CA105,CB105)</f>
        <v/>
      </c>
      <c r="CD105" s="1111" t="n">
        <v>0</v>
      </c>
      <c r="CE105" s="1111" t="n">
        <v>0</v>
      </c>
      <c r="CF105" s="1111" t="n">
        <v>0</v>
      </c>
      <c r="CG105" s="155" t="n"/>
    </row>
    <row r="106">
      <c r="A106" s="631" t="inlineStr">
        <is>
          <t>Non-GAAP Operating Income, mm</t>
        </is>
      </c>
      <c r="B106" s="599" t="n"/>
      <c r="C106" s="1122">
        <f>C57-C74-C89-C100-C105</f>
        <v/>
      </c>
      <c r="D106" s="1122">
        <f>D57-D74-D89-D100-D105</f>
        <v/>
      </c>
      <c r="E106" s="1122">
        <f>E57-E74-E89-E100-E105</f>
        <v/>
      </c>
      <c r="F106" s="1122">
        <f>F57-F74-F89-F100-F105</f>
        <v/>
      </c>
      <c r="G106" s="61">
        <f>G57-G74-G89-G100-G105</f>
        <v/>
      </c>
      <c r="H106" s="61">
        <f>H57-H74-H89-H100-H105</f>
        <v/>
      </c>
      <c r="I106" s="61">
        <f>I57-I74-I89-I100-I105</f>
        <v/>
      </c>
      <c r="J106" s="61">
        <f>J57-J74-J89-J100-J105</f>
        <v/>
      </c>
      <c r="K106" s="1122">
        <f>K57-K74-K89-K100-K105</f>
        <v/>
      </c>
      <c r="L106" s="61">
        <f>L57-L74-L89-L100-L105</f>
        <v/>
      </c>
      <c r="M106" s="61">
        <f>M57-M74-M89-M100-M105</f>
        <v/>
      </c>
      <c r="N106" s="61">
        <f>N57-N74-N89-N100-N105</f>
        <v/>
      </c>
      <c r="O106" s="61">
        <f>O57-O74-O89-O100-O105</f>
        <v/>
      </c>
      <c r="P106" s="1122">
        <f>P57-P74-P89-P100-P105</f>
        <v/>
      </c>
      <c r="Q106" s="61">
        <f>Q57-Q74-Q89-Q100-Q105</f>
        <v/>
      </c>
      <c r="R106" s="61">
        <f>R57-R74-R89-R100-R105</f>
        <v/>
      </c>
      <c r="S106" s="61">
        <f>S57-S74-S89-S100-S105</f>
        <v/>
      </c>
      <c r="T106" s="61">
        <f>T57-T74-T89-T100-T105</f>
        <v/>
      </c>
      <c r="U106" s="1122">
        <f>U57-U74-U89-U100-U105</f>
        <v/>
      </c>
      <c r="V106" s="61">
        <f>V57-V74-V89-V100-V105</f>
        <v/>
      </c>
      <c r="W106" s="61">
        <f>W57-W74-W89-W100-W105</f>
        <v/>
      </c>
      <c r="X106" s="61">
        <f>X57-X74-X89-X100-X105</f>
        <v/>
      </c>
      <c r="Y106" s="61">
        <f>Y57-Y74-Y89-Y100-Y105</f>
        <v/>
      </c>
      <c r="Z106" s="1122">
        <f>Z57-Z74-Z89-Z100-Z105</f>
        <v/>
      </c>
      <c r="AA106" s="61">
        <f>AA57-AA74-AA89-AA100-AA105</f>
        <v/>
      </c>
      <c r="AB106" s="61">
        <f>AB57-AB74-AB89-AB100-AB105</f>
        <v/>
      </c>
      <c r="AC106" s="61">
        <f>AC57-AC74-AC89-AC100-AC105</f>
        <v/>
      </c>
      <c r="AD106" s="61">
        <f>AD57-AD74-AD89-AD100-AD105</f>
        <v/>
      </c>
      <c r="AE106" s="1122">
        <f>AE57-AE74-AE89-AE100-AE105</f>
        <v/>
      </c>
      <c r="AF106" s="61">
        <f>AF57-AF74-AF89-AF100-AF105</f>
        <v/>
      </c>
      <c r="AG106" s="61">
        <f>AG57-AG74-AG89-AG100-AG105</f>
        <v/>
      </c>
      <c r="AH106" s="61">
        <f>AH57-AH74-AH89-AH100-AH105</f>
        <v/>
      </c>
      <c r="AI106" s="61">
        <f>AI57-AI74-AI89-AI100-AI105</f>
        <v/>
      </c>
      <c r="AJ106" s="1122">
        <f>AJ57-AJ74-AJ89-AJ100-AJ105</f>
        <v/>
      </c>
      <c r="AK106" s="61">
        <f>AK57-AK74-AK89-AK100-AK105</f>
        <v/>
      </c>
      <c r="AL106" s="61">
        <f>AL57-AL74-AL89-AL100-AL105</f>
        <v/>
      </c>
      <c r="AM106" s="61">
        <f>AM57-AM74-AM89-AM100-AM105</f>
        <v/>
      </c>
      <c r="AN106" s="61">
        <f>AN57-AN74-AN89-AN100-AN105</f>
        <v/>
      </c>
      <c r="AO106" s="1122">
        <f>AO57-AO74-AO89-AO100-AO105</f>
        <v/>
      </c>
      <c r="AP106" s="61">
        <f>AP57-AP74-AP89-AP100-AP105</f>
        <v/>
      </c>
      <c r="AQ106" s="61">
        <f>AQ57-AQ74-AQ89-AQ100-AQ105</f>
        <v/>
      </c>
      <c r="AR106" s="61">
        <f>AR57-AR74-AR89-AR100-AR105</f>
        <v/>
      </c>
      <c r="AS106" s="61">
        <f>AS57-AS74-AS89-AS100-AS105</f>
        <v/>
      </c>
      <c r="AT106" s="1122">
        <f>AT57-AT74-AT89-AT100-AT105</f>
        <v/>
      </c>
      <c r="AU106" s="61">
        <f>AU57-AU74-AU89-AU100-AU105</f>
        <v/>
      </c>
      <c r="AV106" s="61">
        <f>AV57-AV74-AV89-AV100-AV105</f>
        <v/>
      </c>
      <c r="AW106" s="61">
        <f>AW57-AW74-AW89-AW100-AW105</f>
        <v/>
      </c>
      <c r="AX106" s="61">
        <f>AX57-AX74-AX89-AX100-AX105</f>
        <v/>
      </c>
      <c r="AY106" s="1122">
        <f>AY57-AY74-AY89-AY100-AY105</f>
        <v/>
      </c>
      <c r="AZ106" s="61">
        <f>AZ57-AZ74-AZ89-AZ100-AZ105</f>
        <v/>
      </c>
      <c r="BA106" s="61">
        <f>BA57-BA74-BA89-BA100-BA105</f>
        <v/>
      </c>
      <c r="BB106" s="61">
        <f>BB57-BB74-BB89-BB100-BB105</f>
        <v/>
      </c>
      <c r="BC106" s="61">
        <f>BC57-BC74-BC89-BC100-BC105</f>
        <v/>
      </c>
      <c r="BD106" s="1122">
        <f>BD57-BD74-BD89-BD100-BD105</f>
        <v/>
      </c>
      <c r="BE106" s="61">
        <f>BE57-BE74-BE89-BE100-BE105</f>
        <v/>
      </c>
      <c r="BF106" s="61">
        <f>BF57-BF74-BF89-BF100-BF105</f>
        <v/>
      </c>
      <c r="BG106" s="61">
        <f>BG57-BG74-BG89-BG100-BG105</f>
        <v/>
      </c>
      <c r="BH106" s="61">
        <f>BH57-BH74-BH89-BH100-BH105</f>
        <v/>
      </c>
      <c r="BI106" s="1122">
        <f>BI57-BI74-BI89-BI100-BI105</f>
        <v/>
      </c>
      <c r="BJ106" s="61">
        <f>BJ57-BJ74-BJ89-BJ100-BJ105</f>
        <v/>
      </c>
      <c r="BK106" s="61">
        <f>BK57-BK74-BK89-BK100-BK105</f>
        <v/>
      </c>
      <c r="BL106" s="61">
        <f>BL57-BL74-BL89-BL100-BL105</f>
        <v/>
      </c>
      <c r="BM106" s="61">
        <f>BM57-BM74-BM89-BM100-BM105</f>
        <v/>
      </c>
      <c r="BN106" s="1122">
        <f>BN57-BN74-BN89-BN100-BN105</f>
        <v/>
      </c>
      <c r="BO106" s="61">
        <f>BO57-BO74-BO89-BO100-BO105</f>
        <v/>
      </c>
      <c r="BP106" s="61">
        <f>BP57-BP74-BP89-BP100-BP105</f>
        <v/>
      </c>
      <c r="BQ106" s="61">
        <f>BQ57-BQ74-BQ89-BQ100-BQ105</f>
        <v/>
      </c>
      <c r="BR106" s="61">
        <f>BR57-BR74-BR89-BR100-BR105</f>
        <v/>
      </c>
      <c r="BS106" s="1122">
        <f>BS57-BS74-BS89-BS100-BS105</f>
        <v/>
      </c>
      <c r="BT106" s="61">
        <f>BT57-BT74-BT89-BT100-BT105</f>
        <v/>
      </c>
      <c r="BU106" s="61">
        <f>BU57-BU74-BU89-BU100-BU105</f>
        <v/>
      </c>
      <c r="BV106" s="884">
        <f>BV57-BV74-BV89-BV100-BV105</f>
        <v/>
      </c>
      <c r="BW106" s="61">
        <f>BW57-BW74-BW89-BW100-BW105</f>
        <v/>
      </c>
      <c r="BX106" s="1122">
        <f>BX57-BX74-BX89-BX100-BX105</f>
        <v/>
      </c>
      <c r="BY106" s="61">
        <f>BY57-BY74-BY89-BY100-BY105</f>
        <v/>
      </c>
      <c r="BZ106" s="61">
        <f>BZ57-BZ74-BZ89-BZ100-BZ105</f>
        <v/>
      </c>
      <c r="CA106" s="61">
        <f>CA57-CA74-CA89-CA100-CA105</f>
        <v/>
      </c>
      <c r="CB106" s="61">
        <f>CB57-CB74-CB89-CB100-CB105</f>
        <v/>
      </c>
      <c r="CC106" s="1122">
        <f>CC57-CC74-CC89-CC100-CC105</f>
        <v/>
      </c>
      <c r="CD106" s="1122">
        <f>CD57-CD74-CD89-CD100-CD105</f>
        <v/>
      </c>
      <c r="CE106" s="1122">
        <f>CE57-CE74-CE89-CE100-CE105</f>
        <v/>
      </c>
      <c r="CF106" s="1122">
        <f>CF57-CF74-CF89-CF100-CF105</f>
        <v/>
      </c>
      <c r="CG106" s="155" t="n"/>
    </row>
    <row r="107">
      <c r="A107" s="656">
        <f>CONCATENATE("Consensus Estimates - ",IFERROR(LEFT(A106,FIND("(",A106)-1),A106))</f>
        <v/>
      </c>
      <c r="B107" s="641" t="n"/>
      <c r="C107" s="1117" t="n"/>
      <c r="D107" s="1117" t="n"/>
      <c r="E107" s="1117" t="n"/>
      <c r="F107" s="1117" t="n"/>
      <c r="G107" s="76" t="n"/>
      <c r="H107" s="76" t="n"/>
      <c r="I107" s="76" t="n"/>
      <c r="J107" s="76" t="n"/>
      <c r="K107" s="1117" t="n"/>
      <c r="L107" s="76" t="n"/>
      <c r="M107" s="76" t="n"/>
      <c r="N107" s="76" t="n"/>
      <c r="O107" s="76" t="n"/>
      <c r="P107" s="1117" t="n"/>
      <c r="Q107" s="76" t="n"/>
      <c r="R107" s="76" t="n"/>
      <c r="S107" s="76" t="n"/>
      <c r="T107" s="76" t="n"/>
      <c r="U107" s="1117" t="n"/>
      <c r="V107" s="76" t="n"/>
      <c r="W107" s="76" t="n"/>
      <c r="X107" s="76" t="n"/>
      <c r="Y107" s="76" t="n"/>
      <c r="Z107" s="1117" t="n"/>
      <c r="AA107" s="76" t="n"/>
      <c r="AB107" s="76" t="n"/>
      <c r="AC107" s="76" t="n"/>
      <c r="AD107" s="76" t="n"/>
      <c r="AE107" s="1117" t="n"/>
      <c r="AF107" s="76" t="n"/>
      <c r="AG107" s="76" t="n"/>
      <c r="AH107" s="76" t="n"/>
      <c r="AI107" s="76" t="n"/>
      <c r="AJ107" s="1117" t="n"/>
      <c r="AK107" s="76" t="n"/>
      <c r="AL107" s="76" t="n"/>
      <c r="AM107" s="76" t="n"/>
      <c r="AN107" s="76" t="n"/>
      <c r="AO107" s="1117" t="n"/>
      <c r="AP107" s="76" t="n"/>
      <c r="AQ107" s="76" t="n"/>
      <c r="AR107" s="76" t="n"/>
      <c r="AS107" s="76" t="n"/>
      <c r="AT107" s="1117" t="n"/>
      <c r="AU107" s="76" t="n"/>
      <c r="AV107" s="76" t="n"/>
      <c r="AW107" s="76" t="n"/>
      <c r="AX107" s="76" t="n"/>
      <c r="AY107" s="1117" t="n"/>
      <c r="AZ107" s="76" t="n"/>
      <c r="BA107" s="76" t="n"/>
      <c r="BB107" s="76" t="n"/>
      <c r="BC107" s="76" t="n"/>
      <c r="BD107" s="1117" t="n"/>
      <c r="BE107" s="76" t="n"/>
      <c r="BF107" s="76" t="n"/>
      <c r="BG107" s="76" t="n"/>
      <c r="BH107" s="76" t="n"/>
      <c r="BI107" s="1117" t="n"/>
      <c r="BJ107" s="76" t="n"/>
      <c r="BK107" s="76" t="n"/>
      <c r="BL107" s="76" t="n"/>
      <c r="BM107" s="76" t="n"/>
      <c r="BN107" s="1117" t="n"/>
      <c r="BO107" s="76" t="n"/>
      <c r="BP107" s="76" t="n"/>
      <c r="BQ107" s="76" t="n"/>
      <c r="BR107" s="76" t="n"/>
      <c r="BS107" s="1117" t="n"/>
      <c r="BT107" s="76" t="n"/>
      <c r="BU107" s="76" t="n"/>
      <c r="BV107" s="881" t="n"/>
      <c r="BW107" s="868">
        <f>BW389</f>
        <v/>
      </c>
      <c r="BX107" s="1124">
        <f>BX389</f>
        <v/>
      </c>
      <c r="BY107" s="868">
        <f>BY389</f>
        <v/>
      </c>
      <c r="BZ107" s="868">
        <f>BZ389</f>
        <v/>
      </c>
      <c r="CA107" s="868">
        <f>CA389</f>
        <v/>
      </c>
      <c r="CB107" s="868">
        <f>CB389</f>
        <v/>
      </c>
      <c r="CC107" s="1124">
        <f>CC389</f>
        <v/>
      </c>
      <c r="CD107" s="1124">
        <f>CD389</f>
        <v/>
      </c>
      <c r="CE107" s="1124">
        <f>CE389</f>
        <v/>
      </c>
      <c r="CF107" s="1124">
        <f>CF389</f>
        <v/>
      </c>
      <c r="CG107" s="155" t="n"/>
    </row>
    <row r="108">
      <c r="A108" s="371" t="inlineStr">
        <is>
          <t>Y/Y Growth in Non-GAAP Operating Income, %</t>
        </is>
      </c>
      <c r="B108" s="582" t="n"/>
      <c r="C108" s="1113" t="n"/>
      <c r="D108" s="1113">
        <f>D106/C106-1</f>
        <v/>
      </c>
      <c r="E108" s="1113">
        <f>E106/D106-1</f>
        <v/>
      </c>
      <c r="F108" s="1113">
        <f>F106/E106-1</f>
        <v/>
      </c>
      <c r="G108" s="90" t="n"/>
      <c r="H108" s="90" t="n"/>
      <c r="I108" s="90" t="n"/>
      <c r="J108" s="90" t="n"/>
      <c r="K108" s="1113">
        <f>K106/F106-1</f>
        <v/>
      </c>
      <c r="L108" s="90">
        <f>L106/G106-1</f>
        <v/>
      </c>
      <c r="M108" s="90">
        <f>M106/H106-1</f>
        <v/>
      </c>
      <c r="N108" s="90">
        <f>N106/I106-1</f>
        <v/>
      </c>
      <c r="O108" s="90">
        <f>O106/J106-1</f>
        <v/>
      </c>
      <c r="P108" s="1113">
        <f>P106/K106-1</f>
        <v/>
      </c>
      <c r="Q108" s="90">
        <f>Q106/L106-1</f>
        <v/>
      </c>
      <c r="R108" s="90">
        <f>R106/M106-1</f>
        <v/>
      </c>
      <c r="S108" s="90">
        <f>S106/N106-1</f>
        <v/>
      </c>
      <c r="T108" s="90">
        <f>T106/O106-1</f>
        <v/>
      </c>
      <c r="U108" s="1113">
        <f>U106/P106-1</f>
        <v/>
      </c>
      <c r="V108" s="90">
        <f>V106/Q106-1</f>
        <v/>
      </c>
      <c r="W108" s="90">
        <f>W106/R106-1</f>
        <v/>
      </c>
      <c r="X108" s="90">
        <f>X106/S106-1</f>
        <v/>
      </c>
      <c r="Y108" s="90">
        <f>Y106/T106-1</f>
        <v/>
      </c>
      <c r="Z108" s="1113">
        <f>Z106/U106-1</f>
        <v/>
      </c>
      <c r="AA108" s="90">
        <f>AA106/V106-1</f>
        <v/>
      </c>
      <c r="AB108" s="90">
        <f>AB106/W106-1</f>
        <v/>
      </c>
      <c r="AC108" s="90">
        <f>AC106/X106-1</f>
        <v/>
      </c>
      <c r="AD108" s="90">
        <f>AD106/Y106-1</f>
        <v/>
      </c>
      <c r="AE108" s="1113">
        <f>AE106/Z106-1</f>
        <v/>
      </c>
      <c r="AF108" s="90">
        <f>AF106/AA106-1</f>
        <v/>
      </c>
      <c r="AG108" s="90">
        <f>AG106/AB106-1</f>
        <v/>
      </c>
      <c r="AH108" s="90">
        <f>AH106/AC106-1</f>
        <v/>
      </c>
      <c r="AI108" s="90">
        <f>AI106/AD106-1</f>
        <v/>
      </c>
      <c r="AJ108" s="1113">
        <f>AJ106/AE106-1</f>
        <v/>
      </c>
      <c r="AK108" s="90">
        <f>AK106/AF106-1</f>
        <v/>
      </c>
      <c r="AL108" s="90">
        <f>AL106/AG106-1</f>
        <v/>
      </c>
      <c r="AM108" s="90">
        <f>AM106/AH106-1</f>
        <v/>
      </c>
      <c r="AN108" s="90">
        <f>AN106/AI106-1</f>
        <v/>
      </c>
      <c r="AO108" s="1113">
        <f>AO106/AJ106-1</f>
        <v/>
      </c>
      <c r="AP108" s="90">
        <f>AP106/AK106-1</f>
        <v/>
      </c>
      <c r="AQ108" s="90">
        <f>AQ106/AL106-1</f>
        <v/>
      </c>
      <c r="AR108" s="90">
        <f>AR106/AM106-1</f>
        <v/>
      </c>
      <c r="AS108" s="90">
        <f>AS106/AN106-1</f>
        <v/>
      </c>
      <c r="AT108" s="1113">
        <f>AT106/AO106-1</f>
        <v/>
      </c>
      <c r="AU108" s="90">
        <f>AU106/AP106-1</f>
        <v/>
      </c>
      <c r="AV108" s="90">
        <f>AV106/AQ106-1</f>
        <v/>
      </c>
      <c r="AW108" s="90">
        <f>AW106/AR106-1</f>
        <v/>
      </c>
      <c r="AX108" s="90">
        <f>AX106/AS106-1</f>
        <v/>
      </c>
      <c r="AY108" s="1113">
        <f>AY106/AT106-1</f>
        <v/>
      </c>
      <c r="AZ108" s="90">
        <f>AZ106/AU106-1</f>
        <v/>
      </c>
      <c r="BA108" s="90">
        <f>BA106/AV106-1</f>
        <v/>
      </c>
      <c r="BB108" s="90">
        <f>BB106/AW106-1</f>
        <v/>
      </c>
      <c r="BC108" s="90">
        <f>BC106/AX106-1</f>
        <v/>
      </c>
      <c r="BD108" s="1113">
        <f>BD106/AY106-1</f>
        <v/>
      </c>
      <c r="BE108" s="90">
        <f>BE106/AZ106-1</f>
        <v/>
      </c>
      <c r="BF108" s="90">
        <f>BF106/BA106-1</f>
        <v/>
      </c>
      <c r="BG108" s="90">
        <f>BG106/BB106-1</f>
        <v/>
      </c>
      <c r="BH108" s="90">
        <f>BH106/BC106-1</f>
        <v/>
      </c>
      <c r="BI108" s="1113">
        <f>BI106/BD106-1</f>
        <v/>
      </c>
      <c r="BJ108" s="90">
        <f>BJ106/BE106-1</f>
        <v/>
      </c>
      <c r="BK108" s="90">
        <f>BK106/BF106-1</f>
        <v/>
      </c>
      <c r="BL108" s="90">
        <f>BL106/BG106-1</f>
        <v/>
      </c>
      <c r="BM108" s="90">
        <f>BM106/BH106-1</f>
        <v/>
      </c>
      <c r="BN108" s="1113">
        <f>BN106/BI106-1</f>
        <v/>
      </c>
      <c r="BO108" s="90">
        <f>BO106/BJ106-1</f>
        <v/>
      </c>
      <c r="BP108" s="90">
        <f>BP106/BK106-1</f>
        <v/>
      </c>
      <c r="BQ108" s="90">
        <f>BQ106/BL106-1</f>
        <v/>
      </c>
      <c r="BR108" s="90">
        <f>BR106/BM106-1</f>
        <v/>
      </c>
      <c r="BS108" s="1113">
        <f>BS106/BN106-1</f>
        <v/>
      </c>
      <c r="BT108" s="90">
        <f>BT106/BO106-1</f>
        <v/>
      </c>
      <c r="BU108" s="90">
        <f>BU106/BP106-1</f>
        <v/>
      </c>
      <c r="BV108" s="880">
        <f>BV106/BQ106-1</f>
        <v/>
      </c>
      <c r="BW108" s="90">
        <f>BW106/BR106-1</f>
        <v/>
      </c>
      <c r="BX108" s="1113">
        <f>BX106/BS106-1</f>
        <v/>
      </c>
      <c r="BY108" s="90">
        <f>BY106/BT106-1</f>
        <v/>
      </c>
      <c r="BZ108" s="90">
        <f>BZ106/BU106-1</f>
        <v/>
      </c>
      <c r="CA108" s="90">
        <f>CA106/BV106-1</f>
        <v/>
      </c>
      <c r="CB108" s="90">
        <f>CB106/BW106-1</f>
        <v/>
      </c>
      <c r="CC108" s="1113">
        <f>CC106/BX106-1</f>
        <v/>
      </c>
      <c r="CD108" s="1113">
        <f>CD106/CC106-1</f>
        <v/>
      </c>
      <c r="CE108" s="1113">
        <f>CE106/CD106-1</f>
        <v/>
      </c>
      <c r="CF108" s="1113">
        <f>CF106/CE106-1</f>
        <v/>
      </c>
      <c r="CG108" s="155" t="n"/>
    </row>
    <row r="109">
      <c r="A109" s="621" t="inlineStr">
        <is>
          <t>Non-GAAP Operating Income margin, %</t>
        </is>
      </c>
      <c r="B109" s="202" t="n"/>
      <c r="C109" s="1126">
        <f>C106/C44</f>
        <v/>
      </c>
      <c r="D109" s="1126">
        <f>D106/D44</f>
        <v/>
      </c>
      <c r="E109" s="1126">
        <f>E106/E44</f>
        <v/>
      </c>
      <c r="F109" s="1126">
        <f>F106/F44</f>
        <v/>
      </c>
      <c r="G109" s="315">
        <f>G106/G44</f>
        <v/>
      </c>
      <c r="H109" s="315">
        <f>H106/H44</f>
        <v/>
      </c>
      <c r="I109" s="315">
        <f>I106/I44</f>
        <v/>
      </c>
      <c r="J109" s="315">
        <f>J106/J44</f>
        <v/>
      </c>
      <c r="K109" s="1126">
        <f>K106/K44</f>
        <v/>
      </c>
      <c r="L109" s="315">
        <f>L106/L44</f>
        <v/>
      </c>
      <c r="M109" s="315">
        <f>M106/M44</f>
        <v/>
      </c>
      <c r="N109" s="315">
        <f>N106/N44</f>
        <v/>
      </c>
      <c r="O109" s="315">
        <f>O106/O44</f>
        <v/>
      </c>
      <c r="P109" s="1126">
        <f>P106/P44</f>
        <v/>
      </c>
      <c r="Q109" s="315">
        <f>Q106/Q44</f>
        <v/>
      </c>
      <c r="R109" s="315">
        <f>R106/R44</f>
        <v/>
      </c>
      <c r="S109" s="315">
        <f>S106/S44</f>
        <v/>
      </c>
      <c r="T109" s="315">
        <f>T106/T44</f>
        <v/>
      </c>
      <c r="U109" s="1126">
        <f>U106/U44</f>
        <v/>
      </c>
      <c r="V109" s="315">
        <f>V106/V44</f>
        <v/>
      </c>
      <c r="W109" s="315">
        <f>W106/W44</f>
        <v/>
      </c>
      <c r="X109" s="315">
        <f>X106/X44</f>
        <v/>
      </c>
      <c r="Y109" s="315">
        <f>Y106/Y44</f>
        <v/>
      </c>
      <c r="Z109" s="1126">
        <f>Z106/Z44</f>
        <v/>
      </c>
      <c r="AA109" s="315">
        <f>AA106/AA44</f>
        <v/>
      </c>
      <c r="AB109" s="315">
        <f>AB106/AB44</f>
        <v/>
      </c>
      <c r="AC109" s="315">
        <f>AC106/AC44</f>
        <v/>
      </c>
      <c r="AD109" s="315">
        <f>AD106/AD44</f>
        <v/>
      </c>
      <c r="AE109" s="1126">
        <f>AE106/AE44</f>
        <v/>
      </c>
      <c r="AF109" s="315">
        <f>AF106/AF44</f>
        <v/>
      </c>
      <c r="AG109" s="315">
        <f>AG106/AG44</f>
        <v/>
      </c>
      <c r="AH109" s="315">
        <f>AH106/AH44</f>
        <v/>
      </c>
      <c r="AI109" s="315">
        <f>AI106/AI44</f>
        <v/>
      </c>
      <c r="AJ109" s="1126">
        <f>AJ106/AJ44</f>
        <v/>
      </c>
      <c r="AK109" s="315">
        <f>AK106/AK44</f>
        <v/>
      </c>
      <c r="AL109" s="315">
        <f>AL106/AL44</f>
        <v/>
      </c>
      <c r="AM109" s="315">
        <f>AM106/AM44</f>
        <v/>
      </c>
      <c r="AN109" s="315">
        <f>AN106/AN44</f>
        <v/>
      </c>
      <c r="AO109" s="1126">
        <f>AO106/AO44</f>
        <v/>
      </c>
      <c r="AP109" s="315">
        <f>AP106/AP44</f>
        <v/>
      </c>
      <c r="AQ109" s="315">
        <f>AQ106/AQ44</f>
        <v/>
      </c>
      <c r="AR109" s="315">
        <f>AR106/AR44</f>
        <v/>
      </c>
      <c r="AS109" s="315">
        <f>AS106/AS44</f>
        <v/>
      </c>
      <c r="AT109" s="1126">
        <f>AT106/AT44</f>
        <v/>
      </c>
      <c r="AU109" s="315">
        <f>AU106/AU44</f>
        <v/>
      </c>
      <c r="AV109" s="315">
        <f>AV106/AV44</f>
        <v/>
      </c>
      <c r="AW109" s="315">
        <f>AW106/AW44</f>
        <v/>
      </c>
      <c r="AX109" s="315">
        <f>AX106/AX44</f>
        <v/>
      </c>
      <c r="AY109" s="1126">
        <f>AY106/AY44</f>
        <v/>
      </c>
      <c r="AZ109" s="315">
        <f>AZ106/AZ44</f>
        <v/>
      </c>
      <c r="BA109" s="315">
        <f>BA106/BA44</f>
        <v/>
      </c>
      <c r="BB109" s="315">
        <f>BB106/BB44</f>
        <v/>
      </c>
      <c r="BC109" s="315">
        <f>BC106/BC44</f>
        <v/>
      </c>
      <c r="BD109" s="1126">
        <f>BD106/BD44</f>
        <v/>
      </c>
      <c r="BE109" s="315">
        <f>BE106/BE44</f>
        <v/>
      </c>
      <c r="BF109" s="315">
        <f>BF106/BF44</f>
        <v/>
      </c>
      <c r="BG109" s="315">
        <f>BG106/BG44</f>
        <v/>
      </c>
      <c r="BH109" s="315">
        <f>BH106/BH44</f>
        <v/>
      </c>
      <c r="BI109" s="1126">
        <f>BI106/BI44</f>
        <v/>
      </c>
      <c r="BJ109" s="315">
        <f>BJ106/BJ44</f>
        <v/>
      </c>
      <c r="BK109" s="315">
        <f>BK106/BK44</f>
        <v/>
      </c>
      <c r="BL109" s="315">
        <f>BL106/BL44</f>
        <v/>
      </c>
      <c r="BM109" s="315">
        <f>BM106/BM44</f>
        <v/>
      </c>
      <c r="BN109" s="1126">
        <f>BN106/BN44</f>
        <v/>
      </c>
      <c r="BO109" s="315">
        <f>BO106/BO44</f>
        <v/>
      </c>
      <c r="BP109" s="315">
        <f>BP106/BP44</f>
        <v/>
      </c>
      <c r="BQ109" s="315">
        <f>BQ106/BQ44</f>
        <v/>
      </c>
      <c r="BR109" s="315">
        <f>BR106/BR44</f>
        <v/>
      </c>
      <c r="BS109" s="1126">
        <f>BS106/BS44</f>
        <v/>
      </c>
      <c r="BT109" s="315">
        <f>BT106/BT44</f>
        <v/>
      </c>
      <c r="BU109" s="315">
        <f>BU106/BU44</f>
        <v/>
      </c>
      <c r="BV109" s="885">
        <f>BV106/BV44</f>
        <v/>
      </c>
      <c r="BW109" s="315">
        <f>BW106/BW44</f>
        <v/>
      </c>
      <c r="BX109" s="1126">
        <f>BX106/BX44</f>
        <v/>
      </c>
      <c r="BY109" s="315">
        <f>BY106/BY44</f>
        <v/>
      </c>
      <c r="BZ109" s="315">
        <f>BZ106/BZ44</f>
        <v/>
      </c>
      <c r="CA109" s="315">
        <f>CA106/CA44</f>
        <v/>
      </c>
      <c r="CB109" s="315">
        <f>CB106/CB44</f>
        <v/>
      </c>
      <c r="CC109" s="1126">
        <f>CC106/CC44</f>
        <v/>
      </c>
      <c r="CD109" s="1126">
        <f>CD106/CD44</f>
        <v/>
      </c>
      <c r="CE109" s="1126">
        <f>CE106/CE44</f>
        <v/>
      </c>
      <c r="CF109" s="1126">
        <f>CF106/CF44</f>
        <v/>
      </c>
      <c r="CG109" s="155" t="n"/>
    </row>
    <row r="110">
      <c r="A110" s="371" t="inlineStr">
        <is>
          <t>Consensus Estimates - Non-GAAP Operating Income Margin, %</t>
        </is>
      </c>
      <c r="B110" s="582" t="n"/>
      <c r="C110" s="1113" t="n"/>
      <c r="D110" s="1113" t="n"/>
      <c r="E110" s="1113" t="n"/>
      <c r="F110" s="1113" t="n"/>
      <c r="G110" s="90" t="n"/>
      <c r="H110" s="90" t="n"/>
      <c r="I110" s="90" t="n"/>
      <c r="J110" s="90" t="n"/>
      <c r="K110" s="1113" t="n"/>
      <c r="L110" s="90" t="n"/>
      <c r="M110" s="90" t="n"/>
      <c r="N110" s="90" t="n"/>
      <c r="O110" s="90" t="n"/>
      <c r="P110" s="1113" t="n"/>
      <c r="Q110" s="90" t="n"/>
      <c r="R110" s="90" t="n"/>
      <c r="S110" s="90" t="n"/>
      <c r="T110" s="90" t="n"/>
      <c r="U110" s="1113" t="n"/>
      <c r="V110" s="90" t="n"/>
      <c r="W110" s="90" t="n"/>
      <c r="X110" s="90" t="n"/>
      <c r="Y110" s="90" t="n"/>
      <c r="Z110" s="1113" t="n"/>
      <c r="AA110" s="90" t="n"/>
      <c r="AB110" s="90" t="n"/>
      <c r="AC110" s="90" t="n"/>
      <c r="AD110" s="90" t="n"/>
      <c r="AE110" s="1113" t="n"/>
      <c r="AF110" s="90" t="n"/>
      <c r="AG110" s="90" t="n"/>
      <c r="AH110" s="90" t="n"/>
      <c r="AI110" s="90" t="n"/>
      <c r="AJ110" s="1113" t="n"/>
      <c r="AK110" s="90" t="n"/>
      <c r="AL110" s="90" t="n"/>
      <c r="AM110" s="90" t="n"/>
      <c r="AN110" s="90" t="n"/>
      <c r="AO110" s="1113" t="n"/>
      <c r="AP110" s="90" t="n"/>
      <c r="AQ110" s="90" t="n"/>
      <c r="AR110" s="90" t="n"/>
      <c r="AS110" s="90" t="n"/>
      <c r="AT110" s="1113" t="n"/>
      <c r="AU110" s="90" t="n"/>
      <c r="AV110" s="90" t="n"/>
      <c r="AW110" s="90" t="n"/>
      <c r="AX110" s="90" t="n"/>
      <c r="AY110" s="1113" t="n"/>
      <c r="AZ110" s="90" t="n"/>
      <c r="BA110" s="90" t="n"/>
      <c r="BB110" s="90" t="n"/>
      <c r="BC110" s="90" t="n"/>
      <c r="BD110" s="1113" t="n"/>
      <c r="BE110" s="90" t="n"/>
      <c r="BF110" s="90" t="n"/>
      <c r="BG110" s="90" t="n"/>
      <c r="BH110" s="90" t="n"/>
      <c r="BI110" s="1113" t="n"/>
      <c r="BJ110" s="90" t="n"/>
      <c r="BK110" s="90" t="n"/>
      <c r="BL110" s="90" t="n"/>
      <c r="BM110" s="90" t="n"/>
      <c r="BN110" s="1113" t="n"/>
      <c r="BO110" s="90" t="n"/>
      <c r="BP110" s="90" t="n"/>
      <c r="BQ110" s="90" t="n"/>
      <c r="BR110" s="90" t="n"/>
      <c r="BS110" s="1113" t="n"/>
      <c r="BT110" s="90" t="n"/>
      <c r="BU110" s="90" t="n"/>
      <c r="BV110" s="880" t="n"/>
      <c r="BW110" s="643">
        <f>BW287</f>
        <v/>
      </c>
      <c r="BX110" s="1114">
        <f>BX287</f>
        <v/>
      </c>
      <c r="BY110" s="643">
        <f>BY287</f>
        <v/>
      </c>
      <c r="BZ110" s="643">
        <f>BZ287</f>
        <v/>
      </c>
      <c r="CA110" s="643">
        <f>CA287</f>
        <v/>
      </c>
      <c r="CB110" s="643">
        <f>CB287</f>
        <v/>
      </c>
      <c r="CC110" s="1114">
        <f>CC287</f>
        <v/>
      </c>
      <c r="CD110" s="1114">
        <f>CD287</f>
        <v/>
      </c>
      <c r="CE110" s="1114">
        <f>CE287</f>
        <v/>
      </c>
      <c r="CF110" s="1114">
        <f>CF287</f>
        <v/>
      </c>
      <c r="CG110" s="155" t="n"/>
    </row>
    <row r="111">
      <c r="A111" s="99" t="inlineStr">
        <is>
          <t>Y/Y Improvement in Non-GAAP Operating Income margin, bps</t>
        </is>
      </c>
      <c r="B111" s="598" t="n"/>
      <c r="C111" s="1110" t="n"/>
      <c r="D111" s="1110">
        <f>(D109-C109)*10000</f>
        <v/>
      </c>
      <c r="E111" s="1110">
        <f>(E109-D109)*10000</f>
        <v/>
      </c>
      <c r="F111" s="1110">
        <f>(F109-E109)*10000</f>
        <v/>
      </c>
      <c r="G111" s="68" t="n"/>
      <c r="H111" s="68" t="n"/>
      <c r="I111" s="68" t="n"/>
      <c r="J111" s="68" t="n"/>
      <c r="K111" s="1110">
        <f>(K109-F109)*10000</f>
        <v/>
      </c>
      <c r="L111" s="68">
        <f>(L109-G109)*10000</f>
        <v/>
      </c>
      <c r="M111" s="68">
        <f>(M109-H109)*10000</f>
        <v/>
      </c>
      <c r="N111" s="68">
        <f>(N109-I109)*10000</f>
        <v/>
      </c>
      <c r="O111" s="68">
        <f>(O109-J109)*10000</f>
        <v/>
      </c>
      <c r="P111" s="1110">
        <f>(P109-K109)*10000</f>
        <v/>
      </c>
      <c r="Q111" s="68">
        <f>(Q109-L109)*10000</f>
        <v/>
      </c>
      <c r="R111" s="68">
        <f>(R109-M109)*10000</f>
        <v/>
      </c>
      <c r="S111" s="68">
        <f>(S109-N109)*10000</f>
        <v/>
      </c>
      <c r="T111" s="68">
        <f>(T109-O109)*10000</f>
        <v/>
      </c>
      <c r="U111" s="1110">
        <f>(U109-P109)*10000</f>
        <v/>
      </c>
      <c r="V111" s="68">
        <f>(V109-Q109)*10000</f>
        <v/>
      </c>
      <c r="W111" s="68">
        <f>(W109-R109)*10000</f>
        <v/>
      </c>
      <c r="X111" s="68">
        <f>(X109-S109)*10000</f>
        <v/>
      </c>
      <c r="Y111" s="68">
        <f>(Y109-T109)*10000</f>
        <v/>
      </c>
      <c r="Z111" s="1110">
        <f>(Z109-U109)*10000</f>
        <v/>
      </c>
      <c r="AA111" s="68">
        <f>(AA109-V109)*10000</f>
        <v/>
      </c>
      <c r="AB111" s="68">
        <f>(AB109-W109)*10000</f>
        <v/>
      </c>
      <c r="AC111" s="68">
        <f>(AC109-X109)*10000</f>
        <v/>
      </c>
      <c r="AD111" s="68">
        <f>(AD109-Y109)*10000</f>
        <v/>
      </c>
      <c r="AE111" s="1110">
        <f>(AE109-Z109)*10000</f>
        <v/>
      </c>
      <c r="AF111" s="68">
        <f>(AF109-AA109)*10000</f>
        <v/>
      </c>
      <c r="AG111" s="68">
        <f>(AG109-AB109)*10000</f>
        <v/>
      </c>
      <c r="AH111" s="68">
        <f>(AH109-AC109)*10000</f>
        <v/>
      </c>
      <c r="AI111" s="68">
        <f>(AI109-AD109)*10000</f>
        <v/>
      </c>
      <c r="AJ111" s="1110">
        <f>(AJ109-AE109)*10000</f>
        <v/>
      </c>
      <c r="AK111" s="68">
        <f>(AK109-AF109)*10000</f>
        <v/>
      </c>
      <c r="AL111" s="68">
        <f>(AL109-AG109)*10000</f>
        <v/>
      </c>
      <c r="AM111" s="68">
        <f>(AM109-AH109)*10000</f>
        <v/>
      </c>
      <c r="AN111" s="68">
        <f>(AN109-AI109)*10000</f>
        <v/>
      </c>
      <c r="AO111" s="1110">
        <f>(AO109-AJ109)*10000</f>
        <v/>
      </c>
      <c r="AP111" s="68">
        <f>(AP109-AK109)*10000</f>
        <v/>
      </c>
      <c r="AQ111" s="68">
        <f>(AQ109-AL109)*10000</f>
        <v/>
      </c>
      <c r="AR111" s="68">
        <f>(AR109-AM109)*10000</f>
        <v/>
      </c>
      <c r="AS111" s="68">
        <f>(AS109-AN109)*10000</f>
        <v/>
      </c>
      <c r="AT111" s="1110">
        <f>(AT109-AO109)*10000</f>
        <v/>
      </c>
      <c r="AU111" s="68">
        <f>(AU109-AP109)*10000</f>
        <v/>
      </c>
      <c r="AV111" s="68">
        <f>(AV109-AQ109)*10000</f>
        <v/>
      </c>
      <c r="AW111" s="68">
        <f>(AW109-AR109)*10000</f>
        <v/>
      </c>
      <c r="AX111" s="68">
        <f>(AX109-AS109)*10000</f>
        <v/>
      </c>
      <c r="AY111" s="1110">
        <f>(AY109-AT109)*10000</f>
        <v/>
      </c>
      <c r="AZ111" s="68">
        <f>(AZ109-AU109)*10000</f>
        <v/>
      </c>
      <c r="BA111" s="68">
        <f>(BA109-AV109)*10000</f>
        <v/>
      </c>
      <c r="BB111" s="68">
        <f>(BB109-AW109)*10000</f>
        <v/>
      </c>
      <c r="BC111" s="68">
        <f>(BC109-AX109)*10000</f>
        <v/>
      </c>
      <c r="BD111" s="1110">
        <f>(BD109-AY109)*10000</f>
        <v/>
      </c>
      <c r="BE111" s="68">
        <f>(BE109-AZ109)*10000</f>
        <v/>
      </c>
      <c r="BF111" s="68">
        <f>(BF109-BA109)*10000</f>
        <v/>
      </c>
      <c r="BG111" s="68">
        <f>(BG109-BB109)*10000</f>
        <v/>
      </c>
      <c r="BH111" s="68">
        <f>(BH109-BC109)*10000</f>
        <v/>
      </c>
      <c r="BI111" s="1110">
        <f>(BI109-BD109)*10000</f>
        <v/>
      </c>
      <c r="BJ111" s="68">
        <f>(BJ109-BE109)*10000</f>
        <v/>
      </c>
      <c r="BK111" s="68">
        <f>(BK109-BF109)*10000</f>
        <v/>
      </c>
      <c r="BL111" s="68">
        <f>(BL109-BG109)*10000</f>
        <v/>
      </c>
      <c r="BM111" s="68">
        <f>(BM109-BH109)*10000</f>
        <v/>
      </c>
      <c r="BN111" s="1110">
        <f>(BN109-BI109)*10000</f>
        <v/>
      </c>
      <c r="BO111" s="68">
        <f>(BO109-BJ109)*10000</f>
        <v/>
      </c>
      <c r="BP111" s="68">
        <f>(BP109-BK109)*10000</f>
        <v/>
      </c>
      <c r="BQ111" s="68">
        <f>(BQ109-BL109)*10000</f>
        <v/>
      </c>
      <c r="BR111" s="68">
        <f>(BR109-BM109)*10000</f>
        <v/>
      </c>
      <c r="BS111" s="1110">
        <f>(BS109-BN109)*10000</f>
        <v/>
      </c>
      <c r="BT111" s="68">
        <f>(BT109-BO109)*10000</f>
        <v/>
      </c>
      <c r="BU111" s="68">
        <f>(BU109-BP109)*10000</f>
        <v/>
      </c>
      <c r="BV111" s="588">
        <f>(BV109-BQ109)*10000</f>
        <v/>
      </c>
      <c r="BW111" s="68">
        <f>(BW109-BR109)*10000</f>
        <v/>
      </c>
      <c r="BX111" s="1110">
        <f>(BX109-BS109)*10000</f>
        <v/>
      </c>
      <c r="BY111" s="68">
        <f>(BY109-BT109)*10000</f>
        <v/>
      </c>
      <c r="BZ111" s="68">
        <f>(BZ109-BU109)*10000</f>
        <v/>
      </c>
      <c r="CA111" s="68">
        <f>(CA109-BV109)*10000</f>
        <v/>
      </c>
      <c r="CB111" s="68">
        <f>(CB109-BW109)*10000</f>
        <v/>
      </c>
      <c r="CC111" s="1110">
        <f>(CC109-BX109)*10000</f>
        <v/>
      </c>
      <c r="CD111" s="1110">
        <f>(CD109-CC109)*10000</f>
        <v/>
      </c>
      <c r="CE111" s="1110">
        <f>(CE109-CD109)*10000</f>
        <v/>
      </c>
      <c r="CF111" s="1110">
        <f>(CF109-CE109)*10000</f>
        <v/>
      </c>
      <c r="CG111" s="155" t="n"/>
    </row>
    <row r="112">
      <c r="A112" s="99" t="n"/>
      <c r="B112" s="598" t="n"/>
      <c r="C112" s="1110" t="n"/>
      <c r="D112" s="1110" t="n"/>
      <c r="E112" s="1110" t="n"/>
      <c r="F112" s="1110" t="n"/>
      <c r="G112" s="68" t="n"/>
      <c r="H112" s="68" t="n"/>
      <c r="I112" s="68" t="n"/>
      <c r="J112" s="68" t="n"/>
      <c r="K112" s="1110" t="n"/>
      <c r="L112" s="68" t="n"/>
      <c r="M112" s="68" t="n"/>
      <c r="N112" s="68" t="n"/>
      <c r="O112" s="68" t="n"/>
      <c r="P112" s="1110" t="n"/>
      <c r="Q112" s="68" t="n"/>
      <c r="R112" s="68" t="n"/>
      <c r="S112" s="68" t="n"/>
      <c r="T112" s="68" t="n"/>
      <c r="U112" s="1110" t="n"/>
      <c r="V112" s="68" t="n"/>
      <c r="W112" s="68" t="n"/>
      <c r="X112" s="68" t="n"/>
      <c r="Y112" s="68" t="n"/>
      <c r="Z112" s="1110" t="n"/>
      <c r="AA112" s="68" t="n"/>
      <c r="AB112" s="68" t="n"/>
      <c r="AC112" s="68" t="n"/>
      <c r="AD112" s="68" t="n"/>
      <c r="AE112" s="1110" t="n"/>
      <c r="AF112" s="68" t="n"/>
      <c r="AG112" s="68" t="n"/>
      <c r="AH112" s="68" t="n"/>
      <c r="AI112" s="68" t="n"/>
      <c r="AJ112" s="1110" t="n"/>
      <c r="AK112" s="68" t="n"/>
      <c r="AL112" s="68" t="n"/>
      <c r="AM112" s="68" t="n"/>
      <c r="AN112" s="68" t="n"/>
      <c r="AO112" s="1110" t="n"/>
      <c r="AP112" s="68" t="n"/>
      <c r="AQ112" s="68" t="n"/>
      <c r="AR112" s="68" t="n"/>
      <c r="AS112" s="68" t="n"/>
      <c r="AT112" s="1110" t="n"/>
      <c r="AU112" s="68" t="n"/>
      <c r="AV112" s="68" t="n"/>
      <c r="AW112" s="68" t="n"/>
      <c r="AX112" s="68" t="n"/>
      <c r="AY112" s="1110" t="n"/>
      <c r="AZ112" s="68" t="n"/>
      <c r="BA112" s="68" t="n"/>
      <c r="BB112" s="68" t="n"/>
      <c r="BC112" s="68" t="n"/>
      <c r="BD112" s="1110" t="n"/>
      <c r="BE112" s="68" t="n"/>
      <c r="BF112" s="68" t="n"/>
      <c r="BG112" s="68" t="n"/>
      <c r="BH112" s="68" t="n"/>
      <c r="BI112" s="1110" t="n"/>
      <c r="BJ112" s="68" t="n"/>
      <c r="BK112" s="68" t="n"/>
      <c r="BL112" s="68" t="n"/>
      <c r="BM112" s="68" t="n"/>
      <c r="BN112" s="1110" t="n"/>
      <c r="BO112" s="68" t="n"/>
      <c r="BP112" s="68" t="n"/>
      <c r="BQ112" s="68" t="n"/>
      <c r="BR112" s="68" t="n"/>
      <c r="BS112" s="1110" t="n"/>
      <c r="BT112" s="68" t="n"/>
      <c r="BU112" s="68" t="n"/>
      <c r="BV112" s="588" t="n"/>
      <c r="BW112" s="68" t="n"/>
      <c r="BX112" s="1110" t="n"/>
      <c r="BY112" s="68" t="n"/>
      <c r="BZ112" s="68" t="n"/>
      <c r="CA112" s="68" t="n"/>
      <c r="CB112" s="68" t="n"/>
      <c r="CC112" s="1110" t="n"/>
      <c r="CD112" s="1110" t="n"/>
      <c r="CE112" s="1110" t="n"/>
      <c r="CF112" s="1110" t="n"/>
      <c r="CG112" s="155" t="n"/>
    </row>
    <row r="113" customFormat="1" s="32">
      <c r="A113" s="600" t="inlineStr">
        <is>
          <t>Total Non-GAAP Operating Expenses, mm</t>
        </is>
      </c>
      <c r="B113" s="601" t="n"/>
      <c r="C113" s="1125">
        <f>+C100+C89+C74</f>
        <v/>
      </c>
      <c r="D113" s="1125">
        <f>+D100+D89+D74</f>
        <v/>
      </c>
      <c r="E113" s="1125">
        <f>+E100+E89+E74</f>
        <v/>
      </c>
      <c r="F113" s="1125">
        <f>+F100+F89+F74</f>
        <v/>
      </c>
      <c r="G113" s="63">
        <f>+G100+G89+G74</f>
        <v/>
      </c>
      <c r="H113" s="63">
        <f>+H100+H89+H74</f>
        <v/>
      </c>
      <c r="I113" s="63">
        <f>+I100+I89+I74</f>
        <v/>
      </c>
      <c r="J113" s="63">
        <f>+J100+J89+J74</f>
        <v/>
      </c>
      <c r="K113" s="1125">
        <f>+K100+K89+K74</f>
        <v/>
      </c>
      <c r="L113" s="63">
        <f>+L100+L89+L74</f>
        <v/>
      </c>
      <c r="M113" s="63">
        <f>+M100+M89+M74</f>
        <v/>
      </c>
      <c r="N113" s="63">
        <f>+N100+N89+N74</f>
        <v/>
      </c>
      <c r="O113" s="63">
        <f>+O100+O89+O74</f>
        <v/>
      </c>
      <c r="P113" s="1125">
        <f>+P100+P89+P74</f>
        <v/>
      </c>
      <c r="Q113" s="63">
        <f>+Q100+Q89+Q74</f>
        <v/>
      </c>
      <c r="R113" s="63">
        <f>+R100+R89+R74</f>
        <v/>
      </c>
      <c r="S113" s="63">
        <f>+S100+S89+S74</f>
        <v/>
      </c>
      <c r="T113" s="63">
        <f>+T100+T89+T74</f>
        <v/>
      </c>
      <c r="U113" s="1125">
        <f>+U100+U89+U74</f>
        <v/>
      </c>
      <c r="V113" s="63">
        <f>+V100+V89+V74</f>
        <v/>
      </c>
      <c r="W113" s="63">
        <f>+W100+W89+W74</f>
        <v/>
      </c>
      <c r="X113" s="63">
        <f>+X100+X89+X74</f>
        <v/>
      </c>
      <c r="Y113" s="63">
        <f>+Y100+Y89+Y74</f>
        <v/>
      </c>
      <c r="Z113" s="1125">
        <f>+Z100+Z89+Z74</f>
        <v/>
      </c>
      <c r="AA113" s="63">
        <f>+AA100+AA89+AA74</f>
        <v/>
      </c>
      <c r="AB113" s="63">
        <f>+AB100+AB89+AB74</f>
        <v/>
      </c>
      <c r="AC113" s="63">
        <f>+AC100+AC89+AC74</f>
        <v/>
      </c>
      <c r="AD113" s="63">
        <f>+AD100+AD89+AD74</f>
        <v/>
      </c>
      <c r="AE113" s="1125">
        <f>+AE100+AE89+AE74</f>
        <v/>
      </c>
      <c r="AF113" s="63">
        <f>+AF100+AF89+AF74</f>
        <v/>
      </c>
      <c r="AG113" s="63">
        <f>+AG100+AG89+AG74</f>
        <v/>
      </c>
      <c r="AH113" s="63">
        <f>+AH100+AH89+AH74</f>
        <v/>
      </c>
      <c r="AI113" s="63">
        <f>+AI100+AI89+AI74</f>
        <v/>
      </c>
      <c r="AJ113" s="1125">
        <f>+AJ100+AJ89+AJ74</f>
        <v/>
      </c>
      <c r="AK113" s="63">
        <f>+AK100+AK89+AK74</f>
        <v/>
      </c>
      <c r="AL113" s="63">
        <f>+AL100+AL89+AL74</f>
        <v/>
      </c>
      <c r="AM113" s="63">
        <f>+AM100+AM89+AM74</f>
        <v/>
      </c>
      <c r="AN113" s="63">
        <f>+AN100+AN89+AN74</f>
        <v/>
      </c>
      <c r="AO113" s="1125">
        <f>+AO100+AO89+AO74</f>
        <v/>
      </c>
      <c r="AP113" s="63">
        <f>+AP100+AP89+AP74</f>
        <v/>
      </c>
      <c r="AQ113" s="63">
        <f>+AQ100+AQ89+AQ74</f>
        <v/>
      </c>
      <c r="AR113" s="63">
        <f>+AR100+AR89+AR74</f>
        <v/>
      </c>
      <c r="AS113" s="63">
        <f>+AS100+AS89+AS74</f>
        <v/>
      </c>
      <c r="AT113" s="1125">
        <f>+AT100+AT89+AT74</f>
        <v/>
      </c>
      <c r="AU113" s="63">
        <f>+AU100+AU89+AU74</f>
        <v/>
      </c>
      <c r="AV113" s="63">
        <f>+AV100+AV89+AV74</f>
        <v/>
      </c>
      <c r="AW113" s="63">
        <f>+AW100+AW89+AW74</f>
        <v/>
      </c>
      <c r="AX113" s="63">
        <f>+AX100+AX89+AX74</f>
        <v/>
      </c>
      <c r="AY113" s="1125">
        <f>+AY100+AY89+AY74</f>
        <v/>
      </c>
      <c r="AZ113" s="63">
        <f>+AZ100+AZ89+AZ74</f>
        <v/>
      </c>
      <c r="BA113" s="63">
        <f>+BA100+BA89+BA74</f>
        <v/>
      </c>
      <c r="BB113" s="63">
        <f>+BB100+BB89+BB74</f>
        <v/>
      </c>
      <c r="BC113" s="63">
        <f>+BC100+BC89+BC74</f>
        <v/>
      </c>
      <c r="BD113" s="1125">
        <f>+BD100+BD89+BD74</f>
        <v/>
      </c>
      <c r="BE113" s="63">
        <f>+BE100+BE89+BE74</f>
        <v/>
      </c>
      <c r="BF113" s="63">
        <f>+BF100+BF89+BF74</f>
        <v/>
      </c>
      <c r="BG113" s="63">
        <f>+BG100+BG89+BG74</f>
        <v/>
      </c>
      <c r="BH113" s="63">
        <f>+BH100+BH89+BH74</f>
        <v/>
      </c>
      <c r="BI113" s="1125">
        <f>+BI100+BI89+BI74</f>
        <v/>
      </c>
      <c r="BJ113" s="63">
        <f>+BJ100+BJ89+BJ74</f>
        <v/>
      </c>
      <c r="BK113" s="63">
        <f>+BK100+BK89+BK74</f>
        <v/>
      </c>
      <c r="BL113" s="63">
        <f>+BL100+BL89+BL74</f>
        <v/>
      </c>
      <c r="BM113" s="63">
        <f>+BM100+BM89+BM74</f>
        <v/>
      </c>
      <c r="BN113" s="1125">
        <f>+BN100+BN89+BN74</f>
        <v/>
      </c>
      <c r="BO113" s="63">
        <f>+BO100+BO89+BO74</f>
        <v/>
      </c>
      <c r="BP113" s="63">
        <f>+BP100+BP89+BP74</f>
        <v/>
      </c>
      <c r="BQ113" s="63">
        <f>+BQ100+BQ89+BQ74</f>
        <v/>
      </c>
      <c r="BR113" s="63">
        <f>+BR100+BR89+BR74</f>
        <v/>
      </c>
      <c r="BS113" s="1125">
        <f>+BS100+BS89+BS74</f>
        <v/>
      </c>
      <c r="BT113" s="63">
        <f>+BT100+BT89+BT74</f>
        <v/>
      </c>
      <c r="BU113" s="63">
        <f>+BU100+BU89+BU74</f>
        <v/>
      </c>
      <c r="BV113" s="587">
        <f>+BV100+BV89+BV74</f>
        <v/>
      </c>
      <c r="BW113" s="63">
        <f>+BW100+BW89+BW74</f>
        <v/>
      </c>
      <c r="BX113" s="1125">
        <f>+BX100+BX89+BX74</f>
        <v/>
      </c>
      <c r="BY113" s="63">
        <f>+BY100+BY89+BY74</f>
        <v/>
      </c>
      <c r="BZ113" s="63">
        <f>+BZ100+BZ89+BZ74</f>
        <v/>
      </c>
      <c r="CA113" s="63">
        <f>+CA100+CA89+CA74</f>
        <v/>
      </c>
      <c r="CB113" s="63">
        <f>+CB100+CB89+CB74</f>
        <v/>
      </c>
      <c r="CC113" s="1125">
        <f>+CC100+CC89+CC74</f>
        <v/>
      </c>
      <c r="CD113" s="1125">
        <f>+CD100+CD89+CD74</f>
        <v/>
      </c>
      <c r="CE113" s="1125">
        <f>+CE100+CE89+CE74</f>
        <v/>
      </c>
      <c r="CF113" s="1125">
        <f>+CF100+CF89+CF74</f>
        <v/>
      </c>
      <c r="CG113" s="237" t="n"/>
    </row>
    <row r="114" customFormat="1" s="957">
      <c r="A114" s="656">
        <f>CONCATENATE("Guidance - ",IFERROR(LEFT(A113,FIND("(",A113)-1),A113))</f>
        <v/>
      </c>
      <c r="B114" s="641" t="n"/>
      <c r="C114" s="1117" t="n"/>
      <c r="D114" s="1117" t="n"/>
      <c r="E114" s="1117" t="n"/>
      <c r="F114" s="1117" t="n"/>
      <c r="G114" s="76" t="n"/>
      <c r="H114" s="76" t="n"/>
      <c r="I114" s="76" t="n"/>
      <c r="J114" s="76" t="n"/>
      <c r="K114" s="1117" t="n"/>
      <c r="L114" s="76" t="n"/>
      <c r="M114" s="76" t="n"/>
      <c r="N114" s="76" t="n"/>
      <c r="O114" s="76" t="n"/>
      <c r="P114" s="1117" t="n"/>
      <c r="Q114" s="76" t="n"/>
      <c r="R114" s="76" t="n"/>
      <c r="S114" s="76" t="n"/>
      <c r="T114" s="76" t="n"/>
      <c r="U114" s="1117" t="n"/>
      <c r="V114" s="76" t="n"/>
      <c r="W114" s="76" t="n"/>
      <c r="X114" s="76" t="n"/>
      <c r="Y114" s="76" t="n"/>
      <c r="Z114" s="1117" t="n"/>
      <c r="AA114" s="76" t="n"/>
      <c r="AB114" s="76" t="n"/>
      <c r="AC114" s="76" t="n"/>
      <c r="AD114" s="76" t="n"/>
      <c r="AE114" s="1117" t="n"/>
      <c r="AF114" s="76" t="n"/>
      <c r="AG114" s="76" t="n"/>
      <c r="AH114" s="76">
        <f>+AH522</f>
        <v/>
      </c>
      <c r="AI114" s="76">
        <f>+AI522</f>
        <v/>
      </c>
      <c r="AJ114" s="1117">
        <f>+AJ522</f>
        <v/>
      </c>
      <c r="AK114" s="76">
        <f>+AK522</f>
        <v/>
      </c>
      <c r="AL114" s="76">
        <f>+AL522</f>
        <v/>
      </c>
      <c r="AM114" s="76">
        <f>+AM522</f>
        <v/>
      </c>
      <c r="AN114" s="76">
        <f>+AN522</f>
        <v/>
      </c>
      <c r="AO114" s="1117">
        <f>+AO522</f>
        <v/>
      </c>
      <c r="AP114" s="76">
        <f>+AP522</f>
        <v/>
      </c>
      <c r="AQ114" s="76">
        <f>+AQ522</f>
        <v/>
      </c>
      <c r="AR114" s="76">
        <f>+AR522</f>
        <v/>
      </c>
      <c r="AS114" s="76">
        <f>+AS522</f>
        <v/>
      </c>
      <c r="AT114" s="1117">
        <f>+AT522</f>
        <v/>
      </c>
      <c r="AU114" s="76">
        <f>+AU522</f>
        <v/>
      </c>
      <c r="AV114" s="76">
        <f>+AV522</f>
        <v/>
      </c>
      <c r="AW114" s="76">
        <f>+AW522</f>
        <v/>
      </c>
      <c r="AX114" s="76">
        <f>+AX522</f>
        <v/>
      </c>
      <c r="AY114" s="1117">
        <f>+AY522</f>
        <v/>
      </c>
      <c r="AZ114" s="76">
        <f>+AZ522</f>
        <v/>
      </c>
      <c r="BA114" s="76">
        <f>+BA522</f>
        <v/>
      </c>
      <c r="BB114" s="76">
        <f>+BB522</f>
        <v/>
      </c>
      <c r="BC114" s="76">
        <f>+BC522</f>
        <v/>
      </c>
      <c r="BD114" s="1117">
        <f>+BD522</f>
        <v/>
      </c>
      <c r="BE114" s="76">
        <f>+BE522</f>
        <v/>
      </c>
      <c r="BF114" s="76">
        <f>+BF522</f>
        <v/>
      </c>
      <c r="BG114" s="76">
        <f>+BG522</f>
        <v/>
      </c>
      <c r="BH114" s="76">
        <f>+BH522</f>
        <v/>
      </c>
      <c r="BI114" s="1117">
        <f>+BI522</f>
        <v/>
      </c>
      <c r="BJ114" s="76">
        <f>+BJ522</f>
        <v/>
      </c>
      <c r="BK114" s="76">
        <f>+BK522</f>
        <v/>
      </c>
      <c r="BL114" s="76">
        <f>+BL522</f>
        <v/>
      </c>
      <c r="BM114" s="76">
        <f>+BM522</f>
        <v/>
      </c>
      <c r="BN114" s="1117">
        <f>+BN522</f>
        <v/>
      </c>
      <c r="BO114" s="76">
        <f>+BO522</f>
        <v/>
      </c>
      <c r="BP114" s="76">
        <f>+BP522</f>
        <v/>
      </c>
      <c r="BQ114" s="76">
        <f>+BQ522</f>
        <v/>
      </c>
      <c r="BR114" s="76">
        <f>+BR522</f>
        <v/>
      </c>
      <c r="BS114" s="1117">
        <f>+BS522</f>
        <v/>
      </c>
      <c r="BT114" s="76">
        <f>+BT522</f>
        <v/>
      </c>
      <c r="BU114" s="76">
        <f>+BU522</f>
        <v/>
      </c>
      <c r="BV114" s="881">
        <f>+BV522</f>
        <v/>
      </c>
      <c r="BW114" s="76">
        <f>+BW522</f>
        <v/>
      </c>
      <c r="BX114" s="1117">
        <f>+BX522</f>
        <v/>
      </c>
      <c r="BY114" s="76">
        <f>+BY522</f>
        <v/>
      </c>
      <c r="BZ114" s="76">
        <f>+BZ522</f>
        <v/>
      </c>
      <c r="CA114" s="76">
        <f>+CA522</f>
        <v/>
      </c>
      <c r="CB114" s="76">
        <f>+CB522</f>
        <v/>
      </c>
      <c r="CC114" s="1117">
        <f>+CC522</f>
        <v/>
      </c>
      <c r="CD114" s="1117">
        <f>+CD522</f>
        <v/>
      </c>
      <c r="CE114" s="1117">
        <f>+CE522</f>
        <v/>
      </c>
      <c r="CF114" s="1117">
        <f>+CF522</f>
        <v/>
      </c>
      <c r="CG114" s="791" t="n"/>
    </row>
    <row r="115">
      <c r="A115" s="600" t="n"/>
      <c r="B115" s="601" t="n"/>
      <c r="C115" s="1125" t="n"/>
      <c r="D115" s="1125" t="n"/>
      <c r="E115" s="1125" t="n"/>
      <c r="F115" s="1125" t="n"/>
      <c r="G115" s="63" t="n"/>
      <c r="H115" s="63" t="n"/>
      <c r="I115" s="63" t="n"/>
      <c r="J115" s="63" t="n"/>
      <c r="K115" s="1125" t="n"/>
      <c r="L115" s="63" t="n"/>
      <c r="M115" s="63" t="n"/>
      <c r="N115" s="63" t="n"/>
      <c r="O115" s="63" t="n"/>
      <c r="P115" s="1125" t="n"/>
      <c r="Q115" s="63" t="n"/>
      <c r="R115" s="63" t="n"/>
      <c r="S115" s="63" t="n"/>
      <c r="T115" s="63" t="n"/>
      <c r="U115" s="1125" t="n"/>
      <c r="V115" s="63" t="n"/>
      <c r="W115" s="63" t="n"/>
      <c r="X115" s="63" t="n"/>
      <c r="Y115" s="63" t="n"/>
      <c r="Z115" s="1125" t="n"/>
      <c r="AA115" s="63" t="n"/>
      <c r="AB115" s="63" t="n"/>
      <c r="AC115" s="63" t="n"/>
      <c r="AD115" s="63" t="n"/>
      <c r="AE115" s="1125" t="n"/>
      <c r="AF115" s="63" t="n"/>
      <c r="AG115" s="63" t="n"/>
      <c r="AH115" s="63" t="n"/>
      <c r="AI115" s="63" t="n"/>
      <c r="AJ115" s="1125" t="n"/>
      <c r="AK115" s="63" t="n"/>
      <c r="AL115" s="63" t="n"/>
      <c r="AM115" s="63" t="n"/>
      <c r="AN115" s="63" t="n"/>
      <c r="AO115" s="1125" t="n"/>
      <c r="AP115" s="63" t="n"/>
      <c r="AQ115" s="63" t="n"/>
      <c r="AR115" s="63" t="n"/>
      <c r="AS115" s="63" t="n"/>
      <c r="AT115" s="1125" t="n"/>
      <c r="AU115" s="63" t="n"/>
      <c r="AV115" s="63" t="n"/>
      <c r="AW115" s="63" t="n"/>
      <c r="AX115" s="63" t="n"/>
      <c r="AY115" s="1125" t="n"/>
      <c r="AZ115" s="63" t="n"/>
      <c r="BA115" s="63" t="n"/>
      <c r="BB115" s="63" t="n"/>
      <c r="BC115" s="63" t="n"/>
      <c r="BD115" s="1125" t="n"/>
      <c r="BE115" s="63" t="n"/>
      <c r="BF115" s="63" t="n"/>
      <c r="BG115" s="63" t="n"/>
      <c r="BH115" s="63" t="n"/>
      <c r="BI115" s="1125" t="n"/>
      <c r="BJ115" s="63" t="n"/>
      <c r="BK115" s="63" t="n"/>
      <c r="BL115" s="63" t="n"/>
      <c r="BM115" s="63" t="n"/>
      <c r="BN115" s="1125" t="n"/>
      <c r="BO115" s="63" t="n"/>
      <c r="BP115" s="63" t="n"/>
      <c r="BQ115" s="63" t="n"/>
      <c r="BR115" s="63" t="n"/>
      <c r="BS115" s="1125" t="n"/>
      <c r="BT115" s="63" t="n"/>
      <c r="BU115" s="63" t="n"/>
      <c r="BV115" s="587" t="n"/>
      <c r="BW115" s="63" t="n"/>
      <c r="BX115" s="1125" t="n"/>
      <c r="BY115" s="63" t="n"/>
      <c r="BZ115" s="63" t="n"/>
      <c r="CA115" s="63" t="n"/>
      <c r="CB115" s="63" t="n"/>
      <c r="CC115" s="1125" t="n"/>
      <c r="CD115" s="1125" t="n"/>
      <c r="CE115" s="1125" t="n"/>
      <c r="CF115" s="1125" t="n"/>
      <c r="CG115" s="155" t="n"/>
    </row>
    <row r="116">
      <c r="A116" s="45" t="inlineStr">
        <is>
          <t>SBC, D&amp;A, Acquisition-related Costs Breakdown (FS)</t>
        </is>
      </c>
      <c r="B116" s="45" t="n"/>
      <c r="C116" s="45" t="n"/>
      <c r="D116" s="45" t="n"/>
      <c r="E116" s="45" t="n"/>
      <c r="F116" s="45" t="n"/>
      <c r="G116" s="45" t="n"/>
      <c r="H116" s="45" t="n"/>
      <c r="I116" s="45" t="n"/>
      <c r="J116" s="45" t="n"/>
      <c r="K116" s="45" t="n"/>
      <c r="L116" s="45" t="n"/>
      <c r="M116" s="45" t="n"/>
      <c r="N116" s="45" t="n"/>
      <c r="O116" s="45" t="n"/>
      <c r="P116" s="45" t="n"/>
      <c r="Q116" s="45" t="n"/>
      <c r="R116" s="45" t="n"/>
      <c r="S116" s="45" t="n"/>
      <c r="T116" s="45" t="n"/>
      <c r="U116" s="45" t="n"/>
      <c r="V116" s="45" t="n"/>
      <c r="W116" s="45" t="n"/>
      <c r="X116" s="45" t="n"/>
      <c r="Y116" s="45" t="n"/>
      <c r="Z116" s="45" t="n"/>
      <c r="AA116" s="45" t="n"/>
      <c r="AB116" s="45" t="n"/>
      <c r="AC116" s="45" t="n"/>
      <c r="AD116" s="45" t="n"/>
      <c r="AE116" s="45" t="n"/>
      <c r="AF116" s="45" t="n"/>
      <c r="AG116" s="45" t="n"/>
      <c r="AH116" s="45" t="n"/>
      <c r="AI116" s="45" t="n"/>
      <c r="AJ116" s="45" t="n"/>
      <c r="AK116" s="45" t="n"/>
      <c r="AL116" s="45" t="n"/>
      <c r="AM116" s="45" t="n"/>
      <c r="AN116" s="45" t="n"/>
      <c r="AO116" s="45" t="n"/>
      <c r="AP116" s="45" t="n"/>
      <c r="AQ116" s="45" t="n"/>
      <c r="AR116" s="45" t="n"/>
      <c r="AS116" s="45" t="n"/>
      <c r="AT116" s="45" t="n"/>
      <c r="AU116" s="45" t="n"/>
      <c r="AV116" s="45" t="n"/>
      <c r="AW116" s="45" t="n"/>
      <c r="AX116" s="45" t="n"/>
      <c r="AY116" s="45" t="n"/>
      <c r="AZ116" s="45" t="n"/>
      <c r="BA116" s="45" t="n"/>
      <c r="BB116" s="45" t="n"/>
      <c r="BC116" s="45" t="n"/>
      <c r="BD116" s="45" t="n"/>
      <c r="BE116" s="45" t="n"/>
      <c r="BF116" s="45" t="n"/>
      <c r="BG116" s="45" t="n"/>
      <c r="BH116" s="45" t="n"/>
      <c r="BI116" s="45" t="n"/>
      <c r="BJ116" s="45" t="n"/>
      <c r="BK116" s="45" t="n"/>
      <c r="BL116" s="45" t="n"/>
      <c r="BM116" s="45" t="n"/>
      <c r="BN116" s="45" t="n"/>
      <c r="BO116" s="45" t="n"/>
      <c r="BP116" s="45" t="n"/>
      <c r="BQ116" s="45" t="n"/>
      <c r="BR116" s="45" t="n"/>
      <c r="BS116" s="45" t="n"/>
      <c r="BT116" s="45" t="n"/>
      <c r="BU116" s="45" t="n"/>
      <c r="BV116" s="982" t="n"/>
      <c r="BW116" s="45" t="n"/>
      <c r="BX116" s="45" t="n"/>
      <c r="BY116" s="45" t="n"/>
      <c r="BZ116" s="45" t="n"/>
      <c r="CA116" s="45" t="n"/>
      <c r="CB116" s="45" t="n"/>
      <c r="CC116" s="45" t="n"/>
      <c r="CD116" s="45" t="n"/>
      <c r="CE116" s="45" t="n"/>
      <c r="CF116" s="45" t="n"/>
      <c r="CG116" s="155" t="n"/>
    </row>
    <row r="117" hidden="1" outlineLevel="1">
      <c r="A117" s="99" t="inlineStr">
        <is>
          <t>Depreciation, mm</t>
        </is>
      </c>
      <c r="B117" s="146" t="n"/>
      <c r="C117" s="1110">
        <f>C119-C118</f>
        <v/>
      </c>
      <c r="D117" s="1110">
        <f>D119-D118</f>
        <v/>
      </c>
      <c r="E117" s="1110">
        <f>E119-E118</f>
        <v/>
      </c>
      <c r="F117" s="1110">
        <f>F119-F118</f>
        <v/>
      </c>
      <c r="G117" s="68">
        <f>G119-G118</f>
        <v/>
      </c>
      <c r="H117" s="68">
        <f>H119-H118</f>
        <v/>
      </c>
      <c r="I117" s="68">
        <f>I119-I118</f>
        <v/>
      </c>
      <c r="J117" s="68">
        <f>J119-J118</f>
        <v/>
      </c>
      <c r="K117" s="1110">
        <f>K119-K118</f>
        <v/>
      </c>
      <c r="L117" s="68">
        <f>L119-L118</f>
        <v/>
      </c>
      <c r="M117" s="68">
        <f>M119-M118</f>
        <v/>
      </c>
      <c r="N117" s="68">
        <f>N119-N118</f>
        <v/>
      </c>
      <c r="O117" s="68">
        <f>O119-O118</f>
        <v/>
      </c>
      <c r="P117" s="1110">
        <f>P119-P118</f>
        <v/>
      </c>
      <c r="Q117" s="68">
        <f>Q119-Q118</f>
        <v/>
      </c>
      <c r="R117" s="68">
        <f>R119-R118</f>
        <v/>
      </c>
      <c r="S117" s="68">
        <f>S119-S118</f>
        <v/>
      </c>
      <c r="T117" s="68">
        <f>T119-T118</f>
        <v/>
      </c>
      <c r="U117" s="1110">
        <f>U119-U118</f>
        <v/>
      </c>
      <c r="V117" s="68">
        <f>V119-V118</f>
        <v/>
      </c>
      <c r="W117" s="68">
        <f>W119-W118</f>
        <v/>
      </c>
      <c r="X117" s="68">
        <f>X119-X118</f>
        <v/>
      </c>
      <c r="Y117" s="68">
        <f>Y119-Y118</f>
        <v/>
      </c>
      <c r="Z117" s="1111" t="n">
        <v>124</v>
      </c>
      <c r="AA117" s="68">
        <f>AA119-AA118</f>
        <v/>
      </c>
      <c r="AB117" s="68">
        <f>AB119-AB118</f>
        <v/>
      </c>
      <c r="AC117" s="68">
        <f>AC119-AC118</f>
        <v/>
      </c>
      <c r="AD117" s="68">
        <f>AD119-AD118</f>
        <v/>
      </c>
      <c r="AE117" s="1110">
        <f>AE119-AE118</f>
        <v/>
      </c>
      <c r="AF117" s="68">
        <f>AF119-AF118</f>
        <v/>
      </c>
      <c r="AG117" s="68">
        <f>AG119-AG118</f>
        <v/>
      </c>
      <c r="AH117" s="68">
        <f>AH119-AH118</f>
        <v/>
      </c>
      <c r="AI117" s="68">
        <f>AI119-AI118</f>
        <v/>
      </c>
      <c r="AJ117" s="1111" t="n">
        <v>144</v>
      </c>
      <c r="AK117" s="68">
        <f>AK119-AK118</f>
        <v/>
      </c>
      <c r="AL117" s="68">
        <f>AL119-AL118</f>
        <v/>
      </c>
      <c r="AM117" s="68">
        <f>AM119-AM118</f>
        <v/>
      </c>
      <c r="AN117" s="68">
        <f>AN119-AN118</f>
        <v/>
      </c>
      <c r="AO117" s="1111" t="n">
        <v>233</v>
      </c>
      <c r="AP117" s="68">
        <f>AP119-AP118</f>
        <v/>
      </c>
      <c r="AQ117" s="68">
        <f>AQ119-AQ118</f>
        <v/>
      </c>
      <c r="AR117" s="68">
        <f>AR119-AR118</f>
        <v/>
      </c>
      <c r="AS117" s="68">
        <f>AS119-AS118</f>
        <v/>
      </c>
      <c r="AT117" s="1110">
        <f>AT119-AT118</f>
        <v/>
      </c>
      <c r="AU117" s="68">
        <f>AU119-AU118</f>
        <v/>
      </c>
      <c r="AV117" s="68">
        <f>AV119-AV118</f>
        <v/>
      </c>
      <c r="AW117" s="68">
        <f>AW119-AW118</f>
        <v/>
      </c>
      <c r="AX117" s="68">
        <f>AX119-AX118</f>
        <v/>
      </c>
      <c r="AY117" s="1111" t="n">
        <v>486</v>
      </c>
      <c r="AZ117" s="68">
        <f>AZ119-AZ118</f>
        <v/>
      </c>
      <c r="BA117" s="68">
        <f>BA119-BA118</f>
        <v/>
      </c>
      <c r="BB117" s="68">
        <f>BB119-BB118</f>
        <v/>
      </c>
      <c r="BC117" s="68">
        <f>BD117-SUM(AZ117,BA117,BB117)</f>
        <v/>
      </c>
      <c r="BD117" s="1111" t="n">
        <v>611</v>
      </c>
      <c r="BE117" s="68">
        <f>BE119-BE118</f>
        <v/>
      </c>
      <c r="BF117" s="68">
        <f>BF119-BF118</f>
        <v/>
      </c>
      <c r="BG117" s="68">
        <f>BG119-BG118</f>
        <v/>
      </c>
      <c r="BH117" s="68">
        <f>BI117-SUM(BE117,BF117,BG117)</f>
        <v/>
      </c>
      <c r="BI117" s="1111" t="n">
        <v>844</v>
      </c>
      <c r="BJ117" s="68">
        <f>BJ119-BJ118</f>
        <v/>
      </c>
      <c r="BK117" s="68">
        <f>BK119-BK118</f>
        <v/>
      </c>
      <c r="BL117" s="68">
        <f>BL119-BL118</f>
        <v/>
      </c>
      <c r="BM117" s="68">
        <f>BN117-SUM(BJ117,BK117,BL117)</f>
        <v/>
      </c>
      <c r="BN117" s="1111" t="n">
        <v>894</v>
      </c>
      <c r="BO117" s="68">
        <f>BO119-BO118</f>
        <v/>
      </c>
      <c r="BP117" s="68">
        <f>BP119-BP118</f>
        <v/>
      </c>
      <c r="BQ117" s="68">
        <f>BQ119-BQ118</f>
        <v/>
      </c>
      <c r="BR117" s="68">
        <f>BS117-SUM(BO117,BP117,BQ117)</f>
        <v/>
      </c>
      <c r="BS117" s="1110">
        <f>BS119-BS118</f>
        <v/>
      </c>
      <c r="BT117" s="68">
        <f>BT119-BT118</f>
        <v/>
      </c>
      <c r="BU117" s="68">
        <f>BU119-BU118</f>
        <v/>
      </c>
      <c r="BV117" s="588">
        <f>BV119-BV118</f>
        <v/>
      </c>
      <c r="BW117" s="68">
        <f>BW391</f>
        <v/>
      </c>
      <c r="BX117" s="1110">
        <f>SUM(BT117,BU117,BV117,BW117)</f>
        <v/>
      </c>
      <c r="BY117" s="68">
        <f>BY391</f>
        <v/>
      </c>
      <c r="BZ117" s="68">
        <f>BZ391</f>
        <v/>
      </c>
      <c r="CA117" s="68">
        <f>CA391</f>
        <v/>
      </c>
      <c r="CB117" s="68">
        <f>CB391</f>
        <v/>
      </c>
      <c r="CC117" s="1110">
        <f>SUM(BY117,BZ117,CA117,CB117)</f>
        <v/>
      </c>
      <c r="CD117" s="1110">
        <f>CD391</f>
        <v/>
      </c>
      <c r="CE117" s="1110">
        <f>CE391</f>
        <v/>
      </c>
      <c r="CF117" s="1110">
        <f>CF391</f>
        <v/>
      </c>
      <c r="CG117" s="155" t="n"/>
    </row>
    <row r="118" hidden="1" outlineLevel="1">
      <c r="A118" s="99" t="inlineStr">
        <is>
          <t>Amortization, mm</t>
        </is>
      </c>
      <c r="B118" s="146" t="n"/>
      <c r="C118" s="1111" t="n">
        <v>32.6</v>
      </c>
      <c r="D118" s="1111" t="n">
        <v>31.9</v>
      </c>
      <c r="E118" s="1111" t="n">
        <v>30</v>
      </c>
      <c r="F118" s="1111" t="n">
        <v>59</v>
      </c>
      <c r="G118" s="1053" t="n">
        <v>16.6</v>
      </c>
      <c r="H118" s="1053" t="n">
        <v>17.2</v>
      </c>
      <c r="I118" s="1053" t="n">
        <v>17.3</v>
      </c>
      <c r="J118" s="68">
        <f>K118-SUM(G118,H118,I118)</f>
        <v/>
      </c>
      <c r="K118" s="1111" t="n">
        <v>68.40000000000001</v>
      </c>
      <c r="L118" s="1053" t="n">
        <v>17.4</v>
      </c>
      <c r="M118" s="1053" t="n">
        <v>18.6</v>
      </c>
      <c r="N118" s="1053" t="n">
        <v>19.6</v>
      </c>
      <c r="O118" s="68">
        <f>P118-SUM(L118,M118,N118)</f>
        <v/>
      </c>
      <c r="P118" s="1111" t="n">
        <v>72.7</v>
      </c>
      <c r="Q118" s="1053" t="n">
        <v>19</v>
      </c>
      <c r="R118" s="1053" t="n">
        <v>19</v>
      </c>
      <c r="S118" s="1053" t="n">
        <v>19</v>
      </c>
      <c r="T118" s="68">
        <f>U118-SUM(Q118,R118,S118)</f>
        <v/>
      </c>
      <c r="U118" s="1111" t="n">
        <v>77</v>
      </c>
      <c r="V118" s="1053" t="n">
        <v>19</v>
      </c>
      <c r="W118" s="1053" t="n">
        <v>19</v>
      </c>
      <c r="X118" s="1053" t="n">
        <v>18</v>
      </c>
      <c r="Y118" s="68">
        <f>Z118-SUM(V118,W118,X118)</f>
        <v/>
      </c>
      <c r="Z118" s="1111" t="n">
        <v>73</v>
      </c>
      <c r="AA118" s="1053" t="n">
        <v>17</v>
      </c>
      <c r="AB118" s="1053" t="n">
        <v>18</v>
      </c>
      <c r="AC118" s="1053" t="n">
        <v>18</v>
      </c>
      <c r="AD118" s="68">
        <f>AE118-SUM(AA118,AB118,AC118)</f>
        <v/>
      </c>
      <c r="AE118" s="1111" t="n">
        <v>68</v>
      </c>
      <c r="AF118" s="1053" t="n">
        <v>15</v>
      </c>
      <c r="AG118" s="1053" t="n">
        <v>14</v>
      </c>
      <c r="AH118" s="1053" t="n">
        <v>13</v>
      </c>
      <c r="AI118" s="68">
        <f>AJ118-SUM(AF118,AG118,AH118)</f>
        <v/>
      </c>
      <c r="AJ118" s="1111" t="n">
        <v>55</v>
      </c>
      <c r="AK118" s="1053" t="n">
        <v>11</v>
      </c>
      <c r="AL118" s="1053" t="n">
        <v>6</v>
      </c>
      <c r="AM118" s="1053" t="n">
        <v>7</v>
      </c>
      <c r="AN118" s="68">
        <f>AO118-SUM(AK118,AL118,AM118)</f>
        <v/>
      </c>
      <c r="AO118" s="1111" t="n">
        <v>29</v>
      </c>
      <c r="AP118" s="1053" t="n">
        <v>7</v>
      </c>
      <c r="AQ118" s="1053" t="n">
        <v>6</v>
      </c>
      <c r="AR118" s="1053" t="n">
        <v>6</v>
      </c>
      <c r="AS118" s="68">
        <f>AT118-SUM(AP118,AQ118,AR118)</f>
        <v/>
      </c>
      <c r="AT118" s="1111" t="n">
        <v>25</v>
      </c>
      <c r="AU118" s="1053" t="n">
        <v>7</v>
      </c>
      <c r="AV118" s="1053" t="n">
        <v>284</v>
      </c>
      <c r="AW118" s="1053" t="n">
        <v>174</v>
      </c>
      <c r="AX118" s="68">
        <f>AY118-SUM(AU118,AV118,AW118)</f>
        <v/>
      </c>
      <c r="AY118" s="1111" t="n">
        <v>612</v>
      </c>
      <c r="AZ118" s="1053" t="n">
        <v>137</v>
      </c>
      <c r="BA118" s="1053" t="n">
        <v>138</v>
      </c>
      <c r="BB118" s="1053" t="n">
        <v>143</v>
      </c>
      <c r="BC118" s="68">
        <f>BD118-SUM(AZ118,BA118,BB118)</f>
        <v/>
      </c>
      <c r="BD118" s="1111" t="n">
        <v>563</v>
      </c>
      <c r="BE118" s="1053" t="n">
        <v>155</v>
      </c>
      <c r="BF118" s="1053" t="n">
        <v>182</v>
      </c>
      <c r="BG118" s="1053" t="n">
        <v>181</v>
      </c>
      <c r="BH118" s="68">
        <f>BI118-SUM(BE118,BF118,BG118)</f>
        <v/>
      </c>
      <c r="BI118" s="1111" t="n">
        <v>699</v>
      </c>
      <c r="BJ118" s="1053" t="n">
        <v>181</v>
      </c>
      <c r="BK118" s="1053" t="n">
        <v>146</v>
      </c>
      <c r="BL118" s="1053" t="n">
        <v>144</v>
      </c>
      <c r="BM118" s="68">
        <f>BN118-SUM(BJ118,BK118,BL118)</f>
        <v/>
      </c>
      <c r="BN118" s="1111" t="n">
        <v>614</v>
      </c>
      <c r="BO118" s="1053" t="n">
        <v>143</v>
      </c>
      <c r="BP118" s="1053" t="n">
        <v>146</v>
      </c>
      <c r="BQ118" s="1053" t="n">
        <v>149</v>
      </c>
      <c r="BR118" s="27">
        <f>BS118-SUM(BO118,BP118,BQ118)</f>
        <v/>
      </c>
      <c r="BS118" s="1111" t="n">
        <v>593</v>
      </c>
      <c r="BT118" s="1053" t="n">
        <v>159</v>
      </c>
      <c r="BU118" s="1053" t="n">
        <v>86</v>
      </c>
      <c r="BV118" s="1054" t="n">
        <v>96</v>
      </c>
      <c r="BW118" s="68">
        <f>-BW923</f>
        <v/>
      </c>
      <c r="BX118" s="1110">
        <f>SUM(BT118,BU118,BV118,BW118)</f>
        <v/>
      </c>
      <c r="BY118" s="68">
        <f>-BY923</f>
        <v/>
      </c>
      <c r="BZ118" s="68">
        <f>-BZ923</f>
        <v/>
      </c>
      <c r="CA118" s="68">
        <f>-CA923</f>
        <v/>
      </c>
      <c r="CB118" s="68">
        <f>-CB923</f>
        <v/>
      </c>
      <c r="CC118" s="1110">
        <f>SUM(BY118,BZ118,CA118,CB118)</f>
        <v/>
      </c>
      <c r="CD118" s="1110">
        <f>-CD923</f>
        <v/>
      </c>
      <c r="CE118" s="1110">
        <f>-CE923</f>
        <v/>
      </c>
      <c r="CF118" s="1110">
        <f>-CF923</f>
        <v/>
      </c>
      <c r="CG118" s="155" t="n"/>
    </row>
    <row r="119" hidden="1" outlineLevel="1">
      <c r="A119" s="631" t="inlineStr">
        <is>
          <t>Depreciation &amp; Amortization, mm</t>
        </is>
      </c>
      <c r="B119" s="607" t="n"/>
      <c r="C119" s="1122">
        <f>C846</f>
        <v/>
      </c>
      <c r="D119" s="1122">
        <f>D846</f>
        <v/>
      </c>
      <c r="E119" s="1122">
        <f>E846</f>
        <v/>
      </c>
      <c r="F119" s="1122">
        <f>F846</f>
        <v/>
      </c>
      <c r="G119" s="61">
        <f>G846</f>
        <v/>
      </c>
      <c r="H119" s="61">
        <f>H846</f>
        <v/>
      </c>
      <c r="I119" s="61">
        <f>I846</f>
        <v/>
      </c>
      <c r="J119" s="61">
        <f>J846</f>
        <v/>
      </c>
      <c r="K119" s="1122">
        <f>K846</f>
        <v/>
      </c>
      <c r="L119" s="61">
        <f>L846</f>
        <v/>
      </c>
      <c r="M119" s="61">
        <f>M846</f>
        <v/>
      </c>
      <c r="N119" s="61">
        <f>N846</f>
        <v/>
      </c>
      <c r="O119" s="61">
        <f>O846</f>
        <v/>
      </c>
      <c r="P119" s="1122">
        <f>P846</f>
        <v/>
      </c>
      <c r="Q119" s="61">
        <f>Q846</f>
        <v/>
      </c>
      <c r="R119" s="61">
        <f>R846</f>
        <v/>
      </c>
      <c r="S119" s="61">
        <f>S846</f>
        <v/>
      </c>
      <c r="T119" s="61">
        <f>T846</f>
        <v/>
      </c>
      <c r="U119" s="1122">
        <f>U846</f>
        <v/>
      </c>
      <c r="V119" s="61">
        <f>V846</f>
        <v/>
      </c>
      <c r="W119" s="61">
        <f>W846</f>
        <v/>
      </c>
      <c r="X119" s="61">
        <f>X846</f>
        <v/>
      </c>
      <c r="Y119" s="61">
        <f>Y846</f>
        <v/>
      </c>
      <c r="Z119" s="1122">
        <f>Z846</f>
        <v/>
      </c>
      <c r="AA119" s="61">
        <f>AA846</f>
        <v/>
      </c>
      <c r="AB119" s="61">
        <f>AB846</f>
        <v/>
      </c>
      <c r="AC119" s="61">
        <f>AC846</f>
        <v/>
      </c>
      <c r="AD119" s="61">
        <f>AD846</f>
        <v/>
      </c>
      <c r="AE119" s="1122">
        <f>AE846</f>
        <v/>
      </c>
      <c r="AF119" s="61">
        <f>AF846</f>
        <v/>
      </c>
      <c r="AG119" s="61">
        <f>AG846</f>
        <v/>
      </c>
      <c r="AH119" s="61">
        <f>AH846</f>
        <v/>
      </c>
      <c r="AI119" s="61">
        <f>AI846</f>
        <v/>
      </c>
      <c r="AJ119" s="1122">
        <f>AJ846</f>
        <v/>
      </c>
      <c r="AK119" s="61">
        <f>AK846</f>
        <v/>
      </c>
      <c r="AL119" s="61">
        <f>AL846</f>
        <v/>
      </c>
      <c r="AM119" s="61">
        <f>AM846</f>
        <v/>
      </c>
      <c r="AN119" s="61">
        <f>AN846</f>
        <v/>
      </c>
      <c r="AO119" s="1122">
        <f>AO846</f>
        <v/>
      </c>
      <c r="AP119" s="61">
        <f>AP846</f>
        <v/>
      </c>
      <c r="AQ119" s="61">
        <f>AQ846</f>
        <v/>
      </c>
      <c r="AR119" s="61">
        <f>AR846</f>
        <v/>
      </c>
      <c r="AS119" s="61">
        <f>AS846</f>
        <v/>
      </c>
      <c r="AT119" s="1122">
        <f>AT846</f>
        <v/>
      </c>
      <c r="AU119" s="61">
        <f>AU846</f>
        <v/>
      </c>
      <c r="AV119" s="61">
        <f>AV846</f>
        <v/>
      </c>
      <c r="AW119" s="61">
        <f>AW846</f>
        <v/>
      </c>
      <c r="AX119" s="61">
        <f>AX846</f>
        <v/>
      </c>
      <c r="AY119" s="1122">
        <f>AY846</f>
        <v/>
      </c>
      <c r="AZ119" s="61">
        <f>AZ846</f>
        <v/>
      </c>
      <c r="BA119" s="61">
        <f>BA846</f>
        <v/>
      </c>
      <c r="BB119" s="61">
        <f>BB846</f>
        <v/>
      </c>
      <c r="BC119" s="61">
        <f>BC846</f>
        <v/>
      </c>
      <c r="BD119" s="1122">
        <f>BD846</f>
        <v/>
      </c>
      <c r="BE119" s="61">
        <f>BE846</f>
        <v/>
      </c>
      <c r="BF119" s="61">
        <f>BF846</f>
        <v/>
      </c>
      <c r="BG119" s="61">
        <f>BG846</f>
        <v/>
      </c>
      <c r="BH119" s="61">
        <f>BH846</f>
        <v/>
      </c>
      <c r="BI119" s="1122">
        <f>BI846</f>
        <v/>
      </c>
      <c r="BJ119" s="60">
        <f>BJ846</f>
        <v/>
      </c>
      <c r="BK119" s="61">
        <f>BK846</f>
        <v/>
      </c>
      <c r="BL119" s="61">
        <f>BL846</f>
        <v/>
      </c>
      <c r="BM119" s="60">
        <f>BM846</f>
        <v/>
      </c>
      <c r="BN119" s="1122">
        <f>BN846</f>
        <v/>
      </c>
      <c r="BO119" s="60">
        <f>BO846</f>
        <v/>
      </c>
      <c r="BP119" s="61">
        <f>BP846</f>
        <v/>
      </c>
      <c r="BQ119" s="61">
        <f>BQ846</f>
        <v/>
      </c>
      <c r="BR119" s="60">
        <f>BR846</f>
        <v/>
      </c>
      <c r="BS119" s="1122">
        <f>BS846</f>
        <v/>
      </c>
      <c r="BT119" s="60">
        <f>BT846</f>
        <v/>
      </c>
      <c r="BU119" s="61">
        <f>BU846</f>
        <v/>
      </c>
      <c r="BV119" s="884">
        <f>BV846</f>
        <v/>
      </c>
      <c r="BW119" s="61">
        <f>SUM(BW117:BW118)</f>
        <v/>
      </c>
      <c r="BX119" s="1122">
        <f>SUM(BX117:BX118)</f>
        <v/>
      </c>
      <c r="BY119" s="61">
        <f>SUM(BY117:BY118)</f>
        <v/>
      </c>
      <c r="BZ119" s="61">
        <f>SUM(BZ117:BZ118)</f>
        <v/>
      </c>
      <c r="CA119" s="61">
        <f>SUM(CA117:CA118)</f>
        <v/>
      </c>
      <c r="CB119" s="61">
        <f>SUM(CB117:CB118)</f>
        <v/>
      </c>
      <c r="CC119" s="1122">
        <f>SUM(CC117:CC118)</f>
        <v/>
      </c>
      <c r="CD119" s="1122">
        <f>SUM(CD117:CD118)</f>
        <v/>
      </c>
      <c r="CE119" s="1122">
        <f>SUM(CE117:CE118)</f>
        <v/>
      </c>
      <c r="CF119" s="1122">
        <f>SUM(CF117:CF118)</f>
        <v/>
      </c>
      <c r="CG119" s="155" t="n"/>
    </row>
    <row r="120" hidden="1" outlineLevel="1">
      <c r="A120" s="600" t="n"/>
      <c r="B120" s="279" t="n"/>
      <c r="C120" s="1125" t="n"/>
      <c r="D120" s="1125" t="n"/>
      <c r="E120" s="1125" t="n"/>
      <c r="F120" s="1125" t="n"/>
      <c r="G120" s="63" t="n"/>
      <c r="H120" s="63" t="n"/>
      <c r="I120" s="63" t="n"/>
      <c r="J120" s="63" t="n"/>
      <c r="K120" s="1125" t="n"/>
      <c r="L120" s="63" t="n"/>
      <c r="M120" s="63" t="n"/>
      <c r="N120" s="63" t="n"/>
      <c r="O120" s="63" t="n"/>
      <c r="P120" s="1125" t="n"/>
      <c r="Q120" s="63" t="n"/>
      <c r="R120" s="63" t="n"/>
      <c r="S120" s="63" t="n"/>
      <c r="T120" s="63" t="n"/>
      <c r="U120" s="1125" t="n"/>
      <c r="V120" s="63" t="n"/>
      <c r="W120" s="63" t="n"/>
      <c r="X120" s="63" t="n"/>
      <c r="Y120" s="63" t="n"/>
      <c r="Z120" s="1125" t="n"/>
      <c r="AA120" s="63" t="n"/>
      <c r="AB120" s="63" t="n"/>
      <c r="AC120" s="63" t="n"/>
      <c r="AD120" s="63" t="n"/>
      <c r="AE120" s="1125" t="n"/>
      <c r="AF120" s="63" t="n"/>
      <c r="AG120" s="63" t="n"/>
      <c r="AH120" s="63" t="n"/>
      <c r="AI120" s="63" t="n"/>
      <c r="AJ120" s="1125" t="n"/>
      <c r="AK120" s="63" t="n"/>
      <c r="AL120" s="63" t="n"/>
      <c r="AM120" s="63" t="n"/>
      <c r="AN120" s="63" t="n"/>
      <c r="AO120" s="1125" t="n"/>
      <c r="AP120" s="63" t="n"/>
      <c r="AQ120" s="63" t="n"/>
      <c r="AR120" s="63" t="n"/>
      <c r="AS120" s="63" t="n"/>
      <c r="AT120" s="1125" t="n"/>
      <c r="AU120" s="63" t="n"/>
      <c r="AV120" s="63" t="n"/>
      <c r="AW120" s="63" t="n"/>
      <c r="AX120" s="63" t="n"/>
      <c r="AY120" s="1125" t="n"/>
      <c r="AZ120" s="63" t="n"/>
      <c r="BA120" s="63" t="n"/>
      <c r="BB120" s="63" t="n"/>
      <c r="BC120" s="63" t="n"/>
      <c r="BD120" s="1125" t="n"/>
      <c r="BE120" s="63" t="n"/>
      <c r="BF120" s="63" t="n"/>
      <c r="BG120" s="63" t="n"/>
      <c r="BH120" s="63" t="n"/>
      <c r="BI120" s="1125" t="n"/>
      <c r="BJ120" s="63" t="n"/>
      <c r="BK120" s="63" t="n"/>
      <c r="BL120" s="63" t="n"/>
      <c r="BM120" s="63" t="n"/>
      <c r="BN120" s="1125" t="n"/>
      <c r="BO120" s="63" t="n"/>
      <c r="BP120" s="63" t="n"/>
      <c r="BQ120" s="63" t="n"/>
      <c r="BR120" s="63" t="n"/>
      <c r="BS120" s="1125" t="n"/>
      <c r="BT120" s="63" t="n"/>
      <c r="BU120" s="63" t="n"/>
      <c r="BV120" s="587" t="n"/>
      <c r="BW120" s="63" t="n"/>
      <c r="BX120" s="1125" t="n"/>
      <c r="BY120" s="63" t="n"/>
      <c r="BZ120" s="63" t="n"/>
      <c r="CA120" s="63" t="n"/>
      <c r="CB120" s="63" t="n"/>
      <c r="CC120" s="1125" t="n"/>
      <c r="CD120" s="1125" t="n"/>
      <c r="CE120" s="1125" t="n"/>
      <c r="CF120" s="1125" t="n"/>
      <c r="CG120" s="155" t="n"/>
    </row>
    <row r="121" hidden="1" outlineLevel="1">
      <c r="A121" s="99" t="inlineStr">
        <is>
          <t>Acquisition-related costs in Direct Costs, mm</t>
        </is>
      </c>
      <c r="B121" s="146" t="n"/>
      <c r="C121" s="1110">
        <f>C322</f>
        <v/>
      </c>
      <c r="D121" s="1110">
        <f>D322</f>
        <v/>
      </c>
      <c r="E121" s="1110">
        <f>E322</f>
        <v/>
      </c>
      <c r="F121" s="1110">
        <f>F322</f>
        <v/>
      </c>
      <c r="G121" s="68">
        <f>G322</f>
        <v/>
      </c>
      <c r="H121" s="68">
        <f>H322</f>
        <v/>
      </c>
      <c r="I121" s="68">
        <f>I322</f>
        <v/>
      </c>
      <c r="J121" s="68">
        <f>J322</f>
        <v/>
      </c>
      <c r="K121" s="1110">
        <f>K322</f>
        <v/>
      </c>
      <c r="L121" s="68">
        <f>L322</f>
        <v/>
      </c>
      <c r="M121" s="68">
        <f>M322</f>
        <v/>
      </c>
      <c r="N121" s="68">
        <f>N322</f>
        <v/>
      </c>
      <c r="O121" s="68">
        <f>O322</f>
        <v/>
      </c>
      <c r="P121" s="1110">
        <f>P322</f>
        <v/>
      </c>
      <c r="Q121" s="68">
        <f>Q322</f>
        <v/>
      </c>
      <c r="R121" s="68">
        <f>R322</f>
        <v/>
      </c>
      <c r="S121" s="68">
        <f>S322</f>
        <v/>
      </c>
      <c r="T121" s="68">
        <f>T322</f>
        <v/>
      </c>
      <c r="U121" s="1110">
        <f>U322</f>
        <v/>
      </c>
      <c r="V121" s="68">
        <f>V322</f>
        <v/>
      </c>
      <c r="W121" s="68">
        <f>W322</f>
        <v/>
      </c>
      <c r="X121" s="68">
        <f>X322</f>
        <v/>
      </c>
      <c r="Y121" s="68">
        <f>Y322</f>
        <v/>
      </c>
      <c r="Z121" s="1110">
        <f>Z322</f>
        <v/>
      </c>
      <c r="AA121" s="68">
        <f>AA322</f>
        <v/>
      </c>
      <c r="AB121" s="68">
        <f>AB322</f>
        <v/>
      </c>
      <c r="AC121" s="68">
        <f>AC322</f>
        <v/>
      </c>
      <c r="AD121" s="68">
        <f>AD322</f>
        <v/>
      </c>
      <c r="AE121" s="1110">
        <f>AE322</f>
        <v/>
      </c>
      <c r="AF121" s="68">
        <f>AF322</f>
        <v/>
      </c>
      <c r="AG121" s="68">
        <f>AG322</f>
        <v/>
      </c>
      <c r="AH121" s="68">
        <f>AH322</f>
        <v/>
      </c>
      <c r="AI121" s="68">
        <f>AI322</f>
        <v/>
      </c>
      <c r="AJ121" s="1110">
        <f>AJ322</f>
        <v/>
      </c>
      <c r="AK121" s="68">
        <f>AK322</f>
        <v/>
      </c>
      <c r="AL121" s="68">
        <f>AL322</f>
        <v/>
      </c>
      <c r="AM121" s="68">
        <f>AM322</f>
        <v/>
      </c>
      <c r="AN121" s="68">
        <f>AN322</f>
        <v/>
      </c>
      <c r="AO121" s="1110">
        <f>AO322</f>
        <v/>
      </c>
      <c r="AP121" s="68">
        <f>AP322</f>
        <v/>
      </c>
      <c r="AQ121" s="68">
        <f>AQ322</f>
        <v/>
      </c>
      <c r="AR121" s="1053" t="n">
        <v>0</v>
      </c>
      <c r="AS121" s="1053" t="n">
        <v>0</v>
      </c>
      <c r="AT121" s="1111" t="n">
        <v>0</v>
      </c>
      <c r="AU121" s="68">
        <f>AU322</f>
        <v/>
      </c>
      <c r="AV121" s="1053" t="n">
        <v>245</v>
      </c>
      <c r="AW121" s="1053" t="n">
        <v>86</v>
      </c>
      <c r="AX121" s="1053" t="n">
        <v>92</v>
      </c>
      <c r="AY121" s="1111" t="n">
        <v>425</v>
      </c>
      <c r="AZ121" s="1053" t="n">
        <v>87</v>
      </c>
      <c r="BA121" s="1053" t="n">
        <v>86</v>
      </c>
      <c r="BB121" s="1053" t="n">
        <v>86</v>
      </c>
      <c r="BC121" s="1053" t="n">
        <v>86</v>
      </c>
      <c r="BD121" s="1111" t="n">
        <v>344</v>
      </c>
      <c r="BE121" s="1053" t="n">
        <v>94</v>
      </c>
      <c r="BF121" s="1053" t="n">
        <v>121</v>
      </c>
      <c r="BG121" s="1053" t="n">
        <v>120</v>
      </c>
      <c r="BH121" s="1053" t="n">
        <v>120</v>
      </c>
      <c r="BI121" s="1111" t="n">
        <v>455</v>
      </c>
      <c r="BJ121" s="1053" t="n">
        <v>119</v>
      </c>
      <c r="BK121" s="1053" t="n">
        <v>119</v>
      </c>
      <c r="BL121" s="1053" t="n">
        <v>119</v>
      </c>
      <c r="BM121" s="1053" t="n">
        <v>119</v>
      </c>
      <c r="BN121" s="1111" t="n">
        <v>477</v>
      </c>
      <c r="BO121" s="1053" t="n">
        <v>119</v>
      </c>
      <c r="BP121" s="1053" t="n">
        <v>118</v>
      </c>
      <c r="BQ121" s="1053" t="n">
        <v>116</v>
      </c>
      <c r="BR121" s="1053" t="n">
        <v>118</v>
      </c>
      <c r="BS121" s="1111" t="n">
        <v>472</v>
      </c>
      <c r="BT121" s="1053" t="n">
        <v>123</v>
      </c>
      <c r="BU121" s="1053" t="n">
        <v>49</v>
      </c>
      <c r="BV121" s="1054" t="n">
        <v>48</v>
      </c>
      <c r="BW121" s="68">
        <f>BW53</f>
        <v/>
      </c>
      <c r="BX121" s="1110">
        <f>BX53</f>
        <v/>
      </c>
      <c r="BY121" s="68">
        <f>BY53</f>
        <v/>
      </c>
      <c r="BZ121" s="68">
        <f>BZ53</f>
        <v/>
      </c>
      <c r="CA121" s="68">
        <f>CA53</f>
        <v/>
      </c>
      <c r="CB121" s="68">
        <f>CB53</f>
        <v/>
      </c>
      <c r="CC121" s="1110">
        <f>CC53</f>
        <v/>
      </c>
      <c r="CD121" s="1110">
        <f>CD53</f>
        <v/>
      </c>
      <c r="CE121" s="1110">
        <f>CE53</f>
        <v/>
      </c>
      <c r="CF121" s="1110">
        <f>CF53</f>
        <v/>
      </c>
      <c r="CG121" s="155" t="n"/>
    </row>
    <row r="122" hidden="1" outlineLevel="1">
      <c r="A122" s="99" t="inlineStr">
        <is>
          <t>Acquisition-related costs in R&amp;D, mm</t>
        </is>
      </c>
      <c r="B122" s="146" t="n"/>
      <c r="C122" s="1110">
        <f>C124-C123-C121</f>
        <v/>
      </c>
      <c r="D122" s="1110">
        <f>D124-D123-D121</f>
        <v/>
      </c>
      <c r="E122" s="1110">
        <f>E124-E123-E121</f>
        <v/>
      </c>
      <c r="F122" s="1110">
        <f>F124-F123-F121</f>
        <v/>
      </c>
      <c r="G122" s="68">
        <f>G124-G123-G121</f>
        <v/>
      </c>
      <c r="H122" s="68">
        <f>H124-H123-H121</f>
        <v/>
      </c>
      <c r="I122" s="68">
        <f>I124-I123-I121</f>
        <v/>
      </c>
      <c r="J122" s="68">
        <f>J124-J123-J121</f>
        <v/>
      </c>
      <c r="K122" s="1110">
        <f>K124-K123-K121</f>
        <v/>
      </c>
      <c r="L122" s="68">
        <f>L124-L123-L121</f>
        <v/>
      </c>
      <c r="M122" s="68">
        <f>M124-M123-M121</f>
        <v/>
      </c>
      <c r="N122" s="68">
        <f>N124-N123-N121</f>
        <v/>
      </c>
      <c r="O122" s="68">
        <f>O124-O123-O121</f>
        <v/>
      </c>
      <c r="P122" s="1110">
        <f>P124-P123-P121</f>
        <v/>
      </c>
      <c r="Q122" s="68">
        <f>Q124-Q123-Q121</f>
        <v/>
      </c>
      <c r="R122" s="68">
        <f>R124-R123-R121</f>
        <v/>
      </c>
      <c r="S122" s="68">
        <f>S124-S123-S121</f>
        <v/>
      </c>
      <c r="T122" s="68">
        <f>T124-T123-T121</f>
        <v/>
      </c>
      <c r="U122" s="1110">
        <f>U124-U123-U121</f>
        <v/>
      </c>
      <c r="V122" s="68">
        <f>V124-V123-V121</f>
        <v/>
      </c>
      <c r="W122" s="68">
        <f>W124-W123-W121</f>
        <v/>
      </c>
      <c r="X122" s="68">
        <f>X124-X123-X121</f>
        <v/>
      </c>
      <c r="Y122" s="68">
        <f>Y124-Y123-Y121</f>
        <v/>
      </c>
      <c r="Z122" s="1110">
        <f>Z124-Z123-Z121</f>
        <v/>
      </c>
      <c r="AA122" s="68">
        <f>AA124-AA123-AA121</f>
        <v/>
      </c>
      <c r="AB122" s="68">
        <f>AB124-AB123-AB121</f>
        <v/>
      </c>
      <c r="AC122" s="68">
        <f>AC124-AC123-AC121</f>
        <v/>
      </c>
      <c r="AD122" s="68">
        <f>AD124-AD123-AD121</f>
        <v/>
      </c>
      <c r="AE122" s="1110">
        <f>AE124-AE123-AE121</f>
        <v/>
      </c>
      <c r="AF122" s="68">
        <f>AF124-AF123-AF121</f>
        <v/>
      </c>
      <c r="AG122" s="68">
        <f>AG124-AG123-AG121</f>
        <v/>
      </c>
      <c r="AH122" s="68">
        <f>AH124-AH123-AH121</f>
        <v/>
      </c>
      <c r="AI122" s="68">
        <f>AI124-AI123-AI121</f>
        <v/>
      </c>
      <c r="AJ122" s="1110">
        <f>AJ124-AJ123-AJ121</f>
        <v/>
      </c>
      <c r="AK122" s="68">
        <f>AK124-AK123-AK121</f>
        <v/>
      </c>
      <c r="AL122" s="68">
        <f>AL124-AL123-AL121</f>
        <v/>
      </c>
      <c r="AM122" s="68">
        <f>AM124-AM123-AM121</f>
        <v/>
      </c>
      <c r="AN122" s="68">
        <f>AN124-AN123-AN121</f>
        <v/>
      </c>
      <c r="AO122" s="1110">
        <f>AO124-AO123-AO121</f>
        <v/>
      </c>
      <c r="AP122" s="68">
        <f>AP124-AP123-AP121</f>
        <v/>
      </c>
      <c r="AQ122" s="68">
        <f>AQ124-AQ123-AQ121</f>
        <v/>
      </c>
      <c r="AR122" s="1053" t="n">
        <v>1</v>
      </c>
      <c r="AS122" s="1053" t="n">
        <v>1</v>
      </c>
      <c r="AT122" s="1111" t="n">
        <v>6</v>
      </c>
      <c r="AU122" s="68">
        <f>AU124-AU123-AU121</f>
        <v/>
      </c>
      <c r="AV122" s="1053" t="n">
        <v>3</v>
      </c>
      <c r="AW122" s="1053" t="n">
        <v>2</v>
      </c>
      <c r="AX122" s="1053" t="n">
        <v>2</v>
      </c>
      <c r="AY122" s="1111" t="n">
        <v>9</v>
      </c>
      <c r="AZ122" s="1053" t="n">
        <v>1</v>
      </c>
      <c r="BA122" s="1053" t="n">
        <v>1</v>
      </c>
      <c r="BB122" s="1053" t="n">
        <v>7</v>
      </c>
      <c r="BC122" s="1053" t="n">
        <v>9</v>
      </c>
      <c r="BD122" s="1111" t="n">
        <v>19</v>
      </c>
      <c r="BE122" s="1053" t="n">
        <v>9</v>
      </c>
      <c r="BF122" s="1053" t="n">
        <v>10</v>
      </c>
      <c r="BG122" s="1053" t="n">
        <v>10</v>
      </c>
      <c r="BH122" s="1053" t="n">
        <v>10</v>
      </c>
      <c r="BI122" s="1111" t="n">
        <v>39</v>
      </c>
      <c r="BJ122" s="1053" t="n">
        <v>12</v>
      </c>
      <c r="BK122" s="1053" t="n">
        <v>12</v>
      </c>
      <c r="BL122" s="1053" t="n">
        <v>12</v>
      </c>
      <c r="BM122" s="1053" t="n">
        <v>12</v>
      </c>
      <c r="BN122" s="1111" t="n">
        <v>49</v>
      </c>
      <c r="BO122" s="1053" t="n">
        <v>12</v>
      </c>
      <c r="BP122" s="1053" t="n">
        <v>17</v>
      </c>
      <c r="BQ122" s="1053" t="n">
        <v>23</v>
      </c>
      <c r="BR122" s="1053" t="n">
        <v>27</v>
      </c>
      <c r="BS122" s="1111" t="n">
        <v>79</v>
      </c>
      <c r="BT122" s="1053" t="n">
        <v>28</v>
      </c>
      <c r="BU122" s="1053" t="n">
        <v>29</v>
      </c>
      <c r="BV122" s="1054" t="n">
        <v>35</v>
      </c>
      <c r="BW122" s="68">
        <f>BW71</f>
        <v/>
      </c>
      <c r="BX122" s="1110">
        <f>BX71</f>
        <v/>
      </c>
      <c r="BY122" s="68">
        <f>BY71</f>
        <v/>
      </c>
      <c r="BZ122" s="68">
        <f>BZ71</f>
        <v/>
      </c>
      <c r="CA122" s="68">
        <f>CA71</f>
        <v/>
      </c>
      <c r="CB122" s="68">
        <f>CB71</f>
        <v/>
      </c>
      <c r="CC122" s="1110">
        <f>CC71</f>
        <v/>
      </c>
      <c r="CD122" s="1110">
        <f>CD71</f>
        <v/>
      </c>
      <c r="CE122" s="1110">
        <f>CE71</f>
        <v/>
      </c>
      <c r="CF122" s="1110">
        <f>CF71</f>
        <v/>
      </c>
      <c r="CG122" s="155" t="n"/>
    </row>
    <row r="123" hidden="1" outlineLevel="1">
      <c r="A123" s="99" t="inlineStr">
        <is>
          <t>Acquisition-related costs in G&amp;A, mm</t>
        </is>
      </c>
      <c r="B123" s="146" t="n"/>
      <c r="C123" s="1111" t="n">
        <v>0</v>
      </c>
      <c r="D123" s="1111" t="n">
        <v>0</v>
      </c>
      <c r="E123" s="1111" t="n">
        <v>0</v>
      </c>
      <c r="F123" s="1111" t="n">
        <v>10</v>
      </c>
      <c r="G123" s="1053" t="n">
        <v>2</v>
      </c>
      <c r="H123" s="1053" t="n">
        <v>2</v>
      </c>
      <c r="I123" s="1053" t="n">
        <v>2</v>
      </c>
      <c r="J123" s="1053" t="n">
        <v>5</v>
      </c>
      <c r="K123" s="1110">
        <f>SUM(G123,H123,I123,J123)</f>
        <v/>
      </c>
      <c r="L123" s="1053" t="n">
        <v>5</v>
      </c>
      <c r="M123" s="1053" t="n">
        <v>5</v>
      </c>
      <c r="N123" s="1053" t="n">
        <v>3</v>
      </c>
      <c r="O123" s="1053" t="n">
        <v>5</v>
      </c>
      <c r="P123" s="1110">
        <f>SUM(L123,M123,N123,O123)</f>
        <v/>
      </c>
      <c r="Q123" s="1053" t="n">
        <v>5</v>
      </c>
      <c r="R123" s="1053" t="n">
        <v>5</v>
      </c>
      <c r="S123" s="1053" t="n">
        <v>5</v>
      </c>
      <c r="T123" s="1053" t="n">
        <v>5</v>
      </c>
      <c r="U123" s="1110">
        <f>SUM(Q123,R123,S123,T123)</f>
        <v/>
      </c>
      <c r="V123" s="1053" t="n">
        <v>4</v>
      </c>
      <c r="W123" s="1053" t="n">
        <v>2</v>
      </c>
      <c r="X123" s="1053" t="n">
        <v>2</v>
      </c>
      <c r="Y123" s="1053" t="n">
        <v>2</v>
      </c>
      <c r="Z123" s="1110">
        <f>SUM(V123,W123,X123,Y123)</f>
        <v/>
      </c>
      <c r="AA123" s="1053" t="n">
        <v>2</v>
      </c>
      <c r="AB123" s="1053" t="n">
        <v>2</v>
      </c>
      <c r="AC123" s="1053" t="n">
        <v>2</v>
      </c>
      <c r="AD123" s="1053" t="n">
        <v>2</v>
      </c>
      <c r="AE123" s="1110">
        <f>SUM(AA123,AB123,AC123,AD123)</f>
        <v/>
      </c>
      <c r="AF123" s="1053" t="n">
        <v>2</v>
      </c>
      <c r="AG123" s="1053" t="n">
        <v>2</v>
      </c>
      <c r="AH123" s="1053" t="n">
        <v>2</v>
      </c>
      <c r="AI123" s="1053" t="n">
        <v>2</v>
      </c>
      <c r="AJ123" s="1110">
        <f>SUM(AF123,AG123,AH123,AI123)</f>
        <v/>
      </c>
      <c r="AK123" s="1053" t="n">
        <v>1</v>
      </c>
      <c r="AL123" s="1053" t="n">
        <v>1</v>
      </c>
      <c r="AM123" s="1053" t="n">
        <v>1</v>
      </c>
      <c r="AN123" s="1053" t="n">
        <v>1</v>
      </c>
      <c r="AO123" s="1111" t="n">
        <v>1</v>
      </c>
      <c r="AP123" s="1053" t="n">
        <v>6</v>
      </c>
      <c r="AQ123" s="1053" t="n">
        <v>4</v>
      </c>
      <c r="AR123" s="1053" t="n">
        <v>6</v>
      </c>
      <c r="AS123" s="1053" t="n">
        <v>6</v>
      </c>
      <c r="AT123" s="1111" t="n">
        <v>25</v>
      </c>
      <c r="AU123" s="1053" t="n">
        <v>2</v>
      </c>
      <c r="AV123" s="1053" t="n">
        <v>226</v>
      </c>
      <c r="AW123" s="1053" t="n">
        <v>104</v>
      </c>
      <c r="AX123" s="1053" t="n">
        <v>70</v>
      </c>
      <c r="AY123" s="1111" t="n">
        <v>402</v>
      </c>
      <c r="AZ123" s="1053" t="n">
        <v>79</v>
      </c>
      <c r="BA123" s="1053" t="n">
        <v>71</v>
      </c>
      <c r="BB123" s="1053" t="n">
        <v>63</v>
      </c>
      <c r="BC123" s="1053" t="n">
        <v>61</v>
      </c>
      <c r="BD123" s="1111" t="n">
        <v>273</v>
      </c>
      <c r="BE123" s="1053" t="n">
        <v>46</v>
      </c>
      <c r="BF123" s="1053" t="n">
        <v>44</v>
      </c>
      <c r="BG123" s="1053" t="n">
        <v>44</v>
      </c>
      <c r="BH123" s="1053" t="n">
        <v>44</v>
      </c>
      <c r="BI123" s="1111" t="n">
        <v>180</v>
      </c>
      <c r="BJ123" s="1053" t="n">
        <v>42</v>
      </c>
      <c r="BK123" s="1053" t="n">
        <v>6</v>
      </c>
      <c r="BL123" s="1053" t="n">
        <v>4</v>
      </c>
      <c r="BM123" s="1053" t="n">
        <v>6</v>
      </c>
      <c r="BN123" s="1111" t="n">
        <v>57</v>
      </c>
      <c r="BO123" s="1053" t="n">
        <v>8</v>
      </c>
      <c r="BP123" s="1053" t="n">
        <v>9</v>
      </c>
      <c r="BQ123" s="1053" t="n">
        <v>16</v>
      </c>
      <c r="BR123" s="1053" t="n">
        <v>16</v>
      </c>
      <c r="BS123" s="1111" t="n">
        <v>51</v>
      </c>
      <c r="BT123" s="1053" t="n">
        <v>9</v>
      </c>
      <c r="BU123" s="1053" t="n">
        <v>8</v>
      </c>
      <c r="BV123" s="1054" t="n">
        <v>4</v>
      </c>
      <c r="BW123" s="68">
        <f>BW86</f>
        <v/>
      </c>
      <c r="BX123" s="1110">
        <f>BX86</f>
        <v/>
      </c>
      <c r="BY123" s="68">
        <f>BY86</f>
        <v/>
      </c>
      <c r="BZ123" s="68">
        <f>BZ86</f>
        <v/>
      </c>
      <c r="CA123" s="68">
        <f>CA86</f>
        <v/>
      </c>
      <c r="CB123" s="68">
        <f>CB86</f>
        <v/>
      </c>
      <c r="CC123" s="1110">
        <f>CC86</f>
        <v/>
      </c>
      <c r="CD123" s="1110">
        <f>CD86</f>
        <v/>
      </c>
      <c r="CE123" s="1110">
        <f>CE86</f>
        <v/>
      </c>
      <c r="CF123" s="1110">
        <f>CF86</f>
        <v/>
      </c>
      <c r="CG123" s="155" t="n"/>
    </row>
    <row r="124" hidden="1" outlineLevel="1">
      <c r="A124" s="631" t="inlineStr">
        <is>
          <t>Total Acquisition-related costs, mm</t>
        </is>
      </c>
      <c r="B124" s="607" t="n"/>
      <c r="C124" s="1122">
        <f>-C335+C322</f>
        <v/>
      </c>
      <c r="D124" s="1122">
        <f>-D335+D322</f>
        <v/>
      </c>
      <c r="E124" s="1122">
        <f>-E335+E322</f>
        <v/>
      </c>
      <c r="F124" s="1122">
        <f>-F335+F322</f>
        <v/>
      </c>
      <c r="G124" s="61">
        <f>-G335+G322</f>
        <v/>
      </c>
      <c r="H124" s="61">
        <f>-H335+H322</f>
        <v/>
      </c>
      <c r="I124" s="61">
        <f>-I335+I322</f>
        <v/>
      </c>
      <c r="J124" s="61">
        <f>-J335+J322</f>
        <v/>
      </c>
      <c r="K124" s="1122">
        <f>-K335+K322</f>
        <v/>
      </c>
      <c r="L124" s="61">
        <f>-L335+L322</f>
        <v/>
      </c>
      <c r="M124" s="61">
        <f>-M335+M322</f>
        <v/>
      </c>
      <c r="N124" s="61">
        <f>-N335+N322</f>
        <v/>
      </c>
      <c r="O124" s="61">
        <f>-O335+O322</f>
        <v/>
      </c>
      <c r="P124" s="1122">
        <f>-P335+P322</f>
        <v/>
      </c>
      <c r="Q124" s="61">
        <f>-Q335+Q322</f>
        <v/>
      </c>
      <c r="R124" s="61">
        <f>-R335+R322</f>
        <v/>
      </c>
      <c r="S124" s="61">
        <f>-S335+S322</f>
        <v/>
      </c>
      <c r="T124" s="61">
        <f>-T335+T322</f>
        <v/>
      </c>
      <c r="U124" s="1122">
        <f>-U335+U322</f>
        <v/>
      </c>
      <c r="V124" s="61">
        <f>-V335+V322</f>
        <v/>
      </c>
      <c r="W124" s="61">
        <f>-W335+W322</f>
        <v/>
      </c>
      <c r="X124" s="61">
        <f>-X335+X322</f>
        <v/>
      </c>
      <c r="Y124" s="61">
        <f>-Y335+Y322</f>
        <v/>
      </c>
      <c r="Z124" s="1122">
        <f>-Z335+Z322</f>
        <v/>
      </c>
      <c r="AA124" s="61">
        <f>-AA335+AA322</f>
        <v/>
      </c>
      <c r="AB124" s="61">
        <f>-AB335+AB322</f>
        <v/>
      </c>
      <c r="AC124" s="61">
        <f>-AC335+AC322</f>
        <v/>
      </c>
      <c r="AD124" s="61">
        <f>-AD335+AD322</f>
        <v/>
      </c>
      <c r="AE124" s="1122">
        <f>-AE335+AE322</f>
        <v/>
      </c>
      <c r="AF124" s="61">
        <f>-AF335+AF322</f>
        <v/>
      </c>
      <c r="AG124" s="61">
        <f>-AG335+AG322</f>
        <v/>
      </c>
      <c r="AH124" s="61">
        <f>-AH335+AH322</f>
        <v/>
      </c>
      <c r="AI124" s="61">
        <f>-AI335+AI322</f>
        <v/>
      </c>
      <c r="AJ124" s="1122">
        <f>-AJ335+AJ322</f>
        <v/>
      </c>
      <c r="AK124" s="61">
        <f>-AK335+AK322</f>
        <v/>
      </c>
      <c r="AL124" s="61">
        <f>-AL335+AL322</f>
        <v/>
      </c>
      <c r="AM124" s="61">
        <f>-AM335+AM322</f>
        <v/>
      </c>
      <c r="AN124" s="61">
        <f>-AN335+AN322</f>
        <v/>
      </c>
      <c r="AO124" s="1122">
        <f>-AO335+AO322</f>
        <v/>
      </c>
      <c r="AP124" s="61">
        <f>-AP335+AP322</f>
        <v/>
      </c>
      <c r="AQ124" s="61">
        <f>-AQ335+AQ322</f>
        <v/>
      </c>
      <c r="AR124" s="61">
        <f>SUM(AR121:AR123)</f>
        <v/>
      </c>
      <c r="AS124" s="61">
        <f>SUM(AS121:AS123)</f>
        <v/>
      </c>
      <c r="AT124" s="1122">
        <f>SUM(AT121:AT123)</f>
        <v/>
      </c>
      <c r="AU124" s="61">
        <f>-AU335+AU322</f>
        <v/>
      </c>
      <c r="AV124" s="61">
        <f>SUM(AV121:AV123)</f>
        <v/>
      </c>
      <c r="AW124" s="61">
        <f>SUM(AW121:AW123)</f>
        <v/>
      </c>
      <c r="AX124" s="61">
        <f>SUM(AX121:AX123)</f>
        <v/>
      </c>
      <c r="AY124" s="1122">
        <f>SUM(AY121:AY123)</f>
        <v/>
      </c>
      <c r="AZ124" s="61">
        <f>SUM(AZ121:AZ123)</f>
        <v/>
      </c>
      <c r="BA124" s="61">
        <f>SUM(BA121:BA123)</f>
        <v/>
      </c>
      <c r="BB124" s="61">
        <f>SUM(BB121:BB123)</f>
        <v/>
      </c>
      <c r="BC124" s="61">
        <f>SUM(BC121:BC123)</f>
        <v/>
      </c>
      <c r="BD124" s="1122">
        <f>SUM(BD121:BD123)</f>
        <v/>
      </c>
      <c r="BE124" s="61">
        <f>SUM(BE121:BE123)</f>
        <v/>
      </c>
      <c r="BF124" s="61">
        <f>SUM(BF121:BF123)</f>
        <v/>
      </c>
      <c r="BG124" s="61">
        <f>SUM(BG121:BG123)</f>
        <v/>
      </c>
      <c r="BH124" s="61">
        <f>SUM(BH121:BH123)</f>
        <v/>
      </c>
      <c r="BI124" s="1122">
        <f>SUM(BI121:BI123)</f>
        <v/>
      </c>
      <c r="BJ124" s="61">
        <f>SUM(BJ121:BJ123)</f>
        <v/>
      </c>
      <c r="BK124" s="61">
        <f>SUM(BK121:BK123)</f>
        <v/>
      </c>
      <c r="BL124" s="61">
        <f>SUM(BL121:BL123)</f>
        <v/>
      </c>
      <c r="BM124" s="61">
        <f>SUM(BM121:BM123)</f>
        <v/>
      </c>
      <c r="BN124" s="1122">
        <f>SUM(BN121:BN123)</f>
        <v/>
      </c>
      <c r="BO124" s="61">
        <f>SUM(BO121:BO123)</f>
        <v/>
      </c>
      <c r="BP124" s="61">
        <f>SUM(BP121:BP123)</f>
        <v/>
      </c>
      <c r="BQ124" s="61">
        <f>SUM(BQ121:BQ123)</f>
        <v/>
      </c>
      <c r="BR124" s="61">
        <f>SUM(BR121:BR123)</f>
        <v/>
      </c>
      <c r="BS124" s="1122">
        <f>SUM(BS121:BS123)</f>
        <v/>
      </c>
      <c r="BT124" s="61">
        <f>SUM(BT121:BT123)</f>
        <v/>
      </c>
      <c r="BU124" s="61">
        <f>SUM(BU121:BU123)</f>
        <v/>
      </c>
      <c r="BV124" s="884">
        <f>SUM(BV121:BV123)</f>
        <v/>
      </c>
      <c r="BW124" s="61">
        <f>SUM(BW121:BW123)</f>
        <v/>
      </c>
      <c r="BX124" s="1122">
        <f>SUM(BX121:BX123)</f>
        <v/>
      </c>
      <c r="BY124" s="61">
        <f>SUM(BY121:BY123)</f>
        <v/>
      </c>
      <c r="BZ124" s="61">
        <f>SUM(BZ121:BZ123)</f>
        <v/>
      </c>
      <c r="CA124" s="61">
        <f>SUM(CA121:CA123)</f>
        <v/>
      </c>
      <c r="CB124" s="61">
        <f>SUM(CB121:CB123)</f>
        <v/>
      </c>
      <c r="CC124" s="1122">
        <f>SUM(CC121:CC123)</f>
        <v/>
      </c>
      <c r="CD124" s="1122">
        <f>SUM(CD121:CD123)</f>
        <v/>
      </c>
      <c r="CE124" s="1122">
        <f>SUM(CE121:CE123)</f>
        <v/>
      </c>
      <c r="CF124" s="1122">
        <f>SUM(CF121:CF123)</f>
        <v/>
      </c>
      <c r="CG124" s="155" t="n"/>
    </row>
    <row r="125" hidden="1" outlineLevel="1">
      <c r="A125" s="600" t="n"/>
      <c r="B125" s="279" t="n"/>
      <c r="C125" s="1125" t="n"/>
      <c r="D125" s="1125" t="n"/>
      <c r="E125" s="1125" t="n"/>
      <c r="F125" s="1125" t="n"/>
      <c r="G125" s="63" t="n"/>
      <c r="H125" s="63" t="n"/>
      <c r="I125" s="63" t="n"/>
      <c r="J125" s="63" t="n"/>
      <c r="K125" s="1125" t="n"/>
      <c r="L125" s="63" t="n"/>
      <c r="M125" s="63" t="n"/>
      <c r="N125" s="63" t="n"/>
      <c r="O125" s="63" t="n"/>
      <c r="P125" s="1125" t="n"/>
      <c r="Q125" s="63" t="n"/>
      <c r="R125" s="63" t="n"/>
      <c r="S125" s="63" t="n"/>
      <c r="T125" s="63" t="n"/>
      <c r="U125" s="1125" t="n"/>
      <c r="V125" s="63" t="n"/>
      <c r="W125" s="63" t="n"/>
      <c r="X125" s="63" t="n"/>
      <c r="Y125" s="63" t="n"/>
      <c r="Z125" s="1125" t="n"/>
      <c r="AA125" s="63" t="n"/>
      <c r="AB125" s="63" t="n"/>
      <c r="AC125" s="63" t="n"/>
      <c r="AD125" s="63" t="n"/>
      <c r="AE125" s="1125" t="n"/>
      <c r="AF125" s="63" t="n"/>
      <c r="AG125" s="63" t="n"/>
      <c r="AH125" s="63" t="n"/>
      <c r="AI125" s="63" t="n"/>
      <c r="AJ125" s="1125" t="n"/>
      <c r="AK125" s="63" t="n"/>
      <c r="AL125" s="63" t="n"/>
      <c r="AM125" s="63" t="n"/>
      <c r="AN125" s="63" t="n"/>
      <c r="AO125" s="1125" t="n"/>
      <c r="AP125" s="63" t="n"/>
      <c r="AQ125" s="63" t="n"/>
      <c r="AR125" s="63" t="n"/>
      <c r="AS125" s="63" t="n"/>
      <c r="AT125" s="1125" t="n"/>
      <c r="AU125" s="63" t="n"/>
      <c r="AV125" s="63" t="n"/>
      <c r="AW125" s="63" t="n"/>
      <c r="AX125" s="63" t="n"/>
      <c r="AY125" s="1125" t="n"/>
      <c r="AZ125" s="63" t="n"/>
      <c r="BA125" s="63" t="n"/>
      <c r="BB125" s="63" t="n"/>
      <c r="BC125" s="63" t="n"/>
      <c r="BD125" s="1125" t="n"/>
      <c r="BE125" s="63" t="n"/>
      <c r="BF125" s="63" t="n"/>
      <c r="BG125" s="63" t="n"/>
      <c r="BH125" s="63" t="n"/>
      <c r="BI125" s="1125" t="n"/>
      <c r="BJ125" s="63" t="n"/>
      <c r="BK125" s="63" t="n"/>
      <c r="BL125" s="63" t="n"/>
      <c r="BM125" s="63" t="n"/>
      <c r="BN125" s="1125" t="n"/>
      <c r="BO125" s="63" t="n"/>
      <c r="BP125" s="63" t="n"/>
      <c r="BQ125" s="63" t="n"/>
      <c r="BR125" s="63" t="n"/>
      <c r="BS125" s="1125" t="n"/>
      <c r="BT125" s="63" t="n"/>
      <c r="BU125" s="63" t="n"/>
      <c r="BV125" s="587" t="n"/>
      <c r="BW125" s="63" t="n"/>
      <c r="BX125" s="1125" t="n"/>
      <c r="BY125" s="63" t="n"/>
      <c r="BZ125" s="63" t="n"/>
      <c r="CA125" s="63" t="n"/>
      <c r="CB125" s="63" t="n"/>
      <c r="CC125" s="1125" t="n"/>
      <c r="CD125" s="1125" t="n"/>
      <c r="CE125" s="1125" t="n"/>
      <c r="CF125" s="1125" t="n"/>
      <c r="CG125" s="155" t="n"/>
    </row>
    <row r="126" hidden="1" outlineLevel="1">
      <c r="A126" s="67" t="inlineStr">
        <is>
          <t>SBC In Direct Costs, mm</t>
        </is>
      </c>
      <c r="B126" s="146" t="n"/>
      <c r="C126" s="1111" t="n">
        <v>11.939</v>
      </c>
      <c r="D126" s="1111" t="n">
        <v>12.05</v>
      </c>
      <c r="E126" s="1111" t="n">
        <v>8.308</v>
      </c>
      <c r="F126" s="1111" t="n">
        <v>11.322</v>
      </c>
      <c r="G126" s="1053" t="n">
        <v>2.526</v>
      </c>
      <c r="H126" s="1053" t="n">
        <v>2.649</v>
      </c>
      <c r="I126" s="1053" t="n">
        <v>2.489</v>
      </c>
      <c r="J126" s="1053" t="n">
        <v>2.826</v>
      </c>
      <c r="K126" s="1112">
        <f>SUM(G126,H126,I126,J126)</f>
        <v/>
      </c>
      <c r="L126" s="1053" t="n">
        <v>2.653</v>
      </c>
      <c r="M126" s="1053" t="n">
        <v>2.168</v>
      </c>
      <c r="N126" s="1053" t="n">
        <v>3.09</v>
      </c>
      <c r="O126" s="1053" t="n">
        <v>2.777</v>
      </c>
      <c r="P126" s="1112">
        <f>SUM(L126,M126,N126,O126)</f>
        <v/>
      </c>
      <c r="Q126" s="27">
        <f>8.596-R126-S126</f>
        <v/>
      </c>
      <c r="R126" s="1053" t="n">
        <v>3</v>
      </c>
      <c r="S126" s="1053" t="n">
        <v>3.021</v>
      </c>
      <c r="T126" s="1053" t="n">
        <v>4</v>
      </c>
      <c r="U126" s="1112">
        <f>SUM(Q126,R126,S126,T126)</f>
        <v/>
      </c>
      <c r="V126" s="1053" t="n">
        <v>2</v>
      </c>
      <c r="W126" s="1053" t="n">
        <v>3</v>
      </c>
      <c r="X126" s="1053" t="n">
        <v>4</v>
      </c>
      <c r="Y126" s="1053" t="n">
        <v>5</v>
      </c>
      <c r="Z126" s="1112">
        <f>SUM(V126,W126,X126,Y126)</f>
        <v/>
      </c>
      <c r="AA126" s="1053" t="n">
        <v>4</v>
      </c>
      <c r="AB126" s="1053" t="n">
        <v>4</v>
      </c>
      <c r="AC126" s="1053" t="n">
        <v>3</v>
      </c>
      <c r="AD126" s="1053" t="n">
        <v>4</v>
      </c>
      <c r="AE126" s="1112">
        <f>SUM(AA126,AB126,AC126,AD126)</f>
        <v/>
      </c>
      <c r="AF126" s="1053" t="n">
        <v>4</v>
      </c>
      <c r="AG126" s="1053" t="n">
        <v>4</v>
      </c>
      <c r="AH126" s="1053" t="n">
        <v>6</v>
      </c>
      <c r="AI126" s="1053" t="n">
        <v>7</v>
      </c>
      <c r="AJ126" s="1112">
        <f>SUM(AF126,AG126,AH126,AI126)</f>
        <v/>
      </c>
      <c r="AK126" s="1053" t="n">
        <v>8</v>
      </c>
      <c r="AL126" s="1053" t="n">
        <v>8</v>
      </c>
      <c r="AM126" s="1053" t="n">
        <v>5</v>
      </c>
      <c r="AN126" s="1053" t="n">
        <v>6</v>
      </c>
      <c r="AO126" s="1112">
        <f>SUM(AK126,AL126,AM126,AN126)</f>
        <v/>
      </c>
      <c r="AP126" s="1053" t="n">
        <v>4</v>
      </c>
      <c r="AQ126" s="1053" t="n">
        <v>8</v>
      </c>
      <c r="AR126" s="1053" t="n">
        <v>15</v>
      </c>
      <c r="AS126" s="1053" t="n">
        <v>12</v>
      </c>
      <c r="AT126" s="1112">
        <f>SUM(AP126,AQ126,AR126,AS126)</f>
        <v/>
      </c>
      <c r="AU126" s="1053" t="n">
        <v>21</v>
      </c>
      <c r="AV126" s="1053" t="n">
        <v>14</v>
      </c>
      <c r="AW126" s="1053" t="n">
        <v>28</v>
      </c>
      <c r="AX126" s="27">
        <f>AX323</f>
        <v/>
      </c>
      <c r="AY126" s="1112">
        <f>AY323</f>
        <v/>
      </c>
      <c r="AZ126" s="1053" t="n">
        <v>25</v>
      </c>
      <c r="BA126" s="1053" t="n">
        <v>32</v>
      </c>
      <c r="BB126" s="1053" t="n">
        <v>44</v>
      </c>
      <c r="BC126" s="1053" t="n">
        <v>39</v>
      </c>
      <c r="BD126" s="1111" t="n">
        <v>141</v>
      </c>
      <c r="BE126" s="1053" t="n">
        <v>38</v>
      </c>
      <c r="BF126" s="1053" t="n">
        <v>38</v>
      </c>
      <c r="BG126" s="1053" t="n">
        <v>32</v>
      </c>
      <c r="BH126" s="1053" t="n">
        <v>30</v>
      </c>
      <c r="BI126" s="1111" t="n">
        <v>138</v>
      </c>
      <c r="BJ126" s="1053" t="n">
        <v>27</v>
      </c>
      <c r="BK126" s="1053" t="n">
        <v>31</v>
      </c>
      <c r="BL126" s="1053" t="n">
        <v>38</v>
      </c>
      <c r="BM126" s="1053" t="n">
        <v>45</v>
      </c>
      <c r="BN126" s="1111" t="n">
        <v>141</v>
      </c>
      <c r="BO126" s="1053" t="n">
        <v>36</v>
      </c>
      <c r="BP126" s="1053" t="n">
        <v>40</v>
      </c>
      <c r="BQ126" s="1053" t="n">
        <v>50</v>
      </c>
      <c r="BR126" s="1053" t="n">
        <v>53</v>
      </c>
      <c r="BS126" s="1111" t="n">
        <v>178</v>
      </c>
      <c r="BT126" s="1053" t="n">
        <v>64</v>
      </c>
      <c r="BU126" s="1053" t="n">
        <v>58</v>
      </c>
      <c r="BV126" s="1054" t="n">
        <v>70</v>
      </c>
      <c r="BW126" s="68">
        <f>BW51</f>
        <v/>
      </c>
      <c r="BX126" s="1110">
        <f>BX51</f>
        <v/>
      </c>
      <c r="BY126" s="68">
        <f>BY51</f>
        <v/>
      </c>
      <c r="BZ126" s="68">
        <f>BZ51</f>
        <v/>
      </c>
      <c r="CA126" s="68">
        <f>CA51</f>
        <v/>
      </c>
      <c r="CB126" s="68">
        <f>CB51</f>
        <v/>
      </c>
      <c r="CC126" s="1110">
        <f>CC51</f>
        <v/>
      </c>
      <c r="CD126" s="1110">
        <f>CD51</f>
        <v/>
      </c>
      <c r="CE126" s="1110">
        <f>CE51</f>
        <v/>
      </c>
      <c r="CF126" s="1110">
        <f>CF51</f>
        <v/>
      </c>
      <c r="CG126" s="155" t="n"/>
    </row>
    <row r="127" hidden="1" outlineLevel="1">
      <c r="A127" s="67" t="inlineStr">
        <is>
          <t>SBC in R&amp;D, mm</t>
        </is>
      </c>
      <c r="B127" s="146" t="n"/>
      <c r="C127" s="1111" t="n">
        <v>98.00700000000001</v>
      </c>
      <c r="D127" s="1111" t="n">
        <v>61.337</v>
      </c>
      <c r="E127" s="1111" t="n">
        <v>57.974</v>
      </c>
      <c r="F127" s="1111" t="n">
        <v>80.502</v>
      </c>
      <c r="G127" s="1053" t="n">
        <v>21.207</v>
      </c>
      <c r="H127" s="1053" t="n">
        <v>18.885</v>
      </c>
      <c r="I127" s="1053" t="n">
        <v>20.056</v>
      </c>
      <c r="J127" s="1053" t="n">
        <v>22.009</v>
      </c>
      <c r="K127" s="1112">
        <f>SUM(G127,H127,I127,J127)</f>
        <v/>
      </c>
      <c r="L127" s="1053" t="n">
        <v>21.935</v>
      </c>
      <c r="M127" s="1053" t="n">
        <v>18.555</v>
      </c>
      <c r="N127" s="1053" t="n">
        <v>20.902</v>
      </c>
      <c r="O127" s="1053" t="n">
        <v>21.548</v>
      </c>
      <c r="P127" s="1112">
        <f>SUM(L127,M127,N127,O127)</f>
        <v/>
      </c>
      <c r="Q127" s="27">
        <f>64.636-R127-S127</f>
        <v/>
      </c>
      <c r="R127" s="1053" t="n">
        <v>21</v>
      </c>
      <c r="S127" s="1053" t="n">
        <v>22.68</v>
      </c>
      <c r="T127" s="1053" t="n">
        <v>23</v>
      </c>
      <c r="U127" s="1112">
        <f>SUM(Q127,R127,S127,T127)</f>
        <v/>
      </c>
      <c r="V127" s="1053" t="n">
        <v>27</v>
      </c>
      <c r="W127" s="1053" t="n">
        <v>27</v>
      </c>
      <c r="X127" s="1053" t="n">
        <v>28</v>
      </c>
      <c r="Y127" s="1053" t="n">
        <v>33</v>
      </c>
      <c r="Z127" s="1112">
        <f>SUM(V127,W127,X127,Y127)</f>
        <v/>
      </c>
      <c r="AA127" s="1053" t="n">
        <v>29</v>
      </c>
      <c r="AB127" s="1053" t="n">
        <v>30</v>
      </c>
      <c r="AC127" s="1053" t="n">
        <v>35</v>
      </c>
      <c r="AD127" s="1053" t="n">
        <v>40</v>
      </c>
      <c r="AE127" s="1112">
        <f>SUM(AA127,AB127,AC127,AD127)</f>
        <v/>
      </c>
      <c r="AF127" s="1053" t="n">
        <v>41</v>
      </c>
      <c r="AG127" s="1053" t="n">
        <v>44</v>
      </c>
      <c r="AH127" s="1053" t="n">
        <v>61</v>
      </c>
      <c r="AI127" s="1053" t="n">
        <v>73</v>
      </c>
      <c r="AJ127" s="1112">
        <f>SUM(AF127,AG127,AH127,AI127)</f>
        <v/>
      </c>
      <c r="AK127" s="1053" t="n">
        <v>74</v>
      </c>
      <c r="AL127" s="1053" t="n">
        <v>76</v>
      </c>
      <c r="AM127" s="1053" t="n">
        <v>88</v>
      </c>
      <c r="AN127" s="1053" t="n">
        <v>99</v>
      </c>
      <c r="AO127" s="1111" t="n">
        <v>336</v>
      </c>
      <c r="AP127" s="1053" t="n">
        <v>114</v>
      </c>
      <c r="AQ127" s="1053" t="n">
        <v>145</v>
      </c>
      <c r="AR127" s="1053" t="n">
        <v>141</v>
      </c>
      <c r="AS127" s="1053" t="n">
        <v>140</v>
      </c>
      <c r="AT127" s="1111" t="n">
        <v>540</v>
      </c>
      <c r="AU127" s="1053" t="n">
        <v>134</v>
      </c>
      <c r="AV127" s="1053" t="n">
        <v>228</v>
      </c>
      <c r="AW127" s="1053" t="n">
        <v>232</v>
      </c>
      <c r="AX127" s="1053" t="n">
        <v>266</v>
      </c>
      <c r="AY127" s="1111" t="n">
        <v>860</v>
      </c>
      <c r="AZ127" s="1053" t="n">
        <v>276</v>
      </c>
      <c r="BA127" s="1053" t="n">
        <v>297</v>
      </c>
      <c r="BB127" s="1053" t="n">
        <v>363</v>
      </c>
      <c r="BC127" s="1053" t="n">
        <v>362</v>
      </c>
      <c r="BD127" s="1111" t="n">
        <v>1298</v>
      </c>
      <c r="BE127" s="1053" t="n">
        <v>384</v>
      </c>
      <c r="BF127" s="1053" t="n">
        <v>452</v>
      </c>
      <c r="BG127" s="1053" t="n">
        <v>530</v>
      </c>
      <c r="BH127" s="1053" t="n">
        <v>527</v>
      </c>
      <c r="BI127" s="1111" t="n">
        <v>1892</v>
      </c>
      <c r="BJ127" s="1053" t="n">
        <v>524</v>
      </c>
      <c r="BK127" s="1053" t="n">
        <v>600</v>
      </c>
      <c r="BL127" s="1053" t="n">
        <v>701</v>
      </c>
      <c r="BM127" s="1053" t="n">
        <v>706</v>
      </c>
      <c r="BN127" s="1111" t="n">
        <v>2532</v>
      </c>
      <c r="BO127" s="1053" t="n">
        <v>727</v>
      </c>
      <c r="BP127" s="1053" t="n">
        <v>832</v>
      </c>
      <c r="BQ127" s="1053" t="n">
        <v>910</v>
      </c>
      <c r="BR127" s="1053" t="n">
        <v>955</v>
      </c>
      <c r="BS127" s="1111" t="n">
        <v>3423</v>
      </c>
      <c r="BT127" s="1053" t="n">
        <v>1063</v>
      </c>
      <c r="BU127" s="1053" t="n">
        <v>1191</v>
      </c>
      <c r="BV127" s="1054" t="n">
        <v>1206</v>
      </c>
      <c r="BW127" s="68">
        <f>BW69</f>
        <v/>
      </c>
      <c r="BX127" s="1110">
        <f>BX69</f>
        <v/>
      </c>
      <c r="BY127" s="68">
        <f>BY69</f>
        <v/>
      </c>
      <c r="BZ127" s="68">
        <f>BZ69</f>
        <v/>
      </c>
      <c r="CA127" s="68">
        <f>CA69</f>
        <v/>
      </c>
      <c r="CB127" s="68">
        <f>CB69</f>
        <v/>
      </c>
      <c r="CC127" s="1110">
        <f>CC69</f>
        <v/>
      </c>
      <c r="CD127" s="1110">
        <f>CD69</f>
        <v/>
      </c>
      <c r="CE127" s="1110">
        <f>CE69</f>
        <v/>
      </c>
      <c r="CF127" s="1110">
        <f>CF69</f>
        <v/>
      </c>
      <c r="CG127" s="155" t="n"/>
    </row>
    <row r="128" hidden="1" outlineLevel="1">
      <c r="A128" s="121" t="inlineStr">
        <is>
          <t>SBC in G&amp;A, mm</t>
        </is>
      </c>
      <c r="B128" s="149" t="n"/>
      <c r="C128" s="1111" t="n">
        <v>52.76</v>
      </c>
      <c r="D128" s="1111" t="n">
        <v>33.704</v>
      </c>
      <c r="E128" s="1111" t="n">
        <v>34.071</v>
      </c>
      <c r="F128" s="1111" t="n">
        <v>44.53</v>
      </c>
      <c r="G128" s="1060" t="n">
        <v>11.836</v>
      </c>
      <c r="H128" s="1060" t="n">
        <v>10.721</v>
      </c>
      <c r="I128" s="1060" t="n">
        <v>10.524</v>
      </c>
      <c r="J128" s="1060" t="n">
        <v>10.934</v>
      </c>
      <c r="K128" s="1112">
        <f>SUM(G128,H128,I128,J128)</f>
        <v/>
      </c>
      <c r="L128" s="1060" t="n">
        <v>8.808999999999999</v>
      </c>
      <c r="M128" s="1060" t="n">
        <v>11.672</v>
      </c>
      <c r="N128" s="1060" t="n">
        <v>10.307</v>
      </c>
      <c r="O128" s="1060" t="n">
        <v>11.879</v>
      </c>
      <c r="P128" s="1112">
        <f>SUM(L128,M128,N128,O128)</f>
        <v/>
      </c>
      <c r="Q128" s="110">
        <f>42.139-R128-S128</f>
        <v/>
      </c>
      <c r="R128" s="1060" t="n">
        <v>14</v>
      </c>
      <c r="S128" s="1060" t="n">
        <v>15.734</v>
      </c>
      <c r="T128" s="1060" t="n">
        <v>15</v>
      </c>
      <c r="U128" s="1112">
        <f>SUM(Q128,R128,S128,T128)</f>
        <v/>
      </c>
      <c r="V128" s="1060" t="n">
        <v>17</v>
      </c>
      <c r="W128" s="1060" t="n">
        <v>17</v>
      </c>
      <c r="X128" s="1060" t="n">
        <v>19</v>
      </c>
      <c r="Y128" s="1060" t="n">
        <v>22</v>
      </c>
      <c r="Z128" s="1112">
        <f>SUM(V128,W128,X128,Y128)</f>
        <v/>
      </c>
      <c r="AA128" s="1060" t="n">
        <v>20</v>
      </c>
      <c r="AB128" s="1060" t="n">
        <v>24</v>
      </c>
      <c r="AC128" s="1060" t="n">
        <v>27</v>
      </c>
      <c r="AD128" s="1060" t="n">
        <v>27</v>
      </c>
      <c r="AE128" s="1112">
        <f>SUM(AA128,AB128,AC128,AD128)</f>
        <v/>
      </c>
      <c r="AF128" s="1060" t="n">
        <v>31</v>
      </c>
      <c r="AG128" s="1060" t="n">
        <v>33</v>
      </c>
      <c r="AH128" s="1053" t="n">
        <v>40</v>
      </c>
      <c r="AI128" s="1060" t="n">
        <v>46</v>
      </c>
      <c r="AJ128" s="1111" t="n">
        <v>151</v>
      </c>
      <c r="AK128" s="1053" t="n">
        <v>47</v>
      </c>
      <c r="AL128" s="1060" t="n">
        <v>48</v>
      </c>
      <c r="AM128" s="1053" t="n">
        <v>47</v>
      </c>
      <c r="AN128" s="1060" t="n">
        <v>51</v>
      </c>
      <c r="AO128" s="1111" t="n">
        <v>194</v>
      </c>
      <c r="AP128" s="1060" t="n">
        <v>60</v>
      </c>
      <c r="AQ128" s="1060" t="n">
        <v>71</v>
      </c>
      <c r="AR128" s="1053" t="n">
        <v>67</v>
      </c>
      <c r="AS128" s="1060" t="n">
        <v>68</v>
      </c>
      <c r="AT128" s="1111" t="n">
        <v>265</v>
      </c>
      <c r="AU128" s="1060" t="n">
        <v>69</v>
      </c>
      <c r="AV128" s="1060" t="n">
        <v>132</v>
      </c>
      <c r="AW128" s="1053" t="n">
        <v>123</v>
      </c>
      <c r="AX128" s="1060" t="n">
        <v>125</v>
      </c>
      <c r="AY128" s="1111" t="n">
        <v>449</v>
      </c>
      <c r="AZ128" s="1060" t="n">
        <v>128</v>
      </c>
      <c r="BA128" s="1060" t="n">
        <v>136</v>
      </c>
      <c r="BB128" s="1053" t="n">
        <v>152</v>
      </c>
      <c r="BC128" s="1060" t="n">
        <v>150</v>
      </c>
      <c r="BD128" s="1111" t="n">
        <v>565</v>
      </c>
      <c r="BE128" s="1060" t="n">
        <v>156</v>
      </c>
      <c r="BF128" s="1060" t="n">
        <v>159</v>
      </c>
      <c r="BG128" s="1053" t="n">
        <v>183</v>
      </c>
      <c r="BH128" s="1060" t="n">
        <v>182</v>
      </c>
      <c r="BI128" s="1111" t="n">
        <v>680</v>
      </c>
      <c r="BJ128" s="1060" t="n">
        <v>184</v>
      </c>
      <c r="BK128" s="1060" t="n">
        <v>211</v>
      </c>
      <c r="BL128" s="1053" t="n">
        <v>240</v>
      </c>
      <c r="BM128" s="1060" t="n">
        <v>242</v>
      </c>
      <c r="BN128" s="1131" t="n">
        <v>876</v>
      </c>
      <c r="BO128" s="1060" t="n">
        <v>248</v>
      </c>
      <c r="BP128" s="1060" t="n">
        <v>282</v>
      </c>
      <c r="BQ128" s="1053" t="n">
        <v>292</v>
      </c>
      <c r="BR128" s="1060" t="n">
        <v>313</v>
      </c>
      <c r="BS128" s="1131" t="n">
        <v>1136</v>
      </c>
      <c r="BT128" s="1060" t="n">
        <v>347</v>
      </c>
      <c r="BU128" s="1060" t="n">
        <v>375</v>
      </c>
      <c r="BV128" s="1054" t="n">
        <v>379</v>
      </c>
      <c r="BW128" s="68">
        <f>BW84</f>
        <v/>
      </c>
      <c r="BX128" s="1110">
        <f>BX84</f>
        <v/>
      </c>
      <c r="BY128" s="68">
        <f>BY84</f>
        <v/>
      </c>
      <c r="BZ128" s="68">
        <f>BZ84</f>
        <v/>
      </c>
      <c r="CA128" s="68">
        <f>CA84</f>
        <v/>
      </c>
      <c r="CB128" s="68">
        <f>CB84</f>
        <v/>
      </c>
      <c r="CC128" s="1110">
        <f>CC84</f>
        <v/>
      </c>
      <c r="CD128" s="1110">
        <f>CD84</f>
        <v/>
      </c>
      <c r="CE128" s="1110">
        <f>CE84</f>
        <v/>
      </c>
      <c r="CF128" s="1110">
        <f>CF84</f>
        <v/>
      </c>
      <c r="CG128" s="155" t="n"/>
    </row>
    <row r="129" hidden="1" outlineLevel="1">
      <c r="A129" s="59" t="inlineStr">
        <is>
          <t>Total SBC, mm</t>
        </is>
      </c>
      <c r="B129" s="607" t="n"/>
      <c r="C129" s="1123">
        <f>SUM(C126:C128)</f>
        <v/>
      </c>
      <c r="D129" s="1123">
        <f>SUM(D126:D128)</f>
        <v/>
      </c>
      <c r="E129" s="1123">
        <f>SUM(E126:E128)</f>
        <v/>
      </c>
      <c r="F129" s="1123">
        <f>SUM(F126:F128)</f>
        <v/>
      </c>
      <c r="G129" s="60">
        <f>SUM(G126:G128)</f>
        <v/>
      </c>
      <c r="H129" s="60">
        <f>SUM(H126:H128)</f>
        <v/>
      </c>
      <c r="I129" s="60">
        <f>SUM(I126:I128)</f>
        <v/>
      </c>
      <c r="J129" s="60">
        <f>SUM(J126:J128)</f>
        <v/>
      </c>
      <c r="K129" s="1123">
        <f>SUM(K126:K128)</f>
        <v/>
      </c>
      <c r="L129" s="60">
        <f>SUM(L126:L128)</f>
        <v/>
      </c>
      <c r="M129" s="60">
        <f>SUM(M126:M128)</f>
        <v/>
      </c>
      <c r="N129" s="60">
        <f>SUM(N126:N128)</f>
        <v/>
      </c>
      <c r="O129" s="60">
        <f>SUM(O126:O128)</f>
        <v/>
      </c>
      <c r="P129" s="1123">
        <f>SUM(P126:P128)</f>
        <v/>
      </c>
      <c r="Q129" s="60">
        <f>SUM(Q126:Q128)</f>
        <v/>
      </c>
      <c r="R129" s="60">
        <f>SUM(R126:R128)</f>
        <v/>
      </c>
      <c r="S129" s="60">
        <f>SUM(S126:S128)</f>
        <v/>
      </c>
      <c r="T129" s="60">
        <f>SUM(T126:T128)</f>
        <v/>
      </c>
      <c r="U129" s="1123">
        <f>SUM(U126:U128)</f>
        <v/>
      </c>
      <c r="V129" s="60">
        <f>SUM(V126:V128)</f>
        <v/>
      </c>
      <c r="W129" s="60">
        <f>SUM(W126:W128)</f>
        <v/>
      </c>
      <c r="X129" s="60">
        <f>SUM(X126:X128)</f>
        <v/>
      </c>
      <c r="Y129" s="60">
        <f>SUM(Y126:Y128)</f>
        <v/>
      </c>
      <c r="Z129" s="1123">
        <f>SUM(Z126:Z128)</f>
        <v/>
      </c>
      <c r="AA129" s="60">
        <f>SUM(AA126:AA128)</f>
        <v/>
      </c>
      <c r="AB129" s="60">
        <f>SUM(AB126:AB128)</f>
        <v/>
      </c>
      <c r="AC129" s="60">
        <f>SUM(AC126:AC128)</f>
        <v/>
      </c>
      <c r="AD129" s="60">
        <f>SUM(AD126:AD128)</f>
        <v/>
      </c>
      <c r="AE129" s="1123">
        <f>SUM(AE126:AE128)</f>
        <v/>
      </c>
      <c r="AF129" s="60">
        <f>SUM(AF126:AF128)</f>
        <v/>
      </c>
      <c r="AG129" s="60">
        <f>SUM(AG126:AG128)</f>
        <v/>
      </c>
      <c r="AH129" s="60">
        <f>SUM(AH126:AH128)</f>
        <v/>
      </c>
      <c r="AI129" s="60">
        <f>SUM(AI126:AI128)</f>
        <v/>
      </c>
      <c r="AJ129" s="1123">
        <f>SUM(AJ126:AJ128)</f>
        <v/>
      </c>
      <c r="AK129" s="60">
        <f>SUM(AK126:AK128)</f>
        <v/>
      </c>
      <c r="AL129" s="60">
        <f>SUM(AL126:AL128)</f>
        <v/>
      </c>
      <c r="AM129" s="60">
        <f>SUM(AM126:AM128)</f>
        <v/>
      </c>
      <c r="AN129" s="60">
        <f>SUM(AN126:AN128)</f>
        <v/>
      </c>
      <c r="AO129" s="1123">
        <f>SUM(AO126:AO128)</f>
        <v/>
      </c>
      <c r="AP129" s="60">
        <f>SUM(AP126:AP128)</f>
        <v/>
      </c>
      <c r="AQ129" s="60">
        <f>SUM(AQ126:AQ128)</f>
        <v/>
      </c>
      <c r="AR129" s="60">
        <f>SUM(AR126:AR128)</f>
        <v/>
      </c>
      <c r="AS129" s="60">
        <f>SUM(AS126:AS128)</f>
        <v/>
      </c>
      <c r="AT129" s="1123">
        <f>SUM(AT126:AT128)</f>
        <v/>
      </c>
      <c r="AU129" s="60">
        <f>SUM(AU126:AU128)</f>
        <v/>
      </c>
      <c r="AV129" s="60">
        <f>SUM(AV126:AV128)</f>
        <v/>
      </c>
      <c r="AW129" s="60">
        <f>SUM(AW126:AW128)</f>
        <v/>
      </c>
      <c r="AX129" s="60">
        <f>SUM(AX126:AX128)</f>
        <v/>
      </c>
      <c r="AY129" s="1123">
        <f>SUM(AY126:AY128)</f>
        <v/>
      </c>
      <c r="AZ129" s="60">
        <f>SUM(AZ126:AZ128)</f>
        <v/>
      </c>
      <c r="BA129" s="60">
        <f>SUM(BA126:BA128)</f>
        <v/>
      </c>
      <c r="BB129" s="60">
        <f>SUM(BB126:BB128)</f>
        <v/>
      </c>
      <c r="BC129" s="60">
        <f>SUM(BC126:BC128)</f>
        <v/>
      </c>
      <c r="BD129" s="1123">
        <f>SUM(BD126:BD128)</f>
        <v/>
      </c>
      <c r="BE129" s="60">
        <f>SUM(BE126:BE128)</f>
        <v/>
      </c>
      <c r="BF129" s="60">
        <f>SUM(BF126:BF128)</f>
        <v/>
      </c>
      <c r="BG129" s="60">
        <f>SUM(BG126:BG128)</f>
        <v/>
      </c>
      <c r="BH129" s="60">
        <f>SUM(BH126:BH128)</f>
        <v/>
      </c>
      <c r="BI129" s="1123">
        <f>SUM(BI126:BI128)</f>
        <v/>
      </c>
      <c r="BJ129" s="60">
        <f>SUM(BJ126:BJ128)</f>
        <v/>
      </c>
      <c r="BK129" s="60">
        <f>SUM(BK126:BK128)</f>
        <v/>
      </c>
      <c r="BL129" s="60">
        <f>SUM(BL126:BL128)</f>
        <v/>
      </c>
      <c r="BM129" s="28">
        <f>SUM(BM126:BM128)</f>
        <v/>
      </c>
      <c r="BN129" s="1132">
        <f>SUM(BN126:BN128)</f>
        <v/>
      </c>
      <c r="BO129" s="60">
        <f>SUM(BO126:BO128)</f>
        <v/>
      </c>
      <c r="BP129" s="60">
        <f>SUM(BP126:BP128)</f>
        <v/>
      </c>
      <c r="BQ129" s="60">
        <f>SUM(BQ126:BQ128)</f>
        <v/>
      </c>
      <c r="BR129" s="28">
        <f>SUM(BR126:BR128)</f>
        <v/>
      </c>
      <c r="BS129" s="1132">
        <f>SUM(BS126:BS128)</f>
        <v/>
      </c>
      <c r="BT129" s="60">
        <f>SUM(BT126:BT128)</f>
        <v/>
      </c>
      <c r="BU129" s="60">
        <f>SUM(BU126:BU128)</f>
        <v/>
      </c>
      <c r="BV129" s="883">
        <f>SUM(BV126:BV128)</f>
        <v/>
      </c>
      <c r="BW129" s="61">
        <f>SUM(BW126:BW128)</f>
        <v/>
      </c>
      <c r="BX129" s="1122">
        <f>SUM(BX126:BX128)</f>
        <v/>
      </c>
      <c r="BY129" s="61">
        <f>SUM(BY126:BY128)</f>
        <v/>
      </c>
      <c r="BZ129" s="61">
        <f>SUM(BZ126:BZ128)</f>
        <v/>
      </c>
      <c r="CA129" s="61">
        <f>SUM(CA126:CA128)</f>
        <v/>
      </c>
      <c r="CB129" s="61">
        <f>SUM(CB126:CB128)</f>
        <v/>
      </c>
      <c r="CC129" s="1122">
        <f>SUM(CC126:CC128)</f>
        <v/>
      </c>
      <c r="CD129" s="1122">
        <f>SUM(CD126:CD128)</f>
        <v/>
      </c>
      <c r="CE129" s="1122">
        <f>SUM(CE126:CE128)</f>
        <v/>
      </c>
      <c r="CF129" s="1122">
        <f>SUM(CF126:CF128)</f>
        <v/>
      </c>
      <c r="CG129" s="155" t="n"/>
    </row>
    <row r="130" collapsed="1">
      <c r="A130" s="600" t="n"/>
      <c r="B130" s="601" t="n"/>
      <c r="C130" s="1125" t="n"/>
      <c r="D130" s="1125" t="n"/>
      <c r="E130" s="1125" t="n"/>
      <c r="F130" s="1125" t="n"/>
      <c r="G130" s="63" t="n"/>
      <c r="H130" s="63" t="n"/>
      <c r="I130" s="63" t="n"/>
      <c r="J130" s="63" t="n"/>
      <c r="K130" s="1125" t="n"/>
      <c r="L130" s="63" t="n"/>
      <c r="M130" s="63" t="n"/>
      <c r="N130" s="63" t="n"/>
      <c r="O130" s="63" t="n"/>
      <c r="P130" s="1125" t="n"/>
      <c r="Q130" s="63" t="n"/>
      <c r="R130" s="63" t="n"/>
      <c r="S130" s="63" t="n"/>
      <c r="T130" s="63" t="n"/>
      <c r="U130" s="1125" t="n"/>
      <c r="V130" s="63" t="n"/>
      <c r="W130" s="63" t="n"/>
      <c r="X130" s="63" t="n"/>
      <c r="Y130" s="63" t="n"/>
      <c r="Z130" s="1125" t="n"/>
      <c r="AA130" s="63" t="n"/>
      <c r="AB130" s="63" t="n"/>
      <c r="AC130" s="63" t="n"/>
      <c r="AD130" s="63" t="n"/>
      <c r="AE130" s="1125" t="n"/>
      <c r="AF130" s="63" t="n"/>
      <c r="AG130" s="63" t="n"/>
      <c r="AH130" s="63" t="n"/>
      <c r="AI130" s="63" t="n"/>
      <c r="AJ130" s="1125" t="n"/>
      <c r="AK130" s="63" t="n"/>
      <c r="AL130" s="63" t="n"/>
      <c r="AM130" s="63" t="n"/>
      <c r="AN130" s="63" t="n"/>
      <c r="AO130" s="1125" t="n"/>
      <c r="AP130" s="63" t="n"/>
      <c r="AQ130" s="63" t="n"/>
      <c r="AR130" s="63" t="n"/>
      <c r="AS130" s="63" t="n"/>
      <c r="AT130" s="1125" t="n"/>
      <c r="AU130" s="63" t="n"/>
      <c r="AV130" s="63" t="n"/>
      <c r="AW130" s="63" t="n"/>
      <c r="AX130" s="63" t="n"/>
      <c r="AY130" s="1125" t="n"/>
      <c r="AZ130" s="63" t="n"/>
      <c r="BA130" s="63" t="n"/>
      <c r="BB130" s="63" t="n"/>
      <c r="BC130" s="63" t="n"/>
      <c r="BD130" s="1125" t="n"/>
      <c r="BE130" s="63" t="n"/>
      <c r="BF130" s="63" t="n"/>
      <c r="BG130" s="63" t="n"/>
      <c r="BH130" s="63" t="n"/>
      <c r="BI130" s="1125" t="n"/>
      <c r="BJ130" s="63" t="n"/>
      <c r="BK130" s="63" t="n"/>
      <c r="BL130" s="63" t="n"/>
      <c r="BM130" s="63" t="n"/>
      <c r="BN130" s="1125" t="n"/>
      <c r="BO130" s="63" t="n"/>
      <c r="BP130" s="63" t="n"/>
      <c r="BQ130" s="63" t="n"/>
      <c r="BR130" s="63" t="n"/>
      <c r="BS130" s="1125" t="n"/>
      <c r="BT130" s="63" t="n"/>
      <c r="BU130" s="63" t="n"/>
      <c r="BV130" s="587" t="n"/>
      <c r="BW130" s="63" t="n"/>
      <c r="BX130" s="1125" t="n"/>
      <c r="BY130" s="63" t="n"/>
      <c r="BZ130" s="63" t="n"/>
      <c r="CA130" s="63" t="n"/>
      <c r="CB130" s="63" t="n"/>
      <c r="CC130" s="1125" t="n"/>
      <c r="CD130" s="1125" t="n"/>
      <c r="CE130" s="1125" t="n"/>
      <c r="CF130" s="1125" t="n"/>
      <c r="CG130" s="155" t="n"/>
    </row>
    <row r="131">
      <c r="A131" s="45" t="inlineStr">
        <is>
          <t>Supplemental Data</t>
        </is>
      </c>
      <c r="B131" s="45" t="n"/>
      <c r="C131" s="45" t="n"/>
      <c r="D131" s="45" t="n"/>
      <c r="E131" s="45" t="n"/>
      <c r="F131" s="45" t="n"/>
      <c r="G131" s="45" t="n"/>
      <c r="H131" s="45" t="n"/>
      <c r="I131" s="45" t="n"/>
      <c r="J131" s="45" t="n"/>
      <c r="K131" s="45" t="n"/>
      <c r="L131" s="45" t="n"/>
      <c r="M131" s="45" t="n"/>
      <c r="N131" s="45" t="n"/>
      <c r="O131" s="45" t="n"/>
      <c r="P131" s="45" t="n"/>
      <c r="Q131" s="45" t="n"/>
      <c r="R131" s="45" t="n"/>
      <c r="S131" s="45" t="n"/>
      <c r="T131" s="45" t="n"/>
      <c r="U131" s="45" t="n"/>
      <c r="V131" s="45" t="n"/>
      <c r="W131" s="45" t="n"/>
      <c r="X131" s="45" t="n"/>
      <c r="Y131" s="45" t="n"/>
      <c r="Z131" s="45" t="n"/>
      <c r="AA131" s="45" t="n"/>
      <c r="AB131" s="45" t="n"/>
      <c r="AC131" s="45" t="n"/>
      <c r="AD131" s="45" t="n"/>
      <c r="AE131" s="45" t="n"/>
      <c r="AF131" s="45" t="n"/>
      <c r="AG131" s="45" t="n"/>
      <c r="AH131" s="45" t="n"/>
      <c r="AI131" s="45" t="n"/>
      <c r="AJ131" s="45" t="n"/>
      <c r="AK131" s="45" t="n"/>
      <c r="AL131" s="45" t="n"/>
      <c r="AM131" s="45" t="n"/>
      <c r="AN131" s="45" t="n"/>
      <c r="AO131" s="45" t="n"/>
      <c r="AP131" s="45" t="n"/>
      <c r="AQ131" s="45" t="n"/>
      <c r="AR131" s="45" t="n"/>
      <c r="AS131" s="45" t="n"/>
      <c r="AT131" s="45" t="n"/>
      <c r="AU131" s="45" t="n"/>
      <c r="AV131" s="45" t="n"/>
      <c r="AW131" s="45" t="n"/>
      <c r="AX131" s="45" t="n"/>
      <c r="AY131" s="45" t="n"/>
      <c r="AZ131" s="45" t="n"/>
      <c r="BA131" s="45" t="n"/>
      <c r="BB131" s="45" t="n"/>
      <c r="BC131" s="45" t="n"/>
      <c r="BD131" s="45" t="n"/>
      <c r="BE131" s="45" t="n"/>
      <c r="BF131" s="45" t="n"/>
      <c r="BG131" s="45" t="n"/>
      <c r="BH131" s="45" t="n"/>
      <c r="BI131" s="45" t="n"/>
      <c r="BJ131" s="45" t="n"/>
      <c r="BK131" s="45" t="n"/>
      <c r="BL131" s="45" t="n"/>
      <c r="BM131" s="45" t="n"/>
      <c r="BN131" s="45" t="n"/>
      <c r="BO131" s="45" t="n"/>
      <c r="BP131" s="45" t="n"/>
      <c r="BQ131" s="45" t="n"/>
      <c r="BR131" s="45" t="n"/>
      <c r="BS131" s="45" t="n"/>
      <c r="BT131" s="45" t="n"/>
      <c r="BU131" s="45" t="n"/>
      <c r="BV131" s="982" t="n"/>
      <c r="BW131" s="45" t="n"/>
      <c r="BX131" s="45" t="n"/>
      <c r="BY131" s="45" t="n"/>
      <c r="BZ131" s="45" t="n"/>
      <c r="CA131" s="45" t="n"/>
      <c r="CB131" s="45" t="n"/>
      <c r="CC131" s="45" t="n"/>
      <c r="CD131" s="45" t="n"/>
      <c r="CE131" s="45" t="n"/>
      <c r="CF131" s="45" t="n"/>
      <c r="CG131" s="155" t="n"/>
    </row>
    <row r="132" hidden="1" outlineLevel="1">
      <c r="A132" s="45" t="inlineStr">
        <is>
          <t>Segmented Results - Revenue Breakdown (FS/CFO Commentary)</t>
        </is>
      </c>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c r="AA132" s="45" t="n"/>
      <c r="AB132" s="45" t="n"/>
      <c r="AC132" s="45" t="n"/>
      <c r="AD132" s="45" t="n"/>
      <c r="AE132" s="45" t="n"/>
      <c r="AF132" s="45" t="n"/>
      <c r="AG132" s="45" t="n"/>
      <c r="AH132" s="45" t="n"/>
      <c r="AI132" s="45" t="n"/>
      <c r="AJ132" s="45" t="n"/>
      <c r="AK132" s="45" t="n"/>
      <c r="AL132" s="45" t="n"/>
      <c r="AM132" s="45" t="n"/>
      <c r="AN132" s="45" t="n"/>
      <c r="AO132" s="45" t="n"/>
      <c r="AP132" s="45" t="n"/>
      <c r="AQ132" s="45" t="n"/>
      <c r="AR132" s="45" t="n"/>
      <c r="AS132" s="45" t="n"/>
      <c r="AT132" s="45" t="n"/>
      <c r="AU132" s="45" t="n"/>
      <c r="AV132" s="45" t="n"/>
      <c r="AW132" s="45" t="n"/>
      <c r="AX132" s="45" t="n"/>
      <c r="AY132" s="45" t="n"/>
      <c r="AZ132" s="45" t="n"/>
      <c r="BA132" s="45" t="n"/>
      <c r="BB132" s="45" t="n"/>
      <c r="BC132" s="45" t="n"/>
      <c r="BD132" s="45" t="n"/>
      <c r="BE132" s="45" t="n"/>
      <c r="BF132" s="45" t="n"/>
      <c r="BG132" s="45" t="n"/>
      <c r="BH132" s="45" t="n"/>
      <c r="BI132" s="45" t="n"/>
      <c r="BJ132" s="45" t="n"/>
      <c r="BK132" s="45" t="n"/>
      <c r="BL132" s="45" t="n"/>
      <c r="BM132" s="45" t="n"/>
      <c r="BN132" s="45" t="n"/>
      <c r="BO132" s="45" t="n"/>
      <c r="BP132" s="45" t="n"/>
      <c r="BQ132" s="45" t="n"/>
      <c r="BR132" s="45" t="n"/>
      <c r="BS132" s="45" t="n"/>
      <c r="BT132" s="45" t="n"/>
      <c r="BU132" s="45" t="n"/>
      <c r="BV132" s="982" t="n"/>
      <c r="BW132" s="45" t="n"/>
      <c r="BX132" s="45" t="n"/>
      <c r="BY132" s="45" t="n"/>
      <c r="BZ132" s="45" t="n"/>
      <c r="CA132" s="45" t="n"/>
      <c r="CB132" s="45" t="n"/>
      <c r="CC132" s="45" t="n"/>
      <c r="CD132" s="45" t="n"/>
      <c r="CE132" s="45" t="n"/>
      <c r="CF132" s="45" t="n"/>
      <c r="CG132" s="155" t="n"/>
    </row>
    <row r="133" hidden="1" outlineLevel="1">
      <c r="A133" s="67" t="inlineStr">
        <is>
          <t>Graphics revenue, mm</t>
        </is>
      </c>
      <c r="B133" s="602" t="n"/>
      <c r="C133" s="1110" t="n"/>
      <c r="D133" s="1110" t="n"/>
      <c r="E133" s="1110" t="n"/>
      <c r="F133" s="1110" t="n"/>
      <c r="G133" s="68" t="n"/>
      <c r="H133" s="68" t="n"/>
      <c r="I133" s="68" t="n"/>
      <c r="J133" s="68" t="n"/>
      <c r="K133" s="1110" t="n"/>
      <c r="L133" s="68" t="n"/>
      <c r="M133" s="68" t="n"/>
      <c r="N133" s="68" t="n"/>
      <c r="O133" s="68" t="n"/>
      <c r="P133" s="1110" t="n"/>
      <c r="Q133" s="68" t="n"/>
      <c r="R133" s="68" t="n"/>
      <c r="S133" s="68" t="n"/>
      <c r="T133" s="68" t="n"/>
      <c r="U133" s="1110" t="n"/>
      <c r="V133" s="68" t="n"/>
      <c r="W133" s="68" t="n"/>
      <c r="X133" s="68" t="n"/>
      <c r="Y133" s="68" t="n"/>
      <c r="Z133" s="1110" t="n"/>
      <c r="AA133" s="68" t="n"/>
      <c r="AB133" s="68" t="n"/>
      <c r="AC133" s="68" t="n"/>
      <c r="AD133" s="68" t="n"/>
      <c r="AE133" s="1110" t="n"/>
      <c r="AF133" s="68" t="n"/>
      <c r="AG133" s="68" t="n"/>
      <c r="AH133" s="68" t="n"/>
      <c r="AI133" s="68" t="n"/>
      <c r="AJ133" s="1110" t="n"/>
      <c r="AK133" s="68" t="n"/>
      <c r="AL133" s="68" t="n"/>
      <c r="AM133" s="68" t="n"/>
      <c r="AN133" s="68" t="n"/>
      <c r="AO133" s="1110" t="n"/>
      <c r="AP133" s="1053" t="n">
        <v>1526</v>
      </c>
      <c r="AQ133" s="1053" t="n">
        <v>1803</v>
      </c>
      <c r="AR133" s="1053" t="n">
        <v>2226</v>
      </c>
      <c r="AS133" s="1053" t="n">
        <v>2084</v>
      </c>
      <c r="AT133" s="1111" t="n">
        <v>7639</v>
      </c>
      <c r="AU133" s="1053" t="n">
        <v>1906</v>
      </c>
      <c r="AV133" s="1053" t="n">
        <v>2085</v>
      </c>
      <c r="AW133" s="1053" t="n">
        <v>2787</v>
      </c>
      <c r="AX133" s="1053" t="n">
        <v>3056</v>
      </c>
      <c r="AY133" s="1110">
        <f>SUM(AU133,AV133,AW133,AX133)</f>
        <v/>
      </c>
      <c r="AZ133" s="1053" t="n">
        <v>3451</v>
      </c>
      <c r="BA133" s="1053" t="n">
        <v>3907</v>
      </c>
      <c r="BB133" s="1053" t="n">
        <v>4092</v>
      </c>
      <c r="BC133" s="1053" t="n">
        <v>4418</v>
      </c>
      <c r="BD133" s="1110">
        <f>SUM(AZ133,BA133,BB133,BC133)</f>
        <v/>
      </c>
      <c r="BE133" s="1053" t="n">
        <v>4616</v>
      </c>
      <c r="BF133" s="1053" t="n">
        <v>2797</v>
      </c>
      <c r="BG133" s="1053" t="n">
        <v>2115</v>
      </c>
      <c r="BH133" s="1053" t="n">
        <v>2378</v>
      </c>
      <c r="BI133" s="1110">
        <f>SUM(BE133,BF133,BG133,BH133)</f>
        <v/>
      </c>
      <c r="BJ133" s="1053" t="n">
        <v>2732</v>
      </c>
      <c r="BK133" s="1053" t="n">
        <v>3105</v>
      </c>
      <c r="BL133" s="1053" t="n">
        <v>3475</v>
      </c>
      <c r="BM133" s="1053" t="n">
        <v>4205</v>
      </c>
      <c r="BN133" s="1110">
        <f>SUM(BJ133,BK133,BL133,BM133)</f>
        <v/>
      </c>
      <c r="BO133" s="1053" t="n">
        <v>3369</v>
      </c>
      <c r="BP133" s="1053" t="n">
        <v>3594</v>
      </c>
      <c r="BQ133" s="1053" t="n">
        <v>4046</v>
      </c>
      <c r="BR133" s="1053" t="n">
        <v>3295</v>
      </c>
      <c r="BS133" s="1110">
        <f>SUM(BO133,BP133,BQ133,BR133)</f>
        <v/>
      </c>
      <c r="BT133" s="1053" t="n">
        <v>4473</v>
      </c>
      <c r="BU133" s="1053" t="n">
        <v>5412</v>
      </c>
      <c r="BV133" s="1054" t="n">
        <v>6098</v>
      </c>
      <c r="BW133" s="68" t="n"/>
      <c r="BX133" s="1110" t="n"/>
      <c r="BY133" s="68" t="n"/>
      <c r="BZ133" s="68" t="n"/>
      <c r="CA133" s="68" t="n"/>
      <c r="CB133" s="68" t="n"/>
      <c r="CC133" s="1110" t="n"/>
      <c r="CD133" s="1110" t="n"/>
      <c r="CE133" s="1110" t="n"/>
      <c r="CF133" s="1110" t="n"/>
      <c r="CG133" s="155" t="n"/>
    </row>
    <row r="134" hidden="1" outlineLevel="1">
      <c r="A134" s="121" t="inlineStr">
        <is>
          <t>Compute &amp; Networking revenue, mm</t>
        </is>
      </c>
      <c r="B134" s="603" t="n"/>
      <c r="C134" s="1121" t="n"/>
      <c r="D134" s="1121" t="n"/>
      <c r="E134" s="1121" t="n"/>
      <c r="F134" s="1121" t="n"/>
      <c r="G134" s="109" t="n"/>
      <c r="H134" s="109" t="n"/>
      <c r="I134" s="109" t="n"/>
      <c r="J134" s="109" t="n"/>
      <c r="K134" s="1121" t="n"/>
      <c r="L134" s="109" t="n"/>
      <c r="M134" s="109" t="n"/>
      <c r="N134" s="109" t="n"/>
      <c r="O134" s="109" t="n"/>
      <c r="P134" s="1121" t="n"/>
      <c r="Q134" s="109" t="n"/>
      <c r="R134" s="109" t="n"/>
      <c r="S134" s="109" t="n"/>
      <c r="T134" s="109" t="n"/>
      <c r="U134" s="1121" t="n"/>
      <c r="V134" s="109" t="n"/>
      <c r="W134" s="109" t="n"/>
      <c r="X134" s="109" t="n"/>
      <c r="Y134" s="109" t="n"/>
      <c r="Z134" s="1121" t="n"/>
      <c r="AA134" s="109" t="n"/>
      <c r="AB134" s="109" t="n"/>
      <c r="AC134" s="109" t="n"/>
      <c r="AD134" s="109" t="n"/>
      <c r="AE134" s="1121" t="n"/>
      <c r="AF134" s="109" t="n"/>
      <c r="AG134" s="109" t="n"/>
      <c r="AH134" s="109" t="n"/>
      <c r="AI134" s="109" t="n"/>
      <c r="AJ134" s="1121" t="n"/>
      <c r="AK134" s="109" t="n"/>
      <c r="AL134" s="109" t="n"/>
      <c r="AM134" s="109" t="n"/>
      <c r="AN134" s="109" t="n"/>
      <c r="AO134" s="1121" t="n"/>
      <c r="AP134" s="1060" t="n">
        <v>694</v>
      </c>
      <c r="AQ134" s="1060" t="n">
        <v>776</v>
      </c>
      <c r="AR134" s="1060" t="n">
        <v>788</v>
      </c>
      <c r="AS134" s="1060" t="n">
        <v>1021</v>
      </c>
      <c r="AT134" s="1131" t="n">
        <v>3279</v>
      </c>
      <c r="AU134" s="1060" t="n">
        <v>1174</v>
      </c>
      <c r="AV134" s="1060" t="n">
        <v>1781</v>
      </c>
      <c r="AW134" s="1060" t="n">
        <v>1939</v>
      </c>
      <c r="AX134" s="1060" t="n">
        <v>1947</v>
      </c>
      <c r="AY134" s="1121">
        <f>SUM(AU134,AV134,AW134,AX134)</f>
        <v/>
      </c>
      <c r="AZ134" s="1060" t="n">
        <v>2210</v>
      </c>
      <c r="BA134" s="1060" t="n">
        <v>2600</v>
      </c>
      <c r="BB134" s="1060" t="n">
        <v>3011</v>
      </c>
      <c r="BC134" s="1060" t="n">
        <v>3225</v>
      </c>
      <c r="BD134" s="1121">
        <f>SUM(AZ134,BA134,BB134,BC134)</f>
        <v/>
      </c>
      <c r="BE134" s="1060" t="n">
        <v>3672</v>
      </c>
      <c r="BF134" s="1060" t="n">
        <v>3907</v>
      </c>
      <c r="BG134" s="1060" t="n">
        <v>3816</v>
      </c>
      <c r="BH134" s="1060" t="n">
        <v>3673</v>
      </c>
      <c r="BI134" s="1121">
        <f>SUM(BE134,BF134,BG134,BH134)</f>
        <v/>
      </c>
      <c r="BJ134" s="1060" t="n">
        <v>4460</v>
      </c>
      <c r="BK134" s="1060" t="n">
        <v>10402</v>
      </c>
      <c r="BL134" s="1060" t="n">
        <v>14645</v>
      </c>
      <c r="BM134" s="1060" t="n">
        <v>17898</v>
      </c>
      <c r="BN134" s="1121">
        <f>SUM(BJ134,BK134,BL134,BM134)</f>
        <v/>
      </c>
      <c r="BO134" s="1060" t="n">
        <v>22675</v>
      </c>
      <c r="BP134" s="1060" t="n">
        <v>26446</v>
      </c>
      <c r="BQ134" s="1060" t="n">
        <v>31036</v>
      </c>
      <c r="BR134" s="1060" t="n">
        <v>36036</v>
      </c>
      <c r="BS134" s="1121">
        <f>SUM(BO134,BP134,BQ134,BR134)</f>
        <v/>
      </c>
      <c r="BT134" s="1060" t="n">
        <v>39589</v>
      </c>
      <c r="BU134" s="1060" t="n">
        <v>41331</v>
      </c>
      <c r="BV134" s="1061" t="n">
        <v>50908</v>
      </c>
      <c r="BW134" s="109" t="n"/>
      <c r="BX134" s="1121" t="n"/>
      <c r="BY134" s="109" t="n"/>
      <c r="BZ134" s="109" t="n"/>
      <c r="CA134" s="109" t="n"/>
      <c r="CB134" s="109" t="n"/>
      <c r="CC134" s="1121" t="n"/>
      <c r="CD134" s="1121" t="n"/>
      <c r="CE134" s="1121" t="n"/>
      <c r="CF134" s="1121" t="n"/>
      <c r="CG134" s="155" t="n"/>
    </row>
    <row r="135" hidden="1" outlineLevel="1">
      <c r="A135" s="59" t="inlineStr">
        <is>
          <t>Total Revenue, mm</t>
        </is>
      </c>
      <c r="B135" s="604" t="n"/>
      <c r="C135" s="1122" t="n"/>
      <c r="D135" s="1122" t="n"/>
      <c r="E135" s="1122" t="n"/>
      <c r="F135" s="1122" t="n"/>
      <c r="G135" s="61" t="n"/>
      <c r="H135" s="61" t="n"/>
      <c r="I135" s="61" t="n"/>
      <c r="J135" s="61" t="n"/>
      <c r="K135" s="1122" t="n"/>
      <c r="L135" s="61" t="n"/>
      <c r="M135" s="61" t="n"/>
      <c r="N135" s="61" t="n"/>
      <c r="O135" s="61" t="n"/>
      <c r="P135" s="1122" t="n"/>
      <c r="Q135" s="61" t="n"/>
      <c r="R135" s="61" t="n"/>
      <c r="S135" s="61" t="n"/>
      <c r="T135" s="61" t="n"/>
      <c r="U135" s="1122" t="n"/>
      <c r="V135" s="61" t="n"/>
      <c r="W135" s="61" t="n"/>
      <c r="X135" s="61" t="n"/>
      <c r="Y135" s="61" t="n"/>
      <c r="Z135" s="1122" t="n"/>
      <c r="AA135" s="61" t="n"/>
      <c r="AB135" s="61" t="n"/>
      <c r="AC135" s="61" t="n"/>
      <c r="AD135" s="61" t="n"/>
      <c r="AE135" s="1122" t="n"/>
      <c r="AF135" s="61" t="n"/>
      <c r="AG135" s="61" t="n"/>
      <c r="AH135" s="61" t="n"/>
      <c r="AI135" s="61" t="n"/>
      <c r="AJ135" s="1122" t="n"/>
      <c r="AK135" s="61" t="n"/>
      <c r="AL135" s="61" t="n"/>
      <c r="AM135" s="61" t="n"/>
      <c r="AN135" s="61" t="n"/>
      <c r="AO135" s="1122" t="n"/>
      <c r="AP135" s="60">
        <f>SUM(AP132:AP134)</f>
        <v/>
      </c>
      <c r="AQ135" s="60">
        <f>SUM(AQ132:AQ134)</f>
        <v/>
      </c>
      <c r="AR135" s="60">
        <f>SUM(AR132:AR134)</f>
        <v/>
      </c>
      <c r="AS135" s="61">
        <f>SUM(AS133:AS134)</f>
        <v/>
      </c>
      <c r="AT135" s="1122">
        <f>SUM(AT133:AT134)</f>
        <v/>
      </c>
      <c r="AU135" s="60">
        <f>SUM(AU133:AU134)</f>
        <v/>
      </c>
      <c r="AV135" s="60">
        <f>SUM(AV133:AV134)</f>
        <v/>
      </c>
      <c r="AW135" s="60">
        <f>SUM(AW133:AW134)</f>
        <v/>
      </c>
      <c r="AX135" s="61">
        <f>SUM(AX133:AX134)</f>
        <v/>
      </c>
      <c r="AY135" s="1122">
        <f>SUM(AY133:AY134)</f>
        <v/>
      </c>
      <c r="AZ135" s="60">
        <f>SUM(AZ133:AZ134)</f>
        <v/>
      </c>
      <c r="BA135" s="60">
        <f>SUM(BA133:BA134)</f>
        <v/>
      </c>
      <c r="BB135" s="60">
        <f>SUM(BB133:BB134)</f>
        <v/>
      </c>
      <c r="BC135" s="61">
        <f>SUM(BC133:BC134)</f>
        <v/>
      </c>
      <c r="BD135" s="1122">
        <f>SUM(BD133:BD134)</f>
        <v/>
      </c>
      <c r="BE135" s="60">
        <f>SUM(BE133:BE134)</f>
        <v/>
      </c>
      <c r="BF135" s="60">
        <f>SUM(BF133:BF134)</f>
        <v/>
      </c>
      <c r="BG135" s="60">
        <f>SUM(BG133:BG134)</f>
        <v/>
      </c>
      <c r="BH135" s="61">
        <f>SUM(BH133:BH134)</f>
        <v/>
      </c>
      <c r="BI135" s="1122">
        <f>SUM(BI133:BI134)</f>
        <v/>
      </c>
      <c r="BJ135" s="60">
        <f>SUM(BJ133:BJ134)</f>
        <v/>
      </c>
      <c r="BK135" s="60">
        <f>SUM(BK133:BK134)</f>
        <v/>
      </c>
      <c r="BL135" s="60">
        <f>SUM(BL133:BL134)</f>
        <v/>
      </c>
      <c r="BM135" s="63">
        <f>SUM(BM133:BM134)</f>
        <v/>
      </c>
      <c r="BN135" s="1122">
        <f>SUM(BN133:BN134)</f>
        <v/>
      </c>
      <c r="BO135" s="60">
        <f>SUM(BO133:BO134)</f>
        <v/>
      </c>
      <c r="BP135" s="60">
        <f>SUM(BP133:BP134)</f>
        <v/>
      </c>
      <c r="BQ135" s="60">
        <f>SUM(BQ133:BQ134)</f>
        <v/>
      </c>
      <c r="BR135" s="63">
        <f>SUM(BR133:BR134)</f>
        <v/>
      </c>
      <c r="BS135" s="1122">
        <f>SUM(BS133:BS134)</f>
        <v/>
      </c>
      <c r="BT135" s="60">
        <f>SUM(BT133:BT134)</f>
        <v/>
      </c>
      <c r="BU135" s="60">
        <f>SUM(BU133:BU134)</f>
        <v/>
      </c>
      <c r="BV135" s="883">
        <f>SUM(BV133:BV134)</f>
        <v/>
      </c>
      <c r="BW135" s="61" t="n"/>
      <c r="BX135" s="1122" t="n"/>
      <c r="BY135" s="61" t="n"/>
      <c r="BZ135" s="61" t="n"/>
      <c r="CA135" s="61" t="n"/>
      <c r="CB135" s="61" t="n"/>
      <c r="CC135" s="1122" t="n"/>
      <c r="CD135" s="1122" t="n"/>
      <c r="CE135" s="1122" t="n"/>
      <c r="CF135" s="1122" t="n"/>
      <c r="CG135" s="155" t="n"/>
    </row>
    <row r="136" hidden="1" outlineLevel="1">
      <c r="A136" s="600" t="n"/>
      <c r="B136" s="633" t="n"/>
      <c r="C136" s="1125" t="n"/>
      <c r="D136" s="1125" t="n"/>
      <c r="E136" s="1125" t="n"/>
      <c r="F136" s="1125" t="n"/>
      <c r="G136" s="63" t="n"/>
      <c r="H136" s="63" t="n"/>
      <c r="I136" s="63" t="n"/>
      <c r="J136" s="63" t="n"/>
      <c r="K136" s="1125" t="n"/>
      <c r="L136" s="63" t="n"/>
      <c r="M136" s="63" t="n"/>
      <c r="N136" s="63" t="n"/>
      <c r="O136" s="63" t="n"/>
      <c r="P136" s="1125" t="n"/>
      <c r="Q136" s="63" t="n"/>
      <c r="R136" s="63" t="n"/>
      <c r="S136" s="63" t="n"/>
      <c r="T136" s="63" t="n"/>
      <c r="U136" s="1125" t="n"/>
      <c r="V136" s="63" t="n"/>
      <c r="W136" s="63" t="n"/>
      <c r="X136" s="63" t="n"/>
      <c r="Y136" s="63" t="n"/>
      <c r="Z136" s="1125" t="n"/>
      <c r="AA136" s="63" t="n"/>
      <c r="AB136" s="63" t="n"/>
      <c r="AC136" s="63" t="n"/>
      <c r="AD136" s="63" t="n"/>
      <c r="AE136" s="1125" t="n"/>
      <c r="AF136" s="63" t="n"/>
      <c r="AG136" s="63" t="n"/>
      <c r="AH136" s="63" t="n"/>
      <c r="AI136" s="63" t="n"/>
      <c r="AJ136" s="1125" t="n"/>
      <c r="AK136" s="63" t="n"/>
      <c r="AL136" s="63" t="n"/>
      <c r="AM136" s="63" t="n"/>
      <c r="AN136" s="63" t="n"/>
      <c r="AO136" s="1125" t="n"/>
      <c r="AP136" s="63" t="n"/>
      <c r="AQ136" s="63" t="n"/>
      <c r="AR136" s="63" t="n"/>
      <c r="AS136" s="63" t="n"/>
      <c r="AT136" s="1125" t="n"/>
      <c r="AU136" s="63" t="n"/>
      <c r="AV136" s="63" t="n"/>
      <c r="AW136" s="63" t="n"/>
      <c r="AX136" s="63" t="n"/>
      <c r="AY136" s="1125" t="n"/>
      <c r="AZ136" s="63" t="n"/>
      <c r="BA136" s="63" t="n"/>
      <c r="BB136" s="63" t="n"/>
      <c r="BC136" s="63" t="n"/>
      <c r="BD136" s="1125" t="n"/>
      <c r="BE136" s="63" t="n"/>
      <c r="BF136" s="63" t="n"/>
      <c r="BG136" s="63" t="n"/>
      <c r="BH136" s="63" t="n"/>
      <c r="BI136" s="1125" t="n"/>
      <c r="BJ136" s="63" t="n"/>
      <c r="BK136" s="63" t="n"/>
      <c r="BL136" s="63" t="n"/>
      <c r="BM136" s="63" t="n"/>
      <c r="BN136" s="1125" t="n"/>
      <c r="BO136" s="63" t="n"/>
      <c r="BP136" s="63" t="n"/>
      <c r="BQ136" s="63" t="n"/>
      <c r="BR136" s="63" t="n"/>
      <c r="BS136" s="1125" t="n"/>
      <c r="BT136" s="63" t="n"/>
      <c r="BU136" s="63" t="n"/>
      <c r="BV136" s="587" t="n"/>
      <c r="BW136" s="63" t="n"/>
      <c r="BX136" s="1125" t="n"/>
      <c r="BY136" s="63" t="n"/>
      <c r="BZ136" s="63" t="n"/>
      <c r="CA136" s="63" t="n"/>
      <c r="CB136" s="63" t="n"/>
      <c r="CC136" s="1125" t="n"/>
      <c r="CD136" s="1125" t="n"/>
      <c r="CE136" s="1125" t="n"/>
      <c r="CF136" s="1125" t="n"/>
      <c r="CG136" s="155" t="n"/>
    </row>
    <row r="137" hidden="1" outlineLevel="1">
      <c r="A137" s="67" t="inlineStr">
        <is>
          <t>GPU Revenue, mm</t>
        </is>
      </c>
      <c r="B137" s="602" t="n"/>
      <c r="C137" s="1110" t="n"/>
      <c r="D137" s="1110" t="n"/>
      <c r="E137" s="1111" t="n">
        <v>3345.696</v>
      </c>
      <c r="F137" s="1111" t="n">
        <v>3186.764</v>
      </c>
      <c r="G137" s="1053" t="n">
        <v>726.365</v>
      </c>
      <c r="H137" s="1053" t="n">
        <v>798.624</v>
      </c>
      <c r="I137" s="1053" t="n">
        <v>894.2089999999999</v>
      </c>
      <c r="J137" s="27">
        <f>K137-SUM(G137,H137,I137)</f>
        <v/>
      </c>
      <c r="K137" s="1111" t="n">
        <v>3251.712</v>
      </c>
      <c r="L137" s="1053" t="n">
        <v>785.612</v>
      </c>
      <c r="M137" s="1053" t="n">
        <v>858.6130000000001</v>
      </c>
      <c r="N137" s="1053" t="n">
        <v>876.833</v>
      </c>
      <c r="O137" s="27">
        <f>P137-SUM(L137,M137,N137)</f>
        <v/>
      </c>
      <c r="P137" s="1111" t="n">
        <v>3468.144</v>
      </c>
      <c r="Q137" s="1053" t="n">
        <v>898</v>
      </c>
      <c r="R137" s="1053" t="n">
        <v>878</v>
      </c>
      <c r="S137" s="1053" t="n">
        <v>991</v>
      </c>
      <c r="T137" s="27">
        <f>U137-SUM(Q137,R137,S137)</f>
        <v/>
      </c>
      <c r="U137" s="1111" t="n">
        <v>3839</v>
      </c>
      <c r="V137" s="1053" t="n">
        <v>940</v>
      </c>
      <c r="W137" s="1053" t="n">
        <v>959</v>
      </c>
      <c r="X137" s="1053" t="n">
        <v>1110</v>
      </c>
      <c r="Y137" s="27">
        <f>Z137-SUM(V137,W137,X137)</f>
        <v/>
      </c>
      <c r="Z137" s="1111" t="n">
        <v>4187</v>
      </c>
      <c r="AA137" s="1053" t="n">
        <v>1079</v>
      </c>
      <c r="AB137" s="1053" t="n">
        <v>1196</v>
      </c>
      <c r="AC137" s="1053" t="n">
        <v>1697</v>
      </c>
      <c r="AD137" s="68">
        <f>AE137-SUM(AA137,AB137,AC137)</f>
        <v/>
      </c>
      <c r="AE137" s="1111" t="n">
        <v>5822</v>
      </c>
      <c r="AF137" s="1053" t="n">
        <v>1562</v>
      </c>
      <c r="AG137" s="1053" t="n">
        <v>1897</v>
      </c>
      <c r="AH137" s="1053" t="n">
        <v>2217</v>
      </c>
      <c r="AI137" s="68">
        <f>AJ137-SUM(AF137,AG137,AH137)</f>
        <v/>
      </c>
      <c r="AJ137" s="1111" t="n">
        <v>8137</v>
      </c>
      <c r="AK137" s="1053" t="n">
        <v>2765</v>
      </c>
      <c r="AL137" s="1053" t="n">
        <v>2656</v>
      </c>
      <c r="AM137" s="1053" t="n">
        <v>2774</v>
      </c>
      <c r="AN137" s="1053" t="n">
        <v>1980</v>
      </c>
      <c r="AO137" s="1110">
        <f>SUM(AK137,AL137,AM137,AN137)</f>
        <v/>
      </c>
      <c r="AP137" s="1053" t="n">
        <v>2022</v>
      </c>
      <c r="AQ137" s="1053" t="n">
        <v>2104</v>
      </c>
      <c r="AR137" s="1053" t="n">
        <v>2565</v>
      </c>
      <c r="AS137" s="1053" t="n">
        <v>2774</v>
      </c>
      <c r="AT137" s="1110">
        <f>SUM(AP137,AQ137,AR137,AS137)</f>
        <v/>
      </c>
      <c r="AU137" s="68" t="n"/>
      <c r="AV137" s="68" t="n"/>
      <c r="AW137" s="68" t="n"/>
      <c r="AX137" s="68" t="n"/>
      <c r="AY137" s="1110" t="n"/>
      <c r="AZ137" s="68" t="n"/>
      <c r="BA137" s="68" t="n"/>
      <c r="BB137" s="68" t="n"/>
      <c r="BC137" s="68" t="n"/>
      <c r="BD137" s="1110" t="n"/>
      <c r="BE137" s="68" t="n"/>
      <c r="BF137" s="68" t="n"/>
      <c r="BG137" s="68" t="n"/>
      <c r="BH137" s="68" t="n"/>
      <c r="BI137" s="1110" t="n"/>
      <c r="BJ137" s="68" t="n"/>
      <c r="BK137" s="68" t="n"/>
      <c r="BL137" s="68" t="n"/>
      <c r="BM137" s="68" t="n"/>
      <c r="BN137" s="1110" t="n"/>
      <c r="BO137" s="68" t="n"/>
      <c r="BP137" s="68" t="n"/>
      <c r="BQ137" s="68" t="n"/>
      <c r="BR137" s="68" t="n"/>
      <c r="BS137" s="1110" t="n"/>
      <c r="BT137" s="68" t="n"/>
      <c r="BU137" s="68" t="n"/>
      <c r="BV137" s="588" t="n"/>
      <c r="BW137" s="68" t="n"/>
      <c r="BX137" s="1110" t="n"/>
      <c r="BY137" s="68" t="n"/>
      <c r="BZ137" s="68" t="n"/>
      <c r="CA137" s="68" t="n"/>
      <c r="CB137" s="68" t="n"/>
      <c r="CC137" s="1110" t="n"/>
      <c r="CD137" s="1110" t="n"/>
      <c r="CE137" s="1110" t="n"/>
      <c r="CF137" s="1110" t="n"/>
      <c r="CG137" s="155" t="n"/>
    </row>
    <row r="138" hidden="1" outlineLevel="1">
      <c r="A138" s="67" t="inlineStr">
        <is>
          <t>Tegra Processor Revenue, mm</t>
        </is>
      </c>
      <c r="B138" s="602" t="n"/>
      <c r="C138" s="1110" t="n"/>
      <c r="D138" s="1110" t="n"/>
      <c r="E138" s="1111" t="n">
        <v>197.613</v>
      </c>
      <c r="F138" s="1111" t="n">
        <v>591.1660000000001</v>
      </c>
      <c r="G138" s="1053" t="n">
        <v>132.512</v>
      </c>
      <c r="H138" s="1053" t="n">
        <v>179.646</v>
      </c>
      <c r="I138" s="1053" t="n">
        <v>243.901</v>
      </c>
      <c r="J138" s="27">
        <f>K138-SUM(G138,H138,I138)</f>
        <v/>
      </c>
      <c r="K138" s="1111" t="n">
        <v>764.447</v>
      </c>
      <c r="L138" s="1053" t="n">
        <v>103.127</v>
      </c>
      <c r="M138" s="1053" t="n">
        <v>52.625</v>
      </c>
      <c r="N138" s="1053" t="n">
        <v>111.134</v>
      </c>
      <c r="O138" s="27">
        <f>P138-SUM(L138,M138,N138)</f>
        <v/>
      </c>
      <c r="P138" s="1111" t="n">
        <v>398.018</v>
      </c>
      <c r="Q138" s="1053" t="n">
        <v>139</v>
      </c>
      <c r="R138" s="1053" t="n">
        <v>159</v>
      </c>
      <c r="S138" s="1053" t="n">
        <v>168</v>
      </c>
      <c r="T138" s="27">
        <f>U138-SUM(Q138,R138,S138)</f>
        <v/>
      </c>
      <c r="U138" s="1111" t="n">
        <v>579</v>
      </c>
      <c r="V138" s="1053" t="n">
        <v>145</v>
      </c>
      <c r="W138" s="1053" t="n">
        <v>128</v>
      </c>
      <c r="X138" s="1053" t="n">
        <v>129</v>
      </c>
      <c r="Y138" s="27">
        <f>Z138-SUM(V138,W138,X138)</f>
        <v/>
      </c>
      <c r="Z138" s="1111" t="n">
        <v>559</v>
      </c>
      <c r="AA138" s="1053" t="n">
        <v>160</v>
      </c>
      <c r="AB138" s="1053" t="n">
        <v>166</v>
      </c>
      <c r="AC138" s="1053" t="n">
        <v>241</v>
      </c>
      <c r="AD138" s="68">
        <f>AE138-SUM(AA138,AB138,AC138)</f>
        <v/>
      </c>
      <c r="AE138" s="1111" t="n">
        <v>824</v>
      </c>
      <c r="AF138" s="1053" t="n">
        <v>332</v>
      </c>
      <c r="AG138" s="1053" t="n">
        <v>333</v>
      </c>
      <c r="AH138" s="1053" t="n">
        <v>419</v>
      </c>
      <c r="AI138" s="68">
        <f>AJ138-SUM(AF138,AG138,AH138)</f>
        <v/>
      </c>
      <c r="AJ138" s="1111" t="n">
        <v>1534</v>
      </c>
      <c r="AK138" s="1053" t="n">
        <v>442</v>
      </c>
      <c r="AL138" s="1053" t="n">
        <v>467</v>
      </c>
      <c r="AM138" s="1053" t="n">
        <v>407</v>
      </c>
      <c r="AN138" s="1053" t="n">
        <v>225</v>
      </c>
      <c r="AO138" s="1110">
        <f>SUM(AK138,AL138,AM138,AN138)</f>
        <v/>
      </c>
      <c r="AP138" s="1053" t="n">
        <v>198</v>
      </c>
      <c r="AQ138" s="1053" t="n">
        <v>475</v>
      </c>
      <c r="AR138" s="1053" t="n">
        <v>449</v>
      </c>
      <c r="AS138" s="1053" t="n">
        <v>331</v>
      </c>
      <c r="AT138" s="1110">
        <f>SUM(AP138,AQ138,AR138,AS138)</f>
        <v/>
      </c>
      <c r="AU138" s="68" t="n"/>
      <c r="AV138" s="68" t="n"/>
      <c r="AW138" s="68" t="n"/>
      <c r="AX138" s="68" t="n"/>
      <c r="AY138" s="1110" t="n"/>
      <c r="AZ138" s="68" t="n"/>
      <c r="BA138" s="68" t="n"/>
      <c r="BB138" s="68" t="n"/>
      <c r="BC138" s="68" t="n"/>
      <c r="BD138" s="1110" t="n"/>
      <c r="BE138" s="68" t="n"/>
      <c r="BF138" s="68" t="n"/>
      <c r="BG138" s="68" t="n"/>
      <c r="BH138" s="68" t="n"/>
      <c r="BI138" s="1110" t="n"/>
      <c r="BJ138" s="68" t="n"/>
      <c r="BK138" s="68" t="n"/>
      <c r="BL138" s="68" t="n"/>
      <c r="BM138" s="68" t="n"/>
      <c r="BN138" s="1110" t="n"/>
      <c r="BO138" s="68" t="n"/>
      <c r="BP138" s="68" t="n"/>
      <c r="BQ138" s="68" t="n"/>
      <c r="BR138" s="68" t="n"/>
      <c r="BS138" s="1110" t="n"/>
      <c r="BT138" s="68" t="n"/>
      <c r="BU138" s="68" t="n"/>
      <c r="BV138" s="588" t="n"/>
      <c r="BW138" s="68" t="n"/>
      <c r="BX138" s="1110" t="n"/>
      <c r="BY138" s="68" t="n"/>
      <c r="BZ138" s="68" t="n"/>
      <c r="CA138" s="68" t="n"/>
      <c r="CB138" s="68" t="n"/>
      <c r="CC138" s="1110" t="n"/>
      <c r="CD138" s="1110" t="n"/>
      <c r="CE138" s="1110" t="n"/>
      <c r="CF138" s="1110" t="n"/>
      <c r="CG138" s="155" t="n"/>
    </row>
    <row r="139" hidden="1" outlineLevel="1">
      <c r="A139" s="67" t="inlineStr">
        <is>
          <t>All Other Revenue, mm</t>
        </is>
      </c>
      <c r="B139" s="602" t="n"/>
      <c r="C139" s="1110" t="n"/>
      <c r="D139" s="1110" t="n"/>
      <c r="E139" s="1111" t="n">
        <v>0</v>
      </c>
      <c r="F139" s="1111" t="n">
        <v>220</v>
      </c>
      <c r="G139" s="1053" t="n">
        <v>66</v>
      </c>
      <c r="H139" s="1053" t="n">
        <v>66</v>
      </c>
      <c r="I139" s="1053" t="n">
        <v>66</v>
      </c>
      <c r="J139" s="27">
        <f>K139-SUM(G139,H139,I139)</f>
        <v/>
      </c>
      <c r="K139" s="1111" t="n">
        <v>264</v>
      </c>
      <c r="L139" s="1053" t="n">
        <v>66</v>
      </c>
      <c r="M139" s="1053" t="n">
        <v>66</v>
      </c>
      <c r="N139" s="1053" t="n">
        <v>66</v>
      </c>
      <c r="O139" s="27">
        <f>P139-SUM(L139,M139,N139)</f>
        <v/>
      </c>
      <c r="P139" s="1111" t="n">
        <v>264</v>
      </c>
      <c r="Q139" s="1053" t="n">
        <v>66</v>
      </c>
      <c r="R139" s="1053" t="n">
        <v>66</v>
      </c>
      <c r="S139" s="1053" t="n">
        <v>66</v>
      </c>
      <c r="T139" s="27">
        <f>U139-SUM(Q139,R139,S139)</f>
        <v/>
      </c>
      <c r="U139" s="1111" t="n">
        <v>264</v>
      </c>
      <c r="V139" s="1053" t="n">
        <v>66</v>
      </c>
      <c r="W139" s="1053" t="n">
        <v>66</v>
      </c>
      <c r="X139" s="1053" t="n">
        <v>66</v>
      </c>
      <c r="Y139" s="27">
        <f>Z139-SUM(V139,W139,X139)</f>
        <v/>
      </c>
      <c r="Z139" s="1111" t="n">
        <v>264</v>
      </c>
      <c r="AA139" s="1053" t="n">
        <v>66</v>
      </c>
      <c r="AB139" s="1053" t="n">
        <v>66</v>
      </c>
      <c r="AC139" s="1053" t="n">
        <v>66</v>
      </c>
      <c r="AD139" s="68">
        <f>AE139-SUM(AA139,AB139,AC139)</f>
        <v/>
      </c>
      <c r="AE139" s="1111" t="n">
        <v>264</v>
      </c>
      <c r="AF139" s="1053" t="n">
        <v>43</v>
      </c>
      <c r="AG139" s="68" t="n"/>
      <c r="AH139" s="68" t="n"/>
      <c r="AI139" s="68">
        <f>AJ139-SUM(AF139,AG139,AH139)</f>
        <v/>
      </c>
      <c r="AJ139" s="1111" t="n">
        <v>43</v>
      </c>
      <c r="AK139" s="68" t="n"/>
      <c r="AL139" s="68" t="n"/>
      <c r="AM139" s="68" t="n"/>
      <c r="AN139" s="68" t="n"/>
      <c r="AO139" s="1110">
        <f>SUM(AK139,AL139,AM139,AN139)</f>
        <v/>
      </c>
      <c r="AP139" s="68" t="n"/>
      <c r="AQ139" s="68" t="n"/>
      <c r="AR139" s="68" t="n"/>
      <c r="AS139" s="68" t="n"/>
      <c r="AT139" s="1110">
        <f>SUM(AP139,AQ139,AR139,AS139)</f>
        <v/>
      </c>
      <c r="AU139" s="68" t="n"/>
      <c r="AV139" s="68" t="n"/>
      <c r="AW139" s="68" t="n"/>
      <c r="AX139" s="68" t="n"/>
      <c r="AY139" s="1110" t="n"/>
      <c r="AZ139" s="68" t="n"/>
      <c r="BA139" s="68" t="n"/>
      <c r="BB139" s="68" t="n"/>
      <c r="BC139" s="68" t="n"/>
      <c r="BD139" s="1110" t="n"/>
      <c r="BE139" s="68" t="n"/>
      <c r="BF139" s="68" t="n"/>
      <c r="BG139" s="68" t="n"/>
      <c r="BH139" s="68" t="n"/>
      <c r="BI139" s="1110" t="n"/>
      <c r="BJ139" s="68" t="n"/>
      <c r="BK139" s="68" t="n"/>
      <c r="BL139" s="68" t="n"/>
      <c r="BM139" s="68" t="n"/>
      <c r="BN139" s="1110" t="n"/>
      <c r="BO139" s="68" t="n"/>
      <c r="BP139" s="68" t="n"/>
      <c r="BQ139" s="68" t="n"/>
      <c r="BR139" s="68" t="n"/>
      <c r="BS139" s="1110" t="n"/>
      <c r="BT139" s="68" t="n"/>
      <c r="BU139" s="68" t="n"/>
      <c r="BV139" s="588" t="n"/>
      <c r="BW139" s="68" t="n"/>
      <c r="BX139" s="1110" t="n"/>
      <c r="BY139" s="68" t="n"/>
      <c r="BZ139" s="68" t="n"/>
      <c r="CA139" s="68" t="n"/>
      <c r="CB139" s="68" t="n"/>
      <c r="CC139" s="1110" t="n"/>
      <c r="CD139" s="1110" t="n"/>
      <c r="CE139" s="1110" t="n"/>
      <c r="CF139" s="1110" t="n"/>
      <c r="CG139" s="155" t="n"/>
    </row>
    <row r="140" hidden="1" outlineLevel="1">
      <c r="A140" s="59" t="inlineStr">
        <is>
          <t>Total Revenue, mm</t>
        </is>
      </c>
      <c r="B140" s="604" t="n"/>
      <c r="C140" s="1123">
        <f>SUM(C137:C139)</f>
        <v/>
      </c>
      <c r="D140" s="1123">
        <f>SUM(D137:D139)</f>
        <v/>
      </c>
      <c r="E140" s="1123">
        <f>SUM(E137:E139)</f>
        <v/>
      </c>
      <c r="F140" s="1123">
        <f>SUM(F137:F139)</f>
        <v/>
      </c>
      <c r="G140" s="60">
        <f>SUM(G137:G139)</f>
        <v/>
      </c>
      <c r="H140" s="60">
        <f>SUM(H137:H139)</f>
        <v/>
      </c>
      <c r="I140" s="60">
        <f>SUM(I137:I139)</f>
        <v/>
      </c>
      <c r="J140" s="60">
        <f>SUM(J137:J139)</f>
        <v/>
      </c>
      <c r="K140" s="1123">
        <f>SUM(K137:K139)</f>
        <v/>
      </c>
      <c r="L140" s="60">
        <f>SUM(L137:L139)</f>
        <v/>
      </c>
      <c r="M140" s="60">
        <f>SUM(M137:M139)</f>
        <v/>
      </c>
      <c r="N140" s="60">
        <f>SUM(N137:N139)</f>
        <v/>
      </c>
      <c r="O140" s="60">
        <f>SUM(O137:O139)</f>
        <v/>
      </c>
      <c r="P140" s="1123">
        <f>SUM(P137:P139)</f>
        <v/>
      </c>
      <c r="Q140" s="60">
        <f>SUM(Q137:Q139)</f>
        <v/>
      </c>
      <c r="R140" s="60">
        <f>SUM(R137:R139)</f>
        <v/>
      </c>
      <c r="S140" s="60">
        <f>SUM(S137:S139)</f>
        <v/>
      </c>
      <c r="T140" s="60">
        <f>SUM(T137:T139)</f>
        <v/>
      </c>
      <c r="U140" s="1123">
        <f>SUM(U137:U139)</f>
        <v/>
      </c>
      <c r="V140" s="60">
        <f>SUM(V137:V139)</f>
        <v/>
      </c>
      <c r="W140" s="60">
        <f>SUM(W137:W139)</f>
        <v/>
      </c>
      <c r="X140" s="60">
        <f>SUM(X137:X139)</f>
        <v/>
      </c>
      <c r="Y140" s="60">
        <f>SUM(Y137:Y139)</f>
        <v/>
      </c>
      <c r="Z140" s="1123">
        <f>SUM(Z137:Z139)</f>
        <v/>
      </c>
      <c r="AA140" s="60">
        <f>SUM(AA137:AA139)</f>
        <v/>
      </c>
      <c r="AB140" s="60">
        <f>SUM(AB137:AB139)</f>
        <v/>
      </c>
      <c r="AC140" s="61">
        <f>SUM(AC137:AC139)</f>
        <v/>
      </c>
      <c r="AD140" s="61">
        <f>SUM(AD137:AD139)</f>
        <v/>
      </c>
      <c r="AE140" s="1122">
        <f>SUM(AE137:AE139)</f>
        <v/>
      </c>
      <c r="AF140" s="61">
        <f>SUM(AF137:AF139)</f>
        <v/>
      </c>
      <c r="AG140" s="60">
        <f>SUM(AG137:AG139)</f>
        <v/>
      </c>
      <c r="AH140" s="60">
        <f>SUM(AH137:AH139)</f>
        <v/>
      </c>
      <c r="AI140" s="61">
        <f>SUM(AI137:AI139)</f>
        <v/>
      </c>
      <c r="AJ140" s="1122">
        <f>SUM(AJ137:AJ139)</f>
        <v/>
      </c>
      <c r="AK140" s="60">
        <f>SUM(AK137:AK139)</f>
        <v/>
      </c>
      <c r="AL140" s="60">
        <f>SUM(AL137:AL139)</f>
        <v/>
      </c>
      <c r="AM140" s="60">
        <f>SUM(AM137:AM139)</f>
        <v/>
      </c>
      <c r="AN140" s="61">
        <f>SUM(AN137:AN139)</f>
        <v/>
      </c>
      <c r="AO140" s="1122">
        <f>SUM(AO137:AO139)</f>
        <v/>
      </c>
      <c r="AP140" s="60">
        <f>SUM(AP137:AP139)</f>
        <v/>
      </c>
      <c r="AQ140" s="60">
        <f>SUM(AQ137:AQ139)</f>
        <v/>
      </c>
      <c r="AR140" s="60">
        <f>SUM(AR137:AR139)</f>
        <v/>
      </c>
      <c r="AS140" s="61">
        <f>SUM(AS137:AS139)</f>
        <v/>
      </c>
      <c r="AT140" s="1122">
        <f>SUM(AT137:AT139)</f>
        <v/>
      </c>
      <c r="AU140" s="61" t="n"/>
      <c r="AV140" s="61" t="n"/>
      <c r="AW140" s="61" t="n"/>
      <c r="AX140" s="61" t="n"/>
      <c r="AY140" s="1122" t="n"/>
      <c r="AZ140" s="61" t="n"/>
      <c r="BA140" s="61" t="n"/>
      <c r="BB140" s="61" t="n"/>
      <c r="BC140" s="61" t="n"/>
      <c r="BD140" s="1122" t="n"/>
      <c r="BE140" s="61" t="n"/>
      <c r="BF140" s="61" t="n"/>
      <c r="BG140" s="61" t="n"/>
      <c r="BH140" s="61" t="n"/>
      <c r="BI140" s="1122" t="n"/>
      <c r="BJ140" s="61" t="n"/>
      <c r="BK140" s="61" t="n"/>
      <c r="BL140" s="61" t="n"/>
      <c r="BM140" s="61" t="n"/>
      <c r="BN140" s="1122" t="n"/>
      <c r="BO140" s="61" t="n"/>
      <c r="BP140" s="61" t="n"/>
      <c r="BQ140" s="61" t="n"/>
      <c r="BR140" s="61" t="n"/>
      <c r="BS140" s="1122" t="n"/>
      <c r="BT140" s="61" t="n"/>
      <c r="BU140" s="61" t="n"/>
      <c r="BV140" s="884" t="n"/>
      <c r="BW140" s="61" t="n"/>
      <c r="BX140" s="1122" t="n"/>
      <c r="BY140" s="61" t="n"/>
      <c r="BZ140" s="61" t="n"/>
      <c r="CA140" s="61" t="n"/>
      <c r="CB140" s="61" t="n"/>
      <c r="CC140" s="1122" t="n"/>
      <c r="CD140" s="1122" t="n"/>
      <c r="CE140" s="1122" t="n"/>
      <c r="CF140" s="1122" t="n"/>
      <c r="CG140" s="155" t="n"/>
    </row>
    <row r="141" hidden="1" outlineLevel="1">
      <c r="A141" s="600" t="n"/>
      <c r="B141" s="633" t="n"/>
      <c r="C141" s="1125" t="n"/>
      <c r="D141" s="1125" t="n"/>
      <c r="E141" s="1125" t="n"/>
      <c r="F141" s="1125" t="n"/>
      <c r="G141" s="63" t="n"/>
      <c r="H141" s="63" t="n"/>
      <c r="I141" s="63" t="n"/>
      <c r="J141" s="63" t="n"/>
      <c r="K141" s="1125" t="n"/>
      <c r="L141" s="63" t="n"/>
      <c r="M141" s="63" t="n"/>
      <c r="N141" s="63" t="n"/>
      <c r="O141" s="63" t="n"/>
      <c r="P141" s="1125" t="n"/>
      <c r="Q141" s="63" t="n"/>
      <c r="R141" s="63" t="n"/>
      <c r="S141" s="63" t="n"/>
      <c r="T141" s="63" t="n"/>
      <c r="U141" s="1125" t="n"/>
      <c r="V141" s="63" t="n"/>
      <c r="W141" s="63" t="n"/>
      <c r="X141" s="63" t="n"/>
      <c r="Y141" s="63" t="n"/>
      <c r="Z141" s="1125" t="n"/>
      <c r="AA141" s="63" t="n"/>
      <c r="AB141" s="63" t="n"/>
      <c r="AC141" s="63" t="n"/>
      <c r="AD141" s="63" t="n"/>
      <c r="AE141" s="1125" t="n"/>
      <c r="AF141" s="63" t="n"/>
      <c r="AG141" s="63" t="n"/>
      <c r="AH141" s="63" t="n"/>
      <c r="AI141" s="63" t="n"/>
      <c r="AJ141" s="1125" t="n"/>
      <c r="AK141" s="63" t="n"/>
      <c r="AL141" s="63" t="n"/>
      <c r="AM141" s="63" t="n"/>
      <c r="AN141" s="63" t="n"/>
      <c r="AO141" s="1125" t="n"/>
      <c r="AP141" s="63" t="n"/>
      <c r="AQ141" s="63" t="n"/>
      <c r="AR141" s="63" t="n"/>
      <c r="AS141" s="63" t="n"/>
      <c r="AT141" s="1125" t="n"/>
      <c r="AU141" s="63" t="n"/>
      <c r="AV141" s="63" t="n"/>
      <c r="AW141" s="63" t="n"/>
      <c r="AX141" s="63" t="n"/>
      <c r="AY141" s="1125" t="n"/>
      <c r="AZ141" s="63" t="n"/>
      <c r="BA141" s="63" t="n"/>
      <c r="BB141" s="63" t="n"/>
      <c r="BC141" s="63" t="n"/>
      <c r="BD141" s="1125" t="n"/>
      <c r="BE141" s="63" t="n"/>
      <c r="BF141" s="63" t="n"/>
      <c r="BG141" s="63" t="n"/>
      <c r="BH141" s="63" t="n"/>
      <c r="BI141" s="1125" t="n"/>
      <c r="BJ141" s="63" t="n"/>
      <c r="BK141" s="63" t="n"/>
      <c r="BL141" s="63" t="n"/>
      <c r="BM141" s="63" t="n"/>
      <c r="BN141" s="1125" t="n"/>
      <c r="BO141" s="63" t="n"/>
      <c r="BP141" s="63" t="n"/>
      <c r="BQ141" s="63" t="n"/>
      <c r="BR141" s="63" t="n"/>
      <c r="BS141" s="1125" t="n"/>
      <c r="BT141" s="63" t="n"/>
      <c r="BU141" s="63" t="n"/>
      <c r="BV141" s="587" t="n"/>
      <c r="BW141" s="63" t="n"/>
      <c r="BX141" s="1125" t="n"/>
      <c r="BY141" s="63" t="n"/>
      <c r="BZ141" s="63" t="n"/>
      <c r="CA141" s="63" t="n"/>
      <c r="CB141" s="63" t="n"/>
      <c r="CC141" s="1125" t="n"/>
      <c r="CD141" s="1125" t="n"/>
      <c r="CE141" s="1125" t="n"/>
      <c r="CF141" s="1125" t="n"/>
      <c r="CG141" s="155" t="n"/>
    </row>
    <row r="142" hidden="1" outlineLevel="1">
      <c r="A142" s="45" t="inlineStr">
        <is>
          <t>Segmented Results - Operating Income Breakdown (FS)</t>
        </is>
      </c>
      <c r="B142" s="45" t="n"/>
      <c r="C142" s="45" t="n"/>
      <c r="D142" s="45" t="n"/>
      <c r="E142" s="45" t="n"/>
      <c r="F142" s="45" t="n"/>
      <c r="G142" s="45" t="n"/>
      <c r="H142" s="45" t="n"/>
      <c r="I142" s="45" t="n"/>
      <c r="J142" s="45" t="n"/>
      <c r="K142" s="45" t="n"/>
      <c r="L142" s="45" t="n"/>
      <c r="M142" s="45" t="n"/>
      <c r="N142" s="45" t="n"/>
      <c r="O142" s="45" t="n"/>
      <c r="P142" s="45" t="n"/>
      <c r="Q142" s="45" t="n"/>
      <c r="R142" s="45" t="n"/>
      <c r="S142" s="45" t="n"/>
      <c r="T142" s="45" t="n"/>
      <c r="U142" s="45" t="n"/>
      <c r="V142" s="45" t="n"/>
      <c r="W142" s="45" t="n"/>
      <c r="X142" s="45" t="n"/>
      <c r="Y142" s="45" t="n"/>
      <c r="Z142" s="45" t="n"/>
      <c r="AA142" s="45" t="n"/>
      <c r="AB142" s="45" t="n"/>
      <c r="AC142" s="45" t="n"/>
      <c r="AD142" s="45" t="n"/>
      <c r="AE142" s="45" t="n"/>
      <c r="AF142" s="45" t="n"/>
      <c r="AG142" s="45" t="n"/>
      <c r="AH142" s="45" t="n"/>
      <c r="AI142" s="45" t="n"/>
      <c r="AJ142" s="45" t="n"/>
      <c r="AK142" s="45" t="n"/>
      <c r="AL142" s="45" t="n"/>
      <c r="AM142" s="45" t="n"/>
      <c r="AN142" s="45" t="n"/>
      <c r="AO142" s="45" t="n"/>
      <c r="AP142" s="45" t="n"/>
      <c r="AQ142" s="45" t="n"/>
      <c r="AR142" s="45" t="n"/>
      <c r="AS142" s="45" t="n"/>
      <c r="AT142" s="45" t="n"/>
      <c r="AU142" s="45" t="n"/>
      <c r="AV142" s="45" t="n"/>
      <c r="AW142" s="45" t="n"/>
      <c r="AX142" s="45" t="n"/>
      <c r="AY142" s="45" t="n"/>
      <c r="AZ142" s="45" t="n"/>
      <c r="BA142" s="45" t="n"/>
      <c r="BB142" s="45" t="n"/>
      <c r="BC142" s="45" t="n"/>
      <c r="BD142" s="45" t="n"/>
      <c r="BE142" s="45" t="n"/>
      <c r="BF142" s="45" t="n"/>
      <c r="BG142" s="45" t="n"/>
      <c r="BH142" s="45" t="n"/>
      <c r="BI142" s="45" t="n"/>
      <c r="BJ142" s="45" t="n"/>
      <c r="BK142" s="45" t="n"/>
      <c r="BL142" s="45" t="n"/>
      <c r="BM142" s="45" t="n"/>
      <c r="BN142" s="45" t="n"/>
      <c r="BO142" s="45" t="n"/>
      <c r="BP142" s="45" t="n"/>
      <c r="BQ142" s="45" t="n"/>
      <c r="BR142" s="45" t="n"/>
      <c r="BS142" s="45" t="n"/>
      <c r="BT142" s="45" t="n"/>
      <c r="BU142" s="45" t="n"/>
      <c r="BV142" s="982" t="n"/>
      <c r="BW142" s="45" t="n"/>
      <c r="BX142" s="45" t="n"/>
      <c r="BY142" s="45" t="n"/>
      <c r="BZ142" s="45" t="n"/>
      <c r="CA142" s="45" t="n"/>
      <c r="CB142" s="45" t="n"/>
      <c r="CC142" s="45" t="n"/>
      <c r="CD142" s="45" t="n"/>
      <c r="CE142" s="45" t="n"/>
      <c r="CF142" s="45" t="n"/>
      <c r="CG142" s="155" t="n"/>
    </row>
    <row r="143" hidden="1" outlineLevel="1">
      <c r="A143" s="99" t="inlineStr">
        <is>
          <t>Graphics Operating Income (loss), mm</t>
        </is>
      </c>
      <c r="B143" s="602" t="n"/>
      <c r="C143" s="1110" t="n"/>
      <c r="D143" s="1110" t="n"/>
      <c r="E143" s="1110" t="n"/>
      <c r="F143" s="1110" t="n"/>
      <c r="G143" s="68" t="n"/>
      <c r="H143" s="68" t="n"/>
      <c r="I143" s="68" t="n"/>
      <c r="J143" s="68" t="n"/>
      <c r="K143" s="1110" t="n"/>
      <c r="L143" s="68" t="n"/>
      <c r="M143" s="68" t="n"/>
      <c r="N143" s="68" t="n"/>
      <c r="O143" s="68" t="n"/>
      <c r="P143" s="1110" t="n"/>
      <c r="Q143" s="68" t="n"/>
      <c r="R143" s="68" t="n"/>
      <c r="S143" s="68" t="n"/>
      <c r="T143" s="68" t="n"/>
      <c r="U143" s="1110" t="n"/>
      <c r="V143" s="68" t="n"/>
      <c r="W143" s="68" t="n"/>
      <c r="X143" s="68" t="n"/>
      <c r="Y143" s="68" t="n"/>
      <c r="Z143" s="1110" t="n"/>
      <c r="AA143" s="68" t="n"/>
      <c r="AB143" s="68" t="n"/>
      <c r="AC143" s="68" t="n"/>
      <c r="AD143" s="68" t="n"/>
      <c r="AE143" s="1110" t="n"/>
      <c r="AF143" s="68" t="n"/>
      <c r="AG143" s="68" t="n"/>
      <c r="AH143" s="68" t="n"/>
      <c r="AI143" s="68" t="n"/>
      <c r="AJ143" s="1110" t="n"/>
      <c r="AK143" s="68" t="n"/>
      <c r="AL143" s="68" t="n"/>
      <c r="AM143" s="68" t="n"/>
      <c r="AN143" s="68" t="n"/>
      <c r="AO143" s="1110" t="n"/>
      <c r="AP143" s="1053" t="n">
        <v>532</v>
      </c>
      <c r="AQ143" s="1053" t="n">
        <v>707</v>
      </c>
      <c r="AR143" s="1053" t="n">
        <v>1068</v>
      </c>
      <c r="AS143" s="68">
        <f>AT143-SUM(AP143,AQ143,AR143)</f>
        <v/>
      </c>
      <c r="AT143" s="1111" t="n">
        <v>3267</v>
      </c>
      <c r="AU143" s="1053" t="n">
        <v>836</v>
      </c>
      <c r="AV143" s="1053" t="n">
        <v>911</v>
      </c>
      <c r="AW143" s="1053" t="n">
        <v>1345</v>
      </c>
      <c r="AX143" s="68">
        <f>AY143-SUM(AU143,AV143,AW143)</f>
        <v/>
      </c>
      <c r="AY143" s="1111" t="n">
        <v>4612</v>
      </c>
      <c r="AZ143" s="1053" t="n">
        <v>1786</v>
      </c>
      <c r="BA143" s="1053" t="n">
        <v>2127</v>
      </c>
      <c r="BB143" s="1053" t="n">
        <v>2160</v>
      </c>
      <c r="BC143" s="68">
        <f>BD143-SUM(AZ143,BA143,BB143)</f>
        <v/>
      </c>
      <c r="BD143" s="1111" t="n">
        <v>8492</v>
      </c>
      <c r="BE143" s="1053" t="n">
        <v>2476</v>
      </c>
      <c r="BF143" s="1053" t="n">
        <v>657</v>
      </c>
      <c r="BG143" s="1053" t="n">
        <v>606</v>
      </c>
      <c r="BH143" s="68">
        <f>BI143-SUM(BE143,BF143,BG143)</f>
        <v/>
      </c>
      <c r="BI143" s="1111" t="n">
        <v>4552</v>
      </c>
      <c r="BJ143" s="1053" t="n">
        <v>1046</v>
      </c>
      <c r="BK143" s="1053" t="n">
        <v>1211</v>
      </c>
      <c r="BL143" s="1053" t="n">
        <v>1493</v>
      </c>
      <c r="BM143" s="68">
        <f>BN143-SUM(BJ143,BK143,BL143)</f>
        <v/>
      </c>
      <c r="BN143" s="1111" t="n">
        <v>5846</v>
      </c>
      <c r="BO143" s="1053" t="n">
        <v>1241</v>
      </c>
      <c r="BP143" s="1053" t="n">
        <v>1369</v>
      </c>
      <c r="BQ143" s="1053" t="n">
        <v>1502</v>
      </c>
      <c r="BR143" s="68">
        <f>BS143-SUM(BO143,BP143,BQ143)</f>
        <v/>
      </c>
      <c r="BS143" s="1111" t="n">
        <v>5085</v>
      </c>
      <c r="BT143" s="1053" t="n">
        <v>1640</v>
      </c>
      <c r="BU143" s="1053" t="n">
        <v>2242</v>
      </c>
      <c r="BV143" s="1054" t="n">
        <v>2546</v>
      </c>
      <c r="BW143" s="68" t="n"/>
      <c r="BX143" s="1110" t="n"/>
      <c r="BY143" s="68" t="n"/>
      <c r="BZ143" s="68" t="n"/>
      <c r="CA143" s="68" t="n"/>
      <c r="CB143" s="68" t="n"/>
      <c r="CC143" s="1110" t="n"/>
      <c r="CD143" s="1110" t="n"/>
      <c r="CE143" s="1110" t="n"/>
      <c r="CF143" s="1110" t="n"/>
      <c r="CG143" s="155" t="n"/>
    </row>
    <row r="144" hidden="1" outlineLevel="1">
      <c r="A144" s="99" t="inlineStr">
        <is>
          <t>Compute &amp; Networking Operating Income (loss), mm</t>
        </is>
      </c>
      <c r="B144" s="602" t="n"/>
      <c r="C144" s="1110" t="n"/>
      <c r="D144" s="1110" t="n"/>
      <c r="E144" s="1110" t="n"/>
      <c r="F144" s="1110" t="n"/>
      <c r="G144" s="68" t="n"/>
      <c r="H144" s="68" t="n"/>
      <c r="I144" s="68" t="n"/>
      <c r="J144" s="68" t="n"/>
      <c r="K144" s="1110" t="n"/>
      <c r="L144" s="68" t="n"/>
      <c r="M144" s="68" t="n"/>
      <c r="N144" s="68" t="n"/>
      <c r="O144" s="68" t="n"/>
      <c r="P144" s="1110" t="n"/>
      <c r="Q144" s="68" t="n"/>
      <c r="R144" s="68" t="n"/>
      <c r="S144" s="68" t="n"/>
      <c r="T144" s="68" t="n"/>
      <c r="U144" s="1110" t="n"/>
      <c r="V144" s="68" t="n"/>
      <c r="W144" s="68" t="n"/>
      <c r="X144" s="68" t="n"/>
      <c r="Y144" s="68" t="n"/>
      <c r="Z144" s="1110" t="n"/>
      <c r="AA144" s="68" t="n"/>
      <c r="AB144" s="68" t="n"/>
      <c r="AC144" s="68" t="n"/>
      <c r="AD144" s="68" t="n"/>
      <c r="AE144" s="1110" t="n"/>
      <c r="AF144" s="68" t="n"/>
      <c r="AG144" s="68" t="n"/>
      <c r="AH144" s="68" t="n"/>
      <c r="AI144" s="68" t="n"/>
      <c r="AJ144" s="1110" t="n"/>
      <c r="AK144" s="68" t="n"/>
      <c r="AL144" s="68" t="n"/>
      <c r="AM144" s="68" t="n"/>
      <c r="AN144" s="68" t="n"/>
      <c r="AO144" s="1110" t="n"/>
      <c r="AP144" s="1053" t="n">
        <v>95</v>
      </c>
      <c r="AQ144" s="1053" t="n">
        <v>164</v>
      </c>
      <c r="AR144" s="1053" t="n">
        <v>158</v>
      </c>
      <c r="AS144" s="68">
        <f>AT144-SUM(AP144,AQ144,AR144)</f>
        <v/>
      </c>
      <c r="AT144" s="1111" t="n">
        <v>751</v>
      </c>
      <c r="AU144" s="1053" t="n">
        <v>451</v>
      </c>
      <c r="AV144" s="1053" t="n">
        <v>691</v>
      </c>
      <c r="AW144" s="1053" t="n">
        <v>738</v>
      </c>
      <c r="AX144" s="68">
        <f>AY144-SUM(AU144,AV144,AW144)</f>
        <v/>
      </c>
      <c r="AY144" s="1111" t="n">
        <v>2548</v>
      </c>
      <c r="AZ144" s="1053" t="n">
        <v>861</v>
      </c>
      <c r="BA144" s="1053" t="n">
        <v>1034</v>
      </c>
      <c r="BB144" s="1053" t="n">
        <v>1332</v>
      </c>
      <c r="BC144" s="68">
        <f>BD144-SUM(AZ144,BA144,BB144)</f>
        <v/>
      </c>
      <c r="BD144" s="1111" t="n">
        <v>4598</v>
      </c>
      <c r="BE144" s="1053" t="n">
        <v>1606</v>
      </c>
      <c r="BF144" s="1053" t="n">
        <v>816</v>
      </c>
      <c r="BG144" s="1053" t="n">
        <v>1086</v>
      </c>
      <c r="BH144" s="68">
        <f>BI144-SUM(BE144,BF144,BG144)</f>
        <v/>
      </c>
      <c r="BI144" s="1111" t="n">
        <v>5083</v>
      </c>
      <c r="BJ144" s="1053" t="n">
        <v>2160</v>
      </c>
      <c r="BK144" s="1053" t="n">
        <v>6728</v>
      </c>
      <c r="BL144" s="1053" t="n">
        <v>10262</v>
      </c>
      <c r="BM144" s="68">
        <f>BN144-SUM(BJ144,BK144,BL144)</f>
        <v/>
      </c>
      <c r="BN144" s="1111" t="n">
        <v>32016</v>
      </c>
      <c r="BO144" s="1053" t="n">
        <v>17047</v>
      </c>
      <c r="BP144" s="1053" t="n">
        <v>18848</v>
      </c>
      <c r="BQ144" s="1053" t="n">
        <v>22081</v>
      </c>
      <c r="BR144" s="68">
        <f>BS144-SUM(BO144,BP144,BQ144)</f>
        <v/>
      </c>
      <c r="BS144" s="1111" t="n">
        <v>82875</v>
      </c>
      <c r="BT144" s="1053" t="n">
        <v>22054</v>
      </c>
      <c r="BU144" s="1053" t="n">
        <v>28363</v>
      </c>
      <c r="BV144" s="1054" t="n">
        <v>35721</v>
      </c>
      <c r="BW144" s="68" t="n"/>
      <c r="BX144" s="1110" t="n"/>
      <c r="BY144" s="68" t="n"/>
      <c r="BZ144" s="68" t="n"/>
      <c r="CA144" s="68" t="n"/>
      <c r="CB144" s="68" t="n"/>
      <c r="CC144" s="1110" t="n"/>
      <c r="CD144" s="1110" t="n"/>
      <c r="CE144" s="1110" t="n"/>
      <c r="CF144" s="1110" t="n"/>
      <c r="CG144" s="155" t="n"/>
    </row>
    <row r="145" hidden="1" outlineLevel="1">
      <c r="A145" s="572" t="inlineStr">
        <is>
          <t>Acquisition termination cost, mm</t>
        </is>
      </c>
      <c r="B145" s="602" t="n"/>
      <c r="C145" s="1110" t="n"/>
      <c r="D145" s="1110" t="n"/>
      <c r="E145" s="1110" t="n"/>
      <c r="F145" s="1110" t="n"/>
      <c r="G145" s="68" t="n"/>
      <c r="H145" s="68" t="n"/>
      <c r="I145" s="68" t="n"/>
      <c r="J145" s="68" t="n"/>
      <c r="K145" s="1110" t="n"/>
      <c r="L145" s="68" t="n"/>
      <c r="M145" s="68" t="n"/>
      <c r="N145" s="68" t="n"/>
      <c r="O145" s="68" t="n"/>
      <c r="P145" s="1110" t="n"/>
      <c r="Q145" s="68" t="n"/>
      <c r="R145" s="68" t="n"/>
      <c r="S145" s="68" t="n"/>
      <c r="T145" s="68" t="n"/>
      <c r="U145" s="1110" t="n"/>
      <c r="V145" s="68" t="n"/>
      <c r="W145" s="68" t="n"/>
      <c r="X145" s="68" t="n"/>
      <c r="Y145" s="68" t="n"/>
      <c r="Z145" s="1110" t="n"/>
      <c r="AA145" s="68" t="n"/>
      <c r="AB145" s="68" t="n"/>
      <c r="AC145" s="68" t="n"/>
      <c r="AD145" s="68" t="n"/>
      <c r="AE145" s="1110" t="n"/>
      <c r="AF145" s="68" t="n"/>
      <c r="AG145" s="68" t="n"/>
      <c r="AH145" s="68" t="n"/>
      <c r="AI145" s="68" t="n"/>
      <c r="AJ145" s="1110" t="n"/>
      <c r="AK145" s="68" t="n"/>
      <c r="AL145" s="68" t="n"/>
      <c r="AM145" s="68" t="n"/>
      <c r="AN145" s="68" t="n"/>
      <c r="AO145" s="1110" t="n"/>
      <c r="AP145" s="68" t="n"/>
      <c r="AQ145" s="68" t="n"/>
      <c r="AR145" s="68" t="n"/>
      <c r="AS145" s="68" t="n"/>
      <c r="AT145" s="1110" t="n"/>
      <c r="AU145" s="68" t="n"/>
      <c r="AV145" s="68" t="n"/>
      <c r="AW145" s="68" t="n"/>
      <c r="AX145" s="68" t="n"/>
      <c r="AY145" s="1110" t="n"/>
      <c r="AZ145" s="68" t="n"/>
      <c r="BA145" s="68" t="n"/>
      <c r="BB145" s="68" t="n"/>
      <c r="BC145" s="68" t="n"/>
      <c r="BD145" s="1110" t="n"/>
      <c r="BE145" s="1053" t="n">
        <v>-1353</v>
      </c>
      <c r="BF145" s="68" t="n"/>
      <c r="BG145" s="68" t="n"/>
      <c r="BH145" s="68">
        <f>BI145-SUM(BE145,BF145,BG145)</f>
        <v/>
      </c>
      <c r="BI145" s="1111" t="n">
        <v>-1353</v>
      </c>
      <c r="BJ145" s="1053" t="n">
        <v>0</v>
      </c>
      <c r="BK145" s="68" t="n"/>
      <c r="BL145" s="68" t="n"/>
      <c r="BM145" s="68">
        <f>BN145-SUM(BJ145,BK145,BL145)</f>
        <v/>
      </c>
      <c r="BN145" s="1110" t="n"/>
      <c r="BO145" s="68" t="n"/>
      <c r="BP145" s="68" t="n"/>
      <c r="BQ145" s="68" t="n"/>
      <c r="BR145" s="68" t="n"/>
      <c r="BS145" s="1110" t="n"/>
      <c r="BT145" s="68" t="n"/>
      <c r="BU145" s="68" t="n"/>
      <c r="BV145" s="588" t="n"/>
      <c r="BW145" s="68" t="n"/>
      <c r="BX145" s="1110" t="n"/>
      <c r="BY145" s="68" t="n"/>
      <c r="BZ145" s="68" t="n"/>
      <c r="CA145" s="68" t="n"/>
      <c r="CB145" s="68" t="n"/>
      <c r="CC145" s="1110" t="n"/>
      <c r="CD145" s="1110" t="n"/>
      <c r="CE145" s="1110" t="n"/>
      <c r="CF145" s="1110" t="n"/>
      <c r="CG145" s="155" t="n"/>
    </row>
    <row r="146" hidden="1" outlineLevel="1">
      <c r="A146" s="572" t="inlineStr">
        <is>
          <t>Stock-based compensation expense, mm</t>
        </is>
      </c>
      <c r="B146" s="602" t="n"/>
      <c r="C146" s="1110" t="n"/>
      <c r="D146" s="1110" t="n"/>
      <c r="E146" s="1110" t="n"/>
      <c r="F146" s="1110" t="n"/>
      <c r="G146" s="68" t="n"/>
      <c r="H146" s="68" t="n"/>
      <c r="I146" s="68" t="n"/>
      <c r="J146" s="68" t="n"/>
      <c r="K146" s="1110" t="n"/>
      <c r="L146" s="68" t="n"/>
      <c r="M146" s="68" t="n"/>
      <c r="N146" s="68" t="n"/>
      <c r="O146" s="68" t="n"/>
      <c r="P146" s="1110" t="n"/>
      <c r="Q146" s="68" t="n"/>
      <c r="R146" s="68" t="n"/>
      <c r="S146" s="68" t="n"/>
      <c r="T146" s="68" t="n"/>
      <c r="U146" s="1110" t="n"/>
      <c r="V146" s="68" t="n"/>
      <c r="W146" s="68" t="n"/>
      <c r="X146" s="68" t="n"/>
      <c r="Y146" s="68" t="n"/>
      <c r="Z146" s="1110" t="n"/>
      <c r="AA146" s="68" t="n"/>
      <c r="AB146" s="68" t="n"/>
      <c r="AC146" s="68" t="n"/>
      <c r="AD146" s="68" t="n"/>
      <c r="AE146" s="1110" t="n"/>
      <c r="AF146" s="68" t="n"/>
      <c r="AG146" s="68" t="n"/>
      <c r="AH146" s="68" t="n"/>
      <c r="AI146" s="68" t="n"/>
      <c r="AJ146" s="1110" t="n"/>
      <c r="AK146" s="68" t="n"/>
      <c r="AL146" s="68" t="n"/>
      <c r="AM146" s="68" t="n"/>
      <c r="AN146" s="68" t="n"/>
      <c r="AO146" s="1110" t="n"/>
      <c r="AP146" s="1053" t="n">
        <v>-178</v>
      </c>
      <c r="AQ146" s="1053" t="n">
        <v>-224</v>
      </c>
      <c r="AR146" s="1053" t="n">
        <v>-223</v>
      </c>
      <c r="AS146" s="68">
        <f>AT146-SUM(AP146,AQ146,AR146)</f>
        <v/>
      </c>
      <c r="AT146" s="1111" t="n">
        <v>-844</v>
      </c>
      <c r="AU146" s="1053" t="n">
        <v>-224</v>
      </c>
      <c r="AV146" s="1053" t="n">
        <v>-374</v>
      </c>
      <c r="AW146" s="1053" t="n">
        <v>-383</v>
      </c>
      <c r="AX146" s="68">
        <f>AY146-SUM(AU146,AV146,AW146)</f>
        <v/>
      </c>
      <c r="AY146" s="1111" t="n">
        <v>-1397</v>
      </c>
      <c r="AZ146" s="1053" t="n">
        <v>-429</v>
      </c>
      <c r="BA146" s="1053" t="n">
        <v>-465</v>
      </c>
      <c r="BB146" s="1053" t="n">
        <v>-559</v>
      </c>
      <c r="BC146" s="68">
        <f>BD146-SUM(AZ146,BA146,BB146)</f>
        <v/>
      </c>
      <c r="BD146" s="1111" t="n">
        <v>-2004</v>
      </c>
      <c r="BE146" s="1053" t="n">
        <v>-578</v>
      </c>
      <c r="BF146" s="1053" t="n">
        <v>-649</v>
      </c>
      <c r="BG146" s="1053" t="n">
        <v>-745</v>
      </c>
      <c r="BH146" s="68">
        <f>BI146-SUM(BE146,BF146,BG146)</f>
        <v/>
      </c>
      <c r="BI146" s="1111" t="n">
        <v>-2710</v>
      </c>
      <c r="BJ146" s="1053" t="n">
        <v>-735</v>
      </c>
      <c r="BK146" s="1053" t="n">
        <v>-842</v>
      </c>
      <c r="BL146" s="1053" t="n">
        <v>-979</v>
      </c>
      <c r="BM146" s="68">
        <f>BN146-SUM(BJ146,BK146,BL146)</f>
        <v/>
      </c>
      <c r="BN146" s="1111" t="n">
        <v>-3549</v>
      </c>
      <c r="BO146" s="1053" t="n">
        <v>-1011</v>
      </c>
      <c r="BP146" s="1053" t="n">
        <v>-1154</v>
      </c>
      <c r="BQ146" s="1053" t="n">
        <v>-1252</v>
      </c>
      <c r="BR146" s="68">
        <f>BS146-SUM(BO146,BP146,BQ146)</f>
        <v/>
      </c>
      <c r="BS146" s="1111" t="n">
        <v>-4737</v>
      </c>
      <c r="BT146" s="1053" t="n">
        <v>-1474</v>
      </c>
      <c r="BU146" s="1053" t="n">
        <v>-1624</v>
      </c>
      <c r="BV146" s="1054" t="n">
        <v>-1655</v>
      </c>
      <c r="BW146" s="68" t="n"/>
      <c r="BX146" s="1110" t="n"/>
      <c r="BY146" s="68" t="n"/>
      <c r="BZ146" s="68" t="n"/>
      <c r="CA146" s="68" t="n"/>
      <c r="CB146" s="68" t="n"/>
      <c r="CC146" s="1110" t="n"/>
      <c r="CD146" s="1110" t="n"/>
      <c r="CE146" s="1110" t="n"/>
      <c r="CF146" s="1110" t="n"/>
      <c r="CG146" s="155" t="n"/>
    </row>
    <row r="147" hidden="1" outlineLevel="1">
      <c r="A147" s="572" t="inlineStr">
        <is>
          <t>Acquisition-related and other costs, mm</t>
        </is>
      </c>
      <c r="B147" s="602" t="n"/>
      <c r="C147" s="1110" t="n"/>
      <c r="D147" s="1110" t="n"/>
      <c r="E147" s="1110" t="n"/>
      <c r="F147" s="1110" t="n"/>
      <c r="G147" s="68" t="n"/>
      <c r="H147" s="68" t="n"/>
      <c r="I147" s="68" t="n"/>
      <c r="J147" s="68" t="n"/>
      <c r="K147" s="1110" t="n"/>
      <c r="L147" s="68" t="n"/>
      <c r="M147" s="68" t="n"/>
      <c r="N147" s="68" t="n"/>
      <c r="O147" s="68" t="n"/>
      <c r="P147" s="1110" t="n"/>
      <c r="Q147" s="68" t="n"/>
      <c r="R147" s="68" t="n"/>
      <c r="S147" s="68" t="n"/>
      <c r="T147" s="68" t="n"/>
      <c r="U147" s="1110" t="n"/>
      <c r="V147" s="68" t="n"/>
      <c r="W147" s="68" t="n"/>
      <c r="X147" s="68" t="n"/>
      <c r="Y147" s="68" t="n"/>
      <c r="Z147" s="1110" t="n"/>
      <c r="AA147" s="68" t="n"/>
      <c r="AB147" s="68" t="n"/>
      <c r="AC147" s="68" t="n"/>
      <c r="AD147" s="68" t="n"/>
      <c r="AE147" s="1110" t="n"/>
      <c r="AF147" s="68" t="n"/>
      <c r="AG147" s="68" t="n"/>
      <c r="AH147" s="68" t="n"/>
      <c r="AI147" s="68" t="n"/>
      <c r="AJ147" s="1110" t="n"/>
      <c r="AK147" s="68" t="n"/>
      <c r="AL147" s="68" t="n"/>
      <c r="AM147" s="68" t="n"/>
      <c r="AN147" s="68" t="n"/>
      <c r="AO147" s="1110" t="n"/>
      <c r="AP147" s="1053" t="n">
        <v>-10</v>
      </c>
      <c r="AQ147" s="1053" t="n">
        <v>-5</v>
      </c>
      <c r="AR147" s="1053" t="n">
        <v>-7</v>
      </c>
      <c r="AS147" s="68">
        <f>AT147-SUM(AP147,AQ147,AR147)</f>
        <v/>
      </c>
      <c r="AT147" s="1111">
        <f>-6-25</f>
        <v/>
      </c>
      <c r="AU147" s="1053" t="n">
        <v>-5</v>
      </c>
      <c r="AV147" s="1053" t="n">
        <v>-474</v>
      </c>
      <c r="AW147" s="1053" t="n">
        <v>-192</v>
      </c>
      <c r="AX147" s="68">
        <f>AY147-SUM(AU147,AV147,AW147)</f>
        <v/>
      </c>
      <c r="AY147" s="1111">
        <f>-591-161-84</f>
        <v/>
      </c>
      <c r="AZ147" s="1053" t="n">
        <v>-167</v>
      </c>
      <c r="BA147" s="1053" t="n">
        <v>-158</v>
      </c>
      <c r="BB147" s="1053" t="n">
        <v>-156</v>
      </c>
      <c r="BC147" s="68">
        <f>BD147-SUM(AZ147,BA147,BB147)</f>
        <v/>
      </c>
      <c r="BD147" s="1111" t="n">
        <v>-636</v>
      </c>
      <c r="BE147" s="1053" t="n">
        <v>-149</v>
      </c>
      <c r="BF147" s="1053" t="n">
        <v>-175</v>
      </c>
      <c r="BG147" s="1053" t="n">
        <v>-174</v>
      </c>
      <c r="BH147" s="68">
        <f>BI147-SUM(BE147,BF147,BG147)</f>
        <v/>
      </c>
      <c r="BI147" s="1111" t="n">
        <v>-674</v>
      </c>
      <c r="BJ147" s="1053" t="n">
        <v>-173</v>
      </c>
      <c r="BK147" s="1053" t="n">
        <v>-137</v>
      </c>
      <c r="BL147" s="1053" t="n">
        <v>-135</v>
      </c>
      <c r="BM147" s="68">
        <f>BN147-SUM(BJ147,BK147,BL147)</f>
        <v/>
      </c>
      <c r="BN147" s="1111" t="n">
        <v>-583</v>
      </c>
      <c r="BO147" s="1053" t="n">
        <v>-140</v>
      </c>
      <c r="BP147" s="1053" t="n">
        <v>-144</v>
      </c>
      <c r="BQ147" s="1053" t="n">
        <v>-155</v>
      </c>
      <c r="BR147" s="68">
        <f>BS147-SUM(BO147,BP147,BQ147)</f>
        <v/>
      </c>
      <c r="BS147" s="1111" t="n">
        <v>-602</v>
      </c>
      <c r="BT147" s="1053" t="n">
        <v>-160</v>
      </c>
      <c r="BU147" s="1053" t="n">
        <v>-101</v>
      </c>
      <c r="BV147" s="1054" t="n">
        <v>-87</v>
      </c>
      <c r="BW147" s="68" t="n"/>
      <c r="BX147" s="1110" t="n"/>
      <c r="BY147" s="68" t="n"/>
      <c r="BZ147" s="68" t="n"/>
      <c r="CA147" s="68" t="n"/>
      <c r="CB147" s="68" t="n"/>
      <c r="CC147" s="1110" t="n"/>
      <c r="CD147" s="1110" t="n"/>
      <c r="CE147" s="1110" t="n"/>
      <c r="CF147" s="1110" t="n"/>
      <c r="CG147" s="155" t="n"/>
    </row>
    <row r="148" hidden="1" outlineLevel="1">
      <c r="A148" s="572" t="inlineStr">
        <is>
          <t>Unallocated cost of revenue and operating expenses, mm</t>
        </is>
      </c>
      <c r="B148" s="602" t="n"/>
      <c r="C148" s="1110" t="n"/>
      <c r="D148" s="1110" t="n"/>
      <c r="E148" s="1110" t="n"/>
      <c r="F148" s="1110" t="n"/>
      <c r="G148" s="68" t="n"/>
      <c r="H148" s="68" t="n"/>
      <c r="I148" s="68" t="n"/>
      <c r="J148" s="68" t="n"/>
      <c r="K148" s="1110" t="n"/>
      <c r="L148" s="68" t="n"/>
      <c r="M148" s="68" t="n"/>
      <c r="N148" s="68" t="n"/>
      <c r="O148" s="68" t="n"/>
      <c r="P148" s="1110" t="n"/>
      <c r="Q148" s="68" t="n"/>
      <c r="R148" s="68" t="n"/>
      <c r="S148" s="68" t="n"/>
      <c r="T148" s="68" t="n"/>
      <c r="U148" s="1110" t="n"/>
      <c r="V148" s="68" t="n"/>
      <c r="W148" s="68" t="n"/>
      <c r="X148" s="68" t="n"/>
      <c r="Y148" s="68" t="n"/>
      <c r="Z148" s="1110" t="n"/>
      <c r="AA148" s="68" t="n"/>
      <c r="AB148" s="68" t="n"/>
      <c r="AC148" s="68" t="n"/>
      <c r="AD148" s="68" t="n"/>
      <c r="AE148" s="1110" t="n"/>
      <c r="AF148" s="68" t="n"/>
      <c r="AG148" s="68" t="n"/>
      <c r="AH148" s="68" t="n"/>
      <c r="AI148" s="68" t="n"/>
      <c r="AJ148" s="1110" t="n"/>
      <c r="AK148" s="68" t="n"/>
      <c r="AL148" s="68" t="n"/>
      <c r="AM148" s="68" t="n"/>
      <c r="AN148" s="68" t="n"/>
      <c r="AO148" s="1110" t="n"/>
      <c r="AP148" s="1053" t="n">
        <v>-70</v>
      </c>
      <c r="AQ148" s="1053" t="n">
        <v>-69</v>
      </c>
      <c r="AR148" s="1053" t="n">
        <v>-69</v>
      </c>
      <c r="AS148" s="68">
        <f>AT148-SUM(AP148,AQ148,AR148)</f>
        <v/>
      </c>
      <c r="AT148" s="1111" t="n">
        <v>-283</v>
      </c>
      <c r="AU148" s="1053" t="n">
        <v>-82</v>
      </c>
      <c r="AV148" s="1053" t="n">
        <v>-86</v>
      </c>
      <c r="AW148" s="1053" t="n">
        <v>-89</v>
      </c>
      <c r="AX148" s="68">
        <f>AY148-SUM(AU148,AV148,AW148)</f>
        <v/>
      </c>
      <c r="AY148" s="1111" t="n">
        <v>-357</v>
      </c>
      <c r="AZ148" s="1053" t="n">
        <v>-90</v>
      </c>
      <c r="BA148" s="1053" t="n">
        <v>-90</v>
      </c>
      <c r="BB148" s="1053" t="n">
        <v>-106</v>
      </c>
      <c r="BC148" s="68">
        <f>BD148-SUM(AZ148,BA148,BB148)</f>
        <v/>
      </c>
      <c r="BD148" s="1111" t="n">
        <v>-399</v>
      </c>
      <c r="BE148" s="1053" t="n">
        <v>-127</v>
      </c>
      <c r="BF148" s="1053" t="n">
        <v>-148</v>
      </c>
      <c r="BG148" s="1053" t="n">
        <v>-156</v>
      </c>
      <c r="BH148" s="68">
        <f>BI148-SUM(BE148,BF148,BG148)</f>
        <v/>
      </c>
      <c r="BI148" s="1111" t="n">
        <v>-595</v>
      </c>
      <c r="BJ148" s="1053" t="n">
        <v>-154</v>
      </c>
      <c r="BK148" s="1053" t="n">
        <v>-163</v>
      </c>
      <c r="BL148" s="1053" t="n">
        <v>-198</v>
      </c>
      <c r="BM148" s="68">
        <f>BN148-SUM(BJ148,BK148,BL148)</f>
        <v/>
      </c>
      <c r="BN148" s="1111" t="n">
        <v>-728</v>
      </c>
      <c r="BO148" s="1053" t="n">
        <v>-229</v>
      </c>
      <c r="BP148" s="1053" t="n">
        <v>-280</v>
      </c>
      <c r="BQ148" s="1053" t="n">
        <v>-307</v>
      </c>
      <c r="BR148" s="68">
        <f>BS148-SUM(BO148,BP148,BQ148)</f>
        <v/>
      </c>
      <c r="BS148" s="1111" t="n">
        <v>-1171</v>
      </c>
      <c r="BT148" s="1053" t="n">
        <v>-419</v>
      </c>
      <c r="BU148" s="1053" t="n">
        <v>-440</v>
      </c>
      <c r="BV148" s="1054" t="n">
        <v>-515</v>
      </c>
      <c r="BW148" s="68" t="n"/>
      <c r="BX148" s="1110" t="n"/>
      <c r="BY148" s="68" t="n"/>
      <c r="BZ148" s="68" t="n"/>
      <c r="CA148" s="68" t="n"/>
      <c r="CB148" s="68" t="n"/>
      <c r="CC148" s="1110" t="n"/>
      <c r="CD148" s="1110" t="n"/>
      <c r="CE148" s="1110" t="n"/>
      <c r="CF148" s="1110" t="n"/>
      <c r="CG148" s="155" t="n"/>
    </row>
    <row r="149" hidden="1" outlineLevel="1">
      <c r="A149" s="572" t="inlineStr">
        <is>
          <t>Restructuring costs, mm</t>
        </is>
      </c>
      <c r="B149" s="602" t="n"/>
      <c r="C149" s="1110" t="n"/>
      <c r="D149" s="1110" t="n"/>
      <c r="E149" s="1110" t="n"/>
      <c r="F149" s="1110" t="n"/>
      <c r="G149" s="68" t="n"/>
      <c r="H149" s="68" t="n"/>
      <c r="I149" s="68" t="n"/>
      <c r="J149" s="68" t="n"/>
      <c r="K149" s="1110" t="n"/>
      <c r="L149" s="68" t="n"/>
      <c r="M149" s="68" t="n"/>
      <c r="N149" s="68" t="n"/>
      <c r="O149" s="68" t="n"/>
      <c r="P149" s="1110" t="n"/>
      <c r="Q149" s="68" t="n"/>
      <c r="R149" s="68" t="n"/>
      <c r="S149" s="68" t="n"/>
      <c r="T149" s="68" t="n"/>
      <c r="U149" s="1110" t="n"/>
      <c r="V149" s="68" t="n"/>
      <c r="W149" s="68" t="n"/>
      <c r="X149" s="68" t="n"/>
      <c r="Y149" s="68" t="n"/>
      <c r="Z149" s="1110" t="n"/>
      <c r="AA149" s="68" t="n"/>
      <c r="AB149" s="68" t="n"/>
      <c r="AC149" s="68" t="n"/>
      <c r="AD149" s="68" t="n"/>
      <c r="AE149" s="1110" t="n"/>
      <c r="AF149" s="68" t="n"/>
      <c r="AG149" s="68" t="n"/>
      <c r="AH149" s="68" t="n"/>
      <c r="AI149" s="68" t="n"/>
      <c r="AJ149" s="1110" t="n"/>
      <c r="AK149" s="68" t="n"/>
      <c r="AL149" s="68" t="n"/>
      <c r="AM149" s="68" t="n"/>
      <c r="AN149" s="68" t="n"/>
      <c r="AO149" s="1110" t="n"/>
      <c r="AP149" s="68" t="n"/>
      <c r="AQ149" s="68" t="n"/>
      <c r="AR149" s="68" t="n"/>
      <c r="AS149" s="68" t="n"/>
      <c r="AT149" s="1110" t="n"/>
      <c r="AU149" s="68" t="n"/>
      <c r="AV149" s="68" t="n"/>
      <c r="AW149" s="68" t="n"/>
      <c r="AX149" s="68" t="n"/>
      <c r="AY149" s="1110" t="n"/>
      <c r="AZ149" s="68" t="n"/>
      <c r="BA149" s="68" t="n"/>
      <c r="BB149" s="68" t="n"/>
      <c r="BC149" s="68" t="n"/>
      <c r="BD149" s="1110" t="n"/>
      <c r="BE149" s="68" t="n"/>
      <c r="BF149" s="68" t="n"/>
      <c r="BG149" s="1053" t="n">
        <v>-16</v>
      </c>
      <c r="BH149" s="68">
        <f>BI149-SUM(BE149,BF149,BG149)</f>
        <v/>
      </c>
      <c r="BI149" s="1111" t="n">
        <v>-54</v>
      </c>
      <c r="BJ149" s="68" t="n"/>
      <c r="BK149" s="68" t="n"/>
      <c r="BL149" s="68" t="n"/>
      <c r="BM149" s="68">
        <f>BN149-SUM(BJ149,BK149,BL149)</f>
        <v/>
      </c>
      <c r="BN149" s="1110" t="n"/>
      <c r="BO149" s="68" t="n"/>
      <c r="BP149" s="68" t="n"/>
      <c r="BQ149" s="68" t="n"/>
      <c r="BR149" s="68">
        <f>BS149-SUM(BO149,BP149,BQ149)</f>
        <v/>
      </c>
      <c r="BS149" s="1110" t="n"/>
      <c r="BT149" s="68" t="n"/>
      <c r="BU149" s="68" t="n"/>
      <c r="BV149" s="588" t="n"/>
      <c r="BW149" s="68" t="n"/>
      <c r="BX149" s="1110" t="n"/>
      <c r="BY149" s="68" t="n"/>
      <c r="BZ149" s="68" t="n"/>
      <c r="CA149" s="68" t="n"/>
      <c r="CB149" s="68" t="n"/>
      <c r="CC149" s="1110" t="n"/>
      <c r="CD149" s="1110" t="n"/>
      <c r="CE149" s="1110" t="n"/>
      <c r="CF149" s="1110" t="n"/>
      <c r="CG149" s="155" t="n"/>
    </row>
    <row r="150" hidden="1" outlineLevel="1">
      <c r="A150" s="572" t="inlineStr">
        <is>
          <t>Contributions, mm</t>
        </is>
      </c>
      <c r="B150" s="602" t="n"/>
      <c r="C150" s="1110" t="n"/>
      <c r="D150" s="1110" t="n"/>
      <c r="E150" s="1110" t="n"/>
      <c r="F150" s="1110" t="n"/>
      <c r="G150" s="68" t="n"/>
      <c r="H150" s="68" t="n"/>
      <c r="I150" s="68" t="n"/>
      <c r="J150" s="68" t="n"/>
      <c r="K150" s="1110" t="n"/>
      <c r="L150" s="68" t="n"/>
      <c r="M150" s="68" t="n"/>
      <c r="N150" s="68" t="n"/>
      <c r="O150" s="68" t="n"/>
      <c r="P150" s="1110" t="n"/>
      <c r="Q150" s="68" t="n"/>
      <c r="R150" s="68" t="n"/>
      <c r="S150" s="68" t="n"/>
      <c r="T150" s="68" t="n"/>
      <c r="U150" s="1110" t="n"/>
      <c r="V150" s="68" t="n"/>
      <c r="W150" s="68" t="n"/>
      <c r="X150" s="68" t="n"/>
      <c r="Y150" s="68" t="n"/>
      <c r="Z150" s="1110" t="n"/>
      <c r="AA150" s="68" t="n"/>
      <c r="AB150" s="68" t="n"/>
      <c r="AC150" s="68" t="n"/>
      <c r="AD150" s="68" t="n"/>
      <c r="AE150" s="1110" t="n"/>
      <c r="AF150" s="68" t="n"/>
      <c r="AG150" s="68" t="n"/>
      <c r="AH150" s="68" t="n"/>
      <c r="AI150" s="68" t="n"/>
      <c r="AJ150" s="1110" t="n"/>
      <c r="AK150" s="68" t="n"/>
      <c r="AL150" s="68" t="n"/>
      <c r="AM150" s="68" t="n"/>
      <c r="AN150" s="68" t="n"/>
      <c r="AO150" s="1110" t="n"/>
      <c r="AP150" s="68" t="n"/>
      <c r="AQ150" s="68" t="n"/>
      <c r="AR150" s="68" t="n"/>
      <c r="AS150" s="68" t="n"/>
      <c r="AT150" s="1110" t="n"/>
      <c r="AU150" s="68" t="n"/>
      <c r="AV150" s="68" t="n"/>
      <c r="AW150" s="68" t="n"/>
      <c r="AX150" s="68" t="n"/>
      <c r="AY150" s="1110" t="n"/>
      <c r="AZ150" s="68" t="n"/>
      <c r="BA150" s="68" t="n"/>
      <c r="BB150" s="68" t="n"/>
      <c r="BC150" s="68" t="n"/>
      <c r="BD150" s="1110" t="n"/>
      <c r="BE150" s="68" t="n"/>
      <c r="BF150" s="1053" t="n">
        <v>-2</v>
      </c>
      <c r="BG150" s="68" t="n"/>
      <c r="BH150" s="68">
        <f>BI150-SUM(BE150,BF150,BG150)</f>
        <v/>
      </c>
      <c r="BI150" s="1111" t="n">
        <v>-2</v>
      </c>
      <c r="BJ150" s="68" t="n"/>
      <c r="BK150" s="68" t="n"/>
      <c r="BL150" s="68" t="n"/>
      <c r="BM150" s="68">
        <f>BN150-SUM(BJ150,BK150,BL150)</f>
        <v/>
      </c>
      <c r="BN150" s="1110" t="n"/>
      <c r="BO150" s="68" t="n"/>
      <c r="BP150" s="68" t="n"/>
      <c r="BQ150" s="68" t="n"/>
      <c r="BR150" s="68">
        <f>BS150-SUM(BO150,BP150,BQ150)</f>
        <v/>
      </c>
      <c r="BS150" s="1110" t="n"/>
      <c r="BT150" s="68" t="n"/>
      <c r="BU150" s="68" t="n"/>
      <c r="BV150" s="588" t="n"/>
      <c r="BW150" s="68" t="n"/>
      <c r="BX150" s="1110" t="n"/>
      <c r="BY150" s="68" t="n"/>
      <c r="BZ150" s="68" t="n"/>
      <c r="CA150" s="68" t="n"/>
      <c r="CB150" s="68" t="n"/>
      <c r="CC150" s="1110" t="n"/>
      <c r="CD150" s="1110" t="n"/>
      <c r="CE150" s="1110" t="n"/>
      <c r="CF150" s="1110" t="n"/>
      <c r="CG150" s="155" t="n"/>
    </row>
    <row r="151" hidden="1" outlineLevel="1">
      <c r="A151" s="572" t="inlineStr">
        <is>
          <t>IP-related and legal settlement costs, mm</t>
        </is>
      </c>
      <c r="B151" s="602" t="n"/>
      <c r="C151" s="1110" t="n"/>
      <c r="D151" s="1110" t="n"/>
      <c r="E151" s="1110" t="n"/>
      <c r="F151" s="1110" t="n"/>
      <c r="G151" s="68" t="n"/>
      <c r="H151" s="68" t="n"/>
      <c r="I151" s="68" t="n"/>
      <c r="J151" s="68" t="n"/>
      <c r="K151" s="1110" t="n"/>
      <c r="L151" s="68" t="n"/>
      <c r="M151" s="68" t="n"/>
      <c r="N151" s="68" t="n"/>
      <c r="O151" s="68" t="n"/>
      <c r="P151" s="1110" t="n"/>
      <c r="Q151" s="68" t="n"/>
      <c r="R151" s="68" t="n"/>
      <c r="S151" s="68" t="n"/>
      <c r="T151" s="68" t="n"/>
      <c r="U151" s="1110" t="n"/>
      <c r="V151" s="68" t="n"/>
      <c r="W151" s="68" t="n"/>
      <c r="X151" s="68" t="n"/>
      <c r="Y151" s="68" t="n"/>
      <c r="Z151" s="1110" t="n"/>
      <c r="AA151" s="68" t="n"/>
      <c r="AB151" s="68" t="n"/>
      <c r="AC151" s="68" t="n"/>
      <c r="AD151" s="68" t="n"/>
      <c r="AE151" s="1110" t="n"/>
      <c r="AF151" s="68" t="n"/>
      <c r="AG151" s="68" t="n"/>
      <c r="AH151" s="68" t="n"/>
      <c r="AI151" s="68" t="n"/>
      <c r="AJ151" s="1110" t="n"/>
      <c r="AK151" s="68" t="n"/>
      <c r="AL151" s="68" t="n"/>
      <c r="AM151" s="68" t="n"/>
      <c r="AN151" s="68" t="n"/>
      <c r="AO151" s="1110" t="n"/>
      <c r="AP151" s="1053" t="n">
        <v>-11</v>
      </c>
      <c r="AQ151" s="1053" t="n">
        <v>-2</v>
      </c>
      <c r="AR151" s="1053" t="n">
        <v>0</v>
      </c>
      <c r="AS151" s="68">
        <f>AT151-SUM(AP151,AQ151,AR151)</f>
        <v/>
      </c>
      <c r="AT151" s="1111" t="n">
        <v>-14</v>
      </c>
      <c r="AU151" s="1053" t="n">
        <v>0</v>
      </c>
      <c r="AV151" s="1053" t="n">
        <v>-17</v>
      </c>
      <c r="AW151" s="1053" t="n">
        <v>-21</v>
      </c>
      <c r="AX151" s="68">
        <f>AY151-SUM(AU151,AV151,AW151)</f>
        <v/>
      </c>
      <c r="AY151" s="1111" t="n">
        <v>-38</v>
      </c>
      <c r="AZ151" s="1053" t="n">
        <v>-5</v>
      </c>
      <c r="BA151" s="1053" t="n">
        <v>-4</v>
      </c>
      <c r="BB151" s="1053" t="n">
        <v>0</v>
      </c>
      <c r="BC151" s="68">
        <f>BD151-SUM(AZ151,BA151,BB151)</f>
        <v/>
      </c>
      <c r="BD151" s="1111" t="n">
        <v>-10</v>
      </c>
      <c r="BE151" s="1053" t="n">
        <v>-7</v>
      </c>
      <c r="BF151" s="68" t="n"/>
      <c r="BG151" s="68" t="n"/>
      <c r="BH151" s="68">
        <f>BI151-SUM(BE151,BF151,BG151)</f>
        <v/>
      </c>
      <c r="BI151" s="1111" t="n">
        <v>-23</v>
      </c>
      <c r="BJ151" s="1053" t="n">
        <v>-8</v>
      </c>
      <c r="BK151" s="1053" t="n">
        <v>-2</v>
      </c>
      <c r="BL151" s="1053" t="n">
        <v>-26</v>
      </c>
      <c r="BM151" s="68">
        <f>BN151-SUM(BJ151,BK151,BL151)</f>
        <v/>
      </c>
      <c r="BN151" s="1111" t="n">
        <v>-40</v>
      </c>
      <c r="BO151" s="68" t="n"/>
      <c r="BP151" s="68" t="n"/>
      <c r="BQ151" s="1053" t="n">
        <v>0</v>
      </c>
      <c r="BR151" s="68">
        <f>BS151-SUM(BO151,BP151,BQ151)</f>
        <v/>
      </c>
      <c r="BS151" s="1110" t="n"/>
      <c r="BT151" s="68" t="n"/>
      <c r="BU151" s="68" t="n"/>
      <c r="BV151" s="588" t="n"/>
      <c r="BW151" s="68" t="n"/>
      <c r="BX151" s="1110" t="n"/>
      <c r="BY151" s="68" t="n"/>
      <c r="BZ151" s="68" t="n"/>
      <c r="CA151" s="68" t="n"/>
      <c r="CB151" s="68" t="n"/>
      <c r="CC151" s="1110" t="n"/>
      <c r="CD151" s="1110" t="n"/>
      <c r="CE151" s="1110" t="n"/>
      <c r="CF151" s="1110" t="n"/>
      <c r="CG151" s="155" t="n"/>
    </row>
    <row r="152" hidden="1" outlineLevel="1">
      <c r="A152" s="649" t="inlineStr">
        <is>
          <t>Other, mm</t>
        </is>
      </c>
      <c r="B152" s="603" t="n"/>
      <c r="C152" s="1121" t="n"/>
      <c r="D152" s="1121" t="n"/>
      <c r="E152" s="1121" t="n"/>
      <c r="F152" s="1121" t="n"/>
      <c r="G152" s="109" t="n"/>
      <c r="H152" s="109" t="n"/>
      <c r="I152" s="109" t="n"/>
      <c r="J152" s="109" t="n"/>
      <c r="K152" s="1121" t="n"/>
      <c r="L152" s="109" t="n"/>
      <c r="M152" s="109" t="n"/>
      <c r="N152" s="109" t="n"/>
      <c r="O152" s="109" t="n"/>
      <c r="P152" s="1121" t="n"/>
      <c r="Q152" s="109" t="n"/>
      <c r="R152" s="109" t="n"/>
      <c r="S152" s="109" t="n"/>
      <c r="T152" s="109" t="n"/>
      <c r="U152" s="1121" t="n"/>
      <c r="V152" s="109" t="n"/>
      <c r="W152" s="109" t="n"/>
      <c r="X152" s="109" t="n"/>
      <c r="Y152" s="109" t="n"/>
      <c r="Z152" s="1121" t="n"/>
      <c r="AA152" s="109" t="n"/>
      <c r="AB152" s="109" t="n"/>
      <c r="AC152" s="109" t="n"/>
      <c r="AD152" s="109" t="n"/>
      <c r="AE152" s="1121" t="n"/>
      <c r="AF152" s="109" t="n"/>
      <c r="AG152" s="109" t="n"/>
      <c r="AH152" s="109" t="n"/>
      <c r="AI152" s="109" t="n"/>
      <c r="AJ152" s="1121" t="n"/>
      <c r="AK152" s="109" t="n"/>
      <c r="AL152" s="109" t="n"/>
      <c r="AM152" s="109" t="n"/>
      <c r="AN152" s="109" t="n"/>
      <c r="AO152" s="1121" t="n"/>
      <c r="AP152" s="109" t="n"/>
      <c r="AQ152" s="109" t="n"/>
      <c r="AR152" s="109" t="n"/>
      <c r="AS152" s="109" t="n"/>
      <c r="AT152" s="1121" t="n"/>
      <c r="AU152" s="109" t="n"/>
      <c r="AV152" s="109" t="n"/>
      <c r="AW152" s="109" t="n"/>
      <c r="AX152" s="109" t="n"/>
      <c r="AY152" s="1121" t="n"/>
      <c r="AZ152" s="109" t="n"/>
      <c r="BA152" s="109" t="n"/>
      <c r="BB152" s="109" t="n"/>
      <c r="BC152" s="109" t="n"/>
      <c r="BD152" s="1121" t="n"/>
      <c r="BE152" s="109" t="n"/>
      <c r="BF152" s="109" t="n"/>
      <c r="BG152" s="109" t="n"/>
      <c r="BH152" s="109">
        <f>BI152-SUM(BE152,BF152,BG152)</f>
        <v/>
      </c>
      <c r="BI152" s="1121" t="n"/>
      <c r="BJ152" s="1060" t="n">
        <v>4</v>
      </c>
      <c r="BK152" s="1060" t="n">
        <v>5</v>
      </c>
      <c r="BL152" s="109" t="n"/>
      <c r="BM152" s="109">
        <f>BN152-SUM(BJ152,BK152,BL152)</f>
        <v/>
      </c>
      <c r="BN152" s="1131" t="n">
        <v>10</v>
      </c>
      <c r="BO152" s="1060" t="n">
        <v>1</v>
      </c>
      <c r="BP152" s="1060" t="n">
        <v>3</v>
      </c>
      <c r="BQ152" s="109" t="n"/>
      <c r="BR152" s="109">
        <f>BS152-SUM(BO152,BP152,BQ152)</f>
        <v/>
      </c>
      <c r="BS152" s="1131" t="n">
        <v>3</v>
      </c>
      <c r="BT152" s="1060" t="n">
        <v>-3</v>
      </c>
      <c r="BU152" s="109" t="n"/>
      <c r="BV152" s="730" t="n"/>
      <c r="BW152" s="109" t="n"/>
      <c r="BX152" s="1121" t="n"/>
      <c r="BY152" s="109" t="n"/>
      <c r="BZ152" s="109" t="n"/>
      <c r="CA152" s="109" t="n"/>
      <c r="CB152" s="109" t="n"/>
      <c r="CC152" s="1121" t="n"/>
      <c r="CD152" s="1121" t="n"/>
      <c r="CE152" s="1121" t="n"/>
      <c r="CF152" s="1121" t="n"/>
      <c r="CG152" s="155" t="n"/>
    </row>
    <row r="153" hidden="1" outlineLevel="1">
      <c r="A153" s="282" t="inlineStr">
        <is>
          <t>All Other Operating Income (loss), mm</t>
        </is>
      </c>
      <c r="B153" s="603" t="n"/>
      <c r="C153" s="1121" t="n"/>
      <c r="D153" s="1121" t="n"/>
      <c r="E153" s="1121" t="n"/>
      <c r="F153" s="1121" t="n"/>
      <c r="G153" s="109" t="n"/>
      <c r="H153" s="109" t="n"/>
      <c r="I153" s="109" t="n"/>
      <c r="J153" s="109" t="n"/>
      <c r="K153" s="1121" t="n"/>
      <c r="L153" s="109" t="n"/>
      <c r="M153" s="109" t="n"/>
      <c r="N153" s="109" t="n"/>
      <c r="O153" s="109" t="n"/>
      <c r="P153" s="1121" t="n"/>
      <c r="Q153" s="109" t="n"/>
      <c r="R153" s="109" t="n"/>
      <c r="S153" s="109" t="n"/>
      <c r="T153" s="109" t="n"/>
      <c r="U153" s="1121" t="n"/>
      <c r="V153" s="109" t="n"/>
      <c r="W153" s="109" t="n"/>
      <c r="X153" s="109" t="n"/>
      <c r="Y153" s="109" t="n"/>
      <c r="Z153" s="1121" t="n"/>
      <c r="AA153" s="109" t="n"/>
      <c r="AB153" s="109" t="n"/>
      <c r="AC153" s="109" t="n"/>
      <c r="AD153" s="109" t="n"/>
      <c r="AE153" s="1121" t="n"/>
      <c r="AF153" s="109" t="n"/>
      <c r="AG153" s="109" t="n"/>
      <c r="AH153" s="109" t="n"/>
      <c r="AI153" s="109" t="n"/>
      <c r="AJ153" s="1121" t="n"/>
      <c r="AK153" s="109" t="n"/>
      <c r="AL153" s="109" t="n"/>
      <c r="AM153" s="109" t="n"/>
      <c r="AN153" s="109" t="n"/>
      <c r="AO153" s="1121" t="n"/>
      <c r="AP153" s="109">
        <f>SUM(AP145:AP152)</f>
        <v/>
      </c>
      <c r="AQ153" s="109">
        <f>SUM(AQ145:AQ152)</f>
        <v/>
      </c>
      <c r="AR153" s="109">
        <f>SUM(AR145:AR152)</f>
        <v/>
      </c>
      <c r="AS153" s="109">
        <f>SUM(AS145:AS152)</f>
        <v/>
      </c>
      <c r="AT153" s="1121">
        <f>SUM(AT145:AT152)</f>
        <v/>
      </c>
      <c r="AU153" s="109">
        <f>SUM(AU145:AU152)</f>
        <v/>
      </c>
      <c r="AV153" s="109">
        <f>SUM(AV145:AV152)</f>
        <v/>
      </c>
      <c r="AW153" s="109">
        <f>SUM(AW145:AW152)</f>
        <v/>
      </c>
      <c r="AX153" s="109">
        <f>SUM(AX145:AX152)</f>
        <v/>
      </c>
      <c r="AY153" s="1121">
        <f>SUM(AY145:AY152)</f>
        <v/>
      </c>
      <c r="AZ153" s="109">
        <f>SUM(AZ145:AZ152)</f>
        <v/>
      </c>
      <c r="BA153" s="109">
        <f>SUM(BA145:BA152)</f>
        <v/>
      </c>
      <c r="BB153" s="109">
        <f>SUM(BB145:BB152)</f>
        <v/>
      </c>
      <c r="BC153" s="109">
        <f>SUM(BC145:BC152)</f>
        <v/>
      </c>
      <c r="BD153" s="1121">
        <f>SUM(BD145:BD152)</f>
        <v/>
      </c>
      <c r="BE153" s="109">
        <f>SUM(BE145:BE152)</f>
        <v/>
      </c>
      <c r="BF153" s="109">
        <f>SUM(BF145:BF152)</f>
        <v/>
      </c>
      <c r="BG153" s="109">
        <f>SUM(BG145:BG152)</f>
        <v/>
      </c>
      <c r="BH153" s="109">
        <f>SUM(BH145:BH152)</f>
        <v/>
      </c>
      <c r="BI153" s="1121">
        <f>SUM(BI145:BI152)</f>
        <v/>
      </c>
      <c r="BJ153" s="109">
        <f>SUM(BJ145:BJ152)</f>
        <v/>
      </c>
      <c r="BK153" s="109">
        <f>SUM(BK145:BK152)</f>
        <v/>
      </c>
      <c r="BL153" s="109">
        <f>SUM(BL145:BL152)</f>
        <v/>
      </c>
      <c r="BM153" s="109">
        <f>SUM(BM145:BM152)</f>
        <v/>
      </c>
      <c r="BN153" s="1121">
        <f>SUM(BN145:BN152)</f>
        <v/>
      </c>
      <c r="BO153" s="109">
        <f>SUM(BO145:BO152)</f>
        <v/>
      </c>
      <c r="BP153" s="109">
        <f>SUM(BP145:BP152)</f>
        <v/>
      </c>
      <c r="BQ153" s="109">
        <f>SUM(BQ145:BQ152)</f>
        <v/>
      </c>
      <c r="BR153" s="109">
        <f>SUM(BR145:BR152)</f>
        <v/>
      </c>
      <c r="BS153" s="1121">
        <f>SUM(BS145:BS152)</f>
        <v/>
      </c>
      <c r="BT153" s="109">
        <f>SUM(BT145:BT152)</f>
        <v/>
      </c>
      <c r="BU153" s="109">
        <f>SUM(BU145:BU152)</f>
        <v/>
      </c>
      <c r="BV153" s="730">
        <f>SUM(BV145:BV152)</f>
        <v/>
      </c>
      <c r="BW153" s="109" t="n"/>
      <c r="BX153" s="1121" t="n"/>
      <c r="BY153" s="109" t="n"/>
      <c r="BZ153" s="109" t="n"/>
      <c r="CA153" s="109" t="n"/>
      <c r="CB153" s="109" t="n"/>
      <c r="CC153" s="1121" t="n"/>
      <c r="CD153" s="1121" t="n"/>
      <c r="CE153" s="1121" t="n"/>
      <c r="CF153" s="1121" t="n"/>
      <c r="CG153" s="155" t="n"/>
    </row>
    <row r="154" hidden="1" outlineLevel="1">
      <c r="A154" s="631" t="inlineStr">
        <is>
          <t>Total Operating Income (loss), mm</t>
        </is>
      </c>
      <c r="B154" s="604" t="n"/>
      <c r="C154" s="1122" t="n"/>
      <c r="D154" s="1122" t="n"/>
      <c r="E154" s="1122" t="n"/>
      <c r="F154" s="1122" t="n"/>
      <c r="G154" s="61" t="n"/>
      <c r="H154" s="61" t="n"/>
      <c r="I154" s="61" t="n"/>
      <c r="J154" s="61" t="n"/>
      <c r="K154" s="1122" t="n"/>
      <c r="L154" s="61" t="n"/>
      <c r="M154" s="61" t="n"/>
      <c r="N154" s="61" t="n"/>
      <c r="O154" s="61" t="n"/>
      <c r="P154" s="1122" t="n"/>
      <c r="Q154" s="61" t="n"/>
      <c r="R154" s="61" t="n"/>
      <c r="S154" s="61" t="n"/>
      <c r="T154" s="61" t="n"/>
      <c r="U154" s="1122" t="n"/>
      <c r="V154" s="61" t="n"/>
      <c r="W154" s="61" t="n"/>
      <c r="X154" s="61" t="n"/>
      <c r="Y154" s="61" t="n"/>
      <c r="Z154" s="1122" t="n"/>
      <c r="AA154" s="61" t="n"/>
      <c r="AB154" s="61" t="n"/>
      <c r="AC154" s="61" t="n"/>
      <c r="AD154" s="61" t="n"/>
      <c r="AE154" s="1122" t="n"/>
      <c r="AF154" s="61" t="n"/>
      <c r="AG154" s="61" t="n"/>
      <c r="AH154" s="61" t="n"/>
      <c r="AI154" s="61" t="n"/>
      <c r="AJ154" s="1122" t="n"/>
      <c r="AK154" s="61" t="n"/>
      <c r="AL154" s="61" t="n"/>
      <c r="AM154" s="61" t="n"/>
      <c r="AN154" s="61" t="n"/>
      <c r="AO154" s="1122" t="n"/>
      <c r="AP154" s="61">
        <f>AP143+AP144+AP153</f>
        <v/>
      </c>
      <c r="AQ154" s="61">
        <f>AQ143+AQ144+AQ153</f>
        <v/>
      </c>
      <c r="AR154" s="61">
        <f>AR143+AR144+AR153</f>
        <v/>
      </c>
      <c r="AS154" s="61">
        <f>AS143+AS144+AS153</f>
        <v/>
      </c>
      <c r="AT154" s="1122">
        <f>AT143+AT144+AT153</f>
        <v/>
      </c>
      <c r="AU154" s="61">
        <f>AU143+AU144+AU153</f>
        <v/>
      </c>
      <c r="AV154" s="61">
        <f>AV143+AV144+AV153</f>
        <v/>
      </c>
      <c r="AW154" s="61">
        <f>AW143+AW144+AW153</f>
        <v/>
      </c>
      <c r="AX154" s="61">
        <f>AX143+AX144+AX153</f>
        <v/>
      </c>
      <c r="AY154" s="1122">
        <f>AY143+AY144+AY153</f>
        <v/>
      </c>
      <c r="AZ154" s="61">
        <f>AZ143+AZ144+AZ153</f>
        <v/>
      </c>
      <c r="BA154" s="61">
        <f>BA143+BA144+BA153</f>
        <v/>
      </c>
      <c r="BB154" s="61">
        <f>BB143+BB144+BB153</f>
        <v/>
      </c>
      <c r="BC154" s="61">
        <f>BC143+BC144+BC153</f>
        <v/>
      </c>
      <c r="BD154" s="1122">
        <f>BD143+BD144+BD153</f>
        <v/>
      </c>
      <c r="BE154" s="61">
        <f>BE143+BE144+BE153</f>
        <v/>
      </c>
      <c r="BF154" s="61">
        <f>BF143+BF144+BF153</f>
        <v/>
      </c>
      <c r="BG154" s="61">
        <f>BG143+BG144+BG153</f>
        <v/>
      </c>
      <c r="BH154" s="61">
        <f>BH143+BH144+BH153</f>
        <v/>
      </c>
      <c r="BI154" s="1122">
        <f>BI143+BI144+BI153</f>
        <v/>
      </c>
      <c r="BJ154" s="61">
        <f>BJ143+BJ144+BJ153</f>
        <v/>
      </c>
      <c r="BK154" s="61">
        <f>BK143+BK144+BK153</f>
        <v/>
      </c>
      <c r="BL154" s="61">
        <f>BL143+BL144+BL153</f>
        <v/>
      </c>
      <c r="BM154" s="61">
        <f>BM301</f>
        <v/>
      </c>
      <c r="BN154" s="1122">
        <f>BN301</f>
        <v/>
      </c>
      <c r="BO154" s="61">
        <f>BO143+BO144+BO153</f>
        <v/>
      </c>
      <c r="BP154" s="61">
        <f>BP143+BP144+BP153</f>
        <v/>
      </c>
      <c r="BQ154" s="61">
        <f>BQ143+BQ144+BQ153</f>
        <v/>
      </c>
      <c r="BR154" s="61">
        <f>BR143+BR144+BR153</f>
        <v/>
      </c>
      <c r="BS154" s="1122">
        <f>BS143+BS144+BS153</f>
        <v/>
      </c>
      <c r="BT154" s="61">
        <f>BT143+BT144+BT153</f>
        <v/>
      </c>
      <c r="BU154" s="61">
        <f>BU143+BU144+BU153</f>
        <v/>
      </c>
      <c r="BV154" s="884">
        <f>BV143+BV144+BV153</f>
        <v/>
      </c>
      <c r="BW154" s="61" t="n"/>
      <c r="BX154" s="1122" t="n"/>
      <c r="BY154" s="61" t="n"/>
      <c r="BZ154" s="61" t="n"/>
      <c r="CA154" s="61" t="n"/>
      <c r="CB154" s="61" t="n"/>
      <c r="CC154" s="1122" t="n"/>
      <c r="CD154" s="1122" t="n"/>
      <c r="CE154" s="1122" t="n"/>
      <c r="CF154" s="1122" t="n"/>
      <c r="CG154" s="155" t="n"/>
    </row>
    <row r="155" hidden="1" outlineLevel="1">
      <c r="A155" s="600" t="n"/>
      <c r="B155" s="633" t="n"/>
      <c r="C155" s="1125" t="n"/>
      <c r="D155" s="1125" t="n"/>
      <c r="E155" s="1125" t="n"/>
      <c r="F155" s="1125" t="n"/>
      <c r="G155" s="63" t="n"/>
      <c r="H155" s="63" t="n"/>
      <c r="I155" s="63" t="n"/>
      <c r="J155" s="63" t="n"/>
      <c r="K155" s="1125" t="n"/>
      <c r="L155" s="63" t="n"/>
      <c r="M155" s="63" t="n"/>
      <c r="N155" s="63" t="n"/>
      <c r="O155" s="63" t="n"/>
      <c r="P155" s="1125" t="n"/>
      <c r="Q155" s="63" t="n"/>
      <c r="R155" s="63" t="n"/>
      <c r="S155" s="63" t="n"/>
      <c r="T155" s="63" t="n"/>
      <c r="U155" s="1125" t="n"/>
      <c r="V155" s="63" t="n"/>
      <c r="W155" s="63" t="n"/>
      <c r="X155" s="63" t="n"/>
      <c r="Y155" s="63" t="n"/>
      <c r="Z155" s="1125" t="n"/>
      <c r="AA155" s="63" t="n"/>
      <c r="AB155" s="63" t="n"/>
      <c r="AC155" s="63" t="n"/>
      <c r="AD155" s="63" t="n"/>
      <c r="AE155" s="1125" t="n"/>
      <c r="AF155" s="63" t="n"/>
      <c r="AG155" s="63" t="n"/>
      <c r="AH155" s="63" t="n"/>
      <c r="AI155" s="63" t="n"/>
      <c r="AJ155" s="1125" t="n"/>
      <c r="AK155" s="63" t="n"/>
      <c r="AL155" s="63" t="n"/>
      <c r="AM155" s="63" t="n"/>
      <c r="AN155" s="63" t="n"/>
      <c r="AO155" s="1125" t="n"/>
      <c r="AP155" s="63" t="n"/>
      <c r="AQ155" s="63" t="n"/>
      <c r="AR155" s="63" t="n"/>
      <c r="AS155" s="63" t="n"/>
      <c r="AT155" s="1125" t="n"/>
      <c r="AU155" s="63" t="n"/>
      <c r="AV155" s="63" t="n"/>
      <c r="AW155" s="63" t="n"/>
      <c r="AX155" s="63" t="n"/>
      <c r="AY155" s="1125" t="n"/>
      <c r="AZ155" s="63" t="n"/>
      <c r="BA155" s="63" t="n"/>
      <c r="BB155" s="63" t="n"/>
      <c r="BC155" s="63" t="n"/>
      <c r="BD155" s="1125" t="n"/>
      <c r="BE155" s="63" t="n"/>
      <c r="BF155" s="63" t="n"/>
      <c r="BG155" s="63" t="n"/>
      <c r="BH155" s="63" t="n"/>
      <c r="BI155" s="1125" t="n"/>
      <c r="BJ155" s="63" t="n"/>
      <c r="BK155" s="63" t="n"/>
      <c r="BL155" s="63" t="n"/>
      <c r="BM155" s="63" t="n"/>
      <c r="BN155" s="1125" t="n"/>
      <c r="BO155" s="63" t="n"/>
      <c r="BP155" s="63" t="n"/>
      <c r="BQ155" s="63" t="n"/>
      <c r="BR155" s="63" t="n"/>
      <c r="BS155" s="1125" t="n"/>
      <c r="BT155" s="63" t="n"/>
      <c r="BU155" s="63" t="n"/>
      <c r="BV155" s="587" t="n"/>
      <c r="BW155" s="63" t="n"/>
      <c r="BX155" s="1125" t="n"/>
      <c r="BY155" s="63" t="n"/>
      <c r="BZ155" s="63" t="n"/>
      <c r="CA155" s="63" t="n"/>
      <c r="CB155" s="63" t="n"/>
      <c r="CC155" s="1125" t="n"/>
      <c r="CD155" s="1125" t="n"/>
      <c r="CE155" s="1125" t="n"/>
      <c r="CF155" s="1125" t="n"/>
      <c r="CG155" s="155" t="n"/>
    </row>
    <row r="156" hidden="1" outlineLevel="1">
      <c r="A156" s="647" t="inlineStr">
        <is>
          <t>Graphics Operating Income Margin, %</t>
        </is>
      </c>
      <c r="B156" s="670" t="n"/>
      <c r="C156" s="1126" t="n"/>
      <c r="D156" s="1126" t="n"/>
      <c r="E156" s="1126" t="n"/>
      <c r="F156" s="1126" t="n"/>
      <c r="G156" s="315" t="n"/>
      <c r="H156" s="315" t="n"/>
      <c r="I156" s="315" t="n"/>
      <c r="J156" s="315" t="n"/>
      <c r="K156" s="1126" t="n"/>
      <c r="L156" s="315" t="n"/>
      <c r="M156" s="315" t="n"/>
      <c r="N156" s="315" t="n"/>
      <c r="O156" s="315" t="n"/>
      <c r="P156" s="1126" t="n"/>
      <c r="Q156" s="315" t="n"/>
      <c r="R156" s="315" t="n"/>
      <c r="S156" s="315" t="n"/>
      <c r="T156" s="315" t="n"/>
      <c r="U156" s="1126" t="n"/>
      <c r="V156" s="315" t="n"/>
      <c r="W156" s="315" t="n"/>
      <c r="X156" s="315" t="n"/>
      <c r="Y156" s="315" t="n"/>
      <c r="Z156" s="1126" t="n"/>
      <c r="AA156" s="315" t="n"/>
      <c r="AB156" s="315" t="n"/>
      <c r="AC156" s="315" t="n"/>
      <c r="AD156" s="315" t="n"/>
      <c r="AE156" s="1126" t="n"/>
      <c r="AF156" s="315" t="n"/>
      <c r="AG156" s="315" t="n"/>
      <c r="AH156" s="315" t="n"/>
      <c r="AI156" s="315" t="n"/>
      <c r="AJ156" s="1126" t="n"/>
      <c r="AK156" s="315" t="n"/>
      <c r="AL156" s="315" t="n"/>
      <c r="AM156" s="315" t="n"/>
      <c r="AN156" s="315" t="n"/>
      <c r="AO156" s="1126" t="n"/>
      <c r="AP156" s="315">
        <f>AP143/AP133</f>
        <v/>
      </c>
      <c r="AQ156" s="315">
        <f>AQ143/AQ133</f>
        <v/>
      </c>
      <c r="AR156" s="315">
        <f>AR143/AR133</f>
        <v/>
      </c>
      <c r="AS156" s="315">
        <f>AS143/AS133</f>
        <v/>
      </c>
      <c r="AT156" s="1126">
        <f>AT143/AT133</f>
        <v/>
      </c>
      <c r="AU156" s="315">
        <f>AU143/AU133</f>
        <v/>
      </c>
      <c r="AV156" s="315">
        <f>AV143/AV133</f>
        <v/>
      </c>
      <c r="AW156" s="315">
        <f>AW143/AW133</f>
        <v/>
      </c>
      <c r="AX156" s="315">
        <f>AX143/AX133</f>
        <v/>
      </c>
      <c r="AY156" s="1126">
        <f>AY143/AY133</f>
        <v/>
      </c>
      <c r="AZ156" s="315">
        <f>AZ143/AZ133</f>
        <v/>
      </c>
      <c r="BA156" s="315">
        <f>BA143/BA133</f>
        <v/>
      </c>
      <c r="BB156" s="315">
        <f>BB143/BB133</f>
        <v/>
      </c>
      <c r="BC156" s="315">
        <f>BC143/BC133</f>
        <v/>
      </c>
      <c r="BD156" s="1126">
        <f>BD143/BD133</f>
        <v/>
      </c>
      <c r="BE156" s="315">
        <f>BE143/BE133</f>
        <v/>
      </c>
      <c r="BF156" s="315">
        <f>BF143/BF133</f>
        <v/>
      </c>
      <c r="BG156" s="315">
        <f>BG143/BG133</f>
        <v/>
      </c>
      <c r="BH156" s="315">
        <f>BH143/BH133</f>
        <v/>
      </c>
      <c r="BI156" s="1126">
        <f>BI143/BI133</f>
        <v/>
      </c>
      <c r="BJ156" s="315">
        <f>BJ143/BJ133</f>
        <v/>
      </c>
      <c r="BK156" s="315">
        <f>BK143/BK133</f>
        <v/>
      </c>
      <c r="BL156" s="315">
        <f>BL143/BL133</f>
        <v/>
      </c>
      <c r="BM156" s="315">
        <f>BM143/BM133</f>
        <v/>
      </c>
      <c r="BN156" s="1126">
        <f>BN143/BN133</f>
        <v/>
      </c>
      <c r="BO156" s="315">
        <f>BO143/BO133</f>
        <v/>
      </c>
      <c r="BP156" s="315">
        <f>BP143/BP133</f>
        <v/>
      </c>
      <c r="BQ156" s="315">
        <f>BQ143/BQ133</f>
        <v/>
      </c>
      <c r="BR156" s="315">
        <f>BR143/BR133</f>
        <v/>
      </c>
      <c r="BS156" s="1126">
        <f>BS143/BS133</f>
        <v/>
      </c>
      <c r="BT156" s="315">
        <f>BT143/BT133</f>
        <v/>
      </c>
      <c r="BU156" s="315">
        <f>BU143/BU133</f>
        <v/>
      </c>
      <c r="BV156" s="885">
        <f>BV143/BV133</f>
        <v/>
      </c>
      <c r="BW156" s="315" t="n"/>
      <c r="BX156" s="1126" t="n"/>
      <c r="BY156" s="315" t="n"/>
      <c r="BZ156" s="315" t="n"/>
      <c r="CA156" s="315" t="n"/>
      <c r="CB156" s="315" t="n"/>
      <c r="CC156" s="1126" t="n"/>
      <c r="CD156" s="1126" t="n"/>
      <c r="CE156" s="1126" t="n"/>
      <c r="CF156" s="1126" t="n"/>
      <c r="CG156" s="155" t="n"/>
    </row>
    <row r="157" hidden="1" outlineLevel="1">
      <c r="A157" s="647" t="inlineStr">
        <is>
          <t>Compute &amp; Networking Operating Income Margin, %</t>
        </is>
      </c>
      <c r="B157" s="670" t="n"/>
      <c r="C157" s="1126" t="n"/>
      <c r="D157" s="1126" t="n"/>
      <c r="E157" s="1126" t="n"/>
      <c r="F157" s="1126" t="n"/>
      <c r="G157" s="315" t="n"/>
      <c r="H157" s="315" t="n"/>
      <c r="I157" s="315" t="n"/>
      <c r="J157" s="315" t="n"/>
      <c r="K157" s="1126" t="n"/>
      <c r="L157" s="315" t="n"/>
      <c r="M157" s="315" t="n"/>
      <c r="N157" s="315" t="n"/>
      <c r="O157" s="315" t="n"/>
      <c r="P157" s="1126" t="n"/>
      <c r="Q157" s="315" t="n"/>
      <c r="R157" s="315" t="n"/>
      <c r="S157" s="315" t="n"/>
      <c r="T157" s="315" t="n"/>
      <c r="U157" s="1126" t="n"/>
      <c r="V157" s="315" t="n"/>
      <c r="W157" s="315" t="n"/>
      <c r="X157" s="315" t="n"/>
      <c r="Y157" s="315" t="n"/>
      <c r="Z157" s="1126" t="n"/>
      <c r="AA157" s="315" t="n"/>
      <c r="AB157" s="315" t="n"/>
      <c r="AC157" s="315" t="n"/>
      <c r="AD157" s="315" t="n"/>
      <c r="AE157" s="1126" t="n"/>
      <c r="AF157" s="315" t="n"/>
      <c r="AG157" s="315" t="n"/>
      <c r="AH157" s="315" t="n"/>
      <c r="AI157" s="315" t="n"/>
      <c r="AJ157" s="1126" t="n"/>
      <c r="AK157" s="315" t="n"/>
      <c r="AL157" s="315" t="n"/>
      <c r="AM157" s="315" t="n"/>
      <c r="AN157" s="315" t="n"/>
      <c r="AO157" s="1126" t="n"/>
      <c r="AP157" s="315">
        <f>AP144/AP134</f>
        <v/>
      </c>
      <c r="AQ157" s="315">
        <f>AQ144/AQ134</f>
        <v/>
      </c>
      <c r="AR157" s="315">
        <f>AR144/AR134</f>
        <v/>
      </c>
      <c r="AS157" s="315">
        <f>AS144/AS134</f>
        <v/>
      </c>
      <c r="AT157" s="1126">
        <f>AT144/AT134</f>
        <v/>
      </c>
      <c r="AU157" s="315">
        <f>AU144/AU134</f>
        <v/>
      </c>
      <c r="AV157" s="315">
        <f>AV144/AV134</f>
        <v/>
      </c>
      <c r="AW157" s="315">
        <f>AW144/AW134</f>
        <v/>
      </c>
      <c r="AX157" s="315">
        <f>AX144/AX134</f>
        <v/>
      </c>
      <c r="AY157" s="1126">
        <f>AY144/AY134</f>
        <v/>
      </c>
      <c r="AZ157" s="315">
        <f>AZ144/AZ134</f>
        <v/>
      </c>
      <c r="BA157" s="315">
        <f>BA144/BA134</f>
        <v/>
      </c>
      <c r="BB157" s="315">
        <f>BB144/BB134</f>
        <v/>
      </c>
      <c r="BC157" s="315">
        <f>BC144/BC134</f>
        <v/>
      </c>
      <c r="BD157" s="1126">
        <f>BD144/BD134</f>
        <v/>
      </c>
      <c r="BE157" s="315">
        <f>BE144/BE134</f>
        <v/>
      </c>
      <c r="BF157" s="315">
        <f>BF144/BF134</f>
        <v/>
      </c>
      <c r="BG157" s="315">
        <f>BG144/BG134</f>
        <v/>
      </c>
      <c r="BH157" s="315">
        <f>BH144/BH134</f>
        <v/>
      </c>
      <c r="BI157" s="1126">
        <f>BI144/BI134</f>
        <v/>
      </c>
      <c r="BJ157" s="315">
        <f>BJ144/BJ134</f>
        <v/>
      </c>
      <c r="BK157" s="315">
        <f>BK144/BK134</f>
        <v/>
      </c>
      <c r="BL157" s="315">
        <f>BL144/BL134</f>
        <v/>
      </c>
      <c r="BM157" s="315">
        <f>BM144/BM134</f>
        <v/>
      </c>
      <c r="BN157" s="1126">
        <f>BN144/BN134</f>
        <v/>
      </c>
      <c r="BO157" s="315">
        <f>BO144/BO134</f>
        <v/>
      </c>
      <c r="BP157" s="315">
        <f>BP144/BP134</f>
        <v/>
      </c>
      <c r="BQ157" s="315">
        <f>BQ144/BQ134</f>
        <v/>
      </c>
      <c r="BR157" s="315">
        <f>BR144/BR134</f>
        <v/>
      </c>
      <c r="BS157" s="1126">
        <f>BS144/BS134</f>
        <v/>
      </c>
      <c r="BT157" s="315">
        <f>BT144/BT134</f>
        <v/>
      </c>
      <c r="BU157" s="315">
        <f>BU144/BU134</f>
        <v/>
      </c>
      <c r="BV157" s="885">
        <f>BV144/BV134</f>
        <v/>
      </c>
      <c r="BW157" s="315" t="n"/>
      <c r="BX157" s="1126" t="n"/>
      <c r="BY157" s="315" t="n"/>
      <c r="BZ157" s="315" t="n"/>
      <c r="CA157" s="315" t="n"/>
      <c r="CB157" s="315" t="n"/>
      <c r="CC157" s="1126" t="n"/>
      <c r="CD157" s="1126" t="n"/>
      <c r="CE157" s="1126" t="n"/>
      <c r="CF157" s="1126" t="n"/>
      <c r="CG157" s="155" t="n"/>
    </row>
    <row r="158" hidden="1" outlineLevel="1">
      <c r="A158" s="666" t="inlineStr">
        <is>
          <t>Total Operating Income Margin, %</t>
        </is>
      </c>
      <c r="B158" s="673" t="n"/>
      <c r="C158" s="1133" t="n"/>
      <c r="D158" s="1133" t="n"/>
      <c r="E158" s="1133" t="n"/>
      <c r="F158" s="1133" t="n"/>
      <c r="G158" s="675" t="n"/>
      <c r="H158" s="675" t="n"/>
      <c r="I158" s="675" t="n"/>
      <c r="J158" s="675" t="n"/>
      <c r="K158" s="1133" t="n"/>
      <c r="L158" s="675" t="n"/>
      <c r="M158" s="675" t="n"/>
      <c r="N158" s="675" t="n"/>
      <c r="O158" s="675" t="n"/>
      <c r="P158" s="1133" t="n"/>
      <c r="Q158" s="675" t="n"/>
      <c r="R158" s="675" t="n"/>
      <c r="S158" s="675" t="n"/>
      <c r="T158" s="675" t="n"/>
      <c r="U158" s="1133" t="n"/>
      <c r="V158" s="675" t="n"/>
      <c r="W158" s="675" t="n"/>
      <c r="X158" s="675" t="n"/>
      <c r="Y158" s="675" t="n"/>
      <c r="Z158" s="1133" t="n"/>
      <c r="AA158" s="675" t="n"/>
      <c r="AB158" s="675" t="n"/>
      <c r="AC158" s="675" t="n"/>
      <c r="AD158" s="675" t="n"/>
      <c r="AE158" s="1133" t="n"/>
      <c r="AF158" s="675" t="n"/>
      <c r="AG158" s="675" t="n"/>
      <c r="AH158" s="675" t="n"/>
      <c r="AI158" s="675" t="n"/>
      <c r="AJ158" s="1133" t="n"/>
      <c r="AK158" s="675" t="n"/>
      <c r="AL158" s="675" t="n"/>
      <c r="AM158" s="675" t="n"/>
      <c r="AN158" s="675" t="n"/>
      <c r="AO158" s="1133" t="n"/>
      <c r="AP158" s="675">
        <f>AP154/AP135</f>
        <v/>
      </c>
      <c r="AQ158" s="675">
        <f>AQ154/AQ135</f>
        <v/>
      </c>
      <c r="AR158" s="675">
        <f>AR154/AR135</f>
        <v/>
      </c>
      <c r="AS158" s="675">
        <f>AS154/AS135</f>
        <v/>
      </c>
      <c r="AT158" s="1133">
        <f>AT154/AT135</f>
        <v/>
      </c>
      <c r="AU158" s="675">
        <f>AU154/AU135</f>
        <v/>
      </c>
      <c r="AV158" s="675">
        <f>AV154/AV135</f>
        <v/>
      </c>
      <c r="AW158" s="675">
        <f>AW154/AW135</f>
        <v/>
      </c>
      <c r="AX158" s="675">
        <f>AX154/AX135</f>
        <v/>
      </c>
      <c r="AY158" s="1133">
        <f>AY154/AY135</f>
        <v/>
      </c>
      <c r="AZ158" s="675">
        <f>AZ154/AZ135</f>
        <v/>
      </c>
      <c r="BA158" s="675">
        <f>BA154/BA135</f>
        <v/>
      </c>
      <c r="BB158" s="675">
        <f>BB154/BB135</f>
        <v/>
      </c>
      <c r="BC158" s="675">
        <f>BC154/BC135</f>
        <v/>
      </c>
      <c r="BD158" s="1133">
        <f>BD154/BD135</f>
        <v/>
      </c>
      <c r="BE158" s="675">
        <f>BE154/BE135</f>
        <v/>
      </c>
      <c r="BF158" s="675">
        <f>BF154/BF135</f>
        <v/>
      </c>
      <c r="BG158" s="675">
        <f>BG154/BG135</f>
        <v/>
      </c>
      <c r="BH158" s="675">
        <f>BH154/BH135</f>
        <v/>
      </c>
      <c r="BI158" s="1133">
        <f>BI154/BI135</f>
        <v/>
      </c>
      <c r="BJ158" s="675">
        <f>BJ154/BJ135</f>
        <v/>
      </c>
      <c r="BK158" s="675">
        <f>BK154/BK135</f>
        <v/>
      </c>
      <c r="BL158" s="675">
        <f>BL154/BL135</f>
        <v/>
      </c>
      <c r="BM158" s="675">
        <f>BM154/BM135</f>
        <v/>
      </c>
      <c r="BN158" s="1133">
        <f>BN154/BN135</f>
        <v/>
      </c>
      <c r="BO158" s="675">
        <f>BO154/BO135</f>
        <v/>
      </c>
      <c r="BP158" s="675">
        <f>BP154/BP135</f>
        <v/>
      </c>
      <c r="BQ158" s="675">
        <f>BQ154/BQ135</f>
        <v/>
      </c>
      <c r="BR158" s="675">
        <f>BR154/BR135</f>
        <v/>
      </c>
      <c r="BS158" s="1133">
        <f>BS154/BS135</f>
        <v/>
      </c>
      <c r="BT158" s="675">
        <f>BT154/BT135</f>
        <v/>
      </c>
      <c r="BU158" s="675">
        <f>BU154/BU135</f>
        <v/>
      </c>
      <c r="BV158" s="888">
        <f>BV154/BV135</f>
        <v/>
      </c>
      <c r="BW158" s="675" t="n"/>
      <c r="BX158" s="1133" t="n"/>
      <c r="BY158" s="675" t="n"/>
      <c r="BZ158" s="675" t="n"/>
      <c r="CA158" s="675" t="n"/>
      <c r="CB158" s="675" t="n"/>
      <c r="CC158" s="1133" t="n"/>
      <c r="CD158" s="1133" t="n"/>
      <c r="CE158" s="1133" t="n"/>
      <c r="CF158" s="1133" t="n"/>
      <c r="CG158" s="155" t="n"/>
    </row>
    <row r="159" hidden="1" outlineLevel="1">
      <c r="A159" s="600" t="n"/>
      <c r="B159" s="633" t="n"/>
      <c r="C159" s="1125" t="n"/>
      <c r="D159" s="1125" t="n"/>
      <c r="E159" s="1125" t="n"/>
      <c r="F159" s="1125" t="n"/>
      <c r="G159" s="63" t="n"/>
      <c r="H159" s="63" t="n"/>
      <c r="I159" s="63" t="n"/>
      <c r="J159" s="63" t="n"/>
      <c r="K159" s="1125" t="n"/>
      <c r="L159" s="63" t="n"/>
      <c r="M159" s="63" t="n"/>
      <c r="N159" s="63" t="n"/>
      <c r="O159" s="63" t="n"/>
      <c r="P159" s="1125" t="n"/>
      <c r="Q159" s="63" t="n"/>
      <c r="R159" s="63" t="n"/>
      <c r="S159" s="63" t="n"/>
      <c r="T159" s="63" t="n"/>
      <c r="U159" s="1125" t="n"/>
      <c r="V159" s="63" t="n"/>
      <c r="W159" s="63" t="n"/>
      <c r="X159" s="63" t="n"/>
      <c r="Y159" s="63" t="n"/>
      <c r="Z159" s="1125" t="n"/>
      <c r="AA159" s="63" t="n"/>
      <c r="AB159" s="63" t="n"/>
      <c r="AC159" s="63" t="n"/>
      <c r="AD159" s="63" t="n"/>
      <c r="AE159" s="1125" t="n"/>
      <c r="AF159" s="63" t="n"/>
      <c r="AG159" s="63" t="n"/>
      <c r="AH159" s="63" t="n"/>
      <c r="AI159" s="63" t="n"/>
      <c r="AJ159" s="1125" t="n"/>
      <c r="AK159" s="63" t="n"/>
      <c r="AL159" s="63" t="n"/>
      <c r="AM159" s="63" t="n"/>
      <c r="AN159" s="63" t="n"/>
      <c r="AO159" s="1125" t="n"/>
      <c r="AP159" s="63" t="n"/>
      <c r="AQ159" s="63" t="n"/>
      <c r="AR159" s="63" t="n"/>
      <c r="AS159" s="63" t="n"/>
      <c r="AT159" s="1125" t="n"/>
      <c r="AU159" s="63" t="n"/>
      <c r="AV159" s="63" t="n"/>
      <c r="AW159" s="63" t="n"/>
      <c r="AX159" s="63" t="n"/>
      <c r="AY159" s="1125" t="n"/>
      <c r="AZ159" s="63" t="n"/>
      <c r="BA159" s="63" t="n"/>
      <c r="BB159" s="63" t="n"/>
      <c r="BC159" s="63" t="n"/>
      <c r="BD159" s="1125" t="n"/>
      <c r="BE159" s="63" t="n"/>
      <c r="BF159" s="63" t="n"/>
      <c r="BG159" s="63" t="n"/>
      <c r="BH159" s="63" t="n"/>
      <c r="BI159" s="1125" t="n"/>
      <c r="BJ159" s="63" t="n"/>
      <c r="BK159" s="63" t="n"/>
      <c r="BL159" s="63" t="n"/>
      <c r="BM159" s="63" t="n"/>
      <c r="BN159" s="1125" t="n"/>
      <c r="BO159" s="63" t="n"/>
      <c r="BP159" s="63" t="n"/>
      <c r="BQ159" s="63" t="n"/>
      <c r="BR159" s="63" t="n"/>
      <c r="BS159" s="1125" t="n"/>
      <c r="BT159" s="63" t="n"/>
      <c r="BU159" s="63" t="n"/>
      <c r="BV159" s="587" t="n"/>
      <c r="BW159" s="63" t="n"/>
      <c r="BX159" s="1125" t="n"/>
      <c r="BY159" s="63" t="n"/>
      <c r="BZ159" s="63" t="n"/>
      <c r="CA159" s="63" t="n"/>
      <c r="CB159" s="63" t="n"/>
      <c r="CC159" s="1125" t="n"/>
      <c r="CD159" s="1125" t="n"/>
      <c r="CE159" s="1125" t="n"/>
      <c r="CF159" s="1125" t="n"/>
      <c r="CG159" s="155" t="n"/>
    </row>
    <row r="160" hidden="1" outlineLevel="1">
      <c r="A160" s="99" t="inlineStr">
        <is>
          <t>GPU Depreciation and amortization, mm</t>
        </is>
      </c>
      <c r="B160" s="602" t="n"/>
      <c r="C160" s="1110" t="n"/>
      <c r="D160" s="1110" t="n"/>
      <c r="E160" s="1111" t="n">
        <v>152.094</v>
      </c>
      <c r="F160" s="1111" t="n">
        <v>122.417</v>
      </c>
      <c r="G160" s="1053" t="n">
        <v>31.061</v>
      </c>
      <c r="H160" s="1053" t="n">
        <v>31.397</v>
      </c>
      <c r="I160" s="1053" t="n">
        <v>32.375</v>
      </c>
      <c r="J160" s="68">
        <f>K160-SUM(G160,H160,I160)</f>
        <v/>
      </c>
      <c r="K160" s="1111" t="n">
        <v>127.698</v>
      </c>
      <c r="L160" s="1053" t="n">
        <v>38.848</v>
      </c>
      <c r="M160" s="1053" t="n">
        <v>36.001</v>
      </c>
      <c r="N160" s="1053" t="n">
        <v>38.677</v>
      </c>
      <c r="O160" s="68">
        <f>P160-SUM(L160,M160,N160)</f>
        <v/>
      </c>
      <c r="P160" s="1111" t="n">
        <v>146.571</v>
      </c>
      <c r="Q160" s="1053" t="n">
        <v>30</v>
      </c>
      <c r="R160" s="1053" t="n">
        <v>29</v>
      </c>
      <c r="S160" s="1053" t="n">
        <v>29</v>
      </c>
      <c r="T160" s="68">
        <f>U160-SUM(Q160,R160,S160)</f>
        <v/>
      </c>
      <c r="U160" s="1111" t="n">
        <v>117</v>
      </c>
      <c r="V160" s="1053" t="n">
        <v>28</v>
      </c>
      <c r="W160" s="1053" t="n">
        <v>27</v>
      </c>
      <c r="X160" s="1053" t="n">
        <v>26</v>
      </c>
      <c r="Y160" s="68">
        <f>Z160-SUM(V160,W160,X160)</f>
        <v/>
      </c>
      <c r="Z160" s="1111" t="n">
        <v>110</v>
      </c>
      <c r="AA160" s="1053" t="n">
        <v>28</v>
      </c>
      <c r="AB160" s="1053" t="n">
        <v>29</v>
      </c>
      <c r="AC160" s="1053" t="n">
        <v>30</v>
      </c>
      <c r="AD160" s="68">
        <f>AE160-SUM(AA160,AB160,AC160)</f>
        <v/>
      </c>
      <c r="AE160" s="1111" t="n">
        <v>116</v>
      </c>
      <c r="AF160" s="1053" t="n">
        <v>28</v>
      </c>
      <c r="AG160" s="1053" t="n">
        <v>29</v>
      </c>
      <c r="AH160" s="1053" t="n">
        <v>32</v>
      </c>
      <c r="AI160" s="68">
        <f>AJ160-SUM(AF160,AG160,AH160)</f>
        <v/>
      </c>
      <c r="AJ160" s="1111" t="n">
        <v>123</v>
      </c>
      <c r="AK160" s="1053" t="n">
        <v>40</v>
      </c>
      <c r="AL160" s="1053" t="n">
        <v>43</v>
      </c>
      <c r="AM160" s="1053" t="n">
        <v>51</v>
      </c>
      <c r="AN160" s="68">
        <f>AO160-SUM(AK160,AL160,AM160)</f>
        <v/>
      </c>
      <c r="AO160" s="1111" t="n">
        <v>197</v>
      </c>
      <c r="AP160" s="1053" t="n">
        <v>76</v>
      </c>
      <c r="AQ160" s="1053" t="n">
        <v>76</v>
      </c>
      <c r="AR160" s="1053" t="n">
        <v>78</v>
      </c>
      <c r="AS160" s="68">
        <f>AT160-SUM(AP160,AQ160,AR160)</f>
        <v/>
      </c>
      <c r="AT160" s="1111" t="n">
        <v>322</v>
      </c>
      <c r="AU160" s="68" t="n"/>
      <c r="AV160" s="68" t="n"/>
      <c r="AW160" s="68" t="n"/>
      <c r="AX160" s="68" t="n"/>
      <c r="AY160" s="1110" t="n"/>
      <c r="AZ160" s="68" t="n"/>
      <c r="BA160" s="68" t="n"/>
      <c r="BB160" s="68" t="n"/>
      <c r="BC160" s="68" t="n"/>
      <c r="BD160" s="1110" t="n"/>
      <c r="BE160" s="68" t="n"/>
      <c r="BF160" s="68" t="n"/>
      <c r="BG160" s="68" t="n"/>
      <c r="BH160" s="68" t="n"/>
      <c r="BI160" s="1110" t="n"/>
      <c r="BJ160" s="68" t="n"/>
      <c r="BK160" s="68" t="n"/>
      <c r="BL160" s="68" t="n"/>
      <c r="BM160" s="68" t="n"/>
      <c r="BN160" s="1110" t="n"/>
      <c r="BO160" s="68" t="n"/>
      <c r="BP160" s="68" t="n"/>
      <c r="BQ160" s="68" t="n"/>
      <c r="BR160" s="68" t="n"/>
      <c r="BS160" s="1110" t="n"/>
      <c r="BT160" s="68" t="n"/>
      <c r="BU160" s="68" t="n"/>
      <c r="BV160" s="588" t="n"/>
      <c r="BW160" s="68" t="n"/>
      <c r="BX160" s="1110" t="n"/>
      <c r="BY160" s="68" t="n"/>
      <c r="BZ160" s="68" t="n"/>
      <c r="CA160" s="68" t="n"/>
      <c r="CB160" s="68" t="n"/>
      <c r="CC160" s="1110" t="n"/>
      <c r="CD160" s="1110" t="n"/>
      <c r="CE160" s="1110" t="n"/>
      <c r="CF160" s="1110" t="n"/>
      <c r="CG160" s="155" t="n"/>
    </row>
    <row r="161" hidden="1" outlineLevel="1">
      <c r="A161" s="99" t="inlineStr">
        <is>
          <t>Tegra Processor Depreciation and amortization, mm</t>
        </is>
      </c>
      <c r="B161" s="602" t="n"/>
      <c r="C161" s="1110" t="n"/>
      <c r="D161" s="1110" t="n"/>
      <c r="E161" s="1111" t="n">
        <v>19.081</v>
      </c>
      <c r="F161" s="1111" t="n">
        <v>42.365</v>
      </c>
      <c r="G161" s="1053" t="n">
        <v>12.718</v>
      </c>
      <c r="H161" s="1053" t="n">
        <v>14.4</v>
      </c>
      <c r="I161" s="1053" t="n">
        <v>14.087</v>
      </c>
      <c r="J161" s="68">
        <f>K161-SUM(G161,H161,I161)</f>
        <v/>
      </c>
      <c r="K161" s="1111" t="n">
        <v>56.105</v>
      </c>
      <c r="L161" s="1053" t="n">
        <v>10.671</v>
      </c>
      <c r="M161" s="1053" t="n">
        <v>15.431</v>
      </c>
      <c r="N161" s="1053" t="n">
        <v>13.164</v>
      </c>
      <c r="O161" s="68">
        <f>P161-SUM(L161,M161,N161)</f>
        <v/>
      </c>
      <c r="P161" s="1111" t="n">
        <v>49.839</v>
      </c>
      <c r="Q161" s="1053" t="n">
        <v>14</v>
      </c>
      <c r="R161" s="1053" t="n">
        <v>15</v>
      </c>
      <c r="S161" s="1053" t="n">
        <v>15</v>
      </c>
      <c r="T161" s="68">
        <f>U161-SUM(Q161,R161,S161)</f>
        <v/>
      </c>
      <c r="U161" s="1111" t="n">
        <v>57</v>
      </c>
      <c r="V161" s="1053" t="n">
        <v>14</v>
      </c>
      <c r="W161" s="1053" t="n">
        <v>11</v>
      </c>
      <c r="X161" s="1053" t="n">
        <v>11</v>
      </c>
      <c r="Y161" s="68">
        <f>Z161-SUM(V161,W161,X161)</f>
        <v/>
      </c>
      <c r="Z161" s="1111" t="n">
        <v>43</v>
      </c>
      <c r="AA161" s="1053" t="n">
        <v>7</v>
      </c>
      <c r="AB161" s="1053" t="n">
        <v>7</v>
      </c>
      <c r="AC161" s="1053" t="n">
        <v>8</v>
      </c>
      <c r="AD161" s="68">
        <f>AE161-SUM(AA161,AB161,AC161)</f>
        <v/>
      </c>
      <c r="AE161" s="1111" t="n">
        <v>29</v>
      </c>
      <c r="AF161" s="1053" t="n">
        <v>9</v>
      </c>
      <c r="AG161" s="1053" t="n">
        <v>9</v>
      </c>
      <c r="AH161" s="1053" t="n">
        <v>9</v>
      </c>
      <c r="AI161" s="68">
        <f>AJ161-SUM(AF161,AG161,AH161)</f>
        <v/>
      </c>
      <c r="AJ161" s="1111" t="n">
        <v>37</v>
      </c>
      <c r="AK161" s="1053" t="n">
        <v>10</v>
      </c>
      <c r="AL161" s="1053" t="n">
        <v>12</v>
      </c>
      <c r="AM161" s="1053" t="n">
        <v>13</v>
      </c>
      <c r="AN161" s="68">
        <f>AO161-SUM(AK161,AL161,AM161)</f>
        <v/>
      </c>
      <c r="AO161" s="1111" t="n">
        <v>47</v>
      </c>
      <c r="AP161" s="1053" t="n">
        <v>12</v>
      </c>
      <c r="AQ161" s="1053" t="n">
        <v>12</v>
      </c>
      <c r="AR161" s="1053" t="n">
        <v>10</v>
      </c>
      <c r="AS161" s="68">
        <f>AT161-SUM(AP161,AQ161,AR161)</f>
        <v/>
      </c>
      <c r="AT161" s="1111" t="n">
        <v>44</v>
      </c>
      <c r="AU161" s="68" t="n"/>
      <c r="AV161" s="68" t="n"/>
      <c r="AW161" s="68" t="n"/>
      <c r="AX161" s="68" t="n"/>
      <c r="AY161" s="1110" t="n"/>
      <c r="AZ161" s="68" t="n"/>
      <c r="BA161" s="68" t="n"/>
      <c r="BB161" s="68" t="n"/>
      <c r="BC161" s="68" t="n"/>
      <c r="BD161" s="1110" t="n"/>
      <c r="BE161" s="68" t="n"/>
      <c r="BF161" s="68" t="n"/>
      <c r="BG161" s="68" t="n"/>
      <c r="BH161" s="68" t="n"/>
      <c r="BI161" s="1110" t="n"/>
      <c r="BJ161" s="68" t="n"/>
      <c r="BK161" s="68" t="n"/>
      <c r="BL161" s="68" t="n"/>
      <c r="BM161" s="68" t="n"/>
      <c r="BN161" s="1110" t="n"/>
      <c r="BO161" s="68" t="n"/>
      <c r="BP161" s="68" t="n"/>
      <c r="BQ161" s="68" t="n"/>
      <c r="BR161" s="68" t="n"/>
      <c r="BS161" s="1110" t="n"/>
      <c r="BT161" s="68" t="n"/>
      <c r="BU161" s="68" t="n"/>
      <c r="BV161" s="588" t="n"/>
      <c r="BW161" s="68" t="n"/>
      <c r="BX161" s="1110" t="n"/>
      <c r="BY161" s="68" t="n"/>
      <c r="BZ161" s="68" t="n"/>
      <c r="CA161" s="68" t="n"/>
      <c r="CB161" s="68" t="n"/>
      <c r="CC161" s="1110" t="n"/>
      <c r="CD161" s="1110" t="n"/>
      <c r="CE161" s="1110" t="n"/>
      <c r="CF161" s="1110" t="n"/>
      <c r="CG161" s="155" t="n"/>
    </row>
    <row r="162" hidden="1" outlineLevel="1">
      <c r="A162" s="99" t="inlineStr">
        <is>
          <t>All Other Depreciation and amortization, mm</t>
        </is>
      </c>
      <c r="B162" s="602" t="n"/>
      <c r="C162" s="1110" t="n"/>
      <c r="D162" s="1110" t="n"/>
      <c r="E162" s="1111" t="n">
        <v>15.814</v>
      </c>
      <c r="F162" s="1111" t="n">
        <v>39.423</v>
      </c>
      <c r="G162" s="1053" t="n">
        <v>10.712</v>
      </c>
      <c r="H162" s="1053" t="n">
        <v>10.398</v>
      </c>
      <c r="I162" s="1053" t="n">
        <v>10.686</v>
      </c>
      <c r="J162" s="68">
        <f>K162-SUM(G162,H162,I162)</f>
        <v/>
      </c>
      <c r="K162" s="1111" t="n">
        <v>42.432</v>
      </c>
      <c r="L162" s="1053" t="n">
        <v>10.225</v>
      </c>
      <c r="M162" s="1053" t="n">
        <v>10.408</v>
      </c>
      <c r="N162" s="1053" t="n">
        <v>10.885</v>
      </c>
      <c r="O162" s="68">
        <f>P162-SUM(L162,M162,N162)</f>
        <v/>
      </c>
      <c r="P162" s="1111" t="n">
        <v>42.738</v>
      </c>
      <c r="Q162" s="1053" t="n">
        <v>11</v>
      </c>
      <c r="R162" s="1053" t="n">
        <v>12</v>
      </c>
      <c r="S162" s="1053" t="n">
        <v>12</v>
      </c>
      <c r="T162" s="68">
        <f>U162-SUM(Q162,R162,S162)</f>
        <v/>
      </c>
      <c r="U162" s="1111" t="n">
        <v>46</v>
      </c>
      <c r="V162" s="1053" t="n">
        <v>12</v>
      </c>
      <c r="W162" s="1053" t="n">
        <v>11</v>
      </c>
      <c r="X162" s="1053" t="n">
        <v>11</v>
      </c>
      <c r="Y162" s="68">
        <f>Z162-SUM(V162,W162,X162)</f>
        <v/>
      </c>
      <c r="Z162" s="1111" t="n">
        <v>44</v>
      </c>
      <c r="AA162" s="1053" t="n">
        <v>10</v>
      </c>
      <c r="AB162" s="1053" t="n">
        <v>11</v>
      </c>
      <c r="AC162" s="1053" t="n">
        <v>10</v>
      </c>
      <c r="AD162" s="68">
        <f>AE162-SUM(AA162,AB162,AC162)</f>
        <v/>
      </c>
      <c r="AE162" s="1111" t="n">
        <v>42</v>
      </c>
      <c r="AF162" s="1053" t="n">
        <v>10</v>
      </c>
      <c r="AG162" s="1053" t="n">
        <v>11</v>
      </c>
      <c r="AH162" s="1053" t="n">
        <v>9</v>
      </c>
      <c r="AI162" s="68">
        <f>AJ162-SUM(AF162,AG162,AH162)</f>
        <v/>
      </c>
      <c r="AJ162" s="1111" t="n">
        <v>39</v>
      </c>
      <c r="AK162" s="1053" t="n">
        <v>7</v>
      </c>
      <c r="AL162" s="1053" t="n">
        <v>3</v>
      </c>
      <c r="AM162" s="1053" t="n">
        <v>4</v>
      </c>
      <c r="AN162" s="68">
        <f>AO162-SUM(AK162,AL162,AM162)</f>
        <v/>
      </c>
      <c r="AO162" s="1111" t="n">
        <v>18</v>
      </c>
      <c r="AP162" s="1053" t="n">
        <v>3</v>
      </c>
      <c r="AQ162" s="1053" t="n">
        <v>4</v>
      </c>
      <c r="AR162" s="1053" t="n">
        <v>4</v>
      </c>
      <c r="AS162" s="68">
        <f>AT162-SUM(AP162,AQ162,AR162)</f>
        <v/>
      </c>
      <c r="AT162" s="1111" t="n">
        <v>15</v>
      </c>
      <c r="AU162" s="68" t="n"/>
      <c r="AV162" s="68" t="n"/>
      <c r="AW162" s="68" t="n"/>
      <c r="AX162" s="68" t="n"/>
      <c r="AY162" s="1110" t="n"/>
      <c r="AZ162" s="68" t="n"/>
      <c r="BA162" s="68" t="n"/>
      <c r="BB162" s="68" t="n"/>
      <c r="BC162" s="68" t="n"/>
      <c r="BD162" s="1110" t="n"/>
      <c r="BE162" s="68" t="n"/>
      <c r="BF162" s="68" t="n"/>
      <c r="BG162" s="68" t="n"/>
      <c r="BH162" s="68" t="n"/>
      <c r="BI162" s="1110" t="n"/>
      <c r="BJ162" s="68" t="n"/>
      <c r="BK162" s="68" t="n"/>
      <c r="BL162" s="68" t="n"/>
      <c r="BM162" s="68" t="n"/>
      <c r="BN162" s="1110" t="n"/>
      <c r="BO162" s="68" t="n"/>
      <c r="BP162" s="68" t="n"/>
      <c r="BQ162" s="68" t="n"/>
      <c r="BR162" s="68" t="n"/>
      <c r="BS162" s="1110" t="n"/>
      <c r="BT162" s="68" t="n"/>
      <c r="BU162" s="68" t="n"/>
      <c r="BV162" s="588" t="n"/>
      <c r="BW162" s="68" t="n"/>
      <c r="BX162" s="1110" t="n"/>
      <c r="BY162" s="68" t="n"/>
      <c r="BZ162" s="68" t="n"/>
      <c r="CA162" s="68" t="n"/>
      <c r="CB162" s="68" t="n"/>
      <c r="CC162" s="1110" t="n"/>
      <c r="CD162" s="1110" t="n"/>
      <c r="CE162" s="1110" t="n"/>
      <c r="CF162" s="1110" t="n"/>
      <c r="CG162" s="155" t="n"/>
    </row>
    <row r="163" hidden="1" outlineLevel="1">
      <c r="A163" s="631" t="inlineStr">
        <is>
          <t>Total Depreciation and amortization, mm</t>
        </is>
      </c>
      <c r="B163" s="604" t="n"/>
      <c r="C163" s="1122" t="n"/>
      <c r="D163" s="1122" t="n"/>
      <c r="E163" s="1122">
        <f>SUM(E160:E162)</f>
        <v/>
      </c>
      <c r="F163" s="1122">
        <f>SUM(F160:F162)</f>
        <v/>
      </c>
      <c r="G163" s="61">
        <f>SUM(G160:G162)</f>
        <v/>
      </c>
      <c r="H163" s="61">
        <f>SUM(H160:H162)</f>
        <v/>
      </c>
      <c r="I163" s="61">
        <f>SUM(I160:I162)</f>
        <v/>
      </c>
      <c r="J163" s="61">
        <f>SUM(J160:J162)</f>
        <v/>
      </c>
      <c r="K163" s="1122">
        <f>SUM(K160:K162)</f>
        <v/>
      </c>
      <c r="L163" s="61">
        <f>SUM(L160:L162)</f>
        <v/>
      </c>
      <c r="M163" s="61">
        <f>SUM(M160:M162)</f>
        <v/>
      </c>
      <c r="N163" s="61">
        <f>SUM(N160:N162)</f>
        <v/>
      </c>
      <c r="O163" s="61">
        <f>SUM(O160:O162)</f>
        <v/>
      </c>
      <c r="P163" s="1122">
        <f>SUM(P160:P162)</f>
        <v/>
      </c>
      <c r="Q163" s="61">
        <f>SUM(Q160:Q162)</f>
        <v/>
      </c>
      <c r="R163" s="61">
        <f>SUM(R160:R162)</f>
        <v/>
      </c>
      <c r="S163" s="61">
        <f>SUM(S160:S162)</f>
        <v/>
      </c>
      <c r="T163" s="61">
        <f>SUM(T160:T162)</f>
        <v/>
      </c>
      <c r="U163" s="1122">
        <f>SUM(U160:U162)</f>
        <v/>
      </c>
      <c r="V163" s="61">
        <f>SUM(V160:V162)</f>
        <v/>
      </c>
      <c r="W163" s="61">
        <f>SUM(W160:W162)</f>
        <v/>
      </c>
      <c r="X163" s="61">
        <f>SUM(X160:X162)</f>
        <v/>
      </c>
      <c r="Y163" s="61">
        <f>SUM(Y160:Y162)</f>
        <v/>
      </c>
      <c r="Z163" s="1122">
        <f>SUM(Z160:Z162)</f>
        <v/>
      </c>
      <c r="AA163" s="61">
        <f>SUM(AA160:AA162)</f>
        <v/>
      </c>
      <c r="AB163" s="61">
        <f>SUM(AB160:AB162)</f>
        <v/>
      </c>
      <c r="AC163" s="61">
        <f>SUM(AC160:AC162)</f>
        <v/>
      </c>
      <c r="AD163" s="61">
        <f>SUM(AD160:AD162)</f>
        <v/>
      </c>
      <c r="AE163" s="1122">
        <f>SUM(AE160:AE162)</f>
        <v/>
      </c>
      <c r="AF163" s="61">
        <f>SUM(AF160:AF162)</f>
        <v/>
      </c>
      <c r="AG163" s="61">
        <f>SUM(AG160:AG162)</f>
        <v/>
      </c>
      <c r="AH163" s="61">
        <f>SUM(AH160:AH162)</f>
        <v/>
      </c>
      <c r="AI163" s="61">
        <f>SUM(AI160:AI162)</f>
        <v/>
      </c>
      <c r="AJ163" s="1122">
        <f>SUM(AJ160:AJ162)</f>
        <v/>
      </c>
      <c r="AK163" s="61">
        <f>SUM(AK160:AK162)</f>
        <v/>
      </c>
      <c r="AL163" s="61">
        <f>SUM(AL160:AL162)</f>
        <v/>
      </c>
      <c r="AM163" s="61">
        <f>SUM(AM160:AM162)</f>
        <v/>
      </c>
      <c r="AN163" s="61">
        <f>SUM(AN160:AN162)</f>
        <v/>
      </c>
      <c r="AO163" s="1122">
        <f>SUM(AO160:AO162)</f>
        <v/>
      </c>
      <c r="AP163" s="61">
        <f>SUM(AP160:AP162)</f>
        <v/>
      </c>
      <c r="AQ163" s="61">
        <f>SUM(AQ160:AQ162)</f>
        <v/>
      </c>
      <c r="AR163" s="61">
        <f>SUM(AR160:AR162)</f>
        <v/>
      </c>
      <c r="AS163" s="61">
        <f>SUM(AS160:AS162)</f>
        <v/>
      </c>
      <c r="AT163" s="1122">
        <f>SUM(AT160:AT162)</f>
        <v/>
      </c>
      <c r="AU163" s="61" t="n"/>
      <c r="AV163" s="61" t="n"/>
      <c r="AW163" s="61" t="n"/>
      <c r="AX163" s="61" t="n"/>
      <c r="AY163" s="1122" t="n"/>
      <c r="AZ163" s="61" t="n"/>
      <c r="BA163" s="61" t="n"/>
      <c r="BB163" s="61" t="n"/>
      <c r="BC163" s="61" t="n"/>
      <c r="BD163" s="1122" t="n"/>
      <c r="BE163" s="61" t="n"/>
      <c r="BF163" s="61" t="n"/>
      <c r="BG163" s="61" t="n"/>
      <c r="BH163" s="61" t="n"/>
      <c r="BI163" s="1122" t="n"/>
      <c r="BJ163" s="61" t="n"/>
      <c r="BK163" s="61" t="n"/>
      <c r="BL163" s="61" t="n"/>
      <c r="BM163" s="61" t="n"/>
      <c r="BN163" s="1122" t="n"/>
      <c r="BO163" s="61" t="n"/>
      <c r="BP163" s="61" t="n"/>
      <c r="BQ163" s="61" t="n"/>
      <c r="BR163" s="61" t="n"/>
      <c r="BS163" s="1122" t="n"/>
      <c r="BT163" s="61" t="n"/>
      <c r="BU163" s="61" t="n"/>
      <c r="BV163" s="884" t="n"/>
      <c r="BW163" s="61" t="n"/>
      <c r="BX163" s="1122" t="n"/>
      <c r="BY163" s="61" t="n"/>
      <c r="BZ163" s="61" t="n"/>
      <c r="CA163" s="61" t="n"/>
      <c r="CB163" s="61" t="n"/>
      <c r="CC163" s="1122" t="n"/>
      <c r="CD163" s="1122" t="n"/>
      <c r="CE163" s="1122" t="n"/>
      <c r="CF163" s="1122" t="n"/>
      <c r="CG163" s="155" t="n"/>
    </row>
    <row r="164" hidden="1" outlineLevel="1">
      <c r="A164" s="600" t="n"/>
      <c r="B164" s="633" t="n"/>
      <c r="C164" s="1125" t="n"/>
      <c r="D164" s="1125" t="n"/>
      <c r="E164" s="1125" t="n"/>
      <c r="F164" s="1125" t="n"/>
      <c r="G164" s="63" t="n"/>
      <c r="H164" s="63" t="n"/>
      <c r="I164" s="63" t="n"/>
      <c r="J164" s="63" t="n"/>
      <c r="K164" s="1125" t="n"/>
      <c r="L164" s="63" t="n"/>
      <c r="M164" s="63" t="n"/>
      <c r="N164" s="63" t="n"/>
      <c r="O164" s="63" t="n"/>
      <c r="P164" s="1125" t="n"/>
      <c r="Q164" s="63" t="n"/>
      <c r="R164" s="63" t="n"/>
      <c r="S164" s="63" t="n"/>
      <c r="T164" s="63" t="n"/>
      <c r="U164" s="1125" t="n"/>
      <c r="V164" s="63" t="n"/>
      <c r="W164" s="63" t="n"/>
      <c r="X164" s="63" t="n"/>
      <c r="Y164" s="63" t="n"/>
      <c r="Z164" s="1125" t="n"/>
      <c r="AA164" s="63" t="n"/>
      <c r="AB164" s="63" t="n"/>
      <c r="AC164" s="63" t="n"/>
      <c r="AD164" s="63" t="n"/>
      <c r="AE164" s="1125" t="n"/>
      <c r="AF164" s="63" t="n"/>
      <c r="AG164" s="63" t="n"/>
      <c r="AH164" s="63" t="n"/>
      <c r="AI164" s="63" t="n"/>
      <c r="AJ164" s="1125" t="n"/>
      <c r="AK164" s="63" t="n"/>
      <c r="AL164" s="63" t="n"/>
      <c r="AM164" s="63" t="n"/>
      <c r="AN164" s="63" t="n"/>
      <c r="AO164" s="1125" t="n"/>
      <c r="AP164" s="63" t="n"/>
      <c r="AQ164" s="63" t="n"/>
      <c r="AR164" s="63" t="n"/>
      <c r="AS164" s="63" t="n"/>
      <c r="AT164" s="1125" t="n"/>
      <c r="AU164" s="63" t="n"/>
      <c r="AV164" s="63" t="n"/>
      <c r="AW164" s="63" t="n"/>
      <c r="AX164" s="63" t="n"/>
      <c r="AY164" s="1125" t="n"/>
      <c r="AZ164" s="63" t="n"/>
      <c r="BA164" s="63" t="n"/>
      <c r="BB164" s="63" t="n"/>
      <c r="BC164" s="63" t="n"/>
      <c r="BD164" s="1125" t="n"/>
      <c r="BE164" s="63" t="n"/>
      <c r="BF164" s="63" t="n"/>
      <c r="BG164" s="63" t="n"/>
      <c r="BH164" s="63" t="n"/>
      <c r="BI164" s="1125" t="n"/>
      <c r="BJ164" s="63" t="n"/>
      <c r="BK164" s="63" t="n"/>
      <c r="BL164" s="63" t="n"/>
      <c r="BM164" s="63" t="n"/>
      <c r="BN164" s="1125" t="n"/>
      <c r="BO164" s="63" t="n"/>
      <c r="BP164" s="63" t="n"/>
      <c r="BQ164" s="63" t="n"/>
      <c r="BR164" s="63" t="n"/>
      <c r="BS164" s="1125" t="n"/>
      <c r="BT164" s="63" t="n"/>
      <c r="BU164" s="63" t="n"/>
      <c r="BV164" s="587" t="n"/>
      <c r="BW164" s="63" t="n"/>
      <c r="BX164" s="1125" t="n"/>
      <c r="BY164" s="63" t="n"/>
      <c r="BZ164" s="63" t="n"/>
      <c r="CA164" s="63" t="n"/>
      <c r="CB164" s="63" t="n"/>
      <c r="CC164" s="1125" t="n"/>
      <c r="CD164" s="1125" t="n"/>
      <c r="CE164" s="1125" t="n"/>
      <c r="CF164" s="1125" t="n"/>
      <c r="CG164" s="155" t="n"/>
    </row>
    <row r="165" hidden="1" outlineLevel="1">
      <c r="A165" s="99" t="inlineStr">
        <is>
          <t>GPU Operating Income (loss), mm</t>
        </is>
      </c>
      <c r="B165" s="602" t="n"/>
      <c r="C165" s="1110" t="n"/>
      <c r="D165" s="1110" t="n"/>
      <c r="E165" s="1111" t="n">
        <v>680.761</v>
      </c>
      <c r="F165" s="1111" t="n">
        <v>821.64</v>
      </c>
      <c r="G165" s="1053" t="n">
        <v>153.477</v>
      </c>
      <c r="H165" s="1053" t="n">
        <v>216.03</v>
      </c>
      <c r="I165" s="1053" t="n">
        <v>264.087</v>
      </c>
      <c r="J165" s="68">
        <f>K165-SUM(G165,H165,I165)</f>
        <v/>
      </c>
      <c r="K165" s="1111" t="n">
        <v>884.7670000000001</v>
      </c>
      <c r="L165" s="1053" t="n">
        <v>158.526</v>
      </c>
      <c r="M165" s="1053" t="n">
        <v>207.914</v>
      </c>
      <c r="N165" s="1053" t="n">
        <v>220.351</v>
      </c>
      <c r="O165" s="68">
        <f>P165-SUM(L165,M165,N165)</f>
        <v/>
      </c>
      <c r="P165" s="1111" t="n">
        <v>834.763</v>
      </c>
      <c r="Q165" s="1053" t="n">
        <v>235</v>
      </c>
      <c r="R165" s="1053" t="n">
        <v>241</v>
      </c>
      <c r="S165" s="1053" t="n">
        <v>294</v>
      </c>
      <c r="T165" s="68">
        <f>U165-SUM(Q165,R165,S165)</f>
        <v/>
      </c>
      <c r="U165" s="1111" t="n">
        <v>1113</v>
      </c>
      <c r="V165" s="1053" t="n">
        <v>278</v>
      </c>
      <c r="W165" s="1053" t="n">
        <v>273</v>
      </c>
      <c r="X165" s="1053" t="n">
        <v>367</v>
      </c>
      <c r="Y165" s="68">
        <f>Z165-SUM(V165,W165,X165)</f>
        <v/>
      </c>
      <c r="Z165" s="1111" t="n">
        <v>1344</v>
      </c>
      <c r="AA165" s="1053" t="n">
        <v>348</v>
      </c>
      <c r="AB165" s="1053" t="n">
        <v>379</v>
      </c>
      <c r="AC165" s="1053" t="n">
        <v>678</v>
      </c>
      <c r="AD165" s="68">
        <f>AE165-SUM(AA165,AB165,AC165)</f>
        <v/>
      </c>
      <c r="AE165" s="1111" t="n">
        <v>2180</v>
      </c>
      <c r="AF165" s="1053" t="n">
        <v>602</v>
      </c>
      <c r="AG165" s="1053" t="n">
        <v>761</v>
      </c>
      <c r="AH165" s="1053" t="n">
        <v>978</v>
      </c>
      <c r="AI165" s="68">
        <f>AJ165-SUM(AF165,AG165,AH165)</f>
        <v/>
      </c>
      <c r="AJ165" s="1111" t="n">
        <v>3507</v>
      </c>
      <c r="AK165" s="1053" t="n">
        <v>1394</v>
      </c>
      <c r="AL165" s="1053" t="n">
        <v>1259</v>
      </c>
      <c r="AM165" s="1053" t="n">
        <v>1214</v>
      </c>
      <c r="AN165" s="68">
        <f>AO165-SUM(AK165,AL165,AM165)</f>
        <v/>
      </c>
      <c r="AO165" s="1111" t="n">
        <v>4443</v>
      </c>
      <c r="AP165" s="1053" t="n">
        <v>669</v>
      </c>
      <c r="AQ165" s="1053" t="n">
        <v>746</v>
      </c>
      <c r="AR165" s="1053" t="n">
        <v>1135</v>
      </c>
      <c r="AS165" s="68">
        <f>AT165-SUM(AP165,AQ165,AR165)</f>
        <v/>
      </c>
      <c r="AT165" s="1111" t="n">
        <v>3806</v>
      </c>
      <c r="AU165" s="68" t="n"/>
      <c r="AV165" s="68" t="n"/>
      <c r="AW165" s="68" t="n"/>
      <c r="AX165" s="68" t="n"/>
      <c r="AY165" s="1110" t="n"/>
      <c r="AZ165" s="68" t="n"/>
      <c r="BA165" s="68" t="n"/>
      <c r="BB165" s="68" t="n"/>
      <c r="BC165" s="68" t="n"/>
      <c r="BD165" s="1110" t="n"/>
      <c r="BE165" s="68" t="n"/>
      <c r="BF165" s="68" t="n"/>
      <c r="BG165" s="68" t="n"/>
      <c r="BH165" s="68" t="n"/>
      <c r="BI165" s="1110" t="n"/>
      <c r="BJ165" s="68" t="n"/>
      <c r="BK165" s="68" t="n"/>
      <c r="BL165" s="68" t="n"/>
      <c r="BM165" s="68" t="n"/>
      <c r="BN165" s="1110" t="n"/>
      <c r="BO165" s="68" t="n"/>
      <c r="BP165" s="68" t="n"/>
      <c r="BQ165" s="68" t="n"/>
      <c r="BR165" s="68" t="n"/>
      <c r="BS165" s="1110" t="n"/>
      <c r="BT165" s="68" t="n"/>
      <c r="BU165" s="68" t="n"/>
      <c r="BV165" s="588" t="n"/>
      <c r="BW165" s="68" t="n"/>
      <c r="BX165" s="1110" t="n"/>
      <c r="BY165" s="68" t="n"/>
      <c r="BZ165" s="68" t="n"/>
      <c r="CA165" s="68" t="n"/>
      <c r="CB165" s="68" t="n"/>
      <c r="CC165" s="1110" t="n"/>
      <c r="CD165" s="1110" t="n"/>
      <c r="CE165" s="1110" t="n"/>
      <c r="CF165" s="1110" t="n"/>
      <c r="CG165" s="155" t="n"/>
    </row>
    <row r="166" hidden="1" outlineLevel="1">
      <c r="A166" s="99" t="inlineStr">
        <is>
          <t>Tegra Processor Operating Income (loss), mm</t>
        </is>
      </c>
      <c r="B166" s="602" t="n"/>
      <c r="C166" s="1110" t="n"/>
      <c r="D166" s="1110" t="n"/>
      <c r="E166" s="1111" t="n">
        <v>-49.238</v>
      </c>
      <c r="F166" s="1111" t="n">
        <v>-60.417</v>
      </c>
      <c r="G166" s="1053" t="n">
        <v>-62.536</v>
      </c>
      <c r="H166" s="1053" t="n">
        <v>-45.328</v>
      </c>
      <c r="I166" s="1053" t="n">
        <v>1.276</v>
      </c>
      <c r="J166" s="68">
        <f>K166-SUM(G166,H166,I166)</f>
        <v/>
      </c>
      <c r="K166" s="1111" t="n">
        <v>-157.923</v>
      </c>
      <c r="L166" s="1053" t="n">
        <v>-54.99</v>
      </c>
      <c r="M166" s="1053" t="n">
        <v>-83.56</v>
      </c>
      <c r="N166" s="1053" t="n">
        <v>-64.21899999999999</v>
      </c>
      <c r="O166" s="68">
        <f>P166-SUM(L166,M166,N166)</f>
        <v/>
      </c>
      <c r="P166" s="1111" t="n">
        <v>-268.068</v>
      </c>
      <c r="Q166" s="1053" t="n">
        <v>-62</v>
      </c>
      <c r="R166" s="1053" t="n">
        <v>-55</v>
      </c>
      <c r="S166" s="1053" t="n">
        <v>-53</v>
      </c>
      <c r="T166" s="68">
        <f>U166-SUM(Q166,R166,S166)</f>
        <v/>
      </c>
      <c r="U166" s="1111" t="n">
        <v>-254</v>
      </c>
      <c r="V166" s="1053" t="n">
        <v>-57</v>
      </c>
      <c r="W166" s="1053" t="n">
        <v>-41</v>
      </c>
      <c r="X166" s="1053" t="n">
        <v>-65</v>
      </c>
      <c r="Y166" s="68">
        <f>Z166-SUM(V166,W166,X166)</f>
        <v/>
      </c>
      <c r="Z166" s="1111" t="n">
        <v>-239</v>
      </c>
      <c r="AA166" s="1053" t="n">
        <v>-38</v>
      </c>
      <c r="AB166" s="1053" t="n">
        <v>-14</v>
      </c>
      <c r="AC166" s="1053" t="n">
        <v>17</v>
      </c>
      <c r="AD166" s="68">
        <f>AE166-SUM(AA166,AB166,AC166)</f>
        <v/>
      </c>
      <c r="AE166" s="1111" t="n">
        <v>-9</v>
      </c>
      <c r="AF166" s="1053" t="n">
        <v>47</v>
      </c>
      <c r="AG166" s="1053" t="n">
        <v>71</v>
      </c>
      <c r="AH166" s="1053" t="n">
        <v>88</v>
      </c>
      <c r="AI166" s="68">
        <f>AJ166-SUM(AF166,AG166,AH166)</f>
        <v/>
      </c>
      <c r="AJ166" s="1111" t="n">
        <v>303</v>
      </c>
      <c r="AK166" s="1053" t="n">
        <v>97</v>
      </c>
      <c r="AL166" s="1053" t="n">
        <v>97</v>
      </c>
      <c r="AM166" s="1053" t="n">
        <v>72</v>
      </c>
      <c r="AN166" s="68">
        <f>AO166-SUM(AK166,AL166,AM166)</f>
        <v/>
      </c>
      <c r="AO166" s="1111" t="n">
        <v>241</v>
      </c>
      <c r="AP166" s="1053" t="n">
        <v>-44</v>
      </c>
      <c r="AQ166" s="1053" t="n">
        <v>122</v>
      </c>
      <c r="AR166" s="1053" t="n">
        <v>85</v>
      </c>
      <c r="AS166" s="68">
        <f>AT166-SUM(AP166,AQ166,AR166)</f>
        <v/>
      </c>
      <c r="AT166" s="1111" t="n">
        <v>196</v>
      </c>
      <c r="AU166" s="68" t="n"/>
      <c r="AV166" s="68" t="n"/>
      <c r="AW166" s="68" t="n"/>
      <c r="AX166" s="68" t="n"/>
      <c r="AY166" s="1110" t="n"/>
      <c r="AZ166" s="68" t="n"/>
      <c r="BA166" s="68" t="n"/>
      <c r="BB166" s="68" t="n"/>
      <c r="BC166" s="68" t="n"/>
      <c r="BD166" s="1110" t="n"/>
      <c r="BE166" s="68" t="n"/>
      <c r="BF166" s="68" t="n"/>
      <c r="BG166" s="68" t="n"/>
      <c r="BH166" s="68" t="n"/>
      <c r="BI166" s="1110" t="n"/>
      <c r="BJ166" s="68" t="n"/>
      <c r="BK166" s="68" t="n"/>
      <c r="BL166" s="68" t="n"/>
      <c r="BM166" s="68" t="n"/>
      <c r="BN166" s="1110" t="n"/>
      <c r="BO166" s="68" t="n"/>
      <c r="BP166" s="68" t="n"/>
      <c r="BQ166" s="68" t="n"/>
      <c r="BR166" s="68" t="n"/>
      <c r="BS166" s="1110" t="n"/>
      <c r="BT166" s="68" t="n"/>
      <c r="BU166" s="68" t="n"/>
      <c r="BV166" s="588" t="n"/>
      <c r="BW166" s="68" t="n"/>
      <c r="BX166" s="1110" t="n"/>
      <c r="BY166" s="68" t="n"/>
      <c r="BZ166" s="68" t="n"/>
      <c r="CA166" s="68" t="n"/>
      <c r="CB166" s="68" t="n"/>
      <c r="CC166" s="1110" t="n"/>
      <c r="CD166" s="1110" t="n"/>
      <c r="CE166" s="1110" t="n"/>
      <c r="CF166" s="1110" t="n"/>
      <c r="CG166" s="155" t="n"/>
    </row>
    <row r="167" hidden="1" outlineLevel="1">
      <c r="A167" s="572" t="inlineStr">
        <is>
          <t>All Other Revenue, mm</t>
        </is>
      </c>
      <c r="B167" s="602" t="n"/>
      <c r="C167" s="1110" t="n"/>
      <c r="D167" s="1110" t="n"/>
      <c r="E167" s="1110" t="n"/>
      <c r="F167" s="1110">
        <f>F139</f>
        <v/>
      </c>
      <c r="G167" s="68">
        <f>G139</f>
        <v/>
      </c>
      <c r="H167" s="68">
        <f>H139</f>
        <v/>
      </c>
      <c r="I167" s="68">
        <f>I139</f>
        <v/>
      </c>
      <c r="J167" s="68">
        <f>J139</f>
        <v/>
      </c>
      <c r="K167" s="1110">
        <f>K139</f>
        <v/>
      </c>
      <c r="L167" s="68">
        <f>L139</f>
        <v/>
      </c>
      <c r="M167" s="68">
        <f>M139</f>
        <v/>
      </c>
      <c r="N167" s="68">
        <f>N139</f>
        <v/>
      </c>
      <c r="O167" s="68">
        <f>O139</f>
        <v/>
      </c>
      <c r="P167" s="1110">
        <f>P139</f>
        <v/>
      </c>
      <c r="Q167" s="68">
        <f>Q139</f>
        <v/>
      </c>
      <c r="R167" s="68">
        <f>R139</f>
        <v/>
      </c>
      <c r="S167" s="68">
        <f>S139</f>
        <v/>
      </c>
      <c r="T167" s="68">
        <f>T139</f>
        <v/>
      </c>
      <c r="U167" s="1110">
        <f>U139</f>
        <v/>
      </c>
      <c r="V167" s="68">
        <f>V139</f>
        <v/>
      </c>
      <c r="W167" s="68">
        <f>W139</f>
        <v/>
      </c>
      <c r="X167" s="68">
        <f>X139</f>
        <v/>
      </c>
      <c r="Y167" s="68">
        <f>Y139</f>
        <v/>
      </c>
      <c r="Z167" s="1110">
        <f>Z139</f>
        <v/>
      </c>
      <c r="AA167" s="68">
        <f>AA139</f>
        <v/>
      </c>
      <c r="AB167" s="68">
        <f>AB139</f>
        <v/>
      </c>
      <c r="AC167" s="68">
        <f>AC139</f>
        <v/>
      </c>
      <c r="AD167" s="68">
        <f>AD139</f>
        <v/>
      </c>
      <c r="AE167" s="1110">
        <f>AE139</f>
        <v/>
      </c>
      <c r="AF167" s="68">
        <f>AF139</f>
        <v/>
      </c>
      <c r="AG167" s="68">
        <f>AG139</f>
        <v/>
      </c>
      <c r="AH167" s="68">
        <f>AH139</f>
        <v/>
      </c>
      <c r="AI167" s="68">
        <f>AI139</f>
        <v/>
      </c>
      <c r="AJ167" s="1110">
        <f>AJ139</f>
        <v/>
      </c>
      <c r="AK167" s="68">
        <f>AK139</f>
        <v/>
      </c>
      <c r="AL167" s="68">
        <f>AL139</f>
        <v/>
      </c>
      <c r="AM167" s="68">
        <f>AM139</f>
        <v/>
      </c>
      <c r="AN167" s="68">
        <f>AN139</f>
        <v/>
      </c>
      <c r="AO167" s="1110">
        <f>AO139</f>
        <v/>
      </c>
      <c r="AP167" s="68">
        <f>AP139</f>
        <v/>
      </c>
      <c r="AQ167" s="68">
        <f>AQ139</f>
        <v/>
      </c>
      <c r="AR167" s="68">
        <f>AR139</f>
        <v/>
      </c>
      <c r="AS167" s="68">
        <f>AS139</f>
        <v/>
      </c>
      <c r="AT167" s="1110">
        <f>AT139</f>
        <v/>
      </c>
      <c r="AU167" s="68" t="n"/>
      <c r="AV167" s="68" t="n"/>
      <c r="AW167" s="68" t="n"/>
      <c r="AX167" s="68" t="n"/>
      <c r="AY167" s="1110" t="n"/>
      <c r="AZ167" s="68" t="n"/>
      <c r="BA167" s="68" t="n"/>
      <c r="BB167" s="68" t="n"/>
      <c r="BC167" s="68" t="n"/>
      <c r="BD167" s="1110" t="n"/>
      <c r="BE167" s="68" t="n"/>
      <c r="BF167" s="68" t="n"/>
      <c r="BG167" s="68" t="n"/>
      <c r="BH167" s="68" t="n"/>
      <c r="BI167" s="1110" t="n"/>
      <c r="BJ167" s="68" t="n"/>
      <c r="BK167" s="68" t="n"/>
      <c r="BL167" s="68" t="n"/>
      <c r="BM167" s="68" t="n"/>
      <c r="BN167" s="1110" t="n"/>
      <c r="BO167" s="68" t="n"/>
      <c r="BP167" s="68" t="n"/>
      <c r="BQ167" s="68" t="n"/>
      <c r="BR167" s="68" t="n"/>
      <c r="BS167" s="1110" t="n"/>
      <c r="BT167" s="68" t="n"/>
      <c r="BU167" s="68" t="n"/>
      <c r="BV167" s="588" t="n"/>
      <c r="BW167" s="68" t="n"/>
      <c r="BX167" s="1110" t="n"/>
      <c r="BY167" s="68" t="n"/>
      <c r="BZ167" s="68" t="n"/>
      <c r="CA167" s="68" t="n"/>
      <c r="CB167" s="68" t="n"/>
      <c r="CC167" s="1110" t="n"/>
      <c r="CD167" s="1110" t="n"/>
      <c r="CE167" s="1110" t="n"/>
      <c r="CF167" s="1110" t="n"/>
      <c r="CG167" s="155" t="n"/>
    </row>
    <row r="168" hidden="1" outlineLevel="1">
      <c r="A168" s="572" t="inlineStr">
        <is>
          <t>Stock-based compensation expense, mm</t>
        </is>
      </c>
      <c r="B168" s="602" t="n"/>
      <c r="C168" s="1110" t="n"/>
      <c r="D168" s="1110" t="n"/>
      <c r="E168" s="1111" t="n">
        <v>-100.353</v>
      </c>
      <c r="F168" s="1111" t="n">
        <v>-136.354</v>
      </c>
      <c r="G168" s="1053" t="n">
        <v>-35.569</v>
      </c>
      <c r="H168" s="1053" t="n">
        <v>-32.255</v>
      </c>
      <c r="I168" s="1053" t="n">
        <v>-33.069</v>
      </c>
      <c r="J168" s="68">
        <f>K168-SUM(G168,H168,I168)</f>
        <v/>
      </c>
      <c r="K168" s="1111" t="n">
        <v>-136.662</v>
      </c>
      <c r="L168" s="1053" t="n">
        <v>-33.397</v>
      </c>
      <c r="M168" s="1053" t="n">
        <v>-32.395</v>
      </c>
      <c r="N168" s="1053" t="n">
        <v>-34.299</v>
      </c>
      <c r="O168" s="68">
        <f>P168-SUM(L168,M168,N168)</f>
        <v/>
      </c>
      <c r="P168" s="1111" t="n">
        <v>-136.295</v>
      </c>
      <c r="Q168" s="1053" t="n">
        <v>-36</v>
      </c>
      <c r="R168" s="1053" t="n">
        <v>-38</v>
      </c>
      <c r="S168" s="1053" t="n">
        <v>-42</v>
      </c>
      <c r="T168" s="68">
        <f>U168-SUM(Q168,R168,S168)</f>
        <v/>
      </c>
      <c r="U168" s="1111" t="n">
        <v>-158</v>
      </c>
      <c r="V168" s="1053" t="n">
        <v>-45</v>
      </c>
      <c r="W168" s="1053" t="n">
        <v>-47</v>
      </c>
      <c r="X168" s="1053" t="n">
        <v>-51</v>
      </c>
      <c r="Y168" s="68">
        <f>Z168-SUM(V168,W168,X168)</f>
        <v/>
      </c>
      <c r="Z168" s="1111" t="n">
        <v>-204</v>
      </c>
      <c r="AA168" s="1053" t="n">
        <v>-53</v>
      </c>
      <c r="AB168" s="1053" t="n">
        <v>-58</v>
      </c>
      <c r="AC168" s="1053" t="n">
        <v>-65</v>
      </c>
      <c r="AD168" s="68">
        <f>AE168-SUM(AA168,AB168,AC168)</f>
        <v/>
      </c>
      <c r="AE168" s="1111" t="n">
        <v>-247</v>
      </c>
      <c r="AF168" s="1053" t="n">
        <v>-76</v>
      </c>
      <c r="AG168" s="1053" t="n">
        <v>-81</v>
      </c>
      <c r="AH168" s="1053" t="n">
        <v>-107</v>
      </c>
      <c r="AI168" s="68">
        <f>AJ168-SUM(AF168,AG168,AH168)</f>
        <v/>
      </c>
      <c r="AJ168" s="1111" t="n">
        <v>-391</v>
      </c>
      <c r="AK168" s="1053" t="n">
        <v>-129</v>
      </c>
      <c r="AL168" s="1053" t="n">
        <v>-132</v>
      </c>
      <c r="AM168" s="1053" t="n">
        <v>-140</v>
      </c>
      <c r="AN168" s="68">
        <f>AO168-SUM(AK168,AL168,AM168)</f>
        <v/>
      </c>
      <c r="AO168" s="1111" t="n">
        <v>-557</v>
      </c>
      <c r="AP168" s="1053" t="n">
        <v>-178</v>
      </c>
      <c r="AQ168" s="1053" t="n">
        <v>-224</v>
      </c>
      <c r="AR168" s="1053" t="n">
        <v>-223</v>
      </c>
      <c r="AS168" s="68">
        <f>AT168-SUM(AP168,AQ168,AR168)</f>
        <v/>
      </c>
      <c r="AT168" s="1111" t="n">
        <v>-844</v>
      </c>
      <c r="AU168" s="68" t="n"/>
      <c r="AV168" s="68" t="n"/>
      <c r="AW168" s="68" t="n"/>
      <c r="AX168" s="68" t="n"/>
      <c r="AY168" s="1110" t="n"/>
      <c r="AZ168" s="68" t="n"/>
      <c r="BA168" s="68" t="n"/>
      <c r="BB168" s="68" t="n"/>
      <c r="BC168" s="68" t="n"/>
      <c r="BD168" s="1110" t="n"/>
      <c r="BE168" s="68" t="n"/>
      <c r="BF168" s="68" t="n"/>
      <c r="BG168" s="68" t="n"/>
      <c r="BH168" s="68" t="n"/>
      <c r="BI168" s="1110" t="n"/>
      <c r="BJ168" s="68" t="n"/>
      <c r="BK168" s="68" t="n"/>
      <c r="BL168" s="68" t="n"/>
      <c r="BM168" s="68" t="n"/>
      <c r="BN168" s="1110" t="n"/>
      <c r="BO168" s="68" t="n"/>
      <c r="BP168" s="68" t="n"/>
      <c r="BQ168" s="68" t="n"/>
      <c r="BR168" s="68" t="n"/>
      <c r="BS168" s="1110" t="n"/>
      <c r="BT168" s="68" t="n"/>
      <c r="BU168" s="68" t="n"/>
      <c r="BV168" s="588" t="n"/>
      <c r="BW168" s="68" t="n"/>
      <c r="BX168" s="1110" t="n"/>
      <c r="BY168" s="68" t="n"/>
      <c r="BZ168" s="68" t="n"/>
      <c r="CA168" s="68" t="n"/>
      <c r="CB168" s="68" t="n"/>
      <c r="CC168" s="1110" t="n"/>
      <c r="CD168" s="1110" t="n"/>
      <c r="CE168" s="1110" t="n"/>
      <c r="CF168" s="1110" t="n"/>
      <c r="CG168" s="155" t="n"/>
    </row>
    <row r="169" hidden="1" outlineLevel="1">
      <c r="A169" s="572" t="inlineStr">
        <is>
          <t>Unallocated cost of revenue and operating expenses, mm</t>
        </is>
      </c>
      <c r="B169" s="602" t="n"/>
      <c r="C169" s="1110" t="n"/>
      <c r="D169" s="1110" t="n"/>
      <c r="E169" s="1111" t="n">
        <v>-129.341</v>
      </c>
      <c r="F169" s="1111" t="n">
        <v>-151.798</v>
      </c>
      <c r="G169" s="1053" t="n">
        <v>-39.033</v>
      </c>
      <c r="H169" s="1053" t="n">
        <v>-35.838</v>
      </c>
      <c r="I169" s="1053" t="n">
        <v>-37.009</v>
      </c>
      <c r="J169" s="68">
        <f>K169-SUM(G169,H169,I169)</f>
        <v/>
      </c>
      <c r="K169" s="1111" t="n">
        <v>-149.678</v>
      </c>
      <c r="L169" s="1053" t="n">
        <v>-44.497</v>
      </c>
      <c r="M169" s="1053" t="n">
        <v>-41.171</v>
      </c>
      <c r="N169" s="1053" t="n">
        <v>-40.033</v>
      </c>
      <c r="O169" s="68">
        <f>P169-SUM(L169,M169,N169)</f>
        <v/>
      </c>
      <c r="P169" s="1111" t="n">
        <v>-166.483</v>
      </c>
      <c r="Q169" s="1053" t="n">
        <v>-43</v>
      </c>
      <c r="R169" s="1053" t="n">
        <v>-42</v>
      </c>
      <c r="S169" s="1053" t="n">
        <v>-42</v>
      </c>
      <c r="T169" s="68">
        <f>U169-SUM(Q169,R169,S169)</f>
        <v/>
      </c>
      <c r="U169" s="1111" t="n">
        <v>-169</v>
      </c>
      <c r="V169" s="1053" t="n">
        <v>-57</v>
      </c>
      <c r="W169" s="1053" t="n">
        <v>-67</v>
      </c>
      <c r="X169" s="1053" t="n">
        <v>-60</v>
      </c>
      <c r="Y169" s="68">
        <f>Z169-SUM(V169,W169,X169)</f>
        <v/>
      </c>
      <c r="Z169" s="1111" t="n">
        <v>-244</v>
      </c>
      <c r="AA169" s="1053" t="n">
        <v>-54</v>
      </c>
      <c r="AB169" s="1053" t="n">
        <v>-49</v>
      </c>
      <c r="AC169" s="1053" t="n">
        <v>-53</v>
      </c>
      <c r="AD169" s="68">
        <f>AE169-SUM(AA169,AB169,AC169)</f>
        <v/>
      </c>
      <c r="AE169" s="1111" t="n">
        <v>-215</v>
      </c>
      <c r="AF169" s="1053" t="n">
        <v>-56</v>
      </c>
      <c r="AG169" s="1053" t="n">
        <v>-59</v>
      </c>
      <c r="AH169" s="1053" t="n">
        <v>-61</v>
      </c>
      <c r="AI169" s="68">
        <f>AJ169-SUM(AF169,AG169,AH169)</f>
        <v/>
      </c>
      <c r="AJ169" s="1111" t="n">
        <v>-237</v>
      </c>
      <c r="AK169" s="1053" t="n">
        <v>-63</v>
      </c>
      <c r="AL169" s="1053" t="n">
        <v>-65</v>
      </c>
      <c r="AM169" s="1053" t="n">
        <v>-76</v>
      </c>
      <c r="AN169" s="68">
        <f>AO169-SUM(AK169,AL169,AM169)</f>
        <v/>
      </c>
      <c r="AO169" s="1111" t="n">
        <v>-277</v>
      </c>
      <c r="AP169" s="1053" t="n">
        <v>-68</v>
      </c>
      <c r="AQ169" s="1053" t="n">
        <v>-66</v>
      </c>
      <c r="AR169" s="1053" t="n">
        <v>-63</v>
      </c>
      <c r="AS169" s="68">
        <f>AT169-SUM(AP169,AQ169,AR169)</f>
        <v/>
      </c>
      <c r="AT169" s="1111" t="n">
        <v>-267</v>
      </c>
      <c r="AU169" s="68" t="n"/>
      <c r="AV169" s="68" t="n"/>
      <c r="AW169" s="68" t="n"/>
      <c r="AX169" s="68" t="n"/>
      <c r="AY169" s="1110" t="n"/>
      <c r="AZ169" s="68" t="n"/>
      <c r="BA169" s="68" t="n"/>
      <c r="BB169" s="68" t="n"/>
      <c r="BC169" s="68" t="n"/>
      <c r="BD169" s="1110" t="n"/>
      <c r="BE169" s="68" t="n"/>
      <c r="BF169" s="68" t="n"/>
      <c r="BG169" s="68" t="n"/>
      <c r="BH169" s="68" t="n"/>
      <c r="BI169" s="1110" t="n"/>
      <c r="BJ169" s="68" t="n"/>
      <c r="BK169" s="68" t="n"/>
      <c r="BL169" s="68" t="n"/>
      <c r="BM169" s="68" t="n"/>
      <c r="BN169" s="1110" t="n"/>
      <c r="BO169" s="68" t="n"/>
      <c r="BP169" s="68" t="n"/>
      <c r="BQ169" s="68" t="n"/>
      <c r="BR169" s="68" t="n"/>
      <c r="BS169" s="1110" t="n"/>
      <c r="BT169" s="68" t="n"/>
      <c r="BU169" s="68" t="n"/>
      <c r="BV169" s="588" t="n"/>
      <c r="BW169" s="68" t="n"/>
      <c r="BX169" s="1110" t="n"/>
      <c r="BY169" s="68" t="n"/>
      <c r="BZ169" s="68" t="n"/>
      <c r="CA169" s="68" t="n"/>
      <c r="CB169" s="68" t="n"/>
      <c r="CC169" s="1110" t="n"/>
      <c r="CD169" s="1110" t="n"/>
      <c r="CE169" s="1110" t="n"/>
      <c r="CF169" s="1110" t="n"/>
      <c r="CG169" s="155" t="n"/>
    </row>
    <row r="170" hidden="1" outlineLevel="1">
      <c r="A170" s="572" t="inlineStr">
        <is>
          <t>Acquisition-related and other costs, mm</t>
        </is>
      </c>
      <c r="B170" s="602" t="n"/>
      <c r="C170" s="1110" t="n"/>
      <c r="D170" s="1110" t="n"/>
      <c r="E170" s="1111" t="n">
        <v>-9.182</v>
      </c>
      <c r="F170" s="1111">
        <f>-17.19-20.282</f>
        <v/>
      </c>
      <c r="G170" s="1053">
        <f>-4.342-5.171</f>
        <v/>
      </c>
      <c r="H170" s="1053">
        <f>-4.065-4.794</f>
        <v/>
      </c>
      <c r="I170" s="1053">
        <f>-4.402-4.666</f>
        <v/>
      </c>
      <c r="J170" s="68">
        <f>K170-SUM(G170,H170,I170)</f>
        <v/>
      </c>
      <c r="K170" s="1111">
        <f>-17.134-19.004</f>
        <v/>
      </c>
      <c r="L170" s="1053" t="n">
        <v>-8.861000000000001</v>
      </c>
      <c r="M170" s="1053" t="n">
        <v>-8.964</v>
      </c>
      <c r="N170" s="1053" t="n">
        <v>-4.577</v>
      </c>
      <c r="O170" s="68">
        <f>P170-SUM(L170,M170,N170)</f>
        <v/>
      </c>
      <c r="P170" s="1111" t="n">
        <v>-31.652</v>
      </c>
      <c r="Q170" s="1053" t="n">
        <v>-9</v>
      </c>
      <c r="R170" s="1053" t="n">
        <v>-9</v>
      </c>
      <c r="S170" s="1053" t="n">
        <v>-10</v>
      </c>
      <c r="T170" s="68">
        <f>U170-SUM(Q170,R170,S170)</f>
        <v/>
      </c>
      <c r="U170" s="1111" t="n">
        <v>-37</v>
      </c>
      <c r="V170" s="1053" t="n">
        <v>-9</v>
      </c>
      <c r="W170" s="1053" t="n">
        <v>-4</v>
      </c>
      <c r="X170" s="1053" t="n">
        <v>-4</v>
      </c>
      <c r="Y170" s="68">
        <f>Z170-SUM(V170,W170,X170)</f>
        <v/>
      </c>
      <c r="Z170" s="1111" t="n">
        <v>-22</v>
      </c>
      <c r="AA170" s="1053" t="n">
        <v>-4</v>
      </c>
      <c r="AB170" s="1053" t="n">
        <v>-4</v>
      </c>
      <c r="AC170" s="1053" t="n">
        <v>-4</v>
      </c>
      <c r="AD170" s="68">
        <f>AE170-SUM(AA170,AB170,AC170)</f>
        <v/>
      </c>
      <c r="AE170" s="1111" t="n">
        <v>-16</v>
      </c>
      <c r="AF170" s="1053" t="n">
        <v>-4</v>
      </c>
      <c r="AG170" s="1053" t="n">
        <v>-4</v>
      </c>
      <c r="AH170" s="1053" t="n">
        <v>-3</v>
      </c>
      <c r="AI170" s="68">
        <f>AJ170-SUM(AF170,AG170,AH170)</f>
        <v/>
      </c>
      <c r="AJ170" s="1111" t="n">
        <v>-13</v>
      </c>
      <c r="AK170" s="1053" t="n">
        <v>-2</v>
      </c>
      <c r="AL170" s="1053" t="n">
        <v>-2</v>
      </c>
      <c r="AM170" s="1053" t="n">
        <v>-1</v>
      </c>
      <c r="AN170" s="68">
        <f>AO170-SUM(AK170,AL170,AM170)</f>
        <v/>
      </c>
      <c r="AO170" s="1111" t="n">
        <v>-2</v>
      </c>
      <c r="AP170" s="1053" t="n">
        <v>-10</v>
      </c>
      <c r="AQ170" s="1053" t="n">
        <v>-5</v>
      </c>
      <c r="AR170" s="1053" t="n">
        <v>-7</v>
      </c>
      <c r="AS170" s="68">
        <f>AT170-SUM(AP170,AQ170,AR170)</f>
        <v/>
      </c>
      <c r="AT170" s="1111" t="n">
        <v>-30</v>
      </c>
      <c r="AU170" s="68" t="n"/>
      <c r="AV170" s="68" t="n"/>
      <c r="AW170" s="68" t="n"/>
      <c r="AX170" s="68" t="n"/>
      <c r="AY170" s="1110" t="n"/>
      <c r="AZ170" s="68" t="n"/>
      <c r="BA170" s="68" t="n"/>
      <c r="BB170" s="68" t="n"/>
      <c r="BC170" s="68" t="n"/>
      <c r="BD170" s="1110" t="n"/>
      <c r="BE170" s="68" t="n"/>
      <c r="BF170" s="68" t="n"/>
      <c r="BG170" s="68" t="n"/>
      <c r="BH170" s="68" t="n"/>
      <c r="BI170" s="1110" t="n"/>
      <c r="BJ170" s="68" t="n"/>
      <c r="BK170" s="68" t="n"/>
      <c r="BL170" s="68" t="n"/>
      <c r="BM170" s="68" t="n"/>
      <c r="BN170" s="1110" t="n"/>
      <c r="BO170" s="68" t="n"/>
      <c r="BP170" s="68" t="n"/>
      <c r="BQ170" s="68" t="n"/>
      <c r="BR170" s="68" t="n"/>
      <c r="BS170" s="1110" t="n"/>
      <c r="BT170" s="68" t="n"/>
      <c r="BU170" s="68" t="n"/>
      <c r="BV170" s="588" t="n"/>
      <c r="BW170" s="68" t="n"/>
      <c r="BX170" s="1110" t="n"/>
      <c r="BY170" s="68" t="n"/>
      <c r="BZ170" s="68" t="n"/>
      <c r="CA170" s="68" t="n"/>
      <c r="CB170" s="68" t="n"/>
      <c r="CC170" s="1110" t="n"/>
      <c r="CD170" s="1110" t="n"/>
      <c r="CE170" s="1110" t="n"/>
      <c r="CF170" s="1110" t="n"/>
      <c r="CG170" s="155" t="n"/>
    </row>
    <row r="171" hidden="1" outlineLevel="1">
      <c r="A171" s="572" t="inlineStr">
        <is>
          <t>Contributions, mm</t>
        </is>
      </c>
      <c r="B171" s="602" t="n"/>
      <c r="C171" s="1110" t="n"/>
      <c r="D171" s="1110" t="n"/>
      <c r="E171" s="1110" t="n"/>
      <c r="F171" s="1110" t="n"/>
      <c r="G171" s="68" t="n"/>
      <c r="H171" s="68" t="n"/>
      <c r="I171" s="68" t="n"/>
      <c r="J171" s="68">
        <f>K171-SUM(G171,H171,I171)</f>
        <v/>
      </c>
      <c r="K171" s="1110" t="n"/>
      <c r="L171" s="68" t="n"/>
      <c r="M171" s="68" t="n"/>
      <c r="N171" s="68" t="n"/>
      <c r="O171" s="68">
        <f>P171-SUM(L171,M171,N171)</f>
        <v/>
      </c>
      <c r="P171" s="1110" t="n"/>
      <c r="Q171" s="68" t="n"/>
      <c r="R171" s="68" t="n"/>
      <c r="S171" s="68" t="n"/>
      <c r="T171" s="68">
        <f>U171-SUM(Q171,R171,S171)</f>
        <v/>
      </c>
      <c r="U171" s="1110" t="n"/>
      <c r="V171" s="68" t="n"/>
      <c r="W171" s="68" t="n"/>
      <c r="X171" s="68" t="n"/>
      <c r="Y171" s="68">
        <f>Z171-SUM(V171,W171,X171)</f>
        <v/>
      </c>
      <c r="Z171" s="1110" t="n"/>
      <c r="AA171" s="1053" t="n">
        <v>-3</v>
      </c>
      <c r="AB171" s="1053" t="n">
        <v>-1</v>
      </c>
      <c r="AC171" s="68" t="n"/>
      <c r="AD171" s="68">
        <f>AE171-SUM(AA171,AB171,AC171)</f>
        <v/>
      </c>
      <c r="AE171" s="1111" t="n">
        <v>-4</v>
      </c>
      <c r="AF171" s="1053" t="n">
        <v>-2</v>
      </c>
      <c r="AG171" s="68" t="n"/>
      <c r="AH171" s="68" t="n"/>
      <c r="AI171" s="68">
        <f>AJ171-SUM(AF171,AG171,AH171)</f>
        <v/>
      </c>
      <c r="AJ171" s="1111" t="n">
        <v>-2</v>
      </c>
      <c r="AK171" s="68" t="n"/>
      <c r="AL171" s="68" t="n"/>
      <c r="AM171" s="68" t="n"/>
      <c r="AN171" s="68">
        <f>AO171-SUM(AK171,AL171,AM171)</f>
        <v/>
      </c>
      <c r="AO171" s="1110" t="n"/>
      <c r="AP171" s="68" t="n"/>
      <c r="AQ171" s="68" t="n"/>
      <c r="AR171" s="68" t="n"/>
      <c r="AS171" s="68">
        <f>AT171-SUM(AP171,AQ171,AR171)</f>
        <v/>
      </c>
      <c r="AT171" s="1110" t="n"/>
      <c r="AU171" s="68" t="n"/>
      <c r="AV171" s="68" t="n"/>
      <c r="AW171" s="68" t="n"/>
      <c r="AX171" s="68" t="n"/>
      <c r="AY171" s="1110" t="n"/>
      <c r="AZ171" s="68" t="n"/>
      <c r="BA171" s="68" t="n"/>
      <c r="BB171" s="68" t="n"/>
      <c r="BC171" s="68" t="n"/>
      <c r="BD171" s="1110" t="n"/>
      <c r="BE171" s="68" t="n"/>
      <c r="BF171" s="68" t="n"/>
      <c r="BG171" s="68" t="n"/>
      <c r="BH171" s="68" t="n"/>
      <c r="BI171" s="1110" t="n"/>
      <c r="BJ171" s="68" t="n"/>
      <c r="BK171" s="68" t="n"/>
      <c r="BL171" s="68" t="n"/>
      <c r="BM171" s="68" t="n"/>
      <c r="BN171" s="1110" t="n"/>
      <c r="BO171" s="68" t="n"/>
      <c r="BP171" s="68" t="n"/>
      <c r="BQ171" s="68" t="n"/>
      <c r="BR171" s="68" t="n"/>
      <c r="BS171" s="1110" t="n"/>
      <c r="BT171" s="68" t="n"/>
      <c r="BU171" s="68" t="n"/>
      <c r="BV171" s="588" t="n"/>
      <c r="BW171" s="68" t="n"/>
      <c r="BX171" s="1110" t="n"/>
      <c r="BY171" s="68" t="n"/>
      <c r="BZ171" s="68" t="n"/>
      <c r="CA171" s="68" t="n"/>
      <c r="CB171" s="68" t="n"/>
      <c r="CC171" s="1110" t="n"/>
      <c r="CD171" s="1110" t="n"/>
      <c r="CE171" s="1110" t="n"/>
      <c r="CF171" s="1110" t="n"/>
      <c r="CG171" s="155" t="n"/>
    </row>
    <row r="172" hidden="1" outlineLevel="1">
      <c r="A172" s="572" t="inlineStr">
        <is>
          <t>Legal settlement costs, mm</t>
        </is>
      </c>
      <c r="B172" s="602" t="n"/>
      <c r="C172" s="1110" t="n"/>
      <c r="D172" s="1110" t="n"/>
      <c r="E172" s="1110" t="n"/>
      <c r="F172" s="1110" t="n"/>
      <c r="G172" s="68" t="n"/>
      <c r="H172" s="68" t="n"/>
      <c r="I172" s="68" t="n"/>
      <c r="J172" s="68">
        <f>K172-SUM(G172,H172,I172)</f>
        <v/>
      </c>
      <c r="K172" s="1110" t="n"/>
      <c r="L172" s="68" t="n"/>
      <c r="M172" s="68" t="n"/>
      <c r="N172" s="68" t="n"/>
      <c r="O172" s="68">
        <f>P172-SUM(L172,M172,N172)</f>
        <v/>
      </c>
      <c r="P172" s="1110" t="n"/>
      <c r="Q172" s="68" t="n"/>
      <c r="R172" s="68" t="n"/>
      <c r="S172" s="68" t="n"/>
      <c r="T172" s="68">
        <f>U172-SUM(Q172,R172,S172)</f>
        <v/>
      </c>
      <c r="U172" s="1110" t="n"/>
      <c r="V172" s="68" t="n"/>
      <c r="W172" s="68" t="n"/>
      <c r="X172" s="68" t="n"/>
      <c r="Y172" s="68">
        <f>Z172-SUM(V172,W172,X172)</f>
        <v/>
      </c>
      <c r="Z172" s="1110" t="n"/>
      <c r="AA172" s="1053" t="n">
        <v>-16</v>
      </c>
      <c r="AB172" s="68" t="n"/>
      <c r="AC172" s="68" t="n"/>
      <c r="AD172" s="68">
        <f>AE172-SUM(AA172,AB172,AC172)</f>
        <v/>
      </c>
      <c r="AE172" s="1111" t="n">
        <v>-16</v>
      </c>
      <c r="AF172" s="68" t="n"/>
      <c r="AG172" s="68" t="n"/>
      <c r="AH172" s="68" t="n"/>
      <c r="AI172" s="68">
        <f>AJ172-SUM(AF172,AG172,AH172)</f>
        <v/>
      </c>
      <c r="AJ172" s="1110" t="n"/>
      <c r="AK172" s="1053" t="n">
        <v>-2</v>
      </c>
      <c r="AL172" s="68" t="n"/>
      <c r="AM172" s="1053" t="n">
        <v>-15</v>
      </c>
      <c r="AN172" s="68">
        <f>AO172-SUM(AK172,AL172,AM172)</f>
        <v/>
      </c>
      <c r="AO172" s="1111" t="n">
        <v>-44</v>
      </c>
      <c r="AP172" s="1053" t="n">
        <v>-11</v>
      </c>
      <c r="AQ172" s="1053" t="n">
        <v>-2</v>
      </c>
      <c r="AR172" s="68" t="n"/>
      <c r="AS172" s="68">
        <f>AT172-SUM(AP172,AQ172,AR172)</f>
        <v/>
      </c>
      <c r="AT172" s="1111" t="n">
        <v>-15</v>
      </c>
      <c r="AU172" s="68" t="n"/>
      <c r="AV172" s="68" t="n"/>
      <c r="AW172" s="68" t="n"/>
      <c r="AX172" s="68" t="n"/>
      <c r="AY172" s="1110" t="n"/>
      <c r="AZ172" s="68" t="n"/>
      <c r="BA172" s="68" t="n"/>
      <c r="BB172" s="68" t="n"/>
      <c r="BC172" s="68" t="n"/>
      <c r="BD172" s="1110" t="n"/>
      <c r="BE172" s="68" t="n"/>
      <c r="BF172" s="68" t="n"/>
      <c r="BG172" s="68" t="n"/>
      <c r="BH172" s="68" t="n"/>
      <c r="BI172" s="1110" t="n"/>
      <c r="BJ172" s="68" t="n"/>
      <c r="BK172" s="68" t="n"/>
      <c r="BL172" s="68" t="n"/>
      <c r="BM172" s="68" t="n"/>
      <c r="BN172" s="1110" t="n"/>
      <c r="BO172" s="68" t="n"/>
      <c r="BP172" s="68" t="n"/>
      <c r="BQ172" s="68" t="n"/>
      <c r="BR172" s="68" t="n"/>
      <c r="BS172" s="1110" t="n"/>
      <c r="BT172" s="68" t="n"/>
      <c r="BU172" s="68" t="n"/>
      <c r="BV172" s="588" t="n"/>
      <c r="BW172" s="68" t="n"/>
      <c r="BX172" s="1110" t="n"/>
      <c r="BY172" s="68" t="n"/>
      <c r="BZ172" s="68" t="n"/>
      <c r="CA172" s="68" t="n"/>
      <c r="CB172" s="68" t="n"/>
      <c r="CC172" s="1110" t="n"/>
      <c r="CD172" s="1110" t="n"/>
      <c r="CE172" s="1110" t="n"/>
      <c r="CF172" s="1110" t="n"/>
      <c r="CG172" s="155" t="n"/>
    </row>
    <row r="173" hidden="1" outlineLevel="1">
      <c r="A173" s="572" t="inlineStr">
        <is>
          <t>Restructuring and other, mm</t>
        </is>
      </c>
      <c r="B173" s="602" t="n"/>
      <c r="C173" s="1110" t="n"/>
      <c r="D173" s="1110" t="n"/>
      <c r="E173" s="1110" t="n"/>
      <c r="F173" s="1110" t="n"/>
      <c r="G173" s="68" t="n"/>
      <c r="H173" s="68" t="n"/>
      <c r="I173" s="68" t="n"/>
      <c r="J173" s="68">
        <f>K173-SUM(G173,H173,I173)</f>
        <v/>
      </c>
      <c r="K173" s="1110" t="n"/>
      <c r="L173" s="68" t="n"/>
      <c r="M173" s="68" t="n"/>
      <c r="N173" s="68" t="n"/>
      <c r="O173" s="68">
        <f>P173-SUM(L173,M173,N173)</f>
        <v/>
      </c>
      <c r="P173" s="1110" t="n"/>
      <c r="Q173" s="68" t="n"/>
      <c r="R173" s="68" t="n"/>
      <c r="S173" s="68" t="n"/>
      <c r="T173" s="68">
        <f>U173-SUM(Q173,R173,S173)</f>
        <v/>
      </c>
      <c r="U173" s="1110" t="n"/>
      <c r="V173" s="68" t="n"/>
      <c r="W173" s="1053" t="n">
        <v>-89</v>
      </c>
      <c r="X173" s="1053" t="n">
        <v>-8</v>
      </c>
      <c r="Y173" s="68">
        <f>Z173-SUM(V173,W173,X173)</f>
        <v/>
      </c>
      <c r="Z173" s="1111" t="n">
        <v>-131</v>
      </c>
      <c r="AA173" s="1053" t="n">
        <v>-1</v>
      </c>
      <c r="AB173" s="1053" t="n">
        <v>-2</v>
      </c>
      <c r="AC173" s="68" t="n"/>
      <c r="AD173" s="68">
        <f>AE173-SUM(AA173,AB173,AC173)</f>
        <v/>
      </c>
      <c r="AE173" s="1111" t="n">
        <v>-3</v>
      </c>
      <c r="AF173" s="68" t="n"/>
      <c r="AG173" s="68" t="n"/>
      <c r="AH173" s="68" t="n"/>
      <c r="AI173" s="68">
        <f>AJ173-SUM(AF173,AG173,AH173)</f>
        <v/>
      </c>
      <c r="AJ173" s="1110" t="n"/>
      <c r="AK173" s="68" t="n"/>
      <c r="AL173" s="68" t="n"/>
      <c r="AM173" s="1053" t="n">
        <v>4</v>
      </c>
      <c r="AN173" s="68">
        <f>AO173-SUM(AK173,AL173,AM173)</f>
        <v/>
      </c>
      <c r="AO173" s="1110" t="n"/>
      <c r="AP173" s="68" t="n"/>
      <c r="AQ173" s="68" t="n"/>
      <c r="AR173" s="68" t="n"/>
      <c r="AS173" s="68">
        <f>AT173-SUM(AP173,AQ173,AR173)</f>
        <v/>
      </c>
      <c r="AT173" s="1110" t="n"/>
      <c r="AU173" s="68" t="n"/>
      <c r="AV173" s="68" t="n"/>
      <c r="AW173" s="68" t="n"/>
      <c r="AX173" s="68" t="n"/>
      <c r="AY173" s="1110" t="n"/>
      <c r="AZ173" s="68" t="n"/>
      <c r="BA173" s="68" t="n"/>
      <c r="BB173" s="68" t="n"/>
      <c r="BC173" s="68" t="n"/>
      <c r="BD173" s="1110" t="n"/>
      <c r="BE173" s="68" t="n"/>
      <c r="BF173" s="68" t="n"/>
      <c r="BG173" s="68" t="n"/>
      <c r="BH173" s="68" t="n"/>
      <c r="BI173" s="1110" t="n"/>
      <c r="BJ173" s="68" t="n"/>
      <c r="BK173" s="68" t="n"/>
      <c r="BL173" s="68" t="n"/>
      <c r="BM173" s="68" t="n"/>
      <c r="BN173" s="1110" t="n"/>
      <c r="BO173" s="68" t="n"/>
      <c r="BP173" s="68" t="n"/>
      <c r="BQ173" s="68" t="n"/>
      <c r="BR173" s="68" t="n"/>
      <c r="BS173" s="1110" t="n"/>
      <c r="BT173" s="68" t="n"/>
      <c r="BU173" s="68" t="n"/>
      <c r="BV173" s="588" t="n"/>
      <c r="BW173" s="68" t="n"/>
      <c r="BX173" s="1110" t="n"/>
      <c r="BY173" s="68" t="n"/>
      <c r="BZ173" s="68" t="n"/>
      <c r="CA173" s="68" t="n"/>
      <c r="CB173" s="68" t="n"/>
      <c r="CC173" s="1110" t="n"/>
      <c r="CD173" s="1110" t="n"/>
      <c r="CE173" s="1110" t="n"/>
      <c r="CF173" s="1110" t="n"/>
      <c r="CG173" s="155" t="n"/>
    </row>
    <row r="174" hidden="1" outlineLevel="1">
      <c r="A174" s="572" t="inlineStr">
        <is>
          <t>Product warranty charges</t>
        </is>
      </c>
      <c r="B174" s="602" t="n"/>
      <c r="C174" s="1110" t="n"/>
      <c r="D174" s="1110" t="n"/>
      <c r="E174" s="1111" t="n">
        <v>-193.9</v>
      </c>
      <c r="F174" s="1110" t="n"/>
      <c r="G174" s="68" t="n"/>
      <c r="H174" s="68" t="n"/>
      <c r="I174" s="68" t="n"/>
      <c r="J174" s="68">
        <f>K174-SUM(G174,H174,I174)</f>
        <v/>
      </c>
      <c r="K174" s="1110" t="n"/>
      <c r="L174" s="68" t="n"/>
      <c r="M174" s="68" t="n"/>
      <c r="N174" s="68" t="n"/>
      <c r="O174" s="68">
        <f>P174-SUM(L174,M174,N174)</f>
        <v/>
      </c>
      <c r="P174" s="1110" t="n"/>
      <c r="Q174" s="68" t="n"/>
      <c r="R174" s="68" t="n"/>
      <c r="S174" s="68" t="n"/>
      <c r="T174" s="68">
        <f>U174-SUM(Q174,R174,S174)</f>
        <v/>
      </c>
      <c r="U174" s="1110" t="n"/>
      <c r="V174" s="68" t="n"/>
      <c r="W174" s="1053" t="n">
        <v>-15</v>
      </c>
      <c r="X174" s="68" t="n"/>
      <c r="Y174" s="68">
        <f>Z174-SUM(V174,W174,X174)</f>
        <v/>
      </c>
      <c r="Z174" s="1111" t="n">
        <v>-21</v>
      </c>
      <c r="AA174" s="68" t="n"/>
      <c r="AB174" s="68" t="n"/>
      <c r="AC174" s="68" t="n"/>
      <c r="AD174" s="68">
        <f>AE174-SUM(AA174,AB174,AC174)</f>
        <v/>
      </c>
      <c r="AE174" s="1110" t="n"/>
      <c r="AF174" s="68" t="n"/>
      <c r="AG174" s="68" t="n"/>
      <c r="AH174" s="68" t="n"/>
      <c r="AI174" s="68">
        <f>AJ174-SUM(AF174,AG174,AH174)</f>
        <v/>
      </c>
      <c r="AJ174" s="1110" t="n"/>
      <c r="AK174" s="68" t="n"/>
      <c r="AL174" s="68" t="n"/>
      <c r="AM174" s="68" t="n"/>
      <c r="AN174" s="68">
        <f>AO174-SUM(AK174,AL174,AM174)</f>
        <v/>
      </c>
      <c r="AO174" s="1110" t="n"/>
      <c r="AP174" s="68" t="n"/>
      <c r="AQ174" s="68" t="n"/>
      <c r="AR174" s="68" t="n"/>
      <c r="AS174" s="68">
        <f>AT174-SUM(AP174,AQ174,AR174)</f>
        <v/>
      </c>
      <c r="AT174" s="1110" t="n"/>
      <c r="AU174" s="68" t="n"/>
      <c r="AV174" s="68" t="n"/>
      <c r="AW174" s="68" t="n"/>
      <c r="AX174" s="68" t="n"/>
      <c r="AY174" s="1110" t="n"/>
      <c r="AZ174" s="68" t="n"/>
      <c r="BA174" s="68" t="n"/>
      <c r="BB174" s="68" t="n"/>
      <c r="BC174" s="68" t="n"/>
      <c r="BD174" s="1110" t="n"/>
      <c r="BE174" s="68" t="n"/>
      <c r="BF174" s="68" t="n"/>
      <c r="BG174" s="68" t="n"/>
      <c r="BH174" s="68" t="n"/>
      <c r="BI174" s="1110" t="n"/>
      <c r="BJ174" s="68" t="n"/>
      <c r="BK174" s="68" t="n"/>
      <c r="BL174" s="68" t="n"/>
      <c r="BM174" s="68" t="n"/>
      <c r="BN174" s="1110" t="n"/>
      <c r="BO174" s="68" t="n"/>
      <c r="BP174" s="68" t="n"/>
      <c r="BQ174" s="68" t="n"/>
      <c r="BR174" s="68" t="n"/>
      <c r="BS174" s="1110" t="n"/>
      <c r="BT174" s="68" t="n"/>
      <c r="BU174" s="68" t="n"/>
      <c r="BV174" s="588" t="n"/>
      <c r="BW174" s="68" t="n"/>
      <c r="BX174" s="1110" t="n"/>
      <c r="BY174" s="68" t="n"/>
      <c r="BZ174" s="68" t="n"/>
      <c r="CA174" s="68" t="n"/>
      <c r="CB174" s="68" t="n"/>
      <c r="CC174" s="1110" t="n"/>
      <c r="CD174" s="1110" t="n"/>
      <c r="CE174" s="1110" t="n"/>
      <c r="CF174" s="1110" t="n"/>
      <c r="CG174" s="155" t="n"/>
    </row>
    <row r="175" hidden="1" outlineLevel="1">
      <c r="A175" s="649" t="inlineStr">
        <is>
          <t>Other non-recurring expenses and benefits, mm</t>
        </is>
      </c>
      <c r="B175" s="603" t="n"/>
      <c r="C175" s="1121" t="n"/>
      <c r="D175" s="1121" t="n"/>
      <c r="E175" s="1131" t="n">
        <v>57</v>
      </c>
      <c r="F175" s="1131" t="n">
        <v>-7.3</v>
      </c>
      <c r="G175" s="109" t="n"/>
      <c r="H175" s="1060" t="n">
        <v>-20.127</v>
      </c>
      <c r="I175" s="109" t="n"/>
      <c r="J175" s="109">
        <f>K175-SUM(G175,H175,I175)</f>
        <v/>
      </c>
      <c r="K175" s="1131" t="n">
        <v>-20.127</v>
      </c>
      <c r="L175" s="109" t="n"/>
      <c r="M175" s="1060" t="n">
        <v>-2.29</v>
      </c>
      <c r="N175" s="1060" t="n">
        <v>-2.235</v>
      </c>
      <c r="O175" s="109">
        <f>P175-SUM(L175,M175,N175)</f>
        <v/>
      </c>
      <c r="P175" s="1131" t="n">
        <v>-0.038</v>
      </c>
      <c r="Q175" s="109" t="n"/>
      <c r="R175" s="109" t="n"/>
      <c r="S175" s="109" t="n"/>
      <c r="T175" s="109">
        <f>U175-SUM(Q175,R175,S175)</f>
        <v/>
      </c>
      <c r="U175" s="1121" t="n"/>
      <c r="V175" s="109" t="n"/>
      <c r="W175" s="109" t="n"/>
      <c r="X175" s="109" t="n"/>
      <c r="Y175" s="109">
        <f>Z175-SUM(V175,W175,X175)</f>
        <v/>
      </c>
      <c r="Z175" s="1121" t="n"/>
      <c r="AA175" s="109" t="n"/>
      <c r="AB175" s="109" t="n"/>
      <c r="AC175" s="109" t="n"/>
      <c r="AD175" s="109">
        <f>AE175-SUM(AA175,AB175,AC175)</f>
        <v/>
      </c>
      <c r="AE175" s="1121" t="n"/>
      <c r="AF175" s="109" t="n"/>
      <c r="AG175" s="109" t="n"/>
      <c r="AH175" s="109" t="n"/>
      <c r="AI175" s="109">
        <f>AJ175-SUM(AF175,AG175,AH175)</f>
        <v/>
      </c>
      <c r="AJ175" s="1121" t="n"/>
      <c r="AK175" s="109" t="n"/>
      <c r="AL175" s="109" t="n"/>
      <c r="AM175" s="109" t="n"/>
      <c r="AN175" s="109">
        <f>AO175-SUM(AK175,AL175,AM175)</f>
        <v/>
      </c>
      <c r="AO175" s="1121" t="n"/>
      <c r="AP175" s="109" t="n"/>
      <c r="AQ175" s="109" t="n"/>
      <c r="AR175" s="109" t="n"/>
      <c r="AS175" s="109">
        <f>AT175-SUM(AP175,AQ175,AR175)</f>
        <v/>
      </c>
      <c r="AT175" s="1121" t="n"/>
      <c r="AU175" s="109" t="n"/>
      <c r="AV175" s="109" t="n"/>
      <c r="AW175" s="109" t="n"/>
      <c r="AX175" s="109" t="n"/>
      <c r="AY175" s="1121" t="n"/>
      <c r="AZ175" s="109" t="n"/>
      <c r="BA175" s="109" t="n"/>
      <c r="BB175" s="109" t="n"/>
      <c r="BC175" s="109" t="n"/>
      <c r="BD175" s="1121" t="n"/>
      <c r="BE175" s="109" t="n"/>
      <c r="BF175" s="109" t="n"/>
      <c r="BG175" s="109" t="n"/>
      <c r="BH175" s="109" t="n"/>
      <c r="BI175" s="1121" t="n"/>
      <c r="BJ175" s="109" t="n"/>
      <c r="BK175" s="109" t="n"/>
      <c r="BL175" s="109" t="n"/>
      <c r="BM175" s="109" t="n"/>
      <c r="BN175" s="1121" t="n"/>
      <c r="BO175" s="109" t="n"/>
      <c r="BP175" s="109" t="n"/>
      <c r="BQ175" s="109" t="n"/>
      <c r="BR175" s="109" t="n"/>
      <c r="BS175" s="1121" t="n"/>
      <c r="BT175" s="109" t="n"/>
      <c r="BU175" s="109" t="n"/>
      <c r="BV175" s="730" t="n"/>
      <c r="BW175" s="109" t="n"/>
      <c r="BX175" s="1121" t="n"/>
      <c r="BY175" s="109" t="n"/>
      <c r="BZ175" s="109" t="n"/>
      <c r="CA175" s="109" t="n"/>
      <c r="CB175" s="109" t="n"/>
      <c r="CC175" s="1121" t="n"/>
      <c r="CD175" s="1121" t="n"/>
      <c r="CE175" s="1121" t="n"/>
      <c r="CF175" s="1121" t="n"/>
      <c r="CG175" s="155" t="n"/>
    </row>
    <row r="176" hidden="1" outlineLevel="1">
      <c r="A176" s="99" t="inlineStr">
        <is>
          <t>All Other Operating Income (loss), mm</t>
        </is>
      </c>
      <c r="B176" s="602" t="n"/>
      <c r="C176" s="1110" t="n"/>
      <c r="D176" s="1110" t="n"/>
      <c r="E176" s="1111" t="n">
        <v>-375.776</v>
      </c>
      <c r="F176" s="1111" t="n">
        <v>-112.924</v>
      </c>
      <c r="G176" s="1053" t="n">
        <v>-18.115</v>
      </c>
      <c r="H176" s="1053" t="n">
        <v>-31.079</v>
      </c>
      <c r="I176" s="1053" t="n">
        <v>-13.146</v>
      </c>
      <c r="J176" s="68">
        <f>K176-SUM(G176,H176,I176)</f>
        <v/>
      </c>
      <c r="K176" s="1111" t="n">
        <v>-78.605</v>
      </c>
      <c r="L176" s="1053" t="n">
        <v>-20.755</v>
      </c>
      <c r="M176" s="1053" t="n">
        <v>-18.82</v>
      </c>
      <c r="N176" s="1053" t="n">
        <v>-15.144</v>
      </c>
      <c r="O176" s="68">
        <f>P176-SUM(L176,M176,N176)</f>
        <v/>
      </c>
      <c r="P176" s="1111" t="n">
        <v>-70.468</v>
      </c>
      <c r="Q176" s="1053" t="n">
        <v>-22</v>
      </c>
      <c r="R176" s="1053" t="n">
        <v>-23</v>
      </c>
      <c r="S176" s="1053" t="n">
        <v>-28</v>
      </c>
      <c r="T176" s="68">
        <f>U176-SUM(Q176,R176,S176)</f>
        <v/>
      </c>
      <c r="U176" s="1111" t="n">
        <v>-100</v>
      </c>
      <c r="V176" s="1053" t="n">
        <v>-45</v>
      </c>
      <c r="W176" s="1053" t="n">
        <v>-156</v>
      </c>
      <c r="X176" s="1053" t="n">
        <v>-57</v>
      </c>
      <c r="Y176" s="68">
        <f>Z176-SUM(V176,W176,X176)</f>
        <v/>
      </c>
      <c r="Z176" s="1111" t="n">
        <v>-358</v>
      </c>
      <c r="AA176" s="1053" t="n">
        <v>-65</v>
      </c>
      <c r="AB176" s="1053" t="n">
        <v>-48</v>
      </c>
      <c r="AC176" s="1053" t="n">
        <v>-56</v>
      </c>
      <c r="AD176" s="68">
        <f>AE176-SUM(AA176,AB176,AC176)</f>
        <v/>
      </c>
      <c r="AE176" s="1111" t="n">
        <v>-237</v>
      </c>
      <c r="AF176" s="1053" t="n">
        <v>-95</v>
      </c>
      <c r="AG176" s="1053" t="n">
        <v>-144</v>
      </c>
      <c r="AH176" s="1053" t="n">
        <v>-171</v>
      </c>
      <c r="AI176" s="68">
        <f>AJ176-SUM(AF176,AG176,AH176)</f>
        <v/>
      </c>
      <c r="AJ176" s="1111" t="n">
        <v>-600</v>
      </c>
      <c r="AK176" s="1053" t="n">
        <v>-196</v>
      </c>
      <c r="AL176" s="1053" t="n">
        <v>-199</v>
      </c>
      <c r="AM176" s="1053" t="n">
        <v>-228</v>
      </c>
      <c r="AN176" s="68">
        <f>AO176-SUM(AK176,AL176,AM176)</f>
        <v/>
      </c>
      <c r="AO176" s="1111" t="n">
        <v>-880</v>
      </c>
      <c r="AP176" s="1053" t="n">
        <v>-267</v>
      </c>
      <c r="AQ176" s="1053" t="n">
        <v>-297</v>
      </c>
      <c r="AR176" s="1053" t="n">
        <v>-293</v>
      </c>
      <c r="AS176" s="68">
        <f>AT176-SUM(AP176,AQ176,AR176)</f>
        <v/>
      </c>
      <c r="AT176" s="1111" t="n">
        <v>-1156</v>
      </c>
      <c r="AU176" s="68" t="n"/>
      <c r="AV176" s="68" t="n"/>
      <c r="AW176" s="68" t="n"/>
      <c r="AX176" s="68" t="n"/>
      <c r="AY176" s="1110" t="n"/>
      <c r="AZ176" s="68" t="n"/>
      <c r="BA176" s="68" t="n"/>
      <c r="BB176" s="68" t="n"/>
      <c r="BC176" s="68" t="n"/>
      <c r="BD176" s="1110" t="n"/>
      <c r="BE176" s="68" t="n"/>
      <c r="BF176" s="68" t="n"/>
      <c r="BG176" s="68" t="n"/>
      <c r="BH176" s="68" t="n"/>
      <c r="BI176" s="1110" t="n"/>
      <c r="BJ176" s="68" t="n"/>
      <c r="BK176" s="68" t="n"/>
      <c r="BL176" s="68" t="n"/>
      <c r="BM176" s="68" t="n"/>
      <c r="BN176" s="1110" t="n"/>
      <c r="BO176" s="68" t="n"/>
      <c r="BP176" s="68" t="n"/>
      <c r="BQ176" s="68" t="n"/>
      <c r="BR176" s="68" t="n"/>
      <c r="BS176" s="1110" t="n"/>
      <c r="BT176" s="68" t="n"/>
      <c r="BU176" s="68" t="n"/>
      <c r="BV176" s="588" t="n"/>
      <c r="BW176" s="68" t="n"/>
      <c r="BX176" s="1110" t="n"/>
      <c r="BY176" s="68" t="n"/>
      <c r="BZ176" s="68" t="n"/>
      <c r="CA176" s="68" t="n"/>
      <c r="CB176" s="68" t="n"/>
      <c r="CC176" s="1110" t="n"/>
      <c r="CD176" s="1110" t="n"/>
      <c r="CE176" s="1110" t="n"/>
      <c r="CF176" s="1110" t="n"/>
      <c r="CG176" s="155" t="n"/>
    </row>
    <row r="177" hidden="1" outlineLevel="1">
      <c r="A177" s="631" t="inlineStr">
        <is>
          <t>Total Operating Income (loss), mm</t>
        </is>
      </c>
      <c r="B177" s="604" t="n"/>
      <c r="C177" s="1122">
        <f>SUM(C165:C166,C176)</f>
        <v/>
      </c>
      <c r="D177" s="1122">
        <f>SUM(D165:D166,D176)</f>
        <v/>
      </c>
      <c r="E177" s="1122">
        <f>SUM(E165:E166,E176)</f>
        <v/>
      </c>
      <c r="F177" s="1122">
        <f>SUM(F165:F166,F176)</f>
        <v/>
      </c>
      <c r="G177" s="61">
        <f>SUM(G165:G166,G176)</f>
        <v/>
      </c>
      <c r="H177" s="61">
        <f>SUM(H165:H166,H176)</f>
        <v/>
      </c>
      <c r="I177" s="61">
        <f>SUM(I165:I166,I176)</f>
        <v/>
      </c>
      <c r="J177" s="61">
        <f>SUM(J165:J166,J176)</f>
        <v/>
      </c>
      <c r="K177" s="1122">
        <f>SUM(K165:K166,K176)</f>
        <v/>
      </c>
      <c r="L177" s="61">
        <f>SUM(L165:L166,L176)</f>
        <v/>
      </c>
      <c r="M177" s="61">
        <f>SUM(M165:M166,M176)</f>
        <v/>
      </c>
      <c r="N177" s="61">
        <f>SUM(N165:N166,N176)</f>
        <v/>
      </c>
      <c r="O177" s="61">
        <f>SUM(O165:O166,O176)</f>
        <v/>
      </c>
      <c r="P177" s="1122">
        <f>SUM(P165:P166,P176)</f>
        <v/>
      </c>
      <c r="Q177" s="61">
        <f>SUM(Q165:Q166,Q176)</f>
        <v/>
      </c>
      <c r="R177" s="61">
        <f>SUM(R165:R166,R176)</f>
        <v/>
      </c>
      <c r="S177" s="61">
        <f>SUM(S165:S166,S176)</f>
        <v/>
      </c>
      <c r="T177" s="61">
        <f>SUM(T165:T166,T176)</f>
        <v/>
      </c>
      <c r="U177" s="1122">
        <f>SUM(U165:U166,U176)</f>
        <v/>
      </c>
      <c r="V177" s="61">
        <f>SUM(V165:V166,V176)</f>
        <v/>
      </c>
      <c r="W177" s="61">
        <f>SUM(W165:W166,W176)</f>
        <v/>
      </c>
      <c r="X177" s="61">
        <f>SUM(X165:X166,X176)</f>
        <v/>
      </c>
      <c r="Y177" s="61">
        <f>SUM(Y165:Y166,Y176)</f>
        <v/>
      </c>
      <c r="Z177" s="1122">
        <f>SUM(Z165:Z166,Z176)</f>
        <v/>
      </c>
      <c r="AA177" s="61">
        <f>SUM(AA165:AA166,AA176)</f>
        <v/>
      </c>
      <c r="AB177" s="61">
        <f>SUM(AB165:AB166,AB176)</f>
        <v/>
      </c>
      <c r="AC177" s="61">
        <f>SUM(AC165:AC166,AC176)</f>
        <v/>
      </c>
      <c r="AD177" s="61">
        <f>SUM(AD165:AD166,AD176)</f>
        <v/>
      </c>
      <c r="AE177" s="1122">
        <f>SUM(AE165:AE166,AE176)</f>
        <v/>
      </c>
      <c r="AF177" s="61">
        <f>SUM(AF165:AF166,AF176)</f>
        <v/>
      </c>
      <c r="AG177" s="61">
        <f>SUM(AG165:AG166,AG176)</f>
        <v/>
      </c>
      <c r="AH177" s="61">
        <f>SUM(AH165:AH166,AH176)</f>
        <v/>
      </c>
      <c r="AI177" s="61">
        <f>SUM(AI165:AI166,AI176)</f>
        <v/>
      </c>
      <c r="AJ177" s="1122">
        <f>SUM(AJ165:AJ166,AJ176)</f>
        <v/>
      </c>
      <c r="AK177" s="61">
        <f>SUM(AK165:AK166,AK176)</f>
        <v/>
      </c>
      <c r="AL177" s="61">
        <f>SUM(AL165:AL166,AL176)</f>
        <v/>
      </c>
      <c r="AM177" s="61">
        <f>SUM(AM165:AM166,AM176)</f>
        <v/>
      </c>
      <c r="AN177" s="61">
        <f>SUM(AN165:AN166,AN176)</f>
        <v/>
      </c>
      <c r="AO177" s="1122">
        <f>SUM(AO165:AO166,AO176)</f>
        <v/>
      </c>
      <c r="AP177" s="61">
        <f>SUM(AP165:AP166,AP176)</f>
        <v/>
      </c>
      <c r="AQ177" s="61">
        <f>SUM(AQ165:AQ166,AQ176)</f>
        <v/>
      </c>
      <c r="AR177" s="61">
        <f>SUM(AR165:AR166,AR176)</f>
        <v/>
      </c>
      <c r="AS177" s="61">
        <f>SUM(AS165:AS166,AS176)</f>
        <v/>
      </c>
      <c r="AT177" s="1122">
        <f>SUM(AT165:AT166,AT176)</f>
        <v/>
      </c>
      <c r="AU177" s="61" t="n"/>
      <c r="AV177" s="61" t="n"/>
      <c r="AW177" s="61" t="n"/>
      <c r="AX177" s="61" t="n"/>
      <c r="AY177" s="1122" t="n"/>
      <c r="AZ177" s="61" t="n"/>
      <c r="BA177" s="61" t="n"/>
      <c r="BB177" s="61" t="n"/>
      <c r="BC177" s="61" t="n"/>
      <c r="BD177" s="1122" t="n"/>
      <c r="BE177" s="61" t="n"/>
      <c r="BF177" s="61" t="n"/>
      <c r="BG177" s="61" t="n"/>
      <c r="BH177" s="61" t="n"/>
      <c r="BI177" s="1122" t="n"/>
      <c r="BJ177" s="61" t="n"/>
      <c r="BK177" s="61" t="n"/>
      <c r="BL177" s="61" t="n"/>
      <c r="BM177" s="61" t="n"/>
      <c r="BN177" s="1122" t="n"/>
      <c r="BO177" s="61" t="n"/>
      <c r="BP177" s="61" t="n"/>
      <c r="BQ177" s="61" t="n"/>
      <c r="BR177" s="61" t="n"/>
      <c r="BS177" s="1122" t="n"/>
      <c r="BT177" s="61" t="n"/>
      <c r="BU177" s="61" t="n"/>
      <c r="BV177" s="884" t="n"/>
      <c r="BW177" s="61" t="n"/>
      <c r="BX177" s="1122" t="n"/>
      <c r="BY177" s="61" t="n"/>
      <c r="BZ177" s="61" t="n"/>
      <c r="CA177" s="61" t="n"/>
      <c r="CB177" s="61" t="n"/>
      <c r="CC177" s="1122" t="n"/>
      <c r="CD177" s="1122" t="n"/>
      <c r="CE177" s="1122" t="n"/>
      <c r="CF177" s="1122" t="n"/>
      <c r="CG177" s="155" t="n"/>
    </row>
    <row r="178" hidden="1" outlineLevel="1">
      <c r="A178" s="600" t="n"/>
      <c r="B178" s="633" t="n"/>
      <c r="C178" s="1125" t="n"/>
      <c r="D178" s="1125" t="n"/>
      <c r="E178" s="1125" t="n"/>
      <c r="F178" s="1125" t="n"/>
      <c r="G178" s="63" t="n"/>
      <c r="H178" s="63" t="n"/>
      <c r="I178" s="63" t="n"/>
      <c r="J178" s="63" t="n"/>
      <c r="K178" s="1125" t="n"/>
      <c r="L178" s="63" t="n"/>
      <c r="M178" s="63" t="n"/>
      <c r="N178" s="63" t="n"/>
      <c r="O178" s="63" t="n"/>
      <c r="P178" s="1125" t="n"/>
      <c r="Q178" s="63" t="n"/>
      <c r="R178" s="63" t="n"/>
      <c r="S178" s="63" t="n"/>
      <c r="T178" s="63" t="n"/>
      <c r="U178" s="1125" t="n"/>
      <c r="V178" s="63" t="n"/>
      <c r="W178" s="63" t="n"/>
      <c r="X178" s="63" t="n"/>
      <c r="Y178" s="63" t="n"/>
      <c r="Z178" s="1125" t="n"/>
      <c r="AA178" s="63" t="n"/>
      <c r="AB178" s="63" t="n"/>
      <c r="AC178" s="63" t="n"/>
      <c r="AD178" s="63" t="n"/>
      <c r="AE178" s="1125" t="n"/>
      <c r="AF178" s="63" t="n"/>
      <c r="AG178" s="63" t="n"/>
      <c r="AH178" s="63" t="n"/>
      <c r="AI178" s="63" t="n"/>
      <c r="AJ178" s="1125" t="n"/>
      <c r="AK178" s="63" t="n"/>
      <c r="AL178" s="63" t="n"/>
      <c r="AM178" s="63" t="n"/>
      <c r="AN178" s="63" t="n"/>
      <c r="AO178" s="1125" t="n"/>
      <c r="AP178" s="63" t="n"/>
      <c r="AQ178" s="63" t="n"/>
      <c r="AR178" s="63" t="n"/>
      <c r="AS178" s="63" t="n"/>
      <c r="AT178" s="1125" t="n"/>
      <c r="AU178" s="63" t="n"/>
      <c r="AV178" s="63" t="n"/>
      <c r="AW178" s="63" t="n"/>
      <c r="AX178" s="63" t="n"/>
      <c r="AY178" s="1125" t="n"/>
      <c r="AZ178" s="63" t="n"/>
      <c r="BA178" s="63" t="n"/>
      <c r="BB178" s="63" t="n"/>
      <c r="BC178" s="63" t="n"/>
      <c r="BD178" s="1125" t="n"/>
      <c r="BE178" s="63" t="n"/>
      <c r="BF178" s="63" t="n"/>
      <c r="BG178" s="63" t="n"/>
      <c r="BH178" s="63" t="n"/>
      <c r="BI178" s="1125" t="n"/>
      <c r="BJ178" s="63" t="n"/>
      <c r="BK178" s="63" t="n"/>
      <c r="BL178" s="63" t="n"/>
      <c r="BM178" s="63" t="n"/>
      <c r="BN178" s="1125" t="n"/>
      <c r="BO178" s="63" t="n"/>
      <c r="BP178" s="63" t="n"/>
      <c r="BQ178" s="63" t="n"/>
      <c r="BR178" s="63" t="n"/>
      <c r="BS178" s="1125" t="n"/>
      <c r="BT178" s="63" t="n"/>
      <c r="BU178" s="63" t="n"/>
      <c r="BV178" s="587" t="n"/>
      <c r="BW178" s="63" t="n"/>
      <c r="BX178" s="1125" t="n"/>
      <c r="BY178" s="63" t="n"/>
      <c r="BZ178" s="63" t="n"/>
      <c r="CA178" s="63" t="n"/>
      <c r="CB178" s="63" t="n"/>
      <c r="CC178" s="1125" t="n"/>
      <c r="CD178" s="1125" t="n"/>
      <c r="CE178" s="1125" t="n"/>
      <c r="CF178" s="1125" t="n"/>
      <c r="CG178" s="155" t="n"/>
    </row>
    <row r="179" hidden="1" outlineLevel="1">
      <c r="A179" s="647" t="inlineStr">
        <is>
          <t>GPU Operating Income Margin, %</t>
        </is>
      </c>
      <c r="B179" s="670" t="n"/>
      <c r="C179" s="1126" t="n"/>
      <c r="D179" s="1126" t="n"/>
      <c r="E179" s="1126">
        <f>E165/E137</f>
        <v/>
      </c>
      <c r="F179" s="1126">
        <f>F165/F137</f>
        <v/>
      </c>
      <c r="G179" s="315">
        <f>G165/G137</f>
        <v/>
      </c>
      <c r="H179" s="315">
        <f>H165/H137</f>
        <v/>
      </c>
      <c r="I179" s="315">
        <f>I165/I137</f>
        <v/>
      </c>
      <c r="J179" s="315">
        <f>J165/J137</f>
        <v/>
      </c>
      <c r="K179" s="1126">
        <f>K165/K137</f>
        <v/>
      </c>
      <c r="L179" s="315">
        <f>L165/L137</f>
        <v/>
      </c>
      <c r="M179" s="315">
        <f>M165/M137</f>
        <v/>
      </c>
      <c r="N179" s="315">
        <f>N165/N137</f>
        <v/>
      </c>
      <c r="O179" s="315">
        <f>O165/O137</f>
        <v/>
      </c>
      <c r="P179" s="1126">
        <f>P165/P137</f>
        <v/>
      </c>
      <c r="Q179" s="315">
        <f>Q165/Q137</f>
        <v/>
      </c>
      <c r="R179" s="315">
        <f>R165/R137</f>
        <v/>
      </c>
      <c r="S179" s="315">
        <f>S165/S137</f>
        <v/>
      </c>
      <c r="T179" s="315">
        <f>T165/T137</f>
        <v/>
      </c>
      <c r="U179" s="1126">
        <f>U165/U137</f>
        <v/>
      </c>
      <c r="V179" s="315">
        <f>V165/V137</f>
        <v/>
      </c>
      <c r="W179" s="315">
        <f>W165/W137</f>
        <v/>
      </c>
      <c r="X179" s="315">
        <f>X165/X137</f>
        <v/>
      </c>
      <c r="Y179" s="315">
        <f>Y165/Y137</f>
        <v/>
      </c>
      <c r="Z179" s="1126">
        <f>Z165/Z137</f>
        <v/>
      </c>
      <c r="AA179" s="315">
        <f>AA165/AA137</f>
        <v/>
      </c>
      <c r="AB179" s="315">
        <f>AB165/AB137</f>
        <v/>
      </c>
      <c r="AC179" s="315">
        <f>AC165/AC137</f>
        <v/>
      </c>
      <c r="AD179" s="315">
        <f>AD165/AD137</f>
        <v/>
      </c>
      <c r="AE179" s="1126">
        <f>AE165/AE137</f>
        <v/>
      </c>
      <c r="AF179" s="315">
        <f>AF165/AF137</f>
        <v/>
      </c>
      <c r="AG179" s="315">
        <f>AG165/AG137</f>
        <v/>
      </c>
      <c r="AH179" s="315">
        <f>AH165/AH137</f>
        <v/>
      </c>
      <c r="AI179" s="315">
        <f>AI165/AI137</f>
        <v/>
      </c>
      <c r="AJ179" s="1126">
        <f>AJ165/AJ137</f>
        <v/>
      </c>
      <c r="AK179" s="315">
        <f>AK165/AK137</f>
        <v/>
      </c>
      <c r="AL179" s="315">
        <f>AL165/AL137</f>
        <v/>
      </c>
      <c r="AM179" s="315">
        <f>AM165/AM137</f>
        <v/>
      </c>
      <c r="AN179" s="315">
        <f>AN165/AN137</f>
        <v/>
      </c>
      <c r="AO179" s="1126">
        <f>AO165/AO137</f>
        <v/>
      </c>
      <c r="AP179" s="315">
        <f>AP165/AP137</f>
        <v/>
      </c>
      <c r="AQ179" s="315">
        <f>AQ165/AQ137</f>
        <v/>
      </c>
      <c r="AR179" s="315">
        <f>AR165/AR137</f>
        <v/>
      </c>
      <c r="AS179" s="315">
        <f>AS165/AS137</f>
        <v/>
      </c>
      <c r="AT179" s="1126">
        <f>AT165/AT137</f>
        <v/>
      </c>
      <c r="AU179" s="315" t="n"/>
      <c r="AV179" s="315" t="n"/>
      <c r="AW179" s="315" t="n"/>
      <c r="AX179" s="315" t="n"/>
      <c r="AY179" s="1126" t="n"/>
      <c r="AZ179" s="315" t="n"/>
      <c r="BA179" s="315" t="n"/>
      <c r="BB179" s="315" t="n"/>
      <c r="BC179" s="315" t="n"/>
      <c r="BD179" s="1126" t="n"/>
      <c r="BE179" s="315" t="n"/>
      <c r="BF179" s="315" t="n"/>
      <c r="BG179" s="315" t="n"/>
      <c r="BH179" s="315" t="n"/>
      <c r="BI179" s="1126" t="n"/>
      <c r="BJ179" s="315" t="n"/>
      <c r="BK179" s="315" t="n"/>
      <c r="BL179" s="315" t="n"/>
      <c r="BM179" s="315" t="n"/>
      <c r="BN179" s="1126" t="n"/>
      <c r="BO179" s="315" t="n"/>
      <c r="BP179" s="315" t="n"/>
      <c r="BQ179" s="315" t="n"/>
      <c r="BR179" s="315" t="n"/>
      <c r="BS179" s="1126" t="n"/>
      <c r="BT179" s="315" t="n"/>
      <c r="BU179" s="315" t="n"/>
      <c r="BV179" s="885" t="n"/>
      <c r="BW179" s="315" t="n"/>
      <c r="BX179" s="1126" t="n"/>
      <c r="BY179" s="315" t="n"/>
      <c r="BZ179" s="315" t="n"/>
      <c r="CA179" s="315" t="n"/>
      <c r="CB179" s="315" t="n"/>
      <c r="CC179" s="1126" t="n"/>
      <c r="CD179" s="1126" t="n"/>
      <c r="CE179" s="1126" t="n"/>
      <c r="CF179" s="1126" t="n"/>
      <c r="CG179" s="155" t="n"/>
    </row>
    <row r="180" hidden="1" outlineLevel="1">
      <c r="A180" s="647" t="inlineStr">
        <is>
          <t>Tegra Operating Income Margin, %</t>
        </is>
      </c>
      <c r="B180" s="670" t="n"/>
      <c r="C180" s="1126" t="n"/>
      <c r="D180" s="1126" t="n"/>
      <c r="E180" s="1126">
        <f>E166/E138</f>
        <v/>
      </c>
      <c r="F180" s="1126">
        <f>F166/F138</f>
        <v/>
      </c>
      <c r="G180" s="315">
        <f>G166/G138</f>
        <v/>
      </c>
      <c r="H180" s="315">
        <f>H166/H138</f>
        <v/>
      </c>
      <c r="I180" s="315">
        <f>I166/I138</f>
        <v/>
      </c>
      <c r="J180" s="315">
        <f>J166/J138</f>
        <v/>
      </c>
      <c r="K180" s="1126">
        <f>K166/K138</f>
        <v/>
      </c>
      <c r="L180" s="315">
        <f>L166/L138</f>
        <v/>
      </c>
      <c r="M180" s="315">
        <f>M166/M138</f>
        <v/>
      </c>
      <c r="N180" s="315">
        <f>N166/N138</f>
        <v/>
      </c>
      <c r="O180" s="315">
        <f>O166/O138</f>
        <v/>
      </c>
      <c r="P180" s="1126">
        <f>P166/P138</f>
        <v/>
      </c>
      <c r="Q180" s="315">
        <f>Q166/Q138</f>
        <v/>
      </c>
      <c r="R180" s="315">
        <f>R166/R138</f>
        <v/>
      </c>
      <c r="S180" s="315">
        <f>S166/S138</f>
        <v/>
      </c>
      <c r="T180" s="315">
        <f>T166/T138</f>
        <v/>
      </c>
      <c r="U180" s="1126">
        <f>U166/U138</f>
        <v/>
      </c>
      <c r="V180" s="315">
        <f>V166/V138</f>
        <v/>
      </c>
      <c r="W180" s="315">
        <f>W166/W138</f>
        <v/>
      </c>
      <c r="X180" s="315">
        <f>X166/X138</f>
        <v/>
      </c>
      <c r="Y180" s="315">
        <f>Y166/Y138</f>
        <v/>
      </c>
      <c r="Z180" s="1126">
        <f>Z166/Z138</f>
        <v/>
      </c>
      <c r="AA180" s="315">
        <f>AA166/AA138</f>
        <v/>
      </c>
      <c r="AB180" s="315">
        <f>AB166/AB138</f>
        <v/>
      </c>
      <c r="AC180" s="315">
        <f>AC166/AC138</f>
        <v/>
      </c>
      <c r="AD180" s="315">
        <f>AD166/AD138</f>
        <v/>
      </c>
      <c r="AE180" s="1126">
        <f>AE166/AE138</f>
        <v/>
      </c>
      <c r="AF180" s="315">
        <f>AF166/AF138</f>
        <v/>
      </c>
      <c r="AG180" s="315">
        <f>AG166/AG138</f>
        <v/>
      </c>
      <c r="AH180" s="315">
        <f>AH166/AH138</f>
        <v/>
      </c>
      <c r="AI180" s="315">
        <f>AI166/AI138</f>
        <v/>
      </c>
      <c r="AJ180" s="1126">
        <f>AJ166/AJ138</f>
        <v/>
      </c>
      <c r="AK180" s="315">
        <f>AK166/AK138</f>
        <v/>
      </c>
      <c r="AL180" s="315">
        <f>AL166/AL138</f>
        <v/>
      </c>
      <c r="AM180" s="315">
        <f>AM166/AM138</f>
        <v/>
      </c>
      <c r="AN180" s="315">
        <f>AN166/AN138</f>
        <v/>
      </c>
      <c r="AO180" s="1126">
        <f>AO166/AO138</f>
        <v/>
      </c>
      <c r="AP180" s="315">
        <f>AP166/AP138</f>
        <v/>
      </c>
      <c r="AQ180" s="315">
        <f>AQ166/AQ138</f>
        <v/>
      </c>
      <c r="AR180" s="315">
        <f>AR166/AR138</f>
        <v/>
      </c>
      <c r="AS180" s="315">
        <f>AS166/AS138</f>
        <v/>
      </c>
      <c r="AT180" s="1126">
        <f>AT166/AT138</f>
        <v/>
      </c>
      <c r="AU180" s="315" t="n"/>
      <c r="AV180" s="315" t="n"/>
      <c r="AW180" s="315" t="n"/>
      <c r="AX180" s="315" t="n"/>
      <c r="AY180" s="1126" t="n"/>
      <c r="AZ180" s="315" t="n"/>
      <c r="BA180" s="315" t="n"/>
      <c r="BB180" s="315" t="n"/>
      <c r="BC180" s="315" t="n"/>
      <c r="BD180" s="1126" t="n"/>
      <c r="BE180" s="315" t="n"/>
      <c r="BF180" s="315" t="n"/>
      <c r="BG180" s="315" t="n"/>
      <c r="BH180" s="315" t="n"/>
      <c r="BI180" s="1126" t="n"/>
      <c r="BJ180" s="315" t="n"/>
      <c r="BK180" s="315" t="n"/>
      <c r="BL180" s="315" t="n"/>
      <c r="BM180" s="315" t="n"/>
      <c r="BN180" s="1126" t="n"/>
      <c r="BO180" s="315" t="n"/>
      <c r="BP180" s="315" t="n"/>
      <c r="BQ180" s="315" t="n"/>
      <c r="BR180" s="315" t="n"/>
      <c r="BS180" s="1126" t="n"/>
      <c r="BT180" s="315" t="n"/>
      <c r="BU180" s="315" t="n"/>
      <c r="BV180" s="885" t="n"/>
      <c r="BW180" s="315" t="n"/>
      <c r="BX180" s="1126" t="n"/>
      <c r="BY180" s="315" t="n"/>
      <c r="BZ180" s="315" t="n"/>
      <c r="CA180" s="315" t="n"/>
      <c r="CB180" s="315" t="n"/>
      <c r="CC180" s="1126" t="n"/>
      <c r="CD180" s="1126" t="n"/>
      <c r="CE180" s="1126" t="n"/>
      <c r="CF180" s="1126" t="n"/>
      <c r="CG180" s="155" t="n"/>
    </row>
    <row r="181" hidden="1" outlineLevel="1">
      <c r="A181" s="647" t="inlineStr">
        <is>
          <t>All Other Operating Income Margin, %</t>
        </is>
      </c>
      <c r="B181" s="670" t="n"/>
      <c r="C181" s="1126" t="n"/>
      <c r="D181" s="1126" t="n"/>
      <c r="E181" s="1126">
        <f>IFERROR(E176/E139,"N/A")</f>
        <v/>
      </c>
      <c r="F181" s="1126">
        <f>IFERROR(F176/F139,"N/A")</f>
        <v/>
      </c>
      <c r="G181" s="315">
        <f>IFERROR(G176/G139,"N/A")</f>
        <v/>
      </c>
      <c r="H181" s="315">
        <f>IFERROR(H176/H139,"N/A")</f>
        <v/>
      </c>
      <c r="I181" s="315">
        <f>IFERROR(I176/I139,"N/A")</f>
        <v/>
      </c>
      <c r="J181" s="315">
        <f>IFERROR(J176/J139,"N/A")</f>
        <v/>
      </c>
      <c r="K181" s="1126">
        <f>IFERROR(K176/K139,"N/A")</f>
        <v/>
      </c>
      <c r="L181" s="315">
        <f>IFERROR(L176/L139,"N/A")</f>
        <v/>
      </c>
      <c r="M181" s="315">
        <f>IFERROR(M176/M139,"N/A")</f>
        <v/>
      </c>
      <c r="N181" s="315">
        <f>IFERROR(N176/N139,"N/A")</f>
        <v/>
      </c>
      <c r="O181" s="315">
        <f>IFERROR(O176/O139,"N/A")</f>
        <v/>
      </c>
      <c r="P181" s="1126">
        <f>IFERROR(P176/P139,"N/A")</f>
        <v/>
      </c>
      <c r="Q181" s="315">
        <f>IFERROR(Q176/Q139,"N/A")</f>
        <v/>
      </c>
      <c r="R181" s="315">
        <f>IFERROR(R176/R139,"N/A")</f>
        <v/>
      </c>
      <c r="S181" s="315">
        <f>IFERROR(S176/S139,"N/A")</f>
        <v/>
      </c>
      <c r="T181" s="315">
        <f>IFERROR(T176/T139,"N/A")</f>
        <v/>
      </c>
      <c r="U181" s="1126">
        <f>IFERROR(U176/U139,"N/A")</f>
        <v/>
      </c>
      <c r="V181" s="315">
        <f>IFERROR(V176/V139,"N/A")</f>
        <v/>
      </c>
      <c r="W181" s="315">
        <f>IFERROR(W176/W139,"N/A")</f>
        <v/>
      </c>
      <c r="X181" s="315">
        <f>IFERROR(X176/X139,"N/A")</f>
        <v/>
      </c>
      <c r="Y181" s="315">
        <f>IFERROR(Y176/Y139,"N/A")</f>
        <v/>
      </c>
      <c r="Z181" s="1126">
        <f>IFERROR(Z176/Z139,"N/A")</f>
        <v/>
      </c>
      <c r="AA181" s="315">
        <f>IFERROR(AA176/AA139,"N/A")</f>
        <v/>
      </c>
      <c r="AB181" s="315">
        <f>IFERROR(AB176/AB139,"N/A")</f>
        <v/>
      </c>
      <c r="AC181" s="315">
        <f>IFERROR(AC176/AC139,"N/A")</f>
        <v/>
      </c>
      <c r="AD181" s="315">
        <f>IFERROR(AD176/AD139,"N/A")</f>
        <v/>
      </c>
      <c r="AE181" s="1126">
        <f>IFERROR(AE176/AE139,"N/A")</f>
        <v/>
      </c>
      <c r="AF181" s="315">
        <f>IFERROR(AF176/AF139,"N/A")</f>
        <v/>
      </c>
      <c r="AG181" s="315">
        <f>IFERROR(AG176/AG139,"N/A")</f>
        <v/>
      </c>
      <c r="AH181" s="315">
        <f>IFERROR(AH176/AH139,"N/A")</f>
        <v/>
      </c>
      <c r="AI181" s="315">
        <f>IFERROR(AI176/AI139,"N/A")</f>
        <v/>
      </c>
      <c r="AJ181" s="1126">
        <f>IFERROR(AJ176/AJ139,"N/A")</f>
        <v/>
      </c>
      <c r="AK181" s="315">
        <f>IFERROR(AK176/AK139,"N/A")</f>
        <v/>
      </c>
      <c r="AL181" s="315">
        <f>IFERROR(AL176/AL139,"N/A")</f>
        <v/>
      </c>
      <c r="AM181" s="315">
        <f>IFERROR(AM176/AM139,"N/A")</f>
        <v/>
      </c>
      <c r="AN181" s="315">
        <f>IFERROR(AN176/AN139,"N/A")</f>
        <v/>
      </c>
      <c r="AO181" s="1126">
        <f>IFERROR(AO176/AO139,"N/A")</f>
        <v/>
      </c>
      <c r="AP181" s="315">
        <f>IFERROR(AP176/AP139,"N/A")</f>
        <v/>
      </c>
      <c r="AQ181" s="315">
        <f>IFERROR(AQ176/AQ139,"N/A")</f>
        <v/>
      </c>
      <c r="AR181" s="315">
        <f>IFERROR(AR176/AR139,"N/A")</f>
        <v/>
      </c>
      <c r="AS181" s="315">
        <f>IFERROR(AS176/AS139,"N/A")</f>
        <v/>
      </c>
      <c r="AT181" s="1126">
        <f>IFERROR(AT176/AT139,"N/A")</f>
        <v/>
      </c>
      <c r="AU181" s="315" t="n"/>
      <c r="AV181" s="315" t="n"/>
      <c r="AW181" s="315" t="n"/>
      <c r="AX181" s="315" t="n"/>
      <c r="AY181" s="1126" t="n"/>
      <c r="AZ181" s="315" t="n"/>
      <c r="BA181" s="315" t="n"/>
      <c r="BB181" s="315" t="n"/>
      <c r="BC181" s="315" t="n"/>
      <c r="BD181" s="1126" t="n"/>
      <c r="BE181" s="315" t="n"/>
      <c r="BF181" s="315" t="n"/>
      <c r="BG181" s="315" t="n"/>
      <c r="BH181" s="315" t="n"/>
      <c r="BI181" s="1126" t="n"/>
      <c r="BJ181" s="315" t="n"/>
      <c r="BK181" s="315" t="n"/>
      <c r="BL181" s="315" t="n"/>
      <c r="BM181" s="315" t="n"/>
      <c r="BN181" s="1126" t="n"/>
      <c r="BO181" s="315" t="n"/>
      <c r="BP181" s="315" t="n"/>
      <c r="BQ181" s="315" t="n"/>
      <c r="BR181" s="315" t="n"/>
      <c r="BS181" s="1126" t="n"/>
      <c r="BT181" s="315" t="n"/>
      <c r="BU181" s="315" t="n"/>
      <c r="BV181" s="885" t="n"/>
      <c r="BW181" s="315" t="n"/>
      <c r="BX181" s="1126" t="n"/>
      <c r="BY181" s="315" t="n"/>
      <c r="BZ181" s="315" t="n"/>
      <c r="CA181" s="315" t="n"/>
      <c r="CB181" s="315" t="n"/>
      <c r="CC181" s="1126" t="n"/>
      <c r="CD181" s="1126" t="n"/>
      <c r="CE181" s="1126" t="n"/>
      <c r="CF181" s="1126" t="n"/>
      <c r="CG181" s="155" t="n"/>
    </row>
    <row r="182" hidden="1" outlineLevel="1">
      <c r="A182" s="666" t="inlineStr">
        <is>
          <t>Total Operating Income Margin, %</t>
        </is>
      </c>
      <c r="B182" s="673" t="n"/>
      <c r="C182" s="1133" t="n"/>
      <c r="D182" s="1133" t="n"/>
      <c r="E182" s="1133">
        <f>E177/E140</f>
        <v/>
      </c>
      <c r="F182" s="1133">
        <f>F177/F140</f>
        <v/>
      </c>
      <c r="G182" s="675">
        <f>G177/G140</f>
        <v/>
      </c>
      <c r="H182" s="675">
        <f>H177/H140</f>
        <v/>
      </c>
      <c r="I182" s="675">
        <f>I177/I140</f>
        <v/>
      </c>
      <c r="J182" s="675">
        <f>J177/J140</f>
        <v/>
      </c>
      <c r="K182" s="1133">
        <f>K177/K140</f>
        <v/>
      </c>
      <c r="L182" s="675">
        <f>L177/L140</f>
        <v/>
      </c>
      <c r="M182" s="675">
        <f>M177/M140</f>
        <v/>
      </c>
      <c r="N182" s="675">
        <f>N177/N140</f>
        <v/>
      </c>
      <c r="O182" s="675">
        <f>O177/O140</f>
        <v/>
      </c>
      <c r="P182" s="1133">
        <f>P177/P140</f>
        <v/>
      </c>
      <c r="Q182" s="675">
        <f>Q177/Q140</f>
        <v/>
      </c>
      <c r="R182" s="675">
        <f>R177/R140</f>
        <v/>
      </c>
      <c r="S182" s="675">
        <f>S177/S140</f>
        <v/>
      </c>
      <c r="T182" s="675">
        <f>T177/T140</f>
        <v/>
      </c>
      <c r="U182" s="1133">
        <f>U177/U140</f>
        <v/>
      </c>
      <c r="V182" s="675">
        <f>V177/V140</f>
        <v/>
      </c>
      <c r="W182" s="675">
        <f>W177/W140</f>
        <v/>
      </c>
      <c r="X182" s="675">
        <f>X177/X140</f>
        <v/>
      </c>
      <c r="Y182" s="675">
        <f>Y177/Y140</f>
        <v/>
      </c>
      <c r="Z182" s="1133">
        <f>Z177/Z140</f>
        <v/>
      </c>
      <c r="AA182" s="675">
        <f>AA177/AA140</f>
        <v/>
      </c>
      <c r="AB182" s="675">
        <f>AB177/AB140</f>
        <v/>
      </c>
      <c r="AC182" s="675">
        <f>AC177/AC140</f>
        <v/>
      </c>
      <c r="AD182" s="675">
        <f>AD177/AD140</f>
        <v/>
      </c>
      <c r="AE182" s="1133">
        <f>AE177/AE140</f>
        <v/>
      </c>
      <c r="AF182" s="675">
        <f>AF177/AF140</f>
        <v/>
      </c>
      <c r="AG182" s="675">
        <f>AG177/AG140</f>
        <v/>
      </c>
      <c r="AH182" s="675">
        <f>AH177/AH140</f>
        <v/>
      </c>
      <c r="AI182" s="675">
        <f>AI177/AI140</f>
        <v/>
      </c>
      <c r="AJ182" s="1133">
        <f>AJ177/AJ140</f>
        <v/>
      </c>
      <c r="AK182" s="675">
        <f>AK177/AK140</f>
        <v/>
      </c>
      <c r="AL182" s="675">
        <f>AL177/AL140</f>
        <v/>
      </c>
      <c r="AM182" s="675">
        <f>AM177/AM140</f>
        <v/>
      </c>
      <c r="AN182" s="675">
        <f>AN177/AN140</f>
        <v/>
      </c>
      <c r="AO182" s="1133">
        <f>AO177/AO140</f>
        <v/>
      </c>
      <c r="AP182" s="675">
        <f>AP177/AP140</f>
        <v/>
      </c>
      <c r="AQ182" s="675">
        <f>AQ177/AQ140</f>
        <v/>
      </c>
      <c r="AR182" s="675">
        <f>AR177/AR140</f>
        <v/>
      </c>
      <c r="AS182" s="675">
        <f>AS177/AS140</f>
        <v/>
      </c>
      <c r="AT182" s="1133">
        <f>AT177/AT140</f>
        <v/>
      </c>
      <c r="AU182" s="675" t="n"/>
      <c r="AV182" s="675" t="n"/>
      <c r="AW182" s="675" t="n"/>
      <c r="AX182" s="675" t="n"/>
      <c r="AY182" s="1133" t="n"/>
      <c r="AZ182" s="675" t="n"/>
      <c r="BA182" s="675" t="n"/>
      <c r="BB182" s="675" t="n"/>
      <c r="BC182" s="675" t="n"/>
      <c r="BD182" s="1133" t="n"/>
      <c r="BE182" s="675" t="n"/>
      <c r="BF182" s="675" t="n"/>
      <c r="BG182" s="675" t="n"/>
      <c r="BH182" s="675" t="n"/>
      <c r="BI182" s="1133" t="n"/>
      <c r="BJ182" s="675" t="n"/>
      <c r="BK182" s="675" t="n"/>
      <c r="BL182" s="675" t="n"/>
      <c r="BM182" s="675" t="n"/>
      <c r="BN182" s="1133" t="n"/>
      <c r="BO182" s="675" t="n"/>
      <c r="BP182" s="675" t="n"/>
      <c r="BQ182" s="675" t="n"/>
      <c r="BR182" s="675" t="n"/>
      <c r="BS182" s="1133" t="n"/>
      <c r="BT182" s="675" t="n"/>
      <c r="BU182" s="675" t="n"/>
      <c r="BV182" s="888" t="n"/>
      <c r="BW182" s="675" t="n"/>
      <c r="BX182" s="1133" t="n"/>
      <c r="BY182" s="675" t="n"/>
      <c r="BZ182" s="675" t="n"/>
      <c r="CA182" s="675" t="n"/>
      <c r="CB182" s="675" t="n"/>
      <c r="CC182" s="1133" t="n"/>
      <c r="CD182" s="1133" t="n"/>
      <c r="CE182" s="1133" t="n"/>
      <c r="CF182" s="1133" t="n"/>
      <c r="CG182" s="155" t="n"/>
    </row>
    <row r="183" hidden="1" outlineLevel="1">
      <c r="A183" s="605" t="n"/>
      <c r="B183" s="606" t="n"/>
      <c r="C183" s="1134" t="n"/>
      <c r="D183" s="1134" t="n"/>
      <c r="E183" s="1134" t="n"/>
      <c r="F183" s="1134" t="n"/>
      <c r="G183" s="93" t="n"/>
      <c r="H183" s="93" t="n"/>
      <c r="I183" s="93" t="n"/>
      <c r="J183" s="93" t="n"/>
      <c r="K183" s="1134" t="n"/>
      <c r="L183" s="93" t="n"/>
      <c r="M183" s="93" t="n"/>
      <c r="N183" s="93" t="n"/>
      <c r="O183" s="93" t="n"/>
      <c r="P183" s="1134" t="n"/>
      <c r="Q183" s="93" t="n"/>
      <c r="R183" s="93" t="n"/>
      <c r="S183" s="93" t="n"/>
      <c r="T183" s="93" t="n"/>
      <c r="U183" s="1134" t="n"/>
      <c r="V183" s="93" t="n"/>
      <c r="W183" s="93" t="n"/>
      <c r="X183" s="93" t="n"/>
      <c r="Y183" s="93" t="n"/>
      <c r="Z183" s="1134" t="n"/>
      <c r="AA183" s="93" t="n"/>
      <c r="AB183" s="93" t="n"/>
      <c r="AC183" s="93" t="n"/>
      <c r="AD183" s="93" t="n"/>
      <c r="AE183" s="1134" t="n"/>
      <c r="AF183" s="93" t="n"/>
      <c r="AG183" s="93" t="n"/>
      <c r="AH183" s="93" t="n"/>
      <c r="AI183" s="93" t="n"/>
      <c r="AJ183" s="1134" t="n"/>
      <c r="AK183" s="93" t="n"/>
      <c r="AL183" s="93" t="n"/>
      <c r="AM183" s="93" t="n"/>
      <c r="AN183" s="93" t="n"/>
      <c r="AO183" s="1134" t="n"/>
      <c r="AP183" s="93" t="n"/>
      <c r="AQ183" s="93" t="n"/>
      <c r="AR183" s="93" t="n"/>
      <c r="AS183" s="93" t="n"/>
      <c r="AT183" s="1134" t="n"/>
      <c r="AU183" s="93" t="n"/>
      <c r="AV183" s="93" t="n"/>
      <c r="AW183" s="93" t="n"/>
      <c r="AX183" s="93" t="n"/>
      <c r="AY183" s="1134" t="n"/>
      <c r="AZ183" s="93" t="n"/>
      <c r="BA183" s="93" t="n"/>
      <c r="BB183" s="93" t="n"/>
      <c r="BC183" s="93" t="n"/>
      <c r="BD183" s="1134" t="n"/>
      <c r="BE183" s="93" t="n"/>
      <c r="BF183" s="93" t="n"/>
      <c r="BG183" s="93" t="n"/>
      <c r="BH183" s="93" t="n"/>
      <c r="BI183" s="1134" t="n"/>
      <c r="BJ183" s="93" t="n"/>
      <c r="BK183" s="93" t="n"/>
      <c r="BL183" s="93" t="n"/>
      <c r="BM183" s="93" t="n"/>
      <c r="BN183" s="1134" t="n"/>
      <c r="BO183" s="93" t="n"/>
      <c r="BP183" s="93" t="n"/>
      <c r="BQ183" s="93" t="n"/>
      <c r="BR183" s="93" t="n"/>
      <c r="BS183" s="1134" t="n"/>
      <c r="BT183" s="93" t="n"/>
      <c r="BU183" s="93" t="n"/>
      <c r="BV183" s="522" t="n"/>
      <c r="BW183" s="93" t="n"/>
      <c r="BX183" s="1134" t="n"/>
      <c r="BY183" s="93" t="n"/>
      <c r="BZ183" s="93" t="n"/>
      <c r="CA183" s="93" t="n"/>
      <c r="CB183" s="93" t="n"/>
      <c r="CC183" s="1134" t="n"/>
      <c r="CD183" s="1134" t="n"/>
      <c r="CE183" s="1134" t="n"/>
      <c r="CF183" s="1134" t="n"/>
      <c r="CG183" s="155" t="n"/>
    </row>
    <row r="184" hidden="1" outlineLevel="1">
      <c r="A184" s="45" t="inlineStr">
        <is>
          <t>Segmented Results - Geographic Breakdown (FS)</t>
        </is>
      </c>
      <c r="B184" s="45" t="n"/>
      <c r="C184" s="45" t="n"/>
      <c r="D184" s="45" t="n"/>
      <c r="E184" s="45" t="n"/>
      <c r="F184" s="45" t="n"/>
      <c r="G184" s="45" t="n"/>
      <c r="H184" s="45" t="n"/>
      <c r="I184" s="45" t="n"/>
      <c r="J184" s="45" t="n"/>
      <c r="K184" s="45" t="n"/>
      <c r="L184" s="45" t="n"/>
      <c r="M184" s="45" t="n"/>
      <c r="N184" s="45" t="n"/>
      <c r="O184" s="45" t="n"/>
      <c r="P184" s="45" t="n"/>
      <c r="Q184" s="45" t="n"/>
      <c r="R184" s="45" t="n"/>
      <c r="S184" s="45" t="n"/>
      <c r="T184" s="45" t="n"/>
      <c r="U184" s="45" t="n"/>
      <c r="V184" s="45" t="n"/>
      <c r="W184" s="45" t="n"/>
      <c r="X184" s="45" t="n"/>
      <c r="Y184" s="45" t="n"/>
      <c r="Z184" s="45" t="n"/>
      <c r="AA184" s="45" t="n"/>
      <c r="AB184" s="45" t="n"/>
      <c r="AC184" s="45" t="n"/>
      <c r="AD184" s="45" t="n"/>
      <c r="AE184" s="45" t="n"/>
      <c r="AF184" s="45" t="n"/>
      <c r="AG184" s="45" t="n"/>
      <c r="AH184" s="45" t="n"/>
      <c r="AI184" s="45" t="n"/>
      <c r="AJ184" s="45" t="n"/>
      <c r="AK184" s="45" t="n"/>
      <c r="AL184" s="45" t="n"/>
      <c r="AM184" s="45" t="n"/>
      <c r="AN184" s="45" t="n"/>
      <c r="AO184" s="45" t="n"/>
      <c r="AP184" s="45" t="n"/>
      <c r="AQ184" s="45" t="n"/>
      <c r="AR184" s="45" t="n"/>
      <c r="AS184" s="45" t="n"/>
      <c r="AT184" s="45" t="n"/>
      <c r="AU184" s="45" t="n"/>
      <c r="AV184" s="45" t="n"/>
      <c r="AW184" s="45" t="n"/>
      <c r="AX184" s="45" t="n"/>
      <c r="AY184" s="45" t="n"/>
      <c r="AZ184" s="45" t="n"/>
      <c r="BA184" s="45" t="n"/>
      <c r="BB184" s="45" t="n"/>
      <c r="BC184" s="45" t="n"/>
      <c r="BD184" s="45" t="n"/>
      <c r="BE184" s="45" t="n"/>
      <c r="BF184" s="45" t="n"/>
      <c r="BG184" s="45" t="n"/>
      <c r="BH184" s="45" t="n"/>
      <c r="BI184" s="45" t="n"/>
      <c r="BJ184" s="45" t="n"/>
      <c r="BK184" s="45" t="n"/>
      <c r="BL184" s="45" t="n"/>
      <c r="BM184" s="45" t="n"/>
      <c r="BN184" s="45" t="n"/>
      <c r="BO184" s="1035" t="inlineStr">
        <is>
          <t>Unrestated</t>
        </is>
      </c>
      <c r="BP184" s="1035" t="inlineStr">
        <is>
          <t>Unrestated</t>
        </is>
      </c>
      <c r="BQ184" s="1035" t="inlineStr">
        <is>
          <t>Unrestated</t>
        </is>
      </c>
      <c r="BR184" s="1035" t="inlineStr">
        <is>
          <t>Unrestated</t>
        </is>
      </c>
      <c r="BS184" s="1035" t="inlineStr">
        <is>
          <t>Unrestated</t>
        </is>
      </c>
      <c r="BT184" s="1035" t="inlineStr">
        <is>
          <t>Unrestated</t>
        </is>
      </c>
      <c r="BU184" s="1035" t="inlineStr">
        <is>
          <t>Unrestated</t>
        </is>
      </c>
      <c r="BV184" s="982" t="n"/>
      <c r="BW184" s="45" t="n"/>
      <c r="BX184" s="45" t="n"/>
      <c r="BY184" s="45" t="n"/>
      <c r="BZ184" s="45" t="n"/>
      <c r="CA184" s="45" t="n"/>
      <c r="CB184" s="45" t="n"/>
      <c r="CC184" s="45" t="n"/>
      <c r="CD184" s="45" t="n"/>
      <c r="CE184" s="45" t="n"/>
      <c r="CF184" s="45" t="n"/>
      <c r="CG184" s="155" t="n"/>
    </row>
    <row r="185" hidden="1" outlineLevel="1">
      <c r="A185" s="67" t="inlineStr">
        <is>
          <t>Taiwan Revenue, mm</t>
        </is>
      </c>
      <c r="B185" s="602" t="n"/>
      <c r="C185" s="1111" t="n">
        <v>974.077</v>
      </c>
      <c r="D185" s="1111" t="n">
        <v>883.1369999999999</v>
      </c>
      <c r="E185" s="1111" t="n">
        <v>936.797</v>
      </c>
      <c r="F185" s="1111" t="n">
        <v>1137.175</v>
      </c>
      <c r="G185" s="1053" t="n">
        <v>276.318</v>
      </c>
      <c r="H185" s="1053" t="n">
        <v>340.144</v>
      </c>
      <c r="I185" s="1053" t="n">
        <v>403.769</v>
      </c>
      <c r="J185" s="27">
        <f>K185-SUM(G185,H185,I185)</f>
        <v/>
      </c>
      <c r="K185" s="1111" t="n">
        <v>1356.838</v>
      </c>
      <c r="L185" s="1053" t="n">
        <v>289.881</v>
      </c>
      <c r="M185" s="1053" t="n">
        <v>319.004</v>
      </c>
      <c r="N185" s="1053" t="n">
        <v>319.018</v>
      </c>
      <c r="O185" s="27">
        <f>P185-SUM(L185,M185,N185)</f>
        <v/>
      </c>
      <c r="P185" s="1111" t="n">
        <v>1321</v>
      </c>
      <c r="Q185" s="1053" t="n">
        <v>373</v>
      </c>
      <c r="R185" s="1053" t="n">
        <v>331</v>
      </c>
      <c r="S185" s="1053" t="n">
        <v>406</v>
      </c>
      <c r="T185" s="27">
        <f>U185-SUM(Q185,R185,S185)</f>
        <v/>
      </c>
      <c r="U185" s="1111" t="n">
        <v>1594</v>
      </c>
      <c r="V185" s="1053" t="n">
        <v>388</v>
      </c>
      <c r="W185" s="1053" t="n">
        <v>445</v>
      </c>
      <c r="X185" s="1053" t="n">
        <v>515</v>
      </c>
      <c r="Y185" s="27">
        <f>Z185-SUM(V185,W185,X185)</f>
        <v/>
      </c>
      <c r="Z185" s="1111" t="n">
        <v>1912</v>
      </c>
      <c r="AA185" s="1053" t="n">
        <v>445</v>
      </c>
      <c r="AB185" s="1053" t="n">
        <v>505</v>
      </c>
      <c r="AC185" s="1053" t="n">
        <v>747</v>
      </c>
      <c r="AD185" s="27">
        <f>AE185-SUM(AA185,AB185,AC185)</f>
        <v/>
      </c>
      <c r="AE185" s="1111" t="n">
        <v>2546</v>
      </c>
      <c r="AF185" s="1053" t="n">
        <v>602</v>
      </c>
      <c r="AG185" s="1053" t="n">
        <v>674</v>
      </c>
      <c r="AH185" s="1053" t="n">
        <v>864</v>
      </c>
      <c r="AI185" s="27">
        <f>AJ185-SUM(AF185,AG185,AH185)</f>
        <v/>
      </c>
      <c r="AJ185" s="1111" t="n">
        <v>2991</v>
      </c>
      <c r="AK185" s="1053" t="n">
        <v>967</v>
      </c>
      <c r="AL185" s="1053" t="n">
        <v>843</v>
      </c>
      <c r="AM185" s="1053" t="n">
        <v>929</v>
      </c>
      <c r="AN185" s="27">
        <f>AO185-SUM(AK185,AL185,AM185)</f>
        <v/>
      </c>
      <c r="AO185" s="1111" t="n">
        <v>3360</v>
      </c>
      <c r="AP185" s="1053" t="n">
        <v>698</v>
      </c>
      <c r="AQ185" s="1053" t="n">
        <v>635</v>
      </c>
      <c r="AR185" s="1053" t="n">
        <v>838</v>
      </c>
      <c r="AS185" s="27">
        <f>AT185-SUM(AP185,AQ185,AR185)</f>
        <v/>
      </c>
      <c r="AT185" s="1111" t="n">
        <v>3025</v>
      </c>
      <c r="AU185" s="1053" t="n">
        <v>813</v>
      </c>
      <c r="AV185" s="1053" t="n">
        <v>954</v>
      </c>
      <c r="AW185" s="1053" t="n">
        <v>1296</v>
      </c>
      <c r="AX185" s="27">
        <f>AY185-SUM(AU185,AV185,AW185)</f>
        <v/>
      </c>
      <c r="AY185" s="1111" t="n">
        <v>4531</v>
      </c>
      <c r="AZ185" s="1053" t="n">
        <v>1784</v>
      </c>
      <c r="BA185" s="1053" t="n">
        <v>1961</v>
      </c>
      <c r="BB185" s="1053" t="n">
        <v>2187</v>
      </c>
      <c r="BC185" s="68">
        <f>BD185-SUM(AZ185,BA185,BB185)</f>
        <v/>
      </c>
      <c r="BD185" s="1111" t="n">
        <v>8544</v>
      </c>
      <c r="BE185" s="1053" t="n">
        <v>2777</v>
      </c>
      <c r="BF185" s="1053" t="n">
        <v>1204</v>
      </c>
      <c r="BG185" s="1053" t="n">
        <v>1153</v>
      </c>
      <c r="BH185" s="68">
        <f>BI185-SUM(BE185,BF185,BG185)</f>
        <v/>
      </c>
      <c r="BI185" s="1111" t="n">
        <v>6986</v>
      </c>
      <c r="BJ185" s="1053" t="n">
        <v>1796</v>
      </c>
      <c r="BK185" s="1053" t="n">
        <v>2839</v>
      </c>
      <c r="BL185" s="1053" t="n">
        <v>4333</v>
      </c>
      <c r="BM185" s="68">
        <f>BN185-SUM(BJ185,BK185,BL185)</f>
        <v/>
      </c>
      <c r="BN185" s="1111" t="n">
        <v>13405</v>
      </c>
      <c r="BO185" s="1053" t="n">
        <v>4373</v>
      </c>
      <c r="BP185" s="1053" t="n">
        <v>5740</v>
      </c>
      <c r="BQ185" s="1053" t="n">
        <v>5153</v>
      </c>
      <c r="BR185" s="68">
        <f>BS185-SUM(BO185,BP185,BQ185)</f>
        <v/>
      </c>
      <c r="BS185" s="1111" t="n">
        <v>20573</v>
      </c>
      <c r="BT185" s="1053" t="n">
        <v>7158</v>
      </c>
      <c r="BU185" s="1053" t="n">
        <v>8529</v>
      </c>
      <c r="BV185" s="1054" t="n">
        <v>13751</v>
      </c>
      <c r="BW185" s="68" t="n"/>
      <c r="BX185" s="1110" t="n"/>
      <c r="BY185" s="68" t="n"/>
      <c r="BZ185" s="68" t="n"/>
      <c r="CA185" s="68" t="n"/>
      <c r="CB185" s="68" t="n"/>
      <c r="CC185" s="1110" t="n"/>
      <c r="CD185" s="1110" t="n"/>
      <c r="CE185" s="1110" t="n"/>
      <c r="CF185" s="1110" t="n"/>
      <c r="CG185" s="155" t="n"/>
    </row>
    <row r="186" hidden="1" outlineLevel="1">
      <c r="A186" s="67" t="inlineStr">
        <is>
          <t>China Revenue, mm</t>
        </is>
      </c>
      <c r="B186" s="602" t="n"/>
      <c r="C186" s="1111" t="n">
        <v>1087.739</v>
      </c>
      <c r="D186" s="1111" t="n">
        <v>1304.196</v>
      </c>
      <c r="E186" s="1111" t="n">
        <v>1223.199</v>
      </c>
      <c r="F186" s="1111" t="n">
        <v>941.811</v>
      </c>
      <c r="G186" s="1053" t="n">
        <v>178.61</v>
      </c>
      <c r="H186" s="1053" t="n">
        <v>196.687</v>
      </c>
      <c r="I186" s="1053" t="n">
        <v>205.636</v>
      </c>
      <c r="J186" s="27">
        <f>K186-SUM(G186,H186,I186)</f>
        <v/>
      </c>
      <c r="K186" s="1111" t="n">
        <v>780.4930000000001</v>
      </c>
      <c r="L186" s="1053" t="n">
        <v>175.044</v>
      </c>
      <c r="M186" s="1053" t="n">
        <v>184.086</v>
      </c>
      <c r="N186" s="1053" t="n">
        <v>206.374</v>
      </c>
      <c r="O186" s="27">
        <f>P186-SUM(L186,M186,N186)</f>
        <v/>
      </c>
      <c r="P186" s="1111" t="n">
        <v>794</v>
      </c>
      <c r="Q186" s="1053" t="n">
        <v>223</v>
      </c>
      <c r="R186" s="1053" t="n">
        <v>252</v>
      </c>
      <c r="S186" s="1053" t="n">
        <v>238</v>
      </c>
      <c r="T186" s="27">
        <f>U186-SUM(Q186,R186,S186)</f>
        <v/>
      </c>
      <c r="U186" s="1111" t="n">
        <v>922</v>
      </c>
      <c r="V186" s="1053" t="n">
        <v>173</v>
      </c>
      <c r="W186" s="1053" t="n">
        <v>181</v>
      </c>
      <c r="X186" s="1053" t="n">
        <v>229</v>
      </c>
      <c r="Y186" s="27">
        <f>Z186-SUM(V186,W186,X186)</f>
        <v/>
      </c>
      <c r="Z186" s="1111" t="n">
        <v>806</v>
      </c>
      <c r="AA186" s="1053" t="n">
        <v>247</v>
      </c>
      <c r="AB186" s="1053" t="n">
        <v>256</v>
      </c>
      <c r="AC186" s="1053" t="n">
        <v>341</v>
      </c>
      <c r="AD186" s="27">
        <f>AE186-SUM(AA186,AB186,AC186)</f>
        <v/>
      </c>
      <c r="AE186" s="1111" t="n">
        <v>1305</v>
      </c>
      <c r="AF186" s="1053" t="n">
        <v>330</v>
      </c>
      <c r="AG186" s="1053" t="n">
        <v>481</v>
      </c>
      <c r="AH186" s="1053" t="n">
        <v>515</v>
      </c>
      <c r="AI186" s="27">
        <f>AJ186-SUM(AF186,AG186,AH186)</f>
        <v/>
      </c>
      <c r="AJ186" s="1111" t="n">
        <v>1896</v>
      </c>
      <c r="AK186" s="1053" t="n">
        <v>754</v>
      </c>
      <c r="AL186" s="1053" t="n">
        <v>760</v>
      </c>
      <c r="AM186" s="1053" t="n">
        <v>704</v>
      </c>
      <c r="AN186" s="27">
        <f>AO186-SUM(AK186,AL186,AM186)</f>
        <v/>
      </c>
      <c r="AO186" s="1111" t="n">
        <v>2801</v>
      </c>
      <c r="AP186" s="1053" t="n">
        <v>553</v>
      </c>
      <c r="AQ186" s="1053" t="n">
        <v>583</v>
      </c>
      <c r="AR186" s="1053" t="n">
        <v>758</v>
      </c>
      <c r="AS186" s="27">
        <f>AT186-SUM(AP186,AQ186,AR186)</f>
        <v/>
      </c>
      <c r="AT186" s="1111" t="n">
        <v>2731</v>
      </c>
      <c r="AU186" s="1053" t="n">
        <v>758</v>
      </c>
      <c r="AV186" s="1053" t="n">
        <v>855</v>
      </c>
      <c r="AW186" s="1053" t="n">
        <v>1113</v>
      </c>
      <c r="AX186" s="27">
        <f>AY186-SUM(AU186,AV186,AW186)</f>
        <v/>
      </c>
      <c r="AY186" s="1111" t="n">
        <v>3886</v>
      </c>
      <c r="AZ186" s="1053" t="n">
        <v>1391</v>
      </c>
      <c r="BA186" s="1053" t="n">
        <v>1720</v>
      </c>
      <c r="BB186" s="1053" t="n">
        <v>2017</v>
      </c>
      <c r="BC186" s="68">
        <f>BD186-SUM(AZ186,BA186,BB186)</f>
        <v/>
      </c>
      <c r="BD186" s="1111" t="n">
        <v>7111</v>
      </c>
      <c r="BE186" s="1053" t="n">
        <v>2081</v>
      </c>
      <c r="BF186" s="1053" t="n">
        <v>1602</v>
      </c>
      <c r="BG186" s="1053" t="n">
        <v>1148</v>
      </c>
      <c r="BH186" s="68">
        <f>BI186-SUM(BE186,BF186,BG186)</f>
        <v/>
      </c>
      <c r="BI186" s="1111" t="n">
        <v>5785</v>
      </c>
      <c r="BJ186" s="1053" t="n">
        <v>1590</v>
      </c>
      <c r="BK186" s="1053" t="n">
        <v>2740</v>
      </c>
      <c r="BL186" s="1053" t="n">
        <v>4030</v>
      </c>
      <c r="BM186" s="68">
        <f>BN186-SUM(BJ186,BK186,BL186)</f>
        <v/>
      </c>
      <c r="BN186" s="1111" t="n">
        <v>10306</v>
      </c>
      <c r="BO186" s="1053" t="n">
        <v>2491</v>
      </c>
      <c r="BP186" s="1053" t="n">
        <v>3667</v>
      </c>
      <c r="BQ186" s="1053" t="n">
        <v>5416</v>
      </c>
      <c r="BR186" s="68">
        <f>BS186-SUM(BO186,BP186,BQ186)</f>
        <v/>
      </c>
      <c r="BS186" s="1111" t="n">
        <v>17108</v>
      </c>
      <c r="BT186" s="1053" t="n">
        <v>5522</v>
      </c>
      <c r="BU186" s="1053" t="n">
        <v>2769</v>
      </c>
      <c r="BV186" s="1054" t="n">
        <v>2973</v>
      </c>
      <c r="BW186" s="68" t="n"/>
      <c r="BX186" s="1110" t="n"/>
      <c r="BY186" s="68" t="n"/>
      <c r="BZ186" s="68" t="n"/>
      <c r="CA186" s="68" t="n"/>
      <c r="CB186" s="68" t="n"/>
      <c r="CC186" s="1110" t="n"/>
      <c r="CD186" s="1110" t="n"/>
      <c r="CE186" s="1110" t="n"/>
      <c r="CF186" s="1110" t="n"/>
      <c r="CG186" s="155" t="n"/>
    </row>
    <row r="187" hidden="1" outlineLevel="1">
      <c r="A187" s="67" t="inlineStr">
        <is>
          <t>United States Revenue, mm</t>
        </is>
      </c>
      <c r="B187" s="602" t="n"/>
      <c r="C187" s="1111" t="n">
        <v>309.54</v>
      </c>
      <c r="D187" s="1111" t="n">
        <v>248.793</v>
      </c>
      <c r="E187" s="1111" t="n">
        <v>297.265</v>
      </c>
      <c r="F187" s="1111" t="n">
        <v>596.264</v>
      </c>
      <c r="G187" s="1053" t="n">
        <v>145.942</v>
      </c>
      <c r="H187" s="1053" t="n">
        <v>154.814</v>
      </c>
      <c r="I187" s="1053" t="n">
        <v>257.551</v>
      </c>
      <c r="J187" s="27">
        <f>K187-SUM(G187,H187,I187)</f>
        <v/>
      </c>
      <c r="K187" s="1111" t="n">
        <v>799.4299999999999</v>
      </c>
      <c r="L187" s="1053" t="n">
        <v>185.978</v>
      </c>
      <c r="M187" s="1053" t="n">
        <v>163.796</v>
      </c>
      <c r="N187" s="1053" t="n">
        <v>195.529</v>
      </c>
      <c r="O187" s="27">
        <f>P187-SUM(L187,M187,N187)</f>
        <v/>
      </c>
      <c r="P187" s="1111" t="n">
        <v>727</v>
      </c>
      <c r="Q187" s="1053" t="n">
        <v>173</v>
      </c>
      <c r="R187" s="1053" t="n">
        <v>206</v>
      </c>
      <c r="S187" s="1053" t="n">
        <v>215</v>
      </c>
      <c r="T187" s="27">
        <f>U187-SUM(Q187,R187,S187)</f>
        <v/>
      </c>
      <c r="U187" s="1111" t="n">
        <v>791</v>
      </c>
      <c r="V187" s="1053" t="n">
        <v>180</v>
      </c>
      <c r="W187" s="1053" t="n">
        <v>138</v>
      </c>
      <c r="X187" s="1053" t="n">
        <v>156</v>
      </c>
      <c r="Y187" s="27">
        <f>Z187-SUM(V187,W187,X187)</f>
        <v/>
      </c>
      <c r="Z187" s="1111" t="n">
        <v>643</v>
      </c>
      <c r="AA187" s="1053" t="n">
        <v>194</v>
      </c>
      <c r="AB187" s="1053" t="n">
        <v>206</v>
      </c>
      <c r="AC187" s="1053" t="n">
        <v>282</v>
      </c>
      <c r="AD187" s="27">
        <f>AE187-SUM(AA187,AB187,AC187)</f>
        <v/>
      </c>
      <c r="AE187" s="1111" t="n">
        <v>904</v>
      </c>
      <c r="AF187" s="1053" t="n">
        <v>353</v>
      </c>
      <c r="AG187" s="1053" t="n">
        <v>278</v>
      </c>
      <c r="AH187" s="1053" t="n">
        <v>263</v>
      </c>
      <c r="AI187" s="27">
        <f>AJ187-SUM(AF187,AG187,AH187)</f>
        <v/>
      </c>
      <c r="AJ187" s="1111" t="n">
        <v>1274</v>
      </c>
      <c r="AK187" s="1053" t="n">
        <v>434</v>
      </c>
      <c r="AL187" s="1053" t="n">
        <v>413</v>
      </c>
      <c r="AM187" s="1053" t="n">
        <v>407</v>
      </c>
      <c r="AN187" s="27">
        <f>AO187-SUM(AK187,AL187,AM187)</f>
        <v/>
      </c>
      <c r="AO187" s="1111" t="n">
        <v>1506</v>
      </c>
      <c r="AP187" s="1053" t="n">
        <v>165</v>
      </c>
      <c r="AQ187" s="1053" t="n">
        <v>188</v>
      </c>
      <c r="AR187" s="1053" t="n">
        <v>236</v>
      </c>
      <c r="AS187" s="27">
        <f>AT187-SUM(AP187,AQ187,AR187)</f>
        <v/>
      </c>
      <c r="AT187" s="1111" t="n">
        <v>886</v>
      </c>
      <c r="AU187" s="1053" t="n">
        <v>497</v>
      </c>
      <c r="AV187" s="1053" t="n">
        <v>944</v>
      </c>
      <c r="AW187" s="1053" t="n">
        <v>890</v>
      </c>
      <c r="AX187" s="27">
        <f>AY187-SUM(AU187,AV187,AW187)</f>
        <v/>
      </c>
      <c r="AY187" s="1111" t="n">
        <v>3214</v>
      </c>
      <c r="AZ187" s="1053" t="n">
        <v>768</v>
      </c>
      <c r="BA187" s="1053" t="n">
        <v>996</v>
      </c>
      <c r="BB187" s="1053" t="n">
        <v>1126</v>
      </c>
      <c r="BC187" s="68">
        <f>BD187-SUM(AZ187,BA187,BB187)</f>
        <v/>
      </c>
      <c r="BD187" s="1111" t="n">
        <v>4349</v>
      </c>
      <c r="BE187" s="1053" t="n">
        <v>1932</v>
      </c>
      <c r="BF187" s="1053" t="n">
        <v>1988</v>
      </c>
      <c r="BG187" s="1053" t="n">
        <v>2148</v>
      </c>
      <c r="BH187" s="68">
        <f>BI187-SUM(BE187,BF187,BG187)</f>
        <v/>
      </c>
      <c r="BI187" s="1111" t="n">
        <v>8292</v>
      </c>
      <c r="BJ187" s="1053" t="n">
        <v>2385</v>
      </c>
      <c r="BK187" s="1053" t="n">
        <v>6043</v>
      </c>
      <c r="BL187" s="1053" t="n">
        <v>6302</v>
      </c>
      <c r="BM187" s="68">
        <f>BN187-SUM(BJ187,BK187,BL187)</f>
        <v/>
      </c>
      <c r="BN187" s="1111" t="n">
        <v>26966</v>
      </c>
      <c r="BO187" s="1053" t="n">
        <v>13496</v>
      </c>
      <c r="BP187" s="1053" t="n">
        <v>13022</v>
      </c>
      <c r="BQ187" s="1053" t="n">
        <v>14800</v>
      </c>
      <c r="BR187" s="68">
        <f>BS187-SUM(BO187,BP187,BQ187)</f>
        <v/>
      </c>
      <c r="BS187" s="1111" t="n">
        <v>61257</v>
      </c>
      <c r="BT187" s="1053" t="n">
        <v>20739</v>
      </c>
      <c r="BU187" s="1053" t="n">
        <v>23470</v>
      </c>
      <c r="BV187" s="1054" t="n">
        <v>39177</v>
      </c>
      <c r="BW187" s="68" t="n"/>
      <c r="BX187" s="1110" t="n"/>
      <c r="BY187" s="68" t="n"/>
      <c r="BZ187" s="68" t="n"/>
      <c r="CA187" s="68" t="n"/>
      <c r="CB187" s="68" t="n"/>
      <c r="CC187" s="1110" t="n"/>
      <c r="CD187" s="1110" t="n"/>
      <c r="CE187" s="1110" t="n"/>
      <c r="CF187" s="1110" t="n"/>
      <c r="CG187" s="155" t="n"/>
    </row>
    <row r="188" hidden="1" outlineLevel="1">
      <c r="A188" s="67" t="inlineStr">
        <is>
          <t>Singapore Revenue, mm</t>
        </is>
      </c>
      <c r="B188" s="602" t="n"/>
      <c r="C188" s="1110" t="n"/>
      <c r="D188" s="1110" t="n"/>
      <c r="E188" s="1110" t="n"/>
      <c r="F188" s="1110" t="n"/>
      <c r="G188" s="68" t="n"/>
      <c r="H188" s="68" t="n"/>
      <c r="I188" s="68" t="n"/>
      <c r="J188" s="68" t="n"/>
      <c r="K188" s="1110" t="n"/>
      <c r="L188" s="68" t="n"/>
      <c r="M188" s="68" t="n"/>
      <c r="N188" s="68" t="n"/>
      <c r="O188" s="68" t="n"/>
      <c r="P188" s="1110" t="n"/>
      <c r="Q188" s="68" t="n"/>
      <c r="R188" s="68" t="n"/>
      <c r="S188" s="68" t="n"/>
      <c r="T188" s="68" t="n"/>
      <c r="U188" s="1110" t="n"/>
      <c r="V188" s="68" t="n"/>
      <c r="W188" s="68" t="n"/>
      <c r="X188" s="68" t="n"/>
      <c r="Y188" s="68" t="n"/>
      <c r="Z188" s="1110" t="n"/>
      <c r="AA188" s="68" t="n"/>
      <c r="AB188" s="68" t="n"/>
      <c r="AC188" s="68" t="n"/>
      <c r="AD188" s="68" t="n"/>
      <c r="AE188" s="1110" t="n"/>
      <c r="AF188" s="68" t="n"/>
      <c r="AG188" s="68" t="n"/>
      <c r="AH188" s="68" t="n"/>
      <c r="AI188" s="68" t="n"/>
      <c r="AJ188" s="1110" t="n"/>
      <c r="AK188" s="68" t="n"/>
      <c r="AL188" s="68" t="n"/>
      <c r="AM188" s="68" t="n"/>
      <c r="AN188" s="68" t="n"/>
      <c r="AO188" s="1110" t="n"/>
      <c r="AP188" s="68" t="n"/>
      <c r="AQ188" s="68" t="n"/>
      <c r="AR188" s="68" t="n"/>
      <c r="AS188" s="68" t="n"/>
      <c r="AT188" s="1110" t="n"/>
      <c r="AU188" s="68" t="n"/>
      <c r="AV188" s="68" t="n"/>
      <c r="AW188" s="68" t="n"/>
      <c r="AX188" s="68" t="n"/>
      <c r="AY188" s="1110" t="n"/>
      <c r="AZ188" s="68" t="n"/>
      <c r="BA188" s="68" t="n"/>
      <c r="BB188" s="68" t="n"/>
      <c r="BC188" s="68" t="n"/>
      <c r="BD188" s="1110" t="n"/>
      <c r="BE188" s="68" t="n"/>
      <c r="BF188" s="68" t="n"/>
      <c r="BG188" s="68" t="n"/>
      <c r="BH188" s="68" t="n"/>
      <c r="BI188" s="1110" t="n"/>
      <c r="BJ188" s="68" t="n"/>
      <c r="BK188" s="68" t="n"/>
      <c r="BL188" s="68" t="n"/>
      <c r="BM188" s="68" t="n"/>
      <c r="BN188" s="1110" t="n"/>
      <c r="BO188" s="1053" t="n">
        <v>4037</v>
      </c>
      <c r="BP188" s="1053" t="n">
        <v>5622</v>
      </c>
      <c r="BQ188" s="1053" t="n">
        <v>7697</v>
      </c>
      <c r="BR188" s="68">
        <f>BS188-SUM(BO188,BP188,BQ188)</f>
        <v/>
      </c>
      <c r="BS188" s="1111" t="n">
        <v>23684</v>
      </c>
      <c r="BT188" s="1053" t="n">
        <v>9017</v>
      </c>
      <c r="BU188" s="1053" t="n">
        <v>10156</v>
      </c>
      <c r="BV188" s="588" t="n"/>
      <c r="BW188" s="68" t="n"/>
      <c r="BX188" s="1110" t="n"/>
      <c r="BY188" s="68" t="n"/>
      <c r="BZ188" s="68" t="n"/>
      <c r="CA188" s="68" t="n"/>
      <c r="CB188" s="68" t="n"/>
      <c r="CC188" s="1110" t="n"/>
      <c r="CD188" s="1110" t="n"/>
      <c r="CE188" s="1110" t="n"/>
      <c r="CF188" s="1110" t="n"/>
      <c r="CG188" s="155" t="n"/>
    </row>
    <row r="189" hidden="1" outlineLevel="1">
      <c r="A189" s="73" t="inlineStr">
        <is>
          <t>Other Asia Pacific Revenue, mm</t>
        </is>
      </c>
      <c r="B189" s="602" t="n"/>
      <c r="C189" s="1111" t="n">
        <v>601.48</v>
      </c>
      <c r="D189" s="1111" t="n">
        <v>406.286</v>
      </c>
      <c r="E189" s="1111" t="n">
        <v>519.473</v>
      </c>
      <c r="F189" s="1111" t="n">
        <v>730.975</v>
      </c>
      <c r="G189" s="1053" t="n">
        <v>178.677</v>
      </c>
      <c r="H189" s="1053" t="n">
        <v>212.367</v>
      </c>
      <c r="I189" s="1053" t="n">
        <v>192.814</v>
      </c>
      <c r="J189" s="27">
        <f>K189-SUM(G189,H189,I189)</f>
        <v/>
      </c>
      <c r="K189" s="1111" t="n">
        <v>783.573</v>
      </c>
      <c r="L189" s="1053" t="n">
        <v>167.257</v>
      </c>
      <c r="M189" s="1053" t="n">
        <v>165.117</v>
      </c>
      <c r="N189" s="1053" t="n">
        <v>174.691</v>
      </c>
      <c r="O189" s="27">
        <f>P189-SUM(L189,M189,N189)</f>
        <v/>
      </c>
      <c r="P189" s="1111" t="n">
        <v>675</v>
      </c>
      <c r="Q189" s="1053" t="n">
        <v>155</v>
      </c>
      <c r="R189" s="1053" t="n">
        <v>151</v>
      </c>
      <c r="S189" s="1053" t="n">
        <v>170</v>
      </c>
      <c r="T189" s="27">
        <f>U189-SUM(Q189,R189,S189)</f>
        <v/>
      </c>
      <c r="U189" s="1111" t="n">
        <v>638</v>
      </c>
      <c r="V189" s="1053" t="n">
        <v>188</v>
      </c>
      <c r="W189" s="1053" t="n">
        <v>185</v>
      </c>
      <c r="X189" s="1053" t="n">
        <v>181</v>
      </c>
      <c r="Y189" s="27">
        <f>Z189-SUM(V189,W189,X189)</f>
        <v/>
      </c>
      <c r="Z189" s="1111" t="n">
        <v>749</v>
      </c>
      <c r="AA189" s="1053" t="n">
        <v>160</v>
      </c>
      <c r="AB189" s="1053" t="n">
        <v>191</v>
      </c>
      <c r="AC189" s="1053" t="n">
        <v>309</v>
      </c>
      <c r="AD189" s="27">
        <f>AE189-SUM(AA189,AB189,AC189)</f>
        <v/>
      </c>
      <c r="AE189" s="1111" t="n">
        <v>1010</v>
      </c>
      <c r="AF189" s="1053" t="n">
        <v>377</v>
      </c>
      <c r="AG189" s="1053" t="n">
        <v>420</v>
      </c>
      <c r="AH189" s="1053" t="n">
        <v>612</v>
      </c>
      <c r="AI189" s="27">
        <f>AJ189-SUM(AF189,AG189,AH189)</f>
        <v/>
      </c>
      <c r="AJ189" s="1111" t="n">
        <v>2066</v>
      </c>
      <c r="AK189" s="1053" t="n">
        <v>583</v>
      </c>
      <c r="AL189" s="1053" t="n">
        <v>676</v>
      </c>
      <c r="AM189" s="1053" t="n">
        <v>742</v>
      </c>
      <c r="AN189" s="27">
        <f>AO189-SUM(AK189,AL189,AM189)</f>
        <v/>
      </c>
      <c r="AO189" s="1111" t="n">
        <v>2368</v>
      </c>
      <c r="AP189" s="1053" t="n">
        <v>422</v>
      </c>
      <c r="AQ189" s="1053" t="n">
        <v>756</v>
      </c>
      <c r="AR189" s="1053" t="n">
        <v>805</v>
      </c>
      <c r="AS189" s="27">
        <f>AT189-SUM(AP189,AQ189,AR189)</f>
        <v/>
      </c>
      <c r="AT189" s="1111" t="n">
        <v>2685</v>
      </c>
      <c r="AU189" s="1053" t="n">
        <v>607</v>
      </c>
      <c r="AV189" s="1053" t="n">
        <v>698</v>
      </c>
      <c r="AW189" s="1053" t="n">
        <v>955</v>
      </c>
      <c r="AX189" s="27">
        <f>AY189-SUM(AU189,AV189,AW189)</f>
        <v/>
      </c>
      <c r="AY189" s="1111" t="n">
        <v>3093</v>
      </c>
      <c r="AZ189" s="1053" t="n">
        <v>1001</v>
      </c>
      <c r="BA189" s="1053" t="n">
        <v>1047</v>
      </c>
      <c r="BB189" s="1053" t="n">
        <v>1067</v>
      </c>
      <c r="BC189" s="68" t="n"/>
      <c r="BD189" s="1110" t="n"/>
      <c r="BE189" s="68" t="n"/>
      <c r="BF189" s="68" t="n"/>
      <c r="BG189" s="68" t="n"/>
      <c r="BH189" s="68" t="n"/>
      <c r="BI189" s="1110" t="n"/>
      <c r="BJ189" s="68" t="n"/>
      <c r="BK189" s="68" t="n"/>
      <c r="BL189" s="68" t="n"/>
      <c r="BM189" s="68" t="n"/>
      <c r="BN189" s="1110" t="n"/>
      <c r="BO189" s="68" t="n"/>
      <c r="BP189" s="68" t="n"/>
      <c r="BQ189" s="68" t="n"/>
      <c r="BR189" s="68" t="n"/>
      <c r="BS189" s="1110" t="n"/>
      <c r="BT189" s="68" t="n"/>
      <c r="BU189" s="68" t="n"/>
      <c r="BV189" s="588" t="n"/>
      <c r="BW189" s="68" t="n"/>
      <c r="BX189" s="1110" t="n"/>
      <c r="BY189" s="68" t="n"/>
      <c r="BZ189" s="68" t="n"/>
      <c r="CA189" s="68" t="n"/>
      <c r="CB189" s="68" t="n"/>
      <c r="CC189" s="1110" t="n"/>
      <c r="CD189" s="1110" t="n"/>
      <c r="CE189" s="1110" t="n"/>
      <c r="CF189" s="1110" t="n"/>
      <c r="CG189" s="155" t="n"/>
    </row>
    <row r="190" hidden="1" outlineLevel="1">
      <c r="A190" s="73" t="inlineStr">
        <is>
          <t>Europe Revenue, mm</t>
        </is>
      </c>
      <c r="B190" s="602" t="n"/>
      <c r="C190" s="1111" t="n">
        <v>321.117</v>
      </c>
      <c r="D190" s="1111" t="n">
        <v>203.76</v>
      </c>
      <c r="E190" s="1111" t="n">
        <v>261.421</v>
      </c>
      <c r="F190" s="1111" t="n">
        <v>296.591</v>
      </c>
      <c r="G190" s="1053" t="n">
        <v>69.508</v>
      </c>
      <c r="H190" s="1053" t="n">
        <v>58.998</v>
      </c>
      <c r="I190" s="1053" t="n">
        <v>62.877</v>
      </c>
      <c r="J190" s="27">
        <f>K190-SUM(G190,H190,I190)</f>
        <v/>
      </c>
      <c r="K190" s="1111" t="n">
        <v>263.488</v>
      </c>
      <c r="L190" s="1053" t="n">
        <v>71.572</v>
      </c>
      <c r="M190" s="1053" t="n">
        <v>68.70399999999999</v>
      </c>
      <c r="N190" s="1053" t="n">
        <v>78.973</v>
      </c>
      <c r="O190" s="27">
        <f>P190-SUM(L190,M190,N190)</f>
        <v/>
      </c>
      <c r="P190" s="1111" t="n">
        <v>295</v>
      </c>
      <c r="Q190" s="1053" t="n">
        <v>87</v>
      </c>
      <c r="R190" s="1053" t="n">
        <v>80</v>
      </c>
      <c r="S190" s="1053" t="n">
        <v>96</v>
      </c>
      <c r="T190" s="27">
        <f>U190-SUM(Q190,R190,S190)</f>
        <v/>
      </c>
      <c r="U190" s="1111" t="n">
        <v>369</v>
      </c>
      <c r="V190" s="1053" t="n">
        <v>119</v>
      </c>
      <c r="W190" s="1053" t="n">
        <v>106</v>
      </c>
      <c r="X190" s="1053" t="n">
        <v>116</v>
      </c>
      <c r="Y190" s="27">
        <f>Z190-SUM(V190,W190,X190)</f>
        <v/>
      </c>
      <c r="Z190" s="1111" t="n">
        <v>482</v>
      </c>
      <c r="AA190" s="1053" t="n">
        <v>156</v>
      </c>
      <c r="AB190" s="1053" t="n">
        <v>167</v>
      </c>
      <c r="AC190" s="1053" t="n">
        <v>171</v>
      </c>
      <c r="AD190" s="27">
        <f>AE190-SUM(AA190,AB190,AC190)</f>
        <v/>
      </c>
      <c r="AE190" s="1111" t="n">
        <v>659</v>
      </c>
      <c r="AF190" s="1053" t="n">
        <v>182</v>
      </c>
      <c r="AG190" s="1053" t="n">
        <v>178</v>
      </c>
      <c r="AH190" s="1053" t="n">
        <v>195</v>
      </c>
      <c r="AI190" s="27">
        <f>AJ190-SUM(AF190,AG190,AH190)</f>
        <v/>
      </c>
      <c r="AJ190" s="1111" t="n">
        <v>768</v>
      </c>
      <c r="AK190" s="1053" t="n">
        <v>235</v>
      </c>
      <c r="AL190" s="1053" t="n">
        <v>234</v>
      </c>
      <c r="AM190" s="1053" t="n">
        <v>230</v>
      </c>
      <c r="AN190" s="27">
        <f>AO190-SUM(AK190,AL190,AM190)</f>
        <v/>
      </c>
      <c r="AO190" s="1111" t="n">
        <v>914</v>
      </c>
      <c r="AP190" s="1053" t="n">
        <v>249</v>
      </c>
      <c r="AQ190" s="1053" t="n">
        <v>288</v>
      </c>
      <c r="AR190" s="1053" t="n">
        <v>216</v>
      </c>
      <c r="AS190" s="27">
        <f>AT190-SUM(AP190,AQ190,AR190)</f>
        <v/>
      </c>
      <c r="AT190" s="1111" t="n">
        <v>992</v>
      </c>
      <c r="AU190" s="1053" t="n">
        <v>254</v>
      </c>
      <c r="AV190" s="1053" t="n">
        <v>240</v>
      </c>
      <c r="AW190" s="1053" t="n">
        <v>247</v>
      </c>
      <c r="AX190" s="27">
        <f>AY190-SUM(AU190,AV190,AW190)</f>
        <v/>
      </c>
      <c r="AY190" s="1111" t="n">
        <v>1118</v>
      </c>
      <c r="AZ190" s="1053" t="n">
        <v>381</v>
      </c>
      <c r="BA190" s="1053" t="n">
        <v>429</v>
      </c>
      <c r="BB190" s="1053" t="n">
        <v>340</v>
      </c>
      <c r="BC190" s="68" t="n"/>
      <c r="BD190" s="1110" t="n"/>
      <c r="BE190" s="68" t="n"/>
      <c r="BF190" s="68" t="n"/>
      <c r="BG190" s="68" t="n"/>
      <c r="BH190" s="68" t="n"/>
      <c r="BI190" s="1110" t="n"/>
      <c r="BJ190" s="68" t="n"/>
      <c r="BK190" s="68" t="n"/>
      <c r="BL190" s="68" t="n"/>
      <c r="BM190" s="68" t="n"/>
      <c r="BN190" s="1110" t="n"/>
      <c r="BO190" s="68" t="n"/>
      <c r="BP190" s="68" t="n"/>
      <c r="BQ190" s="68" t="n"/>
      <c r="BR190" s="68" t="n"/>
      <c r="BS190" s="1110" t="n"/>
      <c r="BT190" s="68" t="n"/>
      <c r="BU190" s="68" t="n"/>
      <c r="BV190" s="588" t="n"/>
      <c r="BW190" s="68" t="n"/>
      <c r="BX190" s="1110" t="n"/>
      <c r="BY190" s="68" t="n"/>
      <c r="BZ190" s="68" t="n"/>
      <c r="CA190" s="68" t="n"/>
      <c r="CB190" s="68" t="n"/>
      <c r="CC190" s="1110" t="n"/>
      <c r="CD190" s="1110" t="n"/>
      <c r="CE190" s="1110" t="n"/>
      <c r="CF190" s="1110" t="n"/>
      <c r="CG190" s="155" t="n"/>
    </row>
    <row r="191" hidden="1" outlineLevel="1">
      <c r="A191" s="150" t="inlineStr">
        <is>
          <t>Other Americas Revenue, mm</t>
        </is>
      </c>
      <c r="B191" s="603" t="n"/>
      <c r="C191" s="1131" t="n">
        <v>130.906</v>
      </c>
      <c r="D191" s="1131" t="n">
        <v>280.273</v>
      </c>
      <c r="E191" s="1131" t="n">
        <v>305.154</v>
      </c>
      <c r="F191" s="1131" t="n">
        <v>295.114</v>
      </c>
      <c r="G191" s="1060" t="n">
        <v>75.822</v>
      </c>
      <c r="H191" s="1060" t="n">
        <v>81.26000000000001</v>
      </c>
      <c r="I191" s="1060" t="n">
        <v>81.46299999999999</v>
      </c>
      <c r="J191" s="110">
        <f>K191-SUM(G191,H191,I191)</f>
        <v/>
      </c>
      <c r="K191" s="1131" t="n">
        <v>296.337</v>
      </c>
      <c r="L191" s="1060" t="n">
        <v>65.00700000000001</v>
      </c>
      <c r="M191" s="1060" t="n">
        <v>76.53100000000001</v>
      </c>
      <c r="N191" s="1060" t="n">
        <v>79.38200000000001</v>
      </c>
      <c r="O191" s="110">
        <f>P191-SUM(L191,M191,N191)</f>
        <v/>
      </c>
      <c r="P191" s="1131" t="n">
        <v>318</v>
      </c>
      <c r="Q191" s="1060" t="n">
        <v>92</v>
      </c>
      <c r="R191" s="1060" t="n">
        <v>83</v>
      </c>
      <c r="S191" s="1060" t="n">
        <v>100</v>
      </c>
      <c r="T191" s="110">
        <f>U191-SUM(Q191,R191,S191)</f>
        <v/>
      </c>
      <c r="U191" s="1131" t="n">
        <v>368</v>
      </c>
      <c r="V191" s="1060" t="n">
        <v>103</v>
      </c>
      <c r="W191" s="1060" t="n">
        <v>98</v>
      </c>
      <c r="X191" s="1060" t="n">
        <v>108</v>
      </c>
      <c r="Y191" s="110">
        <f>Z191-SUM(V191,W191,X191)</f>
        <v/>
      </c>
      <c r="Z191" s="1131" t="n">
        <v>418</v>
      </c>
      <c r="AA191" s="1060" t="n">
        <v>103</v>
      </c>
      <c r="AB191" s="1060" t="n">
        <v>103</v>
      </c>
      <c r="AC191" s="1060" t="n">
        <v>154</v>
      </c>
      <c r="AD191" s="110">
        <f>AE191-SUM(AA191,AB191,AC191)</f>
        <v/>
      </c>
      <c r="AE191" s="1131" t="n">
        <v>486</v>
      </c>
      <c r="AF191" s="1060" t="n">
        <v>93</v>
      </c>
      <c r="AG191" s="1060" t="n">
        <v>199</v>
      </c>
      <c r="AH191" s="1060" t="n">
        <v>187</v>
      </c>
      <c r="AI191" s="110">
        <f>AJ191-SUM(AF191,AG191,AH191)</f>
        <v/>
      </c>
      <c r="AJ191" s="1131" t="n">
        <v>719</v>
      </c>
      <c r="AK191" s="1060" t="n">
        <v>234</v>
      </c>
      <c r="AL191" s="1060" t="n">
        <v>197</v>
      </c>
      <c r="AM191" s="1060" t="n">
        <v>169</v>
      </c>
      <c r="AN191" s="110">
        <f>AO191-SUM(AK191,AL191,AM191)</f>
        <v/>
      </c>
      <c r="AO191" s="1131" t="n">
        <v>767</v>
      </c>
      <c r="AP191" s="1060" t="n">
        <v>133</v>
      </c>
      <c r="AQ191" s="1060" t="n">
        <v>129</v>
      </c>
      <c r="AR191" s="1060" t="n">
        <v>161</v>
      </c>
      <c r="AS191" s="110">
        <f>AT191-SUM(AP191,AQ191,AR191)</f>
        <v/>
      </c>
      <c r="AT191" s="1131" t="n">
        <v>599</v>
      </c>
      <c r="AU191" s="1060" t="n">
        <v>151</v>
      </c>
      <c r="AV191" s="1060" t="n">
        <v>175</v>
      </c>
      <c r="AW191" s="1060" t="n">
        <v>225</v>
      </c>
      <c r="AX191" s="110">
        <f>AY191-SUM(AU191,AV191,AW191)</f>
        <v/>
      </c>
      <c r="AY191" s="1131" t="n">
        <v>833</v>
      </c>
      <c r="AZ191" s="1060" t="n">
        <v>336</v>
      </c>
      <c r="BA191" s="1060" t="n">
        <v>354</v>
      </c>
      <c r="BB191" s="1060" t="n">
        <v>366</v>
      </c>
      <c r="BC191" s="109" t="n"/>
      <c r="BD191" s="1121" t="n"/>
      <c r="BE191" s="109" t="n"/>
      <c r="BF191" s="109" t="n"/>
      <c r="BG191" s="109" t="n"/>
      <c r="BH191" s="109" t="n"/>
      <c r="BI191" s="1121" t="n"/>
      <c r="BJ191" s="109" t="n"/>
      <c r="BK191" s="109" t="n"/>
      <c r="BL191" s="109" t="n"/>
      <c r="BM191" s="109" t="n"/>
      <c r="BN191" s="1121" t="n"/>
      <c r="BO191" s="109" t="n"/>
      <c r="BP191" s="109" t="n"/>
      <c r="BQ191" s="109" t="n"/>
      <c r="BR191" s="109" t="n"/>
      <c r="BS191" s="1121" t="n"/>
      <c r="BT191" s="109" t="n"/>
      <c r="BU191" s="109" t="n"/>
      <c r="BV191" s="730" t="n"/>
      <c r="BW191" s="109" t="n"/>
      <c r="BX191" s="1121" t="n"/>
      <c r="BY191" s="109" t="n"/>
      <c r="BZ191" s="109" t="n"/>
      <c r="CA191" s="109" t="n"/>
      <c r="CB191" s="109" t="n"/>
      <c r="CC191" s="1121" t="n"/>
      <c r="CD191" s="1121" t="n"/>
      <c r="CE191" s="1121" t="n"/>
      <c r="CF191" s="1121" t="n"/>
      <c r="CG191" s="155" t="n"/>
    </row>
    <row r="192" hidden="1" outlineLevel="1">
      <c r="A192" s="67" t="inlineStr">
        <is>
          <t>Other countries Revenue, mm</t>
        </is>
      </c>
      <c r="B192" s="602" t="n"/>
      <c r="C192" s="1112">
        <f>SUM(C189:C191)</f>
        <v/>
      </c>
      <c r="D192" s="1112">
        <f>SUM(D189:D191)</f>
        <v/>
      </c>
      <c r="E192" s="1112">
        <f>SUM(E189:E191)</f>
        <v/>
      </c>
      <c r="F192" s="1112">
        <f>SUM(F189:F191)</f>
        <v/>
      </c>
      <c r="G192" s="27">
        <f>SUM(G189:G191)</f>
        <v/>
      </c>
      <c r="H192" s="27">
        <f>SUM(H189:H191)</f>
        <v/>
      </c>
      <c r="I192" s="27">
        <f>SUM(I189:I191)</f>
        <v/>
      </c>
      <c r="J192" s="27">
        <f>SUM(J189:J191)</f>
        <v/>
      </c>
      <c r="K192" s="1112">
        <f>SUM(K189:K191)</f>
        <v/>
      </c>
      <c r="L192" s="27">
        <f>SUM(L189:L191)</f>
        <v/>
      </c>
      <c r="M192" s="27">
        <f>SUM(M189:M191)</f>
        <v/>
      </c>
      <c r="N192" s="27">
        <f>SUM(N189:N191)</f>
        <v/>
      </c>
      <c r="O192" s="27">
        <f>SUM(O189:O191)</f>
        <v/>
      </c>
      <c r="P192" s="1112">
        <f>SUM(P189:P191)</f>
        <v/>
      </c>
      <c r="Q192" s="27">
        <f>SUM(Q189:Q191)</f>
        <v/>
      </c>
      <c r="R192" s="27">
        <f>SUM(R189:R191)</f>
        <v/>
      </c>
      <c r="S192" s="27">
        <f>SUM(S189:S191)</f>
        <v/>
      </c>
      <c r="T192" s="27">
        <f>SUM(T189:T191)</f>
        <v/>
      </c>
      <c r="U192" s="1112">
        <f>SUM(U189:U191)</f>
        <v/>
      </c>
      <c r="V192" s="27">
        <f>SUM(V189:V191)</f>
        <v/>
      </c>
      <c r="W192" s="27">
        <f>SUM(W189:W191)</f>
        <v/>
      </c>
      <c r="X192" s="27">
        <f>SUM(X189:X191)</f>
        <v/>
      </c>
      <c r="Y192" s="27">
        <f>SUM(Y189:Y191)</f>
        <v/>
      </c>
      <c r="Z192" s="1112">
        <f>SUM(Z189:Z191)</f>
        <v/>
      </c>
      <c r="AA192" s="27">
        <f>SUM(AA189:AA191)</f>
        <v/>
      </c>
      <c r="AB192" s="27">
        <f>SUM(AB189:AB191)</f>
        <v/>
      </c>
      <c r="AC192" s="27">
        <f>SUM(AC189:AC191)</f>
        <v/>
      </c>
      <c r="AD192" s="27">
        <f>SUM(AD189:AD191)</f>
        <v/>
      </c>
      <c r="AE192" s="1112">
        <f>SUM(AE189:AE191)</f>
        <v/>
      </c>
      <c r="AF192" s="27">
        <f>SUM(AF189:AF191)</f>
        <v/>
      </c>
      <c r="AG192" s="27">
        <f>SUM(AG189:AG191)</f>
        <v/>
      </c>
      <c r="AH192" s="27">
        <f>SUM(AH189:AH191)</f>
        <v/>
      </c>
      <c r="AI192" s="27">
        <f>SUM(AI189:AI191)</f>
        <v/>
      </c>
      <c r="AJ192" s="1112">
        <f>SUM(AJ189:AJ191)</f>
        <v/>
      </c>
      <c r="AK192" s="27">
        <f>SUM(AK189:AK191)</f>
        <v/>
      </c>
      <c r="AL192" s="27">
        <f>SUM(AL189:AL191)</f>
        <v/>
      </c>
      <c r="AM192" s="27">
        <f>SUM(AM189:AM191)</f>
        <v/>
      </c>
      <c r="AN192" s="27">
        <f>SUM(AN189:AN191)</f>
        <v/>
      </c>
      <c r="AO192" s="1112">
        <f>SUM(AO189:AO191)</f>
        <v/>
      </c>
      <c r="AP192" s="27">
        <f>SUM(AP189:AP191)</f>
        <v/>
      </c>
      <c r="AQ192" s="27">
        <f>SUM(AQ189:AQ191)</f>
        <v/>
      </c>
      <c r="AR192" s="27">
        <f>SUM(AR189:AR191)</f>
        <v/>
      </c>
      <c r="AS192" s="27">
        <f>SUM(AS189:AS191)</f>
        <v/>
      </c>
      <c r="AT192" s="1112">
        <f>SUM(AT189:AT191)</f>
        <v/>
      </c>
      <c r="AU192" s="27">
        <f>SUM(AU189:AU191)</f>
        <v/>
      </c>
      <c r="AV192" s="27">
        <f>SUM(AV189:AV191)</f>
        <v/>
      </c>
      <c r="AW192" s="27">
        <f>SUM(AW189:AW191)</f>
        <v/>
      </c>
      <c r="AX192" s="27">
        <f>SUM(AX189:AX191)</f>
        <v/>
      </c>
      <c r="AY192" s="1112">
        <f>SUM(AY189:AY191)</f>
        <v/>
      </c>
      <c r="AZ192" s="68">
        <f>SUM(AZ189:AZ191)</f>
        <v/>
      </c>
      <c r="BA192" s="68">
        <f>SUM(BA189:BA191)</f>
        <v/>
      </c>
      <c r="BB192" s="68">
        <f>SUM(BB189:BB191)</f>
        <v/>
      </c>
      <c r="BC192" s="68">
        <f>BD192-SUM(AZ192,BA192,BB192)</f>
        <v/>
      </c>
      <c r="BD192" s="1111" t="n">
        <v>6910</v>
      </c>
      <c r="BE192" s="1053" t="n">
        <v>1498</v>
      </c>
      <c r="BF192" s="1053" t="n">
        <v>1910</v>
      </c>
      <c r="BG192" s="1053" t="n">
        <v>1482</v>
      </c>
      <c r="BH192" s="68">
        <f>BI192-SUM(BE192,BF192,BG192)</f>
        <v/>
      </c>
      <c r="BI192" s="1111" t="n">
        <v>5911</v>
      </c>
      <c r="BJ192" s="1053">
        <f>762+659</f>
        <v/>
      </c>
      <c r="BK192" s="1053" t="n">
        <v>1885</v>
      </c>
      <c r="BL192" s="1053">
        <f>2702+753</f>
        <v/>
      </c>
      <c r="BM192" s="68">
        <f>BN192-SUM(BJ192,BK192,BL192)</f>
        <v/>
      </c>
      <c r="BN192" s="1131" t="n">
        <v>10245</v>
      </c>
      <c r="BO192" s="1053" t="n">
        <v>1647</v>
      </c>
      <c r="BP192" s="1053" t="n">
        <v>1989</v>
      </c>
      <c r="BQ192" s="1053" t="n">
        <v>2016</v>
      </c>
      <c r="BR192" s="68">
        <f>BS192-SUM(BO192,BP192,BQ192)</f>
        <v/>
      </c>
      <c r="BS192" s="1131" t="n">
        <v>7875</v>
      </c>
      <c r="BT192" s="1053" t="n">
        <v>1626</v>
      </c>
      <c r="BU192" s="1053" t="n">
        <v>1819</v>
      </c>
      <c r="BV192" s="1054" t="n">
        <v>1105</v>
      </c>
      <c r="BW192" s="68" t="n"/>
      <c r="BX192" s="1110" t="n"/>
      <c r="BY192" s="68" t="n"/>
      <c r="BZ192" s="68" t="n"/>
      <c r="CA192" s="68" t="n"/>
      <c r="CB192" s="68" t="n"/>
      <c r="CC192" s="1110" t="n"/>
      <c r="CD192" s="1110" t="n"/>
      <c r="CE192" s="1110" t="n"/>
      <c r="CF192" s="1110" t="n"/>
      <c r="CG192" s="155" t="n"/>
    </row>
    <row r="193" hidden="1" outlineLevel="1">
      <c r="A193" s="59" t="inlineStr">
        <is>
          <t>Total Revenue, mm</t>
        </is>
      </c>
      <c r="B193" s="604" t="n"/>
      <c r="C193" s="1123">
        <f>SUM(C185:C187,C192)</f>
        <v/>
      </c>
      <c r="D193" s="1123">
        <f>SUM(D185:D187,D192)</f>
        <v/>
      </c>
      <c r="E193" s="1123">
        <f>SUM(E185:E187,E192)</f>
        <v/>
      </c>
      <c r="F193" s="1123">
        <f>SUM(F185:F187,F192)</f>
        <v/>
      </c>
      <c r="G193" s="60">
        <f>SUM(G185:G187,G192)</f>
        <v/>
      </c>
      <c r="H193" s="60">
        <f>SUM(H185:H187,H192)</f>
        <v/>
      </c>
      <c r="I193" s="60">
        <f>SUM(I185:I187,I192)</f>
        <v/>
      </c>
      <c r="J193" s="60">
        <f>SUM(J185:J187,J192)</f>
        <v/>
      </c>
      <c r="K193" s="1123">
        <f>SUM(K185:K187,K192)</f>
        <v/>
      </c>
      <c r="L193" s="60">
        <f>SUM(L185:L187,L192)</f>
        <v/>
      </c>
      <c r="M193" s="60">
        <f>SUM(M185:M187,M192)</f>
        <v/>
      </c>
      <c r="N193" s="60">
        <f>SUM(N185:N187,N192)</f>
        <v/>
      </c>
      <c r="O193" s="60">
        <f>SUM(O185:O187,O192)</f>
        <v/>
      </c>
      <c r="P193" s="1123">
        <f>SUM(P185:P187,P192)</f>
        <v/>
      </c>
      <c r="Q193" s="60">
        <f>SUM(Q185:Q187,Q192)</f>
        <v/>
      </c>
      <c r="R193" s="60">
        <f>SUM(R185:R187,R192)</f>
        <v/>
      </c>
      <c r="S193" s="60">
        <f>SUM(S185:S187,S192)</f>
        <v/>
      </c>
      <c r="T193" s="60">
        <f>SUM(T185:T187,T192)</f>
        <v/>
      </c>
      <c r="U193" s="1123">
        <f>SUM(U185:U187,U192)</f>
        <v/>
      </c>
      <c r="V193" s="60">
        <f>SUM(V185:V187,V192)</f>
        <v/>
      </c>
      <c r="W193" s="60">
        <f>SUM(W185:W187,W192)</f>
        <v/>
      </c>
      <c r="X193" s="60">
        <f>SUM(X185:X187,X192)</f>
        <v/>
      </c>
      <c r="Y193" s="60">
        <f>SUM(Y185:Y187,Y192)</f>
        <v/>
      </c>
      <c r="Z193" s="1123">
        <f>SUM(Z185:Z187,Z192)</f>
        <v/>
      </c>
      <c r="AA193" s="60">
        <f>SUM(AA185:AA187,AA192)</f>
        <v/>
      </c>
      <c r="AB193" s="60">
        <f>SUM(AB185:AB187,AB192)</f>
        <v/>
      </c>
      <c r="AC193" s="61">
        <f>SUM(AC185:AC187,AC192)</f>
        <v/>
      </c>
      <c r="AD193" s="61">
        <f>SUM(AD185:AD187,AD192)</f>
        <v/>
      </c>
      <c r="AE193" s="1122">
        <f>SUM(AE185:AE187,AE192)</f>
        <v/>
      </c>
      <c r="AF193" s="61">
        <f>SUM(AF185:AF187,AF192)</f>
        <v/>
      </c>
      <c r="AG193" s="60">
        <f>SUM(AG185:AG187,AG192)</f>
        <v/>
      </c>
      <c r="AH193" s="60">
        <f>SUM(AH185:AH187,AH192)</f>
        <v/>
      </c>
      <c r="AI193" s="61">
        <f>SUM(AI185:AI187,AI192)</f>
        <v/>
      </c>
      <c r="AJ193" s="1122">
        <f>SUM(AJ185:AJ187,AJ192)</f>
        <v/>
      </c>
      <c r="AK193" s="60">
        <f>SUM(AK185:AK187,AK192)</f>
        <v/>
      </c>
      <c r="AL193" s="60">
        <f>SUM(AL185:AL187,AL192)</f>
        <v/>
      </c>
      <c r="AM193" s="60">
        <f>SUM(AM185:AM187,AM192)</f>
        <v/>
      </c>
      <c r="AN193" s="61">
        <f>SUM(AN185:AN187,AN192)</f>
        <v/>
      </c>
      <c r="AO193" s="1122">
        <f>SUM(AO185:AO187,AO192)</f>
        <v/>
      </c>
      <c r="AP193" s="60">
        <f>SUM(AP185:AP187,AP192)</f>
        <v/>
      </c>
      <c r="AQ193" s="60">
        <f>SUM(AQ185:AQ187,AQ192)</f>
        <v/>
      </c>
      <c r="AR193" s="60">
        <f>SUM(AR185:AR187,AR192)</f>
        <v/>
      </c>
      <c r="AS193" s="60">
        <f>SUM(AS185:AS187,AS192)</f>
        <v/>
      </c>
      <c r="AT193" s="1122">
        <f>SUM(AT185:AT187,AT192)</f>
        <v/>
      </c>
      <c r="AU193" s="60">
        <f>SUM(AU185:AU187,AU192)</f>
        <v/>
      </c>
      <c r="AV193" s="60">
        <f>SUM(AV185:AV187,AV192)</f>
        <v/>
      </c>
      <c r="AW193" s="60">
        <f>SUM(AW185:AW187,AW192)</f>
        <v/>
      </c>
      <c r="AX193" s="60">
        <f>SUM(AX185:AX187,AX192)</f>
        <v/>
      </c>
      <c r="AY193" s="1122">
        <f>SUM(AY185:AY187,AY192)</f>
        <v/>
      </c>
      <c r="AZ193" s="61">
        <f>SUM(AZ185:AZ187,AZ192)</f>
        <v/>
      </c>
      <c r="BA193" s="61">
        <f>SUM(BA185:BA187,BA192)</f>
        <v/>
      </c>
      <c r="BB193" s="61">
        <f>SUM(BB185:BB187,BB192)</f>
        <v/>
      </c>
      <c r="BC193" s="61">
        <f>SUM(BC185:BC187,BC192)</f>
        <v/>
      </c>
      <c r="BD193" s="1122">
        <f>SUM(BD185:BD187,BD192)</f>
        <v/>
      </c>
      <c r="BE193" s="61">
        <f>SUM(BE185:BE187,BE192)</f>
        <v/>
      </c>
      <c r="BF193" s="61">
        <f>SUM(BF185:BF187,BF192)</f>
        <v/>
      </c>
      <c r="BG193" s="61">
        <f>SUM(BG185:BG187,BG192)</f>
        <v/>
      </c>
      <c r="BH193" s="61">
        <f>SUM(BH185:BH187,BH192)</f>
        <v/>
      </c>
      <c r="BI193" s="1122">
        <f>SUM(BI185:BI187,BI192)</f>
        <v/>
      </c>
      <c r="BJ193" s="61">
        <f>SUM(BJ185:BJ188,BJ192)</f>
        <v/>
      </c>
      <c r="BK193" s="61">
        <f>SUM(BK185:BK188,BK192)</f>
        <v/>
      </c>
      <c r="BL193" s="61">
        <f>SUM(BL185:BL188,BL192)</f>
        <v/>
      </c>
      <c r="BM193" s="61">
        <f>SUM(BM185:BM188,BM192)</f>
        <v/>
      </c>
      <c r="BN193" s="1125">
        <f>SUM(BN185:BN188,BN192)</f>
        <v/>
      </c>
      <c r="BO193" s="61">
        <f>SUM(BO185:BO188,BO192)</f>
        <v/>
      </c>
      <c r="BP193" s="61">
        <f>SUM(BP185:BP188,BP192)</f>
        <v/>
      </c>
      <c r="BQ193" s="61">
        <f>SUM(BQ185:BQ188,BQ192)</f>
        <v/>
      </c>
      <c r="BR193" s="61">
        <f>SUM(BR185:BR188,BR192)</f>
        <v/>
      </c>
      <c r="BS193" s="1125">
        <f>SUM(BS185:BS188,BS192)</f>
        <v/>
      </c>
      <c r="BT193" s="61">
        <f>SUM(BT185:BT188,BT192)</f>
        <v/>
      </c>
      <c r="BU193" s="61">
        <f>SUM(BU185:BU188,BU192)</f>
        <v/>
      </c>
      <c r="BV193" s="884">
        <f>SUM(BV185:BV188,BV192)</f>
        <v/>
      </c>
      <c r="BW193" s="61" t="n"/>
      <c r="BX193" s="1122" t="n"/>
      <c r="BY193" s="61" t="n"/>
      <c r="BZ193" s="61" t="n"/>
      <c r="CA193" s="61" t="n"/>
      <c r="CB193" s="61" t="n"/>
      <c r="CC193" s="1122" t="n"/>
      <c r="CD193" s="1122" t="n"/>
      <c r="CE193" s="1122" t="n"/>
      <c r="CF193" s="1122" t="n"/>
      <c r="CG193" s="155" t="n"/>
    </row>
    <row r="194" hidden="1" outlineLevel="1">
      <c r="A194" s="600" t="n"/>
      <c r="B194" s="633" t="n"/>
      <c r="C194" s="1125" t="n"/>
      <c r="D194" s="1125" t="n"/>
      <c r="E194" s="1125" t="n"/>
      <c r="F194" s="1125" t="n"/>
      <c r="G194" s="63" t="n"/>
      <c r="H194" s="63" t="n"/>
      <c r="I194" s="63" t="n"/>
      <c r="J194" s="63" t="n"/>
      <c r="K194" s="1125" t="n"/>
      <c r="L194" s="63" t="n"/>
      <c r="M194" s="63" t="n"/>
      <c r="N194" s="63" t="n"/>
      <c r="O194" s="63" t="n"/>
      <c r="P194" s="1125" t="n"/>
      <c r="Q194" s="63" t="n"/>
      <c r="R194" s="63" t="n"/>
      <c r="S194" s="63" t="n"/>
      <c r="T194" s="63" t="n"/>
      <c r="U194" s="1125" t="n"/>
      <c r="V194" s="63" t="n"/>
      <c r="W194" s="63" t="n"/>
      <c r="X194" s="63" t="n"/>
      <c r="Y194" s="63" t="n"/>
      <c r="Z194" s="1125" t="n"/>
      <c r="AA194" s="63" t="n"/>
      <c r="AB194" s="63" t="n"/>
      <c r="AC194" s="63" t="n"/>
      <c r="AD194" s="63" t="n"/>
      <c r="AE194" s="1125" t="n"/>
      <c r="AF194" s="63" t="n"/>
      <c r="AG194" s="63" t="n"/>
      <c r="AH194" s="63" t="n"/>
      <c r="AI194" s="63" t="n"/>
      <c r="AJ194" s="1125" t="n"/>
      <c r="AK194" s="63" t="n"/>
      <c r="AL194" s="63" t="n"/>
      <c r="AM194" s="63" t="n"/>
      <c r="AN194" s="63" t="n"/>
      <c r="AO194" s="1125" t="n"/>
      <c r="AP194" s="63" t="n"/>
      <c r="AQ194" s="63" t="n"/>
      <c r="AR194" s="63" t="n"/>
      <c r="AS194" s="63" t="n"/>
      <c r="AT194" s="1125" t="n"/>
      <c r="AU194" s="63" t="n"/>
      <c r="AV194" s="63" t="n"/>
      <c r="AW194" s="63" t="n"/>
      <c r="AX194" s="63" t="n"/>
      <c r="AY194" s="1125" t="n"/>
      <c r="AZ194" s="63" t="n"/>
      <c r="BA194" s="63" t="n"/>
      <c r="BB194" s="63" t="n"/>
      <c r="BC194" s="63" t="n"/>
      <c r="BD194" s="1125" t="n"/>
      <c r="BE194" s="63" t="n"/>
      <c r="BF194" s="63" t="n"/>
      <c r="BG194" s="63" t="n"/>
      <c r="BH194" s="63" t="n"/>
      <c r="BI194" s="1125" t="n"/>
      <c r="BJ194" s="63" t="n"/>
      <c r="BK194" s="63" t="n"/>
      <c r="BL194" s="63" t="n"/>
      <c r="BM194" s="63" t="n"/>
      <c r="BN194" s="1125" t="n"/>
      <c r="BO194" s="63" t="n"/>
      <c r="BP194" s="63" t="n"/>
      <c r="BQ194" s="63" t="n"/>
      <c r="BR194" s="63" t="n"/>
      <c r="BS194" s="1125" t="n"/>
      <c r="BT194" s="63" t="n"/>
      <c r="BU194" s="63" t="n"/>
      <c r="BV194" s="587" t="n"/>
      <c r="BW194" s="63" t="n"/>
      <c r="BX194" s="1125" t="n"/>
      <c r="BY194" s="63" t="n"/>
      <c r="BZ194" s="63" t="n"/>
      <c r="CA194" s="63" t="n"/>
      <c r="CB194" s="63" t="n"/>
      <c r="CC194" s="1125" t="n"/>
      <c r="CD194" s="1125" t="n"/>
      <c r="CE194" s="1125" t="n"/>
      <c r="CF194" s="1125" t="n"/>
      <c r="CG194" s="155" t="n"/>
    </row>
    <row r="195" hidden="1" outlineLevel="1">
      <c r="A195" s="329" t="inlineStr">
        <is>
          <t>Taiwan Revenue %, %</t>
        </is>
      </c>
      <c r="B195" s="670" t="n"/>
      <c r="C195" s="1135">
        <f>C185/C$193</f>
        <v/>
      </c>
      <c r="D195" s="1135">
        <f>D185/D$193</f>
        <v/>
      </c>
      <c r="E195" s="1135">
        <f>E185/E$193</f>
        <v/>
      </c>
      <c r="F195" s="1135">
        <f>F185/F$193</f>
        <v/>
      </c>
      <c r="G195" s="332">
        <f>G185/G$193</f>
        <v/>
      </c>
      <c r="H195" s="332">
        <f>H185/H$193</f>
        <v/>
      </c>
      <c r="I195" s="332">
        <f>I185/I$193</f>
        <v/>
      </c>
      <c r="J195" s="332">
        <f>J185/J$193</f>
        <v/>
      </c>
      <c r="K195" s="1135">
        <f>K185/K$193</f>
        <v/>
      </c>
      <c r="L195" s="332">
        <f>L185/L$193</f>
        <v/>
      </c>
      <c r="M195" s="332">
        <f>M185/M$193</f>
        <v/>
      </c>
      <c r="N195" s="332">
        <f>N185/N$193</f>
        <v/>
      </c>
      <c r="O195" s="332">
        <f>O185/O$193</f>
        <v/>
      </c>
      <c r="P195" s="1135">
        <f>P185/P$193</f>
        <v/>
      </c>
      <c r="Q195" s="332">
        <f>Q185/Q$193</f>
        <v/>
      </c>
      <c r="R195" s="332">
        <f>R185/R$193</f>
        <v/>
      </c>
      <c r="S195" s="332">
        <f>S185/S$193</f>
        <v/>
      </c>
      <c r="T195" s="332">
        <f>T185/T$193</f>
        <v/>
      </c>
      <c r="U195" s="1135">
        <f>U185/U$193</f>
        <v/>
      </c>
      <c r="V195" s="332">
        <f>V185/V$193</f>
        <v/>
      </c>
      <c r="W195" s="332">
        <f>W185/W$193</f>
        <v/>
      </c>
      <c r="X195" s="332">
        <f>X185/X$193</f>
        <v/>
      </c>
      <c r="Y195" s="332">
        <f>Y185/Y$193</f>
        <v/>
      </c>
      <c r="Z195" s="1135">
        <f>Z185/Z$193</f>
        <v/>
      </c>
      <c r="AA195" s="332">
        <f>AA185/AA$193</f>
        <v/>
      </c>
      <c r="AB195" s="332">
        <f>AB185/AB$193</f>
        <v/>
      </c>
      <c r="AC195" s="315">
        <f>AC185/AC$193</f>
        <v/>
      </c>
      <c r="AD195" s="315">
        <f>AD185/AD$193</f>
        <v/>
      </c>
      <c r="AE195" s="1126">
        <f>AE185/AE$193</f>
        <v/>
      </c>
      <c r="AF195" s="315">
        <f>AF185/AF$193</f>
        <v/>
      </c>
      <c r="AG195" s="332">
        <f>AG185/AG$193</f>
        <v/>
      </c>
      <c r="AH195" s="332">
        <f>AH185/AH$193</f>
        <v/>
      </c>
      <c r="AI195" s="315">
        <f>AI185/AI$193</f>
        <v/>
      </c>
      <c r="AJ195" s="1126">
        <f>AJ185/AJ$193</f>
        <v/>
      </c>
      <c r="AK195" s="332">
        <f>AK185/AK$193</f>
        <v/>
      </c>
      <c r="AL195" s="332">
        <f>AL185/AL$193</f>
        <v/>
      </c>
      <c r="AM195" s="332">
        <f>AM185/AM$193</f>
        <v/>
      </c>
      <c r="AN195" s="315">
        <f>AN185/AN$193</f>
        <v/>
      </c>
      <c r="AO195" s="1126">
        <f>AO185/AO$193</f>
        <v/>
      </c>
      <c r="AP195" s="332">
        <f>AP185/AP$193</f>
        <v/>
      </c>
      <c r="AQ195" s="332">
        <f>AQ185/AQ$193</f>
        <v/>
      </c>
      <c r="AR195" s="332">
        <f>AR185/AR$193</f>
        <v/>
      </c>
      <c r="AS195" s="332">
        <f>AS185/AS$193</f>
        <v/>
      </c>
      <c r="AT195" s="1126">
        <f>AT185/AT$193</f>
        <v/>
      </c>
      <c r="AU195" s="332">
        <f>AU185/AU$193</f>
        <v/>
      </c>
      <c r="AV195" s="332">
        <f>AV185/AV$193</f>
        <v/>
      </c>
      <c r="AW195" s="332">
        <f>AW185/AW$193</f>
        <v/>
      </c>
      <c r="AX195" s="332">
        <f>AX185/AX$193</f>
        <v/>
      </c>
      <c r="AY195" s="1126">
        <f>AY185/AY$193</f>
        <v/>
      </c>
      <c r="AZ195" s="315">
        <f>AZ185/AZ$193</f>
        <v/>
      </c>
      <c r="BA195" s="315">
        <f>BA185/BA$193</f>
        <v/>
      </c>
      <c r="BB195" s="315">
        <f>BB185/BB$193</f>
        <v/>
      </c>
      <c r="BC195" s="315">
        <f>BC185/BC$193</f>
        <v/>
      </c>
      <c r="BD195" s="1126">
        <f>BD185/BD$193</f>
        <v/>
      </c>
      <c r="BE195" s="315">
        <f>BE185/BE$193</f>
        <v/>
      </c>
      <c r="BF195" s="315">
        <f>BF185/BF$193</f>
        <v/>
      </c>
      <c r="BG195" s="315">
        <f>BG185/BG$193</f>
        <v/>
      </c>
      <c r="BH195" s="315">
        <f>BH185/BH$193</f>
        <v/>
      </c>
      <c r="BI195" s="1126">
        <f>BI185/BI$193</f>
        <v/>
      </c>
      <c r="BJ195" s="315">
        <f>BJ185/BJ$193</f>
        <v/>
      </c>
      <c r="BK195" s="315">
        <f>BK185/BK$193</f>
        <v/>
      </c>
      <c r="BL195" s="315">
        <f>BL185/BL$193</f>
        <v/>
      </c>
      <c r="BM195" s="315">
        <f>BM185/BM$193</f>
        <v/>
      </c>
      <c r="BN195" s="1126">
        <f>BN185/BN$193</f>
        <v/>
      </c>
      <c r="BO195" s="315">
        <f>BO185/BO$193</f>
        <v/>
      </c>
      <c r="BP195" s="315">
        <f>BP185/BP$193</f>
        <v/>
      </c>
      <c r="BQ195" s="315">
        <f>BQ185/BQ$193</f>
        <v/>
      </c>
      <c r="BR195" s="315">
        <f>BR185/BR$193</f>
        <v/>
      </c>
      <c r="BS195" s="1126">
        <f>BS185/BS$193</f>
        <v/>
      </c>
      <c r="BT195" s="315">
        <f>BT185/BT$193</f>
        <v/>
      </c>
      <c r="BU195" s="315">
        <f>BU185/BU$193</f>
        <v/>
      </c>
      <c r="BV195" s="885">
        <f>BV185/BV$193</f>
        <v/>
      </c>
      <c r="BW195" s="315" t="n"/>
      <c r="BX195" s="1126" t="n"/>
      <c r="BY195" s="315" t="n"/>
      <c r="BZ195" s="315" t="n"/>
      <c r="CA195" s="315" t="n"/>
      <c r="CB195" s="315" t="n"/>
      <c r="CC195" s="1126" t="n"/>
      <c r="CD195" s="1126" t="n"/>
      <c r="CE195" s="1126" t="n"/>
      <c r="CF195" s="1126" t="n"/>
      <c r="CG195" s="155" t="n"/>
    </row>
    <row r="196" hidden="1" outlineLevel="1">
      <c r="A196" s="329" t="inlineStr">
        <is>
          <t>China Revenue %, %</t>
        </is>
      </c>
      <c r="B196" s="670" t="n"/>
      <c r="C196" s="1135">
        <f>C186/C$193</f>
        <v/>
      </c>
      <c r="D196" s="1135">
        <f>D186/D$193</f>
        <v/>
      </c>
      <c r="E196" s="1135">
        <f>E186/E$193</f>
        <v/>
      </c>
      <c r="F196" s="1135">
        <f>F186/F$193</f>
        <v/>
      </c>
      <c r="G196" s="332">
        <f>G186/G$193</f>
        <v/>
      </c>
      <c r="H196" s="332">
        <f>H186/H$193</f>
        <v/>
      </c>
      <c r="I196" s="332">
        <f>I186/I$193</f>
        <v/>
      </c>
      <c r="J196" s="332">
        <f>J186/J$193</f>
        <v/>
      </c>
      <c r="K196" s="1135">
        <f>K186/K$193</f>
        <v/>
      </c>
      <c r="L196" s="332">
        <f>L186/L$193</f>
        <v/>
      </c>
      <c r="M196" s="332">
        <f>M186/M$193</f>
        <v/>
      </c>
      <c r="N196" s="332">
        <f>N186/N$193</f>
        <v/>
      </c>
      <c r="O196" s="332">
        <f>O186/O$193</f>
        <v/>
      </c>
      <c r="P196" s="1135">
        <f>P186/P$193</f>
        <v/>
      </c>
      <c r="Q196" s="332">
        <f>Q186/Q$193</f>
        <v/>
      </c>
      <c r="R196" s="332">
        <f>R186/R$193</f>
        <v/>
      </c>
      <c r="S196" s="332">
        <f>S186/S$193</f>
        <v/>
      </c>
      <c r="T196" s="332">
        <f>T186/T$193</f>
        <v/>
      </c>
      <c r="U196" s="1135">
        <f>U186/U$193</f>
        <v/>
      </c>
      <c r="V196" s="332">
        <f>V186/V$193</f>
        <v/>
      </c>
      <c r="W196" s="332">
        <f>W186/W$193</f>
        <v/>
      </c>
      <c r="X196" s="332">
        <f>X186/X$193</f>
        <v/>
      </c>
      <c r="Y196" s="332">
        <f>Y186/Y$193</f>
        <v/>
      </c>
      <c r="Z196" s="1135">
        <f>Z186/Z$193</f>
        <v/>
      </c>
      <c r="AA196" s="332">
        <f>AA186/AA$193</f>
        <v/>
      </c>
      <c r="AB196" s="332">
        <f>AB186/AB$193</f>
        <v/>
      </c>
      <c r="AC196" s="315">
        <f>AC186/AC$193</f>
        <v/>
      </c>
      <c r="AD196" s="315">
        <f>AD186/AD$193</f>
        <v/>
      </c>
      <c r="AE196" s="1126">
        <f>AE186/AE$193</f>
        <v/>
      </c>
      <c r="AF196" s="315">
        <f>AF186/AF$193</f>
        <v/>
      </c>
      <c r="AG196" s="332">
        <f>AG186/AG$193</f>
        <v/>
      </c>
      <c r="AH196" s="332">
        <f>AH186/AH$193</f>
        <v/>
      </c>
      <c r="AI196" s="315">
        <f>AI186/AI$193</f>
        <v/>
      </c>
      <c r="AJ196" s="1126">
        <f>AJ186/AJ$193</f>
        <v/>
      </c>
      <c r="AK196" s="332">
        <f>AK186/AK$193</f>
        <v/>
      </c>
      <c r="AL196" s="332">
        <f>AL186/AL$193</f>
        <v/>
      </c>
      <c r="AM196" s="332">
        <f>AM186/AM$193</f>
        <v/>
      </c>
      <c r="AN196" s="315">
        <f>AN186/AN$193</f>
        <v/>
      </c>
      <c r="AO196" s="1126">
        <f>AO186/AO$193</f>
        <v/>
      </c>
      <c r="AP196" s="332">
        <f>AP186/AP$193</f>
        <v/>
      </c>
      <c r="AQ196" s="332">
        <f>AQ186/AQ$193</f>
        <v/>
      </c>
      <c r="AR196" s="332">
        <f>AR186/AR$193</f>
        <v/>
      </c>
      <c r="AS196" s="332">
        <f>AS186/AS$193</f>
        <v/>
      </c>
      <c r="AT196" s="1126">
        <f>AT186/AT$193</f>
        <v/>
      </c>
      <c r="AU196" s="332">
        <f>AU186/AU$193</f>
        <v/>
      </c>
      <c r="AV196" s="332">
        <f>AV186/AV$193</f>
        <v/>
      </c>
      <c r="AW196" s="332">
        <f>AW186/AW$193</f>
        <v/>
      </c>
      <c r="AX196" s="332">
        <f>AX186/AX$193</f>
        <v/>
      </c>
      <c r="AY196" s="1126">
        <f>AY186/AY$193</f>
        <v/>
      </c>
      <c r="AZ196" s="315">
        <f>AZ186/AZ$193</f>
        <v/>
      </c>
      <c r="BA196" s="315">
        <f>BA186/BA$193</f>
        <v/>
      </c>
      <c r="BB196" s="315">
        <f>BB186/BB$193</f>
        <v/>
      </c>
      <c r="BC196" s="315">
        <f>BC186/BC$193</f>
        <v/>
      </c>
      <c r="BD196" s="1126">
        <f>BD186/BD$193</f>
        <v/>
      </c>
      <c r="BE196" s="315">
        <f>BE186/BE$193</f>
        <v/>
      </c>
      <c r="BF196" s="315">
        <f>BF186/BF$193</f>
        <v/>
      </c>
      <c r="BG196" s="315">
        <f>BG186/BG$193</f>
        <v/>
      </c>
      <c r="BH196" s="315">
        <f>BH186/BH$193</f>
        <v/>
      </c>
      <c r="BI196" s="1126">
        <f>BI186/BI$193</f>
        <v/>
      </c>
      <c r="BJ196" s="315">
        <f>BJ186/BJ$193</f>
        <v/>
      </c>
      <c r="BK196" s="315">
        <f>BK186/BK$193</f>
        <v/>
      </c>
      <c r="BL196" s="315">
        <f>BL186/BL$193</f>
        <v/>
      </c>
      <c r="BM196" s="315">
        <f>BM186/BM$193</f>
        <v/>
      </c>
      <c r="BN196" s="1126">
        <f>BN186/BN$193</f>
        <v/>
      </c>
      <c r="BO196" s="315">
        <f>BO186/BO$193</f>
        <v/>
      </c>
      <c r="BP196" s="315">
        <f>BP186/BP$193</f>
        <v/>
      </c>
      <c r="BQ196" s="315">
        <f>BQ186/BQ$193</f>
        <v/>
      </c>
      <c r="BR196" s="315">
        <f>BR186/BR$193</f>
        <v/>
      </c>
      <c r="BS196" s="1126">
        <f>BS186/BS$193</f>
        <v/>
      </c>
      <c r="BT196" s="315">
        <f>BT186/BT$193</f>
        <v/>
      </c>
      <c r="BU196" s="315">
        <f>BU186/BU$193</f>
        <v/>
      </c>
      <c r="BV196" s="885">
        <f>BV186/BV$193</f>
        <v/>
      </c>
      <c r="BW196" s="315" t="n"/>
      <c r="BX196" s="1126" t="n"/>
      <c r="BY196" s="315" t="n"/>
      <c r="BZ196" s="315" t="n"/>
      <c r="CA196" s="315" t="n"/>
      <c r="CB196" s="315" t="n"/>
      <c r="CC196" s="1126" t="n"/>
      <c r="CD196" s="1126" t="n"/>
      <c r="CE196" s="1126" t="n"/>
      <c r="CF196" s="1126" t="n"/>
      <c r="CG196" s="155" t="n"/>
    </row>
    <row r="197" hidden="1" outlineLevel="1">
      <c r="A197" s="329" t="inlineStr">
        <is>
          <t>United States Revenue %, %</t>
        </is>
      </c>
      <c r="B197" s="670" t="n"/>
      <c r="C197" s="1135">
        <f>C187/C$193</f>
        <v/>
      </c>
      <c r="D197" s="1135">
        <f>D187/D$193</f>
        <v/>
      </c>
      <c r="E197" s="1135">
        <f>E187/E$193</f>
        <v/>
      </c>
      <c r="F197" s="1135">
        <f>F187/F$193</f>
        <v/>
      </c>
      <c r="G197" s="332">
        <f>G187/G$193</f>
        <v/>
      </c>
      <c r="H197" s="332">
        <f>H187/H$193</f>
        <v/>
      </c>
      <c r="I197" s="332">
        <f>I187/I$193</f>
        <v/>
      </c>
      <c r="J197" s="332">
        <f>J187/J$193</f>
        <v/>
      </c>
      <c r="K197" s="1135">
        <f>K187/K$193</f>
        <v/>
      </c>
      <c r="L197" s="332">
        <f>L187/L$193</f>
        <v/>
      </c>
      <c r="M197" s="332">
        <f>M187/M$193</f>
        <v/>
      </c>
      <c r="N197" s="332">
        <f>N187/N$193</f>
        <v/>
      </c>
      <c r="O197" s="332">
        <f>O187/O$193</f>
        <v/>
      </c>
      <c r="P197" s="1135">
        <f>P187/P$193</f>
        <v/>
      </c>
      <c r="Q197" s="332">
        <f>Q187/Q$193</f>
        <v/>
      </c>
      <c r="R197" s="332">
        <f>R187/R$193</f>
        <v/>
      </c>
      <c r="S197" s="332">
        <f>S187/S$193</f>
        <v/>
      </c>
      <c r="T197" s="332">
        <f>T187/T$193</f>
        <v/>
      </c>
      <c r="U197" s="1135">
        <f>U187/U$193</f>
        <v/>
      </c>
      <c r="V197" s="332">
        <f>V187/V$193</f>
        <v/>
      </c>
      <c r="W197" s="332">
        <f>W187/W$193</f>
        <v/>
      </c>
      <c r="X197" s="332">
        <f>X187/X$193</f>
        <v/>
      </c>
      <c r="Y197" s="332">
        <f>Y187/Y$193</f>
        <v/>
      </c>
      <c r="Z197" s="1135">
        <f>Z187/Z$193</f>
        <v/>
      </c>
      <c r="AA197" s="332">
        <f>AA187/AA$193</f>
        <v/>
      </c>
      <c r="AB197" s="332">
        <f>AB187/AB$193</f>
        <v/>
      </c>
      <c r="AC197" s="315">
        <f>AC187/AC$193</f>
        <v/>
      </c>
      <c r="AD197" s="315">
        <f>AD187/AD$193</f>
        <v/>
      </c>
      <c r="AE197" s="1126">
        <f>AE187/AE$193</f>
        <v/>
      </c>
      <c r="AF197" s="315">
        <f>AF187/AF$193</f>
        <v/>
      </c>
      <c r="AG197" s="332">
        <f>AG187/AG$193</f>
        <v/>
      </c>
      <c r="AH197" s="332">
        <f>AH187/AH$193</f>
        <v/>
      </c>
      <c r="AI197" s="315">
        <f>AI187/AI$193</f>
        <v/>
      </c>
      <c r="AJ197" s="1126">
        <f>AJ187/AJ$193</f>
        <v/>
      </c>
      <c r="AK197" s="332">
        <f>AK187/AK$193</f>
        <v/>
      </c>
      <c r="AL197" s="332">
        <f>AL187/AL$193</f>
        <v/>
      </c>
      <c r="AM197" s="332">
        <f>AM187/AM$193</f>
        <v/>
      </c>
      <c r="AN197" s="315">
        <f>AN187/AN$193</f>
        <v/>
      </c>
      <c r="AO197" s="1126">
        <f>AO187/AO$193</f>
        <v/>
      </c>
      <c r="AP197" s="332">
        <f>AP187/AP$193</f>
        <v/>
      </c>
      <c r="AQ197" s="332">
        <f>AQ187/AQ$193</f>
        <v/>
      </c>
      <c r="AR197" s="332">
        <f>AR187/AR$193</f>
        <v/>
      </c>
      <c r="AS197" s="332">
        <f>AS187/AS$193</f>
        <v/>
      </c>
      <c r="AT197" s="1126">
        <f>AT187/AT$193</f>
        <v/>
      </c>
      <c r="AU197" s="332">
        <f>AU187/AU$193</f>
        <v/>
      </c>
      <c r="AV197" s="332">
        <f>AV187/AV$193</f>
        <v/>
      </c>
      <c r="AW197" s="332">
        <f>AW187/AW$193</f>
        <v/>
      </c>
      <c r="AX197" s="332">
        <f>AX187/AX$193</f>
        <v/>
      </c>
      <c r="AY197" s="1126">
        <f>AY187/AY$193</f>
        <v/>
      </c>
      <c r="AZ197" s="315">
        <f>AZ187/AZ$193</f>
        <v/>
      </c>
      <c r="BA197" s="315">
        <f>BA187/BA$193</f>
        <v/>
      </c>
      <c r="BB197" s="315">
        <f>BB187/BB$193</f>
        <v/>
      </c>
      <c r="BC197" s="315">
        <f>BC187/BC$193</f>
        <v/>
      </c>
      <c r="BD197" s="1126">
        <f>BD187/BD$193</f>
        <v/>
      </c>
      <c r="BE197" s="315">
        <f>BE187/BE$193</f>
        <v/>
      </c>
      <c r="BF197" s="315">
        <f>BF187/BF$193</f>
        <v/>
      </c>
      <c r="BG197" s="315">
        <f>BG187/BG$193</f>
        <v/>
      </c>
      <c r="BH197" s="315">
        <f>BH187/BH$193</f>
        <v/>
      </c>
      <c r="BI197" s="1126">
        <f>BI187/BI$193</f>
        <v/>
      </c>
      <c r="BJ197" s="315">
        <f>BJ187/BJ$193</f>
        <v/>
      </c>
      <c r="BK197" s="315">
        <f>BK187/BK$193</f>
        <v/>
      </c>
      <c r="BL197" s="315">
        <f>BL187/BL$193</f>
        <v/>
      </c>
      <c r="BM197" s="315">
        <f>BM187/BM$193</f>
        <v/>
      </c>
      <c r="BN197" s="1126">
        <f>BN187/BN$193</f>
        <v/>
      </c>
      <c r="BO197" s="315">
        <f>BO187/BO$193</f>
        <v/>
      </c>
      <c r="BP197" s="315">
        <f>BP187/BP$193</f>
        <v/>
      </c>
      <c r="BQ197" s="315">
        <f>BQ187/BQ$193</f>
        <v/>
      </c>
      <c r="BR197" s="315">
        <f>BR187/BR$193</f>
        <v/>
      </c>
      <c r="BS197" s="1126">
        <f>BS187/BS$193</f>
        <v/>
      </c>
      <c r="BT197" s="315">
        <f>BT187/BT$193</f>
        <v/>
      </c>
      <c r="BU197" s="315">
        <f>BU187/BU$193</f>
        <v/>
      </c>
      <c r="BV197" s="885">
        <f>BV187/BV$193</f>
        <v/>
      </c>
      <c r="BW197" s="315" t="n"/>
      <c r="BX197" s="1126" t="n"/>
      <c r="BY197" s="315" t="n"/>
      <c r="BZ197" s="315" t="n"/>
      <c r="CA197" s="315" t="n"/>
      <c r="CB197" s="315" t="n"/>
      <c r="CC197" s="1126" t="n"/>
      <c r="CD197" s="1126" t="n"/>
      <c r="CE197" s="1126" t="n"/>
      <c r="CF197" s="1126" t="n"/>
      <c r="CG197" s="155" t="n"/>
    </row>
    <row r="198" hidden="1" outlineLevel="1">
      <c r="A198" s="329" t="inlineStr">
        <is>
          <t>Singapore Revenue, %</t>
        </is>
      </c>
      <c r="B198" s="670" t="n"/>
      <c r="C198" s="1126" t="n"/>
      <c r="D198" s="1126" t="n"/>
      <c r="E198" s="1126" t="n"/>
      <c r="F198" s="1126" t="n"/>
      <c r="G198" s="315" t="n"/>
      <c r="H198" s="315" t="n"/>
      <c r="I198" s="315" t="n"/>
      <c r="J198" s="315" t="n"/>
      <c r="K198" s="1126" t="n"/>
      <c r="L198" s="315" t="n"/>
      <c r="M198" s="315" t="n"/>
      <c r="N198" s="315" t="n"/>
      <c r="O198" s="315" t="n"/>
      <c r="P198" s="1126" t="n"/>
      <c r="Q198" s="315" t="n"/>
      <c r="R198" s="315" t="n"/>
      <c r="S198" s="315" t="n"/>
      <c r="T198" s="315" t="n"/>
      <c r="U198" s="1126" t="n"/>
      <c r="V198" s="315" t="n"/>
      <c r="W198" s="315" t="n"/>
      <c r="X198" s="315" t="n"/>
      <c r="Y198" s="315" t="n"/>
      <c r="Z198" s="1126" t="n"/>
      <c r="AA198" s="315" t="n"/>
      <c r="AB198" s="315" t="n"/>
      <c r="AC198" s="315" t="n"/>
      <c r="AD198" s="315" t="n"/>
      <c r="AE198" s="1126" t="n"/>
      <c r="AF198" s="315" t="n"/>
      <c r="AG198" s="315" t="n"/>
      <c r="AH198" s="315" t="n"/>
      <c r="AI198" s="315" t="n"/>
      <c r="AJ198" s="1126" t="n"/>
      <c r="AK198" s="315" t="n"/>
      <c r="AL198" s="315" t="n"/>
      <c r="AM198" s="315" t="n"/>
      <c r="AN198" s="315" t="n"/>
      <c r="AO198" s="1126" t="n"/>
      <c r="AP198" s="315" t="n"/>
      <c r="AQ198" s="315" t="n"/>
      <c r="AR198" s="315" t="n"/>
      <c r="AS198" s="315" t="n"/>
      <c r="AT198" s="1126" t="n"/>
      <c r="AU198" s="315" t="n"/>
      <c r="AV198" s="315" t="n"/>
      <c r="AW198" s="315" t="n"/>
      <c r="AX198" s="315" t="n"/>
      <c r="AY198" s="1126" t="n"/>
      <c r="AZ198" s="315" t="n"/>
      <c r="BA198" s="315" t="n"/>
      <c r="BB198" s="315" t="n"/>
      <c r="BC198" s="315" t="n"/>
      <c r="BD198" s="1126" t="n"/>
      <c r="BE198" s="315" t="n"/>
      <c r="BF198" s="315" t="n"/>
      <c r="BG198" s="315" t="n"/>
      <c r="BH198" s="315" t="n"/>
      <c r="BI198" s="1126" t="n"/>
      <c r="BJ198" s="315" t="n"/>
      <c r="BK198" s="315" t="n"/>
      <c r="BL198" s="315" t="n"/>
      <c r="BM198" s="315" t="n"/>
      <c r="BN198" s="1126" t="n"/>
      <c r="BO198" s="315">
        <f>BO188/BO$193</f>
        <v/>
      </c>
      <c r="BP198" s="315">
        <f>BP188/BP$193</f>
        <v/>
      </c>
      <c r="BQ198" s="315">
        <f>BQ188/BQ$193</f>
        <v/>
      </c>
      <c r="BR198" s="315">
        <f>BR188/BR$193</f>
        <v/>
      </c>
      <c r="BS198" s="1126">
        <f>BS188/BS$193</f>
        <v/>
      </c>
      <c r="BT198" s="315">
        <f>BT188/BT$193</f>
        <v/>
      </c>
      <c r="BU198" s="315">
        <f>BU188/BU$193</f>
        <v/>
      </c>
      <c r="BV198" s="885">
        <f>BV188/BV$193</f>
        <v/>
      </c>
      <c r="BW198" s="315" t="n"/>
      <c r="BX198" s="1126" t="n"/>
      <c r="BY198" s="315" t="n"/>
      <c r="BZ198" s="315" t="n"/>
      <c r="CA198" s="315" t="n"/>
      <c r="CB198" s="315" t="n"/>
      <c r="CC198" s="1126" t="n"/>
      <c r="CD198" s="1126" t="n"/>
      <c r="CE198" s="1126" t="n"/>
      <c r="CF198" s="1126" t="n"/>
      <c r="CG198" s="155" t="n"/>
    </row>
    <row r="199" hidden="1" outlineLevel="1">
      <c r="A199" s="671" t="inlineStr">
        <is>
          <t>Other Asia Pacific Revenue %, %</t>
        </is>
      </c>
      <c r="B199" s="670" t="n"/>
      <c r="C199" s="1126" t="n"/>
      <c r="D199" s="1126" t="n"/>
      <c r="E199" s="1126" t="n"/>
      <c r="F199" s="1126" t="n"/>
      <c r="G199" s="315" t="n"/>
      <c r="H199" s="315" t="n"/>
      <c r="I199" s="315" t="n"/>
      <c r="J199" s="315" t="n"/>
      <c r="K199" s="1126" t="n"/>
      <c r="L199" s="315" t="n"/>
      <c r="M199" s="315" t="n"/>
      <c r="N199" s="315" t="n"/>
      <c r="O199" s="315" t="n"/>
      <c r="P199" s="1126" t="n"/>
      <c r="Q199" s="315" t="n"/>
      <c r="R199" s="315" t="n"/>
      <c r="S199" s="315" t="n"/>
      <c r="T199" s="315" t="n"/>
      <c r="U199" s="1126" t="n"/>
      <c r="V199" s="315" t="n"/>
      <c r="W199" s="315" t="n"/>
      <c r="X199" s="315" t="n"/>
      <c r="Y199" s="315" t="n"/>
      <c r="Z199" s="1126" t="n"/>
      <c r="AA199" s="315" t="n"/>
      <c r="AB199" s="315" t="n"/>
      <c r="AC199" s="315" t="n"/>
      <c r="AD199" s="315" t="n"/>
      <c r="AE199" s="1126" t="n"/>
      <c r="AF199" s="315" t="n"/>
      <c r="AG199" s="315" t="n"/>
      <c r="AH199" s="315" t="n"/>
      <c r="AI199" s="315" t="n"/>
      <c r="AJ199" s="1126" t="n"/>
      <c r="AK199" s="315" t="n"/>
      <c r="AL199" s="315" t="n"/>
      <c r="AM199" s="315" t="n"/>
      <c r="AN199" s="315" t="n"/>
      <c r="AO199" s="1126" t="n"/>
      <c r="AP199" s="315" t="n"/>
      <c r="AQ199" s="315" t="n"/>
      <c r="AR199" s="315" t="n"/>
      <c r="AS199" s="315" t="n"/>
      <c r="AT199" s="1126" t="n"/>
      <c r="AU199" s="315" t="n"/>
      <c r="AV199" s="315" t="n"/>
      <c r="AW199" s="315" t="n"/>
      <c r="AX199" s="315" t="n"/>
      <c r="AY199" s="1126" t="n"/>
      <c r="AZ199" s="315" t="n"/>
      <c r="BA199" s="315" t="n"/>
      <c r="BB199" s="315" t="n"/>
      <c r="BC199" s="315" t="n"/>
      <c r="BD199" s="1126" t="n"/>
      <c r="BE199" s="315" t="n"/>
      <c r="BF199" s="315" t="n"/>
      <c r="BG199" s="315" t="n"/>
      <c r="BH199" s="315" t="n"/>
      <c r="BI199" s="1126" t="n"/>
      <c r="BJ199" s="315" t="n"/>
      <c r="BK199" s="315" t="n"/>
      <c r="BL199" s="315" t="n"/>
      <c r="BM199" s="315" t="n"/>
      <c r="BN199" s="1126" t="n"/>
      <c r="BO199" s="315" t="n"/>
      <c r="BP199" s="315" t="n"/>
      <c r="BQ199" s="315" t="n"/>
      <c r="BR199" s="315" t="n"/>
      <c r="BS199" s="1126" t="n"/>
      <c r="BT199" s="315" t="n"/>
      <c r="BU199" s="315" t="n"/>
      <c r="BV199" s="885" t="n"/>
      <c r="BW199" s="315" t="n"/>
      <c r="BX199" s="1126" t="n"/>
      <c r="BY199" s="315" t="n"/>
      <c r="BZ199" s="315" t="n"/>
      <c r="CA199" s="315" t="n"/>
      <c r="CB199" s="315" t="n"/>
      <c r="CC199" s="1126" t="n"/>
      <c r="CD199" s="1126" t="n"/>
      <c r="CE199" s="1126" t="n"/>
      <c r="CF199" s="1126" t="n"/>
      <c r="CG199" s="155" t="n"/>
    </row>
    <row r="200" hidden="1" outlineLevel="1">
      <c r="A200" s="671" t="inlineStr">
        <is>
          <t>Europe Revenue %, %</t>
        </is>
      </c>
      <c r="B200" s="670" t="n"/>
      <c r="C200" s="1126" t="n"/>
      <c r="D200" s="1126" t="n"/>
      <c r="E200" s="1126" t="n"/>
      <c r="F200" s="1126" t="n"/>
      <c r="G200" s="315" t="n"/>
      <c r="H200" s="315" t="n"/>
      <c r="I200" s="315" t="n"/>
      <c r="J200" s="315" t="n"/>
      <c r="K200" s="1126" t="n"/>
      <c r="L200" s="315" t="n"/>
      <c r="M200" s="315" t="n"/>
      <c r="N200" s="315" t="n"/>
      <c r="O200" s="315" t="n"/>
      <c r="P200" s="1126" t="n"/>
      <c r="Q200" s="315" t="n"/>
      <c r="R200" s="315" t="n"/>
      <c r="S200" s="315" t="n"/>
      <c r="T200" s="315" t="n"/>
      <c r="U200" s="1126" t="n"/>
      <c r="V200" s="315" t="n"/>
      <c r="W200" s="315" t="n"/>
      <c r="X200" s="315" t="n"/>
      <c r="Y200" s="315" t="n"/>
      <c r="Z200" s="1126" t="n"/>
      <c r="AA200" s="315" t="n"/>
      <c r="AB200" s="315" t="n"/>
      <c r="AC200" s="315" t="n"/>
      <c r="AD200" s="315" t="n"/>
      <c r="AE200" s="1126" t="n"/>
      <c r="AF200" s="315" t="n"/>
      <c r="AG200" s="315" t="n"/>
      <c r="AH200" s="315" t="n"/>
      <c r="AI200" s="315" t="n"/>
      <c r="AJ200" s="1126" t="n"/>
      <c r="AK200" s="315" t="n"/>
      <c r="AL200" s="315" t="n"/>
      <c r="AM200" s="315" t="n"/>
      <c r="AN200" s="315" t="n"/>
      <c r="AO200" s="1126" t="n"/>
      <c r="AP200" s="315" t="n"/>
      <c r="AQ200" s="315" t="n"/>
      <c r="AR200" s="315" t="n"/>
      <c r="AS200" s="315" t="n"/>
      <c r="AT200" s="1126" t="n"/>
      <c r="AU200" s="315" t="n"/>
      <c r="AV200" s="315" t="n"/>
      <c r="AW200" s="315" t="n"/>
      <c r="AX200" s="315" t="n"/>
      <c r="AY200" s="1126" t="n"/>
      <c r="AZ200" s="315" t="n"/>
      <c r="BA200" s="315" t="n"/>
      <c r="BB200" s="315" t="n"/>
      <c r="BC200" s="315" t="n"/>
      <c r="BD200" s="1126" t="n"/>
      <c r="BE200" s="315" t="n"/>
      <c r="BF200" s="315" t="n"/>
      <c r="BG200" s="315" t="n"/>
      <c r="BH200" s="315" t="n"/>
      <c r="BI200" s="1126" t="n"/>
      <c r="BJ200" s="315" t="n"/>
      <c r="BK200" s="315" t="n"/>
      <c r="BL200" s="315" t="n"/>
      <c r="BM200" s="315" t="n"/>
      <c r="BN200" s="1126" t="n"/>
      <c r="BO200" s="315" t="n"/>
      <c r="BP200" s="315" t="n"/>
      <c r="BQ200" s="315" t="n"/>
      <c r="BR200" s="315" t="n"/>
      <c r="BS200" s="1126" t="n"/>
      <c r="BT200" s="315" t="n"/>
      <c r="BU200" s="315" t="n"/>
      <c r="BV200" s="885" t="n"/>
      <c r="BW200" s="315" t="n"/>
      <c r="BX200" s="1126" t="n"/>
      <c r="BY200" s="315" t="n"/>
      <c r="BZ200" s="315" t="n"/>
      <c r="CA200" s="315" t="n"/>
      <c r="CB200" s="315" t="n"/>
      <c r="CC200" s="1126" t="n"/>
      <c r="CD200" s="1126" t="n"/>
      <c r="CE200" s="1126" t="n"/>
      <c r="CF200" s="1126" t="n"/>
      <c r="CG200" s="155" t="n"/>
    </row>
    <row r="201" hidden="1" outlineLevel="1">
      <c r="A201" s="697" t="inlineStr">
        <is>
          <t>Other Americas Revenue %, %</t>
        </is>
      </c>
      <c r="B201" s="698" t="n"/>
      <c r="C201" s="1136" t="n"/>
      <c r="D201" s="1136" t="n"/>
      <c r="E201" s="1136" t="n"/>
      <c r="F201" s="1136" t="n"/>
      <c r="G201" s="699" t="n"/>
      <c r="H201" s="699" t="n"/>
      <c r="I201" s="699" t="n"/>
      <c r="J201" s="699" t="n"/>
      <c r="K201" s="1136" t="n"/>
      <c r="L201" s="699" t="n"/>
      <c r="M201" s="699" t="n"/>
      <c r="N201" s="699" t="n"/>
      <c r="O201" s="699" t="n"/>
      <c r="P201" s="1136" t="n"/>
      <c r="Q201" s="699" t="n"/>
      <c r="R201" s="699" t="n"/>
      <c r="S201" s="699" t="n"/>
      <c r="T201" s="699" t="n"/>
      <c r="U201" s="1136" t="n"/>
      <c r="V201" s="699" t="n"/>
      <c r="W201" s="699" t="n"/>
      <c r="X201" s="699" t="n"/>
      <c r="Y201" s="699" t="n"/>
      <c r="Z201" s="1136" t="n"/>
      <c r="AA201" s="699" t="n"/>
      <c r="AB201" s="699" t="n"/>
      <c r="AC201" s="699" t="n"/>
      <c r="AD201" s="699" t="n"/>
      <c r="AE201" s="1136" t="n"/>
      <c r="AF201" s="699" t="n"/>
      <c r="AG201" s="699" t="n"/>
      <c r="AH201" s="699" t="n"/>
      <c r="AI201" s="699" t="n"/>
      <c r="AJ201" s="1136" t="n"/>
      <c r="AK201" s="699" t="n"/>
      <c r="AL201" s="699" t="n"/>
      <c r="AM201" s="699" t="n"/>
      <c r="AN201" s="699" t="n"/>
      <c r="AO201" s="1136" t="n"/>
      <c r="AP201" s="699" t="n"/>
      <c r="AQ201" s="699" t="n"/>
      <c r="AR201" s="699" t="n"/>
      <c r="AS201" s="699" t="n"/>
      <c r="AT201" s="1136" t="n"/>
      <c r="AU201" s="699" t="n"/>
      <c r="AV201" s="699" t="n"/>
      <c r="AW201" s="699" t="n"/>
      <c r="AX201" s="699" t="n"/>
      <c r="AY201" s="1136" t="n"/>
      <c r="AZ201" s="699" t="n"/>
      <c r="BA201" s="699" t="n"/>
      <c r="BB201" s="699" t="n"/>
      <c r="BC201" s="699" t="n"/>
      <c r="BD201" s="1136" t="n"/>
      <c r="BE201" s="699" t="n"/>
      <c r="BF201" s="699" t="n"/>
      <c r="BG201" s="699" t="n"/>
      <c r="BH201" s="699" t="n"/>
      <c r="BI201" s="1136" t="n"/>
      <c r="BJ201" s="699" t="n"/>
      <c r="BK201" s="699" t="n"/>
      <c r="BL201" s="699" t="n"/>
      <c r="BM201" s="699" t="n"/>
      <c r="BN201" s="1136" t="n"/>
      <c r="BO201" s="699" t="n"/>
      <c r="BP201" s="699" t="n"/>
      <c r="BQ201" s="699" t="n"/>
      <c r="BR201" s="699" t="n"/>
      <c r="BS201" s="1136" t="n"/>
      <c r="BT201" s="699" t="n"/>
      <c r="BU201" s="699" t="n"/>
      <c r="BV201" s="889" t="n"/>
      <c r="BW201" s="699" t="n"/>
      <c r="BX201" s="1136" t="n"/>
      <c r="BY201" s="699" t="n"/>
      <c r="BZ201" s="699" t="n"/>
      <c r="CA201" s="699" t="n"/>
      <c r="CB201" s="699" t="n"/>
      <c r="CC201" s="1136" t="n"/>
      <c r="CD201" s="1136" t="n"/>
      <c r="CE201" s="1136" t="n"/>
      <c r="CF201" s="1136" t="n"/>
      <c r="CG201" s="155" t="n"/>
    </row>
    <row r="202" hidden="1" outlineLevel="1">
      <c r="A202" s="329" t="inlineStr">
        <is>
          <t>Other Countries Revenue %, %</t>
        </is>
      </c>
      <c r="B202" s="670" t="n"/>
      <c r="C202" s="1135">
        <f>C192/C$193</f>
        <v/>
      </c>
      <c r="D202" s="1135">
        <f>D192/D$193</f>
        <v/>
      </c>
      <c r="E202" s="1135">
        <f>E192/E$193</f>
        <v/>
      </c>
      <c r="F202" s="1135">
        <f>F192/F$193</f>
        <v/>
      </c>
      <c r="G202" s="332">
        <f>G192/G$193</f>
        <v/>
      </c>
      <c r="H202" s="332">
        <f>H192/H$193</f>
        <v/>
      </c>
      <c r="I202" s="332">
        <f>I192/I$193</f>
        <v/>
      </c>
      <c r="J202" s="332">
        <f>J192/J$193</f>
        <v/>
      </c>
      <c r="K202" s="1135">
        <f>K192/K$193</f>
        <v/>
      </c>
      <c r="L202" s="332">
        <f>L192/L$193</f>
        <v/>
      </c>
      <c r="M202" s="332">
        <f>M192/M$193</f>
        <v/>
      </c>
      <c r="N202" s="332">
        <f>N192/N$193</f>
        <v/>
      </c>
      <c r="O202" s="332">
        <f>O192/O$193</f>
        <v/>
      </c>
      <c r="P202" s="1135">
        <f>P192/P$193</f>
        <v/>
      </c>
      <c r="Q202" s="332">
        <f>Q192/Q$193</f>
        <v/>
      </c>
      <c r="R202" s="332">
        <f>R192/R$193</f>
        <v/>
      </c>
      <c r="S202" s="332">
        <f>S192/S$193</f>
        <v/>
      </c>
      <c r="T202" s="332">
        <f>T192/T$193</f>
        <v/>
      </c>
      <c r="U202" s="1135">
        <f>U192/U$193</f>
        <v/>
      </c>
      <c r="V202" s="332">
        <f>V192/V$193</f>
        <v/>
      </c>
      <c r="W202" s="332">
        <f>W192/W$193</f>
        <v/>
      </c>
      <c r="X202" s="332">
        <f>X192/X$193</f>
        <v/>
      </c>
      <c r="Y202" s="332">
        <f>Y192/Y$193</f>
        <v/>
      </c>
      <c r="Z202" s="1135">
        <f>Z192/Z$193</f>
        <v/>
      </c>
      <c r="AA202" s="332">
        <f>AA192/AA$193</f>
        <v/>
      </c>
      <c r="AB202" s="332">
        <f>AB192/AB$193</f>
        <v/>
      </c>
      <c r="AC202" s="315">
        <f>AC192/AC$193</f>
        <v/>
      </c>
      <c r="AD202" s="315">
        <f>AD192/AD$193</f>
        <v/>
      </c>
      <c r="AE202" s="1126">
        <f>AE192/AE$193</f>
        <v/>
      </c>
      <c r="AF202" s="315">
        <f>AF192/AF$193</f>
        <v/>
      </c>
      <c r="AG202" s="332">
        <f>AG192/AG$193</f>
        <v/>
      </c>
      <c r="AH202" s="332">
        <f>AH192/AH$193</f>
        <v/>
      </c>
      <c r="AI202" s="315">
        <f>AI192/AI$193</f>
        <v/>
      </c>
      <c r="AJ202" s="1126">
        <f>AJ192/AJ$193</f>
        <v/>
      </c>
      <c r="AK202" s="332">
        <f>AK192/AK$193</f>
        <v/>
      </c>
      <c r="AL202" s="332">
        <f>AL192/AL$193</f>
        <v/>
      </c>
      <c r="AM202" s="332">
        <f>AM192/AM$193</f>
        <v/>
      </c>
      <c r="AN202" s="315">
        <f>AN192/AN$193</f>
        <v/>
      </c>
      <c r="AO202" s="1126">
        <f>AO192/AO$193</f>
        <v/>
      </c>
      <c r="AP202" s="332">
        <f>AP192/AP$193</f>
        <v/>
      </c>
      <c r="AQ202" s="332">
        <f>AQ192/AQ$193</f>
        <v/>
      </c>
      <c r="AR202" s="332">
        <f>AR192/AR$193</f>
        <v/>
      </c>
      <c r="AS202" s="332">
        <f>AS192/AS$193</f>
        <v/>
      </c>
      <c r="AT202" s="1126">
        <f>AT192/AT$193</f>
        <v/>
      </c>
      <c r="AU202" s="332">
        <f>AU192/AU$193</f>
        <v/>
      </c>
      <c r="AV202" s="332">
        <f>AV192/AV$193</f>
        <v/>
      </c>
      <c r="AW202" s="332">
        <f>AW192/AW$193</f>
        <v/>
      </c>
      <c r="AX202" s="332">
        <f>AX192/AX$193</f>
        <v/>
      </c>
      <c r="AY202" s="1126">
        <f>AY192/AY$193</f>
        <v/>
      </c>
      <c r="AZ202" s="315">
        <f>AZ192/AZ$193</f>
        <v/>
      </c>
      <c r="BA202" s="315">
        <f>BA192/BA$193</f>
        <v/>
      </c>
      <c r="BB202" s="315">
        <f>BB192/BB$193</f>
        <v/>
      </c>
      <c r="BC202" s="315">
        <f>BC192/BC$193</f>
        <v/>
      </c>
      <c r="BD202" s="1126">
        <f>BD192/BD$193</f>
        <v/>
      </c>
      <c r="BE202" s="315">
        <f>BE192/BE$193</f>
        <v/>
      </c>
      <c r="BF202" s="315">
        <f>BF192/BF$193</f>
        <v/>
      </c>
      <c r="BG202" s="315">
        <f>BG192/BG$193</f>
        <v/>
      </c>
      <c r="BH202" s="315">
        <f>BH192/BH$193</f>
        <v/>
      </c>
      <c r="BI202" s="1126">
        <f>BI192/BI$193</f>
        <v/>
      </c>
      <c r="BJ202" s="315">
        <f>BJ192/BJ$193</f>
        <v/>
      </c>
      <c r="BK202" s="315">
        <f>BK192/BK$193</f>
        <v/>
      </c>
      <c r="BL202" s="315">
        <f>BL192/BL$193</f>
        <v/>
      </c>
      <c r="BM202" s="315">
        <f>BM192/BM$193</f>
        <v/>
      </c>
      <c r="BN202" s="1126">
        <f>BN192/BN$193</f>
        <v/>
      </c>
      <c r="BO202" s="315">
        <f>BO192/BO$193</f>
        <v/>
      </c>
      <c r="BP202" s="315">
        <f>BP192/BP$193</f>
        <v/>
      </c>
      <c r="BQ202" s="315">
        <f>BQ192/BQ$193</f>
        <v/>
      </c>
      <c r="BR202" s="315">
        <f>BR192/BR$193</f>
        <v/>
      </c>
      <c r="BS202" s="1126">
        <f>BS192/BS$193</f>
        <v/>
      </c>
      <c r="BT202" s="315">
        <f>BT192/BT$193</f>
        <v/>
      </c>
      <c r="BU202" s="315">
        <f>BU192/BU$193</f>
        <v/>
      </c>
      <c r="BV202" s="885">
        <f>BV192/BV$193</f>
        <v/>
      </c>
      <c r="BW202" s="315" t="n"/>
      <c r="BX202" s="1126" t="n"/>
      <c r="BY202" s="315" t="n"/>
      <c r="BZ202" s="315" t="n"/>
      <c r="CA202" s="315" t="n"/>
      <c r="CB202" s="315" t="n"/>
      <c r="CC202" s="1126" t="n"/>
      <c r="CD202" s="1126" t="n"/>
      <c r="CE202" s="1126" t="n"/>
      <c r="CF202" s="1126" t="n"/>
      <c r="CG202" s="155" t="n"/>
    </row>
    <row r="203" hidden="1" outlineLevel="1">
      <c r="A203" s="672" t="inlineStr">
        <is>
          <t>Total Revenue %, %</t>
        </is>
      </c>
      <c r="B203" s="673" t="n"/>
      <c r="C203" s="1137">
        <f>C193/C$193</f>
        <v/>
      </c>
      <c r="D203" s="1137">
        <f>D193/D$193</f>
        <v/>
      </c>
      <c r="E203" s="1137">
        <f>E193/E$193</f>
        <v/>
      </c>
      <c r="F203" s="1137">
        <f>F193/F$193</f>
        <v/>
      </c>
      <c r="G203" s="674">
        <f>G193/G$193</f>
        <v/>
      </c>
      <c r="H203" s="674">
        <f>H193/H$193</f>
        <v/>
      </c>
      <c r="I203" s="674">
        <f>I193/I$193</f>
        <v/>
      </c>
      <c r="J203" s="674">
        <f>J193/J$193</f>
        <v/>
      </c>
      <c r="K203" s="1137">
        <f>K193/K$193</f>
        <v/>
      </c>
      <c r="L203" s="674">
        <f>L193/L$193</f>
        <v/>
      </c>
      <c r="M203" s="674">
        <f>M193/M$193</f>
        <v/>
      </c>
      <c r="N203" s="674">
        <f>N193/N$193</f>
        <v/>
      </c>
      <c r="O203" s="674">
        <f>O193/O$193</f>
        <v/>
      </c>
      <c r="P203" s="1137">
        <f>P193/P$193</f>
        <v/>
      </c>
      <c r="Q203" s="674">
        <f>Q193/Q$193</f>
        <v/>
      </c>
      <c r="R203" s="674">
        <f>R193/R$193</f>
        <v/>
      </c>
      <c r="S203" s="674">
        <f>S193/S$193</f>
        <v/>
      </c>
      <c r="T203" s="674">
        <f>T193/T$193</f>
        <v/>
      </c>
      <c r="U203" s="1137">
        <f>U193/U$193</f>
        <v/>
      </c>
      <c r="V203" s="674">
        <f>V193/V$193</f>
        <v/>
      </c>
      <c r="W203" s="674">
        <f>W193/W$193</f>
        <v/>
      </c>
      <c r="X203" s="674">
        <f>X193/X$193</f>
        <v/>
      </c>
      <c r="Y203" s="674">
        <f>Y193/Y$193</f>
        <v/>
      </c>
      <c r="Z203" s="1137">
        <f>Z193/Z$193</f>
        <v/>
      </c>
      <c r="AA203" s="674">
        <f>AA193/AA$193</f>
        <v/>
      </c>
      <c r="AB203" s="674">
        <f>AB193/AB$193</f>
        <v/>
      </c>
      <c r="AC203" s="675">
        <f>AC193/AC$193</f>
        <v/>
      </c>
      <c r="AD203" s="675">
        <f>AD193/AD$193</f>
        <v/>
      </c>
      <c r="AE203" s="1133">
        <f>AE193/AE$193</f>
        <v/>
      </c>
      <c r="AF203" s="675">
        <f>AF193/AF$193</f>
        <v/>
      </c>
      <c r="AG203" s="674">
        <f>AG193/AG$193</f>
        <v/>
      </c>
      <c r="AH203" s="674">
        <f>AH193/AH$193</f>
        <v/>
      </c>
      <c r="AI203" s="675">
        <f>AI193/AI$193</f>
        <v/>
      </c>
      <c r="AJ203" s="1133">
        <f>AJ193/AJ$193</f>
        <v/>
      </c>
      <c r="AK203" s="674">
        <f>AK193/AK$193</f>
        <v/>
      </c>
      <c r="AL203" s="674">
        <f>AL193/AL$193</f>
        <v/>
      </c>
      <c r="AM203" s="674">
        <f>AM193/AM$193</f>
        <v/>
      </c>
      <c r="AN203" s="675">
        <f>AN193/AN$193</f>
        <v/>
      </c>
      <c r="AO203" s="1133">
        <f>AO193/AO$193</f>
        <v/>
      </c>
      <c r="AP203" s="674">
        <f>AP193/AP$193</f>
        <v/>
      </c>
      <c r="AQ203" s="674">
        <f>AQ193/AQ$193</f>
        <v/>
      </c>
      <c r="AR203" s="674">
        <f>AR193/AR$193</f>
        <v/>
      </c>
      <c r="AS203" s="674">
        <f>AS193/AS$193</f>
        <v/>
      </c>
      <c r="AT203" s="1133">
        <f>AT193/AT$193</f>
        <v/>
      </c>
      <c r="AU203" s="674">
        <f>AU193/AU$193</f>
        <v/>
      </c>
      <c r="AV203" s="674">
        <f>AV193/AV$193</f>
        <v/>
      </c>
      <c r="AW203" s="674">
        <f>AW193/AW$193</f>
        <v/>
      </c>
      <c r="AX203" s="674">
        <f>AX193/AX$193</f>
        <v/>
      </c>
      <c r="AY203" s="1133">
        <f>AY193/AY$193</f>
        <v/>
      </c>
      <c r="AZ203" s="675">
        <f>AZ193/AZ$193</f>
        <v/>
      </c>
      <c r="BA203" s="675">
        <f>BA193/BA$193</f>
        <v/>
      </c>
      <c r="BB203" s="675">
        <f>BB193/BB$193</f>
        <v/>
      </c>
      <c r="BC203" s="675">
        <f>BC193/BC$193</f>
        <v/>
      </c>
      <c r="BD203" s="1133">
        <f>BD193/BD$193</f>
        <v/>
      </c>
      <c r="BE203" s="675">
        <f>BE193/BE$193</f>
        <v/>
      </c>
      <c r="BF203" s="675">
        <f>BF193/BF$193</f>
        <v/>
      </c>
      <c r="BG203" s="675">
        <f>BG193/BG$193</f>
        <v/>
      </c>
      <c r="BH203" s="675">
        <f>BH193/BH$193</f>
        <v/>
      </c>
      <c r="BI203" s="1133">
        <f>BI193/BI$193</f>
        <v/>
      </c>
      <c r="BJ203" s="675">
        <f>BJ193/BJ$193</f>
        <v/>
      </c>
      <c r="BK203" s="675">
        <f>BK193/BK$193</f>
        <v/>
      </c>
      <c r="BL203" s="675">
        <f>BL193/BL$193</f>
        <v/>
      </c>
      <c r="BM203" s="675">
        <f>BM193/BM$193</f>
        <v/>
      </c>
      <c r="BN203" s="1133">
        <f>BN193/BN$193</f>
        <v/>
      </c>
      <c r="BO203" s="675">
        <f>BO193/BO$193</f>
        <v/>
      </c>
      <c r="BP203" s="675">
        <f>BP193/BP$193</f>
        <v/>
      </c>
      <c r="BQ203" s="675">
        <f>BQ202+BQ198+BQ197+BQ196+BQ195</f>
        <v/>
      </c>
      <c r="BR203" s="675">
        <f>BR202+BR198+BR197+BR196+BR195</f>
        <v/>
      </c>
      <c r="BS203" s="1133">
        <f>BS202+BS198+BS197+BS196+BS195</f>
        <v/>
      </c>
      <c r="BT203" s="675">
        <f>BT193/BT$193</f>
        <v/>
      </c>
      <c r="BU203" s="675">
        <f>BU193/BU$193</f>
        <v/>
      </c>
      <c r="BV203" s="888">
        <f>BV202+BV198+BV197+BV196+BV195</f>
        <v/>
      </c>
      <c r="BW203" s="675" t="n"/>
      <c r="BX203" s="1133" t="n"/>
      <c r="BY203" s="675" t="n"/>
      <c r="BZ203" s="675" t="n"/>
      <c r="CA203" s="675" t="n"/>
      <c r="CB203" s="675" t="n"/>
      <c r="CC203" s="1133" t="n"/>
      <c r="CD203" s="1133" t="n"/>
      <c r="CE203" s="1133" t="n"/>
      <c r="CF203" s="1133" t="n"/>
      <c r="CG203" s="155" t="n"/>
    </row>
    <row r="204" hidden="1" outlineLevel="1">
      <c r="A204" s="605" t="n"/>
      <c r="B204" s="606" t="n"/>
      <c r="C204" s="1134" t="n"/>
      <c r="D204" s="1134" t="n"/>
      <c r="E204" s="1134" t="n"/>
      <c r="F204" s="1134" t="n"/>
      <c r="G204" s="93" t="n"/>
      <c r="H204" s="93" t="n"/>
      <c r="I204" s="93" t="n"/>
      <c r="J204" s="93" t="n"/>
      <c r="K204" s="1134" t="n"/>
      <c r="L204" s="93" t="n"/>
      <c r="M204" s="93" t="n"/>
      <c r="N204" s="93" t="n"/>
      <c r="O204" s="93" t="n"/>
      <c r="P204" s="1134" t="n"/>
      <c r="Q204" s="93" t="n"/>
      <c r="R204" s="93" t="n"/>
      <c r="S204" s="93" t="n"/>
      <c r="T204" s="93" t="n"/>
      <c r="U204" s="1134" t="n"/>
      <c r="V204" s="93" t="n"/>
      <c r="W204" s="93" t="n"/>
      <c r="X204" s="93" t="n"/>
      <c r="Y204" s="93" t="n"/>
      <c r="Z204" s="1134" t="n"/>
      <c r="AA204" s="93" t="n"/>
      <c r="AB204" s="93" t="n"/>
      <c r="AC204" s="93" t="n"/>
      <c r="AD204" s="93" t="n"/>
      <c r="AE204" s="1134" t="n"/>
      <c r="AF204" s="93" t="n"/>
      <c r="AG204" s="93" t="n"/>
      <c r="AH204" s="93" t="n"/>
      <c r="AI204" s="93" t="n"/>
      <c r="AJ204" s="1134" t="n"/>
      <c r="AK204" s="93" t="n"/>
      <c r="AL204" s="93" t="n"/>
      <c r="AM204" s="93" t="n"/>
      <c r="AN204" s="93" t="n"/>
      <c r="AO204" s="1134" t="n"/>
      <c r="AP204" s="93" t="n"/>
      <c r="AQ204" s="93" t="n"/>
      <c r="AR204" s="93" t="n"/>
      <c r="AS204" s="93" t="n"/>
      <c r="AT204" s="1134" t="n"/>
      <c r="AU204" s="93" t="n"/>
      <c r="AV204" s="93" t="n"/>
      <c r="AW204" s="93" t="n"/>
      <c r="AX204" s="93" t="n"/>
      <c r="AY204" s="1134" t="n"/>
      <c r="AZ204" s="93" t="n"/>
      <c r="BA204" s="93" t="n"/>
      <c r="BB204" s="93" t="n"/>
      <c r="BC204" s="93" t="n"/>
      <c r="BD204" s="1134" t="n"/>
      <c r="BE204" s="93" t="n"/>
      <c r="BF204" s="93" t="n"/>
      <c r="BG204" s="93" t="n"/>
      <c r="BH204" s="93" t="n"/>
      <c r="BI204" s="1134" t="n"/>
      <c r="BJ204" s="93" t="n"/>
      <c r="BK204" s="93" t="n"/>
      <c r="BL204" s="93" t="n"/>
      <c r="BM204" s="93" t="n"/>
      <c r="BN204" s="1134" t="n"/>
      <c r="BO204" s="93" t="n"/>
      <c r="BP204" s="93" t="n"/>
      <c r="BQ204" s="93" t="n"/>
      <c r="BR204" s="93" t="n"/>
      <c r="BS204" s="1134" t="n"/>
      <c r="BT204" s="93" t="n"/>
      <c r="BU204" s="93" t="n"/>
      <c r="BV204" s="522" t="n"/>
      <c r="BW204" s="93" t="n"/>
      <c r="BX204" s="1134" t="n"/>
      <c r="BY204" s="93" t="n"/>
      <c r="BZ204" s="93" t="n"/>
      <c r="CA204" s="93" t="n"/>
      <c r="CB204" s="93" t="n"/>
      <c r="CC204" s="1134" t="n"/>
      <c r="CD204" s="1134" t="n"/>
      <c r="CE204" s="1134" t="n"/>
      <c r="CF204" s="1134" t="n"/>
      <c r="CG204" s="155" t="n"/>
    </row>
    <row r="205" hidden="1" outlineLevel="1">
      <c r="A205" s="45" t="inlineStr">
        <is>
          <t>Key Metrics - Deferred Revenues and RPOs (FS)</t>
        </is>
      </c>
      <c r="B205" s="45" t="n"/>
      <c r="C205" s="45" t="n"/>
      <c r="D205" s="45" t="n"/>
      <c r="E205" s="45" t="n"/>
      <c r="F205" s="45" t="n"/>
      <c r="G205" s="45" t="n"/>
      <c r="H205" s="45" t="n"/>
      <c r="I205" s="45" t="n"/>
      <c r="J205" s="45" t="n"/>
      <c r="K205" s="45" t="n"/>
      <c r="L205" s="45" t="n"/>
      <c r="M205" s="45" t="n"/>
      <c r="N205" s="45" t="n"/>
      <c r="O205" s="45" t="n"/>
      <c r="P205" s="45" t="n"/>
      <c r="Q205" s="45" t="n"/>
      <c r="R205" s="45" t="n"/>
      <c r="S205" s="45" t="n"/>
      <c r="T205" s="45" t="n"/>
      <c r="U205" s="45" t="n"/>
      <c r="V205" s="45" t="n"/>
      <c r="W205" s="45" t="n"/>
      <c r="X205" s="45" t="n"/>
      <c r="Y205" s="45" t="n"/>
      <c r="Z205" s="45" t="n"/>
      <c r="AA205" s="45" t="n"/>
      <c r="AB205" s="45" t="n"/>
      <c r="AC205" s="45" t="n"/>
      <c r="AD205" s="45" t="n"/>
      <c r="AE205" s="45" t="n"/>
      <c r="AF205" s="45" t="n"/>
      <c r="AG205" s="45" t="n"/>
      <c r="AH205" s="45" t="n"/>
      <c r="AI205" s="45" t="n"/>
      <c r="AJ205" s="45" t="n"/>
      <c r="AK205" s="45" t="n"/>
      <c r="AL205" s="45" t="n"/>
      <c r="AM205" s="45" t="n"/>
      <c r="AN205" s="45" t="n"/>
      <c r="AO205" s="45" t="n"/>
      <c r="AP205" s="45" t="n"/>
      <c r="AQ205" s="45" t="n"/>
      <c r="AR205" s="45" t="n"/>
      <c r="AS205" s="45" t="n"/>
      <c r="AT205" s="45" t="n"/>
      <c r="AU205" s="45" t="n"/>
      <c r="AV205" s="45" t="n"/>
      <c r="AW205" s="45" t="n"/>
      <c r="AX205" s="45" t="n"/>
      <c r="AY205" s="45" t="n"/>
      <c r="AZ205" s="45" t="n"/>
      <c r="BA205" s="45" t="n"/>
      <c r="BB205" s="45" t="n"/>
      <c r="BC205" s="45" t="n"/>
      <c r="BD205" s="45" t="n"/>
      <c r="BE205" s="45" t="n"/>
      <c r="BF205" s="45" t="n"/>
      <c r="BG205" s="45" t="n"/>
      <c r="BH205" s="45" t="n"/>
      <c r="BI205" s="45" t="n"/>
      <c r="BJ205" s="45" t="n"/>
      <c r="BK205" s="45" t="n"/>
      <c r="BL205" s="45" t="n"/>
      <c r="BM205" s="45" t="n"/>
      <c r="BN205" s="45" t="n"/>
      <c r="BO205" s="45" t="n"/>
      <c r="BP205" s="45" t="n"/>
      <c r="BQ205" s="45" t="n"/>
      <c r="BR205" s="45" t="n"/>
      <c r="BS205" s="45" t="n"/>
      <c r="BT205" s="45" t="n"/>
      <c r="BU205" s="45" t="n"/>
      <c r="BV205" s="982" t="n"/>
      <c r="BW205" s="45" t="n"/>
      <c r="BX205" s="45" t="n"/>
      <c r="BY205" s="45" t="n"/>
      <c r="BZ205" s="45" t="n"/>
      <c r="CA205" s="45" t="n"/>
      <c r="CB205" s="45" t="n"/>
      <c r="CC205" s="45" t="n"/>
      <c r="CD205" s="45" t="n"/>
      <c r="CE205" s="45" t="n"/>
      <c r="CF205" s="45" t="n"/>
      <c r="CG205" s="155" t="n"/>
    </row>
    <row r="206" hidden="1" outlineLevel="1">
      <c r="A206" s="600" t="inlineStr">
        <is>
          <t>YTD Deferred Revenue Balance at beginning of period, mm</t>
        </is>
      </c>
      <c r="B206" s="633" t="n"/>
      <c r="C206" s="1125" t="n"/>
      <c r="D206" s="1125" t="n"/>
      <c r="E206" s="1125" t="n"/>
      <c r="F206" s="1125" t="n"/>
      <c r="G206" s="63" t="n"/>
      <c r="H206" s="63" t="n"/>
      <c r="I206" s="63" t="n"/>
      <c r="J206" s="63" t="n"/>
      <c r="K206" s="1125" t="n"/>
      <c r="L206" s="63" t="n"/>
      <c r="M206" s="63" t="n"/>
      <c r="N206" s="63" t="n"/>
      <c r="O206" s="63" t="n"/>
      <c r="P206" s="1125" t="n"/>
      <c r="Q206" s="63" t="n"/>
      <c r="R206" s="63" t="n"/>
      <c r="S206" s="63" t="n"/>
      <c r="T206" s="63" t="n"/>
      <c r="U206" s="1125" t="n"/>
      <c r="V206" s="63" t="n"/>
      <c r="W206" s="63" t="n"/>
      <c r="X206" s="63" t="n"/>
      <c r="Y206" s="63" t="n"/>
      <c r="Z206" s="1125" t="n"/>
      <c r="AA206" s="63" t="n"/>
      <c r="AB206" s="63" t="n"/>
      <c r="AC206" s="63" t="n"/>
      <c r="AD206" s="63" t="n"/>
      <c r="AE206" s="1125" t="n"/>
      <c r="AF206" s="63" t="n"/>
      <c r="AG206" s="63" t="n"/>
      <c r="AH206" s="63" t="n"/>
      <c r="AI206" s="63" t="n"/>
      <c r="AJ206" s="1125" t="n"/>
      <c r="AK206" s="1062" t="n">
        <v>63</v>
      </c>
      <c r="AL206" s="63">
        <f>AK206</f>
        <v/>
      </c>
      <c r="AM206" s="63">
        <f>AL206</f>
        <v/>
      </c>
      <c r="AN206" s="63">
        <f>AM206</f>
        <v/>
      </c>
      <c r="AO206" s="1125">
        <f>AN206</f>
        <v/>
      </c>
      <c r="AP206" s="1062" t="n">
        <v>138</v>
      </c>
      <c r="AQ206" s="63">
        <f>AP206</f>
        <v/>
      </c>
      <c r="AR206" s="63">
        <f>AP206</f>
        <v/>
      </c>
      <c r="AS206" s="63">
        <f>AP206</f>
        <v/>
      </c>
      <c r="AT206" s="1125">
        <f>AP206</f>
        <v/>
      </c>
      <c r="AU206" s="63">
        <f>AT210</f>
        <v/>
      </c>
      <c r="AV206" s="63">
        <f>AU206</f>
        <v/>
      </c>
      <c r="AW206" s="63">
        <f>AV206</f>
        <v/>
      </c>
      <c r="AX206" s="63">
        <f>AW206</f>
        <v/>
      </c>
      <c r="AY206" s="1125">
        <f>AU206</f>
        <v/>
      </c>
      <c r="AZ206" s="63">
        <f>AY210</f>
        <v/>
      </c>
      <c r="BA206" s="63">
        <f>AZ206</f>
        <v/>
      </c>
      <c r="BB206" s="63">
        <f>BA206</f>
        <v/>
      </c>
      <c r="BC206" s="63">
        <f>BB206</f>
        <v/>
      </c>
      <c r="BD206" s="1125">
        <f>AZ206</f>
        <v/>
      </c>
      <c r="BE206" s="1062" t="n">
        <v>502</v>
      </c>
      <c r="BF206" s="63">
        <f>BD210</f>
        <v/>
      </c>
      <c r="BG206" s="1062" t="n">
        <v>502</v>
      </c>
      <c r="BH206" s="63">
        <f>BG206</f>
        <v/>
      </c>
      <c r="BI206" s="1125">
        <f>BE206</f>
        <v/>
      </c>
      <c r="BJ206" s="63">
        <f>BI210</f>
        <v/>
      </c>
      <c r="BK206" s="63">
        <f>BI210</f>
        <v/>
      </c>
      <c r="BL206" s="1062" t="n">
        <v>572</v>
      </c>
      <c r="BM206" s="63">
        <f>BL206</f>
        <v/>
      </c>
      <c r="BN206" s="1125">
        <f>BJ206</f>
        <v/>
      </c>
      <c r="BO206" s="63">
        <f>BN210</f>
        <v/>
      </c>
      <c r="BP206" s="63">
        <f>BN210</f>
        <v/>
      </c>
      <c r="BQ206" s="63">
        <f>BN210</f>
        <v/>
      </c>
      <c r="BR206" s="63">
        <f>BQ206</f>
        <v/>
      </c>
      <c r="BS206" s="1125">
        <f>BO206</f>
        <v/>
      </c>
      <c r="BT206" s="63">
        <f>BS210</f>
        <v/>
      </c>
      <c r="BU206" s="63">
        <f>BS210</f>
        <v/>
      </c>
      <c r="BV206" s="587">
        <f>BS210</f>
        <v/>
      </c>
      <c r="BW206" s="63" t="n"/>
      <c r="BX206" s="1125" t="n"/>
      <c r="BY206" s="63" t="n"/>
      <c r="BZ206" s="63" t="n"/>
      <c r="CA206" s="63" t="n"/>
      <c r="CB206" s="63" t="n"/>
      <c r="CC206" s="1125" t="n"/>
      <c r="CD206" s="1125" t="n"/>
      <c r="CE206" s="1125" t="n"/>
      <c r="CF206" s="1125" t="n"/>
      <c r="CG206" s="155" t="n"/>
    </row>
    <row r="207" hidden="1" outlineLevel="1">
      <c r="A207" s="99" t="inlineStr">
        <is>
          <t>YTD Deferred Revenue added during the period, mm</t>
        </is>
      </c>
      <c r="B207" s="602" t="n"/>
      <c r="C207" s="1110" t="n"/>
      <c r="D207" s="1110" t="n"/>
      <c r="E207" s="1110" t="n"/>
      <c r="F207" s="1110" t="n"/>
      <c r="G207" s="68" t="n"/>
      <c r="H207" s="68" t="n"/>
      <c r="I207" s="68" t="n"/>
      <c r="J207" s="68" t="n"/>
      <c r="K207" s="1110" t="n"/>
      <c r="L207" s="68" t="n"/>
      <c r="M207" s="68" t="n"/>
      <c r="N207" s="68" t="n"/>
      <c r="O207" s="68" t="n"/>
      <c r="P207" s="1110" t="n"/>
      <c r="Q207" s="68" t="n"/>
      <c r="R207" s="68" t="n"/>
      <c r="S207" s="68" t="n"/>
      <c r="T207" s="68" t="n"/>
      <c r="U207" s="1110" t="n"/>
      <c r="V207" s="68" t="n"/>
      <c r="W207" s="68" t="n"/>
      <c r="X207" s="68" t="n"/>
      <c r="Y207" s="68" t="n"/>
      <c r="Z207" s="1110" t="n"/>
      <c r="AA207" s="68" t="n"/>
      <c r="AB207" s="68" t="n"/>
      <c r="AC207" s="68" t="n"/>
      <c r="AD207" s="68" t="n"/>
      <c r="AE207" s="1110" t="n"/>
      <c r="AF207" s="68" t="n"/>
      <c r="AG207" s="68" t="n"/>
      <c r="AH207" s="68" t="n"/>
      <c r="AI207" s="68" t="n"/>
      <c r="AJ207" s="1110" t="n"/>
      <c r="AK207" s="1053" t="n">
        <v>86</v>
      </c>
      <c r="AL207" s="1053" t="n">
        <v>194</v>
      </c>
      <c r="AM207" s="1053" t="n">
        <v>271</v>
      </c>
      <c r="AN207" s="68">
        <f>AO207</f>
        <v/>
      </c>
      <c r="AO207" s="1111" t="n">
        <v>344</v>
      </c>
      <c r="AP207" s="1053" t="n">
        <v>49</v>
      </c>
      <c r="AQ207" s="1053" t="n">
        <v>161</v>
      </c>
      <c r="AR207" s="1053" t="n">
        <v>237</v>
      </c>
      <c r="AS207" s="68">
        <f>AT207</f>
        <v/>
      </c>
      <c r="AT207" s="1111" t="n">
        <v>334</v>
      </c>
      <c r="AU207" s="1053" t="n">
        <v>110</v>
      </c>
      <c r="AV207" s="1053" t="n">
        <v>213</v>
      </c>
      <c r="AW207" s="1053" t="n">
        <v>361</v>
      </c>
      <c r="AX207" s="68">
        <f>AY207</f>
        <v/>
      </c>
      <c r="AY207" s="1111" t="n">
        <v>536</v>
      </c>
      <c r="AZ207" s="1053" t="n">
        <v>178</v>
      </c>
      <c r="BA207" s="1053" t="n">
        <v>401</v>
      </c>
      <c r="BB207" s="1053" t="n">
        <v>621</v>
      </c>
      <c r="BC207" s="68">
        <f>BD207</f>
        <v/>
      </c>
      <c r="BD207" s="1111" t="n">
        <v>821</v>
      </c>
      <c r="BE207" s="1053" t="n">
        <v>212</v>
      </c>
      <c r="BF207" s="1053" t="n">
        <v>399</v>
      </c>
      <c r="BG207" s="1053" t="n">
        <v>577</v>
      </c>
      <c r="BH207" s="68">
        <f>BI207</f>
        <v/>
      </c>
      <c r="BI207" s="1111" t="n">
        <v>830</v>
      </c>
      <c r="BJ207" s="1053" t="n">
        <v>287</v>
      </c>
      <c r="BK207" s="1053" t="n">
        <v>713</v>
      </c>
      <c r="BL207" s="1053" t="n">
        <v>1269</v>
      </c>
      <c r="BM207" s="68">
        <f>BN207</f>
        <v/>
      </c>
      <c r="BN207" s="1111" t="n">
        <v>2038</v>
      </c>
      <c r="BO207" s="1053" t="n">
        <v>553</v>
      </c>
      <c r="BP207" s="1053" t="n">
        <v>1478</v>
      </c>
      <c r="BQ207" s="1053" t="n">
        <v>2115</v>
      </c>
      <c r="BR207" s="68">
        <f>BS207</f>
        <v/>
      </c>
      <c r="BS207" s="1111" t="n">
        <v>5083</v>
      </c>
      <c r="BT207" s="1053" t="n">
        <v>6493</v>
      </c>
      <c r="BU207" s="1053" t="n">
        <v>8275</v>
      </c>
      <c r="BV207" s="1054" t="n">
        <v>9785</v>
      </c>
      <c r="BW207" s="68" t="n"/>
      <c r="BX207" s="1110" t="n"/>
      <c r="BY207" s="68" t="n"/>
      <c r="BZ207" s="68" t="n"/>
      <c r="CA207" s="68" t="n"/>
      <c r="CB207" s="68" t="n"/>
      <c r="CC207" s="1110" t="n"/>
      <c r="CD207" s="1110" t="n"/>
      <c r="CE207" s="1110" t="n"/>
      <c r="CF207" s="1110" t="n"/>
      <c r="CG207" s="155" t="n"/>
    </row>
    <row r="208" hidden="1" outlineLevel="1">
      <c r="A208" s="99" t="inlineStr">
        <is>
          <t>YTD Addition due to business combinations, mm</t>
        </is>
      </c>
      <c r="B208" s="602" t="n"/>
      <c r="C208" s="1110" t="n"/>
      <c r="D208" s="1110" t="n"/>
      <c r="E208" s="1110" t="n"/>
      <c r="F208" s="1110" t="n"/>
      <c r="G208" s="68" t="n"/>
      <c r="H208" s="68" t="n"/>
      <c r="I208" s="68" t="n"/>
      <c r="J208" s="68" t="n"/>
      <c r="K208" s="1110" t="n"/>
      <c r="L208" s="68" t="n"/>
      <c r="M208" s="68" t="n"/>
      <c r="N208" s="68" t="n"/>
      <c r="O208" s="68" t="n"/>
      <c r="P208" s="1110" t="n"/>
      <c r="Q208" s="68" t="n"/>
      <c r="R208" s="68" t="n"/>
      <c r="S208" s="68" t="n"/>
      <c r="T208" s="68" t="n"/>
      <c r="U208" s="1110" t="n"/>
      <c r="V208" s="68" t="n"/>
      <c r="W208" s="68" t="n"/>
      <c r="X208" s="68" t="n"/>
      <c r="Y208" s="68" t="n"/>
      <c r="Z208" s="1110" t="n"/>
      <c r="AA208" s="68" t="n"/>
      <c r="AB208" s="68" t="n"/>
      <c r="AC208" s="68" t="n"/>
      <c r="AD208" s="68" t="n"/>
      <c r="AE208" s="1110" t="n"/>
      <c r="AF208" s="68" t="n"/>
      <c r="AG208" s="68" t="n"/>
      <c r="AH208" s="68" t="n"/>
      <c r="AI208" s="68" t="n"/>
      <c r="AJ208" s="1110" t="n"/>
      <c r="AK208" s="68" t="n"/>
      <c r="AL208" s="68" t="n"/>
      <c r="AM208" s="68" t="n"/>
      <c r="AN208" s="68">
        <f>AO208</f>
        <v/>
      </c>
      <c r="AO208" s="1110" t="n"/>
      <c r="AP208" s="68" t="n"/>
      <c r="AQ208" s="68" t="n"/>
      <c r="AR208" s="68" t="n"/>
      <c r="AS208" s="68" t="n"/>
      <c r="AT208" s="1110" t="n"/>
      <c r="AU208" s="68" t="n"/>
      <c r="AV208" s="1053" t="n">
        <v>75</v>
      </c>
      <c r="AW208" s="1053" t="n">
        <v>75</v>
      </c>
      <c r="AX208" s="68">
        <f>AY208</f>
        <v/>
      </c>
      <c r="AY208" s="1111" t="n">
        <v>75</v>
      </c>
      <c r="AZ208" s="68" t="n"/>
      <c r="BA208" s="68" t="n"/>
      <c r="BB208" s="68" t="n"/>
      <c r="BC208" s="68">
        <f>BD208</f>
        <v/>
      </c>
      <c r="BD208" s="1111" t="n">
        <v>8</v>
      </c>
      <c r="BE208" s="68" t="n"/>
      <c r="BF208" s="68" t="n"/>
      <c r="BG208" s="68" t="n"/>
      <c r="BH208" s="68">
        <f>BI208</f>
        <v/>
      </c>
      <c r="BI208" s="1111" t="n">
        <v>0</v>
      </c>
      <c r="BJ208" s="68" t="n"/>
      <c r="BK208" s="68" t="n"/>
      <c r="BL208" s="68" t="n"/>
      <c r="BM208" s="68">
        <f>BN208</f>
        <v/>
      </c>
      <c r="BN208" s="1110" t="n"/>
      <c r="BO208" s="68" t="n"/>
      <c r="BP208" s="68" t="n"/>
      <c r="BQ208" s="68" t="n"/>
      <c r="BR208" s="68">
        <f>BS208</f>
        <v/>
      </c>
      <c r="BS208" s="1110" t="n"/>
      <c r="BT208" s="68" t="n"/>
      <c r="BU208" s="68" t="n"/>
      <c r="BV208" s="588" t="n"/>
      <c r="BW208" s="68" t="n"/>
      <c r="BX208" s="1110" t="n"/>
      <c r="BY208" s="68" t="n"/>
      <c r="BZ208" s="68" t="n"/>
      <c r="CA208" s="68" t="n"/>
      <c r="CB208" s="68" t="n"/>
      <c r="CC208" s="1110" t="n"/>
      <c r="CD208" s="1110" t="n"/>
      <c r="CE208" s="1110" t="n"/>
      <c r="CF208" s="1110" t="n"/>
      <c r="CG208" s="155" t="n"/>
    </row>
    <row r="209" hidden="1" outlineLevel="1">
      <c r="A209" s="99" t="inlineStr">
        <is>
          <t>YTD Revenue recognized during the period, mm</t>
        </is>
      </c>
      <c r="B209" s="602" t="n"/>
      <c r="C209" s="1110" t="n"/>
      <c r="D209" s="1110" t="n"/>
      <c r="E209" s="1110" t="n"/>
      <c r="F209" s="1110" t="n"/>
      <c r="G209" s="68" t="n"/>
      <c r="H209" s="68" t="n"/>
      <c r="I209" s="68" t="n"/>
      <c r="J209" s="68" t="n"/>
      <c r="K209" s="1110" t="n"/>
      <c r="L209" s="68" t="n"/>
      <c r="M209" s="68" t="n"/>
      <c r="N209" s="68" t="n"/>
      <c r="O209" s="68" t="n"/>
      <c r="P209" s="1110" t="n"/>
      <c r="Q209" s="68" t="n"/>
      <c r="R209" s="68" t="n"/>
      <c r="S209" s="68" t="n"/>
      <c r="T209" s="68" t="n"/>
      <c r="U209" s="1110" t="n"/>
      <c r="V209" s="68" t="n"/>
      <c r="W209" s="68" t="n"/>
      <c r="X209" s="68" t="n"/>
      <c r="Y209" s="68" t="n"/>
      <c r="Z209" s="1110" t="n"/>
      <c r="AA209" s="68" t="n"/>
      <c r="AB209" s="68" t="n"/>
      <c r="AC209" s="68" t="n"/>
      <c r="AD209" s="68" t="n"/>
      <c r="AE209" s="1110" t="n"/>
      <c r="AF209" s="68" t="n"/>
      <c r="AG209" s="68" t="n"/>
      <c r="AH209" s="68" t="n"/>
      <c r="AI209" s="68" t="n"/>
      <c r="AJ209" s="1110" t="n"/>
      <c r="AK209" s="1053" t="n">
        <v>-75</v>
      </c>
      <c r="AL209" s="1053" t="n">
        <v>-153</v>
      </c>
      <c r="AM209" s="1053" t="n">
        <v>-214</v>
      </c>
      <c r="AN209" s="68">
        <f>AO209</f>
        <v/>
      </c>
      <c r="AO209" s="1111" t="n">
        <v>-269</v>
      </c>
      <c r="AP209" s="1053" t="n">
        <v>-53</v>
      </c>
      <c r="AQ209" s="1053" t="n">
        <v>-118</v>
      </c>
      <c r="AR209" s="1053" t="n">
        <v>-199</v>
      </c>
      <c r="AS209" s="68">
        <f>AT209</f>
        <v/>
      </c>
      <c r="AT209" s="1111" t="n">
        <v>-271</v>
      </c>
      <c r="AU209" s="1053" t="n">
        <v>-70</v>
      </c>
      <c r="AV209" s="1053" t="n">
        <v>-147</v>
      </c>
      <c r="AW209" s="1053" t="n">
        <v>-255</v>
      </c>
      <c r="AX209" s="68">
        <f>AY209</f>
        <v/>
      </c>
      <c r="AY209" s="1111" t="n">
        <v>-361</v>
      </c>
      <c r="AZ209" s="1053" t="n">
        <v>-123</v>
      </c>
      <c r="BA209" s="1053" t="n">
        <v>-362</v>
      </c>
      <c r="BB209" s="1053" t="n">
        <v>-583</v>
      </c>
      <c r="BC209" s="68">
        <f>BD209</f>
        <v/>
      </c>
      <c r="BD209" s="1111" t="n">
        <v>-778</v>
      </c>
      <c r="BE209" s="1053" t="n">
        <v>-177</v>
      </c>
      <c r="BF209" s="1053" t="n">
        <v>-341</v>
      </c>
      <c r="BG209" s="1053" t="n">
        <v>-528</v>
      </c>
      <c r="BH209" s="68">
        <f>BI209</f>
        <v/>
      </c>
      <c r="BI209" s="1111" t="n">
        <v>-760</v>
      </c>
      <c r="BJ209" s="1053" t="n">
        <v>-262</v>
      </c>
      <c r="BK209" s="1053" t="n">
        <v>-556</v>
      </c>
      <c r="BL209" s="1053" t="n">
        <v>-903</v>
      </c>
      <c r="BM209" s="68">
        <f>BN209</f>
        <v/>
      </c>
      <c r="BN209" s="1111" t="n">
        <v>-1273</v>
      </c>
      <c r="BO209" s="1053" t="n">
        <v>-341</v>
      </c>
      <c r="BP209" s="1053" t="n">
        <v>-1094</v>
      </c>
      <c r="BQ209" s="1053" t="n">
        <v>-1867</v>
      </c>
      <c r="BR209" s="68">
        <f>BS209</f>
        <v/>
      </c>
      <c r="BS209" s="1111" t="n">
        <v>-4607</v>
      </c>
      <c r="BT209" s="1053" t="n">
        <v>-6228</v>
      </c>
      <c r="BU209" s="1053" t="n">
        <v>-8053</v>
      </c>
      <c r="BV209" s="1054" t="n">
        <v>-9185</v>
      </c>
      <c r="BW209" s="68" t="n"/>
      <c r="BX209" s="1110" t="n"/>
      <c r="BY209" s="68" t="n"/>
      <c r="BZ209" s="68" t="n"/>
      <c r="CA209" s="68" t="n"/>
      <c r="CB209" s="68" t="n"/>
      <c r="CC209" s="1110" t="n"/>
      <c r="CD209" s="1110" t="n"/>
      <c r="CE209" s="1110" t="n"/>
      <c r="CF209" s="1110" t="n"/>
      <c r="CG209" s="155" t="n"/>
    </row>
    <row r="210" hidden="1" outlineLevel="1">
      <c r="A210" s="631" t="inlineStr">
        <is>
          <t>YTD Deferred Revenue Balance at End of period, mm</t>
        </is>
      </c>
      <c r="B210" s="604" t="n"/>
      <c r="C210" s="1122" t="n"/>
      <c r="D210" s="1122" t="n"/>
      <c r="E210" s="1122" t="n"/>
      <c r="F210" s="1122" t="n"/>
      <c r="G210" s="61" t="n"/>
      <c r="H210" s="61" t="n"/>
      <c r="I210" s="61" t="n"/>
      <c r="J210" s="61" t="n"/>
      <c r="K210" s="1122" t="n"/>
      <c r="L210" s="61" t="n"/>
      <c r="M210" s="61" t="n"/>
      <c r="N210" s="61" t="n"/>
      <c r="O210" s="61" t="n"/>
      <c r="P210" s="1122" t="n"/>
      <c r="Q210" s="61" t="n"/>
      <c r="R210" s="61" t="n"/>
      <c r="S210" s="61" t="n"/>
      <c r="T210" s="61" t="n"/>
      <c r="U210" s="1122" t="n"/>
      <c r="V210" s="61" t="n"/>
      <c r="W210" s="61" t="n"/>
      <c r="X210" s="61" t="n"/>
      <c r="Y210" s="61" t="n"/>
      <c r="Z210" s="1122" t="n"/>
      <c r="AA210" s="61" t="n"/>
      <c r="AB210" s="61" t="n"/>
      <c r="AC210" s="61" t="n"/>
      <c r="AD210" s="61" t="n"/>
      <c r="AE210" s="1122" t="n"/>
      <c r="AF210" s="61" t="n"/>
      <c r="AG210" s="61" t="n"/>
      <c r="AH210" s="61" t="n"/>
      <c r="AI210" s="61" t="n"/>
      <c r="AJ210" s="1122" t="n"/>
      <c r="AK210" s="61">
        <f>SUM(AK206:AK209)</f>
        <v/>
      </c>
      <c r="AL210" s="61">
        <f>SUM(AL206:AL209)</f>
        <v/>
      </c>
      <c r="AM210" s="61">
        <f>SUM(AM206:AM209)</f>
        <v/>
      </c>
      <c r="AN210" s="61">
        <f>SUM(AN206:AN209)</f>
        <v/>
      </c>
      <c r="AO210" s="1122">
        <f>SUM(AO206:AO209)</f>
        <v/>
      </c>
      <c r="AP210" s="61">
        <f>SUM(AP206:AP209)</f>
        <v/>
      </c>
      <c r="AQ210" s="61">
        <f>SUM(AQ206:AQ209)</f>
        <v/>
      </c>
      <c r="AR210" s="61">
        <f>SUM(AR206:AR209)</f>
        <v/>
      </c>
      <c r="AS210" s="61">
        <f>SUM(AS206:AS209)</f>
        <v/>
      </c>
      <c r="AT210" s="1122">
        <f>SUM(AT206:AT209)</f>
        <v/>
      </c>
      <c r="AU210" s="61">
        <f>SUM(AU206:AU209)</f>
        <v/>
      </c>
      <c r="AV210" s="61">
        <f>SUM(AV206:AV209)</f>
        <v/>
      </c>
      <c r="AW210" s="61">
        <f>SUM(AW206:AW209)</f>
        <v/>
      </c>
      <c r="AX210" s="61">
        <f>SUM(AX206:AX209)</f>
        <v/>
      </c>
      <c r="AY210" s="1122">
        <f>SUM(AY206:AY209)</f>
        <v/>
      </c>
      <c r="AZ210" s="61">
        <f>SUM(AZ206:AZ209)</f>
        <v/>
      </c>
      <c r="BA210" s="61">
        <f>SUM(BA206:BA209)</f>
        <v/>
      </c>
      <c r="BB210" s="61">
        <f>SUM(BB206:BB209)</f>
        <v/>
      </c>
      <c r="BC210" s="61">
        <f>SUM(BC206:BC209)</f>
        <v/>
      </c>
      <c r="BD210" s="1122">
        <f>SUM(BD206:BD209)</f>
        <v/>
      </c>
      <c r="BE210" s="61">
        <f>SUM(BE206:BE209)</f>
        <v/>
      </c>
      <c r="BF210" s="61">
        <f>SUM(BF206:BF209)</f>
        <v/>
      </c>
      <c r="BG210" s="61">
        <f>SUM(BG206:BG209)</f>
        <v/>
      </c>
      <c r="BH210" s="61">
        <f>SUM(BH206:BH209)</f>
        <v/>
      </c>
      <c r="BI210" s="1122">
        <f>SUM(BI206:BI209)</f>
        <v/>
      </c>
      <c r="BJ210" s="61">
        <f>SUM(BJ206:BJ209)</f>
        <v/>
      </c>
      <c r="BK210" s="61">
        <f>SUM(BK206:BK209)</f>
        <v/>
      </c>
      <c r="BL210" s="61">
        <f>SUM(BL206:BL209)</f>
        <v/>
      </c>
      <c r="BM210" s="61">
        <f>SUM(BM206:BM209)</f>
        <v/>
      </c>
      <c r="BN210" s="1122">
        <f>SUM(BN206:BN209)</f>
        <v/>
      </c>
      <c r="BO210" s="61">
        <f>SUM(BO206:BO209)</f>
        <v/>
      </c>
      <c r="BP210" s="61">
        <f>SUM(BP206:BP209)</f>
        <v/>
      </c>
      <c r="BQ210" s="61">
        <f>SUM(BQ206:BQ209)</f>
        <v/>
      </c>
      <c r="BR210" s="61">
        <f>SUM(BR206:BR209)</f>
        <v/>
      </c>
      <c r="BS210" s="1122">
        <f>SUM(BS206:BS209)</f>
        <v/>
      </c>
      <c r="BT210" s="61">
        <f>SUM(BT206:BT209)</f>
        <v/>
      </c>
      <c r="BU210" s="61">
        <f>SUM(BU206:BU209)</f>
        <v/>
      </c>
      <c r="BV210" s="884">
        <f>SUM(BV206:BV209)</f>
        <v/>
      </c>
      <c r="BW210" s="61" t="n"/>
      <c r="BX210" s="1122" t="n"/>
      <c r="BY210" s="61" t="n"/>
      <c r="BZ210" s="61" t="n"/>
      <c r="CA210" s="61" t="n"/>
      <c r="CB210" s="61" t="n"/>
      <c r="CC210" s="1122" t="n"/>
      <c r="CD210" s="1122" t="n"/>
      <c r="CE210" s="1122" t="n"/>
      <c r="CF210" s="1122" t="n"/>
      <c r="CG210" s="155" t="n"/>
    </row>
    <row r="211" hidden="1" outlineLevel="1">
      <c r="A211" s="605" t="n"/>
      <c r="B211" s="606" t="n"/>
      <c r="C211" s="1134" t="n"/>
      <c r="D211" s="1134" t="n"/>
      <c r="E211" s="1134" t="n"/>
      <c r="F211" s="1134" t="n"/>
      <c r="G211" s="93" t="n"/>
      <c r="H211" s="93" t="n"/>
      <c r="I211" s="93" t="n"/>
      <c r="J211" s="93" t="n"/>
      <c r="K211" s="1134" t="n"/>
      <c r="L211" s="93" t="n"/>
      <c r="M211" s="93" t="n"/>
      <c r="N211" s="93" t="n"/>
      <c r="O211" s="93" t="n"/>
      <c r="P211" s="1134" t="n"/>
      <c r="Q211" s="93" t="n"/>
      <c r="R211" s="93" t="n"/>
      <c r="S211" s="93" t="n"/>
      <c r="T211" s="93" t="n"/>
      <c r="U211" s="1134" t="n"/>
      <c r="V211" s="93" t="n"/>
      <c r="W211" s="93" t="n"/>
      <c r="X211" s="93" t="n"/>
      <c r="Y211" s="93" t="n"/>
      <c r="Z211" s="1134" t="n"/>
      <c r="AA211" s="93" t="n"/>
      <c r="AB211" s="93" t="n"/>
      <c r="AC211" s="93" t="n"/>
      <c r="AD211" s="93" t="n"/>
      <c r="AE211" s="1134" t="n"/>
      <c r="AF211" s="93" t="n"/>
      <c r="AG211" s="93" t="n"/>
      <c r="AH211" s="93" t="n"/>
      <c r="AI211" s="93" t="n"/>
      <c r="AJ211" s="1134" t="n"/>
      <c r="AK211" s="93" t="n"/>
      <c r="AL211" s="93" t="n"/>
      <c r="AM211" s="93" t="n"/>
      <c r="AN211" s="93" t="n"/>
      <c r="AO211" s="1134" t="n"/>
      <c r="AP211" s="93" t="n"/>
      <c r="AQ211" s="93" t="n"/>
      <c r="AR211" s="93" t="n"/>
      <c r="AS211" s="93" t="n"/>
      <c r="AT211" s="1134" t="n"/>
      <c r="AU211" s="93" t="n"/>
      <c r="AV211" s="93" t="n"/>
      <c r="AW211" s="93" t="n"/>
      <c r="AX211" s="93" t="n"/>
      <c r="AY211" s="1134" t="n"/>
      <c r="AZ211" s="93" t="n"/>
      <c r="BA211" s="93" t="n"/>
      <c r="BB211" s="93" t="n"/>
      <c r="BC211" s="93" t="n"/>
      <c r="BD211" s="1134" t="n"/>
      <c r="BE211" s="93" t="n"/>
      <c r="BF211" s="93" t="n"/>
      <c r="BG211" s="93" t="n"/>
      <c r="BH211" s="93" t="n"/>
      <c r="BI211" s="1134" t="n"/>
      <c r="BJ211" s="93" t="n"/>
      <c r="BK211" s="93" t="n"/>
      <c r="BL211" s="93" t="n"/>
      <c r="BM211" s="93" t="n"/>
      <c r="BN211" s="1134" t="n"/>
      <c r="BO211" s="93" t="n"/>
      <c r="BP211" s="93" t="n"/>
      <c r="BQ211" s="93" t="n"/>
      <c r="BR211" s="93" t="n"/>
      <c r="BS211" s="1134" t="n"/>
      <c r="BT211" s="93" t="n"/>
      <c r="BU211" s="93" t="n"/>
      <c r="BV211" s="522" t="n"/>
      <c r="BW211" s="93" t="n"/>
      <c r="BX211" s="1134" t="n"/>
      <c r="BY211" s="93" t="n"/>
      <c r="BZ211" s="93" t="n"/>
      <c r="CA211" s="93" t="n"/>
      <c r="CB211" s="93" t="n"/>
      <c r="CC211" s="1134" t="n"/>
      <c r="CD211" s="1134" t="n"/>
      <c r="CE211" s="1134" t="n"/>
      <c r="CF211" s="1134" t="n"/>
      <c r="CG211" s="155" t="n"/>
    </row>
    <row r="212" hidden="1" outlineLevel="1" customFormat="1" s="227">
      <c r="A212" s="636" t="inlineStr">
        <is>
          <t>Change in Deferred Revenue Balance, mm</t>
        </is>
      </c>
      <c r="B212" s="602" t="n"/>
      <c r="C212" s="1110" t="n"/>
      <c r="D212" s="1110" t="n"/>
      <c r="E212" s="1110" t="n"/>
      <c r="F212" s="1110" t="n"/>
      <c r="G212" s="68" t="n"/>
      <c r="H212" s="68" t="n"/>
      <c r="I212" s="68" t="n"/>
      <c r="J212" s="68" t="n"/>
      <c r="K212" s="1110" t="n"/>
      <c r="L212" s="68" t="n"/>
      <c r="M212" s="68" t="n"/>
      <c r="N212" s="68" t="n"/>
      <c r="O212" s="68" t="n"/>
      <c r="P212" s="1110" t="n"/>
      <c r="Q212" s="68" t="n"/>
      <c r="R212" s="68" t="n"/>
      <c r="S212" s="68" t="n"/>
      <c r="T212" s="68" t="n"/>
      <c r="U212" s="1110" t="n"/>
      <c r="V212" s="68" t="n"/>
      <c r="W212" s="68" t="n"/>
      <c r="X212" s="68" t="n"/>
      <c r="Y212" s="68" t="n"/>
      <c r="Z212" s="1110" t="n"/>
      <c r="AA212" s="68" t="n"/>
      <c r="AB212" s="68" t="n"/>
      <c r="AC212" s="68" t="n"/>
      <c r="AD212" s="68" t="n"/>
      <c r="AE212" s="1110" t="n"/>
      <c r="AF212" s="68" t="n"/>
      <c r="AG212" s="68" t="n"/>
      <c r="AH212" s="68" t="n"/>
      <c r="AI212" s="68" t="n"/>
      <c r="AJ212" s="1110" t="n"/>
      <c r="AK212" s="68" t="n"/>
      <c r="AL212" s="68">
        <f>AL210-AK210</f>
        <v/>
      </c>
      <c r="AM212" s="68">
        <f>AM210-AL210</f>
        <v/>
      </c>
      <c r="AN212" s="68">
        <f>AN210-AM210</f>
        <v/>
      </c>
      <c r="AO212" s="1110" t="n"/>
      <c r="AP212" s="68">
        <f>AP210-AN210</f>
        <v/>
      </c>
      <c r="AQ212" s="68">
        <f>AQ210-AP210</f>
        <v/>
      </c>
      <c r="AR212" s="68">
        <f>AR210-AQ210</f>
        <v/>
      </c>
      <c r="AS212" s="68">
        <f>AS210-AR210</f>
        <v/>
      </c>
      <c r="AT212" s="1110">
        <f>AT210-AO210</f>
        <v/>
      </c>
      <c r="AU212" s="68">
        <f>AU210-AS210</f>
        <v/>
      </c>
      <c r="AV212" s="68">
        <f>AV210-AU210</f>
        <v/>
      </c>
      <c r="AW212" s="68">
        <f>AW210-AV210</f>
        <v/>
      </c>
      <c r="AX212" s="68">
        <f>AX210-AW210</f>
        <v/>
      </c>
      <c r="AY212" s="1110">
        <f>AY210-AT210</f>
        <v/>
      </c>
      <c r="AZ212" s="68">
        <f>AZ210-AX210</f>
        <v/>
      </c>
      <c r="BA212" s="68">
        <f>BA210-AZ210</f>
        <v/>
      </c>
      <c r="BB212" s="68">
        <f>BB210-BA210</f>
        <v/>
      </c>
      <c r="BC212" s="68">
        <f>BC210-BB210</f>
        <v/>
      </c>
      <c r="BD212" s="1110">
        <f>BD210-AY210</f>
        <v/>
      </c>
      <c r="BE212" s="68">
        <f>BE210-BC210</f>
        <v/>
      </c>
      <c r="BF212" s="68">
        <f>BF210-BE210</f>
        <v/>
      </c>
      <c r="BG212" s="68">
        <f>BG210-BF210</f>
        <v/>
      </c>
      <c r="BH212" s="68">
        <f>BH210-BG210</f>
        <v/>
      </c>
      <c r="BI212" s="1110">
        <f>BI210-BD210</f>
        <v/>
      </c>
      <c r="BJ212" s="68">
        <f>BJ210-BH210</f>
        <v/>
      </c>
      <c r="BK212" s="68">
        <f>BK210-BJ210</f>
        <v/>
      </c>
      <c r="BL212" s="68">
        <f>BL210-BK210</f>
        <v/>
      </c>
      <c r="BM212" s="68">
        <f>BM210-BL210</f>
        <v/>
      </c>
      <c r="BN212" s="1110">
        <f>BN210-BI210</f>
        <v/>
      </c>
      <c r="BO212" s="68">
        <f>BO210-BM210</f>
        <v/>
      </c>
      <c r="BP212" s="68">
        <f>BP210-BO210</f>
        <v/>
      </c>
      <c r="BQ212" s="68">
        <f>BQ210-BP210</f>
        <v/>
      </c>
      <c r="BR212" s="68">
        <f>BR210-BQ210</f>
        <v/>
      </c>
      <c r="BS212" s="1110">
        <f>BS210-BN210</f>
        <v/>
      </c>
      <c r="BT212" s="68">
        <f>BT210-BR210</f>
        <v/>
      </c>
      <c r="BU212" s="68">
        <f>BU210-BT210</f>
        <v/>
      </c>
      <c r="BV212" s="588">
        <f>BV210-BU210</f>
        <v/>
      </c>
      <c r="BW212" s="68" t="n"/>
      <c r="BX212" s="1110" t="n"/>
      <c r="BY212" s="68" t="n"/>
      <c r="BZ212" s="68" t="n"/>
      <c r="CA212" s="68" t="n"/>
      <c r="CB212" s="68" t="n"/>
      <c r="CC212" s="1110" t="n"/>
      <c r="CD212" s="1110" t="n"/>
      <c r="CE212" s="1110" t="n"/>
      <c r="CF212" s="1110" t="n"/>
      <c r="CG212" s="27" t="n"/>
    </row>
    <row r="213" hidden="1" outlineLevel="1">
      <c r="A213" s="605" t="n"/>
      <c r="B213" s="606" t="n"/>
      <c r="C213" s="1134" t="n"/>
      <c r="D213" s="1134" t="n"/>
      <c r="E213" s="1134" t="n"/>
      <c r="F213" s="1134" t="n"/>
      <c r="G213" s="93" t="n"/>
      <c r="H213" s="93" t="n"/>
      <c r="I213" s="93" t="n"/>
      <c r="J213" s="93" t="n"/>
      <c r="K213" s="1134" t="n"/>
      <c r="L213" s="93" t="n"/>
      <c r="M213" s="93" t="n"/>
      <c r="N213" s="93" t="n"/>
      <c r="O213" s="93" t="n"/>
      <c r="P213" s="1134" t="n"/>
      <c r="Q213" s="93" t="n"/>
      <c r="R213" s="93" t="n"/>
      <c r="S213" s="93" t="n"/>
      <c r="T213" s="93" t="n"/>
      <c r="U213" s="1134" t="n"/>
      <c r="V213" s="93" t="n"/>
      <c r="W213" s="93" t="n"/>
      <c r="X213" s="93" t="n"/>
      <c r="Y213" s="93" t="n"/>
      <c r="Z213" s="1134" t="n"/>
      <c r="AA213" s="93" t="n"/>
      <c r="AB213" s="93" t="n"/>
      <c r="AC213" s="93" t="n"/>
      <c r="AD213" s="93" t="n"/>
      <c r="AE213" s="1134" t="n"/>
      <c r="AF213" s="93" t="n"/>
      <c r="AG213" s="93" t="n"/>
      <c r="AH213" s="93" t="n"/>
      <c r="AI213" s="93" t="n"/>
      <c r="AJ213" s="1134" t="n"/>
      <c r="AK213" s="93" t="n"/>
      <c r="AL213" s="93" t="n"/>
      <c r="AM213" s="93" t="n"/>
      <c r="AN213" s="93" t="n"/>
      <c r="AO213" s="1134" t="n"/>
      <c r="AP213" s="93" t="n"/>
      <c r="AQ213" s="93" t="n"/>
      <c r="AR213" s="93" t="n"/>
      <c r="AS213" s="93" t="n"/>
      <c r="AT213" s="1134" t="n"/>
      <c r="AU213" s="93" t="n"/>
      <c r="AV213" s="93" t="n"/>
      <c r="AW213" s="93" t="n"/>
      <c r="AX213" s="93" t="n"/>
      <c r="AY213" s="1134" t="n"/>
      <c r="AZ213" s="93" t="n"/>
      <c r="BA213" s="93" t="n"/>
      <c r="BB213" s="93" t="n"/>
      <c r="BC213" s="93" t="n"/>
      <c r="BD213" s="1134" t="n"/>
      <c r="BE213" s="93" t="n"/>
      <c r="BF213" s="93" t="n"/>
      <c r="BG213" s="93" t="n"/>
      <c r="BH213" s="93" t="n"/>
      <c r="BI213" s="1134" t="n"/>
      <c r="BJ213" s="93" t="n"/>
      <c r="BK213" s="93" t="n"/>
      <c r="BL213" s="93" t="n"/>
      <c r="BM213" s="93" t="n"/>
      <c r="BN213" s="1134" t="n"/>
      <c r="BO213" s="93" t="n"/>
      <c r="BP213" s="93" t="n"/>
      <c r="BQ213" s="93" t="n"/>
      <c r="BR213" s="93" t="n"/>
      <c r="BS213" s="1134" t="n"/>
      <c r="BT213" s="93" t="n"/>
      <c r="BU213" s="93" t="n"/>
      <c r="BV213" s="522" t="n"/>
      <c r="BW213" s="93" t="n"/>
      <c r="BX213" s="1134" t="n"/>
      <c r="BY213" s="93" t="n"/>
      <c r="BZ213" s="93" t="n"/>
      <c r="CA213" s="93" t="n"/>
      <c r="CB213" s="93" t="n"/>
      <c r="CC213" s="1134" t="n"/>
      <c r="CD213" s="1134" t="n"/>
      <c r="CE213" s="1134" t="n"/>
      <c r="CF213" s="1134" t="n"/>
      <c r="CG213" s="155" t="n"/>
    </row>
    <row r="214" hidden="1" outlineLevel="1">
      <c r="A214" s="99" t="inlineStr">
        <is>
          <t>Current RPOs, mm</t>
        </is>
      </c>
      <c r="B214" s="602" t="n"/>
      <c r="C214" s="1110" t="n"/>
      <c r="D214" s="1110" t="n"/>
      <c r="E214" s="1110" t="n"/>
      <c r="F214" s="1110" t="n"/>
      <c r="G214" s="68" t="n"/>
      <c r="H214" s="68" t="n"/>
      <c r="I214" s="68" t="n"/>
      <c r="J214" s="68" t="n"/>
      <c r="K214" s="1110" t="n"/>
      <c r="L214" s="68" t="n"/>
      <c r="M214" s="68" t="n"/>
      <c r="N214" s="68" t="n"/>
      <c r="O214" s="68" t="n"/>
      <c r="P214" s="1110" t="n"/>
      <c r="Q214" s="68" t="n"/>
      <c r="R214" s="68" t="n"/>
      <c r="S214" s="68" t="n"/>
      <c r="T214" s="68" t="n"/>
      <c r="U214" s="1110" t="n"/>
      <c r="V214" s="68" t="n"/>
      <c r="W214" s="68" t="n"/>
      <c r="X214" s="68" t="n"/>
      <c r="Y214" s="68" t="n"/>
      <c r="Z214" s="1110" t="n"/>
      <c r="AA214" s="68" t="n"/>
      <c r="AB214" s="68" t="n"/>
      <c r="AC214" s="68" t="n"/>
      <c r="AD214" s="68" t="n"/>
      <c r="AE214" s="1110" t="n"/>
      <c r="AF214" s="68" t="n"/>
      <c r="AG214" s="68" t="n"/>
      <c r="AH214" s="68" t="n"/>
      <c r="AI214" s="68" t="n"/>
      <c r="AJ214" s="1110" t="n"/>
      <c r="AK214" s="68">
        <f>AK216*AK218</f>
        <v/>
      </c>
      <c r="AL214" s="68">
        <f>AL216*AL218</f>
        <v/>
      </c>
      <c r="AM214" s="68">
        <f>AM216*AM218</f>
        <v/>
      </c>
      <c r="AN214" s="68">
        <f>AN216*AN218</f>
        <v/>
      </c>
      <c r="AO214" s="1110">
        <f>AO216*AO218</f>
        <v/>
      </c>
      <c r="AP214" s="68">
        <f>AP216*AP218</f>
        <v/>
      </c>
      <c r="AQ214" s="68">
        <f>AQ216*AQ218</f>
        <v/>
      </c>
      <c r="AR214" s="68">
        <f>AR216*AR218</f>
        <v/>
      </c>
      <c r="AS214" s="68">
        <f>AS216*AS218</f>
        <v/>
      </c>
      <c r="AT214" s="1110">
        <f>AT216*AT218</f>
        <v/>
      </c>
      <c r="AU214" s="68">
        <f>AU216*AU218</f>
        <v/>
      </c>
      <c r="AV214" s="68">
        <f>AV216*AV218</f>
        <v/>
      </c>
      <c r="AW214" s="68">
        <f>AW216*AW218</f>
        <v/>
      </c>
      <c r="AX214" s="68">
        <f>AX216*AX218</f>
        <v/>
      </c>
      <c r="AY214" s="1110">
        <f>AY216*AY218</f>
        <v/>
      </c>
      <c r="AZ214" s="68">
        <f>AZ216*AZ218</f>
        <v/>
      </c>
      <c r="BA214" s="68">
        <f>BA216*BA218</f>
        <v/>
      </c>
      <c r="BB214" s="68">
        <f>BB216*BB218</f>
        <v/>
      </c>
      <c r="BC214" s="68">
        <f>BC216*BC218</f>
        <v/>
      </c>
      <c r="BD214" s="1110">
        <f>BD216*BD218</f>
        <v/>
      </c>
      <c r="BE214" s="68">
        <f>BE216*BE218</f>
        <v/>
      </c>
      <c r="BF214" s="68">
        <f>BF216*BF218</f>
        <v/>
      </c>
      <c r="BG214" s="68">
        <f>BG216*BG218</f>
        <v/>
      </c>
      <c r="BH214" s="68">
        <f>BH216*BH218</f>
        <v/>
      </c>
      <c r="BI214" s="1110">
        <f>BI216*BI218</f>
        <v/>
      </c>
      <c r="BJ214" s="68">
        <f>BJ216*BJ218</f>
        <v/>
      </c>
      <c r="BK214" s="68">
        <f>BK216*BK218</f>
        <v/>
      </c>
      <c r="BL214" s="68">
        <f>BL216*BL218</f>
        <v/>
      </c>
      <c r="BM214" s="68">
        <f>BM216*BM218</f>
        <v/>
      </c>
      <c r="BN214" s="1110">
        <f>BN216*BN218</f>
        <v/>
      </c>
      <c r="BO214" s="68">
        <f>BO216*BO218</f>
        <v/>
      </c>
      <c r="BP214" s="68">
        <f>BP216*BP218</f>
        <v/>
      </c>
      <c r="BQ214" s="68">
        <f>BQ216*BQ218</f>
        <v/>
      </c>
      <c r="BR214" s="68">
        <f>BR216*BR218</f>
        <v/>
      </c>
      <c r="BS214" s="1110">
        <f>BS216*BS218</f>
        <v/>
      </c>
      <c r="BT214" s="68">
        <f>BT216*BT218</f>
        <v/>
      </c>
      <c r="BU214" s="68">
        <f>BU216*BU218</f>
        <v/>
      </c>
      <c r="BV214" s="588">
        <f>BV216*BV218</f>
        <v/>
      </c>
      <c r="BW214" s="68" t="n"/>
      <c r="BX214" s="1110" t="n"/>
      <c r="BY214" s="68" t="n"/>
      <c r="BZ214" s="68" t="n"/>
      <c r="CA214" s="68" t="n"/>
      <c r="CB214" s="68" t="n"/>
      <c r="CC214" s="1110" t="n"/>
      <c r="CD214" s="1110" t="n"/>
      <c r="CE214" s="1110" t="n"/>
      <c r="CF214" s="1110" t="n"/>
      <c r="CG214" s="155" t="n"/>
    </row>
    <row r="215" hidden="1" outlineLevel="1">
      <c r="A215" s="99" t="inlineStr">
        <is>
          <t>Non-Current RPOs, mm</t>
        </is>
      </c>
      <c r="B215" s="602" t="n"/>
      <c r="C215" s="1110" t="n"/>
      <c r="D215" s="1110" t="n"/>
      <c r="E215" s="1110" t="n"/>
      <c r="F215" s="1110" t="n"/>
      <c r="G215" s="68" t="n"/>
      <c r="H215" s="68" t="n"/>
      <c r="I215" s="68" t="n"/>
      <c r="J215" s="68" t="n"/>
      <c r="K215" s="1110" t="n"/>
      <c r="L215" s="68" t="n"/>
      <c r="M215" s="68" t="n"/>
      <c r="N215" s="68" t="n"/>
      <c r="O215" s="68" t="n"/>
      <c r="P215" s="1110" t="n"/>
      <c r="Q215" s="68" t="n"/>
      <c r="R215" s="68" t="n"/>
      <c r="S215" s="68" t="n"/>
      <c r="T215" s="68" t="n"/>
      <c r="U215" s="1110" t="n"/>
      <c r="V215" s="68" t="n"/>
      <c r="W215" s="68" t="n"/>
      <c r="X215" s="68" t="n"/>
      <c r="Y215" s="68" t="n"/>
      <c r="Z215" s="1110" t="n"/>
      <c r="AA215" s="68" t="n"/>
      <c r="AB215" s="68" t="n"/>
      <c r="AC215" s="68" t="n"/>
      <c r="AD215" s="68" t="n"/>
      <c r="AE215" s="1110" t="n"/>
      <c r="AF215" s="68" t="n"/>
      <c r="AG215" s="68" t="n"/>
      <c r="AH215" s="68" t="n"/>
      <c r="AI215" s="68" t="n"/>
      <c r="AJ215" s="1110" t="n"/>
      <c r="AK215" s="68">
        <f>AK216-AK214</f>
        <v/>
      </c>
      <c r="AL215" s="68">
        <f>AL216-AL214</f>
        <v/>
      </c>
      <c r="AM215" s="68">
        <f>AM216-AM214</f>
        <v/>
      </c>
      <c r="AN215" s="68">
        <f>AN216-AN214</f>
        <v/>
      </c>
      <c r="AO215" s="1110">
        <f>AO216-AO214</f>
        <v/>
      </c>
      <c r="AP215" s="68">
        <f>AP216-AP214</f>
        <v/>
      </c>
      <c r="AQ215" s="68">
        <f>AQ216-AQ214</f>
        <v/>
      </c>
      <c r="AR215" s="68">
        <f>AR216-AR214</f>
        <v/>
      </c>
      <c r="AS215" s="68">
        <f>AS216-AS214</f>
        <v/>
      </c>
      <c r="AT215" s="1110">
        <f>AT216-AT214</f>
        <v/>
      </c>
      <c r="AU215" s="68">
        <f>AU216-AU214</f>
        <v/>
      </c>
      <c r="AV215" s="68">
        <f>AV216-AV214</f>
        <v/>
      </c>
      <c r="AW215" s="68">
        <f>AW216-AW214</f>
        <v/>
      </c>
      <c r="AX215" s="68">
        <f>AX216-AX214</f>
        <v/>
      </c>
      <c r="AY215" s="1110">
        <f>AY216-AY214</f>
        <v/>
      </c>
      <c r="AZ215" s="68">
        <f>AZ216-AZ214</f>
        <v/>
      </c>
      <c r="BA215" s="68">
        <f>BA216-BA214</f>
        <v/>
      </c>
      <c r="BB215" s="68">
        <f>BB216-BB214</f>
        <v/>
      </c>
      <c r="BC215" s="68">
        <f>BC216-BC214</f>
        <v/>
      </c>
      <c r="BD215" s="1110">
        <f>BD216-BD214</f>
        <v/>
      </c>
      <c r="BE215" s="68">
        <f>BE216-BE214</f>
        <v/>
      </c>
      <c r="BF215" s="68">
        <f>BF216-BF214</f>
        <v/>
      </c>
      <c r="BG215" s="68">
        <f>BG216-BG214</f>
        <v/>
      </c>
      <c r="BH215" s="68">
        <f>BH216-BH214</f>
        <v/>
      </c>
      <c r="BI215" s="1110">
        <f>BI216-BI214</f>
        <v/>
      </c>
      <c r="BJ215" s="68">
        <f>BJ216-BJ214</f>
        <v/>
      </c>
      <c r="BK215" s="68">
        <f>BK216-BK214</f>
        <v/>
      </c>
      <c r="BL215" s="68">
        <f>BL216-BL214</f>
        <v/>
      </c>
      <c r="BM215" s="68">
        <f>BM216-BM214</f>
        <v/>
      </c>
      <c r="BN215" s="1110">
        <f>BN216-BN214</f>
        <v/>
      </c>
      <c r="BO215" s="68">
        <f>BO216-BO214</f>
        <v/>
      </c>
      <c r="BP215" s="68">
        <f>BP216-BP214</f>
        <v/>
      </c>
      <c r="BQ215" s="68">
        <f>BQ216-BQ214</f>
        <v/>
      </c>
      <c r="BR215" s="68">
        <f>BR216-BR214</f>
        <v/>
      </c>
      <c r="BS215" s="1110">
        <f>BS216-BS214</f>
        <v/>
      </c>
      <c r="BT215" s="68">
        <f>BT216-BT214</f>
        <v/>
      </c>
      <c r="BU215" s="68">
        <f>BU216-BU214</f>
        <v/>
      </c>
      <c r="BV215" s="588">
        <f>BV216-BV214</f>
        <v/>
      </c>
      <c r="BW215" s="68" t="n"/>
      <c r="BX215" s="1110" t="n"/>
      <c r="BY215" s="68" t="n"/>
      <c r="BZ215" s="68" t="n"/>
      <c r="CA215" s="68" t="n"/>
      <c r="CB215" s="68" t="n"/>
      <c r="CC215" s="1110" t="n"/>
      <c r="CD215" s="1110" t="n"/>
      <c r="CE215" s="1110" t="n"/>
      <c r="CF215" s="1110" t="n"/>
      <c r="CG215" s="155" t="n"/>
    </row>
    <row r="216" hidden="1" outlineLevel="1">
      <c r="A216" s="631" t="inlineStr">
        <is>
          <t>RPOs, mm</t>
        </is>
      </c>
      <c r="B216" s="604" t="n"/>
      <c r="C216" s="1122" t="n"/>
      <c r="D216" s="1122" t="n"/>
      <c r="E216" s="1122" t="n"/>
      <c r="F216" s="1122" t="n"/>
      <c r="G216" s="61" t="n"/>
      <c r="H216" s="61" t="n"/>
      <c r="I216" s="61" t="n"/>
      <c r="J216" s="61" t="n"/>
      <c r="K216" s="1122" t="n"/>
      <c r="L216" s="61" t="n"/>
      <c r="M216" s="61" t="n"/>
      <c r="N216" s="61" t="n"/>
      <c r="O216" s="61" t="n"/>
      <c r="P216" s="1122" t="n"/>
      <c r="Q216" s="61" t="n"/>
      <c r="R216" s="61" t="n"/>
      <c r="S216" s="61" t="n"/>
      <c r="T216" s="61" t="n"/>
      <c r="U216" s="1122" t="n"/>
      <c r="V216" s="61" t="n"/>
      <c r="W216" s="61" t="n"/>
      <c r="X216" s="61" t="n"/>
      <c r="Y216" s="61" t="n"/>
      <c r="Z216" s="1122" t="n"/>
      <c r="AA216" s="61" t="n"/>
      <c r="AB216" s="61" t="n"/>
      <c r="AC216" s="61" t="n"/>
      <c r="AD216" s="61" t="n"/>
      <c r="AE216" s="1122" t="n"/>
      <c r="AF216" s="61" t="n"/>
      <c r="AG216" s="61" t="n"/>
      <c r="AH216" s="61" t="n"/>
      <c r="AI216" s="61" t="n"/>
      <c r="AJ216" s="1122" t="n"/>
      <c r="AK216" s="1063" t="n">
        <v>243</v>
      </c>
      <c r="AL216" s="1063" t="n">
        <v>235</v>
      </c>
      <c r="AM216" s="1063" t="n">
        <v>237</v>
      </c>
      <c r="AN216" s="61">
        <f>AO216</f>
        <v/>
      </c>
      <c r="AO216" s="1138" t="n">
        <v>305</v>
      </c>
      <c r="AP216" s="1063" t="n">
        <v>294</v>
      </c>
      <c r="AQ216" s="1063" t="n">
        <v>418</v>
      </c>
      <c r="AR216" s="1063" t="n">
        <v>395</v>
      </c>
      <c r="AS216" s="61">
        <f>AT216</f>
        <v/>
      </c>
      <c r="AT216" s="1138" t="n">
        <v>364</v>
      </c>
      <c r="AU216" s="1063" t="n">
        <v>389</v>
      </c>
      <c r="AV216" s="1063" t="n">
        <v>670</v>
      </c>
      <c r="AW216" s="1063" t="n">
        <v>679</v>
      </c>
      <c r="AX216" s="61">
        <f>AY216</f>
        <v/>
      </c>
      <c r="AY216" s="1138" t="n">
        <v>683</v>
      </c>
      <c r="AZ216" s="1063" t="n">
        <v>680</v>
      </c>
      <c r="BA216" s="1063" t="n">
        <v>646</v>
      </c>
      <c r="BB216" s="1063" t="n">
        <v>620</v>
      </c>
      <c r="BC216" s="61">
        <f>BD216</f>
        <v/>
      </c>
      <c r="BD216" s="1138" t="n">
        <v>624</v>
      </c>
      <c r="BE216" s="1063" t="n">
        <v>652</v>
      </c>
      <c r="BF216" s="1063" t="n">
        <v>645</v>
      </c>
      <c r="BG216" s="1063" t="n">
        <v>681</v>
      </c>
      <c r="BH216" s="61">
        <f>BI216</f>
        <v/>
      </c>
      <c r="BI216" s="1138" t="n">
        <v>652</v>
      </c>
      <c r="BJ216" s="1063" t="n">
        <v>639</v>
      </c>
      <c r="BK216" s="1063" t="n">
        <v>717</v>
      </c>
      <c r="BL216" s="1063" t="n">
        <v>896</v>
      </c>
      <c r="BM216" s="61">
        <f>BN216</f>
        <v/>
      </c>
      <c r="BN216" s="1138" t="n">
        <v>1100</v>
      </c>
      <c r="BO216" s="1063" t="n">
        <v>1300</v>
      </c>
      <c r="BP216" s="1063">
        <f>1300+123</f>
        <v/>
      </c>
      <c r="BQ216" s="1063" t="n">
        <v>1600</v>
      </c>
      <c r="BR216" s="61">
        <f>BS216</f>
        <v/>
      </c>
      <c r="BS216" s="1138" t="n">
        <v>1700</v>
      </c>
      <c r="BT216" s="1063" t="n">
        <v>1800</v>
      </c>
      <c r="BU216" s="1063" t="n">
        <v>1900</v>
      </c>
      <c r="BV216" s="1064" t="n">
        <v>2500</v>
      </c>
      <c r="BW216" s="61" t="n"/>
      <c r="BX216" s="1122" t="n"/>
      <c r="BY216" s="61" t="n"/>
      <c r="BZ216" s="61" t="n"/>
      <c r="CA216" s="61" t="n"/>
      <c r="CB216" s="61" t="n"/>
      <c r="CC216" s="1122" t="n"/>
      <c r="CD216" s="1122" t="n"/>
      <c r="CE216" s="1122" t="n"/>
      <c r="CF216" s="1122" t="n"/>
      <c r="CG216" s="155" t="n"/>
    </row>
    <row r="217" hidden="1" outlineLevel="1">
      <c r="A217" s="600" t="n"/>
      <c r="B217" s="633" t="n"/>
      <c r="C217" s="1125" t="n"/>
      <c r="D217" s="1125" t="n"/>
      <c r="E217" s="1125" t="n"/>
      <c r="F217" s="1125" t="n"/>
      <c r="G217" s="63" t="n"/>
      <c r="H217" s="63" t="n"/>
      <c r="I217" s="63" t="n"/>
      <c r="J217" s="63" t="n"/>
      <c r="K217" s="1125" t="n"/>
      <c r="L217" s="63" t="n"/>
      <c r="M217" s="63" t="n"/>
      <c r="N217" s="63" t="n"/>
      <c r="O217" s="63" t="n"/>
      <c r="P217" s="1125" t="n"/>
      <c r="Q217" s="63" t="n"/>
      <c r="R217" s="63" t="n"/>
      <c r="S217" s="63" t="n"/>
      <c r="T217" s="63" t="n"/>
      <c r="U217" s="1125" t="n"/>
      <c r="V217" s="63" t="n"/>
      <c r="W217" s="63" t="n"/>
      <c r="X217" s="63" t="n"/>
      <c r="Y217" s="63" t="n"/>
      <c r="Z217" s="1125" t="n"/>
      <c r="AA217" s="63" t="n"/>
      <c r="AB217" s="63" t="n"/>
      <c r="AC217" s="63" t="n"/>
      <c r="AD217" s="63" t="n"/>
      <c r="AE217" s="1125" t="n"/>
      <c r="AF217" s="63" t="n"/>
      <c r="AG217" s="63" t="n"/>
      <c r="AH217" s="63" t="n"/>
      <c r="AI217" s="63" t="n"/>
      <c r="AJ217" s="1125" t="n"/>
      <c r="AK217" s="63" t="n"/>
      <c r="AL217" s="63" t="n"/>
      <c r="AM217" s="63" t="n"/>
      <c r="AN217" s="63" t="n"/>
      <c r="AO217" s="1125" t="n"/>
      <c r="AP217" s="63" t="n"/>
      <c r="AQ217" s="63" t="n"/>
      <c r="AR217" s="63" t="n"/>
      <c r="AS217" s="63" t="n"/>
      <c r="AT217" s="1125" t="n"/>
      <c r="AU217" s="63" t="n"/>
      <c r="AV217" s="63" t="n"/>
      <c r="AW217" s="63" t="n"/>
      <c r="AX217" s="63" t="n"/>
      <c r="AY217" s="1125" t="n"/>
      <c r="AZ217" s="63" t="n"/>
      <c r="BA217" s="63" t="n"/>
      <c r="BB217" s="63" t="n"/>
      <c r="BC217" s="63" t="n"/>
      <c r="BD217" s="1125" t="n"/>
      <c r="BE217" s="63" t="n"/>
      <c r="BF217" s="63" t="n"/>
      <c r="BG217" s="63" t="n"/>
      <c r="BH217" s="63" t="n"/>
      <c r="BI217" s="1125" t="n"/>
      <c r="BJ217" s="63" t="n"/>
      <c r="BK217" s="63" t="n"/>
      <c r="BL217" s="63" t="n"/>
      <c r="BM217" s="63" t="n"/>
      <c r="BN217" s="1125" t="n"/>
      <c r="BO217" s="63" t="n"/>
      <c r="BP217" s="63" t="n"/>
      <c r="BQ217" s="63" t="n"/>
      <c r="BR217" s="63" t="n"/>
      <c r="BS217" s="1125" t="n"/>
      <c r="BT217" s="63" t="n"/>
      <c r="BU217" s="63" t="n"/>
      <c r="BV217" s="587" t="n"/>
      <c r="BW217" s="63" t="n"/>
      <c r="BX217" s="1125" t="n"/>
      <c r="BY217" s="63" t="n"/>
      <c r="BZ217" s="63" t="n"/>
      <c r="CA217" s="63" t="n"/>
      <c r="CB217" s="63" t="n"/>
      <c r="CC217" s="1125" t="n"/>
      <c r="CD217" s="1125" t="n"/>
      <c r="CE217" s="1125" t="n"/>
      <c r="CF217" s="1125" t="n"/>
      <c r="CG217" s="155" t="n"/>
    </row>
    <row r="218" hidden="1" outlineLevel="1" customFormat="1" s="1361">
      <c r="A218" s="1362" t="inlineStr">
        <is>
          <t>Current RPOs, %</t>
        </is>
      </c>
      <c r="B218" s="1363" t="n"/>
      <c r="C218" s="1364" t="n"/>
      <c r="D218" s="1364" t="n"/>
      <c r="E218" s="1364" t="n"/>
      <c r="F218" s="1364" t="n"/>
      <c r="G218" s="1365" t="n"/>
      <c r="H218" s="1365" t="n"/>
      <c r="I218" s="1365" t="n"/>
      <c r="J218" s="1365" t="n"/>
      <c r="K218" s="1364" t="n"/>
      <c r="L218" s="1365" t="n"/>
      <c r="M218" s="1365" t="n"/>
      <c r="N218" s="1365" t="n"/>
      <c r="O218" s="1365" t="n"/>
      <c r="P218" s="1364" t="n"/>
      <c r="Q218" s="1365" t="n"/>
      <c r="R218" s="1365" t="n"/>
      <c r="S218" s="1365" t="n"/>
      <c r="T218" s="1365" t="n"/>
      <c r="U218" s="1364" t="n"/>
      <c r="V218" s="1365" t="n"/>
      <c r="W218" s="1365" t="n"/>
      <c r="X218" s="1365" t="n"/>
      <c r="Y218" s="1365" t="n"/>
      <c r="Z218" s="1364" t="n"/>
      <c r="AA218" s="1365" t="n"/>
      <c r="AB218" s="1365" t="n"/>
      <c r="AC218" s="1365" t="n"/>
      <c r="AD218" s="1365" t="n"/>
      <c r="AE218" s="1364" t="n"/>
      <c r="AF218" s="1365" t="n"/>
      <c r="AG218" s="1365" t="n"/>
      <c r="AH218" s="1365" t="n"/>
      <c r="AI218" s="1365" t="n"/>
      <c r="AJ218" s="1364" t="n"/>
      <c r="AK218" s="1366" t="n">
        <v>0.5</v>
      </c>
      <c r="AL218" s="1366" t="n">
        <v>0.5</v>
      </c>
      <c r="AM218" s="1366" t="n">
        <v>0.5</v>
      </c>
      <c r="AN218" s="1365">
        <f>AO218</f>
        <v/>
      </c>
      <c r="AO218" s="1367" t="n">
        <v>0.5</v>
      </c>
      <c r="AP218" s="1366" t="n">
        <v>0.57</v>
      </c>
      <c r="AQ218" s="1366" t="n">
        <v>0.48</v>
      </c>
      <c r="AR218" s="1366" t="n">
        <v>0.47</v>
      </c>
      <c r="AS218" s="1365">
        <f>AT218</f>
        <v/>
      </c>
      <c r="AT218" s="1367" t="n">
        <v>0.46</v>
      </c>
      <c r="AU218" s="1366" t="n">
        <v>0.47</v>
      </c>
      <c r="AV218" s="1366" t="n">
        <v>0.4</v>
      </c>
      <c r="AW218" s="1366" t="n">
        <v>0.41</v>
      </c>
      <c r="AX218" s="1365">
        <f>AY218</f>
        <v/>
      </c>
      <c r="AY218" s="1367" t="n">
        <v>0.44</v>
      </c>
      <c r="AZ218" s="1366" t="n">
        <v>0.48</v>
      </c>
      <c r="BA218" s="1366" t="n">
        <v>0.5</v>
      </c>
      <c r="BB218" s="1366" t="n">
        <v>0.49</v>
      </c>
      <c r="BC218" s="1365">
        <f>BD218</f>
        <v/>
      </c>
      <c r="BD218" s="1367" t="n">
        <v>0.49</v>
      </c>
      <c r="BE218" s="1366" t="n">
        <v>0.47</v>
      </c>
      <c r="BF218" s="1366" t="n">
        <v>0.48</v>
      </c>
      <c r="BG218" s="1366" t="n">
        <v>0.47</v>
      </c>
      <c r="BH218" s="1365">
        <f>BI218</f>
        <v/>
      </c>
      <c r="BI218" s="1367" t="n">
        <v>0.47</v>
      </c>
      <c r="BJ218" s="1366" t="n">
        <v>0.46</v>
      </c>
      <c r="BK218" s="1366" t="n">
        <v>0.44</v>
      </c>
      <c r="BL218" s="1366" t="n">
        <v>0.42</v>
      </c>
      <c r="BM218" s="1365">
        <f>BN218</f>
        <v/>
      </c>
      <c r="BN218" s="1367" t="n">
        <v>0.4</v>
      </c>
      <c r="BO218" s="1366" t="n">
        <v>0.38</v>
      </c>
      <c r="BP218" s="1366" t="n">
        <v>0.37</v>
      </c>
      <c r="BQ218" s="1366" t="n">
        <v>0.37</v>
      </c>
      <c r="BR218" s="1365">
        <f>BS218</f>
        <v/>
      </c>
      <c r="BS218" s="1367" t="n">
        <v>0.39</v>
      </c>
      <c r="BT218" s="1366" t="n">
        <v>0.39</v>
      </c>
      <c r="BU218" s="1366" t="n">
        <v>0.4</v>
      </c>
      <c r="BV218" s="1368" t="n">
        <v>0.4</v>
      </c>
      <c r="BW218" s="1365" t="n"/>
      <c r="BX218" s="1364" t="n"/>
      <c r="BY218" s="1365" t="n"/>
      <c r="BZ218" s="1365" t="n"/>
      <c r="CA218" s="1365" t="n"/>
      <c r="CB218" s="1365" t="n"/>
      <c r="CC218" s="1364" t="n"/>
      <c r="CD218" s="1364" t="n"/>
      <c r="CE218" s="1364" t="n"/>
      <c r="CF218" s="1364" t="n"/>
      <c r="CG218" s="1369" t="n"/>
    </row>
    <row r="219" hidden="1" outlineLevel="1">
      <c r="A219" s="605" t="n"/>
      <c r="B219" s="606" t="n"/>
      <c r="C219" s="1134" t="n"/>
      <c r="D219" s="1134" t="n"/>
      <c r="E219" s="1134" t="n"/>
      <c r="F219" s="1134" t="n"/>
      <c r="G219" s="93" t="n"/>
      <c r="H219" s="93" t="n"/>
      <c r="I219" s="93" t="n"/>
      <c r="J219" s="93" t="n"/>
      <c r="K219" s="1134" t="n"/>
      <c r="L219" s="93" t="n"/>
      <c r="M219" s="93" t="n"/>
      <c r="N219" s="93" t="n"/>
      <c r="O219" s="93" t="n"/>
      <c r="P219" s="1134" t="n"/>
      <c r="Q219" s="93" t="n"/>
      <c r="R219" s="93" t="n"/>
      <c r="S219" s="93" t="n"/>
      <c r="T219" s="93" t="n"/>
      <c r="U219" s="1134" t="n"/>
      <c r="V219" s="93" t="n"/>
      <c r="W219" s="93" t="n"/>
      <c r="X219" s="93" t="n"/>
      <c r="Y219" s="93" t="n"/>
      <c r="Z219" s="1134" t="n"/>
      <c r="AA219" s="93" t="n"/>
      <c r="AB219" s="93" t="n"/>
      <c r="AC219" s="93" t="n"/>
      <c r="AD219" s="93" t="n"/>
      <c r="AE219" s="1134" t="n"/>
      <c r="AF219" s="93" t="n"/>
      <c r="AG219" s="93" t="n"/>
      <c r="AH219" s="93" t="n"/>
      <c r="AI219" s="93" t="n"/>
      <c r="AJ219" s="1134" t="n"/>
      <c r="AK219" s="93" t="n"/>
      <c r="AL219" s="93" t="n"/>
      <c r="AM219" s="93" t="n"/>
      <c r="AN219" s="93" t="n"/>
      <c r="AO219" s="1134" t="n"/>
      <c r="AP219" s="93" t="n"/>
      <c r="AQ219" s="93" t="n"/>
      <c r="AR219" s="93" t="n"/>
      <c r="AS219" s="93" t="n"/>
      <c r="AT219" s="1134" t="n"/>
      <c r="AU219" s="93" t="n"/>
      <c r="AV219" s="93" t="n"/>
      <c r="AW219" s="93" t="n"/>
      <c r="AX219" s="93" t="n"/>
      <c r="AY219" s="1134" t="n"/>
      <c r="AZ219" s="93" t="n"/>
      <c r="BA219" s="93" t="n"/>
      <c r="BB219" s="93" t="n"/>
      <c r="BC219" s="93" t="n"/>
      <c r="BD219" s="1134" t="n"/>
      <c r="BE219" s="93" t="n"/>
      <c r="BF219" s="93" t="n"/>
      <c r="BG219" s="93" t="n"/>
      <c r="BH219" s="93" t="n"/>
      <c r="BI219" s="1134" t="n"/>
      <c r="BJ219" s="93" t="n"/>
      <c r="BK219" s="93" t="n"/>
      <c r="BL219" s="93" t="n"/>
      <c r="BM219" s="93" t="n"/>
      <c r="BN219" s="1134" t="n"/>
      <c r="BO219" s="93" t="n"/>
      <c r="BP219" s="93" t="n"/>
      <c r="BQ219" s="93" t="n"/>
      <c r="BR219" s="93" t="n"/>
      <c r="BS219" s="1134" t="n"/>
      <c r="BT219" s="93" t="n"/>
      <c r="BU219" s="93" t="n"/>
      <c r="BV219" s="522" t="n"/>
      <c r="BW219" s="93" t="n"/>
      <c r="BX219" s="1134" t="n"/>
      <c r="BY219" s="93" t="n"/>
      <c r="BZ219" s="93" t="n"/>
      <c r="CA219" s="93" t="n"/>
      <c r="CB219" s="93" t="n"/>
      <c r="CC219" s="1134" t="n"/>
      <c r="CD219" s="1134" t="n"/>
      <c r="CE219" s="1134" t="n"/>
      <c r="CF219" s="1134" t="n"/>
      <c r="CG219" s="155" t="n"/>
    </row>
    <row r="220" hidden="1" outlineLevel="1">
      <c r="A220" s="45" t="inlineStr">
        <is>
          <t>Key Metrics - Days Sales Outstanding (CFO Commentary)</t>
        </is>
      </c>
      <c r="B220" s="45" t="n"/>
      <c r="C220" s="45" t="n"/>
      <c r="D220" s="45" t="n"/>
      <c r="E220" s="45" t="n"/>
      <c r="F220" s="45" t="n"/>
      <c r="G220" s="45" t="n"/>
      <c r="H220" s="45" t="n"/>
      <c r="I220" s="45" t="n"/>
      <c r="J220" s="45" t="n"/>
      <c r="K220" s="45" t="n"/>
      <c r="L220" s="45" t="n"/>
      <c r="M220" s="45" t="n"/>
      <c r="N220" s="45" t="n"/>
      <c r="O220" s="45" t="n"/>
      <c r="P220" s="45" t="n"/>
      <c r="Q220" s="45" t="n"/>
      <c r="R220" s="45" t="n"/>
      <c r="S220" s="45" t="n"/>
      <c r="T220" s="45" t="n"/>
      <c r="U220" s="45" t="n"/>
      <c r="V220" s="45" t="n"/>
      <c r="W220" s="45" t="n"/>
      <c r="X220" s="45" t="n"/>
      <c r="Y220" s="45" t="n"/>
      <c r="Z220" s="45" t="n"/>
      <c r="AA220" s="45" t="n"/>
      <c r="AB220" s="45" t="n"/>
      <c r="AC220" s="45" t="n"/>
      <c r="AD220" s="45" t="n"/>
      <c r="AE220" s="45" t="n"/>
      <c r="AF220" s="45" t="n"/>
      <c r="AG220" s="45" t="n"/>
      <c r="AH220" s="45" t="n"/>
      <c r="AI220" s="45" t="n"/>
      <c r="AJ220" s="45" t="n"/>
      <c r="AK220" s="45" t="n"/>
      <c r="AL220" s="45" t="n"/>
      <c r="AM220" s="45" t="n"/>
      <c r="AN220" s="45" t="n"/>
      <c r="AO220" s="45" t="n"/>
      <c r="AP220" s="45" t="n"/>
      <c r="AQ220" s="45" t="n"/>
      <c r="AR220" s="45" t="n"/>
      <c r="AS220" s="45" t="n"/>
      <c r="AT220" s="45" t="n"/>
      <c r="AU220" s="45" t="n"/>
      <c r="AV220" s="45" t="n"/>
      <c r="AW220" s="45" t="n"/>
      <c r="AX220" s="45" t="n"/>
      <c r="AY220" s="45" t="n"/>
      <c r="AZ220" s="45" t="n"/>
      <c r="BA220" s="45" t="n"/>
      <c r="BB220" s="45" t="n"/>
      <c r="BC220" s="45" t="n"/>
      <c r="BD220" s="45" t="n"/>
      <c r="BE220" s="45" t="n"/>
      <c r="BF220" s="45" t="n"/>
      <c r="BG220" s="45" t="n"/>
      <c r="BH220" s="45" t="n"/>
      <c r="BI220" s="45" t="n"/>
      <c r="BJ220" s="45" t="n"/>
      <c r="BK220" s="45" t="n"/>
      <c r="BL220" s="45" t="n"/>
      <c r="BM220" s="45" t="n"/>
      <c r="BN220" s="45" t="n"/>
      <c r="BO220" s="45" t="n"/>
      <c r="BP220" s="45" t="n"/>
      <c r="BQ220" s="45" t="n"/>
      <c r="BR220" s="45" t="n"/>
      <c r="BS220" s="45" t="n"/>
      <c r="BT220" s="45" t="n"/>
      <c r="BU220" s="45" t="n"/>
      <c r="BV220" s="982" t="n"/>
      <c r="BW220" s="45" t="n"/>
      <c r="BX220" s="45" t="n"/>
      <c r="BY220" s="45" t="n"/>
      <c r="BZ220" s="45" t="n"/>
      <c r="CA220" s="45" t="n"/>
      <c r="CB220" s="45" t="n"/>
      <c r="CC220" s="45" t="n"/>
      <c r="CD220" s="45" t="n"/>
      <c r="CE220" s="45" t="n"/>
      <c r="CF220" s="45" t="n"/>
      <c r="CG220" s="155" t="n"/>
    </row>
    <row r="221" hidden="1" outlineLevel="1">
      <c r="A221" s="636" t="inlineStr">
        <is>
          <t>Days sales outstanding (DSO), # of days</t>
        </is>
      </c>
      <c r="B221" s="602" t="n"/>
      <c r="C221" s="1110" t="n"/>
      <c r="D221" s="1111" t="n">
        <v>37</v>
      </c>
      <c r="E221" s="1111" t="n">
        <v>36</v>
      </c>
      <c r="F221" s="1111" t="n">
        <v>31</v>
      </c>
      <c r="G221" s="1053" t="n">
        <v>41</v>
      </c>
      <c r="H221" s="1053" t="n">
        <v>39</v>
      </c>
      <c r="I221" s="1053" t="n">
        <v>34</v>
      </c>
      <c r="J221" s="68">
        <f>K221</f>
        <v/>
      </c>
      <c r="K221" s="1111" t="n">
        <v>37</v>
      </c>
      <c r="L221" s="1053" t="n">
        <v>33</v>
      </c>
      <c r="M221" s="1053" t="n">
        <v>39</v>
      </c>
      <c r="N221" s="1053" t="n">
        <v>39</v>
      </c>
      <c r="O221" s="68">
        <f>P221</f>
        <v/>
      </c>
      <c r="P221" s="1111" t="n">
        <v>34</v>
      </c>
      <c r="Q221" s="1053" t="n">
        <v>33</v>
      </c>
      <c r="R221" s="1053" t="n">
        <v>39</v>
      </c>
      <c r="S221" s="1053" t="n">
        <v>42</v>
      </c>
      <c r="T221" s="68">
        <f>U221</f>
        <v/>
      </c>
      <c r="U221" s="1111" t="n">
        <v>34</v>
      </c>
      <c r="V221" s="1053" t="n">
        <v>36</v>
      </c>
      <c r="W221" s="1053" t="n">
        <v>41</v>
      </c>
      <c r="X221" s="1053" t="n">
        <v>37</v>
      </c>
      <c r="Y221" s="68">
        <f>Z221</f>
        <v/>
      </c>
      <c r="Z221" s="1111" t="n">
        <v>35</v>
      </c>
      <c r="AA221" s="1053" t="n">
        <v>36</v>
      </c>
      <c r="AB221" s="1053" t="n">
        <v>41</v>
      </c>
      <c r="AC221" s="1053" t="n">
        <v>38</v>
      </c>
      <c r="AD221" s="68">
        <f>AE221</f>
        <v/>
      </c>
      <c r="AE221" s="1111" t="n">
        <v>35</v>
      </c>
      <c r="AF221" s="1053" t="n">
        <v>46</v>
      </c>
      <c r="AG221" s="1053" t="n">
        <v>49</v>
      </c>
      <c r="AH221" s="1053" t="n">
        <v>40</v>
      </c>
      <c r="AI221" s="68">
        <f>AJ221</f>
        <v/>
      </c>
      <c r="AJ221" s="1111" t="n">
        <v>40</v>
      </c>
      <c r="AK221" s="1053" t="n">
        <v>35</v>
      </c>
      <c r="AL221" s="1053" t="n">
        <v>48</v>
      </c>
      <c r="AM221" s="1053" t="n">
        <v>63</v>
      </c>
      <c r="AN221" s="68">
        <f>AO221</f>
        <v/>
      </c>
      <c r="AO221" s="1111" t="n">
        <v>59</v>
      </c>
      <c r="AP221" s="1053" t="n">
        <v>51</v>
      </c>
      <c r="AQ221" s="1053" t="n">
        <v>55</v>
      </c>
      <c r="AR221" s="1053" t="n">
        <v>44</v>
      </c>
      <c r="AS221" s="68">
        <f>AT221</f>
        <v/>
      </c>
      <c r="AT221" s="1111" t="n">
        <v>49</v>
      </c>
      <c r="AU221" s="1053" t="n">
        <v>56</v>
      </c>
      <c r="AV221" s="1053" t="n">
        <v>49</v>
      </c>
      <c r="AW221" s="1053" t="n">
        <v>49</v>
      </c>
      <c r="AX221" s="68">
        <f>AY221</f>
        <v/>
      </c>
      <c r="AY221" s="1111" t="n">
        <v>48</v>
      </c>
      <c r="AZ221" s="1053" t="n">
        <v>49</v>
      </c>
      <c r="BA221" s="1053" t="n">
        <v>50</v>
      </c>
      <c r="BB221" s="1053" t="n">
        <v>51</v>
      </c>
      <c r="BC221" s="68">
        <f>BD221</f>
        <v/>
      </c>
      <c r="BD221" s="1111" t="n">
        <v>55</v>
      </c>
      <c r="BE221" s="1053" t="n">
        <v>60</v>
      </c>
      <c r="BF221" s="1053" t="n">
        <v>72</v>
      </c>
      <c r="BG221" s="1053" t="n">
        <v>75</v>
      </c>
      <c r="BH221" s="68">
        <f>BI221</f>
        <v/>
      </c>
      <c r="BI221" s="1111" t="n">
        <v>58</v>
      </c>
      <c r="BJ221" s="1053" t="n">
        <v>52</v>
      </c>
      <c r="BK221" s="1053" t="n">
        <v>48</v>
      </c>
      <c r="BL221" s="1053" t="n">
        <v>42</v>
      </c>
      <c r="BM221" s="68">
        <f>BN221</f>
        <v/>
      </c>
      <c r="BN221" s="1111" t="n">
        <v>41</v>
      </c>
      <c r="BO221" s="1053" t="n">
        <v>43</v>
      </c>
      <c r="BP221" s="1053" t="n">
        <v>43</v>
      </c>
      <c r="BQ221" s="1053" t="n">
        <v>46</v>
      </c>
      <c r="BR221" s="68">
        <f>BS221</f>
        <v/>
      </c>
      <c r="BS221" s="1111" t="n">
        <v>53</v>
      </c>
      <c r="BT221" s="1053" t="n">
        <v>46</v>
      </c>
      <c r="BU221" s="1053" t="n">
        <v>54</v>
      </c>
      <c r="BV221" s="1054" t="n">
        <v>53</v>
      </c>
      <c r="BW221" s="68" t="n"/>
      <c r="BX221" s="1110" t="n"/>
      <c r="BY221" s="68" t="n"/>
      <c r="BZ221" s="68" t="n"/>
      <c r="CA221" s="68" t="n"/>
      <c r="CB221" s="68" t="n"/>
      <c r="CC221" s="1110" t="n"/>
      <c r="CD221" s="1110" t="n"/>
      <c r="CE221" s="1110" t="n"/>
      <c r="CF221" s="1110" t="n"/>
      <c r="CG221" s="155" t="n"/>
    </row>
    <row r="222" hidden="1" outlineLevel="1" ht="7.5" customHeight="1">
      <c r="A222" s="636" t="n"/>
      <c r="B222" s="602" t="n"/>
      <c r="C222" s="1110" t="n"/>
      <c r="D222" s="1110" t="n"/>
      <c r="E222" s="1110" t="n"/>
      <c r="F222" s="1110" t="n"/>
      <c r="G222" s="68" t="n"/>
      <c r="H222" s="68" t="n"/>
      <c r="I222" s="68" t="n"/>
      <c r="J222" s="68" t="n"/>
      <c r="K222" s="1110" t="n"/>
      <c r="L222" s="68" t="n"/>
      <c r="M222" s="68" t="n"/>
      <c r="N222" s="68" t="n"/>
      <c r="O222" s="68" t="n"/>
      <c r="P222" s="1110" t="n"/>
      <c r="Q222" s="68" t="n"/>
      <c r="R222" s="68" t="n"/>
      <c r="S222" s="68" t="n"/>
      <c r="T222" s="68" t="n"/>
      <c r="U222" s="1110" t="n"/>
      <c r="V222" s="68" t="n"/>
      <c r="W222" s="68" t="n"/>
      <c r="X222" s="68" t="n"/>
      <c r="Y222" s="68" t="n"/>
      <c r="Z222" s="1110" t="n"/>
      <c r="AA222" s="68" t="n"/>
      <c r="AB222" s="68" t="n"/>
      <c r="AC222" s="68" t="n"/>
      <c r="AD222" s="68" t="n"/>
      <c r="AE222" s="1110" t="n"/>
      <c r="AF222" s="68" t="n"/>
      <c r="AG222" s="68" t="n"/>
      <c r="AH222" s="68" t="n"/>
      <c r="AI222" s="68" t="n"/>
      <c r="AJ222" s="1110" t="n"/>
      <c r="AK222" s="68" t="n"/>
      <c r="AL222" s="68" t="n"/>
      <c r="AM222" s="68" t="n"/>
      <c r="AN222" s="68" t="n"/>
      <c r="AO222" s="1110" t="n"/>
      <c r="AP222" s="68" t="n"/>
      <c r="AQ222" s="68" t="n"/>
      <c r="AR222" s="68" t="n"/>
      <c r="AS222" s="68" t="n"/>
      <c r="AT222" s="1110" t="n"/>
      <c r="AU222" s="68" t="n"/>
      <c r="AV222" s="68" t="n"/>
      <c r="AW222" s="68" t="n"/>
      <c r="AX222" s="68" t="n"/>
      <c r="AY222" s="1110" t="n"/>
      <c r="AZ222" s="68" t="n"/>
      <c r="BA222" s="68" t="n"/>
      <c r="BB222" s="68" t="n"/>
      <c r="BC222" s="68" t="n"/>
      <c r="BD222" s="1110" t="n"/>
      <c r="BE222" s="68" t="n"/>
      <c r="BF222" s="68" t="n"/>
      <c r="BG222" s="68" t="n"/>
      <c r="BH222" s="68" t="n"/>
      <c r="BI222" s="1110" t="n"/>
      <c r="BJ222" s="68" t="n"/>
      <c r="BK222" s="68" t="n"/>
      <c r="BL222" s="68" t="n"/>
      <c r="BM222" s="68" t="n"/>
      <c r="BN222" s="1110" t="n"/>
      <c r="BO222" s="68" t="n"/>
      <c r="BP222" s="68" t="n"/>
      <c r="BQ222" s="68" t="n"/>
      <c r="BR222" s="68" t="n"/>
      <c r="BS222" s="1110" t="n"/>
      <c r="BT222" s="68" t="n"/>
      <c r="BU222" s="68" t="n"/>
      <c r="BV222" s="588" t="n"/>
      <c r="BW222" s="68" t="n"/>
      <c r="BX222" s="1110" t="n"/>
      <c r="BY222" s="68" t="n"/>
      <c r="BZ222" s="68" t="n"/>
      <c r="CA222" s="68" t="n"/>
      <c r="CB222" s="68" t="n"/>
      <c r="CC222" s="1110" t="n"/>
      <c r="CD222" s="1110" t="n"/>
      <c r="CE222" s="1110" t="n"/>
      <c r="CF222" s="1110" t="n"/>
      <c r="CG222" s="155" t="n"/>
    </row>
    <row r="223" hidden="1" outlineLevel="1">
      <c r="A223" s="636" t="inlineStr">
        <is>
          <t>Days sales in inventory (DSI), # of days</t>
        </is>
      </c>
      <c r="B223" s="602" t="n"/>
      <c r="C223" s="1110" t="n"/>
      <c r="D223" s="1111" t="n">
        <v>60</v>
      </c>
      <c r="E223" s="1111" t="n">
        <v>59</v>
      </c>
      <c r="F223" s="1111" t="n">
        <v>64</v>
      </c>
      <c r="G223" s="1053" t="n">
        <v>68</v>
      </c>
      <c r="H223" s="1053" t="n">
        <v>70</v>
      </c>
      <c r="I223" s="1053" t="n">
        <v>69</v>
      </c>
      <c r="J223" s="68">
        <f>K223</f>
        <v/>
      </c>
      <c r="K223" s="1111" t="n">
        <v>73</v>
      </c>
      <c r="L223" s="1053" t="n">
        <v>79</v>
      </c>
      <c r="M223" s="1053" t="n">
        <v>80</v>
      </c>
      <c r="N223" s="1053" t="n">
        <v>74</v>
      </c>
      <c r="O223" s="68">
        <f>P223</f>
        <v/>
      </c>
      <c r="P223" s="1111" t="n">
        <v>67</v>
      </c>
      <c r="Q223" s="1053" t="n">
        <v>72</v>
      </c>
      <c r="R223" s="1053" t="n">
        <v>73</v>
      </c>
      <c r="S223" s="1053" t="n">
        <v>68</v>
      </c>
      <c r="T223" s="68">
        <f>U223</f>
        <v/>
      </c>
      <c r="U223" s="1111" t="n">
        <v>80</v>
      </c>
      <c r="V223" s="1053" t="n">
        <v>80</v>
      </c>
      <c r="W223" s="1053" t="n">
        <v>77</v>
      </c>
      <c r="X223" s="1053" t="n">
        <v>68</v>
      </c>
      <c r="Y223" s="68">
        <f>Z223</f>
        <v/>
      </c>
      <c r="Z223" s="1111" t="n">
        <v>67</v>
      </c>
      <c r="AA223" s="1053" t="n">
        <v>65</v>
      </c>
      <c r="AB223" s="1053" t="n">
        <v>79</v>
      </c>
      <c r="AC223" s="1053" t="n">
        <v>75</v>
      </c>
      <c r="AD223" s="68">
        <f>AE223</f>
        <v/>
      </c>
      <c r="AE223" s="1111" t="n">
        <v>83</v>
      </c>
      <c r="AF223" s="1053" t="n">
        <v>95</v>
      </c>
      <c r="AG223" s="1053" t="n">
        <v>84</v>
      </c>
      <c r="AH223" s="1053" t="n">
        <v>73</v>
      </c>
      <c r="AI223" s="68">
        <f>AJ223</f>
        <v/>
      </c>
      <c r="AJ223" s="1111" t="n">
        <v>65</v>
      </c>
      <c r="AK223" s="1053" t="n">
        <v>64</v>
      </c>
      <c r="AL223" s="1053" t="n">
        <v>86</v>
      </c>
      <c r="AM223" s="1053" t="n">
        <v>102</v>
      </c>
      <c r="AN223" s="68">
        <f>AO223</f>
        <v/>
      </c>
      <c r="AO223" s="1111" t="n">
        <v>143</v>
      </c>
      <c r="AP223" s="1053" t="n">
        <v>140</v>
      </c>
      <c r="AQ223" s="1053" t="n">
        <v>106</v>
      </c>
      <c r="AR223" s="1053" t="n">
        <v>87</v>
      </c>
      <c r="AS223" s="68">
        <f>AT223</f>
        <v/>
      </c>
      <c r="AT223" s="1111" t="n">
        <v>82</v>
      </c>
      <c r="AU223" s="1053" t="n">
        <v>95</v>
      </c>
      <c r="AV223" s="1053" t="n">
        <v>80</v>
      </c>
      <c r="AW223" s="1053" t="n">
        <v>77</v>
      </c>
      <c r="AX223" s="68">
        <f>AY223</f>
        <v/>
      </c>
      <c r="AY223" s="1111" t="n">
        <v>97</v>
      </c>
      <c r="AZ223" s="1053" t="n">
        <v>89</v>
      </c>
      <c r="BA223" s="1053" t="n">
        <v>84</v>
      </c>
      <c r="BB223" s="1053" t="n">
        <v>82</v>
      </c>
      <c r="BC223" s="68">
        <f>BD223</f>
        <v/>
      </c>
      <c r="BD223" s="1111" t="n">
        <v>90</v>
      </c>
      <c r="BE223" s="1053" t="n">
        <v>101</v>
      </c>
      <c r="BF223" s="1053" t="n">
        <v>93</v>
      </c>
      <c r="BG223" s="1053" t="n">
        <v>147</v>
      </c>
      <c r="BH223" s="68">
        <f>BI223</f>
        <v/>
      </c>
      <c r="BI223" s="1111" t="n">
        <v>212</v>
      </c>
      <c r="BJ223" s="1053" t="n">
        <v>165</v>
      </c>
      <c r="BK223" s="1053" t="n">
        <v>97</v>
      </c>
      <c r="BL223" s="1053" t="n">
        <v>92</v>
      </c>
      <c r="BM223" s="68">
        <f>BN223</f>
        <v/>
      </c>
      <c r="BN223" s="1111" t="n">
        <v>90</v>
      </c>
      <c r="BO223" s="1053" t="n">
        <v>95</v>
      </c>
      <c r="BP223" s="1053" t="n">
        <v>81</v>
      </c>
      <c r="BQ223" s="1053" t="n">
        <v>78</v>
      </c>
      <c r="BR223" s="68">
        <f>BS223</f>
        <v/>
      </c>
      <c r="BS223" s="1111" t="n">
        <v>86</v>
      </c>
      <c r="BT223" s="1053" t="n">
        <v>59</v>
      </c>
      <c r="BU223" s="68" t="n"/>
      <c r="BV223" s="588" t="n"/>
      <c r="BW223" s="68" t="n"/>
      <c r="BX223" s="1110" t="n"/>
      <c r="BY223" s="68" t="n"/>
      <c r="BZ223" s="68" t="n"/>
      <c r="CA223" s="68" t="n"/>
      <c r="CB223" s="68" t="n"/>
      <c r="CC223" s="1110" t="n"/>
      <c r="CD223" s="1110" t="n"/>
      <c r="CE223" s="1110" t="n"/>
      <c r="CF223" s="1110" t="n"/>
      <c r="CG223" s="155" t="n"/>
    </row>
    <row r="224" hidden="1" outlineLevel="1">
      <c r="A224" s="605" t="n"/>
      <c r="B224" s="606" t="n"/>
      <c r="C224" s="1134" t="n"/>
      <c r="D224" s="1134" t="n"/>
      <c r="E224" s="1134" t="n"/>
      <c r="F224" s="1134" t="n"/>
      <c r="G224" s="93" t="n"/>
      <c r="H224" s="93" t="n"/>
      <c r="I224" s="93" t="n"/>
      <c r="J224" s="93" t="n"/>
      <c r="K224" s="1134" t="n"/>
      <c r="L224" s="93" t="n"/>
      <c r="M224" s="93" t="n"/>
      <c r="N224" s="93" t="n"/>
      <c r="O224" s="93" t="n"/>
      <c r="P224" s="1134" t="n"/>
      <c r="Q224" s="93" t="n"/>
      <c r="R224" s="93" t="n"/>
      <c r="S224" s="93" t="n"/>
      <c r="T224" s="93" t="n"/>
      <c r="U224" s="1134" t="n"/>
      <c r="V224" s="93" t="n"/>
      <c r="W224" s="93" t="n"/>
      <c r="X224" s="93" t="n"/>
      <c r="Y224" s="93" t="n"/>
      <c r="Z224" s="1134" t="n"/>
      <c r="AA224" s="93" t="n"/>
      <c r="AB224" s="93" t="n"/>
      <c r="AC224" s="93" t="n"/>
      <c r="AD224" s="93" t="n"/>
      <c r="AE224" s="1134" t="n"/>
      <c r="AF224" s="93" t="n"/>
      <c r="AG224" s="93" t="n"/>
      <c r="AH224" s="93" t="n"/>
      <c r="AI224" s="93" t="n"/>
      <c r="AJ224" s="1134" t="n"/>
      <c r="AK224" s="93" t="n"/>
      <c r="AL224" s="93" t="n"/>
      <c r="AM224" s="93" t="n"/>
      <c r="AN224" s="93" t="n"/>
      <c r="AO224" s="1134" t="n"/>
      <c r="AP224" s="93" t="n"/>
      <c r="AQ224" s="93" t="n"/>
      <c r="AR224" s="93" t="n"/>
      <c r="AS224" s="93" t="n"/>
      <c r="AT224" s="1134" t="n"/>
      <c r="AU224" s="93" t="n"/>
      <c r="AV224" s="93" t="n"/>
      <c r="AW224" s="93" t="n"/>
      <c r="AX224" s="93" t="n"/>
      <c r="AY224" s="1134" t="n"/>
      <c r="AZ224" s="93" t="n"/>
      <c r="BA224" s="93" t="n"/>
      <c r="BB224" s="93" t="n"/>
      <c r="BC224" s="93" t="n"/>
      <c r="BD224" s="1134" t="n"/>
      <c r="BE224" s="93" t="n"/>
      <c r="BF224" s="93" t="n"/>
      <c r="BG224" s="93" t="n"/>
      <c r="BH224" s="93" t="n"/>
      <c r="BI224" s="1134" t="n"/>
      <c r="BJ224" s="93" t="n"/>
      <c r="BK224" s="93" t="n"/>
      <c r="BL224" s="93" t="n"/>
      <c r="BM224" s="93" t="n"/>
      <c r="BN224" s="1134" t="n"/>
      <c r="BO224" s="93" t="n"/>
      <c r="BP224" s="93" t="n"/>
      <c r="BQ224" s="93" t="n"/>
      <c r="BR224" s="93" t="n"/>
      <c r="BS224" s="1134" t="n"/>
      <c r="BT224" s="93" t="n"/>
      <c r="BU224" s="93" t="n"/>
      <c r="BV224" s="522" t="n"/>
      <c r="BW224" s="93" t="n"/>
      <c r="BX224" s="1134" t="n"/>
      <c r="BY224" s="93" t="n"/>
      <c r="BZ224" s="93" t="n"/>
      <c r="CA224" s="93" t="n"/>
      <c r="CB224" s="93" t="n"/>
      <c r="CC224" s="1134" t="n"/>
      <c r="CD224" s="1134" t="n"/>
      <c r="CE224" s="1134" t="n"/>
      <c r="CF224" s="1134" t="n"/>
      <c r="CG224" s="155" t="n"/>
    </row>
    <row r="225" hidden="1" outlineLevel="1">
      <c r="A225" s="45" t="inlineStr">
        <is>
          <t>Key Metrics - Total Addressable Market (IP)</t>
        </is>
      </c>
      <c r="B225" s="45" t="n"/>
      <c r="C225" s="45" t="n"/>
      <c r="D225" s="45" t="n"/>
      <c r="E225" s="45" t="n"/>
      <c r="F225" s="45" t="n"/>
      <c r="G225" s="45" t="n"/>
      <c r="H225" s="45" t="n"/>
      <c r="I225" s="45" t="n"/>
      <c r="J225" s="45" t="n"/>
      <c r="K225" s="45" t="n"/>
      <c r="L225" s="45" t="n"/>
      <c r="M225" s="45" t="n"/>
      <c r="N225" s="45" t="n"/>
      <c r="O225" s="45" t="n"/>
      <c r="P225" s="45" t="n"/>
      <c r="Q225" s="45" t="n"/>
      <c r="R225" s="45" t="n"/>
      <c r="S225" s="45" t="n"/>
      <c r="T225" s="45" t="n"/>
      <c r="U225" s="45" t="n"/>
      <c r="V225" s="45" t="n"/>
      <c r="W225" s="45" t="n"/>
      <c r="X225" s="45" t="n"/>
      <c r="Y225" s="45" t="n"/>
      <c r="Z225" s="45" t="n"/>
      <c r="AA225" s="45" t="n"/>
      <c r="AB225" s="45" t="n"/>
      <c r="AC225" s="45" t="n"/>
      <c r="AD225" s="45" t="n"/>
      <c r="AE225" s="45" t="n"/>
      <c r="AF225" s="45" t="n"/>
      <c r="AG225" s="45" t="n"/>
      <c r="AH225" s="45" t="n"/>
      <c r="AI225" s="45" t="n"/>
      <c r="AJ225" s="45" t="n"/>
      <c r="AK225" s="45" t="n"/>
      <c r="AL225" s="45" t="n"/>
      <c r="AM225" s="45" t="n"/>
      <c r="AN225" s="45" t="n"/>
      <c r="AO225" s="45" t="n"/>
      <c r="AP225" s="45" t="n"/>
      <c r="AQ225" s="45" t="n"/>
      <c r="AR225" s="45" t="n"/>
      <c r="AS225" s="45" t="n"/>
      <c r="AT225" s="45" t="n"/>
      <c r="AU225" s="45" t="n"/>
      <c r="AV225" s="45" t="n"/>
      <c r="AW225" s="45" t="n"/>
      <c r="AX225" s="45" t="n"/>
      <c r="AY225" s="45" t="n"/>
      <c r="AZ225" s="45" t="n"/>
      <c r="BA225" s="45" t="n"/>
      <c r="BB225" s="45" t="n"/>
      <c r="BC225" s="45" t="n"/>
      <c r="BD225" s="45" t="n"/>
      <c r="BE225" s="45" t="n"/>
      <c r="BF225" s="45" t="n"/>
      <c r="BG225" s="45" t="n"/>
      <c r="BH225" s="45" t="n"/>
      <c r="BI225" s="45" t="n"/>
      <c r="BJ225" s="45" t="n"/>
      <c r="BK225" s="45" t="n"/>
      <c r="BL225" s="45" t="n"/>
      <c r="BM225" s="45" t="n"/>
      <c r="BN225" s="45" t="n"/>
      <c r="BO225" s="45" t="n"/>
      <c r="BP225" s="45" t="n"/>
      <c r="BQ225" s="45" t="n"/>
      <c r="BR225" s="45" t="n"/>
      <c r="BS225" s="45" t="n"/>
      <c r="BT225" s="45" t="n"/>
      <c r="BU225" s="45" t="n"/>
      <c r="BV225" s="982" t="n"/>
      <c r="BW225" s="45" t="n"/>
      <c r="BX225" s="45" t="n"/>
      <c r="BY225" s="45" t="n"/>
      <c r="BZ225" s="45" t="n"/>
      <c r="CA225" s="45" t="n"/>
      <c r="CB225" s="45" t="n"/>
      <c r="CC225" s="45" t="n"/>
      <c r="CD225" s="45" t="n"/>
      <c r="CE225" s="45" t="n"/>
      <c r="CF225" s="45" t="n"/>
      <c r="CG225" s="155" t="n"/>
    </row>
    <row r="226" hidden="1" outlineLevel="1" customFormat="1" s="227">
      <c r="A226" s="99" t="inlineStr">
        <is>
          <t>Omniverse enterprise TAM, bn</t>
        </is>
      </c>
      <c r="B226" s="602" t="n"/>
      <c r="C226" s="1110" t="n"/>
      <c r="D226" s="1110" t="n"/>
      <c r="E226" s="1110" t="n"/>
      <c r="F226" s="1110" t="n"/>
      <c r="G226" s="68" t="n"/>
      <c r="H226" s="68" t="n"/>
      <c r="I226" s="68" t="n"/>
      <c r="J226" s="68" t="n"/>
      <c r="K226" s="1110" t="n"/>
      <c r="L226" s="68" t="n"/>
      <c r="M226" s="68" t="n"/>
      <c r="N226" s="68" t="n"/>
      <c r="O226" s="68" t="n"/>
      <c r="P226" s="1110" t="n"/>
      <c r="Q226" s="68" t="n"/>
      <c r="R226" s="68" t="n"/>
      <c r="S226" s="68" t="n"/>
      <c r="T226" s="68" t="n"/>
      <c r="U226" s="1110" t="n"/>
      <c r="V226" s="68" t="n"/>
      <c r="W226" s="68" t="n"/>
      <c r="X226" s="68" t="n"/>
      <c r="Y226" s="68" t="n"/>
      <c r="Z226" s="1110" t="n"/>
      <c r="AA226" s="68" t="n"/>
      <c r="AB226" s="68" t="n"/>
      <c r="AC226" s="68" t="n"/>
      <c r="AD226" s="68" t="n"/>
      <c r="AE226" s="1110" t="n"/>
      <c r="AF226" s="68" t="n"/>
      <c r="AG226" s="68" t="n"/>
      <c r="AH226" s="68" t="n"/>
      <c r="AI226" s="68" t="n"/>
      <c r="AJ226" s="1110" t="n"/>
      <c r="AK226" s="68" t="n"/>
      <c r="AL226" s="68" t="n"/>
      <c r="AM226" s="68" t="n"/>
      <c r="AN226" s="68" t="n"/>
      <c r="AO226" s="1110" t="n"/>
      <c r="AP226" s="68" t="n"/>
      <c r="AQ226" s="68" t="n"/>
      <c r="AR226" s="68" t="n"/>
      <c r="AS226" s="68" t="n"/>
      <c r="AT226" s="1110" t="n"/>
      <c r="AU226" s="68" t="n"/>
      <c r="AV226" s="68" t="n"/>
      <c r="AW226" s="68" t="n"/>
      <c r="AX226" s="68" t="n"/>
      <c r="AY226" s="1110" t="n"/>
      <c r="AZ226" s="68" t="n"/>
      <c r="BA226" s="68" t="n"/>
      <c r="BB226" s="68" t="n"/>
      <c r="BC226" s="68" t="n"/>
      <c r="BD226" s="1110" t="n"/>
      <c r="BE226" s="68" t="n"/>
      <c r="BF226" s="68" t="n"/>
      <c r="BG226" s="1053" t="n">
        <v>150</v>
      </c>
      <c r="BH226" s="1053" t="n">
        <v>150</v>
      </c>
      <c r="BI226" s="1110" t="n"/>
      <c r="BJ226" s="1053" t="n">
        <v>150</v>
      </c>
      <c r="BK226" s="1053" t="n">
        <v>150</v>
      </c>
      <c r="BL226" s="1053" t="n">
        <v>150</v>
      </c>
      <c r="BM226" s="68" t="n"/>
      <c r="BN226" s="1110" t="n"/>
      <c r="BO226" s="68" t="n"/>
      <c r="BP226" s="68" t="n"/>
      <c r="BQ226" s="68" t="n"/>
      <c r="BR226" s="68" t="n"/>
      <c r="BS226" s="1110" t="n"/>
      <c r="BT226" s="68" t="n"/>
      <c r="BU226" s="68" t="n"/>
      <c r="BV226" s="588" t="n"/>
      <c r="BW226" s="68" t="n"/>
      <c r="BX226" s="1110" t="n"/>
      <c r="BY226" s="68" t="n"/>
      <c r="BZ226" s="68" t="n"/>
      <c r="CA226" s="68" t="n"/>
      <c r="CB226" s="68" t="n"/>
      <c r="CC226" s="1110" t="n"/>
      <c r="CD226" s="1110" t="n"/>
      <c r="CE226" s="1110" t="n"/>
      <c r="CF226" s="1110" t="n"/>
      <c r="CG226" s="27" t="n"/>
    </row>
    <row r="227" hidden="1" outlineLevel="1" customFormat="1" s="227">
      <c r="A227" s="99" t="inlineStr">
        <is>
          <t>Autonomous machines TAM, bn</t>
        </is>
      </c>
      <c r="B227" s="602" t="n"/>
      <c r="C227" s="1110" t="n"/>
      <c r="D227" s="1110" t="n"/>
      <c r="E227" s="1110" t="n"/>
      <c r="F227" s="1110" t="n"/>
      <c r="G227" s="68" t="n"/>
      <c r="H227" s="68" t="n"/>
      <c r="I227" s="68" t="n"/>
      <c r="J227" s="68" t="n"/>
      <c r="K227" s="1110" t="n"/>
      <c r="L227" s="68" t="n"/>
      <c r="M227" s="68" t="n"/>
      <c r="N227" s="68" t="n"/>
      <c r="O227" s="68" t="n"/>
      <c r="P227" s="1110" t="n"/>
      <c r="Q227" s="68" t="n"/>
      <c r="R227" s="68" t="n"/>
      <c r="S227" s="68" t="n"/>
      <c r="T227" s="68" t="n"/>
      <c r="U227" s="1110" t="n"/>
      <c r="V227" s="68" t="n"/>
      <c r="W227" s="68" t="n"/>
      <c r="X227" s="68" t="n"/>
      <c r="Y227" s="68" t="n"/>
      <c r="Z227" s="1110" t="n"/>
      <c r="AA227" s="68" t="n"/>
      <c r="AB227" s="68" t="n"/>
      <c r="AC227" s="68" t="n"/>
      <c r="AD227" s="68" t="n"/>
      <c r="AE227" s="1110" t="n"/>
      <c r="AF227" s="68" t="n"/>
      <c r="AG227" s="68" t="n"/>
      <c r="AH227" s="68" t="n"/>
      <c r="AI227" s="68" t="n"/>
      <c r="AJ227" s="1110" t="n"/>
      <c r="AK227" s="68" t="n"/>
      <c r="AL227" s="68" t="n"/>
      <c r="AM227" s="68" t="n"/>
      <c r="AN227" s="68" t="n"/>
      <c r="AO227" s="1110" t="n"/>
      <c r="AP227" s="68" t="n"/>
      <c r="AQ227" s="68" t="n"/>
      <c r="AR227" s="68" t="n"/>
      <c r="AS227" s="68" t="n"/>
      <c r="AT227" s="1110" t="n"/>
      <c r="AU227" s="68" t="n"/>
      <c r="AV227" s="68" t="n"/>
      <c r="AW227" s="68" t="n"/>
      <c r="AX227" s="68" t="n"/>
      <c r="AY227" s="1110" t="n"/>
      <c r="AZ227" s="68" t="n"/>
      <c r="BA227" s="68" t="n"/>
      <c r="BB227" s="68" t="n"/>
      <c r="BC227" s="68" t="n"/>
      <c r="BD227" s="1110" t="n"/>
      <c r="BE227" s="68" t="n"/>
      <c r="BF227" s="68" t="n"/>
      <c r="BG227" s="1053" t="n">
        <v>300</v>
      </c>
      <c r="BH227" s="1053" t="n">
        <v>300</v>
      </c>
      <c r="BI227" s="1110" t="n"/>
      <c r="BJ227" s="1053" t="n">
        <v>300</v>
      </c>
      <c r="BK227" s="1053" t="n">
        <v>300</v>
      </c>
      <c r="BL227" s="1053" t="n">
        <v>300</v>
      </c>
      <c r="BM227" s="68" t="n"/>
      <c r="BN227" s="1110" t="n"/>
      <c r="BO227" s="68" t="n"/>
      <c r="BP227" s="68" t="n"/>
      <c r="BQ227" s="68" t="n"/>
      <c r="BR227" s="68" t="n"/>
      <c r="BS227" s="1110" t="n"/>
      <c r="BT227" s="68" t="n"/>
      <c r="BU227" s="68" t="n"/>
      <c r="BV227" s="588" t="n"/>
      <c r="BW227" s="68" t="n"/>
      <c r="BX227" s="1110" t="n"/>
      <c r="BY227" s="68" t="n"/>
      <c r="BZ227" s="68" t="n"/>
      <c r="CA227" s="68" t="n"/>
      <c r="CB227" s="68" t="n"/>
      <c r="CC227" s="1110" t="n"/>
      <c r="CD227" s="1110" t="n"/>
      <c r="CE227" s="1110" t="n"/>
      <c r="CF227" s="1110" t="n"/>
      <c r="CG227" s="27" t="n"/>
    </row>
    <row r="228" hidden="1" outlineLevel="1" customFormat="1" s="227">
      <c r="A228" s="99" t="inlineStr">
        <is>
          <t>Nvidia AI enterprise &amp; DGX Cloud TAM, bn</t>
        </is>
      </c>
      <c r="B228" s="602" t="n"/>
      <c r="C228" s="1110" t="n"/>
      <c r="D228" s="1110" t="n"/>
      <c r="E228" s="1110" t="n"/>
      <c r="F228" s="1110" t="n"/>
      <c r="G228" s="68" t="n"/>
      <c r="H228" s="68" t="n"/>
      <c r="I228" s="68" t="n"/>
      <c r="J228" s="68" t="n"/>
      <c r="K228" s="1110" t="n"/>
      <c r="L228" s="68" t="n"/>
      <c r="M228" s="68" t="n"/>
      <c r="N228" s="68" t="n"/>
      <c r="O228" s="68" t="n"/>
      <c r="P228" s="1110" t="n"/>
      <c r="Q228" s="68" t="n"/>
      <c r="R228" s="68" t="n"/>
      <c r="S228" s="68" t="n"/>
      <c r="T228" s="68" t="n"/>
      <c r="U228" s="1110" t="n"/>
      <c r="V228" s="68" t="n"/>
      <c r="W228" s="68" t="n"/>
      <c r="X228" s="68" t="n"/>
      <c r="Y228" s="68" t="n"/>
      <c r="Z228" s="1110" t="n"/>
      <c r="AA228" s="68" t="n"/>
      <c r="AB228" s="68" t="n"/>
      <c r="AC228" s="68" t="n"/>
      <c r="AD228" s="68" t="n"/>
      <c r="AE228" s="1110" t="n"/>
      <c r="AF228" s="68" t="n"/>
      <c r="AG228" s="68" t="n"/>
      <c r="AH228" s="68" t="n"/>
      <c r="AI228" s="68" t="n"/>
      <c r="AJ228" s="1110" t="n"/>
      <c r="AK228" s="68" t="n"/>
      <c r="AL228" s="68" t="n"/>
      <c r="AM228" s="68" t="n"/>
      <c r="AN228" s="68" t="n"/>
      <c r="AO228" s="1110" t="n"/>
      <c r="AP228" s="68" t="n"/>
      <c r="AQ228" s="68" t="n"/>
      <c r="AR228" s="68" t="n"/>
      <c r="AS228" s="68" t="n"/>
      <c r="AT228" s="1110" t="n"/>
      <c r="AU228" s="68" t="n"/>
      <c r="AV228" s="68" t="n"/>
      <c r="AW228" s="68" t="n"/>
      <c r="AX228" s="68" t="n"/>
      <c r="AY228" s="1110" t="n"/>
      <c r="AZ228" s="68" t="n"/>
      <c r="BA228" s="68" t="n"/>
      <c r="BB228" s="68" t="n"/>
      <c r="BC228" s="68" t="n"/>
      <c r="BD228" s="1110" t="n"/>
      <c r="BE228" s="68" t="n"/>
      <c r="BF228" s="68" t="n"/>
      <c r="BG228" s="1053" t="n">
        <v>150</v>
      </c>
      <c r="BH228" s="1053" t="n">
        <v>150</v>
      </c>
      <c r="BI228" s="1110" t="n"/>
      <c r="BJ228" s="1053" t="n">
        <v>150</v>
      </c>
      <c r="BK228" s="1053" t="n">
        <v>150</v>
      </c>
      <c r="BL228" s="1053" t="n">
        <v>150</v>
      </c>
      <c r="BM228" s="68" t="n"/>
      <c r="BN228" s="1110" t="n"/>
      <c r="BO228" s="68" t="n"/>
      <c r="BP228" s="68" t="n"/>
      <c r="BQ228" s="68" t="n"/>
      <c r="BR228" s="68" t="n"/>
      <c r="BS228" s="1110" t="n"/>
      <c r="BT228" s="68" t="n"/>
      <c r="BU228" s="68" t="n"/>
      <c r="BV228" s="588" t="n"/>
      <c r="BW228" s="68" t="n"/>
      <c r="BX228" s="1110" t="n"/>
      <c r="BY228" s="68" t="n"/>
      <c r="BZ228" s="68" t="n"/>
      <c r="CA228" s="68" t="n"/>
      <c r="CB228" s="68" t="n"/>
      <c r="CC228" s="1110" t="n"/>
      <c r="CD228" s="1110" t="n"/>
      <c r="CE228" s="1110" t="n"/>
      <c r="CF228" s="1110" t="n"/>
      <c r="CG228" s="27" t="n"/>
    </row>
    <row r="229" hidden="1" outlineLevel="1" customFormat="1" s="227">
      <c r="A229" s="99" t="inlineStr">
        <is>
          <t>Data center systems TAM, bn</t>
        </is>
      </c>
      <c r="B229" s="602" t="n"/>
      <c r="C229" s="1110" t="n"/>
      <c r="D229" s="1110" t="n"/>
      <c r="E229" s="1110" t="n"/>
      <c r="F229" s="1110" t="n"/>
      <c r="G229" s="68" t="n"/>
      <c r="H229" s="68" t="n"/>
      <c r="I229" s="68" t="n"/>
      <c r="J229" s="68" t="n"/>
      <c r="K229" s="1110" t="n"/>
      <c r="L229" s="68" t="n"/>
      <c r="M229" s="68" t="n"/>
      <c r="N229" s="68" t="n"/>
      <c r="O229" s="68" t="n"/>
      <c r="P229" s="1110" t="n"/>
      <c r="Q229" s="68" t="n"/>
      <c r="R229" s="68" t="n"/>
      <c r="S229" s="68" t="n"/>
      <c r="T229" s="68" t="n"/>
      <c r="U229" s="1110" t="n"/>
      <c r="V229" s="68" t="n"/>
      <c r="W229" s="68" t="n"/>
      <c r="X229" s="68" t="n"/>
      <c r="Y229" s="68" t="n"/>
      <c r="Z229" s="1110" t="n"/>
      <c r="AA229" s="68" t="n"/>
      <c r="AB229" s="68" t="n"/>
      <c r="AC229" s="68" t="n"/>
      <c r="AD229" s="68" t="n"/>
      <c r="AE229" s="1110" t="n"/>
      <c r="AF229" s="68" t="n"/>
      <c r="AG229" s="68" t="n"/>
      <c r="AH229" s="68" t="n"/>
      <c r="AI229" s="68" t="n"/>
      <c r="AJ229" s="1110" t="n"/>
      <c r="AK229" s="68" t="n"/>
      <c r="AL229" s="68" t="n"/>
      <c r="AM229" s="68" t="n"/>
      <c r="AN229" s="68" t="n"/>
      <c r="AO229" s="1110" t="n"/>
      <c r="AP229" s="68" t="n"/>
      <c r="AQ229" s="68" t="n"/>
      <c r="AR229" s="68" t="n"/>
      <c r="AS229" s="68" t="n"/>
      <c r="AT229" s="1110" t="n"/>
      <c r="AU229" s="68" t="n"/>
      <c r="AV229" s="68" t="n"/>
      <c r="AW229" s="68" t="n"/>
      <c r="AX229" s="68" t="n"/>
      <c r="AY229" s="1110" t="n"/>
      <c r="AZ229" s="68" t="n"/>
      <c r="BA229" s="68" t="n"/>
      <c r="BB229" s="68" t="n"/>
      <c r="BC229" s="68" t="n"/>
      <c r="BD229" s="1110" t="n"/>
      <c r="BE229" s="68" t="n"/>
      <c r="BF229" s="68" t="n"/>
      <c r="BG229" s="1053" t="n">
        <v>300</v>
      </c>
      <c r="BH229" s="1053" t="n">
        <v>300</v>
      </c>
      <c r="BI229" s="1110" t="n"/>
      <c r="BJ229" s="1053" t="n">
        <v>300</v>
      </c>
      <c r="BK229" s="1053" t="n">
        <v>300</v>
      </c>
      <c r="BL229" s="1053" t="n">
        <v>300</v>
      </c>
      <c r="BM229" s="68" t="n"/>
      <c r="BN229" s="1110" t="n"/>
      <c r="BO229" s="68" t="n"/>
      <c r="BP229" s="68" t="n"/>
      <c r="BQ229" s="68" t="n"/>
      <c r="BR229" s="68" t="n"/>
      <c r="BS229" s="1110" t="n"/>
      <c r="BT229" s="68" t="n"/>
      <c r="BU229" s="68" t="n"/>
      <c r="BV229" s="588" t="n"/>
      <c r="BW229" s="68" t="n"/>
      <c r="BX229" s="1110" t="n"/>
      <c r="BY229" s="68" t="n"/>
      <c r="BZ229" s="68" t="n"/>
      <c r="CA229" s="68" t="n"/>
      <c r="CB229" s="68" t="n"/>
      <c r="CC229" s="1110" t="n"/>
      <c r="CD229" s="1110" t="n"/>
      <c r="CE229" s="1110" t="n"/>
      <c r="CF229" s="1110" t="n"/>
      <c r="CG229" s="27" t="n"/>
    </row>
    <row r="230" hidden="1" outlineLevel="1" customFormat="1" s="227">
      <c r="A230" s="99" t="inlineStr">
        <is>
          <t>Gaming TAM, bn</t>
        </is>
      </c>
      <c r="B230" s="602" t="n"/>
      <c r="C230" s="1110" t="n"/>
      <c r="D230" s="1110" t="n"/>
      <c r="E230" s="1110" t="n"/>
      <c r="F230" s="1110" t="n"/>
      <c r="G230" s="68" t="n"/>
      <c r="H230" s="68" t="n"/>
      <c r="I230" s="68" t="n"/>
      <c r="J230" s="68" t="n"/>
      <c r="K230" s="1110" t="n"/>
      <c r="L230" s="68" t="n"/>
      <c r="M230" s="68" t="n"/>
      <c r="N230" s="68" t="n"/>
      <c r="O230" s="68" t="n"/>
      <c r="P230" s="1110" t="n"/>
      <c r="Q230" s="68" t="n"/>
      <c r="R230" s="68" t="n"/>
      <c r="S230" s="68" t="n"/>
      <c r="T230" s="68" t="n"/>
      <c r="U230" s="1110" t="n"/>
      <c r="V230" s="68" t="n"/>
      <c r="W230" s="68" t="n"/>
      <c r="X230" s="68" t="n"/>
      <c r="Y230" s="68" t="n"/>
      <c r="Z230" s="1110" t="n"/>
      <c r="AA230" s="68" t="n"/>
      <c r="AB230" s="68" t="n"/>
      <c r="AC230" s="68" t="n"/>
      <c r="AD230" s="68" t="n"/>
      <c r="AE230" s="1110" t="n"/>
      <c r="AF230" s="68" t="n"/>
      <c r="AG230" s="68" t="n"/>
      <c r="AH230" s="68" t="n"/>
      <c r="AI230" s="68" t="n"/>
      <c r="AJ230" s="1110" t="n"/>
      <c r="AK230" s="68" t="n"/>
      <c r="AL230" s="68" t="n"/>
      <c r="AM230" s="68" t="n"/>
      <c r="AN230" s="68" t="n"/>
      <c r="AO230" s="1110" t="n"/>
      <c r="AP230" s="68" t="n"/>
      <c r="AQ230" s="68" t="n"/>
      <c r="AR230" s="68" t="n"/>
      <c r="AS230" s="68" t="n"/>
      <c r="AT230" s="1110" t="n"/>
      <c r="AU230" s="68" t="n"/>
      <c r="AV230" s="68" t="n"/>
      <c r="AW230" s="68" t="n"/>
      <c r="AX230" s="68" t="n"/>
      <c r="AY230" s="1110" t="n"/>
      <c r="AZ230" s="68" t="n"/>
      <c r="BA230" s="68" t="n"/>
      <c r="BB230" s="68" t="n"/>
      <c r="BC230" s="68" t="n"/>
      <c r="BD230" s="1110" t="n"/>
      <c r="BE230" s="68" t="n"/>
      <c r="BF230" s="68" t="n"/>
      <c r="BG230" s="1053" t="n">
        <v>100</v>
      </c>
      <c r="BH230" s="1053" t="n">
        <v>100</v>
      </c>
      <c r="BI230" s="1110" t="n"/>
      <c r="BJ230" s="1053" t="n">
        <v>100</v>
      </c>
      <c r="BK230" s="1053" t="n">
        <v>100</v>
      </c>
      <c r="BL230" s="1053" t="n">
        <v>100</v>
      </c>
      <c r="BM230" s="68" t="n"/>
      <c r="BN230" s="1110" t="n"/>
      <c r="BO230" s="68" t="n"/>
      <c r="BP230" s="68" t="n"/>
      <c r="BQ230" s="68" t="n"/>
      <c r="BR230" s="68" t="n"/>
      <c r="BS230" s="1110" t="n"/>
      <c r="BT230" s="68" t="n"/>
      <c r="BU230" s="68" t="n"/>
      <c r="BV230" s="588" t="n"/>
      <c r="BW230" s="68" t="n"/>
      <c r="BX230" s="1110" t="n"/>
      <c r="BY230" s="68" t="n"/>
      <c r="BZ230" s="68" t="n"/>
      <c r="CA230" s="68" t="n"/>
      <c r="CB230" s="68" t="n"/>
      <c r="CC230" s="1110" t="n"/>
      <c r="CD230" s="1110" t="n"/>
      <c r="CE230" s="1110" t="n"/>
      <c r="CF230" s="1110" t="n"/>
      <c r="CG230" s="27" t="n"/>
    </row>
    <row r="231" hidden="1" outlineLevel="1" customFormat="1" s="227">
      <c r="A231" s="631" t="inlineStr">
        <is>
          <t>Total long term TAM, bn</t>
        </is>
      </c>
      <c r="B231" s="604" t="n"/>
      <c r="C231" s="1122" t="n"/>
      <c r="D231" s="1122" t="n"/>
      <c r="E231" s="1122" t="n"/>
      <c r="F231" s="1122" t="n"/>
      <c r="G231" s="61" t="n"/>
      <c r="H231" s="61" t="n"/>
      <c r="I231" s="61" t="n"/>
      <c r="J231" s="61" t="n"/>
      <c r="K231" s="1122" t="n"/>
      <c r="L231" s="61" t="n"/>
      <c r="M231" s="61" t="n"/>
      <c r="N231" s="61" t="n"/>
      <c r="O231" s="61" t="n"/>
      <c r="P231" s="1122" t="n"/>
      <c r="Q231" s="61" t="n"/>
      <c r="R231" s="61" t="n"/>
      <c r="S231" s="61" t="n"/>
      <c r="T231" s="61" t="n"/>
      <c r="U231" s="1122" t="n"/>
      <c r="V231" s="61" t="n"/>
      <c r="W231" s="61" t="n"/>
      <c r="X231" s="61" t="n"/>
      <c r="Y231" s="61" t="n"/>
      <c r="Z231" s="1122" t="n"/>
      <c r="AA231" s="61" t="n"/>
      <c r="AB231" s="61" t="n"/>
      <c r="AC231" s="61" t="n"/>
      <c r="AD231" s="61" t="n"/>
      <c r="AE231" s="1122" t="n"/>
      <c r="AF231" s="61" t="n"/>
      <c r="AG231" s="61" t="n"/>
      <c r="AH231" s="61" t="n"/>
      <c r="AI231" s="61" t="n"/>
      <c r="AJ231" s="1122" t="n"/>
      <c r="AK231" s="61" t="n"/>
      <c r="AL231" s="61" t="n"/>
      <c r="AM231" s="61" t="n"/>
      <c r="AN231" s="61" t="n"/>
      <c r="AO231" s="1122" t="n"/>
      <c r="AP231" s="61" t="n"/>
      <c r="AQ231" s="61" t="n"/>
      <c r="AR231" s="61" t="n"/>
      <c r="AS231" s="61" t="n"/>
      <c r="AT231" s="1122" t="n"/>
      <c r="AU231" s="61" t="n"/>
      <c r="AV231" s="61" t="n"/>
      <c r="AW231" s="61" t="n"/>
      <c r="AX231" s="61" t="n"/>
      <c r="AY231" s="1122" t="n"/>
      <c r="AZ231" s="61" t="n"/>
      <c r="BA231" s="61" t="n"/>
      <c r="BB231" s="61" t="n"/>
      <c r="BC231" s="61" t="n"/>
      <c r="BD231" s="1122" t="n"/>
      <c r="BE231" s="61" t="n"/>
      <c r="BF231" s="61" t="n"/>
      <c r="BG231" s="61">
        <f>SUM(BG226:BG230)</f>
        <v/>
      </c>
      <c r="BH231" s="61">
        <f>SUM(BH226:BH230)</f>
        <v/>
      </c>
      <c r="BI231" s="1122" t="n"/>
      <c r="BJ231" s="61">
        <f>SUM(BJ226:BJ230)</f>
        <v/>
      </c>
      <c r="BK231" s="61">
        <f>SUM(BK226:BK230)</f>
        <v/>
      </c>
      <c r="BL231" s="61">
        <f>SUM(BL226:BL230)</f>
        <v/>
      </c>
      <c r="BM231" s="61" t="n"/>
      <c r="BN231" s="1122" t="n"/>
      <c r="BO231" s="61" t="n"/>
      <c r="BP231" s="61" t="n"/>
      <c r="BQ231" s="61" t="n"/>
      <c r="BR231" s="61" t="n"/>
      <c r="BS231" s="1122" t="n"/>
      <c r="BT231" s="61" t="n"/>
      <c r="BU231" s="61" t="n"/>
      <c r="BV231" s="884" t="n"/>
      <c r="BW231" s="61" t="n"/>
      <c r="BX231" s="1122" t="n"/>
      <c r="BY231" s="61" t="n"/>
      <c r="BZ231" s="61" t="n"/>
      <c r="CA231" s="61" t="n"/>
      <c r="CB231" s="61" t="n"/>
      <c r="CC231" s="1122" t="n"/>
      <c r="CD231" s="1122" t="n"/>
      <c r="CE231" s="1122" t="n"/>
      <c r="CF231" s="1122" t="n"/>
      <c r="CG231" s="27" t="n"/>
    </row>
    <row r="232" hidden="1" outlineLevel="1">
      <c r="A232" s="605" t="n"/>
      <c r="B232" s="606" t="n"/>
      <c r="C232" s="1134" t="n"/>
      <c r="D232" s="1134" t="n"/>
      <c r="E232" s="1134" t="n"/>
      <c r="F232" s="1134" t="n"/>
      <c r="G232" s="93" t="n"/>
      <c r="H232" s="93" t="n"/>
      <c r="I232" s="93" t="n"/>
      <c r="J232" s="93" t="n"/>
      <c r="K232" s="1134" t="n"/>
      <c r="L232" s="93" t="n"/>
      <c r="M232" s="93" t="n"/>
      <c r="N232" s="93" t="n"/>
      <c r="O232" s="93" t="n"/>
      <c r="P232" s="1134" t="n"/>
      <c r="Q232" s="93" t="n"/>
      <c r="R232" s="93" t="n"/>
      <c r="S232" s="93" t="n"/>
      <c r="T232" s="93" t="n"/>
      <c r="U232" s="1134" t="n"/>
      <c r="V232" s="93" t="n"/>
      <c r="W232" s="93" t="n"/>
      <c r="X232" s="93" t="n"/>
      <c r="Y232" s="93" t="n"/>
      <c r="Z232" s="1134" t="n"/>
      <c r="AA232" s="93" t="n"/>
      <c r="AB232" s="93" t="n"/>
      <c r="AC232" s="93" t="n"/>
      <c r="AD232" s="93" t="n"/>
      <c r="AE232" s="1134" t="n"/>
      <c r="AF232" s="93" t="n"/>
      <c r="AG232" s="93" t="n"/>
      <c r="AH232" s="93" t="n"/>
      <c r="AI232" s="93" t="n"/>
      <c r="AJ232" s="1134" t="n"/>
      <c r="AK232" s="93" t="n"/>
      <c r="AL232" s="93" t="n"/>
      <c r="AM232" s="93" t="n"/>
      <c r="AN232" s="93" t="n"/>
      <c r="AO232" s="1134" t="n"/>
      <c r="AP232" s="93" t="n"/>
      <c r="AQ232" s="93" t="n"/>
      <c r="AR232" s="93" t="n"/>
      <c r="AS232" s="93" t="n"/>
      <c r="AT232" s="1134" t="n"/>
      <c r="AU232" s="93" t="n"/>
      <c r="AV232" s="93" t="n"/>
      <c r="AW232" s="93" t="n"/>
      <c r="AX232" s="93" t="n"/>
      <c r="AY232" s="1134" t="n"/>
      <c r="AZ232" s="93" t="n"/>
      <c r="BA232" s="93" t="n"/>
      <c r="BB232" s="93" t="n"/>
      <c r="BC232" s="93" t="n"/>
      <c r="BD232" s="1134" t="n"/>
      <c r="BE232" s="93" t="n"/>
      <c r="BF232" s="93" t="n"/>
      <c r="BG232" s="93" t="n"/>
      <c r="BH232" s="93" t="n"/>
      <c r="BI232" s="1134" t="n"/>
      <c r="BJ232" s="93" t="n"/>
      <c r="BK232" s="93" t="n"/>
      <c r="BL232" s="93" t="n"/>
      <c r="BM232" s="93" t="n"/>
      <c r="BN232" s="1134" t="n"/>
      <c r="BO232" s="93" t="n"/>
      <c r="BP232" s="93" t="n"/>
      <c r="BQ232" s="93" t="n"/>
      <c r="BR232" s="93" t="n"/>
      <c r="BS232" s="1134" t="n"/>
      <c r="BT232" s="93" t="n"/>
      <c r="BU232" s="93" t="n"/>
      <c r="BV232" s="522" t="n"/>
      <c r="BW232" s="93" t="n"/>
      <c r="BX232" s="1134" t="n"/>
      <c r="BY232" s="93" t="n"/>
      <c r="BZ232" s="93" t="n"/>
      <c r="CA232" s="93" t="n"/>
      <c r="CB232" s="93" t="n"/>
      <c r="CC232" s="1134" t="n"/>
      <c r="CD232" s="1134" t="n"/>
      <c r="CE232" s="1134" t="n"/>
      <c r="CF232" s="1134" t="n"/>
      <c r="CG232" s="155" t="n"/>
    </row>
    <row r="233" hidden="1" outlineLevel="1">
      <c r="A233" s="45" t="inlineStr">
        <is>
          <t>Key Metrics - Employee Count (FS)</t>
        </is>
      </c>
      <c r="B233" s="45" t="n"/>
      <c r="C233" s="45" t="n"/>
      <c r="D233" s="45" t="n"/>
      <c r="E233" s="45" t="n"/>
      <c r="F233" s="45" t="n"/>
      <c r="G233" s="45" t="n"/>
      <c r="H233" s="45" t="n"/>
      <c r="I233" s="45" t="n"/>
      <c r="J233" s="45" t="n"/>
      <c r="K233" s="45" t="n"/>
      <c r="L233" s="45" t="n"/>
      <c r="M233" s="45" t="n"/>
      <c r="N233" s="45" t="n"/>
      <c r="O233" s="45" t="n"/>
      <c r="P233" s="45" t="n"/>
      <c r="Q233" s="45" t="n"/>
      <c r="R233" s="45" t="n"/>
      <c r="S233" s="45" t="n"/>
      <c r="T233" s="45" t="n"/>
      <c r="U233" s="45" t="n"/>
      <c r="V233" s="45" t="n"/>
      <c r="W233" s="45" t="n"/>
      <c r="X233" s="45" t="n"/>
      <c r="Y233" s="45" t="n"/>
      <c r="Z233" s="45" t="n"/>
      <c r="AA233" s="45" t="n"/>
      <c r="AB233" s="45" t="n"/>
      <c r="AC233" s="45" t="n"/>
      <c r="AD233" s="45" t="n"/>
      <c r="AE233" s="45" t="n"/>
      <c r="AF233" s="45" t="n"/>
      <c r="AG233" s="45" t="n"/>
      <c r="AH233" s="45" t="n"/>
      <c r="AI233" s="45" t="n"/>
      <c r="AJ233" s="45" t="n"/>
      <c r="AK233" s="45" t="n"/>
      <c r="AL233" s="45" t="n"/>
      <c r="AM233" s="45" t="n"/>
      <c r="AN233" s="45" t="n"/>
      <c r="AO233" s="45" t="n"/>
      <c r="AP233" s="45" t="n"/>
      <c r="AQ233" s="45" t="n"/>
      <c r="AR233" s="45" t="n"/>
      <c r="AS233" s="45" t="n"/>
      <c r="AT233" s="45" t="n"/>
      <c r="AU233" s="45" t="n"/>
      <c r="AV233" s="45" t="n"/>
      <c r="AW233" s="45" t="n"/>
      <c r="AX233" s="45" t="n"/>
      <c r="AY233" s="45" t="n"/>
      <c r="AZ233" s="45" t="n"/>
      <c r="BA233" s="45" t="n"/>
      <c r="BB233" s="45" t="n"/>
      <c r="BC233" s="45" t="n"/>
      <c r="BD233" s="45" t="n"/>
      <c r="BE233" s="45" t="n"/>
      <c r="BF233" s="45" t="n"/>
      <c r="BG233" s="45" t="n"/>
      <c r="BH233" s="45" t="n"/>
      <c r="BI233" s="45" t="n"/>
      <c r="BJ233" s="45" t="n"/>
      <c r="BK233" s="45" t="n"/>
      <c r="BL233" s="45" t="n"/>
      <c r="BM233" s="45" t="n"/>
      <c r="BN233" s="45" t="n"/>
      <c r="BO233" s="45" t="n"/>
      <c r="BP233" s="45" t="n"/>
      <c r="BQ233" s="45" t="n"/>
      <c r="BR233" s="45" t="n"/>
      <c r="BS233" s="45" t="n"/>
      <c r="BT233" s="45" t="n"/>
      <c r="BU233" s="45" t="n"/>
      <c r="BV233" s="982" t="n"/>
      <c r="BW233" s="45" t="n"/>
      <c r="BX233" s="45" t="n"/>
      <c r="BY233" s="45" t="n"/>
      <c r="BZ233" s="45" t="n"/>
      <c r="CA233" s="45" t="n"/>
      <c r="CB233" s="45" t="n"/>
      <c r="CC233" s="45" t="n"/>
      <c r="CD233" s="45" t="n"/>
      <c r="CE233" s="45" t="n"/>
      <c r="CF233" s="45" t="n"/>
      <c r="CG233" s="155" t="n"/>
    </row>
    <row r="234" hidden="1" outlineLevel="1">
      <c r="A234" s="99" t="inlineStr">
        <is>
          <t>R&amp;D, # of employees</t>
        </is>
      </c>
      <c r="B234" s="602" t="n"/>
      <c r="C234" s="1111" t="n">
        <v>3772</v>
      </c>
      <c r="D234" s="1111" t="n">
        <v>3940</v>
      </c>
      <c r="E234" s="1111" t="n">
        <v>4161</v>
      </c>
      <c r="F234" s="1111" t="n">
        <v>5042</v>
      </c>
      <c r="G234" s="68" t="n"/>
      <c r="H234" s="68" t="n"/>
      <c r="I234" s="68" t="n"/>
      <c r="J234" s="68" t="n"/>
      <c r="K234" s="1111" t="n">
        <v>5783</v>
      </c>
      <c r="L234" s="68" t="n"/>
      <c r="M234" s="68" t="n"/>
      <c r="N234" s="68" t="n"/>
      <c r="O234" s="68" t="n"/>
      <c r="P234" s="1111" t="n">
        <v>6384</v>
      </c>
      <c r="Q234" s="68" t="n"/>
      <c r="R234" s="68" t="n"/>
      <c r="S234" s="68" t="n"/>
      <c r="T234" s="68" t="n"/>
      <c r="U234" s="1111" t="n">
        <v>6658</v>
      </c>
      <c r="V234" s="68" t="n"/>
      <c r="W234" s="68" t="n"/>
      <c r="X234" s="68" t="n"/>
      <c r="Y234" s="68" t="n"/>
      <c r="Z234" s="1111" t="n">
        <v>6566</v>
      </c>
      <c r="AA234" s="68" t="n"/>
      <c r="AB234" s="68" t="n"/>
      <c r="AC234" s="68" t="n"/>
      <c r="AD234" s="68" t="n"/>
      <c r="AE234" s="1111" t="n">
        <v>7282</v>
      </c>
      <c r="AF234" s="68" t="n"/>
      <c r="AG234" s="68" t="n"/>
      <c r="AH234" s="68" t="n"/>
      <c r="AI234" s="68" t="n"/>
      <c r="AJ234" s="1111" t="n">
        <v>8191</v>
      </c>
      <c r="AK234" s="68" t="n"/>
      <c r="AL234" s="68" t="n"/>
      <c r="AM234" s="68" t="n"/>
      <c r="AN234" s="68" t="n"/>
      <c r="AO234" s="1111" t="n">
        <v>9486</v>
      </c>
      <c r="AP234" s="68" t="n"/>
      <c r="AQ234" s="68" t="n"/>
      <c r="AR234" s="68" t="n"/>
      <c r="AS234" s="68" t="n"/>
      <c r="AT234" s="1111" t="n">
        <v>9823</v>
      </c>
      <c r="AU234" s="68" t="n"/>
      <c r="AV234" s="68" t="n"/>
      <c r="AW234" s="68" t="n"/>
      <c r="AX234" s="68" t="n"/>
      <c r="AY234" s="1111" t="n">
        <v>13532</v>
      </c>
      <c r="AZ234" s="68" t="n"/>
      <c r="BA234" s="68" t="n"/>
      <c r="BB234" s="68" t="n"/>
      <c r="BC234" s="68" t="n"/>
      <c r="BD234" s="1111" t="n">
        <v>16242</v>
      </c>
      <c r="BE234" s="68" t="n"/>
      <c r="BF234" s="68" t="n"/>
      <c r="BG234" s="68" t="n"/>
      <c r="BH234" s="68" t="n"/>
      <c r="BI234" s="1111" t="n">
        <v>19532</v>
      </c>
      <c r="BJ234" s="68" t="n"/>
      <c r="BK234" s="68" t="n"/>
      <c r="BL234" s="68" t="n"/>
      <c r="BM234" s="68" t="n"/>
      <c r="BN234" s="1111" t="n">
        <v>22200</v>
      </c>
      <c r="BO234" s="68" t="n"/>
      <c r="BP234" s="68" t="n"/>
      <c r="BQ234" s="68" t="n"/>
      <c r="BR234" s="68" t="n"/>
      <c r="BS234" s="1111" t="n">
        <v>27100</v>
      </c>
      <c r="BT234" s="68" t="n"/>
      <c r="BU234" s="68" t="n"/>
      <c r="BV234" s="588" t="n"/>
      <c r="BW234" s="68" t="n"/>
      <c r="BX234" s="1110" t="n"/>
      <c r="BY234" s="68" t="n"/>
      <c r="BZ234" s="68" t="n"/>
      <c r="CA234" s="68" t="n"/>
      <c r="CB234" s="68" t="n"/>
      <c r="CC234" s="1110" t="n"/>
      <c r="CD234" s="1110" t="n"/>
      <c r="CE234" s="1110" t="n"/>
      <c r="CF234" s="1110" t="n"/>
      <c r="CG234" s="155" t="n"/>
    </row>
    <row r="235" hidden="1" outlineLevel="1">
      <c r="A235" s="99" t="inlineStr">
        <is>
          <t>Sales, marketing, operations &amp; admin, # of employees</t>
        </is>
      </c>
      <c r="B235" s="602" t="n"/>
      <c r="C235" s="1111" t="n">
        <v>1648</v>
      </c>
      <c r="D235" s="1111" t="n">
        <v>1766</v>
      </c>
      <c r="E235" s="1111" t="n">
        <v>1868</v>
      </c>
      <c r="F235" s="1111" t="n">
        <v>2091</v>
      </c>
      <c r="G235" s="68" t="n"/>
      <c r="H235" s="68" t="n"/>
      <c r="I235" s="68" t="n"/>
      <c r="J235" s="68" t="n"/>
      <c r="K235" s="1111" t="n">
        <v>2191</v>
      </c>
      <c r="L235" s="68" t="n"/>
      <c r="M235" s="68" t="n"/>
      <c r="N235" s="68" t="n"/>
      <c r="O235" s="68" t="n"/>
      <c r="P235" s="1111" t="n">
        <v>2424</v>
      </c>
      <c r="Q235" s="68" t="n"/>
      <c r="R235" s="68" t="n"/>
      <c r="S235" s="68" t="n"/>
      <c r="T235" s="68" t="n"/>
      <c r="U235" s="1111" t="n">
        <v>2570</v>
      </c>
      <c r="V235" s="68" t="n"/>
      <c r="W235" s="68" t="n"/>
      <c r="X235" s="68" t="n"/>
      <c r="Y235" s="68" t="n"/>
      <c r="Z235" s="1111" t="n">
        <v>2661</v>
      </c>
      <c r="AA235" s="68" t="n"/>
      <c r="AB235" s="68" t="n"/>
      <c r="AC235" s="68" t="n"/>
      <c r="AD235" s="68" t="n"/>
      <c r="AE235" s="1111" t="n">
        <v>3017</v>
      </c>
      <c r="AF235" s="68" t="n"/>
      <c r="AG235" s="68" t="n"/>
      <c r="AH235" s="68" t="n"/>
      <c r="AI235" s="68" t="n"/>
      <c r="AJ235" s="1111" t="n">
        <v>3337</v>
      </c>
      <c r="AK235" s="68" t="n"/>
      <c r="AL235" s="68" t="n"/>
      <c r="AM235" s="68" t="n"/>
      <c r="AN235" s="68" t="n"/>
      <c r="AO235" s="1111" t="n">
        <v>3791</v>
      </c>
      <c r="AP235" s="68" t="n"/>
      <c r="AQ235" s="68" t="n"/>
      <c r="AR235" s="68" t="n"/>
      <c r="AS235" s="68" t="n"/>
      <c r="AT235" s="1111" t="n">
        <v>3952</v>
      </c>
      <c r="AU235" s="68" t="n"/>
      <c r="AV235" s="68" t="n"/>
      <c r="AW235" s="68" t="n"/>
      <c r="AX235" s="68" t="n"/>
      <c r="AY235" s="1111" t="n">
        <v>5443</v>
      </c>
      <c r="AZ235" s="68" t="n"/>
      <c r="BA235" s="68" t="n"/>
      <c r="BB235" s="68" t="n"/>
      <c r="BC235" s="68" t="n"/>
      <c r="BD235" s="1111" t="n">
        <v>6231</v>
      </c>
      <c r="BE235" s="68" t="n"/>
      <c r="BF235" s="68" t="n"/>
      <c r="BG235" s="68" t="n"/>
      <c r="BH235" s="68" t="n"/>
      <c r="BI235" s="1111" t="n">
        <v>6664</v>
      </c>
      <c r="BJ235" s="68" t="n"/>
      <c r="BK235" s="68" t="n"/>
      <c r="BL235" s="68" t="n"/>
      <c r="BM235" s="68" t="n"/>
      <c r="BN235" s="1111" t="n">
        <v>7400</v>
      </c>
      <c r="BO235" s="68" t="n"/>
      <c r="BP235" s="68" t="n"/>
      <c r="BQ235" s="68" t="n"/>
      <c r="BR235" s="68" t="n"/>
      <c r="BS235" s="1111" t="n">
        <v>8900</v>
      </c>
      <c r="BT235" s="68" t="n"/>
      <c r="BU235" s="68" t="n"/>
      <c r="BV235" s="588" t="n"/>
      <c r="BW235" s="68" t="n"/>
      <c r="BX235" s="1110" t="n"/>
      <c r="BY235" s="68" t="n"/>
      <c r="BZ235" s="68" t="n"/>
      <c r="CA235" s="68" t="n"/>
      <c r="CB235" s="68" t="n"/>
      <c r="CC235" s="1110" t="n"/>
      <c r="CD235" s="1110" t="n"/>
      <c r="CE235" s="1110" t="n"/>
      <c r="CF235" s="1110" t="n"/>
      <c r="CG235" s="155" t="n"/>
    </row>
    <row r="236" hidden="1" outlineLevel="1">
      <c r="A236" s="631" t="inlineStr">
        <is>
          <t>Employee count, # of employees</t>
        </is>
      </c>
      <c r="B236" s="604" t="n"/>
      <c r="C236" s="1122">
        <f>C234+C235</f>
        <v/>
      </c>
      <c r="D236" s="1122">
        <f>D234+D235</f>
        <v/>
      </c>
      <c r="E236" s="1122">
        <f>E234+E235</f>
        <v/>
      </c>
      <c r="F236" s="1122">
        <f>F234+F235</f>
        <v/>
      </c>
      <c r="G236" s="61" t="n"/>
      <c r="H236" s="61" t="n"/>
      <c r="I236" s="61" t="n"/>
      <c r="J236" s="61" t="n"/>
      <c r="K236" s="1122">
        <f>K234+K235</f>
        <v/>
      </c>
      <c r="L236" s="61" t="n"/>
      <c r="M236" s="61" t="n"/>
      <c r="N236" s="61" t="n"/>
      <c r="O236" s="61" t="n"/>
      <c r="P236" s="1122">
        <f>P234+P235</f>
        <v/>
      </c>
      <c r="Q236" s="61" t="n"/>
      <c r="R236" s="61" t="n"/>
      <c r="S236" s="61" t="n"/>
      <c r="T236" s="61" t="n"/>
      <c r="U236" s="1122">
        <f>U234+U235</f>
        <v/>
      </c>
      <c r="V236" s="61" t="n"/>
      <c r="W236" s="61" t="n"/>
      <c r="X236" s="61" t="n"/>
      <c r="Y236" s="61" t="n"/>
      <c r="Z236" s="1122">
        <f>Z234+Z235</f>
        <v/>
      </c>
      <c r="AA236" s="61" t="n"/>
      <c r="AB236" s="61" t="n"/>
      <c r="AC236" s="61" t="n"/>
      <c r="AD236" s="61" t="n"/>
      <c r="AE236" s="1122">
        <f>AE234+AE235</f>
        <v/>
      </c>
      <c r="AF236" s="61" t="n"/>
      <c r="AG236" s="61" t="n"/>
      <c r="AH236" s="61" t="n"/>
      <c r="AI236" s="61" t="n"/>
      <c r="AJ236" s="1122">
        <f>AJ234+AJ235</f>
        <v/>
      </c>
      <c r="AK236" s="61" t="n"/>
      <c r="AL236" s="61" t="n"/>
      <c r="AM236" s="61" t="n"/>
      <c r="AN236" s="61" t="n"/>
      <c r="AO236" s="1122">
        <f>AO234+AO235</f>
        <v/>
      </c>
      <c r="AP236" s="61" t="n"/>
      <c r="AQ236" s="61" t="n"/>
      <c r="AR236" s="61" t="n"/>
      <c r="AS236" s="61" t="n"/>
      <c r="AT236" s="1122">
        <f>AT234+AT235</f>
        <v/>
      </c>
      <c r="AU236" s="61" t="n"/>
      <c r="AV236" s="61" t="n"/>
      <c r="AW236" s="61" t="n"/>
      <c r="AX236" s="61" t="n"/>
      <c r="AY236" s="1122">
        <f>AY234+AY235</f>
        <v/>
      </c>
      <c r="AZ236" s="61" t="n"/>
      <c r="BA236" s="61" t="n"/>
      <c r="BB236" s="61" t="n"/>
      <c r="BC236" s="61" t="n"/>
      <c r="BD236" s="1122">
        <f>BD234+BD235</f>
        <v/>
      </c>
      <c r="BE236" s="61" t="n"/>
      <c r="BF236" s="61" t="n"/>
      <c r="BG236" s="61" t="n"/>
      <c r="BH236" s="61" t="n"/>
      <c r="BI236" s="1122">
        <f>BI234+BI235</f>
        <v/>
      </c>
      <c r="BJ236" s="61" t="n"/>
      <c r="BK236" s="61" t="n"/>
      <c r="BL236" s="61" t="n"/>
      <c r="BM236" s="61" t="n"/>
      <c r="BN236" s="1138" t="n">
        <v>29600</v>
      </c>
      <c r="BO236" s="61" t="n"/>
      <c r="BP236" s="61" t="n"/>
      <c r="BQ236" s="61" t="n"/>
      <c r="BR236" s="61" t="n"/>
      <c r="BS236" s="1138" t="n">
        <v>36000</v>
      </c>
      <c r="BT236" s="61" t="n"/>
      <c r="BU236" s="61" t="n"/>
      <c r="BV236" s="884" t="n"/>
      <c r="BW236" s="61" t="n"/>
      <c r="BX236" s="1122" t="n"/>
      <c r="BY236" s="61" t="n"/>
      <c r="BZ236" s="61" t="n"/>
      <c r="CA236" s="61" t="n"/>
      <c r="CB236" s="61" t="n"/>
      <c r="CC236" s="1122" t="n"/>
      <c r="CD236" s="1122" t="n"/>
      <c r="CE236" s="1122" t="n"/>
      <c r="CF236" s="1122" t="n"/>
      <c r="CG236" s="155" t="n"/>
    </row>
    <row r="237" hidden="1" outlineLevel="1">
      <c r="A237" s="605" t="n"/>
      <c r="B237" s="606" t="n"/>
      <c r="C237" s="1134" t="n"/>
      <c r="D237" s="1134" t="n"/>
      <c r="E237" s="1134" t="n"/>
      <c r="F237" s="1134" t="n"/>
      <c r="G237" s="93" t="n"/>
      <c r="H237" s="93" t="n"/>
      <c r="I237" s="93" t="n"/>
      <c r="J237" s="93" t="n"/>
      <c r="K237" s="1134" t="n"/>
      <c r="L237" s="93" t="n"/>
      <c r="M237" s="93" t="n"/>
      <c r="N237" s="93" t="n"/>
      <c r="O237" s="93" t="n"/>
      <c r="P237" s="1134" t="n"/>
      <c r="Q237" s="93" t="n"/>
      <c r="R237" s="93" t="n"/>
      <c r="S237" s="93" t="n"/>
      <c r="T237" s="93" t="n"/>
      <c r="U237" s="1134" t="n"/>
      <c r="V237" s="93" t="n"/>
      <c r="W237" s="93" t="n"/>
      <c r="X237" s="93" t="n"/>
      <c r="Y237" s="93" t="n"/>
      <c r="Z237" s="1134" t="n"/>
      <c r="AA237" s="93" t="n"/>
      <c r="AB237" s="93" t="n"/>
      <c r="AC237" s="93" t="n"/>
      <c r="AD237" s="93" t="n"/>
      <c r="AE237" s="1134" t="n"/>
      <c r="AF237" s="93" t="n"/>
      <c r="AG237" s="93" t="n"/>
      <c r="AH237" s="93" t="n"/>
      <c r="AI237" s="93" t="n"/>
      <c r="AJ237" s="1134" t="n"/>
      <c r="AK237" s="93" t="n"/>
      <c r="AL237" s="93" t="n"/>
      <c r="AM237" s="93" t="n"/>
      <c r="AN237" s="93" t="n"/>
      <c r="AO237" s="1134" t="n"/>
      <c r="AP237" s="93" t="n"/>
      <c r="AQ237" s="93" t="n"/>
      <c r="AR237" s="93" t="n"/>
      <c r="AS237" s="93" t="n"/>
      <c r="AT237" s="1134" t="n"/>
      <c r="AU237" s="93" t="n"/>
      <c r="AV237" s="93" t="n"/>
      <c r="AW237" s="93" t="n"/>
      <c r="AX237" s="93" t="n"/>
      <c r="AY237" s="1134" t="n"/>
      <c r="AZ237" s="93" t="n"/>
      <c r="BA237" s="93" t="n"/>
      <c r="BB237" s="93" t="n"/>
      <c r="BC237" s="93" t="n"/>
      <c r="BD237" s="1134" t="n"/>
      <c r="BE237" s="93" t="n"/>
      <c r="BF237" s="93" t="n"/>
      <c r="BG237" s="93" t="n"/>
      <c r="BH237" s="93" t="n"/>
      <c r="BI237" s="1134" t="n"/>
      <c r="BJ237" s="93" t="n"/>
      <c r="BK237" s="93" t="n"/>
      <c r="BL237" s="93" t="n"/>
      <c r="BM237" s="93" t="n"/>
      <c r="BN237" s="1134" t="n"/>
      <c r="BO237" s="93" t="n"/>
      <c r="BP237" s="93" t="n"/>
      <c r="BQ237" s="93" t="n"/>
      <c r="BR237" s="93" t="n"/>
      <c r="BS237" s="1134" t="n"/>
      <c r="BT237" s="93" t="n"/>
      <c r="BU237" s="93" t="n"/>
      <c r="BV237" s="522" t="n"/>
      <c r="BW237" s="93" t="n"/>
      <c r="BX237" s="1134" t="n"/>
      <c r="BY237" s="93" t="n"/>
      <c r="BZ237" s="93" t="n"/>
      <c r="CA237" s="93" t="n"/>
      <c r="CB237" s="93" t="n"/>
      <c r="CC237" s="1134" t="n"/>
      <c r="CD237" s="1134" t="n"/>
      <c r="CE237" s="1134" t="n"/>
      <c r="CF237" s="1134" t="n"/>
      <c r="CG237" s="155" t="n"/>
    </row>
    <row r="238" hidden="1" outlineLevel="1">
      <c r="A238" s="45" t="inlineStr">
        <is>
          <t>Key Metrics - Inventory Provisions (FS)</t>
        </is>
      </c>
      <c r="B238" s="45" t="n"/>
      <c r="C238" s="45" t="n"/>
      <c r="D238" s="45" t="n"/>
      <c r="E238" s="45" t="n"/>
      <c r="F238" s="45" t="n"/>
      <c r="G238" s="45" t="n"/>
      <c r="H238" s="45" t="n"/>
      <c r="I238" s="45" t="n"/>
      <c r="J238" s="45" t="n"/>
      <c r="K238" s="45" t="n"/>
      <c r="L238" s="45" t="n"/>
      <c r="M238" s="45" t="n"/>
      <c r="N238" s="45" t="n"/>
      <c r="O238" s="45" t="n"/>
      <c r="P238" s="45" t="n"/>
      <c r="Q238" s="45" t="n"/>
      <c r="R238" s="45" t="n"/>
      <c r="S238" s="45" t="n"/>
      <c r="T238" s="45" t="n"/>
      <c r="U238" s="45" t="n"/>
      <c r="V238" s="45" t="n"/>
      <c r="W238" s="45" t="n"/>
      <c r="X238" s="45" t="n"/>
      <c r="Y238" s="45" t="n"/>
      <c r="Z238" s="45" t="n"/>
      <c r="AA238" s="1035" t="n"/>
      <c r="AB238" s="1035" t="n"/>
      <c r="AC238" s="1035" t="n"/>
      <c r="AD238" s="1035" t="n"/>
      <c r="AE238" s="1035" t="n"/>
      <c r="AF238" s="45" t="n"/>
      <c r="AG238" s="45" t="n"/>
      <c r="AH238" s="45" t="n"/>
      <c r="AI238" s="45" t="n"/>
      <c r="AJ238" s="45" t="n"/>
      <c r="AK238" s="45" t="n"/>
      <c r="AL238" s="45" t="n"/>
      <c r="AM238" s="45" t="n"/>
      <c r="AN238" s="45" t="n"/>
      <c r="AO238" s="45" t="n"/>
      <c r="AP238" s="45" t="n"/>
      <c r="AQ238" s="45" t="n"/>
      <c r="AR238" s="45" t="n"/>
      <c r="AS238" s="45" t="n"/>
      <c r="AT238" s="45" t="n"/>
      <c r="AU238" s="45" t="n"/>
      <c r="AV238" s="45" t="n"/>
      <c r="AW238" s="45" t="n"/>
      <c r="AX238" s="45" t="n"/>
      <c r="AY238" s="45" t="n"/>
      <c r="AZ238" s="45" t="n"/>
      <c r="BA238" s="45" t="n"/>
      <c r="BB238" s="45" t="n"/>
      <c r="BC238" s="45" t="n"/>
      <c r="BD238" s="45" t="n"/>
      <c r="BE238" s="45" t="n"/>
      <c r="BF238" s="45" t="n"/>
      <c r="BG238" s="45" t="n"/>
      <c r="BH238" s="45" t="n"/>
      <c r="BI238" s="45" t="n"/>
      <c r="BJ238" s="45" t="n"/>
      <c r="BK238" s="45" t="n"/>
      <c r="BL238" s="45" t="n"/>
      <c r="BM238" s="45" t="n"/>
      <c r="BN238" s="45" t="n"/>
      <c r="BO238" s="45" t="n"/>
      <c r="BP238" s="45" t="n"/>
      <c r="BQ238" s="45" t="n"/>
      <c r="BR238" s="45" t="n"/>
      <c r="BS238" s="45" t="n"/>
      <c r="BT238" s="45" t="n"/>
      <c r="BU238" s="45" t="n"/>
      <c r="BV238" s="982" t="n"/>
      <c r="BW238" s="45" t="n"/>
      <c r="BX238" s="45" t="n"/>
      <c r="BY238" s="45" t="n"/>
      <c r="BZ238" s="45" t="n"/>
      <c r="CA238" s="45" t="n"/>
      <c r="CB238" s="45" t="n"/>
      <c r="CC238" s="45" t="n"/>
      <c r="CD238" s="45" t="n"/>
      <c r="CE238" s="45" t="n"/>
      <c r="CF238" s="45" t="n"/>
      <c r="CG238" s="155" t="n"/>
    </row>
    <row r="239" hidden="1" outlineLevel="1" customFormat="1" s="227">
      <c r="A239" s="99" t="inlineStr">
        <is>
          <t>Provisions for inventory related to COGS, mm</t>
        </is>
      </c>
      <c r="B239" s="602" t="n"/>
      <c r="C239" s="1110" t="n"/>
      <c r="D239" s="1110" t="n"/>
      <c r="E239" s="1110" t="n"/>
      <c r="F239" s="1110" t="n"/>
      <c r="G239" s="68" t="n"/>
      <c r="H239" s="68" t="n"/>
      <c r="I239" s="68" t="n"/>
      <c r="J239" s="68" t="n"/>
      <c r="K239" s="1110" t="n"/>
      <c r="L239" s="68" t="n"/>
      <c r="M239" s="68" t="n"/>
      <c r="N239" s="68" t="n"/>
      <c r="O239" s="68" t="n"/>
      <c r="P239" s="1110" t="n"/>
      <c r="Q239" s="68" t="n"/>
      <c r="R239" s="68" t="n"/>
      <c r="S239" s="68" t="n"/>
      <c r="T239" s="68" t="n"/>
      <c r="U239" s="1110" t="n"/>
      <c r="V239" s="68" t="n"/>
      <c r="W239" s="68" t="n"/>
      <c r="X239" s="68" t="n"/>
      <c r="Y239" s="68" t="n"/>
      <c r="Z239" s="1110" t="n"/>
      <c r="AA239" s="68" t="n"/>
      <c r="AB239" s="68" t="n"/>
      <c r="AC239" s="68" t="n"/>
      <c r="AD239" s="68" t="n"/>
      <c r="AE239" s="1110" t="n"/>
      <c r="AF239" s="68" t="n"/>
      <c r="AG239" s="68" t="n"/>
      <c r="AH239" s="68" t="n"/>
      <c r="AI239" s="68" t="n"/>
      <c r="AJ239" s="1110" t="n"/>
      <c r="AK239" s="68" t="n"/>
      <c r="AL239" s="68" t="n"/>
      <c r="AM239" s="68" t="n"/>
      <c r="AN239" s="68" t="n"/>
      <c r="AO239" s="1110" t="n"/>
      <c r="AP239" s="68" t="n"/>
      <c r="AQ239" s="68" t="n"/>
      <c r="AR239" s="68" t="n"/>
      <c r="AS239" s="68" t="n"/>
      <c r="AT239" s="1110" t="n"/>
      <c r="AU239" s="68" t="n"/>
      <c r="AV239" s="68" t="n"/>
      <c r="AW239" s="68" t="n"/>
      <c r="AX239" s="68" t="n"/>
      <c r="AY239" s="1110" t="n"/>
      <c r="AZ239" s="68" t="n"/>
      <c r="BA239" s="68" t="n"/>
      <c r="BB239" s="68" t="n"/>
      <c r="BC239" s="68" t="n"/>
      <c r="BD239" s="1111" t="n">
        <v>173</v>
      </c>
      <c r="BE239" s="68" t="n"/>
      <c r="BF239" s="1053" t="n">
        <v>570</v>
      </c>
      <c r="BG239" s="1053" t="n">
        <v>354</v>
      </c>
      <c r="BH239" s="68" t="n"/>
      <c r="BI239" s="1111" t="n">
        <v>1040</v>
      </c>
      <c r="BJ239" s="1053" t="n">
        <v>105</v>
      </c>
      <c r="BK239" s="1053" t="n">
        <v>343</v>
      </c>
      <c r="BL239" s="1053" t="n">
        <v>208</v>
      </c>
      <c r="BM239" s="68">
        <f>BN239-SUM(BJ239,BK239,BL239)</f>
        <v/>
      </c>
      <c r="BN239" s="1111" t="n">
        <v>774</v>
      </c>
      <c r="BO239" s="1053" t="n">
        <v>210</v>
      </c>
      <c r="BP239" s="1053" t="n">
        <v>345</v>
      </c>
      <c r="BQ239" s="1053" t="n">
        <v>322</v>
      </c>
      <c r="BR239" s="68">
        <f>BS239-SUM(BO239,BP239,BQ239)</f>
        <v/>
      </c>
      <c r="BS239" s="1111" t="n">
        <v>1600</v>
      </c>
      <c r="BT239" s="1053" t="n">
        <v>2300</v>
      </c>
      <c r="BU239" s="1053" t="n">
        <v>886</v>
      </c>
      <c r="BV239" s="1054" t="n">
        <v>378</v>
      </c>
      <c r="BW239" s="68" t="n"/>
      <c r="BX239" s="1110" t="n"/>
      <c r="BY239" s="68" t="n"/>
      <c r="BZ239" s="68" t="n"/>
      <c r="CA239" s="68" t="n"/>
      <c r="CB239" s="68" t="n"/>
      <c r="CC239" s="1110" t="n"/>
      <c r="CD239" s="1110" t="n"/>
      <c r="CE239" s="1110" t="n"/>
      <c r="CF239" s="1110" t="n"/>
      <c r="CG239" s="27" t="n"/>
    </row>
    <row r="240" hidden="1" outlineLevel="1" customFormat="1" s="227">
      <c r="A240" s="99" t="inlineStr">
        <is>
          <t>Excess inventory purchase obligations related to COGS, mm</t>
        </is>
      </c>
      <c r="B240" s="602" t="n"/>
      <c r="C240" s="1110" t="n"/>
      <c r="D240" s="1110" t="n"/>
      <c r="E240" s="1110" t="n"/>
      <c r="F240" s="1110" t="n"/>
      <c r="G240" s="68" t="n"/>
      <c r="H240" s="68" t="n"/>
      <c r="I240" s="68" t="n"/>
      <c r="J240" s="68" t="n"/>
      <c r="K240" s="1110" t="n"/>
      <c r="L240" s="68" t="n"/>
      <c r="M240" s="68" t="n"/>
      <c r="N240" s="68" t="n"/>
      <c r="O240" s="68" t="n"/>
      <c r="P240" s="1110" t="n"/>
      <c r="Q240" s="68" t="n"/>
      <c r="R240" s="68" t="n"/>
      <c r="S240" s="68" t="n"/>
      <c r="T240" s="68" t="n"/>
      <c r="U240" s="1110" t="n"/>
      <c r="V240" s="68" t="n"/>
      <c r="W240" s="68" t="n"/>
      <c r="X240" s="68" t="n"/>
      <c r="Y240" s="68" t="n"/>
      <c r="Z240" s="1110" t="n"/>
      <c r="AA240" s="68" t="n"/>
      <c r="AB240" s="68" t="n"/>
      <c r="AC240" s="68" t="n"/>
      <c r="AD240" s="68" t="n"/>
      <c r="AE240" s="1110" t="n"/>
      <c r="AF240" s="68" t="n"/>
      <c r="AG240" s="68" t="n"/>
      <c r="AH240" s="68" t="n"/>
      <c r="AI240" s="68" t="n"/>
      <c r="AJ240" s="1110" t="n"/>
      <c r="AK240" s="68" t="n"/>
      <c r="AL240" s="68" t="n"/>
      <c r="AM240" s="68" t="n"/>
      <c r="AN240" s="68" t="n"/>
      <c r="AO240" s="1110" t="n"/>
      <c r="AP240" s="68" t="n"/>
      <c r="AQ240" s="68" t="n"/>
      <c r="AR240" s="68" t="n"/>
      <c r="AS240" s="68" t="n"/>
      <c r="AT240" s="1110" t="n"/>
      <c r="AU240" s="68" t="n"/>
      <c r="AV240" s="68" t="n"/>
      <c r="AW240" s="68" t="n"/>
      <c r="AX240" s="68" t="n"/>
      <c r="AY240" s="1110" t="n"/>
      <c r="AZ240" s="68" t="n"/>
      <c r="BA240" s="68" t="n"/>
      <c r="BB240" s="68" t="n"/>
      <c r="BC240" s="68" t="n"/>
      <c r="BD240" s="1110">
        <f>BD241-BD239</f>
        <v/>
      </c>
      <c r="BE240" s="68" t="n"/>
      <c r="BF240" s="68">
        <f>BF241-BF239</f>
        <v/>
      </c>
      <c r="BG240" s="68">
        <f>BG241-BG239</f>
        <v/>
      </c>
      <c r="BH240" s="68" t="n"/>
      <c r="BI240" s="1110">
        <f>BI241-BI239</f>
        <v/>
      </c>
      <c r="BJ240" s="68">
        <f>BJ241-BJ239</f>
        <v/>
      </c>
      <c r="BK240" s="68">
        <f>BK241-BK239</f>
        <v/>
      </c>
      <c r="BL240" s="68">
        <f>BL241-BL239</f>
        <v/>
      </c>
      <c r="BM240" s="68">
        <f>BM241-BM239</f>
        <v/>
      </c>
      <c r="BN240" s="1110">
        <f>BN241-BN239</f>
        <v/>
      </c>
      <c r="BO240" s="68">
        <f>BO241-BO239</f>
        <v/>
      </c>
      <c r="BP240" s="68">
        <f>BP241-BP239</f>
        <v/>
      </c>
      <c r="BQ240" s="68">
        <f>BQ241-BQ239</f>
        <v/>
      </c>
      <c r="BR240" s="68">
        <f>BR241-BR239</f>
        <v/>
      </c>
      <c r="BS240" s="1110">
        <f>BS241-BS239</f>
        <v/>
      </c>
      <c r="BT240" s="68">
        <f>BT241-BT239</f>
        <v/>
      </c>
      <c r="BU240" s="68">
        <f>BU241-BU239</f>
        <v/>
      </c>
      <c r="BV240" s="588">
        <f>BV241-BV239</f>
        <v/>
      </c>
      <c r="BW240" s="68" t="n"/>
      <c r="BX240" s="1110" t="n"/>
      <c r="BY240" s="68" t="n"/>
      <c r="BZ240" s="68" t="n"/>
      <c r="CA240" s="68" t="n"/>
      <c r="CB240" s="68" t="n"/>
      <c r="CC240" s="1110" t="n"/>
      <c r="CD240" s="1110" t="n"/>
      <c r="CE240" s="1110" t="n"/>
      <c r="CF240" s="1110" t="n"/>
      <c r="CG240" s="27" t="n"/>
    </row>
    <row r="241" hidden="1" outlineLevel="1" customFormat="1" s="44">
      <c r="A241" s="631" t="inlineStr">
        <is>
          <t>Provisions for inventory and other related charges - COGS, mm</t>
        </is>
      </c>
      <c r="B241" s="604" t="n"/>
      <c r="C241" s="1122" t="n"/>
      <c r="D241" s="1122" t="n"/>
      <c r="E241" s="1122" t="n"/>
      <c r="F241" s="1138" t="n">
        <v>53</v>
      </c>
      <c r="G241" s="61" t="n"/>
      <c r="H241" s="61">
        <f>56.8-I241</f>
        <v/>
      </c>
      <c r="I241" s="1063" t="n">
        <v>22.5</v>
      </c>
      <c r="J241" s="61">
        <f>K241-SUM(G241,H241,I241)</f>
        <v/>
      </c>
      <c r="K241" s="1138" t="n">
        <v>89.90000000000001</v>
      </c>
      <c r="L241" s="1063" t="n">
        <v>13.6</v>
      </c>
      <c r="M241" s="1063" t="n">
        <v>10.5</v>
      </c>
      <c r="N241" s="1063" t="n">
        <v>9.6</v>
      </c>
      <c r="O241" s="61">
        <f>P241-SUM(L241,M241,N241)</f>
        <v/>
      </c>
      <c r="P241" s="1138" t="n">
        <v>50.1</v>
      </c>
      <c r="Q241" s="1063" t="n">
        <v>10.3</v>
      </c>
      <c r="R241" s="1063" t="n">
        <v>12.7</v>
      </c>
      <c r="S241" s="1063" t="n">
        <v>12.7</v>
      </c>
      <c r="T241" s="61">
        <f>U241-SUM(Q241,R241,S241)</f>
        <v/>
      </c>
      <c r="U241" s="1138" t="n">
        <v>59.4</v>
      </c>
      <c r="V241" s="1063" t="n">
        <v>14</v>
      </c>
      <c r="W241" s="1063" t="n">
        <v>18</v>
      </c>
      <c r="X241" s="1063" t="n">
        <v>40</v>
      </c>
      <c r="Y241" s="61">
        <f>Z241-SUM(V241,W241,X241)</f>
        <v/>
      </c>
      <c r="Z241" s="1138" t="n">
        <v>112</v>
      </c>
      <c r="AA241" s="1063" t="n">
        <v>22</v>
      </c>
      <c r="AB241" s="1063" t="n">
        <v>5</v>
      </c>
      <c r="AC241" s="1063" t="n">
        <v>13</v>
      </c>
      <c r="AD241" s="61">
        <f>AE241-SUM(AA241,AB241,AC241)</f>
        <v/>
      </c>
      <c r="AE241" s="1138" t="n">
        <v>62</v>
      </c>
      <c r="AF241" s="1063" t="n">
        <v>3</v>
      </c>
      <c r="AG241" s="1063" t="n">
        <v>13</v>
      </c>
      <c r="AH241" s="1063" t="n">
        <v>14</v>
      </c>
      <c r="AI241" s="61">
        <f>AJ241-SUM(AF241,AG241,AH241)</f>
        <v/>
      </c>
      <c r="AJ241" s="1138" t="n">
        <v>48</v>
      </c>
      <c r="AK241" s="1063" t="n">
        <v>33</v>
      </c>
      <c r="AL241" s="1063" t="n">
        <v>21</v>
      </c>
      <c r="AM241" s="1063" t="n">
        <v>70</v>
      </c>
      <c r="AN241" s="61">
        <f>AO241-SUM(AK241,AL241,AM241)</f>
        <v/>
      </c>
      <c r="AO241" s="1138" t="n">
        <v>270</v>
      </c>
      <c r="AP241" s="1063" t="n">
        <v>43</v>
      </c>
      <c r="AQ241" s="1063" t="n">
        <v>28</v>
      </c>
      <c r="AR241" s="1063" t="n">
        <v>42</v>
      </c>
      <c r="AS241" s="61">
        <f>AT241-SUM(AP241,AQ241,AR241)</f>
        <v/>
      </c>
      <c r="AT241" s="1138" t="n">
        <v>161</v>
      </c>
      <c r="AU241" s="1063" t="n">
        <v>36</v>
      </c>
      <c r="AV241" s="1063" t="n">
        <v>45</v>
      </c>
      <c r="AW241" s="1063" t="n">
        <v>15</v>
      </c>
      <c r="AX241" s="61">
        <f>AY241-SUM(AU241,AV241,AW241)</f>
        <v/>
      </c>
      <c r="AY241" s="1138" t="n">
        <v>116</v>
      </c>
      <c r="AZ241" s="1063" t="n">
        <v>58</v>
      </c>
      <c r="BA241" s="1063" t="n">
        <v>73</v>
      </c>
      <c r="BB241" s="1063" t="n">
        <v>107</v>
      </c>
      <c r="BC241" s="61">
        <f>BD241-SUM(AZ241,BA241,BB241)</f>
        <v/>
      </c>
      <c r="BD241" s="1138" t="n">
        <v>354</v>
      </c>
      <c r="BE241" s="1063" t="n">
        <v>90</v>
      </c>
      <c r="BF241" s="1063" t="n">
        <v>1220</v>
      </c>
      <c r="BG241" s="1063" t="n">
        <v>702</v>
      </c>
      <c r="BH241" s="61">
        <f>BI241-SUM(BE241,BF241,BG241)</f>
        <v/>
      </c>
      <c r="BI241" s="1138" t="n">
        <v>2170</v>
      </c>
      <c r="BJ241" s="1063" t="n">
        <v>134</v>
      </c>
      <c r="BK241" s="1063" t="n">
        <v>576</v>
      </c>
      <c r="BL241" s="1063" t="n">
        <v>681</v>
      </c>
      <c r="BM241" s="61">
        <f>BN241-SUM(BJ241,BK241,BL241)</f>
        <v/>
      </c>
      <c r="BN241" s="1138" t="n">
        <v>2200</v>
      </c>
      <c r="BO241" s="1063" t="n">
        <v>393</v>
      </c>
      <c r="BP241" s="1063" t="n">
        <v>908</v>
      </c>
      <c r="BQ241" s="1063" t="n">
        <v>865</v>
      </c>
      <c r="BR241" s="61">
        <f>BS241-SUM(BO241,BP241,BQ241)</f>
        <v/>
      </c>
      <c r="BS241" s="1138" t="n">
        <v>3700</v>
      </c>
      <c r="BT241" s="1063" t="n">
        <v>5300</v>
      </c>
      <c r="BU241" s="1063" t="n">
        <v>1000</v>
      </c>
      <c r="BV241" s="1064" t="n">
        <v>410</v>
      </c>
      <c r="BW241" s="61" t="n"/>
      <c r="BX241" s="1122" t="n"/>
      <c r="BY241" s="61" t="n"/>
      <c r="BZ241" s="61" t="n"/>
      <c r="CA241" s="61" t="n"/>
      <c r="CB241" s="61" t="n"/>
      <c r="CC241" s="1122" t="n"/>
      <c r="CD241" s="1122" t="n"/>
      <c r="CE241" s="1122" t="n"/>
      <c r="CF241" s="1122" t="n"/>
      <c r="CG241" s="28" t="n"/>
    </row>
    <row r="242" hidden="1" outlineLevel="1" customFormat="1" s="227">
      <c r="A242" s="636" t="n"/>
      <c r="B242" s="602" t="n"/>
      <c r="C242" s="1110" t="n"/>
      <c r="D242" s="1110" t="n"/>
      <c r="E242" s="1110" t="n"/>
      <c r="F242" s="1110" t="n"/>
      <c r="G242" s="68" t="n"/>
      <c r="H242" s="68" t="n"/>
      <c r="I242" s="68" t="n"/>
      <c r="J242" s="68" t="n"/>
      <c r="K242" s="1110" t="n"/>
      <c r="L242" s="68" t="n"/>
      <c r="M242" s="68" t="n"/>
      <c r="N242" s="68" t="n"/>
      <c r="O242" s="68" t="n"/>
      <c r="P242" s="1110" t="n"/>
      <c r="Q242" s="68" t="n"/>
      <c r="R242" s="68" t="n"/>
      <c r="S242" s="68" t="n"/>
      <c r="T242" s="68" t="n"/>
      <c r="U242" s="1110" t="n"/>
      <c r="V242" s="68" t="n"/>
      <c r="W242" s="68" t="n"/>
      <c r="X242" s="68" t="n"/>
      <c r="Y242" s="68" t="n"/>
      <c r="Z242" s="1110" t="n"/>
      <c r="AA242" s="68" t="n"/>
      <c r="AB242" s="68" t="n"/>
      <c r="AC242" s="68" t="n"/>
      <c r="AD242" s="68" t="n"/>
      <c r="AE242" s="1110" t="n"/>
      <c r="AF242" s="68" t="n"/>
      <c r="AG242" s="68" t="n"/>
      <c r="AH242" s="68" t="n"/>
      <c r="AI242" s="68" t="n"/>
      <c r="AJ242" s="1110" t="n"/>
      <c r="AK242" s="68" t="n"/>
      <c r="AL242" s="68" t="n"/>
      <c r="AM242" s="68" t="n"/>
      <c r="AN242" s="68" t="n"/>
      <c r="AO242" s="1110" t="n"/>
      <c r="AP242" s="68" t="n"/>
      <c r="AQ242" s="68" t="n"/>
      <c r="AR242" s="68" t="n"/>
      <c r="AS242" s="68" t="n"/>
      <c r="AT242" s="1110" t="n"/>
      <c r="AU242" s="68" t="n"/>
      <c r="AV242" s="68" t="n"/>
      <c r="AW242" s="68" t="n"/>
      <c r="AX242" s="68" t="n"/>
      <c r="AY242" s="1110" t="n"/>
      <c r="AZ242" s="68" t="n"/>
      <c r="BA242" s="68" t="n"/>
      <c r="BB242" s="68" t="n"/>
      <c r="BC242" s="68" t="n"/>
      <c r="BD242" s="1110" t="n"/>
      <c r="BE242" s="68" t="n"/>
      <c r="BF242" s="68" t="n"/>
      <c r="BG242" s="68" t="n"/>
      <c r="BH242" s="68" t="n"/>
      <c r="BI242" s="1110" t="n"/>
      <c r="BJ242" s="68" t="n"/>
      <c r="BK242" s="68" t="n"/>
      <c r="BL242" s="68" t="n"/>
      <c r="BM242" s="68" t="n"/>
      <c r="BN242" s="1110" t="n"/>
      <c r="BO242" s="68" t="n"/>
      <c r="BP242" s="68" t="n"/>
      <c r="BQ242" s="68" t="n"/>
      <c r="BR242" s="68" t="n"/>
      <c r="BS242" s="1110" t="n"/>
      <c r="BT242" s="68" t="n"/>
      <c r="BU242" s="68" t="n"/>
      <c r="BV242" s="588" t="n"/>
      <c r="BW242" s="68" t="n"/>
      <c r="BX242" s="1110" t="n"/>
      <c r="BY242" s="68" t="n"/>
      <c r="BZ242" s="68" t="n"/>
      <c r="CA242" s="68" t="n"/>
      <c r="CB242" s="68" t="n"/>
      <c r="CC242" s="1110" t="n"/>
      <c r="CD242" s="1110" t="n"/>
      <c r="CE242" s="1110" t="n"/>
      <c r="CF242" s="1110" t="n"/>
      <c r="CG242" s="27" t="n"/>
    </row>
    <row r="243" hidden="1" outlineLevel="1" customFormat="1" s="227">
      <c r="A243" s="636" t="inlineStr">
        <is>
          <t>Sales of inventory that was previously written-off or down and settlements of excess inventory purchase obligations, mm</t>
        </is>
      </c>
      <c r="B243" s="602" t="n"/>
      <c r="C243" s="1110" t="n"/>
      <c r="D243" s="1110" t="n"/>
      <c r="E243" s="1110" t="n"/>
      <c r="F243" s="1111" t="n">
        <v>71.09999999999999</v>
      </c>
      <c r="G243" s="68" t="n"/>
      <c r="H243" s="68">
        <f>42.8-I243</f>
        <v/>
      </c>
      <c r="I243" s="1053" t="n">
        <v>10.8</v>
      </c>
      <c r="J243" s="68">
        <f>K243-SUM(G243,H243,I243)</f>
        <v/>
      </c>
      <c r="K243" s="1111" t="n">
        <v>53.7</v>
      </c>
      <c r="L243" s="1053" t="n">
        <v>17.1</v>
      </c>
      <c r="M243" s="1053" t="n">
        <v>13.8</v>
      </c>
      <c r="N243" s="1053" t="n">
        <v>7.7</v>
      </c>
      <c r="O243" s="68">
        <f>P243-SUM(L243,M243,N243)</f>
        <v/>
      </c>
      <c r="P243" s="1111" t="n">
        <v>43.4</v>
      </c>
      <c r="Q243" s="1053" t="n">
        <v>5</v>
      </c>
      <c r="R243" s="1053" t="n">
        <v>8.800000000000001</v>
      </c>
      <c r="S243" s="1053" t="n">
        <v>12.2</v>
      </c>
      <c r="T243" s="68">
        <f>U243-SUM(Q243,R243,S243)</f>
        <v/>
      </c>
      <c r="U243" s="1111" t="n">
        <v>32.4</v>
      </c>
      <c r="V243" s="1053" t="n">
        <v>9</v>
      </c>
      <c r="W243" s="1053" t="n">
        <v>10</v>
      </c>
      <c r="X243" s="1053" t="n">
        <v>6</v>
      </c>
      <c r="Y243" s="68">
        <f>Z243-SUM(V243,W243,X243)</f>
        <v/>
      </c>
      <c r="Z243" s="1111" t="n">
        <v>32</v>
      </c>
      <c r="AA243" s="1053" t="n">
        <v>7</v>
      </c>
      <c r="AB243" s="1053" t="n">
        <v>12</v>
      </c>
      <c r="AC243" s="1053" t="n">
        <v>19</v>
      </c>
      <c r="AD243" s="68">
        <f>AE243-SUM(AA243,AB243,AC243)</f>
        <v/>
      </c>
      <c r="AE243" s="1111" t="n">
        <v>51</v>
      </c>
      <c r="AF243" s="1053" t="n">
        <v>13</v>
      </c>
      <c r="AG243" s="1053" t="n">
        <v>9</v>
      </c>
      <c r="AH243" s="1053" t="n">
        <v>6</v>
      </c>
      <c r="AI243" s="68">
        <f>AJ243-SUM(AF243,AG243,AH243)</f>
        <v/>
      </c>
      <c r="AJ243" s="1111" t="n">
        <v>35</v>
      </c>
      <c r="AK243" s="1053" t="n">
        <v>4</v>
      </c>
      <c r="AL243" s="1053" t="n">
        <v>12</v>
      </c>
      <c r="AM243" s="1053" t="n">
        <v>13</v>
      </c>
      <c r="AN243" s="68">
        <f>AO243-SUM(AK243,AL243,AM243)</f>
        <v/>
      </c>
      <c r="AO243" s="1111" t="n">
        <v>41</v>
      </c>
      <c r="AP243" s="1053" t="n">
        <v>12</v>
      </c>
      <c r="AQ243" s="1053" t="n">
        <v>19</v>
      </c>
      <c r="AR243" s="1053" t="n">
        <v>78</v>
      </c>
      <c r="AS243" s="68">
        <f>AT243-SUM(AP243,AQ243,AR243)</f>
        <v/>
      </c>
      <c r="AT243" s="1111" t="n">
        <v>145</v>
      </c>
      <c r="AU243" s="1053" t="n">
        <v>39</v>
      </c>
      <c r="AV243" s="1053" t="n">
        <v>49</v>
      </c>
      <c r="AW243" s="1053" t="n">
        <v>29</v>
      </c>
      <c r="AX243" s="68">
        <f>AY243-SUM(AU243,AV243,AW243)</f>
        <v/>
      </c>
      <c r="AY243" s="1111" t="n">
        <v>145</v>
      </c>
      <c r="AZ243" s="1053" t="n">
        <v>21</v>
      </c>
      <c r="BA243" s="1053" t="n">
        <v>20</v>
      </c>
      <c r="BB243" s="1053" t="n">
        <v>48</v>
      </c>
      <c r="BC243" s="68">
        <f>BD243-SUM(AZ243,BA243,BB243)</f>
        <v/>
      </c>
      <c r="BD243" s="1111" t="n">
        <v>111</v>
      </c>
      <c r="BE243" s="1053" t="n">
        <v>15</v>
      </c>
      <c r="BF243" s="1053" t="n">
        <v>23</v>
      </c>
      <c r="BG243" s="1053" t="n">
        <v>21</v>
      </c>
      <c r="BH243" s="68">
        <f>BI243-SUM(BE243,BF243,BG243)</f>
        <v/>
      </c>
      <c r="BI243" s="1111" t="n">
        <v>137</v>
      </c>
      <c r="BJ243" s="1053" t="n">
        <v>50</v>
      </c>
      <c r="BK243" s="1053" t="n">
        <v>84</v>
      </c>
      <c r="BL243" s="1053" t="n">
        <v>239</v>
      </c>
      <c r="BM243" s="68">
        <f>BN243-SUM(BJ243,BK243,BL243)</f>
        <v/>
      </c>
      <c r="BN243" s="1111" t="n">
        <v>540</v>
      </c>
      <c r="BO243" s="1053" t="n">
        <v>114</v>
      </c>
      <c r="BP243" s="1053" t="n">
        <v>85</v>
      </c>
      <c r="BQ243" s="1053" t="n">
        <v>106</v>
      </c>
      <c r="BR243" s="68">
        <f>BS243-SUM(BO243,BP243,BQ243)</f>
        <v/>
      </c>
      <c r="BS243" s="1111" t="n">
        <v>689</v>
      </c>
      <c r="BT243" s="1053" t="n">
        <v>436</v>
      </c>
      <c r="BU243" s="1053" t="n">
        <v>501</v>
      </c>
      <c r="BV243" s="1054" t="n">
        <v>366</v>
      </c>
      <c r="BW243" s="68" t="n"/>
      <c r="BX243" s="1110" t="n"/>
      <c r="BY243" s="68" t="n"/>
      <c r="BZ243" s="68" t="n"/>
      <c r="CA243" s="68" t="n"/>
      <c r="CB243" s="68" t="n"/>
      <c r="CC243" s="1110" t="n"/>
      <c r="CD243" s="1110" t="n"/>
      <c r="CE243" s="1110" t="n"/>
      <c r="CF243" s="1110" t="n"/>
      <c r="CG243" s="27" t="n"/>
    </row>
    <row r="244" hidden="1" outlineLevel="1" customFormat="1" s="5">
      <c r="A244" s="605" t="n"/>
      <c r="B244" s="606" t="n"/>
      <c r="C244" s="1134" t="n"/>
      <c r="D244" s="1134" t="n"/>
      <c r="E244" s="1134" t="n"/>
      <c r="F244" s="1134" t="n"/>
      <c r="G244" s="93" t="n"/>
      <c r="H244" s="93" t="n"/>
      <c r="I244" s="93" t="n"/>
      <c r="J244" s="93" t="n"/>
      <c r="K244" s="1134" t="n"/>
      <c r="L244" s="93" t="n"/>
      <c r="M244" s="93" t="n"/>
      <c r="N244" s="93" t="n"/>
      <c r="O244" s="93" t="n"/>
      <c r="P244" s="1134" t="n"/>
      <c r="Q244" s="93" t="n"/>
      <c r="R244" s="93" t="n"/>
      <c r="S244" s="93" t="n"/>
      <c r="T244" s="93" t="n"/>
      <c r="U244" s="1134" t="n"/>
      <c r="V244" s="93" t="n"/>
      <c r="W244" s="93" t="n"/>
      <c r="X244" s="93" t="n"/>
      <c r="Y244" s="93" t="n"/>
      <c r="Z244" s="1134" t="n"/>
      <c r="AA244" s="93" t="n"/>
      <c r="AB244" s="93" t="n"/>
      <c r="AC244" s="93" t="n"/>
      <c r="AD244" s="93" t="n"/>
      <c r="AE244" s="1134" t="n"/>
      <c r="AF244" s="93" t="n"/>
      <c r="AG244" s="93" t="n"/>
      <c r="AH244" s="93" t="n"/>
      <c r="AI244" s="93" t="n"/>
      <c r="AJ244" s="1134" t="n"/>
      <c r="AK244" s="93" t="n"/>
      <c r="AL244" s="93" t="n"/>
      <c r="AM244" s="93" t="n"/>
      <c r="AN244" s="93" t="n"/>
      <c r="AO244" s="1134" t="n"/>
      <c r="AP244" s="93" t="n"/>
      <c r="AQ244" s="93" t="n"/>
      <c r="AR244" s="93" t="n"/>
      <c r="AS244" s="93" t="n"/>
      <c r="AT244" s="1134" t="n"/>
      <c r="AU244" s="93" t="n"/>
      <c r="AV244" s="93" t="n"/>
      <c r="AW244" s="93" t="n"/>
      <c r="AX244" s="93" t="n"/>
      <c r="AY244" s="1134" t="n"/>
      <c r="AZ244" s="93" t="n"/>
      <c r="BA244" s="93" t="n"/>
      <c r="BB244" s="93" t="n"/>
      <c r="BC244" s="93" t="n"/>
      <c r="BD244" s="1134" t="n"/>
      <c r="BE244" s="93" t="n"/>
      <c r="BF244" s="93" t="n"/>
      <c r="BG244" s="93" t="n"/>
      <c r="BH244" s="93" t="n"/>
      <c r="BI244" s="1134" t="n"/>
      <c r="BJ244" s="93" t="n"/>
      <c r="BK244" s="93" t="n"/>
      <c r="BL244" s="93" t="n"/>
      <c r="BM244" s="93" t="n"/>
      <c r="BN244" s="1134" t="n"/>
      <c r="BO244" s="93" t="n"/>
      <c r="BP244" s="93" t="n"/>
      <c r="BQ244" s="93" t="n"/>
      <c r="BR244" s="93" t="n"/>
      <c r="BS244" s="1134" t="n"/>
      <c r="BT244" s="93" t="n"/>
      <c r="BU244" s="93" t="n"/>
      <c r="BV244" s="522" t="n"/>
      <c r="BW244" s="93" t="n"/>
      <c r="BX244" s="1134" t="n"/>
      <c r="BY244" s="93" t="n"/>
      <c r="BZ244" s="93" t="n"/>
      <c r="CA244" s="93" t="n"/>
      <c r="CB244" s="93" t="n"/>
      <c r="CC244" s="1134" t="n"/>
      <c r="CD244" s="1134" t="n"/>
      <c r="CE244" s="1134" t="n"/>
      <c r="CF244" s="1134" t="n"/>
      <c r="CG244" s="228" t="n"/>
    </row>
    <row r="245" hidden="1" outlineLevel="1">
      <c r="A245" s="45" t="inlineStr">
        <is>
          <t>Key Metrics - Inventory Purchase and Long-term Supply Obligations (FS)</t>
        </is>
      </c>
      <c r="B245" s="45" t="n"/>
      <c r="C245" s="45" t="n"/>
      <c r="D245" s="45" t="n"/>
      <c r="E245" s="45" t="n"/>
      <c r="F245" s="45" t="n"/>
      <c r="G245" s="45" t="n"/>
      <c r="H245" s="45" t="n"/>
      <c r="I245" s="45" t="n"/>
      <c r="J245" s="45" t="n"/>
      <c r="K245" s="45" t="n"/>
      <c r="L245" s="45" t="n"/>
      <c r="M245" s="45" t="n"/>
      <c r="N245" s="45" t="n"/>
      <c r="O245" s="45" t="n"/>
      <c r="P245" s="45" t="n"/>
      <c r="Q245" s="45" t="n"/>
      <c r="R245" s="45" t="n"/>
      <c r="S245" s="45" t="n"/>
      <c r="T245" s="45" t="n"/>
      <c r="U245" s="45" t="n"/>
      <c r="V245" s="45" t="n"/>
      <c r="W245" s="45" t="n"/>
      <c r="X245" s="45" t="n"/>
      <c r="Y245" s="45" t="n"/>
      <c r="Z245" s="45" t="n"/>
      <c r="AA245" s="1035" t="inlineStr">
        <is>
          <t>Unrestated</t>
        </is>
      </c>
      <c r="AB245" s="1035" t="inlineStr">
        <is>
          <t>Unrestated</t>
        </is>
      </c>
      <c r="AC245" s="1035" t="inlineStr">
        <is>
          <t>Unrestated</t>
        </is>
      </c>
      <c r="AD245" s="1035" t="inlineStr">
        <is>
          <t>Unrestated</t>
        </is>
      </c>
      <c r="AE245" s="1035" t="inlineStr">
        <is>
          <t>Unrestated</t>
        </is>
      </c>
      <c r="AF245" s="45" t="n"/>
      <c r="AG245" s="45" t="n"/>
      <c r="AH245" s="45" t="n"/>
      <c r="AI245" s="45" t="n"/>
      <c r="AJ245" s="45" t="n"/>
      <c r="AK245" s="45" t="n"/>
      <c r="AL245" s="45" t="n"/>
      <c r="AM245" s="45" t="n"/>
      <c r="AN245" s="45" t="n"/>
      <c r="AO245" s="45" t="n"/>
      <c r="AP245" s="45" t="n"/>
      <c r="AQ245" s="45" t="n"/>
      <c r="AR245" s="45" t="n"/>
      <c r="AS245" s="45" t="n"/>
      <c r="AT245" s="45" t="n"/>
      <c r="AU245" s="45" t="n"/>
      <c r="AV245" s="45" t="n"/>
      <c r="AW245" s="45" t="n"/>
      <c r="AX245" s="45" t="n"/>
      <c r="AY245" s="45" t="n"/>
      <c r="AZ245" s="45" t="n"/>
      <c r="BA245" s="45" t="n"/>
      <c r="BB245" s="45" t="n"/>
      <c r="BC245" s="45" t="n"/>
      <c r="BD245" s="45" t="n"/>
      <c r="BE245" s="45" t="n"/>
      <c r="BF245" s="45" t="n"/>
      <c r="BG245" s="45" t="n"/>
      <c r="BH245" s="45" t="n"/>
      <c r="BI245" s="45" t="n"/>
      <c r="BJ245" s="45" t="n"/>
      <c r="BK245" s="45" t="n"/>
      <c r="BL245" s="45" t="n"/>
      <c r="BM245" s="45" t="n"/>
      <c r="BN245" s="45" t="n"/>
      <c r="BO245" s="45" t="n"/>
      <c r="BP245" s="45" t="n"/>
      <c r="BQ245" s="45" t="n"/>
      <c r="BR245" s="45" t="n"/>
      <c r="BS245" s="45" t="n"/>
      <c r="BT245" s="45" t="n"/>
      <c r="BU245" s="45" t="n"/>
      <c r="BV245" s="982" t="n"/>
      <c r="BW245" s="45" t="n"/>
      <c r="BX245" s="45" t="n"/>
      <c r="BY245" s="45" t="n"/>
      <c r="BZ245" s="45" t="n"/>
      <c r="CA245" s="45" t="n"/>
      <c r="CB245" s="45" t="n"/>
      <c r="CC245" s="45" t="n"/>
      <c r="CD245" s="45" t="n"/>
      <c r="CE245" s="45" t="n"/>
      <c r="CF245" s="45" t="n"/>
      <c r="CG245" s="155" t="n"/>
    </row>
    <row r="246" hidden="1" outlineLevel="1">
      <c r="A246" s="99" t="inlineStr">
        <is>
          <t>Current inventory purchase and long-term supply obligations, mm</t>
        </is>
      </c>
      <c r="B246" s="602" t="n"/>
      <c r="C246" s="1111" t="n">
        <v>290.662</v>
      </c>
      <c r="D246" s="1111" t="n">
        <v>461.988</v>
      </c>
      <c r="E246" s="1111" t="n">
        <v>546.36</v>
      </c>
      <c r="F246" s="1111" t="n">
        <v>561.331</v>
      </c>
      <c r="G246" s="68" t="n"/>
      <c r="H246" s="68" t="n"/>
      <c r="I246" s="68" t="n"/>
      <c r="J246" s="68">
        <f>K246</f>
        <v/>
      </c>
      <c r="K246" s="1111" t="n">
        <v>470.309</v>
      </c>
      <c r="L246" s="68" t="n"/>
      <c r="M246" s="68" t="n"/>
      <c r="N246" s="68" t="n"/>
      <c r="O246" s="68">
        <f>P246</f>
        <v/>
      </c>
      <c r="P246" s="1111" t="n">
        <v>397.704</v>
      </c>
      <c r="Q246" s="68" t="n"/>
      <c r="R246" s="68" t="n"/>
      <c r="S246" s="68" t="n"/>
      <c r="T246" s="68">
        <f>U246</f>
        <v/>
      </c>
      <c r="U246" s="1111" t="n">
        <v>456</v>
      </c>
      <c r="V246" s="68" t="n"/>
      <c r="W246" s="68" t="n"/>
      <c r="X246" s="68" t="n"/>
      <c r="Y246" s="68">
        <f>Z246</f>
        <v/>
      </c>
      <c r="Z246" s="1111" t="n">
        <v>391</v>
      </c>
      <c r="AA246" s="68" t="n"/>
      <c r="AB246" s="68" t="n"/>
      <c r="AC246" s="68" t="n"/>
      <c r="AD246" s="68">
        <f>AE246</f>
        <v/>
      </c>
      <c r="AE246" s="1111" t="n">
        <v>1001</v>
      </c>
      <c r="AF246" s="68" t="n"/>
      <c r="AG246" s="68" t="n"/>
      <c r="AH246" s="68" t="n"/>
      <c r="AI246" s="68">
        <f>AJ246</f>
        <v/>
      </c>
      <c r="AJ246" s="1111" t="n">
        <v>1331</v>
      </c>
      <c r="AK246" s="68" t="n"/>
      <c r="AL246" s="68" t="n"/>
      <c r="AM246" s="68" t="n"/>
      <c r="AN246" s="68">
        <f>AO246</f>
        <v/>
      </c>
      <c r="AO246" s="1111" t="n">
        <v>912</v>
      </c>
      <c r="AP246" s="68" t="n"/>
      <c r="AQ246" s="68" t="n"/>
      <c r="AR246" s="68" t="n"/>
      <c r="AS246" s="68">
        <f>AT246</f>
        <v/>
      </c>
      <c r="AT246" s="1111" t="n">
        <v>1156</v>
      </c>
      <c r="AU246" s="68" t="n"/>
      <c r="AV246" s="68" t="n"/>
      <c r="AW246" s="68" t="n"/>
      <c r="AX246" s="68">
        <f>AY246</f>
        <v/>
      </c>
      <c r="AY246" s="1111" t="n">
        <v>2540</v>
      </c>
      <c r="AZ246" s="1053" t="n">
        <v>3460</v>
      </c>
      <c r="BA246" s="1053" t="n">
        <v>4590</v>
      </c>
      <c r="BB246" s="68" t="n"/>
      <c r="BC246" s="68" t="n"/>
      <c r="BD246" s="1110" t="n"/>
      <c r="BE246" s="68" t="n"/>
      <c r="BF246" s="68" t="n"/>
      <c r="BG246" s="68" t="n"/>
      <c r="BH246" s="68" t="n"/>
      <c r="BI246" s="1110" t="n"/>
      <c r="BJ246" s="68" t="n"/>
      <c r="BK246" s="68" t="n"/>
      <c r="BL246" s="68" t="n"/>
      <c r="BM246" s="68" t="n"/>
      <c r="BN246" s="1110" t="n"/>
      <c r="BO246" s="68" t="n"/>
      <c r="BP246" s="68" t="n"/>
      <c r="BQ246" s="68" t="n"/>
      <c r="BR246" s="68" t="n"/>
      <c r="BS246" s="1110" t="n"/>
      <c r="BT246" s="68" t="n"/>
      <c r="BU246" s="68" t="n"/>
      <c r="BV246" s="588" t="n"/>
      <c r="BW246" s="68" t="n"/>
      <c r="BX246" s="1110" t="n"/>
      <c r="BY246" s="68" t="n"/>
      <c r="BZ246" s="68" t="n"/>
      <c r="CA246" s="68" t="n"/>
      <c r="CB246" s="68" t="n"/>
      <c r="CC246" s="1110" t="n"/>
      <c r="CD246" s="1110" t="n"/>
      <c r="CE246" s="1110" t="n"/>
      <c r="CF246" s="1110" t="n"/>
      <c r="CG246" s="155" t="n"/>
    </row>
    <row r="247" hidden="1" outlineLevel="1">
      <c r="A247" s="99" t="inlineStr">
        <is>
          <t>Non-current inventory purchase and long-term supply obligations, mm</t>
        </is>
      </c>
      <c r="B247" s="602" t="n"/>
      <c r="C247" s="1110">
        <f>C248-C246</f>
        <v/>
      </c>
      <c r="D247" s="1110">
        <f>D248-D246</f>
        <v/>
      </c>
      <c r="E247" s="1110">
        <f>E248-E246</f>
        <v/>
      </c>
      <c r="F247" s="1110">
        <f>F248-F246</f>
        <v/>
      </c>
      <c r="G247" s="68" t="n"/>
      <c r="H247" s="68" t="n"/>
      <c r="I247" s="68" t="n"/>
      <c r="J247" s="68">
        <f>J248-J246</f>
        <v/>
      </c>
      <c r="K247" s="1110">
        <f>K248-K246</f>
        <v/>
      </c>
      <c r="L247" s="68" t="n"/>
      <c r="M247" s="68" t="n"/>
      <c r="N247" s="68" t="n"/>
      <c r="O247" s="68">
        <f>O248-O246</f>
        <v/>
      </c>
      <c r="P247" s="1110">
        <f>P248-P246</f>
        <v/>
      </c>
      <c r="Q247" s="68" t="n"/>
      <c r="R247" s="68" t="n"/>
      <c r="S247" s="68" t="n"/>
      <c r="T247" s="68">
        <f>T248-T246</f>
        <v/>
      </c>
      <c r="U247" s="1110">
        <f>U248-U246</f>
        <v/>
      </c>
      <c r="V247" s="68" t="n"/>
      <c r="W247" s="68" t="n"/>
      <c r="X247" s="68" t="n"/>
      <c r="Y247" s="68">
        <f>Y248-Y246</f>
        <v/>
      </c>
      <c r="Z247" s="1110">
        <f>Z248-Z246</f>
        <v/>
      </c>
      <c r="AA247" s="68" t="n"/>
      <c r="AB247" s="68" t="n"/>
      <c r="AC247" s="68" t="n"/>
      <c r="AD247" s="68">
        <f>AD248-AD246</f>
        <v/>
      </c>
      <c r="AE247" s="1110">
        <f>AE248-AE246</f>
        <v/>
      </c>
      <c r="AF247" s="68" t="n"/>
      <c r="AG247" s="68" t="n"/>
      <c r="AH247" s="68" t="n"/>
      <c r="AI247" s="68">
        <f>AI248-AI246</f>
        <v/>
      </c>
      <c r="AJ247" s="1110">
        <f>AJ248-AJ246</f>
        <v/>
      </c>
      <c r="AK247" s="68" t="n"/>
      <c r="AL247" s="68" t="n"/>
      <c r="AM247" s="68" t="n"/>
      <c r="AN247" s="68">
        <f>AN248-AN246</f>
        <v/>
      </c>
      <c r="AO247" s="1110">
        <f>AO248-AO246</f>
        <v/>
      </c>
      <c r="AP247" s="68" t="n"/>
      <c r="AQ247" s="68" t="n"/>
      <c r="AR247" s="68" t="n"/>
      <c r="AS247" s="68">
        <f>AS248-AS246</f>
        <v/>
      </c>
      <c r="AT247" s="1110">
        <f>AT248-AT246</f>
        <v/>
      </c>
      <c r="AU247" s="68" t="n"/>
      <c r="AV247" s="68" t="n"/>
      <c r="AW247" s="68" t="n"/>
      <c r="AX247" s="68">
        <f>AX248-AX246</f>
        <v/>
      </c>
      <c r="AY247" s="1110">
        <f>AY248-AY246</f>
        <v/>
      </c>
      <c r="AZ247" s="68">
        <f>AZ248-AZ246</f>
        <v/>
      </c>
      <c r="BA247" s="68">
        <f>BA248-BA246</f>
        <v/>
      </c>
      <c r="BB247" s="68" t="n"/>
      <c r="BC247" s="68" t="n"/>
      <c r="BD247" s="1110" t="n"/>
      <c r="BE247" s="68" t="n"/>
      <c r="BF247" s="68" t="n"/>
      <c r="BG247" s="68" t="n"/>
      <c r="BH247" s="68" t="n"/>
      <c r="BI247" s="1110" t="n"/>
      <c r="BJ247" s="68" t="n"/>
      <c r="BK247" s="68" t="n"/>
      <c r="BL247" s="68" t="n"/>
      <c r="BM247" s="68" t="n"/>
      <c r="BN247" s="1110" t="n"/>
      <c r="BO247" s="68" t="n"/>
      <c r="BP247" s="68" t="n"/>
      <c r="BQ247" s="68" t="n"/>
      <c r="BR247" s="68" t="n"/>
      <c r="BS247" s="1110" t="n"/>
      <c r="BT247" s="68" t="n"/>
      <c r="BU247" s="68" t="n"/>
      <c r="BV247" s="588" t="n"/>
      <c r="BW247" s="68" t="n"/>
      <c r="BX247" s="1110" t="n"/>
      <c r="BY247" s="68" t="n"/>
      <c r="BZ247" s="68" t="n"/>
      <c r="CA247" s="68" t="n"/>
      <c r="CB247" s="68" t="n"/>
      <c r="CC247" s="1110" t="n"/>
      <c r="CD247" s="1110" t="n"/>
      <c r="CE247" s="1110" t="n"/>
      <c r="CF247" s="1110" t="n"/>
      <c r="CG247" s="155" t="n"/>
    </row>
    <row r="248" hidden="1" outlineLevel="1">
      <c r="A248" s="631" t="inlineStr">
        <is>
          <t>Inventory purchase and long-term supply obligations, mm</t>
        </is>
      </c>
      <c r="B248" s="604" t="n"/>
      <c r="C248" s="1138" t="n">
        <v>290.662</v>
      </c>
      <c r="D248" s="1138" t="n">
        <v>461.988</v>
      </c>
      <c r="E248" s="1138" t="n">
        <v>546.36</v>
      </c>
      <c r="F248" s="1138" t="n">
        <v>561.331</v>
      </c>
      <c r="G248" s="1063" t="n">
        <v>594.8</v>
      </c>
      <c r="H248" s="1063" t="n">
        <v>669.9</v>
      </c>
      <c r="I248" s="1063" t="n">
        <v>596.7</v>
      </c>
      <c r="J248" s="61">
        <f>K248</f>
        <v/>
      </c>
      <c r="K248" s="1138" t="n">
        <v>470.309</v>
      </c>
      <c r="L248" s="1063" t="n">
        <v>538</v>
      </c>
      <c r="M248" s="1063" t="n">
        <v>457.6</v>
      </c>
      <c r="N248" s="1063" t="n">
        <v>383.7</v>
      </c>
      <c r="O248" s="61">
        <f>P248</f>
        <v/>
      </c>
      <c r="P248" s="1138" t="n">
        <v>397.704</v>
      </c>
      <c r="Q248" s="1063" t="n">
        <v>414.2</v>
      </c>
      <c r="R248" s="1063" t="n">
        <v>486.3</v>
      </c>
      <c r="S248" s="1063" t="n">
        <v>512.2</v>
      </c>
      <c r="T248" s="61">
        <f>U248</f>
        <v/>
      </c>
      <c r="U248" s="1138" t="n">
        <v>456</v>
      </c>
      <c r="V248" s="1063" t="n">
        <v>398</v>
      </c>
      <c r="W248" s="1063" t="n">
        <v>487</v>
      </c>
      <c r="X248" s="1063" t="n">
        <v>442</v>
      </c>
      <c r="Y248" s="61">
        <f>Z248</f>
        <v/>
      </c>
      <c r="Z248" s="1138" t="n">
        <v>391</v>
      </c>
      <c r="AA248" s="1063" t="n">
        <v>696</v>
      </c>
      <c r="AB248" s="1063" t="n">
        <v>826</v>
      </c>
      <c r="AC248" s="1063" t="n">
        <v>908</v>
      </c>
      <c r="AD248" s="61">
        <f>AE248</f>
        <v/>
      </c>
      <c r="AE248" s="1138" t="n">
        <v>1001</v>
      </c>
      <c r="AF248" s="1063" t="n">
        <v>799</v>
      </c>
      <c r="AG248" s="1063" t="n">
        <v>1040</v>
      </c>
      <c r="AH248" s="1063" t="n">
        <v>1160</v>
      </c>
      <c r="AI248" s="61">
        <f>AJ248</f>
        <v/>
      </c>
      <c r="AJ248" s="1138" t="n">
        <v>1331</v>
      </c>
      <c r="AK248" s="1063" t="n">
        <v>1690</v>
      </c>
      <c r="AL248" s="1063" t="n">
        <v>1910</v>
      </c>
      <c r="AM248" s="1063" t="n">
        <v>1560</v>
      </c>
      <c r="AN248" s="61">
        <f>AO248</f>
        <v/>
      </c>
      <c r="AO248" s="1138" t="n">
        <v>912</v>
      </c>
      <c r="AP248" s="1063" t="n">
        <v>782</v>
      </c>
      <c r="AQ248" s="1063" t="n">
        <v>757</v>
      </c>
      <c r="AR248" s="1063" t="n">
        <v>980</v>
      </c>
      <c r="AS248" s="61">
        <f>AT248</f>
        <v/>
      </c>
      <c r="AT248" s="1138" t="n">
        <v>1160</v>
      </c>
      <c r="AU248" s="1063" t="n">
        <v>1760</v>
      </c>
      <c r="AV248" s="1063" t="n">
        <v>2040</v>
      </c>
      <c r="AW248" s="1063" t="n">
        <v>2570</v>
      </c>
      <c r="AX248" s="61">
        <f>AY248</f>
        <v/>
      </c>
      <c r="AY248" s="1138" t="n">
        <v>2540</v>
      </c>
      <c r="AZ248" s="1063" t="n">
        <v>3460</v>
      </c>
      <c r="BA248" s="1063" t="n">
        <v>4790</v>
      </c>
      <c r="BB248" s="1063" t="n">
        <v>6900</v>
      </c>
      <c r="BC248" s="61">
        <f>BD248</f>
        <v/>
      </c>
      <c r="BD248" s="1138" t="n">
        <v>9000</v>
      </c>
      <c r="BE248" s="1063" t="n">
        <v>9590</v>
      </c>
      <c r="BF248" s="1063" t="n">
        <v>9220</v>
      </c>
      <c r="BG248" s="1063" t="n">
        <v>7020</v>
      </c>
      <c r="BH248" s="61">
        <f>BI248</f>
        <v/>
      </c>
      <c r="BI248" s="1138" t="n">
        <v>4920</v>
      </c>
      <c r="BJ248" s="1063" t="n">
        <v>7270</v>
      </c>
      <c r="BK248" s="1063" t="n">
        <v>11150</v>
      </c>
      <c r="BL248" s="1063" t="n">
        <v>17110</v>
      </c>
      <c r="BM248" s="61">
        <f>BN248</f>
        <v/>
      </c>
      <c r="BN248" s="1138" t="n">
        <v>16100</v>
      </c>
      <c r="BO248" s="1063" t="n">
        <v>18800</v>
      </c>
      <c r="BP248" s="1063" t="n">
        <v>27800</v>
      </c>
      <c r="BQ248" s="1063" t="n">
        <v>28900</v>
      </c>
      <c r="BR248" s="61">
        <f>BS248</f>
        <v/>
      </c>
      <c r="BS248" s="1138" t="n">
        <v>30800</v>
      </c>
      <c r="BT248" s="1063" t="n">
        <v>29800</v>
      </c>
      <c r="BU248" s="61" t="n"/>
      <c r="BV248" s="884" t="n"/>
      <c r="BW248" s="61" t="n"/>
      <c r="BX248" s="1122" t="n"/>
      <c r="BY248" s="61" t="n"/>
      <c r="BZ248" s="61" t="n"/>
      <c r="CA248" s="61" t="n"/>
      <c r="CB248" s="61" t="n"/>
      <c r="CC248" s="1122" t="n"/>
      <c r="CD248" s="1122" t="n"/>
      <c r="CE248" s="1122" t="n"/>
      <c r="CF248" s="1122" t="n"/>
      <c r="CG248" s="155" t="n"/>
    </row>
    <row r="249" hidden="1" outlineLevel="1">
      <c r="A249" s="636" t="n"/>
      <c r="B249" s="602" t="n"/>
      <c r="C249" s="1110" t="n"/>
      <c r="D249" s="1110" t="n"/>
      <c r="E249" s="1110" t="n"/>
      <c r="F249" s="1110" t="n"/>
      <c r="G249" s="68" t="n"/>
      <c r="H249" s="68" t="n"/>
      <c r="I249" s="68" t="n"/>
      <c r="J249" s="68" t="n"/>
      <c r="K249" s="1110" t="n"/>
      <c r="L249" s="68" t="n"/>
      <c r="M249" s="68" t="n"/>
      <c r="N249" s="68" t="n"/>
      <c r="O249" s="68" t="n"/>
      <c r="P249" s="1110" t="n"/>
      <c r="Q249" s="68" t="n"/>
      <c r="R249" s="68" t="n"/>
      <c r="S249" s="68" t="n"/>
      <c r="T249" s="68" t="n"/>
      <c r="U249" s="1110" t="n"/>
      <c r="V249" s="68" t="n"/>
      <c r="W249" s="68" t="n"/>
      <c r="X249" s="68" t="n"/>
      <c r="Y249" s="68" t="n"/>
      <c r="Z249" s="1110" t="n"/>
      <c r="AA249" s="68" t="n"/>
      <c r="AB249" s="68" t="n"/>
      <c r="AC249" s="68" t="n"/>
      <c r="AD249" s="68" t="n"/>
      <c r="AE249" s="1110" t="n"/>
      <c r="AF249" s="68" t="n"/>
      <c r="AG249" s="68" t="n"/>
      <c r="AH249" s="68" t="n"/>
      <c r="AI249" s="68" t="n"/>
      <c r="AJ249" s="1110" t="n"/>
      <c r="AK249" s="68" t="n"/>
      <c r="AL249" s="68" t="n"/>
      <c r="AM249" s="68" t="n"/>
      <c r="AN249" s="68" t="n"/>
      <c r="AO249" s="1110" t="n"/>
      <c r="AP249" s="68" t="n"/>
      <c r="AQ249" s="68" t="n"/>
      <c r="AR249" s="68" t="n"/>
      <c r="AS249" s="68" t="n"/>
      <c r="AT249" s="1110" t="n"/>
      <c r="AU249" s="68" t="n"/>
      <c r="AV249" s="68" t="n"/>
      <c r="AW249" s="68" t="n"/>
      <c r="AX249" s="68" t="n"/>
      <c r="AY249" s="1110" t="n"/>
      <c r="AZ249" s="68" t="n"/>
      <c r="BA249" s="68" t="n"/>
      <c r="BB249" s="68" t="n"/>
      <c r="BC249" s="68" t="n"/>
      <c r="BD249" s="1110" t="n"/>
      <c r="BE249" s="68" t="n"/>
      <c r="BF249" s="68" t="n"/>
      <c r="BG249" s="68" t="n"/>
      <c r="BH249" s="68" t="n"/>
      <c r="BI249" s="1110" t="n"/>
      <c r="BJ249" s="68" t="n"/>
      <c r="BK249" s="68" t="n"/>
      <c r="BL249" s="68" t="n"/>
      <c r="BM249" s="68" t="n"/>
      <c r="BN249" s="1110" t="n"/>
      <c r="BO249" s="68" t="n"/>
      <c r="BP249" s="68" t="n"/>
      <c r="BQ249" s="68" t="n"/>
      <c r="BR249" s="68" t="n"/>
      <c r="BS249" s="1110" t="n"/>
      <c r="BT249" s="68" t="n"/>
      <c r="BU249" s="68" t="n"/>
      <c r="BV249" s="588" t="n"/>
      <c r="BW249" s="68" t="n"/>
      <c r="BX249" s="1110" t="n"/>
      <c r="BY249" s="68" t="n"/>
      <c r="BZ249" s="68" t="n"/>
      <c r="CA249" s="68" t="n"/>
      <c r="CB249" s="68" t="n"/>
      <c r="CC249" s="1110" t="n"/>
      <c r="CD249" s="1110" t="n"/>
      <c r="CE249" s="1110" t="n"/>
      <c r="CF249" s="1110" t="n"/>
      <c r="CG249" s="155" t="n"/>
    </row>
    <row r="250" hidden="1" outlineLevel="1">
      <c r="A250" s="636" t="inlineStr">
        <is>
          <t>Other purchase obligations, mm</t>
        </is>
      </c>
      <c r="B250" s="602" t="n"/>
      <c r="C250" s="1111" t="n">
        <v>20.3</v>
      </c>
      <c r="D250" s="1111" t="n">
        <v>25.2</v>
      </c>
      <c r="E250" s="1111" t="n">
        <v>31.8</v>
      </c>
      <c r="F250" s="1111" t="n">
        <v>40.5</v>
      </c>
      <c r="G250" s="68" t="n"/>
      <c r="H250" s="68" t="n"/>
      <c r="I250" s="68" t="n"/>
      <c r="J250" s="68">
        <f>K250</f>
        <v/>
      </c>
      <c r="K250" s="1111" t="n">
        <v>44.8</v>
      </c>
      <c r="L250" s="68" t="n"/>
      <c r="M250" s="68" t="n"/>
      <c r="N250" s="68" t="n"/>
      <c r="O250" s="68">
        <f>P250</f>
        <v/>
      </c>
      <c r="P250" s="1111" t="n">
        <v>41.3</v>
      </c>
      <c r="Q250" s="68" t="n"/>
      <c r="R250" s="68" t="n"/>
      <c r="S250" s="68" t="n"/>
      <c r="T250" s="68">
        <f>U250</f>
        <v/>
      </c>
      <c r="U250" s="1111" t="n">
        <v>51</v>
      </c>
      <c r="V250" s="68" t="n"/>
      <c r="W250" s="68" t="n"/>
      <c r="X250" s="68" t="n"/>
      <c r="Y250" s="68">
        <f>Z250</f>
        <v/>
      </c>
      <c r="Z250" s="1111" t="n">
        <v>36</v>
      </c>
      <c r="AA250" s="68" t="n"/>
      <c r="AB250" s="68" t="n"/>
      <c r="AC250" s="68" t="n"/>
      <c r="AD250" s="68">
        <f>AE250</f>
        <v/>
      </c>
      <c r="AE250" s="1111" t="n">
        <v>38</v>
      </c>
      <c r="AF250" s="68" t="n"/>
      <c r="AG250" s="68" t="n"/>
      <c r="AH250" s="68" t="n"/>
      <c r="AI250" s="68">
        <f>AJ250</f>
        <v/>
      </c>
      <c r="AJ250" s="1111" t="n">
        <v>135</v>
      </c>
      <c r="AK250" s="68" t="n"/>
      <c r="AL250" s="68" t="n"/>
      <c r="AM250" s="68" t="n"/>
      <c r="AN250" s="68">
        <f>AO250</f>
        <v/>
      </c>
      <c r="AO250" s="1111" t="n">
        <v>258</v>
      </c>
      <c r="AP250" s="1053" t="n">
        <v>194</v>
      </c>
      <c r="AQ250" s="1053" t="n">
        <v>133</v>
      </c>
      <c r="AR250" s="1053" t="n">
        <v>138</v>
      </c>
      <c r="AS250" s="68">
        <f>AT250</f>
        <v/>
      </c>
      <c r="AT250" s="1111" t="n">
        <v>186</v>
      </c>
      <c r="AU250" s="1053" t="n">
        <v>287</v>
      </c>
      <c r="AV250" s="1053" t="n">
        <v>310</v>
      </c>
      <c r="AW250" s="1053" t="n">
        <v>398</v>
      </c>
      <c r="AX250" s="68">
        <f>AY250</f>
        <v/>
      </c>
      <c r="AY250" s="1111" t="n">
        <v>317</v>
      </c>
      <c r="AZ250" s="1053" t="n">
        <v>396</v>
      </c>
      <c r="BA250" s="1053" t="n">
        <v>565</v>
      </c>
      <c r="BB250" s="1053" t="n">
        <v>935</v>
      </c>
      <c r="BC250" s="68">
        <f>BD250</f>
        <v/>
      </c>
      <c r="BD250" s="1111" t="n">
        <v>1300</v>
      </c>
      <c r="BE250" s="1053" t="n">
        <v>1850</v>
      </c>
      <c r="BF250" s="1053" t="n">
        <v>1360</v>
      </c>
      <c r="BG250" s="1053" t="n">
        <v>2750</v>
      </c>
      <c r="BH250" s="68">
        <f>BI250</f>
        <v/>
      </c>
      <c r="BI250" s="1111" t="n">
        <v>3140</v>
      </c>
      <c r="BJ250" s="1053" t="n">
        <v>3260</v>
      </c>
      <c r="BK250" s="1053" t="n">
        <v>4310</v>
      </c>
      <c r="BL250" s="1053" t="n">
        <v>4430</v>
      </c>
      <c r="BM250" s="68">
        <f>BN250</f>
        <v/>
      </c>
      <c r="BN250" s="1111" t="n">
        <v>4600</v>
      </c>
      <c r="BO250" s="1053" t="n">
        <v>10600</v>
      </c>
      <c r="BP250" s="1053" t="n">
        <v>12000</v>
      </c>
      <c r="BQ250" s="1053" t="n">
        <v>13200</v>
      </c>
      <c r="BR250" s="68">
        <f>BS250</f>
        <v/>
      </c>
      <c r="BS250" s="1111" t="n">
        <v>14300</v>
      </c>
      <c r="BT250" s="1053" t="n">
        <v>13700</v>
      </c>
      <c r="BU250" s="68" t="n"/>
      <c r="BV250" s="588" t="n"/>
      <c r="BW250" s="68" t="n"/>
      <c r="BX250" s="1110" t="n"/>
      <c r="BY250" s="68" t="n"/>
      <c r="BZ250" s="68" t="n"/>
      <c r="CA250" s="68" t="n"/>
      <c r="CB250" s="68" t="n"/>
      <c r="CC250" s="1110" t="n"/>
      <c r="CD250" s="1110" t="n"/>
      <c r="CE250" s="1110" t="n"/>
      <c r="CF250" s="1110" t="n"/>
      <c r="CG250" s="155" t="n"/>
    </row>
    <row r="251" hidden="1" outlineLevel="1">
      <c r="A251" s="636" t="inlineStr">
        <is>
          <t>Long-term supply agreements unpaid obligations, mm</t>
        </is>
      </c>
      <c r="B251" s="602" t="n"/>
      <c r="C251" s="1110" t="n"/>
      <c r="D251" s="1110" t="n"/>
      <c r="E251" s="1110" t="n"/>
      <c r="F251" s="1110" t="n"/>
      <c r="G251" s="68" t="n"/>
      <c r="H251" s="68" t="n"/>
      <c r="I251" s="68" t="n"/>
      <c r="J251" s="68" t="n"/>
      <c r="K251" s="1110" t="n"/>
      <c r="L251" s="68" t="n"/>
      <c r="M251" s="68" t="n"/>
      <c r="N251" s="68" t="n"/>
      <c r="O251" s="68" t="n"/>
      <c r="P251" s="1110" t="n"/>
      <c r="Q251" s="68" t="n"/>
      <c r="R251" s="68" t="n"/>
      <c r="S251" s="68" t="n"/>
      <c r="T251" s="68" t="n"/>
      <c r="U251" s="1110" t="n"/>
      <c r="V251" s="68" t="n"/>
      <c r="W251" s="68" t="n"/>
      <c r="X251" s="68" t="n"/>
      <c r="Y251" s="68" t="n"/>
      <c r="Z251" s="1110" t="n"/>
      <c r="AA251" s="68" t="n"/>
      <c r="AB251" s="68" t="n"/>
      <c r="AC251" s="68" t="n"/>
      <c r="AD251" s="68" t="n"/>
      <c r="AE251" s="1110" t="n"/>
      <c r="AF251" s="68" t="n"/>
      <c r="AG251" s="68" t="n"/>
      <c r="AH251" s="68" t="n"/>
      <c r="AI251" s="68" t="n"/>
      <c r="AJ251" s="1110" t="n"/>
      <c r="AK251" s="68" t="n"/>
      <c r="AL251" s="68" t="n"/>
      <c r="AM251" s="68" t="n"/>
      <c r="AN251" s="68" t="n"/>
      <c r="AO251" s="1110" t="n"/>
      <c r="AP251" s="68" t="n"/>
      <c r="AQ251" s="68" t="n"/>
      <c r="AR251" s="68" t="n"/>
      <c r="AS251" s="68" t="n"/>
      <c r="AT251" s="1110" t="n"/>
      <c r="AU251" s="68" t="n"/>
      <c r="AV251" s="68" t="n"/>
      <c r="AW251" s="68" t="n"/>
      <c r="AX251" s="68" t="n"/>
      <c r="AY251" s="1110" t="n"/>
      <c r="AZ251" s="68" t="n"/>
      <c r="BA251" s="68" t="n"/>
      <c r="BB251" s="1053" t="n">
        <v>1790</v>
      </c>
      <c r="BC251" s="68">
        <f>BD251</f>
        <v/>
      </c>
      <c r="BD251" s="1111" t="n">
        <v>1580</v>
      </c>
      <c r="BE251" s="1053" t="n">
        <v>1020</v>
      </c>
      <c r="BF251" s="1053" t="n">
        <v>929</v>
      </c>
      <c r="BG251" s="1053" t="n">
        <v>917</v>
      </c>
      <c r="BH251" s="68">
        <f>BI251</f>
        <v/>
      </c>
      <c r="BI251" s="1111" t="n">
        <v>810</v>
      </c>
      <c r="BJ251" s="68" t="n"/>
      <c r="BK251" s="68" t="n"/>
      <c r="BL251" s="68" t="n"/>
      <c r="BM251" s="68">
        <f>BN251</f>
        <v/>
      </c>
      <c r="BN251" s="1110" t="n"/>
      <c r="BO251" s="68" t="n"/>
      <c r="BP251" s="68" t="n"/>
      <c r="BQ251" s="68" t="n"/>
      <c r="BR251" s="68" t="n"/>
      <c r="BS251" s="1110" t="n"/>
      <c r="BT251" s="68" t="n"/>
      <c r="BU251" s="68" t="n"/>
      <c r="BV251" s="588" t="n"/>
      <c r="BW251" s="68" t="n"/>
      <c r="BX251" s="1110" t="n"/>
      <c r="BY251" s="68" t="n"/>
      <c r="BZ251" s="68" t="n"/>
      <c r="CA251" s="68" t="n"/>
      <c r="CB251" s="68" t="n"/>
      <c r="CC251" s="1110" t="n"/>
      <c r="CD251" s="1110" t="n"/>
      <c r="CE251" s="1110" t="n"/>
      <c r="CF251" s="1110" t="n"/>
      <c r="CG251" s="155" t="n"/>
    </row>
    <row r="252" hidden="1" outlineLevel="1">
      <c r="A252" s="636" t="n"/>
      <c r="B252" s="602" t="n"/>
      <c r="C252" s="1110" t="n"/>
      <c r="D252" s="1110" t="n"/>
      <c r="E252" s="1110" t="n"/>
      <c r="F252" s="1110" t="n"/>
      <c r="G252" s="68" t="n"/>
      <c r="H252" s="68" t="n"/>
      <c r="I252" s="68" t="n"/>
      <c r="J252" s="68" t="n"/>
      <c r="K252" s="1110" t="n"/>
      <c r="L252" s="68" t="n"/>
      <c r="M252" s="68" t="n"/>
      <c r="N252" s="68" t="n"/>
      <c r="O252" s="68" t="n"/>
      <c r="P252" s="1110" t="n"/>
      <c r="Q252" s="68" t="n"/>
      <c r="R252" s="68" t="n"/>
      <c r="S252" s="68" t="n"/>
      <c r="T252" s="68" t="n"/>
      <c r="U252" s="1110" t="n"/>
      <c r="V252" s="68" t="n"/>
      <c r="W252" s="68" t="n"/>
      <c r="X252" s="68" t="n"/>
      <c r="Y252" s="68" t="n"/>
      <c r="Z252" s="1110" t="n"/>
      <c r="AA252" s="68" t="n"/>
      <c r="AB252" s="68" t="n"/>
      <c r="AC252" s="68" t="n"/>
      <c r="AD252" s="68" t="n"/>
      <c r="AE252" s="1110" t="n"/>
      <c r="AF252" s="68" t="n"/>
      <c r="AG252" s="68" t="n"/>
      <c r="AH252" s="68" t="n"/>
      <c r="AI252" s="68" t="n"/>
      <c r="AJ252" s="1110" t="n"/>
      <c r="AK252" s="68" t="n"/>
      <c r="AL252" s="68" t="n"/>
      <c r="AM252" s="68" t="n"/>
      <c r="AN252" s="68" t="n"/>
      <c r="AO252" s="1110" t="n"/>
      <c r="AP252" s="68" t="n"/>
      <c r="AQ252" s="68" t="n"/>
      <c r="AR252" s="68" t="n"/>
      <c r="AS252" s="68" t="n"/>
      <c r="AT252" s="1110" t="n"/>
      <c r="AU252" s="68" t="n"/>
      <c r="AV252" s="68" t="n"/>
      <c r="AW252" s="68" t="n"/>
      <c r="AX252" s="68" t="n"/>
      <c r="AY252" s="1110" t="n"/>
      <c r="AZ252" s="68" t="n"/>
      <c r="BA252" s="68" t="n"/>
      <c r="BB252" s="68" t="n"/>
      <c r="BC252" s="68" t="n"/>
      <c r="BD252" s="1110" t="n"/>
      <c r="BE252" s="68" t="n"/>
      <c r="BF252" s="68" t="n"/>
      <c r="BG252" s="68" t="n"/>
      <c r="BH252" s="68" t="n"/>
      <c r="BI252" s="1110" t="n"/>
      <c r="BJ252" s="68" t="n"/>
      <c r="BK252" s="68" t="n"/>
      <c r="BL252" s="68" t="n"/>
      <c r="BM252" s="68" t="n"/>
      <c r="BN252" s="1110" t="n"/>
      <c r="BO252" s="68" t="n"/>
      <c r="BP252" s="68" t="n"/>
      <c r="BQ252" s="68" t="n"/>
      <c r="BR252" s="68" t="n"/>
      <c r="BS252" s="1110" t="n"/>
      <c r="BT252" s="68" t="n"/>
      <c r="BU252" s="68" t="n"/>
      <c r="BV252" s="588" t="n"/>
      <c r="BW252" s="68" t="n"/>
      <c r="BX252" s="1110" t="n"/>
      <c r="BY252" s="68" t="n"/>
      <c r="BZ252" s="68" t="n"/>
      <c r="CA252" s="68" t="n"/>
      <c r="CB252" s="68" t="n"/>
      <c r="CC252" s="1110" t="n"/>
      <c r="CD252" s="1110" t="n"/>
      <c r="CE252" s="1110" t="n"/>
      <c r="CF252" s="1110" t="n"/>
      <c r="CG252" s="155" t="n"/>
    </row>
    <row r="253" hidden="1" outlineLevel="1">
      <c r="A253" s="99" t="inlineStr">
        <is>
          <t>Remaining Future unconditional purchase commitments due in current year, mm</t>
        </is>
      </c>
      <c r="B253" s="602" t="n"/>
      <c r="C253" s="1110" t="n"/>
      <c r="D253" s="1110" t="n"/>
      <c r="E253" s="1110" t="n"/>
      <c r="F253" s="1110" t="n"/>
      <c r="G253" s="68" t="n"/>
      <c r="H253" s="68" t="n"/>
      <c r="I253" s="68" t="n"/>
      <c r="J253" s="68" t="n"/>
      <c r="K253" s="1110" t="n"/>
      <c r="L253" s="68" t="n"/>
      <c r="M253" s="68" t="n"/>
      <c r="N253" s="68" t="n"/>
      <c r="O253" s="68" t="n"/>
      <c r="P253" s="1110" t="n"/>
      <c r="Q253" s="68" t="n"/>
      <c r="R253" s="68" t="n"/>
      <c r="S253" s="68" t="n"/>
      <c r="T253" s="68" t="n"/>
      <c r="U253" s="1110" t="n"/>
      <c r="V253" s="68" t="n"/>
      <c r="W253" s="68" t="n"/>
      <c r="X253" s="68" t="n"/>
      <c r="Y253" s="68" t="n"/>
      <c r="Z253" s="1110" t="n"/>
      <c r="AA253" s="68" t="n"/>
      <c r="AB253" s="68" t="n"/>
      <c r="AC253" s="68" t="n"/>
      <c r="AD253" s="68" t="n"/>
      <c r="AE253" s="1110" t="n"/>
      <c r="AF253" s="68" t="n"/>
      <c r="AG253" s="68" t="n"/>
      <c r="AH253" s="68" t="n"/>
      <c r="AI253" s="68" t="n"/>
      <c r="AJ253" s="1110" t="n"/>
      <c r="AK253" s="68" t="n"/>
      <c r="AL253" s="68" t="n"/>
      <c r="AM253" s="68" t="n"/>
      <c r="AN253" s="68" t="n"/>
      <c r="AO253" s="1110" t="n"/>
      <c r="AP253" s="68" t="n"/>
      <c r="AQ253" s="68" t="n"/>
      <c r="AR253" s="68" t="n"/>
      <c r="AS253" s="68" t="n"/>
      <c r="AT253" s="1110" t="n"/>
      <c r="AU253" s="68" t="n"/>
      <c r="AV253" s="68" t="n"/>
      <c r="AW253" s="68" t="n"/>
      <c r="AX253" s="68" t="n"/>
      <c r="AY253" s="1110" t="n"/>
      <c r="AZ253" s="68" t="n"/>
      <c r="BA253" s="68" t="n"/>
      <c r="BB253" s="1053" t="n">
        <v>2944</v>
      </c>
      <c r="BC253" s="68" t="n"/>
      <c r="BD253" s="1110" t="n"/>
      <c r="BE253" s="1053" t="n">
        <v>8344</v>
      </c>
      <c r="BF253" s="1053" t="n">
        <v>7108</v>
      </c>
      <c r="BG253" s="1053" t="n">
        <v>4234</v>
      </c>
      <c r="BH253" s="68" t="n"/>
      <c r="BI253" s="1110" t="n"/>
      <c r="BJ253" s="1053" t="n">
        <v>6667</v>
      </c>
      <c r="BK253" s="1053" t="n">
        <v>8439</v>
      </c>
      <c r="BL253" s="1053" t="n">
        <v>6499</v>
      </c>
      <c r="BM253" s="68">
        <f>BN253</f>
        <v/>
      </c>
      <c r="BN253" s="1110" t="n"/>
      <c r="BO253" s="1053" t="n">
        <v>19306</v>
      </c>
      <c r="BP253" s="1053" t="n">
        <v>21934</v>
      </c>
      <c r="BQ253" s="1053" t="n">
        <v>14178</v>
      </c>
      <c r="BR253" s="68" t="n"/>
      <c r="BS253" s="1110" t="n"/>
      <c r="BT253" s="1053" t="n">
        <v>31445</v>
      </c>
      <c r="BU253" s="1053" t="n">
        <v>30930</v>
      </c>
      <c r="BV253" s="588" t="n"/>
      <c r="BW253" s="68" t="n"/>
      <c r="BX253" s="1110" t="n"/>
      <c r="BY253" s="68" t="n"/>
      <c r="BZ253" s="68" t="n"/>
      <c r="CA253" s="68" t="n"/>
      <c r="CB253" s="68" t="n"/>
      <c r="CC253" s="1110" t="n"/>
      <c r="CD253" s="1110" t="n"/>
      <c r="CE253" s="1110" t="n"/>
      <c r="CF253" s="1110" t="n"/>
      <c r="CG253" s="155" t="n"/>
    </row>
    <row r="254" hidden="1" outlineLevel="1">
      <c r="A254" s="99" t="inlineStr">
        <is>
          <t>Future unconditional purchase commitments due in 1 year, mm</t>
        </is>
      </c>
      <c r="B254" s="602" t="n"/>
      <c r="C254" s="1110" t="n"/>
      <c r="D254" s="1110" t="n"/>
      <c r="E254" s="1110" t="n"/>
      <c r="F254" s="1110" t="n"/>
      <c r="G254" s="68" t="n"/>
      <c r="H254" s="68" t="n"/>
      <c r="I254" s="68" t="n"/>
      <c r="J254" s="68" t="n"/>
      <c r="K254" s="1110" t="n"/>
      <c r="L254" s="68" t="n"/>
      <c r="M254" s="68" t="n"/>
      <c r="N254" s="68" t="n"/>
      <c r="O254" s="68" t="n"/>
      <c r="P254" s="1110" t="n"/>
      <c r="Q254" s="68" t="n"/>
      <c r="R254" s="68" t="n"/>
      <c r="S254" s="68" t="n"/>
      <c r="T254" s="68" t="n"/>
      <c r="U254" s="1110" t="n"/>
      <c r="V254" s="68" t="n"/>
      <c r="W254" s="68" t="n"/>
      <c r="X254" s="68" t="n"/>
      <c r="Y254" s="68" t="n"/>
      <c r="Z254" s="1110" t="n"/>
      <c r="AA254" s="68" t="n"/>
      <c r="AB254" s="68" t="n"/>
      <c r="AC254" s="68" t="n"/>
      <c r="AD254" s="68" t="n"/>
      <c r="AE254" s="1110" t="n"/>
      <c r="AF254" s="68" t="n"/>
      <c r="AG254" s="68" t="n"/>
      <c r="AH254" s="68" t="n"/>
      <c r="AI254" s="68" t="n"/>
      <c r="AJ254" s="1110" t="n"/>
      <c r="AK254" s="68" t="n"/>
      <c r="AL254" s="68" t="n"/>
      <c r="AM254" s="68" t="n"/>
      <c r="AN254" s="68" t="n"/>
      <c r="AO254" s="1110" t="n"/>
      <c r="AP254" s="68" t="n"/>
      <c r="AQ254" s="68" t="n"/>
      <c r="AR254" s="68" t="n"/>
      <c r="AS254" s="68" t="n"/>
      <c r="AT254" s="1110" t="n"/>
      <c r="AU254" s="68" t="n"/>
      <c r="AV254" s="68" t="n"/>
      <c r="AW254" s="68" t="n"/>
      <c r="AX254" s="68" t="n"/>
      <c r="AY254" s="1110" t="n"/>
      <c r="AZ254" s="68" t="n"/>
      <c r="BA254" s="68" t="n"/>
      <c r="BB254" s="1053" t="n">
        <v>4637</v>
      </c>
      <c r="BC254" s="68">
        <f>BD254</f>
        <v/>
      </c>
      <c r="BD254" s="1111" t="n">
        <v>9302</v>
      </c>
      <c r="BE254" s="1053" t="n">
        <v>2238</v>
      </c>
      <c r="BF254" s="1053" t="n">
        <v>2730</v>
      </c>
      <c r="BG254" s="1053" t="n">
        <v>3362</v>
      </c>
      <c r="BH254" s="68">
        <f>BI254</f>
        <v/>
      </c>
      <c r="BI254" s="1111" t="n">
        <v>5230</v>
      </c>
      <c r="BJ254" s="1053" t="n">
        <v>1816</v>
      </c>
      <c r="BK254" s="1053" t="n">
        <v>3960</v>
      </c>
      <c r="BL254" s="1053" t="n">
        <v>11861</v>
      </c>
      <c r="BM254" s="68">
        <f>BN254</f>
        <v/>
      </c>
      <c r="BN254" s="1111" t="n">
        <v>17316</v>
      </c>
      <c r="BO254" s="1053" t="n">
        <v>3438</v>
      </c>
      <c r="BP254" s="1053" t="n">
        <v>10671</v>
      </c>
      <c r="BQ254" s="1053" t="n">
        <v>18895</v>
      </c>
      <c r="BR254" s="68">
        <f>BS254</f>
        <v/>
      </c>
      <c r="BS254" s="1111" t="n">
        <v>35727</v>
      </c>
      <c r="BT254" s="1053" t="n">
        <v>5923</v>
      </c>
      <c r="BU254" s="1053" t="n">
        <v>6573</v>
      </c>
      <c r="BV254" s="588" t="n"/>
      <c r="BW254" s="68" t="n"/>
      <c r="BX254" s="1110" t="n"/>
      <c r="BY254" s="68" t="n"/>
      <c r="BZ254" s="68" t="n"/>
      <c r="CA254" s="68" t="n"/>
      <c r="CB254" s="68" t="n"/>
      <c r="CC254" s="1110" t="n"/>
      <c r="CD254" s="1110" t="n"/>
      <c r="CE254" s="1110" t="n"/>
      <c r="CF254" s="1110" t="n"/>
      <c r="CG254" s="155" t="n"/>
    </row>
    <row r="255" hidden="1" outlineLevel="1">
      <c r="A255" s="99" t="inlineStr">
        <is>
          <t>Future unconditional purchase commitments due in 2 years, mm</t>
        </is>
      </c>
      <c r="B255" s="602" t="n"/>
      <c r="C255" s="1110" t="n"/>
      <c r="D255" s="1110" t="n"/>
      <c r="E255" s="1110" t="n"/>
      <c r="F255" s="1110" t="n"/>
      <c r="G255" s="68" t="n"/>
      <c r="H255" s="68" t="n"/>
      <c r="I255" s="68" t="n"/>
      <c r="J255" s="68" t="n"/>
      <c r="K255" s="1110" t="n"/>
      <c r="L255" s="68" t="n"/>
      <c r="M255" s="68" t="n"/>
      <c r="N255" s="68" t="n"/>
      <c r="O255" s="68" t="n"/>
      <c r="P255" s="1110" t="n"/>
      <c r="Q255" s="68" t="n"/>
      <c r="R255" s="68" t="n"/>
      <c r="S255" s="68" t="n"/>
      <c r="T255" s="68" t="n"/>
      <c r="U255" s="1110" t="n"/>
      <c r="V255" s="68" t="n"/>
      <c r="W255" s="68" t="n"/>
      <c r="X255" s="68" t="n"/>
      <c r="Y255" s="68" t="n"/>
      <c r="Z255" s="1110" t="n"/>
      <c r="AA255" s="68" t="n"/>
      <c r="AB255" s="68" t="n"/>
      <c r="AC255" s="68" t="n"/>
      <c r="AD255" s="68" t="n"/>
      <c r="AE255" s="1110" t="n"/>
      <c r="AF255" s="68" t="n"/>
      <c r="AG255" s="68" t="n"/>
      <c r="AH255" s="68" t="n"/>
      <c r="AI255" s="68" t="n"/>
      <c r="AJ255" s="1110" t="n"/>
      <c r="AK255" s="68" t="n"/>
      <c r="AL255" s="68" t="n"/>
      <c r="AM255" s="68" t="n"/>
      <c r="AN255" s="68" t="n"/>
      <c r="AO255" s="1110" t="n"/>
      <c r="AP255" s="68" t="n"/>
      <c r="AQ255" s="68" t="n"/>
      <c r="AR255" s="68" t="n"/>
      <c r="AS255" s="68" t="n"/>
      <c r="AT255" s="1110" t="n"/>
      <c r="AU255" s="68" t="n"/>
      <c r="AV255" s="68" t="n"/>
      <c r="AW255" s="68" t="n"/>
      <c r="AX255" s="68" t="n"/>
      <c r="AY255" s="1110" t="n"/>
      <c r="AZ255" s="68" t="n"/>
      <c r="BA255" s="68" t="n"/>
      <c r="BB255" s="1053" t="n">
        <v>172</v>
      </c>
      <c r="BC255" s="68">
        <f>BD255</f>
        <v/>
      </c>
      <c r="BD255" s="1111" t="n">
        <v>765</v>
      </c>
      <c r="BE255" s="1053" t="n">
        <v>406</v>
      </c>
      <c r="BF255" s="1053" t="n">
        <v>295</v>
      </c>
      <c r="BG255" s="1053" t="n">
        <v>798</v>
      </c>
      <c r="BH255" s="68">
        <f>BI255</f>
        <v/>
      </c>
      <c r="BI255" s="1111" t="n">
        <v>983</v>
      </c>
      <c r="BJ255" s="1053" t="n">
        <v>753</v>
      </c>
      <c r="BK255" s="1053" t="n">
        <v>957</v>
      </c>
      <c r="BL255" s="1053" t="n">
        <v>1128</v>
      </c>
      <c r="BM255" s="68">
        <f>BN255</f>
        <v/>
      </c>
      <c r="BN255" s="1111" t="n">
        <v>1143</v>
      </c>
      <c r="BO255" s="1053" t="n">
        <v>2573</v>
      </c>
      <c r="BP255" s="1053" t="n">
        <v>2778</v>
      </c>
      <c r="BQ255" s="1053" t="n">
        <v>3381</v>
      </c>
      <c r="BR255" s="68">
        <f>BS255</f>
        <v/>
      </c>
      <c r="BS255" s="1111" t="n">
        <v>3666</v>
      </c>
      <c r="BT255" s="1053" t="n">
        <v>3110</v>
      </c>
      <c r="BU255" s="1053" t="n">
        <v>3915</v>
      </c>
      <c r="BV255" s="588" t="n"/>
      <c r="BW255" s="68" t="n"/>
      <c r="BX255" s="1110" t="n"/>
      <c r="BY255" s="68" t="n"/>
      <c r="BZ255" s="68" t="n"/>
      <c r="CA255" s="68" t="n"/>
      <c r="CB255" s="68" t="n"/>
      <c r="CC255" s="1110" t="n"/>
      <c r="CD255" s="1110" t="n"/>
      <c r="CE255" s="1110" t="n"/>
      <c r="CF255" s="1110" t="n"/>
      <c r="CG255" s="155" t="n"/>
    </row>
    <row r="256" hidden="1" outlineLevel="1">
      <c r="A256" s="99" t="inlineStr">
        <is>
          <t>Future unconditional purchase commitments due in 3 years, mm</t>
        </is>
      </c>
      <c r="B256" s="602" t="n"/>
      <c r="C256" s="1110" t="n"/>
      <c r="D256" s="1110" t="n"/>
      <c r="E256" s="1110" t="n"/>
      <c r="F256" s="1110" t="n"/>
      <c r="G256" s="68" t="n"/>
      <c r="H256" s="68" t="n"/>
      <c r="I256" s="68" t="n"/>
      <c r="J256" s="68" t="n"/>
      <c r="K256" s="1110" t="n"/>
      <c r="L256" s="68" t="n"/>
      <c r="M256" s="68" t="n"/>
      <c r="N256" s="68" t="n"/>
      <c r="O256" s="68" t="n"/>
      <c r="P256" s="1110" t="n"/>
      <c r="Q256" s="68" t="n"/>
      <c r="R256" s="68" t="n"/>
      <c r="S256" s="68" t="n"/>
      <c r="T256" s="68" t="n"/>
      <c r="U256" s="1110" t="n"/>
      <c r="V256" s="68" t="n"/>
      <c r="W256" s="68" t="n"/>
      <c r="X256" s="68" t="n"/>
      <c r="Y256" s="68" t="n"/>
      <c r="Z256" s="1110" t="n"/>
      <c r="AA256" s="68" t="n"/>
      <c r="AB256" s="68" t="n"/>
      <c r="AC256" s="68" t="n"/>
      <c r="AD256" s="68" t="n"/>
      <c r="AE256" s="1110" t="n"/>
      <c r="AF256" s="68" t="n"/>
      <c r="AG256" s="68" t="n"/>
      <c r="AH256" s="68" t="n"/>
      <c r="AI256" s="68" t="n"/>
      <c r="AJ256" s="1110" t="n"/>
      <c r="AK256" s="68" t="n"/>
      <c r="AL256" s="68" t="n"/>
      <c r="AM256" s="68" t="n"/>
      <c r="AN256" s="68" t="n"/>
      <c r="AO256" s="1110" t="n"/>
      <c r="AP256" s="68" t="n"/>
      <c r="AQ256" s="68" t="n"/>
      <c r="AR256" s="68" t="n"/>
      <c r="AS256" s="68" t="n"/>
      <c r="AT256" s="1110" t="n"/>
      <c r="AU256" s="68" t="n"/>
      <c r="AV256" s="68" t="n"/>
      <c r="AW256" s="68" t="n"/>
      <c r="AX256" s="68" t="n"/>
      <c r="AY256" s="1110" t="n"/>
      <c r="AZ256" s="68" t="n"/>
      <c r="BA256" s="68" t="n"/>
      <c r="BB256" s="1053" t="n">
        <v>52</v>
      </c>
      <c r="BC256" s="68">
        <f>BD256</f>
        <v/>
      </c>
      <c r="BD256" s="1111" t="n">
        <v>201</v>
      </c>
      <c r="BE256" s="1053" t="n">
        <v>48</v>
      </c>
      <c r="BF256" s="1053" t="n">
        <v>49</v>
      </c>
      <c r="BG256" s="1053" t="n">
        <v>504</v>
      </c>
      <c r="BH256" s="68">
        <f>BI256</f>
        <v/>
      </c>
      <c r="BI256" s="1111" t="n">
        <v>679</v>
      </c>
      <c r="BJ256" s="1053" t="n">
        <v>704</v>
      </c>
      <c r="BK256" s="1053" t="n">
        <v>999</v>
      </c>
      <c r="BL256" s="1053" t="n">
        <v>1038</v>
      </c>
      <c r="BM256" s="68">
        <f>BN256</f>
        <v/>
      </c>
      <c r="BN256" s="1111" t="n">
        <v>1060</v>
      </c>
      <c r="BO256" s="1053" t="n">
        <v>2222</v>
      </c>
      <c r="BP256" s="1053" t="n">
        <v>2436</v>
      </c>
      <c r="BQ256" s="1053" t="n">
        <v>2979</v>
      </c>
      <c r="BR256" s="68">
        <f>BS256</f>
        <v/>
      </c>
      <c r="BS256" s="1111" t="n">
        <v>2992</v>
      </c>
      <c r="BT256" s="1053" t="n">
        <v>2072</v>
      </c>
      <c r="BU256" s="1053" t="n">
        <v>2736</v>
      </c>
      <c r="BV256" s="588" t="n"/>
      <c r="BW256" s="68" t="n"/>
      <c r="BX256" s="1110" t="n"/>
      <c r="BY256" s="68" t="n"/>
      <c r="BZ256" s="68" t="n"/>
      <c r="CA256" s="68" t="n"/>
      <c r="CB256" s="68" t="n"/>
      <c r="CC256" s="1110" t="n"/>
      <c r="CD256" s="1110" t="n"/>
      <c r="CE256" s="1110" t="n"/>
      <c r="CF256" s="1110" t="n"/>
      <c r="CG256" s="155" t="n"/>
    </row>
    <row r="257" hidden="1" outlineLevel="1">
      <c r="A257" s="99" t="inlineStr">
        <is>
          <t>Future unconditional purchase commitments due in 4 year, mm</t>
        </is>
      </c>
      <c r="B257" s="602" t="n"/>
      <c r="C257" s="1110" t="n"/>
      <c r="D257" s="1110" t="n"/>
      <c r="E257" s="1110" t="n"/>
      <c r="F257" s="1110" t="n"/>
      <c r="G257" s="68" t="n"/>
      <c r="H257" s="68" t="n"/>
      <c r="I257" s="68" t="n"/>
      <c r="J257" s="68" t="n"/>
      <c r="K257" s="1110" t="n"/>
      <c r="L257" s="68" t="n"/>
      <c r="M257" s="68" t="n"/>
      <c r="N257" s="68" t="n"/>
      <c r="O257" s="68" t="n"/>
      <c r="P257" s="1110" t="n"/>
      <c r="Q257" s="68" t="n"/>
      <c r="R257" s="68" t="n"/>
      <c r="S257" s="68" t="n"/>
      <c r="T257" s="68" t="n"/>
      <c r="U257" s="1110" t="n"/>
      <c r="V257" s="68" t="n"/>
      <c r="W257" s="68" t="n"/>
      <c r="X257" s="68" t="n"/>
      <c r="Y257" s="68" t="n"/>
      <c r="Z257" s="1110" t="n"/>
      <c r="AA257" s="68" t="n"/>
      <c r="AB257" s="68" t="n"/>
      <c r="AC257" s="68" t="n"/>
      <c r="AD257" s="68" t="n"/>
      <c r="AE257" s="1110" t="n"/>
      <c r="AF257" s="68" t="n"/>
      <c r="AG257" s="68" t="n"/>
      <c r="AH257" s="68" t="n"/>
      <c r="AI257" s="68" t="n"/>
      <c r="AJ257" s="1110" t="n"/>
      <c r="AK257" s="68" t="n"/>
      <c r="AL257" s="68" t="n"/>
      <c r="AM257" s="68" t="n"/>
      <c r="AN257" s="68" t="n"/>
      <c r="AO257" s="1110" t="n"/>
      <c r="AP257" s="68" t="n"/>
      <c r="AQ257" s="68" t="n"/>
      <c r="AR257" s="68" t="n"/>
      <c r="AS257" s="68" t="n"/>
      <c r="AT257" s="1110" t="n"/>
      <c r="AU257" s="68" t="n"/>
      <c r="AV257" s="68" t="n"/>
      <c r="AW257" s="68" t="n"/>
      <c r="AX257" s="68" t="n"/>
      <c r="AY257" s="1110" t="n"/>
      <c r="AZ257" s="68" t="n"/>
      <c r="BA257" s="68" t="n"/>
      <c r="BB257" s="1053" t="n">
        <v>28</v>
      </c>
      <c r="BC257" s="68">
        <f>BD257</f>
        <v/>
      </c>
      <c r="BD257" s="1111" t="n">
        <v>28</v>
      </c>
      <c r="BE257" s="1053" t="n">
        <v>70</v>
      </c>
      <c r="BF257" s="1053" t="n">
        <v>71</v>
      </c>
      <c r="BG257" s="1053" t="n">
        <v>464</v>
      </c>
      <c r="BH257" s="68">
        <f>BI257</f>
        <v/>
      </c>
      <c r="BI257" s="1111" t="n">
        <v>622</v>
      </c>
      <c r="BJ257" s="1053" t="n">
        <v>332</v>
      </c>
      <c r="BK257" s="1053" t="n">
        <v>637</v>
      </c>
      <c r="BL257" s="1053" t="n">
        <v>660</v>
      </c>
      <c r="BM257" s="68">
        <f>BN257</f>
        <v/>
      </c>
      <c r="BN257" s="1111" t="n">
        <v>770</v>
      </c>
      <c r="BO257" s="1053" t="n">
        <v>1585</v>
      </c>
      <c r="BP257" s="1053" t="n">
        <v>1543</v>
      </c>
      <c r="BQ257" s="1053" t="n">
        <v>1990</v>
      </c>
      <c r="BR257" s="68">
        <f>BS257</f>
        <v/>
      </c>
      <c r="BS257" s="1111" t="n">
        <v>2054</v>
      </c>
      <c r="BT257" s="1053" t="n">
        <v>752</v>
      </c>
      <c r="BU257" s="1053" t="n">
        <v>1402</v>
      </c>
      <c r="BV257" s="588" t="n"/>
      <c r="BW257" s="68" t="n"/>
      <c r="BX257" s="1110" t="n"/>
      <c r="BY257" s="68" t="n"/>
      <c r="BZ257" s="68" t="n"/>
      <c r="CA257" s="68" t="n"/>
      <c r="CB257" s="68" t="n"/>
      <c r="CC257" s="1110" t="n"/>
      <c r="CD257" s="1110" t="n"/>
      <c r="CE257" s="1110" t="n"/>
      <c r="CF257" s="1110" t="n"/>
      <c r="CG257" s="155" t="n"/>
    </row>
    <row r="258" hidden="1" outlineLevel="1">
      <c r="A258" s="99" t="inlineStr">
        <is>
          <t>Future unconditional purchase commitments due in 5 years, mm</t>
        </is>
      </c>
      <c r="B258" s="602" t="n"/>
      <c r="C258" s="1110" t="n"/>
      <c r="D258" s="1110" t="n"/>
      <c r="E258" s="1110" t="n"/>
      <c r="F258" s="1110" t="n"/>
      <c r="G258" s="68" t="n"/>
      <c r="H258" s="68" t="n"/>
      <c r="I258" s="68" t="n"/>
      <c r="J258" s="68" t="n"/>
      <c r="K258" s="1110" t="n"/>
      <c r="L258" s="68" t="n"/>
      <c r="M258" s="68" t="n"/>
      <c r="N258" s="68" t="n"/>
      <c r="O258" s="68" t="n"/>
      <c r="P258" s="1110" t="n"/>
      <c r="Q258" s="68" t="n"/>
      <c r="R258" s="68" t="n"/>
      <c r="S258" s="68" t="n"/>
      <c r="T258" s="68" t="n"/>
      <c r="U258" s="1110" t="n"/>
      <c r="V258" s="68" t="n"/>
      <c r="W258" s="68" t="n"/>
      <c r="X258" s="68" t="n"/>
      <c r="Y258" s="68" t="n"/>
      <c r="Z258" s="1110" t="n"/>
      <c r="AA258" s="68" t="n"/>
      <c r="AB258" s="68" t="n"/>
      <c r="AC258" s="68" t="n"/>
      <c r="AD258" s="68" t="n"/>
      <c r="AE258" s="1110" t="n"/>
      <c r="AF258" s="68" t="n"/>
      <c r="AG258" s="68" t="n"/>
      <c r="AH258" s="68" t="n"/>
      <c r="AI258" s="68" t="n"/>
      <c r="AJ258" s="1110" t="n"/>
      <c r="AK258" s="68" t="n"/>
      <c r="AL258" s="68" t="n"/>
      <c r="AM258" s="68" t="n"/>
      <c r="AN258" s="68" t="n"/>
      <c r="AO258" s="1110" t="n"/>
      <c r="AP258" s="68" t="n"/>
      <c r="AQ258" s="68" t="n"/>
      <c r="AR258" s="68" t="n"/>
      <c r="AS258" s="68" t="n"/>
      <c r="AT258" s="1110" t="n"/>
      <c r="AU258" s="68" t="n"/>
      <c r="AV258" s="68" t="n"/>
      <c r="AW258" s="68" t="n"/>
      <c r="AX258" s="68" t="n"/>
      <c r="AY258" s="1110" t="n"/>
      <c r="AZ258" s="68" t="n"/>
      <c r="BA258" s="68" t="n"/>
      <c r="BB258" s="68" t="n"/>
      <c r="BC258" s="68" t="n"/>
      <c r="BD258" s="1110" t="n"/>
      <c r="BE258" s="1053" t="n">
        <v>330</v>
      </c>
      <c r="BF258" s="1053" t="n">
        <v>331</v>
      </c>
      <c r="BG258" s="1053" t="n">
        <v>410</v>
      </c>
      <c r="BH258" s="68">
        <f>BI258</f>
        <v/>
      </c>
      <c r="BI258" s="1111" t="n">
        <v>296</v>
      </c>
      <c r="BJ258" s="1053" t="n">
        <v>255</v>
      </c>
      <c r="BK258" s="1053" t="n">
        <v>468</v>
      </c>
      <c r="BL258" s="1053" t="n">
        <v>354</v>
      </c>
      <c r="BM258" s="68">
        <f>BN258</f>
        <v/>
      </c>
      <c r="BN258" s="1111" t="n">
        <v>418</v>
      </c>
      <c r="BO258" s="1053" t="n">
        <v>249</v>
      </c>
      <c r="BP258" s="1053" t="n">
        <v>419</v>
      </c>
      <c r="BQ258" s="1053" t="n">
        <v>621</v>
      </c>
      <c r="BR258" s="68">
        <f>BS258</f>
        <v/>
      </c>
      <c r="BS258" s="1111" t="n">
        <v>422</v>
      </c>
      <c r="BT258" s="1053" t="n">
        <v>218</v>
      </c>
      <c r="BU258" s="1053" t="n">
        <v>218</v>
      </c>
      <c r="BV258" s="588" t="n"/>
      <c r="BW258" s="68" t="n"/>
      <c r="BX258" s="1110" t="n"/>
      <c r="BY258" s="68" t="n"/>
      <c r="BZ258" s="68" t="n"/>
      <c r="CA258" s="68" t="n"/>
      <c r="CB258" s="68" t="n"/>
      <c r="CC258" s="1110" t="n"/>
      <c r="CD258" s="1110" t="n"/>
      <c r="CE258" s="1110" t="n"/>
      <c r="CF258" s="1110" t="n"/>
      <c r="CG258" s="155" t="n"/>
    </row>
    <row r="259" hidden="1" outlineLevel="1">
      <c r="A259" s="99" t="inlineStr">
        <is>
          <t>Future unconditional purchase commitments due in 6 years, mm</t>
        </is>
      </c>
      <c r="B259" s="602" t="n"/>
      <c r="C259" s="1110" t="n"/>
      <c r="D259" s="1110" t="n"/>
      <c r="E259" s="1110" t="n"/>
      <c r="F259" s="1110" t="n"/>
      <c r="G259" s="68" t="n"/>
      <c r="H259" s="68" t="n"/>
      <c r="I259" s="68" t="n"/>
      <c r="J259" s="68" t="n"/>
      <c r="K259" s="1110" t="n"/>
      <c r="L259" s="68" t="n"/>
      <c r="M259" s="68" t="n"/>
      <c r="N259" s="68" t="n"/>
      <c r="O259" s="68" t="n"/>
      <c r="P259" s="1110" t="n"/>
      <c r="Q259" s="68" t="n"/>
      <c r="R259" s="68" t="n"/>
      <c r="S259" s="68" t="n"/>
      <c r="T259" s="68" t="n"/>
      <c r="U259" s="1110" t="n"/>
      <c r="V259" s="68" t="n"/>
      <c r="W259" s="68" t="n"/>
      <c r="X259" s="68" t="n"/>
      <c r="Y259" s="68" t="n"/>
      <c r="Z259" s="1110" t="n"/>
      <c r="AA259" s="68" t="n"/>
      <c r="AB259" s="68" t="n"/>
      <c r="AC259" s="68" t="n"/>
      <c r="AD259" s="68" t="n"/>
      <c r="AE259" s="1110" t="n"/>
      <c r="AF259" s="68" t="n"/>
      <c r="AG259" s="68" t="n"/>
      <c r="AH259" s="68" t="n"/>
      <c r="AI259" s="68" t="n"/>
      <c r="AJ259" s="1110" t="n"/>
      <c r="AK259" s="68" t="n"/>
      <c r="AL259" s="68" t="n"/>
      <c r="AM259" s="68" t="n"/>
      <c r="AN259" s="68" t="n"/>
      <c r="AO259" s="1110" t="n"/>
      <c r="AP259" s="68" t="n"/>
      <c r="AQ259" s="68" t="n"/>
      <c r="AR259" s="68" t="n"/>
      <c r="AS259" s="68" t="n"/>
      <c r="AT259" s="1110" t="n"/>
      <c r="AU259" s="68" t="n"/>
      <c r="AV259" s="68" t="n"/>
      <c r="AW259" s="68" t="n"/>
      <c r="AX259" s="68" t="n"/>
      <c r="AY259" s="1110" t="n"/>
      <c r="AZ259" s="68" t="n"/>
      <c r="BA259" s="68" t="n"/>
      <c r="BB259" s="68" t="n"/>
      <c r="BC259" s="68" t="n"/>
      <c r="BD259" s="1110" t="n"/>
      <c r="BE259" s="68" t="n"/>
      <c r="BF259" s="68" t="n"/>
      <c r="BG259" s="68" t="n"/>
      <c r="BH259" s="68">
        <f>BI259</f>
        <v/>
      </c>
      <c r="BI259" s="1111" t="n">
        <v>253</v>
      </c>
      <c r="BJ259" s="68" t="n"/>
      <c r="BK259" s="68" t="n"/>
      <c r="BL259" s="68" t="n"/>
      <c r="BM259" s="68">
        <f>BN259</f>
        <v/>
      </c>
      <c r="BN259" s="1110" t="n"/>
      <c r="BO259" s="68" t="n"/>
      <c r="BP259" s="68" t="n"/>
      <c r="BQ259" s="68" t="n"/>
      <c r="BR259" s="68">
        <f>BS259</f>
        <v/>
      </c>
      <c r="BS259" s="1111" t="n">
        <v>218</v>
      </c>
      <c r="BT259" s="68" t="n"/>
      <c r="BU259" s="68" t="n"/>
      <c r="BV259" s="588" t="n"/>
      <c r="BW259" s="68" t="n"/>
      <c r="BX259" s="1110" t="n"/>
      <c r="BY259" s="68" t="n"/>
      <c r="BZ259" s="68" t="n"/>
      <c r="CA259" s="68" t="n"/>
      <c r="CB259" s="68" t="n"/>
      <c r="CC259" s="1110" t="n"/>
      <c r="CD259" s="1110" t="n"/>
      <c r="CE259" s="1110" t="n"/>
      <c r="CF259" s="1110" t="n"/>
      <c r="CG259" s="155" t="n"/>
    </row>
    <row r="260" hidden="1" outlineLevel="1">
      <c r="A260" s="631" t="inlineStr">
        <is>
          <t>Total future unconditional purchase commitments, mm</t>
        </is>
      </c>
      <c r="B260" s="604" t="n"/>
      <c r="C260" s="1122" t="n"/>
      <c r="D260" s="1122" t="n"/>
      <c r="E260" s="1122" t="n"/>
      <c r="F260" s="1122" t="n"/>
      <c r="G260" s="61" t="n"/>
      <c r="H260" s="61" t="n"/>
      <c r="I260" s="61" t="n"/>
      <c r="J260" s="61" t="n"/>
      <c r="K260" s="1122" t="n"/>
      <c r="L260" s="61" t="n"/>
      <c r="M260" s="61" t="n"/>
      <c r="N260" s="61" t="n"/>
      <c r="O260" s="61" t="n"/>
      <c r="P260" s="1122" t="n"/>
      <c r="Q260" s="61" t="n"/>
      <c r="R260" s="61" t="n"/>
      <c r="S260" s="61" t="n"/>
      <c r="T260" s="61" t="n"/>
      <c r="U260" s="1122" t="n"/>
      <c r="V260" s="61" t="n"/>
      <c r="W260" s="61" t="n"/>
      <c r="X260" s="61" t="n"/>
      <c r="Y260" s="61" t="n"/>
      <c r="Z260" s="1122" t="n"/>
      <c r="AA260" s="61" t="n"/>
      <c r="AB260" s="61" t="n"/>
      <c r="AC260" s="61" t="n"/>
      <c r="AD260" s="61" t="n"/>
      <c r="AE260" s="1122" t="n"/>
      <c r="AF260" s="61" t="n"/>
      <c r="AG260" s="61" t="n"/>
      <c r="AH260" s="61" t="n"/>
      <c r="AI260" s="61" t="n"/>
      <c r="AJ260" s="1122" t="n"/>
      <c r="AK260" s="61" t="n"/>
      <c r="AL260" s="61" t="n"/>
      <c r="AM260" s="61" t="n"/>
      <c r="AN260" s="61" t="n"/>
      <c r="AO260" s="1122" t="n"/>
      <c r="AP260" s="61" t="n"/>
      <c r="AQ260" s="61" t="n"/>
      <c r="AR260" s="61" t="n"/>
      <c r="AS260" s="61" t="n"/>
      <c r="AT260" s="1122" t="n"/>
      <c r="AU260" s="61" t="n"/>
      <c r="AV260" s="61" t="n"/>
      <c r="AW260" s="61" t="n"/>
      <c r="AX260" s="61" t="n"/>
      <c r="AY260" s="1122" t="n"/>
      <c r="AZ260" s="61" t="n"/>
      <c r="BA260" s="61" t="n"/>
      <c r="BB260" s="61">
        <f>SUM(BB253:BB259)</f>
        <v/>
      </c>
      <c r="BC260" s="61">
        <f>SUM(BC253:BC259)</f>
        <v/>
      </c>
      <c r="BD260" s="1122">
        <f>SUM(BD253:BD259)</f>
        <v/>
      </c>
      <c r="BE260" s="61">
        <f>SUM(BE253:BE259)</f>
        <v/>
      </c>
      <c r="BF260" s="61">
        <f>SUM(BF253:BF259)</f>
        <v/>
      </c>
      <c r="BG260" s="61">
        <f>SUM(BG253:BG259)</f>
        <v/>
      </c>
      <c r="BH260" s="61">
        <f>SUM(BH253:BH259)</f>
        <v/>
      </c>
      <c r="BI260" s="1122">
        <f>SUM(BI253:BI259)</f>
        <v/>
      </c>
      <c r="BJ260" s="61">
        <f>SUM(BJ253:BJ259)</f>
        <v/>
      </c>
      <c r="BK260" s="61">
        <f>SUM(BK253:BK259)</f>
        <v/>
      </c>
      <c r="BL260" s="61">
        <f>SUM(BL253:BL259)</f>
        <v/>
      </c>
      <c r="BM260" s="61">
        <f>SUM(BM253:BM259)</f>
        <v/>
      </c>
      <c r="BN260" s="1122">
        <f>SUM(BN253:BN259)</f>
        <v/>
      </c>
      <c r="BO260" s="61">
        <f>SUM(BO253:BO259)</f>
        <v/>
      </c>
      <c r="BP260" s="61">
        <f>SUM(BP253:BP259)</f>
        <v/>
      </c>
      <c r="BQ260" s="61">
        <f>SUM(BQ253:BQ259)</f>
        <v/>
      </c>
      <c r="BR260" s="61">
        <f>SUM(BR253:BR259)</f>
        <v/>
      </c>
      <c r="BS260" s="1122">
        <f>SUM(BS253:BS259)</f>
        <v/>
      </c>
      <c r="BT260" s="61">
        <f>SUM(BT253:BT259)</f>
        <v/>
      </c>
      <c r="BU260" s="61">
        <f>SUM(BU253:BU259)</f>
        <v/>
      </c>
      <c r="BV260" s="1064" t="n">
        <v>50300</v>
      </c>
      <c r="BW260" s="61" t="n"/>
      <c r="BX260" s="1122" t="n"/>
      <c r="BY260" s="61" t="n"/>
      <c r="BZ260" s="61" t="n"/>
      <c r="CA260" s="61" t="n"/>
      <c r="CB260" s="61" t="n"/>
      <c r="CC260" s="1122" t="n"/>
      <c r="CD260" s="1122" t="n"/>
      <c r="CE260" s="1122" t="n"/>
      <c r="CF260" s="1122" t="n"/>
      <c r="CG260" s="155" t="n"/>
    </row>
    <row r="261" hidden="1" outlineLevel="1">
      <c r="A261" s="605" t="n"/>
      <c r="B261" s="606" t="n"/>
      <c r="C261" s="1134" t="n"/>
      <c r="D261" s="1134" t="n"/>
      <c r="E261" s="1134" t="n"/>
      <c r="F261" s="1134" t="n"/>
      <c r="G261" s="93" t="n"/>
      <c r="H261" s="93" t="n"/>
      <c r="I261" s="93" t="n"/>
      <c r="J261" s="93" t="n"/>
      <c r="K261" s="1134" t="n"/>
      <c r="L261" s="93" t="n"/>
      <c r="M261" s="93" t="n"/>
      <c r="N261" s="93" t="n"/>
      <c r="O261" s="93" t="n"/>
      <c r="P261" s="1134" t="n"/>
      <c r="Q261" s="93" t="n"/>
      <c r="R261" s="93" t="n"/>
      <c r="S261" s="93" t="n"/>
      <c r="T261" s="93" t="n"/>
      <c r="U261" s="1134" t="n"/>
      <c r="V261" s="93" t="n"/>
      <c r="W261" s="93" t="n"/>
      <c r="X261" s="93" t="n"/>
      <c r="Y261" s="93" t="n"/>
      <c r="Z261" s="1134" t="n"/>
      <c r="AA261" s="93" t="n"/>
      <c r="AB261" s="93" t="n"/>
      <c r="AC261" s="93" t="n"/>
      <c r="AD261" s="93" t="n"/>
      <c r="AE261" s="1134" t="n"/>
      <c r="AF261" s="93" t="n"/>
      <c r="AG261" s="93" t="n"/>
      <c r="AH261" s="93" t="n"/>
      <c r="AI261" s="93" t="n"/>
      <c r="AJ261" s="1134" t="n"/>
      <c r="AK261" s="93" t="n"/>
      <c r="AL261" s="93" t="n"/>
      <c r="AM261" s="93" t="n"/>
      <c r="AN261" s="93" t="n"/>
      <c r="AO261" s="1134" t="n"/>
      <c r="AP261" s="93" t="n"/>
      <c r="AQ261" s="93" t="n"/>
      <c r="AR261" s="93" t="n"/>
      <c r="AS261" s="93" t="n"/>
      <c r="AT261" s="1134" t="n"/>
      <c r="AU261" s="93" t="n"/>
      <c r="AV261" s="93" t="n"/>
      <c r="AW261" s="93" t="n"/>
      <c r="AX261" s="93" t="n"/>
      <c r="AY261" s="1134" t="n"/>
      <c r="AZ261" s="93" t="n"/>
      <c r="BA261" s="93" t="n"/>
      <c r="BB261" s="93" t="n"/>
      <c r="BC261" s="93" t="n"/>
      <c r="BD261" s="1134" t="n"/>
      <c r="BE261" s="93" t="n"/>
      <c r="BF261" s="93" t="n"/>
      <c r="BG261" s="93" t="n"/>
      <c r="BH261" s="93" t="n"/>
      <c r="BI261" s="1134" t="n"/>
      <c r="BJ261" s="93" t="n"/>
      <c r="BK261" s="93" t="n"/>
      <c r="BL261" s="93" t="n"/>
      <c r="BM261" s="93" t="n"/>
      <c r="BN261" s="1134" t="n"/>
      <c r="BO261" s="93" t="n"/>
      <c r="BP261" s="93" t="n"/>
      <c r="BQ261" s="93" t="n"/>
      <c r="BR261" s="93" t="n"/>
      <c r="BS261" s="1134" t="n"/>
      <c r="BT261" s="93" t="n"/>
      <c r="BU261" s="93" t="n"/>
      <c r="BV261" s="522" t="n"/>
      <c r="BW261" s="93" t="n"/>
      <c r="BX261" s="1134" t="n"/>
      <c r="BY261" s="93" t="n"/>
      <c r="BZ261" s="93" t="n"/>
      <c r="CA261" s="93" t="n"/>
      <c r="CB261" s="93" t="n"/>
      <c r="CC261" s="1134" t="n"/>
      <c r="CD261" s="1134" t="n"/>
      <c r="CE261" s="1134" t="n"/>
      <c r="CF261" s="1134" t="n"/>
      <c r="CG261" s="155" t="n"/>
    </row>
    <row r="262" hidden="1" outlineLevel="1">
      <c r="A262" s="45" t="inlineStr">
        <is>
          <t>Key Metrics - Customer Concentration (FS)</t>
        </is>
      </c>
      <c r="B262" s="45" t="n"/>
      <c r="C262" s="45" t="n"/>
      <c r="D262" s="45" t="n"/>
      <c r="E262" s="45" t="n"/>
      <c r="F262" s="45" t="n"/>
      <c r="G262" s="45" t="n"/>
      <c r="H262" s="45" t="n"/>
      <c r="I262" s="45" t="n"/>
      <c r="J262" s="45" t="n"/>
      <c r="K262" s="45" t="n"/>
      <c r="L262" s="45" t="n"/>
      <c r="M262" s="45" t="n"/>
      <c r="N262" s="45" t="n"/>
      <c r="O262" s="45" t="n"/>
      <c r="P262" s="45" t="n"/>
      <c r="Q262" s="45" t="n"/>
      <c r="R262" s="45" t="n"/>
      <c r="S262" s="45" t="n"/>
      <c r="T262" s="45" t="n"/>
      <c r="U262" s="45" t="n"/>
      <c r="V262" s="45" t="n"/>
      <c r="W262" s="45" t="n"/>
      <c r="X262" s="45" t="n"/>
      <c r="Y262" s="45" t="n"/>
      <c r="Z262" s="45" t="n"/>
      <c r="AA262" s="45" t="n"/>
      <c r="AB262" s="45" t="n"/>
      <c r="AC262" s="45" t="n"/>
      <c r="AD262" s="45" t="n"/>
      <c r="AE262" s="45" t="n"/>
      <c r="AF262" s="45" t="n"/>
      <c r="AG262" s="45" t="n"/>
      <c r="AH262" s="45" t="n"/>
      <c r="AI262" s="45" t="n"/>
      <c r="AJ262" s="45" t="n"/>
      <c r="AK262" s="45" t="n"/>
      <c r="AL262" s="45" t="n"/>
      <c r="AM262" s="45" t="n"/>
      <c r="AN262" s="45" t="n"/>
      <c r="AO262" s="45" t="n"/>
      <c r="AP262" s="45" t="n"/>
      <c r="AQ262" s="45" t="n"/>
      <c r="AR262" s="45" t="n"/>
      <c r="AS262" s="45" t="n"/>
      <c r="AT262" s="45" t="n"/>
      <c r="AU262" s="45" t="n"/>
      <c r="AV262" s="45" t="n"/>
      <c r="AW262" s="45" t="n"/>
      <c r="AX262" s="45" t="n"/>
      <c r="AY262" s="45" t="n"/>
      <c r="AZ262" s="45" t="n"/>
      <c r="BA262" s="45" t="n"/>
      <c r="BB262" s="45" t="n"/>
      <c r="BC262" s="45" t="n"/>
      <c r="BD262" s="45" t="n"/>
      <c r="BE262" s="45" t="n"/>
      <c r="BF262" s="45" t="n"/>
      <c r="BG262" s="45" t="n"/>
      <c r="BH262" s="45" t="n"/>
      <c r="BI262" s="45" t="n"/>
      <c r="BJ262" s="45" t="n"/>
      <c r="BK262" s="45" t="n"/>
      <c r="BL262" s="45" t="n"/>
      <c r="BM262" s="45" t="n"/>
      <c r="BN262" s="45" t="n"/>
      <c r="BO262" s="45" t="n"/>
      <c r="BP262" s="45" t="n"/>
      <c r="BQ262" s="45" t="n"/>
      <c r="BR262" s="45" t="n"/>
      <c r="BS262" s="45" t="n"/>
      <c r="BT262" s="45" t="n"/>
      <c r="BU262" s="45" t="n"/>
      <c r="BV262" s="982" t="n"/>
      <c r="BW262" s="45" t="n"/>
      <c r="BX262" s="45" t="n"/>
      <c r="BY262" s="45" t="n"/>
      <c r="BZ262" s="45" t="n"/>
      <c r="CA262" s="45" t="n"/>
      <c r="CB262" s="45" t="n"/>
      <c r="CC262" s="45" t="n"/>
      <c r="CD262" s="45" t="n"/>
      <c r="CE262" s="45" t="n"/>
      <c r="CF262" s="45" t="n"/>
      <c r="CG262" s="155" t="n"/>
    </row>
    <row r="263" hidden="1" outlineLevel="1" customFormat="1" s="333">
      <c r="A263" s="621" t="inlineStr">
        <is>
          <t>Sales to largest customer as a % of total sales, %</t>
        </is>
      </c>
      <c r="B263" s="670" t="n"/>
      <c r="C263" s="1126" t="n"/>
      <c r="D263" s="1141" t="n">
        <v>0.12</v>
      </c>
      <c r="E263" s="1141" t="n">
        <v>0.12</v>
      </c>
      <c r="F263" s="1141" t="n">
        <v>0.11</v>
      </c>
      <c r="G263" s="315" t="n"/>
      <c r="H263" s="315" t="n"/>
      <c r="I263" s="315" t="n"/>
      <c r="J263" s="315" t="n"/>
      <c r="K263" s="1141" t="n">
        <v>0.13</v>
      </c>
      <c r="L263" s="315" t="n"/>
      <c r="M263" s="315" t="n"/>
      <c r="N263" s="315" t="n"/>
      <c r="O263" s="315" t="n"/>
      <c r="P263" s="1141" t="n">
        <v>0.11</v>
      </c>
      <c r="Q263" s="315" t="n"/>
      <c r="R263" s="315" t="n"/>
      <c r="S263" s="315" t="n"/>
      <c r="T263" s="315" t="n"/>
      <c r="U263" s="1141" t="n">
        <v>0.11</v>
      </c>
      <c r="V263" s="315" t="n"/>
      <c r="W263" s="315" t="n"/>
      <c r="X263" s="315" t="n"/>
      <c r="Y263" s="315" t="n"/>
      <c r="Z263" s="1126" t="n"/>
      <c r="AA263" s="315" t="n"/>
      <c r="AB263" s="315" t="n"/>
      <c r="AC263" s="315" t="n"/>
      <c r="AD263" s="315" t="n"/>
      <c r="AE263" s="1126" t="n"/>
      <c r="AF263" s="315" t="n"/>
      <c r="AG263" s="315" t="n"/>
      <c r="AH263" s="315" t="n"/>
      <c r="AI263" s="315" t="n"/>
      <c r="AJ263" s="1126" t="n"/>
      <c r="AK263" s="315" t="n"/>
      <c r="AL263" s="315" t="n"/>
      <c r="AM263" s="315" t="n"/>
      <c r="AN263" s="315" t="n"/>
      <c r="AO263" s="1126" t="n"/>
      <c r="AP263" s="315" t="n"/>
      <c r="AQ263" s="315" t="n"/>
      <c r="AR263" s="315" t="n"/>
      <c r="AS263" s="315" t="n"/>
      <c r="AT263" s="1126" t="n"/>
      <c r="AU263" s="315" t="n"/>
      <c r="AV263" s="315" t="n"/>
      <c r="AW263" s="315" t="n"/>
      <c r="AX263" s="315" t="n"/>
      <c r="AY263" s="1126" t="n"/>
      <c r="AZ263" s="315" t="n"/>
      <c r="BA263" s="315" t="n"/>
      <c r="BB263" s="315" t="n"/>
      <c r="BC263" s="315" t="n"/>
      <c r="BD263" s="1126" t="n"/>
      <c r="BE263" s="315" t="n"/>
      <c r="BF263" s="315" t="n"/>
      <c r="BG263" s="315" t="n"/>
      <c r="BH263" s="315" t="n"/>
      <c r="BI263" s="1126" t="n"/>
      <c r="BJ263" s="315" t="n"/>
      <c r="BK263" s="315" t="n"/>
      <c r="BL263" s="1067" t="n">
        <v>0.12</v>
      </c>
      <c r="BM263" s="315" t="n"/>
      <c r="BN263" s="1141" t="n">
        <v>0.19</v>
      </c>
      <c r="BO263" s="1067" t="n">
        <v>0.13</v>
      </c>
      <c r="BP263" s="1067" t="n">
        <v>0.14</v>
      </c>
      <c r="BQ263" s="1067" t="n">
        <v>0.12</v>
      </c>
      <c r="BR263" s="315">
        <f>BS263</f>
        <v/>
      </c>
      <c r="BS263" s="1141" t="n">
        <v>0.12</v>
      </c>
      <c r="BT263" s="1067" t="n">
        <v>0.16</v>
      </c>
      <c r="BU263" s="1067" t="n">
        <v>0.23</v>
      </c>
      <c r="BV263" s="1068" t="n">
        <v>0.22</v>
      </c>
      <c r="BW263" s="315" t="n"/>
      <c r="BX263" s="1126" t="n"/>
      <c r="BY263" s="315" t="n"/>
      <c r="BZ263" s="315" t="n"/>
      <c r="CA263" s="315" t="n"/>
      <c r="CB263" s="315" t="n"/>
      <c r="CC263" s="1126" t="n"/>
      <c r="CD263" s="1126" t="n"/>
      <c r="CE263" s="1126" t="n"/>
      <c r="CF263" s="1126" t="n"/>
      <c r="CG263" s="332" t="n"/>
    </row>
    <row r="264" hidden="1" outlineLevel="1" customFormat="1" s="333">
      <c r="A264" s="621" t="inlineStr">
        <is>
          <t>Sales to second largest customer as a % of total sales, %</t>
        </is>
      </c>
      <c r="B264" s="670" t="n"/>
      <c r="C264" s="1126" t="n"/>
      <c r="D264" s="1126" t="n"/>
      <c r="E264" s="1126" t="n"/>
      <c r="F264" s="1126" t="n"/>
      <c r="G264" s="315" t="n"/>
      <c r="H264" s="315" t="n"/>
      <c r="I264" s="315" t="n"/>
      <c r="J264" s="315" t="n"/>
      <c r="K264" s="1126" t="n"/>
      <c r="L264" s="315" t="n"/>
      <c r="M264" s="315" t="n"/>
      <c r="N264" s="315" t="n"/>
      <c r="O264" s="315" t="n"/>
      <c r="P264" s="1126" t="n"/>
      <c r="Q264" s="315" t="n"/>
      <c r="R264" s="315" t="n"/>
      <c r="S264" s="315" t="n"/>
      <c r="T264" s="315" t="n"/>
      <c r="U264" s="1126" t="n"/>
      <c r="V264" s="315" t="n"/>
      <c r="W264" s="315" t="n"/>
      <c r="X264" s="315" t="n"/>
      <c r="Y264" s="315" t="n"/>
      <c r="Z264" s="1126" t="n"/>
      <c r="AA264" s="315" t="n"/>
      <c r="AB264" s="315" t="n"/>
      <c r="AC264" s="315" t="n"/>
      <c r="AD264" s="315" t="n"/>
      <c r="AE264" s="1126" t="n"/>
      <c r="AF264" s="315" t="n"/>
      <c r="AG264" s="315" t="n"/>
      <c r="AH264" s="315" t="n"/>
      <c r="AI264" s="315" t="n"/>
      <c r="AJ264" s="1126" t="n"/>
      <c r="AK264" s="315" t="n"/>
      <c r="AL264" s="315" t="n"/>
      <c r="AM264" s="315" t="n"/>
      <c r="AN264" s="315" t="n"/>
      <c r="AO264" s="1126" t="n"/>
      <c r="AP264" s="315" t="n"/>
      <c r="AQ264" s="315" t="n"/>
      <c r="AR264" s="315" t="n"/>
      <c r="AS264" s="315" t="n"/>
      <c r="AT264" s="1126" t="n"/>
      <c r="AU264" s="315" t="n"/>
      <c r="AV264" s="315" t="n"/>
      <c r="AW264" s="315" t="n"/>
      <c r="AX264" s="315" t="n"/>
      <c r="AY264" s="1126" t="n"/>
      <c r="AZ264" s="315" t="n"/>
      <c r="BA264" s="315" t="n"/>
      <c r="BB264" s="315" t="n"/>
      <c r="BC264" s="315" t="n"/>
      <c r="BD264" s="1126" t="n"/>
      <c r="BE264" s="315" t="n"/>
      <c r="BF264" s="315" t="n"/>
      <c r="BG264" s="315" t="n"/>
      <c r="BH264" s="315" t="n"/>
      <c r="BI264" s="1126" t="n"/>
      <c r="BJ264" s="315" t="n"/>
      <c r="BK264" s="315" t="n"/>
      <c r="BL264" s="1067" t="n">
        <v>0.11</v>
      </c>
      <c r="BM264" s="315" t="n"/>
      <c r="BN264" s="1141" t="n">
        <v>0.13</v>
      </c>
      <c r="BO264" s="1067" t="n">
        <v>0.11</v>
      </c>
      <c r="BP264" s="1067" t="n">
        <v>0.11</v>
      </c>
      <c r="BQ264" s="1067" t="n">
        <v>0.12</v>
      </c>
      <c r="BR264" s="315">
        <f>BS264</f>
        <v/>
      </c>
      <c r="BS264" s="1141" t="n">
        <v>0.11</v>
      </c>
      <c r="BT264" s="1067" t="n">
        <v>0.14</v>
      </c>
      <c r="BU264" s="1067" t="n">
        <v>0.16</v>
      </c>
      <c r="BV264" s="1068" t="n">
        <v>0.15</v>
      </c>
      <c r="BW264" s="315" t="n"/>
      <c r="BX264" s="1126" t="n"/>
      <c r="BY264" s="315" t="n"/>
      <c r="BZ264" s="315" t="n"/>
      <c r="CA264" s="315" t="n"/>
      <c r="CB264" s="315" t="n"/>
      <c r="CC264" s="1126" t="n"/>
      <c r="CD264" s="1126" t="n"/>
      <c r="CE264" s="1126" t="n"/>
      <c r="CF264" s="1126" t="n"/>
      <c r="CG264" s="332" t="n"/>
    </row>
    <row r="265" hidden="1" outlineLevel="1" customFormat="1" s="333">
      <c r="A265" s="621" t="inlineStr">
        <is>
          <t>Sales to third largest customer as a % of total sales, %</t>
        </is>
      </c>
      <c r="B265" s="670" t="n"/>
      <c r="C265" s="1126" t="n"/>
      <c r="D265" s="1126" t="n"/>
      <c r="E265" s="1126" t="n"/>
      <c r="F265" s="1126" t="n"/>
      <c r="G265" s="315" t="n"/>
      <c r="H265" s="315" t="n"/>
      <c r="I265" s="315" t="n"/>
      <c r="J265" s="315" t="n"/>
      <c r="K265" s="1126" t="n"/>
      <c r="L265" s="315" t="n"/>
      <c r="M265" s="315" t="n"/>
      <c r="N265" s="315" t="n"/>
      <c r="O265" s="315" t="n"/>
      <c r="P265" s="1126" t="n"/>
      <c r="Q265" s="315" t="n"/>
      <c r="R265" s="315" t="n"/>
      <c r="S265" s="315" t="n"/>
      <c r="T265" s="315" t="n"/>
      <c r="U265" s="1126" t="n"/>
      <c r="V265" s="315" t="n"/>
      <c r="W265" s="315" t="n"/>
      <c r="X265" s="315" t="n"/>
      <c r="Y265" s="315" t="n"/>
      <c r="Z265" s="1126" t="n"/>
      <c r="AA265" s="315" t="n"/>
      <c r="AB265" s="315" t="n"/>
      <c r="AC265" s="315" t="n"/>
      <c r="AD265" s="315" t="n"/>
      <c r="AE265" s="1126" t="n"/>
      <c r="AF265" s="315" t="n"/>
      <c r="AG265" s="315" t="n"/>
      <c r="AH265" s="315" t="n"/>
      <c r="AI265" s="315" t="n"/>
      <c r="AJ265" s="1126" t="n"/>
      <c r="AK265" s="315" t="n"/>
      <c r="AL265" s="315" t="n"/>
      <c r="AM265" s="315" t="n"/>
      <c r="AN265" s="315" t="n"/>
      <c r="AO265" s="1126" t="n"/>
      <c r="AP265" s="315" t="n"/>
      <c r="AQ265" s="315" t="n"/>
      <c r="AR265" s="315" t="n"/>
      <c r="AS265" s="315" t="n"/>
      <c r="AT265" s="1126" t="n"/>
      <c r="AU265" s="315" t="n"/>
      <c r="AV265" s="315" t="n"/>
      <c r="AW265" s="315" t="n"/>
      <c r="AX265" s="315" t="n"/>
      <c r="AY265" s="1126" t="n"/>
      <c r="AZ265" s="315" t="n"/>
      <c r="BA265" s="315" t="n"/>
      <c r="BB265" s="315" t="n"/>
      <c r="BC265" s="315" t="n"/>
      <c r="BD265" s="1126" t="n"/>
      <c r="BE265" s="315" t="n"/>
      <c r="BF265" s="315" t="n"/>
      <c r="BG265" s="315" t="n"/>
      <c r="BH265" s="315" t="n"/>
      <c r="BI265" s="1126" t="n"/>
      <c r="BJ265" s="315" t="n"/>
      <c r="BK265" s="315" t="n"/>
      <c r="BL265" s="315" t="n"/>
      <c r="BM265" s="315" t="n"/>
      <c r="BN265" s="1126" t="n"/>
      <c r="BO265" s="315" t="n"/>
      <c r="BP265" s="1067" t="n">
        <v>0.11</v>
      </c>
      <c r="BQ265" s="1067" t="n">
        <v>0.12</v>
      </c>
      <c r="BR265" s="315">
        <f>BS265</f>
        <v/>
      </c>
      <c r="BS265" s="1141" t="n">
        <v>0.11</v>
      </c>
      <c r="BT265" s="315" t="n"/>
      <c r="BU265" s="315" t="n"/>
      <c r="BV265" s="1068" t="n">
        <v>0.13</v>
      </c>
      <c r="BW265" s="315" t="n"/>
      <c r="BX265" s="1126" t="n"/>
      <c r="BY265" s="315" t="n"/>
      <c r="BZ265" s="315" t="n"/>
      <c r="CA265" s="315" t="n"/>
      <c r="CB265" s="315" t="n"/>
      <c r="CC265" s="1126" t="n"/>
      <c r="CD265" s="1126" t="n"/>
      <c r="CE265" s="1126" t="n"/>
      <c r="CF265" s="1126" t="n"/>
      <c r="CG265" s="332" t="n"/>
    </row>
    <row r="266" hidden="1" outlineLevel="1" customFormat="1" s="333">
      <c r="A266" s="621" t="inlineStr">
        <is>
          <t>Sales to fourth largest customer as a % of total sales, %</t>
        </is>
      </c>
      <c r="B266" s="670" t="n"/>
      <c r="C266" s="1126" t="n"/>
      <c r="D266" s="1126" t="n"/>
      <c r="E266" s="1126" t="n"/>
      <c r="F266" s="1126" t="n"/>
      <c r="G266" s="315" t="n"/>
      <c r="H266" s="315" t="n"/>
      <c r="I266" s="315" t="n"/>
      <c r="J266" s="315" t="n"/>
      <c r="K266" s="1126" t="n"/>
      <c r="L266" s="315" t="n"/>
      <c r="M266" s="315" t="n"/>
      <c r="N266" s="315" t="n"/>
      <c r="O266" s="315" t="n"/>
      <c r="P266" s="1126" t="n"/>
      <c r="Q266" s="315" t="n"/>
      <c r="R266" s="315" t="n"/>
      <c r="S266" s="315" t="n"/>
      <c r="T266" s="315" t="n"/>
      <c r="U266" s="1126" t="n"/>
      <c r="V266" s="315" t="n"/>
      <c r="W266" s="315" t="n"/>
      <c r="X266" s="315" t="n"/>
      <c r="Y266" s="315" t="n"/>
      <c r="Z266" s="1126" t="n"/>
      <c r="AA266" s="315" t="n"/>
      <c r="AB266" s="315" t="n"/>
      <c r="AC266" s="315" t="n"/>
      <c r="AD266" s="315" t="n"/>
      <c r="AE266" s="1126" t="n"/>
      <c r="AF266" s="315" t="n"/>
      <c r="AG266" s="315" t="n"/>
      <c r="AH266" s="315" t="n"/>
      <c r="AI266" s="315" t="n"/>
      <c r="AJ266" s="1126" t="n"/>
      <c r="AK266" s="315" t="n"/>
      <c r="AL266" s="315" t="n"/>
      <c r="AM266" s="315" t="n"/>
      <c r="AN266" s="315" t="n"/>
      <c r="AO266" s="1126" t="n"/>
      <c r="AP266" s="315" t="n"/>
      <c r="AQ266" s="315" t="n"/>
      <c r="AR266" s="315" t="n"/>
      <c r="AS266" s="315" t="n"/>
      <c r="AT266" s="1126" t="n"/>
      <c r="AU266" s="315" t="n"/>
      <c r="AV266" s="315" t="n"/>
      <c r="AW266" s="315" t="n"/>
      <c r="AX266" s="315" t="n"/>
      <c r="AY266" s="1126" t="n"/>
      <c r="AZ266" s="315" t="n"/>
      <c r="BA266" s="315" t="n"/>
      <c r="BB266" s="315" t="n"/>
      <c r="BC266" s="315" t="n"/>
      <c r="BD266" s="1126" t="n"/>
      <c r="BE266" s="315" t="n"/>
      <c r="BF266" s="315" t="n"/>
      <c r="BG266" s="315" t="n"/>
      <c r="BH266" s="315" t="n"/>
      <c r="BI266" s="1126" t="n"/>
      <c r="BJ266" s="315" t="n"/>
      <c r="BK266" s="315" t="n"/>
      <c r="BL266" s="315" t="n"/>
      <c r="BM266" s="315" t="n"/>
      <c r="BN266" s="1126" t="n"/>
      <c r="BO266" s="315" t="n"/>
      <c r="BP266" s="315" t="n"/>
      <c r="BQ266" s="315" t="n"/>
      <c r="BR266" s="315" t="n"/>
      <c r="BS266" s="1126" t="n"/>
      <c r="BT266" s="315" t="n"/>
      <c r="BU266" s="315" t="n"/>
      <c r="BV266" s="1068" t="n">
        <v>0.11</v>
      </c>
      <c r="BW266" s="315" t="n"/>
      <c r="BX266" s="1126" t="n"/>
      <c r="BY266" s="315" t="n"/>
      <c r="BZ266" s="315" t="n"/>
      <c r="CA266" s="315" t="n"/>
      <c r="CB266" s="315" t="n"/>
      <c r="CC266" s="1126" t="n"/>
      <c r="CD266" s="1126" t="n"/>
      <c r="CE266" s="1126" t="n"/>
      <c r="CF266" s="1126" t="n"/>
      <c r="CG266" s="332" t="n"/>
    </row>
    <row r="267" collapsed="1">
      <c r="A267" s="605" t="n"/>
      <c r="B267" s="606" t="n"/>
      <c r="C267" s="1134" t="n"/>
      <c r="D267" s="1134" t="n"/>
      <c r="E267" s="1134" t="n"/>
      <c r="F267" s="1134" t="n"/>
      <c r="G267" s="93" t="n"/>
      <c r="H267" s="93" t="n"/>
      <c r="I267" s="93" t="n"/>
      <c r="J267" s="93" t="n"/>
      <c r="K267" s="1134" t="n"/>
      <c r="L267" s="93" t="n"/>
      <c r="M267" s="93" t="n"/>
      <c r="N267" s="93" t="n"/>
      <c r="O267" s="93" t="n"/>
      <c r="P267" s="1134" t="n"/>
      <c r="Q267" s="93" t="n"/>
      <c r="R267" s="93" t="n"/>
      <c r="S267" s="93" t="n"/>
      <c r="T267" s="93" t="n"/>
      <c r="U267" s="1134" t="n"/>
      <c r="V267" s="93" t="n"/>
      <c r="W267" s="93" t="n"/>
      <c r="X267" s="93" t="n"/>
      <c r="Y267" s="93" t="n"/>
      <c r="Z267" s="1134" t="n"/>
      <c r="AA267" s="93" t="n"/>
      <c r="AB267" s="93" t="n"/>
      <c r="AC267" s="93" t="n"/>
      <c r="AD267" s="93" t="n"/>
      <c r="AE267" s="1134" t="n"/>
      <c r="AF267" s="93" t="n"/>
      <c r="AG267" s="93" t="n"/>
      <c r="AH267" s="93" t="n"/>
      <c r="AI267" s="93" t="n"/>
      <c r="AJ267" s="1134" t="n"/>
      <c r="AK267" s="93" t="n"/>
      <c r="AL267" s="93" t="n"/>
      <c r="AM267" s="93" t="n"/>
      <c r="AN267" s="93" t="n"/>
      <c r="AO267" s="1134" t="n"/>
      <c r="AP267" s="93" t="n"/>
      <c r="AQ267" s="93" t="n"/>
      <c r="AR267" s="93" t="n"/>
      <c r="AS267" s="93" t="n"/>
      <c r="AT267" s="1134" t="n"/>
      <c r="AU267" s="93" t="n"/>
      <c r="AV267" s="93" t="n"/>
      <c r="AW267" s="93" t="n"/>
      <c r="AX267" s="93" t="n"/>
      <c r="AY267" s="1134" t="n"/>
      <c r="AZ267" s="93" t="n"/>
      <c r="BA267" s="93" t="n"/>
      <c r="BB267" s="93" t="n"/>
      <c r="BC267" s="93" t="n"/>
      <c r="BD267" s="1134" t="n"/>
      <c r="BE267" s="93" t="n"/>
      <c r="BF267" s="93" t="n"/>
      <c r="BG267" s="93" t="n"/>
      <c r="BH267" s="93" t="n"/>
      <c r="BI267" s="1134" t="n"/>
      <c r="BJ267" s="93" t="n"/>
      <c r="BK267" s="93" t="n"/>
      <c r="BL267" s="93" t="n"/>
      <c r="BM267" s="93" t="n"/>
      <c r="BN267" s="1134" t="n"/>
      <c r="BO267" s="93" t="n"/>
      <c r="BP267" s="93" t="n"/>
      <c r="BQ267" s="93" t="n"/>
      <c r="BR267" s="93" t="n"/>
      <c r="BS267" s="1134" t="n"/>
      <c r="BT267" s="93" t="n"/>
      <c r="BU267" s="93" t="n"/>
      <c r="BV267" s="522" t="n"/>
      <c r="BW267" s="93" t="n"/>
      <c r="BX267" s="1134" t="n"/>
      <c r="BY267" s="93" t="n"/>
      <c r="BZ267" s="93" t="n"/>
      <c r="CA267" s="93" t="n"/>
      <c r="CB267" s="93" t="n"/>
      <c r="CC267" s="1134" t="n"/>
      <c r="CD267" s="1134" t="n"/>
      <c r="CE267" s="1134" t="n"/>
      <c r="CF267" s="1134" t="n"/>
      <c r="CG267" s="155" t="n"/>
    </row>
    <row r="268">
      <c r="A268" s="46" t="inlineStr">
        <is>
          <t>Margin Analysis</t>
        </is>
      </c>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c r="AA268" s="46" t="n"/>
      <c r="AB268" s="46" t="n"/>
      <c r="AC268" s="46" t="n"/>
      <c r="AD268" s="46" t="n"/>
      <c r="AE268" s="46" t="n"/>
      <c r="AF268" s="46" t="n"/>
      <c r="AG268" s="46" t="n"/>
      <c r="AH268" s="46" t="n"/>
      <c r="AI268" s="46" t="n"/>
      <c r="AJ268" s="46" t="n"/>
      <c r="AK268" s="46" t="n"/>
      <c r="AL268" s="46" t="n"/>
      <c r="AM268" s="46" t="n"/>
      <c r="AN268" s="46" t="n"/>
      <c r="AO268" s="46" t="n"/>
      <c r="AP268" s="46" t="n"/>
      <c r="AQ268" s="46" t="n"/>
      <c r="AR268" s="46" t="n"/>
      <c r="AS268" s="46" t="n"/>
      <c r="AT268" s="46" t="n"/>
      <c r="AU268" s="46" t="n"/>
      <c r="AV268" s="46" t="n"/>
      <c r="AW268" s="46" t="n"/>
      <c r="AX268" s="46" t="n"/>
      <c r="AY268" s="46" t="n"/>
      <c r="AZ268" s="46" t="n"/>
      <c r="BA268" s="46" t="n"/>
      <c r="BB268" s="46" t="n"/>
      <c r="BC268" s="46" t="n"/>
      <c r="BD268" s="46" t="n"/>
      <c r="BE268" s="46" t="n"/>
      <c r="BF268" s="46" t="n"/>
      <c r="BG268" s="46" t="n"/>
      <c r="BH268" s="46" t="n"/>
      <c r="BI268" s="46" t="n"/>
      <c r="BJ268" s="46" t="n"/>
      <c r="BK268" s="46" t="n"/>
      <c r="BL268" s="46" t="n"/>
      <c r="BM268" s="46" t="n"/>
      <c r="BN268" s="46" t="n"/>
      <c r="BO268" s="46" t="n"/>
      <c r="BP268" s="46" t="n"/>
      <c r="BQ268" s="46" t="n"/>
      <c r="BR268" s="46" t="n"/>
      <c r="BS268" s="46" t="n"/>
      <c r="BT268" s="46" t="n"/>
      <c r="BU268" s="46" t="n"/>
      <c r="BV268" s="541" t="n"/>
      <c r="BW268" s="46" t="n"/>
      <c r="BX268" s="46" t="n"/>
      <c r="BY268" s="46" t="n"/>
      <c r="BZ268" s="46" t="n"/>
      <c r="CA268" s="46" t="n"/>
      <c r="CB268" s="46" t="n"/>
      <c r="CC268" s="46" t="n"/>
      <c r="CD268" s="46" t="n"/>
      <c r="CE268" s="46" t="n"/>
      <c r="CF268" s="46" t="n"/>
      <c r="CG268" s="155" t="n"/>
    </row>
    <row r="269" hidden="1" outlineLevel="1">
      <c r="A269" s="575" t="inlineStr">
        <is>
          <t>GAAP COGS Margin, %</t>
        </is>
      </c>
      <c r="B269" s="576" t="n"/>
      <c r="C269" s="1142">
        <f>C366/C362</f>
        <v/>
      </c>
      <c r="D269" s="1142">
        <f>D366/D362</f>
        <v/>
      </c>
      <c r="E269" s="1142">
        <f>E366/E362</f>
        <v/>
      </c>
      <c r="F269" s="1142">
        <f>F366/F362</f>
        <v/>
      </c>
      <c r="G269" s="577">
        <f>G366/G362</f>
        <v/>
      </c>
      <c r="H269" s="577">
        <f>H366/H362</f>
        <v/>
      </c>
      <c r="I269" s="577">
        <f>I366/I362</f>
        <v/>
      </c>
      <c r="J269" s="577">
        <f>J366/J362</f>
        <v/>
      </c>
      <c r="K269" s="1142">
        <f>K366/K362</f>
        <v/>
      </c>
      <c r="L269" s="577">
        <f>L366/L362</f>
        <v/>
      </c>
      <c r="M269" s="577">
        <f>M366/M362</f>
        <v/>
      </c>
      <c r="N269" s="577">
        <f>N366/N362</f>
        <v/>
      </c>
      <c r="O269" s="577">
        <f>O366/O362</f>
        <v/>
      </c>
      <c r="P269" s="1142">
        <f>P366/P362</f>
        <v/>
      </c>
      <c r="Q269" s="577">
        <f>Q366/Q362</f>
        <v/>
      </c>
      <c r="R269" s="577">
        <f>R366/R362</f>
        <v/>
      </c>
      <c r="S269" s="577">
        <f>S366/S362</f>
        <v/>
      </c>
      <c r="T269" s="577">
        <f>T366/T362</f>
        <v/>
      </c>
      <c r="U269" s="1142">
        <f>U366/U362</f>
        <v/>
      </c>
      <c r="V269" s="577">
        <f>V366/V362</f>
        <v/>
      </c>
      <c r="W269" s="577">
        <f>W366/W362</f>
        <v/>
      </c>
      <c r="X269" s="577">
        <f>X366/X362</f>
        <v/>
      </c>
      <c r="Y269" s="577">
        <f>Y366/Y362</f>
        <v/>
      </c>
      <c r="Z269" s="1143">
        <f>Z366/Z362</f>
        <v/>
      </c>
      <c r="AA269" s="577">
        <f>AA366/AA362</f>
        <v/>
      </c>
      <c r="AB269" s="577">
        <f>AB366/AB362</f>
        <v/>
      </c>
      <c r="AC269" s="577">
        <f>AC366/AC362</f>
        <v/>
      </c>
      <c r="AD269" s="577">
        <f>AD366/AD362</f>
        <v/>
      </c>
      <c r="AE269" s="1143">
        <f>AE366/AE362</f>
        <v/>
      </c>
      <c r="AF269" s="577">
        <f>AF366/AF362</f>
        <v/>
      </c>
      <c r="AG269" s="577">
        <f>AG366/AG362</f>
        <v/>
      </c>
      <c r="AH269" s="577">
        <f>AH366/AH362</f>
        <v/>
      </c>
      <c r="AI269" s="577">
        <f>AI366/AI362</f>
        <v/>
      </c>
      <c r="AJ269" s="1143">
        <f>AJ366/AJ362</f>
        <v/>
      </c>
      <c r="AK269" s="577">
        <f>AK366/AK362</f>
        <v/>
      </c>
      <c r="AL269" s="577">
        <f>AL366/AL362</f>
        <v/>
      </c>
      <c r="AM269" s="577">
        <f>AM366/AM362</f>
        <v/>
      </c>
      <c r="AN269" s="577">
        <f>AN366/AN362</f>
        <v/>
      </c>
      <c r="AO269" s="1143">
        <f>AO366/AO362</f>
        <v/>
      </c>
      <c r="AP269" s="577">
        <f>AP366/AP362</f>
        <v/>
      </c>
      <c r="AQ269" s="577">
        <f>AQ366/AQ362</f>
        <v/>
      </c>
      <c r="AR269" s="577">
        <f>AR366/AR362</f>
        <v/>
      </c>
      <c r="AS269" s="577">
        <f>AS366/AS362</f>
        <v/>
      </c>
      <c r="AT269" s="1143">
        <f>AT366/AT362</f>
        <v/>
      </c>
      <c r="AU269" s="577">
        <f>AU366/AU362</f>
        <v/>
      </c>
      <c r="AV269" s="577">
        <f>AV366/AV362</f>
        <v/>
      </c>
      <c r="AW269" s="577">
        <f>AW366/AW362</f>
        <v/>
      </c>
      <c r="AX269" s="577">
        <f>AX366/AX362</f>
        <v/>
      </c>
      <c r="AY269" s="1143">
        <f>AY366/AY362</f>
        <v/>
      </c>
      <c r="AZ269" s="577">
        <f>AZ366/AZ362</f>
        <v/>
      </c>
      <c r="BA269" s="577">
        <f>BA366/BA362</f>
        <v/>
      </c>
      <c r="BB269" s="577">
        <f>BB366/BB362</f>
        <v/>
      </c>
      <c r="BC269" s="577">
        <f>BC366/BC362</f>
        <v/>
      </c>
      <c r="BD269" s="1143">
        <f>BD366/BD362</f>
        <v/>
      </c>
      <c r="BE269" s="577">
        <f>BE366/BE362</f>
        <v/>
      </c>
      <c r="BF269" s="577">
        <f>BF366/BF362</f>
        <v/>
      </c>
      <c r="BG269" s="577">
        <f>BG366/BG362</f>
        <v/>
      </c>
      <c r="BH269" s="577">
        <f>BH366/BH362</f>
        <v/>
      </c>
      <c r="BI269" s="1143">
        <f>BI366/BI362</f>
        <v/>
      </c>
      <c r="BJ269" s="577">
        <f>BJ366/BJ362</f>
        <v/>
      </c>
      <c r="BK269" s="577">
        <f>BK366/BK362</f>
        <v/>
      </c>
      <c r="BL269" s="577">
        <f>BL366/BL362</f>
        <v/>
      </c>
      <c r="BM269" s="577">
        <f>BM366/BM362</f>
        <v/>
      </c>
      <c r="BN269" s="1143">
        <f>BN366/BN362</f>
        <v/>
      </c>
      <c r="BO269" s="577">
        <f>BO366/BO362</f>
        <v/>
      </c>
      <c r="BP269" s="577">
        <f>BP366/BP362</f>
        <v/>
      </c>
      <c r="BQ269" s="577">
        <f>BQ366/BQ362</f>
        <v/>
      </c>
      <c r="BR269" s="577">
        <f>BR366/BR362</f>
        <v/>
      </c>
      <c r="BS269" s="1143">
        <f>BS366/BS362</f>
        <v/>
      </c>
      <c r="BT269" s="577">
        <f>BT366/BT362</f>
        <v/>
      </c>
      <c r="BU269" s="577">
        <f>BU366/BU362</f>
        <v/>
      </c>
      <c r="BV269" s="890">
        <f>BV366/BV362</f>
        <v/>
      </c>
      <c r="BW269" s="577">
        <f>BW366/BW362</f>
        <v/>
      </c>
      <c r="BX269" s="1143">
        <f>BX366/BX362</f>
        <v/>
      </c>
      <c r="BY269" s="577">
        <f>BY366/BY362</f>
        <v/>
      </c>
      <c r="BZ269" s="577">
        <f>BZ366/BZ362</f>
        <v/>
      </c>
      <c r="CA269" s="577">
        <f>CA366/CA362</f>
        <v/>
      </c>
      <c r="CB269" s="577">
        <f>CB366/CB362</f>
        <v/>
      </c>
      <c r="CC269" s="1143">
        <f>CC366/CC362</f>
        <v/>
      </c>
      <c r="CD269" s="1143">
        <f>CD366/CD362</f>
        <v/>
      </c>
      <c r="CE269" s="1143">
        <f>CE366/CE362</f>
        <v/>
      </c>
      <c r="CF269" s="1143">
        <f>CF366/CF362</f>
        <v/>
      </c>
      <c r="CG269" s="155" t="n"/>
    </row>
    <row r="270" hidden="1" outlineLevel="1">
      <c r="A270" s="579" t="inlineStr">
        <is>
          <t>GAAP Gross Margin, %</t>
        </is>
      </c>
      <c r="B270" s="85" t="n"/>
      <c r="C270" s="1144">
        <f>1-C269</f>
        <v/>
      </c>
      <c r="D270" s="1144">
        <f>1-D269</f>
        <v/>
      </c>
      <c r="E270" s="1144">
        <f>1-E269</f>
        <v/>
      </c>
      <c r="F270" s="1144">
        <f>1-F269</f>
        <v/>
      </c>
      <c r="G270" s="580">
        <f>1-G269</f>
        <v/>
      </c>
      <c r="H270" s="580">
        <f>1-H269</f>
        <v/>
      </c>
      <c r="I270" s="580">
        <f>1-I269</f>
        <v/>
      </c>
      <c r="J270" s="580">
        <f>1-J269</f>
        <v/>
      </c>
      <c r="K270" s="1144">
        <f>1-K269</f>
        <v/>
      </c>
      <c r="L270" s="580">
        <f>1-L269</f>
        <v/>
      </c>
      <c r="M270" s="580">
        <f>1-M269</f>
        <v/>
      </c>
      <c r="N270" s="580">
        <f>1-N269</f>
        <v/>
      </c>
      <c r="O270" s="580">
        <f>1-O269</f>
        <v/>
      </c>
      <c r="P270" s="1144">
        <f>1-P269</f>
        <v/>
      </c>
      <c r="Q270" s="580">
        <f>1-Q269</f>
        <v/>
      </c>
      <c r="R270" s="580">
        <f>1-R269</f>
        <v/>
      </c>
      <c r="S270" s="580">
        <f>1-S269</f>
        <v/>
      </c>
      <c r="T270" s="580">
        <f>1-T269</f>
        <v/>
      </c>
      <c r="U270" s="1144">
        <f>1-U269</f>
        <v/>
      </c>
      <c r="V270" s="580">
        <f>1-V269</f>
        <v/>
      </c>
      <c r="W270" s="580">
        <f>1-W269</f>
        <v/>
      </c>
      <c r="X270" s="580">
        <f>1-X269</f>
        <v/>
      </c>
      <c r="Y270" s="580">
        <f>1-Y269</f>
        <v/>
      </c>
      <c r="Z270" s="1145">
        <f>1-Z269</f>
        <v/>
      </c>
      <c r="AA270" s="580">
        <f>1-AA269</f>
        <v/>
      </c>
      <c r="AB270" s="580">
        <f>1-AB269</f>
        <v/>
      </c>
      <c r="AC270" s="580">
        <f>1-AC269</f>
        <v/>
      </c>
      <c r="AD270" s="580">
        <f>1-AD269</f>
        <v/>
      </c>
      <c r="AE270" s="1145">
        <f>1-AE269</f>
        <v/>
      </c>
      <c r="AF270" s="580">
        <f>1-AF269</f>
        <v/>
      </c>
      <c r="AG270" s="580">
        <f>1-AG269</f>
        <v/>
      </c>
      <c r="AH270" s="580">
        <f>1-AH269</f>
        <v/>
      </c>
      <c r="AI270" s="580">
        <f>1-AI269</f>
        <v/>
      </c>
      <c r="AJ270" s="1145">
        <f>1-AJ269</f>
        <v/>
      </c>
      <c r="AK270" s="580">
        <f>1-AK269</f>
        <v/>
      </c>
      <c r="AL270" s="580">
        <f>1-AL269</f>
        <v/>
      </c>
      <c r="AM270" s="580">
        <f>1-AM269</f>
        <v/>
      </c>
      <c r="AN270" s="580">
        <f>1-AN269</f>
        <v/>
      </c>
      <c r="AO270" s="1145">
        <f>1-AO269</f>
        <v/>
      </c>
      <c r="AP270" s="580">
        <f>1-AP269</f>
        <v/>
      </c>
      <c r="AQ270" s="580">
        <f>1-AQ269</f>
        <v/>
      </c>
      <c r="AR270" s="580">
        <f>1-AR269</f>
        <v/>
      </c>
      <c r="AS270" s="580">
        <f>1-AS269</f>
        <v/>
      </c>
      <c r="AT270" s="1145">
        <f>1-AT269</f>
        <v/>
      </c>
      <c r="AU270" s="580">
        <f>1-AU269</f>
        <v/>
      </c>
      <c r="AV270" s="580">
        <f>1-AV269</f>
        <v/>
      </c>
      <c r="AW270" s="580">
        <f>1-AW269</f>
        <v/>
      </c>
      <c r="AX270" s="580">
        <f>1-AX269</f>
        <v/>
      </c>
      <c r="AY270" s="1145">
        <f>1-AY269</f>
        <v/>
      </c>
      <c r="AZ270" s="580">
        <f>1-AZ269</f>
        <v/>
      </c>
      <c r="BA270" s="580">
        <f>1-BA269</f>
        <v/>
      </c>
      <c r="BB270" s="580">
        <f>1-BB269</f>
        <v/>
      </c>
      <c r="BC270" s="580">
        <f>1-BC269</f>
        <v/>
      </c>
      <c r="BD270" s="1145">
        <f>1-BD269</f>
        <v/>
      </c>
      <c r="BE270" s="580">
        <f>1-BE269</f>
        <v/>
      </c>
      <c r="BF270" s="580">
        <f>1-BF269</f>
        <v/>
      </c>
      <c r="BG270" s="580">
        <f>1-BG269</f>
        <v/>
      </c>
      <c r="BH270" s="580">
        <f>1-BH269</f>
        <v/>
      </c>
      <c r="BI270" s="1145">
        <f>1-BI269</f>
        <v/>
      </c>
      <c r="BJ270" s="580">
        <f>1-BJ269</f>
        <v/>
      </c>
      <c r="BK270" s="580">
        <f>1-BK269</f>
        <v/>
      </c>
      <c r="BL270" s="580">
        <f>1-BL269</f>
        <v/>
      </c>
      <c r="BM270" s="580">
        <f>1-BM269</f>
        <v/>
      </c>
      <c r="BN270" s="1145">
        <f>1-BN269</f>
        <v/>
      </c>
      <c r="BO270" s="580">
        <f>1-BO269</f>
        <v/>
      </c>
      <c r="BP270" s="580">
        <f>1-BP269</f>
        <v/>
      </c>
      <c r="BQ270" s="580">
        <f>1-BQ269</f>
        <v/>
      </c>
      <c r="BR270" s="580">
        <f>1-BR269</f>
        <v/>
      </c>
      <c r="BS270" s="1145">
        <f>1-BS269</f>
        <v/>
      </c>
      <c r="BT270" s="580">
        <f>1-BT269</f>
        <v/>
      </c>
      <c r="BU270" s="580">
        <f>1-BU269</f>
        <v/>
      </c>
      <c r="BV270" s="891">
        <f>1-BV269</f>
        <v/>
      </c>
      <c r="BW270" s="580">
        <f>1-BW269</f>
        <v/>
      </c>
      <c r="BX270" s="1145">
        <f>1-BX269</f>
        <v/>
      </c>
      <c r="BY270" s="580">
        <f>1-BY269</f>
        <v/>
      </c>
      <c r="BZ270" s="580">
        <f>1-BZ269</f>
        <v/>
      </c>
      <c r="CA270" s="580">
        <f>1-CA269</f>
        <v/>
      </c>
      <c r="CB270" s="580">
        <f>1-CB269</f>
        <v/>
      </c>
      <c r="CC270" s="1145">
        <f>1-CC269</f>
        <v/>
      </c>
      <c r="CD270" s="1145">
        <f>1-CD269</f>
        <v/>
      </c>
      <c r="CE270" s="1145">
        <f>1-CE269</f>
        <v/>
      </c>
      <c r="CF270" s="1145">
        <f>1-CF269</f>
        <v/>
      </c>
      <c r="CG270" s="155" t="n"/>
    </row>
    <row r="271" hidden="1" outlineLevel="1" ht="7.5" customHeight="1">
      <c r="A271" s="579" t="n"/>
      <c r="B271" s="85" t="n"/>
      <c r="C271" s="1144" t="n"/>
      <c r="D271" s="1144" t="n"/>
      <c r="E271" s="1144" t="n"/>
      <c r="F271" s="1144" t="n"/>
      <c r="G271" s="580" t="n"/>
      <c r="H271" s="580" t="n"/>
      <c r="I271" s="580" t="n"/>
      <c r="J271" s="580" t="n"/>
      <c r="K271" s="1144" t="n"/>
      <c r="L271" s="580" t="n"/>
      <c r="M271" s="580" t="n"/>
      <c r="N271" s="580" t="n"/>
      <c r="O271" s="580" t="n"/>
      <c r="P271" s="1144" t="n"/>
      <c r="Q271" s="580" t="n"/>
      <c r="R271" s="580" t="n"/>
      <c r="S271" s="580" t="n"/>
      <c r="T271" s="580" t="n"/>
      <c r="U271" s="1144" t="n"/>
      <c r="V271" s="580" t="n"/>
      <c r="W271" s="580" t="n"/>
      <c r="X271" s="580" t="n"/>
      <c r="Y271" s="580" t="n"/>
      <c r="Z271" s="1145" t="n"/>
      <c r="AA271" s="580" t="n"/>
      <c r="AB271" s="580" t="n"/>
      <c r="AC271" s="580" t="n"/>
      <c r="AD271" s="580" t="n"/>
      <c r="AE271" s="1145" t="n"/>
      <c r="AF271" s="580" t="n"/>
      <c r="AG271" s="580" t="n"/>
      <c r="AH271" s="580" t="n"/>
      <c r="AI271" s="580" t="n"/>
      <c r="AJ271" s="1145" t="n"/>
      <c r="AK271" s="580" t="n"/>
      <c r="AL271" s="580" t="n"/>
      <c r="AM271" s="580" t="n"/>
      <c r="AN271" s="580" t="n"/>
      <c r="AO271" s="1145" t="n"/>
      <c r="AP271" s="580" t="n"/>
      <c r="AQ271" s="580" t="n"/>
      <c r="AR271" s="580" t="n"/>
      <c r="AS271" s="580" t="n"/>
      <c r="AT271" s="1145" t="n"/>
      <c r="AU271" s="580" t="n"/>
      <c r="AV271" s="580" t="n"/>
      <c r="AW271" s="580" t="n"/>
      <c r="AX271" s="580" t="n"/>
      <c r="AY271" s="1145" t="n"/>
      <c r="AZ271" s="580" t="n"/>
      <c r="BA271" s="580" t="n"/>
      <c r="BB271" s="580" t="n"/>
      <c r="BC271" s="580" t="n"/>
      <c r="BD271" s="1145" t="n"/>
      <c r="BE271" s="580" t="n"/>
      <c r="BF271" s="580" t="n"/>
      <c r="BG271" s="580" t="n"/>
      <c r="BH271" s="580" t="n"/>
      <c r="BI271" s="1145" t="n"/>
      <c r="BJ271" s="580" t="n"/>
      <c r="BK271" s="580" t="n"/>
      <c r="BL271" s="580" t="n"/>
      <c r="BM271" s="580" t="n"/>
      <c r="BN271" s="1145" t="n"/>
      <c r="BO271" s="580" t="n"/>
      <c r="BP271" s="580" t="n"/>
      <c r="BQ271" s="580" t="n"/>
      <c r="BR271" s="580" t="n"/>
      <c r="BS271" s="1145" t="n"/>
      <c r="BT271" s="580" t="n"/>
      <c r="BU271" s="580" t="n"/>
      <c r="BV271" s="891" t="n"/>
      <c r="BW271" s="580" t="n"/>
      <c r="BX271" s="1145" t="n"/>
      <c r="BY271" s="580" t="n"/>
      <c r="BZ271" s="580" t="n"/>
      <c r="CA271" s="580" t="n"/>
      <c r="CB271" s="580" t="n"/>
      <c r="CC271" s="1145" t="n"/>
      <c r="CD271" s="1145" t="n"/>
      <c r="CE271" s="1145" t="n"/>
      <c r="CF271" s="1145" t="n"/>
      <c r="CG271" s="155" t="n"/>
    </row>
    <row r="272" hidden="1" outlineLevel="1">
      <c r="A272" s="579" t="inlineStr">
        <is>
          <t>GAAP SG&amp;A Margin, %</t>
        </is>
      </c>
      <c r="B272" s="85" t="n"/>
      <c r="C272" s="1144">
        <f>C378/C362</f>
        <v/>
      </c>
      <c r="D272" s="1144">
        <f>D378/D362</f>
        <v/>
      </c>
      <c r="E272" s="1144">
        <f>E378/E362</f>
        <v/>
      </c>
      <c r="F272" s="1144">
        <f>F378/F362</f>
        <v/>
      </c>
      <c r="G272" s="580">
        <f>G378/G362</f>
        <v/>
      </c>
      <c r="H272" s="580">
        <f>H378/H362</f>
        <v/>
      </c>
      <c r="I272" s="580">
        <f>I378/I362</f>
        <v/>
      </c>
      <c r="J272" s="580">
        <f>J378/J362</f>
        <v/>
      </c>
      <c r="K272" s="1144">
        <f>K378/K362</f>
        <v/>
      </c>
      <c r="L272" s="580">
        <f>L378/L362</f>
        <v/>
      </c>
      <c r="M272" s="580">
        <f>M378/M362</f>
        <v/>
      </c>
      <c r="N272" s="580">
        <f>N378/N362</f>
        <v/>
      </c>
      <c r="O272" s="580">
        <f>O378/O362</f>
        <v/>
      </c>
      <c r="P272" s="1144">
        <f>P378/P362</f>
        <v/>
      </c>
      <c r="Q272" s="580">
        <f>Q378/Q362</f>
        <v/>
      </c>
      <c r="R272" s="580">
        <f>R378/R362</f>
        <v/>
      </c>
      <c r="S272" s="580">
        <f>S378/S362</f>
        <v/>
      </c>
      <c r="T272" s="580">
        <f>T378/T362</f>
        <v/>
      </c>
      <c r="U272" s="1144">
        <f>U378/U362</f>
        <v/>
      </c>
      <c r="V272" s="580">
        <f>V378/V362</f>
        <v/>
      </c>
      <c r="W272" s="580">
        <f>W378/W362</f>
        <v/>
      </c>
      <c r="X272" s="580">
        <f>X378/X362</f>
        <v/>
      </c>
      <c r="Y272" s="580">
        <f>Y378/Y362</f>
        <v/>
      </c>
      <c r="Z272" s="1145">
        <f>Z378/Z362</f>
        <v/>
      </c>
      <c r="AA272" s="580">
        <f>AA378/AA362</f>
        <v/>
      </c>
      <c r="AB272" s="580">
        <f>AB378/AB362</f>
        <v/>
      </c>
      <c r="AC272" s="580">
        <f>AC378/AC362</f>
        <v/>
      </c>
      <c r="AD272" s="580">
        <f>AD378/AD362</f>
        <v/>
      </c>
      <c r="AE272" s="1145">
        <f>AE378/AE362</f>
        <v/>
      </c>
      <c r="AF272" s="580">
        <f>AF378/AF362</f>
        <v/>
      </c>
      <c r="AG272" s="580">
        <f>AG378/AG362</f>
        <v/>
      </c>
      <c r="AH272" s="580">
        <f>AH378/AH362</f>
        <v/>
      </c>
      <c r="AI272" s="580">
        <f>AI378/AI362</f>
        <v/>
      </c>
      <c r="AJ272" s="1145">
        <f>AJ378/AJ362</f>
        <v/>
      </c>
      <c r="AK272" s="580">
        <f>AK378/AK362</f>
        <v/>
      </c>
      <c r="AL272" s="580">
        <f>AL378/AL362</f>
        <v/>
      </c>
      <c r="AM272" s="580">
        <f>AM378/AM362</f>
        <v/>
      </c>
      <c r="AN272" s="580">
        <f>AN378/AN362</f>
        <v/>
      </c>
      <c r="AO272" s="1145">
        <f>AO378/AO362</f>
        <v/>
      </c>
      <c r="AP272" s="580">
        <f>AP378/AP362</f>
        <v/>
      </c>
      <c r="AQ272" s="580">
        <f>AQ378/AQ362</f>
        <v/>
      </c>
      <c r="AR272" s="580">
        <f>AR378/AR362</f>
        <v/>
      </c>
      <c r="AS272" s="580">
        <f>AS378/AS362</f>
        <v/>
      </c>
      <c r="AT272" s="1145">
        <f>AT378/AT362</f>
        <v/>
      </c>
      <c r="AU272" s="580">
        <f>AU378/AU362</f>
        <v/>
      </c>
      <c r="AV272" s="580">
        <f>AV378/AV362</f>
        <v/>
      </c>
      <c r="AW272" s="580">
        <f>AW378/AW362</f>
        <v/>
      </c>
      <c r="AX272" s="580">
        <f>AX378/AX362</f>
        <v/>
      </c>
      <c r="AY272" s="1145">
        <f>AY378/AY362</f>
        <v/>
      </c>
      <c r="AZ272" s="580">
        <f>AZ378/AZ362</f>
        <v/>
      </c>
      <c r="BA272" s="580">
        <f>BA378/BA362</f>
        <v/>
      </c>
      <c r="BB272" s="580">
        <f>BB378/BB362</f>
        <v/>
      </c>
      <c r="BC272" s="580">
        <f>BC378/BC362</f>
        <v/>
      </c>
      <c r="BD272" s="1145">
        <f>BD378/BD362</f>
        <v/>
      </c>
      <c r="BE272" s="580">
        <f>BE378/BE362</f>
        <v/>
      </c>
      <c r="BF272" s="580">
        <f>BF378/BF362</f>
        <v/>
      </c>
      <c r="BG272" s="580">
        <f>BG378/BG362</f>
        <v/>
      </c>
      <c r="BH272" s="580">
        <f>BH378/BH362</f>
        <v/>
      </c>
      <c r="BI272" s="1145">
        <f>BI378/BI362</f>
        <v/>
      </c>
      <c r="BJ272" s="580">
        <f>BJ378/BJ362</f>
        <v/>
      </c>
      <c r="BK272" s="580">
        <f>BK378/BK362</f>
        <v/>
      </c>
      <c r="BL272" s="580">
        <f>BL378/BL362</f>
        <v/>
      </c>
      <c r="BM272" s="580">
        <f>BM378/BM362</f>
        <v/>
      </c>
      <c r="BN272" s="1145">
        <f>BN378/BN362</f>
        <v/>
      </c>
      <c r="BO272" s="580">
        <f>BO378/BO362</f>
        <v/>
      </c>
      <c r="BP272" s="580">
        <f>BP378/BP362</f>
        <v/>
      </c>
      <c r="BQ272" s="580">
        <f>BQ378/BQ362</f>
        <v/>
      </c>
      <c r="BR272" s="580">
        <f>BR378/BR362</f>
        <v/>
      </c>
      <c r="BS272" s="1145">
        <f>BS378/BS362</f>
        <v/>
      </c>
      <c r="BT272" s="580">
        <f>BT378/BT362</f>
        <v/>
      </c>
      <c r="BU272" s="580">
        <f>BU378/BU362</f>
        <v/>
      </c>
      <c r="BV272" s="891">
        <f>BV378/BV362</f>
        <v/>
      </c>
      <c r="BW272" s="580">
        <f>BW378/BW362</f>
        <v/>
      </c>
      <c r="BX272" s="1145">
        <f>BX378/BX362</f>
        <v/>
      </c>
      <c r="BY272" s="580">
        <f>BY378/BY362</f>
        <v/>
      </c>
      <c r="BZ272" s="580">
        <f>BZ378/BZ362</f>
        <v/>
      </c>
      <c r="CA272" s="580">
        <f>CA378/CA362</f>
        <v/>
      </c>
      <c r="CB272" s="580">
        <f>CB378/CB362</f>
        <v/>
      </c>
      <c r="CC272" s="1145">
        <f>CC378/CC362</f>
        <v/>
      </c>
      <c r="CD272" s="1145">
        <f>CD378/CD362</f>
        <v/>
      </c>
      <c r="CE272" s="1145">
        <f>CE378/CE362</f>
        <v/>
      </c>
      <c r="CF272" s="1145">
        <f>CF378/CF362</f>
        <v/>
      </c>
      <c r="CG272" s="155" t="n"/>
    </row>
    <row r="273" hidden="1" outlineLevel="1">
      <c r="A273" s="579" t="inlineStr">
        <is>
          <t>GAAP R&amp;D Margin, %</t>
        </is>
      </c>
      <c r="B273" s="85" t="n"/>
      <c r="C273" s="1144">
        <f>C373/C362</f>
        <v/>
      </c>
      <c r="D273" s="1144">
        <f>D373/D362</f>
        <v/>
      </c>
      <c r="E273" s="1144">
        <f>E373/E362</f>
        <v/>
      </c>
      <c r="F273" s="1144">
        <f>F373/F362</f>
        <v/>
      </c>
      <c r="G273" s="580">
        <f>G373/G362</f>
        <v/>
      </c>
      <c r="H273" s="580">
        <f>H373/H362</f>
        <v/>
      </c>
      <c r="I273" s="580">
        <f>I373/I362</f>
        <v/>
      </c>
      <c r="J273" s="580">
        <f>J373/J362</f>
        <v/>
      </c>
      <c r="K273" s="1144">
        <f>K373/K362</f>
        <v/>
      </c>
      <c r="L273" s="580">
        <f>L373/L362</f>
        <v/>
      </c>
      <c r="M273" s="580">
        <f>M373/M362</f>
        <v/>
      </c>
      <c r="N273" s="580">
        <f>N373/N362</f>
        <v/>
      </c>
      <c r="O273" s="580">
        <f>O373/O362</f>
        <v/>
      </c>
      <c r="P273" s="1144">
        <f>P373/P362</f>
        <v/>
      </c>
      <c r="Q273" s="580">
        <f>Q373/Q362</f>
        <v/>
      </c>
      <c r="R273" s="580">
        <f>R373/R362</f>
        <v/>
      </c>
      <c r="S273" s="580">
        <f>S373/S362</f>
        <v/>
      </c>
      <c r="T273" s="580">
        <f>T373/T362</f>
        <v/>
      </c>
      <c r="U273" s="1144">
        <f>U373/U362</f>
        <v/>
      </c>
      <c r="V273" s="580">
        <f>V373/V362</f>
        <v/>
      </c>
      <c r="W273" s="580">
        <f>W373/W362</f>
        <v/>
      </c>
      <c r="X273" s="580">
        <f>X373/X362</f>
        <v/>
      </c>
      <c r="Y273" s="580">
        <f>Y373/Y362</f>
        <v/>
      </c>
      <c r="Z273" s="1145">
        <f>Z373/Z362</f>
        <v/>
      </c>
      <c r="AA273" s="580">
        <f>AA373/AA362</f>
        <v/>
      </c>
      <c r="AB273" s="580">
        <f>AB373/AB362</f>
        <v/>
      </c>
      <c r="AC273" s="580">
        <f>AC373/AC362</f>
        <v/>
      </c>
      <c r="AD273" s="580">
        <f>AD373/AD362</f>
        <v/>
      </c>
      <c r="AE273" s="1145">
        <f>AE373/AE362</f>
        <v/>
      </c>
      <c r="AF273" s="580">
        <f>AF373/AF362</f>
        <v/>
      </c>
      <c r="AG273" s="580">
        <f>AG373/AG362</f>
        <v/>
      </c>
      <c r="AH273" s="580">
        <f>AH373/AH362</f>
        <v/>
      </c>
      <c r="AI273" s="580">
        <f>AI373/AI362</f>
        <v/>
      </c>
      <c r="AJ273" s="1145">
        <f>AJ373/AJ362</f>
        <v/>
      </c>
      <c r="AK273" s="580">
        <f>AK373/AK362</f>
        <v/>
      </c>
      <c r="AL273" s="580">
        <f>AL373/AL362</f>
        <v/>
      </c>
      <c r="AM273" s="580">
        <f>AM373/AM362</f>
        <v/>
      </c>
      <c r="AN273" s="580">
        <f>AN373/AN362</f>
        <v/>
      </c>
      <c r="AO273" s="1145">
        <f>AO373/AO362</f>
        <v/>
      </c>
      <c r="AP273" s="580">
        <f>AP373/AP362</f>
        <v/>
      </c>
      <c r="AQ273" s="580">
        <f>AQ373/AQ362</f>
        <v/>
      </c>
      <c r="AR273" s="580">
        <f>AR373/AR362</f>
        <v/>
      </c>
      <c r="AS273" s="580">
        <f>AS373/AS362</f>
        <v/>
      </c>
      <c r="AT273" s="1145">
        <f>AT373/AT362</f>
        <v/>
      </c>
      <c r="AU273" s="580">
        <f>AU373/AU362</f>
        <v/>
      </c>
      <c r="AV273" s="580">
        <f>AV373/AV362</f>
        <v/>
      </c>
      <c r="AW273" s="580">
        <f>AW373/AW362</f>
        <v/>
      </c>
      <c r="AX273" s="580">
        <f>AX373/AX362</f>
        <v/>
      </c>
      <c r="AY273" s="1145">
        <f>AY373/AY362</f>
        <v/>
      </c>
      <c r="AZ273" s="580">
        <f>AZ373/AZ362</f>
        <v/>
      </c>
      <c r="BA273" s="580">
        <f>BA373/BA362</f>
        <v/>
      </c>
      <c r="BB273" s="580">
        <f>BB373/BB362</f>
        <v/>
      </c>
      <c r="BC273" s="580">
        <f>BC373/BC362</f>
        <v/>
      </c>
      <c r="BD273" s="1145">
        <f>BD373/BD362</f>
        <v/>
      </c>
      <c r="BE273" s="580">
        <f>BE373/BE362</f>
        <v/>
      </c>
      <c r="BF273" s="580">
        <f>BF373/BF362</f>
        <v/>
      </c>
      <c r="BG273" s="580">
        <f>BG373/BG362</f>
        <v/>
      </c>
      <c r="BH273" s="580">
        <f>BH373/BH362</f>
        <v/>
      </c>
      <c r="BI273" s="1145">
        <f>BI373/BI362</f>
        <v/>
      </c>
      <c r="BJ273" s="580">
        <f>BJ373/BJ362</f>
        <v/>
      </c>
      <c r="BK273" s="580">
        <f>BK373/BK362</f>
        <v/>
      </c>
      <c r="BL273" s="580">
        <f>BL373/BL362</f>
        <v/>
      </c>
      <c r="BM273" s="580">
        <f>BM373/BM362</f>
        <v/>
      </c>
      <c r="BN273" s="1145">
        <f>BN373/BN362</f>
        <v/>
      </c>
      <c r="BO273" s="580">
        <f>BO373/BO362</f>
        <v/>
      </c>
      <c r="BP273" s="580">
        <f>BP373/BP362</f>
        <v/>
      </c>
      <c r="BQ273" s="580">
        <f>BQ373/BQ362</f>
        <v/>
      </c>
      <c r="BR273" s="580">
        <f>BR373/BR362</f>
        <v/>
      </c>
      <c r="BS273" s="1145">
        <f>BS373/BS362</f>
        <v/>
      </c>
      <c r="BT273" s="580">
        <f>BT373/BT362</f>
        <v/>
      </c>
      <c r="BU273" s="580">
        <f>BU373/BU362</f>
        <v/>
      </c>
      <c r="BV273" s="891">
        <f>BV373/BV362</f>
        <v/>
      </c>
      <c r="BW273" s="580">
        <f>BW373/BW362</f>
        <v/>
      </c>
      <c r="BX273" s="1145">
        <f>BX373/BX362</f>
        <v/>
      </c>
      <c r="BY273" s="580">
        <f>BY373/BY362</f>
        <v/>
      </c>
      <c r="BZ273" s="580">
        <f>BZ373/BZ362</f>
        <v/>
      </c>
      <c r="CA273" s="580">
        <f>CA373/CA362</f>
        <v/>
      </c>
      <c r="CB273" s="580">
        <f>CB373/CB362</f>
        <v/>
      </c>
      <c r="CC273" s="1145">
        <f>CC373/CC362</f>
        <v/>
      </c>
      <c r="CD273" s="1145">
        <f>CD373/CD362</f>
        <v/>
      </c>
      <c r="CE273" s="1145">
        <f>CE373/CE362</f>
        <v/>
      </c>
      <c r="CF273" s="1145">
        <f>CF373/CF362</f>
        <v/>
      </c>
      <c r="CG273" s="155" t="n"/>
    </row>
    <row r="274" hidden="1" outlineLevel="1">
      <c r="A274" s="578" t="inlineStr">
        <is>
          <t>GAAP OPEX Margin, %</t>
        </is>
      </c>
      <c r="B274" s="576" t="n"/>
      <c r="C274" s="1142">
        <f>C383/C362</f>
        <v/>
      </c>
      <c r="D274" s="1142">
        <f>D383/D362</f>
        <v/>
      </c>
      <c r="E274" s="1142">
        <f>E383/E362</f>
        <v/>
      </c>
      <c r="F274" s="1142">
        <f>F383/F362</f>
        <v/>
      </c>
      <c r="G274" s="577">
        <f>G383/G362</f>
        <v/>
      </c>
      <c r="H274" s="577">
        <f>H383/H362</f>
        <v/>
      </c>
      <c r="I274" s="577">
        <f>I383/I362</f>
        <v/>
      </c>
      <c r="J274" s="577">
        <f>J383/J362</f>
        <v/>
      </c>
      <c r="K274" s="1142">
        <f>K383/K362</f>
        <v/>
      </c>
      <c r="L274" s="577">
        <f>L383/L362</f>
        <v/>
      </c>
      <c r="M274" s="577">
        <f>M383/M362</f>
        <v/>
      </c>
      <c r="N274" s="577">
        <f>N383/N362</f>
        <v/>
      </c>
      <c r="O274" s="577">
        <f>O383/O362</f>
        <v/>
      </c>
      <c r="P274" s="1142">
        <f>P383/P362</f>
        <v/>
      </c>
      <c r="Q274" s="577">
        <f>Q383/Q362</f>
        <v/>
      </c>
      <c r="R274" s="577">
        <f>R383/R362</f>
        <v/>
      </c>
      <c r="S274" s="577">
        <f>S383/S362</f>
        <v/>
      </c>
      <c r="T274" s="577">
        <f>T383/T362</f>
        <v/>
      </c>
      <c r="U274" s="1142">
        <f>U383/U362</f>
        <v/>
      </c>
      <c r="V274" s="577">
        <f>V383/V362</f>
        <v/>
      </c>
      <c r="W274" s="577">
        <f>W383/W362</f>
        <v/>
      </c>
      <c r="X274" s="577">
        <f>X383/X362</f>
        <v/>
      </c>
      <c r="Y274" s="577">
        <f>Y383/Y362</f>
        <v/>
      </c>
      <c r="Z274" s="1143">
        <f>Z383/Z362</f>
        <v/>
      </c>
      <c r="AA274" s="577">
        <f>AA383/AA362</f>
        <v/>
      </c>
      <c r="AB274" s="577">
        <f>AB383/AB362</f>
        <v/>
      </c>
      <c r="AC274" s="577">
        <f>AC383/AC362</f>
        <v/>
      </c>
      <c r="AD274" s="577">
        <f>AD383/AD362</f>
        <v/>
      </c>
      <c r="AE274" s="1143">
        <f>AE383/AE362</f>
        <v/>
      </c>
      <c r="AF274" s="577">
        <f>AF383/AF362</f>
        <v/>
      </c>
      <c r="AG274" s="577">
        <f>AG383/AG362</f>
        <v/>
      </c>
      <c r="AH274" s="577">
        <f>AH383/AH362</f>
        <v/>
      </c>
      <c r="AI274" s="577">
        <f>AI383/AI362</f>
        <v/>
      </c>
      <c r="AJ274" s="1143">
        <f>AJ383/AJ362</f>
        <v/>
      </c>
      <c r="AK274" s="577">
        <f>AK383/AK362</f>
        <v/>
      </c>
      <c r="AL274" s="577">
        <f>AL383/AL362</f>
        <v/>
      </c>
      <c r="AM274" s="577">
        <f>AM383/AM362</f>
        <v/>
      </c>
      <c r="AN274" s="577">
        <f>AN383/AN362</f>
        <v/>
      </c>
      <c r="AO274" s="1143">
        <f>AO383/AO362</f>
        <v/>
      </c>
      <c r="AP274" s="577">
        <f>AP383/AP362</f>
        <v/>
      </c>
      <c r="AQ274" s="577">
        <f>AQ383/AQ362</f>
        <v/>
      </c>
      <c r="AR274" s="577">
        <f>AR383/AR362</f>
        <v/>
      </c>
      <c r="AS274" s="577">
        <f>AS383/AS362</f>
        <v/>
      </c>
      <c r="AT274" s="1143">
        <f>AT383/AT362</f>
        <v/>
      </c>
      <c r="AU274" s="577">
        <f>AU383/AU362</f>
        <v/>
      </c>
      <c r="AV274" s="577">
        <f>AV383/AV362</f>
        <v/>
      </c>
      <c r="AW274" s="577">
        <f>AW383/AW362</f>
        <v/>
      </c>
      <c r="AX274" s="577">
        <f>AX383/AX362</f>
        <v/>
      </c>
      <c r="AY274" s="1143">
        <f>AY383/AY362</f>
        <v/>
      </c>
      <c r="AZ274" s="577">
        <f>AZ383/AZ362</f>
        <v/>
      </c>
      <c r="BA274" s="577">
        <f>BA383/BA362</f>
        <v/>
      </c>
      <c r="BB274" s="577">
        <f>BB383/BB362</f>
        <v/>
      </c>
      <c r="BC274" s="577">
        <f>BC383/BC362</f>
        <v/>
      </c>
      <c r="BD274" s="1143">
        <f>BD383/BD362</f>
        <v/>
      </c>
      <c r="BE274" s="577">
        <f>BE383/BE362</f>
        <v/>
      </c>
      <c r="BF274" s="577">
        <f>BF383/BF362</f>
        <v/>
      </c>
      <c r="BG274" s="577">
        <f>BG383/BG362</f>
        <v/>
      </c>
      <c r="BH274" s="577">
        <f>BH383/BH362</f>
        <v/>
      </c>
      <c r="BI274" s="1143">
        <f>BI383/BI362</f>
        <v/>
      </c>
      <c r="BJ274" s="577">
        <f>BJ383/BJ362</f>
        <v/>
      </c>
      <c r="BK274" s="577">
        <f>BK383/BK362</f>
        <v/>
      </c>
      <c r="BL274" s="577">
        <f>BL383/BL362</f>
        <v/>
      </c>
      <c r="BM274" s="577">
        <f>BM383/BM362</f>
        <v/>
      </c>
      <c r="BN274" s="1143">
        <f>BN383/BN362</f>
        <v/>
      </c>
      <c r="BO274" s="577">
        <f>BO383/BO362</f>
        <v/>
      </c>
      <c r="BP274" s="577">
        <f>BP383/BP362</f>
        <v/>
      </c>
      <c r="BQ274" s="577">
        <f>BQ383/BQ362</f>
        <v/>
      </c>
      <c r="BR274" s="577">
        <f>BR383/BR362</f>
        <v/>
      </c>
      <c r="BS274" s="1143">
        <f>BS383/BS362</f>
        <v/>
      </c>
      <c r="BT274" s="577">
        <f>BT383/BT362</f>
        <v/>
      </c>
      <c r="BU274" s="577">
        <f>BU383/BU362</f>
        <v/>
      </c>
      <c r="BV274" s="890">
        <f>BV383/BV362</f>
        <v/>
      </c>
      <c r="BW274" s="577">
        <f>BW383/BW362</f>
        <v/>
      </c>
      <c r="BX274" s="1143">
        <f>BX383/BX362</f>
        <v/>
      </c>
      <c r="BY274" s="577">
        <f>BY383/BY362</f>
        <v/>
      </c>
      <c r="BZ274" s="577">
        <f>BZ383/BZ362</f>
        <v/>
      </c>
      <c r="CA274" s="577">
        <f>CA383/CA362</f>
        <v/>
      </c>
      <c r="CB274" s="577">
        <f>CB383/CB362</f>
        <v/>
      </c>
      <c r="CC274" s="1143">
        <f>CC383/CC362</f>
        <v/>
      </c>
      <c r="CD274" s="1143">
        <f>CD383/CD362</f>
        <v/>
      </c>
      <c r="CE274" s="1143">
        <f>CE383/CE362</f>
        <v/>
      </c>
      <c r="CF274" s="1143">
        <f>CF383/CF362</f>
        <v/>
      </c>
      <c r="CG274" s="155" t="n"/>
    </row>
    <row r="275" hidden="1" outlineLevel="1">
      <c r="A275" s="666" t="inlineStr">
        <is>
          <t>GAAP Operating Income Margin, %</t>
        </is>
      </c>
      <c r="B275" s="88" t="n"/>
      <c r="C275" s="1146">
        <f>C270-C272-C273-C274</f>
        <v/>
      </c>
      <c r="D275" s="1146">
        <f>D270-D272-D273-D274</f>
        <v/>
      </c>
      <c r="E275" s="1146">
        <f>E270-E272-E273-E274</f>
        <v/>
      </c>
      <c r="F275" s="1146">
        <f>F270-F272-F273-F274</f>
        <v/>
      </c>
      <c r="G275" s="667">
        <f>G270-G272-G273-G274</f>
        <v/>
      </c>
      <c r="H275" s="667">
        <f>H270-H272-H273-H274</f>
        <v/>
      </c>
      <c r="I275" s="667">
        <f>I270-I272-I273-I274</f>
        <v/>
      </c>
      <c r="J275" s="667">
        <f>J270-J272-J273-J274</f>
        <v/>
      </c>
      <c r="K275" s="1146">
        <f>K270-K272-K273-K274</f>
        <v/>
      </c>
      <c r="L275" s="667">
        <f>L270-L272-L273-L274</f>
        <v/>
      </c>
      <c r="M275" s="667">
        <f>M270-M272-M273-M274</f>
        <v/>
      </c>
      <c r="N275" s="667">
        <f>N270-N272-N273-N274</f>
        <v/>
      </c>
      <c r="O275" s="667">
        <f>O270-O272-O273-O274</f>
        <v/>
      </c>
      <c r="P275" s="1146">
        <f>P270-P272-P273-P274</f>
        <v/>
      </c>
      <c r="Q275" s="667">
        <f>Q270-Q272-Q273-Q274</f>
        <v/>
      </c>
      <c r="R275" s="667">
        <f>R270-R272-R273-R274</f>
        <v/>
      </c>
      <c r="S275" s="667">
        <f>S270-S272-S273-S274</f>
        <v/>
      </c>
      <c r="T275" s="667">
        <f>T270-T272-T273-T274</f>
        <v/>
      </c>
      <c r="U275" s="1146">
        <f>U270-U272-U273-U274</f>
        <v/>
      </c>
      <c r="V275" s="667">
        <f>V270-V272-V273-V274</f>
        <v/>
      </c>
      <c r="W275" s="667">
        <f>W270-W272-W273-W274</f>
        <v/>
      </c>
      <c r="X275" s="667">
        <f>X270-X272-X273-X274</f>
        <v/>
      </c>
      <c r="Y275" s="667">
        <f>Y270-Y272-Y273-Y274</f>
        <v/>
      </c>
      <c r="Z275" s="1133">
        <f>Z270-Z272-Z273-Z274</f>
        <v/>
      </c>
      <c r="AA275" s="667">
        <f>AA270-AA272-AA273-AA274</f>
        <v/>
      </c>
      <c r="AB275" s="667">
        <f>AB270-AB272-AB273-AB274</f>
        <v/>
      </c>
      <c r="AC275" s="667">
        <f>AC270-AC272-AC273-AC274</f>
        <v/>
      </c>
      <c r="AD275" s="667">
        <f>AD270-AD272-AD273-AD274</f>
        <v/>
      </c>
      <c r="AE275" s="1133">
        <f>AE270-AE272-AE273-AE274</f>
        <v/>
      </c>
      <c r="AF275" s="667">
        <f>AF270-AF272-AF273-AF274</f>
        <v/>
      </c>
      <c r="AG275" s="667">
        <f>AG270-AG272-AG273-AG274</f>
        <v/>
      </c>
      <c r="AH275" s="667">
        <f>AH270-AH272-AH273-AH274</f>
        <v/>
      </c>
      <c r="AI275" s="667">
        <f>AI270-AI272-AI273-AI274</f>
        <v/>
      </c>
      <c r="AJ275" s="1133">
        <f>AJ270-AJ272-AJ273-AJ274</f>
        <v/>
      </c>
      <c r="AK275" s="667">
        <f>AK270-AK272-AK273-AK274</f>
        <v/>
      </c>
      <c r="AL275" s="667">
        <f>AL270-AL272-AL273-AL274</f>
        <v/>
      </c>
      <c r="AM275" s="667">
        <f>AM270-AM272-AM273-AM274</f>
        <v/>
      </c>
      <c r="AN275" s="667">
        <f>AN270-AN272-AN273-AN274</f>
        <v/>
      </c>
      <c r="AO275" s="1133">
        <f>AO270-AO272-AO273-AO274</f>
        <v/>
      </c>
      <c r="AP275" s="667">
        <f>AP270-AP272-AP273-AP274</f>
        <v/>
      </c>
      <c r="AQ275" s="667">
        <f>AQ270-AQ272-AQ273-AQ274</f>
        <v/>
      </c>
      <c r="AR275" s="667">
        <f>AR270-AR272-AR273-AR274</f>
        <v/>
      </c>
      <c r="AS275" s="667">
        <f>AS270-AS272-AS273-AS274</f>
        <v/>
      </c>
      <c r="AT275" s="1133">
        <f>AT270-AT272-AT273-AT274</f>
        <v/>
      </c>
      <c r="AU275" s="667">
        <f>AU270-AU272-AU273-AU274</f>
        <v/>
      </c>
      <c r="AV275" s="667">
        <f>AV270-AV272-AV273-AV274</f>
        <v/>
      </c>
      <c r="AW275" s="667">
        <f>AW270-AW272-AW273-AW274</f>
        <v/>
      </c>
      <c r="AX275" s="667">
        <f>AX270-AX272-AX273-AX274</f>
        <v/>
      </c>
      <c r="AY275" s="1133">
        <f>AY270-AY272-AY273-AY274</f>
        <v/>
      </c>
      <c r="AZ275" s="667">
        <f>AZ270-AZ272-AZ273-AZ274</f>
        <v/>
      </c>
      <c r="BA275" s="667">
        <f>BA270-BA272-BA273-BA274</f>
        <v/>
      </c>
      <c r="BB275" s="667">
        <f>BB270-BB272-BB273-BB274</f>
        <v/>
      </c>
      <c r="BC275" s="667">
        <f>BC270-BC272-BC273-BC274</f>
        <v/>
      </c>
      <c r="BD275" s="1133">
        <f>BD270-BD272-BD273-BD274</f>
        <v/>
      </c>
      <c r="BE275" s="667">
        <f>BE270-BE272-BE273-BE274</f>
        <v/>
      </c>
      <c r="BF275" s="667">
        <f>BF270-BF272-BF273-BF274</f>
        <v/>
      </c>
      <c r="BG275" s="667">
        <f>BG270-BG272-BG273-BG274</f>
        <v/>
      </c>
      <c r="BH275" s="667">
        <f>BH270-BH272-BH273-BH274</f>
        <v/>
      </c>
      <c r="BI275" s="1133">
        <f>BI270-BI272-BI273-BI274</f>
        <v/>
      </c>
      <c r="BJ275" s="667">
        <f>BJ270-BJ272-BJ273-BJ274</f>
        <v/>
      </c>
      <c r="BK275" s="667">
        <f>BK270-BK272-BK273-BK274</f>
        <v/>
      </c>
      <c r="BL275" s="667">
        <f>BL270-BL272-BL273-BL274</f>
        <v/>
      </c>
      <c r="BM275" s="667">
        <f>BM270-BM272-BM273-BM274</f>
        <v/>
      </c>
      <c r="BN275" s="1133">
        <f>BN270-BN272-BN273-BN274</f>
        <v/>
      </c>
      <c r="BO275" s="667">
        <f>BO270-BO272-BO273-BO274</f>
        <v/>
      </c>
      <c r="BP275" s="667">
        <f>BP270-BP272-BP273-BP274</f>
        <v/>
      </c>
      <c r="BQ275" s="667">
        <f>BQ270-BQ272-BQ273-BQ274</f>
        <v/>
      </c>
      <c r="BR275" s="667">
        <f>BR270-BR272-BR273-BR274</f>
        <v/>
      </c>
      <c r="BS275" s="1133">
        <f>BS270-BS272-BS273-BS274</f>
        <v/>
      </c>
      <c r="BT275" s="667">
        <f>BT270-BT272-BT273-BT274</f>
        <v/>
      </c>
      <c r="BU275" s="667">
        <f>BU270-BU272-BU273-BU274</f>
        <v/>
      </c>
      <c r="BV275" s="892">
        <f>BV270-BV272-BV273-BV274</f>
        <v/>
      </c>
      <c r="BW275" s="667">
        <f>BW270-BW272-BW273-BW274</f>
        <v/>
      </c>
      <c r="BX275" s="1133">
        <f>BX270-BX272-BX273-BX274</f>
        <v/>
      </c>
      <c r="BY275" s="667">
        <f>BY270-BY272-BY273-BY274</f>
        <v/>
      </c>
      <c r="BZ275" s="667">
        <f>BZ270-BZ272-BZ273-BZ274</f>
        <v/>
      </c>
      <c r="CA275" s="667">
        <f>CA270-CA272-CA273-CA274</f>
        <v/>
      </c>
      <c r="CB275" s="667">
        <f>CB270-CB272-CB273-CB274</f>
        <v/>
      </c>
      <c r="CC275" s="1133">
        <f>CC270-CC272-CC273-CC274</f>
        <v/>
      </c>
      <c r="CD275" s="1133">
        <f>CD270-CD272-CD273-CD274</f>
        <v/>
      </c>
      <c r="CE275" s="1133">
        <f>CE270-CE272-CE273-CE274</f>
        <v/>
      </c>
      <c r="CF275" s="1133">
        <f>CF270-CF272-CF273-CF274</f>
        <v/>
      </c>
      <c r="CG275" s="155" t="n"/>
    </row>
    <row r="276" hidden="1" outlineLevel="1">
      <c r="A276" s="581" t="n"/>
      <c r="B276" s="85" t="n"/>
      <c r="C276" s="1144" t="n"/>
      <c r="D276" s="1144" t="n"/>
      <c r="E276" s="1144" t="n"/>
      <c r="F276" s="1144" t="n"/>
      <c r="G276" s="580" t="n"/>
      <c r="H276" s="580" t="n"/>
      <c r="I276" s="580" t="n"/>
      <c r="J276" s="580" t="n"/>
      <c r="K276" s="1144" t="n"/>
      <c r="L276" s="580" t="n"/>
      <c r="M276" s="580" t="n"/>
      <c r="N276" s="580" t="n"/>
      <c r="O276" s="580" t="n"/>
      <c r="P276" s="1144" t="n"/>
      <c r="Q276" s="580" t="n"/>
      <c r="R276" s="580" t="n"/>
      <c r="S276" s="580" t="n"/>
      <c r="T276" s="580" t="n"/>
      <c r="U276" s="1144" t="n"/>
      <c r="V276" s="580" t="n"/>
      <c r="W276" s="580" t="n"/>
      <c r="X276" s="580" t="n"/>
      <c r="Y276" s="580" t="n"/>
      <c r="Z276" s="1145" t="n"/>
      <c r="AA276" s="580" t="n"/>
      <c r="AB276" s="580" t="n"/>
      <c r="AC276" s="580" t="n"/>
      <c r="AD276" s="580" t="n"/>
      <c r="AE276" s="1145" t="n"/>
      <c r="AF276" s="580" t="n"/>
      <c r="AG276" s="580" t="n"/>
      <c r="AH276" s="580" t="n"/>
      <c r="AI276" s="580" t="n"/>
      <c r="AJ276" s="1145" t="n"/>
      <c r="AK276" s="580" t="n"/>
      <c r="AL276" s="580" t="n"/>
      <c r="AM276" s="580" t="n"/>
      <c r="AN276" s="580" t="n"/>
      <c r="AO276" s="1145" t="n"/>
      <c r="AP276" s="580" t="n"/>
      <c r="AQ276" s="580" t="n"/>
      <c r="AR276" s="580" t="n"/>
      <c r="AS276" s="580" t="n"/>
      <c r="AT276" s="1145" t="n"/>
      <c r="AU276" s="580" t="n"/>
      <c r="AV276" s="580" t="n"/>
      <c r="AW276" s="580" t="n"/>
      <c r="AX276" s="580" t="n"/>
      <c r="AY276" s="1145" t="n"/>
      <c r="AZ276" s="580" t="n"/>
      <c r="BA276" s="580" t="n"/>
      <c r="BB276" s="580" t="n"/>
      <c r="BC276" s="580" t="n"/>
      <c r="BD276" s="1145" t="n"/>
      <c r="BE276" s="580" t="n"/>
      <c r="BF276" s="580" t="n"/>
      <c r="BG276" s="580" t="n"/>
      <c r="BH276" s="580" t="n"/>
      <c r="BI276" s="1145" t="n"/>
      <c r="BJ276" s="580" t="n"/>
      <c r="BK276" s="580" t="n"/>
      <c r="BL276" s="580" t="n"/>
      <c r="BM276" s="580" t="n"/>
      <c r="BN276" s="1145" t="n"/>
      <c r="BO276" s="580" t="n"/>
      <c r="BP276" s="580" t="n"/>
      <c r="BQ276" s="580" t="n"/>
      <c r="BR276" s="580" t="n"/>
      <c r="BS276" s="1145" t="n"/>
      <c r="BT276" s="580" t="n"/>
      <c r="BU276" s="580" t="n"/>
      <c r="BV276" s="891" t="n"/>
      <c r="BW276" s="580" t="n"/>
      <c r="BX276" s="1145" t="n"/>
      <c r="BY276" s="580" t="n"/>
      <c r="BZ276" s="580" t="n"/>
      <c r="CA276" s="580" t="n"/>
      <c r="CB276" s="580" t="n"/>
      <c r="CC276" s="1145" t="n"/>
      <c r="CD276" s="1145" t="n"/>
      <c r="CE276" s="1145" t="n"/>
      <c r="CF276" s="1145" t="n"/>
      <c r="CG276" s="155" t="n"/>
    </row>
    <row r="277" hidden="1" outlineLevel="1">
      <c r="A277" s="575" t="inlineStr">
        <is>
          <t>Non-GAAP COGS Margin, %</t>
        </is>
      </c>
      <c r="B277" s="576" t="n"/>
      <c r="C277" s="1142">
        <f>(C362-C370)/C362</f>
        <v/>
      </c>
      <c r="D277" s="1142">
        <f>(D362-D370)/D362</f>
        <v/>
      </c>
      <c r="E277" s="1142">
        <f>(E362-E370)/E362</f>
        <v/>
      </c>
      <c r="F277" s="1142">
        <f>(F362-F370)/F362</f>
        <v/>
      </c>
      <c r="G277" s="577">
        <f>(G362-G370)/G362</f>
        <v/>
      </c>
      <c r="H277" s="577">
        <f>(H362-H370)/H362</f>
        <v/>
      </c>
      <c r="I277" s="577">
        <f>(I362-I370)/I362</f>
        <v/>
      </c>
      <c r="J277" s="577">
        <f>(J362-J370)/J362</f>
        <v/>
      </c>
      <c r="K277" s="1142">
        <f>(K362-K370)/K362</f>
        <v/>
      </c>
      <c r="L277" s="577">
        <f>(L362-L370)/L362</f>
        <v/>
      </c>
      <c r="M277" s="577">
        <f>(M362-M370)/M362</f>
        <v/>
      </c>
      <c r="N277" s="577">
        <f>(N362-N370)/N362</f>
        <v/>
      </c>
      <c r="O277" s="577">
        <f>(O362-O370)/O362</f>
        <v/>
      </c>
      <c r="P277" s="1142">
        <f>(P362-P370)/P362</f>
        <v/>
      </c>
      <c r="Q277" s="577">
        <f>(Q362-Q370)/Q362</f>
        <v/>
      </c>
      <c r="R277" s="577">
        <f>(R362-R370)/R362</f>
        <v/>
      </c>
      <c r="S277" s="577">
        <f>(S362-S370)/S362</f>
        <v/>
      </c>
      <c r="T277" s="577">
        <f>(T362-T370)/T362</f>
        <v/>
      </c>
      <c r="U277" s="1142">
        <f>(U362-U370)/U362</f>
        <v/>
      </c>
      <c r="V277" s="577">
        <f>(V362-V370)/V362</f>
        <v/>
      </c>
      <c r="W277" s="577">
        <f>(W362-W370)/W362</f>
        <v/>
      </c>
      <c r="X277" s="577">
        <f>(X362-X370)/X362</f>
        <v/>
      </c>
      <c r="Y277" s="577">
        <f>(Y362-Y370)/Y362</f>
        <v/>
      </c>
      <c r="Z277" s="1143">
        <f>(Z362-Z370)/Z362</f>
        <v/>
      </c>
      <c r="AA277" s="577">
        <f>(AA362-AA370)/AA362</f>
        <v/>
      </c>
      <c r="AB277" s="577">
        <f>(AB362-AB370)/AB362</f>
        <v/>
      </c>
      <c r="AC277" s="577">
        <f>(AC362-AC370)/AC362</f>
        <v/>
      </c>
      <c r="AD277" s="577">
        <f>(AD362-AD370)/AD362</f>
        <v/>
      </c>
      <c r="AE277" s="1143">
        <f>(AE362-AE370)/AE362</f>
        <v/>
      </c>
      <c r="AF277" s="577">
        <f>(AF362-AF370)/AF362</f>
        <v/>
      </c>
      <c r="AG277" s="577">
        <f>(AG362-AG370)/AG362</f>
        <v/>
      </c>
      <c r="AH277" s="577">
        <f>(AH362-AH370)/AH362</f>
        <v/>
      </c>
      <c r="AI277" s="577">
        <f>(AI362-AI370)/AI362</f>
        <v/>
      </c>
      <c r="AJ277" s="1143">
        <f>(AJ362-AJ370)/AJ362</f>
        <v/>
      </c>
      <c r="AK277" s="577">
        <f>(AK362-AK370)/AK362</f>
        <v/>
      </c>
      <c r="AL277" s="577">
        <f>(AL362-AL370)/AL362</f>
        <v/>
      </c>
      <c r="AM277" s="577">
        <f>(AM362-AM370)/AM362</f>
        <v/>
      </c>
      <c r="AN277" s="577">
        <f>(AN362-AN370)/AN362</f>
        <v/>
      </c>
      <c r="AO277" s="1143">
        <f>(AO362-AO370)/AO362</f>
        <v/>
      </c>
      <c r="AP277" s="577">
        <f>(AP362-AP370)/AP362</f>
        <v/>
      </c>
      <c r="AQ277" s="577">
        <f>(AQ362-AQ370)/AQ362</f>
        <v/>
      </c>
      <c r="AR277" s="577">
        <f>(AR362-AR370)/AR362</f>
        <v/>
      </c>
      <c r="AS277" s="577">
        <f>(AS362-AS370)/AS362</f>
        <v/>
      </c>
      <c r="AT277" s="1143">
        <f>(AT362-AT370)/AT362</f>
        <v/>
      </c>
      <c r="AU277" s="577">
        <f>(AU362-AU370)/AU362</f>
        <v/>
      </c>
      <c r="AV277" s="577">
        <f>(AV362-AV370)/AV362</f>
        <v/>
      </c>
      <c r="AW277" s="577">
        <f>(AW362-AW370)/AW362</f>
        <v/>
      </c>
      <c r="AX277" s="577">
        <f>(AX362-AX370)/AX362</f>
        <v/>
      </c>
      <c r="AY277" s="1143">
        <f>(AY362-AY370)/AY362</f>
        <v/>
      </c>
      <c r="AZ277" s="577">
        <f>(AZ362-AZ370)/AZ362</f>
        <v/>
      </c>
      <c r="BA277" s="577">
        <f>(BA362-BA370)/BA362</f>
        <v/>
      </c>
      <c r="BB277" s="577">
        <f>(BB362-BB370)/BB362</f>
        <v/>
      </c>
      <c r="BC277" s="577">
        <f>(BC362-BC370)/BC362</f>
        <v/>
      </c>
      <c r="BD277" s="1143">
        <f>(BD362-BD370)/BD362</f>
        <v/>
      </c>
      <c r="BE277" s="577">
        <f>(BE362-BE370)/BE362</f>
        <v/>
      </c>
      <c r="BF277" s="577">
        <f>(BF362-BF370)/BF362</f>
        <v/>
      </c>
      <c r="BG277" s="577">
        <f>(BG362-BG370)/BG362</f>
        <v/>
      </c>
      <c r="BH277" s="577">
        <f>(BH362-BH370)/BH362</f>
        <v/>
      </c>
      <c r="BI277" s="1143">
        <f>(BI362-BI370)/BI362</f>
        <v/>
      </c>
      <c r="BJ277" s="577">
        <f>(BJ362-BJ370)/BJ362</f>
        <v/>
      </c>
      <c r="BK277" s="577">
        <f>(BK362-BK370)/BK362</f>
        <v/>
      </c>
      <c r="BL277" s="577">
        <f>(BL362-BL370)/BL362</f>
        <v/>
      </c>
      <c r="BM277" s="577">
        <f>(BM362-BM370)/BM362</f>
        <v/>
      </c>
      <c r="BN277" s="1143">
        <f>(BN362-BN370)/BN362</f>
        <v/>
      </c>
      <c r="BO277" s="577">
        <f>(BO362-BO370)/BO362</f>
        <v/>
      </c>
      <c r="BP277" s="577">
        <f>(BP362-BP370)/BP362</f>
        <v/>
      </c>
      <c r="BQ277" s="577">
        <f>(BQ362-BQ370)/BQ362</f>
        <v/>
      </c>
      <c r="BR277" s="577">
        <f>(BR362-BR370)/BR362</f>
        <v/>
      </c>
      <c r="BS277" s="1143">
        <f>(BS362-BS370)/BS362</f>
        <v/>
      </c>
      <c r="BT277" s="577">
        <f>(BT362-BT370)/BT362</f>
        <v/>
      </c>
      <c r="BU277" s="577">
        <f>(BU362-BU370)/BU362</f>
        <v/>
      </c>
      <c r="BV277" s="890">
        <f>(BV362-BV370)/BV362</f>
        <v/>
      </c>
      <c r="BW277" s="577">
        <f>(BW362-BW370)/BW362</f>
        <v/>
      </c>
      <c r="BX277" s="1143">
        <f>(BX362-BX370)/BX362</f>
        <v/>
      </c>
      <c r="BY277" s="577">
        <f>(BY362-BY370)/BY362</f>
        <v/>
      </c>
      <c r="BZ277" s="577">
        <f>(BZ362-BZ370)/BZ362</f>
        <v/>
      </c>
      <c r="CA277" s="577">
        <f>(CA362-CA370)/CA362</f>
        <v/>
      </c>
      <c r="CB277" s="577">
        <f>(CB362-CB370)/CB362</f>
        <v/>
      </c>
      <c r="CC277" s="1143">
        <f>(CC362-CC370)/CC362</f>
        <v/>
      </c>
      <c r="CD277" s="1143">
        <f>(CD362-CD370)/CD362</f>
        <v/>
      </c>
      <c r="CE277" s="1143">
        <f>(CE362-CE370)/CE362</f>
        <v/>
      </c>
      <c r="CF277" s="1143">
        <f>(CF362-CF370)/CF362</f>
        <v/>
      </c>
      <c r="CG277" s="155" t="n"/>
    </row>
    <row r="278" hidden="1" outlineLevel="1">
      <c r="A278" s="579" t="inlineStr">
        <is>
          <t>Non-GAAP Gross Margin, %</t>
        </is>
      </c>
      <c r="B278" s="85" t="n"/>
      <c r="C278" s="1144">
        <f>1-C277</f>
        <v/>
      </c>
      <c r="D278" s="1144">
        <f>1-D277</f>
        <v/>
      </c>
      <c r="E278" s="1144">
        <f>1-E277</f>
        <v/>
      </c>
      <c r="F278" s="1144">
        <f>1-F277</f>
        <v/>
      </c>
      <c r="G278" s="580">
        <f>1-G277</f>
        <v/>
      </c>
      <c r="H278" s="580">
        <f>1-H277</f>
        <v/>
      </c>
      <c r="I278" s="580">
        <f>1-I277</f>
        <v/>
      </c>
      <c r="J278" s="580">
        <f>1-J277</f>
        <v/>
      </c>
      <c r="K278" s="1144">
        <f>1-K277</f>
        <v/>
      </c>
      <c r="L278" s="580">
        <f>1-L277</f>
        <v/>
      </c>
      <c r="M278" s="580">
        <f>1-M277</f>
        <v/>
      </c>
      <c r="N278" s="580">
        <f>1-N277</f>
        <v/>
      </c>
      <c r="O278" s="580">
        <f>1-O277</f>
        <v/>
      </c>
      <c r="P278" s="1144">
        <f>1-P277</f>
        <v/>
      </c>
      <c r="Q278" s="580">
        <f>1-Q277</f>
        <v/>
      </c>
      <c r="R278" s="580">
        <f>1-R277</f>
        <v/>
      </c>
      <c r="S278" s="580">
        <f>1-S277</f>
        <v/>
      </c>
      <c r="T278" s="580">
        <f>1-T277</f>
        <v/>
      </c>
      <c r="U278" s="1144">
        <f>1-U277</f>
        <v/>
      </c>
      <c r="V278" s="580">
        <f>1-V277</f>
        <v/>
      </c>
      <c r="W278" s="580">
        <f>1-W277</f>
        <v/>
      </c>
      <c r="X278" s="580">
        <f>1-X277</f>
        <v/>
      </c>
      <c r="Y278" s="580">
        <f>1-Y277</f>
        <v/>
      </c>
      <c r="Z278" s="1145">
        <f>1-Z277</f>
        <v/>
      </c>
      <c r="AA278" s="580">
        <f>1-AA277</f>
        <v/>
      </c>
      <c r="AB278" s="580">
        <f>1-AB277</f>
        <v/>
      </c>
      <c r="AC278" s="580">
        <f>1-AC277</f>
        <v/>
      </c>
      <c r="AD278" s="580">
        <f>1-AD277</f>
        <v/>
      </c>
      <c r="AE278" s="1145">
        <f>1-AE277</f>
        <v/>
      </c>
      <c r="AF278" s="580">
        <f>1-AF277</f>
        <v/>
      </c>
      <c r="AG278" s="580">
        <f>1-AG277</f>
        <v/>
      </c>
      <c r="AH278" s="580">
        <f>1-AH277</f>
        <v/>
      </c>
      <c r="AI278" s="580">
        <f>1-AI277</f>
        <v/>
      </c>
      <c r="AJ278" s="1145">
        <f>1-AJ277</f>
        <v/>
      </c>
      <c r="AK278" s="580">
        <f>1-AK277</f>
        <v/>
      </c>
      <c r="AL278" s="580">
        <f>1-AL277</f>
        <v/>
      </c>
      <c r="AM278" s="580">
        <f>1-AM277</f>
        <v/>
      </c>
      <c r="AN278" s="580">
        <f>1-AN277</f>
        <v/>
      </c>
      <c r="AO278" s="1145">
        <f>1-AO277</f>
        <v/>
      </c>
      <c r="AP278" s="580">
        <f>1-AP277</f>
        <v/>
      </c>
      <c r="AQ278" s="580">
        <f>1-AQ277</f>
        <v/>
      </c>
      <c r="AR278" s="580">
        <f>1-AR277</f>
        <v/>
      </c>
      <c r="AS278" s="580">
        <f>1-AS277</f>
        <v/>
      </c>
      <c r="AT278" s="1145">
        <f>1-AT277</f>
        <v/>
      </c>
      <c r="AU278" s="580">
        <f>1-AU277</f>
        <v/>
      </c>
      <c r="AV278" s="580">
        <f>1-AV277</f>
        <v/>
      </c>
      <c r="AW278" s="580">
        <f>1-AW277</f>
        <v/>
      </c>
      <c r="AX278" s="580">
        <f>1-AX277</f>
        <v/>
      </c>
      <c r="AY278" s="1145">
        <f>1-AY277</f>
        <v/>
      </c>
      <c r="AZ278" s="580">
        <f>1-AZ277</f>
        <v/>
      </c>
      <c r="BA278" s="580">
        <f>1-BA277</f>
        <v/>
      </c>
      <c r="BB278" s="580">
        <f>1-BB277</f>
        <v/>
      </c>
      <c r="BC278" s="580">
        <f>1-BC277</f>
        <v/>
      </c>
      <c r="BD278" s="1145">
        <f>1-BD277</f>
        <v/>
      </c>
      <c r="BE278" s="580">
        <f>1-BE277</f>
        <v/>
      </c>
      <c r="BF278" s="580">
        <f>1-BF277</f>
        <v/>
      </c>
      <c r="BG278" s="580">
        <f>1-BG277</f>
        <v/>
      </c>
      <c r="BH278" s="580">
        <f>1-BH277</f>
        <v/>
      </c>
      <c r="BI278" s="1145">
        <f>1-BI277</f>
        <v/>
      </c>
      <c r="BJ278" s="580">
        <f>1-BJ277</f>
        <v/>
      </c>
      <c r="BK278" s="580">
        <f>1-BK277</f>
        <v/>
      </c>
      <c r="BL278" s="580">
        <f>1-BL277</f>
        <v/>
      </c>
      <c r="BM278" s="580">
        <f>1-BM277</f>
        <v/>
      </c>
      <c r="BN278" s="1145">
        <f>1-BN277</f>
        <v/>
      </c>
      <c r="BO278" s="580">
        <f>1-BO277</f>
        <v/>
      </c>
      <c r="BP278" s="580">
        <f>1-BP277</f>
        <v/>
      </c>
      <c r="BQ278" s="580">
        <f>1-BQ277</f>
        <v/>
      </c>
      <c r="BR278" s="580">
        <f>1-BR277</f>
        <v/>
      </c>
      <c r="BS278" s="1145">
        <f>1-BS277</f>
        <v/>
      </c>
      <c r="BT278" s="580">
        <f>1-BT277</f>
        <v/>
      </c>
      <c r="BU278" s="580">
        <f>1-BU277</f>
        <v/>
      </c>
      <c r="BV278" s="891">
        <f>1-BV277</f>
        <v/>
      </c>
      <c r="BW278" s="580">
        <f>1-BW277</f>
        <v/>
      </c>
      <c r="BX278" s="1145">
        <f>1-BX277</f>
        <v/>
      </c>
      <c r="BY278" s="580">
        <f>1-BY277</f>
        <v/>
      </c>
      <c r="BZ278" s="580">
        <f>1-BZ277</f>
        <v/>
      </c>
      <c r="CA278" s="580">
        <f>1-CA277</f>
        <v/>
      </c>
      <c r="CB278" s="580">
        <f>1-CB277</f>
        <v/>
      </c>
      <c r="CC278" s="1145">
        <f>1-CC277</f>
        <v/>
      </c>
      <c r="CD278" s="1145">
        <f>1-CD277</f>
        <v/>
      </c>
      <c r="CE278" s="1145">
        <f>1-CE277</f>
        <v/>
      </c>
      <c r="CF278" s="1145">
        <f>1-CF277</f>
        <v/>
      </c>
      <c r="CG278" s="155" t="n"/>
    </row>
    <row r="279" hidden="1" outlineLevel="1">
      <c r="A279" s="371" t="inlineStr">
        <is>
          <t>Consensus Estimates - Gross Margin, %</t>
        </is>
      </c>
      <c r="B279" s="582" t="n"/>
      <c r="C279" s="1147" t="n"/>
      <c r="D279" s="1147" t="n"/>
      <c r="E279" s="1147" t="n"/>
      <c r="F279" s="1147" t="n"/>
      <c r="G279" s="583" t="n"/>
      <c r="H279" s="583" t="n"/>
      <c r="I279" s="583" t="n"/>
      <c r="J279" s="583" t="n"/>
      <c r="K279" s="1147" t="n"/>
      <c r="L279" s="583" t="n"/>
      <c r="M279" s="583" t="n"/>
      <c r="N279" s="583" t="n"/>
      <c r="O279" s="583" t="n"/>
      <c r="P279" s="1147" t="n"/>
      <c r="Q279" s="583" t="n"/>
      <c r="R279" s="583" t="n"/>
      <c r="S279" s="583" t="n"/>
      <c r="T279" s="583" t="n"/>
      <c r="U279" s="1147" t="n"/>
      <c r="V279" s="583" t="n"/>
      <c r="W279" s="583" t="n"/>
      <c r="X279" s="583" t="n"/>
      <c r="Y279" s="583" t="n"/>
      <c r="Z279" s="1113" t="n"/>
      <c r="AA279" s="583" t="n"/>
      <c r="AB279" s="583" t="n"/>
      <c r="AC279" s="583" t="n"/>
      <c r="AD279" s="583" t="n"/>
      <c r="AE279" s="1113" t="n"/>
      <c r="AF279" s="583" t="n"/>
      <c r="AG279" s="583" t="n"/>
      <c r="AH279" s="583" t="n"/>
      <c r="AI279" s="583" t="n"/>
      <c r="AJ279" s="1113" t="n"/>
      <c r="AK279" s="583" t="n"/>
      <c r="AL279" s="583" t="n"/>
      <c r="AM279" s="583" t="n"/>
      <c r="AN279" s="583" t="n"/>
      <c r="AO279" s="1113" t="n"/>
      <c r="AP279" s="583" t="n"/>
      <c r="AQ279" s="583" t="n"/>
      <c r="AR279" s="583" t="n"/>
      <c r="AS279" s="583" t="n"/>
      <c r="AT279" s="1113" t="n"/>
      <c r="AU279" s="583" t="n"/>
      <c r="AV279" s="583" t="n"/>
      <c r="AW279" s="583" t="n"/>
      <c r="AX279" s="583" t="n"/>
      <c r="AY279" s="1113" t="n"/>
      <c r="AZ279" s="583" t="n"/>
      <c r="BA279" s="583" t="n"/>
      <c r="BB279" s="583" t="n"/>
      <c r="BC279" s="583" t="n"/>
      <c r="BD279" s="1113" t="n"/>
      <c r="BE279" s="583" t="n"/>
      <c r="BF279" s="583" t="n"/>
      <c r="BG279" s="583" t="n"/>
      <c r="BH279" s="583" t="n"/>
      <c r="BI279" s="1113" t="n"/>
      <c r="BJ279" s="583" t="n"/>
      <c r="BK279" s="583" t="n"/>
      <c r="BL279" s="583" t="n"/>
      <c r="BM279" s="583" t="n"/>
      <c r="BN279" s="1113" t="n"/>
      <c r="BO279" s="583" t="n"/>
      <c r="BP279" s="583" t="n"/>
      <c r="BQ279" s="583" t="n"/>
      <c r="BR279" s="583" t="n"/>
      <c r="BS279" s="1113" t="n"/>
      <c r="BT279" s="583" t="n"/>
      <c r="BU279" s="583" t="n"/>
      <c r="BV279" s="893" t="n"/>
      <c r="BW279" s="643">
        <f>IFERROR(VLOOKUP($A279,tb_ConsensusEstimate,MATCH(BW$5,OFFSET(tb_ConsensusEstimate,0,0,1,COLUMNS(tb_ConsensusEstimate)),0),FALSE),"-")</f>
        <v/>
      </c>
      <c r="BX279" s="1114">
        <f>IFERROR(VLOOKUP($A279,tb_ConsensusEstimate,MATCH(BX$5,OFFSET(tb_ConsensusEstimate,0,0,1,COLUMNS(tb_ConsensusEstimate)),0),FALSE),"-")</f>
        <v/>
      </c>
      <c r="BY279" s="643">
        <f>IFERROR(VLOOKUP($A279,tb_ConsensusEstimate,MATCH(BY$5,OFFSET(tb_ConsensusEstimate,0,0,1,COLUMNS(tb_ConsensusEstimate)),0),FALSE),"-")</f>
        <v/>
      </c>
      <c r="BZ279" s="643">
        <f>IFERROR(VLOOKUP($A279,tb_ConsensusEstimate,MATCH(BZ$5,OFFSET(tb_ConsensusEstimate,0,0,1,COLUMNS(tb_ConsensusEstimate)),0),FALSE),"-")</f>
        <v/>
      </c>
      <c r="CA279" s="643">
        <f>IFERROR(VLOOKUP($A279,tb_ConsensusEstimate,MATCH(CA$5,OFFSET(tb_ConsensusEstimate,0,0,1,COLUMNS(tb_ConsensusEstimate)),0),FALSE),"-")</f>
        <v/>
      </c>
      <c r="CB279" s="643">
        <f>IFERROR(VLOOKUP($A279,tb_ConsensusEstimate,MATCH(CB$5,OFFSET(tb_ConsensusEstimate,0,0,1,COLUMNS(tb_ConsensusEstimate)),0),FALSE),"-")</f>
        <v/>
      </c>
      <c r="CC279" s="1114">
        <f>IFERROR(VLOOKUP($A279,tb_ConsensusEstimate,MATCH(CC$5,OFFSET(tb_ConsensusEstimate,0,0,1,COLUMNS(tb_ConsensusEstimate)),0),FALSE),"-")</f>
        <v/>
      </c>
      <c r="CD279" s="1114">
        <f>IFERROR(VLOOKUP($A279,tb_ConsensusEstimate,MATCH(CD$5,OFFSET(tb_ConsensusEstimate,0,0,1,COLUMNS(tb_ConsensusEstimate)),0),FALSE),"-")</f>
        <v/>
      </c>
      <c r="CE279" s="1114">
        <f>IFERROR(VLOOKUP($A279,tb_ConsensusEstimate,MATCH(CE$5,OFFSET(tb_ConsensusEstimate,0,0,1,COLUMNS(tb_ConsensusEstimate)),0),FALSE),"-")</f>
        <v/>
      </c>
      <c r="CF279" s="1114">
        <f>IFERROR(VLOOKUP($A279,tb_ConsensusEstimate,MATCH(CF$5,OFFSET(tb_ConsensusEstimate,0,0,1,COLUMNS(tb_ConsensusEstimate)),0),FALSE),"-")</f>
        <v/>
      </c>
      <c r="CG279" s="155" t="n"/>
    </row>
    <row r="280" hidden="1" outlineLevel="1">
      <c r="A280" s="371">
        <f>CONCATENATE("Guidance - ",IFERROR(LEFT(A278,FIND("(",A278)-1),A278))</f>
        <v/>
      </c>
      <c r="B280" s="582" t="n"/>
      <c r="C280" s="1147" t="n"/>
      <c r="D280" s="1147" t="n"/>
      <c r="E280" s="1147" t="n"/>
      <c r="F280" s="1147" t="n"/>
      <c r="G280" s="583" t="n"/>
      <c r="H280" s="583" t="n"/>
      <c r="I280" s="583" t="n"/>
      <c r="J280" s="583" t="n"/>
      <c r="K280" s="1147" t="n"/>
      <c r="L280" s="583" t="n"/>
      <c r="M280" s="583" t="n"/>
      <c r="N280" s="583" t="n"/>
      <c r="O280" s="583" t="n"/>
      <c r="P280" s="1147" t="n"/>
      <c r="Q280" s="583" t="n"/>
      <c r="R280" s="583" t="n"/>
      <c r="S280" s="583" t="n"/>
      <c r="T280" s="583" t="n"/>
      <c r="U280" s="1147" t="n"/>
      <c r="V280" s="583" t="n"/>
      <c r="W280" s="583" t="n"/>
      <c r="X280" s="583" t="n"/>
      <c r="Y280" s="583" t="n"/>
      <c r="Z280" s="1113" t="n"/>
      <c r="AA280" s="583" t="n"/>
      <c r="AB280" s="583" t="n"/>
      <c r="AC280" s="583" t="n"/>
      <c r="AD280" s="583" t="n"/>
      <c r="AE280" s="1113" t="n"/>
      <c r="AF280" s="583" t="n"/>
      <c r="AG280" s="583" t="n"/>
      <c r="AH280" s="583" t="n"/>
      <c r="AI280" s="583">
        <f>+AI642</f>
        <v/>
      </c>
      <c r="AJ280" s="1113">
        <f>+AJ642</f>
        <v/>
      </c>
      <c r="AK280" s="583">
        <f>+AK642</f>
        <v/>
      </c>
      <c r="AL280" s="583">
        <f>+AL642</f>
        <v/>
      </c>
      <c r="AM280" s="583">
        <f>+AM642</f>
        <v/>
      </c>
      <c r="AN280" s="583">
        <f>+AN642</f>
        <v/>
      </c>
      <c r="AO280" s="1113">
        <f>+AO642</f>
        <v/>
      </c>
      <c r="AP280" s="583">
        <f>+AP642</f>
        <v/>
      </c>
      <c r="AQ280" s="583">
        <f>+AQ642</f>
        <v/>
      </c>
      <c r="AR280" s="583">
        <f>+AR642</f>
        <v/>
      </c>
      <c r="AS280" s="583">
        <f>+AS642</f>
        <v/>
      </c>
      <c r="AT280" s="1113">
        <f>+AT642</f>
        <v/>
      </c>
      <c r="AU280" s="583">
        <f>+AU642</f>
        <v/>
      </c>
      <c r="AV280" s="583">
        <f>+AV642</f>
        <v/>
      </c>
      <c r="AW280" s="583">
        <f>+AW642</f>
        <v/>
      </c>
      <c r="AX280" s="583">
        <f>+AX642</f>
        <v/>
      </c>
      <c r="AY280" s="1113">
        <f>+AY642</f>
        <v/>
      </c>
      <c r="AZ280" s="583">
        <f>+AZ642</f>
        <v/>
      </c>
      <c r="BA280" s="583">
        <f>+BA642</f>
        <v/>
      </c>
      <c r="BB280" s="583">
        <f>+BB642</f>
        <v/>
      </c>
      <c r="BC280" s="583">
        <f>+BC642</f>
        <v/>
      </c>
      <c r="BD280" s="1113">
        <f>+BD642</f>
        <v/>
      </c>
      <c r="BE280" s="583">
        <f>+BE642</f>
        <v/>
      </c>
      <c r="BF280" s="583">
        <f>+BF642</f>
        <v/>
      </c>
      <c r="BG280" s="583">
        <f>+BG642</f>
        <v/>
      </c>
      <c r="BH280" s="583">
        <f>+BH642</f>
        <v/>
      </c>
      <c r="BI280" s="1113">
        <f>+BI642</f>
        <v/>
      </c>
      <c r="BJ280" s="583">
        <f>+BJ642</f>
        <v/>
      </c>
      <c r="BK280" s="583">
        <f>+BK642</f>
        <v/>
      </c>
      <c r="BL280" s="583">
        <f>+BL642</f>
        <v/>
      </c>
      <c r="BM280" s="583">
        <f>+BM642</f>
        <v/>
      </c>
      <c r="BN280" s="1113">
        <f>+BN642</f>
        <v/>
      </c>
      <c r="BO280" s="583">
        <f>+BO642</f>
        <v/>
      </c>
      <c r="BP280" s="583">
        <f>+BP642</f>
        <v/>
      </c>
      <c r="BQ280" s="583">
        <f>+BQ642</f>
        <v/>
      </c>
      <c r="BR280" s="583">
        <f>+BR642</f>
        <v/>
      </c>
      <c r="BS280" s="1113">
        <f>+BS642</f>
        <v/>
      </c>
      <c r="BT280" s="583">
        <f>+BT642</f>
        <v/>
      </c>
      <c r="BU280" s="583">
        <f>+BU642</f>
        <v/>
      </c>
      <c r="BV280" s="893">
        <f>+BV642</f>
        <v/>
      </c>
      <c r="BW280" s="583">
        <f>+BW642</f>
        <v/>
      </c>
      <c r="BX280" s="1113">
        <f>+BX642</f>
        <v/>
      </c>
      <c r="BY280" s="583">
        <f>+BY642</f>
        <v/>
      </c>
      <c r="BZ280" s="583">
        <f>+BZ642</f>
        <v/>
      </c>
      <c r="CA280" s="583">
        <f>+CA642</f>
        <v/>
      </c>
      <c r="CB280" s="583">
        <f>+CB642</f>
        <v/>
      </c>
      <c r="CC280" s="1113">
        <f>+CC642</f>
        <v/>
      </c>
      <c r="CD280" s="1113">
        <f>+CD642</f>
        <v/>
      </c>
      <c r="CE280" s="1113">
        <f>+CE642</f>
        <v/>
      </c>
      <c r="CF280" s="1113">
        <f>+CF642</f>
        <v/>
      </c>
      <c r="CG280" s="155" t="n"/>
    </row>
    <row r="281" hidden="1" outlineLevel="1" ht="7.5" customHeight="1">
      <c r="A281" s="579" t="n"/>
      <c r="B281" s="85" t="n"/>
      <c r="C281" s="1144" t="n"/>
      <c r="D281" s="1144" t="n"/>
      <c r="E281" s="1144" t="n"/>
      <c r="F281" s="1144" t="n"/>
      <c r="G281" s="580" t="n"/>
      <c r="H281" s="580" t="n"/>
      <c r="I281" s="580" t="n"/>
      <c r="J281" s="580" t="n"/>
      <c r="K281" s="1144" t="n"/>
      <c r="L281" s="580" t="n"/>
      <c r="M281" s="580" t="n"/>
      <c r="N281" s="580" t="n"/>
      <c r="O281" s="580" t="n"/>
      <c r="P281" s="1144" t="n"/>
      <c r="Q281" s="580" t="n"/>
      <c r="R281" s="580" t="n"/>
      <c r="S281" s="580" t="n"/>
      <c r="T281" s="580" t="n"/>
      <c r="U281" s="1144" t="n"/>
      <c r="V281" s="580" t="n"/>
      <c r="W281" s="580" t="n"/>
      <c r="X281" s="580" t="n"/>
      <c r="Y281" s="580" t="n"/>
      <c r="Z281" s="1145" t="n"/>
      <c r="AA281" s="580" t="n"/>
      <c r="AB281" s="580" t="n"/>
      <c r="AC281" s="580" t="n"/>
      <c r="AD281" s="580" t="n"/>
      <c r="AE281" s="1145" t="n"/>
      <c r="AF281" s="580" t="n"/>
      <c r="AG281" s="580" t="n"/>
      <c r="AH281" s="580" t="n"/>
      <c r="AI281" s="580" t="n"/>
      <c r="AJ281" s="1145" t="n"/>
      <c r="AK281" s="580" t="n"/>
      <c r="AL281" s="580" t="n"/>
      <c r="AM281" s="580" t="n"/>
      <c r="AN281" s="580" t="n"/>
      <c r="AO281" s="1145" t="n"/>
      <c r="AP281" s="580" t="n"/>
      <c r="AQ281" s="580" t="n"/>
      <c r="AR281" s="580" t="n"/>
      <c r="AS281" s="580" t="n"/>
      <c r="AT281" s="1145" t="n"/>
      <c r="AU281" s="580" t="n"/>
      <c r="AV281" s="580" t="n"/>
      <c r="AW281" s="580" t="n"/>
      <c r="AX281" s="580" t="n"/>
      <c r="AY281" s="1145" t="n"/>
      <c r="AZ281" s="580" t="n"/>
      <c r="BA281" s="580" t="n"/>
      <c r="BB281" s="580" t="n"/>
      <c r="BC281" s="580" t="n"/>
      <c r="BD281" s="1145" t="n"/>
      <c r="BE281" s="580" t="n"/>
      <c r="BF281" s="580" t="n"/>
      <c r="BG281" s="580" t="n"/>
      <c r="BH281" s="580" t="n"/>
      <c r="BI281" s="1145" t="n"/>
      <c r="BJ281" s="580" t="n"/>
      <c r="BK281" s="580" t="n"/>
      <c r="BL281" s="580" t="n"/>
      <c r="BM281" s="580" t="n"/>
      <c r="BN281" s="1145" t="n"/>
      <c r="BO281" s="580" t="n"/>
      <c r="BP281" s="580" t="n"/>
      <c r="BQ281" s="580" t="n"/>
      <c r="BR281" s="580" t="n"/>
      <c r="BS281" s="1145" t="n"/>
      <c r="BT281" s="580" t="n"/>
      <c r="BU281" s="580" t="n"/>
      <c r="BV281" s="891" t="n"/>
      <c r="BW281" s="580" t="n"/>
      <c r="BX281" s="1145" t="n"/>
      <c r="BY281" s="580" t="n"/>
      <c r="BZ281" s="580" t="n"/>
      <c r="CA281" s="580" t="n"/>
      <c r="CB281" s="580" t="n"/>
      <c r="CC281" s="1145" t="n"/>
      <c r="CD281" s="1145" t="n"/>
      <c r="CE281" s="1145" t="n"/>
      <c r="CF281" s="1145" t="n"/>
      <c r="CG281" s="155" t="n"/>
    </row>
    <row r="282" hidden="1" outlineLevel="1">
      <c r="A282" s="579" t="inlineStr">
        <is>
          <t>Non-GAAP SG&amp;A Margin, %</t>
        </is>
      </c>
      <c r="B282" s="85" t="n"/>
      <c r="C282" s="1144">
        <f>C382/C362</f>
        <v/>
      </c>
      <c r="D282" s="1144">
        <f>D382/D362</f>
        <v/>
      </c>
      <c r="E282" s="1144">
        <f>E382/E362</f>
        <v/>
      </c>
      <c r="F282" s="1144">
        <f>F382/F362</f>
        <v/>
      </c>
      <c r="G282" s="580">
        <f>G382/G362</f>
        <v/>
      </c>
      <c r="H282" s="580">
        <f>H382/H362</f>
        <v/>
      </c>
      <c r="I282" s="580">
        <f>I382/I362</f>
        <v/>
      </c>
      <c r="J282" s="580">
        <f>J382/J362</f>
        <v/>
      </c>
      <c r="K282" s="1144">
        <f>K382/K362</f>
        <v/>
      </c>
      <c r="L282" s="580">
        <f>L382/L362</f>
        <v/>
      </c>
      <c r="M282" s="580">
        <f>M382/M362</f>
        <v/>
      </c>
      <c r="N282" s="580">
        <f>N382/N362</f>
        <v/>
      </c>
      <c r="O282" s="580">
        <f>O382/O362</f>
        <v/>
      </c>
      <c r="P282" s="1144">
        <f>P382/P362</f>
        <v/>
      </c>
      <c r="Q282" s="580">
        <f>Q382/Q362</f>
        <v/>
      </c>
      <c r="R282" s="580">
        <f>R382/R362</f>
        <v/>
      </c>
      <c r="S282" s="580">
        <f>S382/S362</f>
        <v/>
      </c>
      <c r="T282" s="580">
        <f>T382/T362</f>
        <v/>
      </c>
      <c r="U282" s="1144">
        <f>U382/U362</f>
        <v/>
      </c>
      <c r="V282" s="580">
        <f>V382/V362</f>
        <v/>
      </c>
      <c r="W282" s="580">
        <f>W382/W362</f>
        <v/>
      </c>
      <c r="X282" s="580">
        <f>X382/X362</f>
        <v/>
      </c>
      <c r="Y282" s="580">
        <f>Y382/Y362</f>
        <v/>
      </c>
      <c r="Z282" s="1145">
        <f>Z382/Z362</f>
        <v/>
      </c>
      <c r="AA282" s="580">
        <f>AA382/AA362</f>
        <v/>
      </c>
      <c r="AB282" s="580">
        <f>AB382/AB362</f>
        <v/>
      </c>
      <c r="AC282" s="580">
        <f>AC382/AC362</f>
        <v/>
      </c>
      <c r="AD282" s="580">
        <f>AD382/AD362</f>
        <v/>
      </c>
      <c r="AE282" s="1145">
        <f>AE382/AE362</f>
        <v/>
      </c>
      <c r="AF282" s="580">
        <f>AF382/AF362</f>
        <v/>
      </c>
      <c r="AG282" s="580">
        <f>AG382/AG362</f>
        <v/>
      </c>
      <c r="AH282" s="580">
        <f>AH382/AH362</f>
        <v/>
      </c>
      <c r="AI282" s="580">
        <f>AI382/AI362</f>
        <v/>
      </c>
      <c r="AJ282" s="1145">
        <f>AJ382/AJ362</f>
        <v/>
      </c>
      <c r="AK282" s="580">
        <f>AK382/AK362</f>
        <v/>
      </c>
      <c r="AL282" s="580">
        <f>AL382/AL362</f>
        <v/>
      </c>
      <c r="AM282" s="580">
        <f>AM382/AM362</f>
        <v/>
      </c>
      <c r="AN282" s="580">
        <f>AN382/AN362</f>
        <v/>
      </c>
      <c r="AO282" s="1145">
        <f>AO382/AO362</f>
        <v/>
      </c>
      <c r="AP282" s="580">
        <f>AP382/AP362</f>
        <v/>
      </c>
      <c r="AQ282" s="580">
        <f>AQ382/AQ362</f>
        <v/>
      </c>
      <c r="AR282" s="580">
        <f>AR382/AR362</f>
        <v/>
      </c>
      <c r="AS282" s="580">
        <f>AS382/AS362</f>
        <v/>
      </c>
      <c r="AT282" s="1145">
        <f>AT382/AT362</f>
        <v/>
      </c>
      <c r="AU282" s="580">
        <f>AU382/AU362</f>
        <v/>
      </c>
      <c r="AV282" s="580">
        <f>AV382/AV362</f>
        <v/>
      </c>
      <c r="AW282" s="580">
        <f>AW382/AW362</f>
        <v/>
      </c>
      <c r="AX282" s="580">
        <f>AX382/AX362</f>
        <v/>
      </c>
      <c r="AY282" s="1145">
        <f>AY382/AY362</f>
        <v/>
      </c>
      <c r="AZ282" s="580">
        <f>AZ382/AZ362</f>
        <v/>
      </c>
      <c r="BA282" s="580">
        <f>BA382/BA362</f>
        <v/>
      </c>
      <c r="BB282" s="580">
        <f>BB382/BB362</f>
        <v/>
      </c>
      <c r="BC282" s="580">
        <f>BC382/BC362</f>
        <v/>
      </c>
      <c r="BD282" s="1145">
        <f>BD382/BD362</f>
        <v/>
      </c>
      <c r="BE282" s="580">
        <f>BE382/BE362</f>
        <v/>
      </c>
      <c r="BF282" s="580">
        <f>BF382/BF362</f>
        <v/>
      </c>
      <c r="BG282" s="580">
        <f>BG382/BG362</f>
        <v/>
      </c>
      <c r="BH282" s="580">
        <f>BH382/BH362</f>
        <v/>
      </c>
      <c r="BI282" s="1145">
        <f>BI382/BI362</f>
        <v/>
      </c>
      <c r="BJ282" s="580">
        <f>BJ382/BJ362</f>
        <v/>
      </c>
      <c r="BK282" s="580">
        <f>BK382/BK362</f>
        <v/>
      </c>
      <c r="BL282" s="580">
        <f>BL382/BL362</f>
        <v/>
      </c>
      <c r="BM282" s="580">
        <f>BM382/BM362</f>
        <v/>
      </c>
      <c r="BN282" s="1145">
        <f>BN382/BN362</f>
        <v/>
      </c>
      <c r="BO282" s="580">
        <f>BO382/BO362</f>
        <v/>
      </c>
      <c r="BP282" s="580">
        <f>BP382/BP362</f>
        <v/>
      </c>
      <c r="BQ282" s="580">
        <f>BQ382/BQ362</f>
        <v/>
      </c>
      <c r="BR282" s="580">
        <f>BR382/BR362</f>
        <v/>
      </c>
      <c r="BS282" s="1145">
        <f>BS382/BS362</f>
        <v/>
      </c>
      <c r="BT282" s="580">
        <f>BT382/BT362</f>
        <v/>
      </c>
      <c r="BU282" s="580">
        <f>BU382/BU362</f>
        <v/>
      </c>
      <c r="BV282" s="891">
        <f>BV382/BV362</f>
        <v/>
      </c>
      <c r="BW282" s="580">
        <f>BW382/BW362</f>
        <v/>
      </c>
      <c r="BX282" s="1145">
        <f>BX382/BX362</f>
        <v/>
      </c>
      <c r="BY282" s="580">
        <f>BY382/BY362</f>
        <v/>
      </c>
      <c r="BZ282" s="580">
        <f>BZ382/BZ362</f>
        <v/>
      </c>
      <c r="CA282" s="580">
        <f>CA382/CA362</f>
        <v/>
      </c>
      <c r="CB282" s="580">
        <f>CB382/CB362</f>
        <v/>
      </c>
      <c r="CC282" s="1145">
        <f>CC382/CC362</f>
        <v/>
      </c>
      <c r="CD282" s="1145">
        <f>CD382/CD362</f>
        <v/>
      </c>
      <c r="CE282" s="1145">
        <f>CE382/CE362</f>
        <v/>
      </c>
      <c r="CF282" s="1145">
        <f>CF382/CF362</f>
        <v/>
      </c>
      <c r="CG282" s="155" t="n"/>
    </row>
    <row r="283" hidden="1" outlineLevel="1">
      <c r="A283" s="579" t="inlineStr">
        <is>
          <t>Non-GAAP R&amp;D Margin, %</t>
        </is>
      </c>
      <c r="B283" s="85" t="n"/>
      <c r="C283" s="1144">
        <f>C377/C362</f>
        <v/>
      </c>
      <c r="D283" s="1144">
        <f>D377/D362</f>
        <v/>
      </c>
      <c r="E283" s="1144">
        <f>E377/E362</f>
        <v/>
      </c>
      <c r="F283" s="1144">
        <f>F377/F362</f>
        <v/>
      </c>
      <c r="G283" s="580">
        <f>G377/G362</f>
        <v/>
      </c>
      <c r="H283" s="580">
        <f>H377/H362</f>
        <v/>
      </c>
      <c r="I283" s="580">
        <f>I377/I362</f>
        <v/>
      </c>
      <c r="J283" s="580">
        <f>J377/J362</f>
        <v/>
      </c>
      <c r="K283" s="1144">
        <f>K377/K362</f>
        <v/>
      </c>
      <c r="L283" s="580">
        <f>L377/L362</f>
        <v/>
      </c>
      <c r="M283" s="580">
        <f>M377/M362</f>
        <v/>
      </c>
      <c r="N283" s="580">
        <f>N377/N362</f>
        <v/>
      </c>
      <c r="O283" s="580">
        <f>O377/O362</f>
        <v/>
      </c>
      <c r="P283" s="1144">
        <f>P377/P362</f>
        <v/>
      </c>
      <c r="Q283" s="580">
        <f>Q377/Q362</f>
        <v/>
      </c>
      <c r="R283" s="580">
        <f>R377/R362</f>
        <v/>
      </c>
      <c r="S283" s="580">
        <f>S377/S362</f>
        <v/>
      </c>
      <c r="T283" s="580">
        <f>T377/T362</f>
        <v/>
      </c>
      <c r="U283" s="1144">
        <f>U377/U362</f>
        <v/>
      </c>
      <c r="V283" s="580">
        <f>V377/V362</f>
        <v/>
      </c>
      <c r="W283" s="580">
        <f>W377/W362</f>
        <v/>
      </c>
      <c r="X283" s="580">
        <f>X377/X362</f>
        <v/>
      </c>
      <c r="Y283" s="580">
        <f>Y377/Y362</f>
        <v/>
      </c>
      <c r="Z283" s="1145">
        <f>Z377/Z362</f>
        <v/>
      </c>
      <c r="AA283" s="580">
        <f>AA377/AA362</f>
        <v/>
      </c>
      <c r="AB283" s="580">
        <f>AB377/AB362</f>
        <v/>
      </c>
      <c r="AC283" s="580">
        <f>AC377/AC362</f>
        <v/>
      </c>
      <c r="AD283" s="580">
        <f>AD377/AD362</f>
        <v/>
      </c>
      <c r="AE283" s="1145">
        <f>AE377/AE362</f>
        <v/>
      </c>
      <c r="AF283" s="580">
        <f>AF377/AF362</f>
        <v/>
      </c>
      <c r="AG283" s="580">
        <f>AG377/AG362</f>
        <v/>
      </c>
      <c r="AH283" s="580">
        <f>AH377/AH362</f>
        <v/>
      </c>
      <c r="AI283" s="580">
        <f>AI377/AI362</f>
        <v/>
      </c>
      <c r="AJ283" s="1145">
        <f>AJ377/AJ362</f>
        <v/>
      </c>
      <c r="AK283" s="580">
        <f>AK377/AK362</f>
        <v/>
      </c>
      <c r="AL283" s="580">
        <f>AL377/AL362</f>
        <v/>
      </c>
      <c r="AM283" s="580">
        <f>AM377/AM362</f>
        <v/>
      </c>
      <c r="AN283" s="580">
        <f>AN377/AN362</f>
        <v/>
      </c>
      <c r="AO283" s="1145">
        <f>AO377/AO362</f>
        <v/>
      </c>
      <c r="AP283" s="580">
        <f>AP377/AP362</f>
        <v/>
      </c>
      <c r="AQ283" s="580">
        <f>AQ377/AQ362</f>
        <v/>
      </c>
      <c r="AR283" s="580">
        <f>AR377/AR362</f>
        <v/>
      </c>
      <c r="AS283" s="580">
        <f>AS377/AS362</f>
        <v/>
      </c>
      <c r="AT283" s="1145">
        <f>AT377/AT362</f>
        <v/>
      </c>
      <c r="AU283" s="580">
        <f>AU377/AU362</f>
        <v/>
      </c>
      <c r="AV283" s="580">
        <f>AV377/AV362</f>
        <v/>
      </c>
      <c r="AW283" s="580">
        <f>AW377/AW362</f>
        <v/>
      </c>
      <c r="AX283" s="580">
        <f>AX377/AX362</f>
        <v/>
      </c>
      <c r="AY283" s="1145">
        <f>AY377/AY362</f>
        <v/>
      </c>
      <c r="AZ283" s="580">
        <f>AZ377/AZ362</f>
        <v/>
      </c>
      <c r="BA283" s="580">
        <f>BA377/BA362</f>
        <v/>
      </c>
      <c r="BB283" s="580">
        <f>BB377/BB362</f>
        <v/>
      </c>
      <c r="BC283" s="580">
        <f>BC377/BC362</f>
        <v/>
      </c>
      <c r="BD283" s="1145">
        <f>BD377/BD362</f>
        <v/>
      </c>
      <c r="BE283" s="580">
        <f>BE377/BE362</f>
        <v/>
      </c>
      <c r="BF283" s="580">
        <f>BF377/BF362</f>
        <v/>
      </c>
      <c r="BG283" s="580">
        <f>BG377/BG362</f>
        <v/>
      </c>
      <c r="BH283" s="580">
        <f>BH377/BH362</f>
        <v/>
      </c>
      <c r="BI283" s="1145">
        <f>BI377/BI362</f>
        <v/>
      </c>
      <c r="BJ283" s="580">
        <f>BJ377/BJ362</f>
        <v/>
      </c>
      <c r="BK283" s="580">
        <f>BK377/BK362</f>
        <v/>
      </c>
      <c r="BL283" s="580">
        <f>BL377/BL362</f>
        <v/>
      </c>
      <c r="BM283" s="580">
        <f>BM377/BM362</f>
        <v/>
      </c>
      <c r="BN283" s="1145">
        <f>BN377/BN362</f>
        <v/>
      </c>
      <c r="BO283" s="580">
        <f>BO377/BO362</f>
        <v/>
      </c>
      <c r="BP283" s="580">
        <f>BP377/BP362</f>
        <v/>
      </c>
      <c r="BQ283" s="580">
        <f>BQ377/BQ362</f>
        <v/>
      </c>
      <c r="BR283" s="580">
        <f>BR377/BR362</f>
        <v/>
      </c>
      <c r="BS283" s="1145">
        <f>BS377/BS362</f>
        <v/>
      </c>
      <c r="BT283" s="580">
        <f>BT377/BT362</f>
        <v/>
      </c>
      <c r="BU283" s="580">
        <f>BU377/BU362</f>
        <v/>
      </c>
      <c r="BV283" s="891">
        <f>BV377/BV362</f>
        <v/>
      </c>
      <c r="BW283" s="580">
        <f>BW377/BW362</f>
        <v/>
      </c>
      <c r="BX283" s="1145">
        <f>BX377/BX362</f>
        <v/>
      </c>
      <c r="BY283" s="580">
        <f>BY377/BY362</f>
        <v/>
      </c>
      <c r="BZ283" s="580">
        <f>BZ377/BZ362</f>
        <v/>
      </c>
      <c r="CA283" s="580">
        <f>CA377/CA362</f>
        <v/>
      </c>
      <c r="CB283" s="580">
        <f>CB377/CB362</f>
        <v/>
      </c>
      <c r="CC283" s="1145">
        <f>CC377/CC362</f>
        <v/>
      </c>
      <c r="CD283" s="1145">
        <f>CD377/CD362</f>
        <v/>
      </c>
      <c r="CE283" s="1145">
        <f>CE377/CE362</f>
        <v/>
      </c>
      <c r="CF283" s="1145">
        <f>CF377/CF362</f>
        <v/>
      </c>
      <c r="CG283" s="155" t="n"/>
    </row>
    <row r="284" hidden="1" outlineLevel="1">
      <c r="A284" s="579" t="inlineStr">
        <is>
          <t>Non-GAAP OPEX Margin, %</t>
        </is>
      </c>
      <c r="B284" s="576" t="n"/>
      <c r="C284" s="1142">
        <f>C385/C362</f>
        <v/>
      </c>
      <c r="D284" s="1142">
        <f>D385/D362</f>
        <v/>
      </c>
      <c r="E284" s="1142">
        <f>E385/E362</f>
        <v/>
      </c>
      <c r="F284" s="1142">
        <f>F385/F362</f>
        <v/>
      </c>
      <c r="G284" s="577">
        <f>G385/G362</f>
        <v/>
      </c>
      <c r="H284" s="577">
        <f>H385/H362</f>
        <v/>
      </c>
      <c r="I284" s="577">
        <f>I385/I362</f>
        <v/>
      </c>
      <c r="J284" s="577">
        <f>J385/J362</f>
        <v/>
      </c>
      <c r="K284" s="1142">
        <f>K385/K362</f>
        <v/>
      </c>
      <c r="L284" s="577">
        <f>L385/L362</f>
        <v/>
      </c>
      <c r="M284" s="577">
        <f>M385/M362</f>
        <v/>
      </c>
      <c r="N284" s="577">
        <f>N385/N362</f>
        <v/>
      </c>
      <c r="O284" s="577">
        <f>O385/O362</f>
        <v/>
      </c>
      <c r="P284" s="1142">
        <f>P385/P362</f>
        <v/>
      </c>
      <c r="Q284" s="577">
        <f>Q385/Q362</f>
        <v/>
      </c>
      <c r="R284" s="577">
        <f>R385/R362</f>
        <v/>
      </c>
      <c r="S284" s="577">
        <f>S385/S362</f>
        <v/>
      </c>
      <c r="T284" s="577">
        <f>T385/T362</f>
        <v/>
      </c>
      <c r="U284" s="1142">
        <f>U385/U362</f>
        <v/>
      </c>
      <c r="V284" s="577">
        <f>V385/V362</f>
        <v/>
      </c>
      <c r="W284" s="577">
        <f>W385/W362</f>
        <v/>
      </c>
      <c r="X284" s="577">
        <f>X385/X362</f>
        <v/>
      </c>
      <c r="Y284" s="577">
        <f>Y385/Y362</f>
        <v/>
      </c>
      <c r="Z284" s="1143">
        <f>Z385/Z362</f>
        <v/>
      </c>
      <c r="AA284" s="577">
        <f>AA385/AA362</f>
        <v/>
      </c>
      <c r="AB284" s="577">
        <f>AB385/AB362</f>
        <v/>
      </c>
      <c r="AC284" s="577">
        <f>AC385/AC362</f>
        <v/>
      </c>
      <c r="AD284" s="577">
        <f>AD385/AD362</f>
        <v/>
      </c>
      <c r="AE284" s="1143">
        <f>AE385/AE362</f>
        <v/>
      </c>
      <c r="AF284" s="577">
        <f>AF385/AF362</f>
        <v/>
      </c>
      <c r="AG284" s="577">
        <f>AG385/AG362</f>
        <v/>
      </c>
      <c r="AH284" s="577">
        <f>AH385/AH362</f>
        <v/>
      </c>
      <c r="AI284" s="577">
        <f>AI385/AI362</f>
        <v/>
      </c>
      <c r="AJ284" s="1143">
        <f>AJ385/AJ362</f>
        <v/>
      </c>
      <c r="AK284" s="577">
        <f>AK385/AK362</f>
        <v/>
      </c>
      <c r="AL284" s="577">
        <f>AL385/AL362</f>
        <v/>
      </c>
      <c r="AM284" s="577">
        <f>AM385/AM362</f>
        <v/>
      </c>
      <c r="AN284" s="577">
        <f>AN385/AN362</f>
        <v/>
      </c>
      <c r="AO284" s="1143">
        <f>AO385/AO362</f>
        <v/>
      </c>
      <c r="AP284" s="577">
        <f>AP385/AP362</f>
        <v/>
      </c>
      <c r="AQ284" s="577">
        <f>AQ385/AQ362</f>
        <v/>
      </c>
      <c r="AR284" s="577">
        <f>AR385/AR362</f>
        <v/>
      </c>
      <c r="AS284" s="577">
        <f>AS385/AS362</f>
        <v/>
      </c>
      <c r="AT284" s="1143">
        <f>AT385/AT362</f>
        <v/>
      </c>
      <c r="AU284" s="577">
        <f>AU385/AU362</f>
        <v/>
      </c>
      <c r="AV284" s="577">
        <f>AV385/AV362</f>
        <v/>
      </c>
      <c r="AW284" s="577">
        <f>AW385/AW362</f>
        <v/>
      </c>
      <c r="AX284" s="577">
        <f>AX385/AX362</f>
        <v/>
      </c>
      <c r="AY284" s="1143">
        <f>AY385/AY362</f>
        <v/>
      </c>
      <c r="AZ284" s="577">
        <f>AZ385/AZ362</f>
        <v/>
      </c>
      <c r="BA284" s="577">
        <f>BA385/BA362</f>
        <v/>
      </c>
      <c r="BB284" s="577">
        <f>BB385/BB362</f>
        <v/>
      </c>
      <c r="BC284" s="577">
        <f>BC385/BC362</f>
        <v/>
      </c>
      <c r="BD284" s="1143">
        <f>BD385/BD362</f>
        <v/>
      </c>
      <c r="BE284" s="577">
        <f>BE385/BE362</f>
        <v/>
      </c>
      <c r="BF284" s="577">
        <f>BF385/BF362</f>
        <v/>
      </c>
      <c r="BG284" s="577">
        <f>BG385/BG362</f>
        <v/>
      </c>
      <c r="BH284" s="577">
        <f>BH385/BH362</f>
        <v/>
      </c>
      <c r="BI284" s="1143">
        <f>BI385/BI362</f>
        <v/>
      </c>
      <c r="BJ284" s="577">
        <f>BJ385/BJ362</f>
        <v/>
      </c>
      <c r="BK284" s="577">
        <f>BK385/BK362</f>
        <v/>
      </c>
      <c r="BL284" s="577">
        <f>BL385/BL362</f>
        <v/>
      </c>
      <c r="BM284" s="577">
        <f>BM385/BM362</f>
        <v/>
      </c>
      <c r="BN284" s="1143">
        <f>BN385/BN362</f>
        <v/>
      </c>
      <c r="BO284" s="577">
        <f>BO385/BO362</f>
        <v/>
      </c>
      <c r="BP284" s="577">
        <f>BP385/BP362</f>
        <v/>
      </c>
      <c r="BQ284" s="577">
        <f>BQ385/BQ362</f>
        <v/>
      </c>
      <c r="BR284" s="577">
        <f>BR385/BR362</f>
        <v/>
      </c>
      <c r="BS284" s="1143">
        <f>BS385/BS362</f>
        <v/>
      </c>
      <c r="BT284" s="577">
        <f>BT385/BT362</f>
        <v/>
      </c>
      <c r="BU284" s="577">
        <f>BU385/BU362</f>
        <v/>
      </c>
      <c r="BV284" s="890">
        <f>BV385/BV362</f>
        <v/>
      </c>
      <c r="BW284" s="577">
        <f>BW385/BW362</f>
        <v/>
      </c>
      <c r="BX284" s="1143">
        <f>BX385/BX362</f>
        <v/>
      </c>
      <c r="BY284" s="577">
        <f>BY385/BY362</f>
        <v/>
      </c>
      <c r="BZ284" s="577">
        <f>BZ385/BZ362</f>
        <v/>
      </c>
      <c r="CA284" s="577">
        <f>CA385/CA362</f>
        <v/>
      </c>
      <c r="CB284" s="577">
        <f>CB385/CB362</f>
        <v/>
      </c>
      <c r="CC284" s="1143">
        <f>CC385/CC362</f>
        <v/>
      </c>
      <c r="CD284" s="1143">
        <f>CD385/CD362</f>
        <v/>
      </c>
      <c r="CE284" s="1143">
        <f>CE385/CE362</f>
        <v/>
      </c>
      <c r="CF284" s="1143">
        <f>CF385/CF362</f>
        <v/>
      </c>
      <c r="CG284" s="155" t="n"/>
    </row>
    <row r="285" hidden="1" outlineLevel="1">
      <c r="A285" s="666" t="inlineStr">
        <is>
          <t>Non-GAAP Operating Income Margin, %</t>
        </is>
      </c>
      <c r="B285" s="88" t="n"/>
      <c r="C285" s="1146">
        <f>C386/C362</f>
        <v/>
      </c>
      <c r="D285" s="1146">
        <f>D386/D362</f>
        <v/>
      </c>
      <c r="E285" s="1146">
        <f>E386/E362</f>
        <v/>
      </c>
      <c r="F285" s="1146">
        <f>F386/F362</f>
        <v/>
      </c>
      <c r="G285" s="667">
        <f>G386/G362</f>
        <v/>
      </c>
      <c r="H285" s="667">
        <f>H386/H362</f>
        <v/>
      </c>
      <c r="I285" s="667">
        <f>I386/I362</f>
        <v/>
      </c>
      <c r="J285" s="667">
        <f>J386/J362</f>
        <v/>
      </c>
      <c r="K285" s="1146">
        <f>K386/K362</f>
        <v/>
      </c>
      <c r="L285" s="667">
        <f>L386/L362</f>
        <v/>
      </c>
      <c r="M285" s="667">
        <f>M386/M362</f>
        <v/>
      </c>
      <c r="N285" s="667">
        <f>N386/N362</f>
        <v/>
      </c>
      <c r="O285" s="667">
        <f>O386/O362</f>
        <v/>
      </c>
      <c r="P285" s="1146">
        <f>P386/P362</f>
        <v/>
      </c>
      <c r="Q285" s="667">
        <f>Q386/Q362</f>
        <v/>
      </c>
      <c r="R285" s="667">
        <f>R386/R362</f>
        <v/>
      </c>
      <c r="S285" s="667">
        <f>S386/S362</f>
        <v/>
      </c>
      <c r="T285" s="667">
        <f>T386/T362</f>
        <v/>
      </c>
      <c r="U285" s="1146">
        <f>U386/U362</f>
        <v/>
      </c>
      <c r="V285" s="667">
        <f>V386/V362</f>
        <v/>
      </c>
      <c r="W285" s="667">
        <f>W386/W362</f>
        <v/>
      </c>
      <c r="X285" s="667">
        <f>X386/X362</f>
        <v/>
      </c>
      <c r="Y285" s="667">
        <f>Y386/Y362</f>
        <v/>
      </c>
      <c r="Z285" s="1133">
        <f>Z386/Z362</f>
        <v/>
      </c>
      <c r="AA285" s="667">
        <f>AA386/AA362</f>
        <v/>
      </c>
      <c r="AB285" s="667">
        <f>AB386/AB362</f>
        <v/>
      </c>
      <c r="AC285" s="667">
        <f>AC386/AC362</f>
        <v/>
      </c>
      <c r="AD285" s="667">
        <f>AD386/AD362</f>
        <v/>
      </c>
      <c r="AE285" s="1133">
        <f>AE386/AE362</f>
        <v/>
      </c>
      <c r="AF285" s="667">
        <f>AF386/AF362</f>
        <v/>
      </c>
      <c r="AG285" s="667">
        <f>AG386/AG362</f>
        <v/>
      </c>
      <c r="AH285" s="667">
        <f>AH386/AH362</f>
        <v/>
      </c>
      <c r="AI285" s="667">
        <f>AI386/AI362</f>
        <v/>
      </c>
      <c r="AJ285" s="1133">
        <f>AJ386/AJ362</f>
        <v/>
      </c>
      <c r="AK285" s="667">
        <f>AK386/AK362</f>
        <v/>
      </c>
      <c r="AL285" s="667">
        <f>AL386/AL362</f>
        <v/>
      </c>
      <c r="AM285" s="667">
        <f>AM386/AM362</f>
        <v/>
      </c>
      <c r="AN285" s="667">
        <f>AN386/AN362</f>
        <v/>
      </c>
      <c r="AO285" s="1133">
        <f>AO386/AO362</f>
        <v/>
      </c>
      <c r="AP285" s="667">
        <f>AP386/AP362</f>
        <v/>
      </c>
      <c r="AQ285" s="667">
        <f>AQ386/AQ362</f>
        <v/>
      </c>
      <c r="AR285" s="667">
        <f>AR386/AR362</f>
        <v/>
      </c>
      <c r="AS285" s="667">
        <f>AS386/AS362</f>
        <v/>
      </c>
      <c r="AT285" s="1133">
        <f>AT386/AT362</f>
        <v/>
      </c>
      <c r="AU285" s="667">
        <f>AU386/AU362</f>
        <v/>
      </c>
      <c r="AV285" s="667">
        <f>AV386/AV362</f>
        <v/>
      </c>
      <c r="AW285" s="667">
        <f>AW386/AW362</f>
        <v/>
      </c>
      <c r="AX285" s="667">
        <f>AX386/AX362</f>
        <v/>
      </c>
      <c r="AY285" s="1133">
        <f>AY386/AY362</f>
        <v/>
      </c>
      <c r="AZ285" s="667">
        <f>AZ386/AZ362</f>
        <v/>
      </c>
      <c r="BA285" s="667">
        <f>BA386/BA362</f>
        <v/>
      </c>
      <c r="BB285" s="667">
        <f>BB386/BB362</f>
        <v/>
      </c>
      <c r="BC285" s="667">
        <f>BC386/BC362</f>
        <v/>
      </c>
      <c r="BD285" s="1133">
        <f>BD386/BD362</f>
        <v/>
      </c>
      <c r="BE285" s="667">
        <f>BE386/BE362</f>
        <v/>
      </c>
      <c r="BF285" s="667">
        <f>BF386/BF362</f>
        <v/>
      </c>
      <c r="BG285" s="667">
        <f>BG386/BG362</f>
        <v/>
      </c>
      <c r="BH285" s="667">
        <f>BH386/BH362</f>
        <v/>
      </c>
      <c r="BI285" s="1133">
        <f>BI386/BI362</f>
        <v/>
      </c>
      <c r="BJ285" s="667">
        <f>BJ386/BJ362</f>
        <v/>
      </c>
      <c r="BK285" s="667">
        <f>BK386/BK362</f>
        <v/>
      </c>
      <c r="BL285" s="667">
        <f>BL386/BL362</f>
        <v/>
      </c>
      <c r="BM285" s="667">
        <f>BM386/BM362</f>
        <v/>
      </c>
      <c r="BN285" s="1133">
        <f>BN386/BN362</f>
        <v/>
      </c>
      <c r="BO285" s="667">
        <f>BO386/BO362</f>
        <v/>
      </c>
      <c r="BP285" s="667">
        <f>BP386/BP362</f>
        <v/>
      </c>
      <c r="BQ285" s="667">
        <f>BQ386/BQ362</f>
        <v/>
      </c>
      <c r="BR285" s="667">
        <f>BR386/BR362</f>
        <v/>
      </c>
      <c r="BS285" s="1133">
        <f>BS386/BS362</f>
        <v/>
      </c>
      <c r="BT285" s="667">
        <f>BT386/BT362</f>
        <v/>
      </c>
      <c r="BU285" s="667">
        <f>BU386/BU362</f>
        <v/>
      </c>
      <c r="BV285" s="892">
        <f>BV386/BV362</f>
        <v/>
      </c>
      <c r="BW285" s="667">
        <f>BW386/BW362</f>
        <v/>
      </c>
      <c r="BX285" s="1133">
        <f>BX386/BX362</f>
        <v/>
      </c>
      <c r="BY285" s="667">
        <f>BY386/BY362</f>
        <v/>
      </c>
      <c r="BZ285" s="667">
        <f>BZ386/BZ362</f>
        <v/>
      </c>
      <c r="CA285" s="667">
        <f>CA386/CA362</f>
        <v/>
      </c>
      <c r="CB285" s="667">
        <f>CB386/CB362</f>
        <v/>
      </c>
      <c r="CC285" s="1133">
        <f>CC386/CC362</f>
        <v/>
      </c>
      <c r="CD285" s="1133">
        <f>CD386/CD362</f>
        <v/>
      </c>
      <c r="CE285" s="1133">
        <f>CE386/CE362</f>
        <v/>
      </c>
      <c r="CF285" s="1133">
        <f>CF386/CF362</f>
        <v/>
      </c>
      <c r="CG285" s="155" t="n"/>
    </row>
    <row r="286" hidden="1" outlineLevel="1">
      <c r="A286" s="581" t="inlineStr">
        <is>
          <t>Company Reported Non-GAAP Operating Income Margin, %</t>
        </is>
      </c>
      <c r="B286" s="85" t="n"/>
      <c r="C286" s="1144">
        <f>C388/C362</f>
        <v/>
      </c>
      <c r="D286" s="1144">
        <f>D388/D362</f>
        <v/>
      </c>
      <c r="E286" s="1144">
        <f>E388/E362</f>
        <v/>
      </c>
      <c r="F286" s="1144">
        <f>F388/F362</f>
        <v/>
      </c>
      <c r="G286" s="580">
        <f>G388/G362</f>
        <v/>
      </c>
      <c r="H286" s="580">
        <f>H388/H362</f>
        <v/>
      </c>
      <c r="I286" s="580">
        <f>I388/I362</f>
        <v/>
      </c>
      <c r="J286" s="580">
        <f>J388/J362</f>
        <v/>
      </c>
      <c r="K286" s="1144">
        <f>K388/K362</f>
        <v/>
      </c>
      <c r="L286" s="580">
        <f>L388/L362</f>
        <v/>
      </c>
      <c r="M286" s="580">
        <f>M388/M362</f>
        <v/>
      </c>
      <c r="N286" s="580">
        <f>N388/N362</f>
        <v/>
      </c>
      <c r="O286" s="580">
        <f>O388/O362</f>
        <v/>
      </c>
      <c r="P286" s="1144">
        <f>P388/P362</f>
        <v/>
      </c>
      <c r="Q286" s="580">
        <f>Q388/Q362</f>
        <v/>
      </c>
      <c r="R286" s="580">
        <f>R388/R362</f>
        <v/>
      </c>
      <c r="S286" s="580">
        <f>S388/S362</f>
        <v/>
      </c>
      <c r="T286" s="580">
        <f>T388/T362</f>
        <v/>
      </c>
      <c r="U286" s="1144">
        <f>U388/U362</f>
        <v/>
      </c>
      <c r="V286" s="580">
        <f>V388/V362</f>
        <v/>
      </c>
      <c r="W286" s="580">
        <f>W388/W362</f>
        <v/>
      </c>
      <c r="X286" s="580">
        <f>X388/X362</f>
        <v/>
      </c>
      <c r="Y286" s="580">
        <f>Y388/Y362</f>
        <v/>
      </c>
      <c r="Z286" s="1145">
        <f>Z388/Z362</f>
        <v/>
      </c>
      <c r="AA286" s="580">
        <f>AA388/AA362</f>
        <v/>
      </c>
      <c r="AB286" s="580">
        <f>AB388/AB362</f>
        <v/>
      </c>
      <c r="AC286" s="580">
        <f>AC388/AC362</f>
        <v/>
      </c>
      <c r="AD286" s="580">
        <f>AD388/AD362</f>
        <v/>
      </c>
      <c r="AE286" s="1145">
        <f>AE388/AE362</f>
        <v/>
      </c>
      <c r="AF286" s="580">
        <f>AF388/AF362</f>
        <v/>
      </c>
      <c r="AG286" s="580">
        <f>AG388/AG362</f>
        <v/>
      </c>
      <c r="AH286" s="580">
        <f>AH388/AH362</f>
        <v/>
      </c>
      <c r="AI286" s="580">
        <f>AI388/AI362</f>
        <v/>
      </c>
      <c r="AJ286" s="1145">
        <f>AJ388/AJ362</f>
        <v/>
      </c>
      <c r="AK286" s="580">
        <f>AK388/AK362</f>
        <v/>
      </c>
      <c r="AL286" s="580">
        <f>AL388/AL362</f>
        <v/>
      </c>
      <c r="AM286" s="580">
        <f>AM388/AM362</f>
        <v/>
      </c>
      <c r="AN286" s="580">
        <f>AN388/AN362</f>
        <v/>
      </c>
      <c r="AO286" s="1145">
        <f>AO388/AO362</f>
        <v/>
      </c>
      <c r="AP286" s="580">
        <f>AP388/AP362</f>
        <v/>
      </c>
      <c r="AQ286" s="580">
        <f>AQ388/AQ362</f>
        <v/>
      </c>
      <c r="AR286" s="580">
        <f>AR388/AR362</f>
        <v/>
      </c>
      <c r="AS286" s="580">
        <f>AS388/AS362</f>
        <v/>
      </c>
      <c r="AT286" s="1145">
        <f>AT388/AT362</f>
        <v/>
      </c>
      <c r="AU286" s="580">
        <f>AU388/AU362</f>
        <v/>
      </c>
      <c r="AV286" s="580">
        <f>AV388/AV362</f>
        <v/>
      </c>
      <c r="AW286" s="580">
        <f>AW388/AW362</f>
        <v/>
      </c>
      <c r="AX286" s="580">
        <f>AX388/AX362</f>
        <v/>
      </c>
      <c r="AY286" s="1145">
        <f>AY388/AY362</f>
        <v/>
      </c>
      <c r="AZ286" s="580">
        <f>AZ388/AZ362</f>
        <v/>
      </c>
      <c r="BA286" s="580">
        <f>BA388/BA362</f>
        <v/>
      </c>
      <c r="BB286" s="580">
        <f>BB388/BB362</f>
        <v/>
      </c>
      <c r="BC286" s="580">
        <f>BC388/BC362</f>
        <v/>
      </c>
      <c r="BD286" s="1145">
        <f>BD388/BD362</f>
        <v/>
      </c>
      <c r="BE286" s="580">
        <f>BE388/BE362</f>
        <v/>
      </c>
      <c r="BF286" s="580">
        <f>BF388/BF362</f>
        <v/>
      </c>
      <c r="BG286" s="580">
        <f>BG388/BG362</f>
        <v/>
      </c>
      <c r="BH286" s="580">
        <f>BH388/BH362</f>
        <v/>
      </c>
      <c r="BI286" s="1145">
        <f>BI388/BI362</f>
        <v/>
      </c>
      <c r="BJ286" s="580">
        <f>BJ388/BJ362</f>
        <v/>
      </c>
      <c r="BK286" s="580">
        <f>BK388/BK362</f>
        <v/>
      </c>
      <c r="BL286" s="580">
        <f>BL388/BL362</f>
        <v/>
      </c>
      <c r="BM286" s="580">
        <f>BM388/BM362</f>
        <v/>
      </c>
      <c r="BN286" s="1145">
        <f>BN388/BN362</f>
        <v/>
      </c>
      <c r="BO286" s="580">
        <f>BO388/BO362</f>
        <v/>
      </c>
      <c r="BP286" s="580">
        <f>BP388/BP362</f>
        <v/>
      </c>
      <c r="BQ286" s="580">
        <f>BQ388/BQ362</f>
        <v/>
      </c>
      <c r="BR286" s="580">
        <f>BR388/BR362</f>
        <v/>
      </c>
      <c r="BS286" s="1145">
        <f>BS388/BS362</f>
        <v/>
      </c>
      <c r="BT286" s="580">
        <f>BT388/BT362</f>
        <v/>
      </c>
      <c r="BU286" s="580">
        <f>BU388/BU362</f>
        <v/>
      </c>
      <c r="BV286" s="891">
        <f>BV388/BV362</f>
        <v/>
      </c>
      <c r="BW286" s="580">
        <f>BW388/BW362</f>
        <v/>
      </c>
      <c r="BX286" s="1145">
        <f>BX388/BX362</f>
        <v/>
      </c>
      <c r="BY286" s="580">
        <f>BY388/BY362</f>
        <v/>
      </c>
      <c r="BZ286" s="580">
        <f>BZ388/BZ362</f>
        <v/>
      </c>
      <c r="CA286" s="580">
        <f>CA388/CA362</f>
        <v/>
      </c>
      <c r="CB286" s="580">
        <f>CB388/CB362</f>
        <v/>
      </c>
      <c r="CC286" s="1145">
        <f>CC388/CC362</f>
        <v/>
      </c>
      <c r="CD286" s="1145">
        <f>CD388/CD362</f>
        <v/>
      </c>
      <c r="CE286" s="1145">
        <f>CE388/CE362</f>
        <v/>
      </c>
      <c r="CF286" s="1145">
        <f>CF388/CF362</f>
        <v/>
      </c>
      <c r="CG286" s="155" t="n"/>
    </row>
    <row r="287" hidden="1" outlineLevel="1">
      <c r="A287" s="371" t="inlineStr">
        <is>
          <t>Consensus Estimates - Company Reported Non-GAAP Operating Income Margin, %</t>
        </is>
      </c>
      <c r="B287" s="582" t="n"/>
      <c r="C287" s="1147" t="n"/>
      <c r="D287" s="1147" t="n"/>
      <c r="E287" s="1147" t="n"/>
      <c r="F287" s="1147" t="n"/>
      <c r="G287" s="583" t="n"/>
      <c r="H287" s="583" t="n"/>
      <c r="I287" s="583" t="n"/>
      <c r="J287" s="583" t="n"/>
      <c r="K287" s="1147" t="n"/>
      <c r="L287" s="583" t="n"/>
      <c r="M287" s="583" t="n"/>
      <c r="N287" s="583" t="n"/>
      <c r="O287" s="583" t="n"/>
      <c r="P287" s="1147" t="n"/>
      <c r="Q287" s="583" t="n"/>
      <c r="R287" s="583" t="n"/>
      <c r="S287" s="583" t="n"/>
      <c r="T287" s="583" t="n"/>
      <c r="U287" s="1147" t="n"/>
      <c r="V287" s="583" t="n"/>
      <c r="W287" s="583" t="n"/>
      <c r="X287" s="583" t="n"/>
      <c r="Y287" s="583" t="n"/>
      <c r="Z287" s="1113" t="n"/>
      <c r="AA287" s="583" t="n"/>
      <c r="AB287" s="583" t="n"/>
      <c r="AC287" s="583" t="n"/>
      <c r="AD287" s="583" t="n"/>
      <c r="AE287" s="1113" t="n"/>
      <c r="AF287" s="583" t="n"/>
      <c r="AG287" s="583" t="n"/>
      <c r="AH287" s="583" t="n"/>
      <c r="AI287" s="583" t="n"/>
      <c r="AJ287" s="1113" t="n"/>
      <c r="AK287" s="583" t="n"/>
      <c r="AL287" s="583" t="n"/>
      <c r="AM287" s="583" t="n"/>
      <c r="AN287" s="583" t="n"/>
      <c r="AO287" s="1113" t="n"/>
      <c r="AP287" s="583" t="n"/>
      <c r="AQ287" s="583" t="n"/>
      <c r="AR287" s="583" t="n"/>
      <c r="AS287" s="583" t="n"/>
      <c r="AT287" s="1113" t="n"/>
      <c r="AU287" s="583" t="n"/>
      <c r="AV287" s="583" t="n"/>
      <c r="AW287" s="583" t="n"/>
      <c r="AX287" s="583" t="n"/>
      <c r="AY287" s="1113" t="n"/>
      <c r="AZ287" s="583" t="n"/>
      <c r="BA287" s="583" t="n"/>
      <c r="BB287" s="583" t="n"/>
      <c r="BC287" s="583" t="n"/>
      <c r="BD287" s="1113" t="n"/>
      <c r="BE287" s="583" t="n"/>
      <c r="BF287" s="583" t="n"/>
      <c r="BG287" s="583" t="n"/>
      <c r="BH287" s="583" t="n"/>
      <c r="BI287" s="1113" t="n"/>
      <c r="BJ287" s="583" t="n"/>
      <c r="BK287" s="583" t="n"/>
      <c r="BL287" s="583" t="n"/>
      <c r="BM287" s="583" t="n"/>
      <c r="BN287" s="1113" t="n"/>
      <c r="BO287" s="583" t="n"/>
      <c r="BP287" s="583" t="n"/>
      <c r="BQ287" s="583" t="n"/>
      <c r="BR287" s="583" t="n"/>
      <c r="BS287" s="1113" t="n"/>
      <c r="BT287" s="583" t="n"/>
      <c r="BU287" s="583" t="n"/>
      <c r="BV287" s="893" t="n"/>
      <c r="BW287" s="643">
        <f>IFERROR(BW389/BW363,0)</f>
        <v/>
      </c>
      <c r="BX287" s="1114">
        <f>IFERROR(BX389/BX363,0)</f>
        <v/>
      </c>
      <c r="BY287" s="643">
        <f>IFERROR(BY389/BY363,0)</f>
        <v/>
      </c>
      <c r="BZ287" s="643">
        <f>IFERROR(BZ389/BZ363,0)</f>
        <v/>
      </c>
      <c r="CA287" s="643">
        <f>IFERROR(CA389/CA363,0)</f>
        <v/>
      </c>
      <c r="CB287" s="643">
        <f>IFERROR(CB389/CB363,0)</f>
        <v/>
      </c>
      <c r="CC287" s="1114">
        <f>IFERROR(CC389/CC363,0)</f>
        <v/>
      </c>
      <c r="CD287" s="1114">
        <f>IFERROR(CD389/CD363,0)</f>
        <v/>
      </c>
      <c r="CE287" s="1114">
        <f>IFERROR(CE389/CE363,0)</f>
        <v/>
      </c>
      <c r="CF287" s="1114">
        <f>IFERROR(CF389/CF363,0)</f>
        <v/>
      </c>
      <c r="CG287" s="155" t="n"/>
    </row>
    <row r="288" hidden="1" outlineLevel="1">
      <c r="A288" s="371" t="n"/>
      <c r="B288" s="582" t="n"/>
      <c r="C288" s="1147" t="n"/>
      <c r="D288" s="1147" t="n"/>
      <c r="E288" s="1147" t="n"/>
      <c r="F288" s="1147" t="n"/>
      <c r="G288" s="583" t="n"/>
      <c r="H288" s="583" t="n"/>
      <c r="I288" s="583" t="n"/>
      <c r="J288" s="583" t="n"/>
      <c r="K288" s="1147" t="n"/>
      <c r="L288" s="583" t="n"/>
      <c r="M288" s="583" t="n"/>
      <c r="N288" s="583" t="n"/>
      <c r="O288" s="583" t="n"/>
      <c r="P288" s="1147" t="n"/>
      <c r="Q288" s="583" t="n"/>
      <c r="R288" s="583" t="n"/>
      <c r="S288" s="583" t="n"/>
      <c r="T288" s="583" t="n"/>
      <c r="U288" s="1147" t="n"/>
      <c r="V288" s="583" t="n"/>
      <c r="W288" s="583" t="n"/>
      <c r="X288" s="583" t="n"/>
      <c r="Y288" s="583" t="n"/>
      <c r="Z288" s="1113" t="n"/>
      <c r="AA288" s="583" t="n"/>
      <c r="AB288" s="583" t="n"/>
      <c r="AC288" s="583" t="n"/>
      <c r="AD288" s="583" t="n"/>
      <c r="AE288" s="1113" t="n"/>
      <c r="AF288" s="583" t="n"/>
      <c r="AG288" s="583" t="n"/>
      <c r="AH288" s="583" t="n"/>
      <c r="AI288" s="583" t="n"/>
      <c r="AJ288" s="1113" t="n"/>
      <c r="AK288" s="583" t="n"/>
      <c r="AL288" s="583" t="n"/>
      <c r="AM288" s="583" t="n"/>
      <c r="AN288" s="583" t="n"/>
      <c r="AO288" s="1113" t="n"/>
      <c r="AP288" s="583" t="n"/>
      <c r="AQ288" s="583" t="n"/>
      <c r="AR288" s="583" t="n"/>
      <c r="AS288" s="583" t="n"/>
      <c r="AT288" s="1113" t="n"/>
      <c r="AU288" s="583" t="n"/>
      <c r="AV288" s="583" t="n"/>
      <c r="AW288" s="583" t="n"/>
      <c r="AX288" s="583" t="n"/>
      <c r="AY288" s="1113" t="n"/>
      <c r="AZ288" s="583" t="n"/>
      <c r="BA288" s="583" t="n"/>
      <c r="BB288" s="583" t="n"/>
      <c r="BC288" s="583" t="n"/>
      <c r="BD288" s="1113" t="n"/>
      <c r="BE288" s="583" t="n"/>
      <c r="BF288" s="583" t="n"/>
      <c r="BG288" s="583" t="n"/>
      <c r="BH288" s="583" t="n"/>
      <c r="BI288" s="1113" t="n"/>
      <c r="BJ288" s="583" t="n"/>
      <c r="BK288" s="583" t="n"/>
      <c r="BL288" s="583" t="n"/>
      <c r="BM288" s="583" t="n"/>
      <c r="BN288" s="1113" t="n"/>
      <c r="BO288" s="583" t="n"/>
      <c r="BP288" s="583" t="n"/>
      <c r="BQ288" s="583" t="n"/>
      <c r="BR288" s="583" t="n"/>
      <c r="BS288" s="1113" t="n"/>
      <c r="BT288" s="583" t="n"/>
      <c r="BU288" s="583" t="n"/>
      <c r="BV288" s="893" t="n"/>
      <c r="BW288" s="583" t="n"/>
      <c r="BX288" s="1113" t="n"/>
      <c r="BY288" s="583" t="n"/>
      <c r="BZ288" s="583" t="n"/>
      <c r="CA288" s="583" t="n"/>
      <c r="CB288" s="583" t="n"/>
      <c r="CC288" s="1113" t="n"/>
      <c r="CD288" s="1113" t="n"/>
      <c r="CE288" s="1113" t="n"/>
      <c r="CF288" s="1113" t="n"/>
      <c r="CG288" s="155" t="n"/>
    </row>
    <row r="289" hidden="1" outlineLevel="1" customFormat="1" s="16">
      <c r="A289" s="581" t="inlineStr">
        <is>
          <t>Non-GAAP EBITDA Margin, %</t>
        </is>
      </c>
      <c r="B289" s="85" t="n"/>
      <c r="C289" s="1144">
        <f>C392/C362</f>
        <v/>
      </c>
      <c r="D289" s="1144">
        <f>D392/D362</f>
        <v/>
      </c>
      <c r="E289" s="1144">
        <f>E392/E362</f>
        <v/>
      </c>
      <c r="F289" s="1144">
        <f>F392/F362</f>
        <v/>
      </c>
      <c r="G289" s="580">
        <f>G392/G362</f>
        <v/>
      </c>
      <c r="H289" s="580">
        <f>H392/H362</f>
        <v/>
      </c>
      <c r="I289" s="580">
        <f>I392/I362</f>
        <v/>
      </c>
      <c r="J289" s="580">
        <f>J392/J362</f>
        <v/>
      </c>
      <c r="K289" s="1144">
        <f>K392/K362</f>
        <v/>
      </c>
      <c r="L289" s="580">
        <f>L392/L362</f>
        <v/>
      </c>
      <c r="M289" s="580">
        <f>M392/M362</f>
        <v/>
      </c>
      <c r="N289" s="580">
        <f>N392/N362</f>
        <v/>
      </c>
      <c r="O289" s="580">
        <f>O392/O362</f>
        <v/>
      </c>
      <c r="P289" s="1144">
        <f>P392/P362</f>
        <v/>
      </c>
      <c r="Q289" s="580">
        <f>Q392/Q362</f>
        <v/>
      </c>
      <c r="R289" s="580">
        <f>R392/R362</f>
        <v/>
      </c>
      <c r="S289" s="580">
        <f>S392/S362</f>
        <v/>
      </c>
      <c r="T289" s="580">
        <f>T392/T362</f>
        <v/>
      </c>
      <c r="U289" s="1144">
        <f>U392/U362</f>
        <v/>
      </c>
      <c r="V289" s="580">
        <f>V392/V362</f>
        <v/>
      </c>
      <c r="W289" s="580">
        <f>W392/W362</f>
        <v/>
      </c>
      <c r="X289" s="580">
        <f>X392/X362</f>
        <v/>
      </c>
      <c r="Y289" s="580">
        <f>Y392/Y362</f>
        <v/>
      </c>
      <c r="Z289" s="1145">
        <f>Z392/Z362</f>
        <v/>
      </c>
      <c r="AA289" s="580">
        <f>AA392/AA362</f>
        <v/>
      </c>
      <c r="AB289" s="580">
        <f>AB392/AB362</f>
        <v/>
      </c>
      <c r="AC289" s="580">
        <f>AC392/AC362</f>
        <v/>
      </c>
      <c r="AD289" s="580">
        <f>AD392/AD362</f>
        <v/>
      </c>
      <c r="AE289" s="1145">
        <f>AE392/AE362</f>
        <v/>
      </c>
      <c r="AF289" s="580">
        <f>AF392/AF362</f>
        <v/>
      </c>
      <c r="AG289" s="580">
        <f>AG392/AG362</f>
        <v/>
      </c>
      <c r="AH289" s="580">
        <f>AH392/AH362</f>
        <v/>
      </c>
      <c r="AI289" s="580">
        <f>AI392/AI362</f>
        <v/>
      </c>
      <c r="AJ289" s="1145">
        <f>AJ392/AJ362</f>
        <v/>
      </c>
      <c r="AK289" s="580">
        <f>AK392/AK362</f>
        <v/>
      </c>
      <c r="AL289" s="580">
        <f>AL392/AL362</f>
        <v/>
      </c>
      <c r="AM289" s="580">
        <f>AM392/AM362</f>
        <v/>
      </c>
      <c r="AN289" s="580">
        <f>AN392/AN362</f>
        <v/>
      </c>
      <c r="AO289" s="1145">
        <f>AO392/AO362</f>
        <v/>
      </c>
      <c r="AP289" s="580">
        <f>AP392/AP362</f>
        <v/>
      </c>
      <c r="AQ289" s="580">
        <f>AQ392/AQ362</f>
        <v/>
      </c>
      <c r="AR289" s="580">
        <f>AR392/AR362</f>
        <v/>
      </c>
      <c r="AS289" s="580">
        <f>AS392/AS362</f>
        <v/>
      </c>
      <c r="AT289" s="1145">
        <f>AT392/AT362</f>
        <v/>
      </c>
      <c r="AU289" s="580">
        <f>AU392/AU362</f>
        <v/>
      </c>
      <c r="AV289" s="580">
        <f>AV392/AV362</f>
        <v/>
      </c>
      <c r="AW289" s="580">
        <f>AW392/AW362</f>
        <v/>
      </c>
      <c r="AX289" s="580">
        <f>AX392/AX362</f>
        <v/>
      </c>
      <c r="AY289" s="1145">
        <f>AY392/AY362</f>
        <v/>
      </c>
      <c r="AZ289" s="580">
        <f>AZ392/AZ362</f>
        <v/>
      </c>
      <c r="BA289" s="580">
        <f>BA392/BA362</f>
        <v/>
      </c>
      <c r="BB289" s="580">
        <f>BB392/BB362</f>
        <v/>
      </c>
      <c r="BC289" s="580">
        <f>BC392/BC362</f>
        <v/>
      </c>
      <c r="BD289" s="1145">
        <f>BD392/BD362</f>
        <v/>
      </c>
      <c r="BE289" s="580">
        <f>BE392/BE362</f>
        <v/>
      </c>
      <c r="BF289" s="580">
        <f>BF392/BF362</f>
        <v/>
      </c>
      <c r="BG289" s="580">
        <f>BG392/BG362</f>
        <v/>
      </c>
      <c r="BH289" s="580">
        <f>BH392/BH362</f>
        <v/>
      </c>
      <c r="BI289" s="1145">
        <f>BI392/BI362</f>
        <v/>
      </c>
      <c r="BJ289" s="580">
        <f>BJ392/BJ362</f>
        <v/>
      </c>
      <c r="BK289" s="580">
        <f>BK392/BK362</f>
        <v/>
      </c>
      <c r="BL289" s="580">
        <f>BL392/BL362</f>
        <v/>
      </c>
      <c r="BM289" s="580">
        <f>BM392/BM362</f>
        <v/>
      </c>
      <c r="BN289" s="1145">
        <f>BN392/BN362</f>
        <v/>
      </c>
      <c r="BO289" s="580">
        <f>BO392/BO362</f>
        <v/>
      </c>
      <c r="BP289" s="580">
        <f>BP392/BP362</f>
        <v/>
      </c>
      <c r="BQ289" s="580">
        <f>BQ392/BQ362</f>
        <v/>
      </c>
      <c r="BR289" s="580">
        <f>BR392/BR362</f>
        <v/>
      </c>
      <c r="BS289" s="1145">
        <f>BS392/BS362</f>
        <v/>
      </c>
      <c r="BT289" s="580">
        <f>BT392/BT362</f>
        <v/>
      </c>
      <c r="BU289" s="580">
        <f>BU392/BU362</f>
        <v/>
      </c>
      <c r="BV289" s="891">
        <f>BV392/BV362</f>
        <v/>
      </c>
      <c r="BW289" s="580">
        <f>BW392/BW362</f>
        <v/>
      </c>
      <c r="BX289" s="1145">
        <f>BX392/BX362</f>
        <v/>
      </c>
      <c r="BY289" s="580">
        <f>BY392/BY362</f>
        <v/>
      </c>
      <c r="BZ289" s="580">
        <f>BZ392/BZ362</f>
        <v/>
      </c>
      <c r="CA289" s="580">
        <f>CA392/CA362</f>
        <v/>
      </c>
      <c r="CB289" s="580">
        <f>CB392/CB362</f>
        <v/>
      </c>
      <c r="CC289" s="1145">
        <f>CC392/CC362</f>
        <v/>
      </c>
      <c r="CD289" s="1145">
        <f>CD392/CD362</f>
        <v/>
      </c>
      <c r="CE289" s="1145">
        <f>CE392/CE362</f>
        <v/>
      </c>
      <c r="CF289" s="1145">
        <f>CF392/CF362</f>
        <v/>
      </c>
      <c r="CG289" s="25" t="n"/>
    </row>
    <row r="290" collapsed="1">
      <c r="A290" s="581" t="n"/>
      <c r="B290" s="85" t="n"/>
      <c r="C290" s="1144" t="n"/>
      <c r="D290" s="1144" t="n"/>
      <c r="E290" s="1144" t="n"/>
      <c r="F290" s="1144" t="n"/>
      <c r="G290" s="580" t="n"/>
      <c r="H290" s="580" t="n"/>
      <c r="I290" s="580" t="n"/>
      <c r="J290" s="580" t="n"/>
      <c r="K290" s="1144" t="n"/>
      <c r="L290" s="580" t="n"/>
      <c r="M290" s="580" t="n"/>
      <c r="N290" s="580" t="n"/>
      <c r="O290" s="580" t="n"/>
      <c r="P290" s="1144" t="n"/>
      <c r="Q290" s="580" t="n"/>
      <c r="R290" s="580" t="n"/>
      <c r="S290" s="580" t="n"/>
      <c r="T290" s="580" t="n"/>
      <c r="U290" s="1144" t="n"/>
      <c r="V290" s="580" t="n"/>
      <c r="W290" s="580" t="n"/>
      <c r="X290" s="580" t="n"/>
      <c r="Y290" s="580" t="n"/>
      <c r="Z290" s="1145" t="n"/>
      <c r="AA290" s="580" t="n"/>
      <c r="AB290" s="580" t="n"/>
      <c r="AC290" s="580" t="n"/>
      <c r="AD290" s="580" t="n"/>
      <c r="AE290" s="1145" t="n"/>
      <c r="AF290" s="580" t="n"/>
      <c r="AG290" s="580" t="n"/>
      <c r="AH290" s="580" t="n"/>
      <c r="AI290" s="580" t="n"/>
      <c r="AJ290" s="1145" t="n"/>
      <c r="AK290" s="580" t="n"/>
      <c r="AL290" s="580" t="n"/>
      <c r="AM290" s="580" t="n"/>
      <c r="AN290" s="580" t="n"/>
      <c r="AO290" s="1145" t="n"/>
      <c r="AP290" s="580" t="n"/>
      <c r="AQ290" s="580" t="n"/>
      <c r="AR290" s="580" t="n"/>
      <c r="AS290" s="580" t="n"/>
      <c r="AT290" s="1145" t="n"/>
      <c r="AU290" s="580" t="n"/>
      <c r="AV290" s="580" t="n"/>
      <c r="AW290" s="580" t="n"/>
      <c r="AX290" s="580" t="n"/>
      <c r="AY290" s="1145" t="n"/>
      <c r="AZ290" s="580" t="n"/>
      <c r="BA290" s="580" t="n"/>
      <c r="BB290" s="580" t="n"/>
      <c r="BC290" s="580" t="n"/>
      <c r="BD290" s="1145" t="n"/>
      <c r="BE290" s="580" t="n"/>
      <c r="BF290" s="580" t="n"/>
      <c r="BG290" s="580" t="n"/>
      <c r="BH290" s="580" t="n"/>
      <c r="BI290" s="1145" t="n"/>
      <c r="BJ290" s="580" t="n"/>
      <c r="BK290" s="580" t="n"/>
      <c r="BL290" s="580" t="n"/>
      <c r="BM290" s="580" t="n"/>
      <c r="BN290" s="1145" t="n"/>
      <c r="BO290" s="580" t="n"/>
      <c r="BP290" s="580" t="n"/>
      <c r="BQ290" s="580" t="n"/>
      <c r="BR290" s="580" t="n"/>
      <c r="BS290" s="1145" t="n"/>
      <c r="BT290" s="580" t="n"/>
      <c r="BU290" s="580" t="n"/>
      <c r="BV290" s="891" t="n"/>
      <c r="BW290" s="580" t="n"/>
      <c r="BX290" s="1145" t="n"/>
      <c r="BY290" s="580" t="n"/>
      <c r="BZ290" s="580" t="n"/>
      <c r="CA290" s="580" t="n"/>
      <c r="CB290" s="580" t="n"/>
      <c r="CC290" s="1145" t="n"/>
      <c r="CD290" s="1145" t="n"/>
      <c r="CE290" s="1145" t="n"/>
      <c r="CF290" s="1145" t="n"/>
      <c r="CG290" s="155" t="n"/>
    </row>
    <row r="291">
      <c r="A291" s="45" t="inlineStr">
        <is>
          <t>Income Statement - As Reported</t>
        </is>
      </c>
      <c r="B291" s="45" t="n"/>
      <c r="C291" s="45" t="n"/>
      <c r="D291" s="45" t="n"/>
      <c r="E291" s="45" t="n"/>
      <c r="F291" s="45" t="n"/>
      <c r="G291" s="45" t="n"/>
      <c r="H291" s="45" t="n"/>
      <c r="I291" s="45" t="n"/>
      <c r="J291" s="45" t="n"/>
      <c r="K291" s="45" t="n"/>
      <c r="L291" s="45" t="n"/>
      <c r="M291" s="45" t="n"/>
      <c r="N291" s="45" t="n"/>
      <c r="O291" s="45" t="n"/>
      <c r="P291" s="45" t="n"/>
      <c r="Q291" s="45" t="n"/>
      <c r="R291" s="45" t="n"/>
      <c r="S291" s="45" t="n"/>
      <c r="T291" s="45" t="n"/>
      <c r="U291" s="45" t="n"/>
      <c r="V291" s="45" t="n"/>
      <c r="W291" s="45" t="n"/>
      <c r="X291" s="45" t="n"/>
      <c r="Y291" s="45" t="n"/>
      <c r="Z291" s="45" t="n"/>
      <c r="AA291" s="45" t="n"/>
      <c r="AB291" s="45" t="n"/>
      <c r="AC291" s="45" t="n"/>
      <c r="AD291" s="45" t="n"/>
      <c r="AE291" s="45" t="n"/>
      <c r="AF291" s="45" t="n"/>
      <c r="AG291" s="45" t="n"/>
      <c r="AH291" s="45" t="n"/>
      <c r="AI291" s="45" t="n"/>
      <c r="AJ291" s="45" t="n"/>
      <c r="AK291" s="45" t="n"/>
      <c r="AL291" s="45" t="n"/>
      <c r="AM291" s="45" t="n"/>
      <c r="AN291" s="45" t="n"/>
      <c r="AO291" s="45" t="n"/>
      <c r="AP291" s="45" t="n"/>
      <c r="AQ291" s="45" t="n"/>
      <c r="AR291" s="45" t="n"/>
      <c r="AS291" s="45" t="n"/>
      <c r="AT291" s="45" t="n"/>
      <c r="AU291" s="45" t="n"/>
      <c r="AV291" s="45" t="n"/>
      <c r="AW291" s="45" t="n"/>
      <c r="AX291" s="45" t="n"/>
      <c r="AY291" s="45" t="n"/>
      <c r="AZ291" s="45" t="n"/>
      <c r="BA291" s="45" t="n"/>
      <c r="BB291" s="45" t="n"/>
      <c r="BC291" s="45" t="n"/>
      <c r="BD291" s="45" t="n"/>
      <c r="BE291" s="45" t="n"/>
      <c r="BF291" s="45" t="n"/>
      <c r="BG291" s="45" t="n"/>
      <c r="BH291" s="45" t="n"/>
      <c r="BI291" s="45" t="n"/>
      <c r="BJ291" s="45" t="n"/>
      <c r="BK291" s="45" t="n"/>
      <c r="BL291" s="45" t="n"/>
      <c r="BM291" s="45" t="n"/>
      <c r="BN291" s="45" t="n"/>
      <c r="BO291" s="45" t="n"/>
      <c r="BP291" s="45" t="n"/>
      <c r="BQ291" s="45" t="n"/>
      <c r="BR291" s="45" t="n"/>
      <c r="BS291" s="45" t="n"/>
      <c r="BT291" s="45" t="n"/>
      <c r="BU291" s="45" t="n"/>
      <c r="BV291" s="982" t="n"/>
      <c r="BW291" s="45" t="n"/>
      <c r="BX291" s="45" t="n"/>
      <c r="BY291" s="45" t="n"/>
      <c r="BZ291" s="45" t="n"/>
      <c r="CA291" s="45" t="n"/>
      <c r="CB291" s="45" t="n"/>
      <c r="CC291" s="45" t="n"/>
      <c r="CD291" s="45" t="n"/>
      <c r="CE291" s="45" t="n"/>
      <c r="CF291" s="45" t="n"/>
      <c r="CG291" s="155" t="n"/>
    </row>
    <row r="292" hidden="1" outlineLevel="1">
      <c r="A292" s="62" t="inlineStr">
        <is>
          <t>Revenue</t>
        </is>
      </c>
      <c r="B292" s="279" t="n"/>
      <c r="C292" s="1148" t="n">
        <v>3424.859</v>
      </c>
      <c r="D292" s="1148" t="n">
        <v>3326.445</v>
      </c>
      <c r="E292" s="1148" t="n">
        <v>3543.309</v>
      </c>
      <c r="F292" s="1148" t="n">
        <v>3997.93</v>
      </c>
      <c r="G292" s="1062" t="n">
        <v>924.877</v>
      </c>
      <c r="H292" s="1062" t="n">
        <v>1044.27</v>
      </c>
      <c r="I292" s="1062" t="n">
        <v>1204.11</v>
      </c>
      <c r="J292" s="28">
        <f>K292-G292-H292-I292</f>
        <v/>
      </c>
      <c r="K292" s="1148" t="n">
        <v>4280.159</v>
      </c>
      <c r="L292" s="1062" t="n">
        <v>954.739</v>
      </c>
      <c r="M292" s="1062" t="n">
        <v>977.2380000000001</v>
      </c>
      <c r="N292" s="1062" t="n">
        <v>1053.967</v>
      </c>
      <c r="O292" s="28">
        <f>P292-L292-M292-N292</f>
        <v/>
      </c>
      <c r="P292" s="1148" t="n">
        <v>4130.162</v>
      </c>
      <c r="Q292" s="1062" t="n">
        <v>1103</v>
      </c>
      <c r="R292" s="1062" t="n">
        <v>1103</v>
      </c>
      <c r="S292" s="1062" t="n">
        <v>1225</v>
      </c>
      <c r="T292" s="28">
        <f>U292-Q292-R292-S292</f>
        <v/>
      </c>
      <c r="U292" s="1148" t="n">
        <v>4682</v>
      </c>
      <c r="V292" s="1062" t="n">
        <v>1151</v>
      </c>
      <c r="W292" s="1062" t="n">
        <v>1153</v>
      </c>
      <c r="X292" s="1062" t="n">
        <v>1305</v>
      </c>
      <c r="Y292" s="1062" t="n">
        <v>1401</v>
      </c>
      <c r="Z292" s="1148" t="n">
        <v>5010</v>
      </c>
      <c r="AA292" s="1062" t="n">
        <v>1305</v>
      </c>
      <c r="AB292" s="1062" t="n">
        <v>1428</v>
      </c>
      <c r="AC292" s="1062" t="n">
        <v>2004</v>
      </c>
      <c r="AD292" s="1062" t="n">
        <v>2173</v>
      </c>
      <c r="AE292" s="1148" t="n">
        <v>6910</v>
      </c>
      <c r="AF292" s="1062" t="n">
        <v>1937</v>
      </c>
      <c r="AG292" s="1062" t="n">
        <v>2230</v>
      </c>
      <c r="AH292" s="1062" t="n">
        <v>2636</v>
      </c>
      <c r="AI292" s="1062" t="n">
        <v>2911</v>
      </c>
      <c r="AJ292" s="1148" t="n">
        <v>9714</v>
      </c>
      <c r="AK292" s="1062" t="n">
        <v>3207</v>
      </c>
      <c r="AL292" s="1062" t="n">
        <v>3123</v>
      </c>
      <c r="AM292" s="1062" t="n">
        <v>3181</v>
      </c>
      <c r="AN292" s="1062" t="n">
        <v>2205</v>
      </c>
      <c r="AO292" s="1148" t="n">
        <v>11716</v>
      </c>
      <c r="AP292" s="1062" t="n">
        <v>2220</v>
      </c>
      <c r="AQ292" s="1062" t="n">
        <v>2579</v>
      </c>
      <c r="AR292" s="1062" t="n">
        <v>3014</v>
      </c>
      <c r="AS292" s="1062" t="n">
        <v>3105</v>
      </c>
      <c r="AT292" s="1148" t="n">
        <v>10918</v>
      </c>
      <c r="AU292" s="1062" t="n">
        <v>3080</v>
      </c>
      <c r="AV292" s="1062" t="n">
        <v>3866</v>
      </c>
      <c r="AW292" s="1062" t="n">
        <v>4726</v>
      </c>
      <c r="AX292" s="1062" t="n">
        <v>5003</v>
      </c>
      <c r="AY292" s="1148" t="n">
        <v>16675</v>
      </c>
      <c r="AZ292" s="1062" t="n">
        <v>5661</v>
      </c>
      <c r="BA292" s="1062" t="n">
        <v>6507</v>
      </c>
      <c r="BB292" s="1062" t="n">
        <v>7103</v>
      </c>
      <c r="BC292" s="1062" t="n">
        <v>7643</v>
      </c>
      <c r="BD292" s="1148" t="n">
        <v>26914</v>
      </c>
      <c r="BE292" s="1062" t="n">
        <v>8288</v>
      </c>
      <c r="BF292" s="1062" t="n">
        <v>6704</v>
      </c>
      <c r="BG292" s="1062" t="n">
        <v>5931</v>
      </c>
      <c r="BH292" s="28">
        <f>BI292-SUM(BE292,BF292,BG292)</f>
        <v/>
      </c>
      <c r="BI292" s="1148" t="n">
        <v>26974</v>
      </c>
      <c r="BJ292" s="1062" t="n">
        <v>7192</v>
      </c>
      <c r="BK292" s="1062" t="n">
        <v>13507</v>
      </c>
      <c r="BL292" s="1062" t="n">
        <v>18120</v>
      </c>
      <c r="BM292" s="28">
        <f>BN292-SUM(BJ292,BK292,BL292)</f>
        <v/>
      </c>
      <c r="BN292" s="1148" t="n">
        <v>60922</v>
      </c>
      <c r="BO292" s="1062" t="n">
        <v>26044</v>
      </c>
      <c r="BP292" s="1062" t="n">
        <v>30040</v>
      </c>
      <c r="BQ292" s="1062" t="n">
        <v>35082</v>
      </c>
      <c r="BR292" s="28">
        <f>BS292-SUM(BO292,BP292,BQ292)</f>
        <v/>
      </c>
      <c r="BS292" s="1148" t="n">
        <v>130497</v>
      </c>
      <c r="BT292" s="1062" t="n">
        <v>44062</v>
      </c>
      <c r="BU292" s="1062" t="n">
        <v>46743</v>
      </c>
      <c r="BV292" s="1069" t="n">
        <v>57006</v>
      </c>
      <c r="BW292" s="63" t="n"/>
      <c r="BX292" s="1125" t="n"/>
      <c r="BY292" s="63" t="n"/>
      <c r="BZ292" s="63" t="n"/>
      <c r="CA292" s="63" t="n"/>
      <c r="CB292" s="63" t="n"/>
      <c r="CC292" s="1125" t="n"/>
      <c r="CD292" s="1125" t="n"/>
      <c r="CE292" s="1125" t="n"/>
      <c r="CF292" s="1125" t="n"/>
      <c r="CG292" s="155" t="n"/>
    </row>
    <row r="293" hidden="1" outlineLevel="1">
      <c r="A293" s="67" t="inlineStr">
        <is>
          <t>Cost of revenue</t>
        </is>
      </c>
      <c r="B293" s="146" t="n"/>
      <c r="C293" s="1111" t="n">
        <v>2250.59</v>
      </c>
      <c r="D293" s="1111" t="n">
        <v>2149.522</v>
      </c>
      <c r="E293" s="1111" t="n">
        <v>2134.219</v>
      </c>
      <c r="F293" s="1111" t="n">
        <v>1941.413</v>
      </c>
      <c r="G293" s="1053" t="n">
        <v>461.513</v>
      </c>
      <c r="H293" s="1053" t="n">
        <v>503.551</v>
      </c>
      <c r="I293" s="1053" t="n">
        <v>567.452</v>
      </c>
      <c r="J293" s="27">
        <f>K293-G293-H293-I293</f>
        <v/>
      </c>
      <c r="K293" s="1111" t="n">
        <v>2053.816</v>
      </c>
      <c r="L293" s="1053" t="n">
        <v>436.171</v>
      </c>
      <c r="M293" s="1053" t="n">
        <v>431.7</v>
      </c>
      <c r="N293" s="1053" t="n">
        <v>469.552</v>
      </c>
      <c r="O293" s="27">
        <f>P293-L293-M293-N293</f>
        <v/>
      </c>
      <c r="P293" s="1111" t="n">
        <v>1862.399</v>
      </c>
      <c r="Q293" s="1053" t="n">
        <v>499</v>
      </c>
      <c r="R293" s="1053" t="n">
        <v>484</v>
      </c>
      <c r="S293" s="1053" t="n">
        <v>549</v>
      </c>
      <c r="T293" s="27">
        <f>U293-Q293-R293-S293</f>
        <v/>
      </c>
      <c r="U293" s="1111" t="n">
        <v>2083</v>
      </c>
      <c r="V293" s="1053" t="n">
        <v>498</v>
      </c>
      <c r="W293" s="1053" t="n">
        <v>519</v>
      </c>
      <c r="X293" s="1053" t="n">
        <v>571</v>
      </c>
      <c r="Y293" s="1053" t="n">
        <v>610</v>
      </c>
      <c r="Z293" s="1111" t="n">
        <v>2199</v>
      </c>
      <c r="AA293" s="1053" t="n">
        <v>554</v>
      </c>
      <c r="AB293" s="1053" t="n">
        <v>602</v>
      </c>
      <c r="AC293" s="1053" t="n">
        <v>821</v>
      </c>
      <c r="AD293" s="1053" t="n">
        <v>870</v>
      </c>
      <c r="AE293" s="1111" t="n">
        <v>2847</v>
      </c>
      <c r="AF293" s="1053" t="n">
        <v>787</v>
      </c>
      <c r="AG293" s="1053" t="n">
        <v>928</v>
      </c>
      <c r="AH293" s="1053" t="n">
        <v>1067</v>
      </c>
      <c r="AI293" s="1053" t="n">
        <v>1110</v>
      </c>
      <c r="AJ293" s="1111" t="n">
        <v>3892</v>
      </c>
      <c r="AK293" s="1053" t="n">
        <v>1139</v>
      </c>
      <c r="AL293" s="1053" t="n">
        <v>1148</v>
      </c>
      <c r="AM293" s="1053" t="n">
        <v>1260</v>
      </c>
      <c r="AN293" s="1053" t="n">
        <v>998</v>
      </c>
      <c r="AO293" s="1111" t="n">
        <v>4545</v>
      </c>
      <c r="AP293" s="1060" t="n">
        <v>924</v>
      </c>
      <c r="AQ293" s="1053" t="n">
        <v>1038</v>
      </c>
      <c r="AR293" s="1053" t="n">
        <v>1098</v>
      </c>
      <c r="AS293" s="1053" t="n">
        <v>1090</v>
      </c>
      <c r="AT293" s="1111" t="n">
        <v>4150</v>
      </c>
      <c r="AU293" s="1060" t="n">
        <v>1076</v>
      </c>
      <c r="AV293" s="1053" t="n">
        <v>1591</v>
      </c>
      <c r="AW293" s="1053" t="n">
        <v>1766</v>
      </c>
      <c r="AX293" s="1053" t="n">
        <v>1846</v>
      </c>
      <c r="AY293" s="1111" t="n">
        <v>6279</v>
      </c>
      <c r="AZ293" s="1060" t="n">
        <v>2032</v>
      </c>
      <c r="BA293" s="1053" t="n">
        <v>2292</v>
      </c>
      <c r="BB293" s="1053" t="n">
        <v>2472</v>
      </c>
      <c r="BC293" s="1053" t="n">
        <v>2644</v>
      </c>
      <c r="BD293" s="1111" t="n">
        <v>9439</v>
      </c>
      <c r="BE293" s="1060" t="n">
        <v>2857</v>
      </c>
      <c r="BF293" s="1053" t="n">
        <v>3789</v>
      </c>
      <c r="BG293" s="1053" t="n">
        <v>2754</v>
      </c>
      <c r="BH293" s="27">
        <f>BI293-SUM(BE293,BF293,BG293)</f>
        <v/>
      </c>
      <c r="BI293" s="1111" t="n">
        <v>11618</v>
      </c>
      <c r="BJ293" s="1060" t="n">
        <v>2544</v>
      </c>
      <c r="BK293" s="1053" t="n">
        <v>4045</v>
      </c>
      <c r="BL293" s="1053" t="n">
        <v>4720</v>
      </c>
      <c r="BM293" s="27">
        <f>BN293-SUM(BJ293,BK293,BL293)</f>
        <v/>
      </c>
      <c r="BN293" s="1111" t="n">
        <v>16621</v>
      </c>
      <c r="BO293" s="1060" t="n">
        <v>5638</v>
      </c>
      <c r="BP293" s="1053" t="n">
        <v>7466</v>
      </c>
      <c r="BQ293" s="1053" t="n">
        <v>8926</v>
      </c>
      <c r="BR293" s="1053" t="n">
        <v>10608</v>
      </c>
      <c r="BS293" s="1111" t="n">
        <v>32639</v>
      </c>
      <c r="BT293" s="1060" t="n">
        <v>17394</v>
      </c>
      <c r="BU293" s="1053" t="n">
        <v>12890</v>
      </c>
      <c r="BV293" s="1054" t="n">
        <v>15157</v>
      </c>
      <c r="BW293" s="68" t="n"/>
      <c r="BX293" s="1110" t="n"/>
      <c r="BY293" s="68" t="n"/>
      <c r="BZ293" s="68" t="n"/>
      <c r="CA293" s="68" t="n"/>
      <c r="CB293" s="68" t="n"/>
      <c r="CC293" s="1110" t="n"/>
      <c r="CD293" s="1110" t="n"/>
      <c r="CE293" s="1110" t="n"/>
      <c r="CF293" s="1110" t="n"/>
      <c r="CG293" s="155" t="n"/>
    </row>
    <row r="294" hidden="1" outlineLevel="1">
      <c r="A294" s="59" t="inlineStr">
        <is>
          <t>Gross profit</t>
        </is>
      </c>
      <c r="B294" s="607" t="n"/>
      <c r="C294" s="1123">
        <f>C292-C293</f>
        <v/>
      </c>
      <c r="D294" s="1123">
        <f>D292-D293</f>
        <v/>
      </c>
      <c r="E294" s="1123">
        <f>E292-E293</f>
        <v/>
      </c>
      <c r="F294" s="1123">
        <f>F292-F293</f>
        <v/>
      </c>
      <c r="G294" s="60">
        <f>G292-G293</f>
        <v/>
      </c>
      <c r="H294" s="60">
        <f>H292-H293</f>
        <v/>
      </c>
      <c r="I294" s="60">
        <f>I292-I293</f>
        <v/>
      </c>
      <c r="J294" s="60">
        <f>J292-J293</f>
        <v/>
      </c>
      <c r="K294" s="1123">
        <f>K292-K293</f>
        <v/>
      </c>
      <c r="L294" s="60">
        <f>L292-L293</f>
        <v/>
      </c>
      <c r="M294" s="60">
        <f>M292-M293</f>
        <v/>
      </c>
      <c r="N294" s="60">
        <f>N292-N293</f>
        <v/>
      </c>
      <c r="O294" s="60">
        <f>O292-O293</f>
        <v/>
      </c>
      <c r="P294" s="1123">
        <f>P292-P293</f>
        <v/>
      </c>
      <c r="Q294" s="60">
        <f>Q292-Q293</f>
        <v/>
      </c>
      <c r="R294" s="60">
        <f>R292-R293</f>
        <v/>
      </c>
      <c r="S294" s="60">
        <f>S292-S293</f>
        <v/>
      </c>
      <c r="T294" s="60">
        <f>T292-T293</f>
        <v/>
      </c>
      <c r="U294" s="1123">
        <f>U292-U293</f>
        <v/>
      </c>
      <c r="V294" s="60">
        <f>V292-V293</f>
        <v/>
      </c>
      <c r="W294" s="60">
        <f>W292-W293</f>
        <v/>
      </c>
      <c r="X294" s="60">
        <f>X292-X293</f>
        <v/>
      </c>
      <c r="Y294" s="60">
        <f>Y292-Y293</f>
        <v/>
      </c>
      <c r="Z294" s="1123">
        <f>Z292-Z293</f>
        <v/>
      </c>
      <c r="AA294" s="60">
        <f>AA292-AA293</f>
        <v/>
      </c>
      <c r="AB294" s="60">
        <f>AB292-AB293</f>
        <v/>
      </c>
      <c r="AC294" s="61">
        <f>AC292-AC293</f>
        <v/>
      </c>
      <c r="AD294" s="61">
        <f>AD292-AD293</f>
        <v/>
      </c>
      <c r="AE294" s="1122">
        <f>AE292-AE293</f>
        <v/>
      </c>
      <c r="AF294" s="61">
        <f>AF292-AF293</f>
        <v/>
      </c>
      <c r="AG294" s="60">
        <f>AG292-AG293</f>
        <v/>
      </c>
      <c r="AH294" s="60">
        <f>AH292-AH293</f>
        <v/>
      </c>
      <c r="AI294" s="61">
        <f>AI292-AI293</f>
        <v/>
      </c>
      <c r="AJ294" s="1122">
        <f>AJ292-AJ293</f>
        <v/>
      </c>
      <c r="AK294" s="60">
        <f>AK292-AK293</f>
        <v/>
      </c>
      <c r="AL294" s="60">
        <f>AL292-AL293</f>
        <v/>
      </c>
      <c r="AM294" s="60">
        <f>AM292-AM293</f>
        <v/>
      </c>
      <c r="AN294" s="61">
        <f>AN292-AN293</f>
        <v/>
      </c>
      <c r="AO294" s="1122">
        <f>AO292-AO293</f>
        <v/>
      </c>
      <c r="AP294" s="60">
        <f>AP292-AP293</f>
        <v/>
      </c>
      <c r="AQ294" s="60">
        <f>AQ292-AQ293</f>
        <v/>
      </c>
      <c r="AR294" s="60">
        <f>AR292-AR293</f>
        <v/>
      </c>
      <c r="AS294" s="61">
        <f>AS292-AS293</f>
        <v/>
      </c>
      <c r="AT294" s="1122">
        <f>AT292-AT293</f>
        <v/>
      </c>
      <c r="AU294" s="60">
        <f>AU292-AU293</f>
        <v/>
      </c>
      <c r="AV294" s="60">
        <f>AV292-AV293</f>
        <v/>
      </c>
      <c r="AW294" s="60">
        <f>AW292-AW293</f>
        <v/>
      </c>
      <c r="AX294" s="61">
        <f>AX292-AX293</f>
        <v/>
      </c>
      <c r="AY294" s="1122">
        <f>AY292-AY293</f>
        <v/>
      </c>
      <c r="AZ294" s="60">
        <f>AZ292-AZ293</f>
        <v/>
      </c>
      <c r="BA294" s="60">
        <f>BA292-BA293</f>
        <v/>
      </c>
      <c r="BB294" s="60">
        <f>BB292-BB293</f>
        <v/>
      </c>
      <c r="BC294" s="61">
        <f>BC292-BC293</f>
        <v/>
      </c>
      <c r="BD294" s="1122">
        <f>BD292-BD293</f>
        <v/>
      </c>
      <c r="BE294" s="60">
        <f>BE292-BE293</f>
        <v/>
      </c>
      <c r="BF294" s="60">
        <f>BF292-BF293</f>
        <v/>
      </c>
      <c r="BG294" s="60">
        <f>BG292-BG293</f>
        <v/>
      </c>
      <c r="BH294" s="61">
        <f>BH292-BH293</f>
        <v/>
      </c>
      <c r="BI294" s="1122">
        <f>BI292-BI293</f>
        <v/>
      </c>
      <c r="BJ294" s="60">
        <f>BJ292-BJ293</f>
        <v/>
      </c>
      <c r="BK294" s="60">
        <f>BK292-BK293</f>
        <v/>
      </c>
      <c r="BL294" s="60">
        <f>BL292-BL293</f>
        <v/>
      </c>
      <c r="BM294" s="61">
        <f>BM292-BM293</f>
        <v/>
      </c>
      <c r="BN294" s="1122">
        <f>BN292-BN293</f>
        <v/>
      </c>
      <c r="BO294" s="60">
        <f>BO292-BO293</f>
        <v/>
      </c>
      <c r="BP294" s="60">
        <f>BP292-BP293</f>
        <v/>
      </c>
      <c r="BQ294" s="60">
        <f>BQ292-BQ293</f>
        <v/>
      </c>
      <c r="BR294" s="61">
        <f>BR292-BR293</f>
        <v/>
      </c>
      <c r="BS294" s="1122">
        <f>BS292-BS293</f>
        <v/>
      </c>
      <c r="BT294" s="60">
        <f>BT292-BT293</f>
        <v/>
      </c>
      <c r="BU294" s="60">
        <f>BU292-BU293</f>
        <v/>
      </c>
      <c r="BV294" s="883">
        <f>BV292-BV293</f>
        <v/>
      </c>
      <c r="BW294" s="61" t="n"/>
      <c r="BX294" s="1122" t="n"/>
      <c r="BY294" s="61" t="n"/>
      <c r="BZ294" s="61" t="n"/>
      <c r="CA294" s="61" t="n"/>
      <c r="CB294" s="61" t="n"/>
      <c r="CC294" s="1122" t="n"/>
      <c r="CD294" s="1122" t="n"/>
      <c r="CE294" s="1122" t="n"/>
      <c r="CF294" s="1122" t="n"/>
      <c r="CG294" s="155" t="n"/>
    </row>
    <row r="295" hidden="1" outlineLevel="1">
      <c r="A295" s="67" t="inlineStr">
        <is>
          <t>Research and development</t>
        </is>
      </c>
      <c r="B295" s="146" t="n"/>
      <c r="C295" s="1111" t="n">
        <v>855.879</v>
      </c>
      <c r="D295" s="1111" t="n">
        <v>908.851</v>
      </c>
      <c r="E295" s="1111" t="n">
        <v>848.83</v>
      </c>
      <c r="F295" s="1111" t="n">
        <v>1002.605</v>
      </c>
      <c r="G295" s="1053" t="n">
        <v>283.902</v>
      </c>
      <c r="H295" s="1053" t="n">
        <v>281.193</v>
      </c>
      <c r="I295" s="1053" t="n">
        <v>284.18</v>
      </c>
      <c r="J295" s="27">
        <f>K295-G295-H295-I295</f>
        <v/>
      </c>
      <c r="K295" s="1111" t="n">
        <v>1147.282</v>
      </c>
      <c r="L295" s="1053" t="n">
        <v>327.161</v>
      </c>
      <c r="M295" s="1053" t="n">
        <v>331.738</v>
      </c>
      <c r="N295" s="1053" t="n">
        <v>340.294</v>
      </c>
      <c r="O295" s="27">
        <f>P295-L295-M295-N295</f>
        <v/>
      </c>
      <c r="P295" s="1111" t="n">
        <v>1335.834</v>
      </c>
      <c r="Q295" s="1053" t="n">
        <v>334</v>
      </c>
      <c r="R295" s="1053" t="n">
        <v>337</v>
      </c>
      <c r="S295" s="1053" t="n">
        <v>340</v>
      </c>
      <c r="T295" s="27">
        <f>U295-Q295-R295-S295</f>
        <v/>
      </c>
      <c r="U295" s="1111" t="n">
        <v>1360</v>
      </c>
      <c r="V295" s="1053" t="n">
        <v>339</v>
      </c>
      <c r="W295" s="1053" t="n">
        <v>320</v>
      </c>
      <c r="X295" s="1053" t="n">
        <v>329</v>
      </c>
      <c r="Y295" s="1053" t="n">
        <v>344</v>
      </c>
      <c r="Z295" s="1111" t="n">
        <v>1331</v>
      </c>
      <c r="AA295" s="1053" t="n">
        <v>346</v>
      </c>
      <c r="AB295" s="1053" t="n">
        <v>350</v>
      </c>
      <c r="AC295" s="1053" t="n">
        <v>373</v>
      </c>
      <c r="AD295" s="1053" t="n">
        <v>394</v>
      </c>
      <c r="AE295" s="1111" t="n">
        <v>1463</v>
      </c>
      <c r="AF295" s="1053" t="n">
        <v>411</v>
      </c>
      <c r="AG295" s="1053" t="n">
        <v>416</v>
      </c>
      <c r="AH295" s="1053" t="n">
        <v>462</v>
      </c>
      <c r="AI295" s="1053" t="n">
        <v>508</v>
      </c>
      <c r="AJ295" s="1111" t="n">
        <v>1797</v>
      </c>
      <c r="AK295" s="1053" t="n">
        <v>542</v>
      </c>
      <c r="AL295" s="1053" t="n">
        <v>581</v>
      </c>
      <c r="AM295" s="1053" t="n">
        <v>605</v>
      </c>
      <c r="AN295" s="1053" t="n">
        <v>647</v>
      </c>
      <c r="AO295" s="1111" t="n">
        <v>2376</v>
      </c>
      <c r="AP295" s="1053" t="n">
        <v>674</v>
      </c>
      <c r="AQ295" s="1053" t="n">
        <v>704</v>
      </c>
      <c r="AR295" s="1053" t="n">
        <v>712</v>
      </c>
      <c r="AS295" s="1053" t="n">
        <v>738</v>
      </c>
      <c r="AT295" s="1111" t="n">
        <v>2829</v>
      </c>
      <c r="AU295" s="1053" t="n">
        <v>735</v>
      </c>
      <c r="AV295" s="1053" t="n">
        <v>997</v>
      </c>
      <c r="AW295" s="1053" t="n">
        <v>1047</v>
      </c>
      <c r="AX295" s="1053" t="n">
        <v>1147</v>
      </c>
      <c r="AY295" s="1111" t="n">
        <v>3924</v>
      </c>
      <c r="AZ295" s="1053" t="n">
        <v>1153</v>
      </c>
      <c r="BA295" s="1053" t="n">
        <v>1245</v>
      </c>
      <c r="BB295" s="1053" t="n">
        <v>1403</v>
      </c>
      <c r="BC295" s="1053" t="n">
        <v>1466</v>
      </c>
      <c r="BD295" s="1111" t="n">
        <v>5268</v>
      </c>
      <c r="BE295" s="1053" t="n">
        <v>1618</v>
      </c>
      <c r="BF295" s="1053" t="n">
        <v>1824</v>
      </c>
      <c r="BG295" s="1053" t="n">
        <v>1945</v>
      </c>
      <c r="BH295" s="1053" t="n">
        <v>1951</v>
      </c>
      <c r="BI295" s="1111" t="n">
        <v>7339</v>
      </c>
      <c r="BJ295" s="1053" t="n">
        <v>1875</v>
      </c>
      <c r="BK295" s="1053" t="n">
        <v>2040</v>
      </c>
      <c r="BL295" s="1053" t="n">
        <v>2294</v>
      </c>
      <c r="BM295" s="1053" t="n">
        <v>2465</v>
      </c>
      <c r="BN295" s="1111" t="n">
        <v>8675</v>
      </c>
      <c r="BO295" s="1053" t="n">
        <v>2720</v>
      </c>
      <c r="BP295" s="1053" t="n">
        <v>3090</v>
      </c>
      <c r="BQ295" s="1053" t="n">
        <v>3390</v>
      </c>
      <c r="BR295" s="1053" t="n">
        <v>3714</v>
      </c>
      <c r="BS295" s="1111" t="n">
        <v>12914</v>
      </c>
      <c r="BT295" s="1053" t="n">
        <v>3989</v>
      </c>
      <c r="BU295" s="1053" t="n">
        <v>4291</v>
      </c>
      <c r="BV295" s="1054" t="n">
        <v>4705</v>
      </c>
      <c r="BW295" s="68" t="n"/>
      <c r="BX295" s="1110" t="n"/>
      <c r="BY295" s="68" t="n"/>
      <c r="BZ295" s="68" t="n"/>
      <c r="CA295" s="68" t="n"/>
      <c r="CB295" s="68" t="n"/>
      <c r="CC295" s="1110" t="n"/>
      <c r="CD295" s="1110" t="n"/>
      <c r="CE295" s="1110" t="n"/>
      <c r="CF295" s="1110" t="n"/>
      <c r="CG295" s="155" t="n"/>
    </row>
    <row r="296" hidden="1" outlineLevel="1">
      <c r="A296" s="67" t="inlineStr">
        <is>
          <t>Sales, general and administrative</t>
        </is>
      </c>
      <c r="B296" s="146" t="n"/>
      <c r="C296" s="1111" t="n">
        <v>362.222</v>
      </c>
      <c r="D296" s="1111" t="n">
        <v>367.017</v>
      </c>
      <c r="E296" s="1111" t="n">
        <v>361.513</v>
      </c>
      <c r="F296" s="1111" t="n">
        <v>405.613</v>
      </c>
      <c r="G296" s="1053" t="n">
        <v>106.636</v>
      </c>
      <c r="H296" s="1053" t="n">
        <v>119.903</v>
      </c>
      <c r="I296" s="1053" t="n">
        <v>100.261</v>
      </c>
      <c r="J296" s="27">
        <f>K296-G296-H296-I296</f>
        <v/>
      </c>
      <c r="K296" s="1111" t="n">
        <v>430.822</v>
      </c>
      <c r="L296" s="1053" t="n">
        <v>108.626</v>
      </c>
      <c r="M296" s="1053" t="n">
        <v>108.266</v>
      </c>
      <c r="N296" s="1053" t="n">
        <v>103.133</v>
      </c>
      <c r="O296" s="27">
        <f>P296-L296-M296-N296</f>
        <v/>
      </c>
      <c r="P296" s="1111" t="n">
        <v>435.702</v>
      </c>
      <c r="Q296" s="1053" t="n">
        <v>119</v>
      </c>
      <c r="R296" s="1053" t="n">
        <v>119</v>
      </c>
      <c r="S296" s="1053" t="n">
        <v>123</v>
      </c>
      <c r="T296" s="27">
        <f>U296-Q296-R296-S296</f>
        <v/>
      </c>
      <c r="U296" s="1111" t="n">
        <v>480</v>
      </c>
      <c r="V296" s="1053" t="n">
        <v>138</v>
      </c>
      <c r="W296" s="1053" t="n">
        <v>149</v>
      </c>
      <c r="X296" s="1053" t="n">
        <v>152</v>
      </c>
      <c r="Y296" s="1053" t="n">
        <v>161</v>
      </c>
      <c r="Z296" s="1111" t="n">
        <v>602</v>
      </c>
      <c r="AA296" s="1053" t="n">
        <v>159</v>
      </c>
      <c r="AB296" s="1053" t="n">
        <v>157</v>
      </c>
      <c r="AC296" s="1053" t="n">
        <v>171</v>
      </c>
      <c r="AD296" s="1053" t="n">
        <v>176</v>
      </c>
      <c r="AE296" s="1111" t="n">
        <v>663</v>
      </c>
      <c r="AF296" s="1053" t="n">
        <v>185</v>
      </c>
      <c r="AG296" s="1053" t="n">
        <v>198</v>
      </c>
      <c r="AH296" s="1053" t="n">
        <v>212</v>
      </c>
      <c r="AI296" s="1053" t="n">
        <v>220</v>
      </c>
      <c r="AJ296" s="1111" t="n">
        <v>815</v>
      </c>
      <c r="AK296" s="1053" t="n">
        <v>231</v>
      </c>
      <c r="AL296" s="1053" t="n">
        <v>237</v>
      </c>
      <c r="AM296" s="1053" t="n">
        <v>258</v>
      </c>
      <c r="AN296" s="1053" t="n">
        <v>266</v>
      </c>
      <c r="AO296" s="1111" t="n">
        <v>991</v>
      </c>
      <c r="AP296" s="1053" t="n">
        <v>264</v>
      </c>
      <c r="AQ296" s="1053" t="n">
        <v>266</v>
      </c>
      <c r="AR296" s="1053" t="n">
        <v>277</v>
      </c>
      <c r="AS296" s="1053" t="n">
        <v>287</v>
      </c>
      <c r="AT296" s="1111" t="n">
        <v>1093</v>
      </c>
      <c r="AU296" s="1053" t="n">
        <v>293</v>
      </c>
      <c r="AV296" s="1053" t="n">
        <v>627</v>
      </c>
      <c r="AW296" s="1053" t="n">
        <v>515</v>
      </c>
      <c r="AX296" s="1053" t="n">
        <v>503</v>
      </c>
      <c r="AY296" s="1111" t="n">
        <v>1940</v>
      </c>
      <c r="AZ296" s="1053" t="n">
        <v>520</v>
      </c>
      <c r="BA296" s="1053" t="n">
        <v>526</v>
      </c>
      <c r="BB296" s="1053" t="n">
        <v>557</v>
      </c>
      <c r="BC296" s="1053" t="n">
        <v>563</v>
      </c>
      <c r="BD296" s="1111" t="n">
        <v>2166</v>
      </c>
      <c r="BE296" s="1053" t="n">
        <v>592</v>
      </c>
      <c r="BF296" s="1053" t="n">
        <v>592</v>
      </c>
      <c r="BG296" s="1053" t="n">
        <v>631</v>
      </c>
      <c r="BH296" s="27">
        <f>BI296-SUM(BE296,BF296,BG296)</f>
        <v/>
      </c>
      <c r="BI296" s="1111" t="n">
        <v>2440</v>
      </c>
      <c r="BJ296" s="1053" t="n">
        <v>633</v>
      </c>
      <c r="BK296" s="1053" t="n">
        <v>622</v>
      </c>
      <c r="BL296" s="1053" t="n">
        <v>689</v>
      </c>
      <c r="BM296" s="1053" t="n">
        <v>711</v>
      </c>
      <c r="BN296" s="1111" t="n">
        <v>2654</v>
      </c>
      <c r="BO296" s="1053" t="n">
        <v>777</v>
      </c>
      <c r="BP296" s="1053" t="n">
        <v>842</v>
      </c>
      <c r="BQ296" s="1053" t="n">
        <v>897</v>
      </c>
      <c r="BR296" s="1053" t="n">
        <v>975</v>
      </c>
      <c r="BS296" s="1111" t="n">
        <v>3491</v>
      </c>
      <c r="BT296" s="1053" t="n">
        <v>1041</v>
      </c>
      <c r="BU296" s="1053" t="n">
        <v>1122</v>
      </c>
      <c r="BV296" s="1054" t="n">
        <v>1134</v>
      </c>
      <c r="BW296" s="68" t="n"/>
      <c r="BX296" s="1110" t="n"/>
      <c r="BY296" s="68" t="n"/>
      <c r="BZ296" s="68" t="n"/>
      <c r="CA296" s="68" t="n"/>
      <c r="CB296" s="68" t="n"/>
      <c r="CC296" s="1110" t="n"/>
      <c r="CD296" s="1110" t="n"/>
      <c r="CE296" s="1110" t="n"/>
      <c r="CF296" s="1110" t="n"/>
      <c r="CG296" s="155" t="n"/>
    </row>
    <row r="297" hidden="1" outlineLevel="1">
      <c r="A297" s="67" t="inlineStr">
        <is>
          <t>Restructuring Charges and Other</t>
        </is>
      </c>
      <c r="B297" s="146" t="n"/>
      <c r="C297" s="1111" t="n">
        <v>26.868</v>
      </c>
      <c r="D297" s="1111" t="n">
        <v>0</v>
      </c>
      <c r="E297" s="1111" t="n">
        <v>0</v>
      </c>
      <c r="F297" s="1110" t="n"/>
      <c r="G297" s="68" t="n"/>
      <c r="H297" s="68" t="n"/>
      <c r="I297" s="68" t="n"/>
      <c r="J297" s="68" t="n"/>
      <c r="K297" s="1111" t="n">
        <v>0</v>
      </c>
      <c r="L297" s="68" t="n"/>
      <c r="M297" s="68" t="n"/>
      <c r="N297" s="68" t="n"/>
      <c r="O297" s="27">
        <f>P297-L297-M297-N297</f>
        <v/>
      </c>
      <c r="P297" s="1111" t="n">
        <v>0</v>
      </c>
      <c r="Q297" s="1053" t="n">
        <v>0</v>
      </c>
      <c r="R297" s="1053" t="n">
        <v>0</v>
      </c>
      <c r="S297" s="1053" t="n">
        <v>0</v>
      </c>
      <c r="T297" s="27">
        <f>U297-Q297-R297-S297</f>
        <v/>
      </c>
      <c r="U297" s="1111" t="n">
        <v>0</v>
      </c>
      <c r="V297" s="1053" t="n">
        <v>0</v>
      </c>
      <c r="W297" s="1053" t="n">
        <v>89</v>
      </c>
      <c r="X297" s="1053" t="n">
        <v>8</v>
      </c>
      <c r="Y297" s="1053" t="n">
        <v>34</v>
      </c>
      <c r="Z297" s="1111" t="n">
        <v>131</v>
      </c>
      <c r="AA297" s="1053" t="n">
        <v>1</v>
      </c>
      <c r="AB297" s="1053" t="n">
        <v>2</v>
      </c>
      <c r="AC297" s="1053" t="n">
        <v>0</v>
      </c>
      <c r="AD297" s="68" t="n"/>
      <c r="AE297" s="1111" t="n">
        <v>3</v>
      </c>
      <c r="AF297" s="1053" t="n">
        <v>0</v>
      </c>
      <c r="AG297" s="68" t="n"/>
      <c r="AH297" s="68" t="n"/>
      <c r="AI297" s="68" t="n"/>
      <c r="AJ297" s="1110" t="n"/>
      <c r="AK297" s="68" t="n"/>
      <c r="AL297" s="68" t="n"/>
      <c r="AM297" s="68" t="n"/>
      <c r="AN297" s="68" t="n"/>
      <c r="AO297" s="1110" t="n"/>
      <c r="AP297" s="68" t="n"/>
      <c r="AQ297" s="68" t="n"/>
      <c r="AR297" s="68" t="n"/>
      <c r="AS297" s="68" t="n"/>
      <c r="AT297" s="1110" t="n"/>
      <c r="AU297" s="68" t="n"/>
      <c r="AV297" s="68" t="n"/>
      <c r="AW297" s="68" t="n"/>
      <c r="AX297" s="68" t="n"/>
      <c r="AY297" s="1110" t="n"/>
      <c r="AZ297" s="68" t="n"/>
      <c r="BA297" s="68" t="n"/>
      <c r="BB297" s="68" t="n"/>
      <c r="BC297" s="68" t="n"/>
      <c r="BD297" s="1110" t="n"/>
      <c r="BE297" s="68" t="n"/>
      <c r="BF297" s="68" t="n"/>
      <c r="BG297" s="68" t="n"/>
      <c r="BH297" s="68" t="n"/>
      <c r="BI297" s="1110" t="n"/>
      <c r="BJ297" s="68" t="n"/>
      <c r="BK297" s="68" t="n"/>
      <c r="BL297" s="68" t="n"/>
      <c r="BM297" s="68" t="n"/>
      <c r="BN297" s="1110" t="n"/>
      <c r="BO297" s="68" t="n"/>
      <c r="BP297" s="68" t="n"/>
      <c r="BQ297" s="68" t="n"/>
      <c r="BR297" s="68" t="n"/>
      <c r="BS297" s="1110" t="n"/>
      <c r="BT297" s="68" t="n"/>
      <c r="BU297" s="68" t="n"/>
      <c r="BV297" s="588" t="n"/>
      <c r="BW297" s="68" t="n"/>
      <c r="BX297" s="1110" t="n"/>
      <c r="BY297" s="68" t="n"/>
      <c r="BZ297" s="68" t="n"/>
      <c r="CA297" s="68" t="n"/>
      <c r="CB297" s="68" t="n"/>
      <c r="CC297" s="1110" t="n"/>
      <c r="CD297" s="1110" t="n"/>
      <c r="CE297" s="1110" t="n"/>
      <c r="CF297" s="1110" t="n"/>
      <c r="CG297" s="155" t="n"/>
    </row>
    <row r="298" hidden="1" outlineLevel="1">
      <c r="A298" s="67" t="inlineStr">
        <is>
          <t>Legal Settlement</t>
        </is>
      </c>
      <c r="B298" s="146" t="n"/>
      <c r="C298" s="1110" t="n"/>
      <c r="D298" s="1111" t="n">
        <v>0</v>
      </c>
      <c r="E298" s="1111" t="n">
        <v>-57</v>
      </c>
      <c r="F298" s="1110" t="n"/>
      <c r="G298" s="68" t="n"/>
      <c r="H298" s="68" t="n"/>
      <c r="I298" s="68" t="n"/>
      <c r="J298" s="68" t="n"/>
      <c r="K298" s="1110" t="n"/>
      <c r="L298" s="68" t="n"/>
      <c r="M298" s="68" t="n"/>
      <c r="N298" s="68" t="n"/>
      <c r="O298" s="27">
        <f>P298-L298-M298-N298</f>
        <v/>
      </c>
      <c r="P298" s="1110" t="n"/>
      <c r="Q298" s="68" t="n"/>
      <c r="R298" s="68" t="n"/>
      <c r="S298" s="68" t="n"/>
      <c r="T298" s="27">
        <f>U298-Q298-R298-S298</f>
        <v/>
      </c>
      <c r="U298" s="1110" t="n"/>
      <c r="V298" s="68" t="n"/>
      <c r="W298" s="68" t="n"/>
      <c r="X298" s="68" t="n"/>
      <c r="Y298" s="68" t="n"/>
      <c r="Z298" s="1110" t="n"/>
      <c r="AA298" s="68" t="n"/>
      <c r="AB298" s="68" t="n"/>
      <c r="AC298" s="68" t="n"/>
      <c r="AD298" s="68" t="n"/>
      <c r="AE298" s="1110" t="n"/>
      <c r="AF298" s="1053" t="n">
        <v>0</v>
      </c>
      <c r="AG298" s="68" t="n"/>
      <c r="AH298" s="68" t="n"/>
      <c r="AI298" s="68" t="n"/>
      <c r="AJ298" s="1110" t="n"/>
      <c r="AK298" s="68" t="n"/>
      <c r="AL298" s="68" t="n"/>
      <c r="AM298" s="68" t="n"/>
      <c r="AN298" s="68" t="n"/>
      <c r="AO298" s="1110" t="n"/>
      <c r="AP298" s="68" t="n"/>
      <c r="AQ298" s="68" t="n"/>
      <c r="AR298" s="68" t="n"/>
      <c r="AS298" s="68" t="n"/>
      <c r="AT298" s="1110" t="n"/>
      <c r="AU298" s="68" t="n"/>
      <c r="AV298" s="68" t="n"/>
      <c r="AW298" s="68" t="n"/>
      <c r="AX298" s="68" t="n"/>
      <c r="AY298" s="1110" t="n"/>
      <c r="AZ298" s="68" t="n"/>
      <c r="BA298" s="68" t="n"/>
      <c r="BB298" s="68" t="n"/>
      <c r="BC298" s="68" t="n"/>
      <c r="BD298" s="1110" t="n"/>
      <c r="BE298" s="68" t="n"/>
      <c r="BF298" s="68" t="n"/>
      <c r="BG298" s="68" t="n"/>
      <c r="BH298" s="68" t="n"/>
      <c r="BI298" s="1110" t="n"/>
      <c r="BJ298" s="68" t="n"/>
      <c r="BK298" s="68" t="n"/>
      <c r="BL298" s="68" t="n"/>
      <c r="BM298" s="68" t="n"/>
      <c r="BN298" s="1110" t="n"/>
      <c r="BO298" s="68" t="n"/>
      <c r="BP298" s="68" t="n"/>
      <c r="BQ298" s="68" t="n"/>
      <c r="BR298" s="68" t="n"/>
      <c r="BS298" s="1110" t="n"/>
      <c r="BT298" s="68" t="n"/>
      <c r="BU298" s="68" t="n"/>
      <c r="BV298" s="588" t="n"/>
      <c r="BW298" s="68" t="n"/>
      <c r="BX298" s="1110" t="n"/>
      <c r="BY298" s="68" t="n"/>
      <c r="BZ298" s="68" t="n"/>
      <c r="CA298" s="68" t="n"/>
      <c r="CB298" s="68" t="n"/>
      <c r="CC298" s="1110" t="n"/>
      <c r="CD298" s="1110" t="n"/>
      <c r="CE298" s="1110" t="n"/>
      <c r="CF298" s="1110" t="n"/>
      <c r="CG298" s="155" t="n"/>
    </row>
    <row r="299" hidden="1" outlineLevel="1">
      <c r="A299" s="67" t="inlineStr">
        <is>
          <t>Acquisition termination cost</t>
        </is>
      </c>
      <c r="B299" s="146" t="n"/>
      <c r="C299" s="1111" t="n">
        <v>0</v>
      </c>
      <c r="D299" s="1110" t="n"/>
      <c r="E299" s="1110" t="n"/>
      <c r="F299" s="1110" t="n"/>
      <c r="G299" s="68" t="n"/>
      <c r="H299" s="68" t="n"/>
      <c r="I299" s="68" t="n"/>
      <c r="J299" s="27">
        <f>K299-G299-H299-I299</f>
        <v/>
      </c>
      <c r="K299" s="1110" t="n"/>
      <c r="L299" s="68" t="n"/>
      <c r="M299" s="68" t="n"/>
      <c r="N299" s="68" t="n"/>
      <c r="O299" s="27">
        <f>P299-L299-M299-N299</f>
        <v/>
      </c>
      <c r="P299" s="1110" t="n"/>
      <c r="Q299" s="68" t="n"/>
      <c r="R299" s="68" t="n"/>
      <c r="S299" s="68" t="n"/>
      <c r="T299" s="27">
        <f>U299-Q299-R299-S299</f>
        <v/>
      </c>
      <c r="U299" s="1110" t="n"/>
      <c r="V299" s="68" t="n"/>
      <c r="W299" s="68" t="n"/>
      <c r="X299" s="68" t="n"/>
      <c r="Y299" s="68" t="n"/>
      <c r="Z299" s="1110" t="n"/>
      <c r="AA299" s="68" t="n"/>
      <c r="AB299" s="68" t="n"/>
      <c r="AC299" s="68" t="n"/>
      <c r="AD299" s="68" t="n"/>
      <c r="AE299" s="1110" t="n"/>
      <c r="AF299" s="1053" t="n">
        <v>0</v>
      </c>
      <c r="AG299" s="68" t="n"/>
      <c r="AH299" s="68" t="n"/>
      <c r="AI299" s="68" t="n"/>
      <c r="AJ299" s="1110" t="n"/>
      <c r="AK299" s="68" t="n"/>
      <c r="AL299" s="68" t="n"/>
      <c r="AM299" s="68" t="n"/>
      <c r="AN299" s="68" t="n"/>
      <c r="AO299" s="1110" t="n"/>
      <c r="AP299" s="68" t="n"/>
      <c r="AQ299" s="68" t="n"/>
      <c r="AR299" s="68" t="n"/>
      <c r="AS299" s="68" t="n"/>
      <c r="AT299" s="1110" t="n"/>
      <c r="AU299" s="68" t="n"/>
      <c r="AV299" s="68" t="n"/>
      <c r="AW299" s="68" t="n"/>
      <c r="AX299" s="68" t="n"/>
      <c r="AY299" s="1110" t="n"/>
      <c r="AZ299" s="68" t="n"/>
      <c r="BA299" s="68" t="n"/>
      <c r="BB299" s="68" t="n"/>
      <c r="BC299" s="68" t="n"/>
      <c r="BD299" s="1110" t="n"/>
      <c r="BE299" s="1053" t="n">
        <v>1353</v>
      </c>
      <c r="BF299" s="68" t="n"/>
      <c r="BG299" s="68" t="n"/>
      <c r="BH299" s="68">
        <f>BI299-SUM(BE299,BF299,BG299)</f>
        <v/>
      </c>
      <c r="BI299" s="1111" t="n">
        <v>1353</v>
      </c>
      <c r="BJ299" s="1053" t="n">
        <v>0</v>
      </c>
      <c r="BK299" s="68" t="n"/>
      <c r="BL299" s="68" t="n"/>
      <c r="BM299" s="68">
        <f>BN299-SUM(BJ299,BK299,BL299)</f>
        <v/>
      </c>
      <c r="BN299" s="1110" t="n"/>
      <c r="BO299" s="68" t="n"/>
      <c r="BP299" s="68" t="n"/>
      <c r="BQ299" s="68" t="n"/>
      <c r="BR299" s="68">
        <f>BS299-SUM(BO299,BP299,BQ299)</f>
        <v/>
      </c>
      <c r="BS299" s="1110" t="n"/>
      <c r="BT299" s="68" t="n"/>
      <c r="BU299" s="68" t="n"/>
      <c r="BV299" s="588" t="n"/>
      <c r="BW299" s="68" t="n"/>
      <c r="BX299" s="1110" t="n"/>
      <c r="BY299" s="68" t="n"/>
      <c r="BZ299" s="68" t="n"/>
      <c r="CA299" s="68" t="n"/>
      <c r="CB299" s="68" t="n"/>
      <c r="CC299" s="1110" t="n"/>
      <c r="CD299" s="1110" t="n"/>
      <c r="CE299" s="1110" t="n"/>
      <c r="CF299" s="1110" t="n"/>
      <c r="CG299" s="155" t="n"/>
    </row>
    <row r="300" hidden="1" outlineLevel="1">
      <c r="A300" s="59" t="inlineStr">
        <is>
          <t>Total operating expenses</t>
        </is>
      </c>
      <c r="B300" s="607" t="n"/>
      <c r="C300" s="1123">
        <f>SUM(C295:C299)</f>
        <v/>
      </c>
      <c r="D300" s="1123">
        <f>SUM(D295:D299)</f>
        <v/>
      </c>
      <c r="E300" s="1123">
        <f>SUM(E295:E299)</f>
        <v/>
      </c>
      <c r="F300" s="1123">
        <f>SUM(F295:F299)</f>
        <v/>
      </c>
      <c r="G300" s="60">
        <f>SUM(G295:G299)</f>
        <v/>
      </c>
      <c r="H300" s="60">
        <f>SUM(H295:H299)</f>
        <v/>
      </c>
      <c r="I300" s="60">
        <f>SUM(I295:I299)</f>
        <v/>
      </c>
      <c r="J300" s="60">
        <f>SUM(J295:J299)</f>
        <v/>
      </c>
      <c r="K300" s="1123">
        <f>SUM(K295:K299)</f>
        <v/>
      </c>
      <c r="L300" s="60">
        <f>SUM(L295:L299)</f>
        <v/>
      </c>
      <c r="M300" s="60">
        <f>SUM(M295:M299)</f>
        <v/>
      </c>
      <c r="N300" s="60">
        <f>SUM(N295:N299)</f>
        <v/>
      </c>
      <c r="O300" s="60">
        <f>SUM(O295:O299)</f>
        <v/>
      </c>
      <c r="P300" s="1123">
        <f>SUM(P295:P299)</f>
        <v/>
      </c>
      <c r="Q300" s="60">
        <f>SUM(Q295:Q299)</f>
        <v/>
      </c>
      <c r="R300" s="60">
        <f>SUM(R295:R299)</f>
        <v/>
      </c>
      <c r="S300" s="60">
        <f>SUM(S295:S299)</f>
        <v/>
      </c>
      <c r="T300" s="60">
        <f>SUM(T295:T299)</f>
        <v/>
      </c>
      <c r="U300" s="1123">
        <f>SUM(U295:U299)</f>
        <v/>
      </c>
      <c r="V300" s="60">
        <f>SUM(V295:V299)</f>
        <v/>
      </c>
      <c r="W300" s="60">
        <f>SUM(W295:W299)</f>
        <v/>
      </c>
      <c r="X300" s="60">
        <f>SUM(X295:X299)</f>
        <v/>
      </c>
      <c r="Y300" s="60">
        <f>SUM(Y295:Y299)</f>
        <v/>
      </c>
      <c r="Z300" s="1123">
        <f>SUM(Z295:Z299)</f>
        <v/>
      </c>
      <c r="AA300" s="60">
        <f>SUM(AA295:AA299)</f>
        <v/>
      </c>
      <c r="AB300" s="60">
        <f>SUM(AB295:AB299)</f>
        <v/>
      </c>
      <c r="AC300" s="61">
        <f>SUM(AC295:AC299)</f>
        <v/>
      </c>
      <c r="AD300" s="61">
        <f>SUM(AD295:AD299)</f>
        <v/>
      </c>
      <c r="AE300" s="1122">
        <f>SUM(AE295:AE299)</f>
        <v/>
      </c>
      <c r="AF300" s="61">
        <f>SUM(AF295:AF299)</f>
        <v/>
      </c>
      <c r="AG300" s="60">
        <f>SUM(AG295:AG299)</f>
        <v/>
      </c>
      <c r="AH300" s="60">
        <f>SUM(AH295:AH299)</f>
        <v/>
      </c>
      <c r="AI300" s="61">
        <f>SUM(AI295:AI299)</f>
        <v/>
      </c>
      <c r="AJ300" s="1122">
        <f>SUM(AJ295:AJ299)</f>
        <v/>
      </c>
      <c r="AK300" s="60">
        <f>SUM(AK295:AK299)</f>
        <v/>
      </c>
      <c r="AL300" s="60">
        <f>SUM(AL295:AL299)</f>
        <v/>
      </c>
      <c r="AM300" s="60">
        <f>SUM(AM295:AM299)</f>
        <v/>
      </c>
      <c r="AN300" s="61">
        <f>SUM(AN295:AN299)</f>
        <v/>
      </c>
      <c r="AO300" s="1122">
        <f>SUM(AO295:AO299)</f>
        <v/>
      </c>
      <c r="AP300" s="60">
        <f>SUM(AP295:AP299)</f>
        <v/>
      </c>
      <c r="AQ300" s="60">
        <f>SUM(AQ295:AQ299)</f>
        <v/>
      </c>
      <c r="AR300" s="60">
        <f>SUM(AR295:AR299)</f>
        <v/>
      </c>
      <c r="AS300" s="61">
        <f>SUM(AS295:AS299)</f>
        <v/>
      </c>
      <c r="AT300" s="1122">
        <f>SUM(AT295:AT299)</f>
        <v/>
      </c>
      <c r="AU300" s="60">
        <f>SUM(AU295:AU299)</f>
        <v/>
      </c>
      <c r="AV300" s="60">
        <f>SUM(AV295:AV299)</f>
        <v/>
      </c>
      <c r="AW300" s="60">
        <f>SUM(AW295:AW299)</f>
        <v/>
      </c>
      <c r="AX300" s="61">
        <f>SUM(AX295:AX299)</f>
        <v/>
      </c>
      <c r="AY300" s="1122">
        <f>SUM(AY295:AY299)</f>
        <v/>
      </c>
      <c r="AZ300" s="60">
        <f>SUM(AZ295:AZ299)</f>
        <v/>
      </c>
      <c r="BA300" s="60">
        <f>SUM(BA295:BA299)</f>
        <v/>
      </c>
      <c r="BB300" s="60">
        <f>SUM(BB295:BB299)</f>
        <v/>
      </c>
      <c r="BC300" s="61">
        <f>SUM(BC295:BC299)</f>
        <v/>
      </c>
      <c r="BD300" s="1122">
        <f>SUM(BD295:BD299)</f>
        <v/>
      </c>
      <c r="BE300" s="60">
        <f>SUM(BE295:BE299)</f>
        <v/>
      </c>
      <c r="BF300" s="60">
        <f>SUM(BF295:BF299)</f>
        <v/>
      </c>
      <c r="BG300" s="60">
        <f>SUM(BG295:BG299)</f>
        <v/>
      </c>
      <c r="BH300" s="61">
        <f>SUM(BH295:BH299)</f>
        <v/>
      </c>
      <c r="BI300" s="1122">
        <f>SUM(BI295:BI299)</f>
        <v/>
      </c>
      <c r="BJ300" s="60">
        <f>SUM(BJ295:BJ299)</f>
        <v/>
      </c>
      <c r="BK300" s="60">
        <f>SUM(BK295:BK299)</f>
        <v/>
      </c>
      <c r="BL300" s="60">
        <f>SUM(BL295:BL299)</f>
        <v/>
      </c>
      <c r="BM300" s="61">
        <f>SUM(BM295:BM299)</f>
        <v/>
      </c>
      <c r="BN300" s="1122">
        <f>SUM(BN295:BN299)</f>
        <v/>
      </c>
      <c r="BO300" s="60">
        <f>SUM(BO295:BO299)</f>
        <v/>
      </c>
      <c r="BP300" s="60">
        <f>SUM(BP295:BP299)</f>
        <v/>
      </c>
      <c r="BQ300" s="60">
        <f>SUM(BQ295:BQ299)</f>
        <v/>
      </c>
      <c r="BR300" s="61">
        <f>SUM(BR295:BR299)</f>
        <v/>
      </c>
      <c r="BS300" s="1122">
        <f>SUM(BS295:BS299)</f>
        <v/>
      </c>
      <c r="BT300" s="60">
        <f>SUM(BT295:BT299)</f>
        <v/>
      </c>
      <c r="BU300" s="60">
        <f>SUM(BU295:BU299)</f>
        <v/>
      </c>
      <c r="BV300" s="883">
        <f>SUM(BV295:BV299)</f>
        <v/>
      </c>
      <c r="BW300" s="61" t="n"/>
      <c r="BX300" s="1122" t="n"/>
      <c r="BY300" s="61" t="n"/>
      <c r="BZ300" s="61" t="n"/>
      <c r="CA300" s="61" t="n"/>
      <c r="CB300" s="61" t="n"/>
      <c r="CC300" s="1122" t="n"/>
      <c r="CD300" s="1122" t="n"/>
      <c r="CE300" s="1122" t="n"/>
      <c r="CF300" s="1122" t="n"/>
      <c r="CG300" s="155" t="n"/>
    </row>
    <row r="301" hidden="1" outlineLevel="1">
      <c r="A301" s="62" t="inlineStr">
        <is>
          <t>Income from operations</t>
        </is>
      </c>
      <c r="B301" s="279" t="n"/>
      <c r="C301" s="1132">
        <f>C294-C300</f>
        <v/>
      </c>
      <c r="D301" s="1132">
        <f>D294-D300</f>
        <v/>
      </c>
      <c r="E301" s="1132">
        <f>E294-E300</f>
        <v/>
      </c>
      <c r="F301" s="1132">
        <f>F294-F300</f>
        <v/>
      </c>
      <c r="G301" s="28">
        <f>G294-G300</f>
        <v/>
      </c>
      <c r="H301" s="28">
        <f>H294-H300</f>
        <v/>
      </c>
      <c r="I301" s="28">
        <f>I294-I300</f>
        <v/>
      </c>
      <c r="J301" s="28">
        <f>J294-J300</f>
        <v/>
      </c>
      <c r="K301" s="1132">
        <f>K294-K300</f>
        <v/>
      </c>
      <c r="L301" s="28">
        <f>L294-L300</f>
        <v/>
      </c>
      <c r="M301" s="28">
        <f>M294-M300</f>
        <v/>
      </c>
      <c r="N301" s="28">
        <f>N294-N300</f>
        <v/>
      </c>
      <c r="O301" s="28">
        <f>O294-O300</f>
        <v/>
      </c>
      <c r="P301" s="1132">
        <f>P294-P300</f>
        <v/>
      </c>
      <c r="Q301" s="28">
        <f>Q294-Q300</f>
        <v/>
      </c>
      <c r="R301" s="28">
        <f>R294-R300</f>
        <v/>
      </c>
      <c r="S301" s="28">
        <f>S294-S300</f>
        <v/>
      </c>
      <c r="T301" s="28">
        <f>T294-T300</f>
        <v/>
      </c>
      <c r="U301" s="1132">
        <f>U294-U300</f>
        <v/>
      </c>
      <c r="V301" s="28">
        <f>V294-V300</f>
        <v/>
      </c>
      <c r="W301" s="28">
        <f>W294-W300</f>
        <v/>
      </c>
      <c r="X301" s="28">
        <f>X294-X300</f>
        <v/>
      </c>
      <c r="Y301" s="28">
        <f>Y294-Y300</f>
        <v/>
      </c>
      <c r="Z301" s="1132">
        <f>Z294-Z300</f>
        <v/>
      </c>
      <c r="AA301" s="28">
        <f>AA294-AA300</f>
        <v/>
      </c>
      <c r="AB301" s="28">
        <f>AB294-AB300</f>
        <v/>
      </c>
      <c r="AC301" s="63">
        <f>AC294-AC300</f>
        <v/>
      </c>
      <c r="AD301" s="63">
        <f>AD294-AD300</f>
        <v/>
      </c>
      <c r="AE301" s="1125">
        <f>AE294-AE300</f>
        <v/>
      </c>
      <c r="AF301" s="63">
        <f>AF294-AF300</f>
        <v/>
      </c>
      <c r="AG301" s="28">
        <f>AG294-AG300</f>
        <v/>
      </c>
      <c r="AH301" s="28">
        <f>AH294-AH300</f>
        <v/>
      </c>
      <c r="AI301" s="63">
        <f>AI294-AI300</f>
        <v/>
      </c>
      <c r="AJ301" s="1125">
        <f>AJ294-AJ300</f>
        <v/>
      </c>
      <c r="AK301" s="28">
        <f>AK294-AK300</f>
        <v/>
      </c>
      <c r="AL301" s="28">
        <f>AL294-AL300</f>
        <v/>
      </c>
      <c r="AM301" s="28">
        <f>AM294-AM300</f>
        <v/>
      </c>
      <c r="AN301" s="63">
        <f>AN294-AN300</f>
        <v/>
      </c>
      <c r="AO301" s="1125">
        <f>AO294-AO300</f>
        <v/>
      </c>
      <c r="AP301" s="28">
        <f>AP294-AP300</f>
        <v/>
      </c>
      <c r="AQ301" s="28">
        <f>AQ294-AQ300</f>
        <v/>
      </c>
      <c r="AR301" s="28">
        <f>AR294-AR300</f>
        <v/>
      </c>
      <c r="AS301" s="63">
        <f>AS294-AS300</f>
        <v/>
      </c>
      <c r="AT301" s="1125">
        <f>AT294-AT300</f>
        <v/>
      </c>
      <c r="AU301" s="28">
        <f>AU294-AU300</f>
        <v/>
      </c>
      <c r="AV301" s="28">
        <f>AV294-AV300</f>
        <v/>
      </c>
      <c r="AW301" s="28">
        <f>AW294-AW300</f>
        <v/>
      </c>
      <c r="AX301" s="63">
        <f>AX294-AX300</f>
        <v/>
      </c>
      <c r="AY301" s="1125">
        <f>AY294-AY300</f>
        <v/>
      </c>
      <c r="AZ301" s="28">
        <f>AZ294-AZ300</f>
        <v/>
      </c>
      <c r="BA301" s="28">
        <f>BA294-BA300</f>
        <v/>
      </c>
      <c r="BB301" s="28">
        <f>BB294-BB300</f>
        <v/>
      </c>
      <c r="BC301" s="63">
        <f>BC294-BC300</f>
        <v/>
      </c>
      <c r="BD301" s="1125">
        <f>BD294-BD300</f>
        <v/>
      </c>
      <c r="BE301" s="28">
        <f>BE294-BE300</f>
        <v/>
      </c>
      <c r="BF301" s="28">
        <f>BF294-BF300</f>
        <v/>
      </c>
      <c r="BG301" s="28">
        <f>BG294-BG300</f>
        <v/>
      </c>
      <c r="BH301" s="63">
        <f>BH294-BH300</f>
        <v/>
      </c>
      <c r="BI301" s="1125">
        <f>BI294-BI300</f>
        <v/>
      </c>
      <c r="BJ301" s="28">
        <f>BJ294-BJ300</f>
        <v/>
      </c>
      <c r="BK301" s="28">
        <f>BK294-BK300</f>
        <v/>
      </c>
      <c r="BL301" s="28">
        <f>BL294-BL300</f>
        <v/>
      </c>
      <c r="BM301" s="63">
        <f>BM294-BM300</f>
        <v/>
      </c>
      <c r="BN301" s="1125">
        <f>BN294-BN300</f>
        <v/>
      </c>
      <c r="BO301" s="28">
        <f>BO294-BO300</f>
        <v/>
      </c>
      <c r="BP301" s="28">
        <f>BP294-BP300</f>
        <v/>
      </c>
      <c r="BQ301" s="28">
        <f>BQ294-BQ300</f>
        <v/>
      </c>
      <c r="BR301" s="63">
        <f>BR294-BR300</f>
        <v/>
      </c>
      <c r="BS301" s="1125">
        <f>BS294-BS300</f>
        <v/>
      </c>
      <c r="BT301" s="28">
        <f>BT294-BT300</f>
        <v/>
      </c>
      <c r="BU301" s="28">
        <f>BU294-BU300</f>
        <v/>
      </c>
      <c r="BV301" s="505">
        <f>BV294-BV300</f>
        <v/>
      </c>
      <c r="BW301" s="63" t="n"/>
      <c r="BX301" s="1125" t="n"/>
      <c r="BY301" s="63" t="n"/>
      <c r="BZ301" s="63" t="n"/>
      <c r="CA301" s="63" t="n"/>
      <c r="CB301" s="63" t="n"/>
      <c r="CC301" s="1125" t="n"/>
      <c r="CD301" s="1125" t="n"/>
      <c r="CE301" s="1125" t="n"/>
      <c r="CF301" s="1125" t="n"/>
      <c r="CG301" s="155" t="n"/>
    </row>
    <row r="302" hidden="1" outlineLevel="1">
      <c r="A302" s="67" t="inlineStr">
        <is>
          <t>Interest income</t>
        </is>
      </c>
      <c r="B302" s="146" t="n"/>
      <c r="C302" s="1111" t="n">
        <v>42.859</v>
      </c>
      <c r="D302" s="1111" t="n">
        <v>23.115</v>
      </c>
      <c r="E302" s="1111" t="n">
        <v>19.057</v>
      </c>
      <c r="F302" s="1111" t="n">
        <v>19.149</v>
      </c>
      <c r="G302" s="1053" t="n">
        <v>5.198</v>
      </c>
      <c r="H302" s="1053" t="n">
        <v>5.316</v>
      </c>
      <c r="I302" s="1053" t="n">
        <v>4.701</v>
      </c>
      <c r="J302" s="27">
        <f>K302-G302-H302-I302</f>
        <v/>
      </c>
      <c r="K302" s="1111" t="n">
        <v>19.908</v>
      </c>
      <c r="L302" s="1053" t="n">
        <v>5.076</v>
      </c>
      <c r="M302" s="1053" t="n">
        <v>3.865</v>
      </c>
      <c r="N302" s="1053" t="n">
        <v>4.022</v>
      </c>
      <c r="O302" s="27">
        <f>P302-L302-M302-N302</f>
        <v/>
      </c>
      <c r="P302" s="1111" t="n">
        <v>17.119</v>
      </c>
      <c r="Q302" s="1053" t="n">
        <v>6</v>
      </c>
      <c r="R302" s="1053" t="n">
        <v>7</v>
      </c>
      <c r="S302" s="1053" t="n">
        <v>7</v>
      </c>
      <c r="T302" s="27">
        <f>U302-Q302-R302-S302</f>
        <v/>
      </c>
      <c r="U302" s="1111" t="n">
        <v>28</v>
      </c>
      <c r="V302" s="1053" t="n">
        <v>9</v>
      </c>
      <c r="W302" s="1053" t="n">
        <v>9</v>
      </c>
      <c r="X302" s="1053" t="n">
        <v>9</v>
      </c>
      <c r="Y302" s="1053" t="n">
        <v>11</v>
      </c>
      <c r="Z302" s="1111" t="n">
        <v>39</v>
      </c>
      <c r="AA302" s="1053" t="n">
        <v>12</v>
      </c>
      <c r="AB302" s="1053" t="n">
        <v>12</v>
      </c>
      <c r="AC302" s="1053" t="n">
        <v>14</v>
      </c>
      <c r="AD302" s="1053" t="n">
        <v>17</v>
      </c>
      <c r="AE302" s="1111" t="n">
        <v>54</v>
      </c>
      <c r="AF302" s="1053" t="n">
        <v>16</v>
      </c>
      <c r="AG302" s="1053" t="n">
        <v>15</v>
      </c>
      <c r="AH302" s="1053" t="n">
        <v>17</v>
      </c>
      <c r="AI302" s="1053" t="n">
        <v>20</v>
      </c>
      <c r="AJ302" s="1111" t="n">
        <v>69</v>
      </c>
      <c r="AK302" s="1053" t="n">
        <v>25</v>
      </c>
      <c r="AL302" s="1053" t="n">
        <v>32</v>
      </c>
      <c r="AM302" s="1053" t="n">
        <v>37</v>
      </c>
      <c r="AN302" s="1053" t="n">
        <v>42</v>
      </c>
      <c r="AO302" s="1111" t="n">
        <v>136</v>
      </c>
      <c r="AP302" s="1053" t="n">
        <v>44</v>
      </c>
      <c r="AQ302" s="1053" t="n">
        <v>47</v>
      </c>
      <c r="AR302" s="1053" t="n">
        <v>45</v>
      </c>
      <c r="AS302" s="1053" t="n">
        <v>41</v>
      </c>
      <c r="AT302" s="1111" t="n">
        <v>178</v>
      </c>
      <c r="AU302" s="1053" t="n">
        <v>31</v>
      </c>
      <c r="AV302" s="1053" t="n">
        <v>13</v>
      </c>
      <c r="AW302" s="1053" t="n">
        <v>7</v>
      </c>
      <c r="AX302" s="1053" t="n">
        <v>6</v>
      </c>
      <c r="AY302" s="1111" t="n">
        <v>57</v>
      </c>
      <c r="AZ302" s="1053" t="n">
        <v>6</v>
      </c>
      <c r="BA302" s="1053" t="n">
        <v>6</v>
      </c>
      <c r="BB302" s="1053" t="n">
        <v>7</v>
      </c>
      <c r="BC302" s="1053" t="n">
        <v>9</v>
      </c>
      <c r="BD302" s="1111" t="n">
        <v>29</v>
      </c>
      <c r="BE302" s="1053" t="n">
        <v>18</v>
      </c>
      <c r="BF302" s="1053" t="n">
        <v>46</v>
      </c>
      <c r="BG302" s="1053" t="n">
        <v>88</v>
      </c>
      <c r="BH302" s="27">
        <f>BI302-SUM(BE302,BF302,BG302)</f>
        <v/>
      </c>
      <c r="BI302" s="1111" t="n">
        <v>267</v>
      </c>
      <c r="BJ302" s="1053" t="n">
        <v>150</v>
      </c>
      <c r="BK302" s="1053" t="n">
        <v>187</v>
      </c>
      <c r="BL302" s="1053" t="n">
        <v>234</v>
      </c>
      <c r="BM302" s="1053" t="n">
        <v>294</v>
      </c>
      <c r="BN302" s="1111" t="n">
        <v>866</v>
      </c>
      <c r="BO302" s="1053" t="n">
        <v>359</v>
      </c>
      <c r="BP302" s="1053" t="n">
        <v>444</v>
      </c>
      <c r="BQ302" s="1053" t="n">
        <v>472</v>
      </c>
      <c r="BR302" s="1053" t="n">
        <v>511</v>
      </c>
      <c r="BS302" s="1111" t="n">
        <v>1786</v>
      </c>
      <c r="BT302" s="1053" t="n">
        <v>515</v>
      </c>
      <c r="BU302" s="1053" t="n">
        <v>592</v>
      </c>
      <c r="BV302" s="1054" t="n">
        <v>624</v>
      </c>
      <c r="BW302" s="68" t="n"/>
      <c r="BX302" s="1110" t="n"/>
      <c r="BY302" s="68" t="n"/>
      <c r="BZ302" s="68" t="n"/>
      <c r="CA302" s="68" t="n"/>
      <c r="CB302" s="68" t="n"/>
      <c r="CC302" s="1110" t="n"/>
      <c r="CD302" s="1110" t="n"/>
      <c r="CE302" s="1110" t="n"/>
      <c r="CF302" s="1110" t="n"/>
      <c r="CG302" s="155" t="n"/>
    </row>
    <row r="303" hidden="1" outlineLevel="1">
      <c r="A303" s="67" t="inlineStr">
        <is>
          <t>Interest expense</t>
        </is>
      </c>
      <c r="B303" s="146" t="n"/>
      <c r="C303" s="1111" t="n">
        <v>-0.406</v>
      </c>
      <c r="D303" s="1111" t="n">
        <v>-3.32</v>
      </c>
      <c r="E303" s="1111" t="n">
        <v>-3.127</v>
      </c>
      <c r="F303" s="1111" t="n">
        <v>-3.089</v>
      </c>
      <c r="G303" s="1053" t="n">
        <v>-0.929</v>
      </c>
      <c r="H303" s="1053" t="n">
        <v>0.269</v>
      </c>
      <c r="I303" s="1053" t="n">
        <v>-3.29</v>
      </c>
      <c r="J303" s="27">
        <f>K303-G303-H303-I303</f>
        <v/>
      </c>
      <c r="K303" s="1111" t="n">
        <v>-3.294</v>
      </c>
      <c r="L303" s="1053" t="n">
        <v>0.205</v>
      </c>
      <c r="M303" s="1053" t="n">
        <v>2.421</v>
      </c>
      <c r="N303" s="1053" t="n">
        <v>-3.526</v>
      </c>
      <c r="O303" s="27">
        <f>P303-L303-M303-N303</f>
        <v/>
      </c>
      <c r="P303" s="1111" t="n">
        <v>-10.443</v>
      </c>
      <c r="Q303" s="1053" t="n">
        <v>-11</v>
      </c>
      <c r="R303" s="1053" t="n">
        <v>-12</v>
      </c>
      <c r="S303" s="1053" t="n">
        <v>-11</v>
      </c>
      <c r="T303" s="27">
        <f>U303-Q303-R303-S303</f>
        <v/>
      </c>
      <c r="U303" s="1111" t="n">
        <v>-46</v>
      </c>
      <c r="V303" s="1053" t="n">
        <v>-12</v>
      </c>
      <c r="W303" s="1053" t="n">
        <v>-12</v>
      </c>
      <c r="X303" s="1053" t="n">
        <v>-12</v>
      </c>
      <c r="Y303" s="1053" t="n">
        <v>-12</v>
      </c>
      <c r="Z303" s="1111" t="n">
        <v>-47</v>
      </c>
      <c r="AA303" s="1053" t="n">
        <v>-12</v>
      </c>
      <c r="AB303" s="1053" t="n">
        <v>-12</v>
      </c>
      <c r="AC303" s="1053" t="n">
        <v>-16</v>
      </c>
      <c r="AD303" s="1053" t="n">
        <v>-18</v>
      </c>
      <c r="AE303" s="1111" t="n">
        <v>-58</v>
      </c>
      <c r="AF303" s="1053" t="n">
        <v>-16</v>
      </c>
      <c r="AG303" s="1053" t="n">
        <v>-15</v>
      </c>
      <c r="AH303" s="1053" t="n">
        <v>-15</v>
      </c>
      <c r="AI303" s="1053" t="n">
        <v>-15</v>
      </c>
      <c r="AJ303" s="1111" t="n">
        <v>-61</v>
      </c>
      <c r="AK303" s="1053" t="n">
        <v>-15</v>
      </c>
      <c r="AL303" s="1053" t="n">
        <v>-14</v>
      </c>
      <c r="AM303" s="1053" t="n">
        <v>-15</v>
      </c>
      <c r="AN303" s="1053" t="n">
        <v>-14</v>
      </c>
      <c r="AO303" s="1111" t="n">
        <v>-58</v>
      </c>
      <c r="AP303" s="1053" t="n">
        <v>-13</v>
      </c>
      <c r="AQ303" s="1053" t="n">
        <v>-13</v>
      </c>
      <c r="AR303" s="1053" t="n">
        <v>-13</v>
      </c>
      <c r="AS303" s="1053" t="n">
        <v>-12</v>
      </c>
      <c r="AT303" s="1111" t="n">
        <v>-52</v>
      </c>
      <c r="AU303" s="1053" t="n">
        <v>-25</v>
      </c>
      <c r="AV303" s="1053" t="n">
        <v>-54</v>
      </c>
      <c r="AW303" s="1053" t="n">
        <v>-53</v>
      </c>
      <c r="AX303" s="1053" t="n">
        <v>-53</v>
      </c>
      <c r="AY303" s="1111" t="n">
        <v>-184</v>
      </c>
      <c r="AZ303" s="1053" t="n">
        <v>-53</v>
      </c>
      <c r="BA303" s="1053" t="n">
        <v>-60</v>
      </c>
      <c r="BB303" s="1053" t="n">
        <v>-62</v>
      </c>
      <c r="BC303" s="1053" t="n">
        <v>-61</v>
      </c>
      <c r="BD303" s="1111" t="n">
        <v>-236</v>
      </c>
      <c r="BE303" s="1053" t="n">
        <v>-68</v>
      </c>
      <c r="BF303" s="1053" t="n">
        <v>-65</v>
      </c>
      <c r="BG303" s="1053" t="n">
        <v>-65</v>
      </c>
      <c r="BH303" s="1053" t="n">
        <v>-65</v>
      </c>
      <c r="BI303" s="1111" t="n">
        <v>-262</v>
      </c>
      <c r="BJ303" s="1053" t="n">
        <v>-66</v>
      </c>
      <c r="BK303" s="1053" t="n">
        <v>-65</v>
      </c>
      <c r="BL303" s="1053" t="n">
        <v>-63</v>
      </c>
      <c r="BM303" s="1053" t="n">
        <v>-63</v>
      </c>
      <c r="BN303" s="1111" t="n">
        <v>-257</v>
      </c>
      <c r="BO303" s="1053" t="n">
        <v>-64</v>
      </c>
      <c r="BP303" s="1053" t="n">
        <v>-61</v>
      </c>
      <c r="BQ303" s="1053" t="n">
        <v>-61</v>
      </c>
      <c r="BR303" s="1053" t="n">
        <v>-61</v>
      </c>
      <c r="BS303" s="1111" t="n">
        <v>-247</v>
      </c>
      <c r="BT303" s="1053" t="n">
        <v>-63</v>
      </c>
      <c r="BU303" s="1053" t="n">
        <v>-62</v>
      </c>
      <c r="BV303" s="1054" t="n">
        <v>-61</v>
      </c>
      <c r="BW303" s="68" t="n"/>
      <c r="BX303" s="1110" t="n"/>
      <c r="BY303" s="68" t="n"/>
      <c r="BZ303" s="68" t="n"/>
      <c r="CA303" s="68" t="n"/>
      <c r="CB303" s="68" t="n"/>
      <c r="CC303" s="1110" t="n"/>
      <c r="CD303" s="1110" t="n"/>
      <c r="CE303" s="1110" t="n"/>
      <c r="CF303" s="1110" t="n"/>
      <c r="CG303" s="155" t="n"/>
    </row>
    <row r="304" hidden="1" outlineLevel="1">
      <c r="A304" s="67" t="inlineStr">
        <is>
          <t>Other income, net</t>
        </is>
      </c>
      <c r="B304" s="146" t="n"/>
      <c r="C304" s="1111" t="n">
        <v>-14.707</v>
      </c>
      <c r="D304" s="1111" t="n">
        <v>-3.144</v>
      </c>
      <c r="E304" s="1111" t="n">
        <v>-0.508</v>
      </c>
      <c r="F304" s="1111" t="n">
        <v>-0.963</v>
      </c>
      <c r="G304" s="68" t="n"/>
      <c r="H304" s="68" t="n"/>
      <c r="I304" s="68" t="n"/>
      <c r="J304" s="27">
        <f>K304-G304-H304-I304</f>
        <v/>
      </c>
      <c r="K304" s="1111" t="n">
        <v>-2.814</v>
      </c>
      <c r="L304" s="68" t="n"/>
      <c r="M304" s="68" t="n"/>
      <c r="N304" s="68" t="n"/>
      <c r="O304" s="27">
        <f>P304-L304-M304-N304</f>
        <v/>
      </c>
      <c r="P304" s="1111" t="n">
        <v>7.351</v>
      </c>
      <c r="Q304" s="1053" t="n">
        <v>17</v>
      </c>
      <c r="R304" s="1053" t="n">
        <v>-3</v>
      </c>
      <c r="S304" s="1053" t="n">
        <v>0</v>
      </c>
      <c r="T304" s="27">
        <f>U304-Q304-R304-S304</f>
        <v/>
      </c>
      <c r="U304" s="1111" t="n">
        <v>14</v>
      </c>
      <c r="V304" s="1053" t="n">
        <v>-1</v>
      </c>
      <c r="W304" s="1053" t="n">
        <v>-1</v>
      </c>
      <c r="X304" s="1053" t="n">
        <v>3</v>
      </c>
      <c r="Y304" s="1053" t="n">
        <v>2</v>
      </c>
      <c r="Z304" s="1111" t="n">
        <v>4</v>
      </c>
      <c r="AA304" s="1053" t="n">
        <v>-4</v>
      </c>
      <c r="AB304" s="1053" t="n">
        <v>0</v>
      </c>
      <c r="AC304" s="1053" t="n">
        <v>-16</v>
      </c>
      <c r="AD304" s="1053" t="n">
        <v>-6</v>
      </c>
      <c r="AE304" s="1111" t="n">
        <v>-25</v>
      </c>
      <c r="AF304" s="1053" t="n">
        <v>-18</v>
      </c>
      <c r="AG304" s="1053" t="n">
        <v>-4</v>
      </c>
      <c r="AH304" s="1053" t="n">
        <v>-1</v>
      </c>
      <c r="AI304" s="1053" t="n">
        <v>0</v>
      </c>
      <c r="AJ304" s="1111" t="n">
        <v>-22</v>
      </c>
      <c r="AK304" s="1053" t="n">
        <v>6</v>
      </c>
      <c r="AL304" s="1053" t="n">
        <v>5</v>
      </c>
      <c r="AM304" s="1053" t="n">
        <v>1</v>
      </c>
      <c r="AN304" s="1053" t="n">
        <v>2</v>
      </c>
      <c r="AO304" s="1111" t="n">
        <v>14</v>
      </c>
      <c r="AP304" s="68" t="n"/>
      <c r="AQ304" s="1053" t="n">
        <v>1</v>
      </c>
      <c r="AR304" s="68" t="n"/>
      <c r="AS304" s="1053" t="n">
        <v>-3</v>
      </c>
      <c r="AT304" s="1111" t="n">
        <v>-2</v>
      </c>
      <c r="AU304" s="1053" t="n">
        <v>-1</v>
      </c>
      <c r="AV304" s="1053" t="n">
        <v>-1</v>
      </c>
      <c r="AW304" s="1053" t="n">
        <v>-4</v>
      </c>
      <c r="AX304" s="1053" t="n">
        <v>10</v>
      </c>
      <c r="AY304" s="1111" t="n">
        <v>4</v>
      </c>
      <c r="AZ304" s="1053" t="n">
        <v>135</v>
      </c>
      <c r="BA304" s="1053" t="n">
        <v>4</v>
      </c>
      <c r="BB304" s="1053" t="n">
        <v>22</v>
      </c>
      <c r="BC304" s="1053" t="n">
        <v>-53</v>
      </c>
      <c r="BD304" s="1111" t="n">
        <v>107</v>
      </c>
      <c r="BE304" s="1053" t="n">
        <v>-13</v>
      </c>
      <c r="BF304" s="1053" t="n">
        <v>-5</v>
      </c>
      <c r="BG304" s="1053" t="n">
        <v>-11</v>
      </c>
      <c r="BH304" s="1053" t="n">
        <v>-18</v>
      </c>
      <c r="BI304" s="1111" t="n">
        <v>-48</v>
      </c>
      <c r="BJ304" s="1053" t="n">
        <v>-15</v>
      </c>
      <c r="BK304" s="1053" t="n">
        <v>59</v>
      </c>
      <c r="BL304" s="1053" t="n">
        <v>-66</v>
      </c>
      <c r="BM304" s="1053" t="n">
        <v>260</v>
      </c>
      <c r="BN304" s="1111" t="n">
        <v>237</v>
      </c>
      <c r="BO304" s="1053" t="n">
        <v>75</v>
      </c>
      <c r="BP304" s="1053" t="n">
        <v>189</v>
      </c>
      <c r="BQ304" s="1053" t="n">
        <v>36</v>
      </c>
      <c r="BR304" s="1053" t="n">
        <v>733</v>
      </c>
      <c r="BS304" s="1111" t="n">
        <v>1034</v>
      </c>
      <c r="BT304" s="1053" t="n">
        <v>-180</v>
      </c>
      <c r="BU304" s="1053" t="n">
        <v>2236</v>
      </c>
      <c r="BV304" s="1054" t="n">
        <v>1363</v>
      </c>
      <c r="BW304" s="68" t="n"/>
      <c r="BX304" s="1110" t="n"/>
      <c r="BY304" s="68" t="n"/>
      <c r="BZ304" s="68" t="n"/>
      <c r="CA304" s="68" t="n"/>
      <c r="CB304" s="68" t="n"/>
      <c r="CC304" s="1110" t="n"/>
      <c r="CD304" s="1110" t="n"/>
      <c r="CE304" s="1110" t="n"/>
      <c r="CF304" s="1110" t="n"/>
      <c r="CG304" s="155" t="n"/>
    </row>
    <row r="305" hidden="1" outlineLevel="1">
      <c r="A305" s="59" t="inlineStr">
        <is>
          <t>Income before income tax expense</t>
        </is>
      </c>
      <c r="B305" s="607" t="n"/>
      <c r="C305" s="1123">
        <f>C301+SUM(C302:C304)</f>
        <v/>
      </c>
      <c r="D305" s="1123">
        <f>D301+SUM(D302:D304)</f>
        <v/>
      </c>
      <c r="E305" s="1123">
        <f>E301+SUM(E302:E304)</f>
        <v/>
      </c>
      <c r="F305" s="1123">
        <f>F301+SUM(F302:F304)</f>
        <v/>
      </c>
      <c r="G305" s="60">
        <f>G301+SUM(G302:G304)</f>
        <v/>
      </c>
      <c r="H305" s="60">
        <f>H301+SUM(H302:H304)</f>
        <v/>
      </c>
      <c r="I305" s="60">
        <f>I301+SUM(I302:I304)</f>
        <v/>
      </c>
      <c r="J305" s="60">
        <f>J301+SUM(J302:J304)</f>
        <v/>
      </c>
      <c r="K305" s="1123">
        <f>K301+SUM(K302:K304)</f>
        <v/>
      </c>
      <c r="L305" s="60">
        <f>L301+SUM(L302:L304)</f>
        <v/>
      </c>
      <c r="M305" s="60">
        <f>M301+SUM(M302:M304)</f>
        <v/>
      </c>
      <c r="N305" s="60">
        <f>N301+SUM(N302:N304)</f>
        <v/>
      </c>
      <c r="O305" s="60">
        <f>O301+SUM(O302:O304)</f>
        <v/>
      </c>
      <c r="P305" s="1123">
        <f>P301+SUM(P302:P304)</f>
        <v/>
      </c>
      <c r="Q305" s="60">
        <f>Q301+SUM(Q302:Q304)</f>
        <v/>
      </c>
      <c r="R305" s="60">
        <f>R301+SUM(R302:R304)</f>
        <v/>
      </c>
      <c r="S305" s="60">
        <f>S301+SUM(S302:S304)</f>
        <v/>
      </c>
      <c r="T305" s="60">
        <f>T301+SUM(T302:T304)</f>
        <v/>
      </c>
      <c r="U305" s="1123">
        <f>U301+SUM(U302:U304)</f>
        <v/>
      </c>
      <c r="V305" s="60">
        <f>V301+SUM(V302:V304)</f>
        <v/>
      </c>
      <c r="W305" s="60">
        <f>W301+SUM(W302:W304)</f>
        <v/>
      </c>
      <c r="X305" s="60">
        <f>X301+SUM(X302:X304)</f>
        <v/>
      </c>
      <c r="Y305" s="60">
        <f>Y301+SUM(Y302:Y304)</f>
        <v/>
      </c>
      <c r="Z305" s="1123">
        <f>Z301+SUM(Z302:Z304)</f>
        <v/>
      </c>
      <c r="AA305" s="60">
        <f>AA301+SUM(AA302:AA304)</f>
        <v/>
      </c>
      <c r="AB305" s="60">
        <f>AB301+SUM(AB302:AB304)</f>
        <v/>
      </c>
      <c r="AC305" s="61">
        <f>AC301+SUM(AC302:AC304)</f>
        <v/>
      </c>
      <c r="AD305" s="61">
        <f>AD301+SUM(AD302:AD304)</f>
        <v/>
      </c>
      <c r="AE305" s="1122">
        <f>AE301+SUM(AE302:AE304)</f>
        <v/>
      </c>
      <c r="AF305" s="61">
        <f>AF301+SUM(AF302:AF304)</f>
        <v/>
      </c>
      <c r="AG305" s="60">
        <f>AG301+SUM(AG302:AG304)</f>
        <v/>
      </c>
      <c r="AH305" s="60">
        <f>AH301+SUM(AH302:AH304)</f>
        <v/>
      </c>
      <c r="AI305" s="61">
        <f>AI301+SUM(AI302:AI304)</f>
        <v/>
      </c>
      <c r="AJ305" s="1122">
        <f>AJ301+SUM(AJ302:AJ304)</f>
        <v/>
      </c>
      <c r="AK305" s="60">
        <f>AK301+SUM(AK302:AK304)</f>
        <v/>
      </c>
      <c r="AL305" s="60">
        <f>AL301+SUM(AL302:AL304)</f>
        <v/>
      </c>
      <c r="AM305" s="60">
        <f>AM301+SUM(AM302:AM304)</f>
        <v/>
      </c>
      <c r="AN305" s="61">
        <f>AN301+SUM(AN302:AN304)</f>
        <v/>
      </c>
      <c r="AO305" s="1122">
        <f>AO301+SUM(AO302:AO304)</f>
        <v/>
      </c>
      <c r="AP305" s="60">
        <f>AP301+SUM(AP302:AP304)</f>
        <v/>
      </c>
      <c r="AQ305" s="60">
        <f>AQ301+SUM(AQ302:AQ304)</f>
        <v/>
      </c>
      <c r="AR305" s="60">
        <f>AR301+SUM(AR302:AR304)</f>
        <v/>
      </c>
      <c r="AS305" s="61">
        <f>AS301+SUM(AS302:AS304)</f>
        <v/>
      </c>
      <c r="AT305" s="1122">
        <f>AT301+SUM(AT302:AT304)</f>
        <v/>
      </c>
      <c r="AU305" s="60">
        <f>AU301+SUM(AU302:AU304)</f>
        <v/>
      </c>
      <c r="AV305" s="60">
        <f>AV301+SUM(AV302:AV304)</f>
        <v/>
      </c>
      <c r="AW305" s="60">
        <f>AW301+SUM(AW302:AW304)</f>
        <v/>
      </c>
      <c r="AX305" s="61">
        <f>AX301+SUM(AX302:AX304)</f>
        <v/>
      </c>
      <c r="AY305" s="1122">
        <f>AY301+SUM(AY302:AY304)</f>
        <v/>
      </c>
      <c r="AZ305" s="60">
        <f>AZ301+SUM(AZ302:AZ304)</f>
        <v/>
      </c>
      <c r="BA305" s="60">
        <f>BA301+SUM(BA302:BA304)</f>
        <v/>
      </c>
      <c r="BB305" s="60">
        <f>BB301+SUM(BB302:BB304)</f>
        <v/>
      </c>
      <c r="BC305" s="61">
        <f>BC301+SUM(BC302:BC304)</f>
        <v/>
      </c>
      <c r="BD305" s="1122">
        <f>BD301+SUM(BD302:BD304)</f>
        <v/>
      </c>
      <c r="BE305" s="60">
        <f>BE301+SUM(BE302:BE304)</f>
        <v/>
      </c>
      <c r="BF305" s="60">
        <f>BF301+SUM(BF302:BF304)</f>
        <v/>
      </c>
      <c r="BG305" s="60">
        <f>BG301+SUM(BG302:BG304)</f>
        <v/>
      </c>
      <c r="BH305" s="61">
        <f>BH301+SUM(BH302:BH304)</f>
        <v/>
      </c>
      <c r="BI305" s="1122">
        <f>BI301+SUM(BI302:BI304)</f>
        <v/>
      </c>
      <c r="BJ305" s="60">
        <f>BJ301+SUM(BJ302:BJ304)</f>
        <v/>
      </c>
      <c r="BK305" s="60">
        <f>BK301+SUM(BK302:BK304)</f>
        <v/>
      </c>
      <c r="BL305" s="60">
        <f>BL301+SUM(BL302:BL304)</f>
        <v/>
      </c>
      <c r="BM305" s="61">
        <f>BM301+SUM(BM302:BM304)</f>
        <v/>
      </c>
      <c r="BN305" s="1122">
        <f>BN301+SUM(BN302:BN304)</f>
        <v/>
      </c>
      <c r="BO305" s="60">
        <f>BO301+SUM(BO302:BO304)</f>
        <v/>
      </c>
      <c r="BP305" s="60">
        <f>BP301+SUM(BP302:BP304)</f>
        <v/>
      </c>
      <c r="BQ305" s="60">
        <f>BQ301+SUM(BQ302:BQ304)</f>
        <v/>
      </c>
      <c r="BR305" s="61">
        <f>BR301+SUM(BR302:BR304)</f>
        <v/>
      </c>
      <c r="BS305" s="1122">
        <f>BS301+SUM(BS302:BS304)</f>
        <v/>
      </c>
      <c r="BT305" s="60">
        <f>BT301+SUM(BT302:BT304)</f>
        <v/>
      </c>
      <c r="BU305" s="60">
        <f>BU301+SUM(BU302:BU304)</f>
        <v/>
      </c>
      <c r="BV305" s="883">
        <f>BV301+SUM(BV302:BV304)</f>
        <v/>
      </c>
      <c r="BW305" s="61" t="n"/>
      <c r="BX305" s="1122" t="n"/>
      <c r="BY305" s="61" t="n"/>
      <c r="BZ305" s="61" t="n"/>
      <c r="CA305" s="61" t="n"/>
      <c r="CB305" s="61" t="n"/>
      <c r="CC305" s="1122" t="n"/>
      <c r="CD305" s="1122" t="n"/>
      <c r="CE305" s="1122" t="n"/>
      <c r="CF305" s="1122" t="n"/>
      <c r="CG305" s="155" t="n"/>
    </row>
    <row r="306" hidden="1" outlineLevel="1">
      <c r="A306" s="67" t="inlineStr">
        <is>
          <t>Income tax expense</t>
        </is>
      </c>
      <c r="B306" s="146" t="n"/>
      <c r="C306" s="1111" t="n">
        <v>-12.913</v>
      </c>
      <c r="D306" s="1111" t="n">
        <v>-14.307</v>
      </c>
      <c r="E306" s="1111" t="n">
        <v>18.023</v>
      </c>
      <c r="F306" s="1111" t="n">
        <v>82.306</v>
      </c>
      <c r="G306" s="1053" t="n">
        <v>16.658</v>
      </c>
      <c r="H306" s="1053" t="n">
        <v>26.162</v>
      </c>
      <c r="I306" s="1053" t="n">
        <v>44.548</v>
      </c>
      <c r="J306" s="27">
        <f>K306-G306-H306-I306</f>
        <v/>
      </c>
      <c r="K306" s="1111" t="n">
        <v>99.503</v>
      </c>
      <c r="L306" s="1053" t="n">
        <v>10.171</v>
      </c>
      <c r="M306" s="1053" t="n">
        <v>15.372</v>
      </c>
      <c r="N306" s="1053" t="n">
        <v>22.75</v>
      </c>
      <c r="O306" s="27">
        <f>P306-L306-M306-N306</f>
        <v/>
      </c>
      <c r="P306" s="1111" t="n">
        <v>70.264</v>
      </c>
      <c r="Q306" s="1053" t="n">
        <v>26</v>
      </c>
      <c r="R306" s="1053" t="n">
        <v>27</v>
      </c>
      <c r="S306" s="1053" t="n">
        <v>36</v>
      </c>
      <c r="T306" s="27">
        <f>U306-Q306-R306-S306</f>
        <v/>
      </c>
      <c r="U306" s="1111" t="n">
        <v>124</v>
      </c>
      <c r="V306" s="1053" t="n">
        <v>38</v>
      </c>
      <c r="W306" s="1053" t="n">
        <v>46</v>
      </c>
      <c r="X306" s="1053" t="n">
        <v>-1</v>
      </c>
      <c r="Y306" s="1053" t="n">
        <v>46</v>
      </c>
      <c r="Z306" s="1111" t="n">
        <v>129</v>
      </c>
      <c r="AA306" s="1053" t="n">
        <v>33</v>
      </c>
      <c r="AB306" s="1053" t="n">
        <v>56</v>
      </c>
      <c r="AC306" s="1053" t="n">
        <v>79</v>
      </c>
      <c r="AD306" s="1053" t="n">
        <v>71</v>
      </c>
      <c r="AE306" s="1111" t="n">
        <v>239</v>
      </c>
      <c r="AF306" s="1053" t="n">
        <v>29</v>
      </c>
      <c r="AG306" s="1053" t="n">
        <v>101</v>
      </c>
      <c r="AH306" s="1053" t="n">
        <v>58</v>
      </c>
      <c r="AI306" s="1053" t="n">
        <v>-40</v>
      </c>
      <c r="AJ306" s="1111" t="n">
        <v>149</v>
      </c>
      <c r="AK306" s="1053" t="n">
        <v>67</v>
      </c>
      <c r="AL306" s="1053" t="n">
        <v>79</v>
      </c>
      <c r="AM306" s="1053" t="n">
        <v>-149</v>
      </c>
      <c r="AN306" s="1053" t="n">
        <v>-243</v>
      </c>
      <c r="AO306" s="1111" t="n">
        <v>-245</v>
      </c>
      <c r="AP306" s="1060" t="n">
        <v>-5</v>
      </c>
      <c r="AQ306" s="1053" t="n">
        <v>54</v>
      </c>
      <c r="AR306" s="1053" t="n">
        <v>60</v>
      </c>
      <c r="AS306" s="1053" t="n">
        <v>66</v>
      </c>
      <c r="AT306" s="1111" t="n">
        <v>174</v>
      </c>
      <c r="AU306" s="1060" t="n">
        <v>64</v>
      </c>
      <c r="AV306" s="1053" t="n">
        <v>-13</v>
      </c>
      <c r="AW306" s="1053" t="n">
        <v>12</v>
      </c>
      <c r="AX306" s="1053" t="n">
        <v>13</v>
      </c>
      <c r="AY306" s="1111" t="n">
        <v>77</v>
      </c>
      <c r="AZ306" s="1060" t="n">
        <v>132</v>
      </c>
      <c r="BA306" s="1053" t="n">
        <v>20</v>
      </c>
      <c r="BB306" s="1053" t="n">
        <v>174</v>
      </c>
      <c r="BC306" s="1053" t="n">
        <v>-138</v>
      </c>
      <c r="BD306" s="1111" t="n">
        <v>189</v>
      </c>
      <c r="BE306" s="1060" t="n">
        <v>187</v>
      </c>
      <c r="BF306" s="1053" t="n">
        <v>-181</v>
      </c>
      <c r="BG306" s="1053" t="n">
        <v>-67</v>
      </c>
      <c r="BH306" s="1053" t="n">
        <v>-125</v>
      </c>
      <c r="BI306" s="1111" t="n">
        <v>-187</v>
      </c>
      <c r="BJ306" s="1060" t="n">
        <v>166</v>
      </c>
      <c r="BK306" s="1053" t="n">
        <v>793</v>
      </c>
      <c r="BL306" s="1053" t="n">
        <v>1279</v>
      </c>
      <c r="BM306" s="1053" t="n">
        <v>1821</v>
      </c>
      <c r="BN306" s="1111" t="n">
        <v>4058</v>
      </c>
      <c r="BO306" s="1060" t="n">
        <v>2398</v>
      </c>
      <c r="BP306" s="1053" t="n">
        <v>2615</v>
      </c>
      <c r="BQ306" s="1053" t="n">
        <v>3007</v>
      </c>
      <c r="BR306" s="1053" t="n">
        <v>3126</v>
      </c>
      <c r="BS306" s="1111" t="n">
        <v>11146</v>
      </c>
      <c r="BT306" s="1060" t="n">
        <v>3135</v>
      </c>
      <c r="BU306" s="1053" t="n">
        <v>4784</v>
      </c>
      <c r="BV306" s="1054" t="n">
        <v>6026</v>
      </c>
      <c r="BW306" s="68" t="n"/>
      <c r="BX306" s="1110" t="n"/>
      <c r="BY306" s="68" t="n"/>
      <c r="BZ306" s="68" t="n"/>
      <c r="CA306" s="68" t="n"/>
      <c r="CB306" s="68" t="n"/>
      <c r="CC306" s="1110" t="n"/>
      <c r="CD306" s="1110" t="n"/>
      <c r="CE306" s="1110" t="n"/>
      <c r="CF306" s="1110" t="n"/>
      <c r="CG306" s="155" t="n"/>
    </row>
    <row r="307" hidden="1" outlineLevel="1">
      <c r="A307" s="64" t="inlineStr">
        <is>
          <t>Net income</t>
        </is>
      </c>
      <c r="B307" s="608" t="n"/>
      <c r="C307" s="1149">
        <f>C305-C306</f>
        <v/>
      </c>
      <c r="D307" s="1149">
        <f>D305-D306</f>
        <v/>
      </c>
      <c r="E307" s="1149">
        <f>E305-E306</f>
        <v/>
      </c>
      <c r="F307" s="1149">
        <f>F305-F306</f>
        <v/>
      </c>
      <c r="G307" s="65">
        <f>G305-G306</f>
        <v/>
      </c>
      <c r="H307" s="65">
        <f>H305-H306</f>
        <v/>
      </c>
      <c r="I307" s="65">
        <f>I305-I306</f>
        <v/>
      </c>
      <c r="J307" s="65">
        <f>J305-J306</f>
        <v/>
      </c>
      <c r="K307" s="1149">
        <f>K305-K306</f>
        <v/>
      </c>
      <c r="L307" s="65">
        <f>L305-L306</f>
        <v/>
      </c>
      <c r="M307" s="65">
        <f>M305-M306</f>
        <v/>
      </c>
      <c r="N307" s="65">
        <f>N305-N306</f>
        <v/>
      </c>
      <c r="O307" s="65">
        <f>O305-O306</f>
        <v/>
      </c>
      <c r="P307" s="1149">
        <f>P305-P306</f>
        <v/>
      </c>
      <c r="Q307" s="65">
        <f>Q305-Q306</f>
        <v/>
      </c>
      <c r="R307" s="65">
        <f>R305-R306</f>
        <v/>
      </c>
      <c r="S307" s="65">
        <f>S305-S306</f>
        <v/>
      </c>
      <c r="T307" s="65">
        <f>T305-T306</f>
        <v/>
      </c>
      <c r="U307" s="1149">
        <f>U305-U306</f>
        <v/>
      </c>
      <c r="V307" s="65">
        <f>V305-V306</f>
        <v/>
      </c>
      <c r="W307" s="65">
        <f>W305-W306</f>
        <v/>
      </c>
      <c r="X307" s="65">
        <f>X305-X306</f>
        <v/>
      </c>
      <c r="Y307" s="65">
        <f>Y305-Y306</f>
        <v/>
      </c>
      <c r="Z307" s="1149">
        <f>Z305-Z306</f>
        <v/>
      </c>
      <c r="AA307" s="65">
        <f>AA305-AA306</f>
        <v/>
      </c>
      <c r="AB307" s="65">
        <f>AB305-AB306</f>
        <v/>
      </c>
      <c r="AC307" s="66">
        <f>AC305-AC306</f>
        <v/>
      </c>
      <c r="AD307" s="66">
        <f>AD305-AD306</f>
        <v/>
      </c>
      <c r="AE307" s="1150">
        <f>AE305-AE306</f>
        <v/>
      </c>
      <c r="AF307" s="66">
        <f>AF305-AF306</f>
        <v/>
      </c>
      <c r="AG307" s="65">
        <f>AG305-AG306</f>
        <v/>
      </c>
      <c r="AH307" s="65">
        <f>AH305-AH306</f>
        <v/>
      </c>
      <c r="AI307" s="66">
        <f>AI305-AI306</f>
        <v/>
      </c>
      <c r="AJ307" s="1150">
        <f>AJ305-AJ306</f>
        <v/>
      </c>
      <c r="AK307" s="65">
        <f>AK305-AK306</f>
        <v/>
      </c>
      <c r="AL307" s="65">
        <f>AL305-AL306</f>
        <v/>
      </c>
      <c r="AM307" s="65">
        <f>AM305-AM306</f>
        <v/>
      </c>
      <c r="AN307" s="66">
        <f>AN305-AN306</f>
        <v/>
      </c>
      <c r="AO307" s="1150">
        <f>AO305-AO306</f>
        <v/>
      </c>
      <c r="AP307" s="65">
        <f>AP305-AP306</f>
        <v/>
      </c>
      <c r="AQ307" s="65">
        <f>AQ305-AQ306</f>
        <v/>
      </c>
      <c r="AR307" s="65">
        <f>AR305-AR306</f>
        <v/>
      </c>
      <c r="AS307" s="66">
        <f>AS305-AS306</f>
        <v/>
      </c>
      <c r="AT307" s="1150">
        <f>AT305-AT306</f>
        <v/>
      </c>
      <c r="AU307" s="65">
        <f>AU305-AU306</f>
        <v/>
      </c>
      <c r="AV307" s="65">
        <f>AV305-AV306</f>
        <v/>
      </c>
      <c r="AW307" s="65">
        <f>AW305-AW306</f>
        <v/>
      </c>
      <c r="AX307" s="66">
        <f>AX305-AX306</f>
        <v/>
      </c>
      <c r="AY307" s="1150">
        <f>AY305-AY306</f>
        <v/>
      </c>
      <c r="AZ307" s="65">
        <f>AZ305-AZ306</f>
        <v/>
      </c>
      <c r="BA307" s="65">
        <f>BA305-BA306</f>
        <v/>
      </c>
      <c r="BB307" s="65">
        <f>BB305-BB306</f>
        <v/>
      </c>
      <c r="BC307" s="66">
        <f>BC305-BC306</f>
        <v/>
      </c>
      <c r="BD307" s="1150">
        <f>BD305-BD306</f>
        <v/>
      </c>
      <c r="BE307" s="65">
        <f>BE305-BE306</f>
        <v/>
      </c>
      <c r="BF307" s="65">
        <f>BF305-BF306</f>
        <v/>
      </c>
      <c r="BG307" s="65">
        <f>BG305-BG306</f>
        <v/>
      </c>
      <c r="BH307" s="66">
        <f>BH305-BH306</f>
        <v/>
      </c>
      <c r="BI307" s="1150">
        <f>BI305-BI306</f>
        <v/>
      </c>
      <c r="BJ307" s="65">
        <f>BJ305-BJ306</f>
        <v/>
      </c>
      <c r="BK307" s="65">
        <f>BK305-BK306</f>
        <v/>
      </c>
      <c r="BL307" s="65">
        <f>BL305-BL306</f>
        <v/>
      </c>
      <c r="BM307" s="66">
        <f>BM305-BM306</f>
        <v/>
      </c>
      <c r="BN307" s="1150">
        <f>BN305-BN306</f>
        <v/>
      </c>
      <c r="BO307" s="65">
        <f>BO305-BO306</f>
        <v/>
      </c>
      <c r="BP307" s="65">
        <f>BP305-BP306</f>
        <v/>
      </c>
      <c r="BQ307" s="65">
        <f>BQ305-BQ306</f>
        <v/>
      </c>
      <c r="BR307" s="66">
        <f>BR305-BR306</f>
        <v/>
      </c>
      <c r="BS307" s="1150">
        <f>BS305-BS306</f>
        <v/>
      </c>
      <c r="BT307" s="65">
        <f>BT305-BT306</f>
        <v/>
      </c>
      <c r="BU307" s="65">
        <f>BU305-BU306</f>
        <v/>
      </c>
      <c r="BV307" s="894">
        <f>BV305-BV306</f>
        <v/>
      </c>
      <c r="BW307" s="66" t="n"/>
      <c r="BX307" s="1150" t="n"/>
      <c r="BY307" s="66" t="n"/>
      <c r="BZ307" s="66" t="n"/>
      <c r="CA307" s="66" t="n"/>
      <c r="CB307" s="66" t="n"/>
      <c r="CC307" s="1150" t="n"/>
      <c r="CD307" s="1150" t="n"/>
      <c r="CE307" s="1150" t="n"/>
      <c r="CF307" s="1150" t="n"/>
      <c r="CG307" s="155" t="n"/>
    </row>
    <row r="308" hidden="1" outlineLevel="1">
      <c r="A308" s="99" t="n"/>
      <c r="B308" s="146" t="n"/>
      <c r="C308" s="1110" t="n"/>
      <c r="D308" s="1110" t="n"/>
      <c r="E308" s="1110" t="n"/>
      <c r="F308" s="1110" t="n"/>
      <c r="G308" s="68" t="n"/>
      <c r="H308" s="68" t="n"/>
      <c r="I308" s="68" t="n"/>
      <c r="J308" s="68" t="n"/>
      <c r="K308" s="1110" t="n"/>
      <c r="L308" s="68" t="n"/>
      <c r="M308" s="68" t="n"/>
      <c r="N308" s="68" t="n"/>
      <c r="O308" s="68" t="n"/>
      <c r="P308" s="1110" t="n"/>
      <c r="Q308" s="68" t="n"/>
      <c r="R308" s="68" t="n"/>
      <c r="S308" s="68" t="n"/>
      <c r="T308" s="68" t="n"/>
      <c r="U308" s="1110" t="n"/>
      <c r="V308" s="68" t="n"/>
      <c r="W308" s="68" t="n"/>
      <c r="X308" s="68" t="n"/>
      <c r="Y308" s="68" t="n"/>
      <c r="Z308" s="1110" t="n"/>
      <c r="AA308" s="68" t="n"/>
      <c r="AB308" s="68" t="n"/>
      <c r="AC308" s="68" t="n"/>
      <c r="AD308" s="68" t="n"/>
      <c r="AE308" s="1110" t="n"/>
      <c r="AF308" s="68" t="n"/>
      <c r="AG308" s="68" t="n"/>
      <c r="AH308" s="68" t="n"/>
      <c r="AI308" s="68" t="n"/>
      <c r="AJ308" s="1110" t="n"/>
      <c r="AK308" s="68" t="n"/>
      <c r="AL308" s="68" t="n"/>
      <c r="AM308" s="68" t="n"/>
      <c r="AN308" s="68" t="n"/>
      <c r="AO308" s="1110" t="n"/>
      <c r="AP308" s="68" t="n"/>
      <c r="AQ308" s="68" t="n"/>
      <c r="AR308" s="68" t="n"/>
      <c r="AS308" s="68" t="n"/>
      <c r="AT308" s="1110" t="n"/>
      <c r="AU308" s="68" t="n"/>
      <c r="AV308" s="68" t="n"/>
      <c r="AW308" s="68" t="n"/>
      <c r="AX308" s="68" t="n"/>
      <c r="AY308" s="1110" t="n"/>
      <c r="AZ308" s="68" t="n"/>
      <c r="BA308" s="68" t="n"/>
      <c r="BB308" s="68" t="n"/>
      <c r="BC308" s="68" t="n"/>
      <c r="BD308" s="1110" t="n"/>
      <c r="BE308" s="68" t="n"/>
      <c r="BF308" s="68" t="n"/>
      <c r="BG308" s="68" t="n"/>
      <c r="BH308" s="68" t="n"/>
      <c r="BI308" s="1110" t="n"/>
      <c r="BJ308" s="68" t="n"/>
      <c r="BK308" s="68" t="n"/>
      <c r="BL308" s="68" t="n"/>
      <c r="BM308" s="68" t="n"/>
      <c r="BN308" s="1110" t="n"/>
      <c r="BO308" s="68" t="n"/>
      <c r="BP308" s="68" t="n"/>
      <c r="BQ308" s="68" t="n"/>
      <c r="BR308" s="68" t="n"/>
      <c r="BS308" s="1110" t="n"/>
      <c r="BT308" s="68" t="n"/>
      <c r="BU308" s="68" t="n"/>
      <c r="BV308" s="588" t="n"/>
      <c r="BW308" s="68" t="n"/>
      <c r="BX308" s="1110" t="n"/>
      <c r="BY308" s="68" t="n"/>
      <c r="BZ308" s="68" t="n"/>
      <c r="CA308" s="68" t="n"/>
      <c r="CB308" s="68" t="n"/>
      <c r="CC308" s="1110" t="n"/>
      <c r="CD308" s="1110" t="n"/>
      <c r="CE308" s="1110" t="n"/>
      <c r="CF308" s="1110" t="n"/>
      <c r="CG308" s="155" t="n"/>
    </row>
    <row r="309" hidden="1" outlineLevel="1">
      <c r="A309" s="985" t="inlineStr">
        <is>
          <t>IS Check</t>
        </is>
      </c>
      <c r="B309" s="985" t="n"/>
      <c r="C309" s="986">
        <f>IF(ISBLANK(INDEX(MO_IS_FirstRow,0,COLUMN())),0,ROUND(C307-C843,6))</f>
        <v/>
      </c>
      <c r="D309" s="986">
        <f>IF(ISBLANK(INDEX(MO_IS_FirstRow,0,COLUMN())),0,ROUND(D307-D843,6))</f>
        <v/>
      </c>
      <c r="E309" s="986">
        <f>IF(ISBLANK(INDEX(MO_IS_FirstRow,0,COLUMN())),0,ROUND(E307-E843,6))</f>
        <v/>
      </c>
      <c r="F309" s="986">
        <f>IF(ISBLANK(INDEX(MO_IS_FirstRow,0,COLUMN())),0,ROUND(F307-F843,6))</f>
        <v/>
      </c>
      <c r="G309" s="986">
        <f>IF(ISBLANK(INDEX(MO_IS_FirstRow,0,COLUMN())),0,ROUND(G307-G843,6))</f>
        <v/>
      </c>
      <c r="H309" s="986">
        <f>IF(ISBLANK(INDEX(MO_IS_FirstRow,0,COLUMN())),0,ROUND(H307-H843,6))</f>
        <v/>
      </c>
      <c r="I309" s="986">
        <f>IF(ISBLANK(INDEX(MO_IS_FirstRow,0,COLUMN())),0,ROUND(I307-I843,6))</f>
        <v/>
      </c>
      <c r="J309" s="986">
        <f>IF(ISBLANK(INDEX(MO_IS_FirstRow,0,COLUMN())),0,ROUND(J307-J843,6))</f>
        <v/>
      </c>
      <c r="K309" s="986">
        <f>IF(ISBLANK(INDEX(MO_IS_FirstRow,0,COLUMN())),0,ROUND(K307-K843,6))</f>
        <v/>
      </c>
      <c r="L309" s="986">
        <f>IF(ISBLANK(INDEX(MO_IS_FirstRow,0,COLUMN())),0,ROUND(L307-L843,6))</f>
        <v/>
      </c>
      <c r="M309" s="986">
        <f>IF(ISBLANK(INDEX(MO_IS_FirstRow,0,COLUMN())),0,ROUND(M307-M843,6))</f>
        <v/>
      </c>
      <c r="N309" s="986">
        <f>IF(ISBLANK(INDEX(MO_IS_FirstRow,0,COLUMN())),0,ROUND(N307-N843,6))</f>
        <v/>
      </c>
      <c r="O309" s="986">
        <f>IF(ISBLANK(INDEX(MO_IS_FirstRow,0,COLUMN())),0,ROUND(O307-O843,6))</f>
        <v/>
      </c>
      <c r="P309" s="986">
        <f>IF(ISBLANK(INDEX(MO_IS_FirstRow,0,COLUMN())),0,ROUND(P307-P843,6))</f>
        <v/>
      </c>
      <c r="Q309" s="986">
        <f>IF(ISBLANK(INDEX(MO_IS_FirstRow,0,COLUMN())),0,ROUND(Q307-Q843,6))</f>
        <v/>
      </c>
      <c r="R309" s="986">
        <f>IF(ISBLANK(INDEX(MO_IS_FirstRow,0,COLUMN())),0,ROUND(R307-R843,6))</f>
        <v/>
      </c>
      <c r="S309" s="986">
        <f>IF(ISBLANK(INDEX(MO_IS_FirstRow,0,COLUMN())),0,ROUND(S307-S843,6))</f>
        <v/>
      </c>
      <c r="T309" s="986">
        <f>IF(ISBLANK(INDEX(MO_IS_FirstRow,0,COLUMN())),0,ROUND(T307-T843,6))</f>
        <v/>
      </c>
      <c r="U309" s="986">
        <f>IF(ISBLANK(INDEX(MO_IS_FirstRow,0,COLUMN())),0,ROUND(U307-U843,6))</f>
        <v/>
      </c>
      <c r="V309" s="986">
        <f>IF(ISBLANK(INDEX(MO_IS_FirstRow,0,COLUMN())),0,ROUND(V307-V843,6))</f>
        <v/>
      </c>
      <c r="W309" s="986">
        <f>IF(ISBLANK(INDEX(MO_IS_FirstRow,0,COLUMN())),0,ROUND(W307-W843,6))</f>
        <v/>
      </c>
      <c r="X309" s="986">
        <f>IF(ISBLANK(INDEX(MO_IS_FirstRow,0,COLUMN())),0,ROUND(X307-X843,6))</f>
        <v/>
      </c>
      <c r="Y309" s="986">
        <f>IF(ISBLANK(INDEX(MO_IS_FirstRow,0,COLUMN())),0,ROUND(Y307-Y843,6))</f>
        <v/>
      </c>
      <c r="Z309" s="986">
        <f>IF(ISBLANK(INDEX(MO_IS_FirstRow,0,COLUMN())),0,ROUND(Z307-Z843,6))</f>
        <v/>
      </c>
      <c r="AA309" s="986">
        <f>IF(ISBLANK(INDEX(MO_IS_FirstRow,0,COLUMN())),0,ROUND(AA307-AA843,6))</f>
        <v/>
      </c>
      <c r="AB309" s="986">
        <f>IF(ISBLANK(INDEX(MO_IS_FirstRow,0,COLUMN())),0,ROUND(AB307-AB843,6))</f>
        <v/>
      </c>
      <c r="AC309" s="986">
        <f>IF(ISBLANK(INDEX(MO_IS_FirstRow,0,COLUMN())),0,ROUND(AC307-AC843,6))</f>
        <v/>
      </c>
      <c r="AD309" s="986">
        <f>IF(ISBLANK(INDEX(MO_IS_FirstRow,0,COLUMN())),0,ROUND(AD307-AD843,6))</f>
        <v/>
      </c>
      <c r="AE309" s="986">
        <f>IF(ISBLANK(INDEX(MO_IS_FirstRow,0,COLUMN())),0,ROUND(AE307-AE843,6))</f>
        <v/>
      </c>
      <c r="AF309" s="986">
        <f>IF(ISBLANK(INDEX(MO_IS_FirstRow,0,COLUMN())),0,ROUND(AF307-AF843,6))</f>
        <v/>
      </c>
      <c r="AG309" s="986">
        <f>IF(ISBLANK(INDEX(MO_IS_FirstRow,0,COLUMN())),0,ROUND(AG307-AG843,6))</f>
        <v/>
      </c>
      <c r="AH309" s="986">
        <f>IF(ISBLANK(INDEX(MO_IS_FirstRow,0,COLUMN())),0,ROUND(AH307-AH843,6))</f>
        <v/>
      </c>
      <c r="AI309" s="986">
        <f>IF(ISBLANK(INDEX(MO_IS_FirstRow,0,COLUMN())),0,ROUND(AI307-AI843,6))</f>
        <v/>
      </c>
      <c r="AJ309" s="986">
        <f>IF(ISBLANK(INDEX(MO_IS_FirstRow,0,COLUMN())),0,ROUND(AJ307-AJ843,6))</f>
        <v/>
      </c>
      <c r="AK309" s="986">
        <f>IF(ISBLANK(INDEX(MO_IS_FirstRow,0,COLUMN())),0,ROUND(AK307-AK843,6))</f>
        <v/>
      </c>
      <c r="AL309" s="986">
        <f>IF(ISBLANK(INDEX(MO_IS_FirstRow,0,COLUMN())),0,ROUND(AL307-AL843,6))</f>
        <v/>
      </c>
      <c r="AM309" s="986">
        <f>IF(ISBLANK(INDEX(MO_IS_FirstRow,0,COLUMN())),0,ROUND(AM307-AM843,6))</f>
        <v/>
      </c>
      <c r="AN309" s="986">
        <f>IF(ISBLANK(INDEX(MO_IS_FirstRow,0,COLUMN())),0,ROUND(AN307-AN843,6))</f>
        <v/>
      </c>
      <c r="AO309" s="986">
        <f>IF(ISBLANK(INDEX(MO_IS_FirstRow,0,COLUMN())),0,ROUND(AO307-AO843,6))</f>
        <v/>
      </c>
      <c r="AP309" s="986">
        <f>IF(ISBLANK(INDEX(MO_IS_FirstRow,0,COLUMN())),0,ROUND(AP307-AP843,6))</f>
        <v/>
      </c>
      <c r="AQ309" s="986">
        <f>IF(ISBLANK(INDEX(MO_IS_FirstRow,0,COLUMN())),0,ROUND(AQ307-AQ843,6))</f>
        <v/>
      </c>
      <c r="AR309" s="986">
        <f>IF(ISBLANK(INDEX(MO_IS_FirstRow,0,COLUMN())),0,ROUND(AR307-AR843,6))</f>
        <v/>
      </c>
      <c r="AS309" s="986">
        <f>IF(ISBLANK(INDEX(MO_IS_FirstRow,0,COLUMN())),0,ROUND(AS307-AS843,6))</f>
        <v/>
      </c>
      <c r="AT309" s="986">
        <f>IF(ISBLANK(INDEX(MO_IS_FirstRow,0,COLUMN())),0,ROUND(AT307-AT843,6))</f>
        <v/>
      </c>
      <c r="AU309" s="986">
        <f>IF(ISBLANK(INDEX(MO_IS_FirstRow,0,COLUMN())),0,ROUND(AU307-AU843,6))</f>
        <v/>
      </c>
      <c r="AV309" s="986">
        <f>IF(ISBLANK(INDEX(MO_IS_FirstRow,0,COLUMN())),0,ROUND(AV307-AV843,6))</f>
        <v/>
      </c>
      <c r="AW309" s="986">
        <f>IF(ISBLANK(INDEX(MO_IS_FirstRow,0,COLUMN())),0,ROUND(AW307-AW843,6))</f>
        <v/>
      </c>
      <c r="AX309" s="986">
        <f>IF(ISBLANK(INDEX(MO_IS_FirstRow,0,COLUMN())),0,ROUND(AX307-AX843,6))</f>
        <v/>
      </c>
      <c r="AY309" s="986">
        <f>IF(ISBLANK(INDEX(MO_IS_FirstRow,0,COLUMN())),0,ROUND(AY307-AY843,6))</f>
        <v/>
      </c>
      <c r="AZ309" s="986">
        <f>IF(ISBLANK(INDEX(MO_IS_FirstRow,0,COLUMN())),0,ROUND(AZ307-AZ843,6))</f>
        <v/>
      </c>
      <c r="BA309" s="986">
        <f>IF(ISBLANK(INDEX(MO_IS_FirstRow,0,COLUMN())),0,ROUND(BA307-BA843,6))</f>
        <v/>
      </c>
      <c r="BB309" s="986">
        <f>IF(ISBLANK(INDEX(MO_IS_FirstRow,0,COLUMN())),0,ROUND(BB307-BB843,6))</f>
        <v/>
      </c>
      <c r="BC309" s="986">
        <f>IF(ISBLANK(INDEX(MO_IS_FirstRow,0,COLUMN())),0,ROUND(BC307-BC843,6))</f>
        <v/>
      </c>
      <c r="BD309" s="986">
        <f>IF(ISBLANK(INDEX(MO_IS_FirstRow,0,COLUMN())),0,ROUND(BD307-BD843,6))</f>
        <v/>
      </c>
      <c r="BE309" s="986">
        <f>IF(ISBLANK(INDEX(MO_IS_FirstRow,0,COLUMN())),0,ROUND(BE307-BE843,6))</f>
        <v/>
      </c>
      <c r="BF309" s="986">
        <f>IF(ISBLANK(INDEX(MO_IS_FirstRow,0,COLUMN())),0,ROUND(BF307-BF843,6))</f>
        <v/>
      </c>
      <c r="BG309" s="986">
        <f>IF(ISBLANK(INDEX(MO_IS_FirstRow,0,COLUMN())),0,ROUND(BG307-BG843,6))</f>
        <v/>
      </c>
      <c r="BH309" s="986">
        <f>IF(ISBLANK(INDEX(MO_IS_FirstRow,0,COLUMN())),0,ROUND(BH307-BH843,6))</f>
        <v/>
      </c>
      <c r="BI309" s="986">
        <f>IF(ISBLANK(INDEX(MO_IS_FirstRow,0,COLUMN())),0,ROUND(BI307-BI843,6))</f>
        <v/>
      </c>
      <c r="BJ309" s="986">
        <f>IF(ISBLANK(INDEX(MO_IS_FirstRow,0,COLUMN())),0,ROUND(BJ307-BJ843,6))</f>
        <v/>
      </c>
      <c r="BK309" s="986">
        <f>IF(ISBLANK(INDEX(MO_IS_FirstRow,0,COLUMN())),0,ROUND(BK307-BK843,6))</f>
        <v/>
      </c>
      <c r="BL309" s="986">
        <f>IF(ISBLANK(INDEX(MO_IS_FirstRow,0,COLUMN())),0,ROUND(BL307-BL843,6))</f>
        <v/>
      </c>
      <c r="BM309" s="986">
        <f>IF(ISBLANK(INDEX(MO_IS_FirstRow,0,COLUMN())),0,ROUND(BM307-BM843,6))</f>
        <v/>
      </c>
      <c r="BN309" s="986">
        <f>IF(ISBLANK(INDEX(MO_IS_FirstRow,0,COLUMN())),0,ROUND(BN307-BN843,6))</f>
        <v/>
      </c>
      <c r="BO309" s="986">
        <f>IF(ISBLANK(INDEX(MO_IS_FirstRow,0,COLUMN())),0,ROUND(BO307-BO843,6))</f>
        <v/>
      </c>
      <c r="BP309" s="986">
        <f>IF(ISBLANK(INDEX(MO_IS_FirstRow,0,COLUMN())),0,ROUND(BP307-BP843,6))</f>
        <v/>
      </c>
      <c r="BQ309" s="986">
        <f>IF(ISBLANK(INDEX(MO_IS_FirstRow,0,COLUMN())),0,ROUND(BQ307-BQ843,6))</f>
        <v/>
      </c>
      <c r="BR309" s="986">
        <f>IF(ISBLANK(INDEX(MO_IS_FirstRow,0,COLUMN())),0,ROUND(BR307-BR843,6))</f>
        <v/>
      </c>
      <c r="BS309" s="986">
        <f>IF(ISBLANK(INDEX(MO_IS_FirstRow,0,COLUMN())),0,ROUND(BS307-BS843,6))</f>
        <v/>
      </c>
      <c r="BT309" s="986">
        <f>IF(ISBLANK(INDEX(MO_IS_FirstRow,0,COLUMN())),0,ROUND(BT307-BT843,6))</f>
        <v/>
      </c>
      <c r="BU309" s="986">
        <f>IF(ISBLANK(INDEX(MO_IS_FirstRow,0,COLUMN())),0,ROUND(BU307-BU843,6))</f>
        <v/>
      </c>
      <c r="BV309" s="987">
        <f>IF(ISBLANK(INDEX(MO_IS_FirstRow,0,COLUMN())),0,ROUND(BV307-BV843,6))</f>
        <v/>
      </c>
      <c r="BW309" s="986">
        <f>IF(ISBLANK(INDEX(MO_IS_FirstRow,0,COLUMN())),0,ROUND(BW307-BW843,6))</f>
        <v/>
      </c>
      <c r="BX309" s="986">
        <f>IF(ISBLANK(INDEX(MO_IS_FirstRow,0,COLUMN())),0,ROUND(BX307-BX843,6))</f>
        <v/>
      </c>
      <c r="BY309" s="986">
        <f>IF(ISBLANK(INDEX(MO_IS_FirstRow,0,COLUMN())),0,ROUND(BY307-BY843,6))</f>
        <v/>
      </c>
      <c r="BZ309" s="986">
        <f>IF(ISBLANK(INDEX(MO_IS_FirstRow,0,COLUMN())),0,ROUND(BZ307-BZ843,6))</f>
        <v/>
      </c>
      <c r="CA309" s="986">
        <f>IF(ISBLANK(INDEX(MO_IS_FirstRow,0,COLUMN())),0,ROUND(CA307-CA843,6))</f>
        <v/>
      </c>
      <c r="CB309" s="986">
        <f>IF(ISBLANK(INDEX(MO_IS_FirstRow,0,COLUMN())),0,ROUND(CB307-CB843,6))</f>
        <v/>
      </c>
      <c r="CC309" s="986">
        <f>IF(ISBLANK(INDEX(MO_IS_FirstRow,0,COLUMN())),0,ROUND(CC307-CC843,6))</f>
        <v/>
      </c>
      <c r="CD309" s="986">
        <f>IF(ISBLANK(INDEX(MO_IS_FirstRow,0,COLUMN())),0,ROUND(CD307-CD843,6))</f>
        <v/>
      </c>
      <c r="CE309" s="986">
        <f>IF(ISBLANK(INDEX(MO_IS_FirstRow,0,COLUMN())),0,ROUND(CE307-CE843,6))</f>
        <v/>
      </c>
      <c r="CF309" s="986">
        <f>IF(ISBLANK(INDEX(MO_IS_FirstRow,0,COLUMN())),0,ROUND(CF307-CF843,6))</f>
        <v/>
      </c>
      <c r="CG309" s="155" t="n"/>
    </row>
    <row r="310" collapsed="1">
      <c r="A310" s="492" t="n"/>
      <c r="B310" s="428" t="n"/>
      <c r="C310" s="1134" t="n"/>
      <c r="D310" s="1134" t="n"/>
      <c r="E310" s="1134" t="n"/>
      <c r="F310" s="1134" t="n"/>
      <c r="G310" s="93" t="n"/>
      <c r="H310" s="93" t="n"/>
      <c r="I310" s="93" t="n"/>
      <c r="J310" s="93" t="n"/>
      <c r="K310" s="1134" t="n"/>
      <c r="L310" s="93" t="n"/>
      <c r="M310" s="93" t="n"/>
      <c r="N310" s="93" t="n"/>
      <c r="O310" s="93" t="n"/>
      <c r="P310" s="1134" t="n"/>
      <c r="Q310" s="93" t="n"/>
      <c r="R310" s="93" t="n"/>
      <c r="S310" s="93" t="n"/>
      <c r="T310" s="93" t="n"/>
      <c r="U310" s="1134" t="n"/>
      <c r="V310" s="93" t="n"/>
      <c r="W310" s="93" t="n"/>
      <c r="X310" s="93" t="n"/>
      <c r="Y310" s="93" t="n"/>
      <c r="Z310" s="1134" t="n"/>
      <c r="AA310" s="93" t="n"/>
      <c r="AB310" s="93" t="n"/>
      <c r="AC310" s="93" t="n"/>
      <c r="AD310" s="93" t="n"/>
      <c r="AE310" s="1134" t="n"/>
      <c r="AF310" s="93" t="n"/>
      <c r="AG310" s="93" t="n"/>
      <c r="AH310" s="93" t="n"/>
      <c r="AI310" s="93" t="n"/>
      <c r="AJ310" s="1134" t="n"/>
      <c r="AK310" s="93" t="n"/>
      <c r="AL310" s="93" t="n"/>
      <c r="AM310" s="93" t="n"/>
      <c r="AN310" s="93" t="n"/>
      <c r="AO310" s="1134" t="n"/>
      <c r="AP310" s="93" t="n"/>
      <c r="AQ310" s="93" t="n"/>
      <c r="AR310" s="93" t="n"/>
      <c r="AS310" s="93" t="n"/>
      <c r="AT310" s="1134" t="n"/>
      <c r="AU310" s="93" t="n"/>
      <c r="AV310" s="93" t="n"/>
      <c r="AW310" s="93" t="n"/>
      <c r="AX310" s="93" t="n"/>
      <c r="AY310" s="1134" t="n"/>
      <c r="AZ310" s="93" t="n"/>
      <c r="BA310" s="93" t="n"/>
      <c r="BB310" s="93" t="n"/>
      <c r="BC310" s="93" t="n"/>
      <c r="BD310" s="1134" t="n"/>
      <c r="BE310" s="93" t="n"/>
      <c r="BF310" s="93" t="n"/>
      <c r="BG310" s="93" t="n"/>
      <c r="BH310" s="93" t="n"/>
      <c r="BI310" s="1134" t="n"/>
      <c r="BJ310" s="93" t="n"/>
      <c r="BK310" s="93" t="n"/>
      <c r="BL310" s="93" t="n"/>
      <c r="BM310" s="93" t="n"/>
      <c r="BN310" s="1134" t="n"/>
      <c r="BO310" s="93" t="n"/>
      <c r="BP310" s="93" t="n"/>
      <c r="BQ310" s="93" t="n"/>
      <c r="BR310" s="93" t="n"/>
      <c r="BS310" s="1134" t="n"/>
      <c r="BT310" s="93" t="n"/>
      <c r="BU310" s="93" t="n"/>
      <c r="BV310" s="522" t="n"/>
      <c r="BW310" s="93" t="n"/>
      <c r="BX310" s="1134" t="n"/>
      <c r="BY310" s="93" t="n"/>
      <c r="BZ310" s="93" t="n"/>
      <c r="CA310" s="93" t="n"/>
      <c r="CB310" s="93" t="n"/>
      <c r="CC310" s="1134" t="n"/>
      <c r="CD310" s="1134" t="n"/>
      <c r="CE310" s="1134" t="n"/>
      <c r="CF310" s="1134" t="n"/>
      <c r="CG310" s="155" t="n"/>
    </row>
    <row r="311">
      <c r="A311" s="45" t="inlineStr">
        <is>
          <t>Adjusted Numbers - As Reported</t>
        </is>
      </c>
      <c r="B311" s="45" t="n"/>
      <c r="C311" s="45" t="n"/>
      <c r="D311" s="45" t="n"/>
      <c r="E311" s="45" t="n"/>
      <c r="F311" s="45" t="n"/>
      <c r="G311" s="45" t="n"/>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c r="AA311" s="45" t="n"/>
      <c r="AB311" s="45" t="n"/>
      <c r="AC311" s="45" t="n"/>
      <c r="AD311" s="45" t="n"/>
      <c r="AE311" s="45" t="n"/>
      <c r="AF311" s="45" t="n"/>
      <c r="AG311" s="45" t="n"/>
      <c r="AH311" s="45" t="n"/>
      <c r="AI311" s="45" t="n"/>
      <c r="AJ311" s="45" t="n"/>
      <c r="AK311" s="45" t="n"/>
      <c r="AL311" s="45" t="n"/>
      <c r="AM311" s="45" t="n"/>
      <c r="AN311" s="45" t="n"/>
      <c r="AO311" s="45" t="n"/>
      <c r="AP311" s="45" t="n"/>
      <c r="AQ311" s="45" t="n"/>
      <c r="AR311" s="45" t="n"/>
      <c r="AS311" s="45" t="n"/>
      <c r="AT311" s="45" t="n"/>
      <c r="AU311" s="45" t="n"/>
      <c r="AV311" s="45" t="n"/>
      <c r="AW311" s="45" t="n"/>
      <c r="AX311" s="45" t="n"/>
      <c r="AY311" s="45" t="n"/>
      <c r="AZ311" s="45" t="n"/>
      <c r="BA311" s="45" t="n"/>
      <c r="BB311" s="45" t="n"/>
      <c r="BC311" s="45" t="n"/>
      <c r="BD311" s="45" t="n"/>
      <c r="BE311" s="45" t="n"/>
      <c r="BF311" s="45" t="n"/>
      <c r="BG311" s="45" t="n"/>
      <c r="BH311" s="45" t="n"/>
      <c r="BI311" s="45" t="n"/>
      <c r="BJ311" s="45" t="n"/>
      <c r="BK311" s="45" t="n"/>
      <c r="BL311" s="45" t="n"/>
      <c r="BM311" s="45" t="n"/>
      <c r="BN311" s="45" t="n"/>
      <c r="BO311" s="45" t="n"/>
      <c r="BP311" s="45" t="n"/>
      <c r="BQ311" s="45" t="n"/>
      <c r="BR311" s="45" t="n"/>
      <c r="BS311" s="45" t="n"/>
      <c r="BT311" s="45" t="n"/>
      <c r="BU311" s="45" t="n"/>
      <c r="BV311" s="982" t="n"/>
      <c r="BW311" s="45" t="n"/>
      <c r="BX311" s="45" t="n"/>
      <c r="BY311" s="45" t="n"/>
      <c r="BZ311" s="45" t="n"/>
      <c r="CA311" s="45" t="n"/>
      <c r="CB311" s="45" t="n"/>
      <c r="CC311" s="45" t="n"/>
      <c r="CD311" s="45" t="n"/>
      <c r="CE311" s="45" t="n"/>
      <c r="CF311" s="45" t="n"/>
      <c r="CG311" s="155" t="n"/>
    </row>
    <row r="312" hidden="1" outlineLevel="1">
      <c r="A312" s="62" t="inlineStr">
        <is>
          <t>GAAP net income</t>
        </is>
      </c>
      <c r="B312" s="279" t="n"/>
      <c r="C312" s="1132">
        <f>C307</f>
        <v/>
      </c>
      <c r="D312" s="1132">
        <f>D307</f>
        <v/>
      </c>
      <c r="E312" s="1132">
        <f>E307</f>
        <v/>
      </c>
      <c r="F312" s="1132">
        <f>F307</f>
        <v/>
      </c>
      <c r="G312" s="28">
        <f>G307</f>
        <v/>
      </c>
      <c r="H312" s="28">
        <f>H307</f>
        <v/>
      </c>
      <c r="I312" s="28">
        <f>I307</f>
        <v/>
      </c>
      <c r="J312" s="28">
        <f>J307</f>
        <v/>
      </c>
      <c r="K312" s="1132">
        <f>K307</f>
        <v/>
      </c>
      <c r="L312" s="28">
        <f>L307</f>
        <v/>
      </c>
      <c r="M312" s="28">
        <f>M307</f>
        <v/>
      </c>
      <c r="N312" s="28">
        <f>N307</f>
        <v/>
      </c>
      <c r="O312" s="28">
        <f>O307</f>
        <v/>
      </c>
      <c r="P312" s="1132">
        <f>P307</f>
        <v/>
      </c>
      <c r="Q312" s="28">
        <f>Q307</f>
        <v/>
      </c>
      <c r="R312" s="28">
        <f>R307</f>
        <v/>
      </c>
      <c r="S312" s="28">
        <f>S307</f>
        <v/>
      </c>
      <c r="T312" s="28">
        <f>T307</f>
        <v/>
      </c>
      <c r="U312" s="1132">
        <f>U307</f>
        <v/>
      </c>
      <c r="V312" s="28">
        <f>V307</f>
        <v/>
      </c>
      <c r="W312" s="28">
        <f>W307</f>
        <v/>
      </c>
      <c r="X312" s="28">
        <f>X307</f>
        <v/>
      </c>
      <c r="Y312" s="28">
        <f>Y307</f>
        <v/>
      </c>
      <c r="Z312" s="1132">
        <f>Z307</f>
        <v/>
      </c>
      <c r="AA312" s="28">
        <f>AA307</f>
        <v/>
      </c>
      <c r="AB312" s="28">
        <f>AB307</f>
        <v/>
      </c>
      <c r="AC312" s="28">
        <f>AC307</f>
        <v/>
      </c>
      <c r="AD312" s="28">
        <f>AD307</f>
        <v/>
      </c>
      <c r="AE312" s="1132">
        <f>AE307</f>
        <v/>
      </c>
      <c r="AF312" s="28">
        <f>AF307</f>
        <v/>
      </c>
      <c r="AG312" s="28">
        <f>AG307</f>
        <v/>
      </c>
      <c r="AH312" s="28">
        <f>AH307</f>
        <v/>
      </c>
      <c r="AI312" s="28">
        <f>AI307</f>
        <v/>
      </c>
      <c r="AJ312" s="1132">
        <f>AJ307</f>
        <v/>
      </c>
      <c r="AK312" s="28">
        <f>AK307</f>
        <v/>
      </c>
      <c r="AL312" s="28">
        <f>AL307</f>
        <v/>
      </c>
      <c r="AM312" s="28">
        <f>AM307</f>
        <v/>
      </c>
      <c r="AN312" s="28">
        <f>AN307</f>
        <v/>
      </c>
      <c r="AO312" s="1132">
        <f>AO307</f>
        <v/>
      </c>
      <c r="AP312" s="28">
        <f>AP307</f>
        <v/>
      </c>
      <c r="AQ312" s="28">
        <f>AQ307</f>
        <v/>
      </c>
      <c r="AR312" s="28">
        <f>AR307</f>
        <v/>
      </c>
      <c r="AS312" s="28">
        <f>AS307</f>
        <v/>
      </c>
      <c r="AT312" s="1132">
        <f>AT307</f>
        <v/>
      </c>
      <c r="AU312" s="28">
        <f>AU307</f>
        <v/>
      </c>
      <c r="AV312" s="28">
        <f>AV307</f>
        <v/>
      </c>
      <c r="AW312" s="28">
        <f>AW307</f>
        <v/>
      </c>
      <c r="AX312" s="28">
        <f>AX307</f>
        <v/>
      </c>
      <c r="AY312" s="1132">
        <f>AY307</f>
        <v/>
      </c>
      <c r="AZ312" s="28">
        <f>AZ307</f>
        <v/>
      </c>
      <c r="BA312" s="28">
        <f>BA307</f>
        <v/>
      </c>
      <c r="BB312" s="28">
        <f>BB307</f>
        <v/>
      </c>
      <c r="BC312" s="28">
        <f>BC307</f>
        <v/>
      </c>
      <c r="BD312" s="1132">
        <f>BD307</f>
        <v/>
      </c>
      <c r="BE312" s="28">
        <f>BE307</f>
        <v/>
      </c>
      <c r="BF312" s="28">
        <f>BF307</f>
        <v/>
      </c>
      <c r="BG312" s="28">
        <f>BG307</f>
        <v/>
      </c>
      <c r="BH312" s="28">
        <f>BH307</f>
        <v/>
      </c>
      <c r="BI312" s="1132">
        <f>BI307</f>
        <v/>
      </c>
      <c r="BJ312" s="28">
        <f>BJ307</f>
        <v/>
      </c>
      <c r="BK312" s="28">
        <f>BK307</f>
        <v/>
      </c>
      <c r="BL312" s="28">
        <f>BL307</f>
        <v/>
      </c>
      <c r="BM312" s="28">
        <f>BM307</f>
        <v/>
      </c>
      <c r="BN312" s="1132">
        <f>BN307</f>
        <v/>
      </c>
      <c r="BO312" s="28">
        <f>BO307</f>
        <v/>
      </c>
      <c r="BP312" s="28">
        <f>BP307</f>
        <v/>
      </c>
      <c r="BQ312" s="28">
        <f>BQ307</f>
        <v/>
      </c>
      <c r="BR312" s="28">
        <f>BR307</f>
        <v/>
      </c>
      <c r="BS312" s="1132">
        <f>BS307</f>
        <v/>
      </c>
      <c r="BT312" s="28">
        <f>BT307</f>
        <v/>
      </c>
      <c r="BU312" s="28">
        <f>BU307</f>
        <v/>
      </c>
      <c r="BV312" s="505">
        <f>BV307</f>
        <v/>
      </c>
      <c r="BW312" s="63" t="n"/>
      <c r="BX312" s="1125" t="n"/>
      <c r="BY312" s="63" t="n"/>
      <c r="BZ312" s="63" t="n"/>
      <c r="CA312" s="63" t="n"/>
      <c r="CB312" s="63" t="n"/>
      <c r="CC312" s="1125" t="n"/>
      <c r="CD312" s="1125" t="n"/>
      <c r="CE312" s="1125" t="n"/>
      <c r="CF312" s="1125" t="n"/>
      <c r="CG312" s="155" t="n"/>
    </row>
    <row r="313" hidden="1" outlineLevel="1">
      <c r="A313" s="67" t="inlineStr">
        <is>
          <t>Total pre-tax impact of non-GAAP adjustments</t>
        </is>
      </c>
      <c r="B313" s="146" t="n"/>
      <c r="C313" s="1111">
        <f>187.954+7.956+4.5+18.912</f>
        <v/>
      </c>
      <c r="D313" s="1111">
        <f>93.949+140.241</f>
        <v/>
      </c>
      <c r="E313" s="1111" t="n">
        <v>246.433</v>
      </c>
      <c r="F313" s="1111" t="n">
        <v>181.126</v>
      </c>
      <c r="G313" s="1053" t="n">
        <v>45.082</v>
      </c>
      <c r="H313" s="1053" t="n">
        <v>61.241</v>
      </c>
      <c r="I313" s="1053" t="n">
        <v>42.137</v>
      </c>
      <c r="J313" s="1053" t="n">
        <v>44.467</v>
      </c>
      <c r="K313" s="1111" t="n">
        <v>192.927</v>
      </c>
      <c r="L313" s="1053" t="n">
        <v>42.258</v>
      </c>
      <c r="M313" s="1053" t="n">
        <v>43.649</v>
      </c>
      <c r="N313" s="1053" t="n">
        <v>41.111</v>
      </c>
      <c r="O313" s="1053" t="n">
        <v>42.493</v>
      </c>
      <c r="P313" s="1111" t="n">
        <v>169.511</v>
      </c>
      <c r="Q313" s="1053" t="n">
        <v>35</v>
      </c>
      <c r="R313" s="1053" t="n">
        <v>57</v>
      </c>
      <c r="S313" s="1053" t="n">
        <v>58</v>
      </c>
      <c r="T313" s="1053" t="n">
        <v>59</v>
      </c>
      <c r="U313" s="1111" t="n">
        <v>208</v>
      </c>
      <c r="V313" s="1053" t="n">
        <v>63</v>
      </c>
      <c r="W313" s="1053" t="n">
        <v>162</v>
      </c>
      <c r="X313" s="1053" t="n">
        <v>66</v>
      </c>
      <c r="Y313" s="1053" t="n">
        <v>111</v>
      </c>
      <c r="Z313" s="1111" t="n">
        <v>402</v>
      </c>
      <c r="AA313" s="1053" t="n">
        <v>81</v>
      </c>
      <c r="AB313" s="1053" t="n">
        <v>72</v>
      </c>
      <c r="AC313" s="1053" t="n">
        <v>90</v>
      </c>
      <c r="AD313" s="1053" t="n">
        <v>85</v>
      </c>
      <c r="AE313" s="1111" t="n">
        <v>329</v>
      </c>
      <c r="AF313" s="1053" t="n">
        <v>99</v>
      </c>
      <c r="AG313" s="1053" t="n">
        <v>89</v>
      </c>
      <c r="AH313" s="1053" t="n">
        <v>111</v>
      </c>
      <c r="AI313" s="1053" t="n">
        <v>129</v>
      </c>
      <c r="AJ313" s="1111" t="n">
        <v>428</v>
      </c>
      <c r="AK313" s="1053" t="n">
        <v>128</v>
      </c>
      <c r="AL313" s="1053" t="n">
        <v>131</v>
      </c>
      <c r="AM313" s="1053" t="n">
        <v>150</v>
      </c>
      <c r="AN313" s="1053" t="n">
        <v>184</v>
      </c>
      <c r="AO313" s="1111" t="n">
        <v>593</v>
      </c>
      <c r="AP313" s="1053" t="n">
        <v>199</v>
      </c>
      <c r="AQ313" s="1053" t="n">
        <v>231</v>
      </c>
      <c r="AR313" s="1053" t="n">
        <v>230</v>
      </c>
      <c r="AS313" s="1053" t="n">
        <v>230</v>
      </c>
      <c r="AT313" s="1111" t="n">
        <v>890</v>
      </c>
      <c r="AU313" s="1053" t="n">
        <v>232</v>
      </c>
      <c r="AV313" s="1053" t="n">
        <v>868</v>
      </c>
      <c r="AW313" s="1053" t="n">
        <v>600</v>
      </c>
      <c r="AX313" s="1053" t="n">
        <v>574</v>
      </c>
      <c r="AY313" s="1111" t="n">
        <v>2274</v>
      </c>
      <c r="AZ313" s="1053" t="n">
        <v>468</v>
      </c>
      <c r="BA313" s="1053" t="n">
        <v>628</v>
      </c>
      <c r="BB313" s="1053" t="n">
        <v>696</v>
      </c>
      <c r="BC313" s="1053" t="n">
        <v>760</v>
      </c>
      <c r="BD313" s="1111" t="n">
        <v>2553</v>
      </c>
      <c r="BE313" s="1053" t="n">
        <v>2105</v>
      </c>
      <c r="BF313" s="1053" t="n">
        <v>833</v>
      </c>
      <c r="BG313" s="1053" t="n">
        <v>947</v>
      </c>
      <c r="BH313" s="1053" t="n">
        <v>978</v>
      </c>
      <c r="BI313" s="1111" t="n">
        <v>4865</v>
      </c>
      <c r="BJ313" s="1053" t="n">
        <v>927</v>
      </c>
      <c r="BK313" s="1053" t="n">
        <v>915</v>
      </c>
      <c r="BL313" s="1053" t="n">
        <v>1210</v>
      </c>
      <c r="BM313" s="1053" t="n">
        <v>875</v>
      </c>
      <c r="BN313" s="1111" t="n">
        <v>3928</v>
      </c>
      <c r="BO313" s="1053" t="n">
        <v>1082</v>
      </c>
      <c r="BP313" s="1053" t="n">
        <v>1103</v>
      </c>
      <c r="BQ313" s="1053" t="n">
        <v>1371</v>
      </c>
      <c r="BR313" s="1053" t="n">
        <v>756</v>
      </c>
      <c r="BS313" s="1111" t="n">
        <v>4310</v>
      </c>
      <c r="BT313" s="1053" t="n">
        <v>1813</v>
      </c>
      <c r="BU313" s="1053" t="n">
        <v>-521</v>
      </c>
      <c r="BV313" s="1054" t="n">
        <v>389</v>
      </c>
      <c r="BW313" s="68" t="n"/>
      <c r="BX313" s="1110" t="n"/>
      <c r="BY313" s="68" t="n"/>
      <c r="BZ313" s="68" t="n"/>
      <c r="CA313" s="68" t="n"/>
      <c r="CB313" s="68" t="n"/>
      <c r="CC313" s="1110" t="n"/>
      <c r="CD313" s="1110" t="n"/>
      <c r="CE313" s="1110" t="n"/>
      <c r="CF313" s="1110" t="n"/>
      <c r="CG313" s="155" t="n"/>
    </row>
    <row r="314" hidden="1" outlineLevel="1">
      <c r="A314" s="67" t="inlineStr">
        <is>
          <t>Income tax impact of non-GAAP adjustments</t>
        </is>
      </c>
      <c r="B314" s="146" t="n"/>
      <c r="C314" s="1111" t="n">
        <v>-28.997</v>
      </c>
      <c r="D314" s="1111" t="n">
        <v>-24.82</v>
      </c>
      <c r="E314" s="1111" t="n">
        <v>-23.165</v>
      </c>
      <c r="F314" s="1111" t="n">
        <v>-27.81</v>
      </c>
      <c r="G314" s="1053" t="n">
        <v>-7.989</v>
      </c>
      <c r="H314" s="1053" t="n">
        <v>-9.839</v>
      </c>
      <c r="I314" s="1053" t="n">
        <v>-5.755</v>
      </c>
      <c r="J314" s="1053" t="n">
        <v>-3.507</v>
      </c>
      <c r="K314" s="1111" t="n">
        <v>-27.09</v>
      </c>
      <c r="L314" s="1053" t="n">
        <v>-6.348</v>
      </c>
      <c r="M314" s="1053" t="n">
        <v>-6.767</v>
      </c>
      <c r="N314" s="1053" t="n">
        <v>-6.055</v>
      </c>
      <c r="O314" s="1053" t="n">
        <v>-1.924</v>
      </c>
      <c r="P314" s="1111" t="n">
        <v>-21.094</v>
      </c>
      <c r="Q314" s="1053" t="n">
        <v>-6</v>
      </c>
      <c r="R314" s="1053" t="n">
        <v>-12</v>
      </c>
      <c r="S314" s="1053" t="n">
        <v>-11</v>
      </c>
      <c r="T314" s="1053" t="n">
        <v>-11</v>
      </c>
      <c r="U314" s="1111" t="n">
        <v>-38</v>
      </c>
      <c r="V314" s="1053" t="n">
        <v>-10</v>
      </c>
      <c r="W314" s="1053" t="n">
        <v>2</v>
      </c>
      <c r="X314" s="1053" t="n">
        <v>-57</v>
      </c>
      <c r="Y314" s="1053" t="n">
        <v>-21</v>
      </c>
      <c r="Z314" s="1111" t="n">
        <v>-87</v>
      </c>
      <c r="AA314" s="1053" t="n">
        <v>-26</v>
      </c>
      <c r="AB314" s="1053" t="n">
        <v>-20</v>
      </c>
      <c r="AC314" s="1053" t="n">
        <v>-62</v>
      </c>
      <c r="AD314" s="1053" t="n">
        <v>-36</v>
      </c>
      <c r="AE314" s="1111" t="n">
        <v>-144</v>
      </c>
      <c r="AF314" s="1053" t="n">
        <v>-73</v>
      </c>
      <c r="AG314" s="1053" t="n">
        <v>-34</v>
      </c>
      <c r="AH314" s="1053" t="n">
        <v>-116</v>
      </c>
      <c r="AI314" s="1053" t="n">
        <v>-33</v>
      </c>
      <c r="AJ314" s="1111" t="n">
        <v>-257</v>
      </c>
      <c r="AK314" s="1053" t="n">
        <v>-87</v>
      </c>
      <c r="AL314" s="1053" t="n">
        <v>-22</v>
      </c>
      <c r="AM314" s="1053" t="n">
        <v>-91</v>
      </c>
      <c r="AN314" s="1053" t="n">
        <v>-25</v>
      </c>
      <c r="AO314" s="1111" t="n">
        <v>-223</v>
      </c>
      <c r="AP314" s="1053" t="n">
        <v>-50</v>
      </c>
      <c r="AQ314" s="1053" t="n">
        <v>-21</v>
      </c>
      <c r="AR314" s="1053" t="n">
        <v>-26</v>
      </c>
      <c r="AS314" s="1053" t="n">
        <v>-8</v>
      </c>
      <c r="AT314" s="1111" t="n">
        <v>-106</v>
      </c>
      <c r="AU314" s="1053" t="n">
        <v>-29</v>
      </c>
      <c r="AV314" s="1053" t="n">
        <v>-124</v>
      </c>
      <c r="AW314" s="1053" t="n">
        <v>-102</v>
      </c>
      <c r="AX314" s="1053" t="n">
        <v>-74</v>
      </c>
      <c r="AY314" s="1111" t="n">
        <v>-329</v>
      </c>
      <c r="AZ314" s="1053" t="n">
        <v>-67</v>
      </c>
      <c r="BA314" s="1053" t="n">
        <v>-127</v>
      </c>
      <c r="BB314" s="1053" t="n">
        <v>-187</v>
      </c>
      <c r="BC314" s="1053" t="n">
        <v>-330</v>
      </c>
      <c r="BD314" s="1111" t="n">
        <v>-712</v>
      </c>
      <c r="BE314" s="1053" t="n">
        <v>-280</v>
      </c>
      <c r="BF314" s="1053" t="n">
        <v>-197</v>
      </c>
      <c r="BG314" s="1053" t="n">
        <v>-171</v>
      </c>
      <c r="BH314" s="1053" t="n">
        <v>-218</v>
      </c>
      <c r="BI314" s="1111" t="n">
        <v>-867</v>
      </c>
      <c r="BJ314" s="1053" t="n">
        <v>-257</v>
      </c>
      <c r="BK314" s="1053" t="n">
        <v>-363</v>
      </c>
      <c r="BL314" s="1053" t="n">
        <v>-433</v>
      </c>
      <c r="BM314" s="1053" t="n">
        <v>-321</v>
      </c>
      <c r="BN314" s="1111" t="n">
        <v>-1376</v>
      </c>
      <c r="BO314" s="1053" t="n">
        <v>-725</v>
      </c>
      <c r="BP314" s="1053" t="n">
        <v>-750</v>
      </c>
      <c r="BQ314" s="1053" t="n">
        <v>-670</v>
      </c>
      <c r="BR314" s="1053" t="n">
        <v>-781</v>
      </c>
      <c r="BS314" s="1111" t="n">
        <v>-2925</v>
      </c>
      <c r="BT314" s="1053" t="n">
        <v>-694</v>
      </c>
      <c r="BU314" s="1053" t="n">
        <v>-166</v>
      </c>
      <c r="BV314" s="1054" t="n">
        <v>-532</v>
      </c>
      <c r="BW314" s="68" t="n"/>
      <c r="BX314" s="1110" t="n"/>
      <c r="BY314" s="68" t="n"/>
      <c r="BZ314" s="68" t="n"/>
      <c r="CA314" s="68" t="n"/>
      <c r="CB314" s="68" t="n"/>
      <c r="CC314" s="1110" t="n"/>
      <c r="CD314" s="1110" t="n"/>
      <c r="CE314" s="1110" t="n"/>
      <c r="CF314" s="1110" t="n"/>
      <c r="CG314" s="155" t="n"/>
    </row>
    <row r="315" hidden="1" outlineLevel="1">
      <c r="A315" s="67" t="inlineStr">
        <is>
          <t>Tax expense from OBBBA</t>
        </is>
      </c>
      <c r="B315" s="146" t="n"/>
      <c r="C315" s="1110" t="n"/>
      <c r="D315" s="1110" t="n"/>
      <c r="E315" s="1110" t="n"/>
      <c r="F315" s="1110" t="n"/>
      <c r="G315" s="68" t="n"/>
      <c r="H315" s="68" t="n"/>
      <c r="I315" s="68" t="n"/>
      <c r="J315" s="68" t="n"/>
      <c r="K315" s="1110" t="n"/>
      <c r="L315" s="68" t="n"/>
      <c r="M315" s="68" t="n"/>
      <c r="N315" s="68" t="n"/>
      <c r="O315" s="68" t="n"/>
      <c r="P315" s="1110" t="n"/>
      <c r="Q315" s="68" t="n"/>
      <c r="R315" s="68" t="n"/>
      <c r="S315" s="68" t="n"/>
      <c r="T315" s="68" t="n"/>
      <c r="U315" s="1110" t="n"/>
      <c r="V315" s="68" t="n"/>
      <c r="W315" s="68" t="n"/>
      <c r="X315" s="68" t="n"/>
      <c r="Y315" s="68" t="n"/>
      <c r="Z315" s="1110" t="n"/>
      <c r="AA315" s="68" t="n"/>
      <c r="AB315" s="68" t="n"/>
      <c r="AC315" s="68" t="n"/>
      <c r="AD315" s="68" t="n"/>
      <c r="AE315" s="1110" t="n"/>
      <c r="AF315" s="68" t="n"/>
      <c r="AG315" s="68" t="n"/>
      <c r="AH315" s="68" t="n"/>
      <c r="AI315" s="68" t="n"/>
      <c r="AJ315" s="1110" t="n"/>
      <c r="AK315" s="68" t="n"/>
      <c r="AL315" s="68" t="n"/>
      <c r="AM315" s="68" t="n"/>
      <c r="AN315" s="68" t="n"/>
      <c r="AO315" s="1110" t="n"/>
      <c r="AP315" s="68" t="n"/>
      <c r="AQ315" s="68" t="n"/>
      <c r="AR315" s="68" t="n"/>
      <c r="AS315" s="68" t="n"/>
      <c r="AT315" s="1110" t="n"/>
      <c r="AU315" s="68" t="n"/>
      <c r="AV315" s="68" t="n"/>
      <c r="AW315" s="68" t="n"/>
      <c r="AX315" s="68" t="n"/>
      <c r="AY315" s="1110" t="n"/>
      <c r="AZ315" s="68" t="n"/>
      <c r="BA315" s="68" t="n"/>
      <c r="BB315" s="68" t="n"/>
      <c r="BC315" s="68" t="n"/>
      <c r="BD315" s="1110" t="n"/>
      <c r="BE315" s="68" t="n"/>
      <c r="BF315" s="68" t="n"/>
      <c r="BG315" s="68" t="n"/>
      <c r="BH315" s="68" t="n"/>
      <c r="BI315" s="1110" t="n"/>
      <c r="BJ315" s="68" t="n"/>
      <c r="BK315" s="68" t="n"/>
      <c r="BL315" s="68" t="n"/>
      <c r="BM315" s="68" t="n"/>
      <c r="BN315" s="1110" t="n"/>
      <c r="BO315" s="68" t="n"/>
      <c r="BP315" s="68" t="n"/>
      <c r="BQ315" s="68" t="n"/>
      <c r="BR315" s="68" t="n"/>
      <c r="BS315" s="1110" t="n"/>
      <c r="BT315" s="68" t="n"/>
      <c r="BU315" s="1053" t="n">
        <v>48</v>
      </c>
      <c r="BV315" s="588" t="n"/>
      <c r="BW315" s="68" t="n"/>
      <c r="BX315" s="1110" t="n"/>
      <c r="BY315" s="68" t="n"/>
      <c r="BZ315" s="68" t="n"/>
      <c r="CA315" s="68" t="n"/>
      <c r="CB315" s="68" t="n"/>
      <c r="CC315" s="1110" t="n"/>
      <c r="CD315" s="1110" t="n"/>
      <c r="CE315" s="1110" t="n"/>
      <c r="CF315" s="1110" t="n"/>
      <c r="CG315" s="155" t="n"/>
    </row>
    <row r="316" hidden="1" outlineLevel="1">
      <c r="A316" s="67" t="inlineStr">
        <is>
          <t>Domestication tax benefit</t>
        </is>
      </c>
      <c r="B316" s="146" t="n"/>
      <c r="C316" s="1110" t="n"/>
      <c r="D316" s="1110" t="n"/>
      <c r="E316" s="1110" t="n"/>
      <c r="F316" s="1110" t="n"/>
      <c r="G316" s="68" t="n"/>
      <c r="H316" s="68" t="n"/>
      <c r="I316" s="68" t="n"/>
      <c r="J316" s="68" t="n"/>
      <c r="K316" s="1110" t="n"/>
      <c r="L316" s="68" t="n"/>
      <c r="M316" s="68" t="n"/>
      <c r="N316" s="68" t="n"/>
      <c r="O316" s="68" t="n"/>
      <c r="P316" s="1110" t="n"/>
      <c r="Q316" s="68" t="n"/>
      <c r="R316" s="68" t="n"/>
      <c r="S316" s="68" t="n"/>
      <c r="T316" s="68" t="n"/>
      <c r="U316" s="1110" t="n"/>
      <c r="V316" s="68" t="n"/>
      <c r="W316" s="68" t="n"/>
      <c r="X316" s="68" t="n"/>
      <c r="Y316" s="68" t="n"/>
      <c r="Z316" s="1110" t="n"/>
      <c r="AA316" s="68" t="n"/>
      <c r="AB316" s="68" t="n"/>
      <c r="AC316" s="68" t="n"/>
      <c r="AD316" s="68" t="n"/>
      <c r="AE316" s="1110" t="n"/>
      <c r="AF316" s="68" t="n"/>
      <c r="AG316" s="68" t="n"/>
      <c r="AH316" s="68" t="n"/>
      <c r="AI316" s="68" t="n"/>
      <c r="AJ316" s="1110" t="n"/>
      <c r="AK316" s="68" t="n"/>
      <c r="AL316" s="68" t="n"/>
      <c r="AM316" s="68" t="n"/>
      <c r="AN316" s="68" t="n"/>
      <c r="AO316" s="1110" t="n"/>
      <c r="AP316" s="68" t="n"/>
      <c r="AQ316" s="68" t="n"/>
      <c r="AR316" s="68" t="n"/>
      <c r="AS316" s="68" t="n"/>
      <c r="AT316" s="1110" t="n"/>
      <c r="AU316" s="68" t="n"/>
      <c r="AV316" s="68" t="n"/>
      <c r="AW316" s="68" t="n"/>
      <c r="AX316" s="68" t="n"/>
      <c r="AY316" s="1110" t="n"/>
      <c r="AZ316" s="68" t="n"/>
      <c r="BA316" s="1053" t="n">
        <v>-252</v>
      </c>
      <c r="BB316" s="68" t="n"/>
      <c r="BC316" s="1053" t="n">
        <v>7</v>
      </c>
      <c r="BD316" s="1111" t="n">
        <v>-244</v>
      </c>
      <c r="BE316" s="68" t="n"/>
      <c r="BF316" s="68" t="n"/>
      <c r="BG316" s="68" t="n"/>
      <c r="BH316" s="68" t="n"/>
      <c r="BI316" s="1110" t="n"/>
      <c r="BJ316" s="68" t="n"/>
      <c r="BK316" s="68" t="n"/>
      <c r="BL316" s="68" t="n"/>
      <c r="BM316" s="68" t="n"/>
      <c r="BN316" s="1110" t="n"/>
      <c r="BO316" s="68" t="n"/>
      <c r="BP316" s="68" t="n"/>
      <c r="BQ316" s="68" t="n"/>
      <c r="BR316" s="68" t="n"/>
      <c r="BS316" s="1110" t="n"/>
      <c r="BT316" s="68" t="n"/>
      <c r="BU316" s="68" t="n"/>
      <c r="BV316" s="588" t="n"/>
      <c r="BW316" s="68" t="n"/>
      <c r="BX316" s="1110" t="n"/>
      <c r="BY316" s="68" t="n"/>
      <c r="BZ316" s="68" t="n"/>
      <c r="CA316" s="68" t="n"/>
      <c r="CB316" s="68" t="n"/>
      <c r="CC316" s="1110" t="n"/>
      <c r="CD316" s="1110" t="n"/>
      <c r="CE316" s="1110" t="n"/>
      <c r="CF316" s="1110" t="n"/>
      <c r="CG316" s="155" t="n"/>
    </row>
    <row r="317" hidden="1" outlineLevel="1">
      <c r="A317" s="67" t="inlineStr">
        <is>
          <t>Foreign tax benefit</t>
        </is>
      </c>
      <c r="B317" s="146" t="n"/>
      <c r="C317" s="1110" t="n"/>
      <c r="D317" s="1110" t="n"/>
      <c r="E317" s="1110" t="n"/>
      <c r="F317" s="1110" t="n"/>
      <c r="G317" s="68" t="n"/>
      <c r="H317" s="68" t="n"/>
      <c r="I317" s="68" t="n"/>
      <c r="J317" s="68" t="n"/>
      <c r="K317" s="1110" t="n"/>
      <c r="L317" s="68" t="n"/>
      <c r="M317" s="68" t="n"/>
      <c r="N317" s="68" t="n"/>
      <c r="O317" s="68" t="n"/>
      <c r="P317" s="1110" t="n"/>
      <c r="Q317" s="68" t="n"/>
      <c r="R317" s="68" t="n"/>
      <c r="S317" s="68" t="n"/>
      <c r="T317" s="68" t="n"/>
      <c r="U317" s="1110" t="n"/>
      <c r="V317" s="68" t="n"/>
      <c r="W317" s="68" t="n"/>
      <c r="X317" s="68" t="n"/>
      <c r="Y317" s="68" t="n"/>
      <c r="Z317" s="1110" t="n"/>
      <c r="AA317" s="68" t="n"/>
      <c r="AB317" s="68" t="n"/>
      <c r="AC317" s="68" t="n"/>
      <c r="AD317" s="68" t="n"/>
      <c r="AE317" s="1110" t="n"/>
      <c r="AF317" s="68" t="n"/>
      <c r="AG317" s="68" t="n"/>
      <c r="AH317" s="68" t="n"/>
      <c r="AI317" s="68" t="n"/>
      <c r="AJ317" s="1110" t="n"/>
      <c r="AK317" s="68" t="n"/>
      <c r="AL317" s="68" t="n"/>
      <c r="AM317" s="68" t="n"/>
      <c r="AN317" s="68" t="n"/>
      <c r="AO317" s="1110" t="n"/>
      <c r="AP317" s="68" t="n"/>
      <c r="AQ317" s="68" t="n"/>
      <c r="AR317" s="68" t="n"/>
      <c r="AS317" s="68" t="n"/>
      <c r="AT317" s="1110" t="n"/>
      <c r="AU317" s="68" t="n"/>
      <c r="AV317" s="68" t="n"/>
      <c r="AW317" s="68" t="n"/>
      <c r="AX317" s="68" t="n"/>
      <c r="AY317" s="1110" t="n"/>
      <c r="AZ317" s="68" t="n"/>
      <c r="BA317" s="68" t="n"/>
      <c r="BB317" s="68" t="n"/>
      <c r="BC317" s="1053" t="n">
        <v>-90</v>
      </c>
      <c r="BD317" s="1111" t="n">
        <v>-90</v>
      </c>
      <c r="BE317" s="68" t="n"/>
      <c r="BF317" s="68" t="n"/>
      <c r="BG317" s="68" t="n"/>
      <c r="BH317" s="68" t="n"/>
      <c r="BI317" s="1110" t="n"/>
      <c r="BJ317" s="68" t="n"/>
      <c r="BK317" s="68" t="n"/>
      <c r="BL317" s="68" t="n"/>
      <c r="BM317" s="68" t="n"/>
      <c r="BN317" s="1110" t="n"/>
      <c r="BO317" s="68" t="n"/>
      <c r="BP317" s="68" t="n"/>
      <c r="BQ317" s="68" t="n"/>
      <c r="BR317" s="68" t="n"/>
      <c r="BS317" s="1110" t="n"/>
      <c r="BT317" s="68" t="n"/>
      <c r="BU317" s="68" t="n"/>
      <c r="BV317" s="588" t="n"/>
      <c r="BW317" s="68" t="n"/>
      <c r="BX317" s="1110" t="n"/>
      <c r="BY317" s="68" t="n"/>
      <c r="BZ317" s="68" t="n"/>
      <c r="CA317" s="68" t="n"/>
      <c r="CB317" s="68" t="n"/>
      <c r="CC317" s="1110" t="n"/>
      <c r="CD317" s="1110" t="n"/>
      <c r="CE317" s="1110" t="n"/>
      <c r="CF317" s="1110" t="n"/>
      <c r="CG317" s="155" t="n"/>
    </row>
    <row r="318" hidden="1" outlineLevel="1">
      <c r="A318" s="67" t="inlineStr">
        <is>
          <t>Provisional tax benefit from income tax reform</t>
        </is>
      </c>
      <c r="B318" s="146" t="n"/>
      <c r="C318" s="1110" t="n"/>
      <c r="D318" s="1110" t="n"/>
      <c r="E318" s="1110" t="n"/>
      <c r="F318" s="1110" t="n"/>
      <c r="G318" s="68" t="n"/>
      <c r="H318" s="68" t="n"/>
      <c r="I318" s="68" t="n"/>
      <c r="J318" s="68" t="n"/>
      <c r="K318" s="1110" t="n"/>
      <c r="L318" s="68" t="n"/>
      <c r="M318" s="68" t="n"/>
      <c r="N318" s="68" t="n"/>
      <c r="O318" s="68" t="n"/>
      <c r="P318" s="1110" t="n"/>
      <c r="Q318" s="68" t="n"/>
      <c r="R318" s="68" t="n"/>
      <c r="S318" s="68" t="n"/>
      <c r="T318" s="68" t="n"/>
      <c r="U318" s="1110" t="n"/>
      <c r="V318" s="68" t="n"/>
      <c r="W318" s="68" t="n"/>
      <c r="X318" s="68" t="n"/>
      <c r="Y318" s="68" t="n"/>
      <c r="Z318" s="1110" t="n"/>
      <c r="AA318" s="68" t="n"/>
      <c r="AB318" s="68" t="n"/>
      <c r="AC318" s="68" t="n"/>
      <c r="AD318" s="68" t="n"/>
      <c r="AE318" s="1110" t="n"/>
      <c r="AF318" s="68" t="n"/>
      <c r="AG318" s="68" t="n"/>
      <c r="AH318" s="68" t="n"/>
      <c r="AI318" s="1053" t="n">
        <v>-133</v>
      </c>
      <c r="AJ318" s="1111" t="n">
        <v>-133</v>
      </c>
      <c r="AK318" s="68" t="n"/>
      <c r="AL318" s="68" t="n"/>
      <c r="AM318" s="1053" t="n">
        <v>-138</v>
      </c>
      <c r="AN318" s="1053" t="n">
        <v>-230</v>
      </c>
      <c r="AO318" s="1111" t="n">
        <v>-368</v>
      </c>
      <c r="AP318" s="68" t="n"/>
      <c r="AQ318" s="68" t="n"/>
      <c r="AR318" s="68" t="n"/>
      <c r="AS318" s="68" t="n"/>
      <c r="AT318" s="1110" t="n"/>
      <c r="AU318" s="68" t="n"/>
      <c r="AV318" s="68" t="n"/>
      <c r="AW318" s="68" t="n"/>
      <c r="AX318" s="68" t="n"/>
      <c r="AY318" s="1110" t="n"/>
      <c r="AZ318" s="68" t="n"/>
      <c r="BA318" s="68" t="n"/>
      <c r="BB318" s="68" t="n"/>
      <c r="BC318" s="68" t="n"/>
      <c r="BD318" s="1110" t="n"/>
      <c r="BE318" s="68" t="n"/>
      <c r="BF318" s="68" t="n"/>
      <c r="BG318" s="68" t="n"/>
      <c r="BH318" s="68" t="n"/>
      <c r="BI318" s="1110" t="n"/>
      <c r="BJ318" s="68" t="n"/>
      <c r="BK318" s="68" t="n"/>
      <c r="BL318" s="68" t="n"/>
      <c r="BM318" s="68" t="n"/>
      <c r="BN318" s="1110" t="n"/>
      <c r="BO318" s="68" t="n"/>
      <c r="BP318" s="68" t="n"/>
      <c r="BQ318" s="68" t="n"/>
      <c r="BR318" s="68" t="n"/>
      <c r="BS318" s="1110" t="n"/>
      <c r="BT318" s="68" t="n"/>
      <c r="BU318" s="68" t="n"/>
      <c r="BV318" s="588" t="n"/>
      <c r="BW318" s="68" t="n"/>
      <c r="BX318" s="1110" t="n"/>
      <c r="BY318" s="68" t="n"/>
      <c r="BZ318" s="68" t="n"/>
      <c r="CA318" s="68" t="n"/>
      <c r="CB318" s="68" t="n"/>
      <c r="CC318" s="1110" t="n"/>
      <c r="CD318" s="1110" t="n"/>
      <c r="CE318" s="1110" t="n"/>
      <c r="CF318" s="1110" t="n"/>
      <c r="CG318" s="155" t="n"/>
    </row>
    <row r="319" hidden="1" outlineLevel="1">
      <c r="A319" s="59" t="inlineStr">
        <is>
          <t>Non-GAAP net income</t>
        </is>
      </c>
      <c r="B319" s="607" t="n"/>
      <c r="C319" s="1123">
        <f>SUM(C312:C318)</f>
        <v/>
      </c>
      <c r="D319" s="1123">
        <f>SUM(D312:D318)</f>
        <v/>
      </c>
      <c r="E319" s="1123">
        <f>SUM(E312:E318)</f>
        <v/>
      </c>
      <c r="F319" s="1123">
        <f>SUM(F312:F318)</f>
        <v/>
      </c>
      <c r="G319" s="60">
        <f>SUM(G312:G318)</f>
        <v/>
      </c>
      <c r="H319" s="60">
        <f>SUM(H312:H318)</f>
        <v/>
      </c>
      <c r="I319" s="60">
        <f>SUM(I312:I318)</f>
        <v/>
      </c>
      <c r="J319" s="60">
        <f>SUM(J312:J318)</f>
        <v/>
      </c>
      <c r="K319" s="1123">
        <f>SUM(K312:K318)</f>
        <v/>
      </c>
      <c r="L319" s="60">
        <f>SUM(L312:L318)</f>
        <v/>
      </c>
      <c r="M319" s="60">
        <f>SUM(M312:M318)</f>
        <v/>
      </c>
      <c r="N319" s="60">
        <f>SUM(N312:N318)</f>
        <v/>
      </c>
      <c r="O319" s="60">
        <f>SUM(O312:O318)</f>
        <v/>
      </c>
      <c r="P319" s="1123">
        <f>SUM(P312:P318)</f>
        <v/>
      </c>
      <c r="Q319" s="60">
        <f>SUM(Q312:Q318)</f>
        <v/>
      </c>
      <c r="R319" s="60">
        <f>SUM(R312:R318)</f>
        <v/>
      </c>
      <c r="S319" s="60">
        <f>SUM(S312:S318)</f>
        <v/>
      </c>
      <c r="T319" s="60">
        <f>SUM(T312:T318)</f>
        <v/>
      </c>
      <c r="U319" s="1123">
        <f>SUM(U312:U318)</f>
        <v/>
      </c>
      <c r="V319" s="60">
        <f>SUM(V312:V318)</f>
        <v/>
      </c>
      <c r="W319" s="60">
        <f>SUM(W312:W318)</f>
        <v/>
      </c>
      <c r="X319" s="60">
        <f>SUM(X312:X318)</f>
        <v/>
      </c>
      <c r="Y319" s="60">
        <f>SUM(Y312:Y318)</f>
        <v/>
      </c>
      <c r="Z319" s="1123">
        <f>SUM(Z312:Z318)</f>
        <v/>
      </c>
      <c r="AA319" s="60">
        <f>SUM(AA312:AA318)</f>
        <v/>
      </c>
      <c r="AB319" s="60">
        <f>SUM(AB312:AB318)</f>
        <v/>
      </c>
      <c r="AC319" s="60">
        <f>SUM(AC312:AC318)</f>
        <v/>
      </c>
      <c r="AD319" s="60">
        <f>SUM(AD312:AD318)</f>
        <v/>
      </c>
      <c r="AE319" s="1123">
        <f>SUM(AE312:AE318)</f>
        <v/>
      </c>
      <c r="AF319" s="60">
        <f>SUM(AF312:AF318)</f>
        <v/>
      </c>
      <c r="AG319" s="60">
        <f>SUM(AG312:AG318)</f>
        <v/>
      </c>
      <c r="AH319" s="60">
        <f>SUM(AH312:AH318)</f>
        <v/>
      </c>
      <c r="AI319" s="60">
        <f>SUM(AI312:AI318)</f>
        <v/>
      </c>
      <c r="AJ319" s="1123">
        <f>SUM(AJ312:AJ318)</f>
        <v/>
      </c>
      <c r="AK319" s="60">
        <f>SUM(AK312:AK318)</f>
        <v/>
      </c>
      <c r="AL319" s="60">
        <f>SUM(AL312:AL318)</f>
        <v/>
      </c>
      <c r="AM319" s="60">
        <f>SUM(AM312:AM318)</f>
        <v/>
      </c>
      <c r="AN319" s="60">
        <f>SUM(AN312:AN318)</f>
        <v/>
      </c>
      <c r="AO319" s="1123">
        <f>SUM(AO312:AO318)</f>
        <v/>
      </c>
      <c r="AP319" s="60">
        <f>SUM(AP312:AP318)</f>
        <v/>
      </c>
      <c r="AQ319" s="60">
        <f>SUM(AQ312:AQ318)</f>
        <v/>
      </c>
      <c r="AR319" s="60">
        <f>SUM(AR312:AR318)</f>
        <v/>
      </c>
      <c r="AS319" s="60">
        <f>SUM(AS312:AS318)</f>
        <v/>
      </c>
      <c r="AT319" s="1123">
        <f>SUM(AT312:AT318)</f>
        <v/>
      </c>
      <c r="AU319" s="60">
        <f>SUM(AU312:AU318)</f>
        <v/>
      </c>
      <c r="AV319" s="60">
        <f>SUM(AV312:AV318)</f>
        <v/>
      </c>
      <c r="AW319" s="60">
        <f>SUM(AW312:AW318)</f>
        <v/>
      </c>
      <c r="AX319" s="60">
        <f>SUM(AX312:AX318)</f>
        <v/>
      </c>
      <c r="AY319" s="1123">
        <f>SUM(AY312:AY318)</f>
        <v/>
      </c>
      <c r="AZ319" s="60">
        <f>SUM(AZ312:AZ318)</f>
        <v/>
      </c>
      <c r="BA319" s="60">
        <f>SUM(BA312:BA318)</f>
        <v/>
      </c>
      <c r="BB319" s="60">
        <f>SUM(BB312:BB318)</f>
        <v/>
      </c>
      <c r="BC319" s="60">
        <f>SUM(BC312:BC318)</f>
        <v/>
      </c>
      <c r="BD319" s="1123">
        <f>SUM(BD312:BD318)</f>
        <v/>
      </c>
      <c r="BE319" s="60">
        <f>SUM(BE312:BE318)</f>
        <v/>
      </c>
      <c r="BF319" s="60">
        <f>SUM(BF312:BF318)</f>
        <v/>
      </c>
      <c r="BG319" s="60">
        <f>SUM(BG312:BG318)</f>
        <v/>
      </c>
      <c r="BH319" s="60">
        <f>SUM(BH312:BH318)</f>
        <v/>
      </c>
      <c r="BI319" s="1123">
        <f>SUM(BI312:BI318)</f>
        <v/>
      </c>
      <c r="BJ319" s="60">
        <f>SUM(BJ312:BJ318)</f>
        <v/>
      </c>
      <c r="BK319" s="60">
        <f>SUM(BK312:BK318)</f>
        <v/>
      </c>
      <c r="BL319" s="60">
        <f>SUM(BL312:BL318)</f>
        <v/>
      </c>
      <c r="BM319" s="60">
        <f>SUM(BM312:BM318)</f>
        <v/>
      </c>
      <c r="BN319" s="1123">
        <f>SUM(BN312:BN318)</f>
        <v/>
      </c>
      <c r="BO319" s="60">
        <f>SUM(BO312:BO318)</f>
        <v/>
      </c>
      <c r="BP319" s="60">
        <f>SUM(BP312:BP318)</f>
        <v/>
      </c>
      <c r="BQ319" s="60">
        <f>SUM(BQ312:BQ318)</f>
        <v/>
      </c>
      <c r="BR319" s="60">
        <f>SUM(BR312:BR318)</f>
        <v/>
      </c>
      <c r="BS319" s="1123">
        <f>SUM(BS312:BS318)</f>
        <v/>
      </c>
      <c r="BT319" s="60">
        <f>SUM(BT312:BT318)</f>
        <v/>
      </c>
      <c r="BU319" s="60">
        <f>SUM(BU312:BU318)</f>
        <v/>
      </c>
      <c r="BV319" s="883">
        <f>SUM(BV312:BV318)</f>
        <v/>
      </c>
      <c r="BW319" s="61" t="n"/>
      <c r="BX319" s="1122" t="n"/>
      <c r="BY319" s="61" t="n"/>
      <c r="BZ319" s="61" t="n"/>
      <c r="CA319" s="61" t="n"/>
      <c r="CB319" s="61" t="n"/>
      <c r="CC319" s="1122" t="n"/>
      <c r="CD319" s="1122" t="n"/>
      <c r="CE319" s="1122" t="n"/>
      <c r="CF319" s="1122" t="n"/>
      <c r="CG319" s="155" t="n"/>
    </row>
    <row r="320" hidden="1" outlineLevel="1">
      <c r="A320" s="600" t="n"/>
      <c r="B320" s="279" t="n"/>
      <c r="C320" s="1125" t="n"/>
      <c r="D320" s="1125" t="n"/>
      <c r="E320" s="1125" t="n"/>
      <c r="F320" s="1125" t="n"/>
      <c r="G320" s="63" t="n"/>
      <c r="H320" s="63" t="n"/>
      <c r="I320" s="63" t="n"/>
      <c r="J320" s="63" t="n"/>
      <c r="K320" s="1125" t="n"/>
      <c r="L320" s="63" t="n"/>
      <c r="M320" s="63" t="n"/>
      <c r="N320" s="63" t="n"/>
      <c r="O320" s="63" t="n"/>
      <c r="P320" s="1125" t="n"/>
      <c r="Q320" s="63" t="n"/>
      <c r="R320" s="63" t="n"/>
      <c r="S320" s="63" t="n"/>
      <c r="T320" s="63" t="n"/>
      <c r="U320" s="1125" t="n"/>
      <c r="V320" s="63" t="n"/>
      <c r="W320" s="63" t="n"/>
      <c r="X320" s="63" t="n"/>
      <c r="Y320" s="63" t="n"/>
      <c r="Z320" s="1125" t="n"/>
      <c r="AA320" s="63" t="n"/>
      <c r="AB320" s="63" t="n"/>
      <c r="AC320" s="63" t="n"/>
      <c r="AD320" s="63" t="n"/>
      <c r="AE320" s="1125" t="n"/>
      <c r="AF320" s="63" t="n"/>
      <c r="AG320" s="63" t="n"/>
      <c r="AH320" s="63" t="n"/>
      <c r="AI320" s="63" t="n"/>
      <c r="AJ320" s="1125" t="n"/>
      <c r="AK320" s="63" t="n"/>
      <c r="AL320" s="63" t="n"/>
      <c r="AM320" s="63" t="n"/>
      <c r="AN320" s="63" t="n"/>
      <c r="AO320" s="1125" t="n"/>
      <c r="AP320" s="63" t="n"/>
      <c r="AQ320" s="63" t="n"/>
      <c r="AR320" s="63" t="n"/>
      <c r="AS320" s="63" t="n"/>
      <c r="AT320" s="1125" t="n"/>
      <c r="AU320" s="63" t="n"/>
      <c r="AV320" s="63" t="n"/>
      <c r="AW320" s="63" t="n"/>
      <c r="AX320" s="63" t="n"/>
      <c r="AY320" s="1125" t="n"/>
      <c r="AZ320" s="63" t="n"/>
      <c r="BA320" s="63" t="n"/>
      <c r="BB320" s="63" t="n"/>
      <c r="BC320" s="63" t="n"/>
      <c r="BD320" s="1125" t="n"/>
      <c r="BE320" s="63" t="n"/>
      <c r="BF320" s="63" t="n"/>
      <c r="BG320" s="63" t="n"/>
      <c r="BH320" s="63" t="n"/>
      <c r="BI320" s="1125" t="n"/>
      <c r="BJ320" s="63" t="n"/>
      <c r="BK320" s="63" t="n"/>
      <c r="BL320" s="63" t="n"/>
      <c r="BM320" s="63" t="n"/>
      <c r="BN320" s="1125" t="n"/>
      <c r="BO320" s="63" t="n"/>
      <c r="BP320" s="63" t="n"/>
      <c r="BQ320" s="63" t="n"/>
      <c r="BR320" s="63" t="n"/>
      <c r="BS320" s="1125" t="n"/>
      <c r="BT320" s="63" t="n"/>
      <c r="BU320" s="63" t="n"/>
      <c r="BV320" s="587" t="n"/>
      <c r="BW320" s="63" t="n"/>
      <c r="BX320" s="1125" t="n"/>
      <c r="BY320" s="63" t="n"/>
      <c r="BZ320" s="63" t="n"/>
      <c r="CA320" s="63" t="n"/>
      <c r="CB320" s="63" t="n"/>
      <c r="CC320" s="1125" t="n"/>
      <c r="CD320" s="1125" t="n"/>
      <c r="CE320" s="1125" t="n"/>
      <c r="CF320" s="1125" t="n"/>
      <c r="CG320" s="155" t="n"/>
    </row>
    <row r="321" hidden="1" outlineLevel="1">
      <c r="A321" s="62" t="inlineStr">
        <is>
          <t>GAAP gross profit</t>
        </is>
      </c>
      <c r="B321" s="279" t="n"/>
      <c r="C321" s="1132">
        <f>C294</f>
        <v/>
      </c>
      <c r="D321" s="1132">
        <f>D294</f>
        <v/>
      </c>
      <c r="E321" s="1132">
        <f>E294</f>
        <v/>
      </c>
      <c r="F321" s="1132">
        <f>F294</f>
        <v/>
      </c>
      <c r="G321" s="28">
        <f>G294</f>
        <v/>
      </c>
      <c r="H321" s="28">
        <f>H294</f>
        <v/>
      </c>
      <c r="I321" s="28">
        <f>I294</f>
        <v/>
      </c>
      <c r="J321" s="28">
        <f>J294</f>
        <v/>
      </c>
      <c r="K321" s="1132">
        <f>K294</f>
        <v/>
      </c>
      <c r="L321" s="28">
        <f>L294</f>
        <v/>
      </c>
      <c r="M321" s="28">
        <f>M294</f>
        <v/>
      </c>
      <c r="N321" s="28">
        <f>N294</f>
        <v/>
      </c>
      <c r="O321" s="28">
        <f>O294</f>
        <v/>
      </c>
      <c r="P321" s="1132">
        <f>P294</f>
        <v/>
      </c>
      <c r="Q321" s="28">
        <f>Q294</f>
        <v/>
      </c>
      <c r="R321" s="28">
        <f>R294</f>
        <v/>
      </c>
      <c r="S321" s="28">
        <f>S294</f>
        <v/>
      </c>
      <c r="T321" s="28">
        <f>T294</f>
        <v/>
      </c>
      <c r="U321" s="1132">
        <f>U294</f>
        <v/>
      </c>
      <c r="V321" s="28">
        <f>V294</f>
        <v/>
      </c>
      <c r="W321" s="28">
        <f>W294</f>
        <v/>
      </c>
      <c r="X321" s="28">
        <f>X294</f>
        <v/>
      </c>
      <c r="Y321" s="28">
        <f>Y294</f>
        <v/>
      </c>
      <c r="Z321" s="1132">
        <f>Z294</f>
        <v/>
      </c>
      <c r="AA321" s="28">
        <f>AA294</f>
        <v/>
      </c>
      <c r="AB321" s="28">
        <f>AB294</f>
        <v/>
      </c>
      <c r="AC321" s="28">
        <f>AC294</f>
        <v/>
      </c>
      <c r="AD321" s="28">
        <f>AD294</f>
        <v/>
      </c>
      <c r="AE321" s="1132">
        <f>AE294</f>
        <v/>
      </c>
      <c r="AF321" s="28">
        <f>AF294</f>
        <v/>
      </c>
      <c r="AG321" s="28">
        <f>AG294</f>
        <v/>
      </c>
      <c r="AH321" s="28">
        <f>AH294</f>
        <v/>
      </c>
      <c r="AI321" s="28">
        <f>AI294</f>
        <v/>
      </c>
      <c r="AJ321" s="1132">
        <f>AJ294</f>
        <v/>
      </c>
      <c r="AK321" s="28">
        <f>AK294</f>
        <v/>
      </c>
      <c r="AL321" s="28">
        <f>AL294</f>
        <v/>
      </c>
      <c r="AM321" s="28">
        <f>AM294</f>
        <v/>
      </c>
      <c r="AN321" s="28">
        <f>AN294</f>
        <v/>
      </c>
      <c r="AO321" s="1132">
        <f>AO294</f>
        <v/>
      </c>
      <c r="AP321" s="28">
        <f>AP294</f>
        <v/>
      </c>
      <c r="AQ321" s="28">
        <f>AQ294</f>
        <v/>
      </c>
      <c r="AR321" s="28">
        <f>AR294</f>
        <v/>
      </c>
      <c r="AS321" s="28">
        <f>AS294</f>
        <v/>
      </c>
      <c r="AT321" s="1132">
        <f>AT294</f>
        <v/>
      </c>
      <c r="AU321" s="28">
        <f>AU294</f>
        <v/>
      </c>
      <c r="AV321" s="28">
        <f>AV294</f>
        <v/>
      </c>
      <c r="AW321" s="28">
        <f>AW294</f>
        <v/>
      </c>
      <c r="AX321" s="28">
        <f>AX294</f>
        <v/>
      </c>
      <c r="AY321" s="1132">
        <f>AY294</f>
        <v/>
      </c>
      <c r="AZ321" s="28">
        <f>AZ294</f>
        <v/>
      </c>
      <c r="BA321" s="28">
        <f>BA294</f>
        <v/>
      </c>
      <c r="BB321" s="28">
        <f>BB294</f>
        <v/>
      </c>
      <c r="BC321" s="28">
        <f>BC294</f>
        <v/>
      </c>
      <c r="BD321" s="1132">
        <f>BD294</f>
        <v/>
      </c>
      <c r="BE321" s="28">
        <f>BE294</f>
        <v/>
      </c>
      <c r="BF321" s="28">
        <f>BF294</f>
        <v/>
      </c>
      <c r="BG321" s="28">
        <f>BG294</f>
        <v/>
      </c>
      <c r="BH321" s="28">
        <f>BH294</f>
        <v/>
      </c>
      <c r="BI321" s="1132">
        <f>BI294</f>
        <v/>
      </c>
      <c r="BJ321" s="28">
        <f>BJ294</f>
        <v/>
      </c>
      <c r="BK321" s="28">
        <f>BK294</f>
        <v/>
      </c>
      <c r="BL321" s="28">
        <f>BL294</f>
        <v/>
      </c>
      <c r="BM321" s="28">
        <f>BM294</f>
        <v/>
      </c>
      <c r="BN321" s="1132">
        <f>BN294</f>
        <v/>
      </c>
      <c r="BO321" s="28">
        <f>BO294</f>
        <v/>
      </c>
      <c r="BP321" s="28">
        <f>BP294</f>
        <v/>
      </c>
      <c r="BQ321" s="28">
        <f>BQ294</f>
        <v/>
      </c>
      <c r="BR321" s="28">
        <f>BR294</f>
        <v/>
      </c>
      <c r="BS321" s="1132">
        <f>BS294</f>
        <v/>
      </c>
      <c r="BT321" s="28">
        <f>BT294</f>
        <v/>
      </c>
      <c r="BU321" s="28">
        <f>BU294</f>
        <v/>
      </c>
      <c r="BV321" s="505">
        <f>BV294</f>
        <v/>
      </c>
      <c r="BW321" s="63" t="n"/>
      <c r="BX321" s="1125" t="n"/>
      <c r="BY321" s="63" t="n"/>
      <c r="BZ321" s="63" t="n"/>
      <c r="CA321" s="63" t="n"/>
      <c r="CB321" s="63" t="n"/>
      <c r="CC321" s="1125" t="n"/>
      <c r="CD321" s="1125" t="n"/>
      <c r="CE321" s="1125" t="n"/>
      <c r="CF321" s="1125" t="n"/>
      <c r="CG321" s="155" t="n"/>
    </row>
    <row r="322" hidden="1" outlineLevel="1">
      <c r="A322" s="67" t="inlineStr">
        <is>
          <t>Acquisition-related and other costs</t>
        </is>
      </c>
      <c r="B322" s="146" t="n"/>
      <c r="C322" s="1110" t="n"/>
      <c r="D322" s="1110" t="n"/>
      <c r="E322" s="1110" t="n"/>
      <c r="F322" s="1110" t="n"/>
      <c r="G322" s="68" t="n"/>
      <c r="H322" s="68" t="n"/>
      <c r="I322" s="68" t="n"/>
      <c r="J322" s="68" t="n"/>
      <c r="K322" s="1110" t="n"/>
      <c r="L322" s="68" t="n"/>
      <c r="M322" s="68" t="n"/>
      <c r="N322" s="68" t="n"/>
      <c r="O322" s="68" t="n"/>
      <c r="P322" s="1110" t="n"/>
      <c r="Q322" s="68" t="n"/>
      <c r="R322" s="68" t="n"/>
      <c r="S322" s="68" t="n"/>
      <c r="T322" s="68" t="n"/>
      <c r="U322" s="1110" t="n"/>
      <c r="V322" s="68" t="n"/>
      <c r="W322" s="68" t="n"/>
      <c r="X322" s="68" t="n"/>
      <c r="Y322" s="68" t="n"/>
      <c r="Z322" s="1110" t="n"/>
      <c r="AA322" s="68" t="n"/>
      <c r="AB322" s="68" t="n"/>
      <c r="AC322" s="68" t="n"/>
      <c r="AD322" s="68" t="n"/>
      <c r="AE322" s="1110" t="n"/>
      <c r="AF322" s="68" t="n"/>
      <c r="AG322" s="68" t="n"/>
      <c r="AH322" s="68" t="n"/>
      <c r="AI322" s="68" t="n"/>
      <c r="AJ322" s="1110" t="n"/>
      <c r="AK322" s="68" t="n"/>
      <c r="AL322" s="68" t="n"/>
      <c r="AM322" s="68" t="n"/>
      <c r="AN322" s="68" t="n"/>
      <c r="AO322" s="1110" t="n"/>
      <c r="AP322" s="68" t="n"/>
      <c r="AQ322" s="68" t="n"/>
      <c r="AR322" s="68" t="n"/>
      <c r="AS322" s="68" t="n"/>
      <c r="AT322" s="1110" t="n"/>
      <c r="AU322" s="1053" t="n">
        <v>1</v>
      </c>
      <c r="AV322" s="1053" t="n">
        <v>245</v>
      </c>
      <c r="AW322" s="1053" t="n">
        <v>86</v>
      </c>
      <c r="AX322" s="1053" t="n">
        <v>92</v>
      </c>
      <c r="AY322" s="1111" t="n">
        <v>425</v>
      </c>
      <c r="AZ322" s="1053" t="n">
        <v>87</v>
      </c>
      <c r="BA322" s="1053" t="n">
        <v>86</v>
      </c>
      <c r="BB322" s="1053" t="n">
        <v>86</v>
      </c>
      <c r="BC322" s="1053" t="n">
        <v>86</v>
      </c>
      <c r="BD322" s="1111" t="n">
        <v>344</v>
      </c>
      <c r="BE322" s="1053" t="n">
        <v>94</v>
      </c>
      <c r="BF322" s="1053" t="n">
        <v>121</v>
      </c>
      <c r="BG322" s="1053" t="n">
        <v>120</v>
      </c>
      <c r="BH322" s="1053" t="n">
        <v>120</v>
      </c>
      <c r="BI322" s="1111" t="n">
        <v>455</v>
      </c>
      <c r="BJ322" s="1053" t="n">
        <v>119</v>
      </c>
      <c r="BK322" s="1053" t="n">
        <v>119</v>
      </c>
      <c r="BL322" s="1053" t="n">
        <v>119</v>
      </c>
      <c r="BM322" s="1053" t="n">
        <v>119</v>
      </c>
      <c r="BN322" s="1111" t="n">
        <v>477</v>
      </c>
      <c r="BO322" s="1053" t="n">
        <v>119</v>
      </c>
      <c r="BP322" s="1053" t="n">
        <v>118</v>
      </c>
      <c r="BQ322" s="1053" t="n">
        <v>116</v>
      </c>
      <c r="BR322" s="1053" t="n">
        <v>118</v>
      </c>
      <c r="BS322" s="1111" t="n">
        <v>472</v>
      </c>
      <c r="BT322" s="1053" t="n">
        <v>123</v>
      </c>
      <c r="BU322" s="1053" t="n">
        <v>49</v>
      </c>
      <c r="BV322" s="1054" t="n">
        <v>48</v>
      </c>
      <c r="BW322" s="68" t="n"/>
      <c r="BX322" s="1110" t="n"/>
      <c r="BY322" s="68" t="n"/>
      <c r="BZ322" s="68" t="n"/>
      <c r="CA322" s="68" t="n"/>
      <c r="CB322" s="68" t="n"/>
      <c r="CC322" s="1110" t="n"/>
      <c r="CD322" s="1110" t="n"/>
      <c r="CE322" s="1110" t="n"/>
      <c r="CF322" s="1110" t="n"/>
      <c r="CG322" s="155" t="n"/>
    </row>
    <row r="323" hidden="1" outlineLevel="1">
      <c r="A323" s="67" t="inlineStr">
        <is>
          <t>Stock-based compensation expense</t>
        </is>
      </c>
      <c r="B323" s="146" t="n"/>
      <c r="C323" s="1110" t="n"/>
      <c r="D323" s="1110" t="n"/>
      <c r="E323" s="1111" t="n">
        <v>8.308</v>
      </c>
      <c r="F323" s="1111" t="n">
        <v>11.322</v>
      </c>
      <c r="G323" s="1053" t="n">
        <v>2.526</v>
      </c>
      <c r="H323" s="1053" t="n">
        <v>2.649</v>
      </c>
      <c r="I323" s="1053" t="n">
        <v>2.489</v>
      </c>
      <c r="J323" s="1053" t="n">
        <v>2.826</v>
      </c>
      <c r="K323" s="1111" t="n">
        <v>10.49</v>
      </c>
      <c r="L323" s="1053" t="n">
        <v>2.653</v>
      </c>
      <c r="M323" s="1053" t="n">
        <v>2.168</v>
      </c>
      <c r="N323" s="1053" t="n">
        <v>3.09</v>
      </c>
      <c r="O323" s="1053" t="n">
        <v>2.777</v>
      </c>
      <c r="P323" s="1111" t="n">
        <v>10.688</v>
      </c>
      <c r="Q323" s="1053" t="n">
        <v>3</v>
      </c>
      <c r="R323" s="1053" t="n">
        <v>3</v>
      </c>
      <c r="S323" s="1053" t="n">
        <v>4</v>
      </c>
      <c r="T323" s="1053" t="n">
        <v>4</v>
      </c>
      <c r="U323" s="1111" t="n">
        <v>12</v>
      </c>
      <c r="V323" s="1053" t="n">
        <v>2</v>
      </c>
      <c r="W323" s="1053" t="n">
        <v>3</v>
      </c>
      <c r="X323" s="1053" t="n">
        <v>4</v>
      </c>
      <c r="Y323" s="1053" t="n">
        <v>5</v>
      </c>
      <c r="Z323" s="1111" t="n">
        <v>15</v>
      </c>
      <c r="AA323" s="1053" t="n">
        <v>4</v>
      </c>
      <c r="AB323" s="1053" t="n">
        <v>4</v>
      </c>
      <c r="AC323" s="1053" t="n">
        <v>3</v>
      </c>
      <c r="AD323" s="1053" t="n">
        <v>4</v>
      </c>
      <c r="AE323" s="1111" t="n">
        <v>15</v>
      </c>
      <c r="AF323" s="1053" t="n">
        <v>4</v>
      </c>
      <c r="AG323" s="1053" t="n">
        <v>4</v>
      </c>
      <c r="AH323" s="1053" t="n">
        <v>6</v>
      </c>
      <c r="AI323" s="1053" t="n">
        <v>7</v>
      </c>
      <c r="AJ323" s="1111" t="n">
        <v>21</v>
      </c>
      <c r="AK323" s="1053" t="n">
        <v>8</v>
      </c>
      <c r="AL323" s="1053" t="n">
        <v>8</v>
      </c>
      <c r="AM323" s="1053" t="n">
        <v>5</v>
      </c>
      <c r="AN323" s="1053" t="n">
        <v>6</v>
      </c>
      <c r="AO323" s="1111" t="n">
        <v>27</v>
      </c>
      <c r="AP323" s="1053" t="n">
        <v>4</v>
      </c>
      <c r="AQ323" s="1053" t="n">
        <v>8</v>
      </c>
      <c r="AR323" s="1053" t="n">
        <v>15</v>
      </c>
      <c r="AS323" s="1053" t="n">
        <v>12</v>
      </c>
      <c r="AT323" s="1111" t="n">
        <v>39</v>
      </c>
      <c r="AU323" s="1053" t="n">
        <v>21</v>
      </c>
      <c r="AV323" s="1053" t="n">
        <v>14</v>
      </c>
      <c r="AW323" s="1053" t="n">
        <v>28</v>
      </c>
      <c r="AX323" s="1053" t="n">
        <v>26</v>
      </c>
      <c r="AY323" s="1111" t="n">
        <v>88</v>
      </c>
      <c r="AZ323" s="1053" t="n">
        <v>25</v>
      </c>
      <c r="BA323" s="1053" t="n">
        <v>32</v>
      </c>
      <c r="BB323" s="1053" t="n">
        <v>44</v>
      </c>
      <c r="BC323" s="1053" t="n">
        <v>39</v>
      </c>
      <c r="BD323" s="1111" t="n">
        <v>141</v>
      </c>
      <c r="BE323" s="1053" t="n">
        <v>38</v>
      </c>
      <c r="BF323" s="1053" t="n">
        <v>38</v>
      </c>
      <c r="BG323" s="1053" t="n">
        <v>32</v>
      </c>
      <c r="BH323" s="1053" t="n">
        <v>30</v>
      </c>
      <c r="BI323" s="1111" t="n">
        <v>138</v>
      </c>
      <c r="BJ323" s="1053" t="n">
        <v>27</v>
      </c>
      <c r="BK323" s="1053" t="n">
        <v>31</v>
      </c>
      <c r="BL323" s="1053" t="n">
        <v>38</v>
      </c>
      <c r="BM323" s="1053" t="n">
        <v>45</v>
      </c>
      <c r="BN323" s="1111" t="n">
        <v>141</v>
      </c>
      <c r="BO323" s="1053" t="n">
        <v>36</v>
      </c>
      <c r="BP323" s="1053" t="n">
        <v>40</v>
      </c>
      <c r="BQ323" s="1053" t="n">
        <v>50</v>
      </c>
      <c r="BR323" s="1053" t="n">
        <v>53</v>
      </c>
      <c r="BS323" s="1111" t="n">
        <v>178</v>
      </c>
      <c r="BT323" s="1053" t="n">
        <v>64</v>
      </c>
      <c r="BU323" s="1053" t="n">
        <v>58</v>
      </c>
      <c r="BV323" s="1054" t="n">
        <v>70</v>
      </c>
      <c r="BW323" s="68" t="n"/>
      <c r="BX323" s="1110" t="n"/>
      <c r="BY323" s="68" t="n"/>
      <c r="BZ323" s="68" t="n"/>
      <c r="CA323" s="68" t="n"/>
      <c r="CB323" s="68" t="n"/>
      <c r="CC323" s="1110" t="n"/>
      <c r="CD323" s="1110" t="n"/>
      <c r="CE323" s="1110" t="n"/>
      <c r="CF323" s="1110" t="n"/>
      <c r="CG323" s="155" t="n"/>
    </row>
    <row r="324" hidden="1" outlineLevel="1">
      <c r="A324" s="67" t="inlineStr">
        <is>
          <t>Legal settlement costs</t>
        </is>
      </c>
      <c r="B324" s="146" t="n"/>
      <c r="C324" s="1110" t="n"/>
      <c r="D324" s="1110" t="n"/>
      <c r="E324" s="1110" t="n"/>
      <c r="F324" s="1111" t="n">
        <v>7.3</v>
      </c>
      <c r="G324" s="68" t="n"/>
      <c r="H324" s="68" t="n"/>
      <c r="I324" s="68" t="n"/>
      <c r="J324" s="68" t="n"/>
      <c r="K324" s="1110" t="n"/>
      <c r="L324" s="68" t="n"/>
      <c r="M324" s="1053" t="n">
        <v>2.29</v>
      </c>
      <c r="N324" s="68" t="n"/>
      <c r="O324" s="1053" t="n">
        <v>1.45</v>
      </c>
      <c r="P324" s="1111" t="n">
        <v>3.74</v>
      </c>
      <c r="Q324" s="68" t="n"/>
      <c r="R324" s="68" t="n"/>
      <c r="S324" s="68" t="n"/>
      <c r="T324" s="68" t="n"/>
      <c r="U324" s="1110" t="n"/>
      <c r="V324" s="68" t="n"/>
      <c r="W324" s="68" t="n"/>
      <c r="X324" s="68" t="n"/>
      <c r="Y324" s="68" t="n"/>
      <c r="Z324" s="1110" t="n"/>
      <c r="AA324" s="1053" t="n">
        <v>10</v>
      </c>
      <c r="AB324" s="68" t="n"/>
      <c r="AC324" s="68" t="n"/>
      <c r="AD324" s="68" t="n"/>
      <c r="AE324" s="1111" t="n">
        <v>10</v>
      </c>
      <c r="AF324" s="68" t="n"/>
      <c r="AG324" s="68" t="n"/>
      <c r="AH324" s="68" t="n"/>
      <c r="AI324" s="1053" t="n">
        <v>1</v>
      </c>
      <c r="AJ324" s="1111" t="n">
        <v>1</v>
      </c>
      <c r="AK324" s="68" t="n"/>
      <c r="AL324" s="68" t="n"/>
      <c r="AM324" s="1053" t="n">
        <v>14</v>
      </c>
      <c r="AN324" s="1053" t="n">
        <v>21</v>
      </c>
      <c r="AO324" s="1111" t="n">
        <v>35</v>
      </c>
      <c r="AP324" s="1053" t="n">
        <v>10</v>
      </c>
      <c r="AQ324" s="1053" t="n">
        <v>2</v>
      </c>
      <c r="AR324" s="1053" t="n">
        <v>0</v>
      </c>
      <c r="AS324" s="1053" t="n">
        <v>3</v>
      </c>
      <c r="AT324" s="1111" t="n">
        <v>14</v>
      </c>
      <c r="AU324" s="68" t="n"/>
      <c r="AV324" s="1053" t="n">
        <v>17</v>
      </c>
      <c r="AW324" s="1053" t="n">
        <v>21</v>
      </c>
      <c r="AX324" s="1053" t="n">
        <v>1</v>
      </c>
      <c r="AY324" s="1111" t="n">
        <v>38</v>
      </c>
      <c r="AZ324" s="1053" t="n">
        <v>5</v>
      </c>
      <c r="BA324" s="1053" t="n">
        <v>4</v>
      </c>
      <c r="BB324" s="1053" t="n">
        <v>0</v>
      </c>
      <c r="BC324" s="1053" t="n">
        <v>0</v>
      </c>
      <c r="BD324" s="1111" t="n">
        <v>9</v>
      </c>
      <c r="BE324" s="1053" t="n">
        <v>0</v>
      </c>
      <c r="BF324" s="68" t="n"/>
      <c r="BG324" s="68" t="n"/>
      <c r="BH324" s="1053" t="n">
        <v>16</v>
      </c>
      <c r="BI324" s="1111" t="n">
        <v>16</v>
      </c>
      <c r="BJ324" s="1053" t="n">
        <v>8</v>
      </c>
      <c r="BK324" s="1053" t="n">
        <v>2</v>
      </c>
      <c r="BL324" s="1053" t="n">
        <v>26</v>
      </c>
      <c r="BM324" s="1053" t="n">
        <v>4</v>
      </c>
      <c r="BN324" s="1111" t="n">
        <v>40</v>
      </c>
      <c r="BO324" s="1053" t="n">
        <v>-1</v>
      </c>
      <c r="BP324" s="1053" t="n">
        <v>-3</v>
      </c>
      <c r="BQ324" s="68" t="n"/>
      <c r="BR324" s="68" t="n"/>
      <c r="BS324" s="1110" t="n"/>
      <c r="BT324" s="68" t="n"/>
      <c r="BU324" s="68" t="n"/>
      <c r="BV324" s="588" t="n"/>
      <c r="BW324" s="68" t="n"/>
      <c r="BX324" s="1110" t="n"/>
      <c r="BY324" s="68" t="n"/>
      <c r="BZ324" s="68" t="n"/>
      <c r="CA324" s="68" t="n"/>
      <c r="CB324" s="68" t="n"/>
      <c r="CC324" s="1110" t="n"/>
      <c r="CD324" s="1110" t="n"/>
      <c r="CE324" s="1110" t="n"/>
      <c r="CF324" s="1110" t="n"/>
      <c r="CG324" s="155" t="n"/>
    </row>
    <row r="325" hidden="1" outlineLevel="1">
      <c r="A325" s="67" t="inlineStr">
        <is>
          <t>IP-related costs and assets held for sale related adjustments</t>
        </is>
      </c>
      <c r="B325" s="146" t="n"/>
      <c r="C325" s="1110" t="n"/>
      <c r="D325" s="1110" t="n"/>
      <c r="E325" s="1110" t="n"/>
      <c r="F325" s="1110" t="n"/>
      <c r="G325" s="68" t="n"/>
      <c r="H325" s="68" t="n"/>
      <c r="I325" s="68" t="n"/>
      <c r="J325" s="68" t="n"/>
      <c r="K325" s="1110" t="n"/>
      <c r="L325" s="68" t="n"/>
      <c r="M325" s="68" t="n"/>
      <c r="N325" s="68" t="n"/>
      <c r="O325" s="68" t="n"/>
      <c r="P325" s="1110" t="n"/>
      <c r="Q325" s="68" t="n"/>
      <c r="R325" s="68" t="n"/>
      <c r="S325" s="68" t="n"/>
      <c r="T325" s="68" t="n"/>
      <c r="U325" s="1110" t="n"/>
      <c r="V325" s="68" t="n"/>
      <c r="W325" s="68" t="n"/>
      <c r="X325" s="68" t="n"/>
      <c r="Y325" s="68" t="n"/>
      <c r="Z325" s="1110" t="n"/>
      <c r="AA325" s="68" t="n"/>
      <c r="AB325" s="68" t="n"/>
      <c r="AC325" s="68" t="n"/>
      <c r="AD325" s="68" t="n"/>
      <c r="AE325" s="1110" t="n"/>
      <c r="AF325" s="68" t="n"/>
      <c r="AG325" s="68" t="n"/>
      <c r="AH325" s="68" t="n"/>
      <c r="AI325" s="68" t="n"/>
      <c r="AJ325" s="1110" t="n"/>
      <c r="AK325" s="68" t="n"/>
      <c r="AL325" s="68" t="n"/>
      <c r="AM325" s="68" t="n"/>
      <c r="AN325" s="68" t="n"/>
      <c r="AO325" s="1110" t="n"/>
      <c r="AP325" s="68" t="n"/>
      <c r="AQ325" s="68" t="n"/>
      <c r="AR325" s="68" t="n"/>
      <c r="AS325" s="68" t="n"/>
      <c r="AT325" s="1110" t="n"/>
      <c r="AU325" s="68" t="n"/>
      <c r="AV325" s="68" t="n"/>
      <c r="AW325" s="68" t="n"/>
      <c r="AX325" s="68" t="n"/>
      <c r="AY325" s="1110" t="n"/>
      <c r="AZ325" s="68" t="n"/>
      <c r="BA325" s="68" t="n"/>
      <c r="BB325" s="68" t="n"/>
      <c r="BC325" s="68" t="n"/>
      <c r="BD325" s="1110" t="n"/>
      <c r="BE325" s="68" t="n"/>
      <c r="BF325" s="68" t="n"/>
      <c r="BG325" s="68" t="n"/>
      <c r="BH325" s="68" t="n"/>
      <c r="BI325" s="1110" t="n"/>
      <c r="BJ325" s="68" t="n"/>
      <c r="BK325" s="68" t="n"/>
      <c r="BL325" s="68" t="n"/>
      <c r="BM325" s="68" t="n"/>
      <c r="BN325" s="1110" t="n"/>
      <c r="BO325" s="68" t="n"/>
      <c r="BP325" s="68" t="n"/>
      <c r="BQ325" s="68" t="n"/>
      <c r="BR325" s="68" t="n"/>
      <c r="BS325" s="1111" t="n">
        <v>-3</v>
      </c>
      <c r="BT325" s="68" t="n"/>
      <c r="BU325" s="68" t="n"/>
      <c r="BV325" s="588" t="n"/>
      <c r="BW325" s="68" t="n"/>
      <c r="BX325" s="1110" t="n"/>
      <c r="BY325" s="68" t="n"/>
      <c r="BZ325" s="68" t="n"/>
      <c r="CA325" s="68" t="n"/>
      <c r="CB325" s="68" t="n"/>
      <c r="CC325" s="1110" t="n"/>
      <c r="CD325" s="1110" t="n"/>
      <c r="CE325" s="1110" t="n"/>
      <c r="CF325" s="1110" t="n"/>
      <c r="CG325" s="155" t="n"/>
    </row>
    <row r="326" hidden="1" outlineLevel="1">
      <c r="A326" s="67" t="inlineStr">
        <is>
          <t>Credit from a weak die/packaging material set</t>
        </is>
      </c>
      <c r="B326" s="146" t="n"/>
      <c r="C326" s="1111" t="n">
        <v>189.289</v>
      </c>
      <c r="D326" s="1111" t="n">
        <v>95.878</v>
      </c>
      <c r="E326" s="1111" t="n">
        <v>181.193</v>
      </c>
      <c r="F326" s="1110" t="n"/>
      <c r="G326" s="68" t="n"/>
      <c r="H326" s="68" t="n"/>
      <c r="I326" s="68" t="n"/>
      <c r="J326" s="68" t="n"/>
      <c r="K326" s="1110" t="n"/>
      <c r="L326" s="68" t="n"/>
      <c r="M326" s="68" t="n"/>
      <c r="N326" s="68" t="n"/>
      <c r="O326" s="1053" t="n">
        <v>-7.782</v>
      </c>
      <c r="P326" s="1111" t="n">
        <v>-7.782</v>
      </c>
      <c r="Q326" s="68" t="n"/>
      <c r="R326" s="68" t="n"/>
      <c r="S326" s="68" t="n"/>
      <c r="T326" s="68" t="n"/>
      <c r="U326" s="1110" t="n"/>
      <c r="V326" s="68" t="n"/>
      <c r="W326" s="68" t="n"/>
      <c r="X326" s="68" t="n"/>
      <c r="Y326" s="68" t="n"/>
      <c r="Z326" s="1110" t="n"/>
      <c r="AA326" s="68" t="n"/>
      <c r="AB326" s="68" t="n"/>
      <c r="AC326" s="68" t="n"/>
      <c r="AD326" s="68" t="n"/>
      <c r="AE326" s="1110" t="n"/>
      <c r="AF326" s="68" t="n"/>
      <c r="AG326" s="68" t="n"/>
      <c r="AH326" s="68" t="n"/>
      <c r="AI326" s="68" t="n"/>
      <c r="AJ326" s="1110" t="n"/>
      <c r="AK326" s="68" t="n"/>
      <c r="AL326" s="68" t="n"/>
      <c r="AM326" s="68" t="n"/>
      <c r="AN326" s="68" t="n"/>
      <c r="AO326" s="1110" t="n"/>
      <c r="AP326" s="68" t="n"/>
      <c r="AQ326" s="68" t="n"/>
      <c r="AR326" s="68" t="n"/>
      <c r="AS326" s="68" t="n"/>
      <c r="AT326" s="1110" t="n"/>
      <c r="AU326" s="68" t="n"/>
      <c r="AV326" s="68" t="n"/>
      <c r="AW326" s="68" t="n"/>
      <c r="AX326" s="68" t="n"/>
      <c r="AY326" s="1110" t="n"/>
      <c r="AZ326" s="68" t="n"/>
      <c r="BA326" s="68" t="n"/>
      <c r="BB326" s="68" t="n"/>
      <c r="BC326" s="68" t="n"/>
      <c r="BD326" s="1110" t="n"/>
      <c r="BE326" s="68" t="n"/>
      <c r="BF326" s="68" t="n"/>
      <c r="BG326" s="68" t="n"/>
      <c r="BH326" s="68" t="n"/>
      <c r="BI326" s="1110" t="n"/>
      <c r="BJ326" s="68" t="n"/>
      <c r="BK326" s="68" t="n"/>
      <c r="BL326" s="68" t="n"/>
      <c r="BM326" s="68" t="n"/>
      <c r="BN326" s="1110" t="n"/>
      <c r="BO326" s="68" t="n"/>
      <c r="BP326" s="68" t="n"/>
      <c r="BQ326" s="68" t="n"/>
      <c r="BR326" s="68" t="n"/>
      <c r="BS326" s="1110" t="n"/>
      <c r="BT326" s="68" t="n"/>
      <c r="BU326" s="68" t="n"/>
      <c r="BV326" s="588" t="n"/>
      <c r="BW326" s="68" t="n"/>
      <c r="BX326" s="1110" t="n"/>
      <c r="BY326" s="68" t="n"/>
      <c r="BZ326" s="68" t="n"/>
      <c r="CA326" s="68" t="n"/>
      <c r="CB326" s="68" t="n"/>
      <c r="CC326" s="1110" t="n"/>
      <c r="CD326" s="1110" t="n"/>
      <c r="CE326" s="1110" t="n"/>
      <c r="CF326" s="1110" t="n"/>
      <c r="CG326" s="155" t="n"/>
    </row>
    <row r="327" hidden="1" outlineLevel="1">
      <c r="A327" s="67" t="inlineStr">
        <is>
          <t>Non-recurring charge related to royalty dispute</t>
        </is>
      </c>
      <c r="B327" s="146" t="n"/>
      <c r="C327" s="1111" t="n">
        <v>4.5</v>
      </c>
      <c r="D327" s="1110" t="n"/>
      <c r="E327" s="1110" t="n"/>
      <c r="F327" s="1110" t="n"/>
      <c r="G327" s="68" t="n"/>
      <c r="H327" s="68" t="n"/>
      <c r="I327" s="68" t="n"/>
      <c r="J327" s="68" t="n"/>
      <c r="K327" s="1110" t="n"/>
      <c r="L327" s="68" t="n"/>
      <c r="M327" s="68" t="n"/>
      <c r="N327" s="68" t="n"/>
      <c r="O327" s="68" t="n"/>
      <c r="P327" s="1110" t="n"/>
      <c r="Q327" s="68" t="n"/>
      <c r="R327" s="68" t="n"/>
      <c r="S327" s="68" t="n"/>
      <c r="T327" s="68" t="n"/>
      <c r="U327" s="1110" t="n"/>
      <c r="V327" s="68" t="n"/>
      <c r="W327" s="68" t="n"/>
      <c r="X327" s="68" t="n"/>
      <c r="Y327" s="68" t="n"/>
      <c r="Z327" s="1110" t="n"/>
      <c r="AA327" s="68" t="n"/>
      <c r="AB327" s="68" t="n"/>
      <c r="AC327" s="68" t="n"/>
      <c r="AD327" s="68" t="n"/>
      <c r="AE327" s="1110" t="n"/>
      <c r="AF327" s="68" t="n"/>
      <c r="AG327" s="68" t="n"/>
      <c r="AH327" s="68" t="n"/>
      <c r="AI327" s="68" t="n"/>
      <c r="AJ327" s="1110" t="n"/>
      <c r="AK327" s="68" t="n"/>
      <c r="AL327" s="68" t="n"/>
      <c r="AM327" s="68" t="n"/>
      <c r="AN327" s="68" t="n"/>
      <c r="AO327" s="1110" t="n"/>
      <c r="AP327" s="68" t="n"/>
      <c r="AQ327" s="68" t="n"/>
      <c r="AR327" s="68" t="n"/>
      <c r="AS327" s="68" t="n"/>
      <c r="AT327" s="1110" t="n"/>
      <c r="AU327" s="68" t="n"/>
      <c r="AV327" s="68" t="n"/>
      <c r="AW327" s="68" t="n"/>
      <c r="AX327" s="68" t="n"/>
      <c r="AY327" s="1110" t="n"/>
      <c r="AZ327" s="68" t="n"/>
      <c r="BA327" s="68" t="n"/>
      <c r="BB327" s="68" t="n"/>
      <c r="BC327" s="68" t="n"/>
      <c r="BD327" s="1110" t="n"/>
      <c r="BE327" s="68" t="n"/>
      <c r="BF327" s="68" t="n"/>
      <c r="BG327" s="68" t="n"/>
      <c r="BH327" s="68" t="n"/>
      <c r="BI327" s="1110" t="n"/>
      <c r="BJ327" s="68" t="n"/>
      <c r="BK327" s="68" t="n"/>
      <c r="BL327" s="68" t="n"/>
      <c r="BM327" s="68" t="n"/>
      <c r="BN327" s="1110" t="n"/>
      <c r="BO327" s="68" t="n"/>
      <c r="BP327" s="68" t="n"/>
      <c r="BQ327" s="68" t="n"/>
      <c r="BR327" s="68" t="n"/>
      <c r="BS327" s="1110" t="n"/>
      <c r="BT327" s="68" t="n"/>
      <c r="BU327" s="68" t="n"/>
      <c r="BV327" s="588" t="n"/>
      <c r="BW327" s="68" t="n"/>
      <c r="BX327" s="1110" t="n"/>
      <c r="BY327" s="68" t="n"/>
      <c r="BZ327" s="68" t="n"/>
      <c r="CA327" s="68" t="n"/>
      <c r="CB327" s="68" t="n"/>
      <c r="CC327" s="1110" t="n"/>
      <c r="CD327" s="1110" t="n"/>
      <c r="CE327" s="1110" t="n"/>
      <c r="CF327" s="1110" t="n"/>
      <c r="CG327" s="155" t="n"/>
    </row>
    <row r="328" hidden="1" outlineLevel="1">
      <c r="A328" s="67" t="inlineStr">
        <is>
          <t>Stock option purchase charge related to cost of revenue</t>
        </is>
      </c>
      <c r="B328" s="146" t="n"/>
      <c r="C328" s="1110" t="n"/>
      <c r="D328" s="1111" t="n">
        <v>11.412</v>
      </c>
      <c r="E328" s="1110" t="n"/>
      <c r="F328" s="1110" t="n"/>
      <c r="G328" s="68" t="n"/>
      <c r="H328" s="68" t="n"/>
      <c r="I328" s="68" t="n"/>
      <c r="J328" s="68" t="n"/>
      <c r="K328" s="1110" t="n"/>
      <c r="L328" s="68" t="n"/>
      <c r="M328" s="68" t="n"/>
      <c r="N328" s="68" t="n"/>
      <c r="O328" s="68" t="n"/>
      <c r="P328" s="1110" t="n"/>
      <c r="Q328" s="68" t="n"/>
      <c r="R328" s="68" t="n"/>
      <c r="S328" s="68" t="n"/>
      <c r="T328" s="68" t="n"/>
      <c r="U328" s="1110" t="n"/>
      <c r="V328" s="68" t="n"/>
      <c r="W328" s="68" t="n"/>
      <c r="X328" s="68" t="n"/>
      <c r="Y328" s="68" t="n"/>
      <c r="Z328" s="1110" t="n"/>
      <c r="AA328" s="68" t="n"/>
      <c r="AB328" s="68" t="n"/>
      <c r="AC328" s="68" t="n"/>
      <c r="AD328" s="68" t="n"/>
      <c r="AE328" s="1110" t="n"/>
      <c r="AF328" s="68" t="n"/>
      <c r="AG328" s="68" t="n"/>
      <c r="AH328" s="68" t="n"/>
      <c r="AI328" s="68" t="n"/>
      <c r="AJ328" s="1110" t="n"/>
      <c r="AK328" s="68" t="n"/>
      <c r="AL328" s="68" t="n"/>
      <c r="AM328" s="68" t="n"/>
      <c r="AN328" s="68" t="n"/>
      <c r="AO328" s="1110" t="n"/>
      <c r="AP328" s="68" t="n"/>
      <c r="AQ328" s="68" t="n"/>
      <c r="AR328" s="68" t="n"/>
      <c r="AS328" s="68" t="n"/>
      <c r="AT328" s="1110" t="n"/>
      <c r="AU328" s="68" t="n"/>
      <c r="AV328" s="68" t="n"/>
      <c r="AW328" s="68" t="n"/>
      <c r="AX328" s="68" t="n"/>
      <c r="AY328" s="1110" t="n"/>
      <c r="AZ328" s="68" t="n"/>
      <c r="BA328" s="68" t="n"/>
      <c r="BB328" s="68" t="n"/>
      <c r="BC328" s="68" t="n"/>
      <c r="BD328" s="1110" t="n"/>
      <c r="BE328" s="68" t="n"/>
      <c r="BF328" s="68" t="n"/>
      <c r="BG328" s="68" t="n"/>
      <c r="BH328" s="68" t="n"/>
      <c r="BI328" s="1110" t="n"/>
      <c r="BJ328" s="68" t="n"/>
      <c r="BK328" s="68" t="n"/>
      <c r="BL328" s="68" t="n"/>
      <c r="BM328" s="68" t="n"/>
      <c r="BN328" s="1110" t="n"/>
      <c r="BO328" s="68" t="n"/>
      <c r="BP328" s="68" t="n"/>
      <c r="BQ328" s="68" t="n"/>
      <c r="BR328" s="68" t="n"/>
      <c r="BS328" s="1110" t="n"/>
      <c r="BT328" s="68" t="n"/>
      <c r="BU328" s="68" t="n"/>
      <c r="BV328" s="588" t="n"/>
      <c r="BW328" s="68" t="n"/>
      <c r="BX328" s="1110" t="n"/>
      <c r="BY328" s="68" t="n"/>
      <c r="BZ328" s="68" t="n"/>
      <c r="CA328" s="68" t="n"/>
      <c r="CB328" s="68" t="n"/>
      <c r="CC328" s="1110" t="n"/>
      <c r="CD328" s="1110" t="n"/>
      <c r="CE328" s="1110" t="n"/>
      <c r="CF328" s="1110" t="n"/>
      <c r="CG328" s="155" t="n"/>
    </row>
    <row r="329" hidden="1" outlineLevel="1">
      <c r="A329" s="67" t="inlineStr">
        <is>
          <t>Product warranty change</t>
        </is>
      </c>
      <c r="B329" s="146" t="n"/>
      <c r="C329" s="1110" t="n"/>
      <c r="D329" s="1110" t="n"/>
      <c r="E329" s="1110" t="n"/>
      <c r="F329" s="1110" t="n"/>
      <c r="G329" s="68" t="n"/>
      <c r="H329" s="68" t="n"/>
      <c r="I329" s="68" t="n"/>
      <c r="J329" s="68" t="n"/>
      <c r="K329" s="1110" t="n"/>
      <c r="L329" s="68" t="n"/>
      <c r="M329" s="68" t="n"/>
      <c r="N329" s="68" t="n"/>
      <c r="O329" s="68" t="n"/>
      <c r="P329" s="1110" t="n"/>
      <c r="Q329" s="68" t="n"/>
      <c r="R329" s="68" t="n"/>
      <c r="S329" s="68" t="n"/>
      <c r="T329" s="68" t="n"/>
      <c r="U329" s="1110" t="n"/>
      <c r="V329" s="68" t="n"/>
      <c r="W329" s="1053" t="n">
        <v>15</v>
      </c>
      <c r="X329" s="68" t="n"/>
      <c r="Y329" s="1053" t="n">
        <v>5</v>
      </c>
      <c r="Z329" s="1111" t="n">
        <v>20</v>
      </c>
      <c r="AA329" s="68" t="n"/>
      <c r="AB329" s="68" t="n"/>
      <c r="AC329" s="68" t="n"/>
      <c r="AD329" s="68" t="n"/>
      <c r="AE329" s="1110" t="n"/>
      <c r="AF329" s="68" t="n"/>
      <c r="AG329" s="68" t="n"/>
      <c r="AH329" s="68" t="n"/>
      <c r="AI329" s="68" t="n"/>
      <c r="AJ329" s="1110" t="n"/>
      <c r="AK329" s="68" t="n"/>
      <c r="AL329" s="68" t="n"/>
      <c r="AM329" s="68" t="n"/>
      <c r="AN329" s="68" t="n"/>
      <c r="AO329" s="1110" t="n"/>
      <c r="AP329" s="68" t="n"/>
      <c r="AQ329" s="68" t="n"/>
      <c r="AR329" s="68" t="n"/>
      <c r="AS329" s="68" t="n"/>
      <c r="AT329" s="1110" t="n"/>
      <c r="AU329" s="68" t="n"/>
      <c r="AV329" s="68" t="n"/>
      <c r="AW329" s="68" t="n"/>
      <c r="AX329" s="68" t="n"/>
      <c r="AY329" s="1110" t="n"/>
      <c r="AZ329" s="68" t="n"/>
      <c r="BA329" s="68" t="n"/>
      <c r="BB329" s="68" t="n"/>
      <c r="BC329" s="68" t="n"/>
      <c r="BD329" s="1110" t="n"/>
      <c r="BE329" s="68" t="n"/>
      <c r="BF329" s="68" t="n"/>
      <c r="BG329" s="68" t="n"/>
      <c r="BH329" s="68" t="n"/>
      <c r="BI329" s="1110" t="n"/>
      <c r="BJ329" s="68" t="n"/>
      <c r="BK329" s="68" t="n"/>
      <c r="BL329" s="68" t="n"/>
      <c r="BM329" s="68" t="n"/>
      <c r="BN329" s="1110" t="n"/>
      <c r="BO329" s="68" t="n"/>
      <c r="BP329" s="68" t="n"/>
      <c r="BQ329" s="68" t="n"/>
      <c r="BR329" s="68" t="n"/>
      <c r="BS329" s="1110" t="n"/>
      <c r="BT329" s="68" t="n"/>
      <c r="BU329" s="68" t="n"/>
      <c r="BV329" s="588" t="n"/>
      <c r="BW329" s="68" t="n"/>
      <c r="BX329" s="1110" t="n"/>
      <c r="BY329" s="68" t="n"/>
      <c r="BZ329" s="68" t="n"/>
      <c r="CA329" s="68" t="n"/>
      <c r="CB329" s="68" t="n"/>
      <c r="CC329" s="1110" t="n"/>
      <c r="CD329" s="1110" t="n"/>
      <c r="CE329" s="1110" t="n"/>
      <c r="CF329" s="1110" t="n"/>
      <c r="CG329" s="155" t="n"/>
    </row>
    <row r="330" hidden="1" outlineLevel="1">
      <c r="A330" s="67" t="inlineStr">
        <is>
          <t>Other</t>
        </is>
      </c>
      <c r="B330" s="146" t="n"/>
      <c r="C330" s="1110" t="n"/>
      <c r="D330" s="1110" t="n"/>
      <c r="E330" s="1110" t="n"/>
      <c r="F330" s="1110" t="n"/>
      <c r="G330" s="68" t="n"/>
      <c r="H330" s="68" t="n"/>
      <c r="I330" s="68" t="n"/>
      <c r="J330" s="68" t="n"/>
      <c r="K330" s="1110" t="n"/>
      <c r="L330" s="68" t="n"/>
      <c r="M330" s="68" t="n"/>
      <c r="N330" s="68" t="n"/>
      <c r="O330" s="68" t="n"/>
      <c r="P330" s="1110" t="n"/>
      <c r="Q330" s="68" t="n"/>
      <c r="R330" s="68" t="n"/>
      <c r="S330" s="68" t="n"/>
      <c r="T330" s="68" t="n"/>
      <c r="U330" s="1110" t="n"/>
      <c r="V330" s="68" t="n"/>
      <c r="W330" s="68" t="n"/>
      <c r="X330" s="68" t="n"/>
      <c r="Y330" s="68" t="n"/>
      <c r="Z330" s="1110" t="n"/>
      <c r="AA330" s="68" t="n"/>
      <c r="AB330" s="68" t="n"/>
      <c r="AC330" s="68" t="n"/>
      <c r="AD330" s="68" t="n"/>
      <c r="AE330" s="1110" t="n"/>
      <c r="AF330" s="68" t="n"/>
      <c r="AG330" s="68" t="n"/>
      <c r="AH330" s="68" t="n"/>
      <c r="AI330" s="68" t="n"/>
      <c r="AJ330" s="1110" t="n"/>
      <c r="AK330" s="68" t="n"/>
      <c r="AL330" s="68" t="n"/>
      <c r="AM330" s="68" t="n"/>
      <c r="AN330" s="68" t="n"/>
      <c r="AO330" s="1110" t="n"/>
      <c r="AP330" s="68" t="n"/>
      <c r="AQ330" s="68" t="n"/>
      <c r="AR330" s="68" t="n"/>
      <c r="AS330" s="68" t="n"/>
      <c r="AT330" s="1110" t="n"/>
      <c r="AU330" s="68" t="n"/>
      <c r="AV330" s="68" t="n"/>
      <c r="AW330" s="68" t="n"/>
      <c r="AX330" s="68" t="n"/>
      <c r="AY330" s="1110" t="n"/>
      <c r="AZ330" s="68" t="n"/>
      <c r="BA330" s="68" t="n"/>
      <c r="BB330" s="68" t="n"/>
      <c r="BC330" s="68" t="n"/>
      <c r="BD330" s="1110" t="n"/>
      <c r="BE330" s="68" t="n"/>
      <c r="BF330" s="68" t="n"/>
      <c r="BG330" s="68" t="n"/>
      <c r="BH330" s="68" t="n"/>
      <c r="BI330" s="1110" t="n"/>
      <c r="BJ330" s="68" t="n"/>
      <c r="BK330" s="68" t="n"/>
      <c r="BL330" s="68" t="n"/>
      <c r="BM330" s="68" t="n"/>
      <c r="BN330" s="1110" t="n"/>
      <c r="BO330" s="68" t="n"/>
      <c r="BP330" s="68" t="n"/>
      <c r="BQ330" s="68" t="n"/>
      <c r="BR330" s="68" t="n"/>
      <c r="BS330" s="1110" t="n"/>
      <c r="BT330" s="1053" t="n">
        <v>3</v>
      </c>
      <c r="BU330" s="68" t="n"/>
      <c r="BV330" s="588" t="n"/>
      <c r="BW330" s="68" t="n"/>
      <c r="BX330" s="1110" t="n"/>
      <c r="BY330" s="68" t="n"/>
      <c r="BZ330" s="68" t="n"/>
      <c r="CA330" s="68" t="n"/>
      <c r="CB330" s="68" t="n"/>
      <c r="CC330" s="1110" t="n"/>
      <c r="CD330" s="1110" t="n"/>
      <c r="CE330" s="1110" t="n"/>
      <c r="CF330" s="1110" t="n"/>
      <c r="CG330" s="155" t="n"/>
    </row>
    <row r="331" hidden="1" outlineLevel="1">
      <c r="A331" s="59" t="inlineStr">
        <is>
          <t>Non-GAAP gross profit</t>
        </is>
      </c>
      <c r="B331" s="607" t="n"/>
      <c r="C331" s="1123">
        <f>SUM(C321:C330)</f>
        <v/>
      </c>
      <c r="D331" s="1123">
        <f>SUM(D321:D330)</f>
        <v/>
      </c>
      <c r="E331" s="1123">
        <f>SUM(E321:E330)</f>
        <v/>
      </c>
      <c r="F331" s="1123">
        <f>SUM(F321:F330)</f>
        <v/>
      </c>
      <c r="G331" s="60">
        <f>SUM(G321:G330)</f>
        <v/>
      </c>
      <c r="H331" s="60">
        <f>SUM(H321:H330)</f>
        <v/>
      </c>
      <c r="I331" s="60">
        <f>SUM(I321:I330)</f>
        <v/>
      </c>
      <c r="J331" s="60">
        <f>SUM(J321:J330)</f>
        <v/>
      </c>
      <c r="K331" s="1123">
        <f>SUM(K321:K330)</f>
        <v/>
      </c>
      <c r="L331" s="60">
        <f>SUM(L321:L330)</f>
        <v/>
      </c>
      <c r="M331" s="60">
        <f>SUM(M321:M330)</f>
        <v/>
      </c>
      <c r="N331" s="60">
        <f>SUM(N321:N330)</f>
        <v/>
      </c>
      <c r="O331" s="60">
        <f>SUM(O321:O330)</f>
        <v/>
      </c>
      <c r="P331" s="1123">
        <f>SUM(P321:P330)</f>
        <v/>
      </c>
      <c r="Q331" s="60">
        <f>SUM(Q321:Q330)</f>
        <v/>
      </c>
      <c r="R331" s="60">
        <f>SUM(R321:R330)</f>
        <v/>
      </c>
      <c r="S331" s="60">
        <f>SUM(S321:S330)</f>
        <v/>
      </c>
      <c r="T331" s="60">
        <f>SUM(T321:T330)</f>
        <v/>
      </c>
      <c r="U331" s="1123">
        <f>SUM(U321:U330)</f>
        <v/>
      </c>
      <c r="V331" s="60">
        <f>SUM(V321:V330)</f>
        <v/>
      </c>
      <c r="W331" s="60">
        <f>SUM(W321:W330)</f>
        <v/>
      </c>
      <c r="X331" s="60">
        <f>SUM(X321:X330)</f>
        <v/>
      </c>
      <c r="Y331" s="60">
        <f>SUM(Y321:Y330)</f>
        <v/>
      </c>
      <c r="Z331" s="1123">
        <f>SUM(Z321:Z330)</f>
        <v/>
      </c>
      <c r="AA331" s="60">
        <f>SUM(AA321:AA330)</f>
        <v/>
      </c>
      <c r="AB331" s="60">
        <f>SUM(AB321:AB330)</f>
        <v/>
      </c>
      <c r="AC331" s="60">
        <f>SUM(AC321:AC330)</f>
        <v/>
      </c>
      <c r="AD331" s="60">
        <f>SUM(AD321:AD330)</f>
        <v/>
      </c>
      <c r="AE331" s="1123">
        <f>SUM(AE321:AE330)</f>
        <v/>
      </c>
      <c r="AF331" s="60">
        <f>SUM(AF321:AF330)</f>
        <v/>
      </c>
      <c r="AG331" s="60">
        <f>SUM(AG321:AG330)</f>
        <v/>
      </c>
      <c r="AH331" s="60">
        <f>SUM(AH321:AH330)</f>
        <v/>
      </c>
      <c r="AI331" s="60">
        <f>SUM(AI321:AI330)</f>
        <v/>
      </c>
      <c r="AJ331" s="1123">
        <f>SUM(AJ321:AJ330)</f>
        <v/>
      </c>
      <c r="AK331" s="60">
        <f>SUM(AK321:AK330)</f>
        <v/>
      </c>
      <c r="AL331" s="60">
        <f>SUM(AL321:AL330)</f>
        <v/>
      </c>
      <c r="AM331" s="60">
        <f>SUM(AM321:AM330)</f>
        <v/>
      </c>
      <c r="AN331" s="60">
        <f>SUM(AN321:AN330)</f>
        <v/>
      </c>
      <c r="AO331" s="1123">
        <f>SUM(AO321:AO330)</f>
        <v/>
      </c>
      <c r="AP331" s="60">
        <f>SUM(AP321:AP330)</f>
        <v/>
      </c>
      <c r="AQ331" s="60">
        <f>SUM(AQ321:AQ330)</f>
        <v/>
      </c>
      <c r="AR331" s="60">
        <f>SUM(AR321:AR330)</f>
        <v/>
      </c>
      <c r="AS331" s="60">
        <f>SUM(AS321:AS330)</f>
        <v/>
      </c>
      <c r="AT331" s="1123">
        <f>SUM(AT321:AT330)</f>
        <v/>
      </c>
      <c r="AU331" s="60">
        <f>SUM(AU321:AU330)</f>
        <v/>
      </c>
      <c r="AV331" s="60">
        <f>SUM(AV321:AV330)</f>
        <v/>
      </c>
      <c r="AW331" s="60">
        <f>SUM(AW321:AW330)</f>
        <v/>
      </c>
      <c r="AX331" s="60">
        <f>SUM(AX321:AX330)</f>
        <v/>
      </c>
      <c r="AY331" s="1123">
        <f>SUM(AY321:AY330)</f>
        <v/>
      </c>
      <c r="AZ331" s="60">
        <f>SUM(AZ321:AZ330)</f>
        <v/>
      </c>
      <c r="BA331" s="60">
        <f>SUM(BA321:BA330)</f>
        <v/>
      </c>
      <c r="BB331" s="60">
        <f>SUM(BB321:BB330)</f>
        <v/>
      </c>
      <c r="BC331" s="60">
        <f>SUM(BC321:BC330)</f>
        <v/>
      </c>
      <c r="BD331" s="1123">
        <f>SUM(BD321:BD330)</f>
        <v/>
      </c>
      <c r="BE331" s="60">
        <f>SUM(BE321:BE330)</f>
        <v/>
      </c>
      <c r="BF331" s="60">
        <f>SUM(BF321:BF330)</f>
        <v/>
      </c>
      <c r="BG331" s="60">
        <f>SUM(BG321:BG330)</f>
        <v/>
      </c>
      <c r="BH331" s="60">
        <f>SUM(BH321:BH330)</f>
        <v/>
      </c>
      <c r="BI331" s="1123">
        <f>SUM(BI321:BI330)</f>
        <v/>
      </c>
      <c r="BJ331" s="60">
        <f>SUM(BJ321:BJ330)</f>
        <v/>
      </c>
      <c r="BK331" s="60">
        <f>SUM(BK321:BK330)</f>
        <v/>
      </c>
      <c r="BL331" s="60">
        <f>SUM(BL321:BL330)</f>
        <v/>
      </c>
      <c r="BM331" s="60">
        <f>SUM(BM321:BM330)</f>
        <v/>
      </c>
      <c r="BN331" s="1123">
        <f>SUM(BN321:BN330)</f>
        <v/>
      </c>
      <c r="BO331" s="60">
        <f>SUM(BO321:BO330)</f>
        <v/>
      </c>
      <c r="BP331" s="60">
        <f>SUM(BP321:BP330)</f>
        <v/>
      </c>
      <c r="BQ331" s="60">
        <f>SUM(BQ321:BQ330)</f>
        <v/>
      </c>
      <c r="BR331" s="60">
        <f>SUM(BR321:BR330)</f>
        <v/>
      </c>
      <c r="BS331" s="1123">
        <f>SUM(BS321:BS330)</f>
        <v/>
      </c>
      <c r="BT331" s="60">
        <f>SUM(BT321:BT330)</f>
        <v/>
      </c>
      <c r="BU331" s="60">
        <f>SUM(BU321:BU330)</f>
        <v/>
      </c>
      <c r="BV331" s="883">
        <f>SUM(BV321:BV330)</f>
        <v/>
      </c>
      <c r="BW331" s="61" t="n"/>
      <c r="BX331" s="1122" t="n"/>
      <c r="BY331" s="61" t="n"/>
      <c r="BZ331" s="61" t="n"/>
      <c r="CA331" s="61" t="n"/>
      <c r="CB331" s="61" t="n"/>
      <c r="CC331" s="1122" t="n"/>
      <c r="CD331" s="1122" t="n"/>
      <c r="CE331" s="1122" t="n"/>
      <c r="CF331" s="1122" t="n"/>
      <c r="CG331" s="155" t="n"/>
    </row>
    <row r="332" hidden="1" outlineLevel="1">
      <c r="A332" s="600" t="n"/>
      <c r="B332" s="279" t="n"/>
      <c r="C332" s="1125" t="n"/>
      <c r="D332" s="1125" t="n"/>
      <c r="E332" s="1125" t="n"/>
      <c r="F332" s="1125" t="n"/>
      <c r="G332" s="63" t="n"/>
      <c r="H332" s="63" t="n"/>
      <c r="I332" s="63" t="n"/>
      <c r="J332" s="63" t="n"/>
      <c r="K332" s="1125" t="n"/>
      <c r="L332" s="63" t="n"/>
      <c r="M332" s="63" t="n"/>
      <c r="N332" s="63" t="n"/>
      <c r="O332" s="63" t="n"/>
      <c r="P332" s="1125" t="n"/>
      <c r="Q332" s="63" t="n"/>
      <c r="R332" s="63" t="n"/>
      <c r="S332" s="63" t="n"/>
      <c r="T332" s="63" t="n"/>
      <c r="U332" s="1125" t="n"/>
      <c r="V332" s="63" t="n"/>
      <c r="W332" s="63" t="n"/>
      <c r="X332" s="63" t="n"/>
      <c r="Y332" s="63" t="n"/>
      <c r="Z332" s="1125" t="n"/>
      <c r="AA332" s="63" t="n"/>
      <c r="AB332" s="63" t="n"/>
      <c r="AC332" s="63" t="n"/>
      <c r="AD332" s="63" t="n"/>
      <c r="AE332" s="1125" t="n"/>
      <c r="AF332" s="63" t="n"/>
      <c r="AG332" s="63" t="n"/>
      <c r="AH332" s="63" t="n"/>
      <c r="AI332" s="63" t="n"/>
      <c r="AJ332" s="1125" t="n"/>
      <c r="AK332" s="63" t="n"/>
      <c r="AL332" s="63" t="n"/>
      <c r="AM332" s="63" t="n"/>
      <c r="AN332" s="63" t="n"/>
      <c r="AO332" s="1125" t="n"/>
      <c r="AP332" s="63" t="n"/>
      <c r="AQ332" s="63" t="n"/>
      <c r="AR332" s="63" t="n"/>
      <c r="AS332" s="63" t="n"/>
      <c r="AT332" s="1125" t="n"/>
      <c r="AU332" s="63" t="n"/>
      <c r="AV332" s="63" t="n"/>
      <c r="AW332" s="63" t="n"/>
      <c r="AX332" s="63" t="n"/>
      <c r="AY332" s="1125" t="n"/>
      <c r="AZ332" s="63" t="n"/>
      <c r="BA332" s="63" t="n"/>
      <c r="BB332" s="63" t="n"/>
      <c r="BC332" s="63" t="n"/>
      <c r="BD332" s="1125" t="n"/>
      <c r="BE332" s="63" t="n"/>
      <c r="BF332" s="63" t="n"/>
      <c r="BG332" s="63" t="n"/>
      <c r="BH332" s="63" t="n"/>
      <c r="BI332" s="1125" t="n"/>
      <c r="BJ332" s="63" t="n"/>
      <c r="BK332" s="63" t="n"/>
      <c r="BL332" s="63" t="n"/>
      <c r="BM332" s="63" t="n"/>
      <c r="BN332" s="1125" t="n"/>
      <c r="BO332" s="63" t="n"/>
      <c r="BP332" s="63" t="n"/>
      <c r="BQ332" s="63" t="n"/>
      <c r="BR332" s="63" t="n"/>
      <c r="BS332" s="1125" t="n"/>
      <c r="BT332" s="63" t="n"/>
      <c r="BU332" s="63" t="n"/>
      <c r="BV332" s="587" t="n"/>
      <c r="BW332" s="63" t="n"/>
      <c r="BX332" s="1125" t="n"/>
      <c r="BY332" s="63" t="n"/>
      <c r="BZ332" s="63" t="n"/>
      <c r="CA332" s="63" t="n"/>
      <c r="CB332" s="63" t="n"/>
      <c r="CC332" s="1125" t="n"/>
      <c r="CD332" s="1125" t="n"/>
      <c r="CE332" s="1125" t="n"/>
      <c r="CF332" s="1125" t="n"/>
      <c r="CG332" s="155" t="n"/>
    </row>
    <row r="333" hidden="1" outlineLevel="1">
      <c r="A333" s="62" t="inlineStr">
        <is>
          <t>GAAP operating expenses</t>
        </is>
      </c>
      <c r="B333" s="279" t="n"/>
      <c r="C333" s="1125">
        <f>C300</f>
        <v/>
      </c>
      <c r="D333" s="1132">
        <f>D300</f>
        <v/>
      </c>
      <c r="E333" s="1132">
        <f>E300</f>
        <v/>
      </c>
      <c r="F333" s="1132">
        <f>F300</f>
        <v/>
      </c>
      <c r="G333" s="28">
        <f>G300</f>
        <v/>
      </c>
      <c r="H333" s="28">
        <f>H300</f>
        <v/>
      </c>
      <c r="I333" s="28">
        <f>I300</f>
        <v/>
      </c>
      <c r="J333" s="28">
        <f>J300</f>
        <v/>
      </c>
      <c r="K333" s="1132">
        <f>K300</f>
        <v/>
      </c>
      <c r="L333" s="28">
        <f>L300</f>
        <v/>
      </c>
      <c r="M333" s="28">
        <f>M300</f>
        <v/>
      </c>
      <c r="N333" s="28">
        <f>N300</f>
        <v/>
      </c>
      <c r="O333" s="28">
        <f>O300</f>
        <v/>
      </c>
      <c r="P333" s="1132">
        <f>P300</f>
        <v/>
      </c>
      <c r="Q333" s="28">
        <f>Q300</f>
        <v/>
      </c>
      <c r="R333" s="28">
        <f>R300</f>
        <v/>
      </c>
      <c r="S333" s="28">
        <f>S300</f>
        <v/>
      </c>
      <c r="T333" s="28">
        <f>T300</f>
        <v/>
      </c>
      <c r="U333" s="1132">
        <f>U300</f>
        <v/>
      </c>
      <c r="V333" s="28">
        <f>V300</f>
        <v/>
      </c>
      <c r="W333" s="28">
        <f>W300</f>
        <v/>
      </c>
      <c r="X333" s="28">
        <f>X300</f>
        <v/>
      </c>
      <c r="Y333" s="28">
        <f>Y300</f>
        <v/>
      </c>
      <c r="Z333" s="1132">
        <f>Z300</f>
        <v/>
      </c>
      <c r="AA333" s="28">
        <f>AA300</f>
        <v/>
      </c>
      <c r="AB333" s="28">
        <f>AB300</f>
        <v/>
      </c>
      <c r="AC333" s="28">
        <f>AC300</f>
        <v/>
      </c>
      <c r="AD333" s="28">
        <f>AD300</f>
        <v/>
      </c>
      <c r="AE333" s="1132">
        <f>AE300</f>
        <v/>
      </c>
      <c r="AF333" s="28">
        <f>AF300</f>
        <v/>
      </c>
      <c r="AG333" s="28">
        <f>AG300</f>
        <v/>
      </c>
      <c r="AH333" s="28">
        <f>AH300</f>
        <v/>
      </c>
      <c r="AI333" s="28">
        <f>AI300</f>
        <v/>
      </c>
      <c r="AJ333" s="1132">
        <f>AJ300</f>
        <v/>
      </c>
      <c r="AK333" s="28">
        <f>AK300</f>
        <v/>
      </c>
      <c r="AL333" s="28">
        <f>AL300</f>
        <v/>
      </c>
      <c r="AM333" s="28">
        <f>AM300</f>
        <v/>
      </c>
      <c r="AN333" s="28">
        <f>AN300</f>
        <v/>
      </c>
      <c r="AO333" s="1132">
        <f>AO300</f>
        <v/>
      </c>
      <c r="AP333" s="28">
        <f>AP300</f>
        <v/>
      </c>
      <c r="AQ333" s="28">
        <f>AQ300</f>
        <v/>
      </c>
      <c r="AR333" s="28">
        <f>AR300</f>
        <v/>
      </c>
      <c r="AS333" s="28">
        <f>AS300</f>
        <v/>
      </c>
      <c r="AT333" s="1132">
        <f>AT300</f>
        <v/>
      </c>
      <c r="AU333" s="28">
        <f>AU300</f>
        <v/>
      </c>
      <c r="AV333" s="28">
        <f>AV300</f>
        <v/>
      </c>
      <c r="AW333" s="28">
        <f>AW300</f>
        <v/>
      </c>
      <c r="AX333" s="28">
        <f>AX300</f>
        <v/>
      </c>
      <c r="AY333" s="1132">
        <f>AY300</f>
        <v/>
      </c>
      <c r="AZ333" s="28">
        <f>AZ300</f>
        <v/>
      </c>
      <c r="BA333" s="28">
        <f>BA300</f>
        <v/>
      </c>
      <c r="BB333" s="28">
        <f>BB300</f>
        <v/>
      </c>
      <c r="BC333" s="28">
        <f>BC300</f>
        <v/>
      </c>
      <c r="BD333" s="1132">
        <f>BD300</f>
        <v/>
      </c>
      <c r="BE333" s="28">
        <f>BE300</f>
        <v/>
      </c>
      <c r="BF333" s="28">
        <f>BF300</f>
        <v/>
      </c>
      <c r="BG333" s="28">
        <f>BG300</f>
        <v/>
      </c>
      <c r="BH333" s="28">
        <f>BH300</f>
        <v/>
      </c>
      <c r="BI333" s="1132">
        <f>BI300</f>
        <v/>
      </c>
      <c r="BJ333" s="28">
        <f>BJ300</f>
        <v/>
      </c>
      <c r="BK333" s="28">
        <f>BK300</f>
        <v/>
      </c>
      <c r="BL333" s="28">
        <f>BL300</f>
        <v/>
      </c>
      <c r="BM333" s="28">
        <f>BM300</f>
        <v/>
      </c>
      <c r="BN333" s="1132">
        <f>BN300</f>
        <v/>
      </c>
      <c r="BO333" s="28">
        <f>BO300</f>
        <v/>
      </c>
      <c r="BP333" s="28">
        <f>BP300</f>
        <v/>
      </c>
      <c r="BQ333" s="28">
        <f>BQ300</f>
        <v/>
      </c>
      <c r="BR333" s="28">
        <f>BR300</f>
        <v/>
      </c>
      <c r="BS333" s="1132">
        <f>BS300</f>
        <v/>
      </c>
      <c r="BT333" s="28">
        <f>BT300</f>
        <v/>
      </c>
      <c r="BU333" s="28">
        <f>BU300</f>
        <v/>
      </c>
      <c r="BV333" s="505">
        <f>BV300</f>
        <v/>
      </c>
      <c r="BW333" s="63" t="n"/>
      <c r="BX333" s="1125" t="n"/>
      <c r="BY333" s="63" t="n"/>
      <c r="BZ333" s="63" t="n"/>
      <c r="CA333" s="63" t="n"/>
      <c r="CB333" s="63" t="n"/>
      <c r="CC333" s="1125" t="n"/>
      <c r="CD333" s="1125" t="n"/>
      <c r="CE333" s="1125" t="n"/>
      <c r="CF333" s="1125" t="n"/>
      <c r="CG333" s="155" t="n"/>
    </row>
    <row r="334" hidden="1" outlineLevel="1">
      <c r="A334" s="67" t="inlineStr">
        <is>
          <t>Stock-based compensation expense</t>
        </is>
      </c>
      <c r="B334" s="146" t="n"/>
      <c r="C334" s="1110" t="n"/>
      <c r="D334" s="1110" t="n"/>
      <c r="E334" s="1111" t="n">
        <v>-92.045</v>
      </c>
      <c r="F334" s="1111" t="n">
        <v>-125.032</v>
      </c>
      <c r="G334" s="1053" t="n">
        <v>-33.043</v>
      </c>
      <c r="H334" s="1053" t="n">
        <v>-29.606</v>
      </c>
      <c r="I334" s="1053" t="n">
        <v>-30.58</v>
      </c>
      <c r="J334" s="1053" t="n">
        <v>-32.943</v>
      </c>
      <c r="K334" s="1111" t="n">
        <v>-126.172</v>
      </c>
      <c r="L334" s="1053" t="n">
        <v>-30.744</v>
      </c>
      <c r="M334" s="1053" t="n">
        <v>-30.227</v>
      </c>
      <c r="N334" s="1053" t="n">
        <v>-31.209</v>
      </c>
      <c r="O334" s="1053" t="n">
        <v>-33.427</v>
      </c>
      <c r="P334" s="1111" t="n">
        <v>-125.607</v>
      </c>
      <c r="Q334" s="1053" t="n">
        <v>-33</v>
      </c>
      <c r="R334" s="1053" t="n">
        <v>-35</v>
      </c>
      <c r="S334" s="1053" t="n">
        <v>-38</v>
      </c>
      <c r="T334" s="1053" t="n">
        <v>-39</v>
      </c>
      <c r="U334" s="1111" t="n">
        <v>-146</v>
      </c>
      <c r="V334" s="1053" t="n">
        <v>-43</v>
      </c>
      <c r="W334" s="1053" t="n">
        <v>-44</v>
      </c>
      <c r="X334" s="1053" t="n">
        <v>-47</v>
      </c>
      <c r="Y334" s="1053" t="n">
        <v>-56</v>
      </c>
      <c r="Z334" s="1111" t="n">
        <v>-190</v>
      </c>
      <c r="AA334" s="1053" t="n">
        <v>-49</v>
      </c>
      <c r="AB334" s="1053" t="n">
        <v>-54</v>
      </c>
      <c r="AC334" s="1053" t="n">
        <v>-62</v>
      </c>
      <c r="AD334" s="1053" t="n">
        <v>-68</v>
      </c>
      <c r="AE334" s="1111" t="n">
        <v>-233</v>
      </c>
      <c r="AF334" s="1053" t="n">
        <v>-73</v>
      </c>
      <c r="AG334" s="1053" t="n">
        <v>-77</v>
      </c>
      <c r="AH334" s="1053" t="n">
        <v>-101</v>
      </c>
      <c r="AI334" s="1053" t="n">
        <v>-119</v>
      </c>
      <c r="AJ334" s="1111" t="n">
        <v>-370</v>
      </c>
      <c r="AK334" s="1053" t="n">
        <v>-121</v>
      </c>
      <c r="AL334" s="1053" t="n">
        <v>-124</v>
      </c>
      <c r="AM334" s="1053" t="n">
        <v>-135</v>
      </c>
      <c r="AN334" s="1053" t="n">
        <v>-150</v>
      </c>
      <c r="AO334" s="1111" t="n">
        <v>-530</v>
      </c>
      <c r="AP334" s="1053" t="n">
        <v>-174</v>
      </c>
      <c r="AQ334" s="1053" t="n">
        <v>-216</v>
      </c>
      <c r="AR334" s="1053" t="n">
        <v>-208</v>
      </c>
      <c r="AS334" s="1053" t="n">
        <v>-208</v>
      </c>
      <c r="AT334" s="1111" t="n">
        <v>-805</v>
      </c>
      <c r="AU334" s="1053" t="n">
        <v>-203</v>
      </c>
      <c r="AV334" s="1053" t="n">
        <v>-360</v>
      </c>
      <c r="AW334" s="1053" t="n">
        <v>-355</v>
      </c>
      <c r="AX334" s="1053" t="n">
        <v>-391</v>
      </c>
      <c r="AY334" s="1111" t="n">
        <v>-1309</v>
      </c>
      <c r="AZ334" s="1053" t="n">
        <v>-404</v>
      </c>
      <c r="BA334" s="1053" t="n">
        <v>-433</v>
      </c>
      <c r="BB334" s="1053" t="n">
        <v>-515</v>
      </c>
      <c r="BC334" s="1053" t="n">
        <v>-512</v>
      </c>
      <c r="BD334" s="1111" t="n">
        <v>-1863</v>
      </c>
      <c r="BE334" s="1053" t="n">
        <v>-540</v>
      </c>
      <c r="BF334" s="1053" t="n">
        <v>-611</v>
      </c>
      <c r="BG334" s="1053" t="n">
        <v>-713</v>
      </c>
      <c r="BH334" s="1053" t="n">
        <v>-709</v>
      </c>
      <c r="BI334" s="1111" t="n">
        <v>-2572</v>
      </c>
      <c r="BJ334" s="1053" t="n">
        <v>-708</v>
      </c>
      <c r="BK334" s="1053" t="n">
        <v>-811</v>
      </c>
      <c r="BL334" s="1053" t="n">
        <v>-941</v>
      </c>
      <c r="BM334" s="1053" t="n">
        <v>-948</v>
      </c>
      <c r="BN334" s="1111" t="n">
        <v>-3408</v>
      </c>
      <c r="BO334" s="1053" t="n">
        <v>-975</v>
      </c>
      <c r="BP334" s="1053" t="n">
        <v>-1114</v>
      </c>
      <c r="BQ334" s="1053" t="n">
        <v>-1202</v>
      </c>
      <c r="BR334" s="1053" t="n">
        <v>-1268</v>
      </c>
      <c r="BS334" s="1111" t="n">
        <v>-4559</v>
      </c>
      <c r="BT334" s="1053" t="n">
        <v>-1410</v>
      </c>
      <c r="BU334" s="1053" t="n">
        <v>-1566</v>
      </c>
      <c r="BV334" s="1054" t="n">
        <v>-1585</v>
      </c>
      <c r="BW334" s="68" t="n"/>
      <c r="BX334" s="1110" t="n"/>
      <c r="BY334" s="68" t="n"/>
      <c r="BZ334" s="68" t="n"/>
      <c r="CA334" s="68" t="n"/>
      <c r="CB334" s="68" t="n"/>
      <c r="CC334" s="1110" t="n"/>
      <c r="CD334" s="1110" t="n"/>
      <c r="CE334" s="1110" t="n"/>
      <c r="CF334" s="1110" t="n"/>
      <c r="CG334" s="155" t="n"/>
    </row>
    <row r="335" hidden="1" outlineLevel="1">
      <c r="A335" s="67" t="inlineStr">
        <is>
          <t>Acquisition-related costs</t>
        </is>
      </c>
      <c r="B335" s="146" t="n"/>
      <c r="C335" s="1110" t="n"/>
      <c r="D335" s="1110" t="n"/>
      <c r="E335" s="1110" t="n"/>
      <c r="F335" s="1111" t="n">
        <v>-20.282</v>
      </c>
      <c r="G335" s="1053" t="n">
        <v>-5.171</v>
      </c>
      <c r="H335" s="1053" t="n">
        <v>-4.794</v>
      </c>
      <c r="I335" s="1053" t="n">
        <v>-4.666</v>
      </c>
      <c r="J335" s="1053" t="n">
        <v>-8.698</v>
      </c>
      <c r="K335" s="1111" t="n">
        <v>-36.138</v>
      </c>
      <c r="L335" s="1053" t="n">
        <v>-8.861000000000001</v>
      </c>
      <c r="M335" s="1053" t="n">
        <v>-8.964</v>
      </c>
      <c r="N335" s="1053" t="n">
        <v>-4.577</v>
      </c>
      <c r="O335" s="1053" t="n">
        <v>-9.25</v>
      </c>
      <c r="P335" s="1111" t="n">
        <v>-31.652</v>
      </c>
      <c r="Q335" s="1053" t="n">
        <v>-9</v>
      </c>
      <c r="R335" s="1053" t="n">
        <v>-9</v>
      </c>
      <c r="S335" s="1053" t="n">
        <v>-10</v>
      </c>
      <c r="T335" s="1053" t="n">
        <v>-9</v>
      </c>
      <c r="U335" s="1111" t="n">
        <v>-37</v>
      </c>
      <c r="V335" s="1053" t="n">
        <v>-9</v>
      </c>
      <c r="W335" s="1053" t="n">
        <v>-4</v>
      </c>
      <c r="X335" s="1053" t="n">
        <v>-4</v>
      </c>
      <c r="Y335" s="1053" t="n">
        <v>-4</v>
      </c>
      <c r="Z335" s="1111" t="n">
        <v>-22</v>
      </c>
      <c r="AA335" s="1053" t="n">
        <v>-4</v>
      </c>
      <c r="AB335" s="1053" t="n">
        <v>-4</v>
      </c>
      <c r="AC335" s="1053" t="n">
        <v>-4</v>
      </c>
      <c r="AD335" s="1053" t="n">
        <v>-4</v>
      </c>
      <c r="AE335" s="1111" t="n">
        <v>-16</v>
      </c>
      <c r="AF335" s="1053" t="n">
        <v>-4</v>
      </c>
      <c r="AG335" s="1053" t="n">
        <v>-4</v>
      </c>
      <c r="AH335" s="1053" t="n">
        <v>-3</v>
      </c>
      <c r="AI335" s="1053" t="n">
        <v>-2</v>
      </c>
      <c r="AJ335" s="1111" t="n">
        <v>-13</v>
      </c>
      <c r="AK335" s="1053" t="n">
        <v>-2</v>
      </c>
      <c r="AL335" s="1053" t="n">
        <v>-2</v>
      </c>
      <c r="AM335" s="1053" t="n">
        <v>-1</v>
      </c>
      <c r="AN335" s="1053" t="n">
        <v>-1</v>
      </c>
      <c r="AO335" s="1111" t="n">
        <v>-2</v>
      </c>
      <c r="AP335" s="1053" t="n">
        <v>-10</v>
      </c>
      <c r="AQ335" s="1053" t="n">
        <v>-5</v>
      </c>
      <c r="AR335" s="1053" t="n">
        <v>-7</v>
      </c>
      <c r="AS335" s="1053" t="n">
        <v>-7</v>
      </c>
      <c r="AT335" s="1111" t="n">
        <v>-30</v>
      </c>
      <c r="AU335" s="1053" t="n">
        <v>-4</v>
      </c>
      <c r="AV335" s="1053" t="n">
        <v>-229</v>
      </c>
      <c r="AW335" s="1053" t="n">
        <v>-106</v>
      </c>
      <c r="AX335" s="1053" t="n">
        <v>-72</v>
      </c>
      <c r="AY335" s="1111" t="n">
        <v>-411</v>
      </c>
      <c r="AZ335" s="1053" t="n">
        <v>-80</v>
      </c>
      <c r="BA335" s="1053" t="n">
        <v>-72</v>
      </c>
      <c r="BB335" s="1053" t="n">
        <v>-70</v>
      </c>
      <c r="BC335" s="1053" t="n">
        <v>-70</v>
      </c>
      <c r="BD335" s="1111" t="n">
        <v>-292</v>
      </c>
      <c r="BE335" s="1053" t="n">
        <v>-55</v>
      </c>
      <c r="BF335" s="1053" t="n">
        <v>-54</v>
      </c>
      <c r="BG335" s="1053" t="n">
        <v>-54</v>
      </c>
      <c r="BH335" s="1053" t="n">
        <v>-54</v>
      </c>
      <c r="BI335" s="1111" t="n">
        <v>-219</v>
      </c>
      <c r="BJ335" s="1053" t="n">
        <v>-54</v>
      </c>
      <c r="BK335" s="1053" t="n">
        <v>-18</v>
      </c>
      <c r="BL335" s="1053" t="n">
        <v>-16</v>
      </c>
      <c r="BM335" s="1053" t="n">
        <v>-18</v>
      </c>
      <c r="BN335" s="1111" t="n">
        <v>-106</v>
      </c>
      <c r="BO335" s="1053" t="n">
        <v>-21</v>
      </c>
      <c r="BP335" s="1053" t="n">
        <v>-26</v>
      </c>
      <c r="BQ335" s="1053" t="n">
        <v>-39</v>
      </c>
      <c r="BR335" s="1053" t="n">
        <v>-43</v>
      </c>
      <c r="BS335" s="1111" t="n">
        <v>-130</v>
      </c>
      <c r="BT335" s="1053" t="n">
        <v>-37</v>
      </c>
      <c r="BU335" s="1053" t="n">
        <v>-37</v>
      </c>
      <c r="BV335" s="1054" t="n">
        <v>-39</v>
      </c>
      <c r="BW335" s="68" t="n"/>
      <c r="BX335" s="1110" t="n"/>
      <c r="BY335" s="68" t="n"/>
      <c r="BZ335" s="68" t="n"/>
      <c r="CA335" s="68" t="n"/>
      <c r="CB335" s="68" t="n"/>
      <c r="CC335" s="1110" t="n"/>
      <c r="CD335" s="1110" t="n"/>
      <c r="CE335" s="1110" t="n"/>
      <c r="CF335" s="1110" t="n"/>
      <c r="CG335" s="155" t="n"/>
    </row>
    <row r="336" hidden="1" outlineLevel="1">
      <c r="A336" s="67" t="inlineStr">
        <is>
          <t>Restructuring and other charges</t>
        </is>
      </c>
      <c r="B336" s="146" t="n"/>
      <c r="C336" s="1110">
        <f>-C297</f>
        <v/>
      </c>
      <c r="D336" s="1110" t="n"/>
      <c r="E336" s="1110" t="n"/>
      <c r="F336" s="1110" t="n"/>
      <c r="G336" s="68" t="n"/>
      <c r="H336" s="68" t="n"/>
      <c r="I336" s="68" t="n"/>
      <c r="J336" s="68" t="n"/>
      <c r="K336" s="1110" t="n"/>
      <c r="L336" s="68" t="n"/>
      <c r="M336" s="68" t="n"/>
      <c r="N336" s="1053" t="n">
        <v>-2.235</v>
      </c>
      <c r="O336" s="1053" t="n">
        <v>-1.845</v>
      </c>
      <c r="P336" s="1111" t="n">
        <v>-4.08</v>
      </c>
      <c r="Q336" s="68" t="n"/>
      <c r="R336" s="68" t="n"/>
      <c r="S336" s="68" t="n"/>
      <c r="T336" s="68" t="n"/>
      <c r="U336" s="1110" t="n"/>
      <c r="V336" s="68" t="n"/>
      <c r="W336" s="1053" t="n">
        <v>-89</v>
      </c>
      <c r="X336" s="1053" t="n">
        <v>-8</v>
      </c>
      <c r="Y336" s="1053" t="n">
        <v>-34</v>
      </c>
      <c r="Z336" s="1111" t="n">
        <v>-131</v>
      </c>
      <c r="AA336" s="1053" t="n">
        <v>-1</v>
      </c>
      <c r="AB336" s="1053" t="n">
        <v>-2</v>
      </c>
      <c r="AC336" s="68" t="n"/>
      <c r="AD336" s="68" t="n"/>
      <c r="AE336" s="1111" t="n">
        <v>-3</v>
      </c>
      <c r="AF336" s="68" t="n"/>
      <c r="AG336" s="68" t="n"/>
      <c r="AH336" s="68" t="n"/>
      <c r="AI336" s="68" t="n"/>
      <c r="AJ336" s="1110" t="n"/>
      <c r="AK336" s="68" t="n"/>
      <c r="AL336" s="68" t="n"/>
      <c r="AM336" s="1053" t="n">
        <v>4</v>
      </c>
      <c r="AN336" s="68" t="n"/>
      <c r="AO336" s="1110" t="n"/>
      <c r="AP336" s="68" t="n"/>
      <c r="AQ336" s="68" t="n"/>
      <c r="AR336" s="68" t="n"/>
      <c r="AS336" s="68" t="n"/>
      <c r="AT336" s="1110" t="n"/>
      <c r="AU336" s="68" t="n"/>
      <c r="AV336" s="68" t="n"/>
      <c r="AW336" s="68" t="n"/>
      <c r="AX336" s="68" t="n"/>
      <c r="AY336" s="1110" t="n"/>
      <c r="AZ336" s="68" t="n"/>
      <c r="BA336" s="68" t="n"/>
      <c r="BB336" s="68" t="n"/>
      <c r="BC336" s="68" t="n"/>
      <c r="BD336" s="1110" t="n"/>
      <c r="BE336" s="68" t="n"/>
      <c r="BF336" s="68" t="n"/>
      <c r="BG336" s="1053" t="n">
        <v>-16</v>
      </c>
      <c r="BH336" s="1053" t="n">
        <v>-38</v>
      </c>
      <c r="BI336" s="1111" t="n">
        <v>-54</v>
      </c>
      <c r="BJ336" s="1053" t="n">
        <v>4</v>
      </c>
      <c r="BK336" s="1053" t="n">
        <v>5</v>
      </c>
      <c r="BL336" s="68" t="n"/>
      <c r="BM336" s="68" t="n"/>
      <c r="BN336" s="1111" t="n">
        <v>10</v>
      </c>
      <c r="BO336" s="68" t="n"/>
      <c r="BP336" s="68" t="n"/>
      <c r="BQ336" s="68" t="n"/>
      <c r="BR336" s="68" t="n"/>
      <c r="BS336" s="1110" t="n"/>
      <c r="BT336" s="68" t="n"/>
      <c r="BU336" s="68" t="n"/>
      <c r="BV336" s="588" t="n"/>
      <c r="BW336" s="68" t="n"/>
      <c r="BX336" s="1110" t="n"/>
      <c r="BY336" s="68" t="n"/>
      <c r="BZ336" s="68" t="n"/>
      <c r="CA336" s="68" t="n"/>
      <c r="CB336" s="68" t="n"/>
      <c r="CC336" s="1110" t="n"/>
      <c r="CD336" s="1110" t="n"/>
      <c r="CE336" s="1110" t="n"/>
      <c r="CF336" s="1110" t="n"/>
      <c r="CG336" s="155" t="n"/>
    </row>
    <row r="337" hidden="1" outlineLevel="1">
      <c r="A337" s="67" t="inlineStr">
        <is>
          <t>Acquisition termination cost</t>
        </is>
      </c>
      <c r="B337" s="146" t="n"/>
      <c r="C337" s="1110" t="n"/>
      <c r="D337" s="1110" t="n"/>
      <c r="E337" s="1110" t="n"/>
      <c r="F337" s="1110" t="n"/>
      <c r="G337" s="68" t="n"/>
      <c r="H337" s="68" t="n"/>
      <c r="I337" s="68" t="n"/>
      <c r="J337" s="68" t="n"/>
      <c r="K337" s="1110" t="n"/>
      <c r="L337" s="68" t="n"/>
      <c r="M337" s="68" t="n"/>
      <c r="N337" s="68" t="n"/>
      <c r="O337" s="68" t="n"/>
      <c r="P337" s="1110" t="n"/>
      <c r="Q337" s="68" t="n"/>
      <c r="R337" s="68" t="n"/>
      <c r="S337" s="68" t="n"/>
      <c r="T337" s="68" t="n"/>
      <c r="U337" s="1110" t="n"/>
      <c r="V337" s="68" t="n"/>
      <c r="W337" s="68" t="n"/>
      <c r="X337" s="68" t="n"/>
      <c r="Y337" s="68" t="n"/>
      <c r="Z337" s="1110" t="n"/>
      <c r="AA337" s="68" t="n"/>
      <c r="AB337" s="68" t="n"/>
      <c r="AC337" s="68" t="n"/>
      <c r="AD337" s="68" t="n"/>
      <c r="AE337" s="1110" t="n"/>
      <c r="AF337" s="68" t="n"/>
      <c r="AG337" s="68" t="n"/>
      <c r="AH337" s="68" t="n"/>
      <c r="AI337" s="68" t="n"/>
      <c r="AJ337" s="1110" t="n"/>
      <c r="AK337" s="68" t="n"/>
      <c r="AL337" s="68" t="n"/>
      <c r="AM337" s="68" t="n"/>
      <c r="AN337" s="68" t="n"/>
      <c r="AO337" s="1110" t="n"/>
      <c r="AP337" s="68" t="n"/>
      <c r="AQ337" s="68" t="n"/>
      <c r="AR337" s="68" t="n"/>
      <c r="AS337" s="68" t="n"/>
      <c r="AT337" s="1110" t="n"/>
      <c r="AU337" s="68" t="n"/>
      <c r="AV337" s="68" t="n"/>
      <c r="AW337" s="68" t="n"/>
      <c r="AX337" s="68" t="n"/>
      <c r="AY337" s="1110" t="n"/>
      <c r="AZ337" s="68" t="n"/>
      <c r="BA337" s="68" t="n"/>
      <c r="BB337" s="68" t="n"/>
      <c r="BC337" s="68" t="n"/>
      <c r="BD337" s="1110" t="n"/>
      <c r="BE337" s="1053" t="n">
        <v>-1353</v>
      </c>
      <c r="BF337" s="68" t="n"/>
      <c r="BG337" s="68" t="n"/>
      <c r="BH337" s="68" t="n"/>
      <c r="BI337" s="1111" t="n">
        <v>-1353</v>
      </c>
      <c r="BJ337" s="1053" t="n">
        <v>0</v>
      </c>
      <c r="BK337" s="68" t="n"/>
      <c r="BL337" s="68" t="n"/>
      <c r="BM337" s="68" t="n"/>
      <c r="BN337" s="1110" t="n"/>
      <c r="BO337" s="68" t="n"/>
      <c r="BP337" s="68" t="n"/>
      <c r="BQ337" s="68" t="n"/>
      <c r="BR337" s="68" t="n"/>
      <c r="BS337" s="1110" t="n"/>
      <c r="BT337" s="68" t="n"/>
      <c r="BU337" s="68" t="n"/>
      <c r="BV337" s="588" t="n"/>
      <c r="BW337" s="68" t="n"/>
      <c r="BX337" s="1110" t="n"/>
      <c r="BY337" s="68" t="n"/>
      <c r="BZ337" s="68" t="n"/>
      <c r="CA337" s="68" t="n"/>
      <c r="CB337" s="68" t="n"/>
      <c r="CC337" s="1110" t="n"/>
      <c r="CD337" s="1110" t="n"/>
      <c r="CE337" s="1110" t="n"/>
      <c r="CF337" s="1110" t="n"/>
      <c r="CG337" s="155" t="n"/>
    </row>
    <row r="338" hidden="1" outlineLevel="1">
      <c r="A338" s="67" t="inlineStr">
        <is>
          <t>Legal settlement costs</t>
        </is>
      </c>
      <c r="B338" s="146" t="n"/>
      <c r="C338" s="1110" t="n"/>
      <c r="D338" s="1110" t="n"/>
      <c r="E338" s="1111" t="n">
        <v>57</v>
      </c>
      <c r="F338" s="1110" t="n"/>
      <c r="G338" s="68" t="n"/>
      <c r="H338" s="68" t="n"/>
      <c r="I338" s="68" t="n"/>
      <c r="J338" s="68" t="n"/>
      <c r="K338" s="1110" t="n"/>
      <c r="L338" s="68" t="n"/>
      <c r="M338" s="68" t="n"/>
      <c r="N338" s="68" t="n"/>
      <c r="O338" s="68" t="n"/>
      <c r="P338" s="1110" t="n"/>
      <c r="Q338" s="68" t="n"/>
      <c r="R338" s="68" t="n"/>
      <c r="S338" s="68" t="n"/>
      <c r="T338" s="68" t="n"/>
      <c r="U338" s="1110" t="n"/>
      <c r="V338" s="68" t="n"/>
      <c r="W338" s="68" t="n"/>
      <c r="X338" s="68" t="n"/>
      <c r="Y338" s="68" t="n"/>
      <c r="Z338" s="1110" t="n"/>
      <c r="AA338" s="1053" t="n">
        <v>-6</v>
      </c>
      <c r="AB338" s="68" t="n"/>
      <c r="AC338" s="68" t="n"/>
      <c r="AD338" s="68" t="n"/>
      <c r="AE338" s="1111" t="n">
        <v>-6</v>
      </c>
      <c r="AF338" s="68" t="n"/>
      <c r="AG338" s="68" t="n"/>
      <c r="AH338" s="68" t="n"/>
      <c r="AI338" s="68" t="n"/>
      <c r="AJ338" s="1110" t="n"/>
      <c r="AK338" s="1053" t="n">
        <v>-2</v>
      </c>
      <c r="AL338" s="68" t="n"/>
      <c r="AM338" s="1053" t="n">
        <v>-1</v>
      </c>
      <c r="AN338" s="1053" t="n">
        <v>-7</v>
      </c>
      <c r="AO338" s="1111" t="n">
        <v>-9</v>
      </c>
      <c r="AP338" s="1053" t="n">
        <v>-1</v>
      </c>
      <c r="AQ338" s="68" t="n"/>
      <c r="AR338" s="68" t="n"/>
      <c r="AS338" s="68" t="n"/>
      <c r="AT338" s="1111" t="n">
        <v>-1</v>
      </c>
      <c r="AU338" s="68" t="n"/>
      <c r="AV338" s="68" t="n"/>
      <c r="AW338" s="68" t="n"/>
      <c r="AX338" s="68" t="n"/>
      <c r="AY338" s="1110" t="n"/>
      <c r="AZ338" s="68" t="n"/>
      <c r="BA338" s="68" t="n"/>
      <c r="BB338" s="68" t="n"/>
      <c r="BC338" s="68" t="n"/>
      <c r="BD338" s="1110" t="n"/>
      <c r="BE338" s="1053" t="n">
        <v>-7</v>
      </c>
      <c r="BF338" s="68" t="n"/>
      <c r="BG338" s="68" t="n"/>
      <c r="BH338" s="68" t="n"/>
      <c r="BI338" s="1111" t="n">
        <v>-7</v>
      </c>
      <c r="BJ338" s="1053" t="n">
        <v>0</v>
      </c>
      <c r="BK338" s="68" t="n"/>
      <c r="BL338" s="68" t="n"/>
      <c r="BM338" s="68" t="n"/>
      <c r="BN338" s="1110" t="n"/>
      <c r="BO338" s="68" t="n"/>
      <c r="BP338" s="68" t="n"/>
      <c r="BQ338" s="68" t="n"/>
      <c r="BR338" s="68" t="n"/>
      <c r="BS338" s="1110" t="n"/>
      <c r="BT338" s="68" t="n"/>
      <c r="BU338" s="68" t="n"/>
      <c r="BV338" s="588" t="n"/>
      <c r="BW338" s="68" t="n"/>
      <c r="BX338" s="1110" t="n"/>
      <c r="BY338" s="68" t="n"/>
      <c r="BZ338" s="68" t="n"/>
      <c r="CA338" s="68" t="n"/>
      <c r="CB338" s="68" t="n"/>
      <c r="CC338" s="1110" t="n"/>
      <c r="CD338" s="1110" t="n"/>
      <c r="CE338" s="1110" t="n"/>
      <c r="CF338" s="1110" t="n"/>
      <c r="CG338" s="155" t="n"/>
    </row>
    <row r="339" hidden="1" outlineLevel="1">
      <c r="A339" s="67" t="inlineStr">
        <is>
          <t>Contributions</t>
        </is>
      </c>
      <c r="B339" s="146" t="n"/>
      <c r="C339" s="1110" t="n"/>
      <c r="D339" s="1110" t="n"/>
      <c r="E339" s="1110" t="n"/>
      <c r="F339" s="1110" t="n"/>
      <c r="G339" s="68" t="n"/>
      <c r="H339" s="1053" t="n">
        <v>-20.127</v>
      </c>
      <c r="I339" s="68" t="n"/>
      <c r="J339" s="68" t="n"/>
      <c r="K339" s="1111" t="n">
        <v>-20.127</v>
      </c>
      <c r="L339" s="68" t="n"/>
      <c r="M339" s="68" t="n"/>
      <c r="N339" s="68" t="n"/>
      <c r="O339" s="68" t="n"/>
      <c r="P339" s="1110" t="n"/>
      <c r="Q339" s="68" t="n"/>
      <c r="R339" s="68" t="n"/>
      <c r="S339" s="68" t="n"/>
      <c r="T339" s="68" t="n"/>
      <c r="U339" s="1110" t="n"/>
      <c r="V339" s="68" t="n"/>
      <c r="W339" s="68" t="n"/>
      <c r="X339" s="68" t="n"/>
      <c r="Y339" s="68" t="n"/>
      <c r="Z339" s="1110" t="n"/>
      <c r="AA339" s="1053" t="n">
        <v>-3</v>
      </c>
      <c r="AB339" s="1053" t="n">
        <v>-1</v>
      </c>
      <c r="AC339" s="68" t="n"/>
      <c r="AD339" s="68" t="n"/>
      <c r="AE339" s="1111" t="n">
        <v>-4</v>
      </c>
      <c r="AF339" s="1053" t="n">
        <v>-2</v>
      </c>
      <c r="AG339" s="68" t="n"/>
      <c r="AH339" s="68" t="n"/>
      <c r="AI339" s="68" t="n"/>
      <c r="AJ339" s="1111" t="n">
        <v>-2</v>
      </c>
      <c r="AK339" s="68" t="n"/>
      <c r="AL339" s="68" t="n"/>
      <c r="AM339" s="68" t="n"/>
      <c r="AN339" s="68" t="n"/>
      <c r="AO339" s="1110" t="n"/>
      <c r="AP339" s="68" t="n"/>
      <c r="AQ339" s="68" t="n"/>
      <c r="AR339" s="68" t="n"/>
      <c r="AS339" s="68" t="n"/>
      <c r="AT339" s="1110" t="n"/>
      <c r="AU339" s="68" t="n"/>
      <c r="AV339" s="68" t="n"/>
      <c r="AW339" s="68" t="n"/>
      <c r="AX339" s="68" t="n"/>
      <c r="AY339" s="1110" t="n"/>
      <c r="AZ339" s="68" t="n"/>
      <c r="BA339" s="68" t="n"/>
      <c r="BB339" s="68" t="n"/>
      <c r="BC339" s="68" t="n"/>
      <c r="BD339" s="1110" t="n"/>
      <c r="BE339" s="68" t="n"/>
      <c r="BF339" s="1053" t="n">
        <v>-2</v>
      </c>
      <c r="BG339" s="68" t="n"/>
      <c r="BH339" s="68" t="n"/>
      <c r="BI339" s="1111" t="n">
        <v>-2</v>
      </c>
      <c r="BJ339" s="68" t="n"/>
      <c r="BK339" s="68" t="n"/>
      <c r="BL339" s="68" t="n"/>
      <c r="BM339" s="68" t="n"/>
      <c r="BN339" s="1110" t="n"/>
      <c r="BO339" s="68" t="n"/>
      <c r="BP339" s="68" t="n"/>
      <c r="BQ339" s="68" t="n"/>
      <c r="BR339" s="68" t="n"/>
      <c r="BS339" s="1110" t="n"/>
      <c r="BT339" s="68" t="n"/>
      <c r="BU339" s="68" t="n"/>
      <c r="BV339" s="588" t="n"/>
      <c r="BW339" s="68" t="n"/>
      <c r="BX339" s="1110" t="n"/>
      <c r="BY339" s="68" t="n"/>
      <c r="BZ339" s="68" t="n"/>
      <c r="CA339" s="68" t="n"/>
      <c r="CB339" s="68" t="n"/>
      <c r="CC339" s="1110" t="n"/>
      <c r="CD339" s="1110" t="n"/>
      <c r="CE339" s="1110" t="n"/>
      <c r="CF339" s="1110" t="n"/>
      <c r="CG339" s="155" t="n"/>
    </row>
    <row r="340" hidden="1" outlineLevel="1">
      <c r="A340" s="67" t="inlineStr">
        <is>
          <t>Amortization of acquisition-related intangible assets</t>
        </is>
      </c>
      <c r="B340" s="146" t="n"/>
      <c r="C340" s="1110" t="n"/>
      <c r="D340" s="1110" t="n"/>
      <c r="E340" s="1111" t="n">
        <v>-9.182</v>
      </c>
      <c r="F340" s="1111" t="n">
        <v>-17.19</v>
      </c>
      <c r="G340" s="1053" t="n">
        <v>-4.342</v>
      </c>
      <c r="H340" s="1053" t="n">
        <v>-4.065</v>
      </c>
      <c r="I340" s="1053" t="n">
        <v>-4.402</v>
      </c>
      <c r="J340" s="68" t="n"/>
      <c r="K340" s="1110" t="n"/>
      <c r="L340" s="68" t="n"/>
      <c r="M340" s="68" t="n"/>
      <c r="N340" s="68" t="n"/>
      <c r="O340" s="68" t="n"/>
      <c r="P340" s="1110" t="n"/>
      <c r="Q340" s="68" t="n"/>
      <c r="R340" s="68" t="n"/>
      <c r="S340" s="68" t="n"/>
      <c r="T340" s="68" t="n"/>
      <c r="U340" s="1110" t="n"/>
      <c r="V340" s="68" t="n"/>
      <c r="W340" s="68" t="n"/>
      <c r="X340" s="68" t="n"/>
      <c r="Y340" s="68" t="n"/>
      <c r="Z340" s="1110" t="n"/>
      <c r="AA340" s="68" t="n"/>
      <c r="AB340" s="68" t="n"/>
      <c r="AC340" s="68" t="n"/>
      <c r="AD340" s="68" t="n"/>
      <c r="AE340" s="1110" t="n"/>
      <c r="AF340" s="68" t="n"/>
      <c r="AG340" s="68" t="n"/>
      <c r="AH340" s="68" t="n"/>
      <c r="AI340" s="68" t="n"/>
      <c r="AJ340" s="1110" t="n"/>
      <c r="AK340" s="68" t="n"/>
      <c r="AL340" s="68" t="n"/>
      <c r="AM340" s="68" t="n"/>
      <c r="AN340" s="68" t="n"/>
      <c r="AO340" s="1110" t="n"/>
      <c r="AP340" s="68" t="n"/>
      <c r="AQ340" s="68" t="n"/>
      <c r="AR340" s="68" t="n"/>
      <c r="AS340" s="68" t="n"/>
      <c r="AT340" s="1110" t="n"/>
      <c r="AU340" s="68" t="n"/>
      <c r="AV340" s="68" t="n"/>
      <c r="AW340" s="68" t="n"/>
      <c r="AX340" s="68" t="n"/>
      <c r="AY340" s="1110" t="n"/>
      <c r="AZ340" s="68" t="n"/>
      <c r="BA340" s="68" t="n"/>
      <c r="BB340" s="68" t="n"/>
      <c r="BC340" s="68" t="n"/>
      <c r="BD340" s="1110" t="n"/>
      <c r="BE340" s="68" t="n"/>
      <c r="BF340" s="68" t="n"/>
      <c r="BG340" s="68" t="n"/>
      <c r="BH340" s="68" t="n"/>
      <c r="BI340" s="1110" t="n"/>
      <c r="BJ340" s="68" t="n"/>
      <c r="BK340" s="68" t="n"/>
      <c r="BL340" s="68" t="n"/>
      <c r="BM340" s="68" t="n"/>
      <c r="BN340" s="1110" t="n"/>
      <c r="BO340" s="68" t="n"/>
      <c r="BP340" s="68" t="n"/>
      <c r="BQ340" s="68" t="n"/>
      <c r="BR340" s="68" t="n"/>
      <c r="BS340" s="1110" t="n"/>
      <c r="BT340" s="68" t="n"/>
      <c r="BU340" s="68" t="n"/>
      <c r="BV340" s="588" t="n"/>
      <c r="BW340" s="68" t="n"/>
      <c r="BX340" s="1110" t="n"/>
      <c r="BY340" s="68" t="n"/>
      <c r="BZ340" s="68" t="n"/>
      <c r="CA340" s="68" t="n"/>
      <c r="CB340" s="68" t="n"/>
      <c r="CC340" s="1110" t="n"/>
      <c r="CD340" s="1110" t="n"/>
      <c r="CE340" s="1110" t="n"/>
      <c r="CF340" s="1110" t="n"/>
      <c r="CG340" s="155" t="n"/>
    </row>
    <row r="341" hidden="1" outlineLevel="1">
      <c r="A341" s="67" t="inlineStr">
        <is>
          <t>Credit from a weak die/packaging material set</t>
        </is>
      </c>
      <c r="B341" s="146" t="n"/>
      <c r="C341" s="1110">
        <f>-(C313-SUM(C323:C329)+SUM(C334:C340,C342:C342))</f>
        <v/>
      </c>
      <c r="D341" s="1111" t="n">
        <v>1.929</v>
      </c>
      <c r="E341" s="1111" t="n">
        <v>-12.705</v>
      </c>
      <c r="F341" s="1110" t="n"/>
      <c r="G341" s="68" t="n"/>
      <c r="H341" s="68" t="n"/>
      <c r="I341" s="68" t="n"/>
      <c r="J341" s="68" t="n"/>
      <c r="K341" s="1110" t="n"/>
      <c r="L341" s="68" t="n"/>
      <c r="M341" s="68" t="n"/>
      <c r="N341" s="68" t="n"/>
      <c r="O341" s="68" t="n"/>
      <c r="P341" s="1110" t="n"/>
      <c r="Q341" s="68" t="n"/>
      <c r="R341" s="68" t="n"/>
      <c r="S341" s="68" t="n"/>
      <c r="T341" s="68" t="n"/>
      <c r="U341" s="1110" t="n"/>
      <c r="V341" s="68" t="n"/>
      <c r="W341" s="68" t="n"/>
      <c r="X341" s="68" t="n"/>
      <c r="Y341" s="68" t="n"/>
      <c r="Z341" s="1110" t="n"/>
      <c r="AA341" s="68" t="n"/>
      <c r="AB341" s="68" t="n"/>
      <c r="AC341" s="68" t="n"/>
      <c r="AD341" s="68" t="n"/>
      <c r="AE341" s="1110" t="n"/>
      <c r="AF341" s="68" t="n"/>
      <c r="AG341" s="68" t="n"/>
      <c r="AH341" s="68" t="n"/>
      <c r="AI341" s="68" t="n"/>
      <c r="AJ341" s="1110" t="n"/>
      <c r="AK341" s="68" t="n"/>
      <c r="AL341" s="68" t="n"/>
      <c r="AM341" s="68" t="n"/>
      <c r="AN341" s="68" t="n"/>
      <c r="AO341" s="1110" t="n"/>
      <c r="AP341" s="68" t="n"/>
      <c r="AQ341" s="68" t="n"/>
      <c r="AR341" s="68" t="n"/>
      <c r="AS341" s="68" t="n"/>
      <c r="AT341" s="1110" t="n"/>
      <c r="AU341" s="68" t="n"/>
      <c r="AV341" s="68" t="n"/>
      <c r="AW341" s="68" t="n"/>
      <c r="AX341" s="68" t="n"/>
      <c r="AY341" s="1110" t="n"/>
      <c r="AZ341" s="68" t="n"/>
      <c r="BA341" s="68" t="n"/>
      <c r="BB341" s="68" t="n"/>
      <c r="BC341" s="68" t="n"/>
      <c r="BD341" s="1110" t="n"/>
      <c r="BE341" s="68" t="n"/>
      <c r="BF341" s="68" t="n"/>
      <c r="BG341" s="68" t="n"/>
      <c r="BH341" s="68" t="n"/>
      <c r="BI341" s="1110" t="n"/>
      <c r="BJ341" s="68" t="n"/>
      <c r="BK341" s="68" t="n"/>
      <c r="BL341" s="68" t="n"/>
      <c r="BM341" s="68" t="n"/>
      <c r="BN341" s="1110" t="n"/>
      <c r="BO341" s="68" t="n"/>
      <c r="BP341" s="68" t="n"/>
      <c r="BQ341" s="68" t="n"/>
      <c r="BR341" s="68" t="n"/>
      <c r="BS341" s="1110" t="n"/>
      <c r="BT341" s="68" t="n"/>
      <c r="BU341" s="68" t="n"/>
      <c r="BV341" s="588" t="n"/>
      <c r="BW341" s="68" t="n"/>
      <c r="BX341" s="1110" t="n"/>
      <c r="BY341" s="68" t="n"/>
      <c r="BZ341" s="68" t="n"/>
      <c r="CA341" s="68" t="n"/>
      <c r="CB341" s="68" t="n"/>
      <c r="CC341" s="1110" t="n"/>
      <c r="CD341" s="1110" t="n"/>
      <c r="CE341" s="1110" t="n"/>
      <c r="CF341" s="1110" t="n"/>
      <c r="CG341" s="155" t="n"/>
    </row>
    <row r="342" hidden="1" outlineLevel="1">
      <c r="A342" s="67" t="inlineStr">
        <is>
          <t>Stock option purchase charge related to operating expenses</t>
        </is>
      </c>
      <c r="B342" s="146" t="n"/>
      <c r="C342" s="1110" t="n"/>
      <c r="D342" s="1111" t="n">
        <v>-128.829</v>
      </c>
      <c r="E342" s="1110" t="n"/>
      <c r="F342" s="1110" t="n"/>
      <c r="G342" s="68" t="n"/>
      <c r="H342" s="68" t="n"/>
      <c r="I342" s="68" t="n"/>
      <c r="J342" s="68" t="n"/>
      <c r="K342" s="1110" t="n"/>
      <c r="L342" s="68" t="n"/>
      <c r="M342" s="68" t="n"/>
      <c r="N342" s="68" t="n"/>
      <c r="O342" s="68" t="n"/>
      <c r="P342" s="1110" t="n"/>
      <c r="Q342" s="68" t="n"/>
      <c r="R342" s="68" t="n"/>
      <c r="S342" s="68" t="n"/>
      <c r="T342" s="68" t="n"/>
      <c r="U342" s="1110" t="n"/>
      <c r="V342" s="68" t="n"/>
      <c r="W342" s="68" t="n"/>
      <c r="X342" s="68" t="n"/>
      <c r="Y342" s="68" t="n"/>
      <c r="Z342" s="1110" t="n"/>
      <c r="AA342" s="68" t="n"/>
      <c r="AB342" s="68" t="n"/>
      <c r="AC342" s="68" t="n"/>
      <c r="AD342" s="68" t="n"/>
      <c r="AE342" s="1110" t="n"/>
      <c r="AF342" s="68" t="n"/>
      <c r="AG342" s="68" t="n"/>
      <c r="AH342" s="68" t="n"/>
      <c r="AI342" s="68" t="n"/>
      <c r="AJ342" s="1110" t="n"/>
      <c r="AK342" s="68" t="n"/>
      <c r="AL342" s="68" t="n"/>
      <c r="AM342" s="68" t="n"/>
      <c r="AN342" s="68" t="n"/>
      <c r="AO342" s="1110" t="n"/>
      <c r="AP342" s="68" t="n"/>
      <c r="AQ342" s="68" t="n"/>
      <c r="AR342" s="68" t="n"/>
      <c r="AS342" s="68" t="n"/>
      <c r="AT342" s="1110" t="n"/>
      <c r="AU342" s="68" t="n"/>
      <c r="AV342" s="68" t="n"/>
      <c r="AW342" s="68" t="n"/>
      <c r="AX342" s="68" t="n"/>
      <c r="AY342" s="1110" t="n"/>
      <c r="AZ342" s="68" t="n"/>
      <c r="BA342" s="68" t="n"/>
      <c r="BB342" s="68" t="n"/>
      <c r="BC342" s="68" t="n"/>
      <c r="BD342" s="1110" t="n"/>
      <c r="BE342" s="68" t="n"/>
      <c r="BF342" s="68" t="n"/>
      <c r="BG342" s="68" t="n"/>
      <c r="BH342" s="68" t="n"/>
      <c r="BI342" s="1110" t="n"/>
      <c r="BJ342" s="68" t="n"/>
      <c r="BK342" s="68" t="n"/>
      <c r="BL342" s="68" t="n"/>
      <c r="BM342" s="68" t="n"/>
      <c r="BN342" s="1110" t="n"/>
      <c r="BO342" s="68" t="n"/>
      <c r="BP342" s="68" t="n"/>
      <c r="BQ342" s="68" t="n"/>
      <c r="BR342" s="68" t="n"/>
      <c r="BS342" s="1110" t="n"/>
      <c r="BT342" s="68" t="n"/>
      <c r="BU342" s="68" t="n"/>
      <c r="BV342" s="588" t="n"/>
      <c r="BW342" s="68" t="n"/>
      <c r="BX342" s="1110" t="n"/>
      <c r="BY342" s="68" t="n"/>
      <c r="BZ342" s="68" t="n"/>
      <c r="CA342" s="68" t="n"/>
      <c r="CB342" s="68" t="n"/>
      <c r="CC342" s="1110" t="n"/>
      <c r="CD342" s="1110" t="n"/>
      <c r="CE342" s="1110" t="n"/>
      <c r="CF342" s="1110" t="n"/>
      <c r="CG342" s="155" t="n"/>
    </row>
    <row r="343" hidden="1" outlineLevel="1">
      <c r="A343" s="67" t="inlineStr">
        <is>
          <t>Other</t>
        </is>
      </c>
      <c r="B343" s="146" t="n"/>
      <c r="C343" s="1110" t="n"/>
      <c r="D343" s="1110" t="n"/>
      <c r="E343" s="1110" t="n"/>
      <c r="F343" s="1110" t="n"/>
      <c r="G343" s="68" t="n"/>
      <c r="H343" s="68" t="n"/>
      <c r="I343" s="68" t="n"/>
      <c r="J343" s="68" t="n"/>
      <c r="K343" s="1110" t="n"/>
      <c r="L343" s="68" t="n"/>
      <c r="M343" s="68" t="n"/>
      <c r="N343" s="68" t="n"/>
      <c r="O343" s="68" t="n"/>
      <c r="P343" s="1110" t="n"/>
      <c r="Q343" s="68" t="n"/>
      <c r="R343" s="68" t="n"/>
      <c r="S343" s="68" t="n"/>
      <c r="T343" s="68" t="n"/>
      <c r="U343" s="1110" t="n"/>
      <c r="V343" s="68" t="n"/>
      <c r="W343" s="68" t="n"/>
      <c r="X343" s="68" t="n"/>
      <c r="Y343" s="68" t="n"/>
      <c r="Z343" s="1110" t="n"/>
      <c r="AA343" s="68" t="n"/>
      <c r="AB343" s="68" t="n"/>
      <c r="AC343" s="68" t="n"/>
      <c r="AD343" s="68" t="n"/>
      <c r="AE343" s="1110" t="n"/>
      <c r="AF343" s="68" t="n"/>
      <c r="AG343" s="68" t="n"/>
      <c r="AH343" s="68" t="n"/>
      <c r="AI343" s="68" t="n"/>
      <c r="AJ343" s="1110" t="n"/>
      <c r="AK343" s="68" t="n"/>
      <c r="AL343" s="68" t="n"/>
      <c r="AM343" s="68" t="n"/>
      <c r="AN343" s="68" t="n"/>
      <c r="AO343" s="1110" t="n"/>
      <c r="AP343" s="68" t="n"/>
      <c r="AQ343" s="68" t="n"/>
      <c r="AR343" s="68" t="n"/>
      <c r="AS343" s="68" t="n"/>
      <c r="AT343" s="1110" t="n"/>
      <c r="AU343" s="68" t="n"/>
      <c r="AV343" s="68" t="n"/>
      <c r="AW343" s="68" t="n"/>
      <c r="AX343" s="68" t="n"/>
      <c r="AY343" s="1110" t="n"/>
      <c r="AZ343" s="68" t="n"/>
      <c r="BA343" s="68" t="n"/>
      <c r="BB343" s="68" t="n"/>
      <c r="BC343" s="68" t="n"/>
      <c r="BD343" s="1110" t="n"/>
      <c r="BE343" s="68" t="n"/>
      <c r="BF343" s="68" t="n"/>
      <c r="BG343" s="68" t="n"/>
      <c r="BH343" s="68" t="n"/>
      <c r="BI343" s="1110" t="n"/>
      <c r="BJ343" s="68" t="n"/>
      <c r="BK343" s="68" t="n"/>
      <c r="BL343" s="68" t="n"/>
      <c r="BM343" s="68" t="n"/>
      <c r="BN343" s="1110" t="n"/>
      <c r="BO343" s="68" t="n"/>
      <c r="BP343" s="68" t="n"/>
      <c r="BQ343" s="68" t="n"/>
      <c r="BR343" s="68" t="n"/>
      <c r="BS343" s="1110" t="n"/>
      <c r="BT343" s="68" t="n"/>
      <c r="BU343" s="1053" t="n">
        <v>-15</v>
      </c>
      <c r="BV343" s="588" t="n"/>
      <c r="BW343" s="68" t="n"/>
      <c r="BX343" s="1110" t="n"/>
      <c r="BY343" s="68" t="n"/>
      <c r="BZ343" s="68" t="n"/>
      <c r="CA343" s="68" t="n"/>
      <c r="CB343" s="68" t="n"/>
      <c r="CC343" s="1110" t="n"/>
      <c r="CD343" s="1110" t="n"/>
      <c r="CE343" s="1110" t="n"/>
      <c r="CF343" s="1110" t="n"/>
      <c r="CG343" s="155" t="n"/>
    </row>
    <row r="344" hidden="1" outlineLevel="1">
      <c r="A344" s="59" t="inlineStr">
        <is>
          <t>Non-GAAP operating expenses</t>
        </is>
      </c>
      <c r="B344" s="607" t="n"/>
      <c r="C344" s="1122">
        <f>SUM(C333:C343)</f>
        <v/>
      </c>
      <c r="D344" s="1123">
        <f>SUM(D333:D343)</f>
        <v/>
      </c>
      <c r="E344" s="1123">
        <f>SUM(E333:E343)</f>
        <v/>
      </c>
      <c r="F344" s="1123">
        <f>SUM(F333:F343)</f>
        <v/>
      </c>
      <c r="G344" s="60">
        <f>SUM(G333:G343)</f>
        <v/>
      </c>
      <c r="H344" s="60">
        <f>SUM(H333:H343)</f>
        <v/>
      </c>
      <c r="I344" s="60">
        <f>SUM(I333:I343)</f>
        <v/>
      </c>
      <c r="J344" s="60">
        <f>SUM(J333:J343)</f>
        <v/>
      </c>
      <c r="K344" s="1123">
        <f>SUM(K333:K343)</f>
        <v/>
      </c>
      <c r="L344" s="60">
        <f>SUM(L333:L343)</f>
        <v/>
      </c>
      <c r="M344" s="60">
        <f>SUM(M333:M343)</f>
        <v/>
      </c>
      <c r="N344" s="60">
        <f>SUM(N333:N343)</f>
        <v/>
      </c>
      <c r="O344" s="60">
        <f>SUM(O333:O343)</f>
        <v/>
      </c>
      <c r="P344" s="1123">
        <f>SUM(P333:P343)</f>
        <v/>
      </c>
      <c r="Q344" s="60">
        <f>SUM(Q333:Q343)</f>
        <v/>
      </c>
      <c r="R344" s="60">
        <f>SUM(R333:R343)</f>
        <v/>
      </c>
      <c r="S344" s="60">
        <f>SUM(S333:S343)</f>
        <v/>
      </c>
      <c r="T344" s="60">
        <f>SUM(T333:T343)</f>
        <v/>
      </c>
      <c r="U344" s="1123">
        <f>SUM(U333:U343)</f>
        <v/>
      </c>
      <c r="V344" s="60">
        <f>SUM(V333:V343)</f>
        <v/>
      </c>
      <c r="W344" s="60">
        <f>SUM(W333:W343)</f>
        <v/>
      </c>
      <c r="X344" s="60">
        <f>SUM(X333:X343)</f>
        <v/>
      </c>
      <c r="Y344" s="60">
        <f>SUM(Y333:Y343)</f>
        <v/>
      </c>
      <c r="Z344" s="1123">
        <f>SUM(Z333:Z343)</f>
        <v/>
      </c>
      <c r="AA344" s="60">
        <f>SUM(AA333:AA343)</f>
        <v/>
      </c>
      <c r="AB344" s="60">
        <f>SUM(AB333:AB343)</f>
        <v/>
      </c>
      <c r="AC344" s="60">
        <f>SUM(AC333:AC343)</f>
        <v/>
      </c>
      <c r="AD344" s="60">
        <f>SUM(AD333:AD343)</f>
        <v/>
      </c>
      <c r="AE344" s="1123">
        <f>SUM(AE333:AE343)</f>
        <v/>
      </c>
      <c r="AF344" s="60">
        <f>SUM(AF333:AF343)</f>
        <v/>
      </c>
      <c r="AG344" s="60">
        <f>SUM(AG333:AG343)</f>
        <v/>
      </c>
      <c r="AH344" s="60">
        <f>SUM(AH333:AH343)</f>
        <v/>
      </c>
      <c r="AI344" s="60">
        <f>SUM(AI333:AI343)</f>
        <v/>
      </c>
      <c r="AJ344" s="1123">
        <f>SUM(AJ333:AJ343)</f>
        <v/>
      </c>
      <c r="AK344" s="60">
        <f>SUM(AK333:AK343)</f>
        <v/>
      </c>
      <c r="AL344" s="60">
        <f>SUM(AL333:AL343)</f>
        <v/>
      </c>
      <c r="AM344" s="60">
        <f>SUM(AM333:AM343)</f>
        <v/>
      </c>
      <c r="AN344" s="60">
        <f>SUM(AN333:AN343)</f>
        <v/>
      </c>
      <c r="AO344" s="1123">
        <f>SUM(AO333:AO343)</f>
        <v/>
      </c>
      <c r="AP344" s="60">
        <f>SUM(AP333:AP343)</f>
        <v/>
      </c>
      <c r="AQ344" s="60">
        <f>SUM(AQ333:AQ343)</f>
        <v/>
      </c>
      <c r="AR344" s="60">
        <f>SUM(AR333:AR343)</f>
        <v/>
      </c>
      <c r="AS344" s="60">
        <f>SUM(AS333:AS343)</f>
        <v/>
      </c>
      <c r="AT344" s="1123">
        <f>SUM(AT333:AT343)</f>
        <v/>
      </c>
      <c r="AU344" s="60">
        <f>SUM(AU333:AU343)</f>
        <v/>
      </c>
      <c r="AV344" s="60">
        <f>SUM(AV333:AV343)</f>
        <v/>
      </c>
      <c r="AW344" s="60">
        <f>SUM(AW333:AW343)</f>
        <v/>
      </c>
      <c r="AX344" s="60">
        <f>SUM(AX333:AX343)</f>
        <v/>
      </c>
      <c r="AY344" s="1123">
        <f>SUM(AY333:AY343)</f>
        <v/>
      </c>
      <c r="AZ344" s="60">
        <f>SUM(AZ333:AZ343)</f>
        <v/>
      </c>
      <c r="BA344" s="60">
        <f>SUM(BA333:BA343)</f>
        <v/>
      </c>
      <c r="BB344" s="60">
        <f>SUM(BB333:BB343)</f>
        <v/>
      </c>
      <c r="BC344" s="60">
        <f>SUM(BC333:BC343)</f>
        <v/>
      </c>
      <c r="BD344" s="1123">
        <f>SUM(BD333:BD343)</f>
        <v/>
      </c>
      <c r="BE344" s="60">
        <f>SUM(BE333:BE343)</f>
        <v/>
      </c>
      <c r="BF344" s="60">
        <f>SUM(BF333:BF343)</f>
        <v/>
      </c>
      <c r="BG344" s="60">
        <f>SUM(BG333:BG343)</f>
        <v/>
      </c>
      <c r="BH344" s="60">
        <f>SUM(BH333:BH343)</f>
        <v/>
      </c>
      <c r="BI344" s="1123">
        <f>SUM(BI333:BI343)</f>
        <v/>
      </c>
      <c r="BJ344" s="60">
        <f>SUM(BJ333:BJ343)</f>
        <v/>
      </c>
      <c r="BK344" s="60">
        <f>SUM(BK333:BK343)</f>
        <v/>
      </c>
      <c r="BL344" s="60">
        <f>SUM(BL333:BL343)</f>
        <v/>
      </c>
      <c r="BM344" s="60">
        <f>SUM(BM333:BM343)</f>
        <v/>
      </c>
      <c r="BN344" s="1123">
        <f>SUM(BN333:BN343)</f>
        <v/>
      </c>
      <c r="BO344" s="60">
        <f>SUM(BO333:BO343)</f>
        <v/>
      </c>
      <c r="BP344" s="60">
        <f>SUM(BP333:BP343)</f>
        <v/>
      </c>
      <c r="BQ344" s="60">
        <f>SUM(BQ333:BQ343)</f>
        <v/>
      </c>
      <c r="BR344" s="60">
        <f>SUM(BR333:BR343)</f>
        <v/>
      </c>
      <c r="BS344" s="1123">
        <f>SUM(BS333:BS343)</f>
        <v/>
      </c>
      <c r="BT344" s="60">
        <f>SUM(BT333:BT343)</f>
        <v/>
      </c>
      <c r="BU344" s="60">
        <f>SUM(BU333:BU343)</f>
        <v/>
      </c>
      <c r="BV344" s="883">
        <f>SUM(BV333:BV343)</f>
        <v/>
      </c>
      <c r="BW344" s="61" t="n"/>
      <c r="BX344" s="1122" t="n"/>
      <c r="BY344" s="61" t="n"/>
      <c r="BZ344" s="61" t="n"/>
      <c r="CA344" s="61" t="n"/>
      <c r="CB344" s="61" t="n"/>
      <c r="CC344" s="1122" t="n"/>
      <c r="CD344" s="1122" t="n"/>
      <c r="CE344" s="1122" t="n"/>
      <c r="CF344" s="1122" t="n"/>
      <c r="CG344" s="155" t="n"/>
    </row>
    <row r="345" hidden="1" outlineLevel="1">
      <c r="A345" s="600" t="n"/>
      <c r="B345" s="279" t="n"/>
      <c r="C345" s="1125" t="n"/>
      <c r="D345" s="1125" t="n"/>
      <c r="E345" s="1125" t="n"/>
      <c r="F345" s="1125" t="n"/>
      <c r="G345" s="63" t="n"/>
      <c r="H345" s="63" t="n"/>
      <c r="I345" s="63" t="n"/>
      <c r="J345" s="63" t="n"/>
      <c r="K345" s="1125" t="n"/>
      <c r="L345" s="63" t="n"/>
      <c r="M345" s="63" t="n"/>
      <c r="N345" s="63" t="n"/>
      <c r="O345" s="63" t="n"/>
      <c r="P345" s="1125" t="n"/>
      <c r="Q345" s="63" t="n"/>
      <c r="R345" s="63" t="n"/>
      <c r="S345" s="63" t="n"/>
      <c r="T345" s="63" t="n"/>
      <c r="U345" s="1125" t="n"/>
      <c r="V345" s="63" t="n"/>
      <c r="W345" s="63" t="n"/>
      <c r="X345" s="63" t="n"/>
      <c r="Y345" s="63" t="n"/>
      <c r="Z345" s="1125" t="n"/>
      <c r="AA345" s="63" t="n"/>
      <c r="AB345" s="63" t="n"/>
      <c r="AC345" s="63" t="n"/>
      <c r="AD345" s="63" t="n"/>
      <c r="AE345" s="1125" t="n"/>
      <c r="AF345" s="63" t="n"/>
      <c r="AG345" s="63" t="n"/>
      <c r="AH345" s="63" t="n"/>
      <c r="AI345" s="63" t="n"/>
      <c r="AJ345" s="1125" t="n"/>
      <c r="AK345" s="63" t="n"/>
      <c r="AL345" s="63" t="n"/>
      <c r="AM345" s="63" t="n"/>
      <c r="AN345" s="63" t="n"/>
      <c r="AO345" s="1125" t="n"/>
      <c r="AP345" s="63" t="n"/>
      <c r="AQ345" s="63" t="n"/>
      <c r="AR345" s="63" t="n"/>
      <c r="AS345" s="63" t="n"/>
      <c r="AT345" s="1125" t="n"/>
      <c r="AU345" s="63" t="n"/>
      <c r="AV345" s="63" t="n"/>
      <c r="AW345" s="63" t="n"/>
      <c r="AX345" s="63" t="n"/>
      <c r="AY345" s="1125" t="n"/>
      <c r="AZ345" s="63" t="n"/>
      <c r="BA345" s="63" t="n"/>
      <c r="BB345" s="63" t="n"/>
      <c r="BC345" s="63" t="n"/>
      <c r="BD345" s="1125" t="n"/>
      <c r="BE345" s="63" t="n"/>
      <c r="BF345" s="63" t="n"/>
      <c r="BG345" s="63" t="n"/>
      <c r="BH345" s="63" t="n"/>
      <c r="BI345" s="1125" t="n"/>
      <c r="BJ345" s="63" t="n"/>
      <c r="BK345" s="63" t="n"/>
      <c r="BL345" s="63" t="n"/>
      <c r="BM345" s="63" t="n"/>
      <c r="BN345" s="1125" t="n"/>
      <c r="BO345" s="63" t="n"/>
      <c r="BP345" s="63" t="n"/>
      <c r="BQ345" s="63" t="n"/>
      <c r="BR345" s="63" t="n"/>
      <c r="BS345" s="1125" t="n"/>
      <c r="BT345" s="63" t="n"/>
      <c r="BU345" s="63" t="n"/>
      <c r="BV345" s="587" t="n"/>
      <c r="BW345" s="63" t="n"/>
      <c r="BX345" s="1125" t="n"/>
      <c r="BY345" s="63" t="n"/>
      <c r="BZ345" s="63" t="n"/>
      <c r="CA345" s="63" t="n"/>
      <c r="CB345" s="63" t="n"/>
      <c r="CC345" s="1125" t="n"/>
      <c r="CD345" s="1125" t="n"/>
      <c r="CE345" s="1125" t="n"/>
      <c r="CF345" s="1125" t="n"/>
      <c r="CG345" s="155" t="n"/>
    </row>
    <row r="346" hidden="1" outlineLevel="1">
      <c r="A346" s="600" t="inlineStr">
        <is>
          <t>GAAP other income (expense), net</t>
        </is>
      </c>
      <c r="B346" s="279" t="n"/>
      <c r="C346" s="1125" t="n"/>
      <c r="D346" s="1125" t="n"/>
      <c r="E346" s="1125" t="n"/>
      <c r="F346" s="1125" t="n"/>
      <c r="G346" s="63" t="n"/>
      <c r="H346" s="63" t="n"/>
      <c r="I346" s="63">
        <f>SUM(I302:I304)</f>
        <v/>
      </c>
      <c r="J346" s="63">
        <f>SUM(J302:J304)</f>
        <v/>
      </c>
      <c r="K346" s="1125">
        <f>SUM(K302:K304)</f>
        <v/>
      </c>
      <c r="L346" s="63">
        <f>SUM(L302:L304)</f>
        <v/>
      </c>
      <c r="M346" s="63">
        <f>SUM(M302:M304)</f>
        <v/>
      </c>
      <c r="N346" s="63">
        <f>SUM(N302:N304)</f>
        <v/>
      </c>
      <c r="O346" s="63">
        <f>SUM(O302:O304)</f>
        <v/>
      </c>
      <c r="P346" s="1125">
        <f>SUM(P302:P304)</f>
        <v/>
      </c>
      <c r="Q346" s="63">
        <f>SUM(Q302:Q304)</f>
        <v/>
      </c>
      <c r="R346" s="63">
        <f>SUM(R302:R304)</f>
        <v/>
      </c>
      <c r="S346" s="63">
        <f>SUM(S302:S304)</f>
        <v/>
      </c>
      <c r="T346" s="1062" t="n">
        <v>-3</v>
      </c>
      <c r="U346" s="1125">
        <f>SUM(U302:U304)</f>
        <v/>
      </c>
      <c r="V346" s="63">
        <f>SUM(V302:V304)</f>
        <v/>
      </c>
      <c r="W346" s="63">
        <f>SUM(W302:W304)</f>
        <v/>
      </c>
      <c r="X346" s="63">
        <f>SUM(X302:X304)</f>
        <v/>
      </c>
      <c r="Y346" s="63">
        <f>SUM(Y302:Y304)</f>
        <v/>
      </c>
      <c r="Z346" s="1125">
        <f>SUM(Z302:Z304)</f>
        <v/>
      </c>
      <c r="AA346" s="63">
        <f>SUM(AA302:AA304)</f>
        <v/>
      </c>
      <c r="AB346" s="63">
        <f>SUM(AB302:AB304)</f>
        <v/>
      </c>
      <c r="AC346" s="63">
        <f>SUM(AC302:AC304)</f>
        <v/>
      </c>
      <c r="AD346" s="63">
        <f>SUM(AD302:AD304)</f>
        <v/>
      </c>
      <c r="AE346" s="1125">
        <f>SUM(AE302:AE304)</f>
        <v/>
      </c>
      <c r="AF346" s="63">
        <f>SUM(AF302:AF304)</f>
        <v/>
      </c>
      <c r="AG346" s="63">
        <f>SUM(AG302:AG304)</f>
        <v/>
      </c>
      <c r="AH346" s="63">
        <f>SUM(AH302:AH304)</f>
        <v/>
      </c>
      <c r="AI346" s="63">
        <f>SUM(AI302:AI304)</f>
        <v/>
      </c>
      <c r="AJ346" s="1125">
        <f>SUM(AJ302:AJ304)</f>
        <v/>
      </c>
      <c r="AK346" s="63">
        <f>SUM(AK302:AK304)</f>
        <v/>
      </c>
      <c r="AL346" s="63">
        <f>SUM(AL302:AL304)</f>
        <v/>
      </c>
      <c r="AM346" s="63">
        <f>SUM(AM302:AM304)</f>
        <v/>
      </c>
      <c r="AN346" s="63">
        <f>SUM(AN302:AN304)</f>
        <v/>
      </c>
      <c r="AO346" s="1125">
        <f>SUM(AO302:AO304)</f>
        <v/>
      </c>
      <c r="AP346" s="63">
        <f>SUM(AP302:AP304)</f>
        <v/>
      </c>
      <c r="AQ346" s="63">
        <f>SUM(AQ302:AQ304)</f>
        <v/>
      </c>
      <c r="AR346" s="63">
        <f>SUM(AR302:AR304)</f>
        <v/>
      </c>
      <c r="AS346" s="63">
        <f>SUM(AS302:AS304)</f>
        <v/>
      </c>
      <c r="AT346" s="1125">
        <f>SUM(AT302:AT304)</f>
        <v/>
      </c>
      <c r="AU346" s="63">
        <f>SUM(AU302:AU304)</f>
        <v/>
      </c>
      <c r="AV346" s="63">
        <f>SUM(AV302:AV304)</f>
        <v/>
      </c>
      <c r="AW346" s="63">
        <f>SUM(AW302:AW304)</f>
        <v/>
      </c>
      <c r="AX346" s="63">
        <f>SUM(AX302:AX304)</f>
        <v/>
      </c>
      <c r="AY346" s="1125">
        <f>SUM(AY302:AY304)</f>
        <v/>
      </c>
      <c r="AZ346" s="63">
        <f>SUM(AZ302:AZ304)</f>
        <v/>
      </c>
      <c r="BA346" s="63">
        <f>SUM(BA302:BA304)</f>
        <v/>
      </c>
      <c r="BB346" s="63">
        <f>SUM(BB302:BB304)</f>
        <v/>
      </c>
      <c r="BC346" s="63">
        <f>SUM(BC302:BC304)</f>
        <v/>
      </c>
      <c r="BD346" s="1125">
        <f>SUM(BD302:BD304)</f>
        <v/>
      </c>
      <c r="BE346" s="63">
        <f>SUM(BE302:BE304)</f>
        <v/>
      </c>
      <c r="BF346" s="63">
        <f>SUM(BF302:BF304)</f>
        <v/>
      </c>
      <c r="BG346" s="63">
        <f>SUM(BG302:BG304)</f>
        <v/>
      </c>
      <c r="BH346" s="63">
        <f>SUM(BH302:BH304)</f>
        <v/>
      </c>
      <c r="BI346" s="1125">
        <f>SUM(BI302:BI304)</f>
        <v/>
      </c>
      <c r="BJ346" s="63">
        <f>SUM(BJ302:BJ304)</f>
        <v/>
      </c>
      <c r="BK346" s="63">
        <f>SUM(BK302:BK304)</f>
        <v/>
      </c>
      <c r="BL346" s="63">
        <f>SUM(BL302:BL304)</f>
        <v/>
      </c>
      <c r="BM346" s="63">
        <f>SUM(BM302:BM304)</f>
        <v/>
      </c>
      <c r="BN346" s="1125">
        <f>SUM(BN302:BN304)</f>
        <v/>
      </c>
      <c r="BO346" s="63">
        <f>SUM(BO302:BO304)</f>
        <v/>
      </c>
      <c r="BP346" s="63">
        <f>SUM(BP302:BP304)</f>
        <v/>
      </c>
      <c r="BQ346" s="63">
        <f>SUM(BQ302:BQ304)</f>
        <v/>
      </c>
      <c r="BR346" s="63">
        <f>SUM(BR302:BR304)</f>
        <v/>
      </c>
      <c r="BS346" s="1125">
        <f>SUM(BS302:BS304)</f>
        <v/>
      </c>
      <c r="BT346" s="63">
        <f>SUM(BT302:BT304)</f>
        <v/>
      </c>
      <c r="BU346" s="63">
        <f>SUM(BU302:BU304)</f>
        <v/>
      </c>
      <c r="BV346" s="587">
        <f>SUM(BV302:BV304)</f>
        <v/>
      </c>
      <c r="BW346" s="63" t="n"/>
      <c r="BX346" s="1125" t="n"/>
      <c r="BY346" s="63" t="n"/>
      <c r="BZ346" s="63" t="n"/>
      <c r="CA346" s="63" t="n"/>
      <c r="CB346" s="63" t="n"/>
      <c r="CC346" s="1125" t="n"/>
      <c r="CD346" s="1125" t="n"/>
      <c r="CE346" s="1125" t="n"/>
      <c r="CF346" s="1125" t="n"/>
      <c r="CG346" s="155" t="n"/>
    </row>
    <row r="347" hidden="1" outlineLevel="1">
      <c r="A347" s="99" t="inlineStr">
        <is>
          <t>(Gains) losses from non-affiliated investments</t>
        </is>
      </c>
      <c r="B347" s="146" t="n"/>
      <c r="C347" s="1110" t="n"/>
      <c r="D347" s="1110" t="n"/>
      <c r="E347" s="1110" t="n"/>
      <c r="F347" s="1110" t="n"/>
      <c r="G347" s="68" t="n"/>
      <c r="H347" s="68" t="n"/>
      <c r="I347" s="68" t="n"/>
      <c r="J347" s="68" t="n"/>
      <c r="K347" s="1110" t="n"/>
      <c r="L347" s="68" t="n"/>
      <c r="M347" s="68" t="n"/>
      <c r="N347" s="68" t="n"/>
      <c r="O347" s="1053" t="n">
        <v>-3.074</v>
      </c>
      <c r="P347" s="1111" t="n">
        <v>-3.074</v>
      </c>
      <c r="Q347" s="1053" t="n">
        <v>-17</v>
      </c>
      <c r="R347" s="1053" t="n">
        <v>3</v>
      </c>
      <c r="S347" s="68" t="n"/>
      <c r="T347" s="68" t="n"/>
      <c r="U347" s="1111" t="n">
        <v>-15</v>
      </c>
      <c r="V347" s="68" t="n"/>
      <c r="W347" s="68" t="n"/>
      <c r="X347" s="1053" t="n">
        <v>-4</v>
      </c>
      <c r="Y347" s="68" t="n"/>
      <c r="Z347" s="1111" t="n">
        <v>-5</v>
      </c>
      <c r="AA347" s="1053" t="n">
        <v>-3</v>
      </c>
      <c r="AB347" s="68" t="n"/>
      <c r="AC347" s="68" t="n"/>
      <c r="AD347" s="1053" t="n">
        <v>-1</v>
      </c>
      <c r="AE347" s="1111" t="n">
        <v>-4</v>
      </c>
      <c r="AF347" s="68" t="n"/>
      <c r="AG347" s="68" t="n"/>
      <c r="AH347" s="68" t="n"/>
      <c r="AI347" s="1053" t="n">
        <v>-2</v>
      </c>
      <c r="AJ347" s="1111" t="n">
        <v>-2</v>
      </c>
      <c r="AK347" s="1053" t="n">
        <v>-6</v>
      </c>
      <c r="AL347" s="1053" t="n">
        <v>-2</v>
      </c>
      <c r="AM347" s="1053" t="n">
        <v>-2</v>
      </c>
      <c r="AN347" s="1053" t="n">
        <v>-1</v>
      </c>
      <c r="AO347" s="1111" t="n">
        <v>-12</v>
      </c>
      <c r="AP347" s="1053" t="n">
        <v>0</v>
      </c>
      <c r="AQ347" s="1053" t="n">
        <v>0</v>
      </c>
      <c r="AR347" s="1053" t="n">
        <v>0</v>
      </c>
      <c r="AS347" s="1053" t="n">
        <v>0</v>
      </c>
      <c r="AT347" s="1111" t="n">
        <v>1</v>
      </c>
      <c r="AU347" s="1053" t="n">
        <v>3</v>
      </c>
      <c r="AV347" s="1053" t="n">
        <v>2</v>
      </c>
      <c r="AW347" s="1053" t="n">
        <v>4</v>
      </c>
      <c r="AX347" s="1053" t="n">
        <v>-9</v>
      </c>
      <c r="AY347" s="1111" t="n">
        <v>0</v>
      </c>
      <c r="AZ347" s="1053" t="n">
        <v>-134</v>
      </c>
      <c r="BA347" s="1053" t="n">
        <v>0</v>
      </c>
      <c r="BB347" s="1053" t="n">
        <v>-20</v>
      </c>
      <c r="BC347" s="1053" t="n">
        <v>53</v>
      </c>
      <c r="BD347" s="1111" t="n">
        <v>-99</v>
      </c>
      <c r="BE347" s="1053" t="n">
        <v>17</v>
      </c>
      <c r="BF347" s="1053" t="n">
        <v>7</v>
      </c>
      <c r="BG347" s="1053" t="n">
        <v>11</v>
      </c>
      <c r="BH347" s="1053" t="n">
        <v>10</v>
      </c>
      <c r="BI347" s="1111" t="n">
        <v>45</v>
      </c>
      <c r="BJ347" s="1053" t="n">
        <v>14</v>
      </c>
      <c r="BK347" s="1053" t="n">
        <v>-62</v>
      </c>
      <c r="BL347" s="1053" t="n">
        <v>69</v>
      </c>
      <c r="BM347" s="1053" t="n">
        <v>-260</v>
      </c>
      <c r="BN347" s="1111" t="n">
        <v>-238</v>
      </c>
      <c r="BO347" s="1053" t="n">
        <v>-69</v>
      </c>
      <c r="BP347" s="1053" t="n">
        <v>-193</v>
      </c>
      <c r="BQ347" s="1053" t="n">
        <v>-37</v>
      </c>
      <c r="BR347" s="1053" t="n">
        <v>-727</v>
      </c>
      <c r="BS347" s="1111" t="n">
        <v>-1030</v>
      </c>
      <c r="BT347" s="1053" t="n">
        <v>175</v>
      </c>
      <c r="BU347" s="1053" t="n">
        <v>-2247</v>
      </c>
      <c r="BV347" s="1054" t="n">
        <v>-1354</v>
      </c>
      <c r="BW347" s="68" t="n"/>
      <c r="BX347" s="1110" t="n"/>
      <c r="BY347" s="68" t="n"/>
      <c r="BZ347" s="68" t="n"/>
      <c r="CA347" s="68" t="n"/>
      <c r="CB347" s="68" t="n"/>
      <c r="CC347" s="1110" t="n"/>
      <c r="CD347" s="1110" t="n"/>
      <c r="CE347" s="1110" t="n"/>
      <c r="CF347" s="1110" t="n"/>
      <c r="CG347" s="155" t="n"/>
    </row>
    <row r="348" hidden="1" outlineLevel="1">
      <c r="A348" s="99" t="inlineStr">
        <is>
          <t>Interest expense related to amortization of debt discount</t>
        </is>
      </c>
      <c r="B348" s="146" t="n"/>
      <c r="C348" s="1110" t="n"/>
      <c r="D348" s="1110" t="n"/>
      <c r="E348" s="1110" t="n"/>
      <c r="F348" s="1110" t="n"/>
      <c r="G348" s="68" t="n"/>
      <c r="H348" s="68" t="n"/>
      <c r="I348" s="68" t="n"/>
      <c r="J348" s="68" t="n"/>
      <c r="K348" s="1110" t="n"/>
      <c r="L348" s="68" t="n"/>
      <c r="M348" s="68" t="n"/>
      <c r="N348" s="68" t="n"/>
      <c r="O348" s="1053" t="n">
        <v>4.6</v>
      </c>
      <c r="P348" s="1111" t="n">
        <v>4.6</v>
      </c>
      <c r="Q348" s="1053" t="n">
        <v>7</v>
      </c>
      <c r="R348" s="1053" t="n">
        <v>7</v>
      </c>
      <c r="S348" s="1053" t="n">
        <v>7</v>
      </c>
      <c r="T348" s="1053" t="n">
        <v>7</v>
      </c>
      <c r="U348" s="1111" t="n">
        <v>28</v>
      </c>
      <c r="V348" s="1053" t="n">
        <v>7</v>
      </c>
      <c r="W348" s="1053" t="n">
        <v>7</v>
      </c>
      <c r="X348" s="1053" t="n">
        <v>7</v>
      </c>
      <c r="Y348" s="1053" t="n">
        <v>7</v>
      </c>
      <c r="Z348" s="1111" t="n">
        <v>29</v>
      </c>
      <c r="AA348" s="1053" t="n">
        <v>7</v>
      </c>
      <c r="AB348" s="1053" t="n">
        <v>7</v>
      </c>
      <c r="AC348" s="1053" t="n">
        <v>6</v>
      </c>
      <c r="AD348" s="1053" t="n">
        <v>6</v>
      </c>
      <c r="AE348" s="1111" t="n">
        <v>21</v>
      </c>
      <c r="AF348" s="1053" t="n">
        <v>2</v>
      </c>
      <c r="AG348" s="1053" t="n">
        <v>1</v>
      </c>
      <c r="AH348" s="68" t="n"/>
      <c r="AI348" s="1053" t="n">
        <v>2</v>
      </c>
      <c r="AJ348" s="1111" t="n">
        <v>20</v>
      </c>
      <c r="AK348" s="1053" t="n">
        <v>1</v>
      </c>
      <c r="AL348" s="68" t="n"/>
      <c r="AM348" s="68" t="n"/>
      <c r="AN348" s="68" t="n"/>
      <c r="AO348" s="1111" t="n">
        <v>2</v>
      </c>
      <c r="AP348" s="1053" t="n">
        <v>0</v>
      </c>
      <c r="AQ348" s="1053" t="n">
        <v>0</v>
      </c>
      <c r="AR348" s="1053" t="n">
        <v>1</v>
      </c>
      <c r="AS348" s="1053" t="n">
        <v>0</v>
      </c>
      <c r="AT348" s="1111" t="n">
        <v>2</v>
      </c>
      <c r="AU348" s="1053" t="n">
        <v>1</v>
      </c>
      <c r="AV348" s="1053" t="n">
        <v>1</v>
      </c>
      <c r="AW348" s="1053" t="n">
        <v>1</v>
      </c>
      <c r="AX348" s="1053" t="n">
        <v>1</v>
      </c>
      <c r="AY348" s="1111" t="n">
        <v>3</v>
      </c>
      <c r="AZ348" s="1053" t="n">
        <v>1</v>
      </c>
      <c r="BA348" s="1053" t="n">
        <v>1</v>
      </c>
      <c r="BB348" s="1053" t="n">
        <v>1</v>
      </c>
      <c r="BC348" s="68" t="n"/>
      <c r="BD348" s="1111" t="n">
        <v>3</v>
      </c>
      <c r="BE348" s="1053" t="n">
        <v>1</v>
      </c>
      <c r="BF348" s="1053" t="n">
        <v>1</v>
      </c>
      <c r="BG348" s="1053" t="n">
        <v>1</v>
      </c>
      <c r="BH348" s="1053" t="n">
        <v>1</v>
      </c>
      <c r="BI348" s="1111" t="n">
        <v>5</v>
      </c>
      <c r="BJ348" s="1053" t="n">
        <v>1</v>
      </c>
      <c r="BK348" s="1053" t="n">
        <v>1</v>
      </c>
      <c r="BL348" s="1053" t="n">
        <v>1</v>
      </c>
      <c r="BM348" s="1053" t="n">
        <v>1</v>
      </c>
      <c r="BN348" s="1111" t="n">
        <v>4</v>
      </c>
      <c r="BO348" s="1053" t="n">
        <v>1</v>
      </c>
      <c r="BP348" s="1053" t="n">
        <v>1</v>
      </c>
      <c r="BQ348" s="1053" t="n">
        <v>1</v>
      </c>
      <c r="BR348" s="1053" t="n">
        <v>1</v>
      </c>
      <c r="BS348" s="1111" t="n">
        <v>4</v>
      </c>
      <c r="BT348" s="1053" t="n">
        <v>1</v>
      </c>
      <c r="BU348" s="1053" t="n">
        <v>1</v>
      </c>
      <c r="BV348" s="1054" t="n">
        <v>1</v>
      </c>
      <c r="BW348" s="68" t="n"/>
      <c r="BX348" s="1110" t="n"/>
      <c r="BY348" s="68" t="n"/>
      <c r="BZ348" s="68" t="n"/>
      <c r="CA348" s="68" t="n"/>
      <c r="CB348" s="68" t="n"/>
      <c r="CC348" s="1110" t="n"/>
      <c r="CD348" s="1110" t="n"/>
      <c r="CE348" s="1110" t="n"/>
      <c r="CF348" s="1110" t="n"/>
      <c r="CG348" s="155" t="n"/>
    </row>
    <row r="349" hidden="1" outlineLevel="1">
      <c r="A349" s="99" t="inlineStr">
        <is>
          <t>Debt related costs</t>
        </is>
      </c>
      <c r="B349" s="146" t="n"/>
      <c r="C349" s="1110" t="n"/>
      <c r="D349" s="1110" t="n"/>
      <c r="E349" s="1110" t="n"/>
      <c r="F349" s="1110" t="n"/>
      <c r="G349" s="68" t="n"/>
      <c r="H349" s="68" t="n"/>
      <c r="I349" s="68" t="n"/>
      <c r="J349" s="68" t="n"/>
      <c r="K349" s="1110" t="n"/>
      <c r="L349" s="68" t="n"/>
      <c r="M349" s="68" t="n"/>
      <c r="N349" s="68" t="n"/>
      <c r="O349" s="68" t="n"/>
      <c r="P349" s="1110" t="n"/>
      <c r="Q349" s="68" t="n"/>
      <c r="R349" s="68" t="n"/>
      <c r="S349" s="68" t="n"/>
      <c r="T349" s="68" t="n"/>
      <c r="U349" s="1110" t="n"/>
      <c r="V349" s="68" t="n"/>
      <c r="W349" s="68" t="n"/>
      <c r="X349" s="68" t="n"/>
      <c r="Y349" s="68" t="n"/>
      <c r="Z349" s="1110" t="n"/>
      <c r="AA349" s="68" t="n"/>
      <c r="AB349" s="68" t="n"/>
      <c r="AC349" s="1053" t="n">
        <v>15</v>
      </c>
      <c r="AD349" s="1053" t="n">
        <v>4</v>
      </c>
      <c r="AE349" s="1111" t="n">
        <v>25</v>
      </c>
      <c r="AF349" s="1053" t="n">
        <v>14</v>
      </c>
      <c r="AG349" s="1053" t="n">
        <v>3</v>
      </c>
      <c r="AH349" s="1053" t="n">
        <v>1</v>
      </c>
      <c r="AI349" s="68" t="n"/>
      <c r="AJ349" s="1111" t="n">
        <v>3</v>
      </c>
      <c r="AK349" s="68" t="n"/>
      <c r="AL349" s="68" t="n"/>
      <c r="AM349" s="68" t="n"/>
      <c r="AN349" s="68" t="n"/>
      <c r="AO349" s="1110" t="n"/>
      <c r="AP349" s="68" t="n"/>
      <c r="AQ349" s="68" t="n"/>
      <c r="AR349" s="68" t="n"/>
      <c r="AS349" s="68" t="n"/>
      <c r="AT349" s="1110" t="n"/>
      <c r="AU349" s="68" t="n"/>
      <c r="AV349" s="68" t="n"/>
      <c r="AW349" s="68" t="n"/>
      <c r="AX349" s="68" t="n"/>
      <c r="AY349" s="1110" t="n"/>
      <c r="AZ349" s="68" t="n"/>
      <c r="BA349" s="68" t="n"/>
      <c r="BB349" s="68" t="n"/>
      <c r="BC349" s="68" t="n"/>
      <c r="BD349" s="1110" t="n"/>
      <c r="BE349" s="68" t="n"/>
      <c r="BF349" s="68" t="n"/>
      <c r="BG349" s="68" t="n"/>
      <c r="BH349" s="68" t="n"/>
      <c r="BI349" s="1110" t="n"/>
      <c r="BJ349" s="68" t="n"/>
      <c r="BK349" s="68" t="n"/>
      <c r="BL349" s="68" t="n"/>
      <c r="BM349" s="68" t="n"/>
      <c r="BN349" s="1110" t="n"/>
      <c r="BO349" s="68" t="n"/>
      <c r="BP349" s="68" t="n"/>
      <c r="BQ349" s="68" t="n"/>
      <c r="BR349" s="68" t="n"/>
      <c r="BS349" s="1110" t="n"/>
      <c r="BT349" s="68" t="n"/>
      <c r="BU349" s="68" t="n"/>
      <c r="BV349" s="588" t="n"/>
      <c r="BW349" s="68" t="n"/>
      <c r="BX349" s="1110" t="n"/>
      <c r="BY349" s="68" t="n"/>
      <c r="BZ349" s="68" t="n"/>
      <c r="CA349" s="68" t="n"/>
      <c r="CB349" s="68" t="n"/>
      <c r="CC349" s="1110" t="n"/>
      <c r="CD349" s="1110" t="n"/>
      <c r="CE349" s="1110" t="n"/>
      <c r="CF349" s="1110" t="n"/>
      <c r="CG349" s="155" t="n"/>
    </row>
    <row r="350" hidden="1" outlineLevel="1">
      <c r="A350" s="631" t="inlineStr">
        <is>
          <t>Non-GAAP other income (expense), net</t>
        </is>
      </c>
      <c r="B350" s="607" t="n"/>
      <c r="C350" s="1122" t="n"/>
      <c r="D350" s="1122" t="n"/>
      <c r="E350" s="1122" t="n"/>
      <c r="F350" s="1122" t="n"/>
      <c r="G350" s="61" t="n"/>
      <c r="H350" s="61" t="n"/>
      <c r="I350" s="61">
        <f>SUM(I346:I349)</f>
        <v/>
      </c>
      <c r="J350" s="61">
        <f>SUM(J346:J349)</f>
        <v/>
      </c>
      <c r="K350" s="1122">
        <f>SUM(K346:K349)</f>
        <v/>
      </c>
      <c r="L350" s="61">
        <f>SUM(L346:L349)</f>
        <v/>
      </c>
      <c r="M350" s="61">
        <f>SUM(M346:M349)</f>
        <v/>
      </c>
      <c r="N350" s="61">
        <f>SUM(N346:N349)</f>
        <v/>
      </c>
      <c r="O350" s="61">
        <f>SUM(O346:O349)</f>
        <v/>
      </c>
      <c r="P350" s="1122">
        <f>SUM(P346:P349)</f>
        <v/>
      </c>
      <c r="Q350" s="61">
        <f>SUM(Q346:Q349)</f>
        <v/>
      </c>
      <c r="R350" s="61">
        <f>SUM(R346:R349)</f>
        <v/>
      </c>
      <c r="S350" s="61">
        <f>SUM(S346:S349)</f>
        <v/>
      </c>
      <c r="T350" s="61">
        <f>SUM(T346:T349)</f>
        <v/>
      </c>
      <c r="U350" s="1122">
        <f>SUM(U346:U349)</f>
        <v/>
      </c>
      <c r="V350" s="61">
        <f>SUM(V346:V349)</f>
        <v/>
      </c>
      <c r="W350" s="61">
        <f>SUM(W346:W349)</f>
        <v/>
      </c>
      <c r="X350" s="61">
        <f>SUM(X346:X349)</f>
        <v/>
      </c>
      <c r="Y350" s="61">
        <f>SUM(Y346:Y349)</f>
        <v/>
      </c>
      <c r="Z350" s="1122">
        <f>SUM(Z346:Z349)</f>
        <v/>
      </c>
      <c r="AA350" s="61">
        <f>SUM(AA346:AA349)</f>
        <v/>
      </c>
      <c r="AB350" s="61">
        <f>SUM(AB346:AB349)</f>
        <v/>
      </c>
      <c r="AC350" s="61">
        <f>SUM(AC346:AC349)</f>
        <v/>
      </c>
      <c r="AD350" s="61">
        <f>SUM(AD346:AD349)</f>
        <v/>
      </c>
      <c r="AE350" s="1122">
        <f>SUM(AE346:AE349)</f>
        <v/>
      </c>
      <c r="AF350" s="61">
        <f>SUM(AF346:AF349)</f>
        <v/>
      </c>
      <c r="AG350" s="61">
        <f>SUM(AG346:AG349)</f>
        <v/>
      </c>
      <c r="AH350" s="61">
        <f>SUM(AH346:AH349)</f>
        <v/>
      </c>
      <c r="AI350" s="61">
        <f>SUM(AI346:AI349)</f>
        <v/>
      </c>
      <c r="AJ350" s="1122">
        <f>SUM(AJ346:AJ349)</f>
        <v/>
      </c>
      <c r="AK350" s="61">
        <f>SUM(AK346:AK349)</f>
        <v/>
      </c>
      <c r="AL350" s="61">
        <f>SUM(AL346:AL349)</f>
        <v/>
      </c>
      <c r="AM350" s="61">
        <f>SUM(AM346:AM349)</f>
        <v/>
      </c>
      <c r="AN350" s="61">
        <f>SUM(AN346:AN349)</f>
        <v/>
      </c>
      <c r="AO350" s="1122">
        <f>SUM(AO346:AO349)</f>
        <v/>
      </c>
      <c r="AP350" s="61">
        <f>SUM(AP346:AP349)</f>
        <v/>
      </c>
      <c r="AQ350" s="61">
        <f>SUM(AQ346:AQ349)</f>
        <v/>
      </c>
      <c r="AR350" s="61">
        <f>SUM(AR346:AR349)</f>
        <v/>
      </c>
      <c r="AS350" s="61">
        <f>SUM(AS346:AS349)</f>
        <v/>
      </c>
      <c r="AT350" s="1122">
        <f>SUM(AT346:AT349)</f>
        <v/>
      </c>
      <c r="AU350" s="61">
        <f>SUM(AU346:AU349)</f>
        <v/>
      </c>
      <c r="AV350" s="61">
        <f>SUM(AV346:AV349)</f>
        <v/>
      </c>
      <c r="AW350" s="61">
        <f>SUM(AW346:AW349)</f>
        <v/>
      </c>
      <c r="AX350" s="61">
        <f>SUM(AX346:AX349)</f>
        <v/>
      </c>
      <c r="AY350" s="1122">
        <f>SUM(AY346:AY349)</f>
        <v/>
      </c>
      <c r="AZ350" s="61">
        <f>SUM(AZ346:AZ349)</f>
        <v/>
      </c>
      <c r="BA350" s="61">
        <f>SUM(BA346:BA349)</f>
        <v/>
      </c>
      <c r="BB350" s="61">
        <f>SUM(BB346:BB349)</f>
        <v/>
      </c>
      <c r="BC350" s="61">
        <f>SUM(BC346:BC349)</f>
        <v/>
      </c>
      <c r="BD350" s="1122">
        <f>SUM(BD346:BD349)</f>
        <v/>
      </c>
      <c r="BE350" s="61">
        <f>SUM(BE346:BE349)</f>
        <v/>
      </c>
      <c r="BF350" s="61">
        <f>SUM(BF346:BF349)</f>
        <v/>
      </c>
      <c r="BG350" s="61">
        <f>SUM(BG346:BG349)</f>
        <v/>
      </c>
      <c r="BH350" s="61">
        <f>SUM(BH346:BH349)</f>
        <v/>
      </c>
      <c r="BI350" s="1122">
        <f>SUM(BI346:BI349)</f>
        <v/>
      </c>
      <c r="BJ350" s="61">
        <f>SUM(BJ346:BJ349)</f>
        <v/>
      </c>
      <c r="BK350" s="61">
        <f>SUM(BK346:BK349)</f>
        <v/>
      </c>
      <c r="BL350" s="61">
        <f>SUM(BL346:BL349)</f>
        <v/>
      </c>
      <c r="BM350" s="61">
        <f>SUM(BM346:BM349)</f>
        <v/>
      </c>
      <c r="BN350" s="1122">
        <f>SUM(BN346:BN349)</f>
        <v/>
      </c>
      <c r="BO350" s="61">
        <f>SUM(BO346:BO349)</f>
        <v/>
      </c>
      <c r="BP350" s="61">
        <f>SUM(BP346:BP349)</f>
        <v/>
      </c>
      <c r="BQ350" s="61">
        <f>SUM(BQ346:BQ349)</f>
        <v/>
      </c>
      <c r="BR350" s="61">
        <f>SUM(BR346:BR349)</f>
        <v/>
      </c>
      <c r="BS350" s="1122">
        <f>SUM(BS346:BS349)</f>
        <v/>
      </c>
      <c r="BT350" s="61">
        <f>SUM(BT346:BT349)</f>
        <v/>
      </c>
      <c r="BU350" s="61">
        <f>SUM(BU346:BU349)</f>
        <v/>
      </c>
      <c r="BV350" s="884">
        <f>SUM(BV346:BV349)</f>
        <v/>
      </c>
      <c r="BW350" s="61" t="n"/>
      <c r="BX350" s="1122" t="n"/>
      <c r="BY350" s="61" t="n"/>
      <c r="BZ350" s="61" t="n"/>
      <c r="CA350" s="61" t="n"/>
      <c r="CB350" s="61" t="n"/>
      <c r="CC350" s="1122" t="n"/>
      <c r="CD350" s="1122" t="n"/>
      <c r="CE350" s="1122" t="n"/>
      <c r="CF350" s="1122" t="n"/>
      <c r="CG350" s="155" t="n"/>
    </row>
    <row r="351" hidden="1" outlineLevel="1">
      <c r="A351" s="600" t="n"/>
      <c r="B351" s="279" t="n"/>
      <c r="C351" s="1125" t="n"/>
      <c r="D351" s="1125" t="n"/>
      <c r="E351" s="1125" t="n"/>
      <c r="F351" s="1125" t="n"/>
      <c r="G351" s="63" t="n"/>
      <c r="H351" s="63" t="n"/>
      <c r="I351" s="63" t="n"/>
      <c r="J351" s="63" t="n"/>
      <c r="K351" s="1125" t="n"/>
      <c r="L351" s="63" t="n"/>
      <c r="M351" s="63" t="n"/>
      <c r="N351" s="63" t="n"/>
      <c r="O351" s="63" t="n"/>
      <c r="P351" s="1125" t="n"/>
      <c r="Q351" s="63" t="n"/>
      <c r="R351" s="63" t="n"/>
      <c r="S351" s="63" t="n"/>
      <c r="T351" s="63" t="n"/>
      <c r="U351" s="1125" t="n"/>
      <c r="V351" s="63" t="n"/>
      <c r="W351" s="63" t="n"/>
      <c r="X351" s="63" t="n"/>
      <c r="Y351" s="63" t="n"/>
      <c r="Z351" s="1125" t="n"/>
      <c r="AA351" s="63" t="n"/>
      <c r="AB351" s="63" t="n"/>
      <c r="AC351" s="63" t="n"/>
      <c r="AD351" s="63" t="n"/>
      <c r="AE351" s="1125" t="n"/>
      <c r="AF351" s="63" t="n"/>
      <c r="AG351" s="63" t="n"/>
      <c r="AH351" s="63" t="n"/>
      <c r="AI351" s="63" t="n"/>
      <c r="AJ351" s="1125" t="n"/>
      <c r="AK351" s="63" t="n"/>
      <c r="AL351" s="63" t="n"/>
      <c r="AM351" s="63" t="n"/>
      <c r="AN351" s="63" t="n"/>
      <c r="AO351" s="1125" t="n"/>
      <c r="AP351" s="63" t="n"/>
      <c r="AQ351" s="63" t="n"/>
      <c r="AR351" s="63" t="n"/>
      <c r="AS351" s="63" t="n"/>
      <c r="AT351" s="1125" t="n"/>
      <c r="AU351" s="63" t="n"/>
      <c r="AV351" s="63" t="n"/>
      <c r="AW351" s="63" t="n"/>
      <c r="AX351" s="63" t="n"/>
      <c r="AY351" s="1125" t="n"/>
      <c r="AZ351" s="63" t="n"/>
      <c r="BA351" s="63" t="n"/>
      <c r="BB351" s="63" t="n"/>
      <c r="BC351" s="63" t="n"/>
      <c r="BD351" s="1125" t="n"/>
      <c r="BE351" s="63" t="n"/>
      <c r="BF351" s="63" t="n"/>
      <c r="BG351" s="63" t="n"/>
      <c r="BH351" s="63" t="n"/>
      <c r="BI351" s="1125" t="n"/>
      <c r="BJ351" s="63" t="n"/>
      <c r="BK351" s="63" t="n"/>
      <c r="BL351" s="63" t="n"/>
      <c r="BM351" s="63" t="n"/>
      <c r="BN351" s="1125" t="n"/>
      <c r="BO351" s="63" t="n"/>
      <c r="BP351" s="63" t="n"/>
      <c r="BQ351" s="63" t="n"/>
      <c r="BR351" s="63" t="n"/>
      <c r="BS351" s="1125" t="n"/>
      <c r="BT351" s="63" t="n"/>
      <c r="BU351" s="63" t="n"/>
      <c r="BV351" s="587" t="n"/>
      <c r="BW351" s="63" t="n"/>
      <c r="BX351" s="1125" t="n"/>
      <c r="BY351" s="63" t="n"/>
      <c r="BZ351" s="63" t="n"/>
      <c r="CA351" s="63" t="n"/>
      <c r="CB351" s="63" t="n"/>
      <c r="CC351" s="1125" t="n"/>
      <c r="CD351" s="1125" t="n"/>
      <c r="CE351" s="1125" t="n"/>
      <c r="CF351" s="1125" t="n"/>
      <c r="CG351" s="155" t="n"/>
    </row>
    <row r="352" hidden="1" outlineLevel="1">
      <c r="A352" s="62" t="inlineStr">
        <is>
          <t>GAAP income from operations</t>
        </is>
      </c>
      <c r="B352" s="279" t="n"/>
      <c r="C352" s="1125" t="n"/>
      <c r="D352" s="1125" t="n"/>
      <c r="E352" s="1125" t="n"/>
      <c r="F352" s="1125" t="n"/>
      <c r="G352" s="63" t="n"/>
      <c r="H352" s="63" t="n"/>
      <c r="I352" s="63" t="n"/>
      <c r="J352" s="63" t="n"/>
      <c r="K352" s="1125" t="n"/>
      <c r="L352" s="63" t="n"/>
      <c r="M352" s="63" t="n"/>
      <c r="N352" s="63" t="n"/>
      <c r="O352" s="63" t="n"/>
      <c r="P352" s="1125" t="n"/>
      <c r="Q352" s="63" t="n"/>
      <c r="R352" s="63" t="n"/>
      <c r="S352" s="28">
        <f>S301</f>
        <v/>
      </c>
      <c r="T352" s="28">
        <f>T301</f>
        <v/>
      </c>
      <c r="U352" s="1132">
        <f>U301</f>
        <v/>
      </c>
      <c r="V352" s="28">
        <f>V301</f>
        <v/>
      </c>
      <c r="W352" s="28">
        <f>W301</f>
        <v/>
      </c>
      <c r="X352" s="28">
        <f>X301</f>
        <v/>
      </c>
      <c r="Y352" s="28">
        <f>Y301</f>
        <v/>
      </c>
      <c r="Z352" s="1132">
        <f>Z301</f>
        <v/>
      </c>
      <c r="AA352" s="28">
        <f>AA301</f>
        <v/>
      </c>
      <c r="AB352" s="28">
        <f>AB301</f>
        <v/>
      </c>
      <c r="AC352" s="28">
        <f>AC301</f>
        <v/>
      </c>
      <c r="AD352" s="28">
        <f>AD301</f>
        <v/>
      </c>
      <c r="AE352" s="1132">
        <f>AE301</f>
        <v/>
      </c>
      <c r="AF352" s="28">
        <f>AF301</f>
        <v/>
      </c>
      <c r="AG352" s="28">
        <f>AG301</f>
        <v/>
      </c>
      <c r="AH352" s="28">
        <f>AH301</f>
        <v/>
      </c>
      <c r="AI352" s="28">
        <f>AI301</f>
        <v/>
      </c>
      <c r="AJ352" s="1132">
        <f>AJ301</f>
        <v/>
      </c>
      <c r="AK352" s="28">
        <f>AK301</f>
        <v/>
      </c>
      <c r="AL352" s="28">
        <f>AL301</f>
        <v/>
      </c>
      <c r="AM352" s="28">
        <f>AM301</f>
        <v/>
      </c>
      <c r="AN352" s="28">
        <f>AN301</f>
        <v/>
      </c>
      <c r="AO352" s="1132">
        <f>AO301</f>
        <v/>
      </c>
      <c r="AP352" s="28">
        <f>AP301</f>
        <v/>
      </c>
      <c r="AQ352" s="28">
        <f>AQ301</f>
        <v/>
      </c>
      <c r="AR352" s="28">
        <f>AR301</f>
        <v/>
      </c>
      <c r="AS352" s="28">
        <f>AS301</f>
        <v/>
      </c>
      <c r="AT352" s="1132">
        <f>AT301</f>
        <v/>
      </c>
      <c r="AU352" s="28">
        <f>AU301</f>
        <v/>
      </c>
      <c r="AV352" s="28">
        <f>AV301</f>
        <v/>
      </c>
      <c r="AW352" s="28">
        <f>AW301</f>
        <v/>
      </c>
      <c r="AX352" s="28">
        <f>AX301</f>
        <v/>
      </c>
      <c r="AY352" s="1132">
        <f>AY301</f>
        <v/>
      </c>
      <c r="AZ352" s="28">
        <f>AZ301</f>
        <v/>
      </c>
      <c r="BA352" s="28">
        <f>BA301</f>
        <v/>
      </c>
      <c r="BB352" s="28">
        <f>BB301</f>
        <v/>
      </c>
      <c r="BC352" s="28">
        <f>BC301</f>
        <v/>
      </c>
      <c r="BD352" s="1132">
        <f>BD301</f>
        <v/>
      </c>
      <c r="BE352" s="28">
        <f>BE301</f>
        <v/>
      </c>
      <c r="BF352" s="28">
        <f>BF301</f>
        <v/>
      </c>
      <c r="BG352" s="28">
        <f>BG301</f>
        <v/>
      </c>
      <c r="BH352" s="28">
        <f>BH301</f>
        <v/>
      </c>
      <c r="BI352" s="1132">
        <f>BI301</f>
        <v/>
      </c>
      <c r="BJ352" s="28">
        <f>BJ301</f>
        <v/>
      </c>
      <c r="BK352" s="28">
        <f>BK301</f>
        <v/>
      </c>
      <c r="BL352" s="28">
        <f>BL301</f>
        <v/>
      </c>
      <c r="BM352" s="28">
        <f>BM301</f>
        <v/>
      </c>
      <c r="BN352" s="1132">
        <f>BN301</f>
        <v/>
      </c>
      <c r="BO352" s="28">
        <f>BO301</f>
        <v/>
      </c>
      <c r="BP352" s="28">
        <f>BP301</f>
        <v/>
      </c>
      <c r="BQ352" s="28">
        <f>BQ301</f>
        <v/>
      </c>
      <c r="BR352" s="28">
        <f>BR301</f>
        <v/>
      </c>
      <c r="BS352" s="1132">
        <f>BS301</f>
        <v/>
      </c>
      <c r="BT352" s="28">
        <f>BT301</f>
        <v/>
      </c>
      <c r="BU352" s="28">
        <f>BU301</f>
        <v/>
      </c>
      <c r="BV352" s="505">
        <f>BV301</f>
        <v/>
      </c>
      <c r="BW352" s="63" t="n"/>
      <c r="BX352" s="1125" t="n"/>
      <c r="BY352" s="63" t="n"/>
      <c r="BZ352" s="63" t="n"/>
      <c r="CA352" s="63" t="n"/>
      <c r="CB352" s="63" t="n"/>
      <c r="CC352" s="1125" t="n"/>
      <c r="CD352" s="1125" t="n"/>
      <c r="CE352" s="1125" t="n"/>
      <c r="CF352" s="1125" t="n"/>
      <c r="CG352" s="155" t="n"/>
    </row>
    <row r="353" hidden="1" outlineLevel="1">
      <c r="A353" s="67" t="inlineStr">
        <is>
          <t>Total impact of non-GAAP adjustments to income from operations</t>
        </is>
      </c>
      <c r="B353" s="146" t="n"/>
      <c r="C353" s="1110" t="n"/>
      <c r="D353" s="1110" t="n"/>
      <c r="E353" s="1110" t="n"/>
      <c r="F353" s="1110" t="n"/>
      <c r="G353" s="68" t="n"/>
      <c r="H353" s="68" t="n"/>
      <c r="I353" s="68" t="n"/>
      <c r="J353" s="68" t="n"/>
      <c r="K353" s="1110" t="n"/>
      <c r="L353" s="68" t="n"/>
      <c r="M353" s="68" t="n"/>
      <c r="N353" s="68" t="n"/>
      <c r="O353" s="68" t="n"/>
      <c r="P353" s="1110" t="n"/>
      <c r="Q353" s="68" t="n"/>
      <c r="R353" s="68" t="n"/>
      <c r="S353" s="1053" t="n">
        <v>51</v>
      </c>
      <c r="T353" s="1053" t="n">
        <v>52</v>
      </c>
      <c r="U353" s="1111" t="n">
        <v>195</v>
      </c>
      <c r="V353" s="1053" t="n">
        <v>54</v>
      </c>
      <c r="W353" s="1053" t="n">
        <v>155</v>
      </c>
      <c r="X353" s="1053" t="n">
        <v>63</v>
      </c>
      <c r="Y353" s="1053" t="n">
        <v>104</v>
      </c>
      <c r="Z353" s="1111" t="n">
        <v>378</v>
      </c>
      <c r="AA353" s="1053" t="n">
        <v>77</v>
      </c>
      <c r="AB353" s="1053" t="n">
        <v>65</v>
      </c>
      <c r="AC353" s="1053" t="n">
        <v>69</v>
      </c>
      <c r="AD353" s="1053" t="n">
        <v>76</v>
      </c>
      <c r="AE353" s="1111" t="n">
        <v>287</v>
      </c>
      <c r="AF353" s="1053" t="n">
        <v>83</v>
      </c>
      <c r="AG353" s="1053" t="n">
        <v>85</v>
      </c>
      <c r="AH353" s="1053" t="n">
        <v>110</v>
      </c>
      <c r="AI353" s="1053" t="n">
        <v>129</v>
      </c>
      <c r="AJ353" s="1111" t="n">
        <v>407</v>
      </c>
      <c r="AK353" s="1053" t="n">
        <v>133</v>
      </c>
      <c r="AL353" s="1053" t="n">
        <v>133</v>
      </c>
      <c r="AM353" s="1053" t="n">
        <v>152</v>
      </c>
      <c r="AN353" s="1053" t="n">
        <v>185</v>
      </c>
      <c r="AO353" s="1111" t="n">
        <v>603</v>
      </c>
      <c r="AP353" s="1060" t="n">
        <v>199</v>
      </c>
      <c r="AQ353" s="1053" t="n">
        <v>231</v>
      </c>
      <c r="AR353" s="1053" t="n">
        <v>229</v>
      </c>
      <c r="AS353" s="1053" t="n">
        <v>230</v>
      </c>
      <c r="AT353" s="1111" t="n">
        <v>889</v>
      </c>
      <c r="AU353" s="1060" t="n">
        <v>229</v>
      </c>
      <c r="AV353" s="1053" t="n">
        <v>865</v>
      </c>
      <c r="AW353" s="1053" t="n">
        <v>595</v>
      </c>
      <c r="AX353" s="1053" t="n">
        <v>582</v>
      </c>
      <c r="AY353" s="1111" t="n">
        <v>2271</v>
      </c>
      <c r="AZ353" s="1060" t="n">
        <v>601</v>
      </c>
      <c r="BA353" s="1053" t="n">
        <v>627</v>
      </c>
      <c r="BB353" s="1053" t="n">
        <v>715</v>
      </c>
      <c r="BC353" s="1053" t="n">
        <v>707</v>
      </c>
      <c r="BD353" s="1111" t="n">
        <v>2649</v>
      </c>
      <c r="BE353" s="1060" t="n">
        <v>2087</v>
      </c>
      <c r="BF353" s="1053" t="n">
        <v>826</v>
      </c>
      <c r="BG353" s="1053" t="n">
        <v>935</v>
      </c>
      <c r="BH353" s="1053" t="n">
        <v>967</v>
      </c>
      <c r="BI353" s="1111" t="n">
        <v>4816</v>
      </c>
      <c r="BJ353" s="1060" t="n">
        <v>912</v>
      </c>
      <c r="BK353" s="1053" t="n">
        <v>976</v>
      </c>
      <c r="BL353" s="1053" t="n">
        <v>1140</v>
      </c>
      <c r="BM353" s="1060" t="n">
        <v>1134</v>
      </c>
      <c r="BN353" s="1131" t="n">
        <v>4162</v>
      </c>
      <c r="BO353" s="1060" t="n">
        <v>1150</v>
      </c>
      <c r="BP353" s="1053" t="n">
        <v>1295</v>
      </c>
      <c r="BQ353" s="1053" t="n">
        <v>1407</v>
      </c>
      <c r="BR353" s="1060" t="n">
        <v>1482</v>
      </c>
      <c r="BS353" s="1131" t="n">
        <v>5336</v>
      </c>
      <c r="BT353" s="1060" t="n">
        <v>1637</v>
      </c>
      <c r="BU353" s="1053" t="n">
        <v>1725</v>
      </c>
      <c r="BV353" s="1054" t="n">
        <v>1742</v>
      </c>
      <c r="BW353" s="68" t="n"/>
      <c r="BX353" s="1110" t="n"/>
      <c r="BY353" s="68" t="n"/>
      <c r="BZ353" s="68" t="n"/>
      <c r="CA353" s="68" t="n"/>
      <c r="CB353" s="68" t="n"/>
      <c r="CC353" s="1110" t="n"/>
      <c r="CD353" s="1110" t="n"/>
      <c r="CE353" s="1110" t="n"/>
      <c r="CF353" s="1110" t="n"/>
      <c r="CG353" s="155" t="n"/>
    </row>
    <row r="354" hidden="1" outlineLevel="1">
      <c r="A354" s="59" t="inlineStr">
        <is>
          <t>Non-GAAP income from operations</t>
        </is>
      </c>
      <c r="B354" s="607" t="n"/>
      <c r="C354" s="1122" t="n"/>
      <c r="D354" s="1122" t="n"/>
      <c r="E354" s="1122" t="n"/>
      <c r="F354" s="1122" t="n"/>
      <c r="G354" s="61" t="n"/>
      <c r="H354" s="61" t="n"/>
      <c r="I354" s="61" t="n"/>
      <c r="J354" s="61" t="n"/>
      <c r="K354" s="1122" t="n"/>
      <c r="L354" s="61" t="n"/>
      <c r="M354" s="61" t="n"/>
      <c r="N354" s="61" t="n"/>
      <c r="O354" s="61" t="n"/>
      <c r="P354" s="1122" t="n"/>
      <c r="Q354" s="61" t="n"/>
      <c r="R354" s="61" t="n"/>
      <c r="S354" s="60">
        <f>SUM(S352:S353)</f>
        <v/>
      </c>
      <c r="T354" s="60">
        <f>SUM(T352:T353)</f>
        <v/>
      </c>
      <c r="U354" s="1123">
        <f>SUM(U352:U353)</f>
        <v/>
      </c>
      <c r="V354" s="60">
        <f>SUM(V352:V353)</f>
        <v/>
      </c>
      <c r="W354" s="60">
        <f>SUM(W352:W353)</f>
        <v/>
      </c>
      <c r="X354" s="60">
        <f>SUM(X352:X353)</f>
        <v/>
      </c>
      <c r="Y354" s="60">
        <f>SUM(Y352:Y353)</f>
        <v/>
      </c>
      <c r="Z354" s="1123">
        <f>SUM(Z352:Z353)</f>
        <v/>
      </c>
      <c r="AA354" s="60">
        <f>SUM(AA352:AA353)</f>
        <v/>
      </c>
      <c r="AB354" s="60">
        <f>SUM(AB352:AB353)</f>
        <v/>
      </c>
      <c r="AC354" s="60">
        <f>SUM(AC352:AC353)</f>
        <v/>
      </c>
      <c r="AD354" s="60">
        <f>SUM(AD352:AD353)</f>
        <v/>
      </c>
      <c r="AE354" s="1123">
        <f>SUM(AE352:AE353)</f>
        <v/>
      </c>
      <c r="AF354" s="60">
        <f>SUM(AF352:AF353)</f>
        <v/>
      </c>
      <c r="AG354" s="60">
        <f>SUM(AG352:AG353)</f>
        <v/>
      </c>
      <c r="AH354" s="60">
        <f>SUM(AH352:AH353)</f>
        <v/>
      </c>
      <c r="AI354" s="60">
        <f>SUM(AI352:AI353)</f>
        <v/>
      </c>
      <c r="AJ354" s="1123">
        <f>SUM(AJ352:AJ353)</f>
        <v/>
      </c>
      <c r="AK354" s="60">
        <f>SUM(AK352:AK353)</f>
        <v/>
      </c>
      <c r="AL354" s="60">
        <f>SUM(AL352:AL353)</f>
        <v/>
      </c>
      <c r="AM354" s="60">
        <f>SUM(AM352:AM353)</f>
        <v/>
      </c>
      <c r="AN354" s="60">
        <f>SUM(AN352:AN353)</f>
        <v/>
      </c>
      <c r="AO354" s="1123">
        <f>SUM(AO352:AO353)</f>
        <v/>
      </c>
      <c r="AP354" s="60">
        <f>SUM(AP352:AP353)</f>
        <v/>
      </c>
      <c r="AQ354" s="60">
        <f>SUM(AQ352:AQ353)</f>
        <v/>
      </c>
      <c r="AR354" s="60">
        <f>SUM(AR352:AR353)</f>
        <v/>
      </c>
      <c r="AS354" s="60">
        <f>SUM(AS352:AS353)</f>
        <v/>
      </c>
      <c r="AT354" s="1123">
        <f>SUM(AT352:AT353)</f>
        <v/>
      </c>
      <c r="AU354" s="60">
        <f>SUM(AU352:AU353)</f>
        <v/>
      </c>
      <c r="AV354" s="60">
        <f>SUM(AV352:AV353)</f>
        <v/>
      </c>
      <c r="AW354" s="60">
        <f>SUM(AW352:AW353)</f>
        <v/>
      </c>
      <c r="AX354" s="60">
        <f>SUM(AX352:AX353)</f>
        <v/>
      </c>
      <c r="AY354" s="1123">
        <f>SUM(AY352:AY353)</f>
        <v/>
      </c>
      <c r="AZ354" s="60">
        <f>SUM(AZ352:AZ353)</f>
        <v/>
      </c>
      <c r="BA354" s="60">
        <f>SUM(BA352:BA353)</f>
        <v/>
      </c>
      <c r="BB354" s="60">
        <f>SUM(BB352:BB353)</f>
        <v/>
      </c>
      <c r="BC354" s="60">
        <f>SUM(BC352:BC353)</f>
        <v/>
      </c>
      <c r="BD354" s="1123">
        <f>SUM(BD352:BD353)</f>
        <v/>
      </c>
      <c r="BE354" s="60">
        <f>SUM(BE352:BE353)</f>
        <v/>
      </c>
      <c r="BF354" s="60">
        <f>SUM(BF352:BF353)</f>
        <v/>
      </c>
      <c r="BG354" s="60">
        <f>SUM(BG352:BG353)</f>
        <v/>
      </c>
      <c r="BH354" s="60">
        <f>SUM(BH352:BH353)</f>
        <v/>
      </c>
      <c r="BI354" s="1123">
        <f>SUM(BI352:BI353)</f>
        <v/>
      </c>
      <c r="BJ354" s="60">
        <f>SUM(BJ352:BJ353)</f>
        <v/>
      </c>
      <c r="BK354" s="60">
        <f>SUM(BK352:BK353)</f>
        <v/>
      </c>
      <c r="BL354" s="60">
        <f>SUM(BL352:BL353)</f>
        <v/>
      </c>
      <c r="BM354" s="28">
        <f>SUM(BM352:BM353)</f>
        <v/>
      </c>
      <c r="BN354" s="1132">
        <f>SUM(BN352:BN353)</f>
        <v/>
      </c>
      <c r="BO354" s="60">
        <f>SUM(BO352:BO353)</f>
        <v/>
      </c>
      <c r="BP354" s="60">
        <f>SUM(BP352:BP353)</f>
        <v/>
      </c>
      <c r="BQ354" s="60">
        <f>SUM(BQ352:BQ353)</f>
        <v/>
      </c>
      <c r="BR354" s="28">
        <f>SUM(BR352:BR353)</f>
        <v/>
      </c>
      <c r="BS354" s="1132">
        <f>SUM(BS352:BS353)</f>
        <v/>
      </c>
      <c r="BT354" s="60">
        <f>SUM(BT352:BT353)</f>
        <v/>
      </c>
      <c r="BU354" s="60">
        <f>SUM(BU352:BU353)</f>
        <v/>
      </c>
      <c r="BV354" s="883">
        <f>SUM(BV352:BV353)</f>
        <v/>
      </c>
      <c r="BW354" s="61" t="n"/>
      <c r="BX354" s="1122" t="n"/>
      <c r="BY354" s="61" t="n"/>
      <c r="BZ354" s="61" t="n"/>
      <c r="CA354" s="61" t="n"/>
      <c r="CB354" s="61" t="n"/>
      <c r="CC354" s="1122" t="n"/>
      <c r="CD354" s="1122" t="n"/>
      <c r="CE354" s="1122" t="n"/>
      <c r="CF354" s="1122" t="n"/>
      <c r="CG354" s="155" t="n"/>
    </row>
    <row r="355" hidden="1" outlineLevel="1">
      <c r="A355" s="600" t="n"/>
      <c r="B355" s="279" t="n"/>
      <c r="C355" s="1125" t="n"/>
      <c r="D355" s="1125" t="n"/>
      <c r="E355" s="1125" t="n"/>
      <c r="F355" s="1125" t="n"/>
      <c r="G355" s="63" t="n"/>
      <c r="H355" s="63" t="n"/>
      <c r="I355" s="63" t="n"/>
      <c r="J355" s="63" t="n"/>
      <c r="K355" s="1125" t="n"/>
      <c r="L355" s="63" t="n"/>
      <c r="M355" s="63" t="n"/>
      <c r="N355" s="63" t="n"/>
      <c r="O355" s="63" t="n"/>
      <c r="P355" s="1125" t="n"/>
      <c r="Q355" s="63" t="n"/>
      <c r="R355" s="63" t="n"/>
      <c r="S355" s="63" t="n"/>
      <c r="T355" s="63" t="n"/>
      <c r="U355" s="1125" t="n"/>
      <c r="V355" s="63" t="n"/>
      <c r="W355" s="63" t="n"/>
      <c r="X355" s="63" t="n"/>
      <c r="Y355" s="63" t="n"/>
      <c r="Z355" s="1125" t="n"/>
      <c r="AA355" s="63" t="n"/>
      <c r="AB355" s="63" t="n"/>
      <c r="AC355" s="63" t="n"/>
      <c r="AD355" s="63" t="n"/>
      <c r="AE355" s="1125" t="n"/>
      <c r="AF355" s="63" t="n"/>
      <c r="AG355" s="63" t="n"/>
      <c r="AH355" s="63" t="n"/>
      <c r="AI355" s="63" t="n"/>
      <c r="AJ355" s="1125" t="n"/>
      <c r="AK355" s="63" t="n"/>
      <c r="AL355" s="63" t="n"/>
      <c r="AM355" s="63" t="n"/>
      <c r="AN355" s="63" t="n"/>
      <c r="AO355" s="1125" t="n"/>
      <c r="AP355" s="63" t="n"/>
      <c r="AQ355" s="63" t="n"/>
      <c r="AR355" s="63" t="n"/>
      <c r="AS355" s="63" t="n"/>
      <c r="AT355" s="1125" t="n"/>
      <c r="AU355" s="63" t="n"/>
      <c r="AV355" s="63" t="n"/>
      <c r="AW355" s="63" t="n"/>
      <c r="AX355" s="63" t="n"/>
      <c r="AY355" s="1125" t="n"/>
      <c r="AZ355" s="63" t="n"/>
      <c r="BA355" s="63" t="n"/>
      <c r="BB355" s="63" t="n"/>
      <c r="BC355" s="63" t="n"/>
      <c r="BD355" s="1125" t="n"/>
      <c r="BE355" s="63" t="n"/>
      <c r="BF355" s="63" t="n"/>
      <c r="BG355" s="63" t="n"/>
      <c r="BH355" s="63" t="n"/>
      <c r="BI355" s="1125" t="n"/>
      <c r="BJ355" s="63" t="n"/>
      <c r="BK355" s="63" t="n"/>
      <c r="BL355" s="63" t="n"/>
      <c r="BM355" s="63" t="n"/>
      <c r="BN355" s="1125" t="n"/>
      <c r="BO355" s="63" t="n"/>
      <c r="BP355" s="63" t="n"/>
      <c r="BQ355" s="63" t="n"/>
      <c r="BR355" s="63" t="n"/>
      <c r="BS355" s="1125" t="n"/>
      <c r="BT355" s="63" t="n"/>
      <c r="BU355" s="63" t="n"/>
      <c r="BV355" s="587" t="n"/>
      <c r="BW355" s="63" t="n"/>
      <c r="BX355" s="1125" t="n"/>
      <c r="BY355" s="63" t="n"/>
      <c r="BZ355" s="63" t="n"/>
      <c r="CA355" s="63" t="n"/>
      <c r="CB355" s="63" t="n"/>
      <c r="CC355" s="1125" t="n"/>
      <c r="CD355" s="1125" t="n"/>
      <c r="CE355" s="1125" t="n"/>
      <c r="CF355" s="1125" t="n"/>
      <c r="CG355" s="155" t="n"/>
    </row>
    <row r="356" hidden="1" outlineLevel="1" customFormat="1" s="227">
      <c r="A356" s="100" t="inlineStr">
        <is>
          <t>GAAP net cash provided by operating activities</t>
        </is>
      </c>
      <c r="B356" s="146" t="n"/>
      <c r="C356" s="1111" t="n">
        <v>249.36</v>
      </c>
      <c r="D356" s="1111" t="n">
        <v>487.807</v>
      </c>
      <c r="E356" s="1111" t="n">
        <v>675.797</v>
      </c>
      <c r="F356" s="1111" t="n">
        <v>909.1559999999999</v>
      </c>
      <c r="G356" s="1053" t="n">
        <v>-9.208</v>
      </c>
      <c r="H356" s="1053" t="n">
        <v>200.886</v>
      </c>
      <c r="I356" s="1053" t="n">
        <v>181.485</v>
      </c>
      <c r="J356" s="1053" t="n">
        <v>451.009</v>
      </c>
      <c r="K356" s="1111" t="n">
        <v>824.172</v>
      </c>
      <c r="L356" s="1053" t="n">
        <v>175.65</v>
      </c>
      <c r="M356" s="1053" t="n">
        <v>96.46899999999999</v>
      </c>
      <c r="N356" s="1053" t="n">
        <v>162.315</v>
      </c>
      <c r="O356" s="1053" t="n">
        <v>400.712</v>
      </c>
      <c r="P356" s="1111" t="n">
        <v>835.146</v>
      </c>
      <c r="Q356" s="1053" t="n">
        <v>151.022</v>
      </c>
      <c r="R356" s="1053" t="n">
        <v>96.282</v>
      </c>
      <c r="S356" s="1053" t="n">
        <v>216</v>
      </c>
      <c r="T356" s="1053" t="n">
        <v>443</v>
      </c>
      <c r="U356" s="1111" t="n">
        <v>906</v>
      </c>
      <c r="V356" s="1053" t="n">
        <v>246</v>
      </c>
      <c r="W356" s="1053" t="n">
        <v>163</v>
      </c>
      <c r="X356" s="1053" t="n">
        <v>255</v>
      </c>
      <c r="Y356" s="1053" t="n">
        <v>510</v>
      </c>
      <c r="Z356" s="1111" t="n">
        <v>1175</v>
      </c>
      <c r="AA356" s="1053" t="n">
        <v>318</v>
      </c>
      <c r="AB356" s="1053" t="n">
        <v>201</v>
      </c>
      <c r="AC356" s="1053" t="n">
        <v>432</v>
      </c>
      <c r="AD356" s="1053" t="n">
        <v>721</v>
      </c>
      <c r="AE356" s="1111" t="n">
        <v>1672</v>
      </c>
      <c r="AF356" s="1053" t="n">
        <v>282</v>
      </c>
      <c r="AG356" s="1053" t="n">
        <v>705</v>
      </c>
      <c r="AH356" s="1053" t="n">
        <v>1157</v>
      </c>
      <c r="AI356" s="1053" t="n">
        <v>1358</v>
      </c>
      <c r="AJ356" s="1111" t="n">
        <v>3502</v>
      </c>
      <c r="AK356" s="1053" t="n">
        <v>1445</v>
      </c>
      <c r="AL356" s="1053" t="n">
        <v>913</v>
      </c>
      <c r="AM356" s="1053" t="n">
        <v>487</v>
      </c>
      <c r="AN356" s="1053" t="n">
        <v>898</v>
      </c>
      <c r="AO356" s="1111" t="n">
        <v>3743</v>
      </c>
      <c r="AP356" s="1053" t="n">
        <v>720</v>
      </c>
      <c r="AQ356" s="1053" t="n">
        <v>936</v>
      </c>
      <c r="AR356" s="1053" t="n">
        <v>1640</v>
      </c>
      <c r="AS356" s="1053" t="n">
        <v>1465</v>
      </c>
      <c r="AT356" s="1111" t="n">
        <v>4761</v>
      </c>
      <c r="AU356" s="1053" t="n">
        <v>909</v>
      </c>
      <c r="AV356" s="1053" t="n">
        <v>1566</v>
      </c>
      <c r="AW356" s="1053" t="n">
        <v>1279</v>
      </c>
      <c r="AX356" s="1053" t="n">
        <v>2067</v>
      </c>
      <c r="AY356" s="1111" t="n">
        <v>5822</v>
      </c>
      <c r="AZ356" s="1053" t="n">
        <v>1874</v>
      </c>
      <c r="BA356" s="1053" t="n">
        <v>2682</v>
      </c>
      <c r="BB356" s="1053" t="n">
        <v>1519</v>
      </c>
      <c r="BC356" s="1053" t="n">
        <v>3033</v>
      </c>
      <c r="BD356" s="1111" t="n">
        <v>9108</v>
      </c>
      <c r="BE356" s="1053" t="n">
        <v>1731</v>
      </c>
      <c r="BF356" s="1053" t="n">
        <v>1271</v>
      </c>
      <c r="BG356" s="1053" t="n">
        <v>392</v>
      </c>
      <c r="BH356" s="1053" t="n">
        <v>2249</v>
      </c>
      <c r="BI356" s="1111" t="n">
        <v>5641</v>
      </c>
      <c r="BJ356" s="1053" t="n">
        <v>2911</v>
      </c>
      <c r="BK356" s="1053" t="n">
        <v>6348</v>
      </c>
      <c r="BL356" s="1053" t="n">
        <v>7333</v>
      </c>
      <c r="BM356" s="1053" t="n">
        <v>11499</v>
      </c>
      <c r="BN356" s="1111" t="n">
        <v>28090</v>
      </c>
      <c r="BO356" s="1053" t="n">
        <v>15345</v>
      </c>
      <c r="BP356" s="1053" t="n">
        <v>14489</v>
      </c>
      <c r="BQ356" s="1053" t="n">
        <v>17629</v>
      </c>
      <c r="BR356" s="1053" t="n">
        <v>16628</v>
      </c>
      <c r="BS356" s="1111" t="n">
        <v>64089</v>
      </c>
      <c r="BT356" s="1053" t="n">
        <v>27414</v>
      </c>
      <c r="BU356" s="1053" t="n">
        <v>15365</v>
      </c>
      <c r="BV356" s="1054" t="n">
        <v>23750</v>
      </c>
      <c r="BW356" s="68" t="n"/>
      <c r="BX356" s="1110" t="n"/>
      <c r="BY356" s="68" t="n"/>
      <c r="BZ356" s="68" t="n"/>
      <c r="CA356" s="68" t="n"/>
      <c r="CB356" s="68" t="n"/>
      <c r="CC356" s="1110" t="n"/>
      <c r="CD356" s="1110" t="n"/>
      <c r="CE356" s="1110" t="n"/>
      <c r="CF356" s="1110" t="n"/>
      <c r="CG356" s="27" t="n"/>
    </row>
    <row r="357" hidden="1" outlineLevel="1" customFormat="1" s="227">
      <c r="A357" s="67" t="inlineStr">
        <is>
          <t>Purchases related to property and equipment and intangible assets</t>
        </is>
      </c>
      <c r="B357" s="146" t="n"/>
      <c r="C357" s="1111" t="n">
        <v>-407.67</v>
      </c>
      <c r="D357" s="1111" t="n">
        <v>-77.601</v>
      </c>
      <c r="E357" s="1111" t="n">
        <v>-97.89</v>
      </c>
      <c r="F357" s="1111" t="n">
        <v>-138.735</v>
      </c>
      <c r="G357" s="1053" t="n">
        <v>-28.923</v>
      </c>
      <c r="H357" s="1053" t="n">
        <v>-61.944</v>
      </c>
      <c r="I357" s="1053" t="n">
        <v>-44.684</v>
      </c>
      <c r="J357" s="1053" t="n">
        <v>-47.758</v>
      </c>
      <c r="K357" s="1111" t="n">
        <v>-183.309</v>
      </c>
      <c r="L357" s="1053" t="n">
        <v>-65.667</v>
      </c>
      <c r="M357" s="1053" t="n">
        <v>-84.986</v>
      </c>
      <c r="N357" s="1053" t="n">
        <v>-38.159</v>
      </c>
      <c r="O357" s="1053" t="n">
        <v>-66.374</v>
      </c>
      <c r="P357" s="1111" t="n">
        <v>-255.186</v>
      </c>
      <c r="Q357" s="1053" t="n">
        <v>-29.068</v>
      </c>
      <c r="R357" s="1053" t="n">
        <v>-22.527</v>
      </c>
      <c r="S357" s="1053" t="n">
        <v>-40</v>
      </c>
      <c r="T357" s="1053" t="n">
        <v>-31</v>
      </c>
      <c r="U357" s="1111" t="n">
        <v>-123</v>
      </c>
      <c r="V357" s="1053" t="n">
        <v>-30</v>
      </c>
      <c r="W357" s="1053" t="n">
        <v>-24</v>
      </c>
      <c r="X357" s="1053" t="n">
        <v>-16</v>
      </c>
      <c r="Y357" s="1053" t="n">
        <v>-15</v>
      </c>
      <c r="Z357" s="1111" t="n">
        <v>-86</v>
      </c>
      <c r="AA357" s="1053" t="n">
        <v>-55</v>
      </c>
      <c r="AB357" s="1053" t="n">
        <v>-33</v>
      </c>
      <c r="AC357" s="1053" t="n">
        <v>-38</v>
      </c>
      <c r="AD357" s="1053" t="n">
        <v>-52</v>
      </c>
      <c r="AE357" s="1111" t="n">
        <v>-176</v>
      </c>
      <c r="AF357" s="1053" t="n">
        <v>-53</v>
      </c>
      <c r="AG357" s="1053" t="n">
        <v>-55</v>
      </c>
      <c r="AH357" s="1053" t="n">
        <v>-69</v>
      </c>
      <c r="AI357" s="1053" t="n">
        <v>-416</v>
      </c>
      <c r="AJ357" s="1111" t="n">
        <v>-593</v>
      </c>
      <c r="AK357" s="1053" t="n">
        <v>-118</v>
      </c>
      <c r="AL357" s="1053" t="n">
        <v>-128</v>
      </c>
      <c r="AM357" s="1053" t="n">
        <v>-150</v>
      </c>
      <c r="AN357" s="1053" t="n">
        <v>-203</v>
      </c>
      <c r="AO357" s="1111" t="n">
        <v>-600</v>
      </c>
      <c r="AP357" s="1053" t="n">
        <v>-128</v>
      </c>
      <c r="AQ357" s="1053" t="n">
        <v>-113</v>
      </c>
      <c r="AR357" s="1053" t="n">
        <v>-104</v>
      </c>
      <c r="AS357" s="1053" t="n">
        <v>-144</v>
      </c>
      <c r="AT357" s="1111" t="n">
        <v>-489</v>
      </c>
      <c r="AU357" s="1053" t="n">
        <v>-155</v>
      </c>
      <c r="AV357" s="1053" t="n">
        <v>-217</v>
      </c>
      <c r="AW357" s="1053" t="n">
        <v>-473</v>
      </c>
      <c r="AX357" s="1053" t="n">
        <v>-283</v>
      </c>
      <c r="AY357" s="1111" t="n">
        <v>-1128</v>
      </c>
      <c r="AZ357" s="1053" t="n">
        <v>-298</v>
      </c>
      <c r="BA357" s="1053" t="n">
        <v>-183</v>
      </c>
      <c r="BB357" s="1053" t="n">
        <v>-221</v>
      </c>
      <c r="BC357" s="1053" t="n">
        <v>-273</v>
      </c>
      <c r="BD357" s="1111" t="n">
        <v>-976</v>
      </c>
      <c r="BE357" s="1053" t="n">
        <v>-361</v>
      </c>
      <c r="BF357" s="1053" t="n">
        <v>-432</v>
      </c>
      <c r="BG357" s="1053" t="n">
        <v>-530</v>
      </c>
      <c r="BH357" s="1053" t="n">
        <v>-509</v>
      </c>
      <c r="BI357" s="1111" t="n">
        <v>-1833</v>
      </c>
      <c r="BJ357" s="1053" t="n">
        <v>-248</v>
      </c>
      <c r="BK357" s="1053" t="n">
        <v>-289</v>
      </c>
      <c r="BL357" s="1053" t="n">
        <v>-278</v>
      </c>
      <c r="BM357" s="1053" t="n">
        <v>-253</v>
      </c>
      <c r="BN357" s="1111" t="n">
        <v>-1069</v>
      </c>
      <c r="BO357" s="1053" t="n">
        <v>-369</v>
      </c>
      <c r="BP357" s="1053" t="n">
        <v>-977</v>
      </c>
      <c r="BQ357" s="1053" t="n">
        <v>-813</v>
      </c>
      <c r="BR357" s="1053" t="n">
        <v>-1077</v>
      </c>
      <c r="BS357" s="1111" t="n">
        <v>-3236</v>
      </c>
      <c r="BT357" s="1053" t="n">
        <v>-1227</v>
      </c>
      <c r="BU357" s="1053" t="n">
        <v>-1894</v>
      </c>
      <c r="BV357" s="1054" t="n">
        <v>-1637</v>
      </c>
      <c r="BW357" s="68" t="n"/>
      <c r="BX357" s="1110" t="n"/>
      <c r="BY357" s="68" t="n"/>
      <c r="BZ357" s="68" t="n"/>
      <c r="CA357" s="68" t="n"/>
      <c r="CB357" s="68" t="n"/>
      <c r="CC357" s="1110" t="n"/>
      <c r="CD357" s="1110" t="n"/>
      <c r="CE357" s="1110" t="n"/>
      <c r="CF357" s="1110" t="n"/>
      <c r="CG357" s="27" t="n"/>
    </row>
    <row r="358" hidden="1" outlineLevel="1" customFormat="1" s="227">
      <c r="A358" s="67" t="inlineStr">
        <is>
          <t>Principal payments on property and equipment and intangible assets</t>
        </is>
      </c>
      <c r="B358" s="146" t="n"/>
      <c r="C358" s="1110" t="n"/>
      <c r="D358" s="1110" t="n"/>
      <c r="E358" s="1110" t="n"/>
      <c r="F358" s="1110" t="n"/>
      <c r="G358" s="68" t="n"/>
      <c r="H358" s="68" t="n"/>
      <c r="I358" s="68" t="n"/>
      <c r="J358" s="68" t="n"/>
      <c r="K358" s="1110" t="n"/>
      <c r="L358" s="68" t="n"/>
      <c r="M358" s="68" t="n"/>
      <c r="N358" s="68" t="n"/>
      <c r="O358" s="68" t="n"/>
      <c r="P358" s="1110" t="n"/>
      <c r="Q358" s="68" t="n"/>
      <c r="R358" s="68" t="n"/>
      <c r="S358" s="68" t="n"/>
      <c r="T358" s="68" t="n"/>
      <c r="U358" s="1110" t="n"/>
      <c r="V358" s="68" t="n"/>
      <c r="W358" s="68" t="n"/>
      <c r="X358" s="68" t="n"/>
      <c r="Y358" s="68" t="n"/>
      <c r="Z358" s="1110" t="n"/>
      <c r="AA358" s="68" t="n"/>
      <c r="AB358" s="68" t="n"/>
      <c r="AC358" s="68" t="n"/>
      <c r="AD358" s="68" t="n"/>
      <c r="AE358" s="1110" t="n"/>
      <c r="AF358" s="68" t="n"/>
      <c r="AG358" s="68" t="n"/>
      <c r="AH358" s="68" t="n"/>
      <c r="AI358" s="68" t="n"/>
      <c r="AJ358" s="1110" t="n"/>
      <c r="AK358" s="68" t="n"/>
      <c r="AL358" s="68" t="n"/>
      <c r="AM358" s="68" t="n"/>
      <c r="AN358" s="68" t="n"/>
      <c r="AO358" s="1110" t="n"/>
      <c r="AP358" s="68" t="n"/>
      <c r="AQ358" s="68" t="n"/>
      <c r="AR358" s="68" t="n"/>
      <c r="AS358" s="1053" t="n">
        <v>0</v>
      </c>
      <c r="AT358" s="1111" t="n">
        <v>0</v>
      </c>
      <c r="AU358" s="68" t="n"/>
      <c r="AV358" s="1053" t="n">
        <v>0</v>
      </c>
      <c r="AW358" s="1053" t="n">
        <v>0</v>
      </c>
      <c r="AX358" s="1053" t="n">
        <v>-17</v>
      </c>
      <c r="AY358" s="1111" t="n">
        <v>-17</v>
      </c>
      <c r="AZ358" s="1053" t="n">
        <v>-19</v>
      </c>
      <c r="BA358" s="1053" t="n">
        <v>-21</v>
      </c>
      <c r="BB358" s="1053" t="n">
        <v>-22</v>
      </c>
      <c r="BC358" s="1053" t="n">
        <v>-21</v>
      </c>
      <c r="BD358" s="1111" t="n">
        <v>-83</v>
      </c>
      <c r="BE358" s="1053" t="n">
        <v>-22</v>
      </c>
      <c r="BF358" s="1053" t="n">
        <v>-15</v>
      </c>
      <c r="BG358" s="1053" t="n">
        <v>-18</v>
      </c>
      <c r="BH358" s="1053" t="n">
        <v>-4</v>
      </c>
      <c r="BI358" s="1111" t="n">
        <v>-58</v>
      </c>
      <c r="BJ358" s="1053" t="n">
        <v>-20</v>
      </c>
      <c r="BK358" s="1053" t="n">
        <v>-11</v>
      </c>
      <c r="BL358" s="1053" t="n">
        <v>-13</v>
      </c>
      <c r="BM358" s="1053" t="n">
        <v>-29</v>
      </c>
      <c r="BN358" s="1111" t="n">
        <v>-74</v>
      </c>
      <c r="BO358" s="1053" t="n">
        <v>-40</v>
      </c>
      <c r="BP358" s="1053" t="n">
        <v>-29</v>
      </c>
      <c r="BQ358" s="1053" t="n">
        <v>-29</v>
      </c>
      <c r="BR358" s="1053" t="n">
        <v>-32</v>
      </c>
      <c r="BS358" s="1111" t="n">
        <v>-129</v>
      </c>
      <c r="BT358" s="1053" t="n">
        <v>-52</v>
      </c>
      <c r="BU358" s="1053" t="n">
        <v>-21</v>
      </c>
      <c r="BV358" s="1054" t="n">
        <v>-24</v>
      </c>
      <c r="BW358" s="68" t="n"/>
      <c r="BX358" s="1110" t="n"/>
      <c r="BY358" s="68" t="n"/>
      <c r="BZ358" s="68" t="n"/>
      <c r="CA358" s="68" t="n"/>
      <c r="CB358" s="68" t="n"/>
      <c r="CC358" s="1110" t="n"/>
      <c r="CD358" s="1110" t="n"/>
      <c r="CE358" s="1110" t="n"/>
      <c r="CF358" s="1110" t="n"/>
      <c r="CG358" s="27" t="n"/>
    </row>
    <row r="359" hidden="1" outlineLevel="1" customFormat="1" s="227">
      <c r="A359" s="59" t="inlineStr">
        <is>
          <t>Free cash flow</t>
        </is>
      </c>
      <c r="B359" s="607" t="n"/>
      <c r="C359" s="1122">
        <f>SUM(C356:C358)</f>
        <v/>
      </c>
      <c r="D359" s="1122">
        <f>SUM(D356:D358)</f>
        <v/>
      </c>
      <c r="E359" s="1122">
        <f>SUM(E356:E358)</f>
        <v/>
      </c>
      <c r="F359" s="1122">
        <f>SUM(F356:F358)</f>
        <v/>
      </c>
      <c r="G359" s="61">
        <f>SUM(G356:G358)</f>
        <v/>
      </c>
      <c r="H359" s="61">
        <f>SUM(H356:H358)</f>
        <v/>
      </c>
      <c r="I359" s="61">
        <f>SUM(I356:I358)</f>
        <v/>
      </c>
      <c r="J359" s="61">
        <f>SUM(J356:J358)</f>
        <v/>
      </c>
      <c r="K359" s="1122">
        <f>SUM(K356:K358)</f>
        <v/>
      </c>
      <c r="L359" s="61">
        <f>SUM(L356:L358)</f>
        <v/>
      </c>
      <c r="M359" s="61">
        <f>SUM(M356:M358)</f>
        <v/>
      </c>
      <c r="N359" s="61">
        <f>SUM(N356:N358)</f>
        <v/>
      </c>
      <c r="O359" s="61">
        <f>SUM(O356:O358)</f>
        <v/>
      </c>
      <c r="P359" s="1122">
        <f>SUM(P356:P358)</f>
        <v/>
      </c>
      <c r="Q359" s="61">
        <f>SUM(Q356:Q358)</f>
        <v/>
      </c>
      <c r="R359" s="61">
        <f>SUM(R356:R358)</f>
        <v/>
      </c>
      <c r="S359" s="60">
        <f>SUM(S356:S358)</f>
        <v/>
      </c>
      <c r="T359" s="60">
        <f>SUM(T356:T358)</f>
        <v/>
      </c>
      <c r="U359" s="1123">
        <f>SUM(U356:U358)</f>
        <v/>
      </c>
      <c r="V359" s="60">
        <f>SUM(V356:V358)</f>
        <v/>
      </c>
      <c r="W359" s="60">
        <f>SUM(W356:W358)</f>
        <v/>
      </c>
      <c r="X359" s="60">
        <f>SUM(X356:X358)</f>
        <v/>
      </c>
      <c r="Y359" s="60">
        <f>SUM(Y356:Y358)</f>
        <v/>
      </c>
      <c r="Z359" s="1123">
        <f>SUM(Z356:Z358)</f>
        <v/>
      </c>
      <c r="AA359" s="60">
        <f>SUM(AA356:AA358)</f>
        <v/>
      </c>
      <c r="AB359" s="60">
        <f>SUM(AB356:AB358)</f>
        <v/>
      </c>
      <c r="AC359" s="60">
        <f>SUM(AC356:AC358)</f>
        <v/>
      </c>
      <c r="AD359" s="60">
        <f>SUM(AD356:AD358)</f>
        <v/>
      </c>
      <c r="AE359" s="1123">
        <f>SUM(AE356:AE358)</f>
        <v/>
      </c>
      <c r="AF359" s="60">
        <f>SUM(AF356:AF358)</f>
        <v/>
      </c>
      <c r="AG359" s="60">
        <f>SUM(AG356:AG358)</f>
        <v/>
      </c>
      <c r="AH359" s="60">
        <f>SUM(AH356:AH358)</f>
        <v/>
      </c>
      <c r="AI359" s="60">
        <f>SUM(AI356:AI358)</f>
        <v/>
      </c>
      <c r="AJ359" s="1123">
        <f>SUM(AJ356:AJ358)</f>
        <v/>
      </c>
      <c r="AK359" s="60">
        <f>SUM(AK356:AK358)</f>
        <v/>
      </c>
      <c r="AL359" s="60">
        <f>SUM(AL356:AL358)</f>
        <v/>
      </c>
      <c r="AM359" s="60">
        <f>SUM(AM356:AM358)</f>
        <v/>
      </c>
      <c r="AN359" s="60">
        <f>SUM(AN356:AN358)</f>
        <v/>
      </c>
      <c r="AO359" s="1123">
        <f>SUM(AO356:AO358)</f>
        <v/>
      </c>
      <c r="AP359" s="60">
        <f>SUM(AP356:AP358)</f>
        <v/>
      </c>
      <c r="AQ359" s="60">
        <f>SUM(AQ356:AQ358)</f>
        <v/>
      </c>
      <c r="AR359" s="60">
        <f>SUM(AR356:AR358)</f>
        <v/>
      </c>
      <c r="AS359" s="60">
        <f>SUM(AS356:AS358)</f>
        <v/>
      </c>
      <c r="AT359" s="1123">
        <f>SUM(AT356:AT358)</f>
        <v/>
      </c>
      <c r="AU359" s="60">
        <f>SUM(AU356:AU358)</f>
        <v/>
      </c>
      <c r="AV359" s="60">
        <f>SUM(AV356:AV358)</f>
        <v/>
      </c>
      <c r="AW359" s="60">
        <f>SUM(AW356:AW358)</f>
        <v/>
      </c>
      <c r="AX359" s="60">
        <f>SUM(AX356:AX358)</f>
        <v/>
      </c>
      <c r="AY359" s="1123">
        <f>SUM(AY356:AY358)</f>
        <v/>
      </c>
      <c r="AZ359" s="60">
        <f>SUM(AZ356:AZ358)</f>
        <v/>
      </c>
      <c r="BA359" s="60">
        <f>SUM(BA356:BA358)</f>
        <v/>
      </c>
      <c r="BB359" s="60">
        <f>SUM(BB356:BB358)</f>
        <v/>
      </c>
      <c r="BC359" s="60">
        <f>SUM(BC356:BC358)</f>
        <v/>
      </c>
      <c r="BD359" s="1123">
        <f>SUM(BD356:BD358)</f>
        <v/>
      </c>
      <c r="BE359" s="60">
        <f>SUM(BE356:BE358)</f>
        <v/>
      </c>
      <c r="BF359" s="60">
        <f>SUM(BF356:BF358)</f>
        <v/>
      </c>
      <c r="BG359" s="60">
        <f>SUM(BG356:BG358)</f>
        <v/>
      </c>
      <c r="BH359" s="60">
        <f>SUM(BH356:BH358)</f>
        <v/>
      </c>
      <c r="BI359" s="1123">
        <f>SUM(BI356:BI358)</f>
        <v/>
      </c>
      <c r="BJ359" s="60">
        <f>SUM(BJ356:BJ358)</f>
        <v/>
      </c>
      <c r="BK359" s="60">
        <f>SUM(BK356:BK358)</f>
        <v/>
      </c>
      <c r="BL359" s="60">
        <f>SUM(BL356:BL358)</f>
        <v/>
      </c>
      <c r="BM359" s="60">
        <f>SUM(BM356:BM358)</f>
        <v/>
      </c>
      <c r="BN359" s="1123">
        <f>SUM(BN356:BN358)</f>
        <v/>
      </c>
      <c r="BO359" s="60">
        <f>SUM(BO356:BO358)</f>
        <v/>
      </c>
      <c r="BP359" s="60">
        <f>SUM(BP356:BP358)</f>
        <v/>
      </c>
      <c r="BQ359" s="60">
        <f>SUM(BQ356:BQ358)</f>
        <v/>
      </c>
      <c r="BR359" s="60">
        <f>SUM(BR356:BR358)</f>
        <v/>
      </c>
      <c r="BS359" s="1123">
        <f>SUM(BS356:BS358)</f>
        <v/>
      </c>
      <c r="BT359" s="60">
        <f>SUM(BT356:BT358)</f>
        <v/>
      </c>
      <c r="BU359" s="60">
        <f>SUM(BU356:BU358)</f>
        <v/>
      </c>
      <c r="BV359" s="883">
        <f>SUM(BV356:BV358)</f>
        <v/>
      </c>
      <c r="BW359" s="61" t="n"/>
      <c r="BX359" s="1122" t="n"/>
      <c r="BY359" s="61" t="n"/>
      <c r="BZ359" s="61" t="n"/>
      <c r="CA359" s="61" t="n"/>
      <c r="CB359" s="61" t="n"/>
      <c r="CC359" s="1122" t="n"/>
      <c r="CD359" s="1122" t="n"/>
      <c r="CE359" s="1122" t="n"/>
      <c r="CF359" s="1122" t="n"/>
      <c r="CG359" s="27" t="n"/>
    </row>
    <row r="360" collapsed="1">
      <c r="A360" s="600" t="n"/>
      <c r="B360" s="279" t="n"/>
      <c r="C360" s="1125" t="n"/>
      <c r="D360" s="1125" t="n"/>
      <c r="E360" s="1125" t="n"/>
      <c r="F360" s="1125" t="n"/>
      <c r="G360" s="63" t="n"/>
      <c r="H360" s="63" t="n"/>
      <c r="I360" s="63" t="n"/>
      <c r="J360" s="63" t="n"/>
      <c r="K360" s="1125" t="n"/>
      <c r="L360" s="63" t="n"/>
      <c r="M360" s="63" t="n"/>
      <c r="N360" s="63" t="n"/>
      <c r="O360" s="63" t="n"/>
      <c r="P360" s="1125" t="n"/>
      <c r="Q360" s="63" t="n"/>
      <c r="R360" s="63" t="n"/>
      <c r="S360" s="63" t="n"/>
      <c r="T360" s="63" t="n"/>
      <c r="U360" s="1125" t="n"/>
      <c r="V360" s="63" t="n"/>
      <c r="W360" s="63" t="n"/>
      <c r="X360" s="63" t="n"/>
      <c r="Y360" s="63" t="n"/>
      <c r="Z360" s="1125" t="n"/>
      <c r="AA360" s="63" t="n"/>
      <c r="AB360" s="63" t="n"/>
      <c r="AC360" s="63" t="n"/>
      <c r="AD360" s="63" t="n"/>
      <c r="AE360" s="1125" t="n"/>
      <c r="AF360" s="63" t="n"/>
      <c r="AG360" s="63" t="n"/>
      <c r="AH360" s="63" t="n"/>
      <c r="AI360" s="63" t="n"/>
      <c r="AJ360" s="1125" t="n"/>
      <c r="AK360" s="63" t="n"/>
      <c r="AL360" s="63" t="n"/>
      <c r="AM360" s="63" t="n"/>
      <c r="AN360" s="63" t="n"/>
      <c r="AO360" s="1125" t="n"/>
      <c r="AP360" s="63" t="n"/>
      <c r="AQ360" s="63" t="n"/>
      <c r="AR360" s="63" t="n"/>
      <c r="AS360" s="63" t="n"/>
      <c r="AT360" s="1125" t="n"/>
      <c r="AU360" s="63" t="n"/>
      <c r="AV360" s="63" t="n"/>
      <c r="AW360" s="63" t="n"/>
      <c r="AX360" s="63" t="n"/>
      <c r="AY360" s="1125" t="n"/>
      <c r="AZ360" s="63" t="n"/>
      <c r="BA360" s="63" t="n"/>
      <c r="BB360" s="63" t="n"/>
      <c r="BC360" s="63" t="n"/>
      <c r="BD360" s="1125" t="n"/>
      <c r="BE360" s="63" t="n"/>
      <c r="BF360" s="63" t="n"/>
      <c r="BG360" s="63" t="n"/>
      <c r="BH360" s="63" t="n"/>
      <c r="BI360" s="1125" t="n"/>
      <c r="BJ360" s="63" t="n"/>
      <c r="BK360" s="63" t="n"/>
      <c r="BL360" s="63" t="n"/>
      <c r="BM360" s="63" t="n"/>
      <c r="BN360" s="1125" t="n"/>
      <c r="BO360" s="63" t="n"/>
      <c r="BP360" s="63" t="n"/>
      <c r="BQ360" s="63" t="n"/>
      <c r="BR360" s="63" t="n"/>
      <c r="BS360" s="1125" t="n"/>
      <c r="BT360" s="63" t="n"/>
      <c r="BU360" s="63" t="n"/>
      <c r="BV360" s="587" t="n"/>
      <c r="BW360" s="63" t="n"/>
      <c r="BX360" s="1125" t="n"/>
      <c r="BY360" s="63" t="n"/>
      <c r="BZ360" s="63" t="n"/>
      <c r="CA360" s="63" t="n"/>
      <c r="CB360" s="63" t="n"/>
      <c r="CC360" s="1125" t="n"/>
      <c r="CD360" s="1125" t="n"/>
      <c r="CE360" s="1125" t="n"/>
      <c r="CF360" s="1125" t="n"/>
      <c r="CG360" s="155" t="n"/>
    </row>
    <row r="361">
      <c r="A361" s="45" t="inlineStr">
        <is>
          <t>Revised Income Statement</t>
        </is>
      </c>
      <c r="B361" s="45" t="n"/>
      <c r="C361" s="45" t="n"/>
      <c r="D361" s="45" t="n"/>
      <c r="E361" s="45" t="n"/>
      <c r="F361" s="45" t="n"/>
      <c r="G361" s="45" t="n"/>
      <c r="H361" s="45" t="n"/>
      <c r="I361" s="45" t="n"/>
      <c r="J361" s="45" t="n"/>
      <c r="K361" s="45" t="n"/>
      <c r="L361" s="45" t="n"/>
      <c r="M361" s="45" t="n"/>
      <c r="N361" s="45" t="n"/>
      <c r="O361" s="45" t="n"/>
      <c r="P361" s="45" t="n"/>
      <c r="Q361" s="45" t="n"/>
      <c r="R361" s="45" t="n"/>
      <c r="S361" s="45" t="n"/>
      <c r="T361" s="45" t="n"/>
      <c r="U361" s="45" t="n"/>
      <c r="V361" s="45" t="n"/>
      <c r="W361" s="45" t="n"/>
      <c r="X361" s="45" t="n"/>
      <c r="Y361" s="45" t="n"/>
      <c r="Z361" s="45" t="n"/>
      <c r="AA361" s="45" t="n"/>
      <c r="AB361" s="45" t="n"/>
      <c r="AC361" s="45" t="n"/>
      <c r="AD361" s="45" t="n"/>
      <c r="AE361" s="45" t="n"/>
      <c r="AF361" s="45" t="n"/>
      <c r="AG361" s="45" t="n"/>
      <c r="AH361" s="45" t="n"/>
      <c r="AI361" s="45" t="n"/>
      <c r="AJ361" s="45" t="n"/>
      <c r="AK361" s="45" t="n"/>
      <c r="AL361" s="45" t="n"/>
      <c r="AM361" s="45" t="n"/>
      <c r="AN361" s="45" t="n"/>
      <c r="AO361" s="45" t="n"/>
      <c r="AP361" s="45" t="n"/>
      <c r="AQ361" s="45" t="n"/>
      <c r="AR361" s="45" t="n"/>
      <c r="AS361" s="45" t="n"/>
      <c r="AT361" s="45" t="n"/>
      <c r="AU361" s="45" t="n"/>
      <c r="AV361" s="45" t="n"/>
      <c r="AW361" s="45" t="n"/>
      <c r="AX361" s="45" t="n"/>
      <c r="AY361" s="45" t="n"/>
      <c r="AZ361" s="45" t="n"/>
      <c r="BA361" s="45" t="n"/>
      <c r="BB361" s="45" t="n"/>
      <c r="BC361" s="45" t="n"/>
      <c r="BD361" s="45" t="n"/>
      <c r="BE361" s="45" t="n"/>
      <c r="BF361" s="45" t="n"/>
      <c r="BG361" s="45" t="n"/>
      <c r="BH361" s="45" t="n"/>
      <c r="BI361" s="45" t="n"/>
      <c r="BJ361" s="45" t="n"/>
      <c r="BK361" s="45" t="n"/>
      <c r="BL361" s="45" t="n"/>
      <c r="BM361" s="45" t="n"/>
      <c r="BN361" s="45" t="n"/>
      <c r="BO361" s="45" t="n"/>
      <c r="BP361" s="45" t="n"/>
      <c r="BQ361" s="45" t="n"/>
      <c r="BR361" s="45" t="n"/>
      <c r="BS361" s="45" t="n"/>
      <c r="BT361" s="45" t="n"/>
      <c r="BU361" s="45" t="n"/>
      <c r="BV361" s="982" t="n"/>
      <c r="BW361" s="45" t="n"/>
      <c r="BX361" s="45" t="n"/>
      <c r="BY361" s="45" t="n"/>
      <c r="BZ361" s="45" t="n"/>
      <c r="CA361" s="45" t="n"/>
      <c r="CB361" s="45" t="n"/>
      <c r="CC361" s="45" t="n"/>
      <c r="CD361" s="45" t="n"/>
      <c r="CE361" s="45" t="n"/>
      <c r="CF361" s="45" t="n"/>
      <c r="CG361" s="155" t="n"/>
    </row>
    <row r="362">
      <c r="A362" s="62" t="inlineStr">
        <is>
          <t>Net Revenue</t>
        </is>
      </c>
      <c r="B362" s="279" t="n"/>
      <c r="C362" s="1132">
        <f>C292</f>
        <v/>
      </c>
      <c r="D362" s="1132">
        <f>D292</f>
        <v/>
      </c>
      <c r="E362" s="1132">
        <f>E292</f>
        <v/>
      </c>
      <c r="F362" s="1132">
        <f>F292</f>
        <v/>
      </c>
      <c r="G362" s="28">
        <f>G292</f>
        <v/>
      </c>
      <c r="H362" s="28">
        <f>H292</f>
        <v/>
      </c>
      <c r="I362" s="28">
        <f>I292</f>
        <v/>
      </c>
      <c r="J362" s="28">
        <f>J292</f>
        <v/>
      </c>
      <c r="K362" s="1132">
        <f>K292</f>
        <v/>
      </c>
      <c r="L362" s="28">
        <f>L292</f>
        <v/>
      </c>
      <c r="M362" s="28">
        <f>M292</f>
        <v/>
      </c>
      <c r="N362" s="28">
        <f>N292</f>
        <v/>
      </c>
      <c r="O362" s="28">
        <f>O292</f>
        <v/>
      </c>
      <c r="P362" s="1132">
        <f>P292</f>
        <v/>
      </c>
      <c r="Q362" s="28">
        <f>Q292</f>
        <v/>
      </c>
      <c r="R362" s="28">
        <f>R292</f>
        <v/>
      </c>
      <c r="S362" s="28">
        <f>S292</f>
        <v/>
      </c>
      <c r="T362" s="28">
        <f>T292</f>
        <v/>
      </c>
      <c r="U362" s="1132">
        <f>U292</f>
        <v/>
      </c>
      <c r="V362" s="28">
        <f>V292</f>
        <v/>
      </c>
      <c r="W362" s="28">
        <f>W292</f>
        <v/>
      </c>
      <c r="X362" s="28">
        <f>X292</f>
        <v/>
      </c>
      <c r="Y362" s="28">
        <f>Y292</f>
        <v/>
      </c>
      <c r="Z362" s="1132">
        <f>Z292</f>
        <v/>
      </c>
      <c r="AA362" s="28">
        <f>AA292</f>
        <v/>
      </c>
      <c r="AB362" s="28">
        <f>AB292</f>
        <v/>
      </c>
      <c r="AC362" s="28">
        <f>AC292</f>
        <v/>
      </c>
      <c r="AD362" s="28">
        <f>AD292</f>
        <v/>
      </c>
      <c r="AE362" s="1132">
        <f>AE292</f>
        <v/>
      </c>
      <c r="AF362" s="28">
        <f>AF292</f>
        <v/>
      </c>
      <c r="AG362" s="28">
        <f>AG292</f>
        <v/>
      </c>
      <c r="AH362" s="28">
        <f>AH292</f>
        <v/>
      </c>
      <c r="AI362" s="28">
        <f>AI292</f>
        <v/>
      </c>
      <c r="AJ362" s="1132">
        <f>AJ292</f>
        <v/>
      </c>
      <c r="AK362" s="28">
        <f>AK292</f>
        <v/>
      </c>
      <c r="AL362" s="28">
        <f>AL292</f>
        <v/>
      </c>
      <c r="AM362" s="28">
        <f>AM292</f>
        <v/>
      </c>
      <c r="AN362" s="28">
        <f>AN292</f>
        <v/>
      </c>
      <c r="AO362" s="1132">
        <f>AO292</f>
        <v/>
      </c>
      <c r="AP362" s="28">
        <f>AP292</f>
        <v/>
      </c>
      <c r="AQ362" s="28">
        <f>AQ292</f>
        <v/>
      </c>
      <c r="AR362" s="28">
        <f>AR292</f>
        <v/>
      </c>
      <c r="AS362" s="28">
        <f>AS292</f>
        <v/>
      </c>
      <c r="AT362" s="1132">
        <f>AT292</f>
        <v/>
      </c>
      <c r="AU362" s="28">
        <f>AU292</f>
        <v/>
      </c>
      <c r="AV362" s="28">
        <f>AV292</f>
        <v/>
      </c>
      <c r="AW362" s="28">
        <f>AW292</f>
        <v/>
      </c>
      <c r="AX362" s="28">
        <f>AX292</f>
        <v/>
      </c>
      <c r="AY362" s="1132">
        <f>AY292</f>
        <v/>
      </c>
      <c r="AZ362" s="28">
        <f>AZ292</f>
        <v/>
      </c>
      <c r="BA362" s="28">
        <f>BA292</f>
        <v/>
      </c>
      <c r="BB362" s="28">
        <f>BB292</f>
        <v/>
      </c>
      <c r="BC362" s="28">
        <f>BC292</f>
        <v/>
      </c>
      <c r="BD362" s="1132">
        <f>BD292</f>
        <v/>
      </c>
      <c r="BE362" s="28">
        <f>BE292</f>
        <v/>
      </c>
      <c r="BF362" s="28">
        <f>BF292</f>
        <v/>
      </c>
      <c r="BG362" s="28">
        <f>BG292</f>
        <v/>
      </c>
      <c r="BH362" s="28">
        <f>BH292</f>
        <v/>
      </c>
      <c r="BI362" s="1132">
        <f>BI292</f>
        <v/>
      </c>
      <c r="BJ362" s="28">
        <f>BJ292</f>
        <v/>
      </c>
      <c r="BK362" s="28">
        <f>BK292</f>
        <v/>
      </c>
      <c r="BL362" s="28">
        <f>BL292</f>
        <v/>
      </c>
      <c r="BM362" s="28">
        <f>BM292</f>
        <v/>
      </c>
      <c r="BN362" s="1132">
        <f>BN292</f>
        <v/>
      </c>
      <c r="BO362" s="28">
        <f>BO292</f>
        <v/>
      </c>
      <c r="BP362" s="28">
        <f>BP292</f>
        <v/>
      </c>
      <c r="BQ362" s="28">
        <f>BQ292</f>
        <v/>
      </c>
      <c r="BR362" s="28">
        <f>BR292</f>
        <v/>
      </c>
      <c r="BS362" s="1132">
        <f>BS292</f>
        <v/>
      </c>
      <c r="BT362" s="28">
        <f>BT292</f>
        <v/>
      </c>
      <c r="BU362" s="28">
        <f>BU292</f>
        <v/>
      </c>
      <c r="BV362" s="505">
        <f>BV292</f>
        <v/>
      </c>
      <c r="BW362" s="63">
        <f>+BW34</f>
        <v/>
      </c>
      <c r="BX362" s="1125">
        <f>SUM(BT362,BU362,BV362,BW362)</f>
        <v/>
      </c>
      <c r="BY362" s="63">
        <f>+BY34</f>
        <v/>
      </c>
      <c r="BZ362" s="63">
        <f>+BZ34</f>
        <v/>
      </c>
      <c r="CA362" s="63">
        <f>+CA34</f>
        <v/>
      </c>
      <c r="CB362" s="63">
        <f>+CB34</f>
        <v/>
      </c>
      <c r="CC362" s="1125">
        <f>SUM(BY362,BZ362,CA362,CB362)</f>
        <v/>
      </c>
      <c r="CD362" s="1125">
        <f>+CD34</f>
        <v/>
      </c>
      <c r="CE362" s="1125">
        <f>CE34</f>
        <v/>
      </c>
      <c r="CF362" s="1125">
        <f>CF34</f>
        <v/>
      </c>
      <c r="CG362" s="155" t="n"/>
    </row>
    <row r="363">
      <c r="A363" s="75">
        <f>CONCATENATE("Consensus Estimates - ",IFERROR(LEFT(A362,FIND("(",A362)-1),A362))</f>
        <v/>
      </c>
      <c r="B363" s="102" t="n"/>
      <c r="C363" s="1117" t="n"/>
      <c r="D363" s="1117" t="n"/>
      <c r="E363" s="1117" t="n"/>
      <c r="F363" s="1117" t="n"/>
      <c r="G363" s="76" t="n"/>
      <c r="H363" s="76" t="n"/>
      <c r="I363" s="76" t="n"/>
      <c r="J363" s="76" t="n"/>
      <c r="K363" s="1117" t="n"/>
      <c r="L363" s="76" t="n"/>
      <c r="M363" s="76" t="n"/>
      <c r="N363" s="76" t="n"/>
      <c r="O363" s="76" t="n"/>
      <c r="P363" s="1117" t="n"/>
      <c r="Q363" s="76" t="n"/>
      <c r="R363" s="76" t="n"/>
      <c r="S363" s="76" t="n"/>
      <c r="T363" s="76" t="n"/>
      <c r="U363" s="1117" t="n"/>
      <c r="V363" s="76" t="n"/>
      <c r="W363" s="77" t="n"/>
      <c r="X363" s="77" t="n"/>
      <c r="Y363" s="77" t="n"/>
      <c r="Z363" s="1117" t="n"/>
      <c r="AA363" s="76" t="n"/>
      <c r="AB363" s="77" t="n"/>
      <c r="AC363" s="77" t="n"/>
      <c r="AD363" s="77" t="n"/>
      <c r="AE363" s="1117" t="n"/>
      <c r="AF363" s="76" t="n"/>
      <c r="AG363" s="76" t="n"/>
      <c r="AH363" s="76" t="n"/>
      <c r="AI363" s="77" t="n"/>
      <c r="AJ363" s="1117" t="n"/>
      <c r="AK363" s="76" t="n"/>
      <c r="AL363" s="76" t="n"/>
      <c r="AM363" s="76" t="n"/>
      <c r="AN363" s="77" t="n"/>
      <c r="AO363" s="1117" t="n"/>
      <c r="AP363" s="76" t="n"/>
      <c r="AQ363" s="76" t="n"/>
      <c r="AR363" s="76" t="n"/>
      <c r="AS363" s="77" t="n"/>
      <c r="AT363" s="1117" t="n"/>
      <c r="AU363" s="76" t="n"/>
      <c r="AV363" s="76" t="n"/>
      <c r="AW363" s="76" t="n"/>
      <c r="AX363" s="77" t="n"/>
      <c r="AY363" s="1117" t="n"/>
      <c r="AZ363" s="76" t="n"/>
      <c r="BA363" s="76" t="n"/>
      <c r="BB363" s="76" t="n"/>
      <c r="BC363" s="77" t="n"/>
      <c r="BD363" s="1117" t="n"/>
      <c r="BE363" s="76" t="n"/>
      <c r="BF363" s="76" t="n"/>
      <c r="BG363" s="76" t="n"/>
      <c r="BH363" s="77" t="n"/>
      <c r="BI363" s="1117" t="n"/>
      <c r="BJ363" s="76" t="n"/>
      <c r="BK363" s="76" t="n"/>
      <c r="BL363" s="76" t="n"/>
      <c r="BM363" s="77" t="n"/>
      <c r="BN363" s="1117" t="n"/>
      <c r="BO363" s="76" t="n"/>
      <c r="BP363" s="76" t="n"/>
      <c r="BQ363" s="76" t="n"/>
      <c r="BR363" s="77" t="n"/>
      <c r="BS363" s="1117" t="n"/>
      <c r="BT363" s="76" t="n"/>
      <c r="BU363" s="76" t="n"/>
      <c r="BV363" s="881" t="n"/>
      <c r="BW363" s="868">
        <f>IFERROR(VLOOKUP($A363,tb_ConsensusEstimate,MATCH(BW$5,OFFSET(tb_ConsensusEstimate,0,0,1,COLUMNS(tb_ConsensusEstimate)),0),FALSE),"-")</f>
        <v/>
      </c>
      <c r="BX363" s="1124">
        <f>IFERROR(VLOOKUP($A363,tb_ConsensusEstimate,MATCH(BX$5,OFFSET(tb_ConsensusEstimate,0,0,1,COLUMNS(tb_ConsensusEstimate)),0),FALSE),"-")</f>
        <v/>
      </c>
      <c r="BY363" s="868">
        <f>IFERROR(VLOOKUP($A363,tb_ConsensusEstimate,MATCH(BY$5,OFFSET(tb_ConsensusEstimate,0,0,1,COLUMNS(tb_ConsensusEstimate)),0),FALSE),"-")</f>
        <v/>
      </c>
      <c r="BZ363" s="868">
        <f>IFERROR(VLOOKUP($A363,tb_ConsensusEstimate,MATCH(BZ$5,OFFSET(tb_ConsensusEstimate,0,0,1,COLUMNS(tb_ConsensusEstimate)),0),FALSE),"-")</f>
        <v/>
      </c>
      <c r="CA363" s="868">
        <f>IFERROR(VLOOKUP($A363,tb_ConsensusEstimate,MATCH(CA$5,OFFSET(tb_ConsensusEstimate,0,0,1,COLUMNS(tb_ConsensusEstimate)),0),FALSE),"-")</f>
        <v/>
      </c>
      <c r="CB363" s="868">
        <f>IFERROR(VLOOKUP($A363,tb_ConsensusEstimate,MATCH(CB$5,OFFSET(tb_ConsensusEstimate,0,0,1,COLUMNS(tb_ConsensusEstimate)),0),FALSE),"-")</f>
        <v/>
      </c>
      <c r="CC363" s="1124">
        <f>IFERROR(VLOOKUP($A363,tb_ConsensusEstimate,MATCH(CC$5,OFFSET(tb_ConsensusEstimate,0,0,1,COLUMNS(tb_ConsensusEstimate)),0),FALSE),"-")</f>
        <v/>
      </c>
      <c r="CD363" s="1124">
        <f>IFERROR(VLOOKUP($A363,tb_ConsensusEstimate,MATCH(CD5,OFFSET(tb_ConsensusEstimate,0,0,1,COLUMNS(tb_ConsensusEstimate)),0),FALSE),"-")</f>
        <v/>
      </c>
      <c r="CE363" s="1124">
        <f>IFERROR(VLOOKUP($A363,tb_ConsensusEstimate,MATCH(CE5,OFFSET(tb_ConsensusEstimate,0,0,1,COLUMNS(tb_ConsensusEstimate)),0),FALSE),"-")</f>
        <v/>
      </c>
      <c r="CF363" s="1124">
        <f>IFERROR(VLOOKUP($A363,tb_ConsensusEstimate,MATCH(CF5,OFFSET(tb_ConsensusEstimate,0,0,1,COLUMNS(tb_ConsensusEstimate)),0),FALSE),"-")</f>
        <v/>
      </c>
      <c r="CG363" s="155" t="n"/>
    </row>
    <row r="364">
      <c r="A364" s="75">
        <f>CONCATENATE("Guidance - ",IFERROR(LEFT(A362,FIND("(",A362)-1),A362))</f>
        <v/>
      </c>
      <c r="B364" s="102" t="n"/>
      <c r="C364" s="1117" t="n"/>
      <c r="D364" s="1117" t="n"/>
      <c r="E364" s="1117" t="n"/>
      <c r="F364" s="1117" t="n"/>
      <c r="G364" s="76" t="n"/>
      <c r="H364" s="76" t="n"/>
      <c r="I364" s="76" t="n"/>
      <c r="J364" s="76" t="n"/>
      <c r="K364" s="1117" t="n"/>
      <c r="L364" s="76" t="n"/>
      <c r="M364" s="76" t="n"/>
      <c r="N364" s="76" t="n"/>
      <c r="O364" s="76" t="n"/>
      <c r="P364" s="1117" t="n"/>
      <c r="Q364" s="76" t="n"/>
      <c r="R364" s="76" t="n"/>
      <c r="S364" s="76" t="n"/>
      <c r="T364" s="76" t="n"/>
      <c r="U364" s="1117" t="n"/>
      <c r="V364" s="76" t="n"/>
      <c r="W364" s="77" t="n"/>
      <c r="X364" s="77" t="n"/>
      <c r="Y364" s="77" t="n"/>
      <c r="Z364" s="1117" t="n"/>
      <c r="AA364" s="76" t="n"/>
      <c r="AB364" s="77" t="n"/>
      <c r="AC364" s="77" t="n"/>
      <c r="AD364" s="77" t="n"/>
      <c r="AE364" s="1117" t="n"/>
      <c r="AF364" s="76" t="n"/>
      <c r="AG364" s="76" t="n"/>
      <c r="AH364" s="76">
        <f>+AH572</f>
        <v/>
      </c>
      <c r="AI364" s="77">
        <f>+AI572</f>
        <v/>
      </c>
      <c r="AJ364" s="1117">
        <f>+AJ572</f>
        <v/>
      </c>
      <c r="AK364" s="76">
        <f>+AK572</f>
        <v/>
      </c>
      <c r="AL364" s="76">
        <f>+AL572</f>
        <v/>
      </c>
      <c r="AM364" s="76">
        <f>+AM572</f>
        <v/>
      </c>
      <c r="AN364" s="77">
        <f>+AN572</f>
        <v/>
      </c>
      <c r="AO364" s="1117">
        <f>+AO572</f>
        <v/>
      </c>
      <c r="AP364" s="76">
        <f>+AP572</f>
        <v/>
      </c>
      <c r="AQ364" s="76">
        <f>+AQ572</f>
        <v/>
      </c>
      <c r="AR364" s="76">
        <f>+AR572</f>
        <v/>
      </c>
      <c r="AS364" s="77">
        <f>+AS572</f>
        <v/>
      </c>
      <c r="AT364" s="1117">
        <f>+AT572</f>
        <v/>
      </c>
      <c r="AU364" s="76">
        <f>+AU572</f>
        <v/>
      </c>
      <c r="AV364" s="76">
        <f>+AV572</f>
        <v/>
      </c>
      <c r="AW364" s="76">
        <f>+AW572</f>
        <v/>
      </c>
      <c r="AX364" s="77">
        <f>+AX572</f>
        <v/>
      </c>
      <c r="AY364" s="1117">
        <f>+AY572</f>
        <v/>
      </c>
      <c r="AZ364" s="76">
        <f>+AZ572</f>
        <v/>
      </c>
      <c r="BA364" s="76">
        <f>+BA572</f>
        <v/>
      </c>
      <c r="BB364" s="76">
        <f>+BB572</f>
        <v/>
      </c>
      <c r="BC364" s="77">
        <f>+BC572</f>
        <v/>
      </c>
      <c r="BD364" s="1117">
        <f>+BD572</f>
        <v/>
      </c>
      <c r="BE364" s="76">
        <f>+BE572</f>
        <v/>
      </c>
      <c r="BF364" s="76">
        <f>+BF572</f>
        <v/>
      </c>
      <c r="BG364" s="76">
        <f>+BG572</f>
        <v/>
      </c>
      <c r="BH364" s="77">
        <f>+BH572</f>
        <v/>
      </c>
      <c r="BI364" s="1117">
        <f>+BI572</f>
        <v/>
      </c>
      <c r="BJ364" s="76">
        <f>+BJ572</f>
        <v/>
      </c>
      <c r="BK364" s="76">
        <f>+BK572</f>
        <v/>
      </c>
      <c r="BL364" s="76">
        <f>+BL572</f>
        <v/>
      </c>
      <c r="BM364" s="77">
        <f>+BM572</f>
        <v/>
      </c>
      <c r="BN364" s="1117">
        <f>+BN572</f>
        <v/>
      </c>
      <c r="BO364" s="76">
        <f>+BO572</f>
        <v/>
      </c>
      <c r="BP364" s="76">
        <f>+BP572</f>
        <v/>
      </c>
      <c r="BQ364" s="76">
        <f>+BQ572</f>
        <v/>
      </c>
      <c r="BR364" s="77">
        <f>+BR572</f>
        <v/>
      </c>
      <c r="BS364" s="1117">
        <f>+BS572</f>
        <v/>
      </c>
      <c r="BT364" s="76">
        <f>+BT572</f>
        <v/>
      </c>
      <c r="BU364" s="76">
        <f>+BU572</f>
        <v/>
      </c>
      <c r="BV364" s="881">
        <f>+BV572</f>
        <v/>
      </c>
      <c r="BW364" s="76">
        <f>+BW572</f>
        <v/>
      </c>
      <c r="BX364" s="1124">
        <f>+BX572</f>
        <v/>
      </c>
      <c r="BY364" s="76">
        <f>+BY572</f>
        <v/>
      </c>
      <c r="BZ364" s="76">
        <f>+BZ572</f>
        <v/>
      </c>
      <c r="CA364" s="76">
        <f>+CA572</f>
        <v/>
      </c>
      <c r="CB364" s="76">
        <f>+CB572</f>
        <v/>
      </c>
      <c r="CC364" s="1124">
        <f>+CC572</f>
        <v/>
      </c>
      <c r="CD364" s="1124">
        <f>+CD572</f>
        <v/>
      </c>
      <c r="CE364" s="1124">
        <f>+CE572</f>
        <v/>
      </c>
      <c r="CF364" s="1124">
        <f>+CF572</f>
        <v/>
      </c>
      <c r="CG364" s="155" t="n"/>
    </row>
    <row r="365" ht="7.5" customHeight="1">
      <c r="A365" s="111" t="n"/>
      <c r="B365" s="112" t="n"/>
      <c r="C365" s="1117" t="n"/>
      <c r="D365" s="1117" t="n"/>
      <c r="E365" s="1117" t="n"/>
      <c r="F365" s="1117" t="n"/>
      <c r="G365" s="76" t="n"/>
      <c r="H365" s="76" t="n"/>
      <c r="I365" s="76" t="n"/>
      <c r="J365" s="76" t="n"/>
      <c r="K365" s="1117" t="n"/>
      <c r="L365" s="76" t="n"/>
      <c r="M365" s="76" t="n"/>
      <c r="N365" s="76" t="n"/>
      <c r="O365" s="76" t="n"/>
      <c r="P365" s="1117" t="n"/>
      <c r="Q365" s="76" t="n"/>
      <c r="R365" s="76" t="n"/>
      <c r="S365" s="76" t="n"/>
      <c r="T365" s="76" t="n"/>
      <c r="U365" s="1117" t="n"/>
      <c r="V365" s="76" t="n"/>
      <c r="W365" s="76" t="n"/>
      <c r="X365" s="77" t="n"/>
      <c r="Y365" s="77" t="n"/>
      <c r="Z365" s="1124" t="n"/>
      <c r="AA365" s="76" t="n"/>
      <c r="AB365" s="76" t="n"/>
      <c r="AC365" s="77" t="n"/>
      <c r="AD365" s="77" t="n"/>
      <c r="AE365" s="1124" t="n"/>
      <c r="AF365" s="76" t="n"/>
      <c r="AG365" s="76" t="n"/>
      <c r="AH365" s="76" t="n"/>
      <c r="AI365" s="77" t="n"/>
      <c r="AJ365" s="1124" t="n"/>
      <c r="AK365" s="76" t="n"/>
      <c r="AL365" s="76" t="n"/>
      <c r="AM365" s="76" t="n"/>
      <c r="AN365" s="77" t="n"/>
      <c r="AO365" s="1124" t="n"/>
      <c r="AP365" s="76" t="n"/>
      <c r="AQ365" s="76" t="n"/>
      <c r="AR365" s="76" t="n"/>
      <c r="AS365" s="77" t="n"/>
      <c r="AT365" s="1124" t="n"/>
      <c r="AU365" s="76" t="n"/>
      <c r="AV365" s="76" t="n"/>
      <c r="AW365" s="76" t="n"/>
      <c r="AX365" s="77" t="n"/>
      <c r="AY365" s="1124" t="n"/>
      <c r="AZ365" s="76" t="n"/>
      <c r="BA365" s="76" t="n"/>
      <c r="BB365" s="76" t="n"/>
      <c r="BC365" s="77" t="n"/>
      <c r="BD365" s="1124" t="n"/>
      <c r="BE365" s="76" t="n"/>
      <c r="BF365" s="76" t="n"/>
      <c r="BG365" s="76" t="n"/>
      <c r="BH365" s="77" t="n"/>
      <c r="BI365" s="1124" t="n"/>
      <c r="BJ365" s="76" t="n"/>
      <c r="BK365" s="76" t="n"/>
      <c r="BL365" s="76" t="n"/>
      <c r="BM365" s="77" t="n"/>
      <c r="BN365" s="1124" t="n"/>
      <c r="BO365" s="76" t="n"/>
      <c r="BP365" s="76" t="n"/>
      <c r="BQ365" s="76" t="n"/>
      <c r="BR365" s="77" t="n"/>
      <c r="BS365" s="1124" t="n"/>
      <c r="BT365" s="76" t="n"/>
      <c r="BU365" s="76" t="n"/>
      <c r="BV365" s="881" t="n"/>
      <c r="BW365" s="76" t="n"/>
      <c r="BX365" s="1124" t="n"/>
      <c r="BY365" s="76" t="n"/>
      <c r="BZ365" s="76" t="n"/>
      <c r="CA365" s="76" t="n"/>
      <c r="CB365" s="76" t="n"/>
      <c r="CC365" s="1124" t="n"/>
      <c r="CD365" s="1124" t="n"/>
      <c r="CE365" s="1124" t="n"/>
      <c r="CF365" s="1124" t="n"/>
      <c r="CG365" s="155" t="n"/>
    </row>
    <row r="366" hidden="1" outlineLevel="1">
      <c r="A366" s="67" t="inlineStr">
        <is>
          <t>GAAP COGS</t>
        </is>
      </c>
      <c r="B366" s="102" t="n"/>
      <c r="C366" s="1112">
        <f>C293</f>
        <v/>
      </c>
      <c r="D366" s="1112">
        <f>D293</f>
        <v/>
      </c>
      <c r="E366" s="1112">
        <f>E293</f>
        <v/>
      </c>
      <c r="F366" s="1112">
        <f>F293</f>
        <v/>
      </c>
      <c r="G366" s="27">
        <f>G293</f>
        <v/>
      </c>
      <c r="H366" s="27">
        <f>H293</f>
        <v/>
      </c>
      <c r="I366" s="27">
        <f>I293</f>
        <v/>
      </c>
      <c r="J366" s="27">
        <f>J293</f>
        <v/>
      </c>
      <c r="K366" s="1112">
        <f>K293</f>
        <v/>
      </c>
      <c r="L366" s="27">
        <f>L293</f>
        <v/>
      </c>
      <c r="M366" s="27">
        <f>M293</f>
        <v/>
      </c>
      <c r="N366" s="27">
        <f>N293</f>
        <v/>
      </c>
      <c r="O366" s="27">
        <f>O293</f>
        <v/>
      </c>
      <c r="P366" s="1112">
        <f>P293</f>
        <v/>
      </c>
      <c r="Q366" s="27">
        <f>Q293</f>
        <v/>
      </c>
      <c r="R366" s="27">
        <f>R293</f>
        <v/>
      </c>
      <c r="S366" s="27">
        <f>S293</f>
        <v/>
      </c>
      <c r="T366" s="27">
        <f>T293</f>
        <v/>
      </c>
      <c r="U366" s="1112">
        <f>U293</f>
        <v/>
      </c>
      <c r="V366" s="27">
        <f>V293</f>
        <v/>
      </c>
      <c r="W366" s="27">
        <f>W293</f>
        <v/>
      </c>
      <c r="X366" s="27">
        <f>X293</f>
        <v/>
      </c>
      <c r="Y366" s="27">
        <f>Y293</f>
        <v/>
      </c>
      <c r="Z366" s="1112">
        <f>Z293</f>
        <v/>
      </c>
      <c r="AA366" s="27">
        <f>AA293</f>
        <v/>
      </c>
      <c r="AB366" s="27">
        <f>AB293</f>
        <v/>
      </c>
      <c r="AC366" s="27">
        <f>AC293</f>
        <v/>
      </c>
      <c r="AD366" s="27">
        <f>AD293</f>
        <v/>
      </c>
      <c r="AE366" s="1112">
        <f>AE293</f>
        <v/>
      </c>
      <c r="AF366" s="27">
        <f>AF293</f>
        <v/>
      </c>
      <c r="AG366" s="27">
        <f>AG293</f>
        <v/>
      </c>
      <c r="AH366" s="27">
        <f>AH293</f>
        <v/>
      </c>
      <c r="AI366" s="27">
        <f>AI293</f>
        <v/>
      </c>
      <c r="AJ366" s="1112">
        <f>AJ293</f>
        <v/>
      </c>
      <c r="AK366" s="27">
        <f>AK293</f>
        <v/>
      </c>
      <c r="AL366" s="27">
        <f>AL293</f>
        <v/>
      </c>
      <c r="AM366" s="27">
        <f>AM293</f>
        <v/>
      </c>
      <c r="AN366" s="27">
        <f>AN293</f>
        <v/>
      </c>
      <c r="AO366" s="1112">
        <f>AO293</f>
        <v/>
      </c>
      <c r="AP366" s="27">
        <f>AP293</f>
        <v/>
      </c>
      <c r="AQ366" s="27">
        <f>AQ293</f>
        <v/>
      </c>
      <c r="AR366" s="27">
        <f>AR293</f>
        <v/>
      </c>
      <c r="AS366" s="27">
        <f>AS293</f>
        <v/>
      </c>
      <c r="AT366" s="1112">
        <f>AT293</f>
        <v/>
      </c>
      <c r="AU366" s="27">
        <f>AU293</f>
        <v/>
      </c>
      <c r="AV366" s="27">
        <f>AV293</f>
        <v/>
      </c>
      <c r="AW366" s="27">
        <f>AW293</f>
        <v/>
      </c>
      <c r="AX366" s="27">
        <f>AX293</f>
        <v/>
      </c>
      <c r="AY366" s="1112">
        <f>AY293</f>
        <v/>
      </c>
      <c r="AZ366" s="27">
        <f>AZ293</f>
        <v/>
      </c>
      <c r="BA366" s="27">
        <f>BA293</f>
        <v/>
      </c>
      <c r="BB366" s="27">
        <f>BB293</f>
        <v/>
      </c>
      <c r="BC366" s="27">
        <f>BC293</f>
        <v/>
      </c>
      <c r="BD366" s="1112">
        <f>BD293</f>
        <v/>
      </c>
      <c r="BE366" s="27">
        <f>BE293</f>
        <v/>
      </c>
      <c r="BF366" s="27">
        <f>BF293</f>
        <v/>
      </c>
      <c r="BG366" s="27">
        <f>BG293</f>
        <v/>
      </c>
      <c r="BH366" s="27">
        <f>BH293</f>
        <v/>
      </c>
      <c r="BI366" s="1112">
        <f>BI293</f>
        <v/>
      </c>
      <c r="BJ366" s="27">
        <f>BJ293</f>
        <v/>
      </c>
      <c r="BK366" s="27">
        <f>BK293</f>
        <v/>
      </c>
      <c r="BL366" s="27">
        <f>BL293</f>
        <v/>
      </c>
      <c r="BM366" s="27">
        <f>BM293</f>
        <v/>
      </c>
      <c r="BN366" s="1112">
        <f>BN293</f>
        <v/>
      </c>
      <c r="BO366" s="27">
        <f>BO293</f>
        <v/>
      </c>
      <c r="BP366" s="27">
        <f>BP293</f>
        <v/>
      </c>
      <c r="BQ366" s="27">
        <f>BQ293</f>
        <v/>
      </c>
      <c r="BR366" s="27">
        <f>BR293</f>
        <v/>
      </c>
      <c r="BS366" s="1112">
        <f>BS293</f>
        <v/>
      </c>
      <c r="BT366" s="27">
        <f>BT293</f>
        <v/>
      </c>
      <c r="BU366" s="27">
        <f>BU293</f>
        <v/>
      </c>
      <c r="BV366" s="508">
        <f>BV293</f>
        <v/>
      </c>
      <c r="BW366" s="68">
        <f>BW362-BW370-BW369-BW367-BW368</f>
        <v/>
      </c>
      <c r="BX366" s="1151">
        <f>SUM(BT366,BU366,BV366,BW366)</f>
        <v/>
      </c>
      <c r="BY366" s="68">
        <f>BY362-BY370-BY369-BY367-BY368</f>
        <v/>
      </c>
      <c r="BZ366" s="68">
        <f>BZ362-BZ370-BZ369-BZ367-BZ368</f>
        <v/>
      </c>
      <c r="CA366" s="68">
        <f>CA362-CA370-CA369-CA367-CA368</f>
        <v/>
      </c>
      <c r="CB366" s="68">
        <f>CB362-CB370-CB369-CB367-CB368</f>
        <v/>
      </c>
      <c r="CC366" s="1151">
        <f>SUM(BY366,BZ366,CA366,CB366)</f>
        <v/>
      </c>
      <c r="CD366" s="1151">
        <f>CD362-CD370-CD369-CD367-CD368</f>
        <v/>
      </c>
      <c r="CE366" s="1151">
        <f>CE362-CE370-CE369-CE367-CE368</f>
        <v/>
      </c>
      <c r="CF366" s="1151">
        <f>CF362-CF370-CF369-CF367-CF368</f>
        <v/>
      </c>
      <c r="CG366" s="155" t="n"/>
    </row>
    <row r="367" hidden="1" outlineLevel="1">
      <c r="A367" s="99" t="inlineStr">
        <is>
          <t>SBC in COGS</t>
        </is>
      </c>
      <c r="B367" s="102" t="n"/>
      <c r="C367" s="1110">
        <f>-C126</f>
        <v/>
      </c>
      <c r="D367" s="1110">
        <f>-D126</f>
        <v/>
      </c>
      <c r="E367" s="1110">
        <f>-E323</f>
        <v/>
      </c>
      <c r="F367" s="1110">
        <f>-F323</f>
        <v/>
      </c>
      <c r="G367" s="68">
        <f>-G323</f>
        <v/>
      </c>
      <c r="H367" s="68">
        <f>-H323</f>
        <v/>
      </c>
      <c r="I367" s="68">
        <f>-I323</f>
        <v/>
      </c>
      <c r="J367" s="68">
        <f>-J323</f>
        <v/>
      </c>
      <c r="K367" s="1110">
        <f>-K323</f>
        <v/>
      </c>
      <c r="L367" s="68">
        <f>-L323</f>
        <v/>
      </c>
      <c r="M367" s="68">
        <f>-M323</f>
        <v/>
      </c>
      <c r="N367" s="68">
        <f>-N323</f>
        <v/>
      </c>
      <c r="O367" s="68">
        <f>-O323</f>
        <v/>
      </c>
      <c r="P367" s="1110">
        <f>-P323</f>
        <v/>
      </c>
      <c r="Q367" s="68">
        <f>-Q323</f>
        <v/>
      </c>
      <c r="R367" s="68">
        <f>-R323</f>
        <v/>
      </c>
      <c r="S367" s="68">
        <f>-S323</f>
        <v/>
      </c>
      <c r="T367" s="68">
        <f>-T323</f>
        <v/>
      </c>
      <c r="U367" s="1110">
        <f>-U323</f>
        <v/>
      </c>
      <c r="V367" s="68">
        <f>-V323</f>
        <v/>
      </c>
      <c r="W367" s="68">
        <f>-W323</f>
        <v/>
      </c>
      <c r="X367" s="68">
        <f>-X323</f>
        <v/>
      </c>
      <c r="Y367" s="68">
        <f>-Y323</f>
        <v/>
      </c>
      <c r="Z367" s="1110">
        <f>-Z323</f>
        <v/>
      </c>
      <c r="AA367" s="68">
        <f>-AA323</f>
        <v/>
      </c>
      <c r="AB367" s="68">
        <f>-AB323</f>
        <v/>
      </c>
      <c r="AC367" s="68">
        <f>-AC323</f>
        <v/>
      </c>
      <c r="AD367" s="68">
        <f>-AD323</f>
        <v/>
      </c>
      <c r="AE367" s="1110">
        <f>-AE323</f>
        <v/>
      </c>
      <c r="AF367" s="68">
        <f>-AF323</f>
        <v/>
      </c>
      <c r="AG367" s="68">
        <f>-AG323</f>
        <v/>
      </c>
      <c r="AH367" s="68">
        <f>-AH323</f>
        <v/>
      </c>
      <c r="AI367" s="68">
        <f>-AI323</f>
        <v/>
      </c>
      <c r="AJ367" s="1110">
        <f>-AJ323</f>
        <v/>
      </c>
      <c r="AK367" s="68">
        <f>-AK323</f>
        <v/>
      </c>
      <c r="AL367" s="68">
        <f>-AL323</f>
        <v/>
      </c>
      <c r="AM367" s="68">
        <f>-AM323</f>
        <v/>
      </c>
      <c r="AN367" s="68">
        <f>-AN323</f>
        <v/>
      </c>
      <c r="AO367" s="1110">
        <f>-AO323</f>
        <v/>
      </c>
      <c r="AP367" s="68">
        <f>-AP323</f>
        <v/>
      </c>
      <c r="AQ367" s="68">
        <f>-AQ323</f>
        <v/>
      </c>
      <c r="AR367" s="68">
        <f>-AR323</f>
        <v/>
      </c>
      <c r="AS367" s="68">
        <f>-AS323</f>
        <v/>
      </c>
      <c r="AT367" s="1110">
        <f>-AT323</f>
        <v/>
      </c>
      <c r="AU367" s="68">
        <f>-AU323</f>
        <v/>
      </c>
      <c r="AV367" s="68">
        <f>-AV323</f>
        <v/>
      </c>
      <c r="AW367" s="68">
        <f>-AW323</f>
        <v/>
      </c>
      <c r="AX367" s="68">
        <f>-AX323</f>
        <v/>
      </c>
      <c r="AY367" s="1110">
        <f>-AY323</f>
        <v/>
      </c>
      <c r="AZ367" s="68">
        <f>-AZ323</f>
        <v/>
      </c>
      <c r="BA367" s="68">
        <f>-BA323</f>
        <v/>
      </c>
      <c r="BB367" s="68">
        <f>-BB323</f>
        <v/>
      </c>
      <c r="BC367" s="68">
        <f>-BC323</f>
        <v/>
      </c>
      <c r="BD367" s="1110">
        <f>-BD323</f>
        <v/>
      </c>
      <c r="BE367" s="68">
        <f>-BE323</f>
        <v/>
      </c>
      <c r="BF367" s="68">
        <f>-BF323</f>
        <v/>
      </c>
      <c r="BG367" s="68">
        <f>-BG323</f>
        <v/>
      </c>
      <c r="BH367" s="68">
        <f>-BH323</f>
        <v/>
      </c>
      <c r="BI367" s="1110">
        <f>-BI323</f>
        <v/>
      </c>
      <c r="BJ367" s="68">
        <f>-BJ323</f>
        <v/>
      </c>
      <c r="BK367" s="68">
        <f>-BK323</f>
        <v/>
      </c>
      <c r="BL367" s="68">
        <f>-BL323</f>
        <v/>
      </c>
      <c r="BM367" s="68">
        <f>-BM323</f>
        <v/>
      </c>
      <c r="BN367" s="1110">
        <f>-BN323</f>
        <v/>
      </c>
      <c r="BO367" s="68">
        <f>-BO323</f>
        <v/>
      </c>
      <c r="BP367" s="68">
        <f>-BP323</f>
        <v/>
      </c>
      <c r="BQ367" s="68">
        <f>-BQ323</f>
        <v/>
      </c>
      <c r="BR367" s="68">
        <f>-BR323</f>
        <v/>
      </c>
      <c r="BS367" s="1110">
        <f>-BS323</f>
        <v/>
      </c>
      <c r="BT367" s="68">
        <f>-BT323</f>
        <v/>
      </c>
      <c r="BU367" s="68">
        <f>-BU323</f>
        <v/>
      </c>
      <c r="BV367" s="588">
        <f>-BV323</f>
        <v/>
      </c>
      <c r="BW367" s="68">
        <f>-BW51</f>
        <v/>
      </c>
      <c r="BX367" s="1151">
        <f>SUM(BT367,BU367,BV367,BW367)</f>
        <v/>
      </c>
      <c r="BY367" s="68">
        <f>-BY51</f>
        <v/>
      </c>
      <c r="BZ367" s="68">
        <f>-BZ51</f>
        <v/>
      </c>
      <c r="CA367" s="68">
        <f>-CA51</f>
        <v/>
      </c>
      <c r="CB367" s="68">
        <f>-CB51</f>
        <v/>
      </c>
      <c r="CC367" s="1151">
        <f>SUM(BY367,BZ367,CA367,CB367)</f>
        <v/>
      </c>
      <c r="CD367" s="1151">
        <f>-CD51</f>
        <v/>
      </c>
      <c r="CE367" s="1151">
        <f>-CE51</f>
        <v/>
      </c>
      <c r="CF367" s="1151">
        <f>-CF51</f>
        <v/>
      </c>
      <c r="CG367" s="155" t="n"/>
    </row>
    <row r="368" hidden="1" outlineLevel="1">
      <c r="A368" s="99" t="inlineStr">
        <is>
          <t>Acquisition-related costs COGS</t>
        </is>
      </c>
      <c r="B368" s="102" t="n"/>
      <c r="C368" s="1110">
        <f>-C121</f>
        <v/>
      </c>
      <c r="D368" s="1110">
        <f>-D121</f>
        <v/>
      </c>
      <c r="E368" s="1110">
        <f>-E121</f>
        <v/>
      </c>
      <c r="F368" s="1110">
        <f>-F121</f>
        <v/>
      </c>
      <c r="G368" s="68">
        <f>-G121</f>
        <v/>
      </c>
      <c r="H368" s="68">
        <f>-H121</f>
        <v/>
      </c>
      <c r="I368" s="68">
        <f>-I121</f>
        <v/>
      </c>
      <c r="J368" s="68">
        <f>-J121</f>
        <v/>
      </c>
      <c r="K368" s="1110">
        <f>-K121</f>
        <v/>
      </c>
      <c r="L368" s="68">
        <f>-L121</f>
        <v/>
      </c>
      <c r="M368" s="68">
        <f>-M121</f>
        <v/>
      </c>
      <c r="N368" s="68">
        <f>-N121</f>
        <v/>
      </c>
      <c r="O368" s="68">
        <f>-O121</f>
        <v/>
      </c>
      <c r="P368" s="1110">
        <f>-P121</f>
        <v/>
      </c>
      <c r="Q368" s="68">
        <f>-Q121</f>
        <v/>
      </c>
      <c r="R368" s="68">
        <f>-R121</f>
        <v/>
      </c>
      <c r="S368" s="68">
        <f>-S121</f>
        <v/>
      </c>
      <c r="T368" s="68">
        <f>-T121</f>
        <v/>
      </c>
      <c r="U368" s="1110">
        <f>-U121</f>
        <v/>
      </c>
      <c r="V368" s="68">
        <f>-V121</f>
        <v/>
      </c>
      <c r="W368" s="68">
        <f>-W121</f>
        <v/>
      </c>
      <c r="X368" s="68">
        <f>-X121</f>
        <v/>
      </c>
      <c r="Y368" s="68">
        <f>-Y121</f>
        <v/>
      </c>
      <c r="Z368" s="1110">
        <f>-Z121</f>
        <v/>
      </c>
      <c r="AA368" s="68">
        <f>-AA121</f>
        <v/>
      </c>
      <c r="AB368" s="68">
        <f>-AB121</f>
        <v/>
      </c>
      <c r="AC368" s="68">
        <f>-AC121</f>
        <v/>
      </c>
      <c r="AD368" s="68">
        <f>-AD121</f>
        <v/>
      </c>
      <c r="AE368" s="1110">
        <f>-AE121</f>
        <v/>
      </c>
      <c r="AF368" s="68">
        <f>-AF121</f>
        <v/>
      </c>
      <c r="AG368" s="68">
        <f>-AG121</f>
        <v/>
      </c>
      <c r="AH368" s="68">
        <f>-AH121</f>
        <v/>
      </c>
      <c r="AI368" s="68">
        <f>-AI121</f>
        <v/>
      </c>
      <c r="AJ368" s="1110">
        <f>-AJ121</f>
        <v/>
      </c>
      <c r="AK368" s="68">
        <f>-AK121</f>
        <v/>
      </c>
      <c r="AL368" s="68">
        <f>-AL121</f>
        <v/>
      </c>
      <c r="AM368" s="68">
        <f>-AM121</f>
        <v/>
      </c>
      <c r="AN368" s="68">
        <f>-AN121</f>
        <v/>
      </c>
      <c r="AO368" s="1110">
        <f>-AO121</f>
        <v/>
      </c>
      <c r="AP368" s="68">
        <f>-AP121</f>
        <v/>
      </c>
      <c r="AQ368" s="68">
        <f>-AQ121</f>
        <v/>
      </c>
      <c r="AR368" s="68">
        <f>-AR121</f>
        <v/>
      </c>
      <c r="AS368" s="68">
        <f>-AS121</f>
        <v/>
      </c>
      <c r="AT368" s="1110">
        <f>-AT121</f>
        <v/>
      </c>
      <c r="AU368" s="68">
        <f>-AU121</f>
        <v/>
      </c>
      <c r="AV368" s="68">
        <f>-AV121</f>
        <v/>
      </c>
      <c r="AW368" s="68">
        <f>-AW121</f>
        <v/>
      </c>
      <c r="AX368" s="68">
        <f>-AX121</f>
        <v/>
      </c>
      <c r="AY368" s="1110">
        <f>-AY121</f>
        <v/>
      </c>
      <c r="AZ368" s="68">
        <f>-AZ121</f>
        <v/>
      </c>
      <c r="BA368" s="68">
        <f>-BA121</f>
        <v/>
      </c>
      <c r="BB368" s="68">
        <f>-BB121</f>
        <v/>
      </c>
      <c r="BC368" s="68">
        <f>-BC121</f>
        <v/>
      </c>
      <c r="BD368" s="1110">
        <f>-BD121</f>
        <v/>
      </c>
      <c r="BE368" s="68">
        <f>-BE121</f>
        <v/>
      </c>
      <c r="BF368" s="68">
        <f>-BF121</f>
        <v/>
      </c>
      <c r="BG368" s="68">
        <f>-BG121</f>
        <v/>
      </c>
      <c r="BH368" s="68">
        <f>-BH121</f>
        <v/>
      </c>
      <c r="BI368" s="1110">
        <f>-BI121</f>
        <v/>
      </c>
      <c r="BJ368" s="68">
        <f>-BJ121</f>
        <v/>
      </c>
      <c r="BK368" s="68">
        <f>-BK121</f>
        <v/>
      </c>
      <c r="BL368" s="68">
        <f>-BL121</f>
        <v/>
      </c>
      <c r="BM368" s="68">
        <f>-BM121</f>
        <v/>
      </c>
      <c r="BN368" s="1110">
        <f>-BN121</f>
        <v/>
      </c>
      <c r="BO368" s="68">
        <f>-BO121</f>
        <v/>
      </c>
      <c r="BP368" s="68">
        <f>-BP121</f>
        <v/>
      </c>
      <c r="BQ368" s="68">
        <f>-BQ121</f>
        <v/>
      </c>
      <c r="BR368" s="68">
        <f>-BR121</f>
        <v/>
      </c>
      <c r="BS368" s="1110">
        <f>-BS121</f>
        <v/>
      </c>
      <c r="BT368" s="68">
        <f>-BT121</f>
        <v/>
      </c>
      <c r="BU368" s="68">
        <f>-BU121</f>
        <v/>
      </c>
      <c r="BV368" s="588">
        <f>-BV121</f>
        <v/>
      </c>
      <c r="BW368" s="68">
        <f>-BW53</f>
        <v/>
      </c>
      <c r="BX368" s="1151">
        <f>SUM(BT368,BU368,BV368,BW368)</f>
        <v/>
      </c>
      <c r="BY368" s="68">
        <f>-BY53</f>
        <v/>
      </c>
      <c r="BZ368" s="68">
        <f>-BZ53</f>
        <v/>
      </c>
      <c r="CA368" s="68">
        <f>-CA53</f>
        <v/>
      </c>
      <c r="CB368" s="68">
        <f>-CB53</f>
        <v/>
      </c>
      <c r="CC368" s="1151">
        <f>SUM(BY368,BZ368,CA368,CB368)</f>
        <v/>
      </c>
      <c r="CD368" s="1151">
        <f>-CD53</f>
        <v/>
      </c>
      <c r="CE368" s="1151">
        <f>-CE53</f>
        <v/>
      </c>
      <c r="CF368" s="1151">
        <f>-CF53</f>
        <v/>
      </c>
      <c r="CG368" s="155" t="n"/>
    </row>
    <row r="369" hidden="1" outlineLevel="1">
      <c r="A369" s="282" t="inlineStr">
        <is>
          <t>Other COGS adjustments</t>
        </is>
      </c>
      <c r="B369" s="144" t="n"/>
      <c r="C369" s="1121">
        <f>-SUM(C322:C330)-C368-C367</f>
        <v/>
      </c>
      <c r="D369" s="1121">
        <f>-SUM(D322:D330)-D368-D367</f>
        <v/>
      </c>
      <c r="E369" s="1121">
        <f>-SUM(E322:E330)-E368-E367</f>
        <v/>
      </c>
      <c r="F369" s="1121">
        <f>-SUM(F322:F330)-F368-F367</f>
        <v/>
      </c>
      <c r="G369" s="109">
        <f>-SUM(G322:G330)-G368-G367</f>
        <v/>
      </c>
      <c r="H369" s="109">
        <f>-SUM(H322:H330)-H368-H367</f>
        <v/>
      </c>
      <c r="I369" s="109">
        <f>-SUM(I322:I330)-I368-I367</f>
        <v/>
      </c>
      <c r="J369" s="109">
        <f>-SUM(J322:J330)-J368-J367</f>
        <v/>
      </c>
      <c r="K369" s="1121">
        <f>-SUM(K322:K330)-K368-K367</f>
        <v/>
      </c>
      <c r="L369" s="109">
        <f>-SUM(L322:L330)-L368-L367</f>
        <v/>
      </c>
      <c r="M369" s="109">
        <f>-SUM(M322:M330)-M368-M367</f>
        <v/>
      </c>
      <c r="N369" s="109">
        <f>-SUM(N322:N330)-N368-N367</f>
        <v/>
      </c>
      <c r="O369" s="109">
        <f>-SUM(O322:O330)-O368-O367</f>
        <v/>
      </c>
      <c r="P369" s="1121">
        <f>-SUM(P322:P330)-P368-P367</f>
        <v/>
      </c>
      <c r="Q369" s="109">
        <f>-SUM(Q322:Q330)-Q368-Q367</f>
        <v/>
      </c>
      <c r="R369" s="109">
        <f>-SUM(R322:R330)-R368-R367</f>
        <v/>
      </c>
      <c r="S369" s="109">
        <f>-SUM(S322:S330)-S368-S367</f>
        <v/>
      </c>
      <c r="T369" s="109">
        <f>-SUM(T322:T330)-T368-T367</f>
        <v/>
      </c>
      <c r="U369" s="1121">
        <f>-SUM(U322:U330)-U368-U367</f>
        <v/>
      </c>
      <c r="V369" s="109">
        <f>-SUM(V322:V330)-V368-V367</f>
        <v/>
      </c>
      <c r="W369" s="109">
        <f>-SUM(W322:W330)-W368-W367</f>
        <v/>
      </c>
      <c r="X369" s="109">
        <f>-SUM(X322:X330)-X368-X367</f>
        <v/>
      </c>
      <c r="Y369" s="109">
        <f>-SUM(Y322:Y330)-Y368-Y367</f>
        <v/>
      </c>
      <c r="Z369" s="1121">
        <f>-SUM(Z322:Z330)-Z368-Z367</f>
        <v/>
      </c>
      <c r="AA369" s="109">
        <f>-SUM(AA322:AA330)-AA368-AA367</f>
        <v/>
      </c>
      <c r="AB369" s="109">
        <f>-SUM(AB322:AB330)-AB368-AB367</f>
        <v/>
      </c>
      <c r="AC369" s="109">
        <f>-SUM(AC322:AC330)-AC368-AC367</f>
        <v/>
      </c>
      <c r="AD369" s="109">
        <f>-SUM(AD322:AD330)-AD368-AD367</f>
        <v/>
      </c>
      <c r="AE369" s="1121">
        <f>-SUM(AE322:AE330)-AE368-AE367</f>
        <v/>
      </c>
      <c r="AF369" s="109">
        <f>-SUM(AF322:AF330)-AF368-AF367</f>
        <v/>
      </c>
      <c r="AG369" s="109">
        <f>-SUM(AG322:AG330)-AG368-AG367</f>
        <v/>
      </c>
      <c r="AH369" s="109">
        <f>-SUM(AH322:AH330)-AH368-AH367</f>
        <v/>
      </c>
      <c r="AI369" s="109">
        <f>-SUM(AI322:AI330)-AI368-AI367</f>
        <v/>
      </c>
      <c r="AJ369" s="1121">
        <f>-SUM(AJ322:AJ330)-AJ368-AJ367</f>
        <v/>
      </c>
      <c r="AK369" s="109">
        <f>-SUM(AK322:AK330)-AK368-AK367</f>
        <v/>
      </c>
      <c r="AL369" s="109">
        <f>-SUM(AL322:AL330)-AL368-AL367</f>
        <v/>
      </c>
      <c r="AM369" s="109">
        <f>-SUM(AM322:AM330)-AM368-AM367</f>
        <v/>
      </c>
      <c r="AN369" s="109">
        <f>-SUM(AN322:AN330)-AN368-AN367</f>
        <v/>
      </c>
      <c r="AO369" s="1121">
        <f>-SUM(AO322:AO330)-AO368-AO367</f>
        <v/>
      </c>
      <c r="AP369" s="109">
        <f>-SUM(AP322:AP330)-AP368-AP367</f>
        <v/>
      </c>
      <c r="AQ369" s="109">
        <f>-SUM(AQ322:AQ330)-AQ368-AQ367</f>
        <v/>
      </c>
      <c r="AR369" s="109">
        <f>-SUM(AR322:AR330)-AR368-AR367</f>
        <v/>
      </c>
      <c r="AS369" s="109">
        <f>-SUM(AS322:AS330)-AS368-AS367</f>
        <v/>
      </c>
      <c r="AT369" s="1121">
        <f>-SUM(AT322:AT330)-AT368-AT367</f>
        <v/>
      </c>
      <c r="AU369" s="109">
        <f>-SUM(AU322:AU330)-AU368-AU367</f>
        <v/>
      </c>
      <c r="AV369" s="109">
        <f>-SUM(AV322:AV330)-AV368-AV367</f>
        <v/>
      </c>
      <c r="AW369" s="109">
        <f>-SUM(AW322:AW330)-AW368-AW367</f>
        <v/>
      </c>
      <c r="AX369" s="109">
        <f>-SUM(AX322:AX330)-AX368-AX367</f>
        <v/>
      </c>
      <c r="AY369" s="1121">
        <f>-SUM(AY322:AY330)-AY368-AY367</f>
        <v/>
      </c>
      <c r="AZ369" s="109">
        <f>-SUM(AZ322:AZ330)-AZ368-AZ367</f>
        <v/>
      </c>
      <c r="BA369" s="109">
        <f>-SUM(BA322:BA330)-BA368-BA367</f>
        <v/>
      </c>
      <c r="BB369" s="109">
        <f>-SUM(BB322:BB330)-BB368-BB367</f>
        <v/>
      </c>
      <c r="BC369" s="109">
        <f>-SUM(BC322:BC330)-BC368-BC367</f>
        <v/>
      </c>
      <c r="BD369" s="1121">
        <f>-SUM(BD322:BD330)-BD368-BD367</f>
        <v/>
      </c>
      <c r="BE369" s="109">
        <f>-SUM(BE322:BE330)-BE368-BE367</f>
        <v/>
      </c>
      <c r="BF369" s="109">
        <f>-SUM(BF322:BF330)-BF368-BF367</f>
        <v/>
      </c>
      <c r="BG369" s="109">
        <f>-SUM(BG322:BG330)-BG368-BG367</f>
        <v/>
      </c>
      <c r="BH369" s="109">
        <f>-SUM(BH322:BH330)-BH368-BH367</f>
        <v/>
      </c>
      <c r="BI369" s="1121">
        <f>-SUM(BI322:BI330)-BI368-BI367</f>
        <v/>
      </c>
      <c r="BJ369" s="109">
        <f>-SUM(BJ322:BJ330)-BJ368-BJ367</f>
        <v/>
      </c>
      <c r="BK369" s="109">
        <f>-SUM(BK322:BK330)-BK368-BK367</f>
        <v/>
      </c>
      <c r="BL369" s="109">
        <f>-SUM(BL322:BL330)-BL368-BL367</f>
        <v/>
      </c>
      <c r="BM369" s="109">
        <f>-SUM(BM322:BM330)-BM368-BM367</f>
        <v/>
      </c>
      <c r="BN369" s="1121">
        <f>-SUM(BN322:BN330)-BN368-BN367</f>
        <v/>
      </c>
      <c r="BO369" s="109">
        <f>-SUM(BO322:BO330)-BO368-BO367</f>
        <v/>
      </c>
      <c r="BP369" s="109">
        <f>-SUM(BP322:BP330)-BP368-BP367</f>
        <v/>
      </c>
      <c r="BQ369" s="109">
        <f>-SUM(BQ322:BQ330)-BQ368-BQ367</f>
        <v/>
      </c>
      <c r="BR369" s="109">
        <f>-SUM(BR322:BR330)-BR368-BR367</f>
        <v/>
      </c>
      <c r="BS369" s="1121">
        <f>-SUM(BS322:BS330)-BS368-BS367</f>
        <v/>
      </c>
      <c r="BT369" s="109">
        <f>-SUM(BT322:BT330)-BT368-BT367</f>
        <v/>
      </c>
      <c r="BU369" s="109">
        <f>-SUM(BU322:BU330)-BU368-BU367</f>
        <v/>
      </c>
      <c r="BV369" s="730">
        <f>-SUM(BV322:BV330)-BV368-BV367</f>
        <v/>
      </c>
      <c r="BW369" s="109">
        <f>-BW55</f>
        <v/>
      </c>
      <c r="BX369" s="1152">
        <f>SUM(BT369,BU369,BV369,BW369)</f>
        <v/>
      </c>
      <c r="BY369" s="109">
        <f>-BY55</f>
        <v/>
      </c>
      <c r="BZ369" s="109">
        <f>-BZ55</f>
        <v/>
      </c>
      <c r="CA369" s="109">
        <f>-CA55</f>
        <v/>
      </c>
      <c r="CB369" s="109">
        <f>-CB55</f>
        <v/>
      </c>
      <c r="CC369" s="1152">
        <f>SUM(BY369,BZ369,CA369,CB369)</f>
        <v/>
      </c>
      <c r="CD369" s="1152">
        <f>-CD55</f>
        <v/>
      </c>
      <c r="CE369" s="1152">
        <f>-CE55</f>
        <v/>
      </c>
      <c r="CF369" s="1152">
        <f>-CF55</f>
        <v/>
      </c>
      <c r="CG369" s="155" t="n"/>
    </row>
    <row r="370" collapsed="1">
      <c r="A370" s="62" t="inlineStr">
        <is>
          <t>Non-GAAP Gross Profit</t>
        </is>
      </c>
      <c r="B370" s="123" t="n"/>
      <c r="C370" s="1132">
        <f>C362-C366-C367-C369-C368</f>
        <v/>
      </c>
      <c r="D370" s="1132">
        <f>D362-D366-D367-D369-D368</f>
        <v/>
      </c>
      <c r="E370" s="1132">
        <f>E362-E366-E367-E369-E368</f>
        <v/>
      </c>
      <c r="F370" s="1132">
        <f>F362-F366-F367-F369-F368</f>
        <v/>
      </c>
      <c r="G370" s="28">
        <f>G362-G366-G367-G369-G368</f>
        <v/>
      </c>
      <c r="H370" s="28">
        <f>H362-H366-H367-H369-H368</f>
        <v/>
      </c>
      <c r="I370" s="28">
        <f>I362-I366-I367-I369-I368</f>
        <v/>
      </c>
      <c r="J370" s="28">
        <f>J362-J366-J367-J369-J368</f>
        <v/>
      </c>
      <c r="K370" s="1132">
        <f>K362-K366-K367-K369-K368</f>
        <v/>
      </c>
      <c r="L370" s="28">
        <f>L362-L366-L367-L369-L368</f>
        <v/>
      </c>
      <c r="M370" s="28">
        <f>M362-M366-M367-M369-M368</f>
        <v/>
      </c>
      <c r="N370" s="28">
        <f>N362-N366-N367-N369-N368</f>
        <v/>
      </c>
      <c r="O370" s="28">
        <f>O362-O366-O367-O369-O368</f>
        <v/>
      </c>
      <c r="P370" s="1132">
        <f>P362-P366-P367-P369-P368</f>
        <v/>
      </c>
      <c r="Q370" s="28">
        <f>Q362-Q366-Q367-Q369-Q368</f>
        <v/>
      </c>
      <c r="R370" s="28">
        <f>R362-R366-R367-R369-R368</f>
        <v/>
      </c>
      <c r="S370" s="28">
        <f>S362-S366-S367-S369-S368</f>
        <v/>
      </c>
      <c r="T370" s="28">
        <f>T362-T366-T367-T369-T368</f>
        <v/>
      </c>
      <c r="U370" s="1132">
        <f>U362-U366-U367-U369-U368</f>
        <v/>
      </c>
      <c r="V370" s="28">
        <f>V362-V366-V367-V369-V368</f>
        <v/>
      </c>
      <c r="W370" s="28">
        <f>W362-W366-W367-W369-W368</f>
        <v/>
      </c>
      <c r="X370" s="28">
        <f>X362-X366-X367-X369-X368</f>
        <v/>
      </c>
      <c r="Y370" s="28">
        <f>Y362-Y366-Y367-Y369-Y368</f>
        <v/>
      </c>
      <c r="Z370" s="1132">
        <f>Z362-Z366-Z367-Z369-Z368</f>
        <v/>
      </c>
      <c r="AA370" s="28">
        <f>AA362-AA366-AA367-AA369-AA368</f>
        <v/>
      </c>
      <c r="AB370" s="28">
        <f>AB362-AB366-AB367-AB369-AB368</f>
        <v/>
      </c>
      <c r="AC370" s="28">
        <f>AC362-AC366-AC367-AC369-AC368</f>
        <v/>
      </c>
      <c r="AD370" s="28">
        <f>AD362-AD366-AD367-AD369-AD368</f>
        <v/>
      </c>
      <c r="AE370" s="1132">
        <f>AE362-AE366-AE367-AE369-AE368</f>
        <v/>
      </c>
      <c r="AF370" s="28">
        <f>AF362-AF366-AF367-AF369-AF368</f>
        <v/>
      </c>
      <c r="AG370" s="28">
        <f>AG362-AG366-AG367-AG369-AG368</f>
        <v/>
      </c>
      <c r="AH370" s="991">
        <f>AH362-AH366-AH367-AH369-AH368</f>
        <v/>
      </c>
      <c r="AI370" s="28">
        <f>AI362-AI366-AI367-AI369-AI368</f>
        <v/>
      </c>
      <c r="AJ370" s="1132">
        <f>AJ362-AJ366-AJ367-AJ369-AJ368</f>
        <v/>
      </c>
      <c r="AK370" s="991">
        <f>AK362-AK366-AK367-AK369-AK368</f>
        <v/>
      </c>
      <c r="AL370" s="28">
        <f>AL362-AL366-AL367-AL369-AL368</f>
        <v/>
      </c>
      <c r="AM370" s="991">
        <f>AM362-AM366-AM367-AM369-AM368</f>
        <v/>
      </c>
      <c r="AN370" s="28">
        <f>AN362-AN366-AN367-AN369-AN368</f>
        <v/>
      </c>
      <c r="AO370" s="1132">
        <f>AO362-AO366-AO367-AO369-AO368</f>
        <v/>
      </c>
      <c r="AP370" s="991">
        <f>AP362-AP366-AP367-AP369-AP368</f>
        <v/>
      </c>
      <c r="AQ370" s="28">
        <f>AQ362-AQ366-AQ367-AQ369-AQ368</f>
        <v/>
      </c>
      <c r="AR370" s="991">
        <f>AR362-AR366-AR367-AR369-AR368</f>
        <v/>
      </c>
      <c r="AS370" s="28">
        <f>AS362-AS366-AS367-AS369-AS368</f>
        <v/>
      </c>
      <c r="AT370" s="1132">
        <f>AT362-AT366-AT367-AT369-AT368</f>
        <v/>
      </c>
      <c r="AU370" s="991">
        <f>AU362-AU366-AU367-AU369-AU368</f>
        <v/>
      </c>
      <c r="AV370" s="28">
        <f>AV362-AV366-AV367-AV369-AV368</f>
        <v/>
      </c>
      <c r="AW370" s="991">
        <f>AW362-AW366-AW367-AW369-AW368</f>
        <v/>
      </c>
      <c r="AX370" s="28">
        <f>AX362-AX366-AX367-AX369-AX368</f>
        <v/>
      </c>
      <c r="AY370" s="1132">
        <f>AY362-AY366-AY367-AY369-AY368</f>
        <v/>
      </c>
      <c r="AZ370" s="991">
        <f>AZ362-AZ366-AZ367-AZ369-AZ368</f>
        <v/>
      </c>
      <c r="BA370" s="28">
        <f>BA362-BA366-BA367-BA369-BA368</f>
        <v/>
      </c>
      <c r="BB370" s="991">
        <f>BB362-BB366-BB367-BB369-BB368</f>
        <v/>
      </c>
      <c r="BC370" s="28">
        <f>BC362-BC366-BC367-BC369-BC368</f>
        <v/>
      </c>
      <c r="BD370" s="1132">
        <f>BD362-BD366-BD367-BD369-BD368</f>
        <v/>
      </c>
      <c r="BE370" s="991">
        <f>BE362-BE366-BE367-BE369-BE368</f>
        <v/>
      </c>
      <c r="BF370" s="28">
        <f>BF362-BF366-BF367-BF369-BF368</f>
        <v/>
      </c>
      <c r="BG370" s="991">
        <f>BG362-BG366-BG367-BG369-BG368</f>
        <v/>
      </c>
      <c r="BH370" s="28">
        <f>BH362-BH366-BH367-BH369-BH368</f>
        <v/>
      </c>
      <c r="BI370" s="1132">
        <f>BI362-BI366-BI367-BI369-BI368</f>
        <v/>
      </c>
      <c r="BJ370" s="991">
        <f>BJ362-BJ366-BJ367-BJ369-BJ368</f>
        <v/>
      </c>
      <c r="BK370" s="28">
        <f>BK362-BK366-BK367-BK369-BK368</f>
        <v/>
      </c>
      <c r="BL370" s="991">
        <f>BL362-BL366-BL367-BL369-BL368</f>
        <v/>
      </c>
      <c r="BM370" s="28">
        <f>BM362-BM366-BM367-BM369-BM368</f>
        <v/>
      </c>
      <c r="BN370" s="1132">
        <f>BN362-BN366-BN367-BN369-BN368</f>
        <v/>
      </c>
      <c r="BO370" s="991">
        <f>BO362-BO366-BO367-BO369-BO368</f>
        <v/>
      </c>
      <c r="BP370" s="28">
        <f>BP362-BP366-BP367-BP369-BP368</f>
        <v/>
      </c>
      <c r="BQ370" s="991">
        <f>BQ362-BQ366-BQ367-BQ369-BQ368</f>
        <v/>
      </c>
      <c r="BR370" s="28">
        <f>BR362-BR366-BR367-BR369-BR368</f>
        <v/>
      </c>
      <c r="BS370" s="1132">
        <f>BS362-BS366-BS367-BS369-BS368</f>
        <v/>
      </c>
      <c r="BT370" s="991">
        <f>BT362-BT366-BT367-BT369-BT368</f>
        <v/>
      </c>
      <c r="BU370" s="28">
        <f>BU362-BU366-BU367-BU369-BU368</f>
        <v/>
      </c>
      <c r="BV370" s="1022">
        <f>BV362-BV366-BV367-BV369-BV368</f>
        <v/>
      </c>
      <c r="BW370" s="118">
        <f>BW57</f>
        <v/>
      </c>
      <c r="BX370" s="1153">
        <f>BX362-BX366-BX367-BX369-BX368</f>
        <v/>
      </c>
      <c r="BY370" s="118">
        <f>BY57</f>
        <v/>
      </c>
      <c r="BZ370" s="118">
        <f>BZ57</f>
        <v/>
      </c>
      <c r="CA370" s="118">
        <f>CA57</f>
        <v/>
      </c>
      <c r="CB370" s="118">
        <f>CB57</f>
        <v/>
      </c>
      <c r="CC370" s="1153">
        <f>CC362-CC366-CC367-CC369-CC368</f>
        <v/>
      </c>
      <c r="CD370" s="1153">
        <f>CD57</f>
        <v/>
      </c>
      <c r="CE370" s="1153">
        <f>CE57</f>
        <v/>
      </c>
      <c r="CF370" s="1153">
        <f>CF57</f>
        <v/>
      </c>
      <c r="CG370" s="155" t="n"/>
    </row>
    <row r="371">
      <c r="A371" s="75">
        <f>CONCATENATE("Guidance - ",IFERROR(LEFT(A370,FIND("(",A370)-1),A370))</f>
        <v/>
      </c>
      <c r="B371" s="102" t="n"/>
      <c r="C371" s="1117" t="n"/>
      <c r="D371" s="1117" t="n"/>
      <c r="E371" s="1117" t="n"/>
      <c r="F371" s="1117" t="n"/>
      <c r="G371" s="76" t="n"/>
      <c r="H371" s="76" t="n"/>
      <c r="I371" s="76" t="n"/>
      <c r="J371" s="76" t="n"/>
      <c r="K371" s="1117" t="n"/>
      <c r="L371" s="76" t="n"/>
      <c r="M371" s="76" t="n"/>
      <c r="N371" s="76" t="n"/>
      <c r="O371" s="76" t="n"/>
      <c r="P371" s="1117" t="n"/>
      <c r="Q371" s="76" t="n"/>
      <c r="R371" s="76" t="n"/>
      <c r="S371" s="76" t="n"/>
      <c r="T371" s="76" t="n"/>
      <c r="U371" s="1117" t="n"/>
      <c r="V371" s="76" t="n"/>
      <c r="W371" s="76" t="n"/>
      <c r="X371" s="76" t="n"/>
      <c r="Y371" s="76" t="n"/>
      <c r="Z371" s="1117" t="n"/>
      <c r="AA371" s="76" t="n"/>
      <c r="AB371" s="76" t="n"/>
      <c r="AC371" s="76" t="n"/>
      <c r="AD371" s="76" t="n"/>
      <c r="AE371" s="1117" t="n"/>
      <c r="AF371" s="76" t="n"/>
      <c r="AG371" s="76" t="n"/>
      <c r="AH371" s="77" t="n"/>
      <c r="AI371" s="992">
        <f>+AI626</f>
        <v/>
      </c>
      <c r="AJ371" s="1154">
        <f>+AJ626</f>
        <v/>
      </c>
      <c r="AK371" s="993">
        <f>+AK626</f>
        <v/>
      </c>
      <c r="AL371" s="992">
        <f>+AL626</f>
        <v/>
      </c>
      <c r="AM371" s="993">
        <f>+AM626</f>
        <v/>
      </c>
      <c r="AN371" s="992">
        <f>+AN626</f>
        <v/>
      </c>
      <c r="AO371" s="1154">
        <f>+AO626</f>
        <v/>
      </c>
      <c r="AP371" s="993">
        <f>+AP626</f>
        <v/>
      </c>
      <c r="AQ371" s="992">
        <f>+AQ626</f>
        <v/>
      </c>
      <c r="AR371" s="993">
        <f>+AR626</f>
        <v/>
      </c>
      <c r="AS371" s="992">
        <f>+AS626</f>
        <v/>
      </c>
      <c r="AT371" s="1154">
        <f>+AT626</f>
        <v/>
      </c>
      <c r="AU371" s="993">
        <f>+AU626</f>
        <v/>
      </c>
      <c r="AV371" s="992">
        <f>+AV626</f>
        <v/>
      </c>
      <c r="AW371" s="993">
        <f>+AW626</f>
        <v/>
      </c>
      <c r="AX371" s="992">
        <f>+AX626</f>
        <v/>
      </c>
      <c r="AY371" s="1154">
        <f>+AY626</f>
        <v/>
      </c>
      <c r="AZ371" s="993">
        <f>+AZ626</f>
        <v/>
      </c>
      <c r="BA371" s="992">
        <f>+BA626</f>
        <v/>
      </c>
      <c r="BB371" s="993">
        <f>+BB626</f>
        <v/>
      </c>
      <c r="BC371" s="992">
        <f>+BC626</f>
        <v/>
      </c>
      <c r="BD371" s="1154">
        <f>+BD626</f>
        <v/>
      </c>
      <c r="BE371" s="993">
        <f>+BE626</f>
        <v/>
      </c>
      <c r="BF371" s="992">
        <f>+BF626</f>
        <v/>
      </c>
      <c r="BG371" s="993">
        <f>+BG626</f>
        <v/>
      </c>
      <c r="BH371" s="992">
        <f>+BH626</f>
        <v/>
      </c>
      <c r="BI371" s="1154">
        <f>+BI626</f>
        <v/>
      </c>
      <c r="BJ371" s="993">
        <f>+BJ626</f>
        <v/>
      </c>
      <c r="BK371" s="992">
        <f>+BK626</f>
        <v/>
      </c>
      <c r="BL371" s="993">
        <f>+BL626</f>
        <v/>
      </c>
      <c r="BM371" s="992">
        <f>+BM626</f>
        <v/>
      </c>
      <c r="BN371" s="1154">
        <f>+BN626</f>
        <v/>
      </c>
      <c r="BO371" s="993">
        <f>+BO626</f>
        <v/>
      </c>
      <c r="BP371" s="992">
        <f>+BP626</f>
        <v/>
      </c>
      <c r="BQ371" s="993">
        <f>+BQ626</f>
        <v/>
      </c>
      <c r="BR371" s="992">
        <f>+BR626</f>
        <v/>
      </c>
      <c r="BS371" s="1154">
        <f>+BS626</f>
        <v/>
      </c>
      <c r="BT371" s="993">
        <f>+BT626</f>
        <v/>
      </c>
      <c r="BU371" s="992">
        <f>+BU626</f>
        <v/>
      </c>
      <c r="BV371" s="1023">
        <f>+BV626</f>
        <v/>
      </c>
      <c r="BW371" s="77">
        <f>+BW626</f>
        <v/>
      </c>
      <c r="BX371" s="1124">
        <f>+BX626</f>
        <v/>
      </c>
      <c r="BY371" s="77">
        <f>+BY626</f>
        <v/>
      </c>
      <c r="BZ371" s="77">
        <f>+BZ626</f>
        <v/>
      </c>
      <c r="CA371" s="77">
        <f>+CA626</f>
        <v/>
      </c>
      <c r="CB371" s="77">
        <f>+CB626</f>
        <v/>
      </c>
      <c r="CC371" s="1124">
        <f>+CC626</f>
        <v/>
      </c>
      <c r="CD371" s="1124">
        <f>+CD626</f>
        <v/>
      </c>
      <c r="CE371" s="1124">
        <f>+CE626</f>
        <v/>
      </c>
      <c r="CF371" s="1124">
        <f>+CF626</f>
        <v/>
      </c>
      <c r="CG371" s="155" t="n"/>
    </row>
    <row r="372" ht="7.5" customHeight="1">
      <c r="A372" s="122" t="n"/>
      <c r="B372" s="123" t="n"/>
      <c r="C372" s="1125" t="n"/>
      <c r="D372" s="1125" t="n"/>
      <c r="E372" s="1125" t="n"/>
      <c r="F372" s="1125" t="n"/>
      <c r="G372" s="63" t="n"/>
      <c r="H372" s="63" t="n"/>
      <c r="I372" s="63" t="n"/>
      <c r="J372" s="63" t="n"/>
      <c r="K372" s="1125" t="n"/>
      <c r="L372" s="63" t="n"/>
      <c r="M372" s="63" t="n"/>
      <c r="N372" s="63" t="n"/>
      <c r="O372" s="63" t="n"/>
      <c r="P372" s="1125" t="n"/>
      <c r="Q372" s="63" t="n"/>
      <c r="R372" s="63" t="n"/>
      <c r="S372" s="63" t="n"/>
      <c r="T372" s="63" t="n"/>
      <c r="U372" s="1125" t="n"/>
      <c r="V372" s="63" t="n"/>
      <c r="W372" s="63" t="n"/>
      <c r="X372" s="63" t="n"/>
      <c r="Y372" s="63" t="n"/>
      <c r="Z372" s="1125" t="n"/>
      <c r="AA372" s="63" t="n"/>
      <c r="AB372" s="63" t="n"/>
      <c r="AC372" s="63" t="n"/>
      <c r="AD372" s="63" t="n"/>
      <c r="AE372" s="1125" t="n"/>
      <c r="AF372" s="63" t="n"/>
      <c r="AG372" s="63" t="n"/>
      <c r="AH372" s="124" t="n"/>
      <c r="AI372" s="63" t="n"/>
      <c r="AJ372" s="1125" t="n"/>
      <c r="AK372" s="124" t="n"/>
      <c r="AL372" s="63" t="n"/>
      <c r="AM372" s="124" t="n"/>
      <c r="AN372" s="63" t="n"/>
      <c r="AO372" s="1125" t="n"/>
      <c r="AP372" s="124" t="n"/>
      <c r="AQ372" s="63" t="n"/>
      <c r="AR372" s="124" t="n"/>
      <c r="AS372" s="63" t="n"/>
      <c r="AT372" s="1125" t="n"/>
      <c r="AU372" s="124" t="n"/>
      <c r="AV372" s="63" t="n"/>
      <c r="AW372" s="124" t="n"/>
      <c r="AX372" s="63" t="n"/>
      <c r="AY372" s="1125" t="n"/>
      <c r="AZ372" s="124" t="n"/>
      <c r="BA372" s="63" t="n"/>
      <c r="BB372" s="124" t="n"/>
      <c r="BC372" s="63" t="n"/>
      <c r="BD372" s="1125" t="n"/>
      <c r="BE372" s="124" t="n"/>
      <c r="BF372" s="63" t="n"/>
      <c r="BG372" s="124" t="n"/>
      <c r="BH372" s="63" t="n"/>
      <c r="BI372" s="1125" t="n"/>
      <c r="BJ372" s="124" t="n"/>
      <c r="BK372" s="63" t="n"/>
      <c r="BL372" s="124" t="n"/>
      <c r="BM372" s="63" t="n"/>
      <c r="BN372" s="1125" t="n"/>
      <c r="BO372" s="124" t="n"/>
      <c r="BP372" s="63" t="n"/>
      <c r="BQ372" s="124" t="n"/>
      <c r="BR372" s="63" t="n"/>
      <c r="BS372" s="1125" t="n"/>
      <c r="BT372" s="124" t="n"/>
      <c r="BU372" s="63" t="n"/>
      <c r="BV372" s="1024" t="n"/>
      <c r="BW372" s="125" t="n"/>
      <c r="BX372" s="1155" t="n"/>
      <c r="BY372" s="124" t="n"/>
      <c r="BZ372" s="124" t="n"/>
      <c r="CA372" s="125" t="n"/>
      <c r="CB372" s="125" t="n"/>
      <c r="CC372" s="1155" t="n"/>
      <c r="CD372" s="1155" t="n"/>
      <c r="CE372" s="1155" t="n"/>
      <c r="CF372" s="1155" t="n"/>
      <c r="CG372" s="155" t="n"/>
    </row>
    <row r="373" hidden="1" outlineLevel="2">
      <c r="A373" s="145" t="inlineStr">
        <is>
          <t>GAAP R&amp;D</t>
        </is>
      </c>
      <c r="B373" s="146" t="n"/>
      <c r="C373" s="1112">
        <f>+C295</f>
        <v/>
      </c>
      <c r="D373" s="1112">
        <f>+D295</f>
        <v/>
      </c>
      <c r="E373" s="1112">
        <f>+E295</f>
        <v/>
      </c>
      <c r="F373" s="1112">
        <f>+F295</f>
        <v/>
      </c>
      <c r="G373" s="27">
        <f>+G295</f>
        <v/>
      </c>
      <c r="H373" s="27">
        <f>+H295</f>
        <v/>
      </c>
      <c r="I373" s="27">
        <f>+I295</f>
        <v/>
      </c>
      <c r="J373" s="27">
        <f>+J295</f>
        <v/>
      </c>
      <c r="K373" s="1112">
        <f>+K295</f>
        <v/>
      </c>
      <c r="L373" s="27">
        <f>+L295</f>
        <v/>
      </c>
      <c r="M373" s="27">
        <f>+M295</f>
        <v/>
      </c>
      <c r="N373" s="27">
        <f>+N295</f>
        <v/>
      </c>
      <c r="O373" s="27">
        <f>+O295</f>
        <v/>
      </c>
      <c r="P373" s="1112">
        <f>+P295</f>
        <v/>
      </c>
      <c r="Q373" s="27">
        <f>+Q295</f>
        <v/>
      </c>
      <c r="R373" s="27">
        <f>+R295</f>
        <v/>
      </c>
      <c r="S373" s="27">
        <f>+S295</f>
        <v/>
      </c>
      <c r="T373" s="27">
        <f>+T295</f>
        <v/>
      </c>
      <c r="U373" s="1112">
        <f>+U295</f>
        <v/>
      </c>
      <c r="V373" s="27">
        <f>+V295</f>
        <v/>
      </c>
      <c r="W373" s="27">
        <f>+W295</f>
        <v/>
      </c>
      <c r="X373" s="27">
        <f>+X295</f>
        <v/>
      </c>
      <c r="Y373" s="27">
        <f>+Y295</f>
        <v/>
      </c>
      <c r="Z373" s="1112">
        <f>+Z295</f>
        <v/>
      </c>
      <c r="AA373" s="27">
        <f>+AA295</f>
        <v/>
      </c>
      <c r="AB373" s="27">
        <f>+AB295</f>
        <v/>
      </c>
      <c r="AC373" s="27">
        <f>+AC295</f>
        <v/>
      </c>
      <c r="AD373" s="27">
        <f>+AD295</f>
        <v/>
      </c>
      <c r="AE373" s="1112">
        <f>+AE295</f>
        <v/>
      </c>
      <c r="AF373" s="27">
        <f>+AF295</f>
        <v/>
      </c>
      <c r="AG373" s="27">
        <f>+AG295</f>
        <v/>
      </c>
      <c r="AH373" s="27">
        <f>+AH295</f>
        <v/>
      </c>
      <c r="AI373" s="27">
        <f>+AI295</f>
        <v/>
      </c>
      <c r="AJ373" s="1112">
        <f>+AJ295</f>
        <v/>
      </c>
      <c r="AK373" s="27">
        <f>+AK295</f>
        <v/>
      </c>
      <c r="AL373" s="27">
        <f>+AL295</f>
        <v/>
      </c>
      <c r="AM373" s="27">
        <f>+AM295</f>
        <v/>
      </c>
      <c r="AN373" s="27">
        <f>+AN295</f>
        <v/>
      </c>
      <c r="AO373" s="1112">
        <f>+AO295</f>
        <v/>
      </c>
      <c r="AP373" s="27">
        <f>+AP295</f>
        <v/>
      </c>
      <c r="AQ373" s="27">
        <f>+AQ295</f>
        <v/>
      </c>
      <c r="AR373" s="27">
        <f>+AR295</f>
        <v/>
      </c>
      <c r="AS373" s="27">
        <f>+AS295</f>
        <v/>
      </c>
      <c r="AT373" s="1112">
        <f>+AT295</f>
        <v/>
      </c>
      <c r="AU373" s="27">
        <f>+AU295</f>
        <v/>
      </c>
      <c r="AV373" s="27">
        <f>+AV295</f>
        <v/>
      </c>
      <c r="AW373" s="27">
        <f>+AW295</f>
        <v/>
      </c>
      <c r="AX373" s="27">
        <f>+AX295</f>
        <v/>
      </c>
      <c r="AY373" s="1112">
        <f>+AY295</f>
        <v/>
      </c>
      <c r="AZ373" s="27">
        <f>+AZ295</f>
        <v/>
      </c>
      <c r="BA373" s="27">
        <f>+BA295</f>
        <v/>
      </c>
      <c r="BB373" s="27">
        <f>+BB295</f>
        <v/>
      </c>
      <c r="BC373" s="27">
        <f>+BC295</f>
        <v/>
      </c>
      <c r="BD373" s="1112">
        <f>+BD295</f>
        <v/>
      </c>
      <c r="BE373" s="27">
        <f>+BE295</f>
        <v/>
      </c>
      <c r="BF373" s="27">
        <f>+BF295</f>
        <v/>
      </c>
      <c r="BG373" s="27">
        <f>+BG295</f>
        <v/>
      </c>
      <c r="BH373" s="27">
        <f>+BH295</f>
        <v/>
      </c>
      <c r="BI373" s="1112">
        <f>+BI295</f>
        <v/>
      </c>
      <c r="BJ373" s="27">
        <f>+BJ295</f>
        <v/>
      </c>
      <c r="BK373" s="27">
        <f>+BK295</f>
        <v/>
      </c>
      <c r="BL373" s="27">
        <f>+BL295</f>
        <v/>
      </c>
      <c r="BM373" s="27">
        <f>+BM295</f>
        <v/>
      </c>
      <c r="BN373" s="1112">
        <f>+BN295</f>
        <v/>
      </c>
      <c r="BO373" s="27">
        <f>+BO295</f>
        <v/>
      </c>
      <c r="BP373" s="27">
        <f>+BP295</f>
        <v/>
      </c>
      <c r="BQ373" s="27">
        <f>+BQ295</f>
        <v/>
      </c>
      <c r="BR373" s="27">
        <f>+BR295</f>
        <v/>
      </c>
      <c r="BS373" s="1112">
        <f>+BS295</f>
        <v/>
      </c>
      <c r="BT373" s="27">
        <f>+BT295</f>
        <v/>
      </c>
      <c r="BU373" s="27">
        <f>+BU295</f>
        <v/>
      </c>
      <c r="BV373" s="508">
        <f>+BV295</f>
        <v/>
      </c>
      <c r="BW373" s="147">
        <f>+BW377+BW374+BW375+BW376</f>
        <v/>
      </c>
      <c r="BX373" s="1151">
        <f>SUM(BT373,BU373,BV373,BW373)</f>
        <v/>
      </c>
      <c r="BY373" s="68">
        <f>+BY377+BY374+BY375+BY376</f>
        <v/>
      </c>
      <c r="BZ373" s="68">
        <f>+BZ377+BZ374+BZ375+BZ376</f>
        <v/>
      </c>
      <c r="CA373" s="147">
        <f>+CA377+CA374+CA375+CA376</f>
        <v/>
      </c>
      <c r="CB373" s="147">
        <f>+CB377+CB374+CB375+CB376</f>
        <v/>
      </c>
      <c r="CC373" s="1151">
        <f>SUM(BY373,BZ373,CA373,CB373)</f>
        <v/>
      </c>
      <c r="CD373" s="1151">
        <f>+CD377+CD374+CD375+CD376</f>
        <v/>
      </c>
      <c r="CE373" s="1151">
        <f>+CE377+CE374+CE375+CE376</f>
        <v/>
      </c>
      <c r="CF373" s="1151">
        <f>+CF377+CF374+CF375+CF376</f>
        <v/>
      </c>
      <c r="CG373" s="155" t="n"/>
    </row>
    <row r="374" hidden="1" outlineLevel="2">
      <c r="A374" s="632" t="inlineStr">
        <is>
          <t>SBC</t>
        </is>
      </c>
      <c r="B374" s="146" t="n"/>
      <c r="C374" s="1110">
        <f>+C127</f>
        <v/>
      </c>
      <c r="D374" s="1110">
        <f>+D127</f>
        <v/>
      </c>
      <c r="E374" s="1110">
        <f>+E127</f>
        <v/>
      </c>
      <c r="F374" s="1110">
        <f>+F127</f>
        <v/>
      </c>
      <c r="G374" s="68">
        <f>+G127</f>
        <v/>
      </c>
      <c r="H374" s="68">
        <f>+H127</f>
        <v/>
      </c>
      <c r="I374" s="68">
        <f>+I127</f>
        <v/>
      </c>
      <c r="J374" s="68">
        <f>+J127</f>
        <v/>
      </c>
      <c r="K374" s="1110">
        <f>+K127</f>
        <v/>
      </c>
      <c r="L374" s="68">
        <f>+L127</f>
        <v/>
      </c>
      <c r="M374" s="68">
        <f>+M127</f>
        <v/>
      </c>
      <c r="N374" s="68">
        <f>+N127</f>
        <v/>
      </c>
      <c r="O374" s="68">
        <f>+O127</f>
        <v/>
      </c>
      <c r="P374" s="1110">
        <f>+P127</f>
        <v/>
      </c>
      <c r="Q374" s="68">
        <f>+Q127</f>
        <v/>
      </c>
      <c r="R374" s="68">
        <f>+R127</f>
        <v/>
      </c>
      <c r="S374" s="68">
        <f>+S127</f>
        <v/>
      </c>
      <c r="T374" s="68">
        <f>+T127</f>
        <v/>
      </c>
      <c r="U374" s="1110">
        <f>+U127</f>
        <v/>
      </c>
      <c r="V374" s="68">
        <f>+V127</f>
        <v/>
      </c>
      <c r="W374" s="68">
        <f>+W127</f>
        <v/>
      </c>
      <c r="X374" s="68">
        <f>+X127</f>
        <v/>
      </c>
      <c r="Y374" s="68">
        <f>+Y127</f>
        <v/>
      </c>
      <c r="Z374" s="1110">
        <f>+Z127</f>
        <v/>
      </c>
      <c r="AA374" s="68">
        <f>+AA127</f>
        <v/>
      </c>
      <c r="AB374" s="68">
        <f>+AB127</f>
        <v/>
      </c>
      <c r="AC374" s="68">
        <f>+AC127</f>
        <v/>
      </c>
      <c r="AD374" s="68">
        <f>+AD127</f>
        <v/>
      </c>
      <c r="AE374" s="1110">
        <f>+AE127</f>
        <v/>
      </c>
      <c r="AF374" s="68">
        <f>+AF127</f>
        <v/>
      </c>
      <c r="AG374" s="68">
        <f>+AG127</f>
        <v/>
      </c>
      <c r="AH374" s="68">
        <f>+AH127</f>
        <v/>
      </c>
      <c r="AI374" s="68">
        <f>+AI127</f>
        <v/>
      </c>
      <c r="AJ374" s="1110">
        <f>+AJ127</f>
        <v/>
      </c>
      <c r="AK374" s="68">
        <f>+AK127</f>
        <v/>
      </c>
      <c r="AL374" s="68">
        <f>+AL127</f>
        <v/>
      </c>
      <c r="AM374" s="68">
        <f>+AM127</f>
        <v/>
      </c>
      <c r="AN374" s="68">
        <f>+AN127</f>
        <v/>
      </c>
      <c r="AO374" s="1110">
        <f>+AO127</f>
        <v/>
      </c>
      <c r="AP374" s="68">
        <f>+AP127</f>
        <v/>
      </c>
      <c r="AQ374" s="68">
        <f>+AQ127</f>
        <v/>
      </c>
      <c r="AR374" s="68">
        <f>+AR127</f>
        <v/>
      </c>
      <c r="AS374" s="68">
        <f>+AS127</f>
        <v/>
      </c>
      <c r="AT374" s="1110">
        <f>+AT127</f>
        <v/>
      </c>
      <c r="AU374" s="68">
        <f>+AU127</f>
        <v/>
      </c>
      <c r="AV374" s="68">
        <f>+AV127</f>
        <v/>
      </c>
      <c r="AW374" s="68">
        <f>+AW127</f>
        <v/>
      </c>
      <c r="AX374" s="68">
        <f>+AX127</f>
        <v/>
      </c>
      <c r="AY374" s="1110">
        <f>+AY127</f>
        <v/>
      </c>
      <c r="AZ374" s="68">
        <f>+AZ127</f>
        <v/>
      </c>
      <c r="BA374" s="68">
        <f>+BA127</f>
        <v/>
      </c>
      <c r="BB374" s="68">
        <f>+BB127</f>
        <v/>
      </c>
      <c r="BC374" s="68">
        <f>+BC127</f>
        <v/>
      </c>
      <c r="BD374" s="1110">
        <f>+BD127</f>
        <v/>
      </c>
      <c r="BE374" s="68">
        <f>+BE127</f>
        <v/>
      </c>
      <c r="BF374" s="68">
        <f>+BF127</f>
        <v/>
      </c>
      <c r="BG374" s="68">
        <f>+BG127</f>
        <v/>
      </c>
      <c r="BH374" s="68">
        <f>+BH127</f>
        <v/>
      </c>
      <c r="BI374" s="1110">
        <f>+BI127</f>
        <v/>
      </c>
      <c r="BJ374" s="68">
        <f>+BJ127</f>
        <v/>
      </c>
      <c r="BK374" s="68">
        <f>+BK127</f>
        <v/>
      </c>
      <c r="BL374" s="68">
        <f>+BL127</f>
        <v/>
      </c>
      <c r="BM374" s="68">
        <f>+BM127</f>
        <v/>
      </c>
      <c r="BN374" s="1110">
        <f>+BN127</f>
        <v/>
      </c>
      <c r="BO374" s="68">
        <f>+BO127</f>
        <v/>
      </c>
      <c r="BP374" s="68">
        <f>+BP127</f>
        <v/>
      </c>
      <c r="BQ374" s="68">
        <f>+BQ127</f>
        <v/>
      </c>
      <c r="BR374" s="68">
        <f>+BR127</f>
        <v/>
      </c>
      <c r="BS374" s="1110">
        <f>+BS127</f>
        <v/>
      </c>
      <c r="BT374" s="68">
        <f>+BT127</f>
        <v/>
      </c>
      <c r="BU374" s="68">
        <f>+BU127</f>
        <v/>
      </c>
      <c r="BV374" s="588">
        <f>+BV127</f>
        <v/>
      </c>
      <c r="BW374" s="147">
        <f>BW69</f>
        <v/>
      </c>
      <c r="BX374" s="1151">
        <f>SUM(BT374,BU374,BV374,BW374)</f>
        <v/>
      </c>
      <c r="BY374" s="68">
        <f>BY69</f>
        <v/>
      </c>
      <c r="BZ374" s="68">
        <f>BZ69</f>
        <v/>
      </c>
      <c r="CA374" s="147">
        <f>CA69</f>
        <v/>
      </c>
      <c r="CB374" s="147">
        <f>CB69</f>
        <v/>
      </c>
      <c r="CC374" s="1151">
        <f>SUM(BY374,BZ374,CA374,CB374)</f>
        <v/>
      </c>
      <c r="CD374" s="1151">
        <f>CD69</f>
        <v/>
      </c>
      <c r="CE374" s="1151">
        <f>CE69</f>
        <v/>
      </c>
      <c r="CF374" s="1151">
        <f>CF69</f>
        <v/>
      </c>
      <c r="CG374" s="155" t="n"/>
    </row>
    <row r="375" hidden="1" outlineLevel="2">
      <c r="A375" s="632" t="inlineStr">
        <is>
          <t>Acquisition-related costs R&amp;D</t>
        </is>
      </c>
      <c r="B375" s="146" t="n"/>
      <c r="C375" s="1110">
        <f>C122</f>
        <v/>
      </c>
      <c r="D375" s="1110">
        <f>D122</f>
        <v/>
      </c>
      <c r="E375" s="1110">
        <f>E122</f>
        <v/>
      </c>
      <c r="F375" s="1110">
        <f>F122</f>
        <v/>
      </c>
      <c r="G375" s="68">
        <f>G122</f>
        <v/>
      </c>
      <c r="H375" s="68">
        <f>H122</f>
        <v/>
      </c>
      <c r="I375" s="68">
        <f>I122</f>
        <v/>
      </c>
      <c r="J375" s="68">
        <f>J122</f>
        <v/>
      </c>
      <c r="K375" s="1110">
        <f>K122</f>
        <v/>
      </c>
      <c r="L375" s="68">
        <f>L122</f>
        <v/>
      </c>
      <c r="M375" s="68">
        <f>M122</f>
        <v/>
      </c>
      <c r="N375" s="68">
        <f>N122</f>
        <v/>
      </c>
      <c r="O375" s="68">
        <f>O122</f>
        <v/>
      </c>
      <c r="P375" s="1110">
        <f>P122</f>
        <v/>
      </c>
      <c r="Q375" s="68">
        <f>Q122</f>
        <v/>
      </c>
      <c r="R375" s="68">
        <f>R122</f>
        <v/>
      </c>
      <c r="S375" s="68">
        <f>S122</f>
        <v/>
      </c>
      <c r="T375" s="68">
        <f>T122</f>
        <v/>
      </c>
      <c r="U375" s="1110">
        <f>U122</f>
        <v/>
      </c>
      <c r="V375" s="68">
        <f>V122</f>
        <v/>
      </c>
      <c r="W375" s="68">
        <f>W122</f>
        <v/>
      </c>
      <c r="X375" s="68">
        <f>X122</f>
        <v/>
      </c>
      <c r="Y375" s="68">
        <f>Y122</f>
        <v/>
      </c>
      <c r="Z375" s="1110">
        <f>Z122</f>
        <v/>
      </c>
      <c r="AA375" s="68">
        <f>AA122</f>
        <v/>
      </c>
      <c r="AB375" s="68">
        <f>AB122</f>
        <v/>
      </c>
      <c r="AC375" s="68">
        <f>AC122</f>
        <v/>
      </c>
      <c r="AD375" s="68">
        <f>AD122</f>
        <v/>
      </c>
      <c r="AE375" s="1110">
        <f>AE122</f>
        <v/>
      </c>
      <c r="AF375" s="68">
        <f>AF122</f>
        <v/>
      </c>
      <c r="AG375" s="68">
        <f>AG122</f>
        <v/>
      </c>
      <c r="AH375" s="68">
        <f>AH122</f>
        <v/>
      </c>
      <c r="AI375" s="68">
        <f>AI122</f>
        <v/>
      </c>
      <c r="AJ375" s="1110">
        <f>AJ122</f>
        <v/>
      </c>
      <c r="AK375" s="68">
        <f>AK122</f>
        <v/>
      </c>
      <c r="AL375" s="68">
        <f>AL122</f>
        <v/>
      </c>
      <c r="AM375" s="68">
        <f>AM122</f>
        <v/>
      </c>
      <c r="AN375" s="68">
        <f>AN122</f>
        <v/>
      </c>
      <c r="AO375" s="1110">
        <f>AO122</f>
        <v/>
      </c>
      <c r="AP375" s="68">
        <f>AP122</f>
        <v/>
      </c>
      <c r="AQ375" s="68">
        <f>AQ122</f>
        <v/>
      </c>
      <c r="AR375" s="68">
        <f>AR122</f>
        <v/>
      </c>
      <c r="AS375" s="68">
        <f>AS122</f>
        <v/>
      </c>
      <c r="AT375" s="1110">
        <f>AT122</f>
        <v/>
      </c>
      <c r="AU375" s="68">
        <f>AU122</f>
        <v/>
      </c>
      <c r="AV375" s="68">
        <f>AV122</f>
        <v/>
      </c>
      <c r="AW375" s="68">
        <f>AW122</f>
        <v/>
      </c>
      <c r="AX375" s="68">
        <f>AX122</f>
        <v/>
      </c>
      <c r="AY375" s="1110">
        <f>AY122</f>
        <v/>
      </c>
      <c r="AZ375" s="68">
        <f>AZ122</f>
        <v/>
      </c>
      <c r="BA375" s="68">
        <f>BA122</f>
        <v/>
      </c>
      <c r="BB375" s="68">
        <f>BB122</f>
        <v/>
      </c>
      <c r="BC375" s="68">
        <f>BC122</f>
        <v/>
      </c>
      <c r="BD375" s="1110">
        <f>BD122</f>
        <v/>
      </c>
      <c r="BE375" s="68">
        <f>BE122</f>
        <v/>
      </c>
      <c r="BF375" s="68">
        <f>BF122</f>
        <v/>
      </c>
      <c r="BG375" s="68">
        <f>BG122</f>
        <v/>
      </c>
      <c r="BH375" s="68">
        <f>BH122</f>
        <v/>
      </c>
      <c r="BI375" s="1110">
        <f>BI122</f>
        <v/>
      </c>
      <c r="BJ375" s="68">
        <f>BJ122</f>
        <v/>
      </c>
      <c r="BK375" s="68">
        <f>BK122</f>
        <v/>
      </c>
      <c r="BL375" s="68">
        <f>BL122</f>
        <v/>
      </c>
      <c r="BM375" s="68">
        <f>BM122</f>
        <v/>
      </c>
      <c r="BN375" s="1110">
        <f>BN122</f>
        <v/>
      </c>
      <c r="BO375" s="68">
        <f>BO122</f>
        <v/>
      </c>
      <c r="BP375" s="68">
        <f>BP122</f>
        <v/>
      </c>
      <c r="BQ375" s="68">
        <f>BQ122</f>
        <v/>
      </c>
      <c r="BR375" s="68">
        <f>BR122</f>
        <v/>
      </c>
      <c r="BS375" s="1110">
        <f>BS122</f>
        <v/>
      </c>
      <c r="BT375" s="68">
        <f>BT122</f>
        <v/>
      </c>
      <c r="BU375" s="68">
        <f>BU122</f>
        <v/>
      </c>
      <c r="BV375" s="588">
        <f>BV122</f>
        <v/>
      </c>
      <c r="BW375" s="147">
        <f>BW71</f>
        <v/>
      </c>
      <c r="BX375" s="1151">
        <f>SUM(BT375,BU375,BV375,BW375)</f>
        <v/>
      </c>
      <c r="BY375" s="68">
        <f>BY71</f>
        <v/>
      </c>
      <c r="BZ375" s="68">
        <f>BZ71</f>
        <v/>
      </c>
      <c r="CA375" s="147">
        <f>CA71</f>
        <v/>
      </c>
      <c r="CB375" s="147">
        <f>CB71</f>
        <v/>
      </c>
      <c r="CC375" s="1151">
        <f>SUM(BY375,BZ375,CA375,CB375)</f>
        <v/>
      </c>
      <c r="CD375" s="1151">
        <f>CD71</f>
        <v/>
      </c>
      <c r="CE375" s="1151">
        <f>CE71</f>
        <v/>
      </c>
      <c r="CF375" s="1151">
        <f>CF71</f>
        <v/>
      </c>
      <c r="CG375" s="155" t="n"/>
    </row>
    <row r="376" hidden="1" outlineLevel="2">
      <c r="A376" s="148" t="inlineStr">
        <is>
          <t>Other Adjustments R&amp;D</t>
        </is>
      </c>
      <c r="B376" s="149" t="n"/>
      <c r="C376" s="1152" t="n"/>
      <c r="D376" s="1152" t="n"/>
      <c r="E376" s="1152" t="n"/>
      <c r="F376" s="1152" t="n"/>
      <c r="G376" s="659" t="n"/>
      <c r="H376" s="659" t="n"/>
      <c r="I376" s="659" t="n"/>
      <c r="J376" s="659" t="n"/>
      <c r="K376" s="1152" t="n"/>
      <c r="L376" s="659" t="n"/>
      <c r="M376" s="659" t="n"/>
      <c r="N376" s="659" t="n"/>
      <c r="O376" s="659" t="n"/>
      <c r="P376" s="1152" t="n"/>
      <c r="Q376" s="659" t="n"/>
      <c r="R376" s="659" t="n"/>
      <c r="S376" s="659" t="n"/>
      <c r="T376" s="659" t="n"/>
      <c r="U376" s="1152" t="n"/>
      <c r="V376" s="659" t="n"/>
      <c r="W376" s="659" t="n"/>
      <c r="X376" s="659" t="n"/>
      <c r="Y376" s="659" t="n"/>
      <c r="Z376" s="1152" t="n"/>
      <c r="AA376" s="659" t="n"/>
      <c r="AB376" s="659" t="n"/>
      <c r="AC376" s="659" t="n"/>
      <c r="AD376" s="659" t="n"/>
      <c r="AE376" s="1152" t="n"/>
      <c r="AF376" s="659" t="n"/>
      <c r="AG376" s="659" t="n"/>
      <c r="AH376" s="659" t="n"/>
      <c r="AI376" s="659" t="n"/>
      <c r="AJ376" s="1152" t="n"/>
      <c r="AK376" s="659" t="n"/>
      <c r="AL376" s="659" t="n"/>
      <c r="AM376" s="659" t="n"/>
      <c r="AN376" s="659" t="n"/>
      <c r="AO376" s="1152" t="n"/>
      <c r="AP376" s="659" t="n"/>
      <c r="AQ376" s="659" t="n"/>
      <c r="AR376" s="659" t="n"/>
      <c r="AS376" s="659" t="n"/>
      <c r="AT376" s="1152" t="n"/>
      <c r="AU376" s="659" t="n"/>
      <c r="AV376" s="659" t="n"/>
      <c r="AW376" s="659" t="n"/>
      <c r="AX376" s="659" t="n"/>
      <c r="AY376" s="1152" t="n"/>
      <c r="AZ376" s="659" t="n"/>
      <c r="BA376" s="659" t="n"/>
      <c r="BB376" s="659" t="n"/>
      <c r="BC376" s="659" t="n"/>
      <c r="BD376" s="1152" t="n"/>
      <c r="BE376" s="659" t="n"/>
      <c r="BF376" s="659" t="n"/>
      <c r="BG376" s="659" t="n"/>
      <c r="BH376" s="659" t="n"/>
      <c r="BI376" s="1152" t="n"/>
      <c r="BJ376" s="659" t="n"/>
      <c r="BK376" s="659" t="n"/>
      <c r="BL376" s="659" t="n"/>
      <c r="BM376" s="659" t="n"/>
      <c r="BN376" s="1152" t="n"/>
      <c r="BO376" s="659" t="n"/>
      <c r="BP376" s="659" t="n"/>
      <c r="BQ376" s="659" t="n"/>
      <c r="BR376" s="659" t="n"/>
      <c r="BS376" s="1152" t="n"/>
      <c r="BT376" s="659" t="n"/>
      <c r="BU376" s="659" t="n"/>
      <c r="BV376" s="895" t="n"/>
      <c r="BW376" s="660">
        <f>BW73</f>
        <v/>
      </c>
      <c r="BX376" s="1152">
        <f>SUM(BT376,BU376,BV376,BW376)</f>
        <v/>
      </c>
      <c r="BY376" s="659">
        <f>BY73</f>
        <v/>
      </c>
      <c r="BZ376" s="659">
        <f>BZ73</f>
        <v/>
      </c>
      <c r="CA376" s="660">
        <f>CA73</f>
        <v/>
      </c>
      <c r="CB376" s="660">
        <f>CB73</f>
        <v/>
      </c>
      <c r="CC376" s="1152">
        <f>SUM(BY376,BZ376,CA376,CB376)</f>
        <v/>
      </c>
      <c r="CD376" s="1152">
        <f>CD73</f>
        <v/>
      </c>
      <c r="CE376" s="1152">
        <f>CE73</f>
        <v/>
      </c>
      <c r="CF376" s="1152">
        <f>CF73</f>
        <v/>
      </c>
      <c r="CG376" s="155" t="n"/>
    </row>
    <row r="377" collapsed="1">
      <c r="A377" s="99" t="inlineStr">
        <is>
          <t>Non-GAAP R&amp;D</t>
        </is>
      </c>
      <c r="B377" s="102" t="n"/>
      <c r="C377" s="1110">
        <f>C373-SUM(C374:C376)</f>
        <v/>
      </c>
      <c r="D377" s="1110">
        <f>D373-SUM(D374:D376)</f>
        <v/>
      </c>
      <c r="E377" s="1110">
        <f>E373-SUM(E374:E376)</f>
        <v/>
      </c>
      <c r="F377" s="1110">
        <f>F373-SUM(F374:F376)</f>
        <v/>
      </c>
      <c r="G377" s="68">
        <f>G373-SUM(G374:G376)</f>
        <v/>
      </c>
      <c r="H377" s="68">
        <f>H373-SUM(H374:H376)</f>
        <v/>
      </c>
      <c r="I377" s="68">
        <f>I373-SUM(I374:I376)</f>
        <v/>
      </c>
      <c r="J377" s="68">
        <f>J373-SUM(J374:J376)</f>
        <v/>
      </c>
      <c r="K377" s="1110">
        <f>K373-SUM(K374:K376)</f>
        <v/>
      </c>
      <c r="L377" s="68">
        <f>L373-SUM(L374:L376)</f>
        <v/>
      </c>
      <c r="M377" s="68">
        <f>M373-SUM(M374:M376)</f>
        <v/>
      </c>
      <c r="N377" s="68">
        <f>N373-SUM(N374:N376)</f>
        <v/>
      </c>
      <c r="O377" s="68">
        <f>O373-SUM(O374:O376)</f>
        <v/>
      </c>
      <c r="P377" s="1110">
        <f>P373-SUM(P374:P376)</f>
        <v/>
      </c>
      <c r="Q377" s="68">
        <f>Q373-SUM(Q374:Q376)</f>
        <v/>
      </c>
      <c r="R377" s="68">
        <f>R373-SUM(R374:R376)</f>
        <v/>
      </c>
      <c r="S377" s="68">
        <f>S373-SUM(S374:S376)</f>
        <v/>
      </c>
      <c r="T377" s="68">
        <f>T373-SUM(T374:T376)</f>
        <v/>
      </c>
      <c r="U377" s="1110">
        <f>U373-SUM(U374:U376)</f>
        <v/>
      </c>
      <c r="V377" s="68">
        <f>V373-SUM(V374:V376)</f>
        <v/>
      </c>
      <c r="W377" s="68">
        <f>W373-SUM(W374:W376)</f>
        <v/>
      </c>
      <c r="X377" s="68">
        <f>X373-SUM(X374:X376)</f>
        <v/>
      </c>
      <c r="Y377" s="68">
        <f>Y373-SUM(Y374:Y376)</f>
        <v/>
      </c>
      <c r="Z377" s="1110">
        <f>Z373-SUM(Z374:Z376)</f>
        <v/>
      </c>
      <c r="AA377" s="68">
        <f>AA373-SUM(AA374:AA376)</f>
        <v/>
      </c>
      <c r="AB377" s="68">
        <f>AB373-SUM(AB374:AB376)</f>
        <v/>
      </c>
      <c r="AC377" s="68">
        <f>AC373-SUM(AC374:AC376)</f>
        <v/>
      </c>
      <c r="AD377" s="68">
        <f>AD373-SUM(AD374:AD376)</f>
        <v/>
      </c>
      <c r="AE377" s="1110">
        <f>AE373-SUM(AE374:AE376)</f>
        <v/>
      </c>
      <c r="AF377" s="68">
        <f>AF373-SUM(AF374:AF376)</f>
        <v/>
      </c>
      <c r="AG377" s="68">
        <f>AG373-SUM(AG374:AG376)</f>
        <v/>
      </c>
      <c r="AH377" s="68">
        <f>AH373-SUM(AH374:AH376)</f>
        <v/>
      </c>
      <c r="AI377" s="68">
        <f>AI373-SUM(AI374:AI376)</f>
        <v/>
      </c>
      <c r="AJ377" s="1110">
        <f>AJ373-SUM(AJ374:AJ376)</f>
        <v/>
      </c>
      <c r="AK377" s="68">
        <f>AK373-SUM(AK374:AK376)</f>
        <v/>
      </c>
      <c r="AL377" s="68">
        <f>AL373-SUM(AL374:AL376)</f>
        <v/>
      </c>
      <c r="AM377" s="68">
        <f>AM373-SUM(AM374:AM376)</f>
        <v/>
      </c>
      <c r="AN377" s="68">
        <f>AN373-SUM(AN374:AN376)</f>
        <v/>
      </c>
      <c r="AO377" s="1110">
        <f>AO373-SUM(AO374:AO376)</f>
        <v/>
      </c>
      <c r="AP377" s="68">
        <f>AP373-SUM(AP374:AP376)</f>
        <v/>
      </c>
      <c r="AQ377" s="68">
        <f>AQ373-SUM(AQ374:AQ376)</f>
        <v/>
      </c>
      <c r="AR377" s="68">
        <f>AR373-SUM(AR374:AR376)</f>
        <v/>
      </c>
      <c r="AS377" s="68">
        <f>AS373-SUM(AS374:AS376)</f>
        <v/>
      </c>
      <c r="AT377" s="1110">
        <f>AT373-SUM(AT374:AT376)</f>
        <v/>
      </c>
      <c r="AU377" s="68">
        <f>AU373-SUM(AU374:AU376)</f>
        <v/>
      </c>
      <c r="AV377" s="68">
        <f>AV373-SUM(AV374:AV376)</f>
        <v/>
      </c>
      <c r="AW377" s="68">
        <f>AW373-SUM(AW374:AW376)</f>
        <v/>
      </c>
      <c r="AX377" s="68">
        <f>AX373-SUM(AX374:AX376)</f>
        <v/>
      </c>
      <c r="AY377" s="1110">
        <f>AY373-SUM(AY374:AY376)</f>
        <v/>
      </c>
      <c r="AZ377" s="68">
        <f>AZ373-SUM(AZ374:AZ376)</f>
        <v/>
      </c>
      <c r="BA377" s="68">
        <f>BA373-SUM(BA374:BA376)</f>
        <v/>
      </c>
      <c r="BB377" s="68">
        <f>BB373-SUM(BB374:BB376)</f>
        <v/>
      </c>
      <c r="BC377" s="68">
        <f>BC373-SUM(BC374:BC376)</f>
        <v/>
      </c>
      <c r="BD377" s="1110">
        <f>BD373-SUM(BD374:BD376)</f>
        <v/>
      </c>
      <c r="BE377" s="68">
        <f>BE373-SUM(BE374:BE376)</f>
        <v/>
      </c>
      <c r="BF377" s="68">
        <f>BF373-SUM(BF374:BF376)</f>
        <v/>
      </c>
      <c r="BG377" s="68">
        <f>BG373-SUM(BG374:BG376)</f>
        <v/>
      </c>
      <c r="BH377" s="68">
        <f>BH373-SUM(BH374:BH376)</f>
        <v/>
      </c>
      <c r="BI377" s="1110">
        <f>BI373-SUM(BI374:BI376)</f>
        <v/>
      </c>
      <c r="BJ377" s="68">
        <f>BJ373-SUM(BJ374:BJ376)</f>
        <v/>
      </c>
      <c r="BK377" s="68">
        <f>BK373-SUM(BK374:BK376)</f>
        <v/>
      </c>
      <c r="BL377" s="68">
        <f>BL373-SUM(BL374:BL376)</f>
        <v/>
      </c>
      <c r="BM377" s="68">
        <f>BM373-SUM(BM374:BM376)</f>
        <v/>
      </c>
      <c r="BN377" s="1110">
        <f>BN373-SUM(BN374:BN376)</f>
        <v/>
      </c>
      <c r="BO377" s="68">
        <f>BO373-SUM(BO374:BO376)</f>
        <v/>
      </c>
      <c r="BP377" s="68">
        <f>BP373-SUM(BP374:BP376)</f>
        <v/>
      </c>
      <c r="BQ377" s="68">
        <f>BQ373-SUM(BQ374:BQ376)</f>
        <v/>
      </c>
      <c r="BR377" s="68">
        <f>BR373-SUM(BR374:BR376)</f>
        <v/>
      </c>
      <c r="BS377" s="1110">
        <f>BS373-SUM(BS374:BS376)</f>
        <v/>
      </c>
      <c r="BT377" s="68">
        <f>BT373-SUM(BT374:BT376)</f>
        <v/>
      </c>
      <c r="BU377" s="68">
        <f>BU373-SUM(BU374:BU376)</f>
        <v/>
      </c>
      <c r="BV377" s="588">
        <f>BV373-SUM(BV374:BV376)</f>
        <v/>
      </c>
      <c r="BW377" s="68">
        <f>BW74</f>
        <v/>
      </c>
      <c r="BX377" s="1151">
        <f>BX373-SUM(BX374:BX376)</f>
        <v/>
      </c>
      <c r="BY377" s="68">
        <f>BY74</f>
        <v/>
      </c>
      <c r="BZ377" s="68">
        <f>BZ74</f>
        <v/>
      </c>
      <c r="CA377" s="68">
        <f>CA74</f>
        <v/>
      </c>
      <c r="CB377" s="68">
        <f>CB74</f>
        <v/>
      </c>
      <c r="CC377" s="1151">
        <f>CC373-SUM(CC374:CC376)</f>
        <v/>
      </c>
      <c r="CD377" s="1151">
        <f>CD74</f>
        <v/>
      </c>
      <c r="CE377" s="1151">
        <f>CE74</f>
        <v/>
      </c>
      <c r="CF377" s="1151">
        <f>CF74</f>
        <v/>
      </c>
      <c r="CG377" s="155" t="n"/>
    </row>
    <row r="378" hidden="1" outlineLevel="2">
      <c r="A378" s="67" t="inlineStr">
        <is>
          <t>GAAP SG&amp;A</t>
        </is>
      </c>
      <c r="B378" s="102" t="n"/>
      <c r="C378" s="1112">
        <f>+C296</f>
        <v/>
      </c>
      <c r="D378" s="1112">
        <f>+D296</f>
        <v/>
      </c>
      <c r="E378" s="1112">
        <f>+E296</f>
        <v/>
      </c>
      <c r="F378" s="1112">
        <f>+F296</f>
        <v/>
      </c>
      <c r="G378" s="27">
        <f>+G296</f>
        <v/>
      </c>
      <c r="H378" s="27">
        <f>+H296</f>
        <v/>
      </c>
      <c r="I378" s="27">
        <f>+I296</f>
        <v/>
      </c>
      <c r="J378" s="27">
        <f>+J296</f>
        <v/>
      </c>
      <c r="K378" s="1112">
        <f>+K296</f>
        <v/>
      </c>
      <c r="L378" s="27">
        <f>+L296</f>
        <v/>
      </c>
      <c r="M378" s="27">
        <f>+M296</f>
        <v/>
      </c>
      <c r="N378" s="27">
        <f>+N296</f>
        <v/>
      </c>
      <c r="O378" s="27">
        <f>+O296</f>
        <v/>
      </c>
      <c r="P378" s="1112">
        <f>+P296</f>
        <v/>
      </c>
      <c r="Q378" s="27">
        <f>+Q296</f>
        <v/>
      </c>
      <c r="R378" s="27">
        <f>+R296</f>
        <v/>
      </c>
      <c r="S378" s="27">
        <f>+S296</f>
        <v/>
      </c>
      <c r="T378" s="27">
        <f>+T296</f>
        <v/>
      </c>
      <c r="U378" s="1112">
        <f>+U296</f>
        <v/>
      </c>
      <c r="V378" s="27">
        <f>+V296</f>
        <v/>
      </c>
      <c r="W378" s="27">
        <f>+W296</f>
        <v/>
      </c>
      <c r="X378" s="27">
        <f>+X296</f>
        <v/>
      </c>
      <c r="Y378" s="27">
        <f>+Y296</f>
        <v/>
      </c>
      <c r="Z378" s="1112">
        <f>+Z296</f>
        <v/>
      </c>
      <c r="AA378" s="27">
        <f>+AA296</f>
        <v/>
      </c>
      <c r="AB378" s="27">
        <f>+AB296</f>
        <v/>
      </c>
      <c r="AC378" s="27">
        <f>+AC296</f>
        <v/>
      </c>
      <c r="AD378" s="27">
        <f>+AD296</f>
        <v/>
      </c>
      <c r="AE378" s="1112">
        <f>+AE296</f>
        <v/>
      </c>
      <c r="AF378" s="27">
        <f>+AF296</f>
        <v/>
      </c>
      <c r="AG378" s="27">
        <f>+AG296</f>
        <v/>
      </c>
      <c r="AH378" s="27">
        <f>+AH296</f>
        <v/>
      </c>
      <c r="AI378" s="27">
        <f>+AI296</f>
        <v/>
      </c>
      <c r="AJ378" s="1112">
        <f>+AJ296</f>
        <v/>
      </c>
      <c r="AK378" s="27">
        <f>+AK296</f>
        <v/>
      </c>
      <c r="AL378" s="27">
        <f>+AL296</f>
        <v/>
      </c>
      <c r="AM378" s="27">
        <f>+AM296</f>
        <v/>
      </c>
      <c r="AN378" s="27">
        <f>+AN296</f>
        <v/>
      </c>
      <c r="AO378" s="1112">
        <f>+AO296</f>
        <v/>
      </c>
      <c r="AP378" s="27">
        <f>+AP296</f>
        <v/>
      </c>
      <c r="AQ378" s="27">
        <f>+AQ296</f>
        <v/>
      </c>
      <c r="AR378" s="27">
        <f>+AR296</f>
        <v/>
      </c>
      <c r="AS378" s="27">
        <f>+AS296</f>
        <v/>
      </c>
      <c r="AT378" s="1112">
        <f>+AT296</f>
        <v/>
      </c>
      <c r="AU378" s="27">
        <f>+AU296</f>
        <v/>
      </c>
      <c r="AV378" s="27">
        <f>+AV296</f>
        <v/>
      </c>
      <c r="AW378" s="27">
        <f>+AW296</f>
        <v/>
      </c>
      <c r="AX378" s="27">
        <f>+AX296</f>
        <v/>
      </c>
      <c r="AY378" s="1112">
        <f>+AY296</f>
        <v/>
      </c>
      <c r="AZ378" s="27">
        <f>+AZ296</f>
        <v/>
      </c>
      <c r="BA378" s="27">
        <f>+BA296</f>
        <v/>
      </c>
      <c r="BB378" s="27">
        <f>+BB296</f>
        <v/>
      </c>
      <c r="BC378" s="27">
        <f>+BC296</f>
        <v/>
      </c>
      <c r="BD378" s="1112">
        <f>+BD296</f>
        <v/>
      </c>
      <c r="BE378" s="27">
        <f>+BE296</f>
        <v/>
      </c>
      <c r="BF378" s="27">
        <f>+BF296</f>
        <v/>
      </c>
      <c r="BG378" s="27">
        <f>+BG296</f>
        <v/>
      </c>
      <c r="BH378" s="27">
        <f>+BH296</f>
        <v/>
      </c>
      <c r="BI378" s="1112">
        <f>+BI296</f>
        <v/>
      </c>
      <c r="BJ378" s="27">
        <f>+BJ296</f>
        <v/>
      </c>
      <c r="BK378" s="27">
        <f>+BK296</f>
        <v/>
      </c>
      <c r="BL378" s="27">
        <f>+BL296</f>
        <v/>
      </c>
      <c r="BM378" s="27">
        <f>+BM296</f>
        <v/>
      </c>
      <c r="BN378" s="1112">
        <f>+BN296</f>
        <v/>
      </c>
      <c r="BO378" s="27">
        <f>+BO296</f>
        <v/>
      </c>
      <c r="BP378" s="27">
        <f>+BP296</f>
        <v/>
      </c>
      <c r="BQ378" s="27">
        <f>+BQ296</f>
        <v/>
      </c>
      <c r="BR378" s="27">
        <f>+BR296</f>
        <v/>
      </c>
      <c r="BS378" s="1112">
        <f>+BS296</f>
        <v/>
      </c>
      <c r="BT378" s="27">
        <f>+BT296</f>
        <v/>
      </c>
      <c r="BU378" s="27">
        <f>+BU296</f>
        <v/>
      </c>
      <c r="BV378" s="508">
        <f>+BV296</f>
        <v/>
      </c>
      <c r="BW378" s="68">
        <f>BW382+BW379+BW380+BW381</f>
        <v/>
      </c>
      <c r="BX378" s="1151">
        <f>SUM(BT378,BU378,BV378,BW378)</f>
        <v/>
      </c>
      <c r="BY378" s="68">
        <f>BY382+BY379+BY380+BY381</f>
        <v/>
      </c>
      <c r="BZ378" s="68">
        <f>BZ382+BZ379+BZ380+BZ381</f>
        <v/>
      </c>
      <c r="CA378" s="68">
        <f>CA382+CA379+CA380+CA381</f>
        <v/>
      </c>
      <c r="CB378" s="68">
        <f>CB382+CB379+CB380+CB381</f>
        <v/>
      </c>
      <c r="CC378" s="1151">
        <f>SUM(BY378,BZ378,CA378,CB378)</f>
        <v/>
      </c>
      <c r="CD378" s="1151">
        <f>CD382+CD379+CD380+CD381</f>
        <v/>
      </c>
      <c r="CE378" s="1151">
        <f>CE382+CE379+CE380+CE381</f>
        <v/>
      </c>
      <c r="CF378" s="1151">
        <f>CF382+CF379+CF380+CF381</f>
        <v/>
      </c>
      <c r="CG378" s="155" t="n"/>
    </row>
    <row r="379" hidden="1" outlineLevel="2">
      <c r="A379" s="572" t="inlineStr">
        <is>
          <t>SBC</t>
        </is>
      </c>
      <c r="B379" s="102" t="n"/>
      <c r="C379" s="1110">
        <f>+C128</f>
        <v/>
      </c>
      <c r="D379" s="1110">
        <f>+D128</f>
        <v/>
      </c>
      <c r="E379" s="1110">
        <f>+E128</f>
        <v/>
      </c>
      <c r="F379" s="1110">
        <f>+F128</f>
        <v/>
      </c>
      <c r="G379" s="68">
        <f>+G128</f>
        <v/>
      </c>
      <c r="H379" s="68">
        <f>+H128</f>
        <v/>
      </c>
      <c r="I379" s="68">
        <f>+I128</f>
        <v/>
      </c>
      <c r="J379" s="68">
        <f>+J128</f>
        <v/>
      </c>
      <c r="K379" s="1110">
        <f>+K128</f>
        <v/>
      </c>
      <c r="L379" s="68">
        <f>+L128</f>
        <v/>
      </c>
      <c r="M379" s="68">
        <f>+M128</f>
        <v/>
      </c>
      <c r="N379" s="68">
        <f>+N128</f>
        <v/>
      </c>
      <c r="O379" s="68">
        <f>+O128</f>
        <v/>
      </c>
      <c r="P379" s="1110">
        <f>+P128</f>
        <v/>
      </c>
      <c r="Q379" s="68">
        <f>+Q128</f>
        <v/>
      </c>
      <c r="R379" s="68">
        <f>+R128</f>
        <v/>
      </c>
      <c r="S379" s="68">
        <f>+S128</f>
        <v/>
      </c>
      <c r="T379" s="68">
        <f>+T128</f>
        <v/>
      </c>
      <c r="U379" s="1110">
        <f>+U128</f>
        <v/>
      </c>
      <c r="V379" s="68">
        <f>+V128</f>
        <v/>
      </c>
      <c r="W379" s="68">
        <f>+W128</f>
        <v/>
      </c>
      <c r="X379" s="68">
        <f>+X128</f>
        <v/>
      </c>
      <c r="Y379" s="68">
        <f>+Y128</f>
        <v/>
      </c>
      <c r="Z379" s="1110">
        <f>+Z128</f>
        <v/>
      </c>
      <c r="AA379" s="68">
        <f>+AA128</f>
        <v/>
      </c>
      <c r="AB379" s="68">
        <f>+AB128</f>
        <v/>
      </c>
      <c r="AC379" s="68">
        <f>+AC128</f>
        <v/>
      </c>
      <c r="AD379" s="68">
        <f>+AD128</f>
        <v/>
      </c>
      <c r="AE379" s="1110">
        <f>+AE128</f>
        <v/>
      </c>
      <c r="AF379" s="68">
        <f>+AF128</f>
        <v/>
      </c>
      <c r="AG379" s="68">
        <f>+AG128</f>
        <v/>
      </c>
      <c r="AH379" s="68">
        <f>+AH128</f>
        <v/>
      </c>
      <c r="AI379" s="68">
        <f>+AI128</f>
        <v/>
      </c>
      <c r="AJ379" s="1110">
        <f>+AJ128</f>
        <v/>
      </c>
      <c r="AK379" s="68">
        <f>+AK128</f>
        <v/>
      </c>
      <c r="AL379" s="68">
        <f>+AL128</f>
        <v/>
      </c>
      <c r="AM379" s="68">
        <f>+AM128</f>
        <v/>
      </c>
      <c r="AN379" s="68">
        <f>+AN128</f>
        <v/>
      </c>
      <c r="AO379" s="1110">
        <f>+AO128</f>
        <v/>
      </c>
      <c r="AP379" s="68">
        <f>+AP128</f>
        <v/>
      </c>
      <c r="AQ379" s="68">
        <f>+AQ128</f>
        <v/>
      </c>
      <c r="AR379" s="68">
        <f>+AR128</f>
        <v/>
      </c>
      <c r="AS379" s="68">
        <f>+AS128</f>
        <v/>
      </c>
      <c r="AT379" s="1110">
        <f>+AT128</f>
        <v/>
      </c>
      <c r="AU379" s="68">
        <f>+AU128</f>
        <v/>
      </c>
      <c r="AV379" s="68">
        <f>+AV128</f>
        <v/>
      </c>
      <c r="AW379" s="68">
        <f>+AW128</f>
        <v/>
      </c>
      <c r="AX379" s="68">
        <f>+AX128</f>
        <v/>
      </c>
      <c r="AY379" s="1110">
        <f>+AY128</f>
        <v/>
      </c>
      <c r="AZ379" s="68">
        <f>+AZ128</f>
        <v/>
      </c>
      <c r="BA379" s="68">
        <f>+BA128</f>
        <v/>
      </c>
      <c r="BB379" s="68">
        <f>+BB128</f>
        <v/>
      </c>
      <c r="BC379" s="68">
        <f>+BC128</f>
        <v/>
      </c>
      <c r="BD379" s="1110">
        <f>+BD128</f>
        <v/>
      </c>
      <c r="BE379" s="68">
        <f>+BE128</f>
        <v/>
      </c>
      <c r="BF379" s="68">
        <f>+BF128</f>
        <v/>
      </c>
      <c r="BG379" s="68">
        <f>+BG128</f>
        <v/>
      </c>
      <c r="BH379" s="68">
        <f>+BH128</f>
        <v/>
      </c>
      <c r="BI379" s="1110">
        <f>+BI128</f>
        <v/>
      </c>
      <c r="BJ379" s="68">
        <f>+BJ128</f>
        <v/>
      </c>
      <c r="BK379" s="68">
        <f>+BK128</f>
        <v/>
      </c>
      <c r="BL379" s="68">
        <f>+BL128</f>
        <v/>
      </c>
      <c r="BM379" s="68">
        <f>+BM128</f>
        <v/>
      </c>
      <c r="BN379" s="1110">
        <f>+BN128</f>
        <v/>
      </c>
      <c r="BO379" s="68">
        <f>+BO128</f>
        <v/>
      </c>
      <c r="BP379" s="68">
        <f>+BP128</f>
        <v/>
      </c>
      <c r="BQ379" s="68">
        <f>+BQ128</f>
        <v/>
      </c>
      <c r="BR379" s="68">
        <f>+BR128</f>
        <v/>
      </c>
      <c r="BS379" s="1110">
        <f>+BS128</f>
        <v/>
      </c>
      <c r="BT379" s="68">
        <f>+BT128</f>
        <v/>
      </c>
      <c r="BU379" s="68">
        <f>+BU128</f>
        <v/>
      </c>
      <c r="BV379" s="588">
        <f>+BV128</f>
        <v/>
      </c>
      <c r="BW379" s="68">
        <f>BW84</f>
        <v/>
      </c>
      <c r="BX379" s="1151">
        <f>SUM(BT379,BU379,BV379,BW379)</f>
        <v/>
      </c>
      <c r="BY379" s="68">
        <f>BY84</f>
        <v/>
      </c>
      <c r="BZ379" s="68">
        <f>BZ84</f>
        <v/>
      </c>
      <c r="CA379" s="68">
        <f>CA84</f>
        <v/>
      </c>
      <c r="CB379" s="68">
        <f>CB84</f>
        <v/>
      </c>
      <c r="CC379" s="1151">
        <f>SUM(BY379,BZ379,CA379,CB379)</f>
        <v/>
      </c>
      <c r="CD379" s="1151">
        <f>CD84</f>
        <v/>
      </c>
      <c r="CE379" s="1151">
        <f>CE84</f>
        <v/>
      </c>
      <c r="CF379" s="1151">
        <f>CF84</f>
        <v/>
      </c>
      <c r="CG379" s="155" t="n"/>
    </row>
    <row r="380" hidden="1" outlineLevel="2">
      <c r="A380" s="572" t="inlineStr">
        <is>
          <t>Acquisition related costs SG&amp;A</t>
        </is>
      </c>
      <c r="B380" s="102" t="n"/>
      <c r="C380" s="1110">
        <f>C123</f>
        <v/>
      </c>
      <c r="D380" s="1110">
        <f>D123</f>
        <v/>
      </c>
      <c r="E380" s="1110">
        <f>E123</f>
        <v/>
      </c>
      <c r="F380" s="1110">
        <f>F123</f>
        <v/>
      </c>
      <c r="G380" s="68">
        <f>G123</f>
        <v/>
      </c>
      <c r="H380" s="68">
        <f>H123</f>
        <v/>
      </c>
      <c r="I380" s="68">
        <f>I123</f>
        <v/>
      </c>
      <c r="J380" s="68">
        <f>J123</f>
        <v/>
      </c>
      <c r="K380" s="1110">
        <f>K123</f>
        <v/>
      </c>
      <c r="L380" s="68">
        <f>L123</f>
        <v/>
      </c>
      <c r="M380" s="68">
        <f>M123</f>
        <v/>
      </c>
      <c r="N380" s="68">
        <f>N123</f>
        <v/>
      </c>
      <c r="O380" s="68">
        <f>O123</f>
        <v/>
      </c>
      <c r="P380" s="1110">
        <f>P123</f>
        <v/>
      </c>
      <c r="Q380" s="68">
        <f>Q123</f>
        <v/>
      </c>
      <c r="R380" s="68">
        <f>R123</f>
        <v/>
      </c>
      <c r="S380" s="68">
        <f>S123</f>
        <v/>
      </c>
      <c r="T380" s="68">
        <f>T123</f>
        <v/>
      </c>
      <c r="U380" s="1110">
        <f>U123</f>
        <v/>
      </c>
      <c r="V380" s="68">
        <f>V123</f>
        <v/>
      </c>
      <c r="W380" s="68">
        <f>W123</f>
        <v/>
      </c>
      <c r="X380" s="68">
        <f>X123</f>
        <v/>
      </c>
      <c r="Y380" s="68">
        <f>Y123</f>
        <v/>
      </c>
      <c r="Z380" s="1110">
        <f>Z123</f>
        <v/>
      </c>
      <c r="AA380" s="68">
        <f>AA123</f>
        <v/>
      </c>
      <c r="AB380" s="68">
        <f>AB123</f>
        <v/>
      </c>
      <c r="AC380" s="68">
        <f>AC123</f>
        <v/>
      </c>
      <c r="AD380" s="68">
        <f>AD123</f>
        <v/>
      </c>
      <c r="AE380" s="1110">
        <f>AE123</f>
        <v/>
      </c>
      <c r="AF380" s="68">
        <f>AF123</f>
        <v/>
      </c>
      <c r="AG380" s="68">
        <f>AG123</f>
        <v/>
      </c>
      <c r="AH380" s="68">
        <f>AH123</f>
        <v/>
      </c>
      <c r="AI380" s="68">
        <f>AI123</f>
        <v/>
      </c>
      <c r="AJ380" s="1110">
        <f>AJ123</f>
        <v/>
      </c>
      <c r="AK380" s="68">
        <f>AK123</f>
        <v/>
      </c>
      <c r="AL380" s="68">
        <f>AL123</f>
        <v/>
      </c>
      <c r="AM380" s="68">
        <f>AM123</f>
        <v/>
      </c>
      <c r="AN380" s="68">
        <f>AN123</f>
        <v/>
      </c>
      <c r="AO380" s="1110">
        <f>AO123</f>
        <v/>
      </c>
      <c r="AP380" s="68">
        <f>AP123</f>
        <v/>
      </c>
      <c r="AQ380" s="68">
        <f>AQ123</f>
        <v/>
      </c>
      <c r="AR380" s="68">
        <f>AR123</f>
        <v/>
      </c>
      <c r="AS380" s="68">
        <f>AS123</f>
        <v/>
      </c>
      <c r="AT380" s="1110">
        <f>AT123</f>
        <v/>
      </c>
      <c r="AU380" s="68">
        <f>AU123</f>
        <v/>
      </c>
      <c r="AV380" s="68">
        <f>AV123</f>
        <v/>
      </c>
      <c r="AW380" s="68">
        <f>AW123</f>
        <v/>
      </c>
      <c r="AX380" s="68">
        <f>AX123</f>
        <v/>
      </c>
      <c r="AY380" s="1110">
        <f>AY123</f>
        <v/>
      </c>
      <c r="AZ380" s="68">
        <f>AZ123</f>
        <v/>
      </c>
      <c r="BA380" s="68">
        <f>BA123</f>
        <v/>
      </c>
      <c r="BB380" s="68">
        <f>BB123</f>
        <v/>
      </c>
      <c r="BC380" s="68">
        <f>BC123</f>
        <v/>
      </c>
      <c r="BD380" s="1110">
        <f>BD123</f>
        <v/>
      </c>
      <c r="BE380" s="68">
        <f>BE123</f>
        <v/>
      </c>
      <c r="BF380" s="68">
        <f>BF123</f>
        <v/>
      </c>
      <c r="BG380" s="68">
        <f>BG123</f>
        <v/>
      </c>
      <c r="BH380" s="68">
        <f>BH123</f>
        <v/>
      </c>
      <c r="BI380" s="1110">
        <f>BI123</f>
        <v/>
      </c>
      <c r="BJ380" s="68">
        <f>BJ123</f>
        <v/>
      </c>
      <c r="BK380" s="68">
        <f>BK123</f>
        <v/>
      </c>
      <c r="BL380" s="68">
        <f>BL123</f>
        <v/>
      </c>
      <c r="BM380" s="68">
        <f>BM123</f>
        <v/>
      </c>
      <c r="BN380" s="1110">
        <f>BN123</f>
        <v/>
      </c>
      <c r="BO380" s="68">
        <f>BO123</f>
        <v/>
      </c>
      <c r="BP380" s="68">
        <f>BP123</f>
        <v/>
      </c>
      <c r="BQ380" s="68">
        <f>BQ123</f>
        <v/>
      </c>
      <c r="BR380" s="68">
        <f>BR123</f>
        <v/>
      </c>
      <c r="BS380" s="1110">
        <f>BS123</f>
        <v/>
      </c>
      <c r="BT380" s="68">
        <f>BT123</f>
        <v/>
      </c>
      <c r="BU380" s="68">
        <f>BU123</f>
        <v/>
      </c>
      <c r="BV380" s="588">
        <f>BV123</f>
        <v/>
      </c>
      <c r="BW380" s="68">
        <f>BW86</f>
        <v/>
      </c>
      <c r="BX380" s="1151">
        <f>SUM(BT380,BU380,BV380,BW380)</f>
        <v/>
      </c>
      <c r="BY380" s="68">
        <f>BY86</f>
        <v/>
      </c>
      <c r="BZ380" s="68">
        <f>BZ86</f>
        <v/>
      </c>
      <c r="CA380" s="68">
        <f>CA86</f>
        <v/>
      </c>
      <c r="CB380" s="68">
        <f>CB86</f>
        <v/>
      </c>
      <c r="CC380" s="1151">
        <f>SUM(BY380,BZ380,CA380,CB380)</f>
        <v/>
      </c>
      <c r="CD380" s="1151">
        <f>CD86</f>
        <v/>
      </c>
      <c r="CE380" s="1151">
        <f>CE86</f>
        <v/>
      </c>
      <c r="CF380" s="1151">
        <f>CF86</f>
        <v/>
      </c>
      <c r="CG380" s="155" t="n"/>
    </row>
    <row r="381" hidden="1" outlineLevel="2">
      <c r="A381" s="649" t="inlineStr">
        <is>
          <t>Other Adjustments SG&amp;A</t>
        </is>
      </c>
      <c r="B381" s="149" t="n"/>
      <c r="C381" s="1152">
        <f>-C339</f>
        <v/>
      </c>
      <c r="D381" s="1152">
        <f>-D339</f>
        <v/>
      </c>
      <c r="E381" s="1152">
        <f>-E339</f>
        <v/>
      </c>
      <c r="F381" s="1152">
        <f>-F339</f>
        <v/>
      </c>
      <c r="G381" s="659">
        <f>-G339</f>
        <v/>
      </c>
      <c r="H381" s="659">
        <f>-H339</f>
        <v/>
      </c>
      <c r="I381" s="659">
        <f>-I339</f>
        <v/>
      </c>
      <c r="J381" s="659">
        <f>-J339</f>
        <v/>
      </c>
      <c r="K381" s="1152">
        <f>-K339</f>
        <v/>
      </c>
      <c r="L381" s="659">
        <f>-L339</f>
        <v/>
      </c>
      <c r="M381" s="659">
        <f>-M339</f>
        <v/>
      </c>
      <c r="N381" s="659">
        <f>-N339</f>
        <v/>
      </c>
      <c r="O381" s="659">
        <f>-O339</f>
        <v/>
      </c>
      <c r="P381" s="1152">
        <f>-P339</f>
        <v/>
      </c>
      <c r="Q381" s="659">
        <f>-Q339</f>
        <v/>
      </c>
      <c r="R381" s="659">
        <f>-R339</f>
        <v/>
      </c>
      <c r="S381" s="659">
        <f>-S339</f>
        <v/>
      </c>
      <c r="T381" s="659">
        <f>-T339</f>
        <v/>
      </c>
      <c r="U381" s="1152">
        <f>-U339</f>
        <v/>
      </c>
      <c r="V381" s="659">
        <f>-V339</f>
        <v/>
      </c>
      <c r="W381" s="659">
        <f>-W339</f>
        <v/>
      </c>
      <c r="X381" s="659">
        <f>-X339</f>
        <v/>
      </c>
      <c r="Y381" s="659">
        <f>-Y339</f>
        <v/>
      </c>
      <c r="Z381" s="1152">
        <f>-Z339</f>
        <v/>
      </c>
      <c r="AA381" s="659">
        <f>-AA339</f>
        <v/>
      </c>
      <c r="AB381" s="659">
        <f>-AB339</f>
        <v/>
      </c>
      <c r="AC381" s="659">
        <f>-AC339</f>
        <v/>
      </c>
      <c r="AD381" s="659">
        <f>-AD339</f>
        <v/>
      </c>
      <c r="AE381" s="1152">
        <f>-AE339</f>
        <v/>
      </c>
      <c r="AF381" s="659">
        <f>-AF339</f>
        <v/>
      </c>
      <c r="AG381" s="659">
        <f>-AG339</f>
        <v/>
      </c>
      <c r="AH381" s="659">
        <f>-AH339</f>
        <v/>
      </c>
      <c r="AI381" s="659">
        <f>-AI339</f>
        <v/>
      </c>
      <c r="AJ381" s="1152">
        <f>-AJ339</f>
        <v/>
      </c>
      <c r="AK381" s="659">
        <f>-AK339</f>
        <v/>
      </c>
      <c r="AL381" s="659">
        <f>-AL339</f>
        <v/>
      </c>
      <c r="AM381" s="659">
        <f>-AM339</f>
        <v/>
      </c>
      <c r="AN381" s="659">
        <f>-AN339</f>
        <v/>
      </c>
      <c r="AO381" s="1152">
        <f>-AO339</f>
        <v/>
      </c>
      <c r="AP381" s="659">
        <f>-AP339</f>
        <v/>
      </c>
      <c r="AQ381" s="659">
        <f>-AQ339</f>
        <v/>
      </c>
      <c r="AR381" s="659">
        <f>-AR339</f>
        <v/>
      </c>
      <c r="AS381" s="659">
        <f>-AS339</f>
        <v/>
      </c>
      <c r="AT381" s="1152">
        <f>-AT339</f>
        <v/>
      </c>
      <c r="AU381" s="659">
        <f>-AU339</f>
        <v/>
      </c>
      <c r="AV381" s="659">
        <f>-AV339</f>
        <v/>
      </c>
      <c r="AW381" s="659">
        <f>-AW339</f>
        <v/>
      </c>
      <c r="AX381" s="659">
        <f>-AX339</f>
        <v/>
      </c>
      <c r="AY381" s="1152">
        <f>-AY339</f>
        <v/>
      </c>
      <c r="AZ381" s="659">
        <f>-AZ339-AZ336</f>
        <v/>
      </c>
      <c r="BA381" s="659">
        <f>-BA339-BA336</f>
        <v/>
      </c>
      <c r="BB381" s="659">
        <f>-BB339-BB336</f>
        <v/>
      </c>
      <c r="BC381" s="659">
        <f>-BC339-BC336</f>
        <v/>
      </c>
      <c r="BD381" s="1152">
        <f>-BD339-BD336</f>
        <v/>
      </c>
      <c r="BE381" s="659">
        <f>-BE339-BE336</f>
        <v/>
      </c>
      <c r="BF381" s="659">
        <f>-BF339-BF336</f>
        <v/>
      </c>
      <c r="BG381" s="659">
        <f>-BG339-BG336</f>
        <v/>
      </c>
      <c r="BH381" s="659">
        <f>-BH339-BH336</f>
        <v/>
      </c>
      <c r="BI381" s="1152">
        <f>-BI339-BI336</f>
        <v/>
      </c>
      <c r="BJ381" s="659">
        <f>-BJ339-BJ336</f>
        <v/>
      </c>
      <c r="BK381" s="659">
        <f>-BK339-BK336</f>
        <v/>
      </c>
      <c r="BL381" s="659">
        <f>-BL339-BL336</f>
        <v/>
      </c>
      <c r="BM381" s="659">
        <f>-BM339-BM336</f>
        <v/>
      </c>
      <c r="BN381" s="1152">
        <f>-BN339-BN336</f>
        <v/>
      </c>
      <c r="BO381" s="659">
        <f>-BO339-BO336</f>
        <v/>
      </c>
      <c r="BP381" s="659">
        <f>-BP339-BP336</f>
        <v/>
      </c>
      <c r="BQ381" s="659">
        <f>-BQ339-BQ336</f>
        <v/>
      </c>
      <c r="BR381" s="659">
        <f>-BR339-BR336</f>
        <v/>
      </c>
      <c r="BS381" s="1152">
        <f>-BS339-BS336</f>
        <v/>
      </c>
      <c r="BT381" s="659">
        <f>-BT339-BT336</f>
        <v/>
      </c>
      <c r="BU381" s="659">
        <f>-BU339-BU336</f>
        <v/>
      </c>
      <c r="BV381" s="895">
        <f>-BV339-BV336</f>
        <v/>
      </c>
      <c r="BW381" s="659">
        <f>BW88</f>
        <v/>
      </c>
      <c r="BX381" s="1152">
        <f>SUM(BT381,BU381,BV381,BW381)</f>
        <v/>
      </c>
      <c r="BY381" s="659">
        <f>BY88</f>
        <v/>
      </c>
      <c r="BZ381" s="659">
        <f>BZ88</f>
        <v/>
      </c>
      <c r="CA381" s="659">
        <f>CA88</f>
        <v/>
      </c>
      <c r="CB381" s="659">
        <f>CB88</f>
        <v/>
      </c>
      <c r="CC381" s="1152">
        <f>SUM(BY381,BZ381,CA381,CB381)</f>
        <v/>
      </c>
      <c r="CD381" s="1152">
        <f>CD88</f>
        <v/>
      </c>
      <c r="CE381" s="1152">
        <f>CE88</f>
        <v/>
      </c>
      <c r="CF381" s="1152">
        <f>CF88</f>
        <v/>
      </c>
      <c r="CG381" s="155" t="n"/>
    </row>
    <row r="382" collapsed="1">
      <c r="A382" s="99" t="inlineStr">
        <is>
          <t>Non-GAAP SG&amp;A</t>
        </is>
      </c>
      <c r="B382" s="102" t="n"/>
      <c r="C382" s="1110">
        <f>C378-SUM(C379:C381)</f>
        <v/>
      </c>
      <c r="D382" s="1110">
        <f>D378-SUM(D379:D381)</f>
        <v/>
      </c>
      <c r="E382" s="1110">
        <f>E378-SUM(E379:E381)</f>
        <v/>
      </c>
      <c r="F382" s="1110">
        <f>F378-SUM(F379:F381)</f>
        <v/>
      </c>
      <c r="G382" s="68">
        <f>G378-SUM(G379:G381)</f>
        <v/>
      </c>
      <c r="H382" s="68">
        <f>H378-SUM(H379:H381)</f>
        <v/>
      </c>
      <c r="I382" s="68">
        <f>I378-SUM(I379:I381)</f>
        <v/>
      </c>
      <c r="J382" s="68">
        <f>J378-SUM(J379:J381)</f>
        <v/>
      </c>
      <c r="K382" s="1110">
        <f>K378-SUM(K379:K381)</f>
        <v/>
      </c>
      <c r="L382" s="68">
        <f>L378-SUM(L379:L381)</f>
        <v/>
      </c>
      <c r="M382" s="68">
        <f>M378-SUM(M379:M381)</f>
        <v/>
      </c>
      <c r="N382" s="68">
        <f>N378-SUM(N379:N381)</f>
        <v/>
      </c>
      <c r="O382" s="68">
        <f>O378-SUM(O379:O381)</f>
        <v/>
      </c>
      <c r="P382" s="1110">
        <f>P378-SUM(P379:P381)</f>
        <v/>
      </c>
      <c r="Q382" s="68">
        <f>Q378-SUM(Q379:Q381)</f>
        <v/>
      </c>
      <c r="R382" s="68">
        <f>R378-SUM(R379:R381)</f>
        <v/>
      </c>
      <c r="S382" s="68">
        <f>S378-SUM(S379:S381)</f>
        <v/>
      </c>
      <c r="T382" s="68">
        <f>T378-SUM(T379:T381)</f>
        <v/>
      </c>
      <c r="U382" s="1110">
        <f>U378-SUM(U379:U381)</f>
        <v/>
      </c>
      <c r="V382" s="68">
        <f>V378-SUM(V379:V381)</f>
        <v/>
      </c>
      <c r="W382" s="68">
        <f>W378-SUM(W379:W381)</f>
        <v/>
      </c>
      <c r="X382" s="68">
        <f>X378-SUM(X379:X381)</f>
        <v/>
      </c>
      <c r="Y382" s="68">
        <f>Y378-SUM(Y379:Y381)</f>
        <v/>
      </c>
      <c r="Z382" s="1110">
        <f>Z378-SUM(Z379:Z381)</f>
        <v/>
      </c>
      <c r="AA382" s="68">
        <f>AA378-SUM(AA379:AA381)</f>
        <v/>
      </c>
      <c r="AB382" s="68">
        <f>AB378-SUM(AB379:AB381)</f>
        <v/>
      </c>
      <c r="AC382" s="68">
        <f>AC378-SUM(AC379:AC381)</f>
        <v/>
      </c>
      <c r="AD382" s="68">
        <f>AD378-SUM(AD379:AD381)</f>
        <v/>
      </c>
      <c r="AE382" s="1110">
        <f>AE378-SUM(AE379:AE381)</f>
        <v/>
      </c>
      <c r="AF382" s="68">
        <f>AF378-SUM(AF379:AF381)</f>
        <v/>
      </c>
      <c r="AG382" s="68">
        <f>AG378-SUM(AG379:AG381)</f>
        <v/>
      </c>
      <c r="AH382" s="68">
        <f>AH378-SUM(AH379:AH381)</f>
        <v/>
      </c>
      <c r="AI382" s="68">
        <f>AI378-SUM(AI379:AI381)</f>
        <v/>
      </c>
      <c r="AJ382" s="1110">
        <f>AJ378-SUM(AJ379:AJ381)</f>
        <v/>
      </c>
      <c r="AK382" s="68">
        <f>AK378-SUM(AK379:AK381)</f>
        <v/>
      </c>
      <c r="AL382" s="68">
        <f>AL378-SUM(AL379:AL381)</f>
        <v/>
      </c>
      <c r="AM382" s="68">
        <f>AM378-SUM(AM379:AM381)</f>
        <v/>
      </c>
      <c r="AN382" s="68">
        <f>AN378-SUM(AN379:AN381)</f>
        <v/>
      </c>
      <c r="AO382" s="1110">
        <f>AO378-SUM(AO379:AO381)</f>
        <v/>
      </c>
      <c r="AP382" s="68">
        <f>AP378-SUM(AP379:AP381)</f>
        <v/>
      </c>
      <c r="AQ382" s="68">
        <f>AQ378-SUM(AQ379:AQ381)</f>
        <v/>
      </c>
      <c r="AR382" s="68">
        <f>AR378-SUM(AR379:AR381)</f>
        <v/>
      </c>
      <c r="AS382" s="68">
        <f>AS378-SUM(AS379:AS381)</f>
        <v/>
      </c>
      <c r="AT382" s="1110">
        <f>AT378-SUM(AT379:AT381)</f>
        <v/>
      </c>
      <c r="AU382" s="68">
        <f>AU378-SUM(AU379:AU381)</f>
        <v/>
      </c>
      <c r="AV382" s="68">
        <f>AV378-SUM(AV379:AV381)</f>
        <v/>
      </c>
      <c r="AW382" s="68">
        <f>AW378-SUM(AW379:AW381)</f>
        <v/>
      </c>
      <c r="AX382" s="68">
        <f>AX378-SUM(AX379:AX381)</f>
        <v/>
      </c>
      <c r="AY382" s="1110">
        <f>AY378-SUM(AY379:AY381)</f>
        <v/>
      </c>
      <c r="AZ382" s="68">
        <f>AZ378-SUM(AZ379:AZ381)</f>
        <v/>
      </c>
      <c r="BA382" s="68">
        <f>BA378-SUM(BA379:BA381)</f>
        <v/>
      </c>
      <c r="BB382" s="68">
        <f>BB378-SUM(BB379:BB381)</f>
        <v/>
      </c>
      <c r="BC382" s="68">
        <f>BC378-SUM(BC379:BC381)</f>
        <v/>
      </c>
      <c r="BD382" s="1110">
        <f>BD378-SUM(BD379:BD381)</f>
        <v/>
      </c>
      <c r="BE382" s="68">
        <f>BE378-SUM(BE379:BE381)</f>
        <v/>
      </c>
      <c r="BF382" s="68">
        <f>BF378-SUM(BF379:BF381)</f>
        <v/>
      </c>
      <c r="BG382" s="68">
        <f>BG378-SUM(BG379:BG381)</f>
        <v/>
      </c>
      <c r="BH382" s="68">
        <f>BH378-SUM(BH379:BH381)</f>
        <v/>
      </c>
      <c r="BI382" s="1110">
        <f>BI378-SUM(BI379:BI381)</f>
        <v/>
      </c>
      <c r="BJ382" s="68">
        <f>BJ378-SUM(BJ379:BJ381)</f>
        <v/>
      </c>
      <c r="BK382" s="68">
        <f>BK378-SUM(BK379:BK381)</f>
        <v/>
      </c>
      <c r="BL382" s="68">
        <f>BL378-SUM(BL379:BL381)</f>
        <v/>
      </c>
      <c r="BM382" s="68">
        <f>BM378-SUM(BM379:BM381)</f>
        <v/>
      </c>
      <c r="BN382" s="1110">
        <f>BN378-SUM(BN379:BN381)</f>
        <v/>
      </c>
      <c r="BO382" s="68">
        <f>BO378-SUM(BO379:BO381)</f>
        <v/>
      </c>
      <c r="BP382" s="68">
        <f>BP378-SUM(BP379:BP381)</f>
        <v/>
      </c>
      <c r="BQ382" s="68">
        <f>BQ378-SUM(BQ379:BQ381)</f>
        <v/>
      </c>
      <c r="BR382" s="68">
        <f>BR378-SUM(BR379:BR381)</f>
        <v/>
      </c>
      <c r="BS382" s="1110">
        <f>BS378-SUM(BS379:BS381)</f>
        <v/>
      </c>
      <c r="BT382" s="68">
        <f>BT378-SUM(BT379:BT381)</f>
        <v/>
      </c>
      <c r="BU382" s="68">
        <f>BU378-SUM(BU379:BU381)</f>
        <v/>
      </c>
      <c r="BV382" s="588">
        <f>BV378-SUM(BV379:BV381)</f>
        <v/>
      </c>
      <c r="BW382" s="68">
        <f>BW89</f>
        <v/>
      </c>
      <c r="BX382" s="1151">
        <f>BX378-SUM(BX379:BX381)</f>
        <v/>
      </c>
      <c r="BY382" s="68">
        <f>BY89</f>
        <v/>
      </c>
      <c r="BZ382" s="68">
        <f>BZ89</f>
        <v/>
      </c>
      <c r="CA382" s="68">
        <f>CA89</f>
        <v/>
      </c>
      <c r="CB382" s="68">
        <f>CB89</f>
        <v/>
      </c>
      <c r="CC382" s="1151">
        <f>CC378-SUM(CC379:CC381)</f>
        <v/>
      </c>
      <c r="CD382" s="1151">
        <f>CD89</f>
        <v/>
      </c>
      <c r="CE382" s="1151">
        <f>CE89</f>
        <v/>
      </c>
      <c r="CF382" s="1151">
        <f>CF89</f>
        <v/>
      </c>
      <c r="CG382" s="155" t="n"/>
    </row>
    <row r="383" hidden="1" outlineLevel="1">
      <c r="A383" s="99" t="inlineStr">
        <is>
          <t>GAAP OPEX</t>
        </is>
      </c>
      <c r="B383" s="102" t="n"/>
      <c r="C383" s="1110">
        <f>SUM(C297:C299)</f>
        <v/>
      </c>
      <c r="D383" s="1110">
        <f>SUM(D297:D299)</f>
        <v/>
      </c>
      <c r="E383" s="1110">
        <f>SUM(E297:E299)</f>
        <v/>
      </c>
      <c r="F383" s="1110">
        <f>SUM(F297:F299)</f>
        <v/>
      </c>
      <c r="G383" s="68">
        <f>SUM(G297:G299)</f>
        <v/>
      </c>
      <c r="H383" s="68">
        <f>SUM(H297:H299)</f>
        <v/>
      </c>
      <c r="I383" s="68">
        <f>SUM(I297:I299)</f>
        <v/>
      </c>
      <c r="J383" s="68">
        <f>SUM(J297:J299)</f>
        <v/>
      </c>
      <c r="K383" s="1110">
        <f>SUM(K297:K299)</f>
        <v/>
      </c>
      <c r="L383" s="68">
        <f>SUM(L297:L299)</f>
        <v/>
      </c>
      <c r="M383" s="68">
        <f>SUM(M297:M299)</f>
        <v/>
      </c>
      <c r="N383" s="68">
        <f>SUM(N297:N299)</f>
        <v/>
      </c>
      <c r="O383" s="68">
        <f>SUM(O297:O299)</f>
        <v/>
      </c>
      <c r="P383" s="1110">
        <f>SUM(P297:P299)</f>
        <v/>
      </c>
      <c r="Q383" s="68">
        <f>SUM(Q297:Q299)</f>
        <v/>
      </c>
      <c r="R383" s="68">
        <f>SUM(R297:R299)</f>
        <v/>
      </c>
      <c r="S383" s="68">
        <f>SUM(S297:S299)</f>
        <v/>
      </c>
      <c r="T383" s="68">
        <f>SUM(T297:T299)</f>
        <v/>
      </c>
      <c r="U383" s="1110">
        <f>SUM(U297:U299)</f>
        <v/>
      </c>
      <c r="V383" s="68">
        <f>SUM(V297:V299)</f>
        <v/>
      </c>
      <c r="W383" s="68">
        <f>SUM(W297:W299)</f>
        <v/>
      </c>
      <c r="X383" s="68">
        <f>SUM(X297:X299)</f>
        <v/>
      </c>
      <c r="Y383" s="68">
        <f>SUM(Y297:Y299)</f>
        <v/>
      </c>
      <c r="Z383" s="1110">
        <f>SUM(Z297:Z299)</f>
        <v/>
      </c>
      <c r="AA383" s="68">
        <f>SUM(AA297:AA299)</f>
        <v/>
      </c>
      <c r="AB383" s="68">
        <f>SUM(AB297:AB299)</f>
        <v/>
      </c>
      <c r="AC383" s="68">
        <f>SUM(AC297:AC299)</f>
        <v/>
      </c>
      <c r="AD383" s="68">
        <f>SUM(AD297:AD299)</f>
        <v/>
      </c>
      <c r="AE383" s="1110">
        <f>SUM(AE297:AE299)</f>
        <v/>
      </c>
      <c r="AF383" s="68">
        <f>SUM(AF297:AF299)</f>
        <v/>
      </c>
      <c r="AG383" s="68">
        <f>SUM(AG297:AG299)</f>
        <v/>
      </c>
      <c r="AH383" s="68">
        <f>SUM(AH297:AH299)</f>
        <v/>
      </c>
      <c r="AI383" s="68">
        <f>SUM(AI297:AI299)</f>
        <v/>
      </c>
      <c r="AJ383" s="1110">
        <f>SUM(AJ297:AJ299)</f>
        <v/>
      </c>
      <c r="AK383" s="68">
        <f>SUM(AK297:AK299)</f>
        <v/>
      </c>
      <c r="AL383" s="68">
        <f>SUM(AL297:AL299)</f>
        <v/>
      </c>
      <c r="AM383" s="68">
        <f>SUM(AM297:AM299)</f>
        <v/>
      </c>
      <c r="AN383" s="68">
        <f>SUM(AN297:AN299)</f>
        <v/>
      </c>
      <c r="AO383" s="1110">
        <f>SUM(AO297:AO299)</f>
        <v/>
      </c>
      <c r="AP383" s="68">
        <f>SUM(AP297:AP299)</f>
        <v/>
      </c>
      <c r="AQ383" s="68">
        <f>SUM(AQ297:AQ299)</f>
        <v/>
      </c>
      <c r="AR383" s="68">
        <f>SUM(AR297:AR299)</f>
        <v/>
      </c>
      <c r="AS383" s="68">
        <f>SUM(AS297:AS299)</f>
        <v/>
      </c>
      <c r="AT383" s="1110">
        <f>SUM(AT297:AT299)</f>
        <v/>
      </c>
      <c r="AU383" s="68">
        <f>SUM(AU297:AU299)</f>
        <v/>
      </c>
      <c r="AV383" s="68">
        <f>SUM(AV297:AV299)</f>
        <v/>
      </c>
      <c r="AW383" s="68">
        <f>SUM(AW297:AW299)</f>
        <v/>
      </c>
      <c r="AX383" s="68">
        <f>SUM(AX297:AX299)</f>
        <v/>
      </c>
      <c r="AY383" s="1110">
        <f>SUM(AY297:AY299)</f>
        <v/>
      </c>
      <c r="AZ383" s="68">
        <f>SUM(AZ297:AZ299)</f>
        <v/>
      </c>
      <c r="BA383" s="68">
        <f>SUM(BA297:BA299)</f>
        <v/>
      </c>
      <c r="BB383" s="68">
        <f>SUM(BB297:BB299)</f>
        <v/>
      </c>
      <c r="BC383" s="68">
        <f>SUM(BC297:BC299)</f>
        <v/>
      </c>
      <c r="BD383" s="1110">
        <f>SUM(BD297:BD299)</f>
        <v/>
      </c>
      <c r="BE383" s="68">
        <f>SUM(BE297:BE299)</f>
        <v/>
      </c>
      <c r="BF383" s="68">
        <f>SUM(BF297:BF299)</f>
        <v/>
      </c>
      <c r="BG383" s="68">
        <f>SUM(BG297:BG299)</f>
        <v/>
      </c>
      <c r="BH383" s="68">
        <f>SUM(BH297:BH299)</f>
        <v/>
      </c>
      <c r="BI383" s="1110">
        <f>SUM(BI297:BI299)</f>
        <v/>
      </c>
      <c r="BJ383" s="68">
        <f>SUM(BJ297:BJ299)</f>
        <v/>
      </c>
      <c r="BK383" s="68">
        <f>SUM(BK297:BK299)</f>
        <v/>
      </c>
      <c r="BL383" s="68">
        <f>SUM(BL297:BL299)</f>
        <v/>
      </c>
      <c r="BM383" s="68">
        <f>SUM(BM297:BM299)</f>
        <v/>
      </c>
      <c r="BN383" s="1110">
        <f>SUM(BN297:BN299)</f>
        <v/>
      </c>
      <c r="BO383" s="68">
        <f>SUM(BO297:BO299)</f>
        <v/>
      </c>
      <c r="BP383" s="68">
        <f>SUM(BP297:BP299)</f>
        <v/>
      </c>
      <c r="BQ383" s="68">
        <f>SUM(BQ297:BQ299)</f>
        <v/>
      </c>
      <c r="BR383" s="68">
        <f>SUM(BR297:BR299)</f>
        <v/>
      </c>
      <c r="BS383" s="1110">
        <f>SUM(BS297:BS299)</f>
        <v/>
      </c>
      <c r="BT383" s="68">
        <f>SUM(BT297:BT299)</f>
        <v/>
      </c>
      <c r="BU383" s="68">
        <f>SUM(BU297:BU299)</f>
        <v/>
      </c>
      <c r="BV383" s="588">
        <f>SUM(BV297:BV299)</f>
        <v/>
      </c>
      <c r="BW383" s="68">
        <f>BW385+BW384</f>
        <v/>
      </c>
      <c r="BX383" s="1151">
        <f>SUM(BT383,BU383,BV383,BW383)</f>
        <v/>
      </c>
      <c r="BY383" s="68">
        <f>BY385+BY384</f>
        <v/>
      </c>
      <c r="BZ383" s="68">
        <f>BZ385+BZ384</f>
        <v/>
      </c>
      <c r="CA383" s="68">
        <f>CA385+CA384</f>
        <v/>
      </c>
      <c r="CB383" s="68">
        <f>CB385+CB384</f>
        <v/>
      </c>
      <c r="CC383" s="1151">
        <f>SUM(BY383,BZ383,CA383,CB383)</f>
        <v/>
      </c>
      <c r="CD383" s="1151">
        <f>CD385+CD384</f>
        <v/>
      </c>
      <c r="CE383" s="1151">
        <f>CE385+CE384</f>
        <v/>
      </c>
      <c r="CF383" s="1151">
        <f>CF385+CF384</f>
        <v/>
      </c>
      <c r="CG383" s="155" t="n"/>
    </row>
    <row r="384" hidden="1" outlineLevel="1">
      <c r="A384" s="649" t="inlineStr">
        <is>
          <t>Other Adjustments OPEX</t>
        </is>
      </c>
      <c r="B384" s="144" t="n"/>
      <c r="C384" s="1121">
        <f>-C337-C338-C336</f>
        <v/>
      </c>
      <c r="D384" s="1121">
        <f>-D337-D338-D336</f>
        <v/>
      </c>
      <c r="E384" s="1121">
        <f>-E337-E338-E336</f>
        <v/>
      </c>
      <c r="F384" s="1121">
        <f>-F337-F338-F336</f>
        <v/>
      </c>
      <c r="G384" s="109">
        <f>-G337-G338-G336</f>
        <v/>
      </c>
      <c r="H384" s="109">
        <f>-H337-H338-H336</f>
        <v/>
      </c>
      <c r="I384" s="109">
        <f>-I337-I338-I336</f>
        <v/>
      </c>
      <c r="J384" s="109">
        <f>-J337-J338-J336</f>
        <v/>
      </c>
      <c r="K384" s="1121">
        <f>-K337-K338-K336</f>
        <v/>
      </c>
      <c r="L384" s="109">
        <f>-L337-L338-L336</f>
        <v/>
      </c>
      <c r="M384" s="109">
        <f>-M337-M338-M336</f>
        <v/>
      </c>
      <c r="N384" s="109">
        <f>-N337-N338-N336</f>
        <v/>
      </c>
      <c r="O384" s="109">
        <f>-O337-O338-O336</f>
        <v/>
      </c>
      <c r="P384" s="1121">
        <f>-P337-P338-P336</f>
        <v/>
      </c>
      <c r="Q384" s="109">
        <f>-Q337-Q338-Q336</f>
        <v/>
      </c>
      <c r="R384" s="109">
        <f>-R337-R338-R336</f>
        <v/>
      </c>
      <c r="S384" s="109">
        <f>-S337-S338-S336</f>
        <v/>
      </c>
      <c r="T384" s="109">
        <f>-T337-T338-T336</f>
        <v/>
      </c>
      <c r="U384" s="1121">
        <f>-U337-U338-U336</f>
        <v/>
      </c>
      <c r="V384" s="109">
        <f>-V337-V338-V336</f>
        <v/>
      </c>
      <c r="W384" s="109">
        <f>-W337-W338-W336</f>
        <v/>
      </c>
      <c r="X384" s="109">
        <f>-X337-X338-X336</f>
        <v/>
      </c>
      <c r="Y384" s="109">
        <f>-Y337-Y338-Y336</f>
        <v/>
      </c>
      <c r="Z384" s="1121">
        <f>-Z337-Z338-Z336</f>
        <v/>
      </c>
      <c r="AA384" s="109">
        <f>-AA337-AA338-AA336</f>
        <v/>
      </c>
      <c r="AB384" s="109">
        <f>-AB337-AB338-AB336</f>
        <v/>
      </c>
      <c r="AC384" s="109">
        <f>-AC337-AC338-AC336</f>
        <v/>
      </c>
      <c r="AD384" s="109">
        <f>-AD337-AD338-AD336</f>
        <v/>
      </c>
      <c r="AE384" s="1121">
        <f>-AE337-AE338-AE336</f>
        <v/>
      </c>
      <c r="AF384" s="109">
        <f>-AF337-AF338-AF336</f>
        <v/>
      </c>
      <c r="AG384" s="109">
        <f>-AG337-AG338-AG336</f>
        <v/>
      </c>
      <c r="AH384" s="109">
        <f>-AH337-AH338-AH336</f>
        <v/>
      </c>
      <c r="AI384" s="109">
        <f>-AI337-AI338-AI336</f>
        <v/>
      </c>
      <c r="AJ384" s="1121">
        <f>-AJ337-AJ338-AJ336</f>
        <v/>
      </c>
      <c r="AK384" s="109">
        <f>-AK337-AK338-AK336</f>
        <v/>
      </c>
      <c r="AL384" s="109">
        <f>-AL337-AL338-AL336</f>
        <v/>
      </c>
      <c r="AM384" s="109">
        <f>-AM337-AM338-AM336</f>
        <v/>
      </c>
      <c r="AN384" s="109">
        <f>-AN337-AN338-AN336</f>
        <v/>
      </c>
      <c r="AO384" s="1121">
        <f>-AO337-AO338-AO336</f>
        <v/>
      </c>
      <c r="AP384" s="109">
        <f>-AP337-AP338-AP336</f>
        <v/>
      </c>
      <c r="AQ384" s="109">
        <f>-AQ337-AQ338-AQ336</f>
        <v/>
      </c>
      <c r="AR384" s="109">
        <f>-AR337-AR338-AR336</f>
        <v/>
      </c>
      <c r="AS384" s="109">
        <f>-AS337-AS338-AS336</f>
        <v/>
      </c>
      <c r="AT384" s="1121">
        <f>-AT337-AT338-AT336</f>
        <v/>
      </c>
      <c r="AU384" s="109">
        <f>-AU337-AU338-AU336</f>
        <v/>
      </c>
      <c r="AV384" s="109">
        <f>-AV337-AV338-AV336</f>
        <v/>
      </c>
      <c r="AW384" s="109">
        <f>-AW337-AW338-AW336</f>
        <v/>
      </c>
      <c r="AX384" s="109">
        <f>-AX337-AX338-AX336</f>
        <v/>
      </c>
      <c r="AY384" s="1121">
        <f>-AY337-AY338-AY336</f>
        <v/>
      </c>
      <c r="AZ384" s="109">
        <f>-AZ337-AZ338</f>
        <v/>
      </c>
      <c r="BA384" s="109">
        <f>-BA337-BA338</f>
        <v/>
      </c>
      <c r="BB384" s="109">
        <f>-BB337-BB338</f>
        <v/>
      </c>
      <c r="BC384" s="109">
        <f>-BC337-BC338</f>
        <v/>
      </c>
      <c r="BD384" s="1121">
        <f>-BD337-BD338</f>
        <v/>
      </c>
      <c r="BE384" s="109">
        <f>-BE337-BE338</f>
        <v/>
      </c>
      <c r="BF384" s="109">
        <f>-BF337-BF338</f>
        <v/>
      </c>
      <c r="BG384" s="109">
        <f>-BG337-BG338</f>
        <v/>
      </c>
      <c r="BH384" s="109">
        <f>-BH337-BH338</f>
        <v/>
      </c>
      <c r="BI384" s="1121">
        <f>-BI337-BI338</f>
        <v/>
      </c>
      <c r="BJ384" s="109">
        <f>-BJ337-BJ338</f>
        <v/>
      </c>
      <c r="BK384" s="109">
        <f>-BK337-BK338</f>
        <v/>
      </c>
      <c r="BL384" s="109">
        <f>-BL337-BL338</f>
        <v/>
      </c>
      <c r="BM384" s="109">
        <f>-BM337-BM338</f>
        <v/>
      </c>
      <c r="BN384" s="1121">
        <f>-BN337-BN338</f>
        <v/>
      </c>
      <c r="BO384" s="109">
        <f>-BO337-BO338-BO343</f>
        <v/>
      </c>
      <c r="BP384" s="109">
        <f>-BP337-BP338-BP343</f>
        <v/>
      </c>
      <c r="BQ384" s="109">
        <f>-BQ337-BQ338-BQ343</f>
        <v/>
      </c>
      <c r="BR384" s="109">
        <f>-BR337-BR338-BR343</f>
        <v/>
      </c>
      <c r="BS384" s="1121">
        <f>-BS337-BS338-BS343</f>
        <v/>
      </c>
      <c r="BT384" s="109">
        <f>-BT337-BT338-BT343</f>
        <v/>
      </c>
      <c r="BU384" s="109">
        <f>-BU337-BU338-BU343</f>
        <v/>
      </c>
      <c r="BV384" s="730">
        <f>-BV337-BV338-BV343</f>
        <v/>
      </c>
      <c r="BW384" s="109">
        <f>BW99</f>
        <v/>
      </c>
      <c r="BX384" s="1152">
        <f>BX99</f>
        <v/>
      </c>
      <c r="BY384" s="109">
        <f>BY99</f>
        <v/>
      </c>
      <c r="BZ384" s="109">
        <f>BZ99</f>
        <v/>
      </c>
      <c r="CA384" s="109">
        <f>CA99</f>
        <v/>
      </c>
      <c r="CB384" s="109">
        <f>CB99</f>
        <v/>
      </c>
      <c r="CC384" s="1152">
        <f>CC99</f>
        <v/>
      </c>
      <c r="CD384" s="1152">
        <f>CD99</f>
        <v/>
      </c>
      <c r="CE384" s="1152">
        <f>CE99</f>
        <v/>
      </c>
      <c r="CF384" s="1152">
        <f>CF99</f>
        <v/>
      </c>
      <c r="CG384" s="155" t="n"/>
    </row>
    <row r="385" collapsed="1">
      <c r="A385" s="99" t="inlineStr">
        <is>
          <t>Non-GAAP OPEX</t>
        </is>
      </c>
      <c r="B385" s="102" t="n"/>
      <c r="C385" s="1110">
        <f>C383-C384</f>
        <v/>
      </c>
      <c r="D385" s="1110">
        <f>D383-D384</f>
        <v/>
      </c>
      <c r="E385" s="1110">
        <f>E383-E384</f>
        <v/>
      </c>
      <c r="F385" s="1110">
        <f>F383-F384</f>
        <v/>
      </c>
      <c r="G385" s="68">
        <f>G383-G384</f>
        <v/>
      </c>
      <c r="H385" s="68">
        <f>H383-H384</f>
        <v/>
      </c>
      <c r="I385" s="68">
        <f>I383-I384</f>
        <v/>
      </c>
      <c r="J385" s="68">
        <f>J383-J384</f>
        <v/>
      </c>
      <c r="K385" s="1110">
        <f>K383-K384</f>
        <v/>
      </c>
      <c r="L385" s="68">
        <f>L383-L384</f>
        <v/>
      </c>
      <c r="M385" s="68">
        <f>M383-M384</f>
        <v/>
      </c>
      <c r="N385" s="68">
        <f>N383-N384</f>
        <v/>
      </c>
      <c r="O385" s="68">
        <f>O383-O384</f>
        <v/>
      </c>
      <c r="P385" s="1110">
        <f>P383-P384</f>
        <v/>
      </c>
      <c r="Q385" s="68">
        <f>Q383-Q384</f>
        <v/>
      </c>
      <c r="R385" s="68">
        <f>R383-R384</f>
        <v/>
      </c>
      <c r="S385" s="68">
        <f>S383-S384</f>
        <v/>
      </c>
      <c r="T385" s="68">
        <f>T383-T384</f>
        <v/>
      </c>
      <c r="U385" s="1110">
        <f>U383-U384</f>
        <v/>
      </c>
      <c r="V385" s="68">
        <f>V383-V384</f>
        <v/>
      </c>
      <c r="W385" s="68">
        <f>W383-W384</f>
        <v/>
      </c>
      <c r="X385" s="68">
        <f>X383-X384</f>
        <v/>
      </c>
      <c r="Y385" s="68">
        <f>Y383-Y384</f>
        <v/>
      </c>
      <c r="Z385" s="1110">
        <f>Z383-Z384</f>
        <v/>
      </c>
      <c r="AA385" s="68">
        <f>AA383-AA384</f>
        <v/>
      </c>
      <c r="AB385" s="68">
        <f>AB383-AB384</f>
        <v/>
      </c>
      <c r="AC385" s="68">
        <f>AC383-AC384</f>
        <v/>
      </c>
      <c r="AD385" s="68">
        <f>AD383-AD384</f>
        <v/>
      </c>
      <c r="AE385" s="1110">
        <f>AE383-AE384</f>
        <v/>
      </c>
      <c r="AF385" s="68">
        <f>AF383-AF384</f>
        <v/>
      </c>
      <c r="AG385" s="68">
        <f>AG383-AG384</f>
        <v/>
      </c>
      <c r="AH385" s="68">
        <f>AH383-AH384</f>
        <v/>
      </c>
      <c r="AI385" s="68">
        <f>AI383-AI384</f>
        <v/>
      </c>
      <c r="AJ385" s="1110">
        <f>AJ383-AJ384</f>
        <v/>
      </c>
      <c r="AK385" s="68">
        <f>AK383-AK384</f>
        <v/>
      </c>
      <c r="AL385" s="68">
        <f>AL383-AL384</f>
        <v/>
      </c>
      <c r="AM385" s="68">
        <f>AM383-AM384</f>
        <v/>
      </c>
      <c r="AN385" s="68">
        <f>AN383-AN384</f>
        <v/>
      </c>
      <c r="AO385" s="1110">
        <f>AO383-AO384</f>
        <v/>
      </c>
      <c r="AP385" s="68">
        <f>AP383-AP384</f>
        <v/>
      </c>
      <c r="AQ385" s="68">
        <f>AQ383-AQ384</f>
        <v/>
      </c>
      <c r="AR385" s="68">
        <f>AR383-AR384</f>
        <v/>
      </c>
      <c r="AS385" s="68">
        <f>AS383-AS384</f>
        <v/>
      </c>
      <c r="AT385" s="1110">
        <f>AT383-AT384</f>
        <v/>
      </c>
      <c r="AU385" s="68">
        <f>AU383-AU384</f>
        <v/>
      </c>
      <c r="AV385" s="68">
        <f>AV383-AV384</f>
        <v/>
      </c>
      <c r="AW385" s="68">
        <f>AW383-AW384</f>
        <v/>
      </c>
      <c r="AX385" s="68">
        <f>AX383-AX384</f>
        <v/>
      </c>
      <c r="AY385" s="1110">
        <f>AY383-AY384</f>
        <v/>
      </c>
      <c r="AZ385" s="68">
        <f>AZ383-AZ384</f>
        <v/>
      </c>
      <c r="BA385" s="68">
        <f>BA383-BA384</f>
        <v/>
      </c>
      <c r="BB385" s="68">
        <f>BB383-BB384</f>
        <v/>
      </c>
      <c r="BC385" s="68">
        <f>BC383-BC384</f>
        <v/>
      </c>
      <c r="BD385" s="1110">
        <f>BD383-BD384</f>
        <v/>
      </c>
      <c r="BE385" s="68">
        <f>BE383-BE384</f>
        <v/>
      </c>
      <c r="BF385" s="68">
        <f>BF383-BF384</f>
        <v/>
      </c>
      <c r="BG385" s="68">
        <f>BG383-BG384</f>
        <v/>
      </c>
      <c r="BH385" s="68">
        <f>BH383-BH384</f>
        <v/>
      </c>
      <c r="BI385" s="1110">
        <f>BI383-BI384</f>
        <v/>
      </c>
      <c r="BJ385" s="68">
        <f>BJ383-BJ384</f>
        <v/>
      </c>
      <c r="BK385" s="68">
        <f>BK383-BK384</f>
        <v/>
      </c>
      <c r="BL385" s="68">
        <f>BL383-BL384</f>
        <v/>
      </c>
      <c r="BM385" s="68">
        <f>BM383-BM384</f>
        <v/>
      </c>
      <c r="BN385" s="1110">
        <f>BN383-BN384</f>
        <v/>
      </c>
      <c r="BO385" s="68">
        <f>BO383-BO384</f>
        <v/>
      </c>
      <c r="BP385" s="68">
        <f>BP383-BP384</f>
        <v/>
      </c>
      <c r="BQ385" s="68">
        <f>BQ383-BQ384</f>
        <v/>
      </c>
      <c r="BR385" s="68">
        <f>BR383-BR384</f>
        <v/>
      </c>
      <c r="BS385" s="1110">
        <f>BS383-BS384</f>
        <v/>
      </c>
      <c r="BT385" s="68">
        <f>BT383-BT384</f>
        <v/>
      </c>
      <c r="BU385" s="68">
        <f>BU383-BU384</f>
        <v/>
      </c>
      <c r="BV385" s="588">
        <f>BV383-BV384</f>
        <v/>
      </c>
      <c r="BW385" s="68">
        <f>BW100</f>
        <v/>
      </c>
      <c r="BX385" s="1151">
        <f>BX383-BX384</f>
        <v/>
      </c>
      <c r="BY385" s="68">
        <f>BY100</f>
        <v/>
      </c>
      <c r="BZ385" s="68">
        <f>BZ100</f>
        <v/>
      </c>
      <c r="CA385" s="68">
        <f>CA100</f>
        <v/>
      </c>
      <c r="CB385" s="68">
        <f>CB100</f>
        <v/>
      </c>
      <c r="CC385" s="1151">
        <f>CC383-CC384</f>
        <v/>
      </c>
      <c r="CD385" s="1151">
        <f>CD100</f>
        <v/>
      </c>
      <c r="CE385" s="1151">
        <f>CE100</f>
        <v/>
      </c>
      <c r="CF385" s="1151">
        <f>CF100</f>
        <v/>
      </c>
      <c r="CG385" s="155" t="n"/>
    </row>
    <row r="386">
      <c r="A386" s="59" t="inlineStr">
        <is>
          <t>Non-GAAP Operating Income Before Other</t>
        </is>
      </c>
      <c r="B386" s="668" t="n"/>
      <c r="C386" s="1123">
        <f>C370-C377-C382-C385</f>
        <v/>
      </c>
      <c r="D386" s="1123">
        <f>D370-D377-D382-D385</f>
        <v/>
      </c>
      <c r="E386" s="1123">
        <f>E370-E377-E382-E385</f>
        <v/>
      </c>
      <c r="F386" s="1123">
        <f>F370-F377-F382-F385</f>
        <v/>
      </c>
      <c r="G386" s="60">
        <f>G370-G377-G382-G385</f>
        <v/>
      </c>
      <c r="H386" s="60">
        <f>H370-H377-H382-H385</f>
        <v/>
      </c>
      <c r="I386" s="60">
        <f>I370-I377-I382-I385</f>
        <v/>
      </c>
      <c r="J386" s="60">
        <f>J370-J377-J382-J385</f>
        <v/>
      </c>
      <c r="K386" s="1123">
        <f>K370-K377-K382-K385</f>
        <v/>
      </c>
      <c r="L386" s="60">
        <f>L370-L377-L382-L385</f>
        <v/>
      </c>
      <c r="M386" s="60">
        <f>M370-M377-M382-M385</f>
        <v/>
      </c>
      <c r="N386" s="60">
        <f>N370-N377-N382-N385</f>
        <v/>
      </c>
      <c r="O386" s="60">
        <f>O370-O377-O382-O385</f>
        <v/>
      </c>
      <c r="P386" s="1123">
        <f>P370-P377-P382-P385</f>
        <v/>
      </c>
      <c r="Q386" s="60">
        <f>Q370-Q377-Q382-Q385</f>
        <v/>
      </c>
      <c r="R386" s="60">
        <f>R370-R377-R382-R385</f>
        <v/>
      </c>
      <c r="S386" s="60">
        <f>S370-S377-S382-S385</f>
        <v/>
      </c>
      <c r="T386" s="60">
        <f>T370-T377-T382-T385</f>
        <v/>
      </c>
      <c r="U386" s="1123">
        <f>U370-U377-U382-U385</f>
        <v/>
      </c>
      <c r="V386" s="60">
        <f>V370-V377-V382-V385</f>
        <v/>
      </c>
      <c r="W386" s="60">
        <f>W370-W377-W382-W385</f>
        <v/>
      </c>
      <c r="X386" s="60">
        <f>X370-X377-X382-X385</f>
        <v/>
      </c>
      <c r="Y386" s="60">
        <f>Y370-Y377-Y382-Y385</f>
        <v/>
      </c>
      <c r="Z386" s="1123">
        <f>Z370-Z377-Z382-Z385</f>
        <v/>
      </c>
      <c r="AA386" s="60">
        <f>AA370-AA377-AA382-AA385</f>
        <v/>
      </c>
      <c r="AB386" s="60">
        <f>AB370-AB377-AB382-AB385</f>
        <v/>
      </c>
      <c r="AC386" s="60">
        <f>AC370-AC377-AC382-AC385</f>
        <v/>
      </c>
      <c r="AD386" s="60">
        <f>AD370-AD377-AD382-AD385</f>
        <v/>
      </c>
      <c r="AE386" s="1123">
        <f>AE370-AE377-AE382-AE385</f>
        <v/>
      </c>
      <c r="AF386" s="60">
        <f>AF370-AF377-AF382-AF385</f>
        <v/>
      </c>
      <c r="AG386" s="60">
        <f>AG370-AG377-AG382-AG385</f>
        <v/>
      </c>
      <c r="AH386" s="568">
        <f>AH370-AH377-AH382-AH385</f>
        <v/>
      </c>
      <c r="AI386" s="60">
        <f>AI370-AI377-AI382-AI385</f>
        <v/>
      </c>
      <c r="AJ386" s="1123">
        <f>AJ370-AJ377-AJ382-AJ385</f>
        <v/>
      </c>
      <c r="AK386" s="568">
        <f>AK370-AK377-AK382-AK385</f>
        <v/>
      </c>
      <c r="AL386" s="60">
        <f>AL370-AL377-AL382-AL385</f>
        <v/>
      </c>
      <c r="AM386" s="568">
        <f>AM370-AM377-AM382-AM385</f>
        <v/>
      </c>
      <c r="AN386" s="60">
        <f>AN370-AN377-AN382-AN385</f>
        <v/>
      </c>
      <c r="AO386" s="1123">
        <f>AO370-AO377-AO382-AO385</f>
        <v/>
      </c>
      <c r="AP386" s="568">
        <f>AP370-AP377-AP382-AP385</f>
        <v/>
      </c>
      <c r="AQ386" s="60">
        <f>AQ370-AQ377-AQ382-AQ385</f>
        <v/>
      </c>
      <c r="AR386" s="568">
        <f>AR370-AR377-AR382-AR385</f>
        <v/>
      </c>
      <c r="AS386" s="60">
        <f>AS370-AS377-AS382-AS385</f>
        <v/>
      </c>
      <c r="AT386" s="1123">
        <f>AT370-AT377-AT382-AT385</f>
        <v/>
      </c>
      <c r="AU386" s="568">
        <f>AU370-AU377-AU382-AU385</f>
        <v/>
      </c>
      <c r="AV386" s="60">
        <f>AV370-AV377-AV382-AV385</f>
        <v/>
      </c>
      <c r="AW386" s="568">
        <f>AW370-AW377-AW382-AW385</f>
        <v/>
      </c>
      <c r="AX386" s="60">
        <f>AX370-AX377-AX382-AX385</f>
        <v/>
      </c>
      <c r="AY386" s="1123">
        <f>AY370-AY377-AY382-AY385</f>
        <v/>
      </c>
      <c r="AZ386" s="568">
        <f>AZ370-AZ377-AZ382-AZ385</f>
        <v/>
      </c>
      <c r="BA386" s="60">
        <f>BA370-BA377-BA382-BA385</f>
        <v/>
      </c>
      <c r="BB386" s="568">
        <f>BB370-BB377-BB382-BB385</f>
        <v/>
      </c>
      <c r="BC386" s="60">
        <f>BC370-BC377-BC382-BC385</f>
        <v/>
      </c>
      <c r="BD386" s="1123">
        <f>BD370-BD377-BD382-BD385</f>
        <v/>
      </c>
      <c r="BE386" s="568">
        <f>BE370-BE377-BE382-BE385</f>
        <v/>
      </c>
      <c r="BF386" s="60">
        <f>BF370-BF377-BF382-BF385</f>
        <v/>
      </c>
      <c r="BG386" s="568">
        <f>BG370-BG377-BG382-BG385</f>
        <v/>
      </c>
      <c r="BH386" s="60">
        <f>BH370-BH377-BH382-BH385</f>
        <v/>
      </c>
      <c r="BI386" s="1123">
        <f>BI370-BI377-BI382-BI385</f>
        <v/>
      </c>
      <c r="BJ386" s="568">
        <f>BJ370-BJ377-BJ382-BJ385</f>
        <v/>
      </c>
      <c r="BK386" s="60">
        <f>BK370-BK377-BK382-BK385</f>
        <v/>
      </c>
      <c r="BL386" s="568">
        <f>BL370-BL377-BL382-BL385</f>
        <v/>
      </c>
      <c r="BM386" s="60">
        <f>BM370-BM377-BM382-BM385</f>
        <v/>
      </c>
      <c r="BN386" s="1123">
        <f>BN370-BN377-BN382-BN385</f>
        <v/>
      </c>
      <c r="BO386" s="568">
        <f>BO370-BO377-BO382-BO385</f>
        <v/>
      </c>
      <c r="BP386" s="60">
        <f>BP370-BP377-BP382-BP385</f>
        <v/>
      </c>
      <c r="BQ386" s="568">
        <f>BQ370-BQ377-BQ382-BQ385</f>
        <v/>
      </c>
      <c r="BR386" s="60">
        <f>BR370-BR377-BR382-BR385</f>
        <v/>
      </c>
      <c r="BS386" s="1123">
        <f>BS370-BS377-BS382-BS385</f>
        <v/>
      </c>
      <c r="BT386" s="568">
        <f>BT370-BT377-BT382-BT385</f>
        <v/>
      </c>
      <c r="BU386" s="60">
        <f>BU370-BU377-BU382-BU385</f>
        <v/>
      </c>
      <c r="BV386" s="1025">
        <f>BV370-BV377-BV382-BV385</f>
        <v/>
      </c>
      <c r="BW386" s="569">
        <f>BW370-BW377-BW382-BW385</f>
        <v/>
      </c>
      <c r="BX386" s="1156">
        <f>BX370-BX377-BX382-BX385</f>
        <v/>
      </c>
      <c r="BY386" s="569">
        <f>BY370-BY377-BY382-BY385</f>
        <v/>
      </c>
      <c r="BZ386" s="569">
        <f>BZ370-BZ377-BZ382-BZ385</f>
        <v/>
      </c>
      <c r="CA386" s="569">
        <f>CA370-CA377-CA382-CA385</f>
        <v/>
      </c>
      <c r="CB386" s="569">
        <f>CB370-CB377-CB382-CB385</f>
        <v/>
      </c>
      <c r="CC386" s="1156">
        <f>CC370-CC377-CC382-CC385</f>
        <v/>
      </c>
      <c r="CD386" s="1156">
        <f>CD370-CD377-CD382-CD385</f>
        <v/>
      </c>
      <c r="CE386" s="1156">
        <f>CE370-CE377-CE382-CE385</f>
        <v/>
      </c>
      <c r="CF386" s="1156">
        <f>CF370-CF377-CF382-CF385</f>
        <v/>
      </c>
      <c r="CG386" s="155" t="n"/>
    </row>
    <row r="387">
      <c r="A387" s="282" t="inlineStr">
        <is>
          <t>Other Non-GAAP Operating Items</t>
        </is>
      </c>
      <c r="B387" s="144" t="n"/>
      <c r="C387" s="1110">
        <f>C386-C388</f>
        <v/>
      </c>
      <c r="D387" s="1110">
        <f>D386-D388</f>
        <v/>
      </c>
      <c r="E387" s="1110">
        <f>E386-E388</f>
        <v/>
      </c>
      <c r="F387" s="1110">
        <f>F386-F388</f>
        <v/>
      </c>
      <c r="G387" s="109">
        <f>G386-G388</f>
        <v/>
      </c>
      <c r="H387" s="109">
        <f>H386-H388</f>
        <v/>
      </c>
      <c r="I387" s="109">
        <f>I386-I388</f>
        <v/>
      </c>
      <c r="J387" s="109">
        <f>J386-J388</f>
        <v/>
      </c>
      <c r="K387" s="1110">
        <f>K386-K388</f>
        <v/>
      </c>
      <c r="L387" s="109">
        <f>L386-L388</f>
        <v/>
      </c>
      <c r="M387" s="109">
        <f>M386-M388</f>
        <v/>
      </c>
      <c r="N387" s="109">
        <f>N386-N388</f>
        <v/>
      </c>
      <c r="O387" s="109">
        <f>O386-O388</f>
        <v/>
      </c>
      <c r="P387" s="1110">
        <f>P386-P388</f>
        <v/>
      </c>
      <c r="Q387" s="109">
        <f>Q386-Q388</f>
        <v/>
      </c>
      <c r="R387" s="109">
        <f>R386-R388</f>
        <v/>
      </c>
      <c r="S387" s="109">
        <f>S386-S388</f>
        <v/>
      </c>
      <c r="T387" s="109">
        <f>T386-T388</f>
        <v/>
      </c>
      <c r="U387" s="1110">
        <f>U386-U388</f>
        <v/>
      </c>
      <c r="V387" s="109">
        <f>V386-V388</f>
        <v/>
      </c>
      <c r="W387" s="109">
        <f>W386-W388</f>
        <v/>
      </c>
      <c r="X387" s="109">
        <f>X386-X388</f>
        <v/>
      </c>
      <c r="Y387" s="109">
        <f>Y386-Y388</f>
        <v/>
      </c>
      <c r="Z387" s="1110">
        <f>Z386-Z388</f>
        <v/>
      </c>
      <c r="AA387" s="109">
        <f>AA386-AA388</f>
        <v/>
      </c>
      <c r="AB387" s="109">
        <f>AB386-AB388</f>
        <v/>
      </c>
      <c r="AC387" s="109">
        <f>AC386-AC388</f>
        <v/>
      </c>
      <c r="AD387" s="109">
        <f>AD386-AD388</f>
        <v/>
      </c>
      <c r="AE387" s="1110">
        <f>AE386-AE388</f>
        <v/>
      </c>
      <c r="AF387" s="109">
        <f>AF386-AF388</f>
        <v/>
      </c>
      <c r="AG387" s="109">
        <f>AG386-AG388</f>
        <v/>
      </c>
      <c r="AH387" s="109">
        <f>AH386-AH388</f>
        <v/>
      </c>
      <c r="AI387" s="109">
        <f>AI386-AI388</f>
        <v/>
      </c>
      <c r="AJ387" s="1110">
        <f>AJ386-AJ388</f>
        <v/>
      </c>
      <c r="AK387" s="109">
        <f>AK386-AK388</f>
        <v/>
      </c>
      <c r="AL387" s="109">
        <f>AL386-AL388</f>
        <v/>
      </c>
      <c r="AM387" s="109">
        <f>AM386-AM388</f>
        <v/>
      </c>
      <c r="AN387" s="109">
        <f>AN386-AN388</f>
        <v/>
      </c>
      <c r="AO387" s="1110">
        <f>AO386-AO388</f>
        <v/>
      </c>
      <c r="AP387" s="109">
        <f>AP386-AP388</f>
        <v/>
      </c>
      <c r="AQ387" s="109">
        <f>AQ386-AQ388</f>
        <v/>
      </c>
      <c r="AR387" s="109">
        <f>AR386-AR388</f>
        <v/>
      </c>
      <c r="AS387" s="109">
        <f>AS386-AS388</f>
        <v/>
      </c>
      <c r="AT387" s="1110">
        <f>AT386-AT388</f>
        <v/>
      </c>
      <c r="AU387" s="109">
        <f>AU386-AU388</f>
        <v/>
      </c>
      <c r="AV387" s="109">
        <f>AV386-AV388</f>
        <v/>
      </c>
      <c r="AW387" s="109">
        <f>AW386-AW388</f>
        <v/>
      </c>
      <c r="AX387" s="109">
        <f>AX386-AX388</f>
        <v/>
      </c>
      <c r="AY387" s="1110">
        <f>AY386-AY388</f>
        <v/>
      </c>
      <c r="AZ387" s="109">
        <f>AZ386-AZ388</f>
        <v/>
      </c>
      <c r="BA387" s="109">
        <f>BA386-BA388</f>
        <v/>
      </c>
      <c r="BB387" s="109">
        <f>BB386-BB388</f>
        <v/>
      </c>
      <c r="BC387" s="109">
        <f>BC386-BC388</f>
        <v/>
      </c>
      <c r="BD387" s="1110">
        <f>BD386-BD388</f>
        <v/>
      </c>
      <c r="BE387" s="109">
        <f>BE386-BE388</f>
        <v/>
      </c>
      <c r="BF387" s="109">
        <f>BF386-BF388</f>
        <v/>
      </c>
      <c r="BG387" s="109">
        <f>BG386-BG388</f>
        <v/>
      </c>
      <c r="BH387" s="109">
        <f>BH386-BH388</f>
        <v/>
      </c>
      <c r="BI387" s="1110">
        <f>BI386-BI388</f>
        <v/>
      </c>
      <c r="BJ387" s="109">
        <f>BJ386-BJ388</f>
        <v/>
      </c>
      <c r="BK387" s="109">
        <f>BK386-BK388</f>
        <v/>
      </c>
      <c r="BL387" s="109">
        <f>BL386-BL388</f>
        <v/>
      </c>
      <c r="BM387" s="109">
        <f>BM386-BM388</f>
        <v/>
      </c>
      <c r="BN387" s="1110">
        <f>BN386-BN388</f>
        <v/>
      </c>
      <c r="BO387" s="109">
        <f>BO386-BO388</f>
        <v/>
      </c>
      <c r="BP387" s="109">
        <f>BP386-BP388</f>
        <v/>
      </c>
      <c r="BQ387" s="109">
        <f>BQ386-BQ388</f>
        <v/>
      </c>
      <c r="BR387" s="109">
        <f>BR386-BR388</f>
        <v/>
      </c>
      <c r="BS387" s="1110">
        <f>BS386-BS388</f>
        <v/>
      </c>
      <c r="BT387" s="109">
        <f>BT386-BT388</f>
        <v/>
      </c>
      <c r="BU387" s="109">
        <f>BU386-BU388</f>
        <v/>
      </c>
      <c r="BV387" s="730">
        <f>BV386-BV388</f>
        <v/>
      </c>
      <c r="BW387" s="109">
        <f>BW105</f>
        <v/>
      </c>
      <c r="BX387" s="1152">
        <f>SUM(BT387,BU387,BV387,BW387)</f>
        <v/>
      </c>
      <c r="BY387" s="109">
        <f>BY105</f>
        <v/>
      </c>
      <c r="BZ387" s="109">
        <f>BZ105</f>
        <v/>
      </c>
      <c r="CA387" s="109">
        <f>CA105</f>
        <v/>
      </c>
      <c r="CB387" s="109">
        <f>CB105</f>
        <v/>
      </c>
      <c r="CC387" s="1152">
        <f>SUM(BY387,BZ387,CA387,CB387)</f>
        <v/>
      </c>
      <c r="CD387" s="1152">
        <f>CD105</f>
        <v/>
      </c>
      <c r="CE387" s="1152">
        <f>CE105</f>
        <v/>
      </c>
      <c r="CF387" s="1152">
        <f>CF105</f>
        <v/>
      </c>
      <c r="CG387" s="155" t="n"/>
    </row>
    <row r="388">
      <c r="A388" s="62" t="inlineStr">
        <is>
          <t>Company Reported Non-GAAP Operating Income</t>
        </is>
      </c>
      <c r="B388" s="123" t="n"/>
      <c r="C388" s="1123">
        <f>C331-C344</f>
        <v/>
      </c>
      <c r="D388" s="1123">
        <f>D331-D344</f>
        <v/>
      </c>
      <c r="E388" s="1123">
        <f>E331-E344</f>
        <v/>
      </c>
      <c r="F388" s="1123">
        <f>F331-F344</f>
        <v/>
      </c>
      <c r="G388" s="60">
        <f>G331-G344</f>
        <v/>
      </c>
      <c r="H388" s="60">
        <f>H331-H344</f>
        <v/>
      </c>
      <c r="I388" s="60">
        <f>I331-I344</f>
        <v/>
      </c>
      <c r="J388" s="60">
        <f>J331-J344</f>
        <v/>
      </c>
      <c r="K388" s="1123">
        <f>K331-K344</f>
        <v/>
      </c>
      <c r="L388" s="60">
        <f>L331-L344</f>
        <v/>
      </c>
      <c r="M388" s="60">
        <f>M331-M344</f>
        <v/>
      </c>
      <c r="N388" s="60">
        <f>N331-N344</f>
        <v/>
      </c>
      <c r="O388" s="60">
        <f>O331-O344</f>
        <v/>
      </c>
      <c r="P388" s="1123">
        <f>P331-P344</f>
        <v/>
      </c>
      <c r="Q388" s="60">
        <f>Q331-Q344</f>
        <v/>
      </c>
      <c r="R388" s="60">
        <f>R331-R344</f>
        <v/>
      </c>
      <c r="S388" s="60">
        <f>S354</f>
        <v/>
      </c>
      <c r="T388" s="60">
        <f>T354</f>
        <v/>
      </c>
      <c r="U388" s="1123">
        <f>U354</f>
        <v/>
      </c>
      <c r="V388" s="60">
        <f>V354</f>
        <v/>
      </c>
      <c r="W388" s="60">
        <f>W354</f>
        <v/>
      </c>
      <c r="X388" s="60">
        <f>X354</f>
        <v/>
      </c>
      <c r="Y388" s="60">
        <f>Y354</f>
        <v/>
      </c>
      <c r="Z388" s="1123">
        <f>Z354</f>
        <v/>
      </c>
      <c r="AA388" s="60">
        <f>AA354</f>
        <v/>
      </c>
      <c r="AB388" s="60">
        <f>AB354</f>
        <v/>
      </c>
      <c r="AC388" s="60">
        <f>AC354</f>
        <v/>
      </c>
      <c r="AD388" s="60">
        <f>AD354</f>
        <v/>
      </c>
      <c r="AE388" s="1123">
        <f>AE354</f>
        <v/>
      </c>
      <c r="AF388" s="60">
        <f>AF354</f>
        <v/>
      </c>
      <c r="AG388" s="60">
        <f>AG354</f>
        <v/>
      </c>
      <c r="AH388" s="28">
        <f>AH354</f>
        <v/>
      </c>
      <c r="AI388" s="60">
        <f>AI354</f>
        <v/>
      </c>
      <c r="AJ388" s="1123">
        <f>AJ354</f>
        <v/>
      </c>
      <c r="AK388" s="991">
        <f>AK354</f>
        <v/>
      </c>
      <c r="AL388" s="60">
        <f>AL354</f>
        <v/>
      </c>
      <c r="AM388" s="28">
        <f>AM354</f>
        <v/>
      </c>
      <c r="AN388" s="60">
        <f>AN354</f>
        <v/>
      </c>
      <c r="AO388" s="1123">
        <f>AO354</f>
        <v/>
      </c>
      <c r="AP388" s="991">
        <f>AP354</f>
        <v/>
      </c>
      <c r="AQ388" s="60">
        <f>AQ354</f>
        <v/>
      </c>
      <c r="AR388" s="28">
        <f>AR354</f>
        <v/>
      </c>
      <c r="AS388" s="60">
        <f>AS354</f>
        <v/>
      </c>
      <c r="AT388" s="1123">
        <f>AT354</f>
        <v/>
      </c>
      <c r="AU388" s="991">
        <f>AU354</f>
        <v/>
      </c>
      <c r="AV388" s="60">
        <f>AV354</f>
        <v/>
      </c>
      <c r="AW388" s="28">
        <f>AW354</f>
        <v/>
      </c>
      <c r="AX388" s="60">
        <f>AX354</f>
        <v/>
      </c>
      <c r="AY388" s="1123">
        <f>AY354</f>
        <v/>
      </c>
      <c r="AZ388" s="991">
        <f>AZ354</f>
        <v/>
      </c>
      <c r="BA388" s="60">
        <f>BA354</f>
        <v/>
      </c>
      <c r="BB388" s="28">
        <f>BB354</f>
        <v/>
      </c>
      <c r="BC388" s="60">
        <f>BC354</f>
        <v/>
      </c>
      <c r="BD388" s="1123">
        <f>BD354</f>
        <v/>
      </c>
      <c r="BE388" s="991">
        <f>BE354</f>
        <v/>
      </c>
      <c r="BF388" s="60">
        <f>BF354</f>
        <v/>
      </c>
      <c r="BG388" s="28">
        <f>BG354</f>
        <v/>
      </c>
      <c r="BH388" s="60">
        <f>BH354</f>
        <v/>
      </c>
      <c r="BI388" s="1123">
        <f>BI354</f>
        <v/>
      </c>
      <c r="BJ388" s="991">
        <f>BJ354</f>
        <v/>
      </c>
      <c r="BK388" s="60">
        <f>BK354</f>
        <v/>
      </c>
      <c r="BL388" s="28">
        <f>BL354</f>
        <v/>
      </c>
      <c r="BM388" s="60">
        <f>BM354</f>
        <v/>
      </c>
      <c r="BN388" s="1123">
        <f>BN354</f>
        <v/>
      </c>
      <c r="BO388" s="991">
        <f>BO354</f>
        <v/>
      </c>
      <c r="BP388" s="60">
        <f>BP354</f>
        <v/>
      </c>
      <c r="BQ388" s="28">
        <f>BQ354</f>
        <v/>
      </c>
      <c r="BR388" s="60">
        <f>BR354</f>
        <v/>
      </c>
      <c r="BS388" s="1123">
        <f>BS354</f>
        <v/>
      </c>
      <c r="BT388" s="991">
        <f>BT354</f>
        <v/>
      </c>
      <c r="BU388" s="60">
        <f>BU354</f>
        <v/>
      </c>
      <c r="BV388" s="505">
        <f>BV354</f>
        <v/>
      </c>
      <c r="BW388" s="118">
        <f>BW386-BW387</f>
        <v/>
      </c>
      <c r="BX388" s="1153">
        <f>BX386-BX387</f>
        <v/>
      </c>
      <c r="BY388" s="118">
        <f>BY386-BY387</f>
        <v/>
      </c>
      <c r="BZ388" s="118">
        <f>BZ386-BZ387</f>
        <v/>
      </c>
      <c r="CA388" s="118">
        <f>CA386-CA387</f>
        <v/>
      </c>
      <c r="CB388" s="118">
        <f>CB386-CB387</f>
        <v/>
      </c>
      <c r="CC388" s="1153">
        <f>CC386-CC387</f>
        <v/>
      </c>
      <c r="CD388" s="1153">
        <f>CD386-CD387</f>
        <v/>
      </c>
      <c r="CE388" s="1153">
        <f>CE386-CE387</f>
        <v/>
      </c>
      <c r="CF388" s="1153">
        <f>CF386-CF387</f>
        <v/>
      </c>
      <c r="CG388" s="155" t="n"/>
    </row>
    <row r="389">
      <c r="A389" s="75">
        <f>CONCATENATE("Consensus Estimates - ",IFERROR(LEFT(A388,FIND("(",A388)-1),A388))</f>
        <v/>
      </c>
      <c r="B389" s="102" t="n"/>
      <c r="C389" s="1117" t="n"/>
      <c r="D389" s="1117" t="n"/>
      <c r="E389" s="1117" t="n"/>
      <c r="F389" s="1117" t="n"/>
      <c r="G389" s="76" t="n"/>
      <c r="H389" s="76" t="n"/>
      <c r="I389" s="76" t="n"/>
      <c r="J389" s="76" t="n"/>
      <c r="K389" s="1117" t="n"/>
      <c r="L389" s="76" t="n"/>
      <c r="M389" s="76" t="n"/>
      <c r="N389" s="76" t="n"/>
      <c r="O389" s="76" t="n"/>
      <c r="P389" s="1117" t="n"/>
      <c r="Q389" s="76" t="n"/>
      <c r="R389" s="76" t="n"/>
      <c r="S389" s="76" t="n"/>
      <c r="T389" s="76" t="n"/>
      <c r="U389" s="1117" t="n"/>
      <c r="V389" s="76" t="n"/>
      <c r="W389" s="76" t="n"/>
      <c r="X389" s="77" t="n"/>
      <c r="Y389" s="77" t="n"/>
      <c r="Z389" s="1124" t="n"/>
      <c r="AA389" s="76" t="n"/>
      <c r="AB389" s="76" t="n"/>
      <c r="AC389" s="77" t="n"/>
      <c r="AD389" s="77" t="n"/>
      <c r="AE389" s="1124" t="n"/>
      <c r="AF389" s="76" t="n"/>
      <c r="AG389" s="76" t="n"/>
      <c r="AH389" s="76" t="n"/>
      <c r="AI389" s="77" t="n"/>
      <c r="AJ389" s="1124" t="n"/>
      <c r="AK389" s="76" t="n"/>
      <c r="AL389" s="76" t="n"/>
      <c r="AM389" s="76" t="n"/>
      <c r="AN389" s="77" t="n"/>
      <c r="AO389" s="1124" t="n"/>
      <c r="AP389" s="76" t="n"/>
      <c r="AQ389" s="76" t="n"/>
      <c r="AR389" s="76" t="n"/>
      <c r="AS389" s="77" t="n"/>
      <c r="AT389" s="1124" t="n"/>
      <c r="AU389" s="76" t="n"/>
      <c r="AV389" s="76" t="n"/>
      <c r="AW389" s="76" t="n"/>
      <c r="AX389" s="77" t="n"/>
      <c r="AY389" s="1124" t="n"/>
      <c r="AZ389" s="76" t="n"/>
      <c r="BA389" s="76" t="n"/>
      <c r="BB389" s="76" t="n"/>
      <c r="BC389" s="77" t="n"/>
      <c r="BD389" s="1124" t="n"/>
      <c r="BE389" s="76" t="n"/>
      <c r="BF389" s="76" t="n"/>
      <c r="BG389" s="76" t="n"/>
      <c r="BH389" s="77" t="n"/>
      <c r="BI389" s="1124" t="n"/>
      <c r="BJ389" s="76" t="n"/>
      <c r="BK389" s="76" t="n"/>
      <c r="BL389" s="76" t="n"/>
      <c r="BM389" s="77" t="n"/>
      <c r="BN389" s="1124" t="n"/>
      <c r="BO389" s="76" t="n"/>
      <c r="BP389" s="76" t="n"/>
      <c r="BQ389" s="76" t="n"/>
      <c r="BR389" s="77" t="n"/>
      <c r="BS389" s="1124" t="n"/>
      <c r="BT389" s="76" t="n"/>
      <c r="BU389" s="76" t="n"/>
      <c r="BV389" s="881" t="n"/>
      <c r="BW389" s="868">
        <f>IFERROR(VLOOKUP($A389,tb_ConsensusEstimate,MATCH(BW$5,OFFSET(tb_ConsensusEstimate,0,0,1,COLUMNS(tb_ConsensusEstimate)),0),FALSE),"-")</f>
        <v/>
      </c>
      <c r="BX389" s="1124">
        <f>IFERROR(VLOOKUP($A389,tb_ConsensusEstimate,MATCH(BX$5,OFFSET(tb_ConsensusEstimate,0,0,1,COLUMNS(tb_ConsensusEstimate)),0),FALSE),"-")</f>
        <v/>
      </c>
      <c r="BY389" s="868">
        <f>IFERROR(VLOOKUP($A389,tb_ConsensusEstimate,MATCH(BY$5,OFFSET(tb_ConsensusEstimate,0,0,1,COLUMNS(tb_ConsensusEstimate)),0),FALSE),"-")</f>
        <v/>
      </c>
      <c r="BZ389" s="868">
        <f>IFERROR(VLOOKUP($A389,tb_ConsensusEstimate,MATCH(BZ$5,OFFSET(tb_ConsensusEstimate,0,0,1,COLUMNS(tb_ConsensusEstimate)),0),FALSE),"-")</f>
        <v/>
      </c>
      <c r="CA389" s="868">
        <f>IFERROR(VLOOKUP($A389,tb_ConsensusEstimate,MATCH(CA$5,OFFSET(tb_ConsensusEstimate,0,0,1,COLUMNS(tb_ConsensusEstimate)),0),FALSE),"-")</f>
        <v/>
      </c>
      <c r="CB389" s="868">
        <f>IFERROR(VLOOKUP($A389,tb_ConsensusEstimate,MATCH(CB$5,OFFSET(tb_ConsensusEstimate,0,0,1,COLUMNS(tb_ConsensusEstimate)),0),FALSE),"-")</f>
        <v/>
      </c>
      <c r="CC389" s="1124">
        <f>IFERROR(VLOOKUP($A389,tb_ConsensusEstimate,MATCH(CC$5,OFFSET(tb_ConsensusEstimate,0,0,1,COLUMNS(tb_ConsensusEstimate)),0),FALSE),"-")</f>
        <v/>
      </c>
      <c r="CD389" s="1124">
        <f>IFERROR(VLOOKUP($A389,tb_ConsensusEstimate,MATCH(CD5,OFFSET(tb_ConsensusEstimate,0,0,1,COLUMNS(tb_ConsensusEstimate)),0),FALSE),"-")</f>
        <v/>
      </c>
      <c r="CE389" s="1124">
        <f>IFERROR(VLOOKUP($A389,tb_ConsensusEstimate,MATCH(CE5,OFFSET(tb_ConsensusEstimate,0,0,1,COLUMNS(tb_ConsensusEstimate)),0),FALSE),"-")</f>
        <v/>
      </c>
      <c r="CF389" s="1124">
        <f>IFERROR(VLOOKUP($A389,tb_ConsensusEstimate,MATCH(CF5,OFFSET(tb_ConsensusEstimate,0,0,1,COLUMNS(tb_ConsensusEstimate)),0),FALSE),"-")</f>
        <v/>
      </c>
      <c r="CG389" s="155" t="n"/>
    </row>
    <row r="390" ht="7.5" customHeight="1">
      <c r="A390" s="111" t="n"/>
      <c r="B390" s="112" t="n"/>
      <c r="C390" s="1157" t="n"/>
      <c r="D390" s="1157" t="n"/>
      <c r="E390" s="1157" t="n"/>
      <c r="F390" s="1157" t="n"/>
      <c r="G390" s="113" t="n"/>
      <c r="H390" s="113" t="n"/>
      <c r="I390" s="113" t="n"/>
      <c r="J390" s="113" t="n"/>
      <c r="K390" s="1157" t="n"/>
      <c r="L390" s="113" t="n"/>
      <c r="M390" s="113" t="n"/>
      <c r="N390" s="113" t="n"/>
      <c r="O390" s="113" t="n"/>
      <c r="P390" s="1157" t="n"/>
      <c r="Q390" s="113" t="n"/>
      <c r="R390" s="113" t="n"/>
      <c r="S390" s="113" t="n"/>
      <c r="T390" s="113" t="n"/>
      <c r="U390" s="1157" t="n"/>
      <c r="V390" s="113" t="n"/>
      <c r="W390" s="113" t="n"/>
      <c r="X390" s="114" t="n"/>
      <c r="Y390" s="114" t="n"/>
      <c r="Z390" s="1158" t="n"/>
      <c r="AA390" s="113" t="n"/>
      <c r="AB390" s="113" t="n"/>
      <c r="AC390" s="114" t="n"/>
      <c r="AD390" s="114" t="n"/>
      <c r="AE390" s="1158" t="n"/>
      <c r="AF390" s="113" t="n"/>
      <c r="AG390" s="113" t="n"/>
      <c r="AH390" s="113" t="n"/>
      <c r="AI390" s="114" t="n"/>
      <c r="AJ390" s="1158" t="n"/>
      <c r="AK390" s="113" t="n"/>
      <c r="AL390" s="113" t="n"/>
      <c r="AM390" s="113" t="n"/>
      <c r="AN390" s="114" t="n"/>
      <c r="AO390" s="1158" t="n"/>
      <c r="AP390" s="113" t="n"/>
      <c r="AQ390" s="113" t="n"/>
      <c r="AR390" s="113" t="n"/>
      <c r="AS390" s="114" t="n"/>
      <c r="AT390" s="1158" t="n"/>
      <c r="AU390" s="113" t="n"/>
      <c r="AV390" s="113" t="n"/>
      <c r="AW390" s="113" t="n"/>
      <c r="AX390" s="114" t="n"/>
      <c r="AY390" s="1158" t="n"/>
      <c r="AZ390" s="113" t="n"/>
      <c r="BA390" s="113" t="n"/>
      <c r="BB390" s="113" t="n"/>
      <c r="BC390" s="114" t="n"/>
      <c r="BD390" s="1158" t="n"/>
      <c r="BE390" s="113" t="n"/>
      <c r="BF390" s="113" t="n"/>
      <c r="BG390" s="113" t="n"/>
      <c r="BH390" s="114" t="n"/>
      <c r="BI390" s="1158" t="n"/>
      <c r="BJ390" s="113" t="n"/>
      <c r="BK390" s="113" t="n"/>
      <c r="BL390" s="113" t="n"/>
      <c r="BM390" s="114" t="n"/>
      <c r="BN390" s="1158" t="n"/>
      <c r="BO390" s="113" t="n"/>
      <c r="BP390" s="113" t="n"/>
      <c r="BQ390" s="113" t="n"/>
      <c r="BR390" s="114" t="n"/>
      <c r="BS390" s="1158" t="n"/>
      <c r="BT390" s="113" t="n"/>
      <c r="BU390" s="113" t="n"/>
      <c r="BV390" s="1036" t="n"/>
      <c r="BW390" s="114" t="n"/>
      <c r="BX390" s="1158" t="n"/>
      <c r="BY390" s="113" t="n"/>
      <c r="BZ390" s="113" t="n"/>
      <c r="CA390" s="114" t="n"/>
      <c r="CB390" s="114" t="n"/>
      <c r="CC390" s="1158" t="n"/>
      <c r="CD390" s="1158" t="n"/>
      <c r="CE390" s="1158" t="n"/>
      <c r="CF390" s="1158" t="n"/>
      <c r="CG390" s="155" t="n"/>
    </row>
    <row r="391" hidden="1" outlineLevel="1">
      <c r="A391" s="282" t="inlineStr">
        <is>
          <t>Reported Depreciation</t>
        </is>
      </c>
      <c r="B391" s="144" t="n"/>
      <c r="C391" s="1110">
        <f>C117</f>
        <v/>
      </c>
      <c r="D391" s="1110">
        <f>D117</f>
        <v/>
      </c>
      <c r="E391" s="1110">
        <f>E117</f>
        <v/>
      </c>
      <c r="F391" s="1110">
        <f>F117</f>
        <v/>
      </c>
      <c r="G391" s="109">
        <f>G117</f>
        <v/>
      </c>
      <c r="H391" s="109">
        <f>H117</f>
        <v/>
      </c>
      <c r="I391" s="109">
        <f>I117</f>
        <v/>
      </c>
      <c r="J391" s="109">
        <f>J117</f>
        <v/>
      </c>
      <c r="K391" s="1110">
        <f>K117</f>
        <v/>
      </c>
      <c r="L391" s="109">
        <f>L117</f>
        <v/>
      </c>
      <c r="M391" s="109">
        <f>M117</f>
        <v/>
      </c>
      <c r="N391" s="109">
        <f>N117</f>
        <v/>
      </c>
      <c r="O391" s="109">
        <f>O117</f>
        <v/>
      </c>
      <c r="P391" s="1110">
        <f>P117</f>
        <v/>
      </c>
      <c r="Q391" s="109">
        <f>Q117</f>
        <v/>
      </c>
      <c r="R391" s="109">
        <f>R117</f>
        <v/>
      </c>
      <c r="S391" s="109">
        <f>S117</f>
        <v/>
      </c>
      <c r="T391" s="109">
        <f>T117</f>
        <v/>
      </c>
      <c r="U391" s="1110">
        <f>U117</f>
        <v/>
      </c>
      <c r="V391" s="109">
        <f>V117</f>
        <v/>
      </c>
      <c r="W391" s="109">
        <f>W117</f>
        <v/>
      </c>
      <c r="X391" s="109">
        <f>X117</f>
        <v/>
      </c>
      <c r="Y391" s="109">
        <f>Y117</f>
        <v/>
      </c>
      <c r="Z391" s="1110">
        <f>Z117</f>
        <v/>
      </c>
      <c r="AA391" s="109">
        <f>AA117</f>
        <v/>
      </c>
      <c r="AB391" s="109">
        <f>AB117</f>
        <v/>
      </c>
      <c r="AC391" s="109">
        <f>AC117</f>
        <v/>
      </c>
      <c r="AD391" s="109">
        <f>AD117</f>
        <v/>
      </c>
      <c r="AE391" s="1110">
        <f>AE117</f>
        <v/>
      </c>
      <c r="AF391" s="109">
        <f>AF117</f>
        <v/>
      </c>
      <c r="AG391" s="109">
        <f>AG117</f>
        <v/>
      </c>
      <c r="AH391" s="109">
        <f>AH117</f>
        <v/>
      </c>
      <c r="AI391" s="109">
        <f>AI117</f>
        <v/>
      </c>
      <c r="AJ391" s="1110">
        <f>AJ117</f>
        <v/>
      </c>
      <c r="AK391" s="109">
        <f>AK117</f>
        <v/>
      </c>
      <c r="AL391" s="109">
        <f>AL117</f>
        <v/>
      </c>
      <c r="AM391" s="109">
        <f>AM117</f>
        <v/>
      </c>
      <c r="AN391" s="109">
        <f>AN117</f>
        <v/>
      </c>
      <c r="AO391" s="1110">
        <f>AO117</f>
        <v/>
      </c>
      <c r="AP391" s="109">
        <f>AP117</f>
        <v/>
      </c>
      <c r="AQ391" s="109">
        <f>AQ117</f>
        <v/>
      </c>
      <c r="AR391" s="109">
        <f>AR117</f>
        <v/>
      </c>
      <c r="AS391" s="109">
        <f>AS117</f>
        <v/>
      </c>
      <c r="AT391" s="1110">
        <f>AT117</f>
        <v/>
      </c>
      <c r="AU391" s="109">
        <f>AU117</f>
        <v/>
      </c>
      <c r="AV391" s="109">
        <f>AV117</f>
        <v/>
      </c>
      <c r="AW391" s="109">
        <f>AW117</f>
        <v/>
      </c>
      <c r="AX391" s="109">
        <f>AX117</f>
        <v/>
      </c>
      <c r="AY391" s="1110">
        <f>AY117</f>
        <v/>
      </c>
      <c r="AZ391" s="109">
        <f>AZ117</f>
        <v/>
      </c>
      <c r="BA391" s="109">
        <f>BA117</f>
        <v/>
      </c>
      <c r="BB391" s="109">
        <f>BB117</f>
        <v/>
      </c>
      <c r="BC391" s="109">
        <f>BC117</f>
        <v/>
      </c>
      <c r="BD391" s="1110">
        <f>BD117</f>
        <v/>
      </c>
      <c r="BE391" s="109">
        <f>BE117</f>
        <v/>
      </c>
      <c r="BF391" s="109">
        <f>BF117</f>
        <v/>
      </c>
      <c r="BG391" s="109">
        <f>BG117</f>
        <v/>
      </c>
      <c r="BH391" s="109">
        <f>BH117</f>
        <v/>
      </c>
      <c r="BI391" s="1110">
        <f>BI117</f>
        <v/>
      </c>
      <c r="BJ391" s="109">
        <f>BJ117</f>
        <v/>
      </c>
      <c r="BK391" s="109">
        <f>BK117</f>
        <v/>
      </c>
      <c r="BL391" s="109">
        <f>BL117</f>
        <v/>
      </c>
      <c r="BM391" s="109">
        <f>BM117</f>
        <v/>
      </c>
      <c r="BN391" s="1110">
        <f>BN117</f>
        <v/>
      </c>
      <c r="BO391" s="109">
        <f>BO117</f>
        <v/>
      </c>
      <c r="BP391" s="109">
        <f>BP117</f>
        <v/>
      </c>
      <c r="BQ391" s="109">
        <f>BQ117</f>
        <v/>
      </c>
      <c r="BR391" s="109">
        <f>BR117</f>
        <v/>
      </c>
      <c r="BS391" s="1110">
        <f>BS117</f>
        <v/>
      </c>
      <c r="BT391" s="109">
        <f>BT117</f>
        <v/>
      </c>
      <c r="BU391" s="109">
        <f>BU117</f>
        <v/>
      </c>
      <c r="BV391" s="730">
        <f>BV117</f>
        <v/>
      </c>
      <c r="BW391" s="109">
        <f>-BW917</f>
        <v/>
      </c>
      <c r="BX391" s="1152">
        <f>SUM(BT391,BU391,BV391,BW391)</f>
        <v/>
      </c>
      <c r="BY391" s="109">
        <f>-BY917</f>
        <v/>
      </c>
      <c r="BZ391" s="109">
        <f>-BZ917</f>
        <v/>
      </c>
      <c r="CA391" s="109">
        <f>-CA917</f>
        <v/>
      </c>
      <c r="CB391" s="109">
        <f>-CB917</f>
        <v/>
      </c>
      <c r="CC391" s="1152">
        <f>SUM(BY391,BZ391,CA391,CB391)</f>
        <v/>
      </c>
      <c r="CD391" s="1152">
        <f>-CD917</f>
        <v/>
      </c>
      <c r="CE391" s="1152">
        <f>-CE917</f>
        <v/>
      </c>
      <c r="CF391" s="1152">
        <f>-CF917</f>
        <v/>
      </c>
      <c r="CG391" s="155" t="n"/>
    </row>
    <row r="392" hidden="1" outlineLevel="1">
      <c r="A392" s="62" t="inlineStr">
        <is>
          <t>Non-GAAP EBITDA</t>
        </is>
      </c>
      <c r="B392" s="123" t="n"/>
      <c r="C392" s="1123">
        <f>C388+C391</f>
        <v/>
      </c>
      <c r="D392" s="1123">
        <f>D388+D391</f>
        <v/>
      </c>
      <c r="E392" s="1123">
        <f>E388+E391</f>
        <v/>
      </c>
      <c r="F392" s="1123">
        <f>F388+F391</f>
        <v/>
      </c>
      <c r="G392" s="60">
        <f>G388+G391</f>
        <v/>
      </c>
      <c r="H392" s="60">
        <f>H388+H391</f>
        <v/>
      </c>
      <c r="I392" s="60">
        <f>I388+I391</f>
        <v/>
      </c>
      <c r="J392" s="60">
        <f>J388+J391</f>
        <v/>
      </c>
      <c r="K392" s="1123">
        <f>K388+K391</f>
        <v/>
      </c>
      <c r="L392" s="60">
        <f>L388+L391</f>
        <v/>
      </c>
      <c r="M392" s="60">
        <f>M388+M391</f>
        <v/>
      </c>
      <c r="N392" s="60">
        <f>N388+N391</f>
        <v/>
      </c>
      <c r="O392" s="60">
        <f>O388+O391</f>
        <v/>
      </c>
      <c r="P392" s="1123">
        <f>P388+P391</f>
        <v/>
      </c>
      <c r="Q392" s="60">
        <f>Q388+Q391</f>
        <v/>
      </c>
      <c r="R392" s="60">
        <f>R388+R391</f>
        <v/>
      </c>
      <c r="S392" s="60">
        <f>S388+S391</f>
        <v/>
      </c>
      <c r="T392" s="60">
        <f>T388+T391</f>
        <v/>
      </c>
      <c r="U392" s="1123">
        <f>U388+U391</f>
        <v/>
      </c>
      <c r="V392" s="60">
        <f>V388+V391</f>
        <v/>
      </c>
      <c r="W392" s="60">
        <f>W388+W391</f>
        <v/>
      </c>
      <c r="X392" s="60">
        <f>X388+X391</f>
        <v/>
      </c>
      <c r="Y392" s="60">
        <f>Y388+Y391</f>
        <v/>
      </c>
      <c r="Z392" s="1123">
        <f>Z388+Z391</f>
        <v/>
      </c>
      <c r="AA392" s="60">
        <f>AA388+AA391</f>
        <v/>
      </c>
      <c r="AB392" s="60">
        <f>AB388+AB391</f>
        <v/>
      </c>
      <c r="AC392" s="60">
        <f>AC388+AC391</f>
        <v/>
      </c>
      <c r="AD392" s="60">
        <f>AD388+AD391</f>
        <v/>
      </c>
      <c r="AE392" s="1123">
        <f>AE388+AE391</f>
        <v/>
      </c>
      <c r="AF392" s="60">
        <f>AF388+AF391</f>
        <v/>
      </c>
      <c r="AG392" s="60">
        <f>AG388+AG391</f>
        <v/>
      </c>
      <c r="AH392" s="28">
        <f>AH388+AH391</f>
        <v/>
      </c>
      <c r="AI392" s="60">
        <f>AI388+AI391</f>
        <v/>
      </c>
      <c r="AJ392" s="1123">
        <f>AJ388+AJ391</f>
        <v/>
      </c>
      <c r="AK392" s="991">
        <f>AK388+AK391</f>
        <v/>
      </c>
      <c r="AL392" s="60">
        <f>AL388+AL391</f>
        <v/>
      </c>
      <c r="AM392" s="28">
        <f>AM388+AM391</f>
        <v/>
      </c>
      <c r="AN392" s="60">
        <f>AN388+AN391</f>
        <v/>
      </c>
      <c r="AO392" s="1123">
        <f>AO388+AO391</f>
        <v/>
      </c>
      <c r="AP392" s="991">
        <f>AP388+AP391</f>
        <v/>
      </c>
      <c r="AQ392" s="60">
        <f>AQ388+AQ391</f>
        <v/>
      </c>
      <c r="AR392" s="28">
        <f>AR388+AR391</f>
        <v/>
      </c>
      <c r="AS392" s="60">
        <f>AS388+AS391</f>
        <v/>
      </c>
      <c r="AT392" s="1123">
        <f>AT388+AT391</f>
        <v/>
      </c>
      <c r="AU392" s="991">
        <f>AU388+AU391</f>
        <v/>
      </c>
      <c r="AV392" s="60">
        <f>AV388+AV391</f>
        <v/>
      </c>
      <c r="AW392" s="28">
        <f>AW388+AW391</f>
        <v/>
      </c>
      <c r="AX392" s="60">
        <f>AX388+AX391</f>
        <v/>
      </c>
      <c r="AY392" s="1123">
        <f>AY388+AY391</f>
        <v/>
      </c>
      <c r="AZ392" s="991">
        <f>AZ388+AZ391</f>
        <v/>
      </c>
      <c r="BA392" s="60">
        <f>BA388+BA391</f>
        <v/>
      </c>
      <c r="BB392" s="28">
        <f>BB388+BB391</f>
        <v/>
      </c>
      <c r="BC392" s="60">
        <f>BC388+BC391</f>
        <v/>
      </c>
      <c r="BD392" s="1123">
        <f>BD388+BD391</f>
        <v/>
      </c>
      <c r="BE392" s="991">
        <f>BE388+BE391</f>
        <v/>
      </c>
      <c r="BF392" s="60">
        <f>BF388+BF391</f>
        <v/>
      </c>
      <c r="BG392" s="28">
        <f>BG388+BG391</f>
        <v/>
      </c>
      <c r="BH392" s="60">
        <f>BH388+BH391</f>
        <v/>
      </c>
      <c r="BI392" s="1123">
        <f>BI388+BI391</f>
        <v/>
      </c>
      <c r="BJ392" s="991">
        <f>BJ388+BJ391</f>
        <v/>
      </c>
      <c r="BK392" s="60">
        <f>BK388+BK391</f>
        <v/>
      </c>
      <c r="BL392" s="28">
        <f>BL388+BL391</f>
        <v/>
      </c>
      <c r="BM392" s="60">
        <f>BM388+BM391</f>
        <v/>
      </c>
      <c r="BN392" s="1123">
        <f>BN388+BN391</f>
        <v/>
      </c>
      <c r="BO392" s="991">
        <f>BO388+BO391</f>
        <v/>
      </c>
      <c r="BP392" s="60">
        <f>BP388+BP391</f>
        <v/>
      </c>
      <c r="BQ392" s="28">
        <f>BQ388+BQ391</f>
        <v/>
      </c>
      <c r="BR392" s="60">
        <f>BR388+BR391</f>
        <v/>
      </c>
      <c r="BS392" s="1123">
        <f>BS388+BS391</f>
        <v/>
      </c>
      <c r="BT392" s="991">
        <f>BT388+BT391</f>
        <v/>
      </c>
      <c r="BU392" s="60">
        <f>BU388+BU391</f>
        <v/>
      </c>
      <c r="BV392" s="505">
        <f>BV388+BV391</f>
        <v/>
      </c>
      <c r="BW392" s="118">
        <f>BW388+BW391</f>
        <v/>
      </c>
      <c r="BX392" s="1153">
        <f>BX388+BX391</f>
        <v/>
      </c>
      <c r="BY392" s="118">
        <f>BY388+BY391</f>
        <v/>
      </c>
      <c r="BZ392" s="118">
        <f>BZ388+BZ391</f>
        <v/>
      </c>
      <c r="CA392" s="118">
        <f>CA388+CA391</f>
        <v/>
      </c>
      <c r="CB392" s="118">
        <f>CB388+CB391</f>
        <v/>
      </c>
      <c r="CC392" s="1153">
        <f>CC388+CC391</f>
        <v/>
      </c>
      <c r="CD392" s="1153">
        <f>CD388+CD391</f>
        <v/>
      </c>
      <c r="CE392" s="1153">
        <f>CE388+CE391</f>
        <v/>
      </c>
      <c r="CF392" s="1153">
        <f>CF388+CF391</f>
        <v/>
      </c>
      <c r="CG392" s="155" t="n"/>
    </row>
    <row r="393" hidden="1" outlineLevel="1">
      <c r="A393" s="75">
        <f>CONCATENATE("Consensus Estimates - ",IFERROR(LEFT(A392,FIND("(",A392)-1),A392))</f>
        <v/>
      </c>
      <c r="B393" s="102" t="n"/>
      <c r="C393" s="1117" t="n"/>
      <c r="D393" s="1117" t="n"/>
      <c r="E393" s="1117" t="n"/>
      <c r="F393" s="1117" t="n"/>
      <c r="G393" s="76" t="n"/>
      <c r="H393" s="76" t="n"/>
      <c r="I393" s="76" t="n"/>
      <c r="J393" s="76" t="n"/>
      <c r="K393" s="1117" t="n"/>
      <c r="L393" s="76" t="n"/>
      <c r="M393" s="76" t="n"/>
      <c r="N393" s="76" t="n"/>
      <c r="O393" s="76" t="n"/>
      <c r="P393" s="1117" t="n"/>
      <c r="Q393" s="76" t="n"/>
      <c r="R393" s="76" t="n"/>
      <c r="S393" s="76" t="n"/>
      <c r="T393" s="76" t="n"/>
      <c r="U393" s="1117" t="n"/>
      <c r="V393" s="76" t="n"/>
      <c r="W393" s="76" t="n"/>
      <c r="X393" s="77" t="n"/>
      <c r="Y393" s="77" t="n"/>
      <c r="Z393" s="1124" t="n"/>
      <c r="AA393" s="76" t="n"/>
      <c r="AB393" s="76" t="n"/>
      <c r="AC393" s="77" t="n"/>
      <c r="AD393" s="77" t="n"/>
      <c r="AE393" s="1124" t="n"/>
      <c r="AF393" s="76" t="n"/>
      <c r="AG393" s="76" t="n"/>
      <c r="AH393" s="76" t="n"/>
      <c r="AI393" s="77" t="n"/>
      <c r="AJ393" s="1124" t="n"/>
      <c r="AK393" s="76" t="n"/>
      <c r="AL393" s="76" t="n"/>
      <c r="AM393" s="76" t="n"/>
      <c r="AN393" s="77" t="n"/>
      <c r="AO393" s="1124" t="n"/>
      <c r="AP393" s="76" t="n"/>
      <c r="AQ393" s="76" t="n"/>
      <c r="AR393" s="76" t="n"/>
      <c r="AS393" s="77" t="n"/>
      <c r="AT393" s="1124" t="n"/>
      <c r="AU393" s="76" t="n"/>
      <c r="AV393" s="76" t="n"/>
      <c r="AW393" s="76" t="n"/>
      <c r="AX393" s="77" t="n"/>
      <c r="AY393" s="1124" t="n"/>
      <c r="AZ393" s="76" t="n"/>
      <c r="BA393" s="76" t="n"/>
      <c r="BB393" s="76" t="n"/>
      <c r="BC393" s="77" t="n"/>
      <c r="BD393" s="1124" t="n"/>
      <c r="BE393" s="76" t="n"/>
      <c r="BF393" s="76" t="n"/>
      <c r="BG393" s="76" t="n"/>
      <c r="BH393" s="77" t="n"/>
      <c r="BI393" s="1124" t="n"/>
      <c r="BJ393" s="76" t="n"/>
      <c r="BK393" s="76" t="n"/>
      <c r="BL393" s="76" t="n"/>
      <c r="BM393" s="77" t="n"/>
      <c r="BN393" s="1124" t="n"/>
      <c r="BO393" s="76" t="n"/>
      <c r="BP393" s="76" t="n"/>
      <c r="BQ393" s="76" t="n"/>
      <c r="BR393" s="77" t="n"/>
      <c r="BS393" s="1124" t="n"/>
      <c r="BT393" s="76" t="n"/>
      <c r="BU393" s="76" t="n"/>
      <c r="BV393" s="881" t="n"/>
      <c r="BW393" s="868">
        <f>IFERROR(VLOOKUP($A393,tb_ConsensusEstimate,MATCH(BW$5,OFFSET(tb_ConsensusEstimate,0,0,1,COLUMNS(tb_ConsensusEstimate)),0),FALSE),"-")</f>
        <v/>
      </c>
      <c r="BX393" s="1124">
        <f>IFERROR(VLOOKUP($A393,tb_ConsensusEstimate,MATCH(BX$5,OFFSET(tb_ConsensusEstimate,0,0,1,COLUMNS(tb_ConsensusEstimate)),0),FALSE),"-")</f>
        <v/>
      </c>
      <c r="BY393" s="868">
        <f>IFERROR(VLOOKUP($A393,tb_ConsensusEstimate,MATCH(BY$5,OFFSET(tb_ConsensusEstimate,0,0,1,COLUMNS(tb_ConsensusEstimate)),0),FALSE),"-")</f>
        <v/>
      </c>
      <c r="BZ393" s="868">
        <f>IFERROR(VLOOKUP($A393,tb_ConsensusEstimate,MATCH(BZ$5,OFFSET(tb_ConsensusEstimate,0,0,1,COLUMNS(tb_ConsensusEstimate)),0),FALSE),"-")</f>
        <v/>
      </c>
      <c r="CA393" s="868">
        <f>IFERROR(VLOOKUP($A393,tb_ConsensusEstimate,MATCH(CA$5,OFFSET(tb_ConsensusEstimate,0,0,1,COLUMNS(tb_ConsensusEstimate)),0),FALSE),"-")</f>
        <v/>
      </c>
      <c r="CB393" s="868">
        <f>IFERROR(VLOOKUP($A393,tb_ConsensusEstimate,MATCH(CB$5,OFFSET(tb_ConsensusEstimate,0,0,1,COLUMNS(tb_ConsensusEstimate)),0),FALSE),"-")</f>
        <v/>
      </c>
      <c r="CC393" s="1124">
        <f>IFERROR(VLOOKUP($A393,tb_ConsensusEstimate,MATCH(CC$5,OFFSET(tb_ConsensusEstimate,0,0,1,COLUMNS(tb_ConsensusEstimate)),0),FALSE),"-")</f>
        <v/>
      </c>
      <c r="CD393" s="1124">
        <f>IFERROR(VLOOKUP($A393,tb_ConsensusEstimate,MATCH(CD5,OFFSET(tb_ConsensusEstimate,0,0,1,COLUMNS(tb_ConsensusEstimate)),0),FALSE),"-")</f>
        <v/>
      </c>
      <c r="CE393" s="1124">
        <f>IFERROR(VLOOKUP($A393,tb_ConsensusEstimate,MATCH(CE5,OFFSET(tb_ConsensusEstimate,0,0,1,COLUMNS(tb_ConsensusEstimate)),0),FALSE),"-")</f>
        <v/>
      </c>
      <c r="CF393" s="1124">
        <f>IFERROR(VLOOKUP($A393,tb_ConsensusEstimate,MATCH(CF5,OFFSET(tb_ConsensusEstimate,0,0,1,COLUMNS(tb_ConsensusEstimate)),0),FALSE),"-")</f>
        <v/>
      </c>
      <c r="CG393" s="155" t="n"/>
    </row>
    <row r="394" hidden="1" outlineLevel="1">
      <c r="A394" s="609" t="n"/>
      <c r="B394" s="610" t="n"/>
      <c r="C394" s="1134" t="n"/>
      <c r="D394" s="1134" t="n"/>
      <c r="E394" s="1134" t="n"/>
      <c r="F394" s="1134" t="n"/>
      <c r="G394" s="93" t="n"/>
      <c r="H394" s="93" t="n"/>
      <c r="I394" s="93" t="n"/>
      <c r="J394" s="93" t="n"/>
      <c r="K394" s="1134" t="n"/>
      <c r="L394" s="93" t="n"/>
      <c r="M394" s="93" t="n"/>
      <c r="N394" s="93" t="n"/>
      <c r="O394" s="93" t="n"/>
      <c r="P394" s="1134" t="n"/>
      <c r="Q394" s="93" t="n"/>
      <c r="R394" s="93" t="n"/>
      <c r="S394" s="93" t="n"/>
      <c r="T394" s="93" t="n"/>
      <c r="U394" s="1134" t="n"/>
      <c r="V394" s="93" t="n"/>
      <c r="W394" s="93" t="n"/>
      <c r="X394" s="93" t="n"/>
      <c r="Y394" s="93" t="n"/>
      <c r="Z394" s="1134" t="n"/>
      <c r="AA394" s="93" t="n"/>
      <c r="AB394" s="93" t="n"/>
      <c r="AC394" s="93" t="n"/>
      <c r="AD394" s="93" t="n"/>
      <c r="AE394" s="1134" t="n"/>
      <c r="AF394" s="93" t="n"/>
      <c r="AG394" s="93" t="n"/>
      <c r="AH394" s="93" t="n"/>
      <c r="AI394" s="93" t="n"/>
      <c r="AJ394" s="1134" t="n"/>
      <c r="AK394" s="93" t="n"/>
      <c r="AL394" s="93" t="n"/>
      <c r="AM394" s="93" t="n"/>
      <c r="AN394" s="93" t="n"/>
      <c r="AO394" s="1134" t="n"/>
      <c r="AP394" s="93" t="n"/>
      <c r="AQ394" s="93" t="n"/>
      <c r="AR394" s="93" t="n"/>
      <c r="AS394" s="93" t="n"/>
      <c r="AT394" s="1134" t="n"/>
      <c r="AU394" s="93" t="n"/>
      <c r="AV394" s="93" t="n"/>
      <c r="AW394" s="93" t="n"/>
      <c r="AX394" s="93" t="n"/>
      <c r="AY394" s="1134" t="n"/>
      <c r="AZ394" s="93" t="n"/>
      <c r="BA394" s="93" t="n"/>
      <c r="BB394" s="93" t="n"/>
      <c r="BC394" s="93" t="n"/>
      <c r="BD394" s="1134" t="n"/>
      <c r="BE394" s="93" t="n"/>
      <c r="BF394" s="93" t="n"/>
      <c r="BG394" s="93" t="n"/>
      <c r="BH394" s="93" t="n"/>
      <c r="BI394" s="1134" t="n"/>
      <c r="BJ394" s="93" t="n"/>
      <c r="BK394" s="93" t="n"/>
      <c r="BL394" s="93" t="n"/>
      <c r="BM394" s="93" t="n"/>
      <c r="BN394" s="1134" t="n"/>
      <c r="BO394" s="93" t="n"/>
      <c r="BP394" s="93" t="n"/>
      <c r="BQ394" s="93" t="n"/>
      <c r="BR394" s="93" t="n"/>
      <c r="BS394" s="1134" t="n"/>
      <c r="BT394" s="93" t="n"/>
      <c r="BU394" s="93" t="n"/>
      <c r="BV394" s="522" t="n"/>
      <c r="BW394" s="378" t="n"/>
      <c r="BX394" s="1159" t="n"/>
      <c r="BY394" s="378" t="n"/>
      <c r="BZ394" s="378" t="n"/>
      <c r="CA394" s="378" t="n"/>
      <c r="CB394" s="378" t="n"/>
      <c r="CC394" s="1159" t="n"/>
      <c r="CD394" s="1159" t="n"/>
      <c r="CE394" s="1159" t="n"/>
      <c r="CF394" s="1159" t="n"/>
      <c r="CG394" s="155" t="n"/>
    </row>
    <row r="395" hidden="1" outlineLevel="1">
      <c r="A395" s="572" t="inlineStr">
        <is>
          <t>GAAP Interest Expense</t>
        </is>
      </c>
      <c r="B395" s="146" t="n"/>
      <c r="C395" s="1112">
        <f>-C303</f>
        <v/>
      </c>
      <c r="D395" s="1112">
        <f>-D303</f>
        <v/>
      </c>
      <c r="E395" s="1112">
        <f>-E303</f>
        <v/>
      </c>
      <c r="F395" s="1112">
        <f>-F303</f>
        <v/>
      </c>
      <c r="G395" s="27">
        <f>-G303</f>
        <v/>
      </c>
      <c r="H395" s="27">
        <f>-H303</f>
        <v/>
      </c>
      <c r="I395" s="27">
        <f>-I303</f>
        <v/>
      </c>
      <c r="J395" s="27">
        <f>-J303</f>
        <v/>
      </c>
      <c r="K395" s="1112">
        <f>-K303</f>
        <v/>
      </c>
      <c r="L395" s="27">
        <f>-L303</f>
        <v/>
      </c>
      <c r="M395" s="27">
        <f>-M303</f>
        <v/>
      </c>
      <c r="N395" s="27">
        <f>-N303</f>
        <v/>
      </c>
      <c r="O395" s="27">
        <f>-O303</f>
        <v/>
      </c>
      <c r="P395" s="1112">
        <f>-P303</f>
        <v/>
      </c>
      <c r="Q395" s="27">
        <f>-Q303</f>
        <v/>
      </c>
      <c r="R395" s="27">
        <f>-R303</f>
        <v/>
      </c>
      <c r="S395" s="27">
        <f>-S303</f>
        <v/>
      </c>
      <c r="T395" s="27">
        <f>-T303</f>
        <v/>
      </c>
      <c r="U395" s="1112">
        <f>-U303</f>
        <v/>
      </c>
      <c r="V395" s="27">
        <f>-V303</f>
        <v/>
      </c>
      <c r="W395" s="27">
        <f>-W303</f>
        <v/>
      </c>
      <c r="X395" s="27">
        <f>-X303</f>
        <v/>
      </c>
      <c r="Y395" s="27">
        <f>-Y303</f>
        <v/>
      </c>
      <c r="Z395" s="1112">
        <f>-Z303</f>
        <v/>
      </c>
      <c r="AA395" s="27">
        <f>-AA303</f>
        <v/>
      </c>
      <c r="AB395" s="27">
        <f>-AB303</f>
        <v/>
      </c>
      <c r="AC395" s="27">
        <f>-AC303</f>
        <v/>
      </c>
      <c r="AD395" s="27">
        <f>-AD303</f>
        <v/>
      </c>
      <c r="AE395" s="1112">
        <f>-AE303</f>
        <v/>
      </c>
      <c r="AF395" s="27">
        <f>-AF303</f>
        <v/>
      </c>
      <c r="AG395" s="27">
        <f>-AG303</f>
        <v/>
      </c>
      <c r="AH395" s="27">
        <f>-AH303</f>
        <v/>
      </c>
      <c r="AI395" s="27">
        <f>-AI303</f>
        <v/>
      </c>
      <c r="AJ395" s="1112">
        <f>-AJ303</f>
        <v/>
      </c>
      <c r="AK395" s="27">
        <f>-AK303</f>
        <v/>
      </c>
      <c r="AL395" s="27">
        <f>-AL303</f>
        <v/>
      </c>
      <c r="AM395" s="27">
        <f>-AM303</f>
        <v/>
      </c>
      <c r="AN395" s="27">
        <f>-AN303</f>
        <v/>
      </c>
      <c r="AO395" s="1112">
        <f>-AO303</f>
        <v/>
      </c>
      <c r="AP395" s="27">
        <f>-AP303</f>
        <v/>
      </c>
      <c r="AQ395" s="27">
        <f>-AQ303</f>
        <v/>
      </c>
      <c r="AR395" s="27">
        <f>-AR303</f>
        <v/>
      </c>
      <c r="AS395" s="27">
        <f>-AS303</f>
        <v/>
      </c>
      <c r="AT395" s="1112">
        <f>-AT303</f>
        <v/>
      </c>
      <c r="AU395" s="27">
        <f>-AU303</f>
        <v/>
      </c>
      <c r="AV395" s="27">
        <f>-AV303</f>
        <v/>
      </c>
      <c r="AW395" s="27">
        <f>-AW303</f>
        <v/>
      </c>
      <c r="AX395" s="27">
        <f>-AX303</f>
        <v/>
      </c>
      <c r="AY395" s="1112">
        <f>-AY303</f>
        <v/>
      </c>
      <c r="AZ395" s="27">
        <f>-AZ303</f>
        <v/>
      </c>
      <c r="BA395" s="27">
        <f>-BA303</f>
        <v/>
      </c>
      <c r="BB395" s="27">
        <f>-BB303</f>
        <v/>
      </c>
      <c r="BC395" s="27">
        <f>-BC303</f>
        <v/>
      </c>
      <c r="BD395" s="1112">
        <f>-BD303</f>
        <v/>
      </c>
      <c r="BE395" s="27">
        <f>-BE303</f>
        <v/>
      </c>
      <c r="BF395" s="27">
        <f>-BF303</f>
        <v/>
      </c>
      <c r="BG395" s="27">
        <f>-BG303</f>
        <v/>
      </c>
      <c r="BH395" s="27">
        <f>-BH303</f>
        <v/>
      </c>
      <c r="BI395" s="1112">
        <f>-BI303</f>
        <v/>
      </c>
      <c r="BJ395" s="27">
        <f>-BJ303</f>
        <v/>
      </c>
      <c r="BK395" s="27">
        <f>-BK303</f>
        <v/>
      </c>
      <c r="BL395" s="27">
        <f>-BL303</f>
        <v/>
      </c>
      <c r="BM395" s="27">
        <f>-BM303</f>
        <v/>
      </c>
      <c r="BN395" s="1112">
        <f>-BN303</f>
        <v/>
      </c>
      <c r="BO395" s="27">
        <f>-BO303</f>
        <v/>
      </c>
      <c r="BP395" s="27">
        <f>-BP303</f>
        <v/>
      </c>
      <c r="BQ395" s="27">
        <f>-BQ303</f>
        <v/>
      </c>
      <c r="BR395" s="27">
        <f>-BR303</f>
        <v/>
      </c>
      <c r="BS395" s="1112">
        <f>-BS303</f>
        <v/>
      </c>
      <c r="BT395" s="27">
        <f>-BT303</f>
        <v/>
      </c>
      <c r="BU395" s="27">
        <f>-BU303</f>
        <v/>
      </c>
      <c r="BV395" s="508">
        <f>-BV303</f>
        <v/>
      </c>
      <c r="BW395" s="68">
        <f>BW733</f>
        <v/>
      </c>
      <c r="BX395" s="1151">
        <f>SUM(BT395,BU395,BV395,BW395)</f>
        <v/>
      </c>
      <c r="BY395" s="68">
        <f>BY733</f>
        <v/>
      </c>
      <c r="BZ395" s="68">
        <f>BZ733</f>
        <v/>
      </c>
      <c r="CA395" s="68">
        <f>CA733</f>
        <v/>
      </c>
      <c r="CB395" s="68">
        <f>CB733</f>
        <v/>
      </c>
      <c r="CC395" s="1151">
        <f>SUM(BY395,BZ395,CA395,CB395)</f>
        <v/>
      </c>
      <c r="CD395" s="1151">
        <f>CD733</f>
        <v/>
      </c>
      <c r="CE395" s="1151">
        <f>CE733</f>
        <v/>
      </c>
      <c r="CF395" s="1151">
        <f>CF733</f>
        <v/>
      </c>
      <c r="CG395" s="155" t="n"/>
    </row>
    <row r="396" hidden="1" outlineLevel="1">
      <c r="A396" s="572" t="inlineStr">
        <is>
          <t>GAAP Interest Income</t>
        </is>
      </c>
      <c r="B396" s="146" t="n"/>
      <c r="C396" s="1112">
        <f>-C302</f>
        <v/>
      </c>
      <c r="D396" s="1112">
        <f>-D302</f>
        <v/>
      </c>
      <c r="E396" s="1112">
        <f>-E302</f>
        <v/>
      </c>
      <c r="F396" s="1112">
        <f>-F302</f>
        <v/>
      </c>
      <c r="G396" s="27">
        <f>-G302</f>
        <v/>
      </c>
      <c r="H396" s="27">
        <f>-H302</f>
        <v/>
      </c>
      <c r="I396" s="27">
        <f>-I302</f>
        <v/>
      </c>
      <c r="J396" s="27">
        <f>-J302</f>
        <v/>
      </c>
      <c r="K396" s="1112">
        <f>-K302</f>
        <v/>
      </c>
      <c r="L396" s="27">
        <f>-L302</f>
        <v/>
      </c>
      <c r="M396" s="27">
        <f>-M302</f>
        <v/>
      </c>
      <c r="N396" s="27">
        <f>-N302</f>
        <v/>
      </c>
      <c r="O396" s="27">
        <f>-O302</f>
        <v/>
      </c>
      <c r="P396" s="1112">
        <f>-P302</f>
        <v/>
      </c>
      <c r="Q396" s="27">
        <f>-Q302</f>
        <v/>
      </c>
      <c r="R396" s="27">
        <f>-R302</f>
        <v/>
      </c>
      <c r="S396" s="27">
        <f>-S302</f>
        <v/>
      </c>
      <c r="T396" s="27">
        <f>-T302</f>
        <v/>
      </c>
      <c r="U396" s="1112">
        <f>-U302</f>
        <v/>
      </c>
      <c r="V396" s="27">
        <f>-V302</f>
        <v/>
      </c>
      <c r="W396" s="27">
        <f>-W302</f>
        <v/>
      </c>
      <c r="X396" s="27">
        <f>-X302</f>
        <v/>
      </c>
      <c r="Y396" s="27">
        <f>-Y302</f>
        <v/>
      </c>
      <c r="Z396" s="1112">
        <f>-Z302</f>
        <v/>
      </c>
      <c r="AA396" s="27">
        <f>-AA302</f>
        <v/>
      </c>
      <c r="AB396" s="27">
        <f>-AB302</f>
        <v/>
      </c>
      <c r="AC396" s="27">
        <f>-AC302</f>
        <v/>
      </c>
      <c r="AD396" s="27">
        <f>-AD302</f>
        <v/>
      </c>
      <c r="AE396" s="1112">
        <f>-AE302</f>
        <v/>
      </c>
      <c r="AF396" s="27">
        <f>-AF302</f>
        <v/>
      </c>
      <c r="AG396" s="27">
        <f>-AG302</f>
        <v/>
      </c>
      <c r="AH396" s="27">
        <f>-AH302</f>
        <v/>
      </c>
      <c r="AI396" s="27">
        <f>-AI302</f>
        <v/>
      </c>
      <c r="AJ396" s="1112">
        <f>-AJ302</f>
        <v/>
      </c>
      <c r="AK396" s="27">
        <f>-AK302</f>
        <v/>
      </c>
      <c r="AL396" s="27">
        <f>-AL302</f>
        <v/>
      </c>
      <c r="AM396" s="27">
        <f>-AM302</f>
        <v/>
      </c>
      <c r="AN396" s="27">
        <f>-AN302</f>
        <v/>
      </c>
      <c r="AO396" s="1112">
        <f>-AO302</f>
        <v/>
      </c>
      <c r="AP396" s="27">
        <f>-AP302</f>
        <v/>
      </c>
      <c r="AQ396" s="27">
        <f>-AQ302</f>
        <v/>
      </c>
      <c r="AR396" s="27">
        <f>-AR302</f>
        <v/>
      </c>
      <c r="AS396" s="27">
        <f>-AS302</f>
        <v/>
      </c>
      <c r="AT396" s="1112">
        <f>-AT302</f>
        <v/>
      </c>
      <c r="AU396" s="27">
        <f>-AU302</f>
        <v/>
      </c>
      <c r="AV396" s="27">
        <f>-AV302</f>
        <v/>
      </c>
      <c r="AW396" s="27">
        <f>-AW302</f>
        <v/>
      </c>
      <c r="AX396" s="27">
        <f>-AX302</f>
        <v/>
      </c>
      <c r="AY396" s="1112">
        <f>-AY302</f>
        <v/>
      </c>
      <c r="AZ396" s="27">
        <f>-AZ302</f>
        <v/>
      </c>
      <c r="BA396" s="27">
        <f>-BA302</f>
        <v/>
      </c>
      <c r="BB396" s="27">
        <f>-BB302</f>
        <v/>
      </c>
      <c r="BC396" s="27">
        <f>-BC302</f>
        <v/>
      </c>
      <c r="BD396" s="1112">
        <f>-BD302</f>
        <v/>
      </c>
      <c r="BE396" s="27">
        <f>-BE302</f>
        <v/>
      </c>
      <c r="BF396" s="27">
        <f>-BF302</f>
        <v/>
      </c>
      <c r="BG396" s="27">
        <f>-BG302</f>
        <v/>
      </c>
      <c r="BH396" s="27">
        <f>-BH302</f>
        <v/>
      </c>
      <c r="BI396" s="1112">
        <f>-BI302</f>
        <v/>
      </c>
      <c r="BJ396" s="27">
        <f>-BJ302</f>
        <v/>
      </c>
      <c r="BK396" s="27">
        <f>-BK302</f>
        <v/>
      </c>
      <c r="BL396" s="27">
        <f>-BL302</f>
        <v/>
      </c>
      <c r="BM396" s="27">
        <f>-BM302</f>
        <v/>
      </c>
      <c r="BN396" s="1112">
        <f>-BN302</f>
        <v/>
      </c>
      <c r="BO396" s="27">
        <f>-BO302</f>
        <v/>
      </c>
      <c r="BP396" s="27">
        <f>-BP302</f>
        <v/>
      </c>
      <c r="BQ396" s="27">
        <f>-BQ302</f>
        <v/>
      </c>
      <c r="BR396" s="27">
        <f>-BR302</f>
        <v/>
      </c>
      <c r="BS396" s="1112">
        <f>-BS302</f>
        <v/>
      </c>
      <c r="BT396" s="27">
        <f>-BT302</f>
        <v/>
      </c>
      <c r="BU396" s="27">
        <f>-BU302</f>
        <v/>
      </c>
      <c r="BV396" s="508">
        <f>-BV302</f>
        <v/>
      </c>
      <c r="BW396" s="68">
        <f>-BW735</f>
        <v/>
      </c>
      <c r="BX396" s="1151">
        <f>SUM(BT396,BU396,BV396,BW396)</f>
        <v/>
      </c>
      <c r="BY396" s="68">
        <f>-BY735</f>
        <v/>
      </c>
      <c r="BZ396" s="68">
        <f>-BZ735</f>
        <v/>
      </c>
      <c r="CA396" s="68">
        <f>-CA735</f>
        <v/>
      </c>
      <c r="CB396" s="68">
        <f>-CB735</f>
        <v/>
      </c>
      <c r="CC396" s="1151">
        <f>SUM(BY396,BZ396,CA396,CB396)</f>
        <v/>
      </c>
      <c r="CD396" s="1151">
        <f>-CD735</f>
        <v/>
      </c>
      <c r="CE396" s="1151">
        <f>-CE735</f>
        <v/>
      </c>
      <c r="CF396" s="1151">
        <f>-CF735</f>
        <v/>
      </c>
      <c r="CG396" s="155" t="n"/>
    </row>
    <row r="397" hidden="1" outlineLevel="1">
      <c r="A397" s="570" t="inlineStr">
        <is>
          <t>GAAP Net Interest Expense</t>
        </is>
      </c>
      <c r="B397" s="571" t="n"/>
      <c r="C397" s="1120">
        <f>C395+C396</f>
        <v/>
      </c>
      <c r="D397" s="1120">
        <f>D395+D396</f>
        <v/>
      </c>
      <c r="E397" s="1120">
        <f>E395+E396</f>
        <v/>
      </c>
      <c r="F397" s="1120">
        <f>F395+F396</f>
        <v/>
      </c>
      <c r="G397" s="560">
        <f>G395+G396</f>
        <v/>
      </c>
      <c r="H397" s="560">
        <f>H395+H396</f>
        <v/>
      </c>
      <c r="I397" s="560">
        <f>I395+I396</f>
        <v/>
      </c>
      <c r="J397" s="560">
        <f>J395+J396</f>
        <v/>
      </c>
      <c r="K397" s="1120">
        <f>K395+K396</f>
        <v/>
      </c>
      <c r="L397" s="560">
        <f>L395+L396</f>
        <v/>
      </c>
      <c r="M397" s="560">
        <f>M395+M396</f>
        <v/>
      </c>
      <c r="N397" s="560">
        <f>N395+N396</f>
        <v/>
      </c>
      <c r="O397" s="560">
        <f>O395+O396</f>
        <v/>
      </c>
      <c r="P397" s="1120">
        <f>P395+P396</f>
        <v/>
      </c>
      <c r="Q397" s="560">
        <f>Q395+Q396</f>
        <v/>
      </c>
      <c r="R397" s="560">
        <f>R395+R396</f>
        <v/>
      </c>
      <c r="S397" s="560">
        <f>S395+S396</f>
        <v/>
      </c>
      <c r="T397" s="560">
        <f>T395+T396</f>
        <v/>
      </c>
      <c r="U397" s="1120">
        <f>U395+U396</f>
        <v/>
      </c>
      <c r="V397" s="560">
        <f>V395+V396</f>
        <v/>
      </c>
      <c r="W397" s="560">
        <f>W395+W396</f>
        <v/>
      </c>
      <c r="X397" s="560">
        <f>X395+X396</f>
        <v/>
      </c>
      <c r="Y397" s="560">
        <f>Y395+Y396</f>
        <v/>
      </c>
      <c r="Z397" s="1120">
        <f>Z395+Z396</f>
        <v/>
      </c>
      <c r="AA397" s="560">
        <f>AA395+AA396</f>
        <v/>
      </c>
      <c r="AB397" s="560">
        <f>AB395+AB396</f>
        <v/>
      </c>
      <c r="AC397" s="560">
        <f>AC395+AC396</f>
        <v/>
      </c>
      <c r="AD397" s="560">
        <f>AD395+AD396</f>
        <v/>
      </c>
      <c r="AE397" s="1120">
        <f>AE395+AE396</f>
        <v/>
      </c>
      <c r="AF397" s="560">
        <f>AF395+AF396</f>
        <v/>
      </c>
      <c r="AG397" s="560">
        <f>AG395+AG396</f>
        <v/>
      </c>
      <c r="AH397" s="560">
        <f>AH395+AH396</f>
        <v/>
      </c>
      <c r="AI397" s="560">
        <f>AI395+AI396</f>
        <v/>
      </c>
      <c r="AJ397" s="1120">
        <f>AJ395+AJ396</f>
        <v/>
      </c>
      <c r="AK397" s="560">
        <f>AK395+AK396</f>
        <v/>
      </c>
      <c r="AL397" s="560">
        <f>AL395+AL396</f>
        <v/>
      </c>
      <c r="AM397" s="560">
        <f>AM395+AM396</f>
        <v/>
      </c>
      <c r="AN397" s="560">
        <f>AN395+AN396</f>
        <v/>
      </c>
      <c r="AO397" s="1120">
        <f>AO395+AO396</f>
        <v/>
      </c>
      <c r="AP397" s="560">
        <f>AP395+AP396</f>
        <v/>
      </c>
      <c r="AQ397" s="560">
        <f>AQ395+AQ396</f>
        <v/>
      </c>
      <c r="AR397" s="560">
        <f>AR395+AR396</f>
        <v/>
      </c>
      <c r="AS397" s="560">
        <f>AS395+AS396</f>
        <v/>
      </c>
      <c r="AT397" s="1120">
        <f>AT395+AT396</f>
        <v/>
      </c>
      <c r="AU397" s="560">
        <f>AU395+AU396</f>
        <v/>
      </c>
      <c r="AV397" s="560">
        <f>AV395+AV396</f>
        <v/>
      </c>
      <c r="AW397" s="560">
        <f>AW395+AW396</f>
        <v/>
      </c>
      <c r="AX397" s="560">
        <f>AX395+AX396</f>
        <v/>
      </c>
      <c r="AY397" s="1120">
        <f>AY395+AY396</f>
        <v/>
      </c>
      <c r="AZ397" s="560">
        <f>AZ395+AZ396</f>
        <v/>
      </c>
      <c r="BA397" s="560">
        <f>BA395+BA396</f>
        <v/>
      </c>
      <c r="BB397" s="560">
        <f>BB395+BB396</f>
        <v/>
      </c>
      <c r="BC397" s="560">
        <f>BC395+BC396</f>
        <v/>
      </c>
      <c r="BD397" s="1120">
        <f>BD395+BD396</f>
        <v/>
      </c>
      <c r="BE397" s="560">
        <f>BE395+BE396</f>
        <v/>
      </c>
      <c r="BF397" s="560">
        <f>BF395+BF396</f>
        <v/>
      </c>
      <c r="BG397" s="560">
        <f>BG395+BG396</f>
        <v/>
      </c>
      <c r="BH397" s="560">
        <f>BH395+BH396</f>
        <v/>
      </c>
      <c r="BI397" s="1120">
        <f>BI395+BI396</f>
        <v/>
      </c>
      <c r="BJ397" s="560">
        <f>BJ395+BJ396</f>
        <v/>
      </c>
      <c r="BK397" s="560">
        <f>BK395+BK396</f>
        <v/>
      </c>
      <c r="BL397" s="560">
        <f>BL395+BL396</f>
        <v/>
      </c>
      <c r="BM397" s="560">
        <f>BM395+BM396</f>
        <v/>
      </c>
      <c r="BN397" s="1120">
        <f>BN395+BN396</f>
        <v/>
      </c>
      <c r="BO397" s="560">
        <f>BO395+BO396</f>
        <v/>
      </c>
      <c r="BP397" s="560">
        <f>BP395+BP396</f>
        <v/>
      </c>
      <c r="BQ397" s="560">
        <f>BQ395+BQ396</f>
        <v/>
      </c>
      <c r="BR397" s="560">
        <f>BR395+BR396</f>
        <v/>
      </c>
      <c r="BS397" s="1120">
        <f>BS395+BS396</f>
        <v/>
      </c>
      <c r="BT397" s="560">
        <f>BT395+BT396</f>
        <v/>
      </c>
      <c r="BU397" s="560">
        <f>BU395+BU396</f>
        <v/>
      </c>
      <c r="BV397" s="882">
        <f>BV395+BV396</f>
        <v/>
      </c>
      <c r="BW397" s="561">
        <f>BW395+BW396</f>
        <v/>
      </c>
      <c r="BX397" s="1160">
        <f>BX395+BX396</f>
        <v/>
      </c>
      <c r="BY397" s="561">
        <f>BY395+BY396</f>
        <v/>
      </c>
      <c r="BZ397" s="561">
        <f>BZ395+BZ396</f>
        <v/>
      </c>
      <c r="CA397" s="561">
        <f>CA395+CA396</f>
        <v/>
      </c>
      <c r="CB397" s="561">
        <f>CB395+CB396</f>
        <v/>
      </c>
      <c r="CC397" s="1160">
        <f>CC395+CC396</f>
        <v/>
      </c>
      <c r="CD397" s="1160">
        <f>CD395+CD396</f>
        <v/>
      </c>
      <c r="CE397" s="1160">
        <f>CE395+CE396</f>
        <v/>
      </c>
      <c r="CF397" s="1160">
        <f>CF395+CF396</f>
        <v/>
      </c>
      <c r="CG397" s="155" t="n"/>
    </row>
    <row r="398" hidden="1" outlineLevel="1">
      <c r="A398" s="148" t="inlineStr">
        <is>
          <t>Non-GAAP Adjustments to Net Interest Expense</t>
        </is>
      </c>
      <c r="B398" s="149" t="n"/>
      <c r="C398" s="1121">
        <f>C348+C349</f>
        <v/>
      </c>
      <c r="D398" s="1121">
        <f>D348+D349</f>
        <v/>
      </c>
      <c r="E398" s="1121">
        <f>E348+E349</f>
        <v/>
      </c>
      <c r="F398" s="1121">
        <f>F348+F349</f>
        <v/>
      </c>
      <c r="G398" s="109">
        <f>G348+G349</f>
        <v/>
      </c>
      <c r="H398" s="109">
        <f>H348+H349</f>
        <v/>
      </c>
      <c r="I398" s="109">
        <f>I348+I349</f>
        <v/>
      </c>
      <c r="J398" s="109">
        <f>J348+J349</f>
        <v/>
      </c>
      <c r="K398" s="1121">
        <f>K348+K349</f>
        <v/>
      </c>
      <c r="L398" s="109">
        <f>L348+L349</f>
        <v/>
      </c>
      <c r="M398" s="109">
        <f>M348+M349</f>
        <v/>
      </c>
      <c r="N398" s="109">
        <f>N348+N349</f>
        <v/>
      </c>
      <c r="O398" s="109">
        <f>O348+O349</f>
        <v/>
      </c>
      <c r="P398" s="1121">
        <f>P348+P349</f>
        <v/>
      </c>
      <c r="Q398" s="109">
        <f>Q348+Q349</f>
        <v/>
      </c>
      <c r="R398" s="109">
        <f>R348+R349</f>
        <v/>
      </c>
      <c r="S398" s="109">
        <f>S348+S349</f>
        <v/>
      </c>
      <c r="T398" s="109">
        <f>T348+T349</f>
        <v/>
      </c>
      <c r="U398" s="1121">
        <f>U348+U349</f>
        <v/>
      </c>
      <c r="V398" s="109">
        <f>V348+V349</f>
        <v/>
      </c>
      <c r="W398" s="109">
        <f>W348+W349</f>
        <v/>
      </c>
      <c r="X398" s="109">
        <f>X348+X349</f>
        <v/>
      </c>
      <c r="Y398" s="109">
        <f>Y348+Y349</f>
        <v/>
      </c>
      <c r="Z398" s="1121">
        <f>Z348+Z349</f>
        <v/>
      </c>
      <c r="AA398" s="109">
        <f>AA348+AA349</f>
        <v/>
      </c>
      <c r="AB398" s="109">
        <f>AB348+AB349</f>
        <v/>
      </c>
      <c r="AC398" s="109">
        <f>AC348+AC349</f>
        <v/>
      </c>
      <c r="AD398" s="109">
        <f>AD348+AD349</f>
        <v/>
      </c>
      <c r="AE398" s="1121">
        <f>AE348+AE349</f>
        <v/>
      </c>
      <c r="AF398" s="109">
        <f>AF348+AF349</f>
        <v/>
      </c>
      <c r="AG398" s="109">
        <f>AG348+AG349</f>
        <v/>
      </c>
      <c r="AH398" s="109">
        <f>AH348+AH349</f>
        <v/>
      </c>
      <c r="AI398" s="109">
        <f>AI348+AI349</f>
        <v/>
      </c>
      <c r="AJ398" s="1121">
        <f>AJ348+AJ349</f>
        <v/>
      </c>
      <c r="AK398" s="109">
        <f>AK348+AK349</f>
        <v/>
      </c>
      <c r="AL398" s="109">
        <f>AL348+AL349</f>
        <v/>
      </c>
      <c r="AM398" s="109">
        <f>AM348+AM349</f>
        <v/>
      </c>
      <c r="AN398" s="109">
        <f>AN348+AN349</f>
        <v/>
      </c>
      <c r="AO398" s="1121">
        <f>AO348+AO349</f>
        <v/>
      </c>
      <c r="AP398" s="109">
        <f>AP348+AP349</f>
        <v/>
      </c>
      <c r="AQ398" s="109">
        <f>AQ348+AQ349</f>
        <v/>
      </c>
      <c r="AR398" s="109">
        <f>AR348+AR349</f>
        <v/>
      </c>
      <c r="AS398" s="109">
        <f>AS348+AS349</f>
        <v/>
      </c>
      <c r="AT398" s="1121">
        <f>AT348+AT349</f>
        <v/>
      </c>
      <c r="AU398" s="109">
        <f>AU348+AU349</f>
        <v/>
      </c>
      <c r="AV398" s="109">
        <f>AV348+AV349</f>
        <v/>
      </c>
      <c r="AW398" s="109">
        <f>AW348+AW349</f>
        <v/>
      </c>
      <c r="AX398" s="109">
        <f>AX348+AX349</f>
        <v/>
      </c>
      <c r="AY398" s="1121">
        <f>AY348+AY349</f>
        <v/>
      </c>
      <c r="AZ398" s="109">
        <f>AZ348+AZ349</f>
        <v/>
      </c>
      <c r="BA398" s="109">
        <f>BA348+BA349</f>
        <v/>
      </c>
      <c r="BB398" s="109">
        <f>BB348+BB349</f>
        <v/>
      </c>
      <c r="BC398" s="109">
        <f>BC348+BC349</f>
        <v/>
      </c>
      <c r="BD398" s="1121">
        <f>BD348+BD349</f>
        <v/>
      </c>
      <c r="BE398" s="109">
        <f>BE348+BE349</f>
        <v/>
      </c>
      <c r="BF398" s="109">
        <f>BF348+BF349</f>
        <v/>
      </c>
      <c r="BG398" s="109">
        <f>BG348+BG349</f>
        <v/>
      </c>
      <c r="BH398" s="109">
        <f>BH348+BH349</f>
        <v/>
      </c>
      <c r="BI398" s="1121">
        <f>BI348+BI349</f>
        <v/>
      </c>
      <c r="BJ398" s="109">
        <f>BJ348+BJ349</f>
        <v/>
      </c>
      <c r="BK398" s="109">
        <f>BK348+BK349</f>
        <v/>
      </c>
      <c r="BL398" s="109">
        <f>BL348+BL349</f>
        <v/>
      </c>
      <c r="BM398" s="109">
        <f>BM348+BM349</f>
        <v/>
      </c>
      <c r="BN398" s="1121">
        <f>BN348+BN349</f>
        <v/>
      </c>
      <c r="BO398" s="109">
        <f>BO348+BO349</f>
        <v/>
      </c>
      <c r="BP398" s="109">
        <f>BP348+BP349</f>
        <v/>
      </c>
      <c r="BQ398" s="109">
        <f>BQ348+BQ349</f>
        <v/>
      </c>
      <c r="BR398" s="109">
        <f>BR348+BR349</f>
        <v/>
      </c>
      <c r="BS398" s="1121">
        <f>BS348+BS349</f>
        <v/>
      </c>
      <c r="BT398" s="109">
        <f>BT348+BT349</f>
        <v/>
      </c>
      <c r="BU398" s="109">
        <f>BU348+BU349</f>
        <v/>
      </c>
      <c r="BV398" s="730">
        <f>BV348+BV349</f>
        <v/>
      </c>
      <c r="BW398" s="1060" t="n">
        <v>0</v>
      </c>
      <c r="BX398" s="1152">
        <f>SUM(BT398,BU398,BV398,BW398)</f>
        <v/>
      </c>
      <c r="BY398" s="1060" t="n">
        <v>0</v>
      </c>
      <c r="BZ398" s="1060" t="n">
        <v>0</v>
      </c>
      <c r="CA398" s="1060" t="n">
        <v>0</v>
      </c>
      <c r="CB398" s="1060" t="n">
        <v>0</v>
      </c>
      <c r="CC398" s="1152">
        <f>SUM(BY398,BZ398,CA398,CB398)</f>
        <v/>
      </c>
      <c r="CD398" s="1161" t="n">
        <v>0</v>
      </c>
      <c r="CE398" s="1161" t="n">
        <v>0</v>
      </c>
      <c r="CF398" s="1161" t="n">
        <v>0</v>
      </c>
      <c r="CG398" s="155" t="n"/>
    </row>
    <row r="399" collapsed="1">
      <c r="A399" s="462" t="inlineStr">
        <is>
          <t>Non-GAAP Net Interest Expense</t>
        </is>
      </c>
      <c r="B399" s="146" t="n"/>
      <c r="C399" s="1112">
        <f>C397-C398</f>
        <v/>
      </c>
      <c r="D399" s="1112">
        <f>D397-D398</f>
        <v/>
      </c>
      <c r="E399" s="1112">
        <f>E397-E398</f>
        <v/>
      </c>
      <c r="F399" s="1112">
        <f>F397-F398</f>
        <v/>
      </c>
      <c r="G399" s="27">
        <f>G397-G398</f>
        <v/>
      </c>
      <c r="H399" s="27">
        <f>H397-H398</f>
        <v/>
      </c>
      <c r="I399" s="27">
        <f>I397-I398</f>
        <v/>
      </c>
      <c r="J399" s="27">
        <f>J397-J398</f>
        <v/>
      </c>
      <c r="K399" s="1112">
        <f>K397-K398</f>
        <v/>
      </c>
      <c r="L399" s="27">
        <f>L397-L398</f>
        <v/>
      </c>
      <c r="M399" s="27">
        <f>M397-M398</f>
        <v/>
      </c>
      <c r="N399" s="27">
        <f>N397-N398</f>
        <v/>
      </c>
      <c r="O399" s="27">
        <f>O397-O398</f>
        <v/>
      </c>
      <c r="P399" s="1112">
        <f>P397-P398</f>
        <v/>
      </c>
      <c r="Q399" s="27">
        <f>Q397-Q398</f>
        <v/>
      </c>
      <c r="R399" s="27">
        <f>R397-R398</f>
        <v/>
      </c>
      <c r="S399" s="27">
        <f>S397-S398</f>
        <v/>
      </c>
      <c r="T399" s="27">
        <f>T397-T398</f>
        <v/>
      </c>
      <c r="U399" s="1112">
        <f>U397-U398</f>
        <v/>
      </c>
      <c r="V399" s="27">
        <f>V397-V398</f>
        <v/>
      </c>
      <c r="W399" s="27">
        <f>W397-W398</f>
        <v/>
      </c>
      <c r="X399" s="27">
        <f>X397-X398</f>
        <v/>
      </c>
      <c r="Y399" s="27">
        <f>Y397-Y398</f>
        <v/>
      </c>
      <c r="Z399" s="1112">
        <f>Z397-Z398</f>
        <v/>
      </c>
      <c r="AA399" s="27">
        <f>AA397-AA398</f>
        <v/>
      </c>
      <c r="AB399" s="27">
        <f>AB397-AB398</f>
        <v/>
      </c>
      <c r="AC399" s="27">
        <f>AC397-AC398</f>
        <v/>
      </c>
      <c r="AD399" s="27">
        <f>AD397-AD398</f>
        <v/>
      </c>
      <c r="AE399" s="1112">
        <f>AE397-AE398</f>
        <v/>
      </c>
      <c r="AF399" s="27">
        <f>AF397-AF398</f>
        <v/>
      </c>
      <c r="AG399" s="27">
        <f>AG397-AG398</f>
        <v/>
      </c>
      <c r="AH399" s="27">
        <f>AH397-AH398</f>
        <v/>
      </c>
      <c r="AI399" s="27">
        <f>AI397-AI398</f>
        <v/>
      </c>
      <c r="AJ399" s="1112">
        <f>AJ397-AJ398</f>
        <v/>
      </c>
      <c r="AK399" s="27">
        <f>AK397-AK398</f>
        <v/>
      </c>
      <c r="AL399" s="27">
        <f>AL397-AL398</f>
        <v/>
      </c>
      <c r="AM399" s="27">
        <f>AM397-AM398</f>
        <v/>
      </c>
      <c r="AN399" s="27">
        <f>AN397-AN398</f>
        <v/>
      </c>
      <c r="AO399" s="1112">
        <f>AO397-AO398</f>
        <v/>
      </c>
      <c r="AP399" s="27">
        <f>AP397-AP398</f>
        <v/>
      </c>
      <c r="AQ399" s="27">
        <f>AQ397-AQ398</f>
        <v/>
      </c>
      <c r="AR399" s="27">
        <f>AR397-AR398</f>
        <v/>
      </c>
      <c r="AS399" s="27">
        <f>AS397-AS398</f>
        <v/>
      </c>
      <c r="AT399" s="1112">
        <f>AT397-AT398</f>
        <v/>
      </c>
      <c r="AU399" s="27">
        <f>AU397-AU398</f>
        <v/>
      </c>
      <c r="AV399" s="27">
        <f>AV397-AV398</f>
        <v/>
      </c>
      <c r="AW399" s="27">
        <f>AW397-AW398</f>
        <v/>
      </c>
      <c r="AX399" s="27">
        <f>AX397-AX398</f>
        <v/>
      </c>
      <c r="AY399" s="1112">
        <f>AY397-AY398</f>
        <v/>
      </c>
      <c r="AZ399" s="27">
        <f>AZ397-AZ398</f>
        <v/>
      </c>
      <c r="BA399" s="27">
        <f>BA397-BA398</f>
        <v/>
      </c>
      <c r="BB399" s="27">
        <f>BB397-BB398</f>
        <v/>
      </c>
      <c r="BC399" s="27">
        <f>BC397-BC398</f>
        <v/>
      </c>
      <c r="BD399" s="1112">
        <f>BD397-BD398</f>
        <v/>
      </c>
      <c r="BE399" s="27">
        <f>BE397-BE398</f>
        <v/>
      </c>
      <c r="BF399" s="27">
        <f>BF397-BF398</f>
        <v/>
      </c>
      <c r="BG399" s="27">
        <f>BG397-BG398</f>
        <v/>
      </c>
      <c r="BH399" s="27">
        <f>BH397-BH398</f>
        <v/>
      </c>
      <c r="BI399" s="1112">
        <f>BI397-BI398</f>
        <v/>
      </c>
      <c r="BJ399" s="27">
        <f>BJ397-BJ398</f>
        <v/>
      </c>
      <c r="BK399" s="27">
        <f>BK397-BK398</f>
        <v/>
      </c>
      <c r="BL399" s="27">
        <f>BL397-BL398</f>
        <v/>
      </c>
      <c r="BM399" s="27">
        <f>BM397-BM398</f>
        <v/>
      </c>
      <c r="BN399" s="1112">
        <f>BN397-BN398</f>
        <v/>
      </c>
      <c r="BO399" s="27">
        <f>BO397-BO398</f>
        <v/>
      </c>
      <c r="BP399" s="27">
        <f>BP397-BP398</f>
        <v/>
      </c>
      <c r="BQ399" s="27">
        <f>BQ397-BQ398</f>
        <v/>
      </c>
      <c r="BR399" s="27">
        <f>BR397-BR398</f>
        <v/>
      </c>
      <c r="BS399" s="1112">
        <f>BS397-BS398</f>
        <v/>
      </c>
      <c r="BT399" s="27">
        <f>BT397-BT398</f>
        <v/>
      </c>
      <c r="BU399" s="27">
        <f>BU397-BU398</f>
        <v/>
      </c>
      <c r="BV399" s="508">
        <f>BV397-BV398</f>
        <v/>
      </c>
      <c r="BW399" s="68">
        <f>BW397-BW398</f>
        <v/>
      </c>
      <c r="BX399" s="1151">
        <f>BX397-BX398</f>
        <v/>
      </c>
      <c r="BY399" s="68">
        <f>BY397-BY398</f>
        <v/>
      </c>
      <c r="BZ399" s="68">
        <f>BZ397-BZ398</f>
        <v/>
      </c>
      <c r="CA399" s="68">
        <f>CA397-CA398</f>
        <v/>
      </c>
      <c r="CB399" s="68">
        <f>CB397-CB398</f>
        <v/>
      </c>
      <c r="CC399" s="1151">
        <f>CC397-CC398</f>
        <v/>
      </c>
      <c r="CD399" s="1151">
        <f>CD397-CD398</f>
        <v/>
      </c>
      <c r="CE399" s="1151">
        <f>CE397-CE398</f>
        <v/>
      </c>
      <c r="CF399" s="1151">
        <f>CF397-CF398</f>
        <v/>
      </c>
      <c r="CG399" s="155" t="n"/>
    </row>
    <row r="400">
      <c r="A400" s="145" t="inlineStr">
        <is>
          <t>GAAP Other Items</t>
        </is>
      </c>
      <c r="B400" s="146" t="n"/>
      <c r="C400" s="1151">
        <f>-C304</f>
        <v/>
      </c>
      <c r="D400" s="1151">
        <f>-D304</f>
        <v/>
      </c>
      <c r="E400" s="1151">
        <f>-E304</f>
        <v/>
      </c>
      <c r="F400" s="1151">
        <f>-F304</f>
        <v/>
      </c>
      <c r="G400" s="563">
        <f>-G304</f>
        <v/>
      </c>
      <c r="H400" s="563">
        <f>-H304</f>
        <v/>
      </c>
      <c r="I400" s="563">
        <f>-I304</f>
        <v/>
      </c>
      <c r="J400" s="563">
        <f>-J304</f>
        <v/>
      </c>
      <c r="K400" s="1151">
        <f>-K304</f>
        <v/>
      </c>
      <c r="L400" s="563">
        <f>-L304</f>
        <v/>
      </c>
      <c r="M400" s="563">
        <f>-M304</f>
        <v/>
      </c>
      <c r="N400" s="563">
        <f>-N304</f>
        <v/>
      </c>
      <c r="O400" s="563">
        <f>-O304</f>
        <v/>
      </c>
      <c r="P400" s="1151">
        <f>-P304</f>
        <v/>
      </c>
      <c r="Q400" s="563">
        <f>-Q304</f>
        <v/>
      </c>
      <c r="R400" s="563">
        <f>-R304</f>
        <v/>
      </c>
      <c r="S400" s="563">
        <f>-S304</f>
        <v/>
      </c>
      <c r="T400" s="563">
        <f>-T304</f>
        <v/>
      </c>
      <c r="U400" s="1151">
        <f>-U304</f>
        <v/>
      </c>
      <c r="V400" s="563">
        <f>-V304</f>
        <v/>
      </c>
      <c r="W400" s="563">
        <f>-W304</f>
        <v/>
      </c>
      <c r="X400" s="563">
        <f>-X304</f>
        <v/>
      </c>
      <c r="Y400" s="563">
        <f>-Y304</f>
        <v/>
      </c>
      <c r="Z400" s="1151">
        <f>-Z304</f>
        <v/>
      </c>
      <c r="AA400" s="563">
        <f>-AA304</f>
        <v/>
      </c>
      <c r="AB400" s="563">
        <f>-AB304</f>
        <v/>
      </c>
      <c r="AC400" s="563">
        <f>-AC304</f>
        <v/>
      </c>
      <c r="AD400" s="563">
        <f>-AD304</f>
        <v/>
      </c>
      <c r="AE400" s="1151">
        <f>-AE304</f>
        <v/>
      </c>
      <c r="AF400" s="563">
        <f>-AF304</f>
        <v/>
      </c>
      <c r="AG400" s="563">
        <f>-AG304</f>
        <v/>
      </c>
      <c r="AH400" s="563">
        <f>-AH304</f>
        <v/>
      </c>
      <c r="AI400" s="563">
        <f>-AI304</f>
        <v/>
      </c>
      <c r="AJ400" s="1151">
        <f>-AJ304</f>
        <v/>
      </c>
      <c r="AK400" s="563">
        <f>-AK304</f>
        <v/>
      </c>
      <c r="AL400" s="563">
        <f>-AL304</f>
        <v/>
      </c>
      <c r="AM400" s="563">
        <f>-AM304</f>
        <v/>
      </c>
      <c r="AN400" s="563">
        <f>-AN304</f>
        <v/>
      </c>
      <c r="AO400" s="1151">
        <f>-AO304</f>
        <v/>
      </c>
      <c r="AP400" s="563">
        <f>-AP304</f>
        <v/>
      </c>
      <c r="AQ400" s="563">
        <f>-AQ304</f>
        <v/>
      </c>
      <c r="AR400" s="563">
        <f>-AR304</f>
        <v/>
      </c>
      <c r="AS400" s="563">
        <f>-AS304</f>
        <v/>
      </c>
      <c r="AT400" s="1151">
        <f>-AT304</f>
        <v/>
      </c>
      <c r="AU400" s="563">
        <f>-AU304</f>
        <v/>
      </c>
      <c r="AV400" s="563">
        <f>-AV304</f>
        <v/>
      </c>
      <c r="AW400" s="563">
        <f>-AW304</f>
        <v/>
      </c>
      <c r="AX400" s="563">
        <f>-AX304</f>
        <v/>
      </c>
      <c r="AY400" s="1151">
        <f>-AY304</f>
        <v/>
      </c>
      <c r="AZ400" s="563">
        <f>-AZ304</f>
        <v/>
      </c>
      <c r="BA400" s="563">
        <f>-BA304</f>
        <v/>
      </c>
      <c r="BB400" s="563">
        <f>-BB304</f>
        <v/>
      </c>
      <c r="BC400" s="563">
        <f>-BC304</f>
        <v/>
      </c>
      <c r="BD400" s="1151">
        <f>-BD304</f>
        <v/>
      </c>
      <c r="BE400" s="563">
        <f>-BE304</f>
        <v/>
      </c>
      <c r="BF400" s="563">
        <f>-BF304</f>
        <v/>
      </c>
      <c r="BG400" s="563">
        <f>-BG304</f>
        <v/>
      </c>
      <c r="BH400" s="563">
        <f>-BH304</f>
        <v/>
      </c>
      <c r="BI400" s="1151">
        <f>-BI304</f>
        <v/>
      </c>
      <c r="BJ400" s="563">
        <f>-BJ304</f>
        <v/>
      </c>
      <c r="BK400" s="563">
        <f>-BK304</f>
        <v/>
      </c>
      <c r="BL400" s="563">
        <f>-BL304</f>
        <v/>
      </c>
      <c r="BM400" s="563">
        <f>-BM304</f>
        <v/>
      </c>
      <c r="BN400" s="1151">
        <f>-BN304</f>
        <v/>
      </c>
      <c r="BO400" s="563">
        <f>-BO304</f>
        <v/>
      </c>
      <c r="BP400" s="563">
        <f>-BP304</f>
        <v/>
      </c>
      <c r="BQ400" s="563">
        <f>-BQ304</f>
        <v/>
      </c>
      <c r="BR400" s="563">
        <f>-BR304</f>
        <v/>
      </c>
      <c r="BS400" s="1151">
        <f>-BS304</f>
        <v/>
      </c>
      <c r="BT400" s="563">
        <f>-BT304</f>
        <v/>
      </c>
      <c r="BU400" s="563">
        <f>-BU304</f>
        <v/>
      </c>
      <c r="BV400" s="731">
        <f>-BV304</f>
        <v/>
      </c>
      <c r="BW400" s="563">
        <f>BW401+BW402</f>
        <v/>
      </c>
      <c r="BX400" s="1151">
        <f>SUM(BT400,BU400,BV400,BW400)</f>
        <v/>
      </c>
      <c r="BY400" s="563">
        <f>BY401+BY402</f>
        <v/>
      </c>
      <c r="BZ400" s="563">
        <f>BZ401+BZ402</f>
        <v/>
      </c>
      <c r="CA400" s="563">
        <f>CA401+CA402</f>
        <v/>
      </c>
      <c r="CB400" s="563">
        <f>CB401+CB402</f>
        <v/>
      </c>
      <c r="CC400" s="1151">
        <f>SUM(BY400,BZ400,CA400,CB400)</f>
        <v/>
      </c>
      <c r="CD400" s="1151">
        <f>CD401+CD402</f>
        <v/>
      </c>
      <c r="CE400" s="1151">
        <f>CE401+CE402</f>
        <v/>
      </c>
      <c r="CF400" s="1151">
        <f>CF401+CF402</f>
        <v/>
      </c>
      <c r="CG400" s="155" t="n"/>
    </row>
    <row r="401">
      <c r="A401" s="148" t="inlineStr">
        <is>
          <t>Non-GAAP Adjustments to Other Items</t>
        </is>
      </c>
      <c r="B401" s="149" t="n"/>
      <c r="C401" s="1152">
        <f>ROUND(C400-C402,6)</f>
        <v/>
      </c>
      <c r="D401" s="1152">
        <f>ROUND(D400-D402,6)</f>
        <v/>
      </c>
      <c r="E401" s="1152">
        <f>ROUND(E400-E402,6)</f>
        <v/>
      </c>
      <c r="F401" s="1152">
        <f>ROUND(F400-F402,6)</f>
        <v/>
      </c>
      <c r="G401" s="659">
        <f>ROUND(G400-G402,6)</f>
        <v/>
      </c>
      <c r="H401" s="659">
        <f>ROUND(H400-H402,6)</f>
        <v/>
      </c>
      <c r="I401" s="659">
        <f>ROUND(I400-I402,6)</f>
        <v/>
      </c>
      <c r="J401" s="659">
        <f>ROUND(J400-J402,6)</f>
        <v/>
      </c>
      <c r="K401" s="1152">
        <f>ROUND(K400-K402,6)</f>
        <v/>
      </c>
      <c r="L401" s="659">
        <f>ROUND(L400-L402,6)</f>
        <v/>
      </c>
      <c r="M401" s="659">
        <f>ROUND(M400-M402,6)</f>
        <v/>
      </c>
      <c r="N401" s="659">
        <f>ROUND(N400-N402,6)</f>
        <v/>
      </c>
      <c r="O401" s="659">
        <f>ROUND(O400-O402,6)</f>
        <v/>
      </c>
      <c r="P401" s="1152">
        <f>ROUND(P400-P402,6)</f>
        <v/>
      </c>
      <c r="Q401" s="659">
        <f>ROUND(Q400-Q402,6)</f>
        <v/>
      </c>
      <c r="R401" s="659">
        <f>ROUND(R400-R402,6)</f>
        <v/>
      </c>
      <c r="S401" s="659">
        <f>ROUND(S400-S402,6)</f>
        <v/>
      </c>
      <c r="T401" s="659">
        <f>ROUND(T400-T402,6)</f>
        <v/>
      </c>
      <c r="U401" s="1152">
        <f>ROUND(U400-U402,6)</f>
        <v/>
      </c>
      <c r="V401" s="659">
        <f>ROUND(V400-V402,6)</f>
        <v/>
      </c>
      <c r="W401" s="659">
        <f>ROUND(W400-W402,6)</f>
        <v/>
      </c>
      <c r="X401" s="659">
        <f>ROUND(X400-X402,6)</f>
        <v/>
      </c>
      <c r="Y401" s="659">
        <f>ROUND(Y400-Y402,6)</f>
        <v/>
      </c>
      <c r="Z401" s="1152">
        <f>ROUND(Z400-Z402,6)</f>
        <v/>
      </c>
      <c r="AA401" s="659">
        <f>ROUND(AA400-AA402,6)</f>
        <v/>
      </c>
      <c r="AB401" s="659">
        <f>ROUND(AB400-AB402,6)</f>
        <v/>
      </c>
      <c r="AC401" s="659">
        <f>ROUND(AC400-AC402,6)</f>
        <v/>
      </c>
      <c r="AD401" s="659">
        <f>ROUND(AD400-AD402,6)</f>
        <v/>
      </c>
      <c r="AE401" s="1152">
        <f>ROUND(AE400-AE402,6)</f>
        <v/>
      </c>
      <c r="AF401" s="659">
        <f>ROUND(AF400-AF402,6)</f>
        <v/>
      </c>
      <c r="AG401" s="659">
        <f>ROUND(AG400-AG402,6)</f>
        <v/>
      </c>
      <c r="AH401" s="659">
        <f>ROUND(AH400-AH402,6)</f>
        <v/>
      </c>
      <c r="AI401" s="659">
        <f>ROUND(AI400-AI402,6)</f>
        <v/>
      </c>
      <c r="AJ401" s="1152">
        <f>ROUND(AJ400-AJ402,6)</f>
        <v/>
      </c>
      <c r="AK401" s="659">
        <f>ROUND(AK400-AK402,6)</f>
        <v/>
      </c>
      <c r="AL401" s="659">
        <f>ROUND(AL400-AL402,6)</f>
        <v/>
      </c>
      <c r="AM401" s="659">
        <f>ROUND(AM400-AM402,6)</f>
        <v/>
      </c>
      <c r="AN401" s="659">
        <f>ROUND(AN400-AN402,6)</f>
        <v/>
      </c>
      <c r="AO401" s="1152">
        <f>ROUND(AO400-AO402,6)</f>
        <v/>
      </c>
      <c r="AP401" s="659">
        <f>ROUND(AP400-AP402,6)</f>
        <v/>
      </c>
      <c r="AQ401" s="659">
        <f>ROUND(AQ400-AQ402,6)</f>
        <v/>
      </c>
      <c r="AR401" s="659">
        <f>ROUND(AR400-AR402,6)</f>
        <v/>
      </c>
      <c r="AS401" s="659">
        <f>ROUND(AS400-AS402,6)</f>
        <v/>
      </c>
      <c r="AT401" s="1152">
        <f>ROUND(AT400-AT402,6)</f>
        <v/>
      </c>
      <c r="AU401" s="659">
        <f>ROUND(AU400-AU402,6)</f>
        <v/>
      </c>
      <c r="AV401" s="659">
        <f>ROUND(AV400-AV402,6)</f>
        <v/>
      </c>
      <c r="AW401" s="659">
        <f>ROUND(AW400-AW402,6)</f>
        <v/>
      </c>
      <c r="AX401" s="659">
        <f>ROUND(AX400-AX402,6)</f>
        <v/>
      </c>
      <c r="AY401" s="1152">
        <f>ROUND(AY400-AY402,6)</f>
        <v/>
      </c>
      <c r="AZ401" s="659">
        <f>ROUND(AZ400-AZ402,6)</f>
        <v/>
      </c>
      <c r="BA401" s="659">
        <f>ROUND(BA400-BA402,6)</f>
        <v/>
      </c>
      <c r="BB401" s="659">
        <f>ROUND(BB400-BB402,6)</f>
        <v/>
      </c>
      <c r="BC401" s="659">
        <f>ROUND(BC400-BC402,6)</f>
        <v/>
      </c>
      <c r="BD401" s="1152">
        <f>ROUND(BD400-BD402,6)</f>
        <v/>
      </c>
      <c r="BE401" s="659">
        <f>ROUND(BE400-BE402,6)</f>
        <v/>
      </c>
      <c r="BF401" s="659">
        <f>ROUND(BF400-BF402,6)</f>
        <v/>
      </c>
      <c r="BG401" s="659">
        <f>ROUND(BG400-BG402,6)</f>
        <v/>
      </c>
      <c r="BH401" s="659">
        <f>ROUND(BH400-BH402,6)</f>
        <v/>
      </c>
      <c r="BI401" s="1152">
        <f>ROUND(BI400-BI402,6)</f>
        <v/>
      </c>
      <c r="BJ401" s="659">
        <f>ROUND(BJ400-BJ402,6)</f>
        <v/>
      </c>
      <c r="BK401" s="659">
        <f>ROUND(BK400-BK402,6)</f>
        <v/>
      </c>
      <c r="BL401" s="659">
        <f>ROUND(BL400-BL402,6)</f>
        <v/>
      </c>
      <c r="BM401" s="659">
        <f>ROUND(BM400-BM402,6)</f>
        <v/>
      </c>
      <c r="BN401" s="1152">
        <f>ROUND(BN400-BN402,6)</f>
        <v/>
      </c>
      <c r="BO401" s="659">
        <f>ROUND(BO400-BO402,6)</f>
        <v/>
      </c>
      <c r="BP401" s="659">
        <f>ROUND(BP400-BP402,6)</f>
        <v/>
      </c>
      <c r="BQ401" s="659">
        <f>ROUND(BQ400-BQ402,6)</f>
        <v/>
      </c>
      <c r="BR401" s="659">
        <f>ROUND(BR400-BR402,6)</f>
        <v/>
      </c>
      <c r="BS401" s="1152">
        <f>ROUND(BS400-BS402,6)</f>
        <v/>
      </c>
      <c r="BT401" s="659">
        <f>ROUND(BT400-BT402,6)</f>
        <v/>
      </c>
      <c r="BU401" s="659">
        <f>ROUND(BU400-BU402,6)</f>
        <v/>
      </c>
      <c r="BV401" s="895">
        <f>ROUND(BV400-BV402,6)</f>
        <v/>
      </c>
      <c r="BW401" s="1070" t="n">
        <v>0</v>
      </c>
      <c r="BX401" s="1152">
        <f>SUM(BT401,BU401,BV401,BW401)</f>
        <v/>
      </c>
      <c r="BY401" s="1070" t="n">
        <v>0</v>
      </c>
      <c r="BZ401" s="1070" t="n">
        <v>0</v>
      </c>
      <c r="CA401" s="1070" t="n">
        <v>0</v>
      </c>
      <c r="CB401" s="1070" t="n">
        <v>0</v>
      </c>
      <c r="CC401" s="1152">
        <f>SUM(BY401,BZ401,CA401,CB401)</f>
        <v/>
      </c>
      <c r="CD401" s="1161" t="n">
        <v>0</v>
      </c>
      <c r="CE401" s="1161" t="n">
        <v>0</v>
      </c>
      <c r="CF401" s="1161" t="n">
        <v>0</v>
      </c>
      <c r="CG401" s="155" t="n"/>
    </row>
    <row r="402">
      <c r="A402" s="67" t="inlineStr">
        <is>
          <t>Non-GAAP Other Items</t>
        </is>
      </c>
      <c r="B402" s="146" t="n"/>
      <c r="C402" s="1112">
        <f>C388-C403-C399</f>
        <v/>
      </c>
      <c r="D402" s="1112">
        <f>D388-D403-D399</f>
        <v/>
      </c>
      <c r="E402" s="1112">
        <f>E388-E403-E399</f>
        <v/>
      </c>
      <c r="F402" s="1112">
        <f>F388-F403-F399</f>
        <v/>
      </c>
      <c r="G402" s="27">
        <f>G388-G403-G399</f>
        <v/>
      </c>
      <c r="H402" s="27">
        <f>H388-H403-H399</f>
        <v/>
      </c>
      <c r="I402" s="27">
        <f>I388-I403-I399</f>
        <v/>
      </c>
      <c r="J402" s="27">
        <f>J388-J403-J399</f>
        <v/>
      </c>
      <c r="K402" s="1112">
        <f>K388-K403-K399</f>
        <v/>
      </c>
      <c r="L402" s="27">
        <f>L388-L403-L399</f>
        <v/>
      </c>
      <c r="M402" s="27">
        <f>M388-M403-M399</f>
        <v/>
      </c>
      <c r="N402" s="27">
        <f>N388-N403-N399</f>
        <v/>
      </c>
      <c r="O402" s="27">
        <f>O388-O403-O399</f>
        <v/>
      </c>
      <c r="P402" s="1112">
        <f>P388-P403-P399</f>
        <v/>
      </c>
      <c r="Q402" s="27">
        <f>Q388-Q403-Q399</f>
        <v/>
      </c>
      <c r="R402" s="27">
        <f>R388-R403-R399</f>
        <v/>
      </c>
      <c r="S402" s="27">
        <f>S388-S403-S399</f>
        <v/>
      </c>
      <c r="T402" s="27">
        <f>T388-T403-T399</f>
        <v/>
      </c>
      <c r="U402" s="1112">
        <f>U388-U403-U399</f>
        <v/>
      </c>
      <c r="V402" s="27">
        <f>V388-V403-V399</f>
        <v/>
      </c>
      <c r="W402" s="27">
        <f>W388-W403-W399</f>
        <v/>
      </c>
      <c r="X402" s="27">
        <f>X388-X403-X399</f>
        <v/>
      </c>
      <c r="Y402" s="27">
        <f>Y388-Y403-Y399</f>
        <v/>
      </c>
      <c r="Z402" s="1112">
        <f>Z388-Z403-Z399</f>
        <v/>
      </c>
      <c r="AA402" s="27">
        <f>AA388-AA403-AA399</f>
        <v/>
      </c>
      <c r="AB402" s="27">
        <f>AB388-AB403-AB399</f>
        <v/>
      </c>
      <c r="AC402" s="27">
        <f>AC388-AC403-AC399</f>
        <v/>
      </c>
      <c r="AD402" s="27">
        <f>AD388-AD403-AD399</f>
        <v/>
      </c>
      <c r="AE402" s="1112">
        <f>AE388-AE403-AE399</f>
        <v/>
      </c>
      <c r="AF402" s="27">
        <f>AF388-AF403-AF399</f>
        <v/>
      </c>
      <c r="AG402" s="27">
        <f>AG388-AG403-AG399</f>
        <v/>
      </c>
      <c r="AH402" s="27">
        <f>AH388-AH403-AH399</f>
        <v/>
      </c>
      <c r="AI402" s="27">
        <f>AI388-AI403-AI399</f>
        <v/>
      </c>
      <c r="AJ402" s="1112">
        <f>AJ388-AJ403-AJ399</f>
        <v/>
      </c>
      <c r="AK402" s="27">
        <f>AK388-AK403-AK399</f>
        <v/>
      </c>
      <c r="AL402" s="27">
        <f>AL388-AL403-AL399</f>
        <v/>
      </c>
      <c r="AM402" s="27">
        <f>AM388-AM403-AM399</f>
        <v/>
      </c>
      <c r="AN402" s="27">
        <f>AN388-AN403-AN399</f>
        <v/>
      </c>
      <c r="AO402" s="1112">
        <f>AO388-AO403-AO399</f>
        <v/>
      </c>
      <c r="AP402" s="27">
        <f>AP388-AP403-AP399</f>
        <v/>
      </c>
      <c r="AQ402" s="27">
        <f>AQ388-AQ403-AQ399</f>
        <v/>
      </c>
      <c r="AR402" s="27">
        <f>AR388-AR403-AR399</f>
        <v/>
      </c>
      <c r="AS402" s="27">
        <f>AS388-AS403-AS399</f>
        <v/>
      </c>
      <c r="AT402" s="1112">
        <f>AT388-AT403-AT399</f>
        <v/>
      </c>
      <c r="AU402" s="27">
        <f>AU388-AU403-AU399</f>
        <v/>
      </c>
      <c r="AV402" s="27">
        <f>AV388-AV403-AV399</f>
        <v/>
      </c>
      <c r="AW402" s="27">
        <f>AW388-AW403-AW399</f>
        <v/>
      </c>
      <c r="AX402" s="27">
        <f>AX388-AX403-AX399</f>
        <v/>
      </c>
      <c r="AY402" s="1112">
        <f>AY388-AY403-AY399</f>
        <v/>
      </c>
      <c r="AZ402" s="27">
        <f>AZ388-AZ403-AZ399</f>
        <v/>
      </c>
      <c r="BA402" s="27">
        <f>BA388-BA403-BA399</f>
        <v/>
      </c>
      <c r="BB402" s="27">
        <f>BB388-BB403-BB399</f>
        <v/>
      </c>
      <c r="BC402" s="27">
        <f>BC388-BC403-BC399</f>
        <v/>
      </c>
      <c r="BD402" s="1112">
        <f>BD388-BD403-BD399</f>
        <v/>
      </c>
      <c r="BE402" s="27">
        <f>BE388-BE403-BE399</f>
        <v/>
      </c>
      <c r="BF402" s="27">
        <f>BF388-BF403-BF399</f>
        <v/>
      </c>
      <c r="BG402" s="27">
        <f>BG388-BG403-BG399</f>
        <v/>
      </c>
      <c r="BH402" s="27">
        <f>BH388-BH403-BH399</f>
        <v/>
      </c>
      <c r="BI402" s="1112">
        <f>BI388-BI403-BI399</f>
        <v/>
      </c>
      <c r="BJ402" s="27">
        <f>BJ388-BJ403-BJ399</f>
        <v/>
      </c>
      <c r="BK402" s="27">
        <f>BK388-BK403-BK399</f>
        <v/>
      </c>
      <c r="BL402" s="27">
        <f>BL388-BL403-BL399</f>
        <v/>
      </c>
      <c r="BM402" s="27">
        <f>BM388-BM403-BM399</f>
        <v/>
      </c>
      <c r="BN402" s="1112">
        <f>BN388-BN403-BN399</f>
        <v/>
      </c>
      <c r="BO402" s="27">
        <f>BO388-BO403-BO399</f>
        <v/>
      </c>
      <c r="BP402" s="27">
        <f>BP388-BP403-BP399</f>
        <v/>
      </c>
      <c r="BQ402" s="27">
        <f>BQ388-BQ403-BQ399</f>
        <v/>
      </c>
      <c r="BR402" s="27">
        <f>BR388-BR403-BR399</f>
        <v/>
      </c>
      <c r="BS402" s="1112">
        <f>BS388-BS403-BS399</f>
        <v/>
      </c>
      <c r="BT402" s="27">
        <f>BT388-BT403-BT399</f>
        <v/>
      </c>
      <c r="BU402" s="27">
        <f>BU388-BU403-BU399</f>
        <v/>
      </c>
      <c r="BV402" s="508">
        <f>BV388-BV403-BV399</f>
        <v/>
      </c>
      <c r="BW402" s="1053" t="n">
        <v>191</v>
      </c>
      <c r="BX402" s="1151">
        <f>SUM(BT402,BU402,BV402,BW402)</f>
        <v/>
      </c>
      <c r="BY402" s="1053" t="n">
        <v>800</v>
      </c>
      <c r="BZ402" s="1053" t="n">
        <v>1010</v>
      </c>
      <c r="CA402" s="1053" t="n">
        <v>1175</v>
      </c>
      <c r="CB402" s="1053" t="n">
        <v>3000</v>
      </c>
      <c r="CC402" s="1151">
        <f>SUM(BY402,BZ402,CA402,CB402)</f>
        <v/>
      </c>
      <c r="CD402" s="1162" t="n">
        <v>12</v>
      </c>
      <c r="CE402" s="1162" t="n">
        <v>12</v>
      </c>
      <c r="CF402" s="1162" t="n">
        <v>12</v>
      </c>
      <c r="CG402" s="155" t="n"/>
    </row>
    <row r="403">
      <c r="A403" s="59" t="inlineStr">
        <is>
          <t>Non-GAAP Earnings before Taxes</t>
        </is>
      </c>
      <c r="B403" s="607" t="n"/>
      <c r="C403" s="1123">
        <f>C407+C406</f>
        <v/>
      </c>
      <c r="D403" s="1123">
        <f>D407+D406</f>
        <v/>
      </c>
      <c r="E403" s="1123">
        <f>E407+E406</f>
        <v/>
      </c>
      <c r="F403" s="1123">
        <f>F407+F406</f>
        <v/>
      </c>
      <c r="G403" s="60">
        <f>G407+G406</f>
        <v/>
      </c>
      <c r="H403" s="60">
        <f>H407+H406</f>
        <v/>
      </c>
      <c r="I403" s="60">
        <f>I407+I406</f>
        <v/>
      </c>
      <c r="J403" s="60">
        <f>J407+J406</f>
        <v/>
      </c>
      <c r="K403" s="1123">
        <f>K407+K406</f>
        <v/>
      </c>
      <c r="L403" s="60">
        <f>L407+L406</f>
        <v/>
      </c>
      <c r="M403" s="60">
        <f>M407+M406</f>
        <v/>
      </c>
      <c r="N403" s="60">
        <f>N407+N406</f>
        <v/>
      </c>
      <c r="O403" s="60">
        <f>O407+O406</f>
        <v/>
      </c>
      <c r="P403" s="1123">
        <f>P407+P406</f>
        <v/>
      </c>
      <c r="Q403" s="60">
        <f>Q407+Q406</f>
        <v/>
      </c>
      <c r="R403" s="60">
        <f>R407+R406</f>
        <v/>
      </c>
      <c r="S403" s="60">
        <f>S407+S406</f>
        <v/>
      </c>
      <c r="T403" s="60">
        <f>T407+T406</f>
        <v/>
      </c>
      <c r="U403" s="1123">
        <f>U407+U406</f>
        <v/>
      </c>
      <c r="V403" s="60">
        <f>V407+V406</f>
        <v/>
      </c>
      <c r="W403" s="60">
        <f>W407+W406</f>
        <v/>
      </c>
      <c r="X403" s="60">
        <f>X407+X406</f>
        <v/>
      </c>
      <c r="Y403" s="60">
        <f>Y407+Y406</f>
        <v/>
      </c>
      <c r="Z403" s="1123">
        <f>Z407+Z406</f>
        <v/>
      </c>
      <c r="AA403" s="60">
        <f>AA407+AA406</f>
        <v/>
      </c>
      <c r="AB403" s="60">
        <f>AB407+AB406</f>
        <v/>
      </c>
      <c r="AC403" s="60">
        <f>AC407+AC406</f>
        <v/>
      </c>
      <c r="AD403" s="60">
        <f>AD407+AD406</f>
        <v/>
      </c>
      <c r="AE403" s="1123">
        <f>AE407+AE406</f>
        <v/>
      </c>
      <c r="AF403" s="60">
        <f>AF407+AF406</f>
        <v/>
      </c>
      <c r="AG403" s="60">
        <f>AG407+AG406</f>
        <v/>
      </c>
      <c r="AH403" s="568">
        <f>AH407+AH406</f>
        <v/>
      </c>
      <c r="AI403" s="60">
        <f>AI407+AI406</f>
        <v/>
      </c>
      <c r="AJ403" s="1123">
        <f>AJ407+AJ406</f>
        <v/>
      </c>
      <c r="AK403" s="568">
        <f>AK407+AK406</f>
        <v/>
      </c>
      <c r="AL403" s="60">
        <f>AL407+AL406</f>
        <v/>
      </c>
      <c r="AM403" s="568">
        <f>AM407+AM406</f>
        <v/>
      </c>
      <c r="AN403" s="60">
        <f>AN407+AN406</f>
        <v/>
      </c>
      <c r="AO403" s="1123">
        <f>AO407+AO406</f>
        <v/>
      </c>
      <c r="AP403" s="568">
        <f>AP407+AP406</f>
        <v/>
      </c>
      <c r="AQ403" s="60">
        <f>AQ407+AQ406</f>
        <v/>
      </c>
      <c r="AR403" s="568">
        <f>AR407+AR406</f>
        <v/>
      </c>
      <c r="AS403" s="60">
        <f>AS407+AS406</f>
        <v/>
      </c>
      <c r="AT403" s="1123">
        <f>AT407+AT406</f>
        <v/>
      </c>
      <c r="AU403" s="568">
        <f>AU407+AU406</f>
        <v/>
      </c>
      <c r="AV403" s="60">
        <f>AV407+AV406</f>
        <v/>
      </c>
      <c r="AW403" s="568">
        <f>AW407+AW406</f>
        <v/>
      </c>
      <c r="AX403" s="60">
        <f>AX407+AX406</f>
        <v/>
      </c>
      <c r="AY403" s="1123">
        <f>AY407+AY406</f>
        <v/>
      </c>
      <c r="AZ403" s="568">
        <f>AZ407+AZ406</f>
        <v/>
      </c>
      <c r="BA403" s="60">
        <f>BA407+BA406</f>
        <v/>
      </c>
      <c r="BB403" s="568">
        <f>BB407+BB406</f>
        <v/>
      </c>
      <c r="BC403" s="60">
        <f>BC407+BC406</f>
        <v/>
      </c>
      <c r="BD403" s="1123">
        <f>BD407+BD406</f>
        <v/>
      </c>
      <c r="BE403" s="568">
        <f>BE407+BE406</f>
        <v/>
      </c>
      <c r="BF403" s="60">
        <f>BF407+BF406</f>
        <v/>
      </c>
      <c r="BG403" s="568">
        <f>BG407+BG406</f>
        <v/>
      </c>
      <c r="BH403" s="60">
        <f>BH407+BH406</f>
        <v/>
      </c>
      <c r="BI403" s="1123">
        <f>BI407+BI406</f>
        <v/>
      </c>
      <c r="BJ403" s="568">
        <f>BJ407+BJ406</f>
        <v/>
      </c>
      <c r="BK403" s="60">
        <f>BK407+BK406</f>
        <v/>
      </c>
      <c r="BL403" s="568">
        <f>BL407+BL406</f>
        <v/>
      </c>
      <c r="BM403" s="60">
        <f>BM407+BM406</f>
        <v/>
      </c>
      <c r="BN403" s="1123">
        <f>BN407+BN406</f>
        <v/>
      </c>
      <c r="BO403" s="568">
        <f>BO407+BO406</f>
        <v/>
      </c>
      <c r="BP403" s="60">
        <f>BP407+BP406</f>
        <v/>
      </c>
      <c r="BQ403" s="568">
        <f>BQ407+BQ406</f>
        <v/>
      </c>
      <c r="BR403" s="60">
        <f>BR407+BR406</f>
        <v/>
      </c>
      <c r="BS403" s="1123">
        <f>BS407+BS406</f>
        <v/>
      </c>
      <c r="BT403" s="568">
        <f>BT407+BT406</f>
        <v/>
      </c>
      <c r="BU403" s="60">
        <f>BU407+BU406</f>
        <v/>
      </c>
      <c r="BV403" s="1025">
        <f>BV407+BV406</f>
        <v/>
      </c>
      <c r="BW403" s="569">
        <f>BW388-BW399-BW402</f>
        <v/>
      </c>
      <c r="BX403" s="1163">
        <f>BX388-BX399-BX402</f>
        <v/>
      </c>
      <c r="BY403" s="569">
        <f>BY388-BY399-BY402</f>
        <v/>
      </c>
      <c r="BZ403" s="569">
        <f>BZ388-BZ399-BZ402</f>
        <v/>
      </c>
      <c r="CA403" s="569">
        <f>CA388-CA399-CA402</f>
        <v/>
      </c>
      <c r="CB403" s="569">
        <f>CB388-CB399-CB402</f>
        <v/>
      </c>
      <c r="CC403" s="1163">
        <f>CC388-CC399-CC402</f>
        <v/>
      </c>
      <c r="CD403" s="1163">
        <f>CD388-CD399-CD402</f>
        <v/>
      </c>
      <c r="CE403" s="1163">
        <f>CE388-CE399-CE402</f>
        <v/>
      </c>
      <c r="CF403" s="1163">
        <f>CF388-CF399-CF402</f>
        <v/>
      </c>
      <c r="CG403" s="155" t="n"/>
    </row>
    <row r="404" hidden="1" outlineLevel="1">
      <c r="A404" s="661" t="inlineStr">
        <is>
          <t>GAAP Provision for Taxes</t>
        </is>
      </c>
      <c r="B404" s="571" t="n"/>
      <c r="C404" s="1160">
        <f>C306</f>
        <v/>
      </c>
      <c r="D404" s="1160">
        <f>D306</f>
        <v/>
      </c>
      <c r="E404" s="1160">
        <f>E306</f>
        <v/>
      </c>
      <c r="F404" s="1160">
        <f>F306</f>
        <v/>
      </c>
      <c r="G404" s="662">
        <f>G306</f>
        <v/>
      </c>
      <c r="H404" s="662">
        <f>H306</f>
        <v/>
      </c>
      <c r="I404" s="662">
        <f>I306</f>
        <v/>
      </c>
      <c r="J404" s="662">
        <f>J306</f>
        <v/>
      </c>
      <c r="K404" s="1160">
        <f>K306</f>
        <v/>
      </c>
      <c r="L404" s="662">
        <f>L306</f>
        <v/>
      </c>
      <c r="M404" s="662">
        <f>M306</f>
        <v/>
      </c>
      <c r="N404" s="662">
        <f>N306</f>
        <v/>
      </c>
      <c r="O404" s="662">
        <f>O306</f>
        <v/>
      </c>
      <c r="P404" s="1160">
        <f>P306</f>
        <v/>
      </c>
      <c r="Q404" s="662">
        <f>Q306</f>
        <v/>
      </c>
      <c r="R404" s="662">
        <f>R306</f>
        <v/>
      </c>
      <c r="S404" s="662">
        <f>S306</f>
        <v/>
      </c>
      <c r="T404" s="662">
        <f>T306</f>
        <v/>
      </c>
      <c r="U404" s="1160">
        <f>U306</f>
        <v/>
      </c>
      <c r="V404" s="662">
        <f>V306</f>
        <v/>
      </c>
      <c r="W404" s="662">
        <f>W306</f>
        <v/>
      </c>
      <c r="X404" s="662">
        <f>X306</f>
        <v/>
      </c>
      <c r="Y404" s="662">
        <f>Y306</f>
        <v/>
      </c>
      <c r="Z404" s="1160">
        <f>Z306</f>
        <v/>
      </c>
      <c r="AA404" s="662">
        <f>AA306</f>
        <v/>
      </c>
      <c r="AB404" s="662">
        <f>AB306</f>
        <v/>
      </c>
      <c r="AC404" s="662">
        <f>AC306</f>
        <v/>
      </c>
      <c r="AD404" s="662">
        <f>AD306</f>
        <v/>
      </c>
      <c r="AE404" s="1160">
        <f>AE306</f>
        <v/>
      </c>
      <c r="AF404" s="662">
        <f>AF306</f>
        <v/>
      </c>
      <c r="AG404" s="662">
        <f>AG306</f>
        <v/>
      </c>
      <c r="AH404" s="663">
        <f>AH306</f>
        <v/>
      </c>
      <c r="AI404" s="662">
        <f>AI306</f>
        <v/>
      </c>
      <c r="AJ404" s="1160">
        <f>AJ306</f>
        <v/>
      </c>
      <c r="AK404" s="663">
        <f>AK306</f>
        <v/>
      </c>
      <c r="AL404" s="662">
        <f>AL306</f>
        <v/>
      </c>
      <c r="AM404" s="663">
        <f>AM306</f>
        <v/>
      </c>
      <c r="AN404" s="662">
        <f>AN306</f>
        <v/>
      </c>
      <c r="AO404" s="1160">
        <f>AO306</f>
        <v/>
      </c>
      <c r="AP404" s="663">
        <f>AP306</f>
        <v/>
      </c>
      <c r="AQ404" s="662">
        <f>AQ306</f>
        <v/>
      </c>
      <c r="AR404" s="663">
        <f>AR306</f>
        <v/>
      </c>
      <c r="AS404" s="662">
        <f>AS306</f>
        <v/>
      </c>
      <c r="AT404" s="1160">
        <f>AT306</f>
        <v/>
      </c>
      <c r="AU404" s="663">
        <f>AU306</f>
        <v/>
      </c>
      <c r="AV404" s="662">
        <f>AV306</f>
        <v/>
      </c>
      <c r="AW404" s="663">
        <f>AW306</f>
        <v/>
      </c>
      <c r="AX404" s="662">
        <f>AX306</f>
        <v/>
      </c>
      <c r="AY404" s="1160">
        <f>AY306</f>
        <v/>
      </c>
      <c r="AZ404" s="663">
        <f>AZ306</f>
        <v/>
      </c>
      <c r="BA404" s="662">
        <f>BA306</f>
        <v/>
      </c>
      <c r="BB404" s="663">
        <f>BB306</f>
        <v/>
      </c>
      <c r="BC404" s="662">
        <f>BC306</f>
        <v/>
      </c>
      <c r="BD404" s="1160">
        <f>BD306</f>
        <v/>
      </c>
      <c r="BE404" s="663">
        <f>BE306</f>
        <v/>
      </c>
      <c r="BF404" s="662">
        <f>BF306</f>
        <v/>
      </c>
      <c r="BG404" s="663">
        <f>BG306</f>
        <v/>
      </c>
      <c r="BH404" s="662">
        <f>BH306</f>
        <v/>
      </c>
      <c r="BI404" s="1160">
        <f>BI306</f>
        <v/>
      </c>
      <c r="BJ404" s="663">
        <f>BJ306</f>
        <v/>
      </c>
      <c r="BK404" s="662">
        <f>BK306</f>
        <v/>
      </c>
      <c r="BL404" s="663">
        <f>BL306</f>
        <v/>
      </c>
      <c r="BM404" s="662">
        <f>BM306</f>
        <v/>
      </c>
      <c r="BN404" s="1160">
        <f>BN306</f>
        <v/>
      </c>
      <c r="BO404" s="663">
        <f>BO306</f>
        <v/>
      </c>
      <c r="BP404" s="662">
        <f>BP306</f>
        <v/>
      </c>
      <c r="BQ404" s="663">
        <f>BQ306</f>
        <v/>
      </c>
      <c r="BR404" s="662">
        <f>BR306</f>
        <v/>
      </c>
      <c r="BS404" s="1160">
        <f>BS306</f>
        <v/>
      </c>
      <c r="BT404" s="663">
        <f>BT306</f>
        <v/>
      </c>
      <c r="BU404" s="662">
        <f>BU306</f>
        <v/>
      </c>
      <c r="BV404" s="1026">
        <f>BV306</f>
        <v/>
      </c>
      <c r="BW404" s="663">
        <f>BW406+BW405</f>
        <v/>
      </c>
      <c r="BX404" s="1164">
        <f>SUM(BT404,BU404,BV404,BW404)</f>
        <v/>
      </c>
      <c r="BY404" s="663">
        <f>BY406+BY405</f>
        <v/>
      </c>
      <c r="BZ404" s="663">
        <f>BZ406+BZ405</f>
        <v/>
      </c>
      <c r="CA404" s="663">
        <f>CA406+CA405</f>
        <v/>
      </c>
      <c r="CB404" s="663">
        <f>CB406+CB405</f>
        <v/>
      </c>
      <c r="CC404" s="1164">
        <f>SUM(BY404,BZ404,CA404,CB404)</f>
        <v/>
      </c>
      <c r="CD404" s="1164">
        <f>CD406+CD405</f>
        <v/>
      </c>
      <c r="CE404" s="1164">
        <f>CE406+CE405</f>
        <v/>
      </c>
      <c r="CF404" s="1164">
        <f>CF406+CF405</f>
        <v/>
      </c>
      <c r="CG404" s="155" t="n"/>
    </row>
    <row r="405" hidden="1" outlineLevel="1">
      <c r="A405" s="649" t="inlineStr">
        <is>
          <t>Non-GAAP Adjustments to Income Taxes</t>
        </is>
      </c>
      <c r="B405" s="149" t="n"/>
      <c r="C405" s="1152">
        <f>C314+C316+C317+C318+C315</f>
        <v/>
      </c>
      <c r="D405" s="1152">
        <f>D314+D316+D317+D318+D315</f>
        <v/>
      </c>
      <c r="E405" s="1152">
        <f>E314+E316+E317+E318+E315</f>
        <v/>
      </c>
      <c r="F405" s="1152">
        <f>F314+F316+F317+F318+F315</f>
        <v/>
      </c>
      <c r="G405" s="659">
        <f>G314+G316+G317+G318+G315</f>
        <v/>
      </c>
      <c r="H405" s="659">
        <f>H314+H316+H317+H318+H315</f>
        <v/>
      </c>
      <c r="I405" s="659">
        <f>I314+I316+I317+I318+I315</f>
        <v/>
      </c>
      <c r="J405" s="659">
        <f>J314+J316+J317+J318+J315</f>
        <v/>
      </c>
      <c r="K405" s="1152">
        <f>K314+K316+K317+K318+K315</f>
        <v/>
      </c>
      <c r="L405" s="659">
        <f>L314+L316+L317+L318+L315</f>
        <v/>
      </c>
      <c r="M405" s="659">
        <f>M314+M316+M317+M318+M315</f>
        <v/>
      </c>
      <c r="N405" s="659">
        <f>N314+N316+N317+N318+N315</f>
        <v/>
      </c>
      <c r="O405" s="659">
        <f>O314+O316+O317+O318+O315</f>
        <v/>
      </c>
      <c r="P405" s="1152">
        <f>P314+P316+P317+P318+P315</f>
        <v/>
      </c>
      <c r="Q405" s="659">
        <f>Q314+Q316+Q317+Q318+Q315</f>
        <v/>
      </c>
      <c r="R405" s="659">
        <f>R314+R316+R317+R318+R315</f>
        <v/>
      </c>
      <c r="S405" s="659">
        <f>S314+S316+S317+S318+S315</f>
        <v/>
      </c>
      <c r="T405" s="659">
        <f>T314+T316+T317+T318+T315</f>
        <v/>
      </c>
      <c r="U405" s="1152">
        <f>U314+U316+U317+U318+U315</f>
        <v/>
      </c>
      <c r="V405" s="659">
        <f>V314+V316+V317+V318+V315</f>
        <v/>
      </c>
      <c r="W405" s="659">
        <f>W314+W316+W317+W318+W315</f>
        <v/>
      </c>
      <c r="X405" s="659">
        <f>X314+X316+X317+X318+X315</f>
        <v/>
      </c>
      <c r="Y405" s="659">
        <f>Y314+Y316+Y317+Y318+Y315</f>
        <v/>
      </c>
      <c r="Z405" s="1152">
        <f>Z314+Z316+Z317+Z318+Z315</f>
        <v/>
      </c>
      <c r="AA405" s="659">
        <f>AA314+AA316+AA317+AA318+AA315</f>
        <v/>
      </c>
      <c r="AB405" s="659">
        <f>AB314+AB316+AB317+AB318+AB315</f>
        <v/>
      </c>
      <c r="AC405" s="659">
        <f>AC314+AC316+AC317+AC318+AC315</f>
        <v/>
      </c>
      <c r="AD405" s="659">
        <f>AD314+AD316+AD317+AD318+AD315</f>
        <v/>
      </c>
      <c r="AE405" s="1152">
        <f>AE314+AE316+AE317+AE318+AE315</f>
        <v/>
      </c>
      <c r="AF405" s="659">
        <f>AF314+AF316+AF317+AF318+AF315</f>
        <v/>
      </c>
      <c r="AG405" s="659">
        <f>AG314+AG316+AG317+AG318+AG315</f>
        <v/>
      </c>
      <c r="AH405" s="660">
        <f>AH314+AH316+AH317+AH318+AH315</f>
        <v/>
      </c>
      <c r="AI405" s="659">
        <f>AI314+AI316+AI317+AI318+AI315</f>
        <v/>
      </c>
      <c r="AJ405" s="1152">
        <f>AJ314+AJ316+AJ317+AJ318+AJ315</f>
        <v/>
      </c>
      <c r="AK405" s="660">
        <f>AK314+AK316+AK317+AK318+AK315</f>
        <v/>
      </c>
      <c r="AL405" s="659">
        <f>AL314+AL316+AL317+AL318+AL315</f>
        <v/>
      </c>
      <c r="AM405" s="660">
        <f>AM314+AM316+AM317+AM318+AM315</f>
        <v/>
      </c>
      <c r="AN405" s="659">
        <f>AN314+AN316+AN317+AN318+AN315</f>
        <v/>
      </c>
      <c r="AO405" s="1152">
        <f>AO314+AO316+AO317+AO318+AO315</f>
        <v/>
      </c>
      <c r="AP405" s="660">
        <f>AP314+AP316+AP317+AP318+AP315</f>
        <v/>
      </c>
      <c r="AQ405" s="659">
        <f>AQ314+AQ316+AQ317+AQ318+AQ315</f>
        <v/>
      </c>
      <c r="AR405" s="660">
        <f>AR314+AR316+AR317+AR318+AR315</f>
        <v/>
      </c>
      <c r="AS405" s="659">
        <f>AS314+AS316+AS317+AS318+AS315</f>
        <v/>
      </c>
      <c r="AT405" s="1152">
        <f>AT314+AT316+AT317+AT318+AT315</f>
        <v/>
      </c>
      <c r="AU405" s="660">
        <f>AU314+AU316+AU317+AU318+AU315</f>
        <v/>
      </c>
      <c r="AV405" s="659">
        <f>AV314+AV316+AV317+AV318+AV315</f>
        <v/>
      </c>
      <c r="AW405" s="660">
        <f>AW314+AW316+AW317+AW318+AW315</f>
        <v/>
      </c>
      <c r="AX405" s="659">
        <f>AX314+AX316+AX317+AX318+AX315</f>
        <v/>
      </c>
      <c r="AY405" s="1152">
        <f>AY314+AY316+AY317+AY318+AY315</f>
        <v/>
      </c>
      <c r="AZ405" s="660">
        <f>AZ314+AZ316+AZ317+AZ318+AZ315</f>
        <v/>
      </c>
      <c r="BA405" s="659">
        <f>BA314+BA316+BA317+BA318+BA315</f>
        <v/>
      </c>
      <c r="BB405" s="660">
        <f>BB314+BB316+BB317+BB318+BB315</f>
        <v/>
      </c>
      <c r="BC405" s="659">
        <f>BC314+BC316+BC317+BC318+BC315</f>
        <v/>
      </c>
      <c r="BD405" s="1152">
        <f>BD314+BD316+BD317+BD318+BD315</f>
        <v/>
      </c>
      <c r="BE405" s="660">
        <f>BE314+BE316+BE317+BE318+BE315</f>
        <v/>
      </c>
      <c r="BF405" s="659">
        <f>BF314+BF316+BF317+BF318+BF315</f>
        <v/>
      </c>
      <c r="BG405" s="660">
        <f>BG314+BG316+BG317+BG318+BG315</f>
        <v/>
      </c>
      <c r="BH405" s="659">
        <f>BH314+BH316+BH317+BH318+BH315</f>
        <v/>
      </c>
      <c r="BI405" s="1152">
        <f>BI314+BI316+BI317+BI318+BI315</f>
        <v/>
      </c>
      <c r="BJ405" s="660">
        <f>BJ314+BJ316+BJ317+BJ318+BJ315</f>
        <v/>
      </c>
      <c r="BK405" s="659">
        <f>BK314+BK316+BK317+BK318+BK315</f>
        <v/>
      </c>
      <c r="BL405" s="660">
        <f>BL314+BL316+BL317+BL318+BL315</f>
        <v/>
      </c>
      <c r="BM405" s="659">
        <f>BM314+BM316+BM317+BM318+BM315</f>
        <v/>
      </c>
      <c r="BN405" s="1152">
        <f>BN314+BN316+BN317+BN318+BN315</f>
        <v/>
      </c>
      <c r="BO405" s="660">
        <f>BO314+BO316+BO317+BO318+BO315</f>
        <v/>
      </c>
      <c r="BP405" s="659">
        <f>BP314+BP316+BP317+BP318+BP315</f>
        <v/>
      </c>
      <c r="BQ405" s="660">
        <f>BQ314+BQ316+BQ317+BQ318+BQ315</f>
        <v/>
      </c>
      <c r="BR405" s="659">
        <f>BR314+BR316+BR317+BR318+BR315</f>
        <v/>
      </c>
      <c r="BS405" s="1152">
        <f>BS314+BS316+BS317+BS318+BS315</f>
        <v/>
      </c>
      <c r="BT405" s="660">
        <f>BT314+BT316+BT317+BT318+BT315</f>
        <v/>
      </c>
      <c r="BU405" s="659">
        <f>BU314+BU316+BU317+BU318+BU315</f>
        <v/>
      </c>
      <c r="BV405" s="1027">
        <f>BV314+BV316+BV317+BV318+BV315</f>
        <v/>
      </c>
      <c r="BW405" s="660">
        <f>-SUM(BW408:BW412)*BW419</f>
        <v/>
      </c>
      <c r="BX405" s="1165">
        <f>SUM(BT405,BU405,BV405,BW405)</f>
        <v/>
      </c>
      <c r="BY405" s="660">
        <f>-SUM(BY408:BY412)*BY419</f>
        <v/>
      </c>
      <c r="BZ405" s="660">
        <f>-SUM(BZ408:BZ412)*BZ419</f>
        <v/>
      </c>
      <c r="CA405" s="660">
        <f>-SUM(CA408:CA412)*CA419</f>
        <v/>
      </c>
      <c r="CB405" s="660">
        <f>-SUM(CB408:CB412)*CB419</f>
        <v/>
      </c>
      <c r="CC405" s="1165">
        <f>SUM(BY405,BZ405,CA405,CB405)</f>
        <v/>
      </c>
      <c r="CD405" s="1165">
        <f>-SUM(CD408:CD412)*CD419</f>
        <v/>
      </c>
      <c r="CE405" s="1165">
        <f>-SUM(CE408:CE412)*CE419</f>
        <v/>
      </c>
      <c r="CF405" s="1165">
        <f>-SUM(CF408:CF412)*CF419</f>
        <v/>
      </c>
      <c r="CG405" s="155" t="n"/>
    </row>
    <row r="406" collapsed="1">
      <c r="A406" s="121" t="inlineStr">
        <is>
          <t>Non-GAAP Provision for taxes</t>
        </is>
      </c>
      <c r="B406" s="149" t="n"/>
      <c r="C406" s="1112">
        <f>C404-C405</f>
        <v/>
      </c>
      <c r="D406" s="1112">
        <f>D404-D405</f>
        <v/>
      </c>
      <c r="E406" s="1112">
        <f>E404-E405</f>
        <v/>
      </c>
      <c r="F406" s="1112">
        <f>F404-F405</f>
        <v/>
      </c>
      <c r="G406" s="110">
        <f>G404-G405</f>
        <v/>
      </c>
      <c r="H406" s="110">
        <f>H404-H405</f>
        <v/>
      </c>
      <c r="I406" s="110">
        <f>I404-I405</f>
        <v/>
      </c>
      <c r="J406" s="110">
        <f>J404-J405</f>
        <v/>
      </c>
      <c r="K406" s="1112">
        <f>K404-K405</f>
        <v/>
      </c>
      <c r="L406" s="110">
        <f>L404-L405</f>
        <v/>
      </c>
      <c r="M406" s="110">
        <f>M404-M405</f>
        <v/>
      </c>
      <c r="N406" s="110">
        <f>N404-N405</f>
        <v/>
      </c>
      <c r="O406" s="110">
        <f>O404-O405</f>
        <v/>
      </c>
      <c r="P406" s="1112">
        <f>P404-P405</f>
        <v/>
      </c>
      <c r="Q406" s="110">
        <f>Q404-Q405</f>
        <v/>
      </c>
      <c r="R406" s="110">
        <f>R404-R405</f>
        <v/>
      </c>
      <c r="S406" s="110">
        <f>S404-S405</f>
        <v/>
      </c>
      <c r="T406" s="110">
        <f>T404-T405</f>
        <v/>
      </c>
      <c r="U406" s="1112">
        <f>U404-U405</f>
        <v/>
      </c>
      <c r="V406" s="110">
        <f>V404-V405</f>
        <v/>
      </c>
      <c r="W406" s="110">
        <f>W404-W405</f>
        <v/>
      </c>
      <c r="X406" s="110">
        <f>X404-X405</f>
        <v/>
      </c>
      <c r="Y406" s="110">
        <f>Y404-Y405</f>
        <v/>
      </c>
      <c r="Z406" s="1112">
        <f>Z404-Z405</f>
        <v/>
      </c>
      <c r="AA406" s="110">
        <f>AA404-AA405</f>
        <v/>
      </c>
      <c r="AB406" s="110">
        <f>AB404-AB405</f>
        <v/>
      </c>
      <c r="AC406" s="110">
        <f>AC404-AC405</f>
        <v/>
      </c>
      <c r="AD406" s="110">
        <f>AD404-AD405</f>
        <v/>
      </c>
      <c r="AE406" s="1112">
        <f>AE404-AE405</f>
        <v/>
      </c>
      <c r="AF406" s="110">
        <f>AF404-AF405</f>
        <v/>
      </c>
      <c r="AG406" s="110">
        <f>AG404-AG405</f>
        <v/>
      </c>
      <c r="AH406" s="110">
        <f>AH404-AH405</f>
        <v/>
      </c>
      <c r="AI406" s="110">
        <f>AI404-AI405</f>
        <v/>
      </c>
      <c r="AJ406" s="1112">
        <f>AJ404-AJ405</f>
        <v/>
      </c>
      <c r="AK406" s="110">
        <f>AK404-AK405</f>
        <v/>
      </c>
      <c r="AL406" s="110">
        <f>AL404-AL405</f>
        <v/>
      </c>
      <c r="AM406" s="110">
        <f>AM404-AM405</f>
        <v/>
      </c>
      <c r="AN406" s="110">
        <f>AN404-AN405</f>
        <v/>
      </c>
      <c r="AO406" s="1112">
        <f>AO404-AO405</f>
        <v/>
      </c>
      <c r="AP406" s="110">
        <f>AP404-AP405</f>
        <v/>
      </c>
      <c r="AQ406" s="110">
        <f>AQ404-AQ405</f>
        <v/>
      </c>
      <c r="AR406" s="110">
        <f>AR404-AR405</f>
        <v/>
      </c>
      <c r="AS406" s="110">
        <f>AS404-AS405</f>
        <v/>
      </c>
      <c r="AT406" s="1112">
        <f>AT404-AT405</f>
        <v/>
      </c>
      <c r="AU406" s="110">
        <f>AU404-AU405</f>
        <v/>
      </c>
      <c r="AV406" s="110">
        <f>AV404-AV405</f>
        <v/>
      </c>
      <c r="AW406" s="110">
        <f>AW404-AW405</f>
        <v/>
      </c>
      <c r="AX406" s="110">
        <f>AX404-AX405</f>
        <v/>
      </c>
      <c r="AY406" s="1112">
        <f>AY404-AY405</f>
        <v/>
      </c>
      <c r="AZ406" s="110">
        <f>AZ404-AZ405</f>
        <v/>
      </c>
      <c r="BA406" s="110">
        <f>BA404-BA405</f>
        <v/>
      </c>
      <c r="BB406" s="110">
        <f>BB404-BB405</f>
        <v/>
      </c>
      <c r="BC406" s="110">
        <f>BC404-BC405</f>
        <v/>
      </c>
      <c r="BD406" s="1112">
        <f>BD404-BD405</f>
        <v/>
      </c>
      <c r="BE406" s="110">
        <f>BE404-BE405</f>
        <v/>
      </c>
      <c r="BF406" s="110">
        <f>BF404-BF405</f>
        <v/>
      </c>
      <c r="BG406" s="110">
        <f>BG404-BG405</f>
        <v/>
      </c>
      <c r="BH406" s="110">
        <f>BH404-BH405</f>
        <v/>
      </c>
      <c r="BI406" s="1112">
        <f>BI404-BI405</f>
        <v/>
      </c>
      <c r="BJ406" s="110">
        <f>BJ404-BJ405</f>
        <v/>
      </c>
      <c r="BK406" s="110">
        <f>BK404-BK405</f>
        <v/>
      </c>
      <c r="BL406" s="110">
        <f>BL404-BL405</f>
        <v/>
      </c>
      <c r="BM406" s="110">
        <f>BM404-BM405</f>
        <v/>
      </c>
      <c r="BN406" s="1112">
        <f>BN404-BN405</f>
        <v/>
      </c>
      <c r="BO406" s="110">
        <f>BO404-BO405</f>
        <v/>
      </c>
      <c r="BP406" s="110">
        <f>BP404-BP405</f>
        <v/>
      </c>
      <c r="BQ406" s="110">
        <f>BQ404-BQ405</f>
        <v/>
      </c>
      <c r="BR406" s="110">
        <f>BR404-BR405</f>
        <v/>
      </c>
      <c r="BS406" s="1112">
        <f>BS404-BS405</f>
        <v/>
      </c>
      <c r="BT406" s="110">
        <f>BT404-BT405</f>
        <v/>
      </c>
      <c r="BU406" s="110">
        <f>BU404-BU405</f>
        <v/>
      </c>
      <c r="BV406" s="887">
        <f>BV404-BV405</f>
        <v/>
      </c>
      <c r="BW406" s="109">
        <f>BW403*BW418</f>
        <v/>
      </c>
      <c r="BX406" s="1152">
        <f>SUM(BT406,BU406,BV406,BW406)</f>
        <v/>
      </c>
      <c r="BY406" s="109">
        <f>BY403*BY418</f>
        <v/>
      </c>
      <c r="BZ406" s="109">
        <f>BZ403*BZ418</f>
        <v/>
      </c>
      <c r="CA406" s="109">
        <f>CA403*CA418</f>
        <v/>
      </c>
      <c r="CB406" s="109">
        <f>CB403*CB418</f>
        <v/>
      </c>
      <c r="CC406" s="1152">
        <f>SUM(BY406,BZ406,CA406,CB406)</f>
        <v/>
      </c>
      <c r="CD406" s="1152">
        <f>CD403*CD418</f>
        <v/>
      </c>
      <c r="CE406" s="1152">
        <f>CE403*CE418</f>
        <v/>
      </c>
      <c r="CF406" s="1152">
        <f>CF403*CF418</f>
        <v/>
      </c>
      <c r="CG406" s="155" t="n"/>
    </row>
    <row r="407">
      <c r="A407" s="64" t="inlineStr">
        <is>
          <t>Non-GAAP Net Income Attributable to Common Shareholders</t>
        </is>
      </c>
      <c r="B407" s="608" t="n"/>
      <c r="C407" s="1149">
        <f>C319</f>
        <v/>
      </c>
      <c r="D407" s="1149">
        <f>D319</f>
        <v/>
      </c>
      <c r="E407" s="1149">
        <f>E319</f>
        <v/>
      </c>
      <c r="F407" s="1149">
        <f>F319</f>
        <v/>
      </c>
      <c r="G407" s="65">
        <f>G319</f>
        <v/>
      </c>
      <c r="H407" s="65">
        <f>H319</f>
        <v/>
      </c>
      <c r="I407" s="65">
        <f>I319</f>
        <v/>
      </c>
      <c r="J407" s="65">
        <f>J319</f>
        <v/>
      </c>
      <c r="K407" s="1149">
        <f>K319</f>
        <v/>
      </c>
      <c r="L407" s="65">
        <f>L319</f>
        <v/>
      </c>
      <c r="M407" s="65">
        <f>M319</f>
        <v/>
      </c>
      <c r="N407" s="65">
        <f>N319</f>
        <v/>
      </c>
      <c r="O407" s="65">
        <f>O319</f>
        <v/>
      </c>
      <c r="P407" s="1149">
        <f>P319</f>
        <v/>
      </c>
      <c r="Q407" s="65">
        <f>Q319</f>
        <v/>
      </c>
      <c r="R407" s="65">
        <f>R319</f>
        <v/>
      </c>
      <c r="S407" s="65">
        <f>S319</f>
        <v/>
      </c>
      <c r="T407" s="65">
        <f>T319</f>
        <v/>
      </c>
      <c r="U407" s="1149">
        <f>U319</f>
        <v/>
      </c>
      <c r="V407" s="65">
        <f>V319</f>
        <v/>
      </c>
      <c r="W407" s="65">
        <f>W319</f>
        <v/>
      </c>
      <c r="X407" s="65">
        <f>X319</f>
        <v/>
      </c>
      <c r="Y407" s="65">
        <f>Y319</f>
        <v/>
      </c>
      <c r="Z407" s="1149">
        <f>Z319</f>
        <v/>
      </c>
      <c r="AA407" s="65">
        <f>AA319</f>
        <v/>
      </c>
      <c r="AB407" s="65">
        <f>AB319</f>
        <v/>
      </c>
      <c r="AC407" s="65">
        <f>AC319</f>
        <v/>
      </c>
      <c r="AD407" s="65">
        <f>AD319</f>
        <v/>
      </c>
      <c r="AE407" s="1149">
        <f>AE319</f>
        <v/>
      </c>
      <c r="AF407" s="65">
        <f>AF319</f>
        <v/>
      </c>
      <c r="AG407" s="65">
        <f>AG319</f>
        <v/>
      </c>
      <c r="AH407" s="637">
        <f>AH319</f>
        <v/>
      </c>
      <c r="AI407" s="65">
        <f>AI319</f>
        <v/>
      </c>
      <c r="AJ407" s="1149">
        <f>AJ319</f>
        <v/>
      </c>
      <c r="AK407" s="637">
        <f>AK319</f>
        <v/>
      </c>
      <c r="AL407" s="65">
        <f>AL319</f>
        <v/>
      </c>
      <c r="AM407" s="637">
        <f>AM319</f>
        <v/>
      </c>
      <c r="AN407" s="65">
        <f>AN319</f>
        <v/>
      </c>
      <c r="AO407" s="1149">
        <f>AO319</f>
        <v/>
      </c>
      <c r="AP407" s="637">
        <f>AP319</f>
        <v/>
      </c>
      <c r="AQ407" s="65">
        <f>AQ319</f>
        <v/>
      </c>
      <c r="AR407" s="637">
        <f>AR319</f>
        <v/>
      </c>
      <c r="AS407" s="65">
        <f>AS319</f>
        <v/>
      </c>
      <c r="AT407" s="1149">
        <f>AT319</f>
        <v/>
      </c>
      <c r="AU407" s="637">
        <f>AU319</f>
        <v/>
      </c>
      <c r="AV407" s="65">
        <f>AV319</f>
        <v/>
      </c>
      <c r="AW407" s="637">
        <f>AW319</f>
        <v/>
      </c>
      <c r="AX407" s="65">
        <f>AX319</f>
        <v/>
      </c>
      <c r="AY407" s="1149">
        <f>AY319</f>
        <v/>
      </c>
      <c r="AZ407" s="637">
        <f>AZ319</f>
        <v/>
      </c>
      <c r="BA407" s="65">
        <f>BA319</f>
        <v/>
      </c>
      <c r="BB407" s="637">
        <f>BB319</f>
        <v/>
      </c>
      <c r="BC407" s="65">
        <f>BC319</f>
        <v/>
      </c>
      <c r="BD407" s="1149">
        <f>BD319</f>
        <v/>
      </c>
      <c r="BE407" s="637">
        <f>BE319</f>
        <v/>
      </c>
      <c r="BF407" s="65">
        <f>BF319</f>
        <v/>
      </c>
      <c r="BG407" s="637">
        <f>BG319</f>
        <v/>
      </c>
      <c r="BH407" s="65">
        <f>BH319</f>
        <v/>
      </c>
      <c r="BI407" s="1149">
        <f>BI319</f>
        <v/>
      </c>
      <c r="BJ407" s="637">
        <f>BJ319</f>
        <v/>
      </c>
      <c r="BK407" s="65">
        <f>BK319</f>
        <v/>
      </c>
      <c r="BL407" s="637">
        <f>BL319</f>
        <v/>
      </c>
      <c r="BM407" s="65">
        <f>BM319</f>
        <v/>
      </c>
      <c r="BN407" s="1149">
        <f>BN319</f>
        <v/>
      </c>
      <c r="BO407" s="637">
        <f>BO319</f>
        <v/>
      </c>
      <c r="BP407" s="65">
        <f>BP319</f>
        <v/>
      </c>
      <c r="BQ407" s="637">
        <f>BQ319</f>
        <v/>
      </c>
      <c r="BR407" s="65">
        <f>BR319</f>
        <v/>
      </c>
      <c r="BS407" s="1149">
        <f>BS319</f>
        <v/>
      </c>
      <c r="BT407" s="637">
        <f>BT319</f>
        <v/>
      </c>
      <c r="BU407" s="65">
        <f>BU319</f>
        <v/>
      </c>
      <c r="BV407" s="1032">
        <f>BV319</f>
        <v/>
      </c>
      <c r="BW407" s="119">
        <f>BW403-BW406</f>
        <v/>
      </c>
      <c r="BX407" s="1166">
        <f>BX403-BX406</f>
        <v/>
      </c>
      <c r="BY407" s="119">
        <f>BY403-BY406</f>
        <v/>
      </c>
      <c r="BZ407" s="119">
        <f>BZ403-BZ406</f>
        <v/>
      </c>
      <c r="CA407" s="119">
        <f>CA403-CA406</f>
        <v/>
      </c>
      <c r="CB407" s="119">
        <f>CB403-CB406</f>
        <v/>
      </c>
      <c r="CC407" s="1166">
        <f>CC403-CC406</f>
        <v/>
      </c>
      <c r="CD407" s="1166">
        <f>CD403-CD406</f>
        <v/>
      </c>
      <c r="CE407" s="1166">
        <f>CE403-CE406</f>
        <v/>
      </c>
      <c r="CF407" s="1166">
        <f>CF403-CF406</f>
        <v/>
      </c>
      <c r="CG407" s="155" t="n"/>
    </row>
    <row r="408" hidden="1" outlineLevel="1">
      <c r="A408" s="67" t="inlineStr">
        <is>
          <t>SBC</t>
        </is>
      </c>
      <c r="B408" s="146" t="n"/>
      <c r="C408" s="1112">
        <f>C129</f>
        <v/>
      </c>
      <c r="D408" s="1112">
        <f>D129</f>
        <v/>
      </c>
      <c r="E408" s="1112">
        <f>E129</f>
        <v/>
      </c>
      <c r="F408" s="1112">
        <f>F129</f>
        <v/>
      </c>
      <c r="G408" s="27">
        <f>G129</f>
        <v/>
      </c>
      <c r="H408" s="27">
        <f>H129</f>
        <v/>
      </c>
      <c r="I408" s="27">
        <f>I129</f>
        <v/>
      </c>
      <c r="J408" s="27">
        <f>J129</f>
        <v/>
      </c>
      <c r="K408" s="1112">
        <f>K129</f>
        <v/>
      </c>
      <c r="L408" s="27">
        <f>L129</f>
        <v/>
      </c>
      <c r="M408" s="27">
        <f>M129</f>
        <v/>
      </c>
      <c r="N408" s="27">
        <f>N129</f>
        <v/>
      </c>
      <c r="O408" s="27">
        <f>O129</f>
        <v/>
      </c>
      <c r="P408" s="1112">
        <f>P129</f>
        <v/>
      </c>
      <c r="Q408" s="27">
        <f>Q129</f>
        <v/>
      </c>
      <c r="R408" s="27">
        <f>R129</f>
        <v/>
      </c>
      <c r="S408" s="27">
        <f>S129</f>
        <v/>
      </c>
      <c r="T408" s="27">
        <f>T129</f>
        <v/>
      </c>
      <c r="U408" s="1112">
        <f>U129</f>
        <v/>
      </c>
      <c r="V408" s="27">
        <f>V129</f>
        <v/>
      </c>
      <c r="W408" s="27">
        <f>W129</f>
        <v/>
      </c>
      <c r="X408" s="27">
        <f>X129</f>
        <v/>
      </c>
      <c r="Y408" s="27">
        <f>Y129</f>
        <v/>
      </c>
      <c r="Z408" s="1112">
        <f>Z129</f>
        <v/>
      </c>
      <c r="AA408" s="27">
        <f>AA129</f>
        <v/>
      </c>
      <c r="AB408" s="27">
        <f>AB129</f>
        <v/>
      </c>
      <c r="AC408" s="27">
        <f>AC129</f>
        <v/>
      </c>
      <c r="AD408" s="27">
        <f>AD129</f>
        <v/>
      </c>
      <c r="AE408" s="1112">
        <f>AE129</f>
        <v/>
      </c>
      <c r="AF408" s="27">
        <f>AF129</f>
        <v/>
      </c>
      <c r="AG408" s="27">
        <f>AG129</f>
        <v/>
      </c>
      <c r="AH408" s="27">
        <f>AH129</f>
        <v/>
      </c>
      <c r="AI408" s="27">
        <f>AI129</f>
        <v/>
      </c>
      <c r="AJ408" s="1112">
        <f>AJ129</f>
        <v/>
      </c>
      <c r="AK408" s="27">
        <f>AK129</f>
        <v/>
      </c>
      <c r="AL408" s="27">
        <f>AL129</f>
        <v/>
      </c>
      <c r="AM408" s="27">
        <f>AM129</f>
        <v/>
      </c>
      <c r="AN408" s="27">
        <f>AN129</f>
        <v/>
      </c>
      <c r="AO408" s="1112">
        <f>AO129</f>
        <v/>
      </c>
      <c r="AP408" s="27">
        <f>AP129</f>
        <v/>
      </c>
      <c r="AQ408" s="27">
        <f>AQ129</f>
        <v/>
      </c>
      <c r="AR408" s="27">
        <f>AR129</f>
        <v/>
      </c>
      <c r="AS408" s="27">
        <f>AS129</f>
        <v/>
      </c>
      <c r="AT408" s="1112">
        <f>AT129</f>
        <v/>
      </c>
      <c r="AU408" s="27">
        <f>AU129</f>
        <v/>
      </c>
      <c r="AV408" s="27">
        <f>AV129</f>
        <v/>
      </c>
      <c r="AW408" s="27">
        <f>AW129</f>
        <v/>
      </c>
      <c r="AX408" s="27">
        <f>AX129</f>
        <v/>
      </c>
      <c r="AY408" s="1112">
        <f>SUM(AU408,AV408,AW408,AX408)</f>
        <v/>
      </c>
      <c r="AZ408" s="27">
        <f>AZ129</f>
        <v/>
      </c>
      <c r="BA408" s="27">
        <f>BA129</f>
        <v/>
      </c>
      <c r="BB408" s="27">
        <f>BB129</f>
        <v/>
      </c>
      <c r="BC408" s="27">
        <f>BC129</f>
        <v/>
      </c>
      <c r="BD408" s="1112">
        <f>BD129</f>
        <v/>
      </c>
      <c r="BE408" s="27">
        <f>BE129</f>
        <v/>
      </c>
      <c r="BF408" s="27">
        <f>BF129</f>
        <v/>
      </c>
      <c r="BG408" s="27">
        <f>BG129</f>
        <v/>
      </c>
      <c r="BH408" s="27">
        <f>BH129</f>
        <v/>
      </c>
      <c r="BI408" s="1112">
        <f>BI129</f>
        <v/>
      </c>
      <c r="BJ408" s="27">
        <f>BJ129</f>
        <v/>
      </c>
      <c r="BK408" s="27">
        <f>BK129</f>
        <v/>
      </c>
      <c r="BL408" s="27">
        <f>BL129</f>
        <v/>
      </c>
      <c r="BM408" s="27">
        <f>BM129</f>
        <v/>
      </c>
      <c r="BN408" s="1112">
        <f>BN129</f>
        <v/>
      </c>
      <c r="BO408" s="27">
        <f>BO129</f>
        <v/>
      </c>
      <c r="BP408" s="27">
        <f>BP129</f>
        <v/>
      </c>
      <c r="BQ408" s="27">
        <f>BQ129</f>
        <v/>
      </c>
      <c r="BR408" s="27">
        <f>BR129</f>
        <v/>
      </c>
      <c r="BS408" s="1112">
        <f>BS129</f>
        <v/>
      </c>
      <c r="BT408" s="27">
        <f>BT129</f>
        <v/>
      </c>
      <c r="BU408" s="27">
        <f>BU129</f>
        <v/>
      </c>
      <c r="BV408" s="508">
        <f>BV129</f>
        <v/>
      </c>
      <c r="BW408" s="68">
        <f>-BW367+BW374+BW379</f>
        <v/>
      </c>
      <c r="BX408" s="1110">
        <f>SUM(BT408,BU408,BV408,BW408)</f>
        <v/>
      </c>
      <c r="BY408" s="68">
        <f>-BY367+BY374+BY379</f>
        <v/>
      </c>
      <c r="BZ408" s="68">
        <f>-BZ367+BZ374+BZ379</f>
        <v/>
      </c>
      <c r="CA408" s="68">
        <f>-CA367+CA374+CA379</f>
        <v/>
      </c>
      <c r="CB408" s="68">
        <f>-CB367+CB374+CB379</f>
        <v/>
      </c>
      <c r="CC408" s="1110">
        <f>SUM(BY408,BZ408,CA408,CB408)</f>
        <v/>
      </c>
      <c r="CD408" s="1110">
        <f>-CD367+CD374+CD379</f>
        <v/>
      </c>
      <c r="CE408" s="1110">
        <f>-CE367+CE374+CE379</f>
        <v/>
      </c>
      <c r="CF408" s="1110">
        <f>-CF367+CF374+CF379</f>
        <v/>
      </c>
      <c r="CG408" s="155" t="n"/>
    </row>
    <row r="409" hidden="1" outlineLevel="1">
      <c r="A409" s="99" t="inlineStr">
        <is>
          <t>Intangible Amortization + Acquisition Adj.</t>
        </is>
      </c>
      <c r="B409" s="146" t="n"/>
      <c r="C409" s="1110">
        <f>C124</f>
        <v/>
      </c>
      <c r="D409" s="1110">
        <f>D124</f>
        <v/>
      </c>
      <c r="E409" s="1110">
        <f>E124</f>
        <v/>
      </c>
      <c r="F409" s="1110">
        <f>F124</f>
        <v/>
      </c>
      <c r="G409" s="68">
        <f>G124</f>
        <v/>
      </c>
      <c r="H409" s="68">
        <f>H124</f>
        <v/>
      </c>
      <c r="I409" s="68">
        <f>I124</f>
        <v/>
      </c>
      <c r="J409" s="68">
        <f>J124</f>
        <v/>
      </c>
      <c r="K409" s="1110">
        <f>K124</f>
        <v/>
      </c>
      <c r="L409" s="68">
        <f>L124</f>
        <v/>
      </c>
      <c r="M409" s="68">
        <f>M124</f>
        <v/>
      </c>
      <c r="N409" s="68">
        <f>N124</f>
        <v/>
      </c>
      <c r="O409" s="68">
        <f>O124</f>
        <v/>
      </c>
      <c r="P409" s="1110">
        <f>P124</f>
        <v/>
      </c>
      <c r="Q409" s="68">
        <f>Q124</f>
        <v/>
      </c>
      <c r="R409" s="68">
        <f>R124</f>
        <v/>
      </c>
      <c r="S409" s="68">
        <f>S124</f>
        <v/>
      </c>
      <c r="T409" s="68">
        <f>T124</f>
        <v/>
      </c>
      <c r="U409" s="1110">
        <f>U124</f>
        <v/>
      </c>
      <c r="V409" s="68">
        <f>V124</f>
        <v/>
      </c>
      <c r="W409" s="68">
        <f>W124</f>
        <v/>
      </c>
      <c r="X409" s="68">
        <f>X124</f>
        <v/>
      </c>
      <c r="Y409" s="68">
        <f>Y124</f>
        <v/>
      </c>
      <c r="Z409" s="1110">
        <f>Z124</f>
        <v/>
      </c>
      <c r="AA409" s="68">
        <f>AA124</f>
        <v/>
      </c>
      <c r="AB409" s="68">
        <f>AB124</f>
        <v/>
      </c>
      <c r="AC409" s="68">
        <f>AC124</f>
        <v/>
      </c>
      <c r="AD409" s="68">
        <f>AD124</f>
        <v/>
      </c>
      <c r="AE409" s="1110">
        <f>AE124</f>
        <v/>
      </c>
      <c r="AF409" s="68">
        <f>AF124</f>
        <v/>
      </c>
      <c r="AG409" s="68">
        <f>AG124</f>
        <v/>
      </c>
      <c r="AH409" s="68">
        <f>AH124</f>
        <v/>
      </c>
      <c r="AI409" s="68">
        <f>AI124</f>
        <v/>
      </c>
      <c r="AJ409" s="1110">
        <f>AJ124</f>
        <v/>
      </c>
      <c r="AK409" s="68">
        <f>AK124</f>
        <v/>
      </c>
      <c r="AL409" s="68">
        <f>AL124</f>
        <v/>
      </c>
      <c r="AM409" s="68">
        <f>AM124</f>
        <v/>
      </c>
      <c r="AN409" s="68">
        <f>AN124</f>
        <v/>
      </c>
      <c r="AO409" s="1110">
        <f>AO124</f>
        <v/>
      </c>
      <c r="AP409" s="68">
        <f>AP124</f>
        <v/>
      </c>
      <c r="AQ409" s="68">
        <f>AQ124</f>
        <v/>
      </c>
      <c r="AR409" s="68">
        <f>AR124</f>
        <v/>
      </c>
      <c r="AS409" s="68">
        <f>AS124</f>
        <v/>
      </c>
      <c r="AT409" s="1110">
        <f>AT124</f>
        <v/>
      </c>
      <c r="AU409" s="68">
        <f>AU124</f>
        <v/>
      </c>
      <c r="AV409" s="68">
        <f>AV124</f>
        <v/>
      </c>
      <c r="AW409" s="68">
        <f>AW124</f>
        <v/>
      </c>
      <c r="AX409" s="68">
        <f>AX124</f>
        <v/>
      </c>
      <c r="AY409" s="1110">
        <f>SUM(AU409,AV409,AW409,AX409)</f>
        <v/>
      </c>
      <c r="AZ409" s="68">
        <f>AZ124</f>
        <v/>
      </c>
      <c r="BA409" s="68">
        <f>BA124</f>
        <v/>
      </c>
      <c r="BB409" s="68">
        <f>BB124</f>
        <v/>
      </c>
      <c r="BC409" s="68">
        <f>BC124</f>
        <v/>
      </c>
      <c r="BD409" s="1110">
        <f>BD124</f>
        <v/>
      </c>
      <c r="BE409" s="68">
        <f>BE124</f>
        <v/>
      </c>
      <c r="BF409" s="68">
        <f>BF124</f>
        <v/>
      </c>
      <c r="BG409" s="68">
        <f>BG124</f>
        <v/>
      </c>
      <c r="BH409" s="68">
        <f>BH124</f>
        <v/>
      </c>
      <c r="BI409" s="1110">
        <f>BI124</f>
        <v/>
      </c>
      <c r="BJ409" s="68">
        <f>BJ124</f>
        <v/>
      </c>
      <c r="BK409" s="68">
        <f>BK124</f>
        <v/>
      </c>
      <c r="BL409" s="68">
        <f>BL124</f>
        <v/>
      </c>
      <c r="BM409" s="68">
        <f>BM124</f>
        <v/>
      </c>
      <c r="BN409" s="1110">
        <f>BN124</f>
        <v/>
      </c>
      <c r="BO409" s="68">
        <f>BO124</f>
        <v/>
      </c>
      <c r="BP409" s="68">
        <f>BP124</f>
        <v/>
      </c>
      <c r="BQ409" s="68">
        <f>BQ124</f>
        <v/>
      </c>
      <c r="BR409" s="68">
        <f>BR124</f>
        <v/>
      </c>
      <c r="BS409" s="1110">
        <f>BS124</f>
        <v/>
      </c>
      <c r="BT409" s="68">
        <f>BT124</f>
        <v/>
      </c>
      <c r="BU409" s="68">
        <f>BU124</f>
        <v/>
      </c>
      <c r="BV409" s="588">
        <f>BV124</f>
        <v/>
      </c>
      <c r="BW409" s="68">
        <f>-BW368+BW375+BW380</f>
        <v/>
      </c>
      <c r="BX409" s="1110">
        <f>SUM(BT409,BU409,BV409,BW409)</f>
        <v/>
      </c>
      <c r="BY409" s="68">
        <f>-BY368+BY375+BY380</f>
        <v/>
      </c>
      <c r="BZ409" s="68">
        <f>-BZ368+BZ375+BZ380</f>
        <v/>
      </c>
      <c r="CA409" s="68">
        <f>-CA368+CA375+CA380</f>
        <v/>
      </c>
      <c r="CB409" s="68">
        <f>-CB368+CB375+CB380</f>
        <v/>
      </c>
      <c r="CC409" s="1110">
        <f>SUM(BY409,BZ409,CA409,CB409)</f>
        <v/>
      </c>
      <c r="CD409" s="1110">
        <f>-CD368+CD375+CD380</f>
        <v/>
      </c>
      <c r="CE409" s="1110">
        <f>-CE368+CE375+CE380</f>
        <v/>
      </c>
      <c r="CF409" s="1110">
        <f>-CF368+CF375+CF380</f>
        <v/>
      </c>
      <c r="CG409" s="155" t="n"/>
    </row>
    <row r="410" hidden="1" outlineLevel="1">
      <c r="A410" s="99" t="inlineStr">
        <is>
          <t>Other Operating Adjustments</t>
        </is>
      </c>
      <c r="B410" s="146" t="n"/>
      <c r="C410" s="1151">
        <f>-C369+C381+C376+C384-C387</f>
        <v/>
      </c>
      <c r="D410" s="1151">
        <f>-D369+D381+D376+D384-D387</f>
        <v/>
      </c>
      <c r="E410" s="1151">
        <f>-E369+E381+E376+E384-E387</f>
        <v/>
      </c>
      <c r="F410" s="1151">
        <f>-F369+F381+F376+F384-F387</f>
        <v/>
      </c>
      <c r="G410" s="563">
        <f>-G369+G381+G376+G384-G387</f>
        <v/>
      </c>
      <c r="H410" s="563">
        <f>-H369+H381+H376+H384-H387</f>
        <v/>
      </c>
      <c r="I410" s="563">
        <f>-I369+I381+I376+I384-I387</f>
        <v/>
      </c>
      <c r="J410" s="563">
        <f>-J369+J381+J376+J384-J387</f>
        <v/>
      </c>
      <c r="K410" s="1151">
        <f>-K369+K381+K376+K384-K387</f>
        <v/>
      </c>
      <c r="L410" s="563">
        <f>-L369+L381+L376+L384-L387</f>
        <v/>
      </c>
      <c r="M410" s="563">
        <f>-M369+M381+M376+M384-M387</f>
        <v/>
      </c>
      <c r="N410" s="563">
        <f>-N369+N381+N376+N384-N387</f>
        <v/>
      </c>
      <c r="O410" s="563">
        <f>-O369+O381+O376+O384-O387</f>
        <v/>
      </c>
      <c r="P410" s="1151">
        <f>-P369+P381+P376+P384-P387</f>
        <v/>
      </c>
      <c r="Q410" s="563">
        <f>-Q369+Q381+Q376+Q384-Q387</f>
        <v/>
      </c>
      <c r="R410" s="563">
        <f>-R369+R381+R376+R384-R387</f>
        <v/>
      </c>
      <c r="S410" s="563">
        <f>-S369+S381+S376+S384-S387</f>
        <v/>
      </c>
      <c r="T410" s="563">
        <f>-T369+T381+T376+T384-T387</f>
        <v/>
      </c>
      <c r="U410" s="1151">
        <f>-U369+U381+U376+U384-U387</f>
        <v/>
      </c>
      <c r="V410" s="563">
        <f>-V369+V381+V376+V384-V387</f>
        <v/>
      </c>
      <c r="W410" s="563">
        <f>-W369+W381+W376+W384-W387</f>
        <v/>
      </c>
      <c r="X410" s="563">
        <f>-X369+X381+X376+X384-X387</f>
        <v/>
      </c>
      <c r="Y410" s="563">
        <f>-Y369+Y381+Y376+Y384-Y387</f>
        <v/>
      </c>
      <c r="Z410" s="1151">
        <f>-Z369+Z381+Z376+Z384-Z387</f>
        <v/>
      </c>
      <c r="AA410" s="563">
        <f>-AA369+AA381+AA376+AA384-AA387</f>
        <v/>
      </c>
      <c r="AB410" s="563">
        <f>-AB369+AB381+AB376+AB384-AB387</f>
        <v/>
      </c>
      <c r="AC410" s="563">
        <f>-AC369+AC381+AC376+AC384-AC387</f>
        <v/>
      </c>
      <c r="AD410" s="563">
        <f>-AD369+AD381+AD376+AD384-AD387</f>
        <v/>
      </c>
      <c r="AE410" s="1151">
        <f>-AE369+AE381+AE376+AE384-AE387</f>
        <v/>
      </c>
      <c r="AF410" s="563">
        <f>-AF369+AF381+AF376+AF384-AF387</f>
        <v/>
      </c>
      <c r="AG410" s="563">
        <f>-AG369+AG381+AG376+AG384-AG387</f>
        <v/>
      </c>
      <c r="AH410" s="563">
        <f>-AH369+AH381+AH376+AH384-AH387</f>
        <v/>
      </c>
      <c r="AI410" s="563">
        <f>-AI369+AI381+AI376+AI384-AI387</f>
        <v/>
      </c>
      <c r="AJ410" s="1151">
        <f>-AJ369+AJ381+AJ376+AJ384-AJ387</f>
        <v/>
      </c>
      <c r="AK410" s="563">
        <f>-AK369+AK381+AK376+AK384-AK387</f>
        <v/>
      </c>
      <c r="AL410" s="563">
        <f>-AL369+AL381+AL376+AL384-AL387</f>
        <v/>
      </c>
      <c r="AM410" s="563">
        <f>-AM369+AM381+AM376+AM384-AM387</f>
        <v/>
      </c>
      <c r="AN410" s="563">
        <f>-AN369+AN381+AN376+AN384-AN387</f>
        <v/>
      </c>
      <c r="AO410" s="1151">
        <f>-AO369+AO381+AO376+AO384-AO387</f>
        <v/>
      </c>
      <c r="AP410" s="563">
        <f>-AP369+AP381+AP376+AP384-AP387</f>
        <v/>
      </c>
      <c r="AQ410" s="563">
        <f>-AQ369+AQ381+AQ376+AQ384-AQ387</f>
        <v/>
      </c>
      <c r="AR410" s="563">
        <f>-AR369+AR381+AR376+AR384-AR387</f>
        <v/>
      </c>
      <c r="AS410" s="563">
        <f>-AS369+AS381+AS376+AS384-AS387</f>
        <v/>
      </c>
      <c r="AT410" s="1151">
        <f>-AT369+AT381+AT376+AT384-AT387</f>
        <v/>
      </c>
      <c r="AU410" s="563">
        <f>-AU369+AU381+AU376+AU384-AU387</f>
        <v/>
      </c>
      <c r="AV410" s="563">
        <f>-AV369+AV381+AV376+AV384-AV387</f>
        <v/>
      </c>
      <c r="AW410" s="563">
        <f>-AW369+AW381+AW376+AW384-AW387</f>
        <v/>
      </c>
      <c r="AX410" s="563">
        <f>-AX369+AX381+AX376+AX384-AX387</f>
        <v/>
      </c>
      <c r="AY410" s="1151">
        <f>SUM(AU410,AV410,AW410,AX410)</f>
        <v/>
      </c>
      <c r="AZ410" s="563">
        <f>-AZ369+AZ381+AZ376+AZ384-AZ387</f>
        <v/>
      </c>
      <c r="BA410" s="563">
        <f>-BA369+BA381+BA376+BA384-BA387</f>
        <v/>
      </c>
      <c r="BB410" s="563">
        <f>-BB369+BB381+BB376+BB384-BB387</f>
        <v/>
      </c>
      <c r="BC410" s="563">
        <f>-BC369+BC381+BC376+BC384-BC387</f>
        <v/>
      </c>
      <c r="BD410" s="1151">
        <f>-BD369+BD381+BD376+BD384-BD387</f>
        <v/>
      </c>
      <c r="BE410" s="563">
        <f>-BE369+BE381+BE376+BE384-BE387</f>
        <v/>
      </c>
      <c r="BF410" s="563">
        <f>-BF369+BF381+BF376+BF384-BF387</f>
        <v/>
      </c>
      <c r="BG410" s="563">
        <f>-BG369+BG381+BG376+BG384-BG387</f>
        <v/>
      </c>
      <c r="BH410" s="563">
        <f>-BH369+BH381+BH376+BH384-BH387</f>
        <v/>
      </c>
      <c r="BI410" s="1151">
        <f>-BI369+BI381+BI376+BI384-BI387</f>
        <v/>
      </c>
      <c r="BJ410" s="563">
        <f>-BJ369+BJ381+BJ376+BJ384-BJ387</f>
        <v/>
      </c>
      <c r="BK410" s="563">
        <f>-BK369+BK381+BK376+BK384-BK387</f>
        <v/>
      </c>
      <c r="BL410" s="563">
        <f>-BL369+BL381+BL376+BL384-BL387</f>
        <v/>
      </c>
      <c r="BM410" s="563">
        <f>-BM369+BM381+BM376+BM384-BM387</f>
        <v/>
      </c>
      <c r="BN410" s="1151">
        <f>-BN369+BN381+BN376+BN384-BN387</f>
        <v/>
      </c>
      <c r="BO410" s="563">
        <f>-BO369+BO381+BO376+BO384-BO387</f>
        <v/>
      </c>
      <c r="BP410" s="563">
        <f>-BP369+BP381+BP376+BP384-BP387</f>
        <v/>
      </c>
      <c r="BQ410" s="563">
        <f>-BQ369+BQ381+BQ376+BQ384-BQ387</f>
        <v/>
      </c>
      <c r="BR410" s="563">
        <f>-BR369+BR381+BR376+BR384-BR387</f>
        <v/>
      </c>
      <c r="BS410" s="1151">
        <f>-BS369+BS381+BS376+BS384-BS387</f>
        <v/>
      </c>
      <c r="BT410" s="563">
        <f>-BT369+BT381+BT376+BT384-BT387</f>
        <v/>
      </c>
      <c r="BU410" s="563">
        <f>-BU369+BU381+BU376+BU384-BU387</f>
        <v/>
      </c>
      <c r="BV410" s="731">
        <f>-BV369+BV381+BV376+BV384-BV387</f>
        <v/>
      </c>
      <c r="BW410" s="563">
        <f>-BW369+BW381+BW376+BW384-BW387</f>
        <v/>
      </c>
      <c r="BX410" s="1151">
        <f>SUM(BT410,BU410,BV410,BW410)</f>
        <v/>
      </c>
      <c r="BY410" s="563">
        <f>-BY369+BY381+BY376+BY384-BY387</f>
        <v/>
      </c>
      <c r="BZ410" s="563">
        <f>-BZ369+BZ381+BZ376+BZ384-BZ387</f>
        <v/>
      </c>
      <c r="CA410" s="563">
        <f>-CA369+CA381+CA376+CA384-CA387</f>
        <v/>
      </c>
      <c r="CB410" s="563">
        <f>-CB369+CB381+CB376+CB384-CB387</f>
        <v/>
      </c>
      <c r="CC410" s="1151">
        <f>SUM(BY410,BZ410,CA410,CB410)</f>
        <v/>
      </c>
      <c r="CD410" s="1151">
        <f>-CD369+CD381+CD376+CD384-CD387</f>
        <v/>
      </c>
      <c r="CE410" s="1151">
        <f>-CE369+CE381+CE376+CE384-CE387</f>
        <v/>
      </c>
      <c r="CF410" s="1151">
        <f>-CF369+CF381+CF376+CF384-CF387</f>
        <v/>
      </c>
      <c r="CG410" s="155" t="n"/>
    </row>
    <row r="411" hidden="1" outlineLevel="1">
      <c r="A411" s="99" t="inlineStr">
        <is>
          <t>Interest Expense Adjustments</t>
        </is>
      </c>
      <c r="B411" s="146" t="n"/>
      <c r="C411" s="1151">
        <f>C398</f>
        <v/>
      </c>
      <c r="D411" s="1151">
        <f>D398</f>
        <v/>
      </c>
      <c r="E411" s="1151">
        <f>E398</f>
        <v/>
      </c>
      <c r="F411" s="1151">
        <f>F398</f>
        <v/>
      </c>
      <c r="G411" s="563">
        <f>G398</f>
        <v/>
      </c>
      <c r="H411" s="563">
        <f>H398</f>
        <v/>
      </c>
      <c r="I411" s="563">
        <f>I398</f>
        <v/>
      </c>
      <c r="J411" s="563">
        <f>J398</f>
        <v/>
      </c>
      <c r="K411" s="1151">
        <f>K398</f>
        <v/>
      </c>
      <c r="L411" s="563">
        <f>L398</f>
        <v/>
      </c>
      <c r="M411" s="563">
        <f>M398</f>
        <v/>
      </c>
      <c r="N411" s="563">
        <f>N398</f>
        <v/>
      </c>
      <c r="O411" s="563">
        <f>O398</f>
        <v/>
      </c>
      <c r="P411" s="1151">
        <f>P398</f>
        <v/>
      </c>
      <c r="Q411" s="563">
        <f>Q398</f>
        <v/>
      </c>
      <c r="R411" s="563">
        <f>R398</f>
        <v/>
      </c>
      <c r="S411" s="563">
        <f>S398</f>
        <v/>
      </c>
      <c r="T411" s="563">
        <f>T398</f>
        <v/>
      </c>
      <c r="U411" s="1151">
        <f>U398</f>
        <v/>
      </c>
      <c r="V411" s="563">
        <f>V398</f>
        <v/>
      </c>
      <c r="W411" s="563">
        <f>W398</f>
        <v/>
      </c>
      <c r="X411" s="563">
        <f>X398</f>
        <v/>
      </c>
      <c r="Y411" s="563">
        <f>Y398</f>
        <v/>
      </c>
      <c r="Z411" s="1151">
        <f>Z398</f>
        <v/>
      </c>
      <c r="AA411" s="563">
        <f>AA398</f>
        <v/>
      </c>
      <c r="AB411" s="563">
        <f>AB398</f>
        <v/>
      </c>
      <c r="AC411" s="563">
        <f>AC398</f>
        <v/>
      </c>
      <c r="AD411" s="563">
        <f>AD398</f>
        <v/>
      </c>
      <c r="AE411" s="1151">
        <f>AE398</f>
        <v/>
      </c>
      <c r="AF411" s="563">
        <f>AF398</f>
        <v/>
      </c>
      <c r="AG411" s="563">
        <f>AG398</f>
        <v/>
      </c>
      <c r="AH411" s="563">
        <f>AH398</f>
        <v/>
      </c>
      <c r="AI411" s="563">
        <f>AI398</f>
        <v/>
      </c>
      <c r="AJ411" s="1151">
        <f>AJ398</f>
        <v/>
      </c>
      <c r="AK411" s="563">
        <f>AK398</f>
        <v/>
      </c>
      <c r="AL411" s="563">
        <f>AL398</f>
        <v/>
      </c>
      <c r="AM411" s="563">
        <f>AM398</f>
        <v/>
      </c>
      <c r="AN411" s="563">
        <f>AN398</f>
        <v/>
      </c>
      <c r="AO411" s="1151">
        <f>AO398</f>
        <v/>
      </c>
      <c r="AP411" s="563">
        <f>AP398</f>
        <v/>
      </c>
      <c r="AQ411" s="563">
        <f>AQ398</f>
        <v/>
      </c>
      <c r="AR411" s="563">
        <f>AR398</f>
        <v/>
      </c>
      <c r="AS411" s="563">
        <f>AS398</f>
        <v/>
      </c>
      <c r="AT411" s="1151">
        <f>AT398</f>
        <v/>
      </c>
      <c r="AU411" s="563">
        <f>AU398</f>
        <v/>
      </c>
      <c r="AV411" s="563">
        <f>AV398</f>
        <v/>
      </c>
      <c r="AW411" s="563">
        <f>AW398</f>
        <v/>
      </c>
      <c r="AX411" s="563">
        <f>AX398</f>
        <v/>
      </c>
      <c r="AY411" s="1151">
        <f>SUM(AU411,AV411,AW411,AX411)</f>
        <v/>
      </c>
      <c r="AZ411" s="563">
        <f>AZ398</f>
        <v/>
      </c>
      <c r="BA411" s="563">
        <f>BA398</f>
        <v/>
      </c>
      <c r="BB411" s="563">
        <f>BB398</f>
        <v/>
      </c>
      <c r="BC411" s="563">
        <f>BC398</f>
        <v/>
      </c>
      <c r="BD411" s="1151">
        <f>BD398</f>
        <v/>
      </c>
      <c r="BE411" s="563">
        <f>BE398</f>
        <v/>
      </c>
      <c r="BF411" s="563">
        <f>BF398</f>
        <v/>
      </c>
      <c r="BG411" s="563">
        <f>BG398</f>
        <v/>
      </c>
      <c r="BH411" s="563">
        <f>BH398</f>
        <v/>
      </c>
      <c r="BI411" s="1151">
        <f>BI398</f>
        <v/>
      </c>
      <c r="BJ411" s="563">
        <f>BJ398</f>
        <v/>
      </c>
      <c r="BK411" s="563">
        <f>BK398</f>
        <v/>
      </c>
      <c r="BL411" s="563">
        <f>BL398</f>
        <v/>
      </c>
      <c r="BM411" s="563">
        <f>BM398</f>
        <v/>
      </c>
      <c r="BN411" s="1151">
        <f>BN398</f>
        <v/>
      </c>
      <c r="BO411" s="563">
        <f>BO398</f>
        <v/>
      </c>
      <c r="BP411" s="563">
        <f>BP398</f>
        <v/>
      </c>
      <c r="BQ411" s="563">
        <f>BQ398</f>
        <v/>
      </c>
      <c r="BR411" s="563">
        <f>BR398</f>
        <v/>
      </c>
      <c r="BS411" s="1151">
        <f>BS398</f>
        <v/>
      </c>
      <c r="BT411" s="563">
        <f>BT398</f>
        <v/>
      </c>
      <c r="BU411" s="563">
        <f>BU398</f>
        <v/>
      </c>
      <c r="BV411" s="731">
        <f>BV398</f>
        <v/>
      </c>
      <c r="BW411" s="563">
        <f>BW398</f>
        <v/>
      </c>
      <c r="BX411" s="1151">
        <f>SUM(BT411,BU411,BV411,BW411)</f>
        <v/>
      </c>
      <c r="BY411" s="563">
        <f>BY398</f>
        <v/>
      </c>
      <c r="BZ411" s="563">
        <f>BZ398</f>
        <v/>
      </c>
      <c r="CA411" s="563">
        <f>CA398</f>
        <v/>
      </c>
      <c r="CB411" s="563">
        <f>CB398</f>
        <v/>
      </c>
      <c r="CC411" s="1151">
        <f>SUM(BY411,BZ411,CA411,CB411)</f>
        <v/>
      </c>
      <c r="CD411" s="1151">
        <f>CD398</f>
        <v/>
      </c>
      <c r="CE411" s="1151">
        <f>CE398</f>
        <v/>
      </c>
      <c r="CF411" s="1151">
        <f>CF398</f>
        <v/>
      </c>
      <c r="CG411" s="155" t="n"/>
    </row>
    <row r="412" hidden="1" outlineLevel="1">
      <c r="A412" s="99" t="inlineStr">
        <is>
          <t>Other Adjustments</t>
        </is>
      </c>
      <c r="B412" s="146" t="n"/>
      <c r="C412" s="1110">
        <f>C401</f>
        <v/>
      </c>
      <c r="D412" s="1110">
        <f>D401</f>
        <v/>
      </c>
      <c r="E412" s="1110">
        <f>E401</f>
        <v/>
      </c>
      <c r="F412" s="1110">
        <f>F401</f>
        <v/>
      </c>
      <c r="G412" s="68">
        <f>G401</f>
        <v/>
      </c>
      <c r="H412" s="68">
        <f>H401</f>
        <v/>
      </c>
      <c r="I412" s="68">
        <f>I401</f>
        <v/>
      </c>
      <c r="J412" s="68">
        <f>J401</f>
        <v/>
      </c>
      <c r="K412" s="1110">
        <f>K401</f>
        <v/>
      </c>
      <c r="L412" s="68">
        <f>L401</f>
        <v/>
      </c>
      <c r="M412" s="68">
        <f>M401</f>
        <v/>
      </c>
      <c r="N412" s="68">
        <f>N401</f>
        <v/>
      </c>
      <c r="O412" s="68">
        <f>O401</f>
        <v/>
      </c>
      <c r="P412" s="1110">
        <f>P401</f>
        <v/>
      </c>
      <c r="Q412" s="68">
        <f>Q401</f>
        <v/>
      </c>
      <c r="R412" s="68">
        <f>R401</f>
        <v/>
      </c>
      <c r="S412" s="68">
        <f>S401</f>
        <v/>
      </c>
      <c r="T412" s="68">
        <f>T401</f>
        <v/>
      </c>
      <c r="U412" s="1110">
        <f>U401</f>
        <v/>
      </c>
      <c r="V412" s="68">
        <f>V401</f>
        <v/>
      </c>
      <c r="W412" s="68">
        <f>W401</f>
        <v/>
      </c>
      <c r="X412" s="68">
        <f>X401</f>
        <v/>
      </c>
      <c r="Y412" s="68">
        <f>Y401</f>
        <v/>
      </c>
      <c r="Z412" s="1110">
        <f>Z401</f>
        <v/>
      </c>
      <c r="AA412" s="68">
        <f>AA401</f>
        <v/>
      </c>
      <c r="AB412" s="68">
        <f>AB401</f>
        <v/>
      </c>
      <c r="AC412" s="68">
        <f>AC401</f>
        <v/>
      </c>
      <c r="AD412" s="68">
        <f>AD401</f>
        <v/>
      </c>
      <c r="AE412" s="1110">
        <f>AE401</f>
        <v/>
      </c>
      <c r="AF412" s="68">
        <f>AF401</f>
        <v/>
      </c>
      <c r="AG412" s="68">
        <f>AG401</f>
        <v/>
      </c>
      <c r="AH412" s="68">
        <f>AH401</f>
        <v/>
      </c>
      <c r="AI412" s="68">
        <f>AI401</f>
        <v/>
      </c>
      <c r="AJ412" s="1110">
        <f>AJ401</f>
        <v/>
      </c>
      <c r="AK412" s="68">
        <f>AK401</f>
        <v/>
      </c>
      <c r="AL412" s="68">
        <f>AL401</f>
        <v/>
      </c>
      <c r="AM412" s="68">
        <f>AM401</f>
        <v/>
      </c>
      <c r="AN412" s="68">
        <f>AN401</f>
        <v/>
      </c>
      <c r="AO412" s="1110">
        <f>AO401</f>
        <v/>
      </c>
      <c r="AP412" s="68">
        <f>AP401</f>
        <v/>
      </c>
      <c r="AQ412" s="68">
        <f>AQ401</f>
        <v/>
      </c>
      <c r="AR412" s="68">
        <f>AR401</f>
        <v/>
      </c>
      <c r="AS412" s="68">
        <f>AS401</f>
        <v/>
      </c>
      <c r="AT412" s="1110">
        <f>AT401</f>
        <v/>
      </c>
      <c r="AU412" s="68">
        <f>AU401</f>
        <v/>
      </c>
      <c r="AV412" s="68">
        <f>AV401</f>
        <v/>
      </c>
      <c r="AW412" s="68">
        <f>AW401</f>
        <v/>
      </c>
      <c r="AX412" s="68">
        <f>AX401</f>
        <v/>
      </c>
      <c r="AY412" s="1110">
        <f>SUM(AU412,AV412,AW412,AX412)</f>
        <v/>
      </c>
      <c r="AZ412" s="68">
        <f>AZ401</f>
        <v/>
      </c>
      <c r="BA412" s="68">
        <f>BA401</f>
        <v/>
      </c>
      <c r="BB412" s="68">
        <f>BB401</f>
        <v/>
      </c>
      <c r="BC412" s="68">
        <f>BC401</f>
        <v/>
      </c>
      <c r="BD412" s="1110">
        <f>BD401</f>
        <v/>
      </c>
      <c r="BE412" s="68">
        <f>BE401</f>
        <v/>
      </c>
      <c r="BF412" s="68">
        <f>BF401</f>
        <v/>
      </c>
      <c r="BG412" s="68">
        <f>BG401</f>
        <v/>
      </c>
      <c r="BH412" s="68">
        <f>BH401</f>
        <v/>
      </c>
      <c r="BI412" s="1110">
        <f>BI401</f>
        <v/>
      </c>
      <c r="BJ412" s="68">
        <f>BJ401</f>
        <v/>
      </c>
      <c r="BK412" s="68">
        <f>BK401</f>
        <v/>
      </c>
      <c r="BL412" s="68">
        <f>BL401</f>
        <v/>
      </c>
      <c r="BM412" s="68">
        <f>BM401</f>
        <v/>
      </c>
      <c r="BN412" s="1110">
        <f>BN401</f>
        <v/>
      </c>
      <c r="BO412" s="68">
        <f>BO401</f>
        <v/>
      </c>
      <c r="BP412" s="68">
        <f>BP401</f>
        <v/>
      </c>
      <c r="BQ412" s="68">
        <f>BQ401</f>
        <v/>
      </c>
      <c r="BR412" s="68">
        <f>BR401</f>
        <v/>
      </c>
      <c r="BS412" s="1110">
        <f>BS401</f>
        <v/>
      </c>
      <c r="BT412" s="68">
        <f>BT401</f>
        <v/>
      </c>
      <c r="BU412" s="68">
        <f>BU401</f>
        <v/>
      </c>
      <c r="BV412" s="588">
        <f>BV401</f>
        <v/>
      </c>
      <c r="BW412" s="68">
        <f>BW401</f>
        <v/>
      </c>
      <c r="BX412" s="1110">
        <f>SUM(BT412,BU412,BV412,BW412)</f>
        <v/>
      </c>
      <c r="BY412" s="68">
        <f>BY401</f>
        <v/>
      </c>
      <c r="BZ412" s="68">
        <f>BZ401</f>
        <v/>
      </c>
      <c r="CA412" s="68">
        <f>CA401</f>
        <v/>
      </c>
      <c r="CB412" s="68">
        <f>CB401</f>
        <v/>
      </c>
      <c r="CC412" s="1110">
        <f>SUM(BY412,BZ412,CA412,CB412)</f>
        <v/>
      </c>
      <c r="CD412" s="1110">
        <f>CD401</f>
        <v/>
      </c>
      <c r="CE412" s="1110">
        <f>CE401</f>
        <v/>
      </c>
      <c r="CF412" s="1110">
        <f>CF401</f>
        <v/>
      </c>
      <c r="CG412" s="155" t="n"/>
    </row>
    <row r="413" hidden="1" outlineLevel="1">
      <c r="A413" s="282" t="inlineStr">
        <is>
          <t>Tax Impact on non-GAAP Adjustments</t>
        </is>
      </c>
      <c r="B413" s="149" t="n"/>
      <c r="C413" s="1152">
        <f>C405</f>
        <v/>
      </c>
      <c r="D413" s="1152">
        <f>D405</f>
        <v/>
      </c>
      <c r="E413" s="1152">
        <f>E405</f>
        <v/>
      </c>
      <c r="F413" s="1152">
        <f>F405</f>
        <v/>
      </c>
      <c r="G413" s="659">
        <f>G405</f>
        <v/>
      </c>
      <c r="H413" s="659">
        <f>H405</f>
        <v/>
      </c>
      <c r="I413" s="659">
        <f>I405</f>
        <v/>
      </c>
      <c r="J413" s="659">
        <f>J405</f>
        <v/>
      </c>
      <c r="K413" s="1152">
        <f>K405</f>
        <v/>
      </c>
      <c r="L413" s="659">
        <f>L405</f>
        <v/>
      </c>
      <c r="M413" s="659">
        <f>M405</f>
        <v/>
      </c>
      <c r="N413" s="659">
        <f>N405</f>
        <v/>
      </c>
      <c r="O413" s="659">
        <f>O405</f>
        <v/>
      </c>
      <c r="P413" s="1152">
        <f>P405</f>
        <v/>
      </c>
      <c r="Q413" s="659">
        <f>Q405</f>
        <v/>
      </c>
      <c r="R413" s="659">
        <f>R405</f>
        <v/>
      </c>
      <c r="S413" s="659">
        <f>S405</f>
        <v/>
      </c>
      <c r="T413" s="659">
        <f>T405</f>
        <v/>
      </c>
      <c r="U413" s="1152">
        <f>U405</f>
        <v/>
      </c>
      <c r="V413" s="659">
        <f>V405</f>
        <v/>
      </c>
      <c r="W413" s="659">
        <f>W405</f>
        <v/>
      </c>
      <c r="X413" s="659">
        <f>X405</f>
        <v/>
      </c>
      <c r="Y413" s="659">
        <f>Y405</f>
        <v/>
      </c>
      <c r="Z413" s="1152">
        <f>Z405</f>
        <v/>
      </c>
      <c r="AA413" s="659">
        <f>AA405</f>
        <v/>
      </c>
      <c r="AB413" s="659">
        <f>AB405</f>
        <v/>
      </c>
      <c r="AC413" s="659">
        <f>AC405</f>
        <v/>
      </c>
      <c r="AD413" s="659">
        <f>AD405</f>
        <v/>
      </c>
      <c r="AE413" s="1152">
        <f>AE405</f>
        <v/>
      </c>
      <c r="AF413" s="659">
        <f>AF405</f>
        <v/>
      </c>
      <c r="AG413" s="659">
        <f>AG405</f>
        <v/>
      </c>
      <c r="AH413" s="659">
        <f>AH405</f>
        <v/>
      </c>
      <c r="AI413" s="659">
        <f>AI405</f>
        <v/>
      </c>
      <c r="AJ413" s="1152">
        <f>AJ405</f>
        <v/>
      </c>
      <c r="AK413" s="659">
        <f>AK405</f>
        <v/>
      </c>
      <c r="AL413" s="659">
        <f>AL405</f>
        <v/>
      </c>
      <c r="AM413" s="659">
        <f>AM405</f>
        <v/>
      </c>
      <c r="AN413" s="659">
        <f>AN405</f>
        <v/>
      </c>
      <c r="AO413" s="1152">
        <f>AO405</f>
        <v/>
      </c>
      <c r="AP413" s="659">
        <f>AP405</f>
        <v/>
      </c>
      <c r="AQ413" s="659">
        <f>AQ405</f>
        <v/>
      </c>
      <c r="AR413" s="659">
        <f>AR405</f>
        <v/>
      </c>
      <c r="AS413" s="659">
        <f>AS405</f>
        <v/>
      </c>
      <c r="AT413" s="1152">
        <f>AT405</f>
        <v/>
      </c>
      <c r="AU413" s="659">
        <f>AU405</f>
        <v/>
      </c>
      <c r="AV413" s="659">
        <f>AV405</f>
        <v/>
      </c>
      <c r="AW413" s="659">
        <f>AW405</f>
        <v/>
      </c>
      <c r="AX413" s="659">
        <f>AX405</f>
        <v/>
      </c>
      <c r="AY413" s="1152">
        <f>SUM(AU413,AV413,AW413,AX413)</f>
        <v/>
      </c>
      <c r="AZ413" s="659">
        <f>AZ405</f>
        <v/>
      </c>
      <c r="BA413" s="659">
        <f>BA405</f>
        <v/>
      </c>
      <c r="BB413" s="659">
        <f>BB405</f>
        <v/>
      </c>
      <c r="BC413" s="659">
        <f>BC405</f>
        <v/>
      </c>
      <c r="BD413" s="1152">
        <f>BD405</f>
        <v/>
      </c>
      <c r="BE413" s="659">
        <f>BE405</f>
        <v/>
      </c>
      <c r="BF413" s="659">
        <f>BF405</f>
        <v/>
      </c>
      <c r="BG413" s="659">
        <f>BG405</f>
        <v/>
      </c>
      <c r="BH413" s="659">
        <f>BH405</f>
        <v/>
      </c>
      <c r="BI413" s="1152">
        <f>BI405</f>
        <v/>
      </c>
      <c r="BJ413" s="659">
        <f>BJ405</f>
        <v/>
      </c>
      <c r="BK413" s="659">
        <f>BK405</f>
        <v/>
      </c>
      <c r="BL413" s="659">
        <f>BL405</f>
        <v/>
      </c>
      <c r="BM413" s="659">
        <f>BM405</f>
        <v/>
      </c>
      <c r="BN413" s="1152">
        <f>BN405</f>
        <v/>
      </c>
      <c r="BO413" s="659">
        <f>BO405</f>
        <v/>
      </c>
      <c r="BP413" s="659">
        <f>BP405</f>
        <v/>
      </c>
      <c r="BQ413" s="659">
        <f>BQ405</f>
        <v/>
      </c>
      <c r="BR413" s="659">
        <f>BR405</f>
        <v/>
      </c>
      <c r="BS413" s="1152">
        <f>BS405</f>
        <v/>
      </c>
      <c r="BT413" s="659">
        <f>BT405</f>
        <v/>
      </c>
      <c r="BU413" s="659">
        <f>BU405</f>
        <v/>
      </c>
      <c r="BV413" s="895">
        <f>BV405</f>
        <v/>
      </c>
      <c r="BW413" s="659">
        <f>BW405</f>
        <v/>
      </c>
      <c r="BX413" s="1152">
        <f>SUM(BT413,BU413,BV413,BW413)</f>
        <v/>
      </c>
      <c r="BY413" s="659">
        <f>BY405</f>
        <v/>
      </c>
      <c r="BZ413" s="659">
        <f>BZ405</f>
        <v/>
      </c>
      <c r="CA413" s="659">
        <f>CA405</f>
        <v/>
      </c>
      <c r="CB413" s="659">
        <f>CB405</f>
        <v/>
      </c>
      <c r="CC413" s="1152">
        <f>SUM(BY413,BZ413,CA413,CB413)</f>
        <v/>
      </c>
      <c r="CD413" s="1152">
        <f>CD405</f>
        <v/>
      </c>
      <c r="CE413" s="1152">
        <f>CE405</f>
        <v/>
      </c>
      <c r="CF413" s="1152">
        <f>CF405</f>
        <v/>
      </c>
      <c r="CG413" s="155" t="n"/>
    </row>
    <row r="414" hidden="1" outlineLevel="1">
      <c r="A414" s="658" t="inlineStr">
        <is>
          <t>GAAP Net Income - Basic</t>
        </is>
      </c>
      <c r="B414" s="608" t="n"/>
      <c r="C414" s="1150">
        <f>C407-SUM(C408:C413)</f>
        <v/>
      </c>
      <c r="D414" s="1150">
        <f>D407-SUM(D408:D413)</f>
        <v/>
      </c>
      <c r="E414" s="1150">
        <f>E407-SUM(E408:E413)</f>
        <v/>
      </c>
      <c r="F414" s="1150">
        <f>F407-SUM(F408:F413)</f>
        <v/>
      </c>
      <c r="G414" s="66">
        <f>G407-SUM(G408:G413)</f>
        <v/>
      </c>
      <c r="H414" s="66">
        <f>H407-SUM(H408:H413)</f>
        <v/>
      </c>
      <c r="I414" s="66">
        <f>I407-SUM(I408:I413)</f>
        <v/>
      </c>
      <c r="J414" s="66">
        <f>J407-SUM(J408:J413)</f>
        <v/>
      </c>
      <c r="K414" s="1150">
        <f>K407-SUM(K408:K413)</f>
        <v/>
      </c>
      <c r="L414" s="66">
        <f>L407-SUM(L408:L413)</f>
        <v/>
      </c>
      <c r="M414" s="66">
        <f>M407-SUM(M408:M413)</f>
        <v/>
      </c>
      <c r="N414" s="66">
        <f>N407-SUM(N408:N413)</f>
        <v/>
      </c>
      <c r="O414" s="66">
        <f>O407-SUM(O408:O413)</f>
        <v/>
      </c>
      <c r="P414" s="1150">
        <f>P407-SUM(P408:P413)</f>
        <v/>
      </c>
      <c r="Q414" s="66">
        <f>Q407-SUM(Q408:Q413)</f>
        <v/>
      </c>
      <c r="R414" s="66">
        <f>R407-SUM(R408:R413)</f>
        <v/>
      </c>
      <c r="S414" s="66">
        <f>S407-SUM(S408:S413)</f>
        <v/>
      </c>
      <c r="T414" s="66">
        <f>T407-SUM(T408:T413)</f>
        <v/>
      </c>
      <c r="U414" s="1150">
        <f>U407-SUM(U408:U413)</f>
        <v/>
      </c>
      <c r="V414" s="66">
        <f>V407-SUM(V408:V413)</f>
        <v/>
      </c>
      <c r="W414" s="66">
        <f>W407-SUM(W408:W413)</f>
        <v/>
      </c>
      <c r="X414" s="66">
        <f>X407-SUM(X408:X413)</f>
        <v/>
      </c>
      <c r="Y414" s="66">
        <f>Y407-SUM(Y408:Y413)</f>
        <v/>
      </c>
      <c r="Z414" s="1150">
        <f>Z407-SUM(Z408:Z413)</f>
        <v/>
      </c>
      <c r="AA414" s="66">
        <f>AA407-SUM(AA408:AA413)</f>
        <v/>
      </c>
      <c r="AB414" s="66">
        <f>AB407-SUM(AB408:AB413)</f>
        <v/>
      </c>
      <c r="AC414" s="66">
        <f>AC407-SUM(AC408:AC413)</f>
        <v/>
      </c>
      <c r="AD414" s="66">
        <f>AD407-SUM(AD408:AD413)</f>
        <v/>
      </c>
      <c r="AE414" s="1150">
        <f>AE407-SUM(AE408:AE413)</f>
        <v/>
      </c>
      <c r="AF414" s="66">
        <f>AF407-SUM(AF408:AF413)</f>
        <v/>
      </c>
      <c r="AG414" s="66">
        <f>AG407-SUM(AG408:AG413)</f>
        <v/>
      </c>
      <c r="AH414" s="66">
        <f>AH407-SUM(AH408:AH413)</f>
        <v/>
      </c>
      <c r="AI414" s="66">
        <f>AI407-SUM(AI408:AI413)</f>
        <v/>
      </c>
      <c r="AJ414" s="1150">
        <f>AJ407-SUM(AJ408:AJ413)</f>
        <v/>
      </c>
      <c r="AK414" s="66">
        <f>AK407-SUM(AK408:AK413)</f>
        <v/>
      </c>
      <c r="AL414" s="66">
        <f>AL407-SUM(AL408:AL413)</f>
        <v/>
      </c>
      <c r="AM414" s="66">
        <f>AM407-SUM(AM408:AM413)</f>
        <v/>
      </c>
      <c r="AN414" s="66">
        <f>AN407-SUM(AN408:AN413)</f>
        <v/>
      </c>
      <c r="AO414" s="1150">
        <f>AO407-SUM(AO408:AO413)</f>
        <v/>
      </c>
      <c r="AP414" s="66">
        <f>AP407-SUM(AP408:AP413)</f>
        <v/>
      </c>
      <c r="AQ414" s="66">
        <f>AQ407-SUM(AQ408:AQ413)</f>
        <v/>
      </c>
      <c r="AR414" s="66">
        <f>AR407-SUM(AR408:AR413)</f>
        <v/>
      </c>
      <c r="AS414" s="66">
        <f>AS407-SUM(AS408:AS413)</f>
        <v/>
      </c>
      <c r="AT414" s="1150">
        <f>AT407-SUM(AT408:AT413)</f>
        <v/>
      </c>
      <c r="AU414" s="66">
        <f>AU407-SUM(AU408:AU413)</f>
        <v/>
      </c>
      <c r="AV414" s="66">
        <f>AV407-SUM(AV408:AV413)</f>
        <v/>
      </c>
      <c r="AW414" s="66">
        <f>AW407-SUM(AW408:AW413)</f>
        <v/>
      </c>
      <c r="AX414" s="66">
        <f>AX407-SUM(AX408:AX413)</f>
        <v/>
      </c>
      <c r="AY414" s="1150">
        <f>AY407-SUM(AY408:AY413)</f>
        <v/>
      </c>
      <c r="AZ414" s="66">
        <f>AZ407-SUM(AZ408:AZ413)</f>
        <v/>
      </c>
      <c r="BA414" s="66">
        <f>BA407-SUM(BA408:BA413)</f>
        <v/>
      </c>
      <c r="BB414" s="66">
        <f>BB407-SUM(BB408:BB413)</f>
        <v/>
      </c>
      <c r="BC414" s="66">
        <f>BC407-SUM(BC408:BC413)</f>
        <v/>
      </c>
      <c r="BD414" s="1150">
        <f>BD407-SUM(BD408:BD413)</f>
        <v/>
      </c>
      <c r="BE414" s="66">
        <f>BE407-SUM(BE408:BE413)</f>
        <v/>
      </c>
      <c r="BF414" s="66">
        <f>BF407-SUM(BF408:BF413)</f>
        <v/>
      </c>
      <c r="BG414" s="66">
        <f>BG407-SUM(BG408:BG413)</f>
        <v/>
      </c>
      <c r="BH414" s="66">
        <f>BH407-SUM(BH408:BH413)</f>
        <v/>
      </c>
      <c r="BI414" s="1150">
        <f>BI407-SUM(BI408:BI413)</f>
        <v/>
      </c>
      <c r="BJ414" s="66">
        <f>BJ407-SUM(BJ408:BJ413)</f>
        <v/>
      </c>
      <c r="BK414" s="66">
        <f>BK407-SUM(BK408:BK413)</f>
        <v/>
      </c>
      <c r="BL414" s="66">
        <f>BL407-SUM(BL408:BL413)</f>
        <v/>
      </c>
      <c r="BM414" s="66">
        <f>BM407-SUM(BM408:BM413)</f>
        <v/>
      </c>
      <c r="BN414" s="1150">
        <f>BN407-SUM(BN408:BN413)</f>
        <v/>
      </c>
      <c r="BO414" s="66">
        <f>BO407-SUM(BO408:BO413)</f>
        <v/>
      </c>
      <c r="BP414" s="66">
        <f>BP407-SUM(BP408:BP413)</f>
        <v/>
      </c>
      <c r="BQ414" s="66">
        <f>BQ407-SUM(BQ408:BQ413)</f>
        <v/>
      </c>
      <c r="BR414" s="66">
        <f>BR407-SUM(BR408:BR413)</f>
        <v/>
      </c>
      <c r="BS414" s="1150">
        <f>BS407-SUM(BS408:BS413)</f>
        <v/>
      </c>
      <c r="BT414" s="66">
        <f>BT407-SUM(BT408:BT413)</f>
        <v/>
      </c>
      <c r="BU414" s="66">
        <f>BU407-SUM(BU408:BU413)</f>
        <v/>
      </c>
      <c r="BV414" s="1033">
        <f>BV407-SUM(BV408:BV413)</f>
        <v/>
      </c>
      <c r="BW414" s="66">
        <f>BW407-SUM(BW408:BW413)</f>
        <v/>
      </c>
      <c r="BX414" s="1150">
        <f>BX407-SUM(BX408:BX413)</f>
        <v/>
      </c>
      <c r="BY414" s="66">
        <f>BY407-SUM(BY408:BY413)</f>
        <v/>
      </c>
      <c r="BZ414" s="66">
        <f>BZ407-SUM(BZ408:BZ413)</f>
        <v/>
      </c>
      <c r="CA414" s="66">
        <f>CA407-SUM(CA408:CA413)</f>
        <v/>
      </c>
      <c r="CB414" s="66">
        <f>CB407-SUM(CB408:CB413)</f>
        <v/>
      </c>
      <c r="CC414" s="1150">
        <f>CC407-SUM(CC408:CC413)</f>
        <v/>
      </c>
      <c r="CD414" s="1150">
        <f>CD407-SUM(CD408:CD413)</f>
        <v/>
      </c>
      <c r="CE414" s="1150">
        <f>CE407-SUM(CE408:CE413)</f>
        <v/>
      </c>
      <c r="CF414" s="1150">
        <f>CF407-SUM(CF408:CF413)</f>
        <v/>
      </c>
      <c r="CG414" s="155" t="n"/>
    </row>
    <row r="415" hidden="1" outlineLevel="1">
      <c r="A415" s="121" t="inlineStr">
        <is>
          <t>Adjustments for Convertible Securities</t>
        </is>
      </c>
      <c r="B415" s="149" t="n"/>
      <c r="C415" s="1121" t="n"/>
      <c r="D415" s="1121" t="n"/>
      <c r="E415" s="1121" t="n"/>
      <c r="F415" s="1121" t="n"/>
      <c r="G415" s="109" t="n"/>
      <c r="H415" s="109" t="n"/>
      <c r="I415" s="109" t="n"/>
      <c r="J415" s="109" t="n"/>
      <c r="K415" s="1110" t="n"/>
      <c r="L415" s="109" t="n"/>
      <c r="M415" s="109" t="n"/>
      <c r="N415" s="109" t="n"/>
      <c r="O415" s="109" t="n"/>
      <c r="P415" s="1110" t="n"/>
      <c r="Q415" s="109" t="n"/>
      <c r="R415" s="109" t="n"/>
      <c r="S415" s="109" t="n"/>
      <c r="T415" s="109" t="n"/>
      <c r="U415" s="1110" t="n"/>
      <c r="V415" s="109" t="n"/>
      <c r="W415" s="109" t="n"/>
      <c r="X415" s="109" t="n"/>
      <c r="Y415" s="109" t="n"/>
      <c r="Z415" s="1110" t="n"/>
      <c r="AA415" s="109" t="n"/>
      <c r="AB415" s="109" t="n"/>
      <c r="AC415" s="109" t="n"/>
      <c r="AD415" s="109" t="n"/>
      <c r="AE415" s="1110" t="n"/>
      <c r="AF415" s="109" t="n"/>
      <c r="AG415" s="109" t="n"/>
      <c r="AH415" s="109" t="n"/>
      <c r="AI415" s="109" t="n"/>
      <c r="AJ415" s="1110" t="n"/>
      <c r="AK415" s="109" t="n"/>
      <c r="AL415" s="109" t="n"/>
      <c r="AM415" s="109" t="n"/>
      <c r="AN415" s="109" t="n"/>
      <c r="AO415" s="1110" t="n"/>
      <c r="AP415" s="109" t="n"/>
      <c r="AQ415" s="109" t="n"/>
      <c r="AR415" s="109" t="n"/>
      <c r="AS415" s="109" t="n"/>
      <c r="AT415" s="1110" t="n"/>
      <c r="AU415" s="109" t="n"/>
      <c r="AV415" s="109" t="n"/>
      <c r="AW415" s="109" t="n"/>
      <c r="AX415" s="109" t="n"/>
      <c r="AY415" s="1110" t="n"/>
      <c r="AZ415" s="109" t="n"/>
      <c r="BA415" s="109" t="n"/>
      <c r="BB415" s="109" t="n"/>
      <c r="BC415" s="109" t="n"/>
      <c r="BD415" s="1110" t="n"/>
      <c r="BE415" s="109" t="n"/>
      <c r="BF415" s="109" t="n"/>
      <c r="BG415" s="109" t="n"/>
      <c r="BH415" s="109" t="n"/>
      <c r="BI415" s="1110" t="n"/>
      <c r="BJ415" s="109" t="n"/>
      <c r="BK415" s="109" t="n"/>
      <c r="BL415" s="109" t="n"/>
      <c r="BM415" s="109" t="n"/>
      <c r="BN415" s="1110" t="n"/>
      <c r="BO415" s="109" t="n"/>
      <c r="BP415" s="109" t="n"/>
      <c r="BQ415" s="109" t="n"/>
      <c r="BR415" s="109" t="n"/>
      <c r="BS415" s="1110" t="n"/>
      <c r="BT415" s="109" t="n"/>
      <c r="BU415" s="109" t="n"/>
      <c r="BV415" s="730" t="n"/>
      <c r="BW415" s="109" t="n"/>
      <c r="BX415" s="1121" t="n"/>
      <c r="BY415" s="109" t="n"/>
      <c r="BZ415" s="109" t="n"/>
      <c r="CA415" s="109" t="n"/>
      <c r="CB415" s="109" t="n"/>
      <c r="CC415" s="1121" t="n"/>
      <c r="CD415" s="1121" t="n"/>
      <c r="CE415" s="1121" t="n"/>
      <c r="CF415" s="1121" t="n"/>
      <c r="CG415" s="155" t="n"/>
    </row>
    <row r="416" hidden="1" outlineLevel="1">
      <c r="A416" s="64" t="inlineStr">
        <is>
          <t>GAAP Net Income - Diluted</t>
        </is>
      </c>
      <c r="B416" s="608" t="n"/>
      <c r="C416" s="1149">
        <f>C414-C415</f>
        <v/>
      </c>
      <c r="D416" s="1149">
        <f>D414-D415</f>
        <v/>
      </c>
      <c r="E416" s="1149">
        <f>E414-E415</f>
        <v/>
      </c>
      <c r="F416" s="1149">
        <f>F414-F415</f>
        <v/>
      </c>
      <c r="G416" s="65">
        <f>G414-G415</f>
        <v/>
      </c>
      <c r="H416" s="65">
        <f>H414-H415</f>
        <v/>
      </c>
      <c r="I416" s="65">
        <f>I414-I415</f>
        <v/>
      </c>
      <c r="J416" s="65">
        <f>J414-J415</f>
        <v/>
      </c>
      <c r="K416" s="1149">
        <f>K414-K415</f>
        <v/>
      </c>
      <c r="L416" s="65">
        <f>L414-L415</f>
        <v/>
      </c>
      <c r="M416" s="65">
        <f>M414-M415</f>
        <v/>
      </c>
      <c r="N416" s="65">
        <f>N414-N415</f>
        <v/>
      </c>
      <c r="O416" s="65">
        <f>O414-O415</f>
        <v/>
      </c>
      <c r="P416" s="1149">
        <f>P414-P415</f>
        <v/>
      </c>
      <c r="Q416" s="65">
        <f>Q414-Q415</f>
        <v/>
      </c>
      <c r="R416" s="65">
        <f>R414-R415</f>
        <v/>
      </c>
      <c r="S416" s="65">
        <f>S414-S415</f>
        <v/>
      </c>
      <c r="T416" s="65">
        <f>T414-T415</f>
        <v/>
      </c>
      <c r="U416" s="1149">
        <f>U414-U415</f>
        <v/>
      </c>
      <c r="V416" s="65">
        <f>V414-V415</f>
        <v/>
      </c>
      <c r="W416" s="65">
        <f>W414-W415</f>
        <v/>
      </c>
      <c r="X416" s="65">
        <f>X414-X415</f>
        <v/>
      </c>
      <c r="Y416" s="65">
        <f>Y414-Y415</f>
        <v/>
      </c>
      <c r="Z416" s="1149">
        <f>Z414-Z415</f>
        <v/>
      </c>
      <c r="AA416" s="65">
        <f>AA414-AA415</f>
        <v/>
      </c>
      <c r="AB416" s="65">
        <f>AB414-AB415</f>
        <v/>
      </c>
      <c r="AC416" s="65">
        <f>AC414-AC415</f>
        <v/>
      </c>
      <c r="AD416" s="65">
        <f>AD414-AD415</f>
        <v/>
      </c>
      <c r="AE416" s="1149">
        <f>AE414-AE415</f>
        <v/>
      </c>
      <c r="AF416" s="65">
        <f>AF414-AF415</f>
        <v/>
      </c>
      <c r="AG416" s="65">
        <f>AG414-AG415</f>
        <v/>
      </c>
      <c r="AH416" s="65">
        <f>AH414-AH415</f>
        <v/>
      </c>
      <c r="AI416" s="65">
        <f>AI414-AI415</f>
        <v/>
      </c>
      <c r="AJ416" s="1149">
        <f>AJ414-AJ415</f>
        <v/>
      </c>
      <c r="AK416" s="65">
        <f>AK414-AK415</f>
        <v/>
      </c>
      <c r="AL416" s="65">
        <f>AL414-AL415</f>
        <v/>
      </c>
      <c r="AM416" s="65">
        <f>AM414-AM415</f>
        <v/>
      </c>
      <c r="AN416" s="65">
        <f>AN414-AN415</f>
        <v/>
      </c>
      <c r="AO416" s="1149">
        <f>AO414-AO415</f>
        <v/>
      </c>
      <c r="AP416" s="65">
        <f>AP414-AP415</f>
        <v/>
      </c>
      <c r="AQ416" s="65">
        <f>AQ414-AQ415</f>
        <v/>
      </c>
      <c r="AR416" s="65">
        <f>AR414-AR415</f>
        <v/>
      </c>
      <c r="AS416" s="65">
        <f>AS414-AS415</f>
        <v/>
      </c>
      <c r="AT416" s="1149">
        <f>AT414-AT415</f>
        <v/>
      </c>
      <c r="AU416" s="65">
        <f>AU414-AU415</f>
        <v/>
      </c>
      <c r="AV416" s="65">
        <f>AV414-AV415</f>
        <v/>
      </c>
      <c r="AW416" s="65">
        <f>AW414-AW415</f>
        <v/>
      </c>
      <c r="AX416" s="65">
        <f>AX414-AX415</f>
        <v/>
      </c>
      <c r="AY416" s="1149">
        <f>AY414-AY415</f>
        <v/>
      </c>
      <c r="AZ416" s="65">
        <f>AZ414-AZ415</f>
        <v/>
      </c>
      <c r="BA416" s="65">
        <f>BA414-BA415</f>
        <v/>
      </c>
      <c r="BB416" s="65">
        <f>BB414-BB415</f>
        <v/>
      </c>
      <c r="BC416" s="65">
        <f>BC414-BC415</f>
        <v/>
      </c>
      <c r="BD416" s="1149">
        <f>BD414-BD415</f>
        <v/>
      </c>
      <c r="BE416" s="65">
        <f>BE414-BE415</f>
        <v/>
      </c>
      <c r="BF416" s="65">
        <f>BF414-BF415</f>
        <v/>
      </c>
      <c r="BG416" s="65">
        <f>BG414-BG415</f>
        <v/>
      </c>
      <c r="BH416" s="65">
        <f>BH414-BH415</f>
        <v/>
      </c>
      <c r="BI416" s="1149">
        <f>BI414-BI415</f>
        <v/>
      </c>
      <c r="BJ416" s="65">
        <f>BJ414-BJ415</f>
        <v/>
      </c>
      <c r="BK416" s="65">
        <f>BK414-BK415</f>
        <v/>
      </c>
      <c r="BL416" s="65">
        <f>BL414-BL415</f>
        <v/>
      </c>
      <c r="BM416" s="65">
        <f>BM414-BM415</f>
        <v/>
      </c>
      <c r="BN416" s="1149">
        <f>BN414-BN415</f>
        <v/>
      </c>
      <c r="BO416" s="65">
        <f>BO414-BO415</f>
        <v/>
      </c>
      <c r="BP416" s="65">
        <f>BP414-BP415</f>
        <v/>
      </c>
      <c r="BQ416" s="65">
        <f>BQ414-BQ415</f>
        <v/>
      </c>
      <c r="BR416" s="65">
        <f>BR414-BR415</f>
        <v/>
      </c>
      <c r="BS416" s="1149">
        <f>BS414-BS415</f>
        <v/>
      </c>
      <c r="BT416" s="65">
        <f>BT414-BT415</f>
        <v/>
      </c>
      <c r="BU416" s="65">
        <f>BU414-BU415</f>
        <v/>
      </c>
      <c r="BV416" s="894">
        <f>BV414-BV415</f>
        <v/>
      </c>
      <c r="BW416" s="66">
        <f>BW414-BW415</f>
        <v/>
      </c>
      <c r="BX416" s="1150">
        <f>BX414-BX415</f>
        <v/>
      </c>
      <c r="BY416" s="66">
        <f>BY414-BY415</f>
        <v/>
      </c>
      <c r="BZ416" s="66">
        <f>BZ414-BZ415</f>
        <v/>
      </c>
      <c r="CA416" s="66">
        <f>CA414-CA415</f>
        <v/>
      </c>
      <c r="CB416" s="66">
        <f>CB414-CB415</f>
        <v/>
      </c>
      <c r="CC416" s="1150">
        <f>CC414-CC415</f>
        <v/>
      </c>
      <c r="CD416" s="1150">
        <f>CD414-CD415</f>
        <v/>
      </c>
      <c r="CE416" s="1150">
        <f>CE414-CE415</f>
        <v/>
      </c>
      <c r="CF416" s="1150">
        <f>CF414-CF415</f>
        <v/>
      </c>
      <c r="CG416" s="155" t="n"/>
    </row>
    <row r="417" collapsed="1">
      <c r="A417" s="609" t="n"/>
      <c r="B417" s="610" t="n"/>
      <c r="C417" s="1159" t="n"/>
      <c r="D417" s="1159" t="n"/>
      <c r="E417" s="1159" t="n"/>
      <c r="F417" s="1159" t="n"/>
      <c r="G417" s="378" t="n"/>
      <c r="H417" s="378" t="n"/>
      <c r="I417" s="378" t="n"/>
      <c r="J417" s="378" t="n"/>
      <c r="K417" s="1159" t="n"/>
      <c r="L417" s="378" t="n"/>
      <c r="M417" s="378" t="n"/>
      <c r="N417" s="378" t="n"/>
      <c r="O417" s="378" t="n"/>
      <c r="P417" s="1159" t="n"/>
      <c r="Q417" s="378" t="n"/>
      <c r="R417" s="378" t="n"/>
      <c r="S417" s="378" t="n"/>
      <c r="T417" s="378" t="n"/>
      <c r="U417" s="1159" t="n"/>
      <c r="V417" s="378" t="n"/>
      <c r="W417" s="378" t="n"/>
      <c r="X417" s="378" t="n"/>
      <c r="Y417" s="378" t="n"/>
      <c r="Z417" s="1159" t="n"/>
      <c r="AA417" s="378" t="n"/>
      <c r="AB417" s="378" t="n"/>
      <c r="AC417" s="378" t="n"/>
      <c r="AD417" s="378" t="n"/>
      <c r="AE417" s="1159" t="n"/>
      <c r="AF417" s="378" t="n"/>
      <c r="AG417" s="378" t="n"/>
      <c r="AH417" s="378" t="n"/>
      <c r="AI417" s="378" t="n"/>
      <c r="AJ417" s="1159" t="n"/>
      <c r="AK417" s="378" t="n"/>
      <c r="AL417" s="378" t="n"/>
      <c r="AM417" s="378" t="n"/>
      <c r="AN417" s="378" t="n"/>
      <c r="AO417" s="1159" t="n"/>
      <c r="AP417" s="378" t="n"/>
      <c r="AQ417" s="378" t="n"/>
      <c r="AR417" s="378" t="n"/>
      <c r="AS417" s="378" t="n"/>
      <c r="AT417" s="1159" t="n"/>
      <c r="AU417" s="378" t="n"/>
      <c r="AV417" s="378" t="n"/>
      <c r="AW417" s="378" t="n"/>
      <c r="AX417" s="378" t="n"/>
      <c r="AY417" s="1159" t="n"/>
      <c r="AZ417" s="378" t="n"/>
      <c r="BA417" s="378" t="n"/>
      <c r="BB417" s="378" t="n"/>
      <c r="BC417" s="378" t="n"/>
      <c r="BD417" s="1159" t="n"/>
      <c r="BE417" s="378" t="n"/>
      <c r="BF417" s="378" t="n"/>
      <c r="BG417" s="378" t="n"/>
      <c r="BH417" s="378" t="n"/>
      <c r="BI417" s="1159" t="n"/>
      <c r="BJ417" s="378" t="n"/>
      <c r="BK417" s="378" t="n"/>
      <c r="BL417" s="378" t="n"/>
      <c r="BM417" s="378" t="n"/>
      <c r="BN417" s="1159" t="n"/>
      <c r="BO417" s="378" t="n"/>
      <c r="BP417" s="378" t="n"/>
      <c r="BQ417" s="378" t="n"/>
      <c r="BR417" s="378" t="n"/>
      <c r="BS417" s="1159" t="n"/>
      <c r="BT417" s="378" t="n"/>
      <c r="BU417" s="378" t="n"/>
      <c r="BV417" s="1037" t="n"/>
      <c r="BW417" s="378" t="n"/>
      <c r="BX417" s="1159" t="n"/>
      <c r="BY417" s="378" t="n"/>
      <c r="BZ417" s="378" t="n"/>
      <c r="CA417" s="378" t="n"/>
      <c r="CB417" s="378" t="n"/>
      <c r="CC417" s="1159" t="n"/>
      <c r="CD417" s="1159" t="n"/>
      <c r="CE417" s="1159" t="n"/>
      <c r="CF417" s="1159" t="n"/>
      <c r="CG417" s="155" t="n"/>
    </row>
    <row r="418">
      <c r="A418" s="141" t="inlineStr">
        <is>
          <t>Non-GAAP Tax Rate</t>
        </is>
      </c>
      <c r="B418" s="283" t="n"/>
      <c r="C418" s="1167">
        <f>C406/C403</f>
        <v/>
      </c>
      <c r="D418" s="1167">
        <f>D406/D403</f>
        <v/>
      </c>
      <c r="E418" s="1167">
        <f>E406/E403</f>
        <v/>
      </c>
      <c r="F418" s="1167">
        <f>F406/F403</f>
        <v/>
      </c>
      <c r="G418" s="287">
        <f>G406/G403</f>
        <v/>
      </c>
      <c r="H418" s="287">
        <f>H406/H403</f>
        <v/>
      </c>
      <c r="I418" s="287">
        <f>I406/I403</f>
        <v/>
      </c>
      <c r="J418" s="287">
        <f>J406/J403</f>
        <v/>
      </c>
      <c r="K418" s="1167">
        <f>K406/K403</f>
        <v/>
      </c>
      <c r="L418" s="287">
        <f>L406/L403</f>
        <v/>
      </c>
      <c r="M418" s="287">
        <f>M406/M403</f>
        <v/>
      </c>
      <c r="N418" s="287">
        <f>N406/N403</f>
        <v/>
      </c>
      <c r="O418" s="287">
        <f>O406/O403</f>
        <v/>
      </c>
      <c r="P418" s="1167">
        <f>P406/P403</f>
        <v/>
      </c>
      <c r="Q418" s="287">
        <f>Q406/Q403</f>
        <v/>
      </c>
      <c r="R418" s="287">
        <f>R406/R403</f>
        <v/>
      </c>
      <c r="S418" s="287">
        <f>S406/S403</f>
        <v/>
      </c>
      <c r="T418" s="287">
        <f>T406/T403</f>
        <v/>
      </c>
      <c r="U418" s="1167">
        <f>U406/U403</f>
        <v/>
      </c>
      <c r="V418" s="287">
        <f>V406/V403</f>
        <v/>
      </c>
      <c r="W418" s="287">
        <f>W406/W403</f>
        <v/>
      </c>
      <c r="X418" s="287">
        <f>X406/X403</f>
        <v/>
      </c>
      <c r="Y418" s="287">
        <f>Y406/Y403</f>
        <v/>
      </c>
      <c r="Z418" s="1167">
        <f>Z406/Z403</f>
        <v/>
      </c>
      <c r="AA418" s="287">
        <f>AA406/AA403</f>
        <v/>
      </c>
      <c r="AB418" s="287">
        <f>AB406/AB403</f>
        <v/>
      </c>
      <c r="AC418" s="287">
        <f>AC406/AC403</f>
        <v/>
      </c>
      <c r="AD418" s="287">
        <f>AD406/AD403</f>
        <v/>
      </c>
      <c r="AE418" s="1167">
        <f>AE406/AE403</f>
        <v/>
      </c>
      <c r="AF418" s="287">
        <f>AF406/AF403</f>
        <v/>
      </c>
      <c r="AG418" s="287">
        <f>AG406/AG403</f>
        <v/>
      </c>
      <c r="AH418" s="287">
        <f>AH406/AH403</f>
        <v/>
      </c>
      <c r="AI418" s="287">
        <f>AI406/AI403</f>
        <v/>
      </c>
      <c r="AJ418" s="1167">
        <f>AJ406/AJ403</f>
        <v/>
      </c>
      <c r="AK418" s="287">
        <f>AK406/AK403</f>
        <v/>
      </c>
      <c r="AL418" s="287">
        <f>AL406/AL403</f>
        <v/>
      </c>
      <c r="AM418" s="287">
        <f>AM406/AM403</f>
        <v/>
      </c>
      <c r="AN418" s="287">
        <f>AN406/AN403</f>
        <v/>
      </c>
      <c r="AO418" s="1167">
        <f>AO406/AO403</f>
        <v/>
      </c>
      <c r="AP418" s="287">
        <f>AP406/AP403</f>
        <v/>
      </c>
      <c r="AQ418" s="287">
        <f>AQ406/AQ403</f>
        <v/>
      </c>
      <c r="AR418" s="287">
        <f>AR406/AR403</f>
        <v/>
      </c>
      <c r="AS418" s="287">
        <f>AS406/AS403</f>
        <v/>
      </c>
      <c r="AT418" s="1167">
        <f>AT406/AT403</f>
        <v/>
      </c>
      <c r="AU418" s="287">
        <f>AU406/AU403</f>
        <v/>
      </c>
      <c r="AV418" s="287">
        <f>AV406/AV403</f>
        <v/>
      </c>
      <c r="AW418" s="287">
        <f>AW406/AW403</f>
        <v/>
      </c>
      <c r="AX418" s="287">
        <f>AX406/AX403</f>
        <v/>
      </c>
      <c r="AY418" s="1167">
        <f>AY406/AY403</f>
        <v/>
      </c>
      <c r="AZ418" s="287">
        <f>AZ406/AZ403</f>
        <v/>
      </c>
      <c r="BA418" s="287">
        <f>BA406/BA403</f>
        <v/>
      </c>
      <c r="BB418" s="287">
        <f>BB406/BB403</f>
        <v/>
      </c>
      <c r="BC418" s="287">
        <f>BC406/BC403</f>
        <v/>
      </c>
      <c r="BD418" s="1167">
        <f>BD406/BD403</f>
        <v/>
      </c>
      <c r="BE418" s="287">
        <f>BE406/BE403</f>
        <v/>
      </c>
      <c r="BF418" s="287">
        <f>BF406/BF403</f>
        <v/>
      </c>
      <c r="BG418" s="287">
        <f>BG406/BG403</f>
        <v/>
      </c>
      <c r="BH418" s="287">
        <f>BH406/BH403</f>
        <v/>
      </c>
      <c r="BI418" s="1167">
        <f>BI406/BI403</f>
        <v/>
      </c>
      <c r="BJ418" s="287">
        <f>BJ406/BJ403</f>
        <v/>
      </c>
      <c r="BK418" s="287">
        <f>BK406/BK403</f>
        <v/>
      </c>
      <c r="BL418" s="287">
        <f>BL406/BL403</f>
        <v/>
      </c>
      <c r="BM418" s="287">
        <f>BM406/BM403</f>
        <v/>
      </c>
      <c r="BN418" s="1167">
        <f>BN406/BN403</f>
        <v/>
      </c>
      <c r="BO418" s="287">
        <f>BO406/BO403</f>
        <v/>
      </c>
      <c r="BP418" s="287">
        <f>BP406/BP403</f>
        <v/>
      </c>
      <c r="BQ418" s="287">
        <f>BQ406/BQ403</f>
        <v/>
      </c>
      <c r="BR418" s="287">
        <f>BR406/BR403</f>
        <v/>
      </c>
      <c r="BS418" s="1167">
        <f>BS406/BS403</f>
        <v/>
      </c>
      <c r="BT418" s="287">
        <f>BT406/BT403</f>
        <v/>
      </c>
      <c r="BU418" s="287">
        <f>BU406/BU403</f>
        <v/>
      </c>
      <c r="BV418" s="896">
        <f>BV406/BV403</f>
        <v/>
      </c>
      <c r="BW418" s="1071" t="n">
        <v>0.17</v>
      </c>
      <c r="BX418" s="1168">
        <f>BX406/BX403</f>
        <v/>
      </c>
      <c r="BY418" s="1071" t="n">
        <v>0.15</v>
      </c>
      <c r="BZ418" s="1071" t="n">
        <v>0.15</v>
      </c>
      <c r="CA418" s="1071" t="n">
        <v>0.15</v>
      </c>
      <c r="CB418" s="1071" t="n">
        <v>0.15</v>
      </c>
      <c r="CC418" s="1168">
        <f>CC406/CC403</f>
        <v/>
      </c>
      <c r="CD418" s="1169" t="n">
        <v>0.15</v>
      </c>
      <c r="CE418" s="1169" t="n">
        <v>0.15</v>
      </c>
      <c r="CF418" s="1169" t="n">
        <v>0.15</v>
      </c>
      <c r="CG418" s="155" t="n"/>
    </row>
    <row r="419">
      <c r="A419" s="665" t="inlineStr">
        <is>
          <t>Marginal Tax Rate on Adjustments, %</t>
        </is>
      </c>
      <c r="B419" s="283" t="n"/>
      <c r="C419" s="1170">
        <f>-C413/SUM(C408:C412)</f>
        <v/>
      </c>
      <c r="D419" s="1170">
        <f>-D413/SUM(D408:D412)</f>
        <v/>
      </c>
      <c r="E419" s="1170">
        <f>-E413/SUM(E408:E412)</f>
        <v/>
      </c>
      <c r="F419" s="1170">
        <f>-F413/SUM(F408:F412)</f>
        <v/>
      </c>
      <c r="G419" s="664">
        <f>-G413/SUM(G408:G412)</f>
        <v/>
      </c>
      <c r="H419" s="664">
        <f>-H413/SUM(H408:H412)</f>
        <v/>
      </c>
      <c r="I419" s="664">
        <f>-I413/SUM(I408:I412)</f>
        <v/>
      </c>
      <c r="J419" s="664">
        <f>-J413/SUM(J408:J412)</f>
        <v/>
      </c>
      <c r="K419" s="1170">
        <f>-K413/SUM(K408:K412)</f>
        <v/>
      </c>
      <c r="L419" s="664">
        <f>-L413/SUM(L408:L412)</f>
        <v/>
      </c>
      <c r="M419" s="664">
        <f>-M413/SUM(M408:M412)</f>
        <v/>
      </c>
      <c r="N419" s="664">
        <f>-N413/SUM(N408:N412)</f>
        <v/>
      </c>
      <c r="O419" s="664">
        <f>-O413/SUM(O408:O412)</f>
        <v/>
      </c>
      <c r="P419" s="1170">
        <f>-P413/SUM(P408:P412)</f>
        <v/>
      </c>
      <c r="Q419" s="664">
        <f>-Q413/SUM(Q408:Q412)</f>
        <v/>
      </c>
      <c r="R419" s="664">
        <f>-R413/SUM(R408:R412)</f>
        <v/>
      </c>
      <c r="S419" s="664">
        <f>-S413/SUM(S408:S412)</f>
        <v/>
      </c>
      <c r="T419" s="664">
        <f>-T413/SUM(T408:T412)</f>
        <v/>
      </c>
      <c r="U419" s="1170">
        <f>-U413/SUM(U408:U412)</f>
        <v/>
      </c>
      <c r="V419" s="664">
        <f>-V413/SUM(V408:V412)</f>
        <v/>
      </c>
      <c r="W419" s="664">
        <f>-W413/SUM(W408:W412)</f>
        <v/>
      </c>
      <c r="X419" s="664">
        <f>-X413/SUM(X408:X412)</f>
        <v/>
      </c>
      <c r="Y419" s="664">
        <f>-Y413/SUM(Y408:Y412)</f>
        <v/>
      </c>
      <c r="Z419" s="1170">
        <f>-Z413/SUM(Z408:Z412)</f>
        <v/>
      </c>
      <c r="AA419" s="664">
        <f>-AA413/SUM(AA408:AA412)</f>
        <v/>
      </c>
      <c r="AB419" s="664">
        <f>-AB413/SUM(AB408:AB412)</f>
        <v/>
      </c>
      <c r="AC419" s="664">
        <f>-AC413/SUM(AC408:AC412)</f>
        <v/>
      </c>
      <c r="AD419" s="664">
        <f>-AD413/SUM(AD408:AD412)</f>
        <v/>
      </c>
      <c r="AE419" s="1170">
        <f>-AE413/SUM(AE408:AE412)</f>
        <v/>
      </c>
      <c r="AF419" s="664">
        <f>-AF413/SUM(AF408:AF412)</f>
        <v/>
      </c>
      <c r="AG419" s="664">
        <f>-AG413/SUM(AG408:AG412)</f>
        <v/>
      </c>
      <c r="AH419" s="664">
        <f>-AH413/SUM(AH408:AH412)</f>
        <v/>
      </c>
      <c r="AI419" s="664">
        <f>-AI413/SUM(AI408:AI412)</f>
        <v/>
      </c>
      <c r="AJ419" s="1170">
        <f>-AJ413/SUM(AJ408:AJ412)</f>
        <v/>
      </c>
      <c r="AK419" s="664">
        <f>-AK413/SUM(AK408:AK412)</f>
        <v/>
      </c>
      <c r="AL419" s="664">
        <f>-AL413/SUM(AL408:AL412)</f>
        <v/>
      </c>
      <c r="AM419" s="664">
        <f>-AM413/SUM(AM408:AM412)</f>
        <v/>
      </c>
      <c r="AN419" s="664">
        <f>-AN413/SUM(AN408:AN412)</f>
        <v/>
      </c>
      <c r="AO419" s="1170">
        <f>-AO413/SUM(AO408:AO412)</f>
        <v/>
      </c>
      <c r="AP419" s="664">
        <f>-AP413/SUM(AP408:AP412)</f>
        <v/>
      </c>
      <c r="AQ419" s="664">
        <f>-AQ413/SUM(AQ408:AQ412)</f>
        <v/>
      </c>
      <c r="AR419" s="664">
        <f>-AR413/SUM(AR408:AR412)</f>
        <v/>
      </c>
      <c r="AS419" s="664">
        <f>-AS413/SUM(AS408:AS412)</f>
        <v/>
      </c>
      <c r="AT419" s="1170">
        <f>-AT413/SUM(AT408:AT412)</f>
        <v/>
      </c>
      <c r="AU419" s="664">
        <f>-AU413/SUM(AU408:AU412)</f>
        <v/>
      </c>
      <c r="AV419" s="664">
        <f>-AV413/SUM(AV408:AV412)</f>
        <v/>
      </c>
      <c r="AW419" s="664">
        <f>-AW413/SUM(AW408:AW412)</f>
        <v/>
      </c>
      <c r="AX419" s="664">
        <f>-AX413/SUM(AX408:AX412)</f>
        <v/>
      </c>
      <c r="AY419" s="1170">
        <f>-AY413/SUM(AY408:AY412)</f>
        <v/>
      </c>
      <c r="AZ419" s="664">
        <f>-AZ413/SUM(AZ408:AZ412)</f>
        <v/>
      </c>
      <c r="BA419" s="664">
        <f>-BA413/SUM(BA408:BA412)</f>
        <v/>
      </c>
      <c r="BB419" s="664">
        <f>-BB413/SUM(BB408:BB412)</f>
        <v/>
      </c>
      <c r="BC419" s="664">
        <f>-BC413/SUM(BC408:BC412)</f>
        <v/>
      </c>
      <c r="BD419" s="1170">
        <f>-BD413/SUM(BD408:BD412)</f>
        <v/>
      </c>
      <c r="BE419" s="664">
        <f>-BE413/SUM(BE408:BE412)</f>
        <v/>
      </c>
      <c r="BF419" s="664">
        <f>-BF413/SUM(BF408:BF412)</f>
        <v/>
      </c>
      <c r="BG419" s="664">
        <f>-BG413/SUM(BG408:BG412)</f>
        <v/>
      </c>
      <c r="BH419" s="664">
        <f>-BH413/SUM(BH408:BH412)</f>
        <v/>
      </c>
      <c r="BI419" s="1170">
        <f>-BI413/SUM(BI408:BI412)</f>
        <v/>
      </c>
      <c r="BJ419" s="664">
        <f>-BJ413/SUM(BJ408:BJ412)</f>
        <v/>
      </c>
      <c r="BK419" s="664">
        <f>-BK413/SUM(BK408:BK412)</f>
        <v/>
      </c>
      <c r="BL419" s="664">
        <f>-BL413/SUM(BL408:BL412)</f>
        <v/>
      </c>
      <c r="BM419" s="664">
        <f>-BM413/SUM(BM408:BM412)</f>
        <v/>
      </c>
      <c r="BN419" s="1170">
        <f>-BN413/SUM(BN408:BN412)</f>
        <v/>
      </c>
      <c r="BO419" s="664">
        <f>-BO413/SUM(BO408:BO412)</f>
        <v/>
      </c>
      <c r="BP419" s="664">
        <f>-BP413/SUM(BP408:BP412)</f>
        <v/>
      </c>
      <c r="BQ419" s="664">
        <f>-BQ413/SUM(BQ408:BQ412)</f>
        <v/>
      </c>
      <c r="BR419" s="664">
        <f>-BR413/SUM(BR408:BR412)</f>
        <v/>
      </c>
      <c r="BS419" s="1170">
        <f>-BS413/SUM(BS408:BS412)</f>
        <v/>
      </c>
      <c r="BT419" s="664">
        <f>-BT413/SUM(BT408:BT412)</f>
        <v/>
      </c>
      <c r="BU419" s="664">
        <f>-BU413/SUM(BU408:BU412)</f>
        <v/>
      </c>
      <c r="BV419" s="897">
        <f>-BV413/SUM(BV408:BV412)</f>
        <v/>
      </c>
      <c r="BW419" s="1072" t="n">
        <v>0.15</v>
      </c>
      <c r="BX419" s="1170">
        <f>-BX413/SUM(BX408:BX412)</f>
        <v/>
      </c>
      <c r="BY419" s="1072" t="n">
        <v>0.15</v>
      </c>
      <c r="BZ419" s="1072" t="n">
        <v>0.15</v>
      </c>
      <c r="CA419" s="1072" t="n">
        <v>0.15</v>
      </c>
      <c r="CB419" s="1072" t="n">
        <v>0.15</v>
      </c>
      <c r="CC419" s="1170">
        <f>-CC413/SUM(CC408:CC412)</f>
        <v/>
      </c>
      <c r="CD419" s="1171" t="n">
        <v>0.15</v>
      </c>
      <c r="CE419" s="1171" t="n">
        <v>0.15</v>
      </c>
      <c r="CF419" s="1171" t="n">
        <v>0.15</v>
      </c>
      <c r="CG419" s="155" t="n"/>
    </row>
    <row r="420">
      <c r="A420" s="665" t="inlineStr">
        <is>
          <t>GAAP Tax Rate, %</t>
        </is>
      </c>
      <c r="B420" s="283" t="n"/>
      <c r="C420" s="1170">
        <f>C404/(C414+C404)</f>
        <v/>
      </c>
      <c r="D420" s="1170">
        <f>D404/(D414+D404)</f>
        <v/>
      </c>
      <c r="E420" s="1170">
        <f>E404/(E414+E404)</f>
        <v/>
      </c>
      <c r="F420" s="1170">
        <f>F404/(F414+F404)</f>
        <v/>
      </c>
      <c r="G420" s="664">
        <f>G404/(G414+G404)</f>
        <v/>
      </c>
      <c r="H420" s="664">
        <f>H404/(H414+H404)</f>
        <v/>
      </c>
      <c r="I420" s="664">
        <f>I404/(I414+I404)</f>
        <v/>
      </c>
      <c r="J420" s="664">
        <f>J404/(J414+J404)</f>
        <v/>
      </c>
      <c r="K420" s="1170">
        <f>K404/(K414+K404)</f>
        <v/>
      </c>
      <c r="L420" s="664">
        <f>L404/(L414+L404)</f>
        <v/>
      </c>
      <c r="M420" s="664">
        <f>M404/(M414+M404)</f>
        <v/>
      </c>
      <c r="N420" s="664">
        <f>N404/(N414+N404)</f>
        <v/>
      </c>
      <c r="O420" s="664">
        <f>O404/(O414+O404)</f>
        <v/>
      </c>
      <c r="P420" s="1170">
        <f>P404/(P414+P404)</f>
        <v/>
      </c>
      <c r="Q420" s="664">
        <f>Q404/(Q414+Q404)</f>
        <v/>
      </c>
      <c r="R420" s="664">
        <f>R404/(R414+R404)</f>
        <v/>
      </c>
      <c r="S420" s="664">
        <f>S404/(S414+S404)</f>
        <v/>
      </c>
      <c r="T420" s="664">
        <f>T404/(T414+T404)</f>
        <v/>
      </c>
      <c r="U420" s="1170">
        <f>U404/(U414+U404)</f>
        <v/>
      </c>
      <c r="V420" s="664">
        <f>V404/(V414+V404)</f>
        <v/>
      </c>
      <c r="W420" s="664">
        <f>W404/(W414+W404)</f>
        <v/>
      </c>
      <c r="X420" s="664">
        <f>X404/(X414+X404)</f>
        <v/>
      </c>
      <c r="Y420" s="664">
        <f>Y404/(Y414+Y404)</f>
        <v/>
      </c>
      <c r="Z420" s="1170">
        <f>Z404/(Z414+Z404)</f>
        <v/>
      </c>
      <c r="AA420" s="664">
        <f>AA404/(AA414+AA404)</f>
        <v/>
      </c>
      <c r="AB420" s="664">
        <f>AB404/(AB414+AB404)</f>
        <v/>
      </c>
      <c r="AC420" s="664">
        <f>AC404/(AC414+AC404)</f>
        <v/>
      </c>
      <c r="AD420" s="664">
        <f>AD404/(AD414+AD404)</f>
        <v/>
      </c>
      <c r="AE420" s="1170">
        <f>AE404/(AE414+AE404)</f>
        <v/>
      </c>
      <c r="AF420" s="664">
        <f>AF404/(AF414+AF404)</f>
        <v/>
      </c>
      <c r="AG420" s="664">
        <f>AG404/(AG414+AG404)</f>
        <v/>
      </c>
      <c r="AH420" s="664">
        <f>AH404/(AH414+AH404)</f>
        <v/>
      </c>
      <c r="AI420" s="664">
        <f>AI404/(AI414+AI404)</f>
        <v/>
      </c>
      <c r="AJ420" s="1170">
        <f>AJ404/(AJ414+AJ404)</f>
        <v/>
      </c>
      <c r="AK420" s="664">
        <f>AK404/(AK414+AK404)</f>
        <v/>
      </c>
      <c r="AL420" s="664">
        <f>AL404/(AL414+AL404)</f>
        <v/>
      </c>
      <c r="AM420" s="664">
        <f>AM404/(AM414+AM404)</f>
        <v/>
      </c>
      <c r="AN420" s="664">
        <f>AN404/(AN414+AN404)</f>
        <v/>
      </c>
      <c r="AO420" s="1170">
        <f>AO404/(AO414+AO404)</f>
        <v/>
      </c>
      <c r="AP420" s="664">
        <f>AP404/(AP414+AP404)</f>
        <v/>
      </c>
      <c r="AQ420" s="664">
        <f>AQ404/(AQ414+AQ404)</f>
        <v/>
      </c>
      <c r="AR420" s="664">
        <f>AR404/(AR414+AR404)</f>
        <v/>
      </c>
      <c r="AS420" s="664">
        <f>AS404/(AS414+AS404)</f>
        <v/>
      </c>
      <c r="AT420" s="1170">
        <f>AT404/(AT414+AT404)</f>
        <v/>
      </c>
      <c r="AU420" s="664">
        <f>AU404/(AU414+AU404)</f>
        <v/>
      </c>
      <c r="AV420" s="664">
        <f>AV404/(AV414+AV404)</f>
        <v/>
      </c>
      <c r="AW420" s="664">
        <f>AW404/(AW414+AW404)</f>
        <v/>
      </c>
      <c r="AX420" s="664">
        <f>AX404/(AX414+AX404)</f>
        <v/>
      </c>
      <c r="AY420" s="1170">
        <f>AY404/(AY414+AY404)</f>
        <v/>
      </c>
      <c r="AZ420" s="664">
        <f>AZ404/(AZ414+AZ404)</f>
        <v/>
      </c>
      <c r="BA420" s="664">
        <f>BA404/(BA414+BA404)</f>
        <v/>
      </c>
      <c r="BB420" s="664">
        <f>BB404/(BB414+BB404)</f>
        <v/>
      </c>
      <c r="BC420" s="664">
        <f>BC404/(BC414+BC404)</f>
        <v/>
      </c>
      <c r="BD420" s="1170">
        <f>BD404/(BD414+BD404)</f>
        <v/>
      </c>
      <c r="BE420" s="664">
        <f>BE404/(BE414+BE404)</f>
        <v/>
      </c>
      <c r="BF420" s="664">
        <f>BF404/(BF414+BF404)</f>
        <v/>
      </c>
      <c r="BG420" s="664">
        <f>BG404/(BG414+BG404)</f>
        <v/>
      </c>
      <c r="BH420" s="664">
        <f>BH404/(BH414+BH404)</f>
        <v/>
      </c>
      <c r="BI420" s="1170">
        <f>BI404/(BI414+BI404)</f>
        <v/>
      </c>
      <c r="BJ420" s="664">
        <f>BJ404/(BJ414+BJ404)</f>
        <v/>
      </c>
      <c r="BK420" s="664">
        <f>BK404/(BK414+BK404)</f>
        <v/>
      </c>
      <c r="BL420" s="664">
        <f>BL404/(BL414+BL404)</f>
        <v/>
      </c>
      <c r="BM420" s="664">
        <f>BM404/(BM414+BM404)</f>
        <v/>
      </c>
      <c r="BN420" s="1170">
        <f>BN404/(BN414+BN404)</f>
        <v/>
      </c>
      <c r="BO420" s="664">
        <f>BO404/(BO414+BO404)</f>
        <v/>
      </c>
      <c r="BP420" s="664">
        <f>BP404/(BP414+BP404)</f>
        <v/>
      </c>
      <c r="BQ420" s="664">
        <f>BQ404/(BQ414+BQ404)</f>
        <v/>
      </c>
      <c r="BR420" s="664">
        <f>BR404/(BR414+BR404)</f>
        <v/>
      </c>
      <c r="BS420" s="1170">
        <f>BS404/(BS414+BS404)</f>
        <v/>
      </c>
      <c r="BT420" s="664">
        <f>BT404/(BT414+BT404)</f>
        <v/>
      </c>
      <c r="BU420" s="664">
        <f>BU404/(BU414+BU404)</f>
        <v/>
      </c>
      <c r="BV420" s="897">
        <f>BV404/(BV414+BV404)</f>
        <v/>
      </c>
      <c r="BW420" s="664">
        <f>BW404/(BW414+BW404)</f>
        <v/>
      </c>
      <c r="BX420" s="1170">
        <f>BX404/(BX414+BX404)</f>
        <v/>
      </c>
      <c r="BY420" s="664">
        <f>BY404/(BY414+BY404)</f>
        <v/>
      </c>
      <c r="BZ420" s="664">
        <f>BZ404/(BZ414+BZ404)</f>
        <v/>
      </c>
      <c r="CA420" s="664">
        <f>CA404/(CA414+CA404)</f>
        <v/>
      </c>
      <c r="CB420" s="664">
        <f>CB404/(CB414+CB404)</f>
        <v/>
      </c>
      <c r="CC420" s="1170">
        <f>CC404/(CC414+CC404)</f>
        <v/>
      </c>
      <c r="CD420" s="1170">
        <f>CD404/(CD414+CD404)</f>
        <v/>
      </c>
      <c r="CE420" s="1170">
        <f>CE404/(CE414+CE404)</f>
        <v/>
      </c>
      <c r="CF420" s="1170">
        <f>CF404/(CF414+CF404)</f>
        <v/>
      </c>
      <c r="CG420" s="155" t="n"/>
    </row>
    <row r="421">
      <c r="A421" s="85" t="inlineStr">
        <is>
          <t>Deferred Income Tax as % of Non-GAAP Taxes, %</t>
        </is>
      </c>
      <c r="B421" s="283" t="n"/>
      <c r="C421" s="1168">
        <f>C852/C406</f>
        <v/>
      </c>
      <c r="D421" s="1168">
        <f>D852/D406</f>
        <v/>
      </c>
      <c r="E421" s="1168">
        <f>E852/E406</f>
        <v/>
      </c>
      <c r="F421" s="1168">
        <f>F852/F406</f>
        <v/>
      </c>
      <c r="G421" s="288">
        <f>G852/G406</f>
        <v/>
      </c>
      <c r="H421" s="288">
        <f>H852/H406</f>
        <v/>
      </c>
      <c r="I421" s="288">
        <f>I852/I406</f>
        <v/>
      </c>
      <c r="J421" s="288">
        <f>J852/J406</f>
        <v/>
      </c>
      <c r="K421" s="1168">
        <f>K852/K406</f>
        <v/>
      </c>
      <c r="L421" s="288">
        <f>L852/L406</f>
        <v/>
      </c>
      <c r="M421" s="288">
        <f>M852/M406</f>
        <v/>
      </c>
      <c r="N421" s="288">
        <f>N852/N406</f>
        <v/>
      </c>
      <c r="O421" s="288">
        <f>O852/O406</f>
        <v/>
      </c>
      <c r="P421" s="1168">
        <f>P852/P406</f>
        <v/>
      </c>
      <c r="Q421" s="288">
        <f>Q852/Q406</f>
        <v/>
      </c>
      <c r="R421" s="288">
        <f>R852/R406</f>
        <v/>
      </c>
      <c r="S421" s="288">
        <f>S852/S406</f>
        <v/>
      </c>
      <c r="T421" s="288">
        <f>T852/T406</f>
        <v/>
      </c>
      <c r="U421" s="1168">
        <f>U852/U406</f>
        <v/>
      </c>
      <c r="V421" s="288">
        <f>V852/V406</f>
        <v/>
      </c>
      <c r="W421" s="288">
        <f>W852/W406</f>
        <v/>
      </c>
      <c r="X421" s="288">
        <f>X852/X406</f>
        <v/>
      </c>
      <c r="Y421" s="288">
        <f>Y852/Y406</f>
        <v/>
      </c>
      <c r="Z421" s="1168">
        <f>Z852/Z406</f>
        <v/>
      </c>
      <c r="AA421" s="288">
        <f>AA852/AA406</f>
        <v/>
      </c>
      <c r="AB421" s="288">
        <f>AB852/AB406</f>
        <v/>
      </c>
      <c r="AC421" s="288">
        <f>AC852/AC406</f>
        <v/>
      </c>
      <c r="AD421" s="288">
        <f>AD852/AD406</f>
        <v/>
      </c>
      <c r="AE421" s="1168">
        <f>AE852/AE406</f>
        <v/>
      </c>
      <c r="AF421" s="288">
        <f>AF852/AF406</f>
        <v/>
      </c>
      <c r="AG421" s="288">
        <f>AG852/AG406</f>
        <v/>
      </c>
      <c r="AH421" s="288">
        <f>AH852/AH406</f>
        <v/>
      </c>
      <c r="AI421" s="288">
        <f>AI852/AI406</f>
        <v/>
      </c>
      <c r="AJ421" s="1168">
        <f>AJ852/AJ406</f>
        <v/>
      </c>
      <c r="AK421" s="288">
        <f>AK852/AK406</f>
        <v/>
      </c>
      <c r="AL421" s="288">
        <f>AL852/AL406</f>
        <v/>
      </c>
      <c r="AM421" s="288">
        <f>AM852/AM406</f>
        <v/>
      </c>
      <c r="AN421" s="288">
        <f>AN852/AN406</f>
        <v/>
      </c>
      <c r="AO421" s="1168">
        <f>AO852/AO406</f>
        <v/>
      </c>
      <c r="AP421" s="287">
        <f>AP852/AP406</f>
        <v/>
      </c>
      <c r="AQ421" s="287">
        <f>AQ852/AQ406</f>
        <v/>
      </c>
      <c r="AR421" s="288">
        <f>AR852/AR406</f>
        <v/>
      </c>
      <c r="AS421" s="288">
        <f>AS852/AS406</f>
        <v/>
      </c>
      <c r="AT421" s="1168">
        <f>AT852/AT406</f>
        <v/>
      </c>
      <c r="AU421" s="287">
        <f>AU852/AU406</f>
        <v/>
      </c>
      <c r="AV421" s="287">
        <f>AV852/AV406</f>
        <v/>
      </c>
      <c r="AW421" s="288">
        <f>AW852/AW406</f>
        <v/>
      </c>
      <c r="AX421" s="288">
        <f>AX852/AX406</f>
        <v/>
      </c>
      <c r="AY421" s="1168">
        <f>AY852/AY406</f>
        <v/>
      </c>
      <c r="AZ421" s="287">
        <f>AZ852/AZ406</f>
        <v/>
      </c>
      <c r="BA421" s="287">
        <f>BA852/BA406</f>
        <v/>
      </c>
      <c r="BB421" s="288">
        <f>BB852/BB406</f>
        <v/>
      </c>
      <c r="BC421" s="288">
        <f>BC852/BC406</f>
        <v/>
      </c>
      <c r="BD421" s="1168">
        <f>BD852/BD406</f>
        <v/>
      </c>
      <c r="BE421" s="287">
        <f>BE852/BE406</f>
        <v/>
      </c>
      <c r="BF421" s="287">
        <f>BF852/BF406</f>
        <v/>
      </c>
      <c r="BG421" s="288">
        <f>BG852/BG406</f>
        <v/>
      </c>
      <c r="BH421" s="288">
        <f>BH852/BH406</f>
        <v/>
      </c>
      <c r="BI421" s="1168">
        <f>BI852/BI406</f>
        <v/>
      </c>
      <c r="BJ421" s="287">
        <f>BJ852/BJ406</f>
        <v/>
      </c>
      <c r="BK421" s="287">
        <f>BK852/BK406</f>
        <v/>
      </c>
      <c r="BL421" s="288">
        <f>BL852/BL406</f>
        <v/>
      </c>
      <c r="BM421" s="288">
        <f>BM852/BM406</f>
        <v/>
      </c>
      <c r="BN421" s="1168">
        <f>BN852/BN406</f>
        <v/>
      </c>
      <c r="BO421" s="287">
        <f>BO852/BO406</f>
        <v/>
      </c>
      <c r="BP421" s="287">
        <f>BP852/BP406</f>
        <v/>
      </c>
      <c r="BQ421" s="288">
        <f>BQ852/BQ406</f>
        <v/>
      </c>
      <c r="BR421" s="288">
        <f>BR852/BR406</f>
        <v/>
      </c>
      <c r="BS421" s="1168">
        <f>BS852/BS406</f>
        <v/>
      </c>
      <c r="BT421" s="287">
        <f>BT852/BT406</f>
        <v/>
      </c>
      <c r="BU421" s="287">
        <f>BU852/BU406</f>
        <v/>
      </c>
      <c r="BV421" s="1028">
        <f>BV852/BV406</f>
        <v/>
      </c>
      <c r="BW421" s="1071" t="n">
        <v>0</v>
      </c>
      <c r="BX421" s="1168">
        <f>BX852/BX406</f>
        <v/>
      </c>
      <c r="BY421" s="1071" t="n">
        <v>0</v>
      </c>
      <c r="BZ421" s="1071" t="n">
        <v>0</v>
      </c>
      <c r="CA421" s="1071" t="n">
        <v>0</v>
      </c>
      <c r="CB421" s="1071" t="n">
        <v>0</v>
      </c>
      <c r="CC421" s="1168">
        <f>CC852/CC406</f>
        <v/>
      </c>
      <c r="CD421" s="1169" t="n">
        <v>0</v>
      </c>
      <c r="CE421" s="1169" t="n">
        <v>0</v>
      </c>
      <c r="CF421" s="1169" t="n">
        <v>0</v>
      </c>
      <c r="CG421" s="155" t="n"/>
    </row>
    <row r="422" ht="7.5" customHeight="1">
      <c r="A422" s="611" t="n"/>
      <c r="B422" s="612" t="n"/>
      <c r="C422" s="1172" t="n"/>
      <c r="D422" s="1172" t="n"/>
      <c r="E422" s="1172" t="n"/>
      <c r="F422" s="1172" t="n"/>
      <c r="G422" s="593" t="n"/>
      <c r="H422" s="593" t="n"/>
      <c r="I422" s="593" t="n"/>
      <c r="J422" s="593" t="n"/>
      <c r="K422" s="1172" t="n"/>
      <c r="L422" s="593" t="n"/>
      <c r="M422" s="593" t="n"/>
      <c r="N422" s="593" t="n"/>
      <c r="O422" s="593" t="n"/>
      <c r="P422" s="1172" t="n"/>
      <c r="Q422" s="593" t="n"/>
      <c r="R422" s="593" t="n"/>
      <c r="S422" s="593" t="n"/>
      <c r="T422" s="593" t="n"/>
      <c r="U422" s="1172" t="n"/>
      <c r="V422" s="593" t="n"/>
      <c r="W422" s="593" t="n"/>
      <c r="X422" s="593" t="n"/>
      <c r="Y422" s="593" t="n"/>
      <c r="Z422" s="1172" t="n"/>
      <c r="AA422" s="593" t="n"/>
      <c r="AB422" s="593" t="n"/>
      <c r="AC422" s="593" t="n"/>
      <c r="AD422" s="593" t="n"/>
      <c r="AE422" s="1172" t="n"/>
      <c r="AF422" s="593" t="n"/>
      <c r="AG422" s="593" t="n"/>
      <c r="AH422" s="593" t="n"/>
      <c r="AI422" s="593" t="n"/>
      <c r="AJ422" s="1172" t="n"/>
      <c r="AK422" s="593" t="n"/>
      <c r="AL422" s="593" t="n"/>
      <c r="AM422" s="593" t="n"/>
      <c r="AN422" s="593" t="n"/>
      <c r="AO422" s="1172" t="n"/>
      <c r="AP422" s="593" t="n"/>
      <c r="AQ422" s="593" t="n"/>
      <c r="AR422" s="593" t="n"/>
      <c r="AS422" s="593" t="n"/>
      <c r="AT422" s="1172" t="n"/>
      <c r="AU422" s="593" t="n"/>
      <c r="AV422" s="593" t="n"/>
      <c r="AW422" s="593" t="n"/>
      <c r="AX422" s="593" t="n"/>
      <c r="AY422" s="1172" t="n"/>
      <c r="AZ422" s="593" t="n"/>
      <c r="BA422" s="593" t="n"/>
      <c r="BB422" s="593" t="n"/>
      <c r="BC422" s="593" t="n"/>
      <c r="BD422" s="1172" t="n"/>
      <c r="BE422" s="593" t="n"/>
      <c r="BF422" s="593" t="n"/>
      <c r="BG422" s="593" t="n"/>
      <c r="BH422" s="593" t="n"/>
      <c r="BI422" s="1172" t="n"/>
      <c r="BJ422" s="593" t="n"/>
      <c r="BK422" s="593" t="n"/>
      <c r="BL422" s="593" t="n"/>
      <c r="BM422" s="593" t="n"/>
      <c r="BN422" s="1172" t="n"/>
      <c r="BO422" s="593" t="n"/>
      <c r="BP422" s="593" t="n"/>
      <c r="BQ422" s="593" t="n"/>
      <c r="BR422" s="593" t="n"/>
      <c r="BS422" s="1172" t="n"/>
      <c r="BT422" s="593" t="n"/>
      <c r="BU422" s="593" t="n"/>
      <c r="BV422" s="898" t="n"/>
      <c r="BW422" s="593" t="n"/>
      <c r="BX422" s="1172" t="n"/>
      <c r="BY422" s="593" t="n"/>
      <c r="BZ422" s="593" t="n"/>
      <c r="CA422" s="593" t="n"/>
      <c r="CB422" s="593" t="n"/>
      <c r="CC422" s="1172" t="n"/>
      <c r="CD422" s="1172" t="n"/>
      <c r="CE422" s="1172" t="n"/>
      <c r="CF422" s="1172" t="n"/>
      <c r="CG422" s="155" t="n"/>
    </row>
    <row r="423" hidden="1" outlineLevel="1">
      <c r="A423" s="38" t="inlineStr">
        <is>
          <t>GAAP Earnings Per Share - WAB</t>
        </is>
      </c>
      <c r="B423" s="613" t="n"/>
      <c r="C423" s="1173">
        <f>C414/C428</f>
        <v/>
      </c>
      <c r="D423" s="1173">
        <f>D414/D428</f>
        <v/>
      </c>
      <c r="E423" s="1173">
        <f>E414/E428</f>
        <v/>
      </c>
      <c r="F423" s="1173">
        <f>F414/F428</f>
        <v/>
      </c>
      <c r="G423" s="120">
        <f>G414/G428</f>
        <v/>
      </c>
      <c r="H423" s="120">
        <f>H414/H428</f>
        <v/>
      </c>
      <c r="I423" s="120">
        <f>I414/I428</f>
        <v/>
      </c>
      <c r="J423" s="120">
        <f>J414/J428</f>
        <v/>
      </c>
      <c r="K423" s="1173">
        <f>K414/K428</f>
        <v/>
      </c>
      <c r="L423" s="120">
        <f>L414/L428</f>
        <v/>
      </c>
      <c r="M423" s="120">
        <f>M414/M428</f>
        <v/>
      </c>
      <c r="N423" s="120">
        <f>N414/N428</f>
        <v/>
      </c>
      <c r="O423" s="120">
        <f>O414/O428</f>
        <v/>
      </c>
      <c r="P423" s="1173">
        <f>P414/P428</f>
        <v/>
      </c>
      <c r="Q423" s="120">
        <f>Q414/Q428</f>
        <v/>
      </c>
      <c r="R423" s="120">
        <f>R414/R428</f>
        <v/>
      </c>
      <c r="S423" s="120">
        <f>S414/S428</f>
        <v/>
      </c>
      <c r="T423" s="120">
        <f>T414/T428</f>
        <v/>
      </c>
      <c r="U423" s="1173">
        <f>U414/U428</f>
        <v/>
      </c>
      <c r="V423" s="120">
        <f>V414/V428</f>
        <v/>
      </c>
      <c r="W423" s="120">
        <f>W414/W428</f>
        <v/>
      </c>
      <c r="X423" s="120">
        <f>X414/X428</f>
        <v/>
      </c>
      <c r="Y423" s="120">
        <f>Y414/Y428</f>
        <v/>
      </c>
      <c r="Z423" s="1173">
        <f>Z414/Z428</f>
        <v/>
      </c>
      <c r="AA423" s="120">
        <f>AA414/AA428</f>
        <v/>
      </c>
      <c r="AB423" s="120">
        <f>AB414/AB428</f>
        <v/>
      </c>
      <c r="AC423" s="120">
        <f>AC414/AC428</f>
        <v/>
      </c>
      <c r="AD423" s="120">
        <f>AD414/AD428</f>
        <v/>
      </c>
      <c r="AE423" s="1173">
        <f>AE414/AE428</f>
        <v/>
      </c>
      <c r="AF423" s="120">
        <f>AF414/AF428</f>
        <v/>
      </c>
      <c r="AG423" s="120">
        <f>AG414/AG428</f>
        <v/>
      </c>
      <c r="AH423" s="120">
        <f>AH414/AH428</f>
        <v/>
      </c>
      <c r="AI423" s="120">
        <f>AI414/AI428</f>
        <v/>
      </c>
      <c r="AJ423" s="1173">
        <f>AJ414/AJ428</f>
        <v/>
      </c>
      <c r="AK423" s="120">
        <f>AK414/AK428</f>
        <v/>
      </c>
      <c r="AL423" s="120">
        <f>AL414/AL428</f>
        <v/>
      </c>
      <c r="AM423" s="120">
        <f>AM414/AM428</f>
        <v/>
      </c>
      <c r="AN423" s="120">
        <f>AN414/AN428</f>
        <v/>
      </c>
      <c r="AO423" s="1173">
        <f>AO414/AO428</f>
        <v/>
      </c>
      <c r="AP423" s="120">
        <f>AP414/AP428</f>
        <v/>
      </c>
      <c r="AQ423" s="120">
        <f>AQ414/AQ428</f>
        <v/>
      </c>
      <c r="AR423" s="120">
        <f>AR414/AR428</f>
        <v/>
      </c>
      <c r="AS423" s="120">
        <f>AS414/AS428</f>
        <v/>
      </c>
      <c r="AT423" s="1173">
        <f>AT414/AT428</f>
        <v/>
      </c>
      <c r="AU423" s="120">
        <f>AU414/AU428</f>
        <v/>
      </c>
      <c r="AV423" s="120">
        <f>AV414/AV428</f>
        <v/>
      </c>
      <c r="AW423" s="120">
        <f>AW414/AW428</f>
        <v/>
      </c>
      <c r="AX423" s="120">
        <f>AX414/AX428</f>
        <v/>
      </c>
      <c r="AY423" s="1173">
        <f>AY414/AY428</f>
        <v/>
      </c>
      <c r="AZ423" s="120">
        <f>AZ414/AZ428</f>
        <v/>
      </c>
      <c r="BA423" s="120">
        <f>BA414/BA428</f>
        <v/>
      </c>
      <c r="BB423" s="120">
        <f>BB414/BB428</f>
        <v/>
      </c>
      <c r="BC423" s="120">
        <f>BC414/BC428</f>
        <v/>
      </c>
      <c r="BD423" s="1173">
        <f>BD414/BD428</f>
        <v/>
      </c>
      <c r="BE423" s="120">
        <f>BE414/BE428</f>
        <v/>
      </c>
      <c r="BF423" s="120">
        <f>BF414/BF428</f>
        <v/>
      </c>
      <c r="BG423" s="120">
        <f>BG414/BG428</f>
        <v/>
      </c>
      <c r="BH423" s="120">
        <f>BH414/BH428</f>
        <v/>
      </c>
      <c r="BI423" s="1173">
        <f>BI414/BI428</f>
        <v/>
      </c>
      <c r="BJ423" s="120">
        <f>BJ414/BJ428</f>
        <v/>
      </c>
      <c r="BK423" s="120">
        <f>BK414/BK428</f>
        <v/>
      </c>
      <c r="BL423" s="120">
        <f>BL414/BL428</f>
        <v/>
      </c>
      <c r="BM423" s="120">
        <f>BM414/BM428</f>
        <v/>
      </c>
      <c r="BN423" s="1173">
        <f>BN414/BN428</f>
        <v/>
      </c>
      <c r="BO423" s="120">
        <f>BO414/BO428</f>
        <v/>
      </c>
      <c r="BP423" s="120">
        <f>BP414/BP428</f>
        <v/>
      </c>
      <c r="BQ423" s="120">
        <f>BQ414/BQ428</f>
        <v/>
      </c>
      <c r="BR423" s="120">
        <f>BR414/BR428</f>
        <v/>
      </c>
      <c r="BS423" s="1173">
        <f>BS414/BS428</f>
        <v/>
      </c>
      <c r="BT423" s="120">
        <f>BT414/BT428</f>
        <v/>
      </c>
      <c r="BU423" s="120">
        <f>BU414/BU428</f>
        <v/>
      </c>
      <c r="BV423" s="1034">
        <f>BV414/BV428</f>
        <v/>
      </c>
      <c r="BW423" s="721">
        <f>BW414/BW428</f>
        <v/>
      </c>
      <c r="BX423" s="1174">
        <f>BX414/BX428</f>
        <v/>
      </c>
      <c r="BY423" s="721">
        <f>BY414/BY428</f>
        <v/>
      </c>
      <c r="BZ423" s="721">
        <f>BZ414/BZ428</f>
        <v/>
      </c>
      <c r="CA423" s="721">
        <f>CA414/CA428</f>
        <v/>
      </c>
      <c r="CB423" s="721">
        <f>CB414/CB428</f>
        <v/>
      </c>
      <c r="CC423" s="1174">
        <f>CC414/CC428</f>
        <v/>
      </c>
      <c r="CD423" s="1174">
        <f>CD414/CD428</f>
        <v/>
      </c>
      <c r="CE423" s="1174">
        <f>CE414/CE428</f>
        <v/>
      </c>
      <c r="CF423" s="1174">
        <f>CF414/CF428</f>
        <v/>
      </c>
      <c r="CG423" s="155" t="n"/>
    </row>
    <row r="424" hidden="1" outlineLevel="1">
      <c r="A424" s="38" t="inlineStr">
        <is>
          <t>GAAP Earnings Per Share - WAD</t>
        </is>
      </c>
      <c r="B424" s="613" t="n"/>
      <c r="C424" s="1173">
        <f>C416/C429</f>
        <v/>
      </c>
      <c r="D424" s="1173">
        <f>D416/D429</f>
        <v/>
      </c>
      <c r="E424" s="1173">
        <f>E416/E429</f>
        <v/>
      </c>
      <c r="F424" s="1173">
        <f>F416/F429</f>
        <v/>
      </c>
      <c r="G424" s="120">
        <f>G416/G429</f>
        <v/>
      </c>
      <c r="H424" s="120">
        <f>H416/H429</f>
        <v/>
      </c>
      <c r="I424" s="120">
        <f>I416/I429</f>
        <v/>
      </c>
      <c r="J424" s="120">
        <f>J416/J429</f>
        <v/>
      </c>
      <c r="K424" s="1173">
        <f>K416/K429</f>
        <v/>
      </c>
      <c r="L424" s="120">
        <f>L416/L429</f>
        <v/>
      </c>
      <c r="M424" s="120">
        <f>M416/M429</f>
        <v/>
      </c>
      <c r="N424" s="120">
        <f>N416/N429</f>
        <v/>
      </c>
      <c r="O424" s="120">
        <f>O416/O429</f>
        <v/>
      </c>
      <c r="P424" s="1173">
        <f>P416/P429</f>
        <v/>
      </c>
      <c r="Q424" s="120">
        <f>Q416/Q429</f>
        <v/>
      </c>
      <c r="R424" s="120">
        <f>R416/R429</f>
        <v/>
      </c>
      <c r="S424" s="120">
        <f>S416/S429</f>
        <v/>
      </c>
      <c r="T424" s="120">
        <f>T416/T429</f>
        <v/>
      </c>
      <c r="U424" s="1173">
        <f>U416/U429</f>
        <v/>
      </c>
      <c r="V424" s="120">
        <f>V416/V429</f>
        <v/>
      </c>
      <c r="W424" s="120">
        <f>W416/W429</f>
        <v/>
      </c>
      <c r="X424" s="120">
        <f>X416/X429</f>
        <v/>
      </c>
      <c r="Y424" s="120">
        <f>Y416/Y429</f>
        <v/>
      </c>
      <c r="Z424" s="1173">
        <f>Z416/Z429</f>
        <v/>
      </c>
      <c r="AA424" s="120">
        <f>AA416/AA429</f>
        <v/>
      </c>
      <c r="AB424" s="120">
        <f>AB416/AB429</f>
        <v/>
      </c>
      <c r="AC424" s="120">
        <f>AC416/AC429</f>
        <v/>
      </c>
      <c r="AD424" s="120">
        <f>AD416/AD429</f>
        <v/>
      </c>
      <c r="AE424" s="1173">
        <f>AE416/AE429</f>
        <v/>
      </c>
      <c r="AF424" s="120">
        <f>AF416/AF429</f>
        <v/>
      </c>
      <c r="AG424" s="120">
        <f>AG416/AG429</f>
        <v/>
      </c>
      <c r="AH424" s="120">
        <f>AH416/AH429</f>
        <v/>
      </c>
      <c r="AI424" s="120">
        <f>AI416/AI429</f>
        <v/>
      </c>
      <c r="AJ424" s="1173">
        <f>AJ416/AJ429</f>
        <v/>
      </c>
      <c r="AK424" s="120">
        <f>AK416/AK429</f>
        <v/>
      </c>
      <c r="AL424" s="120">
        <f>AL416/AL429</f>
        <v/>
      </c>
      <c r="AM424" s="120">
        <f>AM416/AM429</f>
        <v/>
      </c>
      <c r="AN424" s="120">
        <f>AN416/AN429</f>
        <v/>
      </c>
      <c r="AO424" s="1173">
        <f>AO416/AO429</f>
        <v/>
      </c>
      <c r="AP424" s="120">
        <f>AP416/AP429</f>
        <v/>
      </c>
      <c r="AQ424" s="120">
        <f>AQ416/AQ429</f>
        <v/>
      </c>
      <c r="AR424" s="120">
        <f>AR416/AR429</f>
        <v/>
      </c>
      <c r="AS424" s="120">
        <f>AS416/AS429</f>
        <v/>
      </c>
      <c r="AT424" s="1173">
        <f>AT416/AT429</f>
        <v/>
      </c>
      <c r="AU424" s="120">
        <f>AU416/AU429</f>
        <v/>
      </c>
      <c r="AV424" s="120">
        <f>AV416/AV429</f>
        <v/>
      </c>
      <c r="AW424" s="120">
        <f>AW416/AW429</f>
        <v/>
      </c>
      <c r="AX424" s="120">
        <f>AX416/AX429</f>
        <v/>
      </c>
      <c r="AY424" s="1173">
        <f>AY416/AY429</f>
        <v/>
      </c>
      <c r="AZ424" s="120">
        <f>AZ416/AZ429</f>
        <v/>
      </c>
      <c r="BA424" s="120">
        <f>BA416/BA429</f>
        <v/>
      </c>
      <c r="BB424" s="120">
        <f>BB416/BB429</f>
        <v/>
      </c>
      <c r="BC424" s="120">
        <f>BC416/BC429</f>
        <v/>
      </c>
      <c r="BD424" s="1173">
        <f>BD416/BD429</f>
        <v/>
      </c>
      <c r="BE424" s="120">
        <f>BE416/BE429</f>
        <v/>
      </c>
      <c r="BF424" s="120">
        <f>BF416/BF429</f>
        <v/>
      </c>
      <c r="BG424" s="120">
        <f>BG416/BG429</f>
        <v/>
      </c>
      <c r="BH424" s="120">
        <f>BH416/BH429</f>
        <v/>
      </c>
      <c r="BI424" s="1173">
        <f>BI416/BI429</f>
        <v/>
      </c>
      <c r="BJ424" s="120">
        <f>BJ416/BJ429</f>
        <v/>
      </c>
      <c r="BK424" s="120">
        <f>BK416/BK429</f>
        <v/>
      </c>
      <c r="BL424" s="120">
        <f>BL416/BL429</f>
        <v/>
      </c>
      <c r="BM424" s="120">
        <f>BM416/BM429</f>
        <v/>
      </c>
      <c r="BN424" s="1173">
        <f>BN416/BN429</f>
        <v/>
      </c>
      <c r="BO424" s="120">
        <f>BO416/BO429</f>
        <v/>
      </c>
      <c r="BP424" s="120">
        <f>BP416/BP429</f>
        <v/>
      </c>
      <c r="BQ424" s="120">
        <f>BQ416/BQ429</f>
        <v/>
      </c>
      <c r="BR424" s="120">
        <f>BR416/BR429</f>
        <v/>
      </c>
      <c r="BS424" s="1173">
        <f>BS416/BS429</f>
        <v/>
      </c>
      <c r="BT424" s="120">
        <f>BT416/BT429</f>
        <v/>
      </c>
      <c r="BU424" s="120">
        <f>BU416/BU429</f>
        <v/>
      </c>
      <c r="BV424" s="1034">
        <f>BV416/BV429</f>
        <v/>
      </c>
      <c r="BW424" s="721">
        <f>BW416/BW429</f>
        <v/>
      </c>
      <c r="BX424" s="1174">
        <f>BX416/BX429</f>
        <v/>
      </c>
      <c r="BY424" s="721">
        <f>BY416/BY429</f>
        <v/>
      </c>
      <c r="BZ424" s="721">
        <f>BZ416/BZ429</f>
        <v/>
      </c>
      <c r="CA424" s="721">
        <f>CA416/CA429</f>
        <v/>
      </c>
      <c r="CB424" s="721">
        <f>CB416/CB429</f>
        <v/>
      </c>
      <c r="CC424" s="1174">
        <f>CC416/CC429</f>
        <v/>
      </c>
      <c r="CD424" s="1174">
        <f>CD416/CD429</f>
        <v/>
      </c>
      <c r="CE424" s="1174">
        <f>CE416/CE429</f>
        <v/>
      </c>
      <c r="CF424" s="1174">
        <f>CF416/CF429</f>
        <v/>
      </c>
      <c r="CG424" s="155" t="n"/>
    </row>
    <row r="425" collapsed="1">
      <c r="A425" s="38" t="inlineStr">
        <is>
          <t>Non-GAAP Adjusted Earnings Per Share - WAD</t>
        </is>
      </c>
      <c r="B425" s="613" t="n"/>
      <c r="C425" s="1173">
        <f>C407/C430</f>
        <v/>
      </c>
      <c r="D425" s="1173">
        <f>D407/D430</f>
        <v/>
      </c>
      <c r="E425" s="1173">
        <f>E407/E430</f>
        <v/>
      </c>
      <c r="F425" s="1173">
        <f>F407/F430</f>
        <v/>
      </c>
      <c r="G425" s="120">
        <f>G407/G430</f>
        <v/>
      </c>
      <c r="H425" s="120">
        <f>H407/H430</f>
        <v/>
      </c>
      <c r="I425" s="120">
        <f>I407/I430</f>
        <v/>
      </c>
      <c r="J425" s="120">
        <f>J407/J430</f>
        <v/>
      </c>
      <c r="K425" s="1173">
        <f>K407/K430</f>
        <v/>
      </c>
      <c r="L425" s="120">
        <f>L407/L430</f>
        <v/>
      </c>
      <c r="M425" s="120">
        <f>M407/M430</f>
        <v/>
      </c>
      <c r="N425" s="120">
        <f>N407/N430</f>
        <v/>
      </c>
      <c r="O425" s="120">
        <f>O407/O430</f>
        <v/>
      </c>
      <c r="P425" s="1173">
        <f>P407/P430</f>
        <v/>
      </c>
      <c r="Q425" s="120">
        <f>Q407/Q430</f>
        <v/>
      </c>
      <c r="R425" s="120">
        <f>R407/R430</f>
        <v/>
      </c>
      <c r="S425" s="120">
        <f>S407/S430</f>
        <v/>
      </c>
      <c r="T425" s="120">
        <f>T407/T430</f>
        <v/>
      </c>
      <c r="U425" s="1173">
        <f>U407/U430</f>
        <v/>
      </c>
      <c r="V425" s="120">
        <f>V407/V430</f>
        <v/>
      </c>
      <c r="W425" s="120">
        <f>W407/W430</f>
        <v/>
      </c>
      <c r="X425" s="120">
        <f>X407/X430</f>
        <v/>
      </c>
      <c r="Y425" s="120">
        <f>Y407/Y430</f>
        <v/>
      </c>
      <c r="Z425" s="1173">
        <f>Z407/Z430</f>
        <v/>
      </c>
      <c r="AA425" s="120">
        <f>AA407/AA430</f>
        <v/>
      </c>
      <c r="AB425" s="120">
        <f>AB407/AB430</f>
        <v/>
      </c>
      <c r="AC425" s="120">
        <f>AC407/AC430</f>
        <v/>
      </c>
      <c r="AD425" s="120">
        <f>AD407/AD430</f>
        <v/>
      </c>
      <c r="AE425" s="1173">
        <f>AE407/AE430</f>
        <v/>
      </c>
      <c r="AF425" s="120">
        <f>AF407/AF430</f>
        <v/>
      </c>
      <c r="AG425" s="120">
        <f>AG407/AG430</f>
        <v/>
      </c>
      <c r="AH425" s="120">
        <f>AH407/AH430</f>
        <v/>
      </c>
      <c r="AI425" s="120">
        <f>AI407/AI430</f>
        <v/>
      </c>
      <c r="AJ425" s="1173">
        <f>AJ407/AJ430</f>
        <v/>
      </c>
      <c r="AK425" s="120">
        <f>AK407/AK430</f>
        <v/>
      </c>
      <c r="AL425" s="120">
        <f>AL407/AL430</f>
        <v/>
      </c>
      <c r="AM425" s="120">
        <f>AM407/AM430</f>
        <v/>
      </c>
      <c r="AN425" s="120">
        <f>AN407/AN430</f>
        <v/>
      </c>
      <c r="AO425" s="1173">
        <f>AO407/AO430</f>
        <v/>
      </c>
      <c r="AP425" s="120">
        <f>AP407/AP430</f>
        <v/>
      </c>
      <c r="AQ425" s="120">
        <f>AQ407/AQ430</f>
        <v/>
      </c>
      <c r="AR425" s="120">
        <f>AR407/AR430</f>
        <v/>
      </c>
      <c r="AS425" s="120">
        <f>AS407/AS430</f>
        <v/>
      </c>
      <c r="AT425" s="1173">
        <f>AT407/AT430</f>
        <v/>
      </c>
      <c r="AU425" s="120">
        <f>AU407/AU430</f>
        <v/>
      </c>
      <c r="AV425" s="120">
        <f>AV407/AV430</f>
        <v/>
      </c>
      <c r="AW425" s="120">
        <f>AW407/AW430</f>
        <v/>
      </c>
      <c r="AX425" s="120">
        <f>AX407/AX430</f>
        <v/>
      </c>
      <c r="AY425" s="1173">
        <f>AY407/AY430</f>
        <v/>
      </c>
      <c r="AZ425" s="120">
        <f>AZ407/AZ430</f>
        <v/>
      </c>
      <c r="BA425" s="120">
        <f>BA407/BA430</f>
        <v/>
      </c>
      <c r="BB425" s="120">
        <f>BB407/BB430</f>
        <v/>
      </c>
      <c r="BC425" s="120">
        <f>BC407/BC430</f>
        <v/>
      </c>
      <c r="BD425" s="1173">
        <f>BD407/BD430</f>
        <v/>
      </c>
      <c r="BE425" s="120">
        <f>BE407/BE430</f>
        <v/>
      </c>
      <c r="BF425" s="120">
        <f>BF407/BF430</f>
        <v/>
      </c>
      <c r="BG425" s="120">
        <f>BG407/BG430</f>
        <v/>
      </c>
      <c r="BH425" s="120">
        <f>BH407/BH430</f>
        <v/>
      </c>
      <c r="BI425" s="1173">
        <f>BI407/BI430</f>
        <v/>
      </c>
      <c r="BJ425" s="120">
        <f>BJ407/BJ430</f>
        <v/>
      </c>
      <c r="BK425" s="120">
        <f>BK407/BK430</f>
        <v/>
      </c>
      <c r="BL425" s="120">
        <f>BL407/BL430</f>
        <v/>
      </c>
      <c r="BM425" s="120">
        <f>BM407/BM430</f>
        <v/>
      </c>
      <c r="BN425" s="1173">
        <f>BN407/BN430</f>
        <v/>
      </c>
      <c r="BO425" s="120">
        <f>BO407/BO430</f>
        <v/>
      </c>
      <c r="BP425" s="120">
        <f>BP407/BP430</f>
        <v/>
      </c>
      <c r="BQ425" s="120">
        <f>BQ407/BQ430</f>
        <v/>
      </c>
      <c r="BR425" s="120">
        <f>BR407/BR430</f>
        <v/>
      </c>
      <c r="BS425" s="1173">
        <f>BS407/BS430</f>
        <v/>
      </c>
      <c r="BT425" s="120">
        <f>BT407/BT430</f>
        <v/>
      </c>
      <c r="BU425" s="120">
        <f>BU407/BU430</f>
        <v/>
      </c>
      <c r="BV425" s="1034">
        <f>BV407/BV430</f>
        <v/>
      </c>
      <c r="BW425" s="721">
        <f>BW407/BW430</f>
        <v/>
      </c>
      <c r="BX425" s="1174">
        <f>BX407/BX430</f>
        <v/>
      </c>
      <c r="BY425" s="721">
        <f>BY407/BY430</f>
        <v/>
      </c>
      <c r="BZ425" s="721">
        <f>BZ407/BZ430</f>
        <v/>
      </c>
      <c r="CA425" s="721">
        <f>CA407/CA430</f>
        <v/>
      </c>
      <c r="CB425" s="721">
        <f>CB407/CB430</f>
        <v/>
      </c>
      <c r="CC425" s="1174">
        <f>CC407/CC430</f>
        <v/>
      </c>
      <c r="CD425" s="1174">
        <f>CD407/CD430</f>
        <v/>
      </c>
      <c r="CE425" s="1174">
        <f>CE407/CE430</f>
        <v/>
      </c>
      <c r="CF425" s="1174">
        <f>CF407/CF430</f>
        <v/>
      </c>
      <c r="CG425" s="155" t="n"/>
    </row>
    <row r="426">
      <c r="A426" s="78">
        <f>CONCATENATE("Consensus Estimates - ",IFERROR(LEFT(A425,FIND("(",A425)-1),A425))</f>
        <v/>
      </c>
      <c r="B426" s="106" t="n"/>
      <c r="C426" s="1175" t="n"/>
      <c r="D426" s="1175" t="n"/>
      <c r="E426" s="1175" t="n"/>
      <c r="F426" s="1175" t="n"/>
      <c r="G426" s="79" t="n"/>
      <c r="H426" s="79" t="n"/>
      <c r="I426" s="79" t="n"/>
      <c r="J426" s="79" t="n"/>
      <c r="K426" s="1175" t="n"/>
      <c r="L426" s="79" t="n"/>
      <c r="M426" s="79" t="n"/>
      <c r="N426" s="79" t="n"/>
      <c r="O426" s="79" t="n"/>
      <c r="P426" s="1175" t="n"/>
      <c r="Q426" s="79" t="n"/>
      <c r="R426" s="79" t="n"/>
      <c r="S426" s="79" t="n"/>
      <c r="T426" s="79" t="n"/>
      <c r="U426" s="1175" t="n"/>
      <c r="V426" s="79" t="n"/>
      <c r="W426" s="994" t="n"/>
      <c r="X426" s="994" t="n"/>
      <c r="Y426" s="994" t="n"/>
      <c r="Z426" s="1175" t="n"/>
      <c r="AA426" s="79" t="n"/>
      <c r="AB426" s="79" t="n"/>
      <c r="AC426" s="79" t="n"/>
      <c r="AD426" s="79" t="n"/>
      <c r="AE426" s="1176" t="n"/>
      <c r="AF426" s="79" t="n"/>
      <c r="AG426" s="79" t="n"/>
      <c r="AH426" s="79" t="n"/>
      <c r="AI426" s="79" t="n"/>
      <c r="AJ426" s="1176" t="n"/>
      <c r="AK426" s="79" t="n"/>
      <c r="AL426" s="79" t="n"/>
      <c r="AM426" s="79" t="n"/>
      <c r="AN426" s="79" t="n"/>
      <c r="AO426" s="1176" t="n"/>
      <c r="AP426" s="79" t="n"/>
      <c r="AQ426" s="79" t="n"/>
      <c r="AR426" s="79" t="n"/>
      <c r="AS426" s="79" t="n"/>
      <c r="AT426" s="1176" t="n"/>
      <c r="AU426" s="79" t="n"/>
      <c r="AV426" s="79" t="n"/>
      <c r="AW426" s="79" t="n"/>
      <c r="AX426" s="79" t="n"/>
      <c r="AY426" s="1176" t="n"/>
      <c r="AZ426" s="79" t="n"/>
      <c r="BA426" s="79" t="n"/>
      <c r="BB426" s="79" t="n"/>
      <c r="BC426" s="79" t="n"/>
      <c r="BD426" s="1176" t="n"/>
      <c r="BE426" s="79" t="n"/>
      <c r="BF426" s="79" t="n"/>
      <c r="BG426" s="79" t="n"/>
      <c r="BH426" s="79" t="n"/>
      <c r="BI426" s="1176" t="n"/>
      <c r="BJ426" s="79" t="n"/>
      <c r="BK426" s="79" t="n"/>
      <c r="BL426" s="79" t="n"/>
      <c r="BM426" s="79" t="n"/>
      <c r="BN426" s="1176" t="n"/>
      <c r="BO426" s="79" t="n"/>
      <c r="BP426" s="79" t="n"/>
      <c r="BQ426" s="79" t="n"/>
      <c r="BR426" s="79" t="n"/>
      <c r="BS426" s="1176" t="n"/>
      <c r="BT426" s="79" t="n"/>
      <c r="BU426" s="79" t="n"/>
      <c r="BV426" s="899" t="n"/>
      <c r="BW426" s="869">
        <f>IFERROR(VLOOKUP($A426,tb_ConsensusEstimate,MATCH(BW$5,OFFSET(tb_ConsensusEstimate,0,0,1,COLUMNS(tb_ConsensusEstimate)),0),FALSE),"-")</f>
        <v/>
      </c>
      <c r="BX426" s="1176">
        <f>IFERROR(VLOOKUP($A426,tb_ConsensusEstimate,MATCH(BX$5,OFFSET(tb_ConsensusEstimate,0,0,1,COLUMNS(tb_ConsensusEstimate)),0),FALSE),"-")</f>
        <v/>
      </c>
      <c r="BY426" s="869">
        <f>IFERROR(VLOOKUP($A426,tb_ConsensusEstimate,MATCH(BY$5,OFFSET(tb_ConsensusEstimate,0,0,1,COLUMNS(tb_ConsensusEstimate)),0),FALSE),"-")</f>
        <v/>
      </c>
      <c r="BZ426" s="869">
        <f>IFERROR(VLOOKUP($A426,tb_ConsensusEstimate,MATCH(BZ$5,OFFSET(tb_ConsensusEstimate,0,0,1,COLUMNS(tb_ConsensusEstimate)),0),FALSE),"-")</f>
        <v/>
      </c>
      <c r="CA426" s="869">
        <f>IFERROR(VLOOKUP($A426,tb_ConsensusEstimate,MATCH(CA$5,OFFSET(tb_ConsensusEstimate,0,0,1,COLUMNS(tb_ConsensusEstimate)),0),FALSE),"-")</f>
        <v/>
      </c>
      <c r="CB426" s="869">
        <f>IFERROR(VLOOKUP($A426,tb_ConsensusEstimate,MATCH(CB$5,OFFSET(tb_ConsensusEstimate,0,0,1,COLUMNS(tb_ConsensusEstimate)),0),FALSE),"-")</f>
        <v/>
      </c>
      <c r="CC426" s="1176">
        <f>IFERROR(VLOOKUP($A426,tb_ConsensusEstimate,MATCH(CC$5,OFFSET(tb_ConsensusEstimate,0,0,1,COLUMNS(tb_ConsensusEstimate)),0),FALSE),"-")</f>
        <v/>
      </c>
      <c r="CD426" s="1176">
        <f>IFERROR(VLOOKUP($A426,tb_ConsensusEstimate,MATCH(CD5,OFFSET(tb_ConsensusEstimate,0,0,1,COLUMNS(tb_ConsensusEstimate)),0),FALSE),"-")</f>
        <v/>
      </c>
      <c r="CE426" s="1176">
        <f>IFERROR(VLOOKUP($A426,tb_ConsensusEstimate,MATCH(CE5,OFFSET(tb_ConsensusEstimate,0,0,1,COLUMNS(tb_ConsensusEstimate)),0),FALSE),"-")</f>
        <v/>
      </c>
      <c r="CF426" s="1176">
        <f>IFERROR(VLOOKUP($A426,tb_ConsensusEstimate,MATCH(CF5,OFFSET(tb_ConsensusEstimate,0,0,1,COLUMNS(tb_ConsensusEstimate)),0),FALSE),"-")</f>
        <v/>
      </c>
      <c r="CG426" s="155" t="n"/>
    </row>
    <row r="427">
      <c r="A427" s="75" t="n"/>
      <c r="B427" s="102" t="n"/>
      <c r="C427" s="1117" t="n"/>
      <c r="D427" s="1117" t="n"/>
      <c r="E427" s="1117" t="n"/>
      <c r="F427" s="1117" t="n"/>
      <c r="G427" s="76" t="n"/>
      <c r="H427" s="76" t="n"/>
      <c r="I427" s="76" t="n"/>
      <c r="J427" s="76" t="n"/>
      <c r="K427" s="1117" t="n"/>
      <c r="L427" s="76" t="n"/>
      <c r="M427" s="76" t="n"/>
      <c r="N427" s="76" t="n"/>
      <c r="O427" s="76" t="n"/>
      <c r="P427" s="1117" t="n"/>
      <c r="Q427" s="76" t="n"/>
      <c r="R427" s="76" t="n"/>
      <c r="S427" s="76" t="n"/>
      <c r="T427" s="76" t="n"/>
      <c r="U427" s="1117" t="n"/>
      <c r="V427" s="76" t="n"/>
      <c r="W427" s="77" t="n"/>
      <c r="X427" s="77" t="n"/>
      <c r="Y427" s="77" t="n"/>
      <c r="Z427" s="1117" t="n"/>
      <c r="AA427" s="76" t="n"/>
      <c r="AB427" s="77" t="n"/>
      <c r="AC427" s="77" t="n"/>
      <c r="AD427" s="77" t="n"/>
      <c r="AE427" s="1117" t="n"/>
      <c r="AF427" s="76" t="n"/>
      <c r="AG427" s="76" t="n"/>
      <c r="AH427" s="76" t="n"/>
      <c r="AI427" s="77" t="n"/>
      <c r="AJ427" s="1117" t="n"/>
      <c r="AK427" s="76" t="n"/>
      <c r="AL427" s="76" t="n"/>
      <c r="AM427" s="76" t="n"/>
      <c r="AN427" s="77" t="n"/>
      <c r="AO427" s="1117" t="n"/>
      <c r="AP427" s="76" t="n"/>
      <c r="AQ427" s="76" t="n"/>
      <c r="AR427" s="76" t="n"/>
      <c r="AS427" s="77" t="n"/>
      <c r="AT427" s="1117" t="n"/>
      <c r="AU427" s="76" t="n"/>
      <c r="AV427" s="76" t="n"/>
      <c r="AW427" s="76" t="n"/>
      <c r="AX427" s="77" t="n"/>
      <c r="AY427" s="1117" t="n"/>
      <c r="AZ427" s="76" t="n"/>
      <c r="BA427" s="76" t="n"/>
      <c r="BB427" s="76" t="n"/>
      <c r="BC427" s="77" t="n"/>
      <c r="BD427" s="1117" t="n"/>
      <c r="BE427" s="76" t="n"/>
      <c r="BF427" s="76" t="n"/>
      <c r="BG427" s="76" t="n"/>
      <c r="BH427" s="77" t="n"/>
      <c r="BI427" s="1117" t="n"/>
      <c r="BJ427" s="76" t="n"/>
      <c r="BK427" s="76" t="n"/>
      <c r="BL427" s="76" t="n"/>
      <c r="BM427" s="77" t="n"/>
      <c r="BN427" s="1117" t="n"/>
      <c r="BO427" s="76" t="n"/>
      <c r="BP427" s="76" t="n"/>
      <c r="BQ427" s="76" t="n"/>
      <c r="BR427" s="77" t="n"/>
      <c r="BS427" s="1117" t="n"/>
      <c r="BT427" s="76" t="n"/>
      <c r="BU427" s="76" t="n"/>
      <c r="BV427" s="881" t="n"/>
      <c r="BW427" s="77" t="n"/>
      <c r="BX427" s="1117" t="n"/>
      <c r="BY427" s="76" t="n"/>
      <c r="BZ427" s="77" t="n"/>
      <c r="CA427" s="77" t="n"/>
      <c r="CB427" s="77" t="n"/>
      <c r="CC427" s="1117" t="n"/>
      <c r="CD427" s="1117" t="n"/>
      <c r="CE427" s="1117" t="n"/>
      <c r="CF427" s="1117" t="n"/>
      <c r="CG427" s="155" t="n"/>
    </row>
    <row r="428">
      <c r="A428" s="68" t="inlineStr">
        <is>
          <t>Shares Outstanding - WAB</t>
        </is>
      </c>
      <c r="B428" s="146" t="n"/>
      <c r="C428" s="1111">
        <f>(548.126*(4))*(10)</f>
        <v/>
      </c>
      <c r="D428" s="1111">
        <f>(549.574*(4))*(10)</f>
        <v/>
      </c>
      <c r="E428" s="1111">
        <f>(575.177*(4))*(10)</f>
        <v/>
      </c>
      <c r="F428" s="1111">
        <f>(603.646*(4))*(10)</f>
        <v/>
      </c>
      <c r="G428" s="1053">
        <f>(615.78*(4))*(10)</f>
        <v/>
      </c>
      <c r="H428" s="1053">
        <f>(618.996*(4))*(10)</f>
        <v/>
      </c>
      <c r="I428" s="1053">
        <f>(622.352*(4))*(10)</f>
        <v/>
      </c>
      <c r="J428" s="1053">
        <f>(620.169*(4))*(10)</f>
        <v/>
      </c>
      <c r="K428" s="1111">
        <f>(619.324*(4))*(10)</f>
        <v/>
      </c>
      <c r="L428" s="1053">
        <f>(616.872*(4))*(10)</f>
        <v/>
      </c>
      <c r="M428" s="1053">
        <f>(585.345*(4))*(10)</f>
        <v/>
      </c>
      <c r="N428" s="1053">
        <f>(580.87*(4))*(10)</f>
        <v/>
      </c>
      <c r="O428" s="1053">
        <f>(568.483*(4))*(10)</f>
        <v/>
      </c>
      <c r="P428" s="1111">
        <f>(587.893*(4))*(10)</f>
        <v/>
      </c>
      <c r="Q428" s="1053">
        <f>(559*(4))*(10)</f>
        <v/>
      </c>
      <c r="R428" s="1053">
        <f>(558*(4))*(10)</f>
        <v/>
      </c>
      <c r="S428" s="1053">
        <f>(548*(4))*(10)</f>
        <v/>
      </c>
      <c r="T428" s="1053">
        <f>(544*(4))*(10)</f>
        <v/>
      </c>
      <c r="U428" s="1111">
        <f>(552*(4))*(10)</f>
        <v/>
      </c>
      <c r="V428" s="1053">
        <f>(549*(4))*(10)</f>
        <v/>
      </c>
      <c r="W428" s="1053">
        <f>(541*(4))*(10)</f>
        <v/>
      </c>
      <c r="X428" s="1053">
        <f>(542*(4))*(10)</f>
        <v/>
      </c>
      <c r="Y428" s="1053">
        <f>(539*(4))*(10)</f>
        <v/>
      </c>
      <c r="Z428" s="1111">
        <f>(543*(4))*(10)</f>
        <v/>
      </c>
      <c r="AA428" s="1053">
        <f>(537*(4))*(10)</f>
        <v/>
      </c>
      <c r="AB428" s="1053">
        <f>(534*(4))*(10)</f>
        <v/>
      </c>
      <c r="AC428" s="1053">
        <f>(538*(4))*(10)</f>
        <v/>
      </c>
      <c r="AD428" s="1053">
        <f>(553*(4))*(10)</f>
        <v/>
      </c>
      <c r="AE428" s="1111">
        <f>(541*(4))*(10)</f>
        <v/>
      </c>
      <c r="AF428" s="1053">
        <f>(592*(4))*(10)</f>
        <v/>
      </c>
      <c r="AG428" s="1053">
        <f>(597*(4))*(10)</f>
        <v/>
      </c>
      <c r="AH428" s="1053">
        <f>(603*(4))*(10)</f>
        <v/>
      </c>
      <c r="AI428" s="1053">
        <f>(606*(4))*(10)</f>
        <v/>
      </c>
      <c r="AJ428" s="1111">
        <f>(599*(4))*(10)</f>
        <v/>
      </c>
      <c r="AK428" s="1053">
        <f>(606*(4))*(10)</f>
        <v/>
      </c>
      <c r="AL428" s="1053">
        <f>(607*(4))*(10)</f>
        <v/>
      </c>
      <c r="AM428" s="1053">
        <f>(609*(4))*(10)</f>
        <v/>
      </c>
      <c r="AN428" s="1053">
        <f>(609*(4))*(10)</f>
        <v/>
      </c>
      <c r="AO428" s="1111">
        <f>(608*(4))*(10)</f>
        <v/>
      </c>
      <c r="AP428" s="1053">
        <f>(607*(4))*(10)</f>
        <v/>
      </c>
      <c r="AQ428" s="1053">
        <f>(609*(4))*(10)</f>
        <v/>
      </c>
      <c r="AR428" s="1053">
        <f>(610*(4))*(10)</f>
        <v/>
      </c>
      <c r="AS428" s="1053">
        <f>(612*(4))*(10)</f>
        <v/>
      </c>
      <c r="AT428" s="1111">
        <f>(609*(4))*(10)</f>
        <v/>
      </c>
      <c r="AU428" s="1053">
        <f>(614*(4))*(10)</f>
        <v/>
      </c>
      <c r="AV428" s="1053">
        <f>(616*(4))*(10)</f>
        <v/>
      </c>
      <c r="AW428" s="1053">
        <f>(618*(4))*(10)</f>
        <v/>
      </c>
      <c r="AX428" s="1053">
        <f>(619*(4))*(10)</f>
        <v/>
      </c>
      <c r="AY428" s="1111">
        <f>(617*(4))*(10)</f>
        <v/>
      </c>
      <c r="AZ428" s="1053">
        <f>(621*(4))*(10)</f>
        <v/>
      </c>
      <c r="BA428" s="1053">
        <f>2493*(10)</f>
        <v/>
      </c>
      <c r="BB428" s="1053">
        <f>2499*(10)</f>
        <v/>
      </c>
      <c r="BC428" s="1053">
        <f>2504*(10)</f>
        <v/>
      </c>
      <c r="BD428" s="1111">
        <f>2496*(10)</f>
        <v/>
      </c>
      <c r="BE428" s="1053">
        <f>2506*(10)</f>
        <v/>
      </c>
      <c r="BF428" s="1053">
        <f>2495*(10)</f>
        <v/>
      </c>
      <c r="BG428" s="1053">
        <f>2483*(10)</f>
        <v/>
      </c>
      <c r="BH428" s="1053">
        <f>2464*(10)</f>
        <v/>
      </c>
      <c r="BI428" s="1111">
        <f>2487*(10)</f>
        <v/>
      </c>
      <c r="BJ428" s="1053">
        <f>2470*(10)</f>
        <v/>
      </c>
      <c r="BK428" s="1053">
        <f>2473*(10)</f>
        <v/>
      </c>
      <c r="BL428" s="1053">
        <f>2468*(10)</f>
        <v/>
      </c>
      <c r="BM428" s="1053">
        <f>2466*(10)</f>
        <v/>
      </c>
      <c r="BN428" s="1111">
        <f>2469*(10)</f>
        <v/>
      </c>
      <c r="BO428" s="1053">
        <f>2462*(10)</f>
        <v/>
      </c>
      <c r="BP428" s="1053" t="n">
        <v>24578</v>
      </c>
      <c r="BQ428" s="1053" t="n">
        <v>24533</v>
      </c>
      <c r="BR428" s="1053" t="n">
        <v>24489</v>
      </c>
      <c r="BS428" s="1111" t="n">
        <v>24555</v>
      </c>
      <c r="BT428" s="1053" t="n">
        <v>24441</v>
      </c>
      <c r="BU428" s="1053" t="n">
        <v>24366</v>
      </c>
      <c r="BV428" s="1054" t="n">
        <v>24327</v>
      </c>
      <c r="BW428" s="68">
        <f>AVERAGE(BV436,BW436)</f>
        <v/>
      </c>
      <c r="BX428" s="1110">
        <f>SUM(BT428*BT3,BU428*BU3,BV428*BV3,BW428*BW3)/BX3</f>
        <v/>
      </c>
      <c r="BY428" s="68">
        <f>AVERAGE(BX436,BY436)</f>
        <v/>
      </c>
      <c r="BZ428" s="68">
        <f>AVERAGE(BY436,BZ436)</f>
        <v/>
      </c>
      <c r="CA428" s="68">
        <f>AVERAGE(BZ436,CA436)</f>
        <v/>
      </c>
      <c r="CB428" s="68">
        <f>AVERAGE(CA436,CB436)</f>
        <v/>
      </c>
      <c r="CC428" s="1110">
        <f>SUM(BY428*BY3,BZ428*BZ3,CA428*CA3,CB428*CB3)/CC3</f>
        <v/>
      </c>
      <c r="CD428" s="1110">
        <f>AVERAGE(CC436,CD436)</f>
        <v/>
      </c>
      <c r="CE428" s="1110">
        <f>AVERAGE(CD436,CE436)</f>
        <v/>
      </c>
      <c r="CF428" s="1110">
        <f>AVERAGE(CE436,CF436)</f>
        <v/>
      </c>
      <c r="CG428" s="155" t="n"/>
    </row>
    <row r="429">
      <c r="A429" s="68" t="inlineStr">
        <is>
          <t>Shares Outstanding - WAD</t>
        </is>
      </c>
      <c r="B429" s="146" t="n"/>
      <c r="C429" s="1111">
        <f>(548.126*(4))*(10)</f>
        <v/>
      </c>
      <c r="D429" s="1111">
        <f>(549.574*(4))*(10)</f>
        <v/>
      </c>
      <c r="E429" s="1111">
        <f>(588.684*(4))*(10)</f>
        <v/>
      </c>
      <c r="F429" s="1111">
        <f>(616.371*(4))*(10)</f>
        <v/>
      </c>
      <c r="G429" s="1053">
        <f>(623.786*(4))*(10)</f>
        <v/>
      </c>
      <c r="H429" s="1053">
        <f>(623.143*(4))*(10)</f>
        <v/>
      </c>
      <c r="I429" s="1053">
        <f>(628.845*(4))*(10)</f>
        <v/>
      </c>
      <c r="J429" s="1053">
        <f>(622.018*(4))*(10)</f>
        <v/>
      </c>
      <c r="K429" s="1111">
        <f>(624.957*(4))*(10)</f>
        <v/>
      </c>
      <c r="L429" s="1053">
        <f>(619.302*(4))*(10)</f>
        <v/>
      </c>
      <c r="M429" s="1053">
        <f>(592.006*(4))*(10)</f>
        <v/>
      </c>
      <c r="N429" s="1053">
        <f>(588.752*(4))*(10)</f>
        <v/>
      </c>
      <c r="O429" s="1053">
        <f>(577.356*(4))*(10)</f>
        <v/>
      </c>
      <c r="P429" s="1111">
        <f>(594.517*(4))*(10)</f>
        <v/>
      </c>
      <c r="Q429" s="1053">
        <f>(570*(4))*(10)</f>
        <v/>
      </c>
      <c r="R429" s="1053">
        <f>(571*(4))*(10)</f>
        <v/>
      </c>
      <c r="S429" s="1053">
        <f>(558*(4))*(10)</f>
        <v/>
      </c>
      <c r="T429" s="1053">
        <f>(557*(4))*(10)</f>
        <v/>
      </c>
      <c r="U429" s="1111">
        <f>(563*(4))*(10)</f>
        <v/>
      </c>
      <c r="V429" s="1053">
        <f>(568*(4))*(10)</f>
        <v/>
      </c>
      <c r="W429" s="1053">
        <f>(556*(4))*(10)</f>
        <v/>
      </c>
      <c r="X429" s="1053">
        <f>(565*(4))*(10)</f>
        <v/>
      </c>
      <c r="Y429" s="1053">
        <f>(593*(4))*(10)</f>
        <v/>
      </c>
      <c r="Z429" s="1111">
        <f>(569*(4))*(10)</f>
        <v/>
      </c>
      <c r="AA429" s="1053">
        <f>(597*(4))*(10)</f>
        <v/>
      </c>
      <c r="AB429" s="1053">
        <f>(631*(4))*(10)</f>
        <v/>
      </c>
      <c r="AC429" s="1053">
        <f>(653*(4))*(10)</f>
        <v/>
      </c>
      <c r="AD429" s="1053">
        <f>(660*(4))*(10)</f>
        <v/>
      </c>
      <c r="AE429" s="1111">
        <f>(649*(4))*(10)</f>
        <v/>
      </c>
      <c r="AF429" s="1053">
        <f>(641*(4))*(10)</f>
        <v/>
      </c>
      <c r="AG429" s="1053">
        <f>(633*(4))*(10)</f>
        <v/>
      </c>
      <c r="AH429" s="1053">
        <f>(628*(4))*(10)</f>
        <v/>
      </c>
      <c r="AI429" s="1053">
        <f>(628*(4))*(10)</f>
        <v/>
      </c>
      <c r="AJ429" s="1111">
        <f>(632*(4))*(10)</f>
        <v/>
      </c>
      <c r="AK429" s="1053">
        <f>(627*(4))*(10)</f>
        <v/>
      </c>
      <c r="AL429" s="1053">
        <f>(626*(4))*(10)</f>
        <v/>
      </c>
      <c r="AM429" s="1053">
        <f>(625*(4))*(10)</f>
        <v/>
      </c>
      <c r="AN429" s="1053">
        <f>(619*(4))*(10)</f>
        <v/>
      </c>
      <c r="AO429" s="1111">
        <f>(625*(4))*(10)</f>
        <v/>
      </c>
      <c r="AP429" s="1053">
        <f>(616*(4))*(10)</f>
        <v/>
      </c>
      <c r="AQ429" s="1053">
        <f>(616*(4))*(10)</f>
        <v/>
      </c>
      <c r="AR429" s="1053">
        <f>(618*(4))*(10)</f>
        <v/>
      </c>
      <c r="AS429" s="1053">
        <f>(621*(4))*(10)</f>
        <v/>
      </c>
      <c r="AT429" s="1111">
        <f>(618*(4))*(10)</f>
        <v/>
      </c>
      <c r="AU429" s="1053">
        <f>(622*(4))*(10)</f>
        <v/>
      </c>
      <c r="AV429" s="1053">
        <f>(626*(4))*(10)</f>
        <v/>
      </c>
      <c r="AW429" s="1053">
        <f>(630*(4))*(10)</f>
        <v/>
      </c>
      <c r="AX429" s="1053">
        <f>(631*(4))*(10)</f>
        <v/>
      </c>
      <c r="AY429" s="1111">
        <f>(628*(4))*(10)</f>
        <v/>
      </c>
      <c r="AZ429" s="1053">
        <f>(632*(4))*(10)</f>
        <v/>
      </c>
      <c r="BA429" s="1053">
        <f>2532*(10)</f>
        <v/>
      </c>
      <c r="BB429" s="1053">
        <f>2538*(10)</f>
        <v/>
      </c>
      <c r="BC429" s="1053">
        <f>2545*(10)</f>
        <v/>
      </c>
      <c r="BD429" s="1111">
        <f>2535*(10)</f>
        <v/>
      </c>
      <c r="BE429" s="1053">
        <f>2537*(10)</f>
        <v/>
      </c>
      <c r="BF429" s="1053">
        <f>2516*(10)</f>
        <v/>
      </c>
      <c r="BG429" s="1053">
        <f>2499*(10)</f>
        <v/>
      </c>
      <c r="BH429" s="1053">
        <f>2477*(10)</f>
        <v/>
      </c>
      <c r="BI429" s="1111">
        <f>2507*(10)</f>
        <v/>
      </c>
      <c r="BJ429" s="1053">
        <f>2490*(10)</f>
        <v/>
      </c>
      <c r="BK429" s="1053">
        <f>2499*(10)</f>
        <v/>
      </c>
      <c r="BL429" s="1053">
        <f>2494*(10)</f>
        <v/>
      </c>
      <c r="BM429" s="1053">
        <f>2490*(10)</f>
        <v/>
      </c>
      <c r="BN429" s="1111">
        <f>2494*(10)</f>
        <v/>
      </c>
      <c r="BO429" s="1053">
        <f>2489*(10)</f>
        <v/>
      </c>
      <c r="BP429" s="1053" t="n">
        <v>24848</v>
      </c>
      <c r="BQ429" s="1053" t="n">
        <v>24774</v>
      </c>
      <c r="BR429" s="1053" t="n">
        <v>24706</v>
      </c>
      <c r="BS429" s="1111" t="n">
        <v>24804</v>
      </c>
      <c r="BT429" s="1053" t="n">
        <v>24611</v>
      </c>
      <c r="BU429" s="1053" t="n">
        <v>24532</v>
      </c>
      <c r="BV429" s="1054" t="n">
        <v>24483</v>
      </c>
      <c r="BW429" s="68">
        <f>IF(BW416&lt;0,BW428,AVERAGE(BV447,BW447))</f>
        <v/>
      </c>
      <c r="BX429" s="1110">
        <f>IF(BX416&lt;0,BX428,SUM(AVERAGE(BS447,BT447)*BT3,AVERAGE(BT447,BU447)*BU3,AVERAGE(BU447,BV447)*BV3,AVERAGE(BV447,BW447)*BW3)/BX3)</f>
        <v/>
      </c>
      <c r="BY429" s="68">
        <f>IF(BY416&lt;0,BY428,AVERAGE(BX447,BY447))</f>
        <v/>
      </c>
      <c r="BZ429" s="68">
        <f>IF(BZ416&lt;0,BZ428,AVERAGE(BY447,BZ447))</f>
        <v/>
      </c>
      <c r="CA429" s="68">
        <f>IF(CA416&lt;0,CA428,AVERAGE(BZ447,CA447))</f>
        <v/>
      </c>
      <c r="CB429" s="68">
        <f>IF(CB416&lt;0,CB428,AVERAGE(CA447,CB447))</f>
        <v/>
      </c>
      <c r="CC429" s="1110">
        <f>IF(CC416&lt;0,CC428,SUM(AVERAGE(BX447,BY447)*BY3,AVERAGE(BY447,BZ447)*BZ3,AVERAGE(BZ447,CA447)*CA3,AVERAGE(CA447,CB447)*CB3)/CC3)</f>
        <v/>
      </c>
      <c r="CD429" s="1110">
        <f>IF(CD416&lt;0,CD428,AVERAGE(CC447,CD447))</f>
        <v/>
      </c>
      <c r="CE429" s="1110">
        <f>IF(CE416&lt;0,CE428,AVERAGE(CD447,CE447))</f>
        <v/>
      </c>
      <c r="CF429" s="1110">
        <f>IF(CF416&lt;0,CF428,AVERAGE(CE447,CF447))</f>
        <v/>
      </c>
      <c r="CG429" s="155" t="n"/>
    </row>
    <row r="430">
      <c r="A430" s="68" t="inlineStr">
        <is>
          <t>Adjusted Shares Outstanding - WAD</t>
        </is>
      </c>
      <c r="B430" s="146" t="n"/>
      <c r="C430" s="1110">
        <f>C429</f>
        <v/>
      </c>
      <c r="D430" s="1110">
        <f>D429</f>
        <v/>
      </c>
      <c r="E430" s="1110">
        <f>E429</f>
        <v/>
      </c>
      <c r="F430" s="1110">
        <f>F429</f>
        <v/>
      </c>
      <c r="G430" s="68">
        <f>G429</f>
        <v/>
      </c>
      <c r="H430" s="68">
        <f>H429</f>
        <v/>
      </c>
      <c r="I430" s="68">
        <f>I429</f>
        <v/>
      </c>
      <c r="J430" s="68">
        <f>J429</f>
        <v/>
      </c>
      <c r="K430" s="1110">
        <f>K429</f>
        <v/>
      </c>
      <c r="L430" s="68">
        <f>L429</f>
        <v/>
      </c>
      <c r="M430" s="68">
        <f>M429</f>
        <v/>
      </c>
      <c r="N430" s="68">
        <f>N429</f>
        <v/>
      </c>
      <c r="O430" s="68">
        <f>O429</f>
        <v/>
      </c>
      <c r="P430" s="1110">
        <f>P429</f>
        <v/>
      </c>
      <c r="Q430" s="1053">
        <f>(570*(4))*(10)</f>
        <v/>
      </c>
      <c r="R430" s="1053">
        <f>(571*(4))*(10)</f>
        <v/>
      </c>
      <c r="S430" s="1053">
        <f>(558*(4))*(10)</f>
        <v/>
      </c>
      <c r="T430" s="1053">
        <f>(557*(4))*(10)</f>
        <v/>
      </c>
      <c r="U430" s="1111">
        <f>(563*(4))*(10)</f>
        <v/>
      </c>
      <c r="V430" s="1053">
        <f>(562*(4))*(10)</f>
        <v/>
      </c>
      <c r="W430" s="1053">
        <f>(552*(4))*(10)</f>
        <v/>
      </c>
      <c r="X430" s="1053">
        <f>(555*(4))*(10)</f>
        <v/>
      </c>
      <c r="Y430" s="1053">
        <f>(567*(4))*(10)</f>
        <v/>
      </c>
      <c r="Z430" s="1111">
        <f>(556*(4))*(10)</f>
        <v/>
      </c>
      <c r="AA430" s="1053">
        <f>(568*(4))*(10)</f>
        <v/>
      </c>
      <c r="AB430" s="1053">
        <f>(588*(4))*(10)</f>
        <v/>
      </c>
      <c r="AC430" s="1053">
        <f>(608*(4))*(10)</f>
        <v/>
      </c>
      <c r="AD430" s="1053">
        <f>(624*(4))*(10)</f>
        <v/>
      </c>
      <c r="AE430" s="1111">
        <f>(605*(4))*(10)</f>
        <v/>
      </c>
      <c r="AF430" s="1053">
        <f>(627*(4))*(10)</f>
        <v/>
      </c>
      <c r="AG430" s="1053">
        <f>(629*(4))*(10)</f>
        <v/>
      </c>
      <c r="AH430" s="1053">
        <f>(626*(4))*(10)</f>
        <v/>
      </c>
      <c r="AI430" s="1053">
        <f>(627*(4))*(10)</f>
        <v/>
      </c>
      <c r="AJ430" s="1111">
        <f>(627*(4))*(10)</f>
        <v/>
      </c>
      <c r="AK430" s="1053">
        <f>(626*(4))*(10)</f>
        <v/>
      </c>
      <c r="AL430" s="1053">
        <f>(625*(4))*(10)</f>
        <v/>
      </c>
      <c r="AM430" s="1053">
        <f>(625*(4))*(10)</f>
        <v/>
      </c>
      <c r="AN430" s="1053">
        <f>(619*(4))*(10)</f>
        <v/>
      </c>
      <c r="AO430" s="1111">
        <f>(624*(4))*(10)</f>
        <v/>
      </c>
      <c r="AP430" s="1053">
        <f>(616*(4))*(10)</f>
        <v/>
      </c>
      <c r="AQ430" s="1053">
        <f>(616*(4))*(10)</f>
        <v/>
      </c>
      <c r="AR430" s="1053">
        <f>(618*(4))*(10)</f>
        <v/>
      </c>
      <c r="AS430" s="1053">
        <f>(621*(4))*(10)</f>
        <v/>
      </c>
      <c r="AT430" s="1111">
        <f>(618*(4))*(10)</f>
        <v/>
      </c>
      <c r="AU430" s="1053">
        <f>(622*(4))*(10)</f>
        <v/>
      </c>
      <c r="AV430" s="1053">
        <f>(626*(4))*(10)</f>
        <v/>
      </c>
      <c r="AW430" s="1053">
        <f>(630*(4))*(10)</f>
        <v/>
      </c>
      <c r="AX430" s="1053">
        <f>(631*(4))*(10)</f>
        <v/>
      </c>
      <c r="AY430" s="1111">
        <f>(628*(4))*(10)</f>
        <v/>
      </c>
      <c r="AZ430" s="1053">
        <f>(632*(4))*(10)</f>
        <v/>
      </c>
      <c r="BA430" s="68">
        <f>BA429</f>
        <v/>
      </c>
      <c r="BB430" s="1053">
        <f>2538*(10)</f>
        <v/>
      </c>
      <c r="BC430" s="1053">
        <f>2545*(10)</f>
        <v/>
      </c>
      <c r="BD430" s="1111">
        <f>2535*(10)</f>
        <v/>
      </c>
      <c r="BE430" s="1053">
        <f>2537*(10)</f>
        <v/>
      </c>
      <c r="BF430" s="1053">
        <f>2516*(10)</f>
        <v/>
      </c>
      <c r="BG430" s="1053">
        <f>2499*(10)</f>
        <v/>
      </c>
      <c r="BH430" s="1053">
        <f>2477*(10)</f>
        <v/>
      </c>
      <c r="BI430" s="1111">
        <f>2507*(10)</f>
        <v/>
      </c>
      <c r="BJ430" s="1053">
        <f>2490*(10)</f>
        <v/>
      </c>
      <c r="BK430" s="1053">
        <f>2499*(10)</f>
        <v/>
      </c>
      <c r="BL430" s="1053">
        <f>2494*(10)</f>
        <v/>
      </c>
      <c r="BM430" s="1053">
        <f>2490*(10)</f>
        <v/>
      </c>
      <c r="BN430" s="1111">
        <f>2494*(10)</f>
        <v/>
      </c>
      <c r="BO430" s="1053">
        <f>2489*(10)</f>
        <v/>
      </c>
      <c r="BP430" s="1053" t="n">
        <v>24848</v>
      </c>
      <c r="BQ430" s="1053" t="n">
        <v>24774</v>
      </c>
      <c r="BR430" s="1053" t="n">
        <v>24706</v>
      </c>
      <c r="BS430" s="1111" t="n">
        <v>24804</v>
      </c>
      <c r="BT430" s="1053" t="n">
        <v>24611</v>
      </c>
      <c r="BU430" s="1053" t="n">
        <v>24532</v>
      </c>
      <c r="BV430" s="1054" t="n">
        <v>24483</v>
      </c>
      <c r="BW430" s="68">
        <f>IF(BW407&lt;0,BW428,AVERAGE(BV447,BW447))</f>
        <v/>
      </c>
      <c r="BX430" s="1110">
        <f>IF(BX407&lt;0,BX428,SUM(AVERAGE(BS447,BT447)*BT3,AVERAGE(BT447,BU447)*BU3,AVERAGE(BU447,BV447)*BV3,AVERAGE(BV447,BW447)*BW3)/BX3)</f>
        <v/>
      </c>
      <c r="BY430" s="68">
        <f>IF(BY407&lt;0,BY428,AVERAGE(BX447,BY447))</f>
        <v/>
      </c>
      <c r="BZ430" s="68">
        <f>IF(BZ407&lt;0,BZ428,AVERAGE(BY447,BZ447))</f>
        <v/>
      </c>
      <c r="CA430" s="68">
        <f>IF(CA407&lt;0,CA428,AVERAGE(BZ447,CA447))</f>
        <v/>
      </c>
      <c r="CB430" s="68">
        <f>IF(CB407&lt;0,CB428,AVERAGE(CA447,CB447))</f>
        <v/>
      </c>
      <c r="CC430" s="1110">
        <f>IF(CC407&lt;0,CC428,SUM(AVERAGE(BX447,BY447)*BY3,AVERAGE(BY447,BZ447)*BZ3,AVERAGE(BZ447,CA447)*CA3,AVERAGE(CA447,CB447)*CB3)/CC3)</f>
        <v/>
      </c>
      <c r="CD430" s="1110">
        <f>IF(CD407&lt;0,CD428,AVERAGE(CC447,CD447))</f>
        <v/>
      </c>
      <c r="CE430" s="1110">
        <f>IF(CE407&lt;0,CE428,AVERAGE(CD447,CE447))</f>
        <v/>
      </c>
      <c r="CF430" s="1110">
        <f>IF(CF407&lt;0,CF428,AVERAGE(CE447,CF447))</f>
        <v/>
      </c>
      <c r="CG430" s="155" t="n"/>
    </row>
    <row r="431">
      <c r="A431" s="605" t="n"/>
      <c r="B431" s="428" t="n"/>
      <c r="C431" s="1134" t="n"/>
      <c r="D431" s="1134" t="n"/>
      <c r="E431" s="1134" t="n"/>
      <c r="F431" s="1134" t="n"/>
      <c r="G431" s="93" t="n"/>
      <c r="H431" s="93" t="n"/>
      <c r="I431" s="93" t="n"/>
      <c r="J431" s="93" t="n"/>
      <c r="K431" s="1134" t="n"/>
      <c r="L431" s="93" t="n"/>
      <c r="M431" s="93" t="n"/>
      <c r="N431" s="93" t="n"/>
      <c r="O431" s="93" t="n"/>
      <c r="P431" s="1134" t="n"/>
      <c r="Q431" s="93" t="n"/>
      <c r="R431" s="93" t="n"/>
      <c r="S431" s="93" t="n"/>
      <c r="T431" s="93" t="n"/>
      <c r="U431" s="1134" t="n"/>
      <c r="V431" s="93" t="n"/>
      <c r="W431" s="93" t="n"/>
      <c r="X431" s="93" t="n"/>
      <c r="Y431" s="93" t="n"/>
      <c r="Z431" s="1134" t="n"/>
      <c r="AA431" s="93" t="n"/>
      <c r="AB431" s="93" t="n"/>
      <c r="AC431" s="93" t="n"/>
      <c r="AD431" s="93" t="n"/>
      <c r="AE431" s="1134" t="n"/>
      <c r="AF431" s="93" t="n"/>
      <c r="AG431" s="93" t="n"/>
      <c r="AH431" s="93" t="n"/>
      <c r="AI431" s="93" t="n"/>
      <c r="AJ431" s="1134" t="n"/>
      <c r="AK431" s="93" t="n"/>
      <c r="AL431" s="93" t="n"/>
      <c r="AM431" s="93" t="n"/>
      <c r="AN431" s="93" t="n"/>
      <c r="AO431" s="1134" t="n"/>
      <c r="AP431" s="93" t="n"/>
      <c r="AQ431" s="93" t="n"/>
      <c r="AR431" s="93" t="n"/>
      <c r="AS431" s="93" t="n"/>
      <c r="AT431" s="1134" t="n"/>
      <c r="AU431" s="93" t="n"/>
      <c r="AV431" s="93" t="n"/>
      <c r="AW431" s="93" t="n"/>
      <c r="AX431" s="93" t="n"/>
      <c r="AY431" s="1134" t="n"/>
      <c r="AZ431" s="93" t="n"/>
      <c r="BA431" s="93" t="n"/>
      <c r="BB431" s="93" t="n"/>
      <c r="BC431" s="93" t="n"/>
      <c r="BD431" s="1134" t="n"/>
      <c r="BE431" s="93" t="n"/>
      <c r="BF431" s="93" t="n"/>
      <c r="BG431" s="93" t="n"/>
      <c r="BH431" s="93" t="n"/>
      <c r="BI431" s="1134" t="n"/>
      <c r="BJ431" s="93" t="n"/>
      <c r="BK431" s="93" t="n"/>
      <c r="BL431" s="93" t="n"/>
      <c r="BM431" s="93" t="n"/>
      <c r="BN431" s="1134" t="n"/>
      <c r="BO431" s="93" t="n"/>
      <c r="BP431" s="93" t="n"/>
      <c r="BQ431" s="93" t="n"/>
      <c r="BR431" s="93" t="n"/>
      <c r="BS431" s="1134" t="n"/>
      <c r="BT431" s="93" t="n"/>
      <c r="BU431" s="93" t="n"/>
      <c r="BV431" s="522" t="n"/>
      <c r="BW431" s="93" t="n"/>
      <c r="BX431" s="1134" t="n"/>
      <c r="BY431" s="93" t="n"/>
      <c r="BZ431" s="93" t="n"/>
      <c r="CA431" s="93" t="n"/>
      <c r="CB431" s="93" t="n"/>
      <c r="CC431" s="1134" t="n"/>
      <c r="CD431" s="1134" t="n"/>
      <c r="CE431" s="1134" t="n"/>
      <c r="CF431" s="1134" t="n"/>
      <c r="CG431" s="155" t="n"/>
    </row>
    <row r="432">
      <c r="A432" s="241" t="inlineStr">
        <is>
          <t>Share Count Analysis</t>
        </is>
      </c>
      <c r="B432" s="242" t="n"/>
      <c r="C432" s="286" t="n"/>
      <c r="D432" s="286" t="n"/>
      <c r="E432" s="286" t="n"/>
      <c r="F432" s="286" t="n"/>
      <c r="G432" s="286" t="n"/>
      <c r="H432" s="286" t="n"/>
      <c r="I432" s="286" t="n"/>
      <c r="J432" s="286" t="n"/>
      <c r="K432" s="286" t="n"/>
      <c r="L432" s="286" t="n"/>
      <c r="M432" s="286" t="n"/>
      <c r="N432" s="286" t="n"/>
      <c r="O432" s="286" t="n"/>
      <c r="P432" s="286" t="n"/>
      <c r="Q432" s="286" t="n"/>
      <c r="R432" s="286" t="n"/>
      <c r="S432" s="286" t="n"/>
      <c r="T432" s="286" t="n"/>
      <c r="U432" s="286" t="n"/>
      <c r="V432" s="286" t="n"/>
      <c r="W432" s="286" t="n"/>
      <c r="X432" s="286" t="n"/>
      <c r="Y432" s="286" t="n"/>
      <c r="Z432" s="286" t="n"/>
      <c r="AA432" s="286" t="n"/>
      <c r="AB432" s="286" t="n"/>
      <c r="AC432" s="286" t="n"/>
      <c r="AD432" s="286" t="n"/>
      <c r="AE432" s="286" t="n"/>
      <c r="AF432" s="286" t="n"/>
      <c r="AG432" s="286" t="n"/>
      <c r="AH432" s="286" t="n"/>
      <c r="AI432" s="286" t="n"/>
      <c r="AJ432" s="286" t="n"/>
      <c r="AK432" s="286" t="n"/>
      <c r="AL432" s="286" t="n"/>
      <c r="AM432" s="286" t="n"/>
      <c r="AN432" s="286" t="n"/>
      <c r="AO432" s="286" t="n"/>
      <c r="AP432" s="286" t="n"/>
      <c r="AQ432" s="286" t="n"/>
      <c r="AR432" s="286" t="n"/>
      <c r="AS432" s="286" t="n"/>
      <c r="AT432" s="286" t="n"/>
      <c r="AU432" s="286" t="n"/>
      <c r="AV432" s="286" t="n"/>
      <c r="AW432" s="286" t="n"/>
      <c r="AX432" s="286" t="n"/>
      <c r="AY432" s="286" t="n"/>
      <c r="AZ432" s="286" t="n"/>
      <c r="BA432" s="286" t="n"/>
      <c r="BB432" s="286" t="n"/>
      <c r="BC432" s="286" t="n"/>
      <c r="BD432" s="286" t="n"/>
      <c r="BE432" s="286" t="n"/>
      <c r="BF432" s="286" t="n"/>
      <c r="BG432" s="286" t="n"/>
      <c r="BH432" s="286" t="n"/>
      <c r="BI432" s="286" t="n"/>
      <c r="BJ432" s="286" t="n"/>
      <c r="BK432" s="286" t="n"/>
      <c r="BL432" s="286" t="n"/>
      <c r="BM432" s="286" t="n"/>
      <c r="BN432" s="286" t="n"/>
      <c r="BO432" s="286" t="n"/>
      <c r="BP432" s="286" t="n"/>
      <c r="BQ432" s="286" t="n"/>
      <c r="BR432" s="286" t="n"/>
      <c r="BS432" s="286" t="n"/>
      <c r="BT432" s="286" t="n"/>
      <c r="BU432" s="286" t="n"/>
      <c r="BV432" s="542" t="n"/>
      <c r="BW432" s="286" t="n"/>
      <c r="BX432" s="286" t="n"/>
      <c r="BY432" s="286" t="n"/>
      <c r="BZ432" s="286" t="n"/>
      <c r="CA432" s="286" t="n"/>
      <c r="CB432" s="286" t="n"/>
      <c r="CC432" s="286" t="n"/>
      <c r="CD432" s="286" t="n"/>
      <c r="CE432" s="286" t="n"/>
      <c r="CF432" s="286" t="n"/>
      <c r="CG432" s="155" t="n"/>
    </row>
    <row r="433" hidden="1" outlineLevel="2" ht="15" customHeight="1">
      <c r="A433" s="605" t="inlineStr">
        <is>
          <t>Last Working Day, date</t>
        </is>
      </c>
      <c r="B433" s="428" t="n"/>
      <c r="C433" s="1370">
        <f>WORKDAY(C3+1,-1)</f>
        <v/>
      </c>
      <c r="D433" s="1370">
        <f>WORKDAY(D3+1,-1)</f>
        <v/>
      </c>
      <c r="E433" s="1370">
        <f>WORKDAY(E3+1,-1)</f>
        <v/>
      </c>
      <c r="F433" s="1370">
        <f>WORKDAY(F3+1,-1)</f>
        <v/>
      </c>
      <c r="G433" s="1371">
        <f>WORKDAY(G3+1,-1)</f>
        <v/>
      </c>
      <c r="H433" s="1371">
        <f>WORKDAY(H3+1,-1)</f>
        <v/>
      </c>
      <c r="I433" s="1371">
        <f>WORKDAY(I3+1,-1)</f>
        <v/>
      </c>
      <c r="J433" s="1371">
        <f>WORKDAY(J3+1,-1)</f>
        <v/>
      </c>
      <c r="K433" s="1370">
        <f>WORKDAY(K3+1,-1)</f>
        <v/>
      </c>
      <c r="L433" s="1371">
        <f>WORKDAY(L3+1,-1)</f>
        <v/>
      </c>
      <c r="M433" s="1371">
        <f>WORKDAY(M3+1,-1)</f>
        <v/>
      </c>
      <c r="N433" s="1371">
        <f>WORKDAY(N3+1,-1)</f>
        <v/>
      </c>
      <c r="O433" s="1371">
        <f>WORKDAY(O3+1,-1)</f>
        <v/>
      </c>
      <c r="P433" s="1370">
        <f>WORKDAY(P3+1,-1)</f>
        <v/>
      </c>
      <c r="Q433" s="1371">
        <f>WORKDAY(Q3+1,-1)</f>
        <v/>
      </c>
      <c r="R433" s="1371">
        <f>WORKDAY(R3+1,-1)</f>
        <v/>
      </c>
      <c r="S433" s="1371">
        <f>WORKDAY(S3+1,-1)</f>
        <v/>
      </c>
      <c r="T433" s="1371">
        <f>WORKDAY(T3+1,-1)</f>
        <v/>
      </c>
      <c r="U433" s="1370">
        <f>WORKDAY(U3+1,-1)</f>
        <v/>
      </c>
      <c r="V433" s="1371">
        <f>WORKDAY(V3+1,-1)</f>
        <v/>
      </c>
      <c r="W433" s="1371">
        <f>WORKDAY(W3+1,-1)</f>
        <v/>
      </c>
      <c r="X433" s="1371">
        <f>WORKDAY(X3+1,-1)</f>
        <v/>
      </c>
      <c r="Y433" s="1371">
        <f>WORKDAY(Y3+1,-1)</f>
        <v/>
      </c>
      <c r="Z433" s="1370">
        <f>WORKDAY(Z3+1,-1)</f>
        <v/>
      </c>
      <c r="AA433" s="1371">
        <f>WORKDAY(AA3+1,-1)</f>
        <v/>
      </c>
      <c r="AB433" s="1371">
        <f>WORKDAY(AB3+1,-1)</f>
        <v/>
      </c>
      <c r="AC433" s="1371">
        <f>WORKDAY(AC3+1,-1)</f>
        <v/>
      </c>
      <c r="AD433" s="1371">
        <f>WORKDAY(AD3+1,-1)</f>
        <v/>
      </c>
      <c r="AE433" s="1370">
        <f>WORKDAY(AE3+1,-1)</f>
        <v/>
      </c>
      <c r="AF433" s="1371">
        <f>WORKDAY(AF3+1,-1)</f>
        <v/>
      </c>
      <c r="AG433" s="1371">
        <f>WORKDAY(AG3+1,-1)</f>
        <v/>
      </c>
      <c r="AH433" s="1371">
        <f>WORKDAY(AH3+1,-1)</f>
        <v/>
      </c>
      <c r="AI433" s="1371">
        <f>WORKDAY(AI3+1,-1)</f>
        <v/>
      </c>
      <c r="AJ433" s="1370">
        <f>WORKDAY(AJ3+1,-1)</f>
        <v/>
      </c>
      <c r="AK433" s="1371">
        <f>WORKDAY(AK3+1,-1)</f>
        <v/>
      </c>
      <c r="AL433" s="1371">
        <f>WORKDAY(AL3+1,-1)</f>
        <v/>
      </c>
      <c r="AM433" s="1371">
        <f>WORKDAY(AM3+1,-1)</f>
        <v/>
      </c>
      <c r="AN433" s="1371">
        <f>WORKDAY(AN3+1,-1)</f>
        <v/>
      </c>
      <c r="AO433" s="1370">
        <f>WORKDAY(AO3+1,-1)</f>
        <v/>
      </c>
      <c r="AP433" s="1371">
        <f>WORKDAY(AP3+1,-1)</f>
        <v/>
      </c>
      <c r="AQ433" s="1371">
        <f>WORKDAY(AQ3+1,-1)</f>
        <v/>
      </c>
      <c r="AR433" s="1371">
        <f>WORKDAY(AR3+1,-1)</f>
        <v/>
      </c>
      <c r="AS433" s="1371">
        <f>WORKDAY(AS3+1,-1)</f>
        <v/>
      </c>
      <c r="AT433" s="1370">
        <f>WORKDAY(AT3+1,-1)</f>
        <v/>
      </c>
      <c r="AU433" s="1371">
        <f>WORKDAY(AU3+1,-1)</f>
        <v/>
      </c>
      <c r="AV433" s="1371">
        <f>WORKDAY(AV3+1,-1)</f>
        <v/>
      </c>
      <c r="AW433" s="1371">
        <f>WORKDAY(AW3+1,-1)</f>
        <v/>
      </c>
      <c r="AX433" s="1371">
        <f>WORKDAY(AX3+1,-1)</f>
        <v/>
      </c>
      <c r="AY433" s="1370">
        <f>WORKDAY(AY3+1,-1)</f>
        <v/>
      </c>
      <c r="AZ433" s="1371">
        <f>WORKDAY(AZ3+1,-1)</f>
        <v/>
      </c>
      <c r="BA433" s="1371">
        <f>WORKDAY(BA3+1,-1)</f>
        <v/>
      </c>
      <c r="BB433" s="1371">
        <f>WORKDAY(BB3+1,-1)</f>
        <v/>
      </c>
      <c r="BC433" s="1371">
        <f>WORKDAY(BC3+1,-1)</f>
        <v/>
      </c>
      <c r="BD433" s="1370">
        <f>WORKDAY(BD3+1,-1)</f>
        <v/>
      </c>
      <c r="BE433" s="1371">
        <f>WORKDAY(BE3+1,-1)</f>
        <v/>
      </c>
      <c r="BF433" s="1371">
        <f>WORKDAY(BF3+1,-1)</f>
        <v/>
      </c>
      <c r="BG433" s="1371">
        <f>WORKDAY(BG3+1,-1)</f>
        <v/>
      </c>
      <c r="BH433" s="1371">
        <f>WORKDAY(BH3+1,-1)</f>
        <v/>
      </c>
      <c r="BI433" s="1370">
        <f>WORKDAY(BI3+1,-1)</f>
        <v/>
      </c>
      <c r="BJ433" s="1371">
        <f>WORKDAY(BJ3+1,-1)</f>
        <v/>
      </c>
      <c r="BK433" s="1371">
        <f>WORKDAY(BK3+1,-1)</f>
        <v/>
      </c>
      <c r="BL433" s="1371">
        <f>WORKDAY(BL3+1,-1)</f>
        <v/>
      </c>
      <c r="BM433" s="1371">
        <f>WORKDAY(BM3+1,-1)</f>
        <v/>
      </c>
      <c r="BN433" s="1370">
        <f>WORKDAY(BN4+1,-1)</f>
        <v/>
      </c>
      <c r="BO433" s="1371">
        <f>WORKDAY(BO4+1,-1)</f>
        <v/>
      </c>
      <c r="BP433" s="1371">
        <f>WORKDAY(BP4+1,-1)</f>
        <v/>
      </c>
      <c r="BQ433" s="1371">
        <f>WORKDAY(BQ4+1,-1)</f>
        <v/>
      </c>
      <c r="BR433" s="1371">
        <f>WORKDAY(BR3+1,-1)</f>
        <v/>
      </c>
      <c r="BS433" s="1370">
        <f>WORKDAY(BS4+1,-1)</f>
        <v/>
      </c>
      <c r="BT433" s="1371">
        <f>WORKDAY(BT4+1,-1)</f>
        <v/>
      </c>
      <c r="BU433" s="1371">
        <f>WORKDAY(BU4+1,-1)</f>
        <v/>
      </c>
      <c r="BV433" s="1372">
        <f>WORKDAY(BV4+1,-1)</f>
        <v/>
      </c>
      <c r="BW433" s="1371" t="n"/>
      <c r="BX433" s="1370" t="n"/>
      <c r="BY433" s="1371" t="n"/>
      <c r="BZ433" s="1371" t="n"/>
      <c r="CA433" s="1371" t="n"/>
      <c r="CB433" s="1371" t="n"/>
      <c r="CC433" s="1370" t="n"/>
      <c r="CD433" s="1370" t="n"/>
      <c r="CE433" s="1370" t="n"/>
      <c r="CF433" s="1370" t="n"/>
      <c r="CG433" s="155" t="n"/>
    </row>
    <row r="434" hidden="1" outlineLevel="1" collapsed="1" ht="15" customFormat="1" customHeight="1" s="1373">
      <c r="A434" s="1374" t="inlineStr">
        <is>
          <t>End of Period Stock Price, $/share</t>
        </is>
      </c>
      <c r="B434" s="1375" t="n"/>
      <c r="C434" s="1376">
        <f>C759</f>
        <v/>
      </c>
      <c r="D434" s="1376">
        <f>D759</f>
        <v/>
      </c>
      <c r="E434" s="1376">
        <f>E759</f>
        <v/>
      </c>
      <c r="F434" s="1376">
        <f>F759</f>
        <v/>
      </c>
      <c r="G434" s="1377">
        <f>G759</f>
        <v/>
      </c>
      <c r="H434" s="1377">
        <f>H759</f>
        <v/>
      </c>
      <c r="I434" s="1377">
        <f>I759</f>
        <v/>
      </c>
      <c r="J434" s="1377">
        <f>J759</f>
        <v/>
      </c>
      <c r="K434" s="1376">
        <f>K759</f>
        <v/>
      </c>
      <c r="L434" s="1377">
        <f>L759</f>
        <v/>
      </c>
      <c r="M434" s="1377">
        <f>M759</f>
        <v/>
      </c>
      <c r="N434" s="1377">
        <f>N759</f>
        <v/>
      </c>
      <c r="O434" s="1377">
        <f>O759</f>
        <v/>
      </c>
      <c r="P434" s="1376">
        <f>P759</f>
        <v/>
      </c>
      <c r="Q434" s="1377">
        <f>Q759</f>
        <v/>
      </c>
      <c r="R434" s="1377">
        <f>R759</f>
        <v/>
      </c>
      <c r="S434" s="1377">
        <f>S759</f>
        <v/>
      </c>
      <c r="T434" s="1377">
        <f>T759</f>
        <v/>
      </c>
      <c r="U434" s="1376">
        <f>U759</f>
        <v/>
      </c>
      <c r="V434" s="1377">
        <f>V759</f>
        <v/>
      </c>
      <c r="W434" s="1377">
        <f>W759</f>
        <v/>
      </c>
      <c r="X434" s="1377">
        <f>X759</f>
        <v/>
      </c>
      <c r="Y434" s="1377">
        <f>Y759</f>
        <v/>
      </c>
      <c r="Z434" s="1376">
        <f>Z759</f>
        <v/>
      </c>
      <c r="AA434" s="1377">
        <f>AA759</f>
        <v/>
      </c>
      <c r="AB434" s="1377">
        <f>AB759</f>
        <v/>
      </c>
      <c r="AC434" s="1377">
        <f>AC759</f>
        <v/>
      </c>
      <c r="AD434" s="1377">
        <f>AD759</f>
        <v/>
      </c>
      <c r="AE434" s="1376">
        <f>AE759</f>
        <v/>
      </c>
      <c r="AF434" s="1377">
        <f>AF759</f>
        <v/>
      </c>
      <c r="AG434" s="1377">
        <f>AG759</f>
        <v/>
      </c>
      <c r="AH434" s="1377">
        <f>AH759</f>
        <v/>
      </c>
      <c r="AI434" s="1377">
        <f>AI759</f>
        <v/>
      </c>
      <c r="AJ434" s="1376">
        <f>AJ759</f>
        <v/>
      </c>
      <c r="AK434" s="1377">
        <f>AK759</f>
        <v/>
      </c>
      <c r="AL434" s="1377">
        <f>AL759</f>
        <v/>
      </c>
      <c r="AM434" s="1377">
        <f>AM759</f>
        <v/>
      </c>
      <c r="AN434" s="1377">
        <f>AN759</f>
        <v/>
      </c>
      <c r="AO434" s="1376">
        <f>AO759</f>
        <v/>
      </c>
      <c r="AP434" s="1377">
        <f>AP759</f>
        <v/>
      </c>
      <c r="AQ434" s="1377">
        <f>AQ759</f>
        <v/>
      </c>
      <c r="AR434" s="1377">
        <f>AR759</f>
        <v/>
      </c>
      <c r="AS434" s="1377">
        <f>AS759</f>
        <v/>
      </c>
      <c r="AT434" s="1376">
        <f>AT759</f>
        <v/>
      </c>
      <c r="AU434" s="1377">
        <f>AU759</f>
        <v/>
      </c>
      <c r="AV434" s="1377">
        <f>AV759</f>
        <v/>
      </c>
      <c r="AW434" s="1377">
        <f>AW759</f>
        <v/>
      </c>
      <c r="AX434" s="1377">
        <f>AX759</f>
        <v/>
      </c>
      <c r="AY434" s="1376">
        <f>AY759</f>
        <v/>
      </c>
      <c r="AZ434" s="1377">
        <f>AZ759</f>
        <v/>
      </c>
      <c r="BA434" s="1377">
        <f>BA759</f>
        <v/>
      </c>
      <c r="BB434" s="1377">
        <f>BB759</f>
        <v/>
      </c>
      <c r="BC434" s="1377">
        <f>BC759</f>
        <v/>
      </c>
      <c r="BD434" s="1376">
        <f>BD759</f>
        <v/>
      </c>
      <c r="BE434" s="1377">
        <f>BE759</f>
        <v/>
      </c>
      <c r="BF434" s="1377">
        <f>BF759</f>
        <v/>
      </c>
      <c r="BG434" s="1377">
        <f>BG759</f>
        <v/>
      </c>
      <c r="BH434" s="1377">
        <f>BH759</f>
        <v/>
      </c>
      <c r="BI434" s="1376">
        <f>BI759</f>
        <v/>
      </c>
      <c r="BJ434" s="1377">
        <f>BJ759</f>
        <v/>
      </c>
      <c r="BK434" s="1377">
        <f>BK759</f>
        <v/>
      </c>
      <c r="BL434" s="1377">
        <f>BL759</f>
        <v/>
      </c>
      <c r="BM434" s="1377">
        <f>BM759</f>
        <v/>
      </c>
      <c r="BN434" s="1376">
        <f>BN759</f>
        <v/>
      </c>
      <c r="BO434" s="1377">
        <f>BO759</f>
        <v/>
      </c>
      <c r="BP434" s="1377">
        <f>BP759</f>
        <v/>
      </c>
      <c r="BQ434" s="1377">
        <f>BQ759</f>
        <v/>
      </c>
      <c r="BR434" s="1377">
        <f>BR759</f>
        <v/>
      </c>
      <c r="BS434" s="1376">
        <f>BS759</f>
        <v/>
      </c>
      <c r="BT434" s="1377">
        <f>BT759</f>
        <v/>
      </c>
      <c r="BU434" s="1377">
        <f>BU759</f>
        <v/>
      </c>
      <c r="BV434" s="1378">
        <f>BV759</f>
        <v/>
      </c>
      <c r="BW434" s="1377">
        <f>BW759</f>
        <v/>
      </c>
      <c r="BX434" s="1376">
        <f>BX759</f>
        <v/>
      </c>
      <c r="BY434" s="1377">
        <f>BY759</f>
        <v/>
      </c>
      <c r="BZ434" s="1377">
        <f>BZ759</f>
        <v/>
      </c>
      <c r="CA434" s="1377">
        <f>CA759</f>
        <v/>
      </c>
      <c r="CB434" s="1377">
        <f>CB759</f>
        <v/>
      </c>
      <c r="CC434" s="1376">
        <f>CC759</f>
        <v/>
      </c>
      <c r="CD434" s="1376">
        <f>CD759</f>
        <v/>
      </c>
      <c r="CE434" s="1376">
        <f>CE759</f>
        <v/>
      </c>
      <c r="CF434" s="1376">
        <f>CF759</f>
        <v/>
      </c>
      <c r="CG434" s="1379" t="n"/>
    </row>
    <row r="435" hidden="1" outlineLevel="1" ht="15" customHeight="1">
      <c r="A435" s="605" t="n"/>
      <c r="B435" s="428" t="n"/>
      <c r="C435" s="1370" t="n"/>
      <c r="D435" s="1370" t="n"/>
      <c r="E435" s="1370" t="n"/>
      <c r="F435" s="1370" t="n"/>
      <c r="G435" s="1371" t="n"/>
      <c r="H435" s="1371" t="n"/>
      <c r="I435" s="1371" t="n"/>
      <c r="J435" s="1371" t="n"/>
      <c r="K435" s="1370" t="n"/>
      <c r="L435" s="1371" t="n"/>
      <c r="M435" s="1371" t="n"/>
      <c r="N435" s="1371" t="n"/>
      <c r="O435" s="1371" t="n"/>
      <c r="P435" s="1370" t="n"/>
      <c r="Q435" s="1371" t="n"/>
      <c r="R435" s="1371" t="n"/>
      <c r="S435" s="1371" t="n"/>
      <c r="T435" s="1371" t="n"/>
      <c r="U435" s="1370" t="n"/>
      <c r="V435" s="1371" t="n"/>
      <c r="W435" s="1371" t="n"/>
      <c r="X435" s="1371" t="n"/>
      <c r="Y435" s="1371" t="n"/>
      <c r="Z435" s="1370" t="n"/>
      <c r="AA435" s="1371" t="n"/>
      <c r="AB435" s="1371" t="n"/>
      <c r="AC435" s="1371" t="n"/>
      <c r="AD435" s="1371" t="n"/>
      <c r="AE435" s="1370" t="n"/>
      <c r="AF435" s="1371" t="n"/>
      <c r="AG435" s="1371" t="n"/>
      <c r="AH435" s="1371" t="n"/>
      <c r="AI435" s="1371" t="n"/>
      <c r="AJ435" s="1370" t="n"/>
      <c r="AK435" s="1371" t="n"/>
      <c r="AL435" s="1371" t="n"/>
      <c r="AM435" s="1371" t="n"/>
      <c r="AN435" s="1371" t="n"/>
      <c r="AO435" s="1370" t="n"/>
      <c r="AP435" s="1371" t="n"/>
      <c r="AQ435" s="1371" t="n"/>
      <c r="AR435" s="1371" t="n"/>
      <c r="AS435" s="1371" t="n"/>
      <c r="AT435" s="1370" t="n"/>
      <c r="AU435" s="1371" t="n"/>
      <c r="AV435" s="1371" t="n"/>
      <c r="AW435" s="1371" t="n"/>
      <c r="AX435" s="1371" t="n"/>
      <c r="AY435" s="1370" t="n"/>
      <c r="AZ435" s="1371" t="n"/>
      <c r="BA435" s="1371" t="n"/>
      <c r="BB435" s="1371" t="n"/>
      <c r="BC435" s="1371" t="n"/>
      <c r="BD435" s="1370" t="n"/>
      <c r="BE435" s="1371" t="n"/>
      <c r="BF435" s="1371" t="n"/>
      <c r="BG435" s="1371" t="n"/>
      <c r="BH435" s="1371" t="n"/>
      <c r="BI435" s="1370" t="n"/>
      <c r="BJ435" s="1371" t="n"/>
      <c r="BK435" s="1371" t="n"/>
      <c r="BL435" s="1371" t="n"/>
      <c r="BM435" s="1371" t="n"/>
      <c r="BN435" s="1370" t="n"/>
      <c r="BO435" s="1371" t="n"/>
      <c r="BP435" s="1371" t="n"/>
      <c r="BQ435" s="1371" t="n"/>
      <c r="BR435" s="1371" t="n"/>
      <c r="BS435" s="1370" t="n"/>
      <c r="BT435" s="1371" t="n"/>
      <c r="BU435" s="1371" t="n"/>
      <c r="BV435" s="1372" t="n"/>
      <c r="BW435" s="1371" t="n"/>
      <c r="BX435" s="1370" t="n"/>
      <c r="BY435" s="1371" t="n"/>
      <c r="BZ435" s="1371" t="n"/>
      <c r="CA435" s="1371" t="n"/>
      <c r="CB435" s="1371" t="n"/>
      <c r="CC435" s="1370" t="n"/>
      <c r="CD435" s="1370" t="n"/>
      <c r="CE435" s="1370" t="n"/>
      <c r="CF435" s="1370" t="n"/>
      <c r="CG435" s="155" t="n"/>
    </row>
    <row r="436" hidden="1" outlineLevel="1" ht="15" customFormat="1" customHeight="1" s="227">
      <c r="A436" s="636" t="inlineStr">
        <is>
          <t>EoP Common Stock Outstanding, mm shares</t>
        </is>
      </c>
      <c r="B436" s="146" t="n"/>
      <c r="C436" s="1111">
        <f>(538.460766*(4))*(10)</f>
        <v/>
      </c>
      <c r="D436" s="1111">
        <f>(561.465851*(4))*(10)</f>
        <v/>
      </c>
      <c r="E436" s="1111">
        <f>(588.555701*(4))*(10)</f>
        <v/>
      </c>
      <c r="F436" s="1111">
        <f>(612.191412*(4))*(10)</f>
        <v/>
      </c>
      <c r="G436" s="68">
        <f>(2*G428-F436)</f>
        <v/>
      </c>
      <c r="H436" s="68">
        <f>(2*H428-G436)</f>
        <v/>
      </c>
      <c r="I436" s="68">
        <f>(2*I428-H436)</f>
        <v/>
      </c>
      <c r="J436" s="68">
        <f>K436</f>
        <v/>
      </c>
      <c r="K436" s="1111">
        <f>(616.756134*(4))*(10)</f>
        <v/>
      </c>
      <c r="L436" s="68">
        <f>(2*L428-K436)</f>
        <v/>
      </c>
      <c r="M436" s="68">
        <f>(2*M428-L436)</f>
        <v/>
      </c>
      <c r="N436" s="68">
        <f>(2*N428-M436)</f>
        <v/>
      </c>
      <c r="O436" s="68">
        <f>P436</f>
        <v/>
      </c>
      <c r="P436" s="1111">
        <f>(567.996734*(4))*(10)</f>
        <v/>
      </c>
      <c r="Q436" s="68">
        <f>(2*Q428-P436)</f>
        <v/>
      </c>
      <c r="R436" s="68">
        <f>(2*R428-Q436)</f>
        <v/>
      </c>
      <c r="S436" s="68">
        <f>(2*S428-R436)</f>
        <v/>
      </c>
      <c r="T436" s="68">
        <f>U436</f>
        <v/>
      </c>
      <c r="U436" s="1111">
        <f>(544.913*(4))*(10)</f>
        <v/>
      </c>
      <c r="V436" s="68">
        <f>(2*V428-U436)</f>
        <v/>
      </c>
      <c r="W436" s="68">
        <f>(2*W428-V436)</f>
        <v/>
      </c>
      <c r="X436" s="68">
        <f>(2*X428-W436)</f>
        <v/>
      </c>
      <c r="Y436" s="68">
        <f>Z436</f>
        <v/>
      </c>
      <c r="Z436" s="1111">
        <f>(539*(4))*(10)</f>
        <v/>
      </c>
      <c r="AA436" s="68">
        <f>(2*AA428-Z436)</f>
        <v/>
      </c>
      <c r="AB436" s="68">
        <f>(2*AB428-AA436)</f>
        <v/>
      </c>
      <c r="AC436" s="68">
        <f>(2*AC428-AB436)</f>
        <v/>
      </c>
      <c r="AD436" s="68">
        <f>AE436</f>
        <v/>
      </c>
      <c r="AE436" s="1111">
        <f>(585*(4))*(10)</f>
        <v/>
      </c>
      <c r="AF436" s="68">
        <f>(2*AF428-AE436)</f>
        <v/>
      </c>
      <c r="AG436" s="68">
        <f>(2*AG428-AF436)</f>
        <v/>
      </c>
      <c r="AH436" s="68">
        <f>(2*AH428-AG436)</f>
        <v/>
      </c>
      <c r="AI436" s="68">
        <f>AJ436</f>
        <v/>
      </c>
      <c r="AJ436" s="1111">
        <f>(606*(4))*(10)</f>
        <v/>
      </c>
      <c r="AK436" s="1053">
        <f>(607*(4))*(10)</f>
        <v/>
      </c>
      <c r="AL436" s="1053">
        <f>(608*(4))*(10)</f>
        <v/>
      </c>
      <c r="AM436" s="1053">
        <f>(611*(4))*(10)</f>
        <v/>
      </c>
      <c r="AN436" s="68">
        <f>AO436</f>
        <v/>
      </c>
      <c r="AO436" s="1111">
        <f>(606*(4))*(10)</f>
        <v/>
      </c>
      <c r="AP436" s="1053">
        <f>(609*(4))*(10)</f>
        <v/>
      </c>
      <c r="AQ436" s="1053">
        <f>(609*(4))*(10)</f>
        <v/>
      </c>
      <c r="AR436" s="1053">
        <f>(612*(4))*(10)</f>
        <v/>
      </c>
      <c r="AS436" s="68">
        <f>AT436</f>
        <v/>
      </c>
      <c r="AT436" s="1111">
        <f>(612*(4))*(10)</f>
        <v/>
      </c>
      <c r="AU436" s="1053">
        <f>(615*(4))*(10)</f>
        <v/>
      </c>
      <c r="AV436" s="1053">
        <f>(617*(4))*(10)</f>
        <v/>
      </c>
      <c r="AW436" s="1053">
        <f>(619*(4))*(10)</f>
        <v/>
      </c>
      <c r="AX436" s="68">
        <f>AY436</f>
        <v/>
      </c>
      <c r="AY436" s="1111">
        <f>(620*(4))*(10)</f>
        <v/>
      </c>
      <c r="AZ436" s="1053">
        <f>(623*(4))*(10)</f>
        <v/>
      </c>
      <c r="BA436" s="1053">
        <f>2496*(10)</f>
        <v/>
      </c>
      <c r="BB436" s="1053">
        <f>2502*(10)</f>
        <v/>
      </c>
      <c r="BC436" s="68">
        <f>BD436</f>
        <v/>
      </c>
      <c r="BD436" s="1111">
        <f>2506*(10)</f>
        <v/>
      </c>
      <c r="BE436" s="1053">
        <f>2504*(10)</f>
        <v/>
      </c>
      <c r="BF436" s="1053">
        <f>2489*(10)</f>
        <v/>
      </c>
      <c r="BG436" s="1053">
        <f>2468*(10)</f>
        <v/>
      </c>
      <c r="BH436" s="68">
        <f>BI436</f>
        <v/>
      </c>
      <c r="BI436" s="1111">
        <f>2466*(10)</f>
        <v/>
      </c>
      <c r="BJ436" s="1053">
        <f>2473*(10)</f>
        <v/>
      </c>
      <c r="BK436" s="1053">
        <f>2469*(10)</f>
        <v/>
      </c>
      <c r="BL436" s="1053">
        <f>2466*(10)</f>
        <v/>
      </c>
      <c r="BM436" s="68">
        <f>BN436</f>
        <v/>
      </c>
      <c r="BN436" s="1111">
        <f>2464*(10)</f>
        <v/>
      </c>
      <c r="BO436" s="1053">
        <f>2459*(10)</f>
        <v/>
      </c>
      <c r="BP436" s="1053" t="n">
        <v>24562</v>
      </c>
      <c r="BQ436" s="1053" t="n">
        <v>24508</v>
      </c>
      <c r="BR436" s="68">
        <f>BS436</f>
        <v/>
      </c>
      <c r="BS436" s="1111" t="n">
        <v>24477</v>
      </c>
      <c r="BT436" s="1053" t="n">
        <v>24388</v>
      </c>
      <c r="BU436" s="1053" t="n">
        <v>24347</v>
      </c>
      <c r="BV436" s="1054" t="n">
        <v>24305</v>
      </c>
      <c r="BW436" s="68">
        <f>BV436*(1+BW437)+BW710/(BW711/BW760)</f>
        <v/>
      </c>
      <c r="BX436" s="1110">
        <f>BW436</f>
        <v/>
      </c>
      <c r="BY436" s="68">
        <f>BX436*(1+BY437)+BY710/(BY711/BY760)</f>
        <v/>
      </c>
      <c r="BZ436" s="68">
        <f>BY436*(1+BZ437)+BZ710/(BZ711/BZ760)</f>
        <v/>
      </c>
      <c r="CA436" s="68">
        <f>BZ436*(1+CA437)+CA710/(CA711/CA760)</f>
        <v/>
      </c>
      <c r="CB436" s="68">
        <f>CA436*(1+CB437)+CB710/(CB711/CB760)</f>
        <v/>
      </c>
      <c r="CC436" s="1110">
        <f>CB436</f>
        <v/>
      </c>
      <c r="CD436" s="1110">
        <f>CC436*(1+CD438)+CD710/(CD711/CD760)</f>
        <v/>
      </c>
      <c r="CE436" s="1110">
        <f>CD436*(1+CE438)+CE710/(CE711/CE760)</f>
        <v/>
      </c>
      <c r="CF436" s="1110">
        <f>CE436*(1+CF438)+CF710/(CF711/CF760)</f>
        <v/>
      </c>
      <c r="CG436" s="27" t="n"/>
    </row>
    <row r="437" hidden="1" outlineLevel="1" ht="15" customFormat="1" customHeight="1" s="227">
      <c r="A437" s="656" t="inlineStr">
        <is>
          <t>Q/Q basic share expansion from dilutive securities, %</t>
        </is>
      </c>
      <c r="B437" s="102" t="n"/>
      <c r="C437" s="1113" t="n"/>
      <c r="D437" s="1113" t="n"/>
      <c r="E437" s="1113" t="n"/>
      <c r="F437" s="1113" t="n"/>
      <c r="G437" s="90" t="n"/>
      <c r="H437" s="90" t="n"/>
      <c r="I437" s="90" t="n"/>
      <c r="J437" s="90" t="n"/>
      <c r="K437" s="1113" t="n"/>
      <c r="L437" s="90" t="n"/>
      <c r="M437" s="90" t="n"/>
      <c r="N437" s="90" t="n"/>
      <c r="O437" s="90" t="n"/>
      <c r="P437" s="1113" t="n"/>
      <c r="Q437" s="90" t="n"/>
      <c r="R437" s="90" t="n"/>
      <c r="S437" s="90" t="n"/>
      <c r="T437" s="90" t="n"/>
      <c r="U437" s="1113" t="n"/>
      <c r="V437" s="90" t="n"/>
      <c r="W437" s="90" t="n"/>
      <c r="X437" s="90" t="n"/>
      <c r="Y437" s="90" t="n"/>
      <c r="Z437" s="1113" t="n"/>
      <c r="AA437" s="90" t="n"/>
      <c r="AB437" s="90" t="n"/>
      <c r="AC437" s="90" t="n"/>
      <c r="AD437" s="90" t="n"/>
      <c r="AE437" s="1113" t="n"/>
      <c r="AF437" s="90" t="n"/>
      <c r="AG437" s="90" t="n"/>
      <c r="AH437" s="90" t="n"/>
      <c r="AI437" s="90" t="n"/>
      <c r="AJ437" s="1113" t="n"/>
      <c r="AK437" s="90" t="n"/>
      <c r="AL437" s="90" t="n"/>
      <c r="AM437" s="90" t="n"/>
      <c r="AN437" s="90" t="n"/>
      <c r="AO437" s="1113" t="n"/>
      <c r="AP437" s="90" t="n"/>
      <c r="AQ437" s="90" t="n"/>
      <c r="AR437" s="90" t="n"/>
      <c r="AS437" s="90" t="n"/>
      <c r="AT437" s="1113" t="n"/>
      <c r="AU437" s="90" t="n"/>
      <c r="AV437" s="90" t="n"/>
      <c r="AW437" s="90" t="n"/>
      <c r="AX437" s="90" t="n"/>
      <c r="AY437" s="1113" t="n"/>
      <c r="AZ437" s="90" t="n"/>
      <c r="BA437" s="90" t="n"/>
      <c r="BB437" s="90" t="n"/>
      <c r="BC437" s="90" t="n"/>
      <c r="BD437" s="1113" t="n"/>
      <c r="BE437" s="90" t="n"/>
      <c r="BF437" s="90" t="n"/>
      <c r="BG437" s="90" t="n"/>
      <c r="BH437" s="90" t="n"/>
      <c r="BI437" s="1113" t="n"/>
      <c r="BJ437" s="90" t="n"/>
      <c r="BK437" s="90" t="n"/>
      <c r="BL437" s="90" t="n"/>
      <c r="BM437" s="90" t="n"/>
      <c r="BN437" s="1113" t="n"/>
      <c r="BO437" s="90" t="n"/>
      <c r="BP437" s="90" t="n"/>
      <c r="BQ437" s="90" t="n"/>
      <c r="BR437" s="90" t="n"/>
      <c r="BS437" s="1113" t="n"/>
      <c r="BT437" s="90" t="n"/>
      <c r="BU437" s="90" t="n"/>
      <c r="BV437" s="880" t="n"/>
      <c r="BW437" s="1058" t="n">
        <v>0</v>
      </c>
      <c r="BX437" s="1113" t="n"/>
      <c r="BY437" s="1058" t="n">
        <v>0</v>
      </c>
      <c r="BZ437" s="1058" t="n">
        <v>0</v>
      </c>
      <c r="CA437" s="1058" t="n">
        <v>0</v>
      </c>
      <c r="CB437" s="1058" t="n">
        <v>0</v>
      </c>
      <c r="CC437" s="1113" t="n"/>
      <c r="CD437" s="1113" t="n"/>
      <c r="CE437" s="1113" t="n"/>
      <c r="CF437" s="1113" t="n"/>
      <c r="CG437" s="27" t="n"/>
    </row>
    <row r="438" hidden="1" outlineLevel="1" ht="15" customFormat="1" customHeight="1" s="227">
      <c r="A438" s="656" t="inlineStr">
        <is>
          <t>Y/Y basic share expansion from dilutive securities, %</t>
        </is>
      </c>
      <c r="B438" s="102" t="n"/>
      <c r="C438" s="1113" t="n"/>
      <c r="D438" s="1113" t="n"/>
      <c r="E438" s="1113" t="n"/>
      <c r="F438" s="1113" t="n"/>
      <c r="G438" s="90" t="n"/>
      <c r="H438" s="90" t="n"/>
      <c r="I438" s="90" t="n"/>
      <c r="J438" s="90" t="n"/>
      <c r="K438" s="1113" t="n"/>
      <c r="L438" s="90" t="n"/>
      <c r="M438" s="90" t="n"/>
      <c r="N438" s="90" t="n"/>
      <c r="O438" s="90" t="n"/>
      <c r="P438" s="1113" t="n"/>
      <c r="Q438" s="90" t="n"/>
      <c r="R438" s="90" t="n"/>
      <c r="S438" s="90" t="n"/>
      <c r="T438" s="90" t="n"/>
      <c r="U438" s="1113" t="n"/>
      <c r="V438" s="90" t="n"/>
      <c r="W438" s="90" t="n"/>
      <c r="X438" s="90" t="n"/>
      <c r="Y438" s="90" t="n"/>
      <c r="Z438" s="1113" t="n"/>
      <c r="AA438" s="90" t="n"/>
      <c r="AB438" s="90" t="n"/>
      <c r="AC438" s="90" t="n"/>
      <c r="AD438" s="90" t="n"/>
      <c r="AE438" s="1113" t="n"/>
      <c r="AF438" s="90" t="n"/>
      <c r="AG438" s="90" t="n"/>
      <c r="AH438" s="90" t="n"/>
      <c r="AI438" s="90" t="n"/>
      <c r="AJ438" s="1113" t="n"/>
      <c r="AK438" s="90" t="n"/>
      <c r="AL438" s="90" t="n"/>
      <c r="AM438" s="90" t="n"/>
      <c r="AN438" s="90" t="n"/>
      <c r="AO438" s="1113" t="n"/>
      <c r="AP438" s="90" t="n"/>
      <c r="AQ438" s="90" t="n"/>
      <c r="AR438" s="90" t="n"/>
      <c r="AS438" s="90" t="n"/>
      <c r="AT438" s="1113" t="n"/>
      <c r="AU438" s="90" t="n"/>
      <c r="AV438" s="90" t="n"/>
      <c r="AW438" s="90" t="n"/>
      <c r="AX438" s="90" t="n"/>
      <c r="AY438" s="1113" t="n"/>
      <c r="AZ438" s="90" t="n"/>
      <c r="BA438" s="90" t="n"/>
      <c r="BB438" s="90" t="n"/>
      <c r="BC438" s="90" t="n"/>
      <c r="BD438" s="1113" t="n"/>
      <c r="BE438" s="90" t="n"/>
      <c r="BF438" s="90" t="n"/>
      <c r="BG438" s="90" t="n"/>
      <c r="BH438" s="90" t="n"/>
      <c r="BI438" s="1113" t="n"/>
      <c r="BJ438" s="90" t="n"/>
      <c r="BK438" s="90" t="n"/>
      <c r="BL438" s="90" t="n"/>
      <c r="BM438" s="90" t="n"/>
      <c r="BN438" s="1113" t="n"/>
      <c r="BO438" s="90" t="n"/>
      <c r="BP438" s="90" t="n"/>
      <c r="BQ438" s="90" t="n"/>
      <c r="BR438" s="90" t="n"/>
      <c r="BS438" s="1113" t="n"/>
      <c r="BT438" s="90" t="n"/>
      <c r="BU438" s="90" t="n"/>
      <c r="BV438" s="880" t="n"/>
      <c r="BW438" s="90" t="n"/>
      <c r="BX438" s="1113" t="n"/>
      <c r="BY438" s="90" t="n"/>
      <c r="BZ438" s="90" t="n"/>
      <c r="CA438" s="90" t="n"/>
      <c r="CB438" s="90" t="n"/>
      <c r="CC438" s="1113" t="n"/>
      <c r="CD438" s="1127" t="n">
        <v>0</v>
      </c>
      <c r="CE438" s="1127" t="n">
        <v>0</v>
      </c>
      <c r="CF438" s="1127" t="n">
        <v>0</v>
      </c>
      <c r="CG438" s="27" t="n"/>
    </row>
    <row r="439" hidden="1" outlineLevel="2" ht="15" customFormat="1" customHeight="1" s="227">
      <c r="A439" s="656" t="inlineStr">
        <is>
          <t>Q/Q basic share expansion from share issuance (buyback), %</t>
        </is>
      </c>
      <c r="B439" s="102" t="n"/>
      <c r="C439" s="1113" t="n"/>
      <c r="D439" s="1113" t="n"/>
      <c r="E439" s="1113" t="n"/>
      <c r="F439" s="1113" t="n"/>
      <c r="G439" s="90" t="n"/>
      <c r="H439" s="90" t="n"/>
      <c r="I439" s="90" t="n"/>
      <c r="J439" s="90" t="n"/>
      <c r="K439" s="1113" t="n"/>
      <c r="L439" s="90" t="n"/>
      <c r="M439" s="90" t="n"/>
      <c r="N439" s="90" t="n"/>
      <c r="O439" s="90" t="n"/>
      <c r="P439" s="1113" t="n"/>
      <c r="Q439" s="90" t="n"/>
      <c r="R439" s="90" t="n"/>
      <c r="S439" s="90" t="n"/>
      <c r="T439" s="90" t="n"/>
      <c r="U439" s="1113" t="n"/>
      <c r="V439" s="90" t="n"/>
      <c r="W439" s="90" t="n"/>
      <c r="X439" s="90" t="n"/>
      <c r="Y439" s="90" t="n"/>
      <c r="Z439" s="1113" t="n"/>
      <c r="AA439" s="90" t="n"/>
      <c r="AB439" s="90" t="n"/>
      <c r="AC439" s="90" t="n"/>
      <c r="AD439" s="90" t="n"/>
      <c r="AE439" s="1113" t="n"/>
      <c r="AF439" s="90" t="n"/>
      <c r="AG439" s="90" t="n"/>
      <c r="AH439" s="90" t="n"/>
      <c r="AI439" s="90" t="n"/>
      <c r="AJ439" s="1113" t="n"/>
      <c r="AK439" s="90" t="n"/>
      <c r="AL439" s="90" t="n"/>
      <c r="AM439" s="90" t="n"/>
      <c r="AN439" s="90" t="n"/>
      <c r="AO439" s="1113" t="n"/>
      <c r="AP439" s="90" t="n"/>
      <c r="AQ439" s="90" t="n"/>
      <c r="AR439" s="90" t="n"/>
      <c r="AS439" s="90" t="n"/>
      <c r="AT439" s="1113" t="n"/>
      <c r="AU439" s="90" t="n"/>
      <c r="AV439" s="90" t="n"/>
      <c r="AW439" s="90" t="n"/>
      <c r="AX439" s="90" t="n"/>
      <c r="AY439" s="1113" t="n"/>
      <c r="AZ439" s="90" t="n"/>
      <c r="BA439" s="90" t="n"/>
      <c r="BB439" s="90" t="n"/>
      <c r="BC439" s="90" t="n"/>
      <c r="BD439" s="1113" t="n"/>
      <c r="BE439" s="90" t="n"/>
      <c r="BF439" s="90" t="n"/>
      <c r="BG439" s="90" t="n"/>
      <c r="BH439" s="90" t="n"/>
      <c r="BI439" s="1113" t="n"/>
      <c r="BJ439" s="90" t="n"/>
      <c r="BK439" s="90" t="n"/>
      <c r="BL439" s="90" t="n"/>
      <c r="BM439" s="90" t="n"/>
      <c r="BN439" s="1113" t="n"/>
      <c r="BO439" s="90" t="n"/>
      <c r="BP439" s="90" t="n"/>
      <c r="BQ439" s="90" t="n"/>
      <c r="BR439" s="90" t="n"/>
      <c r="BS439" s="1113" t="n"/>
      <c r="BT439" s="90" t="n"/>
      <c r="BU439" s="90" t="n"/>
      <c r="BV439" s="880" t="n"/>
      <c r="BW439" s="90">
        <f>BW710/(BW711/BW760)/BV436</f>
        <v/>
      </c>
      <c r="BX439" s="1113" t="n"/>
      <c r="BY439" s="90">
        <f>BY710/(BY711/BY760)/BW436</f>
        <v/>
      </c>
      <c r="BZ439" s="90">
        <f>BZ710/(BZ711/BZ760)/BY436</f>
        <v/>
      </c>
      <c r="CA439" s="90">
        <f>CA710/(CA711/CA760)/BZ436</f>
        <v/>
      </c>
      <c r="CB439" s="90">
        <f>CB710/(CB711/CB760)/CA436</f>
        <v/>
      </c>
      <c r="CC439" s="1113" t="n"/>
      <c r="CD439" s="1113" t="n"/>
      <c r="CE439" s="1113" t="n"/>
      <c r="CF439" s="1113" t="n"/>
      <c r="CG439" s="27" t="n"/>
    </row>
    <row r="440" hidden="1" outlineLevel="2" ht="15" customFormat="1" customHeight="1" s="227">
      <c r="A440" s="701" t="inlineStr">
        <is>
          <t>Y/Y basic share expansion from share issuance (buyback), %</t>
        </is>
      </c>
      <c r="B440" s="702" t="n"/>
      <c r="C440" s="1179" t="n"/>
      <c r="D440" s="1179" t="n"/>
      <c r="E440" s="1179" t="n"/>
      <c r="F440" s="1179" t="n"/>
      <c r="G440" s="703" t="n"/>
      <c r="H440" s="703" t="n"/>
      <c r="I440" s="703" t="n"/>
      <c r="J440" s="703" t="n"/>
      <c r="K440" s="1179" t="n"/>
      <c r="L440" s="703" t="n"/>
      <c r="M440" s="703" t="n"/>
      <c r="N440" s="703" t="n"/>
      <c r="O440" s="703" t="n"/>
      <c r="P440" s="1179" t="n"/>
      <c r="Q440" s="703" t="n"/>
      <c r="R440" s="703" t="n"/>
      <c r="S440" s="703" t="n"/>
      <c r="T440" s="703" t="n"/>
      <c r="U440" s="1179" t="n"/>
      <c r="V440" s="703" t="n"/>
      <c r="W440" s="703" t="n"/>
      <c r="X440" s="703" t="n"/>
      <c r="Y440" s="703" t="n"/>
      <c r="Z440" s="1179" t="n"/>
      <c r="AA440" s="703" t="n"/>
      <c r="AB440" s="703" t="n"/>
      <c r="AC440" s="703" t="n"/>
      <c r="AD440" s="703" t="n"/>
      <c r="AE440" s="1179" t="n"/>
      <c r="AF440" s="703" t="n"/>
      <c r="AG440" s="703" t="n"/>
      <c r="AH440" s="703" t="n"/>
      <c r="AI440" s="703" t="n"/>
      <c r="AJ440" s="1179" t="n"/>
      <c r="AK440" s="703" t="n"/>
      <c r="AL440" s="703" t="n"/>
      <c r="AM440" s="703" t="n"/>
      <c r="AN440" s="703" t="n"/>
      <c r="AO440" s="1179" t="n"/>
      <c r="AP440" s="703" t="n"/>
      <c r="AQ440" s="703" t="n"/>
      <c r="AR440" s="703" t="n"/>
      <c r="AS440" s="703" t="n"/>
      <c r="AT440" s="1179" t="n"/>
      <c r="AU440" s="703" t="n"/>
      <c r="AV440" s="703" t="n"/>
      <c r="AW440" s="703" t="n"/>
      <c r="AX440" s="703" t="n"/>
      <c r="AY440" s="1179" t="n"/>
      <c r="AZ440" s="703" t="n"/>
      <c r="BA440" s="703" t="n"/>
      <c r="BB440" s="703" t="n"/>
      <c r="BC440" s="703" t="n"/>
      <c r="BD440" s="1179" t="n"/>
      <c r="BE440" s="703" t="n"/>
      <c r="BF440" s="703" t="n"/>
      <c r="BG440" s="703" t="n"/>
      <c r="BH440" s="703" t="n"/>
      <c r="BI440" s="1179" t="n"/>
      <c r="BJ440" s="703" t="n"/>
      <c r="BK440" s="703" t="n"/>
      <c r="BL440" s="703" t="n"/>
      <c r="BM440" s="703" t="n"/>
      <c r="BN440" s="1179" t="n"/>
      <c r="BO440" s="703" t="n"/>
      <c r="BP440" s="703" t="n"/>
      <c r="BQ440" s="703" t="n"/>
      <c r="BR440" s="703" t="n"/>
      <c r="BS440" s="1179" t="n"/>
      <c r="BT440" s="703" t="n"/>
      <c r="BU440" s="703" t="n"/>
      <c r="BV440" s="902" t="n"/>
      <c r="BW440" s="703" t="n"/>
      <c r="BX440" s="1179">
        <f>BX710/(BX711/BX760)/BS436</f>
        <v/>
      </c>
      <c r="BY440" s="703" t="n"/>
      <c r="BZ440" s="703" t="n"/>
      <c r="CA440" s="703" t="n"/>
      <c r="CB440" s="703" t="n"/>
      <c r="CC440" s="1179">
        <f>CC710/(CC711/CC760)/BX436</f>
        <v/>
      </c>
      <c r="CD440" s="1179">
        <f>CD710/(CD711/CD760)/CC436</f>
        <v/>
      </c>
      <c r="CE440" s="1179">
        <f>CE710/(CE711/CE760)/CD436</f>
        <v/>
      </c>
      <c r="CF440" s="1179">
        <f>CF710/(CF711/CF760)/CE436</f>
        <v/>
      </c>
      <c r="CG440" s="27" t="n"/>
    </row>
    <row r="441" hidden="1" outlineLevel="1" collapsed="1" ht="15" customFormat="1" customHeight="1" s="227">
      <c r="A441" s="655" t="inlineStr">
        <is>
          <t>Q/Q basic share expansion - EoP, %</t>
        </is>
      </c>
      <c r="B441" s="102" t="n"/>
      <c r="C441" s="1113" t="n"/>
      <c r="D441" s="1113" t="n"/>
      <c r="E441" s="1113" t="n"/>
      <c r="F441" s="1113" t="n"/>
      <c r="G441" s="90">
        <f>G436/F436-1</f>
        <v/>
      </c>
      <c r="H441" s="90">
        <f>H436/G436-1</f>
        <v/>
      </c>
      <c r="I441" s="90">
        <f>I436/H436-1</f>
        <v/>
      </c>
      <c r="J441" s="90">
        <f>J436/I436-1</f>
        <v/>
      </c>
      <c r="K441" s="1113" t="n"/>
      <c r="L441" s="90">
        <f>L436/K436-1</f>
        <v/>
      </c>
      <c r="M441" s="90">
        <f>M436/L436-1</f>
        <v/>
      </c>
      <c r="N441" s="90">
        <f>N436/M436-1</f>
        <v/>
      </c>
      <c r="O441" s="90">
        <f>O436/N436-1</f>
        <v/>
      </c>
      <c r="P441" s="1113" t="n"/>
      <c r="Q441" s="90">
        <f>Q436/P436-1</f>
        <v/>
      </c>
      <c r="R441" s="90">
        <f>R436/Q436-1</f>
        <v/>
      </c>
      <c r="S441" s="90">
        <f>S436/R436-1</f>
        <v/>
      </c>
      <c r="T441" s="90">
        <f>T436/S436-1</f>
        <v/>
      </c>
      <c r="U441" s="1113" t="n"/>
      <c r="V441" s="90">
        <f>V436/U436-1</f>
        <v/>
      </c>
      <c r="W441" s="90">
        <f>W436/V436-1</f>
        <v/>
      </c>
      <c r="X441" s="90">
        <f>X436/W436-1</f>
        <v/>
      </c>
      <c r="Y441" s="90">
        <f>Y436/X436-1</f>
        <v/>
      </c>
      <c r="Z441" s="1113" t="n"/>
      <c r="AA441" s="90">
        <f>AA436/Z436-1</f>
        <v/>
      </c>
      <c r="AB441" s="90">
        <f>AB436/AA436-1</f>
        <v/>
      </c>
      <c r="AC441" s="90">
        <f>AC436/AB436-1</f>
        <v/>
      </c>
      <c r="AD441" s="90">
        <f>AD436/AC436-1</f>
        <v/>
      </c>
      <c r="AE441" s="1113" t="n"/>
      <c r="AF441" s="90">
        <f>AF436/AE436-1</f>
        <v/>
      </c>
      <c r="AG441" s="90">
        <f>AG436/AF436-1</f>
        <v/>
      </c>
      <c r="AH441" s="90">
        <f>AH436/AG436-1</f>
        <v/>
      </c>
      <c r="AI441" s="90">
        <f>AI436/AH436-1</f>
        <v/>
      </c>
      <c r="AJ441" s="1113" t="n"/>
      <c r="AK441" s="90">
        <f>AK436/AJ436-1</f>
        <v/>
      </c>
      <c r="AL441" s="90">
        <f>AL436/AK436-1</f>
        <v/>
      </c>
      <c r="AM441" s="90">
        <f>AM436/AL436-1</f>
        <v/>
      </c>
      <c r="AN441" s="90">
        <f>AN436/AM436-1</f>
        <v/>
      </c>
      <c r="AO441" s="1113" t="n"/>
      <c r="AP441" s="90">
        <f>AP436/AN436-1</f>
        <v/>
      </c>
      <c r="AQ441" s="90">
        <f>AQ436/AP436-1</f>
        <v/>
      </c>
      <c r="AR441" s="90">
        <f>AR436/AQ436-1</f>
        <v/>
      </c>
      <c r="AS441" s="90">
        <f>AS436/AR436-1</f>
        <v/>
      </c>
      <c r="AT441" s="1113" t="n"/>
      <c r="AU441" s="90">
        <f>AU436/AS436-1</f>
        <v/>
      </c>
      <c r="AV441" s="90">
        <f>AV436/AU436-1</f>
        <v/>
      </c>
      <c r="AW441" s="90">
        <f>AW436/AV436-1</f>
        <v/>
      </c>
      <c r="AX441" s="90">
        <f>AX436/AW436-1</f>
        <v/>
      </c>
      <c r="AY441" s="1113" t="n"/>
      <c r="AZ441" s="90">
        <f>AZ436/AX436-1</f>
        <v/>
      </c>
      <c r="BA441" s="90">
        <f>BA436/AZ436-1</f>
        <v/>
      </c>
      <c r="BB441" s="90">
        <f>BB436/BA436-1</f>
        <v/>
      </c>
      <c r="BC441" s="90">
        <f>BC436/BB436-1</f>
        <v/>
      </c>
      <c r="BD441" s="1113" t="n"/>
      <c r="BE441" s="90">
        <f>BE436/BC436-1</f>
        <v/>
      </c>
      <c r="BF441" s="90">
        <f>BF436/BE436-1</f>
        <v/>
      </c>
      <c r="BG441" s="90">
        <f>BG436/BF436-1</f>
        <v/>
      </c>
      <c r="BH441" s="90">
        <f>BH436/BG436-1</f>
        <v/>
      </c>
      <c r="BI441" s="1113" t="n"/>
      <c r="BJ441" s="90">
        <f>BJ436/BH436-1</f>
        <v/>
      </c>
      <c r="BK441" s="90">
        <f>BK436/BJ436-1</f>
        <v/>
      </c>
      <c r="BL441" s="90">
        <f>BL436/BK436-1</f>
        <v/>
      </c>
      <c r="BM441" s="366">
        <f>BM436/BL436-1</f>
        <v/>
      </c>
      <c r="BN441" s="1113" t="n"/>
      <c r="BO441" s="90">
        <f>BO436/BM436-1</f>
        <v/>
      </c>
      <c r="BP441" s="90">
        <f>BP436/BO436-1</f>
        <v/>
      </c>
      <c r="BQ441" s="90">
        <f>BQ436/BP436-1</f>
        <v/>
      </c>
      <c r="BR441" s="366">
        <f>BR436/BQ436-1</f>
        <v/>
      </c>
      <c r="BS441" s="1113" t="n"/>
      <c r="BT441" s="90">
        <f>BT436/BR436-1</f>
        <v/>
      </c>
      <c r="BU441" s="90">
        <f>BU436/BT436-1</f>
        <v/>
      </c>
      <c r="BV441" s="880">
        <f>BV436/BU436-1</f>
        <v/>
      </c>
      <c r="BW441" s="90">
        <f>BW436/BV436-1</f>
        <v/>
      </c>
      <c r="BX441" s="1113" t="n"/>
      <c r="BY441" s="90">
        <f>BY436/BW436-1</f>
        <v/>
      </c>
      <c r="BZ441" s="90">
        <f>BZ436/BY436-1</f>
        <v/>
      </c>
      <c r="CA441" s="90">
        <f>CA436/BZ436-1</f>
        <v/>
      </c>
      <c r="CB441" s="90">
        <f>CB436/CA436-1</f>
        <v/>
      </c>
      <c r="CC441" s="1113" t="n"/>
      <c r="CD441" s="1113" t="n"/>
      <c r="CE441" s="1113" t="n"/>
      <c r="CF441" s="1113" t="n"/>
      <c r="CG441" s="27" t="n"/>
    </row>
    <row r="442" hidden="1" outlineLevel="1" ht="15" customFormat="1" customHeight="1" s="227">
      <c r="A442" s="655" t="inlineStr">
        <is>
          <t>Y/Y basic share expansion - EoP, %</t>
        </is>
      </c>
      <c r="B442" s="102" t="n"/>
      <c r="C442" s="1113" t="n"/>
      <c r="D442" s="1113">
        <f>D436/C436-1</f>
        <v/>
      </c>
      <c r="E442" s="1113">
        <f>E436/D436-1</f>
        <v/>
      </c>
      <c r="F442" s="1113">
        <f>F436/E436-1</f>
        <v/>
      </c>
      <c r="G442" s="90" t="n"/>
      <c r="H442" s="90" t="n"/>
      <c r="I442" s="90" t="n"/>
      <c r="J442" s="90">
        <f>J436/F436-1</f>
        <v/>
      </c>
      <c r="K442" s="1113">
        <f>K436/F436-1</f>
        <v/>
      </c>
      <c r="L442" s="90">
        <f>L436/G436-1</f>
        <v/>
      </c>
      <c r="M442" s="90">
        <f>M436/H436-1</f>
        <v/>
      </c>
      <c r="N442" s="90">
        <f>N436/I436-1</f>
        <v/>
      </c>
      <c r="O442" s="90">
        <f>O436/J436-1</f>
        <v/>
      </c>
      <c r="P442" s="1113">
        <f>P436/K436-1</f>
        <v/>
      </c>
      <c r="Q442" s="90">
        <f>Q436/L436-1</f>
        <v/>
      </c>
      <c r="R442" s="90">
        <f>R436/M436-1</f>
        <v/>
      </c>
      <c r="S442" s="90">
        <f>S436/N436-1</f>
        <v/>
      </c>
      <c r="T442" s="90">
        <f>T436/O436-1</f>
        <v/>
      </c>
      <c r="U442" s="1113">
        <f>U436/P436-1</f>
        <v/>
      </c>
      <c r="V442" s="90">
        <f>V436/Q436-1</f>
        <v/>
      </c>
      <c r="W442" s="90">
        <f>W436/R436-1</f>
        <v/>
      </c>
      <c r="X442" s="90">
        <f>X436/S436-1</f>
        <v/>
      </c>
      <c r="Y442" s="90">
        <f>Y436/T436-1</f>
        <v/>
      </c>
      <c r="Z442" s="1113">
        <f>Z436/U436-1</f>
        <v/>
      </c>
      <c r="AA442" s="90">
        <f>AA436/V436-1</f>
        <v/>
      </c>
      <c r="AB442" s="90">
        <f>AB436/W436-1</f>
        <v/>
      </c>
      <c r="AC442" s="90">
        <f>AC436/X436-1</f>
        <v/>
      </c>
      <c r="AD442" s="90">
        <f>AD436/Y436-1</f>
        <v/>
      </c>
      <c r="AE442" s="1113">
        <f>AE436/Z436-1</f>
        <v/>
      </c>
      <c r="AF442" s="90">
        <f>AF436/AA436-1</f>
        <v/>
      </c>
      <c r="AG442" s="90">
        <f>AG436/AB436-1</f>
        <v/>
      </c>
      <c r="AH442" s="90">
        <f>AH436/AC436-1</f>
        <v/>
      </c>
      <c r="AI442" s="90">
        <f>AI436/AD436-1</f>
        <v/>
      </c>
      <c r="AJ442" s="1113">
        <f>AJ436/AE436-1</f>
        <v/>
      </c>
      <c r="AK442" s="90">
        <f>AK436/AF436-1</f>
        <v/>
      </c>
      <c r="AL442" s="90">
        <f>AL436/AG436-1</f>
        <v/>
      </c>
      <c r="AM442" s="90">
        <f>AM436/AH436-1</f>
        <v/>
      </c>
      <c r="AN442" s="90">
        <f>AN436/AI436-1</f>
        <v/>
      </c>
      <c r="AO442" s="1113">
        <f>AO436/AJ436-1</f>
        <v/>
      </c>
      <c r="AP442" s="90">
        <f>AP436/AK436-1</f>
        <v/>
      </c>
      <c r="AQ442" s="90">
        <f>AQ436/AL436-1</f>
        <v/>
      </c>
      <c r="AR442" s="90">
        <f>AR436/AM436-1</f>
        <v/>
      </c>
      <c r="AS442" s="90">
        <f>AS436/AN436-1</f>
        <v/>
      </c>
      <c r="AT442" s="1113">
        <f>AT436/AO436-1</f>
        <v/>
      </c>
      <c r="AU442" s="90">
        <f>AU436/AP436-1</f>
        <v/>
      </c>
      <c r="AV442" s="90">
        <f>AV436/AQ436-1</f>
        <v/>
      </c>
      <c r="AW442" s="90">
        <f>AW436/AR436-1</f>
        <v/>
      </c>
      <c r="AX442" s="90">
        <f>AX436/AS436-1</f>
        <v/>
      </c>
      <c r="AY442" s="1113">
        <f>AY436/AT436-1</f>
        <v/>
      </c>
      <c r="AZ442" s="90">
        <f>AZ436/AU436-1</f>
        <v/>
      </c>
      <c r="BA442" s="90">
        <f>BA436/AV436-1</f>
        <v/>
      </c>
      <c r="BB442" s="90">
        <f>BB436/AW436-1</f>
        <v/>
      </c>
      <c r="BC442" s="90">
        <f>BC436/AX436-1</f>
        <v/>
      </c>
      <c r="BD442" s="1113">
        <f>BD436/AY436-1</f>
        <v/>
      </c>
      <c r="BE442" s="90">
        <f>BE436/AZ436-1</f>
        <v/>
      </c>
      <c r="BF442" s="90">
        <f>BF436/BA436-1</f>
        <v/>
      </c>
      <c r="BG442" s="90">
        <f>BG436/BB436-1</f>
        <v/>
      </c>
      <c r="BH442" s="90">
        <f>BH436/BC436-1</f>
        <v/>
      </c>
      <c r="BI442" s="1113">
        <f>BI436/BD436-1</f>
        <v/>
      </c>
      <c r="BJ442" s="90">
        <f>BJ436/BE436-1</f>
        <v/>
      </c>
      <c r="BK442" s="90">
        <f>BK436/BF436-1</f>
        <v/>
      </c>
      <c r="BL442" s="90">
        <f>BL436/BG436-1</f>
        <v/>
      </c>
      <c r="BM442" s="90">
        <f>BM436/BH436-1</f>
        <v/>
      </c>
      <c r="BN442" s="1113">
        <f>BN436/BI436-1</f>
        <v/>
      </c>
      <c r="BO442" s="90">
        <f>BO436/BJ436-1</f>
        <v/>
      </c>
      <c r="BP442" s="90">
        <f>BP436/BK436-1</f>
        <v/>
      </c>
      <c r="BQ442" s="90">
        <f>BQ436/BL436-1</f>
        <v/>
      </c>
      <c r="BR442" s="90">
        <f>BR436/BM436-1</f>
        <v/>
      </c>
      <c r="BS442" s="1113">
        <f>BS436/BN436-1</f>
        <v/>
      </c>
      <c r="BT442" s="90">
        <f>BT436/BO436-1</f>
        <v/>
      </c>
      <c r="BU442" s="90">
        <f>BU436/BP436-1</f>
        <v/>
      </c>
      <c r="BV442" s="880">
        <f>BV436/BQ436-1</f>
        <v/>
      </c>
      <c r="BW442" s="90">
        <f>BW436/BR436-1</f>
        <v/>
      </c>
      <c r="BX442" s="1113">
        <f>BX436/BS436-1</f>
        <v/>
      </c>
      <c r="BY442" s="90">
        <f>BY436/BT436-1</f>
        <v/>
      </c>
      <c r="BZ442" s="90">
        <f>BZ436/BU436-1</f>
        <v/>
      </c>
      <c r="CA442" s="90">
        <f>CA436/BV436-1</f>
        <v/>
      </c>
      <c r="CB442" s="90">
        <f>CB436/BW436-1</f>
        <v/>
      </c>
      <c r="CC442" s="1113">
        <f>CC436/BX436-1</f>
        <v/>
      </c>
      <c r="CD442" s="1113">
        <f>CD436/CC436-1</f>
        <v/>
      </c>
      <c r="CE442" s="1113">
        <f>CE436/CD436-1</f>
        <v/>
      </c>
      <c r="CF442" s="1113">
        <f>CF436/CE436-1</f>
        <v/>
      </c>
      <c r="CG442" s="27" t="n"/>
    </row>
    <row r="443" hidden="1" outlineLevel="1" ht="15" customHeight="1">
      <c r="A443" s="605" t="n"/>
      <c r="B443" s="428" t="n"/>
      <c r="C443" s="1370" t="n"/>
      <c r="D443" s="1370" t="n"/>
      <c r="E443" s="1370" t="n"/>
      <c r="F443" s="1370" t="n"/>
      <c r="G443" s="1371" t="n"/>
      <c r="H443" s="1371" t="n"/>
      <c r="I443" s="1371" t="n"/>
      <c r="J443" s="1371" t="n"/>
      <c r="K443" s="1370" t="n"/>
      <c r="L443" s="1371" t="n"/>
      <c r="M443" s="1371" t="n"/>
      <c r="N443" s="1371" t="n"/>
      <c r="O443" s="1371" t="n"/>
      <c r="P443" s="1370" t="n"/>
      <c r="Q443" s="1371" t="n"/>
      <c r="R443" s="1371" t="n"/>
      <c r="S443" s="1371" t="n"/>
      <c r="T443" s="1371" t="n"/>
      <c r="U443" s="1370" t="n"/>
      <c r="V443" s="1371" t="n"/>
      <c r="W443" s="1371" t="n"/>
      <c r="X443" s="1371" t="n"/>
      <c r="Y443" s="1371" t="n"/>
      <c r="Z443" s="1370" t="n"/>
      <c r="AA443" s="1371" t="n"/>
      <c r="AB443" s="1371" t="n"/>
      <c r="AC443" s="1371" t="n"/>
      <c r="AD443" s="1371" t="n"/>
      <c r="AE443" s="1370" t="n"/>
      <c r="AF443" s="1371" t="n"/>
      <c r="AG443" s="1371" t="n"/>
      <c r="AH443" s="1371" t="n"/>
      <c r="AI443" s="1371" t="n"/>
      <c r="AJ443" s="1370" t="n"/>
      <c r="AK443" s="1371" t="n"/>
      <c r="AL443" s="1371" t="n"/>
      <c r="AM443" s="1371" t="n"/>
      <c r="AN443" s="1371" t="n"/>
      <c r="AO443" s="1370" t="n"/>
      <c r="AP443" s="1371" t="n"/>
      <c r="AQ443" s="1371" t="n"/>
      <c r="AR443" s="1371" t="n"/>
      <c r="AS443" s="1371" t="n"/>
      <c r="AT443" s="1370" t="n"/>
      <c r="AU443" s="1371" t="n"/>
      <c r="AV443" s="1371" t="n"/>
      <c r="AW443" s="1371" t="n"/>
      <c r="AX443" s="1371" t="n"/>
      <c r="AY443" s="1370" t="n"/>
      <c r="AZ443" s="1371" t="n"/>
      <c r="BA443" s="1371" t="n"/>
      <c r="BB443" s="1371" t="n"/>
      <c r="BC443" s="1371" t="n"/>
      <c r="BD443" s="1370" t="n"/>
      <c r="BE443" s="1371" t="n"/>
      <c r="BF443" s="1371" t="n"/>
      <c r="BG443" s="1371" t="n"/>
      <c r="BH443" s="1371" t="n"/>
      <c r="BI443" s="1370" t="n"/>
      <c r="BJ443" s="1371" t="n"/>
      <c r="BK443" s="1371" t="n"/>
      <c r="BL443" s="1371" t="n"/>
      <c r="BM443" s="1371" t="n"/>
      <c r="BN443" s="1370" t="n"/>
      <c r="BO443" s="1371" t="n"/>
      <c r="BP443" s="1371" t="n"/>
      <c r="BQ443" s="1371" t="n"/>
      <c r="BR443" s="1371" t="n"/>
      <c r="BS443" s="1370" t="n"/>
      <c r="BT443" s="1371" t="n"/>
      <c r="BU443" s="1371" t="n"/>
      <c r="BV443" s="1372" t="n"/>
      <c r="BW443" s="1371" t="n"/>
      <c r="BX443" s="1370" t="n"/>
      <c r="BY443" s="1371" t="n"/>
      <c r="BZ443" s="1371" t="n"/>
      <c r="CA443" s="1371" t="n"/>
      <c r="CB443" s="1371" t="n"/>
      <c r="CC443" s="1370" t="n"/>
      <c r="CD443" s="1370" t="n"/>
      <c r="CE443" s="1370" t="n"/>
      <c r="CF443" s="1370" t="n"/>
      <c r="CG443" s="155" t="n"/>
    </row>
    <row r="444" hidden="1" outlineLevel="1" ht="15" customFormat="1" customHeight="1" s="227">
      <c r="A444" s="636" t="inlineStr">
        <is>
          <t>Dilutive Shares, mm shares</t>
        </is>
      </c>
      <c r="B444" s="146" t="n"/>
      <c r="C444" s="1110">
        <f>IF(C416&gt;0,(C429-C428),B444)</f>
        <v/>
      </c>
      <c r="D444" s="1110">
        <f>IF(D416&gt;0,(D429-D428),C444)</f>
        <v/>
      </c>
      <c r="E444" s="1110">
        <f>IF(E416&gt;0,(E429-E428),D444)</f>
        <v/>
      </c>
      <c r="F444" s="1110">
        <f>IF(F416&gt;0,(F429-F428),E444)</f>
        <v/>
      </c>
      <c r="G444" s="68">
        <f>IF(G416&gt;0,(G429-G428),F444)</f>
        <v/>
      </c>
      <c r="H444" s="68">
        <f>IF(H416&gt;0,(H429-H428),G444)</f>
        <v/>
      </c>
      <c r="I444" s="68">
        <f>IF(I416&gt;0,(I429-I428),H444)</f>
        <v/>
      </c>
      <c r="J444" s="68">
        <f>IF(J416&gt;0,(J429-J428),I444)</f>
        <v/>
      </c>
      <c r="K444" s="1110">
        <f>IF(K416&gt;0,(K429-K428),J444)</f>
        <v/>
      </c>
      <c r="L444" s="68">
        <f>IF(L416&gt;0,(L429-L428),K444)</f>
        <v/>
      </c>
      <c r="M444" s="68">
        <f>IF(M416&gt;0,(M429-M428),L444)</f>
        <v/>
      </c>
      <c r="N444" s="68">
        <f>IF(N416&gt;0,(N429-N428),M444)</f>
        <v/>
      </c>
      <c r="O444" s="68">
        <f>IF(O416&gt;0,(O429-O428),N444)</f>
        <v/>
      </c>
      <c r="P444" s="1110">
        <f>IF(P416&gt;0,(P429-P428),O444)</f>
        <v/>
      </c>
      <c r="Q444" s="68">
        <f>IF(Q416&gt;0,(Q429-Q428),P444)</f>
        <v/>
      </c>
      <c r="R444" s="68">
        <f>IF(R416&gt;0,(R429-R428),Q444)</f>
        <v/>
      </c>
      <c r="S444" s="68">
        <f>IF(S416&gt;0,(S429-S428),R444)</f>
        <v/>
      </c>
      <c r="T444" s="68">
        <f>IF(T416&gt;0,(T429-T428),S444)</f>
        <v/>
      </c>
      <c r="U444" s="1110">
        <f>IF(U416&gt;0,(U429-U428),T444)</f>
        <v/>
      </c>
      <c r="V444" s="68">
        <f>IF(V416&gt;0,(V429-V428),U444)</f>
        <v/>
      </c>
      <c r="W444" s="68">
        <f>IF(W416&gt;0,(W429-W428),V444)</f>
        <v/>
      </c>
      <c r="X444" s="68">
        <f>IF(X416&gt;0,(X429-X428),W444)</f>
        <v/>
      </c>
      <c r="Y444" s="68">
        <f>IF(Y416&gt;0,(Y429-Y428),X444)</f>
        <v/>
      </c>
      <c r="Z444" s="1110">
        <f>IF(Z416&gt;0,(Z429-Z428),Y444)</f>
        <v/>
      </c>
      <c r="AA444" s="68">
        <f>IF(AA416&gt;0,(AA429-AA428),Z444)</f>
        <v/>
      </c>
      <c r="AB444" s="68">
        <f>IF(AB416&gt;0,(AB429-AB428),AA444)</f>
        <v/>
      </c>
      <c r="AC444" s="68">
        <f>IF(AC416&gt;0,(AC429-AC428),AB444)</f>
        <v/>
      </c>
      <c r="AD444" s="68">
        <f>IF(AD416&gt;0,(AD429-AD428),AC444)</f>
        <v/>
      </c>
      <c r="AE444" s="1110">
        <f>IF(AE416&gt;0,(AE429-AE428),AD444)</f>
        <v/>
      </c>
      <c r="AF444" s="68">
        <f>IF(AF416&gt;0,(AF429-AF428),AE444)</f>
        <v/>
      </c>
      <c r="AG444" s="68">
        <f>IF(AG416&gt;0,(AG429-AG428),AF444)</f>
        <v/>
      </c>
      <c r="AH444" s="68">
        <f>IF(AH416&gt;0,(AH429-AH428),AG444)</f>
        <v/>
      </c>
      <c r="AI444" s="68">
        <f>IF(AI416&gt;0,(AI429-AI428),AH444)</f>
        <v/>
      </c>
      <c r="AJ444" s="1110">
        <f>IF(AJ416&gt;0,(AJ429-AJ428),AI444)</f>
        <v/>
      </c>
      <c r="AK444" s="68">
        <f>IF(AK416&gt;0,(AK429-AK428),AJ444)</f>
        <v/>
      </c>
      <c r="AL444" s="68">
        <f>IF(AL416&gt;0,(AL429-AL428),AK444)</f>
        <v/>
      </c>
      <c r="AM444" s="68">
        <f>IF(AM416&gt;0,(AM429-AM428),AL444)</f>
        <v/>
      </c>
      <c r="AN444" s="68">
        <f>IF(AN416&gt;0,(AN429-AN428),AM444)</f>
        <v/>
      </c>
      <c r="AO444" s="1110">
        <f>IF(AO416&gt;0,(AO429-AO428),AN444)</f>
        <v/>
      </c>
      <c r="AP444" s="68">
        <f>IF(AP416&gt;0,(AP429-AP428),AO444)</f>
        <v/>
      </c>
      <c r="AQ444" s="68">
        <f>IF(AQ416&gt;0,(AQ429-AQ428),AP444)</f>
        <v/>
      </c>
      <c r="AR444" s="68">
        <f>IF(AR416&gt;0,(AR429-AR428),AQ444)</f>
        <v/>
      </c>
      <c r="AS444" s="68">
        <f>IF(AS416&gt;0,(AS429-AS428),AR444)</f>
        <v/>
      </c>
      <c r="AT444" s="1110">
        <f>IF(AT416&gt;0,(AT429-AT428),AS444)</f>
        <v/>
      </c>
      <c r="AU444" s="68">
        <f>IF(AU416&gt;0,(AU429-AU428),AT444)</f>
        <v/>
      </c>
      <c r="AV444" s="68">
        <f>IF(AV416&gt;0,(AV429-AV428),AU444)</f>
        <v/>
      </c>
      <c r="AW444" s="68">
        <f>IF(AW416&gt;0,(AW429-AW428),AV444)</f>
        <v/>
      </c>
      <c r="AX444" s="68">
        <f>IF(AX416&gt;0,(AX429-AX428),AW444)</f>
        <v/>
      </c>
      <c r="AY444" s="1110">
        <f>IF(AY416&gt;0,(AY429-AY428),AX444)</f>
        <v/>
      </c>
      <c r="AZ444" s="68">
        <f>IF(AZ416&gt;0,(AZ429-AZ428),AY444)</f>
        <v/>
      </c>
      <c r="BA444" s="68">
        <f>IF(BA416&gt;0,(BA429-BA428),AZ444)</f>
        <v/>
      </c>
      <c r="BB444" s="68">
        <f>IF(BB416&gt;0,(BB429-BB428),BA444)</f>
        <v/>
      </c>
      <c r="BC444" s="68">
        <f>IF(BC416&gt;0,(BC429-BC428),BB444)</f>
        <v/>
      </c>
      <c r="BD444" s="1110">
        <f>IF(BD416&gt;0,(BD429-BD428),BC444)</f>
        <v/>
      </c>
      <c r="BE444" s="68">
        <f>IF(BE416&gt;0,(BE429-BE428),BD444)</f>
        <v/>
      </c>
      <c r="BF444" s="68">
        <f>IF(BF416&gt;0,(BF429-BF428),BE444)</f>
        <v/>
      </c>
      <c r="BG444" s="68">
        <f>IF(BG416&gt;0,(BG429-BG428),BF444)</f>
        <v/>
      </c>
      <c r="BH444" s="68">
        <f>IF(BH416&gt;0,(BH429-BH428),BG444)</f>
        <v/>
      </c>
      <c r="BI444" s="1110">
        <f>BH444</f>
        <v/>
      </c>
      <c r="BJ444" s="68">
        <f>IF(BJ416&gt;0,(BJ429-BJ428),BI444)</f>
        <v/>
      </c>
      <c r="BK444" s="68">
        <f>IF(BK416&gt;0,(BK429-BK428),BJ444)</f>
        <v/>
      </c>
      <c r="BL444" s="68">
        <f>IF(BL416&gt;0,(BL429-BL428),BK444)</f>
        <v/>
      </c>
      <c r="BM444" s="68">
        <f>IF(BM416&gt;0,(BM429-BM428),BL444)</f>
        <v/>
      </c>
      <c r="BN444" s="1110">
        <f>BM444</f>
        <v/>
      </c>
      <c r="BO444" s="68">
        <f>IF(BO416&gt;0,(BO429-BO428),BN444)</f>
        <v/>
      </c>
      <c r="BP444" s="68">
        <f>IF(BP416&gt;0,(BP429-BP428),BO444)</f>
        <v/>
      </c>
      <c r="BQ444" s="68">
        <f>IF(BQ416&gt;0,(BQ429-BQ428),BP444)</f>
        <v/>
      </c>
      <c r="BR444" s="68">
        <f>IF(BR416&gt;0,(BR429-BR428),BQ444)</f>
        <v/>
      </c>
      <c r="BS444" s="1110">
        <f>BR444</f>
        <v/>
      </c>
      <c r="BT444" s="68">
        <f>IF(BT416&gt;0,(BT429-BT428),BS444)</f>
        <v/>
      </c>
      <c r="BU444" s="68">
        <f>IF(BU416&gt;0,(BU429-BU428),BT444)</f>
        <v/>
      </c>
      <c r="BV444" s="588">
        <f>IF(BV416&gt;0,(BV429-BV428),BU444)</f>
        <v/>
      </c>
      <c r="BW444" s="68">
        <f>BW436*BW445-BW436</f>
        <v/>
      </c>
      <c r="BX444" s="1110">
        <f>BW444</f>
        <v/>
      </c>
      <c r="BY444" s="68">
        <f>BY436*BY445-BY436</f>
        <v/>
      </c>
      <c r="BZ444" s="68">
        <f>BZ436*BZ445-BZ436</f>
        <v/>
      </c>
      <c r="CA444" s="68">
        <f>CA436*CA445-CA436</f>
        <v/>
      </c>
      <c r="CB444" s="68">
        <f>CB436*CB445-CB436</f>
        <v/>
      </c>
      <c r="CC444" s="1110">
        <f>CB444</f>
        <v/>
      </c>
      <c r="CD444" s="1110">
        <f>CD436*CD445-CD436</f>
        <v/>
      </c>
      <c r="CE444" s="1110">
        <f>CE436*CE445-CE436</f>
        <v/>
      </c>
      <c r="CF444" s="1110">
        <f>CF436*CF445-CF436</f>
        <v/>
      </c>
      <c r="CG444" s="27" t="n"/>
    </row>
    <row r="445" hidden="1" outlineLevel="1" ht="15" customHeight="1">
      <c r="A445" s="704" t="inlineStr">
        <is>
          <t>Diluted share count to basic share count ratio, x</t>
        </is>
      </c>
      <c r="B445" s="112" t="n"/>
      <c r="C445" s="1380">
        <f>(C444+C436)/C436</f>
        <v/>
      </c>
      <c r="D445" s="1380">
        <f>(D444+D436)/D436</f>
        <v/>
      </c>
      <c r="E445" s="1380">
        <f>(E444+E436)/E436</f>
        <v/>
      </c>
      <c r="F445" s="1380">
        <f>(F444+F436)/F436</f>
        <v/>
      </c>
      <c r="G445" s="1381">
        <f>(G444+G436)/G436</f>
        <v/>
      </c>
      <c r="H445" s="1381">
        <f>(H444+H436)/H436</f>
        <v/>
      </c>
      <c r="I445" s="1381">
        <f>(I444+I436)/I436</f>
        <v/>
      </c>
      <c r="J445" s="1381">
        <f>(J444+J436)/J436</f>
        <v/>
      </c>
      <c r="K445" s="1380">
        <f>(K444+K436)/K436</f>
        <v/>
      </c>
      <c r="L445" s="1381">
        <f>(L444+L436)/L436</f>
        <v/>
      </c>
      <c r="M445" s="1381">
        <f>(M444+M436)/M436</f>
        <v/>
      </c>
      <c r="N445" s="1381">
        <f>(N444+N436)/N436</f>
        <v/>
      </c>
      <c r="O445" s="1381">
        <f>(O444+O436)/O436</f>
        <v/>
      </c>
      <c r="P445" s="1380">
        <f>(P444+P436)/P436</f>
        <v/>
      </c>
      <c r="Q445" s="1381">
        <f>(Q444+Q436)/Q436</f>
        <v/>
      </c>
      <c r="R445" s="1381">
        <f>(R444+R436)/R436</f>
        <v/>
      </c>
      <c r="S445" s="1381">
        <f>(S444+S436)/S436</f>
        <v/>
      </c>
      <c r="T445" s="1381">
        <f>(T444+T436)/T436</f>
        <v/>
      </c>
      <c r="U445" s="1380">
        <f>(U444+U436)/U436</f>
        <v/>
      </c>
      <c r="V445" s="1381">
        <f>(V444+V436)/V436</f>
        <v/>
      </c>
      <c r="W445" s="1381">
        <f>(W444+W436)/W436</f>
        <v/>
      </c>
      <c r="X445" s="1381">
        <f>(X444+X436)/X436</f>
        <v/>
      </c>
      <c r="Y445" s="1381">
        <f>(Y444+Y436)/Y436</f>
        <v/>
      </c>
      <c r="Z445" s="1380">
        <f>(Z444+Z436)/Z436</f>
        <v/>
      </c>
      <c r="AA445" s="1381">
        <f>(AA444+AA436)/AA436</f>
        <v/>
      </c>
      <c r="AB445" s="1381">
        <f>(AB444+AB436)/AB436</f>
        <v/>
      </c>
      <c r="AC445" s="1381">
        <f>(AC444+AC436)/AC436</f>
        <v/>
      </c>
      <c r="AD445" s="1381">
        <f>(AD444+AD436)/AD436</f>
        <v/>
      </c>
      <c r="AE445" s="1380">
        <f>(AE444+AE436)/AE436</f>
        <v/>
      </c>
      <c r="AF445" s="1381">
        <f>(AF444+AF436)/AF436</f>
        <v/>
      </c>
      <c r="AG445" s="1381">
        <f>(AG444+AG436)/AG436</f>
        <v/>
      </c>
      <c r="AH445" s="1381">
        <f>(AH444+AH436)/AH436</f>
        <v/>
      </c>
      <c r="AI445" s="1381">
        <f>(AI444+AI436)/AI436</f>
        <v/>
      </c>
      <c r="AJ445" s="1380">
        <f>(AJ444+AJ436)/AJ436</f>
        <v/>
      </c>
      <c r="AK445" s="1381">
        <f>(AK444+AK436)/AK436</f>
        <v/>
      </c>
      <c r="AL445" s="1381">
        <f>(AL444+AL436)/AL436</f>
        <v/>
      </c>
      <c r="AM445" s="1381">
        <f>(AM444+AM436)/AM436</f>
        <v/>
      </c>
      <c r="AN445" s="1381">
        <f>(AN444+AN436)/AN436</f>
        <v/>
      </c>
      <c r="AO445" s="1380">
        <f>(AO444+AO436)/AO436</f>
        <v/>
      </c>
      <c r="AP445" s="1381">
        <f>(AP444+AP436)/AP436</f>
        <v/>
      </c>
      <c r="AQ445" s="1381">
        <f>(AQ444+AQ436)/AQ436</f>
        <v/>
      </c>
      <c r="AR445" s="1381">
        <f>(AR444+AR436)/AR436</f>
        <v/>
      </c>
      <c r="AS445" s="1381">
        <f>(AS444+AS436)/AS436</f>
        <v/>
      </c>
      <c r="AT445" s="1380">
        <f>(AT444+AT436)/AT436</f>
        <v/>
      </c>
      <c r="AU445" s="1381">
        <f>(AU444+AU436)/AU436</f>
        <v/>
      </c>
      <c r="AV445" s="1381">
        <f>(AV444+AV436)/AV436</f>
        <v/>
      </c>
      <c r="AW445" s="1381">
        <f>(AW444+AW436)/AW436</f>
        <v/>
      </c>
      <c r="AX445" s="1381">
        <f>(AX444+AX436)/AX436</f>
        <v/>
      </c>
      <c r="AY445" s="1380">
        <f>(AY444+AY436)/AY436</f>
        <v/>
      </c>
      <c r="AZ445" s="1381">
        <f>(AZ444+AZ436)/AZ436</f>
        <v/>
      </c>
      <c r="BA445" s="1381">
        <f>(BA444+BA436)/BA436</f>
        <v/>
      </c>
      <c r="BB445" s="1381">
        <f>(BB444+BB436)/BB436</f>
        <v/>
      </c>
      <c r="BC445" s="1381">
        <f>(BC444+BC436)/BC436</f>
        <v/>
      </c>
      <c r="BD445" s="1380">
        <f>(BD444+BD436)/BD436</f>
        <v/>
      </c>
      <c r="BE445" s="1381">
        <f>(BE444+BE436)/BE436</f>
        <v/>
      </c>
      <c r="BF445" s="1381">
        <f>(BF444+BF436)/BF436</f>
        <v/>
      </c>
      <c r="BG445" s="1381">
        <f>(BG444+BG436)/BG436</f>
        <v/>
      </c>
      <c r="BH445" s="1381">
        <f>(BH444+BH436)/BH436</f>
        <v/>
      </c>
      <c r="BI445" s="1380">
        <f>(BI444+BI436)/BI436</f>
        <v/>
      </c>
      <c r="BJ445" s="1381">
        <f>(BJ444+BJ436)/BJ436</f>
        <v/>
      </c>
      <c r="BK445" s="1381">
        <f>(BK444+BK436)/BK436</f>
        <v/>
      </c>
      <c r="BL445" s="1381">
        <f>(BL444+BL436)/BL436</f>
        <v/>
      </c>
      <c r="BM445" s="1381">
        <f>(BM444+BM436)/BM436</f>
        <v/>
      </c>
      <c r="BN445" s="1380">
        <f>(BN444+BN436)/BN436</f>
        <v/>
      </c>
      <c r="BO445" s="1381">
        <f>(BO444+BO436)/BO436</f>
        <v/>
      </c>
      <c r="BP445" s="1381">
        <f>(BP444+BP436)/BP436</f>
        <v/>
      </c>
      <c r="BQ445" s="1381">
        <f>(BQ444+BQ436)/BQ436</f>
        <v/>
      </c>
      <c r="BR445" s="1381">
        <f>(BR444+BR436)/BR436</f>
        <v/>
      </c>
      <c r="BS445" s="1380">
        <f>(BS444+BS436)/BS436</f>
        <v/>
      </c>
      <c r="BT445" s="1381">
        <f>(BT444+BT436)/BT436</f>
        <v/>
      </c>
      <c r="BU445" s="1381">
        <f>(BU444+BU436)/BU436</f>
        <v/>
      </c>
      <c r="BV445" s="1382">
        <f>(BV444+BV436)/BV436</f>
        <v/>
      </c>
      <c r="BW445" s="1383" t="n">
        <v>1.00983352374735</v>
      </c>
      <c r="BX445" s="1380">
        <f>(BX444+BX436)/BX436</f>
        <v/>
      </c>
      <c r="BY445" s="1383" t="n">
        <v>1.00983352374735</v>
      </c>
      <c r="BZ445" s="1383" t="n">
        <v>1.00983352374735</v>
      </c>
      <c r="CA445" s="1383" t="n">
        <v>1.00983352374735</v>
      </c>
      <c r="CB445" s="1383" t="n">
        <v>1.00983352374735</v>
      </c>
      <c r="CC445" s="1380">
        <f>(CC444+CC436)/CC436</f>
        <v/>
      </c>
      <c r="CD445" s="1384" t="n">
        <v>1.00983352374735</v>
      </c>
      <c r="CE445" s="1384" t="n">
        <v>1.00983352374735</v>
      </c>
      <c r="CF445" s="1384" t="n">
        <v>1.00983352374735</v>
      </c>
      <c r="CG445" s="155" t="n"/>
    </row>
    <row r="446" hidden="1" outlineLevel="1" ht="15" customHeight="1">
      <c r="A446" s="605" t="n"/>
      <c r="B446" s="428" t="n"/>
      <c r="C446" s="1370" t="n"/>
      <c r="D446" s="1370" t="n"/>
      <c r="E446" s="1370" t="n"/>
      <c r="F446" s="1370" t="n"/>
      <c r="G446" s="1371" t="n"/>
      <c r="H446" s="1371" t="n"/>
      <c r="I446" s="1371" t="n"/>
      <c r="J446" s="1371" t="n"/>
      <c r="K446" s="1370" t="n"/>
      <c r="L446" s="1371" t="n"/>
      <c r="M446" s="1371" t="n"/>
      <c r="N446" s="1371" t="n"/>
      <c r="O446" s="1371" t="n"/>
      <c r="P446" s="1370" t="n"/>
      <c r="Q446" s="1371" t="n"/>
      <c r="R446" s="1371" t="n"/>
      <c r="S446" s="1371" t="n"/>
      <c r="T446" s="1371" t="n"/>
      <c r="U446" s="1370" t="n"/>
      <c r="V446" s="1371" t="n"/>
      <c r="W446" s="1371" t="n"/>
      <c r="X446" s="1371" t="n"/>
      <c r="Y446" s="1371" t="n"/>
      <c r="Z446" s="1370" t="n"/>
      <c r="AA446" s="1371" t="n"/>
      <c r="AB446" s="1371" t="n"/>
      <c r="AC446" s="1371" t="n"/>
      <c r="AD446" s="1371" t="n"/>
      <c r="AE446" s="1370" t="n"/>
      <c r="AF446" s="1371" t="n"/>
      <c r="AG446" s="1371" t="n"/>
      <c r="AH446" s="1371" t="n"/>
      <c r="AI446" s="1371" t="n"/>
      <c r="AJ446" s="1370" t="n"/>
      <c r="AK446" s="1371" t="n"/>
      <c r="AL446" s="1371" t="n"/>
      <c r="AM446" s="1371" t="n"/>
      <c r="AN446" s="1371" t="n"/>
      <c r="AO446" s="1370" t="n"/>
      <c r="AP446" s="1371" t="n"/>
      <c r="AQ446" s="1371" t="n"/>
      <c r="AR446" s="1371" t="n"/>
      <c r="AS446" s="1371" t="n"/>
      <c r="AT446" s="1370" t="n"/>
      <c r="AU446" s="1371" t="n"/>
      <c r="AV446" s="1371" t="n"/>
      <c r="AW446" s="1371" t="n"/>
      <c r="AX446" s="1371" t="n"/>
      <c r="AY446" s="1370" t="n"/>
      <c r="AZ446" s="1371" t="n"/>
      <c r="BA446" s="1371" t="n"/>
      <c r="BB446" s="1371" t="n"/>
      <c r="BC446" s="1371" t="n"/>
      <c r="BD446" s="1370" t="n"/>
      <c r="BE446" s="1371" t="n"/>
      <c r="BF446" s="1371" t="n"/>
      <c r="BG446" s="1371" t="n"/>
      <c r="BH446" s="1371" t="n"/>
      <c r="BI446" s="1370" t="n"/>
      <c r="BJ446" s="1371" t="n"/>
      <c r="BK446" s="1371" t="n"/>
      <c r="BL446" s="1371" t="n"/>
      <c r="BM446" s="1371" t="n"/>
      <c r="BN446" s="1370" t="n"/>
      <c r="BO446" s="1371" t="n"/>
      <c r="BP446" s="1371" t="n"/>
      <c r="BQ446" s="1371" t="n"/>
      <c r="BR446" s="1371" t="n"/>
      <c r="BS446" s="1370" t="n"/>
      <c r="BT446" s="1371" t="n"/>
      <c r="BU446" s="1371" t="n"/>
      <c r="BV446" s="1372" t="n"/>
      <c r="BW446" s="1371" t="n"/>
      <c r="BX446" s="1370" t="n"/>
      <c r="BY446" s="1371" t="n"/>
      <c r="BZ446" s="1371" t="n"/>
      <c r="CA446" s="1371" t="n"/>
      <c r="CB446" s="1371" t="n"/>
      <c r="CC446" s="1370" t="n"/>
      <c r="CD446" s="1370" t="n"/>
      <c r="CE446" s="1370" t="n"/>
      <c r="CF446" s="1370" t="n"/>
      <c r="CG446" s="155" t="n"/>
    </row>
    <row r="447" hidden="1" outlineLevel="1" ht="15" customFormat="1" customHeight="1" s="227">
      <c r="A447" s="636" t="inlineStr">
        <is>
          <t>EoP Total Diluted Common Stock Outstanding, mm shares</t>
        </is>
      </c>
      <c r="B447" s="146" t="n"/>
      <c r="C447" s="1110">
        <f>C436+C444</f>
        <v/>
      </c>
      <c r="D447" s="1110">
        <f>D436+D444</f>
        <v/>
      </c>
      <c r="E447" s="1110">
        <f>E436+E444</f>
        <v/>
      </c>
      <c r="F447" s="1110">
        <f>F436+F444</f>
        <v/>
      </c>
      <c r="G447" s="68">
        <f>G436+G444</f>
        <v/>
      </c>
      <c r="H447" s="68">
        <f>H436+H444</f>
        <v/>
      </c>
      <c r="I447" s="68">
        <f>I436+I444</f>
        <v/>
      </c>
      <c r="J447" s="68">
        <f>J436+J444</f>
        <v/>
      </c>
      <c r="K447" s="1110">
        <f>K436+K444</f>
        <v/>
      </c>
      <c r="L447" s="68">
        <f>L436+L444</f>
        <v/>
      </c>
      <c r="M447" s="68">
        <f>M436+M444</f>
        <v/>
      </c>
      <c r="N447" s="68">
        <f>N436+N444</f>
        <v/>
      </c>
      <c r="O447" s="68">
        <f>O436+O444</f>
        <v/>
      </c>
      <c r="P447" s="1110">
        <f>P436+P444</f>
        <v/>
      </c>
      <c r="Q447" s="68">
        <f>Q436+Q444</f>
        <v/>
      </c>
      <c r="R447" s="68">
        <f>R436+R444</f>
        <v/>
      </c>
      <c r="S447" s="68">
        <f>S436+S444</f>
        <v/>
      </c>
      <c r="T447" s="68">
        <f>T436+T444</f>
        <v/>
      </c>
      <c r="U447" s="1110">
        <f>U436+U444</f>
        <v/>
      </c>
      <c r="V447" s="68">
        <f>V436+V444</f>
        <v/>
      </c>
      <c r="W447" s="68">
        <f>W436+W444</f>
        <v/>
      </c>
      <c r="X447" s="68">
        <f>X436+X444</f>
        <v/>
      </c>
      <c r="Y447" s="68">
        <f>Y436+Y444</f>
        <v/>
      </c>
      <c r="Z447" s="1110">
        <f>Z436+Z444</f>
        <v/>
      </c>
      <c r="AA447" s="68">
        <f>AA436+AA444</f>
        <v/>
      </c>
      <c r="AB447" s="68">
        <f>AB436+AB444</f>
        <v/>
      </c>
      <c r="AC447" s="68">
        <f>AC436+AC444</f>
        <v/>
      </c>
      <c r="AD447" s="68">
        <f>AD436+AD444</f>
        <v/>
      </c>
      <c r="AE447" s="1110">
        <f>AE436+AE444</f>
        <v/>
      </c>
      <c r="AF447" s="68">
        <f>AF436+AF444</f>
        <v/>
      </c>
      <c r="AG447" s="68">
        <f>AG436+AG444</f>
        <v/>
      </c>
      <c r="AH447" s="68">
        <f>AH436+AH444</f>
        <v/>
      </c>
      <c r="AI447" s="68">
        <f>AI436+AI444</f>
        <v/>
      </c>
      <c r="AJ447" s="1110">
        <f>AJ436+AJ444</f>
        <v/>
      </c>
      <c r="AK447" s="68">
        <f>AK436+AK444</f>
        <v/>
      </c>
      <c r="AL447" s="68">
        <f>AL436+AL444</f>
        <v/>
      </c>
      <c r="AM447" s="68">
        <f>AM436+AM444</f>
        <v/>
      </c>
      <c r="AN447" s="68">
        <f>AN436+AN444</f>
        <v/>
      </c>
      <c r="AO447" s="1110">
        <f>AO436+AO444</f>
        <v/>
      </c>
      <c r="AP447" s="68">
        <f>AP436+AP444</f>
        <v/>
      </c>
      <c r="AQ447" s="68">
        <f>AQ436+AQ444</f>
        <v/>
      </c>
      <c r="AR447" s="68">
        <f>AR436+AR444</f>
        <v/>
      </c>
      <c r="AS447" s="68">
        <f>AS436+AS444</f>
        <v/>
      </c>
      <c r="AT447" s="1110">
        <f>AT436+AT444</f>
        <v/>
      </c>
      <c r="AU447" s="68">
        <f>AU436+AU444</f>
        <v/>
      </c>
      <c r="AV447" s="68">
        <f>AV436+AV444</f>
        <v/>
      </c>
      <c r="AW447" s="68">
        <f>AW436+AW444</f>
        <v/>
      </c>
      <c r="AX447" s="68">
        <f>AX436+AX444</f>
        <v/>
      </c>
      <c r="AY447" s="1110">
        <f>AY436+AY444</f>
        <v/>
      </c>
      <c r="AZ447" s="68">
        <f>AZ436+AZ444</f>
        <v/>
      </c>
      <c r="BA447" s="68">
        <f>BA436+BA444</f>
        <v/>
      </c>
      <c r="BB447" s="68">
        <f>BB436+BB444</f>
        <v/>
      </c>
      <c r="BC447" s="68">
        <f>BC436+BC444</f>
        <v/>
      </c>
      <c r="BD447" s="1110">
        <f>BD436+BD444</f>
        <v/>
      </c>
      <c r="BE447" s="68">
        <f>BE436+BE444</f>
        <v/>
      </c>
      <c r="BF447" s="68">
        <f>BF436+BF444</f>
        <v/>
      </c>
      <c r="BG447" s="68">
        <f>BG436+BG444</f>
        <v/>
      </c>
      <c r="BH447" s="68">
        <f>BH436+BH444</f>
        <v/>
      </c>
      <c r="BI447" s="1110">
        <f>BI436+BI444</f>
        <v/>
      </c>
      <c r="BJ447" s="68">
        <f>BJ436+BJ444</f>
        <v/>
      </c>
      <c r="BK447" s="68">
        <f>BK436+BK444</f>
        <v/>
      </c>
      <c r="BL447" s="68">
        <f>BL436+BL444</f>
        <v/>
      </c>
      <c r="BM447" s="68">
        <f>BM436+BM444</f>
        <v/>
      </c>
      <c r="BN447" s="1110">
        <f>BN436+BN444</f>
        <v/>
      </c>
      <c r="BO447" s="68">
        <f>BO436+BO444</f>
        <v/>
      </c>
      <c r="BP447" s="68">
        <f>BP436+BP444</f>
        <v/>
      </c>
      <c r="BQ447" s="68">
        <f>BQ436+BQ444</f>
        <v/>
      </c>
      <c r="BR447" s="68">
        <f>BR436+BR444</f>
        <v/>
      </c>
      <c r="BS447" s="1110">
        <f>BS436+BS444</f>
        <v/>
      </c>
      <c r="BT447" s="68">
        <f>BT436+BT444</f>
        <v/>
      </c>
      <c r="BU447" s="68">
        <f>BU436+BU444</f>
        <v/>
      </c>
      <c r="BV447" s="588">
        <f>BV436+BV444</f>
        <v/>
      </c>
      <c r="BW447" s="68">
        <f>BW436+BW444</f>
        <v/>
      </c>
      <c r="BX447" s="1110">
        <f>BX436+BX444</f>
        <v/>
      </c>
      <c r="BY447" s="68">
        <f>BY436+BY444</f>
        <v/>
      </c>
      <c r="BZ447" s="68">
        <f>BZ436+BZ444</f>
        <v/>
      </c>
      <c r="CA447" s="68">
        <f>CA436+CA444</f>
        <v/>
      </c>
      <c r="CB447" s="68">
        <f>CB436+CB444</f>
        <v/>
      </c>
      <c r="CC447" s="1110">
        <f>CC436+CC444</f>
        <v/>
      </c>
      <c r="CD447" s="1110">
        <f>CD436+CD444</f>
        <v/>
      </c>
      <c r="CE447" s="1110">
        <f>CE436+CE444</f>
        <v/>
      </c>
      <c r="CF447" s="1110">
        <f>CF436+CF444</f>
        <v/>
      </c>
      <c r="CG447" s="27" t="n"/>
    </row>
    <row r="448" hidden="1" outlineLevel="2" ht="15" customFormat="1" customHeight="1" s="227">
      <c r="A448" s="636" t="n"/>
      <c r="B448" s="146" t="n"/>
      <c r="C448" s="1110" t="n"/>
      <c r="D448" s="1110" t="n"/>
      <c r="E448" s="1110" t="n"/>
      <c r="F448" s="1110" t="n"/>
      <c r="G448" s="68" t="n"/>
      <c r="H448" s="68" t="n"/>
      <c r="I448" s="68" t="n"/>
      <c r="J448" s="68" t="n"/>
      <c r="K448" s="1110" t="n"/>
      <c r="L448" s="68" t="n"/>
      <c r="M448" s="68" t="n"/>
      <c r="N448" s="68" t="n"/>
      <c r="O448" s="68" t="n"/>
      <c r="P448" s="1110" t="n"/>
      <c r="Q448" s="68" t="n"/>
      <c r="R448" s="68" t="n"/>
      <c r="S448" s="68" t="n"/>
      <c r="T448" s="68" t="n"/>
      <c r="U448" s="1110" t="n"/>
      <c r="V448" s="68" t="n"/>
      <c r="W448" s="68" t="n"/>
      <c r="X448" s="68" t="n"/>
      <c r="Y448" s="68" t="n"/>
      <c r="Z448" s="1110" t="n"/>
      <c r="AA448" s="68" t="n"/>
      <c r="AB448" s="68" t="n"/>
      <c r="AC448" s="68" t="n"/>
      <c r="AD448" s="68" t="n"/>
      <c r="AE448" s="1110" t="n"/>
      <c r="AF448" s="68" t="n"/>
      <c r="AG448" s="68" t="n"/>
      <c r="AH448" s="68" t="n"/>
      <c r="AI448" s="68" t="n"/>
      <c r="AJ448" s="1110" t="n"/>
      <c r="AK448" s="68" t="n"/>
      <c r="AL448" s="68" t="n"/>
      <c r="AM448" s="68" t="n"/>
      <c r="AN448" s="68" t="n"/>
      <c r="AO448" s="1110" t="n"/>
      <c r="AP448" s="68" t="n"/>
      <c r="AQ448" s="68" t="n"/>
      <c r="AR448" s="68" t="n"/>
      <c r="AS448" s="68" t="n"/>
      <c r="AT448" s="1110" t="n"/>
      <c r="AU448" s="68" t="n"/>
      <c r="AV448" s="68" t="n"/>
      <c r="AW448" s="68" t="n"/>
      <c r="AX448" s="68" t="n"/>
      <c r="AY448" s="1110" t="n"/>
      <c r="AZ448" s="68" t="n"/>
      <c r="BA448" s="68" t="n"/>
      <c r="BB448" s="68" t="n"/>
      <c r="BC448" s="68" t="n"/>
      <c r="BD448" s="1110" t="n"/>
      <c r="BE448" s="68" t="n"/>
      <c r="BF448" s="68" t="n"/>
      <c r="BG448" s="68" t="n"/>
      <c r="BH448" s="68" t="n"/>
      <c r="BI448" s="1110" t="n"/>
      <c r="BJ448" s="68" t="n"/>
      <c r="BK448" s="68" t="n"/>
      <c r="BL448" s="68" t="n"/>
      <c r="BM448" s="68" t="n"/>
      <c r="BN448" s="1110" t="n"/>
      <c r="BO448" s="68" t="n"/>
      <c r="BP448" s="68" t="n"/>
      <c r="BQ448" s="68" t="n"/>
      <c r="BR448" s="68" t="n"/>
      <c r="BS448" s="1110" t="n"/>
      <c r="BT448" s="68" t="n"/>
      <c r="BU448" s="68" t="n"/>
      <c r="BV448" s="588" t="n"/>
      <c r="BW448" s="68" t="n"/>
      <c r="BX448" s="1110" t="n"/>
      <c r="BY448" s="68" t="n"/>
      <c r="BZ448" s="68" t="n"/>
      <c r="CA448" s="68" t="n"/>
      <c r="CB448" s="68" t="n"/>
      <c r="CC448" s="1110" t="n"/>
      <c r="CD448" s="1110" t="n"/>
      <c r="CE448" s="1110" t="n"/>
      <c r="CF448" s="1110" t="n"/>
      <c r="CG448" s="27" t="n"/>
    </row>
    <row r="449" hidden="1" outlineLevel="3" ht="15" customFormat="1" customHeight="1" s="227">
      <c r="A449" s="99" t="inlineStr">
        <is>
          <t>Cumulative BoP Total Stock Options Outstanding, mm options</t>
        </is>
      </c>
      <c r="B449" s="146" t="n"/>
      <c r="C449" s="1111">
        <f>90.581073*(4)*(10)</f>
        <v/>
      </c>
      <c r="D449" s="1111">
        <f>97.45428*(4)*(10)</f>
        <v/>
      </c>
      <c r="E449" s="1111">
        <f>58.348422*(4)*(10)</f>
        <v/>
      </c>
      <c r="F449" s="1111">
        <f>44.001458*(4)*(10)</f>
        <v/>
      </c>
      <c r="G449" s="1053">
        <f>33.329*(4)*(10)</f>
        <v/>
      </c>
      <c r="H449" s="1053">
        <f>33.329*(4)*(10)</f>
        <v/>
      </c>
      <c r="I449" s="1053">
        <f>33.329*(4)*(10)</f>
        <v/>
      </c>
      <c r="J449" s="68">
        <f>K449</f>
        <v/>
      </c>
      <c r="K449" s="1111">
        <f>33.328976*(4)*(10)</f>
        <v/>
      </c>
      <c r="L449" s="1053">
        <f>32.995*(4)*(10)</f>
        <v/>
      </c>
      <c r="M449" s="1053">
        <f>32.995*(4)*(10)</f>
        <v/>
      </c>
      <c r="N449" s="1053">
        <f>32.995*(4)*(10)</f>
        <v/>
      </c>
      <c r="O449" s="68">
        <f>P449</f>
        <v/>
      </c>
      <c r="P449" s="1111">
        <f>32.995325*(4)*(10)</f>
        <v/>
      </c>
      <c r="Q449" s="1053">
        <f>32.504*(4)*(10)</f>
        <v/>
      </c>
      <c r="R449" s="1053">
        <f>32.504*(4)*(10)</f>
        <v/>
      </c>
      <c r="S449" s="1053">
        <f>32.504*(4)*(10)</f>
        <v/>
      </c>
      <c r="T449" s="68">
        <f>U449</f>
        <v/>
      </c>
      <c r="U449" s="1111">
        <f>32.504*(4)*(10)</f>
        <v/>
      </c>
      <c r="V449" s="1053">
        <f>21*(4)*(10)</f>
        <v/>
      </c>
      <c r="W449" s="1053">
        <f>21*(4)*(10)</f>
        <v/>
      </c>
      <c r="X449" s="1053">
        <f>21*(4)*(10)</f>
        <v/>
      </c>
      <c r="Y449" s="68">
        <f>Z449</f>
        <v/>
      </c>
      <c r="Z449" s="1111">
        <f>21*(4)*(10)</f>
        <v/>
      </c>
      <c r="AA449" s="1053">
        <f>13*(4)*(10)</f>
        <v/>
      </c>
      <c r="AB449" s="1053">
        <f>13*(4)*(10)</f>
        <v/>
      </c>
      <c r="AC449" s="1053">
        <f>13*(4)*(10)</f>
        <v/>
      </c>
      <c r="AD449" s="68">
        <f>AE449</f>
        <v/>
      </c>
      <c r="AE449" s="1111">
        <f>13*(4)*(10)</f>
        <v/>
      </c>
      <c r="AF449" s="1053">
        <f>7*(4)*(10)</f>
        <v/>
      </c>
      <c r="AG449" s="1053">
        <f>7*(4)*(10)</f>
        <v/>
      </c>
      <c r="AH449" s="1053">
        <f>7*(4)*(10)</f>
        <v/>
      </c>
      <c r="AI449" s="68" t="n"/>
      <c r="AJ449" s="1110" t="n"/>
      <c r="AK449" s="68" t="n"/>
      <c r="AL449" s="68" t="n"/>
      <c r="AM449" s="68" t="n"/>
      <c r="AN449" s="68" t="n"/>
      <c r="AO449" s="1110" t="n"/>
      <c r="AP449" s="68" t="n"/>
      <c r="AQ449" s="68" t="n"/>
      <c r="AR449" s="68" t="n"/>
      <c r="AS449" s="68" t="n"/>
      <c r="AT449" s="1110" t="n"/>
      <c r="AU449" s="68" t="n"/>
      <c r="AV449" s="68" t="n"/>
      <c r="AW449" s="68" t="n"/>
      <c r="AX449" s="68" t="n"/>
      <c r="AY449" s="1110" t="n"/>
      <c r="AZ449" s="68" t="n"/>
      <c r="BA449" s="68" t="n"/>
      <c r="BB449" s="68" t="n"/>
      <c r="BC449" s="68" t="n"/>
      <c r="BD449" s="1110" t="n"/>
      <c r="BE449" s="68" t="n"/>
      <c r="BF449" s="68" t="n"/>
      <c r="BG449" s="68" t="n"/>
      <c r="BH449" s="68" t="n"/>
      <c r="BI449" s="1110" t="n"/>
      <c r="BJ449" s="68" t="n"/>
      <c r="BK449" s="68" t="n"/>
      <c r="BL449" s="68" t="n"/>
      <c r="BM449" s="68" t="n"/>
      <c r="BN449" s="1110" t="n"/>
      <c r="BO449" s="68" t="n"/>
      <c r="BP449" s="68" t="n"/>
      <c r="BQ449" s="68" t="n"/>
      <c r="BR449" s="68" t="n"/>
      <c r="BS449" s="1110" t="n"/>
      <c r="BT449" s="68" t="n"/>
      <c r="BU449" s="68" t="n"/>
      <c r="BV449" s="588" t="n"/>
      <c r="BW449" s="68" t="n"/>
      <c r="BX449" s="1110" t="n"/>
      <c r="BY449" s="68" t="n"/>
      <c r="BZ449" s="68" t="n"/>
      <c r="CA449" s="68" t="n"/>
      <c r="CB449" s="68" t="n"/>
      <c r="CC449" s="1110" t="n"/>
      <c r="CD449" s="1110" t="n"/>
      <c r="CE449" s="1110" t="n"/>
      <c r="CF449" s="1110" t="n"/>
      <c r="CG449" s="27" t="n"/>
    </row>
    <row r="450" hidden="1" outlineLevel="3" ht="15" customFormat="1" customHeight="1" s="227">
      <c r="A450" s="572" t="inlineStr">
        <is>
          <t>Cumulative Granted Stock Options, mm options</t>
        </is>
      </c>
      <c r="B450" s="146" t="n"/>
      <c r="C450" s="1111">
        <f>17.888695*(4)*(10)</f>
        <v/>
      </c>
      <c r="D450" s="1111">
        <f>7.701396*(4)*(10)</f>
        <v/>
      </c>
      <c r="E450" s="1111">
        <f>5.818966*(4)*(10)</f>
        <v/>
      </c>
      <c r="F450" s="1111">
        <f>6.430778*(4)*(10)</f>
        <v/>
      </c>
      <c r="G450" s="1053">
        <f>2.937*(4)*(10)</f>
        <v/>
      </c>
      <c r="H450" s="1053">
        <f>3.603*(4)*(10)</f>
        <v/>
      </c>
      <c r="I450" s="1053">
        <f>6.827*(4)*(10)</f>
        <v/>
      </c>
      <c r="J450" s="68">
        <f>K450</f>
        <v/>
      </c>
      <c r="K450" s="1111">
        <f>7.119319*(4)*(10)</f>
        <v/>
      </c>
      <c r="L450" s="1053">
        <f>2.808*(4)*(10)</f>
        <v/>
      </c>
      <c r="M450" s="1053">
        <f>3.28*(4)*(10)</f>
        <v/>
      </c>
      <c r="N450" s="1053">
        <f>6.049*(4)*(10)</f>
        <v/>
      </c>
      <c r="O450" s="68">
        <f>P450</f>
        <v/>
      </c>
      <c r="P450" s="1111">
        <f>6.148672*(4)*(10)</f>
        <v/>
      </c>
      <c r="Q450" s="1053">
        <f>0.008*(4)*(10)</f>
        <v/>
      </c>
      <c r="R450" s="1053">
        <f>0.086*(4)*(10)</f>
        <v/>
      </c>
      <c r="S450" s="1053">
        <f>0.086*(4)*(10)</f>
        <v/>
      </c>
      <c r="T450" s="68" t="n"/>
      <c r="U450" s="1110" t="n"/>
      <c r="V450" s="68" t="n"/>
      <c r="W450" s="68" t="n"/>
      <c r="X450" s="68" t="n"/>
      <c r="Y450" s="68" t="n"/>
      <c r="Z450" s="1110" t="n"/>
      <c r="AA450" s="68" t="n"/>
      <c r="AB450" s="68" t="n"/>
      <c r="AC450" s="68" t="n"/>
      <c r="AD450" s="68" t="n"/>
      <c r="AE450" s="1110" t="n"/>
      <c r="AF450" s="68" t="n"/>
      <c r="AG450" s="68" t="n"/>
      <c r="AH450" s="68" t="n"/>
      <c r="AI450" s="68" t="n"/>
      <c r="AJ450" s="1110" t="n"/>
      <c r="AK450" s="68" t="n"/>
      <c r="AL450" s="68" t="n"/>
      <c r="AM450" s="68" t="n"/>
      <c r="AN450" s="68" t="n"/>
      <c r="AO450" s="1110" t="n"/>
      <c r="AP450" s="68" t="n"/>
      <c r="AQ450" s="68" t="n"/>
      <c r="AR450" s="68" t="n"/>
      <c r="AS450" s="68" t="n"/>
      <c r="AT450" s="1110" t="n"/>
      <c r="AU450" s="68" t="n"/>
      <c r="AV450" s="68" t="n"/>
      <c r="AW450" s="68" t="n"/>
      <c r="AX450" s="68" t="n"/>
      <c r="AY450" s="1110" t="n"/>
      <c r="AZ450" s="68" t="n"/>
      <c r="BA450" s="68" t="n"/>
      <c r="BB450" s="68" t="n"/>
      <c r="BC450" s="68" t="n"/>
      <c r="BD450" s="1110" t="n"/>
      <c r="BE450" s="68" t="n"/>
      <c r="BF450" s="68" t="n"/>
      <c r="BG450" s="68" t="n"/>
      <c r="BH450" s="68" t="n"/>
      <c r="BI450" s="1110" t="n"/>
      <c r="BJ450" s="68" t="n"/>
      <c r="BK450" s="68" t="n"/>
      <c r="BL450" s="68" t="n"/>
      <c r="BM450" s="68" t="n"/>
      <c r="BN450" s="1110" t="n"/>
      <c r="BO450" s="68" t="n"/>
      <c r="BP450" s="68" t="n"/>
      <c r="BQ450" s="68" t="n"/>
      <c r="BR450" s="68" t="n"/>
      <c r="BS450" s="1110" t="n"/>
      <c r="BT450" s="68" t="n"/>
      <c r="BU450" s="68" t="n"/>
      <c r="BV450" s="588" t="n"/>
      <c r="BW450" s="68" t="n"/>
      <c r="BX450" s="1110" t="n"/>
      <c r="BY450" s="68" t="n"/>
      <c r="BZ450" s="68" t="n"/>
      <c r="CA450" s="68" t="n"/>
      <c r="CB450" s="68" t="n"/>
      <c r="CC450" s="1110" t="n"/>
      <c r="CD450" s="1110" t="n"/>
      <c r="CE450" s="1110" t="n"/>
      <c r="CF450" s="1110" t="n"/>
      <c r="CG450" s="27" t="n"/>
    </row>
    <row r="451" hidden="1" outlineLevel="3" ht="15" customFormat="1" customHeight="1" s="227">
      <c r="A451" s="572" t="inlineStr">
        <is>
          <t>Cumulative Exercised Stock Options, mm options</t>
        </is>
      </c>
      <c r="B451" s="146" t="n"/>
      <c r="C451" s="1111">
        <f>-7.670038*(4)*(10)</f>
        <v/>
      </c>
      <c r="D451" s="1111">
        <f>-17.099663*(4)*(10)</f>
        <v/>
      </c>
      <c r="E451" s="1111">
        <f>-18.287483*(4)*(10)</f>
        <v/>
      </c>
      <c r="F451" s="1111">
        <f>-15.515053*(4)*(10)</f>
        <v/>
      </c>
      <c r="G451" s="1053">
        <f>-2.015*(4)*(10)</f>
        <v/>
      </c>
      <c r="H451" s="1053">
        <f>-2.727*(4)*(10)</f>
        <v/>
      </c>
      <c r="I451" s="1053">
        <f>-3.348*(4)*(10)</f>
        <v/>
      </c>
      <c r="J451" s="68">
        <f>K451</f>
        <v/>
      </c>
      <c r="K451" s="1111">
        <f>-3.64668*(4)*(10)</f>
        <v/>
      </c>
      <c r="L451" s="1053">
        <f>-0.352*(4)*(10)</f>
        <v/>
      </c>
      <c r="M451" s="1053">
        <f>-1.176*(4)*(10)</f>
        <v/>
      </c>
      <c r="N451" s="1053">
        <f>-2.557*(4)*(10)</f>
        <v/>
      </c>
      <c r="O451" s="68">
        <f>P451</f>
        <v/>
      </c>
      <c r="P451" s="1111">
        <f>-3.05853*(4)*(10)</f>
        <v/>
      </c>
      <c r="Q451" s="1053">
        <f>-4.801*(4)*(10)</f>
        <v/>
      </c>
      <c r="R451" s="1053">
        <f>-6.291*(4)*(10)</f>
        <v/>
      </c>
      <c r="S451" s="1053">
        <f>-7.945*(4)*(10)</f>
        <v/>
      </c>
      <c r="T451" s="68">
        <f>U451</f>
        <v/>
      </c>
      <c r="U451" s="1111">
        <f>-9.795*(4)*(10)</f>
        <v/>
      </c>
      <c r="V451" s="1053">
        <f>-3*(4)*(10)</f>
        <v/>
      </c>
      <c r="W451" s="1053">
        <f>-4*(4)*(10)</f>
        <v/>
      </c>
      <c r="X451" s="1053">
        <f>-6*(4)*(10)</f>
        <v/>
      </c>
      <c r="Y451" s="68">
        <f>Z451</f>
        <v/>
      </c>
      <c r="Z451" s="1111">
        <f>-7*(4)*(10)</f>
        <v/>
      </c>
      <c r="AA451" s="1053">
        <f>-2*(4)*(10)</f>
        <v/>
      </c>
      <c r="AB451" s="1053">
        <f>-3*(4)*(10)</f>
        <v/>
      </c>
      <c r="AC451" s="1053">
        <f>-4*(4)*(10)</f>
        <v/>
      </c>
      <c r="AD451" s="68">
        <f>AE451</f>
        <v/>
      </c>
      <c r="AE451" s="1111">
        <f>-6*(4)*(10)</f>
        <v/>
      </c>
      <c r="AF451" s="1053">
        <f>-1*(4)*(10)</f>
        <v/>
      </c>
      <c r="AG451" s="1053">
        <f>-1*(4)*(10)</f>
        <v/>
      </c>
      <c r="AH451" s="1053">
        <f>-2*(4)*(10)</f>
        <v/>
      </c>
      <c r="AI451" s="68" t="n"/>
      <c r="AJ451" s="1110" t="n"/>
      <c r="AK451" s="68" t="n"/>
      <c r="AL451" s="68" t="n"/>
      <c r="AM451" s="68" t="n"/>
      <c r="AN451" s="68" t="n"/>
      <c r="AO451" s="1110" t="n"/>
      <c r="AP451" s="68" t="n"/>
      <c r="AQ451" s="68" t="n"/>
      <c r="AR451" s="68" t="n"/>
      <c r="AS451" s="68" t="n"/>
      <c r="AT451" s="1110" t="n"/>
      <c r="AU451" s="68" t="n"/>
      <c r="AV451" s="68" t="n"/>
      <c r="AW451" s="68" t="n"/>
      <c r="AX451" s="68" t="n"/>
      <c r="AY451" s="1110" t="n"/>
      <c r="AZ451" s="68" t="n"/>
      <c r="BA451" s="68" t="n"/>
      <c r="BB451" s="68" t="n"/>
      <c r="BC451" s="68" t="n"/>
      <c r="BD451" s="1110" t="n"/>
      <c r="BE451" s="68" t="n"/>
      <c r="BF451" s="68" t="n"/>
      <c r="BG451" s="68" t="n"/>
      <c r="BH451" s="68" t="n"/>
      <c r="BI451" s="1110" t="n"/>
      <c r="BJ451" s="68" t="n"/>
      <c r="BK451" s="68" t="n"/>
      <c r="BL451" s="68" t="n"/>
      <c r="BM451" s="68" t="n"/>
      <c r="BN451" s="1110" t="n"/>
      <c r="BO451" s="68" t="n"/>
      <c r="BP451" s="68" t="n"/>
      <c r="BQ451" s="68" t="n"/>
      <c r="BR451" s="68" t="n"/>
      <c r="BS451" s="1110" t="n"/>
      <c r="BT451" s="68" t="n"/>
      <c r="BU451" s="68" t="n"/>
      <c r="BV451" s="588" t="n"/>
      <c r="BW451" s="68" t="n"/>
      <c r="BX451" s="1110" t="n"/>
      <c r="BY451" s="68" t="n"/>
      <c r="BZ451" s="68" t="n"/>
      <c r="CA451" s="68" t="n"/>
      <c r="CB451" s="68" t="n"/>
      <c r="CC451" s="1110" t="n"/>
      <c r="CD451" s="1110" t="n"/>
      <c r="CE451" s="1110" t="n"/>
      <c r="CF451" s="1110" t="n"/>
      <c r="CG451" s="27" t="n"/>
    </row>
    <row r="452" hidden="1" outlineLevel="3" ht="15" customFormat="1" customHeight="1" s="227">
      <c r="A452" s="649" t="inlineStr">
        <is>
          <t>Cumulative Forfeited and Canceled Stock Options, mm options</t>
        </is>
      </c>
      <c r="B452" s="149" t="n"/>
      <c r="C452" s="1131">
        <f>-3.34545*(4)*(10)</f>
        <v/>
      </c>
      <c r="D452" s="1131">
        <f>(-1.175541-28.53205)*(4)*(10)</f>
        <v/>
      </c>
      <c r="E452" s="1131">
        <f>-1.878447*(4)*(10)</f>
        <v/>
      </c>
      <c r="F452" s="1131">
        <f>-1.588207*(4)*(10)</f>
        <v/>
      </c>
      <c r="G452" s="1060">
        <f>-1.521*(4)*(10)</f>
        <v/>
      </c>
      <c r="H452" s="1060">
        <f>-1.878*(4)*(10)</f>
        <v/>
      </c>
      <c r="I452" s="1060">
        <f>-3.396*(4)*(10)</f>
        <v/>
      </c>
      <c r="J452" s="109">
        <f>K452</f>
        <v/>
      </c>
      <c r="K452" s="1131">
        <f>-3.80629*(4)*(10)</f>
        <v/>
      </c>
      <c r="L452" s="1060">
        <f>-1.703*(4)*(10)</f>
        <v/>
      </c>
      <c r="M452" s="1060">
        <f>-2.408*(4)*(10)</f>
        <v/>
      </c>
      <c r="N452" s="1060">
        <f>-3.358*(4)*(10)</f>
        <v/>
      </c>
      <c r="O452" s="109">
        <f>P452</f>
        <v/>
      </c>
      <c r="P452" s="1131">
        <f>-3.581556*(4)*(10)</f>
        <v/>
      </c>
      <c r="Q452" s="1060">
        <f>-0.486*(4)*(10)</f>
        <v/>
      </c>
      <c r="R452" s="1060">
        <f>-0.942*(4)*(10)</f>
        <v/>
      </c>
      <c r="S452" s="1060">
        <f>-1.361*(4)*(10)</f>
        <v/>
      </c>
      <c r="T452" s="109">
        <f>U452</f>
        <v/>
      </c>
      <c r="U452" s="1131">
        <f>-1.45*(4)*(10)</f>
        <v/>
      </c>
      <c r="V452" s="109" t="n"/>
      <c r="W452" s="109" t="n"/>
      <c r="X452" s="109" t="n"/>
      <c r="Y452" s="109">
        <f>Z452</f>
        <v/>
      </c>
      <c r="Z452" s="1131">
        <f>-1*(4)*(10)</f>
        <v/>
      </c>
      <c r="AA452" s="109" t="n"/>
      <c r="AB452" s="109" t="n"/>
      <c r="AC452" s="109" t="n"/>
      <c r="AD452" s="109" t="n"/>
      <c r="AE452" s="1121" t="n"/>
      <c r="AF452" s="109" t="n"/>
      <c r="AG452" s="109" t="n"/>
      <c r="AH452" s="109" t="n"/>
      <c r="AI452" s="109" t="n"/>
      <c r="AJ452" s="1121" t="n"/>
      <c r="AK452" s="109" t="n"/>
      <c r="AL452" s="109" t="n"/>
      <c r="AM452" s="109" t="n"/>
      <c r="AN452" s="109" t="n"/>
      <c r="AO452" s="1121" t="n"/>
      <c r="AP452" s="109" t="n"/>
      <c r="AQ452" s="109" t="n"/>
      <c r="AR452" s="109" t="n"/>
      <c r="AS452" s="109" t="n"/>
      <c r="AT452" s="1121" t="n"/>
      <c r="AU452" s="109" t="n"/>
      <c r="AV452" s="109" t="n"/>
      <c r="AW452" s="109" t="n"/>
      <c r="AX452" s="109" t="n"/>
      <c r="AY452" s="1121" t="n"/>
      <c r="AZ452" s="109" t="n"/>
      <c r="BA452" s="109" t="n"/>
      <c r="BB452" s="109" t="n"/>
      <c r="BC452" s="109" t="n"/>
      <c r="BD452" s="1121" t="n"/>
      <c r="BE452" s="109" t="n"/>
      <c r="BF452" s="109" t="n"/>
      <c r="BG452" s="109" t="n"/>
      <c r="BH452" s="109" t="n"/>
      <c r="BI452" s="1121" t="n"/>
      <c r="BJ452" s="109" t="n"/>
      <c r="BK452" s="109" t="n"/>
      <c r="BL452" s="109" t="n"/>
      <c r="BM452" s="109" t="n"/>
      <c r="BN452" s="1121" t="n"/>
      <c r="BO452" s="109" t="n"/>
      <c r="BP452" s="109" t="n"/>
      <c r="BQ452" s="109" t="n"/>
      <c r="BR452" s="109" t="n"/>
      <c r="BS452" s="1121" t="n"/>
      <c r="BT452" s="109" t="n"/>
      <c r="BU452" s="109" t="n"/>
      <c r="BV452" s="730" t="n"/>
      <c r="BW452" s="109" t="n"/>
      <c r="BX452" s="1121" t="n"/>
      <c r="BY452" s="109" t="n"/>
      <c r="BZ452" s="109" t="n"/>
      <c r="CA452" s="109" t="n"/>
      <c r="CB452" s="109" t="n"/>
      <c r="CC452" s="1121" t="n"/>
      <c r="CD452" s="1121" t="n"/>
      <c r="CE452" s="1121" t="n"/>
      <c r="CF452" s="1121" t="n"/>
      <c r="CG452" s="27" t="n"/>
    </row>
    <row r="453" hidden="1" outlineLevel="3" ht="15" customFormat="1" customHeight="1" s="227">
      <c r="A453" s="99" t="inlineStr">
        <is>
          <t>Cumulative EoP Total Stock Options Outstanding, mm options</t>
        </is>
      </c>
      <c r="B453" s="146" t="n"/>
      <c r="C453" s="1111">
        <f>97.45428*(4)*(10)</f>
        <v/>
      </c>
      <c r="D453" s="1111">
        <f>58.348422*(4)*(10)</f>
        <v/>
      </c>
      <c r="E453" s="1111">
        <f>44.001458*(4)*(10)</f>
        <v/>
      </c>
      <c r="F453" s="1111">
        <f>33.328976*(4)*(10)</f>
        <v/>
      </c>
      <c r="G453" s="1053">
        <f>32.73*(4)*(10)</f>
        <v/>
      </c>
      <c r="H453" s="1053">
        <f>32.327*(4)*(10)</f>
        <v/>
      </c>
      <c r="I453" s="1053">
        <f>33.412*(4)*(10)</f>
        <v/>
      </c>
      <c r="J453" s="68">
        <f>K453</f>
        <v/>
      </c>
      <c r="K453" s="1111">
        <f>32.995325*(4)*(10)</f>
        <v/>
      </c>
      <c r="L453" s="1053">
        <f>33.748*(4)*(10)</f>
        <v/>
      </c>
      <c r="M453" s="1053">
        <f>32.691*(4)*(10)</f>
        <v/>
      </c>
      <c r="N453" s="1053">
        <f>33.129*(4)*(10)</f>
        <v/>
      </c>
      <c r="O453" s="68">
        <f>P453</f>
        <v/>
      </c>
      <c r="P453" s="1111">
        <f>32.503911*(4)*(10)</f>
        <v/>
      </c>
      <c r="Q453" s="1053">
        <f>27.225*(4)*(10)</f>
        <v/>
      </c>
      <c r="R453" s="1053">
        <f>25.357*(4)*(10)</f>
        <v/>
      </c>
      <c r="S453" s="1053">
        <f>23.284*(4)*(10)</f>
        <v/>
      </c>
      <c r="T453" s="68">
        <f>U453</f>
        <v/>
      </c>
      <c r="U453" s="1110">
        <f>V449</f>
        <v/>
      </c>
      <c r="V453" s="1053">
        <f>18*(4)*(10)</f>
        <v/>
      </c>
      <c r="W453" s="1053">
        <f>17*(4)*(10)</f>
        <v/>
      </c>
      <c r="X453" s="1053">
        <f>15*(4)*(10)</f>
        <v/>
      </c>
      <c r="Y453" s="68">
        <f>Z453</f>
        <v/>
      </c>
      <c r="Z453" s="1111">
        <f>13*(4)*(10)</f>
        <v/>
      </c>
      <c r="AA453" s="1053">
        <f>11*(4)*(10)</f>
        <v/>
      </c>
      <c r="AB453" s="1053">
        <f>10*(4)*(10)</f>
        <v/>
      </c>
      <c r="AC453" s="1053">
        <f>9*(4)*(10)</f>
        <v/>
      </c>
      <c r="AD453" s="68">
        <f>AE453</f>
        <v/>
      </c>
      <c r="AE453" s="1111">
        <f>7*(4)*(10)</f>
        <v/>
      </c>
      <c r="AF453" s="1053">
        <f>6*(4)*(10)</f>
        <v/>
      </c>
      <c r="AG453" s="1053">
        <f>6*(4)*(10)</f>
        <v/>
      </c>
      <c r="AH453" s="1053">
        <f>5*(4)*(10)</f>
        <v/>
      </c>
      <c r="AI453" s="68">
        <f>AJ453</f>
        <v/>
      </c>
      <c r="AJ453" s="1111">
        <f>5*(4)*(10)</f>
        <v/>
      </c>
      <c r="AK453" s="68" t="n"/>
      <c r="AL453" s="68" t="n"/>
      <c r="AM453" s="68" t="n"/>
      <c r="AN453" s="68" t="n"/>
      <c r="AO453" s="1110" t="n"/>
      <c r="AP453" s="68" t="n"/>
      <c r="AQ453" s="68" t="n"/>
      <c r="AR453" s="68" t="n"/>
      <c r="AS453" s="68" t="n"/>
      <c r="AT453" s="1110" t="n"/>
      <c r="AU453" s="68" t="n"/>
      <c r="AV453" s="68" t="n"/>
      <c r="AW453" s="68" t="n"/>
      <c r="AX453" s="68" t="n"/>
      <c r="AY453" s="1110" t="n"/>
      <c r="AZ453" s="68" t="n"/>
      <c r="BA453" s="68" t="n"/>
      <c r="BB453" s="68" t="n"/>
      <c r="BC453" s="68" t="n"/>
      <c r="BD453" s="1110" t="n"/>
      <c r="BE453" s="68" t="n"/>
      <c r="BF453" s="68" t="n"/>
      <c r="BG453" s="68" t="n"/>
      <c r="BH453" s="68" t="n"/>
      <c r="BI453" s="1110" t="n"/>
      <c r="BJ453" s="68" t="n"/>
      <c r="BK453" s="68" t="n"/>
      <c r="BL453" s="68" t="n"/>
      <c r="BM453" s="68" t="n"/>
      <c r="BN453" s="1110" t="n"/>
      <c r="BO453" s="68" t="n"/>
      <c r="BP453" s="68" t="n"/>
      <c r="BQ453" s="68" t="n"/>
      <c r="BR453" s="68" t="n"/>
      <c r="BS453" s="1110" t="n"/>
      <c r="BT453" s="68" t="n"/>
      <c r="BU453" s="68" t="n"/>
      <c r="BV453" s="588" t="n"/>
      <c r="BW453" s="68" t="n"/>
      <c r="BX453" s="1110" t="n"/>
      <c r="BY453" s="68" t="n"/>
      <c r="BZ453" s="68" t="n"/>
      <c r="CA453" s="68" t="n"/>
      <c r="CB453" s="68" t="n"/>
      <c r="CC453" s="1110" t="n"/>
      <c r="CD453" s="1110" t="n"/>
      <c r="CE453" s="1110" t="n"/>
      <c r="CF453" s="1110" t="n"/>
      <c r="CG453" s="27" t="n"/>
    </row>
    <row r="454" hidden="1" outlineLevel="3" ht="15" customFormat="1" customHeight="1" s="227">
      <c r="A454" s="636" t="n"/>
      <c r="B454" s="146" t="n"/>
      <c r="C454" s="1110" t="n"/>
      <c r="D454" s="1110" t="n"/>
      <c r="E454" s="1110" t="n"/>
      <c r="F454" s="1110" t="n"/>
      <c r="G454" s="68" t="n"/>
      <c r="H454" s="68" t="n"/>
      <c r="I454" s="68" t="n"/>
      <c r="J454" s="68" t="n"/>
      <c r="K454" s="1110" t="n"/>
      <c r="L454" s="68" t="n"/>
      <c r="M454" s="68" t="n"/>
      <c r="N454" s="68" t="n"/>
      <c r="O454" s="68" t="n"/>
      <c r="P454" s="1110" t="n"/>
      <c r="Q454" s="68" t="n"/>
      <c r="R454" s="68" t="n"/>
      <c r="S454" s="68" t="n"/>
      <c r="T454" s="68" t="n"/>
      <c r="U454" s="1110" t="n"/>
      <c r="V454" s="68" t="n"/>
      <c r="W454" s="68" t="n"/>
      <c r="X454" s="68" t="n"/>
      <c r="Y454" s="68" t="n"/>
      <c r="Z454" s="1110" t="n"/>
      <c r="AA454" s="68" t="n"/>
      <c r="AB454" s="68" t="n"/>
      <c r="AC454" s="68" t="n"/>
      <c r="AD454" s="68" t="n"/>
      <c r="AE454" s="1110" t="n"/>
      <c r="AF454" s="68" t="n"/>
      <c r="AG454" s="68" t="n"/>
      <c r="AH454" s="68" t="n"/>
      <c r="AI454" s="68" t="n"/>
      <c r="AJ454" s="1110" t="n"/>
      <c r="AK454" s="68" t="n"/>
      <c r="AL454" s="68" t="n"/>
      <c r="AM454" s="68" t="n"/>
      <c r="AN454" s="68" t="n"/>
      <c r="AO454" s="1110" t="n"/>
      <c r="AP454" s="68" t="n"/>
      <c r="AQ454" s="68" t="n"/>
      <c r="AR454" s="68" t="n"/>
      <c r="AS454" s="68" t="n"/>
      <c r="AT454" s="1110" t="n"/>
      <c r="AU454" s="68" t="n"/>
      <c r="AV454" s="68" t="n"/>
      <c r="AW454" s="68" t="n"/>
      <c r="AX454" s="68" t="n"/>
      <c r="AY454" s="1110" t="n"/>
      <c r="AZ454" s="68" t="n"/>
      <c r="BA454" s="68" t="n"/>
      <c r="BB454" s="68" t="n"/>
      <c r="BC454" s="68" t="n"/>
      <c r="BD454" s="1110" t="n"/>
      <c r="BE454" s="68" t="n"/>
      <c r="BF454" s="68" t="n"/>
      <c r="BG454" s="68" t="n"/>
      <c r="BH454" s="68" t="n"/>
      <c r="BI454" s="1110" t="n"/>
      <c r="BJ454" s="68" t="n"/>
      <c r="BK454" s="68" t="n"/>
      <c r="BL454" s="68" t="n"/>
      <c r="BM454" s="68" t="n"/>
      <c r="BN454" s="1110" t="n"/>
      <c r="BO454" s="68" t="n"/>
      <c r="BP454" s="68" t="n"/>
      <c r="BQ454" s="68" t="n"/>
      <c r="BR454" s="68" t="n"/>
      <c r="BS454" s="1110" t="n"/>
      <c r="BT454" s="68" t="n"/>
      <c r="BU454" s="68" t="n"/>
      <c r="BV454" s="588" t="n"/>
      <c r="BW454" s="68" t="n"/>
      <c r="BX454" s="1110" t="n"/>
      <c r="BY454" s="68" t="n"/>
      <c r="BZ454" s="68" t="n"/>
      <c r="CA454" s="68" t="n"/>
      <c r="CB454" s="68" t="n"/>
      <c r="CC454" s="1110" t="n"/>
      <c r="CD454" s="1110" t="n"/>
      <c r="CE454" s="1110" t="n"/>
      <c r="CF454" s="1110" t="n"/>
      <c r="CG454" s="27" t="n"/>
    </row>
    <row r="455" hidden="1" outlineLevel="3" ht="15" customFormat="1" customHeight="1" s="227">
      <c r="A455" s="99" t="inlineStr">
        <is>
          <t>BoP Total Stock Options Outstanding, mm options</t>
        </is>
      </c>
      <c r="B455" s="146" t="n"/>
      <c r="C455" s="1110">
        <f>C449</f>
        <v/>
      </c>
      <c r="D455" s="1110">
        <f>D449</f>
        <v/>
      </c>
      <c r="E455" s="1110">
        <f>E449</f>
        <v/>
      </c>
      <c r="F455" s="1110">
        <f>F449</f>
        <v/>
      </c>
      <c r="G455" s="68">
        <f>F459</f>
        <v/>
      </c>
      <c r="H455" s="68">
        <f>G459</f>
        <v/>
      </c>
      <c r="I455" s="68">
        <f>H459</f>
        <v/>
      </c>
      <c r="J455" s="68">
        <f>I459</f>
        <v/>
      </c>
      <c r="K455" s="1110">
        <f>F459</f>
        <v/>
      </c>
      <c r="L455" s="68">
        <f>K459</f>
        <v/>
      </c>
      <c r="M455" s="68">
        <f>L459</f>
        <v/>
      </c>
      <c r="N455" s="68">
        <f>M459</f>
        <v/>
      </c>
      <c r="O455" s="68">
        <f>N459</f>
        <v/>
      </c>
      <c r="P455" s="1110">
        <f>K459</f>
        <v/>
      </c>
      <c r="Q455" s="68">
        <f>P459</f>
        <v/>
      </c>
      <c r="R455" s="68">
        <f>Q459</f>
        <v/>
      </c>
      <c r="S455" s="68">
        <f>R459</f>
        <v/>
      </c>
      <c r="T455" s="68">
        <f>S459</f>
        <v/>
      </c>
      <c r="U455" s="1110">
        <f>P459</f>
        <v/>
      </c>
      <c r="V455" s="68">
        <f>U459</f>
        <v/>
      </c>
      <c r="W455" s="68">
        <f>V459</f>
        <v/>
      </c>
      <c r="X455" s="68">
        <f>W459</f>
        <v/>
      </c>
      <c r="Y455" s="68">
        <f>X459</f>
        <v/>
      </c>
      <c r="Z455" s="1110">
        <f>U459</f>
        <v/>
      </c>
      <c r="AA455" s="68">
        <f>Z459</f>
        <v/>
      </c>
      <c r="AB455" s="68">
        <f>AA459</f>
        <v/>
      </c>
      <c r="AC455" s="68">
        <f>AB459</f>
        <v/>
      </c>
      <c r="AD455" s="68">
        <f>AC459</f>
        <v/>
      </c>
      <c r="AE455" s="1110">
        <f>Z459</f>
        <v/>
      </c>
      <c r="AF455" s="68">
        <f>AE459</f>
        <v/>
      </c>
      <c r="AG455" s="68">
        <f>AF459</f>
        <v/>
      </c>
      <c r="AH455" s="68">
        <f>AG459</f>
        <v/>
      </c>
      <c r="AI455" s="68" t="n"/>
      <c r="AJ455" s="1110" t="n"/>
      <c r="AK455" s="68" t="n"/>
      <c r="AL455" s="68" t="n"/>
      <c r="AM455" s="68" t="n"/>
      <c r="AN455" s="68" t="n"/>
      <c r="AO455" s="1110" t="n"/>
      <c r="AP455" s="68" t="n"/>
      <c r="AQ455" s="68" t="n"/>
      <c r="AR455" s="68" t="n"/>
      <c r="AS455" s="68" t="n"/>
      <c r="AT455" s="1110" t="n"/>
      <c r="AU455" s="68" t="n"/>
      <c r="AV455" s="68" t="n"/>
      <c r="AW455" s="68" t="n"/>
      <c r="AX455" s="68" t="n"/>
      <c r="AY455" s="1110" t="n"/>
      <c r="AZ455" s="68" t="n"/>
      <c r="BA455" s="68" t="n"/>
      <c r="BB455" s="68" t="n"/>
      <c r="BC455" s="68" t="n"/>
      <c r="BD455" s="1110" t="n"/>
      <c r="BE455" s="68" t="n"/>
      <c r="BF455" s="68" t="n"/>
      <c r="BG455" s="68" t="n"/>
      <c r="BH455" s="68" t="n"/>
      <c r="BI455" s="1110" t="n"/>
      <c r="BJ455" s="68" t="n"/>
      <c r="BK455" s="68" t="n"/>
      <c r="BL455" s="68" t="n"/>
      <c r="BM455" s="68" t="n"/>
      <c r="BN455" s="1110" t="n"/>
      <c r="BO455" s="68" t="n"/>
      <c r="BP455" s="68" t="n"/>
      <c r="BQ455" s="68" t="n"/>
      <c r="BR455" s="68" t="n"/>
      <c r="BS455" s="1110" t="n"/>
      <c r="BT455" s="68" t="n"/>
      <c r="BU455" s="68" t="n"/>
      <c r="BV455" s="588" t="n"/>
      <c r="BW455" s="68" t="n"/>
      <c r="BX455" s="1110" t="n"/>
      <c r="BY455" s="68" t="n"/>
      <c r="BZ455" s="68" t="n"/>
      <c r="CA455" s="68" t="n"/>
      <c r="CB455" s="68" t="n"/>
      <c r="CC455" s="1110" t="n"/>
      <c r="CD455" s="1110" t="n"/>
      <c r="CE455" s="1110" t="n"/>
      <c r="CF455" s="1110" t="n"/>
      <c r="CG455" s="27" t="n"/>
    </row>
    <row r="456" hidden="1" outlineLevel="3" ht="15" customFormat="1" customHeight="1" s="227">
      <c r="A456" s="572" t="inlineStr">
        <is>
          <t>Granted Stock Options, mm options</t>
        </is>
      </c>
      <c r="B456" s="146" t="n"/>
      <c r="C456" s="1110">
        <f>C450</f>
        <v/>
      </c>
      <c r="D456" s="1110">
        <f>D450</f>
        <v/>
      </c>
      <c r="E456" s="1110">
        <f>E450</f>
        <v/>
      </c>
      <c r="F456" s="1110">
        <f>F450</f>
        <v/>
      </c>
      <c r="G456" s="68">
        <f>G450</f>
        <v/>
      </c>
      <c r="H456" s="68">
        <f>H450-G450</f>
        <v/>
      </c>
      <c r="I456" s="68">
        <f>I450-H450</f>
        <v/>
      </c>
      <c r="J456" s="68">
        <f>J450-I450</f>
        <v/>
      </c>
      <c r="K456" s="1110">
        <f>SUM(G456,H456,I456,J456)</f>
        <v/>
      </c>
      <c r="L456" s="68">
        <f>L450</f>
        <v/>
      </c>
      <c r="M456" s="68">
        <f>M450-L450</f>
        <v/>
      </c>
      <c r="N456" s="68">
        <f>N450-M450</f>
        <v/>
      </c>
      <c r="O456" s="68">
        <f>O450-N450</f>
        <v/>
      </c>
      <c r="P456" s="1110">
        <f>SUM(L456,M456,N456,O456)</f>
        <v/>
      </c>
      <c r="Q456" s="68">
        <f>Q450</f>
        <v/>
      </c>
      <c r="R456" s="68">
        <f>R450-Q450</f>
        <v/>
      </c>
      <c r="S456" s="68">
        <f>S450-R450</f>
        <v/>
      </c>
      <c r="T456" s="68">
        <f>T450-S450</f>
        <v/>
      </c>
      <c r="U456" s="1110">
        <f>SUM(Q456,R456,S456,T456)</f>
        <v/>
      </c>
      <c r="V456" s="68">
        <f>V450</f>
        <v/>
      </c>
      <c r="W456" s="68">
        <f>W450-V450</f>
        <v/>
      </c>
      <c r="X456" s="68">
        <f>X450-W450</f>
        <v/>
      </c>
      <c r="Y456" s="68">
        <f>Y450-X450</f>
        <v/>
      </c>
      <c r="Z456" s="1110">
        <f>SUM(V456,W456,X456,Y456)</f>
        <v/>
      </c>
      <c r="AA456" s="68">
        <f>AA450</f>
        <v/>
      </c>
      <c r="AB456" s="68">
        <f>AB450-AA450</f>
        <v/>
      </c>
      <c r="AC456" s="68">
        <f>AC450-AB450</f>
        <v/>
      </c>
      <c r="AD456" s="68">
        <f>AD450-AC450</f>
        <v/>
      </c>
      <c r="AE456" s="1110">
        <f>SUM(AA456,AB456,AC456,AD456)</f>
        <v/>
      </c>
      <c r="AF456" s="68">
        <f>AF450</f>
        <v/>
      </c>
      <c r="AG456" s="68">
        <f>AG450-AF450</f>
        <v/>
      </c>
      <c r="AH456" s="68">
        <f>AH450-AG450</f>
        <v/>
      </c>
      <c r="AI456" s="68" t="n"/>
      <c r="AJ456" s="1110" t="n"/>
      <c r="AK456" s="68" t="n"/>
      <c r="AL456" s="68" t="n"/>
      <c r="AM456" s="68" t="n"/>
      <c r="AN456" s="68" t="n"/>
      <c r="AO456" s="1110" t="n"/>
      <c r="AP456" s="68" t="n"/>
      <c r="AQ456" s="68" t="n"/>
      <c r="AR456" s="68" t="n"/>
      <c r="AS456" s="68" t="n"/>
      <c r="AT456" s="1110" t="n"/>
      <c r="AU456" s="68" t="n"/>
      <c r="AV456" s="68" t="n"/>
      <c r="AW456" s="68" t="n"/>
      <c r="AX456" s="68" t="n"/>
      <c r="AY456" s="1110" t="n"/>
      <c r="AZ456" s="68" t="n"/>
      <c r="BA456" s="68" t="n"/>
      <c r="BB456" s="68" t="n"/>
      <c r="BC456" s="68" t="n"/>
      <c r="BD456" s="1110" t="n"/>
      <c r="BE456" s="68" t="n"/>
      <c r="BF456" s="68" t="n"/>
      <c r="BG456" s="68" t="n"/>
      <c r="BH456" s="68" t="n"/>
      <c r="BI456" s="1110" t="n"/>
      <c r="BJ456" s="68" t="n"/>
      <c r="BK456" s="68" t="n"/>
      <c r="BL456" s="68" t="n"/>
      <c r="BM456" s="68" t="n"/>
      <c r="BN456" s="1110" t="n"/>
      <c r="BO456" s="68" t="n"/>
      <c r="BP456" s="68" t="n"/>
      <c r="BQ456" s="68" t="n"/>
      <c r="BR456" s="68" t="n"/>
      <c r="BS456" s="1110" t="n"/>
      <c r="BT456" s="68" t="n"/>
      <c r="BU456" s="68" t="n"/>
      <c r="BV456" s="588" t="n"/>
      <c r="BW456" s="68" t="n"/>
      <c r="BX456" s="1110" t="n"/>
      <c r="BY456" s="68" t="n"/>
      <c r="BZ456" s="68" t="n"/>
      <c r="CA456" s="68" t="n"/>
      <c r="CB456" s="68" t="n"/>
      <c r="CC456" s="1110" t="n"/>
      <c r="CD456" s="1110" t="n"/>
      <c r="CE456" s="1110" t="n"/>
      <c r="CF456" s="1110" t="n"/>
      <c r="CG456" s="27" t="n"/>
    </row>
    <row r="457" hidden="1" outlineLevel="3" ht="15" customFormat="1" customHeight="1" s="227">
      <c r="A457" s="572" t="inlineStr">
        <is>
          <t>Exercised Stock Options, mm options</t>
        </is>
      </c>
      <c r="B457" s="146" t="n"/>
      <c r="C457" s="1110">
        <f>C451</f>
        <v/>
      </c>
      <c r="D457" s="1110">
        <f>D451</f>
        <v/>
      </c>
      <c r="E457" s="1110">
        <f>E451</f>
        <v/>
      </c>
      <c r="F457" s="1110">
        <f>F451</f>
        <v/>
      </c>
      <c r="G457" s="68">
        <f>G451</f>
        <v/>
      </c>
      <c r="H457" s="68">
        <f>H451-G451</f>
        <v/>
      </c>
      <c r="I457" s="68">
        <f>I451-H451</f>
        <v/>
      </c>
      <c r="J457" s="68">
        <f>J451-I451</f>
        <v/>
      </c>
      <c r="K457" s="1110">
        <f>SUM(G457,H457,I457,J457)</f>
        <v/>
      </c>
      <c r="L457" s="68">
        <f>L451</f>
        <v/>
      </c>
      <c r="M457" s="68">
        <f>M451-L451</f>
        <v/>
      </c>
      <c r="N457" s="68">
        <f>N451-M451</f>
        <v/>
      </c>
      <c r="O457" s="68">
        <f>O451-N451</f>
        <v/>
      </c>
      <c r="P457" s="1110">
        <f>SUM(L457,M457,N457,O457)</f>
        <v/>
      </c>
      <c r="Q457" s="68">
        <f>Q451</f>
        <v/>
      </c>
      <c r="R457" s="68">
        <f>R451-Q451</f>
        <v/>
      </c>
      <c r="S457" s="68">
        <f>S451-R451</f>
        <v/>
      </c>
      <c r="T457" s="68">
        <f>T451-S451</f>
        <v/>
      </c>
      <c r="U457" s="1110">
        <f>SUM(Q457,R457,S457,T457)</f>
        <v/>
      </c>
      <c r="V457" s="68">
        <f>V451</f>
        <v/>
      </c>
      <c r="W457" s="68">
        <f>W451-V451</f>
        <v/>
      </c>
      <c r="X457" s="68">
        <f>X451-W451</f>
        <v/>
      </c>
      <c r="Y457" s="68">
        <f>Y451-X451</f>
        <v/>
      </c>
      <c r="Z457" s="1110">
        <f>SUM(V457,W457,X457,Y457)</f>
        <v/>
      </c>
      <c r="AA457" s="68">
        <f>AA451</f>
        <v/>
      </c>
      <c r="AB457" s="68">
        <f>AB451-AA451</f>
        <v/>
      </c>
      <c r="AC457" s="68">
        <f>AC451-AB451</f>
        <v/>
      </c>
      <c r="AD457" s="68">
        <f>AD451-AC451</f>
        <v/>
      </c>
      <c r="AE457" s="1110">
        <f>SUM(AA457,AB457,AC457,AD457)</f>
        <v/>
      </c>
      <c r="AF457" s="68">
        <f>AF451</f>
        <v/>
      </c>
      <c r="AG457" s="68">
        <f>AG451-AF451</f>
        <v/>
      </c>
      <c r="AH457" s="68">
        <f>AH451-AG451</f>
        <v/>
      </c>
      <c r="AI457" s="68" t="n"/>
      <c r="AJ457" s="1110" t="n"/>
      <c r="AK457" s="68" t="n"/>
      <c r="AL457" s="68" t="n"/>
      <c r="AM457" s="68" t="n"/>
      <c r="AN457" s="68" t="n"/>
      <c r="AO457" s="1110" t="n"/>
      <c r="AP457" s="68" t="n"/>
      <c r="AQ457" s="68" t="n"/>
      <c r="AR457" s="68" t="n"/>
      <c r="AS457" s="68" t="n"/>
      <c r="AT457" s="1110" t="n"/>
      <c r="AU457" s="68" t="n"/>
      <c r="AV457" s="68" t="n"/>
      <c r="AW457" s="68" t="n"/>
      <c r="AX457" s="68" t="n"/>
      <c r="AY457" s="1110" t="n"/>
      <c r="AZ457" s="68" t="n"/>
      <c r="BA457" s="68" t="n"/>
      <c r="BB457" s="68" t="n"/>
      <c r="BC457" s="68" t="n"/>
      <c r="BD457" s="1110" t="n"/>
      <c r="BE457" s="68" t="n"/>
      <c r="BF457" s="68" t="n"/>
      <c r="BG457" s="68" t="n"/>
      <c r="BH457" s="68" t="n"/>
      <c r="BI457" s="1110" t="n"/>
      <c r="BJ457" s="68" t="n"/>
      <c r="BK457" s="68" t="n"/>
      <c r="BL457" s="68" t="n"/>
      <c r="BM457" s="68" t="n"/>
      <c r="BN457" s="1110" t="n"/>
      <c r="BO457" s="68" t="n"/>
      <c r="BP457" s="68" t="n"/>
      <c r="BQ457" s="68" t="n"/>
      <c r="BR457" s="68" t="n"/>
      <c r="BS457" s="1110" t="n"/>
      <c r="BT457" s="68" t="n"/>
      <c r="BU457" s="68" t="n"/>
      <c r="BV457" s="588" t="n"/>
      <c r="BW457" s="68" t="n"/>
      <c r="BX457" s="1110" t="n"/>
      <c r="BY457" s="68" t="n"/>
      <c r="BZ457" s="68" t="n"/>
      <c r="CA457" s="68" t="n"/>
      <c r="CB457" s="68" t="n"/>
      <c r="CC457" s="1110" t="n"/>
      <c r="CD457" s="1110" t="n"/>
      <c r="CE457" s="1110" t="n"/>
      <c r="CF457" s="1110" t="n"/>
      <c r="CG457" s="27" t="n"/>
    </row>
    <row r="458" hidden="1" outlineLevel="3" ht="15" customFormat="1" customHeight="1" s="227">
      <c r="A458" s="649" t="inlineStr">
        <is>
          <t>Forfeited and Canceled Stock Options, mm options</t>
        </is>
      </c>
      <c r="B458" s="149" t="n"/>
      <c r="C458" s="1121">
        <f>C452</f>
        <v/>
      </c>
      <c r="D458" s="1121">
        <f>D452</f>
        <v/>
      </c>
      <c r="E458" s="1121">
        <f>E452</f>
        <v/>
      </c>
      <c r="F458" s="1121">
        <f>F452</f>
        <v/>
      </c>
      <c r="G458" s="109">
        <f>G452</f>
        <v/>
      </c>
      <c r="H458" s="109">
        <f>H452-G452</f>
        <v/>
      </c>
      <c r="I458" s="109">
        <f>I452-H452</f>
        <v/>
      </c>
      <c r="J458" s="109">
        <f>J452-I452</f>
        <v/>
      </c>
      <c r="K458" s="1121">
        <f>SUM(G458,H458,I458,J458)</f>
        <v/>
      </c>
      <c r="L458" s="109">
        <f>L452</f>
        <v/>
      </c>
      <c r="M458" s="109">
        <f>M452-L452</f>
        <v/>
      </c>
      <c r="N458" s="109">
        <f>N452-M452</f>
        <v/>
      </c>
      <c r="O458" s="109">
        <f>O452-N452</f>
        <v/>
      </c>
      <c r="P458" s="1121">
        <f>SUM(L458,M458,N458,O458)</f>
        <v/>
      </c>
      <c r="Q458" s="109">
        <f>Q452</f>
        <v/>
      </c>
      <c r="R458" s="109">
        <f>R452-Q452</f>
        <v/>
      </c>
      <c r="S458" s="109">
        <f>S452-R452</f>
        <v/>
      </c>
      <c r="T458" s="109">
        <f>T452-S452</f>
        <v/>
      </c>
      <c r="U458" s="1121">
        <f>SUM(Q458,R458,S458,T458)</f>
        <v/>
      </c>
      <c r="V458" s="109">
        <f>V452</f>
        <v/>
      </c>
      <c r="W458" s="109">
        <f>W452-V452</f>
        <v/>
      </c>
      <c r="X458" s="109">
        <f>X452-W452</f>
        <v/>
      </c>
      <c r="Y458" s="109">
        <f>Y452-X452</f>
        <v/>
      </c>
      <c r="Z458" s="1121">
        <f>SUM(V458,W458,X458,Y458)</f>
        <v/>
      </c>
      <c r="AA458" s="109">
        <f>AA452</f>
        <v/>
      </c>
      <c r="AB458" s="109">
        <f>AB452-AA452</f>
        <v/>
      </c>
      <c r="AC458" s="109">
        <f>AC452-AB452</f>
        <v/>
      </c>
      <c r="AD458" s="109">
        <f>AD452-AC452</f>
        <v/>
      </c>
      <c r="AE458" s="1121">
        <f>SUM(AA458,AB458,AC458,AD458)</f>
        <v/>
      </c>
      <c r="AF458" s="109">
        <f>AF452</f>
        <v/>
      </c>
      <c r="AG458" s="109">
        <f>AG452-AF452</f>
        <v/>
      </c>
      <c r="AH458" s="109">
        <f>AH452-AG452</f>
        <v/>
      </c>
      <c r="AI458" s="109" t="n"/>
      <c r="AJ458" s="1121" t="n"/>
      <c r="AK458" s="109" t="n"/>
      <c r="AL458" s="109" t="n"/>
      <c r="AM458" s="109" t="n"/>
      <c r="AN458" s="109" t="n"/>
      <c r="AO458" s="1121" t="n"/>
      <c r="AP458" s="109" t="n"/>
      <c r="AQ458" s="109" t="n"/>
      <c r="AR458" s="109" t="n"/>
      <c r="AS458" s="109" t="n"/>
      <c r="AT458" s="1121" t="n"/>
      <c r="AU458" s="109" t="n"/>
      <c r="AV458" s="109" t="n"/>
      <c r="AW458" s="109" t="n"/>
      <c r="AX458" s="109" t="n"/>
      <c r="AY458" s="1121" t="n"/>
      <c r="AZ458" s="109" t="n"/>
      <c r="BA458" s="109" t="n"/>
      <c r="BB458" s="109" t="n"/>
      <c r="BC458" s="109" t="n"/>
      <c r="BD458" s="1121" t="n"/>
      <c r="BE458" s="109" t="n"/>
      <c r="BF458" s="109" t="n"/>
      <c r="BG458" s="109" t="n"/>
      <c r="BH458" s="109" t="n"/>
      <c r="BI458" s="1121" t="n"/>
      <c r="BJ458" s="109" t="n"/>
      <c r="BK458" s="109" t="n"/>
      <c r="BL458" s="109" t="n"/>
      <c r="BM458" s="109" t="n"/>
      <c r="BN458" s="1121" t="n"/>
      <c r="BO458" s="109" t="n"/>
      <c r="BP458" s="109" t="n"/>
      <c r="BQ458" s="109" t="n"/>
      <c r="BR458" s="109" t="n"/>
      <c r="BS458" s="1121" t="n"/>
      <c r="BT458" s="109" t="n"/>
      <c r="BU458" s="109" t="n"/>
      <c r="BV458" s="730" t="n"/>
      <c r="BW458" s="109" t="n"/>
      <c r="BX458" s="1121" t="n"/>
      <c r="BY458" s="109" t="n"/>
      <c r="BZ458" s="109" t="n"/>
      <c r="CA458" s="109" t="n"/>
      <c r="CB458" s="109" t="n"/>
      <c r="CC458" s="1121" t="n"/>
      <c r="CD458" s="1121" t="n"/>
      <c r="CE458" s="1121" t="n"/>
      <c r="CF458" s="1121" t="n"/>
      <c r="CG458" s="27" t="n"/>
    </row>
    <row r="459" hidden="1" outlineLevel="2" collapsed="1" ht="15" customFormat="1" customHeight="1" s="227">
      <c r="A459" s="99" t="inlineStr">
        <is>
          <t>EoP Total Stock Options Outstanding, mm options</t>
        </is>
      </c>
      <c r="B459" s="146" t="n"/>
      <c r="C459" s="1110">
        <f>SUM(C455:C458)</f>
        <v/>
      </c>
      <c r="D459" s="1110">
        <f>SUM(D455:D458)</f>
        <v/>
      </c>
      <c r="E459" s="1110">
        <f>SUM(E455:E458)</f>
        <v/>
      </c>
      <c r="F459" s="1110">
        <f>SUM(F455:F458)</f>
        <v/>
      </c>
      <c r="G459" s="68">
        <f>SUM(G455:G458)</f>
        <v/>
      </c>
      <c r="H459" s="68">
        <f>SUM(H455:H458)</f>
        <v/>
      </c>
      <c r="I459" s="68">
        <f>SUM(I455:I458)</f>
        <v/>
      </c>
      <c r="J459" s="68">
        <f>SUM(J455:J458)</f>
        <v/>
      </c>
      <c r="K459" s="1110">
        <f>SUM(K455:K458)</f>
        <v/>
      </c>
      <c r="L459" s="68">
        <f>SUM(L455:L458)</f>
        <v/>
      </c>
      <c r="M459" s="68">
        <f>SUM(M455:M458)</f>
        <v/>
      </c>
      <c r="N459" s="68">
        <f>SUM(N455:N458)</f>
        <v/>
      </c>
      <c r="O459" s="68">
        <f>SUM(O455:O458)</f>
        <v/>
      </c>
      <c r="P459" s="1110">
        <f>SUM(P455:P458)</f>
        <v/>
      </c>
      <c r="Q459" s="68">
        <f>SUM(Q455:Q458)</f>
        <v/>
      </c>
      <c r="R459" s="68">
        <f>SUM(R455:R458)</f>
        <v/>
      </c>
      <c r="S459" s="68">
        <f>SUM(S455:S458)</f>
        <v/>
      </c>
      <c r="T459" s="68">
        <f>SUM(T455:T458)</f>
        <v/>
      </c>
      <c r="U459" s="1110">
        <f>U453</f>
        <v/>
      </c>
      <c r="V459" s="68">
        <f>SUM(V455:V458)</f>
        <v/>
      </c>
      <c r="W459" s="68">
        <f>SUM(W455:W458)</f>
        <v/>
      </c>
      <c r="X459" s="68">
        <f>SUM(X455:X458)</f>
        <v/>
      </c>
      <c r="Y459" s="68">
        <f>SUM(Y455:Y458)</f>
        <v/>
      </c>
      <c r="Z459" s="1110">
        <f>SUM(Z455:Z458)</f>
        <v/>
      </c>
      <c r="AA459" s="68">
        <f>SUM(AA455:AA458)</f>
        <v/>
      </c>
      <c r="AB459" s="68">
        <f>SUM(AB455:AB458)</f>
        <v/>
      </c>
      <c r="AC459" s="68">
        <f>SUM(AC455:AC458)</f>
        <v/>
      </c>
      <c r="AD459" s="68">
        <f>SUM(AD455:AD458)</f>
        <v/>
      </c>
      <c r="AE459" s="1110">
        <f>SUM(AE455:AE458)</f>
        <v/>
      </c>
      <c r="AF459" s="68">
        <f>SUM(AF455:AF458)</f>
        <v/>
      </c>
      <c r="AG459" s="68">
        <f>SUM(AG455:AG458)</f>
        <v/>
      </c>
      <c r="AH459" s="68">
        <f>SUM(AH455:AH458)</f>
        <v/>
      </c>
      <c r="AI459" s="68">
        <f>AJ459</f>
        <v/>
      </c>
      <c r="AJ459" s="1110">
        <f>AJ453</f>
        <v/>
      </c>
      <c r="AK459" s="68" t="n"/>
      <c r="AL459" s="68" t="n"/>
      <c r="AM459" s="68" t="n"/>
      <c r="AN459" s="68" t="n"/>
      <c r="AO459" s="1110" t="n"/>
      <c r="AP459" s="68" t="n"/>
      <c r="AQ459" s="68" t="n"/>
      <c r="AR459" s="68" t="n"/>
      <c r="AS459" s="68" t="n"/>
      <c r="AT459" s="1110" t="n"/>
      <c r="AU459" s="68" t="n"/>
      <c r="AV459" s="68" t="n"/>
      <c r="AW459" s="68" t="n"/>
      <c r="AX459" s="68" t="n"/>
      <c r="AY459" s="1110" t="n"/>
      <c r="AZ459" s="68" t="n"/>
      <c r="BA459" s="68" t="n"/>
      <c r="BB459" s="68" t="n"/>
      <c r="BC459" s="68" t="n"/>
      <c r="BD459" s="1110" t="n"/>
      <c r="BE459" s="68" t="n"/>
      <c r="BF459" s="68" t="n"/>
      <c r="BG459" s="68" t="n"/>
      <c r="BH459" s="68" t="n"/>
      <c r="BI459" s="1110" t="n"/>
      <c r="BJ459" s="68" t="n"/>
      <c r="BK459" s="68" t="n"/>
      <c r="BL459" s="68" t="n"/>
      <c r="BM459" s="68" t="n"/>
      <c r="BN459" s="1110" t="n"/>
      <c r="BO459" s="68" t="n"/>
      <c r="BP459" s="68" t="n"/>
      <c r="BQ459" s="68" t="n"/>
      <c r="BR459" s="68" t="n"/>
      <c r="BS459" s="1110" t="n"/>
      <c r="BT459" s="68" t="n"/>
      <c r="BU459" s="68" t="n"/>
      <c r="BV459" s="588" t="n"/>
      <c r="BW459" s="68" t="n"/>
      <c r="BX459" s="1110" t="n"/>
      <c r="BY459" s="68" t="n"/>
      <c r="BZ459" s="68" t="n"/>
      <c r="CA459" s="68" t="n"/>
      <c r="CB459" s="68" t="n"/>
      <c r="CC459" s="1110" t="n"/>
      <c r="CD459" s="1110" t="n"/>
      <c r="CE459" s="1110" t="n"/>
      <c r="CF459" s="1110" t="n"/>
      <c r="CG459" s="27" t="n"/>
    </row>
    <row r="460" hidden="1" outlineLevel="3" ht="15" customHeight="1">
      <c r="A460" s="492" t="n"/>
      <c r="B460" s="428" t="n"/>
      <c r="C460" s="1134" t="n"/>
      <c r="D460" s="1134" t="n"/>
      <c r="E460" s="1134" t="n"/>
      <c r="F460" s="1134" t="n"/>
      <c r="G460" s="93" t="n"/>
      <c r="H460" s="93" t="n"/>
      <c r="I460" s="93" t="n"/>
      <c r="J460" s="93" t="n"/>
      <c r="K460" s="1134" t="n"/>
      <c r="L460" s="93" t="n"/>
      <c r="M460" s="93" t="n"/>
      <c r="N460" s="93" t="n"/>
      <c r="O460" s="93" t="n"/>
      <c r="P460" s="1134" t="n"/>
      <c r="Q460" s="93" t="n"/>
      <c r="R460" s="93" t="n"/>
      <c r="S460" s="93" t="n"/>
      <c r="T460" s="93" t="n"/>
      <c r="U460" s="1134" t="n"/>
      <c r="V460" s="93" t="n"/>
      <c r="W460" s="93" t="n"/>
      <c r="X460" s="93" t="n"/>
      <c r="Y460" s="93" t="n"/>
      <c r="Z460" s="1134" t="n"/>
      <c r="AA460" s="93" t="n"/>
      <c r="AB460" s="93" t="n"/>
      <c r="AC460" s="93" t="n"/>
      <c r="AD460" s="93" t="n"/>
      <c r="AE460" s="1134" t="n"/>
      <c r="AF460" s="93" t="n"/>
      <c r="AG460" s="93" t="n"/>
      <c r="AH460" s="93" t="n"/>
      <c r="AI460" s="93" t="n"/>
      <c r="AJ460" s="1134" t="n"/>
      <c r="AK460" s="93" t="n"/>
      <c r="AL460" s="93" t="n"/>
      <c r="AM460" s="93" t="n"/>
      <c r="AN460" s="93" t="n"/>
      <c r="AO460" s="1134" t="n"/>
      <c r="AP460" s="93" t="n"/>
      <c r="AQ460" s="93" t="n"/>
      <c r="AR460" s="93" t="n"/>
      <c r="AS460" s="93" t="n"/>
      <c r="AT460" s="1134" t="n"/>
      <c r="AU460" s="93" t="n"/>
      <c r="AV460" s="93" t="n"/>
      <c r="AW460" s="93" t="n"/>
      <c r="AX460" s="93" t="n"/>
      <c r="AY460" s="1134" t="n"/>
      <c r="AZ460" s="93" t="n"/>
      <c r="BA460" s="93" t="n"/>
      <c r="BB460" s="93" t="n"/>
      <c r="BC460" s="93" t="n"/>
      <c r="BD460" s="1134" t="n"/>
      <c r="BE460" s="93" t="n"/>
      <c r="BF460" s="93" t="n"/>
      <c r="BG460" s="93" t="n"/>
      <c r="BH460" s="93" t="n"/>
      <c r="BI460" s="1134" t="n"/>
      <c r="BJ460" s="93" t="n"/>
      <c r="BK460" s="93" t="n"/>
      <c r="BL460" s="93" t="n"/>
      <c r="BM460" s="93" t="n"/>
      <c r="BN460" s="1134" t="n"/>
      <c r="BO460" s="93" t="n"/>
      <c r="BP460" s="93" t="n"/>
      <c r="BQ460" s="93" t="n"/>
      <c r="BR460" s="93" t="n"/>
      <c r="BS460" s="1134" t="n"/>
      <c r="BT460" s="93" t="n"/>
      <c r="BU460" s="93" t="n"/>
      <c r="BV460" s="522" t="n"/>
      <c r="BW460" s="93" t="n"/>
      <c r="BX460" s="1134" t="n"/>
      <c r="BY460" s="93" t="n"/>
      <c r="BZ460" s="93" t="n"/>
      <c r="CA460" s="93" t="n"/>
      <c r="CB460" s="93" t="n"/>
      <c r="CC460" s="1134" t="n"/>
      <c r="CD460" s="1134" t="n"/>
      <c r="CE460" s="1134" t="n"/>
      <c r="CF460" s="1134" t="n"/>
      <c r="CG460" s="228" t="n"/>
    </row>
    <row r="461" hidden="1" outlineLevel="3" ht="15" customFormat="1" customHeight="1" s="1385">
      <c r="A461" s="1386" t="inlineStr">
        <is>
          <t>Cumulative BoP Weighted Average Exercise Price, $/share</t>
        </is>
      </c>
      <c r="B461" s="1387" t="n"/>
      <c r="C461" s="1388">
        <f>13.18*(1/4)*(1/10)</f>
        <v/>
      </c>
      <c r="D461" s="1388">
        <f>13.83*(1/4)*(1/10)</f>
        <v/>
      </c>
      <c r="E461" s="1388">
        <f>11.3*(1/4)*(1/10)</f>
        <v/>
      </c>
      <c r="F461" s="1388">
        <f>12.88*(1/4)*(1/10)</f>
        <v/>
      </c>
      <c r="G461" s="1389">
        <f>14.44*(1/4)*(1/10)</f>
        <v/>
      </c>
      <c r="H461" s="1389">
        <f>14.44*(1/4)*(1/10)</f>
        <v/>
      </c>
      <c r="I461" s="1389">
        <f>14.44*(1/4)*(1/10)</f>
        <v/>
      </c>
      <c r="J461" s="1390">
        <f>K461</f>
        <v/>
      </c>
      <c r="K461" s="1388">
        <f>14.44*(1/4)*(1/10)</f>
        <v/>
      </c>
      <c r="L461" s="1389">
        <f>14.66*(1/4)*(1/10)</f>
        <v/>
      </c>
      <c r="M461" s="1389">
        <f>14.66*(1/4)*(1/10)</f>
        <v/>
      </c>
      <c r="N461" s="1389">
        <f>14.66*(1/4)*(1/10)</f>
        <v/>
      </c>
      <c r="O461" s="1390">
        <f>P461</f>
        <v/>
      </c>
      <c r="P461" s="1388">
        <f>14.66*(1/4)*(1/10)</f>
        <v/>
      </c>
      <c r="Q461" s="1389">
        <f>14.22*(1/4)*(1/10)</f>
        <v/>
      </c>
      <c r="R461" s="1389">
        <f>14.22*(1/4)*(1/10)</f>
        <v/>
      </c>
      <c r="S461" s="1389">
        <f>14.22*(1/4)*(1/10)</f>
        <v/>
      </c>
      <c r="T461" s="1390">
        <f>U461</f>
        <v/>
      </c>
      <c r="U461" s="1388">
        <f>14.22*(1/4)*(1/10)</f>
        <v/>
      </c>
      <c r="V461" s="1389">
        <f>14.61*(1/4)*(1/10)</f>
        <v/>
      </c>
      <c r="W461" s="1389">
        <f>14.61*(1/4)*(1/10)</f>
        <v/>
      </c>
      <c r="X461" s="1389">
        <f>14.61*(1/4)*(1/10)</f>
        <v/>
      </c>
      <c r="Y461" s="1390">
        <f>Z461</f>
        <v/>
      </c>
      <c r="Z461" s="1388">
        <f>14.61*(1/4)*(1/10)</f>
        <v/>
      </c>
      <c r="AA461" s="1389">
        <f>14.49*(1/4)*(1/10)</f>
        <v/>
      </c>
      <c r="AB461" s="1389">
        <f>14.49*(1/4)*(1/10)</f>
        <v/>
      </c>
      <c r="AC461" s="1389">
        <f>14.49*(1/4)*(1/10)</f>
        <v/>
      </c>
      <c r="AD461" s="1390">
        <f>AE461</f>
        <v/>
      </c>
      <c r="AE461" s="1388">
        <f>14.49*(1/4)*(1/10)</f>
        <v/>
      </c>
      <c r="AF461" s="1389">
        <f>14.47*(1/4)*(1/10)</f>
        <v/>
      </c>
      <c r="AG461" s="1389">
        <f>14.47*(1/4)*(1/10)</f>
        <v/>
      </c>
      <c r="AH461" s="1389">
        <f>14.47*(1/4)*(1/10)</f>
        <v/>
      </c>
      <c r="AI461" s="1390" t="n"/>
      <c r="AJ461" s="1391" t="n"/>
      <c r="AK461" s="1390" t="n"/>
      <c r="AL461" s="1390" t="n"/>
      <c r="AM461" s="1390" t="n"/>
      <c r="AN461" s="1390" t="n"/>
      <c r="AO461" s="1391" t="n"/>
      <c r="AP461" s="1390" t="n"/>
      <c r="AQ461" s="1390" t="n"/>
      <c r="AR461" s="1390" t="n"/>
      <c r="AS461" s="1390" t="n"/>
      <c r="AT461" s="1391" t="n"/>
      <c r="AU461" s="1390" t="n"/>
      <c r="AV461" s="1390" t="n"/>
      <c r="AW461" s="1390" t="n"/>
      <c r="AX461" s="1390" t="n"/>
      <c r="AY461" s="1391" t="n"/>
      <c r="AZ461" s="1390" t="n"/>
      <c r="BA461" s="1390" t="n"/>
      <c r="BB461" s="1390" t="n"/>
      <c r="BC461" s="1390" t="n"/>
      <c r="BD461" s="1391" t="n"/>
      <c r="BE461" s="1390" t="n"/>
      <c r="BF461" s="1390" t="n"/>
      <c r="BG461" s="1390" t="n"/>
      <c r="BH461" s="1390" t="n"/>
      <c r="BI461" s="1391" t="n"/>
      <c r="BJ461" s="1390" t="n"/>
      <c r="BK461" s="1390" t="n"/>
      <c r="BL461" s="1390" t="n"/>
      <c r="BM461" s="1390" t="n"/>
      <c r="BN461" s="1391" t="n"/>
      <c r="BO461" s="1390" t="n"/>
      <c r="BP461" s="1390" t="n"/>
      <c r="BQ461" s="1390" t="n"/>
      <c r="BR461" s="1390" t="n"/>
      <c r="BS461" s="1391" t="n"/>
      <c r="BT461" s="1390" t="n"/>
      <c r="BU461" s="1390" t="n"/>
      <c r="BV461" s="1392" t="n"/>
      <c r="BW461" s="1390" t="n"/>
      <c r="BX461" s="1391" t="n"/>
      <c r="BY461" s="1390" t="n"/>
      <c r="BZ461" s="1390" t="n"/>
      <c r="CA461" s="1390" t="n"/>
      <c r="CB461" s="1390" t="n"/>
      <c r="CC461" s="1391" t="n"/>
      <c r="CD461" s="1391" t="n"/>
      <c r="CE461" s="1391" t="n"/>
      <c r="CF461" s="1391" t="n"/>
      <c r="CG461" s="1393" t="n"/>
    </row>
    <row r="462" hidden="1" outlineLevel="3" ht="15" customFormat="1" customHeight="1" s="1385">
      <c r="A462" s="1394" t="inlineStr">
        <is>
          <t>Cumulative Granted Average Exercise Price, $/share</t>
        </is>
      </c>
      <c r="B462" s="1387" t="n"/>
      <c r="C462" s="1388">
        <f>8.03*(1/4)*(1/10)</f>
        <v/>
      </c>
      <c r="D462" s="1388">
        <f>11.51*(1/4)*(1/10)</f>
        <v/>
      </c>
      <c r="E462" s="1388">
        <f>13.79*(1/4)*(1/10)</f>
        <v/>
      </c>
      <c r="F462" s="1388">
        <f>16.18*(1/4)*(1/10)</f>
        <v/>
      </c>
      <c r="G462" s="1389">
        <f>14.54*(1/4)*(1/10)</f>
        <v/>
      </c>
      <c r="H462" s="1389">
        <f>14.14*(1/4)*(1/10)</f>
        <v/>
      </c>
      <c r="I462" s="1389">
        <f>13.94*(1/4)*(1/10)</f>
        <v/>
      </c>
      <c r="J462" s="1390">
        <f>K462</f>
        <v/>
      </c>
      <c r="K462" s="1388">
        <f>13.88*(1/4)*(1/10)</f>
        <v/>
      </c>
      <c r="L462" s="1389">
        <f>12.62*(1/4)*(1/10)</f>
        <v/>
      </c>
      <c r="M462" s="1389">
        <f>12.9*(1/4)*(1/10)</f>
        <v/>
      </c>
      <c r="N462" s="1389">
        <f>14.29*(1/4)*(1/10)</f>
        <v/>
      </c>
      <c r="O462" s="1390">
        <f>P462</f>
        <v/>
      </c>
      <c r="P462" s="1388">
        <f>14.3*(1/4)*(1/10)</f>
        <v/>
      </c>
      <c r="Q462" s="1389">
        <f>17.2*(1/4)*(1/10)</f>
        <v/>
      </c>
      <c r="R462" s="1389">
        <f>18.66*(1/4)*(1/10)</f>
        <v/>
      </c>
      <c r="S462" s="1389">
        <f>18.66*(1/4)*(1/10)</f>
        <v/>
      </c>
      <c r="T462" s="1390">
        <f>U462</f>
        <v/>
      </c>
      <c r="U462" s="1388">
        <f>18.75*(1/4)*(1/10)</f>
        <v/>
      </c>
      <c r="V462" s="1390" t="n"/>
      <c r="W462" s="1390" t="n"/>
      <c r="X462" s="1390" t="n"/>
      <c r="Y462" s="1390" t="n"/>
      <c r="Z462" s="1391" t="n"/>
      <c r="AA462" s="1390" t="n"/>
      <c r="AB462" s="1390" t="n"/>
      <c r="AC462" s="1390" t="n"/>
      <c r="AD462" s="1390" t="n"/>
      <c r="AE462" s="1391" t="n"/>
      <c r="AF462" s="1390" t="n"/>
      <c r="AG462" s="1390" t="n"/>
      <c r="AH462" s="1390" t="n"/>
      <c r="AI462" s="1390" t="n"/>
      <c r="AJ462" s="1391" t="n"/>
      <c r="AK462" s="1390" t="n"/>
      <c r="AL462" s="1390" t="n"/>
      <c r="AM462" s="1390" t="n"/>
      <c r="AN462" s="1390" t="n"/>
      <c r="AO462" s="1391" t="n"/>
      <c r="AP462" s="1390" t="n"/>
      <c r="AQ462" s="1390" t="n"/>
      <c r="AR462" s="1390" t="n"/>
      <c r="AS462" s="1390" t="n"/>
      <c r="AT462" s="1391" t="n"/>
      <c r="AU462" s="1390" t="n"/>
      <c r="AV462" s="1390" t="n"/>
      <c r="AW462" s="1390" t="n"/>
      <c r="AX462" s="1390" t="n"/>
      <c r="AY462" s="1391" t="n"/>
      <c r="AZ462" s="1390" t="n"/>
      <c r="BA462" s="1390" t="n"/>
      <c r="BB462" s="1390" t="n"/>
      <c r="BC462" s="1390" t="n"/>
      <c r="BD462" s="1391" t="n"/>
      <c r="BE462" s="1390" t="n"/>
      <c r="BF462" s="1390" t="n"/>
      <c r="BG462" s="1390" t="n"/>
      <c r="BH462" s="1390" t="n"/>
      <c r="BI462" s="1391" t="n"/>
      <c r="BJ462" s="1390" t="n"/>
      <c r="BK462" s="1390" t="n"/>
      <c r="BL462" s="1390" t="n"/>
      <c r="BM462" s="1390" t="n"/>
      <c r="BN462" s="1391" t="n"/>
      <c r="BO462" s="1390" t="n"/>
      <c r="BP462" s="1390" t="n"/>
      <c r="BQ462" s="1390" t="n"/>
      <c r="BR462" s="1390" t="n"/>
      <c r="BS462" s="1391" t="n"/>
      <c r="BT462" s="1390" t="n"/>
      <c r="BU462" s="1390" t="n"/>
      <c r="BV462" s="1392" t="n"/>
      <c r="BW462" s="1390" t="n"/>
      <c r="BX462" s="1391" t="n"/>
      <c r="BY462" s="1390" t="n"/>
      <c r="BZ462" s="1390" t="n"/>
      <c r="CA462" s="1390" t="n"/>
      <c r="CB462" s="1390" t="n"/>
      <c r="CC462" s="1391" t="n"/>
      <c r="CD462" s="1391" t="n"/>
      <c r="CE462" s="1391" t="n"/>
      <c r="CF462" s="1391" t="n"/>
      <c r="CG462" s="1393" t="n"/>
    </row>
    <row r="463" hidden="1" outlineLevel="3" ht="15" customFormat="1" customHeight="1" s="1385">
      <c r="A463" s="1394" t="inlineStr">
        <is>
          <t>Cumulative Exercised Average Exercise Price, $/share</t>
        </is>
      </c>
      <c r="B463" s="1387" t="n"/>
      <c r="C463" s="1388">
        <f>3.14*(1/4)*(1/10)</f>
        <v/>
      </c>
      <c r="D463" s="1388">
        <f>5.74*(1/4)*(1/10)</f>
        <v/>
      </c>
      <c r="E463" s="1388">
        <f>8.16*(1/4)*(1/10)</f>
        <v/>
      </c>
      <c r="F463" s="1388">
        <f>10.7*(1/4)*(1/10)</f>
        <v/>
      </c>
      <c r="G463" s="1389">
        <f>9.72*(1/4)*(1/10)</f>
        <v/>
      </c>
      <c r="H463" s="1389">
        <f>9.13*(1/4)*(1/10)</f>
        <v/>
      </c>
      <c r="I463" s="1389">
        <f>8.79*(1/4)*(1/10)</f>
        <v/>
      </c>
      <c r="J463" s="1390">
        <f>K463</f>
        <v/>
      </c>
      <c r="K463" s="1388">
        <f>8.66*(1/4)*(1/10)</f>
        <v/>
      </c>
      <c r="L463" s="1389">
        <f>8.41*(1/4)*(1/10)</f>
        <v/>
      </c>
      <c r="M463" s="1389">
        <f>9.57*(1/4)*(1/10)</f>
        <v/>
      </c>
      <c r="N463" s="1389">
        <f>10.15*(1/4)*(1/10)</f>
        <v/>
      </c>
      <c r="O463" s="1390">
        <f>P463</f>
        <v/>
      </c>
      <c r="P463" s="1388">
        <f>10.26*(1/4)*(1/10)</f>
        <v/>
      </c>
      <c r="Q463" s="1389">
        <f>13.14*(1/4)*(1/10)</f>
        <v/>
      </c>
      <c r="R463" s="1389">
        <f>12.89*(1/4)*(1/10)</f>
        <v/>
      </c>
      <c r="S463" s="1389">
        <f>12.59*(1/4)*(1/10)</f>
        <v/>
      </c>
      <c r="T463" s="1390">
        <f>U463</f>
        <v/>
      </c>
      <c r="U463" s="1388">
        <f>12.64*(1/4)*(1/10)</f>
        <v/>
      </c>
      <c r="V463" s="1389">
        <f>13.87*(1/4)*(1/10)</f>
        <v/>
      </c>
      <c r="W463" s="1389">
        <f>14.16*(1/4)*(1/10)</f>
        <v/>
      </c>
      <c r="X463" s="1389">
        <f>14.48*(1/4)*(1/10)</f>
        <v/>
      </c>
      <c r="Y463" s="1390">
        <f>Z463</f>
        <v/>
      </c>
      <c r="Z463" s="1388">
        <f>14.6*(1/4)*(1/10)</f>
        <v/>
      </c>
      <c r="AA463" s="1389">
        <f>14.05*(1/4)*(1/10)</f>
        <v/>
      </c>
      <c r="AB463" s="1389">
        <f>14.26*(1/4)*(1/10)</f>
        <v/>
      </c>
      <c r="AC463" s="1389">
        <f>14.44*(1/4)*(1/10)</f>
        <v/>
      </c>
      <c r="AD463" s="1390">
        <f>AE463</f>
        <v/>
      </c>
      <c r="AE463" s="1388">
        <f>14.52*(1/4)*(1/10)</f>
        <v/>
      </c>
      <c r="AF463" s="1389">
        <f>14.73*(1/4)*(1/10)</f>
        <v/>
      </c>
      <c r="AG463" s="1389">
        <f>14.51*(1/4)*(1/10)</f>
        <v/>
      </c>
      <c r="AH463" s="1389">
        <f>14.46*(1/4)*(1/10)</f>
        <v/>
      </c>
      <c r="AI463" s="1390" t="n"/>
      <c r="AJ463" s="1391" t="n"/>
      <c r="AK463" s="1390" t="n"/>
      <c r="AL463" s="1390" t="n"/>
      <c r="AM463" s="1390" t="n"/>
      <c r="AN463" s="1390" t="n"/>
      <c r="AO463" s="1391" t="n"/>
      <c r="AP463" s="1390" t="n"/>
      <c r="AQ463" s="1390" t="n"/>
      <c r="AR463" s="1390" t="n"/>
      <c r="AS463" s="1390" t="n"/>
      <c r="AT463" s="1391" t="n"/>
      <c r="AU463" s="1390" t="n"/>
      <c r="AV463" s="1390" t="n"/>
      <c r="AW463" s="1390" t="n"/>
      <c r="AX463" s="1390" t="n"/>
      <c r="AY463" s="1391" t="n"/>
      <c r="AZ463" s="1390" t="n"/>
      <c r="BA463" s="1390" t="n"/>
      <c r="BB463" s="1390" t="n"/>
      <c r="BC463" s="1390" t="n"/>
      <c r="BD463" s="1391" t="n"/>
      <c r="BE463" s="1390" t="n"/>
      <c r="BF463" s="1390" t="n"/>
      <c r="BG463" s="1390" t="n"/>
      <c r="BH463" s="1390" t="n"/>
      <c r="BI463" s="1391" t="n"/>
      <c r="BJ463" s="1390" t="n"/>
      <c r="BK463" s="1390" t="n"/>
      <c r="BL463" s="1390" t="n"/>
      <c r="BM463" s="1390" t="n"/>
      <c r="BN463" s="1391" t="n"/>
      <c r="BO463" s="1390" t="n"/>
      <c r="BP463" s="1390" t="n"/>
      <c r="BQ463" s="1390" t="n"/>
      <c r="BR463" s="1390" t="n"/>
      <c r="BS463" s="1391" t="n"/>
      <c r="BT463" s="1390" t="n"/>
      <c r="BU463" s="1390" t="n"/>
      <c r="BV463" s="1392" t="n"/>
      <c r="BW463" s="1390" t="n"/>
      <c r="BX463" s="1391" t="n"/>
      <c r="BY463" s="1390" t="n"/>
      <c r="BZ463" s="1390" t="n"/>
      <c r="CA463" s="1390" t="n"/>
      <c r="CB463" s="1390" t="n"/>
      <c r="CC463" s="1391" t="n"/>
      <c r="CD463" s="1391" t="n"/>
      <c r="CE463" s="1391" t="n"/>
      <c r="CF463" s="1391" t="n"/>
      <c r="CG463" s="1393" t="n"/>
    </row>
    <row r="464" hidden="1" outlineLevel="3" ht="15" customFormat="1" customHeight="1" s="1385">
      <c r="A464" s="1395" t="inlineStr">
        <is>
          <t>Cumulative Forfeited and Canceled Average Exercise Price, $/share</t>
        </is>
      </c>
      <c r="B464" s="1396" t="n"/>
      <c r="C464" s="1397">
        <f>7.66*(1/4)*(1/10)</f>
        <v/>
      </c>
      <c r="D464" s="1397">
        <f>((12.9*1.175541+23.35*28.53205)/(1.175541+28.53205))*(1/4)*(1/10)</f>
        <v/>
      </c>
      <c r="E464" s="1397">
        <f>12.56*(1/4)*(1/10)</f>
        <v/>
      </c>
      <c r="F464" s="1397">
        <f>14.78*(1/4)*(1/10)</f>
        <v/>
      </c>
      <c r="G464" s="1398">
        <f>17.32*(1/4)*(1/10)</f>
        <v/>
      </c>
      <c r="H464" s="1398">
        <f>16.94*(1/4)*(1/10)</f>
        <v/>
      </c>
      <c r="I464" s="1398">
        <f>16.98*(1/4)*(1/10)</f>
        <v/>
      </c>
      <c r="J464" s="1399">
        <f>K464</f>
        <v/>
      </c>
      <c r="K464" s="1397">
        <f>17.04*(1/4)*(1/10)</f>
        <v/>
      </c>
      <c r="L464" s="1398">
        <f>19.52*(1/4)*(1/10)</f>
        <v/>
      </c>
      <c r="M464" s="1398">
        <f>19.89*(1/4)*(1/10)</f>
        <v/>
      </c>
      <c r="N464" s="1398">
        <f>22.14*(1/4)*(1/10)</f>
        <v/>
      </c>
      <c r="O464" s="1399">
        <f>P464</f>
        <v/>
      </c>
      <c r="P464" s="1397">
        <f>21.85*(1/4)*(1/10)</f>
        <v/>
      </c>
      <c r="Q464" s="1398">
        <f>20.31*(1/4)*(1/10)</f>
        <v/>
      </c>
      <c r="R464" s="1398">
        <f>18.89*(1/4)*(1/10)</f>
        <v/>
      </c>
      <c r="S464" s="1398">
        <f>19.49*(1/4)*(1/10)</f>
        <v/>
      </c>
      <c r="T464" s="1399">
        <f>U464</f>
        <v/>
      </c>
      <c r="U464" s="1397">
        <f>19.27*(1/4)*(1/10)</f>
        <v/>
      </c>
      <c r="V464" s="1399" t="n"/>
      <c r="W464" s="1399" t="n"/>
      <c r="X464" s="1399" t="n"/>
      <c r="Y464" s="1399">
        <f>Z464</f>
        <v/>
      </c>
      <c r="Z464" s="1397">
        <f>17.28*(1/4)*(1/10)</f>
        <v/>
      </c>
      <c r="AA464" s="1399" t="n"/>
      <c r="AB464" s="1399" t="n"/>
      <c r="AC464" s="1399" t="n"/>
      <c r="AD464" s="1399" t="n"/>
      <c r="AE464" s="1400" t="n"/>
      <c r="AF464" s="1399" t="n"/>
      <c r="AG464" s="1399" t="n"/>
      <c r="AH464" s="1399" t="n"/>
      <c r="AI464" s="1399" t="n"/>
      <c r="AJ464" s="1400" t="n"/>
      <c r="AK464" s="1399" t="n"/>
      <c r="AL464" s="1399" t="n"/>
      <c r="AM464" s="1399" t="n"/>
      <c r="AN464" s="1399" t="n"/>
      <c r="AO464" s="1400" t="n"/>
      <c r="AP464" s="1399" t="n"/>
      <c r="AQ464" s="1399" t="n"/>
      <c r="AR464" s="1399" t="n"/>
      <c r="AS464" s="1399" t="n"/>
      <c r="AT464" s="1400" t="n"/>
      <c r="AU464" s="1399" t="n"/>
      <c r="AV464" s="1399" t="n"/>
      <c r="AW464" s="1399" t="n"/>
      <c r="AX464" s="1399" t="n"/>
      <c r="AY464" s="1400" t="n"/>
      <c r="AZ464" s="1399" t="n"/>
      <c r="BA464" s="1399" t="n"/>
      <c r="BB464" s="1399" t="n"/>
      <c r="BC464" s="1399" t="n"/>
      <c r="BD464" s="1400" t="n"/>
      <c r="BE464" s="1399" t="n"/>
      <c r="BF464" s="1399" t="n"/>
      <c r="BG464" s="1399" t="n"/>
      <c r="BH464" s="1399" t="n"/>
      <c r="BI464" s="1400" t="n"/>
      <c r="BJ464" s="1399" t="n"/>
      <c r="BK464" s="1399" t="n"/>
      <c r="BL464" s="1399" t="n"/>
      <c r="BM464" s="1399" t="n"/>
      <c r="BN464" s="1400" t="n"/>
      <c r="BO464" s="1399" t="n"/>
      <c r="BP464" s="1399" t="n"/>
      <c r="BQ464" s="1399" t="n"/>
      <c r="BR464" s="1399" t="n"/>
      <c r="BS464" s="1400" t="n"/>
      <c r="BT464" s="1399" t="n"/>
      <c r="BU464" s="1399" t="n"/>
      <c r="BV464" s="1401" t="n"/>
      <c r="BW464" s="1399" t="n"/>
      <c r="BX464" s="1400" t="n"/>
      <c r="BY464" s="1399" t="n"/>
      <c r="BZ464" s="1399" t="n"/>
      <c r="CA464" s="1399" t="n"/>
      <c r="CB464" s="1399" t="n"/>
      <c r="CC464" s="1400" t="n"/>
      <c r="CD464" s="1400" t="n"/>
      <c r="CE464" s="1400" t="n"/>
      <c r="CF464" s="1400" t="n"/>
      <c r="CG464" s="1393" t="n"/>
    </row>
    <row r="465" hidden="1" outlineLevel="3" ht="15" customFormat="1" customHeight="1" s="1385">
      <c r="A465" s="1386" t="inlineStr">
        <is>
          <t>Cumulative EoP Weighted Average Exercise Price, $/share</t>
        </is>
      </c>
      <c r="B465" s="1387" t="n"/>
      <c r="C465" s="1388">
        <f>13.83*(1/4)*(1/10)</f>
        <v/>
      </c>
      <c r="D465" s="1388">
        <f>11.3*(1/4)*(1/10)</f>
        <v/>
      </c>
      <c r="E465" s="1388">
        <f>12.88*(1/4)*(1/10)</f>
        <v/>
      </c>
      <c r="F465" s="1388">
        <f>14.44*(1/4)*(1/10)</f>
        <v/>
      </c>
      <c r="G465" s="1389">
        <f>14.61*(1/4)*(1/10)</f>
        <v/>
      </c>
      <c r="H465" s="1389">
        <f>14.71*(1/4)*(1/10)</f>
        <v/>
      </c>
      <c r="I465" s="1389">
        <f>14.66*(1/4)*(1/10)</f>
        <v/>
      </c>
      <c r="J465" s="1390">
        <f>K465</f>
        <v/>
      </c>
      <c r="K465" s="1388">
        <f>14.66*(1/4)*(1/10)</f>
        <v/>
      </c>
      <c r="L465" s="1389">
        <f>14.31*(1/4)*(1/10)</f>
        <v/>
      </c>
      <c r="M465" s="1389">
        <f>14.28*(1/4)*(1/10)</f>
        <v/>
      </c>
      <c r="N465" s="1389">
        <f>14.18*(1/4)*(1/10)</f>
        <v/>
      </c>
      <c r="O465" s="1390">
        <f>P465</f>
        <v/>
      </c>
      <c r="P465" s="1388">
        <f>14.22*(1/4)*(1/10)</f>
        <v/>
      </c>
      <c r="Q465" s="1389">
        <f>14.3*(1/4)*(1/10)</f>
        <v/>
      </c>
      <c r="R465" s="1389">
        <f>14.39*(1/4)*(1/10)</f>
        <v/>
      </c>
      <c r="S465" s="1389">
        <f>14.48*(1/4)*(1/10)</f>
        <v/>
      </c>
      <c r="T465" s="1390">
        <f>U465</f>
        <v/>
      </c>
      <c r="U465" s="1388">
        <f>14.61*(1/4)*(1/10)</f>
        <v/>
      </c>
      <c r="V465" s="1389">
        <f>14.63*(1/4)*(1/10)</f>
        <v/>
      </c>
      <c r="W465" s="1389">
        <f>14.61*(1/4)*(1/10)</f>
        <v/>
      </c>
      <c r="X465" s="1389">
        <f>14.55*(1/4)*(1/10)</f>
        <v/>
      </c>
      <c r="Y465" s="1390">
        <f>Z465</f>
        <v/>
      </c>
      <c r="Z465" s="1388">
        <f>14.49*(1/4)*(1/10)</f>
        <v/>
      </c>
      <c r="AA465" s="1389">
        <f>14.57*(1/4)*(1/10)</f>
        <v/>
      </c>
      <c r="AB465" s="1389">
        <f>14.57*(1/4)*(1/10)</f>
        <v/>
      </c>
      <c r="AC465" s="1389">
        <f>14.52*(1/4)*(1/10)</f>
        <v/>
      </c>
      <c r="AD465" s="1390">
        <f>AE465</f>
        <v/>
      </c>
      <c r="AE465" s="1388">
        <f>14.47*(1/4)*(1/10)</f>
        <v/>
      </c>
      <c r="AF465" s="1389">
        <f>14.43*(1/4)*(1/10)</f>
        <v/>
      </c>
      <c r="AG465" s="1389">
        <f>14.46*(1/4)*(1/10)</f>
        <v/>
      </c>
      <c r="AH465" s="1389">
        <f>14.47*(1/4)*(1/10)</f>
        <v/>
      </c>
      <c r="AI465" s="1390">
        <f>AH465</f>
        <v/>
      </c>
      <c r="AJ465" s="1391">
        <f>AH465</f>
        <v/>
      </c>
      <c r="AK465" s="1390" t="n"/>
      <c r="AL465" s="1390" t="n"/>
      <c r="AM465" s="1390" t="n"/>
      <c r="AN465" s="1390" t="n"/>
      <c r="AO465" s="1391" t="n"/>
      <c r="AP465" s="1390" t="n"/>
      <c r="AQ465" s="1390" t="n"/>
      <c r="AR465" s="1390" t="n"/>
      <c r="AS465" s="1390" t="n"/>
      <c r="AT465" s="1391" t="n"/>
      <c r="AU465" s="1390" t="n"/>
      <c r="AV465" s="1390" t="n"/>
      <c r="AW465" s="1390" t="n"/>
      <c r="AX465" s="1390" t="n"/>
      <c r="AY465" s="1391" t="n"/>
      <c r="AZ465" s="1390" t="n"/>
      <c r="BA465" s="1390" t="n"/>
      <c r="BB465" s="1390" t="n"/>
      <c r="BC465" s="1390" t="n"/>
      <c r="BD465" s="1391" t="n"/>
      <c r="BE465" s="1390" t="n"/>
      <c r="BF465" s="1390" t="n"/>
      <c r="BG465" s="1390" t="n"/>
      <c r="BH465" s="1390" t="n"/>
      <c r="BI465" s="1391" t="n"/>
      <c r="BJ465" s="1390" t="n"/>
      <c r="BK465" s="1390" t="n"/>
      <c r="BL465" s="1390" t="n"/>
      <c r="BM465" s="1390" t="n"/>
      <c r="BN465" s="1391" t="n"/>
      <c r="BO465" s="1390" t="n"/>
      <c r="BP465" s="1390" t="n"/>
      <c r="BQ465" s="1390" t="n"/>
      <c r="BR465" s="1390" t="n"/>
      <c r="BS465" s="1391" t="n"/>
      <c r="BT465" s="1390" t="n"/>
      <c r="BU465" s="1390" t="n"/>
      <c r="BV465" s="1392" t="n"/>
      <c r="BW465" s="1390" t="n"/>
      <c r="BX465" s="1391" t="n"/>
      <c r="BY465" s="1390" t="n"/>
      <c r="BZ465" s="1390" t="n"/>
      <c r="CA465" s="1390" t="n"/>
      <c r="CB465" s="1390" t="n"/>
      <c r="CC465" s="1391" t="n"/>
      <c r="CD465" s="1391" t="n"/>
      <c r="CE465" s="1391" t="n"/>
      <c r="CF465" s="1391" t="n"/>
      <c r="CG465" s="1393" t="n"/>
    </row>
    <row r="466" hidden="1" outlineLevel="3" ht="15" customHeight="1">
      <c r="A466" s="492" t="n"/>
      <c r="B466" s="428" t="n"/>
      <c r="C466" s="1134" t="n"/>
      <c r="D466" s="1134" t="n"/>
      <c r="E466" s="1134" t="n"/>
      <c r="F466" s="1134" t="n"/>
      <c r="G466" s="93" t="n"/>
      <c r="H466" s="93" t="n"/>
      <c r="I466" s="93" t="n"/>
      <c r="J466" s="93" t="n"/>
      <c r="K466" s="1134" t="n"/>
      <c r="L466" s="93" t="n"/>
      <c r="M466" s="93" t="n"/>
      <c r="N466" s="93" t="n"/>
      <c r="O466" s="93" t="n"/>
      <c r="P466" s="1134" t="n"/>
      <c r="Q466" s="93" t="n"/>
      <c r="R466" s="93" t="n"/>
      <c r="S466" s="93" t="n"/>
      <c r="T466" s="93" t="n"/>
      <c r="U466" s="1134" t="n"/>
      <c r="V466" s="93" t="n"/>
      <c r="W466" s="93" t="n"/>
      <c r="X466" s="93" t="n"/>
      <c r="Y466" s="93" t="n"/>
      <c r="Z466" s="1134" t="n"/>
      <c r="AA466" s="93" t="n"/>
      <c r="AB466" s="93" t="n"/>
      <c r="AC466" s="93" t="n"/>
      <c r="AD466" s="93" t="n"/>
      <c r="AE466" s="1134" t="n"/>
      <c r="AF466" s="93" t="n"/>
      <c r="AG466" s="93" t="n"/>
      <c r="AH466" s="93" t="n"/>
      <c r="AI466" s="93" t="n"/>
      <c r="AJ466" s="1134" t="n"/>
      <c r="AK466" s="93" t="n"/>
      <c r="AL466" s="93" t="n"/>
      <c r="AM466" s="93" t="n"/>
      <c r="AN466" s="93" t="n"/>
      <c r="AO466" s="1134" t="n"/>
      <c r="AP466" s="93" t="n"/>
      <c r="AQ466" s="93" t="n"/>
      <c r="AR466" s="93" t="n"/>
      <c r="AS466" s="93" t="n"/>
      <c r="AT466" s="1134" t="n"/>
      <c r="AU466" s="93" t="n"/>
      <c r="AV466" s="93" t="n"/>
      <c r="AW466" s="93" t="n"/>
      <c r="AX466" s="93" t="n"/>
      <c r="AY466" s="1134" t="n"/>
      <c r="AZ466" s="93" t="n"/>
      <c r="BA466" s="93" t="n"/>
      <c r="BB466" s="93" t="n"/>
      <c r="BC466" s="93" t="n"/>
      <c r="BD466" s="1134" t="n"/>
      <c r="BE466" s="93" t="n"/>
      <c r="BF466" s="93" t="n"/>
      <c r="BG466" s="93" t="n"/>
      <c r="BH466" s="93" t="n"/>
      <c r="BI466" s="1134" t="n"/>
      <c r="BJ466" s="93" t="n"/>
      <c r="BK466" s="93" t="n"/>
      <c r="BL466" s="93" t="n"/>
      <c r="BM466" s="93" t="n"/>
      <c r="BN466" s="1134" t="n"/>
      <c r="BO466" s="93" t="n"/>
      <c r="BP466" s="93" t="n"/>
      <c r="BQ466" s="93" t="n"/>
      <c r="BR466" s="93" t="n"/>
      <c r="BS466" s="1134" t="n"/>
      <c r="BT466" s="93" t="n"/>
      <c r="BU466" s="93" t="n"/>
      <c r="BV466" s="522" t="n"/>
      <c r="BW466" s="93" t="n"/>
      <c r="BX466" s="1134" t="n"/>
      <c r="BY466" s="93" t="n"/>
      <c r="BZ466" s="93" t="n"/>
      <c r="CA466" s="93" t="n"/>
      <c r="CB466" s="93" t="n"/>
      <c r="CC466" s="1134" t="n"/>
      <c r="CD466" s="1134" t="n"/>
      <c r="CE466" s="1134" t="n"/>
      <c r="CF466" s="1134" t="n"/>
      <c r="CG466" s="228" t="n"/>
    </row>
    <row r="467" hidden="1" outlineLevel="3" ht="15" customFormat="1" customHeight="1" s="1385">
      <c r="A467" s="1386" t="inlineStr">
        <is>
          <t>BoP Weighted Average Exercise Price, $/share</t>
        </is>
      </c>
      <c r="B467" s="1387" t="n"/>
      <c r="C467" s="1391">
        <f>C461</f>
        <v/>
      </c>
      <c r="D467" s="1391">
        <f>D461</f>
        <v/>
      </c>
      <c r="E467" s="1391">
        <f>E461</f>
        <v/>
      </c>
      <c r="F467" s="1391">
        <f>F461</f>
        <v/>
      </c>
      <c r="G467" s="1390">
        <f>F471</f>
        <v/>
      </c>
      <c r="H467" s="1390">
        <f>G471</f>
        <v/>
      </c>
      <c r="I467" s="1390">
        <f>H471</f>
        <v/>
      </c>
      <c r="J467" s="1390">
        <f>I471</f>
        <v/>
      </c>
      <c r="K467" s="1391">
        <f>K461</f>
        <v/>
      </c>
      <c r="L467" s="1390">
        <f>K471</f>
        <v/>
      </c>
      <c r="M467" s="1390">
        <f>L471</f>
        <v/>
      </c>
      <c r="N467" s="1390">
        <f>M471</f>
        <v/>
      </c>
      <c r="O467" s="1390">
        <f>N471</f>
        <v/>
      </c>
      <c r="P467" s="1391">
        <f>P461</f>
        <v/>
      </c>
      <c r="Q467" s="1390">
        <f>P471</f>
        <v/>
      </c>
      <c r="R467" s="1390">
        <f>Q471</f>
        <v/>
      </c>
      <c r="S467" s="1390">
        <f>R471</f>
        <v/>
      </c>
      <c r="T467" s="1390">
        <f>S471</f>
        <v/>
      </c>
      <c r="U467" s="1391">
        <f>U461</f>
        <v/>
      </c>
      <c r="V467" s="1390">
        <f>U471</f>
        <v/>
      </c>
      <c r="W467" s="1390">
        <f>V471</f>
        <v/>
      </c>
      <c r="X467" s="1390">
        <f>W471</f>
        <v/>
      </c>
      <c r="Y467" s="1390">
        <f>X471</f>
        <v/>
      </c>
      <c r="Z467" s="1391">
        <f>Z461</f>
        <v/>
      </c>
      <c r="AA467" s="1390">
        <f>Z471</f>
        <v/>
      </c>
      <c r="AB467" s="1390">
        <f>AA471</f>
        <v/>
      </c>
      <c r="AC467" s="1390">
        <f>AB471</f>
        <v/>
      </c>
      <c r="AD467" s="1390">
        <f>AC471</f>
        <v/>
      </c>
      <c r="AE467" s="1391">
        <f>AE461</f>
        <v/>
      </c>
      <c r="AF467" s="1390">
        <f>AE471</f>
        <v/>
      </c>
      <c r="AG467" s="1390">
        <f>AF471</f>
        <v/>
      </c>
      <c r="AH467" s="1390">
        <f>AG471</f>
        <v/>
      </c>
      <c r="AI467" s="1390">
        <f>AH471</f>
        <v/>
      </c>
      <c r="AJ467" s="1391" t="n"/>
      <c r="AK467" s="1390" t="n"/>
      <c r="AL467" s="1390" t="n"/>
      <c r="AM467" s="1390" t="n"/>
      <c r="AN467" s="1390" t="n"/>
      <c r="AO467" s="1391" t="n"/>
      <c r="AP467" s="1390" t="n"/>
      <c r="AQ467" s="1390" t="n"/>
      <c r="AR467" s="1390" t="n"/>
      <c r="AS467" s="1390" t="n"/>
      <c r="AT467" s="1391" t="n"/>
      <c r="AU467" s="1390" t="n"/>
      <c r="AV467" s="1390" t="n"/>
      <c r="AW467" s="1390" t="n"/>
      <c r="AX467" s="1390" t="n"/>
      <c r="AY467" s="1391" t="n"/>
      <c r="AZ467" s="1390" t="n"/>
      <c r="BA467" s="1390" t="n"/>
      <c r="BB467" s="1390" t="n"/>
      <c r="BC467" s="1390" t="n"/>
      <c r="BD467" s="1391" t="n"/>
      <c r="BE467" s="1390" t="n"/>
      <c r="BF467" s="1390" t="n"/>
      <c r="BG467" s="1390" t="n"/>
      <c r="BH467" s="1390" t="n"/>
      <c r="BI467" s="1391" t="n"/>
      <c r="BJ467" s="1390" t="n"/>
      <c r="BK467" s="1390" t="n"/>
      <c r="BL467" s="1390" t="n"/>
      <c r="BM467" s="1390" t="n"/>
      <c r="BN467" s="1391" t="n"/>
      <c r="BO467" s="1390" t="n"/>
      <c r="BP467" s="1390" t="n"/>
      <c r="BQ467" s="1390" t="n"/>
      <c r="BR467" s="1390" t="n"/>
      <c r="BS467" s="1391" t="n"/>
      <c r="BT467" s="1390" t="n"/>
      <c r="BU467" s="1390" t="n"/>
      <c r="BV467" s="1392" t="n"/>
      <c r="BW467" s="1390" t="n"/>
      <c r="BX467" s="1391" t="n"/>
      <c r="BY467" s="1390" t="n"/>
      <c r="BZ467" s="1390" t="n"/>
      <c r="CA467" s="1390" t="n"/>
      <c r="CB467" s="1390" t="n"/>
      <c r="CC467" s="1391" t="n"/>
      <c r="CD467" s="1391" t="n"/>
      <c r="CE467" s="1391" t="n"/>
      <c r="CF467" s="1391" t="n"/>
      <c r="CG467" s="1393" t="n"/>
    </row>
    <row r="468" hidden="1" outlineLevel="3" ht="15" customFormat="1" customHeight="1" s="1385">
      <c r="A468" s="1394" t="inlineStr">
        <is>
          <t>Granted Average Exercise Price, $/share</t>
        </is>
      </c>
      <c r="B468" s="1387" t="n"/>
      <c r="C468" s="1391">
        <f>C462</f>
        <v/>
      </c>
      <c r="D468" s="1391">
        <f>D462</f>
        <v/>
      </c>
      <c r="E468" s="1391">
        <f>E462</f>
        <v/>
      </c>
      <c r="F468" s="1391">
        <f>F462</f>
        <v/>
      </c>
      <c r="G468" s="1390">
        <f>G462</f>
        <v/>
      </c>
      <c r="H468" s="1390">
        <f>IFERROR((H450*H462-G450*G462)/H456,0)</f>
        <v/>
      </c>
      <c r="I468" s="1390">
        <f>IFERROR((I450*I462-H450*H462)/I456,0)</f>
        <v/>
      </c>
      <c r="J468" s="1390">
        <f>IFERROR((J450*J462-I450*I462)/J456,0)</f>
        <v/>
      </c>
      <c r="K468" s="1391">
        <f>K462</f>
        <v/>
      </c>
      <c r="L468" s="1390">
        <f>L462</f>
        <v/>
      </c>
      <c r="M468" s="1390">
        <f>IFERROR((M450*M462-L450*L462)/M456,0)</f>
        <v/>
      </c>
      <c r="N468" s="1390">
        <f>IFERROR((N450*N462-M450*M462)/N456,0)</f>
        <v/>
      </c>
      <c r="O468" s="1390">
        <f>IFERROR((O450*O462-N450*N462)/O456,0)</f>
        <v/>
      </c>
      <c r="P468" s="1391">
        <f>P462</f>
        <v/>
      </c>
      <c r="Q468" s="1390">
        <f>Q462</f>
        <v/>
      </c>
      <c r="R468" s="1390">
        <f>IFERROR((R450*R462-Q450*Q462)/R456,0)</f>
        <v/>
      </c>
      <c r="S468" s="1390" t="n"/>
      <c r="T468" s="1390">
        <f>IFERROR((T450*T462-S450*S462)/T456,0)</f>
        <v/>
      </c>
      <c r="U468" s="1391">
        <f>U462</f>
        <v/>
      </c>
      <c r="V468" s="1390" t="n"/>
      <c r="W468" s="1390" t="n"/>
      <c r="X468" s="1390" t="n"/>
      <c r="Y468" s="1390" t="n"/>
      <c r="Z468" s="1391" t="n"/>
      <c r="AA468" s="1390" t="n"/>
      <c r="AB468" s="1390" t="n"/>
      <c r="AC468" s="1390" t="n"/>
      <c r="AD468" s="1390" t="n"/>
      <c r="AE468" s="1391" t="n"/>
      <c r="AF468" s="1390" t="n"/>
      <c r="AG468" s="1390" t="n"/>
      <c r="AH468" s="1390" t="n"/>
      <c r="AI468" s="1390" t="n"/>
      <c r="AJ468" s="1391" t="n"/>
      <c r="AK468" s="1390" t="n"/>
      <c r="AL468" s="1390" t="n"/>
      <c r="AM468" s="1390" t="n"/>
      <c r="AN468" s="1390" t="n"/>
      <c r="AO468" s="1391" t="n"/>
      <c r="AP468" s="1390" t="n"/>
      <c r="AQ468" s="1390" t="n"/>
      <c r="AR468" s="1390" t="n"/>
      <c r="AS468" s="1390" t="n"/>
      <c r="AT468" s="1391" t="n"/>
      <c r="AU468" s="1390" t="n"/>
      <c r="AV468" s="1390" t="n"/>
      <c r="AW468" s="1390" t="n"/>
      <c r="AX468" s="1390" t="n"/>
      <c r="AY468" s="1391" t="n"/>
      <c r="AZ468" s="1390" t="n"/>
      <c r="BA468" s="1390" t="n"/>
      <c r="BB468" s="1390" t="n"/>
      <c r="BC468" s="1390" t="n"/>
      <c r="BD468" s="1391" t="n"/>
      <c r="BE468" s="1390" t="n"/>
      <c r="BF468" s="1390" t="n"/>
      <c r="BG468" s="1390" t="n"/>
      <c r="BH468" s="1390" t="n"/>
      <c r="BI468" s="1391" t="n"/>
      <c r="BJ468" s="1390" t="n"/>
      <c r="BK468" s="1390" t="n"/>
      <c r="BL468" s="1390" t="n"/>
      <c r="BM468" s="1390" t="n"/>
      <c r="BN468" s="1391" t="n"/>
      <c r="BO468" s="1390" t="n"/>
      <c r="BP468" s="1390" t="n"/>
      <c r="BQ468" s="1390" t="n"/>
      <c r="BR468" s="1390" t="n"/>
      <c r="BS468" s="1391" t="n"/>
      <c r="BT468" s="1390" t="n"/>
      <c r="BU468" s="1390" t="n"/>
      <c r="BV468" s="1392" t="n"/>
      <c r="BW468" s="1390" t="n"/>
      <c r="BX468" s="1391" t="n"/>
      <c r="BY468" s="1390" t="n"/>
      <c r="BZ468" s="1390" t="n"/>
      <c r="CA468" s="1390" t="n"/>
      <c r="CB468" s="1390" t="n"/>
      <c r="CC468" s="1391" t="n"/>
      <c r="CD468" s="1391" t="n"/>
      <c r="CE468" s="1391" t="n"/>
      <c r="CF468" s="1391" t="n"/>
      <c r="CG468" s="1393" t="n"/>
    </row>
    <row r="469" hidden="1" outlineLevel="3" ht="15" customFormat="1" customHeight="1" s="1385">
      <c r="A469" s="1394" t="inlineStr">
        <is>
          <t>Exercised Average Exercise Price, $/share</t>
        </is>
      </c>
      <c r="B469" s="1387" t="n"/>
      <c r="C469" s="1391">
        <f>C463</f>
        <v/>
      </c>
      <c r="D469" s="1391">
        <f>D463</f>
        <v/>
      </c>
      <c r="E469" s="1391">
        <f>E463</f>
        <v/>
      </c>
      <c r="F469" s="1391">
        <f>F463</f>
        <v/>
      </c>
      <c r="G469" s="1390">
        <f>G463</f>
        <v/>
      </c>
      <c r="H469" s="1390">
        <f>IFERROR((H451*H463-G451*G463)/H457,0)</f>
        <v/>
      </c>
      <c r="I469" s="1390">
        <f>IFERROR((I451*I463-H451*H463)/I457,0)</f>
        <v/>
      </c>
      <c r="J469" s="1390">
        <f>IFERROR((J451*J463-I451*I463)/J457,0)</f>
        <v/>
      </c>
      <c r="K469" s="1391">
        <f>K463</f>
        <v/>
      </c>
      <c r="L469" s="1390">
        <f>L463</f>
        <v/>
      </c>
      <c r="M469" s="1390">
        <f>IFERROR((M451*M463-L451*L463)/M457,0)</f>
        <v/>
      </c>
      <c r="N469" s="1390">
        <f>IFERROR((N451*N463-M451*M463)/N457,0)</f>
        <v/>
      </c>
      <c r="O469" s="1390">
        <f>IFERROR((O451*O463-N451*N463)/O457,0)</f>
        <v/>
      </c>
      <c r="P469" s="1391">
        <f>P463</f>
        <v/>
      </c>
      <c r="Q469" s="1390">
        <f>Q463</f>
        <v/>
      </c>
      <c r="R469" s="1390">
        <f>IFERROR((R451*R463-Q451*Q463)/R457,0)</f>
        <v/>
      </c>
      <c r="S469" s="1390">
        <f>IFERROR((S451*S463-R451*R463)/S457,0)</f>
        <v/>
      </c>
      <c r="T469" s="1390">
        <f>IFERROR((T451*T463-S451*S463)/T457,0)</f>
        <v/>
      </c>
      <c r="U469" s="1391">
        <f>U463</f>
        <v/>
      </c>
      <c r="V469" s="1390">
        <f>V463</f>
        <v/>
      </c>
      <c r="W469" s="1390">
        <f>IFERROR((W451*W463-V451*V463)/W457,0)</f>
        <v/>
      </c>
      <c r="X469" s="1390">
        <f>IFERROR((X451*X463-W451*W463)/X457,0)</f>
        <v/>
      </c>
      <c r="Y469" s="1390">
        <f>IFERROR((Y451*Y463-X451*X463)/Y457,0)</f>
        <v/>
      </c>
      <c r="Z469" s="1391">
        <f>Z463</f>
        <v/>
      </c>
      <c r="AA469" s="1390">
        <f>AA463</f>
        <v/>
      </c>
      <c r="AB469" s="1390">
        <f>IFERROR((AB451*AB463-AA451*AA463)/AB457,0)</f>
        <v/>
      </c>
      <c r="AC469" s="1390">
        <f>IFERROR((AC451*AC463-AB451*AB463)/AC457,0)</f>
        <v/>
      </c>
      <c r="AD469" s="1390">
        <f>IFERROR((AD451*AD463-AC451*AC463)/AD457,0)</f>
        <v/>
      </c>
      <c r="AE469" s="1391">
        <f>AE463</f>
        <v/>
      </c>
      <c r="AF469" s="1390">
        <f>AF463</f>
        <v/>
      </c>
      <c r="AG469" s="1390" t="n"/>
      <c r="AH469" s="1390">
        <f>IFERROR((AH451*AH463-AG451*AG463)/AH457,0)</f>
        <v/>
      </c>
      <c r="AI469" s="1390" t="n"/>
      <c r="AJ469" s="1391" t="n"/>
      <c r="AK469" s="1390" t="n"/>
      <c r="AL469" s="1390" t="n"/>
      <c r="AM469" s="1390" t="n"/>
      <c r="AN469" s="1390" t="n"/>
      <c r="AO469" s="1391" t="n"/>
      <c r="AP469" s="1390" t="n"/>
      <c r="AQ469" s="1390" t="n"/>
      <c r="AR469" s="1390" t="n"/>
      <c r="AS469" s="1390" t="n"/>
      <c r="AT469" s="1391" t="n"/>
      <c r="AU469" s="1390" t="n"/>
      <c r="AV469" s="1390" t="n"/>
      <c r="AW469" s="1390" t="n"/>
      <c r="AX469" s="1390" t="n"/>
      <c r="AY469" s="1391" t="n"/>
      <c r="AZ469" s="1390" t="n"/>
      <c r="BA469" s="1390" t="n"/>
      <c r="BB469" s="1390" t="n"/>
      <c r="BC469" s="1390" t="n"/>
      <c r="BD469" s="1391" t="n"/>
      <c r="BE469" s="1390" t="n"/>
      <c r="BF469" s="1390" t="n"/>
      <c r="BG469" s="1390" t="n"/>
      <c r="BH469" s="1390" t="n"/>
      <c r="BI469" s="1391" t="n"/>
      <c r="BJ469" s="1390" t="n"/>
      <c r="BK469" s="1390" t="n"/>
      <c r="BL469" s="1390" t="n"/>
      <c r="BM469" s="1390" t="n"/>
      <c r="BN469" s="1391" t="n"/>
      <c r="BO469" s="1390" t="n"/>
      <c r="BP469" s="1390" t="n"/>
      <c r="BQ469" s="1390" t="n"/>
      <c r="BR469" s="1390" t="n"/>
      <c r="BS469" s="1391" t="n"/>
      <c r="BT469" s="1390" t="n"/>
      <c r="BU469" s="1390" t="n"/>
      <c r="BV469" s="1392" t="n"/>
      <c r="BW469" s="1390" t="n"/>
      <c r="BX469" s="1391" t="n"/>
      <c r="BY469" s="1390" t="n"/>
      <c r="BZ469" s="1390" t="n"/>
      <c r="CA469" s="1390" t="n"/>
      <c r="CB469" s="1390" t="n"/>
      <c r="CC469" s="1391" t="n"/>
      <c r="CD469" s="1391" t="n"/>
      <c r="CE469" s="1391" t="n"/>
      <c r="CF469" s="1391" t="n"/>
      <c r="CG469" s="1393" t="n"/>
    </row>
    <row r="470" hidden="1" outlineLevel="3" ht="15" customFormat="1" customHeight="1" s="1385">
      <c r="A470" s="1395" t="inlineStr">
        <is>
          <t>Forfeited and Canceled Average Exercise Price, $/share</t>
        </is>
      </c>
      <c r="B470" s="1396" t="n"/>
      <c r="C470" s="1400">
        <f>C464</f>
        <v/>
      </c>
      <c r="D470" s="1400">
        <f>D464</f>
        <v/>
      </c>
      <c r="E470" s="1400">
        <f>E464</f>
        <v/>
      </c>
      <c r="F470" s="1400">
        <f>F464</f>
        <v/>
      </c>
      <c r="G470" s="1399">
        <f>G464</f>
        <v/>
      </c>
      <c r="H470" s="1399">
        <f>IFERROR((H452*H464-G452*G464)/H458,0)</f>
        <v/>
      </c>
      <c r="I470" s="1399">
        <f>IFERROR((I452*I464-H452*H464)/I458,0)</f>
        <v/>
      </c>
      <c r="J470" s="1399">
        <f>IFERROR((J452*J464-I452*I464)/J458,0)</f>
        <v/>
      </c>
      <c r="K470" s="1400">
        <f>K464</f>
        <v/>
      </c>
      <c r="L470" s="1399">
        <f>L464</f>
        <v/>
      </c>
      <c r="M470" s="1399">
        <f>IFERROR((M452*M464-L452*L464)/M458,0)</f>
        <v/>
      </c>
      <c r="N470" s="1399">
        <f>IFERROR((N452*N464-M452*M464)/N458,0)</f>
        <v/>
      </c>
      <c r="O470" s="1399">
        <f>IFERROR((O452*O464-N452*N464)/O458,0)</f>
        <v/>
      </c>
      <c r="P470" s="1400">
        <f>P464</f>
        <v/>
      </c>
      <c r="Q470" s="1399">
        <f>Q464</f>
        <v/>
      </c>
      <c r="R470" s="1399">
        <f>IFERROR((R452*R464-Q452*Q464)/R458,0)</f>
        <v/>
      </c>
      <c r="S470" s="1399">
        <f>IFERROR((S452*S464-R452*R464)/S458,0)</f>
        <v/>
      </c>
      <c r="T470" s="1399">
        <f>IFERROR((T452*T464-S452*S464)/T458,0)</f>
        <v/>
      </c>
      <c r="U470" s="1400">
        <f>U464</f>
        <v/>
      </c>
      <c r="V470" s="1399" t="n"/>
      <c r="W470" s="1399" t="n"/>
      <c r="X470" s="1399" t="n"/>
      <c r="Y470" s="1399">
        <f>IFERROR((Y452*Y464-X452*X464)/Y458,0)</f>
        <v/>
      </c>
      <c r="Z470" s="1400">
        <f>Z464</f>
        <v/>
      </c>
      <c r="AA470" s="1399" t="n"/>
      <c r="AB470" s="1399" t="n"/>
      <c r="AC470" s="1399" t="n"/>
      <c r="AD470" s="1399" t="n"/>
      <c r="AE470" s="1400" t="n"/>
      <c r="AF470" s="1399" t="n"/>
      <c r="AG470" s="1399" t="n"/>
      <c r="AH470" s="1399" t="n"/>
      <c r="AI470" s="1399" t="n"/>
      <c r="AJ470" s="1400" t="n"/>
      <c r="AK470" s="1399" t="n"/>
      <c r="AL470" s="1399" t="n"/>
      <c r="AM470" s="1399" t="n"/>
      <c r="AN470" s="1399" t="n"/>
      <c r="AO470" s="1400" t="n"/>
      <c r="AP470" s="1399" t="n"/>
      <c r="AQ470" s="1399" t="n"/>
      <c r="AR470" s="1399" t="n"/>
      <c r="AS470" s="1399" t="n"/>
      <c r="AT470" s="1400" t="n"/>
      <c r="AU470" s="1399" t="n"/>
      <c r="AV470" s="1399" t="n"/>
      <c r="AW470" s="1399" t="n"/>
      <c r="AX470" s="1399" t="n"/>
      <c r="AY470" s="1400" t="n"/>
      <c r="AZ470" s="1399" t="n"/>
      <c r="BA470" s="1399" t="n"/>
      <c r="BB470" s="1399" t="n"/>
      <c r="BC470" s="1399" t="n"/>
      <c r="BD470" s="1400" t="n"/>
      <c r="BE470" s="1399" t="n"/>
      <c r="BF470" s="1399" t="n"/>
      <c r="BG470" s="1399" t="n"/>
      <c r="BH470" s="1399" t="n"/>
      <c r="BI470" s="1400" t="n"/>
      <c r="BJ470" s="1399" t="n"/>
      <c r="BK470" s="1399" t="n"/>
      <c r="BL470" s="1399" t="n"/>
      <c r="BM470" s="1399" t="n"/>
      <c r="BN470" s="1400" t="n"/>
      <c r="BO470" s="1399" t="n"/>
      <c r="BP470" s="1399" t="n"/>
      <c r="BQ470" s="1399" t="n"/>
      <c r="BR470" s="1399" t="n"/>
      <c r="BS470" s="1400" t="n"/>
      <c r="BT470" s="1399" t="n"/>
      <c r="BU470" s="1399" t="n"/>
      <c r="BV470" s="1401" t="n"/>
      <c r="BW470" s="1399" t="n"/>
      <c r="BX470" s="1400" t="n"/>
      <c r="BY470" s="1399" t="n"/>
      <c r="BZ470" s="1399" t="n"/>
      <c r="CA470" s="1399" t="n"/>
      <c r="CB470" s="1399" t="n"/>
      <c r="CC470" s="1400" t="n"/>
      <c r="CD470" s="1400" t="n"/>
      <c r="CE470" s="1400" t="n"/>
      <c r="CF470" s="1400" t="n"/>
      <c r="CG470" s="1393" t="n"/>
    </row>
    <row r="471" hidden="1" outlineLevel="2" collapsed="1" ht="15" customFormat="1" customHeight="1" s="1385">
      <c r="A471" s="1402" t="inlineStr">
        <is>
          <t>EoP Weighted Average Exercise Price, $/share</t>
        </is>
      </c>
      <c r="B471" s="1396" t="n"/>
      <c r="C471" s="1400">
        <f>C465</f>
        <v/>
      </c>
      <c r="D471" s="1400">
        <f>D465</f>
        <v/>
      </c>
      <c r="E471" s="1400">
        <f>E465</f>
        <v/>
      </c>
      <c r="F471" s="1400">
        <f>F465</f>
        <v/>
      </c>
      <c r="G471" s="1399">
        <f>G465</f>
        <v/>
      </c>
      <c r="H471" s="1399">
        <f>H465</f>
        <v/>
      </c>
      <c r="I471" s="1399">
        <f>I465</f>
        <v/>
      </c>
      <c r="J471" s="1399">
        <f>J465</f>
        <v/>
      </c>
      <c r="K471" s="1400">
        <f>K465</f>
        <v/>
      </c>
      <c r="L471" s="1399">
        <f>L465</f>
        <v/>
      </c>
      <c r="M471" s="1399">
        <f>M465</f>
        <v/>
      </c>
      <c r="N471" s="1399">
        <f>N465</f>
        <v/>
      </c>
      <c r="O471" s="1399">
        <f>O465</f>
        <v/>
      </c>
      <c r="P471" s="1400">
        <f>P465</f>
        <v/>
      </c>
      <c r="Q471" s="1399">
        <f>Q465</f>
        <v/>
      </c>
      <c r="R471" s="1399">
        <f>R465</f>
        <v/>
      </c>
      <c r="S471" s="1399">
        <f>S465</f>
        <v/>
      </c>
      <c r="T471" s="1399">
        <f>T465</f>
        <v/>
      </c>
      <c r="U471" s="1400">
        <f>U465</f>
        <v/>
      </c>
      <c r="V471" s="1399">
        <f>V465</f>
        <v/>
      </c>
      <c r="W471" s="1399">
        <f>W465</f>
        <v/>
      </c>
      <c r="X471" s="1399">
        <f>X465</f>
        <v/>
      </c>
      <c r="Y471" s="1399">
        <f>Y465</f>
        <v/>
      </c>
      <c r="Z471" s="1400">
        <f>Z465</f>
        <v/>
      </c>
      <c r="AA471" s="1399">
        <f>AA465</f>
        <v/>
      </c>
      <c r="AB471" s="1399">
        <f>AB465</f>
        <v/>
      </c>
      <c r="AC471" s="1399">
        <f>AC465</f>
        <v/>
      </c>
      <c r="AD471" s="1399">
        <f>AD465</f>
        <v/>
      </c>
      <c r="AE471" s="1400">
        <f>AE465</f>
        <v/>
      </c>
      <c r="AF471" s="1399">
        <f>AF465</f>
        <v/>
      </c>
      <c r="AG471" s="1399">
        <f>AG465</f>
        <v/>
      </c>
      <c r="AH471" s="1399">
        <f>AH465</f>
        <v/>
      </c>
      <c r="AI471" s="1399">
        <f>AH471</f>
        <v/>
      </c>
      <c r="AJ471" s="1400">
        <f>AH471</f>
        <v/>
      </c>
      <c r="AK471" s="1399" t="n"/>
      <c r="AL471" s="1399" t="n"/>
      <c r="AM471" s="1399" t="n"/>
      <c r="AN471" s="1399" t="n"/>
      <c r="AO471" s="1400" t="n"/>
      <c r="AP471" s="1399" t="n"/>
      <c r="AQ471" s="1399" t="n"/>
      <c r="AR471" s="1399" t="n"/>
      <c r="AS471" s="1399" t="n"/>
      <c r="AT471" s="1400" t="n"/>
      <c r="AU471" s="1399" t="n"/>
      <c r="AV471" s="1399" t="n"/>
      <c r="AW471" s="1399" t="n"/>
      <c r="AX471" s="1399" t="n"/>
      <c r="AY471" s="1400" t="n"/>
      <c r="AZ471" s="1399" t="n"/>
      <c r="BA471" s="1399" t="n"/>
      <c r="BB471" s="1399" t="n"/>
      <c r="BC471" s="1399" t="n"/>
      <c r="BD471" s="1400" t="n"/>
      <c r="BE471" s="1399" t="n"/>
      <c r="BF471" s="1399" t="n"/>
      <c r="BG471" s="1399" t="n"/>
      <c r="BH471" s="1399" t="n"/>
      <c r="BI471" s="1400" t="n"/>
      <c r="BJ471" s="1399" t="n"/>
      <c r="BK471" s="1399" t="n"/>
      <c r="BL471" s="1399" t="n"/>
      <c r="BM471" s="1399" t="n"/>
      <c r="BN471" s="1400" t="n"/>
      <c r="BO471" s="1399" t="n"/>
      <c r="BP471" s="1399" t="n"/>
      <c r="BQ471" s="1399" t="n"/>
      <c r="BR471" s="1399" t="n"/>
      <c r="BS471" s="1400" t="n"/>
      <c r="BT471" s="1399" t="n"/>
      <c r="BU471" s="1399" t="n"/>
      <c r="BV471" s="1401" t="n"/>
      <c r="BW471" s="1399" t="n"/>
      <c r="BX471" s="1400" t="n"/>
      <c r="BY471" s="1399" t="n"/>
      <c r="BZ471" s="1399" t="n"/>
      <c r="CA471" s="1399" t="n"/>
      <c r="CB471" s="1399" t="n"/>
      <c r="CC471" s="1400" t="n"/>
      <c r="CD471" s="1400" t="n"/>
      <c r="CE471" s="1400" t="n"/>
      <c r="CF471" s="1400" t="n"/>
      <c r="CG471" s="1393" t="n"/>
    </row>
    <row r="472" hidden="1" outlineLevel="2" ht="15" customFormat="1" customHeight="1" s="227">
      <c r="A472" s="636" t="inlineStr">
        <is>
          <t>Dilutive Shares from Exercised Options (Treasury Method), mm shares</t>
        </is>
      </c>
      <c r="B472" s="146" t="n"/>
      <c r="C472" s="1110">
        <f>IF(C434&gt;C471,(1-C471/C434)*C459,0)</f>
        <v/>
      </c>
      <c r="D472" s="1110">
        <f>IF(D434&gt;D471,(1-D471/D434)*D459,0)</f>
        <v/>
      </c>
      <c r="E472" s="1110">
        <f>IF(E434&gt;E471,(1-E471/E434)*E459,0)</f>
        <v/>
      </c>
      <c r="F472" s="1110">
        <f>IF(F434&gt;F471,(1-F471/F434)*F459,0)</f>
        <v/>
      </c>
      <c r="G472" s="68">
        <f>IF(G434&gt;G471,(1-G471/G434)*G459,0)</f>
        <v/>
      </c>
      <c r="H472" s="68">
        <f>IF(H434&gt;H471,(1-H471/H434)*H459,0)</f>
        <v/>
      </c>
      <c r="I472" s="68">
        <f>IF(I434&gt;I471,(1-I471/I434)*I459,0)</f>
        <v/>
      </c>
      <c r="J472" s="68">
        <f>IF(J434&gt;J471,(1-J471/J434)*J459,0)</f>
        <v/>
      </c>
      <c r="K472" s="1110">
        <f>IF(K434&gt;K471,(1-K471/K434)*K459,0)</f>
        <v/>
      </c>
      <c r="L472" s="68">
        <f>IF(L434&gt;L471,(1-L471/L434)*L459,0)</f>
        <v/>
      </c>
      <c r="M472" s="68">
        <f>IF(M434&gt;M471,(1-M471/M434)*M459,0)</f>
        <v/>
      </c>
      <c r="N472" s="68">
        <f>IF(N434&gt;N471,(1-N471/N434)*N459,0)</f>
        <v/>
      </c>
      <c r="O472" s="68">
        <f>IF(O434&gt;O471,(1-O471/O434)*O459,0)</f>
        <v/>
      </c>
      <c r="P472" s="1110">
        <f>IF(P434&gt;P471,(1-P471/P434)*P459,0)</f>
        <v/>
      </c>
      <c r="Q472" s="68">
        <f>IF(Q434&gt;Q471,(1-Q471/Q434)*Q459,0)</f>
        <v/>
      </c>
      <c r="R472" s="68">
        <f>IF(R434&gt;R471,(1-R471/R434)*R459,0)</f>
        <v/>
      </c>
      <c r="S472" s="68">
        <f>IF(S434&gt;S471,(1-S471/S434)*S459,0)</f>
        <v/>
      </c>
      <c r="T472" s="68">
        <f>IF(T434&gt;T471,(1-T471/T434)*T459,0)</f>
        <v/>
      </c>
      <c r="U472" s="1110">
        <f>IF(U434&gt;U471,(1-U471/U434)*U459,0)</f>
        <v/>
      </c>
      <c r="V472" s="68">
        <f>IF(V434&gt;V471,(1-V471/V434)*V459,0)</f>
        <v/>
      </c>
      <c r="W472" s="68">
        <f>IF(W434&gt;W471,(1-W471/W434)*W459,0)</f>
        <v/>
      </c>
      <c r="X472" s="68">
        <f>IF(X434&gt;X471,(1-X471/X434)*X459,0)</f>
        <v/>
      </c>
      <c r="Y472" s="68">
        <f>IF(Y434&gt;Y471,(1-Y471/Y434)*Y459,0)</f>
        <v/>
      </c>
      <c r="Z472" s="1110">
        <f>IF(Z434&gt;Z471,(1-Z471/Z434)*Z459,0)</f>
        <v/>
      </c>
      <c r="AA472" s="68">
        <f>IF(AA434&gt;AA471,(1-AA471/AA434)*AA459,0)</f>
        <v/>
      </c>
      <c r="AB472" s="68">
        <f>IF(AB434&gt;AB471,(1-AB471/AB434)*AB459,0)</f>
        <v/>
      </c>
      <c r="AC472" s="68">
        <f>IF(AC434&gt;AC471,(1-AC471/AC434)*AC459,0)</f>
        <v/>
      </c>
      <c r="AD472" s="68">
        <f>IF(AD434&gt;AD471,(1-AD471/AD434)*AD459,0)</f>
        <v/>
      </c>
      <c r="AE472" s="1110">
        <f>IF(AE434&gt;AE471,(1-AE471/AE434)*AE459,0)</f>
        <v/>
      </c>
      <c r="AF472" s="68">
        <f>IF(AF434&gt;AF471,(1-AF471/AF434)*AF459,0)</f>
        <v/>
      </c>
      <c r="AG472" s="68">
        <f>IF(AG434&gt;AG471,(1-AG471/AG434)*AG459,0)</f>
        <v/>
      </c>
      <c r="AH472" s="68">
        <f>IF(AH434&gt;AH471,(1-AH471/AH434)*AH459,0)</f>
        <v/>
      </c>
      <c r="AI472" s="68">
        <f>IF(AI434&gt;AI471,(1-AI471/AI434)*AI459,0)</f>
        <v/>
      </c>
      <c r="AJ472" s="1110">
        <f>IF(AJ434&gt;AJ471,(1-AJ471/AJ434)*AJ459,0)</f>
        <v/>
      </c>
      <c r="AK472" s="68" t="n"/>
      <c r="AL472" s="68" t="n"/>
      <c r="AM472" s="68" t="n"/>
      <c r="AN472" s="68" t="n"/>
      <c r="AO472" s="1110" t="n"/>
      <c r="AP472" s="68" t="n"/>
      <c r="AQ472" s="68" t="n"/>
      <c r="AR472" s="68" t="n"/>
      <c r="AS472" s="68" t="n"/>
      <c r="AT472" s="1110" t="n"/>
      <c r="AU472" s="68" t="n"/>
      <c r="AV472" s="68" t="n"/>
      <c r="AW472" s="68" t="n"/>
      <c r="AX472" s="68" t="n"/>
      <c r="AY472" s="1110" t="n"/>
      <c r="AZ472" s="68" t="n"/>
      <c r="BA472" s="68" t="n"/>
      <c r="BB472" s="68" t="n"/>
      <c r="BC472" s="68" t="n"/>
      <c r="BD472" s="1110" t="n"/>
      <c r="BE472" s="68" t="n"/>
      <c r="BF472" s="68" t="n"/>
      <c r="BG472" s="68" t="n"/>
      <c r="BH472" s="68" t="n"/>
      <c r="BI472" s="1110" t="n"/>
      <c r="BJ472" s="68" t="n"/>
      <c r="BK472" s="68" t="n"/>
      <c r="BL472" s="68" t="n"/>
      <c r="BM472" s="68" t="n"/>
      <c r="BN472" s="1110" t="n"/>
      <c r="BO472" s="68" t="n"/>
      <c r="BP472" s="68" t="n"/>
      <c r="BQ472" s="68" t="n"/>
      <c r="BR472" s="68" t="n"/>
      <c r="BS472" s="1110" t="n"/>
      <c r="BT472" s="68" t="n"/>
      <c r="BU472" s="68" t="n"/>
      <c r="BV472" s="588" t="n"/>
      <c r="BW472" s="68" t="n"/>
      <c r="BX472" s="1110" t="n"/>
      <c r="BY472" s="68" t="n"/>
      <c r="BZ472" s="68" t="n"/>
      <c r="CA472" s="68" t="n"/>
      <c r="CB472" s="68" t="n"/>
      <c r="CC472" s="1110" t="n"/>
      <c r="CD472" s="1110" t="n"/>
      <c r="CE472" s="1110" t="n"/>
      <c r="CF472" s="1110" t="n"/>
      <c r="CG472" s="27" t="n"/>
    </row>
    <row r="473" hidden="1" outlineLevel="2" ht="15" customHeight="1">
      <c r="A473" s="605" t="n"/>
      <c r="B473" s="428" t="n"/>
      <c r="C473" s="1134" t="n"/>
      <c r="D473" s="1134" t="n"/>
      <c r="E473" s="1134" t="n"/>
      <c r="F473" s="1134" t="n"/>
      <c r="G473" s="93" t="n"/>
      <c r="H473" s="93" t="n"/>
      <c r="I473" s="93" t="n"/>
      <c r="J473" s="93" t="n"/>
      <c r="K473" s="1134" t="n"/>
      <c r="L473" s="93" t="n"/>
      <c r="M473" s="93" t="n"/>
      <c r="N473" s="93" t="n"/>
      <c r="O473" s="93" t="n"/>
      <c r="P473" s="1134" t="n"/>
      <c r="Q473" s="93" t="n"/>
      <c r="R473" s="93" t="n"/>
      <c r="S473" s="93" t="n"/>
      <c r="T473" s="93" t="n"/>
      <c r="U473" s="1134" t="n"/>
      <c r="V473" s="93" t="n"/>
      <c r="W473" s="93" t="n"/>
      <c r="X473" s="93" t="n"/>
      <c r="Y473" s="93" t="n"/>
      <c r="Z473" s="1134" t="n"/>
      <c r="AA473" s="93" t="n"/>
      <c r="AB473" s="93" t="n"/>
      <c r="AC473" s="93" t="n"/>
      <c r="AD473" s="93" t="n"/>
      <c r="AE473" s="1134" t="n"/>
      <c r="AF473" s="93" t="n"/>
      <c r="AG473" s="93" t="n"/>
      <c r="AH473" s="93" t="n"/>
      <c r="AI473" s="93" t="n"/>
      <c r="AJ473" s="1134" t="n"/>
      <c r="AK473" s="93" t="n"/>
      <c r="AL473" s="93" t="n"/>
      <c r="AM473" s="93" t="n"/>
      <c r="AN473" s="93" t="n"/>
      <c r="AO473" s="1134" t="n"/>
      <c r="AP473" s="93" t="n"/>
      <c r="AQ473" s="93" t="n"/>
      <c r="AR473" s="93" t="n"/>
      <c r="AS473" s="93" t="n"/>
      <c r="AT473" s="1134" t="n"/>
      <c r="AU473" s="93" t="n"/>
      <c r="AV473" s="93" t="n"/>
      <c r="AW473" s="93" t="n"/>
      <c r="AX473" s="93" t="n"/>
      <c r="AY473" s="1134" t="n"/>
      <c r="AZ473" s="93" t="n"/>
      <c r="BA473" s="93" t="n"/>
      <c r="BB473" s="93" t="n"/>
      <c r="BC473" s="93" t="n"/>
      <c r="BD473" s="1134" t="n"/>
      <c r="BE473" s="93" t="n"/>
      <c r="BF473" s="93" t="n"/>
      <c r="BG473" s="93" t="n"/>
      <c r="BH473" s="93" t="n"/>
      <c r="BI473" s="1134" t="n"/>
      <c r="BJ473" s="93" t="n"/>
      <c r="BK473" s="93" t="n"/>
      <c r="BL473" s="93" t="n"/>
      <c r="BM473" s="93" t="n"/>
      <c r="BN473" s="1134" t="n"/>
      <c r="BO473" s="93" t="n"/>
      <c r="BP473" s="93" t="n"/>
      <c r="BQ473" s="93" t="n"/>
      <c r="BR473" s="93" t="n"/>
      <c r="BS473" s="1134" t="n"/>
      <c r="BT473" s="93" t="n"/>
      <c r="BU473" s="93" t="n"/>
      <c r="BV473" s="522" t="n"/>
      <c r="BW473" s="93" t="n"/>
      <c r="BX473" s="1134" t="n"/>
      <c r="BY473" s="93" t="n"/>
      <c r="BZ473" s="93" t="n"/>
      <c r="CA473" s="93" t="n"/>
      <c r="CB473" s="93" t="n"/>
      <c r="CC473" s="1134" t="n"/>
      <c r="CD473" s="1134" t="n"/>
      <c r="CE473" s="1134" t="n"/>
      <c r="CF473" s="1134" t="n"/>
      <c r="CG473" s="228" t="n"/>
    </row>
    <row r="474" hidden="1" outlineLevel="2" ht="15" customFormat="1" customHeight="1" s="44">
      <c r="A474" s="600" t="inlineStr">
        <is>
          <t>EoP Total Stock Options Exercisable, mm options</t>
        </is>
      </c>
      <c r="B474" s="279" t="n"/>
      <c r="C474" s="1148">
        <f>59.892833*(4)*(10)</f>
        <v/>
      </c>
      <c r="D474" s="1148">
        <f>39.297611*(4)*(10)</f>
        <v/>
      </c>
      <c r="E474" s="1148">
        <f>29.01629*(4)*(10)</f>
        <v/>
      </c>
      <c r="F474" s="1148">
        <f>21.434294*(4)*(10)</f>
        <v/>
      </c>
      <c r="G474" s="63" t="n"/>
      <c r="H474" s="63" t="n"/>
      <c r="I474" s="63" t="n"/>
      <c r="J474" s="63" t="n"/>
      <c r="K474" s="1148">
        <f>20.156213*(4)*(10)</f>
        <v/>
      </c>
      <c r="L474" s="63" t="n"/>
      <c r="M474" s="63" t="n"/>
      <c r="N474" s="63" t="n"/>
      <c r="O474" s="63" t="n"/>
      <c r="P474" s="1148">
        <f>19.866375*(4)*(10)</f>
        <v/>
      </c>
      <c r="Q474" s="63" t="n"/>
      <c r="R474" s="63" t="n"/>
      <c r="S474" s="63" t="n"/>
      <c r="T474" s="63" t="n"/>
      <c r="U474" s="1148">
        <f>15.12*(4)*(10)</f>
        <v/>
      </c>
      <c r="V474" s="63" t="n"/>
      <c r="W474" s="63" t="n"/>
      <c r="X474" s="63" t="n"/>
      <c r="Y474" s="63" t="n"/>
      <c r="Z474" s="1148">
        <f>11*(4)*(10)</f>
        <v/>
      </c>
      <c r="AA474" s="63" t="n"/>
      <c r="AB474" s="63" t="n"/>
      <c r="AC474" s="63" t="n"/>
      <c r="AD474" s="63" t="n"/>
      <c r="AE474" s="1148">
        <f>7*(4)*(10)</f>
        <v/>
      </c>
      <c r="AF474" s="63" t="n"/>
      <c r="AG474" s="63" t="n"/>
      <c r="AH474" s="63" t="n"/>
      <c r="AI474" s="63" t="n"/>
      <c r="AJ474" s="1125">
        <f>AJ459</f>
        <v/>
      </c>
      <c r="AK474" s="63" t="n"/>
      <c r="AL474" s="63" t="n"/>
      <c r="AM474" s="63" t="n"/>
      <c r="AN474" s="63" t="n"/>
      <c r="AO474" s="1125" t="n"/>
      <c r="AP474" s="63" t="n"/>
      <c r="AQ474" s="63" t="n"/>
      <c r="AR474" s="63" t="n"/>
      <c r="AS474" s="63" t="n"/>
      <c r="AT474" s="1125" t="n"/>
      <c r="AU474" s="63" t="n"/>
      <c r="AV474" s="63" t="n"/>
      <c r="AW474" s="63" t="n"/>
      <c r="AX474" s="63" t="n"/>
      <c r="AY474" s="1125" t="n"/>
      <c r="AZ474" s="63" t="n"/>
      <c r="BA474" s="63" t="n"/>
      <c r="BB474" s="63" t="n"/>
      <c r="BC474" s="63" t="n"/>
      <c r="BD474" s="1125" t="n"/>
      <c r="BE474" s="63" t="n"/>
      <c r="BF474" s="63" t="n"/>
      <c r="BG474" s="63" t="n"/>
      <c r="BH474" s="63" t="n"/>
      <c r="BI474" s="1125" t="n"/>
      <c r="BJ474" s="63" t="n"/>
      <c r="BK474" s="63" t="n"/>
      <c r="BL474" s="63" t="n"/>
      <c r="BM474" s="63" t="n"/>
      <c r="BN474" s="1125" t="n"/>
      <c r="BO474" s="63" t="n"/>
      <c r="BP474" s="63" t="n"/>
      <c r="BQ474" s="63" t="n"/>
      <c r="BR474" s="63" t="n"/>
      <c r="BS474" s="1125" t="n"/>
      <c r="BT474" s="63" t="n"/>
      <c r="BU474" s="63" t="n"/>
      <c r="BV474" s="587" t="n"/>
      <c r="BW474" s="63" t="n"/>
      <c r="BX474" s="1125" t="n"/>
      <c r="BY474" s="63" t="n"/>
      <c r="BZ474" s="63" t="n"/>
      <c r="CA474" s="63" t="n"/>
      <c r="CB474" s="63" t="n"/>
      <c r="CC474" s="1125" t="n"/>
      <c r="CD474" s="1125" t="n"/>
      <c r="CE474" s="1125" t="n"/>
      <c r="CF474" s="1125" t="n"/>
      <c r="CG474" s="28" t="n"/>
    </row>
    <row r="475" hidden="1" outlineLevel="2" ht="15" customFormat="1" customHeight="1" s="1373">
      <c r="A475" s="1374" t="inlineStr">
        <is>
          <t>EoP Weighted Average Exercisable Option Exercise Price, $/share</t>
        </is>
      </c>
      <c r="B475" s="1375" t="n"/>
      <c r="C475" s="1403">
        <f>10.15*(1/4)*(1/10)</f>
        <v/>
      </c>
      <c r="D475" s="1403">
        <f>10.44*(1/4)*(1/10)</f>
        <v/>
      </c>
      <c r="E475" s="1403">
        <f>12.85*(1/4)*(1/10)</f>
        <v/>
      </c>
      <c r="F475" s="1403">
        <f>13.8*(1/4)*(1/10)</f>
        <v/>
      </c>
      <c r="G475" s="1377" t="n"/>
      <c r="H475" s="1377" t="n"/>
      <c r="I475" s="1377" t="n"/>
      <c r="J475" s="1377" t="n"/>
      <c r="K475" s="1403">
        <f>14.89*(1/4)*(1/10)</f>
        <v/>
      </c>
      <c r="L475" s="1377" t="n"/>
      <c r="M475" s="1377" t="n"/>
      <c r="N475" s="1377" t="n"/>
      <c r="O475" s="1377" t="n"/>
      <c r="P475" s="1403">
        <f>14.09*(1/4)*(1/10)</f>
        <v/>
      </c>
      <c r="Q475" s="1377" t="n"/>
      <c r="R475" s="1377" t="n"/>
      <c r="S475" s="1377" t="n"/>
      <c r="T475" s="1377" t="n"/>
      <c r="U475" s="1403">
        <f>14.7*(1/4)*(1/10)</f>
        <v/>
      </c>
      <c r="V475" s="1377" t="n"/>
      <c r="W475" s="1377" t="n"/>
      <c r="X475" s="1377" t="n"/>
      <c r="Y475" s="1377" t="n"/>
      <c r="Z475" s="1403">
        <f>14.51*(1/4)*(1/10)</f>
        <v/>
      </c>
      <c r="AA475" s="1377" t="n"/>
      <c r="AB475" s="1377" t="n"/>
      <c r="AC475" s="1377" t="n"/>
      <c r="AD475" s="1377" t="n"/>
      <c r="AE475" s="1403">
        <f>14.39*(1/4)*(1/10)</f>
        <v/>
      </c>
      <c r="AF475" s="1377" t="n"/>
      <c r="AG475" s="1377" t="n"/>
      <c r="AH475" s="1377" t="n"/>
      <c r="AI475" s="1377" t="n"/>
      <c r="AJ475" s="1376" t="n"/>
      <c r="AK475" s="1377" t="n"/>
      <c r="AL475" s="1377" t="n"/>
      <c r="AM475" s="1377" t="n"/>
      <c r="AN475" s="1377" t="n"/>
      <c r="AO475" s="1376" t="n"/>
      <c r="AP475" s="1377" t="n"/>
      <c r="AQ475" s="1377" t="n"/>
      <c r="AR475" s="1377" t="n"/>
      <c r="AS475" s="1377" t="n"/>
      <c r="AT475" s="1376" t="n"/>
      <c r="AU475" s="1377" t="n"/>
      <c r="AV475" s="1377" t="n"/>
      <c r="AW475" s="1377" t="n"/>
      <c r="AX475" s="1377" t="n"/>
      <c r="AY475" s="1376" t="n"/>
      <c r="AZ475" s="1377" t="n"/>
      <c r="BA475" s="1377" t="n"/>
      <c r="BB475" s="1377" t="n"/>
      <c r="BC475" s="1377" t="n"/>
      <c r="BD475" s="1376" t="n"/>
      <c r="BE475" s="1377" t="n"/>
      <c r="BF475" s="1377" t="n"/>
      <c r="BG475" s="1377" t="n"/>
      <c r="BH475" s="1377" t="n"/>
      <c r="BI475" s="1376" t="n"/>
      <c r="BJ475" s="1377" t="n"/>
      <c r="BK475" s="1377" t="n"/>
      <c r="BL475" s="1377" t="n"/>
      <c r="BM475" s="1377" t="n"/>
      <c r="BN475" s="1376" t="n"/>
      <c r="BO475" s="1377" t="n"/>
      <c r="BP475" s="1377" t="n"/>
      <c r="BQ475" s="1377" t="n"/>
      <c r="BR475" s="1377" t="n"/>
      <c r="BS475" s="1376" t="n"/>
      <c r="BT475" s="1377" t="n"/>
      <c r="BU475" s="1377" t="n"/>
      <c r="BV475" s="1378" t="n"/>
      <c r="BW475" s="1377" t="n"/>
      <c r="BX475" s="1376" t="n"/>
      <c r="BY475" s="1377" t="n"/>
      <c r="BZ475" s="1377" t="n"/>
      <c r="CA475" s="1377" t="n"/>
      <c r="CB475" s="1377" t="n"/>
      <c r="CC475" s="1376" t="n"/>
      <c r="CD475" s="1376" t="n"/>
      <c r="CE475" s="1376" t="n"/>
      <c r="CF475" s="1376" t="n"/>
      <c r="CG475" s="1379" t="n"/>
    </row>
    <row r="476" hidden="1" outlineLevel="1" collapsed="1" ht="15" customHeight="1">
      <c r="A476" s="605" t="n"/>
      <c r="B476" s="428" t="n"/>
      <c r="C476" s="1134" t="n"/>
      <c r="D476" s="1134" t="n"/>
      <c r="E476" s="1134" t="n"/>
      <c r="F476" s="1134" t="n"/>
      <c r="G476" s="93" t="n"/>
      <c r="H476" s="93" t="n"/>
      <c r="I476" s="93" t="n"/>
      <c r="J476" s="93" t="n"/>
      <c r="K476" s="1134" t="n"/>
      <c r="L476" s="93" t="n"/>
      <c r="M476" s="93" t="n"/>
      <c r="N476" s="93" t="n"/>
      <c r="O476" s="93" t="n"/>
      <c r="P476" s="1134" t="n"/>
      <c r="Q476" s="93" t="n"/>
      <c r="R476" s="93" t="n"/>
      <c r="S476" s="93" t="n"/>
      <c r="T476" s="93" t="n"/>
      <c r="U476" s="1134" t="n"/>
      <c r="V476" s="93" t="n"/>
      <c r="W476" s="93" t="n"/>
      <c r="X476" s="93" t="n"/>
      <c r="Y476" s="93" t="n"/>
      <c r="Z476" s="1134" t="n"/>
      <c r="AA476" s="93" t="n"/>
      <c r="AB476" s="93" t="n"/>
      <c r="AC476" s="93" t="n"/>
      <c r="AD476" s="93" t="n"/>
      <c r="AE476" s="1134" t="n"/>
      <c r="AF476" s="93" t="n"/>
      <c r="AG476" s="93" t="n"/>
      <c r="AH476" s="93" t="n"/>
      <c r="AI476" s="93" t="n"/>
      <c r="AJ476" s="1134" t="n"/>
      <c r="AK476" s="93" t="n"/>
      <c r="AL476" s="93" t="n"/>
      <c r="AM476" s="93" t="n"/>
      <c r="AN476" s="93" t="n"/>
      <c r="AO476" s="1134" t="n"/>
      <c r="AP476" s="93" t="n"/>
      <c r="AQ476" s="93" t="n"/>
      <c r="AR476" s="93" t="n"/>
      <c r="AS476" s="93" t="n"/>
      <c r="AT476" s="1134" t="n"/>
      <c r="AU476" s="93" t="n"/>
      <c r="AV476" s="93" t="n"/>
      <c r="AW476" s="93" t="n"/>
      <c r="AX476" s="93" t="n"/>
      <c r="AY476" s="1134" t="n"/>
      <c r="AZ476" s="93" t="n"/>
      <c r="BA476" s="93" t="n"/>
      <c r="BB476" s="93" t="n"/>
      <c r="BC476" s="93" t="n"/>
      <c r="BD476" s="1134" t="n"/>
      <c r="BE476" s="93" t="n"/>
      <c r="BF476" s="93" t="n"/>
      <c r="BG476" s="93" t="n"/>
      <c r="BH476" s="93" t="n"/>
      <c r="BI476" s="1134" t="n"/>
      <c r="BJ476" s="93" t="n"/>
      <c r="BK476" s="93" t="n"/>
      <c r="BL476" s="93" t="n"/>
      <c r="BM476" s="93" t="n"/>
      <c r="BN476" s="1134" t="n"/>
      <c r="BO476" s="93" t="n"/>
      <c r="BP476" s="93" t="n"/>
      <c r="BQ476" s="93" t="n"/>
      <c r="BR476" s="93" t="n"/>
      <c r="BS476" s="1134" t="n"/>
      <c r="BT476" s="93" t="n"/>
      <c r="BU476" s="93" t="n"/>
      <c r="BV476" s="522" t="n"/>
      <c r="BW476" s="93" t="n"/>
      <c r="BX476" s="1134" t="n"/>
      <c r="BY476" s="93" t="n"/>
      <c r="BZ476" s="93" t="n"/>
      <c r="CA476" s="93" t="n"/>
      <c r="CB476" s="93" t="n"/>
      <c r="CC476" s="1134" t="n"/>
      <c r="CD476" s="1134" t="n"/>
      <c r="CE476" s="1134" t="n"/>
      <c r="CF476" s="1134" t="n"/>
      <c r="CG476" s="228" t="n"/>
    </row>
    <row r="477" hidden="1" outlineLevel="1" ht="15" customFormat="1" customHeight="1" s="227">
      <c r="A477" s="636" t="inlineStr">
        <is>
          <t>EoP RSUs, PSUs and Market-Based PSUs, mm shares</t>
        </is>
      </c>
      <c r="B477" s="146" t="n"/>
      <c r="C477" s="1111" t="n">
        <v>0</v>
      </c>
      <c r="D477" s="1111">
        <f>7.488512*(4)*(10)</f>
        <v/>
      </c>
      <c r="E477" s="1111">
        <f>10.611914*(4)*(10)</f>
        <v/>
      </c>
      <c r="F477" s="1111">
        <f>13.637803*(4)*(10)</f>
        <v/>
      </c>
      <c r="G477" s="1053">
        <f>14.306*(4)*(10)</f>
        <v/>
      </c>
      <c r="H477" s="1053">
        <f>14.778*(4)*(10)</f>
        <v/>
      </c>
      <c r="I477" s="1053">
        <f>14.798*(4)*(10)</f>
        <v/>
      </c>
      <c r="J477" s="68">
        <f>K477</f>
        <v/>
      </c>
      <c r="K477" s="1111">
        <f>15.159227*(4)*(10)</f>
        <v/>
      </c>
      <c r="L477" s="1053">
        <f>16.577*(4)*(10)</f>
        <v/>
      </c>
      <c r="M477" s="1053">
        <f>16.83*(4)*(10)</f>
        <v/>
      </c>
      <c r="N477" s="1053">
        <f>18.774*(4)*(10)</f>
        <v/>
      </c>
      <c r="O477" s="68">
        <f>P477</f>
        <v/>
      </c>
      <c r="P477" s="1111">
        <f>18.852288*(4)*(10)</f>
        <v/>
      </c>
      <c r="Q477" s="1053">
        <f>18.436*(4)*(10)</f>
        <v/>
      </c>
      <c r="R477" s="1053">
        <f>18.469*(4)*(10)</f>
        <v/>
      </c>
      <c r="S477" s="1053">
        <f>23.131*(4)*(10)</f>
        <v/>
      </c>
      <c r="T477" s="68">
        <f>U477</f>
        <v/>
      </c>
      <c r="U477" s="1111">
        <f>23.275*(4)*(10)</f>
        <v/>
      </c>
      <c r="V477" s="1053">
        <f>23*(4)*(10)</f>
        <v/>
      </c>
      <c r="W477" s="1053">
        <f>22*(4)*(10)</f>
        <v/>
      </c>
      <c r="X477" s="1053">
        <f>26*(4)*(10)</f>
        <v/>
      </c>
      <c r="Y477" s="68">
        <f>Z477</f>
        <v/>
      </c>
      <c r="Z477" s="1111">
        <f>26*(4)*(10)</f>
        <v/>
      </c>
      <c r="AA477" s="1053">
        <f>26*(4)*(10)</f>
        <v/>
      </c>
      <c r="AB477" s="1053">
        <f>26*(4)*(10)</f>
        <v/>
      </c>
      <c r="AC477" s="1053">
        <f>27*(4)*(10)</f>
        <v/>
      </c>
      <c r="AD477" s="68">
        <f>AE477</f>
        <v/>
      </c>
      <c r="AE477" s="1111">
        <f>27*(4)*(10)</f>
        <v/>
      </c>
      <c r="AF477" s="1053">
        <f>24*(4)*(10)</f>
        <v/>
      </c>
      <c r="AG477" s="1053">
        <f>25*(4)*(10)</f>
        <v/>
      </c>
      <c r="AH477" s="1053">
        <f>23*(4)*(10)</f>
        <v/>
      </c>
      <c r="AI477" s="68">
        <f>AJ477</f>
        <v/>
      </c>
      <c r="AJ477" s="1111">
        <f>22*(4)*(10)</f>
        <v/>
      </c>
      <c r="AK477" s="1053">
        <f>18*(4)*(10)</f>
        <v/>
      </c>
      <c r="AL477" s="1053">
        <f>18*(4)*(10)</f>
        <v/>
      </c>
      <c r="AM477" s="1053">
        <f>16*(4)*(10)</f>
        <v/>
      </c>
      <c r="AN477" s="68">
        <f>AO477</f>
        <v/>
      </c>
      <c r="AO477" s="1111">
        <f>16*(4)*(10)</f>
        <v/>
      </c>
      <c r="AP477" s="1053">
        <f>18*(4)*(10)</f>
        <v/>
      </c>
      <c r="AQ477" s="1053">
        <f>17*(4)*(10)</f>
        <v/>
      </c>
      <c r="AR477" s="1053">
        <f>15*(4)*(10)</f>
        <v/>
      </c>
      <c r="AS477" s="68">
        <f>AT477</f>
        <v/>
      </c>
      <c r="AT477" s="1111">
        <f>14*(4)*(10)</f>
        <v/>
      </c>
      <c r="AU477" s="1053">
        <f>11*(4)*(10)</f>
        <v/>
      </c>
      <c r="AV477" s="1053">
        <f>17*(4)*(10)</f>
        <v/>
      </c>
      <c r="AW477" s="1053">
        <f>16*(4)*(10)</f>
        <v/>
      </c>
      <c r="AX477" s="68">
        <f>AY477</f>
        <v/>
      </c>
      <c r="AY477" s="1111">
        <f>15*(4)*(10)</f>
        <v/>
      </c>
      <c r="AZ477" s="1053">
        <f>12*(4)*(10)</f>
        <v/>
      </c>
      <c r="BA477" s="1053">
        <f>56*(10)</f>
        <v/>
      </c>
      <c r="BB477" s="1053">
        <f>52*(10)</f>
        <v/>
      </c>
      <c r="BC477" s="68">
        <f>BD477</f>
        <v/>
      </c>
      <c r="BD477" s="1111">
        <f>46*(10)</f>
        <v/>
      </c>
      <c r="BE477" s="1053">
        <f>42*(10)</f>
        <v/>
      </c>
      <c r="BF477" s="1053">
        <f>56*(10)</f>
        <v/>
      </c>
      <c r="BG477" s="1053">
        <f>50*(10)</f>
        <v/>
      </c>
      <c r="BH477" s="68">
        <f>BI477</f>
        <v/>
      </c>
      <c r="BI477" s="1111">
        <f>45*(10)</f>
        <v/>
      </c>
      <c r="BJ477" s="1053">
        <f>40*(10)</f>
        <v/>
      </c>
      <c r="BK477" s="1053">
        <f>46*(10)</f>
        <v/>
      </c>
      <c r="BL477" s="1053">
        <f>41*(10)</f>
        <v/>
      </c>
      <c r="BM477" s="68">
        <f>BN477</f>
        <v/>
      </c>
      <c r="BN477" s="1111">
        <f>37*(10)</f>
        <v/>
      </c>
      <c r="BO477" s="1053">
        <f>38*(10)</f>
        <v/>
      </c>
      <c r="BP477" s="1053" t="n">
        <v>348</v>
      </c>
      <c r="BQ477" s="1053" t="n">
        <v>308</v>
      </c>
      <c r="BR477" s="68">
        <f>BS477</f>
        <v/>
      </c>
      <c r="BS477" s="1111" t="n">
        <v>274</v>
      </c>
      <c r="BT477" s="1053" t="n">
        <v>277</v>
      </c>
      <c r="BU477" s="1053" t="n">
        <v>239</v>
      </c>
      <c r="BV477" s="1054" t="n">
        <v>203</v>
      </c>
      <c r="BW477" s="68" t="n"/>
      <c r="BX477" s="1110" t="n"/>
      <c r="BY477" s="68" t="n"/>
      <c r="BZ477" s="68" t="n"/>
      <c r="CA477" s="68" t="n"/>
      <c r="CB477" s="68" t="n"/>
      <c r="CC477" s="1110" t="n"/>
      <c r="CD477" s="1110" t="n"/>
      <c r="CE477" s="1110" t="n"/>
      <c r="CF477" s="1110" t="n"/>
      <c r="CG477" s="27" t="n"/>
    </row>
    <row r="478" hidden="1" outlineLevel="1" ht="15" customFormat="1" customHeight="1" s="1385">
      <c r="A478" s="1404" t="inlineStr">
        <is>
          <t>EoP RSUs, PSUs and Market-Based PSUs Price $/share</t>
        </is>
      </c>
      <c r="B478" s="1387" t="n"/>
      <c r="C478" s="1391" t="n"/>
      <c r="D478" s="1388">
        <f>12.28*(1/4)*(1/10)</f>
        <v/>
      </c>
      <c r="E478" s="1388">
        <f>13.23*(1/4)*(1/10)</f>
        <v/>
      </c>
      <c r="F478" s="1388">
        <f>15.1*(1/4)*(1/10)</f>
        <v/>
      </c>
      <c r="G478" s="1389">
        <f>15.14*(1/4)*(1/10)</f>
        <v/>
      </c>
      <c r="H478" s="1389">
        <f>15.01*(1/4)*(1/10)</f>
        <v/>
      </c>
      <c r="I478" s="1389">
        <f>14.55*(1/4)*(1/10)</f>
        <v/>
      </c>
      <c r="J478" s="1390">
        <f>K478</f>
        <v/>
      </c>
      <c r="K478" s="1388">
        <f>14.46*(1/4)*(1/10)</f>
        <v/>
      </c>
      <c r="L478" s="1389">
        <f>13.46*(1/4)*(1/10)</f>
        <v/>
      </c>
      <c r="M478" s="1389">
        <f>13.46*(1/4)*(1/10)</f>
        <v/>
      </c>
      <c r="N478" s="1389">
        <f>13.82*(1/4)*(1/10)</f>
        <v/>
      </c>
      <c r="O478" s="1390">
        <f>P478</f>
        <v/>
      </c>
      <c r="P478" s="1388">
        <f>13.82*(1/4)*(1/10)</f>
        <v/>
      </c>
      <c r="Q478" s="1389">
        <f>14.51*(1/4)*(1/10)</f>
        <v/>
      </c>
      <c r="R478" s="1389">
        <f>14.58*(1/4)*(1/10)</f>
        <v/>
      </c>
      <c r="S478" s="1389">
        <f>15.88*(1/4)*(1/10)</f>
        <v/>
      </c>
      <c r="T478" s="1390">
        <f>U478</f>
        <v/>
      </c>
      <c r="U478" s="1388">
        <f>15.94*(1/4)*(1/10)</f>
        <v/>
      </c>
      <c r="V478" s="1389">
        <f>17.01*(1/4)*(1/10)</f>
        <v/>
      </c>
      <c r="W478" s="1389">
        <f>17.12*(1/4)*(1/10)</f>
        <v/>
      </c>
      <c r="X478" s="1389">
        <f>18.84*(1/4)*(1/10)</f>
        <v/>
      </c>
      <c r="Y478" s="1390">
        <f>Z478</f>
        <v/>
      </c>
      <c r="Z478" s="1388">
        <f>19.12*(1/4)*(1/10)</f>
        <v/>
      </c>
      <c r="AA478" s="1389">
        <f>21.29*(1/4)*(1/10)</f>
        <v/>
      </c>
      <c r="AB478" s="1389">
        <f>21.89*(1/4)*(1/10)</f>
        <v/>
      </c>
      <c r="AC478" s="1389">
        <f>31.76*(1/4)*(1/10)</f>
        <v/>
      </c>
      <c r="AD478" s="1390">
        <f>AE478</f>
        <v/>
      </c>
      <c r="AE478" s="1388">
        <f>32.84*(1/4)*(1/10)</f>
        <v/>
      </c>
      <c r="AF478" s="1389">
        <f>40.9*(1/4)*(1/10)</f>
        <v/>
      </c>
      <c r="AG478" s="1389">
        <f>42.54*(1/4)*(1/10)</f>
        <v/>
      </c>
      <c r="AH478" s="1389">
        <f>64.42*(1/4)*(1/10)</f>
        <v/>
      </c>
      <c r="AI478" s="1390">
        <f>AJ478</f>
        <v/>
      </c>
      <c r="AJ478" s="1388">
        <f>66.72*(1/4)*(1/10)</f>
        <v/>
      </c>
      <c r="AK478" s="1389">
        <f>81.82*(1/4)*(1/10)</f>
        <v/>
      </c>
      <c r="AL478" s="1389">
        <f>84.56*(1/4)*(1/10)</f>
        <v/>
      </c>
      <c r="AM478" s="1389">
        <f>127.89*(1/4)*(1/10)</f>
        <v/>
      </c>
      <c r="AN478" s="1390">
        <f>AO478</f>
        <v/>
      </c>
      <c r="AO478" s="1388">
        <f>129.92*(1/4)*(1/10)</f>
        <v/>
      </c>
      <c r="AP478" s="1389">
        <f>159.28*(1/4)*(1/10)</f>
        <v/>
      </c>
      <c r="AQ478" s="1389">
        <f>161.37*(1/4)*(1/10)</f>
        <v/>
      </c>
      <c r="AR478" s="1389">
        <f>173.01*(1/4)*(1/10)</f>
        <v/>
      </c>
      <c r="AS478" s="1390">
        <f>AT478</f>
        <v/>
      </c>
      <c r="AT478" s="1388">
        <f>176.72*(1/4)*(1/10)</f>
        <v/>
      </c>
      <c r="AU478" s="1389">
        <f>191.23*(1/4)*(1/10)</f>
        <v/>
      </c>
      <c r="AV478" s="1389">
        <f>239.22*(1/4)*(1/10)</f>
        <v/>
      </c>
      <c r="AW478" s="1389">
        <f>253.81*(1/4)*(1/10)</f>
        <v/>
      </c>
      <c r="AX478" s="1390">
        <f>AY478</f>
        <v/>
      </c>
      <c r="AY478" s="1388">
        <f>264.69*(1/4)*(1/10)</f>
        <v/>
      </c>
      <c r="AZ478" s="1389">
        <f>279.79*(1/4)*(1/10)</f>
        <v/>
      </c>
      <c r="BA478" s="1389">
        <f>100.01*(1/10)</f>
        <v/>
      </c>
      <c r="BB478" s="1389">
        <f>107.42*(1/10)</f>
        <v/>
      </c>
      <c r="BC478" s="1390">
        <f>BD478</f>
        <v/>
      </c>
      <c r="BD478" s="1388">
        <f>114.19*(1/10)</f>
        <v/>
      </c>
      <c r="BE478" s="1389">
        <f>125.32*(1/10)</f>
        <v/>
      </c>
      <c r="BF478" s="1389">
        <f>148.43*(1/10)</f>
        <v/>
      </c>
      <c r="BG478" s="1389">
        <f>153.73*(1/10)</f>
        <v/>
      </c>
      <c r="BH478" s="1390">
        <f>BI478</f>
        <v/>
      </c>
      <c r="BI478" s="1388">
        <f>158.45*(1/10)</f>
        <v/>
      </c>
      <c r="BJ478" s="1389">
        <f>167.07*(1/10)</f>
        <v/>
      </c>
      <c r="BK478" s="1389">
        <f>219.47*(1/10)</f>
        <v/>
      </c>
      <c r="BL478" s="1389">
        <f>230.11*(1/10)</f>
        <v/>
      </c>
      <c r="BM478" s="1390">
        <f>BN478</f>
        <v/>
      </c>
      <c r="BN478" s="1388">
        <f>245.94*(1/10)</f>
        <v/>
      </c>
      <c r="BO478" s="1389">
        <f>361.45*(1/10)</f>
        <v/>
      </c>
      <c r="BP478" s="1389" t="n">
        <v>39.16</v>
      </c>
      <c r="BQ478" s="1389" t="n">
        <v>41.45</v>
      </c>
      <c r="BR478" s="1390">
        <f>BS478</f>
        <v/>
      </c>
      <c r="BS478" s="1388" t="n">
        <v>44.75</v>
      </c>
      <c r="BT478" s="1389" t="n">
        <v>56.32</v>
      </c>
      <c r="BU478" s="1389" t="n">
        <v>60.19</v>
      </c>
      <c r="BV478" s="1405" t="n">
        <v>66.59</v>
      </c>
      <c r="BW478" s="1390" t="n"/>
      <c r="BX478" s="1391" t="n"/>
      <c r="BY478" s="1390" t="n"/>
      <c r="BZ478" s="1390" t="n"/>
      <c r="CA478" s="1390" t="n"/>
      <c r="CB478" s="1390" t="n"/>
      <c r="CC478" s="1391" t="n"/>
      <c r="CD478" s="1391" t="n"/>
      <c r="CE478" s="1391" t="n"/>
      <c r="CF478" s="1391" t="n"/>
      <c r="CG478" s="1393" t="n"/>
    </row>
    <row r="479" hidden="1" outlineLevel="2" ht="15" customFormat="1" customHeight="1" s="1385">
      <c r="A479" s="1404" t="n"/>
      <c r="B479" s="1387" t="n"/>
      <c r="C479" s="1391" t="n"/>
      <c r="D479" s="1391" t="n"/>
      <c r="E479" s="1391" t="n"/>
      <c r="F479" s="1391" t="n"/>
      <c r="G479" s="1390" t="n"/>
      <c r="H479" s="1390" t="n"/>
      <c r="I479" s="1390" t="n"/>
      <c r="J479" s="1390" t="n"/>
      <c r="K479" s="1391" t="n"/>
      <c r="L479" s="1390" t="n"/>
      <c r="M479" s="1390" t="n"/>
      <c r="N479" s="1390" t="n"/>
      <c r="O479" s="1390" t="n"/>
      <c r="P479" s="1391" t="n"/>
      <c r="Q479" s="1390" t="n"/>
      <c r="R479" s="1390" t="n"/>
      <c r="S479" s="1390" t="n"/>
      <c r="T479" s="1390" t="n"/>
      <c r="U479" s="1391" t="n"/>
      <c r="V479" s="1390" t="n"/>
      <c r="W479" s="1390" t="n"/>
      <c r="X479" s="1390" t="n"/>
      <c r="Y479" s="1390" t="n"/>
      <c r="Z479" s="1391" t="n"/>
      <c r="AA479" s="1390" t="n"/>
      <c r="AB479" s="1390" t="n"/>
      <c r="AC479" s="1390" t="n"/>
      <c r="AD479" s="1390" t="n"/>
      <c r="AE479" s="1391" t="n"/>
      <c r="AF479" s="1390" t="n"/>
      <c r="AG479" s="1390" t="n"/>
      <c r="AH479" s="1390" t="n"/>
      <c r="AI479" s="1390" t="n"/>
      <c r="AJ479" s="1391" t="n"/>
      <c r="AK479" s="1390" t="n"/>
      <c r="AL479" s="1390" t="n"/>
      <c r="AM479" s="1390" t="n"/>
      <c r="AN479" s="1390" t="n"/>
      <c r="AO479" s="1391" t="n"/>
      <c r="AP479" s="1390" t="n"/>
      <c r="AQ479" s="1390" t="n"/>
      <c r="AR479" s="1390" t="n"/>
      <c r="AS479" s="1390" t="n"/>
      <c r="AT479" s="1391" t="n"/>
      <c r="AU479" s="1390" t="n"/>
      <c r="AV479" s="1390" t="n"/>
      <c r="AW479" s="1390" t="n"/>
      <c r="AX479" s="1390" t="n"/>
      <c r="AY479" s="1391" t="n"/>
      <c r="AZ479" s="1390" t="n"/>
      <c r="BA479" s="1390" t="n"/>
      <c r="BB479" s="1390" t="n"/>
      <c r="BC479" s="1390" t="n"/>
      <c r="BD479" s="1391" t="n"/>
      <c r="BE479" s="1390" t="n"/>
      <c r="BF479" s="1390" t="n"/>
      <c r="BG479" s="1390" t="n"/>
      <c r="BH479" s="1390" t="n"/>
      <c r="BI479" s="1391" t="n"/>
      <c r="BJ479" s="1390" t="n"/>
      <c r="BK479" s="1390" t="n"/>
      <c r="BL479" s="1390" t="n"/>
      <c r="BM479" s="1390" t="n"/>
      <c r="BN479" s="1391" t="n"/>
      <c r="BO479" s="1390" t="n"/>
      <c r="BP479" s="1390" t="n"/>
      <c r="BQ479" s="1390" t="n"/>
      <c r="BR479" s="1390" t="n"/>
      <c r="BS479" s="1391" t="n"/>
      <c r="BT479" s="1390" t="n"/>
      <c r="BU479" s="1390" t="n"/>
      <c r="BV479" s="1392" t="n"/>
      <c r="BW479" s="1390" t="n"/>
      <c r="BX479" s="1391" t="n"/>
      <c r="BY479" s="1390" t="n"/>
      <c r="BZ479" s="1390" t="n"/>
      <c r="CA479" s="1390" t="n"/>
      <c r="CB479" s="1390" t="n"/>
      <c r="CC479" s="1391" t="n"/>
      <c r="CD479" s="1391" t="n"/>
      <c r="CE479" s="1391" t="n"/>
      <c r="CF479" s="1391" t="n"/>
      <c r="CG479" s="1393" t="n"/>
    </row>
    <row r="480" hidden="1" outlineLevel="2" ht="15" customFormat="1" customHeight="1" s="1385">
      <c r="A480" s="1404" t="inlineStr">
        <is>
          <t>EoP ESPP Obligations, mm shares</t>
        </is>
      </c>
      <c r="B480" s="1387" t="n"/>
      <c r="C480" s="1391" t="n"/>
      <c r="D480" s="1391" t="n"/>
      <c r="E480" s="1391" t="n"/>
      <c r="F480" s="1391" t="n"/>
      <c r="G480" s="1390" t="n"/>
      <c r="H480" s="1390" t="n"/>
      <c r="I480" s="1390" t="n"/>
      <c r="J480" s="1390" t="n"/>
      <c r="K480" s="1391" t="n"/>
      <c r="L480" s="1390" t="n"/>
      <c r="M480" s="1390" t="n"/>
      <c r="N480" s="1390" t="n"/>
      <c r="O480" s="1390" t="n"/>
      <c r="P480" s="1391" t="n"/>
      <c r="Q480" s="1390" t="n"/>
      <c r="R480" s="1390" t="n"/>
      <c r="S480" s="1390" t="n"/>
      <c r="T480" s="1390" t="n"/>
      <c r="U480" s="1391" t="n"/>
      <c r="V480" s="1390" t="n"/>
      <c r="W480" s="1390" t="n"/>
      <c r="X480" s="1390" t="n"/>
      <c r="Y480" s="1390" t="n"/>
      <c r="Z480" s="1391" t="n"/>
      <c r="AA480" s="1390" t="n"/>
      <c r="AB480" s="1390" t="n"/>
      <c r="AC480" s="1390" t="n"/>
      <c r="AD480" s="1390" t="n"/>
      <c r="AE480" s="1391" t="n"/>
      <c r="AF480" s="1390" t="n"/>
      <c r="AG480" s="1390" t="n"/>
      <c r="AH480" s="1390" t="n"/>
      <c r="AI480" s="1390" t="n"/>
      <c r="AJ480" s="1391" t="n"/>
      <c r="AK480" s="1390" t="n"/>
      <c r="AL480" s="1390" t="n"/>
      <c r="AM480" s="1390" t="n"/>
      <c r="AN480" s="1390" t="n"/>
      <c r="AO480" s="1391" t="n"/>
      <c r="AP480" s="1390" t="n"/>
      <c r="AQ480" s="1390" t="n"/>
      <c r="AR480" s="1390" t="n"/>
      <c r="AS480" s="1390" t="n"/>
      <c r="AT480" s="1391" t="n"/>
      <c r="AU480" s="1390" t="n"/>
      <c r="AV480" s="1390" t="n"/>
      <c r="AW480" s="1390" t="n"/>
      <c r="AX480" s="1390" t="n"/>
      <c r="AY480" s="1391" t="n"/>
      <c r="AZ480" s="1390" t="n"/>
      <c r="BA480" s="1390" t="n"/>
      <c r="BB480" s="1390" t="n"/>
      <c r="BC480" s="1390" t="n"/>
      <c r="BD480" s="1391" t="n"/>
      <c r="BE480" s="1390" t="n"/>
      <c r="BF480" s="1390" t="n"/>
      <c r="BG480" s="1390" t="n"/>
      <c r="BH480" s="1390" t="n"/>
      <c r="BI480" s="1391" t="n"/>
      <c r="BJ480" s="1390" t="n"/>
      <c r="BK480" s="1390" t="n"/>
      <c r="BL480" s="1390" t="n"/>
      <c r="BM480" s="1390" t="n"/>
      <c r="BN480" s="1391" t="n"/>
      <c r="BO480" s="1390" t="n"/>
      <c r="BP480" s="1390" t="n"/>
      <c r="BQ480" s="1390" t="n"/>
      <c r="BR480" s="1390" t="n"/>
      <c r="BS480" s="1391" t="n"/>
      <c r="BT480" s="1390" t="n"/>
      <c r="BU480" s="1390" t="n"/>
      <c r="BV480" s="1392" t="n"/>
      <c r="BW480" s="1390" t="n"/>
      <c r="BX480" s="1391" t="n"/>
      <c r="BY480" s="1390" t="n"/>
      <c r="BZ480" s="1390" t="n"/>
      <c r="CA480" s="1390" t="n"/>
      <c r="CB480" s="1390" t="n"/>
      <c r="CC480" s="1391" t="n"/>
      <c r="CD480" s="1391" t="n"/>
      <c r="CE480" s="1391" t="n"/>
      <c r="CF480" s="1391" t="n"/>
      <c r="CG480" s="1393" t="n"/>
    </row>
    <row r="481" hidden="1" outlineLevel="1" collapsed="1" ht="15" customHeight="1">
      <c r="A481" s="811" t="n"/>
      <c r="B481" s="718" t="n"/>
      <c r="C481" s="1129" t="n"/>
      <c r="D481" s="1129" t="n"/>
      <c r="E481" s="1129" t="n"/>
      <c r="F481" s="1129" t="n"/>
      <c r="G481" s="983" t="n"/>
      <c r="H481" s="983" t="n"/>
      <c r="I481" s="983" t="n"/>
      <c r="J481" s="983" t="n"/>
      <c r="K481" s="1129" t="n"/>
      <c r="L481" s="983" t="n"/>
      <c r="M481" s="983" t="n"/>
      <c r="N481" s="983" t="n"/>
      <c r="O481" s="983" t="n"/>
      <c r="P481" s="1129" t="n"/>
      <c r="Q481" s="983" t="n"/>
      <c r="R481" s="983" t="n"/>
      <c r="S481" s="983" t="n"/>
      <c r="T481" s="983" t="n"/>
      <c r="U481" s="1129" t="n"/>
      <c r="V481" s="983" t="n"/>
      <c r="W481" s="983" t="n"/>
      <c r="X481" s="983" t="n"/>
      <c r="Y481" s="983" t="n"/>
      <c r="Z481" s="1129" t="n"/>
      <c r="AA481" s="983" t="n"/>
      <c r="AB481" s="983" t="n"/>
      <c r="AC481" s="983" t="n"/>
      <c r="AD481" s="983" t="n"/>
      <c r="AE481" s="1129" t="n"/>
      <c r="AF481" s="983" t="n"/>
      <c r="AG481" s="983" t="n"/>
      <c r="AH481" s="983" t="n"/>
      <c r="AI481" s="983" t="n"/>
      <c r="AJ481" s="1129" t="n"/>
      <c r="AK481" s="983" t="n"/>
      <c r="AL481" s="983" t="n"/>
      <c r="AM481" s="983" t="n"/>
      <c r="AN481" s="983" t="n"/>
      <c r="AO481" s="1129" t="n"/>
      <c r="AP481" s="983" t="n"/>
      <c r="AQ481" s="983" t="n"/>
      <c r="AR481" s="983" t="n"/>
      <c r="AS481" s="983" t="n"/>
      <c r="AT481" s="1129" t="n"/>
      <c r="AU481" s="983" t="n"/>
      <c r="AV481" s="983" t="n"/>
      <c r="AW481" s="983" t="n"/>
      <c r="AX481" s="983" t="n"/>
      <c r="AY481" s="1129" t="n"/>
      <c r="AZ481" s="983" t="n"/>
      <c r="BA481" s="983" t="n"/>
      <c r="BB481" s="983" t="n"/>
      <c r="BC481" s="983" t="n"/>
      <c r="BD481" s="1129" t="n"/>
      <c r="BE481" s="983" t="n"/>
      <c r="BF481" s="983" t="n"/>
      <c r="BG481" s="983" t="n"/>
      <c r="BH481" s="983" t="n"/>
      <c r="BI481" s="1129" t="n"/>
      <c r="BJ481" s="983" t="n"/>
      <c r="BK481" s="983" t="n"/>
      <c r="BL481" s="983" t="n"/>
      <c r="BM481" s="983" t="n"/>
      <c r="BN481" s="1129" t="n"/>
      <c r="BO481" s="983" t="n"/>
      <c r="BP481" s="983" t="n"/>
      <c r="BQ481" s="983" t="n"/>
      <c r="BR481" s="983" t="n"/>
      <c r="BS481" s="1129" t="n"/>
      <c r="BT481" s="983" t="n"/>
      <c r="BU481" s="983" t="n"/>
      <c r="BV481" s="984" t="n"/>
      <c r="BW481" s="983" t="n"/>
      <c r="BX481" s="1129" t="n"/>
      <c r="BY481" s="983" t="n"/>
      <c r="BZ481" s="983" t="n"/>
      <c r="CA481" s="983" t="n"/>
      <c r="CB481" s="983" t="n"/>
      <c r="CC481" s="1129" t="n"/>
      <c r="CD481" s="1129" t="n"/>
      <c r="CE481" s="1129" t="n"/>
      <c r="CF481" s="1129" t="n"/>
      <c r="CG481" s="228" t="n"/>
    </row>
    <row r="482" hidden="1" outlineLevel="1" ht="15" customFormat="1" customHeight="1" s="227">
      <c r="A482" s="636" t="inlineStr">
        <is>
          <t>EoP Potentially Dilutive Securities, mm shares</t>
        </is>
      </c>
      <c r="B482" s="146" t="n"/>
      <c r="C482" s="1110">
        <f>C472+C477+C480</f>
        <v/>
      </c>
      <c r="D482" s="1110">
        <f>D472+D477+D480</f>
        <v/>
      </c>
      <c r="E482" s="1110">
        <f>E472+E477+E480</f>
        <v/>
      </c>
      <c r="F482" s="1110">
        <f>F472+F477+F480</f>
        <v/>
      </c>
      <c r="G482" s="68">
        <f>G472+G477+G480</f>
        <v/>
      </c>
      <c r="H482" s="68">
        <f>H472+H477+H480</f>
        <v/>
      </c>
      <c r="I482" s="68">
        <f>I472+I477+I480</f>
        <v/>
      </c>
      <c r="J482" s="68">
        <f>J472+J477+J480</f>
        <v/>
      </c>
      <c r="K482" s="1110">
        <f>K472+K477+K480</f>
        <v/>
      </c>
      <c r="L482" s="68">
        <f>L472+L477+L480</f>
        <v/>
      </c>
      <c r="M482" s="68">
        <f>M472+M477+M480</f>
        <v/>
      </c>
      <c r="N482" s="68">
        <f>N472+N477+N480</f>
        <v/>
      </c>
      <c r="O482" s="68">
        <f>O472+O477+O480</f>
        <v/>
      </c>
      <c r="P482" s="1110">
        <f>P472+P477+P480</f>
        <v/>
      </c>
      <c r="Q482" s="68">
        <f>Q472+Q477+Q480</f>
        <v/>
      </c>
      <c r="R482" s="68">
        <f>R472+R477+R480</f>
        <v/>
      </c>
      <c r="S482" s="68">
        <f>S472+S477+S480</f>
        <v/>
      </c>
      <c r="T482" s="68">
        <f>T472+T477+T480</f>
        <v/>
      </c>
      <c r="U482" s="1110">
        <f>U472+U477+U480</f>
        <v/>
      </c>
      <c r="V482" s="68">
        <f>V472+V477+V480</f>
        <v/>
      </c>
      <c r="W482" s="68">
        <f>W472+W477+W480</f>
        <v/>
      </c>
      <c r="X482" s="68">
        <f>X472+X477+X480</f>
        <v/>
      </c>
      <c r="Y482" s="68">
        <f>Y472+Y477+Y480</f>
        <v/>
      </c>
      <c r="Z482" s="1110">
        <f>Z472+Z477+Z480</f>
        <v/>
      </c>
      <c r="AA482" s="68">
        <f>AA472+AA477+AA480</f>
        <v/>
      </c>
      <c r="AB482" s="68">
        <f>AB472+AB477+AB480</f>
        <v/>
      </c>
      <c r="AC482" s="68">
        <f>AC472+AC477+AC480</f>
        <v/>
      </c>
      <c r="AD482" s="68">
        <f>AD472+AD477+AD480</f>
        <v/>
      </c>
      <c r="AE482" s="1110">
        <f>AE472+AE477+AE480</f>
        <v/>
      </c>
      <c r="AF482" s="68">
        <f>AF472+AF477+AF480</f>
        <v/>
      </c>
      <c r="AG482" s="68">
        <f>AG472+AG477+AG480</f>
        <v/>
      </c>
      <c r="AH482" s="68">
        <f>AH472+AH477+AH480</f>
        <v/>
      </c>
      <c r="AI482" s="68">
        <f>AI472+AI477+AI480</f>
        <v/>
      </c>
      <c r="AJ482" s="1110">
        <f>AJ472+AJ477+AJ480</f>
        <v/>
      </c>
      <c r="AK482" s="68">
        <f>AK472+AK477+AK480</f>
        <v/>
      </c>
      <c r="AL482" s="68">
        <f>AL472+AL477+AL480</f>
        <v/>
      </c>
      <c r="AM482" s="68">
        <f>AM472+AM477+AM480</f>
        <v/>
      </c>
      <c r="AN482" s="68">
        <f>AN472+AN477+AN480</f>
        <v/>
      </c>
      <c r="AO482" s="1110">
        <f>AO472+AO477+AO480</f>
        <v/>
      </c>
      <c r="AP482" s="68">
        <f>AP472+AP477+AP480</f>
        <v/>
      </c>
      <c r="AQ482" s="68">
        <f>AQ472+AQ477+AQ480</f>
        <v/>
      </c>
      <c r="AR482" s="68">
        <f>AR472+AR477+AR480</f>
        <v/>
      </c>
      <c r="AS482" s="68">
        <f>AS472+AS477+AS480</f>
        <v/>
      </c>
      <c r="AT482" s="1110">
        <f>AT472+AT477+AT480</f>
        <v/>
      </c>
      <c r="AU482" s="68">
        <f>AU472+AU477+AU480</f>
        <v/>
      </c>
      <c r="AV482" s="68">
        <f>AV472+AV477+AV480</f>
        <v/>
      </c>
      <c r="AW482" s="68">
        <f>AW472+AW477+AW480</f>
        <v/>
      </c>
      <c r="AX482" s="68">
        <f>AX472+AX477+AX480</f>
        <v/>
      </c>
      <c r="AY482" s="1110">
        <f>AY472+AY477+AY480</f>
        <v/>
      </c>
      <c r="AZ482" s="68">
        <f>AZ472+AZ477+AZ480</f>
        <v/>
      </c>
      <c r="BA482" s="68">
        <f>BA472+BA477+BA480</f>
        <v/>
      </c>
      <c r="BB482" s="68">
        <f>BB472+BB477+BB480</f>
        <v/>
      </c>
      <c r="BC482" s="68">
        <f>BC472+BC477+BC480</f>
        <v/>
      </c>
      <c r="BD482" s="1110">
        <f>BD472+BD477+BD480</f>
        <v/>
      </c>
      <c r="BE482" s="68">
        <f>BE472+BE477+BE480</f>
        <v/>
      </c>
      <c r="BF482" s="68">
        <f>BF472+BF477+BF480</f>
        <v/>
      </c>
      <c r="BG482" s="68">
        <f>BG472+BG477+BG480</f>
        <v/>
      </c>
      <c r="BH482" s="68">
        <f>BH472+BH477+BH480</f>
        <v/>
      </c>
      <c r="BI482" s="1110">
        <f>BI472+BI477+BI480</f>
        <v/>
      </c>
      <c r="BJ482" s="68">
        <f>BJ472+BJ477+BJ480</f>
        <v/>
      </c>
      <c r="BK482" s="68">
        <f>BK472+BK477+BK480</f>
        <v/>
      </c>
      <c r="BL482" s="68">
        <f>BL472+BL477+BL480</f>
        <v/>
      </c>
      <c r="BM482" s="68">
        <f>BM472+BM477+BM480</f>
        <v/>
      </c>
      <c r="BN482" s="1110">
        <f>BN472+BN477+BN480</f>
        <v/>
      </c>
      <c r="BO482" s="68">
        <f>BO472+BO477+BO480</f>
        <v/>
      </c>
      <c r="BP482" s="68">
        <f>BP472+BP477+BP480</f>
        <v/>
      </c>
      <c r="BQ482" s="68">
        <f>BQ472+BQ477+BQ480</f>
        <v/>
      </c>
      <c r="BR482" s="68">
        <f>BR472+BR477+BR480</f>
        <v/>
      </c>
      <c r="BS482" s="1110">
        <f>BS472+BS477+BS480</f>
        <v/>
      </c>
      <c r="BT482" s="68">
        <f>BT472+BT477+BT480</f>
        <v/>
      </c>
      <c r="BU482" s="68">
        <f>BU472+BU477+BU480</f>
        <v/>
      </c>
      <c r="BV482" s="588">
        <f>BV472+BV477+BV480</f>
        <v/>
      </c>
      <c r="BW482" s="68" t="n"/>
      <c r="BX482" s="1110" t="n"/>
      <c r="BY482" s="68" t="n"/>
      <c r="BZ482" s="68" t="n"/>
      <c r="CA482" s="68" t="n"/>
      <c r="CB482" s="68" t="n"/>
      <c r="CC482" s="1110" t="n"/>
      <c r="CD482" s="1110" t="n"/>
      <c r="CE482" s="1110" t="n"/>
      <c r="CF482" s="1110" t="n"/>
      <c r="CG482" s="27" t="n"/>
    </row>
    <row r="483" hidden="1" outlineLevel="1" ht="15" customHeight="1">
      <c r="A483" s="605" t="n"/>
      <c r="B483" s="428" t="n"/>
      <c r="C483" s="1134" t="n"/>
      <c r="D483" s="1134" t="n"/>
      <c r="E483" s="1134" t="n"/>
      <c r="F483" s="1134" t="n"/>
      <c r="G483" s="93" t="n"/>
      <c r="H483" s="93" t="n"/>
      <c r="I483" s="93" t="n"/>
      <c r="J483" s="93" t="n"/>
      <c r="K483" s="1134" t="n"/>
      <c r="L483" s="93" t="n"/>
      <c r="M483" s="93" t="n"/>
      <c r="N483" s="93" t="n"/>
      <c r="O483" s="93" t="n"/>
      <c r="P483" s="1134" t="n"/>
      <c r="Q483" s="93" t="n"/>
      <c r="R483" s="93" t="n"/>
      <c r="S483" s="93" t="n"/>
      <c r="T483" s="93" t="n"/>
      <c r="U483" s="1134" t="n"/>
      <c r="V483" s="93" t="n"/>
      <c r="W483" s="93" t="n"/>
      <c r="X483" s="93" t="n"/>
      <c r="Y483" s="93" t="n"/>
      <c r="Z483" s="1134" t="n"/>
      <c r="AA483" s="93" t="n"/>
      <c r="AB483" s="93" t="n"/>
      <c r="AC483" s="93" t="n"/>
      <c r="AD483" s="93" t="n"/>
      <c r="AE483" s="1134" t="n"/>
      <c r="AF483" s="93" t="n"/>
      <c r="AG483" s="93" t="n"/>
      <c r="AH483" s="93" t="n"/>
      <c r="AI483" s="93" t="n"/>
      <c r="AJ483" s="1134" t="n"/>
      <c r="AK483" s="93" t="n"/>
      <c r="AL483" s="93" t="n"/>
      <c r="AM483" s="93" t="n"/>
      <c r="AN483" s="93" t="n"/>
      <c r="AO483" s="1134" t="n"/>
      <c r="AP483" s="93" t="n"/>
      <c r="AQ483" s="93" t="n"/>
      <c r="AR483" s="93" t="n"/>
      <c r="AS483" s="93" t="n"/>
      <c r="AT483" s="1134" t="n"/>
      <c r="AU483" s="93" t="n"/>
      <c r="AV483" s="93" t="n"/>
      <c r="AW483" s="93" t="n"/>
      <c r="AX483" s="93" t="n"/>
      <c r="AY483" s="1134" t="n"/>
      <c r="AZ483" s="93" t="n"/>
      <c r="BA483" s="93" t="n"/>
      <c r="BB483" s="93" t="n"/>
      <c r="BC483" s="93" t="n"/>
      <c r="BD483" s="1134" t="n"/>
      <c r="BE483" s="93" t="n"/>
      <c r="BF483" s="93" t="n"/>
      <c r="BG483" s="93" t="n"/>
      <c r="BH483" s="93" t="n"/>
      <c r="BI483" s="1134" t="n"/>
      <c r="BJ483" s="93" t="n"/>
      <c r="BK483" s="93" t="n"/>
      <c r="BL483" s="93" t="n"/>
      <c r="BM483" s="93" t="n"/>
      <c r="BN483" s="1134" t="n"/>
      <c r="BO483" s="93" t="n"/>
      <c r="BP483" s="93" t="n"/>
      <c r="BQ483" s="93" t="n"/>
      <c r="BR483" s="93" t="n"/>
      <c r="BS483" s="1134" t="n"/>
      <c r="BT483" s="93" t="n"/>
      <c r="BU483" s="93" t="n"/>
      <c r="BV483" s="522" t="n"/>
      <c r="BW483" s="93" t="n"/>
      <c r="BX483" s="1134" t="n"/>
      <c r="BY483" s="93" t="n"/>
      <c r="BZ483" s="93" t="n"/>
      <c r="CA483" s="93" t="n"/>
      <c r="CB483" s="93" t="n"/>
      <c r="CC483" s="1134" t="n"/>
      <c r="CD483" s="1134" t="n"/>
      <c r="CE483" s="1134" t="n"/>
      <c r="CF483" s="1134" t="n"/>
      <c r="CG483" s="228" t="n"/>
    </row>
    <row r="484" hidden="1" outlineLevel="1" ht="15" customFormat="1" customHeight="1" s="44">
      <c r="A484" s="600" t="inlineStr">
        <is>
          <t>Canalyst EoP Fully Diluted Shares Outstanding, mm shares</t>
        </is>
      </c>
      <c r="B484" s="279" t="n"/>
      <c r="C484" s="1125">
        <f>C436+C482</f>
        <v/>
      </c>
      <c r="D484" s="1125">
        <f>D436+D482</f>
        <v/>
      </c>
      <c r="E484" s="1125">
        <f>E436+E482</f>
        <v/>
      </c>
      <c r="F484" s="1125">
        <f>F436+F482</f>
        <v/>
      </c>
      <c r="G484" s="63">
        <f>G436+G482</f>
        <v/>
      </c>
      <c r="H484" s="63">
        <f>H436+H482</f>
        <v/>
      </c>
      <c r="I484" s="63">
        <f>I436+I482</f>
        <v/>
      </c>
      <c r="J484" s="63">
        <f>J436+J482</f>
        <v/>
      </c>
      <c r="K484" s="1125">
        <f>K436+K482</f>
        <v/>
      </c>
      <c r="L484" s="63">
        <f>L436+L482</f>
        <v/>
      </c>
      <c r="M484" s="63">
        <f>M436+M482</f>
        <v/>
      </c>
      <c r="N484" s="63">
        <f>N436+N482</f>
        <v/>
      </c>
      <c r="O484" s="63">
        <f>O436+O482</f>
        <v/>
      </c>
      <c r="P484" s="1125">
        <f>P436+P482</f>
        <v/>
      </c>
      <c r="Q484" s="63">
        <f>Q436+Q482</f>
        <v/>
      </c>
      <c r="R484" s="63">
        <f>R436+R482</f>
        <v/>
      </c>
      <c r="S484" s="63">
        <f>S436+S482</f>
        <v/>
      </c>
      <c r="T484" s="63">
        <f>T436+T482</f>
        <v/>
      </c>
      <c r="U484" s="1125">
        <f>U436+U482</f>
        <v/>
      </c>
      <c r="V484" s="63">
        <f>V436+V482</f>
        <v/>
      </c>
      <c r="W484" s="63">
        <f>W436+W482</f>
        <v/>
      </c>
      <c r="X484" s="63">
        <f>X436+X482</f>
        <v/>
      </c>
      <c r="Y484" s="63">
        <f>Y436+Y482</f>
        <v/>
      </c>
      <c r="Z484" s="1125">
        <f>Z436+Z482</f>
        <v/>
      </c>
      <c r="AA484" s="63">
        <f>AA436+AA482</f>
        <v/>
      </c>
      <c r="AB484" s="63">
        <f>AB436+AB482</f>
        <v/>
      </c>
      <c r="AC484" s="63">
        <f>AC436+AC482</f>
        <v/>
      </c>
      <c r="AD484" s="63">
        <f>AD436+AD482</f>
        <v/>
      </c>
      <c r="AE484" s="1125">
        <f>AE436+AE482</f>
        <v/>
      </c>
      <c r="AF484" s="63">
        <f>AF436+AF482</f>
        <v/>
      </c>
      <c r="AG484" s="63">
        <f>AG436+AG482</f>
        <v/>
      </c>
      <c r="AH484" s="63">
        <f>AH436+AH482</f>
        <v/>
      </c>
      <c r="AI484" s="63">
        <f>AI436+AI482</f>
        <v/>
      </c>
      <c r="AJ484" s="1125">
        <f>AJ436+AJ482</f>
        <v/>
      </c>
      <c r="AK484" s="63">
        <f>AK436+AK482</f>
        <v/>
      </c>
      <c r="AL484" s="63">
        <f>AL436+AL482</f>
        <v/>
      </c>
      <c r="AM484" s="63">
        <f>AM436+AM482</f>
        <v/>
      </c>
      <c r="AN484" s="63">
        <f>AN436+AN482</f>
        <v/>
      </c>
      <c r="AO484" s="1125">
        <f>AO436+AO482</f>
        <v/>
      </c>
      <c r="AP484" s="63">
        <f>AP436+AP482</f>
        <v/>
      </c>
      <c r="AQ484" s="63">
        <f>AQ436+AQ482</f>
        <v/>
      </c>
      <c r="AR484" s="63">
        <f>AR436+AR482</f>
        <v/>
      </c>
      <c r="AS484" s="63">
        <f>AS436+AS482</f>
        <v/>
      </c>
      <c r="AT484" s="1125">
        <f>AT436+AT482</f>
        <v/>
      </c>
      <c r="AU484" s="63">
        <f>AU436+AU482</f>
        <v/>
      </c>
      <c r="AV484" s="63">
        <f>AV436+AV482</f>
        <v/>
      </c>
      <c r="AW484" s="63">
        <f>AW436+AW482</f>
        <v/>
      </c>
      <c r="AX484" s="63">
        <f>AX436+AX482</f>
        <v/>
      </c>
      <c r="AY484" s="1125">
        <f>AY436+AY482</f>
        <v/>
      </c>
      <c r="AZ484" s="63">
        <f>AZ436+AZ482</f>
        <v/>
      </c>
      <c r="BA484" s="63">
        <f>BA436+BA482</f>
        <v/>
      </c>
      <c r="BB484" s="63">
        <f>BB436+BB482</f>
        <v/>
      </c>
      <c r="BC484" s="63">
        <f>BC436+BC482</f>
        <v/>
      </c>
      <c r="BD484" s="1125">
        <f>BD436+BD482</f>
        <v/>
      </c>
      <c r="BE484" s="63">
        <f>BE436+BE482</f>
        <v/>
      </c>
      <c r="BF484" s="63">
        <f>BF436+BF482</f>
        <v/>
      </c>
      <c r="BG484" s="63">
        <f>BG436+BG482</f>
        <v/>
      </c>
      <c r="BH484" s="63">
        <f>BH436+BH482</f>
        <v/>
      </c>
      <c r="BI484" s="1125">
        <f>BI436+BI482</f>
        <v/>
      </c>
      <c r="BJ484" s="63">
        <f>BJ436+BJ482</f>
        <v/>
      </c>
      <c r="BK484" s="63">
        <f>BK436+BK482</f>
        <v/>
      </c>
      <c r="BL484" s="63">
        <f>BL436+BL482</f>
        <v/>
      </c>
      <c r="BM484" s="63">
        <f>BM436+BM482</f>
        <v/>
      </c>
      <c r="BN484" s="1125">
        <f>BN436+BN482</f>
        <v/>
      </c>
      <c r="BO484" s="63">
        <f>BO436+BO482</f>
        <v/>
      </c>
      <c r="BP484" s="63">
        <f>BP436+BP482</f>
        <v/>
      </c>
      <c r="BQ484" s="63">
        <f>BQ436+BQ482</f>
        <v/>
      </c>
      <c r="BR484" s="63">
        <f>BR436+BR482</f>
        <v/>
      </c>
      <c r="BS484" s="1125">
        <f>BS436+BS482</f>
        <v/>
      </c>
      <c r="BT484" s="63">
        <f>BT436+BT482</f>
        <v/>
      </c>
      <c r="BU484" s="63">
        <f>BU436+BU482</f>
        <v/>
      </c>
      <c r="BV484" s="587">
        <f>BV436+BV482</f>
        <v/>
      </c>
      <c r="BW484" s="63" t="n"/>
      <c r="BX484" s="1125" t="n"/>
      <c r="BY484" s="63" t="n"/>
      <c r="BZ484" s="63" t="n"/>
      <c r="CA484" s="63" t="n"/>
      <c r="CB484" s="63" t="n"/>
      <c r="CC484" s="1125" t="n"/>
      <c r="CD484" s="1125" t="n"/>
      <c r="CE484" s="1125" t="n"/>
      <c r="CF484" s="1125" t="n"/>
      <c r="CG484" s="28" t="n"/>
    </row>
    <row r="485" hidden="1" outlineLevel="1" ht="15" customHeight="1">
      <c r="A485" s="605" t="n"/>
      <c r="B485" s="428" t="n"/>
      <c r="C485" s="1134" t="n"/>
      <c r="D485" s="1134" t="n"/>
      <c r="E485" s="1134" t="n"/>
      <c r="F485" s="1134" t="n"/>
      <c r="G485" s="93" t="n"/>
      <c r="H485" s="93" t="n"/>
      <c r="I485" s="93" t="n"/>
      <c r="J485" s="93" t="n"/>
      <c r="K485" s="1134" t="n"/>
      <c r="L485" s="93" t="n"/>
      <c r="M485" s="93" t="n"/>
      <c r="N485" s="93" t="n"/>
      <c r="O485" s="93" t="n"/>
      <c r="P485" s="1134" t="n"/>
      <c r="Q485" s="93" t="n"/>
      <c r="R485" s="93" t="n"/>
      <c r="S485" s="93" t="n"/>
      <c r="T485" s="93" t="n"/>
      <c r="U485" s="1134" t="n"/>
      <c r="V485" s="93" t="n"/>
      <c r="W485" s="93" t="n"/>
      <c r="X485" s="93" t="n"/>
      <c r="Y485" s="93" t="n"/>
      <c r="Z485" s="1134" t="n"/>
      <c r="AA485" s="93" t="n"/>
      <c r="AB485" s="93" t="n"/>
      <c r="AC485" s="93" t="n"/>
      <c r="AD485" s="93" t="n"/>
      <c r="AE485" s="1134" t="n"/>
      <c r="AF485" s="93" t="n"/>
      <c r="AG485" s="93" t="n"/>
      <c r="AH485" s="93" t="n"/>
      <c r="AI485" s="93" t="n"/>
      <c r="AJ485" s="1134" t="n"/>
      <c r="AK485" s="93" t="n"/>
      <c r="AL485" s="93" t="n"/>
      <c r="AM485" s="93" t="n"/>
      <c r="AN485" s="93" t="n"/>
      <c r="AO485" s="1134" t="n"/>
      <c r="AP485" s="93" t="n"/>
      <c r="AQ485" s="93" t="n"/>
      <c r="AR485" s="93" t="n"/>
      <c r="AS485" s="93" t="n"/>
      <c r="AT485" s="1134" t="n"/>
      <c r="AU485" s="93" t="n"/>
      <c r="AV485" s="93" t="n"/>
      <c r="AW485" s="93" t="n"/>
      <c r="AX485" s="93" t="n"/>
      <c r="AY485" s="1134" t="n"/>
      <c r="AZ485" s="93" t="n"/>
      <c r="BA485" s="93" t="n"/>
      <c r="BB485" s="93" t="n"/>
      <c r="BC485" s="93" t="n"/>
      <c r="BD485" s="1134" t="n"/>
      <c r="BE485" s="93" t="n"/>
      <c r="BF485" s="93" t="n"/>
      <c r="BG485" s="93" t="n"/>
      <c r="BH485" s="93" t="n"/>
      <c r="BI485" s="1134" t="n"/>
      <c r="BJ485" s="93" t="n"/>
      <c r="BK485" s="93" t="n"/>
      <c r="BL485" s="93" t="n"/>
      <c r="BM485" s="93" t="n"/>
      <c r="BN485" s="1134" t="n"/>
      <c r="BO485" s="93" t="n"/>
      <c r="BP485" s="93" t="n"/>
      <c r="BQ485" s="93" t="n"/>
      <c r="BR485" s="93" t="n"/>
      <c r="BS485" s="1134" t="n"/>
      <c r="BT485" s="93" t="n"/>
      <c r="BU485" s="93" t="n"/>
      <c r="BV485" s="522" t="n"/>
      <c r="BW485" s="93" t="n"/>
      <c r="BX485" s="1134" t="n"/>
      <c r="BY485" s="93" t="n"/>
      <c r="BZ485" s="93" t="n"/>
      <c r="CA485" s="93" t="n"/>
      <c r="CB485" s="93" t="n"/>
      <c r="CC485" s="1134" t="n"/>
      <c r="CD485" s="1134" t="n"/>
      <c r="CE485" s="1134" t="n"/>
      <c r="CF485" s="1134" t="n"/>
      <c r="CG485" s="155" t="n"/>
    </row>
    <row r="486" hidden="1" outlineLevel="1" ht="15" customFormat="1" customHeight="1" s="227">
      <c r="A486" s="636" t="inlineStr">
        <is>
          <t>Cover Page Common Stock Outstanding, mm shares</t>
        </is>
      </c>
      <c r="B486" s="146" t="n"/>
      <c r="C486" s="1111">
        <f>542.453547*(4)*(10)</f>
        <v/>
      </c>
      <c r="D486" s="1111">
        <f>566.5*(4)*(10)</f>
        <v/>
      </c>
      <c r="E486" s="1111">
        <f>591.4*(4)*(10)</f>
        <v/>
      </c>
      <c r="F486" s="1111">
        <f>616.028107*(4)*(10)</f>
        <v/>
      </c>
      <c r="G486" s="1053">
        <f>618.804109*(4)*(10)</f>
        <v/>
      </c>
      <c r="H486" s="1053">
        <f>619.476242*(4)*(10)</f>
        <v/>
      </c>
      <c r="I486" s="1053">
        <f>624.850798*(4)*(10)</f>
        <v/>
      </c>
      <c r="J486" s="68">
        <f>K486</f>
        <v/>
      </c>
      <c r="K486" s="1111">
        <f>615.980172*(4)*(10)</f>
        <v/>
      </c>
      <c r="L486" s="1053">
        <f>577.91641*(4)*(10)</f>
        <v/>
      </c>
      <c r="M486" s="1053">
        <f>578.598038*(4)*(10)</f>
        <v/>
      </c>
      <c r="N486" s="1053">
        <f>568.535613*(4)*(10)</f>
        <v/>
      </c>
      <c r="O486" s="68">
        <f>P486</f>
        <v/>
      </c>
      <c r="P486" s="1111">
        <f>554.241412*(4)*(10)</f>
        <v/>
      </c>
      <c r="Q486" s="1053">
        <f>557.966266*(4)*(10)</f>
        <v/>
      </c>
      <c r="R486" s="1053">
        <f>541.915105*(4)*(10)</f>
        <v/>
      </c>
      <c r="S486" s="1053">
        <f>543.536901*(4)*(10)</f>
        <v/>
      </c>
      <c r="T486" s="68">
        <f>U486</f>
        <v/>
      </c>
      <c r="U486" s="1111">
        <f>549.840211*(4)*(10)</f>
        <v/>
      </c>
      <c r="V486" s="1053">
        <f>538*(4)*(10)</f>
        <v/>
      </c>
      <c r="W486" s="1053">
        <f>539*(4)*(10)</f>
        <v/>
      </c>
      <c r="X486" s="1053">
        <f>538*(4)*(10)</f>
        <v/>
      </c>
      <c r="Y486" s="68">
        <f>Z486</f>
        <v/>
      </c>
      <c r="Z486" s="1111">
        <f>542*(4)*(10)</f>
        <v/>
      </c>
      <c r="AA486" s="1053">
        <f>534*(4)*(10)</f>
        <v/>
      </c>
      <c r="AB486" s="1053">
        <f>535*(4)*(10)</f>
        <v/>
      </c>
      <c r="AC486" s="1053">
        <f>539*(4)*(10)</f>
        <v/>
      </c>
      <c r="AD486" s="68">
        <f>AE486</f>
        <v/>
      </c>
      <c r="AE486" s="1111">
        <f>589*(4)*(10)</f>
        <v/>
      </c>
      <c r="AF486" s="1053">
        <f>595*(4)*(10)</f>
        <v/>
      </c>
      <c r="AG486" s="1053">
        <f>600*(4)*(10)</f>
        <v/>
      </c>
      <c r="AH486" s="1053">
        <f>606*(4)*(10)</f>
        <v/>
      </c>
      <c r="AI486" s="68">
        <f>AJ486</f>
        <v/>
      </c>
      <c r="AJ486" s="1111">
        <f>605*(4)*(10)</f>
        <v/>
      </c>
      <c r="AK486" s="1053">
        <f>607*(4)*(10)</f>
        <v/>
      </c>
      <c r="AL486" s="1053">
        <f>608*(4)*(10)</f>
        <v/>
      </c>
      <c r="AM486" s="1053">
        <f>610*(4)*(10)</f>
        <v/>
      </c>
      <c r="AN486" s="68">
        <f>AO486</f>
        <v/>
      </c>
      <c r="AO486" s="1111">
        <f>606*(4)*(10)</f>
        <v/>
      </c>
      <c r="AP486" s="1053">
        <f>609*(4)*(10)</f>
        <v/>
      </c>
      <c r="AQ486" s="1053">
        <f>609*(4)*(10)</f>
        <v/>
      </c>
      <c r="AR486" s="1053">
        <f>612*(4)*(10)</f>
        <v/>
      </c>
      <c r="AS486" s="68">
        <f>AT486</f>
        <v/>
      </c>
      <c r="AT486" s="1111">
        <f>612*(4)*(10)</f>
        <v/>
      </c>
      <c r="AU486" s="1053">
        <f>615*(4)*(10)</f>
        <v/>
      </c>
      <c r="AV486" s="1053">
        <f>617*(4)*(10)</f>
        <v/>
      </c>
      <c r="AW486" s="1053">
        <f>619*(4)*(10)</f>
        <v/>
      </c>
      <c r="AX486" s="68">
        <f>AY486</f>
        <v/>
      </c>
      <c r="AY486" s="1111">
        <f>620*(4)*(10)</f>
        <v/>
      </c>
      <c r="AZ486" s="1053">
        <f>623*(4)*(10)</f>
        <v/>
      </c>
      <c r="BA486" s="1053">
        <f>2500*(10)</f>
        <v/>
      </c>
      <c r="BB486" s="1053">
        <f>2500*(10)</f>
        <v/>
      </c>
      <c r="BC486" s="68">
        <f>BD486</f>
        <v/>
      </c>
      <c r="BD486" s="1111">
        <f>2510*(10)</f>
        <v/>
      </c>
      <c r="BE486" s="1053">
        <f>2500*(10)</f>
        <v/>
      </c>
      <c r="BF486" s="1053">
        <f>2490*(10)</f>
        <v/>
      </c>
      <c r="BG486" s="1053">
        <f>2460*(10)</f>
        <v/>
      </c>
      <c r="BH486" s="68">
        <f>BI486</f>
        <v/>
      </c>
      <c r="BI486" s="1111">
        <f>2470*(10)</f>
        <v/>
      </c>
      <c r="BJ486" s="1053">
        <f>2470*(10)</f>
        <v/>
      </c>
      <c r="BK486" s="1053">
        <f>2470*(10)</f>
        <v/>
      </c>
      <c r="BL486" s="1053">
        <f>2470*(10)</f>
        <v/>
      </c>
      <c r="BM486" s="68">
        <f>BN486</f>
        <v/>
      </c>
      <c r="BN486" s="1111">
        <f>2500*(10)</f>
        <v/>
      </c>
      <c r="BO486" s="1053">
        <f>2460*(10)</f>
        <v/>
      </c>
      <c r="BP486" s="1053" t="n">
        <v>24530</v>
      </c>
      <c r="BQ486" s="1053" t="n">
        <v>24490</v>
      </c>
      <c r="BR486" s="68">
        <f>BS486</f>
        <v/>
      </c>
      <c r="BS486" s="1111" t="n">
        <v>24400</v>
      </c>
      <c r="BT486" s="1053" t="n">
        <v>24400</v>
      </c>
      <c r="BU486" s="1053" t="n">
        <v>24300</v>
      </c>
      <c r="BV486" s="1054" t="n">
        <v>24300</v>
      </c>
      <c r="BW486" s="68" t="n"/>
      <c r="BX486" s="1110" t="n"/>
      <c r="BY486" s="68" t="n"/>
      <c r="BZ486" s="68" t="n"/>
      <c r="CA486" s="68" t="n"/>
      <c r="CB486" s="68" t="n"/>
      <c r="CC486" s="1110" t="n"/>
      <c r="CD486" s="1110" t="n"/>
      <c r="CE486" s="1110" t="n"/>
      <c r="CF486" s="1110" t="n"/>
      <c r="CG486" s="27" t="n"/>
    </row>
    <row r="487" hidden="1" outlineLevel="1" ht="15" customHeight="1">
      <c r="A487" s="605" t="inlineStr">
        <is>
          <t>Date of Cover Page Share Count, date</t>
        </is>
      </c>
      <c r="B487" s="428" t="n"/>
      <c r="C487" s="1406" t="n">
        <v>39878</v>
      </c>
      <c r="D487" s="1406" t="n">
        <v>40247</v>
      </c>
      <c r="E487" s="1406" t="n">
        <v>40612</v>
      </c>
      <c r="F487" s="1406" t="n">
        <v>40977</v>
      </c>
      <c r="G487" s="1407" t="n">
        <v>41047</v>
      </c>
      <c r="H487" s="1407" t="n">
        <v>41138</v>
      </c>
      <c r="I487" s="1407" t="n">
        <v>41229</v>
      </c>
      <c r="J487" s="1371">
        <f>K487</f>
        <v/>
      </c>
      <c r="K487" s="1406" t="n">
        <v>41341</v>
      </c>
      <c r="L487" s="1407" t="n">
        <v>41411</v>
      </c>
      <c r="M487" s="1407" t="n">
        <v>41502</v>
      </c>
      <c r="N487" s="1407" t="n">
        <v>41593</v>
      </c>
      <c r="O487" s="1371">
        <f>P487</f>
        <v/>
      </c>
      <c r="P487" s="1406" t="n">
        <v>41705</v>
      </c>
      <c r="Q487" s="1407" t="n">
        <v>41775</v>
      </c>
      <c r="R487" s="1407" t="n">
        <v>41866</v>
      </c>
      <c r="S487" s="1407" t="n">
        <v>41957</v>
      </c>
      <c r="T487" s="1371">
        <f>U487</f>
        <v/>
      </c>
      <c r="U487" s="1406" t="n">
        <v>42069</v>
      </c>
      <c r="V487" s="1407" t="n">
        <v>42139</v>
      </c>
      <c r="W487" s="1407" t="n">
        <v>42230</v>
      </c>
      <c r="X487" s="1407" t="n">
        <v>42321</v>
      </c>
      <c r="Y487" s="1371">
        <f>Z487</f>
        <v/>
      </c>
      <c r="Z487" s="1406" t="n">
        <v>42440</v>
      </c>
      <c r="AA487" s="1407" t="n">
        <v>42513</v>
      </c>
      <c r="AB487" s="1407" t="n">
        <v>42601</v>
      </c>
      <c r="AC487" s="1407" t="n">
        <v>42692</v>
      </c>
      <c r="AD487" s="1371">
        <f>AE487</f>
        <v/>
      </c>
      <c r="AE487" s="1406" t="n">
        <v>42790</v>
      </c>
      <c r="AF487" s="1407" t="n">
        <v>42509</v>
      </c>
      <c r="AG487" s="1407" t="n">
        <v>42965</v>
      </c>
      <c r="AH487" s="1407" t="n">
        <v>43056</v>
      </c>
      <c r="AI487" s="1371">
        <f>AJ487</f>
        <v/>
      </c>
      <c r="AJ487" s="1406" t="n">
        <v>43157</v>
      </c>
      <c r="AK487" s="1407" t="n">
        <v>43238</v>
      </c>
      <c r="AL487" s="1407" t="n">
        <v>43322</v>
      </c>
      <c r="AM487" s="1407" t="n">
        <v>43413</v>
      </c>
      <c r="AN487" s="1371">
        <f>AO487</f>
        <v/>
      </c>
      <c r="AO487" s="1406" t="n">
        <v>43511</v>
      </c>
      <c r="AP487" s="1407" t="n">
        <v>43595</v>
      </c>
      <c r="AQ487" s="1407" t="n">
        <v>43686</v>
      </c>
      <c r="AR487" s="1407" t="n">
        <v>43777</v>
      </c>
      <c r="AS487" s="1371">
        <f>AT487</f>
        <v/>
      </c>
      <c r="AT487" s="1406" t="n">
        <v>43875</v>
      </c>
      <c r="AU487" s="1407" t="n">
        <v>43966</v>
      </c>
      <c r="AV487" s="1407" t="n">
        <v>44057</v>
      </c>
      <c r="AW487" s="1407" t="n">
        <v>44148</v>
      </c>
      <c r="AX487" s="1371">
        <f>AY487</f>
        <v/>
      </c>
      <c r="AY487" s="1406" t="n">
        <v>44246</v>
      </c>
      <c r="AZ487" s="1407" t="n">
        <v>44337</v>
      </c>
      <c r="BA487" s="1407" t="n">
        <v>44421</v>
      </c>
      <c r="BB487" s="1407" t="n">
        <v>44512</v>
      </c>
      <c r="BC487" s="1371">
        <f>BD487</f>
        <v/>
      </c>
      <c r="BD487" s="1406" t="n">
        <v>44631</v>
      </c>
      <c r="BE487" s="1407" t="n">
        <v>44701</v>
      </c>
      <c r="BF487" s="1407" t="n">
        <v>44792</v>
      </c>
      <c r="BG487" s="1407" t="n">
        <v>44876</v>
      </c>
      <c r="BH487" s="1371">
        <f>BI487</f>
        <v/>
      </c>
      <c r="BI487" s="1406" t="n">
        <v>44974</v>
      </c>
      <c r="BJ487" s="1407" t="n">
        <v>45065</v>
      </c>
      <c r="BK487" s="1407" t="n">
        <v>45156</v>
      </c>
      <c r="BL487" s="1407" t="n">
        <v>45247</v>
      </c>
      <c r="BM487" s="1371">
        <f>BN487</f>
        <v/>
      </c>
      <c r="BN487" s="1406" t="n">
        <v>45338</v>
      </c>
      <c r="BO487" s="1407" t="n">
        <v>45436</v>
      </c>
      <c r="BP487" s="1407" t="n">
        <v>45527</v>
      </c>
      <c r="BQ487" s="1407" t="n">
        <v>45611</v>
      </c>
      <c r="BR487" s="1371">
        <f>BS487</f>
        <v/>
      </c>
      <c r="BS487" s="1406" t="n">
        <v>45709</v>
      </c>
      <c r="BT487" s="1407" t="n">
        <v>45800</v>
      </c>
      <c r="BU487" s="1407" t="n">
        <v>45891</v>
      </c>
      <c r="BV487" s="1408" t="n">
        <v>45975</v>
      </c>
      <c r="BW487" s="1371" t="n"/>
      <c r="BX487" s="1370" t="n"/>
      <c r="BY487" s="1371" t="n"/>
      <c r="BZ487" s="1371" t="n"/>
      <c r="CA487" s="1371" t="n"/>
      <c r="CB487" s="1371" t="n"/>
      <c r="CC487" s="1370" t="n"/>
      <c r="CD487" s="1370" t="n"/>
      <c r="CE487" s="1370" t="n"/>
      <c r="CF487" s="1370" t="n"/>
      <c r="CG487" s="155" t="n"/>
    </row>
    <row r="488" hidden="1" outlineLevel="1" ht="15" customFormat="1" customHeight="1" s="227">
      <c r="A488" s="636" t="n"/>
      <c r="B488" s="146" t="n"/>
      <c r="C488" s="1110" t="n"/>
      <c r="D488" s="1110" t="n"/>
      <c r="E488" s="1110" t="n"/>
      <c r="F488" s="1110" t="n"/>
      <c r="G488" s="68" t="n"/>
      <c r="H488" s="68" t="n"/>
      <c r="I488" s="68" t="n"/>
      <c r="J488" s="68" t="n"/>
      <c r="K488" s="1110" t="n"/>
      <c r="L488" s="68" t="n"/>
      <c r="M488" s="68" t="n"/>
      <c r="N488" s="68" t="n"/>
      <c r="O488" s="68" t="n"/>
      <c r="P488" s="1110" t="n"/>
      <c r="Q488" s="68" t="n"/>
      <c r="R488" s="68" t="n"/>
      <c r="S488" s="68" t="n"/>
      <c r="T488" s="68" t="n"/>
      <c r="U488" s="1110" t="n"/>
      <c r="V488" s="68" t="n"/>
      <c r="W488" s="68" t="n"/>
      <c r="X488" s="68" t="n"/>
      <c r="Y488" s="68" t="n"/>
      <c r="Z488" s="1110" t="n"/>
      <c r="AA488" s="68" t="n"/>
      <c r="AB488" s="68" t="n"/>
      <c r="AC488" s="68" t="n"/>
      <c r="AD488" s="68" t="n"/>
      <c r="AE488" s="1110" t="n"/>
      <c r="AF488" s="68" t="n"/>
      <c r="AG488" s="68" t="n"/>
      <c r="AH488" s="68" t="n"/>
      <c r="AI488" s="68" t="n"/>
      <c r="AJ488" s="1110" t="n"/>
      <c r="AK488" s="68" t="n"/>
      <c r="AL488" s="68" t="n"/>
      <c r="AM488" s="68" t="n"/>
      <c r="AN488" s="68" t="n"/>
      <c r="AO488" s="1110" t="n"/>
      <c r="AP488" s="68" t="n"/>
      <c r="AQ488" s="68" t="n"/>
      <c r="AR488" s="68" t="n"/>
      <c r="AS488" s="68" t="n"/>
      <c r="AT488" s="1110" t="n"/>
      <c r="AU488" s="68" t="n"/>
      <c r="AV488" s="68" t="n"/>
      <c r="AW488" s="68" t="n"/>
      <c r="AX488" s="68" t="n"/>
      <c r="AY488" s="1110" t="n"/>
      <c r="AZ488" s="68" t="n"/>
      <c r="BA488" s="68" t="n"/>
      <c r="BB488" s="68" t="n"/>
      <c r="BC488" s="68" t="n"/>
      <c r="BD488" s="1110" t="n"/>
      <c r="BE488" s="68" t="n"/>
      <c r="BF488" s="68" t="n"/>
      <c r="BG488" s="68" t="n"/>
      <c r="BH488" s="68" t="n"/>
      <c r="BI488" s="1110" t="n"/>
      <c r="BJ488" s="68" t="n"/>
      <c r="BK488" s="68" t="n"/>
      <c r="BL488" s="68" t="n"/>
      <c r="BM488" s="68" t="n"/>
      <c r="BN488" s="1110" t="n"/>
      <c r="BO488" s="68" t="n"/>
      <c r="BP488" s="68" t="n"/>
      <c r="BQ488" s="68" t="n"/>
      <c r="BR488" s="68" t="n"/>
      <c r="BS488" s="1110" t="n"/>
      <c r="BT488" s="68" t="n"/>
      <c r="BU488" s="68" t="n"/>
      <c r="BV488" s="588" t="n"/>
      <c r="BW488" s="68" t="n"/>
      <c r="BX488" s="1110" t="n"/>
      <c r="BY488" s="68" t="n"/>
      <c r="BZ488" s="68" t="n"/>
      <c r="CA488" s="68" t="n"/>
      <c r="CB488" s="68" t="n"/>
      <c r="CC488" s="1110" t="n"/>
      <c r="CD488" s="1110" t="n"/>
      <c r="CE488" s="1110" t="n"/>
      <c r="CF488" s="1110" t="n"/>
      <c r="CG488" s="27" t="n"/>
    </row>
    <row r="489" hidden="1" outlineLevel="1" ht="15" customFormat="1" customHeight="1" s="44">
      <c r="A489" s="600" t="inlineStr">
        <is>
          <t>Canalyst Cover Page Fully Diluted Shares Outstanding, mm shares</t>
        </is>
      </c>
      <c r="B489" s="279" t="n"/>
      <c r="C489" s="1125">
        <f>C482+C486</f>
        <v/>
      </c>
      <c r="D489" s="1125">
        <f>D482+D486</f>
        <v/>
      </c>
      <c r="E489" s="1125">
        <f>E482+E486</f>
        <v/>
      </c>
      <c r="F489" s="1125">
        <f>F482+F486</f>
        <v/>
      </c>
      <c r="G489" s="63">
        <f>G482+G486</f>
        <v/>
      </c>
      <c r="H489" s="63">
        <f>H482+H486</f>
        <v/>
      </c>
      <c r="I489" s="63">
        <f>I482+I486</f>
        <v/>
      </c>
      <c r="J489" s="63">
        <f>J482+J486</f>
        <v/>
      </c>
      <c r="K489" s="1125">
        <f>K482+K486</f>
        <v/>
      </c>
      <c r="L489" s="63">
        <f>L482+L486</f>
        <v/>
      </c>
      <c r="M489" s="63">
        <f>M482+M486</f>
        <v/>
      </c>
      <c r="N489" s="63">
        <f>N482+N486</f>
        <v/>
      </c>
      <c r="O489" s="63">
        <f>O482+O486</f>
        <v/>
      </c>
      <c r="P489" s="1125">
        <f>P482+P486</f>
        <v/>
      </c>
      <c r="Q489" s="63">
        <f>Q482+Q486</f>
        <v/>
      </c>
      <c r="R489" s="63">
        <f>R482+R486</f>
        <v/>
      </c>
      <c r="S489" s="63">
        <f>S482+S486</f>
        <v/>
      </c>
      <c r="T489" s="63">
        <f>T482+T486</f>
        <v/>
      </c>
      <c r="U489" s="1125">
        <f>U482+U486</f>
        <v/>
      </c>
      <c r="V489" s="63">
        <f>V482+V486</f>
        <v/>
      </c>
      <c r="W489" s="63">
        <f>W482+W486</f>
        <v/>
      </c>
      <c r="X489" s="63">
        <f>X482+X486</f>
        <v/>
      </c>
      <c r="Y489" s="63">
        <f>Y482+Y486</f>
        <v/>
      </c>
      <c r="Z489" s="1125">
        <f>Z482+Z486</f>
        <v/>
      </c>
      <c r="AA489" s="63">
        <f>AA482+AA486</f>
        <v/>
      </c>
      <c r="AB489" s="63">
        <f>AB482+AB486</f>
        <v/>
      </c>
      <c r="AC489" s="63">
        <f>AC482+AC486</f>
        <v/>
      </c>
      <c r="AD489" s="63">
        <f>AD482+AD486</f>
        <v/>
      </c>
      <c r="AE489" s="1125">
        <f>AE482+AE486</f>
        <v/>
      </c>
      <c r="AF489" s="63">
        <f>AF482+AF486</f>
        <v/>
      </c>
      <c r="AG489" s="63">
        <f>AG482+AG486</f>
        <v/>
      </c>
      <c r="AH489" s="63">
        <f>AH482+AH486</f>
        <v/>
      </c>
      <c r="AI489" s="63">
        <f>AI482+AI486</f>
        <v/>
      </c>
      <c r="AJ489" s="1125">
        <f>AJ482+AJ486</f>
        <v/>
      </c>
      <c r="AK489" s="63">
        <f>AK482+AK486</f>
        <v/>
      </c>
      <c r="AL489" s="63">
        <f>AL482+AL486</f>
        <v/>
      </c>
      <c r="AM489" s="63">
        <f>AM482+AM486</f>
        <v/>
      </c>
      <c r="AN489" s="63">
        <f>AN482+AN486</f>
        <v/>
      </c>
      <c r="AO489" s="1125">
        <f>AO482+AO486</f>
        <v/>
      </c>
      <c r="AP489" s="63">
        <f>AP482+AP486</f>
        <v/>
      </c>
      <c r="AQ489" s="63">
        <f>AQ482+AQ486</f>
        <v/>
      </c>
      <c r="AR489" s="63">
        <f>AR482+AR486</f>
        <v/>
      </c>
      <c r="AS489" s="63">
        <f>AS482+AS486</f>
        <v/>
      </c>
      <c r="AT489" s="1125">
        <f>AT482+AT486</f>
        <v/>
      </c>
      <c r="AU489" s="63">
        <f>AU482+AU486</f>
        <v/>
      </c>
      <c r="AV489" s="63">
        <f>AV482+AV486</f>
        <v/>
      </c>
      <c r="AW489" s="63">
        <f>AW482+AW486</f>
        <v/>
      </c>
      <c r="AX489" s="63">
        <f>AX482+AX486</f>
        <v/>
      </c>
      <c r="AY489" s="1125">
        <f>AY482+AY486</f>
        <v/>
      </c>
      <c r="AZ489" s="63">
        <f>AZ482+AZ486</f>
        <v/>
      </c>
      <c r="BA489" s="63">
        <f>BA482+BA486</f>
        <v/>
      </c>
      <c r="BB489" s="63">
        <f>BB482+BB486</f>
        <v/>
      </c>
      <c r="BC489" s="63">
        <f>BC482+BC486</f>
        <v/>
      </c>
      <c r="BD489" s="1125">
        <f>BD482+BD486</f>
        <v/>
      </c>
      <c r="BE489" s="63">
        <f>BE482+BE486</f>
        <v/>
      </c>
      <c r="BF489" s="63">
        <f>BF482+BF486</f>
        <v/>
      </c>
      <c r="BG489" s="63">
        <f>BG482+BG486</f>
        <v/>
      </c>
      <c r="BH489" s="63">
        <f>BH482+BH486</f>
        <v/>
      </c>
      <c r="BI489" s="1125">
        <f>BI482+BI486</f>
        <v/>
      </c>
      <c r="BJ489" s="63">
        <f>BJ482+BJ486</f>
        <v/>
      </c>
      <c r="BK489" s="63">
        <f>BK482+BK486</f>
        <v/>
      </c>
      <c r="BL489" s="63">
        <f>BL482+BL486</f>
        <v/>
      </c>
      <c r="BM489" s="63">
        <f>BM482+BM486</f>
        <v/>
      </c>
      <c r="BN489" s="1125">
        <f>BN482+BN486</f>
        <v/>
      </c>
      <c r="BO489" s="63">
        <f>BO482+BO486</f>
        <v/>
      </c>
      <c r="BP489" s="63">
        <f>BP482+BP486</f>
        <v/>
      </c>
      <c r="BQ489" s="63">
        <f>BQ482+BQ486</f>
        <v/>
      </c>
      <c r="BR489" s="63">
        <f>BR482+BR486</f>
        <v/>
      </c>
      <c r="BS489" s="1125">
        <f>BS482+BS486</f>
        <v/>
      </c>
      <c r="BT489" s="63">
        <f>BT482+BT486</f>
        <v/>
      </c>
      <c r="BU489" s="63">
        <f>BU482+BU486</f>
        <v/>
      </c>
      <c r="BV489" s="587">
        <f>BV482+BV486</f>
        <v/>
      </c>
      <c r="BW489" s="63" t="n"/>
      <c r="BX489" s="1125" t="n"/>
      <c r="BY489" s="63" t="n"/>
      <c r="BZ489" s="63" t="n"/>
      <c r="CA489" s="63" t="n"/>
      <c r="CB489" s="63" t="n"/>
      <c r="CC489" s="1125" t="n"/>
      <c r="CD489" s="1125" t="n"/>
      <c r="CE489" s="1125" t="n"/>
      <c r="CF489" s="1125" t="n"/>
      <c r="CG489" s="28" t="n"/>
    </row>
    <row r="490" hidden="1" outlineLevel="1" ht="15" customFormat="1" customHeight="1" s="227">
      <c r="A490" s="636" t="n"/>
      <c r="B490" s="146" t="n"/>
      <c r="C490" s="1110" t="n"/>
      <c r="D490" s="1110" t="n"/>
      <c r="E490" s="1110" t="n"/>
      <c r="F490" s="1110" t="n"/>
      <c r="G490" s="68" t="n"/>
      <c r="H490" s="68" t="n"/>
      <c r="I490" s="68" t="n"/>
      <c r="J490" s="68" t="n"/>
      <c r="K490" s="1110" t="n"/>
      <c r="L490" s="68" t="n"/>
      <c r="M490" s="68" t="n"/>
      <c r="N490" s="68" t="n"/>
      <c r="O490" s="68" t="n"/>
      <c r="P490" s="1110" t="n"/>
      <c r="Q490" s="68" t="n"/>
      <c r="R490" s="68" t="n"/>
      <c r="S490" s="68" t="n"/>
      <c r="T490" s="68" t="n"/>
      <c r="U490" s="1110" t="n"/>
      <c r="V490" s="68" t="n"/>
      <c r="W490" s="68" t="n"/>
      <c r="X490" s="68" t="n"/>
      <c r="Y490" s="68" t="n"/>
      <c r="Z490" s="1110" t="n"/>
      <c r="AA490" s="68" t="n"/>
      <c r="AB490" s="68" t="n"/>
      <c r="AC490" s="68" t="n"/>
      <c r="AD490" s="68" t="n"/>
      <c r="AE490" s="1110" t="n"/>
      <c r="AF490" s="68" t="n"/>
      <c r="AG490" s="68" t="n"/>
      <c r="AH490" s="68" t="n"/>
      <c r="AI490" s="68" t="n"/>
      <c r="AJ490" s="1110" t="n"/>
      <c r="AK490" s="68" t="n"/>
      <c r="AL490" s="68" t="n"/>
      <c r="AM490" s="68" t="n"/>
      <c r="AN490" s="68" t="n"/>
      <c r="AO490" s="1110" t="n"/>
      <c r="AP490" s="68" t="n"/>
      <c r="AQ490" s="68" t="n"/>
      <c r="AR490" s="68" t="n"/>
      <c r="AS490" s="68" t="n"/>
      <c r="AT490" s="1110" t="n"/>
      <c r="AU490" s="68" t="n"/>
      <c r="AV490" s="68" t="n"/>
      <c r="AW490" s="68" t="n"/>
      <c r="AX490" s="68" t="n"/>
      <c r="AY490" s="1110" t="n"/>
      <c r="AZ490" s="68" t="n"/>
      <c r="BA490" s="68" t="n"/>
      <c r="BB490" s="68" t="n"/>
      <c r="BC490" s="68" t="n"/>
      <c r="BD490" s="1110" t="n"/>
      <c r="BE490" s="68" t="n"/>
      <c r="BF490" s="68" t="n"/>
      <c r="BG490" s="68" t="n"/>
      <c r="BH490" s="68" t="n"/>
      <c r="BI490" s="1110" t="n"/>
      <c r="BJ490" s="68" t="n"/>
      <c r="BK490" s="68" t="n"/>
      <c r="BL490" s="68" t="n"/>
      <c r="BM490" s="68" t="n"/>
      <c r="BN490" s="1110" t="n"/>
      <c r="BO490" s="68" t="n"/>
      <c r="BP490" s="68" t="n"/>
      <c r="BQ490" s="68" t="n"/>
      <c r="BR490" s="68" t="n"/>
      <c r="BS490" s="1110" t="n"/>
      <c r="BT490" s="68" t="n"/>
      <c r="BU490" s="68" t="n"/>
      <c r="BV490" s="588" t="n"/>
      <c r="BW490" s="68" t="n"/>
      <c r="BX490" s="1110" t="n"/>
      <c r="BY490" s="68" t="n"/>
      <c r="BZ490" s="68" t="n"/>
      <c r="CA490" s="68" t="n"/>
      <c r="CB490" s="68" t="n"/>
      <c r="CC490" s="1110" t="n"/>
      <c r="CD490" s="1110" t="n"/>
      <c r="CE490" s="1110" t="n"/>
      <c r="CF490" s="1110" t="n"/>
      <c r="CG490" s="27" t="n"/>
    </row>
    <row r="491" hidden="1" outlineLevel="2" ht="15" customFormat="1" customHeight="1" s="227">
      <c r="A491" s="99" t="inlineStr">
        <is>
          <t>Number of share repurchased - month1, 000 shares</t>
        </is>
      </c>
      <c r="B491" s="146" t="n"/>
      <c r="C491" s="1110" t="n"/>
      <c r="D491" s="1110" t="n"/>
      <c r="E491" s="1110" t="n"/>
      <c r="F491" s="1110" t="n"/>
      <c r="G491" s="68" t="n"/>
      <c r="H491" s="68" t="n"/>
      <c r="I491" s="68" t="n"/>
      <c r="J491" s="68" t="n"/>
      <c r="K491" s="1110" t="n"/>
      <c r="L491" s="68" t="n"/>
      <c r="M491" s="1053">
        <f>(4*36900)*(10)</f>
        <v/>
      </c>
      <c r="N491" s="68" t="n"/>
      <c r="O491" s="1053">
        <f>(4*1500)*(10)</f>
        <v/>
      </c>
      <c r="P491" s="1110" t="n"/>
      <c r="Q491" s="1053">
        <f>(4*20600)*(10)</f>
        <v/>
      </c>
      <c r="R491" s="68" t="n"/>
      <c r="S491" s="1053">
        <f>(4*10900)*(10)</f>
        <v/>
      </c>
      <c r="T491" s="68" t="n"/>
      <c r="U491" s="1110" t="n"/>
      <c r="V491" s="68" t="n"/>
      <c r="W491" s="1053">
        <f>(4*14000)*(10)</f>
        <v/>
      </c>
      <c r="X491" s="68" t="n"/>
      <c r="Y491" s="1053">
        <f>(4*3047.106)*(10)</f>
        <v/>
      </c>
      <c r="Z491" s="1110" t="n"/>
      <c r="AA491" s="68" t="n"/>
      <c r="AB491" s="68" t="n"/>
      <c r="AC491" s="68" t="n"/>
      <c r="AD491" s="1053">
        <f>(4*2500)*(10)</f>
        <v/>
      </c>
      <c r="AE491" s="1110" t="n"/>
      <c r="AF491" s="68" t="n"/>
      <c r="AG491" s="68" t="n"/>
      <c r="AH491" s="68" t="n"/>
      <c r="AI491" s="68" t="n"/>
      <c r="AJ491" s="1110" t="n"/>
      <c r="AK491" s="1053">
        <f>(4*2000)*(10)</f>
        <v/>
      </c>
      <c r="AL491" s="68" t="n"/>
      <c r="AM491" s="1053">
        <f>(4*116)*(10)</f>
        <v/>
      </c>
      <c r="AN491" s="1053">
        <f>(4*123)*(10)</f>
        <v/>
      </c>
      <c r="AO491" s="1110" t="n"/>
      <c r="AP491" s="68" t="n"/>
      <c r="AQ491" s="68" t="n"/>
      <c r="AR491" s="68" t="n"/>
      <c r="AS491" s="68" t="n"/>
      <c r="AT491" s="1110" t="n"/>
      <c r="AU491" s="68" t="n"/>
      <c r="AV491" s="68" t="n"/>
      <c r="AW491" s="68" t="n"/>
      <c r="AX491" s="68" t="n"/>
      <c r="AY491" s="1110" t="n"/>
      <c r="AZ491" s="68" t="n"/>
      <c r="BA491" s="68" t="n"/>
      <c r="BB491" s="68" t="n"/>
      <c r="BC491" s="68" t="n"/>
      <c r="BD491" s="1110" t="n"/>
      <c r="BE491" s="68" t="n"/>
      <c r="BF491" s="1053">
        <f>3000*(10)</f>
        <v/>
      </c>
      <c r="BG491" s="1053">
        <f>1000*(10)</f>
        <v/>
      </c>
      <c r="BH491" s="1053">
        <f>7000*(10)</f>
        <v/>
      </c>
      <c r="BI491" s="1110" t="n"/>
      <c r="BJ491" s="68" t="n"/>
      <c r="BK491" s="1053">
        <f>0*(10)</f>
        <v/>
      </c>
      <c r="BL491" s="1053">
        <f>2200*(10)</f>
        <v/>
      </c>
      <c r="BM491" s="1053">
        <f>900*(10)</f>
        <v/>
      </c>
      <c r="BN491" s="1110" t="n"/>
      <c r="BO491" s="1053">
        <f>3400*(10)</f>
        <v/>
      </c>
      <c r="BP491" s="1053" t="n">
        <v>23000</v>
      </c>
      <c r="BQ491" s="1053" t="n">
        <v>30200</v>
      </c>
      <c r="BR491" s="1053" t="n">
        <v>25400</v>
      </c>
      <c r="BS491" s="1110" t="n"/>
      <c r="BT491" s="1053" t="n">
        <v>28600</v>
      </c>
      <c r="BU491" s="1053" t="n">
        <v>19200</v>
      </c>
      <c r="BV491" s="1054" t="n">
        <v>17900</v>
      </c>
      <c r="BW491" s="68" t="n"/>
      <c r="BX491" s="1110" t="n"/>
      <c r="BY491" s="68" t="n"/>
      <c r="BZ491" s="68" t="n"/>
      <c r="CA491" s="68" t="n"/>
      <c r="CB491" s="68" t="n"/>
      <c r="CC491" s="1110" t="n"/>
      <c r="CD491" s="1110" t="n"/>
      <c r="CE491" s="1110" t="n"/>
      <c r="CF491" s="1110" t="n"/>
      <c r="CG491" s="27" t="n"/>
    </row>
    <row r="492" hidden="1" outlineLevel="2" ht="15" customFormat="1" customHeight="1" s="227">
      <c r="A492" s="99" t="inlineStr">
        <is>
          <t>Number of share repurchased - month2, 000 shares</t>
        </is>
      </c>
      <c r="B492" s="146" t="n"/>
      <c r="C492" s="1110" t="n"/>
      <c r="D492" s="1110" t="n"/>
      <c r="E492" s="1110" t="n"/>
      <c r="F492" s="1110" t="n"/>
      <c r="G492" s="68" t="n"/>
      <c r="H492" s="68" t="n"/>
      <c r="I492" s="68" t="n"/>
      <c r="J492" s="1053">
        <f>(4*7300)*(10)</f>
        <v/>
      </c>
      <c r="K492" s="1110" t="n"/>
      <c r="L492" s="1053">
        <f>(4*4200)*(10)</f>
        <v/>
      </c>
      <c r="M492" s="68" t="n"/>
      <c r="N492" s="68" t="n"/>
      <c r="O492" s="1053">
        <f>(4*900)*(10)</f>
        <v/>
      </c>
      <c r="P492" s="1110" t="n"/>
      <c r="Q492" s="68" t="n"/>
      <c r="R492" s="68" t="n"/>
      <c r="S492" s="68" t="n"/>
      <c r="T492" s="1053">
        <f>(4*200)*(10)</f>
        <v/>
      </c>
      <c r="U492" s="1110" t="n"/>
      <c r="V492" s="68" t="n"/>
      <c r="W492" s="68" t="n"/>
      <c r="X492" s="68" t="n"/>
      <c r="Y492" s="68" t="n"/>
      <c r="Z492" s="1110" t="n"/>
      <c r="AA492" s="68" t="n"/>
      <c r="AB492" s="68" t="n"/>
      <c r="AC492" s="68" t="n"/>
      <c r="AD492" s="68" t="n"/>
      <c r="AE492" s="1110" t="n"/>
      <c r="AF492" s="68" t="n"/>
      <c r="AG492" s="1053">
        <f>(4*3000)*(10)</f>
        <v/>
      </c>
      <c r="AH492" s="1053">
        <f>(4*1000)*(10)</f>
        <v/>
      </c>
      <c r="AI492" s="68" t="n"/>
      <c r="AJ492" s="1110" t="n"/>
      <c r="AK492" s="1053">
        <f>(4*1000)*(10)</f>
        <v/>
      </c>
      <c r="AL492" s="68" t="n"/>
      <c r="AM492" s="1053">
        <f>(4*567)*(10)</f>
        <v/>
      </c>
      <c r="AN492" s="1053">
        <f>(4*3304)*(10)</f>
        <v/>
      </c>
      <c r="AO492" s="1110" t="n"/>
      <c r="AP492" s="68" t="n"/>
      <c r="AQ492" s="68" t="n"/>
      <c r="AR492" s="68" t="n"/>
      <c r="AS492" s="68" t="n"/>
      <c r="AT492" s="1110" t="n"/>
      <c r="AU492" s="68" t="n"/>
      <c r="AV492" s="68" t="n"/>
      <c r="AW492" s="68" t="n"/>
      <c r="AX492" s="68" t="n"/>
      <c r="AY492" s="1110" t="n"/>
      <c r="AZ492" s="68" t="n"/>
      <c r="BA492" s="68" t="n"/>
      <c r="BB492" s="68" t="n"/>
      <c r="BC492" s="68" t="n"/>
      <c r="BD492" s="1110" t="n"/>
      <c r="BE492" s="1053">
        <f>8600*(10)</f>
        <v/>
      </c>
      <c r="BF492" s="1053">
        <f>16000*(10)</f>
        <v/>
      </c>
      <c r="BG492" s="1053">
        <f>10000*(10)</f>
        <v/>
      </c>
      <c r="BH492" s="1053">
        <f>0*(10)</f>
        <v/>
      </c>
      <c r="BI492" s="1110" t="n"/>
      <c r="BJ492" s="68" t="n"/>
      <c r="BK492" s="1053">
        <f>1900*(10)</f>
        <v/>
      </c>
      <c r="BL492" s="1053">
        <f>2600*(10)</f>
        <v/>
      </c>
      <c r="BM492" s="1053">
        <f>1100*(10)</f>
        <v/>
      </c>
      <c r="BN492" s="1110" t="n"/>
      <c r="BO492" s="1053">
        <f>2300*(10)</f>
        <v/>
      </c>
      <c r="BP492" s="1053" t="n">
        <v>14700</v>
      </c>
      <c r="BQ492" s="1053" t="n">
        <v>27300</v>
      </c>
      <c r="BR492" s="1053" t="n">
        <v>10600</v>
      </c>
      <c r="BS492" s="1110" t="n"/>
      <c r="BT492" s="1053" t="n">
        <v>28500</v>
      </c>
      <c r="BU492" s="1053" t="n">
        <v>18100</v>
      </c>
      <c r="BV492" s="1054" t="n">
        <v>21100</v>
      </c>
      <c r="BW492" s="68" t="n"/>
      <c r="BX492" s="1110" t="n"/>
      <c r="BY492" s="68" t="n"/>
      <c r="BZ492" s="68" t="n"/>
      <c r="CA492" s="68" t="n"/>
      <c r="CB492" s="68" t="n"/>
      <c r="CC492" s="1110" t="n"/>
      <c r="CD492" s="1110" t="n"/>
      <c r="CE492" s="1110" t="n"/>
      <c r="CF492" s="1110" t="n"/>
      <c r="CG492" s="27" t="n"/>
    </row>
    <row r="493" hidden="1" outlineLevel="2" ht="15" customFormat="1" customHeight="1" s="227">
      <c r="A493" s="282" t="inlineStr">
        <is>
          <t>Number of share repurchased - month3, 000 shares</t>
        </is>
      </c>
      <c r="B493" s="149" t="n"/>
      <c r="C493" s="1121" t="n"/>
      <c r="D493" s="1121" t="n"/>
      <c r="E493" s="1121" t="n"/>
      <c r="F493" s="1121" t="n"/>
      <c r="G493" s="109" t="n"/>
      <c r="H493" s="109" t="n"/>
      <c r="I493" s="109" t="n"/>
      <c r="J493" s="1060">
        <f>(4*1100)*(10)</f>
        <v/>
      </c>
      <c r="K493" s="1121" t="n"/>
      <c r="L493" s="1060">
        <f>(4*3800)*(10)</f>
        <v/>
      </c>
      <c r="M493" s="109" t="n"/>
      <c r="N493" s="1060">
        <f>(4*14600)*(10)</f>
        <v/>
      </c>
      <c r="O493" s="109" t="n"/>
      <c r="P493" s="1121" t="n"/>
      <c r="Q493" s="109" t="n"/>
      <c r="R493" s="1060">
        <f>(4*6800)*(10)</f>
        <v/>
      </c>
      <c r="S493" s="1060">
        <f>(4*5900)*(10)</f>
        <v/>
      </c>
      <c r="T493" s="109" t="n"/>
      <c r="U493" s="1121" t="n"/>
      <c r="V493" s="1060">
        <f>(4*2400)*(10)</f>
        <v/>
      </c>
      <c r="W493" s="109" t="n"/>
      <c r="X493" s="1060">
        <f>(4*4000)*(10)</f>
        <v/>
      </c>
      <c r="Y493" s="1060">
        <f>(4*1205.682)*(10)</f>
        <v/>
      </c>
      <c r="Z493" s="1121" t="n"/>
      <c r="AA493" s="1060">
        <f>(4*12108.718)*(10)</f>
        <v/>
      </c>
      <c r="AB493" s="109" t="n"/>
      <c r="AC493" s="109" t="n"/>
      <c r="AD493" s="109" t="n"/>
      <c r="AE493" s="1121" t="n"/>
      <c r="AF493" s="109" t="n"/>
      <c r="AG493" s="1060">
        <f>(4*2000)*(10)</f>
        <v/>
      </c>
      <c r="AH493" s="109" t="n"/>
      <c r="AI493" s="109" t="n"/>
      <c r="AJ493" s="1121" t="n"/>
      <c r="AK493" s="109" t="n"/>
      <c r="AL493" s="109" t="n"/>
      <c r="AM493" s="1060">
        <f>(4*82)*(10)</f>
        <v/>
      </c>
      <c r="AN493" s="1060">
        <f>(4*1777)*(10)</f>
        <v/>
      </c>
      <c r="AO493" s="1121" t="n"/>
      <c r="AP493" s="109" t="n"/>
      <c r="AQ493" s="109" t="n"/>
      <c r="AR493" s="109" t="n"/>
      <c r="AS493" s="109" t="n"/>
      <c r="AT493" s="1121" t="n"/>
      <c r="AU493" s="109" t="n"/>
      <c r="AV493" s="109" t="n"/>
      <c r="AW493" s="109" t="n"/>
      <c r="AX493" s="109" t="n"/>
      <c r="AY493" s="1121" t="n"/>
      <c r="AZ493" s="109" t="n"/>
      <c r="BA493" s="109" t="n"/>
      <c r="BB493" s="109" t="n"/>
      <c r="BC493" s="109" t="n"/>
      <c r="BD493" s="1121" t="n"/>
      <c r="BE493" s="109" t="n"/>
      <c r="BF493" s="109" t="n"/>
      <c r="BG493" s="1060">
        <f>17000*(10)</f>
        <v/>
      </c>
      <c r="BH493" s="1060">
        <f>0*(10)</f>
        <v/>
      </c>
      <c r="BI493" s="1121" t="n"/>
      <c r="BJ493" s="109" t="n"/>
      <c r="BK493" s="1060">
        <f>5600*(10)</f>
        <v/>
      </c>
      <c r="BL493" s="1060">
        <f>3500*(10)</f>
        <v/>
      </c>
      <c r="BM493" s="1060">
        <f>3300*(10)</f>
        <v/>
      </c>
      <c r="BN493" s="1121" t="n"/>
      <c r="BO493" s="1060">
        <f>4200*(10)</f>
        <v/>
      </c>
      <c r="BP493" s="1060" t="n">
        <v>25100</v>
      </c>
      <c r="BQ493" s="1060" t="n">
        <v>34800</v>
      </c>
      <c r="BR493" s="1060" t="n">
        <v>19300</v>
      </c>
      <c r="BS493" s="1121" t="n"/>
      <c r="BT493" s="1060" t="n">
        <v>69100</v>
      </c>
      <c r="BU493" s="1060" t="n">
        <v>29200</v>
      </c>
      <c r="BV493" s="1061" t="n">
        <v>30600</v>
      </c>
      <c r="BW493" s="109" t="n"/>
      <c r="BX493" s="1121" t="n"/>
      <c r="BY493" s="109" t="n"/>
      <c r="BZ493" s="109" t="n"/>
      <c r="CA493" s="109" t="n"/>
      <c r="CB493" s="109" t="n"/>
      <c r="CC493" s="1121" t="n"/>
      <c r="CD493" s="1121" t="n"/>
      <c r="CE493" s="1121" t="n"/>
      <c r="CF493" s="1121" t="n"/>
      <c r="CG493" s="27" t="n"/>
    </row>
    <row r="494" hidden="1" outlineLevel="1" collapsed="1" ht="15" customFormat="1" customHeight="1" s="227">
      <c r="A494" s="636" t="inlineStr">
        <is>
          <t>Number of share repurchased, 000 shares</t>
        </is>
      </c>
      <c r="B494" s="146" t="n"/>
      <c r="C494" s="1111">
        <f>10*4*29300</f>
        <v/>
      </c>
      <c r="D494" s="1110" t="n"/>
      <c r="E494" s="1110" t="n"/>
      <c r="F494" s="1110" t="n"/>
      <c r="G494" s="68" t="n"/>
      <c r="H494" s="68" t="n"/>
      <c r="I494" s="68" t="n"/>
      <c r="J494" s="68">
        <f>SUM(J491:J493)</f>
        <v/>
      </c>
      <c r="K494" s="1110">
        <f>SUM(G494,H494,I494,J494)</f>
        <v/>
      </c>
      <c r="L494" s="68">
        <f>SUM(L491:L493)</f>
        <v/>
      </c>
      <c r="M494" s="68">
        <f>SUM(M491:M493)</f>
        <v/>
      </c>
      <c r="N494" s="68">
        <f>SUM(N491:N493)</f>
        <v/>
      </c>
      <c r="O494" s="68">
        <f>SUM(O491:O493)</f>
        <v/>
      </c>
      <c r="P494" s="1110">
        <f>SUM(L494,M494,N494,O494)</f>
        <v/>
      </c>
      <c r="Q494" s="68">
        <f>SUM(Q491:Q493)</f>
        <v/>
      </c>
      <c r="R494" s="68">
        <f>SUM(R491:R493)</f>
        <v/>
      </c>
      <c r="S494" s="68">
        <f>SUM(S491:S493)</f>
        <v/>
      </c>
      <c r="T494" s="68">
        <f>SUM(T491:T493)</f>
        <v/>
      </c>
      <c r="U494" s="1110">
        <f>SUM(Q494,R494,S494,T494)</f>
        <v/>
      </c>
      <c r="V494" s="68">
        <f>SUM(V491:V493)</f>
        <v/>
      </c>
      <c r="W494" s="68">
        <f>SUM(W491:W493)</f>
        <v/>
      </c>
      <c r="X494" s="68">
        <f>SUM(X491:X493)</f>
        <v/>
      </c>
      <c r="Y494" s="68">
        <f>SUM(Y491:Y493)</f>
        <v/>
      </c>
      <c r="Z494" s="1110">
        <f>SUM(V494,W494,X494,Y494)</f>
        <v/>
      </c>
      <c r="AA494" s="68">
        <f>SUM(AA491:AA493)</f>
        <v/>
      </c>
      <c r="AB494" s="68">
        <f>SUM(AB491:AB493)</f>
        <v/>
      </c>
      <c r="AC494" s="68">
        <f>SUM(AC491:AC493)</f>
        <v/>
      </c>
      <c r="AD494" s="68">
        <f>SUM(AD491:AD493)</f>
        <v/>
      </c>
      <c r="AE494" s="1110">
        <f>SUM(AA494,AB494,AC494,AD494)</f>
        <v/>
      </c>
      <c r="AF494" s="68">
        <f>SUM(AF491:AF493)</f>
        <v/>
      </c>
      <c r="AG494" s="68">
        <f>SUM(AG491:AG493)</f>
        <v/>
      </c>
      <c r="AH494" s="68">
        <f>SUM(AH491:AH493)</f>
        <v/>
      </c>
      <c r="AI494" s="68">
        <f>SUM(AI491:AI493)</f>
        <v/>
      </c>
      <c r="AJ494" s="1110">
        <f>SUM(AF494,AG494,AH494,AI494)</f>
        <v/>
      </c>
      <c r="AK494" s="68">
        <f>SUM(AK491:AK493)</f>
        <v/>
      </c>
      <c r="AL494" s="68">
        <f>SUM(AL491:AL493)</f>
        <v/>
      </c>
      <c r="AM494" s="68">
        <f>SUM(AM491:AM493)</f>
        <v/>
      </c>
      <c r="AN494" s="68">
        <f>SUM(AN491:AN493)</f>
        <v/>
      </c>
      <c r="AO494" s="1110">
        <f>SUM(AK494,AL494,AM494,AN494)</f>
        <v/>
      </c>
      <c r="AP494" s="68">
        <f>SUM(AP491:AP493)</f>
        <v/>
      </c>
      <c r="AQ494" s="68">
        <f>SUM(AQ491:AQ493)</f>
        <v/>
      </c>
      <c r="AR494" s="68">
        <f>SUM(AR491:AR493)</f>
        <v/>
      </c>
      <c r="AS494" s="68">
        <f>SUM(AS491:AS493)</f>
        <v/>
      </c>
      <c r="AT494" s="1110">
        <f>SUM(AP494,AQ494,AR494,AS494)</f>
        <v/>
      </c>
      <c r="AU494" s="68">
        <f>SUM(AU491:AU493)</f>
        <v/>
      </c>
      <c r="AV494" s="68">
        <f>SUM(AV491:AV493)</f>
        <v/>
      </c>
      <c r="AW494" s="68">
        <f>SUM(AW491:AW493)</f>
        <v/>
      </c>
      <c r="AX494" s="68">
        <f>SUM(AX491:AX493)</f>
        <v/>
      </c>
      <c r="AY494" s="1110">
        <f>SUM(AU494,AV494,AW494,AX494)</f>
        <v/>
      </c>
      <c r="AZ494" s="68">
        <f>SUM(AZ491:AZ493)</f>
        <v/>
      </c>
      <c r="BA494" s="68">
        <f>SUM(BA491:BA493)</f>
        <v/>
      </c>
      <c r="BB494" s="68">
        <f>SUM(BB491:BB493)</f>
        <v/>
      </c>
      <c r="BC494" s="68">
        <f>SUM(BC491:BC493)</f>
        <v/>
      </c>
      <c r="BD494" s="1110">
        <f>SUM(AZ494,BA494,BB494,BC494)</f>
        <v/>
      </c>
      <c r="BE494" s="68">
        <f>SUM(BE491:BE493)</f>
        <v/>
      </c>
      <c r="BF494" s="68">
        <f>SUM(BF491:BF493)</f>
        <v/>
      </c>
      <c r="BG494" s="68">
        <f>SUM(BG491:BG493)</f>
        <v/>
      </c>
      <c r="BH494" s="68">
        <f>SUM(BH491:BH493)</f>
        <v/>
      </c>
      <c r="BI494" s="1110">
        <f>SUM(BE494,BF494,BG494,BH494)</f>
        <v/>
      </c>
      <c r="BJ494" s="68">
        <f>SUM(BJ491:BJ493)</f>
        <v/>
      </c>
      <c r="BK494" s="68">
        <f>SUM(BK491:BK493)</f>
        <v/>
      </c>
      <c r="BL494" s="68">
        <f>SUM(BL491:BL493)</f>
        <v/>
      </c>
      <c r="BM494" s="68">
        <f>SUM(BM491:BM493)</f>
        <v/>
      </c>
      <c r="BN494" s="1110">
        <f>SUM(BJ494,BK494,BL494,BM494)</f>
        <v/>
      </c>
      <c r="BO494" s="68">
        <f>SUM(BO491:BO493)</f>
        <v/>
      </c>
      <c r="BP494" s="68">
        <f>SUM(BP491:BP493)</f>
        <v/>
      </c>
      <c r="BQ494" s="68">
        <f>SUM(BQ491:BQ493)</f>
        <v/>
      </c>
      <c r="BR494" s="68">
        <f>SUM(BR491:BR493)</f>
        <v/>
      </c>
      <c r="BS494" s="1110">
        <f>SUM(BO494,BP494,BQ494,BR494)</f>
        <v/>
      </c>
      <c r="BT494" s="68">
        <f>SUM(BT491:BT493)</f>
        <v/>
      </c>
      <c r="BU494" s="68">
        <f>SUM(BU491:BU493)</f>
        <v/>
      </c>
      <c r="BV494" s="588">
        <f>SUM(BV491:BV493)</f>
        <v/>
      </c>
      <c r="BW494" s="68" t="n"/>
      <c r="BX494" s="1110" t="n"/>
      <c r="BY494" s="68" t="n"/>
      <c r="BZ494" s="68" t="n"/>
      <c r="CA494" s="68" t="n"/>
      <c r="CB494" s="68" t="n"/>
      <c r="CC494" s="1110" t="n"/>
      <c r="CD494" s="1110" t="n"/>
      <c r="CE494" s="1110" t="n"/>
      <c r="CF494" s="1110" t="n"/>
      <c r="CG494" s="27" t="n"/>
    </row>
    <row r="495" hidden="1" outlineLevel="2" ht="15" customFormat="1" customHeight="1" s="227">
      <c r="A495" s="636" t="n"/>
      <c r="B495" s="146" t="n"/>
      <c r="C495" s="1110" t="n"/>
      <c r="D495" s="1110" t="n"/>
      <c r="E495" s="1110" t="n"/>
      <c r="F495" s="1110" t="n"/>
      <c r="G495" s="68" t="n"/>
      <c r="H495" s="68" t="n"/>
      <c r="I495" s="68" t="n"/>
      <c r="J495" s="68" t="n"/>
      <c r="K495" s="1110" t="n"/>
      <c r="L495" s="68" t="n"/>
      <c r="M495" s="68" t="n"/>
      <c r="N495" s="68" t="n"/>
      <c r="O495" s="68" t="n"/>
      <c r="P495" s="1110" t="n"/>
      <c r="Q495" s="68" t="n"/>
      <c r="R495" s="68" t="n"/>
      <c r="S495" s="68" t="n"/>
      <c r="T495" s="68" t="n"/>
      <c r="U495" s="1110" t="n"/>
      <c r="V495" s="68" t="n"/>
      <c r="W495" s="68" t="n"/>
      <c r="X495" s="68" t="n"/>
      <c r="Y495" s="68" t="n"/>
      <c r="Z495" s="1110" t="n"/>
      <c r="AA495" s="68" t="n"/>
      <c r="AB495" s="68" t="n"/>
      <c r="AC495" s="68" t="n"/>
      <c r="AD495" s="68" t="n"/>
      <c r="AE495" s="1110" t="n"/>
      <c r="AF495" s="68" t="n"/>
      <c r="AG495" s="68" t="n"/>
      <c r="AH495" s="68" t="n"/>
      <c r="AI495" s="68" t="n"/>
      <c r="AJ495" s="1110" t="n"/>
      <c r="AK495" s="68" t="n"/>
      <c r="AL495" s="68" t="n"/>
      <c r="AM495" s="68" t="n"/>
      <c r="AN495" s="68" t="n"/>
      <c r="AO495" s="1110" t="n"/>
      <c r="AP495" s="68" t="n"/>
      <c r="AQ495" s="68" t="n"/>
      <c r="AR495" s="68" t="n"/>
      <c r="AS495" s="68" t="n"/>
      <c r="AT495" s="1110" t="n"/>
      <c r="AU495" s="68" t="n"/>
      <c r="AV495" s="68" t="n"/>
      <c r="AW495" s="68" t="n"/>
      <c r="AX495" s="68" t="n"/>
      <c r="AY495" s="1110" t="n"/>
      <c r="AZ495" s="68" t="n"/>
      <c r="BA495" s="68" t="n"/>
      <c r="BB495" s="68" t="n"/>
      <c r="BC495" s="68" t="n"/>
      <c r="BD495" s="1110" t="n"/>
      <c r="BE495" s="68" t="n"/>
      <c r="BF495" s="68" t="n"/>
      <c r="BG495" s="68" t="n"/>
      <c r="BH495" s="68" t="n"/>
      <c r="BI495" s="1110" t="n"/>
      <c r="BJ495" s="68" t="n"/>
      <c r="BK495" s="68" t="n"/>
      <c r="BL495" s="68" t="n"/>
      <c r="BM495" s="68" t="n"/>
      <c r="BN495" s="1110" t="n"/>
      <c r="BO495" s="68" t="n"/>
      <c r="BP495" s="68" t="n"/>
      <c r="BQ495" s="68" t="n"/>
      <c r="BR495" s="68" t="n"/>
      <c r="BS495" s="1110" t="n"/>
      <c r="BT495" s="68" t="n"/>
      <c r="BU495" s="68" t="n"/>
      <c r="BV495" s="588" t="n"/>
      <c r="BW495" s="68" t="n"/>
      <c r="BX495" s="1110" t="n"/>
      <c r="BY495" s="68" t="n"/>
      <c r="BZ495" s="68" t="n"/>
      <c r="CA495" s="68" t="n"/>
      <c r="CB495" s="68" t="n"/>
      <c r="CC495" s="1110" t="n"/>
      <c r="CD495" s="1110" t="n"/>
      <c r="CE495" s="1110" t="n"/>
      <c r="CF495" s="1110" t="n"/>
      <c r="CG495" s="27" t="n"/>
    </row>
    <row r="496" hidden="1" outlineLevel="2" ht="15" customFormat="1" customHeight="1" s="1409">
      <c r="A496" s="1410" t="inlineStr">
        <is>
          <t>Average price of share repurchased - month1, $/share</t>
        </is>
      </c>
      <c r="B496" s="1411" t="n"/>
      <c r="C496" s="1412" t="n"/>
      <c r="D496" s="1412" t="n"/>
      <c r="E496" s="1412" t="n"/>
      <c r="F496" s="1412" t="n"/>
      <c r="G496" s="1413" t="n"/>
      <c r="H496" s="1413" t="n"/>
      <c r="I496" s="1413" t="n"/>
      <c r="J496" s="1413" t="n"/>
      <c r="K496" s="1412" t="n"/>
      <c r="L496" s="1413" t="n"/>
      <c r="M496" s="1414">
        <f>(0.25*20.34)/(10)</f>
        <v/>
      </c>
      <c r="N496" s="1413" t="n"/>
      <c r="O496" s="1414">
        <f>(0.25*15.86)/(10)</f>
        <v/>
      </c>
      <c r="P496" s="1412" t="n"/>
      <c r="Q496" s="1414">
        <f>(0.25*24.29)/(10)</f>
        <v/>
      </c>
      <c r="R496" s="1413" t="n"/>
      <c r="S496" s="1414">
        <f>(0.25*28.38)/(10)</f>
        <v/>
      </c>
      <c r="T496" s="1413" t="n"/>
      <c r="U496" s="1412" t="n"/>
      <c r="V496" s="1413" t="n"/>
      <c r="W496" s="1414">
        <f>(0.25*28.81)/(10)</f>
        <v/>
      </c>
      <c r="X496" s="1413" t="n"/>
      <c r="Y496" s="1414">
        <f>(0.25*44.3)/(10)</f>
        <v/>
      </c>
      <c r="Z496" s="1412" t="n"/>
      <c r="AA496" s="1413" t="n"/>
      <c r="AB496" s="1413" t="n"/>
      <c r="AC496" s="1413" t="n"/>
      <c r="AD496" s="1414">
        <f>(0.25*93.17)/(10)</f>
        <v/>
      </c>
      <c r="AE496" s="1412" t="n"/>
      <c r="AF496" s="1413" t="n"/>
      <c r="AG496" s="1413" t="n"/>
      <c r="AH496" s="1413" t="n"/>
      <c r="AI496" s="1413" t="n"/>
      <c r="AJ496" s="1412" t="n"/>
      <c r="AK496" s="1414">
        <f>(0.25*238.63)/(10)</f>
        <v/>
      </c>
      <c r="AL496" s="1413" t="n"/>
      <c r="AM496" s="1414">
        <f>(0.25*240.87)/(10)</f>
        <v/>
      </c>
      <c r="AN496" s="1414">
        <f>(0.25*195.72)/(10)</f>
        <v/>
      </c>
      <c r="AO496" s="1412" t="n"/>
      <c r="AP496" s="1413" t="n"/>
      <c r="AQ496" s="1413" t="n"/>
      <c r="AR496" s="1413" t="n"/>
      <c r="AS496" s="1413" t="n"/>
      <c r="AT496" s="1412" t="n"/>
      <c r="AU496" s="1413" t="n"/>
      <c r="AV496" s="1413" t="n"/>
      <c r="AW496" s="1413" t="n"/>
      <c r="AX496" s="1413" t="n"/>
      <c r="AY496" s="1412" t="n"/>
      <c r="AZ496" s="1413" t="n"/>
      <c r="BA496" s="1413" t="n"/>
      <c r="BB496" s="1413" t="n"/>
      <c r="BC496" s="1413" t="n"/>
      <c r="BD496" s="1412" t="n"/>
      <c r="BE496" s="1413" t="n"/>
      <c r="BF496" s="1414">
        <f>176.6/(10)</f>
        <v/>
      </c>
      <c r="BG496" s="1414">
        <f>169.07/(10)</f>
        <v/>
      </c>
      <c r="BH496" s="1414">
        <f>148.11/(10)</f>
        <v/>
      </c>
      <c r="BI496" s="1412" t="n"/>
      <c r="BJ496" s="1413" t="n"/>
      <c r="BK496" s="1413" t="n"/>
      <c r="BL496" s="1414">
        <f>444.16/(10)</f>
        <v/>
      </c>
      <c r="BM496" s="1414">
        <f>464.39/(10)</f>
        <v/>
      </c>
      <c r="BN496" s="1412" t="n"/>
      <c r="BO496" s="1414">
        <f>690.11/(10)</f>
        <v/>
      </c>
      <c r="BP496" s="1414" t="n">
        <v>91.5</v>
      </c>
      <c r="BQ496" s="1414" t="n">
        <v>113.71</v>
      </c>
      <c r="BR496" s="1414" t="n">
        <v>142.67</v>
      </c>
      <c r="BS496" s="1412" t="n"/>
      <c r="BT496" s="1414" t="n">
        <v>128.65</v>
      </c>
      <c r="BU496" s="1414" t="n">
        <v>120.61</v>
      </c>
      <c r="BV496" s="1415" t="n">
        <v>178.74</v>
      </c>
      <c r="BW496" s="1413" t="n"/>
      <c r="BX496" s="1412" t="n"/>
      <c r="BY496" s="1413" t="n"/>
      <c r="BZ496" s="1413" t="n"/>
      <c r="CA496" s="1413" t="n"/>
      <c r="CB496" s="1413" t="n"/>
      <c r="CC496" s="1412" t="n"/>
      <c r="CD496" s="1412" t="n"/>
      <c r="CE496" s="1412" t="n"/>
      <c r="CF496" s="1412" t="n"/>
      <c r="CG496" s="1416" t="n"/>
    </row>
    <row r="497" hidden="1" outlineLevel="2" ht="15" customFormat="1" customHeight="1" s="1409">
      <c r="A497" s="1410" t="inlineStr">
        <is>
          <t>Average price of share repurchased - month2, $/share</t>
        </is>
      </c>
      <c r="B497" s="1411" t="n"/>
      <c r="C497" s="1412" t="n"/>
      <c r="D497" s="1412" t="n"/>
      <c r="E497" s="1412" t="n"/>
      <c r="F497" s="1412" t="n"/>
      <c r="G497" s="1413" t="n"/>
      <c r="H497" s="1413" t="n"/>
      <c r="I497" s="1413" t="n"/>
      <c r="J497" s="1414">
        <f>(0.25*13.69)/(10)</f>
        <v/>
      </c>
      <c r="K497" s="1412" t="n"/>
      <c r="L497" s="1414">
        <f>(0.25*23.89)/(10)</f>
        <v/>
      </c>
      <c r="M497" s="1413" t="n"/>
      <c r="N497" s="1413" t="n"/>
      <c r="O497" s="1414">
        <f>(0.25*15.51)/(10)</f>
        <v/>
      </c>
      <c r="P497" s="1412" t="n"/>
      <c r="Q497" s="1413" t="n"/>
      <c r="R497" s="1413" t="n"/>
      <c r="S497" s="1413" t="n"/>
      <c r="T497" s="1414">
        <f>(0.25*19.86)/(10)</f>
        <v/>
      </c>
      <c r="U497" s="1412" t="n"/>
      <c r="V497" s="1413" t="n"/>
      <c r="W497" s="1413" t="n"/>
      <c r="X497" s="1413" t="n"/>
      <c r="Y497" s="1413" t="n"/>
      <c r="Z497" s="1412" t="n"/>
      <c r="AA497" s="1413" t="n"/>
      <c r="AB497" s="1413" t="n"/>
      <c r="AC497" s="1413" t="n"/>
      <c r="AD497" s="1413" t="n"/>
      <c r="AE497" s="1412" t="n"/>
      <c r="AF497" s="1413" t="n"/>
      <c r="AG497" s="1414">
        <f>(0.25*151.11)/(10)</f>
        <v/>
      </c>
      <c r="AH497" s="1414">
        <f>(0.25*180.56)/(10)</f>
        <v/>
      </c>
      <c r="AI497" s="1413" t="n"/>
      <c r="AJ497" s="1412" t="n"/>
      <c r="AK497" s="1414">
        <f>(0.25*236.25)/(10)</f>
        <v/>
      </c>
      <c r="AL497" s="1413" t="n"/>
      <c r="AM497" s="1414">
        <f>(0.25*266.07)/(10)</f>
        <v/>
      </c>
      <c r="AN497" s="1414">
        <f>(0.25*142.05)/(10)</f>
        <v/>
      </c>
      <c r="AO497" s="1412" t="n"/>
      <c r="AP497" s="1413" t="n"/>
      <c r="AQ497" s="1413" t="n"/>
      <c r="AR497" s="1413" t="n"/>
      <c r="AS497" s="1413" t="n"/>
      <c r="AT497" s="1412" t="n"/>
      <c r="AU497" s="1413" t="n"/>
      <c r="AV497" s="1413" t="n"/>
      <c r="AW497" s="1413" t="n"/>
      <c r="AX497" s="1413" t="n"/>
      <c r="AY497" s="1412" t="n"/>
      <c r="AZ497" s="1413" t="n"/>
      <c r="BA497" s="1413" t="n"/>
      <c r="BB497" s="1413" t="n"/>
      <c r="BC497" s="1413" t="n"/>
      <c r="BD497" s="1412" t="n"/>
      <c r="BE497" s="1414">
        <f>230.82/(10)</f>
        <v/>
      </c>
      <c r="BF497" s="1414">
        <f>173.72/(10)</f>
        <v/>
      </c>
      <c r="BG497" s="1414">
        <f>133.8/(10)</f>
        <v/>
      </c>
      <c r="BH497" s="1413" t="n"/>
      <c r="BI497" s="1412" t="n"/>
      <c r="BJ497" s="1413" t="n"/>
      <c r="BK497" s="1414">
        <f>420.77/(10)</f>
        <v/>
      </c>
      <c r="BL497" s="1414">
        <f>456.81/(10)</f>
        <v/>
      </c>
      <c r="BM497" s="1414">
        <f>477.26/(10)</f>
        <v/>
      </c>
      <c r="BN497" s="1412" t="n"/>
      <c r="BO497" s="1414">
        <f>857.29/(10)</f>
        <v/>
      </c>
      <c r="BP497" s="1414" t="n">
        <v>121.36</v>
      </c>
      <c r="BQ497" s="1414" t="n">
        <v>114.77</v>
      </c>
      <c r="BR497" s="1414" t="n">
        <v>136.86</v>
      </c>
      <c r="BS497" s="1412" t="n"/>
      <c r="BT497" s="1414" t="n">
        <v>118.63</v>
      </c>
      <c r="BU497" s="1414" t="n">
        <v>141.61</v>
      </c>
      <c r="BV497" s="1415" t="n">
        <v>174.35</v>
      </c>
      <c r="BW497" s="1413" t="n"/>
      <c r="BX497" s="1412" t="n"/>
      <c r="BY497" s="1413" t="n"/>
      <c r="BZ497" s="1413" t="n"/>
      <c r="CA497" s="1413" t="n"/>
      <c r="CB497" s="1413" t="n"/>
      <c r="CC497" s="1412" t="n"/>
      <c r="CD497" s="1412" t="n"/>
      <c r="CE497" s="1412" t="n"/>
      <c r="CF497" s="1412" t="n"/>
      <c r="CG497" s="1416" t="n"/>
    </row>
    <row r="498" hidden="1" outlineLevel="2" ht="15" customFormat="1" customHeight="1" s="1409">
      <c r="A498" s="1417" t="inlineStr">
        <is>
          <t>Average price of share repurchased - month3, $/share</t>
        </is>
      </c>
      <c r="B498" s="1418" t="n"/>
      <c r="C498" s="1419" t="n"/>
      <c r="D498" s="1419" t="n"/>
      <c r="E498" s="1419" t="n"/>
      <c r="F498" s="1419" t="n"/>
      <c r="G498" s="1420" t="n"/>
      <c r="H498" s="1420" t="n"/>
      <c r="I498" s="1420" t="n"/>
      <c r="J498" s="1420" t="n"/>
      <c r="K498" s="1419" t="n"/>
      <c r="L498" s="1421" t="n">
        <v>0</v>
      </c>
      <c r="M498" s="1420" t="n"/>
      <c r="N498" s="1421" t="n">
        <v>0</v>
      </c>
      <c r="O498" s="1420" t="n"/>
      <c r="P498" s="1419" t="n"/>
      <c r="Q498" s="1420" t="n"/>
      <c r="R498" s="1421" t="n">
        <v>0</v>
      </c>
      <c r="S498" s="1421" t="n">
        <v>0</v>
      </c>
      <c r="T498" s="1420" t="n"/>
      <c r="U498" s="1419" t="n"/>
      <c r="V498" s="1421">
        <f>(0.25*21.9)/(10)</f>
        <v/>
      </c>
      <c r="W498" s="1420" t="n"/>
      <c r="X498" s="1421" t="n">
        <v>0</v>
      </c>
      <c r="Y498" s="1420" t="n"/>
      <c r="Z498" s="1419" t="n"/>
      <c r="AA498" s="1421" t="n">
        <v>0</v>
      </c>
      <c r="AB498" s="1420" t="n"/>
      <c r="AC498" s="1420" t="n"/>
      <c r="AD498" s="1420" t="n"/>
      <c r="AE498" s="1419" t="n"/>
      <c r="AF498" s="1420" t="n"/>
      <c r="AG498" s="1421">
        <f>(0.25*150.13)/(10)</f>
        <v/>
      </c>
      <c r="AH498" s="1420" t="n"/>
      <c r="AI498" s="1420" t="n"/>
      <c r="AJ498" s="1419" t="n"/>
      <c r="AK498" s="1420" t="n"/>
      <c r="AL498" s="1420" t="n"/>
      <c r="AM498" s="1421">
        <f>(0.25*255.41)/(10)</f>
        <v/>
      </c>
      <c r="AN498" s="1421">
        <f>(0.25*129.87)/(10)</f>
        <v/>
      </c>
      <c r="AO498" s="1419" t="n"/>
      <c r="AP498" s="1420" t="n"/>
      <c r="AQ498" s="1420" t="n"/>
      <c r="AR498" s="1420" t="n"/>
      <c r="AS498" s="1420" t="n"/>
      <c r="AT498" s="1419" t="n"/>
      <c r="AU498" s="1420" t="n"/>
      <c r="AV498" s="1420" t="n"/>
      <c r="AW498" s="1420" t="n"/>
      <c r="AX498" s="1420" t="n"/>
      <c r="AY498" s="1419" t="n"/>
      <c r="AZ498" s="1420" t="n"/>
      <c r="BA498" s="1420" t="n"/>
      <c r="BB498" s="1420" t="n"/>
      <c r="BC498" s="1420" t="n"/>
      <c r="BD498" s="1419" t="n"/>
      <c r="BE498" s="1420" t="n"/>
      <c r="BF498" s="1420" t="n"/>
      <c r="BG498" s="1421">
        <f>123.96/(10)</f>
        <v/>
      </c>
      <c r="BH498" s="1420" t="n"/>
      <c r="BI498" s="1419" t="n"/>
      <c r="BJ498" s="1420" t="n"/>
      <c r="BK498" s="1421">
        <f>440.19/(10)</f>
        <v/>
      </c>
      <c r="BL498" s="1421">
        <f>436.44/(10)</f>
        <v/>
      </c>
      <c r="BM498" s="1421">
        <f>540.85/(10)</f>
        <v/>
      </c>
      <c r="BN498" s="1419" t="n"/>
      <c r="BO498" s="1421">
        <f>875.17/(10)</f>
        <v/>
      </c>
      <c r="BP498" s="1421" t="n">
        <v>123.63</v>
      </c>
      <c r="BQ498" s="1421" t="n">
        <v>129.75</v>
      </c>
      <c r="BR498" s="1421" t="n">
        <v>139.3</v>
      </c>
      <c r="BS498" s="1419" t="n"/>
      <c r="BT498" s="1421" t="n">
        <v>106.27</v>
      </c>
      <c r="BU498" s="1421" t="n">
        <v>161.65</v>
      </c>
      <c r="BV498" s="1422" t="n">
        <v>183.68</v>
      </c>
      <c r="BW498" s="1420" t="n"/>
      <c r="BX498" s="1419" t="n"/>
      <c r="BY498" s="1420" t="n"/>
      <c r="BZ498" s="1420" t="n"/>
      <c r="CA498" s="1420" t="n"/>
      <c r="CB498" s="1420" t="n"/>
      <c r="CC498" s="1419" t="n"/>
      <c r="CD498" s="1419" t="n"/>
      <c r="CE498" s="1419" t="n"/>
      <c r="CF498" s="1419" t="n"/>
      <c r="CG498" s="1416" t="n"/>
    </row>
    <row r="499" hidden="1" outlineLevel="1" collapsed="1" ht="15" customFormat="1" customHeight="1" s="1409">
      <c r="A499" s="1423" t="inlineStr">
        <is>
          <t>Average price of share repurchased (calculated), $/share</t>
        </is>
      </c>
      <c r="B499" s="1411" t="n"/>
      <c r="C499" s="1412">
        <f>C504/C494*1000</f>
        <v/>
      </c>
      <c r="D499" s="1412" t="n"/>
      <c r="E499" s="1412" t="n"/>
      <c r="F499" s="1412" t="n"/>
      <c r="G499" s="1413" t="n"/>
      <c r="H499" s="1413" t="n"/>
      <c r="I499" s="1413" t="n"/>
      <c r="J499" s="1413">
        <f>J504/J494*1000</f>
        <v/>
      </c>
      <c r="K499" s="1412">
        <f>K504/K494*1000</f>
        <v/>
      </c>
      <c r="L499" s="1413">
        <f>L504/L494*1000</f>
        <v/>
      </c>
      <c r="M499" s="1413">
        <f>M504/M494*1000</f>
        <v/>
      </c>
      <c r="N499" s="1413">
        <f>N504/N494*1000</f>
        <v/>
      </c>
      <c r="O499" s="1413">
        <f>O504/O494*1000</f>
        <v/>
      </c>
      <c r="P499" s="1412">
        <f>P504/P494*1000</f>
        <v/>
      </c>
      <c r="Q499" s="1413">
        <f>Q504/Q494*1000</f>
        <v/>
      </c>
      <c r="R499" s="1413">
        <f>R504/R494*1000</f>
        <v/>
      </c>
      <c r="S499" s="1413">
        <f>S504/S494*1000</f>
        <v/>
      </c>
      <c r="T499" s="1413">
        <f>T504/T494*1000</f>
        <v/>
      </c>
      <c r="U499" s="1412">
        <f>U504/U494*1000</f>
        <v/>
      </c>
      <c r="V499" s="1413">
        <f>V504/V494*1000</f>
        <v/>
      </c>
      <c r="W499" s="1413">
        <f>W504/W494*1000</f>
        <v/>
      </c>
      <c r="X499" s="1413">
        <f>X504/X494*1000</f>
        <v/>
      </c>
      <c r="Y499" s="1413">
        <f>Y504/Y494*1000</f>
        <v/>
      </c>
      <c r="Z499" s="1412">
        <f>Z504/Z494*1000</f>
        <v/>
      </c>
      <c r="AA499" s="1413">
        <f>AA504/AA494*1000</f>
        <v/>
      </c>
      <c r="AB499" s="1413" t="n"/>
      <c r="AC499" s="1413" t="n"/>
      <c r="AD499" s="1413">
        <f>AD504/AD494*1000</f>
        <v/>
      </c>
      <c r="AE499" s="1412">
        <f>AE504/AE494*1000</f>
        <v/>
      </c>
      <c r="AF499" s="1413" t="n"/>
      <c r="AG499" s="1413">
        <f>AG504/AG494*1000</f>
        <v/>
      </c>
      <c r="AH499" s="1413">
        <f>AH504/AH494*1000</f>
        <v/>
      </c>
      <c r="AI499" s="1413" t="n"/>
      <c r="AJ499" s="1412">
        <f>AJ504/AJ494*1000</f>
        <v/>
      </c>
      <c r="AK499" s="1413">
        <f>AK504/AK494*1000</f>
        <v/>
      </c>
      <c r="AL499" s="1413" t="n"/>
      <c r="AM499" s="1413">
        <f>AM504/AM494*1000</f>
        <v/>
      </c>
      <c r="AN499" s="1413">
        <f>AN504/AN494*1000</f>
        <v/>
      </c>
      <c r="AO499" s="1412">
        <f>AO504/AO494*1000</f>
        <v/>
      </c>
      <c r="AP499" s="1413" t="n"/>
      <c r="AQ499" s="1413" t="n"/>
      <c r="AR499" s="1413" t="n"/>
      <c r="AS499" s="1413" t="n"/>
      <c r="AT499" s="1412" t="n"/>
      <c r="AU499" s="1413" t="n"/>
      <c r="AV499" s="1413" t="n"/>
      <c r="AW499" s="1413" t="n"/>
      <c r="AX499" s="1413" t="n"/>
      <c r="AY499" s="1412" t="n"/>
      <c r="AZ499" s="1413" t="n"/>
      <c r="BA499" s="1413" t="n"/>
      <c r="BB499" s="1413" t="n"/>
      <c r="BC499" s="1413" t="n"/>
      <c r="BD499" s="1412" t="n"/>
      <c r="BE499" s="1413">
        <f>BE504/BE494*1000</f>
        <v/>
      </c>
      <c r="BF499" s="1413">
        <f>BF504/BF494*1000</f>
        <v/>
      </c>
      <c r="BG499" s="1413">
        <f>BG504/BG494*1000</f>
        <v/>
      </c>
      <c r="BH499" s="1413">
        <f>BH504/BH494*1000</f>
        <v/>
      </c>
      <c r="BI499" s="1412">
        <f>BI504/BI494*1000</f>
        <v/>
      </c>
      <c r="BJ499" s="1413" t="n"/>
      <c r="BK499" s="1413">
        <f>BK504/BK494*1000</f>
        <v/>
      </c>
      <c r="BL499" s="1413">
        <f>BL504/BL494*1000</f>
        <v/>
      </c>
      <c r="BM499" s="1413">
        <f>BM504/BM494*1000</f>
        <v/>
      </c>
      <c r="BN499" s="1412">
        <f>BN504/BN494*1000</f>
        <v/>
      </c>
      <c r="BO499" s="1413">
        <f>BO504/BO494*1000</f>
        <v/>
      </c>
      <c r="BP499" s="1413">
        <f>BP504/BP494*1000</f>
        <v/>
      </c>
      <c r="BQ499" s="1413">
        <f>BQ504/BQ494*1000</f>
        <v/>
      </c>
      <c r="BR499" s="1413">
        <f>BR504/BR494*1000</f>
        <v/>
      </c>
      <c r="BS499" s="1412">
        <f>BS504/BS494*1000</f>
        <v/>
      </c>
      <c r="BT499" s="1413">
        <f>BT504/BT494*1000</f>
        <v/>
      </c>
      <c r="BU499" s="1413">
        <f>BU504/BU494*1000</f>
        <v/>
      </c>
      <c r="BV499" s="1424">
        <f>BV504/BV494*1000</f>
        <v/>
      </c>
      <c r="BW499" s="1413" t="n"/>
      <c r="BX499" s="1412" t="n"/>
      <c r="BY499" s="1413" t="n"/>
      <c r="BZ499" s="1413" t="n"/>
      <c r="CA499" s="1413" t="n"/>
      <c r="CB499" s="1413" t="n"/>
      <c r="CC499" s="1412" t="n"/>
      <c r="CD499" s="1412" t="n"/>
      <c r="CE499" s="1412" t="n"/>
      <c r="CF499" s="1412" t="n"/>
      <c r="CG499" s="1416" t="n"/>
    </row>
    <row r="500" hidden="1" outlineLevel="2" ht="15" customFormat="1" customHeight="1" s="227">
      <c r="A500" s="636" t="n"/>
      <c r="B500" s="146" t="n"/>
      <c r="C500" s="1110" t="n"/>
      <c r="D500" s="1110" t="n"/>
      <c r="E500" s="1110" t="n"/>
      <c r="F500" s="1110" t="n"/>
      <c r="G500" s="68" t="n"/>
      <c r="H500" s="68" t="n"/>
      <c r="I500" s="68" t="n"/>
      <c r="J500" s="68" t="n"/>
      <c r="K500" s="1110" t="n"/>
      <c r="L500" s="68" t="n"/>
      <c r="M500" s="68" t="n"/>
      <c r="N500" s="68" t="n"/>
      <c r="O500" s="68" t="n"/>
      <c r="P500" s="1110" t="n"/>
      <c r="Q500" s="68" t="n"/>
      <c r="R500" s="68" t="n"/>
      <c r="S500" s="68" t="n"/>
      <c r="T500" s="68" t="n"/>
      <c r="U500" s="1110" t="n"/>
      <c r="V500" s="68" t="n"/>
      <c r="W500" s="68" t="n"/>
      <c r="X500" s="68" t="n"/>
      <c r="Y500" s="68" t="n"/>
      <c r="Z500" s="1110" t="n"/>
      <c r="AA500" s="68" t="n"/>
      <c r="AB500" s="68" t="n"/>
      <c r="AC500" s="68" t="n"/>
      <c r="AD500" s="68" t="n"/>
      <c r="AE500" s="1110" t="n"/>
      <c r="AF500" s="68" t="n"/>
      <c r="AG500" s="68" t="n"/>
      <c r="AH500" s="68" t="n"/>
      <c r="AI500" s="68" t="n"/>
      <c r="AJ500" s="1110" t="n"/>
      <c r="AK500" s="68" t="n"/>
      <c r="AL500" s="68" t="n"/>
      <c r="AM500" s="68" t="n"/>
      <c r="AN500" s="68" t="n"/>
      <c r="AO500" s="1110" t="n"/>
      <c r="AP500" s="68" t="n"/>
      <c r="AQ500" s="68" t="n"/>
      <c r="AR500" s="68" t="n"/>
      <c r="AS500" s="68" t="n"/>
      <c r="AT500" s="1110" t="n"/>
      <c r="AU500" s="68" t="n"/>
      <c r="AV500" s="68" t="n"/>
      <c r="AW500" s="68" t="n"/>
      <c r="AX500" s="68" t="n"/>
      <c r="AY500" s="1110" t="n"/>
      <c r="AZ500" s="68" t="n"/>
      <c r="BA500" s="68" t="n"/>
      <c r="BB500" s="68" t="n"/>
      <c r="BC500" s="68" t="n"/>
      <c r="BD500" s="1110" t="n"/>
      <c r="BE500" s="68" t="n"/>
      <c r="BF500" s="68" t="n"/>
      <c r="BG500" s="68" t="n"/>
      <c r="BH500" s="68" t="n"/>
      <c r="BI500" s="1110" t="n"/>
      <c r="BJ500" s="68" t="n"/>
      <c r="BK500" s="68" t="n"/>
      <c r="BL500" s="68" t="n"/>
      <c r="BM500" s="68" t="n"/>
      <c r="BN500" s="1110" t="n"/>
      <c r="BO500" s="68" t="n"/>
      <c r="BP500" s="68" t="n"/>
      <c r="BQ500" s="68" t="n"/>
      <c r="BR500" s="68" t="n"/>
      <c r="BS500" s="1110" t="n"/>
      <c r="BT500" s="68" t="n"/>
      <c r="BU500" s="68" t="n"/>
      <c r="BV500" s="588" t="n"/>
      <c r="BW500" s="68" t="n"/>
      <c r="BX500" s="1110" t="n"/>
      <c r="BY500" s="68" t="n"/>
      <c r="BZ500" s="68" t="n"/>
      <c r="CA500" s="68" t="n"/>
      <c r="CB500" s="68" t="n"/>
      <c r="CC500" s="1110" t="n"/>
      <c r="CD500" s="1110" t="n"/>
      <c r="CE500" s="1110" t="n"/>
      <c r="CF500" s="1110" t="n"/>
      <c r="CG500" s="27" t="n"/>
    </row>
    <row r="501" hidden="1" outlineLevel="2" ht="15" customFormat="1" customHeight="1" s="227">
      <c r="A501" s="99" t="inlineStr">
        <is>
          <t>Repurchase dollar value - month1, mm</t>
        </is>
      </c>
      <c r="B501" s="146" t="n"/>
      <c r="C501" s="1110" t="n"/>
      <c r="D501" s="1110" t="n"/>
      <c r="E501" s="1110" t="n"/>
      <c r="F501" s="1110" t="n"/>
      <c r="G501" s="68" t="n"/>
      <c r="H501" s="68" t="n"/>
      <c r="I501" s="68" t="n"/>
      <c r="J501" s="1053" t="n">
        <v>0</v>
      </c>
      <c r="K501" s="1110" t="n"/>
      <c r="L501" s="68">
        <f>K514+L506-L511</f>
        <v/>
      </c>
      <c r="M501" s="68">
        <f>L514+M506-M511</f>
        <v/>
      </c>
      <c r="N501" s="68">
        <f>M514+N506-N511</f>
        <v/>
      </c>
      <c r="O501" s="68">
        <f>N514+O506-O511</f>
        <v/>
      </c>
      <c r="P501" s="1110" t="n"/>
      <c r="Q501" s="68">
        <f>P514+Q506-Q511</f>
        <v/>
      </c>
      <c r="R501" s="68">
        <f>Q514+R506-R511</f>
        <v/>
      </c>
      <c r="S501" s="68">
        <f>R514+S506-S511</f>
        <v/>
      </c>
      <c r="T501" s="68">
        <f>S514+T506-T511</f>
        <v/>
      </c>
      <c r="U501" s="1110" t="n"/>
      <c r="V501" s="68">
        <f>U514+V506-V511</f>
        <v/>
      </c>
      <c r="W501" s="68">
        <f>V514+W506-W511</f>
        <v/>
      </c>
      <c r="X501" s="68">
        <f>W514+X506-X511</f>
        <v/>
      </c>
      <c r="Y501" s="68">
        <f>X514+Y506-Y511</f>
        <v/>
      </c>
      <c r="Z501" s="1110" t="n"/>
      <c r="AA501" s="68">
        <f>Z514+AA506-AA511</f>
        <v/>
      </c>
      <c r="AB501" s="68">
        <f>AA514+AB506-AB511</f>
        <v/>
      </c>
      <c r="AC501" s="68" t="n"/>
      <c r="AD501" s="68">
        <f>AC514+AD506-AD511</f>
        <v/>
      </c>
      <c r="AE501" s="1110" t="n"/>
      <c r="AF501" s="68" t="n"/>
      <c r="AG501" s="68">
        <f>AF514+AG506-AG511</f>
        <v/>
      </c>
      <c r="AH501" s="68">
        <f>AG514+AH506-AH511</f>
        <v/>
      </c>
      <c r="AI501" s="68" t="n"/>
      <c r="AJ501" s="1110" t="n"/>
      <c r="AK501" s="68">
        <f>AJ514+AK506-AK511</f>
        <v/>
      </c>
      <c r="AL501" s="68" t="n"/>
      <c r="AM501" s="68">
        <f>AL514+AM506-AM511</f>
        <v/>
      </c>
      <c r="AN501" s="68">
        <f>AM514+AN506-AN511</f>
        <v/>
      </c>
      <c r="AO501" s="1110" t="n"/>
      <c r="AP501" s="68" t="n"/>
      <c r="AQ501" s="68" t="n"/>
      <c r="AR501" s="68" t="n"/>
      <c r="AS501" s="68" t="n"/>
      <c r="AT501" s="1110" t="n"/>
      <c r="AU501" s="68" t="n"/>
      <c r="AV501" s="68" t="n"/>
      <c r="AW501" s="68" t="n"/>
      <c r="AX501" s="68" t="n"/>
      <c r="AY501" s="1110" t="n"/>
      <c r="AZ501" s="68" t="n"/>
      <c r="BA501" s="68" t="n"/>
      <c r="BB501" s="68" t="n"/>
      <c r="BC501" s="68" t="n"/>
      <c r="BD501" s="1110" t="n"/>
      <c r="BE501" s="68">
        <f>BD514+BE506-BE511</f>
        <v/>
      </c>
      <c r="BF501" s="68">
        <f>BE514+BF506-BF511</f>
        <v/>
      </c>
      <c r="BG501" s="68">
        <f>BF514+BG506-BG511</f>
        <v/>
      </c>
      <c r="BH501" s="68">
        <f>BG514+BH506-BH511</f>
        <v/>
      </c>
      <c r="BI501" s="1110" t="n"/>
      <c r="BJ501" s="68" t="n"/>
      <c r="BK501" s="68">
        <f>BJ514+BK506-BK511</f>
        <v/>
      </c>
      <c r="BL501" s="68">
        <f>BK514+BL506-BL511</f>
        <v/>
      </c>
      <c r="BM501" s="68">
        <f>BL514+BM506-BM511</f>
        <v/>
      </c>
      <c r="BN501" s="1110" t="n"/>
      <c r="BO501" s="68">
        <f>BN514+BO506-BO511</f>
        <v/>
      </c>
      <c r="BP501" s="68">
        <f>BO514+BP506-BP511</f>
        <v/>
      </c>
      <c r="BQ501" s="68">
        <f>BP514+BQ506-BQ511</f>
        <v/>
      </c>
      <c r="BR501" s="68">
        <f>BQ514+BR506-BR511</f>
        <v/>
      </c>
      <c r="BS501" s="1110" t="n"/>
      <c r="BT501" s="68">
        <f>BS514+BT506-BT511</f>
        <v/>
      </c>
      <c r="BU501" s="68">
        <f>BT514+BU506-BU511</f>
        <v/>
      </c>
      <c r="BV501" s="588">
        <f>BU514+BV506-BV511</f>
        <v/>
      </c>
      <c r="BW501" s="68" t="n"/>
      <c r="BX501" s="1110" t="n"/>
      <c r="BY501" s="68" t="n"/>
      <c r="BZ501" s="68" t="n"/>
      <c r="CA501" s="68" t="n"/>
      <c r="CB501" s="68" t="n"/>
      <c r="CC501" s="1110" t="n"/>
      <c r="CD501" s="1110" t="n"/>
      <c r="CE501" s="1110" t="n"/>
      <c r="CF501" s="1110" t="n"/>
      <c r="CG501" s="27" t="n"/>
    </row>
    <row r="502" hidden="1" outlineLevel="2" ht="15" customFormat="1" customHeight="1" s="227">
      <c r="A502" s="99" t="inlineStr">
        <is>
          <t>Repurchase dollar value - month2, mm</t>
        </is>
      </c>
      <c r="B502" s="146" t="n"/>
      <c r="C502" s="1110" t="n"/>
      <c r="D502" s="1110" t="n"/>
      <c r="E502" s="1110" t="n"/>
      <c r="F502" s="1110" t="n"/>
      <c r="G502" s="68" t="n"/>
      <c r="H502" s="68" t="n"/>
      <c r="I502" s="68" t="n"/>
      <c r="J502" s="68">
        <f>J511+J507-J512</f>
        <v/>
      </c>
      <c r="K502" s="1110" t="n"/>
      <c r="L502" s="68">
        <f>L511+L507-L512</f>
        <v/>
      </c>
      <c r="M502" s="68">
        <f>M511+M507-M512</f>
        <v/>
      </c>
      <c r="N502" s="68">
        <f>N511+N507-N512</f>
        <v/>
      </c>
      <c r="O502" s="68">
        <f>O511+O507-O512</f>
        <v/>
      </c>
      <c r="P502" s="1110" t="n"/>
      <c r="Q502" s="68">
        <f>Q511+Q507-Q512</f>
        <v/>
      </c>
      <c r="R502" s="68">
        <f>R511+R507-R512</f>
        <v/>
      </c>
      <c r="S502" s="68">
        <f>S511+S507-S512</f>
        <v/>
      </c>
      <c r="T502" s="68">
        <f>T511+T507-T512</f>
        <v/>
      </c>
      <c r="U502" s="1110" t="n"/>
      <c r="V502" s="68">
        <f>V511+V507-V512</f>
        <v/>
      </c>
      <c r="W502" s="68">
        <f>W511+W507-W512</f>
        <v/>
      </c>
      <c r="X502" s="68">
        <f>X511+X507-X512</f>
        <v/>
      </c>
      <c r="Y502" s="68">
        <f>Y511+Y507-Y512</f>
        <v/>
      </c>
      <c r="Z502" s="1110" t="n"/>
      <c r="AA502" s="68">
        <f>AA511+AA507-AA512</f>
        <v/>
      </c>
      <c r="AB502" s="68">
        <f>AB511+AB507-AB512</f>
        <v/>
      </c>
      <c r="AC502" s="68" t="n"/>
      <c r="AD502" s="68">
        <f>AD511+AD507-AD512</f>
        <v/>
      </c>
      <c r="AE502" s="1110" t="n"/>
      <c r="AF502" s="68" t="n"/>
      <c r="AG502" s="68">
        <f>AG511+AG507-AG512</f>
        <v/>
      </c>
      <c r="AH502" s="68">
        <f>AH511+AH507-AH512</f>
        <v/>
      </c>
      <c r="AI502" s="68" t="n"/>
      <c r="AJ502" s="1110" t="n"/>
      <c r="AK502" s="68">
        <f>AK511+AK507-AK512</f>
        <v/>
      </c>
      <c r="AL502" s="68" t="n"/>
      <c r="AM502" s="68">
        <f>AM511+AM507-AM512</f>
        <v/>
      </c>
      <c r="AN502" s="68">
        <f>AN511+AN507-AN512</f>
        <v/>
      </c>
      <c r="AO502" s="1110" t="n"/>
      <c r="AP502" s="68" t="n"/>
      <c r="AQ502" s="68" t="n"/>
      <c r="AR502" s="68" t="n"/>
      <c r="AS502" s="68" t="n"/>
      <c r="AT502" s="1110" t="n"/>
      <c r="AU502" s="68" t="n"/>
      <c r="AV502" s="68" t="n"/>
      <c r="AW502" s="68" t="n"/>
      <c r="AX502" s="68" t="n"/>
      <c r="AY502" s="1110" t="n"/>
      <c r="AZ502" s="68" t="n"/>
      <c r="BA502" s="68" t="n"/>
      <c r="BB502" s="68" t="n"/>
      <c r="BC502" s="68" t="n"/>
      <c r="BD502" s="1110" t="n"/>
      <c r="BE502" s="68">
        <f>BE511+BE507-BE512</f>
        <v/>
      </c>
      <c r="BF502" s="68">
        <f>BF511+BF507-BF512</f>
        <v/>
      </c>
      <c r="BG502" s="68">
        <f>BG511+BG507-BG512</f>
        <v/>
      </c>
      <c r="BH502" s="68" t="n"/>
      <c r="BI502" s="1110" t="n"/>
      <c r="BJ502" s="68" t="n"/>
      <c r="BK502" s="68">
        <f>BK511+BK507-BK512</f>
        <v/>
      </c>
      <c r="BL502" s="68">
        <f>BL511+BL507-BL512</f>
        <v/>
      </c>
      <c r="BM502" s="68">
        <f>BM511+BM507-BM512</f>
        <v/>
      </c>
      <c r="BN502" s="1110" t="n"/>
      <c r="BO502" s="68">
        <f>BO511+BO507-BO512</f>
        <v/>
      </c>
      <c r="BP502" s="68">
        <f>BP511+BP507-BP512</f>
        <v/>
      </c>
      <c r="BQ502" s="68">
        <f>BQ511+BQ507-BQ512</f>
        <v/>
      </c>
      <c r="BR502" s="68">
        <f>BR511+BR507-BR512</f>
        <v/>
      </c>
      <c r="BS502" s="1110" t="n"/>
      <c r="BT502" s="68">
        <f>BT511+BT507-BT512</f>
        <v/>
      </c>
      <c r="BU502" s="68">
        <f>BU511+BU507-BU512</f>
        <v/>
      </c>
      <c r="BV502" s="588">
        <f>BV511+BV507-BV512</f>
        <v/>
      </c>
      <c r="BW502" s="68" t="n"/>
      <c r="BX502" s="1110" t="n"/>
      <c r="BY502" s="68" t="n"/>
      <c r="BZ502" s="68" t="n"/>
      <c r="CA502" s="68" t="n"/>
      <c r="CB502" s="68" t="n"/>
      <c r="CC502" s="1110" t="n"/>
      <c r="CD502" s="1110" t="n"/>
      <c r="CE502" s="1110" t="n"/>
      <c r="CF502" s="1110" t="n"/>
      <c r="CG502" s="27" t="n"/>
    </row>
    <row r="503" hidden="1" outlineLevel="2" ht="15" customFormat="1" customHeight="1" s="227">
      <c r="A503" s="282" t="inlineStr">
        <is>
          <t>Repurchase dollar value - month3, mm</t>
        </is>
      </c>
      <c r="B503" s="149" t="n"/>
      <c r="C503" s="1121" t="n"/>
      <c r="D503" s="1121" t="n"/>
      <c r="E503" s="1121" t="n"/>
      <c r="F503" s="1121" t="n"/>
      <c r="G503" s="109" t="n"/>
      <c r="H503" s="109" t="n"/>
      <c r="I503" s="109" t="n"/>
      <c r="J503" s="109">
        <f>J512+J508-J513</f>
        <v/>
      </c>
      <c r="K503" s="1121" t="n"/>
      <c r="L503" s="109">
        <f>L512+L508-L513</f>
        <v/>
      </c>
      <c r="M503" s="109">
        <f>M512+M508-M513</f>
        <v/>
      </c>
      <c r="N503" s="109">
        <f>N512+N508-N513</f>
        <v/>
      </c>
      <c r="O503" s="109">
        <f>O512+O508-O513</f>
        <v/>
      </c>
      <c r="P503" s="1121" t="n"/>
      <c r="Q503" s="109">
        <f>Q512+Q508-Q513</f>
        <v/>
      </c>
      <c r="R503" s="109">
        <f>R512+R508-R513</f>
        <v/>
      </c>
      <c r="S503" s="109">
        <f>S512+S508-S513</f>
        <v/>
      </c>
      <c r="T503" s="109">
        <f>T512+T508-T513</f>
        <v/>
      </c>
      <c r="U503" s="1121" t="n"/>
      <c r="V503" s="109">
        <f>V512+V508-V513</f>
        <v/>
      </c>
      <c r="W503" s="109">
        <f>W512+W508-W513</f>
        <v/>
      </c>
      <c r="X503" s="109">
        <f>X512+X508-X513</f>
        <v/>
      </c>
      <c r="Y503" s="109">
        <f>Y512+Y508-Y513</f>
        <v/>
      </c>
      <c r="Z503" s="1121" t="n"/>
      <c r="AA503" s="109">
        <f>AA512+AA508-AA513</f>
        <v/>
      </c>
      <c r="AB503" s="109">
        <f>AB512+AB508-AB513</f>
        <v/>
      </c>
      <c r="AC503" s="109" t="n"/>
      <c r="AD503" s="109">
        <f>AD512+AD508-AD513</f>
        <v/>
      </c>
      <c r="AE503" s="1121" t="n"/>
      <c r="AF503" s="109" t="n"/>
      <c r="AG503" s="109">
        <f>AG512+AG508-AG513</f>
        <v/>
      </c>
      <c r="AH503" s="109">
        <f>AH512+AH508-AH513</f>
        <v/>
      </c>
      <c r="AI503" s="109" t="n"/>
      <c r="AJ503" s="1121" t="n"/>
      <c r="AK503" s="109">
        <f>AK512+AK508-AK513</f>
        <v/>
      </c>
      <c r="AL503" s="109" t="n"/>
      <c r="AM503" s="109">
        <f>AM512+AM508-AM513</f>
        <v/>
      </c>
      <c r="AN503" s="109">
        <f>AN512+AN508-AN513</f>
        <v/>
      </c>
      <c r="AO503" s="1121" t="n"/>
      <c r="AP503" s="109" t="n"/>
      <c r="AQ503" s="109" t="n"/>
      <c r="AR503" s="109" t="n"/>
      <c r="AS503" s="109" t="n"/>
      <c r="AT503" s="1121" t="n"/>
      <c r="AU503" s="109" t="n"/>
      <c r="AV503" s="109" t="n"/>
      <c r="AW503" s="109" t="n"/>
      <c r="AX503" s="109" t="n"/>
      <c r="AY503" s="1121" t="n"/>
      <c r="AZ503" s="109" t="n"/>
      <c r="BA503" s="109" t="n"/>
      <c r="BB503" s="109" t="n"/>
      <c r="BC503" s="109" t="n"/>
      <c r="BD503" s="1121" t="n"/>
      <c r="BE503" s="109">
        <f>BE512+BE508-BE513</f>
        <v/>
      </c>
      <c r="BF503" s="109">
        <f>BF512+BF508-BF513</f>
        <v/>
      </c>
      <c r="BG503" s="109">
        <f>BG512+BG508-BG513</f>
        <v/>
      </c>
      <c r="BH503" s="109" t="n"/>
      <c r="BI503" s="1121" t="n"/>
      <c r="BJ503" s="109" t="n"/>
      <c r="BK503" s="109">
        <f>BK512+BK508-BK513</f>
        <v/>
      </c>
      <c r="BL503" s="109">
        <f>BL512+BL508-BL513</f>
        <v/>
      </c>
      <c r="BM503" s="109">
        <f>BM512+BM508-BM513</f>
        <v/>
      </c>
      <c r="BN503" s="1121" t="n"/>
      <c r="BO503" s="109">
        <f>BO512+BO508-BO513</f>
        <v/>
      </c>
      <c r="BP503" s="109">
        <f>BP512+BP508-BP513</f>
        <v/>
      </c>
      <c r="BQ503" s="109">
        <f>BQ512+BQ508-BQ513</f>
        <v/>
      </c>
      <c r="BR503" s="109">
        <f>BR512+BR508-BR513</f>
        <v/>
      </c>
      <c r="BS503" s="1121" t="n"/>
      <c r="BT503" s="109">
        <f>BT512+BT508-BT513</f>
        <v/>
      </c>
      <c r="BU503" s="109">
        <f>BU512+BU508-BU513</f>
        <v/>
      </c>
      <c r="BV503" s="730">
        <f>BV512+BV508-BV513</f>
        <v/>
      </c>
      <c r="BW503" s="109" t="n"/>
      <c r="BX503" s="1121" t="n"/>
      <c r="BY503" s="109" t="n"/>
      <c r="BZ503" s="109" t="n"/>
      <c r="CA503" s="109" t="n"/>
      <c r="CB503" s="109" t="n"/>
      <c r="CC503" s="1121" t="n"/>
      <c r="CD503" s="1121" t="n"/>
      <c r="CE503" s="1121" t="n"/>
      <c r="CF503" s="1121" t="n"/>
      <c r="CG503" s="27" t="n"/>
    </row>
    <row r="504" hidden="1" outlineLevel="1" collapsed="1" ht="15" customFormat="1" customHeight="1" s="227">
      <c r="A504" s="636" t="inlineStr">
        <is>
          <t>Repurchase dollar value, mm</t>
        </is>
      </c>
      <c r="B504" s="146" t="n"/>
      <c r="C504" s="1111" t="n">
        <v>423.6</v>
      </c>
      <c r="D504" s="1110" t="n"/>
      <c r="E504" s="1110" t="n"/>
      <c r="F504" s="1110" t="n"/>
      <c r="G504" s="68" t="n"/>
      <c r="H504" s="68" t="n"/>
      <c r="I504" s="68" t="n"/>
      <c r="J504" s="68">
        <f>SUM(J501:J503)</f>
        <v/>
      </c>
      <c r="K504" s="1110">
        <f>SUM(G504,H504,I504,J504)</f>
        <v/>
      </c>
      <c r="L504" s="68">
        <f>SUM(L501:L503)</f>
        <v/>
      </c>
      <c r="M504" s="68">
        <f>SUM(M501:M503)</f>
        <v/>
      </c>
      <c r="N504" s="68">
        <f>SUM(N501:N503)</f>
        <v/>
      </c>
      <c r="O504" s="68">
        <f>SUM(O501:O503)</f>
        <v/>
      </c>
      <c r="P504" s="1110">
        <f>SUM(L504,M504,N504,O504)</f>
        <v/>
      </c>
      <c r="Q504" s="68">
        <f>SUM(Q501:Q503)</f>
        <v/>
      </c>
      <c r="R504" s="68">
        <f>SUM(R501:R503)</f>
        <v/>
      </c>
      <c r="S504" s="68">
        <f>SUM(S501:S503)</f>
        <v/>
      </c>
      <c r="T504" s="68">
        <f>SUM(T501:T503)</f>
        <v/>
      </c>
      <c r="U504" s="1110">
        <f>SUM(Q504,R504,S504,T504)</f>
        <v/>
      </c>
      <c r="V504" s="68">
        <f>SUM(V501:V503)</f>
        <v/>
      </c>
      <c r="W504" s="68">
        <f>SUM(W501:W503)</f>
        <v/>
      </c>
      <c r="X504" s="68">
        <f>SUM(X501:X503)</f>
        <v/>
      </c>
      <c r="Y504" s="68">
        <f>SUM(Y501:Y503)</f>
        <v/>
      </c>
      <c r="Z504" s="1110">
        <f>SUM(V504,W504,X504,Y504)</f>
        <v/>
      </c>
      <c r="AA504" s="68">
        <f>SUM(AA501:AA503)</f>
        <v/>
      </c>
      <c r="AB504" s="68">
        <f>SUM(AB501:AB503)</f>
        <v/>
      </c>
      <c r="AC504" s="68">
        <f>SUM(AC501:AC503)</f>
        <v/>
      </c>
      <c r="AD504" s="68">
        <f>SUM(AD501:AD503)</f>
        <v/>
      </c>
      <c r="AE504" s="1110">
        <f>SUM(AA504,AB504,AC504,AD504)</f>
        <v/>
      </c>
      <c r="AF504" s="68">
        <f>SUM(AF501:AF503)</f>
        <v/>
      </c>
      <c r="AG504" s="68">
        <f>SUM(AG501:AG503)</f>
        <v/>
      </c>
      <c r="AH504" s="68">
        <f>SUM(AH501:AH503)</f>
        <v/>
      </c>
      <c r="AI504" s="68">
        <f>SUM(AI501:AI503)</f>
        <v/>
      </c>
      <c r="AJ504" s="1110">
        <f>SUM(AF504,AG504,AH504,AI504)</f>
        <v/>
      </c>
      <c r="AK504" s="68">
        <f>SUM(AK501:AK503)</f>
        <v/>
      </c>
      <c r="AL504" s="68">
        <f>SUM(AL501:AL503)</f>
        <v/>
      </c>
      <c r="AM504" s="68">
        <f>SUM(AM501:AM503)</f>
        <v/>
      </c>
      <c r="AN504" s="68">
        <f>SUM(AN501:AN503)</f>
        <v/>
      </c>
      <c r="AO504" s="1110">
        <f>SUM(AK504,AL504,AM504,AN504)</f>
        <v/>
      </c>
      <c r="AP504" s="68">
        <f>SUM(AP501:AP503)</f>
        <v/>
      </c>
      <c r="AQ504" s="68">
        <f>SUM(AQ501:AQ503)</f>
        <v/>
      </c>
      <c r="AR504" s="68">
        <f>SUM(AR501:AR503)</f>
        <v/>
      </c>
      <c r="AS504" s="68">
        <f>SUM(AS501:AS503)</f>
        <v/>
      </c>
      <c r="AT504" s="1110">
        <f>SUM(AP504,AQ504,AR504,AS504)</f>
        <v/>
      </c>
      <c r="AU504" s="68">
        <f>SUM(AU501:AU503)</f>
        <v/>
      </c>
      <c r="AV504" s="68">
        <f>SUM(AV501:AV503)</f>
        <v/>
      </c>
      <c r="AW504" s="68">
        <f>SUM(AW501:AW503)</f>
        <v/>
      </c>
      <c r="AX504" s="68">
        <f>SUM(AX501:AX503)</f>
        <v/>
      </c>
      <c r="AY504" s="1110">
        <f>SUM(AU504,AV504,AW504,AX504)</f>
        <v/>
      </c>
      <c r="AZ504" s="68">
        <f>SUM(AZ501:AZ503)</f>
        <v/>
      </c>
      <c r="BA504" s="68">
        <f>SUM(BA501:BA503)</f>
        <v/>
      </c>
      <c r="BB504" s="68">
        <f>SUM(BB501:BB503)</f>
        <v/>
      </c>
      <c r="BC504" s="68">
        <f>SUM(BC501:BC503)</f>
        <v/>
      </c>
      <c r="BD504" s="1110">
        <f>SUM(AZ504,BA504,BB504,BC504)</f>
        <v/>
      </c>
      <c r="BE504" s="68">
        <f>SUM(BE501:BE503)</f>
        <v/>
      </c>
      <c r="BF504" s="68">
        <f>SUM(BF501:BF503)</f>
        <v/>
      </c>
      <c r="BG504" s="68">
        <f>SUM(BG501:BG503)</f>
        <v/>
      </c>
      <c r="BH504" s="68">
        <f>SUM(BH501:BH503)</f>
        <v/>
      </c>
      <c r="BI504" s="1110">
        <f>SUM(BE504,BF504,BG504,BH504)</f>
        <v/>
      </c>
      <c r="BJ504" s="68">
        <f>SUM(BJ501:BJ503)</f>
        <v/>
      </c>
      <c r="BK504" s="68">
        <f>SUM(BK501:BK503)</f>
        <v/>
      </c>
      <c r="BL504" s="68">
        <f>SUM(BL501:BL503)</f>
        <v/>
      </c>
      <c r="BM504" s="68">
        <f>SUM(BM501:BM503)</f>
        <v/>
      </c>
      <c r="BN504" s="1110">
        <f>SUM(BJ504,BK504,BL504,BM504)</f>
        <v/>
      </c>
      <c r="BO504" s="68">
        <f>SUM(BO501:BO503)</f>
        <v/>
      </c>
      <c r="BP504" s="68">
        <f>SUM(BP501:BP503)</f>
        <v/>
      </c>
      <c r="BQ504" s="68">
        <f>SUM(BQ501:BQ503)</f>
        <v/>
      </c>
      <c r="BR504" s="68">
        <f>SUM(BR501:BR503)</f>
        <v/>
      </c>
      <c r="BS504" s="1110">
        <f>SUM(BO504,BP504,BQ504,BR504)</f>
        <v/>
      </c>
      <c r="BT504" s="68">
        <f>SUM(BT501:BT503)</f>
        <v/>
      </c>
      <c r="BU504" s="68">
        <f>SUM(BU501:BU503)</f>
        <v/>
      </c>
      <c r="BV504" s="588">
        <f>SUM(BV501:BV503)</f>
        <v/>
      </c>
      <c r="BW504" s="68" t="n"/>
      <c r="BX504" s="1110" t="n"/>
      <c r="BY504" s="68" t="n"/>
      <c r="BZ504" s="68" t="n"/>
      <c r="CA504" s="68" t="n"/>
      <c r="CB504" s="68" t="n"/>
      <c r="CC504" s="1110" t="n"/>
      <c r="CD504" s="1110" t="n"/>
      <c r="CE504" s="1110" t="n"/>
      <c r="CF504" s="1110" t="n"/>
      <c r="CG504" s="27" t="n"/>
    </row>
    <row r="505" hidden="1" outlineLevel="2" ht="15" customFormat="1" customHeight="1" s="227">
      <c r="A505" s="636" t="n"/>
      <c r="B505" s="146" t="n"/>
      <c r="C505" s="1110" t="n"/>
      <c r="D505" s="1110" t="n"/>
      <c r="E505" s="1110" t="n"/>
      <c r="F505" s="1110" t="n"/>
      <c r="G505" s="68" t="n"/>
      <c r="H505" s="68" t="n"/>
      <c r="I505" s="68" t="n"/>
      <c r="J505" s="68" t="n"/>
      <c r="K505" s="1110" t="n"/>
      <c r="L505" s="68" t="n"/>
      <c r="M505" s="68" t="n"/>
      <c r="N505" s="68" t="n"/>
      <c r="O505" s="68" t="n"/>
      <c r="P505" s="1110" t="n"/>
      <c r="Q505" s="68" t="n"/>
      <c r="R505" s="68" t="n"/>
      <c r="S505" s="68" t="n"/>
      <c r="T505" s="68" t="n"/>
      <c r="U505" s="1110" t="n"/>
      <c r="V505" s="68" t="n"/>
      <c r="W505" s="68" t="n"/>
      <c r="X505" s="68" t="n"/>
      <c r="Y505" s="68" t="n"/>
      <c r="Z505" s="1110" t="n"/>
      <c r="AA505" s="68" t="n"/>
      <c r="AB505" s="68" t="n"/>
      <c r="AC505" s="68" t="n"/>
      <c r="AD505" s="68" t="n"/>
      <c r="AE505" s="1110" t="n"/>
      <c r="AF505" s="68" t="n"/>
      <c r="AG505" s="68" t="n"/>
      <c r="AH505" s="68" t="n"/>
      <c r="AI505" s="68" t="n"/>
      <c r="AJ505" s="1110" t="n"/>
      <c r="AK505" s="68" t="n"/>
      <c r="AL505" s="68" t="n"/>
      <c r="AM505" s="68" t="n"/>
      <c r="AN505" s="68" t="n"/>
      <c r="AO505" s="1110" t="n"/>
      <c r="AP505" s="68" t="n"/>
      <c r="AQ505" s="68" t="n"/>
      <c r="AR505" s="68" t="n"/>
      <c r="AS505" s="68" t="n"/>
      <c r="AT505" s="1110" t="n"/>
      <c r="AU505" s="68" t="n"/>
      <c r="AV505" s="68" t="n"/>
      <c r="AW505" s="68" t="n"/>
      <c r="AX505" s="68" t="n"/>
      <c r="AY505" s="1110" t="n"/>
      <c r="AZ505" s="68" t="n"/>
      <c r="BA505" s="68" t="n"/>
      <c r="BB505" s="68" t="n"/>
      <c r="BC505" s="68" t="n"/>
      <c r="BD505" s="1110" t="n"/>
      <c r="BE505" s="68" t="n"/>
      <c r="BF505" s="68" t="n"/>
      <c r="BG505" s="68" t="n"/>
      <c r="BH505" s="68" t="n"/>
      <c r="BI505" s="1110" t="n"/>
      <c r="BJ505" s="68" t="n"/>
      <c r="BK505" s="68" t="n"/>
      <c r="BL505" s="68" t="n"/>
      <c r="BM505" s="68" t="n"/>
      <c r="BN505" s="1110" t="n"/>
      <c r="BO505" s="68" t="n"/>
      <c r="BP505" s="68" t="n"/>
      <c r="BQ505" s="68" t="n"/>
      <c r="BR505" s="68" t="n"/>
      <c r="BS505" s="1110" t="n"/>
      <c r="BT505" s="68" t="n"/>
      <c r="BU505" s="68" t="n"/>
      <c r="BV505" s="588" t="n"/>
      <c r="BW505" s="68" t="n"/>
      <c r="BX505" s="1110" t="n"/>
      <c r="BY505" s="68" t="n"/>
      <c r="BZ505" s="68" t="n"/>
      <c r="CA505" s="68" t="n"/>
      <c r="CB505" s="68" t="n"/>
      <c r="CC505" s="1110" t="n"/>
      <c r="CD505" s="1110" t="n"/>
      <c r="CE505" s="1110" t="n"/>
      <c r="CF505" s="1110" t="n"/>
      <c r="CG505" s="27" t="n"/>
    </row>
    <row r="506" hidden="1" outlineLevel="2" ht="15" customFormat="1" customHeight="1" s="227">
      <c r="A506" s="99" t="inlineStr">
        <is>
          <t>Addition of repurchase authorized - month1, mm</t>
        </is>
      </c>
      <c r="B506" s="146" t="n"/>
      <c r="C506" s="1110" t="n"/>
      <c r="D506" s="1110" t="n"/>
      <c r="E506" s="1110" t="n"/>
      <c r="F506" s="1110" t="n"/>
      <c r="G506" s="68" t="n"/>
      <c r="H506" s="68" t="n"/>
      <c r="I506" s="68" t="n"/>
      <c r="J506" s="68" t="n"/>
      <c r="K506" s="1110" t="n"/>
      <c r="L506" s="68" t="n"/>
      <c r="M506" s="68" t="n"/>
      <c r="N506" s="68" t="n"/>
      <c r="O506" s="1053" t="n">
        <v>1000</v>
      </c>
      <c r="P506" s="1110" t="n"/>
      <c r="Q506" s="68" t="n"/>
      <c r="R506" s="68" t="n"/>
      <c r="S506" s="68" t="n"/>
      <c r="T506" s="68" t="n"/>
      <c r="U506" s="1110" t="n"/>
      <c r="V506" s="68" t="n"/>
      <c r="W506" s="1053" t="n">
        <v>1620</v>
      </c>
      <c r="X506" s="68" t="n"/>
      <c r="Y506" s="68" t="n"/>
      <c r="Z506" s="1110" t="n"/>
      <c r="AA506" s="68" t="n"/>
      <c r="AB506" s="68" t="n"/>
      <c r="AC506" s="68" t="n"/>
      <c r="AD506" s="1053" t="n">
        <v>2000</v>
      </c>
      <c r="AE506" s="1110" t="n"/>
      <c r="AF506" s="68" t="n"/>
      <c r="AG506" s="68" t="n"/>
      <c r="AH506" s="68" t="n"/>
      <c r="AI506" s="68" t="n"/>
      <c r="AJ506" s="1110" t="n"/>
      <c r="AK506" s="68" t="n"/>
      <c r="AL506" s="68" t="n"/>
      <c r="AM506" s="68" t="n"/>
      <c r="AN506" s="1053" t="n">
        <v>7000</v>
      </c>
      <c r="AO506" s="1110" t="n"/>
      <c r="AP506" s="68" t="n"/>
      <c r="AQ506" s="68" t="n"/>
      <c r="AR506" s="68" t="n"/>
      <c r="AS506" s="68" t="n"/>
      <c r="AT506" s="1110" t="n"/>
      <c r="AU506" s="68" t="n"/>
      <c r="AV506" s="68" t="n"/>
      <c r="AW506" s="68" t="n"/>
      <c r="AX506" s="68" t="n"/>
      <c r="AY506" s="1110" t="n"/>
      <c r="AZ506" s="68" t="n"/>
      <c r="BA506" s="68" t="n"/>
      <c r="BB506" s="68" t="n"/>
      <c r="BC506" s="68" t="n"/>
      <c r="BD506" s="1110" t="n"/>
      <c r="BE506" s="68" t="n"/>
      <c r="BF506" s="68">
        <f>15000-BE514</f>
        <v/>
      </c>
      <c r="BG506" s="68" t="n"/>
      <c r="BH506" s="68" t="n"/>
      <c r="BI506" s="1110" t="n"/>
      <c r="BJ506" s="68" t="n"/>
      <c r="BK506" s="68" t="n"/>
      <c r="BL506" s="1053" t="n">
        <v>25000</v>
      </c>
      <c r="BM506" s="68" t="n"/>
      <c r="BN506" s="1110" t="n"/>
      <c r="BO506" s="68" t="n"/>
      <c r="BP506" s="68" t="n"/>
      <c r="BQ506" s="68" t="n"/>
      <c r="BR506" s="68" t="n"/>
      <c r="BS506" s="1110" t="n"/>
      <c r="BT506" s="68" t="n"/>
      <c r="BU506" s="68" t="n"/>
      <c r="BV506" s="588" t="n"/>
      <c r="BW506" s="68" t="n"/>
      <c r="BX506" s="1110" t="n"/>
      <c r="BY506" s="68" t="n"/>
      <c r="BZ506" s="68" t="n"/>
      <c r="CA506" s="68" t="n"/>
      <c r="CB506" s="68" t="n"/>
      <c r="CC506" s="1110" t="n"/>
      <c r="CD506" s="1110" t="n"/>
      <c r="CE506" s="1110" t="n"/>
      <c r="CF506" s="1110" t="n"/>
      <c r="CG506" s="27" t="n"/>
    </row>
    <row r="507" hidden="1" outlineLevel="2" ht="15" customFormat="1" customHeight="1" s="227">
      <c r="A507" s="99" t="inlineStr">
        <is>
          <t>Addition of repurchase authorized - month2, mm</t>
        </is>
      </c>
      <c r="B507" s="146" t="n"/>
      <c r="C507" s="1110" t="n"/>
      <c r="D507" s="1110" t="n"/>
      <c r="E507" s="1110" t="n"/>
      <c r="F507" s="1110" t="n"/>
      <c r="G507" s="68" t="n"/>
      <c r="H507" s="68" t="n"/>
      <c r="I507" s="68" t="n"/>
      <c r="J507" s="68" t="n"/>
      <c r="K507" s="1110" t="n"/>
      <c r="L507" s="68" t="n"/>
      <c r="M507" s="68" t="n"/>
      <c r="N507" s="68" t="n"/>
      <c r="O507" s="68" t="n"/>
      <c r="P507" s="1110" t="n"/>
      <c r="Q507" s="68" t="n"/>
      <c r="R507" s="68" t="n"/>
      <c r="S507" s="68" t="n"/>
      <c r="T507" s="68" t="n"/>
      <c r="U507" s="1110" t="n"/>
      <c r="V507" s="68" t="n"/>
      <c r="W507" s="68" t="n"/>
      <c r="X507" s="68" t="n"/>
      <c r="Y507" s="68" t="n"/>
      <c r="Z507" s="1110" t="n"/>
      <c r="AA507" s="68" t="n"/>
      <c r="AB507" s="68" t="n"/>
      <c r="AC507" s="68" t="n"/>
      <c r="AD507" s="68" t="n"/>
      <c r="AE507" s="1110" t="n"/>
      <c r="AF507" s="68" t="n"/>
      <c r="AG507" s="68" t="n"/>
      <c r="AH507" s="68" t="n"/>
      <c r="AI507" s="68" t="n"/>
      <c r="AJ507" s="1110" t="n"/>
      <c r="AK507" s="68" t="n"/>
      <c r="AL507" s="68" t="n"/>
      <c r="AM507" s="68" t="n"/>
      <c r="AN507" s="68" t="n"/>
      <c r="AO507" s="1110" t="n"/>
      <c r="AP507" s="68" t="n"/>
      <c r="AQ507" s="68" t="n"/>
      <c r="AR507" s="68" t="n"/>
      <c r="AS507" s="68" t="n"/>
      <c r="AT507" s="1110" t="n"/>
      <c r="AU507" s="68" t="n"/>
      <c r="AV507" s="68" t="n"/>
      <c r="AW507" s="68" t="n"/>
      <c r="AX507" s="68" t="n"/>
      <c r="AY507" s="1110" t="n"/>
      <c r="AZ507" s="68" t="n"/>
      <c r="BA507" s="68" t="n"/>
      <c r="BB507" s="68" t="n"/>
      <c r="BC507" s="68" t="n"/>
      <c r="BD507" s="1110" t="n"/>
      <c r="BE507" s="68" t="n"/>
      <c r="BF507" s="68" t="n"/>
      <c r="BG507" s="68" t="n"/>
      <c r="BH507" s="68" t="n"/>
      <c r="BI507" s="1110" t="n"/>
      <c r="BJ507" s="68" t="n"/>
      <c r="BK507" s="68" t="n"/>
      <c r="BL507" s="68" t="n"/>
      <c r="BM507" s="68" t="n"/>
      <c r="BN507" s="1110" t="n"/>
      <c r="BO507" s="68" t="n"/>
      <c r="BP507" s="68" t="n"/>
      <c r="BQ507" s="1053" t="n">
        <v>50000</v>
      </c>
      <c r="BR507" s="68" t="n"/>
      <c r="BS507" s="1110" t="n"/>
      <c r="BT507" s="68" t="n"/>
      <c r="BU507" s="68" t="n"/>
      <c r="BV507" s="1054" t="n">
        <v>60000</v>
      </c>
      <c r="BW507" s="68" t="n"/>
      <c r="BX507" s="1110" t="n"/>
      <c r="BY507" s="68" t="n"/>
      <c r="BZ507" s="68" t="n"/>
      <c r="CA507" s="68" t="n"/>
      <c r="CB507" s="68" t="n"/>
      <c r="CC507" s="1110" t="n"/>
      <c r="CD507" s="1110" t="n"/>
      <c r="CE507" s="1110" t="n"/>
      <c r="CF507" s="1110" t="n"/>
      <c r="CG507" s="27" t="n"/>
    </row>
    <row r="508" hidden="1" outlineLevel="2" ht="15" customFormat="1" customHeight="1" s="227">
      <c r="A508" s="282" t="inlineStr">
        <is>
          <t>Addition of repurchase authorized - month3, mm</t>
        </is>
      </c>
      <c r="B508" s="149" t="n"/>
      <c r="C508" s="1121" t="n"/>
      <c r="D508" s="1121" t="n"/>
      <c r="E508" s="1121" t="n"/>
      <c r="F508" s="1121" t="n"/>
      <c r="G508" s="109" t="n"/>
      <c r="H508" s="109" t="n"/>
      <c r="I508" s="109" t="n"/>
      <c r="J508" s="109" t="n"/>
      <c r="K508" s="1121" t="n"/>
      <c r="L508" s="109" t="n"/>
      <c r="M508" s="109" t="n"/>
      <c r="N508" s="109" t="n"/>
      <c r="O508" s="109" t="n"/>
      <c r="P508" s="1121" t="n"/>
      <c r="Q508" s="109" t="n"/>
      <c r="R508" s="109" t="n"/>
      <c r="S508" s="109" t="n"/>
      <c r="T508" s="109" t="n"/>
      <c r="U508" s="1121" t="n"/>
      <c r="V508" s="109" t="n"/>
      <c r="W508" s="109" t="n"/>
      <c r="X508" s="109" t="n"/>
      <c r="Y508" s="109" t="n"/>
      <c r="Z508" s="1121" t="n"/>
      <c r="AA508" s="109" t="n"/>
      <c r="AB508" s="109" t="n"/>
      <c r="AC508" s="109" t="n"/>
      <c r="AD508" s="109" t="n"/>
      <c r="AE508" s="1121" t="n"/>
      <c r="AF508" s="109" t="n"/>
      <c r="AG508" s="109" t="n"/>
      <c r="AH508" s="109" t="n"/>
      <c r="AI508" s="109" t="n"/>
      <c r="AJ508" s="1121" t="n"/>
      <c r="AK508" s="109" t="n"/>
      <c r="AL508" s="109" t="n"/>
      <c r="AM508" s="109" t="n"/>
      <c r="AN508" s="109" t="n"/>
      <c r="AO508" s="1121" t="n"/>
      <c r="AP508" s="109" t="n"/>
      <c r="AQ508" s="109" t="n"/>
      <c r="AR508" s="109" t="n"/>
      <c r="AS508" s="109" t="n"/>
      <c r="AT508" s="1121" t="n"/>
      <c r="AU508" s="109" t="n"/>
      <c r="AV508" s="109" t="n"/>
      <c r="AW508" s="109" t="n"/>
      <c r="AX508" s="109" t="n"/>
      <c r="AY508" s="1121" t="n"/>
      <c r="AZ508" s="109" t="n"/>
      <c r="BA508" s="109" t="n"/>
      <c r="BB508" s="109" t="n"/>
      <c r="BC508" s="109" t="n"/>
      <c r="BD508" s="1121" t="n"/>
      <c r="BE508" s="109" t="n"/>
      <c r="BF508" s="109" t="n"/>
      <c r="BG508" s="109" t="n"/>
      <c r="BH508" s="109" t="n"/>
      <c r="BI508" s="1121" t="n"/>
      <c r="BJ508" s="109" t="n"/>
      <c r="BK508" s="109" t="n"/>
      <c r="BL508" s="109" t="n"/>
      <c r="BM508" s="109" t="n"/>
      <c r="BN508" s="1121" t="n"/>
      <c r="BO508" s="109" t="n"/>
      <c r="BP508" s="109" t="n"/>
      <c r="BQ508" s="109" t="n"/>
      <c r="BR508" s="109" t="n"/>
      <c r="BS508" s="1121" t="n"/>
      <c r="BT508" s="109" t="n"/>
      <c r="BU508" s="109" t="n"/>
      <c r="BV508" s="730" t="n"/>
      <c r="BW508" s="109" t="n"/>
      <c r="BX508" s="1121" t="n"/>
      <c r="BY508" s="109" t="n"/>
      <c r="BZ508" s="109" t="n"/>
      <c r="CA508" s="109" t="n"/>
      <c r="CB508" s="109" t="n"/>
      <c r="CC508" s="1121" t="n"/>
      <c r="CD508" s="1121" t="n"/>
      <c r="CE508" s="1121" t="n"/>
      <c r="CF508" s="1121" t="n"/>
      <c r="CG508" s="27" t="n"/>
    </row>
    <row r="509" hidden="1" outlineLevel="1" collapsed="1" ht="15" customFormat="1" customHeight="1" s="227">
      <c r="A509" s="636" t="inlineStr">
        <is>
          <t>Addition of repurchase authorized, mm</t>
        </is>
      </c>
      <c r="B509" s="146" t="n"/>
      <c r="C509" s="1110" t="n"/>
      <c r="D509" s="1110" t="n"/>
      <c r="E509" s="1110" t="n"/>
      <c r="F509" s="1110" t="n"/>
      <c r="G509" s="68" t="n"/>
      <c r="H509" s="68" t="n"/>
      <c r="I509" s="68" t="n"/>
      <c r="J509" s="68" t="n"/>
      <c r="K509" s="1110" t="n"/>
      <c r="L509" s="68">
        <f>SUM(L506:L508)</f>
        <v/>
      </c>
      <c r="M509" s="68">
        <f>SUM(M506:M508)</f>
        <v/>
      </c>
      <c r="N509" s="68">
        <f>SUM(N506:N508)</f>
        <v/>
      </c>
      <c r="O509" s="68">
        <f>SUM(O506:O508)</f>
        <v/>
      </c>
      <c r="P509" s="1110">
        <f>SUM(L509,M509,N509,O509)</f>
        <v/>
      </c>
      <c r="Q509" s="68">
        <f>SUM(Q506:Q508)</f>
        <v/>
      </c>
      <c r="R509" s="68">
        <f>SUM(R506:R508)</f>
        <v/>
      </c>
      <c r="S509" s="68">
        <f>SUM(S506:S508)</f>
        <v/>
      </c>
      <c r="T509" s="68">
        <f>SUM(T506:T508)</f>
        <v/>
      </c>
      <c r="U509" s="1110">
        <f>SUM(Q509,R509,S509,T509)</f>
        <v/>
      </c>
      <c r="V509" s="68">
        <f>SUM(V506:V508)</f>
        <v/>
      </c>
      <c r="W509" s="68">
        <f>SUM(W506:W508)</f>
        <v/>
      </c>
      <c r="X509" s="68">
        <f>SUM(X506:X508)</f>
        <v/>
      </c>
      <c r="Y509" s="68">
        <f>SUM(Y506:Y508)</f>
        <v/>
      </c>
      <c r="Z509" s="1110">
        <f>SUM(V509,W509,X509,Y509)</f>
        <v/>
      </c>
      <c r="AA509" s="68">
        <f>SUM(AA506:AA508)</f>
        <v/>
      </c>
      <c r="AB509" s="68">
        <f>SUM(AB506:AB508)</f>
        <v/>
      </c>
      <c r="AC509" s="68">
        <f>SUM(AC506:AC508)</f>
        <v/>
      </c>
      <c r="AD509" s="68">
        <f>SUM(AD506:AD508)</f>
        <v/>
      </c>
      <c r="AE509" s="1110">
        <f>SUM(AA509,AB509,AC509,AD509)</f>
        <v/>
      </c>
      <c r="AF509" s="68">
        <f>SUM(AF506:AF508)</f>
        <v/>
      </c>
      <c r="AG509" s="68">
        <f>SUM(AG506:AG508)</f>
        <v/>
      </c>
      <c r="AH509" s="68">
        <f>SUM(AH506:AH508)</f>
        <v/>
      </c>
      <c r="AI509" s="68">
        <f>SUM(AI506:AI508)</f>
        <v/>
      </c>
      <c r="AJ509" s="1110">
        <f>SUM(AF509,AG509,AH509,AI509)</f>
        <v/>
      </c>
      <c r="AK509" s="68">
        <f>SUM(AK506:AK508)</f>
        <v/>
      </c>
      <c r="AL509" s="68">
        <f>SUM(AL506:AL508)</f>
        <v/>
      </c>
      <c r="AM509" s="68">
        <f>SUM(AM506:AM508)</f>
        <v/>
      </c>
      <c r="AN509" s="68">
        <f>SUM(AN506:AN508)</f>
        <v/>
      </c>
      <c r="AO509" s="1110">
        <f>SUM(AK509,AL509,AM509,AN509)</f>
        <v/>
      </c>
      <c r="AP509" s="68">
        <f>SUM(AP506:AP508)</f>
        <v/>
      </c>
      <c r="AQ509" s="68">
        <f>SUM(AQ506:AQ508)</f>
        <v/>
      </c>
      <c r="AR509" s="68">
        <f>SUM(AR506:AR508)</f>
        <v/>
      </c>
      <c r="AS509" s="68">
        <f>SUM(AS506:AS508)</f>
        <v/>
      </c>
      <c r="AT509" s="1110">
        <f>SUM(AP509,AQ509,AR509,AS509)</f>
        <v/>
      </c>
      <c r="AU509" s="68">
        <f>SUM(AU506:AU508)</f>
        <v/>
      </c>
      <c r="AV509" s="68">
        <f>SUM(AV506:AV508)</f>
        <v/>
      </c>
      <c r="AW509" s="68">
        <f>SUM(AW506:AW508)</f>
        <v/>
      </c>
      <c r="AX509" s="68">
        <f>SUM(AX506:AX508)</f>
        <v/>
      </c>
      <c r="AY509" s="1110">
        <f>SUM(AU509,AV509,AW509,AX509)</f>
        <v/>
      </c>
      <c r="AZ509" s="68">
        <f>SUM(AZ506:AZ508)</f>
        <v/>
      </c>
      <c r="BA509" s="68">
        <f>SUM(BA506:BA508)</f>
        <v/>
      </c>
      <c r="BB509" s="68">
        <f>SUM(BB506:BB508)</f>
        <v/>
      </c>
      <c r="BC509" s="68">
        <f>SUM(BC506:BC508)</f>
        <v/>
      </c>
      <c r="BD509" s="1110">
        <f>SUM(AZ509,BA509,BB509,BC509)</f>
        <v/>
      </c>
      <c r="BE509" s="68">
        <f>SUM(BE506:BE508)</f>
        <v/>
      </c>
      <c r="BF509" s="68">
        <f>SUM(BF506:BF508)</f>
        <v/>
      </c>
      <c r="BG509" s="68">
        <f>SUM(BG506:BG508)</f>
        <v/>
      </c>
      <c r="BH509" s="68">
        <f>SUM(BH506:BH508)</f>
        <v/>
      </c>
      <c r="BI509" s="1110">
        <f>SUM(BE509,BF509,BG509,BH509)</f>
        <v/>
      </c>
      <c r="BJ509" s="68">
        <f>SUM(BJ506:BJ508)</f>
        <v/>
      </c>
      <c r="BK509" s="68">
        <f>SUM(BK506:BK508)</f>
        <v/>
      </c>
      <c r="BL509" s="68">
        <f>SUM(BL506:BL508)</f>
        <v/>
      </c>
      <c r="BM509" s="68">
        <f>SUM(BM506:BM508)</f>
        <v/>
      </c>
      <c r="BN509" s="1110">
        <f>SUM(BJ509,BK509,BL509,BM509)</f>
        <v/>
      </c>
      <c r="BO509" s="68">
        <f>SUM(BO506:BO508)</f>
        <v/>
      </c>
      <c r="BP509" s="68">
        <f>SUM(BP506:BP508)</f>
        <v/>
      </c>
      <c r="BQ509" s="68">
        <f>SUM(BQ506:BQ508)</f>
        <v/>
      </c>
      <c r="BR509" s="68">
        <f>SUM(BR506:BR508)</f>
        <v/>
      </c>
      <c r="BS509" s="1110">
        <f>SUM(BO509,BP509,BQ509,BR509)</f>
        <v/>
      </c>
      <c r="BT509" s="68">
        <f>SUM(BT506:BT508)</f>
        <v/>
      </c>
      <c r="BU509" s="68">
        <f>SUM(BU506:BU508)</f>
        <v/>
      </c>
      <c r="BV509" s="588">
        <f>SUM(BV506:BV508)</f>
        <v/>
      </c>
      <c r="BW509" s="68" t="n"/>
      <c r="BX509" s="1110" t="n"/>
      <c r="BY509" s="68" t="n"/>
      <c r="BZ509" s="68" t="n"/>
      <c r="CA509" s="68" t="n"/>
      <c r="CB509" s="68" t="n"/>
      <c r="CC509" s="1110" t="n"/>
      <c r="CD509" s="1110" t="n"/>
      <c r="CE509" s="1110" t="n"/>
      <c r="CF509" s="1110" t="n"/>
      <c r="CG509" s="27" t="n"/>
    </row>
    <row r="510" hidden="1" outlineLevel="2" ht="15" customFormat="1" customHeight="1" s="227">
      <c r="A510" s="636" t="n"/>
      <c r="B510" s="146" t="n"/>
      <c r="C510" s="1110" t="n"/>
      <c r="D510" s="1110" t="n"/>
      <c r="E510" s="1110" t="n"/>
      <c r="F510" s="1110" t="n"/>
      <c r="G510" s="68" t="n"/>
      <c r="H510" s="68" t="n"/>
      <c r="I510" s="68" t="n"/>
      <c r="J510" s="68" t="n"/>
      <c r="K510" s="1110" t="n"/>
      <c r="L510" s="68" t="n"/>
      <c r="M510" s="68" t="n"/>
      <c r="N510" s="68" t="n"/>
      <c r="O510" s="68" t="n"/>
      <c r="P510" s="1110" t="n"/>
      <c r="Q510" s="68" t="n"/>
      <c r="R510" s="68" t="n"/>
      <c r="S510" s="68" t="n"/>
      <c r="T510" s="68" t="n"/>
      <c r="U510" s="1110" t="n"/>
      <c r="V510" s="68" t="n"/>
      <c r="W510" s="68" t="n"/>
      <c r="X510" s="68" t="n"/>
      <c r="Y510" s="68" t="n"/>
      <c r="Z510" s="1110" t="n"/>
      <c r="AA510" s="68" t="n"/>
      <c r="AB510" s="68" t="n"/>
      <c r="AC510" s="68" t="n"/>
      <c r="AD510" s="68" t="n"/>
      <c r="AE510" s="1110" t="n"/>
      <c r="AF510" s="68" t="n"/>
      <c r="AG510" s="68" t="n"/>
      <c r="AH510" s="68" t="n"/>
      <c r="AI510" s="68" t="n"/>
      <c r="AJ510" s="1110" t="n"/>
      <c r="AK510" s="68" t="n"/>
      <c r="AL510" s="68" t="n"/>
      <c r="AM510" s="68" t="n"/>
      <c r="AN510" s="68" t="n"/>
      <c r="AO510" s="1110" t="n"/>
      <c r="AP510" s="68" t="n"/>
      <c r="AQ510" s="68" t="n"/>
      <c r="AR510" s="68" t="n"/>
      <c r="AS510" s="68" t="n"/>
      <c r="AT510" s="1110" t="n"/>
      <c r="AU510" s="68" t="n"/>
      <c r="AV510" s="68" t="n"/>
      <c r="AW510" s="68" t="n"/>
      <c r="AX510" s="68" t="n"/>
      <c r="AY510" s="1110" t="n"/>
      <c r="AZ510" s="68" t="n"/>
      <c r="BA510" s="68" t="n"/>
      <c r="BB510" s="68" t="n"/>
      <c r="BC510" s="68" t="n"/>
      <c r="BD510" s="1110" t="n"/>
      <c r="BE510" s="68" t="n"/>
      <c r="BF510" s="68" t="n"/>
      <c r="BG510" s="68" t="n"/>
      <c r="BH510" s="68" t="n"/>
      <c r="BI510" s="1110" t="n"/>
      <c r="BJ510" s="68" t="n"/>
      <c r="BK510" s="68" t="n"/>
      <c r="BL510" s="68" t="n"/>
      <c r="BM510" s="68" t="n"/>
      <c r="BN510" s="1110" t="n"/>
      <c r="BO510" s="68" t="n"/>
      <c r="BP510" s="68" t="n"/>
      <c r="BQ510" s="68" t="n"/>
      <c r="BR510" s="68" t="n"/>
      <c r="BS510" s="1110" t="n"/>
      <c r="BT510" s="68" t="n"/>
      <c r="BU510" s="68" t="n"/>
      <c r="BV510" s="588" t="n"/>
      <c r="BW510" s="68" t="n"/>
      <c r="BX510" s="1110" t="n"/>
      <c r="BY510" s="68" t="n"/>
      <c r="BZ510" s="68" t="n"/>
      <c r="CA510" s="68" t="n"/>
      <c r="CB510" s="68" t="n"/>
      <c r="CC510" s="1110" t="n"/>
      <c r="CD510" s="1110" t="n"/>
      <c r="CE510" s="1110" t="n"/>
      <c r="CF510" s="1110" t="n"/>
      <c r="CG510" s="27" t="n"/>
    </row>
    <row r="511" hidden="1" outlineLevel="2" ht="15" customFormat="1" customHeight="1" s="227">
      <c r="A511" s="99" t="inlineStr">
        <is>
          <t>Remaining dollar value under repurchase program - month1, mm</t>
        </is>
      </c>
      <c r="B511" s="146" t="n"/>
      <c r="C511" s="1110" t="n"/>
      <c r="D511" s="1110" t="n"/>
      <c r="E511" s="1110" t="n"/>
      <c r="F511" s="1110" t="n"/>
      <c r="G511" s="68" t="n"/>
      <c r="H511" s="68" t="n"/>
      <c r="I511" s="68" t="n"/>
      <c r="J511" s="1053" t="n">
        <v>1235.7</v>
      </c>
      <c r="K511" s="1110" t="n"/>
      <c r="L511" s="1053" t="n">
        <v>1135.7</v>
      </c>
      <c r="M511" s="1053" t="n">
        <v>285.7</v>
      </c>
      <c r="N511" s="1053" t="n">
        <v>285.7</v>
      </c>
      <c r="O511" s="1053" t="n">
        <v>1262.7</v>
      </c>
      <c r="P511" s="1110" t="n"/>
      <c r="Q511" s="1053" t="n">
        <v>748.4</v>
      </c>
      <c r="R511" s="1053" t="n">
        <v>748.4</v>
      </c>
      <c r="S511" s="1053" t="n">
        <v>438.4</v>
      </c>
      <c r="T511" s="1053" t="n">
        <v>438.4</v>
      </c>
      <c r="U511" s="1110" t="n"/>
      <c r="V511" s="1053" t="n">
        <v>434</v>
      </c>
      <c r="W511" s="1053" t="n">
        <v>1600</v>
      </c>
      <c r="X511" s="1053" t="n">
        <v>1600</v>
      </c>
      <c r="Y511" s="1053" t="n">
        <v>1465</v>
      </c>
      <c r="Z511" s="1110" t="n"/>
      <c r="AA511" s="68">
        <f>Z514</f>
        <v/>
      </c>
      <c r="AB511" s="1053" t="n">
        <v>970</v>
      </c>
      <c r="AC511" s="68">
        <f>AB514</f>
        <v/>
      </c>
      <c r="AD511" s="1053" t="n">
        <v>2730</v>
      </c>
      <c r="AE511" s="1110" t="n"/>
      <c r="AF511" s="68">
        <f>AE514</f>
        <v/>
      </c>
      <c r="AG511" s="1053" t="n">
        <v>2730</v>
      </c>
      <c r="AH511" s="1053" t="n">
        <v>1970</v>
      </c>
      <c r="AI511" s="68">
        <f>AH514</f>
        <v/>
      </c>
      <c r="AJ511" s="1110" t="n"/>
      <c r="AK511" s="1053" t="n">
        <v>1450</v>
      </c>
      <c r="AL511" s="68">
        <f>AK514</f>
        <v/>
      </c>
      <c r="AM511" s="1053" t="n">
        <v>1133</v>
      </c>
      <c r="AN511" s="1053" t="n">
        <v>7940</v>
      </c>
      <c r="AO511" s="1110" t="n"/>
      <c r="AP511" s="68">
        <f>AO514</f>
        <v/>
      </c>
      <c r="AQ511" s="68">
        <f>AP514</f>
        <v/>
      </c>
      <c r="AR511" s="68">
        <f>AQ514</f>
        <v/>
      </c>
      <c r="AS511" s="68">
        <f>AR514</f>
        <v/>
      </c>
      <c r="AT511" s="1110" t="n"/>
      <c r="AU511" s="68">
        <f>AT514</f>
        <v/>
      </c>
      <c r="AV511" s="68">
        <f>AU514</f>
        <v/>
      </c>
      <c r="AW511" s="68">
        <f>AV514</f>
        <v/>
      </c>
      <c r="AX511" s="68">
        <f>AW514</f>
        <v/>
      </c>
      <c r="AY511" s="1110" t="n"/>
      <c r="AZ511" s="68">
        <f>AY514</f>
        <v/>
      </c>
      <c r="BA511" s="68">
        <f>AZ514</f>
        <v/>
      </c>
      <c r="BB511" s="68">
        <f>BA514</f>
        <v/>
      </c>
      <c r="BC511" s="68">
        <f>BB514</f>
        <v/>
      </c>
      <c r="BD511" s="1110" t="n"/>
      <c r="BE511" s="1053" t="n">
        <v>7240</v>
      </c>
      <c r="BF511" s="1053" t="n">
        <v>14780</v>
      </c>
      <c r="BG511" s="1053" t="n">
        <v>11820</v>
      </c>
      <c r="BH511" s="1053" t="n">
        <v>7230</v>
      </c>
      <c r="BI511" s="1110" t="n"/>
      <c r="BJ511" s="68">
        <f>BI514</f>
        <v/>
      </c>
      <c r="BK511" s="1053" t="n">
        <v>7230</v>
      </c>
      <c r="BL511" s="1053" t="n">
        <v>27950</v>
      </c>
      <c r="BM511" s="1053" t="n">
        <v>24800</v>
      </c>
      <c r="BN511" s="1110" t="n"/>
      <c r="BO511" s="1053" t="n">
        <v>20200</v>
      </c>
      <c r="BP511" s="1053" t="n">
        <v>12400</v>
      </c>
      <c r="BQ511" s="1053" t="n">
        <v>4100</v>
      </c>
      <c r="BR511" s="1053" t="n">
        <v>42800</v>
      </c>
      <c r="BS511" s="1110" t="n"/>
      <c r="BT511" s="1053" t="n">
        <v>35000</v>
      </c>
      <c r="BU511" s="1053" t="n">
        <v>22000</v>
      </c>
      <c r="BV511" s="1054" t="n">
        <v>11500</v>
      </c>
      <c r="BW511" s="68" t="n"/>
      <c r="BX511" s="1110" t="n"/>
      <c r="BY511" s="68" t="n"/>
      <c r="BZ511" s="68" t="n"/>
      <c r="CA511" s="68" t="n"/>
      <c r="CB511" s="68" t="n"/>
      <c r="CC511" s="1110" t="n"/>
      <c r="CD511" s="1110" t="n"/>
      <c r="CE511" s="1110" t="n"/>
      <c r="CF511" s="1110" t="n"/>
      <c r="CG511" s="27" t="n"/>
    </row>
    <row r="512" hidden="1" outlineLevel="2" ht="15" customFormat="1" customHeight="1" s="227">
      <c r="A512" s="99" t="inlineStr">
        <is>
          <t>Remaining dollar value under repurchase program - month2, mm</t>
        </is>
      </c>
      <c r="B512" s="146" t="n"/>
      <c r="C512" s="1110" t="n"/>
      <c r="D512" s="1110" t="n"/>
      <c r="E512" s="1110" t="n"/>
      <c r="F512" s="1110" t="n"/>
      <c r="G512" s="68" t="n"/>
      <c r="H512" s="68" t="n"/>
      <c r="I512" s="68" t="n"/>
      <c r="J512" s="1053" t="n">
        <v>1135.7</v>
      </c>
      <c r="K512" s="1110" t="n"/>
      <c r="L512" s="1053" t="n">
        <v>1035.7</v>
      </c>
      <c r="M512" s="1053" t="n">
        <v>285.7</v>
      </c>
      <c r="N512" s="1053" t="n">
        <v>285.7</v>
      </c>
      <c r="O512" s="1053" t="n">
        <v>1248.4</v>
      </c>
      <c r="P512" s="1110" t="n"/>
      <c r="Q512" s="1053" t="n">
        <v>748.4</v>
      </c>
      <c r="R512" s="1053" t="n">
        <v>748.4</v>
      </c>
      <c r="S512" s="1053" t="n">
        <v>438.4</v>
      </c>
      <c r="T512" s="1053" t="n">
        <v>434.8</v>
      </c>
      <c r="U512" s="1110" t="n"/>
      <c r="V512" s="1053" t="n">
        <v>434</v>
      </c>
      <c r="W512" s="1053" t="n">
        <v>1600</v>
      </c>
      <c r="X512" s="1053" t="n">
        <v>1600</v>
      </c>
      <c r="Y512" s="1053" t="n">
        <v>1465</v>
      </c>
      <c r="Z512" s="1110" t="n"/>
      <c r="AA512" s="68">
        <f>Z514</f>
        <v/>
      </c>
      <c r="AB512" s="1053" t="n">
        <v>970</v>
      </c>
      <c r="AC512" s="68">
        <f>AC511</f>
        <v/>
      </c>
      <c r="AD512" s="1053" t="n">
        <v>2730</v>
      </c>
      <c r="AE512" s="1110" t="n"/>
      <c r="AF512" s="68">
        <f>AF511</f>
        <v/>
      </c>
      <c r="AG512" s="1053" t="n">
        <v>2270</v>
      </c>
      <c r="AH512" s="1053" t="n">
        <v>1820</v>
      </c>
      <c r="AI512" s="68">
        <f>AI511</f>
        <v/>
      </c>
      <c r="AJ512" s="1110" t="n"/>
      <c r="AK512" s="1053" t="n">
        <v>1160</v>
      </c>
      <c r="AL512" s="68">
        <f>AL511</f>
        <v/>
      </c>
      <c r="AM512" s="1053" t="n">
        <v>983</v>
      </c>
      <c r="AN512" s="1053" t="n">
        <v>7470</v>
      </c>
      <c r="AO512" s="1110" t="n"/>
      <c r="AP512" s="68">
        <f>AP511</f>
        <v/>
      </c>
      <c r="AQ512" s="68">
        <f>AQ511</f>
        <v/>
      </c>
      <c r="AR512" s="68">
        <f>AR511</f>
        <v/>
      </c>
      <c r="AS512" s="68">
        <f>AS511</f>
        <v/>
      </c>
      <c r="AT512" s="1110" t="n"/>
      <c r="AU512" s="68">
        <f>AU511</f>
        <v/>
      </c>
      <c r="AV512" s="68">
        <f>AV511</f>
        <v/>
      </c>
      <c r="AW512" s="68">
        <f>AW511</f>
        <v/>
      </c>
      <c r="AX512" s="68">
        <f>AX511</f>
        <v/>
      </c>
      <c r="AY512" s="1110" t="n"/>
      <c r="AZ512" s="68">
        <f>AZ511</f>
        <v/>
      </c>
      <c r="BA512" s="68">
        <f>BA511</f>
        <v/>
      </c>
      <c r="BB512" s="68">
        <f>BB511</f>
        <v/>
      </c>
      <c r="BC512" s="68">
        <f>BC511</f>
        <v/>
      </c>
      <c r="BD512" s="1110" t="n"/>
      <c r="BE512" s="1053" t="n">
        <v>5240</v>
      </c>
      <c r="BF512" s="1053" t="n">
        <v>11930</v>
      </c>
      <c r="BG512" s="1053" t="n">
        <v>10400</v>
      </c>
      <c r="BH512" s="1053" t="n">
        <v>7230</v>
      </c>
      <c r="BI512" s="1110" t="n"/>
      <c r="BJ512" s="68">
        <f>BJ511</f>
        <v/>
      </c>
      <c r="BK512" s="1053" t="n">
        <v>6410</v>
      </c>
      <c r="BL512" s="1053" t="n">
        <v>26780</v>
      </c>
      <c r="BM512" s="1053" t="n">
        <v>24300</v>
      </c>
      <c r="BN512" s="1110" t="n"/>
      <c r="BO512" s="1053" t="n">
        <v>17900</v>
      </c>
      <c r="BP512" s="1053" t="n">
        <v>10600</v>
      </c>
      <c r="BQ512" s="1053" t="n">
        <v>51000</v>
      </c>
      <c r="BR512" s="1053" t="n">
        <v>41400</v>
      </c>
      <c r="BS512" s="1110" t="n"/>
      <c r="BT512" s="1053" t="n">
        <v>31600</v>
      </c>
      <c r="BU512" s="1053" t="n">
        <v>19400</v>
      </c>
      <c r="BV512" s="1054" t="n">
        <v>67800</v>
      </c>
      <c r="BW512" s="68" t="n"/>
      <c r="BX512" s="1110" t="n"/>
      <c r="BY512" s="68" t="n"/>
      <c r="BZ512" s="68" t="n"/>
      <c r="CA512" s="68" t="n"/>
      <c r="CB512" s="68" t="n"/>
      <c r="CC512" s="1110" t="n"/>
      <c r="CD512" s="1110" t="n"/>
      <c r="CE512" s="1110" t="n"/>
      <c r="CF512" s="1110" t="n"/>
      <c r="CG512" s="27" t="n"/>
    </row>
    <row r="513" hidden="1" outlineLevel="2" ht="15" customFormat="1" customHeight="1" s="227">
      <c r="A513" s="282" t="inlineStr">
        <is>
          <t>Remaining dollar value under repurchase program - month3, mm</t>
        </is>
      </c>
      <c r="B513" s="149" t="n"/>
      <c r="C513" s="1121" t="n"/>
      <c r="D513" s="1121" t="n"/>
      <c r="E513" s="1121" t="n"/>
      <c r="F513" s="1121" t="n"/>
      <c r="G513" s="109" t="n"/>
      <c r="H513" s="109" t="n"/>
      <c r="I513" s="109" t="n"/>
      <c r="J513" s="1060" t="n">
        <v>1135.7</v>
      </c>
      <c r="K513" s="1121" t="n"/>
      <c r="L513" s="1060" t="n">
        <v>1035.7</v>
      </c>
      <c r="M513" s="1060" t="n">
        <v>285.7</v>
      </c>
      <c r="N513" s="1060" t="n">
        <v>285.7</v>
      </c>
      <c r="O513" s="1060" t="n">
        <v>1248.4</v>
      </c>
      <c r="P513" s="1121" t="n"/>
      <c r="Q513" s="1060" t="n">
        <v>748.4</v>
      </c>
      <c r="R513" s="1060" t="n">
        <v>748.4</v>
      </c>
      <c r="S513" s="1060" t="n">
        <v>438.4</v>
      </c>
      <c r="T513" s="1060" t="n">
        <v>434.8</v>
      </c>
      <c r="U513" s="1121" t="n"/>
      <c r="V513" s="1060" t="n">
        <v>382</v>
      </c>
      <c r="W513" s="1060" t="n">
        <v>1600</v>
      </c>
      <c r="X513" s="1060" t="n">
        <v>1600</v>
      </c>
      <c r="Y513" s="1060" t="n">
        <v>1465</v>
      </c>
      <c r="Z513" s="1121" t="n"/>
      <c r="AA513" s="1060" t="n">
        <v>970</v>
      </c>
      <c r="AB513" s="1060" t="n">
        <v>960</v>
      </c>
      <c r="AC513" s="109">
        <f>AC512</f>
        <v/>
      </c>
      <c r="AD513" s="1060" t="n">
        <v>2730</v>
      </c>
      <c r="AE513" s="1121" t="n"/>
      <c r="AF513" s="109">
        <f>AF512</f>
        <v/>
      </c>
      <c r="AG513" s="1060" t="n">
        <v>1970</v>
      </c>
      <c r="AH513" s="1060" t="n">
        <v>1820</v>
      </c>
      <c r="AI513" s="109">
        <f>AI512</f>
        <v/>
      </c>
      <c r="AJ513" s="1121" t="n"/>
      <c r="AK513" s="1060" t="n">
        <v>1160</v>
      </c>
      <c r="AL513" s="109">
        <f>AL512</f>
        <v/>
      </c>
      <c r="AM513" s="1060" t="n">
        <v>962</v>
      </c>
      <c r="AN513" s="1060" t="n">
        <v>7240</v>
      </c>
      <c r="AO513" s="1121" t="n"/>
      <c r="AP513" s="109">
        <f>AP512</f>
        <v/>
      </c>
      <c r="AQ513" s="109">
        <f>AQ512</f>
        <v/>
      </c>
      <c r="AR513" s="109">
        <f>AR512</f>
        <v/>
      </c>
      <c r="AS513" s="109">
        <f>AS512</f>
        <v/>
      </c>
      <c r="AT513" s="1121" t="n"/>
      <c r="AU513" s="109">
        <f>AU512</f>
        <v/>
      </c>
      <c r="AV513" s="109">
        <f>AV512</f>
        <v/>
      </c>
      <c r="AW513" s="109">
        <f>AW512</f>
        <v/>
      </c>
      <c r="AX513" s="109">
        <f>AX512</f>
        <v/>
      </c>
      <c r="AY513" s="1121" t="n"/>
      <c r="AZ513" s="109">
        <f>AZ512</f>
        <v/>
      </c>
      <c r="BA513" s="109">
        <f>BA512</f>
        <v/>
      </c>
      <c r="BB513" s="109">
        <f>BB512</f>
        <v/>
      </c>
      <c r="BC513" s="109">
        <f>BC512</f>
        <v/>
      </c>
      <c r="BD513" s="1121" t="n"/>
      <c r="BE513" s="1060" t="n">
        <v>5240</v>
      </c>
      <c r="BF513" s="1060" t="n">
        <v>11930</v>
      </c>
      <c r="BG513" s="1060" t="n">
        <v>8280</v>
      </c>
      <c r="BH513" s="1060" t="n">
        <v>7230</v>
      </c>
      <c r="BI513" s="1121" t="n"/>
      <c r="BJ513" s="109">
        <f>BJ512</f>
        <v/>
      </c>
      <c r="BK513" s="1060" t="n">
        <v>3950</v>
      </c>
      <c r="BL513" s="1060" t="n">
        <v>25240</v>
      </c>
      <c r="BM513" s="1060" t="n">
        <v>22500</v>
      </c>
      <c r="BN513" s="1121" t="n"/>
      <c r="BO513" s="1060" t="n">
        <v>14500</v>
      </c>
      <c r="BP513" s="1060" t="n">
        <v>7500</v>
      </c>
      <c r="BQ513" s="1060" t="n">
        <v>46400</v>
      </c>
      <c r="BR513" s="1060" t="n">
        <v>38700</v>
      </c>
      <c r="BS513" s="1121" t="n"/>
      <c r="BT513" s="1060" t="n">
        <v>24300</v>
      </c>
      <c r="BU513" s="1060" t="n">
        <v>14700</v>
      </c>
      <c r="BV513" s="1061" t="n">
        <v>62200</v>
      </c>
      <c r="BW513" s="109" t="n"/>
      <c r="BX513" s="1121" t="n"/>
      <c r="BY513" s="109" t="n"/>
      <c r="BZ513" s="109" t="n"/>
      <c r="CA513" s="109" t="n"/>
      <c r="CB513" s="109" t="n"/>
      <c r="CC513" s="1121" t="n"/>
      <c r="CD513" s="1121" t="n"/>
      <c r="CE513" s="1121" t="n"/>
      <c r="CF513" s="1121" t="n"/>
      <c r="CG513" s="27" t="n"/>
    </row>
    <row r="514" hidden="1" outlineLevel="1" collapsed="1" ht="15" customFormat="1" customHeight="1" s="227">
      <c r="A514" s="636" t="inlineStr">
        <is>
          <t>Remaining dollar value under repurchase program, mm</t>
        </is>
      </c>
      <c r="B514" s="146" t="n"/>
      <c r="C514" s="1111" t="n">
        <v>1240</v>
      </c>
      <c r="D514" s="1110">
        <f>C514</f>
        <v/>
      </c>
      <c r="E514" s="1110">
        <f>D514</f>
        <v/>
      </c>
      <c r="F514" s="1110">
        <f>E514</f>
        <v/>
      </c>
      <c r="G514" s="68" t="n"/>
      <c r="H514" s="68" t="n"/>
      <c r="I514" s="68" t="n"/>
      <c r="J514" s="68">
        <f>J513</f>
        <v/>
      </c>
      <c r="K514" s="1110">
        <f>J514</f>
        <v/>
      </c>
      <c r="L514" s="68">
        <f>L513</f>
        <v/>
      </c>
      <c r="M514" s="68">
        <f>M513</f>
        <v/>
      </c>
      <c r="N514" s="68">
        <f>N513</f>
        <v/>
      </c>
      <c r="O514" s="68">
        <f>O513</f>
        <v/>
      </c>
      <c r="P514" s="1110">
        <f>O514</f>
        <v/>
      </c>
      <c r="Q514" s="68">
        <f>Q513</f>
        <v/>
      </c>
      <c r="R514" s="68">
        <f>R513</f>
        <v/>
      </c>
      <c r="S514" s="68">
        <f>S513</f>
        <v/>
      </c>
      <c r="T514" s="68">
        <f>T513</f>
        <v/>
      </c>
      <c r="U514" s="1110">
        <f>T514</f>
        <v/>
      </c>
      <c r="V514" s="68">
        <f>V513</f>
        <v/>
      </c>
      <c r="W514" s="68">
        <f>W513</f>
        <v/>
      </c>
      <c r="X514" s="68">
        <f>X513</f>
        <v/>
      </c>
      <c r="Y514" s="68">
        <f>Y513</f>
        <v/>
      </c>
      <c r="Z514" s="1110">
        <f>Y514</f>
        <v/>
      </c>
      <c r="AA514" s="68">
        <f>AA513</f>
        <v/>
      </c>
      <c r="AB514" s="68">
        <f>AB513</f>
        <v/>
      </c>
      <c r="AC514" s="68">
        <f>AB514</f>
        <v/>
      </c>
      <c r="AD514" s="68">
        <f>AD513</f>
        <v/>
      </c>
      <c r="AE514" s="1110">
        <f>AD514</f>
        <v/>
      </c>
      <c r="AF514" s="68">
        <f>AF513</f>
        <v/>
      </c>
      <c r="AG514" s="68">
        <f>AG513</f>
        <v/>
      </c>
      <c r="AH514" s="68">
        <f>AH513</f>
        <v/>
      </c>
      <c r="AI514" s="68">
        <f>AI513</f>
        <v/>
      </c>
      <c r="AJ514" s="1110">
        <f>AI514</f>
        <v/>
      </c>
      <c r="AK514" s="68">
        <f>AK513</f>
        <v/>
      </c>
      <c r="AL514" s="68">
        <f>AL513</f>
        <v/>
      </c>
      <c r="AM514" s="68">
        <f>AM513</f>
        <v/>
      </c>
      <c r="AN514" s="68">
        <f>AN513</f>
        <v/>
      </c>
      <c r="AO514" s="1110">
        <f>AN514</f>
        <v/>
      </c>
      <c r="AP514" s="68">
        <f>AP513</f>
        <v/>
      </c>
      <c r="AQ514" s="68">
        <f>AQ513</f>
        <v/>
      </c>
      <c r="AR514" s="68">
        <f>AR513</f>
        <v/>
      </c>
      <c r="AS514" s="68">
        <f>AS513</f>
        <v/>
      </c>
      <c r="AT514" s="1110">
        <f>AS514</f>
        <v/>
      </c>
      <c r="AU514" s="68">
        <f>AU513</f>
        <v/>
      </c>
      <c r="AV514" s="68">
        <f>AV513</f>
        <v/>
      </c>
      <c r="AW514" s="68">
        <f>AW513</f>
        <v/>
      </c>
      <c r="AX514" s="68">
        <f>AX513</f>
        <v/>
      </c>
      <c r="AY514" s="1110">
        <f>AX514</f>
        <v/>
      </c>
      <c r="AZ514" s="68">
        <f>AZ513</f>
        <v/>
      </c>
      <c r="BA514" s="68">
        <f>BA513</f>
        <v/>
      </c>
      <c r="BB514" s="68">
        <f>BB513</f>
        <v/>
      </c>
      <c r="BC514" s="68">
        <f>BC513</f>
        <v/>
      </c>
      <c r="BD514" s="1110">
        <f>BC514</f>
        <v/>
      </c>
      <c r="BE514" s="68">
        <f>BE513</f>
        <v/>
      </c>
      <c r="BF514" s="68">
        <f>BF513</f>
        <v/>
      </c>
      <c r="BG514" s="68">
        <f>BG513</f>
        <v/>
      </c>
      <c r="BH514" s="68">
        <f>BH513</f>
        <v/>
      </c>
      <c r="BI514" s="1110">
        <f>BH514</f>
        <v/>
      </c>
      <c r="BJ514" s="68">
        <f>BJ513</f>
        <v/>
      </c>
      <c r="BK514" s="68">
        <f>BK513</f>
        <v/>
      </c>
      <c r="BL514" s="68">
        <f>BL513</f>
        <v/>
      </c>
      <c r="BM514" s="68">
        <f>BM513</f>
        <v/>
      </c>
      <c r="BN514" s="1110">
        <f>BM514</f>
        <v/>
      </c>
      <c r="BO514" s="68">
        <f>BO513</f>
        <v/>
      </c>
      <c r="BP514" s="68">
        <f>BP513</f>
        <v/>
      </c>
      <c r="BQ514" s="68">
        <f>BQ513</f>
        <v/>
      </c>
      <c r="BR514" s="68">
        <f>BR513</f>
        <v/>
      </c>
      <c r="BS514" s="1110">
        <f>BR514</f>
        <v/>
      </c>
      <c r="BT514" s="68">
        <f>BT513</f>
        <v/>
      </c>
      <c r="BU514" s="68">
        <f>BU513</f>
        <v/>
      </c>
      <c r="BV514" s="588">
        <f>BV513</f>
        <v/>
      </c>
      <c r="BW514" s="68" t="n"/>
      <c r="BX514" s="1110" t="n"/>
      <c r="BY514" s="68" t="n"/>
      <c r="BZ514" s="68" t="n"/>
      <c r="CA514" s="68" t="n"/>
      <c r="CB514" s="68" t="n"/>
      <c r="CC514" s="1110" t="n"/>
      <c r="CD514" s="1110" t="n"/>
      <c r="CE514" s="1110" t="n"/>
      <c r="CF514" s="1110" t="n"/>
      <c r="CG514" s="27" t="n"/>
    </row>
    <row r="515" collapsed="1" ht="15" customHeight="1">
      <c r="A515" s="605" t="n"/>
      <c r="B515" s="428" t="n"/>
      <c r="C515" s="1134" t="n"/>
      <c r="D515" s="1134" t="n"/>
      <c r="E515" s="1134" t="n"/>
      <c r="F515" s="1134" t="n"/>
      <c r="G515" s="93" t="n"/>
      <c r="H515" s="93" t="n"/>
      <c r="I515" s="93" t="n"/>
      <c r="J515" s="93" t="n"/>
      <c r="K515" s="1134" t="n"/>
      <c r="L515" s="93" t="n"/>
      <c r="M515" s="93" t="n"/>
      <c r="N515" s="93" t="n"/>
      <c r="O515" s="93" t="n"/>
      <c r="P515" s="1134" t="n"/>
      <c r="Q515" s="93" t="n"/>
      <c r="R515" s="93" t="n"/>
      <c r="S515" s="93" t="n"/>
      <c r="T515" s="93" t="n"/>
      <c r="U515" s="1134" t="n"/>
      <c r="V515" s="93" t="n"/>
      <c r="W515" s="93" t="n"/>
      <c r="X515" s="93" t="n"/>
      <c r="Y515" s="93" t="n"/>
      <c r="Z515" s="1134" t="n"/>
      <c r="AA515" s="93" t="n"/>
      <c r="AB515" s="93" t="n"/>
      <c r="AC515" s="93" t="n"/>
      <c r="AD515" s="93" t="n"/>
      <c r="AE515" s="1134" t="n"/>
      <c r="AF515" s="93" t="n"/>
      <c r="AG515" s="93" t="n"/>
      <c r="AH515" s="93" t="n"/>
      <c r="AI515" s="93" t="n"/>
      <c r="AJ515" s="1134" t="n"/>
      <c r="AK515" s="93" t="n"/>
      <c r="AL515" s="93" t="n"/>
      <c r="AM515" s="93" t="n"/>
      <c r="AN515" s="93" t="n"/>
      <c r="AO515" s="1134" t="n"/>
      <c r="AP515" s="93" t="n"/>
      <c r="AQ515" s="93" t="n"/>
      <c r="AR515" s="93" t="n"/>
      <c r="AS515" s="93" t="n"/>
      <c r="AT515" s="1134" t="n"/>
      <c r="AU515" s="93" t="n"/>
      <c r="AV515" s="93" t="n"/>
      <c r="AW515" s="93" t="n"/>
      <c r="AX515" s="93" t="n"/>
      <c r="AY515" s="1134" t="n"/>
      <c r="AZ515" s="93" t="n"/>
      <c r="BA515" s="93" t="n"/>
      <c r="BB515" s="93" t="n"/>
      <c r="BC515" s="93" t="n"/>
      <c r="BD515" s="1134" t="n"/>
      <c r="BE515" s="93" t="n"/>
      <c r="BF515" s="93" t="n"/>
      <c r="BG515" s="93" t="n"/>
      <c r="BH515" s="93" t="n"/>
      <c r="BI515" s="1134" t="n"/>
      <c r="BJ515" s="93" t="n"/>
      <c r="BK515" s="93" t="n"/>
      <c r="BL515" s="93" t="n"/>
      <c r="BM515" s="93" t="n"/>
      <c r="BN515" s="1134" t="n"/>
      <c r="BO515" s="93" t="n"/>
      <c r="BP515" s="93" t="n"/>
      <c r="BQ515" s="93" t="n"/>
      <c r="BR515" s="93" t="n"/>
      <c r="BS515" s="1134" t="n"/>
      <c r="BT515" s="93" t="n"/>
      <c r="BU515" s="93" t="n"/>
      <c r="BV515" s="522" t="n"/>
      <c r="BW515" s="93" t="n"/>
      <c r="BX515" s="1134" t="n"/>
      <c r="BY515" s="93" t="n"/>
      <c r="BZ515" s="93" t="n"/>
      <c r="CA515" s="93" t="n"/>
      <c r="CB515" s="93" t="n"/>
      <c r="CC515" s="1134" t="n"/>
      <c r="CD515" s="1134" t="n"/>
      <c r="CE515" s="1134" t="n"/>
      <c r="CF515" s="1134" t="n"/>
      <c r="CG515" s="228" t="n"/>
    </row>
    <row r="516" ht="15" customHeight="1">
      <c r="A516" s="493" t="inlineStr">
        <is>
          <t>Guidance Analysis Section</t>
        </is>
      </c>
      <c r="B516" s="494" t="n"/>
      <c r="C516" s="45" t="n"/>
      <c r="D516" s="45" t="n"/>
      <c r="E516" s="45" t="n"/>
      <c r="F516" s="45" t="n"/>
      <c r="G516" s="45" t="n"/>
      <c r="H516" s="45" t="n"/>
      <c r="I516" s="45" t="n"/>
      <c r="J516" s="45" t="n"/>
      <c r="K516" s="45" t="n"/>
      <c r="L516" s="45" t="n"/>
      <c r="M516" s="45" t="n"/>
      <c r="N516" s="45" t="n"/>
      <c r="O516" s="45" t="n"/>
      <c r="P516" s="45" t="n"/>
      <c r="Q516" s="45" t="n"/>
      <c r="R516" s="45" t="n"/>
      <c r="S516" s="45" t="n"/>
      <c r="T516" s="45" t="n"/>
      <c r="U516" s="45" t="n"/>
      <c r="V516" s="45" t="n"/>
      <c r="W516" s="45" t="n"/>
      <c r="X516" s="45" t="n"/>
      <c r="Y516" s="45" t="n"/>
      <c r="Z516" s="45" t="n"/>
      <c r="AA516" s="45" t="n"/>
      <c r="AB516" s="45" t="n"/>
      <c r="AC516" s="45" t="n"/>
      <c r="AD516" s="45" t="n"/>
      <c r="AE516" s="45" t="n"/>
      <c r="AF516" s="45" t="n"/>
      <c r="AG516" s="45" t="n"/>
      <c r="AH516" s="45" t="n"/>
      <c r="AI516" s="45" t="n"/>
      <c r="AJ516" s="45" t="n"/>
      <c r="AK516" s="45" t="n"/>
      <c r="AL516" s="45" t="n"/>
      <c r="AM516" s="45" t="n"/>
      <c r="AN516" s="45" t="n"/>
      <c r="AO516" s="45" t="n"/>
      <c r="AP516" s="45" t="n"/>
      <c r="AQ516" s="45" t="n"/>
      <c r="AR516" s="45" t="n"/>
      <c r="AS516" s="45" t="n"/>
      <c r="AT516" s="45" t="n"/>
      <c r="AU516" s="45" t="n"/>
      <c r="AV516" s="45" t="n"/>
      <c r="AW516" s="45" t="n"/>
      <c r="AX516" s="45" t="n"/>
      <c r="AY516" s="45" t="n"/>
      <c r="AZ516" s="45" t="n"/>
      <c r="BA516" s="45" t="n"/>
      <c r="BB516" s="45" t="n"/>
      <c r="BC516" s="45" t="n"/>
      <c r="BD516" s="45" t="n"/>
      <c r="BE516" s="45" t="n"/>
      <c r="BF516" s="45" t="n"/>
      <c r="BG516" s="45" t="n"/>
      <c r="BH516" s="45" t="n"/>
      <c r="BI516" s="45" t="n"/>
      <c r="BJ516" s="45" t="n"/>
      <c r="BK516" s="45" t="n"/>
      <c r="BL516" s="45" t="n"/>
      <c r="BM516" s="45" t="n"/>
      <c r="BN516" s="45" t="n"/>
      <c r="BO516" s="45" t="n"/>
      <c r="BP516" s="45" t="n"/>
      <c r="BQ516" s="45" t="n"/>
      <c r="BR516" s="45" t="n"/>
      <c r="BS516" s="45" t="n"/>
      <c r="BT516" s="45" t="n"/>
      <c r="BU516" s="45" t="n"/>
      <c r="BV516" s="982" t="n"/>
      <c r="BW516" s="45" t="n"/>
      <c r="BX516" s="45" t="n"/>
      <c r="BY516" s="45" t="n"/>
      <c r="BZ516" s="45" t="n"/>
      <c r="CA516" s="45" t="n"/>
      <c r="CB516" s="45" t="n"/>
      <c r="CC516" s="45" t="n"/>
      <c r="CD516" s="45" t="n"/>
      <c r="CE516" s="45" t="n"/>
      <c r="CF516" s="45" t="n"/>
      <c r="CG516" s="228" t="n"/>
    </row>
    <row r="517" hidden="1" outlineLevel="1" ht="15" customHeight="1">
      <c r="A517" s="493" t="inlineStr">
        <is>
          <t>Non-GAAP Operating Expenses - Guidance Analysis</t>
        </is>
      </c>
      <c r="B517" s="494" t="n"/>
      <c r="C517" s="45" t="n"/>
      <c r="D517" s="45" t="n"/>
      <c r="E517" s="45" t="n"/>
      <c r="F517" s="45" t="n"/>
      <c r="G517" s="45" t="n"/>
      <c r="H517" s="45" t="n"/>
      <c r="I517" s="45" t="n"/>
      <c r="J517" s="45" t="n"/>
      <c r="K517" s="45" t="n"/>
      <c r="L517" s="45" t="n"/>
      <c r="M517" s="45" t="n"/>
      <c r="N517" s="45" t="n"/>
      <c r="O517" s="45" t="n"/>
      <c r="P517" s="45" t="n"/>
      <c r="Q517" s="45" t="n"/>
      <c r="R517" s="45" t="n"/>
      <c r="S517" s="45" t="n"/>
      <c r="T517" s="45" t="n"/>
      <c r="U517" s="45" t="n"/>
      <c r="V517" s="45" t="n"/>
      <c r="W517" s="45" t="n"/>
      <c r="X517" s="45" t="n"/>
      <c r="Y517" s="45" t="n"/>
      <c r="Z517" s="45" t="n"/>
      <c r="AA517" s="45" t="n"/>
      <c r="AB517" s="45" t="n"/>
      <c r="AC517" s="45" t="n"/>
      <c r="AD517" s="45" t="n"/>
      <c r="AE517" s="45" t="n"/>
      <c r="AF517" s="45" t="n"/>
      <c r="AG517" s="45" t="n"/>
      <c r="AH517" s="45" t="n"/>
      <c r="AI517" s="45" t="n"/>
      <c r="AJ517" s="45" t="n"/>
      <c r="AK517" s="45" t="n"/>
      <c r="AL517" s="45" t="n"/>
      <c r="AM517" s="45" t="n"/>
      <c r="AN517" s="45" t="n"/>
      <c r="AO517" s="45" t="n"/>
      <c r="AP517" s="45" t="n"/>
      <c r="AQ517" s="45" t="n"/>
      <c r="AR517" s="45" t="n"/>
      <c r="AS517" s="45" t="n"/>
      <c r="AT517" s="45" t="n"/>
      <c r="AU517" s="45" t="n"/>
      <c r="AV517" s="45" t="n"/>
      <c r="AW517" s="45" t="n"/>
      <c r="AX517" s="45" t="n"/>
      <c r="AY517" s="45" t="n"/>
      <c r="AZ517" s="45" t="n"/>
      <c r="BA517" s="45" t="n"/>
      <c r="BB517" s="45" t="n"/>
      <c r="BC517" s="45" t="n"/>
      <c r="BD517" s="45" t="n"/>
      <c r="BE517" s="45" t="n"/>
      <c r="BF517" s="45" t="n"/>
      <c r="BG517" s="45" t="n"/>
      <c r="BH517" s="45" t="n"/>
      <c r="BI517" s="45" t="n"/>
      <c r="BJ517" s="45" t="n"/>
      <c r="BK517" s="45" t="n"/>
      <c r="BL517" s="45" t="n"/>
      <c r="BM517" s="45" t="n"/>
      <c r="BN517" s="45" t="n"/>
      <c r="BO517" s="45" t="n"/>
      <c r="BP517" s="45" t="n"/>
      <c r="BQ517" s="45" t="n"/>
      <c r="BR517" s="45" t="n"/>
      <c r="BS517" s="45" t="n"/>
      <c r="BT517" s="45" t="n"/>
      <c r="BU517" s="45" t="n"/>
      <c r="BV517" s="982" t="n"/>
      <c r="BW517" s="45" t="n"/>
      <c r="BX517" s="45" t="n"/>
      <c r="BY517" s="45" t="n"/>
      <c r="BZ517" s="45" t="n"/>
      <c r="CA517" s="45" t="n"/>
      <c r="CB517" s="45" t="n"/>
      <c r="CC517" s="45" t="n"/>
      <c r="CD517" s="45" t="n"/>
      <c r="CE517" s="45" t="n"/>
      <c r="CF517" s="45" t="n"/>
      <c r="CG517" s="228" t="n"/>
    </row>
    <row r="518" hidden="1" outlineLevel="2" ht="15" customHeight="1">
      <c r="A518" s="492" t="inlineStr">
        <is>
          <t>Non-GAAP Operating Expenses guidance - initial midpoint, mm</t>
        </is>
      </c>
      <c r="B518" s="428" t="n"/>
      <c r="C518" s="1134" t="n"/>
      <c r="D518" s="1134" t="n"/>
      <c r="E518" s="1134" t="n"/>
      <c r="F518" s="1134" t="n"/>
      <c r="G518" s="93" t="n"/>
      <c r="H518" s="93" t="n"/>
      <c r="I518" s="93" t="n"/>
      <c r="J518" s="93" t="n"/>
      <c r="K518" s="1134" t="n"/>
      <c r="L518" s="93" t="n"/>
      <c r="M518" s="93" t="n"/>
      <c r="N518" s="93" t="n"/>
      <c r="O518" s="93" t="n"/>
      <c r="P518" s="1134" t="n"/>
      <c r="Q518" s="93" t="n"/>
      <c r="R518" s="93" t="n"/>
      <c r="S518" s="93" t="n"/>
      <c r="T518" s="93" t="n"/>
      <c r="U518" s="1134" t="n"/>
      <c r="V518" s="93" t="n"/>
      <c r="W518" s="93" t="n"/>
      <c r="X518" s="93" t="n"/>
      <c r="Y518" s="93" t="n"/>
      <c r="Z518" s="1134" t="n"/>
      <c r="AA518" s="93" t="n"/>
      <c r="AB518" s="93" t="n"/>
      <c r="AC518" s="93" t="n"/>
      <c r="AD518" s="93" t="n"/>
      <c r="AE518" s="1134" t="n"/>
      <c r="AF518" s="93" t="n"/>
      <c r="AG518" s="93" t="n"/>
      <c r="AH518" s="93">
        <f>IF(ISBLANK(AG531),"",AG531)</f>
        <v/>
      </c>
      <c r="AI518" s="93">
        <f>IF(ISBLANK(AH531),"",AH531)</f>
        <v/>
      </c>
      <c r="AJ518" s="1134">
        <f>IF(ISBLANK(AD538),"",AD538)</f>
        <v/>
      </c>
      <c r="AK518" s="93">
        <f>IF(ISBLANK(AI531),"",AI531)</f>
        <v/>
      </c>
      <c r="AL518" s="93">
        <f>IF(ISBLANK(AK531),"",AK531)</f>
        <v/>
      </c>
      <c r="AM518" s="93">
        <f>IF(ISBLANK(AL531),"",AL531)</f>
        <v/>
      </c>
      <c r="AN518" s="93">
        <f>IF(ISBLANK(AM531),"",AM531)</f>
        <v/>
      </c>
      <c r="AO518" s="1134">
        <f>IF(ISBLANK(AI538),"",AI538)</f>
        <v/>
      </c>
      <c r="AP518" s="93">
        <f>IF(ISBLANK(AN531),"",AN531)</f>
        <v/>
      </c>
      <c r="AQ518" s="93">
        <f>IF(ISBLANK(AP531),"",AP531)</f>
        <v/>
      </c>
      <c r="AR518" s="93">
        <f>IF(ISBLANK(AQ531),"",AQ531)</f>
        <v/>
      </c>
      <c r="AS518" s="93">
        <f>IF(ISBLANK(AR531),"",AR531)</f>
        <v/>
      </c>
      <c r="AT518" s="1134">
        <f>IF(ISBLANK(AN538),"",AN538)</f>
        <v/>
      </c>
      <c r="AU518" s="93">
        <f>IF(ISBLANK(AS531),"",AS531)</f>
        <v/>
      </c>
      <c r="AV518" s="93">
        <f>IF(ISBLANK(AU531),"",AU531)</f>
        <v/>
      </c>
      <c r="AW518" s="93">
        <f>IF(ISBLANK(AV531),"",AV531)</f>
        <v/>
      </c>
      <c r="AX518" s="93">
        <f>IF(ISBLANK(AW531),"",AW531)</f>
        <v/>
      </c>
      <c r="AY518" s="1134">
        <f>IF(ISBLANK(AS538),"",AS538)</f>
        <v/>
      </c>
      <c r="AZ518" s="93">
        <f>IF(ISBLANK(AX531),"",AX531)</f>
        <v/>
      </c>
      <c r="BA518" s="93">
        <f>IF(ISBLANK(AZ531),"",AZ531)</f>
        <v/>
      </c>
      <c r="BB518" s="93">
        <f>IF(ISBLANK(BA531),"",BA531)</f>
        <v/>
      </c>
      <c r="BC518" s="93">
        <f>IF(ISBLANK(BB531),"",BB531)</f>
        <v/>
      </c>
      <c r="BD518" s="1134">
        <f>IF(ISBLANK(AX538),"",AX538)</f>
        <v/>
      </c>
      <c r="BE518" s="93">
        <f>IF(ISBLANK(BC531),"",BC531)</f>
        <v/>
      </c>
      <c r="BF518" s="93">
        <f>IF(ISBLANK(BE531),"",BE531)</f>
        <v/>
      </c>
      <c r="BG518" s="93">
        <f>IF(ISBLANK(BF531),"",BF531)</f>
        <v/>
      </c>
      <c r="BH518" s="93">
        <f>IF(ISBLANK(BG531),"",BG531)</f>
        <v/>
      </c>
      <c r="BI518" s="1134">
        <f>IF(ISBLANK(BC538),"",BC538)</f>
        <v/>
      </c>
      <c r="BJ518" s="93">
        <f>IF(ISBLANK(BH531),"",BH531)</f>
        <v/>
      </c>
      <c r="BK518" s="93">
        <f>IF(ISBLANK(BJ531),"",BJ531)</f>
        <v/>
      </c>
      <c r="BL518" s="93">
        <f>IF(ISBLANK(BK531),"",BK531)</f>
        <v/>
      </c>
      <c r="BM518" s="93">
        <f>IF(ISBLANK(BL531),"",BL531)</f>
        <v/>
      </c>
      <c r="BN518" s="1134">
        <f>IF(ISBLANK(BH538),"",BH538)</f>
        <v/>
      </c>
      <c r="BO518" s="93">
        <f>IF(ISBLANK(BM531),"",BM531)</f>
        <v/>
      </c>
      <c r="BP518" s="93">
        <f>IF(ISBLANK(BO531),"",BO531)</f>
        <v/>
      </c>
      <c r="BQ518" s="93">
        <f>IF(ISBLANK(BP531),"",BP531)</f>
        <v/>
      </c>
      <c r="BR518" s="93">
        <f>IF(ISBLANK(BQ531),"",BQ531)</f>
        <v/>
      </c>
      <c r="BS518" s="1134">
        <f>IF(ISBLANK(BM538),"",BM538)</f>
        <v/>
      </c>
      <c r="BT518" s="93">
        <f>IF(ISBLANK(BR531),"",BR531)</f>
        <v/>
      </c>
      <c r="BU518" s="93">
        <f>IF(ISBLANK(BT531),"",BT531)</f>
        <v/>
      </c>
      <c r="BV518" s="522">
        <f>IF(ISBLANK(BU531),"",BU531)</f>
        <v/>
      </c>
      <c r="BW518" s="93">
        <f>IF(ISBLANK(BV531),"",BV531)</f>
        <v/>
      </c>
      <c r="BX518" s="1134">
        <f>IF(ISBLANK(BR538),"",BR538)</f>
        <v/>
      </c>
      <c r="BY518" s="93">
        <f>IF(ISBLANK(BW531),"",BW531)</f>
        <v/>
      </c>
      <c r="BZ518" s="93">
        <f>IF(ISBLANK(BY531),"",BY531)</f>
        <v/>
      </c>
      <c r="CA518" s="93">
        <f>IF(ISBLANK(BZ531),"",BZ531)</f>
        <v/>
      </c>
      <c r="CB518" s="93">
        <f>IF(ISBLANK(CA531),"",CA531)</f>
        <v/>
      </c>
      <c r="CC518" s="1134">
        <f>IF(ISBLANK(BW538),"",BW538)</f>
        <v/>
      </c>
      <c r="CD518" s="1134" t="n"/>
      <c r="CE518" s="1134" t="n"/>
      <c r="CF518" s="1134" t="n"/>
      <c r="CG518" s="93" t="n"/>
    </row>
    <row r="519" hidden="1" outlineLevel="2" ht="15" customHeight="1">
      <c r="A519" s="492" t="inlineStr">
        <is>
          <t>Non-GAAP Operating Expenses guidance - update 1 midpoint, mm</t>
        </is>
      </c>
      <c r="B519" s="428" t="n"/>
      <c r="C519" s="1134" t="n"/>
      <c r="D519" s="1134" t="n"/>
      <c r="E519" s="1134" t="n"/>
      <c r="F519" s="1134" t="n"/>
      <c r="G519" s="93" t="n"/>
      <c r="H519" s="93" t="n"/>
      <c r="I519" s="93" t="n"/>
      <c r="J519" s="93" t="n"/>
      <c r="K519" s="1134" t="n"/>
      <c r="L519" s="93" t="n"/>
      <c r="M519" s="93" t="n"/>
      <c r="N519" s="93" t="n"/>
      <c r="O519" s="93" t="n"/>
      <c r="P519" s="1134" t="n"/>
      <c r="Q519" s="93" t="n"/>
      <c r="R519" s="93" t="n"/>
      <c r="S519" s="93" t="n"/>
      <c r="T519" s="93" t="n"/>
      <c r="U519" s="1134" t="n"/>
      <c r="V519" s="93" t="n"/>
      <c r="W519" s="93" t="n"/>
      <c r="X519" s="93" t="n"/>
      <c r="Y519" s="93" t="n"/>
      <c r="Z519" s="1134" t="n"/>
      <c r="AA519" s="93" t="n"/>
      <c r="AB519" s="93" t="n"/>
      <c r="AC519" s="93" t="n"/>
      <c r="AD519" s="93" t="n"/>
      <c r="AE519" s="1134" t="n"/>
      <c r="AF519" s="93" t="n"/>
      <c r="AG519" s="93" t="n"/>
      <c r="AH519" s="93" t="n"/>
      <c r="AI519" s="93" t="n"/>
      <c r="AJ519" s="1134">
        <f>IF(ISBLANK(AF538),"",AF538)</f>
        <v/>
      </c>
      <c r="AK519" s="93" t="n"/>
      <c r="AL519" s="93" t="n"/>
      <c r="AM519" s="93" t="n"/>
      <c r="AN519" s="93" t="n"/>
      <c r="AO519" s="1134">
        <f>IF(ISBLANK(AK538),"",AK538)</f>
        <v/>
      </c>
      <c r="AP519" s="93" t="n"/>
      <c r="AQ519" s="93" t="n"/>
      <c r="AR519" s="93" t="n"/>
      <c r="AS519" s="93" t="n"/>
      <c r="AT519" s="1134">
        <f>IF(ISBLANK(AP538),"",AP538)</f>
        <v/>
      </c>
      <c r="AU519" s="93" t="n"/>
      <c r="AV519" s="93" t="n"/>
      <c r="AW519" s="93" t="n"/>
      <c r="AX519" s="93" t="n"/>
      <c r="AY519" s="1134">
        <f>IF(ISBLANK(AU538),"",AU538)</f>
        <v/>
      </c>
      <c r="AZ519" s="93" t="n"/>
      <c r="BA519" s="93" t="n"/>
      <c r="BB519" s="93" t="n"/>
      <c r="BC519" s="93" t="n"/>
      <c r="BD519" s="1134">
        <f>IF(ISBLANK(AZ538),"",AZ538)</f>
        <v/>
      </c>
      <c r="BE519" s="93" t="n"/>
      <c r="BF519" s="93" t="n"/>
      <c r="BG519" s="93" t="n"/>
      <c r="BH519" s="93" t="n"/>
      <c r="BI519" s="1134">
        <f>IF(ISBLANK(BE538),"",BE538)</f>
        <v/>
      </c>
      <c r="BJ519" s="93" t="n"/>
      <c r="BK519" s="93" t="n"/>
      <c r="BL519" s="93" t="n"/>
      <c r="BM519" s="93" t="n"/>
      <c r="BN519" s="1134">
        <f>IF(ISBLANK(BJ538),"",BJ538)</f>
        <v/>
      </c>
      <c r="BO519" s="93" t="n"/>
      <c r="BP519" s="93" t="n"/>
      <c r="BQ519" s="93" t="n"/>
      <c r="BR519" s="93" t="n"/>
      <c r="BS519" s="1134">
        <f>IF(ISBLANK(BO538),"",BO538)</f>
        <v/>
      </c>
      <c r="BT519" s="93" t="n"/>
      <c r="BU519" s="93" t="n"/>
      <c r="BV519" s="522" t="n"/>
      <c r="BW519" s="93" t="n"/>
      <c r="BX519" s="1134">
        <f>IF(ISBLANK(BT538),"",BT538)</f>
        <v/>
      </c>
      <c r="BY519" s="93" t="n"/>
      <c r="BZ519" s="93" t="n"/>
      <c r="CA519" s="93" t="n"/>
      <c r="CB519" s="93" t="n"/>
      <c r="CC519" s="1134">
        <f>IF(ISBLANK(BY538),"",BY538)</f>
        <v/>
      </c>
      <c r="CD519" s="1134" t="n"/>
      <c r="CE519" s="1134" t="n"/>
      <c r="CF519" s="1134" t="n"/>
      <c r="CG519" s="93" t="n"/>
    </row>
    <row r="520" hidden="1" outlineLevel="2" ht="15" customHeight="1">
      <c r="A520" s="492" t="inlineStr">
        <is>
          <t>Non-GAAP Operating Expenses guidance - update 2 midpoint, mm</t>
        </is>
      </c>
      <c r="B520" s="428" t="n"/>
      <c r="C520" s="1134" t="n"/>
      <c r="D520" s="1134" t="n"/>
      <c r="E520" s="1134" t="n"/>
      <c r="F520" s="1134" t="n"/>
      <c r="G520" s="93" t="n"/>
      <c r="H520" s="93" t="n"/>
      <c r="I520" s="93" t="n"/>
      <c r="J520" s="93" t="n"/>
      <c r="K520" s="1134" t="n"/>
      <c r="L520" s="93" t="n"/>
      <c r="M520" s="93" t="n"/>
      <c r="N520" s="93" t="n"/>
      <c r="O520" s="93" t="n"/>
      <c r="P520" s="1134" t="n"/>
      <c r="Q520" s="93" t="n"/>
      <c r="R520" s="93" t="n"/>
      <c r="S520" s="93" t="n"/>
      <c r="T520" s="93" t="n"/>
      <c r="U520" s="1134" t="n"/>
      <c r="V520" s="93" t="n"/>
      <c r="W520" s="93" t="n"/>
      <c r="X520" s="93" t="n"/>
      <c r="Y520" s="93" t="n"/>
      <c r="Z520" s="1134" t="n"/>
      <c r="AA520" s="93" t="n"/>
      <c r="AB520" s="93" t="n"/>
      <c r="AC520" s="93" t="n"/>
      <c r="AD520" s="93" t="n"/>
      <c r="AE520" s="1134" t="n"/>
      <c r="AF520" s="93" t="n"/>
      <c r="AG520" s="93" t="n"/>
      <c r="AH520" s="93" t="n"/>
      <c r="AI520" s="93" t="n"/>
      <c r="AJ520" s="1134">
        <f>IF(ISBLANK(AG538),"",AG538)</f>
        <v/>
      </c>
      <c r="AK520" s="93" t="n"/>
      <c r="AL520" s="93" t="n"/>
      <c r="AM520" s="93" t="n"/>
      <c r="AN520" s="93" t="n"/>
      <c r="AO520" s="1134">
        <f>IF(ISBLANK(AL538),"",AL538)</f>
        <v/>
      </c>
      <c r="AP520" s="93" t="n"/>
      <c r="AQ520" s="93" t="n"/>
      <c r="AR520" s="93" t="n"/>
      <c r="AS520" s="93" t="n"/>
      <c r="AT520" s="1134">
        <f>IF(ISBLANK(AQ538),"",AQ538)</f>
        <v/>
      </c>
      <c r="AU520" s="93" t="n"/>
      <c r="AV520" s="93" t="n"/>
      <c r="AW520" s="93" t="n"/>
      <c r="AX520" s="93" t="n"/>
      <c r="AY520" s="1134">
        <f>IF(ISBLANK(AV538),"",AV538)</f>
        <v/>
      </c>
      <c r="AZ520" s="93" t="n"/>
      <c r="BA520" s="93" t="n"/>
      <c r="BB520" s="93" t="n"/>
      <c r="BC520" s="93" t="n"/>
      <c r="BD520" s="1134">
        <f>IF(ISBLANK(BA538),"",BA538)</f>
        <v/>
      </c>
      <c r="BE520" s="93" t="n"/>
      <c r="BF520" s="93" t="n"/>
      <c r="BG520" s="93" t="n"/>
      <c r="BH520" s="93" t="n"/>
      <c r="BI520" s="1134">
        <f>IF(ISBLANK(BF538),"",BF538)</f>
        <v/>
      </c>
      <c r="BJ520" s="93" t="n"/>
      <c r="BK520" s="93" t="n"/>
      <c r="BL520" s="93" t="n"/>
      <c r="BM520" s="93" t="n"/>
      <c r="BN520" s="1134">
        <f>IF(ISBLANK(BK538),"",BK538)</f>
        <v/>
      </c>
      <c r="BO520" s="93" t="n"/>
      <c r="BP520" s="93" t="n"/>
      <c r="BQ520" s="93" t="n"/>
      <c r="BR520" s="93" t="n"/>
      <c r="BS520" s="1134">
        <f>IF(ISBLANK(BP538),"",BP538)</f>
        <v/>
      </c>
      <c r="BT520" s="93" t="n"/>
      <c r="BU520" s="93" t="n"/>
      <c r="BV520" s="522" t="n"/>
      <c r="BW520" s="93" t="n"/>
      <c r="BX520" s="1134">
        <f>IF(ISBLANK(BU538),"",BU538)</f>
        <v/>
      </c>
      <c r="BY520" s="93" t="n"/>
      <c r="BZ520" s="93" t="n"/>
      <c r="CA520" s="93" t="n"/>
      <c r="CB520" s="93" t="n"/>
      <c r="CC520" s="1134">
        <f>IF(ISBLANK(BZ538),"",BZ538)</f>
        <v/>
      </c>
      <c r="CD520" s="1134" t="n"/>
      <c r="CE520" s="1134" t="n"/>
      <c r="CF520" s="1134" t="n"/>
      <c r="CG520" s="93" t="n"/>
    </row>
    <row r="521" hidden="1" outlineLevel="2" ht="15" customHeight="1">
      <c r="A521" s="812" t="inlineStr">
        <is>
          <t>Non-GAAP Operating Expenses guidance - update 3 midpoint, mm</t>
        </is>
      </c>
      <c r="B521" s="718" t="n"/>
      <c r="C521" s="1129" t="n"/>
      <c r="D521" s="1129" t="n"/>
      <c r="E521" s="1129" t="n"/>
      <c r="F521" s="1129" t="n"/>
      <c r="G521" s="983" t="n"/>
      <c r="H521" s="983" t="n"/>
      <c r="I521" s="983" t="n"/>
      <c r="J521" s="983" t="n"/>
      <c r="K521" s="1129" t="n"/>
      <c r="L521" s="983" t="n"/>
      <c r="M521" s="983" t="n"/>
      <c r="N521" s="983" t="n"/>
      <c r="O521" s="983" t="n"/>
      <c r="P521" s="1129" t="n"/>
      <c r="Q521" s="983" t="n"/>
      <c r="R521" s="983" t="n"/>
      <c r="S521" s="983" t="n"/>
      <c r="T521" s="983" t="n"/>
      <c r="U521" s="1129" t="n"/>
      <c r="V521" s="983" t="n"/>
      <c r="W521" s="983" t="n"/>
      <c r="X521" s="983" t="n"/>
      <c r="Y521" s="983" t="n"/>
      <c r="Z521" s="1129" t="n"/>
      <c r="AA521" s="983" t="n"/>
      <c r="AB521" s="983" t="n"/>
      <c r="AC521" s="983" t="n"/>
      <c r="AD521" s="983" t="n"/>
      <c r="AE521" s="1129" t="n"/>
      <c r="AF521" s="983" t="n"/>
      <c r="AG521" s="983" t="n"/>
      <c r="AH521" s="983" t="n"/>
      <c r="AI521" s="983" t="n"/>
      <c r="AJ521" s="1129">
        <f>IF(ISBLANK(AH538),"",AH538)</f>
        <v/>
      </c>
      <c r="AK521" s="983" t="n"/>
      <c r="AL521" s="983" t="n"/>
      <c r="AM521" s="983" t="n"/>
      <c r="AN521" s="983" t="n"/>
      <c r="AO521" s="1129">
        <f>IF(ISBLANK(AM538),"",AM538)</f>
        <v/>
      </c>
      <c r="AP521" s="983" t="n"/>
      <c r="AQ521" s="983" t="n"/>
      <c r="AR521" s="983" t="n"/>
      <c r="AS521" s="983" t="n"/>
      <c r="AT521" s="1129">
        <f>IF(ISBLANK(AR538),"",AR538)</f>
        <v/>
      </c>
      <c r="AU521" s="983" t="n"/>
      <c r="AV521" s="983" t="n"/>
      <c r="AW521" s="983" t="n"/>
      <c r="AX521" s="983" t="n"/>
      <c r="AY521" s="1129">
        <f>IF(ISBLANK(AW538),"",AW538)</f>
        <v/>
      </c>
      <c r="AZ521" s="983" t="n"/>
      <c r="BA521" s="983" t="n"/>
      <c r="BB521" s="983" t="n"/>
      <c r="BC521" s="983" t="n"/>
      <c r="BD521" s="1129">
        <f>IF(ISBLANK(BB538),"",BB538)</f>
        <v/>
      </c>
      <c r="BE521" s="983" t="n"/>
      <c r="BF521" s="983" t="n"/>
      <c r="BG521" s="983" t="n"/>
      <c r="BH521" s="983" t="n"/>
      <c r="BI521" s="1129">
        <f>IF(ISBLANK(BG538),"",BG538)</f>
        <v/>
      </c>
      <c r="BJ521" s="983" t="n"/>
      <c r="BK521" s="983" t="n"/>
      <c r="BL521" s="983" t="n"/>
      <c r="BM521" s="983" t="n"/>
      <c r="BN521" s="1129">
        <f>IF(ISBLANK(BL538),"",BL538)</f>
        <v/>
      </c>
      <c r="BO521" s="983" t="n"/>
      <c r="BP521" s="983" t="n"/>
      <c r="BQ521" s="983" t="n"/>
      <c r="BR521" s="983" t="n"/>
      <c r="BS521" s="1129">
        <f>IF(ISBLANK(BQ538),"",BQ538)</f>
        <v/>
      </c>
      <c r="BT521" s="983" t="n"/>
      <c r="BU521" s="983" t="n"/>
      <c r="BV521" s="984" t="n"/>
      <c r="BW521" s="983" t="n"/>
      <c r="BX521" s="1129">
        <f>IF(ISBLANK(BV538),"",BV538)</f>
        <v/>
      </c>
      <c r="BY521" s="983" t="n"/>
      <c r="BZ521" s="983" t="n"/>
      <c r="CA521" s="983" t="n"/>
      <c r="CB521" s="983" t="n"/>
      <c r="CC521" s="1129">
        <f>IF(ISBLANK(CA538),"",CA538)</f>
        <v/>
      </c>
      <c r="CD521" s="1129" t="n"/>
      <c r="CE521" s="1129" t="n"/>
      <c r="CF521" s="1129" t="n"/>
      <c r="CG521" s="93" t="n"/>
    </row>
    <row r="522" hidden="1" outlineLevel="1" collapsed="1" ht="15" customHeight="1">
      <c r="A522" s="605" t="inlineStr">
        <is>
          <t>Non-GAAP Operating Expenses guidance - most recent midpoint, mm</t>
        </is>
      </c>
      <c r="B522" s="428" t="n"/>
      <c r="C522" s="1134" t="n"/>
      <c r="D522" s="1134" t="n"/>
      <c r="E522" s="1134" t="n"/>
      <c r="F522" s="1134" t="n"/>
      <c r="G522" s="93" t="n"/>
      <c r="H522" s="93" t="n"/>
      <c r="I522" s="93" t="n"/>
      <c r="J522" s="93" t="n"/>
      <c r="K522" s="1134" t="n"/>
      <c r="L522" s="93" t="n"/>
      <c r="M522" s="93" t="n"/>
      <c r="N522" s="93" t="n"/>
      <c r="O522" s="93" t="n"/>
      <c r="P522" s="1134" t="n"/>
      <c r="Q522" s="93" t="n"/>
      <c r="R522" s="93" t="n"/>
      <c r="S522" s="93" t="n"/>
      <c r="T522" s="93" t="n"/>
      <c r="U522" s="1134" t="n"/>
      <c r="V522" s="93" t="n"/>
      <c r="W522" s="93" t="n"/>
      <c r="X522" s="93" t="n"/>
      <c r="Y522" s="93" t="n"/>
      <c r="Z522" s="1134" t="n"/>
      <c r="AA522" s="93" t="n"/>
      <c r="AB522" s="93" t="n"/>
      <c r="AC522" s="93" t="n"/>
      <c r="AD522" s="93" t="n"/>
      <c r="AE522" s="1134" t="n"/>
      <c r="AF522" s="93" t="n"/>
      <c r="AG522" s="93" t="n"/>
      <c r="AH522" s="93">
        <f>IF(AH521="",IF(AH520="",IF(AH519="",IF(AH518="","",AH518),AH519),AH520),AH521)</f>
        <v/>
      </c>
      <c r="AI522" s="93">
        <f>IF(AI521="",IF(AI520="",IF(AI519="",IF(AI518="","",AI518),AI519),AI520),AI521)</f>
        <v/>
      </c>
      <c r="AJ522" s="1134">
        <f>IF(AJ521="",IF(AJ520="",IF(AJ519="",IF(AJ518="","",AJ518),AJ519),AJ520),AJ521)</f>
        <v/>
      </c>
      <c r="AK522" s="93">
        <f>IF(AK521="",IF(AK520="",IF(AK519="",IF(AK518="","",AK518),AK519),AK520),AK521)</f>
        <v/>
      </c>
      <c r="AL522" s="93">
        <f>IF(AL521="",IF(AL520="",IF(AL519="",IF(AL518="","",AL518),AL519),AL520),AL521)</f>
        <v/>
      </c>
      <c r="AM522" s="93">
        <f>IF(AM521="",IF(AM520="",IF(AM519="",IF(AM518="","",AM518),AM519),AM520),AM521)</f>
        <v/>
      </c>
      <c r="AN522" s="93">
        <f>IF(AN521="",IF(AN520="",IF(AN519="",IF(AN518="","",AN518),AN519),AN520),AN521)</f>
        <v/>
      </c>
      <c r="AO522" s="1134">
        <f>IF(AO521="",IF(AO520="",IF(AO519="",IF(AO518="","",AO518),AO519),AO520),AO521)</f>
        <v/>
      </c>
      <c r="AP522" s="93">
        <f>IF(AP521="",IF(AP520="",IF(AP519="",IF(AP518="","",AP518),AP519),AP520),AP521)</f>
        <v/>
      </c>
      <c r="AQ522" s="93">
        <f>IF(AQ521="",IF(AQ520="",IF(AQ519="",IF(AQ518="","",AQ518),AQ519),AQ520),AQ521)</f>
        <v/>
      </c>
      <c r="AR522" s="93">
        <f>IF(AR521="",IF(AR520="",IF(AR519="",IF(AR518="","",AR518),AR519),AR520),AR521)</f>
        <v/>
      </c>
      <c r="AS522" s="93">
        <f>IF(AS521="",IF(AS520="",IF(AS519="",IF(AS518="","",AS518),AS519),AS520),AS521)</f>
        <v/>
      </c>
      <c r="AT522" s="1134">
        <f>IF(AT521="",IF(AT520="",IF(AT519="",IF(AT518="","",AT518),AT519),AT520),AT521)</f>
        <v/>
      </c>
      <c r="AU522" s="93">
        <f>IF(AU521="",IF(AU520="",IF(AU519="",IF(AU518="","",AU518),AU519),AU520),AU521)</f>
        <v/>
      </c>
      <c r="AV522" s="93">
        <f>IF(AV521="",IF(AV520="",IF(AV519="",IF(AV518="","",AV518),AV519),AV520),AV521)</f>
        <v/>
      </c>
      <c r="AW522" s="93">
        <f>IF(AW521="",IF(AW520="",IF(AW519="",IF(AW518="","",AW518),AW519),AW520),AW521)</f>
        <v/>
      </c>
      <c r="AX522" s="93">
        <f>IF(AX521="",IF(AX520="",IF(AX519="",IF(AX518="","",AX518),AX519),AX520),AX521)</f>
        <v/>
      </c>
      <c r="AY522" s="1134">
        <f>IF(AY521="",IF(AY520="",IF(AY519="",IF(AY518="","",AY518),AY519),AY520),AY521)</f>
        <v/>
      </c>
      <c r="AZ522" s="93">
        <f>IF(AZ521="",IF(AZ520="",IF(AZ519="",IF(AZ518="","",AZ518),AZ519),AZ520),AZ521)</f>
        <v/>
      </c>
      <c r="BA522" s="93">
        <f>IF(BA521="",IF(BA520="",IF(BA519="",IF(BA518="","",BA518),BA519),BA520),BA521)</f>
        <v/>
      </c>
      <c r="BB522" s="93">
        <f>IF(BB521="",IF(BB520="",IF(BB519="",IF(BB518="","",BB518),BB519),BB520),BB521)</f>
        <v/>
      </c>
      <c r="BC522" s="93">
        <f>IF(BC521="",IF(BC520="",IF(BC519="",IF(BC518="","",BC518),BC519),BC520),BC521)</f>
        <v/>
      </c>
      <c r="BD522" s="1134">
        <f>IF(BD521="",IF(BD520="",IF(BD519="",IF(BD518="","",BD518),BD519),BD520),BD521)</f>
        <v/>
      </c>
      <c r="BE522" s="93">
        <f>IF(BE521="",IF(BE520="",IF(BE519="",IF(BE518="","",BE518),BE519),BE520),BE521)</f>
        <v/>
      </c>
      <c r="BF522" s="93">
        <f>IF(BF521="",IF(BF520="",IF(BF519="",IF(BF518="","",BF518),BF519),BF520),BF521)</f>
        <v/>
      </c>
      <c r="BG522" s="93">
        <f>IF(BG521="",IF(BG520="",IF(BG519="",IF(BG518="","",BG518),BG519),BG520),BG521)</f>
        <v/>
      </c>
      <c r="BH522" s="93">
        <f>IF(BH521="",IF(BH520="",IF(BH519="",IF(BH518="","",BH518),BH519),BH520),BH521)</f>
        <v/>
      </c>
      <c r="BI522" s="1134">
        <f>IF(BI521="",IF(BI520="",IF(BI519="",IF(BI518="","",BI518),BI519),BI520),BI521)</f>
        <v/>
      </c>
      <c r="BJ522" s="93">
        <f>IF(BJ521="",IF(BJ520="",IF(BJ519="",IF(BJ518="","",BJ518),BJ519),BJ520),BJ521)</f>
        <v/>
      </c>
      <c r="BK522" s="93">
        <f>IF(BK521="",IF(BK520="",IF(BK519="",IF(BK518="","",BK518),BK519),BK520),BK521)</f>
        <v/>
      </c>
      <c r="BL522" s="93">
        <f>IF(BL521="",IF(BL520="",IF(BL519="",IF(BL518="","",BL518),BL519),BL520),BL521)</f>
        <v/>
      </c>
      <c r="BM522" s="93">
        <f>IF(BM521="",IF(BM520="",IF(BM519="",IF(BM518="","",BM518),BM519),BM520),BM521)</f>
        <v/>
      </c>
      <c r="BN522" s="1134">
        <f>IF(BN521="",IF(BN520="",IF(BN519="",IF(BN518="","",BN518),BN519),BN520),BN521)</f>
        <v/>
      </c>
      <c r="BO522" s="93">
        <f>IF(BO521="",IF(BO520="",IF(BO519="",IF(BO518="","",BO518),BO519),BO520),BO521)</f>
        <v/>
      </c>
      <c r="BP522" s="93">
        <f>IF(BP521="",IF(BP520="",IF(BP519="",IF(BP518="","",BP518),BP519),BP520),BP521)</f>
        <v/>
      </c>
      <c r="BQ522" s="93">
        <f>IF(BQ521="",IF(BQ520="",IF(BQ519="",IF(BQ518="","",BQ518),BQ519),BQ520),BQ521)</f>
        <v/>
      </c>
      <c r="BR522" s="93">
        <f>IF(BR521="",IF(BR520="",IF(BR519="",IF(BR518="","",BR518),BR519),BR520),BR521)</f>
        <v/>
      </c>
      <c r="BS522" s="1134">
        <f>IF(BS521="",IF(BS520="",IF(BS519="",IF(BS518="","",BS518),BS519),BS520),BS521)</f>
        <v/>
      </c>
      <c r="BT522" s="93">
        <f>IF(BT521="",IF(BT520="",IF(BT519="",IF(BT518="","",BT518),BT519),BT520),BT521)</f>
        <v/>
      </c>
      <c r="BU522" s="93">
        <f>IF(BU521="",IF(BU520="",IF(BU519="",IF(BU518="","",BU518),BU519),BU520),BU521)</f>
        <v/>
      </c>
      <c r="BV522" s="522">
        <f>IF(BV521="",IF(BV520="",IF(BV519="",IF(BV518="","",BV518),BV519),BV520),BV521)</f>
        <v/>
      </c>
      <c r="BW522" s="93">
        <f>IF(BW521="",IF(BW520="",IF(BW519="",IF(BW518="","",BW518),BW519),BW520),BW521)</f>
        <v/>
      </c>
      <c r="BX522" s="1134">
        <f>IF(BX521="",IF(BX520="",IF(BX519="",IF(BX518="","",BX518),BX519),BX520),BX521)</f>
        <v/>
      </c>
      <c r="BY522" s="93">
        <f>IF(BY521="",IF(BY520="",IF(BY519="",IF(BY518="","",BY518),BY519),BY520),BY521)</f>
        <v/>
      </c>
      <c r="BZ522" s="93">
        <f>IF(BZ521="",IF(BZ520="",IF(BZ519="",IF(BZ518="","",BZ518),BZ519),BZ520),BZ521)</f>
        <v/>
      </c>
      <c r="CA522" s="93">
        <f>IF(CA521="",IF(CA520="",IF(CA519="",IF(CA518="","",CA518),CA519),CA520),CA521)</f>
        <v/>
      </c>
      <c r="CB522" s="93">
        <f>IF(CB521="",IF(CB520="",IF(CB519="",IF(CB518="","",CB518),CB519),CB520),CB521)</f>
        <v/>
      </c>
      <c r="CC522" s="1134">
        <f>IF(CC521="",IF(CC520="",IF(CC519="",IF(CC518="","",CC518),CC519),CC520),CC521)</f>
        <v/>
      </c>
      <c r="CD522" s="1134" t="n"/>
      <c r="CE522" s="1134" t="n"/>
      <c r="CF522" s="1134" t="n"/>
      <c r="CG522" s="93" t="n"/>
    </row>
    <row r="523" hidden="1" outlineLevel="1" ht="15" customHeight="1">
      <c r="A523" s="811" t="inlineStr">
        <is>
          <t>Non-GAAP Operating Expenses - reported/model estimate, mm</t>
        </is>
      </c>
      <c r="B523" s="718" t="n"/>
      <c r="C523" s="1129">
        <f>+C113</f>
        <v/>
      </c>
      <c r="D523" s="1129">
        <f>+D113</f>
        <v/>
      </c>
      <c r="E523" s="1129">
        <f>+E113</f>
        <v/>
      </c>
      <c r="F523" s="1129">
        <f>+F113</f>
        <v/>
      </c>
      <c r="G523" s="983">
        <f>+G113</f>
        <v/>
      </c>
      <c r="H523" s="983">
        <f>+H113</f>
        <v/>
      </c>
      <c r="I523" s="983">
        <f>+I113</f>
        <v/>
      </c>
      <c r="J523" s="983">
        <f>+J113</f>
        <v/>
      </c>
      <c r="K523" s="1129">
        <f>+K113</f>
        <v/>
      </c>
      <c r="L523" s="983">
        <f>+L113</f>
        <v/>
      </c>
      <c r="M523" s="983">
        <f>+M113</f>
        <v/>
      </c>
      <c r="N523" s="983">
        <f>+N113</f>
        <v/>
      </c>
      <c r="O523" s="983">
        <f>+O113</f>
        <v/>
      </c>
      <c r="P523" s="1129">
        <f>+P113</f>
        <v/>
      </c>
      <c r="Q523" s="983">
        <f>+Q113</f>
        <v/>
      </c>
      <c r="R523" s="983">
        <f>+R113</f>
        <v/>
      </c>
      <c r="S523" s="983">
        <f>+S113</f>
        <v/>
      </c>
      <c r="T523" s="983">
        <f>+T113</f>
        <v/>
      </c>
      <c r="U523" s="1129">
        <f>+U113</f>
        <v/>
      </c>
      <c r="V523" s="983">
        <f>+V113</f>
        <v/>
      </c>
      <c r="W523" s="983">
        <f>+W113</f>
        <v/>
      </c>
      <c r="X523" s="983">
        <f>+X113</f>
        <v/>
      </c>
      <c r="Y523" s="983">
        <f>+Y113</f>
        <v/>
      </c>
      <c r="Z523" s="1129">
        <f>+Z113</f>
        <v/>
      </c>
      <c r="AA523" s="983">
        <f>+AA113</f>
        <v/>
      </c>
      <c r="AB523" s="983">
        <f>+AB113</f>
        <v/>
      </c>
      <c r="AC523" s="983">
        <f>+AC113</f>
        <v/>
      </c>
      <c r="AD523" s="983">
        <f>+AD113</f>
        <v/>
      </c>
      <c r="AE523" s="1129">
        <f>+AE113</f>
        <v/>
      </c>
      <c r="AF523" s="983">
        <f>+AF113</f>
        <v/>
      </c>
      <c r="AG523" s="983">
        <f>+AG113</f>
        <v/>
      </c>
      <c r="AH523" s="983">
        <f>+AH113</f>
        <v/>
      </c>
      <c r="AI523" s="983">
        <f>+AI113</f>
        <v/>
      </c>
      <c r="AJ523" s="1129">
        <f>+AJ113</f>
        <v/>
      </c>
      <c r="AK523" s="983">
        <f>+AK113</f>
        <v/>
      </c>
      <c r="AL523" s="983">
        <f>+AL113</f>
        <v/>
      </c>
      <c r="AM523" s="983">
        <f>+AM113</f>
        <v/>
      </c>
      <c r="AN523" s="983">
        <f>+AN113</f>
        <v/>
      </c>
      <c r="AO523" s="1129">
        <f>+AO113</f>
        <v/>
      </c>
      <c r="AP523" s="983">
        <f>+AP113</f>
        <v/>
      </c>
      <c r="AQ523" s="983">
        <f>+AQ113</f>
        <v/>
      </c>
      <c r="AR523" s="983">
        <f>+AR113</f>
        <v/>
      </c>
      <c r="AS523" s="983">
        <f>+AS113</f>
        <v/>
      </c>
      <c r="AT523" s="1129">
        <f>+AT113</f>
        <v/>
      </c>
      <c r="AU523" s="983">
        <f>+AU113</f>
        <v/>
      </c>
      <c r="AV523" s="983">
        <f>+AV113</f>
        <v/>
      </c>
      <c r="AW523" s="983">
        <f>+AW113</f>
        <v/>
      </c>
      <c r="AX523" s="983">
        <f>+AX113</f>
        <v/>
      </c>
      <c r="AY523" s="1129">
        <f>+AY113</f>
        <v/>
      </c>
      <c r="AZ523" s="983">
        <f>+AZ113</f>
        <v/>
      </c>
      <c r="BA523" s="983">
        <f>+BA113</f>
        <v/>
      </c>
      <c r="BB523" s="983">
        <f>+BB113</f>
        <v/>
      </c>
      <c r="BC523" s="983">
        <f>+BC113</f>
        <v/>
      </c>
      <c r="BD523" s="1129">
        <f>+BD113</f>
        <v/>
      </c>
      <c r="BE523" s="983">
        <f>+BE113</f>
        <v/>
      </c>
      <c r="BF523" s="983">
        <f>+BF113</f>
        <v/>
      </c>
      <c r="BG523" s="983">
        <f>+BG113</f>
        <v/>
      </c>
      <c r="BH523" s="983">
        <f>+BH113</f>
        <v/>
      </c>
      <c r="BI523" s="1129">
        <f>+BI113</f>
        <v/>
      </c>
      <c r="BJ523" s="983">
        <f>+BJ113</f>
        <v/>
      </c>
      <c r="BK523" s="983">
        <f>+BK113</f>
        <v/>
      </c>
      <c r="BL523" s="983">
        <f>+BL113</f>
        <v/>
      </c>
      <c r="BM523" s="983">
        <f>+BM113</f>
        <v/>
      </c>
      <c r="BN523" s="1129">
        <f>+BN113</f>
        <v/>
      </c>
      <c r="BO523" s="983">
        <f>+BO113</f>
        <v/>
      </c>
      <c r="BP523" s="983">
        <f>+BP113</f>
        <v/>
      </c>
      <c r="BQ523" s="983">
        <f>+BQ113</f>
        <v/>
      </c>
      <c r="BR523" s="983">
        <f>+BR113</f>
        <v/>
      </c>
      <c r="BS523" s="1129">
        <f>+BS113</f>
        <v/>
      </c>
      <c r="BT523" s="983">
        <f>+BT113</f>
        <v/>
      </c>
      <c r="BU523" s="983">
        <f>+BU113</f>
        <v/>
      </c>
      <c r="BV523" s="984">
        <f>+BV113</f>
        <v/>
      </c>
      <c r="BW523" s="983">
        <f>+BW113</f>
        <v/>
      </c>
      <c r="BX523" s="1129">
        <f>+BX113</f>
        <v/>
      </c>
      <c r="BY523" s="983">
        <f>+BY113</f>
        <v/>
      </c>
      <c r="BZ523" s="983">
        <f>+BZ113</f>
        <v/>
      </c>
      <c r="CA523" s="983">
        <f>+CA113</f>
        <v/>
      </c>
      <c r="CB523" s="983">
        <f>+CB113</f>
        <v/>
      </c>
      <c r="CC523" s="1129">
        <f>+CC113</f>
        <v/>
      </c>
      <c r="CD523" s="1129">
        <f>+CD113</f>
        <v/>
      </c>
      <c r="CE523" s="1129">
        <f>+CE113</f>
        <v/>
      </c>
      <c r="CF523" s="1129">
        <f>+CF113</f>
        <v/>
      </c>
      <c r="CG523" s="93" t="n"/>
    </row>
    <row r="524" hidden="1" outlineLevel="1" ht="15" customHeight="1">
      <c r="A524" s="813" t="inlineStr">
        <is>
          <t>Non-GAAP Operating Expenses beat/(miss) vs. most recent guidance - midpoint, mm</t>
        </is>
      </c>
      <c r="B524" s="396" t="n"/>
      <c r="C524" s="1190" t="n"/>
      <c r="D524" s="1190" t="n"/>
      <c r="E524" s="1190" t="n"/>
      <c r="F524" s="1190" t="n"/>
      <c r="G524" s="398" t="n"/>
      <c r="H524" s="398" t="n"/>
      <c r="I524" s="398" t="n"/>
      <c r="J524" s="398" t="n"/>
      <c r="K524" s="1190" t="n"/>
      <c r="L524" s="398" t="n"/>
      <c r="M524" s="398" t="n"/>
      <c r="N524" s="398" t="n"/>
      <c r="O524" s="398" t="n"/>
      <c r="P524" s="1190" t="n"/>
      <c r="Q524" s="398" t="n"/>
      <c r="R524" s="398" t="n"/>
      <c r="S524" s="398" t="n"/>
      <c r="T524" s="398" t="n"/>
      <c r="U524" s="1190" t="n"/>
      <c r="V524" s="398" t="n"/>
      <c r="W524" s="398" t="n"/>
      <c r="X524" s="398" t="n"/>
      <c r="Y524" s="398" t="n"/>
      <c r="Z524" s="1190" t="n"/>
      <c r="AA524" s="398" t="n"/>
      <c r="AB524" s="398" t="n"/>
      <c r="AC524" s="398" t="n"/>
      <c r="AD524" s="398" t="n"/>
      <c r="AE524" s="1190" t="n"/>
      <c r="AF524" s="398" t="n"/>
      <c r="AG524" s="398" t="n"/>
      <c r="AH524" s="398">
        <f>IFERROR(AH523-AH522,"")</f>
        <v/>
      </c>
      <c r="AI524" s="398">
        <f>IFERROR(AI523-AI522,"")</f>
        <v/>
      </c>
      <c r="AJ524" s="1190">
        <f>IFERROR(AJ523-AJ522,"")</f>
        <v/>
      </c>
      <c r="AK524" s="398">
        <f>IFERROR(AK523-AK522,"")</f>
        <v/>
      </c>
      <c r="AL524" s="398">
        <f>IFERROR(AL523-AL522,"")</f>
        <v/>
      </c>
      <c r="AM524" s="398">
        <f>IFERROR(AM523-AM522,"")</f>
        <v/>
      </c>
      <c r="AN524" s="398">
        <f>IFERROR(AN523-AN522,"")</f>
        <v/>
      </c>
      <c r="AO524" s="1190">
        <f>IFERROR(AO523-AO522,"")</f>
        <v/>
      </c>
      <c r="AP524" s="398">
        <f>IFERROR(AP523-AP522,"")</f>
        <v/>
      </c>
      <c r="AQ524" s="398">
        <f>IFERROR(AQ523-AQ522,"")</f>
        <v/>
      </c>
      <c r="AR524" s="398">
        <f>IFERROR(AR523-AR522,"")</f>
        <v/>
      </c>
      <c r="AS524" s="398">
        <f>IFERROR(AS523-AS522,"")</f>
        <v/>
      </c>
      <c r="AT524" s="1190">
        <f>IFERROR(AT523-AT522,"")</f>
        <v/>
      </c>
      <c r="AU524" s="398">
        <f>IFERROR(AU523-AU522,"")</f>
        <v/>
      </c>
      <c r="AV524" s="398">
        <f>IFERROR(AV523-AV522,"")</f>
        <v/>
      </c>
      <c r="AW524" s="398">
        <f>IFERROR(AW523-AW522,"")</f>
        <v/>
      </c>
      <c r="AX524" s="398">
        <f>IFERROR(AX523-AX522,"")</f>
        <v/>
      </c>
      <c r="AY524" s="1190">
        <f>IFERROR(AY523-AY522,"")</f>
        <v/>
      </c>
      <c r="AZ524" s="398">
        <f>IFERROR(AZ523-AZ522,"")</f>
        <v/>
      </c>
      <c r="BA524" s="398">
        <f>IFERROR(BA523-BA522,"")</f>
        <v/>
      </c>
      <c r="BB524" s="398">
        <f>IFERROR(BB523-BB522,"")</f>
        <v/>
      </c>
      <c r="BC524" s="398">
        <f>IFERROR(BC523-BC522,"")</f>
        <v/>
      </c>
      <c r="BD524" s="1190">
        <f>IFERROR(BD523-BD522,"")</f>
        <v/>
      </c>
      <c r="BE524" s="398">
        <f>IFERROR(BE523-BE522,"")</f>
        <v/>
      </c>
      <c r="BF524" s="398">
        <f>IFERROR(BF523-BF522,"")</f>
        <v/>
      </c>
      <c r="BG524" s="398">
        <f>IFERROR(BG523-BG522,"")</f>
        <v/>
      </c>
      <c r="BH524" s="398">
        <f>IFERROR(BH523-BH522,"")</f>
        <v/>
      </c>
      <c r="BI524" s="1190">
        <f>IFERROR(BI523-BI522,"")</f>
        <v/>
      </c>
      <c r="BJ524" s="398">
        <f>IFERROR(BJ523-BJ522,"")</f>
        <v/>
      </c>
      <c r="BK524" s="398">
        <f>IFERROR(BK523-BK522,"")</f>
        <v/>
      </c>
      <c r="BL524" s="398">
        <f>IFERROR(BL523-BL522,"")</f>
        <v/>
      </c>
      <c r="BM524" s="398">
        <f>IFERROR(BM523-BM522,"")</f>
        <v/>
      </c>
      <c r="BN524" s="1190">
        <f>IFERROR(BN523-BN522,"")</f>
        <v/>
      </c>
      <c r="BO524" s="398">
        <f>IFERROR(BO523-BO522,"")</f>
        <v/>
      </c>
      <c r="BP524" s="398">
        <f>IFERROR(BP523-BP522,"")</f>
        <v/>
      </c>
      <c r="BQ524" s="398">
        <f>IFERROR(BQ523-BQ522,"")</f>
        <v/>
      </c>
      <c r="BR524" s="398">
        <f>IFERROR(BR523-BR522,"")</f>
        <v/>
      </c>
      <c r="BS524" s="1190">
        <f>IFERROR(BS523-BS522,"")</f>
        <v/>
      </c>
      <c r="BT524" s="398">
        <f>IFERROR(BT523-BT522,"")</f>
        <v/>
      </c>
      <c r="BU524" s="398">
        <f>IFERROR(BU523-BU522,"")</f>
        <v/>
      </c>
      <c r="BV524" s="1038">
        <f>IFERROR(BV523-BV522,"")</f>
        <v/>
      </c>
      <c r="BW524" s="398">
        <f>IFERROR(BW523-BW522,"")</f>
        <v/>
      </c>
      <c r="BX524" s="1190">
        <f>IFERROR(BX523-BX522,"")</f>
        <v/>
      </c>
      <c r="BY524" s="398">
        <f>IFERROR(BY523-BY522,"")</f>
        <v/>
      </c>
      <c r="BZ524" s="398">
        <f>IFERROR(BZ523-BZ522,"")</f>
        <v/>
      </c>
      <c r="CA524" s="398">
        <f>IFERROR(CA523-CA522,"")</f>
        <v/>
      </c>
      <c r="CB524" s="398">
        <f>IFERROR(CB523-CB522,"")</f>
        <v/>
      </c>
      <c r="CC524" s="1190">
        <f>IFERROR(CC523-CC522,"")</f>
        <v/>
      </c>
      <c r="CD524" s="1190" t="n"/>
      <c r="CE524" s="1190" t="n"/>
      <c r="CF524" s="1190" t="n"/>
      <c r="CG524" s="93" t="n"/>
    </row>
    <row r="525" hidden="1" outlineLevel="1" ht="15" customHeight="1">
      <c r="A525" s="798" t="inlineStr">
        <is>
          <t>Relative Non-GAAP Operating Expenses beat/(miss) vs. most recent guidance - midpoint, %</t>
        </is>
      </c>
      <c r="B525" s="797" t="n"/>
      <c r="C525" s="1191" t="n"/>
      <c r="D525" s="1191" t="n"/>
      <c r="E525" s="1191" t="n"/>
      <c r="F525" s="1191" t="n"/>
      <c r="G525" s="792" t="n"/>
      <c r="H525" s="792" t="n"/>
      <c r="I525" s="792" t="n"/>
      <c r="J525" s="792" t="n"/>
      <c r="K525" s="1191" t="n"/>
      <c r="L525" s="792" t="n"/>
      <c r="M525" s="792" t="n"/>
      <c r="N525" s="792" t="n"/>
      <c r="O525" s="792" t="n"/>
      <c r="P525" s="1191" t="n"/>
      <c r="Q525" s="792" t="n"/>
      <c r="R525" s="792" t="n"/>
      <c r="S525" s="792" t="n"/>
      <c r="T525" s="792" t="n"/>
      <c r="U525" s="1191" t="n"/>
      <c r="V525" s="792" t="n"/>
      <c r="W525" s="792" t="n"/>
      <c r="X525" s="792" t="n"/>
      <c r="Y525" s="792" t="n"/>
      <c r="Z525" s="1191" t="n"/>
      <c r="AA525" s="792" t="n"/>
      <c r="AB525" s="792" t="n"/>
      <c r="AC525" s="792" t="n"/>
      <c r="AD525" s="792" t="n"/>
      <c r="AE525" s="1191" t="n"/>
      <c r="AF525" s="792" t="n"/>
      <c r="AG525" s="792" t="n"/>
      <c r="AH525" s="792">
        <f>IFERROR(AH524/ABS(AH522),"")</f>
        <v/>
      </c>
      <c r="AI525" s="792">
        <f>IFERROR(AI524/ABS(AI522),"")</f>
        <v/>
      </c>
      <c r="AJ525" s="1191">
        <f>IFERROR(AJ524/ABS(AJ522),"")</f>
        <v/>
      </c>
      <c r="AK525" s="792">
        <f>IFERROR(AK524/ABS(AK522),"")</f>
        <v/>
      </c>
      <c r="AL525" s="792">
        <f>IFERROR(AL524/ABS(AL522),"")</f>
        <v/>
      </c>
      <c r="AM525" s="792">
        <f>IFERROR(AM524/ABS(AM522),"")</f>
        <v/>
      </c>
      <c r="AN525" s="792">
        <f>IFERROR(AN524/ABS(AN522),"")</f>
        <v/>
      </c>
      <c r="AO525" s="1191">
        <f>IFERROR(AO524/ABS(AO522),"")</f>
        <v/>
      </c>
      <c r="AP525" s="792">
        <f>IFERROR(AP524/ABS(AP522),"")</f>
        <v/>
      </c>
      <c r="AQ525" s="792">
        <f>IFERROR(AQ524/ABS(AQ522),"")</f>
        <v/>
      </c>
      <c r="AR525" s="792">
        <f>IFERROR(AR524/ABS(AR522),"")</f>
        <v/>
      </c>
      <c r="AS525" s="792">
        <f>IFERROR(AS524/ABS(AS522),"")</f>
        <v/>
      </c>
      <c r="AT525" s="1191">
        <f>IFERROR(AT524/ABS(AT522),"")</f>
        <v/>
      </c>
      <c r="AU525" s="792">
        <f>IFERROR(AU524/ABS(AU522),"")</f>
        <v/>
      </c>
      <c r="AV525" s="792">
        <f>IFERROR(AV524/ABS(AV522),"")</f>
        <v/>
      </c>
      <c r="AW525" s="792">
        <f>IFERROR(AW524/ABS(AW522),"")</f>
        <v/>
      </c>
      <c r="AX525" s="792">
        <f>IFERROR(AX524/ABS(AX522),"")</f>
        <v/>
      </c>
      <c r="AY525" s="1191">
        <f>IFERROR(AY524/ABS(AY522),"")</f>
        <v/>
      </c>
      <c r="AZ525" s="792">
        <f>IFERROR(AZ524/ABS(AZ522),"")</f>
        <v/>
      </c>
      <c r="BA525" s="792">
        <f>IFERROR(BA524/ABS(BA522),"")</f>
        <v/>
      </c>
      <c r="BB525" s="792">
        <f>IFERROR(BB524/ABS(BB522),"")</f>
        <v/>
      </c>
      <c r="BC525" s="792">
        <f>IFERROR(BC524/ABS(BC522),"")</f>
        <v/>
      </c>
      <c r="BD525" s="1191">
        <f>IFERROR(BD524/ABS(BD522),"")</f>
        <v/>
      </c>
      <c r="BE525" s="792">
        <f>IFERROR(BE524/ABS(BE522),"")</f>
        <v/>
      </c>
      <c r="BF525" s="792">
        <f>IFERROR(BF524/ABS(BF522),"")</f>
        <v/>
      </c>
      <c r="BG525" s="792">
        <f>IFERROR(BG524/ABS(BG522),"")</f>
        <v/>
      </c>
      <c r="BH525" s="792">
        <f>IFERROR(BH524/ABS(BH522),"")</f>
        <v/>
      </c>
      <c r="BI525" s="1191">
        <f>IFERROR(BI524/ABS(BI522),"")</f>
        <v/>
      </c>
      <c r="BJ525" s="792">
        <f>IFERROR(BJ524/ABS(BJ522),"")</f>
        <v/>
      </c>
      <c r="BK525" s="792">
        <f>IFERROR(BK524/ABS(BK522),"")</f>
        <v/>
      </c>
      <c r="BL525" s="792">
        <f>IFERROR(BL524/ABS(BL522),"")</f>
        <v/>
      </c>
      <c r="BM525" s="792">
        <f>IFERROR(BM524/ABS(BM522),"")</f>
        <v/>
      </c>
      <c r="BN525" s="1191">
        <f>IFERROR(BN524/ABS(BN522),"")</f>
        <v/>
      </c>
      <c r="BO525" s="792">
        <f>IFERROR(BO524/ABS(BO522),"")</f>
        <v/>
      </c>
      <c r="BP525" s="792">
        <f>IFERROR(BP524/ABS(BP522),"")</f>
        <v/>
      </c>
      <c r="BQ525" s="792">
        <f>IFERROR(BQ524/ABS(BQ522),"")</f>
        <v/>
      </c>
      <c r="BR525" s="792">
        <f>IFERROR(BR524/ABS(BR522),"")</f>
        <v/>
      </c>
      <c r="BS525" s="1191">
        <f>IFERROR(BS524/ABS(BS522),"")</f>
        <v/>
      </c>
      <c r="BT525" s="792">
        <f>IFERROR(BT524/ABS(BT522),"")</f>
        <v/>
      </c>
      <c r="BU525" s="792">
        <f>IFERROR(BU524/ABS(BU522),"")</f>
        <v/>
      </c>
      <c r="BV525" s="907">
        <f>IFERROR(BV524/ABS(BV522),"")</f>
        <v/>
      </c>
      <c r="BW525" s="792">
        <f>IFERROR(BW524/ABS(BW522),"")</f>
        <v/>
      </c>
      <c r="BX525" s="1191">
        <f>IFERROR(BX524/ABS(BX522),"")</f>
        <v/>
      </c>
      <c r="BY525" s="792">
        <f>IFERROR(BY524/ABS(BY522),"")</f>
        <v/>
      </c>
      <c r="BZ525" s="792">
        <f>IFERROR(BZ524/ABS(BZ522),"")</f>
        <v/>
      </c>
      <c r="CA525" s="792">
        <f>IFERROR(CA524/ABS(CA522),"")</f>
        <v/>
      </c>
      <c r="CB525" s="792">
        <f>IFERROR(CB524/ABS(CB522),"")</f>
        <v/>
      </c>
      <c r="CC525" s="1191">
        <f>IFERROR(CC524/ABS(CC522),"")</f>
        <v/>
      </c>
      <c r="CD525" s="1191" t="n"/>
      <c r="CE525" s="1191" t="n"/>
      <c r="CF525" s="1191" t="n"/>
      <c r="CG525" s="93" t="n"/>
    </row>
    <row r="526" hidden="1" outlineLevel="2" ht="15" customHeight="1">
      <c r="A526" s="799" t="n"/>
      <c r="B526" s="428" t="n"/>
      <c r="C526" s="1134" t="n"/>
      <c r="D526" s="1134" t="n"/>
      <c r="E526" s="1134" t="n"/>
      <c r="F526" s="1134" t="n"/>
      <c r="G526" s="93" t="n"/>
      <c r="H526" s="93" t="n"/>
      <c r="I526" s="93" t="n"/>
      <c r="J526" s="93" t="n"/>
      <c r="K526" s="1134" t="n"/>
      <c r="L526" s="93" t="n"/>
      <c r="M526" s="93" t="n"/>
      <c r="N526" s="93" t="n"/>
      <c r="O526" s="93" t="n"/>
      <c r="P526" s="1134" t="n"/>
      <c r="Q526" s="93" t="n"/>
      <c r="R526" s="93" t="n"/>
      <c r="S526" s="93" t="n"/>
      <c r="T526" s="93" t="n"/>
      <c r="U526" s="1134" t="n"/>
      <c r="V526" s="93" t="n"/>
      <c r="W526" s="93" t="n"/>
      <c r="X526" s="93" t="n"/>
      <c r="Y526" s="93" t="n"/>
      <c r="Z526" s="1134" t="n"/>
      <c r="AA526" s="93" t="n"/>
      <c r="AB526" s="93" t="n"/>
      <c r="AC526" s="93" t="n"/>
      <c r="AD526" s="93" t="n"/>
      <c r="AE526" s="1134" t="n"/>
      <c r="AF526" s="93" t="n"/>
      <c r="AG526" s="93" t="n"/>
      <c r="AH526" s="93" t="n"/>
      <c r="AI526" s="93" t="n"/>
      <c r="AJ526" s="1134" t="n"/>
      <c r="AK526" s="93" t="n"/>
      <c r="AL526" s="93" t="n"/>
      <c r="AM526" s="93" t="n"/>
      <c r="AN526" s="93" t="n"/>
      <c r="AO526" s="1134" t="n"/>
      <c r="AP526" s="93" t="n"/>
      <c r="AQ526" s="93" t="n"/>
      <c r="AR526" s="93" t="n"/>
      <c r="AS526" s="93" t="n"/>
      <c r="AT526" s="1134" t="n"/>
      <c r="AU526" s="93" t="n"/>
      <c r="AV526" s="93" t="n"/>
      <c r="AW526" s="93" t="n"/>
      <c r="AX526" s="93" t="n"/>
      <c r="AY526" s="1134" t="n"/>
      <c r="AZ526" s="93" t="n"/>
      <c r="BA526" s="93" t="n"/>
      <c r="BB526" s="93" t="n"/>
      <c r="BC526" s="93" t="n"/>
      <c r="BD526" s="1134" t="n"/>
      <c r="BE526" s="93" t="n"/>
      <c r="BF526" s="93" t="n"/>
      <c r="BG526" s="93" t="n"/>
      <c r="BH526" s="93" t="n"/>
      <c r="BI526" s="1134" t="n"/>
      <c r="BJ526" s="93" t="n"/>
      <c r="BK526" s="93" t="n"/>
      <c r="BL526" s="93" t="n"/>
      <c r="BM526" s="93" t="n"/>
      <c r="BN526" s="1134" t="n"/>
      <c r="BO526" s="93" t="n"/>
      <c r="BP526" s="93" t="n"/>
      <c r="BQ526" s="93" t="n"/>
      <c r="BR526" s="93" t="n"/>
      <c r="BS526" s="1134" t="n"/>
      <c r="BT526" s="93" t="n"/>
      <c r="BU526" s="93" t="n"/>
      <c r="BV526" s="522" t="n"/>
      <c r="BW526" s="93" t="n"/>
      <c r="BX526" s="1134" t="n"/>
      <c r="BY526" s="93" t="n"/>
      <c r="BZ526" s="93" t="n"/>
      <c r="CA526" s="93" t="n"/>
      <c r="CB526" s="93" t="n"/>
      <c r="CC526" s="1134" t="n"/>
      <c r="CD526" s="1134" t="n"/>
      <c r="CE526" s="1134" t="n"/>
      <c r="CF526" s="1134" t="n"/>
      <c r="CG526" s="93" t="n"/>
    </row>
    <row r="527" hidden="1" outlineLevel="2" ht="15" customHeight="1">
      <c r="A527" s="605" t="inlineStr">
        <is>
          <t>Forward guidance - report date, date</t>
        </is>
      </c>
      <c r="B527" s="428" t="n"/>
      <c r="C527" s="1425" t="n"/>
      <c r="D527" s="1425" t="n"/>
      <c r="E527" s="1425" t="n"/>
      <c r="F527" s="1425" t="n"/>
      <c r="G527" s="1426" t="n"/>
      <c r="H527" s="1426" t="n"/>
      <c r="I527" s="1426" t="n"/>
      <c r="J527" s="1426" t="n"/>
      <c r="K527" s="1425" t="n"/>
      <c r="L527" s="1426" t="n"/>
      <c r="M527" s="1426" t="n"/>
      <c r="N527" s="1426" t="n"/>
      <c r="O527" s="1426" t="n"/>
      <c r="P527" s="1425" t="n"/>
      <c r="Q527" s="1426" t="n"/>
      <c r="R527" s="1426" t="n"/>
      <c r="S527" s="1426" t="n"/>
      <c r="T527" s="1426" t="n"/>
      <c r="U527" s="1425" t="n"/>
      <c r="V527" s="1426" t="n"/>
      <c r="W527" s="1426" t="n"/>
      <c r="X527" s="1426" t="n"/>
      <c r="Y527" s="1426" t="n"/>
      <c r="Z527" s="1425" t="n"/>
      <c r="AA527" s="1426" t="n"/>
      <c r="AB527" s="1426" t="n"/>
      <c r="AC527" s="1426" t="n"/>
      <c r="AD527" s="1426" t="n"/>
      <c r="AE527" s="1425" t="n"/>
      <c r="AF527" s="1426" t="n"/>
      <c r="AG527" s="1426" t="n"/>
      <c r="AH527" s="1426">
        <f>AH1082</f>
        <v/>
      </c>
      <c r="AI527" s="1426">
        <f>AI1082</f>
        <v/>
      </c>
      <c r="AJ527" s="1425">
        <f>AJ1082</f>
        <v/>
      </c>
      <c r="AK527" s="1426">
        <f>AK1082</f>
        <v/>
      </c>
      <c r="AL527" s="1426">
        <f>AL1082</f>
        <v/>
      </c>
      <c r="AM527" s="1426">
        <f>AM1082</f>
        <v/>
      </c>
      <c r="AN527" s="1426">
        <f>AN1082</f>
        <v/>
      </c>
      <c r="AO527" s="1425">
        <f>AO1082</f>
        <v/>
      </c>
      <c r="AP527" s="1426">
        <f>AP1082</f>
        <v/>
      </c>
      <c r="AQ527" s="1426">
        <f>AQ1082</f>
        <v/>
      </c>
      <c r="AR527" s="1426">
        <f>AR1082</f>
        <v/>
      </c>
      <c r="AS527" s="1426">
        <f>AS1082</f>
        <v/>
      </c>
      <c r="AT527" s="1425">
        <f>AT1082</f>
        <v/>
      </c>
      <c r="AU527" s="1426">
        <f>AU1082</f>
        <v/>
      </c>
      <c r="AV527" s="1426">
        <f>AV1082</f>
        <v/>
      </c>
      <c r="AW527" s="1426">
        <f>AW1082</f>
        <v/>
      </c>
      <c r="AX527" s="1426">
        <f>AX1082</f>
        <v/>
      </c>
      <c r="AY527" s="1425">
        <f>AY1082</f>
        <v/>
      </c>
      <c r="AZ527" s="1426">
        <f>AZ1082</f>
        <v/>
      </c>
      <c r="BA527" s="1426">
        <f>BA1082</f>
        <v/>
      </c>
      <c r="BB527" s="1426">
        <f>BB1082</f>
        <v/>
      </c>
      <c r="BC527" s="1426">
        <f>BC1082</f>
        <v/>
      </c>
      <c r="BD527" s="1425">
        <f>BD1082</f>
        <v/>
      </c>
      <c r="BE527" s="1426">
        <f>BE1082</f>
        <v/>
      </c>
      <c r="BF527" s="1426">
        <f>BF1082</f>
        <v/>
      </c>
      <c r="BG527" s="1426">
        <f>BG1082</f>
        <v/>
      </c>
      <c r="BH527" s="1426">
        <f>BH1082</f>
        <v/>
      </c>
      <c r="BI527" s="1425">
        <f>BI1082</f>
        <v/>
      </c>
      <c r="BJ527" s="1426">
        <f>BJ1082</f>
        <v/>
      </c>
      <c r="BK527" s="1426">
        <f>BK1082</f>
        <v/>
      </c>
      <c r="BL527" s="1426">
        <f>BL1082</f>
        <v/>
      </c>
      <c r="BM527" s="1426">
        <f>BM1082</f>
        <v/>
      </c>
      <c r="BN527" s="1425">
        <f>BN1082</f>
        <v/>
      </c>
      <c r="BO527" s="1426">
        <f>BO1082</f>
        <v/>
      </c>
      <c r="BP527" s="1426">
        <f>BP1082</f>
        <v/>
      </c>
      <c r="BQ527" s="1426">
        <f>BQ1082</f>
        <v/>
      </c>
      <c r="BR527" s="1426">
        <f>BR1082</f>
        <v/>
      </c>
      <c r="BS527" s="1425">
        <f>BS1082</f>
        <v/>
      </c>
      <c r="BT527" s="1426">
        <f>BT1082</f>
        <v/>
      </c>
      <c r="BU527" s="1426">
        <f>BU1082</f>
        <v/>
      </c>
      <c r="BV527" s="1427">
        <f>BV1082</f>
        <v/>
      </c>
      <c r="BW527" s="1426" t="n"/>
      <c r="BX527" s="1425" t="n"/>
      <c r="BY527" s="1426" t="n"/>
      <c r="BZ527" s="1426" t="n"/>
      <c r="CA527" s="1426" t="n"/>
      <c r="CB527" s="1426" t="n"/>
      <c r="CC527" s="1425" t="n"/>
      <c r="CD527" s="1425" t="n"/>
      <c r="CE527" s="1425" t="n"/>
      <c r="CF527" s="1425" t="n"/>
      <c r="CG527" s="93" t="n"/>
    </row>
    <row r="528" hidden="1" outlineLevel="2" ht="15" customHeight="1">
      <c r="A528" s="803" t="inlineStr">
        <is>
          <t>Forward quarterly guidance - applicable period, period</t>
        </is>
      </c>
      <c r="B528" s="801" t="n"/>
      <c r="C528" s="1193" t="n"/>
      <c r="D528" s="1193" t="n"/>
      <c r="E528" s="1193" t="n"/>
      <c r="F528" s="1193" t="n"/>
      <c r="G528" s="802" t="n"/>
      <c r="H528" s="802" t="n"/>
      <c r="I528" s="802" t="n"/>
      <c r="J528" s="802" t="n"/>
      <c r="K528" s="1193" t="n"/>
      <c r="L528" s="802" t="n"/>
      <c r="M528" s="802" t="n"/>
      <c r="N528" s="802" t="n"/>
      <c r="O528" s="802" t="n"/>
      <c r="P528" s="1193" t="n"/>
      <c r="Q528" s="802" t="n"/>
      <c r="R528" s="802" t="n"/>
      <c r="S528" s="802" t="n"/>
      <c r="T528" s="802" t="n"/>
      <c r="U528" s="1193" t="n"/>
      <c r="V528" s="802" t="n"/>
      <c r="W528" s="802" t="n"/>
      <c r="X528" s="802" t="n"/>
      <c r="Y528" s="802" t="n"/>
      <c r="Z528" s="1193" t="n"/>
      <c r="AA528" s="802" t="n"/>
      <c r="AB528" s="802" t="n"/>
      <c r="AC528" s="802" t="n"/>
      <c r="AD528" s="802" t="n"/>
      <c r="AE528" s="1193" t="n"/>
      <c r="AF528" s="802" t="n"/>
      <c r="AG528" s="802" t="n"/>
      <c r="AH528" s="802">
        <f>AI5</f>
        <v/>
      </c>
      <c r="AI528" s="802">
        <f>AK5</f>
        <v/>
      </c>
      <c r="AJ528" s="1193">
        <f>AK5</f>
        <v/>
      </c>
      <c r="AK528" s="802">
        <f>AL5</f>
        <v/>
      </c>
      <c r="AL528" s="802">
        <f>AM5</f>
        <v/>
      </c>
      <c r="AM528" s="802">
        <f>AN5</f>
        <v/>
      </c>
      <c r="AN528" s="802">
        <f>AP5</f>
        <v/>
      </c>
      <c r="AO528" s="1193">
        <f>AP5</f>
        <v/>
      </c>
      <c r="AP528" s="802">
        <f>AQ5</f>
        <v/>
      </c>
      <c r="AQ528" s="802">
        <f>AR5</f>
        <v/>
      </c>
      <c r="AR528" s="802">
        <f>AS5</f>
        <v/>
      </c>
      <c r="AS528" s="802">
        <f>AU5</f>
        <v/>
      </c>
      <c r="AT528" s="1193">
        <f>AU5</f>
        <v/>
      </c>
      <c r="AU528" s="802">
        <f>AV5</f>
        <v/>
      </c>
      <c r="AV528" s="802">
        <f>AW5</f>
        <v/>
      </c>
      <c r="AW528" s="802">
        <f>AX5</f>
        <v/>
      </c>
      <c r="AX528" s="802">
        <f>AZ5</f>
        <v/>
      </c>
      <c r="AY528" s="1193">
        <f>AZ5</f>
        <v/>
      </c>
      <c r="AZ528" s="802">
        <f>BA5</f>
        <v/>
      </c>
      <c r="BA528" s="802">
        <f>BB5</f>
        <v/>
      </c>
      <c r="BB528" s="802">
        <f>BC5</f>
        <v/>
      </c>
      <c r="BC528" s="802">
        <f>BE5</f>
        <v/>
      </c>
      <c r="BD528" s="1193">
        <f>BE5</f>
        <v/>
      </c>
      <c r="BE528" s="802">
        <f>BF5</f>
        <v/>
      </c>
      <c r="BF528" s="802">
        <f>BG5</f>
        <v/>
      </c>
      <c r="BG528" s="802">
        <f>BH5</f>
        <v/>
      </c>
      <c r="BH528" s="802">
        <f>BJ5</f>
        <v/>
      </c>
      <c r="BI528" s="1193">
        <f>BJ5</f>
        <v/>
      </c>
      <c r="BJ528" s="802">
        <f>BK5</f>
        <v/>
      </c>
      <c r="BK528" s="802">
        <f>BL5</f>
        <v/>
      </c>
      <c r="BL528" s="802">
        <f>BM5</f>
        <v/>
      </c>
      <c r="BM528" s="802">
        <f>BO5</f>
        <v/>
      </c>
      <c r="BN528" s="1193">
        <f>BO5</f>
        <v/>
      </c>
      <c r="BO528" s="802">
        <f>BP5</f>
        <v/>
      </c>
      <c r="BP528" s="802">
        <f>BQ5</f>
        <v/>
      </c>
      <c r="BQ528" s="802">
        <f>BR5</f>
        <v/>
      </c>
      <c r="BR528" s="802">
        <f>BT5</f>
        <v/>
      </c>
      <c r="BS528" s="1193">
        <f>BT5</f>
        <v/>
      </c>
      <c r="BT528" s="802">
        <f>BU5</f>
        <v/>
      </c>
      <c r="BU528" s="802">
        <f>BV5</f>
        <v/>
      </c>
      <c r="BV528" s="909">
        <f>BW5</f>
        <v/>
      </c>
      <c r="BW528" s="802" t="n"/>
      <c r="BX528" s="1193" t="n"/>
      <c r="BY528" s="802" t="n"/>
      <c r="BZ528" s="802" t="n"/>
      <c r="CA528" s="802" t="n"/>
      <c r="CB528" s="802" t="n"/>
      <c r="CC528" s="1193" t="n"/>
      <c r="CD528" s="1193" t="n"/>
      <c r="CE528" s="1193" t="n"/>
      <c r="CF528" s="1193" t="n"/>
      <c r="CG528" s="93" t="n"/>
    </row>
    <row r="529" hidden="1" outlineLevel="3" ht="15" customHeight="1">
      <c r="A529" s="492" t="inlineStr">
        <is>
          <t>Forward quarterly Non-GAAP Operating Expenses guidance - low, mm</t>
        </is>
      </c>
      <c r="B529" s="428" t="n"/>
      <c r="C529" s="1134" t="n"/>
      <c r="D529" s="1134" t="n"/>
      <c r="E529" s="1134" t="n"/>
      <c r="F529" s="1134" t="n"/>
      <c r="G529" s="93" t="n"/>
      <c r="H529" s="93" t="n"/>
      <c r="I529" s="93" t="n"/>
      <c r="J529" s="93" t="n"/>
      <c r="K529" s="1134" t="n"/>
      <c r="L529" s="93" t="n"/>
      <c r="M529" s="93" t="n"/>
      <c r="N529" s="93" t="n"/>
      <c r="O529" s="93" t="n"/>
      <c r="P529" s="1134" t="n"/>
      <c r="Q529" s="93" t="n"/>
      <c r="R529" s="93" t="n"/>
      <c r="S529" s="93" t="n"/>
      <c r="T529" s="93" t="n"/>
      <c r="U529" s="1134" t="n"/>
      <c r="V529" s="93" t="n"/>
      <c r="W529" s="93" t="n"/>
      <c r="X529" s="93" t="n"/>
      <c r="Y529" s="93" t="n"/>
      <c r="Z529" s="1134" t="n"/>
      <c r="AA529" s="93" t="n"/>
      <c r="AB529" s="93" t="n"/>
      <c r="AC529" s="93" t="n"/>
      <c r="AD529" s="93" t="n"/>
      <c r="AE529" s="1134" t="n"/>
      <c r="AF529" s="93" t="n"/>
      <c r="AG529" s="93" t="n"/>
      <c r="AH529" s="93">
        <f>+AH1090</f>
        <v/>
      </c>
      <c r="AI529" s="93">
        <f>+AI1090</f>
        <v/>
      </c>
      <c r="AJ529" s="1134">
        <f>+AJ1090</f>
        <v/>
      </c>
      <c r="AK529" s="93">
        <f>+AK1090</f>
        <v/>
      </c>
      <c r="AL529" s="93">
        <f>+AL1090</f>
        <v/>
      </c>
      <c r="AM529" s="93">
        <f>+AM1090</f>
        <v/>
      </c>
      <c r="AN529" s="93">
        <f>+AN1090</f>
        <v/>
      </c>
      <c r="AO529" s="1134">
        <f>+AO1090</f>
        <v/>
      </c>
      <c r="AP529" s="93">
        <f>+AP1090</f>
        <v/>
      </c>
      <c r="AQ529" s="93">
        <f>+AQ1090</f>
        <v/>
      </c>
      <c r="AR529" s="93">
        <f>+AR1090</f>
        <v/>
      </c>
      <c r="AS529" s="93">
        <f>+AS1090</f>
        <v/>
      </c>
      <c r="AT529" s="1134">
        <f>+AT1090</f>
        <v/>
      </c>
      <c r="AU529" s="93">
        <f>+AU1090</f>
        <v/>
      </c>
      <c r="AV529" s="93">
        <f>+AV1090</f>
        <v/>
      </c>
      <c r="AW529" s="93">
        <f>+AW1090</f>
        <v/>
      </c>
      <c r="AX529" s="93">
        <f>+AX1090</f>
        <v/>
      </c>
      <c r="AY529" s="1134">
        <f>+AY1090</f>
        <v/>
      </c>
      <c r="AZ529" s="93">
        <f>+AZ1090</f>
        <v/>
      </c>
      <c r="BA529" s="93">
        <f>+BA1090</f>
        <v/>
      </c>
      <c r="BB529" s="93">
        <f>+BB1090</f>
        <v/>
      </c>
      <c r="BC529" s="93">
        <f>+BC1090</f>
        <v/>
      </c>
      <c r="BD529" s="1134">
        <f>+BD1090</f>
        <v/>
      </c>
      <c r="BE529" s="93">
        <f>+BE1090</f>
        <v/>
      </c>
      <c r="BF529" s="93">
        <f>+BF1090</f>
        <v/>
      </c>
      <c r="BG529" s="93">
        <f>+BG1090</f>
        <v/>
      </c>
      <c r="BH529" s="93">
        <f>+BH1090</f>
        <v/>
      </c>
      <c r="BI529" s="1134">
        <f>+BI1090</f>
        <v/>
      </c>
      <c r="BJ529" s="93">
        <f>+BJ1090</f>
        <v/>
      </c>
      <c r="BK529" s="93">
        <f>+BK1090</f>
        <v/>
      </c>
      <c r="BL529" s="93">
        <f>+BL1090</f>
        <v/>
      </c>
      <c r="BM529" s="93">
        <f>+BM1090</f>
        <v/>
      </c>
      <c r="BN529" s="1134">
        <f>+BN1090</f>
        <v/>
      </c>
      <c r="BO529" s="93">
        <f>+BO1090</f>
        <v/>
      </c>
      <c r="BP529" s="93">
        <f>+BP1090</f>
        <v/>
      </c>
      <c r="BQ529" s="93">
        <f>+BQ1090</f>
        <v/>
      </c>
      <c r="BR529" s="93">
        <f>+BR1090</f>
        <v/>
      </c>
      <c r="BS529" s="1134">
        <f>+BS1090</f>
        <v/>
      </c>
      <c r="BT529" s="93">
        <f>+BT1090</f>
        <v/>
      </c>
      <c r="BU529" s="93">
        <f>+BU1090</f>
        <v/>
      </c>
      <c r="BV529" s="522">
        <f>+BV1090</f>
        <v/>
      </c>
      <c r="BW529" s="93" t="n"/>
      <c r="BX529" s="1134" t="n"/>
      <c r="BY529" s="93" t="n"/>
      <c r="BZ529" s="93" t="n"/>
      <c r="CA529" s="93" t="n"/>
      <c r="CB529" s="93" t="n"/>
      <c r="CC529" s="1134" t="n"/>
      <c r="CD529" s="1134" t="n"/>
      <c r="CE529" s="1134" t="n"/>
      <c r="CF529" s="1134" t="n"/>
      <c r="CG529" s="93" t="n"/>
    </row>
    <row r="530" hidden="1" outlineLevel="3" ht="15" customHeight="1">
      <c r="A530" s="812" t="inlineStr">
        <is>
          <t>Forward quarterly Non-GAAP Operating Expenses guidance - high, mm</t>
        </is>
      </c>
      <c r="B530" s="718" t="n"/>
      <c r="C530" s="1129" t="n"/>
      <c r="D530" s="1129" t="n"/>
      <c r="E530" s="1129" t="n"/>
      <c r="F530" s="1129" t="n"/>
      <c r="G530" s="983" t="n"/>
      <c r="H530" s="983" t="n"/>
      <c r="I530" s="983" t="n"/>
      <c r="J530" s="983" t="n"/>
      <c r="K530" s="1129" t="n"/>
      <c r="L530" s="983" t="n"/>
      <c r="M530" s="983" t="n"/>
      <c r="N530" s="983" t="n"/>
      <c r="O530" s="983" t="n"/>
      <c r="P530" s="1129" t="n"/>
      <c r="Q530" s="983" t="n"/>
      <c r="R530" s="983" t="n"/>
      <c r="S530" s="983" t="n"/>
      <c r="T530" s="983" t="n"/>
      <c r="U530" s="1129" t="n"/>
      <c r="V530" s="983" t="n"/>
      <c r="W530" s="983" t="n"/>
      <c r="X530" s="983" t="n"/>
      <c r="Y530" s="983" t="n"/>
      <c r="Z530" s="1129" t="n"/>
      <c r="AA530" s="983" t="n"/>
      <c r="AB530" s="983" t="n"/>
      <c r="AC530" s="983" t="n"/>
      <c r="AD530" s="983" t="n"/>
      <c r="AE530" s="1129" t="n"/>
      <c r="AF530" s="983" t="n"/>
      <c r="AG530" s="983" t="n"/>
      <c r="AH530" s="983">
        <f>+AH1091</f>
        <v/>
      </c>
      <c r="AI530" s="983">
        <f>+AI1091</f>
        <v/>
      </c>
      <c r="AJ530" s="1129">
        <f>+AJ1091</f>
        <v/>
      </c>
      <c r="AK530" s="983">
        <f>+AK1091</f>
        <v/>
      </c>
      <c r="AL530" s="983">
        <f>+AL1091</f>
        <v/>
      </c>
      <c r="AM530" s="983">
        <f>+AM1091</f>
        <v/>
      </c>
      <c r="AN530" s="983">
        <f>+AN1091</f>
        <v/>
      </c>
      <c r="AO530" s="1129">
        <f>+AO1091</f>
        <v/>
      </c>
      <c r="AP530" s="983">
        <f>+AP1091</f>
        <v/>
      </c>
      <c r="AQ530" s="983">
        <f>+AQ1091</f>
        <v/>
      </c>
      <c r="AR530" s="983">
        <f>+AR1091</f>
        <v/>
      </c>
      <c r="AS530" s="983">
        <f>+AS1091</f>
        <v/>
      </c>
      <c r="AT530" s="1129">
        <f>+AT1091</f>
        <v/>
      </c>
      <c r="AU530" s="983">
        <f>+AU1091</f>
        <v/>
      </c>
      <c r="AV530" s="983">
        <f>+AV1091</f>
        <v/>
      </c>
      <c r="AW530" s="983">
        <f>+AW1091</f>
        <v/>
      </c>
      <c r="AX530" s="983">
        <f>+AX1091</f>
        <v/>
      </c>
      <c r="AY530" s="1129">
        <f>+AY1091</f>
        <v/>
      </c>
      <c r="AZ530" s="983">
        <f>+AZ1091</f>
        <v/>
      </c>
      <c r="BA530" s="983">
        <f>+BA1091</f>
        <v/>
      </c>
      <c r="BB530" s="983">
        <f>+BB1091</f>
        <v/>
      </c>
      <c r="BC530" s="983">
        <f>+BC1091</f>
        <v/>
      </c>
      <c r="BD530" s="1129">
        <f>+BD1091</f>
        <v/>
      </c>
      <c r="BE530" s="983">
        <f>+BE1091</f>
        <v/>
      </c>
      <c r="BF530" s="983">
        <f>+BF1091</f>
        <v/>
      </c>
      <c r="BG530" s="983">
        <f>+BG1091</f>
        <v/>
      </c>
      <c r="BH530" s="983">
        <f>+BH1091</f>
        <v/>
      </c>
      <c r="BI530" s="1129">
        <f>+BI1091</f>
        <v/>
      </c>
      <c r="BJ530" s="983">
        <f>+BJ1091</f>
        <v/>
      </c>
      <c r="BK530" s="983">
        <f>+BK1091</f>
        <v/>
      </c>
      <c r="BL530" s="983">
        <f>+BL1091</f>
        <v/>
      </c>
      <c r="BM530" s="983">
        <f>+BM1091</f>
        <v/>
      </c>
      <c r="BN530" s="1129">
        <f>+BN1091</f>
        <v/>
      </c>
      <c r="BO530" s="983">
        <f>+BO1091</f>
        <v/>
      </c>
      <c r="BP530" s="983">
        <f>+BP1091</f>
        <v/>
      </c>
      <c r="BQ530" s="983">
        <f>+BQ1091</f>
        <v/>
      </c>
      <c r="BR530" s="983">
        <f>+BR1091</f>
        <v/>
      </c>
      <c r="BS530" s="1129">
        <f>+BS1091</f>
        <v/>
      </c>
      <c r="BT530" s="983">
        <f>+BT1091</f>
        <v/>
      </c>
      <c r="BU530" s="983">
        <f>+BU1091</f>
        <v/>
      </c>
      <c r="BV530" s="984">
        <f>+BV1091</f>
        <v/>
      </c>
      <c r="BW530" s="983" t="n"/>
      <c r="BX530" s="1129" t="n"/>
      <c r="BY530" s="983" t="n"/>
      <c r="BZ530" s="983" t="n"/>
      <c r="CA530" s="983" t="n"/>
      <c r="CB530" s="983" t="n"/>
      <c r="CC530" s="1129" t="n"/>
      <c r="CD530" s="1129" t="n"/>
      <c r="CE530" s="1129" t="n"/>
      <c r="CF530" s="1129" t="n"/>
      <c r="CG530" s="93" t="n"/>
    </row>
    <row r="531" hidden="1" outlineLevel="2" collapsed="1" ht="15" customHeight="1">
      <c r="A531" s="609" t="inlineStr">
        <is>
          <t>Forward quarterly Non-GAAP Operating Expenses guidance - midpoint, mm</t>
        </is>
      </c>
      <c r="B531" s="610" t="n"/>
      <c r="C531" s="1159" t="n"/>
      <c r="D531" s="1159" t="n"/>
      <c r="E531" s="1159" t="n"/>
      <c r="F531" s="1159" t="n"/>
      <c r="G531" s="378" t="n"/>
      <c r="H531" s="378" t="n"/>
      <c r="I531" s="378" t="n"/>
      <c r="J531" s="378" t="n"/>
      <c r="K531" s="1159" t="n"/>
      <c r="L531" s="378" t="n"/>
      <c r="M531" s="378" t="n"/>
      <c r="N531" s="378" t="n"/>
      <c r="O531" s="378" t="n"/>
      <c r="P531" s="1159" t="n"/>
      <c r="Q531" s="378" t="n"/>
      <c r="R531" s="378" t="n"/>
      <c r="S531" s="378" t="n"/>
      <c r="T531" s="378" t="n"/>
      <c r="U531" s="1159" t="n"/>
      <c r="V531" s="378" t="n"/>
      <c r="W531" s="378" t="n"/>
      <c r="X531" s="378" t="n"/>
      <c r="Y531" s="378" t="n"/>
      <c r="Z531" s="1159" t="n"/>
      <c r="AA531" s="378" t="n"/>
      <c r="AB531" s="378" t="n"/>
      <c r="AC531" s="378" t="n"/>
      <c r="AD531" s="378" t="n"/>
      <c r="AE531" s="1159" t="n"/>
      <c r="AF531" s="378" t="n"/>
      <c r="AG531" s="378" t="n"/>
      <c r="AH531" s="378">
        <f>IFERROR(AVERAGE(AH529,AH530),"")</f>
        <v/>
      </c>
      <c r="AI531" s="378">
        <f>IFERROR(AVERAGE(AI529,AI530),"")</f>
        <v/>
      </c>
      <c r="AJ531" s="1159">
        <f>IFERROR(AVERAGE(AJ529,AJ530),"")</f>
        <v/>
      </c>
      <c r="AK531" s="378">
        <f>IFERROR(AVERAGE(AK529,AK530),"")</f>
        <v/>
      </c>
      <c r="AL531" s="378">
        <f>IFERROR(AVERAGE(AL529,AL530),"")</f>
        <v/>
      </c>
      <c r="AM531" s="378">
        <f>IFERROR(AVERAGE(AM529,AM530),"")</f>
        <v/>
      </c>
      <c r="AN531" s="378">
        <f>IFERROR(AVERAGE(AN529,AN530),"")</f>
        <v/>
      </c>
      <c r="AO531" s="1159">
        <f>IFERROR(AVERAGE(AO529,AO530),"")</f>
        <v/>
      </c>
      <c r="AP531" s="378">
        <f>IFERROR(AVERAGE(AP529,AP530),"")</f>
        <v/>
      </c>
      <c r="AQ531" s="378">
        <f>IFERROR(AVERAGE(AQ529,AQ530),"")</f>
        <v/>
      </c>
      <c r="AR531" s="378">
        <f>IFERROR(AVERAGE(AR529,AR530),"")</f>
        <v/>
      </c>
      <c r="AS531" s="378">
        <f>IFERROR(AVERAGE(AS529,AS530),"")</f>
        <v/>
      </c>
      <c r="AT531" s="1159">
        <f>IFERROR(AVERAGE(AT529,AT530),"")</f>
        <v/>
      </c>
      <c r="AU531" s="378">
        <f>IFERROR(AVERAGE(AU529,AU530),"")</f>
        <v/>
      </c>
      <c r="AV531" s="378">
        <f>IFERROR(AVERAGE(AV529,AV530),"")</f>
        <v/>
      </c>
      <c r="AW531" s="378">
        <f>IFERROR(AVERAGE(AW529,AW530),"")</f>
        <v/>
      </c>
      <c r="AX531" s="378">
        <f>IFERROR(AVERAGE(AX529,AX530),"")</f>
        <v/>
      </c>
      <c r="AY531" s="1159">
        <f>IFERROR(AVERAGE(AY529,AY530),"")</f>
        <v/>
      </c>
      <c r="AZ531" s="378">
        <f>IFERROR(AVERAGE(AZ529,AZ530),"")</f>
        <v/>
      </c>
      <c r="BA531" s="378">
        <f>IFERROR(AVERAGE(BA529,BA530),"")</f>
        <v/>
      </c>
      <c r="BB531" s="378">
        <f>IFERROR(AVERAGE(BB529,BB530),"")</f>
        <v/>
      </c>
      <c r="BC531" s="378">
        <f>IFERROR(AVERAGE(BC529,BC530),"")</f>
        <v/>
      </c>
      <c r="BD531" s="1159">
        <f>IFERROR(AVERAGE(BD529,BD530),"")</f>
        <v/>
      </c>
      <c r="BE531" s="378">
        <f>IFERROR(AVERAGE(BE529,BE530),"")</f>
        <v/>
      </c>
      <c r="BF531" s="378">
        <f>IFERROR(AVERAGE(BF529,BF530),"")</f>
        <v/>
      </c>
      <c r="BG531" s="378">
        <f>IFERROR(AVERAGE(BG529,BG530),"")</f>
        <v/>
      </c>
      <c r="BH531" s="378">
        <f>IFERROR(AVERAGE(BH529,BH530),"")</f>
        <v/>
      </c>
      <c r="BI531" s="1159">
        <f>IFERROR(AVERAGE(BI529,BI530),"")</f>
        <v/>
      </c>
      <c r="BJ531" s="378">
        <f>IFERROR(AVERAGE(BJ529,BJ530),"")</f>
        <v/>
      </c>
      <c r="BK531" s="378">
        <f>IFERROR(AVERAGE(BK529,BK530),"")</f>
        <v/>
      </c>
      <c r="BL531" s="378">
        <f>IFERROR(AVERAGE(BL529,BL530),"")</f>
        <v/>
      </c>
      <c r="BM531" s="378">
        <f>IFERROR(AVERAGE(BM529,BM530),"")</f>
        <v/>
      </c>
      <c r="BN531" s="1159">
        <f>IFERROR(AVERAGE(BN529,BN530),"")</f>
        <v/>
      </c>
      <c r="BO531" s="378">
        <f>IFERROR(AVERAGE(BO529,BO530),"")</f>
        <v/>
      </c>
      <c r="BP531" s="378">
        <f>IFERROR(AVERAGE(BP529,BP530),"")</f>
        <v/>
      </c>
      <c r="BQ531" s="378">
        <f>IFERROR(AVERAGE(BQ529,BQ530),"")</f>
        <v/>
      </c>
      <c r="BR531" s="378">
        <f>IFERROR(AVERAGE(BR529,BR530),"")</f>
        <v/>
      </c>
      <c r="BS531" s="1159">
        <f>IFERROR(AVERAGE(BS529,BS530),"")</f>
        <v/>
      </c>
      <c r="BT531" s="378">
        <f>IFERROR(AVERAGE(BT529,BT530),"")</f>
        <v/>
      </c>
      <c r="BU531" s="378">
        <f>IFERROR(AVERAGE(BU529,BU530),"")</f>
        <v/>
      </c>
      <c r="BV531" s="1037">
        <f>IFERROR(AVERAGE(BV529,BV530),"")</f>
        <v/>
      </c>
      <c r="BW531" s="378" t="n"/>
      <c r="BX531" s="1159" t="n"/>
      <c r="BY531" s="378" t="n"/>
      <c r="BZ531" s="378" t="n"/>
      <c r="CA531" s="378" t="n"/>
      <c r="CB531" s="378" t="n"/>
      <c r="CC531" s="1159" t="n"/>
      <c r="CD531" s="1159" t="n"/>
      <c r="CE531" s="1159" t="n"/>
      <c r="CF531" s="1159" t="n"/>
      <c r="CG531" s="93" t="n"/>
    </row>
    <row r="532" hidden="1" outlineLevel="2" ht="15" customHeight="1">
      <c r="A532" s="492" t="inlineStr">
        <is>
          <t>Forward quarterly Non-GAAP Operating Expenses guidance variance, mm</t>
        </is>
      </c>
      <c r="B532" s="428" t="n"/>
      <c r="C532" s="1134" t="n"/>
      <c r="D532" s="1134" t="n"/>
      <c r="E532" s="1134" t="n"/>
      <c r="F532" s="1134" t="n"/>
      <c r="G532" s="93" t="n"/>
      <c r="H532" s="93" t="n"/>
      <c r="I532" s="93" t="n"/>
      <c r="J532" s="93" t="n"/>
      <c r="K532" s="1134" t="n"/>
      <c r="L532" s="93" t="n"/>
      <c r="M532" s="93" t="n"/>
      <c r="N532" s="93" t="n"/>
      <c r="O532" s="93" t="n"/>
      <c r="P532" s="1134" t="n"/>
      <c r="Q532" s="93" t="n"/>
      <c r="R532" s="93" t="n"/>
      <c r="S532" s="93" t="n"/>
      <c r="T532" s="93" t="n"/>
      <c r="U532" s="1134" t="n"/>
      <c r="V532" s="93" t="n"/>
      <c r="W532" s="93" t="n"/>
      <c r="X532" s="93" t="n"/>
      <c r="Y532" s="93" t="n"/>
      <c r="Z532" s="1134" t="n"/>
      <c r="AA532" s="93" t="n"/>
      <c r="AB532" s="93" t="n"/>
      <c r="AC532" s="93" t="n"/>
      <c r="AD532" s="93" t="n"/>
      <c r="AE532" s="1134" t="n"/>
      <c r="AF532" s="93" t="n"/>
      <c r="AG532" s="93" t="n"/>
      <c r="AH532" s="93">
        <f>IFERROR(ABS(AH530-AH529),"")</f>
        <v/>
      </c>
      <c r="AI532" s="93">
        <f>IFERROR(ABS(AI530-AI529),"")</f>
        <v/>
      </c>
      <c r="AJ532" s="1134">
        <f>IFERROR(ABS(AJ530-AJ529),"")</f>
        <v/>
      </c>
      <c r="AK532" s="93">
        <f>IFERROR(ABS(AK530-AK529),"")</f>
        <v/>
      </c>
      <c r="AL532" s="93">
        <f>IFERROR(ABS(AL530-AL529),"")</f>
        <v/>
      </c>
      <c r="AM532" s="93">
        <f>IFERROR(ABS(AM530-AM529),"")</f>
        <v/>
      </c>
      <c r="AN532" s="93">
        <f>IFERROR(ABS(AN530-AN529),"")</f>
        <v/>
      </c>
      <c r="AO532" s="1134">
        <f>IFERROR(ABS(AO530-AO529),"")</f>
        <v/>
      </c>
      <c r="AP532" s="93">
        <f>IFERROR(ABS(AP530-AP529),"")</f>
        <v/>
      </c>
      <c r="AQ532" s="93">
        <f>IFERROR(ABS(AQ530-AQ529),"")</f>
        <v/>
      </c>
      <c r="AR532" s="93">
        <f>IFERROR(ABS(AR530-AR529),"")</f>
        <v/>
      </c>
      <c r="AS532" s="93">
        <f>IFERROR(ABS(AS530-AS529),"")</f>
        <v/>
      </c>
      <c r="AT532" s="1134">
        <f>IFERROR(ABS(AT530-AT529),"")</f>
        <v/>
      </c>
      <c r="AU532" s="93">
        <f>IFERROR(ABS(AU530-AU529),"")</f>
        <v/>
      </c>
      <c r="AV532" s="93">
        <f>IFERROR(ABS(AV530-AV529),"")</f>
        <v/>
      </c>
      <c r="AW532" s="93">
        <f>IFERROR(ABS(AW530-AW529),"")</f>
        <v/>
      </c>
      <c r="AX532" s="93">
        <f>IFERROR(ABS(AX530-AX529),"")</f>
        <v/>
      </c>
      <c r="AY532" s="1134">
        <f>IFERROR(ABS(AY530-AY529),"")</f>
        <v/>
      </c>
      <c r="AZ532" s="93">
        <f>IFERROR(ABS(AZ530-AZ529),"")</f>
        <v/>
      </c>
      <c r="BA532" s="93">
        <f>IFERROR(ABS(BA530-BA529),"")</f>
        <v/>
      </c>
      <c r="BB532" s="93">
        <f>IFERROR(ABS(BB530-BB529),"")</f>
        <v/>
      </c>
      <c r="BC532" s="93">
        <f>IFERROR(ABS(BC530-BC529),"")</f>
        <v/>
      </c>
      <c r="BD532" s="1134">
        <f>IFERROR(ABS(BD530-BD529),"")</f>
        <v/>
      </c>
      <c r="BE532" s="93">
        <f>IFERROR(ABS(BE530-BE529),"")</f>
        <v/>
      </c>
      <c r="BF532" s="93">
        <f>IFERROR(ABS(BF530-BF529),"")</f>
        <v/>
      </c>
      <c r="BG532" s="93">
        <f>IFERROR(ABS(BG530-BG529),"")</f>
        <v/>
      </c>
      <c r="BH532" s="93">
        <f>IFERROR(ABS(BH530-BH529),"")</f>
        <v/>
      </c>
      <c r="BI532" s="1134">
        <f>IFERROR(ABS(BI530-BI529),"")</f>
        <v/>
      </c>
      <c r="BJ532" s="93">
        <f>IFERROR(ABS(BJ530-BJ529),"")</f>
        <v/>
      </c>
      <c r="BK532" s="93">
        <f>IFERROR(ABS(BK530-BK529),"")</f>
        <v/>
      </c>
      <c r="BL532" s="93">
        <f>IFERROR(ABS(BL530-BL529),"")</f>
        <v/>
      </c>
      <c r="BM532" s="93">
        <f>IFERROR(ABS(BM530-BM529),"")</f>
        <v/>
      </c>
      <c r="BN532" s="1134">
        <f>IFERROR(ABS(BN530-BN529),"")</f>
        <v/>
      </c>
      <c r="BO532" s="93">
        <f>IFERROR(ABS(BO530-BO529),"")</f>
        <v/>
      </c>
      <c r="BP532" s="93">
        <f>IFERROR(ABS(BP530-BP529),"")</f>
        <v/>
      </c>
      <c r="BQ532" s="93">
        <f>IFERROR(ABS(BQ530-BQ529),"")</f>
        <v/>
      </c>
      <c r="BR532" s="93">
        <f>IFERROR(ABS(BR530-BR529),"")</f>
        <v/>
      </c>
      <c r="BS532" s="1134">
        <f>IFERROR(ABS(BS530-BS529),"")</f>
        <v/>
      </c>
      <c r="BT532" s="93">
        <f>IFERROR(ABS(BT530-BT529),"")</f>
        <v/>
      </c>
      <c r="BU532" s="93">
        <f>IFERROR(ABS(BU530-BU529),"")</f>
        <v/>
      </c>
      <c r="BV532" s="522">
        <f>IFERROR(ABS(BV530-BV529),"")</f>
        <v/>
      </c>
      <c r="BW532" s="93" t="n"/>
      <c r="BX532" s="1134" t="n"/>
      <c r="BY532" s="93" t="n"/>
      <c r="BZ532" s="93" t="n"/>
      <c r="CA532" s="93" t="n"/>
      <c r="CB532" s="93" t="n"/>
      <c r="CC532" s="1134" t="n"/>
      <c r="CD532" s="1134" t="n"/>
      <c r="CE532" s="1134" t="n"/>
      <c r="CF532" s="1134" t="n"/>
      <c r="CG532" s="93" t="n"/>
    </row>
    <row r="533" hidden="1" outlineLevel="2" ht="15" customHeight="1">
      <c r="A533" s="647" t="inlineStr">
        <is>
          <t>Forward quarterly Non-GAAP Operating Expenses guidance variance (+/-), %</t>
        </is>
      </c>
      <c r="B533" s="428" t="n"/>
      <c r="C533" s="1126" t="n"/>
      <c r="D533" s="1126" t="n"/>
      <c r="E533" s="1126" t="n"/>
      <c r="F533" s="1126" t="n"/>
      <c r="G533" s="315" t="n"/>
      <c r="H533" s="315" t="n"/>
      <c r="I533" s="315" t="n"/>
      <c r="J533" s="315" t="n"/>
      <c r="K533" s="1126" t="n"/>
      <c r="L533" s="315" t="n"/>
      <c r="M533" s="315" t="n"/>
      <c r="N533" s="315" t="n"/>
      <c r="O533" s="315" t="n"/>
      <c r="P533" s="1126" t="n"/>
      <c r="Q533" s="315" t="n"/>
      <c r="R533" s="315" t="n"/>
      <c r="S533" s="315" t="n"/>
      <c r="T533" s="315" t="n"/>
      <c r="U533" s="1126" t="n"/>
      <c r="V533" s="315" t="n"/>
      <c r="W533" s="315" t="n"/>
      <c r="X533" s="315" t="n"/>
      <c r="Y533" s="315" t="n"/>
      <c r="Z533" s="1126" t="n"/>
      <c r="AA533" s="315" t="n"/>
      <c r="AB533" s="315" t="n"/>
      <c r="AC533" s="315" t="n"/>
      <c r="AD533" s="315" t="n"/>
      <c r="AE533" s="1126" t="n"/>
      <c r="AF533" s="315" t="n"/>
      <c r="AG533" s="315" t="n"/>
      <c r="AH533" s="315">
        <f>IFERROR(ABS((AH530-AH531)/AH531),"")</f>
        <v/>
      </c>
      <c r="AI533" s="315">
        <f>IFERROR(ABS((AI530-AI531)/AI531),"")</f>
        <v/>
      </c>
      <c r="AJ533" s="1126">
        <f>IFERROR(ABS((AJ530-AJ531)/AJ531),"")</f>
        <v/>
      </c>
      <c r="AK533" s="315">
        <f>IFERROR(ABS((AK530-AK531)/AK531),"")</f>
        <v/>
      </c>
      <c r="AL533" s="315">
        <f>IFERROR(ABS((AL530-AL531)/AL531),"")</f>
        <v/>
      </c>
      <c r="AM533" s="315">
        <f>IFERROR(ABS((AM530-AM531)/AM531),"")</f>
        <v/>
      </c>
      <c r="AN533" s="315">
        <f>IFERROR(ABS((AN530-AN531)/AN531),"")</f>
        <v/>
      </c>
      <c r="AO533" s="1126">
        <f>IFERROR(ABS((AO530-AO531)/AO531),"")</f>
        <v/>
      </c>
      <c r="AP533" s="315">
        <f>IFERROR(ABS((AP530-AP531)/AP531),"")</f>
        <v/>
      </c>
      <c r="AQ533" s="315">
        <f>IFERROR(ABS((AQ530-AQ531)/AQ531),"")</f>
        <v/>
      </c>
      <c r="AR533" s="315">
        <f>IFERROR(ABS((AR530-AR531)/AR531),"")</f>
        <v/>
      </c>
      <c r="AS533" s="315">
        <f>IFERROR(ABS((AS530-AS531)/AS531),"")</f>
        <v/>
      </c>
      <c r="AT533" s="1126">
        <f>IFERROR(ABS((AT530-AT531)/AT531),"")</f>
        <v/>
      </c>
      <c r="AU533" s="315">
        <f>IFERROR(ABS((AU530-AU531)/AU531),"")</f>
        <v/>
      </c>
      <c r="AV533" s="315">
        <f>IFERROR(ABS((AV530-AV531)/AV531),"")</f>
        <v/>
      </c>
      <c r="AW533" s="315">
        <f>IFERROR(ABS((AW530-AW531)/AW531),"")</f>
        <v/>
      </c>
      <c r="AX533" s="315">
        <f>IFERROR(ABS((AX530-AX531)/AX531),"")</f>
        <v/>
      </c>
      <c r="AY533" s="1126">
        <f>IFERROR(ABS((AY530-AY531)/AY531),"")</f>
        <v/>
      </c>
      <c r="AZ533" s="315">
        <f>IFERROR(ABS((AZ530-AZ531)/AZ531),"")</f>
        <v/>
      </c>
      <c r="BA533" s="315">
        <f>IFERROR(ABS((BA530-BA531)/BA531),"")</f>
        <v/>
      </c>
      <c r="BB533" s="315">
        <f>IFERROR(ABS((BB530-BB531)/BB531),"")</f>
        <v/>
      </c>
      <c r="BC533" s="315">
        <f>IFERROR(ABS((BC530-BC531)/BC531),"")</f>
        <v/>
      </c>
      <c r="BD533" s="1126">
        <f>IFERROR(ABS((BD530-BD531)/BD531),"")</f>
        <v/>
      </c>
      <c r="BE533" s="315">
        <f>IFERROR(ABS((BE530-BE531)/BE531),"")</f>
        <v/>
      </c>
      <c r="BF533" s="315">
        <f>IFERROR(ABS((BF530-BF531)/BF531),"")</f>
        <v/>
      </c>
      <c r="BG533" s="315">
        <f>IFERROR(ABS((BG530-BG531)/BG531),"")</f>
        <v/>
      </c>
      <c r="BH533" s="315">
        <f>IFERROR(ABS((BH530-BH531)/BH531),"")</f>
        <v/>
      </c>
      <c r="BI533" s="1126">
        <f>IFERROR(ABS((BI530-BI531)/BI531),"")</f>
        <v/>
      </c>
      <c r="BJ533" s="315">
        <f>IFERROR(ABS((BJ530-BJ531)/BJ531),"")</f>
        <v/>
      </c>
      <c r="BK533" s="315">
        <f>IFERROR(ABS((BK530-BK531)/BK531),"")</f>
        <v/>
      </c>
      <c r="BL533" s="315">
        <f>IFERROR(ABS((BL530-BL531)/BL531),"")</f>
        <v/>
      </c>
      <c r="BM533" s="315">
        <f>IFERROR(ABS((BM530-BM531)/BM531),"")</f>
        <v/>
      </c>
      <c r="BN533" s="1126">
        <f>IFERROR(ABS((BN530-BN531)/BN531),"")</f>
        <v/>
      </c>
      <c r="BO533" s="315">
        <f>IFERROR(ABS((BO530-BO531)/BO531),"")</f>
        <v/>
      </c>
      <c r="BP533" s="315">
        <f>IFERROR(ABS((BP530-BP531)/BP531),"")</f>
        <v/>
      </c>
      <c r="BQ533" s="315">
        <f>IFERROR(ABS((BQ530-BQ531)/BQ531),"")</f>
        <v/>
      </c>
      <c r="BR533" s="315">
        <f>IFERROR(ABS((BR530-BR531)/BR531),"")</f>
        <v/>
      </c>
      <c r="BS533" s="1126">
        <f>IFERROR(ABS((BS530-BS531)/BS531),"")</f>
        <v/>
      </c>
      <c r="BT533" s="315">
        <f>IFERROR(ABS((BT530-BT531)/BT531),"")</f>
        <v/>
      </c>
      <c r="BU533" s="315">
        <f>IFERROR(ABS((BU530-BU531)/BU531),"")</f>
        <v/>
      </c>
      <c r="BV533" s="885">
        <f>IFERROR(ABS((BV530-BV531)/BV531),"")</f>
        <v/>
      </c>
      <c r="BW533" s="315" t="n"/>
      <c r="BX533" s="1126" t="n"/>
      <c r="BY533" s="315" t="n"/>
      <c r="BZ533" s="315" t="n"/>
      <c r="CA533" s="315" t="n"/>
      <c r="CB533" s="315" t="n"/>
      <c r="CC533" s="1126" t="n"/>
      <c r="CD533" s="1126" t="n"/>
      <c r="CE533" s="1126" t="n"/>
      <c r="CF533" s="1126" t="n"/>
      <c r="CG533" s="93" t="n"/>
    </row>
    <row r="534" hidden="1" outlineLevel="2" ht="15" customHeight="1">
      <c r="A534" s="799" t="n"/>
      <c r="B534" s="428" t="n"/>
      <c r="C534" s="1134" t="n"/>
      <c r="D534" s="1134" t="n"/>
      <c r="E534" s="1134" t="n"/>
      <c r="F534" s="1134" t="n"/>
      <c r="G534" s="93" t="n"/>
      <c r="H534" s="93" t="n"/>
      <c r="I534" s="93" t="n"/>
      <c r="J534" s="93" t="n"/>
      <c r="K534" s="1134" t="n"/>
      <c r="L534" s="93" t="n"/>
      <c r="M534" s="93" t="n"/>
      <c r="N534" s="93" t="n"/>
      <c r="O534" s="93" t="n"/>
      <c r="P534" s="1134" t="n"/>
      <c r="Q534" s="93" t="n"/>
      <c r="R534" s="93" t="n"/>
      <c r="S534" s="93" t="n"/>
      <c r="T534" s="93" t="n"/>
      <c r="U534" s="1134" t="n"/>
      <c r="V534" s="93" t="n"/>
      <c r="W534" s="93" t="n"/>
      <c r="X534" s="93" t="n"/>
      <c r="Y534" s="93" t="n"/>
      <c r="Z534" s="1134" t="n"/>
      <c r="AA534" s="93" t="n"/>
      <c r="AB534" s="93" t="n"/>
      <c r="AC534" s="93" t="n"/>
      <c r="AD534" s="93" t="n"/>
      <c r="AE534" s="1134" t="n"/>
      <c r="AF534" s="93" t="n"/>
      <c r="AG534" s="93" t="n"/>
      <c r="AH534" s="93" t="n"/>
      <c r="AI534" s="93" t="n"/>
      <c r="AJ534" s="1134" t="n"/>
      <c r="AK534" s="93" t="n"/>
      <c r="AL534" s="93" t="n"/>
      <c r="AM534" s="93" t="n"/>
      <c r="AN534" s="93" t="n"/>
      <c r="AO534" s="1134" t="n"/>
      <c r="AP534" s="93" t="n"/>
      <c r="AQ534" s="93" t="n"/>
      <c r="AR534" s="93" t="n"/>
      <c r="AS534" s="93" t="n"/>
      <c r="AT534" s="1134" t="n"/>
      <c r="AU534" s="93" t="n"/>
      <c r="AV534" s="93" t="n"/>
      <c r="AW534" s="93" t="n"/>
      <c r="AX534" s="93" t="n"/>
      <c r="AY534" s="1134" t="n"/>
      <c r="AZ534" s="93" t="n"/>
      <c r="BA534" s="93" t="n"/>
      <c r="BB534" s="93" t="n"/>
      <c r="BC534" s="93" t="n"/>
      <c r="BD534" s="1134" t="n"/>
      <c r="BE534" s="93" t="n"/>
      <c r="BF534" s="93" t="n"/>
      <c r="BG534" s="93" t="n"/>
      <c r="BH534" s="93" t="n"/>
      <c r="BI534" s="1134" t="n"/>
      <c r="BJ534" s="93" t="n"/>
      <c r="BK534" s="93" t="n"/>
      <c r="BL534" s="93" t="n"/>
      <c r="BM534" s="93" t="n"/>
      <c r="BN534" s="1134" t="n"/>
      <c r="BO534" s="93" t="n"/>
      <c r="BP534" s="93" t="n"/>
      <c r="BQ534" s="93" t="n"/>
      <c r="BR534" s="93" t="n"/>
      <c r="BS534" s="1134" t="n"/>
      <c r="BT534" s="93" t="n"/>
      <c r="BU534" s="93" t="n"/>
      <c r="BV534" s="522" t="n"/>
      <c r="BW534" s="93" t="n"/>
      <c r="BX534" s="1134" t="n"/>
      <c r="BY534" s="93" t="n"/>
      <c r="BZ534" s="93" t="n"/>
      <c r="CA534" s="93" t="n"/>
      <c r="CB534" s="93" t="n"/>
      <c r="CC534" s="1134" t="n"/>
      <c r="CD534" s="1134" t="n"/>
      <c r="CE534" s="1134" t="n"/>
      <c r="CF534" s="1134" t="n"/>
      <c r="CG534" s="93" t="n"/>
    </row>
    <row r="535" hidden="1" outlineLevel="2" ht="15" customHeight="1">
      <c r="A535" s="803" t="inlineStr">
        <is>
          <t>Forward annual guidance - applicable period, period</t>
        </is>
      </c>
      <c r="B535" s="801" t="n"/>
      <c r="C535" s="1193" t="n"/>
      <c r="D535" s="1193" t="n"/>
      <c r="E535" s="1193" t="n"/>
      <c r="F535" s="1193" t="n"/>
      <c r="G535" s="802" t="n"/>
      <c r="H535" s="802" t="n"/>
      <c r="I535" s="802" t="n"/>
      <c r="J535" s="802" t="n"/>
      <c r="K535" s="1193" t="n"/>
      <c r="L535" s="802" t="n"/>
      <c r="M535" s="802" t="n"/>
      <c r="N535" s="802" t="n"/>
      <c r="O535" s="802" t="n"/>
      <c r="P535" s="1193" t="n"/>
      <c r="Q535" s="802" t="n"/>
      <c r="R535" s="802" t="n"/>
      <c r="S535" s="802" t="n"/>
      <c r="T535" s="802" t="n"/>
      <c r="U535" s="1193" t="n"/>
      <c r="V535" s="802" t="n"/>
      <c r="W535" s="802" t="n"/>
      <c r="X535" s="802" t="n"/>
      <c r="Y535" s="802" t="n"/>
      <c r="Z535" s="1193" t="n"/>
      <c r="AA535" s="802" t="n"/>
      <c r="AB535" s="802" t="n"/>
      <c r="AC535" s="802" t="n"/>
      <c r="AD535" s="802" t="n"/>
      <c r="AE535" s="1193" t="n"/>
      <c r="AF535" s="802" t="n"/>
      <c r="AG535" s="802" t="n"/>
      <c r="AH535" s="802">
        <f>AJ5</f>
        <v/>
      </c>
      <c r="AI535" s="802">
        <f>AO5</f>
        <v/>
      </c>
      <c r="AJ535" s="1193">
        <f>AO5</f>
        <v/>
      </c>
      <c r="AK535" s="802">
        <f>AO5</f>
        <v/>
      </c>
      <c r="AL535" s="802">
        <f>AO5</f>
        <v/>
      </c>
      <c r="AM535" s="802">
        <f>AO5</f>
        <v/>
      </c>
      <c r="AN535" s="802">
        <f>AT5</f>
        <v/>
      </c>
      <c r="AO535" s="1193">
        <f>AT5</f>
        <v/>
      </c>
      <c r="AP535" s="802">
        <f>AT5</f>
        <v/>
      </c>
      <c r="AQ535" s="802">
        <f>AT5</f>
        <v/>
      </c>
      <c r="AR535" s="802">
        <f>AT5</f>
        <v/>
      </c>
      <c r="AS535" s="802">
        <f>AY5</f>
        <v/>
      </c>
      <c r="AT535" s="1193">
        <f>AY5</f>
        <v/>
      </c>
      <c r="AU535" s="802">
        <f>AY5</f>
        <v/>
      </c>
      <c r="AV535" s="802">
        <f>AY5</f>
        <v/>
      </c>
      <c r="AW535" s="802">
        <f>AY5</f>
        <v/>
      </c>
      <c r="AX535" s="802">
        <f>BD5</f>
        <v/>
      </c>
      <c r="AY535" s="1193">
        <f>BD5</f>
        <v/>
      </c>
      <c r="AZ535" s="802">
        <f>BD5</f>
        <v/>
      </c>
      <c r="BA535" s="802">
        <f>BD5</f>
        <v/>
      </c>
      <c r="BB535" s="802">
        <f>BD5</f>
        <v/>
      </c>
      <c r="BC535" s="802">
        <f>BI5</f>
        <v/>
      </c>
      <c r="BD535" s="1193">
        <f>BI5</f>
        <v/>
      </c>
      <c r="BE535" s="802">
        <f>BI5</f>
        <v/>
      </c>
      <c r="BF535" s="802">
        <f>BI5</f>
        <v/>
      </c>
      <c r="BG535" s="802">
        <f>BI5</f>
        <v/>
      </c>
      <c r="BH535" s="802">
        <f>BN5</f>
        <v/>
      </c>
      <c r="BI535" s="1193">
        <f>BN5</f>
        <v/>
      </c>
      <c r="BJ535" s="802">
        <f>BN5</f>
        <v/>
      </c>
      <c r="BK535" s="802">
        <f>BN5</f>
        <v/>
      </c>
      <c r="BL535" s="802">
        <f>BN5</f>
        <v/>
      </c>
      <c r="BM535" s="802">
        <f>BS5</f>
        <v/>
      </c>
      <c r="BN535" s="1193">
        <f>BS5</f>
        <v/>
      </c>
      <c r="BO535" s="802">
        <f>BS5</f>
        <v/>
      </c>
      <c r="BP535" s="802">
        <f>BS5</f>
        <v/>
      </c>
      <c r="BQ535" s="802">
        <f>BS5</f>
        <v/>
      </c>
      <c r="BR535" s="802">
        <f>BX5</f>
        <v/>
      </c>
      <c r="BS535" s="1193">
        <f>BX5</f>
        <v/>
      </c>
      <c r="BT535" s="802">
        <f>BX5</f>
        <v/>
      </c>
      <c r="BU535" s="802">
        <f>BX5</f>
        <v/>
      </c>
      <c r="BV535" s="909">
        <f>BX5</f>
        <v/>
      </c>
      <c r="BW535" s="802" t="n"/>
      <c r="BX535" s="1193" t="n"/>
      <c r="BY535" s="802" t="n"/>
      <c r="BZ535" s="802" t="n"/>
      <c r="CA535" s="802" t="n"/>
      <c r="CB535" s="802" t="n"/>
      <c r="CC535" s="1193" t="n"/>
      <c r="CD535" s="1193" t="n"/>
      <c r="CE535" s="1193" t="n"/>
      <c r="CF535" s="1193" t="n"/>
      <c r="CG535" s="93" t="n"/>
    </row>
    <row r="536" hidden="1" outlineLevel="3" ht="15" customHeight="1">
      <c r="A536" s="492" t="inlineStr">
        <is>
          <t>Forward annual Non-GAAP Operating Expenses guidance - low, mm</t>
        </is>
      </c>
      <c r="B536" s="428" t="n"/>
      <c r="C536" s="1134" t="n"/>
      <c r="D536" s="1134" t="n"/>
      <c r="E536" s="1134" t="n"/>
      <c r="F536" s="1134" t="n"/>
      <c r="G536" s="93" t="n"/>
      <c r="H536" s="93" t="n"/>
      <c r="I536" s="93" t="n"/>
      <c r="J536" s="93" t="n"/>
      <c r="K536" s="1134" t="n"/>
      <c r="L536" s="93" t="n"/>
      <c r="M536" s="93" t="n"/>
      <c r="N536" s="93" t="n"/>
      <c r="O536" s="93" t="n"/>
      <c r="P536" s="1134" t="n"/>
      <c r="Q536" s="93" t="n"/>
      <c r="R536" s="93" t="n"/>
      <c r="S536" s="93" t="n"/>
      <c r="T536" s="93" t="n"/>
      <c r="U536" s="1134" t="n"/>
      <c r="V536" s="93" t="n"/>
      <c r="W536" s="93" t="n"/>
      <c r="X536" s="93" t="n"/>
      <c r="Y536" s="93" t="n"/>
      <c r="Z536" s="1134" t="n"/>
      <c r="AA536" s="93" t="n"/>
      <c r="AB536" s="93" t="n"/>
      <c r="AC536" s="93" t="n"/>
      <c r="AD536" s="93" t="n"/>
      <c r="AE536" s="1134" t="n"/>
      <c r="AF536" s="93" t="n"/>
      <c r="AG536" s="93" t="n"/>
      <c r="AH536" s="93" t="n"/>
      <c r="AI536" s="93" t="n"/>
      <c r="AJ536" s="1134" t="n"/>
      <c r="AK536" s="93" t="n"/>
      <c r="AL536" s="93" t="n"/>
      <c r="AM536" s="93" t="n"/>
      <c r="AN536" s="93" t="n"/>
      <c r="AO536" s="1134" t="n"/>
      <c r="AP536" s="93" t="n"/>
      <c r="AQ536" s="93" t="n"/>
      <c r="AR536" s="93" t="n"/>
      <c r="AS536" s="93" t="n"/>
      <c r="AT536" s="1134" t="n"/>
      <c r="AU536" s="93">
        <f>+AU1108</f>
        <v/>
      </c>
      <c r="AV536" s="93" t="n"/>
      <c r="AW536" s="93" t="n"/>
      <c r="AX536" s="93" t="n"/>
      <c r="AY536" s="1134" t="n"/>
      <c r="AZ536" s="93" t="n"/>
      <c r="BA536" s="93" t="n"/>
      <c r="BB536" s="93" t="n"/>
      <c r="BC536" s="93" t="n"/>
      <c r="BD536" s="1134" t="n"/>
      <c r="BE536" s="93" t="n"/>
      <c r="BF536" s="93" t="n"/>
      <c r="BG536" s="93" t="n"/>
      <c r="BH536" s="93" t="n"/>
      <c r="BI536" s="1134" t="n"/>
      <c r="BJ536" s="93" t="n"/>
      <c r="BK536" s="93" t="n"/>
      <c r="BL536" s="93" t="n"/>
      <c r="BM536" s="93" t="n"/>
      <c r="BN536" s="1134" t="n"/>
      <c r="BO536" s="93" t="n"/>
      <c r="BP536" s="93" t="n"/>
      <c r="BQ536" s="93" t="n"/>
      <c r="BR536" s="93" t="n"/>
      <c r="BS536" s="1134" t="n"/>
      <c r="BT536" s="93" t="n"/>
      <c r="BU536" s="93" t="n"/>
      <c r="BV536" s="522" t="n"/>
      <c r="BW536" s="93" t="n"/>
      <c r="BX536" s="1134" t="n"/>
      <c r="BY536" s="93" t="n"/>
      <c r="BZ536" s="93" t="n"/>
      <c r="CA536" s="93" t="n"/>
      <c r="CB536" s="93" t="n"/>
      <c r="CC536" s="1134" t="n"/>
      <c r="CD536" s="1134" t="n"/>
      <c r="CE536" s="1134" t="n"/>
      <c r="CF536" s="1134" t="n"/>
      <c r="CG536" s="93" t="n"/>
    </row>
    <row r="537" hidden="1" outlineLevel="3" ht="15" customHeight="1">
      <c r="A537" s="812" t="inlineStr">
        <is>
          <t>Forward annual Non-GAAP Operating Expenses guidance - high, mm</t>
        </is>
      </c>
      <c r="B537" s="718" t="n"/>
      <c r="C537" s="1129" t="n"/>
      <c r="D537" s="1129" t="n"/>
      <c r="E537" s="1129" t="n"/>
      <c r="F537" s="1129" t="n"/>
      <c r="G537" s="983" t="n"/>
      <c r="H537" s="983" t="n"/>
      <c r="I537" s="983" t="n"/>
      <c r="J537" s="983" t="n"/>
      <c r="K537" s="1129" t="n"/>
      <c r="L537" s="983" t="n"/>
      <c r="M537" s="983" t="n"/>
      <c r="N537" s="983" t="n"/>
      <c r="O537" s="983" t="n"/>
      <c r="P537" s="1129" t="n"/>
      <c r="Q537" s="983" t="n"/>
      <c r="R537" s="983" t="n"/>
      <c r="S537" s="983" t="n"/>
      <c r="T537" s="983" t="n"/>
      <c r="U537" s="1129" t="n"/>
      <c r="V537" s="983" t="n"/>
      <c r="W537" s="983" t="n"/>
      <c r="X537" s="983" t="n"/>
      <c r="Y537" s="983" t="n"/>
      <c r="Z537" s="1129" t="n"/>
      <c r="AA537" s="983" t="n"/>
      <c r="AB537" s="983" t="n"/>
      <c r="AC537" s="983" t="n"/>
      <c r="AD537" s="983" t="n"/>
      <c r="AE537" s="1129" t="n"/>
      <c r="AF537" s="983" t="n"/>
      <c r="AG537" s="983" t="n"/>
      <c r="AH537" s="983" t="n"/>
      <c r="AI537" s="983" t="n"/>
      <c r="AJ537" s="1129" t="n"/>
      <c r="AK537" s="983" t="n"/>
      <c r="AL537" s="983" t="n"/>
      <c r="AM537" s="983" t="n"/>
      <c r="AN537" s="983" t="n"/>
      <c r="AO537" s="1129" t="n"/>
      <c r="AP537" s="983" t="n"/>
      <c r="AQ537" s="983" t="n"/>
      <c r="AR537" s="983" t="n"/>
      <c r="AS537" s="983" t="n"/>
      <c r="AT537" s="1129" t="n"/>
      <c r="AU537" s="983">
        <f>+AU1109</f>
        <v/>
      </c>
      <c r="AV537" s="983" t="n"/>
      <c r="AW537" s="983" t="n"/>
      <c r="AX537" s="983" t="n"/>
      <c r="AY537" s="1129" t="n"/>
      <c r="AZ537" s="983" t="n"/>
      <c r="BA537" s="983" t="n"/>
      <c r="BB537" s="983" t="n"/>
      <c r="BC537" s="983" t="n"/>
      <c r="BD537" s="1129" t="n"/>
      <c r="BE537" s="983" t="n"/>
      <c r="BF537" s="983" t="n"/>
      <c r="BG537" s="983" t="n"/>
      <c r="BH537" s="983" t="n"/>
      <c r="BI537" s="1129" t="n"/>
      <c r="BJ537" s="983" t="n"/>
      <c r="BK537" s="983" t="n"/>
      <c r="BL537" s="983" t="n"/>
      <c r="BM537" s="983" t="n"/>
      <c r="BN537" s="1129" t="n"/>
      <c r="BO537" s="983" t="n"/>
      <c r="BP537" s="983" t="n"/>
      <c r="BQ537" s="983" t="n"/>
      <c r="BR537" s="983" t="n"/>
      <c r="BS537" s="1129" t="n"/>
      <c r="BT537" s="983" t="n"/>
      <c r="BU537" s="983" t="n"/>
      <c r="BV537" s="984" t="n"/>
      <c r="BW537" s="983" t="n"/>
      <c r="BX537" s="1129" t="n"/>
      <c r="BY537" s="983" t="n"/>
      <c r="BZ537" s="983" t="n"/>
      <c r="CA537" s="983" t="n"/>
      <c r="CB537" s="983" t="n"/>
      <c r="CC537" s="1129" t="n"/>
      <c r="CD537" s="1129" t="n"/>
      <c r="CE537" s="1129" t="n"/>
      <c r="CF537" s="1129" t="n"/>
      <c r="CG537" s="93" t="n"/>
    </row>
    <row r="538" hidden="1" outlineLevel="2" collapsed="1" ht="15" customHeight="1">
      <c r="A538" s="609" t="inlineStr">
        <is>
          <t>Forward annual Non-GAAP Operating Expenses guidance - midpoint, mm</t>
        </is>
      </c>
      <c r="B538" s="610" t="n"/>
      <c r="C538" s="1159" t="n"/>
      <c r="D538" s="1159" t="n"/>
      <c r="E538" s="1159" t="n"/>
      <c r="F538" s="1159" t="n"/>
      <c r="G538" s="378" t="n"/>
      <c r="H538" s="378" t="n"/>
      <c r="I538" s="378" t="n"/>
      <c r="J538" s="378" t="n"/>
      <c r="K538" s="1159" t="n"/>
      <c r="L538" s="378" t="n"/>
      <c r="M538" s="378" t="n"/>
      <c r="N538" s="378" t="n"/>
      <c r="O538" s="378" t="n"/>
      <c r="P538" s="1159" t="n"/>
      <c r="Q538" s="378" t="n"/>
      <c r="R538" s="378" t="n"/>
      <c r="S538" s="378" t="n"/>
      <c r="T538" s="378" t="n"/>
      <c r="U538" s="1159" t="n"/>
      <c r="V538" s="378" t="n"/>
      <c r="W538" s="378" t="n"/>
      <c r="X538" s="378" t="n"/>
      <c r="Y538" s="378" t="n"/>
      <c r="Z538" s="1159" t="n"/>
      <c r="AA538" s="378" t="n"/>
      <c r="AB538" s="378" t="n"/>
      <c r="AC538" s="378" t="n"/>
      <c r="AD538" s="378" t="n"/>
      <c r="AE538" s="1159" t="n"/>
      <c r="AF538" s="378" t="n"/>
      <c r="AG538" s="378" t="n"/>
      <c r="AH538" s="378">
        <f>IFERROR(AVERAGE(AH536,AH537),"")</f>
        <v/>
      </c>
      <c r="AI538" s="378">
        <f>IFERROR(AVERAGE(AI536,AI537),"")</f>
        <v/>
      </c>
      <c r="AJ538" s="1159">
        <f>IFERROR(AVERAGE(AJ536,AJ537),"")</f>
        <v/>
      </c>
      <c r="AK538" s="378">
        <f>IFERROR(AVERAGE(AK536,AK537),"")</f>
        <v/>
      </c>
      <c r="AL538" s="378">
        <f>IFERROR(AVERAGE(AL536,AL537),"")</f>
        <v/>
      </c>
      <c r="AM538" s="378">
        <f>IFERROR(AVERAGE(AM536,AM537),"")</f>
        <v/>
      </c>
      <c r="AN538" s="378">
        <f>IFERROR(AVERAGE(AN536,AN537),"")</f>
        <v/>
      </c>
      <c r="AO538" s="1159">
        <f>IFERROR(AVERAGE(AO536,AO537),"")</f>
        <v/>
      </c>
      <c r="AP538" s="378">
        <f>IFERROR(AVERAGE(AP536,AP537),"")</f>
        <v/>
      </c>
      <c r="AQ538" s="378">
        <f>IFERROR(AVERAGE(AQ536,AQ537),"")</f>
        <v/>
      </c>
      <c r="AR538" s="378">
        <f>IFERROR(AVERAGE(AR536,AR537),"")</f>
        <v/>
      </c>
      <c r="AS538" s="378">
        <f>IFERROR(AVERAGE(AS536,AS537),"")</f>
        <v/>
      </c>
      <c r="AT538" s="1159">
        <f>IFERROR(AVERAGE(AT536,AT537),"")</f>
        <v/>
      </c>
      <c r="AU538" s="378">
        <f>IFERROR(AVERAGE(AU536,AU537),"")</f>
        <v/>
      </c>
      <c r="AV538" s="378">
        <f>IFERROR(AVERAGE(AV536,AV537),"")</f>
        <v/>
      </c>
      <c r="AW538" s="378">
        <f>IFERROR(AVERAGE(AW536,AW537),"")</f>
        <v/>
      </c>
      <c r="AX538" s="378">
        <f>IFERROR(AVERAGE(AX536,AX537),"")</f>
        <v/>
      </c>
      <c r="AY538" s="1159">
        <f>IFERROR(AVERAGE(AY536,AY537),"")</f>
        <v/>
      </c>
      <c r="AZ538" s="378">
        <f>IFERROR(AVERAGE(AZ536,AZ537),"")</f>
        <v/>
      </c>
      <c r="BA538" s="378">
        <f>IFERROR(AVERAGE(BA536,BA537),"")</f>
        <v/>
      </c>
      <c r="BB538" s="378">
        <f>IFERROR(AVERAGE(BB536,BB537),"")</f>
        <v/>
      </c>
      <c r="BC538" s="378">
        <f>IFERROR(AVERAGE(BC536,BC537),"")</f>
        <v/>
      </c>
      <c r="BD538" s="1159">
        <f>IFERROR(AVERAGE(BD536,BD537),"")</f>
        <v/>
      </c>
      <c r="BE538" s="378">
        <f>IFERROR(AVERAGE(BE536,BE537),"")</f>
        <v/>
      </c>
      <c r="BF538" s="378">
        <f>IFERROR(AVERAGE(BF536,BF537),"")</f>
        <v/>
      </c>
      <c r="BG538" s="378">
        <f>IFERROR(AVERAGE(BG536,BG537),"")</f>
        <v/>
      </c>
      <c r="BH538" s="378">
        <f>IFERROR(AVERAGE(BH536,BH537),"")</f>
        <v/>
      </c>
      <c r="BI538" s="1159">
        <f>IFERROR(AVERAGE(BI536,BI537),"")</f>
        <v/>
      </c>
      <c r="BJ538" s="378">
        <f>IFERROR(AVERAGE(BJ536,BJ537),"")</f>
        <v/>
      </c>
      <c r="BK538" s="378">
        <f>IFERROR(AVERAGE(BK536,BK537),"")</f>
        <v/>
      </c>
      <c r="BL538" s="378">
        <f>IFERROR(AVERAGE(BL536,BL537),"")</f>
        <v/>
      </c>
      <c r="BM538" s="378">
        <f>IFERROR(AVERAGE(BM536,BM537),"")</f>
        <v/>
      </c>
      <c r="BN538" s="1159">
        <f>IFERROR(AVERAGE(BN536,BN537),"")</f>
        <v/>
      </c>
      <c r="BO538" s="378">
        <f>IFERROR(AVERAGE(BO536,BO537),"")</f>
        <v/>
      </c>
      <c r="BP538" s="378">
        <f>IFERROR(AVERAGE(BP536,BP537),"")</f>
        <v/>
      </c>
      <c r="BQ538" s="378">
        <f>IFERROR(AVERAGE(BQ536,BQ537),"")</f>
        <v/>
      </c>
      <c r="BR538" s="378">
        <f>IFERROR(AVERAGE(BR536,BR537),"")</f>
        <v/>
      </c>
      <c r="BS538" s="1159">
        <f>IFERROR(AVERAGE(BS536,BS537),"")</f>
        <v/>
      </c>
      <c r="BT538" s="378">
        <f>IFERROR(AVERAGE(BT536,BT537),"")</f>
        <v/>
      </c>
      <c r="BU538" s="378">
        <f>IFERROR(AVERAGE(BU536,BU537),"")</f>
        <v/>
      </c>
      <c r="BV538" s="1037">
        <f>IFERROR(AVERAGE(BV536,BV537),"")</f>
        <v/>
      </c>
      <c r="BW538" s="378" t="n"/>
      <c r="BX538" s="1159" t="n"/>
      <c r="BY538" s="378" t="n"/>
      <c r="BZ538" s="378" t="n"/>
      <c r="CA538" s="378" t="n"/>
      <c r="CB538" s="378" t="n"/>
      <c r="CC538" s="1159" t="n"/>
      <c r="CD538" s="1159" t="n"/>
      <c r="CE538" s="1159" t="n"/>
      <c r="CF538" s="1159" t="n"/>
      <c r="CG538" s="93" t="n"/>
    </row>
    <row r="539" hidden="1" outlineLevel="2" ht="15" customHeight="1">
      <c r="A539" s="492" t="inlineStr">
        <is>
          <t>Forward annual Non-GAAP Operating Expenses guidance variance, mm</t>
        </is>
      </c>
      <c r="B539" s="428" t="n"/>
      <c r="C539" s="1134" t="n"/>
      <c r="D539" s="1134" t="n"/>
      <c r="E539" s="1134" t="n"/>
      <c r="F539" s="1134" t="n"/>
      <c r="G539" s="93" t="n"/>
      <c r="H539" s="93" t="n"/>
      <c r="I539" s="93" t="n"/>
      <c r="J539" s="93" t="n"/>
      <c r="K539" s="1134" t="n"/>
      <c r="L539" s="93" t="n"/>
      <c r="M539" s="93" t="n"/>
      <c r="N539" s="93" t="n"/>
      <c r="O539" s="93" t="n"/>
      <c r="P539" s="1134" t="n"/>
      <c r="Q539" s="93" t="n"/>
      <c r="R539" s="93" t="n"/>
      <c r="S539" s="93" t="n"/>
      <c r="T539" s="93" t="n"/>
      <c r="U539" s="1134" t="n"/>
      <c r="V539" s="93" t="n"/>
      <c r="W539" s="93" t="n"/>
      <c r="X539" s="93" t="n"/>
      <c r="Y539" s="93" t="n"/>
      <c r="Z539" s="1134" t="n"/>
      <c r="AA539" s="93" t="n"/>
      <c r="AB539" s="93" t="n"/>
      <c r="AC539" s="93" t="n"/>
      <c r="AD539" s="93" t="n"/>
      <c r="AE539" s="1134" t="n"/>
      <c r="AF539" s="93" t="n"/>
      <c r="AG539" s="93" t="n"/>
      <c r="AH539" s="93" t="n"/>
      <c r="AI539" s="93" t="n"/>
      <c r="AJ539" s="1134" t="n"/>
      <c r="AK539" s="93" t="n"/>
      <c r="AL539" s="93" t="n"/>
      <c r="AM539" s="93" t="n"/>
      <c r="AN539" s="93" t="n"/>
      <c r="AO539" s="1134" t="n"/>
      <c r="AP539" s="93" t="n"/>
      <c r="AQ539" s="93" t="n"/>
      <c r="AR539" s="93" t="n"/>
      <c r="AS539" s="93" t="n"/>
      <c r="AT539" s="1134" t="n"/>
      <c r="AU539" s="93">
        <f>IFERROR(ABS(AU537-AU536),"")</f>
        <v/>
      </c>
      <c r="AV539" s="93">
        <f>IFERROR(ABS(AV537-AV536),"")</f>
        <v/>
      </c>
      <c r="AW539" s="93">
        <f>IFERROR(ABS(AW537-AW536),"")</f>
        <v/>
      </c>
      <c r="AX539" s="93">
        <f>IFERROR(ABS(AX537-AX536),"")</f>
        <v/>
      </c>
      <c r="AY539" s="1134">
        <f>IFERROR(ABS(AY537-AY536),"")</f>
        <v/>
      </c>
      <c r="AZ539" s="93">
        <f>IFERROR(ABS(AZ537-AZ536),"")</f>
        <v/>
      </c>
      <c r="BA539" s="93">
        <f>IFERROR(ABS(BA537-BA536),"")</f>
        <v/>
      </c>
      <c r="BB539" s="93">
        <f>IFERROR(ABS(BB537-BB536),"")</f>
        <v/>
      </c>
      <c r="BC539" s="93">
        <f>IFERROR(ABS(BC537-BC536),"")</f>
        <v/>
      </c>
      <c r="BD539" s="1134">
        <f>IFERROR(ABS(BD537-BD536),"")</f>
        <v/>
      </c>
      <c r="BE539" s="93">
        <f>IFERROR(ABS(BE537-BE536),"")</f>
        <v/>
      </c>
      <c r="BF539" s="93">
        <f>IFERROR(ABS(BF537-BF536),"")</f>
        <v/>
      </c>
      <c r="BG539" s="93">
        <f>IFERROR(ABS(BG537-BG536),"")</f>
        <v/>
      </c>
      <c r="BH539" s="93">
        <f>IFERROR(ABS(BH537-BH536),"")</f>
        <v/>
      </c>
      <c r="BI539" s="1134">
        <f>IFERROR(ABS(BI537-BI536),"")</f>
        <v/>
      </c>
      <c r="BJ539" s="93">
        <f>IFERROR(ABS(BJ537-BJ536),"")</f>
        <v/>
      </c>
      <c r="BK539" s="93">
        <f>IFERROR(ABS(BK537-BK536),"")</f>
        <v/>
      </c>
      <c r="BL539" s="93">
        <f>IFERROR(ABS(BL537-BL536),"")</f>
        <v/>
      </c>
      <c r="BM539" s="93">
        <f>IFERROR(ABS(BM537-BM536),"")</f>
        <v/>
      </c>
      <c r="BN539" s="1134">
        <f>IFERROR(ABS(BN537-BN536),"")</f>
        <v/>
      </c>
      <c r="BO539" s="93">
        <f>IFERROR(ABS(BO537-BO536),"")</f>
        <v/>
      </c>
      <c r="BP539" s="93">
        <f>IFERROR(ABS(BP537-BP536),"")</f>
        <v/>
      </c>
      <c r="BQ539" s="93">
        <f>IFERROR(ABS(BQ537-BQ536),"")</f>
        <v/>
      </c>
      <c r="BR539" s="93">
        <f>IFERROR(ABS(BR537-BR536),"")</f>
        <v/>
      </c>
      <c r="BS539" s="1134">
        <f>IFERROR(ABS(BS537-BS536),"")</f>
        <v/>
      </c>
      <c r="BT539" s="93">
        <f>IFERROR(ABS(BT537-BT536),"")</f>
        <v/>
      </c>
      <c r="BU539" s="93">
        <f>IFERROR(ABS(BU537-BU536),"")</f>
        <v/>
      </c>
      <c r="BV539" s="522">
        <f>IFERROR(ABS(BV537-BV536),"")</f>
        <v/>
      </c>
      <c r="BW539" s="93" t="n"/>
      <c r="BX539" s="1134" t="n"/>
      <c r="BY539" s="93" t="n"/>
      <c r="BZ539" s="93" t="n"/>
      <c r="CA539" s="93" t="n"/>
      <c r="CB539" s="93" t="n"/>
      <c r="CC539" s="1134" t="n"/>
      <c r="CD539" s="1134" t="n"/>
      <c r="CE539" s="1134" t="n"/>
      <c r="CF539" s="1134" t="n"/>
      <c r="CG539" s="93" t="n"/>
    </row>
    <row r="540" hidden="1" outlineLevel="2" ht="15" customHeight="1">
      <c r="A540" s="647" t="inlineStr">
        <is>
          <t>Forward annual Non-GAAP Operating Expenses guidance variance (+/-), %</t>
        </is>
      </c>
      <c r="B540" s="428" t="n"/>
      <c r="C540" s="1126">
        <f>IFERROR(ABS((C537-C538)/C538),"")</f>
        <v/>
      </c>
      <c r="D540" s="1126">
        <f>IFERROR(ABS((D537-D538)/D538),"")</f>
        <v/>
      </c>
      <c r="E540" s="1126">
        <f>IFERROR(ABS((E537-E538)/E538),"")</f>
        <v/>
      </c>
      <c r="F540" s="1126">
        <f>IFERROR(ABS((F537-F538)/F538),"")</f>
        <v/>
      </c>
      <c r="G540" s="315">
        <f>IFERROR(ABS((G537-G538)/G538),"")</f>
        <v/>
      </c>
      <c r="H540" s="315">
        <f>IFERROR(ABS((H537-H538)/H538),"")</f>
        <v/>
      </c>
      <c r="I540" s="315">
        <f>IFERROR(ABS((I537-I538)/I538),"")</f>
        <v/>
      </c>
      <c r="J540" s="315">
        <f>IFERROR(ABS((J537-J538)/J538),"")</f>
        <v/>
      </c>
      <c r="K540" s="1126">
        <f>IFERROR(ABS((K537-K538)/K538),"")</f>
        <v/>
      </c>
      <c r="L540" s="315">
        <f>IFERROR(ABS((L537-L538)/L538),"")</f>
        <v/>
      </c>
      <c r="M540" s="315">
        <f>IFERROR(ABS((M537-M538)/M538),"")</f>
        <v/>
      </c>
      <c r="N540" s="315">
        <f>IFERROR(ABS((N537-N538)/N538),"")</f>
        <v/>
      </c>
      <c r="O540" s="315">
        <f>IFERROR(ABS((O537-O538)/O538),"")</f>
        <v/>
      </c>
      <c r="P540" s="1126">
        <f>IFERROR(ABS((P537-P538)/P538),"")</f>
        <v/>
      </c>
      <c r="Q540" s="315">
        <f>IFERROR(ABS((Q537-Q538)/Q538),"")</f>
        <v/>
      </c>
      <c r="R540" s="315">
        <f>IFERROR(ABS((R537-R538)/R538),"")</f>
        <v/>
      </c>
      <c r="S540" s="315">
        <f>IFERROR(ABS((S537-S538)/S538),"")</f>
        <v/>
      </c>
      <c r="T540" s="315">
        <f>IFERROR(ABS((T537-T538)/T538),"")</f>
        <v/>
      </c>
      <c r="U540" s="1126">
        <f>IFERROR(ABS((U537-U538)/U538),"")</f>
        <v/>
      </c>
      <c r="V540" s="315">
        <f>IFERROR(ABS((V537-V538)/V538),"")</f>
        <v/>
      </c>
      <c r="W540" s="315">
        <f>IFERROR(ABS((W537-W538)/W538),"")</f>
        <v/>
      </c>
      <c r="X540" s="315">
        <f>IFERROR(ABS((X537-X538)/X538),"")</f>
        <v/>
      </c>
      <c r="Y540" s="315">
        <f>IFERROR(ABS((Y537-Y538)/Y538),"")</f>
        <v/>
      </c>
      <c r="Z540" s="1126">
        <f>IFERROR(ABS((Z537-Z538)/Z538),"")</f>
        <v/>
      </c>
      <c r="AA540" s="315">
        <f>IFERROR(ABS((AA537-AA538)/AA538),"")</f>
        <v/>
      </c>
      <c r="AB540" s="315">
        <f>IFERROR(ABS((AB537-AB538)/AB538),"")</f>
        <v/>
      </c>
      <c r="AC540" s="315">
        <f>IFERROR(ABS((AC537-AC538)/AC538),"")</f>
        <v/>
      </c>
      <c r="AD540" s="315">
        <f>IFERROR(ABS((AD537-AD538)/AD538),"")</f>
        <v/>
      </c>
      <c r="AE540" s="1126">
        <f>IFERROR(ABS((AE537-AE538)/AE538),"")</f>
        <v/>
      </c>
      <c r="AF540" s="315">
        <f>IFERROR(ABS((AF537-AF538)/AF538),"")</f>
        <v/>
      </c>
      <c r="AG540" s="315">
        <f>IFERROR(ABS((AG537-AG538)/AG538),"")</f>
        <v/>
      </c>
      <c r="AH540" s="315">
        <f>IFERROR(ABS((AH537-AH538)/AH538),"")</f>
        <v/>
      </c>
      <c r="AI540" s="315">
        <f>IFERROR(ABS((AI537-AI538)/AI538),"")</f>
        <v/>
      </c>
      <c r="AJ540" s="1126">
        <f>IFERROR(ABS((AJ537-AJ538)/AJ538),"")</f>
        <v/>
      </c>
      <c r="AK540" s="315">
        <f>IFERROR(ABS((AK537-AK538)/AK538),"")</f>
        <v/>
      </c>
      <c r="AL540" s="315">
        <f>IFERROR(ABS((AL537-AL538)/AL538),"")</f>
        <v/>
      </c>
      <c r="AM540" s="315">
        <f>IFERROR(ABS((AM537-AM538)/AM538),"")</f>
        <v/>
      </c>
      <c r="AN540" s="315">
        <f>IFERROR(ABS((AN537-AN538)/AN538),"")</f>
        <v/>
      </c>
      <c r="AO540" s="1126">
        <f>IFERROR(ABS((AO537-AO538)/AO538),"")</f>
        <v/>
      </c>
      <c r="AP540" s="315">
        <f>IFERROR(ABS((AP537-AP538)/AP538),"")</f>
        <v/>
      </c>
      <c r="AQ540" s="315">
        <f>IFERROR(ABS((AQ537-AQ538)/AQ538),"")</f>
        <v/>
      </c>
      <c r="AR540" s="315">
        <f>IFERROR(ABS((AR537-AR538)/AR538),"")</f>
        <v/>
      </c>
      <c r="AS540" s="315">
        <f>IFERROR(ABS((AS537-AS538)/AS538),"")</f>
        <v/>
      </c>
      <c r="AT540" s="1126">
        <f>IFERROR(ABS((AT537-AT538)/AT538),"")</f>
        <v/>
      </c>
      <c r="AU540" s="315">
        <f>IFERROR(ABS((AU537-AU538)/AU538),"")</f>
        <v/>
      </c>
      <c r="AV540" s="315">
        <f>IFERROR(ABS((AV537-AV538)/AV538),"")</f>
        <v/>
      </c>
      <c r="AW540" s="315">
        <f>IFERROR(ABS((AW537-AW538)/AW538),"")</f>
        <v/>
      </c>
      <c r="AX540" s="315">
        <f>IFERROR(ABS((AX537-AX538)/AX538),"")</f>
        <v/>
      </c>
      <c r="AY540" s="1126">
        <f>IFERROR(ABS((AY537-AY538)/AY538),"")</f>
        <v/>
      </c>
      <c r="AZ540" s="315">
        <f>IFERROR(ABS((AZ537-AZ538)/AZ538),"")</f>
        <v/>
      </c>
      <c r="BA540" s="315">
        <f>IFERROR(ABS((BA537-BA538)/BA538),"")</f>
        <v/>
      </c>
      <c r="BB540" s="315">
        <f>IFERROR(ABS((BB537-BB538)/BB538),"")</f>
        <v/>
      </c>
      <c r="BC540" s="315">
        <f>IFERROR(ABS((BC537-BC538)/BC538),"")</f>
        <v/>
      </c>
      <c r="BD540" s="1126">
        <f>IFERROR(ABS((BD537-BD538)/BD538),"")</f>
        <v/>
      </c>
      <c r="BE540" s="315">
        <f>IFERROR(ABS((BE537-BE538)/BE538),"")</f>
        <v/>
      </c>
      <c r="BF540" s="315">
        <f>IFERROR(ABS((BF537-BF538)/BF538),"")</f>
        <v/>
      </c>
      <c r="BG540" s="315">
        <f>IFERROR(ABS((BG537-BG538)/BG538),"")</f>
        <v/>
      </c>
      <c r="BH540" s="315">
        <f>IFERROR(ABS((BH537-BH538)/BH538),"")</f>
        <v/>
      </c>
      <c r="BI540" s="1126">
        <f>IFERROR(ABS((BI537-BI538)/BI538),"")</f>
        <v/>
      </c>
      <c r="BJ540" s="315">
        <f>IFERROR(ABS((BJ537-BJ538)/BJ538),"")</f>
        <v/>
      </c>
      <c r="BK540" s="315">
        <f>IFERROR(ABS((BK537-BK538)/BK538),"")</f>
        <v/>
      </c>
      <c r="BL540" s="315">
        <f>IFERROR(ABS((BL537-BL538)/BL538),"")</f>
        <v/>
      </c>
      <c r="BM540" s="315">
        <f>IFERROR(ABS((BM537-BM538)/BM538),"")</f>
        <v/>
      </c>
      <c r="BN540" s="1126">
        <f>IFERROR(ABS((BN537-BN538)/BN538),"")</f>
        <v/>
      </c>
      <c r="BO540" s="315">
        <f>IFERROR(ABS((BO537-BO538)/BO538),"")</f>
        <v/>
      </c>
      <c r="BP540" s="315">
        <f>IFERROR(ABS((BP537-BP538)/BP538),"")</f>
        <v/>
      </c>
      <c r="BQ540" s="315">
        <f>IFERROR(ABS((BQ537-BQ538)/BQ538),"")</f>
        <v/>
      </c>
      <c r="BR540" s="315">
        <f>IFERROR(ABS((BR537-BR538)/BR538),"")</f>
        <v/>
      </c>
      <c r="BS540" s="1126">
        <f>IFERROR(ABS((BS537-BS538)/BS538),"")</f>
        <v/>
      </c>
      <c r="BT540" s="315">
        <f>IFERROR(ABS((BT537-BT538)/BT538),"")</f>
        <v/>
      </c>
      <c r="BU540" s="315">
        <f>IFERROR(ABS((BU537-BU538)/BU538),"")</f>
        <v/>
      </c>
      <c r="BV540" s="885">
        <f>IFERROR(ABS((BV537-BV538)/BV538),"")</f>
        <v/>
      </c>
      <c r="BW540" s="315" t="n"/>
      <c r="BX540" s="1126" t="n"/>
      <c r="BY540" s="315" t="n"/>
      <c r="BZ540" s="315" t="n"/>
      <c r="CA540" s="315" t="n"/>
      <c r="CB540" s="315" t="n"/>
      <c r="CC540" s="1126" t="n"/>
      <c r="CD540" s="1126" t="n"/>
      <c r="CE540" s="1126" t="n"/>
      <c r="CF540" s="1126" t="n"/>
      <c r="CG540" s="93" t="n"/>
    </row>
    <row r="541" hidden="1" outlineLevel="1" collapsed="1" ht="15" customHeight="1">
      <c r="A541" s="799" t="n"/>
      <c r="B541" s="428" t="n"/>
      <c r="C541" s="1134" t="n"/>
      <c r="D541" s="1134" t="n"/>
      <c r="E541" s="1134" t="n"/>
      <c r="F541" s="1134" t="n"/>
      <c r="G541" s="93" t="n"/>
      <c r="H541" s="93" t="n"/>
      <c r="I541" s="93" t="n"/>
      <c r="J541" s="93" t="n"/>
      <c r="K541" s="1134" t="n"/>
      <c r="L541" s="93" t="n"/>
      <c r="M541" s="93" t="n"/>
      <c r="N541" s="93" t="n"/>
      <c r="O541" s="93" t="n"/>
      <c r="P541" s="1134" t="n"/>
      <c r="Q541" s="93" t="n"/>
      <c r="R541" s="93" t="n"/>
      <c r="S541" s="93" t="n"/>
      <c r="T541" s="93" t="n"/>
      <c r="U541" s="1134" t="n"/>
      <c r="V541" s="93" t="n"/>
      <c r="W541" s="93" t="n"/>
      <c r="X541" s="93" t="n"/>
      <c r="Y541" s="93" t="n"/>
      <c r="Z541" s="1134" t="n"/>
      <c r="AA541" s="93" t="n"/>
      <c r="AB541" s="93" t="n"/>
      <c r="AC541" s="93" t="n"/>
      <c r="AD541" s="93" t="n"/>
      <c r="AE541" s="1134" t="n"/>
      <c r="AF541" s="93" t="n"/>
      <c r="AG541" s="93" t="n"/>
      <c r="AH541" s="93" t="n"/>
      <c r="AI541" s="93" t="n"/>
      <c r="AJ541" s="1134" t="n"/>
      <c r="AK541" s="93" t="n"/>
      <c r="AL541" s="93" t="n"/>
      <c r="AM541" s="93" t="n"/>
      <c r="AN541" s="93" t="n"/>
      <c r="AO541" s="1134" t="n"/>
      <c r="AP541" s="93" t="n"/>
      <c r="AQ541" s="93" t="n"/>
      <c r="AR541" s="93" t="n"/>
      <c r="AS541" s="93" t="n"/>
      <c r="AT541" s="1134" t="n"/>
      <c r="AU541" s="93" t="n"/>
      <c r="AV541" s="93" t="n"/>
      <c r="AW541" s="93" t="n"/>
      <c r="AX541" s="93" t="n"/>
      <c r="AY541" s="1134" t="n"/>
      <c r="AZ541" s="93" t="n"/>
      <c r="BA541" s="93" t="n"/>
      <c r="BB541" s="93" t="n"/>
      <c r="BC541" s="93" t="n"/>
      <c r="BD541" s="1134" t="n"/>
      <c r="BE541" s="93" t="n"/>
      <c r="BF541" s="93" t="n"/>
      <c r="BG541" s="93" t="n"/>
      <c r="BH541" s="93" t="n"/>
      <c r="BI541" s="1134" t="n"/>
      <c r="BJ541" s="93" t="n"/>
      <c r="BK541" s="93" t="n"/>
      <c r="BL541" s="93" t="n"/>
      <c r="BM541" s="93" t="n"/>
      <c r="BN541" s="1134" t="n"/>
      <c r="BO541" s="93" t="n"/>
      <c r="BP541" s="93" t="n"/>
      <c r="BQ541" s="93" t="n"/>
      <c r="BR541" s="93" t="n"/>
      <c r="BS541" s="1134" t="n"/>
      <c r="BT541" s="93" t="n"/>
      <c r="BU541" s="93" t="n"/>
      <c r="BV541" s="522" t="n"/>
      <c r="BW541" s="93" t="n"/>
      <c r="BX541" s="1134" t="n"/>
      <c r="BY541" s="93" t="n"/>
      <c r="BZ541" s="93" t="n"/>
      <c r="CA541" s="93" t="n"/>
      <c r="CB541" s="93" t="n"/>
      <c r="CC541" s="1134" t="n"/>
      <c r="CD541" s="1134" t="n"/>
      <c r="CE541" s="1134" t="n"/>
      <c r="CF541" s="1134" t="n"/>
      <c r="CG541" s="93" t="n"/>
    </row>
    <row r="542" hidden="1" outlineLevel="1" ht="15" customHeight="1">
      <c r="A542" s="493" t="inlineStr">
        <is>
          <t>Capex - Guidance Analysis</t>
        </is>
      </c>
      <c r="B542" s="494" t="n"/>
      <c r="C542" s="45" t="n"/>
      <c r="D542" s="45" t="n"/>
      <c r="E542" s="45" t="n"/>
      <c r="F542" s="45" t="n"/>
      <c r="G542" s="45" t="n"/>
      <c r="H542" s="45" t="n"/>
      <c r="I542" s="45" t="n"/>
      <c r="J542" s="45" t="n"/>
      <c r="K542" s="45" t="n"/>
      <c r="L542" s="45" t="n"/>
      <c r="M542" s="45" t="n"/>
      <c r="N542" s="45" t="n"/>
      <c r="O542" s="45" t="n"/>
      <c r="P542" s="45" t="n"/>
      <c r="Q542" s="45" t="n"/>
      <c r="R542" s="45" t="n"/>
      <c r="S542" s="45" t="n"/>
      <c r="T542" s="45" t="n"/>
      <c r="U542" s="45" t="n"/>
      <c r="V542" s="45" t="n"/>
      <c r="W542" s="45" t="n"/>
      <c r="X542" s="45" t="n"/>
      <c r="Y542" s="45" t="n"/>
      <c r="Z542" s="45" t="n"/>
      <c r="AA542" s="45" t="n"/>
      <c r="AB542" s="45" t="n"/>
      <c r="AC542" s="45" t="n"/>
      <c r="AD542" s="45" t="n"/>
      <c r="AE542" s="45" t="n"/>
      <c r="AF542" s="45" t="n"/>
      <c r="AG542" s="45" t="n"/>
      <c r="AH542" s="45" t="n"/>
      <c r="AI542" s="45" t="n"/>
      <c r="AJ542" s="45" t="n"/>
      <c r="AK542" s="45" t="n"/>
      <c r="AL542" s="45" t="n"/>
      <c r="AM542" s="45" t="n"/>
      <c r="AN542" s="45" t="n"/>
      <c r="AO542" s="45" t="n"/>
      <c r="AP542" s="45" t="n"/>
      <c r="AQ542" s="45" t="n"/>
      <c r="AR542" s="45" t="n"/>
      <c r="AS542" s="45" t="n"/>
      <c r="AT542" s="45" t="n"/>
      <c r="AU542" s="45" t="n"/>
      <c r="AV542" s="45" t="n"/>
      <c r="AW542" s="45" t="n"/>
      <c r="AX542" s="45" t="n"/>
      <c r="AY542" s="45" t="n"/>
      <c r="AZ542" s="45" t="n"/>
      <c r="BA542" s="45" t="n"/>
      <c r="BB542" s="45" t="n"/>
      <c r="BC542" s="45" t="n"/>
      <c r="BD542" s="45" t="n"/>
      <c r="BE542" s="45" t="n"/>
      <c r="BF542" s="45" t="n"/>
      <c r="BG542" s="45" t="n"/>
      <c r="BH542" s="45" t="n"/>
      <c r="BI542" s="45" t="n"/>
      <c r="BJ542" s="45" t="n"/>
      <c r="BK542" s="45" t="n"/>
      <c r="BL542" s="45" t="n"/>
      <c r="BM542" s="45" t="n"/>
      <c r="BN542" s="45" t="n"/>
      <c r="BO542" s="45" t="n"/>
      <c r="BP542" s="45" t="n"/>
      <c r="BQ542" s="45" t="n"/>
      <c r="BR542" s="45" t="n"/>
      <c r="BS542" s="45" t="n"/>
      <c r="BT542" s="45" t="n"/>
      <c r="BU542" s="45" t="n"/>
      <c r="BV542" s="982" t="n"/>
      <c r="BW542" s="45" t="n"/>
      <c r="BX542" s="45" t="n"/>
      <c r="BY542" s="45" t="n"/>
      <c r="BZ542" s="45" t="n"/>
      <c r="CA542" s="45" t="n"/>
      <c r="CB542" s="45" t="n"/>
      <c r="CC542" s="45" t="n"/>
      <c r="CD542" s="45" t="n"/>
      <c r="CE542" s="45" t="n"/>
      <c r="CF542" s="45" t="n"/>
      <c r="CG542" s="228" t="n"/>
    </row>
    <row r="543" hidden="1" outlineLevel="2" ht="15" customHeight="1">
      <c r="A543" s="492" t="inlineStr">
        <is>
          <t>Capex guidance - initial midpoint, mm</t>
        </is>
      </c>
      <c r="B543" s="428" t="n"/>
      <c r="C543" s="1134" t="n"/>
      <c r="D543" s="1134" t="n"/>
      <c r="E543" s="1134" t="n"/>
      <c r="F543" s="1134" t="n"/>
      <c r="G543" s="93" t="n"/>
      <c r="H543" s="93" t="n"/>
      <c r="I543" s="93" t="n"/>
      <c r="J543" s="93" t="n"/>
      <c r="K543" s="1134" t="n"/>
      <c r="L543" s="93" t="n"/>
      <c r="M543" s="93" t="n"/>
      <c r="N543" s="93" t="n"/>
      <c r="O543" s="93" t="n"/>
      <c r="P543" s="1134" t="n"/>
      <c r="Q543" s="93" t="n"/>
      <c r="R543" s="93" t="n"/>
      <c r="S543" s="93" t="n"/>
      <c r="T543" s="93" t="n"/>
      <c r="U543" s="1134" t="n"/>
      <c r="V543" s="93" t="n"/>
      <c r="W543" s="93" t="n"/>
      <c r="X543" s="93" t="n"/>
      <c r="Y543" s="93" t="n"/>
      <c r="Z543" s="1134" t="n"/>
      <c r="AA543" s="93" t="n"/>
      <c r="AB543" s="93" t="n"/>
      <c r="AC543" s="93" t="n"/>
      <c r="AD543" s="93" t="n"/>
      <c r="AE543" s="1134" t="n"/>
      <c r="AF543" s="93" t="n"/>
      <c r="AG543" s="93" t="n"/>
      <c r="AH543" s="93">
        <f>IF(ISBLANK(AG556),"",AG556)</f>
        <v/>
      </c>
      <c r="AI543" s="93">
        <f>IF(ISBLANK(AH556),"",AH556)</f>
        <v/>
      </c>
      <c r="AJ543" s="1134">
        <f>IF(ISBLANK(AD563),"",AD563)</f>
        <v/>
      </c>
      <c r="AK543" s="93">
        <f>IF(ISBLANK(AI556),"",AI556)</f>
        <v/>
      </c>
      <c r="AL543" s="93">
        <f>IF(ISBLANK(AK556),"",AK556)</f>
        <v/>
      </c>
      <c r="AM543" s="93">
        <f>IF(ISBLANK(AL556),"",AL556)</f>
        <v/>
      </c>
      <c r="AN543" s="93">
        <f>IF(ISBLANK(AM556),"",AM556)</f>
        <v/>
      </c>
      <c r="AO543" s="1134">
        <f>IF(ISBLANK(AI563),"",AI563)</f>
        <v/>
      </c>
      <c r="AP543" s="93">
        <f>IF(ISBLANK(AN556),"",AN556)</f>
        <v/>
      </c>
      <c r="AQ543" s="93">
        <f>IF(ISBLANK(AP556),"",AP556)</f>
        <v/>
      </c>
      <c r="AR543" s="93">
        <f>IF(ISBLANK(AQ556),"",AQ556)</f>
        <v/>
      </c>
      <c r="AS543" s="93">
        <f>IF(ISBLANK(AR556),"",AR556)</f>
        <v/>
      </c>
      <c r="AT543" s="1134">
        <f>IF(ISBLANK(AN563),"",AN563)</f>
        <v/>
      </c>
      <c r="AU543" s="93">
        <f>IF(ISBLANK(AS556),"",AS556)</f>
        <v/>
      </c>
      <c r="AV543" s="93">
        <f>IF(ISBLANK(AU556),"",AU556)</f>
        <v/>
      </c>
      <c r="AW543" s="93">
        <f>IF(ISBLANK(AV556),"",AV556)</f>
        <v/>
      </c>
      <c r="AX543" s="93">
        <f>IF(ISBLANK(AW556),"",AW556)</f>
        <v/>
      </c>
      <c r="AY543" s="1134">
        <f>IF(ISBLANK(AS563),"",AS563)</f>
        <v/>
      </c>
      <c r="AZ543" s="93">
        <f>IF(ISBLANK(AX556),"",AX556)</f>
        <v/>
      </c>
      <c r="BA543" s="93">
        <f>IF(ISBLANK(AZ556),"",AZ556)</f>
        <v/>
      </c>
      <c r="BB543" s="93">
        <f>IF(ISBLANK(BA556),"",BA556)</f>
        <v/>
      </c>
      <c r="BC543" s="93">
        <f>IF(ISBLANK(BB556),"",BB556)</f>
        <v/>
      </c>
      <c r="BD543" s="1134">
        <f>IF(ISBLANK(AX563),"",AX563)</f>
        <v/>
      </c>
      <c r="BE543" s="93">
        <f>IF(ISBLANK(BC556),"",BC556)</f>
        <v/>
      </c>
      <c r="BF543" s="93">
        <f>IF(ISBLANK(BE556),"",BE556)</f>
        <v/>
      </c>
      <c r="BG543" s="93">
        <f>IF(ISBLANK(BF556),"",BF556)</f>
        <v/>
      </c>
      <c r="BH543" s="93">
        <f>IF(ISBLANK(BG556),"",BG556)</f>
        <v/>
      </c>
      <c r="BI543" s="1134">
        <f>IF(ISBLANK(BC563),"",BC563)</f>
        <v/>
      </c>
      <c r="BJ543" s="93">
        <f>IF(ISBLANK(BH556),"",BH556)</f>
        <v/>
      </c>
      <c r="BK543" s="93">
        <f>IF(ISBLANK(BJ556),"",BJ556)</f>
        <v/>
      </c>
      <c r="BL543" s="93">
        <f>IF(ISBLANK(BK556),"",BK556)</f>
        <v/>
      </c>
      <c r="BM543" s="93">
        <f>IF(ISBLANK(BL556),"",BL556)</f>
        <v/>
      </c>
      <c r="BN543" s="1134">
        <f>IF(ISBLANK(BH563),"",BH563)</f>
        <v/>
      </c>
      <c r="BO543" s="93">
        <f>IF(ISBLANK(BM556),"",BM556)</f>
        <v/>
      </c>
      <c r="BP543" s="93">
        <f>IF(ISBLANK(BO556),"",BO556)</f>
        <v/>
      </c>
      <c r="BQ543" s="93">
        <f>IF(ISBLANK(BP556),"",BP556)</f>
        <v/>
      </c>
      <c r="BR543" s="93">
        <f>IF(ISBLANK(BQ556),"",BQ556)</f>
        <v/>
      </c>
      <c r="BS543" s="1134">
        <f>IF(ISBLANK(BM563),"",BM563)</f>
        <v/>
      </c>
      <c r="BT543" s="93">
        <f>IF(ISBLANK(BR556),"",BR556)</f>
        <v/>
      </c>
      <c r="BU543" s="93">
        <f>IF(ISBLANK(BT556),"",BT556)</f>
        <v/>
      </c>
      <c r="BV543" s="522">
        <f>IF(ISBLANK(BU556),"",BU556)</f>
        <v/>
      </c>
      <c r="BW543" s="93">
        <f>IF(ISBLANK(BV556),"",BV556)</f>
        <v/>
      </c>
      <c r="BX543" s="1134">
        <f>IF(ISBLANK(BR563),"",BR563)</f>
        <v/>
      </c>
      <c r="BY543" s="93">
        <f>IF(ISBLANK(BW556),"",BW556)</f>
        <v/>
      </c>
      <c r="BZ543" s="93">
        <f>IF(ISBLANK(BY556),"",BY556)</f>
        <v/>
      </c>
      <c r="CA543" s="93">
        <f>IF(ISBLANK(BZ556),"",BZ556)</f>
        <v/>
      </c>
      <c r="CB543" s="93">
        <f>IF(ISBLANK(CA556),"",CA556)</f>
        <v/>
      </c>
      <c r="CC543" s="1134">
        <f>IF(ISBLANK(BW563),"",BW563)</f>
        <v/>
      </c>
      <c r="CD543" s="1134" t="n"/>
      <c r="CE543" s="1134" t="n"/>
      <c r="CF543" s="1134" t="n"/>
      <c r="CG543" s="93" t="n"/>
    </row>
    <row r="544" hidden="1" outlineLevel="2" ht="15" customHeight="1">
      <c r="A544" s="492" t="inlineStr">
        <is>
          <t>Capex guidance - update 1 midpoint, mm</t>
        </is>
      </c>
      <c r="B544" s="428" t="n"/>
      <c r="C544" s="1134" t="n"/>
      <c r="D544" s="1134" t="n"/>
      <c r="E544" s="1134" t="n"/>
      <c r="F544" s="1134" t="n"/>
      <c r="G544" s="93" t="n"/>
      <c r="H544" s="93" t="n"/>
      <c r="I544" s="93" t="n"/>
      <c r="J544" s="93" t="n"/>
      <c r="K544" s="1134" t="n"/>
      <c r="L544" s="93" t="n"/>
      <c r="M544" s="93" t="n"/>
      <c r="N544" s="93" t="n"/>
      <c r="O544" s="93" t="n"/>
      <c r="P544" s="1134" t="n"/>
      <c r="Q544" s="93" t="n"/>
      <c r="R544" s="93" t="n"/>
      <c r="S544" s="93" t="n"/>
      <c r="T544" s="93" t="n"/>
      <c r="U544" s="1134" t="n"/>
      <c r="V544" s="93" t="n"/>
      <c r="W544" s="93" t="n"/>
      <c r="X544" s="93" t="n"/>
      <c r="Y544" s="93" t="n"/>
      <c r="Z544" s="1134" t="n"/>
      <c r="AA544" s="93" t="n"/>
      <c r="AB544" s="93" t="n"/>
      <c r="AC544" s="93" t="n"/>
      <c r="AD544" s="93" t="n"/>
      <c r="AE544" s="1134" t="n"/>
      <c r="AF544" s="93" t="n"/>
      <c r="AG544" s="93" t="n"/>
      <c r="AH544" s="93" t="n"/>
      <c r="AI544" s="93" t="n"/>
      <c r="AJ544" s="1134">
        <f>IF(ISBLANK(AF563),"",AF563)</f>
        <v/>
      </c>
      <c r="AK544" s="93" t="n"/>
      <c r="AL544" s="93" t="n"/>
      <c r="AM544" s="93" t="n"/>
      <c r="AN544" s="93" t="n"/>
      <c r="AO544" s="1134">
        <f>IF(ISBLANK(AK563),"",AK563)</f>
        <v/>
      </c>
      <c r="AP544" s="93" t="n"/>
      <c r="AQ544" s="93" t="n"/>
      <c r="AR544" s="93" t="n"/>
      <c r="AS544" s="93" t="n"/>
      <c r="AT544" s="1134">
        <f>IF(ISBLANK(AP563),"",AP563)</f>
        <v/>
      </c>
      <c r="AU544" s="93" t="n"/>
      <c r="AV544" s="93" t="n"/>
      <c r="AW544" s="93" t="n"/>
      <c r="AX544" s="93" t="n"/>
      <c r="AY544" s="1134">
        <f>IF(ISBLANK(AU563),"",AU563)</f>
        <v/>
      </c>
      <c r="AZ544" s="93" t="n"/>
      <c r="BA544" s="93" t="n"/>
      <c r="BB544" s="93" t="n"/>
      <c r="BC544" s="93" t="n"/>
      <c r="BD544" s="1134">
        <f>IF(ISBLANK(AZ563),"",AZ563)</f>
        <v/>
      </c>
      <c r="BE544" s="93" t="n"/>
      <c r="BF544" s="93" t="n"/>
      <c r="BG544" s="93" t="n"/>
      <c r="BH544" s="93" t="n"/>
      <c r="BI544" s="1134">
        <f>IF(ISBLANK(BE563),"",BE563)</f>
        <v/>
      </c>
      <c r="BJ544" s="93" t="n"/>
      <c r="BK544" s="93" t="n"/>
      <c r="BL544" s="93" t="n"/>
      <c r="BM544" s="93" t="n"/>
      <c r="BN544" s="1134">
        <f>IF(ISBLANK(BJ563),"",BJ563)</f>
        <v/>
      </c>
      <c r="BO544" s="93" t="n"/>
      <c r="BP544" s="93" t="n"/>
      <c r="BQ544" s="93" t="n"/>
      <c r="BR544" s="93" t="n"/>
      <c r="BS544" s="1134">
        <f>IF(ISBLANK(BO563),"",BO563)</f>
        <v/>
      </c>
      <c r="BT544" s="93" t="n"/>
      <c r="BU544" s="93" t="n"/>
      <c r="BV544" s="522" t="n"/>
      <c r="BW544" s="93" t="n"/>
      <c r="BX544" s="1134">
        <f>IF(ISBLANK(BT563),"",BT563)</f>
        <v/>
      </c>
      <c r="BY544" s="93" t="n"/>
      <c r="BZ544" s="93" t="n"/>
      <c r="CA544" s="93" t="n"/>
      <c r="CB544" s="93" t="n"/>
      <c r="CC544" s="1134">
        <f>IF(ISBLANK(BY563),"",BY563)</f>
        <v/>
      </c>
      <c r="CD544" s="1134" t="n"/>
      <c r="CE544" s="1134" t="n"/>
      <c r="CF544" s="1134" t="n"/>
      <c r="CG544" s="93" t="n"/>
    </row>
    <row r="545" hidden="1" outlineLevel="2" ht="15" customHeight="1">
      <c r="A545" s="492" t="inlineStr">
        <is>
          <t>Capex guidance - update 2 midpoint, mm</t>
        </is>
      </c>
      <c r="B545" s="428" t="n"/>
      <c r="C545" s="1134" t="n"/>
      <c r="D545" s="1134" t="n"/>
      <c r="E545" s="1134" t="n"/>
      <c r="F545" s="1134" t="n"/>
      <c r="G545" s="93" t="n"/>
      <c r="H545" s="93" t="n"/>
      <c r="I545" s="93" t="n"/>
      <c r="J545" s="93" t="n"/>
      <c r="K545" s="1134" t="n"/>
      <c r="L545" s="93" t="n"/>
      <c r="M545" s="93" t="n"/>
      <c r="N545" s="93" t="n"/>
      <c r="O545" s="93" t="n"/>
      <c r="P545" s="1134" t="n"/>
      <c r="Q545" s="93" t="n"/>
      <c r="R545" s="93" t="n"/>
      <c r="S545" s="93" t="n"/>
      <c r="T545" s="93" t="n"/>
      <c r="U545" s="1134" t="n"/>
      <c r="V545" s="93" t="n"/>
      <c r="W545" s="93" t="n"/>
      <c r="X545" s="93" t="n"/>
      <c r="Y545" s="93" t="n"/>
      <c r="Z545" s="1134" t="n"/>
      <c r="AA545" s="93" t="n"/>
      <c r="AB545" s="93" t="n"/>
      <c r="AC545" s="93" t="n"/>
      <c r="AD545" s="93" t="n"/>
      <c r="AE545" s="1134" t="n"/>
      <c r="AF545" s="93" t="n"/>
      <c r="AG545" s="93" t="n"/>
      <c r="AH545" s="93" t="n"/>
      <c r="AI545" s="93" t="n"/>
      <c r="AJ545" s="1134">
        <f>IF(ISBLANK(AG563),"",AG563)</f>
        <v/>
      </c>
      <c r="AK545" s="93" t="n"/>
      <c r="AL545" s="93" t="n"/>
      <c r="AM545" s="93" t="n"/>
      <c r="AN545" s="93" t="n"/>
      <c r="AO545" s="1134">
        <f>IF(ISBLANK(AL563),"",AL563)</f>
        <v/>
      </c>
      <c r="AP545" s="93" t="n"/>
      <c r="AQ545" s="93" t="n"/>
      <c r="AR545" s="93" t="n"/>
      <c r="AS545" s="93" t="n"/>
      <c r="AT545" s="1134">
        <f>IF(ISBLANK(AQ563),"",AQ563)</f>
        <v/>
      </c>
      <c r="AU545" s="93" t="n"/>
      <c r="AV545" s="93" t="n"/>
      <c r="AW545" s="93" t="n"/>
      <c r="AX545" s="93" t="n"/>
      <c r="AY545" s="1134">
        <f>IF(ISBLANK(AV563),"",AV563)</f>
        <v/>
      </c>
      <c r="AZ545" s="93" t="n"/>
      <c r="BA545" s="93" t="n"/>
      <c r="BB545" s="93" t="n"/>
      <c r="BC545" s="93" t="n"/>
      <c r="BD545" s="1134">
        <f>IF(ISBLANK(BA563),"",BA563)</f>
        <v/>
      </c>
      <c r="BE545" s="93" t="n"/>
      <c r="BF545" s="93" t="n"/>
      <c r="BG545" s="93" t="n"/>
      <c r="BH545" s="93" t="n"/>
      <c r="BI545" s="1134">
        <f>IF(ISBLANK(BF563),"",BF563)</f>
        <v/>
      </c>
      <c r="BJ545" s="93" t="n"/>
      <c r="BK545" s="93" t="n"/>
      <c r="BL545" s="93" t="n"/>
      <c r="BM545" s="93" t="n"/>
      <c r="BN545" s="1134">
        <f>IF(ISBLANK(BK563),"",BK563)</f>
        <v/>
      </c>
      <c r="BO545" s="93" t="n"/>
      <c r="BP545" s="93" t="n"/>
      <c r="BQ545" s="93" t="n"/>
      <c r="BR545" s="93" t="n"/>
      <c r="BS545" s="1134">
        <f>IF(ISBLANK(BP563),"",BP563)</f>
        <v/>
      </c>
      <c r="BT545" s="93" t="n"/>
      <c r="BU545" s="93" t="n"/>
      <c r="BV545" s="522" t="n"/>
      <c r="BW545" s="93" t="n"/>
      <c r="BX545" s="1134">
        <f>IF(ISBLANK(BU563),"",BU563)</f>
        <v/>
      </c>
      <c r="BY545" s="93" t="n"/>
      <c r="BZ545" s="93" t="n"/>
      <c r="CA545" s="93" t="n"/>
      <c r="CB545" s="93" t="n"/>
      <c r="CC545" s="1134">
        <f>IF(ISBLANK(BZ563),"",BZ563)</f>
        <v/>
      </c>
      <c r="CD545" s="1134" t="n"/>
      <c r="CE545" s="1134" t="n"/>
      <c r="CF545" s="1134" t="n"/>
      <c r="CG545" s="93" t="n"/>
    </row>
    <row r="546" hidden="1" outlineLevel="2" ht="15" customHeight="1">
      <c r="A546" s="812" t="inlineStr">
        <is>
          <t>Capex guidance - update 3 midpoint, mm</t>
        </is>
      </c>
      <c r="B546" s="718" t="n"/>
      <c r="C546" s="1129" t="n"/>
      <c r="D546" s="1129" t="n"/>
      <c r="E546" s="1129" t="n"/>
      <c r="F546" s="1129" t="n"/>
      <c r="G546" s="983" t="n"/>
      <c r="H546" s="983" t="n"/>
      <c r="I546" s="983" t="n"/>
      <c r="J546" s="983" t="n"/>
      <c r="K546" s="1129" t="n"/>
      <c r="L546" s="983" t="n"/>
      <c r="M546" s="983" t="n"/>
      <c r="N546" s="983" t="n"/>
      <c r="O546" s="983" t="n"/>
      <c r="P546" s="1129" t="n"/>
      <c r="Q546" s="983" t="n"/>
      <c r="R546" s="983" t="n"/>
      <c r="S546" s="983" t="n"/>
      <c r="T546" s="983" t="n"/>
      <c r="U546" s="1129" t="n"/>
      <c r="V546" s="983" t="n"/>
      <c r="W546" s="983" t="n"/>
      <c r="X546" s="983" t="n"/>
      <c r="Y546" s="983" t="n"/>
      <c r="Z546" s="1129" t="n"/>
      <c r="AA546" s="983" t="n"/>
      <c r="AB546" s="983" t="n"/>
      <c r="AC546" s="983" t="n"/>
      <c r="AD546" s="983" t="n"/>
      <c r="AE546" s="1129" t="n"/>
      <c r="AF546" s="983" t="n"/>
      <c r="AG546" s="983" t="n"/>
      <c r="AH546" s="983" t="n"/>
      <c r="AI546" s="983" t="n"/>
      <c r="AJ546" s="1129">
        <f>IF(ISBLANK(AH563),"",AH563)</f>
        <v/>
      </c>
      <c r="AK546" s="983" t="n"/>
      <c r="AL546" s="983" t="n"/>
      <c r="AM546" s="983" t="n"/>
      <c r="AN546" s="983" t="n"/>
      <c r="AO546" s="1129">
        <f>IF(ISBLANK(AM563),"",AM563)</f>
        <v/>
      </c>
      <c r="AP546" s="983" t="n"/>
      <c r="AQ546" s="983" t="n"/>
      <c r="AR546" s="983" t="n"/>
      <c r="AS546" s="983" t="n"/>
      <c r="AT546" s="1129">
        <f>IF(ISBLANK(AR563),"",AR563)</f>
        <v/>
      </c>
      <c r="AU546" s="983" t="n"/>
      <c r="AV546" s="983" t="n"/>
      <c r="AW546" s="983" t="n"/>
      <c r="AX546" s="983" t="n"/>
      <c r="AY546" s="1129">
        <f>IF(ISBLANK(AW563),"",AW563)</f>
        <v/>
      </c>
      <c r="AZ546" s="983" t="n"/>
      <c r="BA546" s="983" t="n"/>
      <c r="BB546" s="983" t="n"/>
      <c r="BC546" s="983" t="n"/>
      <c r="BD546" s="1129">
        <f>IF(ISBLANK(BB563),"",BB563)</f>
        <v/>
      </c>
      <c r="BE546" s="983" t="n"/>
      <c r="BF546" s="983" t="n"/>
      <c r="BG546" s="983" t="n"/>
      <c r="BH546" s="983" t="n"/>
      <c r="BI546" s="1129">
        <f>IF(ISBLANK(BG563),"",BG563)</f>
        <v/>
      </c>
      <c r="BJ546" s="983" t="n"/>
      <c r="BK546" s="983" t="n"/>
      <c r="BL546" s="983" t="n"/>
      <c r="BM546" s="983" t="n"/>
      <c r="BN546" s="1129">
        <f>IF(ISBLANK(BL563),"",BL563)</f>
        <v/>
      </c>
      <c r="BO546" s="983" t="n"/>
      <c r="BP546" s="983" t="n"/>
      <c r="BQ546" s="983" t="n"/>
      <c r="BR546" s="983" t="n"/>
      <c r="BS546" s="1129">
        <f>IF(ISBLANK(BQ563),"",BQ563)</f>
        <v/>
      </c>
      <c r="BT546" s="983" t="n"/>
      <c r="BU546" s="983" t="n"/>
      <c r="BV546" s="984" t="n"/>
      <c r="BW546" s="983" t="n"/>
      <c r="BX546" s="1129">
        <f>IF(ISBLANK(BV563),"",BV563)</f>
        <v/>
      </c>
      <c r="BY546" s="983" t="n"/>
      <c r="BZ546" s="983" t="n"/>
      <c r="CA546" s="983" t="n"/>
      <c r="CB546" s="983" t="n"/>
      <c r="CC546" s="1129">
        <f>IF(ISBLANK(CA563),"",CA563)</f>
        <v/>
      </c>
      <c r="CD546" s="1129" t="n"/>
      <c r="CE546" s="1129" t="n"/>
      <c r="CF546" s="1129" t="n"/>
      <c r="CG546" s="93" t="n"/>
    </row>
    <row r="547" hidden="1" outlineLevel="1" collapsed="1" ht="15" customHeight="1">
      <c r="A547" s="605" t="inlineStr">
        <is>
          <t>Capex guidance - most recent midpoint, mm</t>
        </is>
      </c>
      <c r="B547" s="428" t="n"/>
      <c r="C547" s="1134" t="n"/>
      <c r="D547" s="1134" t="n"/>
      <c r="E547" s="1134" t="n"/>
      <c r="F547" s="1134" t="n"/>
      <c r="G547" s="93" t="n"/>
      <c r="H547" s="93" t="n"/>
      <c r="I547" s="93" t="n"/>
      <c r="J547" s="93" t="n"/>
      <c r="K547" s="1134" t="n"/>
      <c r="L547" s="93" t="n"/>
      <c r="M547" s="93" t="n"/>
      <c r="N547" s="93" t="n"/>
      <c r="O547" s="93" t="n"/>
      <c r="P547" s="1134" t="n"/>
      <c r="Q547" s="93" t="n"/>
      <c r="R547" s="93" t="n"/>
      <c r="S547" s="93" t="n"/>
      <c r="T547" s="93" t="n"/>
      <c r="U547" s="1134" t="n"/>
      <c r="V547" s="93" t="n"/>
      <c r="W547" s="93" t="n"/>
      <c r="X547" s="93" t="n"/>
      <c r="Y547" s="93" t="n"/>
      <c r="Z547" s="1134" t="n"/>
      <c r="AA547" s="93" t="n"/>
      <c r="AB547" s="93" t="n"/>
      <c r="AC547" s="93" t="n"/>
      <c r="AD547" s="93" t="n"/>
      <c r="AE547" s="1134" t="n"/>
      <c r="AF547" s="93" t="n"/>
      <c r="AG547" s="93" t="n"/>
      <c r="AH547" s="93">
        <f>IF(AH546="",IF(AH545="",IF(AH544="",IF(AH543="","",AH543),AH544),AH545),AH546)</f>
        <v/>
      </c>
      <c r="AI547" s="93">
        <f>IF(AI546="",IF(AI545="",IF(AI544="",IF(AI543="","",AI543),AI544),AI545),AI546)</f>
        <v/>
      </c>
      <c r="AJ547" s="1134">
        <f>IF(AJ546="",IF(AJ545="",IF(AJ544="",IF(AJ543="","",AJ543),AJ544),AJ545),AJ546)</f>
        <v/>
      </c>
      <c r="AK547" s="93">
        <f>IF(AK546="",IF(AK545="",IF(AK544="",IF(AK543="","",AK543),AK544),AK545),AK546)</f>
        <v/>
      </c>
      <c r="AL547" s="93">
        <f>IF(AL546="",IF(AL545="",IF(AL544="",IF(AL543="","",AL543),AL544),AL545),AL546)</f>
        <v/>
      </c>
      <c r="AM547" s="93">
        <f>IF(AM546="",IF(AM545="",IF(AM544="",IF(AM543="","",AM543),AM544),AM545),AM546)</f>
        <v/>
      </c>
      <c r="AN547" s="93">
        <f>IF(AN546="",IF(AN545="",IF(AN544="",IF(AN543="","",AN543),AN544),AN545),AN546)</f>
        <v/>
      </c>
      <c r="AO547" s="1134">
        <f>IF(AO546="",IF(AO545="",IF(AO544="",IF(AO543="","",AO543),AO544),AO545),AO546)</f>
        <v/>
      </c>
      <c r="AP547" s="93">
        <f>IF(AP546="",IF(AP545="",IF(AP544="",IF(AP543="","",AP543),AP544),AP545),AP546)</f>
        <v/>
      </c>
      <c r="AQ547" s="93">
        <f>IF(AQ546="",IF(AQ545="",IF(AQ544="",IF(AQ543="","",AQ543),AQ544),AQ545),AQ546)</f>
        <v/>
      </c>
      <c r="AR547" s="93">
        <f>IF(AR546="",IF(AR545="",IF(AR544="",IF(AR543="","",AR543),AR544),AR545),AR546)</f>
        <v/>
      </c>
      <c r="AS547" s="93">
        <f>IF(AS546="",IF(AS545="",IF(AS544="",IF(AS543="","",AS543),AS544),AS545),AS546)</f>
        <v/>
      </c>
      <c r="AT547" s="1134">
        <f>IF(AT546="",IF(AT545="",IF(AT544="",IF(AT543="","",AT543),AT544),AT545),AT546)</f>
        <v/>
      </c>
      <c r="AU547" s="93">
        <f>IF(AU546="",IF(AU545="",IF(AU544="",IF(AU543="","",AU543),AU544),AU545),AU546)</f>
        <v/>
      </c>
      <c r="AV547" s="93">
        <f>IF(AV546="",IF(AV545="",IF(AV544="",IF(AV543="","",AV543),AV544),AV545),AV546)</f>
        <v/>
      </c>
      <c r="AW547" s="93">
        <f>IF(AW546="",IF(AW545="",IF(AW544="",IF(AW543="","",AW543),AW544),AW545),AW546)</f>
        <v/>
      </c>
      <c r="AX547" s="93">
        <f>IF(AX546="",IF(AX545="",IF(AX544="",IF(AX543="","",AX543),AX544),AX545),AX546)</f>
        <v/>
      </c>
      <c r="AY547" s="1134">
        <f>IF(AY546="",IF(AY545="",IF(AY544="",IF(AY543="","",AY543),AY544),AY545),AY546)</f>
        <v/>
      </c>
      <c r="AZ547" s="93">
        <f>IF(AZ546="",IF(AZ545="",IF(AZ544="",IF(AZ543="","",AZ543),AZ544),AZ545),AZ546)</f>
        <v/>
      </c>
      <c r="BA547" s="93">
        <f>IF(BA546="",IF(BA545="",IF(BA544="",IF(BA543="","",BA543),BA544),BA545),BA546)</f>
        <v/>
      </c>
      <c r="BB547" s="93">
        <f>IF(BB546="",IF(BB545="",IF(BB544="",IF(BB543="","",BB543),BB544),BB545),BB546)</f>
        <v/>
      </c>
      <c r="BC547" s="93">
        <f>IF(BC546="",IF(BC545="",IF(BC544="",IF(BC543="","",BC543),BC544),BC545),BC546)</f>
        <v/>
      </c>
      <c r="BD547" s="1134">
        <f>IF(BD546="",IF(BD545="",IF(BD544="",IF(BD543="","",BD543),BD544),BD545),BD546)</f>
        <v/>
      </c>
      <c r="BE547" s="93">
        <f>IF(BE546="",IF(BE545="",IF(BE544="",IF(BE543="","",BE543),BE544),BE545),BE546)</f>
        <v/>
      </c>
      <c r="BF547" s="93">
        <f>IF(BF546="",IF(BF545="",IF(BF544="",IF(BF543="","",BF543),BF544),BF545),BF546)</f>
        <v/>
      </c>
      <c r="BG547" s="93">
        <f>IF(BG546="",IF(BG545="",IF(BG544="",IF(BG543="","",BG543),BG544),BG545),BG546)</f>
        <v/>
      </c>
      <c r="BH547" s="93">
        <f>IF(BH546="",IF(BH545="",IF(BH544="",IF(BH543="","",BH543),BH544),BH545),BH546)</f>
        <v/>
      </c>
      <c r="BI547" s="1134">
        <f>IF(BI546="",IF(BI545="",IF(BI544="",IF(BI543="","",BI543),BI544),BI545),BI546)</f>
        <v/>
      </c>
      <c r="BJ547" s="93">
        <f>IF(BJ546="",IF(BJ545="",IF(BJ544="",IF(BJ543="","",BJ543),BJ544),BJ545),BJ546)</f>
        <v/>
      </c>
      <c r="BK547" s="93">
        <f>IF(BK546="",IF(BK545="",IF(BK544="",IF(BK543="","",BK543),BK544),BK545),BK546)</f>
        <v/>
      </c>
      <c r="BL547" s="93">
        <f>IF(BL546="",IF(BL545="",IF(BL544="",IF(BL543="","",BL543),BL544),BL545),BL546)</f>
        <v/>
      </c>
      <c r="BM547" s="93">
        <f>IF(BM546="",IF(BM545="",IF(BM544="",IF(BM543="","",BM543),BM544),BM545),BM546)</f>
        <v/>
      </c>
      <c r="BN547" s="1134">
        <f>IF(BN546="",IF(BN545="",IF(BN544="",IF(BN543="","",BN543),BN544),BN545),BN546)</f>
        <v/>
      </c>
      <c r="BO547" s="93">
        <f>IF(BO546="",IF(BO545="",IF(BO544="",IF(BO543="","",BO543),BO544),BO545),BO546)</f>
        <v/>
      </c>
      <c r="BP547" s="93">
        <f>IF(BP546="",IF(BP545="",IF(BP544="",IF(BP543="","",BP543),BP544),BP545),BP546)</f>
        <v/>
      </c>
      <c r="BQ547" s="93">
        <f>IF(BQ546="",IF(BQ545="",IF(BQ544="",IF(BQ543="","",BQ543),BQ544),BQ545),BQ546)</f>
        <v/>
      </c>
      <c r="BR547" s="93">
        <f>IF(BR546="",IF(BR545="",IF(BR544="",IF(BR543="","",BR543),BR544),BR545),BR546)</f>
        <v/>
      </c>
      <c r="BS547" s="1134">
        <f>IF(BS546="",IF(BS545="",IF(BS544="",IF(BS543="","",BS543),BS544),BS545),BS546)</f>
        <v/>
      </c>
      <c r="BT547" s="93">
        <f>IF(BT546="",IF(BT545="",IF(BT544="",IF(BT543="","",BT543),BT544),BT545),BT546)</f>
        <v/>
      </c>
      <c r="BU547" s="93">
        <f>IF(BU546="",IF(BU545="",IF(BU544="",IF(BU543="","",BU543),BU544),BU545),BU546)</f>
        <v/>
      </c>
      <c r="BV547" s="522">
        <f>IF(BV546="",IF(BV545="",IF(BV544="",IF(BV543="","",BV543),BV544),BV545),BV546)</f>
        <v/>
      </c>
      <c r="BW547" s="93">
        <f>IF(BW546="",IF(BW545="",IF(BW544="",IF(BW543="","",BW543),BW544),BW545),BW546)</f>
        <v/>
      </c>
      <c r="BX547" s="1134">
        <f>IF(BX546="",IF(BX545="",IF(BX544="",IF(BX543="","",BX543),BX544),BX545),BX546)</f>
        <v/>
      </c>
      <c r="BY547" s="93">
        <f>IF(BY546="",IF(BY545="",IF(BY544="",IF(BY543="","",BY543),BY544),BY545),BY546)</f>
        <v/>
      </c>
      <c r="BZ547" s="93">
        <f>IF(BZ546="",IF(BZ545="",IF(BZ544="",IF(BZ543="","",BZ543),BZ544),BZ545),BZ546)</f>
        <v/>
      </c>
      <c r="CA547" s="93">
        <f>IF(CA546="",IF(CA545="",IF(CA544="",IF(CA543="","",CA543),CA544),CA545),CA546)</f>
        <v/>
      </c>
      <c r="CB547" s="93">
        <f>IF(CB546="",IF(CB545="",IF(CB544="",IF(CB543="","",CB543),CB544),CB545),CB546)</f>
        <v/>
      </c>
      <c r="CC547" s="1134">
        <f>IF(CC546="",IF(CC545="",IF(CC544="",IF(CC543="","",CC543),CC544),CC545),CC546)</f>
        <v/>
      </c>
      <c r="CD547" s="1134" t="n"/>
      <c r="CE547" s="1134" t="n"/>
      <c r="CF547" s="1134" t="n"/>
      <c r="CG547" s="93" t="n"/>
    </row>
    <row r="548" hidden="1" outlineLevel="1" ht="15" customHeight="1">
      <c r="A548" s="811" t="inlineStr">
        <is>
          <t>Capex - reported/model estimate, mm</t>
        </is>
      </c>
      <c r="B548" s="718" t="n"/>
      <c r="C548" s="1129">
        <f>-C701</f>
        <v/>
      </c>
      <c r="D548" s="1129">
        <f>-D701</f>
        <v/>
      </c>
      <c r="E548" s="1129">
        <f>-E701</f>
        <v/>
      </c>
      <c r="F548" s="1129">
        <f>-F701</f>
        <v/>
      </c>
      <c r="G548" s="983">
        <f>-G701</f>
        <v/>
      </c>
      <c r="H548" s="983">
        <f>-H701</f>
        <v/>
      </c>
      <c r="I548" s="983">
        <f>-I701</f>
        <v/>
      </c>
      <c r="J548" s="983">
        <f>-J701</f>
        <v/>
      </c>
      <c r="K548" s="1129">
        <f>-K701</f>
        <v/>
      </c>
      <c r="L548" s="983">
        <f>-L701</f>
        <v/>
      </c>
      <c r="M548" s="983">
        <f>-M701</f>
        <v/>
      </c>
      <c r="N548" s="983">
        <f>-N701</f>
        <v/>
      </c>
      <c r="O548" s="983">
        <f>-O701</f>
        <v/>
      </c>
      <c r="P548" s="1129">
        <f>-P701</f>
        <v/>
      </c>
      <c r="Q548" s="983">
        <f>-Q701</f>
        <v/>
      </c>
      <c r="R548" s="983">
        <f>-R701</f>
        <v/>
      </c>
      <c r="S548" s="983">
        <f>-S701</f>
        <v/>
      </c>
      <c r="T548" s="983">
        <f>-T701</f>
        <v/>
      </c>
      <c r="U548" s="1129">
        <f>-U701</f>
        <v/>
      </c>
      <c r="V548" s="983">
        <f>-V701</f>
        <v/>
      </c>
      <c r="W548" s="983">
        <f>-W701</f>
        <v/>
      </c>
      <c r="X548" s="983">
        <f>-X701</f>
        <v/>
      </c>
      <c r="Y548" s="983">
        <f>-Y701</f>
        <v/>
      </c>
      <c r="Z548" s="1129">
        <f>-Z701</f>
        <v/>
      </c>
      <c r="AA548" s="983">
        <f>-AA701</f>
        <v/>
      </c>
      <c r="AB548" s="983">
        <f>-AB701</f>
        <v/>
      </c>
      <c r="AC548" s="983">
        <f>-AC701</f>
        <v/>
      </c>
      <c r="AD548" s="983">
        <f>-AD701</f>
        <v/>
      </c>
      <c r="AE548" s="1129">
        <f>-AE701</f>
        <v/>
      </c>
      <c r="AF548" s="983">
        <f>-AF701</f>
        <v/>
      </c>
      <c r="AG548" s="983">
        <f>-AG701</f>
        <v/>
      </c>
      <c r="AH548" s="983">
        <f>-AH701</f>
        <v/>
      </c>
      <c r="AI548" s="983">
        <f>-AI701</f>
        <v/>
      </c>
      <c r="AJ548" s="1129">
        <f>-AJ701</f>
        <v/>
      </c>
      <c r="AK548" s="983">
        <f>-AK701</f>
        <v/>
      </c>
      <c r="AL548" s="983">
        <f>-AL701</f>
        <v/>
      </c>
      <c r="AM548" s="983">
        <f>-AM701</f>
        <v/>
      </c>
      <c r="AN548" s="983">
        <f>-AN701</f>
        <v/>
      </c>
      <c r="AO548" s="1129">
        <f>-AO701</f>
        <v/>
      </c>
      <c r="AP548" s="983">
        <f>-AP701</f>
        <v/>
      </c>
      <c r="AQ548" s="983">
        <f>-AQ701</f>
        <v/>
      </c>
      <c r="AR548" s="983">
        <f>-AR701</f>
        <v/>
      </c>
      <c r="AS548" s="983">
        <f>-AS701</f>
        <v/>
      </c>
      <c r="AT548" s="1129">
        <f>-AT701</f>
        <v/>
      </c>
      <c r="AU548" s="983">
        <f>-AU701</f>
        <v/>
      </c>
      <c r="AV548" s="983">
        <f>-AV701</f>
        <v/>
      </c>
      <c r="AW548" s="983">
        <f>-AW701</f>
        <v/>
      </c>
      <c r="AX548" s="983">
        <f>-AX701</f>
        <v/>
      </c>
      <c r="AY548" s="1129">
        <f>-AY701</f>
        <v/>
      </c>
      <c r="AZ548" s="983">
        <f>-AZ701</f>
        <v/>
      </c>
      <c r="BA548" s="983">
        <f>-BA701</f>
        <v/>
      </c>
      <c r="BB548" s="983">
        <f>-BB701</f>
        <v/>
      </c>
      <c r="BC548" s="983">
        <f>-BC701</f>
        <v/>
      </c>
      <c r="BD548" s="1129">
        <f>-BD701</f>
        <v/>
      </c>
      <c r="BE548" s="983">
        <f>-BE701</f>
        <v/>
      </c>
      <c r="BF548" s="983">
        <f>-BF701</f>
        <v/>
      </c>
      <c r="BG548" s="983">
        <f>-BG701</f>
        <v/>
      </c>
      <c r="BH548" s="983">
        <f>-BH701</f>
        <v/>
      </c>
      <c r="BI548" s="1129">
        <f>-BI701</f>
        <v/>
      </c>
      <c r="BJ548" s="983">
        <f>-BJ701</f>
        <v/>
      </c>
      <c r="BK548" s="983">
        <f>-BK701</f>
        <v/>
      </c>
      <c r="BL548" s="983">
        <f>-BL701</f>
        <v/>
      </c>
      <c r="BM548" s="983">
        <f>-BM701</f>
        <v/>
      </c>
      <c r="BN548" s="1129">
        <f>-BN701</f>
        <v/>
      </c>
      <c r="BO548" s="983">
        <f>-BO701</f>
        <v/>
      </c>
      <c r="BP548" s="983">
        <f>-BP701</f>
        <v/>
      </c>
      <c r="BQ548" s="983">
        <f>-BQ701</f>
        <v/>
      </c>
      <c r="BR548" s="983">
        <f>-BR701</f>
        <v/>
      </c>
      <c r="BS548" s="1129">
        <f>-BS701</f>
        <v/>
      </c>
      <c r="BT548" s="983">
        <f>-BT701</f>
        <v/>
      </c>
      <c r="BU548" s="983">
        <f>-BU701</f>
        <v/>
      </c>
      <c r="BV548" s="984">
        <f>-BV701</f>
        <v/>
      </c>
      <c r="BW548" s="983">
        <f>-BW701</f>
        <v/>
      </c>
      <c r="BX548" s="1129">
        <f>-BX701</f>
        <v/>
      </c>
      <c r="BY548" s="983">
        <f>-BY701</f>
        <v/>
      </c>
      <c r="BZ548" s="983">
        <f>-BZ701</f>
        <v/>
      </c>
      <c r="CA548" s="983">
        <f>-CA701</f>
        <v/>
      </c>
      <c r="CB548" s="983">
        <f>-CB701</f>
        <v/>
      </c>
      <c r="CC548" s="1129">
        <f>-CC701</f>
        <v/>
      </c>
      <c r="CD548" s="1129">
        <f>-CD701</f>
        <v/>
      </c>
      <c r="CE548" s="1129">
        <f>-CE701</f>
        <v/>
      </c>
      <c r="CF548" s="1129">
        <f>-CF701</f>
        <v/>
      </c>
      <c r="CG548" s="93" t="n"/>
    </row>
    <row r="549" hidden="1" outlineLevel="1" ht="15" customHeight="1">
      <c r="A549" s="813" t="inlineStr">
        <is>
          <t>Capex beat/(miss) vs. most recent guidance - midpoint, mm</t>
        </is>
      </c>
      <c r="B549" s="396" t="n"/>
      <c r="C549" s="1190" t="n"/>
      <c r="D549" s="1190" t="n"/>
      <c r="E549" s="1190" t="n"/>
      <c r="F549" s="1190" t="n"/>
      <c r="G549" s="398">
        <f>IFERROR(G548-G547,"")</f>
        <v/>
      </c>
      <c r="H549" s="398">
        <f>IFERROR(H548-H547,"")</f>
        <v/>
      </c>
      <c r="I549" s="398">
        <f>IFERROR(I548-I547,"")</f>
        <v/>
      </c>
      <c r="J549" s="398">
        <f>IFERROR(J548-J547,"")</f>
        <v/>
      </c>
      <c r="K549" s="1190" t="n"/>
      <c r="L549" s="398" t="n"/>
      <c r="M549" s="398" t="n"/>
      <c r="N549" s="398" t="n"/>
      <c r="O549" s="398" t="n"/>
      <c r="P549" s="1190" t="n"/>
      <c r="Q549" s="398" t="n"/>
      <c r="R549" s="398" t="n"/>
      <c r="S549" s="398" t="n"/>
      <c r="T549" s="398" t="n"/>
      <c r="U549" s="1190" t="n"/>
      <c r="V549" s="398" t="n"/>
      <c r="W549" s="398" t="n"/>
      <c r="X549" s="398" t="n"/>
      <c r="Y549" s="398" t="n"/>
      <c r="Z549" s="1190" t="n"/>
      <c r="AA549" s="398" t="n"/>
      <c r="AB549" s="398" t="n"/>
      <c r="AC549" s="398" t="n"/>
      <c r="AD549" s="398" t="n"/>
      <c r="AE549" s="1190" t="n"/>
      <c r="AF549" s="398" t="n"/>
      <c r="AG549" s="398" t="n"/>
      <c r="AH549" s="398" t="n"/>
      <c r="AI549" s="398" t="n"/>
      <c r="AJ549" s="1190" t="n"/>
      <c r="AK549" s="398" t="n"/>
      <c r="AL549" s="398" t="n"/>
      <c r="AM549" s="398" t="n"/>
      <c r="AN549" s="398" t="n"/>
      <c r="AO549" s="1190" t="n"/>
      <c r="AP549" s="398" t="n"/>
      <c r="AQ549" s="398" t="n"/>
      <c r="AR549" s="398">
        <f>IFERROR(AR548-AR547,"")</f>
        <v/>
      </c>
      <c r="AS549" s="398">
        <f>IFERROR(AS548-AS547,"")</f>
        <v/>
      </c>
      <c r="AT549" s="1190">
        <f>IFERROR(AT548-AT547,"")</f>
        <v/>
      </c>
      <c r="AU549" s="398">
        <f>IFERROR(AU548-AU547,"")</f>
        <v/>
      </c>
      <c r="AV549" s="398">
        <f>IFERROR(AV548-AV547,"")</f>
        <v/>
      </c>
      <c r="AW549" s="398">
        <f>IFERROR(AW548-AW547,"")</f>
        <v/>
      </c>
      <c r="AX549" s="398">
        <f>IFERROR(AX548-AX547,"")</f>
        <v/>
      </c>
      <c r="AY549" s="1190">
        <f>IFERROR(AY548-AY547,"")</f>
        <v/>
      </c>
      <c r="AZ549" s="398">
        <f>IFERROR(AZ548-AZ547,"")</f>
        <v/>
      </c>
      <c r="BA549" s="398">
        <f>IFERROR(BA548-BA547,"")</f>
        <v/>
      </c>
      <c r="BB549" s="398">
        <f>IFERROR(BB548-BB547,"")</f>
        <v/>
      </c>
      <c r="BC549" s="398">
        <f>IFERROR(BC548-BC547,"")</f>
        <v/>
      </c>
      <c r="BD549" s="1190">
        <f>IFERROR(BD548-BD547,"")</f>
        <v/>
      </c>
      <c r="BE549" s="398">
        <f>IFERROR(BE548-BE547,"")</f>
        <v/>
      </c>
      <c r="BF549" s="398">
        <f>IFERROR(BF548-BF547,"")</f>
        <v/>
      </c>
      <c r="BG549" s="398">
        <f>IFERROR(BG548-BG547,"")</f>
        <v/>
      </c>
      <c r="BH549" s="398">
        <f>IFERROR(BH548-BH547,"")</f>
        <v/>
      </c>
      <c r="BI549" s="1190">
        <f>IFERROR(BI548-BI547,"")</f>
        <v/>
      </c>
      <c r="BJ549" s="398">
        <f>IFERROR(BJ548-BJ547,"")</f>
        <v/>
      </c>
      <c r="BK549" s="398">
        <f>IFERROR(BK548-BK547,"")</f>
        <v/>
      </c>
      <c r="BL549" s="398">
        <f>IFERROR(BL548-BL547,"")</f>
        <v/>
      </c>
      <c r="BM549" s="398">
        <f>IFERROR(BM548-BM547,"")</f>
        <v/>
      </c>
      <c r="BN549" s="1190">
        <f>IFERROR(BN548-BN547,"")</f>
        <v/>
      </c>
      <c r="BO549" s="398">
        <f>IFERROR(BO548-BO547,"")</f>
        <v/>
      </c>
      <c r="BP549" s="398">
        <f>IFERROR(BP548-BP547,"")</f>
        <v/>
      </c>
      <c r="BQ549" s="398">
        <f>IFERROR(BQ548-BQ547,"")</f>
        <v/>
      </c>
      <c r="BR549" s="398">
        <f>IFERROR(BR548-BR547,"")</f>
        <v/>
      </c>
      <c r="BS549" s="1190">
        <f>IFERROR(BS548-BS547,"")</f>
        <v/>
      </c>
      <c r="BT549" s="398">
        <f>IFERROR(BT548-BT547,"")</f>
        <v/>
      </c>
      <c r="BU549" s="398">
        <f>IFERROR(BU548-BU547,"")</f>
        <v/>
      </c>
      <c r="BV549" s="1038">
        <f>IFERROR(BV548-BV547,"")</f>
        <v/>
      </c>
      <c r="BW549" s="398">
        <f>IFERROR(BW548-BW547,"")</f>
        <v/>
      </c>
      <c r="BX549" s="1190">
        <f>IFERROR(BX548-BX547,"")</f>
        <v/>
      </c>
      <c r="BY549" s="398">
        <f>IFERROR(BY548-BY547,"")</f>
        <v/>
      </c>
      <c r="BZ549" s="398">
        <f>IFERROR(BZ548-BZ547,"")</f>
        <v/>
      </c>
      <c r="CA549" s="398">
        <f>IFERROR(CA548-CA547,"")</f>
        <v/>
      </c>
      <c r="CB549" s="398">
        <f>IFERROR(CB548-CB547,"")</f>
        <v/>
      </c>
      <c r="CC549" s="1190">
        <f>IFERROR(CC548-CC547,"")</f>
        <v/>
      </c>
      <c r="CD549" s="1190" t="n"/>
      <c r="CE549" s="1190" t="n"/>
      <c r="CF549" s="1190" t="n"/>
      <c r="CG549" s="93" t="n"/>
    </row>
    <row r="550" hidden="1" outlineLevel="1" ht="15" customHeight="1">
      <c r="A550" s="798" t="inlineStr">
        <is>
          <t>Relative Capex beat/(miss) vs. most recent guidance - midpoint, %</t>
        </is>
      </c>
      <c r="B550" s="797" t="n"/>
      <c r="C550" s="1191" t="n"/>
      <c r="D550" s="1191" t="n"/>
      <c r="E550" s="1191" t="n"/>
      <c r="F550" s="1191" t="n"/>
      <c r="G550" s="792" t="n"/>
      <c r="H550" s="792" t="n"/>
      <c r="I550" s="792" t="n"/>
      <c r="J550" s="792" t="n"/>
      <c r="K550" s="1191" t="n"/>
      <c r="L550" s="792" t="n"/>
      <c r="M550" s="792" t="n"/>
      <c r="N550" s="792" t="n"/>
      <c r="O550" s="792" t="n"/>
      <c r="P550" s="1191" t="n"/>
      <c r="Q550" s="792" t="n"/>
      <c r="R550" s="792" t="n"/>
      <c r="S550" s="792" t="n"/>
      <c r="T550" s="792" t="n"/>
      <c r="U550" s="1191" t="n"/>
      <c r="V550" s="792" t="n"/>
      <c r="W550" s="792" t="n"/>
      <c r="X550" s="792" t="n"/>
      <c r="Y550" s="792" t="n"/>
      <c r="Z550" s="1191" t="n"/>
      <c r="AA550" s="792" t="n"/>
      <c r="AB550" s="792" t="n"/>
      <c r="AC550" s="792" t="n"/>
      <c r="AD550" s="792" t="n"/>
      <c r="AE550" s="1191" t="n"/>
      <c r="AF550" s="792" t="n"/>
      <c r="AG550" s="792" t="n"/>
      <c r="AH550" s="792" t="n"/>
      <c r="AI550" s="792" t="n"/>
      <c r="AJ550" s="1191" t="n"/>
      <c r="AK550" s="792" t="n"/>
      <c r="AL550" s="792" t="n"/>
      <c r="AM550" s="792" t="n"/>
      <c r="AN550" s="792" t="n"/>
      <c r="AO550" s="1191" t="n"/>
      <c r="AP550" s="792" t="n"/>
      <c r="AQ550" s="792" t="n"/>
      <c r="AR550" s="792">
        <f>IFERROR(AR549/ABS(AR547),"")</f>
        <v/>
      </c>
      <c r="AS550" s="792">
        <f>IFERROR(AS549/ABS(AS547),"")</f>
        <v/>
      </c>
      <c r="AT550" s="1191">
        <f>IFERROR(AT549/ABS(AT547),"")</f>
        <v/>
      </c>
      <c r="AU550" s="792">
        <f>IFERROR(AU549/ABS(AU547),"")</f>
        <v/>
      </c>
      <c r="AV550" s="792">
        <f>IFERROR(AV549/ABS(AV547),"")</f>
        <v/>
      </c>
      <c r="AW550" s="792">
        <f>IFERROR(AW549/ABS(AW547),"")</f>
        <v/>
      </c>
      <c r="AX550" s="792">
        <f>IFERROR(AX549/ABS(AX547),"")</f>
        <v/>
      </c>
      <c r="AY550" s="1191">
        <f>IFERROR(AY549/ABS(AY547),"")</f>
        <v/>
      </c>
      <c r="AZ550" s="792">
        <f>IFERROR(AZ549/ABS(AZ547),"")</f>
        <v/>
      </c>
      <c r="BA550" s="792">
        <f>IFERROR(BA549/ABS(BA547),"")</f>
        <v/>
      </c>
      <c r="BB550" s="792">
        <f>IFERROR(BB549/ABS(BB547),"")</f>
        <v/>
      </c>
      <c r="BC550" s="792">
        <f>IFERROR(BC549/ABS(BC547),"")</f>
        <v/>
      </c>
      <c r="BD550" s="1191">
        <f>IFERROR(BD549/ABS(BD547),"")</f>
        <v/>
      </c>
      <c r="BE550" s="792">
        <f>IFERROR(BE549/ABS(BE547),"")</f>
        <v/>
      </c>
      <c r="BF550" s="792">
        <f>IFERROR(BF549/ABS(BF547),"")</f>
        <v/>
      </c>
      <c r="BG550" s="792">
        <f>IFERROR(BG549/ABS(BG547),"")</f>
        <v/>
      </c>
      <c r="BH550" s="792">
        <f>IFERROR(BH549/ABS(BH547),"")</f>
        <v/>
      </c>
      <c r="BI550" s="1191">
        <f>IFERROR(BI549/ABS(BI547),"")</f>
        <v/>
      </c>
      <c r="BJ550" s="792">
        <f>IFERROR(BJ549/ABS(BJ547),"")</f>
        <v/>
      </c>
      <c r="BK550" s="792">
        <f>IFERROR(BK549/ABS(BK547),"")</f>
        <v/>
      </c>
      <c r="BL550" s="792">
        <f>IFERROR(BL549/ABS(BL547),"")</f>
        <v/>
      </c>
      <c r="BM550" s="792">
        <f>IFERROR(BM549/ABS(BM547),"")</f>
        <v/>
      </c>
      <c r="BN550" s="1191">
        <f>IFERROR(BN549/ABS(BN547),"")</f>
        <v/>
      </c>
      <c r="BO550" s="792">
        <f>IFERROR(BO549/ABS(BO547),"")</f>
        <v/>
      </c>
      <c r="BP550" s="792">
        <f>IFERROR(BP549/ABS(BP547),"")</f>
        <v/>
      </c>
      <c r="BQ550" s="792">
        <f>IFERROR(BQ549/ABS(BQ547),"")</f>
        <v/>
      </c>
      <c r="BR550" s="792">
        <f>IFERROR(BR549/ABS(BR547),"")</f>
        <v/>
      </c>
      <c r="BS550" s="1191">
        <f>IFERROR(BS549/ABS(BS547),"")</f>
        <v/>
      </c>
      <c r="BT550" s="792">
        <f>IFERROR(BT549/ABS(BT547),"")</f>
        <v/>
      </c>
      <c r="BU550" s="792">
        <f>IFERROR(BU549/ABS(BU547),"")</f>
        <v/>
      </c>
      <c r="BV550" s="907">
        <f>IFERROR(BV549/ABS(BV547),"")</f>
        <v/>
      </c>
      <c r="BW550" s="792">
        <f>IFERROR(BW549/ABS(BW547),"")</f>
        <v/>
      </c>
      <c r="BX550" s="1191">
        <f>IFERROR(BX549/ABS(BX547),"")</f>
        <v/>
      </c>
      <c r="BY550" s="792">
        <f>IFERROR(BY549/ABS(BY547),"")</f>
        <v/>
      </c>
      <c r="BZ550" s="792">
        <f>IFERROR(BZ549/ABS(BZ547),"")</f>
        <v/>
      </c>
      <c r="CA550" s="792">
        <f>IFERROR(CA549/ABS(CA547),"")</f>
        <v/>
      </c>
      <c r="CB550" s="792">
        <f>IFERROR(CB549/ABS(CB547),"")</f>
        <v/>
      </c>
      <c r="CC550" s="1191">
        <f>IFERROR(CC549/ABS(CC547),"")</f>
        <v/>
      </c>
      <c r="CD550" s="1191" t="n"/>
      <c r="CE550" s="1191" t="n"/>
      <c r="CF550" s="1191" t="n"/>
      <c r="CG550" s="93" t="n"/>
    </row>
    <row r="551" hidden="1" outlineLevel="2" ht="15" customHeight="1">
      <c r="A551" s="799" t="n"/>
      <c r="B551" s="428" t="n"/>
      <c r="C551" s="1134" t="n"/>
      <c r="D551" s="1134" t="n"/>
      <c r="E551" s="1134" t="n"/>
      <c r="F551" s="1134" t="n"/>
      <c r="G551" s="93" t="n"/>
      <c r="H551" s="93" t="n"/>
      <c r="I551" s="93" t="n"/>
      <c r="J551" s="93" t="n"/>
      <c r="K551" s="1134" t="n"/>
      <c r="L551" s="93" t="n"/>
      <c r="M551" s="93" t="n"/>
      <c r="N551" s="93" t="n"/>
      <c r="O551" s="93" t="n"/>
      <c r="P551" s="1134" t="n"/>
      <c r="Q551" s="93" t="n"/>
      <c r="R551" s="93" t="n"/>
      <c r="S551" s="93" t="n"/>
      <c r="T551" s="93" t="n"/>
      <c r="U551" s="1134" t="n"/>
      <c r="V551" s="93" t="n"/>
      <c r="W551" s="93" t="n"/>
      <c r="X551" s="93" t="n"/>
      <c r="Y551" s="93" t="n"/>
      <c r="Z551" s="1134" t="n"/>
      <c r="AA551" s="93" t="n"/>
      <c r="AB551" s="93" t="n"/>
      <c r="AC551" s="93" t="n"/>
      <c r="AD551" s="93" t="n"/>
      <c r="AE551" s="1134" t="n"/>
      <c r="AF551" s="93" t="n"/>
      <c r="AG551" s="93" t="n"/>
      <c r="AH551" s="93" t="n"/>
      <c r="AI551" s="93" t="n"/>
      <c r="AJ551" s="1134" t="n"/>
      <c r="AK551" s="93" t="n"/>
      <c r="AL551" s="93" t="n"/>
      <c r="AM551" s="93" t="n"/>
      <c r="AN551" s="93" t="n"/>
      <c r="AO551" s="1134" t="n"/>
      <c r="AP551" s="93" t="n"/>
      <c r="AQ551" s="93" t="n"/>
      <c r="AR551" s="93" t="n"/>
      <c r="AS551" s="93" t="n"/>
      <c r="AT551" s="1134" t="n"/>
      <c r="AU551" s="93" t="n"/>
      <c r="AV551" s="93" t="n"/>
      <c r="AW551" s="93" t="n"/>
      <c r="AX551" s="93" t="n"/>
      <c r="AY551" s="1134" t="n"/>
      <c r="AZ551" s="93" t="n"/>
      <c r="BA551" s="93" t="n"/>
      <c r="BB551" s="93" t="n"/>
      <c r="BC551" s="93" t="n"/>
      <c r="BD551" s="1134" t="n"/>
      <c r="BE551" s="93" t="n"/>
      <c r="BF551" s="93" t="n"/>
      <c r="BG551" s="93" t="n"/>
      <c r="BH551" s="93" t="n"/>
      <c r="BI551" s="1134" t="n"/>
      <c r="BJ551" s="93" t="n"/>
      <c r="BK551" s="93" t="n"/>
      <c r="BL551" s="93" t="n"/>
      <c r="BM551" s="93" t="n"/>
      <c r="BN551" s="1134" t="n"/>
      <c r="BO551" s="93" t="n"/>
      <c r="BP551" s="93" t="n"/>
      <c r="BQ551" s="93" t="n"/>
      <c r="BR551" s="93" t="n"/>
      <c r="BS551" s="1134" t="n"/>
      <c r="BT551" s="93" t="n"/>
      <c r="BU551" s="93" t="n"/>
      <c r="BV551" s="522" t="n"/>
      <c r="BW551" s="93" t="n"/>
      <c r="BX551" s="1134" t="n"/>
      <c r="BY551" s="93" t="n"/>
      <c r="BZ551" s="93" t="n"/>
      <c r="CA551" s="93" t="n"/>
      <c r="CB551" s="93" t="n"/>
      <c r="CC551" s="1134" t="n"/>
      <c r="CD551" s="1134" t="n"/>
      <c r="CE551" s="1134" t="n"/>
      <c r="CF551" s="1134" t="n"/>
      <c r="CG551" s="93" t="n"/>
    </row>
    <row r="552" hidden="1" outlineLevel="2" ht="15" customHeight="1">
      <c r="A552" s="605" t="inlineStr">
        <is>
          <t>Forward guidance - report date, date</t>
        </is>
      </c>
      <c r="B552" s="428" t="n"/>
      <c r="C552" s="1425" t="n"/>
      <c r="D552" s="1425" t="n"/>
      <c r="E552" s="1425" t="n"/>
      <c r="F552" s="1425" t="n"/>
      <c r="G552" s="1426" t="n"/>
      <c r="H552" s="1426" t="n"/>
      <c r="I552" s="1426" t="n"/>
      <c r="J552" s="1426" t="n"/>
      <c r="K552" s="1425" t="n"/>
      <c r="L552" s="1426" t="n"/>
      <c r="M552" s="1426" t="n"/>
      <c r="N552" s="1426" t="n"/>
      <c r="O552" s="1426" t="n"/>
      <c r="P552" s="1425" t="n"/>
      <c r="Q552" s="1426" t="n"/>
      <c r="R552" s="1426" t="n"/>
      <c r="S552" s="1426" t="n"/>
      <c r="T552" s="1426" t="n"/>
      <c r="U552" s="1425" t="n"/>
      <c r="V552" s="1426" t="n"/>
      <c r="W552" s="1426" t="n"/>
      <c r="X552" s="1426" t="n"/>
      <c r="Y552" s="1426" t="n"/>
      <c r="Z552" s="1425" t="n"/>
      <c r="AA552" s="1426" t="n"/>
      <c r="AB552" s="1426" t="n"/>
      <c r="AC552" s="1426" t="n"/>
      <c r="AD552" s="1426" t="n"/>
      <c r="AE552" s="1425" t="n"/>
      <c r="AF552" s="1426" t="n"/>
      <c r="AG552" s="1426" t="n"/>
      <c r="AH552" s="1426" t="n"/>
      <c r="AI552" s="1426" t="n"/>
      <c r="AJ552" s="1425" t="n"/>
      <c r="AK552" s="1426" t="n"/>
      <c r="AL552" s="1426" t="n"/>
      <c r="AM552" s="1426" t="n"/>
      <c r="AN552" s="1426" t="n"/>
      <c r="AO552" s="1425" t="n"/>
      <c r="AP552" s="1426" t="n"/>
      <c r="AQ552" s="1426" t="n"/>
      <c r="AR552" s="1426">
        <f>AR1082</f>
        <v/>
      </c>
      <c r="AS552" s="1426">
        <f>AS1082</f>
        <v/>
      </c>
      <c r="AT552" s="1425">
        <f>AT1082</f>
        <v/>
      </c>
      <c r="AU552" s="1426">
        <f>AU1082</f>
        <v/>
      </c>
      <c r="AV552" s="1426">
        <f>AV1082</f>
        <v/>
      </c>
      <c r="AW552" s="1426">
        <f>AW1082</f>
        <v/>
      </c>
      <c r="AX552" s="1426">
        <f>AX1082</f>
        <v/>
      </c>
      <c r="AY552" s="1425">
        <f>AY1082</f>
        <v/>
      </c>
      <c r="AZ552" s="1426">
        <f>AZ1082</f>
        <v/>
      </c>
      <c r="BA552" s="1426">
        <f>BA1082</f>
        <v/>
      </c>
      <c r="BB552" s="1426">
        <f>BB1082</f>
        <v/>
      </c>
      <c r="BC552" s="1426">
        <f>BC1082</f>
        <v/>
      </c>
      <c r="BD552" s="1425">
        <f>BD1082</f>
        <v/>
      </c>
      <c r="BE552" s="1426">
        <f>BE1082</f>
        <v/>
      </c>
      <c r="BF552" s="1426">
        <f>BF1082</f>
        <v/>
      </c>
      <c r="BG552" s="1426">
        <f>BG1082</f>
        <v/>
      </c>
      <c r="BH552" s="1426">
        <f>BH1082</f>
        <v/>
      </c>
      <c r="BI552" s="1425">
        <f>BI1082</f>
        <v/>
      </c>
      <c r="BJ552" s="1426">
        <f>BJ1082</f>
        <v/>
      </c>
      <c r="BK552" s="1426">
        <f>BK1082</f>
        <v/>
      </c>
      <c r="BL552" s="1426">
        <f>BL1082</f>
        <v/>
      </c>
      <c r="BM552" s="1426">
        <f>BM1082</f>
        <v/>
      </c>
      <c r="BN552" s="1425">
        <f>BN1082</f>
        <v/>
      </c>
      <c r="BO552" s="1426">
        <f>BO1082</f>
        <v/>
      </c>
      <c r="BP552" s="1426">
        <f>BP1082</f>
        <v/>
      </c>
      <c r="BQ552" s="1426">
        <f>BQ1082</f>
        <v/>
      </c>
      <c r="BR552" s="1426">
        <f>BR1082</f>
        <v/>
      </c>
      <c r="BS552" s="1425">
        <f>BS1082</f>
        <v/>
      </c>
      <c r="BT552" s="1426">
        <f>BT1082</f>
        <v/>
      </c>
      <c r="BU552" s="1426">
        <f>BU1082</f>
        <v/>
      </c>
      <c r="BV552" s="1427">
        <f>BV1082</f>
        <v/>
      </c>
      <c r="BW552" s="1426" t="n"/>
      <c r="BX552" s="1425" t="n"/>
      <c r="BY552" s="1426" t="n"/>
      <c r="BZ552" s="1426" t="n"/>
      <c r="CA552" s="1426" t="n"/>
      <c r="CB552" s="1426" t="n"/>
      <c r="CC552" s="1425" t="n"/>
      <c r="CD552" s="1425" t="n"/>
      <c r="CE552" s="1425" t="n"/>
      <c r="CF552" s="1425" t="n"/>
      <c r="CG552" s="93" t="n"/>
    </row>
    <row r="553" hidden="1" outlineLevel="2" ht="15" customHeight="1">
      <c r="A553" s="803" t="inlineStr">
        <is>
          <t>Forward quarterly guidance - applicable period, period</t>
        </is>
      </c>
      <c r="B553" s="801" t="n"/>
      <c r="C553" s="1193" t="n"/>
      <c r="D553" s="1193" t="n"/>
      <c r="E553" s="1193" t="n"/>
      <c r="F553" s="1193" t="n"/>
      <c r="G553" s="802" t="n"/>
      <c r="H553" s="802" t="n"/>
      <c r="I553" s="802" t="n"/>
      <c r="J553" s="802" t="n"/>
      <c r="K553" s="1193" t="n"/>
      <c r="L553" s="802" t="n"/>
      <c r="M553" s="802" t="n"/>
      <c r="N553" s="802" t="n"/>
      <c r="O553" s="802" t="n"/>
      <c r="P553" s="1193" t="n"/>
      <c r="Q553" s="802" t="n"/>
      <c r="R553" s="802" t="n"/>
      <c r="S553" s="802" t="n"/>
      <c r="T553" s="802" t="n"/>
      <c r="U553" s="1193" t="n"/>
      <c r="V553" s="802" t="n"/>
      <c r="W553" s="802" t="n"/>
      <c r="X553" s="802" t="n"/>
      <c r="Y553" s="802" t="n"/>
      <c r="Z553" s="1193" t="n"/>
      <c r="AA553" s="802" t="n"/>
      <c r="AB553" s="802" t="n"/>
      <c r="AC553" s="802" t="n"/>
      <c r="AD553" s="802" t="n"/>
      <c r="AE553" s="1193" t="n"/>
      <c r="AF553" s="802" t="n"/>
      <c r="AG553" s="802" t="n"/>
      <c r="AH553" s="802" t="n"/>
      <c r="AI553" s="802" t="n"/>
      <c r="AJ553" s="1193" t="n"/>
      <c r="AK553" s="802" t="n"/>
      <c r="AL553" s="802" t="n"/>
      <c r="AM553" s="802" t="n"/>
      <c r="AN553" s="802" t="n"/>
      <c r="AO553" s="1193" t="n"/>
      <c r="AP553" s="802" t="n"/>
      <c r="AQ553" s="802" t="n"/>
      <c r="AR553" s="802">
        <f>AS5</f>
        <v/>
      </c>
      <c r="AS553" s="802">
        <f>AU5</f>
        <v/>
      </c>
      <c r="AT553" s="1193">
        <f>AU5</f>
        <v/>
      </c>
      <c r="AU553" s="802">
        <f>AV5</f>
        <v/>
      </c>
      <c r="AV553" s="802">
        <f>AW5</f>
        <v/>
      </c>
      <c r="AW553" s="802">
        <f>AX5</f>
        <v/>
      </c>
      <c r="AX553" s="802">
        <f>AZ5</f>
        <v/>
      </c>
      <c r="AY553" s="1193">
        <f>AZ5</f>
        <v/>
      </c>
      <c r="AZ553" s="802">
        <f>BA5</f>
        <v/>
      </c>
      <c r="BA553" s="802">
        <f>BB5</f>
        <v/>
      </c>
      <c r="BB553" s="802">
        <f>BC5</f>
        <v/>
      </c>
      <c r="BC553" s="802">
        <f>BE5</f>
        <v/>
      </c>
      <c r="BD553" s="1193">
        <f>BE5</f>
        <v/>
      </c>
      <c r="BE553" s="802">
        <f>BF5</f>
        <v/>
      </c>
      <c r="BF553" s="802">
        <f>BG5</f>
        <v/>
      </c>
      <c r="BG553" s="802">
        <f>BH5</f>
        <v/>
      </c>
      <c r="BH553" s="802">
        <f>BJ5</f>
        <v/>
      </c>
      <c r="BI553" s="1193">
        <f>BJ5</f>
        <v/>
      </c>
      <c r="BJ553" s="802">
        <f>BK5</f>
        <v/>
      </c>
      <c r="BK553" s="802">
        <f>BL5</f>
        <v/>
      </c>
      <c r="BL553" s="802">
        <f>BM5</f>
        <v/>
      </c>
      <c r="BM553" s="802">
        <f>BO5</f>
        <v/>
      </c>
      <c r="BN553" s="1193">
        <f>BO5</f>
        <v/>
      </c>
      <c r="BO553" s="802">
        <f>BP5</f>
        <v/>
      </c>
      <c r="BP553" s="802">
        <f>BQ5</f>
        <v/>
      </c>
      <c r="BQ553" s="802">
        <f>BR5</f>
        <v/>
      </c>
      <c r="BR553" s="802">
        <f>BT5</f>
        <v/>
      </c>
      <c r="BS553" s="1193">
        <f>BT5</f>
        <v/>
      </c>
      <c r="BT553" s="802">
        <f>BU5</f>
        <v/>
      </c>
      <c r="BU553" s="802">
        <f>BV5</f>
        <v/>
      </c>
      <c r="BV553" s="909">
        <f>BW5</f>
        <v/>
      </c>
      <c r="BW553" s="802" t="n"/>
      <c r="BX553" s="1193" t="n"/>
      <c r="BY553" s="802" t="n"/>
      <c r="BZ553" s="802" t="n"/>
      <c r="CA553" s="802" t="n"/>
      <c r="CB553" s="802" t="n"/>
      <c r="CC553" s="1193" t="n"/>
      <c r="CD553" s="1193" t="n"/>
      <c r="CE553" s="1193" t="n"/>
      <c r="CF553" s="1193" t="n"/>
      <c r="CG553" s="93" t="n"/>
    </row>
    <row r="554" hidden="1" outlineLevel="3" ht="15" customHeight="1">
      <c r="A554" s="492" t="inlineStr">
        <is>
          <t>Forward quarterly Capex guidance - low, mm</t>
        </is>
      </c>
      <c r="B554" s="428" t="n"/>
      <c r="C554" s="1134" t="n"/>
      <c r="D554" s="1134" t="n"/>
      <c r="E554" s="1134" t="n"/>
      <c r="F554" s="1134" t="n"/>
      <c r="G554" s="93" t="n"/>
      <c r="H554" s="93" t="n"/>
      <c r="I554" s="93" t="n"/>
      <c r="J554" s="93" t="n"/>
      <c r="K554" s="1134" t="n"/>
      <c r="L554" s="93" t="n"/>
      <c r="M554" s="93" t="n"/>
      <c r="N554" s="93" t="n"/>
      <c r="O554" s="93" t="n"/>
      <c r="P554" s="1134" t="n"/>
      <c r="Q554" s="93" t="n"/>
      <c r="R554" s="93" t="n"/>
      <c r="S554" s="93" t="n"/>
      <c r="T554" s="93" t="n"/>
      <c r="U554" s="1134" t="n"/>
      <c r="V554" s="93" t="n"/>
      <c r="W554" s="93" t="n"/>
      <c r="X554" s="93" t="n"/>
      <c r="Y554" s="93" t="n"/>
      <c r="Z554" s="1134" t="n"/>
      <c r="AA554" s="93" t="n"/>
      <c r="AB554" s="93" t="n"/>
      <c r="AC554" s="93" t="n"/>
      <c r="AD554" s="93" t="n"/>
      <c r="AE554" s="1134" t="n"/>
      <c r="AF554" s="93" t="n"/>
      <c r="AG554" s="93" t="n"/>
      <c r="AH554" s="93" t="n"/>
      <c r="AI554" s="93" t="n"/>
      <c r="AJ554" s="1134" t="n"/>
      <c r="AK554" s="93" t="n"/>
      <c r="AL554" s="93" t="n"/>
      <c r="AM554" s="93" t="n"/>
      <c r="AN554" s="93" t="n"/>
      <c r="AO554" s="1134" t="n"/>
      <c r="AP554" s="93" t="n"/>
      <c r="AQ554" s="93" t="n"/>
      <c r="AR554" s="93">
        <f>-AR1093</f>
        <v/>
      </c>
      <c r="AS554" s="93" t="n"/>
      <c r="AT554" s="1134" t="n"/>
      <c r="AU554" s="93">
        <f>-AU1093</f>
        <v/>
      </c>
      <c r="AV554" s="93">
        <f>-AV1093</f>
        <v/>
      </c>
      <c r="AW554" s="93" t="n"/>
      <c r="AX554" s="93">
        <f>-AX1093</f>
        <v/>
      </c>
      <c r="AY554" s="1134">
        <f>-AY1093</f>
        <v/>
      </c>
      <c r="AZ554" s="93">
        <f>-AZ1093</f>
        <v/>
      </c>
      <c r="BA554" s="93">
        <f>-BA1093</f>
        <v/>
      </c>
      <c r="BB554" s="93">
        <f>-BB1093</f>
        <v/>
      </c>
      <c r="BC554" s="93">
        <f>-BC1093</f>
        <v/>
      </c>
      <c r="BD554" s="1134">
        <f>-BD1093</f>
        <v/>
      </c>
      <c r="BE554" s="93">
        <f>-BE1093</f>
        <v/>
      </c>
      <c r="BF554" s="93">
        <f>-BF1093</f>
        <v/>
      </c>
      <c r="BG554" s="93">
        <f>-BG1093</f>
        <v/>
      </c>
      <c r="BH554" s="93">
        <f>-BH1093</f>
        <v/>
      </c>
      <c r="BI554" s="1134">
        <f>-BI1093</f>
        <v/>
      </c>
      <c r="BJ554" s="93">
        <f>-BJ1093</f>
        <v/>
      </c>
      <c r="BK554" s="93" t="n"/>
      <c r="BL554" s="93" t="n"/>
      <c r="BM554" s="93" t="n"/>
      <c r="BN554" s="1134" t="n"/>
      <c r="BO554" s="93" t="n"/>
      <c r="BP554" s="93" t="n"/>
      <c r="BQ554" s="93" t="n"/>
      <c r="BR554" s="93" t="n"/>
      <c r="BS554" s="1134" t="n"/>
      <c r="BT554" s="93" t="n"/>
      <c r="BU554" s="93" t="n"/>
      <c r="BV554" s="522" t="n"/>
      <c r="BW554" s="93" t="n"/>
      <c r="BX554" s="1134" t="n"/>
      <c r="BY554" s="93" t="n"/>
      <c r="BZ554" s="93" t="n"/>
      <c r="CA554" s="93" t="n"/>
      <c r="CB554" s="93" t="n"/>
      <c r="CC554" s="1134" t="n"/>
      <c r="CD554" s="1134" t="n"/>
      <c r="CE554" s="1134" t="n"/>
      <c r="CF554" s="1134" t="n"/>
      <c r="CG554" s="93" t="n"/>
    </row>
    <row r="555" hidden="1" outlineLevel="3" ht="15" customHeight="1">
      <c r="A555" s="812" t="inlineStr">
        <is>
          <t>Forward quarterly Capex guidance - high, mm</t>
        </is>
      </c>
      <c r="B555" s="718" t="n"/>
      <c r="C555" s="1129" t="n"/>
      <c r="D555" s="1129" t="n"/>
      <c r="E555" s="1129" t="n"/>
      <c r="F555" s="1129" t="n"/>
      <c r="G555" s="983" t="n"/>
      <c r="H555" s="983" t="n"/>
      <c r="I555" s="983" t="n"/>
      <c r="J555" s="983" t="n"/>
      <c r="K555" s="1129" t="n"/>
      <c r="L555" s="983" t="n"/>
      <c r="M555" s="983" t="n"/>
      <c r="N555" s="983" t="n"/>
      <c r="O555" s="983" t="n"/>
      <c r="P555" s="1129" t="n"/>
      <c r="Q555" s="983" t="n"/>
      <c r="R555" s="983" t="n"/>
      <c r="S555" s="983" t="n"/>
      <c r="T555" s="983" t="n"/>
      <c r="U555" s="1129" t="n"/>
      <c r="V555" s="983" t="n"/>
      <c r="W555" s="983" t="n"/>
      <c r="X555" s="983" t="n"/>
      <c r="Y555" s="983" t="n"/>
      <c r="Z555" s="1129" t="n"/>
      <c r="AA555" s="983" t="n"/>
      <c r="AB555" s="983" t="n"/>
      <c r="AC555" s="983" t="n"/>
      <c r="AD555" s="983" t="n"/>
      <c r="AE555" s="1129" t="n"/>
      <c r="AF555" s="983" t="n"/>
      <c r="AG555" s="983" t="n"/>
      <c r="AH555" s="983" t="n"/>
      <c r="AI555" s="983" t="n"/>
      <c r="AJ555" s="1129" t="n"/>
      <c r="AK555" s="983" t="n"/>
      <c r="AL555" s="983" t="n"/>
      <c r="AM555" s="983" t="n"/>
      <c r="AN555" s="983" t="n"/>
      <c r="AO555" s="1129" t="n"/>
      <c r="AP555" s="983" t="n"/>
      <c r="AQ555" s="983" t="n"/>
      <c r="AR555" s="983">
        <f>-AR1094</f>
        <v/>
      </c>
      <c r="AS555" s="983" t="n"/>
      <c r="AT555" s="1129" t="n"/>
      <c r="AU555" s="983">
        <f>-AU1094</f>
        <v/>
      </c>
      <c r="AV555" s="983">
        <f>-AV1094</f>
        <v/>
      </c>
      <c r="AW555" s="983" t="n"/>
      <c r="AX555" s="983">
        <f>-AX1094</f>
        <v/>
      </c>
      <c r="AY555" s="1129">
        <f>-AY1094</f>
        <v/>
      </c>
      <c r="AZ555" s="983">
        <f>-AZ1094</f>
        <v/>
      </c>
      <c r="BA555" s="983">
        <f>-BA1094</f>
        <v/>
      </c>
      <c r="BB555" s="983">
        <f>-BB1094</f>
        <v/>
      </c>
      <c r="BC555" s="983">
        <f>-BC1094</f>
        <v/>
      </c>
      <c r="BD555" s="1129">
        <f>-BD1094</f>
        <v/>
      </c>
      <c r="BE555" s="983">
        <f>-BE1094</f>
        <v/>
      </c>
      <c r="BF555" s="983">
        <f>-BF1094</f>
        <v/>
      </c>
      <c r="BG555" s="983">
        <f>-BG1094</f>
        <v/>
      </c>
      <c r="BH555" s="983">
        <f>-BH1094</f>
        <v/>
      </c>
      <c r="BI555" s="1129">
        <f>-BI1094</f>
        <v/>
      </c>
      <c r="BJ555" s="983">
        <f>-BJ1094</f>
        <v/>
      </c>
      <c r="BK555" s="983" t="n"/>
      <c r="BL555" s="983" t="n"/>
      <c r="BM555" s="983" t="n"/>
      <c r="BN555" s="1129" t="n"/>
      <c r="BO555" s="983" t="n"/>
      <c r="BP555" s="983" t="n"/>
      <c r="BQ555" s="983" t="n"/>
      <c r="BR555" s="983" t="n"/>
      <c r="BS555" s="1129" t="n"/>
      <c r="BT555" s="983" t="n"/>
      <c r="BU555" s="983" t="n"/>
      <c r="BV555" s="984" t="n"/>
      <c r="BW555" s="983" t="n"/>
      <c r="BX555" s="1129" t="n"/>
      <c r="BY555" s="983" t="n"/>
      <c r="BZ555" s="983" t="n"/>
      <c r="CA555" s="983" t="n"/>
      <c r="CB555" s="983" t="n"/>
      <c r="CC555" s="1129" t="n"/>
      <c r="CD555" s="1129" t="n"/>
      <c r="CE555" s="1129" t="n"/>
      <c r="CF555" s="1129" t="n"/>
      <c r="CG555" s="93" t="n"/>
    </row>
    <row r="556" hidden="1" outlineLevel="2" collapsed="1" ht="15" customHeight="1">
      <c r="A556" s="609" t="inlineStr">
        <is>
          <t>Forward quarterly Capex guidance - midpoint, mm</t>
        </is>
      </c>
      <c r="B556" s="610" t="n"/>
      <c r="C556" s="1159" t="n"/>
      <c r="D556" s="1159" t="n"/>
      <c r="E556" s="1159" t="n"/>
      <c r="F556" s="1159" t="n"/>
      <c r="G556" s="378" t="n"/>
      <c r="H556" s="378" t="n"/>
      <c r="I556" s="378" t="n"/>
      <c r="J556" s="378" t="n"/>
      <c r="K556" s="1159" t="n"/>
      <c r="L556" s="378" t="n"/>
      <c r="M556" s="378" t="n"/>
      <c r="N556" s="378" t="n"/>
      <c r="O556" s="378" t="n"/>
      <c r="P556" s="1159" t="n"/>
      <c r="Q556" s="378" t="n"/>
      <c r="R556" s="378" t="n"/>
      <c r="S556" s="378" t="n"/>
      <c r="T556" s="378" t="n"/>
      <c r="U556" s="1159" t="n"/>
      <c r="V556" s="378" t="n"/>
      <c r="W556" s="378" t="n"/>
      <c r="X556" s="378" t="n"/>
      <c r="Y556" s="378" t="n"/>
      <c r="Z556" s="1159" t="n"/>
      <c r="AA556" s="378" t="n"/>
      <c r="AB556" s="378" t="n"/>
      <c r="AC556" s="378" t="n"/>
      <c r="AD556" s="378" t="n"/>
      <c r="AE556" s="1159" t="n"/>
      <c r="AF556" s="378" t="n"/>
      <c r="AG556" s="378" t="n"/>
      <c r="AH556" s="378" t="n"/>
      <c r="AI556" s="378" t="n"/>
      <c r="AJ556" s="1159" t="n"/>
      <c r="AK556" s="378" t="n"/>
      <c r="AL556" s="378" t="n"/>
      <c r="AM556" s="378" t="n"/>
      <c r="AN556" s="378" t="n"/>
      <c r="AO556" s="1159" t="n"/>
      <c r="AP556" s="378" t="n"/>
      <c r="AQ556" s="378" t="n"/>
      <c r="AR556" s="378">
        <f>IFERROR(AVERAGE(AR554,AR555),"")</f>
        <v/>
      </c>
      <c r="AS556" s="378">
        <f>IFERROR(AVERAGE(AS554,AS555),"")</f>
        <v/>
      </c>
      <c r="AT556" s="1159">
        <f>IFERROR(AVERAGE(AT554,AT555),"")</f>
        <v/>
      </c>
      <c r="AU556" s="378">
        <f>IFERROR(AVERAGE(AU554,AU555),"")</f>
        <v/>
      </c>
      <c r="AV556" s="378">
        <f>IFERROR(AVERAGE(AV554,AV555),"")</f>
        <v/>
      </c>
      <c r="AW556" s="378">
        <f>IFERROR(AVERAGE(AW554,AW555),"")</f>
        <v/>
      </c>
      <c r="AX556" s="378">
        <f>IFERROR(AVERAGE(AX554,AX555),"")</f>
        <v/>
      </c>
      <c r="AY556" s="1159">
        <f>IFERROR(AVERAGE(AY554,AY555),"")</f>
        <v/>
      </c>
      <c r="AZ556" s="378">
        <f>IFERROR(AVERAGE(AZ554,AZ555),"")</f>
        <v/>
      </c>
      <c r="BA556" s="378">
        <f>IFERROR(AVERAGE(BA554,BA555),"")</f>
        <v/>
      </c>
      <c r="BB556" s="378">
        <f>IFERROR(AVERAGE(BB554,BB555),"")</f>
        <v/>
      </c>
      <c r="BC556" s="378">
        <f>IFERROR(AVERAGE(BC554,BC555),"")</f>
        <v/>
      </c>
      <c r="BD556" s="1159">
        <f>IFERROR(AVERAGE(BD554,BD555),"")</f>
        <v/>
      </c>
      <c r="BE556" s="378">
        <f>IFERROR(AVERAGE(BE554,BE555),"")</f>
        <v/>
      </c>
      <c r="BF556" s="378">
        <f>IFERROR(AVERAGE(BF554,BF555),"")</f>
        <v/>
      </c>
      <c r="BG556" s="378">
        <f>IFERROR(AVERAGE(BG554,BG555),"")</f>
        <v/>
      </c>
      <c r="BH556" s="378">
        <f>IFERROR(AVERAGE(BH554,BH555),"")</f>
        <v/>
      </c>
      <c r="BI556" s="1159">
        <f>IFERROR(AVERAGE(BI554,BI555),"")</f>
        <v/>
      </c>
      <c r="BJ556" s="378">
        <f>IFERROR(AVERAGE(BJ554,BJ555),"")</f>
        <v/>
      </c>
      <c r="BK556" s="378">
        <f>IFERROR(AVERAGE(BK554,BK555),"")</f>
        <v/>
      </c>
      <c r="BL556" s="378">
        <f>IFERROR(AVERAGE(BL554,BL555),"")</f>
        <v/>
      </c>
      <c r="BM556" s="378">
        <f>IFERROR(AVERAGE(BM554,BM555),"")</f>
        <v/>
      </c>
      <c r="BN556" s="1159">
        <f>IFERROR(AVERAGE(BN554,BN555),"")</f>
        <v/>
      </c>
      <c r="BO556" s="378">
        <f>IFERROR(AVERAGE(BO554,BO555),"")</f>
        <v/>
      </c>
      <c r="BP556" s="378">
        <f>IFERROR(AVERAGE(BP554,BP555),"")</f>
        <v/>
      </c>
      <c r="BQ556" s="378">
        <f>IFERROR(AVERAGE(BQ554,BQ555),"")</f>
        <v/>
      </c>
      <c r="BR556" s="378">
        <f>IFERROR(AVERAGE(BR554,BR555),"")</f>
        <v/>
      </c>
      <c r="BS556" s="1159">
        <f>IFERROR(AVERAGE(BS554,BS555),"")</f>
        <v/>
      </c>
      <c r="BT556" s="378">
        <f>IFERROR(AVERAGE(BT554,BT555),"")</f>
        <v/>
      </c>
      <c r="BU556" s="378">
        <f>IFERROR(AVERAGE(BU554,BU555),"")</f>
        <v/>
      </c>
      <c r="BV556" s="1037">
        <f>IFERROR(AVERAGE(BV554,BV555),"")</f>
        <v/>
      </c>
      <c r="BW556" s="378" t="n"/>
      <c r="BX556" s="1159" t="n"/>
      <c r="BY556" s="378" t="n"/>
      <c r="BZ556" s="378" t="n"/>
      <c r="CA556" s="378" t="n"/>
      <c r="CB556" s="378" t="n"/>
      <c r="CC556" s="1159" t="n"/>
      <c r="CD556" s="1159" t="n"/>
      <c r="CE556" s="1159" t="n"/>
      <c r="CF556" s="1159" t="n"/>
      <c r="CG556" s="93" t="n"/>
    </row>
    <row r="557" hidden="1" outlineLevel="2" ht="15" customHeight="1">
      <c r="A557" s="492" t="inlineStr">
        <is>
          <t>Forward quarterly Capex guidance variance, mm</t>
        </is>
      </c>
      <c r="B557" s="428" t="n"/>
      <c r="C557" s="1134" t="n"/>
      <c r="D557" s="1134" t="n"/>
      <c r="E557" s="1134" t="n"/>
      <c r="F557" s="1134" t="n"/>
      <c r="G557" s="93" t="n"/>
      <c r="H557" s="93" t="n"/>
      <c r="I557" s="93" t="n"/>
      <c r="J557" s="93" t="n"/>
      <c r="K557" s="1134" t="n"/>
      <c r="L557" s="93" t="n"/>
      <c r="M557" s="93" t="n"/>
      <c r="N557" s="93" t="n"/>
      <c r="O557" s="93" t="n"/>
      <c r="P557" s="1134" t="n"/>
      <c r="Q557" s="93" t="n"/>
      <c r="R557" s="93" t="n"/>
      <c r="S557" s="93" t="n"/>
      <c r="T557" s="93" t="n"/>
      <c r="U557" s="1134" t="n"/>
      <c r="V557" s="93" t="n"/>
      <c r="W557" s="93" t="n"/>
      <c r="X557" s="93" t="n"/>
      <c r="Y557" s="93" t="n"/>
      <c r="Z557" s="1134" t="n"/>
      <c r="AA557" s="93" t="n"/>
      <c r="AB557" s="93" t="n"/>
      <c r="AC557" s="93" t="n"/>
      <c r="AD557" s="93" t="n"/>
      <c r="AE557" s="1134" t="n"/>
      <c r="AF557" s="93" t="n"/>
      <c r="AG557" s="93" t="n"/>
      <c r="AH557" s="93" t="n"/>
      <c r="AI557" s="93" t="n"/>
      <c r="AJ557" s="1134" t="n"/>
      <c r="AK557" s="93" t="n"/>
      <c r="AL557" s="93" t="n"/>
      <c r="AM557" s="93" t="n"/>
      <c r="AN557" s="93" t="n"/>
      <c r="AO557" s="1134" t="n"/>
      <c r="AP557" s="93" t="n"/>
      <c r="AQ557" s="93" t="n"/>
      <c r="AR557" s="93">
        <f>IFERROR(ABS(AR555-AR554),"")</f>
        <v/>
      </c>
      <c r="AS557" s="93">
        <f>IFERROR(ABS(AS555-AS554),"")</f>
        <v/>
      </c>
      <c r="AT557" s="1134">
        <f>IFERROR(ABS(AT555-AT554),"")</f>
        <v/>
      </c>
      <c r="AU557" s="93">
        <f>IFERROR(ABS(AU555-AU554),"")</f>
        <v/>
      </c>
      <c r="AV557" s="93">
        <f>IFERROR(ABS(AV555-AV554),"")</f>
        <v/>
      </c>
      <c r="AW557" s="93">
        <f>IFERROR(ABS(AW555-AW554),"")</f>
        <v/>
      </c>
      <c r="AX557" s="93">
        <f>IFERROR(ABS(AX555-AX554),"")</f>
        <v/>
      </c>
      <c r="AY557" s="1134">
        <f>IFERROR(ABS(AY555-AY554),"")</f>
        <v/>
      </c>
      <c r="AZ557" s="93">
        <f>IFERROR(ABS(AZ555-AZ554),"")</f>
        <v/>
      </c>
      <c r="BA557" s="93">
        <f>IFERROR(ABS(BA555-BA554),"")</f>
        <v/>
      </c>
      <c r="BB557" s="93">
        <f>IFERROR(ABS(BB555-BB554),"")</f>
        <v/>
      </c>
      <c r="BC557" s="93">
        <f>IFERROR(ABS(BC555-BC554),"")</f>
        <v/>
      </c>
      <c r="BD557" s="1134">
        <f>IFERROR(ABS(BD555-BD554),"")</f>
        <v/>
      </c>
      <c r="BE557" s="93">
        <f>IFERROR(ABS(BE555-BE554),"")</f>
        <v/>
      </c>
      <c r="BF557" s="93">
        <f>IFERROR(ABS(BF555-BF554),"")</f>
        <v/>
      </c>
      <c r="BG557" s="93">
        <f>IFERROR(ABS(BG555-BG554),"")</f>
        <v/>
      </c>
      <c r="BH557" s="93">
        <f>IFERROR(ABS(BH555-BH554),"")</f>
        <v/>
      </c>
      <c r="BI557" s="1134">
        <f>IFERROR(ABS(BI555-BI554),"")</f>
        <v/>
      </c>
      <c r="BJ557" s="93">
        <f>IFERROR(ABS(BJ555-BJ554),"")</f>
        <v/>
      </c>
      <c r="BK557" s="93">
        <f>IFERROR(ABS(BK555-BK554),"")</f>
        <v/>
      </c>
      <c r="BL557" s="93">
        <f>IFERROR(ABS(BL555-BL554),"")</f>
        <v/>
      </c>
      <c r="BM557" s="93">
        <f>IFERROR(ABS(BM555-BM554),"")</f>
        <v/>
      </c>
      <c r="BN557" s="1134">
        <f>IFERROR(ABS(BN555-BN554),"")</f>
        <v/>
      </c>
      <c r="BO557" s="93">
        <f>IFERROR(ABS(BO555-BO554),"")</f>
        <v/>
      </c>
      <c r="BP557" s="93">
        <f>IFERROR(ABS(BP555-BP554),"")</f>
        <v/>
      </c>
      <c r="BQ557" s="93">
        <f>IFERROR(ABS(BQ555-BQ554),"")</f>
        <v/>
      </c>
      <c r="BR557" s="93">
        <f>IFERROR(ABS(BR555-BR554),"")</f>
        <v/>
      </c>
      <c r="BS557" s="1134">
        <f>IFERROR(ABS(BS555-BS554),"")</f>
        <v/>
      </c>
      <c r="BT557" s="93">
        <f>IFERROR(ABS(BT555-BT554),"")</f>
        <v/>
      </c>
      <c r="BU557" s="93">
        <f>IFERROR(ABS(BU555-BU554),"")</f>
        <v/>
      </c>
      <c r="BV557" s="522">
        <f>IFERROR(ABS(BV555-BV554),"")</f>
        <v/>
      </c>
      <c r="BW557" s="93" t="n"/>
      <c r="BX557" s="1134" t="n"/>
      <c r="BY557" s="93" t="n"/>
      <c r="BZ557" s="93" t="n"/>
      <c r="CA557" s="93" t="n"/>
      <c r="CB557" s="93" t="n"/>
      <c r="CC557" s="1134" t="n"/>
      <c r="CD557" s="1134" t="n"/>
      <c r="CE557" s="1134" t="n"/>
      <c r="CF557" s="1134" t="n"/>
      <c r="CG557" s="93" t="n"/>
    </row>
    <row r="558" hidden="1" outlineLevel="2" ht="15" customHeight="1">
      <c r="A558" s="647" t="inlineStr">
        <is>
          <t>Forward quarterly Capex guidance variance (+/-), %</t>
        </is>
      </c>
      <c r="B558" s="428" t="n"/>
      <c r="C558" s="1126" t="n"/>
      <c r="D558" s="1126" t="n"/>
      <c r="E558" s="1126" t="n"/>
      <c r="F558" s="1126" t="n"/>
      <c r="G558" s="315" t="n"/>
      <c r="H558" s="315" t="n"/>
      <c r="I558" s="315" t="n"/>
      <c r="J558" s="315" t="n"/>
      <c r="K558" s="1126" t="n"/>
      <c r="L558" s="315" t="n"/>
      <c r="M558" s="315" t="n"/>
      <c r="N558" s="315" t="n"/>
      <c r="O558" s="315" t="n"/>
      <c r="P558" s="1126" t="n"/>
      <c r="Q558" s="315" t="n"/>
      <c r="R558" s="315" t="n"/>
      <c r="S558" s="315" t="n"/>
      <c r="T558" s="315" t="n"/>
      <c r="U558" s="1126" t="n"/>
      <c r="V558" s="315" t="n"/>
      <c r="W558" s="315" t="n"/>
      <c r="X558" s="315" t="n"/>
      <c r="Y558" s="315" t="n"/>
      <c r="Z558" s="1126" t="n"/>
      <c r="AA558" s="315" t="n"/>
      <c r="AB558" s="315" t="n"/>
      <c r="AC558" s="315" t="n"/>
      <c r="AD558" s="315" t="n"/>
      <c r="AE558" s="1126" t="n"/>
      <c r="AF558" s="315" t="n"/>
      <c r="AG558" s="315" t="n"/>
      <c r="AH558" s="315" t="n"/>
      <c r="AI558" s="315" t="n"/>
      <c r="AJ558" s="1126" t="n"/>
      <c r="AK558" s="315" t="n"/>
      <c r="AL558" s="315" t="n"/>
      <c r="AM558" s="315" t="n"/>
      <c r="AN558" s="315" t="n"/>
      <c r="AO558" s="1126" t="n"/>
      <c r="AP558" s="315" t="n"/>
      <c r="AQ558" s="315" t="n"/>
      <c r="AR558" s="315">
        <f>IFERROR(ABS((AR555-AR556)/AR556),"")</f>
        <v/>
      </c>
      <c r="AS558" s="315">
        <f>IFERROR(ABS((AS555-AS556)/AS556),"")</f>
        <v/>
      </c>
      <c r="AT558" s="1126">
        <f>IFERROR(ABS((AT555-AT556)/AT556),"")</f>
        <v/>
      </c>
      <c r="AU558" s="315">
        <f>IFERROR(ABS((AU555-AU556)/AU556),"")</f>
        <v/>
      </c>
      <c r="AV558" s="315">
        <f>IFERROR(ABS((AV555-AV556)/AV556),"")</f>
        <v/>
      </c>
      <c r="AW558" s="315">
        <f>IFERROR(ABS((AW555-AW556)/AW556),"")</f>
        <v/>
      </c>
      <c r="AX558" s="315">
        <f>IFERROR(ABS((AX555-AX556)/AX556),"")</f>
        <v/>
      </c>
      <c r="AY558" s="1126">
        <f>IFERROR(ABS((AY555-AY556)/AY556),"")</f>
        <v/>
      </c>
      <c r="AZ558" s="315">
        <f>IFERROR(ABS((AZ555-AZ556)/AZ556),"")</f>
        <v/>
      </c>
      <c r="BA558" s="315">
        <f>IFERROR(ABS((BA555-BA556)/BA556),"")</f>
        <v/>
      </c>
      <c r="BB558" s="315">
        <f>IFERROR(ABS((BB555-BB556)/BB556),"")</f>
        <v/>
      </c>
      <c r="BC558" s="315">
        <f>IFERROR(ABS((BC555-BC556)/BC556),"")</f>
        <v/>
      </c>
      <c r="BD558" s="1126">
        <f>IFERROR(ABS((BD555-BD556)/BD556),"")</f>
        <v/>
      </c>
      <c r="BE558" s="315">
        <f>IFERROR(ABS((BE555-BE556)/BE556),"")</f>
        <v/>
      </c>
      <c r="BF558" s="315">
        <f>IFERROR(ABS((BF555-BF556)/BF556),"")</f>
        <v/>
      </c>
      <c r="BG558" s="315">
        <f>IFERROR(ABS((BG555-BG556)/BG556),"")</f>
        <v/>
      </c>
      <c r="BH558" s="315">
        <f>IFERROR(ABS((BH555-BH556)/BH556),"")</f>
        <v/>
      </c>
      <c r="BI558" s="1126">
        <f>IFERROR(ABS((BI555-BI556)/BI556),"")</f>
        <v/>
      </c>
      <c r="BJ558" s="315">
        <f>IFERROR(ABS((BJ555-BJ556)/BJ556),"")</f>
        <v/>
      </c>
      <c r="BK558" s="315">
        <f>IFERROR(ABS((BK555-BK556)/BK556),"")</f>
        <v/>
      </c>
      <c r="BL558" s="315">
        <f>IFERROR(ABS((BL555-BL556)/BL556),"")</f>
        <v/>
      </c>
      <c r="BM558" s="315">
        <f>IFERROR(ABS((BM555-BM556)/BM556),"")</f>
        <v/>
      </c>
      <c r="BN558" s="1126">
        <f>IFERROR(ABS((BN555-BN556)/BN556),"")</f>
        <v/>
      </c>
      <c r="BO558" s="315">
        <f>IFERROR(ABS((BO555-BO556)/BO556),"")</f>
        <v/>
      </c>
      <c r="BP558" s="315">
        <f>IFERROR(ABS((BP555-BP556)/BP556),"")</f>
        <v/>
      </c>
      <c r="BQ558" s="315">
        <f>IFERROR(ABS((BQ555-BQ556)/BQ556),"")</f>
        <v/>
      </c>
      <c r="BR558" s="315">
        <f>IFERROR(ABS((BR555-BR556)/BR556),"")</f>
        <v/>
      </c>
      <c r="BS558" s="1126">
        <f>IFERROR(ABS((BS555-BS556)/BS556),"")</f>
        <v/>
      </c>
      <c r="BT558" s="315">
        <f>IFERROR(ABS((BT555-BT556)/BT556),"")</f>
        <v/>
      </c>
      <c r="BU558" s="315">
        <f>IFERROR(ABS((BU555-BU556)/BU556),"")</f>
        <v/>
      </c>
      <c r="BV558" s="885">
        <f>IFERROR(ABS((BV555-BV556)/BV556),"")</f>
        <v/>
      </c>
      <c r="BW558" s="315" t="n"/>
      <c r="BX558" s="1126" t="n"/>
      <c r="BY558" s="315" t="n"/>
      <c r="BZ558" s="315" t="n"/>
      <c r="CA558" s="315" t="n"/>
      <c r="CB558" s="315" t="n"/>
      <c r="CC558" s="1126" t="n"/>
      <c r="CD558" s="1126" t="n"/>
      <c r="CE558" s="1126" t="n"/>
      <c r="CF558" s="1126" t="n"/>
      <c r="CG558" s="93" t="n"/>
    </row>
    <row r="559" hidden="1" outlineLevel="2" ht="15" customHeight="1">
      <c r="A559" s="799" t="n"/>
      <c r="B559" s="428" t="n"/>
      <c r="C559" s="1134" t="n"/>
      <c r="D559" s="1134" t="n"/>
      <c r="E559" s="1134" t="n"/>
      <c r="F559" s="1134" t="n"/>
      <c r="G559" s="93" t="n"/>
      <c r="H559" s="93" t="n"/>
      <c r="I559" s="93" t="n"/>
      <c r="J559" s="93" t="n"/>
      <c r="K559" s="1134" t="n"/>
      <c r="L559" s="93" t="n"/>
      <c r="M559" s="93" t="n"/>
      <c r="N559" s="93" t="n"/>
      <c r="O559" s="93" t="n"/>
      <c r="P559" s="1134" t="n"/>
      <c r="Q559" s="93" t="n"/>
      <c r="R559" s="93" t="n"/>
      <c r="S559" s="93" t="n"/>
      <c r="T559" s="93" t="n"/>
      <c r="U559" s="1134" t="n"/>
      <c r="V559" s="93" t="n"/>
      <c r="W559" s="93" t="n"/>
      <c r="X559" s="93" t="n"/>
      <c r="Y559" s="93" t="n"/>
      <c r="Z559" s="1134" t="n"/>
      <c r="AA559" s="93" t="n"/>
      <c r="AB559" s="93" t="n"/>
      <c r="AC559" s="93" t="n"/>
      <c r="AD559" s="93" t="n"/>
      <c r="AE559" s="1134" t="n"/>
      <c r="AF559" s="93" t="n"/>
      <c r="AG559" s="93" t="n"/>
      <c r="AH559" s="93" t="n"/>
      <c r="AI559" s="93" t="n"/>
      <c r="AJ559" s="1134" t="n"/>
      <c r="AK559" s="93" t="n"/>
      <c r="AL559" s="93" t="n"/>
      <c r="AM559" s="93" t="n"/>
      <c r="AN559" s="93" t="n"/>
      <c r="AO559" s="1134" t="n"/>
      <c r="AP559" s="93" t="n"/>
      <c r="AQ559" s="93" t="n"/>
      <c r="AR559" s="93" t="n"/>
      <c r="AS559" s="93" t="n"/>
      <c r="AT559" s="1134" t="n"/>
      <c r="AU559" s="93" t="n"/>
      <c r="AV559" s="93" t="n"/>
      <c r="AW559" s="93" t="n"/>
      <c r="AX559" s="93" t="n"/>
      <c r="AY559" s="1134" t="n"/>
      <c r="AZ559" s="93" t="n"/>
      <c r="BA559" s="93" t="n"/>
      <c r="BB559" s="93" t="n"/>
      <c r="BC559" s="93" t="n"/>
      <c r="BD559" s="1134" t="n"/>
      <c r="BE559" s="93" t="n"/>
      <c r="BF559" s="93" t="n"/>
      <c r="BG559" s="93" t="n"/>
      <c r="BH559" s="93" t="n"/>
      <c r="BI559" s="1134" t="n"/>
      <c r="BJ559" s="93" t="n"/>
      <c r="BK559" s="93" t="n"/>
      <c r="BL559" s="93" t="n"/>
      <c r="BM559" s="93" t="n"/>
      <c r="BN559" s="1134" t="n"/>
      <c r="BO559" s="93" t="n"/>
      <c r="BP559" s="93" t="n"/>
      <c r="BQ559" s="93" t="n"/>
      <c r="BR559" s="93" t="n"/>
      <c r="BS559" s="1134" t="n"/>
      <c r="BT559" s="93" t="n"/>
      <c r="BU559" s="93" t="n"/>
      <c r="BV559" s="522" t="n"/>
      <c r="BW559" s="93" t="n"/>
      <c r="BX559" s="1134" t="n"/>
      <c r="BY559" s="93" t="n"/>
      <c r="BZ559" s="93" t="n"/>
      <c r="CA559" s="93" t="n"/>
      <c r="CB559" s="93" t="n"/>
      <c r="CC559" s="1134" t="n"/>
      <c r="CD559" s="1134" t="n"/>
      <c r="CE559" s="1134" t="n"/>
      <c r="CF559" s="1134" t="n"/>
      <c r="CG559" s="93" t="n"/>
    </row>
    <row r="560" hidden="1" outlineLevel="2" ht="15" customHeight="1">
      <c r="A560" s="803" t="inlineStr">
        <is>
          <t>Forward annual guidance - applicable period, period</t>
        </is>
      </c>
      <c r="B560" s="801" t="n"/>
      <c r="C560" s="1193" t="n"/>
      <c r="D560" s="1193" t="n"/>
      <c r="E560" s="1193" t="n"/>
      <c r="F560" s="1193" t="n"/>
      <c r="G560" s="802" t="n"/>
      <c r="H560" s="802" t="n"/>
      <c r="I560" s="802" t="n"/>
      <c r="J560" s="802" t="n"/>
      <c r="K560" s="1193" t="n"/>
      <c r="L560" s="802" t="n"/>
      <c r="M560" s="802" t="n"/>
      <c r="N560" s="802" t="n"/>
      <c r="O560" s="802" t="n"/>
      <c r="P560" s="1193" t="n"/>
      <c r="Q560" s="802" t="n"/>
      <c r="R560" s="802" t="n"/>
      <c r="S560" s="802" t="n"/>
      <c r="T560" s="802" t="n"/>
      <c r="U560" s="1193" t="n"/>
      <c r="V560" s="802" t="n"/>
      <c r="W560" s="802" t="n"/>
      <c r="X560" s="802" t="n"/>
      <c r="Y560" s="802" t="n"/>
      <c r="Z560" s="1193" t="n"/>
      <c r="AA560" s="802" t="n"/>
      <c r="AB560" s="802" t="n"/>
      <c r="AC560" s="802" t="n"/>
      <c r="AD560" s="802" t="n"/>
      <c r="AE560" s="1193" t="n"/>
      <c r="AF560" s="802" t="n"/>
      <c r="AG560" s="802" t="n"/>
      <c r="AH560" s="802" t="n"/>
      <c r="AI560" s="802" t="n"/>
      <c r="AJ560" s="1193" t="n"/>
      <c r="AK560" s="802" t="n"/>
      <c r="AL560" s="802" t="n"/>
      <c r="AM560" s="802" t="n"/>
      <c r="AN560" s="802" t="n"/>
      <c r="AO560" s="1193" t="n"/>
      <c r="AP560" s="802" t="n"/>
      <c r="AQ560" s="802" t="n"/>
      <c r="AR560" s="802">
        <f>AT5</f>
        <v/>
      </c>
      <c r="AS560" s="802">
        <f>AY5</f>
        <v/>
      </c>
      <c r="AT560" s="1193">
        <f>AY5</f>
        <v/>
      </c>
      <c r="AU560" s="802">
        <f>AY5</f>
        <v/>
      </c>
      <c r="AV560" s="802">
        <f>AY5</f>
        <v/>
      </c>
      <c r="AW560" s="802">
        <f>AY5</f>
        <v/>
      </c>
      <c r="AX560" s="802">
        <f>BD5</f>
        <v/>
      </c>
      <c r="AY560" s="1193">
        <f>BD5</f>
        <v/>
      </c>
      <c r="AZ560" s="802">
        <f>BD5</f>
        <v/>
      </c>
      <c r="BA560" s="802">
        <f>BD5</f>
        <v/>
      </c>
      <c r="BB560" s="802">
        <f>BD5</f>
        <v/>
      </c>
      <c r="BC560" s="802">
        <f>BI5</f>
        <v/>
      </c>
      <c r="BD560" s="1193">
        <f>BI5</f>
        <v/>
      </c>
      <c r="BE560" s="802">
        <f>BI5</f>
        <v/>
      </c>
      <c r="BF560" s="802">
        <f>BI5</f>
        <v/>
      </c>
      <c r="BG560" s="802">
        <f>BI5</f>
        <v/>
      </c>
      <c r="BH560" s="802">
        <f>BN5</f>
        <v/>
      </c>
      <c r="BI560" s="1193">
        <f>BN5</f>
        <v/>
      </c>
      <c r="BJ560" s="802">
        <f>BN5</f>
        <v/>
      </c>
      <c r="BK560" s="802">
        <f>BN5</f>
        <v/>
      </c>
      <c r="BL560" s="802">
        <f>BN5</f>
        <v/>
      </c>
      <c r="BM560" s="802">
        <f>BS5</f>
        <v/>
      </c>
      <c r="BN560" s="1193">
        <f>BS5</f>
        <v/>
      </c>
      <c r="BO560" s="802">
        <f>BS5</f>
        <v/>
      </c>
      <c r="BP560" s="802">
        <f>BS5</f>
        <v/>
      </c>
      <c r="BQ560" s="802">
        <f>BS5</f>
        <v/>
      </c>
      <c r="BR560" s="802">
        <f>BX5</f>
        <v/>
      </c>
      <c r="BS560" s="1193">
        <f>BX5</f>
        <v/>
      </c>
      <c r="BT560" s="802">
        <f>BX5</f>
        <v/>
      </c>
      <c r="BU560" s="802">
        <f>BX5</f>
        <v/>
      </c>
      <c r="BV560" s="909">
        <f>BX5</f>
        <v/>
      </c>
      <c r="BW560" s="802" t="n"/>
      <c r="BX560" s="1193" t="n"/>
      <c r="BY560" s="802" t="n"/>
      <c r="BZ560" s="802" t="n"/>
      <c r="CA560" s="802" t="n"/>
      <c r="CB560" s="802" t="n"/>
      <c r="CC560" s="1193" t="n"/>
      <c r="CD560" s="1193" t="n"/>
      <c r="CE560" s="1193" t="n"/>
      <c r="CF560" s="1193" t="n"/>
      <c r="CG560" s="93" t="n"/>
    </row>
    <row r="561" hidden="1" outlineLevel="3" ht="15" customHeight="1">
      <c r="A561" s="492" t="inlineStr">
        <is>
          <t>Forward annual Capex guidance - low, mm</t>
        </is>
      </c>
      <c r="B561" s="428" t="n"/>
      <c r="C561" s="1134" t="n"/>
      <c r="D561" s="1134" t="n"/>
      <c r="E561" s="1134" t="n"/>
      <c r="F561" s="1134" t="n"/>
      <c r="G561" s="93" t="n"/>
      <c r="H561" s="93" t="n"/>
      <c r="I561" s="93" t="n"/>
      <c r="J561" s="93" t="n"/>
      <c r="K561" s="1134" t="n"/>
      <c r="L561" s="93" t="n"/>
      <c r="M561" s="93" t="n"/>
      <c r="N561" s="93" t="n"/>
      <c r="O561" s="93" t="n"/>
      <c r="P561" s="1134" t="n"/>
      <c r="Q561" s="93" t="n"/>
      <c r="R561" s="93" t="n"/>
      <c r="S561" s="93" t="n"/>
      <c r="T561" s="93" t="n"/>
      <c r="U561" s="1134" t="n"/>
      <c r="V561" s="93" t="n"/>
      <c r="W561" s="93" t="n"/>
      <c r="X561" s="93" t="n"/>
      <c r="Y561" s="93" t="n"/>
      <c r="Z561" s="1134" t="n"/>
      <c r="AA561" s="93" t="n"/>
      <c r="AB561" s="93" t="n"/>
      <c r="AC561" s="93" t="n"/>
      <c r="AD561" s="93" t="n"/>
      <c r="AE561" s="1134" t="n"/>
      <c r="AF561" s="93" t="n"/>
      <c r="AG561" s="93" t="n"/>
      <c r="AH561" s="93" t="n"/>
      <c r="AI561" s="93" t="n"/>
      <c r="AJ561" s="1134" t="n"/>
      <c r="AK561" s="93" t="n"/>
      <c r="AL561" s="93" t="n"/>
      <c r="AM561" s="93" t="n"/>
      <c r="AN561" s="93" t="n"/>
      <c r="AO561" s="1134" t="n"/>
      <c r="AP561" s="93" t="n"/>
      <c r="AQ561" s="93" t="n"/>
      <c r="AR561" s="93" t="n"/>
      <c r="AS561" s="93" t="n"/>
      <c r="AT561" s="1134" t="n"/>
      <c r="AU561" s="93" t="n"/>
      <c r="AV561" s="93" t="n"/>
      <c r="AW561" s="93" t="n"/>
      <c r="AX561" s="93" t="n"/>
      <c r="AY561" s="1134" t="n"/>
      <c r="AZ561" s="93" t="n"/>
      <c r="BA561" s="93" t="n"/>
      <c r="BB561" s="93" t="n"/>
      <c r="BC561" s="93" t="n"/>
      <c r="BD561" s="1134" t="n"/>
      <c r="BE561" s="93" t="n"/>
      <c r="BF561" s="93" t="n"/>
      <c r="BG561" s="93" t="n"/>
      <c r="BH561" s="93">
        <f>-BH1111</f>
        <v/>
      </c>
      <c r="BI561" s="1134">
        <f>-BI1111</f>
        <v/>
      </c>
      <c r="BJ561" s="93">
        <f>-BJ1111</f>
        <v/>
      </c>
      <c r="BK561" s="93" t="n"/>
      <c r="BL561" s="93" t="n"/>
      <c r="BM561" s="93" t="n"/>
      <c r="BN561" s="1134" t="n"/>
      <c r="BO561" s="93" t="n"/>
      <c r="BP561" s="93" t="n"/>
      <c r="BQ561" s="93" t="n"/>
      <c r="BR561" s="93" t="n"/>
      <c r="BS561" s="1134" t="n"/>
      <c r="BT561" s="93" t="n"/>
      <c r="BU561" s="93" t="n"/>
      <c r="BV561" s="522" t="n"/>
      <c r="BW561" s="93" t="n"/>
      <c r="BX561" s="1134" t="n"/>
      <c r="BY561" s="93" t="n"/>
      <c r="BZ561" s="93" t="n"/>
      <c r="CA561" s="93" t="n"/>
      <c r="CB561" s="93" t="n"/>
      <c r="CC561" s="1134" t="n"/>
      <c r="CD561" s="1134" t="n"/>
      <c r="CE561" s="1134" t="n"/>
      <c r="CF561" s="1134" t="n"/>
      <c r="CG561" s="93" t="n"/>
    </row>
    <row r="562" hidden="1" outlineLevel="3" ht="15" customHeight="1">
      <c r="A562" s="812" t="inlineStr">
        <is>
          <t>Forward annual Capex guidance - high, mm</t>
        </is>
      </c>
      <c r="B562" s="718" t="n"/>
      <c r="C562" s="1129" t="n"/>
      <c r="D562" s="1129" t="n"/>
      <c r="E562" s="1129" t="n"/>
      <c r="F562" s="1129" t="n"/>
      <c r="G562" s="983" t="n"/>
      <c r="H562" s="983" t="n"/>
      <c r="I562" s="983" t="n"/>
      <c r="J562" s="983" t="n"/>
      <c r="K562" s="1129" t="n"/>
      <c r="L562" s="983" t="n"/>
      <c r="M562" s="983" t="n"/>
      <c r="N562" s="983" t="n"/>
      <c r="O562" s="983" t="n"/>
      <c r="P562" s="1129" t="n"/>
      <c r="Q562" s="983" t="n"/>
      <c r="R562" s="983" t="n"/>
      <c r="S562" s="983" t="n"/>
      <c r="T562" s="983" t="n"/>
      <c r="U562" s="1129" t="n"/>
      <c r="V562" s="983" t="n"/>
      <c r="W562" s="983" t="n"/>
      <c r="X562" s="983" t="n"/>
      <c r="Y562" s="983" t="n"/>
      <c r="Z562" s="1129" t="n"/>
      <c r="AA562" s="983" t="n"/>
      <c r="AB562" s="983" t="n"/>
      <c r="AC562" s="983" t="n"/>
      <c r="AD562" s="983" t="n"/>
      <c r="AE562" s="1129" t="n"/>
      <c r="AF562" s="983" t="n"/>
      <c r="AG562" s="983" t="n"/>
      <c r="AH562" s="983" t="n"/>
      <c r="AI562" s="983" t="n"/>
      <c r="AJ562" s="1129" t="n"/>
      <c r="AK562" s="983" t="n"/>
      <c r="AL562" s="983" t="n"/>
      <c r="AM562" s="983" t="n"/>
      <c r="AN562" s="983" t="n"/>
      <c r="AO562" s="1129" t="n"/>
      <c r="AP562" s="983" t="n"/>
      <c r="AQ562" s="983" t="n"/>
      <c r="AR562" s="983" t="n"/>
      <c r="AS562" s="983" t="n"/>
      <c r="AT562" s="1129" t="n"/>
      <c r="AU562" s="983" t="n"/>
      <c r="AV562" s="983" t="n"/>
      <c r="AW562" s="983" t="n"/>
      <c r="AX562" s="983" t="n"/>
      <c r="AY562" s="1129" t="n"/>
      <c r="AZ562" s="983" t="n"/>
      <c r="BA562" s="983" t="n"/>
      <c r="BB562" s="983" t="n"/>
      <c r="BC562" s="983" t="n"/>
      <c r="BD562" s="1129" t="n"/>
      <c r="BE562" s="983" t="n"/>
      <c r="BF562" s="983" t="n"/>
      <c r="BG562" s="983" t="n"/>
      <c r="BH562" s="983">
        <f>-BH1112</f>
        <v/>
      </c>
      <c r="BI562" s="1129">
        <f>-BI1112</f>
        <v/>
      </c>
      <c r="BJ562" s="983">
        <f>-BJ1112</f>
        <v/>
      </c>
      <c r="BK562" s="983" t="n"/>
      <c r="BL562" s="983" t="n"/>
      <c r="BM562" s="983" t="n"/>
      <c r="BN562" s="1129" t="n"/>
      <c r="BO562" s="983" t="n"/>
      <c r="BP562" s="983" t="n"/>
      <c r="BQ562" s="983" t="n"/>
      <c r="BR562" s="983" t="n"/>
      <c r="BS562" s="1129" t="n"/>
      <c r="BT562" s="983" t="n"/>
      <c r="BU562" s="983" t="n"/>
      <c r="BV562" s="984" t="n"/>
      <c r="BW562" s="983" t="n"/>
      <c r="BX562" s="1129" t="n"/>
      <c r="BY562" s="983" t="n"/>
      <c r="BZ562" s="983" t="n"/>
      <c r="CA562" s="983" t="n"/>
      <c r="CB562" s="983" t="n"/>
      <c r="CC562" s="1129" t="n"/>
      <c r="CD562" s="1129" t="n"/>
      <c r="CE562" s="1129" t="n"/>
      <c r="CF562" s="1129" t="n"/>
      <c r="CG562" s="93" t="n"/>
    </row>
    <row r="563" hidden="1" outlineLevel="2" collapsed="1" ht="15" customHeight="1">
      <c r="A563" s="609" t="inlineStr">
        <is>
          <t>Forward annual Capex guidance - midpoint, mm</t>
        </is>
      </c>
      <c r="B563" s="610" t="n"/>
      <c r="C563" s="1159" t="n"/>
      <c r="D563" s="1159" t="n"/>
      <c r="E563" s="1159" t="n"/>
      <c r="F563" s="1159" t="n"/>
      <c r="G563" s="378" t="n"/>
      <c r="H563" s="378" t="n"/>
      <c r="I563" s="378" t="n"/>
      <c r="J563" s="378" t="n"/>
      <c r="K563" s="1159" t="n"/>
      <c r="L563" s="378" t="n"/>
      <c r="M563" s="378" t="n"/>
      <c r="N563" s="378" t="n"/>
      <c r="O563" s="378" t="n"/>
      <c r="P563" s="1159" t="n"/>
      <c r="Q563" s="378" t="n"/>
      <c r="R563" s="378" t="n"/>
      <c r="S563" s="378" t="n"/>
      <c r="T563" s="378" t="n"/>
      <c r="U563" s="1159" t="n"/>
      <c r="V563" s="378" t="n"/>
      <c r="W563" s="378" t="n"/>
      <c r="X563" s="378" t="n"/>
      <c r="Y563" s="378" t="n"/>
      <c r="Z563" s="1159" t="n"/>
      <c r="AA563" s="378" t="n"/>
      <c r="AB563" s="378" t="n"/>
      <c r="AC563" s="378" t="n"/>
      <c r="AD563" s="378" t="n"/>
      <c r="AE563" s="1159" t="n"/>
      <c r="AF563" s="378" t="n"/>
      <c r="AG563" s="378" t="n"/>
      <c r="AH563" s="378" t="n"/>
      <c r="AI563" s="378" t="n"/>
      <c r="AJ563" s="1159" t="n"/>
      <c r="AK563" s="378" t="n"/>
      <c r="AL563" s="378" t="n"/>
      <c r="AM563" s="378" t="n"/>
      <c r="AN563" s="378" t="n"/>
      <c r="AO563" s="1159" t="n"/>
      <c r="AP563" s="378" t="n"/>
      <c r="AQ563" s="378" t="n"/>
      <c r="AR563" s="378" t="n"/>
      <c r="AS563" s="378" t="n"/>
      <c r="AT563" s="1159" t="n"/>
      <c r="AU563" s="378" t="n"/>
      <c r="AV563" s="378" t="n"/>
      <c r="AW563" s="378" t="n"/>
      <c r="AX563" s="378" t="n"/>
      <c r="AY563" s="1159" t="n"/>
      <c r="AZ563" s="378" t="n"/>
      <c r="BA563" s="378" t="n"/>
      <c r="BB563" s="378" t="n"/>
      <c r="BC563" s="378" t="n"/>
      <c r="BD563" s="1159" t="n"/>
      <c r="BE563" s="378" t="n"/>
      <c r="BF563" s="378" t="n"/>
      <c r="BG563" s="378" t="n"/>
      <c r="BH563" s="378">
        <f>IFERROR(AVERAGE(BH561,BH562),"")</f>
        <v/>
      </c>
      <c r="BI563" s="1159">
        <f>IFERROR(AVERAGE(BI561,BI562),"")</f>
        <v/>
      </c>
      <c r="BJ563" s="378">
        <f>IFERROR(AVERAGE(BJ561,BJ562),"")</f>
        <v/>
      </c>
      <c r="BK563" s="378">
        <f>IFERROR(AVERAGE(BK561,BK562),"")</f>
        <v/>
      </c>
      <c r="BL563" s="378">
        <f>IFERROR(AVERAGE(BL561,BL562),"")</f>
        <v/>
      </c>
      <c r="BM563" s="378">
        <f>IFERROR(AVERAGE(BM561,BM562),"")</f>
        <v/>
      </c>
      <c r="BN563" s="1159">
        <f>IFERROR(AVERAGE(BN561,BN562),"")</f>
        <v/>
      </c>
      <c r="BO563" s="378">
        <f>IFERROR(AVERAGE(BO561,BO562),"")</f>
        <v/>
      </c>
      <c r="BP563" s="378">
        <f>IFERROR(AVERAGE(BP561,BP562),"")</f>
        <v/>
      </c>
      <c r="BQ563" s="378">
        <f>IFERROR(AVERAGE(BQ561,BQ562),"")</f>
        <v/>
      </c>
      <c r="BR563" s="378">
        <f>IFERROR(AVERAGE(BR561,BR562),"")</f>
        <v/>
      </c>
      <c r="BS563" s="1159">
        <f>IFERROR(AVERAGE(BS561,BS562),"")</f>
        <v/>
      </c>
      <c r="BT563" s="378">
        <f>IFERROR(AVERAGE(BT561,BT562),"")</f>
        <v/>
      </c>
      <c r="BU563" s="378">
        <f>IFERROR(AVERAGE(BU561,BU562),"")</f>
        <v/>
      </c>
      <c r="BV563" s="1037">
        <f>IFERROR(AVERAGE(BV561,BV562),"")</f>
        <v/>
      </c>
      <c r="BW563" s="378" t="n"/>
      <c r="BX563" s="1159" t="n"/>
      <c r="BY563" s="378" t="n"/>
      <c r="BZ563" s="378" t="n"/>
      <c r="CA563" s="378" t="n"/>
      <c r="CB563" s="378" t="n"/>
      <c r="CC563" s="1159" t="n"/>
      <c r="CD563" s="1159" t="n"/>
      <c r="CE563" s="1159" t="n"/>
      <c r="CF563" s="1159" t="n"/>
      <c r="CG563" s="93" t="n"/>
    </row>
    <row r="564" hidden="1" outlineLevel="2" ht="15" customHeight="1">
      <c r="A564" s="492" t="inlineStr">
        <is>
          <t>Forward annual Capex guidance variance, mm</t>
        </is>
      </c>
      <c r="B564" s="428" t="n"/>
      <c r="C564" s="1134" t="n"/>
      <c r="D564" s="1134" t="n"/>
      <c r="E564" s="1134" t="n"/>
      <c r="F564" s="1134" t="n"/>
      <c r="G564" s="93" t="n"/>
      <c r="H564" s="93" t="n"/>
      <c r="I564" s="93" t="n"/>
      <c r="J564" s="93" t="n"/>
      <c r="K564" s="1134" t="n"/>
      <c r="L564" s="93" t="n"/>
      <c r="M564" s="93" t="n"/>
      <c r="N564" s="93" t="n"/>
      <c r="O564" s="93" t="n"/>
      <c r="P564" s="1134" t="n"/>
      <c r="Q564" s="93" t="n"/>
      <c r="R564" s="93" t="n"/>
      <c r="S564" s="93" t="n"/>
      <c r="T564" s="93" t="n"/>
      <c r="U564" s="1134" t="n"/>
      <c r="V564" s="93" t="n"/>
      <c r="W564" s="93" t="n"/>
      <c r="X564" s="93" t="n"/>
      <c r="Y564" s="93" t="n"/>
      <c r="Z564" s="1134" t="n"/>
      <c r="AA564" s="93" t="n"/>
      <c r="AB564" s="93" t="n"/>
      <c r="AC564" s="93" t="n"/>
      <c r="AD564" s="93" t="n"/>
      <c r="AE564" s="1134" t="n"/>
      <c r="AF564" s="93" t="n"/>
      <c r="AG564" s="93" t="n"/>
      <c r="AH564" s="93" t="n"/>
      <c r="AI564" s="93" t="n"/>
      <c r="AJ564" s="1134" t="n"/>
      <c r="AK564" s="93" t="n"/>
      <c r="AL564" s="93" t="n"/>
      <c r="AM564" s="93" t="n"/>
      <c r="AN564" s="93" t="n"/>
      <c r="AO564" s="1134" t="n"/>
      <c r="AP564" s="93" t="n"/>
      <c r="AQ564" s="93" t="n"/>
      <c r="AR564" s="93" t="n"/>
      <c r="AS564" s="93" t="n"/>
      <c r="AT564" s="1134" t="n"/>
      <c r="AU564" s="93" t="n"/>
      <c r="AV564" s="93" t="n"/>
      <c r="AW564" s="93" t="n"/>
      <c r="AX564" s="93" t="n"/>
      <c r="AY564" s="1134" t="n"/>
      <c r="AZ564" s="93" t="n"/>
      <c r="BA564" s="93" t="n"/>
      <c r="BB564" s="93" t="n"/>
      <c r="BC564" s="93" t="n"/>
      <c r="BD564" s="1134" t="n"/>
      <c r="BE564" s="93" t="n"/>
      <c r="BF564" s="93" t="n"/>
      <c r="BG564" s="93" t="n"/>
      <c r="BH564" s="93">
        <f>IFERROR(ABS(BH562-BH561),"")</f>
        <v/>
      </c>
      <c r="BI564" s="1134">
        <f>IFERROR(ABS(BI562-BI561),"")</f>
        <v/>
      </c>
      <c r="BJ564" s="93">
        <f>IFERROR(ABS(BJ562-BJ561),"")</f>
        <v/>
      </c>
      <c r="BK564" s="93">
        <f>IFERROR(ABS(BK562-BK561),"")</f>
        <v/>
      </c>
      <c r="BL564" s="93">
        <f>IFERROR(ABS(BL562-BL561),"")</f>
        <v/>
      </c>
      <c r="BM564" s="93">
        <f>IFERROR(ABS(BM562-BM561),"")</f>
        <v/>
      </c>
      <c r="BN564" s="1134">
        <f>IFERROR(ABS(BN562-BN561),"")</f>
        <v/>
      </c>
      <c r="BO564" s="93">
        <f>IFERROR(ABS(BO562-BO561),"")</f>
        <v/>
      </c>
      <c r="BP564" s="93">
        <f>IFERROR(ABS(BP562-BP561),"")</f>
        <v/>
      </c>
      <c r="BQ564" s="93">
        <f>IFERROR(ABS(BQ562-BQ561),"")</f>
        <v/>
      </c>
      <c r="BR564" s="93">
        <f>IFERROR(ABS(BR562-BR561),"")</f>
        <v/>
      </c>
      <c r="BS564" s="1134">
        <f>IFERROR(ABS(BS562-BS561),"")</f>
        <v/>
      </c>
      <c r="BT564" s="93">
        <f>IFERROR(ABS(BT562-BT561),"")</f>
        <v/>
      </c>
      <c r="BU564" s="93">
        <f>IFERROR(ABS(BU562-BU561),"")</f>
        <v/>
      </c>
      <c r="BV564" s="522">
        <f>IFERROR(ABS(BV562-BV561),"")</f>
        <v/>
      </c>
      <c r="BW564" s="93" t="n"/>
      <c r="BX564" s="1134" t="n"/>
      <c r="BY564" s="93" t="n"/>
      <c r="BZ564" s="93" t="n"/>
      <c r="CA564" s="93" t="n"/>
      <c r="CB564" s="93" t="n"/>
      <c r="CC564" s="1134" t="n"/>
      <c r="CD564" s="1134" t="n"/>
      <c r="CE564" s="1134" t="n"/>
      <c r="CF564" s="1134" t="n"/>
      <c r="CG564" s="93" t="n"/>
    </row>
    <row r="565" hidden="1" outlineLevel="2" ht="15" customHeight="1">
      <c r="A565" s="647" t="inlineStr">
        <is>
          <t>Forward annual Capex guidance variance (+/-), %</t>
        </is>
      </c>
      <c r="B565" s="428" t="n"/>
      <c r="C565" s="1126">
        <f>IFERROR(ABS((C562-C563)/C563),"")</f>
        <v/>
      </c>
      <c r="D565" s="1126">
        <f>IFERROR(ABS((D562-D563)/D563),"")</f>
        <v/>
      </c>
      <c r="E565" s="1126">
        <f>IFERROR(ABS((E562-E563)/E563),"")</f>
        <v/>
      </c>
      <c r="F565" s="1126">
        <f>IFERROR(ABS((F562-F563)/F563),"")</f>
        <v/>
      </c>
      <c r="G565" s="315">
        <f>IFERROR(ABS((G562-G563)/G563),"")</f>
        <v/>
      </c>
      <c r="H565" s="315">
        <f>IFERROR(ABS((H562-H563)/H563),"")</f>
        <v/>
      </c>
      <c r="I565" s="315">
        <f>IFERROR(ABS((I562-I563)/I563),"")</f>
        <v/>
      </c>
      <c r="J565" s="315">
        <f>IFERROR(ABS((J562-J563)/J563),"")</f>
        <v/>
      </c>
      <c r="K565" s="1126">
        <f>IFERROR(ABS((K562-K563)/K563),"")</f>
        <v/>
      </c>
      <c r="L565" s="315">
        <f>IFERROR(ABS((L562-L563)/L563),"")</f>
        <v/>
      </c>
      <c r="M565" s="315">
        <f>IFERROR(ABS((M562-M563)/M563),"")</f>
        <v/>
      </c>
      <c r="N565" s="315">
        <f>IFERROR(ABS((N562-N563)/N563),"")</f>
        <v/>
      </c>
      <c r="O565" s="315">
        <f>IFERROR(ABS((O562-O563)/O563),"")</f>
        <v/>
      </c>
      <c r="P565" s="1126">
        <f>IFERROR(ABS((P562-P563)/P563),"")</f>
        <v/>
      </c>
      <c r="Q565" s="315">
        <f>IFERROR(ABS((Q562-Q563)/Q563),"")</f>
        <v/>
      </c>
      <c r="R565" s="315">
        <f>IFERROR(ABS((R562-R563)/R563),"")</f>
        <v/>
      </c>
      <c r="S565" s="315">
        <f>IFERROR(ABS((S562-S563)/S563),"")</f>
        <v/>
      </c>
      <c r="T565" s="315">
        <f>IFERROR(ABS((T562-T563)/T563),"")</f>
        <v/>
      </c>
      <c r="U565" s="1126">
        <f>IFERROR(ABS((U562-U563)/U563),"")</f>
        <v/>
      </c>
      <c r="V565" s="315">
        <f>IFERROR(ABS((V562-V563)/V563),"")</f>
        <v/>
      </c>
      <c r="W565" s="315">
        <f>IFERROR(ABS((W562-W563)/W563),"")</f>
        <v/>
      </c>
      <c r="X565" s="315">
        <f>IFERROR(ABS((X562-X563)/X563),"")</f>
        <v/>
      </c>
      <c r="Y565" s="315">
        <f>IFERROR(ABS((Y562-Y563)/Y563),"")</f>
        <v/>
      </c>
      <c r="Z565" s="1126">
        <f>IFERROR(ABS((Z562-Z563)/Z563),"")</f>
        <v/>
      </c>
      <c r="AA565" s="315">
        <f>IFERROR(ABS((AA562-AA563)/AA563),"")</f>
        <v/>
      </c>
      <c r="AB565" s="315">
        <f>IFERROR(ABS((AB562-AB563)/AB563),"")</f>
        <v/>
      </c>
      <c r="AC565" s="315">
        <f>IFERROR(ABS((AC562-AC563)/AC563),"")</f>
        <v/>
      </c>
      <c r="AD565" s="315">
        <f>IFERROR(ABS((AD562-AD563)/AD563),"")</f>
        <v/>
      </c>
      <c r="AE565" s="1126">
        <f>IFERROR(ABS((AE562-AE563)/AE563),"")</f>
        <v/>
      </c>
      <c r="AF565" s="315">
        <f>IFERROR(ABS((AF562-AF563)/AF563),"")</f>
        <v/>
      </c>
      <c r="AG565" s="315">
        <f>IFERROR(ABS((AG562-AG563)/AG563),"")</f>
        <v/>
      </c>
      <c r="AH565" s="315" t="n"/>
      <c r="AI565" s="315" t="n"/>
      <c r="AJ565" s="1126" t="n"/>
      <c r="AK565" s="315" t="n"/>
      <c r="AL565" s="315" t="n"/>
      <c r="AM565" s="315" t="n"/>
      <c r="AN565" s="315" t="n"/>
      <c r="AO565" s="1126" t="n"/>
      <c r="AP565" s="315" t="n"/>
      <c r="AQ565" s="315" t="n"/>
      <c r="AR565" s="315" t="n"/>
      <c r="AS565" s="315" t="n"/>
      <c r="AT565" s="1126" t="n"/>
      <c r="AU565" s="315" t="n"/>
      <c r="AV565" s="315" t="n"/>
      <c r="AW565" s="315" t="n"/>
      <c r="AX565" s="315" t="n"/>
      <c r="AY565" s="1126" t="n"/>
      <c r="AZ565" s="315" t="n"/>
      <c r="BA565" s="315" t="n"/>
      <c r="BB565" s="315" t="n"/>
      <c r="BC565" s="315" t="n"/>
      <c r="BD565" s="1126" t="n"/>
      <c r="BE565" s="315" t="n"/>
      <c r="BF565" s="315" t="n"/>
      <c r="BG565" s="315" t="n"/>
      <c r="BH565" s="315">
        <f>IFERROR(ABS((BH562-BH563)/BH563),"")</f>
        <v/>
      </c>
      <c r="BI565" s="1126">
        <f>IFERROR(ABS((BI562-BI563)/BI563),"")</f>
        <v/>
      </c>
      <c r="BJ565" s="315">
        <f>IFERROR(ABS((BJ562-BJ563)/BJ563),"")</f>
        <v/>
      </c>
      <c r="BK565" s="315">
        <f>IFERROR(ABS((BK562-BK563)/BK563),"")</f>
        <v/>
      </c>
      <c r="BL565" s="315">
        <f>IFERROR(ABS((BL562-BL563)/BL563),"")</f>
        <v/>
      </c>
      <c r="BM565" s="315">
        <f>IFERROR(ABS((BM562-BM563)/BM563),"")</f>
        <v/>
      </c>
      <c r="BN565" s="1126">
        <f>IFERROR(ABS((BN562-BN563)/BN563),"")</f>
        <v/>
      </c>
      <c r="BO565" s="315">
        <f>IFERROR(ABS((BO562-BO563)/BO563),"")</f>
        <v/>
      </c>
      <c r="BP565" s="315">
        <f>IFERROR(ABS((BP562-BP563)/BP563),"")</f>
        <v/>
      </c>
      <c r="BQ565" s="315">
        <f>IFERROR(ABS((BQ562-BQ563)/BQ563),"")</f>
        <v/>
      </c>
      <c r="BR565" s="315">
        <f>IFERROR(ABS((BR562-BR563)/BR563),"")</f>
        <v/>
      </c>
      <c r="BS565" s="1126">
        <f>IFERROR(ABS((BS562-BS563)/BS563),"")</f>
        <v/>
      </c>
      <c r="BT565" s="315">
        <f>IFERROR(ABS((BT562-BT563)/BT563),"")</f>
        <v/>
      </c>
      <c r="BU565" s="315">
        <f>IFERROR(ABS((BU562-BU563)/BU563),"")</f>
        <v/>
      </c>
      <c r="BV565" s="885">
        <f>IFERROR(ABS((BV562-BV563)/BV563),"")</f>
        <v/>
      </c>
      <c r="BW565" s="315" t="n"/>
      <c r="BX565" s="1126" t="n"/>
      <c r="BY565" s="315" t="n"/>
      <c r="BZ565" s="315" t="n"/>
      <c r="CA565" s="315" t="n"/>
      <c r="CB565" s="315" t="n"/>
      <c r="CC565" s="1126" t="n"/>
      <c r="CD565" s="1126" t="n"/>
      <c r="CE565" s="1126" t="n"/>
      <c r="CF565" s="1126" t="n"/>
      <c r="CG565" s="93" t="n"/>
    </row>
    <row r="566" hidden="1" outlineLevel="1" collapsed="1" ht="15" customHeight="1">
      <c r="A566" s="799" t="n"/>
      <c r="B566" s="428" t="n"/>
      <c r="C566" s="1134" t="n"/>
      <c r="D566" s="1134" t="n"/>
      <c r="E566" s="1134" t="n"/>
      <c r="F566" s="1134" t="n"/>
      <c r="G566" s="93" t="n"/>
      <c r="H566" s="93" t="n"/>
      <c r="I566" s="93" t="n"/>
      <c r="J566" s="93" t="n"/>
      <c r="K566" s="1134" t="n"/>
      <c r="L566" s="93" t="n"/>
      <c r="M566" s="93" t="n"/>
      <c r="N566" s="93" t="n"/>
      <c r="O566" s="93" t="n"/>
      <c r="P566" s="1134" t="n"/>
      <c r="Q566" s="93" t="n"/>
      <c r="R566" s="93" t="n"/>
      <c r="S566" s="93" t="n"/>
      <c r="T566" s="93" t="n"/>
      <c r="U566" s="1134" t="n"/>
      <c r="V566" s="93" t="n"/>
      <c r="W566" s="93" t="n"/>
      <c r="X566" s="93" t="n"/>
      <c r="Y566" s="93" t="n"/>
      <c r="Z566" s="1134" t="n"/>
      <c r="AA566" s="93" t="n"/>
      <c r="AB566" s="93" t="n"/>
      <c r="AC566" s="93" t="n"/>
      <c r="AD566" s="93" t="n"/>
      <c r="AE566" s="1134" t="n"/>
      <c r="AF566" s="93" t="n"/>
      <c r="AG566" s="93" t="n"/>
      <c r="AH566" s="93" t="n"/>
      <c r="AI566" s="93" t="n"/>
      <c r="AJ566" s="1134" t="n"/>
      <c r="AK566" s="93" t="n"/>
      <c r="AL566" s="93" t="n"/>
      <c r="AM566" s="93" t="n"/>
      <c r="AN566" s="93" t="n"/>
      <c r="AO566" s="1134" t="n"/>
      <c r="AP566" s="93" t="n"/>
      <c r="AQ566" s="93" t="n"/>
      <c r="AR566" s="93" t="n"/>
      <c r="AS566" s="93" t="n"/>
      <c r="AT566" s="1134" t="n"/>
      <c r="AU566" s="93" t="n"/>
      <c r="AV566" s="93" t="n"/>
      <c r="AW566" s="93" t="n"/>
      <c r="AX566" s="93" t="n"/>
      <c r="AY566" s="1134" t="n"/>
      <c r="AZ566" s="93" t="n"/>
      <c r="BA566" s="93" t="n"/>
      <c r="BB566" s="93" t="n"/>
      <c r="BC566" s="93" t="n"/>
      <c r="BD566" s="1134" t="n"/>
      <c r="BE566" s="93" t="n"/>
      <c r="BF566" s="93" t="n"/>
      <c r="BG566" s="93" t="n"/>
      <c r="BH566" s="93" t="n"/>
      <c r="BI566" s="1134" t="n"/>
      <c r="BJ566" s="93" t="n"/>
      <c r="BK566" s="93" t="n"/>
      <c r="BL566" s="93" t="n"/>
      <c r="BM566" s="93" t="n"/>
      <c r="BN566" s="1134" t="n"/>
      <c r="BO566" s="93" t="n"/>
      <c r="BP566" s="93" t="n"/>
      <c r="BQ566" s="93" t="n"/>
      <c r="BR566" s="93" t="n"/>
      <c r="BS566" s="1134" t="n"/>
      <c r="BT566" s="93" t="n"/>
      <c r="BU566" s="93" t="n"/>
      <c r="BV566" s="522" t="n"/>
      <c r="BW566" s="93" t="n"/>
      <c r="BX566" s="1134" t="n"/>
      <c r="BY566" s="93" t="n"/>
      <c r="BZ566" s="93" t="n"/>
      <c r="CA566" s="93" t="n"/>
      <c r="CB566" s="93" t="n"/>
      <c r="CC566" s="1134" t="n"/>
      <c r="CD566" s="1134" t="n"/>
      <c r="CE566" s="1134" t="n"/>
      <c r="CF566" s="1134" t="n"/>
      <c r="CG566" s="93" t="n"/>
    </row>
    <row r="567" hidden="1" outlineLevel="1" ht="15" customHeight="1">
      <c r="A567" s="493" t="inlineStr">
        <is>
          <t>Revenue - Guidance Analysis</t>
        </is>
      </c>
      <c r="B567" s="494" t="n"/>
      <c r="C567" s="45" t="n"/>
      <c r="D567" s="45" t="n"/>
      <c r="E567" s="45" t="n"/>
      <c r="F567" s="45" t="n"/>
      <c r="G567" s="45" t="n"/>
      <c r="H567" s="45" t="n"/>
      <c r="I567" s="45" t="n"/>
      <c r="J567" s="45" t="n"/>
      <c r="K567" s="45" t="n"/>
      <c r="L567" s="45" t="n"/>
      <c r="M567" s="45" t="n"/>
      <c r="N567" s="45" t="n"/>
      <c r="O567" s="45" t="n"/>
      <c r="P567" s="45" t="n"/>
      <c r="Q567" s="45" t="n"/>
      <c r="R567" s="45" t="n"/>
      <c r="S567" s="45" t="n"/>
      <c r="T567" s="45" t="n"/>
      <c r="U567" s="45" t="n"/>
      <c r="V567" s="45" t="n"/>
      <c r="W567" s="45" t="n"/>
      <c r="X567" s="45" t="n"/>
      <c r="Y567" s="45" t="n"/>
      <c r="Z567" s="45" t="n"/>
      <c r="AA567" s="45" t="n"/>
      <c r="AB567" s="45" t="n"/>
      <c r="AC567" s="45" t="n"/>
      <c r="AD567" s="45" t="n"/>
      <c r="AE567" s="45" t="n"/>
      <c r="AF567" s="45" t="n"/>
      <c r="AG567" s="45" t="n"/>
      <c r="AH567" s="45" t="n"/>
      <c r="AI567" s="45" t="n"/>
      <c r="AJ567" s="45" t="n"/>
      <c r="AK567" s="45" t="n"/>
      <c r="AL567" s="45" t="n"/>
      <c r="AM567" s="45" t="n"/>
      <c r="AN567" s="45" t="n"/>
      <c r="AO567" s="45" t="n"/>
      <c r="AP567" s="45" t="n"/>
      <c r="AQ567" s="45" t="n"/>
      <c r="AR567" s="45" t="n"/>
      <c r="AS567" s="45" t="n"/>
      <c r="AT567" s="45" t="n"/>
      <c r="AU567" s="45" t="n"/>
      <c r="AV567" s="45" t="n"/>
      <c r="AW567" s="45" t="n"/>
      <c r="AX567" s="45" t="n"/>
      <c r="AY567" s="45" t="n"/>
      <c r="AZ567" s="45" t="n"/>
      <c r="BA567" s="45" t="n"/>
      <c r="BB567" s="45" t="n"/>
      <c r="BC567" s="45" t="n"/>
      <c r="BD567" s="45" t="n"/>
      <c r="BE567" s="45" t="n"/>
      <c r="BF567" s="45" t="n"/>
      <c r="BG567" s="45" t="n"/>
      <c r="BH567" s="45" t="n"/>
      <c r="BI567" s="45" t="n"/>
      <c r="BJ567" s="45" t="n"/>
      <c r="BK567" s="45" t="n"/>
      <c r="BL567" s="45" t="n"/>
      <c r="BM567" s="45" t="n"/>
      <c r="BN567" s="45" t="n"/>
      <c r="BO567" s="45" t="n"/>
      <c r="BP567" s="45" t="n"/>
      <c r="BQ567" s="45" t="n"/>
      <c r="BR567" s="45" t="n"/>
      <c r="BS567" s="45" t="n"/>
      <c r="BT567" s="45" t="n"/>
      <c r="BU567" s="45" t="n"/>
      <c r="BV567" s="982" t="n"/>
      <c r="BW567" s="45" t="n"/>
      <c r="BX567" s="45" t="n"/>
      <c r="BY567" s="45" t="n"/>
      <c r="BZ567" s="45" t="n"/>
      <c r="CA567" s="45" t="n"/>
      <c r="CB567" s="45" t="n"/>
      <c r="CC567" s="45" t="n"/>
      <c r="CD567" s="45" t="n"/>
      <c r="CE567" s="45" t="n"/>
      <c r="CF567" s="45" t="n"/>
      <c r="CG567" s="228" t="n"/>
    </row>
    <row r="568" hidden="1" outlineLevel="2" ht="15" customHeight="1">
      <c r="A568" s="492" t="inlineStr">
        <is>
          <t>Revenue guidance - initial midpoint, mm</t>
        </is>
      </c>
      <c r="B568" s="428" t="n"/>
      <c r="C568" s="1134" t="n"/>
      <c r="D568" s="1134" t="n"/>
      <c r="E568" s="1134" t="n"/>
      <c r="F568" s="1134" t="n"/>
      <c r="G568" s="93" t="n"/>
      <c r="H568" s="93" t="n"/>
      <c r="I568" s="93" t="n"/>
      <c r="J568" s="93" t="n"/>
      <c r="K568" s="1134" t="n"/>
      <c r="L568" s="93" t="n"/>
      <c r="M568" s="93" t="n"/>
      <c r="N568" s="93" t="n"/>
      <c r="O568" s="93" t="n"/>
      <c r="P568" s="1134" t="n"/>
      <c r="Q568" s="93" t="n"/>
      <c r="R568" s="93" t="n"/>
      <c r="S568" s="93" t="n"/>
      <c r="T568" s="93" t="n"/>
      <c r="U568" s="1134" t="n"/>
      <c r="V568" s="93" t="n"/>
      <c r="W568" s="93" t="n"/>
      <c r="X568" s="93" t="n"/>
      <c r="Y568" s="93" t="n"/>
      <c r="Z568" s="1134" t="n"/>
      <c r="AA568" s="93" t="n"/>
      <c r="AB568" s="93" t="n"/>
      <c r="AC568" s="93" t="n"/>
      <c r="AD568" s="93" t="n"/>
      <c r="AE568" s="1134" t="n"/>
      <c r="AF568" s="93" t="n"/>
      <c r="AG568" s="93" t="n"/>
      <c r="AH568" s="93">
        <f>IF(ISBLANK(AG588),"",AG588)</f>
        <v/>
      </c>
      <c r="AI568" s="93">
        <f>IF(ISBLANK(AH588),"",AH588)</f>
        <v/>
      </c>
      <c r="AJ568" s="1134">
        <f>IF(ISBLANK(AD605),"",AD605)</f>
        <v/>
      </c>
      <c r="AK568" s="93">
        <f>IF(ISBLANK(AI588),"",AI588)</f>
        <v/>
      </c>
      <c r="AL568" s="93">
        <f>IF(ISBLANK(AK588),"",AK588)</f>
        <v/>
      </c>
      <c r="AM568" s="93">
        <f>IF(ISBLANK(AL588),"",AL588)</f>
        <v/>
      </c>
      <c r="AN568" s="93">
        <f>IF(ISBLANK(AM588),"",AM588)</f>
        <v/>
      </c>
      <c r="AO568" s="1134">
        <f>IF(ISBLANK(AI605),"",AI605)</f>
        <v/>
      </c>
      <c r="AP568" s="93">
        <f>IF(ISBLANK(AN588),"",AN588)</f>
        <v/>
      </c>
      <c r="AQ568" s="93">
        <f>IF(ISBLANK(AP588),"",AP588)</f>
        <v/>
      </c>
      <c r="AR568" s="93">
        <f>IF(ISBLANK(AQ588),"",AQ588)</f>
        <v/>
      </c>
      <c r="AS568" s="93">
        <f>IF(ISBLANK(AR588),"",AR588)</f>
        <v/>
      </c>
      <c r="AT568" s="1134">
        <f>IF(ISBLANK(AN605),"",AN605)</f>
        <v/>
      </c>
      <c r="AU568" s="93">
        <f>IF(ISBLANK(AS588),"",AS588)</f>
        <v/>
      </c>
      <c r="AV568" s="93">
        <f>IF(ISBLANK(AU588),"",AU588)</f>
        <v/>
      </c>
      <c r="AW568" s="93">
        <f>IF(ISBLANK(AV588),"",AV588)</f>
        <v/>
      </c>
      <c r="AX568" s="93">
        <f>IF(ISBLANK(AW588),"",AW588)</f>
        <v/>
      </c>
      <c r="AY568" s="1134">
        <f>IF(ISBLANK(AS605),"",AS605)</f>
        <v/>
      </c>
      <c r="AZ568" s="93">
        <f>IF(ISBLANK(AX588),"",AX588)</f>
        <v/>
      </c>
      <c r="BA568" s="93">
        <f>IF(ISBLANK(AZ588),"",AZ588)</f>
        <v/>
      </c>
      <c r="BB568" s="93">
        <f>IF(ISBLANK(BA588),"",BA588)</f>
        <v/>
      </c>
      <c r="BC568" s="93">
        <f>IF(ISBLANK(BB588),"",BB588)</f>
        <v/>
      </c>
      <c r="BD568" s="1134">
        <f>IF(ISBLANK(AX605),"",AX605)</f>
        <v/>
      </c>
      <c r="BE568" s="93">
        <f>IF(ISBLANK(BC588),"",BC588)</f>
        <v/>
      </c>
      <c r="BF568" s="93">
        <f>IF(ISBLANK(BE588),"",BE588)</f>
        <v/>
      </c>
      <c r="BG568" s="93">
        <f>IF(ISBLANK(BF588),"",BF588)</f>
        <v/>
      </c>
      <c r="BH568" s="93">
        <f>IF(ISBLANK(BG588),"",BG588)</f>
        <v/>
      </c>
      <c r="BI568" s="1134">
        <f>IF(ISBLANK(BC605),"",BC605)</f>
        <v/>
      </c>
      <c r="BJ568" s="93">
        <f>IF(ISBLANK(BH588),"",BH588)</f>
        <v/>
      </c>
      <c r="BK568" s="93">
        <f>IF(ISBLANK(BJ588),"",BJ588)</f>
        <v/>
      </c>
      <c r="BL568" s="93">
        <f>IF(ISBLANK(BK588),"",BK588)</f>
        <v/>
      </c>
      <c r="BM568" s="93">
        <f>IF(ISBLANK(BL588),"",BL588)</f>
        <v/>
      </c>
      <c r="BN568" s="1134">
        <f>IF(ISBLANK(BH605),"",BH605)</f>
        <v/>
      </c>
      <c r="BO568" s="93">
        <f>IF(ISBLANK(BM588),"",BM588)</f>
        <v/>
      </c>
      <c r="BP568" s="93">
        <f>IF(ISBLANK(BO588),"",BO588)</f>
        <v/>
      </c>
      <c r="BQ568" s="93">
        <f>IF(ISBLANK(BP588),"",BP588)</f>
        <v/>
      </c>
      <c r="BR568" s="93">
        <f>IF(ISBLANK(BQ588),"",BQ588)</f>
        <v/>
      </c>
      <c r="BS568" s="1134">
        <f>IF(ISBLANK(BM605),"",BM605)</f>
        <v/>
      </c>
      <c r="BT568" s="93">
        <f>IF(ISBLANK(BR588),"",BR588)</f>
        <v/>
      </c>
      <c r="BU568" s="93">
        <f>IF(ISBLANK(BT588),"",BT588)</f>
        <v/>
      </c>
      <c r="BV568" s="522">
        <f>IF(ISBLANK(BU588),"",BU588)</f>
        <v/>
      </c>
      <c r="BW568" s="93">
        <f>IF(ISBLANK(BV588),"",BV588)</f>
        <v/>
      </c>
      <c r="BX568" s="1134">
        <f>IF(ISBLANK(BR605),"",BR605)</f>
        <v/>
      </c>
      <c r="BY568" s="93">
        <f>IF(ISBLANK(BW588),"",BW588)</f>
        <v/>
      </c>
      <c r="BZ568" s="93">
        <f>IF(ISBLANK(BY588),"",BY588)</f>
        <v/>
      </c>
      <c r="CA568" s="93">
        <f>IF(ISBLANK(BZ588),"",BZ588)</f>
        <v/>
      </c>
      <c r="CB568" s="93">
        <f>IF(ISBLANK(CA588),"",CA588)</f>
        <v/>
      </c>
      <c r="CC568" s="1134">
        <f>IF(ISBLANK(BW605),"",BW605)</f>
        <v/>
      </c>
      <c r="CD568" s="1134" t="n"/>
      <c r="CE568" s="1134" t="n"/>
      <c r="CF568" s="1134" t="n"/>
      <c r="CG568" s="93" t="n"/>
    </row>
    <row r="569" hidden="1" outlineLevel="2" ht="15" customHeight="1">
      <c r="A569" s="492" t="inlineStr">
        <is>
          <t>Revenue guidance - update 1 midpoint, mm</t>
        </is>
      </c>
      <c r="B569" s="428" t="n"/>
      <c r="C569" s="1134" t="n"/>
      <c r="D569" s="1134" t="n"/>
      <c r="E569" s="1134" t="n"/>
      <c r="F569" s="1134" t="n"/>
      <c r="G569" s="93" t="n"/>
      <c r="H569" s="93" t="n"/>
      <c r="I569" s="93" t="n"/>
      <c r="J569" s="93" t="n"/>
      <c r="K569" s="1134" t="n"/>
      <c r="L569" s="93" t="n"/>
      <c r="M569" s="93" t="n"/>
      <c r="N569" s="93" t="n"/>
      <c r="O569" s="93" t="n"/>
      <c r="P569" s="1134" t="n"/>
      <c r="Q569" s="93" t="n"/>
      <c r="R569" s="93" t="n"/>
      <c r="S569" s="93" t="n"/>
      <c r="T569" s="93" t="n"/>
      <c r="U569" s="1134" t="n"/>
      <c r="V569" s="93" t="n"/>
      <c r="W569" s="93" t="n"/>
      <c r="X569" s="93" t="n"/>
      <c r="Y569" s="93" t="n"/>
      <c r="Z569" s="1134" t="n"/>
      <c r="AA569" s="93" t="n"/>
      <c r="AB569" s="93" t="n"/>
      <c r="AC569" s="93" t="n"/>
      <c r="AD569" s="93" t="n"/>
      <c r="AE569" s="1134" t="n"/>
      <c r="AF569" s="93" t="n"/>
      <c r="AG569" s="93" t="n"/>
      <c r="AH569" s="93" t="n"/>
      <c r="AI569" s="93" t="n"/>
      <c r="AJ569" s="1134">
        <f>IF(ISBLANK(AF605),"",AF605)</f>
        <v/>
      </c>
      <c r="AK569" s="93" t="n"/>
      <c r="AL569" s="93" t="n"/>
      <c r="AM569" s="93" t="n"/>
      <c r="AN569" s="93" t="n"/>
      <c r="AO569" s="1134">
        <f>IF(ISBLANK(AK605),"",AK605)</f>
        <v/>
      </c>
      <c r="AP569" s="93" t="n"/>
      <c r="AQ569" s="93" t="n"/>
      <c r="AR569" s="93" t="n"/>
      <c r="AS569" s="93" t="n"/>
      <c r="AT569" s="1134">
        <f>IF(ISBLANK(AP605),"",AP605)</f>
        <v/>
      </c>
      <c r="AU569" s="93" t="n"/>
      <c r="AV569" s="93" t="n"/>
      <c r="AW569" s="93" t="n"/>
      <c r="AX569" s="93" t="n"/>
      <c r="AY569" s="1134">
        <f>IF(ISBLANK(AU605),"",AU605)</f>
        <v/>
      </c>
      <c r="AZ569" s="93" t="n"/>
      <c r="BA569" s="93" t="n"/>
      <c r="BB569" s="93" t="n"/>
      <c r="BC569" s="93" t="n"/>
      <c r="BD569" s="1134">
        <f>IF(ISBLANK(AZ605),"",AZ605)</f>
        <v/>
      </c>
      <c r="BE569" s="93" t="n"/>
      <c r="BF569" s="93" t="n"/>
      <c r="BG569" s="93" t="n"/>
      <c r="BH569" s="93" t="n"/>
      <c r="BI569" s="1134">
        <f>IF(ISBLANK(BE605),"",BE605)</f>
        <v/>
      </c>
      <c r="BJ569" s="93" t="n"/>
      <c r="BK569" s="93" t="n"/>
      <c r="BL569" s="93" t="n"/>
      <c r="BM569" s="93" t="n"/>
      <c r="BN569" s="1134">
        <f>IF(ISBLANK(BJ605),"",BJ605)</f>
        <v/>
      </c>
      <c r="BO569" s="93" t="n"/>
      <c r="BP569" s="93" t="n"/>
      <c r="BQ569" s="93" t="n"/>
      <c r="BR569" s="93" t="n"/>
      <c r="BS569" s="1134">
        <f>IF(ISBLANK(BO605),"",BO605)</f>
        <v/>
      </c>
      <c r="BT569" s="93" t="n"/>
      <c r="BU569" s="93" t="n"/>
      <c r="BV569" s="522" t="n"/>
      <c r="BW569" s="93" t="n"/>
      <c r="BX569" s="1134">
        <f>IF(ISBLANK(BT605),"",BT605)</f>
        <v/>
      </c>
      <c r="BY569" s="93" t="n"/>
      <c r="BZ569" s="93" t="n"/>
      <c r="CA569" s="93" t="n"/>
      <c r="CB569" s="93" t="n"/>
      <c r="CC569" s="1134">
        <f>IF(ISBLANK(BY605),"",BY605)</f>
        <v/>
      </c>
      <c r="CD569" s="1134" t="n"/>
      <c r="CE569" s="1134" t="n"/>
      <c r="CF569" s="1134" t="n"/>
      <c r="CG569" s="93" t="n"/>
    </row>
    <row r="570" hidden="1" outlineLevel="2" ht="15" customHeight="1">
      <c r="A570" s="492" t="inlineStr">
        <is>
          <t>Revenue guidance - update 2 midpoint, mm</t>
        </is>
      </c>
      <c r="B570" s="428" t="n"/>
      <c r="C570" s="1134" t="n"/>
      <c r="D570" s="1134" t="n"/>
      <c r="E570" s="1134" t="n"/>
      <c r="F570" s="1134" t="n"/>
      <c r="G570" s="93" t="n"/>
      <c r="H570" s="93" t="n"/>
      <c r="I570" s="93" t="n"/>
      <c r="J570" s="93" t="n"/>
      <c r="K570" s="1134" t="n"/>
      <c r="L570" s="93" t="n"/>
      <c r="M570" s="93" t="n"/>
      <c r="N570" s="93" t="n"/>
      <c r="O570" s="93" t="n"/>
      <c r="P570" s="1134" t="n"/>
      <c r="Q570" s="93" t="n"/>
      <c r="R570" s="93" t="n"/>
      <c r="S570" s="93" t="n"/>
      <c r="T570" s="93" t="n"/>
      <c r="U570" s="1134" t="n"/>
      <c r="V570" s="93" t="n"/>
      <c r="W570" s="93" t="n"/>
      <c r="X570" s="93" t="n"/>
      <c r="Y570" s="93" t="n"/>
      <c r="Z570" s="1134" t="n"/>
      <c r="AA570" s="93" t="n"/>
      <c r="AB570" s="93" t="n"/>
      <c r="AC570" s="93" t="n"/>
      <c r="AD570" s="93" t="n"/>
      <c r="AE570" s="1134" t="n"/>
      <c r="AF570" s="93" t="n"/>
      <c r="AG570" s="93" t="n"/>
      <c r="AH570" s="93" t="n"/>
      <c r="AI570" s="93" t="n"/>
      <c r="AJ570" s="1134">
        <f>IF(ISBLANK(AG605),"",AG605)</f>
        <v/>
      </c>
      <c r="AK570" s="93" t="n"/>
      <c r="AL570" s="93" t="n"/>
      <c r="AM570" s="93" t="n"/>
      <c r="AN570" s="93" t="n"/>
      <c r="AO570" s="1134">
        <f>IF(ISBLANK(AL605),"",AL605)</f>
        <v/>
      </c>
      <c r="AP570" s="93" t="n"/>
      <c r="AQ570" s="93" t="n"/>
      <c r="AR570" s="93" t="n"/>
      <c r="AS570" s="93" t="n"/>
      <c r="AT570" s="1134">
        <f>IF(ISBLANK(AQ605),"",AQ605)</f>
        <v/>
      </c>
      <c r="AU570" s="93" t="n"/>
      <c r="AV570" s="93" t="n"/>
      <c r="AW570" s="93" t="n"/>
      <c r="AX570" s="93" t="n"/>
      <c r="AY570" s="1134">
        <f>IF(ISBLANK(AV605),"",AV605)</f>
        <v/>
      </c>
      <c r="AZ570" s="93" t="n"/>
      <c r="BA570" s="93" t="n"/>
      <c r="BB570" s="93" t="n"/>
      <c r="BC570" s="93" t="n"/>
      <c r="BD570" s="1134">
        <f>IF(ISBLANK(BA605),"",BA605)</f>
        <v/>
      </c>
      <c r="BE570" s="93" t="n"/>
      <c r="BF570" s="93" t="n"/>
      <c r="BG570" s="93" t="n"/>
      <c r="BH570" s="93" t="n"/>
      <c r="BI570" s="1134">
        <f>IF(ISBLANK(BF605),"",BF605)</f>
        <v/>
      </c>
      <c r="BJ570" s="93" t="n"/>
      <c r="BK570" s="93" t="n"/>
      <c r="BL570" s="93" t="n"/>
      <c r="BM570" s="93" t="n"/>
      <c r="BN570" s="1134">
        <f>IF(ISBLANK(BK605),"",BK605)</f>
        <v/>
      </c>
      <c r="BO570" s="93" t="n"/>
      <c r="BP570" s="93" t="n"/>
      <c r="BQ570" s="93" t="n"/>
      <c r="BR570" s="93" t="n"/>
      <c r="BS570" s="1134">
        <f>IF(ISBLANK(BP605),"",BP605)</f>
        <v/>
      </c>
      <c r="BT570" s="93" t="n"/>
      <c r="BU570" s="93" t="n"/>
      <c r="BV570" s="522" t="n"/>
      <c r="BW570" s="93" t="n"/>
      <c r="BX570" s="1134">
        <f>IF(ISBLANK(BU605),"",BU605)</f>
        <v/>
      </c>
      <c r="BY570" s="93" t="n"/>
      <c r="BZ570" s="93" t="n"/>
      <c r="CA570" s="93" t="n"/>
      <c r="CB570" s="93" t="n"/>
      <c r="CC570" s="1134">
        <f>IF(ISBLANK(BZ605),"",BZ605)</f>
        <v/>
      </c>
      <c r="CD570" s="1134" t="n"/>
      <c r="CE570" s="1134" t="n"/>
      <c r="CF570" s="1134" t="n"/>
      <c r="CG570" s="93" t="n"/>
    </row>
    <row r="571" hidden="1" outlineLevel="2" ht="15" customHeight="1">
      <c r="A571" s="812" t="inlineStr">
        <is>
          <t>Revenue guidance - update 3 midpoint, mm</t>
        </is>
      </c>
      <c r="B571" s="718" t="n"/>
      <c r="C571" s="1129" t="n"/>
      <c r="D571" s="1129" t="n"/>
      <c r="E571" s="1129" t="n"/>
      <c r="F571" s="1129" t="n"/>
      <c r="G571" s="983" t="n"/>
      <c r="H571" s="983" t="n"/>
      <c r="I571" s="983" t="n"/>
      <c r="J571" s="983" t="n"/>
      <c r="K571" s="1129" t="n"/>
      <c r="L571" s="983" t="n"/>
      <c r="M571" s="983" t="n"/>
      <c r="N571" s="983" t="n"/>
      <c r="O571" s="983" t="n"/>
      <c r="P571" s="1129" t="n"/>
      <c r="Q571" s="983" t="n"/>
      <c r="R571" s="983" t="n"/>
      <c r="S571" s="983" t="n"/>
      <c r="T571" s="983" t="n"/>
      <c r="U571" s="1129" t="n"/>
      <c r="V571" s="983" t="n"/>
      <c r="W571" s="983" t="n"/>
      <c r="X571" s="983" t="n"/>
      <c r="Y571" s="983" t="n"/>
      <c r="Z571" s="1129" t="n"/>
      <c r="AA571" s="983" t="n"/>
      <c r="AB571" s="983" t="n"/>
      <c r="AC571" s="983" t="n"/>
      <c r="AD571" s="983" t="n"/>
      <c r="AE571" s="1129" t="n"/>
      <c r="AF571" s="983" t="n"/>
      <c r="AG571" s="983" t="n"/>
      <c r="AH571" s="983" t="n"/>
      <c r="AI571" s="983" t="n"/>
      <c r="AJ571" s="1129">
        <f>IF(ISBLANK(AH605),"",AH605)</f>
        <v/>
      </c>
      <c r="AK571" s="983" t="n"/>
      <c r="AL571" s="983" t="n"/>
      <c r="AM571" s="983" t="n"/>
      <c r="AN571" s="983" t="n"/>
      <c r="AO571" s="1129">
        <f>IF(ISBLANK(AM605),"",AM605)</f>
        <v/>
      </c>
      <c r="AP571" s="983" t="n"/>
      <c r="AQ571" s="983" t="n"/>
      <c r="AR571" s="983" t="n"/>
      <c r="AS571" s="983" t="n"/>
      <c r="AT571" s="1129">
        <f>IF(ISBLANK(AR605),"",AR605)</f>
        <v/>
      </c>
      <c r="AU571" s="983" t="n"/>
      <c r="AV571" s="983" t="n"/>
      <c r="AW571" s="983" t="n"/>
      <c r="AX571" s="983" t="n"/>
      <c r="AY571" s="1129">
        <f>IF(ISBLANK(AW605),"",AW605)</f>
        <v/>
      </c>
      <c r="AZ571" s="983" t="n"/>
      <c r="BA571" s="983" t="n"/>
      <c r="BB571" s="983" t="n"/>
      <c r="BC571" s="983" t="n"/>
      <c r="BD571" s="1129">
        <f>IF(ISBLANK(BB605),"",BB605)</f>
        <v/>
      </c>
      <c r="BE571" s="983" t="n"/>
      <c r="BF571" s="983" t="n"/>
      <c r="BG571" s="983" t="n"/>
      <c r="BH571" s="983" t="n"/>
      <c r="BI571" s="1129">
        <f>IF(ISBLANK(BG605),"",BG605)</f>
        <v/>
      </c>
      <c r="BJ571" s="983" t="n"/>
      <c r="BK571" s="983" t="n"/>
      <c r="BL571" s="983" t="n"/>
      <c r="BM571" s="983" t="n"/>
      <c r="BN571" s="1129">
        <f>IF(ISBLANK(BL605),"",BL605)</f>
        <v/>
      </c>
      <c r="BO571" s="983" t="n"/>
      <c r="BP571" s="983" t="n"/>
      <c r="BQ571" s="983" t="n"/>
      <c r="BR571" s="983" t="n"/>
      <c r="BS571" s="1129">
        <f>IF(ISBLANK(BQ605),"",BQ605)</f>
        <v/>
      </c>
      <c r="BT571" s="983" t="n"/>
      <c r="BU571" s="983" t="n"/>
      <c r="BV571" s="984" t="n"/>
      <c r="BW571" s="983" t="n"/>
      <c r="BX571" s="1129">
        <f>IF(ISBLANK(BV605),"",BV605)</f>
        <v/>
      </c>
      <c r="BY571" s="983" t="n"/>
      <c r="BZ571" s="983" t="n"/>
      <c r="CA571" s="983" t="n"/>
      <c r="CB571" s="983" t="n"/>
      <c r="CC571" s="1129">
        <f>IF(ISBLANK(CA605),"",CA605)</f>
        <v/>
      </c>
      <c r="CD571" s="1129" t="n"/>
      <c r="CE571" s="1129" t="n"/>
      <c r="CF571" s="1129" t="n"/>
      <c r="CG571" s="93" t="n"/>
    </row>
    <row r="572" hidden="1" outlineLevel="1" collapsed="1" ht="15" customHeight="1">
      <c r="A572" s="605" t="inlineStr">
        <is>
          <t>Revenue guidance - most recent midpoint, mm</t>
        </is>
      </c>
      <c r="B572" s="428" t="n"/>
      <c r="C572" s="1134" t="n"/>
      <c r="D572" s="1134" t="n"/>
      <c r="E572" s="1134" t="n"/>
      <c r="F572" s="1134" t="n"/>
      <c r="G572" s="93" t="n"/>
      <c r="H572" s="93" t="n"/>
      <c r="I572" s="93" t="n"/>
      <c r="J572" s="93" t="n"/>
      <c r="K572" s="1134" t="n"/>
      <c r="L572" s="93" t="n"/>
      <c r="M572" s="93" t="n"/>
      <c r="N572" s="93" t="n"/>
      <c r="O572" s="93" t="n"/>
      <c r="P572" s="1134" t="n"/>
      <c r="Q572" s="93" t="n"/>
      <c r="R572" s="93" t="n"/>
      <c r="S572" s="93" t="n"/>
      <c r="T572" s="93" t="n"/>
      <c r="U572" s="1134" t="n"/>
      <c r="V572" s="93" t="n"/>
      <c r="W572" s="93" t="n"/>
      <c r="X572" s="93" t="n"/>
      <c r="Y572" s="93" t="n"/>
      <c r="Z572" s="1134" t="n"/>
      <c r="AA572" s="93" t="n"/>
      <c r="AB572" s="93" t="n"/>
      <c r="AC572" s="93" t="n"/>
      <c r="AD572" s="93" t="n"/>
      <c r="AE572" s="1134" t="n"/>
      <c r="AF572" s="93" t="n"/>
      <c r="AG572" s="93" t="n"/>
      <c r="AH572" s="93">
        <f>IF(AH571="",IF(AH570="",IF(AH569="",IF(AH568="","",AH568),AH569),AH570),AH571)</f>
        <v/>
      </c>
      <c r="AI572" s="93">
        <f>IF(AI571="",IF(AI570="",IF(AI569="",IF(AI568="","",AI568),AI569),AI570),AI571)</f>
        <v/>
      </c>
      <c r="AJ572" s="1134">
        <f>IF(AJ571="",IF(AJ570="",IF(AJ569="",IF(AJ568="","",AJ568),AJ569),AJ570),AJ571)</f>
        <v/>
      </c>
      <c r="AK572" s="93">
        <f>IF(AK571="",IF(AK570="",IF(AK569="",IF(AK568="","",AK568),AK569),AK570),AK571)</f>
        <v/>
      </c>
      <c r="AL572" s="93">
        <f>IF(AL571="",IF(AL570="",IF(AL569="",IF(AL568="","",AL568),AL569),AL570),AL571)</f>
        <v/>
      </c>
      <c r="AM572" s="93">
        <f>IF(AM571="",IF(AM570="",IF(AM569="",IF(AM568="","",AM568),AM569),AM570),AM571)</f>
        <v/>
      </c>
      <c r="AN572" s="93">
        <f>IF(AN571="",IF(AN570="",IF(AN569="",IF(AN568="","",AN568),AN569),AN570),AN571)</f>
        <v/>
      </c>
      <c r="AO572" s="1134">
        <f>IF(AO571="",IF(AO570="",IF(AO569="",IF(AO568="","",AO568),AO569),AO570),AO571)</f>
        <v/>
      </c>
      <c r="AP572" s="93">
        <f>IF(AP571="",IF(AP570="",IF(AP569="",IF(AP568="","",AP568),AP569),AP570),AP571)</f>
        <v/>
      </c>
      <c r="AQ572" s="93">
        <f>IF(AQ571="",IF(AQ570="",IF(AQ569="",IF(AQ568="","",AQ568),AQ569),AQ570),AQ571)</f>
        <v/>
      </c>
      <c r="AR572" s="93">
        <f>IF(AR571="",IF(AR570="",IF(AR569="",IF(AR568="","",AR568),AR569),AR570),AR571)</f>
        <v/>
      </c>
      <c r="AS572" s="93">
        <f>IF(AS571="",IF(AS570="",IF(AS569="",IF(AS568="","",AS568),AS569),AS570),AS571)</f>
        <v/>
      </c>
      <c r="AT572" s="1134">
        <f>IF(AT571="",IF(AT570="",IF(AT569="",IF(AT568="","",AT568),AT569),AT570),AT571)</f>
        <v/>
      </c>
      <c r="AU572" s="93">
        <f>IF(AU571="",IF(AU570="",IF(AU569="",IF(AU568="","",AU568),AU569),AU570),AU571)</f>
        <v/>
      </c>
      <c r="AV572" s="93">
        <f>IF(AV571="",IF(AV570="",IF(AV569="",IF(AV568="","",AV568),AV569),AV570),AV571)</f>
        <v/>
      </c>
      <c r="AW572" s="93">
        <f>IF(AW571="",IF(AW570="",IF(AW569="",IF(AW568="","",AW568),AW569),AW570),AW571)</f>
        <v/>
      </c>
      <c r="AX572" s="93">
        <f>IF(AX571="",IF(AX570="",IF(AX569="",IF(AX568="","",AX568),AX569),AX570),AX571)</f>
        <v/>
      </c>
      <c r="AY572" s="1134">
        <f>IF(AY571="",IF(AY570="",IF(AY569="",IF(AY568="","",AY568),AY569),AY570),AY571)</f>
        <v/>
      </c>
      <c r="AZ572" s="93">
        <f>IF(AZ571="",IF(AZ570="",IF(AZ569="",IF(AZ568="","",AZ568),AZ569),AZ570),AZ571)</f>
        <v/>
      </c>
      <c r="BA572" s="93">
        <f>IF(BA571="",IF(BA570="",IF(BA569="",IF(BA568="","",BA568),BA569),BA570),BA571)</f>
        <v/>
      </c>
      <c r="BB572" s="93">
        <f>IF(BB571="",IF(BB570="",IF(BB569="",IF(BB568="","",BB568),BB569),BB570),BB571)</f>
        <v/>
      </c>
      <c r="BC572" s="93">
        <f>IF(BC571="",IF(BC570="",IF(BC569="",IF(BC568="","",BC568),BC569),BC570),BC571)</f>
        <v/>
      </c>
      <c r="BD572" s="1134">
        <f>IF(BD571="",IF(BD570="",IF(BD569="",IF(BD568="","",BD568),BD569),BD570),BD571)</f>
        <v/>
      </c>
      <c r="BE572" s="93">
        <f>IF(BE571="",IF(BE570="",IF(BE569="",IF(BE568="","",BE568),BE569),BE570),BE571)</f>
        <v/>
      </c>
      <c r="BF572" s="93">
        <f>IF(BF571="",IF(BF570="",IF(BF569="",IF(BF568="","",BF568),BF569),BF570),BF571)</f>
        <v/>
      </c>
      <c r="BG572" s="93">
        <f>IF(BG571="",IF(BG570="",IF(BG569="",IF(BG568="","",BG568),BG569),BG570),BG571)</f>
        <v/>
      </c>
      <c r="BH572" s="93">
        <f>IF(BH571="",IF(BH570="",IF(BH569="",IF(BH568="","",BH568),BH569),BH570),BH571)</f>
        <v/>
      </c>
      <c r="BI572" s="1134">
        <f>IF(BI571="",IF(BI570="",IF(BI569="",IF(BI568="","",BI568),BI569),BI570),BI571)</f>
        <v/>
      </c>
      <c r="BJ572" s="93">
        <f>IF(BJ571="",IF(BJ570="",IF(BJ569="",IF(BJ568="","",BJ568),BJ569),BJ570),BJ571)</f>
        <v/>
      </c>
      <c r="BK572" s="93">
        <f>IF(BK571="",IF(BK570="",IF(BK569="",IF(BK568="","",BK568),BK569),BK570),BK571)</f>
        <v/>
      </c>
      <c r="BL572" s="93">
        <f>IF(BL571="",IF(BL570="",IF(BL569="",IF(BL568="","",BL568),BL569),BL570),BL571)</f>
        <v/>
      </c>
      <c r="BM572" s="93">
        <f>IF(BM571="",IF(BM570="",IF(BM569="",IF(BM568="","",BM568),BM569),BM570),BM571)</f>
        <v/>
      </c>
      <c r="BN572" s="1134">
        <f>IF(BN571="",IF(BN570="",IF(BN569="",IF(BN568="","",BN568),BN569),BN570),BN571)</f>
        <v/>
      </c>
      <c r="BO572" s="93">
        <f>IF(BO571="",IF(BO570="",IF(BO569="",IF(BO568="","",BO568),BO569),BO570),BO571)</f>
        <v/>
      </c>
      <c r="BP572" s="93">
        <f>IF(BP571="",IF(BP570="",IF(BP569="",IF(BP568="","",BP568),BP569),BP570),BP571)</f>
        <v/>
      </c>
      <c r="BQ572" s="93">
        <f>IF(BQ571="",IF(BQ570="",IF(BQ569="",IF(BQ568="","",BQ568),BQ569),BQ570),BQ571)</f>
        <v/>
      </c>
      <c r="BR572" s="93">
        <f>IF(BR571="",IF(BR570="",IF(BR569="",IF(BR568="","",BR568),BR569),BR570),BR571)</f>
        <v/>
      </c>
      <c r="BS572" s="1134">
        <f>IF(BS571="",IF(BS570="",IF(BS569="",IF(BS568="","",BS568),BS569),BS570),BS571)</f>
        <v/>
      </c>
      <c r="BT572" s="93">
        <f>IF(BT571="",IF(BT570="",IF(BT569="",IF(BT568="","",BT568),BT569),BT570),BT571)</f>
        <v/>
      </c>
      <c r="BU572" s="93">
        <f>IF(BU571="",IF(BU570="",IF(BU569="",IF(BU568="","",BU568),BU569),BU570),BU571)</f>
        <v/>
      </c>
      <c r="BV572" s="522">
        <f>IF(BV571="",IF(BV570="",IF(BV569="",IF(BV568="","",BV568),BV569),BV570),BV571)</f>
        <v/>
      </c>
      <c r="BW572" s="93">
        <f>IF(BW571="",IF(BW570="",IF(BW569="",IF(BW568="","",BW568),BW569),BW570),BW571)</f>
        <v/>
      </c>
      <c r="BX572" s="1134">
        <f>IF(BX571="",IF(BX570="",IF(BX569="",IF(BX568="","",BX568),BX569),BX570),BX571)</f>
        <v/>
      </c>
      <c r="BY572" s="93">
        <f>IF(BY571="",IF(BY570="",IF(BY569="",IF(BY568="","",BY568),BY569),BY570),BY571)</f>
        <v/>
      </c>
      <c r="BZ572" s="93">
        <f>IF(BZ571="",IF(BZ570="",IF(BZ569="",IF(BZ568="","",BZ568),BZ569),BZ570),BZ571)</f>
        <v/>
      </c>
      <c r="CA572" s="93">
        <f>IF(CA571="",IF(CA570="",IF(CA569="",IF(CA568="","",CA568),CA569),CA570),CA571)</f>
        <v/>
      </c>
      <c r="CB572" s="93">
        <f>IF(CB571="",IF(CB570="",IF(CB569="",IF(CB568="","",CB568),CB569),CB570),CB571)</f>
        <v/>
      </c>
      <c r="CC572" s="1134">
        <f>IF(CC571="",IF(CC570="",IF(CC569="",IF(CC568="","",CC568),CC569),CC570),CC571)</f>
        <v/>
      </c>
      <c r="CD572" s="1134" t="n"/>
      <c r="CE572" s="1134" t="n"/>
      <c r="CF572" s="1134" t="n"/>
      <c r="CG572" s="93" t="n"/>
    </row>
    <row r="573" hidden="1" outlineLevel="1" ht="15" customHeight="1">
      <c r="A573" s="811" t="inlineStr">
        <is>
          <t>Revenue - reported/model estimate, mm</t>
        </is>
      </c>
      <c r="B573" s="718" t="n"/>
      <c r="C573" s="1129">
        <f>+C362</f>
        <v/>
      </c>
      <c r="D573" s="1129">
        <f>+D362</f>
        <v/>
      </c>
      <c r="E573" s="1129">
        <f>+E362</f>
        <v/>
      </c>
      <c r="F573" s="1129">
        <f>+F362</f>
        <v/>
      </c>
      <c r="G573" s="983">
        <f>+G362</f>
        <v/>
      </c>
      <c r="H573" s="983">
        <f>+H362</f>
        <v/>
      </c>
      <c r="I573" s="983">
        <f>+I362</f>
        <v/>
      </c>
      <c r="J573" s="983">
        <f>+J362</f>
        <v/>
      </c>
      <c r="K573" s="1129">
        <f>+K362</f>
        <v/>
      </c>
      <c r="L573" s="983">
        <f>+L362</f>
        <v/>
      </c>
      <c r="M573" s="983">
        <f>+M362</f>
        <v/>
      </c>
      <c r="N573" s="983">
        <f>+N362</f>
        <v/>
      </c>
      <c r="O573" s="983">
        <f>+O362</f>
        <v/>
      </c>
      <c r="P573" s="1129">
        <f>+P362</f>
        <v/>
      </c>
      <c r="Q573" s="983">
        <f>+Q362</f>
        <v/>
      </c>
      <c r="R573" s="983">
        <f>+R362</f>
        <v/>
      </c>
      <c r="S573" s="983">
        <f>+S362</f>
        <v/>
      </c>
      <c r="T573" s="983">
        <f>+T362</f>
        <v/>
      </c>
      <c r="U573" s="1129">
        <f>+U362</f>
        <v/>
      </c>
      <c r="V573" s="983">
        <f>+V362</f>
        <v/>
      </c>
      <c r="W573" s="983">
        <f>+W362</f>
        <v/>
      </c>
      <c r="X573" s="983">
        <f>+X362</f>
        <v/>
      </c>
      <c r="Y573" s="983">
        <f>+Y362</f>
        <v/>
      </c>
      <c r="Z573" s="1129">
        <f>+Z362</f>
        <v/>
      </c>
      <c r="AA573" s="983">
        <f>+AA362</f>
        <v/>
      </c>
      <c r="AB573" s="983">
        <f>+AB362</f>
        <v/>
      </c>
      <c r="AC573" s="983">
        <f>+AC362</f>
        <v/>
      </c>
      <c r="AD573" s="983">
        <f>+AD362</f>
        <v/>
      </c>
      <c r="AE573" s="1129">
        <f>+AE362</f>
        <v/>
      </c>
      <c r="AF573" s="983">
        <f>+AF362</f>
        <v/>
      </c>
      <c r="AG573" s="983">
        <f>+AG362</f>
        <v/>
      </c>
      <c r="AH573" s="983">
        <f>+AH362</f>
        <v/>
      </c>
      <c r="AI573" s="983">
        <f>+AI362</f>
        <v/>
      </c>
      <c r="AJ573" s="1129">
        <f>+AJ362</f>
        <v/>
      </c>
      <c r="AK573" s="983">
        <f>+AK362</f>
        <v/>
      </c>
      <c r="AL573" s="983">
        <f>+AL362</f>
        <v/>
      </c>
      <c r="AM573" s="983">
        <f>+AM362</f>
        <v/>
      </c>
      <c r="AN573" s="983">
        <f>+AN362</f>
        <v/>
      </c>
      <c r="AO573" s="1129">
        <f>+AO362</f>
        <v/>
      </c>
      <c r="AP573" s="983">
        <f>+AP362</f>
        <v/>
      </c>
      <c r="AQ573" s="983">
        <f>+AQ362</f>
        <v/>
      </c>
      <c r="AR573" s="983">
        <f>+AR362</f>
        <v/>
      </c>
      <c r="AS573" s="983">
        <f>+AS362</f>
        <v/>
      </c>
      <c r="AT573" s="1129">
        <f>+AT362</f>
        <v/>
      </c>
      <c r="AU573" s="983">
        <f>+AU362</f>
        <v/>
      </c>
      <c r="AV573" s="983">
        <f>+AV362</f>
        <v/>
      </c>
      <c r="AW573" s="983">
        <f>+AW362</f>
        <v/>
      </c>
      <c r="AX573" s="983">
        <f>+AX362</f>
        <v/>
      </c>
      <c r="AY573" s="1129">
        <f>+AY362</f>
        <v/>
      </c>
      <c r="AZ573" s="983">
        <f>+AZ362</f>
        <v/>
      </c>
      <c r="BA573" s="983">
        <f>+BA362</f>
        <v/>
      </c>
      <c r="BB573" s="983">
        <f>+BB362</f>
        <v/>
      </c>
      <c r="BC573" s="983">
        <f>+BC362</f>
        <v/>
      </c>
      <c r="BD573" s="1129">
        <f>+BD362</f>
        <v/>
      </c>
      <c r="BE573" s="983">
        <f>+BE362</f>
        <v/>
      </c>
      <c r="BF573" s="983">
        <f>+BF362</f>
        <v/>
      </c>
      <c r="BG573" s="983">
        <f>+BG362</f>
        <v/>
      </c>
      <c r="BH573" s="983">
        <f>+BH362</f>
        <v/>
      </c>
      <c r="BI573" s="1129">
        <f>+BI362</f>
        <v/>
      </c>
      <c r="BJ573" s="983">
        <f>+BJ362</f>
        <v/>
      </c>
      <c r="BK573" s="983">
        <f>+BK362</f>
        <v/>
      </c>
      <c r="BL573" s="983">
        <f>+BL362</f>
        <v/>
      </c>
      <c r="BM573" s="983">
        <f>+BM362</f>
        <v/>
      </c>
      <c r="BN573" s="1129">
        <f>+BN362</f>
        <v/>
      </c>
      <c r="BO573" s="983">
        <f>+BO362</f>
        <v/>
      </c>
      <c r="BP573" s="983">
        <f>+BP362</f>
        <v/>
      </c>
      <c r="BQ573" s="983">
        <f>+BQ362</f>
        <v/>
      </c>
      <c r="BR573" s="983">
        <f>+BR362</f>
        <v/>
      </c>
      <c r="BS573" s="1129">
        <f>+BS362</f>
        <v/>
      </c>
      <c r="BT573" s="983">
        <f>+BT362</f>
        <v/>
      </c>
      <c r="BU573" s="983">
        <f>+BU362</f>
        <v/>
      </c>
      <c r="BV573" s="984">
        <f>+BV362</f>
        <v/>
      </c>
      <c r="BW573" s="983">
        <f>+BW362</f>
        <v/>
      </c>
      <c r="BX573" s="1129">
        <f>+BX362</f>
        <v/>
      </c>
      <c r="BY573" s="983">
        <f>+BY362</f>
        <v/>
      </c>
      <c r="BZ573" s="983">
        <f>+BZ362</f>
        <v/>
      </c>
      <c r="CA573" s="983">
        <f>+CA362</f>
        <v/>
      </c>
      <c r="CB573" s="983">
        <f>+CB362</f>
        <v/>
      </c>
      <c r="CC573" s="1129">
        <f>+CC362</f>
        <v/>
      </c>
      <c r="CD573" s="1129">
        <f>+CD362</f>
        <v/>
      </c>
      <c r="CE573" s="1129">
        <f>+CE362</f>
        <v/>
      </c>
      <c r="CF573" s="1129">
        <f>+CF362</f>
        <v/>
      </c>
      <c r="CG573" s="93" t="n"/>
    </row>
    <row r="574" hidden="1" outlineLevel="1" ht="15" customHeight="1">
      <c r="A574" s="813" t="inlineStr">
        <is>
          <t>Revenue beat/(miss) vs. most recent guidance - midpoint, mm</t>
        </is>
      </c>
      <c r="B574" s="396" t="n"/>
      <c r="C574" s="1190" t="n"/>
      <c r="D574" s="1190" t="n"/>
      <c r="E574" s="1190" t="n"/>
      <c r="F574" s="1190" t="n"/>
      <c r="G574" s="398" t="n"/>
      <c r="H574" s="398" t="n"/>
      <c r="I574" s="398" t="n"/>
      <c r="J574" s="398" t="n"/>
      <c r="K574" s="1190" t="n"/>
      <c r="L574" s="398" t="n"/>
      <c r="M574" s="398" t="n"/>
      <c r="N574" s="398" t="n"/>
      <c r="O574" s="398" t="n"/>
      <c r="P574" s="1190" t="n"/>
      <c r="Q574" s="398" t="n"/>
      <c r="R574" s="398" t="n"/>
      <c r="S574" s="398" t="n"/>
      <c r="T574" s="398" t="n"/>
      <c r="U574" s="1190" t="n"/>
      <c r="V574" s="398" t="n"/>
      <c r="W574" s="398" t="n"/>
      <c r="X574" s="398" t="n"/>
      <c r="Y574" s="398" t="n"/>
      <c r="Z574" s="1190" t="n"/>
      <c r="AA574" s="398" t="n"/>
      <c r="AB574" s="398" t="n"/>
      <c r="AC574" s="398" t="n"/>
      <c r="AD574" s="398" t="n"/>
      <c r="AE574" s="1190" t="n"/>
      <c r="AF574" s="398" t="n"/>
      <c r="AG574" s="398" t="n"/>
      <c r="AH574" s="398">
        <f>IFERROR(AH573-AH572,"")</f>
        <v/>
      </c>
      <c r="AI574" s="398">
        <f>IFERROR(AI573-AI572,"")</f>
        <v/>
      </c>
      <c r="AJ574" s="1190">
        <f>IFERROR(AJ573-AJ572,"")</f>
        <v/>
      </c>
      <c r="AK574" s="398">
        <f>IFERROR(AK573-AK572,"")</f>
        <v/>
      </c>
      <c r="AL574" s="398">
        <f>IFERROR(AL573-AL572,"")</f>
        <v/>
      </c>
      <c r="AM574" s="398">
        <f>IFERROR(AM573-AM572,"")</f>
        <v/>
      </c>
      <c r="AN574" s="398">
        <f>IFERROR(AN573-AN572,"")</f>
        <v/>
      </c>
      <c r="AO574" s="1190">
        <f>IFERROR(AO573-AO572,"")</f>
        <v/>
      </c>
      <c r="AP574" s="398">
        <f>IFERROR(AP573-AP572,"")</f>
        <v/>
      </c>
      <c r="AQ574" s="398">
        <f>IFERROR(AQ573-AQ572,"")</f>
        <v/>
      </c>
      <c r="AR574" s="398">
        <f>IFERROR(AR573-AR572,"")</f>
        <v/>
      </c>
      <c r="AS574" s="398">
        <f>IFERROR(AS573-AS572,"")</f>
        <v/>
      </c>
      <c r="AT574" s="1190">
        <f>IFERROR(AT573-AT572,"")</f>
        <v/>
      </c>
      <c r="AU574" s="398">
        <f>IFERROR(AU573-AU572,"")</f>
        <v/>
      </c>
      <c r="AV574" s="398">
        <f>IFERROR(AV573-AV572,"")</f>
        <v/>
      </c>
      <c r="AW574" s="398">
        <f>IFERROR(AW573-AW572,"")</f>
        <v/>
      </c>
      <c r="AX574" s="398">
        <f>IFERROR(AX573-AX572,"")</f>
        <v/>
      </c>
      <c r="AY574" s="1190">
        <f>IFERROR(AY573-AY572,"")</f>
        <v/>
      </c>
      <c r="AZ574" s="398">
        <f>IFERROR(AZ573-AZ572,"")</f>
        <v/>
      </c>
      <c r="BA574" s="398">
        <f>IFERROR(BA573-BA572,"")</f>
        <v/>
      </c>
      <c r="BB574" s="398">
        <f>IFERROR(BB573-BB572,"")</f>
        <v/>
      </c>
      <c r="BC574" s="398">
        <f>IFERROR(BC573-BC572,"")</f>
        <v/>
      </c>
      <c r="BD574" s="1190">
        <f>IFERROR(BD573-BD572,"")</f>
        <v/>
      </c>
      <c r="BE574" s="398">
        <f>IFERROR(BE573-BE572,"")</f>
        <v/>
      </c>
      <c r="BF574" s="398">
        <f>IFERROR(BF573-BF572,"")</f>
        <v/>
      </c>
      <c r="BG574" s="398">
        <f>IFERROR(BG573-BG572,"")</f>
        <v/>
      </c>
      <c r="BH574" s="398">
        <f>IFERROR(BH573-BH572,"")</f>
        <v/>
      </c>
      <c r="BI574" s="1190">
        <f>IFERROR(BI573-BI572,"")</f>
        <v/>
      </c>
      <c r="BJ574" s="398">
        <f>IFERROR(BJ573-BJ572,"")</f>
        <v/>
      </c>
      <c r="BK574" s="398">
        <f>IFERROR(BK573-BK572,"")</f>
        <v/>
      </c>
      <c r="BL574" s="398">
        <f>IFERROR(BL573-BL572,"")</f>
        <v/>
      </c>
      <c r="BM574" s="398">
        <f>IFERROR(BM573-BM572,"")</f>
        <v/>
      </c>
      <c r="BN574" s="1190">
        <f>IFERROR(BN573-BN572,"")</f>
        <v/>
      </c>
      <c r="BO574" s="398">
        <f>IFERROR(BO573-BO572,"")</f>
        <v/>
      </c>
      <c r="BP574" s="398">
        <f>IFERROR(BP573-BP572,"")</f>
        <v/>
      </c>
      <c r="BQ574" s="398">
        <f>IFERROR(BQ573-BQ572,"")</f>
        <v/>
      </c>
      <c r="BR574" s="398">
        <f>IFERROR(BR573-BR572,"")</f>
        <v/>
      </c>
      <c r="BS574" s="1190">
        <f>IFERROR(BS573-BS572,"")</f>
        <v/>
      </c>
      <c r="BT574" s="398">
        <f>IFERROR(BT573-BT572,"")</f>
        <v/>
      </c>
      <c r="BU574" s="398">
        <f>IFERROR(BU573-BU572,"")</f>
        <v/>
      </c>
      <c r="BV574" s="1038">
        <f>IFERROR(BV573-BV572,"")</f>
        <v/>
      </c>
      <c r="BW574" s="398">
        <f>IFERROR(BW573-BW572,"")</f>
        <v/>
      </c>
      <c r="BX574" s="1190">
        <f>IFERROR(BX573-BX572,"")</f>
        <v/>
      </c>
      <c r="BY574" s="398">
        <f>IFERROR(BY573-BY572,"")</f>
        <v/>
      </c>
      <c r="BZ574" s="398">
        <f>IFERROR(BZ573-BZ572,"")</f>
        <v/>
      </c>
      <c r="CA574" s="398">
        <f>IFERROR(CA573-CA572,"")</f>
        <v/>
      </c>
      <c r="CB574" s="398">
        <f>IFERROR(CB573-CB572,"")</f>
        <v/>
      </c>
      <c r="CC574" s="1190">
        <f>IFERROR(CC573-CC572,"")</f>
        <v/>
      </c>
      <c r="CD574" s="1190" t="n"/>
      <c r="CE574" s="1190" t="n"/>
      <c r="CF574" s="1190" t="n"/>
      <c r="CG574" s="93" t="n"/>
    </row>
    <row r="575" hidden="1" outlineLevel="1" ht="15" customHeight="1">
      <c r="A575" s="798" t="inlineStr">
        <is>
          <t>Relative revenue beat/(miss) vs. most recent guidance - midpoint, %</t>
        </is>
      </c>
      <c r="B575" s="797" t="n"/>
      <c r="C575" s="1191" t="n"/>
      <c r="D575" s="1191" t="n"/>
      <c r="E575" s="1191" t="n"/>
      <c r="F575" s="1191" t="n"/>
      <c r="G575" s="792" t="n"/>
      <c r="H575" s="792" t="n"/>
      <c r="I575" s="792" t="n"/>
      <c r="J575" s="792" t="n"/>
      <c r="K575" s="1191" t="n"/>
      <c r="L575" s="792" t="n"/>
      <c r="M575" s="792" t="n"/>
      <c r="N575" s="792" t="n"/>
      <c r="O575" s="792" t="n"/>
      <c r="P575" s="1191" t="n"/>
      <c r="Q575" s="792" t="n"/>
      <c r="R575" s="792" t="n"/>
      <c r="S575" s="792" t="n"/>
      <c r="T575" s="792" t="n"/>
      <c r="U575" s="1191" t="n"/>
      <c r="V575" s="792" t="n"/>
      <c r="W575" s="792" t="n"/>
      <c r="X575" s="792" t="n"/>
      <c r="Y575" s="792" t="n"/>
      <c r="Z575" s="1191" t="n"/>
      <c r="AA575" s="792" t="n"/>
      <c r="AB575" s="792" t="n"/>
      <c r="AC575" s="792" t="n"/>
      <c r="AD575" s="792" t="n"/>
      <c r="AE575" s="1191" t="n"/>
      <c r="AF575" s="792" t="n"/>
      <c r="AG575" s="792" t="n"/>
      <c r="AH575" s="792">
        <f>IFERROR(AH574/ABS(AH572),"")</f>
        <v/>
      </c>
      <c r="AI575" s="792">
        <f>IFERROR(AI574/ABS(AI572),"")</f>
        <v/>
      </c>
      <c r="AJ575" s="1191">
        <f>IFERROR(AJ574/ABS(AJ572),"")</f>
        <v/>
      </c>
      <c r="AK575" s="792">
        <f>IFERROR(AK574/ABS(AK572),"")</f>
        <v/>
      </c>
      <c r="AL575" s="792">
        <f>IFERROR(AL574/ABS(AL572),"")</f>
        <v/>
      </c>
      <c r="AM575" s="792">
        <f>IFERROR(AM574/ABS(AM572),"")</f>
        <v/>
      </c>
      <c r="AN575" s="792">
        <f>IFERROR(AN574/ABS(AN572),"")</f>
        <v/>
      </c>
      <c r="AO575" s="1191">
        <f>IFERROR(AO574/ABS(AO572),"")</f>
        <v/>
      </c>
      <c r="AP575" s="792">
        <f>IFERROR(AP574/ABS(AP572),"")</f>
        <v/>
      </c>
      <c r="AQ575" s="792">
        <f>IFERROR(AQ574/ABS(AQ572),"")</f>
        <v/>
      </c>
      <c r="AR575" s="792">
        <f>IFERROR(AR574/ABS(AR572),"")</f>
        <v/>
      </c>
      <c r="AS575" s="792">
        <f>IFERROR(AS574/ABS(AS572),"")</f>
        <v/>
      </c>
      <c r="AT575" s="1191">
        <f>IFERROR(AT574/ABS(AT572),"")</f>
        <v/>
      </c>
      <c r="AU575" s="792">
        <f>IFERROR(AU574/ABS(AU572),"")</f>
        <v/>
      </c>
      <c r="AV575" s="792">
        <f>IFERROR(AV574/ABS(AV572),"")</f>
        <v/>
      </c>
      <c r="AW575" s="792">
        <f>IFERROR(AW574/ABS(AW572),"")</f>
        <v/>
      </c>
      <c r="AX575" s="792">
        <f>IFERROR(AX574/ABS(AX572),"")</f>
        <v/>
      </c>
      <c r="AY575" s="1191">
        <f>IFERROR(AY574/ABS(AY572),"")</f>
        <v/>
      </c>
      <c r="AZ575" s="792">
        <f>IFERROR(AZ574/ABS(AZ572),"")</f>
        <v/>
      </c>
      <c r="BA575" s="792">
        <f>IFERROR(BA574/ABS(BA572),"")</f>
        <v/>
      </c>
      <c r="BB575" s="792">
        <f>IFERROR(BB574/ABS(BB572),"")</f>
        <v/>
      </c>
      <c r="BC575" s="792">
        <f>IFERROR(BC574/ABS(BC572),"")</f>
        <v/>
      </c>
      <c r="BD575" s="1191">
        <f>IFERROR(BD574/ABS(BD572),"")</f>
        <v/>
      </c>
      <c r="BE575" s="792">
        <f>IFERROR(BE574/ABS(BE572),"")</f>
        <v/>
      </c>
      <c r="BF575" s="792">
        <f>IFERROR(BF574/ABS(BF572),"")</f>
        <v/>
      </c>
      <c r="BG575" s="792">
        <f>IFERROR(BG574/ABS(BG572),"")</f>
        <v/>
      </c>
      <c r="BH575" s="792">
        <f>IFERROR(BH574/ABS(BH572),"")</f>
        <v/>
      </c>
      <c r="BI575" s="1191">
        <f>IFERROR(BI574/ABS(BI572),"")</f>
        <v/>
      </c>
      <c r="BJ575" s="792">
        <f>IFERROR(BJ574/ABS(BJ572),"")</f>
        <v/>
      </c>
      <c r="BK575" s="792">
        <f>IFERROR(BK574/ABS(BK572),"")</f>
        <v/>
      </c>
      <c r="BL575" s="792">
        <f>IFERROR(BL574/ABS(BL572),"")</f>
        <v/>
      </c>
      <c r="BM575" s="792">
        <f>IFERROR(BM574/ABS(BM572),"")</f>
        <v/>
      </c>
      <c r="BN575" s="1191">
        <f>IFERROR(BN574/ABS(BN572),"")</f>
        <v/>
      </c>
      <c r="BO575" s="792">
        <f>IFERROR(BO574/ABS(BO572),"")</f>
        <v/>
      </c>
      <c r="BP575" s="792">
        <f>IFERROR(BP574/ABS(BP572),"")</f>
        <v/>
      </c>
      <c r="BQ575" s="792">
        <f>IFERROR(BQ574/ABS(BQ572),"")</f>
        <v/>
      </c>
      <c r="BR575" s="792">
        <f>IFERROR(BR574/ABS(BR572),"")</f>
        <v/>
      </c>
      <c r="BS575" s="1191">
        <f>IFERROR(BS574/ABS(BS572),"")</f>
        <v/>
      </c>
      <c r="BT575" s="792">
        <f>IFERROR(BT574/ABS(BT572),"")</f>
        <v/>
      </c>
      <c r="BU575" s="792">
        <f>IFERROR(BU574/ABS(BU572),"")</f>
        <v/>
      </c>
      <c r="BV575" s="907">
        <f>IFERROR(BV574/ABS(BV572),"")</f>
        <v/>
      </c>
      <c r="BW575" s="792">
        <f>IFERROR(BW574/ABS(BW572),"")</f>
        <v/>
      </c>
      <c r="BX575" s="1191">
        <f>IFERROR(BX574/ABS(BX572),"")</f>
        <v/>
      </c>
      <c r="BY575" s="792">
        <f>IFERROR(BY574/ABS(BY572),"")</f>
        <v/>
      </c>
      <c r="BZ575" s="792">
        <f>IFERROR(BZ574/ABS(BZ572),"")</f>
        <v/>
      </c>
      <c r="CA575" s="792">
        <f>IFERROR(CA574/ABS(CA572),"")</f>
        <v/>
      </c>
      <c r="CB575" s="792">
        <f>IFERROR(CB574/ABS(CB572),"")</f>
        <v/>
      </c>
      <c r="CC575" s="1191">
        <f>IFERROR(CC574/ABS(CC572),"")</f>
        <v/>
      </c>
      <c r="CD575" s="1191" t="n"/>
      <c r="CE575" s="1191" t="n"/>
      <c r="CF575" s="1191" t="n"/>
      <c r="CG575" s="93" t="n"/>
    </row>
    <row r="576" hidden="1" outlineLevel="1" ht="15" customHeight="1">
      <c r="A576" s="799" t="n"/>
      <c r="B576" s="428" t="n"/>
      <c r="C576" s="1134" t="n"/>
      <c r="D576" s="1134" t="n"/>
      <c r="E576" s="1134" t="n"/>
      <c r="F576" s="1134" t="n"/>
      <c r="G576" s="93" t="n"/>
      <c r="H576" s="93" t="n"/>
      <c r="I576" s="93" t="n"/>
      <c r="J576" s="93" t="n"/>
      <c r="K576" s="1134" t="n"/>
      <c r="L576" s="93" t="n"/>
      <c r="M576" s="93" t="n"/>
      <c r="N576" s="93" t="n"/>
      <c r="O576" s="93" t="n"/>
      <c r="P576" s="1134" t="n"/>
      <c r="Q576" s="93" t="n"/>
      <c r="R576" s="93" t="n"/>
      <c r="S576" s="93" t="n"/>
      <c r="T576" s="93" t="n"/>
      <c r="U576" s="1134" t="n"/>
      <c r="V576" s="93" t="n"/>
      <c r="W576" s="93" t="n"/>
      <c r="X576" s="93" t="n"/>
      <c r="Y576" s="93" t="n"/>
      <c r="Z576" s="1134" t="n"/>
      <c r="AA576" s="93" t="n"/>
      <c r="AB576" s="93" t="n"/>
      <c r="AC576" s="93" t="n"/>
      <c r="AD576" s="93" t="n"/>
      <c r="AE576" s="1134" t="n"/>
      <c r="AF576" s="93" t="n"/>
      <c r="AG576" s="93" t="n"/>
      <c r="AH576" s="93" t="n"/>
      <c r="AI576" s="93" t="n"/>
      <c r="AJ576" s="1134" t="n"/>
      <c r="AK576" s="93" t="n"/>
      <c r="AL576" s="93" t="n"/>
      <c r="AM576" s="93" t="n"/>
      <c r="AN576" s="93" t="n"/>
      <c r="AO576" s="1134" t="n"/>
      <c r="AP576" s="93" t="n"/>
      <c r="AQ576" s="93" t="n"/>
      <c r="AR576" s="93" t="n"/>
      <c r="AS576" s="93" t="n"/>
      <c r="AT576" s="1134" t="n"/>
      <c r="AU576" s="93" t="n"/>
      <c r="AV576" s="93" t="n"/>
      <c r="AW576" s="93" t="n"/>
      <c r="AX576" s="93" t="n"/>
      <c r="AY576" s="1134" t="n"/>
      <c r="AZ576" s="93" t="n"/>
      <c r="BA576" s="93" t="n"/>
      <c r="BB576" s="93" t="n"/>
      <c r="BC576" s="93" t="n"/>
      <c r="BD576" s="1134" t="n"/>
      <c r="BE576" s="93" t="n"/>
      <c r="BF576" s="93" t="n"/>
      <c r="BG576" s="93" t="n"/>
      <c r="BH576" s="93" t="n"/>
      <c r="BI576" s="1134" t="n"/>
      <c r="BJ576" s="93" t="n"/>
      <c r="BK576" s="93" t="n"/>
      <c r="BL576" s="93" t="n"/>
      <c r="BM576" s="93" t="n"/>
      <c r="BN576" s="1134" t="n"/>
      <c r="BO576" s="93" t="n"/>
      <c r="BP576" s="93" t="n"/>
      <c r="BQ576" s="93" t="n"/>
      <c r="BR576" s="93" t="n"/>
      <c r="BS576" s="1134" t="n"/>
      <c r="BT576" s="93" t="n"/>
      <c r="BU576" s="93" t="n"/>
      <c r="BV576" s="522" t="n"/>
      <c r="BW576" s="93" t="n"/>
      <c r="BX576" s="1134" t="n"/>
      <c r="BY576" s="93" t="n"/>
      <c r="BZ576" s="93" t="n"/>
      <c r="CA576" s="93" t="n"/>
      <c r="CB576" s="93" t="n"/>
      <c r="CC576" s="1134" t="n"/>
      <c r="CD576" s="1134" t="n"/>
      <c r="CE576" s="1134" t="n"/>
      <c r="CF576" s="1134" t="n"/>
      <c r="CG576" s="93" t="n"/>
    </row>
    <row r="577" hidden="1" outlineLevel="1" ht="15" customHeight="1">
      <c r="A577" s="371" t="inlineStr">
        <is>
          <t>Q/Q guided revenue growth, %</t>
        </is>
      </c>
      <c r="B577" s="112" t="n"/>
      <c r="C577" s="1113" t="n"/>
      <c r="D577" s="1113" t="n"/>
      <c r="E577" s="1113" t="n"/>
      <c r="F577" s="1113" t="n"/>
      <c r="G577" s="90" t="n"/>
      <c r="H577" s="90" t="n"/>
      <c r="I577" s="90" t="n"/>
      <c r="J577" s="90" t="n"/>
      <c r="K577" s="1113" t="n"/>
      <c r="L577" s="90" t="n"/>
      <c r="M577" s="90" t="n"/>
      <c r="N577" s="90" t="n"/>
      <c r="O577" s="90" t="n"/>
      <c r="P577" s="1113" t="n"/>
      <c r="Q577" s="90" t="n"/>
      <c r="R577" s="90" t="n"/>
      <c r="S577" s="90" t="n"/>
      <c r="T577" s="90" t="n"/>
      <c r="U577" s="1113" t="n"/>
      <c r="V577" s="90" t="n"/>
      <c r="W577" s="90" t="n"/>
      <c r="X577" s="90" t="n"/>
      <c r="Y577" s="90" t="n"/>
      <c r="Z577" s="1113" t="n"/>
      <c r="AA577" s="90" t="n"/>
      <c r="AB577" s="90" t="n"/>
      <c r="AC577" s="90" t="n"/>
      <c r="AD577" s="90" t="n"/>
      <c r="AE577" s="1113" t="n"/>
      <c r="AF577" s="90" t="n"/>
      <c r="AG577" s="90" t="n"/>
      <c r="AH577" s="90">
        <f>IF(AH572="","",AH572/AG573-1)</f>
        <v/>
      </c>
      <c r="AI577" s="90">
        <f>IF(AI572="","",AI572/AH573-1)</f>
        <v/>
      </c>
      <c r="AJ577" s="1113" t="n"/>
      <c r="AK577" s="90">
        <f>IF(AK572="","",AK572/AI573-1)</f>
        <v/>
      </c>
      <c r="AL577" s="90">
        <f>IF(AL572="","",AL572/AK573-1)</f>
        <v/>
      </c>
      <c r="AM577" s="90">
        <f>IF(AM572="","",AM572/AL573-1)</f>
        <v/>
      </c>
      <c r="AN577" s="90">
        <f>IF(AN572="","",AN572/AM573-1)</f>
        <v/>
      </c>
      <c r="AO577" s="1113" t="n"/>
      <c r="AP577" s="90">
        <f>IF(AP572="","",AP572/AN573-1)</f>
        <v/>
      </c>
      <c r="AQ577" s="90">
        <f>IF(AQ572="","",AQ572/AP573-1)</f>
        <v/>
      </c>
      <c r="AR577" s="90">
        <f>IF(AR572="","",AR572/AQ573-1)</f>
        <v/>
      </c>
      <c r="AS577" s="90">
        <f>IF(AS572="","",AS572/AR573-1)</f>
        <v/>
      </c>
      <c r="AT577" s="1113" t="n"/>
      <c r="AU577" s="90">
        <f>IF(AU572="","",AU572/AS573-1)</f>
        <v/>
      </c>
      <c r="AV577" s="90">
        <f>IF(AV572="","",AV572/AU573-1)</f>
        <v/>
      </c>
      <c r="AW577" s="90">
        <f>IF(AW572="","",AW572/AV573-1)</f>
        <v/>
      </c>
      <c r="AX577" s="90">
        <f>IF(AX572="","",AX572/AW573-1)</f>
        <v/>
      </c>
      <c r="AY577" s="1113" t="n"/>
      <c r="AZ577" s="90">
        <f>IF(AZ572="","",AZ572/AX573-1)</f>
        <v/>
      </c>
      <c r="BA577" s="90">
        <f>IF(BA572="","",BA572/AZ573-1)</f>
        <v/>
      </c>
      <c r="BB577" s="90">
        <f>IF(BB572="","",BB572/BA573-1)</f>
        <v/>
      </c>
      <c r="BC577" s="90">
        <f>IF(BC572="","",BC572/BB573-1)</f>
        <v/>
      </c>
      <c r="BD577" s="1113" t="n"/>
      <c r="BE577" s="90">
        <f>IF(BE572="","",BE572/BC573-1)</f>
        <v/>
      </c>
      <c r="BF577" s="90">
        <f>IF(BF572="","",BF572/BE573-1)</f>
        <v/>
      </c>
      <c r="BG577" s="90">
        <f>IF(BG572="","",BG572/BF573-1)</f>
        <v/>
      </c>
      <c r="BH577" s="90">
        <f>IF(BH572="","",BH572/BG573-1)</f>
        <v/>
      </c>
      <c r="BI577" s="1113" t="n"/>
      <c r="BJ577" s="90">
        <f>IF(BJ572="","",BJ572/BH573-1)</f>
        <v/>
      </c>
      <c r="BK577" s="90">
        <f>IF(BK572="","",BK572/BJ573-1)</f>
        <v/>
      </c>
      <c r="BL577" s="90">
        <f>IF(BL572="","",BL572/BK573-1)</f>
        <v/>
      </c>
      <c r="BM577" s="90">
        <f>IF(BM572="","",BM572/BL573-1)</f>
        <v/>
      </c>
      <c r="BN577" s="1113" t="n"/>
      <c r="BO577" s="90">
        <f>IF(BO572="","",BO572/BM573-1)</f>
        <v/>
      </c>
      <c r="BP577" s="90">
        <f>IF(BP572="","",BP572/BO573-1)</f>
        <v/>
      </c>
      <c r="BQ577" s="90">
        <f>IF(BQ572="","",BQ572/BP573-1)</f>
        <v/>
      </c>
      <c r="BR577" s="90">
        <f>IF(BR572="","",BR572/BQ573-1)</f>
        <v/>
      </c>
      <c r="BS577" s="1113" t="n"/>
      <c r="BT577" s="90">
        <f>IF(BT572="","",BT572/BR573-1)</f>
        <v/>
      </c>
      <c r="BU577" s="90">
        <f>IF(BU572="","",BU572/BT573-1)</f>
        <v/>
      </c>
      <c r="BV577" s="880">
        <f>IF(BV572="","",BV572/BU573-1)</f>
        <v/>
      </c>
      <c r="BW577" s="90">
        <f>IF(BW572="","",BW572/BV573-1)</f>
        <v/>
      </c>
      <c r="BX577" s="1113" t="n"/>
      <c r="BY577" s="90">
        <f>IF(BY572="","",BY572/BW573-1)</f>
        <v/>
      </c>
      <c r="BZ577" s="90">
        <f>IF(BZ572="","",BZ572/BY573-1)</f>
        <v/>
      </c>
      <c r="CA577" s="90">
        <f>IF(CA572="","",CA572/BZ573-1)</f>
        <v/>
      </c>
      <c r="CB577" s="90">
        <f>IF(CB572="","",CB572/CA573-1)</f>
        <v/>
      </c>
      <c r="CC577" s="1113" t="n"/>
      <c r="CD577" s="1113" t="n"/>
      <c r="CE577" s="1113" t="n"/>
      <c r="CF577" s="1113" t="n"/>
      <c r="CG577" s="93" t="n"/>
    </row>
    <row r="578" hidden="1" outlineLevel="1" ht="15" customHeight="1">
      <c r="A578" s="806" t="inlineStr">
        <is>
          <t>Q/Q beat/(miss) revenue growth, %</t>
        </is>
      </c>
      <c r="B578" s="804" t="n"/>
      <c r="C578" s="1194" t="n"/>
      <c r="D578" s="1194" t="n"/>
      <c r="E578" s="1194" t="n"/>
      <c r="F578" s="1194" t="n"/>
      <c r="G578" s="805" t="n"/>
      <c r="H578" s="805" t="n"/>
      <c r="I578" s="805" t="n"/>
      <c r="J578" s="805" t="n"/>
      <c r="K578" s="1194" t="n"/>
      <c r="L578" s="805" t="n"/>
      <c r="M578" s="805" t="n"/>
      <c r="N578" s="805" t="n"/>
      <c r="O578" s="805" t="n"/>
      <c r="P578" s="1194" t="n"/>
      <c r="Q578" s="805" t="n"/>
      <c r="R578" s="805" t="n"/>
      <c r="S578" s="805" t="n"/>
      <c r="T578" s="805" t="n"/>
      <c r="U578" s="1194" t="n"/>
      <c r="V578" s="805" t="n"/>
      <c r="W578" s="805" t="n"/>
      <c r="X578" s="805" t="n"/>
      <c r="Y578" s="805" t="n"/>
      <c r="Z578" s="1194" t="n"/>
      <c r="AA578" s="805" t="n"/>
      <c r="AB578" s="805" t="n"/>
      <c r="AC578" s="805" t="n"/>
      <c r="AD578" s="805" t="n"/>
      <c r="AE578" s="1194" t="n"/>
      <c r="AF578" s="805" t="n"/>
      <c r="AG578" s="805" t="n"/>
      <c r="AH578" s="805">
        <f>IF(AH574="","",AH574/AG573)</f>
        <v/>
      </c>
      <c r="AI578" s="805">
        <f>IF(AI574="","",AI574/AH573)</f>
        <v/>
      </c>
      <c r="AJ578" s="1194" t="n"/>
      <c r="AK578" s="805">
        <f>IF(AK574="","",AK574/AI573)</f>
        <v/>
      </c>
      <c r="AL578" s="805">
        <f>IF(AL574="","",AL574/AK573)</f>
        <v/>
      </c>
      <c r="AM578" s="805">
        <f>IF(AM574="","",AM574/AL573)</f>
        <v/>
      </c>
      <c r="AN578" s="805">
        <f>IF(AN574="","",AN574/AM573)</f>
        <v/>
      </c>
      <c r="AO578" s="1194" t="n"/>
      <c r="AP578" s="805">
        <f>IF(AP574="","",AP574/AN573)</f>
        <v/>
      </c>
      <c r="AQ578" s="805">
        <f>IF(AQ574="","",AQ574/AP573)</f>
        <v/>
      </c>
      <c r="AR578" s="805">
        <f>IF(AR574="","",AR574/AQ573)</f>
        <v/>
      </c>
      <c r="AS578" s="805">
        <f>IF(AS574="","",AS574/AR573)</f>
        <v/>
      </c>
      <c r="AT578" s="1194" t="n"/>
      <c r="AU578" s="805">
        <f>IF(AU574="","",AU574/AS573)</f>
        <v/>
      </c>
      <c r="AV578" s="805">
        <f>IF(AV574="","",AV574/AU573)</f>
        <v/>
      </c>
      <c r="AW578" s="805">
        <f>IF(AW574="","",AW574/AV573)</f>
        <v/>
      </c>
      <c r="AX578" s="805">
        <f>IF(AX574="","",AX574/AW573)</f>
        <v/>
      </c>
      <c r="AY578" s="1194" t="n"/>
      <c r="AZ578" s="805">
        <f>IF(AZ574="","",AZ574/AX573)</f>
        <v/>
      </c>
      <c r="BA578" s="805">
        <f>IF(BA574="","",BA574/AZ573)</f>
        <v/>
      </c>
      <c r="BB578" s="805">
        <f>IF(BB574="","",BB574/BA573)</f>
        <v/>
      </c>
      <c r="BC578" s="805">
        <f>IF(BC574="","",BC574/BB573)</f>
        <v/>
      </c>
      <c r="BD578" s="1194" t="n"/>
      <c r="BE578" s="805">
        <f>IF(BE574="","",BE574/BC573)</f>
        <v/>
      </c>
      <c r="BF578" s="805">
        <f>IF(BF574="","",BF574/BE573)</f>
        <v/>
      </c>
      <c r="BG578" s="805">
        <f>IF(BG574="","",BG574/BF573)</f>
        <v/>
      </c>
      <c r="BH578" s="805">
        <f>IF(BH574="","",BH574/BG573)</f>
        <v/>
      </c>
      <c r="BI578" s="1194" t="n"/>
      <c r="BJ578" s="805">
        <f>IF(BJ574="","",BJ574/BH573)</f>
        <v/>
      </c>
      <c r="BK578" s="805">
        <f>IF(BK574="","",BK574/BJ573)</f>
        <v/>
      </c>
      <c r="BL578" s="805">
        <f>IF(BL574="","",BL574/BK573)</f>
        <v/>
      </c>
      <c r="BM578" s="805">
        <f>IF(BM574="","",BM574/BL573)</f>
        <v/>
      </c>
      <c r="BN578" s="1194" t="n"/>
      <c r="BO578" s="805">
        <f>IF(BO574="","",BO574/BM573)</f>
        <v/>
      </c>
      <c r="BP578" s="805">
        <f>IF(BP574="","",BP574/BO573)</f>
        <v/>
      </c>
      <c r="BQ578" s="805">
        <f>IF(BQ574="","",BQ574/BP573)</f>
        <v/>
      </c>
      <c r="BR578" s="805">
        <f>IF(BR574="","",BR574/BQ573)</f>
        <v/>
      </c>
      <c r="BS578" s="1194" t="n"/>
      <c r="BT578" s="805">
        <f>IF(BT574="","",BT574/BR573)</f>
        <v/>
      </c>
      <c r="BU578" s="805">
        <f>IF(BU574="","",BU574/BT573)</f>
        <v/>
      </c>
      <c r="BV578" s="910">
        <f>IF(BV574="","",BV574/BU573)</f>
        <v/>
      </c>
      <c r="BW578" s="805">
        <f>IF(BW574="","",BW574/BV573)</f>
        <v/>
      </c>
      <c r="BX578" s="1194" t="n"/>
      <c r="BY578" s="805">
        <f>IF(BY574="","",BY574/BW573)</f>
        <v/>
      </c>
      <c r="BZ578" s="805">
        <f>IF(BZ574="","",BZ574/BY573)</f>
        <v/>
      </c>
      <c r="CA578" s="805">
        <f>IF(CA574="","",CA574/BZ573)</f>
        <v/>
      </c>
      <c r="CB578" s="805">
        <f>IF(CB574="","",CB574/CA573)</f>
        <v/>
      </c>
      <c r="CC578" s="1194" t="n"/>
      <c r="CD578" s="1194" t="n"/>
      <c r="CE578" s="1194" t="n"/>
      <c r="CF578" s="1194" t="n"/>
      <c r="CG578" s="93" t="n"/>
    </row>
    <row r="579" hidden="1" outlineLevel="1" ht="15" customHeight="1">
      <c r="A579" s="809" t="inlineStr">
        <is>
          <t>Q/Q revenue growth, %</t>
        </is>
      </c>
      <c r="B579" s="807" t="n"/>
      <c r="C579" s="1195" t="n"/>
      <c r="D579" s="1195" t="n"/>
      <c r="E579" s="1195" t="n"/>
      <c r="F579" s="1195" t="n"/>
      <c r="G579" s="808" t="n"/>
      <c r="H579" s="808" t="n"/>
      <c r="I579" s="808" t="n"/>
      <c r="J579" s="808" t="n"/>
      <c r="K579" s="1195" t="n"/>
      <c r="L579" s="808" t="n"/>
      <c r="M579" s="808" t="n"/>
      <c r="N579" s="808" t="n"/>
      <c r="O579" s="808" t="n"/>
      <c r="P579" s="1195" t="n"/>
      <c r="Q579" s="808" t="n"/>
      <c r="R579" s="808" t="n"/>
      <c r="S579" s="808" t="n"/>
      <c r="T579" s="808" t="n"/>
      <c r="U579" s="1195" t="n"/>
      <c r="V579" s="808" t="n"/>
      <c r="W579" s="808" t="n"/>
      <c r="X579" s="808" t="n"/>
      <c r="Y579" s="808" t="n"/>
      <c r="Z579" s="1195" t="n"/>
      <c r="AA579" s="808" t="n"/>
      <c r="AB579" s="808" t="n"/>
      <c r="AC579" s="808" t="n"/>
      <c r="AD579" s="808" t="n"/>
      <c r="AE579" s="1195" t="n"/>
      <c r="AF579" s="808" t="n"/>
      <c r="AG579" s="808" t="n"/>
      <c r="AH579" s="808">
        <f>AH573/AG573-1</f>
        <v/>
      </c>
      <c r="AI579" s="808">
        <f>AI573/AH573-1</f>
        <v/>
      </c>
      <c r="AJ579" s="1195" t="n"/>
      <c r="AK579" s="808">
        <f>AK573/AI573-1</f>
        <v/>
      </c>
      <c r="AL579" s="808">
        <f>AL573/AK573-1</f>
        <v/>
      </c>
      <c r="AM579" s="808">
        <f>AM573/AL573-1</f>
        <v/>
      </c>
      <c r="AN579" s="808">
        <f>AN573/AM573-1</f>
        <v/>
      </c>
      <c r="AO579" s="1195" t="n"/>
      <c r="AP579" s="808">
        <f>AP573/AN573-1</f>
        <v/>
      </c>
      <c r="AQ579" s="808">
        <f>AQ573/AP573-1</f>
        <v/>
      </c>
      <c r="AR579" s="808">
        <f>AR573/AQ573-1</f>
        <v/>
      </c>
      <c r="AS579" s="808">
        <f>AS573/AR573-1</f>
        <v/>
      </c>
      <c r="AT579" s="1195" t="n"/>
      <c r="AU579" s="808">
        <f>AU573/AS573-1</f>
        <v/>
      </c>
      <c r="AV579" s="808">
        <f>AV573/AU573-1</f>
        <v/>
      </c>
      <c r="AW579" s="808">
        <f>AW573/AV573-1</f>
        <v/>
      </c>
      <c r="AX579" s="808">
        <f>AX573/AW573-1</f>
        <v/>
      </c>
      <c r="AY579" s="1195" t="n"/>
      <c r="AZ579" s="808">
        <f>AZ573/AX573-1</f>
        <v/>
      </c>
      <c r="BA579" s="808">
        <f>BA573/AZ573-1</f>
        <v/>
      </c>
      <c r="BB579" s="808">
        <f>BB573/BA573-1</f>
        <v/>
      </c>
      <c r="BC579" s="808">
        <f>BC573/BB573-1</f>
        <v/>
      </c>
      <c r="BD579" s="1195" t="n"/>
      <c r="BE579" s="808">
        <f>BE573/BC573-1</f>
        <v/>
      </c>
      <c r="BF579" s="808">
        <f>BF573/BE573-1</f>
        <v/>
      </c>
      <c r="BG579" s="808">
        <f>BG573/BF573-1</f>
        <v/>
      </c>
      <c r="BH579" s="808">
        <f>BH573/BG573-1</f>
        <v/>
      </c>
      <c r="BI579" s="1195" t="n"/>
      <c r="BJ579" s="808">
        <f>BJ573/BH573-1</f>
        <v/>
      </c>
      <c r="BK579" s="808">
        <f>BK573/BJ573-1</f>
        <v/>
      </c>
      <c r="BL579" s="808">
        <f>BL573/BK573-1</f>
        <v/>
      </c>
      <c r="BM579" s="808">
        <f>BM573/BL573-1</f>
        <v/>
      </c>
      <c r="BN579" s="1195" t="n"/>
      <c r="BO579" s="808">
        <f>BO573/BM573-1</f>
        <v/>
      </c>
      <c r="BP579" s="808">
        <f>BP573/BO573-1</f>
        <v/>
      </c>
      <c r="BQ579" s="808">
        <f>BQ573/BP573-1</f>
        <v/>
      </c>
      <c r="BR579" s="808">
        <f>BR573/BQ573-1</f>
        <v/>
      </c>
      <c r="BS579" s="1195" t="n"/>
      <c r="BT579" s="808">
        <f>BT573/BR573-1</f>
        <v/>
      </c>
      <c r="BU579" s="808">
        <f>BU573/BT573-1</f>
        <v/>
      </c>
      <c r="BV579" s="911">
        <f>BV573/BU573-1</f>
        <v/>
      </c>
      <c r="BW579" s="808">
        <f>BW573/BV573-1</f>
        <v/>
      </c>
      <c r="BX579" s="1195" t="n"/>
      <c r="BY579" s="808">
        <f>BY573/BW573-1</f>
        <v/>
      </c>
      <c r="BZ579" s="808">
        <f>BZ573/BY573-1</f>
        <v/>
      </c>
      <c r="CA579" s="808">
        <f>CA573/BZ573-1</f>
        <v/>
      </c>
      <c r="CB579" s="808">
        <f>CB573/CA573-1</f>
        <v/>
      </c>
      <c r="CC579" s="1195" t="n"/>
      <c r="CD579" s="1195" t="n"/>
      <c r="CE579" s="1195" t="n"/>
      <c r="CF579" s="1195" t="n"/>
      <c r="CG579" s="93" t="n"/>
    </row>
    <row r="580" hidden="1" outlineLevel="1" ht="15" customHeight="1">
      <c r="A580" s="371" t="inlineStr">
        <is>
          <t>Y/Y guided revenue growth, %</t>
        </is>
      </c>
      <c r="B580" s="112" t="n"/>
      <c r="C580" s="1113" t="n"/>
      <c r="D580" s="1113" t="n"/>
      <c r="E580" s="1113" t="n"/>
      <c r="F580" s="1113" t="n"/>
      <c r="G580" s="90" t="n"/>
      <c r="H580" s="90" t="n"/>
      <c r="I580" s="90" t="n"/>
      <c r="J580" s="90" t="n"/>
      <c r="K580" s="1113" t="n"/>
      <c r="L580" s="90" t="n"/>
      <c r="M580" s="90" t="n"/>
      <c r="N580" s="90" t="n"/>
      <c r="O580" s="90" t="n"/>
      <c r="P580" s="1113" t="n"/>
      <c r="Q580" s="90" t="n"/>
      <c r="R580" s="90" t="n"/>
      <c r="S580" s="90" t="n"/>
      <c r="T580" s="90" t="n"/>
      <c r="U580" s="1113" t="n"/>
      <c r="V580" s="90" t="n"/>
      <c r="W580" s="90" t="n"/>
      <c r="X580" s="90" t="n"/>
      <c r="Y580" s="90" t="n"/>
      <c r="Z580" s="1113" t="n"/>
      <c r="AA580" s="90" t="n"/>
      <c r="AB580" s="90" t="n"/>
      <c r="AC580" s="90" t="n"/>
      <c r="AD580" s="90" t="n"/>
      <c r="AE580" s="1113" t="n"/>
      <c r="AF580" s="90" t="n"/>
      <c r="AG580" s="90" t="n"/>
      <c r="AH580" s="90">
        <f>IF(AH572="","",AH572/AC573-1)</f>
        <v/>
      </c>
      <c r="AI580" s="90">
        <f>IF(AI572="","",AI572/AD573-1)</f>
        <v/>
      </c>
      <c r="AJ580" s="1113">
        <f>IF(AJ572="","",AJ572/AE573-1)</f>
        <v/>
      </c>
      <c r="AK580" s="90">
        <f>IF(AK572="","",AK572/AF573-1)</f>
        <v/>
      </c>
      <c r="AL580" s="90">
        <f>IF(AL572="","",AL572/AG573-1)</f>
        <v/>
      </c>
      <c r="AM580" s="90">
        <f>IF(AM572="","",AM572/AH573-1)</f>
        <v/>
      </c>
      <c r="AN580" s="90">
        <f>IF(AN572="","",AN572/AI573-1)</f>
        <v/>
      </c>
      <c r="AO580" s="1113">
        <f>IF(AO572="","",AO572/AJ573-1)</f>
        <v/>
      </c>
      <c r="AP580" s="90">
        <f>IF(AP572="","",AP572/AK573-1)</f>
        <v/>
      </c>
      <c r="AQ580" s="90">
        <f>IF(AQ572="","",AQ572/AL573-1)</f>
        <v/>
      </c>
      <c r="AR580" s="90">
        <f>IF(AR572="","",AR572/AM573-1)</f>
        <v/>
      </c>
      <c r="AS580" s="90">
        <f>IF(AS572="","",AS572/AN573-1)</f>
        <v/>
      </c>
      <c r="AT580" s="1113">
        <f>IF(AT572="","",AT572/AO573-1)</f>
        <v/>
      </c>
      <c r="AU580" s="90">
        <f>IF(AU572="","",AU572/AP573-1)</f>
        <v/>
      </c>
      <c r="AV580" s="90">
        <f>IF(AV572="","",AV572/AQ573-1)</f>
        <v/>
      </c>
      <c r="AW580" s="90">
        <f>IF(AW572="","",AW572/AR573-1)</f>
        <v/>
      </c>
      <c r="AX580" s="90">
        <f>IF(AX572="","",AX572/AS573-1)</f>
        <v/>
      </c>
      <c r="AY580" s="1113">
        <f>IF(AY572="","",AY572/AT573-1)</f>
        <v/>
      </c>
      <c r="AZ580" s="90">
        <f>IF(AZ572="","",AZ572/AU573-1)</f>
        <v/>
      </c>
      <c r="BA580" s="90">
        <f>IF(BA572="","",BA572/AV573-1)</f>
        <v/>
      </c>
      <c r="BB580" s="90">
        <f>IF(BB572="","",BB572/AW573-1)</f>
        <v/>
      </c>
      <c r="BC580" s="90">
        <f>IF(BC572="","",BC572/AX573-1)</f>
        <v/>
      </c>
      <c r="BD580" s="1113">
        <f>IF(BD572="","",BD572/AY573-1)</f>
        <v/>
      </c>
      <c r="BE580" s="90">
        <f>IF(BE572="","",BE572/AZ573-1)</f>
        <v/>
      </c>
      <c r="BF580" s="90">
        <f>IF(BF572="","",BF572/BA573-1)</f>
        <v/>
      </c>
      <c r="BG580" s="90">
        <f>IF(BG572="","",BG572/BB573-1)</f>
        <v/>
      </c>
      <c r="BH580" s="90">
        <f>IF(BH572="","",BH572/BC573-1)</f>
        <v/>
      </c>
      <c r="BI580" s="1113">
        <f>IF(BI572="","",BI572/BD573-1)</f>
        <v/>
      </c>
      <c r="BJ580" s="90">
        <f>IF(BJ572="","",BJ572/BE573-1)</f>
        <v/>
      </c>
      <c r="BK580" s="90">
        <f>IF(BK572="","",BK572/BF573-1)</f>
        <v/>
      </c>
      <c r="BL580" s="90">
        <f>IF(BL572="","",BL572/BG573-1)</f>
        <v/>
      </c>
      <c r="BM580" s="90">
        <f>IF(BM572="","",BM572/BH573-1)</f>
        <v/>
      </c>
      <c r="BN580" s="1113">
        <f>IF(BN572="","",BN572/BI573-1)</f>
        <v/>
      </c>
      <c r="BO580" s="90">
        <f>IF(BO572="","",BO572/BJ573-1)</f>
        <v/>
      </c>
      <c r="BP580" s="90">
        <f>IF(BP572="","",BP572/BK573-1)</f>
        <v/>
      </c>
      <c r="BQ580" s="90">
        <f>IF(BQ572="","",BQ572/BL573-1)</f>
        <v/>
      </c>
      <c r="BR580" s="90">
        <f>IF(BR572="","",BR572/BM573-1)</f>
        <v/>
      </c>
      <c r="BS580" s="1113">
        <f>IF(BS572="","",BS572/BN573-1)</f>
        <v/>
      </c>
      <c r="BT580" s="90">
        <f>IF(BT572="","",BT572/BO573-1)</f>
        <v/>
      </c>
      <c r="BU580" s="90">
        <f>IF(BU572="","",BU572/BP573-1)</f>
        <v/>
      </c>
      <c r="BV580" s="880">
        <f>IF(BV572="","",BV572/BQ573-1)</f>
        <v/>
      </c>
      <c r="BW580" s="90">
        <f>IF(BW572="","",BW572/BR573-1)</f>
        <v/>
      </c>
      <c r="BX580" s="1113">
        <f>IF(BX572="","",BX572/BS573-1)</f>
        <v/>
      </c>
      <c r="BY580" s="90">
        <f>IF(BY572="","",BY572/BT573-1)</f>
        <v/>
      </c>
      <c r="BZ580" s="90">
        <f>IF(BZ572="","",BZ572/BU573-1)</f>
        <v/>
      </c>
      <c r="CA580" s="90">
        <f>IF(CA572="","",CA572/BV573-1)</f>
        <v/>
      </c>
      <c r="CB580" s="90">
        <f>IF(CB572="","",CB572/BW573-1)</f>
        <v/>
      </c>
      <c r="CC580" s="1113">
        <f>IF(CC572="","",CC572/BX573-1)</f>
        <v/>
      </c>
      <c r="CD580" s="1113" t="n"/>
      <c r="CE580" s="1113" t="n"/>
      <c r="CF580" s="1113" t="n"/>
      <c r="CG580" s="93" t="n"/>
    </row>
    <row r="581" hidden="1" outlineLevel="1" ht="15" customHeight="1">
      <c r="A581" s="806" t="inlineStr">
        <is>
          <t>Y/Y beat/(miss) revenue growth, %</t>
        </is>
      </c>
      <c r="B581" s="804" t="n"/>
      <c r="C581" s="1194" t="n"/>
      <c r="D581" s="1194" t="n"/>
      <c r="E581" s="1194" t="n"/>
      <c r="F581" s="1194" t="n"/>
      <c r="G581" s="805" t="n"/>
      <c r="H581" s="805" t="n"/>
      <c r="I581" s="805" t="n"/>
      <c r="J581" s="805" t="n"/>
      <c r="K581" s="1194" t="n"/>
      <c r="L581" s="805" t="n"/>
      <c r="M581" s="805" t="n"/>
      <c r="N581" s="805" t="n"/>
      <c r="O581" s="805" t="n"/>
      <c r="P581" s="1194" t="n"/>
      <c r="Q581" s="805" t="n"/>
      <c r="R581" s="805" t="n"/>
      <c r="S581" s="805" t="n"/>
      <c r="T581" s="805" t="n"/>
      <c r="U581" s="1194" t="n"/>
      <c r="V581" s="805" t="n"/>
      <c r="W581" s="805" t="n"/>
      <c r="X581" s="805" t="n"/>
      <c r="Y581" s="805" t="n"/>
      <c r="Z581" s="1194" t="n"/>
      <c r="AA581" s="805" t="n"/>
      <c r="AB581" s="805" t="n"/>
      <c r="AC581" s="805" t="n"/>
      <c r="AD581" s="805" t="n"/>
      <c r="AE581" s="1194" t="n"/>
      <c r="AF581" s="805" t="n"/>
      <c r="AG581" s="805" t="n"/>
      <c r="AH581" s="805">
        <f>IF(AH574="","",AH574/AC573)</f>
        <v/>
      </c>
      <c r="AI581" s="805">
        <f>IF(AI574="","",AI574/AD573)</f>
        <v/>
      </c>
      <c r="AJ581" s="1194">
        <f>IF(AJ574="","",AJ574/AE573)</f>
        <v/>
      </c>
      <c r="AK581" s="805">
        <f>IF(AK574="","",AK574/AF573)</f>
        <v/>
      </c>
      <c r="AL581" s="805">
        <f>IF(AL574="","",AL574/AG573)</f>
        <v/>
      </c>
      <c r="AM581" s="805">
        <f>IF(AM574="","",AM574/AH573)</f>
        <v/>
      </c>
      <c r="AN581" s="805">
        <f>IF(AN574="","",AN574/AI573)</f>
        <v/>
      </c>
      <c r="AO581" s="1194">
        <f>IF(AO574="","",AO574/AJ573)</f>
        <v/>
      </c>
      <c r="AP581" s="805">
        <f>IF(AP574="","",AP574/AK573)</f>
        <v/>
      </c>
      <c r="AQ581" s="805">
        <f>IF(AQ574="","",AQ574/AL573)</f>
        <v/>
      </c>
      <c r="AR581" s="805">
        <f>IF(AR574="","",AR574/AM573)</f>
        <v/>
      </c>
      <c r="AS581" s="805">
        <f>IF(AS574="","",AS574/AN573)</f>
        <v/>
      </c>
      <c r="AT581" s="1194">
        <f>IF(AT574="","",AT574/AO573)</f>
        <v/>
      </c>
      <c r="AU581" s="805">
        <f>IF(AU574="","",AU574/AP573)</f>
        <v/>
      </c>
      <c r="AV581" s="805">
        <f>IF(AV574="","",AV574/AQ573)</f>
        <v/>
      </c>
      <c r="AW581" s="805">
        <f>IF(AW574="","",AW574/AR573)</f>
        <v/>
      </c>
      <c r="AX581" s="805">
        <f>IF(AX574="","",AX574/AS573)</f>
        <v/>
      </c>
      <c r="AY581" s="1194">
        <f>IF(AY574="","",AY574/AT573)</f>
        <v/>
      </c>
      <c r="AZ581" s="805">
        <f>IF(AZ574="","",AZ574/AU573)</f>
        <v/>
      </c>
      <c r="BA581" s="805">
        <f>IF(BA574="","",BA574/AV573)</f>
        <v/>
      </c>
      <c r="BB581" s="805">
        <f>IF(BB574="","",BB574/AW573)</f>
        <v/>
      </c>
      <c r="BC581" s="805">
        <f>IF(BC574="","",BC574/AX573)</f>
        <v/>
      </c>
      <c r="BD581" s="1194">
        <f>IF(BD574="","",BD574/AY573)</f>
        <v/>
      </c>
      <c r="BE581" s="805">
        <f>IF(BE574="","",BE574/AZ573)</f>
        <v/>
      </c>
      <c r="BF581" s="805">
        <f>IF(BF574="","",BF574/BA573)</f>
        <v/>
      </c>
      <c r="BG581" s="805">
        <f>IF(BG574="","",BG574/BB573)</f>
        <v/>
      </c>
      <c r="BH581" s="805">
        <f>IF(BH574="","",BH574/BC573)</f>
        <v/>
      </c>
      <c r="BI581" s="1194">
        <f>IF(BI574="","",BI574/BD573)</f>
        <v/>
      </c>
      <c r="BJ581" s="805">
        <f>IF(BJ574="","",BJ574/BE573)</f>
        <v/>
      </c>
      <c r="BK581" s="805">
        <f>IF(BK574="","",BK574/BF573)</f>
        <v/>
      </c>
      <c r="BL581" s="805">
        <f>IF(BL574="","",BL574/BG573)</f>
        <v/>
      </c>
      <c r="BM581" s="805">
        <f>IF(BM574="","",BM574/BH573)</f>
        <v/>
      </c>
      <c r="BN581" s="1194">
        <f>IF(BN574="","",BN574/BI573)</f>
        <v/>
      </c>
      <c r="BO581" s="805">
        <f>IF(BO574="","",BO574/BJ573)</f>
        <v/>
      </c>
      <c r="BP581" s="805">
        <f>IF(BP574="","",BP574/BK573)</f>
        <v/>
      </c>
      <c r="BQ581" s="805">
        <f>IF(BQ574="","",BQ574/BL573)</f>
        <v/>
      </c>
      <c r="BR581" s="805">
        <f>IF(BR574="","",BR574/BM573)</f>
        <v/>
      </c>
      <c r="BS581" s="1194">
        <f>IF(BS574="","",BS574/BN573)</f>
        <v/>
      </c>
      <c r="BT581" s="805">
        <f>IF(BT574="","",BT574/BO573)</f>
        <v/>
      </c>
      <c r="BU581" s="805">
        <f>IF(BU574="","",BU574/BP573)</f>
        <v/>
      </c>
      <c r="BV581" s="910">
        <f>IF(BV574="","",BV574/BQ573)</f>
        <v/>
      </c>
      <c r="BW581" s="805">
        <f>IF(BW574="","",BW574/BR573)</f>
        <v/>
      </c>
      <c r="BX581" s="1194">
        <f>IF(BX574="","",BX574/BS573)</f>
        <v/>
      </c>
      <c r="BY581" s="805">
        <f>IF(BY574="","",BY574/BT573)</f>
        <v/>
      </c>
      <c r="BZ581" s="805">
        <f>IF(BZ574="","",BZ574/BU573)</f>
        <v/>
      </c>
      <c r="CA581" s="805">
        <f>IF(CA574="","",CA574/BV573)</f>
        <v/>
      </c>
      <c r="CB581" s="805">
        <f>IF(CB574="","",CB574/BW573)</f>
        <v/>
      </c>
      <c r="CC581" s="1194">
        <f>IF(CC574="","",CC574/BX573)</f>
        <v/>
      </c>
      <c r="CD581" s="1194" t="n"/>
      <c r="CE581" s="1194" t="n"/>
      <c r="CF581" s="1194" t="n"/>
      <c r="CG581" s="93" t="n"/>
    </row>
    <row r="582" hidden="1" outlineLevel="1" ht="15" customHeight="1">
      <c r="A582" s="809" t="inlineStr">
        <is>
          <t>Y/Y revenue growth, %</t>
        </is>
      </c>
      <c r="B582" s="807" t="n"/>
      <c r="C582" s="1195" t="n"/>
      <c r="D582" s="1195" t="n"/>
      <c r="E582" s="1195" t="n"/>
      <c r="F582" s="1195" t="n"/>
      <c r="G582" s="808" t="n"/>
      <c r="H582" s="808" t="n"/>
      <c r="I582" s="808" t="n"/>
      <c r="J582" s="808" t="n"/>
      <c r="K582" s="1195" t="n"/>
      <c r="L582" s="808" t="n"/>
      <c r="M582" s="808" t="n"/>
      <c r="N582" s="808" t="n"/>
      <c r="O582" s="808" t="n"/>
      <c r="P582" s="1195" t="n"/>
      <c r="Q582" s="808" t="n"/>
      <c r="R582" s="808" t="n"/>
      <c r="S582" s="808" t="n"/>
      <c r="T582" s="808" t="n"/>
      <c r="U582" s="1195" t="n"/>
      <c r="V582" s="808" t="n"/>
      <c r="W582" s="808" t="n"/>
      <c r="X582" s="808" t="n"/>
      <c r="Y582" s="808" t="n"/>
      <c r="Z582" s="1195" t="n"/>
      <c r="AA582" s="808" t="n"/>
      <c r="AB582" s="808" t="n"/>
      <c r="AC582" s="808" t="n"/>
      <c r="AD582" s="808" t="n"/>
      <c r="AE582" s="1195" t="n"/>
      <c r="AF582" s="808" t="n"/>
      <c r="AG582" s="808" t="n"/>
      <c r="AH582" s="808">
        <f>AH573/AC573-1</f>
        <v/>
      </c>
      <c r="AI582" s="808">
        <f>AI573/AD573-1</f>
        <v/>
      </c>
      <c r="AJ582" s="1195">
        <f>AJ573/AE573-1</f>
        <v/>
      </c>
      <c r="AK582" s="808">
        <f>AK573/AF573-1</f>
        <v/>
      </c>
      <c r="AL582" s="808">
        <f>AL573/AG573-1</f>
        <v/>
      </c>
      <c r="AM582" s="808">
        <f>AM573/AH573-1</f>
        <v/>
      </c>
      <c r="AN582" s="808">
        <f>AN573/AI573-1</f>
        <v/>
      </c>
      <c r="AO582" s="1195">
        <f>AO573/AJ573-1</f>
        <v/>
      </c>
      <c r="AP582" s="808">
        <f>AP573/AK573-1</f>
        <v/>
      </c>
      <c r="AQ582" s="808">
        <f>AQ573/AL573-1</f>
        <v/>
      </c>
      <c r="AR582" s="808">
        <f>AR573/AM573-1</f>
        <v/>
      </c>
      <c r="AS582" s="808">
        <f>AS573/AN573-1</f>
        <v/>
      </c>
      <c r="AT582" s="1195">
        <f>AT573/AO573-1</f>
        <v/>
      </c>
      <c r="AU582" s="808">
        <f>AU573/AP573-1</f>
        <v/>
      </c>
      <c r="AV582" s="808">
        <f>AV573/AQ573-1</f>
        <v/>
      </c>
      <c r="AW582" s="808">
        <f>AW573/AR573-1</f>
        <v/>
      </c>
      <c r="AX582" s="808">
        <f>AX573/AS573-1</f>
        <v/>
      </c>
      <c r="AY582" s="1195">
        <f>AY573/AT573-1</f>
        <v/>
      </c>
      <c r="AZ582" s="808">
        <f>AZ573/AU573-1</f>
        <v/>
      </c>
      <c r="BA582" s="808">
        <f>BA573/AV573-1</f>
        <v/>
      </c>
      <c r="BB582" s="808">
        <f>BB573/AW573-1</f>
        <v/>
      </c>
      <c r="BC582" s="808">
        <f>BC573/AX573-1</f>
        <v/>
      </c>
      <c r="BD582" s="1195">
        <f>BD573/AY573-1</f>
        <v/>
      </c>
      <c r="BE582" s="808">
        <f>BE573/AZ573-1</f>
        <v/>
      </c>
      <c r="BF582" s="808">
        <f>BF573/BA573-1</f>
        <v/>
      </c>
      <c r="BG582" s="808">
        <f>BG573/BB573-1</f>
        <v/>
      </c>
      <c r="BH582" s="808">
        <f>BH573/BC573-1</f>
        <v/>
      </c>
      <c r="BI582" s="1195">
        <f>BI573/BD573-1</f>
        <v/>
      </c>
      <c r="BJ582" s="808">
        <f>BJ573/BE573-1</f>
        <v/>
      </c>
      <c r="BK582" s="808">
        <f>BK573/BF573-1</f>
        <v/>
      </c>
      <c r="BL582" s="808">
        <f>BL573/BG573-1</f>
        <v/>
      </c>
      <c r="BM582" s="808">
        <f>BM573/BH573-1</f>
        <v/>
      </c>
      <c r="BN582" s="1195">
        <f>BN573/BI573-1</f>
        <v/>
      </c>
      <c r="BO582" s="808">
        <f>BO573/BJ573-1</f>
        <v/>
      </c>
      <c r="BP582" s="808">
        <f>BP573/BK573-1</f>
        <v/>
      </c>
      <c r="BQ582" s="808">
        <f>BQ573/BL573-1</f>
        <v/>
      </c>
      <c r="BR582" s="808">
        <f>BR573/BM573-1</f>
        <v/>
      </c>
      <c r="BS582" s="1195">
        <f>BS573/BN573-1</f>
        <v/>
      </c>
      <c r="BT582" s="808">
        <f>BT573/BO573-1</f>
        <v/>
      </c>
      <c r="BU582" s="808">
        <f>BU573/BP573-1</f>
        <v/>
      </c>
      <c r="BV582" s="911">
        <f>BV573/BQ573-1</f>
        <v/>
      </c>
      <c r="BW582" s="808">
        <f>BW573/BR573-1</f>
        <v/>
      </c>
      <c r="BX582" s="1195">
        <f>BX573/BS573-1</f>
        <v/>
      </c>
      <c r="BY582" s="808">
        <f>BY573/BT573-1</f>
        <v/>
      </c>
      <c r="BZ582" s="808">
        <f>BZ573/BU573-1</f>
        <v/>
      </c>
      <c r="CA582" s="808">
        <f>CA573/BV573-1</f>
        <v/>
      </c>
      <c r="CB582" s="808">
        <f>CB573/BW573-1</f>
        <v/>
      </c>
      <c r="CC582" s="1195">
        <f>CC573/BX573-1</f>
        <v/>
      </c>
      <c r="CD582" s="1195">
        <f>CD573/CC573-1</f>
        <v/>
      </c>
      <c r="CE582" s="1195">
        <f>CE573/CD573-1</f>
        <v/>
      </c>
      <c r="CF582" s="1195">
        <f>CF573/CE573-1</f>
        <v/>
      </c>
      <c r="CG582" s="93" t="n"/>
    </row>
    <row r="583" hidden="1" outlineLevel="2" ht="15" customHeight="1">
      <c r="A583" s="799" t="n"/>
      <c r="B583" s="428" t="n"/>
      <c r="C583" s="1134" t="n"/>
      <c r="D583" s="1134" t="n"/>
      <c r="E583" s="1134" t="n"/>
      <c r="F583" s="1134" t="n"/>
      <c r="G583" s="93" t="n"/>
      <c r="H583" s="93" t="n"/>
      <c r="I583" s="93" t="n"/>
      <c r="J583" s="93" t="n"/>
      <c r="K583" s="1134" t="n"/>
      <c r="L583" s="93" t="n"/>
      <c r="M583" s="93" t="n"/>
      <c r="N583" s="93" t="n"/>
      <c r="O583" s="93" t="n"/>
      <c r="P583" s="1134" t="n"/>
      <c r="Q583" s="93" t="n"/>
      <c r="R583" s="93" t="n"/>
      <c r="S583" s="93" t="n"/>
      <c r="T583" s="93" t="n"/>
      <c r="U583" s="1134" t="n"/>
      <c r="V583" s="93" t="n"/>
      <c r="W583" s="93" t="n"/>
      <c r="X583" s="93" t="n"/>
      <c r="Y583" s="93" t="n"/>
      <c r="Z583" s="1134" t="n"/>
      <c r="AA583" s="93" t="n"/>
      <c r="AB583" s="93" t="n"/>
      <c r="AC583" s="93" t="n"/>
      <c r="AD583" s="93" t="n"/>
      <c r="AE583" s="1134" t="n"/>
      <c r="AF583" s="93" t="n"/>
      <c r="AG583" s="93" t="n"/>
      <c r="AH583" s="93" t="n"/>
      <c r="AI583" s="93" t="n"/>
      <c r="AJ583" s="1134" t="n"/>
      <c r="AK583" s="93" t="n"/>
      <c r="AL583" s="93" t="n"/>
      <c r="AM583" s="93" t="n"/>
      <c r="AN583" s="93" t="n"/>
      <c r="AO583" s="1134" t="n"/>
      <c r="AP583" s="93" t="n"/>
      <c r="AQ583" s="93" t="n"/>
      <c r="AR583" s="93" t="n"/>
      <c r="AS583" s="93" t="n"/>
      <c r="AT583" s="1134" t="n"/>
      <c r="AU583" s="93" t="n"/>
      <c r="AV583" s="93" t="n"/>
      <c r="AW583" s="93" t="n"/>
      <c r="AX583" s="93" t="n"/>
      <c r="AY583" s="1134" t="n"/>
      <c r="AZ583" s="93" t="n"/>
      <c r="BA583" s="93" t="n"/>
      <c r="BB583" s="93" t="n"/>
      <c r="BC583" s="93" t="n"/>
      <c r="BD583" s="1134" t="n"/>
      <c r="BE583" s="93" t="n"/>
      <c r="BF583" s="93" t="n"/>
      <c r="BG583" s="93" t="n"/>
      <c r="BH583" s="93" t="n"/>
      <c r="BI583" s="1134" t="n"/>
      <c r="BJ583" s="93" t="n"/>
      <c r="BK583" s="93" t="n"/>
      <c r="BL583" s="93" t="n"/>
      <c r="BM583" s="93" t="n"/>
      <c r="BN583" s="1134" t="n"/>
      <c r="BO583" s="93" t="n"/>
      <c r="BP583" s="93" t="n"/>
      <c r="BQ583" s="93" t="n"/>
      <c r="BR583" s="93" t="n"/>
      <c r="BS583" s="1134" t="n"/>
      <c r="BT583" s="93" t="n"/>
      <c r="BU583" s="93" t="n"/>
      <c r="BV583" s="522" t="n"/>
      <c r="BW583" s="93" t="n"/>
      <c r="BX583" s="1134" t="n"/>
      <c r="BY583" s="93" t="n"/>
      <c r="BZ583" s="93" t="n"/>
      <c r="CA583" s="93" t="n"/>
      <c r="CB583" s="93" t="n"/>
      <c r="CC583" s="1134" t="n"/>
      <c r="CD583" s="1134" t="n"/>
      <c r="CE583" s="1134" t="n"/>
      <c r="CF583" s="1134" t="n"/>
      <c r="CG583" s="93" t="n"/>
    </row>
    <row r="584" hidden="1" outlineLevel="2" ht="15" customHeight="1">
      <c r="A584" s="605" t="inlineStr">
        <is>
          <t>Forward guidance - report date, date</t>
        </is>
      </c>
      <c r="B584" s="428" t="n"/>
      <c r="C584" s="1425" t="n"/>
      <c r="D584" s="1425" t="n"/>
      <c r="E584" s="1425" t="n"/>
      <c r="F584" s="1425" t="n"/>
      <c r="G584" s="1426" t="n"/>
      <c r="H584" s="1426" t="n"/>
      <c r="I584" s="1426" t="n"/>
      <c r="J584" s="1426" t="n"/>
      <c r="K584" s="1425" t="n"/>
      <c r="L584" s="1426" t="n"/>
      <c r="M584" s="1426" t="n"/>
      <c r="N584" s="1426" t="n"/>
      <c r="O584" s="1426" t="n"/>
      <c r="P584" s="1425" t="n"/>
      <c r="Q584" s="1426" t="n"/>
      <c r="R584" s="1426" t="n"/>
      <c r="S584" s="1426" t="n"/>
      <c r="T584" s="1426" t="n"/>
      <c r="U584" s="1425" t="n"/>
      <c r="V584" s="1426" t="n"/>
      <c r="W584" s="1426" t="n"/>
      <c r="X584" s="1426" t="n"/>
      <c r="Y584" s="1426" t="n"/>
      <c r="Z584" s="1425" t="n"/>
      <c r="AA584" s="1426" t="n"/>
      <c r="AB584" s="1426" t="n"/>
      <c r="AC584" s="1426" t="n"/>
      <c r="AD584" s="1426" t="n"/>
      <c r="AE584" s="1425" t="n"/>
      <c r="AF584" s="1426" t="n"/>
      <c r="AG584" s="1426" t="n"/>
      <c r="AH584" s="1426">
        <f>AH1082</f>
        <v/>
      </c>
      <c r="AI584" s="1426">
        <f>AI1082</f>
        <v/>
      </c>
      <c r="AJ584" s="1425">
        <f>AJ1082</f>
        <v/>
      </c>
      <c r="AK584" s="1426">
        <f>AK1082</f>
        <v/>
      </c>
      <c r="AL584" s="1426">
        <f>AL1082</f>
        <v/>
      </c>
      <c r="AM584" s="1426">
        <f>AM1082</f>
        <v/>
      </c>
      <c r="AN584" s="1426">
        <f>AN1082</f>
        <v/>
      </c>
      <c r="AO584" s="1425">
        <f>AO1082</f>
        <v/>
      </c>
      <c r="AP584" s="1426">
        <f>AP1082</f>
        <v/>
      </c>
      <c r="AQ584" s="1426">
        <f>AQ1082</f>
        <v/>
      </c>
      <c r="AR584" s="1426">
        <f>AR1082</f>
        <v/>
      </c>
      <c r="AS584" s="1426">
        <f>AS1082</f>
        <v/>
      </c>
      <c r="AT584" s="1425">
        <f>AT1082</f>
        <v/>
      </c>
      <c r="AU584" s="1426">
        <f>AU1082</f>
        <v/>
      </c>
      <c r="AV584" s="1426">
        <f>AV1082</f>
        <v/>
      </c>
      <c r="AW584" s="1426">
        <f>AW1082</f>
        <v/>
      </c>
      <c r="AX584" s="1426">
        <f>AX1082</f>
        <v/>
      </c>
      <c r="AY584" s="1425">
        <f>AY1082</f>
        <v/>
      </c>
      <c r="AZ584" s="1426">
        <f>AZ1082</f>
        <v/>
      </c>
      <c r="BA584" s="1426">
        <f>BA1082</f>
        <v/>
      </c>
      <c r="BB584" s="1426">
        <f>BB1082</f>
        <v/>
      </c>
      <c r="BC584" s="1426">
        <f>BC1082</f>
        <v/>
      </c>
      <c r="BD584" s="1425">
        <f>BD1082</f>
        <v/>
      </c>
      <c r="BE584" s="1426">
        <f>BE1082</f>
        <v/>
      </c>
      <c r="BF584" s="1426">
        <f>BF1082</f>
        <v/>
      </c>
      <c r="BG584" s="1426">
        <f>BG1082</f>
        <v/>
      </c>
      <c r="BH584" s="1426">
        <f>BH1082</f>
        <v/>
      </c>
      <c r="BI584" s="1425">
        <f>BI1082</f>
        <v/>
      </c>
      <c r="BJ584" s="1426">
        <f>BJ1082</f>
        <v/>
      </c>
      <c r="BK584" s="1426">
        <f>BK1082</f>
        <v/>
      </c>
      <c r="BL584" s="1426">
        <f>BL1082</f>
        <v/>
      </c>
      <c r="BM584" s="1426">
        <f>BM1082</f>
        <v/>
      </c>
      <c r="BN584" s="1425">
        <f>BN1082</f>
        <v/>
      </c>
      <c r="BO584" s="1426">
        <f>BO1082</f>
        <v/>
      </c>
      <c r="BP584" s="1426">
        <f>BP1082</f>
        <v/>
      </c>
      <c r="BQ584" s="1426">
        <f>BQ1082</f>
        <v/>
      </c>
      <c r="BR584" s="1426">
        <f>BR1082</f>
        <v/>
      </c>
      <c r="BS584" s="1425">
        <f>BS1082</f>
        <v/>
      </c>
      <c r="BT584" s="1426">
        <f>BT1082</f>
        <v/>
      </c>
      <c r="BU584" s="1426">
        <f>BU1082</f>
        <v/>
      </c>
      <c r="BV584" s="1427">
        <f>BV1082</f>
        <v/>
      </c>
      <c r="BW584" s="1426" t="n"/>
      <c r="BX584" s="1425" t="n"/>
      <c r="BY584" s="1426" t="n"/>
      <c r="BZ584" s="1426" t="n"/>
      <c r="CA584" s="1426" t="n"/>
      <c r="CB584" s="1426" t="n"/>
      <c r="CC584" s="1425" t="n"/>
      <c r="CD584" s="1425" t="n"/>
      <c r="CE584" s="1425" t="n"/>
      <c r="CF584" s="1425" t="n"/>
      <c r="CG584" s="93" t="n"/>
    </row>
    <row r="585" hidden="1" outlineLevel="2" ht="15" customHeight="1">
      <c r="A585" s="803" t="inlineStr">
        <is>
          <t>Forward quarterly guidance - applicable period, period</t>
        </is>
      </c>
      <c r="B585" s="801" t="n"/>
      <c r="C585" s="1193" t="n"/>
      <c r="D585" s="1193" t="n"/>
      <c r="E585" s="1193" t="n"/>
      <c r="F585" s="1193" t="n"/>
      <c r="G585" s="802" t="n"/>
      <c r="H585" s="802" t="n"/>
      <c r="I585" s="802" t="n"/>
      <c r="J585" s="802" t="n"/>
      <c r="K585" s="1193" t="n"/>
      <c r="L585" s="802" t="n"/>
      <c r="M585" s="802" t="n"/>
      <c r="N585" s="802" t="n"/>
      <c r="O585" s="802" t="n"/>
      <c r="P585" s="1193" t="n"/>
      <c r="Q585" s="802" t="n"/>
      <c r="R585" s="802" t="n"/>
      <c r="S585" s="802" t="n"/>
      <c r="T585" s="802" t="n"/>
      <c r="U585" s="1193" t="n"/>
      <c r="V585" s="802" t="n"/>
      <c r="W585" s="802" t="n"/>
      <c r="X585" s="802" t="n"/>
      <c r="Y585" s="802" t="n"/>
      <c r="Z585" s="1193" t="n"/>
      <c r="AA585" s="802" t="n"/>
      <c r="AB585" s="802" t="n"/>
      <c r="AC585" s="802" t="n"/>
      <c r="AD585" s="802" t="n"/>
      <c r="AE585" s="1193" t="n"/>
      <c r="AF585" s="802" t="n"/>
      <c r="AG585" s="802" t="n"/>
      <c r="AH585" s="802">
        <f>AI5</f>
        <v/>
      </c>
      <c r="AI585" s="802">
        <f>AK5</f>
        <v/>
      </c>
      <c r="AJ585" s="1193">
        <f>AK5</f>
        <v/>
      </c>
      <c r="AK585" s="802">
        <f>AL5</f>
        <v/>
      </c>
      <c r="AL585" s="802">
        <f>AM5</f>
        <v/>
      </c>
      <c r="AM585" s="802">
        <f>AN5</f>
        <v/>
      </c>
      <c r="AN585" s="802">
        <f>AP5</f>
        <v/>
      </c>
      <c r="AO585" s="1193">
        <f>AP5</f>
        <v/>
      </c>
      <c r="AP585" s="802">
        <f>AQ5</f>
        <v/>
      </c>
      <c r="AQ585" s="802">
        <f>AR5</f>
        <v/>
      </c>
      <c r="AR585" s="802">
        <f>AS5</f>
        <v/>
      </c>
      <c r="AS585" s="802">
        <f>AU5</f>
        <v/>
      </c>
      <c r="AT585" s="1193">
        <f>AU5</f>
        <v/>
      </c>
      <c r="AU585" s="802">
        <f>AV5</f>
        <v/>
      </c>
      <c r="AV585" s="802">
        <f>AW5</f>
        <v/>
      </c>
      <c r="AW585" s="802">
        <f>AX5</f>
        <v/>
      </c>
      <c r="AX585" s="802">
        <f>AZ5</f>
        <v/>
      </c>
      <c r="AY585" s="1193">
        <f>AZ5</f>
        <v/>
      </c>
      <c r="AZ585" s="802">
        <f>BA5</f>
        <v/>
      </c>
      <c r="BA585" s="802">
        <f>BB5</f>
        <v/>
      </c>
      <c r="BB585" s="802">
        <f>BC5</f>
        <v/>
      </c>
      <c r="BC585" s="802">
        <f>BE5</f>
        <v/>
      </c>
      <c r="BD585" s="1193">
        <f>BE5</f>
        <v/>
      </c>
      <c r="BE585" s="802">
        <f>BF5</f>
        <v/>
      </c>
      <c r="BF585" s="802">
        <f>BG5</f>
        <v/>
      </c>
      <c r="BG585" s="802">
        <f>BH5</f>
        <v/>
      </c>
      <c r="BH585" s="802">
        <f>BJ5</f>
        <v/>
      </c>
      <c r="BI585" s="1193">
        <f>BJ5</f>
        <v/>
      </c>
      <c r="BJ585" s="802">
        <f>BK5</f>
        <v/>
      </c>
      <c r="BK585" s="802">
        <f>BL5</f>
        <v/>
      </c>
      <c r="BL585" s="802">
        <f>BM5</f>
        <v/>
      </c>
      <c r="BM585" s="802">
        <f>BO5</f>
        <v/>
      </c>
      <c r="BN585" s="1193">
        <f>BO5</f>
        <v/>
      </c>
      <c r="BO585" s="802">
        <f>BP5</f>
        <v/>
      </c>
      <c r="BP585" s="802">
        <f>BQ5</f>
        <v/>
      </c>
      <c r="BQ585" s="802">
        <f>BR5</f>
        <v/>
      </c>
      <c r="BR585" s="802">
        <f>BT5</f>
        <v/>
      </c>
      <c r="BS585" s="1193">
        <f>BT5</f>
        <v/>
      </c>
      <c r="BT585" s="802">
        <f>BU5</f>
        <v/>
      </c>
      <c r="BU585" s="802">
        <f>BV5</f>
        <v/>
      </c>
      <c r="BV585" s="909">
        <f>BW5</f>
        <v/>
      </c>
      <c r="BW585" s="802" t="n"/>
      <c r="BX585" s="1193" t="n"/>
      <c r="BY585" s="802" t="n"/>
      <c r="BZ585" s="802" t="n"/>
      <c r="CA585" s="802" t="n"/>
      <c r="CB585" s="802" t="n"/>
      <c r="CC585" s="1193" t="n"/>
      <c r="CD585" s="1193" t="n"/>
      <c r="CE585" s="1193" t="n"/>
      <c r="CF585" s="1193" t="n"/>
      <c r="CG585" s="93" t="n"/>
    </row>
    <row r="586" hidden="1" outlineLevel="3" ht="15" customHeight="1">
      <c r="A586" s="492" t="inlineStr">
        <is>
          <t>Forward quarterly revenue guidance - low, mm</t>
        </is>
      </c>
      <c r="B586" s="428" t="n"/>
      <c r="C586" s="1134" t="n"/>
      <c r="D586" s="1134" t="n"/>
      <c r="E586" s="1134" t="n"/>
      <c r="F586" s="1134" t="n"/>
      <c r="G586" s="93" t="n"/>
      <c r="H586" s="93" t="n"/>
      <c r="I586" s="93" t="n"/>
      <c r="J586" s="93" t="n"/>
      <c r="K586" s="1134" t="n"/>
      <c r="L586" s="93" t="n"/>
      <c r="M586" s="93" t="n"/>
      <c r="N586" s="93" t="n"/>
      <c r="O586" s="93" t="n"/>
      <c r="P586" s="1134" t="n"/>
      <c r="Q586" s="93" t="n"/>
      <c r="R586" s="93" t="n"/>
      <c r="S586" s="93" t="n"/>
      <c r="T586" s="93" t="n"/>
      <c r="U586" s="1134" t="n"/>
      <c r="V586" s="93" t="n"/>
      <c r="W586" s="93" t="n"/>
      <c r="X586" s="93" t="n"/>
      <c r="Y586" s="93" t="n"/>
      <c r="Z586" s="1134" t="n"/>
      <c r="AA586" s="93" t="n"/>
      <c r="AB586" s="93" t="n"/>
      <c r="AC586" s="93" t="n"/>
      <c r="AD586" s="93" t="n"/>
      <c r="AE586" s="1134" t="n"/>
      <c r="AF586" s="93" t="n"/>
      <c r="AG586" s="93" t="n"/>
      <c r="AH586" s="93">
        <f>+AH1084</f>
        <v/>
      </c>
      <c r="AI586" s="93">
        <f>+AI1084</f>
        <v/>
      </c>
      <c r="AJ586" s="1134">
        <f>+AJ1084</f>
        <v/>
      </c>
      <c r="AK586" s="93">
        <f>+AK1084</f>
        <v/>
      </c>
      <c r="AL586" s="93">
        <f>+AL1084</f>
        <v/>
      </c>
      <c r="AM586" s="93">
        <f>+AM1084</f>
        <v/>
      </c>
      <c r="AN586" s="93">
        <f>+AN1084</f>
        <v/>
      </c>
      <c r="AO586" s="1134">
        <f>+AO1084</f>
        <v/>
      </c>
      <c r="AP586" s="93">
        <f>+AP1084</f>
        <v/>
      </c>
      <c r="AQ586" s="93">
        <f>+AQ1084</f>
        <v/>
      </c>
      <c r="AR586" s="93">
        <f>+AR1084</f>
        <v/>
      </c>
      <c r="AS586" s="93">
        <f>+AS1084</f>
        <v/>
      </c>
      <c r="AT586" s="1134">
        <f>+AT1084</f>
        <v/>
      </c>
      <c r="AU586" s="93">
        <f>+AU1084</f>
        <v/>
      </c>
      <c r="AV586" s="93">
        <f>+AV1084</f>
        <v/>
      </c>
      <c r="AW586" s="93">
        <f>+AW1084</f>
        <v/>
      </c>
      <c r="AX586" s="93">
        <f>+AX1084</f>
        <v/>
      </c>
      <c r="AY586" s="1134">
        <f>+AY1084</f>
        <v/>
      </c>
      <c r="AZ586" s="93">
        <f>+AZ1084</f>
        <v/>
      </c>
      <c r="BA586" s="93">
        <f>+BA1084</f>
        <v/>
      </c>
      <c r="BB586" s="93">
        <f>+BB1084</f>
        <v/>
      </c>
      <c r="BC586" s="93">
        <f>+BC1084</f>
        <v/>
      </c>
      <c r="BD586" s="1134">
        <f>+BD1084</f>
        <v/>
      </c>
      <c r="BE586" s="93">
        <f>+BE1084</f>
        <v/>
      </c>
      <c r="BF586" s="93">
        <f>+BF1084</f>
        <v/>
      </c>
      <c r="BG586" s="93">
        <f>+BG1084</f>
        <v/>
      </c>
      <c r="BH586" s="93">
        <f>+BH1084</f>
        <v/>
      </c>
      <c r="BI586" s="1134">
        <f>+BI1084</f>
        <v/>
      </c>
      <c r="BJ586" s="93">
        <f>+BJ1084</f>
        <v/>
      </c>
      <c r="BK586" s="93">
        <f>+BK1084</f>
        <v/>
      </c>
      <c r="BL586" s="93">
        <f>+BL1084</f>
        <v/>
      </c>
      <c r="BM586" s="93">
        <f>+BM1084</f>
        <v/>
      </c>
      <c r="BN586" s="1134">
        <f>+BN1084</f>
        <v/>
      </c>
      <c r="BO586" s="93">
        <f>+BO1084</f>
        <v/>
      </c>
      <c r="BP586" s="93">
        <f>+BP1084</f>
        <v/>
      </c>
      <c r="BQ586" s="93">
        <f>+BQ1084</f>
        <v/>
      </c>
      <c r="BR586" s="93">
        <f>+BR1084</f>
        <v/>
      </c>
      <c r="BS586" s="1134">
        <f>+BS1084</f>
        <v/>
      </c>
      <c r="BT586" s="93">
        <f>+BT1084</f>
        <v/>
      </c>
      <c r="BU586" s="93">
        <f>+BU1084</f>
        <v/>
      </c>
      <c r="BV586" s="522">
        <f>+BV1084</f>
        <v/>
      </c>
      <c r="BW586" s="93" t="n"/>
      <c r="BX586" s="1134" t="n"/>
      <c r="BY586" s="93" t="n"/>
      <c r="BZ586" s="93" t="n"/>
      <c r="CA586" s="93" t="n"/>
      <c r="CB586" s="93" t="n"/>
      <c r="CC586" s="1134" t="n"/>
      <c r="CD586" s="1134" t="n"/>
      <c r="CE586" s="1134" t="n"/>
      <c r="CF586" s="1134" t="n"/>
      <c r="CG586" s="93" t="n"/>
    </row>
    <row r="587" hidden="1" outlineLevel="3" ht="15" customHeight="1">
      <c r="A587" s="812" t="inlineStr">
        <is>
          <t>Forward quarterly revenue guidance - high, mm</t>
        </is>
      </c>
      <c r="B587" s="718" t="n"/>
      <c r="C587" s="1129" t="n"/>
      <c r="D587" s="1129" t="n"/>
      <c r="E587" s="1129" t="n"/>
      <c r="F587" s="1129" t="n"/>
      <c r="G587" s="983" t="n"/>
      <c r="H587" s="983" t="n"/>
      <c r="I587" s="983" t="n"/>
      <c r="J587" s="983" t="n"/>
      <c r="K587" s="1129" t="n"/>
      <c r="L587" s="983" t="n"/>
      <c r="M587" s="983" t="n"/>
      <c r="N587" s="983" t="n"/>
      <c r="O587" s="983" t="n"/>
      <c r="P587" s="1129" t="n"/>
      <c r="Q587" s="983" t="n"/>
      <c r="R587" s="983" t="n"/>
      <c r="S587" s="983" t="n"/>
      <c r="T587" s="983" t="n"/>
      <c r="U587" s="1129" t="n"/>
      <c r="V587" s="983" t="n"/>
      <c r="W587" s="983" t="n"/>
      <c r="X587" s="983" t="n"/>
      <c r="Y587" s="983" t="n"/>
      <c r="Z587" s="1129" t="n"/>
      <c r="AA587" s="983" t="n"/>
      <c r="AB587" s="983" t="n"/>
      <c r="AC587" s="983" t="n"/>
      <c r="AD587" s="983" t="n"/>
      <c r="AE587" s="1129" t="n"/>
      <c r="AF587" s="983" t="n"/>
      <c r="AG587" s="983" t="n"/>
      <c r="AH587" s="983">
        <f>+AH1085</f>
        <v/>
      </c>
      <c r="AI587" s="983">
        <f>+AI1085</f>
        <v/>
      </c>
      <c r="AJ587" s="1129">
        <f>+AJ1085</f>
        <v/>
      </c>
      <c r="AK587" s="983">
        <f>+AK1085</f>
        <v/>
      </c>
      <c r="AL587" s="983">
        <f>+AL1085</f>
        <v/>
      </c>
      <c r="AM587" s="983">
        <f>+AM1085</f>
        <v/>
      </c>
      <c r="AN587" s="983">
        <f>+AN1085</f>
        <v/>
      </c>
      <c r="AO587" s="1129">
        <f>+AO1085</f>
        <v/>
      </c>
      <c r="AP587" s="983">
        <f>+AP1085</f>
        <v/>
      </c>
      <c r="AQ587" s="983">
        <f>+AQ1085</f>
        <v/>
      </c>
      <c r="AR587" s="983">
        <f>+AR1085</f>
        <v/>
      </c>
      <c r="AS587" s="983">
        <f>+AS1085</f>
        <v/>
      </c>
      <c r="AT587" s="1129">
        <f>+AT1085</f>
        <v/>
      </c>
      <c r="AU587" s="983">
        <f>+AU1085</f>
        <v/>
      </c>
      <c r="AV587" s="983">
        <f>+AV1085</f>
        <v/>
      </c>
      <c r="AW587" s="983">
        <f>+AW1085</f>
        <v/>
      </c>
      <c r="AX587" s="983">
        <f>+AX1085</f>
        <v/>
      </c>
      <c r="AY587" s="1129">
        <f>+AY1085</f>
        <v/>
      </c>
      <c r="AZ587" s="983">
        <f>+AZ1085</f>
        <v/>
      </c>
      <c r="BA587" s="983">
        <f>+BA1085</f>
        <v/>
      </c>
      <c r="BB587" s="983">
        <f>+BB1085</f>
        <v/>
      </c>
      <c r="BC587" s="983">
        <f>+BC1085</f>
        <v/>
      </c>
      <c r="BD587" s="1129">
        <f>+BD1085</f>
        <v/>
      </c>
      <c r="BE587" s="983">
        <f>+BE1085</f>
        <v/>
      </c>
      <c r="BF587" s="983">
        <f>+BF1085</f>
        <v/>
      </c>
      <c r="BG587" s="983">
        <f>+BG1085</f>
        <v/>
      </c>
      <c r="BH587" s="983">
        <f>+BH1085</f>
        <v/>
      </c>
      <c r="BI587" s="1129">
        <f>+BI1085</f>
        <v/>
      </c>
      <c r="BJ587" s="983">
        <f>+BJ1085</f>
        <v/>
      </c>
      <c r="BK587" s="983">
        <f>+BK1085</f>
        <v/>
      </c>
      <c r="BL587" s="983">
        <f>+BL1085</f>
        <v/>
      </c>
      <c r="BM587" s="983">
        <f>+BM1085</f>
        <v/>
      </c>
      <c r="BN587" s="1129">
        <f>+BN1085</f>
        <v/>
      </c>
      <c r="BO587" s="983">
        <f>+BO1085</f>
        <v/>
      </c>
      <c r="BP587" s="983">
        <f>+BP1085</f>
        <v/>
      </c>
      <c r="BQ587" s="983">
        <f>+BQ1085</f>
        <v/>
      </c>
      <c r="BR587" s="983">
        <f>+BR1085</f>
        <v/>
      </c>
      <c r="BS587" s="1129">
        <f>+BS1085</f>
        <v/>
      </c>
      <c r="BT587" s="983">
        <f>+BT1085</f>
        <v/>
      </c>
      <c r="BU587" s="983">
        <f>+BU1085</f>
        <v/>
      </c>
      <c r="BV587" s="984">
        <f>+BV1085</f>
        <v/>
      </c>
      <c r="BW587" s="983" t="n"/>
      <c r="BX587" s="1129" t="n"/>
      <c r="BY587" s="983" t="n"/>
      <c r="BZ587" s="983" t="n"/>
      <c r="CA587" s="983" t="n"/>
      <c r="CB587" s="983" t="n"/>
      <c r="CC587" s="1129" t="n"/>
      <c r="CD587" s="1129" t="n"/>
      <c r="CE587" s="1129" t="n"/>
      <c r="CF587" s="1129" t="n"/>
      <c r="CG587" s="93" t="n"/>
    </row>
    <row r="588" hidden="1" outlineLevel="2" collapsed="1" ht="15" customHeight="1">
      <c r="A588" s="609" t="inlineStr">
        <is>
          <t>Forward quarterly revenue guidance - midpoint, mm</t>
        </is>
      </c>
      <c r="B588" s="610" t="n"/>
      <c r="C588" s="1159" t="n"/>
      <c r="D588" s="1159" t="n"/>
      <c r="E588" s="1159" t="n"/>
      <c r="F588" s="1159" t="n"/>
      <c r="G588" s="378" t="n"/>
      <c r="H588" s="378" t="n"/>
      <c r="I588" s="378" t="n"/>
      <c r="J588" s="378" t="n"/>
      <c r="K588" s="1159" t="n"/>
      <c r="L588" s="378" t="n"/>
      <c r="M588" s="378" t="n"/>
      <c r="N588" s="378" t="n"/>
      <c r="O588" s="378" t="n"/>
      <c r="P588" s="1159" t="n"/>
      <c r="Q588" s="378" t="n"/>
      <c r="R588" s="378" t="n"/>
      <c r="S588" s="378" t="n"/>
      <c r="T588" s="378" t="n"/>
      <c r="U588" s="1159" t="n"/>
      <c r="V588" s="378" t="n"/>
      <c r="W588" s="378" t="n"/>
      <c r="X588" s="378" t="n"/>
      <c r="Y588" s="378" t="n"/>
      <c r="Z588" s="1159" t="n"/>
      <c r="AA588" s="378" t="n"/>
      <c r="AB588" s="378" t="n"/>
      <c r="AC588" s="378" t="n"/>
      <c r="AD588" s="378" t="n"/>
      <c r="AE588" s="1159" t="n"/>
      <c r="AF588" s="378" t="n"/>
      <c r="AG588" s="378" t="n"/>
      <c r="AH588" s="378">
        <f>IFERROR(AVERAGE(AH586,AH587),"")</f>
        <v/>
      </c>
      <c r="AI588" s="378">
        <f>IFERROR(AVERAGE(AI586,AI587),"")</f>
        <v/>
      </c>
      <c r="AJ588" s="1159">
        <f>IFERROR(AVERAGE(AJ586,AJ587),"")</f>
        <v/>
      </c>
      <c r="AK588" s="378">
        <f>IFERROR(AVERAGE(AK586,AK587),"")</f>
        <v/>
      </c>
      <c r="AL588" s="378">
        <f>IFERROR(AVERAGE(AL586,AL587),"")</f>
        <v/>
      </c>
      <c r="AM588" s="378">
        <f>IFERROR(AVERAGE(AM586,AM587),"")</f>
        <v/>
      </c>
      <c r="AN588" s="378">
        <f>IFERROR(AVERAGE(AN586,AN587),"")</f>
        <v/>
      </c>
      <c r="AO588" s="1159">
        <f>IFERROR(AVERAGE(AO586,AO587),"")</f>
        <v/>
      </c>
      <c r="AP588" s="378">
        <f>IFERROR(AVERAGE(AP586,AP587),"")</f>
        <v/>
      </c>
      <c r="AQ588" s="378">
        <f>IFERROR(AVERAGE(AQ586,AQ587),"")</f>
        <v/>
      </c>
      <c r="AR588" s="378">
        <f>IFERROR(AVERAGE(AR586,AR587),"")</f>
        <v/>
      </c>
      <c r="AS588" s="378">
        <f>IFERROR(AVERAGE(AS586,AS587),"")</f>
        <v/>
      </c>
      <c r="AT588" s="1159">
        <f>IFERROR(AVERAGE(AT586,AT587),"")</f>
        <v/>
      </c>
      <c r="AU588" s="378">
        <f>IFERROR(AVERAGE(AU586,AU587),"")</f>
        <v/>
      </c>
      <c r="AV588" s="378">
        <f>IFERROR(AVERAGE(AV586,AV587),"")</f>
        <v/>
      </c>
      <c r="AW588" s="378">
        <f>IFERROR(AVERAGE(AW586,AW587),"")</f>
        <v/>
      </c>
      <c r="AX588" s="378">
        <f>IFERROR(AVERAGE(AX586,AX587),"")</f>
        <v/>
      </c>
      <c r="AY588" s="1159">
        <f>IFERROR(AVERAGE(AY586,AY587),"")</f>
        <v/>
      </c>
      <c r="AZ588" s="378">
        <f>IFERROR(AVERAGE(AZ586,AZ587),"")</f>
        <v/>
      </c>
      <c r="BA588" s="378">
        <f>IFERROR(AVERAGE(BA586,BA587),"")</f>
        <v/>
      </c>
      <c r="BB588" s="378">
        <f>IFERROR(AVERAGE(BB586,BB587),"")</f>
        <v/>
      </c>
      <c r="BC588" s="378">
        <f>IFERROR(AVERAGE(BC586,BC587),"")</f>
        <v/>
      </c>
      <c r="BD588" s="1159">
        <f>IFERROR(AVERAGE(BD586,BD587),"")</f>
        <v/>
      </c>
      <c r="BE588" s="378">
        <f>IFERROR(AVERAGE(BE586,BE587),"")</f>
        <v/>
      </c>
      <c r="BF588" s="378">
        <f>IFERROR(AVERAGE(BF586,BF587),"")</f>
        <v/>
      </c>
      <c r="BG588" s="378">
        <f>IFERROR(AVERAGE(BG586,BG587),"")</f>
        <v/>
      </c>
      <c r="BH588" s="378">
        <f>IFERROR(AVERAGE(BH586,BH587),"")</f>
        <v/>
      </c>
      <c r="BI588" s="1159">
        <f>IFERROR(AVERAGE(BI586,BI587),"")</f>
        <v/>
      </c>
      <c r="BJ588" s="378">
        <f>IFERROR(AVERAGE(BJ586,BJ587),"")</f>
        <v/>
      </c>
      <c r="BK588" s="378">
        <f>IFERROR(AVERAGE(BK586,BK587),"")</f>
        <v/>
      </c>
      <c r="BL588" s="378">
        <f>IFERROR(AVERAGE(BL586,BL587),"")</f>
        <v/>
      </c>
      <c r="BM588" s="378">
        <f>IFERROR(AVERAGE(BM586,BM587),"")</f>
        <v/>
      </c>
      <c r="BN588" s="1159">
        <f>IFERROR(AVERAGE(BN586,BN587),"")</f>
        <v/>
      </c>
      <c r="BO588" s="378">
        <f>IFERROR(AVERAGE(BO586,BO587),"")</f>
        <v/>
      </c>
      <c r="BP588" s="378">
        <f>IFERROR(AVERAGE(BP586,BP587),"")</f>
        <v/>
      </c>
      <c r="BQ588" s="378">
        <f>IFERROR(AVERAGE(BQ586,BQ587),"")</f>
        <v/>
      </c>
      <c r="BR588" s="378">
        <f>IFERROR(AVERAGE(BR586,BR587),"")</f>
        <v/>
      </c>
      <c r="BS588" s="1159">
        <f>IFERROR(AVERAGE(BS586,BS587),"")</f>
        <v/>
      </c>
      <c r="BT588" s="378">
        <f>IFERROR(AVERAGE(BT586,BT587),"")</f>
        <v/>
      </c>
      <c r="BU588" s="378">
        <f>IFERROR(AVERAGE(BU586,BU587),"")</f>
        <v/>
      </c>
      <c r="BV588" s="1037">
        <f>IFERROR(AVERAGE(BV586,BV587),"")</f>
        <v/>
      </c>
      <c r="BW588" s="378" t="n"/>
      <c r="BX588" s="1159" t="n"/>
      <c r="BY588" s="378" t="n"/>
      <c r="BZ588" s="378" t="n"/>
      <c r="CA588" s="378" t="n"/>
      <c r="CB588" s="378" t="n"/>
      <c r="CC588" s="1159" t="n"/>
      <c r="CD588" s="1159" t="n"/>
      <c r="CE588" s="1159" t="n"/>
      <c r="CF588" s="1159" t="n"/>
      <c r="CG588" s="93" t="n"/>
    </row>
    <row r="589" hidden="1" outlineLevel="2" ht="15" customHeight="1">
      <c r="A589" s="492" t="inlineStr">
        <is>
          <t>Forward quarterly revenue guidance variance, mm</t>
        </is>
      </c>
      <c r="B589" s="428" t="n"/>
      <c r="C589" s="1134" t="n"/>
      <c r="D589" s="1134" t="n"/>
      <c r="E589" s="1134" t="n"/>
      <c r="F589" s="1134" t="n"/>
      <c r="G589" s="93" t="n"/>
      <c r="H589" s="93" t="n"/>
      <c r="I589" s="93" t="n"/>
      <c r="J589" s="93" t="n"/>
      <c r="K589" s="1134" t="n"/>
      <c r="L589" s="93" t="n"/>
      <c r="M589" s="93" t="n"/>
      <c r="N589" s="93" t="n"/>
      <c r="O589" s="93" t="n"/>
      <c r="P589" s="1134" t="n"/>
      <c r="Q589" s="93" t="n"/>
      <c r="R589" s="93" t="n"/>
      <c r="S589" s="93" t="n"/>
      <c r="T589" s="93" t="n"/>
      <c r="U589" s="1134" t="n"/>
      <c r="V589" s="93" t="n"/>
      <c r="W589" s="93" t="n"/>
      <c r="X589" s="93" t="n"/>
      <c r="Y589" s="93" t="n"/>
      <c r="Z589" s="1134" t="n"/>
      <c r="AA589" s="93" t="n"/>
      <c r="AB589" s="93" t="n"/>
      <c r="AC589" s="93" t="n"/>
      <c r="AD589" s="93" t="n"/>
      <c r="AE589" s="1134" t="n"/>
      <c r="AF589" s="93" t="n"/>
      <c r="AG589" s="93" t="n"/>
      <c r="AH589" s="93">
        <f>IFERROR(ABS(AH587-AH586),"")</f>
        <v/>
      </c>
      <c r="AI589" s="93">
        <f>IFERROR(ABS(AI587-AI586),"")</f>
        <v/>
      </c>
      <c r="AJ589" s="1134">
        <f>IFERROR(ABS(AJ587-AJ586),"")</f>
        <v/>
      </c>
      <c r="AK589" s="93">
        <f>IFERROR(ABS(AK587-AK586),"")</f>
        <v/>
      </c>
      <c r="AL589" s="93">
        <f>IFERROR(ABS(AL587-AL586),"")</f>
        <v/>
      </c>
      <c r="AM589" s="93">
        <f>IFERROR(ABS(AM587-AM586),"")</f>
        <v/>
      </c>
      <c r="AN589" s="93">
        <f>IFERROR(ABS(AN587-AN586),"")</f>
        <v/>
      </c>
      <c r="AO589" s="1134">
        <f>IFERROR(ABS(AO587-AO586),"")</f>
        <v/>
      </c>
      <c r="AP589" s="93">
        <f>IFERROR(ABS(AP587-AP586),"")</f>
        <v/>
      </c>
      <c r="AQ589" s="93">
        <f>IFERROR(ABS(AQ587-AQ586),"")</f>
        <v/>
      </c>
      <c r="AR589" s="93">
        <f>IFERROR(ABS(AR587-AR586),"")</f>
        <v/>
      </c>
      <c r="AS589" s="93">
        <f>IFERROR(ABS(AS587-AS586),"")</f>
        <v/>
      </c>
      <c r="AT589" s="1134">
        <f>IFERROR(ABS(AT587-AT586),"")</f>
        <v/>
      </c>
      <c r="AU589" s="93">
        <f>IFERROR(ABS(AU587-AU586),"")</f>
        <v/>
      </c>
      <c r="AV589" s="93">
        <f>IFERROR(ABS(AV587-AV586),"")</f>
        <v/>
      </c>
      <c r="AW589" s="93">
        <f>IFERROR(ABS(AW587-AW586),"")</f>
        <v/>
      </c>
      <c r="AX589" s="93">
        <f>IFERROR(ABS(AX587-AX586),"")</f>
        <v/>
      </c>
      <c r="AY589" s="1134">
        <f>IFERROR(ABS(AY587-AY586),"")</f>
        <v/>
      </c>
      <c r="AZ589" s="93">
        <f>IFERROR(ABS(AZ587-AZ586),"")</f>
        <v/>
      </c>
      <c r="BA589" s="93">
        <f>IFERROR(ABS(BA587-BA586),"")</f>
        <v/>
      </c>
      <c r="BB589" s="93">
        <f>IFERROR(ABS(BB587-BB586),"")</f>
        <v/>
      </c>
      <c r="BC589" s="93">
        <f>IFERROR(ABS(BC587-BC586),"")</f>
        <v/>
      </c>
      <c r="BD589" s="1134">
        <f>IFERROR(ABS(BD587-BD586),"")</f>
        <v/>
      </c>
      <c r="BE589" s="93">
        <f>IFERROR(ABS(BE587-BE586),"")</f>
        <v/>
      </c>
      <c r="BF589" s="93">
        <f>IFERROR(ABS(BF587-BF586),"")</f>
        <v/>
      </c>
      <c r="BG589" s="93">
        <f>IFERROR(ABS(BG587-BG586),"")</f>
        <v/>
      </c>
      <c r="BH589" s="93">
        <f>IFERROR(ABS(BH587-BH586),"")</f>
        <v/>
      </c>
      <c r="BI589" s="1134">
        <f>IFERROR(ABS(BI587-BI586),"")</f>
        <v/>
      </c>
      <c r="BJ589" s="93">
        <f>IFERROR(ABS(BJ587-BJ586),"")</f>
        <v/>
      </c>
      <c r="BK589" s="93">
        <f>IFERROR(ABS(BK587-BK586),"")</f>
        <v/>
      </c>
      <c r="BL589" s="93">
        <f>IFERROR(ABS(BL587-BL586),"")</f>
        <v/>
      </c>
      <c r="BM589" s="93">
        <f>IFERROR(ABS(BM587-BM586),"")</f>
        <v/>
      </c>
      <c r="BN589" s="1134">
        <f>IFERROR(ABS(BN587-BN586),"")</f>
        <v/>
      </c>
      <c r="BO589" s="93">
        <f>IFERROR(ABS(BO587-BO586),"")</f>
        <v/>
      </c>
      <c r="BP589" s="93">
        <f>IFERROR(ABS(BP587-BP586),"")</f>
        <v/>
      </c>
      <c r="BQ589" s="93">
        <f>IFERROR(ABS(BQ587-BQ586),"")</f>
        <v/>
      </c>
      <c r="BR589" s="93">
        <f>IFERROR(ABS(BR587-BR586),"")</f>
        <v/>
      </c>
      <c r="BS589" s="1134">
        <f>IFERROR(ABS(BS587-BS586),"")</f>
        <v/>
      </c>
      <c r="BT589" s="93">
        <f>IFERROR(ABS(BT587-BT586),"")</f>
        <v/>
      </c>
      <c r="BU589" s="93">
        <f>IFERROR(ABS(BU587-BU586),"")</f>
        <v/>
      </c>
      <c r="BV589" s="522">
        <f>IFERROR(ABS(BV587-BV586),"")</f>
        <v/>
      </c>
      <c r="BW589" s="93" t="n"/>
      <c r="BX589" s="1134" t="n"/>
      <c r="BY589" s="93" t="n"/>
      <c r="BZ589" s="93" t="n"/>
      <c r="CA589" s="93" t="n"/>
      <c r="CB589" s="93" t="n"/>
      <c r="CC589" s="1134" t="n"/>
      <c r="CD589" s="1134" t="n"/>
      <c r="CE589" s="1134" t="n"/>
      <c r="CF589" s="1134" t="n"/>
      <c r="CG589" s="93" t="n"/>
    </row>
    <row r="590" hidden="1" outlineLevel="2" ht="15" customHeight="1">
      <c r="A590" s="647" t="inlineStr">
        <is>
          <t>Forward quarterly revenue guidance variance (+/-), %</t>
        </is>
      </c>
      <c r="B590" s="428" t="n"/>
      <c r="C590" s="1126" t="n"/>
      <c r="D590" s="1126" t="n"/>
      <c r="E590" s="1126" t="n"/>
      <c r="F590" s="1126" t="n"/>
      <c r="G590" s="315" t="n"/>
      <c r="H590" s="315" t="n"/>
      <c r="I590" s="315" t="n"/>
      <c r="J590" s="315" t="n"/>
      <c r="K590" s="1126" t="n"/>
      <c r="L590" s="315" t="n"/>
      <c r="M590" s="315" t="n"/>
      <c r="N590" s="315" t="n"/>
      <c r="O590" s="315" t="n"/>
      <c r="P590" s="1126" t="n"/>
      <c r="Q590" s="315" t="n"/>
      <c r="R590" s="315" t="n"/>
      <c r="S590" s="315" t="n"/>
      <c r="T590" s="315" t="n"/>
      <c r="U590" s="1126" t="n"/>
      <c r="V590" s="315" t="n"/>
      <c r="W590" s="315" t="n"/>
      <c r="X590" s="315" t="n"/>
      <c r="Y590" s="315" t="n"/>
      <c r="Z590" s="1126" t="n"/>
      <c r="AA590" s="315" t="n"/>
      <c r="AB590" s="315" t="n"/>
      <c r="AC590" s="315" t="n"/>
      <c r="AD590" s="315" t="n"/>
      <c r="AE590" s="1126" t="n"/>
      <c r="AF590" s="315" t="n"/>
      <c r="AG590" s="315" t="n"/>
      <c r="AH590" s="315">
        <f>IFERROR(ABS((AH587-AH588)/AH588),"")</f>
        <v/>
      </c>
      <c r="AI590" s="315">
        <f>IFERROR(ABS((AI587-AI588)/AI588),"")</f>
        <v/>
      </c>
      <c r="AJ590" s="1126">
        <f>IFERROR(ABS((AJ587-AJ588)/AJ588),"")</f>
        <v/>
      </c>
      <c r="AK590" s="315">
        <f>IFERROR(ABS((AK587-AK588)/AK588),"")</f>
        <v/>
      </c>
      <c r="AL590" s="315">
        <f>IFERROR(ABS((AL587-AL588)/AL588),"")</f>
        <v/>
      </c>
      <c r="AM590" s="315">
        <f>IFERROR(ABS((AM587-AM588)/AM588),"")</f>
        <v/>
      </c>
      <c r="AN590" s="315">
        <f>IFERROR(ABS((AN587-AN588)/AN588),"")</f>
        <v/>
      </c>
      <c r="AO590" s="1126">
        <f>IFERROR(ABS((AO587-AO588)/AO588),"")</f>
        <v/>
      </c>
      <c r="AP590" s="315">
        <f>IFERROR(ABS((AP587-AP588)/AP588),"")</f>
        <v/>
      </c>
      <c r="AQ590" s="315">
        <f>IFERROR(ABS((AQ587-AQ588)/AQ588),"")</f>
        <v/>
      </c>
      <c r="AR590" s="315">
        <f>IFERROR(ABS((AR587-AR588)/AR588),"")</f>
        <v/>
      </c>
      <c r="AS590" s="315">
        <f>IFERROR(ABS((AS587-AS588)/AS588),"")</f>
        <v/>
      </c>
      <c r="AT590" s="1126">
        <f>IFERROR(ABS((AT587-AT588)/AT588),"")</f>
        <v/>
      </c>
      <c r="AU590" s="315">
        <f>IFERROR(ABS((AU587-AU588)/AU588),"")</f>
        <v/>
      </c>
      <c r="AV590" s="315">
        <f>IFERROR(ABS((AV587-AV588)/AV588),"")</f>
        <v/>
      </c>
      <c r="AW590" s="315">
        <f>IFERROR(ABS((AW587-AW588)/AW588),"")</f>
        <v/>
      </c>
      <c r="AX590" s="315">
        <f>IFERROR(ABS((AX587-AX588)/AX588),"")</f>
        <v/>
      </c>
      <c r="AY590" s="1126">
        <f>IFERROR(ABS((AY587-AY588)/AY588),"")</f>
        <v/>
      </c>
      <c r="AZ590" s="315">
        <f>IFERROR(ABS((AZ587-AZ588)/AZ588),"")</f>
        <v/>
      </c>
      <c r="BA590" s="315">
        <f>IFERROR(ABS((BA587-BA588)/BA588),"")</f>
        <v/>
      </c>
      <c r="BB590" s="315">
        <f>IFERROR(ABS((BB587-BB588)/BB588),"")</f>
        <v/>
      </c>
      <c r="BC590" s="315">
        <f>IFERROR(ABS((BC587-BC588)/BC588),"")</f>
        <v/>
      </c>
      <c r="BD590" s="1126">
        <f>IFERROR(ABS((BD587-BD588)/BD588),"")</f>
        <v/>
      </c>
      <c r="BE590" s="315">
        <f>IFERROR(ABS((BE587-BE588)/BE588),"")</f>
        <v/>
      </c>
      <c r="BF590" s="315">
        <f>IFERROR(ABS((BF587-BF588)/BF588),"")</f>
        <v/>
      </c>
      <c r="BG590" s="315">
        <f>IFERROR(ABS((BG587-BG588)/BG588),"")</f>
        <v/>
      </c>
      <c r="BH590" s="315">
        <f>IFERROR(ABS((BH587-BH588)/BH588),"")</f>
        <v/>
      </c>
      <c r="BI590" s="1126">
        <f>IFERROR(ABS((BI587-BI588)/BI588),"")</f>
        <v/>
      </c>
      <c r="BJ590" s="315">
        <f>IFERROR(ABS((BJ587-BJ588)/BJ588),"")</f>
        <v/>
      </c>
      <c r="BK590" s="315">
        <f>IFERROR(ABS((BK587-BK588)/BK588),"")</f>
        <v/>
      </c>
      <c r="BL590" s="315">
        <f>IFERROR(ABS((BL587-BL588)/BL588),"")</f>
        <v/>
      </c>
      <c r="BM590" s="315">
        <f>IFERROR(ABS((BM587-BM588)/BM588),"")</f>
        <v/>
      </c>
      <c r="BN590" s="1126">
        <f>IFERROR(ABS((BN587-BN588)/BN588),"")</f>
        <v/>
      </c>
      <c r="BO590" s="315">
        <f>IFERROR(ABS((BO587-BO588)/BO588),"")</f>
        <v/>
      </c>
      <c r="BP590" s="315">
        <f>IFERROR(ABS((BP587-BP588)/BP588),"")</f>
        <v/>
      </c>
      <c r="BQ590" s="315">
        <f>IFERROR(ABS((BQ587-BQ588)/BQ588),"")</f>
        <v/>
      </c>
      <c r="BR590" s="315">
        <f>IFERROR(ABS((BR587-BR588)/BR588),"")</f>
        <v/>
      </c>
      <c r="BS590" s="1126">
        <f>IFERROR(ABS((BS587-BS588)/BS588),"")</f>
        <v/>
      </c>
      <c r="BT590" s="315">
        <f>IFERROR(ABS((BT587-BT588)/BT588),"")</f>
        <v/>
      </c>
      <c r="BU590" s="315">
        <f>IFERROR(ABS((BU587-BU588)/BU588),"")</f>
        <v/>
      </c>
      <c r="BV590" s="885">
        <f>IFERROR(ABS((BV587-BV588)/BV588),"")</f>
        <v/>
      </c>
      <c r="BW590" s="315" t="n"/>
      <c r="BX590" s="1126" t="n"/>
      <c r="BY590" s="315" t="n"/>
      <c r="BZ590" s="315" t="n"/>
      <c r="CA590" s="315" t="n"/>
      <c r="CB590" s="315" t="n"/>
      <c r="CC590" s="1126" t="n"/>
      <c r="CD590" s="1126" t="n"/>
      <c r="CE590" s="1126" t="n"/>
      <c r="CF590" s="1126" t="n"/>
      <c r="CG590" s="93" t="n"/>
    </row>
    <row r="591" hidden="1" outlineLevel="3" ht="15" customHeight="1">
      <c r="A591" s="648" t="inlineStr">
        <is>
          <t>Forward quarterly guided Q/Q revenue growth - low, %</t>
        </is>
      </c>
      <c r="B591" s="112" t="n"/>
      <c r="C591" s="1113" t="n"/>
      <c r="D591" s="1113" t="n"/>
      <c r="E591" s="1113" t="n"/>
      <c r="F591" s="1113" t="n"/>
      <c r="G591" s="90" t="n"/>
      <c r="H591" s="90" t="n"/>
      <c r="I591" s="90" t="n"/>
      <c r="J591" s="90" t="n"/>
      <c r="K591" s="1113" t="n"/>
      <c r="L591" s="90" t="n"/>
      <c r="M591" s="90" t="n"/>
      <c r="N591" s="90" t="n"/>
      <c r="O591" s="90" t="n"/>
      <c r="P591" s="1113" t="n"/>
      <c r="Q591" s="90" t="n"/>
      <c r="R591" s="90" t="n"/>
      <c r="S591" s="90" t="n"/>
      <c r="T591" s="90" t="n"/>
      <c r="U591" s="1113" t="n"/>
      <c r="V591" s="90" t="n"/>
      <c r="W591" s="90" t="n"/>
      <c r="X591" s="90" t="n"/>
      <c r="Y591" s="90" t="n"/>
      <c r="Z591" s="1113" t="n"/>
      <c r="AA591" s="90" t="n"/>
      <c r="AB591" s="90" t="n"/>
      <c r="AC591" s="90" t="n"/>
      <c r="AD591" s="90" t="n"/>
      <c r="AE591" s="1113" t="n"/>
      <c r="AF591" s="90" t="n"/>
      <c r="AG591" s="90" t="n"/>
      <c r="AH591" s="90">
        <f>AH586/AH573-1</f>
        <v/>
      </c>
      <c r="AI591" s="90">
        <f>AI586/AI573-1</f>
        <v/>
      </c>
      <c r="AJ591" s="1113">
        <f>AJ586/AI573-1</f>
        <v/>
      </c>
      <c r="AK591" s="90">
        <f>AK586/AK573-1</f>
        <v/>
      </c>
      <c r="AL591" s="90">
        <f>AL586/AL573-1</f>
        <v/>
      </c>
      <c r="AM591" s="90">
        <f>AM586/AM573-1</f>
        <v/>
      </c>
      <c r="AN591" s="90">
        <f>AN586/AN573-1</f>
        <v/>
      </c>
      <c r="AO591" s="1113">
        <f>AO586/AN573-1</f>
        <v/>
      </c>
      <c r="AP591" s="90">
        <f>AP586/AP573-1</f>
        <v/>
      </c>
      <c r="AQ591" s="90">
        <f>AQ586/AQ573-1</f>
        <v/>
      </c>
      <c r="AR591" s="90">
        <f>AR586/AR573-1</f>
        <v/>
      </c>
      <c r="AS591" s="90">
        <f>AS586/AS573-1</f>
        <v/>
      </c>
      <c r="AT591" s="1113">
        <f>AT586/AS573-1</f>
        <v/>
      </c>
      <c r="AU591" s="90">
        <f>AU586/AU573-1</f>
        <v/>
      </c>
      <c r="AV591" s="90">
        <f>AV586/AV573-1</f>
        <v/>
      </c>
      <c r="AW591" s="90">
        <f>AW586/AW573-1</f>
        <v/>
      </c>
      <c r="AX591" s="90">
        <f>AX586/AX573-1</f>
        <v/>
      </c>
      <c r="AY591" s="1113">
        <f>AY586/AX573-1</f>
        <v/>
      </c>
      <c r="AZ591" s="90">
        <f>AZ586/AZ573-1</f>
        <v/>
      </c>
      <c r="BA591" s="90">
        <f>BA586/BA573-1</f>
        <v/>
      </c>
      <c r="BB591" s="90">
        <f>BB586/BB573-1</f>
        <v/>
      </c>
      <c r="BC591" s="90">
        <f>BC586/BC573-1</f>
        <v/>
      </c>
      <c r="BD591" s="1113">
        <f>BD586/BC573-1</f>
        <v/>
      </c>
      <c r="BE591" s="90">
        <f>BE586/BE573-1</f>
        <v/>
      </c>
      <c r="BF591" s="90">
        <f>BF586/BF573-1</f>
        <v/>
      </c>
      <c r="BG591" s="90">
        <f>BG586/BG573-1</f>
        <v/>
      </c>
      <c r="BH591" s="90">
        <f>BH586/BH573-1</f>
        <v/>
      </c>
      <c r="BI591" s="1113">
        <f>BI586/BH573-1</f>
        <v/>
      </c>
      <c r="BJ591" s="90">
        <f>BJ586/BJ573-1</f>
        <v/>
      </c>
      <c r="BK591" s="90">
        <f>BK586/BK573-1</f>
        <v/>
      </c>
      <c r="BL591" s="90">
        <f>BL586/BL573-1</f>
        <v/>
      </c>
      <c r="BM591" s="90">
        <f>BM586/BM573-1</f>
        <v/>
      </c>
      <c r="BN591" s="1113">
        <f>BN586/BM573-1</f>
        <v/>
      </c>
      <c r="BO591" s="90">
        <f>BO586/BO573-1</f>
        <v/>
      </c>
      <c r="BP591" s="90">
        <f>BP586/BP573-1</f>
        <v/>
      </c>
      <c r="BQ591" s="90">
        <f>BQ586/BQ573-1</f>
        <v/>
      </c>
      <c r="BR591" s="90">
        <f>BR586/BR573-1</f>
        <v/>
      </c>
      <c r="BS591" s="1113">
        <f>BS586/BR573-1</f>
        <v/>
      </c>
      <c r="BT591" s="90">
        <f>BT586/BT573-1</f>
        <v/>
      </c>
      <c r="BU591" s="90">
        <f>BU586/BU573-1</f>
        <v/>
      </c>
      <c r="BV591" s="880">
        <f>BV586/BV573-1</f>
        <v/>
      </c>
      <c r="BW591" s="90" t="n"/>
      <c r="BX591" s="1113" t="n"/>
      <c r="BY591" s="90" t="n"/>
      <c r="BZ591" s="90" t="n"/>
      <c r="CA591" s="90" t="n"/>
      <c r="CB591" s="90" t="n"/>
      <c r="CC591" s="1113" t="n"/>
      <c r="CD591" s="1113" t="n"/>
      <c r="CE591" s="1113" t="n"/>
      <c r="CF591" s="1113" t="n"/>
      <c r="CG591" s="93" t="n"/>
    </row>
    <row r="592" hidden="1" outlineLevel="3" ht="15" customHeight="1">
      <c r="A592" s="810" t="inlineStr">
        <is>
          <t>Forward quarterly guided Q/Q revenue growth - high, %</t>
        </is>
      </c>
      <c r="B592" s="804" t="n"/>
      <c r="C592" s="1194" t="n"/>
      <c r="D592" s="1194" t="n"/>
      <c r="E592" s="1194" t="n"/>
      <c r="F592" s="1194" t="n"/>
      <c r="G592" s="805" t="n"/>
      <c r="H592" s="805" t="n"/>
      <c r="I592" s="805" t="n"/>
      <c r="J592" s="805" t="n"/>
      <c r="K592" s="1194" t="n"/>
      <c r="L592" s="805" t="n"/>
      <c r="M592" s="805" t="n"/>
      <c r="N592" s="805" t="n"/>
      <c r="O592" s="805" t="n"/>
      <c r="P592" s="1194" t="n"/>
      <c r="Q592" s="805" t="n"/>
      <c r="R592" s="805" t="n"/>
      <c r="S592" s="805" t="n"/>
      <c r="T592" s="805" t="n"/>
      <c r="U592" s="1194" t="n"/>
      <c r="V592" s="805" t="n"/>
      <c r="W592" s="805" t="n"/>
      <c r="X592" s="805" t="n"/>
      <c r="Y592" s="805" t="n"/>
      <c r="Z592" s="1194" t="n"/>
      <c r="AA592" s="805" t="n"/>
      <c r="AB592" s="805" t="n"/>
      <c r="AC592" s="805" t="n"/>
      <c r="AD592" s="805" t="n"/>
      <c r="AE592" s="1194" t="n"/>
      <c r="AF592" s="805" t="n"/>
      <c r="AG592" s="805" t="n"/>
      <c r="AH592" s="805">
        <f>AH587/AH573-1</f>
        <v/>
      </c>
      <c r="AI592" s="805">
        <f>AI587/AI573-1</f>
        <v/>
      </c>
      <c r="AJ592" s="1194">
        <f>AJ587/AI573-1</f>
        <v/>
      </c>
      <c r="AK592" s="805">
        <f>AK587/AK573-1</f>
        <v/>
      </c>
      <c r="AL592" s="805">
        <f>AL587/AL573-1</f>
        <v/>
      </c>
      <c r="AM592" s="805">
        <f>AM587/AM573-1</f>
        <v/>
      </c>
      <c r="AN592" s="805">
        <f>AN587/AN573-1</f>
        <v/>
      </c>
      <c r="AO592" s="1194">
        <f>AO587/AN573-1</f>
        <v/>
      </c>
      <c r="AP592" s="805">
        <f>AP587/AP573-1</f>
        <v/>
      </c>
      <c r="AQ592" s="805">
        <f>AQ587/AQ573-1</f>
        <v/>
      </c>
      <c r="AR592" s="805">
        <f>AR587/AR573-1</f>
        <v/>
      </c>
      <c r="AS592" s="805">
        <f>AS587/AS573-1</f>
        <v/>
      </c>
      <c r="AT592" s="1194">
        <f>AT587/AS573-1</f>
        <v/>
      </c>
      <c r="AU592" s="805">
        <f>AU587/AU573-1</f>
        <v/>
      </c>
      <c r="AV592" s="805">
        <f>AV587/AV573-1</f>
        <v/>
      </c>
      <c r="AW592" s="805">
        <f>AW587/AW573-1</f>
        <v/>
      </c>
      <c r="AX592" s="805">
        <f>AX587/AX573-1</f>
        <v/>
      </c>
      <c r="AY592" s="1194">
        <f>AY587/AX573-1</f>
        <v/>
      </c>
      <c r="AZ592" s="805">
        <f>AZ587/AZ573-1</f>
        <v/>
      </c>
      <c r="BA592" s="805">
        <f>BA587/BA573-1</f>
        <v/>
      </c>
      <c r="BB592" s="805">
        <f>BB587/BB573-1</f>
        <v/>
      </c>
      <c r="BC592" s="805">
        <f>BC587/BC573-1</f>
        <v/>
      </c>
      <c r="BD592" s="1194">
        <f>BD587/BC573-1</f>
        <v/>
      </c>
      <c r="BE592" s="805">
        <f>BE587/BE573-1</f>
        <v/>
      </c>
      <c r="BF592" s="805">
        <f>BF587/BF573-1</f>
        <v/>
      </c>
      <c r="BG592" s="805">
        <f>BG587/BG573-1</f>
        <v/>
      </c>
      <c r="BH592" s="805">
        <f>BH587/BH573-1</f>
        <v/>
      </c>
      <c r="BI592" s="1194">
        <f>BI587/BH573-1</f>
        <v/>
      </c>
      <c r="BJ592" s="805">
        <f>BJ587/BJ573-1</f>
        <v/>
      </c>
      <c r="BK592" s="805">
        <f>BK587/BK573-1</f>
        <v/>
      </c>
      <c r="BL592" s="805">
        <f>BL587/BL573-1</f>
        <v/>
      </c>
      <c r="BM592" s="805">
        <f>BM587/BM573-1</f>
        <v/>
      </c>
      <c r="BN592" s="1194">
        <f>BN587/BM573-1</f>
        <v/>
      </c>
      <c r="BO592" s="805">
        <f>BO587/BO573-1</f>
        <v/>
      </c>
      <c r="BP592" s="805">
        <f>BP587/BP573-1</f>
        <v/>
      </c>
      <c r="BQ592" s="805">
        <f>BQ587/BQ573-1</f>
        <v/>
      </c>
      <c r="BR592" s="805">
        <f>BR587/BR573-1</f>
        <v/>
      </c>
      <c r="BS592" s="1194">
        <f>BS587/BR573-1</f>
        <v/>
      </c>
      <c r="BT592" s="805">
        <f>BT587/BT573-1</f>
        <v/>
      </c>
      <c r="BU592" s="805">
        <f>BU587/BU573-1</f>
        <v/>
      </c>
      <c r="BV592" s="910">
        <f>BV587/BV573-1</f>
        <v/>
      </c>
      <c r="BW592" s="805" t="n"/>
      <c r="BX592" s="1194" t="n"/>
      <c r="BY592" s="805" t="n"/>
      <c r="BZ592" s="805" t="n"/>
      <c r="CA592" s="805" t="n"/>
      <c r="CB592" s="805" t="n"/>
      <c r="CC592" s="1194" t="n"/>
      <c r="CD592" s="1194" t="n"/>
      <c r="CE592" s="1194" t="n"/>
      <c r="CF592" s="1194" t="n"/>
      <c r="CG592" s="93" t="n"/>
    </row>
    <row r="593" hidden="1" outlineLevel="2" collapsed="1" ht="15" customHeight="1">
      <c r="A593" s="371" t="inlineStr">
        <is>
          <t>Forward quarterly guided Q/Q revenue growth - midpoint, %</t>
        </is>
      </c>
      <c r="B593" s="112" t="n"/>
      <c r="C593" s="1113" t="n"/>
      <c r="D593" s="1113" t="n"/>
      <c r="E593" s="1113" t="n"/>
      <c r="F593" s="1113" t="n"/>
      <c r="G593" s="90" t="n"/>
      <c r="H593" s="90" t="n"/>
      <c r="I593" s="90" t="n"/>
      <c r="J593" s="90" t="n"/>
      <c r="K593" s="1113" t="n"/>
      <c r="L593" s="90" t="n"/>
      <c r="M593" s="90" t="n"/>
      <c r="N593" s="90" t="n"/>
      <c r="O593" s="90" t="n"/>
      <c r="P593" s="1113" t="n"/>
      <c r="Q593" s="90" t="n"/>
      <c r="R593" s="90" t="n"/>
      <c r="S593" s="90" t="n"/>
      <c r="T593" s="90" t="n"/>
      <c r="U593" s="1113" t="n"/>
      <c r="V593" s="90" t="n"/>
      <c r="W593" s="90" t="n"/>
      <c r="X593" s="90" t="n"/>
      <c r="Y593" s="90" t="n"/>
      <c r="Z593" s="1113" t="n"/>
      <c r="AA593" s="90" t="n"/>
      <c r="AB593" s="90" t="n"/>
      <c r="AC593" s="90" t="n"/>
      <c r="AD593" s="90" t="n"/>
      <c r="AE593" s="1113" t="n"/>
      <c r="AF593" s="90" t="n"/>
      <c r="AG593" s="90" t="n"/>
      <c r="AH593" s="90">
        <f>AH588/AH573-1</f>
        <v/>
      </c>
      <c r="AI593" s="90">
        <f>AI588/AI573-1</f>
        <v/>
      </c>
      <c r="AJ593" s="1113">
        <f>AJ588/AI573-1</f>
        <v/>
      </c>
      <c r="AK593" s="90">
        <f>AK588/AK573-1</f>
        <v/>
      </c>
      <c r="AL593" s="90">
        <f>AL588/AL573-1</f>
        <v/>
      </c>
      <c r="AM593" s="90">
        <f>AM588/AM573-1</f>
        <v/>
      </c>
      <c r="AN593" s="90">
        <f>AN588/AN573-1</f>
        <v/>
      </c>
      <c r="AO593" s="1113">
        <f>AO588/AN573-1</f>
        <v/>
      </c>
      <c r="AP593" s="90">
        <f>AP588/AP573-1</f>
        <v/>
      </c>
      <c r="AQ593" s="90">
        <f>AQ588/AQ573-1</f>
        <v/>
      </c>
      <c r="AR593" s="90">
        <f>AR588/AR573-1</f>
        <v/>
      </c>
      <c r="AS593" s="90">
        <f>AS588/AS573-1</f>
        <v/>
      </c>
      <c r="AT593" s="1113">
        <f>AT588/AS573-1</f>
        <v/>
      </c>
      <c r="AU593" s="90">
        <f>AU588/AU573-1</f>
        <v/>
      </c>
      <c r="AV593" s="90">
        <f>AV588/AV573-1</f>
        <v/>
      </c>
      <c r="AW593" s="90">
        <f>AW588/AW573-1</f>
        <v/>
      </c>
      <c r="AX593" s="90">
        <f>AX588/AX573-1</f>
        <v/>
      </c>
      <c r="AY593" s="1113">
        <f>AY588/AX573-1</f>
        <v/>
      </c>
      <c r="AZ593" s="90">
        <f>AZ588/AZ573-1</f>
        <v/>
      </c>
      <c r="BA593" s="90">
        <f>BA588/BA573-1</f>
        <v/>
      </c>
      <c r="BB593" s="90">
        <f>BB588/BB573-1</f>
        <v/>
      </c>
      <c r="BC593" s="90">
        <f>BC588/BC573-1</f>
        <v/>
      </c>
      <c r="BD593" s="1113">
        <f>BD588/BC573-1</f>
        <v/>
      </c>
      <c r="BE593" s="90">
        <f>BE588/BE573-1</f>
        <v/>
      </c>
      <c r="BF593" s="90">
        <f>BF588/BF573-1</f>
        <v/>
      </c>
      <c r="BG593" s="90">
        <f>BG588/BG573-1</f>
        <v/>
      </c>
      <c r="BH593" s="90">
        <f>BH588/BH573-1</f>
        <v/>
      </c>
      <c r="BI593" s="1113">
        <f>BI588/BH573-1</f>
        <v/>
      </c>
      <c r="BJ593" s="90">
        <f>BJ588/BJ573-1</f>
        <v/>
      </c>
      <c r="BK593" s="90">
        <f>BK588/BK573-1</f>
        <v/>
      </c>
      <c r="BL593" s="90">
        <f>BL588/BL573-1</f>
        <v/>
      </c>
      <c r="BM593" s="90">
        <f>BM588/BM573-1</f>
        <v/>
      </c>
      <c r="BN593" s="1113">
        <f>BN588/BM573-1</f>
        <v/>
      </c>
      <c r="BO593" s="90">
        <f>BO588/BO573-1</f>
        <v/>
      </c>
      <c r="BP593" s="90">
        <f>BP588/BP573-1</f>
        <v/>
      </c>
      <c r="BQ593" s="90">
        <f>BQ588/BQ573-1</f>
        <v/>
      </c>
      <c r="BR593" s="90">
        <f>BR588/BR573-1</f>
        <v/>
      </c>
      <c r="BS593" s="1113">
        <f>BS588/BR573-1</f>
        <v/>
      </c>
      <c r="BT593" s="90">
        <f>BT588/BT573-1</f>
        <v/>
      </c>
      <c r="BU593" s="90">
        <f>BU588/BU573-1</f>
        <v/>
      </c>
      <c r="BV593" s="880">
        <f>BV588/BV573-1</f>
        <v/>
      </c>
      <c r="BW593" s="90" t="n"/>
      <c r="BX593" s="1113" t="n"/>
      <c r="BY593" s="90" t="n"/>
      <c r="BZ593" s="90" t="n"/>
      <c r="CA593" s="90" t="n"/>
      <c r="CB593" s="90" t="n"/>
      <c r="CC593" s="1113" t="n"/>
      <c r="CD593" s="1113" t="n"/>
      <c r="CE593" s="1113" t="n"/>
      <c r="CF593" s="1113" t="n"/>
      <c r="CG593" s="93" t="n"/>
    </row>
    <row r="594" hidden="1" outlineLevel="3" ht="15" customHeight="1">
      <c r="A594" s="648" t="inlineStr">
        <is>
          <t>Forward quarterly guided Y/Y revenue growth - low, %</t>
        </is>
      </c>
      <c r="B594" s="112" t="n"/>
      <c r="C594" s="1113" t="n"/>
      <c r="D594" s="1113" t="n"/>
      <c r="E594" s="1113" t="n"/>
      <c r="F594" s="1113" t="n"/>
      <c r="G594" s="90" t="n"/>
      <c r="H594" s="90" t="n"/>
      <c r="I594" s="90" t="n"/>
      <c r="J594" s="90" t="n"/>
      <c r="K594" s="1113" t="n"/>
      <c r="L594" s="90" t="n"/>
      <c r="M594" s="90" t="n"/>
      <c r="N594" s="90" t="n"/>
      <c r="O594" s="90" t="n"/>
      <c r="P594" s="1113" t="n"/>
      <c r="Q594" s="90" t="n"/>
      <c r="R594" s="90" t="n"/>
      <c r="S594" s="90" t="n"/>
      <c r="T594" s="90" t="n"/>
      <c r="U594" s="1113" t="n"/>
      <c r="V594" s="90" t="n"/>
      <c r="W594" s="90" t="n"/>
      <c r="X594" s="90" t="n"/>
      <c r="Y594" s="90" t="n"/>
      <c r="Z594" s="1113" t="n"/>
      <c r="AA594" s="90" t="n"/>
      <c r="AB594" s="90" t="n"/>
      <c r="AC594" s="90" t="n"/>
      <c r="AD594" s="90" t="n"/>
      <c r="AE594" s="1113" t="n"/>
      <c r="AF594" s="90" t="n"/>
      <c r="AG594" s="90" t="n"/>
      <c r="AH594" s="90">
        <f>AH586/AD573-1</f>
        <v/>
      </c>
      <c r="AI594" s="90">
        <f>AI586/AF573-1</f>
        <v/>
      </c>
      <c r="AJ594" s="1113">
        <f>AI594</f>
        <v/>
      </c>
      <c r="AK594" s="90">
        <f>AK586/AG573-1</f>
        <v/>
      </c>
      <c r="AL594" s="90">
        <f>AL586/AH573-1</f>
        <v/>
      </c>
      <c r="AM594" s="90">
        <f>AM586/AI573-1</f>
        <v/>
      </c>
      <c r="AN594" s="90">
        <f>AN586/AK573-1</f>
        <v/>
      </c>
      <c r="AO594" s="1113">
        <f>AN594</f>
        <v/>
      </c>
      <c r="AP594" s="90">
        <f>AP586/AL573-1</f>
        <v/>
      </c>
      <c r="AQ594" s="90">
        <f>AQ586/AM573-1</f>
        <v/>
      </c>
      <c r="AR594" s="90">
        <f>AR586/AN573-1</f>
        <v/>
      </c>
      <c r="AS594" s="90">
        <f>AS586/AP573-1</f>
        <v/>
      </c>
      <c r="AT594" s="1113">
        <f>AS594</f>
        <v/>
      </c>
      <c r="AU594" s="90">
        <f>AU586/AQ573-1</f>
        <v/>
      </c>
      <c r="AV594" s="90">
        <f>AV586/AR573-1</f>
        <v/>
      </c>
      <c r="AW594" s="90">
        <f>AW586/AS573-1</f>
        <v/>
      </c>
      <c r="AX594" s="90">
        <f>AX586/AU573-1</f>
        <v/>
      </c>
      <c r="AY594" s="1113">
        <f>AX594</f>
        <v/>
      </c>
      <c r="AZ594" s="90">
        <f>AZ586/AV573-1</f>
        <v/>
      </c>
      <c r="BA594" s="90">
        <f>BA586/AW573-1</f>
        <v/>
      </c>
      <c r="BB594" s="90">
        <f>BB586/AX573-1</f>
        <v/>
      </c>
      <c r="BC594" s="90">
        <f>BC586/AZ573-1</f>
        <v/>
      </c>
      <c r="BD594" s="1113">
        <f>BC594</f>
        <v/>
      </c>
      <c r="BE594" s="90">
        <f>BE586/BA573-1</f>
        <v/>
      </c>
      <c r="BF594" s="90">
        <f>BF586/BB573-1</f>
        <v/>
      </c>
      <c r="BG594" s="90">
        <f>BG586/BC573-1</f>
        <v/>
      </c>
      <c r="BH594" s="90">
        <f>BH586/BE573-1</f>
        <v/>
      </c>
      <c r="BI594" s="1113">
        <f>BH594</f>
        <v/>
      </c>
      <c r="BJ594" s="90">
        <f>BJ586/BF573-1</f>
        <v/>
      </c>
      <c r="BK594" s="90">
        <f>BK586/BG573-1</f>
        <v/>
      </c>
      <c r="BL594" s="90">
        <f>BL586/BH573-1</f>
        <v/>
      </c>
      <c r="BM594" s="90">
        <f>BM586/BJ573-1</f>
        <v/>
      </c>
      <c r="BN594" s="1113">
        <f>BM594</f>
        <v/>
      </c>
      <c r="BO594" s="90">
        <f>BO586/BK573-1</f>
        <v/>
      </c>
      <c r="BP594" s="90">
        <f>BP586/BL573-1</f>
        <v/>
      </c>
      <c r="BQ594" s="90">
        <f>BQ586/BM573-1</f>
        <v/>
      </c>
      <c r="BR594" s="90">
        <f>BR586/BO573-1</f>
        <v/>
      </c>
      <c r="BS594" s="1113">
        <f>BR594</f>
        <v/>
      </c>
      <c r="BT594" s="90">
        <f>BT586/BP573-1</f>
        <v/>
      </c>
      <c r="BU594" s="90">
        <f>BU586/BQ573-1</f>
        <v/>
      </c>
      <c r="BV594" s="880">
        <f>BV586/BR573-1</f>
        <v/>
      </c>
      <c r="BW594" s="90" t="n"/>
      <c r="BX594" s="1113" t="n"/>
      <c r="BY594" s="90" t="n"/>
      <c r="BZ594" s="90" t="n"/>
      <c r="CA594" s="90" t="n"/>
      <c r="CB594" s="90" t="n"/>
      <c r="CC594" s="1113" t="n"/>
      <c r="CD594" s="1113" t="n"/>
      <c r="CE594" s="1113" t="n"/>
      <c r="CF594" s="1113" t="n"/>
      <c r="CG594" s="93" t="n"/>
    </row>
    <row r="595" hidden="1" outlineLevel="3" ht="15" customHeight="1">
      <c r="A595" s="810" t="inlineStr">
        <is>
          <t>Forward quarterly guided Y/Y revenue growth - high, %</t>
        </is>
      </c>
      <c r="B595" s="804" t="n"/>
      <c r="C595" s="1194" t="n"/>
      <c r="D595" s="1194" t="n"/>
      <c r="E595" s="1194" t="n"/>
      <c r="F595" s="1194" t="n"/>
      <c r="G595" s="805" t="n"/>
      <c r="H595" s="805" t="n"/>
      <c r="I595" s="805" t="n"/>
      <c r="J595" s="805" t="n"/>
      <c r="K595" s="1194" t="n"/>
      <c r="L595" s="805" t="n"/>
      <c r="M595" s="805" t="n"/>
      <c r="N595" s="805" t="n"/>
      <c r="O595" s="805" t="n"/>
      <c r="P595" s="1194" t="n"/>
      <c r="Q595" s="805" t="n"/>
      <c r="R595" s="805" t="n"/>
      <c r="S595" s="805" t="n"/>
      <c r="T595" s="805" t="n"/>
      <c r="U595" s="1194" t="n"/>
      <c r="V595" s="805" t="n"/>
      <c r="W595" s="805" t="n"/>
      <c r="X595" s="805" t="n"/>
      <c r="Y595" s="805" t="n"/>
      <c r="Z595" s="1194" t="n"/>
      <c r="AA595" s="805" t="n"/>
      <c r="AB595" s="805" t="n"/>
      <c r="AC595" s="805" t="n"/>
      <c r="AD595" s="805" t="n"/>
      <c r="AE595" s="1194" t="n"/>
      <c r="AF595" s="805" t="n"/>
      <c r="AG595" s="805" t="n"/>
      <c r="AH595" s="805">
        <f>AH587/AD573-1</f>
        <v/>
      </c>
      <c r="AI595" s="805">
        <f>AI587/AF573-1</f>
        <v/>
      </c>
      <c r="AJ595" s="1194">
        <f>AI595</f>
        <v/>
      </c>
      <c r="AK595" s="805">
        <f>AK587/AG573-1</f>
        <v/>
      </c>
      <c r="AL595" s="805">
        <f>AL587/AH573-1</f>
        <v/>
      </c>
      <c r="AM595" s="805">
        <f>AM587/AI573-1</f>
        <v/>
      </c>
      <c r="AN595" s="805">
        <f>AN587/AK573-1</f>
        <v/>
      </c>
      <c r="AO595" s="1194">
        <f>AN595</f>
        <v/>
      </c>
      <c r="AP595" s="805">
        <f>AP587/AL573-1</f>
        <v/>
      </c>
      <c r="AQ595" s="805">
        <f>AQ587/AM573-1</f>
        <v/>
      </c>
      <c r="AR595" s="805">
        <f>AR587/AN573-1</f>
        <v/>
      </c>
      <c r="AS595" s="805">
        <f>AS587/AP573-1</f>
        <v/>
      </c>
      <c r="AT595" s="1194">
        <f>AS595</f>
        <v/>
      </c>
      <c r="AU595" s="805">
        <f>AU587/AQ573-1</f>
        <v/>
      </c>
      <c r="AV595" s="805">
        <f>AV587/AR573-1</f>
        <v/>
      </c>
      <c r="AW595" s="805">
        <f>AW587/AS573-1</f>
        <v/>
      </c>
      <c r="AX595" s="805">
        <f>AX587/AU573-1</f>
        <v/>
      </c>
      <c r="AY595" s="1194">
        <f>AX595</f>
        <v/>
      </c>
      <c r="AZ595" s="805">
        <f>AZ587/AV573-1</f>
        <v/>
      </c>
      <c r="BA595" s="805">
        <f>BA587/AW573-1</f>
        <v/>
      </c>
      <c r="BB595" s="805">
        <f>BB587/AX573-1</f>
        <v/>
      </c>
      <c r="BC595" s="805">
        <f>BC587/AZ573-1</f>
        <v/>
      </c>
      <c r="BD595" s="1194">
        <f>BC595</f>
        <v/>
      </c>
      <c r="BE595" s="805">
        <f>BE587/BA573-1</f>
        <v/>
      </c>
      <c r="BF595" s="805">
        <f>BF587/BB573-1</f>
        <v/>
      </c>
      <c r="BG595" s="805">
        <f>BG587/BC573-1</f>
        <v/>
      </c>
      <c r="BH595" s="805">
        <f>BH587/BE573-1</f>
        <v/>
      </c>
      <c r="BI595" s="1194">
        <f>BH595</f>
        <v/>
      </c>
      <c r="BJ595" s="805">
        <f>BJ587/BF573-1</f>
        <v/>
      </c>
      <c r="BK595" s="805">
        <f>BK587/BG573-1</f>
        <v/>
      </c>
      <c r="BL595" s="805">
        <f>BL587/BH573-1</f>
        <v/>
      </c>
      <c r="BM595" s="805">
        <f>BM587/BJ573-1</f>
        <v/>
      </c>
      <c r="BN595" s="1194">
        <f>BM595</f>
        <v/>
      </c>
      <c r="BO595" s="805">
        <f>BO587/BK573-1</f>
        <v/>
      </c>
      <c r="BP595" s="805">
        <f>BP587/BL573-1</f>
        <v/>
      </c>
      <c r="BQ595" s="805">
        <f>BQ587/BM573-1</f>
        <v/>
      </c>
      <c r="BR595" s="805">
        <f>BR587/BO573-1</f>
        <v/>
      </c>
      <c r="BS595" s="1194">
        <f>BR595</f>
        <v/>
      </c>
      <c r="BT595" s="805">
        <f>BT587/BP573-1</f>
        <v/>
      </c>
      <c r="BU595" s="805">
        <f>BU587/BQ573-1</f>
        <v/>
      </c>
      <c r="BV595" s="910">
        <f>BV587/BR573-1</f>
        <v/>
      </c>
      <c r="BW595" s="805" t="n"/>
      <c r="BX595" s="1194" t="n"/>
      <c r="BY595" s="805" t="n"/>
      <c r="BZ595" s="805" t="n"/>
      <c r="CA595" s="805" t="n"/>
      <c r="CB595" s="805" t="n"/>
      <c r="CC595" s="1194" t="n"/>
      <c r="CD595" s="1194" t="n"/>
      <c r="CE595" s="1194" t="n"/>
      <c r="CF595" s="1194" t="n"/>
      <c r="CG595" s="93" t="n"/>
    </row>
    <row r="596" hidden="1" outlineLevel="2" collapsed="1" ht="15" customHeight="1">
      <c r="A596" s="371" t="inlineStr">
        <is>
          <t>Forward quarterly guided Y/Y revenue growth - midpoint, %</t>
        </is>
      </c>
      <c r="B596" s="112" t="n"/>
      <c r="C596" s="1113" t="n"/>
      <c r="D596" s="1113" t="n"/>
      <c r="E596" s="1113" t="n"/>
      <c r="F596" s="1113" t="n"/>
      <c r="G596" s="90" t="n"/>
      <c r="H596" s="90" t="n"/>
      <c r="I596" s="90" t="n"/>
      <c r="J596" s="90" t="n"/>
      <c r="K596" s="1113" t="n"/>
      <c r="L596" s="90" t="n"/>
      <c r="M596" s="90" t="n"/>
      <c r="N596" s="90" t="n"/>
      <c r="O596" s="90" t="n"/>
      <c r="P596" s="1113" t="n"/>
      <c r="Q596" s="90" t="n"/>
      <c r="R596" s="90" t="n"/>
      <c r="S596" s="90" t="n"/>
      <c r="T596" s="90" t="n"/>
      <c r="U596" s="1113" t="n"/>
      <c r="V596" s="90" t="n"/>
      <c r="W596" s="90" t="n"/>
      <c r="X596" s="90" t="n"/>
      <c r="Y596" s="90" t="n"/>
      <c r="Z596" s="1113" t="n"/>
      <c r="AA596" s="90" t="n"/>
      <c r="AB596" s="90" t="n"/>
      <c r="AC596" s="90" t="n"/>
      <c r="AD596" s="90" t="n"/>
      <c r="AE596" s="1113" t="n"/>
      <c r="AF596" s="90" t="n"/>
      <c r="AG596" s="90" t="n"/>
      <c r="AH596" s="90">
        <f>AH588/AD573-1</f>
        <v/>
      </c>
      <c r="AI596" s="90">
        <f>AI588/AF573-1</f>
        <v/>
      </c>
      <c r="AJ596" s="1113">
        <f>AJ588/AF573-1</f>
        <v/>
      </c>
      <c r="AK596" s="90">
        <f>AK588/AG573-1</f>
        <v/>
      </c>
      <c r="AL596" s="90">
        <f>AL588/AH573-1</f>
        <v/>
      </c>
      <c r="AM596" s="90">
        <f>AM588/AI573-1</f>
        <v/>
      </c>
      <c r="AN596" s="90">
        <f>AN588/AK573-1</f>
        <v/>
      </c>
      <c r="AO596" s="1113">
        <f>AO588/AK573-1</f>
        <v/>
      </c>
      <c r="AP596" s="90">
        <f>AP588/AL573-1</f>
        <v/>
      </c>
      <c r="AQ596" s="90">
        <f>AQ588/AM573-1</f>
        <v/>
      </c>
      <c r="AR596" s="90">
        <f>AR588/AN573-1</f>
        <v/>
      </c>
      <c r="AS596" s="90">
        <f>AS588/AP573-1</f>
        <v/>
      </c>
      <c r="AT596" s="1113">
        <f>AT588/AP573-1</f>
        <v/>
      </c>
      <c r="AU596" s="90">
        <f>AU588/AQ573-1</f>
        <v/>
      </c>
      <c r="AV596" s="90">
        <f>AV588/AR573-1</f>
        <v/>
      </c>
      <c r="AW596" s="90">
        <f>AW588/AS573-1</f>
        <v/>
      </c>
      <c r="AX596" s="90">
        <f>AX588/AU573-1</f>
        <v/>
      </c>
      <c r="AY596" s="1113">
        <f>AY588/AU573-1</f>
        <v/>
      </c>
      <c r="AZ596" s="90">
        <f>AZ588/AV573-1</f>
        <v/>
      </c>
      <c r="BA596" s="90">
        <f>BA588/AW573-1</f>
        <v/>
      </c>
      <c r="BB596" s="90">
        <f>BB588/AX573-1</f>
        <v/>
      </c>
      <c r="BC596" s="90">
        <f>BC588/AZ573-1</f>
        <v/>
      </c>
      <c r="BD596" s="1113">
        <f>BD588/AZ573-1</f>
        <v/>
      </c>
      <c r="BE596" s="90">
        <f>BE588/BA573-1</f>
        <v/>
      </c>
      <c r="BF596" s="90">
        <f>BF588/BB573-1</f>
        <v/>
      </c>
      <c r="BG596" s="90">
        <f>BG588/BC573-1</f>
        <v/>
      </c>
      <c r="BH596" s="90">
        <f>BH588/BE573-1</f>
        <v/>
      </c>
      <c r="BI596" s="1113">
        <f>BI588/BE573-1</f>
        <v/>
      </c>
      <c r="BJ596" s="90">
        <f>BJ588/BF573-1</f>
        <v/>
      </c>
      <c r="BK596" s="90">
        <f>BK588/BG573-1</f>
        <v/>
      </c>
      <c r="BL596" s="90">
        <f>BL588/BH573-1</f>
        <v/>
      </c>
      <c r="BM596" s="90">
        <f>BM588/BJ573-1</f>
        <v/>
      </c>
      <c r="BN596" s="1113">
        <f>BN588/BJ573-1</f>
        <v/>
      </c>
      <c r="BO596" s="90">
        <f>BO588/BK573-1</f>
        <v/>
      </c>
      <c r="BP596" s="90">
        <f>BP588/BL573-1</f>
        <v/>
      </c>
      <c r="BQ596" s="90">
        <f>BQ588/BM573-1</f>
        <v/>
      </c>
      <c r="BR596" s="90">
        <f>BR588/BO573-1</f>
        <v/>
      </c>
      <c r="BS596" s="1113">
        <f>BS588/BO573-1</f>
        <v/>
      </c>
      <c r="BT596" s="90">
        <f>BT588/BP573-1</f>
        <v/>
      </c>
      <c r="BU596" s="90">
        <f>BU588/BQ573-1</f>
        <v/>
      </c>
      <c r="BV596" s="880">
        <f>BV588/BR573-1</f>
        <v/>
      </c>
      <c r="BW596" s="90" t="n"/>
      <c r="BX596" s="1113" t="n"/>
      <c r="BY596" s="90" t="n"/>
      <c r="BZ596" s="90" t="n"/>
      <c r="CA596" s="90" t="n"/>
      <c r="CB596" s="90" t="n"/>
      <c r="CC596" s="1113" t="n"/>
      <c r="CD596" s="1113" t="n"/>
      <c r="CE596" s="1113" t="n"/>
      <c r="CF596" s="1113" t="n"/>
      <c r="CG596" s="93" t="n"/>
    </row>
    <row r="597" hidden="1" outlineLevel="2" ht="15" customHeight="1">
      <c r="A597" s="799" t="n"/>
      <c r="B597" s="428" t="n"/>
      <c r="C597" s="1134" t="n"/>
      <c r="D597" s="1134" t="n"/>
      <c r="E597" s="1134" t="n"/>
      <c r="F597" s="1134" t="n"/>
      <c r="G597" s="93" t="n"/>
      <c r="H597" s="93" t="n"/>
      <c r="I597" s="93" t="n"/>
      <c r="J597" s="93" t="n"/>
      <c r="K597" s="1134" t="n"/>
      <c r="L597" s="93" t="n"/>
      <c r="M597" s="93" t="n"/>
      <c r="N597" s="93" t="n"/>
      <c r="O597" s="93" t="n"/>
      <c r="P597" s="1134" t="n"/>
      <c r="Q597" s="93" t="n"/>
      <c r="R597" s="93" t="n"/>
      <c r="S597" s="93" t="n"/>
      <c r="T597" s="93" t="n"/>
      <c r="U597" s="1134" t="n"/>
      <c r="V597" s="93" t="n"/>
      <c r="W597" s="93" t="n"/>
      <c r="X597" s="93" t="n"/>
      <c r="Y597" s="93" t="n"/>
      <c r="Z597" s="1134" t="n"/>
      <c r="AA597" s="93" t="n"/>
      <c r="AB597" s="93" t="n"/>
      <c r="AC597" s="93" t="n"/>
      <c r="AD597" s="93" t="n"/>
      <c r="AE597" s="1134" t="n"/>
      <c r="AF597" s="93" t="n"/>
      <c r="AG597" s="93" t="n"/>
      <c r="AH597" s="93" t="n"/>
      <c r="AI597" s="93" t="n"/>
      <c r="AJ597" s="1134" t="n"/>
      <c r="AK597" s="93" t="n"/>
      <c r="AL597" s="93" t="n"/>
      <c r="AM597" s="93" t="n"/>
      <c r="AN597" s="93" t="n"/>
      <c r="AO597" s="1134" t="n"/>
      <c r="AP597" s="93" t="n"/>
      <c r="AQ597" s="93" t="n"/>
      <c r="AR597" s="93" t="n"/>
      <c r="AS597" s="93" t="n"/>
      <c r="AT597" s="1134" t="n"/>
      <c r="AU597" s="93" t="n"/>
      <c r="AV597" s="93" t="n"/>
      <c r="AW597" s="93" t="n"/>
      <c r="AX597" s="93" t="n"/>
      <c r="AY597" s="1134" t="n"/>
      <c r="AZ597" s="93" t="n"/>
      <c r="BA597" s="93" t="n"/>
      <c r="BB597" s="93" t="n"/>
      <c r="BC597" s="93" t="n"/>
      <c r="BD597" s="1134" t="n"/>
      <c r="BE597" s="93" t="n"/>
      <c r="BF597" s="93" t="n"/>
      <c r="BG597" s="93" t="n"/>
      <c r="BH597" s="93" t="n"/>
      <c r="BI597" s="1134" t="n"/>
      <c r="BJ597" s="93" t="n"/>
      <c r="BK597" s="93" t="n"/>
      <c r="BL597" s="93" t="n"/>
      <c r="BM597" s="93" t="n"/>
      <c r="BN597" s="1134" t="n"/>
      <c r="BO597" s="93" t="n"/>
      <c r="BP597" s="93" t="n"/>
      <c r="BQ597" s="93" t="n"/>
      <c r="BR597" s="93" t="n"/>
      <c r="BS597" s="1134" t="n"/>
      <c r="BT597" s="93" t="n"/>
      <c r="BU597" s="93" t="n"/>
      <c r="BV597" s="522" t="n"/>
      <c r="BW597" s="93" t="n"/>
      <c r="BX597" s="1134" t="n"/>
      <c r="BY597" s="93" t="n"/>
      <c r="BZ597" s="93" t="n"/>
      <c r="CA597" s="93" t="n"/>
      <c r="CB597" s="93" t="n"/>
      <c r="CC597" s="1134" t="n"/>
      <c r="CD597" s="1134" t="n"/>
      <c r="CE597" s="1134" t="n"/>
      <c r="CF597" s="1134" t="n"/>
      <c r="CG597" s="93" t="n"/>
    </row>
    <row r="598" hidden="1" outlineLevel="2" ht="15" customHeight="1">
      <c r="A598" s="371" t="inlineStr">
        <is>
          <t>Y/Y Implied annual guidance revenue growth, %</t>
        </is>
      </c>
      <c r="B598" s="112" t="n"/>
      <c r="C598" s="1113" t="n"/>
      <c r="D598" s="1113" t="n"/>
      <c r="E598" s="1113" t="n"/>
      <c r="F598" s="1113" t="n"/>
      <c r="G598" s="90" t="n"/>
      <c r="H598" s="90" t="n"/>
      <c r="I598" s="90" t="n"/>
      <c r="J598" s="90" t="n"/>
      <c r="K598" s="1113" t="n"/>
      <c r="L598" s="90" t="n"/>
      <c r="M598" s="90" t="n"/>
      <c r="N598" s="90" t="n"/>
      <c r="O598" s="90" t="n"/>
      <c r="P598" s="1113" t="n"/>
      <c r="Q598" s="90" t="n"/>
      <c r="R598" s="90" t="n"/>
      <c r="S598" s="90" t="n"/>
      <c r="T598" s="90" t="n"/>
      <c r="U598" s="1113" t="n"/>
      <c r="V598" s="90" t="n"/>
      <c r="W598" s="90" t="n"/>
      <c r="X598" s="90" t="n"/>
      <c r="Y598" s="90" t="n"/>
      <c r="Z598" s="1113" t="n"/>
      <c r="AA598" s="90" t="n"/>
      <c r="AB598" s="90" t="n"/>
      <c r="AC598" s="90" t="n"/>
      <c r="AD598" s="90" t="n"/>
      <c r="AE598" s="1113" t="n"/>
      <c r="AF598" s="90" t="n"/>
      <c r="AG598" s="90" t="n"/>
      <c r="AH598" s="90">
        <f>IFERROR(IF(AJ570="","",AJ570/AE573-1),"")</f>
        <v/>
      </c>
      <c r="AI598" s="90">
        <f>IFERROR(IF(AJ571="","",AJ571/AE573-1),"")</f>
        <v/>
      </c>
      <c r="AJ598" s="1113">
        <f>IFERROR(IF(AJ571="","",AJ571/AE573-1),"")</f>
        <v/>
      </c>
      <c r="AK598" s="90">
        <f>IFERROR(IF(AO568="","",AO568/AJ573-1),"")</f>
        <v/>
      </c>
      <c r="AL598" s="90">
        <f>IFERROR(IF(AO569="","",AO569/AJ573-1),"")</f>
        <v/>
      </c>
      <c r="AM598" s="90">
        <f>IFERROR(IF(AO570="","",AO570/AJ573-1),"")</f>
        <v/>
      </c>
      <c r="AN598" s="90">
        <f>IFERROR(IF(AO571="","",AO571/AJ573-1),"")</f>
        <v/>
      </c>
      <c r="AO598" s="1113">
        <f>IFERROR(IF(AO571="","",AO571/AJ573-1),"")</f>
        <v/>
      </c>
      <c r="AP598" s="90">
        <f>IFERROR(IF(AT568="","",AT568/AO573-1),"")</f>
        <v/>
      </c>
      <c r="AQ598" s="90">
        <f>IFERROR(IF(AT569="","",AT569/AO573-1),"")</f>
        <v/>
      </c>
      <c r="AR598" s="90">
        <f>IFERROR(IF(AT570="","",AT570/AO573-1),"")</f>
        <v/>
      </c>
      <c r="AS598" s="90">
        <f>IFERROR(IF(AT571="","",AT571/AO573-1),"")</f>
        <v/>
      </c>
      <c r="AT598" s="1113">
        <f>IFERROR(IF(AT571="","",AT571/AO573-1),"")</f>
        <v/>
      </c>
      <c r="AU598" s="90">
        <f>IFERROR(IF(AY568="","",AY568/AT573-1),"")</f>
        <v/>
      </c>
      <c r="AV598" s="90">
        <f>IFERROR(IF(AY569="","",AY569/AT573-1),"")</f>
        <v/>
      </c>
      <c r="AW598" s="90">
        <f>IFERROR(IF(AY570="","",AY570/AT573-1),"")</f>
        <v/>
      </c>
      <c r="AX598" s="90">
        <f>IFERROR(IF(AY571="","",AY571/AT573-1),"")</f>
        <v/>
      </c>
      <c r="AY598" s="1113">
        <f>IFERROR(IF(AY571="","",AY571/AT573-1),"")</f>
        <v/>
      </c>
      <c r="AZ598" s="90">
        <f>IFERROR(IF(BD568="","",BD568/AY573-1),"")</f>
        <v/>
      </c>
      <c r="BA598" s="90">
        <f>IFERROR(IF(BD569="","",BD569/AY573-1),"")</f>
        <v/>
      </c>
      <c r="BB598" s="90">
        <f>IFERROR(IF(BD570="","",BD570/AY573-1),"")</f>
        <v/>
      </c>
      <c r="BC598" s="90">
        <f>IFERROR(IF(BD571="","",BD571/AY573-1),"")</f>
        <v/>
      </c>
      <c r="BD598" s="1113">
        <f>IFERROR(IF(BD571="","",BD571/AY573-1),"")</f>
        <v/>
      </c>
      <c r="BE598" s="90">
        <f>IFERROR(IF(BI568="","",BI568/BD573-1),"")</f>
        <v/>
      </c>
      <c r="BF598" s="90">
        <f>IFERROR(IF(BI569="","",BI569/BD573-1),"")</f>
        <v/>
      </c>
      <c r="BG598" s="90">
        <f>IFERROR(IF(BI570="","",BI570/BD573-1),"")</f>
        <v/>
      </c>
      <c r="BH598" s="90">
        <f>IFERROR(IF(BI571="","",BI571/BD573-1),"")</f>
        <v/>
      </c>
      <c r="BI598" s="1113">
        <f>IFERROR(IF(BI571="","",BI571/BD573-1),"")</f>
        <v/>
      </c>
      <c r="BJ598" s="90">
        <f>IFERROR(IF(BN568="","",BN568/BI573-1),"")</f>
        <v/>
      </c>
      <c r="BK598" s="90">
        <f>IFERROR(IF(BN569="","",BN569/BI573-1),"")</f>
        <v/>
      </c>
      <c r="BL598" s="90">
        <f>IFERROR(IF(BN570="","",BN570/BI573-1),"")</f>
        <v/>
      </c>
      <c r="BM598" s="90">
        <f>IFERROR(IF(BN571="","",BN571/BI573-1),"")</f>
        <v/>
      </c>
      <c r="BN598" s="1113">
        <f>IFERROR(IF(BN571="","",BN571/BI573-1),"")</f>
        <v/>
      </c>
      <c r="BO598" s="90">
        <f>IFERROR(IF(BS568="","",BS568/BN573-1),"")</f>
        <v/>
      </c>
      <c r="BP598" s="90">
        <f>IFERROR(IF(BS569="","",BS569/BN573-1),"")</f>
        <v/>
      </c>
      <c r="BQ598" s="90">
        <f>IFERROR(IF(BS570="","",BS570/BN573-1),"")</f>
        <v/>
      </c>
      <c r="BR598" s="90">
        <f>IFERROR(IF(BS571="","",BS571/BN573-1),"")</f>
        <v/>
      </c>
      <c r="BS598" s="1113">
        <f>IFERROR(IF(BS571="","",BS571/BN573-1),"")</f>
        <v/>
      </c>
      <c r="BT598" s="90">
        <f>IFERROR(IF(BX568="","",BX568/BS573-1),"")</f>
        <v/>
      </c>
      <c r="BU598" s="90">
        <f>IFERROR(IF(BX569="","",BX569/BS573-1),"")</f>
        <v/>
      </c>
      <c r="BV598" s="880">
        <f>IFERROR(IF(BX570="","",BX570/BS573-1),"")</f>
        <v/>
      </c>
      <c r="BW598" s="90">
        <f>IFERROR(IF(BX571="","",BX571/BS573-1),"")</f>
        <v/>
      </c>
      <c r="BX598" s="1113">
        <f>IFERROR(IF(BX571="","",BX571/BS573-1),"")</f>
        <v/>
      </c>
      <c r="BY598" s="90">
        <f>IFERROR(IF(CC568="","",CC568/BX573-1),"")</f>
        <v/>
      </c>
      <c r="BZ598" s="90">
        <f>IFERROR(IF(CC569="","",CC569/BX573-1),"")</f>
        <v/>
      </c>
      <c r="CA598" s="90">
        <f>IFERROR(IF(CC570="","",CC570/BX573-1),"")</f>
        <v/>
      </c>
      <c r="CB598" s="90">
        <f>IFERROR(IF(CC571="","",CC571/BX573-1),"")</f>
        <v/>
      </c>
      <c r="CC598" s="1113">
        <f>IFERROR(IF(CC571="","",CC571/BX573-1),"")</f>
        <v/>
      </c>
      <c r="CD598" s="1113" t="n"/>
      <c r="CE598" s="1113" t="n"/>
      <c r="CF598" s="1113" t="n"/>
      <c r="CG598" s="93" t="n"/>
    </row>
    <row r="599" hidden="1" outlineLevel="2" ht="15" customHeight="1">
      <c r="A599" s="806" t="inlineStr">
        <is>
          <t>Y/Y annual guidance beat/(miss) revenue growth, %</t>
        </is>
      </c>
      <c r="B599" s="804" t="n"/>
      <c r="C599" s="1194" t="n"/>
      <c r="D599" s="1194" t="n"/>
      <c r="E599" s="1194" t="n"/>
      <c r="F599" s="1194" t="n"/>
      <c r="G599" s="805" t="n"/>
      <c r="H599" s="805" t="n"/>
      <c r="I599" s="805" t="n"/>
      <c r="J599" s="805" t="n"/>
      <c r="K599" s="1194" t="n"/>
      <c r="L599" s="805" t="n"/>
      <c r="M599" s="805" t="n"/>
      <c r="N599" s="805" t="n"/>
      <c r="O599" s="805" t="n"/>
      <c r="P599" s="1194" t="n"/>
      <c r="Q599" s="805" t="n"/>
      <c r="R599" s="805" t="n"/>
      <c r="S599" s="805" t="n"/>
      <c r="T599" s="805" t="n"/>
      <c r="U599" s="1194" t="n"/>
      <c r="V599" s="805" t="n"/>
      <c r="W599" s="805" t="n"/>
      <c r="X599" s="805" t="n"/>
      <c r="Y599" s="805" t="n"/>
      <c r="Z599" s="1194" t="n"/>
      <c r="AA599" s="805" t="n"/>
      <c r="AB599" s="805" t="n"/>
      <c r="AC599" s="805" t="n"/>
      <c r="AD599" s="805" t="n"/>
      <c r="AE599" s="1194" t="n"/>
      <c r="AF599" s="805" t="n"/>
      <c r="AG599" s="805" t="n"/>
      <c r="AH599" s="805">
        <f>IFERROR(IF(AJ570="","",(AJ573-AJ570)/AE573),"")</f>
        <v/>
      </c>
      <c r="AI599" s="805">
        <f>IFERROR(IF(AJ571="","",(AJ573-AJ571)/AE573),"")</f>
        <v/>
      </c>
      <c r="AJ599" s="1194">
        <f>IFERROR(IF(AJ571="","",(AJ573-AJ571)/AE573),"")</f>
        <v/>
      </c>
      <c r="AK599" s="805">
        <f>IFERROR(IF(AO568="","",(AO573-AO568)/AJ573),"")</f>
        <v/>
      </c>
      <c r="AL599" s="805">
        <f>IFERROR(IF(AO569="","",(AO573-AO569)/AJ573),"")</f>
        <v/>
      </c>
      <c r="AM599" s="805">
        <f>IFERROR(IF(AO570="","",(AO573-AO570)/AJ573),"")</f>
        <v/>
      </c>
      <c r="AN599" s="805">
        <f>IFERROR(IF(AO571="","",(AO573-AO571)/AJ573),"")</f>
        <v/>
      </c>
      <c r="AO599" s="1194">
        <f>IFERROR(IF(AO571="","",(AO573-AO571)/AJ573),"")</f>
        <v/>
      </c>
      <c r="AP599" s="805">
        <f>IFERROR(IF(AT568="","",(AT573-AT568)/AO573),"")</f>
        <v/>
      </c>
      <c r="AQ599" s="805">
        <f>IFERROR(IF(AT569="","",(AT573-AT569)/AO573),"")</f>
        <v/>
      </c>
      <c r="AR599" s="805">
        <f>IFERROR(IF(AT570="","",(AT573-AT570)/AO573),"")</f>
        <v/>
      </c>
      <c r="AS599" s="805">
        <f>IFERROR(IF(AT571="","",(AT573-AT571)/AO573),"")</f>
        <v/>
      </c>
      <c r="AT599" s="1194">
        <f>IFERROR(IF(AT571="","",(AT573-AT571)/AO573),"")</f>
        <v/>
      </c>
      <c r="AU599" s="805">
        <f>IFERROR(IF(AY568="","",(AY573-AY568)/AT573),"")</f>
        <v/>
      </c>
      <c r="AV599" s="805">
        <f>IFERROR(IF(AY569="","",(AY573-AY569)/AT573),"")</f>
        <v/>
      </c>
      <c r="AW599" s="805">
        <f>IFERROR(IF(AY570="","",(AY573-AY570)/AT573),"")</f>
        <v/>
      </c>
      <c r="AX599" s="805">
        <f>IFERROR(IF(AY571="","",(AY573-AY571)/AT573),"")</f>
        <v/>
      </c>
      <c r="AY599" s="1194">
        <f>IFERROR(IF(AY571="","",(AY573-AY571)/AT573),"")</f>
        <v/>
      </c>
      <c r="AZ599" s="805">
        <f>IFERROR(IF(BD568="","",(BD573-BD568)/AY573),"")</f>
        <v/>
      </c>
      <c r="BA599" s="805">
        <f>IFERROR(IF(BD569="","",(BD573-BD569)/AY573),"")</f>
        <v/>
      </c>
      <c r="BB599" s="805">
        <f>IFERROR(IF(BD570="","",(BD573-BD570)/AY573),"")</f>
        <v/>
      </c>
      <c r="BC599" s="805">
        <f>IFERROR(IF(BD571="","",(BD573-BD571)/AY573),"")</f>
        <v/>
      </c>
      <c r="BD599" s="1194">
        <f>IFERROR(IF(BD571="","",(BD573-BD571)/AY573),"")</f>
        <v/>
      </c>
      <c r="BE599" s="805">
        <f>IFERROR(IF(BI568="","",(BI573-BI568)/BD573),"")</f>
        <v/>
      </c>
      <c r="BF599" s="805">
        <f>IFERROR(IF(BI569="","",(BI573-BI569)/BD573),"")</f>
        <v/>
      </c>
      <c r="BG599" s="805">
        <f>IFERROR(IF(BI570="","",(BI573-BI570)/BD573),"")</f>
        <v/>
      </c>
      <c r="BH599" s="805">
        <f>IFERROR(IF(BI571="","",(BI573-BI571)/BD573),"")</f>
        <v/>
      </c>
      <c r="BI599" s="1194">
        <f>IFERROR(IF(BI571="","",(BI573-BI571)/BD573),"")</f>
        <v/>
      </c>
      <c r="BJ599" s="805">
        <f>IFERROR(IF(BN568="","",(BN573-BN568)/BI573),"")</f>
        <v/>
      </c>
      <c r="BK599" s="805">
        <f>IFERROR(IF(BN569="","",(BN573-BN569)/BI573),"")</f>
        <v/>
      </c>
      <c r="BL599" s="805">
        <f>IFERROR(IF(BN570="","",(BN573-BN570)/BI573),"")</f>
        <v/>
      </c>
      <c r="BM599" s="805">
        <f>IFERROR(IF(BN571="","",(BN573-BN571)/BI573),"")</f>
        <v/>
      </c>
      <c r="BN599" s="1194">
        <f>IFERROR(IF(BN571="","",(BN573-BN571)/BI573),"")</f>
        <v/>
      </c>
      <c r="BO599" s="805">
        <f>IFERROR(IF(BS568="","",(BS573-BS568)/BN573),"")</f>
        <v/>
      </c>
      <c r="BP599" s="805">
        <f>IFERROR(IF(BS569="","",(BS573-BS569)/BN573),"")</f>
        <v/>
      </c>
      <c r="BQ599" s="805">
        <f>IFERROR(IF(BS570="","",(BS573-BS570)/BN573),"")</f>
        <v/>
      </c>
      <c r="BR599" s="805">
        <f>IFERROR(IF(BS571="","",(BS573-BS571)/BN573),"")</f>
        <v/>
      </c>
      <c r="BS599" s="1194">
        <f>IFERROR(IF(BS571="","",(BS573-BS571)/BN573),"")</f>
        <v/>
      </c>
      <c r="BT599" s="805">
        <f>IFERROR(IF(BX568="","",(BX573-BX568)/BS573),"")</f>
        <v/>
      </c>
      <c r="BU599" s="805">
        <f>IFERROR(IF(BX569="","",(BX573-BX569)/BS573),"")</f>
        <v/>
      </c>
      <c r="BV599" s="910">
        <f>IFERROR(IF(BX570="","",(BX573-BX570)/BS573),"")</f>
        <v/>
      </c>
      <c r="BW599" s="805">
        <f>IFERROR(IF(BX571="","",(BX573-BX571)/BS573),"")</f>
        <v/>
      </c>
      <c r="BX599" s="1194">
        <f>IFERROR(IF(BX571="","",(BX573-BX571)/BS573),"")</f>
        <v/>
      </c>
      <c r="BY599" s="805">
        <f>IFERROR(IF(CC568="","",(CC573-CC568)/BX573),"")</f>
        <v/>
      </c>
      <c r="BZ599" s="805">
        <f>IFERROR(IF(CC569="","",(CC573-CC569)/BX573),"")</f>
        <v/>
      </c>
      <c r="CA599" s="805">
        <f>IFERROR(IF(CC570="","",(CC573-CC570)/BX573),"")</f>
        <v/>
      </c>
      <c r="CB599" s="805">
        <f>IFERROR(IF(CC571="","",(CC573-CC571)/BX573),"")</f>
        <v/>
      </c>
      <c r="CC599" s="1194">
        <f>IFERROR(IF(CC571="","",(CC573-CC571)/BX573),"")</f>
        <v/>
      </c>
      <c r="CD599" s="1194" t="n"/>
      <c r="CE599" s="1194" t="n"/>
      <c r="CF599" s="1194" t="n"/>
      <c r="CG599" s="93" t="n"/>
    </row>
    <row r="600" hidden="1" outlineLevel="2" ht="15" customHeight="1">
      <c r="A600" s="809" t="inlineStr">
        <is>
          <t>Y/Y annual revenue growth, %</t>
        </is>
      </c>
      <c r="B600" s="807" t="n"/>
      <c r="C600" s="1195" t="n"/>
      <c r="D600" s="1195" t="n"/>
      <c r="E600" s="1195" t="n"/>
      <c r="F600" s="1195" t="n"/>
      <c r="G600" s="808" t="n"/>
      <c r="H600" s="808" t="n"/>
      <c r="I600" s="808" t="n"/>
      <c r="J600" s="808" t="n"/>
      <c r="K600" s="1195" t="n"/>
      <c r="L600" s="808" t="n"/>
      <c r="M600" s="808" t="n"/>
      <c r="N600" s="808" t="n"/>
      <c r="O600" s="808" t="n"/>
      <c r="P600" s="1195" t="n"/>
      <c r="Q600" s="808" t="n"/>
      <c r="R600" s="808" t="n"/>
      <c r="S600" s="808" t="n"/>
      <c r="T600" s="808" t="n"/>
      <c r="U600" s="1195" t="n"/>
      <c r="V600" s="808" t="n"/>
      <c r="W600" s="808" t="n"/>
      <c r="X600" s="808" t="n"/>
      <c r="Y600" s="808" t="n"/>
      <c r="Z600" s="1195" t="n"/>
      <c r="AA600" s="808" t="n"/>
      <c r="AB600" s="808" t="n"/>
      <c r="AC600" s="808" t="n"/>
      <c r="AD600" s="808" t="n"/>
      <c r="AE600" s="1195" t="n"/>
      <c r="AF600" s="808" t="n"/>
      <c r="AG600" s="808" t="n"/>
      <c r="AH600" s="808">
        <f>AJ573/AE573-1</f>
        <v/>
      </c>
      <c r="AI600" s="808">
        <f>AJ573/AE573-1</f>
        <v/>
      </c>
      <c r="AJ600" s="1195">
        <f>AJ573/AE573-1</f>
        <v/>
      </c>
      <c r="AK600" s="808">
        <f>AO573/AJ573-1</f>
        <v/>
      </c>
      <c r="AL600" s="808">
        <f>AO573/AJ573-1</f>
        <v/>
      </c>
      <c r="AM600" s="808">
        <f>AO573/AJ573-1</f>
        <v/>
      </c>
      <c r="AN600" s="808">
        <f>AO573/AJ573-1</f>
        <v/>
      </c>
      <c r="AO600" s="1195">
        <f>AO573/AJ573-1</f>
        <v/>
      </c>
      <c r="AP600" s="808">
        <f>AT573/AO573-1</f>
        <v/>
      </c>
      <c r="AQ600" s="808">
        <f>AT573/AO573-1</f>
        <v/>
      </c>
      <c r="AR600" s="808">
        <f>AT573/AO573-1</f>
        <v/>
      </c>
      <c r="AS600" s="808">
        <f>AT573/AO573-1</f>
        <v/>
      </c>
      <c r="AT600" s="1195">
        <f>AT573/AO573-1</f>
        <v/>
      </c>
      <c r="AU600" s="808">
        <f>AY573/AT573-1</f>
        <v/>
      </c>
      <c r="AV600" s="808">
        <f>AY573/AT573-1</f>
        <v/>
      </c>
      <c r="AW600" s="808">
        <f>AY573/AT573-1</f>
        <v/>
      </c>
      <c r="AX600" s="808">
        <f>AY573/AT573-1</f>
        <v/>
      </c>
      <c r="AY600" s="1195">
        <f>AY573/AT573-1</f>
        <v/>
      </c>
      <c r="AZ600" s="808">
        <f>BD573/AY573-1</f>
        <v/>
      </c>
      <c r="BA600" s="808">
        <f>BD573/AY573-1</f>
        <v/>
      </c>
      <c r="BB600" s="808">
        <f>BD573/AY573-1</f>
        <v/>
      </c>
      <c r="BC600" s="808">
        <f>BD573/AY573-1</f>
        <v/>
      </c>
      <c r="BD600" s="1195">
        <f>BD573/AY573-1</f>
        <v/>
      </c>
      <c r="BE600" s="808">
        <f>BI573/BD573-1</f>
        <v/>
      </c>
      <c r="BF600" s="808">
        <f>BI573/BD573-1</f>
        <v/>
      </c>
      <c r="BG600" s="808">
        <f>BI573/BD573-1</f>
        <v/>
      </c>
      <c r="BH600" s="808">
        <f>BI573/BD573-1</f>
        <v/>
      </c>
      <c r="BI600" s="1195">
        <f>BI573/BD573-1</f>
        <v/>
      </c>
      <c r="BJ600" s="808">
        <f>BN573/BI573-1</f>
        <v/>
      </c>
      <c r="BK600" s="808">
        <f>BN573/BI573-1</f>
        <v/>
      </c>
      <c r="BL600" s="808">
        <f>BN573/BI573-1</f>
        <v/>
      </c>
      <c r="BM600" s="808">
        <f>BN573/BI573-1</f>
        <v/>
      </c>
      <c r="BN600" s="1195">
        <f>BN573/BI573-1</f>
        <v/>
      </c>
      <c r="BO600" s="808">
        <f>BS573/BN573-1</f>
        <v/>
      </c>
      <c r="BP600" s="808">
        <f>BS573/BN573-1</f>
        <v/>
      </c>
      <c r="BQ600" s="808">
        <f>BS573/BN573-1</f>
        <v/>
      </c>
      <c r="BR600" s="808">
        <f>BS573/BN573-1</f>
        <v/>
      </c>
      <c r="BS600" s="1195">
        <f>BS573/BN573-1</f>
        <v/>
      </c>
      <c r="BT600" s="808">
        <f>BX573/BS573-1</f>
        <v/>
      </c>
      <c r="BU600" s="808">
        <f>BX573/BS573-1</f>
        <v/>
      </c>
      <c r="BV600" s="911">
        <f>BX573/BS573-1</f>
        <v/>
      </c>
      <c r="BW600" s="808">
        <f>BX573/BS573-1</f>
        <v/>
      </c>
      <c r="BX600" s="1195">
        <f>BX573/BS573-1</f>
        <v/>
      </c>
      <c r="BY600" s="808">
        <f>CC573/BX573-1</f>
        <v/>
      </c>
      <c r="BZ600" s="808">
        <f>CC573/BX573-1</f>
        <v/>
      </c>
      <c r="CA600" s="808">
        <f>CC573/BX573-1</f>
        <v/>
      </c>
      <c r="CB600" s="808">
        <f>CC573/BX573-1</f>
        <v/>
      </c>
      <c r="CC600" s="1195">
        <f>CC573/BX573-1</f>
        <v/>
      </c>
      <c r="CD600" s="1195">
        <f>CD573/CC573-1</f>
        <v/>
      </c>
      <c r="CE600" s="1195">
        <f>CE573/CD573-1</f>
        <v/>
      </c>
      <c r="CF600" s="1195">
        <f>CF573/CE573-1</f>
        <v/>
      </c>
      <c r="CG600" s="93" t="n"/>
    </row>
    <row r="601" hidden="1" outlineLevel="2" ht="15" customHeight="1">
      <c r="A601" s="799" t="n"/>
      <c r="B601" s="428" t="n"/>
      <c r="C601" s="1134" t="n"/>
      <c r="D601" s="1134" t="n"/>
      <c r="E601" s="1134" t="n"/>
      <c r="F601" s="1134" t="n"/>
      <c r="G601" s="93" t="n"/>
      <c r="H601" s="93" t="n"/>
      <c r="I601" s="93" t="n"/>
      <c r="J601" s="93" t="n"/>
      <c r="K601" s="1134" t="n"/>
      <c r="L601" s="93" t="n"/>
      <c r="M601" s="93" t="n"/>
      <c r="N601" s="93" t="n"/>
      <c r="O601" s="93" t="n"/>
      <c r="P601" s="1134" t="n"/>
      <c r="Q601" s="93" t="n"/>
      <c r="R601" s="93" t="n"/>
      <c r="S601" s="93" t="n"/>
      <c r="T601" s="93" t="n"/>
      <c r="U601" s="1134" t="n"/>
      <c r="V601" s="93" t="n"/>
      <c r="W601" s="93" t="n"/>
      <c r="X601" s="93" t="n"/>
      <c r="Y601" s="93" t="n"/>
      <c r="Z601" s="1134" t="n"/>
      <c r="AA601" s="93" t="n"/>
      <c r="AB601" s="93" t="n"/>
      <c r="AC601" s="93" t="n"/>
      <c r="AD601" s="93" t="n"/>
      <c r="AE601" s="1134" t="n"/>
      <c r="AF601" s="93" t="n"/>
      <c r="AG601" s="93" t="n"/>
      <c r="AH601" s="93" t="n"/>
      <c r="AI601" s="93" t="n"/>
      <c r="AJ601" s="1134" t="n"/>
      <c r="AK601" s="93" t="n"/>
      <c r="AL601" s="93" t="n"/>
      <c r="AM601" s="93" t="n"/>
      <c r="AN601" s="93" t="n"/>
      <c r="AO601" s="1134" t="n"/>
      <c r="AP601" s="93" t="n"/>
      <c r="AQ601" s="93" t="n"/>
      <c r="AR601" s="93" t="n"/>
      <c r="AS601" s="93" t="n"/>
      <c r="AT601" s="1134" t="n"/>
      <c r="AU601" s="93" t="n"/>
      <c r="AV601" s="93" t="n"/>
      <c r="AW601" s="93" t="n"/>
      <c r="AX601" s="93" t="n"/>
      <c r="AY601" s="1134" t="n"/>
      <c r="AZ601" s="93" t="n"/>
      <c r="BA601" s="93" t="n"/>
      <c r="BB601" s="93" t="n"/>
      <c r="BC601" s="93" t="n"/>
      <c r="BD601" s="1134" t="n"/>
      <c r="BE601" s="93" t="n"/>
      <c r="BF601" s="93" t="n"/>
      <c r="BG601" s="93" t="n"/>
      <c r="BH601" s="93" t="n"/>
      <c r="BI601" s="1134" t="n"/>
      <c r="BJ601" s="93" t="n"/>
      <c r="BK601" s="93" t="n"/>
      <c r="BL601" s="93" t="n"/>
      <c r="BM601" s="93" t="n"/>
      <c r="BN601" s="1134" t="n"/>
      <c r="BO601" s="93" t="n"/>
      <c r="BP601" s="93" t="n"/>
      <c r="BQ601" s="93" t="n"/>
      <c r="BR601" s="93" t="n"/>
      <c r="BS601" s="1134" t="n"/>
      <c r="BT601" s="93" t="n"/>
      <c r="BU601" s="93" t="n"/>
      <c r="BV601" s="522" t="n"/>
      <c r="BW601" s="93" t="n"/>
      <c r="BX601" s="1134" t="n"/>
      <c r="BY601" s="93" t="n"/>
      <c r="BZ601" s="93" t="n"/>
      <c r="CA601" s="93" t="n"/>
      <c r="CB601" s="93" t="n"/>
      <c r="CC601" s="1134" t="n"/>
      <c r="CD601" s="1134" t="n"/>
      <c r="CE601" s="1134" t="n"/>
      <c r="CF601" s="1134" t="n"/>
      <c r="CG601" s="93" t="n"/>
    </row>
    <row r="602" hidden="1" outlineLevel="2" ht="15" customHeight="1">
      <c r="A602" s="803" t="inlineStr">
        <is>
          <t>Forward annual guidance - applicable period, period</t>
        </is>
      </c>
      <c r="B602" s="801" t="n"/>
      <c r="C602" s="1193" t="n"/>
      <c r="D602" s="1193" t="n"/>
      <c r="E602" s="1193" t="n"/>
      <c r="F602" s="1193" t="n"/>
      <c r="G602" s="802" t="n"/>
      <c r="H602" s="802" t="n"/>
      <c r="I602" s="802" t="n"/>
      <c r="J602" s="802" t="n"/>
      <c r="K602" s="1193" t="n"/>
      <c r="L602" s="802" t="n"/>
      <c r="M602" s="802" t="n"/>
      <c r="N602" s="802" t="n"/>
      <c r="O602" s="802" t="n"/>
      <c r="P602" s="1193" t="n"/>
      <c r="Q602" s="802" t="n"/>
      <c r="R602" s="802" t="n"/>
      <c r="S602" s="802" t="n"/>
      <c r="T602" s="802" t="n"/>
      <c r="U602" s="1193" t="n"/>
      <c r="V602" s="802" t="n"/>
      <c r="W602" s="802" t="n"/>
      <c r="X602" s="802" t="n"/>
      <c r="Y602" s="802" t="n"/>
      <c r="Z602" s="1193" t="n"/>
      <c r="AA602" s="802" t="n"/>
      <c r="AB602" s="802" t="n"/>
      <c r="AC602" s="802" t="n"/>
      <c r="AD602" s="802" t="n"/>
      <c r="AE602" s="1193" t="n"/>
      <c r="AF602" s="802" t="n"/>
      <c r="AG602" s="802" t="n"/>
      <c r="AH602" s="802">
        <f>AJ5</f>
        <v/>
      </c>
      <c r="AI602" s="802">
        <f>AO5</f>
        <v/>
      </c>
      <c r="AJ602" s="1193">
        <f>AO5</f>
        <v/>
      </c>
      <c r="AK602" s="802">
        <f>AO5</f>
        <v/>
      </c>
      <c r="AL602" s="802">
        <f>AO5</f>
        <v/>
      </c>
      <c r="AM602" s="802">
        <f>AO5</f>
        <v/>
      </c>
      <c r="AN602" s="802">
        <f>AT5</f>
        <v/>
      </c>
      <c r="AO602" s="1193">
        <f>AT5</f>
        <v/>
      </c>
      <c r="AP602" s="802">
        <f>AT5</f>
        <v/>
      </c>
      <c r="AQ602" s="802">
        <f>AT5</f>
        <v/>
      </c>
      <c r="AR602" s="802">
        <f>AT5</f>
        <v/>
      </c>
      <c r="AS602" s="802">
        <f>AY5</f>
        <v/>
      </c>
      <c r="AT602" s="1193">
        <f>AY5</f>
        <v/>
      </c>
      <c r="AU602" s="802">
        <f>AY5</f>
        <v/>
      </c>
      <c r="AV602" s="802">
        <f>AY5</f>
        <v/>
      </c>
      <c r="AW602" s="802">
        <f>AY5</f>
        <v/>
      </c>
      <c r="AX602" s="802">
        <f>BD5</f>
        <v/>
      </c>
      <c r="AY602" s="1193">
        <f>BD5</f>
        <v/>
      </c>
      <c r="AZ602" s="802">
        <f>BD5</f>
        <v/>
      </c>
      <c r="BA602" s="802">
        <f>BD5</f>
        <v/>
      </c>
      <c r="BB602" s="802">
        <f>BD5</f>
        <v/>
      </c>
      <c r="BC602" s="802">
        <f>BI5</f>
        <v/>
      </c>
      <c r="BD602" s="1193">
        <f>BI5</f>
        <v/>
      </c>
      <c r="BE602" s="802">
        <f>BI5</f>
        <v/>
      </c>
      <c r="BF602" s="802">
        <f>BI5</f>
        <v/>
      </c>
      <c r="BG602" s="802">
        <f>BI5</f>
        <v/>
      </c>
      <c r="BH602" s="802">
        <f>BN5</f>
        <v/>
      </c>
      <c r="BI602" s="1193">
        <f>BN5</f>
        <v/>
      </c>
      <c r="BJ602" s="802">
        <f>BN5</f>
        <v/>
      </c>
      <c r="BK602" s="802">
        <f>BN5</f>
        <v/>
      </c>
      <c r="BL602" s="802">
        <f>BN5</f>
        <v/>
      </c>
      <c r="BM602" s="802">
        <f>BS5</f>
        <v/>
      </c>
      <c r="BN602" s="1193">
        <f>BS5</f>
        <v/>
      </c>
      <c r="BO602" s="802">
        <f>BS5</f>
        <v/>
      </c>
      <c r="BP602" s="802">
        <f>BS5</f>
        <v/>
      </c>
      <c r="BQ602" s="802">
        <f>BS5</f>
        <v/>
      </c>
      <c r="BR602" s="802">
        <f>BX5</f>
        <v/>
      </c>
      <c r="BS602" s="1193">
        <f>BX5</f>
        <v/>
      </c>
      <c r="BT602" s="802">
        <f>BX5</f>
        <v/>
      </c>
      <c r="BU602" s="802">
        <f>BX5</f>
        <v/>
      </c>
      <c r="BV602" s="909">
        <f>BX5</f>
        <v/>
      </c>
      <c r="BW602" s="802" t="n"/>
      <c r="BX602" s="1193" t="n"/>
      <c r="BY602" s="802" t="n"/>
      <c r="BZ602" s="802" t="n"/>
      <c r="CA602" s="802" t="n"/>
      <c r="CB602" s="802" t="n"/>
      <c r="CC602" s="1193" t="n"/>
      <c r="CD602" s="1193" t="n"/>
      <c r="CE602" s="1193" t="n"/>
      <c r="CF602" s="1193" t="n"/>
      <c r="CG602" s="93" t="n"/>
    </row>
    <row r="603" hidden="1" outlineLevel="3" ht="15" customHeight="1">
      <c r="A603" s="492" t="inlineStr">
        <is>
          <t>Forward annual revenue guidance - low, mm</t>
        </is>
      </c>
      <c r="B603" s="428" t="n"/>
      <c r="C603" s="1134" t="n"/>
      <c r="D603" s="1134" t="n"/>
      <c r="E603" s="1134" t="n"/>
      <c r="F603" s="1134" t="n"/>
      <c r="G603" s="93" t="n"/>
      <c r="H603" s="93" t="n"/>
      <c r="I603" s="93" t="n"/>
      <c r="J603" s="93" t="n"/>
      <c r="K603" s="1134" t="n"/>
      <c r="L603" s="93" t="n"/>
      <c r="M603" s="93" t="n"/>
      <c r="N603" s="93" t="n"/>
      <c r="O603" s="93" t="n"/>
      <c r="P603" s="1134" t="n"/>
      <c r="Q603" s="93" t="n"/>
      <c r="R603" s="93" t="n"/>
      <c r="S603" s="93" t="n"/>
      <c r="T603" s="93" t="n"/>
      <c r="U603" s="1134" t="n"/>
      <c r="V603" s="93" t="n"/>
      <c r="W603" s="93" t="n"/>
      <c r="X603" s="93" t="n"/>
      <c r="Y603" s="93" t="n"/>
      <c r="Z603" s="1134" t="n"/>
      <c r="AA603" s="93" t="n"/>
      <c r="AB603" s="93" t="n"/>
      <c r="AC603" s="93" t="n"/>
      <c r="AD603" s="93" t="n"/>
      <c r="AE603" s="1134" t="n"/>
      <c r="AF603" s="93" t="n"/>
      <c r="AG603" s="93" t="n"/>
      <c r="AH603" s="93">
        <f>+AH1102</f>
        <v/>
      </c>
      <c r="AI603" s="93">
        <f>+AI1102</f>
        <v/>
      </c>
      <c r="AJ603" s="1134">
        <f>+AJ1102</f>
        <v/>
      </c>
      <c r="AK603" s="93">
        <f>+AK1102</f>
        <v/>
      </c>
      <c r="AL603" s="93">
        <f>+AL1102</f>
        <v/>
      </c>
      <c r="AM603" s="93">
        <f>+AM1102</f>
        <v/>
      </c>
      <c r="AN603" s="93">
        <f>+AN1102</f>
        <v/>
      </c>
      <c r="AO603" s="1134">
        <f>+AO1102</f>
        <v/>
      </c>
      <c r="AP603" s="93">
        <f>+AP1102</f>
        <v/>
      </c>
      <c r="AQ603" s="93">
        <f>+AQ1102</f>
        <v/>
      </c>
      <c r="AR603" s="93">
        <f>+AR1102</f>
        <v/>
      </c>
      <c r="AS603" s="93">
        <f>+AS1102</f>
        <v/>
      </c>
      <c r="AT603" s="1134">
        <f>+AT1102</f>
        <v/>
      </c>
      <c r="AU603" s="93">
        <f>+AU1102</f>
        <v/>
      </c>
      <c r="AV603" s="93">
        <f>+AV1102</f>
        <v/>
      </c>
      <c r="AW603" s="93">
        <f>+AW1102</f>
        <v/>
      </c>
      <c r="AX603" s="93">
        <f>+AX1102</f>
        <v/>
      </c>
      <c r="AY603" s="1134">
        <f>+AY1102</f>
        <v/>
      </c>
      <c r="AZ603" s="93">
        <f>+AZ1102</f>
        <v/>
      </c>
      <c r="BA603" s="93">
        <f>+BA1102</f>
        <v/>
      </c>
      <c r="BB603" s="93">
        <f>+BB1102</f>
        <v/>
      </c>
      <c r="BC603" s="93">
        <f>+BC1102</f>
        <v/>
      </c>
      <c r="BD603" s="1134">
        <f>+BD1102</f>
        <v/>
      </c>
      <c r="BE603" s="93">
        <f>+BE1102</f>
        <v/>
      </c>
      <c r="BF603" s="93">
        <f>+BF1102</f>
        <v/>
      </c>
      <c r="BG603" s="93">
        <f>+BG1102</f>
        <v/>
      </c>
      <c r="BH603" s="93">
        <f>+BH1102</f>
        <v/>
      </c>
      <c r="BI603" s="1134">
        <f>+BI1102</f>
        <v/>
      </c>
      <c r="BJ603" s="93">
        <f>+BJ1102</f>
        <v/>
      </c>
      <c r="BK603" s="93">
        <f>+BK1102</f>
        <v/>
      </c>
      <c r="BL603" s="93">
        <f>+BL1102</f>
        <v/>
      </c>
      <c r="BM603" s="93">
        <f>+BM1102</f>
        <v/>
      </c>
      <c r="BN603" s="1134">
        <f>+BN1102</f>
        <v/>
      </c>
      <c r="BO603" s="93">
        <f>+BO1102</f>
        <v/>
      </c>
      <c r="BP603" s="93">
        <f>+BP1102</f>
        <v/>
      </c>
      <c r="BQ603" s="93">
        <f>+BQ1102</f>
        <v/>
      </c>
      <c r="BR603" s="93">
        <f>+BR1102</f>
        <v/>
      </c>
      <c r="BS603" s="1134">
        <f>+BS1102</f>
        <v/>
      </c>
      <c r="BT603" s="93">
        <f>+BT1102</f>
        <v/>
      </c>
      <c r="BU603" s="93">
        <f>+BU1102</f>
        <v/>
      </c>
      <c r="BV603" s="522">
        <f>+BV1102</f>
        <v/>
      </c>
      <c r="BW603" s="93" t="n"/>
      <c r="BX603" s="1134" t="n"/>
      <c r="BY603" s="93" t="n"/>
      <c r="BZ603" s="93" t="n"/>
      <c r="CA603" s="93" t="n"/>
      <c r="CB603" s="93" t="n"/>
      <c r="CC603" s="1134" t="n"/>
      <c r="CD603" s="1134" t="n"/>
      <c r="CE603" s="1134" t="n"/>
      <c r="CF603" s="1134" t="n"/>
      <c r="CG603" s="93" t="n"/>
    </row>
    <row r="604" hidden="1" outlineLevel="3" ht="15" customHeight="1">
      <c r="A604" s="812" t="inlineStr">
        <is>
          <t>Forward annual revenue guidance - high, mm</t>
        </is>
      </c>
      <c r="B604" s="718" t="n"/>
      <c r="C604" s="1129" t="n"/>
      <c r="D604" s="1129" t="n"/>
      <c r="E604" s="1129" t="n"/>
      <c r="F604" s="1129" t="n"/>
      <c r="G604" s="983" t="n"/>
      <c r="H604" s="983" t="n"/>
      <c r="I604" s="983" t="n"/>
      <c r="J604" s="983" t="n"/>
      <c r="K604" s="1129" t="n"/>
      <c r="L604" s="983" t="n"/>
      <c r="M604" s="983" t="n"/>
      <c r="N604" s="983" t="n"/>
      <c r="O604" s="983" t="n"/>
      <c r="P604" s="1129" t="n"/>
      <c r="Q604" s="983" t="n"/>
      <c r="R604" s="983" t="n"/>
      <c r="S604" s="983" t="n"/>
      <c r="T604" s="983" t="n"/>
      <c r="U604" s="1129" t="n"/>
      <c r="V604" s="983" t="n"/>
      <c r="W604" s="983" t="n"/>
      <c r="X604" s="983" t="n"/>
      <c r="Y604" s="983" t="n"/>
      <c r="Z604" s="1129" t="n"/>
      <c r="AA604" s="983" t="n"/>
      <c r="AB604" s="983" t="n"/>
      <c r="AC604" s="983" t="n"/>
      <c r="AD604" s="983" t="n"/>
      <c r="AE604" s="1129" t="n"/>
      <c r="AF604" s="983" t="n"/>
      <c r="AG604" s="983" t="n"/>
      <c r="AH604" s="983">
        <f>+AH1103</f>
        <v/>
      </c>
      <c r="AI604" s="983">
        <f>+AI1103</f>
        <v/>
      </c>
      <c r="AJ604" s="1129">
        <f>+AJ1103</f>
        <v/>
      </c>
      <c r="AK604" s="983">
        <f>+AK1103</f>
        <v/>
      </c>
      <c r="AL604" s="983">
        <f>+AL1103</f>
        <v/>
      </c>
      <c r="AM604" s="983">
        <f>+AM1103</f>
        <v/>
      </c>
      <c r="AN604" s="983">
        <f>+AN1103</f>
        <v/>
      </c>
      <c r="AO604" s="1129">
        <f>+AO1103</f>
        <v/>
      </c>
      <c r="AP604" s="983">
        <f>+AP1103</f>
        <v/>
      </c>
      <c r="AQ604" s="983">
        <f>+AQ1103</f>
        <v/>
      </c>
      <c r="AR604" s="983">
        <f>+AR1103</f>
        <v/>
      </c>
      <c r="AS604" s="983">
        <f>+AS1103</f>
        <v/>
      </c>
      <c r="AT604" s="1129">
        <f>+AT1103</f>
        <v/>
      </c>
      <c r="AU604" s="983">
        <f>+AU1103</f>
        <v/>
      </c>
      <c r="AV604" s="983">
        <f>+AV1103</f>
        <v/>
      </c>
      <c r="AW604" s="983">
        <f>+AW1103</f>
        <v/>
      </c>
      <c r="AX604" s="983">
        <f>+AX1103</f>
        <v/>
      </c>
      <c r="AY604" s="1129">
        <f>+AY1103</f>
        <v/>
      </c>
      <c r="AZ604" s="983">
        <f>+AZ1103</f>
        <v/>
      </c>
      <c r="BA604" s="983">
        <f>+BA1103</f>
        <v/>
      </c>
      <c r="BB604" s="983">
        <f>+BB1103</f>
        <v/>
      </c>
      <c r="BC604" s="983">
        <f>+BC1103</f>
        <v/>
      </c>
      <c r="BD604" s="1129">
        <f>+BD1103</f>
        <v/>
      </c>
      <c r="BE604" s="983">
        <f>+BE1103</f>
        <v/>
      </c>
      <c r="BF604" s="983">
        <f>+BF1103</f>
        <v/>
      </c>
      <c r="BG604" s="983">
        <f>+BG1103</f>
        <v/>
      </c>
      <c r="BH604" s="983">
        <f>+BH1103</f>
        <v/>
      </c>
      <c r="BI604" s="1129">
        <f>+BI1103</f>
        <v/>
      </c>
      <c r="BJ604" s="983">
        <f>+BJ1103</f>
        <v/>
      </c>
      <c r="BK604" s="983">
        <f>+BK1103</f>
        <v/>
      </c>
      <c r="BL604" s="983">
        <f>+BL1103</f>
        <v/>
      </c>
      <c r="BM604" s="983">
        <f>+BM1103</f>
        <v/>
      </c>
      <c r="BN604" s="1129">
        <f>+BN1103</f>
        <v/>
      </c>
      <c r="BO604" s="983">
        <f>+BO1103</f>
        <v/>
      </c>
      <c r="BP604" s="983">
        <f>+BP1103</f>
        <v/>
      </c>
      <c r="BQ604" s="983">
        <f>+BQ1103</f>
        <v/>
      </c>
      <c r="BR604" s="983">
        <f>+BR1103</f>
        <v/>
      </c>
      <c r="BS604" s="1129">
        <f>+BS1103</f>
        <v/>
      </c>
      <c r="BT604" s="983">
        <f>+BT1103</f>
        <v/>
      </c>
      <c r="BU604" s="983">
        <f>+BU1103</f>
        <v/>
      </c>
      <c r="BV604" s="984">
        <f>+BV1103</f>
        <v/>
      </c>
      <c r="BW604" s="983" t="n"/>
      <c r="BX604" s="1129" t="n"/>
      <c r="BY604" s="983" t="n"/>
      <c r="BZ604" s="983" t="n"/>
      <c r="CA604" s="983" t="n"/>
      <c r="CB604" s="983" t="n"/>
      <c r="CC604" s="1129" t="n"/>
      <c r="CD604" s="1129" t="n"/>
      <c r="CE604" s="1129" t="n"/>
      <c r="CF604" s="1129" t="n"/>
      <c r="CG604" s="93" t="n"/>
    </row>
    <row r="605" hidden="1" outlineLevel="2" collapsed="1" ht="15" customHeight="1">
      <c r="A605" s="609" t="inlineStr">
        <is>
          <t>Forward annual revenue guidance - midpoint, mm</t>
        </is>
      </c>
      <c r="B605" s="610" t="n"/>
      <c r="C605" s="1159" t="n"/>
      <c r="D605" s="1159" t="n"/>
      <c r="E605" s="1159" t="n"/>
      <c r="F605" s="1159" t="n"/>
      <c r="G605" s="378" t="n"/>
      <c r="H605" s="378" t="n"/>
      <c r="I605" s="378" t="n"/>
      <c r="J605" s="378" t="n"/>
      <c r="K605" s="1159" t="n"/>
      <c r="L605" s="378" t="n"/>
      <c r="M605" s="378" t="n"/>
      <c r="N605" s="378" t="n"/>
      <c r="O605" s="378" t="n"/>
      <c r="P605" s="1159" t="n"/>
      <c r="Q605" s="378" t="n"/>
      <c r="R605" s="378" t="n"/>
      <c r="S605" s="378" t="n"/>
      <c r="T605" s="378" t="n"/>
      <c r="U605" s="1159" t="n"/>
      <c r="V605" s="378" t="n"/>
      <c r="W605" s="378" t="n"/>
      <c r="X605" s="378" t="n"/>
      <c r="Y605" s="378" t="n"/>
      <c r="Z605" s="1159" t="n"/>
      <c r="AA605" s="378" t="n"/>
      <c r="AB605" s="378" t="n"/>
      <c r="AC605" s="378" t="n"/>
      <c r="AD605" s="378" t="n"/>
      <c r="AE605" s="1159" t="n"/>
      <c r="AF605" s="378" t="n"/>
      <c r="AG605" s="378" t="n"/>
      <c r="AH605" s="378">
        <f>IFERROR(AVERAGE(AH603,AH604),"")</f>
        <v/>
      </c>
      <c r="AI605" s="378">
        <f>IFERROR(AVERAGE(AI603,AI604),"")</f>
        <v/>
      </c>
      <c r="AJ605" s="1159">
        <f>IFERROR(AVERAGE(AJ603,AJ604),"")</f>
        <v/>
      </c>
      <c r="AK605" s="378">
        <f>IFERROR(AVERAGE(AK603,AK604),"")</f>
        <v/>
      </c>
      <c r="AL605" s="378">
        <f>IFERROR(AVERAGE(AL603,AL604),"")</f>
        <v/>
      </c>
      <c r="AM605" s="378">
        <f>IFERROR(AVERAGE(AM603,AM604),"")</f>
        <v/>
      </c>
      <c r="AN605" s="378">
        <f>IFERROR(AVERAGE(AN603,AN604),"")</f>
        <v/>
      </c>
      <c r="AO605" s="1159">
        <f>IFERROR(AVERAGE(AO603,AO604),"")</f>
        <v/>
      </c>
      <c r="AP605" s="378">
        <f>IFERROR(AVERAGE(AP603,AP604),"")</f>
        <v/>
      </c>
      <c r="AQ605" s="378">
        <f>IFERROR(AVERAGE(AQ603,AQ604),"")</f>
        <v/>
      </c>
      <c r="AR605" s="378">
        <f>IFERROR(AVERAGE(AR603,AR604),"")</f>
        <v/>
      </c>
      <c r="AS605" s="378">
        <f>IFERROR(AVERAGE(AS603,AS604),"")</f>
        <v/>
      </c>
      <c r="AT605" s="1159">
        <f>IFERROR(AVERAGE(AT603,AT604),"")</f>
        <v/>
      </c>
      <c r="AU605" s="378">
        <f>IFERROR(AVERAGE(AU603,AU604),"")</f>
        <v/>
      </c>
      <c r="AV605" s="378">
        <f>IFERROR(AVERAGE(AV603,AV604),"")</f>
        <v/>
      </c>
      <c r="AW605" s="378">
        <f>IFERROR(AVERAGE(AW603,AW604),"")</f>
        <v/>
      </c>
      <c r="AX605" s="378">
        <f>IFERROR(AVERAGE(AX603,AX604),"")</f>
        <v/>
      </c>
      <c r="AY605" s="1159">
        <f>IFERROR(AVERAGE(AY603,AY604),"")</f>
        <v/>
      </c>
      <c r="AZ605" s="378">
        <f>IFERROR(AVERAGE(AZ603,AZ604),"")</f>
        <v/>
      </c>
      <c r="BA605" s="378">
        <f>IFERROR(AVERAGE(BA603,BA604),"")</f>
        <v/>
      </c>
      <c r="BB605" s="378">
        <f>IFERROR(AVERAGE(BB603,BB604),"")</f>
        <v/>
      </c>
      <c r="BC605" s="378">
        <f>IFERROR(AVERAGE(BC603,BC604),"")</f>
        <v/>
      </c>
      <c r="BD605" s="1159">
        <f>IFERROR(AVERAGE(BD603,BD604),"")</f>
        <v/>
      </c>
      <c r="BE605" s="378">
        <f>IFERROR(AVERAGE(BE603,BE604),"")</f>
        <v/>
      </c>
      <c r="BF605" s="378">
        <f>IFERROR(AVERAGE(BF603,BF604),"")</f>
        <v/>
      </c>
      <c r="BG605" s="378">
        <f>IFERROR(AVERAGE(BG603,BG604),"")</f>
        <v/>
      </c>
      <c r="BH605" s="378">
        <f>IFERROR(AVERAGE(BH603,BH604),"")</f>
        <v/>
      </c>
      <c r="BI605" s="1159">
        <f>IFERROR(AVERAGE(BI603,BI604),"")</f>
        <v/>
      </c>
      <c r="BJ605" s="378">
        <f>IFERROR(AVERAGE(BJ603,BJ604),"")</f>
        <v/>
      </c>
      <c r="BK605" s="378">
        <f>IFERROR(AVERAGE(BK603,BK604),"")</f>
        <v/>
      </c>
      <c r="BL605" s="378">
        <f>IFERROR(AVERAGE(BL603,BL604),"")</f>
        <v/>
      </c>
      <c r="BM605" s="378">
        <f>IFERROR(AVERAGE(BM603,BM604),"")</f>
        <v/>
      </c>
      <c r="BN605" s="1159">
        <f>IFERROR(AVERAGE(BN603,BN604),"")</f>
        <v/>
      </c>
      <c r="BO605" s="378">
        <f>IFERROR(AVERAGE(BO603,BO604),"")</f>
        <v/>
      </c>
      <c r="BP605" s="378">
        <f>IFERROR(AVERAGE(BP603,BP604),"")</f>
        <v/>
      </c>
      <c r="BQ605" s="378">
        <f>IFERROR(AVERAGE(BQ603,BQ604),"")</f>
        <v/>
      </c>
      <c r="BR605" s="378">
        <f>IFERROR(AVERAGE(BR603,BR604),"")</f>
        <v/>
      </c>
      <c r="BS605" s="1159">
        <f>IFERROR(AVERAGE(BS603,BS604),"")</f>
        <v/>
      </c>
      <c r="BT605" s="378">
        <f>IFERROR(AVERAGE(BT603,BT604),"")</f>
        <v/>
      </c>
      <c r="BU605" s="378">
        <f>IFERROR(AVERAGE(BU603,BU604),"")</f>
        <v/>
      </c>
      <c r="BV605" s="1037">
        <f>IFERROR(AVERAGE(BV603,BV604),"")</f>
        <v/>
      </c>
      <c r="BW605" s="378" t="n"/>
      <c r="BX605" s="1159" t="n"/>
      <c r="BY605" s="378" t="n"/>
      <c r="BZ605" s="378" t="n"/>
      <c r="CA605" s="378" t="n"/>
      <c r="CB605" s="378" t="n"/>
      <c r="CC605" s="1159" t="n"/>
      <c r="CD605" s="1159" t="n"/>
      <c r="CE605" s="1159" t="n"/>
      <c r="CF605" s="1159" t="n"/>
      <c r="CG605" s="93" t="n"/>
    </row>
    <row r="606" hidden="1" outlineLevel="2" ht="15" customHeight="1">
      <c r="A606" s="492" t="inlineStr">
        <is>
          <t>Forward annual revenue guidance variance, mm</t>
        </is>
      </c>
      <c r="B606" s="428" t="n"/>
      <c r="C606" s="1134" t="n"/>
      <c r="D606" s="1134" t="n"/>
      <c r="E606" s="1134" t="n"/>
      <c r="F606" s="1134" t="n"/>
      <c r="G606" s="93" t="n"/>
      <c r="H606" s="93" t="n"/>
      <c r="I606" s="93" t="n"/>
      <c r="J606" s="93" t="n"/>
      <c r="K606" s="1134" t="n"/>
      <c r="L606" s="93" t="n"/>
      <c r="M606" s="93" t="n"/>
      <c r="N606" s="93" t="n"/>
      <c r="O606" s="93" t="n"/>
      <c r="P606" s="1134" t="n"/>
      <c r="Q606" s="93" t="n"/>
      <c r="R606" s="93" t="n"/>
      <c r="S606" s="93" t="n"/>
      <c r="T606" s="93" t="n"/>
      <c r="U606" s="1134" t="n"/>
      <c r="V606" s="93" t="n"/>
      <c r="W606" s="93" t="n"/>
      <c r="X606" s="93" t="n"/>
      <c r="Y606" s="93" t="n"/>
      <c r="Z606" s="1134" t="n"/>
      <c r="AA606" s="93" t="n"/>
      <c r="AB606" s="93" t="n"/>
      <c r="AC606" s="93" t="n"/>
      <c r="AD606" s="93" t="n"/>
      <c r="AE606" s="1134" t="n"/>
      <c r="AF606" s="93" t="n"/>
      <c r="AG606" s="93" t="n"/>
      <c r="AH606" s="93">
        <f>IFERROR(ABS(AH604-AH603),"")</f>
        <v/>
      </c>
      <c r="AI606" s="93">
        <f>IFERROR(ABS(AI604-AI603),"")</f>
        <v/>
      </c>
      <c r="AJ606" s="1134">
        <f>IFERROR(ABS(AJ604-AJ603),"")</f>
        <v/>
      </c>
      <c r="AK606" s="93">
        <f>IFERROR(ABS(AK604-AK603),"")</f>
        <v/>
      </c>
      <c r="AL606" s="93">
        <f>IFERROR(ABS(AL604-AL603),"")</f>
        <v/>
      </c>
      <c r="AM606" s="93">
        <f>IFERROR(ABS(AM604-AM603),"")</f>
        <v/>
      </c>
      <c r="AN606" s="93">
        <f>IFERROR(ABS(AN604-AN603),"")</f>
        <v/>
      </c>
      <c r="AO606" s="1134">
        <f>IFERROR(ABS(AO604-AO603),"")</f>
        <v/>
      </c>
      <c r="AP606" s="93">
        <f>IFERROR(ABS(AP604-AP603),"")</f>
        <v/>
      </c>
      <c r="AQ606" s="93">
        <f>IFERROR(ABS(AQ604-AQ603),"")</f>
        <v/>
      </c>
      <c r="AR606" s="93">
        <f>IFERROR(ABS(AR604-AR603),"")</f>
        <v/>
      </c>
      <c r="AS606" s="93">
        <f>IFERROR(ABS(AS604-AS603),"")</f>
        <v/>
      </c>
      <c r="AT606" s="1134">
        <f>IFERROR(ABS(AT604-AT603),"")</f>
        <v/>
      </c>
      <c r="AU606" s="93">
        <f>IFERROR(ABS(AU604-AU603),"")</f>
        <v/>
      </c>
      <c r="AV606" s="93">
        <f>IFERROR(ABS(AV604-AV603),"")</f>
        <v/>
      </c>
      <c r="AW606" s="93">
        <f>IFERROR(ABS(AW604-AW603),"")</f>
        <v/>
      </c>
      <c r="AX606" s="93">
        <f>IFERROR(ABS(AX604-AX603),"")</f>
        <v/>
      </c>
      <c r="AY606" s="1134">
        <f>IFERROR(ABS(AY604-AY603),"")</f>
        <v/>
      </c>
      <c r="AZ606" s="93">
        <f>IFERROR(ABS(AZ604-AZ603),"")</f>
        <v/>
      </c>
      <c r="BA606" s="93">
        <f>IFERROR(ABS(BA604-BA603),"")</f>
        <v/>
      </c>
      <c r="BB606" s="93">
        <f>IFERROR(ABS(BB604-BB603),"")</f>
        <v/>
      </c>
      <c r="BC606" s="93">
        <f>IFERROR(ABS(BC604-BC603),"")</f>
        <v/>
      </c>
      <c r="BD606" s="1134">
        <f>IFERROR(ABS(BD604-BD603),"")</f>
        <v/>
      </c>
      <c r="BE606" s="93">
        <f>IFERROR(ABS(BE604-BE603),"")</f>
        <v/>
      </c>
      <c r="BF606" s="93">
        <f>IFERROR(ABS(BF604-BF603),"")</f>
        <v/>
      </c>
      <c r="BG606" s="93">
        <f>IFERROR(ABS(BG604-BG603),"")</f>
        <v/>
      </c>
      <c r="BH606" s="93">
        <f>IFERROR(ABS(BH604-BH603),"")</f>
        <v/>
      </c>
      <c r="BI606" s="1134">
        <f>IFERROR(ABS(BI604-BI603),"")</f>
        <v/>
      </c>
      <c r="BJ606" s="93">
        <f>IFERROR(ABS(BJ604-BJ603),"")</f>
        <v/>
      </c>
      <c r="BK606" s="93">
        <f>IFERROR(ABS(BK604-BK603),"")</f>
        <v/>
      </c>
      <c r="BL606" s="93">
        <f>IFERROR(ABS(BL604-BL603),"")</f>
        <v/>
      </c>
      <c r="BM606" s="93">
        <f>IFERROR(ABS(BM604-BM603),"")</f>
        <v/>
      </c>
      <c r="BN606" s="1134">
        <f>IFERROR(ABS(BN604-BN603),"")</f>
        <v/>
      </c>
      <c r="BO606" s="93">
        <f>IFERROR(ABS(BO604-BO603),"")</f>
        <v/>
      </c>
      <c r="BP606" s="93">
        <f>IFERROR(ABS(BP604-BP603),"")</f>
        <v/>
      </c>
      <c r="BQ606" s="93">
        <f>IFERROR(ABS(BQ604-BQ603),"")</f>
        <v/>
      </c>
      <c r="BR606" s="93">
        <f>IFERROR(ABS(BR604-BR603),"")</f>
        <v/>
      </c>
      <c r="BS606" s="1134">
        <f>IFERROR(ABS(BS604-BS603),"")</f>
        <v/>
      </c>
      <c r="BT606" s="93">
        <f>IFERROR(ABS(BT604-BT603),"")</f>
        <v/>
      </c>
      <c r="BU606" s="93">
        <f>IFERROR(ABS(BU604-BU603),"")</f>
        <v/>
      </c>
      <c r="BV606" s="522">
        <f>IFERROR(ABS(BV604-BV603),"")</f>
        <v/>
      </c>
      <c r="BW606" s="93" t="n"/>
      <c r="BX606" s="1134" t="n"/>
      <c r="BY606" s="93" t="n"/>
      <c r="BZ606" s="93" t="n"/>
      <c r="CA606" s="93" t="n"/>
      <c r="CB606" s="93" t="n"/>
      <c r="CC606" s="1134" t="n"/>
      <c r="CD606" s="1134" t="n"/>
      <c r="CE606" s="1134" t="n"/>
      <c r="CF606" s="1134" t="n"/>
      <c r="CG606" s="93" t="n"/>
    </row>
    <row r="607" hidden="1" outlineLevel="2" ht="15" customHeight="1">
      <c r="A607" s="647" t="inlineStr">
        <is>
          <t>Forward annual revenue guidance variance (+/-), %</t>
        </is>
      </c>
      <c r="B607" s="428" t="n"/>
      <c r="C607" s="1126" t="n"/>
      <c r="D607" s="1126" t="n"/>
      <c r="E607" s="1126" t="n"/>
      <c r="F607" s="1126" t="n"/>
      <c r="G607" s="315" t="n"/>
      <c r="H607" s="315" t="n"/>
      <c r="I607" s="315" t="n"/>
      <c r="J607" s="315" t="n"/>
      <c r="K607" s="1126" t="n"/>
      <c r="L607" s="315" t="n"/>
      <c r="M607" s="315" t="n"/>
      <c r="N607" s="315" t="n"/>
      <c r="O607" s="315" t="n"/>
      <c r="P607" s="1126" t="n"/>
      <c r="Q607" s="315" t="n"/>
      <c r="R607" s="315" t="n"/>
      <c r="S607" s="315" t="n"/>
      <c r="T607" s="315" t="n"/>
      <c r="U607" s="1126" t="n"/>
      <c r="V607" s="315" t="n"/>
      <c r="W607" s="315" t="n"/>
      <c r="X607" s="315" t="n"/>
      <c r="Y607" s="315" t="n"/>
      <c r="Z607" s="1126" t="n"/>
      <c r="AA607" s="315" t="n"/>
      <c r="AB607" s="315" t="n"/>
      <c r="AC607" s="315" t="n"/>
      <c r="AD607" s="315" t="n"/>
      <c r="AE607" s="1126" t="n"/>
      <c r="AF607" s="315" t="n"/>
      <c r="AG607" s="315" t="n"/>
      <c r="AH607" s="315">
        <f>IFERROR(ABS((AH604-AH605)/AH605),"")</f>
        <v/>
      </c>
      <c r="AI607" s="315">
        <f>IFERROR(ABS((AI604-AI605)/AI605),"")</f>
        <v/>
      </c>
      <c r="AJ607" s="1126">
        <f>IFERROR(ABS((AJ604-AJ605)/AJ605),"")</f>
        <v/>
      </c>
      <c r="AK607" s="315">
        <f>IFERROR(ABS((AK604-AK605)/AK605),"")</f>
        <v/>
      </c>
      <c r="AL607" s="315">
        <f>IFERROR(ABS((AL604-AL605)/AL605),"")</f>
        <v/>
      </c>
      <c r="AM607" s="315">
        <f>IFERROR(ABS((AM604-AM605)/AM605),"")</f>
        <v/>
      </c>
      <c r="AN607" s="315">
        <f>IFERROR(ABS((AN604-AN605)/AN605),"")</f>
        <v/>
      </c>
      <c r="AO607" s="1126">
        <f>IFERROR(ABS((AO604-AO605)/AO605),"")</f>
        <v/>
      </c>
      <c r="AP607" s="315">
        <f>IFERROR(ABS((AP604-AP605)/AP605),"")</f>
        <v/>
      </c>
      <c r="AQ607" s="315">
        <f>IFERROR(ABS((AQ604-AQ605)/AQ605),"")</f>
        <v/>
      </c>
      <c r="AR607" s="315">
        <f>IFERROR(ABS((AR604-AR605)/AR605),"")</f>
        <v/>
      </c>
      <c r="AS607" s="315">
        <f>IFERROR(ABS((AS604-AS605)/AS605),"")</f>
        <v/>
      </c>
      <c r="AT607" s="1126">
        <f>IFERROR(ABS((AT604-AT605)/AT605),"")</f>
        <v/>
      </c>
      <c r="AU607" s="315">
        <f>IFERROR(ABS((AU604-AU605)/AU605),"")</f>
        <v/>
      </c>
      <c r="AV607" s="315">
        <f>IFERROR(ABS((AV604-AV605)/AV605),"")</f>
        <v/>
      </c>
      <c r="AW607" s="315">
        <f>IFERROR(ABS((AW604-AW605)/AW605),"")</f>
        <v/>
      </c>
      <c r="AX607" s="315">
        <f>IFERROR(ABS((AX604-AX605)/AX605),"")</f>
        <v/>
      </c>
      <c r="AY607" s="1126">
        <f>IFERROR(ABS((AY604-AY605)/AY605),"")</f>
        <v/>
      </c>
      <c r="AZ607" s="315">
        <f>IFERROR(ABS((AZ604-AZ605)/AZ605),"")</f>
        <v/>
      </c>
      <c r="BA607" s="315">
        <f>IFERROR(ABS((BA604-BA605)/BA605),"")</f>
        <v/>
      </c>
      <c r="BB607" s="315">
        <f>IFERROR(ABS((BB604-BB605)/BB605),"")</f>
        <v/>
      </c>
      <c r="BC607" s="315">
        <f>IFERROR(ABS((BC604-BC605)/BC605),"")</f>
        <v/>
      </c>
      <c r="BD607" s="1126">
        <f>IFERROR(ABS((BD604-BD605)/BD605),"")</f>
        <v/>
      </c>
      <c r="BE607" s="315">
        <f>IFERROR(ABS((BE604-BE605)/BE605),"")</f>
        <v/>
      </c>
      <c r="BF607" s="315">
        <f>IFERROR(ABS((BF604-BF605)/BF605),"")</f>
        <v/>
      </c>
      <c r="BG607" s="315">
        <f>IFERROR(ABS((BG604-BG605)/BG605),"")</f>
        <v/>
      </c>
      <c r="BH607" s="315">
        <f>IFERROR(ABS((BH604-BH605)/BH605),"")</f>
        <v/>
      </c>
      <c r="BI607" s="1126">
        <f>IFERROR(ABS((BI604-BI605)/BI605),"")</f>
        <v/>
      </c>
      <c r="BJ607" s="315">
        <f>IFERROR(ABS((BJ604-BJ605)/BJ605),"")</f>
        <v/>
      </c>
      <c r="BK607" s="315">
        <f>IFERROR(ABS((BK604-BK605)/BK605),"")</f>
        <v/>
      </c>
      <c r="BL607" s="315">
        <f>IFERROR(ABS((BL604-BL605)/BL605),"")</f>
        <v/>
      </c>
      <c r="BM607" s="315">
        <f>IFERROR(ABS((BM604-BM605)/BM605),"")</f>
        <v/>
      </c>
      <c r="BN607" s="1126">
        <f>IFERROR(ABS((BN604-BN605)/BN605),"")</f>
        <v/>
      </c>
      <c r="BO607" s="315">
        <f>IFERROR(ABS((BO604-BO605)/BO605),"")</f>
        <v/>
      </c>
      <c r="BP607" s="315">
        <f>IFERROR(ABS((BP604-BP605)/BP605),"")</f>
        <v/>
      </c>
      <c r="BQ607" s="315">
        <f>IFERROR(ABS((BQ604-BQ605)/BQ605),"")</f>
        <v/>
      </c>
      <c r="BR607" s="315">
        <f>IFERROR(ABS((BR604-BR605)/BR605),"")</f>
        <v/>
      </c>
      <c r="BS607" s="1126">
        <f>IFERROR(ABS((BS604-BS605)/BS605),"")</f>
        <v/>
      </c>
      <c r="BT607" s="315">
        <f>IFERROR(ABS((BT604-BT605)/BT605),"")</f>
        <v/>
      </c>
      <c r="BU607" s="315">
        <f>IFERROR(ABS((BU604-BU605)/BU605),"")</f>
        <v/>
      </c>
      <c r="BV607" s="885">
        <f>IFERROR(ABS((BV604-BV605)/BV605),"")</f>
        <v/>
      </c>
      <c r="BW607" s="315" t="n"/>
      <c r="BX607" s="1126" t="n"/>
      <c r="BY607" s="315" t="n"/>
      <c r="BZ607" s="315" t="n"/>
      <c r="CA607" s="315" t="n"/>
      <c r="CB607" s="315" t="n"/>
      <c r="CC607" s="1126" t="n"/>
      <c r="CD607" s="1126" t="n"/>
      <c r="CE607" s="1126" t="n"/>
      <c r="CF607" s="1126" t="n"/>
      <c r="CG607" s="93" t="n"/>
    </row>
    <row r="608" hidden="1" outlineLevel="3" ht="15" customHeight="1">
      <c r="A608" s="648" t="inlineStr">
        <is>
          <t>Forward annual guided Y/Y revenue growth - low, %</t>
        </is>
      </c>
      <c r="B608" s="112" t="n"/>
      <c r="C608" s="1113" t="n"/>
      <c r="D608" s="1113" t="n"/>
      <c r="E608" s="1113" t="n"/>
      <c r="F608" s="1113" t="n"/>
      <c r="G608" s="90" t="n"/>
      <c r="H608" s="90" t="n"/>
      <c r="I608" s="90" t="n"/>
      <c r="J608" s="90" t="n"/>
      <c r="K608" s="1113" t="n"/>
      <c r="L608" s="90" t="n"/>
      <c r="M608" s="90" t="n"/>
      <c r="N608" s="90" t="n"/>
      <c r="O608" s="90" t="n"/>
      <c r="P608" s="1113" t="n"/>
      <c r="Q608" s="90" t="n"/>
      <c r="R608" s="90" t="n"/>
      <c r="S608" s="90" t="n"/>
      <c r="T608" s="90" t="n"/>
      <c r="U608" s="1113" t="n"/>
      <c r="V608" s="90" t="n"/>
      <c r="W608" s="90" t="n"/>
      <c r="X608" s="90" t="n"/>
      <c r="Y608" s="90" t="n"/>
      <c r="Z608" s="1113" t="n"/>
      <c r="AA608" s="90" t="n"/>
      <c r="AB608" s="90" t="n"/>
      <c r="AC608" s="90" t="n"/>
      <c r="AD608" s="90" t="n"/>
      <c r="AE608" s="1113" t="n"/>
      <c r="AF608" s="90" t="n"/>
      <c r="AG608" s="90" t="n"/>
      <c r="AH608" s="90">
        <f>IFERROR(AH603/AE573-1,"")</f>
        <v/>
      </c>
      <c r="AI608" s="90">
        <f>IFERROR(AI603/AJ573-1,"")</f>
        <v/>
      </c>
      <c r="AJ608" s="1113">
        <f>IFERROR(AJ603/AJ573-1,"")</f>
        <v/>
      </c>
      <c r="AK608" s="90">
        <f>IFERROR(AK603/AJ573-1,"")</f>
        <v/>
      </c>
      <c r="AL608" s="90">
        <f>IFERROR(AL603/AJ573-1,"")</f>
        <v/>
      </c>
      <c r="AM608" s="90">
        <f>IFERROR(AM603/AJ573-1,"")</f>
        <v/>
      </c>
      <c r="AN608" s="90">
        <f>IFERROR(AN603/AO573-1,"")</f>
        <v/>
      </c>
      <c r="AO608" s="1113">
        <f>IFERROR(AO603/AO573-1,"")</f>
        <v/>
      </c>
      <c r="AP608" s="90">
        <f>IFERROR(AP603/AO573-1,"")</f>
        <v/>
      </c>
      <c r="AQ608" s="90">
        <f>IFERROR(AQ603/AO573-1,"")</f>
        <v/>
      </c>
      <c r="AR608" s="90">
        <f>IFERROR(AR603/AO573-1,"")</f>
        <v/>
      </c>
      <c r="AS608" s="90">
        <f>IFERROR(AS603/AT573-1,"")</f>
        <v/>
      </c>
      <c r="AT608" s="1113">
        <f>IFERROR(AT603/AT573-1,"")</f>
        <v/>
      </c>
      <c r="AU608" s="90">
        <f>IFERROR(AU603/AT573-1,"")</f>
        <v/>
      </c>
      <c r="AV608" s="90">
        <f>IFERROR(AV603/AT573-1,"")</f>
        <v/>
      </c>
      <c r="AW608" s="90">
        <f>IFERROR(AW603/AT573-1,"")</f>
        <v/>
      </c>
      <c r="AX608" s="90">
        <f>IFERROR(AX603/AY573-1,"")</f>
        <v/>
      </c>
      <c r="AY608" s="1113">
        <f>IFERROR(AY603/AY573-1,"")</f>
        <v/>
      </c>
      <c r="AZ608" s="90">
        <f>IFERROR(AZ603/AY573-1,"")</f>
        <v/>
      </c>
      <c r="BA608" s="90">
        <f>IFERROR(BA603/AY573-1,"")</f>
        <v/>
      </c>
      <c r="BB608" s="90">
        <f>IFERROR(BB603/AY573-1,"")</f>
        <v/>
      </c>
      <c r="BC608" s="90">
        <f>IFERROR(BC603/BD573-1,"")</f>
        <v/>
      </c>
      <c r="BD608" s="1113">
        <f>IFERROR(BD603/BD573-1,"")</f>
        <v/>
      </c>
      <c r="BE608" s="90">
        <f>IFERROR(BE603/BD573-1,"")</f>
        <v/>
      </c>
      <c r="BF608" s="90">
        <f>IFERROR(BF603/BD573-1,"")</f>
        <v/>
      </c>
      <c r="BG608" s="90">
        <f>IFERROR(BG603/BD573-1,"")</f>
        <v/>
      </c>
      <c r="BH608" s="90">
        <f>IFERROR(BH603/BI573-1,"")</f>
        <v/>
      </c>
      <c r="BI608" s="1113">
        <f>IFERROR(BI603/BI573-1,"")</f>
        <v/>
      </c>
      <c r="BJ608" s="90">
        <f>IFERROR(BJ603/BI573-1,"")</f>
        <v/>
      </c>
      <c r="BK608" s="90">
        <f>IFERROR(BK603/BI573-1,"")</f>
        <v/>
      </c>
      <c r="BL608" s="90">
        <f>IFERROR(BL603/BI573-1,"")</f>
        <v/>
      </c>
      <c r="BM608" s="90">
        <f>IFERROR(BM603/BN573-1,"")</f>
        <v/>
      </c>
      <c r="BN608" s="1113">
        <f>IFERROR(BN603/BN573-1,"")</f>
        <v/>
      </c>
      <c r="BO608" s="90">
        <f>IFERROR(BO603/BN573-1,"")</f>
        <v/>
      </c>
      <c r="BP608" s="90">
        <f>IFERROR(BP603/BN573-1,"")</f>
        <v/>
      </c>
      <c r="BQ608" s="90">
        <f>IFERROR(BQ603/BN573-1,"")</f>
        <v/>
      </c>
      <c r="BR608" s="90">
        <f>IFERROR(BR603/BS573-1,"")</f>
        <v/>
      </c>
      <c r="BS608" s="1113">
        <f>IFERROR(BS603/BS573-1,"")</f>
        <v/>
      </c>
      <c r="BT608" s="90">
        <f>IFERROR(BT603/BS573-1,"")</f>
        <v/>
      </c>
      <c r="BU608" s="90">
        <f>IFERROR(BU603/BS573-1,"")</f>
        <v/>
      </c>
      <c r="BV608" s="880">
        <f>IFERROR(BV603/BS573-1,"")</f>
        <v/>
      </c>
      <c r="BW608" s="90" t="n"/>
      <c r="BX608" s="1113" t="n"/>
      <c r="BY608" s="90" t="n"/>
      <c r="BZ608" s="90" t="n"/>
      <c r="CA608" s="90" t="n"/>
      <c r="CB608" s="90" t="n"/>
      <c r="CC608" s="1113" t="n"/>
      <c r="CD608" s="1113" t="n"/>
      <c r="CE608" s="1113" t="n"/>
      <c r="CF608" s="1113" t="n"/>
      <c r="CG608" s="93" t="n"/>
    </row>
    <row r="609" hidden="1" outlineLevel="3" ht="15" customHeight="1">
      <c r="A609" s="810" t="inlineStr">
        <is>
          <t>Forward annual guided Y/Y revenue growth - high, %</t>
        </is>
      </c>
      <c r="B609" s="804" t="n"/>
      <c r="C609" s="1194" t="n"/>
      <c r="D609" s="1194" t="n"/>
      <c r="E609" s="1194" t="n"/>
      <c r="F609" s="1194" t="n"/>
      <c r="G609" s="805" t="n"/>
      <c r="H609" s="805" t="n"/>
      <c r="I609" s="805" t="n"/>
      <c r="J609" s="805" t="n"/>
      <c r="K609" s="1194" t="n"/>
      <c r="L609" s="805" t="n"/>
      <c r="M609" s="805" t="n"/>
      <c r="N609" s="805" t="n"/>
      <c r="O609" s="805" t="n"/>
      <c r="P609" s="1194" t="n"/>
      <c r="Q609" s="805" t="n"/>
      <c r="R609" s="805" t="n"/>
      <c r="S609" s="805" t="n"/>
      <c r="T609" s="805" t="n"/>
      <c r="U609" s="1194" t="n"/>
      <c r="V609" s="805" t="n"/>
      <c r="W609" s="805" t="n"/>
      <c r="X609" s="805" t="n"/>
      <c r="Y609" s="805" t="n"/>
      <c r="Z609" s="1194" t="n"/>
      <c r="AA609" s="805" t="n"/>
      <c r="AB609" s="805" t="n"/>
      <c r="AC609" s="805" t="n"/>
      <c r="AD609" s="805" t="n"/>
      <c r="AE609" s="1194" t="n"/>
      <c r="AF609" s="805" t="n"/>
      <c r="AG609" s="805" t="n"/>
      <c r="AH609" s="805">
        <f>IFERROR(AH604/AE573-1,"")</f>
        <v/>
      </c>
      <c r="AI609" s="805">
        <f>IFERROR(AI604/AJ573-1,"")</f>
        <v/>
      </c>
      <c r="AJ609" s="1194">
        <f>IFERROR(AJ604/AJ573-1,"")</f>
        <v/>
      </c>
      <c r="AK609" s="805">
        <f>IFERROR(AK604/AJ573-1,"")</f>
        <v/>
      </c>
      <c r="AL609" s="805">
        <f>IFERROR(AL604/AJ573-1,"")</f>
        <v/>
      </c>
      <c r="AM609" s="805">
        <f>IFERROR(AM604/AJ573-1,"")</f>
        <v/>
      </c>
      <c r="AN609" s="805">
        <f>IFERROR(AN604/AO573-1,"")</f>
        <v/>
      </c>
      <c r="AO609" s="1194">
        <f>IFERROR(AO604/AO573-1,"")</f>
        <v/>
      </c>
      <c r="AP609" s="805">
        <f>IFERROR(AP604/AO573-1,"")</f>
        <v/>
      </c>
      <c r="AQ609" s="805">
        <f>IFERROR(AQ604/AO573-1,"")</f>
        <v/>
      </c>
      <c r="AR609" s="805">
        <f>IFERROR(AR604/AO573-1,"")</f>
        <v/>
      </c>
      <c r="AS609" s="805">
        <f>IFERROR(AS604/AT573-1,"")</f>
        <v/>
      </c>
      <c r="AT609" s="1194">
        <f>IFERROR(AT604/AT573-1,"")</f>
        <v/>
      </c>
      <c r="AU609" s="805">
        <f>IFERROR(AU604/AT573-1,"")</f>
        <v/>
      </c>
      <c r="AV609" s="805">
        <f>IFERROR(AV604/AT573-1,"")</f>
        <v/>
      </c>
      <c r="AW609" s="805">
        <f>IFERROR(AW604/AT573-1,"")</f>
        <v/>
      </c>
      <c r="AX609" s="805">
        <f>IFERROR(AX604/AY573-1,"")</f>
        <v/>
      </c>
      <c r="AY609" s="1194">
        <f>IFERROR(AY604/AY573-1,"")</f>
        <v/>
      </c>
      <c r="AZ609" s="805">
        <f>IFERROR(AZ604/AY573-1,"")</f>
        <v/>
      </c>
      <c r="BA609" s="805">
        <f>IFERROR(BA604/AY573-1,"")</f>
        <v/>
      </c>
      <c r="BB609" s="805">
        <f>IFERROR(BB604/AY573-1,"")</f>
        <v/>
      </c>
      <c r="BC609" s="805">
        <f>IFERROR(BC604/BD573-1,"")</f>
        <v/>
      </c>
      <c r="BD609" s="1194">
        <f>IFERROR(BD604/BD573-1,"")</f>
        <v/>
      </c>
      <c r="BE609" s="805">
        <f>IFERROR(BE604/BD573-1,"")</f>
        <v/>
      </c>
      <c r="BF609" s="805">
        <f>IFERROR(BF604/BD573-1,"")</f>
        <v/>
      </c>
      <c r="BG609" s="805">
        <f>IFERROR(BG604/BD573-1,"")</f>
        <v/>
      </c>
      <c r="BH609" s="805">
        <f>IFERROR(BH604/BI573-1,"")</f>
        <v/>
      </c>
      <c r="BI609" s="1194">
        <f>IFERROR(BI604/BI573-1,"")</f>
        <v/>
      </c>
      <c r="BJ609" s="805">
        <f>IFERROR(BJ604/BI573-1,"")</f>
        <v/>
      </c>
      <c r="BK609" s="805">
        <f>IFERROR(BK604/BI573-1,"")</f>
        <v/>
      </c>
      <c r="BL609" s="805">
        <f>IFERROR(BL604/BI573-1,"")</f>
        <v/>
      </c>
      <c r="BM609" s="805">
        <f>IFERROR(BM604/BN573-1,"")</f>
        <v/>
      </c>
      <c r="BN609" s="1194">
        <f>IFERROR(BN604/BN573-1,"")</f>
        <v/>
      </c>
      <c r="BO609" s="805">
        <f>IFERROR(BO604/BN573-1,"")</f>
        <v/>
      </c>
      <c r="BP609" s="805">
        <f>IFERROR(BP604/BN573-1,"")</f>
        <v/>
      </c>
      <c r="BQ609" s="805">
        <f>IFERROR(BQ604/BN573-1,"")</f>
        <v/>
      </c>
      <c r="BR609" s="805">
        <f>IFERROR(BR604/BS573-1,"")</f>
        <v/>
      </c>
      <c r="BS609" s="1194">
        <f>IFERROR(BS604/BS573-1,"")</f>
        <v/>
      </c>
      <c r="BT609" s="805">
        <f>IFERROR(BT604/BS573-1,"")</f>
        <v/>
      </c>
      <c r="BU609" s="805">
        <f>IFERROR(BU604/BS573-1,"")</f>
        <v/>
      </c>
      <c r="BV609" s="910">
        <f>IFERROR(BV604/BS573-1,"")</f>
        <v/>
      </c>
      <c r="BW609" s="805" t="n"/>
      <c r="BX609" s="1194" t="n"/>
      <c r="BY609" s="805" t="n"/>
      <c r="BZ609" s="805" t="n"/>
      <c r="CA609" s="805" t="n"/>
      <c r="CB609" s="805" t="n"/>
      <c r="CC609" s="1194" t="n"/>
      <c r="CD609" s="1194" t="n"/>
      <c r="CE609" s="1194" t="n"/>
      <c r="CF609" s="1194" t="n"/>
      <c r="CG609" s="93" t="n"/>
    </row>
    <row r="610" hidden="1" outlineLevel="2" collapsed="1" ht="15" customHeight="1">
      <c r="A610" s="371" t="inlineStr">
        <is>
          <t>Forward annual guided Y/Y revenue growth - midpoint, %</t>
        </is>
      </c>
      <c r="B610" s="112" t="n"/>
      <c r="C610" s="1113" t="n"/>
      <c r="D610" s="1113" t="n"/>
      <c r="E610" s="1113" t="n"/>
      <c r="F610" s="1113" t="n"/>
      <c r="G610" s="90" t="n"/>
      <c r="H610" s="90" t="n"/>
      <c r="I610" s="90" t="n"/>
      <c r="J610" s="90" t="n"/>
      <c r="K610" s="1113" t="n"/>
      <c r="L610" s="90" t="n"/>
      <c r="M610" s="90" t="n"/>
      <c r="N610" s="90" t="n"/>
      <c r="O610" s="90" t="n"/>
      <c r="P610" s="1113" t="n"/>
      <c r="Q610" s="90" t="n"/>
      <c r="R610" s="90" t="n"/>
      <c r="S610" s="90" t="n"/>
      <c r="T610" s="90" t="n"/>
      <c r="U610" s="1113" t="n"/>
      <c r="V610" s="90" t="n"/>
      <c r="W610" s="90" t="n"/>
      <c r="X610" s="90" t="n"/>
      <c r="Y610" s="90" t="n"/>
      <c r="Z610" s="1113" t="n"/>
      <c r="AA610" s="90" t="n"/>
      <c r="AB610" s="90" t="n"/>
      <c r="AC610" s="90" t="n"/>
      <c r="AD610" s="90" t="n"/>
      <c r="AE610" s="1113" t="n"/>
      <c r="AF610" s="90" t="n"/>
      <c r="AG610" s="90" t="n"/>
      <c r="AH610" s="90">
        <f>IFERROR(AH605/AE573-1,"")</f>
        <v/>
      </c>
      <c r="AI610" s="90">
        <f>IFERROR(AI605/AJ573-1,"")</f>
        <v/>
      </c>
      <c r="AJ610" s="1113">
        <f>IFERROR(AJ605/AJ573-1,"")</f>
        <v/>
      </c>
      <c r="AK610" s="90">
        <f>IFERROR(AK605/AJ573-1,"")</f>
        <v/>
      </c>
      <c r="AL610" s="90">
        <f>IFERROR(AL605/AJ573-1,"")</f>
        <v/>
      </c>
      <c r="AM610" s="90">
        <f>IFERROR(AM605/AJ573-1,"")</f>
        <v/>
      </c>
      <c r="AN610" s="90">
        <f>IFERROR(AN605/AO573-1,"")</f>
        <v/>
      </c>
      <c r="AO610" s="1113">
        <f>IFERROR(AO605/AO573-1,"")</f>
        <v/>
      </c>
      <c r="AP610" s="90">
        <f>IFERROR(AP605/AO573-1,"")</f>
        <v/>
      </c>
      <c r="AQ610" s="90">
        <f>IFERROR(AQ605/AO573-1,"")</f>
        <v/>
      </c>
      <c r="AR610" s="90">
        <f>IFERROR(AR605/AO573-1,"")</f>
        <v/>
      </c>
      <c r="AS610" s="90">
        <f>IFERROR(AS605/AT573-1,"")</f>
        <v/>
      </c>
      <c r="AT610" s="1113">
        <f>IFERROR(AT605/AT573-1,"")</f>
        <v/>
      </c>
      <c r="AU610" s="90">
        <f>IFERROR(AU605/AT573-1,"")</f>
        <v/>
      </c>
      <c r="AV610" s="90">
        <f>IFERROR(AV605/AT573-1,"")</f>
        <v/>
      </c>
      <c r="AW610" s="90">
        <f>IFERROR(AW605/AT573-1,"")</f>
        <v/>
      </c>
      <c r="AX610" s="90">
        <f>IFERROR(AX605/AY573-1,"")</f>
        <v/>
      </c>
      <c r="AY610" s="1113">
        <f>IFERROR(AY605/AY573-1,"")</f>
        <v/>
      </c>
      <c r="AZ610" s="90">
        <f>IFERROR(AZ605/AY573-1,"")</f>
        <v/>
      </c>
      <c r="BA610" s="90">
        <f>IFERROR(BA605/AY573-1,"")</f>
        <v/>
      </c>
      <c r="BB610" s="90">
        <f>IFERROR(BB605/AY573-1,"")</f>
        <v/>
      </c>
      <c r="BC610" s="90">
        <f>IFERROR(BC605/BD573-1,"")</f>
        <v/>
      </c>
      <c r="BD610" s="1113">
        <f>IFERROR(BD605/BD573-1,"")</f>
        <v/>
      </c>
      <c r="BE610" s="90">
        <f>IFERROR(BE605/BD573-1,"")</f>
        <v/>
      </c>
      <c r="BF610" s="90">
        <f>IFERROR(BF605/BD573-1,"")</f>
        <v/>
      </c>
      <c r="BG610" s="90">
        <f>IFERROR(BG605/BD573-1,"")</f>
        <v/>
      </c>
      <c r="BH610" s="90">
        <f>IFERROR(BH605/BI573-1,"")</f>
        <v/>
      </c>
      <c r="BI610" s="1113">
        <f>IFERROR(BI605/BI573-1,"")</f>
        <v/>
      </c>
      <c r="BJ610" s="90">
        <f>IFERROR(BJ605/BI573-1,"")</f>
        <v/>
      </c>
      <c r="BK610" s="90">
        <f>IFERROR(BK605/BI573-1,"")</f>
        <v/>
      </c>
      <c r="BL610" s="90">
        <f>IFERROR(BL605/BI573-1,"")</f>
        <v/>
      </c>
      <c r="BM610" s="90">
        <f>IFERROR(BM605/BN573-1,"")</f>
        <v/>
      </c>
      <c r="BN610" s="1113">
        <f>IFERROR(BN605/BN573-1,"")</f>
        <v/>
      </c>
      <c r="BO610" s="90">
        <f>IFERROR(BO605/BN573-1,"")</f>
        <v/>
      </c>
      <c r="BP610" s="90">
        <f>IFERROR(BP605/BN573-1,"")</f>
        <v/>
      </c>
      <c r="BQ610" s="90">
        <f>IFERROR(BQ605/BN573-1,"")</f>
        <v/>
      </c>
      <c r="BR610" s="90">
        <f>IFERROR(BR605/BS573-1,"")</f>
        <v/>
      </c>
      <c r="BS610" s="1113">
        <f>IFERROR(BS605/BS573-1,"")</f>
        <v/>
      </c>
      <c r="BT610" s="90">
        <f>IFERROR(BT605/BS573-1,"")</f>
        <v/>
      </c>
      <c r="BU610" s="90">
        <f>IFERROR(BU605/BS573-1,"")</f>
        <v/>
      </c>
      <c r="BV610" s="880">
        <f>IFERROR(BV605/BS573-1,"")</f>
        <v/>
      </c>
      <c r="BW610" s="90" t="n"/>
      <c r="BX610" s="1113" t="n"/>
      <c r="BY610" s="90" t="n"/>
      <c r="BZ610" s="90" t="n"/>
      <c r="CA610" s="90" t="n"/>
      <c r="CB610" s="90" t="n"/>
      <c r="CC610" s="1113" t="n"/>
      <c r="CD610" s="1113" t="n"/>
      <c r="CE610" s="1113" t="n"/>
      <c r="CF610" s="1113" t="n"/>
      <c r="CG610" s="93" t="n"/>
    </row>
    <row r="611" hidden="1" outlineLevel="2" ht="15" customHeight="1">
      <c r="A611" s="799" t="n"/>
      <c r="B611" s="428" t="n"/>
      <c r="C611" s="1134" t="n"/>
      <c r="D611" s="1134" t="n"/>
      <c r="E611" s="1134" t="n"/>
      <c r="F611" s="1134" t="n"/>
      <c r="G611" s="93" t="n"/>
      <c r="H611" s="93" t="n"/>
      <c r="I611" s="93" t="n"/>
      <c r="J611" s="93" t="n"/>
      <c r="K611" s="1134" t="n"/>
      <c r="L611" s="93" t="n"/>
      <c r="M611" s="93" t="n"/>
      <c r="N611" s="93" t="n"/>
      <c r="O611" s="93" t="n"/>
      <c r="P611" s="1134" t="n"/>
      <c r="Q611" s="93" t="n"/>
      <c r="R611" s="93" t="n"/>
      <c r="S611" s="93" t="n"/>
      <c r="T611" s="93" t="n"/>
      <c r="U611" s="1134" t="n"/>
      <c r="V611" s="93" t="n"/>
      <c r="W611" s="93" t="n"/>
      <c r="X611" s="93" t="n"/>
      <c r="Y611" s="93" t="n"/>
      <c r="Z611" s="1134" t="n"/>
      <c r="AA611" s="93" t="n"/>
      <c r="AB611" s="93" t="n"/>
      <c r="AC611" s="93" t="n"/>
      <c r="AD611" s="93" t="n"/>
      <c r="AE611" s="1134" t="n"/>
      <c r="AF611" s="93" t="n"/>
      <c r="AG611" s="93" t="n"/>
      <c r="AH611" s="93" t="n"/>
      <c r="AI611" s="93" t="n"/>
      <c r="AJ611" s="1134" t="n"/>
      <c r="AK611" s="93" t="n"/>
      <c r="AL611" s="93" t="n"/>
      <c r="AM611" s="93" t="n"/>
      <c r="AN611" s="93" t="n"/>
      <c r="AO611" s="1134" t="n"/>
      <c r="AP611" s="93" t="n"/>
      <c r="AQ611" s="93" t="n"/>
      <c r="AR611" s="93" t="n"/>
      <c r="AS611" s="93" t="n"/>
      <c r="AT611" s="1134" t="n"/>
      <c r="AU611" s="93" t="n"/>
      <c r="AV611" s="93" t="n"/>
      <c r="AW611" s="93" t="n"/>
      <c r="AX611" s="93" t="n"/>
      <c r="AY611" s="1134" t="n"/>
      <c r="AZ611" s="93" t="n"/>
      <c r="BA611" s="93" t="n"/>
      <c r="BB611" s="93" t="n"/>
      <c r="BC611" s="93" t="n"/>
      <c r="BD611" s="1134" t="n"/>
      <c r="BE611" s="93" t="n"/>
      <c r="BF611" s="93" t="n"/>
      <c r="BG611" s="93" t="n"/>
      <c r="BH611" s="93" t="n"/>
      <c r="BI611" s="1134" t="n"/>
      <c r="BJ611" s="93" t="n"/>
      <c r="BK611" s="93" t="n"/>
      <c r="BL611" s="93" t="n"/>
      <c r="BM611" s="93" t="n"/>
      <c r="BN611" s="1134" t="n"/>
      <c r="BO611" s="93" t="n"/>
      <c r="BP611" s="93" t="n"/>
      <c r="BQ611" s="93" t="n"/>
      <c r="BR611" s="93" t="n"/>
      <c r="BS611" s="1134" t="n"/>
      <c r="BT611" s="93" t="n"/>
      <c r="BU611" s="93" t="n"/>
      <c r="BV611" s="522" t="n"/>
      <c r="BW611" s="93" t="n"/>
      <c r="BX611" s="1134" t="n"/>
      <c r="BY611" s="93" t="n"/>
      <c r="BZ611" s="93" t="n"/>
      <c r="CA611" s="93" t="n"/>
      <c r="CB611" s="93" t="n"/>
      <c r="CC611" s="1134" t="n"/>
      <c r="CD611" s="1134" t="n"/>
      <c r="CE611" s="1134" t="n"/>
      <c r="CF611" s="1134" t="n"/>
      <c r="CG611" s="93" t="n"/>
    </row>
    <row r="612" hidden="1" outlineLevel="2" ht="15" customHeight="1">
      <c r="A612" s="492" t="inlineStr">
        <is>
          <t>Quarterly revenue guidance beat/(miss), mm</t>
        </is>
      </c>
      <c r="B612" s="428" t="n"/>
      <c r="C612" s="1134" t="n"/>
      <c r="D612" s="1134" t="n"/>
      <c r="E612" s="1134" t="n"/>
      <c r="F612" s="1134" t="n"/>
      <c r="G612" s="93" t="n"/>
      <c r="H612" s="93" t="n"/>
      <c r="I612" s="93" t="n"/>
      <c r="J612" s="93" t="n"/>
      <c r="K612" s="1134" t="n"/>
      <c r="L612" s="93" t="n"/>
      <c r="M612" s="93" t="n"/>
      <c r="N612" s="93" t="n"/>
      <c r="O612" s="93" t="n"/>
      <c r="P612" s="1134" t="n"/>
      <c r="Q612" s="93" t="n"/>
      <c r="R612" s="93" t="n"/>
      <c r="S612" s="93" t="n"/>
      <c r="T612" s="93" t="n"/>
      <c r="U612" s="1134" t="n"/>
      <c r="V612" s="93" t="n"/>
      <c r="W612" s="93" t="n"/>
      <c r="X612" s="93" t="n"/>
      <c r="Y612" s="93" t="n"/>
      <c r="Z612" s="1134" t="n"/>
      <c r="AA612" s="93" t="n"/>
      <c r="AB612" s="93" t="n"/>
      <c r="AC612" s="93" t="n"/>
      <c r="AD612" s="93" t="n"/>
      <c r="AE612" s="1134" t="n"/>
      <c r="AF612" s="93" t="n"/>
      <c r="AG612" s="93" t="n"/>
      <c r="AH612" s="93">
        <f>AH574</f>
        <v/>
      </c>
      <c r="AI612" s="93" t="n"/>
      <c r="AJ612" s="1134" t="n"/>
      <c r="AK612" s="93">
        <f>AK574</f>
        <v/>
      </c>
      <c r="AL612" s="93">
        <f>AL574</f>
        <v/>
      </c>
      <c r="AM612" s="93">
        <f>AM574</f>
        <v/>
      </c>
      <c r="AN612" s="93" t="n"/>
      <c r="AO612" s="1134" t="n"/>
      <c r="AP612" s="93">
        <f>AP574</f>
        <v/>
      </c>
      <c r="AQ612" s="93">
        <f>AQ574</f>
        <v/>
      </c>
      <c r="AR612" s="93">
        <f>AR574</f>
        <v/>
      </c>
      <c r="AS612" s="93" t="n"/>
      <c r="AT612" s="1134" t="n"/>
      <c r="AU612" s="93">
        <f>AU574</f>
        <v/>
      </c>
      <c r="AV612" s="93">
        <f>AV574</f>
        <v/>
      </c>
      <c r="AW612" s="93">
        <f>AW574</f>
        <v/>
      </c>
      <c r="AX612" s="93" t="n"/>
      <c r="AY612" s="1134" t="n"/>
      <c r="AZ612" s="93">
        <f>AZ574</f>
        <v/>
      </c>
      <c r="BA612" s="93">
        <f>BA574</f>
        <v/>
      </c>
      <c r="BB612" s="93">
        <f>BB574</f>
        <v/>
      </c>
      <c r="BC612" s="93" t="n"/>
      <c r="BD612" s="1134" t="n"/>
      <c r="BE612" s="93">
        <f>BE574</f>
        <v/>
      </c>
      <c r="BF612" s="93">
        <f>BF574</f>
        <v/>
      </c>
      <c r="BG612" s="93">
        <f>BG574</f>
        <v/>
      </c>
      <c r="BH612" s="93">
        <f>BH574</f>
        <v/>
      </c>
      <c r="BI612" s="1134" t="n"/>
      <c r="BJ612" s="93">
        <f>BJ574</f>
        <v/>
      </c>
      <c r="BK612" s="93">
        <f>BK574</f>
        <v/>
      </c>
      <c r="BL612" s="93">
        <f>BL574</f>
        <v/>
      </c>
      <c r="BM612" s="93">
        <f>BM574</f>
        <v/>
      </c>
      <c r="BN612" s="1134" t="n"/>
      <c r="BO612" s="93">
        <f>BO574</f>
        <v/>
      </c>
      <c r="BP612" s="93">
        <f>BP574</f>
        <v/>
      </c>
      <c r="BQ612" s="93">
        <f>BQ574</f>
        <v/>
      </c>
      <c r="BR612" s="93">
        <f>BR574</f>
        <v/>
      </c>
      <c r="BS612" s="1134" t="n"/>
      <c r="BT612" s="93">
        <f>BT574</f>
        <v/>
      </c>
      <c r="BU612" s="93">
        <f>BU574</f>
        <v/>
      </c>
      <c r="BV612" s="522">
        <f>BV574</f>
        <v/>
      </c>
      <c r="BW612" s="93" t="n"/>
      <c r="BX612" s="1134" t="n"/>
      <c r="BY612" s="93" t="n"/>
      <c r="BZ612" s="93" t="n"/>
      <c r="CA612" s="93" t="n"/>
      <c r="CB612" s="93" t="n"/>
      <c r="CC612" s="1134" t="n"/>
      <c r="CD612" s="1134" t="n"/>
      <c r="CE612" s="1134" t="n"/>
      <c r="CF612" s="1134" t="n"/>
      <c r="CG612" s="93" t="n"/>
    </row>
    <row r="613" hidden="1" outlineLevel="2" ht="15" customHeight="1">
      <c r="A613" s="812" t="inlineStr">
        <is>
          <t>Increase/(decrease) in revenue outlook for ROY, mm</t>
        </is>
      </c>
      <c r="B613" s="718" t="n"/>
      <c r="C613" s="1129" t="n"/>
      <c r="D613" s="1129" t="n"/>
      <c r="E613" s="1129" t="n"/>
      <c r="F613" s="1129" t="n"/>
      <c r="G613" s="983" t="n"/>
      <c r="H613" s="983" t="n"/>
      <c r="I613" s="983" t="n"/>
      <c r="J613" s="983" t="n"/>
      <c r="K613" s="1129" t="n"/>
      <c r="L613" s="983" t="n"/>
      <c r="M613" s="983" t="n"/>
      <c r="N613" s="983" t="n"/>
      <c r="O613" s="983" t="n"/>
      <c r="P613" s="1129" t="n"/>
      <c r="Q613" s="983" t="n"/>
      <c r="R613" s="983" t="n"/>
      <c r="S613" s="983" t="n"/>
      <c r="T613" s="983" t="n"/>
      <c r="U613" s="1129" t="n"/>
      <c r="V613" s="983" t="n"/>
      <c r="W613" s="983" t="n"/>
      <c r="X613" s="983" t="n"/>
      <c r="Y613" s="983" t="n"/>
      <c r="Z613" s="1129" t="n"/>
      <c r="AA613" s="983" t="n"/>
      <c r="AB613" s="983" t="n"/>
      <c r="AC613" s="983" t="n"/>
      <c r="AD613" s="983" t="n"/>
      <c r="AE613" s="1129" t="n"/>
      <c r="AF613" s="983" t="n"/>
      <c r="AG613" s="983" t="n"/>
      <c r="AH613" s="983">
        <f>IFERROR(AH614-AH612,"")</f>
        <v/>
      </c>
      <c r="AI613" s="983" t="n"/>
      <c r="AJ613" s="1129" t="n"/>
      <c r="AK613" s="983">
        <f>IFERROR(AK614-AK612,"")</f>
        <v/>
      </c>
      <c r="AL613" s="983">
        <f>IFERROR(AL614-AL612,"")</f>
        <v/>
      </c>
      <c r="AM613" s="983">
        <f>IFERROR(AM614-AM612,"")</f>
        <v/>
      </c>
      <c r="AN613" s="983" t="n"/>
      <c r="AO613" s="1129" t="n"/>
      <c r="AP613" s="983">
        <f>IFERROR(AP614-AP612,"")</f>
        <v/>
      </c>
      <c r="AQ613" s="983">
        <f>IFERROR(AQ614-AQ612,"")</f>
        <v/>
      </c>
      <c r="AR613" s="983">
        <f>IFERROR(AR614-AR612,"")</f>
        <v/>
      </c>
      <c r="AS613" s="983" t="n"/>
      <c r="AT613" s="1129" t="n"/>
      <c r="AU613" s="983">
        <f>IFERROR(AU614-AU612,"")</f>
        <v/>
      </c>
      <c r="AV613" s="983">
        <f>IFERROR(AV614-AV612,"")</f>
        <v/>
      </c>
      <c r="AW613" s="983">
        <f>IFERROR(AW614-AW612,"")</f>
        <v/>
      </c>
      <c r="AX613" s="983" t="n"/>
      <c r="AY613" s="1129" t="n"/>
      <c r="AZ613" s="983">
        <f>IFERROR(AZ614-AZ612,"")</f>
        <v/>
      </c>
      <c r="BA613" s="983">
        <f>IFERROR(BA614-BA612,"")</f>
        <v/>
      </c>
      <c r="BB613" s="983">
        <f>IFERROR(BB614-BB612,"")</f>
        <v/>
      </c>
      <c r="BC613" s="983" t="n"/>
      <c r="BD613" s="1129" t="n"/>
      <c r="BE613" s="983">
        <f>IFERROR(BE614-BE612,"")</f>
        <v/>
      </c>
      <c r="BF613" s="983">
        <f>IFERROR(BF614-BF612,"")</f>
        <v/>
      </c>
      <c r="BG613" s="983">
        <f>IFERROR(BG614-BG612,"")</f>
        <v/>
      </c>
      <c r="BH613" s="983" t="n"/>
      <c r="BI613" s="1129" t="n"/>
      <c r="BJ613" s="983">
        <f>IFERROR(BJ614-BJ612,"")</f>
        <v/>
      </c>
      <c r="BK613" s="983">
        <f>IFERROR(BK614-BK612,"")</f>
        <v/>
      </c>
      <c r="BL613" s="983">
        <f>IFERROR(BL614-BL612,"")</f>
        <v/>
      </c>
      <c r="BM613" s="983" t="n"/>
      <c r="BN613" s="1129" t="n"/>
      <c r="BO613" s="983">
        <f>IFERROR(BO614-BO612,"")</f>
        <v/>
      </c>
      <c r="BP613" s="983">
        <f>IFERROR(BP614-BP612,"")</f>
        <v/>
      </c>
      <c r="BQ613" s="983">
        <f>IFERROR(BQ614-BQ612,"")</f>
        <v/>
      </c>
      <c r="BR613" s="983" t="n"/>
      <c r="BS613" s="1129" t="n"/>
      <c r="BT613" s="983">
        <f>IFERROR(BT614-BT612,"")</f>
        <v/>
      </c>
      <c r="BU613" s="983">
        <f>IFERROR(BU614-BU612,"")</f>
        <v/>
      </c>
      <c r="BV613" s="984">
        <f>IFERROR(BV614-BV612,"")</f>
        <v/>
      </c>
      <c r="BW613" s="983" t="n"/>
      <c r="BX613" s="1129" t="n"/>
      <c r="BY613" s="983" t="n"/>
      <c r="BZ613" s="983" t="n"/>
      <c r="CA613" s="983" t="n"/>
      <c r="CB613" s="983" t="n"/>
      <c r="CC613" s="1129" t="n"/>
      <c r="CD613" s="1129" t="n"/>
      <c r="CE613" s="1129" t="n"/>
      <c r="CF613" s="1129" t="n"/>
      <c r="CG613" s="93" t="n"/>
    </row>
    <row r="614" hidden="1" outlineLevel="2" ht="15" customHeight="1">
      <c r="A614" s="814" t="inlineStr">
        <is>
          <t>Total FY revenue guidance raise/(lower), mm</t>
        </is>
      </c>
      <c r="B614" s="815" t="n"/>
      <c r="C614" s="1196" t="n"/>
      <c r="D614" s="1196" t="n"/>
      <c r="E614" s="1196" t="n"/>
      <c r="F614" s="1196" t="n"/>
      <c r="G614" s="351" t="n"/>
      <c r="H614" s="351" t="n"/>
      <c r="I614" s="351" t="n"/>
      <c r="J614" s="351" t="n"/>
      <c r="K614" s="1196" t="n"/>
      <c r="L614" s="351" t="n"/>
      <c r="M614" s="351" t="n"/>
      <c r="N614" s="351" t="n"/>
      <c r="O614" s="351" t="n"/>
      <c r="P614" s="1196" t="n"/>
      <c r="Q614" s="351" t="n"/>
      <c r="R614" s="351" t="n"/>
      <c r="S614" s="351" t="n"/>
      <c r="T614" s="351" t="n"/>
      <c r="U614" s="1196" t="n"/>
      <c r="V614" s="351" t="n"/>
      <c r="W614" s="351" t="n"/>
      <c r="X614" s="351" t="n"/>
      <c r="Y614" s="351" t="n"/>
      <c r="Z614" s="1196" t="n"/>
      <c r="AA614" s="351" t="n"/>
      <c r="AB614" s="351" t="n"/>
      <c r="AC614" s="351" t="n"/>
      <c r="AD614" s="351" t="n"/>
      <c r="AE614" s="1196" t="n"/>
      <c r="AF614" s="351" t="n"/>
      <c r="AG614" s="351" t="n"/>
      <c r="AH614" s="351">
        <f>IFERROR(AH605-AG605,"")</f>
        <v/>
      </c>
      <c r="AI614" s="351" t="n"/>
      <c r="AJ614" s="1196" t="n"/>
      <c r="AK614" s="351">
        <f>IFERROR(AK605-AI605,"")</f>
        <v/>
      </c>
      <c r="AL614" s="351">
        <f>IFERROR(AL605-AK605,"")</f>
        <v/>
      </c>
      <c r="AM614" s="351">
        <f>IFERROR(AM605-AL605,"")</f>
        <v/>
      </c>
      <c r="AN614" s="351" t="n"/>
      <c r="AO614" s="1196" t="n"/>
      <c r="AP614" s="351">
        <f>IFERROR(AP605-AN605,"")</f>
        <v/>
      </c>
      <c r="AQ614" s="351">
        <f>IFERROR(AQ605-AP605,"")</f>
        <v/>
      </c>
      <c r="AR614" s="351">
        <f>IFERROR(AR605-AQ605,"")</f>
        <v/>
      </c>
      <c r="AS614" s="351" t="n"/>
      <c r="AT614" s="1196" t="n"/>
      <c r="AU614" s="351">
        <f>IFERROR(AU605-AS605,"")</f>
        <v/>
      </c>
      <c r="AV614" s="351">
        <f>IFERROR(AV605-AU605,"")</f>
        <v/>
      </c>
      <c r="AW614" s="351">
        <f>IFERROR(AW605-AV605,"")</f>
        <v/>
      </c>
      <c r="AX614" s="351" t="n"/>
      <c r="AY614" s="1196" t="n"/>
      <c r="AZ614" s="351">
        <f>IFERROR(AZ605-AX605,"")</f>
        <v/>
      </c>
      <c r="BA614" s="351">
        <f>IFERROR(BA605-AZ605,"")</f>
        <v/>
      </c>
      <c r="BB614" s="351">
        <f>IFERROR(BB605-BA605,"")</f>
        <v/>
      </c>
      <c r="BC614" s="351" t="n"/>
      <c r="BD614" s="1196" t="n"/>
      <c r="BE614" s="351">
        <f>IFERROR(BE605-BC605,"")</f>
        <v/>
      </c>
      <c r="BF614" s="351">
        <f>IFERROR(BF605-BE605,"")</f>
        <v/>
      </c>
      <c r="BG614" s="351">
        <f>IFERROR(BG605-BF605,"")</f>
        <v/>
      </c>
      <c r="BH614" s="351" t="n"/>
      <c r="BI614" s="1196" t="n"/>
      <c r="BJ614" s="351">
        <f>IFERROR(BJ605-BH605,"")</f>
        <v/>
      </c>
      <c r="BK614" s="351">
        <f>IFERROR(BK605-BJ605,"")</f>
        <v/>
      </c>
      <c r="BL614" s="351">
        <f>IFERROR(BL605-BK605,"")</f>
        <v/>
      </c>
      <c r="BM614" s="351" t="n"/>
      <c r="BN614" s="1196" t="n"/>
      <c r="BO614" s="351">
        <f>IFERROR(BO605-BM605,"")</f>
        <v/>
      </c>
      <c r="BP614" s="351">
        <f>IFERROR(BP605-BO605,"")</f>
        <v/>
      </c>
      <c r="BQ614" s="351">
        <f>IFERROR(BQ605-BP605,"")</f>
        <v/>
      </c>
      <c r="BR614" s="351" t="n"/>
      <c r="BS614" s="1196" t="n"/>
      <c r="BT614" s="351">
        <f>IFERROR(BT605-BR605,"")</f>
        <v/>
      </c>
      <c r="BU614" s="351">
        <f>IFERROR(BU605-BT605,"")</f>
        <v/>
      </c>
      <c r="BV614" s="1039">
        <f>IFERROR(BV605-BU605,"")</f>
        <v/>
      </c>
      <c r="BW614" s="351" t="n"/>
      <c r="BX614" s="1196" t="n"/>
      <c r="BY614" s="351" t="n"/>
      <c r="BZ614" s="351" t="n"/>
      <c r="CA614" s="351" t="n"/>
      <c r="CB614" s="351" t="n"/>
      <c r="CC614" s="1196" t="n"/>
      <c r="CD614" s="1196" t="n"/>
      <c r="CE614" s="1196" t="n"/>
      <c r="CF614" s="1196" t="n"/>
      <c r="CG614" s="93" t="n"/>
    </row>
    <row r="615" hidden="1" outlineLevel="2" ht="15" customHeight="1">
      <c r="A615" s="371" t="inlineStr">
        <is>
          <t>Sequential increase/(decrease) in forward FY revenue guidance, %</t>
        </is>
      </c>
      <c r="B615" s="112" t="n"/>
      <c r="C615" s="1113" t="n"/>
      <c r="D615" s="1113" t="n"/>
      <c r="E615" s="1113" t="n"/>
      <c r="F615" s="1113" t="n"/>
      <c r="G615" s="90" t="n"/>
      <c r="H615" s="90" t="n"/>
      <c r="I615" s="90" t="n"/>
      <c r="J615" s="90" t="n"/>
      <c r="K615" s="1113" t="n"/>
      <c r="L615" s="90" t="n"/>
      <c r="M615" s="90" t="n"/>
      <c r="N615" s="90" t="n"/>
      <c r="O615" s="90" t="n"/>
      <c r="P615" s="1113" t="n"/>
      <c r="Q615" s="90" t="n"/>
      <c r="R615" s="90" t="n"/>
      <c r="S615" s="90" t="n"/>
      <c r="T615" s="90" t="n"/>
      <c r="U615" s="1113" t="n"/>
      <c r="V615" s="90" t="n"/>
      <c r="W615" s="90" t="n"/>
      <c r="X615" s="90" t="n"/>
      <c r="Y615" s="90" t="n"/>
      <c r="Z615" s="1113" t="n"/>
      <c r="AA615" s="90" t="n"/>
      <c r="AB615" s="90" t="n"/>
      <c r="AC615" s="90" t="n"/>
      <c r="AD615" s="90" t="n"/>
      <c r="AE615" s="1113" t="n"/>
      <c r="AF615" s="90" t="n"/>
      <c r="AG615" s="90" t="n"/>
      <c r="AH615" s="90">
        <f>IFERROR(AH605/AG605-1,"")</f>
        <v/>
      </c>
      <c r="AI615" s="90" t="n"/>
      <c r="AJ615" s="1113" t="n"/>
      <c r="AK615" s="90">
        <f>IFERROR(AK605/AI605-1,"")</f>
        <v/>
      </c>
      <c r="AL615" s="90">
        <f>IFERROR(AL605/AK605-1,"")</f>
        <v/>
      </c>
      <c r="AM615" s="90">
        <f>IFERROR(AM605/AL605-1,"")</f>
        <v/>
      </c>
      <c r="AN615" s="90" t="n"/>
      <c r="AO615" s="1113" t="n"/>
      <c r="AP615" s="90">
        <f>IFERROR(AP605/AN605-1,"")</f>
        <v/>
      </c>
      <c r="AQ615" s="90">
        <f>IFERROR(AQ605/AP605-1,"")</f>
        <v/>
      </c>
      <c r="AR615" s="90">
        <f>IFERROR(AR605/AQ605-1,"")</f>
        <v/>
      </c>
      <c r="AS615" s="90" t="n"/>
      <c r="AT615" s="1113" t="n"/>
      <c r="AU615" s="90">
        <f>IFERROR(AU605/AS605-1,"")</f>
        <v/>
      </c>
      <c r="AV615" s="90">
        <f>IFERROR(AV605/AU605-1,"")</f>
        <v/>
      </c>
      <c r="AW615" s="90">
        <f>IFERROR(AW605/AV605-1,"")</f>
        <v/>
      </c>
      <c r="AX615" s="90" t="n"/>
      <c r="AY615" s="1113" t="n"/>
      <c r="AZ615" s="90">
        <f>IFERROR(AZ605/AX605-1,"")</f>
        <v/>
      </c>
      <c r="BA615" s="90">
        <f>IFERROR(BA605/AZ605-1,"")</f>
        <v/>
      </c>
      <c r="BB615" s="90">
        <f>IFERROR(BB605/BA605-1,"")</f>
        <v/>
      </c>
      <c r="BC615" s="90" t="n"/>
      <c r="BD615" s="1113" t="n"/>
      <c r="BE615" s="90">
        <f>IFERROR(BE605/BC605-1,"")</f>
        <v/>
      </c>
      <c r="BF615" s="90">
        <f>IFERROR(BF605/BE605-1,"")</f>
        <v/>
      </c>
      <c r="BG615" s="90">
        <f>IFERROR(BG605/BF605-1,"")</f>
        <v/>
      </c>
      <c r="BH615" s="90" t="n"/>
      <c r="BI615" s="1113" t="n"/>
      <c r="BJ615" s="90">
        <f>IFERROR(BJ605/BH605-1,"")</f>
        <v/>
      </c>
      <c r="BK615" s="90">
        <f>IFERROR(BK605/BJ605-1,"")</f>
        <v/>
      </c>
      <c r="BL615" s="90">
        <f>IFERROR(BL605/BK605-1,"")</f>
        <v/>
      </c>
      <c r="BM615" s="90" t="n"/>
      <c r="BN615" s="1113" t="n"/>
      <c r="BO615" s="90">
        <f>IFERROR(BO605/BM605-1,"")</f>
        <v/>
      </c>
      <c r="BP615" s="90">
        <f>IFERROR(BP605/BO605-1,"")</f>
        <v/>
      </c>
      <c r="BQ615" s="90">
        <f>IFERROR(BQ605/BP605-1,"")</f>
        <v/>
      </c>
      <c r="BR615" s="90" t="n"/>
      <c r="BS615" s="1113" t="n"/>
      <c r="BT615" s="90">
        <f>IFERROR(BT605/BR605-1,"")</f>
        <v/>
      </c>
      <c r="BU615" s="90">
        <f>IFERROR(BU605/BT605-1,"")</f>
        <v/>
      </c>
      <c r="BV615" s="880">
        <f>IFERROR(BV605/BU605-1,"")</f>
        <v/>
      </c>
      <c r="BW615" s="90" t="n"/>
      <c r="BX615" s="1113" t="n"/>
      <c r="BY615" s="90" t="n"/>
      <c r="BZ615" s="90" t="n"/>
      <c r="CA615" s="90" t="n"/>
      <c r="CB615" s="90" t="n"/>
      <c r="CC615" s="1113" t="n"/>
      <c r="CD615" s="1113" t="n"/>
      <c r="CE615" s="1113" t="n"/>
      <c r="CF615" s="1113" t="n"/>
      <c r="CG615" s="93" t="n"/>
    </row>
    <row r="616" hidden="1" outlineLevel="2" ht="15" customHeight="1">
      <c r="A616" s="799" t="n"/>
      <c r="B616" s="428" t="n"/>
      <c r="C616" s="1134" t="n"/>
      <c r="D616" s="1134" t="n"/>
      <c r="E616" s="1134" t="n"/>
      <c r="F616" s="1134" t="n"/>
      <c r="G616" s="93" t="n"/>
      <c r="H616" s="93" t="n"/>
      <c r="I616" s="93" t="n"/>
      <c r="J616" s="93" t="n"/>
      <c r="K616" s="1134" t="n"/>
      <c r="L616" s="93" t="n"/>
      <c r="M616" s="93" t="n"/>
      <c r="N616" s="93" t="n"/>
      <c r="O616" s="93" t="n"/>
      <c r="P616" s="1134" t="n"/>
      <c r="Q616" s="93" t="n"/>
      <c r="R616" s="93" t="n"/>
      <c r="S616" s="93" t="n"/>
      <c r="T616" s="93" t="n"/>
      <c r="U616" s="1134" t="n"/>
      <c r="V616" s="93" t="n"/>
      <c r="W616" s="93" t="n"/>
      <c r="X616" s="93" t="n"/>
      <c r="Y616" s="93" t="n"/>
      <c r="Z616" s="1134" t="n"/>
      <c r="AA616" s="93" t="n"/>
      <c r="AB616" s="93" t="n"/>
      <c r="AC616" s="93" t="n"/>
      <c r="AD616" s="93" t="n"/>
      <c r="AE616" s="1134" t="n"/>
      <c r="AF616" s="93" t="n"/>
      <c r="AG616" s="93" t="n"/>
      <c r="AH616" s="93" t="n"/>
      <c r="AI616" s="93" t="n"/>
      <c r="AJ616" s="1134" t="n"/>
      <c r="AK616" s="93" t="n"/>
      <c r="AL616" s="93" t="n"/>
      <c r="AM616" s="93" t="n"/>
      <c r="AN616" s="93" t="n"/>
      <c r="AO616" s="1134" t="n"/>
      <c r="AP616" s="93" t="n"/>
      <c r="AQ616" s="93" t="n"/>
      <c r="AR616" s="93" t="n"/>
      <c r="AS616" s="93" t="n"/>
      <c r="AT616" s="1134" t="n"/>
      <c r="AU616" s="93" t="n"/>
      <c r="AV616" s="93" t="n"/>
      <c r="AW616" s="93" t="n"/>
      <c r="AX616" s="93" t="n"/>
      <c r="AY616" s="1134" t="n"/>
      <c r="AZ616" s="93" t="n"/>
      <c r="BA616" s="93" t="n"/>
      <c r="BB616" s="93" t="n"/>
      <c r="BC616" s="93" t="n"/>
      <c r="BD616" s="1134" t="n"/>
      <c r="BE616" s="93" t="n"/>
      <c r="BF616" s="93" t="n"/>
      <c r="BG616" s="93" t="n"/>
      <c r="BH616" s="93" t="n"/>
      <c r="BI616" s="1134" t="n"/>
      <c r="BJ616" s="93" t="n"/>
      <c r="BK616" s="93" t="n"/>
      <c r="BL616" s="93" t="n"/>
      <c r="BM616" s="93" t="n"/>
      <c r="BN616" s="1134" t="n"/>
      <c r="BO616" s="93" t="n"/>
      <c r="BP616" s="93" t="n"/>
      <c r="BQ616" s="93" t="n"/>
      <c r="BR616" s="93" t="n"/>
      <c r="BS616" s="1134" t="n"/>
      <c r="BT616" s="93" t="n"/>
      <c r="BU616" s="93" t="n"/>
      <c r="BV616" s="522" t="n"/>
      <c r="BW616" s="93" t="n"/>
      <c r="BX616" s="1134" t="n"/>
      <c r="BY616" s="93" t="n"/>
      <c r="BZ616" s="93" t="n"/>
      <c r="CA616" s="93" t="n"/>
      <c r="CB616" s="93" t="n"/>
      <c r="CC616" s="1134" t="n"/>
      <c r="CD616" s="1134" t="n"/>
      <c r="CE616" s="1134" t="n"/>
      <c r="CF616" s="1134" t="n"/>
      <c r="CG616" s="93" t="n"/>
    </row>
    <row r="617" hidden="1" outlineLevel="2" ht="15" customHeight="1">
      <c r="A617" s="636" t="inlineStr">
        <is>
          <t>Implied rest of year revenue at BoP, mm</t>
        </is>
      </c>
      <c r="B617" s="428" t="n"/>
      <c r="C617" s="1110" t="n"/>
      <c r="D617" s="1110" t="n"/>
      <c r="E617" s="1110" t="n"/>
      <c r="F617" s="1110" t="n"/>
      <c r="G617" s="68" t="n"/>
      <c r="H617" s="68" t="n"/>
      <c r="I617" s="68" t="n"/>
      <c r="J617" s="68" t="n"/>
      <c r="K617" s="1110" t="n"/>
      <c r="L617" s="68" t="n"/>
      <c r="M617" s="68" t="n"/>
      <c r="N617" s="68" t="n"/>
      <c r="O617" s="68" t="n"/>
      <c r="P617" s="1110" t="n"/>
      <c r="Q617" s="68" t="n"/>
      <c r="R617" s="68" t="n"/>
      <c r="S617" s="68" t="n"/>
      <c r="T617" s="68" t="n"/>
      <c r="U617" s="1110" t="n"/>
      <c r="V617" s="68" t="n"/>
      <c r="W617" s="68" t="n"/>
      <c r="X617" s="68" t="n"/>
      <c r="Y617" s="68" t="n"/>
      <c r="Z617" s="1110" t="n"/>
      <c r="AA617" s="68" t="n"/>
      <c r="AB617" s="68" t="n"/>
      <c r="AC617" s="68" t="n"/>
      <c r="AD617" s="68" t="n"/>
      <c r="AE617" s="1110" t="n"/>
      <c r="AF617" s="68" t="n"/>
      <c r="AG617" s="68" t="n"/>
      <c r="AH617" s="68">
        <f>IFERROR(AG618-AG588,"")</f>
        <v/>
      </c>
      <c r="AI617" s="68" t="n"/>
      <c r="AJ617" s="1110" t="n"/>
      <c r="AK617" s="68">
        <f>IFERROR(AI605-AI588,"")</f>
        <v/>
      </c>
      <c r="AL617" s="68">
        <f>IFERROR(AK618-AK588,"")</f>
        <v/>
      </c>
      <c r="AM617" s="68">
        <f>IFERROR(AL618-AL588,"")</f>
        <v/>
      </c>
      <c r="AN617" s="68" t="n"/>
      <c r="AO617" s="1110" t="n"/>
      <c r="AP617" s="68">
        <f>IFERROR(AN605-AN588,"")</f>
        <v/>
      </c>
      <c r="AQ617" s="68">
        <f>IFERROR(AP618-AP588,"")</f>
        <v/>
      </c>
      <c r="AR617" s="68">
        <f>IFERROR(AQ618-AQ588,"")</f>
        <v/>
      </c>
      <c r="AS617" s="68" t="n"/>
      <c r="AT617" s="1110" t="n"/>
      <c r="AU617" s="68">
        <f>IFERROR(AS605-AS588,"")</f>
        <v/>
      </c>
      <c r="AV617" s="68">
        <f>IFERROR(AU618-AU588,"")</f>
        <v/>
      </c>
      <c r="AW617" s="68">
        <f>IFERROR(AV618-AV588,"")</f>
        <v/>
      </c>
      <c r="AX617" s="68" t="n"/>
      <c r="AY617" s="1110" t="n"/>
      <c r="AZ617" s="68">
        <f>IFERROR(AX605-AX588,"")</f>
        <v/>
      </c>
      <c r="BA617" s="68">
        <f>IFERROR(AZ618-AZ588,"")</f>
        <v/>
      </c>
      <c r="BB617" s="68">
        <f>IFERROR(BA618-BA588,"")</f>
        <v/>
      </c>
      <c r="BC617" s="68" t="n"/>
      <c r="BD617" s="1110" t="n"/>
      <c r="BE617" s="68">
        <f>IFERROR(BC605-BC588,"")</f>
        <v/>
      </c>
      <c r="BF617" s="68">
        <f>IFERROR(BE618-BE588,"")</f>
        <v/>
      </c>
      <c r="BG617" s="68">
        <f>IFERROR(BF618-BF588,"")</f>
        <v/>
      </c>
      <c r="BH617" s="68" t="n"/>
      <c r="BI617" s="1110" t="n"/>
      <c r="BJ617" s="68">
        <f>IFERROR(BH605-BH588,"")</f>
        <v/>
      </c>
      <c r="BK617" s="68">
        <f>IFERROR(BJ618-BJ588,"")</f>
        <v/>
      </c>
      <c r="BL617" s="68">
        <f>IFERROR(BK618-BK588,"")</f>
        <v/>
      </c>
      <c r="BM617" s="68" t="n"/>
      <c r="BN617" s="1110" t="n"/>
      <c r="BO617" s="68">
        <f>IFERROR(BM605-BM588,"")</f>
        <v/>
      </c>
      <c r="BP617" s="68">
        <f>IFERROR(BO618-BO588,"")</f>
        <v/>
      </c>
      <c r="BQ617" s="68">
        <f>IFERROR(BP618-BP588,"")</f>
        <v/>
      </c>
      <c r="BR617" s="68" t="n"/>
      <c r="BS617" s="1110" t="n"/>
      <c r="BT617" s="68">
        <f>IFERROR(BR605-BR588,"")</f>
        <v/>
      </c>
      <c r="BU617" s="68">
        <f>IFERROR(BT618-BT588,"")</f>
        <v/>
      </c>
      <c r="BV617" s="588">
        <f>IFERROR(BU618-BU588,"")</f>
        <v/>
      </c>
      <c r="BW617" s="68" t="n"/>
      <c r="BX617" s="1110" t="n"/>
      <c r="BY617" s="68" t="n"/>
      <c r="BZ617" s="68" t="n"/>
      <c r="CA617" s="68" t="n"/>
      <c r="CB617" s="68" t="n"/>
      <c r="CC617" s="1110" t="n"/>
      <c r="CD617" s="1110" t="n"/>
      <c r="CE617" s="1110" t="n"/>
      <c r="CF617" s="1110" t="n"/>
      <c r="CG617" s="93" t="n"/>
    </row>
    <row r="618" hidden="1" outlineLevel="2" ht="15" customHeight="1">
      <c r="A618" s="636" t="inlineStr">
        <is>
          <t>Implied rest of year revenue at EoP, mm</t>
        </is>
      </c>
      <c r="B618" s="428" t="n"/>
      <c r="C618" s="1110" t="n"/>
      <c r="D618" s="1110" t="n"/>
      <c r="E618" s="1110" t="n"/>
      <c r="F618" s="1110" t="n"/>
      <c r="G618" s="68" t="n"/>
      <c r="H618" s="68" t="n"/>
      <c r="I618" s="68" t="n"/>
      <c r="J618" s="68" t="n"/>
      <c r="K618" s="1110" t="n"/>
      <c r="L618" s="68" t="n"/>
      <c r="M618" s="68" t="n"/>
      <c r="N618" s="68" t="n"/>
      <c r="O618" s="68" t="n"/>
      <c r="P618" s="1110" t="n"/>
      <c r="Q618" s="68" t="n"/>
      <c r="R618" s="68" t="n"/>
      <c r="S618" s="68" t="n"/>
      <c r="T618" s="68" t="n"/>
      <c r="U618" s="1110" t="n"/>
      <c r="V618" s="68" t="n"/>
      <c r="W618" s="68" t="n"/>
      <c r="X618" s="68" t="n"/>
      <c r="Y618" s="68" t="n"/>
      <c r="Z618" s="1110" t="n"/>
      <c r="AA618" s="68" t="n"/>
      <c r="AB618" s="68" t="n"/>
      <c r="AC618" s="68" t="n"/>
      <c r="AD618" s="68" t="n"/>
      <c r="AE618" s="1110" t="n"/>
      <c r="AF618" s="68" t="n"/>
      <c r="AG618" s="68" t="n"/>
      <c r="AH618" s="68">
        <f>IFERROR(AH605-SUM(AH573,AG573,AF573),"")</f>
        <v/>
      </c>
      <c r="AI618" s="68" t="n"/>
      <c r="AJ618" s="1110" t="n"/>
      <c r="AK618" s="68">
        <f>IFERROR(AK605-SUM(AK573),"")</f>
        <v/>
      </c>
      <c r="AL618" s="68">
        <f>IFERROR(AL605-SUM(AL573,AK573),"")</f>
        <v/>
      </c>
      <c r="AM618" s="68">
        <f>IFERROR(AM605-SUM(AM573,AL573,AK573),"")</f>
        <v/>
      </c>
      <c r="AN618" s="68" t="n"/>
      <c r="AO618" s="1110" t="n"/>
      <c r="AP618" s="68">
        <f>IFERROR(AP605-SUM(AP573),"")</f>
        <v/>
      </c>
      <c r="AQ618" s="68">
        <f>IFERROR(AQ605-SUM(AQ573,AP573),"")</f>
        <v/>
      </c>
      <c r="AR618" s="68">
        <f>IFERROR(AR605-SUM(AR573,AQ573,AP573),"")</f>
        <v/>
      </c>
      <c r="AS618" s="68" t="n"/>
      <c r="AT618" s="1110" t="n"/>
      <c r="AU618" s="68">
        <f>IFERROR(AU605-SUM(AU573),"")</f>
        <v/>
      </c>
      <c r="AV618" s="68">
        <f>IFERROR(AV605-SUM(AV573,AU573),"")</f>
        <v/>
      </c>
      <c r="AW618" s="68">
        <f>IFERROR(AW605-SUM(AW573,AV573,AU573),"")</f>
        <v/>
      </c>
      <c r="AX618" s="68" t="n"/>
      <c r="AY618" s="1110" t="n"/>
      <c r="AZ618" s="68">
        <f>IFERROR(AZ605-SUM(AZ573),"")</f>
        <v/>
      </c>
      <c r="BA618" s="68">
        <f>IFERROR(BA605-SUM(BA573,AZ573),"")</f>
        <v/>
      </c>
      <c r="BB618" s="68">
        <f>IFERROR(BB605-SUM(BB573,BA573,AZ573),"")</f>
        <v/>
      </c>
      <c r="BC618" s="68" t="n"/>
      <c r="BD618" s="1110" t="n"/>
      <c r="BE618" s="68">
        <f>IFERROR(BE605-SUM(BE573),"")</f>
        <v/>
      </c>
      <c r="BF618" s="68">
        <f>IFERROR(BF605-SUM(BF573,BE573),"")</f>
        <v/>
      </c>
      <c r="BG618" s="68">
        <f>IFERROR(BG605-SUM(BG573,BF573,BE573),"")</f>
        <v/>
      </c>
      <c r="BH618" s="68" t="n"/>
      <c r="BI618" s="1110" t="n"/>
      <c r="BJ618" s="68">
        <f>IFERROR(BJ605-SUM(BJ573),"")</f>
        <v/>
      </c>
      <c r="BK618" s="68">
        <f>IFERROR(BK605-SUM(BK573,BJ573),"")</f>
        <v/>
      </c>
      <c r="BL618" s="68">
        <f>IFERROR(BL605-SUM(BL573,BK573,BJ573),"")</f>
        <v/>
      </c>
      <c r="BM618" s="68" t="n"/>
      <c r="BN618" s="1110" t="n"/>
      <c r="BO618" s="68">
        <f>IFERROR(BO605-SUM(BO573),"")</f>
        <v/>
      </c>
      <c r="BP618" s="68">
        <f>IFERROR(BP605-SUM(BP573,BO573),"")</f>
        <v/>
      </c>
      <c r="BQ618" s="68">
        <f>IFERROR(BQ605-SUM(BQ573,BP573,BO573),"")</f>
        <v/>
      </c>
      <c r="BR618" s="68" t="n"/>
      <c r="BS618" s="1110" t="n"/>
      <c r="BT618" s="68">
        <f>IFERROR(BT605-SUM(BT573),"")</f>
        <v/>
      </c>
      <c r="BU618" s="68">
        <f>IFERROR(BU605-SUM(BU573,BT573),"")</f>
        <v/>
      </c>
      <c r="BV618" s="588">
        <f>IFERROR(BV605-SUM(BV573,BU573,BT573),"")</f>
        <v/>
      </c>
      <c r="BW618" s="68" t="n"/>
      <c r="BX618" s="1110" t="n"/>
      <c r="BY618" s="68" t="n"/>
      <c r="BZ618" s="68" t="n"/>
      <c r="CA618" s="68" t="n"/>
      <c r="CB618" s="68" t="n"/>
      <c r="CC618" s="1110" t="n"/>
      <c r="CD618" s="1110" t="n"/>
      <c r="CE618" s="1110" t="n"/>
      <c r="CF618" s="1110" t="n"/>
      <c r="CG618" s="93" t="n"/>
    </row>
    <row r="619" hidden="1" outlineLevel="2" ht="15" customHeight="1">
      <c r="A619" s="371" t="inlineStr">
        <is>
          <t>Change in implied ROY revenue, %</t>
        </is>
      </c>
      <c r="B619" s="112" t="n"/>
      <c r="C619" s="1113" t="n"/>
      <c r="D619" s="1113" t="n"/>
      <c r="E619" s="1113" t="n"/>
      <c r="F619" s="1113" t="n"/>
      <c r="G619" s="90" t="n"/>
      <c r="H619" s="90" t="n"/>
      <c r="I619" s="90" t="n"/>
      <c r="J619" s="90" t="n"/>
      <c r="K619" s="1113" t="n"/>
      <c r="L619" s="90" t="n"/>
      <c r="M619" s="90" t="n"/>
      <c r="N619" s="90" t="n"/>
      <c r="O619" s="90" t="n"/>
      <c r="P619" s="1113" t="n"/>
      <c r="Q619" s="90" t="n"/>
      <c r="R619" s="90" t="n"/>
      <c r="S619" s="90" t="n"/>
      <c r="T619" s="90" t="n"/>
      <c r="U619" s="1113" t="n"/>
      <c r="V619" s="90" t="n"/>
      <c r="W619" s="90" t="n"/>
      <c r="X619" s="90" t="n"/>
      <c r="Y619" s="90" t="n"/>
      <c r="Z619" s="1113" t="n"/>
      <c r="AA619" s="90" t="n"/>
      <c r="AB619" s="90" t="n"/>
      <c r="AC619" s="90" t="n"/>
      <c r="AD619" s="90" t="n"/>
      <c r="AE619" s="1113" t="n"/>
      <c r="AF619" s="90" t="n"/>
      <c r="AG619" s="90" t="n"/>
      <c r="AH619" s="90">
        <f>IFERROR(AH618/AH617-1,"")</f>
        <v/>
      </c>
      <c r="AI619" s="90" t="n"/>
      <c r="AJ619" s="1113" t="n"/>
      <c r="AK619" s="90">
        <f>IFERROR(AK618/AK617-1,"")</f>
        <v/>
      </c>
      <c r="AL619" s="90">
        <f>IFERROR(AL618/AL617-1,"")</f>
        <v/>
      </c>
      <c r="AM619" s="90">
        <f>IFERROR(AM618/AM617-1,"")</f>
        <v/>
      </c>
      <c r="AN619" s="90" t="n"/>
      <c r="AO619" s="1113" t="n"/>
      <c r="AP619" s="90">
        <f>IFERROR(AP618/AP617-1,"")</f>
        <v/>
      </c>
      <c r="AQ619" s="90">
        <f>IFERROR(AQ618/AQ617-1,"")</f>
        <v/>
      </c>
      <c r="AR619" s="90">
        <f>IFERROR(AR618/AR617-1,"")</f>
        <v/>
      </c>
      <c r="AS619" s="90" t="n"/>
      <c r="AT619" s="1113" t="n"/>
      <c r="AU619" s="90">
        <f>IFERROR(AU618/AU617-1,"")</f>
        <v/>
      </c>
      <c r="AV619" s="90">
        <f>IFERROR(AV618/AV617-1,"")</f>
        <v/>
      </c>
      <c r="AW619" s="90">
        <f>IFERROR(AW618/AW617-1,"")</f>
        <v/>
      </c>
      <c r="AX619" s="90" t="n"/>
      <c r="AY619" s="1113" t="n"/>
      <c r="AZ619" s="90">
        <f>IFERROR(AZ618/AZ617-1,"")</f>
        <v/>
      </c>
      <c r="BA619" s="90">
        <f>IFERROR(BA618/BA617-1,"")</f>
        <v/>
      </c>
      <c r="BB619" s="90">
        <f>IFERROR(BB618/BB617-1,"")</f>
        <v/>
      </c>
      <c r="BC619" s="90" t="n"/>
      <c r="BD619" s="1113" t="n"/>
      <c r="BE619" s="90">
        <f>IFERROR(BE618/BE617-1,"")</f>
        <v/>
      </c>
      <c r="BF619" s="90">
        <f>IFERROR(BF618/BF617-1,"")</f>
        <v/>
      </c>
      <c r="BG619" s="90">
        <f>IFERROR(BG618/BG617-1,"")</f>
        <v/>
      </c>
      <c r="BH619" s="90" t="n"/>
      <c r="BI619" s="1113" t="n"/>
      <c r="BJ619" s="90">
        <f>IFERROR(BJ618/BJ617-1,"")</f>
        <v/>
      </c>
      <c r="BK619" s="90">
        <f>IFERROR(BK618/BK617-1,"")</f>
        <v/>
      </c>
      <c r="BL619" s="90">
        <f>IFERROR(BL618/BL617-1,"")</f>
        <v/>
      </c>
      <c r="BM619" s="90" t="n"/>
      <c r="BN619" s="1113" t="n"/>
      <c r="BO619" s="90">
        <f>IFERROR(BO618/BO617-1,"")</f>
        <v/>
      </c>
      <c r="BP619" s="90">
        <f>IFERROR(BP618/BP617-1,"")</f>
        <v/>
      </c>
      <c r="BQ619" s="90">
        <f>IFERROR(BQ618/BQ617-1,"")</f>
        <v/>
      </c>
      <c r="BR619" s="90" t="n"/>
      <c r="BS619" s="1113" t="n"/>
      <c r="BT619" s="90">
        <f>IFERROR(BT618/BT617-1,"")</f>
        <v/>
      </c>
      <c r="BU619" s="90">
        <f>IFERROR(BU618/BU617-1,"")</f>
        <v/>
      </c>
      <c r="BV619" s="880">
        <f>IFERROR(BV618/BV617-1,"")</f>
        <v/>
      </c>
      <c r="BW619" s="90" t="n"/>
      <c r="BX619" s="1113" t="n"/>
      <c r="BY619" s="90" t="n"/>
      <c r="BZ619" s="90" t="n"/>
      <c r="CA619" s="90" t="n"/>
      <c r="CB619" s="90" t="n"/>
      <c r="CC619" s="1113" t="n"/>
      <c r="CD619" s="1113" t="n"/>
      <c r="CE619" s="1113" t="n"/>
      <c r="CF619" s="1113" t="n"/>
      <c r="CG619" s="93" t="n"/>
    </row>
    <row r="620" hidden="1" outlineLevel="1" collapsed="1" ht="15" customHeight="1">
      <c r="A620" s="799" t="n"/>
      <c r="B620" s="428" t="n"/>
      <c r="C620" s="1134" t="n"/>
      <c r="D620" s="1134" t="n"/>
      <c r="E620" s="1134" t="n"/>
      <c r="F620" s="1134" t="n"/>
      <c r="G620" s="93" t="n"/>
      <c r="H620" s="93" t="n"/>
      <c r="I620" s="93" t="n"/>
      <c r="J620" s="93" t="n"/>
      <c r="K620" s="1134" t="n"/>
      <c r="L620" s="93" t="n"/>
      <c r="M620" s="93" t="n"/>
      <c r="N620" s="93" t="n"/>
      <c r="O620" s="93" t="n"/>
      <c r="P620" s="1134" t="n"/>
      <c r="Q620" s="93" t="n"/>
      <c r="R620" s="93" t="n"/>
      <c r="S620" s="93" t="n"/>
      <c r="T620" s="93" t="n"/>
      <c r="U620" s="1134" t="n"/>
      <c r="V620" s="93" t="n"/>
      <c r="W620" s="93" t="n"/>
      <c r="X620" s="93" t="n"/>
      <c r="Y620" s="93" t="n"/>
      <c r="Z620" s="1134" t="n"/>
      <c r="AA620" s="93" t="n"/>
      <c r="AB620" s="93" t="n"/>
      <c r="AC620" s="93" t="n"/>
      <c r="AD620" s="93" t="n"/>
      <c r="AE620" s="1134" t="n"/>
      <c r="AF620" s="93" t="n"/>
      <c r="AG620" s="93" t="n"/>
      <c r="AH620" s="93" t="n"/>
      <c r="AI620" s="93" t="n"/>
      <c r="AJ620" s="1134" t="n"/>
      <c r="AK620" s="93" t="n"/>
      <c r="AL620" s="93" t="n"/>
      <c r="AM620" s="93" t="n"/>
      <c r="AN620" s="93" t="n"/>
      <c r="AO620" s="1134" t="n"/>
      <c r="AP620" s="93" t="n"/>
      <c r="AQ620" s="93" t="n"/>
      <c r="AR620" s="93" t="n"/>
      <c r="AS620" s="93" t="n"/>
      <c r="AT620" s="1134" t="n"/>
      <c r="AU620" s="93" t="n"/>
      <c r="AV620" s="93" t="n"/>
      <c r="AW620" s="93" t="n"/>
      <c r="AX620" s="93" t="n"/>
      <c r="AY620" s="1134" t="n"/>
      <c r="AZ620" s="93" t="n"/>
      <c r="BA620" s="93" t="n"/>
      <c r="BB620" s="93" t="n"/>
      <c r="BC620" s="93" t="n"/>
      <c r="BD620" s="1134" t="n"/>
      <c r="BE620" s="93" t="n"/>
      <c r="BF620" s="93" t="n"/>
      <c r="BG620" s="93" t="n"/>
      <c r="BH620" s="93" t="n"/>
      <c r="BI620" s="1134" t="n"/>
      <c r="BJ620" s="93" t="n"/>
      <c r="BK620" s="93" t="n"/>
      <c r="BL620" s="93" t="n"/>
      <c r="BM620" s="93" t="n"/>
      <c r="BN620" s="1134" t="n"/>
      <c r="BO620" s="93" t="n"/>
      <c r="BP620" s="93" t="n"/>
      <c r="BQ620" s="93" t="n"/>
      <c r="BR620" s="93" t="n"/>
      <c r="BS620" s="1134" t="n"/>
      <c r="BT620" s="93" t="n"/>
      <c r="BU620" s="93" t="n"/>
      <c r="BV620" s="522" t="n"/>
      <c r="BW620" s="93" t="n"/>
      <c r="BX620" s="1134" t="n"/>
      <c r="BY620" s="93" t="n"/>
      <c r="BZ620" s="93" t="n"/>
      <c r="CA620" s="93" t="n"/>
      <c r="CB620" s="93" t="n"/>
      <c r="CC620" s="1134" t="n"/>
      <c r="CD620" s="1134" t="n"/>
      <c r="CE620" s="1134" t="n"/>
      <c r="CF620" s="1134" t="n"/>
      <c r="CG620" s="93" t="n"/>
    </row>
    <row r="621" hidden="1" outlineLevel="1" ht="15" customHeight="1">
      <c r="A621" s="493" t="inlineStr">
        <is>
          <t>Non-GAAP Gross Profit - Guidance Analysis</t>
        </is>
      </c>
      <c r="B621" s="494" t="n"/>
      <c r="C621" s="45" t="n"/>
      <c r="D621" s="45" t="n"/>
      <c r="E621" s="45" t="n"/>
      <c r="F621" s="45" t="n"/>
      <c r="G621" s="45" t="n"/>
      <c r="H621" s="45" t="n"/>
      <c r="I621" s="45" t="n"/>
      <c r="J621" s="45" t="n"/>
      <c r="K621" s="45" t="n"/>
      <c r="L621" s="45" t="n"/>
      <c r="M621" s="45" t="n"/>
      <c r="N621" s="45" t="n"/>
      <c r="O621" s="45" t="n"/>
      <c r="P621" s="45" t="n"/>
      <c r="Q621" s="45" t="n"/>
      <c r="R621" s="45" t="n"/>
      <c r="S621" s="45" t="n"/>
      <c r="T621" s="45" t="n"/>
      <c r="U621" s="45" t="n"/>
      <c r="V621" s="45" t="n"/>
      <c r="W621" s="45" t="n"/>
      <c r="X621" s="45" t="n"/>
      <c r="Y621" s="45" t="n"/>
      <c r="Z621" s="45" t="n"/>
      <c r="AA621" s="45" t="n"/>
      <c r="AB621" s="45" t="n"/>
      <c r="AC621" s="45" t="n"/>
      <c r="AD621" s="45" t="n"/>
      <c r="AE621" s="45" t="n"/>
      <c r="AF621" s="45" t="n"/>
      <c r="AG621" s="45" t="n"/>
      <c r="AH621" s="45" t="n"/>
      <c r="AI621" s="45" t="n"/>
      <c r="AJ621" s="45" t="n"/>
      <c r="AK621" s="45" t="n"/>
      <c r="AL621" s="45" t="n"/>
      <c r="AM621" s="45" t="n"/>
      <c r="AN621" s="45" t="n"/>
      <c r="AO621" s="45" t="n"/>
      <c r="AP621" s="45" t="n"/>
      <c r="AQ621" s="45" t="n"/>
      <c r="AR621" s="45" t="n"/>
      <c r="AS621" s="45" t="n"/>
      <c r="AT621" s="45" t="n"/>
      <c r="AU621" s="45" t="n"/>
      <c r="AV621" s="45" t="n"/>
      <c r="AW621" s="45" t="n"/>
      <c r="AX621" s="45" t="n"/>
      <c r="AY621" s="45" t="n"/>
      <c r="AZ621" s="45" t="n"/>
      <c r="BA621" s="45" t="n"/>
      <c r="BB621" s="45" t="n"/>
      <c r="BC621" s="45" t="n"/>
      <c r="BD621" s="45" t="n"/>
      <c r="BE621" s="45" t="n"/>
      <c r="BF621" s="45" t="n"/>
      <c r="BG621" s="45" t="n"/>
      <c r="BH621" s="45" t="n"/>
      <c r="BI621" s="45" t="n"/>
      <c r="BJ621" s="45" t="n"/>
      <c r="BK621" s="45" t="n"/>
      <c r="BL621" s="45" t="n"/>
      <c r="BM621" s="45" t="n"/>
      <c r="BN621" s="45" t="n"/>
      <c r="BO621" s="45" t="n"/>
      <c r="BP621" s="45" t="n"/>
      <c r="BQ621" s="45" t="n"/>
      <c r="BR621" s="45" t="n"/>
      <c r="BS621" s="45" t="n"/>
      <c r="BT621" s="45" t="n"/>
      <c r="BU621" s="45" t="n"/>
      <c r="BV621" s="982" t="n"/>
      <c r="BW621" s="45" t="n"/>
      <c r="BX621" s="45" t="n"/>
      <c r="BY621" s="45" t="n"/>
      <c r="BZ621" s="45" t="n"/>
      <c r="CA621" s="45" t="n"/>
      <c r="CB621" s="45" t="n"/>
      <c r="CC621" s="45" t="n"/>
      <c r="CD621" s="45" t="n"/>
      <c r="CE621" s="45" t="n"/>
      <c r="CF621" s="45" t="n"/>
      <c r="CG621" s="228" t="n"/>
    </row>
    <row r="622" hidden="1" outlineLevel="2" ht="15" customHeight="1">
      <c r="A622" s="492" t="inlineStr">
        <is>
          <t>Non-GAAP Gross Profit guidance - initial midpoint, mm</t>
        </is>
      </c>
      <c r="B622" s="428" t="n"/>
      <c r="C622" s="1134" t="n"/>
      <c r="D622" s="1134" t="n"/>
      <c r="E622" s="1134" t="n"/>
      <c r="F622" s="1134" t="n"/>
      <c r="G622" s="93" t="n"/>
      <c r="H622" s="93">
        <f>IF(ISBLANK(G650),"",G650)</f>
        <v/>
      </c>
      <c r="I622" s="93">
        <f>IF(ISBLANK(H650),"",H650)</f>
        <v/>
      </c>
      <c r="J622" s="93">
        <f>IF(ISBLANK(I650),"",I650)</f>
        <v/>
      </c>
      <c r="K622" s="1134" t="n"/>
      <c r="L622" s="93">
        <f>IF(ISBLANK(J650),"",J650)</f>
        <v/>
      </c>
      <c r="M622" s="93">
        <f>IF(ISBLANK(L650),"",L650)</f>
        <v/>
      </c>
      <c r="N622" s="93">
        <f>IF(ISBLANK(M650),"",M650)</f>
        <v/>
      </c>
      <c r="O622" s="93">
        <f>IF(ISBLANK(N650),"",N650)</f>
        <v/>
      </c>
      <c r="P622" s="1134" t="n"/>
      <c r="Q622" s="93" t="n"/>
      <c r="R622" s="93" t="n"/>
      <c r="S622" s="93" t="n"/>
      <c r="T622" s="93" t="n"/>
      <c r="U622" s="1134" t="n"/>
      <c r="V622" s="93" t="n"/>
      <c r="W622" s="93" t="n"/>
      <c r="X622" s="93" t="n"/>
      <c r="Y622" s="93" t="n"/>
      <c r="Z622" s="1134" t="n"/>
      <c r="AA622" s="93" t="n"/>
      <c r="AB622" s="93" t="n"/>
      <c r="AC622" s="93" t="n"/>
      <c r="AD622" s="93" t="n"/>
      <c r="AE622" s="1134" t="n"/>
      <c r="AF622" s="93" t="n"/>
      <c r="AG622" s="93" t="n"/>
      <c r="AH622" s="93" t="n"/>
      <c r="AI622" s="93">
        <f>IF(ISBLANK(AH650),"",AH650)</f>
        <v/>
      </c>
      <c r="AJ622" s="1134">
        <f>IF(ISBLANK(AD678),"",AD678)</f>
        <v/>
      </c>
      <c r="AK622" s="93">
        <f>IF(ISBLANK(AI650),"",AI650)</f>
        <v/>
      </c>
      <c r="AL622" s="93">
        <f>IF(ISBLANK(AK650),"",AK650)</f>
        <v/>
      </c>
      <c r="AM622" s="93">
        <f>IF(ISBLANK(AL650),"",AL650)</f>
        <v/>
      </c>
      <c r="AN622" s="93">
        <f>IF(ISBLANK(AM650),"",AM650)</f>
        <v/>
      </c>
      <c r="AO622" s="1134">
        <f>IF(ISBLANK(AI678),"",AI678)</f>
        <v/>
      </c>
      <c r="AP622" s="93">
        <f>IF(ISBLANK(AN650),"",AN650)</f>
        <v/>
      </c>
      <c r="AQ622" s="93">
        <f>IF(ISBLANK(AP650),"",AP650)</f>
        <v/>
      </c>
      <c r="AR622" s="93">
        <f>IF(ISBLANK(AQ650),"",AQ650)</f>
        <v/>
      </c>
      <c r="AS622" s="93">
        <f>IF(ISBLANK(AR650),"",AR650)</f>
        <v/>
      </c>
      <c r="AT622" s="1134">
        <f>IF(ISBLANK(AN678),"",AN678)</f>
        <v/>
      </c>
      <c r="AU622" s="93">
        <f>IF(ISBLANK(AS650),"",AS650)</f>
        <v/>
      </c>
      <c r="AV622" s="93">
        <f>IF(ISBLANK(AU650),"",AU650)</f>
        <v/>
      </c>
      <c r="AW622" s="93">
        <f>IF(ISBLANK(AV650),"",AV650)</f>
        <v/>
      </c>
      <c r="AX622" s="93">
        <f>IF(ISBLANK(AW650),"",AW650)</f>
        <v/>
      </c>
      <c r="AY622" s="1134">
        <f>IF(ISBLANK(AS678),"",AS678)</f>
        <v/>
      </c>
      <c r="AZ622" s="93">
        <f>IF(ISBLANK(AX650),"",AX650)</f>
        <v/>
      </c>
      <c r="BA622" s="93">
        <f>IF(ISBLANK(AZ650),"",AZ650)</f>
        <v/>
      </c>
      <c r="BB622" s="93">
        <f>IF(ISBLANK(BA650),"",BA650)</f>
        <v/>
      </c>
      <c r="BC622" s="93">
        <f>IF(ISBLANK(BB650),"",BB650)</f>
        <v/>
      </c>
      <c r="BD622" s="1134">
        <f>IF(ISBLANK(AX678),"",AX678)</f>
        <v/>
      </c>
      <c r="BE622" s="93">
        <f>IF(ISBLANK(BC650),"",BC650)</f>
        <v/>
      </c>
      <c r="BF622" s="93">
        <f>IF(ISBLANK(BE650),"",BE650)</f>
        <v/>
      </c>
      <c r="BG622" s="93">
        <f>IF(ISBLANK(BF650),"",BF650)</f>
        <v/>
      </c>
      <c r="BH622" s="93">
        <f>IF(ISBLANK(BG650),"",BG650)</f>
        <v/>
      </c>
      <c r="BI622" s="1134">
        <f>IF(ISBLANK(BC678),"",BC678)</f>
        <v/>
      </c>
      <c r="BJ622" s="93">
        <f>IF(ISBLANK(BH650),"",BH650)</f>
        <v/>
      </c>
      <c r="BK622" s="93">
        <f>IF(ISBLANK(BJ650),"",BJ650)</f>
        <v/>
      </c>
      <c r="BL622" s="93">
        <f>IF(ISBLANK(BK650),"",BK650)</f>
        <v/>
      </c>
      <c r="BM622" s="93">
        <f>IF(ISBLANK(BL650),"",BL650)</f>
        <v/>
      </c>
      <c r="BN622" s="1134">
        <f>IF(ISBLANK(BH678),"",BH678)</f>
        <v/>
      </c>
      <c r="BO622" s="93">
        <f>IF(ISBLANK(BM650),"",BM650)</f>
        <v/>
      </c>
      <c r="BP622" s="93">
        <f>IF(ISBLANK(BO650),"",BO650)</f>
        <v/>
      </c>
      <c r="BQ622" s="93">
        <f>IF(ISBLANK(BP650),"",BP650)</f>
        <v/>
      </c>
      <c r="BR622" s="93">
        <f>IF(ISBLANK(BQ650),"",BQ650)</f>
        <v/>
      </c>
      <c r="BS622" s="1134">
        <f>IF(ISBLANK(BM678),"",BM678)</f>
        <v/>
      </c>
      <c r="BT622" s="93">
        <f>IF(ISBLANK(BR650),"",BR650)</f>
        <v/>
      </c>
      <c r="BU622" s="93">
        <f>IF(ISBLANK(BT650),"",BT650)</f>
        <v/>
      </c>
      <c r="BV622" s="522">
        <f>IF(ISBLANK(BU650),"",BU650)</f>
        <v/>
      </c>
      <c r="BW622" s="93">
        <f>IF(ISBLANK(BV650),"",BV650)</f>
        <v/>
      </c>
      <c r="BX622" s="1134">
        <f>IF(ISBLANK(BR678),"",BR678)</f>
        <v/>
      </c>
      <c r="BY622" s="93">
        <f>IF(ISBLANK(BW650),"",BW650)</f>
        <v/>
      </c>
      <c r="BZ622" s="93">
        <f>IF(ISBLANK(BY650),"",BY650)</f>
        <v/>
      </c>
      <c r="CA622" s="93">
        <f>IF(ISBLANK(BZ650),"",BZ650)</f>
        <v/>
      </c>
      <c r="CB622" s="93">
        <f>IF(ISBLANK(CA650),"",CA650)</f>
        <v/>
      </c>
      <c r="CC622" s="1134">
        <f>IF(ISBLANK(BW678),"",BW678)</f>
        <v/>
      </c>
      <c r="CD622" s="1134" t="n"/>
      <c r="CE622" s="1134" t="n"/>
      <c r="CF622" s="1134" t="n"/>
      <c r="CG622" s="93" t="n"/>
    </row>
    <row r="623" hidden="1" outlineLevel="2" ht="15" customHeight="1">
      <c r="A623" s="492" t="inlineStr">
        <is>
          <t>Non-GAAP Gross Profit guidance - update 1 midpoint, mm</t>
        </is>
      </c>
      <c r="B623" s="428" t="n"/>
      <c r="C623" s="1134" t="n"/>
      <c r="D623" s="1134" t="n"/>
      <c r="E623" s="1134" t="n"/>
      <c r="F623" s="1134" t="n"/>
      <c r="G623" s="93" t="n"/>
      <c r="H623" s="93" t="n"/>
      <c r="I623" s="93" t="n"/>
      <c r="J623" s="93" t="n"/>
      <c r="K623" s="1134">
        <f>IF(ISBLANK(G678),"",G678)</f>
        <v/>
      </c>
      <c r="L623" s="93" t="n"/>
      <c r="M623" s="93" t="n"/>
      <c r="N623" s="93" t="n"/>
      <c r="O623" s="93" t="n"/>
      <c r="P623" s="1134" t="n"/>
      <c r="Q623" s="93" t="n"/>
      <c r="R623" s="93" t="n"/>
      <c r="S623" s="93" t="n"/>
      <c r="T623" s="93" t="n"/>
      <c r="U623" s="1134" t="n"/>
      <c r="V623" s="93" t="n"/>
      <c r="W623" s="93" t="n"/>
      <c r="X623" s="93" t="n"/>
      <c r="Y623" s="93" t="n"/>
      <c r="Z623" s="1134" t="n"/>
      <c r="AA623" s="93" t="n"/>
      <c r="AB623" s="93" t="n"/>
      <c r="AC623" s="93" t="n"/>
      <c r="AD623" s="93" t="n"/>
      <c r="AE623" s="1134" t="n"/>
      <c r="AF623" s="93" t="n"/>
      <c r="AG623" s="93" t="n"/>
      <c r="AH623" s="93" t="n"/>
      <c r="AI623" s="93" t="n"/>
      <c r="AJ623" s="1134">
        <f>IF(ISBLANK(AF678),"",AF678)</f>
        <v/>
      </c>
      <c r="AK623" s="93" t="n"/>
      <c r="AL623" s="93" t="n"/>
      <c r="AM623" s="93" t="n"/>
      <c r="AN623" s="93" t="n"/>
      <c r="AO623" s="1134">
        <f>IF(ISBLANK(AK678),"",AK678)</f>
        <v/>
      </c>
      <c r="AP623" s="93" t="n"/>
      <c r="AQ623" s="93" t="n"/>
      <c r="AR623" s="93" t="n"/>
      <c r="AS623" s="93" t="n"/>
      <c r="AT623" s="1134">
        <f>IF(ISBLANK(AP678),"",AP678)</f>
        <v/>
      </c>
      <c r="AU623" s="93" t="n"/>
      <c r="AV623" s="93" t="n"/>
      <c r="AW623" s="93" t="n"/>
      <c r="AX623" s="93" t="n"/>
      <c r="AY623" s="1134">
        <f>IF(ISBLANK(AU678),"",AU678)</f>
        <v/>
      </c>
      <c r="AZ623" s="93" t="n"/>
      <c r="BA623" s="93" t="n"/>
      <c r="BB623" s="93" t="n"/>
      <c r="BC623" s="93" t="n"/>
      <c r="BD623" s="1134">
        <f>IF(ISBLANK(AZ678),"",AZ678)</f>
        <v/>
      </c>
      <c r="BE623" s="93" t="n"/>
      <c r="BF623" s="93" t="n"/>
      <c r="BG623" s="93" t="n"/>
      <c r="BH623" s="93" t="n"/>
      <c r="BI623" s="1134">
        <f>IF(ISBLANK(BE678),"",BE678)</f>
        <v/>
      </c>
      <c r="BJ623" s="93" t="n"/>
      <c r="BK623" s="93" t="n"/>
      <c r="BL623" s="93" t="n"/>
      <c r="BM623" s="93" t="n"/>
      <c r="BN623" s="1134">
        <f>IF(ISBLANK(BJ678),"",BJ678)</f>
        <v/>
      </c>
      <c r="BO623" s="93" t="n"/>
      <c r="BP623" s="93" t="n"/>
      <c r="BQ623" s="93" t="n"/>
      <c r="BR623" s="93" t="n"/>
      <c r="BS623" s="1134">
        <f>IF(ISBLANK(BO678),"",BO678)</f>
        <v/>
      </c>
      <c r="BT623" s="93" t="n"/>
      <c r="BU623" s="93" t="n"/>
      <c r="BV623" s="522" t="n"/>
      <c r="BW623" s="93" t="n"/>
      <c r="BX623" s="1134">
        <f>IF(ISBLANK(BT678),"",BT678)</f>
        <v/>
      </c>
      <c r="BY623" s="93" t="n"/>
      <c r="BZ623" s="93" t="n"/>
      <c r="CA623" s="93" t="n"/>
      <c r="CB623" s="93" t="n"/>
      <c r="CC623" s="1134">
        <f>IF(ISBLANK(BY678),"",BY678)</f>
        <v/>
      </c>
      <c r="CD623" s="1134" t="n"/>
      <c r="CE623" s="1134" t="n"/>
      <c r="CF623" s="1134" t="n"/>
      <c r="CG623" s="93" t="n"/>
    </row>
    <row r="624" hidden="1" outlineLevel="2" ht="15" customHeight="1">
      <c r="A624" s="492" t="inlineStr">
        <is>
          <t>Non-GAAP Gross Profit guidance - update 2 midpoint, mm</t>
        </is>
      </c>
      <c r="B624" s="428" t="n"/>
      <c r="C624" s="1134" t="n"/>
      <c r="D624" s="1134" t="n"/>
      <c r="E624" s="1134" t="n"/>
      <c r="F624" s="1134" t="n"/>
      <c r="G624" s="93" t="n"/>
      <c r="H624" s="93" t="n"/>
      <c r="I624" s="93" t="n"/>
      <c r="J624" s="93" t="n"/>
      <c r="K624" s="1134">
        <f>IF(ISBLANK(H678),"",H678)</f>
        <v/>
      </c>
      <c r="L624" s="93" t="n"/>
      <c r="M624" s="93" t="n"/>
      <c r="N624" s="93" t="n"/>
      <c r="O624" s="93" t="n"/>
      <c r="P624" s="1134" t="n"/>
      <c r="Q624" s="93" t="n"/>
      <c r="R624" s="93" t="n"/>
      <c r="S624" s="93" t="n"/>
      <c r="T624" s="93" t="n"/>
      <c r="U624" s="1134" t="n"/>
      <c r="V624" s="93" t="n"/>
      <c r="W624" s="93" t="n"/>
      <c r="X624" s="93" t="n"/>
      <c r="Y624" s="93" t="n"/>
      <c r="Z624" s="1134" t="n"/>
      <c r="AA624" s="93" t="n"/>
      <c r="AB624" s="93" t="n"/>
      <c r="AC624" s="93" t="n"/>
      <c r="AD624" s="93" t="n"/>
      <c r="AE624" s="1134" t="n"/>
      <c r="AF624" s="93" t="n"/>
      <c r="AG624" s="93" t="n"/>
      <c r="AH624" s="93" t="n"/>
      <c r="AI624" s="93" t="n"/>
      <c r="AJ624" s="1134">
        <f>IF(ISBLANK(AG678),"",AG678)</f>
        <v/>
      </c>
      <c r="AK624" s="93" t="n"/>
      <c r="AL624" s="93" t="n"/>
      <c r="AM624" s="93" t="n"/>
      <c r="AN624" s="93" t="n"/>
      <c r="AO624" s="1134">
        <f>IF(ISBLANK(AL678),"",AL678)</f>
        <v/>
      </c>
      <c r="AP624" s="93" t="n"/>
      <c r="AQ624" s="93" t="n"/>
      <c r="AR624" s="93" t="n"/>
      <c r="AS624" s="93" t="n"/>
      <c r="AT624" s="1134">
        <f>IF(ISBLANK(AQ678),"",AQ678)</f>
        <v/>
      </c>
      <c r="AU624" s="93" t="n"/>
      <c r="AV624" s="93" t="n"/>
      <c r="AW624" s="93" t="n"/>
      <c r="AX624" s="93" t="n"/>
      <c r="AY624" s="1134">
        <f>IF(ISBLANK(AV678),"",AV678)</f>
        <v/>
      </c>
      <c r="AZ624" s="93" t="n"/>
      <c r="BA624" s="93" t="n"/>
      <c r="BB624" s="93" t="n"/>
      <c r="BC624" s="93" t="n"/>
      <c r="BD624" s="1134">
        <f>IF(ISBLANK(BA678),"",BA678)</f>
        <v/>
      </c>
      <c r="BE624" s="93" t="n"/>
      <c r="BF624" s="93" t="n"/>
      <c r="BG624" s="93" t="n"/>
      <c r="BH624" s="93" t="n"/>
      <c r="BI624" s="1134">
        <f>IF(ISBLANK(BF678),"",BF678)</f>
        <v/>
      </c>
      <c r="BJ624" s="93" t="n"/>
      <c r="BK624" s="93" t="n"/>
      <c r="BL624" s="93" t="n"/>
      <c r="BM624" s="93" t="n"/>
      <c r="BN624" s="1134">
        <f>IF(ISBLANK(BK678),"",BK678)</f>
        <v/>
      </c>
      <c r="BO624" s="93" t="n"/>
      <c r="BP624" s="93" t="n"/>
      <c r="BQ624" s="93" t="n"/>
      <c r="BR624" s="93" t="n"/>
      <c r="BS624" s="1134">
        <f>IF(ISBLANK(BP678),"",BP678)</f>
        <v/>
      </c>
      <c r="BT624" s="93" t="n"/>
      <c r="BU624" s="93" t="n"/>
      <c r="BV624" s="522" t="n"/>
      <c r="BW624" s="93" t="n"/>
      <c r="BX624" s="1134">
        <f>IF(ISBLANK(BU678),"",BU678)</f>
        <v/>
      </c>
      <c r="BY624" s="93" t="n"/>
      <c r="BZ624" s="93" t="n"/>
      <c r="CA624" s="93" t="n"/>
      <c r="CB624" s="93" t="n"/>
      <c r="CC624" s="1134">
        <f>IF(ISBLANK(BZ678),"",BZ678)</f>
        <v/>
      </c>
      <c r="CD624" s="1134" t="n"/>
      <c r="CE624" s="1134" t="n"/>
      <c r="CF624" s="1134" t="n"/>
      <c r="CG624" s="93" t="n"/>
    </row>
    <row r="625" hidden="1" outlineLevel="2" ht="15" customHeight="1">
      <c r="A625" s="812" t="inlineStr">
        <is>
          <t>Non-GAAP Gross Profit guidance - update 3 midpoint, mm</t>
        </is>
      </c>
      <c r="B625" s="718" t="n"/>
      <c r="C625" s="1129" t="n"/>
      <c r="D625" s="1129" t="n"/>
      <c r="E625" s="1129" t="n"/>
      <c r="F625" s="1129" t="n"/>
      <c r="G625" s="983" t="n"/>
      <c r="H625" s="983" t="n"/>
      <c r="I625" s="983" t="n"/>
      <c r="J625" s="983" t="n"/>
      <c r="K625" s="1129">
        <f>IF(ISBLANK(I678),"",I678)</f>
        <v/>
      </c>
      <c r="L625" s="983" t="n"/>
      <c r="M625" s="983" t="n"/>
      <c r="N625" s="983" t="n"/>
      <c r="O625" s="983" t="n"/>
      <c r="P625" s="1129" t="n"/>
      <c r="Q625" s="983" t="n"/>
      <c r="R625" s="983" t="n"/>
      <c r="S625" s="983" t="n"/>
      <c r="T625" s="983" t="n"/>
      <c r="U625" s="1129" t="n"/>
      <c r="V625" s="983" t="n"/>
      <c r="W625" s="983" t="n"/>
      <c r="X625" s="983" t="n"/>
      <c r="Y625" s="983" t="n"/>
      <c r="Z625" s="1129" t="n"/>
      <c r="AA625" s="983" t="n"/>
      <c r="AB625" s="983" t="n"/>
      <c r="AC625" s="983" t="n"/>
      <c r="AD625" s="983" t="n"/>
      <c r="AE625" s="1129" t="n"/>
      <c r="AF625" s="983" t="n"/>
      <c r="AG625" s="983" t="n"/>
      <c r="AH625" s="983" t="n"/>
      <c r="AI625" s="983" t="n"/>
      <c r="AJ625" s="1129">
        <f>IF(ISBLANK(AH678),"",AH678)</f>
        <v/>
      </c>
      <c r="AK625" s="983" t="n"/>
      <c r="AL625" s="983" t="n"/>
      <c r="AM625" s="983" t="n"/>
      <c r="AN625" s="983" t="n"/>
      <c r="AO625" s="1129">
        <f>IF(ISBLANK(AM678),"",AM678)</f>
        <v/>
      </c>
      <c r="AP625" s="983" t="n"/>
      <c r="AQ625" s="983" t="n"/>
      <c r="AR625" s="983" t="n"/>
      <c r="AS625" s="983" t="n"/>
      <c r="AT625" s="1129">
        <f>IF(ISBLANK(AR678),"",AR678)</f>
        <v/>
      </c>
      <c r="AU625" s="983" t="n"/>
      <c r="AV625" s="983" t="n"/>
      <c r="AW625" s="983" t="n"/>
      <c r="AX625" s="983" t="n"/>
      <c r="AY625" s="1129">
        <f>IF(ISBLANK(AW678),"",AW678)</f>
        <v/>
      </c>
      <c r="AZ625" s="983" t="n"/>
      <c r="BA625" s="983" t="n"/>
      <c r="BB625" s="983" t="n"/>
      <c r="BC625" s="983" t="n"/>
      <c r="BD625" s="1129">
        <f>IF(ISBLANK(BB678),"",BB678)</f>
        <v/>
      </c>
      <c r="BE625" s="983" t="n"/>
      <c r="BF625" s="983" t="n"/>
      <c r="BG625" s="983" t="n"/>
      <c r="BH625" s="983" t="n"/>
      <c r="BI625" s="1129">
        <f>IF(ISBLANK(BG678),"",BG678)</f>
        <v/>
      </c>
      <c r="BJ625" s="983" t="n"/>
      <c r="BK625" s="983" t="n"/>
      <c r="BL625" s="983" t="n"/>
      <c r="BM625" s="983" t="n"/>
      <c r="BN625" s="1129">
        <f>IF(ISBLANK(BL678),"",BL678)</f>
        <v/>
      </c>
      <c r="BO625" s="983" t="n"/>
      <c r="BP625" s="983" t="n"/>
      <c r="BQ625" s="983" t="n"/>
      <c r="BR625" s="983" t="n"/>
      <c r="BS625" s="1129">
        <f>IF(ISBLANK(BQ678),"",BQ678)</f>
        <v/>
      </c>
      <c r="BT625" s="983" t="n"/>
      <c r="BU625" s="983" t="n"/>
      <c r="BV625" s="984" t="n"/>
      <c r="BW625" s="983" t="n"/>
      <c r="BX625" s="1129">
        <f>IF(ISBLANK(BV678),"",BV678)</f>
        <v/>
      </c>
      <c r="BY625" s="983" t="n"/>
      <c r="BZ625" s="983" t="n"/>
      <c r="CA625" s="983" t="n"/>
      <c r="CB625" s="983" t="n"/>
      <c r="CC625" s="1129">
        <f>IF(ISBLANK(CA678),"",CA678)</f>
        <v/>
      </c>
      <c r="CD625" s="1129" t="n"/>
      <c r="CE625" s="1129" t="n"/>
      <c r="CF625" s="1129" t="n"/>
      <c r="CG625" s="93" t="n"/>
    </row>
    <row r="626" hidden="1" outlineLevel="1" collapsed="1" ht="15" customHeight="1">
      <c r="A626" s="605" t="inlineStr">
        <is>
          <t>Non-GAAP Gross Profit guidance - most recent midpoint, mm</t>
        </is>
      </c>
      <c r="B626" s="428" t="n"/>
      <c r="C626" s="1134" t="n"/>
      <c r="D626" s="1134" t="n"/>
      <c r="E626" s="1134" t="n"/>
      <c r="F626" s="1134" t="n"/>
      <c r="G626" s="93">
        <f>IF(G625="",IF(G624="",IF(G623="",IF(G622="","",G622),G623),G624),G625)</f>
        <v/>
      </c>
      <c r="H626" s="93">
        <f>IF(H625="",IF(H624="",IF(H623="",IF(H622="","",H622),H623),H624),H625)</f>
        <v/>
      </c>
      <c r="I626" s="93">
        <f>IF(I625="",IF(I624="",IF(I623="",IF(I622="","",I622),I623),I624),I625)</f>
        <v/>
      </c>
      <c r="J626" s="93">
        <f>IF(J625="",IF(J624="",IF(J623="",IF(J622="","",J622),J623),J624),J625)</f>
        <v/>
      </c>
      <c r="K626" s="1134">
        <f>IF(K625="",IF(K624="",IF(K623="",IF(K622="","",K622),K623),K624),K625)</f>
        <v/>
      </c>
      <c r="L626" s="93">
        <f>IF(L625="",IF(L624="",IF(L623="",IF(L622="","",L622),L623),L624),L625)</f>
        <v/>
      </c>
      <c r="M626" s="93">
        <f>IF(M625="",IF(M624="",IF(M623="",IF(M622="","",M622),M623),M624),M625)</f>
        <v/>
      </c>
      <c r="N626" s="93">
        <f>IF(N625="",IF(N624="",IF(N623="",IF(N622="","",N622),N623),N624),N625)</f>
        <v/>
      </c>
      <c r="O626" s="93">
        <f>IF(O625="",IF(O624="",IF(O623="",IF(O622="","",O622),O623),O624),O625)</f>
        <v/>
      </c>
      <c r="P626" s="1134" t="n"/>
      <c r="Q626" s="93" t="n"/>
      <c r="R626" s="93" t="n"/>
      <c r="S626" s="93" t="n"/>
      <c r="T626" s="93" t="n"/>
      <c r="U626" s="1134" t="n"/>
      <c r="V626" s="93" t="n"/>
      <c r="W626" s="93" t="n"/>
      <c r="X626" s="93" t="n"/>
      <c r="Y626" s="93" t="n"/>
      <c r="Z626" s="1134" t="n"/>
      <c r="AA626" s="93" t="n"/>
      <c r="AB626" s="93" t="n"/>
      <c r="AC626" s="93" t="n"/>
      <c r="AD626" s="93" t="n"/>
      <c r="AE626" s="1134" t="n"/>
      <c r="AF626" s="93" t="n"/>
      <c r="AG626" s="93" t="n"/>
      <c r="AH626" s="93" t="n"/>
      <c r="AI626" s="93">
        <f>IF(AI625="",IF(AI624="",IF(AI623="",IF(AI622="","",AI622),AI623),AI624),AI625)</f>
        <v/>
      </c>
      <c r="AJ626" s="1134">
        <f>IF(AJ625="",IF(AJ624="",IF(AJ623="",IF(AJ622="","",AJ622),AJ623),AJ624),AJ625)</f>
        <v/>
      </c>
      <c r="AK626" s="93">
        <f>IF(AK625="",IF(AK624="",IF(AK623="",IF(AK622="","",AK622),AK623),AK624),AK625)</f>
        <v/>
      </c>
      <c r="AL626" s="93">
        <f>IF(AL625="",IF(AL624="",IF(AL623="",IF(AL622="","",AL622),AL623),AL624),AL625)</f>
        <v/>
      </c>
      <c r="AM626" s="93">
        <f>IF(AM625="",IF(AM624="",IF(AM623="",IF(AM622="","",AM622),AM623),AM624),AM625)</f>
        <v/>
      </c>
      <c r="AN626" s="93">
        <f>IF(AN625="",IF(AN624="",IF(AN623="",IF(AN622="","",AN622),AN623),AN624),AN625)</f>
        <v/>
      </c>
      <c r="AO626" s="1134">
        <f>IF(AO625="",IF(AO624="",IF(AO623="",IF(AO622="","",AO622),AO623),AO624),AO625)</f>
        <v/>
      </c>
      <c r="AP626" s="93">
        <f>IF(AP625="",IF(AP624="",IF(AP623="",IF(AP622="","",AP622),AP623),AP624),AP625)</f>
        <v/>
      </c>
      <c r="AQ626" s="93">
        <f>IF(AQ625="",IF(AQ624="",IF(AQ623="",IF(AQ622="","",AQ622),AQ623),AQ624),AQ625)</f>
        <v/>
      </c>
      <c r="AR626" s="93">
        <f>IF(AR625="",IF(AR624="",IF(AR623="",IF(AR622="","",AR622),AR623),AR624),AR625)</f>
        <v/>
      </c>
      <c r="AS626" s="93">
        <f>IF(AS625="",IF(AS624="",IF(AS623="",IF(AS622="","",AS622),AS623),AS624),AS625)</f>
        <v/>
      </c>
      <c r="AT626" s="1134">
        <f>IF(AT625="",IF(AT624="",IF(AT623="",IF(AT622="","",AT622),AT623),AT624),AT625)</f>
        <v/>
      </c>
      <c r="AU626" s="93">
        <f>IF(AU625="",IF(AU624="",IF(AU623="",IF(AU622="","",AU622),AU623),AU624),AU625)</f>
        <v/>
      </c>
      <c r="AV626" s="93">
        <f>IF(AV625="",IF(AV624="",IF(AV623="",IF(AV622="","",AV622),AV623),AV624),AV625)</f>
        <v/>
      </c>
      <c r="AW626" s="93">
        <f>IF(AW625="",IF(AW624="",IF(AW623="",IF(AW622="","",AW622),AW623),AW624),AW625)</f>
        <v/>
      </c>
      <c r="AX626" s="93">
        <f>IF(AX625="",IF(AX624="",IF(AX623="",IF(AX622="","",AX622),AX623),AX624),AX625)</f>
        <v/>
      </c>
      <c r="AY626" s="1134">
        <f>IF(AY625="",IF(AY624="",IF(AY623="",IF(AY622="","",AY622),AY623),AY624),AY625)</f>
        <v/>
      </c>
      <c r="AZ626" s="93">
        <f>IF(AZ625="",IF(AZ624="",IF(AZ623="",IF(AZ622="","",AZ622),AZ623),AZ624),AZ625)</f>
        <v/>
      </c>
      <c r="BA626" s="93">
        <f>IF(BA625="",IF(BA624="",IF(BA623="",IF(BA622="","",BA622),BA623),BA624),BA625)</f>
        <v/>
      </c>
      <c r="BB626" s="93">
        <f>IF(BB625="",IF(BB624="",IF(BB623="",IF(BB622="","",BB622),BB623),BB624),BB625)</f>
        <v/>
      </c>
      <c r="BC626" s="93">
        <f>IF(BC625="",IF(BC624="",IF(BC623="",IF(BC622="","",BC622),BC623),BC624),BC625)</f>
        <v/>
      </c>
      <c r="BD626" s="1134">
        <f>IF(BD625="",IF(BD624="",IF(BD623="",IF(BD622="","",BD622),BD623),BD624),BD625)</f>
        <v/>
      </c>
      <c r="BE626" s="93">
        <f>IF(BE625="",IF(BE624="",IF(BE623="",IF(BE622="","",BE622),BE623),BE624),BE625)</f>
        <v/>
      </c>
      <c r="BF626" s="93">
        <f>IF(BF625="",IF(BF624="",IF(BF623="",IF(BF622="","",BF622),BF623),BF624),BF625)</f>
        <v/>
      </c>
      <c r="BG626" s="93">
        <f>IF(BG625="",IF(BG624="",IF(BG623="",IF(BG622="","",BG622),BG623),BG624),BG625)</f>
        <v/>
      </c>
      <c r="BH626" s="93">
        <f>IF(BH625="",IF(BH624="",IF(BH623="",IF(BH622="","",BH622),BH623),BH624),BH625)</f>
        <v/>
      </c>
      <c r="BI626" s="1134">
        <f>IF(BI625="",IF(BI624="",IF(BI623="",IF(BI622="","",BI622),BI623),BI624),BI625)</f>
        <v/>
      </c>
      <c r="BJ626" s="93">
        <f>IF(BJ625="",IF(BJ624="",IF(BJ623="",IF(BJ622="","",BJ622),BJ623),BJ624),BJ625)</f>
        <v/>
      </c>
      <c r="BK626" s="93">
        <f>IF(BK625="",IF(BK624="",IF(BK623="",IF(BK622="","",BK622),BK623),BK624),BK625)</f>
        <v/>
      </c>
      <c r="BL626" s="93">
        <f>IF(BL625="",IF(BL624="",IF(BL623="",IF(BL622="","",BL622),BL623),BL624),BL625)</f>
        <v/>
      </c>
      <c r="BM626" s="93">
        <f>IF(BM625="",IF(BM624="",IF(BM623="",IF(BM622="","",BM622),BM623),BM624),BM625)</f>
        <v/>
      </c>
      <c r="BN626" s="1134">
        <f>IF(BN625="",IF(BN624="",IF(BN623="",IF(BN622="","",BN622),BN623),BN624),BN625)</f>
        <v/>
      </c>
      <c r="BO626" s="93">
        <f>IF(BO625="",IF(BO624="",IF(BO623="",IF(BO622="","",BO622),BO623),BO624),BO625)</f>
        <v/>
      </c>
      <c r="BP626" s="93">
        <f>IF(BP625="",IF(BP624="",IF(BP623="",IF(BP622="","",BP622),BP623),BP624),BP625)</f>
        <v/>
      </c>
      <c r="BQ626" s="93">
        <f>IF(BQ625="",IF(BQ624="",IF(BQ623="",IF(BQ622="","",BQ622),BQ623),BQ624),BQ625)</f>
        <v/>
      </c>
      <c r="BR626" s="93">
        <f>IF(BR625="",IF(BR624="",IF(BR623="",IF(BR622="","",BR622),BR623),BR624),BR625)</f>
        <v/>
      </c>
      <c r="BS626" s="1134">
        <f>IF(BS625="",IF(BS624="",IF(BS623="",IF(BS622="","",BS622),BS623),BS624),BS625)</f>
        <v/>
      </c>
      <c r="BT626" s="93">
        <f>IF(BT625="",IF(BT624="",IF(BT623="",IF(BT622="","",BT622),BT623),BT624),BT625)</f>
        <v/>
      </c>
      <c r="BU626" s="93">
        <f>IF(BU625="",IF(BU624="",IF(BU623="",IF(BU622="","",BU622),BU623),BU624),BU625)</f>
        <v/>
      </c>
      <c r="BV626" s="522">
        <f>IF(BV625="",IF(BV624="",IF(BV623="",IF(BV622="","",BV622),BV623),BV624),BV625)</f>
        <v/>
      </c>
      <c r="BW626" s="93">
        <f>IF(BW625="",IF(BW624="",IF(BW623="",IF(BW622="","",BW622),BW623),BW624),BW625)</f>
        <v/>
      </c>
      <c r="BX626" s="1134">
        <f>IF(BX625="",IF(BX624="",IF(BX623="",IF(BX622="","",BX622),BX623),BX624),BX625)</f>
        <v/>
      </c>
      <c r="BY626" s="93">
        <f>IF(BY625="",IF(BY624="",IF(BY623="",IF(BY622="","",BY622),BY623),BY624),BY625)</f>
        <v/>
      </c>
      <c r="BZ626" s="93">
        <f>IF(BZ625="",IF(BZ624="",IF(BZ623="",IF(BZ622="","",BZ622),BZ623),BZ624),BZ625)</f>
        <v/>
      </c>
      <c r="CA626" s="93">
        <f>IF(CA625="",IF(CA624="",IF(CA623="",IF(CA622="","",CA622),CA623),CA624),CA625)</f>
        <v/>
      </c>
      <c r="CB626" s="93">
        <f>IF(CB625="",IF(CB624="",IF(CB623="",IF(CB622="","",CB622),CB623),CB624),CB625)</f>
        <v/>
      </c>
      <c r="CC626" s="1134">
        <f>IF(CC625="",IF(CC624="",IF(CC623="",IF(CC622="","",CC622),CC623),CC624),CC625)</f>
        <v/>
      </c>
      <c r="CD626" s="1134" t="n"/>
      <c r="CE626" s="1134" t="n"/>
      <c r="CF626" s="1134" t="n"/>
      <c r="CG626" s="93" t="n"/>
    </row>
    <row r="627" hidden="1" outlineLevel="1" ht="15" customHeight="1">
      <c r="A627" s="811" t="inlineStr">
        <is>
          <t>Non-GAAP Gross Profit - reported/model estimate, mm</t>
        </is>
      </c>
      <c r="B627" s="718" t="n"/>
      <c r="C627" s="1129">
        <f>+C370</f>
        <v/>
      </c>
      <c r="D627" s="1129">
        <f>+D370</f>
        <v/>
      </c>
      <c r="E627" s="1129">
        <f>+E370</f>
        <v/>
      </c>
      <c r="F627" s="1129">
        <f>+F370</f>
        <v/>
      </c>
      <c r="G627" s="983">
        <f>+G370</f>
        <v/>
      </c>
      <c r="H627" s="983">
        <f>+H370</f>
        <v/>
      </c>
      <c r="I627" s="983">
        <f>+I370</f>
        <v/>
      </c>
      <c r="J627" s="983">
        <f>+J370</f>
        <v/>
      </c>
      <c r="K627" s="1129">
        <f>+K370</f>
        <v/>
      </c>
      <c r="L627" s="983">
        <f>+L370</f>
        <v/>
      </c>
      <c r="M627" s="983">
        <f>+M370</f>
        <v/>
      </c>
      <c r="N627" s="983">
        <f>+N370</f>
        <v/>
      </c>
      <c r="O627" s="983">
        <f>+O370</f>
        <v/>
      </c>
      <c r="P627" s="1129">
        <f>+P370</f>
        <v/>
      </c>
      <c r="Q627" s="983">
        <f>+Q370</f>
        <v/>
      </c>
      <c r="R627" s="983">
        <f>+R370</f>
        <v/>
      </c>
      <c r="S627" s="983">
        <f>+S370</f>
        <v/>
      </c>
      <c r="T627" s="983">
        <f>+T370</f>
        <v/>
      </c>
      <c r="U627" s="1129">
        <f>+U370</f>
        <v/>
      </c>
      <c r="V627" s="983">
        <f>+V370</f>
        <v/>
      </c>
      <c r="W627" s="983">
        <f>+W370</f>
        <v/>
      </c>
      <c r="X627" s="983">
        <f>+X370</f>
        <v/>
      </c>
      <c r="Y627" s="983">
        <f>+Y370</f>
        <v/>
      </c>
      <c r="Z627" s="1129">
        <f>+Z370</f>
        <v/>
      </c>
      <c r="AA627" s="983">
        <f>+AA370</f>
        <v/>
      </c>
      <c r="AB627" s="983">
        <f>+AB370</f>
        <v/>
      </c>
      <c r="AC627" s="983">
        <f>+AC370</f>
        <v/>
      </c>
      <c r="AD627" s="983">
        <f>+AD370</f>
        <v/>
      </c>
      <c r="AE627" s="1129">
        <f>+AE370</f>
        <v/>
      </c>
      <c r="AF627" s="983">
        <f>+AF370</f>
        <v/>
      </c>
      <c r="AG627" s="983">
        <f>+AG370</f>
        <v/>
      </c>
      <c r="AH627" s="983">
        <f>+AH370</f>
        <v/>
      </c>
      <c r="AI627" s="983">
        <f>+AI370</f>
        <v/>
      </c>
      <c r="AJ627" s="1129">
        <f>+AJ370</f>
        <v/>
      </c>
      <c r="AK627" s="983">
        <f>+AK370</f>
        <v/>
      </c>
      <c r="AL627" s="983">
        <f>+AL370</f>
        <v/>
      </c>
      <c r="AM627" s="983">
        <f>+AM370</f>
        <v/>
      </c>
      <c r="AN627" s="983">
        <f>+AN370</f>
        <v/>
      </c>
      <c r="AO627" s="1129">
        <f>+AO370</f>
        <v/>
      </c>
      <c r="AP627" s="983">
        <f>+AP370</f>
        <v/>
      </c>
      <c r="AQ627" s="983">
        <f>+AQ370</f>
        <v/>
      </c>
      <c r="AR627" s="983">
        <f>+AR370</f>
        <v/>
      </c>
      <c r="AS627" s="983">
        <f>+AS370</f>
        <v/>
      </c>
      <c r="AT627" s="1129">
        <f>+AT370</f>
        <v/>
      </c>
      <c r="AU627" s="983">
        <f>+AU370</f>
        <v/>
      </c>
      <c r="AV627" s="983">
        <f>+AV370</f>
        <v/>
      </c>
      <c r="AW627" s="983">
        <f>+AW370</f>
        <v/>
      </c>
      <c r="AX627" s="983">
        <f>+AX370</f>
        <v/>
      </c>
      <c r="AY627" s="1129">
        <f>+AY370</f>
        <v/>
      </c>
      <c r="AZ627" s="983">
        <f>+AZ370</f>
        <v/>
      </c>
      <c r="BA627" s="983">
        <f>+BA370</f>
        <v/>
      </c>
      <c r="BB627" s="983">
        <f>+BB370</f>
        <v/>
      </c>
      <c r="BC627" s="983">
        <f>+BC370</f>
        <v/>
      </c>
      <c r="BD627" s="1129">
        <f>+BD370</f>
        <v/>
      </c>
      <c r="BE627" s="983">
        <f>+BE370</f>
        <v/>
      </c>
      <c r="BF627" s="983">
        <f>+BF370</f>
        <v/>
      </c>
      <c r="BG627" s="983">
        <f>+BG370</f>
        <v/>
      </c>
      <c r="BH627" s="983">
        <f>+BH370</f>
        <v/>
      </c>
      <c r="BI627" s="1129">
        <f>+BI370</f>
        <v/>
      </c>
      <c r="BJ627" s="983">
        <f>+BJ370</f>
        <v/>
      </c>
      <c r="BK627" s="983">
        <f>+BK370</f>
        <v/>
      </c>
      <c r="BL627" s="983">
        <f>+BL370</f>
        <v/>
      </c>
      <c r="BM627" s="983">
        <f>+BM370</f>
        <v/>
      </c>
      <c r="BN627" s="1129">
        <f>+BN370</f>
        <v/>
      </c>
      <c r="BO627" s="983">
        <f>+BO370</f>
        <v/>
      </c>
      <c r="BP627" s="983">
        <f>+BP370</f>
        <v/>
      </c>
      <c r="BQ627" s="983">
        <f>+BQ370</f>
        <v/>
      </c>
      <c r="BR627" s="983">
        <f>+BR370</f>
        <v/>
      </c>
      <c r="BS627" s="1129">
        <f>+BS370</f>
        <v/>
      </c>
      <c r="BT627" s="983">
        <f>+BT370</f>
        <v/>
      </c>
      <c r="BU627" s="983">
        <f>+BU370</f>
        <v/>
      </c>
      <c r="BV627" s="984">
        <f>+BV370</f>
        <v/>
      </c>
      <c r="BW627" s="983">
        <f>+BW370</f>
        <v/>
      </c>
      <c r="BX627" s="1129">
        <f>+BX370</f>
        <v/>
      </c>
      <c r="BY627" s="983">
        <f>+BY370</f>
        <v/>
      </c>
      <c r="BZ627" s="983">
        <f>+BZ370</f>
        <v/>
      </c>
      <c r="CA627" s="983">
        <f>+CA370</f>
        <v/>
      </c>
      <c r="CB627" s="983">
        <f>+CB370</f>
        <v/>
      </c>
      <c r="CC627" s="1129">
        <f>+CC370</f>
        <v/>
      </c>
      <c r="CD627" s="1129">
        <f>+CD370</f>
        <v/>
      </c>
      <c r="CE627" s="1129">
        <f>+CE370</f>
        <v/>
      </c>
      <c r="CF627" s="1129">
        <f>+CF370</f>
        <v/>
      </c>
      <c r="CG627" s="93" t="n"/>
    </row>
    <row r="628" hidden="1" outlineLevel="1" ht="15" customHeight="1">
      <c r="A628" s="813" t="inlineStr">
        <is>
          <t>Non-GAAP Gross Profit beat/(miss) vs. most recent guidance - midpoint, mm</t>
        </is>
      </c>
      <c r="B628" s="396" t="n"/>
      <c r="C628" s="1190" t="n"/>
      <c r="D628" s="1190" t="n"/>
      <c r="E628" s="1190" t="n"/>
      <c r="F628" s="1190" t="n"/>
      <c r="G628" s="398">
        <f>IFERROR(G627-G626,"")</f>
        <v/>
      </c>
      <c r="H628" s="398">
        <f>IFERROR(H627-H626,"")</f>
        <v/>
      </c>
      <c r="I628" s="398">
        <f>IFERROR(I627-I626,"")</f>
        <v/>
      </c>
      <c r="J628" s="398">
        <f>IFERROR(J627-J626,"")</f>
        <v/>
      </c>
      <c r="K628" s="1190">
        <f>IFERROR(K627-K626,"")</f>
        <v/>
      </c>
      <c r="L628" s="398">
        <f>IFERROR(L627-L626,"")</f>
        <v/>
      </c>
      <c r="M628" s="398">
        <f>IFERROR(M627-M626,"")</f>
        <v/>
      </c>
      <c r="N628" s="398">
        <f>IFERROR(N627-N626,"")</f>
        <v/>
      </c>
      <c r="O628" s="398">
        <f>IFERROR(O627-O626,"")</f>
        <v/>
      </c>
      <c r="P628" s="1190" t="n"/>
      <c r="Q628" s="398" t="n"/>
      <c r="R628" s="398" t="n"/>
      <c r="S628" s="398" t="n"/>
      <c r="T628" s="398" t="n"/>
      <c r="U628" s="1190" t="n"/>
      <c r="V628" s="398" t="n"/>
      <c r="W628" s="398" t="n"/>
      <c r="X628" s="398" t="n"/>
      <c r="Y628" s="398" t="n"/>
      <c r="Z628" s="1190" t="n"/>
      <c r="AA628" s="398" t="n"/>
      <c r="AB628" s="398" t="n"/>
      <c r="AC628" s="398" t="n"/>
      <c r="AD628" s="398" t="n"/>
      <c r="AE628" s="1190" t="n"/>
      <c r="AF628" s="398" t="n"/>
      <c r="AG628" s="398" t="n"/>
      <c r="AH628" s="398" t="n"/>
      <c r="AI628" s="398">
        <f>IFERROR(AI627-AI626,"")</f>
        <v/>
      </c>
      <c r="AJ628" s="1190">
        <f>IFERROR(AJ627-AJ626,"")</f>
        <v/>
      </c>
      <c r="AK628" s="398">
        <f>IFERROR(AK627-AK626,"")</f>
        <v/>
      </c>
      <c r="AL628" s="398">
        <f>IFERROR(AL627-AL626,"")</f>
        <v/>
      </c>
      <c r="AM628" s="398">
        <f>IFERROR(AM627-AM626,"")</f>
        <v/>
      </c>
      <c r="AN628" s="398">
        <f>IFERROR(AN627-AN626,"")</f>
        <v/>
      </c>
      <c r="AO628" s="1190">
        <f>IFERROR(AO627-AO626,"")</f>
        <v/>
      </c>
      <c r="AP628" s="398">
        <f>IFERROR(AP627-AP626,"")</f>
        <v/>
      </c>
      <c r="AQ628" s="398">
        <f>IFERROR(AQ627-AQ626,"")</f>
        <v/>
      </c>
      <c r="AR628" s="398">
        <f>IFERROR(AR627-AR626,"")</f>
        <v/>
      </c>
      <c r="AS628" s="398">
        <f>IFERROR(AS627-AS626,"")</f>
        <v/>
      </c>
      <c r="AT628" s="1190">
        <f>IFERROR(AT627-AT626,"")</f>
        <v/>
      </c>
      <c r="AU628" s="398">
        <f>IFERROR(AU627-AU626,"")</f>
        <v/>
      </c>
      <c r="AV628" s="398">
        <f>IFERROR(AV627-AV626,"")</f>
        <v/>
      </c>
      <c r="AW628" s="398">
        <f>IFERROR(AW627-AW626,"")</f>
        <v/>
      </c>
      <c r="AX628" s="398">
        <f>IFERROR(AX627-AX626,"")</f>
        <v/>
      </c>
      <c r="AY628" s="1190">
        <f>IFERROR(AY627-AY626,"")</f>
        <v/>
      </c>
      <c r="AZ628" s="398">
        <f>IFERROR(AZ627-AZ626,"")</f>
        <v/>
      </c>
      <c r="BA628" s="398">
        <f>IFERROR(BA627-BA626,"")</f>
        <v/>
      </c>
      <c r="BB628" s="398">
        <f>IFERROR(BB627-BB626,"")</f>
        <v/>
      </c>
      <c r="BC628" s="398">
        <f>IFERROR(BC627-BC626,"")</f>
        <v/>
      </c>
      <c r="BD628" s="1190">
        <f>IFERROR(BD627-BD626,"")</f>
        <v/>
      </c>
      <c r="BE628" s="398">
        <f>IFERROR(BE627-BE626,"")</f>
        <v/>
      </c>
      <c r="BF628" s="398">
        <f>IFERROR(BF627-BF626,"")</f>
        <v/>
      </c>
      <c r="BG628" s="398">
        <f>IFERROR(BG627-BG626,"")</f>
        <v/>
      </c>
      <c r="BH628" s="398">
        <f>IFERROR(BH627-BH626,"")</f>
        <v/>
      </c>
      <c r="BI628" s="1190">
        <f>IFERROR(BI627-BI626,"")</f>
        <v/>
      </c>
      <c r="BJ628" s="398">
        <f>IFERROR(BJ627-BJ626,"")</f>
        <v/>
      </c>
      <c r="BK628" s="398">
        <f>IFERROR(BK627-BK626,"")</f>
        <v/>
      </c>
      <c r="BL628" s="398">
        <f>IFERROR(BL627-BL626,"")</f>
        <v/>
      </c>
      <c r="BM628" s="398">
        <f>IFERROR(BM627-BM626,"")</f>
        <v/>
      </c>
      <c r="BN628" s="1190">
        <f>IFERROR(BN627-BN626,"")</f>
        <v/>
      </c>
      <c r="BO628" s="398">
        <f>IFERROR(BO627-BO626,"")</f>
        <v/>
      </c>
      <c r="BP628" s="398">
        <f>IFERROR(BP627-BP626,"")</f>
        <v/>
      </c>
      <c r="BQ628" s="398">
        <f>IFERROR(BQ627-BQ626,"")</f>
        <v/>
      </c>
      <c r="BR628" s="398">
        <f>IFERROR(BR627-BR626,"")</f>
        <v/>
      </c>
      <c r="BS628" s="1190">
        <f>IFERROR(BS627-BS626,"")</f>
        <v/>
      </c>
      <c r="BT628" s="398">
        <f>IFERROR(BT627-BT626,"")</f>
        <v/>
      </c>
      <c r="BU628" s="398">
        <f>IFERROR(BU627-BU626,"")</f>
        <v/>
      </c>
      <c r="BV628" s="1038">
        <f>IFERROR(BV627-BV626,"")</f>
        <v/>
      </c>
      <c r="BW628" s="398">
        <f>IFERROR(BW627-BW626,"")</f>
        <v/>
      </c>
      <c r="BX628" s="1190">
        <f>IFERROR(BX627-BX626,"")</f>
        <v/>
      </c>
      <c r="BY628" s="398">
        <f>IFERROR(BY627-BY626,"")</f>
        <v/>
      </c>
      <c r="BZ628" s="398">
        <f>IFERROR(BZ627-BZ626,"")</f>
        <v/>
      </c>
      <c r="CA628" s="398">
        <f>IFERROR(CA627-CA626,"")</f>
        <v/>
      </c>
      <c r="CB628" s="398">
        <f>IFERROR(CB627-CB626,"")</f>
        <v/>
      </c>
      <c r="CC628" s="1190">
        <f>IFERROR(CC627-CC626,"")</f>
        <v/>
      </c>
      <c r="CD628" s="1190" t="n"/>
      <c r="CE628" s="1190" t="n"/>
      <c r="CF628" s="1190" t="n"/>
      <c r="CG628" s="93" t="n"/>
    </row>
    <row r="629" hidden="1" outlineLevel="1" ht="15" customHeight="1">
      <c r="A629" s="798" t="inlineStr">
        <is>
          <t>Relative non-GAAP gross profit beat/(miss) vs. most recent guidance - midpoint, %</t>
        </is>
      </c>
      <c r="B629" s="797" t="n"/>
      <c r="C629" s="1191" t="n"/>
      <c r="D629" s="1191" t="n"/>
      <c r="E629" s="1191" t="n"/>
      <c r="F629" s="1191" t="n"/>
      <c r="G629" s="792">
        <f>IFERROR(G628/ABS(G626),"")</f>
        <v/>
      </c>
      <c r="H629" s="792">
        <f>IFERROR(H628/ABS(H626),"")</f>
        <v/>
      </c>
      <c r="I629" s="792">
        <f>IFERROR(I628/ABS(I626),"")</f>
        <v/>
      </c>
      <c r="J629" s="792">
        <f>IFERROR(J628/ABS(J626),"")</f>
        <v/>
      </c>
      <c r="K629" s="1191">
        <f>IFERROR(K628/ABS(K626),"")</f>
        <v/>
      </c>
      <c r="L629" s="792">
        <f>IFERROR(L628/ABS(L626),"")</f>
        <v/>
      </c>
      <c r="M629" s="792">
        <f>IFERROR(M628/ABS(M626),"")</f>
        <v/>
      </c>
      <c r="N629" s="792">
        <f>IFERROR(N628/ABS(N626),"")</f>
        <v/>
      </c>
      <c r="O629" s="792">
        <f>IFERROR(O628/ABS(O626),"")</f>
        <v/>
      </c>
      <c r="P629" s="1191" t="n"/>
      <c r="Q629" s="792" t="n"/>
      <c r="R629" s="792" t="n"/>
      <c r="S629" s="792" t="n"/>
      <c r="T629" s="792" t="n"/>
      <c r="U629" s="1191" t="n"/>
      <c r="V629" s="792" t="n"/>
      <c r="W629" s="792" t="n"/>
      <c r="X629" s="792" t="n"/>
      <c r="Y629" s="792" t="n"/>
      <c r="Z629" s="1191" t="n"/>
      <c r="AA629" s="792" t="n"/>
      <c r="AB629" s="792" t="n"/>
      <c r="AC629" s="792" t="n"/>
      <c r="AD629" s="792" t="n"/>
      <c r="AE629" s="1191" t="n"/>
      <c r="AF629" s="792" t="n"/>
      <c r="AG629" s="792" t="n"/>
      <c r="AH629" s="792" t="n"/>
      <c r="AI629" s="792">
        <f>IFERROR(AI628/ABS(AI626),"")</f>
        <v/>
      </c>
      <c r="AJ629" s="1191">
        <f>IFERROR(AJ628/ABS(AJ626),"")</f>
        <v/>
      </c>
      <c r="AK629" s="792">
        <f>IFERROR(AK628/ABS(AK626),"")</f>
        <v/>
      </c>
      <c r="AL629" s="792">
        <f>IFERROR(AL628/ABS(AL626),"")</f>
        <v/>
      </c>
      <c r="AM629" s="792">
        <f>IFERROR(AM628/ABS(AM626),"")</f>
        <v/>
      </c>
      <c r="AN629" s="792">
        <f>IFERROR(AN628/ABS(AN626),"")</f>
        <v/>
      </c>
      <c r="AO629" s="1191">
        <f>IFERROR(AO628/ABS(AO626),"")</f>
        <v/>
      </c>
      <c r="AP629" s="792">
        <f>IFERROR(AP628/ABS(AP626),"")</f>
        <v/>
      </c>
      <c r="AQ629" s="792">
        <f>IFERROR(AQ628/ABS(AQ626),"")</f>
        <v/>
      </c>
      <c r="AR629" s="792">
        <f>IFERROR(AR628/ABS(AR626),"")</f>
        <v/>
      </c>
      <c r="AS629" s="792">
        <f>IFERROR(AS628/ABS(AS626),"")</f>
        <v/>
      </c>
      <c r="AT629" s="1191">
        <f>IFERROR(AT628/ABS(AT626),"")</f>
        <v/>
      </c>
      <c r="AU629" s="792">
        <f>IFERROR(AU628/ABS(AU626),"")</f>
        <v/>
      </c>
      <c r="AV629" s="792">
        <f>IFERROR(AV628/ABS(AV626),"")</f>
        <v/>
      </c>
      <c r="AW629" s="792">
        <f>IFERROR(AW628/ABS(AW626),"")</f>
        <v/>
      </c>
      <c r="AX629" s="792">
        <f>IFERROR(AX628/ABS(AX626),"")</f>
        <v/>
      </c>
      <c r="AY629" s="1191">
        <f>IFERROR(AY628/ABS(AY626),"")</f>
        <v/>
      </c>
      <c r="AZ629" s="792">
        <f>IFERROR(AZ628/ABS(AZ626),"")</f>
        <v/>
      </c>
      <c r="BA629" s="792">
        <f>IFERROR(BA628/ABS(BA626),"")</f>
        <v/>
      </c>
      <c r="BB629" s="792">
        <f>IFERROR(BB628/ABS(BB626),"")</f>
        <v/>
      </c>
      <c r="BC629" s="792">
        <f>IFERROR(BC628/ABS(BC626),"")</f>
        <v/>
      </c>
      <c r="BD629" s="1191">
        <f>IFERROR(BD628/ABS(BD626),"")</f>
        <v/>
      </c>
      <c r="BE629" s="792">
        <f>IFERROR(BE628/ABS(BE626),"")</f>
        <v/>
      </c>
      <c r="BF629" s="792">
        <f>IFERROR(BF628/ABS(BF626),"")</f>
        <v/>
      </c>
      <c r="BG629" s="792">
        <f>IFERROR(BG628/ABS(BG626),"")</f>
        <v/>
      </c>
      <c r="BH629" s="792">
        <f>IFERROR(BH628/ABS(BH626),"")</f>
        <v/>
      </c>
      <c r="BI629" s="1191">
        <f>IFERROR(BI628/ABS(BI626),"")</f>
        <v/>
      </c>
      <c r="BJ629" s="792">
        <f>IFERROR(BJ628/ABS(BJ626),"")</f>
        <v/>
      </c>
      <c r="BK629" s="792">
        <f>IFERROR(BK628/ABS(BK626),"")</f>
        <v/>
      </c>
      <c r="BL629" s="792">
        <f>IFERROR(BL628/ABS(BL626),"")</f>
        <v/>
      </c>
      <c r="BM629" s="792">
        <f>IFERROR(BM628/ABS(BM626),"")</f>
        <v/>
      </c>
      <c r="BN629" s="1191">
        <f>IFERROR(BN628/ABS(BN626),"")</f>
        <v/>
      </c>
      <c r="BO629" s="792">
        <f>IFERROR(BO628/ABS(BO626),"")</f>
        <v/>
      </c>
      <c r="BP629" s="792">
        <f>IFERROR(BP628/ABS(BP626),"")</f>
        <v/>
      </c>
      <c r="BQ629" s="792">
        <f>IFERROR(BQ628/ABS(BQ626),"")</f>
        <v/>
      </c>
      <c r="BR629" s="792">
        <f>IFERROR(BR628/ABS(BR626),"")</f>
        <v/>
      </c>
      <c r="BS629" s="1191">
        <f>IFERROR(BS628/ABS(BS626),"")</f>
        <v/>
      </c>
      <c r="BT629" s="792">
        <f>IFERROR(BT628/ABS(BT626),"")</f>
        <v/>
      </c>
      <c r="BU629" s="792">
        <f>IFERROR(BU628/ABS(BU626),"")</f>
        <v/>
      </c>
      <c r="BV629" s="907">
        <f>IFERROR(BV628/ABS(BV626),"")</f>
        <v/>
      </c>
      <c r="BW629" s="792">
        <f>IFERROR(BW628/ABS(BW626),"")</f>
        <v/>
      </c>
      <c r="BX629" s="1191">
        <f>IFERROR(BX628/ABS(BX626),"")</f>
        <v/>
      </c>
      <c r="BY629" s="792">
        <f>IFERROR(BY628/ABS(BY626),"")</f>
        <v/>
      </c>
      <c r="BZ629" s="792">
        <f>IFERROR(BZ628/ABS(BZ626),"")</f>
        <v/>
      </c>
      <c r="CA629" s="792">
        <f>IFERROR(CA628/ABS(CA626),"")</f>
        <v/>
      </c>
      <c r="CB629" s="792">
        <f>IFERROR(CB628/ABS(CB626),"")</f>
        <v/>
      </c>
      <c r="CC629" s="1191">
        <f>IFERROR(CC628/ABS(CC626),"")</f>
        <v/>
      </c>
      <c r="CD629" s="1191" t="n"/>
      <c r="CE629" s="1191" t="n"/>
      <c r="CF629" s="1191" t="n"/>
      <c r="CG629" s="93" t="n"/>
    </row>
    <row r="630" hidden="1" outlineLevel="1" ht="15" customHeight="1">
      <c r="A630" s="799" t="n"/>
      <c r="B630" s="428" t="n"/>
      <c r="C630" s="1134" t="n"/>
      <c r="D630" s="1134" t="n"/>
      <c r="E630" s="1134" t="n"/>
      <c r="F630" s="1134" t="n"/>
      <c r="G630" s="93" t="n"/>
      <c r="H630" s="93" t="n"/>
      <c r="I630" s="93" t="n"/>
      <c r="J630" s="93" t="n"/>
      <c r="K630" s="1134" t="n"/>
      <c r="L630" s="93" t="n"/>
      <c r="M630" s="93" t="n"/>
      <c r="N630" s="93" t="n"/>
      <c r="O630" s="93" t="n"/>
      <c r="P630" s="1134" t="n"/>
      <c r="Q630" s="93" t="n"/>
      <c r="R630" s="93" t="n"/>
      <c r="S630" s="93" t="n"/>
      <c r="T630" s="93" t="n"/>
      <c r="U630" s="1134" t="n"/>
      <c r="V630" s="93" t="n"/>
      <c r="W630" s="93" t="n"/>
      <c r="X630" s="93" t="n"/>
      <c r="Y630" s="93" t="n"/>
      <c r="Z630" s="1134" t="n"/>
      <c r="AA630" s="93" t="n"/>
      <c r="AB630" s="93" t="n"/>
      <c r="AC630" s="93" t="n"/>
      <c r="AD630" s="93" t="n"/>
      <c r="AE630" s="1134" t="n"/>
      <c r="AF630" s="93" t="n"/>
      <c r="AG630" s="93" t="n"/>
      <c r="AH630" s="93" t="n"/>
      <c r="AI630" s="93" t="n"/>
      <c r="AJ630" s="1134" t="n"/>
      <c r="AK630" s="93" t="n"/>
      <c r="AL630" s="93" t="n"/>
      <c r="AM630" s="93" t="n"/>
      <c r="AN630" s="93" t="n"/>
      <c r="AO630" s="1134" t="n"/>
      <c r="AP630" s="93" t="n"/>
      <c r="AQ630" s="93" t="n"/>
      <c r="AR630" s="93" t="n"/>
      <c r="AS630" s="93" t="n"/>
      <c r="AT630" s="1134" t="n"/>
      <c r="AU630" s="93" t="n"/>
      <c r="AV630" s="93" t="n"/>
      <c r="AW630" s="93" t="n"/>
      <c r="AX630" s="93" t="n"/>
      <c r="AY630" s="1134" t="n"/>
      <c r="AZ630" s="93" t="n"/>
      <c r="BA630" s="93" t="n"/>
      <c r="BB630" s="93" t="n"/>
      <c r="BC630" s="93" t="n"/>
      <c r="BD630" s="1134" t="n"/>
      <c r="BE630" s="93" t="n"/>
      <c r="BF630" s="93" t="n"/>
      <c r="BG630" s="93" t="n"/>
      <c r="BH630" s="93" t="n"/>
      <c r="BI630" s="1134" t="n"/>
      <c r="BJ630" s="93" t="n"/>
      <c r="BK630" s="93" t="n"/>
      <c r="BL630" s="93" t="n"/>
      <c r="BM630" s="93" t="n"/>
      <c r="BN630" s="1134" t="n"/>
      <c r="BO630" s="93" t="n"/>
      <c r="BP630" s="93" t="n"/>
      <c r="BQ630" s="93" t="n"/>
      <c r="BR630" s="93" t="n"/>
      <c r="BS630" s="1134" t="n"/>
      <c r="BT630" s="93" t="n"/>
      <c r="BU630" s="93" t="n"/>
      <c r="BV630" s="522" t="n"/>
      <c r="BW630" s="93" t="n"/>
      <c r="BX630" s="1134" t="n"/>
      <c r="BY630" s="93" t="n"/>
      <c r="BZ630" s="93" t="n"/>
      <c r="CA630" s="93" t="n"/>
      <c r="CB630" s="93" t="n"/>
      <c r="CC630" s="1134" t="n"/>
      <c r="CD630" s="1134" t="n"/>
      <c r="CE630" s="1134" t="n"/>
      <c r="CF630" s="1134" t="n"/>
      <c r="CG630" s="93" t="n"/>
    </row>
    <row r="631" hidden="1" outlineLevel="1" ht="15" customHeight="1">
      <c r="A631" s="371" t="inlineStr">
        <is>
          <t>Q/Q guided non-GAAP gross profit growth, %</t>
        </is>
      </c>
      <c r="B631" s="112" t="n"/>
      <c r="C631" s="1113" t="n"/>
      <c r="D631" s="1113" t="n"/>
      <c r="E631" s="1113" t="n"/>
      <c r="F631" s="1113" t="n"/>
      <c r="G631" s="90" t="n"/>
      <c r="H631" s="90" t="n"/>
      <c r="I631" s="90" t="n"/>
      <c r="J631" s="90" t="n"/>
      <c r="K631" s="1113" t="n"/>
      <c r="L631" s="90" t="n"/>
      <c r="M631" s="90" t="n"/>
      <c r="N631" s="90" t="n"/>
      <c r="O631" s="90" t="n"/>
      <c r="P631" s="1113" t="n"/>
      <c r="Q631" s="90" t="n"/>
      <c r="R631" s="90" t="n"/>
      <c r="S631" s="90" t="n"/>
      <c r="T631" s="90" t="n"/>
      <c r="U631" s="1113" t="n"/>
      <c r="V631" s="90" t="n"/>
      <c r="W631" s="90" t="n"/>
      <c r="X631" s="90" t="n"/>
      <c r="Y631" s="90" t="n"/>
      <c r="Z631" s="1113" t="n"/>
      <c r="AA631" s="90" t="n"/>
      <c r="AB631" s="90" t="n"/>
      <c r="AC631" s="90" t="n"/>
      <c r="AD631" s="90" t="n"/>
      <c r="AE631" s="1113" t="n"/>
      <c r="AF631" s="90" t="n"/>
      <c r="AG631" s="90" t="n"/>
      <c r="AH631" s="90" t="n"/>
      <c r="AI631" s="90">
        <f>IF(AI626="","",AI626/AH627-1)</f>
        <v/>
      </c>
      <c r="AJ631" s="1113" t="n"/>
      <c r="AK631" s="90">
        <f>IF(AK626="","",AK626/AI627-1)</f>
        <v/>
      </c>
      <c r="AL631" s="90">
        <f>IF(AL626="","",AL626/AK627-1)</f>
        <v/>
      </c>
      <c r="AM631" s="90">
        <f>IF(AM626="","",AM626/AL627-1)</f>
        <v/>
      </c>
      <c r="AN631" s="90">
        <f>IF(AN626="","",AN626/AM627-1)</f>
        <v/>
      </c>
      <c r="AO631" s="1113" t="n"/>
      <c r="AP631" s="90">
        <f>IF(AP626="","",AP626/AN627-1)</f>
        <v/>
      </c>
      <c r="AQ631" s="90">
        <f>IF(AQ626="","",AQ626/AP627-1)</f>
        <v/>
      </c>
      <c r="AR631" s="90">
        <f>IF(AR626="","",AR626/AQ627-1)</f>
        <v/>
      </c>
      <c r="AS631" s="90">
        <f>IF(AS626="","",AS626/AR627-1)</f>
        <v/>
      </c>
      <c r="AT631" s="1113" t="n"/>
      <c r="AU631" s="90">
        <f>IF(AU626="","",AU626/AS627-1)</f>
        <v/>
      </c>
      <c r="AV631" s="90">
        <f>IF(AV626="","",AV626/AU627-1)</f>
        <v/>
      </c>
      <c r="AW631" s="90">
        <f>IF(AW626="","",AW626/AV627-1)</f>
        <v/>
      </c>
      <c r="AX631" s="90">
        <f>IF(AX626="","",AX626/AW627-1)</f>
        <v/>
      </c>
      <c r="AY631" s="1113" t="n"/>
      <c r="AZ631" s="90">
        <f>IF(AZ626="","",AZ626/AX627-1)</f>
        <v/>
      </c>
      <c r="BA631" s="90">
        <f>IF(BA626="","",BA626/AZ627-1)</f>
        <v/>
      </c>
      <c r="BB631" s="90">
        <f>IF(BB626="","",BB626/BA627-1)</f>
        <v/>
      </c>
      <c r="BC631" s="90">
        <f>IF(BC626="","",BC626/BB627-1)</f>
        <v/>
      </c>
      <c r="BD631" s="1113" t="n"/>
      <c r="BE631" s="90">
        <f>IF(BE626="","",BE626/BC627-1)</f>
        <v/>
      </c>
      <c r="BF631" s="90">
        <f>IF(BF626="","",BF626/BE627-1)</f>
        <v/>
      </c>
      <c r="BG631" s="90">
        <f>IF(BG626="","",BG626/BF627-1)</f>
        <v/>
      </c>
      <c r="BH631" s="90">
        <f>IF(BH626="","",BH626/BG627-1)</f>
        <v/>
      </c>
      <c r="BI631" s="1113" t="n"/>
      <c r="BJ631" s="90">
        <f>IF(BJ626="","",BJ626/BH627-1)</f>
        <v/>
      </c>
      <c r="BK631" s="90">
        <f>IF(BK626="","",BK626/BJ627-1)</f>
        <v/>
      </c>
      <c r="BL631" s="90">
        <f>IF(BL626="","",BL626/BK627-1)</f>
        <v/>
      </c>
      <c r="BM631" s="90">
        <f>IF(BM626="","",BM626/BL627-1)</f>
        <v/>
      </c>
      <c r="BN631" s="1113" t="n"/>
      <c r="BO631" s="90">
        <f>IF(BO626="","",BO626/BM627-1)</f>
        <v/>
      </c>
      <c r="BP631" s="90">
        <f>IF(BP626="","",BP626/BO627-1)</f>
        <v/>
      </c>
      <c r="BQ631" s="90">
        <f>IF(BQ626="","",BQ626/BP627-1)</f>
        <v/>
      </c>
      <c r="BR631" s="90">
        <f>IF(BR626="","",BR626/BQ627-1)</f>
        <v/>
      </c>
      <c r="BS631" s="1113" t="n"/>
      <c r="BT631" s="90">
        <f>IF(BT626="","",BT626/BR627-1)</f>
        <v/>
      </c>
      <c r="BU631" s="90">
        <f>IF(BU626="","",BU626/BT627-1)</f>
        <v/>
      </c>
      <c r="BV631" s="880">
        <f>IF(BV626="","",BV626/BU627-1)</f>
        <v/>
      </c>
      <c r="BW631" s="90" t="n"/>
      <c r="BX631" s="1113" t="n"/>
      <c r="BY631" s="90" t="n"/>
      <c r="BZ631" s="90" t="n"/>
      <c r="CA631" s="90" t="n"/>
      <c r="CB631" s="90" t="n"/>
      <c r="CC631" s="1113" t="n"/>
      <c r="CD631" s="1113" t="n"/>
      <c r="CE631" s="1113" t="n"/>
      <c r="CF631" s="1113" t="n"/>
      <c r="CG631" s="93" t="n"/>
    </row>
    <row r="632" hidden="1" outlineLevel="1" ht="15" customHeight="1">
      <c r="A632" s="806" t="inlineStr">
        <is>
          <t>Q/Q beat/(miss) non-GAAP gross profit growth, %</t>
        </is>
      </c>
      <c r="B632" s="804" t="n"/>
      <c r="C632" s="1194" t="n"/>
      <c r="D632" s="1194" t="n"/>
      <c r="E632" s="1194" t="n"/>
      <c r="F632" s="1194" t="n"/>
      <c r="G632" s="805" t="n"/>
      <c r="H632" s="805" t="n"/>
      <c r="I632" s="805" t="n"/>
      <c r="J632" s="805" t="n"/>
      <c r="K632" s="1194" t="n"/>
      <c r="L632" s="805" t="n"/>
      <c r="M632" s="805" t="n"/>
      <c r="N632" s="805" t="n"/>
      <c r="O632" s="805" t="n"/>
      <c r="P632" s="1194" t="n"/>
      <c r="Q632" s="805" t="n"/>
      <c r="R632" s="805" t="n"/>
      <c r="S632" s="805" t="n"/>
      <c r="T632" s="805" t="n"/>
      <c r="U632" s="1194" t="n"/>
      <c r="V632" s="805" t="n"/>
      <c r="W632" s="805" t="n"/>
      <c r="X632" s="805" t="n"/>
      <c r="Y632" s="805" t="n"/>
      <c r="Z632" s="1194" t="n"/>
      <c r="AA632" s="805" t="n"/>
      <c r="AB632" s="805" t="n"/>
      <c r="AC632" s="805" t="n"/>
      <c r="AD632" s="805" t="n"/>
      <c r="AE632" s="1194" t="n"/>
      <c r="AF632" s="805" t="n"/>
      <c r="AG632" s="805" t="n"/>
      <c r="AH632" s="805" t="n"/>
      <c r="AI632" s="805">
        <f>IF(AI628="","",AI628/AH627)</f>
        <v/>
      </c>
      <c r="AJ632" s="1194" t="n"/>
      <c r="AK632" s="805">
        <f>IF(AK628="","",AK628/AI627)</f>
        <v/>
      </c>
      <c r="AL632" s="805">
        <f>IF(AL628="","",AL628/AK627)</f>
        <v/>
      </c>
      <c r="AM632" s="805">
        <f>IF(AM628="","",AM628/AL627)</f>
        <v/>
      </c>
      <c r="AN632" s="805">
        <f>IF(AN628="","",AN628/AM627)</f>
        <v/>
      </c>
      <c r="AO632" s="1194" t="n"/>
      <c r="AP632" s="805">
        <f>IF(AP628="","",AP628/AN627)</f>
        <v/>
      </c>
      <c r="AQ632" s="805">
        <f>IF(AQ628="","",AQ628/AP627)</f>
        <v/>
      </c>
      <c r="AR632" s="805">
        <f>IF(AR628="","",AR628/AQ627)</f>
        <v/>
      </c>
      <c r="AS632" s="805">
        <f>IF(AS628="","",AS628/AR627)</f>
        <v/>
      </c>
      <c r="AT632" s="1194" t="n"/>
      <c r="AU632" s="805">
        <f>IF(AU628="","",AU628/AS627)</f>
        <v/>
      </c>
      <c r="AV632" s="805">
        <f>IF(AV628="","",AV628/AU627)</f>
        <v/>
      </c>
      <c r="AW632" s="805">
        <f>IF(AW628="","",AW628/AV627)</f>
        <v/>
      </c>
      <c r="AX632" s="805">
        <f>IF(AX628="","",AX628/AW627)</f>
        <v/>
      </c>
      <c r="AY632" s="1194" t="n"/>
      <c r="AZ632" s="805">
        <f>IF(AZ628="","",AZ628/AX627)</f>
        <v/>
      </c>
      <c r="BA632" s="805">
        <f>IF(BA628="","",BA628/AZ627)</f>
        <v/>
      </c>
      <c r="BB632" s="805">
        <f>IF(BB628="","",BB628/BA627)</f>
        <v/>
      </c>
      <c r="BC632" s="805">
        <f>IF(BC628="","",BC628/BB627)</f>
        <v/>
      </c>
      <c r="BD632" s="1194" t="n"/>
      <c r="BE632" s="805">
        <f>IF(BE628="","",BE628/BC627)</f>
        <v/>
      </c>
      <c r="BF632" s="805">
        <f>IF(BF628="","",BF628/BE627)</f>
        <v/>
      </c>
      <c r="BG632" s="805">
        <f>IF(BG628="","",BG628/BF627)</f>
        <v/>
      </c>
      <c r="BH632" s="805">
        <f>IF(BH628="","",BH628/BG627)</f>
        <v/>
      </c>
      <c r="BI632" s="1194" t="n"/>
      <c r="BJ632" s="805">
        <f>IF(BJ628="","",BJ628/BH627)</f>
        <v/>
      </c>
      <c r="BK632" s="805">
        <f>IF(BK628="","",BK628/BJ627)</f>
        <v/>
      </c>
      <c r="BL632" s="805">
        <f>IF(BL628="","",BL628/BK627)</f>
        <v/>
      </c>
      <c r="BM632" s="805">
        <f>IF(BM628="","",BM628/BL627)</f>
        <v/>
      </c>
      <c r="BN632" s="1194" t="n"/>
      <c r="BO632" s="805">
        <f>IF(BO628="","",BO628/BM627)</f>
        <v/>
      </c>
      <c r="BP632" s="805">
        <f>IF(BP628="","",BP628/BO627)</f>
        <v/>
      </c>
      <c r="BQ632" s="805">
        <f>IF(BQ628="","",BQ628/BP627)</f>
        <v/>
      </c>
      <c r="BR632" s="805">
        <f>IF(BR628="","",BR628/BQ627)</f>
        <v/>
      </c>
      <c r="BS632" s="1194" t="n"/>
      <c r="BT632" s="805">
        <f>IF(BT628="","",BT628/BR627)</f>
        <v/>
      </c>
      <c r="BU632" s="805">
        <f>IF(BU628="","",BU628/BT627)</f>
        <v/>
      </c>
      <c r="BV632" s="910">
        <f>IF(BV628="","",BV628/BU627)</f>
        <v/>
      </c>
      <c r="BW632" s="805" t="n"/>
      <c r="BX632" s="1194" t="n"/>
      <c r="BY632" s="805" t="n"/>
      <c r="BZ632" s="805" t="n"/>
      <c r="CA632" s="805" t="n"/>
      <c r="CB632" s="805" t="n"/>
      <c r="CC632" s="1194" t="n"/>
      <c r="CD632" s="1194" t="n"/>
      <c r="CE632" s="1194" t="n"/>
      <c r="CF632" s="1194" t="n"/>
      <c r="CG632" s="93" t="n"/>
    </row>
    <row r="633" hidden="1" outlineLevel="1" ht="15" customHeight="1">
      <c r="A633" s="809" t="inlineStr">
        <is>
          <t>Q/Q non-GAAP gross profit growth, %</t>
        </is>
      </c>
      <c r="B633" s="807" t="n"/>
      <c r="C633" s="1195" t="n"/>
      <c r="D633" s="1195" t="n"/>
      <c r="E633" s="1195" t="n"/>
      <c r="F633" s="1195" t="n"/>
      <c r="G633" s="808" t="n"/>
      <c r="H633" s="808" t="n"/>
      <c r="I633" s="808" t="n"/>
      <c r="J633" s="808" t="n"/>
      <c r="K633" s="1195" t="n"/>
      <c r="L633" s="808" t="n"/>
      <c r="M633" s="808" t="n"/>
      <c r="N633" s="808" t="n"/>
      <c r="O633" s="808" t="n"/>
      <c r="P633" s="1195" t="n"/>
      <c r="Q633" s="808" t="n"/>
      <c r="R633" s="808" t="n"/>
      <c r="S633" s="808" t="n"/>
      <c r="T633" s="808" t="n"/>
      <c r="U633" s="1195" t="n"/>
      <c r="V633" s="808" t="n"/>
      <c r="W633" s="808" t="n"/>
      <c r="X633" s="808" t="n"/>
      <c r="Y633" s="808" t="n"/>
      <c r="Z633" s="1195" t="n"/>
      <c r="AA633" s="808" t="n"/>
      <c r="AB633" s="808" t="n"/>
      <c r="AC633" s="808" t="n"/>
      <c r="AD633" s="808" t="n"/>
      <c r="AE633" s="1195" t="n"/>
      <c r="AF633" s="808" t="n"/>
      <c r="AG633" s="808" t="n"/>
      <c r="AH633" s="808" t="n"/>
      <c r="AI633" s="808">
        <f>AI627/AH627-1</f>
        <v/>
      </c>
      <c r="AJ633" s="1195" t="n"/>
      <c r="AK633" s="808">
        <f>AK627/AI627-1</f>
        <v/>
      </c>
      <c r="AL633" s="808">
        <f>AL627/AK627-1</f>
        <v/>
      </c>
      <c r="AM633" s="808">
        <f>AM627/AL627-1</f>
        <v/>
      </c>
      <c r="AN633" s="808">
        <f>AN627/AM627-1</f>
        <v/>
      </c>
      <c r="AO633" s="1195" t="n"/>
      <c r="AP633" s="808">
        <f>AP627/AN627-1</f>
        <v/>
      </c>
      <c r="AQ633" s="808">
        <f>AQ627/AP627-1</f>
        <v/>
      </c>
      <c r="AR633" s="808">
        <f>AR627/AQ627-1</f>
        <v/>
      </c>
      <c r="AS633" s="808">
        <f>AS627/AR627-1</f>
        <v/>
      </c>
      <c r="AT633" s="1195" t="n"/>
      <c r="AU633" s="808">
        <f>AU627/AS627-1</f>
        <v/>
      </c>
      <c r="AV633" s="808">
        <f>AV627/AU627-1</f>
        <v/>
      </c>
      <c r="AW633" s="808">
        <f>AW627/AV627-1</f>
        <v/>
      </c>
      <c r="AX633" s="808">
        <f>AX627/AW627-1</f>
        <v/>
      </c>
      <c r="AY633" s="1195" t="n"/>
      <c r="AZ633" s="808">
        <f>AZ627/AX627-1</f>
        <v/>
      </c>
      <c r="BA633" s="808">
        <f>BA627/AZ627-1</f>
        <v/>
      </c>
      <c r="BB633" s="808">
        <f>BB627/BA627-1</f>
        <v/>
      </c>
      <c r="BC633" s="808">
        <f>BC627/BB627-1</f>
        <v/>
      </c>
      <c r="BD633" s="1195" t="n"/>
      <c r="BE633" s="808">
        <f>BE627/BC627-1</f>
        <v/>
      </c>
      <c r="BF633" s="808">
        <f>BF627/BE627-1</f>
        <v/>
      </c>
      <c r="BG633" s="808">
        <f>BG627/BF627-1</f>
        <v/>
      </c>
      <c r="BH633" s="808">
        <f>BH627/BG627-1</f>
        <v/>
      </c>
      <c r="BI633" s="1195" t="n"/>
      <c r="BJ633" s="808">
        <f>BJ627/BH627-1</f>
        <v/>
      </c>
      <c r="BK633" s="808">
        <f>BK627/BJ627-1</f>
        <v/>
      </c>
      <c r="BL633" s="808">
        <f>BL627/BK627-1</f>
        <v/>
      </c>
      <c r="BM633" s="808">
        <f>BM627/BL627-1</f>
        <v/>
      </c>
      <c r="BN633" s="1195" t="n"/>
      <c r="BO633" s="808">
        <f>BO627/BM627-1</f>
        <v/>
      </c>
      <c r="BP633" s="808">
        <f>BP627/BO627-1</f>
        <v/>
      </c>
      <c r="BQ633" s="808">
        <f>BQ627/BP627-1</f>
        <v/>
      </c>
      <c r="BR633" s="808">
        <f>BR627/BQ627-1</f>
        <v/>
      </c>
      <c r="BS633" s="1195" t="n"/>
      <c r="BT633" s="808">
        <f>BT627/BR627-1</f>
        <v/>
      </c>
      <c r="BU633" s="808">
        <f>BU627/BT627-1</f>
        <v/>
      </c>
      <c r="BV633" s="911">
        <f>BV627/BU627-1</f>
        <v/>
      </c>
      <c r="BW633" s="808" t="n"/>
      <c r="BX633" s="1195" t="n"/>
      <c r="BY633" s="808" t="n"/>
      <c r="BZ633" s="808" t="n"/>
      <c r="CA633" s="808" t="n"/>
      <c r="CB633" s="808" t="n"/>
      <c r="CC633" s="1195" t="n"/>
      <c r="CD633" s="1195" t="n"/>
      <c r="CE633" s="1195" t="n"/>
      <c r="CF633" s="1195" t="n"/>
      <c r="CG633" s="93" t="n"/>
    </row>
    <row r="634" hidden="1" outlineLevel="1" ht="15" customHeight="1">
      <c r="A634" s="371" t="inlineStr">
        <is>
          <t>Y/Y guided non-GAAP gross profit growth, %</t>
        </is>
      </c>
      <c r="B634" s="112" t="n"/>
      <c r="C634" s="1113" t="n"/>
      <c r="D634" s="1113" t="n"/>
      <c r="E634" s="1113" t="n"/>
      <c r="F634" s="1113" t="n"/>
      <c r="G634" s="90" t="n"/>
      <c r="H634" s="90" t="n"/>
      <c r="I634" s="90" t="n"/>
      <c r="J634" s="90" t="n"/>
      <c r="K634" s="1113" t="n"/>
      <c r="L634" s="90" t="n"/>
      <c r="M634" s="90" t="n"/>
      <c r="N634" s="90" t="n"/>
      <c r="O634" s="90" t="n"/>
      <c r="P634" s="1113" t="n"/>
      <c r="Q634" s="90" t="n"/>
      <c r="R634" s="90" t="n"/>
      <c r="S634" s="90" t="n"/>
      <c r="T634" s="90" t="n"/>
      <c r="U634" s="1113" t="n"/>
      <c r="V634" s="90" t="n"/>
      <c r="W634" s="90" t="n"/>
      <c r="X634" s="90" t="n"/>
      <c r="Y634" s="90" t="n"/>
      <c r="Z634" s="1113" t="n"/>
      <c r="AA634" s="90" t="n"/>
      <c r="AB634" s="90" t="n"/>
      <c r="AC634" s="90" t="n"/>
      <c r="AD634" s="90" t="n"/>
      <c r="AE634" s="1113" t="n"/>
      <c r="AF634" s="90" t="n"/>
      <c r="AG634" s="90" t="n"/>
      <c r="AH634" s="90" t="n"/>
      <c r="AI634" s="90">
        <f>IF(AI626="","",AI626/AD627-1)</f>
        <v/>
      </c>
      <c r="AJ634" s="1113">
        <f>IF(AJ626="","",AJ626/AE627-1)</f>
        <v/>
      </c>
      <c r="AK634" s="90">
        <f>IF(AK626="","",AK626/AF627-1)</f>
        <v/>
      </c>
      <c r="AL634" s="90">
        <f>IF(AL626="","",AL626/AG627-1)</f>
        <v/>
      </c>
      <c r="AM634" s="90">
        <f>IF(AM626="","",AM626/AH627-1)</f>
        <v/>
      </c>
      <c r="AN634" s="90">
        <f>IF(AN626="","",AN626/AI627-1)</f>
        <v/>
      </c>
      <c r="AO634" s="1113">
        <f>IF(AO626="","",AO626/AJ627-1)</f>
        <v/>
      </c>
      <c r="AP634" s="90">
        <f>IF(AP626="","",AP626/AK627-1)</f>
        <v/>
      </c>
      <c r="AQ634" s="90">
        <f>IF(AQ626="","",AQ626/AL627-1)</f>
        <v/>
      </c>
      <c r="AR634" s="90">
        <f>IF(AR626="","",AR626/AM627-1)</f>
        <v/>
      </c>
      <c r="AS634" s="90">
        <f>IF(AS626="","",AS626/AN627-1)</f>
        <v/>
      </c>
      <c r="AT634" s="1113">
        <f>IF(AT626="","",AT626/AO627-1)</f>
        <v/>
      </c>
      <c r="AU634" s="90">
        <f>IF(AU626="","",AU626/AP627-1)</f>
        <v/>
      </c>
      <c r="AV634" s="90">
        <f>IF(AV626="","",AV626/AQ627-1)</f>
        <v/>
      </c>
      <c r="AW634" s="90">
        <f>IF(AW626="","",AW626/AR627-1)</f>
        <v/>
      </c>
      <c r="AX634" s="90">
        <f>IF(AX626="","",AX626/AS627-1)</f>
        <v/>
      </c>
      <c r="AY634" s="1113">
        <f>IF(AY626="","",AY626/AT627-1)</f>
        <v/>
      </c>
      <c r="AZ634" s="90">
        <f>IF(AZ626="","",AZ626/AU627-1)</f>
        <v/>
      </c>
      <c r="BA634" s="90">
        <f>IF(BA626="","",BA626/AV627-1)</f>
        <v/>
      </c>
      <c r="BB634" s="90">
        <f>IF(BB626="","",BB626/AW627-1)</f>
        <v/>
      </c>
      <c r="BC634" s="90">
        <f>IF(BC626="","",BC626/AX627-1)</f>
        <v/>
      </c>
      <c r="BD634" s="1113">
        <f>IF(BD626="","",BD626/AY627-1)</f>
        <v/>
      </c>
      <c r="BE634" s="90">
        <f>IF(BE626="","",BE626/AZ627-1)</f>
        <v/>
      </c>
      <c r="BF634" s="90">
        <f>IF(BF626="","",BF626/BA627-1)</f>
        <v/>
      </c>
      <c r="BG634" s="90">
        <f>IF(BG626="","",BG626/BB627-1)</f>
        <v/>
      </c>
      <c r="BH634" s="90">
        <f>IF(BH626="","",BH626/BC627-1)</f>
        <v/>
      </c>
      <c r="BI634" s="1113">
        <f>IF(BI626="","",BI626/BD627-1)</f>
        <v/>
      </c>
      <c r="BJ634" s="90">
        <f>IF(BJ626="","",BJ626/BE627-1)</f>
        <v/>
      </c>
      <c r="BK634" s="90">
        <f>IF(BK626="","",BK626/BF627-1)</f>
        <v/>
      </c>
      <c r="BL634" s="90">
        <f>IF(BL626="","",BL626/BG627-1)</f>
        <v/>
      </c>
      <c r="BM634" s="90">
        <f>IF(BM626="","",BM626/BH627-1)</f>
        <v/>
      </c>
      <c r="BN634" s="1113">
        <f>IF(BN626="","",BN626/BI627-1)</f>
        <v/>
      </c>
      <c r="BO634" s="90">
        <f>IF(BO626="","",BO626/BJ627-1)</f>
        <v/>
      </c>
      <c r="BP634" s="90">
        <f>IF(BP626="","",BP626/BK627-1)</f>
        <v/>
      </c>
      <c r="BQ634" s="90">
        <f>IF(BQ626="","",BQ626/BL627-1)</f>
        <v/>
      </c>
      <c r="BR634" s="90">
        <f>IF(BR626="","",BR626/BM627-1)</f>
        <v/>
      </c>
      <c r="BS634" s="1113">
        <f>IF(BS626="","",BS626/BN627-1)</f>
        <v/>
      </c>
      <c r="BT634" s="90">
        <f>IF(BT626="","",BT626/BO627-1)</f>
        <v/>
      </c>
      <c r="BU634" s="90">
        <f>IF(BU626="","",BU626/BP627-1)</f>
        <v/>
      </c>
      <c r="BV634" s="880">
        <f>IF(BV626="","",BV626/BQ627-1)</f>
        <v/>
      </c>
      <c r="BW634" s="90" t="n"/>
      <c r="BX634" s="1113" t="n"/>
      <c r="BY634" s="90" t="n"/>
      <c r="BZ634" s="90" t="n"/>
      <c r="CA634" s="90" t="n"/>
      <c r="CB634" s="90" t="n"/>
      <c r="CC634" s="1113" t="n"/>
      <c r="CD634" s="1113" t="n"/>
      <c r="CE634" s="1113" t="n"/>
      <c r="CF634" s="1113" t="n"/>
      <c r="CG634" s="93" t="n"/>
    </row>
    <row r="635" hidden="1" outlineLevel="1" ht="15" customHeight="1">
      <c r="A635" s="806" t="inlineStr">
        <is>
          <t>Y/Y beat/(miss) non-GAAP gross profit growth, %</t>
        </is>
      </c>
      <c r="B635" s="804" t="n"/>
      <c r="C635" s="1194" t="n"/>
      <c r="D635" s="1194" t="n"/>
      <c r="E635" s="1194" t="n"/>
      <c r="F635" s="1194" t="n"/>
      <c r="G635" s="805" t="n"/>
      <c r="H635" s="805" t="n"/>
      <c r="I635" s="805" t="n"/>
      <c r="J635" s="805" t="n"/>
      <c r="K635" s="1194" t="n"/>
      <c r="L635" s="805" t="n"/>
      <c r="M635" s="805" t="n"/>
      <c r="N635" s="805" t="n"/>
      <c r="O635" s="805" t="n"/>
      <c r="P635" s="1194" t="n"/>
      <c r="Q635" s="805" t="n"/>
      <c r="R635" s="805" t="n"/>
      <c r="S635" s="805" t="n"/>
      <c r="T635" s="805" t="n"/>
      <c r="U635" s="1194" t="n"/>
      <c r="V635" s="805" t="n"/>
      <c r="W635" s="805" t="n"/>
      <c r="X635" s="805" t="n"/>
      <c r="Y635" s="805" t="n"/>
      <c r="Z635" s="1194" t="n"/>
      <c r="AA635" s="805" t="n"/>
      <c r="AB635" s="805" t="n"/>
      <c r="AC635" s="805" t="n"/>
      <c r="AD635" s="805" t="n"/>
      <c r="AE635" s="1194" t="n"/>
      <c r="AF635" s="805" t="n"/>
      <c r="AG635" s="805" t="n"/>
      <c r="AH635" s="805" t="n"/>
      <c r="AI635" s="805">
        <f>IF(AI628="","",AI628/AD627)</f>
        <v/>
      </c>
      <c r="AJ635" s="1194">
        <f>IF(AJ628="","",AJ628/AE627)</f>
        <v/>
      </c>
      <c r="AK635" s="805">
        <f>IF(AK628="","",AK628/AF627)</f>
        <v/>
      </c>
      <c r="AL635" s="805">
        <f>IF(AL628="","",AL628/AG627)</f>
        <v/>
      </c>
      <c r="AM635" s="805">
        <f>IF(AM628="","",AM628/AH627)</f>
        <v/>
      </c>
      <c r="AN635" s="805">
        <f>IF(AN628="","",AN628/AI627)</f>
        <v/>
      </c>
      <c r="AO635" s="1194">
        <f>IF(AO628="","",AO628/AJ627)</f>
        <v/>
      </c>
      <c r="AP635" s="805">
        <f>IF(AP628="","",AP628/AK627)</f>
        <v/>
      </c>
      <c r="AQ635" s="805">
        <f>IF(AQ628="","",AQ628/AL627)</f>
        <v/>
      </c>
      <c r="AR635" s="805">
        <f>IF(AR628="","",AR628/AM627)</f>
        <v/>
      </c>
      <c r="AS635" s="805">
        <f>IF(AS628="","",AS628/AN627)</f>
        <v/>
      </c>
      <c r="AT635" s="1194">
        <f>IF(AT628="","",AT628/AO627)</f>
        <v/>
      </c>
      <c r="AU635" s="805">
        <f>IF(AU628="","",AU628/AP627)</f>
        <v/>
      </c>
      <c r="AV635" s="805">
        <f>IF(AV628="","",AV628/AQ627)</f>
        <v/>
      </c>
      <c r="AW635" s="805">
        <f>IF(AW628="","",AW628/AR627)</f>
        <v/>
      </c>
      <c r="AX635" s="805">
        <f>IF(AX628="","",AX628/AS627)</f>
        <v/>
      </c>
      <c r="AY635" s="1194">
        <f>IF(AY628="","",AY628/AT627)</f>
        <v/>
      </c>
      <c r="AZ635" s="805">
        <f>IF(AZ628="","",AZ628/AU627)</f>
        <v/>
      </c>
      <c r="BA635" s="805">
        <f>IF(BA628="","",BA628/AV627)</f>
        <v/>
      </c>
      <c r="BB635" s="805">
        <f>IF(BB628="","",BB628/AW627)</f>
        <v/>
      </c>
      <c r="BC635" s="805">
        <f>IF(BC628="","",BC628/AX627)</f>
        <v/>
      </c>
      <c r="BD635" s="1194">
        <f>IF(BD628="","",BD628/AY627)</f>
        <v/>
      </c>
      <c r="BE635" s="805">
        <f>IF(BE628="","",BE628/AZ627)</f>
        <v/>
      </c>
      <c r="BF635" s="805">
        <f>IF(BF628="","",BF628/BA627)</f>
        <v/>
      </c>
      <c r="BG635" s="805">
        <f>IF(BG628="","",BG628/BB627)</f>
        <v/>
      </c>
      <c r="BH635" s="805">
        <f>IF(BH628="","",BH628/BC627)</f>
        <v/>
      </c>
      <c r="BI635" s="1194">
        <f>IF(BI628="","",BI628/BD627)</f>
        <v/>
      </c>
      <c r="BJ635" s="805">
        <f>IF(BJ628="","",BJ628/BE627)</f>
        <v/>
      </c>
      <c r="BK635" s="805">
        <f>IF(BK628="","",BK628/BF627)</f>
        <v/>
      </c>
      <c r="BL635" s="805">
        <f>IF(BL628="","",BL628/BG627)</f>
        <v/>
      </c>
      <c r="BM635" s="805">
        <f>IF(BM628="","",BM628/BH627)</f>
        <v/>
      </c>
      <c r="BN635" s="1194">
        <f>IF(BN628="","",BN628/BI627)</f>
        <v/>
      </c>
      <c r="BO635" s="805">
        <f>IF(BO628="","",BO628/BJ627)</f>
        <v/>
      </c>
      <c r="BP635" s="805">
        <f>IF(BP628="","",BP628/BK627)</f>
        <v/>
      </c>
      <c r="BQ635" s="805">
        <f>IF(BQ628="","",BQ628/BL627)</f>
        <v/>
      </c>
      <c r="BR635" s="805">
        <f>IF(BR628="","",BR628/BM627)</f>
        <v/>
      </c>
      <c r="BS635" s="1194">
        <f>IF(BS628="","",BS628/BN627)</f>
        <v/>
      </c>
      <c r="BT635" s="805">
        <f>IF(BT628="","",BT628/BO627)</f>
        <v/>
      </c>
      <c r="BU635" s="805">
        <f>IF(BU628="","",BU628/BP627)</f>
        <v/>
      </c>
      <c r="BV635" s="910">
        <f>IF(BV628="","",BV628/BQ627)</f>
        <v/>
      </c>
      <c r="BW635" s="805" t="n"/>
      <c r="BX635" s="1194" t="n"/>
      <c r="BY635" s="805" t="n"/>
      <c r="BZ635" s="805" t="n"/>
      <c r="CA635" s="805" t="n"/>
      <c r="CB635" s="805" t="n"/>
      <c r="CC635" s="1194" t="n"/>
      <c r="CD635" s="1194" t="n"/>
      <c r="CE635" s="1194" t="n"/>
      <c r="CF635" s="1194" t="n"/>
      <c r="CG635" s="93" t="n"/>
    </row>
    <row r="636" hidden="1" outlineLevel="1" ht="15" customHeight="1">
      <c r="A636" s="809" t="inlineStr">
        <is>
          <t>Y/Y non-GAAP gross profit growth, %</t>
        </is>
      </c>
      <c r="B636" s="807" t="n"/>
      <c r="C636" s="1195" t="n"/>
      <c r="D636" s="1195" t="n"/>
      <c r="E636" s="1195" t="n"/>
      <c r="F636" s="1195" t="n"/>
      <c r="G636" s="808" t="n"/>
      <c r="H636" s="808" t="n"/>
      <c r="I636" s="808" t="n"/>
      <c r="J636" s="808" t="n"/>
      <c r="K636" s="1195" t="n"/>
      <c r="L636" s="808" t="n"/>
      <c r="M636" s="808" t="n"/>
      <c r="N636" s="808" t="n"/>
      <c r="O636" s="808" t="n"/>
      <c r="P636" s="1195" t="n"/>
      <c r="Q636" s="808" t="n"/>
      <c r="R636" s="808" t="n"/>
      <c r="S636" s="808" t="n"/>
      <c r="T636" s="808" t="n"/>
      <c r="U636" s="1195" t="n"/>
      <c r="V636" s="808" t="n"/>
      <c r="W636" s="808" t="n"/>
      <c r="X636" s="808" t="n"/>
      <c r="Y636" s="808" t="n"/>
      <c r="Z636" s="1195" t="n"/>
      <c r="AA636" s="808" t="n"/>
      <c r="AB636" s="808" t="n"/>
      <c r="AC636" s="808" t="n"/>
      <c r="AD636" s="808" t="n"/>
      <c r="AE636" s="1195" t="n"/>
      <c r="AF636" s="808" t="n"/>
      <c r="AG636" s="808" t="n"/>
      <c r="AH636" s="808" t="n"/>
      <c r="AI636" s="808">
        <f>AI627/AD627-1</f>
        <v/>
      </c>
      <c r="AJ636" s="1195">
        <f>AJ627/AE627-1</f>
        <v/>
      </c>
      <c r="AK636" s="808">
        <f>AK627/AF627-1</f>
        <v/>
      </c>
      <c r="AL636" s="808">
        <f>AL627/AG627-1</f>
        <v/>
      </c>
      <c r="AM636" s="808">
        <f>AM627/AH627-1</f>
        <v/>
      </c>
      <c r="AN636" s="808">
        <f>AN627/AI627-1</f>
        <v/>
      </c>
      <c r="AO636" s="1195">
        <f>AO627/AJ627-1</f>
        <v/>
      </c>
      <c r="AP636" s="808">
        <f>AP627/AK627-1</f>
        <v/>
      </c>
      <c r="AQ636" s="808">
        <f>AQ627/AL627-1</f>
        <v/>
      </c>
      <c r="AR636" s="808">
        <f>AR627/AM627-1</f>
        <v/>
      </c>
      <c r="AS636" s="808">
        <f>AS627/AN627-1</f>
        <v/>
      </c>
      <c r="AT636" s="1195">
        <f>AT627/AO627-1</f>
        <v/>
      </c>
      <c r="AU636" s="808">
        <f>AU627/AP627-1</f>
        <v/>
      </c>
      <c r="AV636" s="808">
        <f>AV627/AQ627-1</f>
        <v/>
      </c>
      <c r="AW636" s="808">
        <f>AW627/AR627-1</f>
        <v/>
      </c>
      <c r="AX636" s="808">
        <f>AX627/AS627-1</f>
        <v/>
      </c>
      <c r="AY636" s="1195">
        <f>AY627/AT627-1</f>
        <v/>
      </c>
      <c r="AZ636" s="808">
        <f>AZ627/AU627-1</f>
        <v/>
      </c>
      <c r="BA636" s="808">
        <f>BA627/AV627-1</f>
        <v/>
      </c>
      <c r="BB636" s="808">
        <f>BB627/AW627-1</f>
        <v/>
      </c>
      <c r="BC636" s="808">
        <f>BC627/AX627-1</f>
        <v/>
      </c>
      <c r="BD636" s="1195">
        <f>BD627/AY627-1</f>
        <v/>
      </c>
      <c r="BE636" s="808">
        <f>BE627/AZ627-1</f>
        <v/>
      </c>
      <c r="BF636" s="808">
        <f>BF627/BA627-1</f>
        <v/>
      </c>
      <c r="BG636" s="808">
        <f>BG627/BB627-1</f>
        <v/>
      </c>
      <c r="BH636" s="808">
        <f>BH627/BC627-1</f>
        <v/>
      </c>
      <c r="BI636" s="1195">
        <f>BI627/BD627-1</f>
        <v/>
      </c>
      <c r="BJ636" s="808">
        <f>BJ627/BE627-1</f>
        <v/>
      </c>
      <c r="BK636" s="808">
        <f>BK627/BF627-1</f>
        <v/>
      </c>
      <c r="BL636" s="808">
        <f>BL627/BG627-1</f>
        <v/>
      </c>
      <c r="BM636" s="808">
        <f>BM627/BH627-1</f>
        <v/>
      </c>
      <c r="BN636" s="1195">
        <f>BN627/BI627-1</f>
        <v/>
      </c>
      <c r="BO636" s="808">
        <f>BO627/BJ627-1</f>
        <v/>
      </c>
      <c r="BP636" s="808">
        <f>BP627/BK627-1</f>
        <v/>
      </c>
      <c r="BQ636" s="808">
        <f>BQ627/BL627-1</f>
        <v/>
      </c>
      <c r="BR636" s="808">
        <f>BR627/BM627-1</f>
        <v/>
      </c>
      <c r="BS636" s="1195">
        <f>BS627/BN627-1</f>
        <v/>
      </c>
      <c r="BT636" s="808">
        <f>BT627/BO627-1</f>
        <v/>
      </c>
      <c r="BU636" s="808">
        <f>BU627/BP627-1</f>
        <v/>
      </c>
      <c r="BV636" s="911">
        <f>BV627/BQ627-1</f>
        <v/>
      </c>
      <c r="BW636" s="808" t="n"/>
      <c r="BX636" s="1195" t="n"/>
      <c r="BY636" s="808" t="n"/>
      <c r="BZ636" s="808" t="n"/>
      <c r="CA636" s="808" t="n"/>
      <c r="CB636" s="808" t="n"/>
      <c r="CC636" s="1195" t="n"/>
      <c r="CD636" s="1195" t="n"/>
      <c r="CE636" s="1195" t="n"/>
      <c r="CF636" s="1195" t="n"/>
      <c r="CG636" s="93" t="n"/>
    </row>
    <row r="637" hidden="1" outlineLevel="1" ht="15" customHeight="1">
      <c r="A637" s="799" t="n"/>
      <c r="B637" s="428" t="n"/>
      <c r="C637" s="1134" t="n"/>
      <c r="D637" s="1134" t="n"/>
      <c r="E637" s="1134" t="n"/>
      <c r="F637" s="1134" t="n"/>
      <c r="G637" s="93" t="n"/>
      <c r="H637" s="93" t="n"/>
      <c r="I637" s="93" t="n"/>
      <c r="J637" s="93" t="n"/>
      <c r="K637" s="1134" t="n"/>
      <c r="L637" s="93" t="n"/>
      <c r="M637" s="93" t="n"/>
      <c r="N637" s="93" t="n"/>
      <c r="O637" s="93" t="n"/>
      <c r="P637" s="1134" t="n"/>
      <c r="Q637" s="93" t="n"/>
      <c r="R637" s="93" t="n"/>
      <c r="S637" s="93" t="n"/>
      <c r="T637" s="93" t="n"/>
      <c r="U637" s="1134" t="n"/>
      <c r="V637" s="93" t="n"/>
      <c r="W637" s="93" t="n"/>
      <c r="X637" s="93" t="n"/>
      <c r="Y637" s="93" t="n"/>
      <c r="Z637" s="1134" t="n"/>
      <c r="AA637" s="93" t="n"/>
      <c r="AB637" s="93" t="n"/>
      <c r="AC637" s="93" t="n"/>
      <c r="AD637" s="93" t="n"/>
      <c r="AE637" s="1134" t="n"/>
      <c r="AF637" s="93" t="n"/>
      <c r="AG637" s="93" t="n"/>
      <c r="AH637" s="93" t="n"/>
      <c r="AI637" s="93" t="n"/>
      <c r="AJ637" s="1134" t="n"/>
      <c r="AK637" s="93" t="n"/>
      <c r="AL637" s="93" t="n"/>
      <c r="AM637" s="93" t="n"/>
      <c r="AN637" s="93" t="n"/>
      <c r="AO637" s="1134" t="n"/>
      <c r="AP637" s="93" t="n"/>
      <c r="AQ637" s="93" t="n"/>
      <c r="AR637" s="93" t="n"/>
      <c r="AS637" s="93" t="n"/>
      <c r="AT637" s="1134" t="n"/>
      <c r="AU637" s="93" t="n"/>
      <c r="AV637" s="93" t="n"/>
      <c r="AW637" s="93" t="n"/>
      <c r="AX637" s="93" t="n"/>
      <c r="AY637" s="1134" t="n"/>
      <c r="AZ637" s="93" t="n"/>
      <c r="BA637" s="93" t="n"/>
      <c r="BB637" s="93" t="n"/>
      <c r="BC637" s="93" t="n"/>
      <c r="BD637" s="1134" t="n"/>
      <c r="BE637" s="93" t="n"/>
      <c r="BF637" s="93" t="n"/>
      <c r="BG637" s="93" t="n"/>
      <c r="BH637" s="93" t="n"/>
      <c r="BI637" s="1134" t="n"/>
      <c r="BJ637" s="93" t="n"/>
      <c r="BK637" s="93" t="n"/>
      <c r="BL637" s="93" t="n"/>
      <c r="BM637" s="93" t="n"/>
      <c r="BN637" s="1134" t="n"/>
      <c r="BO637" s="93" t="n"/>
      <c r="BP637" s="93" t="n"/>
      <c r="BQ637" s="93" t="n"/>
      <c r="BR637" s="93" t="n"/>
      <c r="BS637" s="1134" t="n"/>
      <c r="BT637" s="93" t="n"/>
      <c r="BU637" s="93" t="n"/>
      <c r="BV637" s="522" t="n"/>
      <c r="BW637" s="93" t="n"/>
      <c r="BX637" s="1134" t="n"/>
      <c r="BY637" s="93" t="n"/>
      <c r="BZ637" s="93" t="n"/>
      <c r="CA637" s="93" t="n"/>
      <c r="CB637" s="93" t="n"/>
      <c r="CC637" s="1134" t="n"/>
      <c r="CD637" s="1134" t="n"/>
      <c r="CE637" s="1134" t="n"/>
      <c r="CF637" s="1134" t="n"/>
      <c r="CG637" s="93" t="n"/>
    </row>
    <row r="638" hidden="1" outlineLevel="2" ht="15" customHeight="1">
      <c r="A638" s="647" t="inlineStr">
        <is>
          <t>Non-GAAP Gross Profit Margin guidance - initial midpoint, %</t>
        </is>
      </c>
      <c r="B638" s="428" t="n"/>
      <c r="C638" s="1126" t="n"/>
      <c r="D638" s="1126" t="n"/>
      <c r="E638" s="1126" t="n"/>
      <c r="F638" s="1126" t="n"/>
      <c r="G638" s="315" t="n"/>
      <c r="H638" s="315" t="n"/>
      <c r="I638" s="315" t="n"/>
      <c r="J638" s="315" t="n"/>
      <c r="K638" s="1126" t="n"/>
      <c r="L638" s="315" t="n"/>
      <c r="M638" s="315" t="n"/>
      <c r="N638" s="315" t="n"/>
      <c r="O638" s="315" t="n"/>
      <c r="P638" s="1126" t="n"/>
      <c r="Q638" s="315" t="n"/>
      <c r="R638" s="315" t="n"/>
      <c r="S638" s="315" t="n"/>
      <c r="T638" s="315" t="n"/>
      <c r="U638" s="1126" t="n"/>
      <c r="V638" s="315" t="n"/>
      <c r="W638" s="315" t="n"/>
      <c r="X638" s="315" t="n"/>
      <c r="Y638" s="315" t="n"/>
      <c r="Z638" s="1126" t="n"/>
      <c r="AA638" s="315" t="n"/>
      <c r="AB638" s="315" t="n"/>
      <c r="AC638" s="315" t="n"/>
      <c r="AD638" s="315" t="n"/>
      <c r="AE638" s="1126" t="n"/>
      <c r="AF638" s="315" t="n"/>
      <c r="AG638" s="315" t="n"/>
      <c r="AH638" s="315" t="n"/>
      <c r="AI638" s="315">
        <f>IF(ISBLANK(AH662),"",AH662)</f>
        <v/>
      </c>
      <c r="AJ638" s="1126">
        <f>IF(ISBLANK(AD687),"",AD687)</f>
        <v/>
      </c>
      <c r="AK638" s="315">
        <f>IF(ISBLANK(AI662),"",AI662)</f>
        <v/>
      </c>
      <c r="AL638" s="315">
        <f>IF(ISBLANK(AK662),"",AK662)</f>
        <v/>
      </c>
      <c r="AM638" s="315">
        <f>IF(ISBLANK(AL662),"",AL662)</f>
        <v/>
      </c>
      <c r="AN638" s="315">
        <f>IF(ISBLANK(AM662),"",AM662)</f>
        <v/>
      </c>
      <c r="AO638" s="1126">
        <f>IF(ISBLANK(AI687),"",AI687)</f>
        <v/>
      </c>
      <c r="AP638" s="315">
        <f>IF(ISBLANK(AN662),"",AN662)</f>
        <v/>
      </c>
      <c r="AQ638" s="315">
        <f>IF(ISBLANK(AP662),"",AP662)</f>
        <v/>
      </c>
      <c r="AR638" s="315">
        <f>IF(ISBLANK(AQ662),"",AQ662)</f>
        <v/>
      </c>
      <c r="AS638" s="315">
        <f>IF(ISBLANK(AR662),"",AR662)</f>
        <v/>
      </c>
      <c r="AT638" s="1126">
        <f>IF(ISBLANK(AN687),"",AN687)</f>
        <v/>
      </c>
      <c r="AU638" s="315">
        <f>IF(ISBLANK(AS662),"",AS662)</f>
        <v/>
      </c>
      <c r="AV638" s="315">
        <f>IF(ISBLANK(AU662),"",AU662)</f>
        <v/>
      </c>
      <c r="AW638" s="315">
        <f>IF(ISBLANK(AV662),"",AV662)</f>
        <v/>
      </c>
      <c r="AX638" s="315">
        <f>IF(ISBLANK(AW662),"",AW662)</f>
        <v/>
      </c>
      <c r="AY638" s="1126">
        <f>IF(ISBLANK(AS687),"",AS687)</f>
        <v/>
      </c>
      <c r="AZ638" s="315">
        <f>IF(ISBLANK(AX662),"",AX662)</f>
        <v/>
      </c>
      <c r="BA638" s="315">
        <f>IF(ISBLANK(AZ662),"",AZ662)</f>
        <v/>
      </c>
      <c r="BB638" s="315">
        <f>IF(ISBLANK(BA662),"",BA662)</f>
        <v/>
      </c>
      <c r="BC638" s="315">
        <f>IF(ISBLANK(BB662),"",BB662)</f>
        <v/>
      </c>
      <c r="BD638" s="1126">
        <f>IF(ISBLANK(AX687),"",AX687)</f>
        <v/>
      </c>
      <c r="BE638" s="315">
        <f>IF(ISBLANK(BC662),"",BC662)</f>
        <v/>
      </c>
      <c r="BF638" s="315">
        <f>IF(ISBLANK(BE662),"",BE662)</f>
        <v/>
      </c>
      <c r="BG638" s="315">
        <f>IF(ISBLANK(BF662),"",BF662)</f>
        <v/>
      </c>
      <c r="BH638" s="315">
        <f>IF(ISBLANK(BG662),"",BG662)</f>
        <v/>
      </c>
      <c r="BI638" s="1126">
        <f>IF(ISBLANK(BC687),"",BC687)</f>
        <v/>
      </c>
      <c r="BJ638" s="315">
        <f>IF(ISBLANK(BH662),"",BH662)</f>
        <v/>
      </c>
      <c r="BK638" s="315">
        <f>IF(ISBLANK(BJ662),"",BJ662)</f>
        <v/>
      </c>
      <c r="BL638" s="315">
        <f>IF(ISBLANK(BK662),"",BK662)</f>
        <v/>
      </c>
      <c r="BM638" s="315">
        <f>IF(ISBLANK(BL662),"",BL662)</f>
        <v/>
      </c>
      <c r="BN638" s="1126">
        <f>IF(ISBLANK(BH687),"",BH687)</f>
        <v/>
      </c>
      <c r="BO638" s="315">
        <f>IF(ISBLANK(BM662),"",BM662)</f>
        <v/>
      </c>
      <c r="BP638" s="315">
        <f>IF(ISBLANK(BO662),"",BO662)</f>
        <v/>
      </c>
      <c r="BQ638" s="315">
        <f>IF(ISBLANK(BP662),"",BP662)</f>
        <v/>
      </c>
      <c r="BR638" s="315">
        <f>IF(ISBLANK(BQ662),"",BQ662)</f>
        <v/>
      </c>
      <c r="BS638" s="1126">
        <f>IF(ISBLANK(BM687),"",BM687)</f>
        <v/>
      </c>
      <c r="BT638" s="315">
        <f>IF(ISBLANK(BR662),"",BR662)</f>
        <v/>
      </c>
      <c r="BU638" s="315">
        <f>IF(ISBLANK(BT662),"",BT662)</f>
        <v/>
      </c>
      <c r="BV638" s="885">
        <f>IF(ISBLANK(BU662),"",BU662)</f>
        <v/>
      </c>
      <c r="BW638" s="315">
        <f>IF(ISBLANK(BV662),"",BV662)</f>
        <v/>
      </c>
      <c r="BX638" s="1126">
        <f>IF(ISBLANK(BR687),"",BR687)</f>
        <v/>
      </c>
      <c r="BY638" s="315">
        <f>IF(ISBLANK(BW662),"",BW662)</f>
        <v/>
      </c>
      <c r="BZ638" s="315">
        <f>IF(ISBLANK(BY662),"",BY662)</f>
        <v/>
      </c>
      <c r="CA638" s="315">
        <f>IF(ISBLANK(BZ662),"",BZ662)</f>
        <v/>
      </c>
      <c r="CB638" s="315">
        <f>IF(ISBLANK(CA662),"",CA662)</f>
        <v/>
      </c>
      <c r="CC638" s="1126">
        <f>IF(ISBLANK(BW687),"",BW687)</f>
        <v/>
      </c>
      <c r="CD638" s="1126" t="n"/>
      <c r="CE638" s="1126" t="n"/>
      <c r="CF638" s="1126" t="n"/>
      <c r="CG638" s="93" t="n"/>
    </row>
    <row r="639" hidden="1" outlineLevel="2" ht="15" customHeight="1">
      <c r="A639" s="647" t="inlineStr">
        <is>
          <t>Non-GAAP Gross Profit Margin guidance - update 1 midpoint, %</t>
        </is>
      </c>
      <c r="B639" s="428" t="n"/>
      <c r="C639" s="1126" t="n"/>
      <c r="D639" s="1126" t="n"/>
      <c r="E639" s="1126" t="n"/>
      <c r="F639" s="1126" t="n"/>
      <c r="G639" s="315" t="n"/>
      <c r="H639" s="315" t="n"/>
      <c r="I639" s="315" t="n"/>
      <c r="J639" s="315" t="n"/>
      <c r="K639" s="1126" t="n"/>
      <c r="L639" s="315" t="n"/>
      <c r="M639" s="315" t="n"/>
      <c r="N639" s="315" t="n"/>
      <c r="O639" s="315" t="n"/>
      <c r="P639" s="1126" t="n"/>
      <c r="Q639" s="315" t="n"/>
      <c r="R639" s="315" t="n"/>
      <c r="S639" s="315" t="n"/>
      <c r="T639" s="315" t="n"/>
      <c r="U639" s="1126" t="n"/>
      <c r="V639" s="315" t="n"/>
      <c r="W639" s="315" t="n"/>
      <c r="X639" s="315" t="n"/>
      <c r="Y639" s="315" t="n"/>
      <c r="Z639" s="1126" t="n"/>
      <c r="AA639" s="315" t="n"/>
      <c r="AB639" s="315" t="n"/>
      <c r="AC639" s="315" t="n"/>
      <c r="AD639" s="315" t="n"/>
      <c r="AE639" s="1126" t="n"/>
      <c r="AF639" s="315" t="n"/>
      <c r="AG639" s="315" t="n"/>
      <c r="AH639" s="315" t="n"/>
      <c r="AI639" s="315" t="n"/>
      <c r="AJ639" s="1126">
        <f>IF(ISBLANK(AF687),"",AF687)</f>
        <v/>
      </c>
      <c r="AK639" s="315" t="n"/>
      <c r="AL639" s="315" t="n"/>
      <c r="AM639" s="315" t="n"/>
      <c r="AN639" s="315" t="n"/>
      <c r="AO639" s="1126">
        <f>IF(ISBLANK(AK687),"",AK687)</f>
        <v/>
      </c>
      <c r="AP639" s="315" t="n"/>
      <c r="AQ639" s="315" t="n"/>
      <c r="AR639" s="315" t="n"/>
      <c r="AS639" s="315" t="n"/>
      <c r="AT639" s="1126">
        <f>IF(ISBLANK(AP687),"",AP687)</f>
        <v/>
      </c>
      <c r="AU639" s="315" t="n"/>
      <c r="AV639" s="315" t="n"/>
      <c r="AW639" s="315" t="n"/>
      <c r="AX639" s="315" t="n"/>
      <c r="AY639" s="1126">
        <f>IF(ISBLANK(AU687),"",AU687)</f>
        <v/>
      </c>
      <c r="AZ639" s="315" t="n"/>
      <c r="BA639" s="315" t="n"/>
      <c r="BB639" s="315" t="n"/>
      <c r="BC639" s="315" t="n"/>
      <c r="BD639" s="1126">
        <f>IF(ISBLANK(AZ687),"",AZ687)</f>
        <v/>
      </c>
      <c r="BE639" s="315" t="n"/>
      <c r="BF639" s="315" t="n"/>
      <c r="BG639" s="315" t="n"/>
      <c r="BH639" s="315" t="n"/>
      <c r="BI639" s="1126">
        <f>IF(ISBLANK(BE687),"",BE687)</f>
        <v/>
      </c>
      <c r="BJ639" s="315" t="n"/>
      <c r="BK639" s="315" t="n"/>
      <c r="BL639" s="315" t="n"/>
      <c r="BM639" s="315" t="n"/>
      <c r="BN639" s="1126">
        <f>IF(ISBLANK(BJ687),"",BJ687)</f>
        <v/>
      </c>
      <c r="BO639" s="315" t="n"/>
      <c r="BP639" s="315" t="n"/>
      <c r="BQ639" s="315" t="n"/>
      <c r="BR639" s="315" t="n"/>
      <c r="BS639" s="1126">
        <f>IF(ISBLANK(BO687),"",BO687)</f>
        <v/>
      </c>
      <c r="BT639" s="315" t="n"/>
      <c r="BU639" s="315" t="n"/>
      <c r="BV639" s="885" t="n"/>
      <c r="BW639" s="315" t="n"/>
      <c r="BX639" s="1126">
        <f>IF(ISBLANK(BT687),"",BT687)</f>
        <v/>
      </c>
      <c r="BY639" s="315" t="n"/>
      <c r="BZ639" s="315" t="n"/>
      <c r="CA639" s="315" t="n"/>
      <c r="CB639" s="315" t="n"/>
      <c r="CC639" s="1126">
        <f>IF(ISBLANK(BY687),"",BY687)</f>
        <v/>
      </c>
      <c r="CD639" s="1126" t="n"/>
      <c r="CE639" s="1126" t="n"/>
      <c r="CF639" s="1126" t="n"/>
      <c r="CG639" s="93" t="n"/>
    </row>
    <row r="640" hidden="1" outlineLevel="2" ht="15" customHeight="1">
      <c r="A640" s="647" t="inlineStr">
        <is>
          <t>Non-GAAP Gross Profit Margin guidance - update 2 midpoint, %</t>
        </is>
      </c>
      <c r="B640" s="428" t="n"/>
      <c r="C640" s="1126" t="n"/>
      <c r="D640" s="1126" t="n"/>
      <c r="E640" s="1126" t="n"/>
      <c r="F640" s="1126" t="n"/>
      <c r="G640" s="315" t="n"/>
      <c r="H640" s="315" t="n"/>
      <c r="I640" s="315" t="n"/>
      <c r="J640" s="315" t="n"/>
      <c r="K640" s="1126" t="n"/>
      <c r="L640" s="315" t="n"/>
      <c r="M640" s="315" t="n"/>
      <c r="N640" s="315" t="n"/>
      <c r="O640" s="315" t="n"/>
      <c r="P640" s="1126" t="n"/>
      <c r="Q640" s="315" t="n"/>
      <c r="R640" s="315" t="n"/>
      <c r="S640" s="315" t="n"/>
      <c r="T640" s="315" t="n"/>
      <c r="U640" s="1126" t="n"/>
      <c r="V640" s="315" t="n"/>
      <c r="W640" s="315" t="n"/>
      <c r="X640" s="315" t="n"/>
      <c r="Y640" s="315" t="n"/>
      <c r="Z640" s="1126" t="n"/>
      <c r="AA640" s="315" t="n"/>
      <c r="AB640" s="315" t="n"/>
      <c r="AC640" s="315" t="n"/>
      <c r="AD640" s="315" t="n"/>
      <c r="AE640" s="1126" t="n"/>
      <c r="AF640" s="315" t="n"/>
      <c r="AG640" s="315" t="n"/>
      <c r="AH640" s="315" t="n"/>
      <c r="AI640" s="315" t="n"/>
      <c r="AJ640" s="1126">
        <f>IF(ISBLANK(AG687),"",AG687)</f>
        <v/>
      </c>
      <c r="AK640" s="315" t="n"/>
      <c r="AL640" s="315" t="n"/>
      <c r="AM640" s="315" t="n"/>
      <c r="AN640" s="315" t="n"/>
      <c r="AO640" s="1126">
        <f>IF(ISBLANK(AL687),"",AL687)</f>
        <v/>
      </c>
      <c r="AP640" s="315" t="n"/>
      <c r="AQ640" s="315" t="n"/>
      <c r="AR640" s="315" t="n"/>
      <c r="AS640" s="315" t="n"/>
      <c r="AT640" s="1126">
        <f>IF(ISBLANK(AQ687),"",AQ687)</f>
        <v/>
      </c>
      <c r="AU640" s="315" t="n"/>
      <c r="AV640" s="315" t="n"/>
      <c r="AW640" s="315" t="n"/>
      <c r="AX640" s="315" t="n"/>
      <c r="AY640" s="1126">
        <f>IF(ISBLANK(AV687),"",AV687)</f>
        <v/>
      </c>
      <c r="AZ640" s="315" t="n"/>
      <c r="BA640" s="315" t="n"/>
      <c r="BB640" s="315" t="n"/>
      <c r="BC640" s="315" t="n"/>
      <c r="BD640" s="1126">
        <f>IF(ISBLANK(BA687),"",BA687)</f>
        <v/>
      </c>
      <c r="BE640" s="315" t="n"/>
      <c r="BF640" s="315" t="n"/>
      <c r="BG640" s="315" t="n"/>
      <c r="BH640" s="315" t="n"/>
      <c r="BI640" s="1126">
        <f>IF(ISBLANK(BF687),"",BF687)</f>
        <v/>
      </c>
      <c r="BJ640" s="315" t="n"/>
      <c r="BK640" s="315" t="n"/>
      <c r="BL640" s="315" t="n"/>
      <c r="BM640" s="315" t="n"/>
      <c r="BN640" s="1126">
        <f>IF(ISBLANK(BK687),"",BK687)</f>
        <v/>
      </c>
      <c r="BO640" s="315" t="n"/>
      <c r="BP640" s="315" t="n"/>
      <c r="BQ640" s="315" t="n"/>
      <c r="BR640" s="315" t="n"/>
      <c r="BS640" s="1126">
        <f>IF(ISBLANK(BP687),"",BP687)</f>
        <v/>
      </c>
      <c r="BT640" s="315" t="n"/>
      <c r="BU640" s="315" t="n"/>
      <c r="BV640" s="885" t="n"/>
      <c r="BW640" s="315" t="n"/>
      <c r="BX640" s="1126">
        <f>IF(ISBLANK(BU687),"",BU687)</f>
        <v/>
      </c>
      <c r="BY640" s="315" t="n"/>
      <c r="BZ640" s="315" t="n"/>
      <c r="CA640" s="315" t="n"/>
      <c r="CB640" s="315" t="n"/>
      <c r="CC640" s="1126">
        <f>IF(ISBLANK(BZ687),"",BZ687)</f>
        <v/>
      </c>
      <c r="CD640" s="1126" t="n"/>
      <c r="CE640" s="1126" t="n"/>
      <c r="CF640" s="1126" t="n"/>
      <c r="CG640" s="93" t="n"/>
    </row>
    <row r="641" hidden="1" outlineLevel="2" ht="15" customHeight="1">
      <c r="A641" s="816" t="inlineStr">
        <is>
          <t>Non-GAAP Gross Profit Margin guidance - update 3 midpoint, %</t>
        </is>
      </c>
      <c r="B641" s="718" t="n"/>
      <c r="C641" s="1136" t="n"/>
      <c r="D641" s="1136" t="n"/>
      <c r="E641" s="1136" t="n"/>
      <c r="F641" s="1136" t="n"/>
      <c r="G641" s="699" t="n"/>
      <c r="H641" s="699" t="n"/>
      <c r="I641" s="699" t="n"/>
      <c r="J641" s="699" t="n"/>
      <c r="K641" s="1136" t="n"/>
      <c r="L641" s="699" t="n"/>
      <c r="M641" s="699" t="n"/>
      <c r="N641" s="699" t="n"/>
      <c r="O641" s="699" t="n"/>
      <c r="P641" s="1136" t="n"/>
      <c r="Q641" s="699" t="n"/>
      <c r="R641" s="699" t="n"/>
      <c r="S641" s="699" t="n"/>
      <c r="T641" s="699" t="n"/>
      <c r="U641" s="1136" t="n"/>
      <c r="V641" s="699" t="n"/>
      <c r="W641" s="699" t="n"/>
      <c r="X641" s="699" t="n"/>
      <c r="Y641" s="699" t="n"/>
      <c r="Z641" s="1136" t="n"/>
      <c r="AA641" s="699" t="n"/>
      <c r="AB641" s="699" t="n"/>
      <c r="AC641" s="699" t="n"/>
      <c r="AD641" s="699" t="n"/>
      <c r="AE641" s="1136" t="n"/>
      <c r="AF641" s="699" t="n"/>
      <c r="AG641" s="699" t="n"/>
      <c r="AH641" s="699" t="n"/>
      <c r="AI641" s="699" t="n"/>
      <c r="AJ641" s="1136">
        <f>IF(ISBLANK(AH687),"",AH687)</f>
        <v/>
      </c>
      <c r="AK641" s="699" t="n"/>
      <c r="AL641" s="699" t="n"/>
      <c r="AM641" s="699" t="n"/>
      <c r="AN641" s="699" t="n"/>
      <c r="AO641" s="1136">
        <f>IF(ISBLANK(AM687),"",AM687)</f>
        <v/>
      </c>
      <c r="AP641" s="699" t="n"/>
      <c r="AQ641" s="699" t="n"/>
      <c r="AR641" s="699" t="n"/>
      <c r="AS641" s="699" t="n"/>
      <c r="AT641" s="1136">
        <f>IF(ISBLANK(AR687),"",AR687)</f>
        <v/>
      </c>
      <c r="AU641" s="699" t="n"/>
      <c r="AV641" s="699" t="n"/>
      <c r="AW641" s="699" t="n"/>
      <c r="AX641" s="699" t="n"/>
      <c r="AY641" s="1136">
        <f>IF(ISBLANK(AW687),"",AW687)</f>
        <v/>
      </c>
      <c r="AZ641" s="699" t="n"/>
      <c r="BA641" s="699" t="n"/>
      <c r="BB641" s="699" t="n"/>
      <c r="BC641" s="699" t="n"/>
      <c r="BD641" s="1136">
        <f>IF(ISBLANK(BB687),"",BB687)</f>
        <v/>
      </c>
      <c r="BE641" s="699" t="n"/>
      <c r="BF641" s="699" t="n"/>
      <c r="BG641" s="699" t="n"/>
      <c r="BH641" s="699" t="n"/>
      <c r="BI641" s="1136">
        <f>IF(ISBLANK(BG687),"",BG687)</f>
        <v/>
      </c>
      <c r="BJ641" s="699" t="n"/>
      <c r="BK641" s="699" t="n"/>
      <c r="BL641" s="699" t="n"/>
      <c r="BM641" s="699" t="n"/>
      <c r="BN641" s="1136">
        <f>IF(ISBLANK(BL687),"",BL687)</f>
        <v/>
      </c>
      <c r="BO641" s="699" t="n"/>
      <c r="BP641" s="699" t="n"/>
      <c r="BQ641" s="699" t="n"/>
      <c r="BR641" s="699" t="n"/>
      <c r="BS641" s="1136">
        <f>IF(ISBLANK(BQ687),"",BQ687)</f>
        <v/>
      </c>
      <c r="BT641" s="699" t="n"/>
      <c r="BU641" s="699" t="n"/>
      <c r="BV641" s="889" t="n"/>
      <c r="BW641" s="699" t="n"/>
      <c r="BX641" s="1136">
        <f>IF(ISBLANK(BV687),"",BV687)</f>
        <v/>
      </c>
      <c r="BY641" s="699" t="n"/>
      <c r="BZ641" s="699" t="n"/>
      <c r="CA641" s="699" t="n"/>
      <c r="CB641" s="699" t="n"/>
      <c r="CC641" s="1136">
        <f>IF(ISBLANK(CA687),"",CA687)</f>
        <v/>
      </c>
      <c r="CD641" s="1136" t="n"/>
      <c r="CE641" s="1136" t="n"/>
      <c r="CF641" s="1136" t="n"/>
      <c r="CG641" s="93" t="n"/>
    </row>
    <row r="642" hidden="1" outlineLevel="1" collapsed="1" ht="15" customHeight="1">
      <c r="A642" s="621" t="inlineStr">
        <is>
          <t>Non-GAAP Gross Profit Margin guidance - most recent midpoint, %</t>
        </is>
      </c>
      <c r="B642" s="428" t="n"/>
      <c r="C642" s="1126" t="n"/>
      <c r="D642" s="1126" t="n"/>
      <c r="E642" s="1126" t="n"/>
      <c r="F642" s="1126" t="n"/>
      <c r="G642" s="315" t="n"/>
      <c r="H642" s="315" t="n"/>
      <c r="I642" s="315" t="n"/>
      <c r="J642" s="315" t="n"/>
      <c r="K642" s="1126" t="n"/>
      <c r="L642" s="315" t="n"/>
      <c r="M642" s="315" t="n"/>
      <c r="N642" s="315" t="n"/>
      <c r="O642" s="315" t="n"/>
      <c r="P642" s="1126" t="n"/>
      <c r="Q642" s="315" t="n"/>
      <c r="R642" s="315" t="n"/>
      <c r="S642" s="315" t="n"/>
      <c r="T642" s="315" t="n"/>
      <c r="U642" s="1126" t="n"/>
      <c r="V642" s="315" t="n"/>
      <c r="W642" s="315" t="n"/>
      <c r="X642" s="315" t="n"/>
      <c r="Y642" s="315" t="n"/>
      <c r="Z642" s="1126" t="n"/>
      <c r="AA642" s="315" t="n"/>
      <c r="AB642" s="315" t="n"/>
      <c r="AC642" s="315" t="n"/>
      <c r="AD642" s="315" t="n"/>
      <c r="AE642" s="1126" t="n"/>
      <c r="AF642" s="315" t="n"/>
      <c r="AG642" s="315" t="n"/>
      <c r="AH642" s="315" t="n"/>
      <c r="AI642" s="315">
        <f>IF(AI641="",IF(AI640="",IF(AI639="",IF(AI638="","",AI638),AI639),AI640),AI641)</f>
        <v/>
      </c>
      <c r="AJ642" s="1126">
        <f>IF(AJ641="",IF(AJ640="",IF(AJ639="",IF(AJ638="","",AJ638),AJ639),AJ640),AJ641)</f>
        <v/>
      </c>
      <c r="AK642" s="315">
        <f>IF(AK641="",IF(AK640="",IF(AK639="",IF(AK638="","",AK638),AK639),AK640),AK641)</f>
        <v/>
      </c>
      <c r="AL642" s="315">
        <f>IF(AL641="",IF(AL640="",IF(AL639="",IF(AL638="","",AL638),AL639),AL640),AL641)</f>
        <v/>
      </c>
      <c r="AM642" s="315">
        <f>IF(AM641="",IF(AM640="",IF(AM639="",IF(AM638="","",AM638),AM639),AM640),AM641)</f>
        <v/>
      </c>
      <c r="AN642" s="315">
        <f>IF(AN641="",IF(AN640="",IF(AN639="",IF(AN638="","",AN638),AN639),AN640),AN641)</f>
        <v/>
      </c>
      <c r="AO642" s="1126">
        <f>IF(AO641="",IF(AO640="",IF(AO639="",IF(AO638="","",AO638),AO639),AO640),AO641)</f>
        <v/>
      </c>
      <c r="AP642" s="315">
        <f>IF(AP641="",IF(AP640="",IF(AP639="",IF(AP638="","",AP638),AP639),AP640),AP641)</f>
        <v/>
      </c>
      <c r="AQ642" s="315">
        <f>IF(AQ641="",IF(AQ640="",IF(AQ639="",IF(AQ638="","",AQ638),AQ639),AQ640),AQ641)</f>
        <v/>
      </c>
      <c r="AR642" s="315">
        <f>IF(AR641="",IF(AR640="",IF(AR639="",IF(AR638="","",AR638),AR639),AR640),AR641)</f>
        <v/>
      </c>
      <c r="AS642" s="315">
        <f>IF(AS641="",IF(AS640="",IF(AS639="",IF(AS638="","",AS638),AS639),AS640),AS641)</f>
        <v/>
      </c>
      <c r="AT642" s="1126">
        <f>IF(AT641="",IF(AT640="",IF(AT639="",IF(AT638="","",AT638),AT639),AT640),AT641)</f>
        <v/>
      </c>
      <c r="AU642" s="315">
        <f>IF(AU641="",IF(AU640="",IF(AU639="",IF(AU638="","",AU638),AU639),AU640),AU641)</f>
        <v/>
      </c>
      <c r="AV642" s="315">
        <f>IF(AV641="",IF(AV640="",IF(AV639="",IF(AV638="","",AV638),AV639),AV640),AV641)</f>
        <v/>
      </c>
      <c r="AW642" s="315">
        <f>IF(AW641="",IF(AW640="",IF(AW639="",IF(AW638="","",AW638),AW639),AW640),AW641)</f>
        <v/>
      </c>
      <c r="AX642" s="315">
        <f>IF(AX641="",IF(AX640="",IF(AX639="",IF(AX638="","",AX638),AX639),AX640),AX641)</f>
        <v/>
      </c>
      <c r="AY642" s="1126">
        <f>IF(AY641="",IF(AY640="",IF(AY639="",IF(AY638="","",AY638),AY639),AY640),AY641)</f>
        <v/>
      </c>
      <c r="AZ642" s="315">
        <f>IF(AZ641="",IF(AZ640="",IF(AZ639="",IF(AZ638="","",AZ638),AZ639),AZ640),AZ641)</f>
        <v/>
      </c>
      <c r="BA642" s="315">
        <f>IF(BA641="",IF(BA640="",IF(BA639="",IF(BA638="","",BA638),BA639),BA640),BA641)</f>
        <v/>
      </c>
      <c r="BB642" s="315">
        <f>IF(BB641="",IF(BB640="",IF(BB639="",IF(BB638="","",BB638),BB639),BB640),BB641)</f>
        <v/>
      </c>
      <c r="BC642" s="315">
        <f>IF(BC641="",IF(BC640="",IF(BC639="",IF(BC638="","",BC638),BC639),BC640),BC641)</f>
        <v/>
      </c>
      <c r="BD642" s="1126">
        <f>IF(BD641="",IF(BD640="",IF(BD639="",IF(BD638="","",BD638),BD639),BD640),BD641)</f>
        <v/>
      </c>
      <c r="BE642" s="315">
        <f>IF(BE641="",IF(BE640="",IF(BE639="",IF(BE638="","",BE638),BE639),BE640),BE641)</f>
        <v/>
      </c>
      <c r="BF642" s="315">
        <f>IF(BF641="",IF(BF640="",IF(BF639="",IF(BF638="","",BF638),BF639),BF640),BF641)</f>
        <v/>
      </c>
      <c r="BG642" s="315">
        <f>IF(BG641="",IF(BG640="",IF(BG639="",IF(BG638="","",BG638),BG639),BG640),BG641)</f>
        <v/>
      </c>
      <c r="BH642" s="315">
        <f>IF(BH641="",IF(BH640="",IF(BH639="",IF(BH638="","",BH638),BH639),BH640),BH641)</f>
        <v/>
      </c>
      <c r="BI642" s="1126">
        <f>IF(BI641="",IF(BI640="",IF(BI639="",IF(BI638="","",BI638),BI639),BI640),BI641)</f>
        <v/>
      </c>
      <c r="BJ642" s="315">
        <f>IF(BJ641="",IF(BJ640="",IF(BJ639="",IF(BJ638="","",BJ638),BJ639),BJ640),BJ641)</f>
        <v/>
      </c>
      <c r="BK642" s="315">
        <f>IF(BK641="",IF(BK640="",IF(BK639="",IF(BK638="","",BK638),BK639),BK640),BK641)</f>
        <v/>
      </c>
      <c r="BL642" s="315">
        <f>IF(BL641="",IF(BL640="",IF(BL639="",IF(BL638="","",BL638),BL639),BL640),BL641)</f>
        <v/>
      </c>
      <c r="BM642" s="315">
        <f>IF(BM641="",IF(BM640="",IF(BM639="",IF(BM638="","",BM638),BM639),BM640),BM641)</f>
        <v/>
      </c>
      <c r="BN642" s="1126">
        <f>IF(BN641="",IF(BN640="",IF(BN639="",IF(BN638="","",BN638),BN639),BN640),BN641)</f>
        <v/>
      </c>
      <c r="BO642" s="315">
        <f>IF(BO641="",IF(BO640="",IF(BO639="",IF(BO638="","",BO638),BO639),BO640),BO641)</f>
        <v/>
      </c>
      <c r="BP642" s="315">
        <f>IF(BP641="",IF(BP640="",IF(BP639="",IF(BP638="","",BP638),BP639),BP640),BP641)</f>
        <v/>
      </c>
      <c r="BQ642" s="315">
        <f>IF(BQ641="",IF(BQ640="",IF(BQ639="",IF(BQ638="","",BQ638),BQ639),BQ640),BQ641)</f>
        <v/>
      </c>
      <c r="BR642" s="315">
        <f>IF(BR641="",IF(BR640="",IF(BR639="",IF(BR638="","",BR638),BR639),BR640),BR641)</f>
        <v/>
      </c>
      <c r="BS642" s="1126">
        <f>IF(BS641="",IF(BS640="",IF(BS639="",IF(BS638="","",BS638),BS639),BS640),BS641)</f>
        <v/>
      </c>
      <c r="BT642" s="315">
        <f>IF(BT641="",IF(BT640="",IF(BT639="",IF(BT638="","",BT638),BT639),BT640),BT641)</f>
        <v/>
      </c>
      <c r="BU642" s="315">
        <f>IF(BU641="",IF(BU640="",IF(BU639="",IF(BU638="","",BU638),BU639),BU640),BU641)</f>
        <v/>
      </c>
      <c r="BV642" s="885">
        <f>IF(BV641="",IF(BV640="",IF(BV639="",IF(BV638="","",BV638),BV639),BV640),BV641)</f>
        <v/>
      </c>
      <c r="BW642" s="315">
        <f>IF(BW641="",IF(BW640="",IF(BW639="",IF(BW638="","",BW638),BW639),BW640),BW641)</f>
        <v/>
      </c>
      <c r="BX642" s="1126">
        <f>IF(BX641="",IF(BX640="",IF(BX639="",IF(BX638="","",BX638),BX639),BX640),BX641)</f>
        <v/>
      </c>
      <c r="BY642" s="315">
        <f>IF(BY641="",IF(BY640="",IF(BY639="",IF(BY638="","",BY638),BY639),BY640),BY641)</f>
        <v/>
      </c>
      <c r="BZ642" s="315">
        <f>IF(BZ641="",IF(BZ640="",IF(BZ639="",IF(BZ638="","",BZ638),BZ639),BZ640),BZ641)</f>
        <v/>
      </c>
      <c r="CA642" s="315">
        <f>IF(CA641="",IF(CA640="",IF(CA639="",IF(CA638="","",CA638),CA639),CA640),CA641)</f>
        <v/>
      </c>
      <c r="CB642" s="315">
        <f>IF(CB641="",IF(CB640="",IF(CB639="",IF(CB638="","",CB638),CB639),CB640),CB641)</f>
        <v/>
      </c>
      <c r="CC642" s="1126">
        <f>IF(CC641="",IF(CC640="",IF(CC639="",IF(CC638="","",CC638),CC639),CC640),CC641)</f>
        <v/>
      </c>
      <c r="CD642" s="1126" t="n"/>
      <c r="CE642" s="1126" t="n"/>
      <c r="CF642" s="1126" t="n"/>
      <c r="CG642" s="93" t="n"/>
    </row>
    <row r="643" hidden="1" outlineLevel="1" ht="15" customHeight="1">
      <c r="A643" s="817" t="inlineStr">
        <is>
          <t>Non-GAAP Gross Profit Margin - reported/model estimate, %</t>
        </is>
      </c>
      <c r="B643" s="718" t="n"/>
      <c r="C643" s="1136">
        <f>+C270</f>
        <v/>
      </c>
      <c r="D643" s="1136">
        <f>+D270</f>
        <v/>
      </c>
      <c r="E643" s="1136">
        <f>+E270</f>
        <v/>
      </c>
      <c r="F643" s="1136">
        <f>+F270</f>
        <v/>
      </c>
      <c r="G643" s="699">
        <f>+G270</f>
        <v/>
      </c>
      <c r="H643" s="699">
        <f>+H270</f>
        <v/>
      </c>
      <c r="I643" s="699">
        <f>+I270</f>
        <v/>
      </c>
      <c r="J643" s="699">
        <f>+J270</f>
        <v/>
      </c>
      <c r="K643" s="1136">
        <f>+K270</f>
        <v/>
      </c>
      <c r="L643" s="699">
        <f>+L270</f>
        <v/>
      </c>
      <c r="M643" s="699">
        <f>+M270</f>
        <v/>
      </c>
      <c r="N643" s="699">
        <f>+N270</f>
        <v/>
      </c>
      <c r="O643" s="699">
        <f>+O270</f>
        <v/>
      </c>
      <c r="P643" s="1136">
        <f>+P270</f>
        <v/>
      </c>
      <c r="Q643" s="699">
        <f>+Q270</f>
        <v/>
      </c>
      <c r="R643" s="699">
        <f>+R270</f>
        <v/>
      </c>
      <c r="S643" s="699">
        <f>+S270</f>
        <v/>
      </c>
      <c r="T643" s="699">
        <f>+T270</f>
        <v/>
      </c>
      <c r="U643" s="1136">
        <f>+U270</f>
        <v/>
      </c>
      <c r="V643" s="699">
        <f>+V270</f>
        <v/>
      </c>
      <c r="W643" s="699">
        <f>+W270</f>
        <v/>
      </c>
      <c r="X643" s="699">
        <f>+X270</f>
        <v/>
      </c>
      <c r="Y643" s="699">
        <f>+Y270</f>
        <v/>
      </c>
      <c r="Z643" s="1136">
        <f>+Z270</f>
        <v/>
      </c>
      <c r="AA643" s="699">
        <f>+AA270</f>
        <v/>
      </c>
      <c r="AB643" s="699">
        <f>+AB270</f>
        <v/>
      </c>
      <c r="AC643" s="699">
        <f>+AC270</f>
        <v/>
      </c>
      <c r="AD643" s="699">
        <f>+AD270</f>
        <v/>
      </c>
      <c r="AE643" s="1136">
        <f>+AE270</f>
        <v/>
      </c>
      <c r="AF643" s="699">
        <f>+AF270</f>
        <v/>
      </c>
      <c r="AG643" s="699">
        <f>+AG270</f>
        <v/>
      </c>
      <c r="AH643" s="699">
        <f>+AH270</f>
        <v/>
      </c>
      <c r="AI643" s="699">
        <f>+AI270</f>
        <v/>
      </c>
      <c r="AJ643" s="1136">
        <f>+AJ270</f>
        <v/>
      </c>
      <c r="AK643" s="699">
        <f>+AK270</f>
        <v/>
      </c>
      <c r="AL643" s="699">
        <f>+AL270</f>
        <v/>
      </c>
      <c r="AM643" s="699">
        <f>+AM270</f>
        <v/>
      </c>
      <c r="AN643" s="699">
        <f>+AN270</f>
        <v/>
      </c>
      <c r="AO643" s="1136">
        <f>+AO270</f>
        <v/>
      </c>
      <c r="AP643" s="699">
        <f>+AP270</f>
        <v/>
      </c>
      <c r="AQ643" s="699">
        <f>+AQ270</f>
        <v/>
      </c>
      <c r="AR643" s="699">
        <f>+AR270</f>
        <v/>
      </c>
      <c r="AS643" s="699">
        <f>+AS270</f>
        <v/>
      </c>
      <c r="AT643" s="1136">
        <f>+AT270</f>
        <v/>
      </c>
      <c r="AU643" s="699">
        <f>+AU270</f>
        <v/>
      </c>
      <c r="AV643" s="699">
        <f>+AV270</f>
        <v/>
      </c>
      <c r="AW643" s="699">
        <f>+AW270</f>
        <v/>
      </c>
      <c r="AX643" s="699">
        <f>+AX270</f>
        <v/>
      </c>
      <c r="AY643" s="1136">
        <f>+AY270</f>
        <v/>
      </c>
      <c r="AZ643" s="699">
        <f>+AZ270</f>
        <v/>
      </c>
      <c r="BA643" s="699">
        <f>+BA270</f>
        <v/>
      </c>
      <c r="BB643" s="699">
        <f>+BB270</f>
        <v/>
      </c>
      <c r="BC643" s="699">
        <f>+BC270</f>
        <v/>
      </c>
      <c r="BD643" s="1136">
        <f>+BD270</f>
        <v/>
      </c>
      <c r="BE643" s="699">
        <f>+BE270</f>
        <v/>
      </c>
      <c r="BF643" s="699">
        <f>+BF270</f>
        <v/>
      </c>
      <c r="BG643" s="699">
        <f>+BG270</f>
        <v/>
      </c>
      <c r="BH643" s="699">
        <f>+BH270</f>
        <v/>
      </c>
      <c r="BI643" s="1136">
        <f>+BI270</f>
        <v/>
      </c>
      <c r="BJ643" s="699">
        <f>+BJ270</f>
        <v/>
      </c>
      <c r="BK643" s="699">
        <f>+BK270</f>
        <v/>
      </c>
      <c r="BL643" s="699">
        <f>+BL270</f>
        <v/>
      </c>
      <c r="BM643" s="699">
        <f>+BM270</f>
        <v/>
      </c>
      <c r="BN643" s="1136">
        <f>+BN270</f>
        <v/>
      </c>
      <c r="BO643" s="699">
        <f>+BO270</f>
        <v/>
      </c>
      <c r="BP643" s="699">
        <f>+BP270</f>
        <v/>
      </c>
      <c r="BQ643" s="699">
        <f>+BQ270</f>
        <v/>
      </c>
      <c r="BR643" s="699">
        <f>+BR270</f>
        <v/>
      </c>
      <c r="BS643" s="1136">
        <f>+BS270</f>
        <v/>
      </c>
      <c r="BT643" s="699">
        <f>+BT270</f>
        <v/>
      </c>
      <c r="BU643" s="699">
        <f>+BU270</f>
        <v/>
      </c>
      <c r="BV643" s="889">
        <f>+BV270</f>
        <v/>
      </c>
      <c r="BW643" s="699">
        <f>+BW270</f>
        <v/>
      </c>
      <c r="BX643" s="1136">
        <f>+BX270</f>
        <v/>
      </c>
      <c r="BY643" s="699">
        <f>+BY270</f>
        <v/>
      </c>
      <c r="BZ643" s="699">
        <f>+BZ270</f>
        <v/>
      </c>
      <c r="CA643" s="699">
        <f>+CA270</f>
        <v/>
      </c>
      <c r="CB643" s="699">
        <f>+CB270</f>
        <v/>
      </c>
      <c r="CC643" s="1136">
        <f>+CC270</f>
        <v/>
      </c>
      <c r="CD643" s="1136">
        <f>+CD270</f>
        <v/>
      </c>
      <c r="CE643" s="1136">
        <f>+CE270</f>
        <v/>
      </c>
      <c r="CF643" s="1136">
        <f>+CF270</f>
        <v/>
      </c>
      <c r="CG643" s="93" t="n"/>
    </row>
    <row r="644" hidden="1" outlineLevel="1" ht="15" customHeight="1">
      <c r="A644" s="818" t="inlineStr">
        <is>
          <t>Relative non-GAAP gross profit margin beat/(miss) vs. most recent guidance - midpoint, bps</t>
        </is>
      </c>
      <c r="B644" s="807" t="n"/>
      <c r="C644" s="1197" t="n"/>
      <c r="D644" s="1197" t="n"/>
      <c r="E644" s="1197" t="n"/>
      <c r="F644" s="1197" t="n"/>
      <c r="G644" s="819">
        <f>IFERROR((G643-G642)*10000,"")</f>
        <v/>
      </c>
      <c r="H644" s="819">
        <f>IFERROR((H643-H642)*10000,"")</f>
        <v/>
      </c>
      <c r="I644" s="819">
        <f>IFERROR((I643-I642)*10000,"")</f>
        <v/>
      </c>
      <c r="J644" s="819">
        <f>IFERROR((J643-J642)*10000,"")</f>
        <v/>
      </c>
      <c r="K644" s="1197">
        <f>IFERROR((K643-K642)*10000,"")</f>
        <v/>
      </c>
      <c r="L644" s="819">
        <f>IFERROR((L643-L642)*10000,"")</f>
        <v/>
      </c>
      <c r="M644" s="819">
        <f>IFERROR((M643-M642)*10000,"")</f>
        <v/>
      </c>
      <c r="N644" s="819">
        <f>IFERROR((N643-N642)*10000,"")</f>
        <v/>
      </c>
      <c r="O644" s="819">
        <f>IFERROR((O643-O642)*10000,"")</f>
        <v/>
      </c>
      <c r="P644" s="1197" t="n"/>
      <c r="Q644" s="819" t="n"/>
      <c r="R644" s="819" t="n"/>
      <c r="S644" s="819" t="n"/>
      <c r="T644" s="819" t="n"/>
      <c r="U644" s="1197" t="n"/>
      <c r="V644" s="819" t="n"/>
      <c r="W644" s="819" t="n"/>
      <c r="X644" s="819" t="n"/>
      <c r="Y644" s="819" t="n"/>
      <c r="Z644" s="1197" t="n"/>
      <c r="AA644" s="819" t="n"/>
      <c r="AB644" s="819" t="n"/>
      <c r="AC644" s="819" t="n"/>
      <c r="AD644" s="819" t="n"/>
      <c r="AE644" s="1197" t="n"/>
      <c r="AF644" s="819" t="n"/>
      <c r="AG644" s="819" t="n"/>
      <c r="AH644" s="819" t="n"/>
      <c r="AI644" s="819">
        <f>IFERROR((AI643-AI642)*10000,"")</f>
        <v/>
      </c>
      <c r="AJ644" s="1197">
        <f>IFERROR((AJ643-AJ642)*10000,"")</f>
        <v/>
      </c>
      <c r="AK644" s="819">
        <f>IFERROR((AK643-AK642)*10000,"")</f>
        <v/>
      </c>
      <c r="AL644" s="819">
        <f>IFERROR((AL643-AL642)*10000,"")</f>
        <v/>
      </c>
      <c r="AM644" s="819">
        <f>IFERROR((AM643-AM642)*10000,"")</f>
        <v/>
      </c>
      <c r="AN644" s="819">
        <f>IFERROR((AN643-AN642)*10000,"")</f>
        <v/>
      </c>
      <c r="AO644" s="1197">
        <f>IFERROR((AO643-AO642)*10000,"")</f>
        <v/>
      </c>
      <c r="AP644" s="819">
        <f>IFERROR((AP643-AP642)*10000,"")</f>
        <v/>
      </c>
      <c r="AQ644" s="819">
        <f>IFERROR((AQ643-AQ642)*10000,"")</f>
        <v/>
      </c>
      <c r="AR644" s="819">
        <f>IFERROR((AR643-AR642)*10000,"")</f>
        <v/>
      </c>
      <c r="AS644" s="819">
        <f>IFERROR((AS643-AS642)*10000,"")</f>
        <v/>
      </c>
      <c r="AT644" s="1197">
        <f>IFERROR((AT643-AT642)*10000,"")</f>
        <v/>
      </c>
      <c r="AU644" s="819">
        <f>IFERROR((AU643-AU642)*10000,"")</f>
        <v/>
      </c>
      <c r="AV644" s="819">
        <f>IFERROR((AV643-AV642)*10000,"")</f>
        <v/>
      </c>
      <c r="AW644" s="819">
        <f>IFERROR((AW643-AW642)*10000,"")</f>
        <v/>
      </c>
      <c r="AX644" s="819">
        <f>IFERROR((AX643-AX642)*10000,"")</f>
        <v/>
      </c>
      <c r="AY644" s="1197">
        <f>IFERROR((AY643-AY642)*10000,"")</f>
        <v/>
      </c>
      <c r="AZ644" s="819">
        <f>IFERROR((AZ643-AZ642)*10000,"")</f>
        <v/>
      </c>
      <c r="BA644" s="819">
        <f>IFERROR((BA643-BA642)*10000,"")</f>
        <v/>
      </c>
      <c r="BB644" s="819">
        <f>IFERROR((BB643-BB642)*10000,"")</f>
        <v/>
      </c>
      <c r="BC644" s="819">
        <f>IFERROR((BC643-BC642)*10000,"")</f>
        <v/>
      </c>
      <c r="BD644" s="1197">
        <f>IFERROR((BD643-BD642)*10000,"")</f>
        <v/>
      </c>
      <c r="BE644" s="819">
        <f>IFERROR((BE643-BE642)*10000,"")</f>
        <v/>
      </c>
      <c r="BF644" s="819">
        <f>IFERROR((BF643-BF642)*10000,"")</f>
        <v/>
      </c>
      <c r="BG644" s="819">
        <f>IFERROR((BG643-BG642)*10000,"")</f>
        <v/>
      </c>
      <c r="BH644" s="819">
        <f>IFERROR((BH643-BH642)*10000,"")</f>
        <v/>
      </c>
      <c r="BI644" s="1197">
        <f>IFERROR((BI643-BI642)*10000,"")</f>
        <v/>
      </c>
      <c r="BJ644" s="819">
        <f>IFERROR((BJ643-BJ642)*10000,"")</f>
        <v/>
      </c>
      <c r="BK644" s="819">
        <f>IFERROR((BK643-BK642)*10000,"")</f>
        <v/>
      </c>
      <c r="BL644" s="819">
        <f>IFERROR((BL643-BL642)*10000,"")</f>
        <v/>
      </c>
      <c r="BM644" s="819">
        <f>IFERROR((BM643-BM642)*10000,"")</f>
        <v/>
      </c>
      <c r="BN644" s="1197">
        <f>IFERROR((BN643-BN642)*10000,"")</f>
        <v/>
      </c>
      <c r="BO644" s="819">
        <f>IFERROR((BO643-BO642)*10000,"")</f>
        <v/>
      </c>
      <c r="BP644" s="819">
        <f>IFERROR((BP643-BP642)*10000,"")</f>
        <v/>
      </c>
      <c r="BQ644" s="819">
        <f>IFERROR((BQ643-BQ642)*10000,"")</f>
        <v/>
      </c>
      <c r="BR644" s="819">
        <f>IFERROR((BR643-BR642)*10000,"")</f>
        <v/>
      </c>
      <c r="BS644" s="1197">
        <f>IFERROR((BS643-BS642)*10000,"")</f>
        <v/>
      </c>
      <c r="BT644" s="819">
        <f>IFERROR((BT643-BT642)*10000,"")</f>
        <v/>
      </c>
      <c r="BU644" s="819">
        <f>IFERROR((BU643-BU642)*10000,"")</f>
        <v/>
      </c>
      <c r="BV644" s="912">
        <f>IFERROR((BV643-BV642)*10000,"")</f>
        <v/>
      </c>
      <c r="BW644" s="819">
        <f>IFERROR((BW643-BW642)*10000,"")</f>
        <v/>
      </c>
      <c r="BX644" s="1197">
        <f>IFERROR((BX643-BX642)*10000,"")</f>
        <v/>
      </c>
      <c r="BY644" s="819">
        <f>IFERROR((BY643-BY642)*10000,"")</f>
        <v/>
      </c>
      <c r="BZ644" s="819">
        <f>IFERROR((BZ643-BZ642)*10000,"")</f>
        <v/>
      </c>
      <c r="CA644" s="819">
        <f>IFERROR((CA643-CA642)*10000,"")</f>
        <v/>
      </c>
      <c r="CB644" s="819">
        <f>IFERROR((CB643-CB642)*10000,"")</f>
        <v/>
      </c>
      <c r="CC644" s="1197">
        <f>IFERROR((CC643-CC642)*10000,"")</f>
        <v/>
      </c>
      <c r="CD644" s="1197" t="n"/>
      <c r="CE644" s="1197" t="n"/>
      <c r="CF644" s="1197" t="n"/>
      <c r="CG644" s="93" t="n"/>
    </row>
    <row r="645" hidden="1" outlineLevel="2" ht="15" customHeight="1">
      <c r="A645" s="799" t="n"/>
      <c r="B645" s="428" t="n"/>
      <c r="C645" s="1134" t="n"/>
      <c r="D645" s="1134" t="n"/>
      <c r="E645" s="1134" t="n"/>
      <c r="F645" s="1134" t="n"/>
      <c r="G645" s="93" t="n"/>
      <c r="H645" s="93" t="n"/>
      <c r="I645" s="93" t="n"/>
      <c r="J645" s="93" t="n"/>
      <c r="K645" s="1134" t="n"/>
      <c r="L645" s="93" t="n"/>
      <c r="M645" s="93" t="n"/>
      <c r="N645" s="93" t="n"/>
      <c r="O645" s="93" t="n"/>
      <c r="P645" s="1134" t="n"/>
      <c r="Q645" s="93" t="n"/>
      <c r="R645" s="93" t="n"/>
      <c r="S645" s="93" t="n"/>
      <c r="T645" s="93" t="n"/>
      <c r="U645" s="1134" t="n"/>
      <c r="V645" s="93" t="n"/>
      <c r="W645" s="93" t="n"/>
      <c r="X645" s="93" t="n"/>
      <c r="Y645" s="93" t="n"/>
      <c r="Z645" s="1134" t="n"/>
      <c r="AA645" s="93" t="n"/>
      <c r="AB645" s="93" t="n"/>
      <c r="AC645" s="93" t="n"/>
      <c r="AD645" s="93" t="n"/>
      <c r="AE645" s="1134" t="n"/>
      <c r="AF645" s="93" t="n"/>
      <c r="AG645" s="93" t="n"/>
      <c r="AH645" s="93" t="n"/>
      <c r="AI645" s="93" t="n"/>
      <c r="AJ645" s="1134" t="n"/>
      <c r="AK645" s="93" t="n"/>
      <c r="AL645" s="93" t="n"/>
      <c r="AM645" s="93" t="n"/>
      <c r="AN645" s="93" t="n"/>
      <c r="AO645" s="1134" t="n"/>
      <c r="AP645" s="93" t="n"/>
      <c r="AQ645" s="93" t="n"/>
      <c r="AR645" s="93" t="n"/>
      <c r="AS645" s="93" t="n"/>
      <c r="AT645" s="1134" t="n"/>
      <c r="AU645" s="93" t="n"/>
      <c r="AV645" s="93" t="n"/>
      <c r="AW645" s="93" t="n"/>
      <c r="AX645" s="93" t="n"/>
      <c r="AY645" s="1134" t="n"/>
      <c r="AZ645" s="93" t="n"/>
      <c r="BA645" s="93" t="n"/>
      <c r="BB645" s="93" t="n"/>
      <c r="BC645" s="93" t="n"/>
      <c r="BD645" s="1134" t="n"/>
      <c r="BE645" s="93" t="n"/>
      <c r="BF645" s="93" t="n"/>
      <c r="BG645" s="93" t="n"/>
      <c r="BH645" s="93" t="n"/>
      <c r="BI645" s="1134" t="n"/>
      <c r="BJ645" s="93" t="n"/>
      <c r="BK645" s="93" t="n"/>
      <c r="BL645" s="93" t="n"/>
      <c r="BM645" s="93" t="n"/>
      <c r="BN645" s="1134" t="n"/>
      <c r="BO645" s="93" t="n"/>
      <c r="BP645" s="93" t="n"/>
      <c r="BQ645" s="93" t="n"/>
      <c r="BR645" s="93" t="n"/>
      <c r="BS645" s="1134" t="n"/>
      <c r="BT645" s="93" t="n"/>
      <c r="BU645" s="93" t="n"/>
      <c r="BV645" s="522" t="n"/>
      <c r="BW645" s="93" t="n"/>
      <c r="BX645" s="1134" t="n"/>
      <c r="BY645" s="93" t="n"/>
      <c r="BZ645" s="93" t="n"/>
      <c r="CA645" s="93" t="n"/>
      <c r="CB645" s="93" t="n"/>
      <c r="CC645" s="1134" t="n"/>
      <c r="CD645" s="1134" t="n"/>
      <c r="CE645" s="1134" t="n"/>
      <c r="CF645" s="1134" t="n"/>
      <c r="CG645" s="93" t="n"/>
    </row>
    <row r="646" hidden="1" outlineLevel="2" ht="15" customHeight="1">
      <c r="A646" s="605" t="inlineStr">
        <is>
          <t>Forward guidance - report date, date</t>
        </is>
      </c>
      <c r="B646" s="428" t="n"/>
      <c r="C646" s="1425" t="n"/>
      <c r="D646" s="1425" t="n"/>
      <c r="E646" s="1425" t="n"/>
      <c r="F646" s="1425" t="n"/>
      <c r="G646" s="1426" t="n"/>
      <c r="H646" s="1426" t="n"/>
      <c r="I646" s="1426" t="n"/>
      <c r="J646" s="1426" t="n"/>
      <c r="K646" s="1425" t="n"/>
      <c r="L646" s="1426" t="n"/>
      <c r="M646" s="1426" t="n"/>
      <c r="N646" s="1426" t="n"/>
      <c r="O646" s="1426" t="n"/>
      <c r="P646" s="1425" t="n"/>
      <c r="Q646" s="1426" t="n"/>
      <c r="R646" s="1426" t="n"/>
      <c r="S646" s="1426" t="n"/>
      <c r="T646" s="1426" t="n"/>
      <c r="U646" s="1425" t="n"/>
      <c r="V646" s="1426" t="n"/>
      <c r="W646" s="1426" t="n"/>
      <c r="X646" s="1426" t="n"/>
      <c r="Y646" s="1426" t="n"/>
      <c r="Z646" s="1425" t="n"/>
      <c r="AA646" s="1426" t="n"/>
      <c r="AB646" s="1426" t="n"/>
      <c r="AC646" s="1426" t="n"/>
      <c r="AD646" s="1426" t="n"/>
      <c r="AE646" s="1425" t="n"/>
      <c r="AF646" s="1426" t="n"/>
      <c r="AG646" s="1426" t="n"/>
      <c r="AH646" s="1426" t="n"/>
      <c r="AI646" s="1426">
        <f>AI1082</f>
        <v/>
      </c>
      <c r="AJ646" s="1425">
        <f>AJ1082</f>
        <v/>
      </c>
      <c r="AK646" s="1426">
        <f>AK1082</f>
        <v/>
      </c>
      <c r="AL646" s="1426">
        <f>AL1082</f>
        <v/>
      </c>
      <c r="AM646" s="1426">
        <f>AM1082</f>
        <v/>
      </c>
      <c r="AN646" s="1426">
        <f>AN1082</f>
        <v/>
      </c>
      <c r="AO646" s="1425">
        <f>AO1082</f>
        <v/>
      </c>
      <c r="AP646" s="1426">
        <f>AP1082</f>
        <v/>
      </c>
      <c r="AQ646" s="1426">
        <f>AQ1082</f>
        <v/>
      </c>
      <c r="AR646" s="1426">
        <f>AR1082</f>
        <v/>
      </c>
      <c r="AS646" s="1426">
        <f>AS1082</f>
        <v/>
      </c>
      <c r="AT646" s="1425">
        <f>AT1082</f>
        <v/>
      </c>
      <c r="AU646" s="1426">
        <f>AU1082</f>
        <v/>
      </c>
      <c r="AV646" s="1426">
        <f>AV1082</f>
        <v/>
      </c>
      <c r="AW646" s="1426">
        <f>AW1082</f>
        <v/>
      </c>
      <c r="AX646" s="1426">
        <f>AX1082</f>
        <v/>
      </c>
      <c r="AY646" s="1425">
        <f>AY1082</f>
        <v/>
      </c>
      <c r="AZ646" s="1426">
        <f>AZ1082</f>
        <v/>
      </c>
      <c r="BA646" s="1426">
        <f>BA1082</f>
        <v/>
      </c>
      <c r="BB646" s="1426">
        <f>BB1082</f>
        <v/>
      </c>
      <c r="BC646" s="1426">
        <f>BC1082</f>
        <v/>
      </c>
      <c r="BD646" s="1425">
        <f>BD1082</f>
        <v/>
      </c>
      <c r="BE646" s="1426">
        <f>BE1082</f>
        <v/>
      </c>
      <c r="BF646" s="1426">
        <f>BF1082</f>
        <v/>
      </c>
      <c r="BG646" s="1426">
        <f>BG1082</f>
        <v/>
      </c>
      <c r="BH646" s="1426">
        <f>BH1082</f>
        <v/>
      </c>
      <c r="BI646" s="1425">
        <f>BI1082</f>
        <v/>
      </c>
      <c r="BJ646" s="1426">
        <f>BJ1082</f>
        <v/>
      </c>
      <c r="BK646" s="1426">
        <f>BK1082</f>
        <v/>
      </c>
      <c r="BL646" s="1426">
        <f>BL1082</f>
        <v/>
      </c>
      <c r="BM646" s="1426">
        <f>BM1082</f>
        <v/>
      </c>
      <c r="BN646" s="1425">
        <f>BN1082</f>
        <v/>
      </c>
      <c r="BO646" s="1426">
        <f>BO1082</f>
        <v/>
      </c>
      <c r="BP646" s="1426">
        <f>BP1082</f>
        <v/>
      </c>
      <c r="BQ646" s="1426">
        <f>BQ1082</f>
        <v/>
      </c>
      <c r="BR646" s="1426">
        <f>BR1082</f>
        <v/>
      </c>
      <c r="BS646" s="1425">
        <f>BS1082</f>
        <v/>
      </c>
      <c r="BT646" s="1426">
        <f>BT1082</f>
        <v/>
      </c>
      <c r="BU646" s="1426">
        <f>BU1082</f>
        <v/>
      </c>
      <c r="BV646" s="1427">
        <f>BV1082</f>
        <v/>
      </c>
      <c r="BW646" s="1426" t="n"/>
      <c r="BX646" s="1425" t="n"/>
      <c r="BY646" s="1426" t="n"/>
      <c r="BZ646" s="1426" t="n"/>
      <c r="CA646" s="1426" t="n"/>
      <c r="CB646" s="1426" t="n"/>
      <c r="CC646" s="1425" t="n"/>
      <c r="CD646" s="1425" t="n"/>
      <c r="CE646" s="1425" t="n"/>
      <c r="CF646" s="1425" t="n"/>
      <c r="CG646" s="93" t="n"/>
    </row>
    <row r="647" hidden="1" outlineLevel="2" ht="15" customHeight="1">
      <c r="A647" s="803" t="inlineStr">
        <is>
          <t>Forward quarterly guidance - applicable period, period</t>
        </is>
      </c>
      <c r="B647" s="801" t="n"/>
      <c r="C647" s="1193" t="n"/>
      <c r="D647" s="1193" t="n"/>
      <c r="E647" s="1193" t="n"/>
      <c r="F647" s="1193" t="n"/>
      <c r="G647" s="802" t="n"/>
      <c r="H647" s="802" t="n"/>
      <c r="I647" s="802" t="n"/>
      <c r="J647" s="802" t="n"/>
      <c r="K647" s="1193" t="n"/>
      <c r="L647" s="802">
        <f>M5</f>
        <v/>
      </c>
      <c r="M647" s="802">
        <f>N5</f>
        <v/>
      </c>
      <c r="N647" s="802">
        <f>O5</f>
        <v/>
      </c>
      <c r="O647" s="802">
        <f>Q5</f>
        <v/>
      </c>
      <c r="P647" s="1193" t="n"/>
      <c r="Q647" s="802" t="n"/>
      <c r="R647" s="802" t="n"/>
      <c r="S647" s="802" t="n"/>
      <c r="T647" s="802" t="n"/>
      <c r="U647" s="1193" t="n"/>
      <c r="V647" s="802" t="n"/>
      <c r="W647" s="802" t="n"/>
      <c r="X647" s="802" t="n"/>
      <c r="Y647" s="802" t="n"/>
      <c r="Z647" s="1193" t="n"/>
      <c r="AA647" s="802" t="n"/>
      <c r="AB647" s="802" t="n"/>
      <c r="AC647" s="802" t="n"/>
      <c r="AD647" s="802" t="n"/>
      <c r="AE647" s="1193" t="n"/>
      <c r="AF647" s="802" t="n"/>
      <c r="AG647" s="802" t="n"/>
      <c r="AH647" s="802" t="n"/>
      <c r="AI647" s="802">
        <f>AK5</f>
        <v/>
      </c>
      <c r="AJ647" s="1193">
        <f>AK5</f>
        <v/>
      </c>
      <c r="AK647" s="802">
        <f>AL5</f>
        <v/>
      </c>
      <c r="AL647" s="802">
        <f>AM5</f>
        <v/>
      </c>
      <c r="AM647" s="802">
        <f>AN5</f>
        <v/>
      </c>
      <c r="AN647" s="802">
        <f>AP5</f>
        <v/>
      </c>
      <c r="AO647" s="1193">
        <f>AP5</f>
        <v/>
      </c>
      <c r="AP647" s="802">
        <f>AQ5</f>
        <v/>
      </c>
      <c r="AQ647" s="802">
        <f>AR5</f>
        <v/>
      </c>
      <c r="AR647" s="802">
        <f>AS5</f>
        <v/>
      </c>
      <c r="AS647" s="802">
        <f>AU5</f>
        <v/>
      </c>
      <c r="AT647" s="1193">
        <f>AU5</f>
        <v/>
      </c>
      <c r="AU647" s="802">
        <f>AV5</f>
        <v/>
      </c>
      <c r="AV647" s="802">
        <f>AW5</f>
        <v/>
      </c>
      <c r="AW647" s="802">
        <f>AX5</f>
        <v/>
      </c>
      <c r="AX647" s="802">
        <f>AZ5</f>
        <v/>
      </c>
      <c r="AY647" s="1193">
        <f>AZ5</f>
        <v/>
      </c>
      <c r="AZ647" s="802">
        <f>BA5</f>
        <v/>
      </c>
      <c r="BA647" s="802">
        <f>BB5</f>
        <v/>
      </c>
      <c r="BB647" s="802">
        <f>BC5</f>
        <v/>
      </c>
      <c r="BC647" s="802">
        <f>BE5</f>
        <v/>
      </c>
      <c r="BD647" s="1193">
        <f>BE5</f>
        <v/>
      </c>
      <c r="BE647" s="802">
        <f>BF5</f>
        <v/>
      </c>
      <c r="BF647" s="802">
        <f>BG5</f>
        <v/>
      </c>
      <c r="BG647" s="802">
        <f>BH5</f>
        <v/>
      </c>
      <c r="BH647" s="802">
        <f>BJ5</f>
        <v/>
      </c>
      <c r="BI647" s="1193">
        <f>BJ5</f>
        <v/>
      </c>
      <c r="BJ647" s="802">
        <f>BK5</f>
        <v/>
      </c>
      <c r="BK647" s="802">
        <f>BL5</f>
        <v/>
      </c>
      <c r="BL647" s="802">
        <f>BM5</f>
        <v/>
      </c>
      <c r="BM647" s="802">
        <f>BO5</f>
        <v/>
      </c>
      <c r="BN647" s="1193">
        <f>BO5</f>
        <v/>
      </c>
      <c r="BO647" s="802">
        <f>BP5</f>
        <v/>
      </c>
      <c r="BP647" s="802">
        <f>BQ5</f>
        <v/>
      </c>
      <c r="BQ647" s="802">
        <f>BR5</f>
        <v/>
      </c>
      <c r="BR647" s="802">
        <f>BT5</f>
        <v/>
      </c>
      <c r="BS647" s="1193">
        <f>BT5</f>
        <v/>
      </c>
      <c r="BT647" s="802">
        <f>BU5</f>
        <v/>
      </c>
      <c r="BU647" s="802">
        <f>BV5</f>
        <v/>
      </c>
      <c r="BV647" s="909">
        <f>BW5</f>
        <v/>
      </c>
      <c r="BW647" s="802" t="n"/>
      <c r="BX647" s="1193" t="n"/>
      <c r="BY647" s="802" t="n"/>
      <c r="BZ647" s="802" t="n"/>
      <c r="CA647" s="802" t="n"/>
      <c r="CB647" s="802" t="n"/>
      <c r="CC647" s="1193" t="n"/>
      <c r="CD647" s="1193" t="n"/>
      <c r="CE647" s="1193" t="n"/>
      <c r="CF647" s="1193" t="n"/>
      <c r="CG647" s="93" t="n"/>
    </row>
    <row r="648" hidden="1" outlineLevel="3" ht="15" customHeight="1">
      <c r="A648" s="492" t="inlineStr">
        <is>
          <t>Forward quarterly non-GAAP gross profit guidance - low, mm</t>
        </is>
      </c>
      <c r="B648" s="428" t="n"/>
      <c r="C648" s="1134" t="n"/>
      <c r="D648" s="1134" t="n"/>
      <c r="E648" s="1134" t="n"/>
      <c r="F648" s="1134" t="n"/>
      <c r="G648" s="93" t="n"/>
      <c r="H648" s="93" t="n"/>
      <c r="I648" s="93" t="n"/>
      <c r="J648" s="93" t="n"/>
      <c r="K648" s="1134" t="n"/>
      <c r="L648" s="93" t="n"/>
      <c r="M648" s="93" t="n"/>
      <c r="N648" s="93" t="n"/>
      <c r="O648" s="93" t="n"/>
      <c r="P648" s="1134" t="n"/>
      <c r="Q648" s="93" t="n"/>
      <c r="R648" s="93" t="n"/>
      <c r="S648" s="93" t="n"/>
      <c r="T648" s="93" t="n"/>
      <c r="U648" s="1134" t="n"/>
      <c r="V648" s="93" t="n"/>
      <c r="W648" s="93" t="n"/>
      <c r="X648" s="93" t="n"/>
      <c r="Y648" s="93" t="n"/>
      <c r="Z648" s="1134" t="n"/>
      <c r="AA648" s="93" t="n"/>
      <c r="AB648" s="93" t="n"/>
      <c r="AC648" s="93" t="n"/>
      <c r="AD648" s="93" t="n"/>
      <c r="AE648" s="1134" t="n"/>
      <c r="AF648" s="93" t="n"/>
      <c r="AG648" s="93" t="n"/>
      <c r="AH648" s="93">
        <f>+AH660*AH586</f>
        <v/>
      </c>
      <c r="AI648" s="93">
        <f>+AI660*AI586</f>
        <v/>
      </c>
      <c r="AJ648" s="1134">
        <f>+AJ660*AJ586</f>
        <v/>
      </c>
      <c r="AK648" s="93">
        <f>+AK660*AK586</f>
        <v/>
      </c>
      <c r="AL648" s="93">
        <f>+AL660*AL586</f>
        <v/>
      </c>
      <c r="AM648" s="93">
        <f>+AM660*AM586</f>
        <v/>
      </c>
      <c r="AN648" s="93">
        <f>+AN660*AN586</f>
        <v/>
      </c>
      <c r="AO648" s="1134">
        <f>+AO660*AO586</f>
        <v/>
      </c>
      <c r="AP648" s="93">
        <f>+AP660*AP586</f>
        <v/>
      </c>
      <c r="AQ648" s="93">
        <f>+AQ660*AQ586</f>
        <v/>
      </c>
      <c r="AR648" s="93">
        <f>+AR660*AR586</f>
        <v/>
      </c>
      <c r="AS648" s="93">
        <f>+AS660*AS586</f>
        <v/>
      </c>
      <c r="AT648" s="1134">
        <f>+AT660*AT586</f>
        <v/>
      </c>
      <c r="AU648" s="93">
        <f>+AU660*AU586</f>
        <v/>
      </c>
      <c r="AV648" s="93">
        <f>+AV660*AV586</f>
        <v/>
      </c>
      <c r="AW648" s="93">
        <f>+AW660*AW586</f>
        <v/>
      </c>
      <c r="AX648" s="93">
        <f>+AX660*AX586</f>
        <v/>
      </c>
      <c r="AY648" s="1134">
        <f>+AY660*AY586</f>
        <v/>
      </c>
      <c r="AZ648" s="93">
        <f>+AZ660*AZ586</f>
        <v/>
      </c>
      <c r="BA648" s="93">
        <f>+BA660*BA586</f>
        <v/>
      </c>
      <c r="BB648" s="93">
        <f>+BB660*BB586</f>
        <v/>
      </c>
      <c r="BC648" s="93">
        <f>+BC660*BC586</f>
        <v/>
      </c>
      <c r="BD648" s="1134">
        <f>+BD660*BD586</f>
        <v/>
      </c>
      <c r="BE648" s="93">
        <f>+BE660*BE586</f>
        <v/>
      </c>
      <c r="BF648" s="93">
        <f>+BF660*BF586</f>
        <v/>
      </c>
      <c r="BG648" s="93">
        <f>+BG660*BG586</f>
        <v/>
      </c>
      <c r="BH648" s="93">
        <f>+BH660*BH586</f>
        <v/>
      </c>
      <c r="BI648" s="1134">
        <f>+BI660*BI586</f>
        <v/>
      </c>
      <c r="BJ648" s="93">
        <f>+BJ660*BJ586</f>
        <v/>
      </c>
      <c r="BK648" s="93">
        <f>+BK660*BK586</f>
        <v/>
      </c>
      <c r="BL648" s="93">
        <f>+BL660*BL586</f>
        <v/>
      </c>
      <c r="BM648" s="93">
        <f>+BM660*BM586</f>
        <v/>
      </c>
      <c r="BN648" s="1134">
        <f>+BN660*BN586</f>
        <v/>
      </c>
      <c r="BO648" s="93">
        <f>+BO660*BO586</f>
        <v/>
      </c>
      <c r="BP648" s="93">
        <f>+BP660*BP586</f>
        <v/>
      </c>
      <c r="BQ648" s="93">
        <f>+BQ660*BQ586</f>
        <v/>
      </c>
      <c r="BR648" s="93">
        <f>+BR660*BR586</f>
        <v/>
      </c>
      <c r="BS648" s="1134">
        <f>+BS660*BS586</f>
        <v/>
      </c>
      <c r="BT648" s="93">
        <f>+BT660*BT586</f>
        <v/>
      </c>
      <c r="BU648" s="93">
        <f>+BU660*BU586</f>
        <v/>
      </c>
      <c r="BV648" s="522">
        <f>+BV660*BV586</f>
        <v/>
      </c>
      <c r="BW648" s="93" t="n"/>
      <c r="BX648" s="1134" t="n"/>
      <c r="BY648" s="93" t="n"/>
      <c r="BZ648" s="93" t="n"/>
      <c r="CA648" s="93" t="n"/>
      <c r="CB648" s="93" t="n"/>
      <c r="CC648" s="1134" t="n"/>
      <c r="CD648" s="1134" t="n"/>
      <c r="CE648" s="1134" t="n"/>
      <c r="CF648" s="1134" t="n"/>
      <c r="CG648" s="93" t="n"/>
    </row>
    <row r="649" hidden="1" outlineLevel="3" ht="15" customHeight="1">
      <c r="A649" s="812" t="inlineStr">
        <is>
          <t>Forward quarterly non-GAAP gross profit guidance - high, mm</t>
        </is>
      </c>
      <c r="B649" s="718" t="n"/>
      <c r="C649" s="1129" t="n"/>
      <c r="D649" s="1129" t="n"/>
      <c r="E649" s="1129" t="n"/>
      <c r="F649" s="1129" t="n"/>
      <c r="G649" s="983" t="n"/>
      <c r="H649" s="983" t="n"/>
      <c r="I649" s="983" t="n"/>
      <c r="J649" s="983" t="n"/>
      <c r="K649" s="1129" t="n"/>
      <c r="L649" s="983" t="n"/>
      <c r="M649" s="983" t="n"/>
      <c r="N649" s="983" t="n"/>
      <c r="O649" s="983" t="n"/>
      <c r="P649" s="1129" t="n"/>
      <c r="Q649" s="983" t="n"/>
      <c r="R649" s="983" t="n"/>
      <c r="S649" s="983" t="n"/>
      <c r="T649" s="983" t="n"/>
      <c r="U649" s="1129" t="n"/>
      <c r="V649" s="983" t="n"/>
      <c r="W649" s="983" t="n"/>
      <c r="X649" s="983" t="n"/>
      <c r="Y649" s="983" t="n"/>
      <c r="Z649" s="1129" t="n"/>
      <c r="AA649" s="983" t="n"/>
      <c r="AB649" s="983" t="n"/>
      <c r="AC649" s="983" t="n"/>
      <c r="AD649" s="983" t="n"/>
      <c r="AE649" s="1129" t="n"/>
      <c r="AF649" s="983" t="n"/>
      <c r="AG649" s="983" t="n"/>
      <c r="AH649" s="983">
        <f>+AH661*AH587</f>
        <v/>
      </c>
      <c r="AI649" s="983">
        <f>+AI661*AI587</f>
        <v/>
      </c>
      <c r="AJ649" s="1129">
        <f>+AJ661*AJ587</f>
        <v/>
      </c>
      <c r="AK649" s="983">
        <f>+AK661*AK587</f>
        <v/>
      </c>
      <c r="AL649" s="983">
        <f>+AL661*AL587</f>
        <v/>
      </c>
      <c r="AM649" s="983">
        <f>+AM661*AM587</f>
        <v/>
      </c>
      <c r="AN649" s="983">
        <f>+AN661*AN587</f>
        <v/>
      </c>
      <c r="AO649" s="1129">
        <f>+AO661*AO587</f>
        <v/>
      </c>
      <c r="AP649" s="983">
        <f>+AP661*AP587</f>
        <v/>
      </c>
      <c r="AQ649" s="983">
        <f>+AQ661*AQ587</f>
        <v/>
      </c>
      <c r="AR649" s="983">
        <f>+AR661*AR587</f>
        <v/>
      </c>
      <c r="AS649" s="983">
        <f>+AS661*AS587</f>
        <v/>
      </c>
      <c r="AT649" s="1129">
        <f>+AT661*AT587</f>
        <v/>
      </c>
      <c r="AU649" s="983">
        <f>+AU661*AU587</f>
        <v/>
      </c>
      <c r="AV649" s="983">
        <f>+AV661*AV587</f>
        <v/>
      </c>
      <c r="AW649" s="983">
        <f>+AW661*AW587</f>
        <v/>
      </c>
      <c r="AX649" s="983">
        <f>+AX661*AX587</f>
        <v/>
      </c>
      <c r="AY649" s="1129">
        <f>+AY661*AY587</f>
        <v/>
      </c>
      <c r="AZ649" s="983">
        <f>+AZ661*AZ587</f>
        <v/>
      </c>
      <c r="BA649" s="983">
        <f>+BA661*BA587</f>
        <v/>
      </c>
      <c r="BB649" s="983">
        <f>+BB661*BB587</f>
        <v/>
      </c>
      <c r="BC649" s="983">
        <f>+BC661*BC587</f>
        <v/>
      </c>
      <c r="BD649" s="1129">
        <f>+BD661*BD587</f>
        <v/>
      </c>
      <c r="BE649" s="983">
        <f>+BE661*BE587</f>
        <v/>
      </c>
      <c r="BF649" s="983">
        <f>+BF661*BF587</f>
        <v/>
      </c>
      <c r="BG649" s="983">
        <f>+BG661*BG587</f>
        <v/>
      </c>
      <c r="BH649" s="983">
        <f>+BH661*BH587</f>
        <v/>
      </c>
      <c r="BI649" s="1129">
        <f>+BI661*BI587</f>
        <v/>
      </c>
      <c r="BJ649" s="983">
        <f>+BJ661*BJ587</f>
        <v/>
      </c>
      <c r="BK649" s="983">
        <f>+BK661*BK587</f>
        <v/>
      </c>
      <c r="BL649" s="983">
        <f>+BL661*BL587</f>
        <v/>
      </c>
      <c r="BM649" s="983">
        <f>+BM661*BM587</f>
        <v/>
      </c>
      <c r="BN649" s="1129">
        <f>+BN661*BN587</f>
        <v/>
      </c>
      <c r="BO649" s="983">
        <f>+BO661*BO587</f>
        <v/>
      </c>
      <c r="BP649" s="983">
        <f>+BP661*BP587</f>
        <v/>
      </c>
      <c r="BQ649" s="983">
        <f>+BQ661*BQ587</f>
        <v/>
      </c>
      <c r="BR649" s="983">
        <f>+BR661*BR587</f>
        <v/>
      </c>
      <c r="BS649" s="1129">
        <f>+BS661*BS587</f>
        <v/>
      </c>
      <c r="BT649" s="983">
        <f>+BT661*BT587</f>
        <v/>
      </c>
      <c r="BU649" s="983">
        <f>+BU661*BU587</f>
        <v/>
      </c>
      <c r="BV649" s="984">
        <f>+BV661*BV587</f>
        <v/>
      </c>
      <c r="BW649" s="983" t="n"/>
      <c r="BX649" s="1129" t="n"/>
      <c r="BY649" s="983" t="n"/>
      <c r="BZ649" s="983" t="n"/>
      <c r="CA649" s="983" t="n"/>
      <c r="CB649" s="983" t="n"/>
      <c r="CC649" s="1129" t="n"/>
      <c r="CD649" s="1129" t="n"/>
      <c r="CE649" s="1129" t="n"/>
      <c r="CF649" s="1129" t="n"/>
      <c r="CG649" s="93" t="n"/>
    </row>
    <row r="650" hidden="1" outlineLevel="2" collapsed="1" ht="15" customHeight="1">
      <c r="A650" s="609" t="inlineStr">
        <is>
          <t>Forward quarterly non-GAAP gross profit guidance - midpoint, mm</t>
        </is>
      </c>
      <c r="B650" s="610" t="n"/>
      <c r="C650" s="1159" t="n"/>
      <c r="D650" s="1159" t="n"/>
      <c r="E650" s="1159" t="n"/>
      <c r="F650" s="1159" t="n"/>
      <c r="G650" s="378" t="n"/>
      <c r="H650" s="378" t="n"/>
      <c r="I650" s="378" t="n"/>
      <c r="J650" s="378" t="n"/>
      <c r="K650" s="1159" t="n"/>
      <c r="L650" s="378" t="n"/>
      <c r="M650" s="378" t="n"/>
      <c r="N650" s="378" t="n"/>
      <c r="O650" s="378" t="n"/>
      <c r="P650" s="1159" t="n"/>
      <c r="Q650" s="378" t="n"/>
      <c r="R650" s="378" t="n"/>
      <c r="S650" s="378" t="n"/>
      <c r="T650" s="378" t="n"/>
      <c r="U650" s="1159" t="n"/>
      <c r="V650" s="378" t="n"/>
      <c r="W650" s="378" t="n"/>
      <c r="X650" s="378" t="n"/>
      <c r="Y650" s="378" t="n"/>
      <c r="Z650" s="1159" t="n"/>
      <c r="AA650" s="378" t="n"/>
      <c r="AB650" s="378" t="n"/>
      <c r="AC650" s="378" t="n"/>
      <c r="AD650" s="378" t="n"/>
      <c r="AE650" s="1159" t="n"/>
      <c r="AF650" s="378" t="n"/>
      <c r="AG650" s="378" t="n"/>
      <c r="AH650" s="378">
        <f>IFERROR(AVERAGE(AH648,AH649),"")</f>
        <v/>
      </c>
      <c r="AI650" s="378">
        <f>IFERROR(AVERAGE(AI648,AI649),"")</f>
        <v/>
      </c>
      <c r="AJ650" s="1159">
        <f>IFERROR(AVERAGE(AJ648,AJ649),"")</f>
        <v/>
      </c>
      <c r="AK650" s="378">
        <f>IFERROR(AVERAGE(AK648,AK649),"")</f>
        <v/>
      </c>
      <c r="AL650" s="378">
        <f>IFERROR(AVERAGE(AL648,AL649),"")</f>
        <v/>
      </c>
      <c r="AM650" s="378">
        <f>IFERROR(AVERAGE(AM648,AM649),"")</f>
        <v/>
      </c>
      <c r="AN650" s="378">
        <f>IFERROR(AVERAGE(AN648,AN649),"")</f>
        <v/>
      </c>
      <c r="AO650" s="1159">
        <f>IFERROR(AVERAGE(AO648,AO649),"")</f>
        <v/>
      </c>
      <c r="AP650" s="378">
        <f>IFERROR(AVERAGE(AP648,AP649),"")</f>
        <v/>
      </c>
      <c r="AQ650" s="378">
        <f>IFERROR(AVERAGE(AQ648,AQ649),"")</f>
        <v/>
      </c>
      <c r="AR650" s="378">
        <f>IFERROR(AVERAGE(AR648,AR649),"")</f>
        <v/>
      </c>
      <c r="AS650" s="378">
        <f>IFERROR(AVERAGE(AS648,AS649),"")</f>
        <v/>
      </c>
      <c r="AT650" s="1159">
        <f>IFERROR(AVERAGE(AT648,AT649),"")</f>
        <v/>
      </c>
      <c r="AU650" s="378">
        <f>IFERROR(AVERAGE(AU648,AU649),"")</f>
        <v/>
      </c>
      <c r="AV650" s="378">
        <f>IFERROR(AVERAGE(AV648,AV649),"")</f>
        <v/>
      </c>
      <c r="AW650" s="378">
        <f>IFERROR(AVERAGE(AW648,AW649),"")</f>
        <v/>
      </c>
      <c r="AX650" s="378">
        <f>IFERROR(AVERAGE(AX648,AX649),"")</f>
        <v/>
      </c>
      <c r="AY650" s="1159">
        <f>IFERROR(AVERAGE(AY648,AY649),"")</f>
        <v/>
      </c>
      <c r="AZ650" s="378">
        <f>IFERROR(AVERAGE(AZ648,AZ649),"")</f>
        <v/>
      </c>
      <c r="BA650" s="378">
        <f>IFERROR(AVERAGE(BA648,BA649),"")</f>
        <v/>
      </c>
      <c r="BB650" s="378">
        <f>IFERROR(AVERAGE(BB648,BB649),"")</f>
        <v/>
      </c>
      <c r="BC650" s="378">
        <f>IFERROR(AVERAGE(BC648,BC649),"")</f>
        <v/>
      </c>
      <c r="BD650" s="1159">
        <f>IFERROR(AVERAGE(BD648,BD649),"")</f>
        <v/>
      </c>
      <c r="BE650" s="378">
        <f>IFERROR(AVERAGE(BE648,BE649),"")</f>
        <v/>
      </c>
      <c r="BF650" s="378">
        <f>IFERROR(AVERAGE(BF648,BF649),"")</f>
        <v/>
      </c>
      <c r="BG650" s="378">
        <f>IFERROR(AVERAGE(BG648,BG649),"")</f>
        <v/>
      </c>
      <c r="BH650" s="378">
        <f>IFERROR(AVERAGE(BH648,BH649),"")</f>
        <v/>
      </c>
      <c r="BI650" s="1159">
        <f>IFERROR(AVERAGE(BI648,BI649),"")</f>
        <v/>
      </c>
      <c r="BJ650" s="378">
        <f>IFERROR(AVERAGE(BJ648,BJ649),"")</f>
        <v/>
      </c>
      <c r="BK650" s="378">
        <f>IFERROR(AVERAGE(BK648,BK649),"")</f>
        <v/>
      </c>
      <c r="BL650" s="378">
        <f>IFERROR(AVERAGE(BL648,BL649),"")</f>
        <v/>
      </c>
      <c r="BM650" s="378">
        <f>IFERROR(AVERAGE(BM648,BM649),"")</f>
        <v/>
      </c>
      <c r="BN650" s="1159">
        <f>IFERROR(AVERAGE(BN648,BN649),"")</f>
        <v/>
      </c>
      <c r="BO650" s="378">
        <f>IFERROR(AVERAGE(BO648,BO649),"")</f>
        <v/>
      </c>
      <c r="BP650" s="378">
        <f>IFERROR(AVERAGE(BP648,BP649),"")</f>
        <v/>
      </c>
      <c r="BQ650" s="378">
        <f>IFERROR(AVERAGE(BQ648,BQ649),"")</f>
        <v/>
      </c>
      <c r="BR650" s="378">
        <f>IFERROR(AVERAGE(BR648,BR649),"")</f>
        <v/>
      </c>
      <c r="BS650" s="1159">
        <f>IFERROR(AVERAGE(BS648,BS649),"")</f>
        <v/>
      </c>
      <c r="BT650" s="378">
        <f>IFERROR(AVERAGE(BT648,BT649),"")</f>
        <v/>
      </c>
      <c r="BU650" s="378">
        <f>IFERROR(AVERAGE(BU648,BU649),"")</f>
        <v/>
      </c>
      <c r="BV650" s="1037">
        <f>IFERROR(AVERAGE(BV648,BV649),"")</f>
        <v/>
      </c>
      <c r="BW650" s="378" t="n"/>
      <c r="BX650" s="1159" t="n"/>
      <c r="BY650" s="378" t="n"/>
      <c r="BZ650" s="378" t="n"/>
      <c r="CA650" s="378" t="n"/>
      <c r="CB650" s="378" t="n"/>
      <c r="CC650" s="1159" t="n"/>
      <c r="CD650" s="1159" t="n"/>
      <c r="CE650" s="1159" t="n"/>
      <c r="CF650" s="1159" t="n"/>
      <c r="CG650" s="93" t="n"/>
    </row>
    <row r="651" hidden="1" outlineLevel="2" ht="15" customHeight="1">
      <c r="A651" s="492" t="inlineStr">
        <is>
          <t>Forward quarterly non-GAAP gross profit guidance variance, mm</t>
        </is>
      </c>
      <c r="B651" s="428" t="n"/>
      <c r="C651" s="1134" t="n"/>
      <c r="D651" s="1134" t="n"/>
      <c r="E651" s="1134" t="n"/>
      <c r="F651" s="1134" t="n"/>
      <c r="G651" s="93" t="n"/>
      <c r="H651" s="93" t="n"/>
      <c r="I651" s="93" t="n"/>
      <c r="J651" s="93" t="n"/>
      <c r="K651" s="1134" t="n"/>
      <c r="L651" s="93" t="n"/>
      <c r="M651" s="93" t="n"/>
      <c r="N651" s="93" t="n"/>
      <c r="O651" s="93" t="n"/>
      <c r="P651" s="1134" t="n"/>
      <c r="Q651" s="93" t="n"/>
      <c r="R651" s="93" t="n"/>
      <c r="S651" s="93" t="n"/>
      <c r="T651" s="93" t="n"/>
      <c r="U651" s="1134" t="n"/>
      <c r="V651" s="93" t="n"/>
      <c r="W651" s="93" t="n"/>
      <c r="X651" s="93" t="n"/>
      <c r="Y651" s="93" t="n"/>
      <c r="Z651" s="1134" t="n"/>
      <c r="AA651" s="93" t="n"/>
      <c r="AB651" s="93" t="n"/>
      <c r="AC651" s="93" t="n"/>
      <c r="AD651" s="93" t="n"/>
      <c r="AE651" s="1134" t="n"/>
      <c r="AF651" s="93" t="n"/>
      <c r="AG651" s="93" t="n"/>
      <c r="AH651" s="93">
        <f>IFERROR(ABS(AH649-AH648),"")</f>
        <v/>
      </c>
      <c r="AI651" s="93">
        <f>IFERROR(ABS(AI649-AI648),"")</f>
        <v/>
      </c>
      <c r="AJ651" s="1134">
        <f>IFERROR(ABS(AJ649-AJ648),"")</f>
        <v/>
      </c>
      <c r="AK651" s="93">
        <f>IFERROR(ABS(AK649-AK648),"")</f>
        <v/>
      </c>
      <c r="AL651" s="93">
        <f>IFERROR(ABS(AL649-AL648),"")</f>
        <v/>
      </c>
      <c r="AM651" s="93">
        <f>IFERROR(ABS(AM649-AM648),"")</f>
        <v/>
      </c>
      <c r="AN651" s="93">
        <f>IFERROR(ABS(AN649-AN648),"")</f>
        <v/>
      </c>
      <c r="AO651" s="1134">
        <f>IFERROR(ABS(AO649-AO648),"")</f>
        <v/>
      </c>
      <c r="AP651" s="93">
        <f>IFERROR(ABS(AP649-AP648),"")</f>
        <v/>
      </c>
      <c r="AQ651" s="93">
        <f>IFERROR(ABS(AQ649-AQ648),"")</f>
        <v/>
      </c>
      <c r="AR651" s="93">
        <f>IFERROR(ABS(AR649-AR648),"")</f>
        <v/>
      </c>
      <c r="AS651" s="93">
        <f>IFERROR(ABS(AS649-AS648),"")</f>
        <v/>
      </c>
      <c r="AT651" s="1134">
        <f>IFERROR(ABS(AT649-AT648),"")</f>
        <v/>
      </c>
      <c r="AU651" s="93">
        <f>IFERROR(ABS(AU649-AU648),"")</f>
        <v/>
      </c>
      <c r="AV651" s="93">
        <f>IFERROR(ABS(AV649-AV648),"")</f>
        <v/>
      </c>
      <c r="AW651" s="93">
        <f>IFERROR(ABS(AW649-AW648),"")</f>
        <v/>
      </c>
      <c r="AX651" s="93">
        <f>IFERROR(ABS(AX649-AX648),"")</f>
        <v/>
      </c>
      <c r="AY651" s="1134">
        <f>IFERROR(ABS(AY649-AY648),"")</f>
        <v/>
      </c>
      <c r="AZ651" s="93">
        <f>IFERROR(ABS(AZ649-AZ648),"")</f>
        <v/>
      </c>
      <c r="BA651" s="93">
        <f>IFERROR(ABS(BA649-BA648),"")</f>
        <v/>
      </c>
      <c r="BB651" s="93">
        <f>IFERROR(ABS(BB649-BB648),"")</f>
        <v/>
      </c>
      <c r="BC651" s="93">
        <f>IFERROR(ABS(BC649-BC648),"")</f>
        <v/>
      </c>
      <c r="BD651" s="1134">
        <f>IFERROR(ABS(BD649-BD648),"")</f>
        <v/>
      </c>
      <c r="BE651" s="93">
        <f>IFERROR(ABS(BE649-BE648),"")</f>
        <v/>
      </c>
      <c r="BF651" s="93">
        <f>IFERROR(ABS(BF649-BF648),"")</f>
        <v/>
      </c>
      <c r="BG651" s="93">
        <f>IFERROR(ABS(BG649-BG648),"")</f>
        <v/>
      </c>
      <c r="BH651" s="93">
        <f>IFERROR(ABS(BH649-BH648),"")</f>
        <v/>
      </c>
      <c r="BI651" s="1134">
        <f>IFERROR(ABS(BI649-BI648),"")</f>
        <v/>
      </c>
      <c r="BJ651" s="93">
        <f>IFERROR(ABS(BJ649-BJ648),"")</f>
        <v/>
      </c>
      <c r="BK651" s="93">
        <f>IFERROR(ABS(BK649-BK648),"")</f>
        <v/>
      </c>
      <c r="BL651" s="93">
        <f>IFERROR(ABS(BL649-BL648),"")</f>
        <v/>
      </c>
      <c r="BM651" s="93">
        <f>IFERROR(ABS(BM649-BM648),"")</f>
        <v/>
      </c>
      <c r="BN651" s="1134">
        <f>IFERROR(ABS(BN649-BN648),"")</f>
        <v/>
      </c>
      <c r="BO651" s="93">
        <f>IFERROR(ABS(BO649-BO648),"")</f>
        <v/>
      </c>
      <c r="BP651" s="93">
        <f>IFERROR(ABS(BP649-BP648),"")</f>
        <v/>
      </c>
      <c r="BQ651" s="93">
        <f>IFERROR(ABS(BQ649-BQ648),"")</f>
        <v/>
      </c>
      <c r="BR651" s="93">
        <f>IFERROR(ABS(BR649-BR648),"")</f>
        <v/>
      </c>
      <c r="BS651" s="1134">
        <f>IFERROR(ABS(BS649-BS648),"")</f>
        <v/>
      </c>
      <c r="BT651" s="93">
        <f>IFERROR(ABS(BT649-BT648),"")</f>
        <v/>
      </c>
      <c r="BU651" s="93">
        <f>IFERROR(ABS(BU649-BU648),"")</f>
        <v/>
      </c>
      <c r="BV651" s="522">
        <f>IFERROR(ABS(BV649-BV648),"")</f>
        <v/>
      </c>
      <c r="BW651" s="93" t="n"/>
      <c r="BX651" s="1134" t="n"/>
      <c r="BY651" s="93" t="n"/>
      <c r="BZ651" s="93" t="n"/>
      <c r="CA651" s="93" t="n"/>
      <c r="CB651" s="93" t="n"/>
      <c r="CC651" s="1134" t="n"/>
      <c r="CD651" s="1134" t="n"/>
      <c r="CE651" s="1134" t="n"/>
      <c r="CF651" s="1134" t="n"/>
      <c r="CG651" s="93" t="n"/>
    </row>
    <row r="652" hidden="1" outlineLevel="2" ht="15" customHeight="1">
      <c r="A652" s="647" t="inlineStr">
        <is>
          <t>Forward quarterly non-GAAP gross profit guidance variance (+/-), %</t>
        </is>
      </c>
      <c r="B652" s="428" t="n"/>
      <c r="C652" s="1126" t="n"/>
      <c r="D652" s="1126" t="n"/>
      <c r="E652" s="1126" t="n"/>
      <c r="F652" s="1126" t="n"/>
      <c r="G652" s="315" t="n"/>
      <c r="H652" s="315" t="n"/>
      <c r="I652" s="315" t="n"/>
      <c r="J652" s="315" t="n"/>
      <c r="K652" s="1126" t="n"/>
      <c r="L652" s="315" t="n"/>
      <c r="M652" s="315" t="n"/>
      <c r="N652" s="315" t="n"/>
      <c r="O652" s="315" t="n"/>
      <c r="P652" s="1126" t="n"/>
      <c r="Q652" s="315" t="n"/>
      <c r="R652" s="315" t="n"/>
      <c r="S652" s="315" t="n"/>
      <c r="T652" s="315" t="n"/>
      <c r="U652" s="1126" t="n"/>
      <c r="V652" s="315" t="n"/>
      <c r="W652" s="315" t="n"/>
      <c r="X652" s="315" t="n"/>
      <c r="Y652" s="315" t="n"/>
      <c r="Z652" s="1126" t="n"/>
      <c r="AA652" s="315" t="n"/>
      <c r="AB652" s="315" t="n"/>
      <c r="AC652" s="315" t="n"/>
      <c r="AD652" s="315" t="n"/>
      <c r="AE652" s="1126" t="n"/>
      <c r="AF652" s="315" t="n"/>
      <c r="AG652" s="315" t="n"/>
      <c r="AH652" s="315">
        <f>IFERROR(ABS((AH649-AH650)/AH650),"")</f>
        <v/>
      </c>
      <c r="AI652" s="315">
        <f>IFERROR(ABS((AI649-AI650)/AI650),"")</f>
        <v/>
      </c>
      <c r="AJ652" s="1126">
        <f>IFERROR(ABS((AJ649-AJ650)/AJ650),"")</f>
        <v/>
      </c>
      <c r="AK652" s="315">
        <f>IFERROR(ABS((AK649-AK650)/AK650),"")</f>
        <v/>
      </c>
      <c r="AL652" s="315">
        <f>IFERROR(ABS((AL649-AL650)/AL650),"")</f>
        <v/>
      </c>
      <c r="AM652" s="315">
        <f>IFERROR(ABS((AM649-AM650)/AM650),"")</f>
        <v/>
      </c>
      <c r="AN652" s="315">
        <f>IFERROR(ABS((AN649-AN650)/AN650),"")</f>
        <v/>
      </c>
      <c r="AO652" s="1126">
        <f>IFERROR(ABS((AO649-AO650)/AO650),"")</f>
        <v/>
      </c>
      <c r="AP652" s="315">
        <f>IFERROR(ABS((AP649-AP650)/AP650),"")</f>
        <v/>
      </c>
      <c r="AQ652" s="315">
        <f>IFERROR(ABS((AQ649-AQ650)/AQ650),"")</f>
        <v/>
      </c>
      <c r="AR652" s="315">
        <f>IFERROR(ABS((AR649-AR650)/AR650),"")</f>
        <v/>
      </c>
      <c r="AS652" s="315">
        <f>IFERROR(ABS((AS649-AS650)/AS650),"")</f>
        <v/>
      </c>
      <c r="AT652" s="1126">
        <f>IFERROR(ABS((AT649-AT650)/AT650),"")</f>
        <v/>
      </c>
      <c r="AU652" s="315">
        <f>IFERROR(ABS((AU649-AU650)/AU650),"")</f>
        <v/>
      </c>
      <c r="AV652" s="315">
        <f>IFERROR(ABS((AV649-AV650)/AV650),"")</f>
        <v/>
      </c>
      <c r="AW652" s="315">
        <f>IFERROR(ABS((AW649-AW650)/AW650),"")</f>
        <v/>
      </c>
      <c r="AX652" s="315">
        <f>IFERROR(ABS((AX649-AX650)/AX650),"")</f>
        <v/>
      </c>
      <c r="AY652" s="1126">
        <f>IFERROR(ABS((AY649-AY650)/AY650),"")</f>
        <v/>
      </c>
      <c r="AZ652" s="315">
        <f>IFERROR(ABS((AZ649-AZ650)/AZ650),"")</f>
        <v/>
      </c>
      <c r="BA652" s="315">
        <f>IFERROR(ABS((BA649-BA650)/BA650),"")</f>
        <v/>
      </c>
      <c r="BB652" s="315">
        <f>IFERROR(ABS((BB649-BB650)/BB650),"")</f>
        <v/>
      </c>
      <c r="BC652" s="315">
        <f>IFERROR(ABS((BC649-BC650)/BC650),"")</f>
        <v/>
      </c>
      <c r="BD652" s="1126">
        <f>IFERROR(ABS((BD649-BD650)/BD650),"")</f>
        <v/>
      </c>
      <c r="BE652" s="315">
        <f>IFERROR(ABS((BE649-BE650)/BE650),"")</f>
        <v/>
      </c>
      <c r="BF652" s="315">
        <f>IFERROR(ABS((BF649-BF650)/BF650),"")</f>
        <v/>
      </c>
      <c r="BG652" s="315">
        <f>IFERROR(ABS((BG649-BG650)/BG650),"")</f>
        <v/>
      </c>
      <c r="BH652" s="315">
        <f>IFERROR(ABS((BH649-BH650)/BH650),"")</f>
        <v/>
      </c>
      <c r="BI652" s="1126">
        <f>IFERROR(ABS((BI649-BI650)/BI650),"")</f>
        <v/>
      </c>
      <c r="BJ652" s="315">
        <f>IFERROR(ABS((BJ649-BJ650)/BJ650),"")</f>
        <v/>
      </c>
      <c r="BK652" s="315">
        <f>IFERROR(ABS((BK649-BK650)/BK650),"")</f>
        <v/>
      </c>
      <c r="BL652" s="315">
        <f>IFERROR(ABS((BL649-BL650)/BL650),"")</f>
        <v/>
      </c>
      <c r="BM652" s="315">
        <f>IFERROR(ABS((BM649-BM650)/BM650),"")</f>
        <v/>
      </c>
      <c r="BN652" s="1126">
        <f>IFERROR(ABS((BN649-BN650)/BN650),"")</f>
        <v/>
      </c>
      <c r="BO652" s="315">
        <f>IFERROR(ABS((BO649-BO650)/BO650),"")</f>
        <v/>
      </c>
      <c r="BP652" s="315">
        <f>IFERROR(ABS((BP649-BP650)/BP650),"")</f>
        <v/>
      </c>
      <c r="BQ652" s="315">
        <f>IFERROR(ABS((BQ649-BQ650)/BQ650),"")</f>
        <v/>
      </c>
      <c r="BR652" s="315">
        <f>IFERROR(ABS((BR649-BR650)/BR650),"")</f>
        <v/>
      </c>
      <c r="BS652" s="1126">
        <f>IFERROR(ABS((BS649-BS650)/BS650),"")</f>
        <v/>
      </c>
      <c r="BT652" s="315">
        <f>IFERROR(ABS((BT649-BT650)/BT650),"")</f>
        <v/>
      </c>
      <c r="BU652" s="315">
        <f>IFERROR(ABS((BU649-BU650)/BU650),"")</f>
        <v/>
      </c>
      <c r="BV652" s="885">
        <f>IFERROR(ABS((BV649-BV650)/BV650),"")</f>
        <v/>
      </c>
      <c r="BW652" s="315" t="n"/>
      <c r="BX652" s="1126" t="n"/>
      <c r="BY652" s="315" t="n"/>
      <c r="BZ652" s="315" t="n"/>
      <c r="CA652" s="315" t="n"/>
      <c r="CB652" s="315" t="n"/>
      <c r="CC652" s="1126" t="n"/>
      <c r="CD652" s="1126" t="n"/>
      <c r="CE652" s="1126" t="n"/>
      <c r="CF652" s="1126" t="n"/>
      <c r="CG652" s="93" t="n"/>
    </row>
    <row r="653" hidden="1" outlineLevel="3" ht="15" customHeight="1">
      <c r="A653" s="648" t="inlineStr">
        <is>
          <t>Forward quarterly guided Q/Q non-GAAP gross profit growth - low, %</t>
        </is>
      </c>
      <c r="B653" s="112" t="n"/>
      <c r="C653" s="1113" t="n"/>
      <c r="D653" s="1113" t="n"/>
      <c r="E653" s="1113" t="n"/>
      <c r="F653" s="1113" t="n"/>
      <c r="G653" s="90" t="n"/>
      <c r="H653" s="90" t="n"/>
      <c r="I653" s="90" t="n"/>
      <c r="J653" s="90" t="n"/>
      <c r="K653" s="1113" t="n"/>
      <c r="L653" s="90" t="n"/>
      <c r="M653" s="90" t="n"/>
      <c r="N653" s="90" t="n"/>
      <c r="O653" s="90" t="n"/>
      <c r="P653" s="1113" t="n"/>
      <c r="Q653" s="90" t="n"/>
      <c r="R653" s="90" t="n"/>
      <c r="S653" s="90" t="n"/>
      <c r="T653" s="90" t="n"/>
      <c r="U653" s="1113" t="n"/>
      <c r="V653" s="90" t="n"/>
      <c r="W653" s="90" t="n"/>
      <c r="X653" s="90" t="n"/>
      <c r="Y653" s="90" t="n"/>
      <c r="Z653" s="1113" t="n"/>
      <c r="AA653" s="90" t="n"/>
      <c r="AB653" s="90" t="n"/>
      <c r="AC653" s="90" t="n"/>
      <c r="AD653" s="90" t="n"/>
      <c r="AE653" s="1113" t="n"/>
      <c r="AF653" s="90" t="n"/>
      <c r="AG653" s="90" t="n"/>
      <c r="AH653" s="90">
        <f>AH648/AH627-1</f>
        <v/>
      </c>
      <c r="AI653" s="90">
        <f>AI648/AI627-1</f>
        <v/>
      </c>
      <c r="AJ653" s="1113">
        <f>AJ648/AI627-1</f>
        <v/>
      </c>
      <c r="AK653" s="90">
        <f>AK648/AK627-1</f>
        <v/>
      </c>
      <c r="AL653" s="90">
        <f>AL648/AL627-1</f>
        <v/>
      </c>
      <c r="AM653" s="90">
        <f>AM648/AM627-1</f>
        <v/>
      </c>
      <c r="AN653" s="90">
        <f>AN648/AN627-1</f>
        <v/>
      </c>
      <c r="AO653" s="1113">
        <f>AO648/AN627-1</f>
        <v/>
      </c>
      <c r="AP653" s="90">
        <f>AP648/AP627-1</f>
        <v/>
      </c>
      <c r="AQ653" s="90">
        <f>AQ648/AQ627-1</f>
        <v/>
      </c>
      <c r="AR653" s="90">
        <f>AR648/AR627-1</f>
        <v/>
      </c>
      <c r="AS653" s="90">
        <f>AS648/AS627-1</f>
        <v/>
      </c>
      <c r="AT653" s="1113">
        <f>AT648/AS627-1</f>
        <v/>
      </c>
      <c r="AU653" s="90">
        <f>AU648/AU627-1</f>
        <v/>
      </c>
      <c r="AV653" s="90">
        <f>AV648/AV627-1</f>
        <v/>
      </c>
      <c r="AW653" s="90">
        <f>AW648/AW627-1</f>
        <v/>
      </c>
      <c r="AX653" s="90">
        <f>AX648/AX627-1</f>
        <v/>
      </c>
      <c r="AY653" s="1113">
        <f>AY648/AX627-1</f>
        <v/>
      </c>
      <c r="AZ653" s="90">
        <f>AZ648/AZ627-1</f>
        <v/>
      </c>
      <c r="BA653" s="90">
        <f>BA648/BA627-1</f>
        <v/>
      </c>
      <c r="BB653" s="90">
        <f>BB648/BB627-1</f>
        <v/>
      </c>
      <c r="BC653" s="90">
        <f>BC648/BC627-1</f>
        <v/>
      </c>
      <c r="BD653" s="1113">
        <f>BD648/BC627-1</f>
        <v/>
      </c>
      <c r="BE653" s="90">
        <f>BE648/BE627-1</f>
        <v/>
      </c>
      <c r="BF653" s="90">
        <f>BF648/BF627-1</f>
        <v/>
      </c>
      <c r="BG653" s="90">
        <f>BG648/BG627-1</f>
        <v/>
      </c>
      <c r="BH653" s="90">
        <f>BH648/BH627-1</f>
        <v/>
      </c>
      <c r="BI653" s="1113">
        <f>BI648/BH627-1</f>
        <v/>
      </c>
      <c r="BJ653" s="90">
        <f>BJ648/BJ627-1</f>
        <v/>
      </c>
      <c r="BK653" s="90">
        <f>BK648/BK627-1</f>
        <v/>
      </c>
      <c r="BL653" s="90">
        <f>BL648/BL627-1</f>
        <v/>
      </c>
      <c r="BM653" s="90">
        <f>BM648/BM627-1</f>
        <v/>
      </c>
      <c r="BN653" s="1113">
        <f>BN648/BM627-1</f>
        <v/>
      </c>
      <c r="BO653" s="90">
        <f>BO648/BO627-1</f>
        <v/>
      </c>
      <c r="BP653" s="90">
        <f>BP648/BP627-1</f>
        <v/>
      </c>
      <c r="BQ653" s="90">
        <f>BQ648/BQ627-1</f>
        <v/>
      </c>
      <c r="BR653" s="90">
        <f>BR648/BR627-1</f>
        <v/>
      </c>
      <c r="BS653" s="1113">
        <f>BS648/BR627-1</f>
        <v/>
      </c>
      <c r="BT653" s="90">
        <f>BT648/BT627-1</f>
        <v/>
      </c>
      <c r="BU653" s="90">
        <f>BU648/BU627-1</f>
        <v/>
      </c>
      <c r="BV653" s="880">
        <f>BV648/BV627-1</f>
        <v/>
      </c>
      <c r="BW653" s="90" t="n"/>
      <c r="BX653" s="1113" t="n"/>
      <c r="BY653" s="90" t="n"/>
      <c r="BZ653" s="90" t="n"/>
      <c r="CA653" s="90" t="n"/>
      <c r="CB653" s="90" t="n"/>
      <c r="CC653" s="1113" t="n"/>
      <c r="CD653" s="1113" t="n"/>
      <c r="CE653" s="1113" t="n"/>
      <c r="CF653" s="1113" t="n"/>
      <c r="CG653" s="93" t="n"/>
    </row>
    <row r="654" hidden="1" outlineLevel="3" ht="15" customHeight="1">
      <c r="A654" s="810" t="inlineStr">
        <is>
          <t>Forward quarterly guided Q/Q non-GAAP gross profit growth - high, %</t>
        </is>
      </c>
      <c r="B654" s="804" t="n"/>
      <c r="C654" s="1194" t="n"/>
      <c r="D654" s="1194" t="n"/>
      <c r="E654" s="1194" t="n"/>
      <c r="F654" s="1194" t="n"/>
      <c r="G654" s="805" t="n"/>
      <c r="H654" s="805" t="n"/>
      <c r="I654" s="805" t="n"/>
      <c r="J654" s="805" t="n"/>
      <c r="K654" s="1194" t="n"/>
      <c r="L654" s="805" t="n"/>
      <c r="M654" s="805" t="n"/>
      <c r="N654" s="805" t="n"/>
      <c r="O654" s="805" t="n"/>
      <c r="P654" s="1194" t="n"/>
      <c r="Q654" s="805" t="n"/>
      <c r="R654" s="805" t="n"/>
      <c r="S654" s="805" t="n"/>
      <c r="T654" s="805" t="n"/>
      <c r="U654" s="1194" t="n"/>
      <c r="V654" s="805" t="n"/>
      <c r="W654" s="805" t="n"/>
      <c r="X654" s="805" t="n"/>
      <c r="Y654" s="805" t="n"/>
      <c r="Z654" s="1194" t="n"/>
      <c r="AA654" s="805" t="n"/>
      <c r="AB654" s="805" t="n"/>
      <c r="AC654" s="805" t="n"/>
      <c r="AD654" s="805" t="n"/>
      <c r="AE654" s="1194" t="n"/>
      <c r="AF654" s="805" t="n"/>
      <c r="AG654" s="805" t="n"/>
      <c r="AH654" s="805">
        <f>AH649/AH627-1</f>
        <v/>
      </c>
      <c r="AI654" s="805">
        <f>AI649/AI627-1</f>
        <v/>
      </c>
      <c r="AJ654" s="1194">
        <f>AJ649/AI627-1</f>
        <v/>
      </c>
      <c r="AK654" s="805">
        <f>AK649/AK627-1</f>
        <v/>
      </c>
      <c r="AL654" s="805">
        <f>AL649/AL627-1</f>
        <v/>
      </c>
      <c r="AM654" s="805">
        <f>AM649/AM627-1</f>
        <v/>
      </c>
      <c r="AN654" s="805">
        <f>AN649/AN627-1</f>
        <v/>
      </c>
      <c r="AO654" s="1194">
        <f>AO649/AN627-1</f>
        <v/>
      </c>
      <c r="AP654" s="805">
        <f>AP649/AP627-1</f>
        <v/>
      </c>
      <c r="AQ654" s="805">
        <f>AQ649/AQ627-1</f>
        <v/>
      </c>
      <c r="AR654" s="805">
        <f>AR649/AR627-1</f>
        <v/>
      </c>
      <c r="AS654" s="805">
        <f>AS649/AS627-1</f>
        <v/>
      </c>
      <c r="AT654" s="1194">
        <f>AT649/AS627-1</f>
        <v/>
      </c>
      <c r="AU654" s="805">
        <f>AU649/AU627-1</f>
        <v/>
      </c>
      <c r="AV654" s="805">
        <f>AV649/AV627-1</f>
        <v/>
      </c>
      <c r="AW654" s="805">
        <f>AW649/AW627-1</f>
        <v/>
      </c>
      <c r="AX654" s="805">
        <f>AX649/AX627-1</f>
        <v/>
      </c>
      <c r="AY654" s="1194">
        <f>AY649/AX627-1</f>
        <v/>
      </c>
      <c r="AZ654" s="805">
        <f>AZ649/AZ627-1</f>
        <v/>
      </c>
      <c r="BA654" s="805">
        <f>BA649/BA627-1</f>
        <v/>
      </c>
      <c r="BB654" s="805">
        <f>BB649/BB627-1</f>
        <v/>
      </c>
      <c r="BC654" s="805">
        <f>BC649/BC627-1</f>
        <v/>
      </c>
      <c r="BD654" s="1194">
        <f>BD649/BC627-1</f>
        <v/>
      </c>
      <c r="BE654" s="805">
        <f>BE649/BE627-1</f>
        <v/>
      </c>
      <c r="BF654" s="805">
        <f>BF649/BF627-1</f>
        <v/>
      </c>
      <c r="BG654" s="805">
        <f>BG649/BG627-1</f>
        <v/>
      </c>
      <c r="BH654" s="805">
        <f>BH649/BH627-1</f>
        <v/>
      </c>
      <c r="BI654" s="1194">
        <f>BI649/BH627-1</f>
        <v/>
      </c>
      <c r="BJ654" s="805">
        <f>BJ649/BJ627-1</f>
        <v/>
      </c>
      <c r="BK654" s="805">
        <f>BK649/BK627-1</f>
        <v/>
      </c>
      <c r="BL654" s="805">
        <f>BL649/BL627-1</f>
        <v/>
      </c>
      <c r="BM654" s="805">
        <f>BM649/BM627-1</f>
        <v/>
      </c>
      <c r="BN654" s="1194">
        <f>BN649/BM627-1</f>
        <v/>
      </c>
      <c r="BO654" s="805">
        <f>BO649/BO627-1</f>
        <v/>
      </c>
      <c r="BP654" s="805">
        <f>BP649/BP627-1</f>
        <v/>
      </c>
      <c r="BQ654" s="805">
        <f>BQ649/BQ627-1</f>
        <v/>
      </c>
      <c r="BR654" s="805">
        <f>BR649/BR627-1</f>
        <v/>
      </c>
      <c r="BS654" s="1194">
        <f>BS649/BR627-1</f>
        <v/>
      </c>
      <c r="BT654" s="805">
        <f>BT649/BT627-1</f>
        <v/>
      </c>
      <c r="BU654" s="805">
        <f>BU649/BU627-1</f>
        <v/>
      </c>
      <c r="BV654" s="910">
        <f>BV649/BV627-1</f>
        <v/>
      </c>
      <c r="BW654" s="805" t="n"/>
      <c r="BX654" s="1194" t="n"/>
      <c r="BY654" s="805" t="n"/>
      <c r="BZ654" s="805" t="n"/>
      <c r="CA654" s="805" t="n"/>
      <c r="CB654" s="805" t="n"/>
      <c r="CC654" s="1194" t="n"/>
      <c r="CD654" s="1194" t="n"/>
      <c r="CE654" s="1194" t="n"/>
      <c r="CF654" s="1194" t="n"/>
      <c r="CG654" s="93" t="n"/>
    </row>
    <row r="655" hidden="1" outlineLevel="2" collapsed="1" ht="15" customHeight="1">
      <c r="A655" s="371" t="inlineStr">
        <is>
          <t>Forward quarterly guided Q/Q non-GAAP gross profit growth - midpoint, %</t>
        </is>
      </c>
      <c r="B655" s="112" t="n"/>
      <c r="C655" s="1113" t="n"/>
      <c r="D655" s="1113" t="n"/>
      <c r="E655" s="1113" t="n"/>
      <c r="F655" s="1113" t="n"/>
      <c r="G655" s="90" t="n"/>
      <c r="H655" s="90" t="n"/>
      <c r="I655" s="90" t="n"/>
      <c r="J655" s="90" t="n"/>
      <c r="K655" s="1113" t="n"/>
      <c r="L655" s="90" t="n"/>
      <c r="M655" s="90" t="n"/>
      <c r="N655" s="90" t="n"/>
      <c r="O655" s="90" t="n"/>
      <c r="P655" s="1113" t="n"/>
      <c r="Q655" s="90" t="n"/>
      <c r="R655" s="90" t="n"/>
      <c r="S655" s="90" t="n"/>
      <c r="T655" s="90" t="n"/>
      <c r="U655" s="1113" t="n"/>
      <c r="V655" s="90" t="n"/>
      <c r="W655" s="90" t="n"/>
      <c r="X655" s="90" t="n"/>
      <c r="Y655" s="90" t="n"/>
      <c r="Z655" s="1113" t="n"/>
      <c r="AA655" s="90" t="n"/>
      <c r="AB655" s="90" t="n"/>
      <c r="AC655" s="90" t="n"/>
      <c r="AD655" s="90" t="n"/>
      <c r="AE655" s="1113" t="n"/>
      <c r="AF655" s="90" t="n"/>
      <c r="AG655" s="90" t="n"/>
      <c r="AH655" s="90">
        <f>AH650/AH627-1</f>
        <v/>
      </c>
      <c r="AI655" s="90">
        <f>AI650/AI627-1</f>
        <v/>
      </c>
      <c r="AJ655" s="1113">
        <f>AJ650/AI627-1</f>
        <v/>
      </c>
      <c r="AK655" s="90">
        <f>AK650/AK627-1</f>
        <v/>
      </c>
      <c r="AL655" s="90">
        <f>AL650/AL627-1</f>
        <v/>
      </c>
      <c r="AM655" s="90">
        <f>AM650/AM627-1</f>
        <v/>
      </c>
      <c r="AN655" s="90">
        <f>AN650/AN627-1</f>
        <v/>
      </c>
      <c r="AO655" s="1113">
        <f>AO650/AN627-1</f>
        <v/>
      </c>
      <c r="AP655" s="90">
        <f>AP650/AP627-1</f>
        <v/>
      </c>
      <c r="AQ655" s="90">
        <f>AQ650/AQ627-1</f>
        <v/>
      </c>
      <c r="AR655" s="90">
        <f>AR650/AR627-1</f>
        <v/>
      </c>
      <c r="AS655" s="90">
        <f>AS650/AS627-1</f>
        <v/>
      </c>
      <c r="AT655" s="1113">
        <f>AT650/AS627-1</f>
        <v/>
      </c>
      <c r="AU655" s="90">
        <f>AU650/AU627-1</f>
        <v/>
      </c>
      <c r="AV655" s="90">
        <f>AV650/AV627-1</f>
        <v/>
      </c>
      <c r="AW655" s="90">
        <f>AW650/AW627-1</f>
        <v/>
      </c>
      <c r="AX655" s="90">
        <f>AX650/AX627-1</f>
        <v/>
      </c>
      <c r="AY655" s="1113">
        <f>AY650/AX627-1</f>
        <v/>
      </c>
      <c r="AZ655" s="90">
        <f>AZ650/AZ627-1</f>
        <v/>
      </c>
      <c r="BA655" s="90">
        <f>BA650/BA627-1</f>
        <v/>
      </c>
      <c r="BB655" s="90">
        <f>BB650/BB627-1</f>
        <v/>
      </c>
      <c r="BC655" s="90">
        <f>BC650/BC627-1</f>
        <v/>
      </c>
      <c r="BD655" s="1113">
        <f>BD650/BC627-1</f>
        <v/>
      </c>
      <c r="BE655" s="90">
        <f>BE650/BE627-1</f>
        <v/>
      </c>
      <c r="BF655" s="90">
        <f>BF650/BF627-1</f>
        <v/>
      </c>
      <c r="BG655" s="90">
        <f>BG650/BG627-1</f>
        <v/>
      </c>
      <c r="BH655" s="90">
        <f>BH650/BH627-1</f>
        <v/>
      </c>
      <c r="BI655" s="1113">
        <f>BI650/BH627-1</f>
        <v/>
      </c>
      <c r="BJ655" s="90">
        <f>BJ650/BJ627-1</f>
        <v/>
      </c>
      <c r="BK655" s="90">
        <f>BK650/BK627-1</f>
        <v/>
      </c>
      <c r="BL655" s="90">
        <f>BL650/BL627-1</f>
        <v/>
      </c>
      <c r="BM655" s="90">
        <f>BM650/BM627-1</f>
        <v/>
      </c>
      <c r="BN655" s="1113">
        <f>BN650/BM627-1</f>
        <v/>
      </c>
      <c r="BO655" s="90">
        <f>BO650/BO627-1</f>
        <v/>
      </c>
      <c r="BP655" s="90">
        <f>BP650/BP627-1</f>
        <v/>
      </c>
      <c r="BQ655" s="90">
        <f>BQ650/BQ627-1</f>
        <v/>
      </c>
      <c r="BR655" s="90">
        <f>BR650/BR627-1</f>
        <v/>
      </c>
      <c r="BS655" s="1113">
        <f>BS650/BR627-1</f>
        <v/>
      </c>
      <c r="BT655" s="90">
        <f>BT650/BT627-1</f>
        <v/>
      </c>
      <c r="BU655" s="90">
        <f>BU650/BU627-1</f>
        <v/>
      </c>
      <c r="BV655" s="880">
        <f>BV650/BV627-1</f>
        <v/>
      </c>
      <c r="BW655" s="90" t="n"/>
      <c r="BX655" s="1113" t="n"/>
      <c r="BY655" s="90" t="n"/>
      <c r="BZ655" s="90" t="n"/>
      <c r="CA655" s="90" t="n"/>
      <c r="CB655" s="90" t="n"/>
      <c r="CC655" s="1113" t="n"/>
      <c r="CD655" s="1113" t="n"/>
      <c r="CE655" s="1113" t="n"/>
      <c r="CF655" s="1113" t="n"/>
      <c r="CG655" s="93" t="n"/>
    </row>
    <row r="656" hidden="1" outlineLevel="3" ht="15" customHeight="1">
      <c r="A656" s="648" t="inlineStr">
        <is>
          <t>Forward quarterly guided Y/Y non-GAAP gross profit growth - low, %</t>
        </is>
      </c>
      <c r="B656" s="112" t="n"/>
      <c r="C656" s="1113" t="n"/>
      <c r="D656" s="1113" t="n"/>
      <c r="E656" s="1113" t="n"/>
      <c r="F656" s="1113" t="n"/>
      <c r="G656" s="90" t="n"/>
      <c r="H656" s="90" t="n"/>
      <c r="I656" s="90" t="n"/>
      <c r="J656" s="90" t="n"/>
      <c r="K656" s="1113" t="n"/>
      <c r="L656" s="90" t="n"/>
      <c r="M656" s="90" t="n"/>
      <c r="N656" s="90" t="n"/>
      <c r="O656" s="90" t="n"/>
      <c r="P656" s="1113" t="n"/>
      <c r="Q656" s="90" t="n"/>
      <c r="R656" s="90" t="n"/>
      <c r="S656" s="90" t="n"/>
      <c r="T656" s="90" t="n"/>
      <c r="U656" s="1113" t="n"/>
      <c r="V656" s="90" t="n"/>
      <c r="W656" s="90" t="n"/>
      <c r="X656" s="90" t="n"/>
      <c r="Y656" s="90" t="n"/>
      <c r="Z656" s="1113" t="n"/>
      <c r="AA656" s="90" t="n"/>
      <c r="AB656" s="90" t="n"/>
      <c r="AC656" s="90" t="n"/>
      <c r="AD656" s="90" t="n"/>
      <c r="AE656" s="1113" t="n"/>
      <c r="AF656" s="90" t="n"/>
      <c r="AG656" s="90" t="n"/>
      <c r="AH656" s="90">
        <f>AH648/AD627-1</f>
        <v/>
      </c>
      <c r="AI656" s="90">
        <f>AI648/AF627-1</f>
        <v/>
      </c>
      <c r="AJ656" s="1113">
        <f>AI656</f>
        <v/>
      </c>
      <c r="AK656" s="90">
        <f>AK648/AG627-1</f>
        <v/>
      </c>
      <c r="AL656" s="90">
        <f>AL648/AH627-1</f>
        <v/>
      </c>
      <c r="AM656" s="90">
        <f>AM648/AI627-1</f>
        <v/>
      </c>
      <c r="AN656" s="90">
        <f>AN648/AK627-1</f>
        <v/>
      </c>
      <c r="AO656" s="1113">
        <f>AN656</f>
        <v/>
      </c>
      <c r="AP656" s="90">
        <f>AP648/AL627-1</f>
        <v/>
      </c>
      <c r="AQ656" s="90">
        <f>AQ648/AM627-1</f>
        <v/>
      </c>
      <c r="AR656" s="90">
        <f>AR648/AN627-1</f>
        <v/>
      </c>
      <c r="AS656" s="90">
        <f>AS648/AP627-1</f>
        <v/>
      </c>
      <c r="AT656" s="1113">
        <f>AS656</f>
        <v/>
      </c>
      <c r="AU656" s="90">
        <f>AU648/AQ627-1</f>
        <v/>
      </c>
      <c r="AV656" s="90">
        <f>AV648/AR627-1</f>
        <v/>
      </c>
      <c r="AW656" s="90">
        <f>AW648/AS627-1</f>
        <v/>
      </c>
      <c r="AX656" s="90">
        <f>AX648/AU627-1</f>
        <v/>
      </c>
      <c r="AY656" s="1113">
        <f>AX656</f>
        <v/>
      </c>
      <c r="AZ656" s="90">
        <f>AZ648/AV627-1</f>
        <v/>
      </c>
      <c r="BA656" s="90">
        <f>BA648/AW627-1</f>
        <v/>
      </c>
      <c r="BB656" s="90">
        <f>BB648/AX627-1</f>
        <v/>
      </c>
      <c r="BC656" s="90">
        <f>BC648/AZ627-1</f>
        <v/>
      </c>
      <c r="BD656" s="1113">
        <f>BC656</f>
        <v/>
      </c>
      <c r="BE656" s="90">
        <f>BE648/BA627-1</f>
        <v/>
      </c>
      <c r="BF656" s="90">
        <f>BF648/BB627-1</f>
        <v/>
      </c>
      <c r="BG656" s="90">
        <f>BG648/BC627-1</f>
        <v/>
      </c>
      <c r="BH656" s="90">
        <f>BH648/BE627-1</f>
        <v/>
      </c>
      <c r="BI656" s="1113">
        <f>BH656</f>
        <v/>
      </c>
      <c r="BJ656" s="90">
        <f>BJ648/BF627-1</f>
        <v/>
      </c>
      <c r="BK656" s="90">
        <f>BK648/BG627-1</f>
        <v/>
      </c>
      <c r="BL656" s="90">
        <f>BL648/BH627-1</f>
        <v/>
      </c>
      <c r="BM656" s="90">
        <f>BM648/BJ627-1</f>
        <v/>
      </c>
      <c r="BN656" s="1113">
        <f>BM656</f>
        <v/>
      </c>
      <c r="BO656" s="90">
        <f>BO648/BK627-1</f>
        <v/>
      </c>
      <c r="BP656" s="90">
        <f>BP648/BL627-1</f>
        <v/>
      </c>
      <c r="BQ656" s="90">
        <f>BQ648/BM627-1</f>
        <v/>
      </c>
      <c r="BR656" s="90">
        <f>BR648/BO627-1</f>
        <v/>
      </c>
      <c r="BS656" s="1113">
        <f>BR656</f>
        <v/>
      </c>
      <c r="BT656" s="90">
        <f>BT648/BP627-1</f>
        <v/>
      </c>
      <c r="BU656" s="90">
        <f>BU648/BQ627-1</f>
        <v/>
      </c>
      <c r="BV656" s="880">
        <f>BV648/BR627-1</f>
        <v/>
      </c>
      <c r="BW656" s="90" t="n"/>
      <c r="BX656" s="1113" t="n"/>
      <c r="BY656" s="90" t="n"/>
      <c r="BZ656" s="90" t="n"/>
      <c r="CA656" s="90" t="n"/>
      <c r="CB656" s="90" t="n"/>
      <c r="CC656" s="1113" t="n"/>
      <c r="CD656" s="1113" t="n"/>
      <c r="CE656" s="1113" t="n"/>
      <c r="CF656" s="1113" t="n"/>
      <c r="CG656" s="93" t="n"/>
    </row>
    <row r="657" hidden="1" outlineLevel="3" ht="15" customHeight="1">
      <c r="A657" s="810" t="inlineStr">
        <is>
          <t>Forward quarterly guided Y/Y non-GAAP gross profit growth - high, %</t>
        </is>
      </c>
      <c r="B657" s="804" t="n"/>
      <c r="C657" s="1194" t="n"/>
      <c r="D657" s="1194" t="n"/>
      <c r="E657" s="1194" t="n"/>
      <c r="F657" s="1194" t="n"/>
      <c r="G657" s="805" t="n"/>
      <c r="H657" s="805" t="n"/>
      <c r="I657" s="805" t="n"/>
      <c r="J657" s="805" t="n"/>
      <c r="K657" s="1194" t="n"/>
      <c r="L657" s="805" t="n"/>
      <c r="M657" s="805" t="n"/>
      <c r="N657" s="805" t="n"/>
      <c r="O657" s="805" t="n"/>
      <c r="P657" s="1194" t="n"/>
      <c r="Q657" s="805" t="n"/>
      <c r="R657" s="805" t="n"/>
      <c r="S657" s="805" t="n"/>
      <c r="T657" s="805" t="n"/>
      <c r="U657" s="1194" t="n"/>
      <c r="V657" s="805" t="n"/>
      <c r="W657" s="805" t="n"/>
      <c r="X657" s="805" t="n"/>
      <c r="Y657" s="805" t="n"/>
      <c r="Z657" s="1194" t="n"/>
      <c r="AA657" s="805" t="n"/>
      <c r="AB657" s="805" t="n"/>
      <c r="AC657" s="805" t="n"/>
      <c r="AD657" s="805" t="n"/>
      <c r="AE657" s="1194" t="n"/>
      <c r="AF657" s="805" t="n"/>
      <c r="AG657" s="805" t="n"/>
      <c r="AH657" s="805">
        <f>AH649/AD627-1</f>
        <v/>
      </c>
      <c r="AI657" s="805">
        <f>AI649/AF627-1</f>
        <v/>
      </c>
      <c r="AJ657" s="1194">
        <f>AI657</f>
        <v/>
      </c>
      <c r="AK657" s="805">
        <f>AK649/AG627-1</f>
        <v/>
      </c>
      <c r="AL657" s="805">
        <f>AL649/AH627-1</f>
        <v/>
      </c>
      <c r="AM657" s="805">
        <f>AM649/AI627-1</f>
        <v/>
      </c>
      <c r="AN657" s="805">
        <f>AN649/AK627-1</f>
        <v/>
      </c>
      <c r="AO657" s="1194">
        <f>AN657</f>
        <v/>
      </c>
      <c r="AP657" s="805">
        <f>AP649/AL627-1</f>
        <v/>
      </c>
      <c r="AQ657" s="805">
        <f>AQ649/AM627-1</f>
        <v/>
      </c>
      <c r="AR657" s="805">
        <f>AR649/AN627-1</f>
        <v/>
      </c>
      <c r="AS657" s="805">
        <f>AS649/AP627-1</f>
        <v/>
      </c>
      <c r="AT657" s="1194">
        <f>AS657</f>
        <v/>
      </c>
      <c r="AU657" s="805">
        <f>AU649/AQ627-1</f>
        <v/>
      </c>
      <c r="AV657" s="805">
        <f>AV649/AR627-1</f>
        <v/>
      </c>
      <c r="AW657" s="805">
        <f>AW649/AS627-1</f>
        <v/>
      </c>
      <c r="AX657" s="805">
        <f>AX649/AU627-1</f>
        <v/>
      </c>
      <c r="AY657" s="1194">
        <f>AX657</f>
        <v/>
      </c>
      <c r="AZ657" s="805">
        <f>AZ649/AV627-1</f>
        <v/>
      </c>
      <c r="BA657" s="805">
        <f>BA649/AW627-1</f>
        <v/>
      </c>
      <c r="BB657" s="805">
        <f>BB649/AX627-1</f>
        <v/>
      </c>
      <c r="BC657" s="805">
        <f>BC649/AZ627-1</f>
        <v/>
      </c>
      <c r="BD657" s="1194">
        <f>BC657</f>
        <v/>
      </c>
      <c r="BE657" s="805">
        <f>BE649/BA627-1</f>
        <v/>
      </c>
      <c r="BF657" s="805">
        <f>BF649/BB627-1</f>
        <v/>
      </c>
      <c r="BG657" s="805">
        <f>BG649/BC627-1</f>
        <v/>
      </c>
      <c r="BH657" s="805">
        <f>BH649/BE627-1</f>
        <v/>
      </c>
      <c r="BI657" s="1194">
        <f>BH657</f>
        <v/>
      </c>
      <c r="BJ657" s="805">
        <f>BJ649/BF627-1</f>
        <v/>
      </c>
      <c r="BK657" s="805">
        <f>BK649/BG627-1</f>
        <v/>
      </c>
      <c r="BL657" s="805">
        <f>BL649/BH627-1</f>
        <v/>
      </c>
      <c r="BM657" s="805">
        <f>BM649/BJ627-1</f>
        <v/>
      </c>
      <c r="BN657" s="1194">
        <f>BM657</f>
        <v/>
      </c>
      <c r="BO657" s="805">
        <f>BO649/BK627-1</f>
        <v/>
      </c>
      <c r="BP657" s="805">
        <f>BP649/BL627-1</f>
        <v/>
      </c>
      <c r="BQ657" s="805">
        <f>BQ649/BM627-1</f>
        <v/>
      </c>
      <c r="BR657" s="805">
        <f>BR649/BO627-1</f>
        <v/>
      </c>
      <c r="BS657" s="1194">
        <f>BR657</f>
        <v/>
      </c>
      <c r="BT657" s="805">
        <f>BT649/BP627-1</f>
        <v/>
      </c>
      <c r="BU657" s="805">
        <f>BU649/BQ627-1</f>
        <v/>
      </c>
      <c r="BV657" s="910">
        <f>BV649/BR627-1</f>
        <v/>
      </c>
      <c r="BW657" s="805" t="n"/>
      <c r="BX657" s="1194" t="n"/>
      <c r="BY657" s="805" t="n"/>
      <c r="BZ657" s="805" t="n"/>
      <c r="CA657" s="805" t="n"/>
      <c r="CB657" s="805" t="n"/>
      <c r="CC657" s="1194" t="n"/>
      <c r="CD657" s="1194" t="n"/>
      <c r="CE657" s="1194" t="n"/>
      <c r="CF657" s="1194" t="n"/>
      <c r="CG657" s="93" t="n"/>
    </row>
    <row r="658" hidden="1" outlineLevel="2" collapsed="1" ht="15" customHeight="1">
      <c r="A658" s="371" t="inlineStr">
        <is>
          <t>Forward quarterly guided Y/Y non-GAAP gross profit growth - midpoint, %</t>
        </is>
      </c>
      <c r="B658" s="112" t="n"/>
      <c r="C658" s="1113" t="n"/>
      <c r="D658" s="1113" t="n"/>
      <c r="E658" s="1113" t="n"/>
      <c r="F658" s="1113" t="n"/>
      <c r="G658" s="90" t="n"/>
      <c r="H658" s="90" t="n"/>
      <c r="I658" s="90" t="n"/>
      <c r="J658" s="90" t="n"/>
      <c r="K658" s="1113" t="n"/>
      <c r="L658" s="90" t="n"/>
      <c r="M658" s="90" t="n"/>
      <c r="N658" s="90" t="n"/>
      <c r="O658" s="90" t="n"/>
      <c r="P658" s="1113" t="n"/>
      <c r="Q658" s="90" t="n"/>
      <c r="R658" s="90" t="n"/>
      <c r="S658" s="90" t="n"/>
      <c r="T658" s="90" t="n"/>
      <c r="U658" s="1113" t="n"/>
      <c r="V658" s="90" t="n"/>
      <c r="W658" s="90" t="n"/>
      <c r="X658" s="90" t="n"/>
      <c r="Y658" s="90" t="n"/>
      <c r="Z658" s="1113" t="n"/>
      <c r="AA658" s="90" t="n"/>
      <c r="AB658" s="90" t="n"/>
      <c r="AC658" s="90" t="n"/>
      <c r="AD658" s="90" t="n"/>
      <c r="AE658" s="1113" t="n"/>
      <c r="AF658" s="90" t="n"/>
      <c r="AG658" s="90" t="n"/>
      <c r="AH658" s="90">
        <f>AH650/AD627-1</f>
        <v/>
      </c>
      <c r="AI658" s="90">
        <f>AI650/AF627-1</f>
        <v/>
      </c>
      <c r="AJ658" s="1113">
        <f>AJ650/AF627-1</f>
        <v/>
      </c>
      <c r="AK658" s="90">
        <f>AK650/AG627-1</f>
        <v/>
      </c>
      <c r="AL658" s="90">
        <f>AL650/AH627-1</f>
        <v/>
      </c>
      <c r="AM658" s="90">
        <f>AM650/AI627-1</f>
        <v/>
      </c>
      <c r="AN658" s="90">
        <f>AN650/AK627-1</f>
        <v/>
      </c>
      <c r="AO658" s="1113">
        <f>AO650/AK627-1</f>
        <v/>
      </c>
      <c r="AP658" s="90">
        <f>AP650/AL627-1</f>
        <v/>
      </c>
      <c r="AQ658" s="90">
        <f>AQ650/AM627-1</f>
        <v/>
      </c>
      <c r="AR658" s="90">
        <f>AR650/AN627-1</f>
        <v/>
      </c>
      <c r="AS658" s="90">
        <f>AS650/AP627-1</f>
        <v/>
      </c>
      <c r="AT658" s="1113">
        <f>AT650/AP627-1</f>
        <v/>
      </c>
      <c r="AU658" s="90">
        <f>AU650/AQ627-1</f>
        <v/>
      </c>
      <c r="AV658" s="90">
        <f>AV650/AR627-1</f>
        <v/>
      </c>
      <c r="AW658" s="90">
        <f>AW650/AS627-1</f>
        <v/>
      </c>
      <c r="AX658" s="90">
        <f>AX650/AU627-1</f>
        <v/>
      </c>
      <c r="AY658" s="1113">
        <f>AY650/AU627-1</f>
        <v/>
      </c>
      <c r="AZ658" s="90">
        <f>AZ650/AV627-1</f>
        <v/>
      </c>
      <c r="BA658" s="90">
        <f>BA650/AW627-1</f>
        <v/>
      </c>
      <c r="BB658" s="90">
        <f>BB650/AX627-1</f>
        <v/>
      </c>
      <c r="BC658" s="90">
        <f>BC650/AZ627-1</f>
        <v/>
      </c>
      <c r="BD658" s="1113">
        <f>BD650/AZ627-1</f>
        <v/>
      </c>
      <c r="BE658" s="90">
        <f>BE650/BA627-1</f>
        <v/>
      </c>
      <c r="BF658" s="90">
        <f>BF650/BB627-1</f>
        <v/>
      </c>
      <c r="BG658" s="90">
        <f>BG650/BC627-1</f>
        <v/>
      </c>
      <c r="BH658" s="90">
        <f>BH650/BE627-1</f>
        <v/>
      </c>
      <c r="BI658" s="1113">
        <f>BI650/BE627-1</f>
        <v/>
      </c>
      <c r="BJ658" s="90">
        <f>BJ650/BF627-1</f>
        <v/>
      </c>
      <c r="BK658" s="90">
        <f>BK650/BG627-1</f>
        <v/>
      </c>
      <c r="BL658" s="90">
        <f>BL650/BH627-1</f>
        <v/>
      </c>
      <c r="BM658" s="90">
        <f>BM650/BJ627-1</f>
        <v/>
      </c>
      <c r="BN658" s="1113">
        <f>BN650/BJ627-1</f>
        <v/>
      </c>
      <c r="BO658" s="90">
        <f>BO650/BK627-1</f>
        <v/>
      </c>
      <c r="BP658" s="90">
        <f>BP650/BL627-1</f>
        <v/>
      </c>
      <c r="BQ658" s="90">
        <f>BQ650/BM627-1</f>
        <v/>
      </c>
      <c r="BR658" s="90">
        <f>BR650/BO627-1</f>
        <v/>
      </c>
      <c r="BS658" s="1113">
        <f>BS650/BO627-1</f>
        <v/>
      </c>
      <c r="BT658" s="90">
        <f>BT650/BP627-1</f>
        <v/>
      </c>
      <c r="BU658" s="90">
        <f>BU650/BQ627-1</f>
        <v/>
      </c>
      <c r="BV658" s="880">
        <f>BV650/BR627-1</f>
        <v/>
      </c>
      <c r="BW658" s="90" t="n"/>
      <c r="BX658" s="1113" t="n"/>
      <c r="BY658" s="90" t="n"/>
      <c r="BZ658" s="90" t="n"/>
      <c r="CA658" s="90" t="n"/>
      <c r="CB658" s="90" t="n"/>
      <c r="CC658" s="1113" t="n"/>
      <c r="CD658" s="1113" t="n"/>
      <c r="CE658" s="1113" t="n"/>
      <c r="CF658" s="1113" t="n"/>
      <c r="CG658" s="93" t="n"/>
    </row>
    <row r="659" hidden="1" outlineLevel="2" ht="15" customHeight="1">
      <c r="A659" s="799" t="n"/>
      <c r="B659" s="428" t="n"/>
      <c r="C659" s="1134" t="n"/>
      <c r="D659" s="1134" t="n"/>
      <c r="E659" s="1134" t="n"/>
      <c r="F659" s="1134" t="n"/>
      <c r="G659" s="93" t="n"/>
      <c r="H659" s="93" t="n"/>
      <c r="I659" s="93" t="n"/>
      <c r="J659" s="93" t="n"/>
      <c r="K659" s="1134" t="n"/>
      <c r="L659" s="93" t="n"/>
      <c r="M659" s="93" t="n"/>
      <c r="N659" s="93" t="n"/>
      <c r="O659" s="93" t="n"/>
      <c r="P659" s="1134" t="n"/>
      <c r="Q659" s="93" t="n"/>
      <c r="R659" s="93" t="n"/>
      <c r="S659" s="93" t="n"/>
      <c r="T659" s="93" t="n"/>
      <c r="U659" s="1134" t="n"/>
      <c r="V659" s="93" t="n"/>
      <c r="W659" s="93" t="n"/>
      <c r="X659" s="93" t="n"/>
      <c r="Y659" s="93" t="n"/>
      <c r="Z659" s="1134" t="n"/>
      <c r="AA659" s="93" t="n"/>
      <c r="AB659" s="93" t="n"/>
      <c r="AC659" s="93" t="n"/>
      <c r="AD659" s="93" t="n"/>
      <c r="AE659" s="1134" t="n"/>
      <c r="AF659" s="93" t="n"/>
      <c r="AG659" s="93" t="n"/>
      <c r="AH659" s="93" t="n"/>
      <c r="AI659" s="93" t="n"/>
      <c r="AJ659" s="1134" t="n"/>
      <c r="AK659" s="93" t="n"/>
      <c r="AL659" s="93" t="n"/>
      <c r="AM659" s="93" t="n"/>
      <c r="AN659" s="93" t="n"/>
      <c r="AO659" s="1134" t="n"/>
      <c r="AP659" s="93" t="n"/>
      <c r="AQ659" s="93" t="n"/>
      <c r="AR659" s="93" t="n"/>
      <c r="AS659" s="93" t="n"/>
      <c r="AT659" s="1134" t="n"/>
      <c r="AU659" s="93" t="n"/>
      <c r="AV659" s="93" t="n"/>
      <c r="AW659" s="93" t="n"/>
      <c r="AX659" s="93" t="n"/>
      <c r="AY659" s="1134" t="n"/>
      <c r="AZ659" s="93" t="n"/>
      <c r="BA659" s="93" t="n"/>
      <c r="BB659" s="93" t="n"/>
      <c r="BC659" s="93" t="n"/>
      <c r="BD659" s="1134" t="n"/>
      <c r="BE659" s="93" t="n"/>
      <c r="BF659" s="93" t="n"/>
      <c r="BG659" s="93" t="n"/>
      <c r="BH659" s="93" t="n"/>
      <c r="BI659" s="1134" t="n"/>
      <c r="BJ659" s="93" t="n"/>
      <c r="BK659" s="93" t="n"/>
      <c r="BL659" s="93" t="n"/>
      <c r="BM659" s="93" t="n"/>
      <c r="BN659" s="1134" t="n"/>
      <c r="BO659" s="93" t="n"/>
      <c r="BP659" s="93" t="n"/>
      <c r="BQ659" s="93" t="n"/>
      <c r="BR659" s="93" t="n"/>
      <c r="BS659" s="1134" t="n"/>
      <c r="BT659" s="93" t="n"/>
      <c r="BU659" s="93" t="n"/>
      <c r="BV659" s="522" t="n"/>
      <c r="BW659" s="93" t="n"/>
      <c r="BX659" s="1134" t="n"/>
      <c r="BY659" s="93" t="n"/>
      <c r="BZ659" s="93" t="n"/>
      <c r="CA659" s="93" t="n"/>
      <c r="CB659" s="93" t="n"/>
      <c r="CC659" s="1134" t="n"/>
      <c r="CD659" s="1134" t="n"/>
      <c r="CE659" s="1134" t="n"/>
      <c r="CF659" s="1134" t="n"/>
      <c r="CG659" s="93" t="n"/>
    </row>
    <row r="660" hidden="1" outlineLevel="3" ht="15" customHeight="1">
      <c r="A660" s="647" t="inlineStr">
        <is>
          <t>Forward quarterly non-GAAP gross profit margin guidance - low, %</t>
        </is>
      </c>
      <c r="B660" s="428" t="n"/>
      <c r="C660" s="1126" t="n"/>
      <c r="D660" s="1126" t="n"/>
      <c r="E660" s="1126" t="n"/>
      <c r="F660" s="1126" t="n"/>
      <c r="G660" s="315" t="n"/>
      <c r="H660" s="315" t="n"/>
      <c r="I660" s="315" t="n"/>
      <c r="J660" s="315" t="n"/>
      <c r="K660" s="1126" t="n"/>
      <c r="L660" s="315" t="n"/>
      <c r="M660" s="315" t="n"/>
      <c r="N660" s="315" t="n"/>
      <c r="O660" s="315" t="n"/>
      <c r="P660" s="1126" t="n"/>
      <c r="Q660" s="315" t="n"/>
      <c r="R660" s="315" t="n"/>
      <c r="S660" s="315" t="n"/>
      <c r="T660" s="315" t="n"/>
      <c r="U660" s="1126" t="n"/>
      <c r="V660" s="315" t="n"/>
      <c r="W660" s="315" t="n"/>
      <c r="X660" s="315" t="n"/>
      <c r="Y660" s="315" t="n"/>
      <c r="Z660" s="1126" t="n"/>
      <c r="AA660" s="315" t="n"/>
      <c r="AB660" s="315" t="n"/>
      <c r="AC660" s="315" t="n"/>
      <c r="AD660" s="315" t="n"/>
      <c r="AE660" s="1126" t="n"/>
      <c r="AF660" s="315" t="n"/>
      <c r="AG660" s="315" t="n"/>
      <c r="AH660" s="315">
        <f>+AH1087</f>
        <v/>
      </c>
      <c r="AI660" s="315">
        <f>+AI1087</f>
        <v/>
      </c>
      <c r="AJ660" s="1126">
        <f>+AJ1087</f>
        <v/>
      </c>
      <c r="AK660" s="315">
        <f>+AK1087</f>
        <v/>
      </c>
      <c r="AL660" s="315">
        <f>+AL1087</f>
        <v/>
      </c>
      <c r="AM660" s="315">
        <f>+AM1087</f>
        <v/>
      </c>
      <c r="AN660" s="315">
        <f>+AN1087</f>
        <v/>
      </c>
      <c r="AO660" s="1126">
        <f>+AO1087</f>
        <v/>
      </c>
      <c r="AP660" s="315">
        <f>+AP1087</f>
        <v/>
      </c>
      <c r="AQ660" s="315">
        <f>+AQ1087</f>
        <v/>
      </c>
      <c r="AR660" s="315">
        <f>+AR1087</f>
        <v/>
      </c>
      <c r="AS660" s="315">
        <f>+AS1087</f>
        <v/>
      </c>
      <c r="AT660" s="1126">
        <f>+AT1087</f>
        <v/>
      </c>
      <c r="AU660" s="315">
        <f>+AU1087</f>
        <v/>
      </c>
      <c r="AV660" s="315">
        <f>+AV1087</f>
        <v/>
      </c>
      <c r="AW660" s="315">
        <f>+AW1087</f>
        <v/>
      </c>
      <c r="AX660" s="315">
        <f>+AX1087</f>
        <v/>
      </c>
      <c r="AY660" s="1126">
        <f>+AY1087</f>
        <v/>
      </c>
      <c r="AZ660" s="315">
        <f>+AZ1087</f>
        <v/>
      </c>
      <c r="BA660" s="315">
        <f>+BA1087</f>
        <v/>
      </c>
      <c r="BB660" s="315">
        <f>+BB1087</f>
        <v/>
      </c>
      <c r="BC660" s="315">
        <f>+BC1087</f>
        <v/>
      </c>
      <c r="BD660" s="1126">
        <f>+BD1087</f>
        <v/>
      </c>
      <c r="BE660" s="315">
        <f>+BE1087</f>
        <v/>
      </c>
      <c r="BF660" s="315">
        <f>+BF1087</f>
        <v/>
      </c>
      <c r="BG660" s="315">
        <f>+BG1087</f>
        <v/>
      </c>
      <c r="BH660" s="315">
        <f>+BH1087</f>
        <v/>
      </c>
      <c r="BI660" s="1126">
        <f>+BI1087</f>
        <v/>
      </c>
      <c r="BJ660" s="315">
        <f>+BJ1087</f>
        <v/>
      </c>
      <c r="BK660" s="315">
        <f>+BK1087</f>
        <v/>
      </c>
      <c r="BL660" s="315">
        <f>+BL1087</f>
        <v/>
      </c>
      <c r="BM660" s="315">
        <f>+BM1087</f>
        <v/>
      </c>
      <c r="BN660" s="1126">
        <f>+BN1087</f>
        <v/>
      </c>
      <c r="BO660" s="315">
        <f>+BO1087</f>
        <v/>
      </c>
      <c r="BP660" s="315">
        <f>+BP1087</f>
        <v/>
      </c>
      <c r="BQ660" s="315">
        <f>+BQ1087</f>
        <v/>
      </c>
      <c r="BR660" s="315">
        <f>+BR1087</f>
        <v/>
      </c>
      <c r="BS660" s="1126">
        <f>+BS1087</f>
        <v/>
      </c>
      <c r="BT660" s="315">
        <f>+BT1087</f>
        <v/>
      </c>
      <c r="BU660" s="315">
        <f>+BU1087</f>
        <v/>
      </c>
      <c r="BV660" s="885">
        <f>+BV1087</f>
        <v/>
      </c>
      <c r="BW660" s="315" t="n"/>
      <c r="BX660" s="1126" t="n"/>
      <c r="BY660" s="315" t="n"/>
      <c r="BZ660" s="315" t="n"/>
      <c r="CA660" s="315" t="n"/>
      <c r="CB660" s="315" t="n"/>
      <c r="CC660" s="1126" t="n"/>
      <c r="CD660" s="1126" t="n"/>
      <c r="CE660" s="1126" t="n"/>
      <c r="CF660" s="1126" t="n"/>
      <c r="CG660" s="93" t="n"/>
    </row>
    <row r="661" hidden="1" outlineLevel="3" ht="15" customHeight="1">
      <c r="A661" s="816" t="inlineStr">
        <is>
          <t>Forward quarterly non-GAAP gross profit margin guidance - high, %</t>
        </is>
      </c>
      <c r="B661" s="718" t="n"/>
      <c r="C661" s="1136" t="n"/>
      <c r="D661" s="1136" t="n"/>
      <c r="E661" s="1136" t="n"/>
      <c r="F661" s="1136" t="n"/>
      <c r="G661" s="699" t="n"/>
      <c r="H661" s="699" t="n"/>
      <c r="I661" s="699" t="n"/>
      <c r="J661" s="699" t="n"/>
      <c r="K661" s="1136" t="n"/>
      <c r="L661" s="699" t="n"/>
      <c r="M661" s="699" t="n"/>
      <c r="N661" s="699" t="n"/>
      <c r="O661" s="699" t="n"/>
      <c r="P661" s="1136" t="n"/>
      <c r="Q661" s="699" t="n"/>
      <c r="R661" s="699" t="n"/>
      <c r="S661" s="699" t="n"/>
      <c r="T661" s="699" t="n"/>
      <c r="U661" s="1136" t="n"/>
      <c r="V661" s="699" t="n"/>
      <c r="W661" s="699" t="n"/>
      <c r="X661" s="699" t="n"/>
      <c r="Y661" s="699" t="n"/>
      <c r="Z661" s="1136" t="n"/>
      <c r="AA661" s="699" t="n"/>
      <c r="AB661" s="699" t="n"/>
      <c r="AC661" s="699" t="n"/>
      <c r="AD661" s="699" t="n"/>
      <c r="AE661" s="1136" t="n"/>
      <c r="AF661" s="699" t="n"/>
      <c r="AG661" s="699" t="n"/>
      <c r="AH661" s="699">
        <f>+AH1088</f>
        <v/>
      </c>
      <c r="AI661" s="699">
        <f>+AI1088</f>
        <v/>
      </c>
      <c r="AJ661" s="1136">
        <f>+AJ1088</f>
        <v/>
      </c>
      <c r="AK661" s="699">
        <f>+AK1088</f>
        <v/>
      </c>
      <c r="AL661" s="699">
        <f>+AL1088</f>
        <v/>
      </c>
      <c r="AM661" s="699">
        <f>+AM1088</f>
        <v/>
      </c>
      <c r="AN661" s="699">
        <f>+AN1088</f>
        <v/>
      </c>
      <c r="AO661" s="1136">
        <f>+AO1088</f>
        <v/>
      </c>
      <c r="AP661" s="699">
        <f>+AP1088</f>
        <v/>
      </c>
      <c r="AQ661" s="699">
        <f>+AQ1088</f>
        <v/>
      </c>
      <c r="AR661" s="699">
        <f>+AR1088</f>
        <v/>
      </c>
      <c r="AS661" s="699">
        <f>+AS1088</f>
        <v/>
      </c>
      <c r="AT661" s="1136">
        <f>+AT1088</f>
        <v/>
      </c>
      <c r="AU661" s="699">
        <f>+AU1088</f>
        <v/>
      </c>
      <c r="AV661" s="699">
        <f>+AV1088</f>
        <v/>
      </c>
      <c r="AW661" s="699">
        <f>+AW1088</f>
        <v/>
      </c>
      <c r="AX661" s="699">
        <f>+AX1088</f>
        <v/>
      </c>
      <c r="AY661" s="1136">
        <f>+AY1088</f>
        <v/>
      </c>
      <c r="AZ661" s="699">
        <f>+AZ1088</f>
        <v/>
      </c>
      <c r="BA661" s="699">
        <f>+BA1088</f>
        <v/>
      </c>
      <c r="BB661" s="699">
        <f>+BB1088</f>
        <v/>
      </c>
      <c r="BC661" s="699">
        <f>+BC1088</f>
        <v/>
      </c>
      <c r="BD661" s="1136">
        <f>+BD1088</f>
        <v/>
      </c>
      <c r="BE661" s="699">
        <f>+BE1088</f>
        <v/>
      </c>
      <c r="BF661" s="699">
        <f>+BF1088</f>
        <v/>
      </c>
      <c r="BG661" s="699">
        <f>+BG1088</f>
        <v/>
      </c>
      <c r="BH661" s="699">
        <f>+BH1088</f>
        <v/>
      </c>
      <c r="BI661" s="1136">
        <f>+BI1088</f>
        <v/>
      </c>
      <c r="BJ661" s="699">
        <f>+BJ1088</f>
        <v/>
      </c>
      <c r="BK661" s="699">
        <f>+BK1088</f>
        <v/>
      </c>
      <c r="BL661" s="699">
        <f>+BL1088</f>
        <v/>
      </c>
      <c r="BM661" s="699">
        <f>+BM1088</f>
        <v/>
      </c>
      <c r="BN661" s="1136">
        <f>+BN1088</f>
        <v/>
      </c>
      <c r="BO661" s="699">
        <f>+BO1088</f>
        <v/>
      </c>
      <c r="BP661" s="699">
        <f>+BP1088</f>
        <v/>
      </c>
      <c r="BQ661" s="699">
        <f>+BQ1088</f>
        <v/>
      </c>
      <c r="BR661" s="699">
        <f>+BR1088</f>
        <v/>
      </c>
      <c r="BS661" s="1136">
        <f>+BS1088</f>
        <v/>
      </c>
      <c r="BT661" s="699">
        <f>+BT1088</f>
        <v/>
      </c>
      <c r="BU661" s="699">
        <f>+BU1088</f>
        <v/>
      </c>
      <c r="BV661" s="889">
        <f>+BV1088</f>
        <v/>
      </c>
      <c r="BW661" s="699" t="n"/>
      <c r="BX661" s="1136" t="n"/>
      <c r="BY661" s="699" t="n"/>
      <c r="BZ661" s="699" t="n"/>
      <c r="CA661" s="699" t="n"/>
      <c r="CB661" s="699" t="n"/>
      <c r="CC661" s="1136" t="n"/>
      <c r="CD661" s="1136" t="n"/>
      <c r="CE661" s="1136" t="n"/>
      <c r="CF661" s="1136" t="n"/>
      <c r="CG661" s="93" t="n"/>
    </row>
    <row r="662" hidden="1" outlineLevel="2" collapsed="1" ht="15" customHeight="1">
      <c r="A662" s="581" t="inlineStr">
        <is>
          <t>Forward quarterly non-GAAP gross profit margin guidance - midpoint, %</t>
        </is>
      </c>
      <c r="B662" s="610" t="n"/>
      <c r="C662" s="1145" t="n"/>
      <c r="D662" s="1145" t="n"/>
      <c r="E662" s="1145" t="n"/>
      <c r="F662" s="1145" t="n"/>
      <c r="G662" s="238" t="n"/>
      <c r="H662" s="238" t="n"/>
      <c r="I662" s="238" t="n"/>
      <c r="J662" s="238" t="n"/>
      <c r="K662" s="1145" t="n"/>
      <c r="L662" s="238" t="n"/>
      <c r="M662" s="238" t="n"/>
      <c r="N662" s="238" t="n"/>
      <c r="O662" s="238" t="n"/>
      <c r="P662" s="1145" t="n"/>
      <c r="Q662" s="238" t="n"/>
      <c r="R662" s="238" t="n"/>
      <c r="S662" s="238" t="n"/>
      <c r="T662" s="238" t="n"/>
      <c r="U662" s="1145" t="n"/>
      <c r="V662" s="238" t="n"/>
      <c r="W662" s="238" t="n"/>
      <c r="X662" s="238" t="n"/>
      <c r="Y662" s="238" t="n"/>
      <c r="Z662" s="1145" t="n"/>
      <c r="AA662" s="238" t="n"/>
      <c r="AB662" s="238" t="n"/>
      <c r="AC662" s="238" t="n"/>
      <c r="AD662" s="238" t="n"/>
      <c r="AE662" s="1145" t="n"/>
      <c r="AF662" s="238" t="n"/>
      <c r="AG662" s="238" t="n"/>
      <c r="AH662" s="238">
        <f>IFERROR(AVERAGE(AH661,AH660),"")</f>
        <v/>
      </c>
      <c r="AI662" s="238">
        <f>IFERROR(AVERAGE(AI661,AI660),"")</f>
        <v/>
      </c>
      <c r="AJ662" s="1145">
        <f>IFERROR(AVERAGE(AJ661,AJ660),"")</f>
        <v/>
      </c>
      <c r="AK662" s="238">
        <f>IFERROR(AVERAGE(AK661,AK660),"")</f>
        <v/>
      </c>
      <c r="AL662" s="238">
        <f>IFERROR(AVERAGE(AL661,AL660),"")</f>
        <v/>
      </c>
      <c r="AM662" s="238">
        <f>IFERROR(AVERAGE(AM661,AM660),"")</f>
        <v/>
      </c>
      <c r="AN662" s="238">
        <f>IFERROR(AVERAGE(AN661,AN660),"")</f>
        <v/>
      </c>
      <c r="AO662" s="1145">
        <f>IFERROR(AVERAGE(AO661,AO660),"")</f>
        <v/>
      </c>
      <c r="AP662" s="238">
        <f>IFERROR(AVERAGE(AP661,AP660),"")</f>
        <v/>
      </c>
      <c r="AQ662" s="238">
        <f>IFERROR(AVERAGE(AQ661,AQ660),"")</f>
        <v/>
      </c>
      <c r="AR662" s="238">
        <f>IFERROR(AVERAGE(AR661,AR660),"")</f>
        <v/>
      </c>
      <c r="AS662" s="238">
        <f>IFERROR(AVERAGE(AS661,AS660),"")</f>
        <v/>
      </c>
      <c r="AT662" s="1145">
        <f>IFERROR(AVERAGE(AT661,AT660),"")</f>
        <v/>
      </c>
      <c r="AU662" s="238">
        <f>IFERROR(AVERAGE(AU661,AU660),"")</f>
        <v/>
      </c>
      <c r="AV662" s="238">
        <f>IFERROR(AVERAGE(AV661,AV660),"")</f>
        <v/>
      </c>
      <c r="AW662" s="238">
        <f>IFERROR(AVERAGE(AW661,AW660),"")</f>
        <v/>
      </c>
      <c r="AX662" s="238">
        <f>IFERROR(AVERAGE(AX661,AX660),"")</f>
        <v/>
      </c>
      <c r="AY662" s="1145">
        <f>IFERROR(AVERAGE(AY661,AY660),"")</f>
        <v/>
      </c>
      <c r="AZ662" s="238">
        <f>IFERROR(AVERAGE(AZ661,AZ660),"")</f>
        <v/>
      </c>
      <c r="BA662" s="238">
        <f>IFERROR(AVERAGE(BA661,BA660),"")</f>
        <v/>
      </c>
      <c r="BB662" s="238">
        <f>IFERROR(AVERAGE(BB661,BB660),"")</f>
        <v/>
      </c>
      <c r="BC662" s="238">
        <f>IFERROR(AVERAGE(BC661,BC660),"")</f>
        <v/>
      </c>
      <c r="BD662" s="1145">
        <f>IFERROR(AVERAGE(BD661,BD660),"")</f>
        <v/>
      </c>
      <c r="BE662" s="238">
        <f>IFERROR(AVERAGE(BE661,BE660),"")</f>
        <v/>
      </c>
      <c r="BF662" s="238">
        <f>IFERROR(AVERAGE(BF661,BF660),"")</f>
        <v/>
      </c>
      <c r="BG662" s="238">
        <f>IFERROR(AVERAGE(BG661,BG660),"")</f>
        <v/>
      </c>
      <c r="BH662" s="238">
        <f>IFERROR(AVERAGE(BH661,BH660),"")</f>
        <v/>
      </c>
      <c r="BI662" s="1145">
        <f>IFERROR(AVERAGE(BI661,BI660),"")</f>
        <v/>
      </c>
      <c r="BJ662" s="238">
        <f>IFERROR(AVERAGE(BJ661,BJ660),"")</f>
        <v/>
      </c>
      <c r="BK662" s="238">
        <f>IFERROR(AVERAGE(BK661,BK660),"")</f>
        <v/>
      </c>
      <c r="BL662" s="238">
        <f>IFERROR(AVERAGE(BL661,BL660),"")</f>
        <v/>
      </c>
      <c r="BM662" s="238">
        <f>IFERROR(AVERAGE(BM661,BM660),"")</f>
        <v/>
      </c>
      <c r="BN662" s="1145">
        <f>IFERROR(AVERAGE(BN661,BN660),"")</f>
        <v/>
      </c>
      <c r="BO662" s="238">
        <f>IFERROR(AVERAGE(BO661,BO660),"")</f>
        <v/>
      </c>
      <c r="BP662" s="238">
        <f>IFERROR(AVERAGE(BP661,BP660),"")</f>
        <v/>
      </c>
      <c r="BQ662" s="238">
        <f>IFERROR(AVERAGE(BQ661,BQ660),"")</f>
        <v/>
      </c>
      <c r="BR662" s="238">
        <f>IFERROR(AVERAGE(BR661,BR660),"")</f>
        <v/>
      </c>
      <c r="BS662" s="1145">
        <f>IFERROR(AVERAGE(BS661,BS660),"")</f>
        <v/>
      </c>
      <c r="BT662" s="238">
        <f>IFERROR(AVERAGE(BT661,BT660),"")</f>
        <v/>
      </c>
      <c r="BU662" s="238">
        <f>IFERROR(AVERAGE(BU661,BU660),"")</f>
        <v/>
      </c>
      <c r="BV662" s="913">
        <f>IFERROR(AVERAGE(BV661,BV660),"")</f>
        <v/>
      </c>
      <c r="BW662" s="238" t="n"/>
      <c r="BX662" s="1145" t="n"/>
      <c r="BY662" s="238" t="n"/>
      <c r="BZ662" s="238" t="n"/>
      <c r="CA662" s="238" t="n"/>
      <c r="CB662" s="238" t="n"/>
      <c r="CC662" s="1145" t="n"/>
      <c r="CD662" s="1145" t="n"/>
      <c r="CE662" s="1145" t="n"/>
      <c r="CF662" s="1145" t="n"/>
      <c r="CG662" s="93" t="n"/>
    </row>
    <row r="663" hidden="1" outlineLevel="2" ht="15" customHeight="1">
      <c r="A663" s="99" t="inlineStr">
        <is>
          <t>Forward quarterly non-GAAP gross profit margin guidance variance (+/-), bps</t>
        </is>
      </c>
      <c r="B663" s="428" t="n"/>
      <c r="C663" s="1110" t="n"/>
      <c r="D663" s="1110" t="n"/>
      <c r="E663" s="1110" t="n"/>
      <c r="F663" s="1110" t="n"/>
      <c r="G663" s="68" t="n"/>
      <c r="H663" s="68" t="n"/>
      <c r="I663" s="68" t="n"/>
      <c r="J663" s="68" t="n"/>
      <c r="K663" s="1110" t="n"/>
      <c r="L663" s="68" t="n"/>
      <c r="M663" s="68" t="n"/>
      <c r="N663" s="68" t="n"/>
      <c r="O663" s="68" t="n"/>
      <c r="P663" s="1110" t="n"/>
      <c r="Q663" s="68" t="n"/>
      <c r="R663" s="68" t="n"/>
      <c r="S663" s="68" t="n"/>
      <c r="T663" s="68" t="n"/>
      <c r="U663" s="1110" t="n"/>
      <c r="V663" s="68" t="n"/>
      <c r="W663" s="68" t="n"/>
      <c r="X663" s="68" t="n"/>
      <c r="Y663" s="68" t="n"/>
      <c r="Z663" s="1110" t="n"/>
      <c r="AA663" s="68" t="n"/>
      <c r="AB663" s="68" t="n"/>
      <c r="AC663" s="68" t="n"/>
      <c r="AD663" s="68" t="n"/>
      <c r="AE663" s="1110" t="n"/>
      <c r="AF663" s="68" t="n"/>
      <c r="AG663" s="68" t="n"/>
      <c r="AH663" s="68">
        <f>IFERROR(ABS(AH661-AH662)*10000,"")</f>
        <v/>
      </c>
      <c r="AI663" s="68">
        <f>IFERROR(ABS(AI661-AI662)*10000,"")</f>
        <v/>
      </c>
      <c r="AJ663" s="1110">
        <f>IFERROR(ABS(AJ661-AJ662)*10000,"")</f>
        <v/>
      </c>
      <c r="AK663" s="68">
        <f>IFERROR(ABS(AK661-AK662)*10000,"")</f>
        <v/>
      </c>
      <c r="AL663" s="68">
        <f>IFERROR(ABS(AL661-AL662)*10000,"")</f>
        <v/>
      </c>
      <c r="AM663" s="68">
        <f>IFERROR(ABS(AM661-AM662)*10000,"")</f>
        <v/>
      </c>
      <c r="AN663" s="68">
        <f>IFERROR(ABS(AN661-AN662)*10000,"")</f>
        <v/>
      </c>
      <c r="AO663" s="1110">
        <f>IFERROR(ABS(AO661-AO662)*10000,"")</f>
        <v/>
      </c>
      <c r="AP663" s="68">
        <f>IFERROR(ABS(AP661-AP662)*10000,"")</f>
        <v/>
      </c>
      <c r="AQ663" s="68">
        <f>IFERROR(ABS(AQ661-AQ662)*10000,"")</f>
        <v/>
      </c>
      <c r="AR663" s="68">
        <f>IFERROR(ABS(AR661-AR662)*10000,"")</f>
        <v/>
      </c>
      <c r="AS663" s="68">
        <f>IFERROR(ABS(AS661-AS662)*10000,"")</f>
        <v/>
      </c>
      <c r="AT663" s="1110">
        <f>IFERROR(ABS(AT661-AT662)*10000,"")</f>
        <v/>
      </c>
      <c r="AU663" s="68">
        <f>IFERROR(ABS(AU661-AU662)*10000,"")</f>
        <v/>
      </c>
      <c r="AV663" s="68">
        <f>IFERROR(ABS(AV661-AV662)*10000,"")</f>
        <v/>
      </c>
      <c r="AW663" s="68">
        <f>IFERROR(ABS(AW661-AW662)*10000,"")</f>
        <v/>
      </c>
      <c r="AX663" s="68">
        <f>IFERROR(ABS(AX661-AX662)*10000,"")</f>
        <v/>
      </c>
      <c r="AY663" s="1110">
        <f>IFERROR(ABS(AY661-AY662)*10000,"")</f>
        <v/>
      </c>
      <c r="AZ663" s="68">
        <f>IFERROR(ABS(AZ661-AZ662)*10000,"")</f>
        <v/>
      </c>
      <c r="BA663" s="68">
        <f>IFERROR(ABS(BA661-BA662)*10000,"")</f>
        <v/>
      </c>
      <c r="BB663" s="68">
        <f>IFERROR(ABS(BB661-BB662)*10000,"")</f>
        <v/>
      </c>
      <c r="BC663" s="68">
        <f>IFERROR(ABS(BC661-BC662)*10000,"")</f>
        <v/>
      </c>
      <c r="BD663" s="1110">
        <f>IFERROR(ABS(BD661-BD662)*10000,"")</f>
        <v/>
      </c>
      <c r="BE663" s="68">
        <f>IFERROR(ABS(BE661-BE662)*10000,"")</f>
        <v/>
      </c>
      <c r="BF663" s="68">
        <f>IFERROR(ABS(BF661-BF662)*10000,"")</f>
        <v/>
      </c>
      <c r="BG663" s="68">
        <f>IFERROR(ABS(BG661-BG662)*10000,"")</f>
        <v/>
      </c>
      <c r="BH663" s="68">
        <f>IFERROR(ABS(BH661-BH662)*10000,"")</f>
        <v/>
      </c>
      <c r="BI663" s="1110">
        <f>IFERROR(ABS(BI661-BI662)*10000,"")</f>
        <v/>
      </c>
      <c r="BJ663" s="68">
        <f>IFERROR(ABS(BJ661-BJ662)*10000,"")</f>
        <v/>
      </c>
      <c r="BK663" s="68">
        <f>IFERROR(ABS(BK661-BK662)*10000,"")</f>
        <v/>
      </c>
      <c r="BL663" s="68">
        <f>IFERROR(ABS(BL661-BL662)*10000,"")</f>
        <v/>
      </c>
      <c r="BM663" s="68">
        <f>IFERROR(ABS(BM661-BM662)*10000,"")</f>
        <v/>
      </c>
      <c r="BN663" s="1110">
        <f>IFERROR(ABS(BN661-BN662)*10000,"")</f>
        <v/>
      </c>
      <c r="BO663" s="68">
        <f>IFERROR(ABS(BO661-BO662)*10000,"")</f>
        <v/>
      </c>
      <c r="BP663" s="68">
        <f>IFERROR(ABS(BP661-BP662)*10000,"")</f>
        <v/>
      </c>
      <c r="BQ663" s="68">
        <f>IFERROR(ABS(BQ661-BQ662)*10000,"")</f>
        <v/>
      </c>
      <c r="BR663" s="68">
        <f>IFERROR(ABS(BR661-BR662)*10000,"")</f>
        <v/>
      </c>
      <c r="BS663" s="1110">
        <f>IFERROR(ABS(BS661-BS662)*10000,"")</f>
        <v/>
      </c>
      <c r="BT663" s="68">
        <f>IFERROR(ABS(BT661-BT662)*10000,"")</f>
        <v/>
      </c>
      <c r="BU663" s="68">
        <f>IFERROR(ABS(BU661-BU662)*10000,"")</f>
        <v/>
      </c>
      <c r="BV663" s="588">
        <f>IFERROR(ABS(BV661-BV662)*10000,"")</f>
        <v/>
      </c>
      <c r="BW663" s="68" t="n"/>
      <c r="BX663" s="1110" t="n"/>
      <c r="BY663" s="68" t="n"/>
      <c r="BZ663" s="68" t="n"/>
      <c r="CA663" s="68" t="n"/>
      <c r="CB663" s="68" t="n"/>
      <c r="CC663" s="1110" t="n"/>
      <c r="CD663" s="1110" t="n"/>
      <c r="CE663" s="1110" t="n"/>
      <c r="CF663" s="1110" t="n"/>
      <c r="CG663" s="93" t="n"/>
    </row>
    <row r="664" hidden="1" outlineLevel="3" ht="15" customHeight="1">
      <c r="A664" s="820" t="inlineStr">
        <is>
          <t>Forward quarterly guided Q/Q non-GAAP gross profit margin improvement - low, bps</t>
        </is>
      </c>
      <c r="B664" s="112" t="n"/>
      <c r="C664" s="1117" t="n"/>
      <c r="D664" s="1117" t="n"/>
      <c r="E664" s="1117" t="n"/>
      <c r="F664" s="1117" t="n"/>
      <c r="G664" s="76" t="n"/>
      <c r="H664" s="76" t="n"/>
      <c r="I664" s="76" t="n"/>
      <c r="J664" s="76" t="n"/>
      <c r="K664" s="1117" t="n"/>
      <c r="L664" s="76" t="n"/>
      <c r="M664" s="76" t="n"/>
      <c r="N664" s="76" t="n"/>
      <c r="O664" s="76" t="n"/>
      <c r="P664" s="1117" t="n"/>
      <c r="Q664" s="76" t="n"/>
      <c r="R664" s="76" t="n"/>
      <c r="S664" s="76" t="n"/>
      <c r="T664" s="76" t="n"/>
      <c r="U664" s="1117" t="n"/>
      <c r="V664" s="76" t="n"/>
      <c r="W664" s="76" t="n"/>
      <c r="X664" s="76" t="n"/>
      <c r="Y664" s="76" t="n"/>
      <c r="Z664" s="1117" t="n"/>
      <c r="AA664" s="76" t="n"/>
      <c r="AB664" s="76" t="n"/>
      <c r="AC664" s="76" t="n"/>
      <c r="AD664" s="76" t="n"/>
      <c r="AE664" s="1117" t="n"/>
      <c r="AF664" s="76" t="n"/>
      <c r="AG664" s="76" t="n"/>
      <c r="AH664" s="76">
        <f>IFERROR((AH660-AH643)*10000,"")</f>
        <v/>
      </c>
      <c r="AI664" s="76">
        <f>IFERROR((AI660-AI643)*10000,"")</f>
        <v/>
      </c>
      <c r="AJ664" s="1117">
        <f>AI664</f>
        <v/>
      </c>
      <c r="AK664" s="76">
        <f>IFERROR((AK660-AK643)*10000,"")</f>
        <v/>
      </c>
      <c r="AL664" s="76">
        <f>IFERROR((AL660-AL643)*10000,"")</f>
        <v/>
      </c>
      <c r="AM664" s="76">
        <f>IFERROR((AM660-AM643)*10000,"")</f>
        <v/>
      </c>
      <c r="AN664" s="76">
        <f>IFERROR((AN660-AN643)*10000,"")</f>
        <v/>
      </c>
      <c r="AO664" s="1117">
        <f>AN664</f>
        <v/>
      </c>
      <c r="AP664" s="76">
        <f>IFERROR((AP660-AP643)*10000,"")</f>
        <v/>
      </c>
      <c r="AQ664" s="76">
        <f>IFERROR((AQ660-AQ643)*10000,"")</f>
        <v/>
      </c>
      <c r="AR664" s="76">
        <f>IFERROR((AR660-AR643)*10000,"")</f>
        <v/>
      </c>
      <c r="AS664" s="76">
        <f>IFERROR((AS660-AS643)*10000,"")</f>
        <v/>
      </c>
      <c r="AT664" s="1117">
        <f>AS664</f>
        <v/>
      </c>
      <c r="AU664" s="76">
        <f>IFERROR((AU660-AU643)*10000,"")</f>
        <v/>
      </c>
      <c r="AV664" s="76">
        <f>IFERROR((AV660-AV643)*10000,"")</f>
        <v/>
      </c>
      <c r="AW664" s="76">
        <f>IFERROR((AW660-AW643)*10000,"")</f>
        <v/>
      </c>
      <c r="AX664" s="76">
        <f>IFERROR((AX660-AX643)*10000,"")</f>
        <v/>
      </c>
      <c r="AY664" s="1117">
        <f>AX664</f>
        <v/>
      </c>
      <c r="AZ664" s="76">
        <f>IFERROR((AZ660-AZ643)*10000,"")</f>
        <v/>
      </c>
      <c r="BA664" s="76">
        <f>IFERROR((BA660-BA643)*10000,"")</f>
        <v/>
      </c>
      <c r="BB664" s="76">
        <f>IFERROR((BB660-BB643)*10000,"")</f>
        <v/>
      </c>
      <c r="BC664" s="76">
        <f>IFERROR((BC660-BC643)*10000,"")</f>
        <v/>
      </c>
      <c r="BD664" s="1117">
        <f>BC664</f>
        <v/>
      </c>
      <c r="BE664" s="76">
        <f>IFERROR((BE660-BE643)*10000,"")</f>
        <v/>
      </c>
      <c r="BF664" s="76">
        <f>IFERROR((BF660-BF643)*10000,"")</f>
        <v/>
      </c>
      <c r="BG664" s="76">
        <f>IFERROR((BG660-BG643)*10000,"")</f>
        <v/>
      </c>
      <c r="BH664" s="76">
        <f>IFERROR((BH660-BH643)*10000,"")</f>
        <v/>
      </c>
      <c r="BI664" s="1117">
        <f>BH664</f>
        <v/>
      </c>
      <c r="BJ664" s="76">
        <f>IFERROR((BJ660-BJ643)*10000,"")</f>
        <v/>
      </c>
      <c r="BK664" s="76">
        <f>IFERROR((BK660-BK643)*10000,"")</f>
        <v/>
      </c>
      <c r="BL664" s="76">
        <f>IFERROR((BL660-BL643)*10000,"")</f>
        <v/>
      </c>
      <c r="BM664" s="76">
        <f>IFERROR((BM660-BM643)*10000,"")</f>
        <v/>
      </c>
      <c r="BN664" s="1117">
        <f>BM664</f>
        <v/>
      </c>
      <c r="BO664" s="76">
        <f>IFERROR((BO660-BO643)*10000,"")</f>
        <v/>
      </c>
      <c r="BP664" s="76">
        <f>IFERROR((BP660-BP643)*10000,"")</f>
        <v/>
      </c>
      <c r="BQ664" s="76">
        <f>IFERROR((BQ660-BQ643)*10000,"")</f>
        <v/>
      </c>
      <c r="BR664" s="76">
        <f>IFERROR((BR660-BR643)*10000,"")</f>
        <v/>
      </c>
      <c r="BS664" s="1117">
        <f>BR664</f>
        <v/>
      </c>
      <c r="BT664" s="76">
        <f>IFERROR((BT660-BT643)*10000,"")</f>
        <v/>
      </c>
      <c r="BU664" s="76">
        <f>IFERROR((BU660-BU643)*10000,"")</f>
        <v/>
      </c>
      <c r="BV664" s="881">
        <f>IFERROR((BV660-BV643)*10000,"")</f>
        <v/>
      </c>
      <c r="BW664" s="76" t="n"/>
      <c r="BX664" s="1117" t="n"/>
      <c r="BY664" s="76" t="n"/>
      <c r="BZ664" s="76" t="n"/>
      <c r="CA664" s="76" t="n"/>
      <c r="CB664" s="76" t="n"/>
      <c r="CC664" s="1117" t="n"/>
      <c r="CD664" s="1117" t="n"/>
      <c r="CE664" s="1117" t="n"/>
      <c r="CF664" s="1117" t="n"/>
      <c r="CG664" s="93" t="n"/>
    </row>
    <row r="665" hidden="1" outlineLevel="3" ht="15" customHeight="1">
      <c r="A665" s="821" t="inlineStr">
        <is>
          <t>Forward quarterly guided Q/Q non-GAAP gross profit margin improvement - high, bps</t>
        </is>
      </c>
      <c r="B665" s="804" t="n"/>
      <c r="C665" s="1198" t="n"/>
      <c r="D665" s="1198" t="n"/>
      <c r="E665" s="1198" t="n"/>
      <c r="F665" s="1198" t="n"/>
      <c r="G665" s="822" t="n"/>
      <c r="H665" s="822" t="n"/>
      <c r="I665" s="822" t="n"/>
      <c r="J665" s="822" t="n"/>
      <c r="K665" s="1198" t="n"/>
      <c r="L665" s="822" t="n"/>
      <c r="M665" s="822" t="n"/>
      <c r="N665" s="822" t="n"/>
      <c r="O665" s="822" t="n"/>
      <c r="P665" s="1198" t="n"/>
      <c r="Q665" s="822" t="n"/>
      <c r="R665" s="822" t="n"/>
      <c r="S665" s="822" t="n"/>
      <c r="T665" s="822" t="n"/>
      <c r="U665" s="1198" t="n"/>
      <c r="V665" s="822" t="n"/>
      <c r="W665" s="822" t="n"/>
      <c r="X665" s="822" t="n"/>
      <c r="Y665" s="822" t="n"/>
      <c r="Z665" s="1198" t="n"/>
      <c r="AA665" s="822" t="n"/>
      <c r="AB665" s="822" t="n"/>
      <c r="AC665" s="822" t="n"/>
      <c r="AD665" s="822" t="n"/>
      <c r="AE665" s="1198" t="n"/>
      <c r="AF665" s="822" t="n"/>
      <c r="AG665" s="822" t="n"/>
      <c r="AH665" s="822">
        <f>IFERROR((AH661-AH643)*10000,"")</f>
        <v/>
      </c>
      <c r="AI665" s="822">
        <f>IFERROR((AI661-AI643)*10000,"")</f>
        <v/>
      </c>
      <c r="AJ665" s="1198">
        <f>AI665</f>
        <v/>
      </c>
      <c r="AK665" s="822">
        <f>IFERROR((AK661-AK643)*10000,"")</f>
        <v/>
      </c>
      <c r="AL665" s="822">
        <f>IFERROR((AL661-AL643)*10000,"")</f>
        <v/>
      </c>
      <c r="AM665" s="822">
        <f>IFERROR((AM661-AM643)*10000,"")</f>
        <v/>
      </c>
      <c r="AN665" s="822">
        <f>IFERROR((AN661-AN643)*10000,"")</f>
        <v/>
      </c>
      <c r="AO665" s="1198">
        <f>AN665</f>
        <v/>
      </c>
      <c r="AP665" s="822">
        <f>IFERROR((AP661-AP643)*10000,"")</f>
        <v/>
      </c>
      <c r="AQ665" s="822">
        <f>IFERROR((AQ661-AQ643)*10000,"")</f>
        <v/>
      </c>
      <c r="AR665" s="822">
        <f>IFERROR((AR661-AR643)*10000,"")</f>
        <v/>
      </c>
      <c r="AS665" s="822">
        <f>IFERROR((AS661-AS643)*10000,"")</f>
        <v/>
      </c>
      <c r="AT665" s="1198">
        <f>AS665</f>
        <v/>
      </c>
      <c r="AU665" s="822">
        <f>IFERROR((AU661-AU643)*10000,"")</f>
        <v/>
      </c>
      <c r="AV665" s="822">
        <f>IFERROR((AV661-AV643)*10000,"")</f>
        <v/>
      </c>
      <c r="AW665" s="822">
        <f>IFERROR((AW661-AW643)*10000,"")</f>
        <v/>
      </c>
      <c r="AX665" s="822">
        <f>IFERROR((AX661-AX643)*10000,"")</f>
        <v/>
      </c>
      <c r="AY665" s="1198">
        <f>AX665</f>
        <v/>
      </c>
      <c r="AZ665" s="822">
        <f>IFERROR((AZ661-AZ643)*10000,"")</f>
        <v/>
      </c>
      <c r="BA665" s="822">
        <f>IFERROR((BA661-BA643)*10000,"")</f>
        <v/>
      </c>
      <c r="BB665" s="822">
        <f>IFERROR((BB661-BB643)*10000,"")</f>
        <v/>
      </c>
      <c r="BC665" s="822">
        <f>IFERROR((BC661-BC643)*10000,"")</f>
        <v/>
      </c>
      <c r="BD665" s="1198">
        <f>BC665</f>
        <v/>
      </c>
      <c r="BE665" s="822">
        <f>IFERROR((BE661-BE643)*10000,"")</f>
        <v/>
      </c>
      <c r="BF665" s="822">
        <f>IFERROR((BF661-BF643)*10000,"")</f>
        <v/>
      </c>
      <c r="BG665" s="822">
        <f>IFERROR((BG661-BG643)*10000,"")</f>
        <v/>
      </c>
      <c r="BH665" s="822">
        <f>IFERROR((BH661-BH643)*10000,"")</f>
        <v/>
      </c>
      <c r="BI665" s="1198">
        <f>BH665</f>
        <v/>
      </c>
      <c r="BJ665" s="822">
        <f>IFERROR((BJ661-BJ643)*10000,"")</f>
        <v/>
      </c>
      <c r="BK665" s="822">
        <f>IFERROR((BK661-BK643)*10000,"")</f>
        <v/>
      </c>
      <c r="BL665" s="822">
        <f>IFERROR((BL661-BL643)*10000,"")</f>
        <v/>
      </c>
      <c r="BM665" s="822">
        <f>IFERROR((BM661-BM643)*10000,"")</f>
        <v/>
      </c>
      <c r="BN665" s="1198">
        <f>BM665</f>
        <v/>
      </c>
      <c r="BO665" s="822">
        <f>IFERROR((BO661-BO643)*10000,"")</f>
        <v/>
      </c>
      <c r="BP665" s="822">
        <f>IFERROR((BP661-BP643)*10000,"")</f>
        <v/>
      </c>
      <c r="BQ665" s="822">
        <f>IFERROR((BQ661-BQ643)*10000,"")</f>
        <v/>
      </c>
      <c r="BR665" s="822">
        <f>IFERROR((BR661-BR643)*10000,"")</f>
        <v/>
      </c>
      <c r="BS665" s="1198">
        <f>BR665</f>
        <v/>
      </c>
      <c r="BT665" s="822">
        <f>IFERROR((BT661-BT643)*10000,"")</f>
        <v/>
      </c>
      <c r="BU665" s="822">
        <f>IFERROR((BU661-BU643)*10000,"")</f>
        <v/>
      </c>
      <c r="BV665" s="914">
        <f>IFERROR((BV661-BV643)*10000,"")</f>
        <v/>
      </c>
      <c r="BW665" s="822" t="n"/>
      <c r="BX665" s="1198" t="n"/>
      <c r="BY665" s="822" t="n"/>
      <c r="BZ665" s="822" t="n"/>
      <c r="CA665" s="822" t="n"/>
      <c r="CB665" s="822" t="n"/>
      <c r="CC665" s="1198" t="n"/>
      <c r="CD665" s="1198" t="n"/>
      <c r="CE665" s="1198" t="n"/>
      <c r="CF665" s="1198" t="n"/>
      <c r="CG665" s="93" t="n"/>
    </row>
    <row r="666" hidden="1" outlineLevel="2" collapsed="1" ht="15" customHeight="1">
      <c r="A666" s="656" t="inlineStr">
        <is>
          <t>Forward quarterly guided Q/Q non-GAAP gross profit margin improvement - midpoint, bps</t>
        </is>
      </c>
      <c r="B666" s="112" t="n"/>
      <c r="C666" s="1117" t="n"/>
      <c r="D666" s="1117" t="n"/>
      <c r="E666" s="1117" t="n"/>
      <c r="F666" s="1117" t="n"/>
      <c r="G666" s="76" t="n"/>
      <c r="H666" s="76" t="n"/>
      <c r="I666" s="76" t="n"/>
      <c r="J666" s="76" t="n"/>
      <c r="K666" s="1117" t="n"/>
      <c r="L666" s="76" t="n"/>
      <c r="M666" s="76" t="n"/>
      <c r="N666" s="76" t="n"/>
      <c r="O666" s="76" t="n"/>
      <c r="P666" s="1117" t="n"/>
      <c r="Q666" s="76" t="n"/>
      <c r="R666" s="76" t="n"/>
      <c r="S666" s="76" t="n"/>
      <c r="T666" s="76" t="n"/>
      <c r="U666" s="1117" t="n"/>
      <c r="V666" s="76" t="n"/>
      <c r="W666" s="76" t="n"/>
      <c r="X666" s="76" t="n"/>
      <c r="Y666" s="76" t="n"/>
      <c r="Z666" s="1117" t="n"/>
      <c r="AA666" s="76" t="n"/>
      <c r="AB666" s="76" t="n"/>
      <c r="AC666" s="76" t="n"/>
      <c r="AD666" s="76" t="n"/>
      <c r="AE666" s="1117" t="n"/>
      <c r="AF666" s="76" t="n"/>
      <c r="AG666" s="76" t="n"/>
      <c r="AH666" s="76">
        <f>IFERROR((AH662-AH643)*10000,"")</f>
        <v/>
      </c>
      <c r="AI666" s="76">
        <f>IFERROR((AI662-AI643)*10000,"")</f>
        <v/>
      </c>
      <c r="AJ666" s="1117">
        <f>AI666</f>
        <v/>
      </c>
      <c r="AK666" s="76">
        <f>IFERROR((AK662-AK643)*10000,"")</f>
        <v/>
      </c>
      <c r="AL666" s="76">
        <f>IFERROR((AL662-AL643)*10000,"")</f>
        <v/>
      </c>
      <c r="AM666" s="76">
        <f>IFERROR((AM662-AM643)*10000,"")</f>
        <v/>
      </c>
      <c r="AN666" s="76">
        <f>IFERROR((AN662-AN643)*10000,"")</f>
        <v/>
      </c>
      <c r="AO666" s="1117">
        <f>AN666</f>
        <v/>
      </c>
      <c r="AP666" s="76">
        <f>IFERROR((AP662-AP643)*10000,"")</f>
        <v/>
      </c>
      <c r="AQ666" s="76">
        <f>IFERROR((AQ662-AQ643)*10000,"")</f>
        <v/>
      </c>
      <c r="AR666" s="76">
        <f>IFERROR((AR662-AR643)*10000,"")</f>
        <v/>
      </c>
      <c r="AS666" s="76">
        <f>IFERROR((AS662-AS643)*10000,"")</f>
        <v/>
      </c>
      <c r="AT666" s="1117">
        <f>AS666</f>
        <v/>
      </c>
      <c r="AU666" s="76">
        <f>IFERROR((AU662-AU643)*10000,"")</f>
        <v/>
      </c>
      <c r="AV666" s="76">
        <f>IFERROR((AV662-AV643)*10000,"")</f>
        <v/>
      </c>
      <c r="AW666" s="76">
        <f>IFERROR((AW662-AW643)*10000,"")</f>
        <v/>
      </c>
      <c r="AX666" s="76">
        <f>IFERROR((AX662-AX643)*10000,"")</f>
        <v/>
      </c>
      <c r="AY666" s="1117">
        <f>AX666</f>
        <v/>
      </c>
      <c r="AZ666" s="76">
        <f>IFERROR((AZ662-AZ643)*10000,"")</f>
        <v/>
      </c>
      <c r="BA666" s="76">
        <f>IFERROR((BA662-BA643)*10000,"")</f>
        <v/>
      </c>
      <c r="BB666" s="76">
        <f>IFERROR((BB662-BB643)*10000,"")</f>
        <v/>
      </c>
      <c r="BC666" s="76">
        <f>IFERROR((BC662-BC643)*10000,"")</f>
        <v/>
      </c>
      <c r="BD666" s="1117">
        <f>BC666</f>
        <v/>
      </c>
      <c r="BE666" s="76">
        <f>IFERROR((BE662-BE643)*10000,"")</f>
        <v/>
      </c>
      <c r="BF666" s="76">
        <f>IFERROR((BF662-BF643)*10000,"")</f>
        <v/>
      </c>
      <c r="BG666" s="76">
        <f>IFERROR((BG662-BG643)*10000,"")</f>
        <v/>
      </c>
      <c r="BH666" s="76">
        <f>IFERROR((BH662-BH643)*10000,"")</f>
        <v/>
      </c>
      <c r="BI666" s="1117">
        <f>BH666</f>
        <v/>
      </c>
      <c r="BJ666" s="76">
        <f>IFERROR((BJ662-BJ643)*10000,"")</f>
        <v/>
      </c>
      <c r="BK666" s="76">
        <f>IFERROR((BK662-BK643)*10000,"")</f>
        <v/>
      </c>
      <c r="BL666" s="76">
        <f>IFERROR((BL662-BL643)*10000,"")</f>
        <v/>
      </c>
      <c r="BM666" s="76">
        <f>IFERROR((BM662-BM643)*10000,"")</f>
        <v/>
      </c>
      <c r="BN666" s="1117">
        <f>BM666</f>
        <v/>
      </c>
      <c r="BO666" s="76">
        <f>IFERROR((BO662-BO643)*10000,"")</f>
        <v/>
      </c>
      <c r="BP666" s="76">
        <f>IFERROR((BP662-BP643)*10000,"")</f>
        <v/>
      </c>
      <c r="BQ666" s="76">
        <f>IFERROR((BQ662-BQ643)*10000,"")</f>
        <v/>
      </c>
      <c r="BR666" s="76">
        <f>IFERROR((BR662-BR643)*10000,"")</f>
        <v/>
      </c>
      <c r="BS666" s="1117">
        <f>BR666</f>
        <v/>
      </c>
      <c r="BT666" s="76">
        <f>IFERROR((BT662-BT643)*10000,"")</f>
        <v/>
      </c>
      <c r="BU666" s="76">
        <f>IFERROR((BU662-BU643)*10000,"")</f>
        <v/>
      </c>
      <c r="BV666" s="881">
        <f>IFERROR((BV662-BV643)*10000,"")</f>
        <v/>
      </c>
      <c r="BW666" s="76" t="n"/>
      <c r="BX666" s="1117" t="n"/>
      <c r="BY666" s="76" t="n"/>
      <c r="BZ666" s="76" t="n"/>
      <c r="CA666" s="76" t="n"/>
      <c r="CB666" s="76" t="n"/>
      <c r="CC666" s="1117" t="n"/>
      <c r="CD666" s="1117" t="n"/>
      <c r="CE666" s="1117" t="n"/>
      <c r="CF666" s="1117" t="n"/>
      <c r="CG666" s="93" t="n"/>
    </row>
    <row r="667" hidden="1" outlineLevel="3" ht="15" customHeight="1">
      <c r="A667" s="820" t="inlineStr">
        <is>
          <t>Forward quarterly guided Y/Y non-GAAP gross profit margin improvement - low, bps</t>
        </is>
      </c>
      <c r="B667" s="112" t="n"/>
      <c r="C667" s="1117" t="n"/>
      <c r="D667" s="1117" t="n"/>
      <c r="E667" s="1117" t="n"/>
      <c r="F667" s="1117" t="n"/>
      <c r="G667" s="76" t="n"/>
      <c r="H667" s="76" t="n"/>
      <c r="I667" s="76" t="n"/>
      <c r="J667" s="76" t="n"/>
      <c r="K667" s="1117" t="n"/>
      <c r="L667" s="76" t="n"/>
      <c r="M667" s="76" t="n"/>
      <c r="N667" s="76" t="n"/>
      <c r="O667" s="76" t="n"/>
      <c r="P667" s="1117" t="n"/>
      <c r="Q667" s="76" t="n"/>
      <c r="R667" s="76" t="n"/>
      <c r="S667" s="76" t="n"/>
      <c r="T667" s="76" t="n"/>
      <c r="U667" s="1117" t="n"/>
      <c r="V667" s="76" t="n"/>
      <c r="W667" s="76" t="n"/>
      <c r="X667" s="76" t="n"/>
      <c r="Y667" s="76" t="n"/>
      <c r="Z667" s="1117" t="n"/>
      <c r="AA667" s="76" t="n"/>
      <c r="AB667" s="76" t="n"/>
      <c r="AC667" s="76" t="n"/>
      <c r="AD667" s="76" t="n"/>
      <c r="AE667" s="1117" t="n"/>
      <c r="AF667" s="76" t="n"/>
      <c r="AG667" s="76" t="n"/>
      <c r="AH667" s="76">
        <f>IFERROR((AH660-AD643)*10000,"")</f>
        <v/>
      </c>
      <c r="AI667" s="76">
        <f>IFERROR((AI660-AF643)*10000,"")</f>
        <v/>
      </c>
      <c r="AJ667" s="1117">
        <f>AI667</f>
        <v/>
      </c>
      <c r="AK667" s="76">
        <f>IFERROR((AK660-AG643)*10000,"")</f>
        <v/>
      </c>
      <c r="AL667" s="76">
        <f>IFERROR((AL660-AH643)*10000,"")</f>
        <v/>
      </c>
      <c r="AM667" s="76">
        <f>IFERROR((AM660-AI643)*10000,"")</f>
        <v/>
      </c>
      <c r="AN667" s="76">
        <f>IFERROR((AN660-AK643)*10000,"")</f>
        <v/>
      </c>
      <c r="AO667" s="1117">
        <f>AN667</f>
        <v/>
      </c>
      <c r="AP667" s="76">
        <f>IFERROR((AP660-AL643)*10000,"")</f>
        <v/>
      </c>
      <c r="AQ667" s="76">
        <f>IFERROR((AQ660-AM643)*10000,"")</f>
        <v/>
      </c>
      <c r="AR667" s="76">
        <f>IFERROR((AR660-AN643)*10000,"")</f>
        <v/>
      </c>
      <c r="AS667" s="76">
        <f>IFERROR((AS660-AP643)*10000,"")</f>
        <v/>
      </c>
      <c r="AT667" s="1117">
        <f>AS667</f>
        <v/>
      </c>
      <c r="AU667" s="76">
        <f>IFERROR((AU660-AQ643)*10000,"")</f>
        <v/>
      </c>
      <c r="AV667" s="76">
        <f>IFERROR((AV660-AR643)*10000,"")</f>
        <v/>
      </c>
      <c r="AW667" s="76">
        <f>IFERROR((AW660-AS643)*10000,"")</f>
        <v/>
      </c>
      <c r="AX667" s="76">
        <f>IFERROR((AX660-AU643)*10000,"")</f>
        <v/>
      </c>
      <c r="AY667" s="1117">
        <f>AX667</f>
        <v/>
      </c>
      <c r="AZ667" s="76">
        <f>IFERROR((AZ660-AV643)*10000,"")</f>
        <v/>
      </c>
      <c r="BA667" s="76">
        <f>IFERROR((BA660-AW643)*10000,"")</f>
        <v/>
      </c>
      <c r="BB667" s="76">
        <f>IFERROR((BB660-AX643)*10000,"")</f>
        <v/>
      </c>
      <c r="BC667" s="76">
        <f>IFERROR((BC660-AZ643)*10000,"")</f>
        <v/>
      </c>
      <c r="BD667" s="1117">
        <f>BC667</f>
        <v/>
      </c>
      <c r="BE667" s="76">
        <f>IFERROR((BE660-BA643)*10000,"")</f>
        <v/>
      </c>
      <c r="BF667" s="76">
        <f>IFERROR((BF660-BB643)*10000,"")</f>
        <v/>
      </c>
      <c r="BG667" s="76">
        <f>IFERROR((BG660-BC643)*10000,"")</f>
        <v/>
      </c>
      <c r="BH667" s="76">
        <f>IFERROR((BH660-BE643)*10000,"")</f>
        <v/>
      </c>
      <c r="BI667" s="1117">
        <f>BH667</f>
        <v/>
      </c>
      <c r="BJ667" s="76">
        <f>IFERROR((BJ660-BF643)*10000,"")</f>
        <v/>
      </c>
      <c r="BK667" s="76">
        <f>IFERROR((BK660-BG643)*10000,"")</f>
        <v/>
      </c>
      <c r="BL667" s="76">
        <f>IFERROR((BL660-BH643)*10000,"")</f>
        <v/>
      </c>
      <c r="BM667" s="76">
        <f>IFERROR((BM660-BJ643)*10000,"")</f>
        <v/>
      </c>
      <c r="BN667" s="1117">
        <f>BM667</f>
        <v/>
      </c>
      <c r="BO667" s="76">
        <f>IFERROR((BO660-BK643)*10000,"")</f>
        <v/>
      </c>
      <c r="BP667" s="76">
        <f>IFERROR((BP660-BL643)*10000,"")</f>
        <v/>
      </c>
      <c r="BQ667" s="76">
        <f>IFERROR((BQ660-BM643)*10000,"")</f>
        <v/>
      </c>
      <c r="BR667" s="76">
        <f>IFERROR((BR660-BO643)*10000,"")</f>
        <v/>
      </c>
      <c r="BS667" s="1117">
        <f>BR667</f>
        <v/>
      </c>
      <c r="BT667" s="76">
        <f>IFERROR((BT660-BP643)*10000,"")</f>
        <v/>
      </c>
      <c r="BU667" s="76">
        <f>IFERROR((BU660-BQ643)*10000,"")</f>
        <v/>
      </c>
      <c r="BV667" s="881">
        <f>IFERROR((BV660-BR643)*10000,"")</f>
        <v/>
      </c>
      <c r="BW667" s="76" t="n"/>
      <c r="BX667" s="1117" t="n"/>
      <c r="BY667" s="76" t="n"/>
      <c r="BZ667" s="76" t="n"/>
      <c r="CA667" s="76" t="n"/>
      <c r="CB667" s="76" t="n"/>
      <c r="CC667" s="1117" t="n"/>
      <c r="CD667" s="1117" t="n"/>
      <c r="CE667" s="1117" t="n"/>
      <c r="CF667" s="1117" t="n"/>
      <c r="CG667" s="93" t="n"/>
    </row>
    <row r="668" hidden="1" outlineLevel="3" ht="15" customHeight="1">
      <c r="A668" s="821" t="inlineStr">
        <is>
          <t>Forward quarterly guided Y/Y non-GAAP gross profit margin improvement - high, bps</t>
        </is>
      </c>
      <c r="B668" s="804" t="n"/>
      <c r="C668" s="1198" t="n"/>
      <c r="D668" s="1198" t="n"/>
      <c r="E668" s="1198" t="n"/>
      <c r="F668" s="1198" t="n"/>
      <c r="G668" s="822" t="n"/>
      <c r="H668" s="822" t="n"/>
      <c r="I668" s="822" t="n"/>
      <c r="J668" s="822" t="n"/>
      <c r="K668" s="1198" t="n"/>
      <c r="L668" s="822" t="n"/>
      <c r="M668" s="822" t="n"/>
      <c r="N668" s="822" t="n"/>
      <c r="O668" s="822" t="n"/>
      <c r="P668" s="1198" t="n"/>
      <c r="Q668" s="822" t="n"/>
      <c r="R668" s="822" t="n"/>
      <c r="S668" s="822" t="n"/>
      <c r="T668" s="822" t="n"/>
      <c r="U668" s="1198" t="n"/>
      <c r="V668" s="822" t="n"/>
      <c r="W668" s="822" t="n"/>
      <c r="X668" s="822" t="n"/>
      <c r="Y668" s="822" t="n"/>
      <c r="Z668" s="1198" t="n"/>
      <c r="AA668" s="822" t="n"/>
      <c r="AB668" s="822" t="n"/>
      <c r="AC668" s="822" t="n"/>
      <c r="AD668" s="822" t="n"/>
      <c r="AE668" s="1198" t="n"/>
      <c r="AF668" s="822" t="n"/>
      <c r="AG668" s="822" t="n"/>
      <c r="AH668" s="822">
        <f>IFERROR((AH661-AD643)*10000,"")</f>
        <v/>
      </c>
      <c r="AI668" s="822">
        <f>IFERROR((AI661-AF643)*10000,"")</f>
        <v/>
      </c>
      <c r="AJ668" s="1198">
        <f>AI668</f>
        <v/>
      </c>
      <c r="AK668" s="822">
        <f>IFERROR((AK661-AG643)*10000,"")</f>
        <v/>
      </c>
      <c r="AL668" s="822">
        <f>IFERROR((AL661-AH643)*10000,"")</f>
        <v/>
      </c>
      <c r="AM668" s="822">
        <f>IFERROR((AM661-AI643)*10000,"")</f>
        <v/>
      </c>
      <c r="AN668" s="822">
        <f>IFERROR((AN661-AK643)*10000,"")</f>
        <v/>
      </c>
      <c r="AO668" s="1198">
        <f>AN668</f>
        <v/>
      </c>
      <c r="AP668" s="822">
        <f>IFERROR((AP661-AL643)*10000,"")</f>
        <v/>
      </c>
      <c r="AQ668" s="822">
        <f>IFERROR((AQ661-AM643)*10000,"")</f>
        <v/>
      </c>
      <c r="AR668" s="822">
        <f>IFERROR((AR661-AN643)*10000,"")</f>
        <v/>
      </c>
      <c r="AS668" s="822">
        <f>IFERROR((AS661-AP643)*10000,"")</f>
        <v/>
      </c>
      <c r="AT668" s="1198">
        <f>AS668</f>
        <v/>
      </c>
      <c r="AU668" s="822">
        <f>IFERROR((AU661-AQ643)*10000,"")</f>
        <v/>
      </c>
      <c r="AV668" s="822">
        <f>IFERROR((AV661-AR643)*10000,"")</f>
        <v/>
      </c>
      <c r="AW668" s="822">
        <f>IFERROR((AW661-AS643)*10000,"")</f>
        <v/>
      </c>
      <c r="AX668" s="822">
        <f>IFERROR((AX661-AU643)*10000,"")</f>
        <v/>
      </c>
      <c r="AY668" s="1198">
        <f>AX668</f>
        <v/>
      </c>
      <c r="AZ668" s="822">
        <f>IFERROR((AZ661-AV643)*10000,"")</f>
        <v/>
      </c>
      <c r="BA668" s="822">
        <f>IFERROR((BA661-AW643)*10000,"")</f>
        <v/>
      </c>
      <c r="BB668" s="822">
        <f>IFERROR((BB661-AX643)*10000,"")</f>
        <v/>
      </c>
      <c r="BC668" s="822">
        <f>IFERROR((BC661-AZ643)*10000,"")</f>
        <v/>
      </c>
      <c r="BD668" s="1198">
        <f>BC668</f>
        <v/>
      </c>
      <c r="BE668" s="822">
        <f>IFERROR((BE661-BA643)*10000,"")</f>
        <v/>
      </c>
      <c r="BF668" s="822">
        <f>IFERROR((BF661-BB643)*10000,"")</f>
        <v/>
      </c>
      <c r="BG668" s="822">
        <f>IFERROR((BG661-BC643)*10000,"")</f>
        <v/>
      </c>
      <c r="BH668" s="822">
        <f>IFERROR((BH661-BE643)*10000,"")</f>
        <v/>
      </c>
      <c r="BI668" s="1198">
        <f>BH668</f>
        <v/>
      </c>
      <c r="BJ668" s="822">
        <f>IFERROR((BJ661-BF643)*10000,"")</f>
        <v/>
      </c>
      <c r="BK668" s="822">
        <f>IFERROR((BK661-BG643)*10000,"")</f>
        <v/>
      </c>
      <c r="BL668" s="822">
        <f>IFERROR((BL661-BH643)*10000,"")</f>
        <v/>
      </c>
      <c r="BM668" s="822">
        <f>IFERROR((BM661-BJ643)*10000,"")</f>
        <v/>
      </c>
      <c r="BN668" s="1198">
        <f>BM668</f>
        <v/>
      </c>
      <c r="BO668" s="822">
        <f>IFERROR((BO661-BK643)*10000,"")</f>
        <v/>
      </c>
      <c r="BP668" s="822">
        <f>IFERROR((BP661-BL643)*10000,"")</f>
        <v/>
      </c>
      <c r="BQ668" s="822">
        <f>IFERROR((BQ661-BM643)*10000,"")</f>
        <v/>
      </c>
      <c r="BR668" s="822">
        <f>IFERROR((BR661-BO643)*10000,"")</f>
        <v/>
      </c>
      <c r="BS668" s="1198">
        <f>BR668</f>
        <v/>
      </c>
      <c r="BT668" s="822">
        <f>IFERROR((BT661-BP643)*10000,"")</f>
        <v/>
      </c>
      <c r="BU668" s="822">
        <f>IFERROR((BU661-BQ643)*10000,"")</f>
        <v/>
      </c>
      <c r="BV668" s="914">
        <f>IFERROR((BV661-BR643)*10000,"")</f>
        <v/>
      </c>
      <c r="BW668" s="822" t="n"/>
      <c r="BX668" s="1198" t="n"/>
      <c r="BY668" s="822" t="n"/>
      <c r="BZ668" s="822" t="n"/>
      <c r="CA668" s="822" t="n"/>
      <c r="CB668" s="822" t="n"/>
      <c r="CC668" s="1198" t="n"/>
      <c r="CD668" s="1198" t="n"/>
      <c r="CE668" s="1198" t="n"/>
      <c r="CF668" s="1198" t="n"/>
      <c r="CG668" s="93" t="n"/>
    </row>
    <row r="669" hidden="1" outlineLevel="2" collapsed="1" ht="15" customHeight="1">
      <c r="A669" s="656" t="inlineStr">
        <is>
          <t>Forward quarterly guided Y/Y non-GAAP gross profit margin improvement - midpoint, bps</t>
        </is>
      </c>
      <c r="B669" s="112" t="n"/>
      <c r="C669" s="1117" t="n"/>
      <c r="D669" s="1117" t="n"/>
      <c r="E669" s="1117" t="n"/>
      <c r="F669" s="1117" t="n"/>
      <c r="G669" s="76" t="n"/>
      <c r="H669" s="76" t="n"/>
      <c r="I669" s="76" t="n"/>
      <c r="J669" s="76" t="n"/>
      <c r="K669" s="1117" t="n"/>
      <c r="L669" s="76" t="n"/>
      <c r="M669" s="76" t="n"/>
      <c r="N669" s="76" t="n"/>
      <c r="O669" s="76" t="n"/>
      <c r="P669" s="1117" t="n"/>
      <c r="Q669" s="76" t="n"/>
      <c r="R669" s="76" t="n"/>
      <c r="S669" s="76" t="n"/>
      <c r="T669" s="76" t="n"/>
      <c r="U669" s="1117" t="n"/>
      <c r="V669" s="76" t="n"/>
      <c r="W669" s="76" t="n"/>
      <c r="X669" s="76" t="n"/>
      <c r="Y669" s="76" t="n"/>
      <c r="Z669" s="1117" t="n"/>
      <c r="AA669" s="76" t="n"/>
      <c r="AB669" s="76" t="n"/>
      <c r="AC669" s="76" t="n"/>
      <c r="AD669" s="76" t="n"/>
      <c r="AE669" s="1117" t="n"/>
      <c r="AF669" s="76" t="n"/>
      <c r="AG669" s="76" t="n"/>
      <c r="AH669" s="76">
        <f>IFERROR((AH662-AD643)*10000,"")</f>
        <v/>
      </c>
      <c r="AI669" s="76">
        <f>IFERROR((AI662-AF643)*10000,"")</f>
        <v/>
      </c>
      <c r="AJ669" s="1117">
        <f>AI669</f>
        <v/>
      </c>
      <c r="AK669" s="76">
        <f>IFERROR((AK662-AG643)*10000,"")</f>
        <v/>
      </c>
      <c r="AL669" s="76">
        <f>IFERROR((AL662-AH643)*10000,"")</f>
        <v/>
      </c>
      <c r="AM669" s="76">
        <f>IFERROR((AM662-AI643)*10000,"")</f>
        <v/>
      </c>
      <c r="AN669" s="76">
        <f>IFERROR((AN662-AK643)*10000,"")</f>
        <v/>
      </c>
      <c r="AO669" s="1117">
        <f>AN669</f>
        <v/>
      </c>
      <c r="AP669" s="76">
        <f>IFERROR((AP662-AL643)*10000,"")</f>
        <v/>
      </c>
      <c r="AQ669" s="76">
        <f>IFERROR((AQ662-AM643)*10000,"")</f>
        <v/>
      </c>
      <c r="AR669" s="76">
        <f>IFERROR((AR662-AN643)*10000,"")</f>
        <v/>
      </c>
      <c r="AS669" s="76">
        <f>IFERROR((AS662-AP643)*10000,"")</f>
        <v/>
      </c>
      <c r="AT669" s="1117">
        <f>AS669</f>
        <v/>
      </c>
      <c r="AU669" s="76">
        <f>IFERROR((AU662-AQ643)*10000,"")</f>
        <v/>
      </c>
      <c r="AV669" s="76">
        <f>IFERROR((AV662-AR643)*10000,"")</f>
        <v/>
      </c>
      <c r="AW669" s="76">
        <f>IFERROR((AW662-AS643)*10000,"")</f>
        <v/>
      </c>
      <c r="AX669" s="76">
        <f>IFERROR((AX662-AU643)*10000,"")</f>
        <v/>
      </c>
      <c r="AY669" s="1117">
        <f>AX669</f>
        <v/>
      </c>
      <c r="AZ669" s="76">
        <f>IFERROR((AZ662-AV643)*10000,"")</f>
        <v/>
      </c>
      <c r="BA669" s="76">
        <f>IFERROR((BA662-AW643)*10000,"")</f>
        <v/>
      </c>
      <c r="BB669" s="76">
        <f>IFERROR((BB662-AX643)*10000,"")</f>
        <v/>
      </c>
      <c r="BC669" s="76">
        <f>IFERROR((BC662-AZ643)*10000,"")</f>
        <v/>
      </c>
      <c r="BD669" s="1117">
        <f>BC669</f>
        <v/>
      </c>
      <c r="BE669" s="76">
        <f>IFERROR((BE662-BA643)*10000,"")</f>
        <v/>
      </c>
      <c r="BF669" s="76">
        <f>IFERROR((BF662-BB643)*10000,"")</f>
        <v/>
      </c>
      <c r="BG669" s="76">
        <f>IFERROR((BG662-BC643)*10000,"")</f>
        <v/>
      </c>
      <c r="BH669" s="76">
        <f>IFERROR((BH662-BE643)*10000,"")</f>
        <v/>
      </c>
      <c r="BI669" s="1117">
        <f>BH669</f>
        <v/>
      </c>
      <c r="BJ669" s="76">
        <f>IFERROR((BJ662-BF643)*10000,"")</f>
        <v/>
      </c>
      <c r="BK669" s="76">
        <f>IFERROR((BK662-BG643)*10000,"")</f>
        <v/>
      </c>
      <c r="BL669" s="76">
        <f>IFERROR((BL662-BH643)*10000,"")</f>
        <v/>
      </c>
      <c r="BM669" s="76">
        <f>IFERROR((BM662-BJ643)*10000,"")</f>
        <v/>
      </c>
      <c r="BN669" s="1117">
        <f>BM669</f>
        <v/>
      </c>
      <c r="BO669" s="76">
        <f>IFERROR((BO662-BK643)*10000,"")</f>
        <v/>
      </c>
      <c r="BP669" s="76">
        <f>IFERROR((BP662-BL643)*10000,"")</f>
        <v/>
      </c>
      <c r="BQ669" s="76">
        <f>IFERROR((BQ662-BM643)*10000,"")</f>
        <v/>
      </c>
      <c r="BR669" s="76">
        <f>IFERROR((BR662-BO643)*10000,"")</f>
        <v/>
      </c>
      <c r="BS669" s="1117">
        <f>BR669</f>
        <v/>
      </c>
      <c r="BT669" s="76">
        <f>IFERROR((BT662-BP643)*10000,"")</f>
        <v/>
      </c>
      <c r="BU669" s="76">
        <f>IFERROR((BU662-BQ643)*10000,"")</f>
        <v/>
      </c>
      <c r="BV669" s="881">
        <f>IFERROR((BV662-BR643)*10000,"")</f>
        <v/>
      </c>
      <c r="BW669" s="76" t="n"/>
      <c r="BX669" s="1117" t="n"/>
      <c r="BY669" s="76" t="n"/>
      <c r="BZ669" s="76" t="n"/>
      <c r="CA669" s="76" t="n"/>
      <c r="CB669" s="76" t="n"/>
      <c r="CC669" s="1117" t="n"/>
      <c r="CD669" s="1117" t="n"/>
      <c r="CE669" s="1117" t="n"/>
      <c r="CF669" s="1117" t="n"/>
      <c r="CG669" s="93" t="n"/>
    </row>
    <row r="670" hidden="1" outlineLevel="2" ht="15" customHeight="1">
      <c r="A670" s="799" t="n"/>
      <c r="B670" s="428" t="n"/>
      <c r="C670" s="1134" t="n"/>
      <c r="D670" s="1134" t="n"/>
      <c r="E670" s="1134" t="n"/>
      <c r="F670" s="1134" t="n"/>
      <c r="G670" s="93" t="n"/>
      <c r="H670" s="93" t="n"/>
      <c r="I670" s="93" t="n"/>
      <c r="J670" s="93" t="n"/>
      <c r="K670" s="1134" t="n"/>
      <c r="L670" s="93" t="n"/>
      <c r="M670" s="93" t="n"/>
      <c r="N670" s="93" t="n"/>
      <c r="O670" s="93" t="n"/>
      <c r="P670" s="1134" t="n"/>
      <c r="Q670" s="93" t="n"/>
      <c r="R670" s="93" t="n"/>
      <c r="S670" s="93" t="n"/>
      <c r="T670" s="93" t="n"/>
      <c r="U670" s="1134" t="n"/>
      <c r="V670" s="93" t="n"/>
      <c r="W670" s="93" t="n"/>
      <c r="X670" s="93" t="n"/>
      <c r="Y670" s="93" t="n"/>
      <c r="Z670" s="1134" t="n"/>
      <c r="AA670" s="93" t="n"/>
      <c r="AB670" s="93" t="n"/>
      <c r="AC670" s="93" t="n"/>
      <c r="AD670" s="93" t="n"/>
      <c r="AE670" s="1134" t="n"/>
      <c r="AF670" s="93" t="n"/>
      <c r="AG670" s="93" t="n"/>
      <c r="AH670" s="93" t="n"/>
      <c r="AI670" s="93" t="n"/>
      <c r="AJ670" s="1134" t="n"/>
      <c r="AK670" s="93" t="n"/>
      <c r="AL670" s="93" t="n"/>
      <c r="AM670" s="93" t="n"/>
      <c r="AN670" s="93" t="n"/>
      <c r="AO670" s="1134" t="n"/>
      <c r="AP670" s="93" t="n"/>
      <c r="AQ670" s="93" t="n"/>
      <c r="AR670" s="93" t="n"/>
      <c r="AS670" s="93" t="n"/>
      <c r="AT670" s="1134" t="n"/>
      <c r="AU670" s="93" t="n"/>
      <c r="AV670" s="93" t="n"/>
      <c r="AW670" s="93" t="n"/>
      <c r="AX670" s="93" t="n"/>
      <c r="AY670" s="1134" t="n"/>
      <c r="AZ670" s="93" t="n"/>
      <c r="BA670" s="93" t="n"/>
      <c r="BB670" s="93" t="n"/>
      <c r="BC670" s="93" t="n"/>
      <c r="BD670" s="1134" t="n"/>
      <c r="BE670" s="93" t="n"/>
      <c r="BF670" s="93" t="n"/>
      <c r="BG670" s="93" t="n"/>
      <c r="BH670" s="93" t="n"/>
      <c r="BI670" s="1134" t="n"/>
      <c r="BJ670" s="93" t="n"/>
      <c r="BK670" s="93" t="n"/>
      <c r="BL670" s="93" t="n"/>
      <c r="BM670" s="93" t="n"/>
      <c r="BN670" s="1134" t="n"/>
      <c r="BO670" s="93" t="n"/>
      <c r="BP670" s="93" t="n"/>
      <c r="BQ670" s="93" t="n"/>
      <c r="BR670" s="93" t="n"/>
      <c r="BS670" s="1134" t="n"/>
      <c r="BT670" s="93" t="n"/>
      <c r="BU670" s="93" t="n"/>
      <c r="BV670" s="522" t="n"/>
      <c r="BW670" s="93" t="n"/>
      <c r="BX670" s="1134" t="n"/>
      <c r="BY670" s="93" t="n"/>
      <c r="BZ670" s="93" t="n"/>
      <c r="CA670" s="93" t="n"/>
      <c r="CB670" s="93" t="n"/>
      <c r="CC670" s="1134" t="n"/>
      <c r="CD670" s="1134" t="n"/>
      <c r="CE670" s="1134" t="n"/>
      <c r="CF670" s="1134" t="n"/>
      <c r="CG670" s="93" t="n"/>
    </row>
    <row r="671" hidden="1" outlineLevel="2" ht="15" customHeight="1">
      <c r="A671" s="371" t="inlineStr">
        <is>
          <t>Y/Y Implied annual guidance non-GAAP gross profit growth, %</t>
        </is>
      </c>
      <c r="B671" s="112" t="n"/>
      <c r="C671" s="1113" t="n"/>
      <c r="D671" s="1113" t="n"/>
      <c r="E671" s="1113" t="n"/>
      <c r="F671" s="1113" t="n"/>
      <c r="G671" s="90" t="n"/>
      <c r="H671" s="90" t="n"/>
      <c r="I671" s="90" t="n"/>
      <c r="J671" s="90" t="n"/>
      <c r="K671" s="1113" t="n"/>
      <c r="L671" s="90" t="n"/>
      <c r="M671" s="90" t="n"/>
      <c r="N671" s="90" t="n"/>
      <c r="O671" s="90" t="n"/>
      <c r="P671" s="1113" t="n"/>
      <c r="Q671" s="90" t="n"/>
      <c r="R671" s="90" t="n"/>
      <c r="S671" s="90" t="n"/>
      <c r="T671" s="90" t="n"/>
      <c r="U671" s="1113" t="n"/>
      <c r="V671" s="90" t="n"/>
      <c r="W671" s="90" t="n"/>
      <c r="X671" s="90" t="n"/>
      <c r="Y671" s="90" t="n"/>
      <c r="Z671" s="1113" t="n"/>
      <c r="AA671" s="90" t="n"/>
      <c r="AB671" s="90" t="n"/>
      <c r="AC671" s="90" t="n"/>
      <c r="AD671" s="90" t="n"/>
      <c r="AE671" s="1113" t="n"/>
      <c r="AF671" s="90" t="n"/>
      <c r="AG671" s="90" t="n"/>
      <c r="AH671" s="90" t="n"/>
      <c r="AI671" s="90" t="n"/>
      <c r="AJ671" s="1113" t="n"/>
      <c r="AK671" s="90" t="n"/>
      <c r="AL671" s="90" t="n"/>
      <c r="AM671" s="90" t="n"/>
      <c r="AN671" s="90" t="n"/>
      <c r="AO671" s="1113" t="n"/>
      <c r="AP671" s="90" t="n"/>
      <c r="AQ671" s="90" t="n"/>
      <c r="AR671" s="90" t="n"/>
      <c r="AS671" s="90" t="n"/>
      <c r="AT671" s="1113" t="n"/>
      <c r="AU671" s="90" t="n"/>
      <c r="AV671" s="90" t="n"/>
      <c r="AW671" s="90" t="n"/>
      <c r="AX671" s="90" t="n"/>
      <c r="AY671" s="1113" t="n"/>
      <c r="AZ671" s="90" t="n"/>
      <c r="BA671" s="90" t="n"/>
      <c r="BB671" s="90" t="n"/>
      <c r="BC671" s="90" t="n"/>
      <c r="BD671" s="1113" t="n"/>
      <c r="BE671" s="90" t="n"/>
      <c r="BF671" s="90" t="n"/>
      <c r="BG671" s="90" t="n"/>
      <c r="BH671" s="90" t="n"/>
      <c r="BI671" s="1113" t="n"/>
      <c r="BJ671" s="90" t="n"/>
      <c r="BK671" s="90" t="n"/>
      <c r="BL671" s="90" t="n"/>
      <c r="BM671" s="90" t="n"/>
      <c r="BN671" s="1113" t="n"/>
      <c r="BO671" s="90" t="n"/>
      <c r="BP671" s="90" t="n"/>
      <c r="BQ671" s="90" t="n"/>
      <c r="BR671" s="90" t="n"/>
      <c r="BS671" s="1113" t="n"/>
      <c r="BT671" s="90" t="n"/>
      <c r="BU671" s="90" t="n"/>
      <c r="BV671" s="880" t="n"/>
      <c r="BW671" s="90" t="n"/>
      <c r="BX671" s="1113" t="n"/>
      <c r="BY671" s="90" t="n"/>
      <c r="BZ671" s="90" t="n"/>
      <c r="CA671" s="90" t="n"/>
      <c r="CB671" s="90" t="n"/>
      <c r="CC671" s="1113" t="n"/>
      <c r="CD671" s="1113" t="n"/>
      <c r="CE671" s="1113" t="n"/>
      <c r="CF671" s="1113" t="n"/>
      <c r="CG671" s="93" t="n"/>
    </row>
    <row r="672" hidden="1" outlineLevel="2" ht="15" customHeight="1">
      <c r="A672" s="806" t="inlineStr">
        <is>
          <t>Y/Y annual guidance beat/(miss) non-GAAP gross profit growth, %</t>
        </is>
      </c>
      <c r="B672" s="804" t="n"/>
      <c r="C672" s="1194" t="n"/>
      <c r="D672" s="1194" t="n"/>
      <c r="E672" s="1194" t="n"/>
      <c r="F672" s="1194" t="n"/>
      <c r="G672" s="805" t="n"/>
      <c r="H672" s="805" t="n"/>
      <c r="I672" s="805" t="n"/>
      <c r="J672" s="805" t="n"/>
      <c r="K672" s="1194" t="n"/>
      <c r="L672" s="805" t="n"/>
      <c r="M672" s="805" t="n"/>
      <c r="N672" s="805" t="n"/>
      <c r="O672" s="805" t="n"/>
      <c r="P672" s="1194" t="n"/>
      <c r="Q672" s="805" t="n"/>
      <c r="R672" s="805" t="n"/>
      <c r="S672" s="805" t="n"/>
      <c r="T672" s="805" t="n"/>
      <c r="U672" s="1194" t="n"/>
      <c r="V672" s="805" t="n"/>
      <c r="W672" s="805" t="n"/>
      <c r="X672" s="805" t="n"/>
      <c r="Y672" s="805" t="n"/>
      <c r="Z672" s="1194" t="n"/>
      <c r="AA672" s="805" t="n"/>
      <c r="AB672" s="805" t="n"/>
      <c r="AC672" s="805" t="n"/>
      <c r="AD672" s="805" t="n"/>
      <c r="AE672" s="1194" t="n"/>
      <c r="AF672" s="805" t="n"/>
      <c r="AG672" s="805" t="n"/>
      <c r="AH672" s="805" t="n"/>
      <c r="AI672" s="805" t="n"/>
      <c r="AJ672" s="1194" t="n"/>
      <c r="AK672" s="805" t="n"/>
      <c r="AL672" s="805" t="n"/>
      <c r="AM672" s="805" t="n"/>
      <c r="AN672" s="805" t="n"/>
      <c r="AO672" s="1194" t="n"/>
      <c r="AP672" s="805" t="n"/>
      <c r="AQ672" s="805" t="n"/>
      <c r="AR672" s="805" t="n"/>
      <c r="AS672" s="805" t="n"/>
      <c r="AT672" s="1194" t="n"/>
      <c r="AU672" s="805" t="n"/>
      <c r="AV672" s="805" t="n"/>
      <c r="AW672" s="805" t="n"/>
      <c r="AX672" s="805" t="n"/>
      <c r="AY672" s="1194" t="n"/>
      <c r="AZ672" s="805" t="n"/>
      <c r="BA672" s="805" t="n"/>
      <c r="BB672" s="805" t="n"/>
      <c r="BC672" s="805" t="n"/>
      <c r="BD672" s="1194" t="n"/>
      <c r="BE672" s="805" t="n"/>
      <c r="BF672" s="805" t="n"/>
      <c r="BG672" s="805" t="n"/>
      <c r="BH672" s="805" t="n"/>
      <c r="BI672" s="1194" t="n"/>
      <c r="BJ672" s="805" t="n"/>
      <c r="BK672" s="805" t="n"/>
      <c r="BL672" s="805" t="n"/>
      <c r="BM672" s="805" t="n"/>
      <c r="BN672" s="1194" t="n"/>
      <c r="BO672" s="805" t="n"/>
      <c r="BP672" s="805" t="n"/>
      <c r="BQ672" s="805" t="n"/>
      <c r="BR672" s="805" t="n"/>
      <c r="BS672" s="1194" t="n"/>
      <c r="BT672" s="805" t="n"/>
      <c r="BU672" s="805" t="n"/>
      <c r="BV672" s="910" t="n"/>
      <c r="BW672" s="805" t="n"/>
      <c r="BX672" s="1194" t="n"/>
      <c r="BY672" s="805" t="n"/>
      <c r="BZ672" s="805" t="n"/>
      <c r="CA672" s="805" t="n"/>
      <c r="CB672" s="805" t="n"/>
      <c r="CC672" s="1194" t="n"/>
      <c r="CD672" s="1194" t="n"/>
      <c r="CE672" s="1194" t="n"/>
      <c r="CF672" s="1194" t="n"/>
      <c r="CG672" s="93" t="n"/>
    </row>
    <row r="673" hidden="1" outlineLevel="2" ht="15" customHeight="1">
      <c r="A673" s="809" t="inlineStr">
        <is>
          <t>Y/Y annual non-GAAP gross profit growth, %</t>
        </is>
      </c>
      <c r="B673" s="807" t="n"/>
      <c r="C673" s="1195" t="n"/>
      <c r="D673" s="1195" t="n"/>
      <c r="E673" s="1195" t="n"/>
      <c r="F673" s="1195" t="n"/>
      <c r="G673" s="808" t="n"/>
      <c r="H673" s="808" t="n"/>
      <c r="I673" s="808" t="n"/>
      <c r="J673" s="808" t="n"/>
      <c r="K673" s="1195" t="n"/>
      <c r="L673" s="808" t="n"/>
      <c r="M673" s="808" t="n"/>
      <c r="N673" s="808" t="n"/>
      <c r="O673" s="808" t="n"/>
      <c r="P673" s="1195" t="n"/>
      <c r="Q673" s="808" t="n"/>
      <c r="R673" s="808" t="n"/>
      <c r="S673" s="808" t="n"/>
      <c r="T673" s="808" t="n"/>
      <c r="U673" s="1195" t="n"/>
      <c r="V673" s="808" t="n"/>
      <c r="W673" s="808" t="n"/>
      <c r="X673" s="808" t="n"/>
      <c r="Y673" s="808" t="n"/>
      <c r="Z673" s="1195" t="n"/>
      <c r="AA673" s="808" t="n"/>
      <c r="AB673" s="808" t="n"/>
      <c r="AC673" s="808" t="n"/>
      <c r="AD673" s="808" t="n"/>
      <c r="AE673" s="1195" t="n"/>
      <c r="AF673" s="808" t="n"/>
      <c r="AG673" s="808" t="n"/>
      <c r="AH673" s="808" t="n"/>
      <c r="AI673" s="808" t="n"/>
      <c r="AJ673" s="1195" t="n"/>
      <c r="AK673" s="808" t="n"/>
      <c r="AL673" s="808" t="n"/>
      <c r="AM673" s="808" t="n"/>
      <c r="AN673" s="808" t="n"/>
      <c r="AO673" s="1195" t="n"/>
      <c r="AP673" s="808" t="n"/>
      <c r="AQ673" s="808" t="n"/>
      <c r="AR673" s="808" t="n"/>
      <c r="AS673" s="808" t="n"/>
      <c r="AT673" s="1195" t="n"/>
      <c r="AU673" s="808" t="n"/>
      <c r="AV673" s="808" t="n"/>
      <c r="AW673" s="808" t="n"/>
      <c r="AX673" s="808" t="n"/>
      <c r="AY673" s="1195" t="n"/>
      <c r="AZ673" s="808" t="n"/>
      <c r="BA673" s="808" t="n"/>
      <c r="BB673" s="808" t="n"/>
      <c r="BC673" s="808" t="n"/>
      <c r="BD673" s="1195" t="n"/>
      <c r="BE673" s="808" t="n"/>
      <c r="BF673" s="808" t="n"/>
      <c r="BG673" s="808" t="n"/>
      <c r="BH673" s="808" t="n"/>
      <c r="BI673" s="1195" t="n"/>
      <c r="BJ673" s="808" t="n"/>
      <c r="BK673" s="808" t="n"/>
      <c r="BL673" s="808" t="n"/>
      <c r="BM673" s="808" t="n"/>
      <c r="BN673" s="1195" t="n"/>
      <c r="BO673" s="808" t="n"/>
      <c r="BP673" s="808" t="n"/>
      <c r="BQ673" s="808" t="n"/>
      <c r="BR673" s="808" t="n"/>
      <c r="BS673" s="1195" t="n"/>
      <c r="BT673" s="808" t="n"/>
      <c r="BU673" s="808" t="n"/>
      <c r="BV673" s="911" t="n"/>
      <c r="BW673" s="808" t="n"/>
      <c r="BX673" s="1195" t="n"/>
      <c r="BY673" s="808" t="n"/>
      <c r="BZ673" s="808" t="n"/>
      <c r="CA673" s="808" t="n"/>
      <c r="CB673" s="808" t="n"/>
      <c r="CC673" s="1195" t="n"/>
      <c r="CD673" s="1195" t="n"/>
      <c r="CE673" s="1195" t="n"/>
      <c r="CF673" s="1195" t="n"/>
      <c r="CG673" s="93" t="n"/>
    </row>
    <row r="674" hidden="1" outlineLevel="2" ht="15" customHeight="1">
      <c r="A674" s="799" t="n"/>
      <c r="B674" s="428" t="n"/>
      <c r="C674" s="1134" t="n"/>
      <c r="D674" s="1134" t="n"/>
      <c r="E674" s="1134" t="n"/>
      <c r="F674" s="1134" t="n"/>
      <c r="G674" s="93" t="n"/>
      <c r="H674" s="93" t="n"/>
      <c r="I674" s="93" t="n"/>
      <c r="J674" s="93" t="n"/>
      <c r="K674" s="1134" t="n"/>
      <c r="L674" s="93" t="n"/>
      <c r="M674" s="93" t="n"/>
      <c r="N674" s="93" t="n"/>
      <c r="O674" s="93" t="n"/>
      <c r="P674" s="1134" t="n"/>
      <c r="Q674" s="93" t="n"/>
      <c r="R674" s="93" t="n"/>
      <c r="S674" s="93" t="n"/>
      <c r="T674" s="93" t="n"/>
      <c r="U674" s="1134" t="n"/>
      <c r="V674" s="93" t="n"/>
      <c r="W674" s="93" t="n"/>
      <c r="X674" s="93" t="n"/>
      <c r="Y674" s="93" t="n"/>
      <c r="Z674" s="1134" t="n"/>
      <c r="AA674" s="93" t="n"/>
      <c r="AB674" s="93" t="n"/>
      <c r="AC674" s="93" t="n"/>
      <c r="AD674" s="93" t="n"/>
      <c r="AE674" s="1134" t="n"/>
      <c r="AF674" s="93" t="n"/>
      <c r="AG674" s="93" t="n"/>
      <c r="AH674" s="93" t="n"/>
      <c r="AI674" s="93" t="n"/>
      <c r="AJ674" s="1134" t="n"/>
      <c r="AK674" s="93" t="n"/>
      <c r="AL674" s="93" t="n"/>
      <c r="AM674" s="93" t="n"/>
      <c r="AN674" s="93" t="n"/>
      <c r="AO674" s="1134" t="n"/>
      <c r="AP674" s="93" t="n"/>
      <c r="AQ674" s="93" t="n"/>
      <c r="AR674" s="93" t="n"/>
      <c r="AS674" s="93" t="n"/>
      <c r="AT674" s="1134" t="n"/>
      <c r="AU674" s="93" t="n"/>
      <c r="AV674" s="93" t="n"/>
      <c r="AW674" s="93" t="n"/>
      <c r="AX674" s="93" t="n"/>
      <c r="AY674" s="1134" t="n"/>
      <c r="AZ674" s="93" t="n"/>
      <c r="BA674" s="93" t="n"/>
      <c r="BB674" s="93" t="n"/>
      <c r="BC674" s="93" t="n"/>
      <c r="BD674" s="1134" t="n"/>
      <c r="BE674" s="93" t="n"/>
      <c r="BF674" s="93" t="n"/>
      <c r="BG674" s="93" t="n"/>
      <c r="BH674" s="93" t="n"/>
      <c r="BI674" s="1134" t="n"/>
      <c r="BJ674" s="93" t="n"/>
      <c r="BK674" s="93" t="n"/>
      <c r="BL674" s="93" t="n"/>
      <c r="BM674" s="93" t="n"/>
      <c r="BN674" s="1134" t="n"/>
      <c r="BO674" s="93" t="n"/>
      <c r="BP674" s="93" t="n"/>
      <c r="BQ674" s="93" t="n"/>
      <c r="BR674" s="93" t="n"/>
      <c r="BS674" s="1134" t="n"/>
      <c r="BT674" s="93" t="n"/>
      <c r="BU674" s="93" t="n"/>
      <c r="BV674" s="522" t="n"/>
      <c r="BW674" s="93" t="n"/>
      <c r="BX674" s="1134" t="n"/>
      <c r="BY674" s="93" t="n"/>
      <c r="BZ674" s="93" t="n"/>
      <c r="CA674" s="93" t="n"/>
      <c r="CB674" s="93" t="n"/>
      <c r="CC674" s="1134" t="n"/>
      <c r="CD674" s="1134" t="n"/>
      <c r="CE674" s="1134" t="n"/>
      <c r="CF674" s="1134" t="n"/>
      <c r="CG674" s="93" t="n"/>
    </row>
    <row r="675" hidden="1" outlineLevel="2" ht="15" customHeight="1">
      <c r="A675" s="803" t="inlineStr">
        <is>
          <t>Forward annual guidance - applicable period, period</t>
        </is>
      </c>
      <c r="B675" s="801" t="n"/>
      <c r="C675" s="1193">
        <f>D5</f>
        <v/>
      </c>
      <c r="D675" s="1193">
        <f>E5</f>
        <v/>
      </c>
      <c r="E675" s="1193">
        <f>F5</f>
        <v/>
      </c>
      <c r="F675" s="1193">
        <f>K5</f>
        <v/>
      </c>
      <c r="G675" s="802">
        <f>K5</f>
        <v/>
      </c>
      <c r="H675" s="802">
        <f>K5</f>
        <v/>
      </c>
      <c r="I675" s="802">
        <f>K5</f>
        <v/>
      </c>
      <c r="J675" s="802">
        <f>P5</f>
        <v/>
      </c>
      <c r="K675" s="1193">
        <f>P5</f>
        <v/>
      </c>
      <c r="L675" s="802">
        <f>P5</f>
        <v/>
      </c>
      <c r="M675" s="802">
        <f>P5</f>
        <v/>
      </c>
      <c r="N675" s="802">
        <f>P5</f>
        <v/>
      </c>
      <c r="O675" s="802">
        <f>U5</f>
        <v/>
      </c>
      <c r="P675" s="1193">
        <f>U5</f>
        <v/>
      </c>
      <c r="Q675" s="802">
        <f>U5</f>
        <v/>
      </c>
      <c r="R675" s="802">
        <f>U5</f>
        <v/>
      </c>
      <c r="S675" s="802">
        <f>U5</f>
        <v/>
      </c>
      <c r="T675" s="802">
        <f>Z5</f>
        <v/>
      </c>
      <c r="U675" s="1193">
        <f>Z5</f>
        <v/>
      </c>
      <c r="V675" s="802">
        <f>Z5</f>
        <v/>
      </c>
      <c r="W675" s="802">
        <f>Z5</f>
        <v/>
      </c>
      <c r="X675" s="802">
        <f>Z5</f>
        <v/>
      </c>
      <c r="Y675" s="802">
        <f>AE5</f>
        <v/>
      </c>
      <c r="Z675" s="1193">
        <f>AE5</f>
        <v/>
      </c>
      <c r="AA675" s="802">
        <f>AE5</f>
        <v/>
      </c>
      <c r="AB675" s="802">
        <f>AE5</f>
        <v/>
      </c>
      <c r="AC675" s="802">
        <f>AE5</f>
        <v/>
      </c>
      <c r="AD675" s="802">
        <f>AJ5</f>
        <v/>
      </c>
      <c r="AE675" s="1193">
        <f>AJ5</f>
        <v/>
      </c>
      <c r="AF675" s="802">
        <f>AJ5</f>
        <v/>
      </c>
      <c r="AG675" s="802">
        <f>AJ5</f>
        <v/>
      </c>
      <c r="AH675" s="802">
        <f>AJ5</f>
        <v/>
      </c>
      <c r="AI675" s="802">
        <f>AO5</f>
        <v/>
      </c>
      <c r="AJ675" s="1193">
        <f>AO5</f>
        <v/>
      </c>
      <c r="AK675" s="802">
        <f>AO5</f>
        <v/>
      </c>
      <c r="AL675" s="802">
        <f>AO5</f>
        <v/>
      </c>
      <c r="AM675" s="802">
        <f>AO5</f>
        <v/>
      </c>
      <c r="AN675" s="802">
        <f>AT5</f>
        <v/>
      </c>
      <c r="AO675" s="1193">
        <f>AT5</f>
        <v/>
      </c>
      <c r="AP675" s="802">
        <f>AT5</f>
        <v/>
      </c>
      <c r="AQ675" s="802">
        <f>AT5</f>
        <v/>
      </c>
      <c r="AR675" s="802">
        <f>AT5</f>
        <v/>
      </c>
      <c r="AS675" s="802">
        <f>AY5</f>
        <v/>
      </c>
      <c r="AT675" s="1193">
        <f>AY5</f>
        <v/>
      </c>
      <c r="AU675" s="802">
        <f>AY5</f>
        <v/>
      </c>
      <c r="AV675" s="802">
        <f>AY5</f>
        <v/>
      </c>
      <c r="AW675" s="802">
        <f>AY5</f>
        <v/>
      </c>
      <c r="AX675" s="802">
        <f>BD5</f>
        <v/>
      </c>
      <c r="AY675" s="1193">
        <f>BD5</f>
        <v/>
      </c>
      <c r="AZ675" s="802">
        <f>BD5</f>
        <v/>
      </c>
      <c r="BA675" s="802">
        <f>BD5</f>
        <v/>
      </c>
      <c r="BB675" s="802">
        <f>BD5</f>
        <v/>
      </c>
      <c r="BC675" s="802">
        <f>BI5</f>
        <v/>
      </c>
      <c r="BD675" s="1193">
        <f>BI5</f>
        <v/>
      </c>
      <c r="BE675" s="802">
        <f>BI5</f>
        <v/>
      </c>
      <c r="BF675" s="802">
        <f>BI5</f>
        <v/>
      </c>
      <c r="BG675" s="802">
        <f>BI5</f>
        <v/>
      </c>
      <c r="BH675" s="802">
        <f>BN5</f>
        <v/>
      </c>
      <c r="BI675" s="1193">
        <f>BN5</f>
        <v/>
      </c>
      <c r="BJ675" s="802">
        <f>BN5</f>
        <v/>
      </c>
      <c r="BK675" s="802">
        <f>BN5</f>
        <v/>
      </c>
      <c r="BL675" s="802">
        <f>BN5</f>
        <v/>
      </c>
      <c r="BM675" s="802">
        <f>BS5</f>
        <v/>
      </c>
      <c r="BN675" s="1193">
        <f>BS5</f>
        <v/>
      </c>
      <c r="BO675" s="802">
        <f>BS5</f>
        <v/>
      </c>
      <c r="BP675" s="802">
        <f>BS5</f>
        <v/>
      </c>
      <c r="BQ675" s="802">
        <f>BS5</f>
        <v/>
      </c>
      <c r="BR675" s="802">
        <f>BX5</f>
        <v/>
      </c>
      <c r="BS675" s="1193">
        <f>BX5</f>
        <v/>
      </c>
      <c r="BT675" s="802">
        <f>BX5</f>
        <v/>
      </c>
      <c r="BU675" s="802">
        <f>BX5</f>
        <v/>
      </c>
      <c r="BV675" s="909">
        <f>BX5</f>
        <v/>
      </c>
      <c r="BW675" s="802" t="n"/>
      <c r="BX675" s="1193" t="n"/>
      <c r="BY675" s="802" t="n"/>
      <c r="BZ675" s="802" t="n"/>
      <c r="CA675" s="802" t="n"/>
      <c r="CB675" s="802" t="n"/>
      <c r="CC675" s="1193" t="n"/>
      <c r="CD675" s="1193" t="n"/>
      <c r="CE675" s="1193" t="n"/>
      <c r="CF675" s="1193" t="n"/>
      <c r="CG675" s="93" t="n"/>
    </row>
    <row r="676" hidden="1" outlineLevel="3" ht="15" customHeight="1">
      <c r="A676" s="492" t="inlineStr">
        <is>
          <t>Forward annual non-GAAP gross profit guidance - low, mm</t>
        </is>
      </c>
      <c r="B676" s="428" t="n"/>
      <c r="C676" s="1134" t="n"/>
      <c r="D676" s="1134" t="n"/>
      <c r="E676" s="1134" t="n"/>
      <c r="F676" s="1134" t="n"/>
      <c r="G676" s="93" t="n"/>
      <c r="H676" s="93" t="n"/>
      <c r="I676" s="93" t="n"/>
      <c r="J676" s="93" t="n"/>
      <c r="K676" s="1134" t="n"/>
      <c r="L676" s="93" t="n"/>
      <c r="M676" s="93" t="n"/>
      <c r="N676" s="93" t="n"/>
      <c r="O676" s="93" t="n"/>
      <c r="P676" s="1134" t="n"/>
      <c r="Q676" s="93" t="n"/>
      <c r="R676" s="93" t="n"/>
      <c r="S676" s="93" t="n"/>
      <c r="T676" s="93" t="n"/>
      <c r="U676" s="1134" t="n"/>
      <c r="V676" s="93" t="n"/>
      <c r="W676" s="93" t="n"/>
      <c r="X676" s="93" t="n"/>
      <c r="Y676" s="93" t="n"/>
      <c r="Z676" s="1134" t="n"/>
      <c r="AA676" s="93" t="n"/>
      <c r="AB676" s="93" t="n"/>
      <c r="AC676" s="93" t="n"/>
      <c r="AD676" s="93" t="n"/>
      <c r="AE676" s="1134" t="n"/>
      <c r="AF676" s="93" t="n"/>
      <c r="AG676" s="93" t="n"/>
      <c r="AH676" s="93">
        <f>IFERROR(+AH685*AH603,"N/A")</f>
        <v/>
      </c>
      <c r="AI676" s="93">
        <f>IFERROR(+AI685*AI603,"N/A")</f>
        <v/>
      </c>
      <c r="AJ676" s="1134">
        <f>IFERROR(+AJ685*AJ603,"N/A")</f>
        <v/>
      </c>
      <c r="AK676" s="93">
        <f>IFERROR(+AK685*AK603,"N/A")</f>
        <v/>
      </c>
      <c r="AL676" s="93">
        <f>IFERROR(+AL685*AL603,"N/A")</f>
        <v/>
      </c>
      <c r="AM676" s="93">
        <f>IFERROR(+AM685*AM603,"N/A")</f>
        <v/>
      </c>
      <c r="AN676" s="93">
        <f>IFERROR(+AN685*AN603,"N/A")</f>
        <v/>
      </c>
      <c r="AO676" s="1134">
        <f>IFERROR(+AO685*AO603,"N/A")</f>
        <v/>
      </c>
      <c r="AP676" s="93">
        <f>IFERROR(+AP685*AP603,"N/A")</f>
        <v/>
      </c>
      <c r="AQ676" s="93">
        <f>IFERROR(+AQ685*AQ603,"N/A")</f>
        <v/>
      </c>
      <c r="AR676" s="93">
        <f>IFERROR(+AR685*AR603,"N/A")</f>
        <v/>
      </c>
      <c r="AS676" s="93">
        <f>IFERROR(+AS685*AS603,"N/A")</f>
        <v/>
      </c>
      <c r="AT676" s="1134">
        <f>IFERROR(+AT685*AT603,"N/A")</f>
        <v/>
      </c>
      <c r="AU676" s="93">
        <f>IFERROR(+AU685*AU603,"N/A")</f>
        <v/>
      </c>
      <c r="AV676" s="93">
        <f>IFERROR(+AV685*AV603,"N/A")</f>
        <v/>
      </c>
      <c r="AW676" s="93">
        <f>IFERROR(+AW685*AW603,"N/A")</f>
        <v/>
      </c>
      <c r="AX676" s="93">
        <f>IFERROR(+AX685*AX603,"N/A")</f>
        <v/>
      </c>
      <c r="AY676" s="1134">
        <f>IFERROR(+AY685*AY603,"N/A")</f>
        <v/>
      </c>
      <c r="AZ676" s="93">
        <f>IFERROR(+AZ685*AZ603,"N/A")</f>
        <v/>
      </c>
      <c r="BA676" s="93">
        <f>IFERROR(+BA685*BA603,"N/A")</f>
        <v/>
      </c>
      <c r="BB676" s="93">
        <f>IFERROR(+BB685*BB603,"N/A")</f>
        <v/>
      </c>
      <c r="BC676" s="93">
        <f>IFERROR(+BC685*BC603,"N/A")</f>
        <v/>
      </c>
      <c r="BD676" s="1134">
        <f>IFERROR(+BD685*BD603,"N/A")</f>
        <v/>
      </c>
      <c r="BE676" s="93">
        <f>IFERROR(+BE685*BE603,"N/A")</f>
        <v/>
      </c>
      <c r="BF676" s="93">
        <f>IFERROR(+BF685*BF603,"N/A")</f>
        <v/>
      </c>
      <c r="BG676" s="93">
        <f>IFERROR(+BG685*BG603,"N/A")</f>
        <v/>
      </c>
      <c r="BH676" s="93">
        <f>IFERROR(+BH685*BH603,"N/A")</f>
        <v/>
      </c>
      <c r="BI676" s="1134">
        <f>IFERROR(+BI685*BI603,"N/A")</f>
        <v/>
      </c>
      <c r="BJ676" s="93">
        <f>IFERROR(+BJ685*BJ603,"N/A")</f>
        <v/>
      </c>
      <c r="BK676" s="93">
        <f>IFERROR(+BK685*BK603,"N/A")</f>
        <v/>
      </c>
      <c r="BL676" s="93">
        <f>IFERROR(+BL685*BL603,"N/A")</f>
        <v/>
      </c>
      <c r="BM676" s="93">
        <f>IFERROR(+BM685*BM603,"N/A")</f>
        <v/>
      </c>
      <c r="BN676" s="1134">
        <f>IFERROR(+BN685*BN603,"N/A")</f>
        <v/>
      </c>
      <c r="BO676" s="93">
        <f>IFERROR(+BO685*BO603,"N/A")</f>
        <v/>
      </c>
      <c r="BP676" s="93">
        <f>IFERROR(+BP685*BP603,"N/A")</f>
        <v/>
      </c>
      <c r="BQ676" s="93">
        <f>IFERROR(+BQ685*BQ603,"N/A")</f>
        <v/>
      </c>
      <c r="BR676" s="93">
        <f>IFERROR(+BR685*BR603,"N/A")</f>
        <v/>
      </c>
      <c r="BS676" s="1134">
        <f>IFERROR(+BS685*BS603,"N/A")</f>
        <v/>
      </c>
      <c r="BT676" s="93">
        <f>IFERROR(+BT685*BT603,"N/A")</f>
        <v/>
      </c>
      <c r="BU676" s="93">
        <f>IFERROR(+BU685*BU603,"N/A")</f>
        <v/>
      </c>
      <c r="BV676" s="522">
        <f>IFERROR(+BV685*BV603,"N/A")</f>
        <v/>
      </c>
      <c r="BW676" s="93" t="n"/>
      <c r="BX676" s="1134" t="n"/>
      <c r="BY676" s="93" t="n"/>
      <c r="BZ676" s="93" t="n"/>
      <c r="CA676" s="93" t="n"/>
      <c r="CB676" s="93" t="n"/>
      <c r="CC676" s="1134" t="n"/>
      <c r="CD676" s="1134" t="n"/>
      <c r="CE676" s="1134" t="n"/>
      <c r="CF676" s="1134" t="n"/>
      <c r="CG676" s="93" t="n"/>
    </row>
    <row r="677" hidden="1" outlineLevel="3" ht="15" customHeight="1">
      <c r="A677" s="823" t="inlineStr">
        <is>
          <t>Forward annual non-GAAP gross profit guidance - high, mm</t>
        </is>
      </c>
      <c r="B677" s="824" t="n"/>
      <c r="C677" s="1199" t="n"/>
      <c r="D677" s="1199" t="n"/>
      <c r="E677" s="1199" t="n"/>
      <c r="F677" s="1199" t="n"/>
      <c r="G677" s="158" t="n"/>
      <c r="H677" s="158" t="n"/>
      <c r="I677" s="158" t="n"/>
      <c r="J677" s="158" t="n"/>
      <c r="K677" s="1199" t="n"/>
      <c r="L677" s="158" t="n"/>
      <c r="M677" s="158" t="n"/>
      <c r="N677" s="158" t="n"/>
      <c r="O677" s="158" t="n"/>
      <c r="P677" s="1199" t="n"/>
      <c r="Q677" s="158" t="n"/>
      <c r="R677" s="158" t="n"/>
      <c r="S677" s="158" t="n"/>
      <c r="T677" s="158" t="n"/>
      <c r="U677" s="1199" t="n"/>
      <c r="V677" s="158" t="n"/>
      <c r="W677" s="158" t="n"/>
      <c r="X677" s="158" t="n"/>
      <c r="Y677" s="158" t="n"/>
      <c r="Z677" s="1199" t="n"/>
      <c r="AA677" s="158" t="n"/>
      <c r="AB677" s="158" t="n"/>
      <c r="AC677" s="158" t="n"/>
      <c r="AD677" s="158" t="n"/>
      <c r="AE677" s="1199" t="n"/>
      <c r="AF677" s="158" t="n"/>
      <c r="AG677" s="158" t="n"/>
      <c r="AH677" s="158">
        <f>IFERROR(+AH686*AH604,"N/A")</f>
        <v/>
      </c>
      <c r="AI677" s="158">
        <f>IFERROR(+AI686*AI604,"N/A")</f>
        <v/>
      </c>
      <c r="AJ677" s="1199">
        <f>IFERROR(+AJ686*AJ604,"N/A")</f>
        <v/>
      </c>
      <c r="AK677" s="158">
        <f>IFERROR(+AK686*AK604,"N/A")</f>
        <v/>
      </c>
      <c r="AL677" s="158">
        <f>IFERROR(+AL686*AL604,"N/A")</f>
        <v/>
      </c>
      <c r="AM677" s="158">
        <f>IFERROR(+AM686*AM604,"N/A")</f>
        <v/>
      </c>
      <c r="AN677" s="158">
        <f>IFERROR(+AN686*AN604,"N/A")</f>
        <v/>
      </c>
      <c r="AO677" s="1199">
        <f>IFERROR(+AO686*AO604,"N/A")</f>
        <v/>
      </c>
      <c r="AP677" s="158">
        <f>IFERROR(+AP686*AP604,"N/A")</f>
        <v/>
      </c>
      <c r="AQ677" s="158">
        <f>IFERROR(+AQ686*AQ604,"N/A")</f>
        <v/>
      </c>
      <c r="AR677" s="158">
        <f>IFERROR(+AR686*AR604,"N/A")</f>
        <v/>
      </c>
      <c r="AS677" s="158">
        <f>IFERROR(+AS686*AS604,"N/A")</f>
        <v/>
      </c>
      <c r="AT677" s="1199">
        <f>IFERROR(+AT686*AT604,"N/A")</f>
        <v/>
      </c>
      <c r="AU677" s="158">
        <f>IFERROR(+AU686*AU604,"N/A")</f>
        <v/>
      </c>
      <c r="AV677" s="158">
        <f>IFERROR(+AV686*AV604,"N/A")</f>
        <v/>
      </c>
      <c r="AW677" s="158">
        <f>IFERROR(+AW686*AW604,"N/A")</f>
        <v/>
      </c>
      <c r="AX677" s="158">
        <f>IFERROR(+AX686*AX604,"N/A")</f>
        <v/>
      </c>
      <c r="AY677" s="1199">
        <f>IFERROR(+AY686*AY604,"N/A")</f>
        <v/>
      </c>
      <c r="AZ677" s="158">
        <f>IFERROR(+AZ686*AZ604,"N/A")</f>
        <v/>
      </c>
      <c r="BA677" s="158">
        <f>IFERROR(+BA686*BA604,"N/A")</f>
        <v/>
      </c>
      <c r="BB677" s="158">
        <f>IFERROR(+BB686*BB604,"N/A")</f>
        <v/>
      </c>
      <c r="BC677" s="158">
        <f>IFERROR(+BC686*BC604,"N/A")</f>
        <v/>
      </c>
      <c r="BD677" s="1199">
        <f>IFERROR(+BD686*BD604,"N/A")</f>
        <v/>
      </c>
      <c r="BE677" s="158">
        <f>IFERROR(+BE686*BE604,"N/A")</f>
        <v/>
      </c>
      <c r="BF677" s="158">
        <f>IFERROR(+BF686*BF604,"N/A")</f>
        <v/>
      </c>
      <c r="BG677" s="158">
        <f>IFERROR(+BG686*BG604,"N/A")</f>
        <v/>
      </c>
      <c r="BH677" s="158">
        <f>IFERROR(+BH686*BH604,"N/A")</f>
        <v/>
      </c>
      <c r="BI677" s="1199">
        <f>IFERROR(+BI686*BI604,"N/A")</f>
        <v/>
      </c>
      <c r="BJ677" s="158">
        <f>IFERROR(+BJ686*BJ604,"N/A")</f>
        <v/>
      </c>
      <c r="BK677" s="158">
        <f>IFERROR(+BK686*BK604,"N/A")</f>
        <v/>
      </c>
      <c r="BL677" s="158">
        <f>IFERROR(+BL686*BL604,"N/A")</f>
        <v/>
      </c>
      <c r="BM677" s="158">
        <f>IFERROR(+BM686*BM604,"N/A")</f>
        <v/>
      </c>
      <c r="BN677" s="1199">
        <f>IFERROR(+BN686*BN604,"N/A")</f>
        <v/>
      </c>
      <c r="BO677" s="158">
        <f>IFERROR(+BO686*BO604,"N/A")</f>
        <v/>
      </c>
      <c r="BP677" s="158">
        <f>IFERROR(+BP686*BP604,"N/A")</f>
        <v/>
      </c>
      <c r="BQ677" s="158">
        <f>IFERROR(+BQ686*BQ604,"N/A")</f>
        <v/>
      </c>
      <c r="BR677" s="158">
        <f>IFERROR(+BR686*BR604,"N/A")</f>
        <v/>
      </c>
      <c r="BS677" s="1199">
        <f>IFERROR(+BS686*BS604,"N/A")</f>
        <v/>
      </c>
      <c r="BT677" s="158">
        <f>IFERROR(+BT686*BT604,"N/A")</f>
        <v/>
      </c>
      <c r="BU677" s="158">
        <f>IFERROR(+BU686*BU604,"N/A")</f>
        <v/>
      </c>
      <c r="BV677" s="537">
        <f>IFERROR(+BV686*BV604,"N/A")</f>
        <v/>
      </c>
      <c r="BW677" s="158" t="n"/>
      <c r="BX677" s="1199" t="n"/>
      <c r="BY677" s="158" t="n"/>
      <c r="BZ677" s="158" t="n"/>
      <c r="CA677" s="158" t="n"/>
      <c r="CB677" s="158" t="n"/>
      <c r="CC677" s="1199" t="n"/>
      <c r="CD677" s="1199" t="n"/>
      <c r="CE677" s="1199" t="n"/>
      <c r="CF677" s="1199" t="n"/>
      <c r="CG677" s="93" t="n"/>
    </row>
    <row r="678" hidden="1" outlineLevel="2" collapsed="1" ht="15" customHeight="1">
      <c r="A678" s="609" t="inlineStr">
        <is>
          <t>Forward annual non-GAAP gross profit guidance - midpoint, mm</t>
        </is>
      </c>
      <c r="B678" s="610" t="n"/>
      <c r="C678" s="1159" t="n"/>
      <c r="D678" s="1159" t="n"/>
      <c r="E678" s="1159" t="n"/>
      <c r="F678" s="1159" t="n"/>
      <c r="G678" s="378" t="n"/>
      <c r="H678" s="378" t="n"/>
      <c r="I678" s="378" t="n"/>
      <c r="J678" s="378" t="n"/>
      <c r="K678" s="1159" t="n"/>
      <c r="L678" s="378" t="n"/>
      <c r="M678" s="378" t="n"/>
      <c r="N678" s="378" t="n"/>
      <c r="O678" s="378" t="n"/>
      <c r="P678" s="1159" t="n"/>
      <c r="Q678" s="378" t="n"/>
      <c r="R678" s="378" t="n"/>
      <c r="S678" s="378" t="n"/>
      <c r="T678" s="378" t="n"/>
      <c r="U678" s="1159" t="n"/>
      <c r="V678" s="378" t="n"/>
      <c r="W678" s="378" t="n"/>
      <c r="X678" s="378" t="n"/>
      <c r="Y678" s="378" t="n"/>
      <c r="Z678" s="1159" t="n"/>
      <c r="AA678" s="378" t="n"/>
      <c r="AB678" s="378" t="n"/>
      <c r="AC678" s="378" t="n"/>
      <c r="AD678" s="378" t="n"/>
      <c r="AE678" s="1159" t="n"/>
      <c r="AF678" s="378" t="n"/>
      <c r="AG678" s="378" t="n"/>
      <c r="AH678" s="378">
        <f>IFERROR(AVERAGE(AH676,AH677),"")</f>
        <v/>
      </c>
      <c r="AI678" s="378">
        <f>IFERROR(AVERAGE(AI676,AI677),"")</f>
        <v/>
      </c>
      <c r="AJ678" s="1159">
        <f>IFERROR(AVERAGE(AJ676,AJ677),"")</f>
        <v/>
      </c>
      <c r="AK678" s="378">
        <f>IFERROR(AVERAGE(AK676,AK677),"")</f>
        <v/>
      </c>
      <c r="AL678" s="378">
        <f>IFERROR(AVERAGE(AL676,AL677),"")</f>
        <v/>
      </c>
      <c r="AM678" s="378">
        <f>IFERROR(AVERAGE(AM676,AM677),"")</f>
        <v/>
      </c>
      <c r="AN678" s="378">
        <f>IFERROR(AVERAGE(AN676,AN677),"")</f>
        <v/>
      </c>
      <c r="AO678" s="1159">
        <f>IFERROR(AVERAGE(AO676,AO677),"")</f>
        <v/>
      </c>
      <c r="AP678" s="378">
        <f>IFERROR(AVERAGE(AP676,AP677),"")</f>
        <v/>
      </c>
      <c r="AQ678" s="378">
        <f>IFERROR(AVERAGE(AQ676,AQ677),"")</f>
        <v/>
      </c>
      <c r="AR678" s="378">
        <f>IFERROR(AVERAGE(AR676,AR677),"")</f>
        <v/>
      </c>
      <c r="AS678" s="378">
        <f>IFERROR(AVERAGE(AS676,AS677),"")</f>
        <v/>
      </c>
      <c r="AT678" s="1159">
        <f>IFERROR(AVERAGE(AT676,AT677),"")</f>
        <v/>
      </c>
      <c r="AU678" s="378">
        <f>IFERROR(AVERAGE(AU676,AU677),"")</f>
        <v/>
      </c>
      <c r="AV678" s="378">
        <f>IFERROR(AVERAGE(AV676,AV677),"")</f>
        <v/>
      </c>
      <c r="AW678" s="378">
        <f>IFERROR(AVERAGE(AW676,AW677),"")</f>
        <v/>
      </c>
      <c r="AX678" s="378">
        <f>IFERROR(AVERAGE(AX676,AX677),"")</f>
        <v/>
      </c>
      <c r="AY678" s="1159">
        <f>IFERROR(AVERAGE(AY676,AY677),"")</f>
        <v/>
      </c>
      <c r="AZ678" s="378">
        <f>IFERROR(AVERAGE(AZ676,AZ677),"")</f>
        <v/>
      </c>
      <c r="BA678" s="378">
        <f>IFERROR(AVERAGE(BA676,BA677),"")</f>
        <v/>
      </c>
      <c r="BB678" s="378">
        <f>IFERROR(AVERAGE(BB676,BB677),"")</f>
        <v/>
      </c>
      <c r="BC678" s="378">
        <f>IFERROR(AVERAGE(BC676,BC677),"")</f>
        <v/>
      </c>
      <c r="BD678" s="1159">
        <f>IFERROR(AVERAGE(BD676,BD677),"")</f>
        <v/>
      </c>
      <c r="BE678" s="378">
        <f>IFERROR(AVERAGE(BE676,BE677),"")</f>
        <v/>
      </c>
      <c r="BF678" s="378">
        <f>IFERROR(AVERAGE(BF676,BF677),"")</f>
        <v/>
      </c>
      <c r="BG678" s="378">
        <f>IFERROR(AVERAGE(BG676,BG677),"")</f>
        <v/>
      </c>
      <c r="BH678" s="378">
        <f>IFERROR(AVERAGE(BH676,BH677),"")</f>
        <v/>
      </c>
      <c r="BI678" s="1159">
        <f>IFERROR(AVERAGE(BI676,BI677),"")</f>
        <v/>
      </c>
      <c r="BJ678" s="378">
        <f>IFERROR(AVERAGE(BJ676,BJ677),"")</f>
        <v/>
      </c>
      <c r="BK678" s="378">
        <f>IFERROR(AVERAGE(BK676,BK677),"")</f>
        <v/>
      </c>
      <c r="BL678" s="378">
        <f>IFERROR(AVERAGE(BL676,BL677),"")</f>
        <v/>
      </c>
      <c r="BM678" s="378">
        <f>IFERROR(AVERAGE(BM676,BM677),"")</f>
        <v/>
      </c>
      <c r="BN678" s="1159">
        <f>IFERROR(AVERAGE(BN676,BN677),"")</f>
        <v/>
      </c>
      <c r="BO678" s="378">
        <f>IFERROR(AVERAGE(BO676,BO677),"")</f>
        <v/>
      </c>
      <c r="BP678" s="378">
        <f>IFERROR(AVERAGE(BP676,BP677),"")</f>
        <v/>
      </c>
      <c r="BQ678" s="378">
        <f>IFERROR(AVERAGE(BQ676,BQ677),"")</f>
        <v/>
      </c>
      <c r="BR678" s="378">
        <f>IFERROR(AVERAGE(BR676,BR677),"")</f>
        <v/>
      </c>
      <c r="BS678" s="1159">
        <f>IFERROR(AVERAGE(BS676,BS677),"")</f>
        <v/>
      </c>
      <c r="BT678" s="378">
        <f>IFERROR(AVERAGE(BT676,BT677),"")</f>
        <v/>
      </c>
      <c r="BU678" s="378">
        <f>IFERROR(AVERAGE(BU676,BU677),"")</f>
        <v/>
      </c>
      <c r="BV678" s="1037">
        <f>IFERROR(AVERAGE(BV676,BV677),"")</f>
        <v/>
      </c>
      <c r="BW678" s="378" t="n"/>
      <c r="BX678" s="1159" t="n"/>
      <c r="BY678" s="378" t="n"/>
      <c r="BZ678" s="378" t="n"/>
      <c r="CA678" s="378" t="n"/>
      <c r="CB678" s="378" t="n"/>
      <c r="CC678" s="1159" t="n"/>
      <c r="CD678" s="1159" t="n"/>
      <c r="CE678" s="1159" t="n"/>
      <c r="CF678" s="1159" t="n"/>
      <c r="CG678" s="93" t="n"/>
    </row>
    <row r="679" hidden="1" outlineLevel="2" ht="15" customHeight="1">
      <c r="A679" s="492" t="inlineStr">
        <is>
          <t>Forward annual non-GAAP gross profit guidance variance, mm</t>
        </is>
      </c>
      <c r="B679" s="428" t="n"/>
      <c r="C679" s="1134" t="n"/>
      <c r="D679" s="1134" t="n"/>
      <c r="E679" s="1134" t="n"/>
      <c r="F679" s="1134" t="n"/>
      <c r="G679" s="93" t="n"/>
      <c r="H679" s="93" t="n"/>
      <c r="I679" s="93" t="n"/>
      <c r="J679" s="93" t="n"/>
      <c r="K679" s="1134" t="n"/>
      <c r="L679" s="93" t="n"/>
      <c r="M679" s="93" t="n"/>
      <c r="N679" s="93" t="n"/>
      <c r="O679" s="93" t="n"/>
      <c r="P679" s="1134" t="n"/>
      <c r="Q679" s="93" t="n"/>
      <c r="R679" s="93" t="n"/>
      <c r="S679" s="93" t="n"/>
      <c r="T679" s="93" t="n"/>
      <c r="U679" s="1134" t="n"/>
      <c r="V679" s="93" t="n"/>
      <c r="W679" s="93" t="n"/>
      <c r="X679" s="93" t="n"/>
      <c r="Y679" s="93" t="n"/>
      <c r="Z679" s="1134" t="n"/>
      <c r="AA679" s="93" t="n"/>
      <c r="AB679" s="93" t="n"/>
      <c r="AC679" s="93" t="n"/>
      <c r="AD679" s="93" t="n"/>
      <c r="AE679" s="1134" t="n"/>
      <c r="AF679" s="93" t="n"/>
      <c r="AG679" s="93" t="n"/>
      <c r="AH679" s="93">
        <f>IFERROR(ABS(AH677-AH676),"")</f>
        <v/>
      </c>
      <c r="AI679" s="93">
        <f>IFERROR(ABS(AI677-AI676),"")</f>
        <v/>
      </c>
      <c r="AJ679" s="1134">
        <f>IFERROR(ABS(AJ677-AJ676),"")</f>
        <v/>
      </c>
      <c r="AK679" s="93">
        <f>IFERROR(ABS(AK677-AK676),"")</f>
        <v/>
      </c>
      <c r="AL679" s="93">
        <f>IFERROR(ABS(AL677-AL676),"")</f>
        <v/>
      </c>
      <c r="AM679" s="93">
        <f>IFERROR(ABS(AM677-AM676),"")</f>
        <v/>
      </c>
      <c r="AN679" s="93">
        <f>IFERROR(ABS(AN677-AN676),"")</f>
        <v/>
      </c>
      <c r="AO679" s="1134">
        <f>IFERROR(ABS(AO677-AO676),"")</f>
        <v/>
      </c>
      <c r="AP679" s="93">
        <f>IFERROR(ABS(AP677-AP676),"")</f>
        <v/>
      </c>
      <c r="AQ679" s="93">
        <f>IFERROR(ABS(AQ677-AQ676),"")</f>
        <v/>
      </c>
      <c r="AR679" s="93">
        <f>IFERROR(ABS(AR677-AR676),"")</f>
        <v/>
      </c>
      <c r="AS679" s="93">
        <f>IFERROR(ABS(AS677-AS676),"")</f>
        <v/>
      </c>
      <c r="AT679" s="1134">
        <f>IFERROR(ABS(AT677-AT676),"")</f>
        <v/>
      </c>
      <c r="AU679" s="93">
        <f>IFERROR(ABS(AU677-AU676),"")</f>
        <v/>
      </c>
      <c r="AV679" s="93">
        <f>IFERROR(ABS(AV677-AV676),"")</f>
        <v/>
      </c>
      <c r="AW679" s="93">
        <f>IFERROR(ABS(AW677-AW676),"")</f>
        <v/>
      </c>
      <c r="AX679" s="93">
        <f>IFERROR(ABS(AX677-AX676),"")</f>
        <v/>
      </c>
      <c r="AY679" s="1134">
        <f>IFERROR(ABS(AY677-AY676),"")</f>
        <v/>
      </c>
      <c r="AZ679" s="93">
        <f>IFERROR(ABS(AZ677-AZ676),"")</f>
        <v/>
      </c>
      <c r="BA679" s="93">
        <f>IFERROR(ABS(BA677-BA676),"")</f>
        <v/>
      </c>
      <c r="BB679" s="93">
        <f>IFERROR(ABS(BB677-BB676),"")</f>
        <v/>
      </c>
      <c r="BC679" s="93">
        <f>IFERROR(ABS(BC677-BC676),"")</f>
        <v/>
      </c>
      <c r="BD679" s="1134">
        <f>IFERROR(ABS(BD677-BD676),"")</f>
        <v/>
      </c>
      <c r="BE679" s="93">
        <f>IFERROR(ABS(BE677-BE676),"")</f>
        <v/>
      </c>
      <c r="BF679" s="93">
        <f>IFERROR(ABS(BF677-BF676),"")</f>
        <v/>
      </c>
      <c r="BG679" s="93">
        <f>IFERROR(ABS(BG677-BG676),"")</f>
        <v/>
      </c>
      <c r="BH679" s="93">
        <f>IFERROR(ABS(BH677-BH676),"")</f>
        <v/>
      </c>
      <c r="BI679" s="1134">
        <f>IFERROR(ABS(BI677-BI676),"")</f>
        <v/>
      </c>
      <c r="BJ679" s="93">
        <f>IFERROR(ABS(BJ677-BJ676),"")</f>
        <v/>
      </c>
      <c r="BK679" s="93">
        <f>IFERROR(ABS(BK677-BK676),"")</f>
        <v/>
      </c>
      <c r="BL679" s="93">
        <f>IFERROR(ABS(BL677-BL676),"")</f>
        <v/>
      </c>
      <c r="BM679" s="93">
        <f>IFERROR(ABS(BM677-BM676),"")</f>
        <v/>
      </c>
      <c r="BN679" s="1134">
        <f>IFERROR(ABS(BN677-BN676),"")</f>
        <v/>
      </c>
      <c r="BO679" s="93">
        <f>IFERROR(ABS(BO677-BO676),"")</f>
        <v/>
      </c>
      <c r="BP679" s="93">
        <f>IFERROR(ABS(BP677-BP676),"")</f>
        <v/>
      </c>
      <c r="BQ679" s="93">
        <f>IFERROR(ABS(BQ677-BQ676),"")</f>
        <v/>
      </c>
      <c r="BR679" s="93">
        <f>IFERROR(ABS(BR677-BR676),"")</f>
        <v/>
      </c>
      <c r="BS679" s="1134">
        <f>IFERROR(ABS(BS677-BS676),"")</f>
        <v/>
      </c>
      <c r="BT679" s="93">
        <f>IFERROR(ABS(BT677-BT676),"")</f>
        <v/>
      </c>
      <c r="BU679" s="93">
        <f>IFERROR(ABS(BU677-BU676),"")</f>
        <v/>
      </c>
      <c r="BV679" s="522">
        <f>IFERROR(ABS(BV677-BV676),"")</f>
        <v/>
      </c>
      <c r="BW679" s="93" t="n"/>
      <c r="BX679" s="1134" t="n"/>
      <c r="BY679" s="93" t="n"/>
      <c r="BZ679" s="93" t="n"/>
      <c r="CA679" s="93" t="n"/>
      <c r="CB679" s="93" t="n"/>
      <c r="CC679" s="1134" t="n"/>
      <c r="CD679" s="1134" t="n"/>
      <c r="CE679" s="1134" t="n"/>
      <c r="CF679" s="1134" t="n"/>
      <c r="CG679" s="93" t="n"/>
    </row>
    <row r="680" hidden="1" outlineLevel="2" ht="15" customHeight="1">
      <c r="A680" s="647" t="inlineStr">
        <is>
          <t>Forward annual non-GAAP gross profit guidance variance (+/-), %</t>
        </is>
      </c>
      <c r="B680" s="428" t="n"/>
      <c r="C680" s="1126" t="n"/>
      <c r="D680" s="1126" t="n"/>
      <c r="E680" s="1126" t="n"/>
      <c r="F680" s="1126" t="n"/>
      <c r="G680" s="315" t="n"/>
      <c r="H680" s="315" t="n"/>
      <c r="I680" s="315" t="n"/>
      <c r="J680" s="315" t="n"/>
      <c r="K680" s="1126" t="n"/>
      <c r="L680" s="315" t="n"/>
      <c r="M680" s="315" t="n"/>
      <c r="N680" s="315" t="n"/>
      <c r="O680" s="315" t="n"/>
      <c r="P680" s="1126" t="n"/>
      <c r="Q680" s="315" t="n"/>
      <c r="R680" s="315" t="n"/>
      <c r="S680" s="315" t="n"/>
      <c r="T680" s="315" t="n"/>
      <c r="U680" s="1126" t="n"/>
      <c r="V680" s="315" t="n"/>
      <c r="W680" s="315" t="n"/>
      <c r="X680" s="315" t="n"/>
      <c r="Y680" s="315" t="n"/>
      <c r="Z680" s="1126" t="n"/>
      <c r="AA680" s="315" t="n"/>
      <c r="AB680" s="315" t="n"/>
      <c r="AC680" s="315" t="n"/>
      <c r="AD680" s="315" t="n"/>
      <c r="AE680" s="1126" t="n"/>
      <c r="AF680" s="315" t="n"/>
      <c r="AG680" s="315" t="n"/>
      <c r="AH680" s="315">
        <f>IFERROR(ABS((AH677-AH678)/AH678),"")</f>
        <v/>
      </c>
      <c r="AI680" s="315">
        <f>IFERROR(ABS((AI677-AI678)/AI678),"")</f>
        <v/>
      </c>
      <c r="AJ680" s="1126">
        <f>IFERROR(ABS((AJ677-AJ678)/AJ678),"")</f>
        <v/>
      </c>
      <c r="AK680" s="315">
        <f>IFERROR(ABS((AK677-AK678)/AK678),"")</f>
        <v/>
      </c>
      <c r="AL680" s="315">
        <f>IFERROR(ABS((AL677-AL678)/AL678),"")</f>
        <v/>
      </c>
      <c r="AM680" s="315">
        <f>IFERROR(ABS((AM677-AM678)/AM678),"")</f>
        <v/>
      </c>
      <c r="AN680" s="315">
        <f>IFERROR(ABS((AN677-AN678)/AN678),"")</f>
        <v/>
      </c>
      <c r="AO680" s="1126">
        <f>IFERROR(ABS((AO677-AO678)/AO678),"")</f>
        <v/>
      </c>
      <c r="AP680" s="315">
        <f>IFERROR(ABS((AP677-AP678)/AP678),"")</f>
        <v/>
      </c>
      <c r="AQ680" s="315">
        <f>IFERROR(ABS((AQ677-AQ678)/AQ678),"")</f>
        <v/>
      </c>
      <c r="AR680" s="315">
        <f>IFERROR(ABS((AR677-AR678)/AR678),"")</f>
        <v/>
      </c>
      <c r="AS680" s="315">
        <f>IFERROR(ABS((AS677-AS678)/AS678),"")</f>
        <v/>
      </c>
      <c r="AT680" s="1126">
        <f>IFERROR(ABS((AT677-AT678)/AT678),"")</f>
        <v/>
      </c>
      <c r="AU680" s="315">
        <f>IFERROR(ABS((AU677-AU678)/AU678),"")</f>
        <v/>
      </c>
      <c r="AV680" s="315">
        <f>IFERROR(ABS((AV677-AV678)/AV678),"")</f>
        <v/>
      </c>
      <c r="AW680" s="315">
        <f>IFERROR(ABS((AW677-AW678)/AW678),"")</f>
        <v/>
      </c>
      <c r="AX680" s="315">
        <f>IFERROR(ABS((AX677-AX678)/AX678),"")</f>
        <v/>
      </c>
      <c r="AY680" s="1126">
        <f>IFERROR(ABS((AY677-AY678)/AY678),"")</f>
        <v/>
      </c>
      <c r="AZ680" s="315">
        <f>IFERROR(ABS((AZ677-AZ678)/AZ678),"")</f>
        <v/>
      </c>
      <c r="BA680" s="315">
        <f>IFERROR(ABS((BA677-BA678)/BA678),"")</f>
        <v/>
      </c>
      <c r="BB680" s="315">
        <f>IFERROR(ABS((BB677-BB678)/BB678),"")</f>
        <v/>
      </c>
      <c r="BC680" s="315">
        <f>IFERROR(ABS((BC677-BC678)/BC678),"")</f>
        <v/>
      </c>
      <c r="BD680" s="1126">
        <f>IFERROR(ABS((BD677-BD678)/BD678),"")</f>
        <v/>
      </c>
      <c r="BE680" s="315">
        <f>IFERROR(ABS((BE677-BE678)/BE678),"")</f>
        <v/>
      </c>
      <c r="BF680" s="315">
        <f>IFERROR(ABS((BF677-BF678)/BF678),"")</f>
        <v/>
      </c>
      <c r="BG680" s="315">
        <f>IFERROR(ABS((BG677-BG678)/BG678),"")</f>
        <v/>
      </c>
      <c r="BH680" s="315">
        <f>IFERROR(ABS((BH677-BH678)/BH678),"")</f>
        <v/>
      </c>
      <c r="BI680" s="1126">
        <f>IFERROR(ABS((BI677-BI678)/BI678),"")</f>
        <v/>
      </c>
      <c r="BJ680" s="315">
        <f>IFERROR(ABS((BJ677-BJ678)/BJ678),"")</f>
        <v/>
      </c>
      <c r="BK680" s="315">
        <f>IFERROR(ABS((BK677-BK678)/BK678),"")</f>
        <v/>
      </c>
      <c r="BL680" s="315">
        <f>IFERROR(ABS((BL677-BL678)/BL678),"")</f>
        <v/>
      </c>
      <c r="BM680" s="315">
        <f>IFERROR(ABS((BM677-BM678)/BM678),"")</f>
        <v/>
      </c>
      <c r="BN680" s="1126">
        <f>IFERROR(ABS((BN677-BN678)/BN678),"")</f>
        <v/>
      </c>
      <c r="BO680" s="315">
        <f>IFERROR(ABS((BO677-BO678)/BO678),"")</f>
        <v/>
      </c>
      <c r="BP680" s="315">
        <f>IFERROR(ABS((BP677-BP678)/BP678),"")</f>
        <v/>
      </c>
      <c r="BQ680" s="315">
        <f>IFERROR(ABS((BQ677-BQ678)/BQ678),"")</f>
        <v/>
      </c>
      <c r="BR680" s="315">
        <f>IFERROR(ABS((BR677-BR678)/BR678),"")</f>
        <v/>
      </c>
      <c r="BS680" s="1126">
        <f>IFERROR(ABS((BS677-BS678)/BS678),"")</f>
        <v/>
      </c>
      <c r="BT680" s="315">
        <f>IFERROR(ABS((BT677-BT678)/BT678),"")</f>
        <v/>
      </c>
      <c r="BU680" s="315">
        <f>IFERROR(ABS((BU677-BU678)/BU678),"")</f>
        <v/>
      </c>
      <c r="BV680" s="885">
        <f>IFERROR(ABS((BV677-BV678)/BV678),"")</f>
        <v/>
      </c>
      <c r="BW680" s="315" t="n"/>
      <c r="BX680" s="1126" t="n"/>
      <c r="BY680" s="315" t="n"/>
      <c r="BZ680" s="315" t="n"/>
      <c r="CA680" s="315" t="n"/>
      <c r="CB680" s="315" t="n"/>
      <c r="CC680" s="1126" t="n"/>
      <c r="CD680" s="1126" t="n"/>
      <c r="CE680" s="1126" t="n"/>
      <c r="CF680" s="1126" t="n"/>
      <c r="CG680" s="93" t="n"/>
    </row>
    <row r="681" hidden="1" outlineLevel="3" ht="15" customHeight="1">
      <c r="A681" s="648" t="inlineStr">
        <is>
          <t>Forward annual guided Y/Y non-GAAP gross profit growth - low, %</t>
        </is>
      </c>
      <c r="B681" s="112" t="n"/>
      <c r="C681" s="1113" t="n"/>
      <c r="D681" s="1113" t="n"/>
      <c r="E681" s="1113" t="n"/>
      <c r="F681" s="1113" t="n"/>
      <c r="G681" s="90" t="n"/>
      <c r="H681" s="90" t="n"/>
      <c r="I681" s="90" t="n"/>
      <c r="J681" s="90" t="n"/>
      <c r="K681" s="1113" t="n"/>
      <c r="L681" s="90" t="n"/>
      <c r="M681" s="90" t="n"/>
      <c r="N681" s="90" t="n"/>
      <c r="O681" s="90" t="n"/>
      <c r="P681" s="1113" t="n"/>
      <c r="Q681" s="90" t="n"/>
      <c r="R681" s="90" t="n"/>
      <c r="S681" s="90" t="n"/>
      <c r="T681" s="90" t="n"/>
      <c r="U681" s="1113" t="n"/>
      <c r="V681" s="90" t="n"/>
      <c r="W681" s="90" t="n"/>
      <c r="X681" s="90" t="n"/>
      <c r="Y681" s="90" t="n"/>
      <c r="Z681" s="1113" t="n"/>
      <c r="AA681" s="90" t="n"/>
      <c r="AB681" s="90" t="n"/>
      <c r="AC681" s="90" t="n"/>
      <c r="AD681" s="90" t="n"/>
      <c r="AE681" s="1113" t="n"/>
      <c r="AF681" s="90" t="n"/>
      <c r="AG681" s="90" t="n"/>
      <c r="AH681" s="90">
        <f>IFERROR(AH676/AE627-1,"")</f>
        <v/>
      </c>
      <c r="AI681" s="90">
        <f>IFERROR(AI676/AJ627-1,"")</f>
        <v/>
      </c>
      <c r="AJ681" s="1113">
        <f>IFERROR(AJ676/AJ627-1,"")</f>
        <v/>
      </c>
      <c r="AK681" s="90">
        <f>IFERROR(AK676/AJ627-1,"")</f>
        <v/>
      </c>
      <c r="AL681" s="90">
        <f>IFERROR(AL676/AJ627-1,"")</f>
        <v/>
      </c>
      <c r="AM681" s="90">
        <f>IFERROR(AM676/AJ627-1,"")</f>
        <v/>
      </c>
      <c r="AN681" s="90">
        <f>IFERROR(AN676/AO627-1,"")</f>
        <v/>
      </c>
      <c r="AO681" s="1113">
        <f>IFERROR(AO676/AO627-1,"")</f>
        <v/>
      </c>
      <c r="AP681" s="90">
        <f>IFERROR(AP676/AO627-1,"")</f>
        <v/>
      </c>
      <c r="AQ681" s="90">
        <f>IFERROR(AQ676/AO627-1,"")</f>
        <v/>
      </c>
      <c r="AR681" s="90">
        <f>IFERROR(AR676/AO627-1,"")</f>
        <v/>
      </c>
      <c r="AS681" s="90">
        <f>IFERROR(AS676/AT627-1,"")</f>
        <v/>
      </c>
      <c r="AT681" s="1113">
        <f>IFERROR(AT676/AT627-1,"")</f>
        <v/>
      </c>
      <c r="AU681" s="90">
        <f>IFERROR(AU676/AT627-1,"")</f>
        <v/>
      </c>
      <c r="AV681" s="90">
        <f>IFERROR(AV676/AT627-1,"")</f>
        <v/>
      </c>
      <c r="AW681" s="90">
        <f>IFERROR(AW676/AT627-1,"")</f>
        <v/>
      </c>
      <c r="AX681" s="90">
        <f>IFERROR(AX676/AY627-1,"")</f>
        <v/>
      </c>
      <c r="AY681" s="1113">
        <f>IFERROR(AY676/AY627-1,"")</f>
        <v/>
      </c>
      <c r="AZ681" s="90">
        <f>IFERROR(AZ676/AY627-1,"")</f>
        <v/>
      </c>
      <c r="BA681" s="90">
        <f>IFERROR(BA676/AY627-1,"")</f>
        <v/>
      </c>
      <c r="BB681" s="90">
        <f>IFERROR(BB676/AY627-1,"")</f>
        <v/>
      </c>
      <c r="BC681" s="90">
        <f>IFERROR(BC676/BD627-1,"")</f>
        <v/>
      </c>
      <c r="BD681" s="1113">
        <f>IFERROR(BD676/BD627-1,"")</f>
        <v/>
      </c>
      <c r="BE681" s="90">
        <f>IFERROR(BE676/BD627-1,"")</f>
        <v/>
      </c>
      <c r="BF681" s="90">
        <f>IFERROR(BF676/BD627-1,"")</f>
        <v/>
      </c>
      <c r="BG681" s="90">
        <f>IFERROR(BG676/BD627-1,"")</f>
        <v/>
      </c>
      <c r="BH681" s="90">
        <f>IFERROR(BH676/BI627-1,"")</f>
        <v/>
      </c>
      <c r="BI681" s="1113">
        <f>IFERROR(BI676/BI627-1,"")</f>
        <v/>
      </c>
      <c r="BJ681" s="90">
        <f>IFERROR(BJ676/BI627-1,"")</f>
        <v/>
      </c>
      <c r="BK681" s="90">
        <f>IFERROR(BK676/BI627-1,"")</f>
        <v/>
      </c>
      <c r="BL681" s="90">
        <f>IFERROR(BL676/BI627-1,"")</f>
        <v/>
      </c>
      <c r="BM681" s="90">
        <f>IFERROR(BM676/BN627-1,"")</f>
        <v/>
      </c>
      <c r="BN681" s="1113">
        <f>IFERROR(BN676/BN627-1,"")</f>
        <v/>
      </c>
      <c r="BO681" s="90">
        <f>IFERROR(BO676/BN627-1,"")</f>
        <v/>
      </c>
      <c r="BP681" s="90">
        <f>IFERROR(BP676/BN627-1,"")</f>
        <v/>
      </c>
      <c r="BQ681" s="90">
        <f>IFERROR(BQ676/BN627-1,"")</f>
        <v/>
      </c>
      <c r="BR681" s="90">
        <f>IFERROR(BR676/BS627-1,"")</f>
        <v/>
      </c>
      <c r="BS681" s="1113">
        <f>IFERROR(BS676/BS627-1,"")</f>
        <v/>
      </c>
      <c r="BT681" s="90">
        <f>IFERROR(BT676/BS627-1,"")</f>
        <v/>
      </c>
      <c r="BU681" s="90">
        <f>IFERROR(BU676/BS627-1,"")</f>
        <v/>
      </c>
      <c r="BV681" s="880">
        <f>IFERROR(BV676/BS627-1,"")</f>
        <v/>
      </c>
      <c r="BW681" s="90" t="n"/>
      <c r="BX681" s="1113" t="n"/>
      <c r="BY681" s="90" t="n"/>
      <c r="BZ681" s="90" t="n"/>
      <c r="CA681" s="90" t="n"/>
      <c r="CB681" s="90" t="n"/>
      <c r="CC681" s="1113" t="n"/>
      <c r="CD681" s="1113" t="n"/>
      <c r="CE681" s="1113" t="n"/>
      <c r="CF681" s="1113" t="n"/>
      <c r="CG681" s="93" t="n"/>
    </row>
    <row r="682" hidden="1" outlineLevel="3" ht="15" customHeight="1">
      <c r="A682" s="810" t="inlineStr">
        <is>
          <t>Forward annual guided Y/Y non-GAAP gross profit growth - high, %</t>
        </is>
      </c>
      <c r="B682" s="804" t="n"/>
      <c r="C682" s="1194" t="n"/>
      <c r="D682" s="1194" t="n"/>
      <c r="E682" s="1194" t="n"/>
      <c r="F682" s="1194" t="n"/>
      <c r="G682" s="805" t="n"/>
      <c r="H682" s="805" t="n"/>
      <c r="I682" s="805" t="n"/>
      <c r="J682" s="805" t="n"/>
      <c r="K682" s="1194" t="n"/>
      <c r="L682" s="805" t="n"/>
      <c r="M682" s="805" t="n"/>
      <c r="N682" s="805" t="n"/>
      <c r="O682" s="805" t="n"/>
      <c r="P682" s="1194" t="n"/>
      <c r="Q682" s="805" t="n"/>
      <c r="R682" s="805" t="n"/>
      <c r="S682" s="805" t="n"/>
      <c r="T682" s="805" t="n"/>
      <c r="U682" s="1194" t="n"/>
      <c r="V682" s="805" t="n"/>
      <c r="W682" s="805" t="n"/>
      <c r="X682" s="805" t="n"/>
      <c r="Y682" s="805" t="n"/>
      <c r="Z682" s="1194" t="n"/>
      <c r="AA682" s="805" t="n"/>
      <c r="AB682" s="805" t="n"/>
      <c r="AC682" s="805" t="n"/>
      <c r="AD682" s="805" t="n"/>
      <c r="AE682" s="1194" t="n"/>
      <c r="AF682" s="805" t="n"/>
      <c r="AG682" s="805" t="n"/>
      <c r="AH682" s="805">
        <f>IFERROR(AH677/AE627-1,"")</f>
        <v/>
      </c>
      <c r="AI682" s="805">
        <f>IFERROR(AI677/AJ627-1,"")</f>
        <v/>
      </c>
      <c r="AJ682" s="1194">
        <f>IFERROR(AJ677/AJ627-1,"")</f>
        <v/>
      </c>
      <c r="AK682" s="805">
        <f>IFERROR(AK677/AJ627-1,"")</f>
        <v/>
      </c>
      <c r="AL682" s="805">
        <f>IFERROR(AL677/AJ627-1,"")</f>
        <v/>
      </c>
      <c r="AM682" s="805">
        <f>IFERROR(AM677/AJ627-1,"")</f>
        <v/>
      </c>
      <c r="AN682" s="805">
        <f>IFERROR(AN677/AO627-1,"")</f>
        <v/>
      </c>
      <c r="AO682" s="1194">
        <f>IFERROR(AO677/AO627-1,"")</f>
        <v/>
      </c>
      <c r="AP682" s="805">
        <f>IFERROR(AP677/AO627-1,"")</f>
        <v/>
      </c>
      <c r="AQ682" s="805">
        <f>IFERROR(AQ677/AO627-1,"")</f>
        <v/>
      </c>
      <c r="AR682" s="805">
        <f>IFERROR(AR677/AO627-1,"")</f>
        <v/>
      </c>
      <c r="AS682" s="805">
        <f>IFERROR(AS677/AT627-1,"")</f>
        <v/>
      </c>
      <c r="AT682" s="1194">
        <f>IFERROR(AT677/AT627-1,"")</f>
        <v/>
      </c>
      <c r="AU682" s="805">
        <f>IFERROR(AU677/AT627-1,"")</f>
        <v/>
      </c>
      <c r="AV682" s="805">
        <f>IFERROR(AV677/AT627-1,"")</f>
        <v/>
      </c>
      <c r="AW682" s="805">
        <f>IFERROR(AW677/AT627-1,"")</f>
        <v/>
      </c>
      <c r="AX682" s="805">
        <f>IFERROR(AX677/AY627-1,"")</f>
        <v/>
      </c>
      <c r="AY682" s="1194">
        <f>IFERROR(AY677/AY627-1,"")</f>
        <v/>
      </c>
      <c r="AZ682" s="805">
        <f>IFERROR(AZ677/AY627-1,"")</f>
        <v/>
      </c>
      <c r="BA682" s="805">
        <f>IFERROR(BA677/AY627-1,"")</f>
        <v/>
      </c>
      <c r="BB682" s="805">
        <f>IFERROR(BB677/AY627-1,"")</f>
        <v/>
      </c>
      <c r="BC682" s="805">
        <f>IFERROR(BC677/BD627-1,"")</f>
        <v/>
      </c>
      <c r="BD682" s="1194">
        <f>IFERROR(BD677/BD627-1,"")</f>
        <v/>
      </c>
      <c r="BE682" s="805">
        <f>IFERROR(BE677/BD627-1,"")</f>
        <v/>
      </c>
      <c r="BF682" s="805">
        <f>IFERROR(BF677/BD627-1,"")</f>
        <v/>
      </c>
      <c r="BG682" s="805">
        <f>IFERROR(BG677/BD627-1,"")</f>
        <v/>
      </c>
      <c r="BH682" s="805">
        <f>IFERROR(BH677/BI627-1,"")</f>
        <v/>
      </c>
      <c r="BI682" s="1194">
        <f>IFERROR(BI677/BI627-1,"")</f>
        <v/>
      </c>
      <c r="BJ682" s="805">
        <f>IFERROR(BJ677/BI627-1,"")</f>
        <v/>
      </c>
      <c r="BK682" s="805">
        <f>IFERROR(BK677/BI627-1,"")</f>
        <v/>
      </c>
      <c r="BL682" s="805">
        <f>IFERROR(BL677/BI627-1,"")</f>
        <v/>
      </c>
      <c r="BM682" s="805">
        <f>IFERROR(BM677/BN627-1,"")</f>
        <v/>
      </c>
      <c r="BN682" s="1194">
        <f>IFERROR(BN677/BN627-1,"")</f>
        <v/>
      </c>
      <c r="BO682" s="805">
        <f>IFERROR(BO677/BN627-1,"")</f>
        <v/>
      </c>
      <c r="BP682" s="805">
        <f>IFERROR(BP677/BN627-1,"")</f>
        <v/>
      </c>
      <c r="BQ682" s="805">
        <f>IFERROR(BQ677/BN627-1,"")</f>
        <v/>
      </c>
      <c r="BR682" s="805">
        <f>IFERROR(BR677/BS627-1,"")</f>
        <v/>
      </c>
      <c r="BS682" s="1194">
        <f>IFERROR(BS677/BS627-1,"")</f>
        <v/>
      </c>
      <c r="BT682" s="805">
        <f>IFERROR(BT677/BS627-1,"")</f>
        <v/>
      </c>
      <c r="BU682" s="805">
        <f>IFERROR(BU677/BS627-1,"")</f>
        <v/>
      </c>
      <c r="BV682" s="910">
        <f>IFERROR(BV677/BS627-1,"")</f>
        <v/>
      </c>
      <c r="BW682" s="805" t="n"/>
      <c r="BX682" s="1194" t="n"/>
      <c r="BY682" s="805" t="n"/>
      <c r="BZ682" s="805" t="n"/>
      <c r="CA682" s="805" t="n"/>
      <c r="CB682" s="805" t="n"/>
      <c r="CC682" s="1194" t="n"/>
      <c r="CD682" s="1194" t="n"/>
      <c r="CE682" s="1194" t="n"/>
      <c r="CF682" s="1194" t="n"/>
      <c r="CG682" s="93" t="n"/>
    </row>
    <row r="683" hidden="1" outlineLevel="2" collapsed="1" ht="15" customHeight="1">
      <c r="A683" s="371" t="inlineStr">
        <is>
          <t>Forward annual guided Y/Y non-GAAP gross profit growth - midpoint, %</t>
        </is>
      </c>
      <c r="B683" s="112" t="n"/>
      <c r="C683" s="1113" t="n"/>
      <c r="D683" s="1113" t="n"/>
      <c r="E683" s="1113" t="n"/>
      <c r="F683" s="1113" t="n"/>
      <c r="G683" s="90" t="n"/>
      <c r="H683" s="90" t="n"/>
      <c r="I683" s="90" t="n"/>
      <c r="J683" s="90" t="n"/>
      <c r="K683" s="1113" t="n"/>
      <c r="L683" s="90" t="n"/>
      <c r="M683" s="90" t="n"/>
      <c r="N683" s="90" t="n"/>
      <c r="O683" s="90" t="n"/>
      <c r="P683" s="1113" t="n"/>
      <c r="Q683" s="90" t="n"/>
      <c r="R683" s="90" t="n"/>
      <c r="S683" s="90" t="n"/>
      <c r="T683" s="90" t="n"/>
      <c r="U683" s="1113" t="n"/>
      <c r="V683" s="90" t="n"/>
      <c r="W683" s="90" t="n"/>
      <c r="X683" s="90" t="n"/>
      <c r="Y683" s="90" t="n"/>
      <c r="Z683" s="1113" t="n"/>
      <c r="AA683" s="90" t="n"/>
      <c r="AB683" s="90" t="n"/>
      <c r="AC683" s="90" t="n"/>
      <c r="AD683" s="90" t="n"/>
      <c r="AE683" s="1113" t="n"/>
      <c r="AF683" s="90" t="n"/>
      <c r="AG683" s="90" t="n"/>
      <c r="AH683" s="90">
        <f>IFERROR(AH678/AE627-1,"")</f>
        <v/>
      </c>
      <c r="AI683" s="90">
        <f>IFERROR(AI678/AJ627-1,"")</f>
        <v/>
      </c>
      <c r="AJ683" s="1113">
        <f>IFERROR(AJ678/AJ627-1,"")</f>
        <v/>
      </c>
      <c r="AK683" s="90">
        <f>IFERROR(AK678/AJ627-1,"")</f>
        <v/>
      </c>
      <c r="AL683" s="90">
        <f>IFERROR(AL678/AJ627-1,"")</f>
        <v/>
      </c>
      <c r="AM683" s="90">
        <f>IFERROR(AM678/AJ627-1,"")</f>
        <v/>
      </c>
      <c r="AN683" s="90">
        <f>IFERROR(AN678/AO627-1,"")</f>
        <v/>
      </c>
      <c r="AO683" s="1113">
        <f>IFERROR(AO678/AO627-1,"")</f>
        <v/>
      </c>
      <c r="AP683" s="90">
        <f>IFERROR(AP678/AO627-1,"")</f>
        <v/>
      </c>
      <c r="AQ683" s="90">
        <f>IFERROR(AQ678/AO627-1,"")</f>
        <v/>
      </c>
      <c r="AR683" s="90">
        <f>IFERROR(AR678/AO627-1,"")</f>
        <v/>
      </c>
      <c r="AS683" s="90">
        <f>IFERROR(AS678/AT627-1,"")</f>
        <v/>
      </c>
      <c r="AT683" s="1113">
        <f>IFERROR(AT678/AT627-1,"")</f>
        <v/>
      </c>
      <c r="AU683" s="90">
        <f>IFERROR(AU678/AT627-1,"")</f>
        <v/>
      </c>
      <c r="AV683" s="90">
        <f>IFERROR(AV678/AT627-1,"")</f>
        <v/>
      </c>
      <c r="AW683" s="90">
        <f>IFERROR(AW678/AT627-1,"")</f>
        <v/>
      </c>
      <c r="AX683" s="90">
        <f>IFERROR(AX678/AY627-1,"")</f>
        <v/>
      </c>
      <c r="AY683" s="1113">
        <f>IFERROR(AY678/AY627-1,"")</f>
        <v/>
      </c>
      <c r="AZ683" s="90">
        <f>IFERROR(AZ678/AY627-1,"")</f>
        <v/>
      </c>
      <c r="BA683" s="90">
        <f>IFERROR(BA678/AY627-1,"")</f>
        <v/>
      </c>
      <c r="BB683" s="90">
        <f>IFERROR(BB678/AY627-1,"")</f>
        <v/>
      </c>
      <c r="BC683" s="90">
        <f>IFERROR(BC678/BD627-1,"")</f>
        <v/>
      </c>
      <c r="BD683" s="1113">
        <f>IFERROR(BD678/BD627-1,"")</f>
        <v/>
      </c>
      <c r="BE683" s="90">
        <f>IFERROR(BE678/BD627-1,"")</f>
        <v/>
      </c>
      <c r="BF683" s="90">
        <f>IFERROR(BF678/BD627-1,"")</f>
        <v/>
      </c>
      <c r="BG683" s="90">
        <f>IFERROR(BG678/BD627-1,"")</f>
        <v/>
      </c>
      <c r="BH683" s="90">
        <f>IFERROR(BH678/BI627-1,"")</f>
        <v/>
      </c>
      <c r="BI683" s="1113">
        <f>IFERROR(BI678/BI627-1,"")</f>
        <v/>
      </c>
      <c r="BJ683" s="90">
        <f>IFERROR(BJ678/BI627-1,"")</f>
        <v/>
      </c>
      <c r="BK683" s="90">
        <f>IFERROR(BK678/BI627-1,"")</f>
        <v/>
      </c>
      <c r="BL683" s="90">
        <f>IFERROR(BL678/BI627-1,"")</f>
        <v/>
      </c>
      <c r="BM683" s="90">
        <f>IFERROR(BM678/BN627-1,"")</f>
        <v/>
      </c>
      <c r="BN683" s="1113">
        <f>IFERROR(BN678/BN627-1,"")</f>
        <v/>
      </c>
      <c r="BO683" s="90">
        <f>IFERROR(BO678/BN627-1,"")</f>
        <v/>
      </c>
      <c r="BP683" s="90">
        <f>IFERROR(BP678/BN627-1,"")</f>
        <v/>
      </c>
      <c r="BQ683" s="90">
        <f>IFERROR(BQ678/BN627-1,"")</f>
        <v/>
      </c>
      <c r="BR683" s="90">
        <f>IFERROR(BR678/BS627-1,"")</f>
        <v/>
      </c>
      <c r="BS683" s="1113">
        <f>IFERROR(BS678/BS627-1,"")</f>
        <v/>
      </c>
      <c r="BT683" s="90">
        <f>IFERROR(BT678/BS627-1,"")</f>
        <v/>
      </c>
      <c r="BU683" s="90">
        <f>IFERROR(BU678/BS627-1,"")</f>
        <v/>
      </c>
      <c r="BV683" s="880">
        <f>IFERROR(BV678/BS627-1,"")</f>
        <v/>
      </c>
      <c r="BW683" s="90" t="n"/>
      <c r="BX683" s="1113" t="n"/>
      <c r="BY683" s="90" t="n"/>
      <c r="BZ683" s="90" t="n"/>
      <c r="CA683" s="90" t="n"/>
      <c r="CB683" s="90" t="n"/>
      <c r="CC683" s="1113" t="n"/>
      <c r="CD683" s="1113" t="n"/>
      <c r="CE683" s="1113" t="n"/>
      <c r="CF683" s="1113" t="n"/>
      <c r="CG683" s="93" t="n"/>
    </row>
    <row r="684" hidden="1" outlineLevel="2" ht="15" customHeight="1">
      <c r="A684" s="799" t="n"/>
      <c r="B684" s="428" t="n"/>
      <c r="C684" s="1134" t="n"/>
      <c r="D684" s="1134" t="n"/>
      <c r="E684" s="1134" t="n"/>
      <c r="F684" s="1134" t="n"/>
      <c r="G684" s="93" t="n"/>
      <c r="H684" s="93" t="n"/>
      <c r="I684" s="93" t="n"/>
      <c r="J684" s="93" t="n"/>
      <c r="K684" s="1134" t="n"/>
      <c r="L684" s="93" t="n"/>
      <c r="M684" s="93" t="n"/>
      <c r="N684" s="93" t="n"/>
      <c r="O684" s="93" t="n"/>
      <c r="P684" s="1134" t="n"/>
      <c r="Q684" s="93" t="n"/>
      <c r="R684" s="93" t="n"/>
      <c r="S684" s="93" t="n"/>
      <c r="T684" s="93" t="n"/>
      <c r="U684" s="1134" t="n"/>
      <c r="V684" s="93" t="n"/>
      <c r="W684" s="93" t="n"/>
      <c r="X684" s="93" t="n"/>
      <c r="Y684" s="93" t="n"/>
      <c r="Z684" s="1134" t="n"/>
      <c r="AA684" s="93" t="n"/>
      <c r="AB684" s="93" t="n"/>
      <c r="AC684" s="93" t="n"/>
      <c r="AD684" s="93" t="n"/>
      <c r="AE684" s="1134" t="n"/>
      <c r="AF684" s="93" t="n"/>
      <c r="AG684" s="93" t="n"/>
      <c r="AH684" s="93" t="n"/>
      <c r="AI684" s="93" t="n"/>
      <c r="AJ684" s="1134" t="n"/>
      <c r="AK684" s="93" t="n"/>
      <c r="AL684" s="93" t="n"/>
      <c r="AM684" s="93" t="n"/>
      <c r="AN684" s="93" t="n"/>
      <c r="AO684" s="1134" t="n"/>
      <c r="AP684" s="93" t="n"/>
      <c r="AQ684" s="93" t="n"/>
      <c r="AR684" s="93" t="n"/>
      <c r="AS684" s="93" t="n"/>
      <c r="AT684" s="1134" t="n"/>
      <c r="AU684" s="93" t="n"/>
      <c r="AV684" s="93" t="n"/>
      <c r="AW684" s="93" t="n"/>
      <c r="AX684" s="93" t="n"/>
      <c r="AY684" s="1134" t="n"/>
      <c r="AZ684" s="93" t="n"/>
      <c r="BA684" s="93" t="n"/>
      <c r="BB684" s="93" t="n"/>
      <c r="BC684" s="93" t="n"/>
      <c r="BD684" s="1134" t="n"/>
      <c r="BE684" s="93" t="n"/>
      <c r="BF684" s="93" t="n"/>
      <c r="BG684" s="93" t="n"/>
      <c r="BH684" s="93" t="n"/>
      <c r="BI684" s="1134" t="n"/>
      <c r="BJ684" s="93" t="n"/>
      <c r="BK684" s="93" t="n"/>
      <c r="BL684" s="93" t="n"/>
      <c r="BM684" s="93" t="n"/>
      <c r="BN684" s="1134" t="n"/>
      <c r="BO684" s="93" t="n"/>
      <c r="BP684" s="93" t="n"/>
      <c r="BQ684" s="93" t="n"/>
      <c r="BR684" s="93" t="n"/>
      <c r="BS684" s="1134" t="n"/>
      <c r="BT684" s="93" t="n"/>
      <c r="BU684" s="93" t="n"/>
      <c r="BV684" s="522" t="n"/>
      <c r="BW684" s="93" t="n"/>
      <c r="BX684" s="1134" t="n"/>
      <c r="BY684" s="93" t="n"/>
      <c r="BZ684" s="93" t="n"/>
      <c r="CA684" s="93" t="n"/>
      <c r="CB684" s="93" t="n"/>
      <c r="CC684" s="1134" t="n"/>
      <c r="CD684" s="1134" t="n"/>
      <c r="CE684" s="1134" t="n"/>
      <c r="CF684" s="1134" t="n"/>
      <c r="CG684" s="93" t="n"/>
    </row>
    <row r="685" hidden="1" outlineLevel="3" ht="15" customHeight="1">
      <c r="A685" s="647" t="inlineStr">
        <is>
          <t>Forward annual non-GAAP gross profit margin guidance - low, %</t>
        </is>
      </c>
      <c r="B685" s="428" t="n"/>
      <c r="C685" s="1126" t="n"/>
      <c r="D685" s="1126" t="n"/>
      <c r="E685" s="1126" t="n"/>
      <c r="F685" s="1126" t="n"/>
      <c r="G685" s="315" t="n"/>
      <c r="H685" s="315" t="n"/>
      <c r="I685" s="315" t="n"/>
      <c r="J685" s="315" t="n"/>
      <c r="K685" s="1126" t="n"/>
      <c r="L685" s="315" t="n"/>
      <c r="M685" s="315" t="n"/>
      <c r="N685" s="315" t="n"/>
      <c r="O685" s="315" t="n"/>
      <c r="P685" s="1126" t="n"/>
      <c r="Q685" s="315" t="n"/>
      <c r="R685" s="315" t="n"/>
      <c r="S685" s="315" t="n"/>
      <c r="T685" s="315" t="n"/>
      <c r="U685" s="1126" t="n"/>
      <c r="V685" s="315" t="n"/>
      <c r="W685" s="315" t="n"/>
      <c r="X685" s="315" t="n"/>
      <c r="Y685" s="315" t="n"/>
      <c r="Z685" s="1126" t="n"/>
      <c r="AA685" s="315" t="n"/>
      <c r="AB685" s="315" t="n"/>
      <c r="AC685" s="315" t="n"/>
      <c r="AD685" s="315" t="n"/>
      <c r="AE685" s="1126" t="n"/>
      <c r="AF685" s="315" t="n"/>
      <c r="AG685" s="315" t="n"/>
      <c r="AH685" s="315">
        <f>+AH1105</f>
        <v/>
      </c>
      <c r="AI685" s="315">
        <f>+AI1105</f>
        <v/>
      </c>
      <c r="AJ685" s="1126">
        <f>+AJ1105</f>
        <v/>
      </c>
      <c r="AK685" s="315">
        <f>+AK1105</f>
        <v/>
      </c>
      <c r="AL685" s="315">
        <f>+AL1105</f>
        <v/>
      </c>
      <c r="AM685" s="315">
        <f>+AM1105</f>
        <v/>
      </c>
      <c r="AN685" s="315">
        <f>+AN1105</f>
        <v/>
      </c>
      <c r="AO685" s="1126">
        <f>+AO1105</f>
        <v/>
      </c>
      <c r="AP685" s="315">
        <f>+AP1105</f>
        <v/>
      </c>
      <c r="AQ685" s="315">
        <f>+AQ1105</f>
        <v/>
      </c>
      <c r="AR685" s="315">
        <f>+AR1105</f>
        <v/>
      </c>
      <c r="AS685" s="315">
        <f>+AS1105</f>
        <v/>
      </c>
      <c r="AT685" s="1126">
        <f>+AT1105</f>
        <v/>
      </c>
      <c r="AU685" s="315">
        <f>+AU1105</f>
        <v/>
      </c>
      <c r="AV685" s="315">
        <f>+AV1105</f>
        <v/>
      </c>
      <c r="AW685" s="315">
        <f>+AW1105</f>
        <v/>
      </c>
      <c r="AX685" s="315">
        <f>+AX1105</f>
        <v/>
      </c>
      <c r="AY685" s="1126">
        <f>+AY1105</f>
        <v/>
      </c>
      <c r="AZ685" s="315">
        <f>+AZ1105</f>
        <v/>
      </c>
      <c r="BA685" s="315">
        <f>+BA1105</f>
        <v/>
      </c>
      <c r="BB685" s="315">
        <f>+BB1105</f>
        <v/>
      </c>
      <c r="BC685" s="315">
        <f>+BC1105</f>
        <v/>
      </c>
      <c r="BD685" s="1126">
        <f>+BD1105</f>
        <v/>
      </c>
      <c r="BE685" s="315">
        <f>+BE1105</f>
        <v/>
      </c>
      <c r="BF685" s="315">
        <f>+BF1105</f>
        <v/>
      </c>
      <c r="BG685" s="315">
        <f>+BG1105</f>
        <v/>
      </c>
      <c r="BH685" s="315">
        <f>+BH1105</f>
        <v/>
      </c>
      <c r="BI685" s="1126">
        <f>+BI1105</f>
        <v/>
      </c>
      <c r="BJ685" s="315">
        <f>+BJ1105</f>
        <v/>
      </c>
      <c r="BK685" s="315">
        <f>+BK1105</f>
        <v/>
      </c>
      <c r="BL685" s="315">
        <f>+BL1105</f>
        <v/>
      </c>
      <c r="BM685" s="315">
        <f>+BM1105</f>
        <v/>
      </c>
      <c r="BN685" s="1126">
        <f>+BN1105</f>
        <v/>
      </c>
      <c r="BO685" s="315">
        <f>+BO1105</f>
        <v/>
      </c>
      <c r="BP685" s="315">
        <f>+BP1105</f>
        <v/>
      </c>
      <c r="BQ685" s="315">
        <f>+BQ1105</f>
        <v/>
      </c>
      <c r="BR685" s="315">
        <f>+BR1105</f>
        <v/>
      </c>
      <c r="BS685" s="1126">
        <f>+BS1105</f>
        <v/>
      </c>
      <c r="BT685" s="315">
        <f>+BT1105</f>
        <v/>
      </c>
      <c r="BU685" s="315">
        <f>+BU1105</f>
        <v/>
      </c>
      <c r="BV685" s="885">
        <f>+BV1105</f>
        <v/>
      </c>
      <c r="BW685" s="315" t="n"/>
      <c r="BX685" s="1126" t="n"/>
      <c r="BY685" s="315" t="n"/>
      <c r="BZ685" s="315" t="n"/>
      <c r="CA685" s="315" t="n"/>
      <c r="CB685" s="315" t="n"/>
      <c r="CC685" s="1126" t="n"/>
      <c r="CD685" s="1126" t="n"/>
      <c r="CE685" s="1126" t="n"/>
      <c r="CF685" s="1126" t="n"/>
      <c r="CG685" s="93" t="n"/>
    </row>
    <row r="686" hidden="1" outlineLevel="3" ht="15" customHeight="1">
      <c r="A686" s="816" t="inlineStr">
        <is>
          <t>Forward annual non-GAAP gross profit margin guidance - high, %</t>
        </is>
      </c>
      <c r="B686" s="718" t="n"/>
      <c r="C686" s="1136" t="n"/>
      <c r="D686" s="1136" t="n"/>
      <c r="E686" s="1136" t="n"/>
      <c r="F686" s="1136" t="n"/>
      <c r="G686" s="699" t="n"/>
      <c r="H686" s="699" t="n"/>
      <c r="I686" s="699" t="n"/>
      <c r="J686" s="699" t="n"/>
      <c r="K686" s="1136" t="n"/>
      <c r="L686" s="699" t="n"/>
      <c r="M686" s="699" t="n"/>
      <c r="N686" s="699" t="n"/>
      <c r="O686" s="699" t="n"/>
      <c r="P686" s="1136" t="n"/>
      <c r="Q686" s="699" t="n"/>
      <c r="R686" s="699" t="n"/>
      <c r="S686" s="699" t="n"/>
      <c r="T686" s="699" t="n"/>
      <c r="U686" s="1136" t="n"/>
      <c r="V686" s="699" t="n"/>
      <c r="W686" s="699" t="n"/>
      <c r="X686" s="699" t="n"/>
      <c r="Y686" s="699" t="n"/>
      <c r="Z686" s="1136" t="n"/>
      <c r="AA686" s="699" t="n"/>
      <c r="AB686" s="699" t="n"/>
      <c r="AC686" s="699" t="n"/>
      <c r="AD686" s="699" t="n"/>
      <c r="AE686" s="1136" t="n"/>
      <c r="AF686" s="699" t="n"/>
      <c r="AG686" s="699" t="n"/>
      <c r="AH686" s="699">
        <f>+AH1106</f>
        <v/>
      </c>
      <c r="AI686" s="699">
        <f>+AI1106</f>
        <v/>
      </c>
      <c r="AJ686" s="1136">
        <f>+AJ1106</f>
        <v/>
      </c>
      <c r="AK686" s="699">
        <f>+AK1106</f>
        <v/>
      </c>
      <c r="AL686" s="699">
        <f>+AL1106</f>
        <v/>
      </c>
      <c r="AM686" s="699">
        <f>+AM1106</f>
        <v/>
      </c>
      <c r="AN686" s="699">
        <f>+AN1106</f>
        <v/>
      </c>
      <c r="AO686" s="1136">
        <f>+AO1106</f>
        <v/>
      </c>
      <c r="AP686" s="699">
        <f>+AP1106</f>
        <v/>
      </c>
      <c r="AQ686" s="699">
        <f>+AQ1106</f>
        <v/>
      </c>
      <c r="AR686" s="699">
        <f>+AR1106</f>
        <v/>
      </c>
      <c r="AS686" s="699">
        <f>+AS1106</f>
        <v/>
      </c>
      <c r="AT686" s="1136">
        <f>+AT1106</f>
        <v/>
      </c>
      <c r="AU686" s="699">
        <f>+AU1106</f>
        <v/>
      </c>
      <c r="AV686" s="699">
        <f>+AV1106</f>
        <v/>
      </c>
      <c r="AW686" s="699">
        <f>+AW1106</f>
        <v/>
      </c>
      <c r="AX686" s="699">
        <f>+AX1106</f>
        <v/>
      </c>
      <c r="AY686" s="1136">
        <f>+AY1106</f>
        <v/>
      </c>
      <c r="AZ686" s="699">
        <f>+AZ1106</f>
        <v/>
      </c>
      <c r="BA686" s="699">
        <f>+BA1106</f>
        <v/>
      </c>
      <c r="BB686" s="699">
        <f>+BB1106</f>
        <v/>
      </c>
      <c r="BC686" s="699">
        <f>+BC1106</f>
        <v/>
      </c>
      <c r="BD686" s="1136">
        <f>+BD1106</f>
        <v/>
      </c>
      <c r="BE686" s="699">
        <f>+BE1106</f>
        <v/>
      </c>
      <c r="BF686" s="699">
        <f>+BF1106</f>
        <v/>
      </c>
      <c r="BG686" s="699">
        <f>+BG1106</f>
        <v/>
      </c>
      <c r="BH686" s="699">
        <f>+BH1106</f>
        <v/>
      </c>
      <c r="BI686" s="1136">
        <f>+BI1106</f>
        <v/>
      </c>
      <c r="BJ686" s="699">
        <f>+BJ1106</f>
        <v/>
      </c>
      <c r="BK686" s="699">
        <f>+BK1106</f>
        <v/>
      </c>
      <c r="BL686" s="699">
        <f>+BL1106</f>
        <v/>
      </c>
      <c r="BM686" s="699">
        <f>+BM1106</f>
        <v/>
      </c>
      <c r="BN686" s="1136">
        <f>+BN1106</f>
        <v/>
      </c>
      <c r="BO686" s="699">
        <f>+BO1106</f>
        <v/>
      </c>
      <c r="BP686" s="699">
        <f>+BP1106</f>
        <v/>
      </c>
      <c r="BQ686" s="699">
        <f>+BQ1106</f>
        <v/>
      </c>
      <c r="BR686" s="699">
        <f>+BR1106</f>
        <v/>
      </c>
      <c r="BS686" s="1136">
        <f>+BS1106</f>
        <v/>
      </c>
      <c r="BT686" s="699">
        <f>+BT1106</f>
        <v/>
      </c>
      <c r="BU686" s="699">
        <f>+BU1106</f>
        <v/>
      </c>
      <c r="BV686" s="889">
        <f>+BV1106</f>
        <v/>
      </c>
      <c r="BW686" s="699" t="n"/>
      <c r="BX686" s="1136" t="n"/>
      <c r="BY686" s="699" t="n"/>
      <c r="BZ686" s="699" t="n"/>
      <c r="CA686" s="699" t="n"/>
      <c r="CB686" s="699" t="n"/>
      <c r="CC686" s="1136" t="n"/>
      <c r="CD686" s="1136" t="n"/>
      <c r="CE686" s="1136" t="n"/>
      <c r="CF686" s="1136" t="n"/>
      <c r="CG686" s="93" t="n"/>
    </row>
    <row r="687" hidden="1" outlineLevel="2" collapsed="1" ht="15" customHeight="1">
      <c r="A687" s="581" t="inlineStr">
        <is>
          <t>Forward annual non-GAAP gross profit margin guidance - midpoint, %</t>
        </is>
      </c>
      <c r="B687" s="610" t="n"/>
      <c r="C687" s="1145" t="n"/>
      <c r="D687" s="1145" t="n"/>
      <c r="E687" s="1145" t="n"/>
      <c r="F687" s="1145" t="n"/>
      <c r="G687" s="238" t="n"/>
      <c r="H687" s="238" t="n"/>
      <c r="I687" s="238" t="n"/>
      <c r="J687" s="238" t="n"/>
      <c r="K687" s="1145" t="n"/>
      <c r="L687" s="238" t="n"/>
      <c r="M687" s="238" t="n"/>
      <c r="N687" s="238" t="n"/>
      <c r="O687" s="238" t="n"/>
      <c r="P687" s="1145" t="n"/>
      <c r="Q687" s="238" t="n"/>
      <c r="R687" s="238" t="n"/>
      <c r="S687" s="238" t="n"/>
      <c r="T687" s="238" t="n"/>
      <c r="U687" s="1145" t="n"/>
      <c r="V687" s="238" t="n"/>
      <c r="W687" s="238" t="n"/>
      <c r="X687" s="238" t="n"/>
      <c r="Y687" s="238" t="n"/>
      <c r="Z687" s="1145" t="n"/>
      <c r="AA687" s="238" t="n"/>
      <c r="AB687" s="238" t="n"/>
      <c r="AC687" s="238" t="n"/>
      <c r="AD687" s="238" t="n"/>
      <c r="AE687" s="1145" t="n"/>
      <c r="AF687" s="238" t="n"/>
      <c r="AG687" s="238" t="n"/>
      <c r="AH687" s="238">
        <f>IFERROR(AVERAGE(AH686,AH685),"")</f>
        <v/>
      </c>
      <c r="AI687" s="238">
        <f>IFERROR(AVERAGE(AI686,AI685),"")</f>
        <v/>
      </c>
      <c r="AJ687" s="1145">
        <f>IFERROR(AVERAGE(AJ686,AJ685),"")</f>
        <v/>
      </c>
      <c r="AK687" s="238">
        <f>IFERROR(AVERAGE(AK686,AK685),"")</f>
        <v/>
      </c>
      <c r="AL687" s="238">
        <f>IFERROR(AVERAGE(AL686,AL685),"")</f>
        <v/>
      </c>
      <c r="AM687" s="238">
        <f>IFERROR(AVERAGE(AM686,AM685),"")</f>
        <v/>
      </c>
      <c r="AN687" s="238">
        <f>IFERROR(AVERAGE(AN686,AN685),"")</f>
        <v/>
      </c>
      <c r="AO687" s="1145">
        <f>IFERROR(AVERAGE(AO686,AO685),"")</f>
        <v/>
      </c>
      <c r="AP687" s="238">
        <f>IFERROR(AVERAGE(AP686,AP685),"")</f>
        <v/>
      </c>
      <c r="AQ687" s="238">
        <f>IFERROR(AVERAGE(AQ686,AQ685),"")</f>
        <v/>
      </c>
      <c r="AR687" s="238">
        <f>IFERROR(AVERAGE(AR686,AR685),"")</f>
        <v/>
      </c>
      <c r="AS687" s="238">
        <f>IFERROR(AVERAGE(AS686,AS685),"")</f>
        <v/>
      </c>
      <c r="AT687" s="1145">
        <f>IFERROR(AVERAGE(AT686,AT685),"")</f>
        <v/>
      </c>
      <c r="AU687" s="238">
        <f>IFERROR(AVERAGE(AU686,AU685),"")</f>
        <v/>
      </c>
      <c r="AV687" s="238">
        <f>IFERROR(AVERAGE(AV686,AV685),"")</f>
        <v/>
      </c>
      <c r="AW687" s="238">
        <f>IFERROR(AVERAGE(AW686,AW685),"")</f>
        <v/>
      </c>
      <c r="AX687" s="238">
        <f>IFERROR(AVERAGE(AX686,AX685),"")</f>
        <v/>
      </c>
      <c r="AY687" s="1145">
        <f>IFERROR(AVERAGE(AY686,AY685),"")</f>
        <v/>
      </c>
      <c r="AZ687" s="238">
        <f>IFERROR(AVERAGE(AZ686,AZ685),"")</f>
        <v/>
      </c>
      <c r="BA687" s="238">
        <f>IFERROR(AVERAGE(BA686,BA685),"")</f>
        <v/>
      </c>
      <c r="BB687" s="238">
        <f>IFERROR(AVERAGE(BB686,BB685),"")</f>
        <v/>
      </c>
      <c r="BC687" s="238">
        <f>IFERROR(AVERAGE(BC686,BC685),"")</f>
        <v/>
      </c>
      <c r="BD687" s="1145">
        <f>IFERROR(AVERAGE(BD686,BD685),"")</f>
        <v/>
      </c>
      <c r="BE687" s="238">
        <f>IFERROR(AVERAGE(BE686,BE685),"")</f>
        <v/>
      </c>
      <c r="BF687" s="238">
        <f>IFERROR(AVERAGE(BF686,BF685),"")</f>
        <v/>
      </c>
      <c r="BG687" s="238">
        <f>IFERROR(AVERAGE(BG686,BG685),"")</f>
        <v/>
      </c>
      <c r="BH687" s="238">
        <f>IFERROR(AVERAGE(BH686,BH685),"")</f>
        <v/>
      </c>
      <c r="BI687" s="1145">
        <f>IFERROR(AVERAGE(BI686,BI685),"")</f>
        <v/>
      </c>
      <c r="BJ687" s="238">
        <f>IFERROR(AVERAGE(BJ686,BJ685),"")</f>
        <v/>
      </c>
      <c r="BK687" s="238">
        <f>IFERROR(AVERAGE(BK686,BK685),"")</f>
        <v/>
      </c>
      <c r="BL687" s="238">
        <f>IFERROR(AVERAGE(BL686,BL685),"")</f>
        <v/>
      </c>
      <c r="BM687" s="238">
        <f>IFERROR(AVERAGE(BM686,BM685),"")</f>
        <v/>
      </c>
      <c r="BN687" s="1145">
        <f>IFERROR(AVERAGE(BN686,BN685),"")</f>
        <v/>
      </c>
      <c r="BO687" s="238">
        <f>IFERROR(AVERAGE(BO686,BO685),"")</f>
        <v/>
      </c>
      <c r="BP687" s="238">
        <f>IFERROR(AVERAGE(BP686,BP685),"")</f>
        <v/>
      </c>
      <c r="BQ687" s="238">
        <f>IFERROR(AVERAGE(BQ686,BQ685),"")</f>
        <v/>
      </c>
      <c r="BR687" s="238">
        <f>IFERROR(AVERAGE(BR686,BR685),"")</f>
        <v/>
      </c>
      <c r="BS687" s="1145">
        <f>IFERROR(AVERAGE(BS686,BS685),"")</f>
        <v/>
      </c>
      <c r="BT687" s="238">
        <f>IFERROR(AVERAGE(BT686,BT685),"")</f>
        <v/>
      </c>
      <c r="BU687" s="238">
        <f>IFERROR(AVERAGE(BU686,BU685),"")</f>
        <v/>
      </c>
      <c r="BV687" s="913">
        <f>IFERROR(AVERAGE(BV686,BV685),"")</f>
        <v/>
      </c>
      <c r="BW687" s="238" t="n"/>
      <c r="BX687" s="1145" t="n"/>
      <c r="BY687" s="238" t="n"/>
      <c r="BZ687" s="238" t="n"/>
      <c r="CA687" s="238" t="n"/>
      <c r="CB687" s="238" t="n"/>
      <c r="CC687" s="1145" t="n"/>
      <c r="CD687" s="1145" t="n"/>
      <c r="CE687" s="1145" t="n"/>
      <c r="CF687" s="1145" t="n"/>
      <c r="CG687" s="93" t="n"/>
    </row>
    <row r="688" hidden="1" outlineLevel="2" ht="15" customHeight="1">
      <c r="A688" s="99" t="inlineStr">
        <is>
          <t>Forward annual non-GAAP gross profit margin guidance variance (+/-), bps</t>
        </is>
      </c>
      <c r="B688" s="428" t="n"/>
      <c r="C688" s="1110" t="n"/>
      <c r="D688" s="1110" t="n"/>
      <c r="E688" s="1110" t="n"/>
      <c r="F688" s="1110" t="n"/>
      <c r="G688" s="68" t="n"/>
      <c r="H688" s="68" t="n"/>
      <c r="I688" s="68" t="n"/>
      <c r="J688" s="68" t="n"/>
      <c r="K688" s="1110" t="n"/>
      <c r="L688" s="68" t="n"/>
      <c r="M688" s="68" t="n"/>
      <c r="N688" s="68" t="n"/>
      <c r="O688" s="68" t="n"/>
      <c r="P688" s="1110" t="n"/>
      <c r="Q688" s="68" t="n"/>
      <c r="R688" s="68" t="n"/>
      <c r="S688" s="68" t="n"/>
      <c r="T688" s="68" t="n"/>
      <c r="U688" s="1110" t="n"/>
      <c r="V688" s="68" t="n"/>
      <c r="W688" s="68" t="n"/>
      <c r="X688" s="68" t="n"/>
      <c r="Y688" s="68" t="n"/>
      <c r="Z688" s="1110" t="n"/>
      <c r="AA688" s="68" t="n"/>
      <c r="AB688" s="68" t="n"/>
      <c r="AC688" s="68" t="n"/>
      <c r="AD688" s="68" t="n"/>
      <c r="AE688" s="1110" t="n"/>
      <c r="AF688" s="68" t="n"/>
      <c r="AG688" s="68" t="n"/>
      <c r="AH688" s="68">
        <f>IFERROR(ABS(AH686-AH687)*10000,"")</f>
        <v/>
      </c>
      <c r="AI688" s="68">
        <f>IFERROR(ABS(AI686-AI687)*10000,"")</f>
        <v/>
      </c>
      <c r="AJ688" s="1110">
        <f>IFERROR(ABS(AJ686-AJ687)*10000,"")</f>
        <v/>
      </c>
      <c r="AK688" s="68">
        <f>IFERROR(ABS(AK686-AK687)*10000,"")</f>
        <v/>
      </c>
      <c r="AL688" s="68">
        <f>IFERROR(ABS(AL686-AL687)*10000,"")</f>
        <v/>
      </c>
      <c r="AM688" s="68">
        <f>IFERROR(ABS(AM686-AM687)*10000,"")</f>
        <v/>
      </c>
      <c r="AN688" s="68">
        <f>IFERROR(ABS(AN686-AN687)*10000,"")</f>
        <v/>
      </c>
      <c r="AO688" s="1110">
        <f>IFERROR(ABS(AO686-AO687)*10000,"")</f>
        <v/>
      </c>
      <c r="AP688" s="68">
        <f>IFERROR(ABS(AP686-AP687)*10000,"")</f>
        <v/>
      </c>
      <c r="AQ688" s="68">
        <f>IFERROR(ABS(AQ686-AQ687)*10000,"")</f>
        <v/>
      </c>
      <c r="AR688" s="68">
        <f>IFERROR(ABS(AR686-AR687)*10000,"")</f>
        <v/>
      </c>
      <c r="AS688" s="68">
        <f>IFERROR(ABS(AS686-AS687)*10000,"")</f>
        <v/>
      </c>
      <c r="AT688" s="1110">
        <f>IFERROR(ABS(AT686-AT687)*10000,"")</f>
        <v/>
      </c>
      <c r="AU688" s="68">
        <f>IFERROR(ABS(AU686-AU687)*10000,"")</f>
        <v/>
      </c>
      <c r="AV688" s="68">
        <f>IFERROR(ABS(AV686-AV687)*10000,"")</f>
        <v/>
      </c>
      <c r="AW688" s="68">
        <f>IFERROR(ABS(AW686-AW687)*10000,"")</f>
        <v/>
      </c>
      <c r="AX688" s="68">
        <f>IFERROR(ABS(AX686-AX687)*10000,"")</f>
        <v/>
      </c>
      <c r="AY688" s="1110">
        <f>IFERROR(ABS(AY686-AY687)*10000,"")</f>
        <v/>
      </c>
      <c r="AZ688" s="68">
        <f>IFERROR(ABS(AZ686-AZ687)*10000,"")</f>
        <v/>
      </c>
      <c r="BA688" s="68">
        <f>IFERROR(ABS(BA686-BA687)*10000,"")</f>
        <v/>
      </c>
      <c r="BB688" s="68">
        <f>IFERROR(ABS(BB686-BB687)*10000,"")</f>
        <v/>
      </c>
      <c r="BC688" s="68">
        <f>IFERROR(ABS(BC686-BC687)*10000,"")</f>
        <v/>
      </c>
      <c r="BD688" s="1110">
        <f>IFERROR(ABS(BD686-BD687)*10000,"")</f>
        <v/>
      </c>
      <c r="BE688" s="68">
        <f>IFERROR(ABS(BE686-BE687)*10000,"")</f>
        <v/>
      </c>
      <c r="BF688" s="68">
        <f>IFERROR(ABS(BF686-BF687)*10000,"")</f>
        <v/>
      </c>
      <c r="BG688" s="68">
        <f>IFERROR(ABS(BG686-BG687)*10000,"")</f>
        <v/>
      </c>
      <c r="BH688" s="68">
        <f>IFERROR(ABS(BH686-BH687)*10000,"")</f>
        <v/>
      </c>
      <c r="BI688" s="1110">
        <f>IFERROR(ABS(BI686-BI687)*10000,"")</f>
        <v/>
      </c>
      <c r="BJ688" s="68">
        <f>IFERROR(ABS(BJ686-BJ687)*10000,"")</f>
        <v/>
      </c>
      <c r="BK688" s="68">
        <f>IFERROR(ABS(BK686-BK687)*10000,"")</f>
        <v/>
      </c>
      <c r="BL688" s="68">
        <f>IFERROR(ABS(BL686-BL687)*10000,"")</f>
        <v/>
      </c>
      <c r="BM688" s="68">
        <f>IFERROR(ABS(BM686-BM687)*10000,"")</f>
        <v/>
      </c>
      <c r="BN688" s="1110">
        <f>IFERROR(ABS(BN686-BN687)*10000,"")</f>
        <v/>
      </c>
      <c r="BO688" s="68">
        <f>IFERROR(ABS(BO686-BO687)*10000,"")</f>
        <v/>
      </c>
      <c r="BP688" s="68">
        <f>IFERROR(ABS(BP686-BP687)*10000,"")</f>
        <v/>
      </c>
      <c r="BQ688" s="68">
        <f>IFERROR(ABS(BQ686-BQ687)*10000,"")</f>
        <v/>
      </c>
      <c r="BR688" s="68">
        <f>IFERROR(ABS(BR686-BR687)*10000,"")</f>
        <v/>
      </c>
      <c r="BS688" s="1110">
        <f>IFERROR(ABS(BS686-BS687)*10000,"")</f>
        <v/>
      </c>
      <c r="BT688" s="68">
        <f>IFERROR(ABS(BT686-BT687)*10000,"")</f>
        <v/>
      </c>
      <c r="BU688" s="68">
        <f>IFERROR(ABS(BU686-BU687)*10000,"")</f>
        <v/>
      </c>
      <c r="BV688" s="588">
        <f>IFERROR(ABS(BV686-BV687)*10000,"")</f>
        <v/>
      </c>
      <c r="BW688" s="68" t="n"/>
      <c r="BX688" s="1110" t="n"/>
      <c r="BY688" s="68" t="n"/>
      <c r="BZ688" s="68" t="n"/>
      <c r="CA688" s="68" t="n"/>
      <c r="CB688" s="68" t="n"/>
      <c r="CC688" s="1110" t="n"/>
      <c r="CD688" s="1110" t="n"/>
      <c r="CE688" s="1110" t="n"/>
      <c r="CF688" s="1110" t="n"/>
      <c r="CG688" s="93" t="n"/>
    </row>
    <row r="689" hidden="1" outlineLevel="3" ht="15" customHeight="1">
      <c r="A689" s="820" t="inlineStr">
        <is>
          <t>Forward annual guided Y/Y non-GAAP gross profit margin improvement - low, bps</t>
        </is>
      </c>
      <c r="B689" s="112" t="n"/>
      <c r="C689" s="1117" t="n"/>
      <c r="D689" s="1117" t="n"/>
      <c r="E689" s="1117" t="n"/>
      <c r="F689" s="1117" t="n"/>
      <c r="G689" s="76" t="n"/>
      <c r="H689" s="76" t="n"/>
      <c r="I689" s="76" t="n"/>
      <c r="J689" s="76" t="n"/>
      <c r="K689" s="1117" t="n"/>
      <c r="L689" s="76" t="n"/>
      <c r="M689" s="76" t="n"/>
      <c r="N689" s="76" t="n"/>
      <c r="O689" s="76" t="n"/>
      <c r="P689" s="1117" t="n"/>
      <c r="Q689" s="76" t="n"/>
      <c r="R689" s="76" t="n"/>
      <c r="S689" s="76" t="n"/>
      <c r="T689" s="76" t="n"/>
      <c r="U689" s="1117" t="n"/>
      <c r="V689" s="76" t="n"/>
      <c r="W689" s="76" t="n"/>
      <c r="X689" s="76" t="n"/>
      <c r="Y689" s="76" t="n"/>
      <c r="Z689" s="1117" t="n"/>
      <c r="AA689" s="76" t="n"/>
      <c r="AB689" s="76" t="n"/>
      <c r="AC689" s="76" t="n"/>
      <c r="AD689" s="76" t="n"/>
      <c r="AE689" s="1117" t="n"/>
      <c r="AF689" s="76" t="n"/>
      <c r="AG689" s="76" t="n"/>
      <c r="AH689" s="76">
        <f>IFERROR((AH685-AE643)*10000,"")</f>
        <v/>
      </c>
      <c r="AI689" s="76">
        <f>IFERROR((AI685-AJ643)*10000,"")</f>
        <v/>
      </c>
      <c r="AJ689" s="1117">
        <f>IFERROR((AJ685-AJ643)*10000,"")</f>
        <v/>
      </c>
      <c r="AK689" s="76">
        <f>IFERROR((AK685-AJ643)*10000,"")</f>
        <v/>
      </c>
      <c r="AL689" s="76">
        <f>IFERROR((AL685-AJ643)*10000,"")</f>
        <v/>
      </c>
      <c r="AM689" s="76">
        <f>IFERROR((AM685-AJ643)*10000,"")</f>
        <v/>
      </c>
      <c r="AN689" s="76">
        <f>IFERROR((AN685-AO643)*10000,"")</f>
        <v/>
      </c>
      <c r="AO689" s="1117">
        <f>IFERROR((AO685-AO643)*10000,"")</f>
        <v/>
      </c>
      <c r="AP689" s="76">
        <f>IFERROR((AP685-AO643)*10000,"")</f>
        <v/>
      </c>
      <c r="AQ689" s="76">
        <f>IFERROR((AQ685-AO643)*10000,"")</f>
        <v/>
      </c>
      <c r="AR689" s="76">
        <f>IFERROR((AR685-AO643)*10000,"")</f>
        <v/>
      </c>
      <c r="AS689" s="76">
        <f>IFERROR((AS685-AT643)*10000,"")</f>
        <v/>
      </c>
      <c r="AT689" s="1117">
        <f>IFERROR((AT685-AT643)*10000,"")</f>
        <v/>
      </c>
      <c r="AU689" s="76">
        <f>IFERROR((AU685-AT643)*10000,"")</f>
        <v/>
      </c>
      <c r="AV689" s="76">
        <f>IFERROR((AV685-AT643)*10000,"")</f>
        <v/>
      </c>
      <c r="AW689" s="76">
        <f>IFERROR((AW685-AT643)*10000,"")</f>
        <v/>
      </c>
      <c r="AX689" s="76">
        <f>IFERROR((AX685-AY643)*10000,"")</f>
        <v/>
      </c>
      <c r="AY689" s="1117">
        <f>IFERROR((AY685-AY643)*10000,"")</f>
        <v/>
      </c>
      <c r="AZ689" s="76">
        <f>IFERROR((AZ685-AY643)*10000,"")</f>
        <v/>
      </c>
      <c r="BA689" s="76">
        <f>IFERROR((BA685-AY643)*10000,"")</f>
        <v/>
      </c>
      <c r="BB689" s="76">
        <f>IFERROR((BB685-AY643)*10000,"")</f>
        <v/>
      </c>
      <c r="BC689" s="76">
        <f>IFERROR((BC685-BD643)*10000,"")</f>
        <v/>
      </c>
      <c r="BD689" s="1117">
        <f>IFERROR((BD685-BD643)*10000,"")</f>
        <v/>
      </c>
      <c r="BE689" s="76">
        <f>IFERROR((BE685-BD643)*10000,"")</f>
        <v/>
      </c>
      <c r="BF689" s="76">
        <f>IFERROR((BF685-BD643)*10000,"")</f>
        <v/>
      </c>
      <c r="BG689" s="76">
        <f>IFERROR((BG685-BD643)*10000,"")</f>
        <v/>
      </c>
      <c r="BH689" s="76">
        <f>IFERROR((BH685-BI643)*10000,"")</f>
        <v/>
      </c>
      <c r="BI689" s="1117">
        <f>IFERROR((BI685-BI643)*10000,"")</f>
        <v/>
      </c>
      <c r="BJ689" s="76">
        <f>IFERROR((BJ685-BI643)*10000,"")</f>
        <v/>
      </c>
      <c r="BK689" s="76">
        <f>IFERROR((BK685-BI643)*10000,"")</f>
        <v/>
      </c>
      <c r="BL689" s="76">
        <f>IFERROR((BL685-BI643)*10000,"")</f>
        <v/>
      </c>
      <c r="BM689" s="76">
        <f>IFERROR((BM685-BN643)*10000,"")</f>
        <v/>
      </c>
      <c r="BN689" s="1117">
        <f>IFERROR((BN685-BN643)*10000,"")</f>
        <v/>
      </c>
      <c r="BO689" s="76">
        <f>IFERROR((BO685-BN643)*10000,"")</f>
        <v/>
      </c>
      <c r="BP689" s="76">
        <f>IFERROR((BP685-BN643)*10000,"")</f>
        <v/>
      </c>
      <c r="BQ689" s="76">
        <f>IFERROR((BQ685-BN643)*10000,"")</f>
        <v/>
      </c>
      <c r="BR689" s="76">
        <f>IFERROR((BR685-BS643)*10000,"")</f>
        <v/>
      </c>
      <c r="BS689" s="1117">
        <f>IFERROR((BS685-BS643)*10000,"")</f>
        <v/>
      </c>
      <c r="BT689" s="76">
        <f>IFERROR((BT685-BS643)*10000,"")</f>
        <v/>
      </c>
      <c r="BU689" s="76">
        <f>IFERROR((BU685-BS643)*10000,"")</f>
        <v/>
      </c>
      <c r="BV689" s="881">
        <f>IFERROR((BV685-BS643)*10000,"")</f>
        <v/>
      </c>
      <c r="BW689" s="76" t="n"/>
      <c r="BX689" s="1117" t="n"/>
      <c r="BY689" s="76" t="n"/>
      <c r="BZ689" s="76" t="n"/>
      <c r="CA689" s="76" t="n"/>
      <c r="CB689" s="76" t="n"/>
      <c r="CC689" s="1117" t="n"/>
      <c r="CD689" s="1117" t="n"/>
      <c r="CE689" s="1117" t="n"/>
      <c r="CF689" s="1117" t="n"/>
      <c r="CG689" s="93" t="n"/>
    </row>
    <row r="690" hidden="1" outlineLevel="3" ht="15" customHeight="1">
      <c r="A690" s="821" t="inlineStr">
        <is>
          <t>Forward annual guided Y/Y non-GAAP gross profit margin improvement - high, bps</t>
        </is>
      </c>
      <c r="B690" s="804" t="n"/>
      <c r="C690" s="1198" t="n"/>
      <c r="D690" s="1198" t="n"/>
      <c r="E690" s="1198" t="n"/>
      <c r="F690" s="1198" t="n"/>
      <c r="G690" s="822" t="n"/>
      <c r="H690" s="822" t="n"/>
      <c r="I690" s="822" t="n"/>
      <c r="J690" s="822" t="n"/>
      <c r="K690" s="1198" t="n"/>
      <c r="L690" s="822" t="n"/>
      <c r="M690" s="822" t="n"/>
      <c r="N690" s="822" t="n"/>
      <c r="O690" s="822" t="n"/>
      <c r="P690" s="1198" t="n"/>
      <c r="Q690" s="822" t="n"/>
      <c r="R690" s="822" t="n"/>
      <c r="S690" s="822" t="n"/>
      <c r="T690" s="822" t="n"/>
      <c r="U690" s="1198" t="n"/>
      <c r="V690" s="822" t="n"/>
      <c r="W690" s="822" t="n"/>
      <c r="X690" s="822" t="n"/>
      <c r="Y690" s="822" t="n"/>
      <c r="Z690" s="1198" t="n"/>
      <c r="AA690" s="822" t="n"/>
      <c r="AB690" s="822" t="n"/>
      <c r="AC690" s="822" t="n"/>
      <c r="AD690" s="822" t="n"/>
      <c r="AE690" s="1198" t="n"/>
      <c r="AF690" s="822" t="n"/>
      <c r="AG690" s="822" t="n"/>
      <c r="AH690" s="822">
        <f>IFERROR((AH686-AE643)*10000,"")</f>
        <v/>
      </c>
      <c r="AI690" s="822">
        <f>IFERROR((AI686-AJ643)*10000,"")</f>
        <v/>
      </c>
      <c r="AJ690" s="1198">
        <f>IFERROR((AJ686-AJ643)*10000,"")</f>
        <v/>
      </c>
      <c r="AK690" s="822">
        <f>IFERROR((AK686-AJ643)*10000,"")</f>
        <v/>
      </c>
      <c r="AL690" s="822">
        <f>IFERROR((AL686-AJ643)*10000,"")</f>
        <v/>
      </c>
      <c r="AM690" s="822">
        <f>IFERROR((AM686-AJ643)*10000,"")</f>
        <v/>
      </c>
      <c r="AN690" s="822">
        <f>IFERROR((AN686-AO643)*10000,"")</f>
        <v/>
      </c>
      <c r="AO690" s="1198">
        <f>IFERROR((AO686-AO643)*10000,"")</f>
        <v/>
      </c>
      <c r="AP690" s="822">
        <f>IFERROR((AP686-AO643)*10000,"")</f>
        <v/>
      </c>
      <c r="AQ690" s="822">
        <f>IFERROR((AQ686-AO643)*10000,"")</f>
        <v/>
      </c>
      <c r="AR690" s="822">
        <f>IFERROR((AR686-AO643)*10000,"")</f>
        <v/>
      </c>
      <c r="AS690" s="822">
        <f>IFERROR((AS686-AT643)*10000,"")</f>
        <v/>
      </c>
      <c r="AT690" s="1198">
        <f>IFERROR((AT686-AT643)*10000,"")</f>
        <v/>
      </c>
      <c r="AU690" s="822">
        <f>IFERROR((AU686-AT643)*10000,"")</f>
        <v/>
      </c>
      <c r="AV690" s="822">
        <f>IFERROR((AV686-AT643)*10000,"")</f>
        <v/>
      </c>
      <c r="AW690" s="822">
        <f>IFERROR((AW686-AT643)*10000,"")</f>
        <v/>
      </c>
      <c r="AX690" s="822">
        <f>IFERROR((AX686-AY643)*10000,"")</f>
        <v/>
      </c>
      <c r="AY690" s="1198">
        <f>IFERROR((AY686-AY643)*10000,"")</f>
        <v/>
      </c>
      <c r="AZ690" s="822">
        <f>IFERROR((AZ686-AY643)*10000,"")</f>
        <v/>
      </c>
      <c r="BA690" s="822">
        <f>IFERROR((BA686-AY643)*10000,"")</f>
        <v/>
      </c>
      <c r="BB690" s="822">
        <f>IFERROR((BB686-AY643)*10000,"")</f>
        <v/>
      </c>
      <c r="BC690" s="822">
        <f>IFERROR((BC686-BD643)*10000,"")</f>
        <v/>
      </c>
      <c r="BD690" s="1198">
        <f>IFERROR((BD686-BD643)*10000,"")</f>
        <v/>
      </c>
      <c r="BE690" s="822">
        <f>IFERROR((BE686-BD643)*10000,"")</f>
        <v/>
      </c>
      <c r="BF690" s="822">
        <f>IFERROR((BF686-BD643)*10000,"")</f>
        <v/>
      </c>
      <c r="BG690" s="822">
        <f>IFERROR((BG686-BD643)*10000,"")</f>
        <v/>
      </c>
      <c r="BH690" s="822">
        <f>IFERROR((BH686-BI643)*10000,"")</f>
        <v/>
      </c>
      <c r="BI690" s="1198">
        <f>IFERROR((BI686-BI643)*10000,"")</f>
        <v/>
      </c>
      <c r="BJ690" s="822">
        <f>IFERROR((BJ686-BI643)*10000,"")</f>
        <v/>
      </c>
      <c r="BK690" s="822">
        <f>IFERROR((BK686-BI643)*10000,"")</f>
        <v/>
      </c>
      <c r="BL690" s="822">
        <f>IFERROR((BL686-BI643)*10000,"")</f>
        <v/>
      </c>
      <c r="BM690" s="822">
        <f>IFERROR((BM686-BN643)*10000,"")</f>
        <v/>
      </c>
      <c r="BN690" s="1198">
        <f>IFERROR((BN686-BN643)*10000,"")</f>
        <v/>
      </c>
      <c r="BO690" s="822">
        <f>IFERROR((BO686-BN643)*10000,"")</f>
        <v/>
      </c>
      <c r="BP690" s="822">
        <f>IFERROR((BP686-BN643)*10000,"")</f>
        <v/>
      </c>
      <c r="BQ690" s="822">
        <f>IFERROR((BQ686-BN643)*10000,"")</f>
        <v/>
      </c>
      <c r="BR690" s="822">
        <f>IFERROR((BR686-BS643)*10000,"")</f>
        <v/>
      </c>
      <c r="BS690" s="1198">
        <f>IFERROR((BS686-BS643)*10000,"")</f>
        <v/>
      </c>
      <c r="BT690" s="822">
        <f>IFERROR((BT686-BS643)*10000,"")</f>
        <v/>
      </c>
      <c r="BU690" s="822">
        <f>IFERROR((BU686-BS643)*10000,"")</f>
        <v/>
      </c>
      <c r="BV690" s="914">
        <f>IFERROR((BV686-BS643)*10000,"")</f>
        <v/>
      </c>
      <c r="BW690" s="822" t="n"/>
      <c r="BX690" s="1198" t="n"/>
      <c r="BY690" s="822" t="n"/>
      <c r="BZ690" s="822" t="n"/>
      <c r="CA690" s="822" t="n"/>
      <c r="CB690" s="822" t="n"/>
      <c r="CC690" s="1198" t="n"/>
      <c r="CD690" s="1198" t="n"/>
      <c r="CE690" s="1198" t="n"/>
      <c r="CF690" s="1198" t="n"/>
      <c r="CG690" s="93" t="n"/>
    </row>
    <row r="691" hidden="1" outlineLevel="2" collapsed="1" ht="15" customHeight="1">
      <c r="A691" s="656" t="inlineStr">
        <is>
          <t>Forward annual guided Y/Y non-GAAP gross profit margin improvement - midpoint, bps</t>
        </is>
      </c>
      <c r="B691" s="112" t="n"/>
      <c r="C691" s="1117" t="n"/>
      <c r="D691" s="1117" t="n"/>
      <c r="E691" s="1117" t="n"/>
      <c r="F691" s="1117" t="n"/>
      <c r="G691" s="76" t="n"/>
      <c r="H691" s="76" t="n"/>
      <c r="I691" s="76" t="n"/>
      <c r="J691" s="76" t="n"/>
      <c r="K691" s="1117" t="n"/>
      <c r="L691" s="76" t="n"/>
      <c r="M691" s="76" t="n"/>
      <c r="N691" s="76" t="n"/>
      <c r="O691" s="76" t="n"/>
      <c r="P691" s="1117" t="n"/>
      <c r="Q691" s="76" t="n"/>
      <c r="R691" s="76" t="n"/>
      <c r="S691" s="76" t="n"/>
      <c r="T691" s="76" t="n"/>
      <c r="U691" s="1117" t="n"/>
      <c r="V691" s="76" t="n"/>
      <c r="W691" s="76" t="n"/>
      <c r="X691" s="76" t="n"/>
      <c r="Y691" s="76" t="n"/>
      <c r="Z691" s="1117" t="n"/>
      <c r="AA691" s="76" t="n"/>
      <c r="AB691" s="76" t="n"/>
      <c r="AC691" s="76" t="n"/>
      <c r="AD691" s="76" t="n"/>
      <c r="AE691" s="1117" t="n"/>
      <c r="AF691" s="76" t="n"/>
      <c r="AG691" s="76" t="n"/>
      <c r="AH691" s="76">
        <f>IFERROR((AH687-AE643)*10000,"")</f>
        <v/>
      </c>
      <c r="AI691" s="76">
        <f>IFERROR((AI687-AJ643)*10000,"")</f>
        <v/>
      </c>
      <c r="AJ691" s="1117">
        <f>IFERROR((AJ687-AJ643)*10000,"")</f>
        <v/>
      </c>
      <c r="AK691" s="76">
        <f>IFERROR((AK687-AJ643)*10000,"")</f>
        <v/>
      </c>
      <c r="AL691" s="76">
        <f>IFERROR((AL687-AJ643)*10000,"")</f>
        <v/>
      </c>
      <c r="AM691" s="76">
        <f>IFERROR((AM687-AJ643)*10000,"")</f>
        <v/>
      </c>
      <c r="AN691" s="76">
        <f>IFERROR((AN687-AO643)*10000,"")</f>
        <v/>
      </c>
      <c r="AO691" s="1117">
        <f>IFERROR((AO687-AO643)*10000,"")</f>
        <v/>
      </c>
      <c r="AP691" s="76">
        <f>IFERROR((AP687-AO643)*10000,"")</f>
        <v/>
      </c>
      <c r="AQ691" s="76">
        <f>IFERROR((AQ687-AO643)*10000,"")</f>
        <v/>
      </c>
      <c r="AR691" s="76">
        <f>IFERROR((AR687-AO643)*10000,"")</f>
        <v/>
      </c>
      <c r="AS691" s="76">
        <f>IFERROR((AS687-AT643)*10000,"")</f>
        <v/>
      </c>
      <c r="AT691" s="1117">
        <f>IFERROR((AT687-AT643)*10000,"")</f>
        <v/>
      </c>
      <c r="AU691" s="76">
        <f>IFERROR((AU687-AT643)*10000,"")</f>
        <v/>
      </c>
      <c r="AV691" s="76">
        <f>IFERROR((AV687-AT643)*10000,"")</f>
        <v/>
      </c>
      <c r="AW691" s="76">
        <f>IFERROR((AW687-AT643)*10000,"")</f>
        <v/>
      </c>
      <c r="AX691" s="76">
        <f>IFERROR((AX687-AY643)*10000,"")</f>
        <v/>
      </c>
      <c r="AY691" s="1117">
        <f>IFERROR((AY687-AY643)*10000,"")</f>
        <v/>
      </c>
      <c r="AZ691" s="76">
        <f>IFERROR((AZ687-AY643)*10000,"")</f>
        <v/>
      </c>
      <c r="BA691" s="76">
        <f>IFERROR((BA687-AY643)*10000,"")</f>
        <v/>
      </c>
      <c r="BB691" s="76">
        <f>IFERROR((BB687-AY643)*10000,"")</f>
        <v/>
      </c>
      <c r="BC691" s="76">
        <f>IFERROR((BC687-BD643)*10000,"")</f>
        <v/>
      </c>
      <c r="BD691" s="1117">
        <f>IFERROR((BD687-BD643)*10000,"")</f>
        <v/>
      </c>
      <c r="BE691" s="76">
        <f>IFERROR((BE687-BD643)*10000,"")</f>
        <v/>
      </c>
      <c r="BF691" s="76">
        <f>IFERROR((BF687-BD643)*10000,"")</f>
        <v/>
      </c>
      <c r="BG691" s="76">
        <f>IFERROR((BG687-BD643)*10000,"")</f>
        <v/>
      </c>
      <c r="BH691" s="76">
        <f>IFERROR((BH687-BI643)*10000,"")</f>
        <v/>
      </c>
      <c r="BI691" s="1117">
        <f>IFERROR((BI687-BI643)*10000,"")</f>
        <v/>
      </c>
      <c r="BJ691" s="76">
        <f>IFERROR((BJ687-BI643)*10000,"")</f>
        <v/>
      </c>
      <c r="BK691" s="76">
        <f>IFERROR((BK687-BI643)*10000,"")</f>
        <v/>
      </c>
      <c r="BL691" s="76">
        <f>IFERROR((BL687-BI643)*10000,"")</f>
        <v/>
      </c>
      <c r="BM691" s="76">
        <f>IFERROR((BM687-BN643)*10000,"")</f>
        <v/>
      </c>
      <c r="BN691" s="1117">
        <f>IFERROR((BN687-BN643)*10000,"")</f>
        <v/>
      </c>
      <c r="BO691" s="76">
        <f>IFERROR((BO687-BN643)*10000,"")</f>
        <v/>
      </c>
      <c r="BP691" s="76">
        <f>IFERROR((BP687-BN643)*10000,"")</f>
        <v/>
      </c>
      <c r="BQ691" s="76">
        <f>IFERROR((BQ687-BN643)*10000,"")</f>
        <v/>
      </c>
      <c r="BR691" s="76">
        <f>IFERROR((BR687-BS643)*10000,"")</f>
        <v/>
      </c>
      <c r="BS691" s="1117">
        <f>IFERROR((BS687-BS643)*10000,"")</f>
        <v/>
      </c>
      <c r="BT691" s="76">
        <f>IFERROR((BT687-BS643)*10000,"")</f>
        <v/>
      </c>
      <c r="BU691" s="76">
        <f>IFERROR((BU687-BS643)*10000,"")</f>
        <v/>
      </c>
      <c r="BV691" s="881">
        <f>IFERROR((BV687-BS643)*10000,"")</f>
        <v/>
      </c>
      <c r="BW691" s="76" t="n"/>
      <c r="BX691" s="1117" t="n"/>
      <c r="BY691" s="76" t="n"/>
      <c r="BZ691" s="76" t="n"/>
      <c r="CA691" s="76" t="n"/>
      <c r="CB691" s="76" t="n"/>
      <c r="CC691" s="1117" t="n"/>
      <c r="CD691" s="1117" t="n"/>
      <c r="CE691" s="1117" t="n"/>
      <c r="CF691" s="1117" t="n"/>
      <c r="CG691" s="93" t="n"/>
    </row>
    <row r="692" hidden="1" outlineLevel="1" collapsed="1" ht="15" customHeight="1">
      <c r="A692" s="799" t="n"/>
      <c r="B692" s="428" t="n"/>
      <c r="C692" s="1134" t="n"/>
      <c r="D692" s="1134" t="n"/>
      <c r="E692" s="1134" t="n"/>
      <c r="F692" s="1134" t="n"/>
      <c r="G692" s="93" t="n"/>
      <c r="H692" s="93" t="n"/>
      <c r="I692" s="93" t="n"/>
      <c r="J692" s="93" t="n"/>
      <c r="K692" s="1134" t="n"/>
      <c r="L692" s="93" t="n"/>
      <c r="M692" s="93" t="n"/>
      <c r="N692" s="93" t="n"/>
      <c r="O692" s="93" t="n"/>
      <c r="P692" s="1134" t="n"/>
      <c r="Q692" s="93" t="n"/>
      <c r="R692" s="93" t="n"/>
      <c r="S692" s="93" t="n"/>
      <c r="T692" s="93" t="n"/>
      <c r="U692" s="1134" t="n"/>
      <c r="V692" s="93" t="n"/>
      <c r="W692" s="93" t="n"/>
      <c r="X692" s="93" t="n"/>
      <c r="Y692" s="93" t="n"/>
      <c r="Z692" s="1134" t="n"/>
      <c r="AA692" s="93" t="n"/>
      <c r="AB692" s="93" t="n"/>
      <c r="AC692" s="93" t="n"/>
      <c r="AD692" s="93" t="n"/>
      <c r="AE692" s="1134" t="n"/>
      <c r="AF692" s="93" t="n"/>
      <c r="AG692" s="93" t="n"/>
      <c r="AH692" s="93" t="n"/>
      <c r="AI692" s="93" t="n"/>
      <c r="AJ692" s="1134" t="n"/>
      <c r="AK692" s="93" t="n"/>
      <c r="AL692" s="93" t="n"/>
      <c r="AM692" s="93" t="n"/>
      <c r="AN692" s="93" t="n"/>
      <c r="AO692" s="1134" t="n"/>
      <c r="AP692" s="93" t="n"/>
      <c r="AQ692" s="93" t="n"/>
      <c r="AR692" s="93" t="n"/>
      <c r="AS692" s="93" t="n"/>
      <c r="AT692" s="1134" t="n"/>
      <c r="AU692" s="93" t="n"/>
      <c r="AV692" s="93" t="n"/>
      <c r="AW692" s="93" t="n"/>
      <c r="AX692" s="93" t="n"/>
      <c r="AY692" s="1134" t="n"/>
      <c r="AZ692" s="93" t="n"/>
      <c r="BA692" s="93" t="n"/>
      <c r="BB692" s="93" t="n"/>
      <c r="BC692" s="93" t="n"/>
      <c r="BD692" s="1134" t="n"/>
      <c r="BE692" s="93" t="n"/>
      <c r="BF692" s="93" t="n"/>
      <c r="BG692" s="93" t="n"/>
      <c r="BH692" s="93" t="n"/>
      <c r="BI692" s="1134" t="n"/>
      <c r="BJ692" s="93" t="n"/>
      <c r="BK692" s="93" t="n"/>
      <c r="BL692" s="93" t="n"/>
      <c r="BM692" s="93" t="n"/>
      <c r="BN692" s="1134" t="n"/>
      <c r="BO692" s="93" t="n"/>
      <c r="BP692" s="93" t="n"/>
      <c r="BQ692" s="93" t="n"/>
      <c r="BR692" s="93" t="n"/>
      <c r="BS692" s="1134" t="n"/>
      <c r="BT692" s="93" t="n"/>
      <c r="BU692" s="93" t="n"/>
      <c r="BV692" s="522" t="n"/>
      <c r="BW692" s="93" t="n"/>
      <c r="BX692" s="1134" t="n"/>
      <c r="BY692" s="93" t="n"/>
      <c r="BZ692" s="93" t="n"/>
      <c r="CA692" s="93" t="n"/>
      <c r="CB692" s="93" t="n"/>
      <c r="CC692" s="1134" t="n"/>
      <c r="CD692" s="1134" t="n"/>
      <c r="CE692" s="1134" t="n"/>
      <c r="CF692" s="1134" t="n"/>
      <c r="CG692" s="93" t="n"/>
    </row>
    <row r="693" collapsed="1" ht="15" customHeight="1">
      <c r="A693" s="605" t="n"/>
      <c r="B693" s="428" t="n"/>
      <c r="C693" s="1134" t="n"/>
      <c r="D693" s="1134" t="n"/>
      <c r="E693" s="1134" t="n"/>
      <c r="F693" s="1134" t="n"/>
      <c r="G693" s="93" t="n"/>
      <c r="H693" s="93" t="n"/>
      <c r="I693" s="93" t="n"/>
      <c r="J693" s="93" t="n"/>
      <c r="K693" s="1134" t="n"/>
      <c r="L693" s="93" t="n"/>
      <c r="M693" s="93" t="n"/>
      <c r="N693" s="93" t="n"/>
      <c r="O693" s="93" t="n"/>
      <c r="P693" s="1134" t="n"/>
      <c r="Q693" s="93" t="n"/>
      <c r="R693" s="93" t="n"/>
      <c r="S693" s="93" t="n"/>
      <c r="T693" s="93" t="n"/>
      <c r="U693" s="1134" t="n"/>
      <c r="V693" s="93" t="n"/>
      <c r="W693" s="93" t="n"/>
      <c r="X693" s="93" t="n"/>
      <c r="Y693" s="93" t="n"/>
      <c r="Z693" s="1134" t="n"/>
      <c r="AA693" s="93" t="n"/>
      <c r="AB693" s="93" t="n"/>
      <c r="AC693" s="93" t="n"/>
      <c r="AD693" s="93" t="n"/>
      <c r="AE693" s="1134" t="n"/>
      <c r="AF693" s="93" t="n"/>
      <c r="AG693" s="93" t="n"/>
      <c r="AH693" s="93" t="n"/>
      <c r="AI693" s="93" t="n"/>
      <c r="AJ693" s="1134" t="n"/>
      <c r="AK693" s="93" t="n"/>
      <c r="AL693" s="93" t="n"/>
      <c r="AM693" s="93" t="n"/>
      <c r="AN693" s="93" t="n"/>
      <c r="AO693" s="1134" t="n"/>
      <c r="AP693" s="93" t="n"/>
      <c r="AQ693" s="93" t="n"/>
      <c r="AR693" s="93" t="n"/>
      <c r="AS693" s="93" t="n"/>
      <c r="AT693" s="1134" t="n"/>
      <c r="AU693" s="93" t="n"/>
      <c r="AV693" s="93" t="n"/>
      <c r="AW693" s="93" t="n"/>
      <c r="AX693" s="93" t="n"/>
      <c r="AY693" s="1134" t="n"/>
      <c r="AZ693" s="93" t="n"/>
      <c r="BA693" s="93" t="n"/>
      <c r="BB693" s="93" t="n"/>
      <c r="BC693" s="93" t="n"/>
      <c r="BD693" s="1134" t="n"/>
      <c r="BE693" s="93" t="n"/>
      <c r="BF693" s="93" t="n"/>
      <c r="BG693" s="93" t="n"/>
      <c r="BH693" s="93" t="n"/>
      <c r="BI693" s="1134" t="n"/>
      <c r="BJ693" s="93" t="n"/>
      <c r="BK693" s="93" t="n"/>
      <c r="BL693" s="93" t="n"/>
      <c r="BM693" s="93" t="n"/>
      <c r="BN693" s="1134" t="n"/>
      <c r="BO693" s="93" t="n"/>
      <c r="BP693" s="93" t="n"/>
      <c r="BQ693" s="93" t="n"/>
      <c r="BR693" s="93" t="n"/>
      <c r="BS693" s="1134" t="n"/>
      <c r="BT693" s="93" t="n"/>
      <c r="BU693" s="93" t="n"/>
      <c r="BV693" s="522" t="n"/>
      <c r="BW693" s="93" t="n"/>
      <c r="BX693" s="1134" t="n"/>
      <c r="BY693" s="93" t="n"/>
      <c r="BZ693" s="93" t="n"/>
      <c r="CA693" s="93" t="n"/>
      <c r="CB693" s="93" t="n"/>
      <c r="CC693" s="1134" t="n"/>
      <c r="CD693" s="1134" t="n"/>
      <c r="CE693" s="1134" t="n"/>
      <c r="CF693" s="1134" t="n"/>
      <c r="CG693" s="228" t="n"/>
    </row>
    <row r="694">
      <c r="A694" s="45" t="inlineStr">
        <is>
          <t>Cash Flow Summary</t>
        </is>
      </c>
      <c r="B694" s="45" t="n"/>
      <c r="C694" s="45" t="n"/>
      <c r="D694" s="45" t="n"/>
      <c r="E694" s="45" t="n"/>
      <c r="F694" s="45" t="n"/>
      <c r="G694" s="45" t="n"/>
      <c r="H694" s="45" t="n"/>
      <c r="I694" s="45" t="n"/>
      <c r="J694" s="45" t="n"/>
      <c r="K694" s="45" t="n"/>
      <c r="L694" s="45" t="n"/>
      <c r="M694" s="45" t="n"/>
      <c r="N694" s="45" t="n"/>
      <c r="O694" s="45" t="n"/>
      <c r="P694" s="45" t="n"/>
      <c r="Q694" s="45" t="n"/>
      <c r="R694" s="45" t="n"/>
      <c r="S694" s="45" t="n"/>
      <c r="T694" s="45" t="n"/>
      <c r="U694" s="45" t="n"/>
      <c r="V694" s="45" t="n"/>
      <c r="W694" s="45" t="n"/>
      <c r="X694" s="45" t="n"/>
      <c r="Y694" s="45" t="n"/>
      <c r="Z694" s="45" t="n"/>
      <c r="AA694" s="45" t="n"/>
      <c r="AB694" s="45" t="n"/>
      <c r="AC694" s="45" t="n"/>
      <c r="AD694" s="45" t="n"/>
      <c r="AE694" s="45" t="n"/>
      <c r="AF694" s="45" t="n"/>
      <c r="AG694" s="45" t="n"/>
      <c r="AH694" s="45" t="n"/>
      <c r="AI694" s="45" t="n"/>
      <c r="AJ694" s="45" t="n"/>
      <c r="AK694" s="45" t="n"/>
      <c r="AL694" s="45" t="n"/>
      <c r="AM694" s="45" t="n"/>
      <c r="AN694" s="45" t="n"/>
      <c r="AO694" s="45" t="n"/>
      <c r="AP694" s="45" t="n"/>
      <c r="AQ694" s="45" t="n"/>
      <c r="AR694" s="45" t="n"/>
      <c r="AS694" s="45" t="n"/>
      <c r="AT694" s="45" t="n"/>
      <c r="AU694" s="45" t="n"/>
      <c r="AV694" s="45" t="n"/>
      <c r="AW694" s="45" t="n"/>
      <c r="AX694" s="45" t="n"/>
      <c r="AY694" s="45" t="n"/>
      <c r="AZ694" s="45" t="n"/>
      <c r="BA694" s="45" t="n"/>
      <c r="BB694" s="45" t="n"/>
      <c r="BC694" s="45" t="n"/>
      <c r="BD694" s="45" t="n"/>
      <c r="BE694" s="45" t="n"/>
      <c r="BF694" s="45" t="n"/>
      <c r="BG694" s="45" t="n"/>
      <c r="BH694" s="45" t="n"/>
      <c r="BI694" s="45" t="n"/>
      <c r="BJ694" s="45" t="n"/>
      <c r="BK694" s="45" t="n"/>
      <c r="BL694" s="45" t="n"/>
      <c r="BM694" s="45" t="n"/>
      <c r="BN694" s="45" t="n"/>
      <c r="BO694" s="45" t="n"/>
      <c r="BP694" s="45" t="n"/>
      <c r="BQ694" s="45" t="n"/>
      <c r="BR694" s="45" t="n"/>
      <c r="BS694" s="45" t="n"/>
      <c r="BT694" s="45" t="n"/>
      <c r="BU694" s="45" t="n"/>
      <c r="BV694" s="982" t="n"/>
      <c r="BW694" s="45" t="n"/>
      <c r="BX694" s="45" t="n"/>
      <c r="BY694" s="45" t="n"/>
      <c r="BZ694" s="45" t="n"/>
      <c r="CA694" s="45" t="n"/>
      <c r="CB694" s="45" t="n"/>
      <c r="CC694" s="45" t="n"/>
      <c r="CD694" s="45" t="n"/>
      <c r="CE694" s="45" t="n"/>
      <c r="CF694" s="45" t="n"/>
      <c r="CG694" s="155" t="n"/>
    </row>
    <row r="695" hidden="1" outlineLevel="1">
      <c r="A695" s="27" t="inlineStr">
        <is>
          <t>Operating Cash Flow before WC</t>
        </is>
      </c>
      <c r="B695" s="146" t="n"/>
      <c r="C695" s="1112">
        <f>C860</f>
        <v/>
      </c>
      <c r="D695" s="1112">
        <f>D860</f>
        <v/>
      </c>
      <c r="E695" s="1112">
        <f>E860</f>
        <v/>
      </c>
      <c r="F695" s="1112">
        <f>F860</f>
        <v/>
      </c>
      <c r="G695" s="27">
        <f>G860</f>
        <v/>
      </c>
      <c r="H695" s="27">
        <f>H860</f>
        <v/>
      </c>
      <c r="I695" s="27">
        <f>I860</f>
        <v/>
      </c>
      <c r="J695" s="27">
        <f>J860</f>
        <v/>
      </c>
      <c r="K695" s="1112">
        <f>K860</f>
        <v/>
      </c>
      <c r="L695" s="27">
        <f>L860</f>
        <v/>
      </c>
      <c r="M695" s="27">
        <f>M860</f>
        <v/>
      </c>
      <c r="N695" s="27">
        <f>N860</f>
        <v/>
      </c>
      <c r="O695" s="27">
        <f>O860</f>
        <v/>
      </c>
      <c r="P695" s="1112">
        <f>P860</f>
        <v/>
      </c>
      <c r="Q695" s="27">
        <f>Q860</f>
        <v/>
      </c>
      <c r="R695" s="27">
        <f>R860</f>
        <v/>
      </c>
      <c r="S695" s="27">
        <f>S860</f>
        <v/>
      </c>
      <c r="T695" s="27">
        <f>T860</f>
        <v/>
      </c>
      <c r="U695" s="1112">
        <f>U860</f>
        <v/>
      </c>
      <c r="V695" s="27">
        <f>V860</f>
        <v/>
      </c>
      <c r="W695" s="27">
        <f>W860</f>
        <v/>
      </c>
      <c r="X695" s="27">
        <f>X860</f>
        <v/>
      </c>
      <c r="Y695" s="27">
        <f>Y860</f>
        <v/>
      </c>
      <c r="Z695" s="1112">
        <f>Z860</f>
        <v/>
      </c>
      <c r="AA695" s="27">
        <f>AA860</f>
        <v/>
      </c>
      <c r="AB695" s="27">
        <f>AB860</f>
        <v/>
      </c>
      <c r="AC695" s="27">
        <f>AC860</f>
        <v/>
      </c>
      <c r="AD695" s="27">
        <f>AD860</f>
        <v/>
      </c>
      <c r="AE695" s="1112">
        <f>AE860</f>
        <v/>
      </c>
      <c r="AF695" s="68">
        <f>AF860</f>
        <v/>
      </c>
      <c r="AG695" s="27">
        <f>AG860</f>
        <v/>
      </c>
      <c r="AH695" s="27">
        <f>AH860</f>
        <v/>
      </c>
      <c r="AI695" s="27">
        <f>AI860</f>
        <v/>
      </c>
      <c r="AJ695" s="1112">
        <f>AJ860</f>
        <v/>
      </c>
      <c r="AK695" s="27">
        <f>AK860</f>
        <v/>
      </c>
      <c r="AL695" s="27">
        <f>AL860</f>
        <v/>
      </c>
      <c r="AM695" s="27">
        <f>AM860</f>
        <v/>
      </c>
      <c r="AN695" s="68">
        <f>AN860</f>
        <v/>
      </c>
      <c r="AO695" s="1110">
        <f>AO860</f>
        <v/>
      </c>
      <c r="AP695" s="27">
        <f>AP860</f>
        <v/>
      </c>
      <c r="AQ695" s="68">
        <f>AQ860</f>
        <v/>
      </c>
      <c r="AR695" s="27">
        <f>AR860</f>
        <v/>
      </c>
      <c r="AS695" s="68">
        <f>AS860</f>
        <v/>
      </c>
      <c r="AT695" s="1110">
        <f>AT860</f>
        <v/>
      </c>
      <c r="AU695" s="27">
        <f>AU860</f>
        <v/>
      </c>
      <c r="AV695" s="68">
        <f>AV860</f>
        <v/>
      </c>
      <c r="AW695" s="27">
        <f>AW860</f>
        <v/>
      </c>
      <c r="AX695" s="68">
        <f>AX860</f>
        <v/>
      </c>
      <c r="AY695" s="1110">
        <f>AY860</f>
        <v/>
      </c>
      <c r="AZ695" s="27">
        <f>AZ860</f>
        <v/>
      </c>
      <c r="BA695" s="68">
        <f>BA860</f>
        <v/>
      </c>
      <c r="BB695" s="27">
        <f>BB860</f>
        <v/>
      </c>
      <c r="BC695" s="68">
        <f>BC860</f>
        <v/>
      </c>
      <c r="BD695" s="1110">
        <f>BD860</f>
        <v/>
      </c>
      <c r="BE695" s="27">
        <f>BE860</f>
        <v/>
      </c>
      <c r="BF695" s="68">
        <f>BF860</f>
        <v/>
      </c>
      <c r="BG695" s="27">
        <f>BG860</f>
        <v/>
      </c>
      <c r="BH695" s="68">
        <f>BH860</f>
        <v/>
      </c>
      <c r="BI695" s="1110">
        <f>BI860</f>
        <v/>
      </c>
      <c r="BJ695" s="27">
        <f>BJ860</f>
        <v/>
      </c>
      <c r="BK695" s="68">
        <f>BK860</f>
        <v/>
      </c>
      <c r="BL695" s="27">
        <f>BL860</f>
        <v/>
      </c>
      <c r="BM695" s="68">
        <f>BM860</f>
        <v/>
      </c>
      <c r="BN695" s="1110">
        <f>BN860</f>
        <v/>
      </c>
      <c r="BO695" s="27">
        <f>BO860</f>
        <v/>
      </c>
      <c r="BP695" s="68">
        <f>BP860</f>
        <v/>
      </c>
      <c r="BQ695" s="27">
        <f>BQ860</f>
        <v/>
      </c>
      <c r="BR695" s="68">
        <f>BR860</f>
        <v/>
      </c>
      <c r="BS695" s="1110">
        <f>BS860</f>
        <v/>
      </c>
      <c r="BT695" s="27">
        <f>BT860</f>
        <v/>
      </c>
      <c r="BU695" s="68">
        <f>BU860</f>
        <v/>
      </c>
      <c r="BV695" s="508">
        <f>BV860</f>
        <v/>
      </c>
      <c r="BW695" s="68">
        <f>BW860</f>
        <v/>
      </c>
      <c r="BX695" s="1110">
        <f>BX860</f>
        <v/>
      </c>
      <c r="BY695" s="68">
        <f>BY860</f>
        <v/>
      </c>
      <c r="BZ695" s="68">
        <f>BZ860</f>
        <v/>
      </c>
      <c r="CA695" s="68">
        <f>CA860</f>
        <v/>
      </c>
      <c r="CB695" s="68">
        <f>CB860</f>
        <v/>
      </c>
      <c r="CC695" s="1110">
        <f>CC860</f>
        <v/>
      </c>
      <c r="CD695" s="1110">
        <f>CD860</f>
        <v/>
      </c>
      <c r="CE695" s="1110">
        <f>CE860</f>
        <v/>
      </c>
      <c r="CF695" s="1110">
        <f>CF860</f>
        <v/>
      </c>
      <c r="CG695" s="155" t="n"/>
    </row>
    <row r="696" hidden="1" outlineLevel="1">
      <c r="A696" s="282" t="inlineStr">
        <is>
          <t>Change in Working Capital</t>
        </is>
      </c>
      <c r="B696" s="149" t="n"/>
      <c r="C696" s="1121">
        <f>C697-C695</f>
        <v/>
      </c>
      <c r="D696" s="1121">
        <f>D697-D695</f>
        <v/>
      </c>
      <c r="E696" s="1121">
        <f>E697-E695</f>
        <v/>
      </c>
      <c r="F696" s="1121">
        <f>F697-F695</f>
        <v/>
      </c>
      <c r="G696" s="109">
        <f>G697-G695</f>
        <v/>
      </c>
      <c r="H696" s="109">
        <f>H697-H695</f>
        <v/>
      </c>
      <c r="I696" s="109">
        <f>I697-I695</f>
        <v/>
      </c>
      <c r="J696" s="109">
        <f>J697-J695</f>
        <v/>
      </c>
      <c r="K696" s="1121">
        <f>K697-K695</f>
        <v/>
      </c>
      <c r="L696" s="109">
        <f>L697-L695</f>
        <v/>
      </c>
      <c r="M696" s="109">
        <f>M697-M695</f>
        <v/>
      </c>
      <c r="N696" s="109">
        <f>N697-N695</f>
        <v/>
      </c>
      <c r="O696" s="109">
        <f>O697-O695</f>
        <v/>
      </c>
      <c r="P696" s="1121">
        <f>P697-P695</f>
        <v/>
      </c>
      <c r="Q696" s="109">
        <f>Q697-Q695</f>
        <v/>
      </c>
      <c r="R696" s="109">
        <f>R697-R695</f>
        <v/>
      </c>
      <c r="S696" s="109">
        <f>S697-S695</f>
        <v/>
      </c>
      <c r="T696" s="109">
        <f>T697-T695</f>
        <v/>
      </c>
      <c r="U696" s="1121">
        <f>U697-U695</f>
        <v/>
      </c>
      <c r="V696" s="109">
        <f>V697-V695</f>
        <v/>
      </c>
      <c r="W696" s="109">
        <f>W697-W695</f>
        <v/>
      </c>
      <c r="X696" s="109">
        <f>X697-X695</f>
        <v/>
      </c>
      <c r="Y696" s="109">
        <f>Y697-Y695</f>
        <v/>
      </c>
      <c r="Z696" s="1121">
        <f>Z697-Z695</f>
        <v/>
      </c>
      <c r="AA696" s="109">
        <f>AA697-AA695</f>
        <v/>
      </c>
      <c r="AB696" s="109">
        <f>AB697-AB695</f>
        <v/>
      </c>
      <c r="AC696" s="109">
        <f>AC697-AC695</f>
        <v/>
      </c>
      <c r="AD696" s="109">
        <f>AD697-AD695</f>
        <v/>
      </c>
      <c r="AE696" s="1121">
        <f>AE697-AE695</f>
        <v/>
      </c>
      <c r="AF696" s="109">
        <f>AF697-AF695</f>
        <v/>
      </c>
      <c r="AG696" s="109">
        <f>AG697-AG695</f>
        <v/>
      </c>
      <c r="AH696" s="109">
        <f>AH697-AH695</f>
        <v/>
      </c>
      <c r="AI696" s="109">
        <f>AI697-AI695</f>
        <v/>
      </c>
      <c r="AJ696" s="1121">
        <f>AJ697-AJ695</f>
        <v/>
      </c>
      <c r="AK696" s="109">
        <f>AK697-AK695</f>
        <v/>
      </c>
      <c r="AL696" s="109">
        <f>AL697-AL695</f>
        <v/>
      </c>
      <c r="AM696" s="109">
        <f>AM697-AM695</f>
        <v/>
      </c>
      <c r="AN696" s="109">
        <f>AN697-AN695</f>
        <v/>
      </c>
      <c r="AO696" s="1121">
        <f>AO697-AO695</f>
        <v/>
      </c>
      <c r="AP696" s="109">
        <f>AP697-AP695</f>
        <v/>
      </c>
      <c r="AQ696" s="109">
        <f>AQ697-AQ695</f>
        <v/>
      </c>
      <c r="AR696" s="109">
        <f>AR697-AR695</f>
        <v/>
      </c>
      <c r="AS696" s="109">
        <f>AS697-AS695</f>
        <v/>
      </c>
      <c r="AT696" s="1121">
        <f>AT697-AT695</f>
        <v/>
      </c>
      <c r="AU696" s="109">
        <f>AU697-AU695</f>
        <v/>
      </c>
      <c r="AV696" s="109">
        <f>AV697-AV695</f>
        <v/>
      </c>
      <c r="AW696" s="109">
        <f>AW697-AW695</f>
        <v/>
      </c>
      <c r="AX696" s="109">
        <f>AX697-AX695</f>
        <v/>
      </c>
      <c r="AY696" s="1121">
        <f>AY697-AY695</f>
        <v/>
      </c>
      <c r="AZ696" s="109">
        <f>AZ697-AZ695</f>
        <v/>
      </c>
      <c r="BA696" s="109">
        <f>BA697-BA695</f>
        <v/>
      </c>
      <c r="BB696" s="109">
        <f>BB697-BB695</f>
        <v/>
      </c>
      <c r="BC696" s="109">
        <f>BC697-BC695</f>
        <v/>
      </c>
      <c r="BD696" s="1121">
        <f>BD697-BD695</f>
        <v/>
      </c>
      <c r="BE696" s="109">
        <f>BE697-BE695</f>
        <v/>
      </c>
      <c r="BF696" s="109">
        <f>BF697-BF695</f>
        <v/>
      </c>
      <c r="BG696" s="109">
        <f>BG697-BG695</f>
        <v/>
      </c>
      <c r="BH696" s="109">
        <f>BH697-BH695</f>
        <v/>
      </c>
      <c r="BI696" s="1121">
        <f>BI697-BI695</f>
        <v/>
      </c>
      <c r="BJ696" s="109">
        <f>BJ697-BJ695</f>
        <v/>
      </c>
      <c r="BK696" s="109">
        <f>BK697-BK695</f>
        <v/>
      </c>
      <c r="BL696" s="109">
        <f>BL697-BL695</f>
        <v/>
      </c>
      <c r="BM696" s="109">
        <f>BM697-BM695</f>
        <v/>
      </c>
      <c r="BN696" s="1121">
        <f>BN697-BN695</f>
        <v/>
      </c>
      <c r="BO696" s="109">
        <f>BO697-BO695</f>
        <v/>
      </c>
      <c r="BP696" s="109">
        <f>BP697-BP695</f>
        <v/>
      </c>
      <c r="BQ696" s="109">
        <f>BQ697-BQ695</f>
        <v/>
      </c>
      <c r="BR696" s="109">
        <f>BR697-BR695</f>
        <v/>
      </c>
      <c r="BS696" s="1121">
        <f>BS697-BS695</f>
        <v/>
      </c>
      <c r="BT696" s="109">
        <f>BT697-BT695</f>
        <v/>
      </c>
      <c r="BU696" s="109">
        <f>BU697-BU695</f>
        <v/>
      </c>
      <c r="BV696" s="730">
        <f>BV697-BV695</f>
        <v/>
      </c>
      <c r="BW696" s="109">
        <f>BW697-BW695</f>
        <v/>
      </c>
      <c r="BX696" s="1121">
        <f>BX697-BX695</f>
        <v/>
      </c>
      <c r="BY696" s="109">
        <f>BY697-BY695</f>
        <v/>
      </c>
      <c r="BZ696" s="109">
        <f>BZ697-BZ695</f>
        <v/>
      </c>
      <c r="CA696" s="109">
        <f>CA697-CA695</f>
        <v/>
      </c>
      <c r="CB696" s="109">
        <f>CB697-CB695</f>
        <v/>
      </c>
      <c r="CC696" s="1121">
        <f>CC697-CC695</f>
        <v/>
      </c>
      <c r="CD696" s="1121">
        <f>CD697-CD695</f>
        <v/>
      </c>
      <c r="CE696" s="1121">
        <f>CE697-CE695</f>
        <v/>
      </c>
      <c r="CF696" s="1121">
        <f>CF697-CF695</f>
        <v/>
      </c>
      <c r="CG696" s="155" t="n"/>
    </row>
    <row r="697" collapsed="1">
      <c r="A697" s="600" t="inlineStr">
        <is>
          <t>Operating Cash Flow after WC</t>
        </is>
      </c>
      <c r="B697" s="279" t="n"/>
      <c r="C697" s="1125">
        <f>C869</f>
        <v/>
      </c>
      <c r="D697" s="1125">
        <f>D869</f>
        <v/>
      </c>
      <c r="E697" s="1125">
        <f>E869</f>
        <v/>
      </c>
      <c r="F697" s="1125">
        <f>F869</f>
        <v/>
      </c>
      <c r="G697" s="63">
        <f>G869</f>
        <v/>
      </c>
      <c r="H697" s="63">
        <f>H869</f>
        <v/>
      </c>
      <c r="I697" s="63">
        <f>I869</f>
        <v/>
      </c>
      <c r="J697" s="63">
        <f>J869</f>
        <v/>
      </c>
      <c r="K697" s="1125">
        <f>K869</f>
        <v/>
      </c>
      <c r="L697" s="63">
        <f>L869</f>
        <v/>
      </c>
      <c r="M697" s="63">
        <f>M869</f>
        <v/>
      </c>
      <c r="N697" s="63">
        <f>N869</f>
        <v/>
      </c>
      <c r="O697" s="63">
        <f>O869</f>
        <v/>
      </c>
      <c r="P697" s="1125">
        <f>P869</f>
        <v/>
      </c>
      <c r="Q697" s="63">
        <f>Q869</f>
        <v/>
      </c>
      <c r="R697" s="63">
        <f>R869</f>
        <v/>
      </c>
      <c r="S697" s="63">
        <f>S869</f>
        <v/>
      </c>
      <c r="T697" s="63">
        <f>T869</f>
        <v/>
      </c>
      <c r="U697" s="1125">
        <f>U869</f>
        <v/>
      </c>
      <c r="V697" s="63">
        <f>V869</f>
        <v/>
      </c>
      <c r="W697" s="63">
        <f>W869</f>
        <v/>
      </c>
      <c r="X697" s="63">
        <f>X869</f>
        <v/>
      </c>
      <c r="Y697" s="63">
        <f>Y869</f>
        <v/>
      </c>
      <c r="Z697" s="1125">
        <f>Z869</f>
        <v/>
      </c>
      <c r="AA697" s="63">
        <f>AA869</f>
        <v/>
      </c>
      <c r="AB697" s="63">
        <f>AB869</f>
        <v/>
      </c>
      <c r="AC697" s="63">
        <f>AC869</f>
        <v/>
      </c>
      <c r="AD697" s="63">
        <f>AD869</f>
        <v/>
      </c>
      <c r="AE697" s="1125">
        <f>AE869</f>
        <v/>
      </c>
      <c r="AF697" s="63">
        <f>AF869</f>
        <v/>
      </c>
      <c r="AG697" s="63">
        <f>AG869</f>
        <v/>
      </c>
      <c r="AH697" s="63">
        <f>AH869</f>
        <v/>
      </c>
      <c r="AI697" s="63">
        <f>AI869</f>
        <v/>
      </c>
      <c r="AJ697" s="1125">
        <f>AJ869</f>
        <v/>
      </c>
      <c r="AK697" s="63">
        <f>AK869</f>
        <v/>
      </c>
      <c r="AL697" s="63">
        <f>AL869</f>
        <v/>
      </c>
      <c r="AM697" s="63">
        <f>AM869</f>
        <v/>
      </c>
      <c r="AN697" s="63">
        <f>AN869</f>
        <v/>
      </c>
      <c r="AO697" s="1125">
        <f>AO869</f>
        <v/>
      </c>
      <c r="AP697" s="63">
        <f>AP869</f>
        <v/>
      </c>
      <c r="AQ697" s="63">
        <f>AQ869</f>
        <v/>
      </c>
      <c r="AR697" s="63">
        <f>AR869</f>
        <v/>
      </c>
      <c r="AS697" s="63">
        <f>AS869</f>
        <v/>
      </c>
      <c r="AT697" s="1125">
        <f>AT869</f>
        <v/>
      </c>
      <c r="AU697" s="63">
        <f>AU869</f>
        <v/>
      </c>
      <c r="AV697" s="63">
        <f>AV869</f>
        <v/>
      </c>
      <c r="AW697" s="63">
        <f>AW869</f>
        <v/>
      </c>
      <c r="AX697" s="63">
        <f>AX869</f>
        <v/>
      </c>
      <c r="AY697" s="1125">
        <f>AY869</f>
        <v/>
      </c>
      <c r="AZ697" s="63">
        <f>AZ869</f>
        <v/>
      </c>
      <c r="BA697" s="63">
        <f>BA869</f>
        <v/>
      </c>
      <c r="BB697" s="63">
        <f>BB869</f>
        <v/>
      </c>
      <c r="BC697" s="63">
        <f>BC869</f>
        <v/>
      </c>
      <c r="BD697" s="1125">
        <f>BD869</f>
        <v/>
      </c>
      <c r="BE697" s="63">
        <f>BE869</f>
        <v/>
      </c>
      <c r="BF697" s="63">
        <f>BF869</f>
        <v/>
      </c>
      <c r="BG697" s="63">
        <f>BG869</f>
        <v/>
      </c>
      <c r="BH697" s="63">
        <f>BH869</f>
        <v/>
      </c>
      <c r="BI697" s="1125">
        <f>BI869</f>
        <v/>
      </c>
      <c r="BJ697" s="63">
        <f>BJ869</f>
        <v/>
      </c>
      <c r="BK697" s="63">
        <f>BK869</f>
        <v/>
      </c>
      <c r="BL697" s="63">
        <f>BL869</f>
        <v/>
      </c>
      <c r="BM697" s="63">
        <f>BM869</f>
        <v/>
      </c>
      <c r="BN697" s="1125">
        <f>BN869</f>
        <v/>
      </c>
      <c r="BO697" s="63">
        <f>BO869</f>
        <v/>
      </c>
      <c r="BP697" s="63">
        <f>BP869</f>
        <v/>
      </c>
      <c r="BQ697" s="63">
        <f>BQ869</f>
        <v/>
      </c>
      <c r="BR697" s="63">
        <f>BR869</f>
        <v/>
      </c>
      <c r="BS697" s="1125">
        <f>BS869</f>
        <v/>
      </c>
      <c r="BT697" s="63">
        <f>BT869</f>
        <v/>
      </c>
      <c r="BU697" s="63">
        <f>BU869</f>
        <v/>
      </c>
      <c r="BV697" s="587">
        <f>BV869</f>
        <v/>
      </c>
      <c r="BW697" s="63">
        <f>BW869</f>
        <v/>
      </c>
      <c r="BX697" s="1125">
        <f>BX869</f>
        <v/>
      </c>
      <c r="BY697" s="63">
        <f>BY869</f>
        <v/>
      </c>
      <c r="BZ697" s="63">
        <f>BZ869</f>
        <v/>
      </c>
      <c r="CA697" s="63">
        <f>CA869</f>
        <v/>
      </c>
      <c r="CB697" s="63">
        <f>CB869</f>
        <v/>
      </c>
      <c r="CC697" s="1125">
        <f>CC869</f>
        <v/>
      </c>
      <c r="CD697" s="1125">
        <f>CD869</f>
        <v/>
      </c>
      <c r="CE697" s="1125">
        <f>CE869</f>
        <v/>
      </c>
      <c r="CF697" s="1125">
        <f>CF869</f>
        <v/>
      </c>
      <c r="CG697" s="155" t="n"/>
    </row>
    <row r="698" hidden="1" outlineLevel="1">
      <c r="A698" s="719" t="inlineStr">
        <is>
          <t>Cash Flow Per Diluted Share before WC</t>
        </is>
      </c>
      <c r="B698" s="613" t="n"/>
      <c r="C698" s="1200">
        <f>C695/C429</f>
        <v/>
      </c>
      <c r="D698" s="1200">
        <f>D695/D429</f>
        <v/>
      </c>
      <c r="E698" s="1201">
        <f>E695/E429</f>
        <v/>
      </c>
      <c r="F698" s="1201">
        <f>F695/F429</f>
        <v/>
      </c>
      <c r="G698" s="94">
        <f>G695/G429</f>
        <v/>
      </c>
      <c r="H698" s="94">
        <f>H695/H429</f>
        <v/>
      </c>
      <c r="I698" s="94">
        <f>I695/I429</f>
        <v/>
      </c>
      <c r="J698" s="94">
        <f>J695/J429</f>
        <v/>
      </c>
      <c r="K698" s="1201">
        <f>K695/K429</f>
        <v/>
      </c>
      <c r="L698" s="94">
        <f>L695/L429</f>
        <v/>
      </c>
      <c r="M698" s="94">
        <f>M695/M429</f>
        <v/>
      </c>
      <c r="N698" s="94">
        <f>N695/N429</f>
        <v/>
      </c>
      <c r="O698" s="94">
        <f>O695/O429</f>
        <v/>
      </c>
      <c r="P698" s="1201">
        <f>P695/P429</f>
        <v/>
      </c>
      <c r="Q698" s="94">
        <f>Q695/Q429</f>
        <v/>
      </c>
      <c r="R698" s="94">
        <f>R695/R429</f>
        <v/>
      </c>
      <c r="S698" s="94">
        <f>S695/S429</f>
        <v/>
      </c>
      <c r="T698" s="94">
        <f>T695/T429</f>
        <v/>
      </c>
      <c r="U698" s="1201">
        <f>U695/U429</f>
        <v/>
      </c>
      <c r="V698" s="94">
        <f>V695/V429</f>
        <v/>
      </c>
      <c r="W698" s="94">
        <f>W695/W429</f>
        <v/>
      </c>
      <c r="X698" s="94">
        <f>X695/X429</f>
        <v/>
      </c>
      <c r="Y698" s="94">
        <f>Y695/Y429</f>
        <v/>
      </c>
      <c r="Z698" s="1201">
        <f>Z695/Z429</f>
        <v/>
      </c>
      <c r="AA698" s="94">
        <f>AA695/AA429</f>
        <v/>
      </c>
      <c r="AB698" s="94">
        <f>AB695/AB429</f>
        <v/>
      </c>
      <c r="AC698" s="94">
        <f>AC695/AC429</f>
        <v/>
      </c>
      <c r="AD698" s="94">
        <f>AD695/AD429</f>
        <v/>
      </c>
      <c r="AE698" s="1201">
        <f>AE695/AE429</f>
        <v/>
      </c>
      <c r="AF698" s="94">
        <f>AF695/AF429</f>
        <v/>
      </c>
      <c r="AG698" s="94">
        <f>AG695/AG429</f>
        <v/>
      </c>
      <c r="AH698" s="94">
        <f>AH695/AH429</f>
        <v/>
      </c>
      <c r="AI698" s="94">
        <f>AI695/AI429</f>
        <v/>
      </c>
      <c r="AJ698" s="1201">
        <f>AJ695/AJ429</f>
        <v/>
      </c>
      <c r="AK698" s="94">
        <f>AK695/AK429</f>
        <v/>
      </c>
      <c r="AL698" s="94">
        <f>AL695/AL429</f>
        <v/>
      </c>
      <c r="AM698" s="94">
        <f>AM695/AM429</f>
        <v/>
      </c>
      <c r="AN698" s="94">
        <f>AN695/AN429</f>
        <v/>
      </c>
      <c r="AO698" s="1201">
        <f>AO695/AO429</f>
        <v/>
      </c>
      <c r="AP698" s="94">
        <f>AP695/AP429</f>
        <v/>
      </c>
      <c r="AQ698" s="94">
        <f>AQ695/AQ429</f>
        <v/>
      </c>
      <c r="AR698" s="94">
        <f>AR695/AR429</f>
        <v/>
      </c>
      <c r="AS698" s="94">
        <f>AS695/AS429</f>
        <v/>
      </c>
      <c r="AT698" s="1201">
        <f>AT695/AT429</f>
        <v/>
      </c>
      <c r="AU698" s="94">
        <f>AU695/AU429</f>
        <v/>
      </c>
      <c r="AV698" s="94">
        <f>AV695/AV429</f>
        <v/>
      </c>
      <c r="AW698" s="94">
        <f>AW695/AW429</f>
        <v/>
      </c>
      <c r="AX698" s="94">
        <f>AX695/AX429</f>
        <v/>
      </c>
      <c r="AY698" s="1201">
        <f>AY695/AY429</f>
        <v/>
      </c>
      <c r="AZ698" s="94">
        <f>AZ695/AZ429</f>
        <v/>
      </c>
      <c r="BA698" s="94">
        <f>BA695/BA429</f>
        <v/>
      </c>
      <c r="BB698" s="94">
        <f>BB695/BB429</f>
        <v/>
      </c>
      <c r="BC698" s="94">
        <f>BC695/BC429</f>
        <v/>
      </c>
      <c r="BD698" s="1201">
        <f>BD695/BD429</f>
        <v/>
      </c>
      <c r="BE698" s="94">
        <f>BE695/BE429</f>
        <v/>
      </c>
      <c r="BF698" s="94">
        <f>BF695/BF429</f>
        <v/>
      </c>
      <c r="BG698" s="94">
        <f>BG695/BG429</f>
        <v/>
      </c>
      <c r="BH698" s="94">
        <f>BH695/BH429</f>
        <v/>
      </c>
      <c r="BI698" s="1201">
        <f>BI695/BI429</f>
        <v/>
      </c>
      <c r="BJ698" s="94">
        <f>BJ695/BJ429</f>
        <v/>
      </c>
      <c r="BK698" s="94">
        <f>BK695/BK429</f>
        <v/>
      </c>
      <c r="BL698" s="94">
        <f>BL695/BL429</f>
        <v/>
      </c>
      <c r="BM698" s="94">
        <f>BM695/BM429</f>
        <v/>
      </c>
      <c r="BN698" s="1201">
        <f>BN695/BN429</f>
        <v/>
      </c>
      <c r="BO698" s="94">
        <f>BO695/BO429</f>
        <v/>
      </c>
      <c r="BP698" s="94">
        <f>BP695/BP429</f>
        <v/>
      </c>
      <c r="BQ698" s="94">
        <f>BQ695/BQ429</f>
        <v/>
      </c>
      <c r="BR698" s="94">
        <f>BR695/BR429</f>
        <v/>
      </c>
      <c r="BS698" s="1201">
        <f>BS695/BS429</f>
        <v/>
      </c>
      <c r="BT698" s="94">
        <f>BT695/BT429</f>
        <v/>
      </c>
      <c r="BU698" s="94">
        <f>BU695/BU429</f>
        <v/>
      </c>
      <c r="BV698" s="915">
        <f>BV695/BV429</f>
        <v/>
      </c>
      <c r="BW698" s="94">
        <f>BW695/BW429</f>
        <v/>
      </c>
      <c r="BX698" s="1201">
        <f>BX695/BX429</f>
        <v/>
      </c>
      <c r="BY698" s="94">
        <f>BY695/BY429</f>
        <v/>
      </c>
      <c r="BZ698" s="94">
        <f>BZ695/BZ429</f>
        <v/>
      </c>
      <c r="CA698" s="94">
        <f>CA695/CA429</f>
        <v/>
      </c>
      <c r="CB698" s="94">
        <f>CB695/CB429</f>
        <v/>
      </c>
      <c r="CC698" s="1201">
        <f>CC695/CC429</f>
        <v/>
      </c>
      <c r="CD698" s="1201">
        <f>CD695/CD429</f>
        <v/>
      </c>
      <c r="CE698" s="1201">
        <f>CE695/CE429</f>
        <v/>
      </c>
      <c r="CF698" s="1201">
        <f>CF695/CF429</f>
        <v/>
      </c>
      <c r="CG698" s="155" t="n"/>
    </row>
    <row r="699" collapsed="1">
      <c r="A699" s="719" t="inlineStr">
        <is>
          <t>Cash Flow Per Diluted Share</t>
        </is>
      </c>
      <c r="B699" s="613" t="n"/>
      <c r="C699" s="1200">
        <f>C697/C429</f>
        <v/>
      </c>
      <c r="D699" s="1200">
        <f>D697/D429</f>
        <v/>
      </c>
      <c r="E699" s="1201">
        <f>E697/E429</f>
        <v/>
      </c>
      <c r="F699" s="1201">
        <f>F697/F429</f>
        <v/>
      </c>
      <c r="G699" s="94">
        <f>G697/G429</f>
        <v/>
      </c>
      <c r="H699" s="94">
        <f>H697/H429</f>
        <v/>
      </c>
      <c r="I699" s="94">
        <f>I697/I429</f>
        <v/>
      </c>
      <c r="J699" s="94">
        <f>J697/J429</f>
        <v/>
      </c>
      <c r="K699" s="1201">
        <f>K697/K429</f>
        <v/>
      </c>
      <c r="L699" s="94">
        <f>L697/L429</f>
        <v/>
      </c>
      <c r="M699" s="94">
        <f>M697/M429</f>
        <v/>
      </c>
      <c r="N699" s="94">
        <f>N697/N429</f>
        <v/>
      </c>
      <c r="O699" s="94">
        <f>O697/O429</f>
        <v/>
      </c>
      <c r="P699" s="1201">
        <f>P697/P429</f>
        <v/>
      </c>
      <c r="Q699" s="94">
        <f>Q697/Q429</f>
        <v/>
      </c>
      <c r="R699" s="94">
        <f>R697/R429</f>
        <v/>
      </c>
      <c r="S699" s="94">
        <f>S697/S429</f>
        <v/>
      </c>
      <c r="T699" s="94">
        <f>T697/T429</f>
        <v/>
      </c>
      <c r="U699" s="1201">
        <f>U697/U429</f>
        <v/>
      </c>
      <c r="V699" s="94">
        <f>V697/V429</f>
        <v/>
      </c>
      <c r="W699" s="94">
        <f>W697/W429</f>
        <v/>
      </c>
      <c r="X699" s="94">
        <f>X697/X429</f>
        <v/>
      </c>
      <c r="Y699" s="94">
        <f>Y697/Y429</f>
        <v/>
      </c>
      <c r="Z699" s="1201">
        <f>Z697/Z429</f>
        <v/>
      </c>
      <c r="AA699" s="94">
        <f>AA697/AA429</f>
        <v/>
      </c>
      <c r="AB699" s="94">
        <f>AB697/AB429</f>
        <v/>
      </c>
      <c r="AC699" s="94">
        <f>AC697/AC429</f>
        <v/>
      </c>
      <c r="AD699" s="94">
        <f>AD697/AD429</f>
        <v/>
      </c>
      <c r="AE699" s="1201">
        <f>AE697/AE429</f>
        <v/>
      </c>
      <c r="AF699" s="94">
        <f>AF697/AF429</f>
        <v/>
      </c>
      <c r="AG699" s="94">
        <f>AG697/AG429</f>
        <v/>
      </c>
      <c r="AH699" s="94">
        <f>AH697/AH429</f>
        <v/>
      </c>
      <c r="AI699" s="94">
        <f>AI697/AI429</f>
        <v/>
      </c>
      <c r="AJ699" s="1201">
        <f>AJ697/AJ429</f>
        <v/>
      </c>
      <c r="AK699" s="94">
        <f>AK697/AK429</f>
        <v/>
      </c>
      <c r="AL699" s="94">
        <f>AL697/AL429</f>
        <v/>
      </c>
      <c r="AM699" s="94">
        <f>AM697/AM429</f>
        <v/>
      </c>
      <c r="AN699" s="94">
        <f>AN697/AN429</f>
        <v/>
      </c>
      <c r="AO699" s="1201">
        <f>AO697/AO429</f>
        <v/>
      </c>
      <c r="AP699" s="94">
        <f>AP697/AP429</f>
        <v/>
      </c>
      <c r="AQ699" s="94">
        <f>AQ697/AQ429</f>
        <v/>
      </c>
      <c r="AR699" s="94">
        <f>AR697/AR429</f>
        <v/>
      </c>
      <c r="AS699" s="94">
        <f>AS697/AS429</f>
        <v/>
      </c>
      <c r="AT699" s="1201">
        <f>AT697/AT429</f>
        <v/>
      </c>
      <c r="AU699" s="94">
        <f>AU697/AU429</f>
        <v/>
      </c>
      <c r="AV699" s="94">
        <f>AV697/AV429</f>
        <v/>
      </c>
      <c r="AW699" s="94">
        <f>AW697/AW429</f>
        <v/>
      </c>
      <c r="AX699" s="94">
        <f>AX697/AX429</f>
        <v/>
      </c>
      <c r="AY699" s="1201">
        <f>AY697/AY429</f>
        <v/>
      </c>
      <c r="AZ699" s="94">
        <f>AZ697/AZ429</f>
        <v/>
      </c>
      <c r="BA699" s="94">
        <f>BA697/BA429</f>
        <v/>
      </c>
      <c r="BB699" s="94">
        <f>BB697/BB429</f>
        <v/>
      </c>
      <c r="BC699" s="94">
        <f>BC697/BC429</f>
        <v/>
      </c>
      <c r="BD699" s="1201">
        <f>BD697/BD429</f>
        <v/>
      </c>
      <c r="BE699" s="94">
        <f>BE697/BE429</f>
        <v/>
      </c>
      <c r="BF699" s="94">
        <f>BF697/BF429</f>
        <v/>
      </c>
      <c r="BG699" s="94">
        <f>BG697/BG429</f>
        <v/>
      </c>
      <c r="BH699" s="94">
        <f>BH697/BH429</f>
        <v/>
      </c>
      <c r="BI699" s="1201">
        <f>BI697/BI429</f>
        <v/>
      </c>
      <c r="BJ699" s="94">
        <f>BJ697/BJ429</f>
        <v/>
      </c>
      <c r="BK699" s="94">
        <f>BK697/BK429</f>
        <v/>
      </c>
      <c r="BL699" s="94">
        <f>BL697/BL429</f>
        <v/>
      </c>
      <c r="BM699" s="94">
        <f>BM697/BM429</f>
        <v/>
      </c>
      <c r="BN699" s="1201">
        <f>BN697/BN429</f>
        <v/>
      </c>
      <c r="BO699" s="94">
        <f>BO697/BO429</f>
        <v/>
      </c>
      <c r="BP699" s="94">
        <f>BP697/BP429</f>
        <v/>
      </c>
      <c r="BQ699" s="94">
        <f>BQ697/BQ429</f>
        <v/>
      </c>
      <c r="BR699" s="94">
        <f>BR697/BR429</f>
        <v/>
      </c>
      <c r="BS699" s="1201">
        <f>BS697/BS429</f>
        <v/>
      </c>
      <c r="BT699" s="94">
        <f>BT697/BT429</f>
        <v/>
      </c>
      <c r="BU699" s="94">
        <f>BU697/BU429</f>
        <v/>
      </c>
      <c r="BV699" s="915">
        <f>BV697/BV429</f>
        <v/>
      </c>
      <c r="BW699" s="94">
        <f>BW697/BW429</f>
        <v/>
      </c>
      <c r="BX699" s="1201">
        <f>BX697/BX429</f>
        <v/>
      </c>
      <c r="BY699" s="94">
        <f>BY697/BY429</f>
        <v/>
      </c>
      <c r="BZ699" s="94">
        <f>BZ697/BZ429</f>
        <v/>
      </c>
      <c r="CA699" s="94">
        <f>CA697/CA429</f>
        <v/>
      </c>
      <c r="CB699" s="94">
        <f>CB697/CB429</f>
        <v/>
      </c>
      <c r="CC699" s="1201">
        <f>CC697/CC429</f>
        <v/>
      </c>
      <c r="CD699" s="1201">
        <f>CD697/CD429</f>
        <v/>
      </c>
      <c r="CE699" s="1201">
        <f>CE697/CE429</f>
        <v/>
      </c>
      <c r="CF699" s="1201">
        <f>CF697/CF429</f>
        <v/>
      </c>
      <c r="CG699" s="155" t="n"/>
    </row>
    <row r="700">
      <c r="A700" s="78" t="inlineStr">
        <is>
          <t>Consensus Estimates - Cash Flow Per Diluted Share</t>
        </is>
      </c>
      <c r="B700" s="106" t="n"/>
      <c r="C700" s="1175" t="n"/>
      <c r="D700" s="1175" t="n"/>
      <c r="E700" s="1175" t="n"/>
      <c r="F700" s="1175" t="n"/>
      <c r="G700" s="79" t="n"/>
      <c r="H700" s="79" t="n"/>
      <c r="I700" s="79" t="n"/>
      <c r="J700" s="79" t="n"/>
      <c r="K700" s="1175" t="n"/>
      <c r="L700" s="79" t="n"/>
      <c r="M700" s="79" t="n"/>
      <c r="N700" s="79" t="n"/>
      <c r="O700" s="79" t="n"/>
      <c r="P700" s="1175" t="n"/>
      <c r="Q700" s="79" t="n"/>
      <c r="R700" s="79" t="n"/>
      <c r="S700" s="79" t="n"/>
      <c r="T700" s="79" t="n"/>
      <c r="U700" s="1175" t="n"/>
      <c r="V700" s="79" t="n"/>
      <c r="W700" s="297" t="n"/>
      <c r="X700" s="297" t="n"/>
      <c r="Y700" s="297" t="n"/>
      <c r="Z700" s="1175" t="n"/>
      <c r="AA700" s="79" t="n"/>
      <c r="AB700" s="79" t="n"/>
      <c r="AC700" s="79" t="n"/>
      <c r="AD700" s="79" t="n"/>
      <c r="AE700" s="1176" t="n"/>
      <c r="AF700" s="79" t="n"/>
      <c r="AG700" s="79" t="n"/>
      <c r="AH700" s="79" t="n"/>
      <c r="AI700" s="79" t="n"/>
      <c r="AJ700" s="1176" t="n"/>
      <c r="AK700" s="79" t="n"/>
      <c r="AL700" s="79" t="n"/>
      <c r="AM700" s="79" t="n"/>
      <c r="AN700" s="79" t="n"/>
      <c r="AO700" s="1202" t="n"/>
      <c r="AP700" s="79" t="n"/>
      <c r="AQ700" s="79" t="n"/>
      <c r="AR700" s="79" t="n"/>
      <c r="AS700" s="79" t="n"/>
      <c r="AT700" s="1202" t="n"/>
      <c r="AU700" s="79" t="n"/>
      <c r="AV700" s="79" t="n"/>
      <c r="AW700" s="79" t="n"/>
      <c r="AX700" s="79" t="n"/>
      <c r="AY700" s="1202" t="n"/>
      <c r="AZ700" s="79" t="n"/>
      <c r="BA700" s="79" t="n"/>
      <c r="BB700" s="79" t="n"/>
      <c r="BC700" s="79" t="n"/>
      <c r="BD700" s="1202" t="n"/>
      <c r="BE700" s="79" t="n"/>
      <c r="BF700" s="79" t="n"/>
      <c r="BG700" s="79" t="n"/>
      <c r="BH700" s="79" t="n"/>
      <c r="BI700" s="1202" t="n"/>
      <c r="BJ700" s="79" t="n"/>
      <c r="BK700" s="79" t="n"/>
      <c r="BL700" s="79" t="n"/>
      <c r="BM700" s="79" t="n"/>
      <c r="BN700" s="1202" t="n"/>
      <c r="BO700" s="79" t="n"/>
      <c r="BP700" s="79" t="n"/>
      <c r="BQ700" s="79" t="n"/>
      <c r="BR700" s="79" t="n"/>
      <c r="BS700" s="1202" t="n"/>
      <c r="BT700" s="79" t="n"/>
      <c r="BU700" s="79" t="n"/>
      <c r="BV700" s="899" t="n"/>
      <c r="BW700" s="869">
        <f>IFERROR(VLOOKUP($A700,tb_ConsensusEstimate,MATCH(BW$5,OFFSET(tb_ConsensusEstimate,0,0,1,COLUMNS(tb_ConsensusEstimate)),0),FALSE),"-")</f>
        <v/>
      </c>
      <c r="BX700" s="1202">
        <f>IFERROR(VLOOKUP($A700,tb_ConsensusEstimate,MATCH(BX$5,OFFSET(tb_ConsensusEstimate,0,0,1,COLUMNS(tb_ConsensusEstimate)),0),FALSE),"-")</f>
        <v/>
      </c>
      <c r="BY700" s="869">
        <f>IFERROR(VLOOKUP($A700,tb_ConsensusEstimate,MATCH(BY$5,OFFSET(tb_ConsensusEstimate,0,0,1,COLUMNS(tb_ConsensusEstimate)),0),FALSE),"-")</f>
        <v/>
      </c>
      <c r="BZ700" s="869">
        <f>IFERROR(VLOOKUP($A700,tb_ConsensusEstimate,MATCH(BZ$5,OFFSET(tb_ConsensusEstimate,0,0,1,COLUMNS(tb_ConsensusEstimate)),0),FALSE),"-")</f>
        <v/>
      </c>
      <c r="CA700" s="869">
        <f>IFERROR(VLOOKUP($A700,tb_ConsensusEstimate,MATCH(CA$5,OFFSET(tb_ConsensusEstimate,0,0,1,COLUMNS(tb_ConsensusEstimate)),0),FALSE),"-")</f>
        <v/>
      </c>
      <c r="CB700" s="869">
        <f>IFERROR(VLOOKUP($A700,tb_ConsensusEstimate,MATCH(CB$5,OFFSET(tb_ConsensusEstimate,0,0,1,COLUMNS(tb_ConsensusEstimate)),0),FALSE),"-")</f>
        <v/>
      </c>
      <c r="CC700" s="1202">
        <f>IFERROR(VLOOKUP($A700,tb_ConsensusEstimate,MATCH(CC$5,OFFSET(tb_ConsensusEstimate,0,0,1,COLUMNS(tb_ConsensusEstimate)),0),FALSE),"-")</f>
        <v/>
      </c>
      <c r="CD700" s="1202">
        <f>IFERROR(VLOOKUP($A700,tb_ConsensusEstimate,MATCH(CD5,OFFSET(tb_ConsensusEstimate,0,0,1,COLUMNS(tb_ConsensusEstimate)),0),FALSE),"-")</f>
        <v/>
      </c>
      <c r="CE700" s="1202">
        <f>IFERROR(VLOOKUP($A700,tb_ConsensusEstimate,MATCH(CE5,OFFSET(tb_ConsensusEstimate,0,0,1,COLUMNS(tb_ConsensusEstimate)),0),FALSE),"-")</f>
        <v/>
      </c>
      <c r="CF700" s="1202">
        <f>IFERROR(VLOOKUP($A700,tb_ConsensusEstimate,MATCH(CF5,OFFSET(tb_ConsensusEstimate,0,0,1,COLUMNS(tb_ConsensusEstimate)),0),FALSE),"-")</f>
        <v/>
      </c>
      <c r="CG700" s="155" t="n"/>
    </row>
    <row r="701">
      <c r="A701" s="118" t="inlineStr">
        <is>
          <t>Capex</t>
        </is>
      </c>
      <c r="B701" s="279" t="n"/>
      <c r="C701" s="1125">
        <f>C876</f>
        <v/>
      </c>
      <c r="D701" s="1125">
        <f>D876</f>
        <v/>
      </c>
      <c r="E701" s="1125">
        <f>E876</f>
        <v/>
      </c>
      <c r="F701" s="1125">
        <f>F876</f>
        <v/>
      </c>
      <c r="G701" s="63">
        <f>G876</f>
        <v/>
      </c>
      <c r="H701" s="63">
        <f>H876</f>
        <v/>
      </c>
      <c r="I701" s="63">
        <f>I876</f>
        <v/>
      </c>
      <c r="J701" s="63">
        <f>J876</f>
        <v/>
      </c>
      <c r="K701" s="1125">
        <f>K876</f>
        <v/>
      </c>
      <c r="L701" s="63">
        <f>L876</f>
        <v/>
      </c>
      <c r="M701" s="63">
        <f>M876</f>
        <v/>
      </c>
      <c r="N701" s="63">
        <f>N876</f>
        <v/>
      </c>
      <c r="O701" s="63">
        <f>O876</f>
        <v/>
      </c>
      <c r="P701" s="1125">
        <f>P876</f>
        <v/>
      </c>
      <c r="Q701" s="63">
        <f>Q876</f>
        <v/>
      </c>
      <c r="R701" s="63">
        <f>R876</f>
        <v/>
      </c>
      <c r="S701" s="63">
        <f>S876</f>
        <v/>
      </c>
      <c r="T701" s="63">
        <f>T876</f>
        <v/>
      </c>
      <c r="U701" s="1125">
        <f>U876</f>
        <v/>
      </c>
      <c r="V701" s="63">
        <f>V876</f>
        <v/>
      </c>
      <c r="W701" s="63">
        <f>W876</f>
        <v/>
      </c>
      <c r="X701" s="63">
        <f>X876</f>
        <v/>
      </c>
      <c r="Y701" s="63">
        <f>Y876</f>
        <v/>
      </c>
      <c r="Z701" s="1125">
        <f>Z876</f>
        <v/>
      </c>
      <c r="AA701" s="63">
        <f>AA876</f>
        <v/>
      </c>
      <c r="AB701" s="63">
        <f>AB876</f>
        <v/>
      </c>
      <c r="AC701" s="63">
        <f>AC876</f>
        <v/>
      </c>
      <c r="AD701" s="63">
        <f>AD876</f>
        <v/>
      </c>
      <c r="AE701" s="1125">
        <f>AE876</f>
        <v/>
      </c>
      <c r="AF701" s="63">
        <f>AF876</f>
        <v/>
      </c>
      <c r="AG701" s="63">
        <f>AG876</f>
        <v/>
      </c>
      <c r="AH701" s="63">
        <f>AH876</f>
        <v/>
      </c>
      <c r="AI701" s="63">
        <f>AI876</f>
        <v/>
      </c>
      <c r="AJ701" s="1125">
        <f>AJ876</f>
        <v/>
      </c>
      <c r="AK701" s="63">
        <f>AK876</f>
        <v/>
      </c>
      <c r="AL701" s="63">
        <f>AL876</f>
        <v/>
      </c>
      <c r="AM701" s="63">
        <f>AM876</f>
        <v/>
      </c>
      <c r="AN701" s="63">
        <f>AN876</f>
        <v/>
      </c>
      <c r="AO701" s="1125">
        <f>AO876</f>
        <v/>
      </c>
      <c r="AP701" s="63">
        <f>AP876</f>
        <v/>
      </c>
      <c r="AQ701" s="28">
        <f>AQ876</f>
        <v/>
      </c>
      <c r="AR701" s="63">
        <f>AR876</f>
        <v/>
      </c>
      <c r="AS701" s="63">
        <f>AS876</f>
        <v/>
      </c>
      <c r="AT701" s="1125">
        <f>AT876</f>
        <v/>
      </c>
      <c r="AU701" s="63">
        <f>AU876</f>
        <v/>
      </c>
      <c r="AV701" s="28">
        <f>AV876</f>
        <v/>
      </c>
      <c r="AW701" s="63">
        <f>AW876</f>
        <v/>
      </c>
      <c r="AX701" s="63">
        <f>AX876</f>
        <v/>
      </c>
      <c r="AY701" s="1125">
        <f>AY876</f>
        <v/>
      </c>
      <c r="AZ701" s="63">
        <f>AZ876</f>
        <v/>
      </c>
      <c r="BA701" s="28">
        <f>BA876</f>
        <v/>
      </c>
      <c r="BB701" s="63">
        <f>BB876</f>
        <v/>
      </c>
      <c r="BC701" s="63">
        <f>BC876</f>
        <v/>
      </c>
      <c r="BD701" s="1125">
        <f>BD876</f>
        <v/>
      </c>
      <c r="BE701" s="63">
        <f>BE876</f>
        <v/>
      </c>
      <c r="BF701" s="28">
        <f>BF876</f>
        <v/>
      </c>
      <c r="BG701" s="63">
        <f>BG876</f>
        <v/>
      </c>
      <c r="BH701" s="63">
        <f>BH876</f>
        <v/>
      </c>
      <c r="BI701" s="1125">
        <f>BI876</f>
        <v/>
      </c>
      <c r="BJ701" s="63">
        <f>BJ876</f>
        <v/>
      </c>
      <c r="BK701" s="28">
        <f>BK876</f>
        <v/>
      </c>
      <c r="BL701" s="63">
        <f>BL876</f>
        <v/>
      </c>
      <c r="BM701" s="63">
        <f>BM876</f>
        <v/>
      </c>
      <c r="BN701" s="1125">
        <f>BN876</f>
        <v/>
      </c>
      <c r="BO701" s="63">
        <f>BO876</f>
        <v/>
      </c>
      <c r="BP701" s="28">
        <f>BP876</f>
        <v/>
      </c>
      <c r="BQ701" s="63">
        <f>BQ876</f>
        <v/>
      </c>
      <c r="BR701" s="63">
        <f>BR876</f>
        <v/>
      </c>
      <c r="BS701" s="1125">
        <f>BS876</f>
        <v/>
      </c>
      <c r="BT701" s="63">
        <f>BT876</f>
        <v/>
      </c>
      <c r="BU701" s="28">
        <f>BU876</f>
        <v/>
      </c>
      <c r="BV701" s="587">
        <f>BV876</f>
        <v/>
      </c>
      <c r="BW701" s="1062" t="n">
        <v>-325</v>
      </c>
      <c r="BX701" s="1125">
        <f>BX876</f>
        <v/>
      </c>
      <c r="BY701" s="1062" t="n">
        <v>-325</v>
      </c>
      <c r="BZ701" s="1062" t="n">
        <v>-325</v>
      </c>
      <c r="CA701" s="1062" t="n">
        <v>-325</v>
      </c>
      <c r="CB701" s="1062" t="n">
        <v>-325</v>
      </c>
      <c r="CC701" s="1125">
        <f>CC876</f>
        <v/>
      </c>
      <c r="CD701" s="1148" t="n">
        <v>-1300</v>
      </c>
      <c r="CE701" s="1148" t="n">
        <v>-1300</v>
      </c>
      <c r="CF701" s="1148" t="n">
        <v>-1300</v>
      </c>
      <c r="CG701" s="155" t="n"/>
    </row>
    <row r="702">
      <c r="A702" s="75">
        <f>CONCATENATE("Consensus Estimates - ",IFERROR(LEFT(A701,FIND("(",A701)-1),A701))</f>
        <v/>
      </c>
      <c r="B702" s="102" t="n"/>
      <c r="C702" s="1117" t="n"/>
      <c r="D702" s="1117" t="n"/>
      <c r="E702" s="1117" t="n"/>
      <c r="F702" s="1117" t="n"/>
      <c r="G702" s="76" t="n"/>
      <c r="H702" s="76" t="n"/>
      <c r="I702" s="76" t="n"/>
      <c r="J702" s="76" t="n"/>
      <c r="K702" s="1117" t="n"/>
      <c r="L702" s="76" t="n"/>
      <c r="M702" s="76" t="n"/>
      <c r="N702" s="76" t="n"/>
      <c r="O702" s="76" t="n"/>
      <c r="P702" s="1117" t="n"/>
      <c r="Q702" s="76" t="n"/>
      <c r="R702" s="76" t="n"/>
      <c r="S702" s="76" t="n"/>
      <c r="T702" s="76" t="n"/>
      <c r="U702" s="1117" t="n"/>
      <c r="V702" s="76" t="n"/>
      <c r="W702" s="77" t="n"/>
      <c r="X702" s="77" t="n"/>
      <c r="Y702" s="77" t="n"/>
      <c r="Z702" s="1117" t="n"/>
      <c r="AA702" s="76" t="n"/>
      <c r="AB702" s="76" t="n"/>
      <c r="AC702" s="76" t="n"/>
      <c r="AD702" s="76" t="n"/>
      <c r="AE702" s="1124" t="n"/>
      <c r="AF702" s="76" t="n"/>
      <c r="AG702" s="76" t="n"/>
      <c r="AH702" s="76" t="n"/>
      <c r="AI702" s="76" t="n"/>
      <c r="AJ702" s="1124" t="n"/>
      <c r="AK702" s="76" t="n"/>
      <c r="AL702" s="76" t="n"/>
      <c r="AM702" s="76" t="n"/>
      <c r="AN702" s="76" t="n"/>
      <c r="AO702" s="1203" t="n"/>
      <c r="AP702" s="76" t="n"/>
      <c r="AQ702" s="76" t="n"/>
      <c r="AR702" s="76" t="n"/>
      <c r="AS702" s="76" t="n"/>
      <c r="AT702" s="1203" t="n"/>
      <c r="AU702" s="76" t="n"/>
      <c r="AV702" s="76" t="n"/>
      <c r="AW702" s="76" t="n"/>
      <c r="AX702" s="76" t="n"/>
      <c r="AY702" s="1203" t="n"/>
      <c r="AZ702" s="76" t="n"/>
      <c r="BA702" s="76" t="n"/>
      <c r="BB702" s="76" t="n"/>
      <c r="BC702" s="76" t="n"/>
      <c r="BD702" s="1203" t="n"/>
      <c r="BE702" s="76" t="n"/>
      <c r="BF702" s="76" t="n"/>
      <c r="BG702" s="76" t="n"/>
      <c r="BH702" s="76" t="n"/>
      <c r="BI702" s="1203" t="n"/>
      <c r="BJ702" s="76" t="n"/>
      <c r="BK702" s="76" t="n"/>
      <c r="BL702" s="76" t="n"/>
      <c r="BM702" s="76" t="n"/>
      <c r="BN702" s="1203" t="n"/>
      <c r="BO702" s="76" t="n"/>
      <c r="BP702" s="76" t="n"/>
      <c r="BQ702" s="76" t="n"/>
      <c r="BR702" s="76" t="n"/>
      <c r="BS702" s="1203" t="n"/>
      <c r="BT702" s="76" t="n"/>
      <c r="BU702" s="76" t="n"/>
      <c r="BV702" s="881" t="n"/>
      <c r="BW702" s="868">
        <f>IFERROR(VLOOKUP($A702,tb_ConsensusEstimate,MATCH(BW$5,OFFSET(tb_ConsensusEstimate,0,0,1,COLUMNS(tb_ConsensusEstimate)),0),FALSE),"-")</f>
        <v/>
      </c>
      <c r="BX702" s="1203">
        <f>IFERROR(VLOOKUP($A702,tb_ConsensusEstimate,MATCH(BX$5,OFFSET(tb_ConsensusEstimate,0,0,1,COLUMNS(tb_ConsensusEstimate)),0),FALSE),"-")</f>
        <v/>
      </c>
      <c r="BY702" s="868">
        <f>IFERROR(VLOOKUP($A702,tb_ConsensusEstimate,MATCH(BY$5,OFFSET(tb_ConsensusEstimate,0,0,1,COLUMNS(tb_ConsensusEstimate)),0),FALSE),"-")</f>
        <v/>
      </c>
      <c r="BZ702" s="868">
        <f>IFERROR(VLOOKUP($A702,tb_ConsensusEstimate,MATCH(BZ$5,OFFSET(tb_ConsensusEstimate,0,0,1,COLUMNS(tb_ConsensusEstimate)),0),FALSE),"-")</f>
        <v/>
      </c>
      <c r="CA702" s="868">
        <f>IFERROR(VLOOKUP($A702,tb_ConsensusEstimate,MATCH(CA$5,OFFSET(tb_ConsensusEstimate,0,0,1,COLUMNS(tb_ConsensusEstimate)),0),FALSE),"-")</f>
        <v/>
      </c>
      <c r="CB702" s="868">
        <f>IFERROR(VLOOKUP($A702,tb_ConsensusEstimate,MATCH(CB$5,OFFSET(tb_ConsensusEstimate,0,0,1,COLUMNS(tb_ConsensusEstimate)),0),FALSE),"-")</f>
        <v/>
      </c>
      <c r="CC702" s="1203">
        <f>IFERROR(VLOOKUP($A702,tb_ConsensusEstimate,MATCH(CC$5,OFFSET(tb_ConsensusEstimate,0,0,1,COLUMNS(tb_ConsensusEstimate)),0),FALSE),"-")</f>
        <v/>
      </c>
      <c r="CD702" s="1203">
        <f>IFERROR(VLOOKUP($A702,tb_ConsensusEstimate,MATCH(CD5,OFFSET(tb_ConsensusEstimate,0,0,1,COLUMNS(tb_ConsensusEstimate)),0),FALSE),"-")</f>
        <v/>
      </c>
      <c r="CE702" s="1203">
        <f>IFERROR(VLOOKUP($A702,tb_ConsensusEstimate,MATCH(CE5,OFFSET(tb_ConsensusEstimate,0,0,1,COLUMNS(tb_ConsensusEstimate)),0),FALSE),"-")</f>
        <v/>
      </c>
      <c r="CF702" s="1203">
        <f>IFERROR(VLOOKUP($A702,tb_ConsensusEstimate,MATCH(CF5,OFFSET(tb_ConsensusEstimate,0,0,1,COLUMNS(tb_ConsensusEstimate)),0),FALSE),"-")</f>
        <v/>
      </c>
      <c r="CG702" s="155" t="n"/>
    </row>
    <row r="703">
      <c r="A703" s="75">
        <f>CONCATENATE("Guidance - ",IFERROR(LEFT(A701,FIND("(",A701)-1),A701))</f>
        <v/>
      </c>
      <c r="B703" s="102" t="n"/>
      <c r="C703" s="1117" t="n"/>
      <c r="D703" s="1117" t="n"/>
      <c r="E703" s="1117" t="n"/>
      <c r="F703" s="1117" t="n"/>
      <c r="G703" s="76" t="n"/>
      <c r="H703" s="76" t="n"/>
      <c r="I703" s="76" t="n"/>
      <c r="J703" s="76" t="n"/>
      <c r="K703" s="1117" t="n"/>
      <c r="L703" s="76" t="n"/>
      <c r="M703" s="76" t="n"/>
      <c r="N703" s="76" t="n"/>
      <c r="O703" s="76" t="n"/>
      <c r="P703" s="1117" t="n"/>
      <c r="Q703" s="76" t="n"/>
      <c r="R703" s="76" t="n"/>
      <c r="S703" s="76" t="n"/>
      <c r="T703" s="76" t="n"/>
      <c r="U703" s="1117" t="n"/>
      <c r="V703" s="76" t="n"/>
      <c r="W703" s="77" t="n"/>
      <c r="X703" s="77" t="n"/>
      <c r="Y703" s="77" t="n"/>
      <c r="Z703" s="1117" t="n"/>
      <c r="AA703" s="76" t="n"/>
      <c r="AB703" s="76" t="n"/>
      <c r="AC703" s="76" t="n"/>
      <c r="AD703" s="76" t="n"/>
      <c r="AE703" s="1124" t="n"/>
      <c r="AF703" s="76" t="n"/>
      <c r="AG703" s="76" t="n"/>
      <c r="AH703" s="76" t="n"/>
      <c r="AI703" s="76" t="n"/>
      <c r="AJ703" s="1124" t="n"/>
      <c r="AK703" s="76" t="n"/>
      <c r="AL703" s="76" t="n"/>
      <c r="AM703" s="76" t="n"/>
      <c r="AN703" s="76" t="n"/>
      <c r="AO703" s="1203" t="n"/>
      <c r="AP703" s="76" t="n"/>
      <c r="AQ703" s="76" t="n"/>
      <c r="AR703" s="76" t="n"/>
      <c r="AS703" s="76">
        <f>IFERROR(-AS547,"N/A")</f>
        <v/>
      </c>
      <c r="AT703" s="1203">
        <f>IFERROR(-AT547,"N/A")</f>
        <v/>
      </c>
      <c r="AU703" s="76">
        <f>IFERROR(-AU547,"N/A")</f>
        <v/>
      </c>
      <c r="AV703" s="76">
        <f>IFERROR(-AV547,"N/A")</f>
        <v/>
      </c>
      <c r="AW703" s="76">
        <f>IFERROR(-AW547,"N/A")</f>
        <v/>
      </c>
      <c r="AX703" s="76">
        <f>IFERROR(-AX547,"N/A")</f>
        <v/>
      </c>
      <c r="AY703" s="1203">
        <f>IFERROR(-AY547,"N/A")</f>
        <v/>
      </c>
      <c r="AZ703" s="76">
        <f>IFERROR(-AZ547,"N/A")</f>
        <v/>
      </c>
      <c r="BA703" s="76">
        <f>IFERROR(-BA547,"N/A")</f>
        <v/>
      </c>
      <c r="BB703" s="76">
        <f>IFERROR(-BB547,"N/A")</f>
        <v/>
      </c>
      <c r="BC703" s="76">
        <f>IFERROR(-BC547,"N/A")</f>
        <v/>
      </c>
      <c r="BD703" s="1203">
        <f>IFERROR(-BD547,"N/A")</f>
        <v/>
      </c>
      <c r="BE703" s="76">
        <f>IFERROR(-BE547,"N/A")</f>
        <v/>
      </c>
      <c r="BF703" s="76">
        <f>IFERROR(-BF547,"N/A")</f>
        <v/>
      </c>
      <c r="BG703" s="76">
        <f>IFERROR(-BG547,"N/A")</f>
        <v/>
      </c>
      <c r="BH703" s="76">
        <f>IFERROR(-BH547,"N/A")</f>
        <v/>
      </c>
      <c r="BI703" s="1203">
        <f>IFERROR(-BI547,"N/A")</f>
        <v/>
      </c>
      <c r="BJ703" s="76">
        <f>IFERROR(-BJ547,"N/A")</f>
        <v/>
      </c>
      <c r="BK703" s="76">
        <f>IFERROR(-BK547,"N/A")</f>
        <v/>
      </c>
      <c r="BL703" s="76">
        <f>IFERROR(-BL547,"N/A")</f>
        <v/>
      </c>
      <c r="BM703" s="76">
        <f>IFERROR(-BM547,"N/A")</f>
        <v/>
      </c>
      <c r="BN703" s="1203">
        <f>IFERROR(-BN547,"N/A")</f>
        <v/>
      </c>
      <c r="BO703" s="76">
        <f>IFERROR(-BO547,"N/A")</f>
        <v/>
      </c>
      <c r="BP703" s="76">
        <f>IFERROR(-BP547,"N/A")</f>
        <v/>
      </c>
      <c r="BQ703" s="76">
        <f>IFERROR(-BQ547,"N/A")</f>
        <v/>
      </c>
      <c r="BR703" s="76">
        <f>IFERROR(-BR547,"N/A")</f>
        <v/>
      </c>
      <c r="BS703" s="1203">
        <f>IFERROR(-BS547,"N/A")</f>
        <v/>
      </c>
      <c r="BT703" s="76">
        <f>IFERROR(-BT547,"N/A")</f>
        <v/>
      </c>
      <c r="BU703" s="76">
        <f>IFERROR(-BU547,"N/A")</f>
        <v/>
      </c>
      <c r="BV703" s="881">
        <f>IFERROR(-BV547,"N/A")</f>
        <v/>
      </c>
      <c r="BW703" s="76">
        <f>IFERROR(-BW547,"N/A")</f>
        <v/>
      </c>
      <c r="BX703" s="1203">
        <f>IFERROR(-BX547,"N/A")</f>
        <v/>
      </c>
      <c r="BY703" s="76">
        <f>IFERROR(-BY547,"N/A")</f>
        <v/>
      </c>
      <c r="BZ703" s="76">
        <f>IFERROR(-BZ547,"N/A")</f>
        <v/>
      </c>
      <c r="CA703" s="76">
        <f>IFERROR(-CA547,"N/A")</f>
        <v/>
      </c>
      <c r="CB703" s="76">
        <f>IFERROR(-CB547,"N/A")</f>
        <v/>
      </c>
      <c r="CC703" s="1203">
        <f>IFERROR(-CC547,"N/A")</f>
        <v/>
      </c>
      <c r="CD703" s="1203">
        <f>IFERROR(-CD547,"N/A")</f>
        <v/>
      </c>
      <c r="CE703" s="1203">
        <f>IFERROR(-CE547,"N/A")</f>
        <v/>
      </c>
      <c r="CF703" s="1203">
        <f>IFERROR(-CF547,"N/A")</f>
        <v/>
      </c>
      <c r="CG703" s="155" t="n"/>
    </row>
    <row r="704">
      <c r="A704" s="68" t="inlineStr">
        <is>
          <t>Acquisitions</t>
        </is>
      </c>
      <c r="B704" s="146" t="n"/>
      <c r="C704" s="1110">
        <f>C878</f>
        <v/>
      </c>
      <c r="D704" s="1110">
        <f>D878</f>
        <v/>
      </c>
      <c r="E704" s="1110">
        <f>E878</f>
        <v/>
      </c>
      <c r="F704" s="1110">
        <f>F878</f>
        <v/>
      </c>
      <c r="G704" s="68">
        <f>G878</f>
        <v/>
      </c>
      <c r="H704" s="68">
        <f>H878</f>
        <v/>
      </c>
      <c r="I704" s="68">
        <f>I878</f>
        <v/>
      </c>
      <c r="J704" s="68">
        <f>J878</f>
        <v/>
      </c>
      <c r="K704" s="1110">
        <f>K878</f>
        <v/>
      </c>
      <c r="L704" s="68">
        <f>L878</f>
        <v/>
      </c>
      <c r="M704" s="68">
        <f>M878</f>
        <v/>
      </c>
      <c r="N704" s="68">
        <f>N878</f>
        <v/>
      </c>
      <c r="O704" s="68">
        <f>O878</f>
        <v/>
      </c>
      <c r="P704" s="1110">
        <f>P878</f>
        <v/>
      </c>
      <c r="Q704" s="68">
        <f>Q878</f>
        <v/>
      </c>
      <c r="R704" s="68">
        <f>R878</f>
        <v/>
      </c>
      <c r="S704" s="68">
        <f>S878</f>
        <v/>
      </c>
      <c r="T704" s="68">
        <f>T878</f>
        <v/>
      </c>
      <c r="U704" s="1110">
        <f>U878</f>
        <v/>
      </c>
      <c r="V704" s="68">
        <f>V878</f>
        <v/>
      </c>
      <c r="W704" s="68">
        <f>W878</f>
        <v/>
      </c>
      <c r="X704" s="68">
        <f>X878</f>
        <v/>
      </c>
      <c r="Y704" s="68">
        <f>Y878</f>
        <v/>
      </c>
      <c r="Z704" s="1110">
        <f>Z878</f>
        <v/>
      </c>
      <c r="AA704" s="68">
        <f>AA878</f>
        <v/>
      </c>
      <c r="AB704" s="68">
        <f>AB878</f>
        <v/>
      </c>
      <c r="AC704" s="68">
        <f>AC878</f>
        <v/>
      </c>
      <c r="AD704" s="68">
        <f>AD878</f>
        <v/>
      </c>
      <c r="AE704" s="1110">
        <f>AE878</f>
        <v/>
      </c>
      <c r="AF704" s="68">
        <f>AF878</f>
        <v/>
      </c>
      <c r="AG704" s="68">
        <f>AG878</f>
        <v/>
      </c>
      <c r="AH704" s="68">
        <f>AH878</f>
        <v/>
      </c>
      <c r="AI704" s="68">
        <f>AI878</f>
        <v/>
      </c>
      <c r="AJ704" s="1110">
        <f>AJ878</f>
        <v/>
      </c>
      <c r="AK704" s="68">
        <f>AK878</f>
        <v/>
      </c>
      <c r="AL704" s="68">
        <f>AL878</f>
        <v/>
      </c>
      <c r="AM704" s="68">
        <f>AM878</f>
        <v/>
      </c>
      <c r="AN704" s="68">
        <f>AN878</f>
        <v/>
      </c>
      <c r="AO704" s="1110">
        <f>AO878</f>
        <v/>
      </c>
      <c r="AP704" s="68">
        <f>AP878</f>
        <v/>
      </c>
      <c r="AQ704" s="27">
        <f>AQ878</f>
        <v/>
      </c>
      <c r="AR704" s="68">
        <f>AR878</f>
        <v/>
      </c>
      <c r="AS704" s="68">
        <f>AS878</f>
        <v/>
      </c>
      <c r="AT704" s="1110">
        <f>AT878</f>
        <v/>
      </c>
      <c r="AU704" s="68">
        <f>AU878</f>
        <v/>
      </c>
      <c r="AV704" s="27">
        <f>AV878</f>
        <v/>
      </c>
      <c r="AW704" s="68">
        <f>AW878</f>
        <v/>
      </c>
      <c r="AX704" s="68">
        <f>AX878</f>
        <v/>
      </c>
      <c r="AY704" s="1110">
        <f>AY878</f>
        <v/>
      </c>
      <c r="AZ704" s="68">
        <f>AZ878</f>
        <v/>
      </c>
      <c r="BA704" s="27">
        <f>BA878</f>
        <v/>
      </c>
      <c r="BB704" s="68">
        <f>BB878</f>
        <v/>
      </c>
      <c r="BC704" s="68">
        <f>BC878</f>
        <v/>
      </c>
      <c r="BD704" s="1110">
        <f>BD878</f>
        <v/>
      </c>
      <c r="BE704" s="68">
        <f>BE878</f>
        <v/>
      </c>
      <c r="BF704" s="27">
        <f>BF878</f>
        <v/>
      </c>
      <c r="BG704" s="68">
        <f>BG878</f>
        <v/>
      </c>
      <c r="BH704" s="68">
        <f>BH878</f>
        <v/>
      </c>
      <c r="BI704" s="1110">
        <f>BI878</f>
        <v/>
      </c>
      <c r="BJ704" s="68">
        <f>BJ878</f>
        <v/>
      </c>
      <c r="BK704" s="27">
        <f>BK878</f>
        <v/>
      </c>
      <c r="BL704" s="68">
        <f>BL878</f>
        <v/>
      </c>
      <c r="BM704" s="68">
        <f>BM878</f>
        <v/>
      </c>
      <c r="BN704" s="1110">
        <f>BN878</f>
        <v/>
      </c>
      <c r="BO704" s="68">
        <f>BO878</f>
        <v/>
      </c>
      <c r="BP704" s="27">
        <f>BP878</f>
        <v/>
      </c>
      <c r="BQ704" s="68">
        <f>BQ878</f>
        <v/>
      </c>
      <c r="BR704" s="68">
        <f>BR878</f>
        <v/>
      </c>
      <c r="BS704" s="1110">
        <f>BS878</f>
        <v/>
      </c>
      <c r="BT704" s="68">
        <f>BT878</f>
        <v/>
      </c>
      <c r="BU704" s="27">
        <f>BU878</f>
        <v/>
      </c>
      <c r="BV704" s="588">
        <f>BV878</f>
        <v/>
      </c>
      <c r="BW704" s="1053" t="n">
        <v>0</v>
      </c>
      <c r="BX704" s="1110">
        <f>BX878</f>
        <v/>
      </c>
      <c r="BY704" s="1053" t="n">
        <v>0</v>
      </c>
      <c r="BZ704" s="1053" t="n">
        <v>0</v>
      </c>
      <c r="CA704" s="1053" t="n">
        <v>0</v>
      </c>
      <c r="CB704" s="1053" t="n">
        <v>0</v>
      </c>
      <c r="CC704" s="1110">
        <f>CC878</f>
        <v/>
      </c>
      <c r="CD704" s="1111" t="n">
        <v>0</v>
      </c>
      <c r="CE704" s="1111" t="n">
        <v>0</v>
      </c>
      <c r="CF704" s="1111" t="n">
        <v>0</v>
      </c>
      <c r="CG704" s="155" t="n"/>
    </row>
    <row r="705">
      <c r="A705" s="68" t="inlineStr">
        <is>
          <t>Divestiture</t>
        </is>
      </c>
      <c r="B705" s="146" t="n"/>
      <c r="C705" s="1110">
        <f>C877</f>
        <v/>
      </c>
      <c r="D705" s="1110">
        <f>D877</f>
        <v/>
      </c>
      <c r="E705" s="1110">
        <f>E877</f>
        <v/>
      </c>
      <c r="F705" s="1110">
        <f>F877</f>
        <v/>
      </c>
      <c r="G705" s="68">
        <f>G877</f>
        <v/>
      </c>
      <c r="H705" s="68">
        <f>H877</f>
        <v/>
      </c>
      <c r="I705" s="68">
        <f>I877</f>
        <v/>
      </c>
      <c r="J705" s="68">
        <f>J877</f>
        <v/>
      </c>
      <c r="K705" s="1110">
        <f>K877</f>
        <v/>
      </c>
      <c r="L705" s="68">
        <f>L877</f>
        <v/>
      </c>
      <c r="M705" s="68">
        <f>M877</f>
        <v/>
      </c>
      <c r="N705" s="68">
        <f>N877</f>
        <v/>
      </c>
      <c r="O705" s="68">
        <f>O877</f>
        <v/>
      </c>
      <c r="P705" s="1110">
        <f>P877</f>
        <v/>
      </c>
      <c r="Q705" s="68">
        <f>Q877</f>
        <v/>
      </c>
      <c r="R705" s="68">
        <f>R877</f>
        <v/>
      </c>
      <c r="S705" s="68">
        <f>S877</f>
        <v/>
      </c>
      <c r="T705" s="68">
        <f>T877</f>
        <v/>
      </c>
      <c r="U705" s="1110">
        <f>U877</f>
        <v/>
      </c>
      <c r="V705" s="68">
        <f>V877</f>
        <v/>
      </c>
      <c r="W705" s="68">
        <f>W877</f>
        <v/>
      </c>
      <c r="X705" s="68">
        <f>X877</f>
        <v/>
      </c>
      <c r="Y705" s="68">
        <f>Y877</f>
        <v/>
      </c>
      <c r="Z705" s="1110">
        <f>Z877</f>
        <v/>
      </c>
      <c r="AA705" s="68">
        <f>AA877</f>
        <v/>
      </c>
      <c r="AB705" s="68">
        <f>AB877</f>
        <v/>
      </c>
      <c r="AC705" s="68">
        <f>AC877</f>
        <v/>
      </c>
      <c r="AD705" s="68">
        <f>AD877</f>
        <v/>
      </c>
      <c r="AE705" s="1110">
        <f>AE877</f>
        <v/>
      </c>
      <c r="AF705" s="68">
        <f>AF877</f>
        <v/>
      </c>
      <c r="AG705" s="68">
        <f>AG877</f>
        <v/>
      </c>
      <c r="AH705" s="68">
        <f>AH877</f>
        <v/>
      </c>
      <c r="AI705" s="68">
        <f>AI877</f>
        <v/>
      </c>
      <c r="AJ705" s="1110">
        <f>AJ877</f>
        <v/>
      </c>
      <c r="AK705" s="68">
        <f>AK877</f>
        <v/>
      </c>
      <c r="AL705" s="68">
        <f>AL877</f>
        <v/>
      </c>
      <c r="AM705" s="68">
        <f>AM877</f>
        <v/>
      </c>
      <c r="AN705" s="68">
        <f>AN877</f>
        <v/>
      </c>
      <c r="AO705" s="1110">
        <f>AO877</f>
        <v/>
      </c>
      <c r="AP705" s="68">
        <f>AP877</f>
        <v/>
      </c>
      <c r="AQ705" s="27">
        <f>AQ877</f>
        <v/>
      </c>
      <c r="AR705" s="68">
        <f>AR877</f>
        <v/>
      </c>
      <c r="AS705" s="68">
        <f>AS877</f>
        <v/>
      </c>
      <c r="AT705" s="1110">
        <f>AT877</f>
        <v/>
      </c>
      <c r="AU705" s="68">
        <f>AU877</f>
        <v/>
      </c>
      <c r="AV705" s="27">
        <f>AV877</f>
        <v/>
      </c>
      <c r="AW705" s="68">
        <f>AW877</f>
        <v/>
      </c>
      <c r="AX705" s="68">
        <f>AX877</f>
        <v/>
      </c>
      <c r="AY705" s="1110">
        <f>AY877</f>
        <v/>
      </c>
      <c r="AZ705" s="68">
        <f>AZ877</f>
        <v/>
      </c>
      <c r="BA705" s="27">
        <f>BA877</f>
        <v/>
      </c>
      <c r="BB705" s="68">
        <f>BB877</f>
        <v/>
      </c>
      <c r="BC705" s="68">
        <f>BC877</f>
        <v/>
      </c>
      <c r="BD705" s="1110">
        <f>BD877</f>
        <v/>
      </c>
      <c r="BE705" s="68">
        <f>BE877</f>
        <v/>
      </c>
      <c r="BF705" s="27">
        <f>BF877</f>
        <v/>
      </c>
      <c r="BG705" s="68">
        <f>BG877</f>
        <v/>
      </c>
      <c r="BH705" s="68">
        <f>BH877</f>
        <v/>
      </c>
      <c r="BI705" s="1110">
        <f>BI877</f>
        <v/>
      </c>
      <c r="BJ705" s="68">
        <f>BJ877</f>
        <v/>
      </c>
      <c r="BK705" s="27">
        <f>BK877</f>
        <v/>
      </c>
      <c r="BL705" s="68">
        <f>BL877</f>
        <v/>
      </c>
      <c r="BM705" s="68">
        <f>BM877</f>
        <v/>
      </c>
      <c r="BN705" s="1110">
        <f>BN877</f>
        <v/>
      </c>
      <c r="BO705" s="68">
        <f>BO877</f>
        <v/>
      </c>
      <c r="BP705" s="27">
        <f>BP877</f>
        <v/>
      </c>
      <c r="BQ705" s="68">
        <f>BQ877</f>
        <v/>
      </c>
      <c r="BR705" s="68">
        <f>BR877</f>
        <v/>
      </c>
      <c r="BS705" s="1110">
        <f>BS877</f>
        <v/>
      </c>
      <c r="BT705" s="68">
        <f>BT877</f>
        <v/>
      </c>
      <c r="BU705" s="27">
        <f>BU877</f>
        <v/>
      </c>
      <c r="BV705" s="588">
        <f>BV877</f>
        <v/>
      </c>
      <c r="BW705" s="1053" t="n">
        <v>0</v>
      </c>
      <c r="BX705" s="1110">
        <f>BX877</f>
        <v/>
      </c>
      <c r="BY705" s="1053" t="n">
        <v>0</v>
      </c>
      <c r="BZ705" s="1053" t="n">
        <v>0</v>
      </c>
      <c r="CA705" s="1053" t="n">
        <v>0</v>
      </c>
      <c r="CB705" s="1053" t="n">
        <v>0</v>
      </c>
      <c r="CC705" s="1110">
        <f>CC877</f>
        <v/>
      </c>
      <c r="CD705" s="1111" t="n">
        <v>0</v>
      </c>
      <c r="CE705" s="1111" t="n">
        <v>0</v>
      </c>
      <c r="CF705" s="1111" t="n">
        <v>0</v>
      </c>
      <c r="CG705" s="155" t="n"/>
    </row>
    <row r="706">
      <c r="A706" s="27" t="inlineStr">
        <is>
          <t>Dividend Paid</t>
        </is>
      </c>
      <c r="B706" s="146" t="n"/>
      <c r="C706" s="1112">
        <f>C894</f>
        <v/>
      </c>
      <c r="D706" s="1112">
        <f>D894</f>
        <v/>
      </c>
      <c r="E706" s="1112">
        <f>E894</f>
        <v/>
      </c>
      <c r="F706" s="1112">
        <f>F894</f>
        <v/>
      </c>
      <c r="G706" s="27">
        <f>G894</f>
        <v/>
      </c>
      <c r="H706" s="27">
        <f>H894</f>
        <v/>
      </c>
      <c r="I706" s="27">
        <f>I894</f>
        <v/>
      </c>
      <c r="J706" s="27">
        <f>J894</f>
        <v/>
      </c>
      <c r="K706" s="1112">
        <f>K894</f>
        <v/>
      </c>
      <c r="L706" s="27">
        <f>L894</f>
        <v/>
      </c>
      <c r="M706" s="27">
        <f>M894</f>
        <v/>
      </c>
      <c r="N706" s="27">
        <f>N894</f>
        <v/>
      </c>
      <c r="O706" s="27">
        <f>O894</f>
        <v/>
      </c>
      <c r="P706" s="1112">
        <f>P894</f>
        <v/>
      </c>
      <c r="Q706" s="27">
        <f>Q894</f>
        <v/>
      </c>
      <c r="R706" s="27">
        <f>R894</f>
        <v/>
      </c>
      <c r="S706" s="27">
        <f>S894</f>
        <v/>
      </c>
      <c r="T706" s="27">
        <f>T894</f>
        <v/>
      </c>
      <c r="U706" s="1112">
        <f>U894</f>
        <v/>
      </c>
      <c r="V706" s="27">
        <f>V894</f>
        <v/>
      </c>
      <c r="W706" s="27">
        <f>W894</f>
        <v/>
      </c>
      <c r="X706" s="27">
        <f>X894</f>
        <v/>
      </c>
      <c r="Y706" s="27">
        <f>Y894</f>
        <v/>
      </c>
      <c r="Z706" s="1112">
        <f>Z894</f>
        <v/>
      </c>
      <c r="AA706" s="27">
        <f>AA894</f>
        <v/>
      </c>
      <c r="AB706" s="27">
        <f>AB894</f>
        <v/>
      </c>
      <c r="AC706" s="27">
        <f>AC894</f>
        <v/>
      </c>
      <c r="AD706" s="27">
        <f>AD894</f>
        <v/>
      </c>
      <c r="AE706" s="1112">
        <f>AE894</f>
        <v/>
      </c>
      <c r="AF706" s="27">
        <f>AF894</f>
        <v/>
      </c>
      <c r="AG706" s="27">
        <f>AG894</f>
        <v/>
      </c>
      <c r="AH706" s="27">
        <f>AH894</f>
        <v/>
      </c>
      <c r="AI706" s="27">
        <f>AI894</f>
        <v/>
      </c>
      <c r="AJ706" s="1112">
        <f>AJ894</f>
        <v/>
      </c>
      <c r="AK706" s="27">
        <f>AK894</f>
        <v/>
      </c>
      <c r="AL706" s="27">
        <f>AL894</f>
        <v/>
      </c>
      <c r="AM706" s="27">
        <f>AM894</f>
        <v/>
      </c>
      <c r="AN706" s="68">
        <f>AN894</f>
        <v/>
      </c>
      <c r="AO706" s="1110">
        <f>AO894</f>
        <v/>
      </c>
      <c r="AP706" s="27">
        <f>AP894</f>
        <v/>
      </c>
      <c r="AQ706" s="68">
        <f>AQ894</f>
        <v/>
      </c>
      <c r="AR706" s="27">
        <f>AR894</f>
        <v/>
      </c>
      <c r="AS706" s="68">
        <f>AS894</f>
        <v/>
      </c>
      <c r="AT706" s="1110">
        <f>AT894</f>
        <v/>
      </c>
      <c r="AU706" s="27">
        <f>AU894</f>
        <v/>
      </c>
      <c r="AV706" s="68">
        <f>AV894</f>
        <v/>
      </c>
      <c r="AW706" s="27">
        <f>AW894</f>
        <v/>
      </c>
      <c r="AX706" s="68">
        <f>AX894</f>
        <v/>
      </c>
      <c r="AY706" s="1110">
        <f>AY894</f>
        <v/>
      </c>
      <c r="AZ706" s="27">
        <f>AZ894</f>
        <v/>
      </c>
      <c r="BA706" s="68">
        <f>BA894</f>
        <v/>
      </c>
      <c r="BB706" s="27">
        <f>BB894</f>
        <v/>
      </c>
      <c r="BC706" s="68">
        <f>BC894</f>
        <v/>
      </c>
      <c r="BD706" s="1110">
        <f>BD894</f>
        <v/>
      </c>
      <c r="BE706" s="27">
        <f>BE894</f>
        <v/>
      </c>
      <c r="BF706" s="68">
        <f>BF894</f>
        <v/>
      </c>
      <c r="BG706" s="27">
        <f>BG894</f>
        <v/>
      </c>
      <c r="BH706" s="68">
        <f>BH894</f>
        <v/>
      </c>
      <c r="BI706" s="1110">
        <f>BI894</f>
        <v/>
      </c>
      <c r="BJ706" s="27">
        <f>BJ894</f>
        <v/>
      </c>
      <c r="BK706" s="68">
        <f>BK894</f>
        <v/>
      </c>
      <c r="BL706" s="27">
        <f>BL894</f>
        <v/>
      </c>
      <c r="BM706" s="68">
        <f>BM894</f>
        <v/>
      </c>
      <c r="BN706" s="1110">
        <f>BN894</f>
        <v/>
      </c>
      <c r="BO706" s="27">
        <f>BO894</f>
        <v/>
      </c>
      <c r="BP706" s="68">
        <f>BP894</f>
        <v/>
      </c>
      <c r="BQ706" s="27">
        <f>BQ894</f>
        <v/>
      </c>
      <c r="BR706" s="68">
        <f>BR894</f>
        <v/>
      </c>
      <c r="BS706" s="1110">
        <f>BS894</f>
        <v/>
      </c>
      <c r="BT706" s="27">
        <f>BT894</f>
        <v/>
      </c>
      <c r="BU706" s="68">
        <f>BU894</f>
        <v/>
      </c>
      <c r="BV706" s="508">
        <f>BV894</f>
        <v/>
      </c>
      <c r="BW706" s="68">
        <f>BW707*-BW428</f>
        <v/>
      </c>
      <c r="BX706" s="1110">
        <f>BX894</f>
        <v/>
      </c>
      <c r="BY706" s="68">
        <f>BY707*-BY428</f>
        <v/>
      </c>
      <c r="BZ706" s="68">
        <f>BZ707*-BZ428</f>
        <v/>
      </c>
      <c r="CA706" s="68">
        <f>CA707*-CA428</f>
        <v/>
      </c>
      <c r="CB706" s="68">
        <f>CB707*-CB428</f>
        <v/>
      </c>
      <c r="CC706" s="1110">
        <f>CC894</f>
        <v/>
      </c>
      <c r="CD706" s="1110">
        <f>CD707*-CD428</f>
        <v/>
      </c>
      <c r="CE706" s="1110">
        <f>CE707*-CE428</f>
        <v/>
      </c>
      <c r="CF706" s="1110">
        <f>CF707*-CF428</f>
        <v/>
      </c>
      <c r="CG706" s="155" t="n"/>
    </row>
    <row r="707">
      <c r="A707" s="280" t="inlineStr">
        <is>
          <t>Dividend Per Share</t>
        </is>
      </c>
      <c r="B707" s="281" t="n"/>
      <c r="C707" s="1204">
        <f>0/(10)</f>
        <v/>
      </c>
      <c r="D707" s="1204">
        <f>0/(10)</f>
        <v/>
      </c>
      <c r="E707" s="1204">
        <f>0/(10)</f>
        <v/>
      </c>
      <c r="F707" s="1204">
        <f>0/(10)</f>
        <v/>
      </c>
      <c r="G707" s="1083">
        <f>0/(10)</f>
        <v/>
      </c>
      <c r="H707" s="1083">
        <f>0/(10)</f>
        <v/>
      </c>
      <c r="I707" s="1083">
        <f>0/(10)</f>
        <v/>
      </c>
      <c r="J707" s="1083">
        <f>0.01875/(10)</f>
        <v/>
      </c>
      <c r="K707" s="1205">
        <f>SUM(G707,H707,I707,J707)</f>
        <v/>
      </c>
      <c r="L707" s="1083">
        <f>0.01875/(10)</f>
        <v/>
      </c>
      <c r="M707" s="1083">
        <f>0.01875/(10)</f>
        <v/>
      </c>
      <c r="N707" s="1083">
        <f>0.02125/(10)</f>
        <v/>
      </c>
      <c r="O707" s="1083">
        <f>0.02125/(10)</f>
        <v/>
      </c>
      <c r="P707" s="1205">
        <f>SUM(L707,M707,N707,O707)</f>
        <v/>
      </c>
      <c r="Q707" s="1083">
        <f>0.02125/(10)</f>
        <v/>
      </c>
      <c r="R707" s="1083">
        <f>0.02125/(10)</f>
        <v/>
      </c>
      <c r="S707" s="1083">
        <f>0.02125/(10)</f>
        <v/>
      </c>
      <c r="T707" s="1083">
        <f>0.02125/(10)</f>
        <v/>
      </c>
      <c r="U707" s="1205">
        <f>SUM(Q707,R707,S707,T707)</f>
        <v/>
      </c>
      <c r="V707" s="1083">
        <f>0.024375/(10)</f>
        <v/>
      </c>
      <c r="W707" s="1083">
        <f>0.024375/(10)</f>
        <v/>
      </c>
      <c r="X707" s="1083">
        <f>0.02875/(10)</f>
        <v/>
      </c>
      <c r="Y707" s="1083">
        <f>0.02875/(10)</f>
        <v/>
      </c>
      <c r="Z707" s="1205">
        <f>SUM(V707,W707,X707,Y707)</f>
        <v/>
      </c>
      <c r="AA707" s="1083">
        <f>0.02875/(10)</f>
        <v/>
      </c>
      <c r="AB707" s="1083">
        <f>0.02875/(10)</f>
        <v/>
      </c>
      <c r="AC707" s="1083">
        <f>0.02875/(10)</f>
        <v/>
      </c>
      <c r="AD707" s="1083">
        <f>0.02875/(10)</f>
        <v/>
      </c>
      <c r="AE707" s="1205">
        <f>SUM(AA707,AB707,AC707,AD707)</f>
        <v/>
      </c>
      <c r="AF707" s="1083">
        <f>0.035/(10)</f>
        <v/>
      </c>
      <c r="AG707" s="1083">
        <f>0.035/(10)</f>
        <v/>
      </c>
      <c r="AH707" s="1083">
        <f>0.035/(10)</f>
        <v/>
      </c>
      <c r="AI707" s="1083">
        <f>0.0375/(10)</f>
        <v/>
      </c>
      <c r="AJ707" s="1205">
        <f>SUM(AF707,AG707,AH707,AI707)</f>
        <v/>
      </c>
      <c r="AK707" s="1083">
        <f>0.0375/(10)</f>
        <v/>
      </c>
      <c r="AL707" s="1083">
        <f>0.0375/(10)</f>
        <v/>
      </c>
      <c r="AM707" s="1083">
        <f>0.0375/(10)</f>
        <v/>
      </c>
      <c r="AN707" s="1083">
        <f>0.04/(10)</f>
        <v/>
      </c>
      <c r="AO707" s="1205">
        <f>SUM(AK707,AL707,AM707,AN707)</f>
        <v/>
      </c>
      <c r="AP707" s="1083">
        <f>0.04/(10)</f>
        <v/>
      </c>
      <c r="AQ707" s="1083">
        <f>0.04/(10)</f>
        <v/>
      </c>
      <c r="AR707" s="1083">
        <f>0.04/(10)</f>
        <v/>
      </c>
      <c r="AS707" s="1083">
        <f>0.04/(10)</f>
        <v/>
      </c>
      <c r="AT707" s="1205">
        <f>SUM(AP707,AQ707,AR707,AS707)</f>
        <v/>
      </c>
      <c r="AU707" s="1083">
        <f>0.04/(10)</f>
        <v/>
      </c>
      <c r="AV707" s="1083">
        <f>0.04/(10)</f>
        <v/>
      </c>
      <c r="AW707" s="1083">
        <f>0.04/(10)</f>
        <v/>
      </c>
      <c r="AX707" s="1083">
        <f>0.04/(10)</f>
        <v/>
      </c>
      <c r="AY707" s="1205">
        <f>SUM(AU707,AV707,AW707,AX707)</f>
        <v/>
      </c>
      <c r="AZ707" s="1083">
        <f>0.04/(10)</f>
        <v/>
      </c>
      <c r="BA707" s="1083">
        <f>0.04/(10)</f>
        <v/>
      </c>
      <c r="BB707" s="1083">
        <f>0.04/(10)</f>
        <v/>
      </c>
      <c r="BC707" s="1083">
        <f>0.04/(10)</f>
        <v/>
      </c>
      <c r="BD707" s="1205">
        <f>SUM(AZ707,BA707,BB707,BC707)</f>
        <v/>
      </c>
      <c r="BE707" s="1083">
        <f>0.04/(10)</f>
        <v/>
      </c>
      <c r="BF707" s="1083">
        <f>0.04/(10)</f>
        <v/>
      </c>
      <c r="BG707" s="1083">
        <f>0.04/(10)</f>
        <v/>
      </c>
      <c r="BH707" s="1083">
        <f>0.04/(10)</f>
        <v/>
      </c>
      <c r="BI707" s="1205">
        <f>SUM(BE707,BF707,BG707,BH707)</f>
        <v/>
      </c>
      <c r="BJ707" s="1083">
        <f>0.04/(10)</f>
        <v/>
      </c>
      <c r="BK707" s="1083">
        <f>0.04/(10)</f>
        <v/>
      </c>
      <c r="BL707" s="1083">
        <f>0.04/(10)</f>
        <v/>
      </c>
      <c r="BM707" s="1083">
        <f>0.04/(10)</f>
        <v/>
      </c>
      <c r="BN707" s="1205">
        <f>SUM(BJ707,BK707,BL707,BM707)</f>
        <v/>
      </c>
      <c r="BO707" s="1083">
        <f>0.04/(10)</f>
        <v/>
      </c>
      <c r="BP707" s="1083" t="n">
        <v>0.01</v>
      </c>
      <c r="BQ707" s="1083" t="n">
        <v>0.01</v>
      </c>
      <c r="BR707" s="1083" t="n">
        <v>0.01</v>
      </c>
      <c r="BS707" s="1205">
        <f>SUM(BO707,BP707,BQ707,BR707)</f>
        <v/>
      </c>
      <c r="BT707" s="1083" t="n">
        <v>0.01</v>
      </c>
      <c r="BU707" s="1083" t="n">
        <v>0.01</v>
      </c>
      <c r="BV707" s="1084" t="n">
        <v>0.01</v>
      </c>
      <c r="BW707" s="1083" t="n">
        <v>0.01</v>
      </c>
      <c r="BX707" s="1205">
        <f>SUM(BT707,BU707,BV707,BW707)</f>
        <v/>
      </c>
      <c r="BY707" s="1083" t="n">
        <v>0.01</v>
      </c>
      <c r="BZ707" s="1083" t="n">
        <v>0.01</v>
      </c>
      <c r="CA707" s="1083" t="n">
        <v>0.01</v>
      </c>
      <c r="CB707" s="1083" t="n">
        <v>0.01</v>
      </c>
      <c r="CC707" s="1205">
        <f>SUM(BY707,BZ707,CA707,CB707)</f>
        <v/>
      </c>
      <c r="CD707" s="1204" t="n">
        <v>0.04</v>
      </c>
      <c r="CE707" s="1204" t="n">
        <v>0.04</v>
      </c>
      <c r="CF707" s="1204" t="n">
        <v>0.04</v>
      </c>
      <c r="CG707" s="155" t="n"/>
    </row>
    <row r="708">
      <c r="A708" s="280" t="n"/>
      <c r="B708" s="281" t="n"/>
      <c r="C708" s="1205" t="n"/>
      <c r="D708" s="1205" t="n"/>
      <c r="E708" s="1205" t="n"/>
      <c r="F708" s="1205" t="n"/>
      <c r="G708" s="289" t="n"/>
      <c r="H708" s="289" t="n"/>
      <c r="I708" s="289" t="n"/>
      <c r="J708" s="289" t="n"/>
      <c r="K708" s="1205" t="n"/>
      <c r="L708" s="289" t="n"/>
      <c r="M708" s="289" t="n"/>
      <c r="N708" s="289" t="n"/>
      <c r="O708" s="289" t="n"/>
      <c r="P708" s="1205" t="n"/>
      <c r="Q708" s="289" t="n"/>
      <c r="R708" s="289" t="n"/>
      <c r="S708" s="289" t="n"/>
      <c r="T708" s="289" t="n"/>
      <c r="U708" s="1205" t="n"/>
      <c r="V708" s="289" t="n"/>
      <c r="W708" s="289" t="n"/>
      <c r="X708" s="289" t="n"/>
      <c r="Y708" s="289" t="n"/>
      <c r="Z708" s="1205" t="n"/>
      <c r="AA708" s="289" t="n"/>
      <c r="AB708" s="289" t="n"/>
      <c r="AC708" s="289" t="n"/>
      <c r="AD708" s="289" t="n"/>
      <c r="AE708" s="1205" t="n"/>
      <c r="AF708" s="289" t="n"/>
      <c r="AG708" s="289" t="n"/>
      <c r="AH708" s="289" t="n"/>
      <c r="AI708" s="289" t="n"/>
      <c r="AJ708" s="1205" t="n"/>
      <c r="AK708" s="289" t="n"/>
      <c r="AL708" s="289" t="n"/>
      <c r="AM708" s="289" t="n"/>
      <c r="AN708" s="289" t="n"/>
      <c r="AO708" s="1205" t="n"/>
      <c r="AP708" s="289" t="n"/>
      <c r="AQ708" s="289" t="n"/>
      <c r="AR708" s="289" t="n"/>
      <c r="AS708" s="289" t="n"/>
      <c r="AT708" s="1205" t="n"/>
      <c r="AU708" s="289" t="n"/>
      <c r="AV708" s="289" t="n"/>
      <c r="AW708" s="289" t="n"/>
      <c r="AX708" s="289" t="n"/>
      <c r="AY708" s="1205" t="n"/>
      <c r="AZ708" s="289" t="n"/>
      <c r="BA708" s="289" t="n"/>
      <c r="BB708" s="289" t="n"/>
      <c r="BC708" s="289" t="n"/>
      <c r="BD708" s="1205" t="n"/>
      <c r="BE708" s="289" t="n"/>
      <c r="BF708" s="289" t="n"/>
      <c r="BG708" s="289" t="n"/>
      <c r="BH708" s="289" t="n"/>
      <c r="BI708" s="1205" t="n"/>
      <c r="BJ708" s="289" t="n"/>
      <c r="BK708" s="289" t="n"/>
      <c r="BL708" s="289" t="n"/>
      <c r="BM708" s="289" t="n"/>
      <c r="BN708" s="1205" t="n"/>
      <c r="BO708" s="289" t="n"/>
      <c r="BP708" s="289" t="n"/>
      <c r="BQ708" s="289" t="n"/>
      <c r="BR708" s="289" t="n"/>
      <c r="BS708" s="1205" t="n"/>
      <c r="BT708" s="289" t="n"/>
      <c r="BU708" s="289" t="n"/>
      <c r="BV708" s="916" t="n"/>
      <c r="BW708" s="289" t="n"/>
      <c r="BX708" s="1205" t="n"/>
      <c r="BY708" s="289" t="n"/>
      <c r="BZ708" s="289" t="n"/>
      <c r="CA708" s="289" t="n"/>
      <c r="CB708" s="289" t="n"/>
      <c r="CC708" s="1205" t="n"/>
      <c r="CD708" s="1205" t="n"/>
      <c r="CE708" s="1205" t="n"/>
      <c r="CF708" s="1205" t="n"/>
      <c r="CG708" s="155" t="n"/>
    </row>
    <row r="709">
      <c r="A709" s="280" t="inlineStr">
        <is>
          <t>Net Debt Issuance (Repayment)</t>
        </is>
      </c>
      <c r="B709" s="281" t="n"/>
      <c r="C709" s="1110">
        <f>C886+C888+C893+C897+C898+C899+C887+C891</f>
        <v/>
      </c>
      <c r="D709" s="1110">
        <f>D886+D888+D893+D897+D898+D899+D887+D891</f>
        <v/>
      </c>
      <c r="E709" s="1110">
        <f>E886+E888+E893+E897+E898+E899+E887+E891</f>
        <v/>
      </c>
      <c r="F709" s="1110">
        <f>F886+F888+F893+F897+F898+F899+F887+F891</f>
        <v/>
      </c>
      <c r="G709" s="68">
        <f>G886+G888+G893+G897+G898+G899+G887+G891</f>
        <v/>
      </c>
      <c r="H709" s="68">
        <f>H886+H888+H893+H897+H898+H899+H887+H891</f>
        <v/>
      </c>
      <c r="I709" s="68">
        <f>I886+I888+I893+I897+I898+I899+I887+I891</f>
        <v/>
      </c>
      <c r="J709" s="68">
        <f>J886+J888+J893+J897+J898+J899+J887+J891</f>
        <v/>
      </c>
      <c r="K709" s="1110">
        <f>K886+K888+K893+K897+K898+K899+K887+K891</f>
        <v/>
      </c>
      <c r="L709" s="68">
        <f>L886+L888+L893+L897+L898+L899+L887+L891</f>
        <v/>
      </c>
      <c r="M709" s="68">
        <f>M886+M888+M893+M897+M898+M899+M887+M891</f>
        <v/>
      </c>
      <c r="N709" s="68">
        <f>N886+N888+N893+N897+N898+N899+N887+N891</f>
        <v/>
      </c>
      <c r="O709" s="68">
        <f>O886+O888+O893+O897+O898+O899+O887+O891</f>
        <v/>
      </c>
      <c r="P709" s="1110">
        <f>P886+P888+P893+P897+P898+P899+P887+P891</f>
        <v/>
      </c>
      <c r="Q709" s="68">
        <f>Q886+Q888+Q893+Q897+Q898+Q899+Q887+Q891</f>
        <v/>
      </c>
      <c r="R709" s="68">
        <f>R886+R888+R893+R897+R898+R899+R887+R891</f>
        <v/>
      </c>
      <c r="S709" s="68">
        <f>S886+S888+S893+S897+S898+S899+S887+S891</f>
        <v/>
      </c>
      <c r="T709" s="68">
        <f>T886+T888+T893+T897+T898+T899+T887+T891</f>
        <v/>
      </c>
      <c r="U709" s="1110">
        <f>U886+U888+U893+U897+U898+U899+U887+U891</f>
        <v/>
      </c>
      <c r="V709" s="68">
        <f>V886+V888+V893+V897+V898+V899+V887+V891</f>
        <v/>
      </c>
      <c r="W709" s="68">
        <f>W886+W888+W893+W897+W898+W899+W887+W891</f>
        <v/>
      </c>
      <c r="X709" s="68">
        <f>X886+X888+X893+X897+X898+X899+X887+X891</f>
        <v/>
      </c>
      <c r="Y709" s="68">
        <f>Y886+Y888+Y893+Y897+Y898+Y899+Y887+Y891</f>
        <v/>
      </c>
      <c r="Z709" s="1110">
        <f>Z886+Z888+Z893+Z897+Z898+Z899+Z887+Z891</f>
        <v/>
      </c>
      <c r="AA709" s="68">
        <f>AA886+AA888+AA893+AA897+AA898+AA899+AA887+AA891</f>
        <v/>
      </c>
      <c r="AB709" s="68">
        <f>AB886+AB888+AB893+AB897+AB898+AB899+AB887+AB891</f>
        <v/>
      </c>
      <c r="AC709" s="68">
        <f>AC886+AC888+AC893+AC897+AC898+AC899+AC887+AC891</f>
        <v/>
      </c>
      <c r="AD709" s="68">
        <f>AD886+AD888+AD893+AD897+AD898+AD899+AD887+AD891</f>
        <v/>
      </c>
      <c r="AE709" s="1110">
        <f>AE886+AE888+AE893+AE897+AE898+AE899+AE887+AE891</f>
        <v/>
      </c>
      <c r="AF709" s="68">
        <f>AF886+AF888+AF893+AF897+AF898+AF899+AF887+AF891</f>
        <v/>
      </c>
      <c r="AG709" s="68">
        <f>AG886+AG888+AG893+AG897+AG898+AG899+AG887+AG891</f>
        <v/>
      </c>
      <c r="AH709" s="68">
        <f>AH886+AH888+AH893+AH897+AH898+AH899+AH887+AH891</f>
        <v/>
      </c>
      <c r="AI709" s="68">
        <f>AI886+AI888+AI893+AI897+AI898+AI899+AI887+AI891</f>
        <v/>
      </c>
      <c r="AJ709" s="1110">
        <f>AJ886+AJ888+AJ893+AJ897+AJ898+AJ899+AJ887+AJ891</f>
        <v/>
      </c>
      <c r="AK709" s="68">
        <f>AK886+AK888+AK893+AK897+AK898+AK899+AK887+AK891</f>
        <v/>
      </c>
      <c r="AL709" s="68">
        <f>AL886+AL888+AL893+AL897+AL898+AL899+AL887+AL891</f>
        <v/>
      </c>
      <c r="AM709" s="68">
        <f>AM886+AM888+AM893+AM897+AM898+AM899+AM887+AM891</f>
        <v/>
      </c>
      <c r="AN709" s="68">
        <f>AN886+AN888+AN893+AN897+AN898+AN899+AN887+AN891</f>
        <v/>
      </c>
      <c r="AO709" s="1110">
        <f>AO886+AO888+AO893+AO897+AO898+AO899+AO887+AO891</f>
        <v/>
      </c>
      <c r="AP709" s="68">
        <f>AP886+AP888+AP893+AP897+AP898+AP899+AP887+AP891</f>
        <v/>
      </c>
      <c r="AQ709" s="27">
        <f>AQ886+AQ888+AQ893+AQ897+AQ898+AQ899+AQ887+AQ891</f>
        <v/>
      </c>
      <c r="AR709" s="68">
        <f>AR886+AR888+AR893+AR897+AR898+AR899+AR887+AR891</f>
        <v/>
      </c>
      <c r="AS709" s="68">
        <f>AS886+AS888+AS893+AS897+AS898+AS899+AS887+AS891</f>
        <v/>
      </c>
      <c r="AT709" s="1110">
        <f>AT886+AT888+AT893+AT897+AT898+AT899+AT887+AT891</f>
        <v/>
      </c>
      <c r="AU709" s="68">
        <f>AU886+AU888+AU893+AU897+AU898+AU899+AU887+AU891</f>
        <v/>
      </c>
      <c r="AV709" s="27">
        <f>AV886+AV888+AV893+AV897+AV898+AV899+AV887+AV891</f>
        <v/>
      </c>
      <c r="AW709" s="68">
        <f>AW886+AW888+AW893+AW897+AW898+AW899+AW887+AW891</f>
        <v/>
      </c>
      <c r="AX709" s="68">
        <f>AX886+AX888+AX893+AX897+AX898+AX899+AX887+AX891</f>
        <v/>
      </c>
      <c r="AY709" s="1110">
        <f>AY886+AY888+AY893+AY897+AY898+AY899+AY887+AY891</f>
        <v/>
      </c>
      <c r="AZ709" s="68">
        <f>AZ886+AZ888+AZ893+AZ897+AZ898+AZ899+AZ887+AZ891</f>
        <v/>
      </c>
      <c r="BA709" s="27">
        <f>BA886+BA888+BA893+BA897+BA898+BA899+BA887+BA891</f>
        <v/>
      </c>
      <c r="BB709" s="68">
        <f>BB886+BB888+BB893+BB897+BB898+BB899+BB887+BB891</f>
        <v/>
      </c>
      <c r="BC709" s="68">
        <f>BC886+BC888+BC893+BC897+BC898+BC899+BC887+BC891</f>
        <v/>
      </c>
      <c r="BD709" s="1110">
        <f>BD886+BD888+BD893+BD897+BD898+BD899+BD887+BD891</f>
        <v/>
      </c>
      <c r="BE709" s="68">
        <f>BE886+BE888+BE893+BE897+BE898+BE899+BE887+BE891</f>
        <v/>
      </c>
      <c r="BF709" s="27">
        <f>BF886+BF888+BF893+BF897+BF898+BF899+BF887+BF891</f>
        <v/>
      </c>
      <c r="BG709" s="68">
        <f>BG886+BG888+BG893+BG897+BG898+BG899+BG887+BG891</f>
        <v/>
      </c>
      <c r="BH709" s="68">
        <f>BH886+BH888+BH893+BH897+BH898+BH899+BH887+BH891</f>
        <v/>
      </c>
      <c r="BI709" s="1110">
        <f>BI886+BI888+BI893+BI897+BI898+BI899+BI887+BI891</f>
        <v/>
      </c>
      <c r="BJ709" s="68">
        <f>BJ886+BJ888+BJ893+BJ897+BJ898+BJ899+BJ887+BJ891</f>
        <v/>
      </c>
      <c r="BK709" s="27">
        <f>BK886+BK888+BK893+BK897+BK898+BK899+BK887+BK891</f>
        <v/>
      </c>
      <c r="BL709" s="68">
        <f>BL886+BL888+BL893+BL897+BL898+BL899+BL887+BL891</f>
        <v/>
      </c>
      <c r="BM709" s="68">
        <f>BM886+BM888+BM893+BM897+BM898+BM899+BM887+BM891</f>
        <v/>
      </c>
      <c r="BN709" s="1110">
        <f>BN886+BN888+BN893+BN897+BN898+BN899+BN887+BN891</f>
        <v/>
      </c>
      <c r="BO709" s="68">
        <f>BO886+BO888+BO893+BO897+BO898+BO899+BO887+BO891</f>
        <v/>
      </c>
      <c r="BP709" s="27">
        <f>BP886+BP888+BP893+BP897+BP898+BP899+BP887+BP891</f>
        <v/>
      </c>
      <c r="BQ709" s="68">
        <f>BQ886+BQ888+BQ893+BQ897+BQ898+BQ899+BQ887+BQ891</f>
        <v/>
      </c>
      <c r="BR709" s="68">
        <f>BR886+BR888+BR893+BR897+BR898+BR899+BR887+BR891</f>
        <v/>
      </c>
      <c r="BS709" s="1110">
        <f>BS886+BS888+BS893+BS897+BS898+BS899+BS887+BS891</f>
        <v/>
      </c>
      <c r="BT709" s="68">
        <f>BT886+BT888+BT893+BT897+BT898+BT899+BT887+BT891</f>
        <v/>
      </c>
      <c r="BU709" s="27">
        <f>BU886+BU888+BU893+BU897+BU898+BU899+BU887+BU891</f>
        <v/>
      </c>
      <c r="BV709" s="588">
        <f>BV886+BV888+BV893+BV897+BV898+BV899+BV887+BV891</f>
        <v/>
      </c>
      <c r="BW709" s="1053" t="n">
        <v>0</v>
      </c>
      <c r="BX709" s="1110">
        <f>BX886+BX888+BX893+BX897+BX898+BX899+BX887+BX891</f>
        <v/>
      </c>
      <c r="BY709" s="1053" t="n">
        <v>0</v>
      </c>
      <c r="BZ709" s="1053" t="n">
        <v>0</v>
      </c>
      <c r="CA709" s="1053" t="n">
        <v>0</v>
      </c>
      <c r="CB709" s="1053" t="n">
        <v>0</v>
      </c>
      <c r="CC709" s="1110">
        <f>CC886+CC888+CC893+CC897+CC898+CC899+CC887+CC891</f>
        <v/>
      </c>
      <c r="CD709" s="1111" t="n">
        <v>0</v>
      </c>
      <c r="CE709" s="1111" t="n">
        <v>0</v>
      </c>
      <c r="CF709" s="1111" t="n">
        <v>0</v>
      </c>
      <c r="CG709" s="155" t="n"/>
    </row>
    <row r="710">
      <c r="A710" s="280" t="inlineStr">
        <is>
          <t>Net Share Issuance (Buybacks)</t>
        </is>
      </c>
      <c r="B710" s="281" t="n"/>
      <c r="C710" s="1110">
        <f>C885+C889+C890+C892+C895+C896</f>
        <v/>
      </c>
      <c r="D710" s="1110">
        <f>D885+D889+D890+D892+D895+D896</f>
        <v/>
      </c>
      <c r="E710" s="1110">
        <f>E885+E889+E890+E892+E895+E896</f>
        <v/>
      </c>
      <c r="F710" s="1110">
        <f>F885+F889+F890+F892+F895+F896</f>
        <v/>
      </c>
      <c r="G710" s="68">
        <f>G885+G889+G890+G892+G895+G896</f>
        <v/>
      </c>
      <c r="H710" s="68">
        <f>H885+H889+H890+H892+H895+H896</f>
        <v/>
      </c>
      <c r="I710" s="68">
        <f>I885+I889+I890+I892+I895+I896</f>
        <v/>
      </c>
      <c r="J710" s="68">
        <f>J885+J889+J890+J892+J895+J896</f>
        <v/>
      </c>
      <c r="K710" s="1110">
        <f>K885+K889+K890+K892+K895+K896</f>
        <v/>
      </c>
      <c r="L710" s="68">
        <f>L885+L889+L890+L892+L895+L896</f>
        <v/>
      </c>
      <c r="M710" s="68">
        <f>M885+M889+M890+M892+M895+M896</f>
        <v/>
      </c>
      <c r="N710" s="68">
        <f>N885+N889+N890+N892+N895+N896</f>
        <v/>
      </c>
      <c r="O710" s="68">
        <f>O885+O889+O890+O892+O895+O896</f>
        <v/>
      </c>
      <c r="P710" s="1110">
        <f>P885+P889+P890+P892+P895+P896</f>
        <v/>
      </c>
      <c r="Q710" s="68">
        <f>Q885+Q889+Q890+Q892+Q895+Q896</f>
        <v/>
      </c>
      <c r="R710" s="68">
        <f>R885+R889+R890+R892+R895+R896</f>
        <v/>
      </c>
      <c r="S710" s="68">
        <f>S885+S889+S890+S892+S895+S896</f>
        <v/>
      </c>
      <c r="T710" s="68">
        <f>T885+T889+T890+T892+T895+T896</f>
        <v/>
      </c>
      <c r="U710" s="1110">
        <f>U885+U889+U890+U892+U895+U896</f>
        <v/>
      </c>
      <c r="V710" s="68">
        <f>V885+V889+V890+V892+V895+V896</f>
        <v/>
      </c>
      <c r="W710" s="68">
        <f>W885+W889+W890+W892+W895+W896</f>
        <v/>
      </c>
      <c r="X710" s="68">
        <f>X885+X889+X890+X892+X895+X896</f>
        <v/>
      </c>
      <c r="Y710" s="68">
        <f>Y885+Y889+Y890+Y892+Y895+Y896</f>
        <v/>
      </c>
      <c r="Z710" s="1110">
        <f>Z885+Z889+Z890+Z892+Z895+Z896</f>
        <v/>
      </c>
      <c r="AA710" s="68">
        <f>AA885+AA889+AA890+AA892+AA895+AA896</f>
        <v/>
      </c>
      <c r="AB710" s="68">
        <f>AB885+AB889+AB890+AB892+AB895+AB896</f>
        <v/>
      </c>
      <c r="AC710" s="68">
        <f>AC885+AC889+AC890+AC892+AC895+AC896</f>
        <v/>
      </c>
      <c r="AD710" s="68">
        <f>AD885+AD889+AD890+AD892+AD895+AD896</f>
        <v/>
      </c>
      <c r="AE710" s="1110">
        <f>AE885+AE889+AE890+AE892+AE895+AE896</f>
        <v/>
      </c>
      <c r="AF710" s="68">
        <f>AF885+AF889+AF890+AF892+AF895+AF896</f>
        <v/>
      </c>
      <c r="AG710" s="68">
        <f>AG885+AG889+AG890+AG892+AG895+AG896</f>
        <v/>
      </c>
      <c r="AH710" s="68">
        <f>AH885+AH889+AH890+AH892+AH895+AH896</f>
        <v/>
      </c>
      <c r="AI710" s="68">
        <f>AI885+AI889+AI890+AI892+AI895+AI896</f>
        <v/>
      </c>
      <c r="AJ710" s="1110">
        <f>AJ885+AJ889+AJ890+AJ892+AJ895+AJ896</f>
        <v/>
      </c>
      <c r="AK710" s="68">
        <f>AK885+AK889+AK890+AK892+AK895+AK896</f>
        <v/>
      </c>
      <c r="AL710" s="68">
        <f>AL885+AL889+AL890+AL892+AL895+AL896</f>
        <v/>
      </c>
      <c r="AM710" s="68">
        <f>AM885+AM889+AM890+AM892+AM895+AM896</f>
        <v/>
      </c>
      <c r="AN710" s="68">
        <f>AN885+AN889+AN890+AN892+AN895+AN896</f>
        <v/>
      </c>
      <c r="AO710" s="1110">
        <f>AO885+AO889+AO890+AO892+AO895+AO896</f>
        <v/>
      </c>
      <c r="AP710" s="68">
        <f>AP885+AP889+AP890+AP892+AP895+AP896</f>
        <v/>
      </c>
      <c r="AQ710" s="27">
        <f>AQ885+AQ889+AQ890+AQ892+AQ895+AQ896</f>
        <v/>
      </c>
      <c r="AR710" s="68">
        <f>AR885+AR889+AR890+AR892+AR895+AR896</f>
        <v/>
      </c>
      <c r="AS710" s="68">
        <f>AS885+AS889+AS890+AS892+AS895+AS896</f>
        <v/>
      </c>
      <c r="AT710" s="1110">
        <f>AT885+AT889+AT890+AT892+AT895+AT896</f>
        <v/>
      </c>
      <c r="AU710" s="68">
        <f>AU885+AU889+AU890+AU892+AU895+AU896</f>
        <v/>
      </c>
      <c r="AV710" s="27">
        <f>AV885+AV889+AV890+AV892+AV895+AV896</f>
        <v/>
      </c>
      <c r="AW710" s="68">
        <f>AW885+AW889+AW890+AW892+AW895+AW896</f>
        <v/>
      </c>
      <c r="AX710" s="68">
        <f>AX885+AX889+AX890+AX892+AX895+AX896</f>
        <v/>
      </c>
      <c r="AY710" s="1110">
        <f>AY885+AY889+AY890+AY892+AY895+AY896</f>
        <v/>
      </c>
      <c r="AZ710" s="68">
        <f>AZ885+AZ889+AZ890+AZ892+AZ895+AZ896</f>
        <v/>
      </c>
      <c r="BA710" s="27">
        <f>BA885+BA889+BA890+BA892+BA895+BA896</f>
        <v/>
      </c>
      <c r="BB710" s="68">
        <f>BB885+BB889+BB890+BB892+BB895+BB896</f>
        <v/>
      </c>
      <c r="BC710" s="68">
        <f>BC885+BC889+BC890+BC892+BC895+BC896</f>
        <v/>
      </c>
      <c r="BD710" s="1110">
        <f>BD885+BD889+BD890+BD892+BD895+BD896</f>
        <v/>
      </c>
      <c r="BE710" s="68">
        <f>BE885+BE889+BE890+BE892+BE895+BE896</f>
        <v/>
      </c>
      <c r="BF710" s="27">
        <f>BF885+BF889+BF890+BF892+BF895+BF896</f>
        <v/>
      </c>
      <c r="BG710" s="68">
        <f>BG885+BG889+BG890+BG892+BG895+BG896</f>
        <v/>
      </c>
      <c r="BH710" s="68">
        <f>BH885+BH889+BH890+BH892+BH895+BH896</f>
        <v/>
      </c>
      <c r="BI710" s="1110">
        <f>BI885+BI889+BI890+BI892+BI895+BI896</f>
        <v/>
      </c>
      <c r="BJ710" s="68">
        <f>BJ885+BJ889+BJ890+BJ892+BJ895+BJ896</f>
        <v/>
      </c>
      <c r="BK710" s="27">
        <f>BK885+BK889+BK890+BK892+BK895+BK896</f>
        <v/>
      </c>
      <c r="BL710" s="68">
        <f>BL885+BL889+BL890+BL892+BL895+BL896</f>
        <v/>
      </c>
      <c r="BM710" s="68">
        <f>BM885+BM889+BM890+BM892+BM895+BM896</f>
        <v/>
      </c>
      <c r="BN710" s="1110">
        <f>BN885+BN889+BN890+BN892+BN895+BN896</f>
        <v/>
      </c>
      <c r="BO710" s="68">
        <f>BO885+BO889+BO890+BO892+BO895+BO896</f>
        <v/>
      </c>
      <c r="BP710" s="27">
        <f>BP885+BP889+BP890+BP892+BP895+BP896</f>
        <v/>
      </c>
      <c r="BQ710" s="68">
        <f>BQ885+BQ889+BQ890+BQ892+BQ895+BQ896</f>
        <v/>
      </c>
      <c r="BR710" s="68">
        <f>BR885+BR889+BR890+BR892+BR895+BR896</f>
        <v/>
      </c>
      <c r="BS710" s="1110">
        <f>BS885+BS889+BS890+BS892+BS895+BS896</f>
        <v/>
      </c>
      <c r="BT710" s="68">
        <f>BT885+BT889+BT890+BT892+BT895+BT896</f>
        <v/>
      </c>
      <c r="BU710" s="27">
        <f>BU885+BU889+BU890+BU892+BU895+BU896</f>
        <v/>
      </c>
      <c r="BV710" s="588">
        <f>BV885+BV889+BV890+BV892+BV895+BV896</f>
        <v/>
      </c>
      <c r="BW710" s="1053" t="n">
        <v>-1100</v>
      </c>
      <c r="BX710" s="1110">
        <f>BX885+BX889+BX890+BX892+BX895+BX896</f>
        <v/>
      </c>
      <c r="BY710" s="1053" t="n">
        <v>0</v>
      </c>
      <c r="BZ710" s="1053" t="n">
        <v>0</v>
      </c>
      <c r="CA710" s="1053" t="n">
        <v>0</v>
      </c>
      <c r="CB710" s="1053" t="n">
        <v>0</v>
      </c>
      <c r="CC710" s="1110">
        <f>CC885+CC889+CC890+CC892+CC895+CC896</f>
        <v/>
      </c>
      <c r="CD710" s="1111" t="n">
        <v>0</v>
      </c>
      <c r="CE710" s="1111" t="n">
        <v>0</v>
      </c>
      <c r="CF710" s="1111" t="n">
        <v>0</v>
      </c>
      <c r="CG710" s="155" t="n"/>
    </row>
    <row r="711">
      <c r="A711" s="566" t="inlineStr">
        <is>
          <t>Estimated Share Price for Issuance/Buybacks, USD</t>
        </is>
      </c>
      <c r="B711" s="567" t="n"/>
      <c r="C711" s="1206" t="n"/>
      <c r="D711" s="1206" t="n"/>
      <c r="E711" s="1206" t="n"/>
      <c r="F711" s="1206" t="n"/>
      <c r="G711" s="996" t="n"/>
      <c r="H711" s="996" t="n"/>
      <c r="I711" s="996" t="n"/>
      <c r="J711" s="996" t="n"/>
      <c r="K711" s="1206" t="n"/>
      <c r="L711" s="996" t="n"/>
      <c r="M711" s="996" t="n"/>
      <c r="N711" s="996" t="n"/>
      <c r="O711" s="996" t="n"/>
      <c r="P711" s="1206" t="n"/>
      <c r="Q711" s="996" t="n"/>
      <c r="R711" s="996" t="n"/>
      <c r="S711" s="996" t="n"/>
      <c r="T711" s="996" t="n"/>
      <c r="U711" s="1206" t="n"/>
      <c r="V711" s="996" t="n"/>
      <c r="W711" s="996" t="n"/>
      <c r="X711" s="996" t="n"/>
      <c r="Y711" s="996" t="n"/>
      <c r="Z711" s="1206" t="n"/>
      <c r="AA711" s="996" t="n"/>
      <c r="AB711" s="996" t="n"/>
      <c r="AC711" s="996" t="n"/>
      <c r="AD711" s="996" t="n"/>
      <c r="AE711" s="1206" t="n"/>
      <c r="AF711" s="996" t="n"/>
      <c r="AG711" s="996" t="n"/>
      <c r="AH711" s="996" t="n"/>
      <c r="AI711" s="996" t="n"/>
      <c r="AJ711" s="1206" t="n"/>
      <c r="AK711" s="996" t="n"/>
      <c r="AL711" s="996" t="n"/>
      <c r="AM711" s="996" t="n"/>
      <c r="AN711" s="996" t="n"/>
      <c r="AO711" s="1206" t="n"/>
      <c r="AP711" s="996" t="n"/>
      <c r="AQ711" s="996" t="n"/>
      <c r="AR711" s="996" t="n"/>
      <c r="AS711" s="996" t="n"/>
      <c r="AT711" s="1206" t="n"/>
      <c r="AU711" s="996" t="n"/>
      <c r="AV711" s="996" t="n"/>
      <c r="AW711" s="996" t="n"/>
      <c r="AX711" s="996" t="n"/>
      <c r="AY711" s="1206" t="n"/>
      <c r="AZ711" s="996" t="n"/>
      <c r="BA711" s="996" t="n"/>
      <c r="BB711" s="996" t="n"/>
      <c r="BC711" s="996" t="n"/>
      <c r="BD711" s="1206" t="n"/>
      <c r="BE711" s="996" t="n"/>
      <c r="BF711" s="996" t="n"/>
      <c r="BG711" s="996" t="n"/>
      <c r="BH711" s="996" t="n"/>
      <c r="BI711" s="1206" t="n"/>
      <c r="BJ711" s="996" t="n"/>
      <c r="BK711" s="996" t="n"/>
      <c r="BL711" s="996" t="n"/>
      <c r="BM711" s="996" t="n"/>
      <c r="BN711" s="1206" t="n"/>
      <c r="BO711" s="996" t="n"/>
      <c r="BP711" s="996" t="n"/>
      <c r="BQ711" s="996" t="n"/>
      <c r="BR711" s="996" t="n"/>
      <c r="BS711" s="1206" t="n"/>
      <c r="BT711" s="996" t="n"/>
      <c r="BU711" s="996" t="n"/>
      <c r="BV711" s="917" t="n"/>
      <c r="BW711" s="1085" t="n">
        <v>181</v>
      </c>
      <c r="BX711" s="1206">
        <f>AVERAGE(BT711,BU711,BV711,BW711)</f>
        <v/>
      </c>
      <c r="BY711" s="1085" t="n">
        <v>199</v>
      </c>
      <c r="BZ711" s="1085" t="n">
        <v>199</v>
      </c>
      <c r="CA711" s="1085" t="n">
        <v>199</v>
      </c>
      <c r="CB711" s="1085" t="n">
        <v>199</v>
      </c>
      <c r="CC711" s="1206">
        <f>AVERAGE(BY711,BZ711,CA711,CB711)</f>
        <v/>
      </c>
      <c r="CD711" s="1207" t="n">
        <v>219</v>
      </c>
      <c r="CE711" s="1207" t="n">
        <v>241</v>
      </c>
      <c r="CF711" s="1207" t="n">
        <v>265</v>
      </c>
      <c r="CG711" s="155" t="n"/>
    </row>
    <row r="712">
      <c r="A712" s="111" t="n"/>
      <c r="B712" s="112" t="n"/>
      <c r="C712" s="1157" t="n"/>
      <c r="D712" s="1157" t="n"/>
      <c r="E712" s="1157" t="n"/>
      <c r="F712" s="1157" t="n"/>
      <c r="G712" s="113" t="n"/>
      <c r="H712" s="113" t="n"/>
      <c r="I712" s="113" t="n"/>
      <c r="J712" s="113" t="n"/>
      <c r="K712" s="1157" t="n"/>
      <c r="L712" s="113" t="n"/>
      <c r="M712" s="113" t="n"/>
      <c r="N712" s="113" t="n"/>
      <c r="O712" s="113" t="n"/>
      <c r="P712" s="1157" t="n"/>
      <c r="Q712" s="113" t="n"/>
      <c r="R712" s="113" t="n"/>
      <c r="S712" s="113" t="n"/>
      <c r="T712" s="113" t="n"/>
      <c r="U712" s="1157" t="n"/>
      <c r="V712" s="113" t="n"/>
      <c r="W712" s="113" t="n"/>
      <c r="X712" s="113" t="n"/>
      <c r="Y712" s="113" t="n"/>
      <c r="Z712" s="1157" t="n"/>
      <c r="AA712" s="113" t="n"/>
      <c r="AB712" s="113" t="n"/>
      <c r="AC712" s="113" t="n"/>
      <c r="AD712" s="113" t="n"/>
      <c r="AE712" s="1157" t="n"/>
      <c r="AF712" s="113" t="n"/>
      <c r="AG712" s="113" t="n"/>
      <c r="AH712" s="113" t="n"/>
      <c r="AI712" s="113" t="n"/>
      <c r="AJ712" s="1157" t="n"/>
      <c r="AK712" s="113" t="n"/>
      <c r="AL712" s="113" t="n"/>
      <c r="AM712" s="113" t="n"/>
      <c r="AN712" s="113" t="n"/>
      <c r="AO712" s="1157" t="n"/>
      <c r="AP712" s="113" t="n"/>
      <c r="AQ712" s="113" t="n"/>
      <c r="AR712" s="113" t="n"/>
      <c r="AS712" s="113" t="n"/>
      <c r="AT712" s="1157" t="n"/>
      <c r="AU712" s="113" t="n"/>
      <c r="AV712" s="113" t="n"/>
      <c r="AW712" s="113" t="n"/>
      <c r="AX712" s="113" t="n"/>
      <c r="AY712" s="1157" t="n"/>
      <c r="AZ712" s="113" t="n"/>
      <c r="BA712" s="113" t="n"/>
      <c r="BB712" s="113" t="n"/>
      <c r="BC712" s="113" t="n"/>
      <c r="BD712" s="1157" t="n"/>
      <c r="BE712" s="113" t="n"/>
      <c r="BF712" s="113" t="n"/>
      <c r="BG712" s="113" t="n"/>
      <c r="BH712" s="113" t="n"/>
      <c r="BI712" s="1157" t="n"/>
      <c r="BJ712" s="113" t="n"/>
      <c r="BK712" s="113" t="n"/>
      <c r="BL712" s="113" t="n"/>
      <c r="BM712" s="113" t="n"/>
      <c r="BN712" s="1157" t="n"/>
      <c r="BO712" s="113" t="n"/>
      <c r="BP712" s="113" t="n"/>
      <c r="BQ712" s="113" t="n"/>
      <c r="BR712" s="113" t="n"/>
      <c r="BS712" s="1157" t="n"/>
      <c r="BT712" s="113" t="n"/>
      <c r="BU712" s="113" t="n"/>
      <c r="BV712" s="1036" t="n"/>
      <c r="BW712" s="113" t="n"/>
      <c r="BX712" s="1157" t="n"/>
      <c r="BY712" s="113" t="n"/>
      <c r="BZ712" s="113" t="n"/>
      <c r="CA712" s="113" t="n"/>
      <c r="CB712" s="113" t="n"/>
      <c r="CC712" s="1157" t="n"/>
      <c r="CD712" s="1157" t="n"/>
      <c r="CE712" s="1157" t="n"/>
      <c r="CF712" s="1157" t="n"/>
      <c r="CG712" s="155" t="n"/>
    </row>
    <row r="713">
      <c r="A713" s="657" t="inlineStr">
        <is>
          <t>SBC expense</t>
        </is>
      </c>
      <c r="B713" s="146" t="n"/>
      <c r="C713" s="1110">
        <f>C408</f>
        <v/>
      </c>
      <c r="D713" s="1110">
        <f>D408</f>
        <v/>
      </c>
      <c r="E713" s="1110">
        <f>E408</f>
        <v/>
      </c>
      <c r="F713" s="1110">
        <f>F408</f>
        <v/>
      </c>
      <c r="G713" s="68">
        <f>G408</f>
        <v/>
      </c>
      <c r="H713" s="68">
        <f>H408</f>
        <v/>
      </c>
      <c r="I713" s="68">
        <f>I408</f>
        <v/>
      </c>
      <c r="J713" s="68">
        <f>J408</f>
        <v/>
      </c>
      <c r="K713" s="1110">
        <f>K408</f>
        <v/>
      </c>
      <c r="L713" s="68">
        <f>L408</f>
        <v/>
      </c>
      <c r="M713" s="68">
        <f>M408</f>
        <v/>
      </c>
      <c r="N713" s="68">
        <f>N408</f>
        <v/>
      </c>
      <c r="O713" s="68">
        <f>O408</f>
        <v/>
      </c>
      <c r="P713" s="1110">
        <f>P408</f>
        <v/>
      </c>
      <c r="Q713" s="68">
        <f>Q408</f>
        <v/>
      </c>
      <c r="R713" s="68">
        <f>R408</f>
        <v/>
      </c>
      <c r="S713" s="68">
        <f>S408</f>
        <v/>
      </c>
      <c r="T713" s="68">
        <f>T408</f>
        <v/>
      </c>
      <c r="U713" s="1110">
        <f>U408</f>
        <v/>
      </c>
      <c r="V713" s="68">
        <f>V408</f>
        <v/>
      </c>
      <c r="W713" s="68">
        <f>W408</f>
        <v/>
      </c>
      <c r="X713" s="68">
        <f>X408</f>
        <v/>
      </c>
      <c r="Y713" s="68">
        <f>Y408</f>
        <v/>
      </c>
      <c r="Z713" s="1110">
        <f>Z408</f>
        <v/>
      </c>
      <c r="AA713" s="68">
        <f>AA408</f>
        <v/>
      </c>
      <c r="AB713" s="68">
        <f>AB408</f>
        <v/>
      </c>
      <c r="AC713" s="68">
        <f>AC408</f>
        <v/>
      </c>
      <c r="AD713" s="68">
        <f>AD408</f>
        <v/>
      </c>
      <c r="AE713" s="1110">
        <f>AE408</f>
        <v/>
      </c>
      <c r="AF713" s="68">
        <f>AF408</f>
        <v/>
      </c>
      <c r="AG713" s="68">
        <f>AG408</f>
        <v/>
      </c>
      <c r="AH713" s="68">
        <f>AH408</f>
        <v/>
      </c>
      <c r="AI713" s="68">
        <f>AI408</f>
        <v/>
      </c>
      <c r="AJ713" s="1110">
        <f>AJ408</f>
        <v/>
      </c>
      <c r="AK713" s="68">
        <f>AK408</f>
        <v/>
      </c>
      <c r="AL713" s="68">
        <f>AL408</f>
        <v/>
      </c>
      <c r="AM713" s="68">
        <f>AM408</f>
        <v/>
      </c>
      <c r="AN713" s="68">
        <f>AN408</f>
        <v/>
      </c>
      <c r="AO713" s="1110">
        <f>AO408</f>
        <v/>
      </c>
      <c r="AP713" s="68">
        <f>AP408</f>
        <v/>
      </c>
      <c r="AQ713" s="68">
        <f>AQ408</f>
        <v/>
      </c>
      <c r="AR713" s="68">
        <f>AR408</f>
        <v/>
      </c>
      <c r="AS713" s="68">
        <f>AS408</f>
        <v/>
      </c>
      <c r="AT713" s="1110">
        <f>AT408</f>
        <v/>
      </c>
      <c r="AU713" s="68">
        <f>AU408</f>
        <v/>
      </c>
      <c r="AV713" s="68">
        <f>AV408</f>
        <v/>
      </c>
      <c r="AW713" s="68">
        <f>AW408</f>
        <v/>
      </c>
      <c r="AX713" s="68">
        <f>AX408</f>
        <v/>
      </c>
      <c r="AY713" s="1110">
        <f>AY408</f>
        <v/>
      </c>
      <c r="AZ713" s="68">
        <f>AZ408</f>
        <v/>
      </c>
      <c r="BA713" s="68">
        <f>BA408</f>
        <v/>
      </c>
      <c r="BB713" s="68">
        <f>BB408</f>
        <v/>
      </c>
      <c r="BC713" s="68">
        <f>BC408</f>
        <v/>
      </c>
      <c r="BD713" s="1110">
        <f>BD408</f>
        <v/>
      </c>
      <c r="BE713" s="68">
        <f>BE408</f>
        <v/>
      </c>
      <c r="BF713" s="68">
        <f>BF408</f>
        <v/>
      </c>
      <c r="BG713" s="68">
        <f>BG408</f>
        <v/>
      </c>
      <c r="BH713" s="68">
        <f>BH408</f>
        <v/>
      </c>
      <c r="BI713" s="1110">
        <f>BI408</f>
        <v/>
      </c>
      <c r="BJ713" s="68">
        <f>BJ408</f>
        <v/>
      </c>
      <c r="BK713" s="68">
        <f>BK408</f>
        <v/>
      </c>
      <c r="BL713" s="68">
        <f>BL408</f>
        <v/>
      </c>
      <c r="BM713" s="68">
        <f>BM408</f>
        <v/>
      </c>
      <c r="BN713" s="1110">
        <f>BN408</f>
        <v/>
      </c>
      <c r="BO713" s="68">
        <f>BO408</f>
        <v/>
      </c>
      <c r="BP713" s="68">
        <f>BP408</f>
        <v/>
      </c>
      <c r="BQ713" s="68">
        <f>BQ408</f>
        <v/>
      </c>
      <c r="BR713" s="68">
        <f>BR408</f>
        <v/>
      </c>
      <c r="BS713" s="1110">
        <f>BS408</f>
        <v/>
      </c>
      <c r="BT713" s="68">
        <f>BT408</f>
        <v/>
      </c>
      <c r="BU713" s="68">
        <f>BU408</f>
        <v/>
      </c>
      <c r="BV713" s="588">
        <f>BV408</f>
        <v/>
      </c>
      <c r="BW713" s="68">
        <f>BW408</f>
        <v/>
      </c>
      <c r="BX713" s="1110">
        <f>BX408</f>
        <v/>
      </c>
      <c r="BY713" s="68">
        <f>BY408</f>
        <v/>
      </c>
      <c r="BZ713" s="68">
        <f>BZ408</f>
        <v/>
      </c>
      <c r="CA713" s="68">
        <f>CA408</f>
        <v/>
      </c>
      <c r="CB713" s="68">
        <f>CB408</f>
        <v/>
      </c>
      <c r="CC713" s="1110">
        <f>CC408</f>
        <v/>
      </c>
      <c r="CD713" s="1110">
        <f>CD408</f>
        <v/>
      </c>
      <c r="CE713" s="1110">
        <f>CE408</f>
        <v/>
      </c>
      <c r="CF713" s="1110">
        <f>CF408</f>
        <v/>
      </c>
      <c r="CG713" s="155" t="n"/>
    </row>
    <row r="714">
      <c r="A714" s="89" t="inlineStr">
        <is>
          <t>SBC expense as % of revenue</t>
        </is>
      </c>
      <c r="B714" s="101" t="n"/>
      <c r="C714" s="1113">
        <f>C713/C362</f>
        <v/>
      </c>
      <c r="D714" s="1113">
        <f>D713/D362</f>
        <v/>
      </c>
      <c r="E714" s="1113">
        <f>E713/E362</f>
        <v/>
      </c>
      <c r="F714" s="1113">
        <f>F713/F362</f>
        <v/>
      </c>
      <c r="G714" s="90">
        <f>G713/G362</f>
        <v/>
      </c>
      <c r="H714" s="90">
        <f>H713/H362</f>
        <v/>
      </c>
      <c r="I714" s="90">
        <f>I713/I362</f>
        <v/>
      </c>
      <c r="J714" s="90">
        <f>J713/J362</f>
        <v/>
      </c>
      <c r="K714" s="1113">
        <f>K713/K362</f>
        <v/>
      </c>
      <c r="L714" s="90">
        <f>L713/L362</f>
        <v/>
      </c>
      <c r="M714" s="90">
        <f>M713/M362</f>
        <v/>
      </c>
      <c r="N714" s="90">
        <f>N713/N362</f>
        <v/>
      </c>
      <c r="O714" s="90">
        <f>O713/O362</f>
        <v/>
      </c>
      <c r="P714" s="1113">
        <f>P713/P362</f>
        <v/>
      </c>
      <c r="Q714" s="90">
        <f>Q713/Q362</f>
        <v/>
      </c>
      <c r="R714" s="90">
        <f>R713/R362</f>
        <v/>
      </c>
      <c r="S714" s="90">
        <f>S713/S362</f>
        <v/>
      </c>
      <c r="T714" s="90">
        <f>T713/T362</f>
        <v/>
      </c>
      <c r="U714" s="1113">
        <f>U713/U362</f>
        <v/>
      </c>
      <c r="V714" s="90">
        <f>V713/V362</f>
        <v/>
      </c>
      <c r="W714" s="90">
        <f>W713/W362</f>
        <v/>
      </c>
      <c r="X714" s="90">
        <f>X713/X362</f>
        <v/>
      </c>
      <c r="Y714" s="90">
        <f>Y713/Y362</f>
        <v/>
      </c>
      <c r="Z714" s="1113">
        <f>Z713/Z362</f>
        <v/>
      </c>
      <c r="AA714" s="90">
        <f>AA713/AA362</f>
        <v/>
      </c>
      <c r="AB714" s="90">
        <f>AB713/AB362</f>
        <v/>
      </c>
      <c r="AC714" s="90">
        <f>AC713/AC362</f>
        <v/>
      </c>
      <c r="AD714" s="90">
        <f>AD713/AD362</f>
        <v/>
      </c>
      <c r="AE714" s="1113">
        <f>AE713/AE362</f>
        <v/>
      </c>
      <c r="AF714" s="90">
        <f>AF713/AF362</f>
        <v/>
      </c>
      <c r="AG714" s="90">
        <f>AG713/AG362</f>
        <v/>
      </c>
      <c r="AH714" s="90">
        <f>AH713/AH362</f>
        <v/>
      </c>
      <c r="AI714" s="90">
        <f>AI713/AI362</f>
        <v/>
      </c>
      <c r="AJ714" s="1113">
        <f>AJ713/AJ362</f>
        <v/>
      </c>
      <c r="AK714" s="90">
        <f>AK713/AK362</f>
        <v/>
      </c>
      <c r="AL714" s="90">
        <f>AL713/AL362</f>
        <v/>
      </c>
      <c r="AM714" s="90">
        <f>AM713/AM362</f>
        <v/>
      </c>
      <c r="AN714" s="90">
        <f>AN713/AN362</f>
        <v/>
      </c>
      <c r="AO714" s="1113">
        <f>AO713/AO362</f>
        <v/>
      </c>
      <c r="AP714" s="90">
        <f>AP713/AP362</f>
        <v/>
      </c>
      <c r="AQ714" s="90">
        <f>AQ713/AQ362</f>
        <v/>
      </c>
      <c r="AR714" s="90">
        <f>AR713/AR362</f>
        <v/>
      </c>
      <c r="AS714" s="90">
        <f>AS713/AS362</f>
        <v/>
      </c>
      <c r="AT714" s="1113">
        <f>AT713/AT362</f>
        <v/>
      </c>
      <c r="AU714" s="90">
        <f>AU713/AU362</f>
        <v/>
      </c>
      <c r="AV714" s="90">
        <f>AV713/AV362</f>
        <v/>
      </c>
      <c r="AW714" s="90">
        <f>AW713/AW362</f>
        <v/>
      </c>
      <c r="AX714" s="90">
        <f>AX713/AX362</f>
        <v/>
      </c>
      <c r="AY714" s="1113">
        <f>AY713/AY362</f>
        <v/>
      </c>
      <c r="AZ714" s="90">
        <f>AZ713/AZ362</f>
        <v/>
      </c>
      <c r="BA714" s="90">
        <f>BA713/BA362</f>
        <v/>
      </c>
      <c r="BB714" s="90">
        <f>BB713/BB362</f>
        <v/>
      </c>
      <c r="BC714" s="90">
        <f>BC713/BC362</f>
        <v/>
      </c>
      <c r="BD714" s="1113">
        <f>BD713/BD362</f>
        <v/>
      </c>
      <c r="BE714" s="90">
        <f>BE713/BE362</f>
        <v/>
      </c>
      <c r="BF714" s="90">
        <f>BF713/BF362</f>
        <v/>
      </c>
      <c r="BG714" s="90">
        <f>BG713/BG362</f>
        <v/>
      </c>
      <c r="BH714" s="90">
        <f>BH713/BH362</f>
        <v/>
      </c>
      <c r="BI714" s="1113">
        <f>BI713/BI362</f>
        <v/>
      </c>
      <c r="BJ714" s="90">
        <f>BJ713/BJ362</f>
        <v/>
      </c>
      <c r="BK714" s="90">
        <f>BK713/BK362</f>
        <v/>
      </c>
      <c r="BL714" s="90">
        <f>BL713/BL362</f>
        <v/>
      </c>
      <c r="BM714" s="90">
        <f>BM713/BM362</f>
        <v/>
      </c>
      <c r="BN714" s="1113">
        <f>BN713/BN362</f>
        <v/>
      </c>
      <c r="BO714" s="90">
        <f>BO713/BO362</f>
        <v/>
      </c>
      <c r="BP714" s="90">
        <f>BP713/BP362</f>
        <v/>
      </c>
      <c r="BQ714" s="90">
        <f>BQ713/BQ362</f>
        <v/>
      </c>
      <c r="BR714" s="90">
        <f>BR713/BR362</f>
        <v/>
      </c>
      <c r="BS714" s="1113">
        <f>BS713/BS362</f>
        <v/>
      </c>
      <c r="BT714" s="90">
        <f>BT713/BT362</f>
        <v/>
      </c>
      <c r="BU714" s="90">
        <f>BU713/BU362</f>
        <v/>
      </c>
      <c r="BV714" s="880">
        <f>BV713/BV362</f>
        <v/>
      </c>
      <c r="BW714" s="90">
        <f>BW713/BW362</f>
        <v/>
      </c>
      <c r="BX714" s="1113">
        <f>BX713/BX362</f>
        <v/>
      </c>
      <c r="BY714" s="90">
        <f>BY713/BY362</f>
        <v/>
      </c>
      <c r="BZ714" s="90">
        <f>BZ713/BZ362</f>
        <v/>
      </c>
      <c r="CA714" s="90">
        <f>CA713/CA362</f>
        <v/>
      </c>
      <c r="CB714" s="90">
        <f>CB713/CB362</f>
        <v/>
      </c>
      <c r="CC714" s="1113">
        <f>CC713/CC362</f>
        <v/>
      </c>
      <c r="CD714" s="1113">
        <f>CD713/CD362</f>
        <v/>
      </c>
      <c r="CE714" s="1113">
        <f>CE713/CE362</f>
        <v/>
      </c>
      <c r="CF714" s="1113">
        <f>CF713/CF362</f>
        <v/>
      </c>
      <c r="CG714" s="155" t="n"/>
    </row>
    <row r="715">
      <c r="A715" s="111" t="n"/>
      <c r="B715" s="112" t="n"/>
      <c r="C715" s="1157" t="n"/>
      <c r="D715" s="1157" t="n"/>
      <c r="E715" s="1157" t="n"/>
      <c r="F715" s="1157" t="n"/>
      <c r="G715" s="113" t="n"/>
      <c r="H715" s="113" t="n"/>
      <c r="I715" s="113" t="n"/>
      <c r="J715" s="113" t="n"/>
      <c r="K715" s="1157" t="n"/>
      <c r="L715" s="113" t="n"/>
      <c r="M715" s="113" t="n"/>
      <c r="N715" s="113" t="n"/>
      <c r="O715" s="113" t="n"/>
      <c r="P715" s="1157" t="n"/>
      <c r="Q715" s="113" t="n"/>
      <c r="R715" s="113" t="n"/>
      <c r="S715" s="113" t="n"/>
      <c r="T715" s="113" t="n"/>
      <c r="U715" s="1157" t="n"/>
      <c r="V715" s="113" t="n"/>
      <c r="W715" s="113" t="n"/>
      <c r="X715" s="113" t="n"/>
      <c r="Y715" s="113" t="n"/>
      <c r="Z715" s="1157" t="n"/>
      <c r="AA715" s="113" t="n"/>
      <c r="AB715" s="113" t="n"/>
      <c r="AC715" s="113" t="n"/>
      <c r="AD715" s="113" t="n"/>
      <c r="AE715" s="1157" t="n"/>
      <c r="AF715" s="113" t="n"/>
      <c r="AG715" s="113" t="n"/>
      <c r="AH715" s="113" t="n"/>
      <c r="AI715" s="113" t="n"/>
      <c r="AJ715" s="1157" t="n"/>
      <c r="AK715" s="113" t="n"/>
      <c r="AL715" s="113" t="n"/>
      <c r="AM715" s="113" t="n"/>
      <c r="AN715" s="113" t="n"/>
      <c r="AO715" s="1157" t="n"/>
      <c r="AP715" s="113" t="n"/>
      <c r="AQ715" s="113" t="n"/>
      <c r="AR715" s="113" t="n"/>
      <c r="AS715" s="113" t="n"/>
      <c r="AT715" s="1157" t="n"/>
      <c r="AU715" s="113" t="n"/>
      <c r="AV715" s="113" t="n"/>
      <c r="AW715" s="113" t="n"/>
      <c r="AX715" s="113" t="n"/>
      <c r="AY715" s="1157" t="n"/>
      <c r="AZ715" s="113" t="n"/>
      <c r="BA715" s="113" t="n"/>
      <c r="BB715" s="113" t="n"/>
      <c r="BC715" s="113" t="n"/>
      <c r="BD715" s="1157" t="n"/>
      <c r="BE715" s="113" t="n"/>
      <c r="BF715" s="113" t="n"/>
      <c r="BG715" s="113" t="n"/>
      <c r="BH715" s="113" t="n"/>
      <c r="BI715" s="1157" t="n"/>
      <c r="BJ715" s="113" t="n"/>
      <c r="BK715" s="113" t="n"/>
      <c r="BL715" s="113" t="n"/>
      <c r="BM715" s="113" t="n"/>
      <c r="BN715" s="1157" t="n"/>
      <c r="BO715" s="113" t="n"/>
      <c r="BP715" s="113" t="n"/>
      <c r="BQ715" s="113" t="n"/>
      <c r="BR715" s="113" t="n"/>
      <c r="BS715" s="1157" t="n"/>
      <c r="BT715" s="113" t="n"/>
      <c r="BU715" s="113" t="n"/>
      <c r="BV715" s="1036" t="n"/>
      <c r="BW715" s="113" t="n"/>
      <c r="BX715" s="1157" t="n"/>
      <c r="BY715" s="113" t="n"/>
      <c r="BZ715" s="113" t="n"/>
      <c r="CA715" s="113" t="n"/>
      <c r="CB715" s="113" t="n"/>
      <c r="CC715" s="1157" t="n"/>
      <c r="CD715" s="1157" t="n"/>
      <c r="CE715" s="1157" t="n"/>
      <c r="CF715" s="1157" t="n"/>
      <c r="CG715" s="155" t="n"/>
    </row>
    <row r="716" hidden="1" outlineLevel="1">
      <c r="A716" s="68" t="inlineStr">
        <is>
          <t>FCF (before WC), Pre Div</t>
        </is>
      </c>
      <c r="B716" s="146" t="n"/>
      <c r="C716" s="1110">
        <f>C695+C701</f>
        <v/>
      </c>
      <c r="D716" s="1110">
        <f>D695+D701</f>
        <v/>
      </c>
      <c r="E716" s="1110">
        <f>E695+E701</f>
        <v/>
      </c>
      <c r="F716" s="1110">
        <f>F695+F701</f>
        <v/>
      </c>
      <c r="G716" s="68">
        <f>G695+G701</f>
        <v/>
      </c>
      <c r="H716" s="68">
        <f>H695+H701</f>
        <v/>
      </c>
      <c r="I716" s="68">
        <f>I695+I701</f>
        <v/>
      </c>
      <c r="J716" s="68">
        <f>J695+J701</f>
        <v/>
      </c>
      <c r="K716" s="1110">
        <f>K695+K701</f>
        <v/>
      </c>
      <c r="L716" s="68">
        <f>L695+L701</f>
        <v/>
      </c>
      <c r="M716" s="68">
        <f>M695+M701</f>
        <v/>
      </c>
      <c r="N716" s="68">
        <f>N695+N701</f>
        <v/>
      </c>
      <c r="O716" s="68">
        <f>O695+O701</f>
        <v/>
      </c>
      <c r="P716" s="1110">
        <f>P695+P701</f>
        <v/>
      </c>
      <c r="Q716" s="68">
        <f>Q695+Q701</f>
        <v/>
      </c>
      <c r="R716" s="68">
        <f>R695+R701</f>
        <v/>
      </c>
      <c r="S716" s="68">
        <f>S695+S701</f>
        <v/>
      </c>
      <c r="T716" s="68">
        <f>T695+T701</f>
        <v/>
      </c>
      <c r="U716" s="1110">
        <f>U695+U701</f>
        <v/>
      </c>
      <c r="V716" s="68">
        <f>V695+V701</f>
        <v/>
      </c>
      <c r="W716" s="68">
        <f>W695+W701</f>
        <v/>
      </c>
      <c r="X716" s="68">
        <f>X695+X701</f>
        <v/>
      </c>
      <c r="Y716" s="68">
        <f>Y695+Y701</f>
        <v/>
      </c>
      <c r="Z716" s="1110">
        <f>Z695+Z701</f>
        <v/>
      </c>
      <c r="AA716" s="68">
        <f>AA695+AA701</f>
        <v/>
      </c>
      <c r="AB716" s="68">
        <f>AB695+AB701</f>
        <v/>
      </c>
      <c r="AC716" s="68">
        <f>AC695+AC701</f>
        <v/>
      </c>
      <c r="AD716" s="68">
        <f>AD695+AD701</f>
        <v/>
      </c>
      <c r="AE716" s="1110">
        <f>AE695+AE701</f>
        <v/>
      </c>
      <c r="AF716" s="68">
        <f>AF695+AF701</f>
        <v/>
      </c>
      <c r="AG716" s="68">
        <f>AG695+AG701</f>
        <v/>
      </c>
      <c r="AH716" s="68">
        <f>AH695+AH701</f>
        <v/>
      </c>
      <c r="AI716" s="68">
        <f>AI695+AI701</f>
        <v/>
      </c>
      <c r="AJ716" s="1110">
        <f>AJ695+AJ701</f>
        <v/>
      </c>
      <c r="AK716" s="68">
        <f>AK695+AK701</f>
        <v/>
      </c>
      <c r="AL716" s="68">
        <f>AL695+AL701</f>
        <v/>
      </c>
      <c r="AM716" s="68">
        <f>AM695+AM701</f>
        <v/>
      </c>
      <c r="AN716" s="68">
        <f>AN695+AN701</f>
        <v/>
      </c>
      <c r="AO716" s="1110">
        <f>AO695+AO701</f>
        <v/>
      </c>
      <c r="AP716" s="68">
        <f>AP695+AP701</f>
        <v/>
      </c>
      <c r="AQ716" s="68">
        <f>AQ695+AQ701</f>
        <v/>
      </c>
      <c r="AR716" s="68">
        <f>AR695+AR701</f>
        <v/>
      </c>
      <c r="AS716" s="68">
        <f>AS695+AS701</f>
        <v/>
      </c>
      <c r="AT716" s="1110">
        <f>AT695+AT701</f>
        <v/>
      </c>
      <c r="AU716" s="68">
        <f>AU695+AU701</f>
        <v/>
      </c>
      <c r="AV716" s="68">
        <f>AV695+AV701</f>
        <v/>
      </c>
      <c r="AW716" s="68">
        <f>AW695+AW701</f>
        <v/>
      </c>
      <c r="AX716" s="68">
        <f>AX695+AX701</f>
        <v/>
      </c>
      <c r="AY716" s="1110">
        <f>AY695+AY701</f>
        <v/>
      </c>
      <c r="AZ716" s="68">
        <f>AZ695+AZ701</f>
        <v/>
      </c>
      <c r="BA716" s="68">
        <f>BA695+BA701</f>
        <v/>
      </c>
      <c r="BB716" s="68">
        <f>BB695+BB701</f>
        <v/>
      </c>
      <c r="BC716" s="68">
        <f>BC695+BC701</f>
        <v/>
      </c>
      <c r="BD716" s="1110">
        <f>BD695+BD701</f>
        <v/>
      </c>
      <c r="BE716" s="68">
        <f>BE695+BE701</f>
        <v/>
      </c>
      <c r="BF716" s="68">
        <f>BF695+BF701</f>
        <v/>
      </c>
      <c r="BG716" s="68">
        <f>BG695+BG701</f>
        <v/>
      </c>
      <c r="BH716" s="68">
        <f>BH695+BH701</f>
        <v/>
      </c>
      <c r="BI716" s="1110">
        <f>BI695+BI701</f>
        <v/>
      </c>
      <c r="BJ716" s="68">
        <f>BJ695+BJ701</f>
        <v/>
      </c>
      <c r="BK716" s="68">
        <f>BK695+BK701</f>
        <v/>
      </c>
      <c r="BL716" s="68">
        <f>BL695+BL701</f>
        <v/>
      </c>
      <c r="BM716" s="68">
        <f>BM695+BM701</f>
        <v/>
      </c>
      <c r="BN716" s="1110">
        <f>BN695+BN701</f>
        <v/>
      </c>
      <c r="BO716" s="68">
        <f>BO695+BO701</f>
        <v/>
      </c>
      <c r="BP716" s="68">
        <f>BP695+BP701</f>
        <v/>
      </c>
      <c r="BQ716" s="68">
        <f>BQ695+BQ701</f>
        <v/>
      </c>
      <c r="BR716" s="68">
        <f>BR695+BR701</f>
        <v/>
      </c>
      <c r="BS716" s="1110">
        <f>BS695+BS701</f>
        <v/>
      </c>
      <c r="BT716" s="68">
        <f>BT695+BT701</f>
        <v/>
      </c>
      <c r="BU716" s="68">
        <f>BU695+BU701</f>
        <v/>
      </c>
      <c r="BV716" s="588">
        <f>BV695+BV701</f>
        <v/>
      </c>
      <c r="BW716" s="68">
        <f>BW695+BW701</f>
        <v/>
      </c>
      <c r="BX716" s="1110">
        <f>BX695+BX701</f>
        <v/>
      </c>
      <c r="BY716" s="68">
        <f>BY695+BY701</f>
        <v/>
      </c>
      <c r="BZ716" s="68">
        <f>BZ695+BZ701</f>
        <v/>
      </c>
      <c r="CA716" s="68">
        <f>CA695+CA701</f>
        <v/>
      </c>
      <c r="CB716" s="68">
        <f>CB695+CB701</f>
        <v/>
      </c>
      <c r="CC716" s="1110">
        <f>CC695+CC701</f>
        <v/>
      </c>
      <c r="CD716" s="1110">
        <f>CD695+CD701</f>
        <v/>
      </c>
      <c r="CE716" s="1110">
        <f>CE695+CE701</f>
        <v/>
      </c>
      <c r="CF716" s="1110">
        <f>CF695+CF701</f>
        <v/>
      </c>
      <c r="CG716" s="596" t="n"/>
    </row>
    <row r="717" hidden="1" outlineLevel="1">
      <c r="A717" s="68" t="inlineStr">
        <is>
          <t>FCF (before WC), Post Div, Pre A/D</t>
        </is>
      </c>
      <c r="B717" s="146" t="n"/>
      <c r="C717" s="1110">
        <f>C716+C706</f>
        <v/>
      </c>
      <c r="D717" s="1110">
        <f>D716+D706</f>
        <v/>
      </c>
      <c r="E717" s="1110">
        <f>E716+E706</f>
        <v/>
      </c>
      <c r="F717" s="1110">
        <f>F716+F706</f>
        <v/>
      </c>
      <c r="G717" s="68">
        <f>G716+G706</f>
        <v/>
      </c>
      <c r="H717" s="68">
        <f>H716+H706</f>
        <v/>
      </c>
      <c r="I717" s="68">
        <f>I716+I706</f>
        <v/>
      </c>
      <c r="J717" s="68">
        <f>J716+J706</f>
        <v/>
      </c>
      <c r="K717" s="1110">
        <f>K716+K706</f>
        <v/>
      </c>
      <c r="L717" s="68">
        <f>L716+L706</f>
        <v/>
      </c>
      <c r="M717" s="68">
        <f>M716+M706</f>
        <v/>
      </c>
      <c r="N717" s="68">
        <f>N716+N706</f>
        <v/>
      </c>
      <c r="O717" s="68">
        <f>O716+O706</f>
        <v/>
      </c>
      <c r="P717" s="1110">
        <f>P716+P706</f>
        <v/>
      </c>
      <c r="Q717" s="68">
        <f>Q716+Q706</f>
        <v/>
      </c>
      <c r="R717" s="68">
        <f>R716+R706</f>
        <v/>
      </c>
      <c r="S717" s="68">
        <f>S716+S706</f>
        <v/>
      </c>
      <c r="T717" s="68">
        <f>T716+T706</f>
        <v/>
      </c>
      <c r="U717" s="1110">
        <f>U716+U706</f>
        <v/>
      </c>
      <c r="V717" s="68">
        <f>V716+V706</f>
        <v/>
      </c>
      <c r="W717" s="68">
        <f>W716+W706</f>
        <v/>
      </c>
      <c r="X717" s="68">
        <f>X716+X706</f>
        <v/>
      </c>
      <c r="Y717" s="68">
        <f>Y716+Y706</f>
        <v/>
      </c>
      <c r="Z717" s="1110">
        <f>Z716+Z706</f>
        <v/>
      </c>
      <c r="AA717" s="68">
        <f>AA716+AA706</f>
        <v/>
      </c>
      <c r="AB717" s="68">
        <f>AB716+AB706</f>
        <v/>
      </c>
      <c r="AC717" s="68">
        <f>AC716+AC706</f>
        <v/>
      </c>
      <c r="AD717" s="68">
        <f>AD716+AD706</f>
        <v/>
      </c>
      <c r="AE717" s="1110">
        <f>AE716+AE706</f>
        <v/>
      </c>
      <c r="AF717" s="68">
        <f>AF716+AF706</f>
        <v/>
      </c>
      <c r="AG717" s="68">
        <f>AG716+AG706</f>
        <v/>
      </c>
      <c r="AH717" s="68">
        <f>AH716+AH706</f>
        <v/>
      </c>
      <c r="AI717" s="68">
        <f>AI716+AI706</f>
        <v/>
      </c>
      <c r="AJ717" s="1110">
        <f>AJ716+AJ706</f>
        <v/>
      </c>
      <c r="AK717" s="68">
        <f>AK716+AK706</f>
        <v/>
      </c>
      <c r="AL717" s="68">
        <f>AL716+AL706</f>
        <v/>
      </c>
      <c r="AM717" s="68">
        <f>AM716+AM706</f>
        <v/>
      </c>
      <c r="AN717" s="68">
        <f>AN716+AN706</f>
        <v/>
      </c>
      <c r="AO717" s="1110">
        <f>AO716+AO706</f>
        <v/>
      </c>
      <c r="AP717" s="68">
        <f>AP716+AP706</f>
        <v/>
      </c>
      <c r="AQ717" s="68">
        <f>AQ716+AQ706</f>
        <v/>
      </c>
      <c r="AR717" s="68">
        <f>AR716+AR706</f>
        <v/>
      </c>
      <c r="AS717" s="68">
        <f>AS716+AS706</f>
        <v/>
      </c>
      <c r="AT717" s="1110">
        <f>AT716+AT706</f>
        <v/>
      </c>
      <c r="AU717" s="68">
        <f>AU716+AU706</f>
        <v/>
      </c>
      <c r="AV717" s="68">
        <f>AV716+AV706</f>
        <v/>
      </c>
      <c r="AW717" s="68">
        <f>AW716+AW706</f>
        <v/>
      </c>
      <c r="AX717" s="68">
        <f>AX716+AX706</f>
        <v/>
      </c>
      <c r="AY717" s="1110">
        <f>AY716+AY706</f>
        <v/>
      </c>
      <c r="AZ717" s="68">
        <f>AZ716+AZ706</f>
        <v/>
      </c>
      <c r="BA717" s="68">
        <f>BA716+BA706</f>
        <v/>
      </c>
      <c r="BB717" s="68">
        <f>BB716+BB706</f>
        <v/>
      </c>
      <c r="BC717" s="68">
        <f>BC716+BC706</f>
        <v/>
      </c>
      <c r="BD717" s="1110">
        <f>BD716+BD706</f>
        <v/>
      </c>
      <c r="BE717" s="68">
        <f>BE716+BE706</f>
        <v/>
      </c>
      <c r="BF717" s="68">
        <f>BF716+BF706</f>
        <v/>
      </c>
      <c r="BG717" s="68">
        <f>BG716+BG706</f>
        <v/>
      </c>
      <c r="BH717" s="68">
        <f>BH716+BH706</f>
        <v/>
      </c>
      <c r="BI717" s="1110">
        <f>BI716+BI706</f>
        <v/>
      </c>
      <c r="BJ717" s="68">
        <f>BJ716+BJ706</f>
        <v/>
      </c>
      <c r="BK717" s="68">
        <f>BK716+BK706</f>
        <v/>
      </c>
      <c r="BL717" s="68">
        <f>BL716+BL706</f>
        <v/>
      </c>
      <c r="BM717" s="68">
        <f>BM716+BM706</f>
        <v/>
      </c>
      <c r="BN717" s="1110">
        <f>BN716+BN706</f>
        <v/>
      </c>
      <c r="BO717" s="68">
        <f>BO716+BO706</f>
        <v/>
      </c>
      <c r="BP717" s="68">
        <f>BP716+BP706</f>
        <v/>
      </c>
      <c r="BQ717" s="68">
        <f>BQ716+BQ706</f>
        <v/>
      </c>
      <c r="BR717" s="68">
        <f>BR716+BR706</f>
        <v/>
      </c>
      <c r="BS717" s="1110">
        <f>BS716+BS706</f>
        <v/>
      </c>
      <c r="BT717" s="68">
        <f>BT716+BT706</f>
        <v/>
      </c>
      <c r="BU717" s="68">
        <f>BU716+BU706</f>
        <v/>
      </c>
      <c r="BV717" s="588">
        <f>BV716+BV706</f>
        <v/>
      </c>
      <c r="BW717" s="68">
        <f>BW716+BW706</f>
        <v/>
      </c>
      <c r="BX717" s="1110">
        <f>BX716+BX706</f>
        <v/>
      </c>
      <c r="BY717" s="68">
        <f>BY716+BY706</f>
        <v/>
      </c>
      <c r="BZ717" s="68">
        <f>BZ716+BZ706</f>
        <v/>
      </c>
      <c r="CA717" s="68">
        <f>CA716+CA706</f>
        <v/>
      </c>
      <c r="CB717" s="68">
        <f>CB716+CB706</f>
        <v/>
      </c>
      <c r="CC717" s="1110">
        <f>CC716+CC706</f>
        <v/>
      </c>
      <c r="CD717" s="1110">
        <f>CD716+CD706</f>
        <v/>
      </c>
      <c r="CE717" s="1110">
        <f>CE716+CE706</f>
        <v/>
      </c>
      <c r="CF717" s="1110">
        <f>CF716+CF706</f>
        <v/>
      </c>
      <c r="CG717" s="596" t="n"/>
    </row>
    <row r="718" hidden="1" outlineLevel="1">
      <c r="A718" s="68" t="inlineStr">
        <is>
          <t>FCF (before WC), Post Div, Post A/D</t>
        </is>
      </c>
      <c r="B718" s="146" t="n"/>
      <c r="C718" s="1110">
        <f>C717+C704+C705</f>
        <v/>
      </c>
      <c r="D718" s="1110">
        <f>D717+D704+D705</f>
        <v/>
      </c>
      <c r="E718" s="1110">
        <f>E717+E704+E705</f>
        <v/>
      </c>
      <c r="F718" s="1110">
        <f>F717+F704+F705</f>
        <v/>
      </c>
      <c r="G718" s="68">
        <f>G717+G704+G705</f>
        <v/>
      </c>
      <c r="H718" s="68">
        <f>H717+H704+H705</f>
        <v/>
      </c>
      <c r="I718" s="68">
        <f>I717+I704+I705</f>
        <v/>
      </c>
      <c r="J718" s="68">
        <f>J717+J704+J705</f>
        <v/>
      </c>
      <c r="K718" s="1110">
        <f>K717+K704+K705</f>
        <v/>
      </c>
      <c r="L718" s="68">
        <f>L717+L704+L705</f>
        <v/>
      </c>
      <c r="M718" s="68">
        <f>M717+M704+M705</f>
        <v/>
      </c>
      <c r="N718" s="68">
        <f>N717+N704+N705</f>
        <v/>
      </c>
      <c r="O718" s="68">
        <f>O717+O704+O705</f>
        <v/>
      </c>
      <c r="P718" s="1110">
        <f>P717+P704+P705</f>
        <v/>
      </c>
      <c r="Q718" s="68">
        <f>Q717+Q704+Q705</f>
        <v/>
      </c>
      <c r="R718" s="68">
        <f>R717+R704+R705</f>
        <v/>
      </c>
      <c r="S718" s="68">
        <f>S717+S704+S705</f>
        <v/>
      </c>
      <c r="T718" s="68">
        <f>T717+T704+T705</f>
        <v/>
      </c>
      <c r="U718" s="1110">
        <f>U717+U704+U705</f>
        <v/>
      </c>
      <c r="V718" s="68">
        <f>V717+V704+V705</f>
        <v/>
      </c>
      <c r="W718" s="68">
        <f>W717+W704+W705</f>
        <v/>
      </c>
      <c r="X718" s="68">
        <f>X717+X704+X705</f>
        <v/>
      </c>
      <c r="Y718" s="68">
        <f>Y717+Y704+Y705</f>
        <v/>
      </c>
      <c r="Z718" s="1110">
        <f>Z717+Z704+Z705</f>
        <v/>
      </c>
      <c r="AA718" s="68">
        <f>AA717+AA704+AA705</f>
        <v/>
      </c>
      <c r="AB718" s="68">
        <f>AB717+AB704+AB705</f>
        <v/>
      </c>
      <c r="AC718" s="68">
        <f>AC717+AC704+AC705</f>
        <v/>
      </c>
      <c r="AD718" s="68">
        <f>AD717+AD704+AD705</f>
        <v/>
      </c>
      <c r="AE718" s="1110">
        <f>AE717+AE704+AE705</f>
        <v/>
      </c>
      <c r="AF718" s="68">
        <f>AF717+AF704+AF705</f>
        <v/>
      </c>
      <c r="AG718" s="68">
        <f>AG717+AG704+AG705</f>
        <v/>
      </c>
      <c r="AH718" s="68">
        <f>AH717+AH704+AH705</f>
        <v/>
      </c>
      <c r="AI718" s="68">
        <f>AI717+AI704+AI705</f>
        <v/>
      </c>
      <c r="AJ718" s="1110">
        <f>AJ717+AJ704+AJ705</f>
        <v/>
      </c>
      <c r="AK718" s="68">
        <f>AK717+AK704+AK705</f>
        <v/>
      </c>
      <c r="AL718" s="68">
        <f>AL717+AL704+AL705</f>
        <v/>
      </c>
      <c r="AM718" s="68">
        <f>AM717+AM704+AM705</f>
        <v/>
      </c>
      <c r="AN718" s="68">
        <f>AN717+AN704+AN705</f>
        <v/>
      </c>
      <c r="AO718" s="1110">
        <f>AO717+AO704+AO705</f>
        <v/>
      </c>
      <c r="AP718" s="68">
        <f>AP717+AP704+AP705</f>
        <v/>
      </c>
      <c r="AQ718" s="68">
        <f>AQ717+AQ704+AQ705</f>
        <v/>
      </c>
      <c r="AR718" s="68">
        <f>AR717+AR704+AR705</f>
        <v/>
      </c>
      <c r="AS718" s="68">
        <f>AS717+AS704+AS705</f>
        <v/>
      </c>
      <c r="AT718" s="1110">
        <f>AT717+AT704+AT705</f>
        <v/>
      </c>
      <c r="AU718" s="68">
        <f>AU717+AU704+AU705</f>
        <v/>
      </c>
      <c r="AV718" s="68">
        <f>AV717+AV704+AV705</f>
        <v/>
      </c>
      <c r="AW718" s="68">
        <f>AW717+AW704+AW705</f>
        <v/>
      </c>
      <c r="AX718" s="68">
        <f>AX717+AX704+AX705</f>
        <v/>
      </c>
      <c r="AY718" s="1110">
        <f>AY717+AY704+AY705</f>
        <v/>
      </c>
      <c r="AZ718" s="68">
        <f>AZ717+AZ704+AZ705</f>
        <v/>
      </c>
      <c r="BA718" s="68">
        <f>BA717+BA704+BA705</f>
        <v/>
      </c>
      <c r="BB718" s="68">
        <f>BB717+BB704+BB705</f>
        <v/>
      </c>
      <c r="BC718" s="68">
        <f>BC717+BC704+BC705</f>
        <v/>
      </c>
      <c r="BD718" s="1110">
        <f>BD717+BD704+BD705</f>
        <v/>
      </c>
      <c r="BE718" s="68">
        <f>BE717+BE704+BE705</f>
        <v/>
      </c>
      <c r="BF718" s="68">
        <f>BF717+BF704+BF705</f>
        <v/>
      </c>
      <c r="BG718" s="68">
        <f>BG717+BG704+BG705</f>
        <v/>
      </c>
      <c r="BH718" s="68">
        <f>BH717+BH704+BH705</f>
        <v/>
      </c>
      <c r="BI718" s="1110">
        <f>BI717+BI704+BI705</f>
        <v/>
      </c>
      <c r="BJ718" s="68">
        <f>BJ717+BJ704+BJ705</f>
        <v/>
      </c>
      <c r="BK718" s="68">
        <f>BK717+BK704+BK705</f>
        <v/>
      </c>
      <c r="BL718" s="68">
        <f>BL717+BL704+BL705</f>
        <v/>
      </c>
      <c r="BM718" s="68">
        <f>BM717+BM704+BM705</f>
        <v/>
      </c>
      <c r="BN718" s="1110">
        <f>BN717+BN704+BN705</f>
        <v/>
      </c>
      <c r="BO718" s="68">
        <f>BO717+BO704+BO705</f>
        <v/>
      </c>
      <c r="BP718" s="68">
        <f>BP717+BP704+BP705</f>
        <v/>
      </c>
      <c r="BQ718" s="68">
        <f>BQ717+BQ704+BQ705</f>
        <v/>
      </c>
      <c r="BR718" s="68">
        <f>BR717+BR704+BR705</f>
        <v/>
      </c>
      <c r="BS718" s="1110">
        <f>BS717+BS704+BS705</f>
        <v/>
      </c>
      <c r="BT718" s="68">
        <f>BT717+BT704+BT705</f>
        <v/>
      </c>
      <c r="BU718" s="68">
        <f>BU717+BU704+BU705</f>
        <v/>
      </c>
      <c r="BV718" s="588">
        <f>BV717+BV704+BV705</f>
        <v/>
      </c>
      <c r="BW718" s="68">
        <f>BW717+BW704+BW705</f>
        <v/>
      </c>
      <c r="BX718" s="1110">
        <f>BX717+BX704+BX705</f>
        <v/>
      </c>
      <c r="BY718" s="68">
        <f>BY717+BY704+BY705</f>
        <v/>
      </c>
      <c r="BZ718" s="68">
        <f>BZ717+BZ704+BZ705</f>
        <v/>
      </c>
      <c r="CA718" s="68">
        <f>CA717+CA704+CA705</f>
        <v/>
      </c>
      <c r="CB718" s="68">
        <f>CB717+CB704+CB705</f>
        <v/>
      </c>
      <c r="CC718" s="1110">
        <f>CC717+CC704+CC705</f>
        <v/>
      </c>
      <c r="CD718" s="1110">
        <f>CD717+CD704+CD705</f>
        <v/>
      </c>
      <c r="CE718" s="1110">
        <f>CE717+CE704+CE705</f>
        <v/>
      </c>
      <c r="CF718" s="1110">
        <f>CF717+CF704+CF705</f>
        <v/>
      </c>
      <c r="CG718" s="596" t="n"/>
    </row>
    <row r="719" hidden="1" outlineLevel="1">
      <c r="A719" s="63" t="inlineStr">
        <is>
          <t>FCF (before WC), Post Div, Debt, Buyback, A/D</t>
        </is>
      </c>
      <c r="B719" s="279" t="n"/>
      <c r="C719" s="1125">
        <f>C718+C709+C710</f>
        <v/>
      </c>
      <c r="D719" s="1125">
        <f>D718+D709+D710</f>
        <v/>
      </c>
      <c r="E719" s="1125">
        <f>E718+E709+E710</f>
        <v/>
      </c>
      <c r="F719" s="1125">
        <f>F718+F709+F710</f>
        <v/>
      </c>
      <c r="G719" s="63">
        <f>G718+G709+G710</f>
        <v/>
      </c>
      <c r="H719" s="63">
        <f>H718+H709+H710</f>
        <v/>
      </c>
      <c r="I719" s="63">
        <f>I718+I709+I710</f>
        <v/>
      </c>
      <c r="J719" s="63">
        <f>J718+J709+J710</f>
        <v/>
      </c>
      <c r="K719" s="1125">
        <f>K718+K709+K710</f>
        <v/>
      </c>
      <c r="L719" s="63">
        <f>L718+L709+L710</f>
        <v/>
      </c>
      <c r="M719" s="63">
        <f>M718+M709+M710</f>
        <v/>
      </c>
      <c r="N719" s="63">
        <f>N718+N709+N710</f>
        <v/>
      </c>
      <c r="O719" s="63">
        <f>O718+O709+O710</f>
        <v/>
      </c>
      <c r="P719" s="1125">
        <f>P718+P709+P710</f>
        <v/>
      </c>
      <c r="Q719" s="63">
        <f>Q718+Q709+Q710</f>
        <v/>
      </c>
      <c r="R719" s="63">
        <f>R718+R709+R710</f>
        <v/>
      </c>
      <c r="S719" s="63">
        <f>S718+S709+S710</f>
        <v/>
      </c>
      <c r="T719" s="63">
        <f>T718+T709+T710</f>
        <v/>
      </c>
      <c r="U719" s="1125">
        <f>U718+U709+U710</f>
        <v/>
      </c>
      <c r="V719" s="63">
        <f>V718+V709+V710</f>
        <v/>
      </c>
      <c r="W719" s="63">
        <f>W718+W709+W710</f>
        <v/>
      </c>
      <c r="X719" s="63">
        <f>X718+X709+X710</f>
        <v/>
      </c>
      <c r="Y719" s="63">
        <f>Y718+Y709+Y710</f>
        <v/>
      </c>
      <c r="Z719" s="1125">
        <f>Z718+Z709+Z710</f>
        <v/>
      </c>
      <c r="AA719" s="63">
        <f>AA718+AA709+AA710</f>
        <v/>
      </c>
      <c r="AB719" s="63">
        <f>AB718+AB709+AB710</f>
        <v/>
      </c>
      <c r="AC719" s="63">
        <f>AC718+AC709+AC710</f>
        <v/>
      </c>
      <c r="AD719" s="63">
        <f>AD718+AD709+AD710</f>
        <v/>
      </c>
      <c r="AE719" s="1125">
        <f>AE718+AE709+AE710</f>
        <v/>
      </c>
      <c r="AF719" s="63">
        <f>AF718+AF709+AF710</f>
        <v/>
      </c>
      <c r="AG719" s="63">
        <f>AG718+AG709+AG710</f>
        <v/>
      </c>
      <c r="AH719" s="63">
        <f>AH718+AH709+AH710</f>
        <v/>
      </c>
      <c r="AI719" s="63">
        <f>AI718+AI709+AI710</f>
        <v/>
      </c>
      <c r="AJ719" s="1125">
        <f>AJ718+AJ709+AJ710</f>
        <v/>
      </c>
      <c r="AK719" s="63">
        <f>AK718+AK709+AK710</f>
        <v/>
      </c>
      <c r="AL719" s="63">
        <f>AL718+AL709+AL710</f>
        <v/>
      </c>
      <c r="AM719" s="63">
        <f>AM718+AM709+AM710</f>
        <v/>
      </c>
      <c r="AN719" s="63">
        <f>AN718+AN709+AN710</f>
        <v/>
      </c>
      <c r="AO719" s="1125">
        <f>AO718+AO709+AO710</f>
        <v/>
      </c>
      <c r="AP719" s="63">
        <f>AP718+AP709+AP710</f>
        <v/>
      </c>
      <c r="AQ719" s="63">
        <f>AQ718+AQ709+AQ710</f>
        <v/>
      </c>
      <c r="AR719" s="63">
        <f>AR718+AR709+AR710</f>
        <v/>
      </c>
      <c r="AS719" s="63">
        <f>AS718+AS709+AS710</f>
        <v/>
      </c>
      <c r="AT719" s="1125">
        <f>AT718+AT709+AT710</f>
        <v/>
      </c>
      <c r="AU719" s="63">
        <f>AU718+AU709+AU710</f>
        <v/>
      </c>
      <c r="AV719" s="63">
        <f>AV718+AV709+AV710</f>
        <v/>
      </c>
      <c r="AW719" s="63">
        <f>AW718+AW709+AW710</f>
        <v/>
      </c>
      <c r="AX719" s="63">
        <f>AX718+AX709+AX710</f>
        <v/>
      </c>
      <c r="AY719" s="1125">
        <f>AY718+AY709+AY710</f>
        <v/>
      </c>
      <c r="AZ719" s="63">
        <f>AZ718+AZ709+AZ710</f>
        <v/>
      </c>
      <c r="BA719" s="63">
        <f>BA718+BA709+BA710</f>
        <v/>
      </c>
      <c r="BB719" s="63">
        <f>BB718+BB709+BB710</f>
        <v/>
      </c>
      <c r="BC719" s="63">
        <f>BC718+BC709+BC710</f>
        <v/>
      </c>
      <c r="BD719" s="1125">
        <f>BD718+BD709+BD710</f>
        <v/>
      </c>
      <c r="BE719" s="63">
        <f>BE718+BE709+BE710</f>
        <v/>
      </c>
      <c r="BF719" s="63">
        <f>BF718+BF709+BF710</f>
        <v/>
      </c>
      <c r="BG719" s="63">
        <f>BG718+BG709+BG710</f>
        <v/>
      </c>
      <c r="BH719" s="63">
        <f>BH718+BH709+BH710</f>
        <v/>
      </c>
      <c r="BI719" s="1125">
        <f>BI718+BI709+BI710</f>
        <v/>
      </c>
      <c r="BJ719" s="63">
        <f>BJ718+BJ709+BJ710</f>
        <v/>
      </c>
      <c r="BK719" s="63">
        <f>BK718+BK709+BK710</f>
        <v/>
      </c>
      <c r="BL719" s="63">
        <f>BL718+BL709+BL710</f>
        <v/>
      </c>
      <c r="BM719" s="63">
        <f>BM718+BM709+BM710</f>
        <v/>
      </c>
      <c r="BN719" s="1125">
        <f>BN718+BN709+BN710</f>
        <v/>
      </c>
      <c r="BO719" s="63">
        <f>BO718+BO709+BO710</f>
        <v/>
      </c>
      <c r="BP719" s="63">
        <f>BP718+BP709+BP710</f>
        <v/>
      </c>
      <c r="BQ719" s="63">
        <f>BQ718+BQ709+BQ710</f>
        <v/>
      </c>
      <c r="BR719" s="63">
        <f>BR718+BR709+BR710</f>
        <v/>
      </c>
      <c r="BS719" s="1125">
        <f>BS718+BS709+BS710</f>
        <v/>
      </c>
      <c r="BT719" s="63">
        <f>BT718+BT709+BT710</f>
        <v/>
      </c>
      <c r="BU719" s="63">
        <f>BU718+BU709+BU710</f>
        <v/>
      </c>
      <c r="BV719" s="587">
        <f>BV718+BV709+BV710</f>
        <v/>
      </c>
      <c r="BW719" s="63">
        <f>BW718+BW709+BW710</f>
        <v/>
      </c>
      <c r="BX719" s="1125">
        <f>BX718+BX709+BX710</f>
        <v/>
      </c>
      <c r="BY719" s="63">
        <f>BY718+BY709+BY710</f>
        <v/>
      </c>
      <c r="BZ719" s="63">
        <f>BZ718+BZ709+BZ710</f>
        <v/>
      </c>
      <c r="CA719" s="63">
        <f>CA718+CA709+CA710</f>
        <v/>
      </c>
      <c r="CB719" s="63">
        <f>CB718+CB709+CB710</f>
        <v/>
      </c>
      <c r="CC719" s="1125">
        <f>CC718+CC709+CC710</f>
        <v/>
      </c>
      <c r="CD719" s="1125">
        <f>CD718+CD709+CD710</f>
        <v/>
      </c>
      <c r="CE719" s="1125">
        <f>CE718+CE709+CE710</f>
        <v/>
      </c>
      <c r="CF719" s="1125">
        <f>CF718+CF709+CF710</f>
        <v/>
      </c>
      <c r="CG719" s="596" t="n"/>
    </row>
    <row r="720" collapsed="1">
      <c r="A720" s="68" t="inlineStr">
        <is>
          <t>FCF, Pre Div</t>
        </is>
      </c>
      <c r="B720" s="146" t="n"/>
      <c r="C720" s="1110">
        <f>C697+C701</f>
        <v/>
      </c>
      <c r="D720" s="1110">
        <f>D697+D701</f>
        <v/>
      </c>
      <c r="E720" s="1110">
        <f>E697+E701</f>
        <v/>
      </c>
      <c r="F720" s="1110">
        <f>F697+F701</f>
        <v/>
      </c>
      <c r="G720" s="68">
        <f>G697+G701</f>
        <v/>
      </c>
      <c r="H720" s="68">
        <f>H697+H701</f>
        <v/>
      </c>
      <c r="I720" s="68">
        <f>I697+I701</f>
        <v/>
      </c>
      <c r="J720" s="68">
        <f>J697+J701</f>
        <v/>
      </c>
      <c r="K720" s="1110">
        <f>K697+K701</f>
        <v/>
      </c>
      <c r="L720" s="68">
        <f>L697+L701</f>
        <v/>
      </c>
      <c r="M720" s="68">
        <f>M697+M701</f>
        <v/>
      </c>
      <c r="N720" s="68">
        <f>N697+N701</f>
        <v/>
      </c>
      <c r="O720" s="68">
        <f>O697+O701</f>
        <v/>
      </c>
      <c r="P720" s="1110">
        <f>P697+P701</f>
        <v/>
      </c>
      <c r="Q720" s="68">
        <f>Q697+Q701</f>
        <v/>
      </c>
      <c r="R720" s="68">
        <f>R697+R701</f>
        <v/>
      </c>
      <c r="S720" s="68">
        <f>S697+S701</f>
        <v/>
      </c>
      <c r="T720" s="68">
        <f>T697+T701</f>
        <v/>
      </c>
      <c r="U720" s="1110">
        <f>U697+U701</f>
        <v/>
      </c>
      <c r="V720" s="68">
        <f>V697+V701</f>
        <v/>
      </c>
      <c r="W720" s="68">
        <f>W697+W701</f>
        <v/>
      </c>
      <c r="X720" s="68">
        <f>X697+X701</f>
        <v/>
      </c>
      <c r="Y720" s="68">
        <f>Y697+Y701</f>
        <v/>
      </c>
      <c r="Z720" s="1110">
        <f>Z697+Z701</f>
        <v/>
      </c>
      <c r="AA720" s="68">
        <f>AA697+AA701</f>
        <v/>
      </c>
      <c r="AB720" s="68">
        <f>AB697+AB701</f>
        <v/>
      </c>
      <c r="AC720" s="68">
        <f>AC697+AC701</f>
        <v/>
      </c>
      <c r="AD720" s="68">
        <f>AD697+AD701</f>
        <v/>
      </c>
      <c r="AE720" s="1110">
        <f>AE697+AE701</f>
        <v/>
      </c>
      <c r="AF720" s="68">
        <f>AF697+AF701</f>
        <v/>
      </c>
      <c r="AG720" s="68">
        <f>AG697+AG701</f>
        <v/>
      </c>
      <c r="AH720" s="68">
        <f>AH697+AH701</f>
        <v/>
      </c>
      <c r="AI720" s="68">
        <f>AI697+AI701</f>
        <v/>
      </c>
      <c r="AJ720" s="1110">
        <f>AJ697+AJ701</f>
        <v/>
      </c>
      <c r="AK720" s="68">
        <f>AK697+AK701</f>
        <v/>
      </c>
      <c r="AL720" s="68">
        <f>AL697+AL701</f>
        <v/>
      </c>
      <c r="AM720" s="68">
        <f>AM697+AM701</f>
        <v/>
      </c>
      <c r="AN720" s="68">
        <f>AN697+AN701</f>
        <v/>
      </c>
      <c r="AO720" s="1110">
        <f>AO697+AO701</f>
        <v/>
      </c>
      <c r="AP720" s="68">
        <f>AP697+AP701</f>
        <v/>
      </c>
      <c r="AQ720" s="68">
        <f>AQ697+AQ701</f>
        <v/>
      </c>
      <c r="AR720" s="68">
        <f>AR697+AR701</f>
        <v/>
      </c>
      <c r="AS720" s="68">
        <f>AS697+AS701</f>
        <v/>
      </c>
      <c r="AT720" s="1110">
        <f>AT697+AT701</f>
        <v/>
      </c>
      <c r="AU720" s="68">
        <f>AU697+AU701</f>
        <v/>
      </c>
      <c r="AV720" s="68">
        <f>AV697+AV701</f>
        <v/>
      </c>
      <c r="AW720" s="68">
        <f>AW697+AW701</f>
        <v/>
      </c>
      <c r="AX720" s="68">
        <f>AX697+AX701</f>
        <v/>
      </c>
      <c r="AY720" s="1110">
        <f>AY697+AY701</f>
        <v/>
      </c>
      <c r="AZ720" s="68">
        <f>AZ697+AZ701</f>
        <v/>
      </c>
      <c r="BA720" s="68">
        <f>BA697+BA701</f>
        <v/>
      </c>
      <c r="BB720" s="68">
        <f>BB697+BB701</f>
        <v/>
      </c>
      <c r="BC720" s="68">
        <f>BC697+BC701</f>
        <v/>
      </c>
      <c r="BD720" s="1110">
        <f>BD697+BD701</f>
        <v/>
      </c>
      <c r="BE720" s="68">
        <f>BE697+BE701</f>
        <v/>
      </c>
      <c r="BF720" s="68">
        <f>BF697+BF701</f>
        <v/>
      </c>
      <c r="BG720" s="68">
        <f>BG697+BG701</f>
        <v/>
      </c>
      <c r="BH720" s="68">
        <f>BH697+BH701</f>
        <v/>
      </c>
      <c r="BI720" s="1110">
        <f>BI697+BI701</f>
        <v/>
      </c>
      <c r="BJ720" s="68">
        <f>BJ697+BJ701</f>
        <v/>
      </c>
      <c r="BK720" s="68">
        <f>BK697+BK701</f>
        <v/>
      </c>
      <c r="BL720" s="68">
        <f>BL697+BL701</f>
        <v/>
      </c>
      <c r="BM720" s="68">
        <f>BM697+BM701</f>
        <v/>
      </c>
      <c r="BN720" s="1110">
        <f>BN697+BN701</f>
        <v/>
      </c>
      <c r="BO720" s="68">
        <f>BO697+BO701</f>
        <v/>
      </c>
      <c r="BP720" s="68">
        <f>BP697+BP701</f>
        <v/>
      </c>
      <c r="BQ720" s="68">
        <f>BQ697+BQ701</f>
        <v/>
      </c>
      <c r="BR720" s="68">
        <f>BR697+BR701</f>
        <v/>
      </c>
      <c r="BS720" s="1110">
        <f>BS697+BS701</f>
        <v/>
      </c>
      <c r="BT720" s="68">
        <f>BT697+BT701</f>
        <v/>
      </c>
      <c r="BU720" s="68">
        <f>BU697+BU701</f>
        <v/>
      </c>
      <c r="BV720" s="588">
        <f>BV697+BV701</f>
        <v/>
      </c>
      <c r="BW720" s="68">
        <f>BW697+BW701</f>
        <v/>
      </c>
      <c r="BX720" s="1110">
        <f>BX697+BX701</f>
        <v/>
      </c>
      <c r="BY720" s="68">
        <f>BY697+BY701</f>
        <v/>
      </c>
      <c r="BZ720" s="68">
        <f>BZ697+BZ701</f>
        <v/>
      </c>
      <c r="CA720" s="68">
        <f>CA697+CA701</f>
        <v/>
      </c>
      <c r="CB720" s="68">
        <f>CB697+CB701</f>
        <v/>
      </c>
      <c r="CC720" s="1110">
        <f>CC697+CC701</f>
        <v/>
      </c>
      <c r="CD720" s="1110">
        <f>CD697+CD701</f>
        <v/>
      </c>
      <c r="CE720" s="1110">
        <f>CE697+CE701</f>
        <v/>
      </c>
      <c r="CF720" s="1110">
        <f>CF697+CF701</f>
        <v/>
      </c>
      <c r="CG720" s="596" t="n"/>
    </row>
    <row r="721">
      <c r="A721" s="68" t="inlineStr">
        <is>
          <t>FCF, Post Div, Pre A/D</t>
        </is>
      </c>
      <c r="B721" s="146" t="n"/>
      <c r="C721" s="1110">
        <f>C720+C706</f>
        <v/>
      </c>
      <c r="D721" s="1110">
        <f>D720+D706</f>
        <v/>
      </c>
      <c r="E721" s="1110">
        <f>E720+E706</f>
        <v/>
      </c>
      <c r="F721" s="1110">
        <f>F720+F706</f>
        <v/>
      </c>
      <c r="G721" s="68">
        <f>G720+G706</f>
        <v/>
      </c>
      <c r="H721" s="68">
        <f>H720+H706</f>
        <v/>
      </c>
      <c r="I721" s="68">
        <f>I720+I706</f>
        <v/>
      </c>
      <c r="J721" s="68">
        <f>J720+J706</f>
        <v/>
      </c>
      <c r="K721" s="1110">
        <f>K720+K706</f>
        <v/>
      </c>
      <c r="L721" s="68">
        <f>L720+L706</f>
        <v/>
      </c>
      <c r="M721" s="68">
        <f>M720+M706</f>
        <v/>
      </c>
      <c r="N721" s="68">
        <f>N720+N706</f>
        <v/>
      </c>
      <c r="O721" s="68">
        <f>O720+O706</f>
        <v/>
      </c>
      <c r="P721" s="1110">
        <f>P720+P706</f>
        <v/>
      </c>
      <c r="Q721" s="68">
        <f>Q720+Q706</f>
        <v/>
      </c>
      <c r="R721" s="68">
        <f>R720+R706</f>
        <v/>
      </c>
      <c r="S721" s="68">
        <f>S720+S706</f>
        <v/>
      </c>
      <c r="T721" s="68">
        <f>T720+T706</f>
        <v/>
      </c>
      <c r="U721" s="1110">
        <f>U720+U706</f>
        <v/>
      </c>
      <c r="V721" s="68">
        <f>V720+V706</f>
        <v/>
      </c>
      <c r="W721" s="68">
        <f>W720+W706</f>
        <v/>
      </c>
      <c r="X721" s="68">
        <f>X720+X706</f>
        <v/>
      </c>
      <c r="Y721" s="68">
        <f>Y720+Y706</f>
        <v/>
      </c>
      <c r="Z721" s="1110">
        <f>Z720+Z706</f>
        <v/>
      </c>
      <c r="AA721" s="68">
        <f>AA720+AA706</f>
        <v/>
      </c>
      <c r="AB721" s="68">
        <f>AB720+AB706</f>
        <v/>
      </c>
      <c r="AC721" s="68">
        <f>AC720+AC706</f>
        <v/>
      </c>
      <c r="AD721" s="68">
        <f>AD720+AD706</f>
        <v/>
      </c>
      <c r="AE721" s="1110">
        <f>AE720+AE706</f>
        <v/>
      </c>
      <c r="AF721" s="68">
        <f>AF720+AF706</f>
        <v/>
      </c>
      <c r="AG721" s="68">
        <f>AG720+AG706</f>
        <v/>
      </c>
      <c r="AH721" s="68">
        <f>AH720+AH706</f>
        <v/>
      </c>
      <c r="AI721" s="68">
        <f>AI720+AI706</f>
        <v/>
      </c>
      <c r="AJ721" s="1110">
        <f>AJ720+AJ706</f>
        <v/>
      </c>
      <c r="AK721" s="68">
        <f>AK720+AK706</f>
        <v/>
      </c>
      <c r="AL721" s="68">
        <f>AL720+AL706</f>
        <v/>
      </c>
      <c r="AM721" s="68">
        <f>AM720+AM706</f>
        <v/>
      </c>
      <c r="AN721" s="68">
        <f>AN720+AN706</f>
        <v/>
      </c>
      <c r="AO721" s="1110">
        <f>AO720+AO706</f>
        <v/>
      </c>
      <c r="AP721" s="68">
        <f>AP720+AP706</f>
        <v/>
      </c>
      <c r="AQ721" s="68">
        <f>AQ720+AQ706</f>
        <v/>
      </c>
      <c r="AR721" s="68">
        <f>AR720+AR706</f>
        <v/>
      </c>
      <c r="AS721" s="68">
        <f>AS720+AS706</f>
        <v/>
      </c>
      <c r="AT721" s="1110">
        <f>AT720+AT706</f>
        <v/>
      </c>
      <c r="AU721" s="68">
        <f>AU720+AU706</f>
        <v/>
      </c>
      <c r="AV721" s="68">
        <f>AV720+AV706</f>
        <v/>
      </c>
      <c r="AW721" s="68">
        <f>AW720+AW706</f>
        <v/>
      </c>
      <c r="AX721" s="68">
        <f>AX720+AX706</f>
        <v/>
      </c>
      <c r="AY721" s="1110">
        <f>AY720+AY706</f>
        <v/>
      </c>
      <c r="AZ721" s="68">
        <f>AZ720+AZ706</f>
        <v/>
      </c>
      <c r="BA721" s="68">
        <f>BA720+BA706</f>
        <v/>
      </c>
      <c r="BB721" s="68">
        <f>BB720+BB706</f>
        <v/>
      </c>
      <c r="BC721" s="68">
        <f>BC720+BC706</f>
        <v/>
      </c>
      <c r="BD721" s="1110">
        <f>BD720+BD706</f>
        <v/>
      </c>
      <c r="BE721" s="68">
        <f>BE720+BE706</f>
        <v/>
      </c>
      <c r="BF721" s="68">
        <f>BF720+BF706</f>
        <v/>
      </c>
      <c r="BG721" s="68">
        <f>BG720+BG706</f>
        <v/>
      </c>
      <c r="BH721" s="68">
        <f>BH720+BH706</f>
        <v/>
      </c>
      <c r="BI721" s="1110">
        <f>BI720+BI706</f>
        <v/>
      </c>
      <c r="BJ721" s="68">
        <f>BJ720+BJ706</f>
        <v/>
      </c>
      <c r="BK721" s="68">
        <f>BK720+BK706</f>
        <v/>
      </c>
      <c r="BL721" s="68">
        <f>BL720+BL706</f>
        <v/>
      </c>
      <c r="BM721" s="68">
        <f>BM720+BM706</f>
        <v/>
      </c>
      <c r="BN721" s="1110">
        <f>BN720+BN706</f>
        <v/>
      </c>
      <c r="BO721" s="68">
        <f>BO720+BO706</f>
        <v/>
      </c>
      <c r="BP721" s="68">
        <f>BP720+BP706</f>
        <v/>
      </c>
      <c r="BQ721" s="68">
        <f>BQ720+BQ706</f>
        <v/>
      </c>
      <c r="BR721" s="68">
        <f>BR720+BR706</f>
        <v/>
      </c>
      <c r="BS721" s="1110">
        <f>BS720+BS706</f>
        <v/>
      </c>
      <c r="BT721" s="68">
        <f>BT720+BT706</f>
        <v/>
      </c>
      <c r="BU721" s="68">
        <f>BU720+BU706</f>
        <v/>
      </c>
      <c r="BV721" s="588">
        <f>BV720+BV706</f>
        <v/>
      </c>
      <c r="BW721" s="68">
        <f>BW720+BW706</f>
        <v/>
      </c>
      <c r="BX721" s="1110">
        <f>BX720+BX706</f>
        <v/>
      </c>
      <c r="BY721" s="68">
        <f>BY720+BY706</f>
        <v/>
      </c>
      <c r="BZ721" s="68">
        <f>BZ720+BZ706</f>
        <v/>
      </c>
      <c r="CA721" s="68">
        <f>CA720+CA706</f>
        <v/>
      </c>
      <c r="CB721" s="68">
        <f>CB720+CB706</f>
        <v/>
      </c>
      <c r="CC721" s="1110">
        <f>CC720+CC706</f>
        <v/>
      </c>
      <c r="CD721" s="1110">
        <f>CD720+CD706</f>
        <v/>
      </c>
      <c r="CE721" s="1110">
        <f>CE720+CE706</f>
        <v/>
      </c>
      <c r="CF721" s="1110">
        <f>CF720+CF706</f>
        <v/>
      </c>
      <c r="CG721" s="596" t="n"/>
    </row>
    <row r="722">
      <c r="A722" s="68" t="inlineStr">
        <is>
          <t>FCF, Post Div, Post A/D</t>
        </is>
      </c>
      <c r="B722" s="146" t="n"/>
      <c r="C722" s="1110">
        <f>C721+C704+C705</f>
        <v/>
      </c>
      <c r="D722" s="1110">
        <f>D721+D704+D705</f>
        <v/>
      </c>
      <c r="E722" s="1110">
        <f>E721+E704+E705</f>
        <v/>
      </c>
      <c r="F722" s="1110">
        <f>F721+F704+F705</f>
        <v/>
      </c>
      <c r="G722" s="68">
        <f>G721+G704+G705</f>
        <v/>
      </c>
      <c r="H722" s="68">
        <f>H721+H704+H705</f>
        <v/>
      </c>
      <c r="I722" s="68">
        <f>I721+I704+I705</f>
        <v/>
      </c>
      <c r="J722" s="68">
        <f>J721+J704+J705</f>
        <v/>
      </c>
      <c r="K722" s="1110">
        <f>K721+K704+K705</f>
        <v/>
      </c>
      <c r="L722" s="68">
        <f>L721+L704+L705</f>
        <v/>
      </c>
      <c r="M722" s="68">
        <f>M721+M704+M705</f>
        <v/>
      </c>
      <c r="N722" s="68">
        <f>N721+N704+N705</f>
        <v/>
      </c>
      <c r="O722" s="68">
        <f>O721+O704+O705</f>
        <v/>
      </c>
      <c r="P722" s="1110">
        <f>P721+P704+P705</f>
        <v/>
      </c>
      <c r="Q722" s="68">
        <f>Q721+Q704+Q705</f>
        <v/>
      </c>
      <c r="R722" s="68">
        <f>R721+R704+R705</f>
        <v/>
      </c>
      <c r="S722" s="68">
        <f>S721+S704+S705</f>
        <v/>
      </c>
      <c r="T722" s="68">
        <f>T721+T704+T705</f>
        <v/>
      </c>
      <c r="U722" s="1110">
        <f>U721+U704+U705</f>
        <v/>
      </c>
      <c r="V722" s="68">
        <f>V721+V704+V705</f>
        <v/>
      </c>
      <c r="W722" s="68">
        <f>W721+W704+W705</f>
        <v/>
      </c>
      <c r="X722" s="68">
        <f>X721+X704+X705</f>
        <v/>
      </c>
      <c r="Y722" s="68">
        <f>Y721+Y704+Y705</f>
        <v/>
      </c>
      <c r="Z722" s="1110">
        <f>Z721+Z704+Z705</f>
        <v/>
      </c>
      <c r="AA722" s="68">
        <f>AA721+AA704+AA705</f>
        <v/>
      </c>
      <c r="AB722" s="68">
        <f>AB721+AB704+AB705</f>
        <v/>
      </c>
      <c r="AC722" s="68">
        <f>AC721+AC704+AC705</f>
        <v/>
      </c>
      <c r="AD722" s="68">
        <f>AD721+AD704+AD705</f>
        <v/>
      </c>
      <c r="AE722" s="1110">
        <f>AE721+AE704+AE705</f>
        <v/>
      </c>
      <c r="AF722" s="68">
        <f>AF721+AF704+AF705</f>
        <v/>
      </c>
      <c r="AG722" s="68">
        <f>AG721+AG704+AG705</f>
        <v/>
      </c>
      <c r="AH722" s="68">
        <f>AH721+AH704+AH705</f>
        <v/>
      </c>
      <c r="AI722" s="68">
        <f>AI721+AI704+AI705</f>
        <v/>
      </c>
      <c r="AJ722" s="1110">
        <f>AJ721+AJ704+AJ705</f>
        <v/>
      </c>
      <c r="AK722" s="68">
        <f>AK721+AK704+AK705</f>
        <v/>
      </c>
      <c r="AL722" s="68">
        <f>AL721+AL704+AL705</f>
        <v/>
      </c>
      <c r="AM722" s="68">
        <f>AM721+AM704+AM705</f>
        <v/>
      </c>
      <c r="AN722" s="68">
        <f>AN721+AN704+AN705</f>
        <v/>
      </c>
      <c r="AO722" s="1110">
        <f>AO721+AO704+AO705</f>
        <v/>
      </c>
      <c r="AP722" s="68">
        <f>AP721+AP704+AP705</f>
        <v/>
      </c>
      <c r="AQ722" s="68">
        <f>AQ721+AQ704+AQ705</f>
        <v/>
      </c>
      <c r="AR722" s="68">
        <f>AR721+AR704+AR705</f>
        <v/>
      </c>
      <c r="AS722" s="68">
        <f>AS721+AS704+AS705</f>
        <v/>
      </c>
      <c r="AT722" s="1110">
        <f>AT721+AT704+AT705</f>
        <v/>
      </c>
      <c r="AU722" s="68">
        <f>AU721+AU704+AU705</f>
        <v/>
      </c>
      <c r="AV722" s="68">
        <f>AV721+AV704+AV705</f>
        <v/>
      </c>
      <c r="AW722" s="68">
        <f>AW721+AW704+AW705</f>
        <v/>
      </c>
      <c r="AX722" s="68">
        <f>AX721+AX704+AX705</f>
        <v/>
      </c>
      <c r="AY722" s="1110">
        <f>AY721+AY704+AY705</f>
        <v/>
      </c>
      <c r="AZ722" s="68">
        <f>AZ721+AZ704+AZ705</f>
        <v/>
      </c>
      <c r="BA722" s="68">
        <f>BA721+BA704+BA705</f>
        <v/>
      </c>
      <c r="BB722" s="68">
        <f>BB721+BB704+BB705</f>
        <v/>
      </c>
      <c r="BC722" s="68">
        <f>BC721+BC704+BC705</f>
        <v/>
      </c>
      <c r="BD722" s="1110">
        <f>BD721+BD704+BD705</f>
        <v/>
      </c>
      <c r="BE722" s="68">
        <f>BE721+BE704+BE705</f>
        <v/>
      </c>
      <c r="BF722" s="68">
        <f>BF721+BF704+BF705</f>
        <v/>
      </c>
      <c r="BG722" s="68">
        <f>BG721+BG704+BG705</f>
        <v/>
      </c>
      <c r="BH722" s="68">
        <f>BH721+BH704+BH705</f>
        <v/>
      </c>
      <c r="BI722" s="1110">
        <f>BI721+BI704+BI705</f>
        <v/>
      </c>
      <c r="BJ722" s="68">
        <f>BJ721+BJ704+BJ705</f>
        <v/>
      </c>
      <c r="BK722" s="68">
        <f>BK721+BK704+BK705</f>
        <v/>
      </c>
      <c r="BL722" s="68">
        <f>BL721+BL704+BL705</f>
        <v/>
      </c>
      <c r="BM722" s="68">
        <f>BM721+BM704+BM705</f>
        <v/>
      </c>
      <c r="BN722" s="1110">
        <f>BN721+BN704+BN705</f>
        <v/>
      </c>
      <c r="BO722" s="68">
        <f>BO721+BO704+BO705</f>
        <v/>
      </c>
      <c r="BP722" s="68">
        <f>BP721+BP704+BP705</f>
        <v/>
      </c>
      <c r="BQ722" s="68">
        <f>BQ721+BQ704+BQ705</f>
        <v/>
      </c>
      <c r="BR722" s="68">
        <f>BR721+BR704+BR705</f>
        <v/>
      </c>
      <c r="BS722" s="1110">
        <f>BS721+BS704+BS705</f>
        <v/>
      </c>
      <c r="BT722" s="68">
        <f>BT721+BT704+BT705</f>
        <v/>
      </c>
      <c r="BU722" s="68">
        <f>BU721+BU704+BU705</f>
        <v/>
      </c>
      <c r="BV722" s="588">
        <f>BV721+BV704+BV705</f>
        <v/>
      </c>
      <c r="BW722" s="68">
        <f>BW721+BW704+BW705</f>
        <v/>
      </c>
      <c r="BX722" s="1110">
        <f>BX721+BX704+BX705</f>
        <v/>
      </c>
      <c r="BY722" s="68">
        <f>BY721+BY704+BY705</f>
        <v/>
      </c>
      <c r="BZ722" s="68">
        <f>BZ721+BZ704+BZ705</f>
        <v/>
      </c>
      <c r="CA722" s="68">
        <f>CA721+CA704+CA705</f>
        <v/>
      </c>
      <c r="CB722" s="68">
        <f>CB721+CB704+CB705</f>
        <v/>
      </c>
      <c r="CC722" s="1110">
        <f>CC721+CC704+CC705</f>
        <v/>
      </c>
      <c r="CD722" s="1110">
        <f>CD721+CD704+CD705</f>
        <v/>
      </c>
      <c r="CE722" s="1110">
        <f>CE721+CE704+CE705</f>
        <v/>
      </c>
      <c r="CF722" s="1110">
        <f>CF721+CF704+CF705</f>
        <v/>
      </c>
      <c r="CG722" s="596" t="n"/>
    </row>
    <row r="723">
      <c r="A723" s="63" t="inlineStr">
        <is>
          <t>FCF, Post Div, Debt, Buyback, A/D</t>
        </is>
      </c>
      <c r="B723" s="279" t="n"/>
      <c r="C723" s="1125">
        <f>C722+C709+C710</f>
        <v/>
      </c>
      <c r="D723" s="1125">
        <f>D722+D709+D710</f>
        <v/>
      </c>
      <c r="E723" s="1125">
        <f>E722+E709+E710</f>
        <v/>
      </c>
      <c r="F723" s="1125">
        <f>F722+F709+F710</f>
        <v/>
      </c>
      <c r="G723" s="63">
        <f>G722+G709+G710</f>
        <v/>
      </c>
      <c r="H723" s="63">
        <f>H722+H709+H710</f>
        <v/>
      </c>
      <c r="I723" s="63">
        <f>I722+I709+I710</f>
        <v/>
      </c>
      <c r="J723" s="63">
        <f>J722+J709+J710</f>
        <v/>
      </c>
      <c r="K723" s="1125">
        <f>K722+K709+K710</f>
        <v/>
      </c>
      <c r="L723" s="63">
        <f>L722+L709+L710</f>
        <v/>
      </c>
      <c r="M723" s="63">
        <f>M722+M709+M710</f>
        <v/>
      </c>
      <c r="N723" s="63">
        <f>N722+N709+N710</f>
        <v/>
      </c>
      <c r="O723" s="63">
        <f>O722+O709+O710</f>
        <v/>
      </c>
      <c r="P723" s="1125">
        <f>P722+P709+P710</f>
        <v/>
      </c>
      <c r="Q723" s="63">
        <f>Q722+Q709+Q710</f>
        <v/>
      </c>
      <c r="R723" s="63">
        <f>R722+R709+R710</f>
        <v/>
      </c>
      <c r="S723" s="63">
        <f>S722+S709+S710</f>
        <v/>
      </c>
      <c r="T723" s="63">
        <f>T722+T709+T710</f>
        <v/>
      </c>
      <c r="U723" s="1125">
        <f>U722+U709+U710</f>
        <v/>
      </c>
      <c r="V723" s="63">
        <f>V722+V709+V710</f>
        <v/>
      </c>
      <c r="W723" s="63">
        <f>W722+W709+W710</f>
        <v/>
      </c>
      <c r="X723" s="63">
        <f>X722+X709+X710</f>
        <v/>
      </c>
      <c r="Y723" s="63">
        <f>Y722+Y709+Y710</f>
        <v/>
      </c>
      <c r="Z723" s="1125">
        <f>Z722+Z709+Z710</f>
        <v/>
      </c>
      <c r="AA723" s="63">
        <f>AA722+AA709+AA710</f>
        <v/>
      </c>
      <c r="AB723" s="63">
        <f>AB722+AB709+AB710</f>
        <v/>
      </c>
      <c r="AC723" s="63">
        <f>AC722+AC709+AC710</f>
        <v/>
      </c>
      <c r="AD723" s="63">
        <f>AD722+AD709+AD710</f>
        <v/>
      </c>
      <c r="AE723" s="1125">
        <f>AE722+AE709+AE710</f>
        <v/>
      </c>
      <c r="AF723" s="63">
        <f>AF722+AF709+AF710</f>
        <v/>
      </c>
      <c r="AG723" s="63">
        <f>AG722+AG709+AG710</f>
        <v/>
      </c>
      <c r="AH723" s="63">
        <f>AH722+AH709+AH710</f>
        <v/>
      </c>
      <c r="AI723" s="63">
        <f>AI722+AI709+AI710</f>
        <v/>
      </c>
      <c r="AJ723" s="1125">
        <f>AJ722+AJ709+AJ710</f>
        <v/>
      </c>
      <c r="AK723" s="63">
        <f>AK722+AK709+AK710</f>
        <v/>
      </c>
      <c r="AL723" s="63">
        <f>AL722+AL709+AL710</f>
        <v/>
      </c>
      <c r="AM723" s="63">
        <f>AM722+AM709+AM710</f>
        <v/>
      </c>
      <c r="AN723" s="63">
        <f>AN722+AN709+AN710</f>
        <v/>
      </c>
      <c r="AO723" s="1125">
        <f>AO722+AO709+AO710</f>
        <v/>
      </c>
      <c r="AP723" s="63">
        <f>AP722+AP709+AP710</f>
        <v/>
      </c>
      <c r="AQ723" s="63">
        <f>AQ722+AQ709+AQ710</f>
        <v/>
      </c>
      <c r="AR723" s="63">
        <f>AR722+AR709+AR710</f>
        <v/>
      </c>
      <c r="AS723" s="63">
        <f>AS722+AS709+AS710</f>
        <v/>
      </c>
      <c r="AT723" s="1125">
        <f>AT722+AT709+AT710</f>
        <v/>
      </c>
      <c r="AU723" s="63">
        <f>AU722+AU709+AU710</f>
        <v/>
      </c>
      <c r="AV723" s="63">
        <f>AV722+AV709+AV710</f>
        <v/>
      </c>
      <c r="AW723" s="63">
        <f>AW722+AW709+AW710</f>
        <v/>
      </c>
      <c r="AX723" s="63">
        <f>AX722+AX709+AX710</f>
        <v/>
      </c>
      <c r="AY723" s="1125">
        <f>AY722+AY709+AY710</f>
        <v/>
      </c>
      <c r="AZ723" s="63">
        <f>AZ722+AZ709+AZ710</f>
        <v/>
      </c>
      <c r="BA723" s="63">
        <f>BA722+BA709+BA710</f>
        <v/>
      </c>
      <c r="BB723" s="63">
        <f>BB722+BB709+BB710</f>
        <v/>
      </c>
      <c r="BC723" s="63">
        <f>BC722+BC709+BC710</f>
        <v/>
      </c>
      <c r="BD723" s="1125">
        <f>BD722+BD709+BD710</f>
        <v/>
      </c>
      <c r="BE723" s="63">
        <f>BE722+BE709+BE710</f>
        <v/>
      </c>
      <c r="BF723" s="63">
        <f>BF722+BF709+BF710</f>
        <v/>
      </c>
      <c r="BG723" s="63">
        <f>BG722+BG709+BG710</f>
        <v/>
      </c>
      <c r="BH723" s="63">
        <f>BH722+BH709+BH710</f>
        <v/>
      </c>
      <c r="BI723" s="1125">
        <f>BI722+BI709+BI710</f>
        <v/>
      </c>
      <c r="BJ723" s="63">
        <f>BJ722+BJ709+BJ710</f>
        <v/>
      </c>
      <c r="BK723" s="63">
        <f>BK722+BK709+BK710</f>
        <v/>
      </c>
      <c r="BL723" s="63">
        <f>BL722+BL709+BL710</f>
        <v/>
      </c>
      <c r="BM723" s="63">
        <f>BM722+BM709+BM710</f>
        <v/>
      </c>
      <c r="BN723" s="1125">
        <f>BN722+BN709+BN710</f>
        <v/>
      </c>
      <c r="BO723" s="63">
        <f>BO722+BO709+BO710</f>
        <v/>
      </c>
      <c r="BP723" s="63">
        <f>BP722+BP709+BP710</f>
        <v/>
      </c>
      <c r="BQ723" s="63">
        <f>BQ722+BQ709+BQ710</f>
        <v/>
      </c>
      <c r="BR723" s="63">
        <f>BR722+BR709+BR710</f>
        <v/>
      </c>
      <c r="BS723" s="1125">
        <f>BS722+BS709+BS710</f>
        <v/>
      </c>
      <c r="BT723" s="63">
        <f>BT722+BT709+BT710</f>
        <v/>
      </c>
      <c r="BU723" s="63">
        <f>BU722+BU709+BU710</f>
        <v/>
      </c>
      <c r="BV723" s="587">
        <f>BV722+BV709+BV710</f>
        <v/>
      </c>
      <c r="BW723" s="63">
        <f>BW722+BW709+BW710</f>
        <v/>
      </c>
      <c r="BX723" s="1125">
        <f>BX722+BX709+BX710</f>
        <v/>
      </c>
      <c r="BY723" s="63">
        <f>BY722+BY709+BY710</f>
        <v/>
      </c>
      <c r="BZ723" s="63">
        <f>BZ722+BZ709+BZ710</f>
        <v/>
      </c>
      <c r="CA723" s="63">
        <f>CA722+CA709+CA710</f>
        <v/>
      </c>
      <c r="CB723" s="63">
        <f>CB722+CB709+CB710</f>
        <v/>
      </c>
      <c r="CC723" s="1125">
        <f>CC722+CC709+CC710</f>
        <v/>
      </c>
      <c r="CD723" s="1125">
        <f>CD722+CD709+CD710</f>
        <v/>
      </c>
      <c r="CE723" s="1125">
        <f>CE722+CE709+CE710</f>
        <v/>
      </c>
      <c r="CF723" s="1125">
        <f>CF722+CF709+CF710</f>
        <v/>
      </c>
      <c r="CG723" s="596" t="n"/>
    </row>
    <row r="724">
      <c r="A724" s="93" t="n"/>
      <c r="B724" s="428" t="n"/>
      <c r="C724" s="1134" t="n"/>
      <c r="D724" s="1134" t="n"/>
      <c r="E724" s="1134" t="n"/>
      <c r="F724" s="1134" t="n"/>
      <c r="G724" s="93" t="n"/>
      <c r="H724" s="93" t="n"/>
      <c r="I724" s="93" t="n"/>
      <c r="J724" s="93" t="n"/>
      <c r="K724" s="1134" t="n"/>
      <c r="L724" s="93" t="n"/>
      <c r="M724" s="93" t="n"/>
      <c r="N724" s="93" t="n"/>
      <c r="O724" s="93" t="n"/>
      <c r="P724" s="1134" t="n"/>
      <c r="Q724" s="93" t="n"/>
      <c r="R724" s="93" t="n"/>
      <c r="S724" s="93" t="n"/>
      <c r="T724" s="93" t="n"/>
      <c r="U724" s="1134" t="n"/>
      <c r="V724" s="93" t="n"/>
      <c r="W724" s="93" t="n"/>
      <c r="X724" s="93" t="n"/>
      <c r="Y724" s="93" t="n"/>
      <c r="Z724" s="1134" t="n"/>
      <c r="AA724" s="93" t="n"/>
      <c r="AB724" s="93" t="n"/>
      <c r="AC724" s="93" t="n"/>
      <c r="AD724" s="93" t="n"/>
      <c r="AE724" s="1134" t="n"/>
      <c r="AF724" s="93" t="n"/>
      <c r="AG724" s="93" t="n"/>
      <c r="AH724" s="93" t="n"/>
      <c r="AI724" s="93" t="n"/>
      <c r="AJ724" s="1134" t="n"/>
      <c r="AK724" s="93" t="n"/>
      <c r="AL724" s="93" t="n"/>
      <c r="AM724" s="93" t="n"/>
      <c r="AN724" s="93" t="n"/>
      <c r="AO724" s="1134" t="n"/>
      <c r="AP724" s="93" t="n"/>
      <c r="AQ724" s="93" t="n"/>
      <c r="AR724" s="93" t="n"/>
      <c r="AS724" s="93" t="n"/>
      <c r="AT724" s="1134" t="n"/>
      <c r="AU724" s="93" t="n"/>
      <c r="AV724" s="93" t="n"/>
      <c r="AW724" s="93" t="n"/>
      <c r="AX724" s="93" t="n"/>
      <c r="AY724" s="1134" t="n"/>
      <c r="AZ724" s="93" t="n"/>
      <c r="BA724" s="93" t="n"/>
      <c r="BB724" s="93" t="n"/>
      <c r="BC724" s="93" t="n"/>
      <c r="BD724" s="1134" t="n"/>
      <c r="BE724" s="93" t="n"/>
      <c r="BF724" s="93" t="n"/>
      <c r="BG724" s="93" t="n"/>
      <c r="BH724" s="93" t="n"/>
      <c r="BI724" s="1134" t="n"/>
      <c r="BJ724" s="93" t="n"/>
      <c r="BK724" s="93" t="n"/>
      <c r="BL724" s="93" t="n"/>
      <c r="BM724" s="93" t="n"/>
      <c r="BN724" s="1134" t="n"/>
      <c r="BO724" s="93" t="n"/>
      <c r="BP724" s="93" t="n"/>
      <c r="BQ724" s="93" t="n"/>
      <c r="BR724" s="93" t="n"/>
      <c r="BS724" s="1134" t="n"/>
      <c r="BT724" s="93" t="n"/>
      <c r="BU724" s="93" t="n"/>
      <c r="BV724" s="522" t="n"/>
      <c r="BW724" s="93" t="n"/>
      <c r="BX724" s="1134" t="n"/>
      <c r="BY724" s="93" t="n"/>
      <c r="BZ724" s="93" t="n"/>
      <c r="CA724" s="93" t="n"/>
      <c r="CB724" s="93" t="n"/>
      <c r="CC724" s="1134" t="n"/>
      <c r="CD724" s="1134" t="n"/>
      <c r="CE724" s="1134" t="n"/>
      <c r="CF724" s="1134" t="n"/>
      <c r="CG724" s="155" t="n"/>
    </row>
    <row r="725">
      <c r="A725" s="45" t="inlineStr">
        <is>
          <t>Balance Sheet Summary</t>
        </is>
      </c>
      <c r="B725" s="45" t="n"/>
      <c r="C725" s="45" t="n"/>
      <c r="D725" s="45" t="n"/>
      <c r="E725" s="45" t="n"/>
      <c r="F725" s="45" t="n"/>
      <c r="G725" s="45" t="n"/>
      <c r="H725" s="45" t="n"/>
      <c r="I725" s="45" t="n"/>
      <c r="J725" s="45" t="n"/>
      <c r="K725" s="45" t="n"/>
      <c r="L725" s="45" t="n"/>
      <c r="M725" s="45" t="n"/>
      <c r="N725" s="45" t="n"/>
      <c r="O725" s="45" t="n"/>
      <c r="P725" s="45" t="n"/>
      <c r="Q725" s="45" t="n"/>
      <c r="R725" s="45" t="n"/>
      <c r="S725" s="45" t="n"/>
      <c r="T725" s="45" t="n"/>
      <c r="U725" s="45" t="n"/>
      <c r="V725" s="45" t="n"/>
      <c r="W725" s="45" t="n"/>
      <c r="X725" s="45" t="n"/>
      <c r="Y725" s="45" t="n"/>
      <c r="Z725" s="45" t="n"/>
      <c r="AA725" s="45" t="n"/>
      <c r="AB725" s="45" t="n"/>
      <c r="AC725" s="45" t="n"/>
      <c r="AD725" s="45" t="n"/>
      <c r="AE725" s="45" t="n"/>
      <c r="AF725" s="45" t="n"/>
      <c r="AG725" s="45" t="n"/>
      <c r="AH725" s="45" t="n"/>
      <c r="AI725" s="45" t="n"/>
      <c r="AJ725" s="45" t="n"/>
      <c r="AK725" s="45" t="n"/>
      <c r="AL725" s="45" t="n"/>
      <c r="AM725" s="45" t="n"/>
      <c r="AN725" s="45" t="n"/>
      <c r="AO725" s="45" t="n"/>
      <c r="AP725" s="45" t="n"/>
      <c r="AQ725" s="45" t="n"/>
      <c r="AR725" s="45" t="n"/>
      <c r="AS725" s="45" t="n"/>
      <c r="AT725" s="45" t="n"/>
      <c r="AU725" s="45" t="n"/>
      <c r="AV725" s="45" t="n"/>
      <c r="AW725" s="45" t="n"/>
      <c r="AX725" s="45" t="n"/>
      <c r="AY725" s="45" t="n"/>
      <c r="AZ725" s="45" t="n"/>
      <c r="BA725" s="45" t="n"/>
      <c r="BB725" s="45" t="n"/>
      <c r="BC725" s="45" t="n"/>
      <c r="BD725" s="45" t="n"/>
      <c r="BE725" s="45" t="n"/>
      <c r="BF725" s="45" t="n"/>
      <c r="BG725" s="45" t="n"/>
      <c r="BH725" s="45" t="n"/>
      <c r="BI725" s="45" t="n"/>
      <c r="BJ725" s="45" t="n"/>
      <c r="BK725" s="45" t="n"/>
      <c r="BL725" s="45" t="n"/>
      <c r="BM725" s="45" t="n"/>
      <c r="BN725" s="45" t="n"/>
      <c r="BO725" s="45" t="n"/>
      <c r="BP725" s="45" t="n"/>
      <c r="BQ725" s="45" t="n"/>
      <c r="BR725" s="45" t="n"/>
      <c r="BS725" s="45" t="n"/>
      <c r="BT725" s="45" t="n"/>
      <c r="BU725" s="45" t="n"/>
      <c r="BV725" s="982" t="n"/>
      <c r="BW725" s="45" t="n"/>
      <c r="BX725" s="45" t="n"/>
      <c r="BY725" s="45" t="n"/>
      <c r="BZ725" s="45" t="n"/>
      <c r="CA725" s="45" t="n"/>
      <c r="CB725" s="45" t="n"/>
      <c r="CC725" s="45" t="n"/>
      <c r="CD725" s="45" t="n"/>
      <c r="CE725" s="45" t="n"/>
      <c r="CF725" s="45" t="n"/>
      <c r="CG725" s="155" t="n"/>
    </row>
    <row r="726">
      <c r="A726" s="27" t="inlineStr">
        <is>
          <t>Cash</t>
        </is>
      </c>
      <c r="B726" s="146" t="n"/>
      <c r="C726" s="1112">
        <f>C952+C953</f>
        <v/>
      </c>
      <c r="D726" s="1112">
        <f>D952+D953</f>
        <v/>
      </c>
      <c r="E726" s="1112">
        <f>E952+E953</f>
        <v/>
      </c>
      <c r="F726" s="1112">
        <f>F952+F953</f>
        <v/>
      </c>
      <c r="G726" s="27">
        <f>G952+G953</f>
        <v/>
      </c>
      <c r="H726" s="27">
        <f>H952+H953</f>
        <v/>
      </c>
      <c r="I726" s="27">
        <f>I952+I953</f>
        <v/>
      </c>
      <c r="J726" s="27">
        <f>J952+J953</f>
        <v/>
      </c>
      <c r="K726" s="1112">
        <f>K952+K953</f>
        <v/>
      </c>
      <c r="L726" s="27">
        <f>L952+L953</f>
        <v/>
      </c>
      <c r="M726" s="27">
        <f>M952+M953</f>
        <v/>
      </c>
      <c r="N726" s="27">
        <f>N952+N953</f>
        <v/>
      </c>
      <c r="O726" s="27">
        <f>O952+O953</f>
        <v/>
      </c>
      <c r="P726" s="1112">
        <f>P952+P953</f>
        <v/>
      </c>
      <c r="Q726" s="27">
        <f>Q952+Q953</f>
        <v/>
      </c>
      <c r="R726" s="27">
        <f>R952+R953</f>
        <v/>
      </c>
      <c r="S726" s="27">
        <f>S952+S953</f>
        <v/>
      </c>
      <c r="T726" s="27">
        <f>T952+T953</f>
        <v/>
      </c>
      <c r="U726" s="1112">
        <f>U952+U953</f>
        <v/>
      </c>
      <c r="V726" s="27">
        <f>V952+V953</f>
        <v/>
      </c>
      <c r="W726" s="27">
        <f>W952+W953</f>
        <v/>
      </c>
      <c r="X726" s="27">
        <f>X952+X953</f>
        <v/>
      </c>
      <c r="Y726" s="27">
        <f>Y952+Y953</f>
        <v/>
      </c>
      <c r="Z726" s="1112">
        <f>Z952+Z953</f>
        <v/>
      </c>
      <c r="AA726" s="27">
        <f>AA952+AA953</f>
        <v/>
      </c>
      <c r="AB726" s="27">
        <f>AB952+AB953</f>
        <v/>
      </c>
      <c r="AC726" s="68">
        <f>AC952+AC953</f>
        <v/>
      </c>
      <c r="AD726" s="68">
        <f>AD952+AD953</f>
        <v/>
      </c>
      <c r="AE726" s="1110">
        <f>AE952+AE953</f>
        <v/>
      </c>
      <c r="AF726" s="68">
        <f>AF952+AF953</f>
        <v/>
      </c>
      <c r="AG726" s="27">
        <f>AG952+AG953</f>
        <v/>
      </c>
      <c r="AH726" s="27">
        <f>AH952+AH953</f>
        <v/>
      </c>
      <c r="AI726" s="68">
        <f>AI952+AI953</f>
        <v/>
      </c>
      <c r="AJ726" s="1110">
        <f>AJ952+AJ953</f>
        <v/>
      </c>
      <c r="AK726" s="27">
        <f>AK952+AK953</f>
        <v/>
      </c>
      <c r="AL726" s="27">
        <f>AL952+AL953</f>
        <v/>
      </c>
      <c r="AM726" s="27">
        <f>AM952+AM953</f>
        <v/>
      </c>
      <c r="AN726" s="68">
        <f>AN952+AN953</f>
        <v/>
      </c>
      <c r="AO726" s="1110">
        <f>AO952+AO953</f>
        <v/>
      </c>
      <c r="AP726" s="27">
        <f>AP952+AP953</f>
        <v/>
      </c>
      <c r="AQ726" s="27">
        <f>AQ952+AQ953</f>
        <v/>
      </c>
      <c r="AR726" s="27">
        <f>AR952+AR953</f>
        <v/>
      </c>
      <c r="AS726" s="68">
        <f>AS952+AS953</f>
        <v/>
      </c>
      <c r="AT726" s="1110">
        <f>AT952+AT953</f>
        <v/>
      </c>
      <c r="AU726" s="27">
        <f>AU952+AU953</f>
        <v/>
      </c>
      <c r="AV726" s="27">
        <f>AV952+AV953</f>
        <v/>
      </c>
      <c r="AW726" s="27">
        <f>AW952+AW953</f>
        <v/>
      </c>
      <c r="AX726" s="68">
        <f>AX952+AX953</f>
        <v/>
      </c>
      <c r="AY726" s="1110">
        <f>AY952+AY953</f>
        <v/>
      </c>
      <c r="AZ726" s="27">
        <f>AZ952+AZ953</f>
        <v/>
      </c>
      <c r="BA726" s="27">
        <f>BA952+BA953</f>
        <v/>
      </c>
      <c r="BB726" s="27">
        <f>BB952+BB953</f>
        <v/>
      </c>
      <c r="BC726" s="68">
        <f>BC952+BC953</f>
        <v/>
      </c>
      <c r="BD726" s="1110">
        <f>BD952+BD953</f>
        <v/>
      </c>
      <c r="BE726" s="27">
        <f>BE952+BE953</f>
        <v/>
      </c>
      <c r="BF726" s="68">
        <f>BF952+BF953</f>
        <v/>
      </c>
      <c r="BG726" s="27">
        <f>BG952+BG953</f>
        <v/>
      </c>
      <c r="BH726" s="68">
        <f>BH952+BH953</f>
        <v/>
      </c>
      <c r="BI726" s="1110">
        <f>BI952+BI953</f>
        <v/>
      </c>
      <c r="BJ726" s="27">
        <f>BJ952+BJ953</f>
        <v/>
      </c>
      <c r="BK726" s="68">
        <f>BK952+BK953</f>
        <v/>
      </c>
      <c r="BL726" s="27">
        <f>BL952+BL953</f>
        <v/>
      </c>
      <c r="BM726" s="68">
        <f>BM952+BM953</f>
        <v/>
      </c>
      <c r="BN726" s="1110">
        <f>BN952+BN953</f>
        <v/>
      </c>
      <c r="BO726" s="27">
        <f>BO952+BO953</f>
        <v/>
      </c>
      <c r="BP726" s="68">
        <f>BP952+BP953</f>
        <v/>
      </c>
      <c r="BQ726" s="27">
        <f>BQ952+BQ953</f>
        <v/>
      </c>
      <c r="BR726" s="68">
        <f>BR952+BR953</f>
        <v/>
      </c>
      <c r="BS726" s="1110">
        <f>BS952+BS953</f>
        <v/>
      </c>
      <c r="BT726" s="27">
        <f>BT952+BT953</f>
        <v/>
      </c>
      <c r="BU726" s="68">
        <f>BU952+BU953</f>
        <v/>
      </c>
      <c r="BV726" s="508">
        <f>BV952+BV953</f>
        <v/>
      </c>
      <c r="BW726" s="68">
        <f>BW952+BW953</f>
        <v/>
      </c>
      <c r="BX726" s="1110">
        <f>BX952+BX953</f>
        <v/>
      </c>
      <c r="BY726" s="68">
        <f>BY952+BY953</f>
        <v/>
      </c>
      <c r="BZ726" s="68">
        <f>BZ952+BZ953</f>
        <v/>
      </c>
      <c r="CA726" s="68">
        <f>CA952+CA953</f>
        <v/>
      </c>
      <c r="CB726" s="68">
        <f>CB952+CB953</f>
        <v/>
      </c>
      <c r="CC726" s="1110">
        <f>CC952+CC953</f>
        <v/>
      </c>
      <c r="CD726" s="1110">
        <f>CD952+CD953</f>
        <v/>
      </c>
      <c r="CE726" s="1110">
        <f>CE952+CE953</f>
        <v/>
      </c>
      <c r="CF726" s="1110">
        <f>CF952+CF953</f>
        <v/>
      </c>
      <c r="CG726" s="155" t="n"/>
    </row>
    <row r="727">
      <c r="A727" s="67" t="inlineStr">
        <is>
          <t>ST Debt</t>
        </is>
      </c>
      <c r="B727" s="146" t="n"/>
      <c r="C727" s="1112">
        <f>C988</f>
        <v/>
      </c>
      <c r="D727" s="1112">
        <f>D988</f>
        <v/>
      </c>
      <c r="E727" s="1112">
        <f>E988</f>
        <v/>
      </c>
      <c r="F727" s="1112">
        <f>F988</f>
        <v/>
      </c>
      <c r="G727" s="27">
        <f>G988</f>
        <v/>
      </c>
      <c r="H727" s="27">
        <f>H988</f>
        <v/>
      </c>
      <c r="I727" s="27">
        <f>I988</f>
        <v/>
      </c>
      <c r="J727" s="27">
        <f>J988</f>
        <v/>
      </c>
      <c r="K727" s="1112">
        <f>K988</f>
        <v/>
      </c>
      <c r="L727" s="27">
        <f>L988</f>
        <v/>
      </c>
      <c r="M727" s="27">
        <f>M988</f>
        <v/>
      </c>
      <c r="N727" s="27">
        <f>N988</f>
        <v/>
      </c>
      <c r="O727" s="27">
        <f>O988</f>
        <v/>
      </c>
      <c r="P727" s="1112">
        <f>P988</f>
        <v/>
      </c>
      <c r="Q727" s="27">
        <f>Q988</f>
        <v/>
      </c>
      <c r="R727" s="27">
        <f>R988</f>
        <v/>
      </c>
      <c r="S727" s="27">
        <f>S988</f>
        <v/>
      </c>
      <c r="T727" s="27">
        <f>T988</f>
        <v/>
      </c>
      <c r="U727" s="1112">
        <f>U988</f>
        <v/>
      </c>
      <c r="V727" s="27">
        <f>V988</f>
        <v/>
      </c>
      <c r="W727" s="27">
        <f>W988</f>
        <v/>
      </c>
      <c r="X727" s="27">
        <f>X988</f>
        <v/>
      </c>
      <c r="Y727" s="27">
        <f>Y988</f>
        <v/>
      </c>
      <c r="Z727" s="1112">
        <f>Z988</f>
        <v/>
      </c>
      <c r="AA727" s="27">
        <f>AA988</f>
        <v/>
      </c>
      <c r="AB727" s="27">
        <f>AB988</f>
        <v/>
      </c>
      <c r="AC727" s="68">
        <f>AC988</f>
        <v/>
      </c>
      <c r="AD727" s="68">
        <f>AD988</f>
        <v/>
      </c>
      <c r="AE727" s="1110">
        <f>AE988</f>
        <v/>
      </c>
      <c r="AF727" s="68">
        <f>AF988</f>
        <v/>
      </c>
      <c r="AG727" s="27">
        <f>AG988</f>
        <v/>
      </c>
      <c r="AH727" s="27">
        <f>AH988</f>
        <v/>
      </c>
      <c r="AI727" s="68">
        <f>AI988</f>
        <v/>
      </c>
      <c r="AJ727" s="1110">
        <f>AJ988</f>
        <v/>
      </c>
      <c r="AK727" s="27">
        <f>AK988</f>
        <v/>
      </c>
      <c r="AL727" s="27">
        <f>AL988</f>
        <v/>
      </c>
      <c r="AM727" s="27">
        <f>AM988</f>
        <v/>
      </c>
      <c r="AN727" s="68">
        <f>AN988</f>
        <v/>
      </c>
      <c r="AO727" s="1110">
        <f>AO988</f>
        <v/>
      </c>
      <c r="AP727" s="27">
        <f>AP988</f>
        <v/>
      </c>
      <c r="AQ727" s="27">
        <f>AQ988</f>
        <v/>
      </c>
      <c r="AR727" s="27">
        <f>AR988</f>
        <v/>
      </c>
      <c r="AS727" s="68">
        <f>AS988</f>
        <v/>
      </c>
      <c r="AT727" s="1110">
        <f>AT988</f>
        <v/>
      </c>
      <c r="AU727" s="27">
        <f>AU988</f>
        <v/>
      </c>
      <c r="AV727" s="27">
        <f>AV988</f>
        <v/>
      </c>
      <c r="AW727" s="27">
        <f>AW988</f>
        <v/>
      </c>
      <c r="AX727" s="68">
        <f>AX988</f>
        <v/>
      </c>
      <c r="AY727" s="1110">
        <f>AY988</f>
        <v/>
      </c>
      <c r="AZ727" s="27">
        <f>AZ988</f>
        <v/>
      </c>
      <c r="BA727" s="27">
        <f>BA988</f>
        <v/>
      </c>
      <c r="BB727" s="27">
        <f>BB988</f>
        <v/>
      </c>
      <c r="BC727" s="68">
        <f>BC988</f>
        <v/>
      </c>
      <c r="BD727" s="1110">
        <f>BD988</f>
        <v/>
      </c>
      <c r="BE727" s="27">
        <f>BE988</f>
        <v/>
      </c>
      <c r="BF727" s="68">
        <f>BF988</f>
        <v/>
      </c>
      <c r="BG727" s="27">
        <f>BG988</f>
        <v/>
      </c>
      <c r="BH727" s="68">
        <f>BH988</f>
        <v/>
      </c>
      <c r="BI727" s="1110">
        <f>BI988</f>
        <v/>
      </c>
      <c r="BJ727" s="27">
        <f>BJ988</f>
        <v/>
      </c>
      <c r="BK727" s="68">
        <f>BK988</f>
        <v/>
      </c>
      <c r="BL727" s="27">
        <f>BL988</f>
        <v/>
      </c>
      <c r="BM727" s="68">
        <f>BM988</f>
        <v/>
      </c>
      <c r="BN727" s="1110">
        <f>BN988</f>
        <v/>
      </c>
      <c r="BO727" s="27">
        <f>BO988</f>
        <v/>
      </c>
      <c r="BP727" s="68">
        <f>BP988</f>
        <v/>
      </c>
      <c r="BQ727" s="27">
        <f>BQ988</f>
        <v/>
      </c>
      <c r="BR727" s="68">
        <f>BR988</f>
        <v/>
      </c>
      <c r="BS727" s="1110">
        <f>BS988</f>
        <v/>
      </c>
      <c r="BT727" s="27">
        <f>BT988</f>
        <v/>
      </c>
      <c r="BU727" s="68">
        <f>BU988</f>
        <v/>
      </c>
      <c r="BV727" s="508">
        <f>BV988</f>
        <v/>
      </c>
      <c r="BW727" s="68">
        <f>BW729-BW728</f>
        <v/>
      </c>
      <c r="BX727" s="1110">
        <f>BX988</f>
        <v/>
      </c>
      <c r="BY727" s="68">
        <f>BY729-BY728</f>
        <v/>
      </c>
      <c r="BZ727" s="68">
        <f>BZ729-BZ728</f>
        <v/>
      </c>
      <c r="CA727" s="68">
        <f>CA729-CA728</f>
        <v/>
      </c>
      <c r="CB727" s="68">
        <f>CB729-CB728</f>
        <v/>
      </c>
      <c r="CC727" s="1110">
        <f>CC988</f>
        <v/>
      </c>
      <c r="CD727" s="1110">
        <f>CD729-CD728</f>
        <v/>
      </c>
      <c r="CE727" s="1110">
        <f>CE729-CE728</f>
        <v/>
      </c>
      <c r="CF727" s="1110">
        <f>CF729-CF728</f>
        <v/>
      </c>
      <c r="CG727" s="155" t="n"/>
    </row>
    <row r="728">
      <c r="A728" s="234" t="inlineStr">
        <is>
          <t>LT Debt</t>
        </is>
      </c>
      <c r="B728" s="614" t="n"/>
      <c r="C728" s="1208">
        <f>C995+C992+C996</f>
        <v/>
      </c>
      <c r="D728" s="1208">
        <f>D995+D992+D996</f>
        <v/>
      </c>
      <c r="E728" s="1208">
        <f>E995+E992+E996</f>
        <v/>
      </c>
      <c r="F728" s="1208">
        <f>F995+F992+F996</f>
        <v/>
      </c>
      <c r="G728" s="235">
        <f>G995+G992+G996</f>
        <v/>
      </c>
      <c r="H728" s="235">
        <f>H995+H992+H996</f>
        <v/>
      </c>
      <c r="I728" s="235">
        <f>I995+I992+I996</f>
        <v/>
      </c>
      <c r="J728" s="235">
        <f>J995+J992+J996</f>
        <v/>
      </c>
      <c r="K728" s="1208">
        <f>K995+K992+K996</f>
        <v/>
      </c>
      <c r="L728" s="235">
        <f>L995+L992+L996</f>
        <v/>
      </c>
      <c r="M728" s="235">
        <f>M995+M992+M996</f>
        <v/>
      </c>
      <c r="N728" s="235">
        <f>N995+N992+N996</f>
        <v/>
      </c>
      <c r="O728" s="235">
        <f>O995+O992+O996</f>
        <v/>
      </c>
      <c r="P728" s="1208">
        <f>P995+P992+P996</f>
        <v/>
      </c>
      <c r="Q728" s="235">
        <f>Q995+Q992+Q996</f>
        <v/>
      </c>
      <c r="R728" s="235">
        <f>R995+R992+R996</f>
        <v/>
      </c>
      <c r="S728" s="235">
        <f>S995+S992+S996</f>
        <v/>
      </c>
      <c r="T728" s="235">
        <f>T995+T992+T996</f>
        <v/>
      </c>
      <c r="U728" s="1208">
        <f>U995+U992+U996</f>
        <v/>
      </c>
      <c r="V728" s="235">
        <f>V995+V992+V996</f>
        <v/>
      </c>
      <c r="W728" s="235">
        <f>W995+W992+W996</f>
        <v/>
      </c>
      <c r="X728" s="235">
        <f>X995+X992+X996</f>
        <v/>
      </c>
      <c r="Y728" s="235">
        <f>Y995+Y992+Y996</f>
        <v/>
      </c>
      <c r="Z728" s="1208">
        <f>Z995+Z992+Z996</f>
        <v/>
      </c>
      <c r="AA728" s="235">
        <f>AA995+AA992+AA996</f>
        <v/>
      </c>
      <c r="AB728" s="235">
        <f>AB995+AB992+AB996</f>
        <v/>
      </c>
      <c r="AC728" s="565">
        <f>AC995+AC992+AC996</f>
        <v/>
      </c>
      <c r="AD728" s="565">
        <f>AD995+AD992+AD996</f>
        <v/>
      </c>
      <c r="AE728" s="1209">
        <f>AE995+AE992+AE996</f>
        <v/>
      </c>
      <c r="AF728" s="565">
        <f>AF995+AF992+AF996</f>
        <v/>
      </c>
      <c r="AG728" s="235">
        <f>AG995+AG992+AG996</f>
        <v/>
      </c>
      <c r="AH728" s="235">
        <f>AH995+AH992+AH996</f>
        <v/>
      </c>
      <c r="AI728" s="565">
        <f>AI995+AI992+AI996</f>
        <v/>
      </c>
      <c r="AJ728" s="1209">
        <f>AJ995+AJ992+AJ996</f>
        <v/>
      </c>
      <c r="AK728" s="235">
        <f>AK995+AK992+AK996</f>
        <v/>
      </c>
      <c r="AL728" s="235">
        <f>AL995+AL992+AL996</f>
        <v/>
      </c>
      <c r="AM728" s="235">
        <f>AM995+AM992+AM996</f>
        <v/>
      </c>
      <c r="AN728" s="565">
        <f>AN995+AN992+AN996</f>
        <v/>
      </c>
      <c r="AO728" s="1209">
        <f>AO995+AO992+AO996</f>
        <v/>
      </c>
      <c r="AP728" s="235">
        <f>AP995+AP992+AP996</f>
        <v/>
      </c>
      <c r="AQ728" s="235">
        <f>AQ995+AQ992+AQ996</f>
        <v/>
      </c>
      <c r="AR728" s="235">
        <f>AR995+AR992+AR996</f>
        <v/>
      </c>
      <c r="AS728" s="565">
        <f>AS995+AS992+AS996</f>
        <v/>
      </c>
      <c r="AT728" s="1209">
        <f>AT995+AT992+AT996</f>
        <v/>
      </c>
      <c r="AU728" s="235">
        <f>AU995+AU992+AU996</f>
        <v/>
      </c>
      <c r="AV728" s="235">
        <f>AV995+AV992+AV996</f>
        <v/>
      </c>
      <c r="AW728" s="235">
        <f>AW995+AW992+AW996</f>
        <v/>
      </c>
      <c r="AX728" s="565">
        <f>AX995+AX992+AX996</f>
        <v/>
      </c>
      <c r="AY728" s="1209">
        <f>AY995+AY992+AY996</f>
        <v/>
      </c>
      <c r="AZ728" s="235">
        <f>AZ995+AZ992+AZ996</f>
        <v/>
      </c>
      <c r="BA728" s="235">
        <f>BA995+BA992+BA996</f>
        <v/>
      </c>
      <c r="BB728" s="235">
        <f>BB995+BB992+BB996</f>
        <v/>
      </c>
      <c r="BC728" s="565">
        <f>BC995+BC992+BC996</f>
        <v/>
      </c>
      <c r="BD728" s="1209">
        <f>BD995+BD992+BD996</f>
        <v/>
      </c>
      <c r="BE728" s="235">
        <f>BE995+BE992+BE996</f>
        <v/>
      </c>
      <c r="BF728" s="565">
        <f>BF995+BF992+BF996</f>
        <v/>
      </c>
      <c r="BG728" s="235">
        <f>BG995+BG992+BG996</f>
        <v/>
      </c>
      <c r="BH728" s="565">
        <f>BH995+BH992+BH996</f>
        <v/>
      </c>
      <c r="BI728" s="1209">
        <f>BI995+BI992+BI996</f>
        <v/>
      </c>
      <c r="BJ728" s="235">
        <f>BJ995+BJ992+BJ996</f>
        <v/>
      </c>
      <c r="BK728" s="565">
        <f>BK995+BK992+BK996</f>
        <v/>
      </c>
      <c r="BL728" s="235">
        <f>BL995+BL992+BL996</f>
        <v/>
      </c>
      <c r="BM728" s="565">
        <f>BM995+BM992+BM996</f>
        <v/>
      </c>
      <c r="BN728" s="1209">
        <f>BN995+BN992+BN996</f>
        <v/>
      </c>
      <c r="BO728" s="235">
        <f>BO995+BO992+BO996</f>
        <v/>
      </c>
      <c r="BP728" s="565">
        <f>BP995+BP992+BP996</f>
        <v/>
      </c>
      <c r="BQ728" s="235">
        <f>BQ995+BQ992+BQ996</f>
        <v/>
      </c>
      <c r="BR728" s="565">
        <f>BR995+BR992+BR996</f>
        <v/>
      </c>
      <c r="BS728" s="1209">
        <f>BS995+BS992+BS996</f>
        <v/>
      </c>
      <c r="BT728" s="235">
        <f>BT995+BT992+BT996</f>
        <v/>
      </c>
      <c r="BU728" s="565">
        <f>BU995+BU992+BU996</f>
        <v/>
      </c>
      <c r="BV728" s="1029">
        <f>BV995+BV992+BV996</f>
        <v/>
      </c>
      <c r="BW728" s="565">
        <f>MAX(0,BV728+BW709)</f>
        <v/>
      </c>
      <c r="BX728" s="1209">
        <f>BX995+BX992+BX996</f>
        <v/>
      </c>
      <c r="BY728" s="565">
        <f>MAX(0,BX728+BY709)</f>
        <v/>
      </c>
      <c r="BZ728" s="565">
        <f>MAX(0,BY728+BZ709)</f>
        <v/>
      </c>
      <c r="CA728" s="565">
        <f>MAX(0,BZ728+CA709)</f>
        <v/>
      </c>
      <c r="CB728" s="565">
        <f>MAX(0,CA728+CB709)</f>
        <v/>
      </c>
      <c r="CC728" s="1209">
        <f>CC995+CC992+CC996</f>
        <v/>
      </c>
      <c r="CD728" s="1209">
        <f>MAX(0,CC728+CD709)</f>
        <v/>
      </c>
      <c r="CE728" s="1209">
        <f>MAX(0,CD728+CE709)</f>
        <v/>
      </c>
      <c r="CF728" s="1209">
        <f>MAX(0,CE728+CF709)</f>
        <v/>
      </c>
      <c r="CG728" s="155" t="n"/>
    </row>
    <row r="729">
      <c r="A729" s="27" t="inlineStr">
        <is>
          <t>Debt</t>
        </is>
      </c>
      <c r="B729" s="146" t="n"/>
      <c r="C729" s="1112">
        <f>C988+C995+C992+C996</f>
        <v/>
      </c>
      <c r="D729" s="1112">
        <f>D988+D995+D992+D996</f>
        <v/>
      </c>
      <c r="E729" s="1112">
        <f>E988+E995+E992+E996</f>
        <v/>
      </c>
      <c r="F729" s="1112">
        <f>F988+F995+F992+F996</f>
        <v/>
      </c>
      <c r="G729" s="27">
        <f>G988+G995+G992+G996</f>
        <v/>
      </c>
      <c r="H729" s="27">
        <f>H988+H995+H992+H996</f>
        <v/>
      </c>
      <c r="I729" s="27">
        <f>I988+I995+I992+I996</f>
        <v/>
      </c>
      <c r="J729" s="27">
        <f>J988+J995+J992+J996</f>
        <v/>
      </c>
      <c r="K729" s="1112">
        <f>K988+K995+K992+K996</f>
        <v/>
      </c>
      <c r="L729" s="27">
        <f>L988+L995+L992+L996</f>
        <v/>
      </c>
      <c r="M729" s="27">
        <f>M988+M995+M992+M996</f>
        <v/>
      </c>
      <c r="N729" s="27">
        <f>N988+N995+N992+N996</f>
        <v/>
      </c>
      <c r="O729" s="27">
        <f>O988+O995+O992+O996</f>
        <v/>
      </c>
      <c r="P729" s="1112">
        <f>P988+P995+P992+P996</f>
        <v/>
      </c>
      <c r="Q729" s="27">
        <f>Q988+Q995+Q992+Q996</f>
        <v/>
      </c>
      <c r="R729" s="27">
        <f>R988+R995+R992+R996</f>
        <v/>
      </c>
      <c r="S729" s="27">
        <f>S988+S995+S992+S996</f>
        <v/>
      </c>
      <c r="T729" s="27">
        <f>T988+T995+T992+T996</f>
        <v/>
      </c>
      <c r="U729" s="1112">
        <f>U988+U995+U992+U996</f>
        <v/>
      </c>
      <c r="V729" s="27">
        <f>V988+V995+V992+V996</f>
        <v/>
      </c>
      <c r="W729" s="27">
        <f>W988+W995+W992+W996</f>
        <v/>
      </c>
      <c r="X729" s="27">
        <f>X988+X995+X992+X996</f>
        <v/>
      </c>
      <c r="Y729" s="27">
        <f>Y988+Y995+Y992+Y996</f>
        <v/>
      </c>
      <c r="Z729" s="1112">
        <f>Z988+Z995+Z992+Z996</f>
        <v/>
      </c>
      <c r="AA729" s="27">
        <f>AA988+AA995+AA992+AA996</f>
        <v/>
      </c>
      <c r="AB729" s="27">
        <f>AB988+AB995+AB992+AB996</f>
        <v/>
      </c>
      <c r="AC729" s="68">
        <f>AC988+AC995+AC992+AC996</f>
        <v/>
      </c>
      <c r="AD729" s="68">
        <f>AD988+AD995+AD992+AD996</f>
        <v/>
      </c>
      <c r="AE729" s="1110">
        <f>AE988+AE995+AE992+AE996</f>
        <v/>
      </c>
      <c r="AF729" s="68">
        <f>AF988+AF995+AF992+AF996</f>
        <v/>
      </c>
      <c r="AG729" s="27">
        <f>AG988+AG995+AG992+AG996</f>
        <v/>
      </c>
      <c r="AH729" s="27">
        <f>AH988+AH995+AH992+AH996</f>
        <v/>
      </c>
      <c r="AI729" s="68">
        <f>AI988+AI995+AI992+AI996</f>
        <v/>
      </c>
      <c r="AJ729" s="1110">
        <f>AJ988+AJ995+AJ992+AJ996</f>
        <v/>
      </c>
      <c r="AK729" s="27">
        <f>AK988+AK995+AK992+AK996</f>
        <v/>
      </c>
      <c r="AL729" s="27">
        <f>AL988+AL995+AL992+AL996</f>
        <v/>
      </c>
      <c r="AM729" s="27">
        <f>AM988+AM995+AM992+AM996</f>
        <v/>
      </c>
      <c r="AN729" s="68">
        <f>AN988+AN995+AN992+AN996</f>
        <v/>
      </c>
      <c r="AO729" s="1110">
        <f>AO988+AO995+AO992+AO996</f>
        <v/>
      </c>
      <c r="AP729" s="27">
        <f>AP988+AP995+AP992+AP996</f>
        <v/>
      </c>
      <c r="AQ729" s="27">
        <f>AQ988+AQ995+AQ992+AQ996</f>
        <v/>
      </c>
      <c r="AR729" s="27">
        <f>AR988+AR995+AR992+AR996</f>
        <v/>
      </c>
      <c r="AS729" s="68">
        <f>AS988+AS995+AS992+AS996</f>
        <v/>
      </c>
      <c r="AT729" s="1110">
        <f>AT988+AT995+AT992+AT996</f>
        <v/>
      </c>
      <c r="AU729" s="27">
        <f>AU988+AU995+AU992+AU996</f>
        <v/>
      </c>
      <c r="AV729" s="27">
        <f>AV988+AV995+AV992+AV996</f>
        <v/>
      </c>
      <c r="AW729" s="27">
        <f>AW988+AW995+AW992+AW996</f>
        <v/>
      </c>
      <c r="AX729" s="68">
        <f>AX988+AX995+AX992+AX996</f>
        <v/>
      </c>
      <c r="AY729" s="1110">
        <f>AY988+AY995+AY992+AY996</f>
        <v/>
      </c>
      <c r="AZ729" s="27">
        <f>AZ988+AZ995+AZ992+AZ996</f>
        <v/>
      </c>
      <c r="BA729" s="27">
        <f>BA988+BA995+BA992+BA996</f>
        <v/>
      </c>
      <c r="BB729" s="27">
        <f>BB988+BB995+BB992+BB996</f>
        <v/>
      </c>
      <c r="BC729" s="68">
        <f>BC988+BC995+BC992+BC996</f>
        <v/>
      </c>
      <c r="BD729" s="1110">
        <f>BD988+BD995+BD992+BD996</f>
        <v/>
      </c>
      <c r="BE729" s="27">
        <f>BE988+BE995+BE992+BE996</f>
        <v/>
      </c>
      <c r="BF729" s="68">
        <f>BF988+BF995+BF992+BF996</f>
        <v/>
      </c>
      <c r="BG729" s="27">
        <f>BG988+BG995+BG992+BG996</f>
        <v/>
      </c>
      <c r="BH729" s="68">
        <f>BH988+BH995+BH992+BH996</f>
        <v/>
      </c>
      <c r="BI729" s="1110">
        <f>BI988+BI995+BI992+BI996</f>
        <v/>
      </c>
      <c r="BJ729" s="27">
        <f>BJ988+BJ995+BJ992+BJ996</f>
        <v/>
      </c>
      <c r="BK729" s="68">
        <f>BK988+BK995+BK992+BK996</f>
        <v/>
      </c>
      <c r="BL729" s="27">
        <f>BL988+BL995+BL992+BL996</f>
        <v/>
      </c>
      <c r="BM729" s="68">
        <f>BM988+BM995+BM992+BM996</f>
        <v/>
      </c>
      <c r="BN729" s="1110">
        <f>BN988+BN995+BN992+BN996</f>
        <v/>
      </c>
      <c r="BO729" s="27">
        <f>BO988+BO995+BO992+BO996</f>
        <v/>
      </c>
      <c r="BP729" s="68">
        <f>BP988+BP995+BP992+BP996</f>
        <v/>
      </c>
      <c r="BQ729" s="27">
        <f>BQ988+BQ995+BQ992+BQ996</f>
        <v/>
      </c>
      <c r="BR729" s="68">
        <f>BR988+BR995+BR992+BR996</f>
        <v/>
      </c>
      <c r="BS729" s="1110">
        <f>BS988+BS995+BS992+BS996</f>
        <v/>
      </c>
      <c r="BT729" s="27">
        <f>BT988+BT995+BT992+BT996</f>
        <v/>
      </c>
      <c r="BU729" s="68">
        <f>BU988+BU995+BU992+BU996</f>
        <v/>
      </c>
      <c r="BV729" s="508">
        <f>BV988+BV995+BV992+BV996</f>
        <v/>
      </c>
      <c r="BW729" s="68">
        <f>BV729+BW709</f>
        <v/>
      </c>
      <c r="BX729" s="1110">
        <f>BX988+BX995+BX992+BX996</f>
        <v/>
      </c>
      <c r="BY729" s="68">
        <f>BX729+BY709</f>
        <v/>
      </c>
      <c r="BZ729" s="68">
        <f>BY729+BZ709</f>
        <v/>
      </c>
      <c r="CA729" s="68">
        <f>BZ729+CA709</f>
        <v/>
      </c>
      <c r="CB729" s="68">
        <f>CA729+CB709</f>
        <v/>
      </c>
      <c r="CC729" s="1110">
        <f>CC988+CC995+CC992+CC996</f>
        <v/>
      </c>
      <c r="CD729" s="1110">
        <f>CC729+CD709</f>
        <v/>
      </c>
      <c r="CE729" s="1110">
        <f>CD729+CE709</f>
        <v/>
      </c>
      <c r="CF729" s="1110">
        <f>CE729+CF709</f>
        <v/>
      </c>
      <c r="CG729" s="155" t="n"/>
    </row>
    <row r="730">
      <c r="A730" s="27" t="inlineStr">
        <is>
          <t>Operating Lease Liabilities</t>
        </is>
      </c>
      <c r="B730" s="146" t="n"/>
      <c r="C730" s="1112">
        <f>C993+C986</f>
        <v/>
      </c>
      <c r="D730" s="1112">
        <f>D993+D986</f>
        <v/>
      </c>
      <c r="E730" s="1112">
        <f>E993+E986</f>
        <v/>
      </c>
      <c r="F730" s="1112">
        <f>F993+F986</f>
        <v/>
      </c>
      <c r="G730" s="27">
        <f>G993+G986</f>
        <v/>
      </c>
      <c r="H730" s="27">
        <f>H993+H986</f>
        <v/>
      </c>
      <c r="I730" s="27">
        <f>I993+I986</f>
        <v/>
      </c>
      <c r="J730" s="27">
        <f>J993+J986</f>
        <v/>
      </c>
      <c r="K730" s="1112">
        <f>K993+K986</f>
        <v/>
      </c>
      <c r="L730" s="27">
        <f>L993+L986</f>
        <v/>
      </c>
      <c r="M730" s="27">
        <f>M993+M986</f>
        <v/>
      </c>
      <c r="N730" s="27">
        <f>N993+N986</f>
        <v/>
      </c>
      <c r="O730" s="27">
        <f>O993+O986</f>
        <v/>
      </c>
      <c r="P730" s="1112">
        <f>P993+P986</f>
        <v/>
      </c>
      <c r="Q730" s="27">
        <f>Q993+Q986</f>
        <v/>
      </c>
      <c r="R730" s="27">
        <f>R993+R986</f>
        <v/>
      </c>
      <c r="S730" s="27">
        <f>S993+S986</f>
        <v/>
      </c>
      <c r="T730" s="27">
        <f>T993+T986</f>
        <v/>
      </c>
      <c r="U730" s="1112">
        <f>U993+U986</f>
        <v/>
      </c>
      <c r="V730" s="27">
        <f>V993+V986</f>
        <v/>
      </c>
      <c r="W730" s="27">
        <f>W993+W986</f>
        <v/>
      </c>
      <c r="X730" s="27">
        <f>X993+X986</f>
        <v/>
      </c>
      <c r="Y730" s="27">
        <f>Y993+Y986</f>
        <v/>
      </c>
      <c r="Z730" s="1112">
        <f>Z993+Z986</f>
        <v/>
      </c>
      <c r="AA730" s="27">
        <f>AA993+AA986</f>
        <v/>
      </c>
      <c r="AB730" s="27">
        <f>AB993+AB986</f>
        <v/>
      </c>
      <c r="AC730" s="68">
        <f>AC993+AC986</f>
        <v/>
      </c>
      <c r="AD730" s="68">
        <f>AD993+AD986</f>
        <v/>
      </c>
      <c r="AE730" s="1110">
        <f>AE993+AE986</f>
        <v/>
      </c>
      <c r="AF730" s="68">
        <f>AF993+AF986</f>
        <v/>
      </c>
      <c r="AG730" s="27">
        <f>AG993+AG986</f>
        <v/>
      </c>
      <c r="AH730" s="27">
        <f>AH993+AH986</f>
        <v/>
      </c>
      <c r="AI730" s="68">
        <f>AI993+AI986</f>
        <v/>
      </c>
      <c r="AJ730" s="1110">
        <f>AJ993+AJ986</f>
        <v/>
      </c>
      <c r="AK730" s="27">
        <f>AK993+AK986</f>
        <v/>
      </c>
      <c r="AL730" s="27">
        <f>AL993+AL986</f>
        <v/>
      </c>
      <c r="AM730" s="27">
        <f>AM993+AM986</f>
        <v/>
      </c>
      <c r="AN730" s="68">
        <f>AN993+AN986</f>
        <v/>
      </c>
      <c r="AO730" s="1110">
        <f>AO993+AO986</f>
        <v/>
      </c>
      <c r="AP730" s="27">
        <f>AP993+AP986</f>
        <v/>
      </c>
      <c r="AQ730" s="27">
        <f>AQ993+AQ986</f>
        <v/>
      </c>
      <c r="AR730" s="27">
        <f>AR993+AR986</f>
        <v/>
      </c>
      <c r="AS730" s="68">
        <f>AS993+AS986</f>
        <v/>
      </c>
      <c r="AT730" s="1110">
        <f>AT993+AT986</f>
        <v/>
      </c>
      <c r="AU730" s="27">
        <f>AU993+AU986</f>
        <v/>
      </c>
      <c r="AV730" s="27">
        <f>AV993+AV986</f>
        <v/>
      </c>
      <c r="AW730" s="27">
        <f>AW993+AW986</f>
        <v/>
      </c>
      <c r="AX730" s="68">
        <f>AX993+AX986</f>
        <v/>
      </c>
      <c r="AY730" s="1110">
        <f>AY993+AY986</f>
        <v/>
      </c>
      <c r="AZ730" s="27">
        <f>AZ993+AZ986</f>
        <v/>
      </c>
      <c r="BA730" s="27">
        <f>BA993+BA986</f>
        <v/>
      </c>
      <c r="BB730" s="27">
        <f>BB993+BB986</f>
        <v/>
      </c>
      <c r="BC730" s="68">
        <f>BC993+BC986</f>
        <v/>
      </c>
      <c r="BD730" s="1110">
        <f>BD993+BD986</f>
        <v/>
      </c>
      <c r="BE730" s="27">
        <f>BE993+BE986</f>
        <v/>
      </c>
      <c r="BF730" s="68">
        <f>BF993+BF986</f>
        <v/>
      </c>
      <c r="BG730" s="27">
        <f>BG993+BG986</f>
        <v/>
      </c>
      <c r="BH730" s="68">
        <f>BH993+BH986</f>
        <v/>
      </c>
      <c r="BI730" s="1110">
        <f>BI993+BI986</f>
        <v/>
      </c>
      <c r="BJ730" s="27">
        <f>BJ993+BJ986</f>
        <v/>
      </c>
      <c r="BK730" s="68">
        <f>BK993+BK986</f>
        <v/>
      </c>
      <c r="BL730" s="27">
        <f>BL993+BL986</f>
        <v/>
      </c>
      <c r="BM730" s="68">
        <f>BM993+BM986</f>
        <v/>
      </c>
      <c r="BN730" s="1110">
        <f>BN993+BN986</f>
        <v/>
      </c>
      <c r="BO730" s="27">
        <f>BO993+BO986</f>
        <v/>
      </c>
      <c r="BP730" s="68">
        <f>BP993+BP986</f>
        <v/>
      </c>
      <c r="BQ730" s="27">
        <f>BQ993+BQ986</f>
        <v/>
      </c>
      <c r="BR730" s="68">
        <f>BR993+BR986</f>
        <v/>
      </c>
      <c r="BS730" s="1110">
        <f>BS993+BS986</f>
        <v/>
      </c>
      <c r="BT730" s="27">
        <f>BT993+BT986</f>
        <v/>
      </c>
      <c r="BU730" s="68">
        <f>BU993+BU986</f>
        <v/>
      </c>
      <c r="BV730" s="508">
        <f>BV993+BV986</f>
        <v/>
      </c>
      <c r="BW730" s="68">
        <f>BW993+BW986</f>
        <v/>
      </c>
      <c r="BX730" s="1110">
        <f>BX993+BX986</f>
        <v/>
      </c>
      <c r="BY730" s="68">
        <f>BY993+BY986</f>
        <v/>
      </c>
      <c r="BZ730" s="68">
        <f>BZ993+BZ986</f>
        <v/>
      </c>
      <c r="CA730" s="68">
        <f>CA993+CA986</f>
        <v/>
      </c>
      <c r="CB730" s="68">
        <f>CB993+CB986</f>
        <v/>
      </c>
      <c r="CC730" s="1110">
        <f>CC993+CC986</f>
        <v/>
      </c>
      <c r="CD730" s="1110">
        <f>CD993+CD986</f>
        <v/>
      </c>
      <c r="CE730" s="1110">
        <f>CE993+CE986</f>
        <v/>
      </c>
      <c r="CF730" s="1110">
        <f>CF993+CF986</f>
        <v/>
      </c>
      <c r="CG730" s="155" t="n"/>
    </row>
    <row r="731">
      <c r="A731" s="27" t="inlineStr">
        <is>
          <t>Net Debt</t>
        </is>
      </c>
      <c r="B731" s="146" t="n"/>
      <c r="C731" s="1112">
        <f>C729+C730-C726</f>
        <v/>
      </c>
      <c r="D731" s="1112">
        <f>D729+D730-D726</f>
        <v/>
      </c>
      <c r="E731" s="1112">
        <f>E729+E730-E726</f>
        <v/>
      </c>
      <c r="F731" s="1112">
        <f>F729+F730-F726</f>
        <v/>
      </c>
      <c r="G731" s="27">
        <f>G729+G730-G726</f>
        <v/>
      </c>
      <c r="H731" s="27">
        <f>H729+H730-H726</f>
        <v/>
      </c>
      <c r="I731" s="27">
        <f>I729+I730-I726</f>
        <v/>
      </c>
      <c r="J731" s="27">
        <f>J729+J730-J726</f>
        <v/>
      </c>
      <c r="K731" s="1112">
        <f>K729+K730-K726</f>
        <v/>
      </c>
      <c r="L731" s="27">
        <f>L729+L730-L726</f>
        <v/>
      </c>
      <c r="M731" s="27">
        <f>M729+M730-M726</f>
        <v/>
      </c>
      <c r="N731" s="27">
        <f>N729+N730-N726</f>
        <v/>
      </c>
      <c r="O731" s="27">
        <f>O729+O730-O726</f>
        <v/>
      </c>
      <c r="P731" s="1112">
        <f>P729+P730-P726</f>
        <v/>
      </c>
      <c r="Q731" s="27">
        <f>Q729+Q730-Q726</f>
        <v/>
      </c>
      <c r="R731" s="27">
        <f>R729+R730-R726</f>
        <v/>
      </c>
      <c r="S731" s="27">
        <f>S729+S730-S726</f>
        <v/>
      </c>
      <c r="T731" s="27">
        <f>T729+T730-T726</f>
        <v/>
      </c>
      <c r="U731" s="1112">
        <f>U729+U730-U726</f>
        <v/>
      </c>
      <c r="V731" s="27">
        <f>V729+V730-V726</f>
        <v/>
      </c>
      <c r="W731" s="27">
        <f>W729+W730-W726</f>
        <v/>
      </c>
      <c r="X731" s="27">
        <f>X729+X730-X726</f>
        <v/>
      </c>
      <c r="Y731" s="27">
        <f>Y729+Y730-Y726</f>
        <v/>
      </c>
      <c r="Z731" s="1112">
        <f>Z729+Z730-Z726</f>
        <v/>
      </c>
      <c r="AA731" s="27">
        <f>AA729+AA730-AA726</f>
        <v/>
      </c>
      <c r="AB731" s="27">
        <f>AB729+AB730-AB726</f>
        <v/>
      </c>
      <c r="AC731" s="68">
        <f>AC729+AC730-AC726</f>
        <v/>
      </c>
      <c r="AD731" s="68">
        <f>AD729+AD730-AD726</f>
        <v/>
      </c>
      <c r="AE731" s="1110">
        <f>AE729+AE730-AE726</f>
        <v/>
      </c>
      <c r="AF731" s="68">
        <f>AF729+AF730-AF726</f>
        <v/>
      </c>
      <c r="AG731" s="27">
        <f>AG729+AG730-AG726</f>
        <v/>
      </c>
      <c r="AH731" s="27">
        <f>AH729+AH730-AH726</f>
        <v/>
      </c>
      <c r="AI731" s="68">
        <f>AI729+AI730-AI726</f>
        <v/>
      </c>
      <c r="AJ731" s="1110">
        <f>AJ729+AJ730-AJ726</f>
        <v/>
      </c>
      <c r="AK731" s="27">
        <f>AK729+AK730-AK726</f>
        <v/>
      </c>
      <c r="AL731" s="27">
        <f>AL729+AL730-AL726</f>
        <v/>
      </c>
      <c r="AM731" s="27">
        <f>AM729+AM730-AM726</f>
        <v/>
      </c>
      <c r="AN731" s="68">
        <f>AN729+AN730-AN726</f>
        <v/>
      </c>
      <c r="AO731" s="1110">
        <f>AO729+AO730-AO726</f>
        <v/>
      </c>
      <c r="AP731" s="27">
        <f>AP729+AP730-AP726</f>
        <v/>
      </c>
      <c r="AQ731" s="27">
        <f>AQ729+AQ730-AQ726</f>
        <v/>
      </c>
      <c r="AR731" s="27">
        <f>AR729+AR730-AR726</f>
        <v/>
      </c>
      <c r="AS731" s="68">
        <f>AS729+AS730-AS726</f>
        <v/>
      </c>
      <c r="AT731" s="1110">
        <f>AT729+AT730-AT726</f>
        <v/>
      </c>
      <c r="AU731" s="27">
        <f>AU729+AU730-AU726</f>
        <v/>
      </c>
      <c r="AV731" s="27">
        <f>AV729+AV730-AV726</f>
        <v/>
      </c>
      <c r="AW731" s="27">
        <f>AW729+AW730-AW726</f>
        <v/>
      </c>
      <c r="AX731" s="68">
        <f>AX729+AX730-AX726</f>
        <v/>
      </c>
      <c r="AY731" s="1110">
        <f>AY729+AY730-AY726</f>
        <v/>
      </c>
      <c r="AZ731" s="27">
        <f>AZ729+AZ730-AZ726</f>
        <v/>
      </c>
      <c r="BA731" s="27">
        <f>BA729+BA730-BA726</f>
        <v/>
      </c>
      <c r="BB731" s="27">
        <f>BB729+BB730-BB726</f>
        <v/>
      </c>
      <c r="BC731" s="68">
        <f>BC729+BC730-BC726</f>
        <v/>
      </c>
      <c r="BD731" s="1110">
        <f>BD729+BD730-BD726</f>
        <v/>
      </c>
      <c r="BE731" s="27">
        <f>BE729+BE730-BE726</f>
        <v/>
      </c>
      <c r="BF731" s="68">
        <f>BF729+BF730-BF726</f>
        <v/>
      </c>
      <c r="BG731" s="27">
        <f>BG729+BG730-BG726</f>
        <v/>
      </c>
      <c r="BH731" s="68">
        <f>BH729+BH730-BH726</f>
        <v/>
      </c>
      <c r="BI731" s="1110">
        <f>BI729+BI730-BI726</f>
        <v/>
      </c>
      <c r="BJ731" s="27">
        <f>BJ729+BJ730-BJ726</f>
        <v/>
      </c>
      <c r="BK731" s="68">
        <f>BK729+BK730-BK726</f>
        <v/>
      </c>
      <c r="BL731" s="27">
        <f>BL729+BL730-BL726</f>
        <v/>
      </c>
      <c r="BM731" s="68">
        <f>BM729+BM730-BM726</f>
        <v/>
      </c>
      <c r="BN731" s="1110">
        <f>BN729+BN730-BN726</f>
        <v/>
      </c>
      <c r="BO731" s="27">
        <f>BO729+BO730-BO726</f>
        <v/>
      </c>
      <c r="BP731" s="68">
        <f>BP729+BP730-BP726</f>
        <v/>
      </c>
      <c r="BQ731" s="27">
        <f>BQ729+BQ730-BQ726</f>
        <v/>
      </c>
      <c r="BR731" s="68">
        <f>BR729+BR730-BR726</f>
        <v/>
      </c>
      <c r="BS731" s="1110">
        <f>BS729+BS730-BS726</f>
        <v/>
      </c>
      <c r="BT731" s="27">
        <f>BT729+BT730-BT726</f>
        <v/>
      </c>
      <c r="BU731" s="68">
        <f>BU729+BU730-BU726</f>
        <v/>
      </c>
      <c r="BV731" s="508">
        <f>BV729+BV730-BV726</f>
        <v/>
      </c>
      <c r="BW731" s="68">
        <f>BW729+BW730-BW726</f>
        <v/>
      </c>
      <c r="BX731" s="1110">
        <f>BX729+BX730-BX726</f>
        <v/>
      </c>
      <c r="BY731" s="68">
        <f>BY729+BY730-BY726</f>
        <v/>
      </c>
      <c r="BZ731" s="68">
        <f>BZ729+BZ730-BZ726</f>
        <v/>
      </c>
      <c r="CA731" s="68">
        <f>CA729+CA730-CA726</f>
        <v/>
      </c>
      <c r="CB731" s="68">
        <f>CB729+CB730-CB726</f>
        <v/>
      </c>
      <c r="CC731" s="1110">
        <f>CC729+CC730-CC726</f>
        <v/>
      </c>
      <c r="CD731" s="1110">
        <f>CD729+CD730-CD726</f>
        <v/>
      </c>
      <c r="CE731" s="1110">
        <f>CE729+CE730-CE726</f>
        <v/>
      </c>
      <c r="CF731" s="1110">
        <f>CF729+CF730-CF726</f>
        <v/>
      </c>
      <c r="CG731" s="155" t="n"/>
    </row>
    <row r="732">
      <c r="A732" s="68" t="n"/>
      <c r="B732" s="146" t="n"/>
      <c r="C732" s="1110" t="n"/>
      <c r="D732" s="1110" t="n"/>
      <c r="E732" s="1110" t="n"/>
      <c r="F732" s="1110" t="n"/>
      <c r="G732" s="68" t="n"/>
      <c r="H732" s="68" t="n"/>
      <c r="I732" s="68" t="n"/>
      <c r="J732" s="68" t="n"/>
      <c r="K732" s="1110" t="n"/>
      <c r="L732" s="68" t="n"/>
      <c r="M732" s="68" t="n"/>
      <c r="N732" s="68" t="n"/>
      <c r="O732" s="68" t="n"/>
      <c r="P732" s="1110" t="n"/>
      <c r="Q732" s="68" t="n"/>
      <c r="R732" s="68" t="n"/>
      <c r="S732" s="68" t="n"/>
      <c r="T732" s="68" t="n"/>
      <c r="U732" s="1110" t="n"/>
      <c r="V732" s="68" t="n"/>
      <c r="W732" s="68" t="n"/>
      <c r="X732" s="68" t="n"/>
      <c r="Y732" s="68" t="n"/>
      <c r="Z732" s="1110" t="n"/>
      <c r="AA732" s="68" t="n"/>
      <c r="AB732" s="68" t="n"/>
      <c r="AC732" s="68" t="n"/>
      <c r="AD732" s="68" t="n"/>
      <c r="AE732" s="1110" t="n"/>
      <c r="AF732" s="68" t="n"/>
      <c r="AG732" s="68" t="n"/>
      <c r="AH732" s="68" t="n"/>
      <c r="AI732" s="68" t="n"/>
      <c r="AJ732" s="1110" t="n"/>
      <c r="AK732" s="68" t="n"/>
      <c r="AL732" s="68" t="n"/>
      <c r="AM732" s="68" t="n"/>
      <c r="AN732" s="68" t="n"/>
      <c r="AO732" s="1110" t="n"/>
      <c r="AP732" s="68" t="n"/>
      <c r="AQ732" s="68" t="n"/>
      <c r="AR732" s="68" t="n"/>
      <c r="AS732" s="68" t="n"/>
      <c r="AT732" s="1110" t="n"/>
      <c r="AU732" s="68" t="n"/>
      <c r="AV732" s="68" t="n"/>
      <c r="AW732" s="68" t="n"/>
      <c r="AX732" s="68" t="n"/>
      <c r="AY732" s="1110" t="n"/>
      <c r="AZ732" s="68" t="n"/>
      <c r="BA732" s="68" t="n"/>
      <c r="BB732" s="68" t="n"/>
      <c r="BC732" s="68" t="n"/>
      <c r="BD732" s="1110" t="n"/>
      <c r="BE732" s="68" t="n"/>
      <c r="BF732" s="68" t="n"/>
      <c r="BG732" s="68" t="n"/>
      <c r="BH732" s="68" t="n"/>
      <c r="BI732" s="1110" t="n"/>
      <c r="BJ732" s="68" t="n"/>
      <c r="BK732" s="68" t="n"/>
      <c r="BL732" s="68" t="n"/>
      <c r="BM732" s="68" t="n"/>
      <c r="BN732" s="1110" t="n"/>
      <c r="BO732" s="68" t="n"/>
      <c r="BP732" s="68" t="n"/>
      <c r="BQ732" s="68" t="n"/>
      <c r="BR732" s="68" t="n"/>
      <c r="BS732" s="1110" t="n"/>
      <c r="BT732" s="68" t="n"/>
      <c r="BU732" s="68" t="n"/>
      <c r="BV732" s="588" t="n"/>
      <c r="BW732" s="68" t="n"/>
      <c r="BX732" s="1110" t="n"/>
      <c r="BY732" s="68" t="n"/>
      <c r="BZ732" s="68" t="n"/>
      <c r="CA732" s="68" t="n"/>
      <c r="CB732" s="68" t="n"/>
      <c r="CC732" s="1110" t="n"/>
      <c r="CD732" s="1110" t="n"/>
      <c r="CE732" s="1110" t="n"/>
      <c r="CF732" s="1110" t="n"/>
      <c r="CG732" s="155" t="n"/>
    </row>
    <row r="733">
      <c r="A733" s="27" t="inlineStr">
        <is>
          <t>Interest Expense</t>
        </is>
      </c>
      <c r="B733" s="146" t="n"/>
      <c r="C733" s="1210">
        <f>C395</f>
        <v/>
      </c>
      <c r="D733" s="1210">
        <f>D395</f>
        <v/>
      </c>
      <c r="E733" s="1210">
        <f>E395</f>
        <v/>
      </c>
      <c r="F733" s="1210">
        <f>F395</f>
        <v/>
      </c>
      <c r="G733" s="997">
        <f>G395</f>
        <v/>
      </c>
      <c r="H733" s="997">
        <f>H395</f>
        <v/>
      </c>
      <c r="I733" s="997">
        <f>I395</f>
        <v/>
      </c>
      <c r="J733" s="997">
        <f>J395</f>
        <v/>
      </c>
      <c r="K733" s="1210">
        <f>K395</f>
        <v/>
      </c>
      <c r="L733" s="997">
        <f>L395</f>
        <v/>
      </c>
      <c r="M733" s="997">
        <f>M395</f>
        <v/>
      </c>
      <c r="N733" s="997">
        <f>N395</f>
        <v/>
      </c>
      <c r="O733" s="997">
        <f>O395</f>
        <v/>
      </c>
      <c r="P733" s="1210">
        <f>P395</f>
        <v/>
      </c>
      <c r="Q733" s="997">
        <f>Q395</f>
        <v/>
      </c>
      <c r="R733" s="997">
        <f>R395</f>
        <v/>
      </c>
      <c r="S733" s="997">
        <f>S395</f>
        <v/>
      </c>
      <c r="T733" s="997">
        <f>T395</f>
        <v/>
      </c>
      <c r="U733" s="1210">
        <f>U395</f>
        <v/>
      </c>
      <c r="V733" s="997">
        <f>V395</f>
        <v/>
      </c>
      <c r="W733" s="997">
        <f>W395</f>
        <v/>
      </c>
      <c r="X733" s="997">
        <f>X395</f>
        <v/>
      </c>
      <c r="Y733" s="997">
        <f>Y395</f>
        <v/>
      </c>
      <c r="Z733" s="1210">
        <f>Z395</f>
        <v/>
      </c>
      <c r="AA733" s="997">
        <f>AA395</f>
        <v/>
      </c>
      <c r="AB733" s="997">
        <f>AB395</f>
        <v/>
      </c>
      <c r="AC733" s="563">
        <f>AC395</f>
        <v/>
      </c>
      <c r="AD733" s="563">
        <f>AD395</f>
        <v/>
      </c>
      <c r="AE733" s="1151">
        <f>AE395</f>
        <v/>
      </c>
      <c r="AF733" s="563">
        <f>AF395</f>
        <v/>
      </c>
      <c r="AG733" s="997">
        <f>AG395</f>
        <v/>
      </c>
      <c r="AH733" s="997">
        <f>AH395</f>
        <v/>
      </c>
      <c r="AI733" s="563">
        <f>AI395</f>
        <v/>
      </c>
      <c r="AJ733" s="1151">
        <f>AJ395</f>
        <v/>
      </c>
      <c r="AK733" s="997">
        <f>AK395</f>
        <v/>
      </c>
      <c r="AL733" s="997">
        <f>AL395</f>
        <v/>
      </c>
      <c r="AM733" s="997">
        <f>AM395</f>
        <v/>
      </c>
      <c r="AN733" s="563">
        <f>AN395</f>
        <v/>
      </c>
      <c r="AO733" s="1151">
        <f>AO395</f>
        <v/>
      </c>
      <c r="AP733" s="997">
        <f>AP395</f>
        <v/>
      </c>
      <c r="AQ733" s="997">
        <f>AQ395</f>
        <v/>
      </c>
      <c r="AR733" s="997">
        <f>AR395</f>
        <v/>
      </c>
      <c r="AS733" s="563">
        <f>AS395</f>
        <v/>
      </c>
      <c r="AT733" s="1151">
        <f>AT395</f>
        <v/>
      </c>
      <c r="AU733" s="997">
        <f>AU395</f>
        <v/>
      </c>
      <c r="AV733" s="997">
        <f>AV395</f>
        <v/>
      </c>
      <c r="AW733" s="997">
        <f>AW395</f>
        <v/>
      </c>
      <c r="AX733" s="563">
        <f>AX395</f>
        <v/>
      </c>
      <c r="AY733" s="1151">
        <f>AY395</f>
        <v/>
      </c>
      <c r="AZ733" s="997">
        <f>AZ395</f>
        <v/>
      </c>
      <c r="BA733" s="997">
        <f>BA395</f>
        <v/>
      </c>
      <c r="BB733" s="997">
        <f>BB395</f>
        <v/>
      </c>
      <c r="BC733" s="563">
        <f>BC395</f>
        <v/>
      </c>
      <c r="BD733" s="1151">
        <f>BD395</f>
        <v/>
      </c>
      <c r="BE733" s="997">
        <f>BE395</f>
        <v/>
      </c>
      <c r="BF733" s="997">
        <f>BF395</f>
        <v/>
      </c>
      <c r="BG733" s="997">
        <f>BG395</f>
        <v/>
      </c>
      <c r="BH733" s="563">
        <f>BH395</f>
        <v/>
      </c>
      <c r="BI733" s="1151">
        <f>BI395</f>
        <v/>
      </c>
      <c r="BJ733" s="997">
        <f>BJ395</f>
        <v/>
      </c>
      <c r="BK733" s="997">
        <f>BK395</f>
        <v/>
      </c>
      <c r="BL733" s="997">
        <f>BL395</f>
        <v/>
      </c>
      <c r="BM733" s="563">
        <f>BM395</f>
        <v/>
      </c>
      <c r="BN733" s="1151">
        <f>BN395</f>
        <v/>
      </c>
      <c r="BO733" s="997">
        <f>BO395</f>
        <v/>
      </c>
      <c r="BP733" s="997">
        <f>BP395</f>
        <v/>
      </c>
      <c r="BQ733" s="997">
        <f>BQ395</f>
        <v/>
      </c>
      <c r="BR733" s="563">
        <f>BR395</f>
        <v/>
      </c>
      <c r="BS733" s="1151">
        <f>BS395</f>
        <v/>
      </c>
      <c r="BT733" s="997">
        <f>BT395</f>
        <v/>
      </c>
      <c r="BU733" s="997">
        <f>BU395</f>
        <v/>
      </c>
      <c r="BV733" s="918">
        <f>BV395</f>
        <v/>
      </c>
      <c r="BW733" s="563">
        <f>MAX(0,BW734*AVERAGE(BV729,BW729)*BW3/BX3)</f>
        <v/>
      </c>
      <c r="BX733" s="1151">
        <f>IF(OR(ISBLANK(BT733),ISBLANK(BU733),ISBLANK(BV733),ISBLANK(BW733)),"n/a",SUM(BT733,BU733,BV733,BW733))</f>
        <v/>
      </c>
      <c r="BY733" s="563">
        <f>MAX(0,BY734*AVERAGE(BX729,BY729)*BY3/CC3)</f>
        <v/>
      </c>
      <c r="BZ733" s="563">
        <f>MAX(0,BZ734*AVERAGE(BY729,BZ729)*BZ3/CC3)</f>
        <v/>
      </c>
      <c r="CA733" s="563">
        <f>MAX(0,CA734*AVERAGE(BZ729,CA729)*CA3/CC3)</f>
        <v/>
      </c>
      <c r="CB733" s="563">
        <f>MAX(0,CB734*AVERAGE(CA729,CB729)*CB3/CC3)</f>
        <v/>
      </c>
      <c r="CC733" s="1151">
        <f>IF(OR(ISBLANK(BY733),ISBLANK(BZ733),ISBLANK(CA733),ISBLANK(CB733)),"n/a",SUM(BY733,BZ733,CA733,CB733))</f>
        <v/>
      </c>
      <c r="CD733" s="1151">
        <f>MAX(0,CD734*AVERAGE(CC729,CD729))</f>
        <v/>
      </c>
      <c r="CE733" s="1151">
        <f>MAX(0,CE734*AVERAGE(CD729,CE729))</f>
        <v/>
      </c>
      <c r="CF733" s="1151">
        <f>MAX(0,CF734*AVERAGE(CE729,CF729))</f>
        <v/>
      </c>
      <c r="CG733" s="155" t="n"/>
    </row>
    <row r="734">
      <c r="A734" s="25" t="inlineStr">
        <is>
          <t>Effective Interest Rate on Debt</t>
        </is>
      </c>
      <c r="B734" s="283" t="n"/>
      <c r="C734" s="1211" t="n"/>
      <c r="D734" s="1212">
        <f>IFERROR(D733/AVERAGE(C729,D729),"n/a")</f>
        <v/>
      </c>
      <c r="E734" s="1212">
        <f>IFERROR(E733/AVERAGE(D729,E729),"n/a")</f>
        <v/>
      </c>
      <c r="F734" s="1212">
        <f>IFERROR(F733/AVERAGE(E729,F729),"n/a")</f>
        <v/>
      </c>
      <c r="G734" s="23">
        <f>IFERROR(G733/AVERAGE(F729,G729)*K3/G3,"n/a")</f>
        <v/>
      </c>
      <c r="H734" s="23">
        <f>IFERROR(H733/AVERAGE(G729,H729)*K3/H3,"n/a")</f>
        <v/>
      </c>
      <c r="I734" s="23">
        <f>IFERROR(I733/AVERAGE(H729,I729)*K3/I3,"n/a")</f>
        <v/>
      </c>
      <c r="J734" s="23">
        <f>IFERROR(J733/AVERAGE(I729,J729)*K3/J3,"n/a")</f>
        <v/>
      </c>
      <c r="K734" s="1212">
        <f>IFERROR(K733/AVERAGE(G729,H729,I729,J729),"n/a")</f>
        <v/>
      </c>
      <c r="L734" s="23">
        <f>IFERROR(L733/AVERAGE(K729,L729)*P3/L3,"n/a")</f>
        <v/>
      </c>
      <c r="M734" s="23">
        <f>IFERROR(M733/AVERAGE(L729,M729)*P3/M3,"n/a")</f>
        <v/>
      </c>
      <c r="N734" s="23">
        <f>IFERROR(N733/AVERAGE(M729,N729)*P3/N3,"n/a")</f>
        <v/>
      </c>
      <c r="O734" s="23">
        <f>IFERROR(O733/AVERAGE(N729,O729)*P3/O3,"n/a")</f>
        <v/>
      </c>
      <c r="P734" s="1212">
        <f>IFERROR(P733/AVERAGE(L729,M729,N729,O729),"n/a")</f>
        <v/>
      </c>
      <c r="Q734" s="23">
        <f>IFERROR(Q733/AVERAGE(P729,Q729)*U3/Q3,"n/a")</f>
        <v/>
      </c>
      <c r="R734" s="23">
        <f>IFERROR(R733/AVERAGE(Q729,R729)*U3/R3,"n/a")</f>
        <v/>
      </c>
      <c r="S734" s="23">
        <f>IFERROR(S733/AVERAGE(R729,S729)*U3/S3,"n/a")</f>
        <v/>
      </c>
      <c r="T734" s="23">
        <f>IFERROR(T733/AVERAGE(S729,T729)*U3/T3,"n/a")</f>
        <v/>
      </c>
      <c r="U734" s="1212">
        <f>IFERROR(U733/AVERAGE(Q729,R729,S729,T729),"n/a")</f>
        <v/>
      </c>
      <c r="V734" s="23">
        <f>IFERROR(V733/AVERAGE(U729,V729)*Z3/V3,"n/a")</f>
        <v/>
      </c>
      <c r="W734" s="23">
        <f>IFERROR(W733/AVERAGE(V729,W729)*Z3/W3,"n/a")</f>
        <v/>
      </c>
      <c r="X734" s="23">
        <f>IFERROR(X733/AVERAGE(W729,X729)*Z3/X3,"n/a")</f>
        <v/>
      </c>
      <c r="Y734" s="23">
        <f>IFERROR(Y733/AVERAGE(X729,Y729)*Z3/Y3,"n/a")</f>
        <v/>
      </c>
      <c r="Z734" s="1212">
        <f>IFERROR(Z733/AVERAGE(V729,W729,X729,Y729),"n/a")</f>
        <v/>
      </c>
      <c r="AA734" s="23">
        <f>IFERROR(AA733/AVERAGE(Z729,AA729)*AE3/AA3,"n/a")</f>
        <v/>
      </c>
      <c r="AB734" s="23">
        <f>IFERROR(AB733/AVERAGE(AA729,AB729)*AE3/AB3,"n/a")</f>
        <v/>
      </c>
      <c r="AC734" s="86">
        <f>IFERROR(AC733/AVERAGE(AB729,AC729)*AE3/AC3,"n/a")</f>
        <v/>
      </c>
      <c r="AD734" s="86">
        <f>IFERROR(AD733/AVERAGE(AC729,AD729)*AE3/AD3,"n/a")</f>
        <v/>
      </c>
      <c r="AE734" s="1211">
        <f>IFERROR(AE733/AVERAGE(AA729,AB729,AC729,AD729),"n/a")</f>
        <v/>
      </c>
      <c r="AF734" s="86">
        <f>IFERROR(AF733/AVERAGE(AE729,AF729)*AJ3/AF3,"n/a")</f>
        <v/>
      </c>
      <c r="AG734" s="23">
        <f>IFERROR(AG733/AVERAGE(AF729,AG729)*AJ3/AG3,"n/a")</f>
        <v/>
      </c>
      <c r="AH734" s="23">
        <f>IFERROR(AH733/AVERAGE(AG729,AH729)*AJ3/AH3,"n/a")</f>
        <v/>
      </c>
      <c r="AI734" s="86">
        <f>IFERROR(AI733/AVERAGE(AH729,AI729)*AJ3/AI3,"n/a")</f>
        <v/>
      </c>
      <c r="AJ734" s="1211">
        <f>IFERROR(AJ733/AVERAGE(AF729,AG729,AH729,AI729),"n/a")</f>
        <v/>
      </c>
      <c r="AK734" s="23">
        <f>IFERROR(AK733/AVERAGE(AJ729,AK729)*AO3/AK3,"n/a")</f>
        <v/>
      </c>
      <c r="AL734" s="23">
        <f>IFERROR(AL733/AVERAGE(AK729,AL729)*AO3/AL3,"n/a")</f>
        <v/>
      </c>
      <c r="AM734" s="23">
        <f>IFERROR(AM733/AVERAGE(AL729,AM729)*AO3/AM3,"n/a")</f>
        <v/>
      </c>
      <c r="AN734" s="86">
        <f>IFERROR(AN733/AVERAGE(AM729,AN729)*AO3/AN3,"n/a")</f>
        <v/>
      </c>
      <c r="AO734" s="1211">
        <f>IFERROR(AO733/AVERAGE(AK729,AL729,AM729,AN729),"n/a")</f>
        <v/>
      </c>
      <c r="AP734" s="23">
        <f>IFERROR(AP733/AVERAGE(AO729,AP729)*AT3/AP3,"n/a")</f>
        <v/>
      </c>
      <c r="AQ734" s="23">
        <f>IFERROR(AQ733/AVERAGE(AP729,AQ729)*AT3/AQ3,"n/a")</f>
        <v/>
      </c>
      <c r="AR734" s="23">
        <f>IFERROR(AR733/AVERAGE(AQ729,AR729)*AT3/AR3,"n/a")</f>
        <v/>
      </c>
      <c r="AS734" s="86">
        <f>IFERROR(AS733/AVERAGE(AR729,AS729)*AT3/AS3,"n/a")</f>
        <v/>
      </c>
      <c r="AT734" s="1211">
        <f>IFERROR(AT733/AVERAGE(AP729,AQ729,AR729,AS729),"n/a")</f>
        <v/>
      </c>
      <c r="AU734" s="23">
        <f>IFERROR(AU733/AVERAGE(AT729,AU729)*AY3/AU3,"n/a")</f>
        <v/>
      </c>
      <c r="AV734" s="23">
        <f>IFERROR(AV733/AVERAGE(AU729,AV729)*AY3/AV3,"n/a")</f>
        <v/>
      </c>
      <c r="AW734" s="23">
        <f>IFERROR(AW733/AVERAGE(AV729,AW729)*AY3/AW3,"n/a")</f>
        <v/>
      </c>
      <c r="AX734" s="86">
        <f>IFERROR(AX733/AVERAGE(AW729,AX729)*AY3/AX3,"n/a")</f>
        <v/>
      </c>
      <c r="AY734" s="1211">
        <f>IFERROR(AY733/AVERAGE(AU729,AV729,AW729,AX729),"n/a")</f>
        <v/>
      </c>
      <c r="AZ734" s="23">
        <f>IFERROR(AZ733/AVERAGE(AY729,AZ729)*BD3/AZ3,"n/a")</f>
        <v/>
      </c>
      <c r="BA734" s="23">
        <f>IFERROR(BA733/AVERAGE(AZ729,BA729)*BD3/BA3,"n/a")</f>
        <v/>
      </c>
      <c r="BB734" s="23">
        <f>IFERROR(BB733/AVERAGE(BA729,BB729)*BD3/BB3,"n/a")</f>
        <v/>
      </c>
      <c r="BC734" s="86">
        <f>IFERROR(BC733/AVERAGE(BB729,BC729)*BD3/BC3,"n/a")</f>
        <v/>
      </c>
      <c r="BD734" s="1211">
        <f>IFERROR(BD733/AVERAGE(AZ729,BA729,BB729,BC729),"n/a")</f>
        <v/>
      </c>
      <c r="BE734" s="23">
        <f>IFERROR(BE733/AVERAGE(BD729,BE729)*BI3/BE3,"n/a")</f>
        <v/>
      </c>
      <c r="BF734" s="23">
        <f>IFERROR(BF733/AVERAGE(BE729,BF729)*BI3/BF3,"n/a")</f>
        <v/>
      </c>
      <c r="BG734" s="23">
        <f>IFERROR(BG733/AVERAGE(BF729,BG729)*BI3/BG3,"n/a")</f>
        <v/>
      </c>
      <c r="BH734" s="86">
        <f>IFERROR(BH733/AVERAGE(BG729,BH729)*BI3/BH3,"n/a")</f>
        <v/>
      </c>
      <c r="BI734" s="1211">
        <f>IFERROR(BI733/AVERAGE(BE729,BF729,BG729,BH729),"n/a")</f>
        <v/>
      </c>
      <c r="BJ734" s="23">
        <f>IFERROR(BJ733/AVERAGE(BI729,BJ729)*BN3/BJ3,"n/a")</f>
        <v/>
      </c>
      <c r="BK734" s="23">
        <f>IFERROR(BK733/AVERAGE(BJ729,BK729)*BN3/BK3,"n/a")</f>
        <v/>
      </c>
      <c r="BL734" s="23">
        <f>IFERROR(BL733/AVERAGE(BK729,BL729)*BN3/BL3,"n/a")</f>
        <v/>
      </c>
      <c r="BM734" s="86">
        <f>IFERROR(BM733/AVERAGE(BL729,BM729)*BN3/BM3,"n/a")</f>
        <v/>
      </c>
      <c r="BN734" s="1211">
        <f>IFERROR(BN733/AVERAGE(BJ729,BK729,BL729,BM729),"n/a")</f>
        <v/>
      </c>
      <c r="BO734" s="23">
        <f>IFERROR(BO733/AVERAGE(BN729,BO729)*BS3/BO3,"n/a")</f>
        <v/>
      </c>
      <c r="BP734" s="23">
        <f>IFERROR(BP733/AVERAGE(BO729,BP729)*BS3/BP3,"n/a")</f>
        <v/>
      </c>
      <c r="BQ734" s="23">
        <f>IFERROR(BQ733/AVERAGE(BP729,BQ729)*BS3/BQ3,"n/a")</f>
        <v/>
      </c>
      <c r="BR734" s="86">
        <f>IFERROR(BR733/AVERAGE(BQ729,BR729)*BS3/BR3,"n/a")</f>
        <v/>
      </c>
      <c r="BS734" s="1211">
        <f>IFERROR(BS733/AVERAGE(BO729,BP729,BQ729,BR729),"n/a")</f>
        <v/>
      </c>
      <c r="BT734" s="23">
        <f>IFERROR(BT733/AVERAGE(BS729,BT729)*BX3/BT3,"n/a")</f>
        <v/>
      </c>
      <c r="BU734" s="23">
        <f>IFERROR(BU733/AVERAGE(BT729,BU729)*BX3/BU3,"n/a")</f>
        <v/>
      </c>
      <c r="BV734" s="919">
        <f>IFERROR(BV733/AVERAGE(BU729,BV729)*BX3/BV3,"n/a")</f>
        <v/>
      </c>
      <c r="BW734" s="1086" t="n">
        <v>0.025</v>
      </c>
      <c r="BX734" s="1211">
        <f>IFERROR(BX733/AVERAGE(BT729,BU729,BV729,BW729),"n/a")</f>
        <v/>
      </c>
      <c r="BY734" s="1086" t="n">
        <v>0.025</v>
      </c>
      <c r="BZ734" s="1086" t="n">
        <v>0.025</v>
      </c>
      <c r="CA734" s="1086" t="n">
        <v>0.025</v>
      </c>
      <c r="CB734" s="1086" t="n">
        <v>0.025</v>
      </c>
      <c r="CC734" s="1211">
        <f>IFERROR(CC733/AVERAGE(BY729,BZ729,CA729,CB729),"n/a")</f>
        <v/>
      </c>
      <c r="CD734" s="1213" t="n">
        <v>0.02</v>
      </c>
      <c r="CE734" s="1213" t="n">
        <v>0.02</v>
      </c>
      <c r="CF734" s="1213" t="n">
        <v>0.02</v>
      </c>
      <c r="CG734" s="155" t="n"/>
    </row>
    <row r="735">
      <c r="A735" s="68" t="inlineStr">
        <is>
          <t>Interest Income</t>
        </is>
      </c>
      <c r="B735" s="146" t="n"/>
      <c r="C735" s="1151">
        <f>-C396</f>
        <v/>
      </c>
      <c r="D735" s="1151">
        <f>-D396</f>
        <v/>
      </c>
      <c r="E735" s="1151">
        <f>-E396</f>
        <v/>
      </c>
      <c r="F735" s="1151">
        <f>-F396</f>
        <v/>
      </c>
      <c r="G735" s="563">
        <f>-G396</f>
        <v/>
      </c>
      <c r="H735" s="563">
        <f>-H396</f>
        <v/>
      </c>
      <c r="I735" s="563">
        <f>-I396</f>
        <v/>
      </c>
      <c r="J735" s="563">
        <f>-J396</f>
        <v/>
      </c>
      <c r="K735" s="1151">
        <f>-K396</f>
        <v/>
      </c>
      <c r="L735" s="563">
        <f>-L396</f>
        <v/>
      </c>
      <c r="M735" s="563">
        <f>-M396</f>
        <v/>
      </c>
      <c r="N735" s="563">
        <f>-N396</f>
        <v/>
      </c>
      <c r="O735" s="563">
        <f>-O396</f>
        <v/>
      </c>
      <c r="P735" s="1151">
        <f>-P396</f>
        <v/>
      </c>
      <c r="Q735" s="563">
        <f>-Q396</f>
        <v/>
      </c>
      <c r="R735" s="563">
        <f>-R396</f>
        <v/>
      </c>
      <c r="S735" s="563">
        <f>-S396</f>
        <v/>
      </c>
      <c r="T735" s="563">
        <f>-T396</f>
        <v/>
      </c>
      <c r="U735" s="1151">
        <f>-U396</f>
        <v/>
      </c>
      <c r="V735" s="563">
        <f>-V396</f>
        <v/>
      </c>
      <c r="W735" s="563">
        <f>-W396</f>
        <v/>
      </c>
      <c r="X735" s="563">
        <f>-X396</f>
        <v/>
      </c>
      <c r="Y735" s="563">
        <f>-Y396</f>
        <v/>
      </c>
      <c r="Z735" s="1151">
        <f>-Z396</f>
        <v/>
      </c>
      <c r="AA735" s="563">
        <f>-AA396</f>
        <v/>
      </c>
      <c r="AB735" s="563">
        <f>-AB396</f>
        <v/>
      </c>
      <c r="AC735" s="563">
        <f>-AC396</f>
        <v/>
      </c>
      <c r="AD735" s="563">
        <f>-AD396</f>
        <v/>
      </c>
      <c r="AE735" s="1151">
        <f>-AE396</f>
        <v/>
      </c>
      <c r="AF735" s="563">
        <f>-AF396</f>
        <v/>
      </c>
      <c r="AG735" s="563">
        <f>-AG396</f>
        <v/>
      </c>
      <c r="AH735" s="563">
        <f>-AH396</f>
        <v/>
      </c>
      <c r="AI735" s="563">
        <f>-AI396</f>
        <v/>
      </c>
      <c r="AJ735" s="1151">
        <f>-AJ396</f>
        <v/>
      </c>
      <c r="AK735" s="563">
        <f>-AK396</f>
        <v/>
      </c>
      <c r="AL735" s="563">
        <f>-AL396</f>
        <v/>
      </c>
      <c r="AM735" s="563">
        <f>-AM396</f>
        <v/>
      </c>
      <c r="AN735" s="563">
        <f>-AN396</f>
        <v/>
      </c>
      <c r="AO735" s="1151">
        <f>-AO396</f>
        <v/>
      </c>
      <c r="AP735" s="563">
        <f>-AP396</f>
        <v/>
      </c>
      <c r="AQ735" s="563">
        <f>-AQ396</f>
        <v/>
      </c>
      <c r="AR735" s="563">
        <f>-AR396</f>
        <v/>
      </c>
      <c r="AS735" s="563">
        <f>-AS396</f>
        <v/>
      </c>
      <c r="AT735" s="1151">
        <f>-AT396</f>
        <v/>
      </c>
      <c r="AU735" s="563">
        <f>-AU396</f>
        <v/>
      </c>
      <c r="AV735" s="563">
        <f>-AV396</f>
        <v/>
      </c>
      <c r="AW735" s="563">
        <f>-AW396</f>
        <v/>
      </c>
      <c r="AX735" s="563">
        <f>-AX396</f>
        <v/>
      </c>
      <c r="AY735" s="1151">
        <f>-AY396</f>
        <v/>
      </c>
      <c r="AZ735" s="563">
        <f>-AZ396</f>
        <v/>
      </c>
      <c r="BA735" s="563">
        <f>-BA396</f>
        <v/>
      </c>
      <c r="BB735" s="563">
        <f>-BB396</f>
        <v/>
      </c>
      <c r="BC735" s="563">
        <f>-BC396</f>
        <v/>
      </c>
      <c r="BD735" s="1151">
        <f>-BD396</f>
        <v/>
      </c>
      <c r="BE735" s="563">
        <f>-BE396</f>
        <v/>
      </c>
      <c r="BF735" s="563">
        <f>-BF396</f>
        <v/>
      </c>
      <c r="BG735" s="563">
        <f>-BG396</f>
        <v/>
      </c>
      <c r="BH735" s="563">
        <f>-BH396</f>
        <v/>
      </c>
      <c r="BI735" s="1151">
        <f>-BI396</f>
        <v/>
      </c>
      <c r="BJ735" s="563">
        <f>-BJ396</f>
        <v/>
      </c>
      <c r="BK735" s="563">
        <f>-BK396</f>
        <v/>
      </c>
      <c r="BL735" s="563">
        <f>-BL396</f>
        <v/>
      </c>
      <c r="BM735" s="563">
        <f>-BM396</f>
        <v/>
      </c>
      <c r="BN735" s="1151">
        <f>-BN396</f>
        <v/>
      </c>
      <c r="BO735" s="563">
        <f>-BO396</f>
        <v/>
      </c>
      <c r="BP735" s="563">
        <f>-BP396</f>
        <v/>
      </c>
      <c r="BQ735" s="563">
        <f>-BQ396</f>
        <v/>
      </c>
      <c r="BR735" s="563">
        <f>-BR396</f>
        <v/>
      </c>
      <c r="BS735" s="1151">
        <f>-BS396</f>
        <v/>
      </c>
      <c r="BT735" s="563">
        <f>-BT396</f>
        <v/>
      </c>
      <c r="BU735" s="563">
        <f>-BU396</f>
        <v/>
      </c>
      <c r="BV735" s="731">
        <f>-BV396</f>
        <v/>
      </c>
      <c r="BW735" s="563">
        <f>MAX(0,BW736*BV726*BW3/BX3)</f>
        <v/>
      </c>
      <c r="BX735" s="1151">
        <f>IF(OR(ISBLANK(BT735),ISBLANK(BU735),ISBLANK(BV735),ISBLANK(BW735)),"n/a",SUM(BT735,BU735,BV735,BW735))</f>
        <v/>
      </c>
      <c r="BY735" s="563">
        <f>MAX(0,BY736*BX726*BY3/CC3)</f>
        <v/>
      </c>
      <c r="BZ735" s="563">
        <f>MAX(0,BZ736*BY726*BZ3/CC3)</f>
        <v/>
      </c>
      <c r="CA735" s="563">
        <f>MAX(0,CA736*BZ726*CA3/CC3)</f>
        <v/>
      </c>
      <c r="CB735" s="563">
        <f>MAX(0,CB736*CA726*CB3/CC3)</f>
        <v/>
      </c>
      <c r="CC735" s="1151">
        <f>IF(OR(ISBLANK(BY735),ISBLANK(BZ735),ISBLANK(CA735),ISBLANK(CB735)),"n/a",SUM(BY735,BZ735,CA735,CB735))</f>
        <v/>
      </c>
      <c r="CD735" s="1151">
        <f>MAX(0,CD736*CC726)</f>
        <v/>
      </c>
      <c r="CE735" s="1151">
        <f>MAX(0,CE736*CD726)</f>
        <v/>
      </c>
      <c r="CF735" s="1151">
        <f>MAX(0,CF736*CE726)</f>
        <v/>
      </c>
      <c r="CG735" s="155" t="n"/>
    </row>
    <row r="736">
      <c r="A736" s="238" t="inlineStr">
        <is>
          <t>Effective Interest Rate on Cash</t>
        </is>
      </c>
      <c r="B736" s="283" t="n"/>
      <c r="C736" s="1211" t="n"/>
      <c r="D736" s="1211">
        <f>IFERROR(D735/AVERAGE(C726,D726),"n/a")</f>
        <v/>
      </c>
      <c r="E736" s="1211">
        <f>IFERROR(E735/AVERAGE(D726,E726),"n/a")</f>
        <v/>
      </c>
      <c r="F736" s="1211">
        <f>IFERROR(F735/AVERAGE(E726,F726),"n/a")</f>
        <v/>
      </c>
      <c r="G736" s="86">
        <f>IFERROR(G735/AVERAGE(F726,G726)*K3/G3,"n/a")</f>
        <v/>
      </c>
      <c r="H736" s="86">
        <f>IFERROR(H735/AVERAGE(G726,H726)*K3/H3,"n/a")</f>
        <v/>
      </c>
      <c r="I736" s="86">
        <f>IFERROR(I735/AVERAGE(H726,I726)*K3/I3,"n/a")</f>
        <v/>
      </c>
      <c r="J736" s="86">
        <f>IFERROR(J735/AVERAGE(I726,J726)*K3/J3,"n/a")</f>
        <v/>
      </c>
      <c r="K736" s="1211">
        <f>IFERROR(K735/AVERAGE(G726,H726,I726,J726),"n/a")</f>
        <v/>
      </c>
      <c r="L736" s="86">
        <f>IFERROR(L735/AVERAGE(K726,L726)*P3/L3,"n/a")</f>
        <v/>
      </c>
      <c r="M736" s="86">
        <f>IFERROR(M735/AVERAGE(L726,M726)*P3/M3,"n/a")</f>
        <v/>
      </c>
      <c r="N736" s="86">
        <f>IFERROR(N735/AVERAGE(M726,N726)*P3/N3,"n/a")</f>
        <v/>
      </c>
      <c r="O736" s="86">
        <f>IFERROR(O735/AVERAGE(N726,O726)*P3/O3,"n/a")</f>
        <v/>
      </c>
      <c r="P736" s="1211">
        <f>IFERROR(P735/AVERAGE(L726,M726,N726,O726),"n/a")</f>
        <v/>
      </c>
      <c r="Q736" s="86">
        <f>IFERROR(Q735/AVERAGE(P726,Q726)*U3/Q3,"n/a")</f>
        <v/>
      </c>
      <c r="R736" s="86">
        <f>IFERROR(R735/AVERAGE(Q726,R726)*U3/R3,"n/a")</f>
        <v/>
      </c>
      <c r="S736" s="86">
        <f>IFERROR(S735/AVERAGE(R726,S726)*U3/S3,"n/a")</f>
        <v/>
      </c>
      <c r="T736" s="86">
        <f>IFERROR(T735/AVERAGE(S726,T726)*U3/T3,"n/a")</f>
        <v/>
      </c>
      <c r="U736" s="1211">
        <f>IFERROR(U735/AVERAGE(Q726,R726,S726,T726),"n/a")</f>
        <v/>
      </c>
      <c r="V736" s="86">
        <f>IFERROR(V735/AVERAGE(U726,V726)*Z3/V3,"n/a")</f>
        <v/>
      </c>
      <c r="W736" s="86">
        <f>IFERROR(W735/AVERAGE(V726,W726)*Z3/W3,"n/a")</f>
        <v/>
      </c>
      <c r="X736" s="86">
        <f>IFERROR(X735/AVERAGE(W726,X726)*Z3/X3,"n/a")</f>
        <v/>
      </c>
      <c r="Y736" s="86">
        <f>IFERROR(Y735/AVERAGE(X726,Y726)*Z3/Y3,"n/a")</f>
        <v/>
      </c>
      <c r="Z736" s="1211">
        <f>IFERROR(Z735/AVERAGE(V726,W726,X726,Y726),"n/a")</f>
        <v/>
      </c>
      <c r="AA736" s="86">
        <f>IFERROR(AA735/AVERAGE(Z726,AA726)*AE3/AA3,"n/a")</f>
        <v/>
      </c>
      <c r="AB736" s="86">
        <f>IFERROR(AB735/AVERAGE(AA726,AB726)*AE3/AB3,"n/a")</f>
        <v/>
      </c>
      <c r="AC736" s="86">
        <f>IFERROR(AC735/AVERAGE(AB726,AC726)*AE3/AC3,"n/a")</f>
        <v/>
      </c>
      <c r="AD736" s="86">
        <f>IFERROR(AD735/AVERAGE(AC726,AD726)*AE3/AD3,"n/a")</f>
        <v/>
      </c>
      <c r="AE736" s="1211">
        <f>IFERROR(AE735/AVERAGE(AA726,AB726,AC726,AD726),"n/a")</f>
        <v/>
      </c>
      <c r="AF736" s="86">
        <f>IFERROR(AF735/AVERAGE(AE726,AF726)*AJ3/AF3,"n/a")</f>
        <v/>
      </c>
      <c r="AG736" s="86">
        <f>IFERROR(AG735/AVERAGE(AF726,AG726)*AJ3/AG3,"n/a")</f>
        <v/>
      </c>
      <c r="AH736" s="86">
        <f>IFERROR(AH735/AVERAGE(AG726,AH726)*AJ3/AH3,"n/a")</f>
        <v/>
      </c>
      <c r="AI736" s="86">
        <f>IFERROR(AI735/AVERAGE(AH726,AI726)*AJ3/AI3,"n/a")</f>
        <v/>
      </c>
      <c r="AJ736" s="1211">
        <f>IFERROR(AJ735/AVERAGE(AF726,AG726,AH726,AI726),"n/a")</f>
        <v/>
      </c>
      <c r="AK736" s="86">
        <f>IFERROR(AK735/AVERAGE(AJ726,AK726)*AO3/AK3,"n/a")</f>
        <v/>
      </c>
      <c r="AL736" s="86">
        <f>IFERROR(AL735/AVERAGE(AK726,AL726)*AO3/AL3,"n/a")</f>
        <v/>
      </c>
      <c r="AM736" s="86">
        <f>IFERROR(AM735/AVERAGE(AL726,AM726)*AO3/AM3,"n/a")</f>
        <v/>
      </c>
      <c r="AN736" s="86">
        <f>IFERROR(AN735/AVERAGE(AM726,AN726)*AO3/AN3,"n/a")</f>
        <v/>
      </c>
      <c r="AO736" s="1211">
        <f>IFERROR(AO735/AVERAGE(AK726,AL726,AM726,AN726),"n/a")</f>
        <v/>
      </c>
      <c r="AP736" s="86">
        <f>IFERROR(AP735/AVERAGE(AO726,AP726)*AT3/AP3,"n/a")</f>
        <v/>
      </c>
      <c r="AQ736" s="86">
        <f>IFERROR(AQ735/AVERAGE(AP726,AQ726)*AT3/AQ3,"n/a")</f>
        <v/>
      </c>
      <c r="AR736" s="86">
        <f>IFERROR(AR735/AVERAGE(AQ726,AR726)*AT3/AR3,"n/a")</f>
        <v/>
      </c>
      <c r="AS736" s="86">
        <f>IFERROR(AS735/AVERAGE(AR726,AS726)*AT3/AS3,"n/a")</f>
        <v/>
      </c>
      <c r="AT736" s="1211">
        <f>IFERROR(AT735/AVERAGE(AP726,AQ726,AR726,AS726),"n/a")</f>
        <v/>
      </c>
      <c r="AU736" s="86">
        <f>IFERROR(AU735/AVERAGE(AT726,AU726)*AY3/AU3,"n/a")</f>
        <v/>
      </c>
      <c r="AV736" s="86">
        <f>IFERROR(AV735/AVERAGE(AU726,AV726)*AY3/AV3,"n/a")</f>
        <v/>
      </c>
      <c r="AW736" s="86">
        <f>IFERROR(AW735/AVERAGE(AV726,AW726)*AY3/AW3,"n/a")</f>
        <v/>
      </c>
      <c r="AX736" s="86">
        <f>IFERROR(AX735/AVERAGE(AW726,AX726)*AY3/AX3,"n/a")</f>
        <v/>
      </c>
      <c r="AY736" s="1211">
        <f>IFERROR(AY735/AVERAGE(AU726,AV726,AW726,AX726),"n/a")</f>
        <v/>
      </c>
      <c r="AZ736" s="86">
        <f>IFERROR(AZ735/AVERAGE(AY726,AZ726)*BD3/AZ3,"n/a")</f>
        <v/>
      </c>
      <c r="BA736" s="86">
        <f>IFERROR(BA735/AVERAGE(AZ726,BA726)*BD3/BA3,"n/a")</f>
        <v/>
      </c>
      <c r="BB736" s="86">
        <f>IFERROR(BB735/AVERAGE(BA726,BB726)*BD3/BB3,"n/a")</f>
        <v/>
      </c>
      <c r="BC736" s="86">
        <f>IFERROR(BC735/AVERAGE(BB726,BC726)*BD3/BC3,"n/a")</f>
        <v/>
      </c>
      <c r="BD736" s="1211">
        <f>IFERROR(BD735/AVERAGE(AZ726,BA726,BB726,BC726),"n/a")</f>
        <v/>
      </c>
      <c r="BE736" s="86">
        <f>IFERROR(BE735/AVERAGE(BD726,BE726)*BI3/BE3,"n/a")</f>
        <v/>
      </c>
      <c r="BF736" s="86">
        <f>IFERROR(BF735/AVERAGE(BE726,BF726)*BI3/BF3,"n/a")</f>
        <v/>
      </c>
      <c r="BG736" s="86">
        <f>IFERROR(BG735/AVERAGE(BF726,BG726)*BI3/BG3,"n/a")</f>
        <v/>
      </c>
      <c r="BH736" s="86">
        <f>IFERROR(BH735/AVERAGE(BG726,BH726)*BI3/BH3,"n/a")</f>
        <v/>
      </c>
      <c r="BI736" s="1211">
        <f>IFERROR(BI735/AVERAGE(BE726,BF726,BG726,BH726),"n/a")</f>
        <v/>
      </c>
      <c r="BJ736" s="86">
        <f>IFERROR(BJ735/AVERAGE(BI726,BJ726)*BN3/BJ3,"n/a")</f>
        <v/>
      </c>
      <c r="BK736" s="86">
        <f>IFERROR(BK735/AVERAGE(BJ726,BK726)*BN3/BK3,"n/a")</f>
        <v/>
      </c>
      <c r="BL736" s="86">
        <f>IFERROR(BL735/AVERAGE(BK726,BL726)*BN3/BL3,"n/a")</f>
        <v/>
      </c>
      <c r="BM736" s="86">
        <f>IFERROR(BM735/AVERAGE(BL726,BM726)*BN3/BM3,"n/a")</f>
        <v/>
      </c>
      <c r="BN736" s="1211">
        <f>IFERROR(BN735/AVERAGE(BJ726,BK726,BL726,BM726),"n/a")</f>
        <v/>
      </c>
      <c r="BO736" s="86">
        <f>IFERROR(BO735/AVERAGE(BN726,BO726)*BS3/BO3,"n/a")</f>
        <v/>
      </c>
      <c r="BP736" s="86">
        <f>IFERROR(BP735/AVERAGE(BO726,BP726)*BS3/BP3,"n/a")</f>
        <v/>
      </c>
      <c r="BQ736" s="86">
        <f>IFERROR(BQ735/AVERAGE(BP726,BQ726)*BS3/BQ3,"n/a")</f>
        <v/>
      </c>
      <c r="BR736" s="86">
        <f>IFERROR(BR735/AVERAGE(BQ726,BR726)*BS3/BR3,"n/a")</f>
        <v/>
      </c>
      <c r="BS736" s="1211">
        <f>IFERROR(BS735/AVERAGE(BO726,BP726,BQ726,BR726),"n/a")</f>
        <v/>
      </c>
      <c r="BT736" s="86">
        <f>IFERROR(BT735/AVERAGE(BS726,BT726)*BX3/BT3,"n/a")</f>
        <v/>
      </c>
      <c r="BU736" s="86">
        <f>IFERROR(BU735/AVERAGE(BT726,BU726)*BX3/BU3,"n/a")</f>
        <v/>
      </c>
      <c r="BV736" s="920">
        <f>IFERROR(BV735/AVERAGE(BU726,BV726)*BX3/BV3,"n/a")</f>
        <v/>
      </c>
      <c r="BW736" s="1086" t="n">
        <v>0.047</v>
      </c>
      <c r="BX736" s="1211">
        <f>IFERROR(BX735/AVERAGE(BT726,BU726,BV726,BW726),"n/a")</f>
        <v/>
      </c>
      <c r="BY736" s="1086" t="n">
        <v>0.047</v>
      </c>
      <c r="BZ736" s="1086" t="n">
        <v>0.047</v>
      </c>
      <c r="CA736" s="1086" t="n">
        <v>0.047</v>
      </c>
      <c r="CB736" s="1086" t="n">
        <v>0.047</v>
      </c>
      <c r="CC736" s="1211">
        <f>IFERROR(CC735/AVERAGE(BY726,BZ726,CA726,CB726),"n/a")</f>
        <v/>
      </c>
      <c r="CD736" s="1213" t="n">
        <v>0.04</v>
      </c>
      <c r="CE736" s="1213" t="n">
        <v>0.04</v>
      </c>
      <c r="CF736" s="1213" t="n">
        <v>0.04</v>
      </c>
      <c r="CG736" s="155" t="n"/>
    </row>
    <row r="737" hidden="1" outlineLevel="1">
      <c r="A737" s="68" t="inlineStr">
        <is>
          <t>Net Interest Expense (Income)</t>
        </is>
      </c>
      <c r="B737" s="146" t="n"/>
      <c r="C737" s="1151">
        <f>IFERROR(C733-C735,"n/a")</f>
        <v/>
      </c>
      <c r="D737" s="1151">
        <f>IFERROR(D733-D735,"n/a")</f>
        <v/>
      </c>
      <c r="E737" s="1151">
        <f>IFERROR(E733-E735,"n/a")</f>
        <v/>
      </c>
      <c r="F737" s="1151">
        <f>IFERROR(F733-F735,"n/a")</f>
        <v/>
      </c>
      <c r="G737" s="563">
        <f>IFERROR(G733-G735,"n/a")</f>
        <v/>
      </c>
      <c r="H737" s="563">
        <f>IFERROR(H733-H735,"n/a")</f>
        <v/>
      </c>
      <c r="I737" s="563">
        <f>IFERROR(I733-I735,"n/a")</f>
        <v/>
      </c>
      <c r="J737" s="563">
        <f>IFERROR(J733-J735,"n/a")</f>
        <v/>
      </c>
      <c r="K737" s="1151">
        <f>IFERROR(K733-K735,"n/a")</f>
        <v/>
      </c>
      <c r="L737" s="563">
        <f>IFERROR(L733-L735,"n/a")</f>
        <v/>
      </c>
      <c r="M737" s="563">
        <f>IFERROR(M733-M735,"n/a")</f>
        <v/>
      </c>
      <c r="N737" s="563">
        <f>IFERROR(N733-N735,"n/a")</f>
        <v/>
      </c>
      <c r="O737" s="563">
        <f>IFERROR(O733-O735,"n/a")</f>
        <v/>
      </c>
      <c r="P737" s="1151">
        <f>IFERROR(P733-P735,"n/a")</f>
        <v/>
      </c>
      <c r="Q737" s="563">
        <f>IFERROR(Q733-Q735,"n/a")</f>
        <v/>
      </c>
      <c r="R737" s="563">
        <f>IFERROR(R733-R735,"n/a")</f>
        <v/>
      </c>
      <c r="S737" s="563">
        <f>IFERROR(S733-S735,"n/a")</f>
        <v/>
      </c>
      <c r="T737" s="563">
        <f>IFERROR(T733-T735,"n/a")</f>
        <v/>
      </c>
      <c r="U737" s="1151">
        <f>IFERROR(U733-U735,"n/a")</f>
        <v/>
      </c>
      <c r="V737" s="563">
        <f>IFERROR(V733-V735,"n/a")</f>
        <v/>
      </c>
      <c r="W737" s="563">
        <f>IFERROR(W733-W735,"n/a")</f>
        <v/>
      </c>
      <c r="X737" s="563">
        <f>IFERROR(X733-X735,"n/a")</f>
        <v/>
      </c>
      <c r="Y737" s="563">
        <f>IFERROR(Y733-Y735,"n/a")</f>
        <v/>
      </c>
      <c r="Z737" s="1151">
        <f>IFERROR(Z733-Z735,"n/a")</f>
        <v/>
      </c>
      <c r="AA737" s="563">
        <f>IFERROR(AA733-AA735,"n/a")</f>
        <v/>
      </c>
      <c r="AB737" s="563">
        <f>IFERROR(AB733-AB735,"n/a")</f>
        <v/>
      </c>
      <c r="AC737" s="563">
        <f>IFERROR(AC733-AC735,"n/a")</f>
        <v/>
      </c>
      <c r="AD737" s="563">
        <f>IFERROR(AD733-AD735,"n/a")</f>
        <v/>
      </c>
      <c r="AE737" s="1151">
        <f>IFERROR(AE733-AE735,"n/a")</f>
        <v/>
      </c>
      <c r="AF737" s="563">
        <f>IFERROR(AF733-AF735,"n/a")</f>
        <v/>
      </c>
      <c r="AG737" s="563">
        <f>IFERROR(AG733-AG735,"n/a")</f>
        <v/>
      </c>
      <c r="AH737" s="563">
        <f>IFERROR(AH733-AH735,"n/a")</f>
        <v/>
      </c>
      <c r="AI737" s="563">
        <f>IFERROR(AI733-AI735,"n/a")</f>
        <v/>
      </c>
      <c r="AJ737" s="1151">
        <f>IFERROR(AJ733-AJ735,"n/a")</f>
        <v/>
      </c>
      <c r="AK737" s="563">
        <f>IFERROR(AK733-AK735,"n/a")</f>
        <v/>
      </c>
      <c r="AL737" s="563">
        <f>IFERROR(AL733-AL735,"n/a")</f>
        <v/>
      </c>
      <c r="AM737" s="563">
        <f>IFERROR(AM733-AM735,"n/a")</f>
        <v/>
      </c>
      <c r="AN737" s="563">
        <f>IFERROR(AN733-AN735,"n/a")</f>
        <v/>
      </c>
      <c r="AO737" s="1151">
        <f>IFERROR(AO733-AO735,"n/a")</f>
        <v/>
      </c>
      <c r="AP737" s="563">
        <f>IFERROR(AP733-AP735,"n/a")</f>
        <v/>
      </c>
      <c r="AQ737" s="563">
        <f>IFERROR(AQ733-AQ735,"n/a")</f>
        <v/>
      </c>
      <c r="AR737" s="563">
        <f>IFERROR(AR733-AR735,"n/a")</f>
        <v/>
      </c>
      <c r="AS737" s="563">
        <f>IFERROR(AS733-AS735,"n/a")</f>
        <v/>
      </c>
      <c r="AT737" s="1151">
        <f>IFERROR(AT733-AT735,"n/a")</f>
        <v/>
      </c>
      <c r="AU737" s="563">
        <f>IFERROR(AU733-AU735,"n/a")</f>
        <v/>
      </c>
      <c r="AV737" s="563">
        <f>IFERROR(AV733-AV735,"n/a")</f>
        <v/>
      </c>
      <c r="AW737" s="563">
        <f>IFERROR(AW733-AW735,"n/a")</f>
        <v/>
      </c>
      <c r="AX737" s="563">
        <f>IFERROR(AX733-AX735,"n/a")</f>
        <v/>
      </c>
      <c r="AY737" s="1151">
        <f>IFERROR(AY733-AY735,"n/a")</f>
        <v/>
      </c>
      <c r="AZ737" s="563">
        <f>IFERROR(AZ733-AZ735,"n/a")</f>
        <v/>
      </c>
      <c r="BA737" s="563">
        <f>IFERROR(BA733-BA735,"n/a")</f>
        <v/>
      </c>
      <c r="BB737" s="563">
        <f>IFERROR(BB733-BB735,"n/a")</f>
        <v/>
      </c>
      <c r="BC737" s="563">
        <f>IFERROR(BC733-BC735,"n/a")</f>
        <v/>
      </c>
      <c r="BD737" s="1151">
        <f>IFERROR(BD733-BD735,"n/a")</f>
        <v/>
      </c>
      <c r="BE737" s="563">
        <f>IFERROR(BE733-BE735,"n/a")</f>
        <v/>
      </c>
      <c r="BF737" s="563">
        <f>IFERROR(BF733-BF735,"n/a")</f>
        <v/>
      </c>
      <c r="BG737" s="563">
        <f>IFERROR(BG733-BG735,"n/a")</f>
        <v/>
      </c>
      <c r="BH737" s="563">
        <f>IFERROR(BH733-BH735,"n/a")</f>
        <v/>
      </c>
      <c r="BI737" s="1151">
        <f>IFERROR(BI733-BI735,"n/a")</f>
        <v/>
      </c>
      <c r="BJ737" s="563">
        <f>IFERROR(BJ733-BJ735,"n/a")</f>
        <v/>
      </c>
      <c r="BK737" s="563">
        <f>IFERROR(BK733-BK735,"n/a")</f>
        <v/>
      </c>
      <c r="BL737" s="563">
        <f>IFERROR(BL733-BL735,"n/a")</f>
        <v/>
      </c>
      <c r="BM737" s="563">
        <f>IFERROR(BM733-BM735,"n/a")</f>
        <v/>
      </c>
      <c r="BN737" s="1151">
        <f>IFERROR(BN733-BN735,"n/a")</f>
        <v/>
      </c>
      <c r="BO737" s="563">
        <f>IFERROR(BO733-BO735,"n/a")</f>
        <v/>
      </c>
      <c r="BP737" s="563">
        <f>IFERROR(BP733-BP735,"n/a")</f>
        <v/>
      </c>
      <c r="BQ737" s="563">
        <f>IFERROR(BQ733-BQ735,"n/a")</f>
        <v/>
      </c>
      <c r="BR737" s="563">
        <f>IFERROR(BR733-BR735,"n/a")</f>
        <v/>
      </c>
      <c r="BS737" s="1151">
        <f>IFERROR(BS733-BS735,"n/a")</f>
        <v/>
      </c>
      <c r="BT737" s="563">
        <f>IFERROR(BT733-BT735,"n/a")</f>
        <v/>
      </c>
      <c r="BU737" s="563">
        <f>IFERROR(BU733-BU735,"n/a")</f>
        <v/>
      </c>
      <c r="BV737" s="731">
        <f>IFERROR(BV733-BV735,"n/a")</f>
        <v/>
      </c>
      <c r="BW737" s="563">
        <f>IFERROR(BW733-BW735,"n/a")</f>
        <v/>
      </c>
      <c r="BX737" s="1151">
        <f>SUM(BT737,BU737,BV737,BW737)</f>
        <v/>
      </c>
      <c r="BY737" s="563">
        <f>IFERROR(BY733-BY735,"n/a")</f>
        <v/>
      </c>
      <c r="BZ737" s="563">
        <f>IFERROR(BZ733-BZ735,"n/a")</f>
        <v/>
      </c>
      <c r="CA737" s="563">
        <f>IFERROR(CA733-CA735,"n/a")</f>
        <v/>
      </c>
      <c r="CB737" s="563">
        <f>IFERROR(CB733-CB735,"n/a")</f>
        <v/>
      </c>
      <c r="CC737" s="1151">
        <f>SUM(BY737,BZ737,CA737,CB737)</f>
        <v/>
      </c>
      <c r="CD737" s="1151">
        <f>IFERROR(CD733-CD735,"n/a")</f>
        <v/>
      </c>
      <c r="CE737" s="1151">
        <f>IFERROR(CE733-CE735,"n/a")</f>
        <v/>
      </c>
      <c r="CF737" s="1151">
        <f>IFERROR(CF733-CF735,"n/a")</f>
        <v/>
      </c>
      <c r="CG737" s="155" t="n"/>
    </row>
    <row r="738" hidden="1" outlineLevel="1">
      <c r="A738" s="238" t="inlineStr">
        <is>
          <t>Effective Net Interest Rate on Debt</t>
        </is>
      </c>
      <c r="B738" s="283" t="n"/>
      <c r="C738" s="1211" t="n"/>
      <c r="D738" s="1211">
        <f>IFERROR(IF(D737/AVERAGE(C729,D729)&lt;0,"n/a",D737/AVERAGE(C729,D729)),"n/a")</f>
        <v/>
      </c>
      <c r="E738" s="1211">
        <f>IFERROR(IF(E737/AVERAGE(D729,E729)&lt;0,"n/a",E737/AVERAGE(D729,E729)),"n/a")</f>
        <v/>
      </c>
      <c r="F738" s="1211">
        <f>IFERROR(IF(F737/AVERAGE(E729,F729)&lt;0,"n/a",F737/AVERAGE(E729,F729)),"n/a")</f>
        <v/>
      </c>
      <c r="G738" s="86">
        <f>IFERROR(IF(G737/AVERAGE(F729,G729)&lt;0,"n/a",G737/AVERAGE(F729,G729)*K3/G3),"n/a")</f>
        <v/>
      </c>
      <c r="H738" s="86">
        <f>IFERROR(IF(H737/AVERAGE(G729,H729)&lt;0,"n/a",H737/AVERAGE(G729,H729)*K3/H3),"n/a")</f>
        <v/>
      </c>
      <c r="I738" s="86">
        <f>IFERROR(IF(I737/AVERAGE(H729,I729)&lt;0,"n/a",I737/AVERAGE(H729,I729)*K3/I3),"n/a")</f>
        <v/>
      </c>
      <c r="J738" s="86">
        <f>IFERROR(IF(J737/AVERAGE(I729,J729)&lt;0,"n/a",J737/AVERAGE(I729,J729)*K3/J3),"n/a")</f>
        <v/>
      </c>
      <c r="K738" s="1211">
        <f>IFERROR(IF(K737/AVERAGE(G729,H729,I729,J729)&lt;0,"n/a",K737/AVERAGE(G729,H729,I729,J729)),"n/a")</f>
        <v/>
      </c>
      <c r="L738" s="86">
        <f>IFERROR(IF(L737/AVERAGE(K729,L729)&lt;0,"n/a",L737/AVERAGE(K729,L729)*P3/L3),"n/a")</f>
        <v/>
      </c>
      <c r="M738" s="86">
        <f>IFERROR(IF(M737/AVERAGE(L729,M729)&lt;0,"n/a",M737/AVERAGE(L729,M729)*P3/M3),"n/a")</f>
        <v/>
      </c>
      <c r="N738" s="86">
        <f>IFERROR(IF(N737/AVERAGE(M729,N729)&lt;0,"n/a",N737/AVERAGE(M729,N729)*P3/N3),"n/a")</f>
        <v/>
      </c>
      <c r="O738" s="86">
        <f>IFERROR(IF(O737/AVERAGE(N729,O729)&lt;0,"n/a",O737/AVERAGE(N729,O729)*P3/O3),"n/a")</f>
        <v/>
      </c>
      <c r="P738" s="1211">
        <f>IFERROR(IF(P737/AVERAGE(L729,M729,N729,O729)&lt;0,"n/a",P737/AVERAGE(L729,M729,N729,O729)),"n/a")</f>
        <v/>
      </c>
      <c r="Q738" s="86">
        <f>IFERROR(IF(Q737/AVERAGE(P729,Q729)&lt;0,"n/a",Q737/AVERAGE(P729,Q729)*U3/Q3),"n/a")</f>
        <v/>
      </c>
      <c r="R738" s="86">
        <f>IFERROR(IF(R737/AVERAGE(Q729,R729)&lt;0,"n/a",R737/AVERAGE(Q729,R729)*U3/R3),"n/a")</f>
        <v/>
      </c>
      <c r="S738" s="86">
        <f>IFERROR(IF(S737/AVERAGE(R729,S729)&lt;0,"n/a",S737/AVERAGE(R729,S729)*U3/S3),"n/a")</f>
        <v/>
      </c>
      <c r="T738" s="86">
        <f>IFERROR(IF(T737/AVERAGE(S729,T729)&lt;0,"n/a",T737/AVERAGE(S729,T729)*U3/T3),"n/a")</f>
        <v/>
      </c>
      <c r="U738" s="1211">
        <f>IFERROR(IF(U737/AVERAGE(Q729,R729,S729,T729)&lt;0,"n/a",U737/AVERAGE(Q729,R729,S729,T729)),"n/a")</f>
        <v/>
      </c>
      <c r="V738" s="86">
        <f>IFERROR(IF(V737/AVERAGE(U729,V729)&lt;0,"n/a",V737/AVERAGE(U729,V729)*Z3/V3),"n/a")</f>
        <v/>
      </c>
      <c r="W738" s="86">
        <f>IFERROR(IF(W737/AVERAGE(V729,W729)&lt;0,"n/a",W737/AVERAGE(V729,W729)*Z3/W3),"n/a")</f>
        <v/>
      </c>
      <c r="X738" s="86">
        <f>IFERROR(IF(X737/AVERAGE(W729,X729)&lt;0,"n/a",X737/AVERAGE(W729,X729)*Z3/X3),"n/a")</f>
        <v/>
      </c>
      <c r="Y738" s="86">
        <f>IFERROR(IF(Y737/AVERAGE(X729,Y729)&lt;0,"n/a",Y737/AVERAGE(X729,Y729)*Z3/Y3),"n/a")</f>
        <v/>
      </c>
      <c r="Z738" s="1211">
        <f>IFERROR(IF(Z737/AVERAGE(V729,W729,X729,Y729)&lt;0,"n/a",Z737/AVERAGE(V729,W729,X729,Y729)),"n/a")</f>
        <v/>
      </c>
      <c r="AA738" s="86">
        <f>IFERROR(IF(AA737/AVERAGE(Z729,AA729)&lt;0,"n/a",AA737/AVERAGE(Z729,AA729)*AE3/AA3),"n/a")</f>
        <v/>
      </c>
      <c r="AB738" s="86">
        <f>IFERROR(IF(AB737/AVERAGE(AA729,AB729)&lt;0,"n/a",AB737/AVERAGE(AA729,AB729)*AE3/AB3),"n/a")</f>
        <v/>
      </c>
      <c r="AC738" s="86">
        <f>IFERROR(IF(AC737/AVERAGE(AB729,AC729)&lt;0,"n/a",AC737/AVERAGE(AB729,AC729)*AE3/AC3),"n/a")</f>
        <v/>
      </c>
      <c r="AD738" s="86">
        <f>IFERROR(IF(AD737/AVERAGE(AC729,AD729)&lt;0,"n/a",AD737/AVERAGE(AC729,AD729)*AE3/AD3),"n/a")</f>
        <v/>
      </c>
      <c r="AE738" s="1211">
        <f>IFERROR(IF(AE737/AVERAGE(AA729,AB729,AC729,AD729)&lt;0,"n/a",AE737/AVERAGE(AA729,AB729,AC729,AD729)),"n/a")</f>
        <v/>
      </c>
      <c r="AF738" s="86">
        <f>IFERROR(IF(AF737/AVERAGE(AE729,AF729)&lt;0,"n/a",AF737/AVERAGE(AE729,AF729)*AJ3/AF3),"n/a")</f>
        <v/>
      </c>
      <c r="AG738" s="86">
        <f>IFERROR(IF(AG737/AVERAGE(AF729,AG729)&lt;0,"n/a",AG737/AVERAGE(AF729,AG729)*AJ3/AG3),"n/a")</f>
        <v/>
      </c>
      <c r="AH738" s="86">
        <f>IFERROR(IF(AH737/AVERAGE(AG729,AH729)&lt;0,"n/a",AH737/AVERAGE(AG729,AH729)*AJ3/AH3),"n/a")</f>
        <v/>
      </c>
      <c r="AI738" s="86">
        <f>IFERROR(IF(AI737/AVERAGE(AH729,AI729)&lt;0,"n/a",AI737/AVERAGE(AH729,AI729)*AJ3/AI3),"n/a")</f>
        <v/>
      </c>
      <c r="AJ738" s="1211">
        <f>IFERROR(IF(AJ737/AVERAGE(AF729,AG729,AH729,AI729)&lt;0,"n/a",AJ737/AVERAGE(AF729,AG729,AH729,AI729)),"n/a")</f>
        <v/>
      </c>
      <c r="AK738" s="86">
        <f>IFERROR(IF(AK737/AVERAGE(AJ729,AK729)&lt;0,"n/a",AK737/AVERAGE(AJ729,AK729)*AO3/AK3),"n/a")</f>
        <v/>
      </c>
      <c r="AL738" s="86">
        <f>IFERROR(IF(AL737/AVERAGE(AK729,AL729)&lt;0,"n/a",AL737/AVERAGE(AK729,AL729)*AO3/AL3),"n/a")</f>
        <v/>
      </c>
      <c r="AM738" s="86">
        <f>IFERROR(IF(AM737/AVERAGE(AL729,AM729)&lt;0,"n/a",AM737/AVERAGE(AL729,AM729)*AO3/AM3),"n/a")</f>
        <v/>
      </c>
      <c r="AN738" s="86">
        <f>IFERROR(IF(AN737/AVERAGE(AM729,AN729)&lt;0,"n/a",AN737/AVERAGE(AM729,AN729)*AO3/AN3),"n/a")</f>
        <v/>
      </c>
      <c r="AO738" s="1211">
        <f>IFERROR(IF(AO737/AVERAGE(AK729,AL729,AM729,AN729)&lt;0,"n/a",AO737/AVERAGE(AK729,AL729,AM729,AN729)),"n/a")</f>
        <v/>
      </c>
      <c r="AP738" s="86">
        <f>IFERROR(IF(AP737/AVERAGE(AO729,AP729)&lt;0,"n/a",AP737/AVERAGE(AO729,AP729)*AT3/AP3),"n/a")</f>
        <v/>
      </c>
      <c r="AQ738" s="86">
        <f>IFERROR(IF(AQ737/AVERAGE(AP729,AQ729)&lt;0,"n/a",AQ737/AVERAGE(AP729,AQ729)*AT3/AQ3),"n/a")</f>
        <v/>
      </c>
      <c r="AR738" s="86">
        <f>IFERROR(IF(AR737/AVERAGE(AQ729,AR729)&lt;0,"n/a",AR737/AVERAGE(AQ729,AR729)*AT3/AR3),"n/a")</f>
        <v/>
      </c>
      <c r="AS738" s="86">
        <f>IFERROR(IF(AS737/AVERAGE(AR729,AS729)&lt;0,"n/a",AS737/AVERAGE(AR729,AS729)*AT3/AS3),"n/a")</f>
        <v/>
      </c>
      <c r="AT738" s="1211">
        <f>IFERROR(IF(AT737/AVERAGE(AP729,AQ729,AR729,AS729)&lt;0,"n/a",AT737/AVERAGE(AP729,AQ729,AR729,AS729)),"n/a")</f>
        <v/>
      </c>
      <c r="AU738" s="86">
        <f>IFERROR(IF(AU737/AVERAGE(AT729,AU729)&lt;0,"n/a",AU737/AVERAGE(AT729,AU729)*AY3/AU3),"n/a")</f>
        <v/>
      </c>
      <c r="AV738" s="86">
        <f>IFERROR(IF(AV737/AVERAGE(AU729,AV729)&lt;0,"n/a",AV737/AVERAGE(AU729,AV729)*AY3/AV3),"n/a")</f>
        <v/>
      </c>
      <c r="AW738" s="86">
        <f>IFERROR(IF(AW737/AVERAGE(AV729,AW729)&lt;0,"n/a",AW737/AVERAGE(AV729,AW729)*AY3/AW3),"n/a")</f>
        <v/>
      </c>
      <c r="AX738" s="86">
        <f>IFERROR(IF(AX737/AVERAGE(AW729,AX729)&lt;0,"n/a",AX737/AVERAGE(AW729,AX729)*AY3/AX3),"n/a")</f>
        <v/>
      </c>
      <c r="AY738" s="1211">
        <f>IFERROR(IF(AY737/AVERAGE(AU729,AV729,AW729,AX729)&lt;0,"n/a",AY737/AVERAGE(AU729,AV729,AW729,AX729)),"n/a")</f>
        <v/>
      </c>
      <c r="AZ738" s="86">
        <f>IFERROR(IF(AZ737/AVERAGE(AY729,AZ729)&lt;0,"n/a",AZ737/AVERAGE(AY729,AZ729)*BD3/AZ3),"n/a")</f>
        <v/>
      </c>
      <c r="BA738" s="86">
        <f>IFERROR(IF(BA737/AVERAGE(AZ729,BA729)&lt;0,"n/a",BA737/AVERAGE(AZ729,BA729)*BD3/BA3),"n/a")</f>
        <v/>
      </c>
      <c r="BB738" s="86">
        <f>IFERROR(IF(BB737/AVERAGE(BA729,BB729)&lt;0,"n/a",BB737/AVERAGE(BA729,BB729)*BD3/BB3),"n/a")</f>
        <v/>
      </c>
      <c r="BC738" s="86">
        <f>IFERROR(IF(BC737/AVERAGE(BB729,BC729)&lt;0,"n/a",BC737/AVERAGE(BB729,BC729)*BD3/BC3),"n/a")</f>
        <v/>
      </c>
      <c r="BD738" s="1211">
        <f>IFERROR(IF(BD737/AVERAGE(AZ729,BA729,BB729,BC729)&lt;0,"n/a",BD737/AVERAGE(AZ729,BA729,BB729,BC729)),"n/a")</f>
        <v/>
      </c>
      <c r="BE738" s="86">
        <f>IFERROR(IF(BE737/AVERAGE(BD729,BE729)&lt;0,"n/a",BE737/AVERAGE(BD729,BE729)*BI3/BE3),"n/a")</f>
        <v/>
      </c>
      <c r="BF738" s="86">
        <f>IFERROR(IF(BF737/AVERAGE(BE729,BF729)&lt;0,"n/a",BF737/AVERAGE(BE729,BF729)*BI3/BF3),"n/a")</f>
        <v/>
      </c>
      <c r="BG738" s="86">
        <f>IFERROR(IF(BG737/AVERAGE(BF729,BG729)&lt;0,"n/a",BG737/AVERAGE(BF729,BG729)*BI3/BG3),"n/a")</f>
        <v/>
      </c>
      <c r="BH738" s="86">
        <f>IFERROR(IF(BH737/AVERAGE(BG729,BH729)&lt;0,"n/a",BH737/AVERAGE(BG729,BH729)*BI3/BH3),"n/a")</f>
        <v/>
      </c>
      <c r="BI738" s="1211">
        <f>IFERROR(IF(BI737/AVERAGE(BE729,BF729,BG729,BH729)&lt;0,"n/a",BI737/AVERAGE(BE729,BF729,BG729,BH729)),"n/a")</f>
        <v/>
      </c>
      <c r="BJ738" s="86">
        <f>IFERROR(IF(BJ737/AVERAGE(BI729,BJ729)&lt;0,"n/a",BJ737/AVERAGE(BI729,BJ729)*BN3/BJ3),"n/a")</f>
        <v/>
      </c>
      <c r="BK738" s="86">
        <f>IFERROR(IF(BK737/AVERAGE(BJ729,BK729)&lt;0,"n/a",BK737/AVERAGE(BJ729,BK729)*BN3/BK3),"n/a")</f>
        <v/>
      </c>
      <c r="BL738" s="86">
        <f>IFERROR(IF(BL737/AVERAGE(BK729,BL729)&lt;0,"n/a",BL737/AVERAGE(BK729,BL729)*BN3/BL3),"n/a")</f>
        <v/>
      </c>
      <c r="BM738" s="86">
        <f>IFERROR(IF(BM737/AVERAGE(BL729,BM729)&lt;0,"n/a",BM737/AVERAGE(BL729,BM729)*BN3/BM3),"n/a")</f>
        <v/>
      </c>
      <c r="BN738" s="1211">
        <f>IFERROR(IF(BN737/AVERAGE(BJ729,BK729,BL729,BM729)&lt;0,"n/a",BN737/AVERAGE(BJ729,BK729,BL729,BM729)),"n/a")</f>
        <v/>
      </c>
      <c r="BO738" s="86">
        <f>IFERROR(IF(BO737/AVERAGE(BN729,BO729)&lt;0,"n/a",BO737/AVERAGE(BN729,BO729)*BS3/BO3),"n/a")</f>
        <v/>
      </c>
      <c r="BP738" s="86">
        <f>IFERROR(IF(BP737/AVERAGE(BO729,BP729)&lt;0,"n/a",BP737/AVERAGE(BO729,BP729)*BS3/BP3),"n/a")</f>
        <v/>
      </c>
      <c r="BQ738" s="86">
        <f>IFERROR(IF(BQ737/AVERAGE(BP729,BQ729)&lt;0,"n/a",BQ737/AVERAGE(BP729,BQ729)*BS3/BQ3),"n/a")</f>
        <v/>
      </c>
      <c r="BR738" s="86">
        <f>IFERROR(IF(BR737/AVERAGE(BQ729,BR729)&lt;0,"n/a",BR737/AVERAGE(BQ729,BR729)*BS3/BR3),"n/a")</f>
        <v/>
      </c>
      <c r="BS738" s="1211">
        <f>IFERROR(IF(BS737/AVERAGE(BO729,BP729,BQ729,BR729)&lt;0,"n/a",BS737/AVERAGE(BO729,BP729,BQ729,BR729)),"n/a")</f>
        <v/>
      </c>
      <c r="BT738" s="86">
        <f>IFERROR(IF(BT737/AVERAGE(BS729,BT729)&lt;0,"n/a",BT737/AVERAGE(BS729,BT729)*BX3/BT3),"n/a")</f>
        <v/>
      </c>
      <c r="BU738" s="86">
        <f>IFERROR(IF(BU737/AVERAGE(BT729,BU729)&lt;0,"n/a",BU737/AVERAGE(BT729,BU729)*BX3/BU3),"n/a")</f>
        <v/>
      </c>
      <c r="BV738" s="920">
        <f>IFERROR(IF(BV737/AVERAGE(BU729,BV729)&lt;0,"n/a",BV737/AVERAGE(BU729,BV729)*BX3/BV3),"n/a")</f>
        <v/>
      </c>
      <c r="BW738" s="86">
        <f>IFERROR(IF(BW737/AVERAGE(BV729,BW729)&lt;0,"n/a",BW737/AVERAGE(BV729,BW729)*BX3/BW3),"n/a")</f>
        <v/>
      </c>
      <c r="BX738" s="1211">
        <f>IFERROR(IF(BX737/AVERAGE(BT729,BU729,BV729,BW729)&lt;0,"n/a",BX737/AVERAGE(BT729,BU729,BV729,BW729)),"n/a")</f>
        <v/>
      </c>
      <c r="BY738" s="86">
        <f>IFERROR(IF(BY737/AVERAGE(BX729,BY729)&lt;0,"n/a",BY737/AVERAGE(BX729,BY729)*CC3/BY3),"n/a")</f>
        <v/>
      </c>
      <c r="BZ738" s="86">
        <f>IFERROR(IF(BZ737/AVERAGE(BY729,BZ729)&lt;0,"n/a",BZ737/AVERAGE(BY729,BZ729)*CC3/BZ3),"n/a")</f>
        <v/>
      </c>
      <c r="CA738" s="86">
        <f>IFERROR(IF(CA737/AVERAGE(BZ729,CA729)&lt;0,"n/a",CA737/AVERAGE(BZ729,CA729)*CC3/CA3),"n/a")</f>
        <v/>
      </c>
      <c r="CB738" s="86">
        <f>IFERROR(IF(CB737/AVERAGE(CA729,CB729)&lt;0,"n/a",CB737/AVERAGE(CA729,CB729)*CC3/CB3),"n/a")</f>
        <v/>
      </c>
      <c r="CC738" s="1211">
        <f>IFERROR(IF(CC737/AVERAGE(BY729,BZ729,CA729,CB729)&lt;0,"n/a",CC737/AVERAGE(BY729,BZ729,CA729,CB729)),"n/a")</f>
        <v/>
      </c>
      <c r="CD738" s="1211">
        <f>IFERROR(IF(CD737/AVERAGE(CC729,CD729)&lt;0,"n/a",CD737/AVERAGE(CC729,CD729)),"n/a")</f>
        <v/>
      </c>
      <c r="CE738" s="1211">
        <f>IFERROR(IF(CE737/AVERAGE(CD729,CE729)&lt;0,"n/a",CE737/AVERAGE(CD729,CE729)),"n/a")</f>
        <v/>
      </c>
      <c r="CF738" s="1211">
        <f>IFERROR(IF(CF737/AVERAGE(CE729,CF729)&lt;0,"n/a",CF737/AVERAGE(CE729,CF729)),"n/a")</f>
        <v/>
      </c>
      <c r="CG738" s="155" t="n"/>
    </row>
    <row r="739" collapsed="1">
      <c r="A739" s="63" t="n"/>
      <c r="B739" s="279" t="n"/>
      <c r="C739" s="1211" t="n"/>
      <c r="D739" s="1211" t="n"/>
      <c r="E739" s="1211" t="n"/>
      <c r="F739" s="1211" t="n"/>
      <c r="G739" s="86" t="n"/>
      <c r="H739" s="86" t="n"/>
      <c r="I739" s="86" t="n"/>
      <c r="J739" s="86" t="n"/>
      <c r="K739" s="1211" t="n"/>
      <c r="L739" s="86" t="n"/>
      <c r="M739" s="86" t="n"/>
      <c r="N739" s="86" t="n"/>
      <c r="O739" s="86" t="n"/>
      <c r="P739" s="1211" t="n"/>
      <c r="Q739" s="86" t="n"/>
      <c r="R739" s="86" t="n"/>
      <c r="S739" s="86" t="n"/>
      <c r="T739" s="86" t="n"/>
      <c r="U739" s="1211" t="n"/>
      <c r="V739" s="86" t="n"/>
      <c r="W739" s="86" t="n"/>
      <c r="X739" s="86" t="n"/>
      <c r="Y739" s="86" t="n"/>
      <c r="Z739" s="1211" t="n"/>
      <c r="AA739" s="86" t="n"/>
      <c r="AB739" s="86" t="n"/>
      <c r="AC739" s="86" t="n"/>
      <c r="AD739" s="86" t="n"/>
      <c r="AE739" s="1211" t="n"/>
      <c r="AF739" s="86" t="n"/>
      <c r="AG739" s="86" t="n"/>
      <c r="AH739" s="86" t="n"/>
      <c r="AI739" s="86" t="n"/>
      <c r="AJ739" s="1211" t="n"/>
      <c r="AK739" s="86" t="n"/>
      <c r="AL739" s="86" t="n"/>
      <c r="AM739" s="86" t="n"/>
      <c r="AN739" s="86" t="n"/>
      <c r="AO739" s="1211" t="n"/>
      <c r="AP739" s="86" t="n"/>
      <c r="AQ739" s="86" t="n"/>
      <c r="AR739" s="86" t="n"/>
      <c r="AS739" s="86" t="n"/>
      <c r="AT739" s="1211" t="n"/>
      <c r="AU739" s="86" t="n"/>
      <c r="AV739" s="86" t="n"/>
      <c r="AW739" s="86" t="n"/>
      <c r="AX739" s="86" t="n"/>
      <c r="AY739" s="1211" t="n"/>
      <c r="AZ739" s="86" t="n"/>
      <c r="BA739" s="86" t="n"/>
      <c r="BB739" s="86" t="n"/>
      <c r="BC739" s="86" t="n"/>
      <c r="BD739" s="1211" t="n"/>
      <c r="BE739" s="86" t="n"/>
      <c r="BF739" s="86" t="n"/>
      <c r="BG739" s="86" t="n"/>
      <c r="BH739" s="86" t="n"/>
      <c r="BI739" s="1211" t="n"/>
      <c r="BJ739" s="86" t="n"/>
      <c r="BK739" s="86" t="n"/>
      <c r="BL739" s="86" t="n"/>
      <c r="BM739" s="86" t="n"/>
      <c r="BN739" s="1211" t="n"/>
      <c r="BO739" s="86" t="n"/>
      <c r="BP739" s="86" t="n"/>
      <c r="BQ739" s="86" t="n"/>
      <c r="BR739" s="86" t="n"/>
      <c r="BS739" s="1211" t="n"/>
      <c r="BT739" s="86" t="n"/>
      <c r="BU739" s="86" t="n"/>
      <c r="BV739" s="920" t="n"/>
      <c r="BW739" s="86" t="n"/>
      <c r="BX739" s="1211" t="n"/>
      <c r="BY739" s="86" t="n"/>
      <c r="BZ739" s="86" t="n"/>
      <c r="CA739" s="86" t="n"/>
      <c r="CB739" s="86" t="n"/>
      <c r="CC739" s="1211" t="n"/>
      <c r="CD739" s="1211" t="n"/>
      <c r="CE739" s="1211" t="n"/>
      <c r="CF739" s="1211" t="n"/>
      <c r="CG739" s="155" t="n"/>
    </row>
    <row r="740">
      <c r="A740" s="63" t="inlineStr">
        <is>
          <t>EBITDA / Net Interest Expense</t>
        </is>
      </c>
      <c r="B740" s="279" t="n"/>
      <c r="C740" s="1214">
        <f>IFERROR(IF(OR(C392&lt;0,C737&lt;0),"n/a",C392/C737),"n/a")</f>
        <v/>
      </c>
      <c r="D740" s="1214">
        <f>IFERROR(IF(OR(D392&lt;0,D737&lt;0),"n/a",D392/D737),"n/a")</f>
        <v/>
      </c>
      <c r="E740" s="1214">
        <f>IFERROR(IF(OR(E392&lt;0,E737&lt;0),"n/a",E392/E737),"n/a")</f>
        <v/>
      </c>
      <c r="F740" s="1214">
        <f>IFERROR(IF(OR(F392&lt;0,F737&lt;0),"n/a",F392/F737),"n/a")</f>
        <v/>
      </c>
      <c r="G740" s="564">
        <f>IFERROR(IF(OR(G392&lt;0,G737&lt;0),"n/a",G392/G737),"n/a")</f>
        <v/>
      </c>
      <c r="H740" s="564">
        <f>IFERROR(IF(OR(H392&lt;0,H737&lt;0),"n/a",H392/H737),"n/a")</f>
        <v/>
      </c>
      <c r="I740" s="564">
        <f>IFERROR(IF(OR(I392&lt;0,I737&lt;0),"n/a",I392/I737),"n/a")</f>
        <v/>
      </c>
      <c r="J740" s="564">
        <f>IFERROR(IF(OR(J392&lt;0,J737&lt;0),"n/a",J392/J737),"n/a")</f>
        <v/>
      </c>
      <c r="K740" s="1214">
        <f>IFERROR(IF(OR(K392&lt;0,K737&lt;0),"n/a",K392/K737),"n/a")</f>
        <v/>
      </c>
      <c r="L740" s="564">
        <f>IFERROR(IF(OR(L392&lt;0,L737&lt;0),"n/a",L392/L737),"n/a")</f>
        <v/>
      </c>
      <c r="M740" s="564">
        <f>IFERROR(IF(OR(M392&lt;0,M737&lt;0),"n/a",M392/M737),"n/a")</f>
        <v/>
      </c>
      <c r="N740" s="564">
        <f>IFERROR(IF(OR(N392&lt;0,N737&lt;0),"n/a",N392/N737),"n/a")</f>
        <v/>
      </c>
      <c r="O740" s="564">
        <f>IFERROR(IF(OR(O392&lt;0,O737&lt;0),"n/a",O392/O737),"n/a")</f>
        <v/>
      </c>
      <c r="P740" s="1214">
        <f>IFERROR(IF(OR(P392&lt;0,P737&lt;0),"n/a",P392/P737),"n/a")</f>
        <v/>
      </c>
      <c r="Q740" s="564">
        <f>IFERROR(IF(OR(Q392&lt;0,Q737&lt;0),"n/a",Q392/Q737),"n/a")</f>
        <v/>
      </c>
      <c r="R740" s="564">
        <f>IFERROR(IF(OR(R392&lt;0,R737&lt;0),"n/a",R392/R737),"n/a")</f>
        <v/>
      </c>
      <c r="S740" s="564">
        <f>IFERROR(IF(OR(S392&lt;0,S737&lt;0),"n/a",S392/S737),"n/a")</f>
        <v/>
      </c>
      <c r="T740" s="564">
        <f>IFERROR(IF(OR(T392&lt;0,T737&lt;0),"n/a",T392/T737),"n/a")</f>
        <v/>
      </c>
      <c r="U740" s="1214">
        <f>IFERROR(IF(OR(U392&lt;0,U737&lt;0),"n/a",U392/U737),"n/a")</f>
        <v/>
      </c>
      <c r="V740" s="564">
        <f>IFERROR(IF(OR(V392&lt;0,V737&lt;0),"n/a",V392/V737),"n/a")</f>
        <v/>
      </c>
      <c r="W740" s="564">
        <f>IFERROR(IF(OR(W392&lt;0,W737&lt;0),"n/a",W392/W737),"n/a")</f>
        <v/>
      </c>
      <c r="X740" s="564">
        <f>IFERROR(IF(OR(X392&lt;0,X737&lt;0),"n/a",X392/X737),"n/a")</f>
        <v/>
      </c>
      <c r="Y740" s="564">
        <f>IFERROR(IF(OR(Y392&lt;0,Y737&lt;0),"n/a",Y392/Y737),"n/a")</f>
        <v/>
      </c>
      <c r="Z740" s="1214">
        <f>IFERROR(IF(OR(Z392&lt;0,Z737&lt;0),"n/a",Z392/Z737),"n/a")</f>
        <v/>
      </c>
      <c r="AA740" s="564">
        <f>IFERROR(IF(OR(AA392&lt;0,AA737&lt;0),"n/a",AA392/AA737),"n/a")</f>
        <v/>
      </c>
      <c r="AB740" s="564">
        <f>IFERROR(IF(OR(AB392&lt;0,AB737&lt;0),"n/a",AB392/AB737),"n/a")</f>
        <v/>
      </c>
      <c r="AC740" s="564">
        <f>IFERROR(IF(OR(AC392&lt;0,AC737&lt;0),"n/a",AC392/AC737),"n/a")</f>
        <v/>
      </c>
      <c r="AD740" s="564">
        <f>IFERROR(IF(OR(AD392&lt;0,AD737&lt;0),"n/a",AD392/AD737),"n/a")</f>
        <v/>
      </c>
      <c r="AE740" s="1214">
        <f>IFERROR(IF(OR(AE392&lt;0,AE737&lt;0),"n/a",AE392/AE737),"n/a")</f>
        <v/>
      </c>
      <c r="AF740" s="564">
        <f>IFERROR(IF(OR(AF392&lt;0,AF737&lt;0),"n/a",AF392/AF737),"n/a")</f>
        <v/>
      </c>
      <c r="AG740" s="564">
        <f>IFERROR(IF(OR(AG392&lt;0,AG737&lt;0),"n/a",AG392/AG737),"n/a")</f>
        <v/>
      </c>
      <c r="AH740" s="564">
        <f>IFERROR(IF(OR(AH392&lt;0,AH737&lt;0),"n/a",AH392/AH737),"n/a")</f>
        <v/>
      </c>
      <c r="AI740" s="564">
        <f>IFERROR(IF(OR(AI392&lt;0,AI737&lt;0),"n/a",AI392/AI737),"n/a")</f>
        <v/>
      </c>
      <c r="AJ740" s="1214">
        <f>IFERROR(IF(OR(AJ392&lt;0,AJ737&lt;0),"n/a",AJ392/AJ737),"n/a")</f>
        <v/>
      </c>
      <c r="AK740" s="564">
        <f>IFERROR(IF(OR(AK392&lt;0,AK737&lt;0),"n/a",AK392/AK737),"n/a")</f>
        <v/>
      </c>
      <c r="AL740" s="564">
        <f>IFERROR(IF(OR(AL392&lt;0,AL737&lt;0),"n/a",AL392/AL737),"n/a")</f>
        <v/>
      </c>
      <c r="AM740" s="564">
        <f>IFERROR(IF(OR(AM392&lt;0,AM737&lt;0),"n/a",AM392/AM737),"n/a")</f>
        <v/>
      </c>
      <c r="AN740" s="564">
        <f>IFERROR(IF(OR(AN392&lt;0,AN737&lt;0),"n/a",AN392/AN737),"n/a")</f>
        <v/>
      </c>
      <c r="AO740" s="1214">
        <f>IFERROR(IF(OR(AO392&lt;0,AO737&lt;0),"n/a",AO392/AO737),"n/a")</f>
        <v/>
      </c>
      <c r="AP740" s="564">
        <f>IFERROR(IF(OR(AP392&lt;0,AP737&lt;0),"n/a",AP392/AP737),"n/a")</f>
        <v/>
      </c>
      <c r="AQ740" s="564">
        <f>IFERROR(IF(OR(AQ392&lt;0,AQ737&lt;0),"n/a",AQ392/AQ737),"n/a")</f>
        <v/>
      </c>
      <c r="AR740" s="564">
        <f>IFERROR(IF(OR(AR392&lt;0,AR737&lt;0),"n/a",AR392/AR737),"n/a")</f>
        <v/>
      </c>
      <c r="AS740" s="564">
        <f>IFERROR(IF(OR(AS392&lt;0,AS737&lt;0),"n/a",AS392/AS737),"n/a")</f>
        <v/>
      </c>
      <c r="AT740" s="1214">
        <f>IFERROR(IF(OR(AT392&lt;0,AT737&lt;0),"n/a",AT392/AT737),"n/a")</f>
        <v/>
      </c>
      <c r="AU740" s="564">
        <f>IFERROR(IF(OR(AU392&lt;0,AU737&lt;0),"n/a",AU392/AU737),"n/a")</f>
        <v/>
      </c>
      <c r="AV740" s="564">
        <f>IFERROR(IF(OR(AV392&lt;0,AV737&lt;0),"n/a",AV392/AV737),"n/a")</f>
        <v/>
      </c>
      <c r="AW740" s="564">
        <f>IFERROR(IF(OR(AW392&lt;0,AW737&lt;0),"n/a",AW392/AW737),"n/a")</f>
        <v/>
      </c>
      <c r="AX740" s="564">
        <f>IFERROR(IF(OR(AX392&lt;0,AX737&lt;0),"n/a",AX392/AX737),"n/a")</f>
        <v/>
      </c>
      <c r="AY740" s="1214">
        <f>IFERROR(IF(OR(AY392&lt;0,AY737&lt;0),"n/a",AY392/AY737),"n/a")</f>
        <v/>
      </c>
      <c r="AZ740" s="564">
        <f>IFERROR(IF(OR(AZ392&lt;0,AZ737&lt;0),"n/a",AZ392/AZ737),"n/a")</f>
        <v/>
      </c>
      <c r="BA740" s="564">
        <f>IFERROR(IF(OR(BA392&lt;0,BA737&lt;0),"n/a",BA392/BA737),"n/a")</f>
        <v/>
      </c>
      <c r="BB740" s="564">
        <f>IFERROR(IF(OR(BB392&lt;0,BB737&lt;0),"n/a",BB392/BB737),"n/a")</f>
        <v/>
      </c>
      <c r="BC740" s="564">
        <f>IFERROR(IF(OR(BC392&lt;0,BC737&lt;0),"n/a",BC392/BC737),"n/a")</f>
        <v/>
      </c>
      <c r="BD740" s="1214">
        <f>IFERROR(IF(OR(BD392&lt;0,BD737&lt;0),"n/a",BD392/BD737),"n/a")</f>
        <v/>
      </c>
      <c r="BE740" s="564">
        <f>IFERROR(IF(OR(BE392&lt;0,BE737&lt;0),"n/a",BE392/BE737),"n/a")</f>
        <v/>
      </c>
      <c r="BF740" s="564">
        <f>IFERROR(IF(OR(BF392&lt;0,BF737&lt;0),"n/a",BF392/BF737),"n/a")</f>
        <v/>
      </c>
      <c r="BG740" s="564">
        <f>IFERROR(IF(OR(BG392&lt;0,BG737&lt;0),"n/a",BG392/BG737),"n/a")</f>
        <v/>
      </c>
      <c r="BH740" s="564">
        <f>IFERROR(IF(OR(BH392&lt;0,BH737&lt;0),"n/a",BH392/BH737),"n/a")</f>
        <v/>
      </c>
      <c r="BI740" s="1214">
        <f>IFERROR(IF(OR(BI392&lt;0,BI737&lt;0),"n/a",BI392/BI737),"n/a")</f>
        <v/>
      </c>
      <c r="BJ740" s="564">
        <f>IFERROR(IF(OR(BJ392&lt;0,BJ737&lt;0),"n/a",BJ392/BJ737),"n/a")</f>
        <v/>
      </c>
      <c r="BK740" s="564">
        <f>IFERROR(IF(OR(BK392&lt;0,BK737&lt;0),"n/a",BK392/BK737),"n/a")</f>
        <v/>
      </c>
      <c r="BL740" s="564">
        <f>IFERROR(IF(OR(BL392&lt;0,BL737&lt;0),"n/a",BL392/BL737),"n/a")</f>
        <v/>
      </c>
      <c r="BM740" s="564">
        <f>IFERROR(IF(OR(BM392&lt;0,BM737&lt;0),"n/a",BM392/BM737),"n/a")</f>
        <v/>
      </c>
      <c r="BN740" s="1214">
        <f>IFERROR(IF(OR(BN392&lt;0,BN737&lt;0),"n/a",BN392/BN737),"n/a")</f>
        <v/>
      </c>
      <c r="BO740" s="564">
        <f>IFERROR(IF(OR(BO392&lt;0,BO737&lt;0),"n/a",BO392/BO737),"n/a")</f>
        <v/>
      </c>
      <c r="BP740" s="564">
        <f>IFERROR(IF(OR(BP392&lt;0,BP737&lt;0),"n/a",BP392/BP737),"n/a")</f>
        <v/>
      </c>
      <c r="BQ740" s="564">
        <f>IFERROR(IF(OR(BQ392&lt;0,BQ737&lt;0),"n/a",BQ392/BQ737),"n/a")</f>
        <v/>
      </c>
      <c r="BR740" s="564">
        <f>IFERROR(IF(OR(BR392&lt;0,BR737&lt;0),"n/a",BR392/BR737),"n/a")</f>
        <v/>
      </c>
      <c r="BS740" s="1214">
        <f>IFERROR(IF(OR(BS392&lt;0,BS737&lt;0),"n/a",BS392/BS737),"n/a")</f>
        <v/>
      </c>
      <c r="BT740" s="564">
        <f>IFERROR(IF(OR(BT392&lt;0,BT737&lt;0),"n/a",BT392/BT737),"n/a")</f>
        <v/>
      </c>
      <c r="BU740" s="564">
        <f>IFERROR(IF(OR(BU392&lt;0,BU737&lt;0),"n/a",BU392/BU737),"n/a")</f>
        <v/>
      </c>
      <c r="BV740" s="921">
        <f>IFERROR(IF(OR(BV392&lt;0,BV737&lt;0),"n/a",BV392/BV737),"n/a")</f>
        <v/>
      </c>
      <c r="BW740" s="564">
        <f>IFERROR(IF(OR(BW392&lt;0,BW737&lt;0),"n/a",BW392/BW737),"n/a")</f>
        <v/>
      </c>
      <c r="BX740" s="1214">
        <f>IFERROR(IF(OR(BX392&lt;0,BX737&lt;0),"n/a",BX392/BX737),"n/a")</f>
        <v/>
      </c>
      <c r="BY740" s="564">
        <f>IFERROR(IF(OR(BY392&lt;0,BY737&lt;0),"n/a",BY392/BY737),"n/a")</f>
        <v/>
      </c>
      <c r="BZ740" s="564">
        <f>IFERROR(IF(OR(BZ392&lt;0,BZ737&lt;0),"n/a",BZ392/BZ737),"n/a")</f>
        <v/>
      </c>
      <c r="CA740" s="564">
        <f>IFERROR(IF(OR(CA392&lt;0,CA737&lt;0),"n/a",CA392/CA737),"n/a")</f>
        <v/>
      </c>
      <c r="CB740" s="564">
        <f>IFERROR(IF(OR(CB392&lt;0,CB737&lt;0),"n/a",CB392/CB737),"n/a")</f>
        <v/>
      </c>
      <c r="CC740" s="1214">
        <f>IFERROR(IF(OR(CC392&lt;0,CC737&lt;0),"n/a",CC392/CC737),"n/a")</f>
        <v/>
      </c>
      <c r="CD740" s="1214">
        <f>IFERROR(IF(OR(CD392&lt;0,CD737&lt;0),"n/a",CD392/CD737),"n/a")</f>
        <v/>
      </c>
      <c r="CE740" s="1214">
        <f>IFERROR(IF(OR(CE392&lt;0,CE737&lt;0),"n/a",CE392/CE737),"n/a")</f>
        <v/>
      </c>
      <c r="CF740" s="1214">
        <f>IFERROR(IF(OR(CF392&lt;0,CF737&lt;0),"n/a",CF392/CF737),"n/a")</f>
        <v/>
      </c>
      <c r="CG740" s="155" t="n"/>
    </row>
    <row r="741">
      <c r="A741" s="40" t="inlineStr">
        <is>
          <t>Net Debt / EBITDA</t>
        </is>
      </c>
      <c r="B741" s="615" t="n"/>
      <c r="C741" s="1215">
        <f>IF(C731&lt;0,"n/a",C731/C392)</f>
        <v/>
      </c>
      <c r="D741" s="1215">
        <f>IF(D731&lt;0,"n/a",D731/D392)</f>
        <v/>
      </c>
      <c r="E741" s="1215">
        <f>IF(E731&lt;0,"n/a",E731/E392)</f>
        <v/>
      </c>
      <c r="F741" s="1215">
        <f>IF(F731&lt;0,"n/a",F731/F392)</f>
        <v/>
      </c>
      <c r="G741" s="564" t="n"/>
      <c r="H741" s="564" t="n"/>
      <c r="I741" s="564" t="n"/>
      <c r="J741" s="564" t="n"/>
      <c r="K741" s="1215">
        <f>IF(K731&lt;0,"n/a",K731/K392)</f>
        <v/>
      </c>
      <c r="L741" s="564" t="n"/>
      <c r="M741" s="564" t="n"/>
      <c r="N741" s="564" t="n"/>
      <c r="O741" s="564" t="n"/>
      <c r="P741" s="1215">
        <f>IF(P731&lt;0,"n/a",P731/P392)</f>
        <v/>
      </c>
      <c r="Q741" s="564" t="n"/>
      <c r="R741" s="564" t="n"/>
      <c r="S741" s="564" t="n"/>
      <c r="T741" s="564" t="n"/>
      <c r="U741" s="1215">
        <f>IF(U731&lt;0,"n/a",U731/U392)</f>
        <v/>
      </c>
      <c r="V741" s="564" t="n"/>
      <c r="W741" s="616" t="n"/>
      <c r="X741" s="616" t="n"/>
      <c r="Y741" s="616" t="n"/>
      <c r="Z741" s="1215">
        <f>IF(Z731&lt;0,"n/a",Z731/Z392)</f>
        <v/>
      </c>
      <c r="AA741" s="616" t="n"/>
      <c r="AB741" s="616" t="n"/>
      <c r="AC741" s="616" t="n"/>
      <c r="AD741" s="616" t="n"/>
      <c r="AE741" s="1215">
        <f>IF(AE731&lt;0,"n/a",AE731/AE392)</f>
        <v/>
      </c>
      <c r="AF741" s="616" t="n"/>
      <c r="AG741" s="616" t="n"/>
      <c r="AH741" s="616" t="n"/>
      <c r="AI741" s="616" t="n"/>
      <c r="AJ741" s="1215">
        <f>IF(AJ731&lt;0,"n/a",AJ731/AJ392)</f>
        <v/>
      </c>
      <c r="AK741" s="616" t="n"/>
      <c r="AL741" s="616" t="n"/>
      <c r="AM741" s="616" t="n"/>
      <c r="AN741" s="616" t="n"/>
      <c r="AO741" s="1215">
        <f>IF(AO731&lt;0,"n/a",AO731/AO392)</f>
        <v/>
      </c>
      <c r="AP741" s="616" t="n"/>
      <c r="AQ741" s="616" t="n"/>
      <c r="AR741" s="616" t="n"/>
      <c r="AS741" s="616" t="n"/>
      <c r="AT741" s="1215">
        <f>IF(AT731&lt;0,"n/a",AT731/AT392)</f>
        <v/>
      </c>
      <c r="AU741" s="616" t="n"/>
      <c r="AV741" s="616" t="n"/>
      <c r="AW741" s="616" t="n"/>
      <c r="AX741" s="616" t="n"/>
      <c r="AY741" s="1215">
        <f>IF(AY731&lt;0,"n/a",AY731/AY392)</f>
        <v/>
      </c>
      <c r="AZ741" s="616" t="n"/>
      <c r="BA741" s="616" t="n"/>
      <c r="BB741" s="616" t="n"/>
      <c r="BC741" s="616" t="n"/>
      <c r="BD741" s="1215">
        <f>IF(BD731&lt;0,"n/a",BD731/BD392)</f>
        <v/>
      </c>
      <c r="BE741" s="616" t="n"/>
      <c r="BF741" s="616" t="n"/>
      <c r="BG741" s="616" t="n"/>
      <c r="BH741" s="616" t="n"/>
      <c r="BI741" s="1215">
        <f>IF(BI731&lt;0,"n/a",BI731/BI392)</f>
        <v/>
      </c>
      <c r="BJ741" s="616" t="n"/>
      <c r="BK741" s="616" t="n"/>
      <c r="BL741" s="616" t="n"/>
      <c r="BM741" s="616" t="n"/>
      <c r="BN741" s="1215">
        <f>IF(BN731&lt;0,"n/a",BN731/BN392)</f>
        <v/>
      </c>
      <c r="BO741" s="616" t="n"/>
      <c r="BP741" s="616" t="n"/>
      <c r="BQ741" s="616" t="n"/>
      <c r="BR741" s="616" t="n"/>
      <c r="BS741" s="1215">
        <f>IF(BS731&lt;0,"n/a",BS731/BS392)</f>
        <v/>
      </c>
      <c r="BT741" s="616" t="n"/>
      <c r="BU741" s="616" t="n"/>
      <c r="BV741" s="922" t="n"/>
      <c r="BW741" s="616" t="n"/>
      <c r="BX741" s="1214">
        <f>IF(BX731&lt;0,"n/a",BX731/BX392)</f>
        <v/>
      </c>
      <c r="BY741" s="616" t="n"/>
      <c r="BZ741" s="616" t="n"/>
      <c r="CA741" s="616" t="n"/>
      <c r="CB741" s="616" t="n"/>
      <c r="CC741" s="1214">
        <f>IF(CC731&lt;0,"n/a",CC731/CC392)</f>
        <v/>
      </c>
      <c r="CD741" s="1214">
        <f>IF(CD731&lt;0,"n/a",CD731/CD392)</f>
        <v/>
      </c>
      <c r="CE741" s="1214">
        <f>IF(CE731&lt;0,"n/a",CE731/CE392)</f>
        <v/>
      </c>
      <c r="CF741" s="1214">
        <f>IF(CF731&lt;0,"n/a",CF731/CF392)</f>
        <v/>
      </c>
      <c r="CG741" s="155" t="n"/>
    </row>
    <row r="742">
      <c r="A742" s="40" t="inlineStr">
        <is>
          <t>Net Debt / Cash Flow</t>
        </is>
      </c>
      <c r="B742" s="615" t="n"/>
      <c r="C742" s="1215">
        <f>IF(C731&lt;0,"n/a",C731/C697)</f>
        <v/>
      </c>
      <c r="D742" s="1215">
        <f>IF(D731&lt;0,"n/a",D731/D697)</f>
        <v/>
      </c>
      <c r="E742" s="1215">
        <f>IF(E731&lt;0,"n/a",E731/E697)</f>
        <v/>
      </c>
      <c r="F742" s="1215">
        <f>IF(F731&lt;0,"n/a",F731/F697)</f>
        <v/>
      </c>
      <c r="G742" s="564" t="n"/>
      <c r="H742" s="564" t="n"/>
      <c r="I742" s="564" t="n"/>
      <c r="J742" s="564" t="n"/>
      <c r="K742" s="1215">
        <f>IF(K731&lt;0,"n/a",K731/K697)</f>
        <v/>
      </c>
      <c r="L742" s="564" t="n"/>
      <c r="M742" s="564" t="n"/>
      <c r="N742" s="564" t="n"/>
      <c r="O742" s="564" t="n"/>
      <c r="P742" s="1215">
        <f>IF(P731&lt;0,"n/a",P731/P697)</f>
        <v/>
      </c>
      <c r="Q742" s="564" t="n"/>
      <c r="R742" s="564" t="n"/>
      <c r="S742" s="564" t="n"/>
      <c r="T742" s="564" t="n"/>
      <c r="U742" s="1215">
        <f>IF(U731&lt;0,"n/a",U731/U697)</f>
        <v/>
      </c>
      <c r="V742" s="564" t="n"/>
      <c r="W742" s="616" t="n"/>
      <c r="X742" s="616" t="n"/>
      <c r="Y742" s="616" t="n"/>
      <c r="Z742" s="1215">
        <f>IF(Z731&lt;0,"n/a",Z731/Z697)</f>
        <v/>
      </c>
      <c r="AA742" s="616" t="n"/>
      <c r="AB742" s="616" t="n"/>
      <c r="AC742" s="616" t="n"/>
      <c r="AD742" s="616" t="n"/>
      <c r="AE742" s="1214">
        <f>IF(AE731&lt;0,"n/a",AE731/AE697)</f>
        <v/>
      </c>
      <c r="AF742" s="616" t="n"/>
      <c r="AG742" s="616" t="n"/>
      <c r="AH742" s="616" t="n"/>
      <c r="AI742" s="616" t="n"/>
      <c r="AJ742" s="1214">
        <f>IF(AJ731&lt;0,"n/a",AJ731/AJ697)</f>
        <v/>
      </c>
      <c r="AK742" s="616" t="n"/>
      <c r="AL742" s="616" t="n"/>
      <c r="AM742" s="616" t="n"/>
      <c r="AN742" s="616" t="n"/>
      <c r="AO742" s="1214">
        <f>IF(AO731&lt;0,"n/a",AO731/AO697)</f>
        <v/>
      </c>
      <c r="AP742" s="616" t="n"/>
      <c r="AQ742" s="616" t="n"/>
      <c r="AR742" s="616" t="n"/>
      <c r="AS742" s="616" t="n"/>
      <c r="AT742" s="1214">
        <f>IF(AT731&lt;0,"n/a",AT731/AT697)</f>
        <v/>
      </c>
      <c r="AU742" s="616" t="n"/>
      <c r="AV742" s="616" t="n"/>
      <c r="AW742" s="616" t="n"/>
      <c r="AX742" s="616" t="n"/>
      <c r="AY742" s="1214">
        <f>IF(AY731&lt;0,"n/a",AY731/AY697)</f>
        <v/>
      </c>
      <c r="AZ742" s="616" t="n"/>
      <c r="BA742" s="616" t="n"/>
      <c r="BB742" s="616" t="n"/>
      <c r="BC742" s="616" t="n"/>
      <c r="BD742" s="1214">
        <f>IF(BD731&lt;0,"n/a",BD731/BD697)</f>
        <v/>
      </c>
      <c r="BE742" s="616" t="n"/>
      <c r="BF742" s="616" t="n"/>
      <c r="BG742" s="616" t="n"/>
      <c r="BH742" s="616" t="n"/>
      <c r="BI742" s="1214">
        <f>IF(BI731&lt;0,"n/a",BI731/BI697)</f>
        <v/>
      </c>
      <c r="BJ742" s="616" t="n"/>
      <c r="BK742" s="616" t="n"/>
      <c r="BL742" s="616" t="n"/>
      <c r="BM742" s="616" t="n"/>
      <c r="BN742" s="1214">
        <f>IF(BN731&lt;0,"n/a",BN731/BN697)</f>
        <v/>
      </c>
      <c r="BO742" s="616" t="n"/>
      <c r="BP742" s="616" t="n"/>
      <c r="BQ742" s="616" t="n"/>
      <c r="BR742" s="616" t="n"/>
      <c r="BS742" s="1214">
        <f>IF(BS731&lt;0,"n/a",BS731/BS697)</f>
        <v/>
      </c>
      <c r="BT742" s="616" t="n"/>
      <c r="BU742" s="616" t="n"/>
      <c r="BV742" s="922" t="n"/>
      <c r="BW742" s="616" t="n"/>
      <c r="BX742" s="1214">
        <f>IF(BX731&lt;0,"n/a",BX731/BX697)</f>
        <v/>
      </c>
      <c r="BY742" s="616" t="n"/>
      <c r="BZ742" s="616" t="n"/>
      <c r="CA742" s="616" t="n"/>
      <c r="CB742" s="616" t="n"/>
      <c r="CC742" s="1214">
        <f>IF(CC731&lt;0,"n/a",CC731/CC697)</f>
        <v/>
      </c>
      <c r="CD742" s="1214">
        <f>IF(CD731&lt;0,"n/a",CD731/CD697)</f>
        <v/>
      </c>
      <c r="CE742" s="1214">
        <f>IF(CE731&lt;0,"n/a",CE731/CE697)</f>
        <v/>
      </c>
      <c r="CF742" s="1214">
        <f>IF(CF731&lt;0,"n/a",CF731/CF697)</f>
        <v/>
      </c>
      <c r="CG742" s="155" t="n"/>
    </row>
    <row r="743">
      <c r="A743" s="617" t="n"/>
      <c r="B743" s="617" t="n"/>
      <c r="C743" s="1216" t="n"/>
      <c r="D743" s="1216" t="n"/>
      <c r="E743" s="1216" t="n"/>
      <c r="F743" s="1216" t="n"/>
      <c r="G743" s="596" t="n"/>
      <c r="H743" s="596" t="n"/>
      <c r="I743" s="596" t="n"/>
      <c r="J743" s="596" t="n"/>
      <c r="K743" s="1216" t="n"/>
      <c r="L743" s="596" t="n"/>
      <c r="M743" s="596" t="n"/>
      <c r="N743" s="596" t="n"/>
      <c r="O743" s="596" t="n"/>
      <c r="P743" s="1216" t="n"/>
      <c r="Q743" s="596" t="n"/>
      <c r="R743" s="596" t="n"/>
      <c r="S743" s="596" t="n"/>
      <c r="T743" s="596" t="n"/>
      <c r="U743" s="1216" t="n"/>
      <c r="V743" s="596" t="n"/>
      <c r="W743" s="596" t="n"/>
      <c r="X743" s="596" t="n"/>
      <c r="Y743" s="596" t="n"/>
      <c r="Z743" s="1216" t="n"/>
      <c r="AA743" s="596" t="n"/>
      <c r="AB743" s="596" t="n"/>
      <c r="AC743" s="596" t="n"/>
      <c r="AD743" s="596" t="n"/>
      <c r="AE743" s="1216" t="n"/>
      <c r="AF743" s="596" t="n"/>
      <c r="AG743" s="596" t="n"/>
      <c r="AH743" s="596" t="n"/>
      <c r="AI743" s="596" t="n"/>
      <c r="AJ743" s="1216" t="n"/>
      <c r="AK743" s="596" t="n"/>
      <c r="AL743" s="596" t="n"/>
      <c r="AM743" s="596" t="n"/>
      <c r="AN743" s="596" t="n"/>
      <c r="AO743" s="1216" t="n"/>
      <c r="AP743" s="596" t="n"/>
      <c r="AQ743" s="596" t="n"/>
      <c r="AR743" s="596" t="n"/>
      <c r="AS743" s="596" t="n"/>
      <c r="AT743" s="1216" t="n"/>
      <c r="AU743" s="596" t="n"/>
      <c r="AV743" s="596" t="n"/>
      <c r="AW743" s="596" t="n"/>
      <c r="AX743" s="596" t="n"/>
      <c r="AY743" s="1216" t="n"/>
      <c r="AZ743" s="596" t="n"/>
      <c r="BA743" s="596" t="n"/>
      <c r="BB743" s="596" t="n"/>
      <c r="BC743" s="596" t="n"/>
      <c r="BD743" s="1216" t="n"/>
      <c r="BE743" s="596" t="n"/>
      <c r="BF743" s="596" t="n"/>
      <c r="BG743" s="596" t="n"/>
      <c r="BH743" s="596" t="n"/>
      <c r="BI743" s="1216" t="n"/>
      <c r="BJ743" s="596" t="n"/>
      <c r="BK743" s="596" t="n"/>
      <c r="BL743" s="596" t="n"/>
      <c r="BM743" s="596" t="n"/>
      <c r="BN743" s="1216" t="n"/>
      <c r="BO743" s="596" t="n"/>
      <c r="BP743" s="596" t="n"/>
      <c r="BQ743" s="596" t="n"/>
      <c r="BR743" s="596" t="n"/>
      <c r="BS743" s="1216" t="n"/>
      <c r="BT743" s="596" t="n"/>
      <c r="BU743" s="596" t="n"/>
      <c r="BV743" s="630" t="n"/>
      <c r="BW743" s="596" t="n"/>
      <c r="BX743" s="1216" t="n"/>
      <c r="BY743" s="596" t="n"/>
      <c r="BZ743" s="596" t="n"/>
      <c r="CA743" s="596" t="n"/>
      <c r="CB743" s="596" t="n"/>
      <c r="CC743" s="1216" t="n"/>
      <c r="CD743" s="1216" t="n"/>
      <c r="CE743" s="1216" t="n"/>
      <c r="CF743" s="1216" t="n"/>
      <c r="CG743" s="155" t="n"/>
    </row>
    <row r="744">
      <c r="A744" s="45" t="inlineStr">
        <is>
          <t>Valuation</t>
        </is>
      </c>
      <c r="B744" s="45" t="n"/>
      <c r="C744" s="45" t="n"/>
      <c r="D744" s="45" t="n"/>
      <c r="E744" s="45" t="n"/>
      <c r="F744" s="45" t="n"/>
      <c r="G744" s="45" t="n"/>
      <c r="H744" s="45" t="n"/>
      <c r="I744" s="45" t="n"/>
      <c r="J744" s="45" t="n"/>
      <c r="K744" s="45" t="n"/>
      <c r="L744" s="45" t="n"/>
      <c r="M744" s="45" t="n"/>
      <c r="N744" s="45" t="n"/>
      <c r="O744" s="45" t="n"/>
      <c r="P744" s="45" t="n"/>
      <c r="Q744" s="45" t="n"/>
      <c r="R744" s="45" t="n"/>
      <c r="S744" s="45" t="n"/>
      <c r="T744" s="45" t="n"/>
      <c r="U744" s="45" t="n"/>
      <c r="V744" s="45" t="n"/>
      <c r="W744" s="45" t="n"/>
      <c r="X744" s="45" t="n"/>
      <c r="Y744" s="45" t="n"/>
      <c r="Z744" s="45" t="n"/>
      <c r="AA744" s="45" t="n"/>
      <c r="AB744" s="45" t="n"/>
      <c r="AC744" s="45" t="n"/>
      <c r="AD744" s="45" t="n"/>
      <c r="AE744" s="45" t="n"/>
      <c r="AF744" s="45" t="n"/>
      <c r="AG744" s="45" t="n"/>
      <c r="AH744" s="45" t="n"/>
      <c r="AI744" s="45" t="n"/>
      <c r="AJ744" s="45" t="n"/>
      <c r="AK744" s="45" t="n"/>
      <c r="AL744" s="45" t="n"/>
      <c r="AM744" s="45" t="n"/>
      <c r="AN744" s="45" t="n"/>
      <c r="AO744" s="45" t="n"/>
      <c r="AP744" s="45" t="n"/>
      <c r="AQ744" s="45" t="n"/>
      <c r="AR744" s="45" t="n"/>
      <c r="AS744" s="45" t="n"/>
      <c r="AT744" s="45" t="n"/>
      <c r="AU744" s="45" t="n"/>
      <c r="AV744" s="45" t="n"/>
      <c r="AW744" s="45" t="n"/>
      <c r="AX744" s="45" t="n"/>
      <c r="AY744" s="45" t="n"/>
      <c r="AZ744" s="45" t="n"/>
      <c r="BA744" s="45" t="n"/>
      <c r="BB744" s="45" t="n"/>
      <c r="BC744" s="45" t="n"/>
      <c r="BD744" s="45" t="n"/>
      <c r="BE744" s="45" t="n"/>
      <c r="BF744" s="45" t="n"/>
      <c r="BG744" s="45" t="n"/>
      <c r="BH744" s="45" t="n"/>
      <c r="BI744" s="45" t="n"/>
      <c r="BJ744" s="45" t="n"/>
      <c r="BK744" s="45" t="n"/>
      <c r="BL744" s="45" t="n"/>
      <c r="BM744" s="45" t="n"/>
      <c r="BN744" s="45" t="n"/>
      <c r="BO744" s="45" t="n"/>
      <c r="BP744" s="45" t="n"/>
      <c r="BQ744" s="45" t="n"/>
      <c r="BR744" s="45" t="n"/>
      <c r="BS744" s="45" t="n"/>
      <c r="BT744" s="45" t="n"/>
      <c r="BU744" s="45" t="n"/>
      <c r="BV744" s="982" t="n"/>
      <c r="BW744" s="45" t="n"/>
      <c r="BX744" s="45" t="n"/>
      <c r="BY744" s="45" t="n"/>
      <c r="BZ744" s="45" t="n"/>
      <c r="CA744" s="45" t="n"/>
      <c r="CB744" s="45" t="n"/>
      <c r="CC744" s="45" t="n"/>
      <c r="CD744" s="45" t="n"/>
      <c r="CE744" s="45" t="n"/>
      <c r="CF744" s="45" t="n"/>
      <c r="CG744" s="155" t="n"/>
    </row>
    <row r="745">
      <c r="A745" s="98">
        <f>"Stock Price (Reporting Cur.) - "&amp;MO.ValuationToggle&amp;", "&amp;MO.ReportCurrency</f>
        <v/>
      </c>
      <c r="B745" s="1087" t="inlineStr">
        <is>
          <t>EoP</t>
        </is>
      </c>
      <c r="C745" s="1217">
        <f>IF(MO.ValuationToggle="EoP",INDEX(MO_VA_StockPrice_TradingCurrency,1,COLUMN())/INDEX(MO_VA_FX_EoP,1,COLUMN()),INDEX(MO_VA_StockPrice_TradingCurrency,1,COLUMN())/INDEX(MO_VA_FX_Average,1,COLUMN()))</f>
        <v/>
      </c>
      <c r="D745" s="1217">
        <f>IF(MO.ValuationToggle="EoP",INDEX(MO_VA_StockPrice_TradingCurrency,1,COLUMN())/INDEX(MO_VA_FX_EoP,1,COLUMN()),INDEX(MO_VA_StockPrice_TradingCurrency,1,COLUMN())/INDEX(MO_VA_FX_Average,1,COLUMN()))</f>
        <v/>
      </c>
      <c r="E745" s="1217">
        <f>IF(MO.ValuationToggle="EoP",INDEX(MO_VA_StockPrice_TradingCurrency,1,COLUMN())/INDEX(MO_VA_FX_EoP,1,COLUMN()),INDEX(MO_VA_StockPrice_TradingCurrency,1,COLUMN())/INDEX(MO_VA_FX_Average,1,COLUMN()))</f>
        <v/>
      </c>
      <c r="F745" s="1217">
        <f>IF(MO.ValuationToggle="EoP",INDEX(MO_VA_StockPrice_TradingCurrency,1,COLUMN())/INDEX(MO_VA_FX_EoP,1,COLUMN()),INDEX(MO_VA_StockPrice_TradingCurrency,1,COLUMN())/INDEX(MO_VA_FX_Average,1,COLUMN()))</f>
        <v/>
      </c>
      <c r="G745" s="998">
        <f>IF(MO.ValuationToggle="EoP",INDEX(MO_VA_StockPrice_TradingCurrency,1,COLUMN())/INDEX(MO_VA_FX_EoP,1,COLUMN()),INDEX(MO_VA_StockPrice_TradingCurrency,1,COLUMN())/INDEX(MO_VA_FX_Average,1,COLUMN()))</f>
        <v/>
      </c>
      <c r="H745" s="998">
        <f>IF(MO.ValuationToggle="EoP",INDEX(MO_VA_StockPrice_TradingCurrency,1,COLUMN())/INDEX(MO_VA_FX_EoP,1,COLUMN()),INDEX(MO_VA_StockPrice_TradingCurrency,1,COLUMN())/INDEX(MO_VA_FX_Average,1,COLUMN()))</f>
        <v/>
      </c>
      <c r="I745" s="998">
        <f>IF(MO.ValuationToggle="EoP",INDEX(MO_VA_StockPrice_TradingCurrency,1,COLUMN())/INDEX(MO_VA_FX_EoP,1,COLUMN()),INDEX(MO_VA_StockPrice_TradingCurrency,1,COLUMN())/INDEX(MO_VA_FX_Average,1,COLUMN()))</f>
        <v/>
      </c>
      <c r="J745" s="998">
        <f>IF(MO.ValuationToggle="EoP",INDEX(MO_VA_StockPrice_TradingCurrency,1,COLUMN())/INDEX(MO_VA_FX_EoP,1,COLUMN()),INDEX(MO_VA_StockPrice_TradingCurrency,1,COLUMN())/INDEX(MO_VA_FX_Average,1,COLUMN()))</f>
        <v/>
      </c>
      <c r="K745" s="1217">
        <f>IF(MO.ValuationToggle="EoP",INDEX(MO_VA_StockPrice_TradingCurrency,1,COLUMN())/INDEX(MO_VA_FX_EoP,1,COLUMN()),INDEX(MO_VA_StockPrice_TradingCurrency,1,COLUMN())/INDEX(MO_VA_FX_Average,1,COLUMN()))</f>
        <v/>
      </c>
      <c r="L745" s="998">
        <f>IF(MO.ValuationToggle="EoP",INDEX(MO_VA_StockPrice_TradingCurrency,1,COLUMN())/INDEX(MO_VA_FX_EoP,1,COLUMN()),INDEX(MO_VA_StockPrice_TradingCurrency,1,COLUMN())/INDEX(MO_VA_FX_Average,1,COLUMN()))</f>
        <v/>
      </c>
      <c r="M745" s="998">
        <f>IF(MO.ValuationToggle="EoP",INDEX(MO_VA_StockPrice_TradingCurrency,1,COLUMN())/INDEX(MO_VA_FX_EoP,1,COLUMN()),INDEX(MO_VA_StockPrice_TradingCurrency,1,COLUMN())/INDEX(MO_VA_FX_Average,1,COLUMN()))</f>
        <v/>
      </c>
      <c r="N745" s="998">
        <f>IF(MO.ValuationToggle="EoP",INDEX(MO_VA_StockPrice_TradingCurrency,1,COLUMN())/INDEX(MO_VA_FX_EoP,1,COLUMN()),INDEX(MO_VA_StockPrice_TradingCurrency,1,COLUMN())/INDEX(MO_VA_FX_Average,1,COLUMN()))</f>
        <v/>
      </c>
      <c r="O745" s="998">
        <f>IF(MO.ValuationToggle="EoP",INDEX(MO_VA_StockPrice_TradingCurrency,1,COLUMN())/INDEX(MO_VA_FX_EoP,1,COLUMN()),INDEX(MO_VA_StockPrice_TradingCurrency,1,COLUMN())/INDEX(MO_VA_FX_Average,1,COLUMN()))</f>
        <v/>
      </c>
      <c r="P745" s="1217">
        <f>IF(MO.ValuationToggle="EoP",INDEX(MO_VA_StockPrice_TradingCurrency,1,COLUMN())/INDEX(MO_VA_FX_EoP,1,COLUMN()),INDEX(MO_VA_StockPrice_TradingCurrency,1,COLUMN())/INDEX(MO_VA_FX_Average,1,COLUMN()))</f>
        <v/>
      </c>
      <c r="Q745" s="998">
        <f>IF(MO.ValuationToggle="EoP",INDEX(MO_VA_StockPrice_TradingCurrency,1,COLUMN())/INDEX(MO_VA_FX_EoP,1,COLUMN()),INDEX(MO_VA_StockPrice_TradingCurrency,1,COLUMN())/INDEX(MO_VA_FX_Average,1,COLUMN()))</f>
        <v/>
      </c>
      <c r="R745" s="998">
        <f>IF(MO.ValuationToggle="EoP",INDEX(MO_VA_StockPrice_TradingCurrency,1,COLUMN())/INDEX(MO_VA_FX_EoP,1,COLUMN()),INDEX(MO_VA_StockPrice_TradingCurrency,1,COLUMN())/INDEX(MO_VA_FX_Average,1,COLUMN()))</f>
        <v/>
      </c>
      <c r="S745" s="998">
        <f>IF(MO.ValuationToggle="EoP",INDEX(MO_VA_StockPrice_TradingCurrency,1,COLUMN())/INDEX(MO_VA_FX_EoP,1,COLUMN()),INDEX(MO_VA_StockPrice_TradingCurrency,1,COLUMN())/INDEX(MO_VA_FX_Average,1,COLUMN()))</f>
        <v/>
      </c>
      <c r="T745" s="998">
        <f>IF(MO.ValuationToggle="EoP",INDEX(MO_VA_StockPrice_TradingCurrency,1,COLUMN())/INDEX(MO_VA_FX_EoP,1,COLUMN()),INDEX(MO_VA_StockPrice_TradingCurrency,1,COLUMN())/INDEX(MO_VA_FX_Average,1,COLUMN()))</f>
        <v/>
      </c>
      <c r="U745" s="1217">
        <f>IF(MO.ValuationToggle="EoP",INDEX(MO_VA_StockPrice_TradingCurrency,1,COLUMN())/INDEX(MO_VA_FX_EoP,1,COLUMN()),INDEX(MO_VA_StockPrice_TradingCurrency,1,COLUMN())/INDEX(MO_VA_FX_Average,1,COLUMN()))</f>
        <v/>
      </c>
      <c r="V745" s="998">
        <f>IF(MO.ValuationToggle="EoP",INDEX(MO_VA_StockPrice_TradingCurrency,1,COLUMN())/INDEX(MO_VA_FX_EoP,1,COLUMN()),INDEX(MO_VA_StockPrice_TradingCurrency,1,COLUMN())/INDEX(MO_VA_FX_Average,1,COLUMN()))</f>
        <v/>
      </c>
      <c r="W745" s="998">
        <f>IF(MO.ValuationToggle="EoP",INDEX(MO_VA_StockPrice_TradingCurrency,1,COLUMN())/INDEX(MO_VA_FX_EoP,1,COLUMN()),INDEX(MO_VA_StockPrice_TradingCurrency,1,COLUMN())/INDEX(MO_VA_FX_Average,1,COLUMN()))</f>
        <v/>
      </c>
      <c r="X745" s="998">
        <f>IF(MO.ValuationToggle="EoP",INDEX(MO_VA_StockPrice_TradingCurrency,1,COLUMN())/INDEX(MO_VA_FX_EoP,1,COLUMN()),INDEX(MO_VA_StockPrice_TradingCurrency,1,COLUMN())/INDEX(MO_VA_FX_Average,1,COLUMN()))</f>
        <v/>
      </c>
      <c r="Y745" s="998">
        <f>IF(MO.ValuationToggle="EoP",INDEX(MO_VA_StockPrice_TradingCurrency,1,COLUMN())/INDEX(MO_VA_FX_EoP,1,COLUMN()),INDEX(MO_VA_StockPrice_TradingCurrency,1,COLUMN())/INDEX(MO_VA_FX_Average,1,COLUMN()))</f>
        <v/>
      </c>
      <c r="Z745" s="1173">
        <f>IF(MO.ValuationToggle="EoP",INDEX(MO_VA_StockPrice_TradingCurrency,1,COLUMN())/INDEX(MO_VA_FX_EoP,1,COLUMN()),INDEX(MO_VA_StockPrice_TradingCurrency,1,COLUMN())/INDEX(MO_VA_FX_Average,1,COLUMN()))</f>
        <v/>
      </c>
      <c r="AA745" s="998">
        <f>IF(MO.ValuationToggle="EoP",INDEX(MO_VA_StockPrice_TradingCurrency,1,COLUMN())/INDEX(MO_VA_FX_EoP,1,COLUMN()),INDEX(MO_VA_StockPrice_TradingCurrency,1,COLUMN())/INDEX(MO_VA_FX_Average,1,COLUMN()))</f>
        <v/>
      </c>
      <c r="AB745" s="998">
        <f>IF(MO.ValuationToggle="EoP",INDEX(MO_VA_StockPrice_TradingCurrency,1,COLUMN())/INDEX(MO_VA_FX_EoP,1,COLUMN()),INDEX(MO_VA_StockPrice_TradingCurrency,1,COLUMN())/INDEX(MO_VA_FX_Average,1,COLUMN()))</f>
        <v/>
      </c>
      <c r="AC745" s="998">
        <f>IF(MO.ValuationToggle="EoP",INDEX(MO_VA_StockPrice_TradingCurrency,1,COLUMN())/INDEX(MO_VA_FX_EoP,1,COLUMN()),INDEX(MO_VA_StockPrice_TradingCurrency,1,COLUMN())/INDEX(MO_VA_FX_Average,1,COLUMN()))</f>
        <v/>
      </c>
      <c r="AD745" s="998">
        <f>IF(MO.ValuationToggle="EoP",INDEX(MO_VA_StockPrice_TradingCurrency,1,COLUMN())/INDEX(MO_VA_FX_EoP,1,COLUMN()),INDEX(MO_VA_StockPrice_TradingCurrency,1,COLUMN())/INDEX(MO_VA_FX_Average,1,COLUMN()))</f>
        <v/>
      </c>
      <c r="AE745" s="1174">
        <f>IF(MO.ValuationToggle="EoP",INDEX(MO_VA_StockPrice_TradingCurrency,1,COLUMN())/INDEX(MO_VA_FX_EoP,1,COLUMN()),INDEX(MO_VA_StockPrice_TradingCurrency,1,COLUMN())/INDEX(MO_VA_FX_Average,1,COLUMN()))</f>
        <v/>
      </c>
      <c r="AF745" s="998">
        <f>IF(MO.ValuationToggle="EoP",INDEX(MO_VA_StockPrice_TradingCurrency,1,COLUMN())/INDEX(MO_VA_FX_EoP,1,COLUMN()),INDEX(MO_VA_StockPrice_TradingCurrency,1,COLUMN())/INDEX(MO_VA_FX_Average,1,COLUMN()))</f>
        <v/>
      </c>
      <c r="AG745" s="998">
        <f>IF(MO.ValuationToggle="EoP",INDEX(MO_VA_StockPrice_TradingCurrency,1,COLUMN())/INDEX(MO_VA_FX_EoP,1,COLUMN()),INDEX(MO_VA_StockPrice_TradingCurrency,1,COLUMN())/INDEX(MO_VA_FX_Average,1,COLUMN()))</f>
        <v/>
      </c>
      <c r="AH745" s="998">
        <f>IF(MO.ValuationToggle="EoP",INDEX(MO_VA_StockPrice_TradingCurrency,1,COLUMN())/INDEX(MO_VA_FX_EoP,1,COLUMN()),INDEX(MO_VA_StockPrice_TradingCurrency,1,COLUMN())/INDEX(MO_VA_FX_Average,1,COLUMN()))</f>
        <v/>
      </c>
      <c r="AI745" s="998">
        <f>IF(MO.ValuationToggle="EoP",INDEX(MO_VA_StockPrice_TradingCurrency,1,COLUMN())/INDEX(MO_VA_FX_EoP,1,COLUMN()),INDEX(MO_VA_StockPrice_TradingCurrency,1,COLUMN())/INDEX(MO_VA_FX_Average,1,COLUMN()))</f>
        <v/>
      </c>
      <c r="AJ745" s="1174">
        <f>IF(MO.ValuationToggle="EoP",INDEX(MO_VA_StockPrice_TradingCurrency,1,COLUMN())/INDEX(MO_VA_FX_EoP,1,COLUMN()),INDEX(MO_VA_StockPrice_TradingCurrency,1,COLUMN())/INDEX(MO_VA_FX_Average,1,COLUMN()))</f>
        <v/>
      </c>
      <c r="AK745" s="998">
        <f>IF(MO.ValuationToggle="EoP",INDEX(MO_VA_StockPrice_TradingCurrency,1,COLUMN())/INDEX(MO_VA_FX_EoP,1,COLUMN()),INDEX(MO_VA_StockPrice_TradingCurrency,1,COLUMN())/INDEX(MO_VA_FX_Average,1,COLUMN()))</f>
        <v/>
      </c>
      <c r="AL745" s="998">
        <f>IF(MO.ValuationToggle="EoP",INDEX(MO_VA_StockPrice_TradingCurrency,1,COLUMN())/INDEX(MO_VA_FX_EoP,1,COLUMN()),INDEX(MO_VA_StockPrice_TradingCurrency,1,COLUMN())/INDEX(MO_VA_FX_Average,1,COLUMN()))</f>
        <v/>
      </c>
      <c r="AM745" s="998">
        <f>IF(MO.ValuationToggle="EoP",INDEX(MO_VA_StockPrice_TradingCurrency,1,COLUMN())/INDEX(MO_VA_FX_EoP,1,COLUMN()),INDEX(MO_VA_StockPrice_TradingCurrency,1,COLUMN())/INDEX(MO_VA_FX_Average,1,COLUMN()))</f>
        <v/>
      </c>
      <c r="AN745" s="998">
        <f>IF(MO.ValuationToggle="EoP",INDEX(MO_VA_StockPrice_TradingCurrency,1,COLUMN())/INDEX(MO_VA_FX_EoP,1,COLUMN()),INDEX(MO_VA_StockPrice_TradingCurrency,1,COLUMN())/INDEX(MO_VA_FX_Average,1,COLUMN()))</f>
        <v/>
      </c>
      <c r="AO745" s="1174">
        <f>IF(MO.ValuationToggle="EoP",INDEX(MO_VA_StockPrice_TradingCurrency,1,COLUMN())/INDEX(MO_VA_FX_EoP,1,COLUMN()),INDEX(MO_VA_StockPrice_TradingCurrency,1,COLUMN())/INDEX(MO_VA_FX_Average,1,COLUMN()))</f>
        <v/>
      </c>
      <c r="AP745" s="998">
        <f>IF(MO.ValuationToggle="EoP",INDEX(MO_VA_StockPrice_TradingCurrency,1,COLUMN())/INDEX(MO_VA_FX_EoP,1,COLUMN()),INDEX(MO_VA_StockPrice_TradingCurrency,1,COLUMN())/INDEX(MO_VA_FX_Average,1,COLUMN()))</f>
        <v/>
      </c>
      <c r="AQ745" s="998">
        <f>IF(MO.ValuationToggle="EoP",INDEX(MO_VA_StockPrice_TradingCurrency,1,COLUMN())/INDEX(MO_VA_FX_EoP,1,COLUMN()),INDEX(MO_VA_StockPrice_TradingCurrency,1,COLUMN())/INDEX(MO_VA_FX_Average,1,COLUMN()))</f>
        <v/>
      </c>
      <c r="AR745" s="998">
        <f>IF(MO.ValuationToggle="EoP",INDEX(MO_VA_StockPrice_TradingCurrency,1,COLUMN())/INDEX(MO_VA_FX_EoP,1,COLUMN()),INDEX(MO_VA_StockPrice_TradingCurrency,1,COLUMN())/INDEX(MO_VA_FX_Average,1,COLUMN()))</f>
        <v/>
      </c>
      <c r="AS745" s="998">
        <f>IF(MO.ValuationToggle="EoP",INDEX(MO_VA_StockPrice_TradingCurrency,1,COLUMN())/INDEX(MO_VA_FX_EoP,1,COLUMN()),INDEX(MO_VA_StockPrice_TradingCurrency,1,COLUMN())/INDEX(MO_VA_FX_Average,1,COLUMN()))</f>
        <v/>
      </c>
      <c r="AT745" s="1174">
        <f>IF(MO.ValuationToggle="EoP",INDEX(MO_VA_StockPrice_TradingCurrency,1,COLUMN())/INDEX(MO_VA_FX_EoP,1,COLUMN()),INDEX(MO_VA_StockPrice_TradingCurrency,1,COLUMN())/INDEX(MO_VA_FX_Average,1,COLUMN()))</f>
        <v/>
      </c>
      <c r="AU745" s="998">
        <f>IF(MO.ValuationToggle="EoP",INDEX(MO_VA_StockPrice_TradingCurrency,1,COLUMN())/INDEX(MO_VA_FX_EoP,1,COLUMN()),INDEX(MO_VA_StockPrice_TradingCurrency,1,COLUMN())/INDEX(MO_VA_FX_Average,1,COLUMN()))</f>
        <v/>
      </c>
      <c r="AV745" s="998">
        <f>IF(MO.ValuationToggle="EoP",INDEX(MO_VA_StockPrice_TradingCurrency,1,COLUMN())/INDEX(MO_VA_FX_EoP,1,COLUMN()),INDEX(MO_VA_StockPrice_TradingCurrency,1,COLUMN())/INDEX(MO_VA_FX_Average,1,COLUMN()))</f>
        <v/>
      </c>
      <c r="AW745" s="998">
        <f>IF(MO.ValuationToggle="EoP",INDEX(MO_VA_StockPrice_TradingCurrency,1,COLUMN())/INDEX(MO_VA_FX_EoP,1,COLUMN()),INDEX(MO_VA_StockPrice_TradingCurrency,1,COLUMN())/INDEX(MO_VA_FX_Average,1,COLUMN()))</f>
        <v/>
      </c>
      <c r="AX745" s="998">
        <f>IF(MO.ValuationToggle="EoP",INDEX(MO_VA_StockPrice_TradingCurrency,1,COLUMN())/INDEX(MO_VA_FX_EoP,1,COLUMN()),INDEX(MO_VA_StockPrice_TradingCurrency,1,COLUMN())/INDEX(MO_VA_FX_Average,1,COLUMN()))</f>
        <v/>
      </c>
      <c r="AY745" s="1174">
        <f>IF(MO.ValuationToggle="EoP",INDEX(MO_VA_StockPrice_TradingCurrency,1,COLUMN())/INDEX(MO_VA_FX_EoP,1,COLUMN()),INDEX(MO_VA_StockPrice_TradingCurrency,1,COLUMN())/INDEX(MO_VA_FX_Average,1,COLUMN()))</f>
        <v/>
      </c>
      <c r="AZ745" s="998">
        <f>IF(MO.ValuationToggle="EoP",INDEX(MO_VA_StockPrice_TradingCurrency,1,COLUMN())/INDEX(MO_VA_FX_EoP,1,COLUMN()),INDEX(MO_VA_StockPrice_TradingCurrency,1,COLUMN())/INDEX(MO_VA_FX_Average,1,COLUMN()))</f>
        <v/>
      </c>
      <c r="BA745" s="998">
        <f>IF(MO.ValuationToggle="EoP",INDEX(MO_VA_StockPrice_TradingCurrency,1,COLUMN())/INDEX(MO_VA_FX_EoP,1,COLUMN()),INDEX(MO_VA_StockPrice_TradingCurrency,1,COLUMN())/INDEX(MO_VA_FX_Average,1,COLUMN()))</f>
        <v/>
      </c>
      <c r="BB745" s="998">
        <f>IF(MO.ValuationToggle="EoP",INDEX(MO_VA_StockPrice_TradingCurrency,1,COLUMN())/INDEX(MO_VA_FX_EoP,1,COLUMN()),INDEX(MO_VA_StockPrice_TradingCurrency,1,COLUMN())/INDEX(MO_VA_FX_Average,1,COLUMN()))</f>
        <v/>
      </c>
      <c r="BC745" s="998">
        <f>IF(MO.ValuationToggle="EoP",INDEX(MO_VA_StockPrice_TradingCurrency,1,COLUMN())/INDEX(MO_VA_FX_EoP,1,COLUMN()),INDEX(MO_VA_StockPrice_TradingCurrency,1,COLUMN())/INDEX(MO_VA_FX_Average,1,COLUMN()))</f>
        <v/>
      </c>
      <c r="BD745" s="1174">
        <f>IF(MO.ValuationToggle="EoP",INDEX(MO_VA_StockPrice_TradingCurrency,1,COLUMN())/INDEX(MO_VA_FX_EoP,1,COLUMN()),INDEX(MO_VA_StockPrice_TradingCurrency,1,COLUMN())/INDEX(MO_VA_FX_Average,1,COLUMN()))</f>
        <v/>
      </c>
      <c r="BE745" s="998">
        <f>IF(MO.ValuationToggle="EoP",INDEX(MO_VA_StockPrice_TradingCurrency,1,COLUMN())/INDEX(MO_VA_FX_EoP,1,COLUMN()),INDEX(MO_VA_StockPrice_TradingCurrency,1,COLUMN())/INDEX(MO_VA_FX_Average,1,COLUMN()))</f>
        <v/>
      </c>
      <c r="BF745" s="998">
        <f>IF(MO.ValuationToggle="EoP",INDEX(MO_VA_StockPrice_TradingCurrency,1,COLUMN())/INDEX(MO_VA_FX_EoP,1,COLUMN()),INDEX(MO_VA_StockPrice_TradingCurrency,1,COLUMN())/INDEX(MO_VA_FX_Average,1,COLUMN()))</f>
        <v/>
      </c>
      <c r="BG745" s="998">
        <f>IF(MO.ValuationToggle="EoP",INDEX(MO_VA_StockPrice_TradingCurrency,1,COLUMN())/INDEX(MO_VA_FX_EoP,1,COLUMN()),INDEX(MO_VA_StockPrice_TradingCurrency,1,COLUMN())/INDEX(MO_VA_FX_Average,1,COLUMN()))</f>
        <v/>
      </c>
      <c r="BH745" s="998">
        <f>IF(MO.ValuationToggle="EoP",INDEX(MO_VA_StockPrice_TradingCurrency,1,COLUMN())/INDEX(MO_VA_FX_EoP,1,COLUMN()),INDEX(MO_VA_StockPrice_TradingCurrency,1,COLUMN())/INDEX(MO_VA_FX_Average,1,COLUMN()))</f>
        <v/>
      </c>
      <c r="BI745" s="1174">
        <f>IF(MO.ValuationToggle="EoP",INDEX(MO_VA_StockPrice_TradingCurrency,1,COLUMN())/INDEX(MO_VA_FX_EoP,1,COLUMN()),INDEX(MO_VA_StockPrice_TradingCurrency,1,COLUMN())/INDEX(MO_VA_FX_Average,1,COLUMN()))</f>
        <v/>
      </c>
      <c r="BJ745" s="998">
        <f>IF(MO.ValuationToggle="EoP",INDEX(MO_VA_StockPrice_TradingCurrency,1,COLUMN())/INDEX(MO_VA_FX_EoP,1,COLUMN()),INDEX(MO_VA_StockPrice_TradingCurrency,1,COLUMN())/INDEX(MO_VA_FX_Average,1,COLUMN()))</f>
        <v/>
      </c>
      <c r="BK745" s="998">
        <f>IF(MO.ValuationToggle="EoP",INDEX(MO_VA_StockPrice_TradingCurrency,1,COLUMN())/INDEX(MO_VA_FX_EoP,1,COLUMN()),INDEX(MO_VA_StockPrice_TradingCurrency,1,COLUMN())/INDEX(MO_VA_FX_Average,1,COLUMN()))</f>
        <v/>
      </c>
      <c r="BL745" s="998">
        <f>IF(MO.ValuationToggle="EoP",INDEX(MO_VA_StockPrice_TradingCurrency,1,COLUMN())/INDEX(MO_VA_FX_EoP,1,COLUMN()),INDEX(MO_VA_StockPrice_TradingCurrency,1,COLUMN())/INDEX(MO_VA_FX_Average,1,COLUMN()))</f>
        <v/>
      </c>
      <c r="BM745" s="998">
        <f>IF(MO.ValuationToggle="EoP",INDEX(MO_VA_StockPrice_TradingCurrency,1,COLUMN())/INDEX(MO_VA_FX_EoP,1,COLUMN()),INDEX(MO_VA_StockPrice_TradingCurrency,1,COLUMN())/INDEX(MO_VA_FX_Average,1,COLUMN()))</f>
        <v/>
      </c>
      <c r="BN745" s="1174">
        <f>IF(MO.ValuationToggle="EoP",INDEX(MO_VA_StockPrice_TradingCurrency,1,COLUMN())/INDEX(MO_VA_FX_EoP,1,COLUMN()),INDEX(MO_VA_StockPrice_TradingCurrency,1,COLUMN())/INDEX(MO_VA_FX_Average,1,COLUMN()))</f>
        <v/>
      </c>
      <c r="BO745" s="998">
        <f>IF(MO.ValuationToggle="EoP",INDEX(MO_VA_StockPrice_TradingCurrency,1,COLUMN())/INDEX(MO_VA_FX_EoP,1,COLUMN()),INDEX(MO_VA_StockPrice_TradingCurrency,1,COLUMN())/INDEX(MO_VA_FX_Average,1,COLUMN()))</f>
        <v/>
      </c>
      <c r="BP745" s="998">
        <f>IF(MO.ValuationToggle="EoP",INDEX(MO_VA_StockPrice_TradingCurrency,1,COLUMN())/INDEX(MO_VA_FX_EoP,1,COLUMN()),INDEX(MO_VA_StockPrice_TradingCurrency,1,COLUMN())/INDEX(MO_VA_FX_Average,1,COLUMN()))</f>
        <v/>
      </c>
      <c r="BQ745" s="998">
        <f>IF(MO.ValuationToggle="EoP",INDEX(MO_VA_StockPrice_TradingCurrency,1,COLUMN())/INDEX(MO_VA_FX_EoP,1,COLUMN()),INDEX(MO_VA_StockPrice_TradingCurrency,1,COLUMN())/INDEX(MO_VA_FX_Average,1,COLUMN()))</f>
        <v/>
      </c>
      <c r="BR745" s="998">
        <f>IF(MO.ValuationToggle="EoP",INDEX(MO_VA_StockPrice_TradingCurrency,1,COLUMN())/INDEX(MO_VA_FX_EoP,1,COLUMN()),INDEX(MO_VA_StockPrice_TradingCurrency,1,COLUMN())/INDEX(MO_VA_FX_Average,1,COLUMN()))</f>
        <v/>
      </c>
      <c r="BS745" s="1174">
        <f>IF(MO.ValuationToggle="EoP",INDEX(MO_VA_StockPrice_TradingCurrency,1,COLUMN())/INDEX(MO_VA_FX_EoP,1,COLUMN()),INDEX(MO_VA_StockPrice_TradingCurrency,1,COLUMN())/INDEX(MO_VA_FX_Average,1,COLUMN()))</f>
        <v/>
      </c>
      <c r="BT745" s="998">
        <f>IF(MO.ValuationToggle="EoP",INDEX(MO_VA_StockPrice_TradingCurrency,1,COLUMN())/INDEX(MO_VA_FX_EoP,1,COLUMN()),INDEX(MO_VA_StockPrice_TradingCurrency,1,COLUMN())/INDEX(MO_VA_FX_Average,1,COLUMN()))</f>
        <v/>
      </c>
      <c r="BU745" s="998">
        <f>IF(MO.ValuationToggle="EoP",INDEX(MO_VA_StockPrice_TradingCurrency,1,COLUMN())/INDEX(MO_VA_FX_EoP,1,COLUMN()),INDEX(MO_VA_StockPrice_TradingCurrency,1,COLUMN())/INDEX(MO_VA_FX_Average,1,COLUMN()))</f>
        <v/>
      </c>
      <c r="BV745" s="923">
        <f>IF(MO.ValuationToggle="EoP",INDEX(MO_VA_StockPrice_TradingCurrency,1,COLUMN())/INDEX(MO_VA_FX_EoP,1,COLUMN()),INDEX(MO_VA_StockPrice_TradingCurrency,1,COLUMN())/INDEX(MO_VA_FX_Average,1,COLUMN()))</f>
        <v/>
      </c>
      <c r="BW745" s="722">
        <f>IF(MO.ValuationToggle="EoP",INDEX(MO_VA_StockPrice_TradingCurrency,1,COLUMN())/INDEX(MO_VA_FX_EoP,1,COLUMN()),INDEX(MO_VA_StockPrice_TradingCurrency,1,COLUMN())/INDEX(MO_VA_FX_Average,1,COLUMN()))</f>
        <v/>
      </c>
      <c r="BX745" s="1174">
        <f>IF(MO.ValuationToggle="EoP",INDEX(MO_VA_StockPrice_TradingCurrency,1,COLUMN())/INDEX(MO_VA_FX_EoP,1,COLUMN()),INDEX(MO_VA_StockPrice_TradingCurrency,1,COLUMN())/INDEX(MO_VA_FX_Average,1,COLUMN()))</f>
        <v/>
      </c>
      <c r="BY745" s="722">
        <f>IF(MO.ValuationToggle="EoP",INDEX(MO_VA_StockPrice_TradingCurrency,1,COLUMN())/INDEX(MO_VA_FX_EoP,1,COLUMN()),INDEX(MO_VA_StockPrice_TradingCurrency,1,COLUMN())/INDEX(MO_VA_FX_Average,1,COLUMN()))</f>
        <v/>
      </c>
      <c r="BZ745" s="722">
        <f>IF(MO.ValuationToggle="EoP",INDEX(MO_VA_StockPrice_TradingCurrency,1,COLUMN())/INDEX(MO_VA_FX_EoP,1,COLUMN()),INDEX(MO_VA_StockPrice_TradingCurrency,1,COLUMN())/INDEX(MO_VA_FX_Average,1,COLUMN()))</f>
        <v/>
      </c>
      <c r="CA745" s="722">
        <f>IF(MO.ValuationToggle="EoP",INDEX(MO_VA_StockPrice_TradingCurrency,1,COLUMN())/INDEX(MO_VA_FX_EoP,1,COLUMN()),INDEX(MO_VA_StockPrice_TradingCurrency,1,COLUMN())/INDEX(MO_VA_FX_Average,1,COLUMN()))</f>
        <v/>
      </c>
      <c r="CB745" s="722">
        <f>IF(MO.ValuationToggle="EoP",INDEX(MO_VA_StockPrice_TradingCurrency,1,COLUMN())/INDEX(MO_VA_FX_EoP,1,COLUMN()),INDEX(MO_VA_StockPrice_TradingCurrency,1,COLUMN())/INDEX(MO_VA_FX_Average,1,COLUMN()))</f>
        <v/>
      </c>
      <c r="CC745" s="1174">
        <f>IF(MO.ValuationToggle="EoP",INDEX(MO_VA_StockPrice_TradingCurrency,1,COLUMN())/INDEX(MO_VA_FX_EoP,1,COLUMN()),INDEX(MO_VA_StockPrice_TradingCurrency,1,COLUMN())/INDEX(MO_VA_FX_Average,1,COLUMN()))</f>
        <v/>
      </c>
      <c r="CD745" s="1174">
        <f>IF(MO.ValuationToggle="EoP",INDEX(MO_VA_StockPrice_TradingCurrency,1,COLUMN())/INDEX(MO_VA_FX_EoP,1,COLUMN()),INDEX(MO_VA_StockPrice_TradingCurrency,1,COLUMN())/INDEX(MO_VA_FX_Average,1,COLUMN()))</f>
        <v/>
      </c>
      <c r="CE745" s="1174">
        <f>IF(MO.ValuationToggle="EoP",INDEX(MO_VA_StockPrice_TradingCurrency,1,COLUMN())/INDEX(MO_VA_FX_EoP,1,COLUMN()),INDEX(MO_VA_StockPrice_TradingCurrency,1,COLUMN())/INDEX(MO_VA_FX_Average,1,COLUMN()))</f>
        <v/>
      </c>
      <c r="CF745" s="1174">
        <f>IF(MO.ValuationToggle="EoP",INDEX(MO_VA_StockPrice_TradingCurrency,1,COLUMN())/INDEX(MO_VA_FX_EoP,1,COLUMN()),INDEX(MO_VA_StockPrice_TradingCurrency,1,COLUMN())/INDEX(MO_VA_FX_Average,1,COLUMN()))</f>
        <v/>
      </c>
      <c r="CG745" s="237" t="n"/>
    </row>
    <row r="746">
      <c r="A746" s="27">
        <f>"Market Cap - "&amp;MO.ValuationToggle</f>
        <v/>
      </c>
      <c r="B746" s="146" t="n"/>
      <c r="C746" s="1112">
        <f>INDEX(MO_VA_StockPrice,0,COLUMN())*INDEX(MO_SCA_ShareCount_EoP_Diluted,0,COLUMN())</f>
        <v/>
      </c>
      <c r="D746" s="1112">
        <f>INDEX(MO_VA_StockPrice,0,COLUMN())*INDEX(MO_SCA_ShareCount_EoP_Diluted,0,COLUMN())</f>
        <v/>
      </c>
      <c r="E746" s="1112">
        <f>INDEX(MO_VA_StockPrice,0,COLUMN())*INDEX(MO_SCA_ShareCount_EoP_Diluted,0,COLUMN())</f>
        <v/>
      </c>
      <c r="F746" s="1112">
        <f>INDEX(MO_VA_StockPrice,0,COLUMN())*INDEX(MO_SCA_ShareCount_EoP_Diluted,0,COLUMN())</f>
        <v/>
      </c>
      <c r="G746" s="27">
        <f>INDEX(MO_VA_StockPrice,0,COLUMN())*INDEX(MO_SCA_ShareCount_EoP_Diluted,0,COLUMN())</f>
        <v/>
      </c>
      <c r="H746" s="27">
        <f>INDEX(MO_VA_StockPrice,0,COLUMN())*INDEX(MO_SCA_ShareCount_EoP_Diluted,0,COLUMN())</f>
        <v/>
      </c>
      <c r="I746" s="27">
        <f>INDEX(MO_VA_StockPrice,0,COLUMN())*INDEX(MO_SCA_ShareCount_EoP_Diluted,0,COLUMN())</f>
        <v/>
      </c>
      <c r="J746" s="27">
        <f>INDEX(MO_VA_StockPrice,0,COLUMN())*INDEX(MO_SCA_ShareCount_EoP_Diluted,0,COLUMN())</f>
        <v/>
      </c>
      <c r="K746" s="1112">
        <f>INDEX(MO_VA_StockPrice,0,COLUMN())*INDEX(MO_SCA_ShareCount_EoP_Diluted,0,COLUMN())</f>
        <v/>
      </c>
      <c r="L746" s="27">
        <f>INDEX(MO_VA_StockPrice,0,COLUMN())*INDEX(MO_SCA_ShareCount_EoP_Diluted,0,COLUMN())</f>
        <v/>
      </c>
      <c r="M746" s="27">
        <f>INDEX(MO_VA_StockPrice,0,COLUMN())*INDEX(MO_SCA_ShareCount_EoP_Diluted,0,COLUMN())</f>
        <v/>
      </c>
      <c r="N746" s="27">
        <f>INDEX(MO_VA_StockPrice,0,COLUMN())*INDEX(MO_SCA_ShareCount_EoP_Diluted,0,COLUMN())</f>
        <v/>
      </c>
      <c r="O746" s="27">
        <f>INDEX(MO_VA_StockPrice,0,COLUMN())*INDEX(MO_SCA_ShareCount_EoP_Diluted,0,COLUMN())</f>
        <v/>
      </c>
      <c r="P746" s="1112">
        <f>INDEX(MO_VA_StockPrice,0,COLUMN())*INDEX(MO_SCA_ShareCount_EoP_Diluted,0,COLUMN())</f>
        <v/>
      </c>
      <c r="Q746" s="27">
        <f>INDEX(MO_VA_StockPrice,0,COLUMN())*INDEX(MO_SCA_ShareCount_EoP_Diluted,0,COLUMN())</f>
        <v/>
      </c>
      <c r="R746" s="27">
        <f>INDEX(MO_VA_StockPrice,0,COLUMN())*INDEX(MO_SCA_ShareCount_EoP_Diluted,0,COLUMN())</f>
        <v/>
      </c>
      <c r="S746" s="27">
        <f>INDEX(MO_VA_StockPrice,0,COLUMN())*INDEX(MO_SCA_ShareCount_EoP_Diluted,0,COLUMN())</f>
        <v/>
      </c>
      <c r="T746" s="27">
        <f>INDEX(MO_VA_StockPrice,0,COLUMN())*INDEX(MO_SCA_ShareCount_EoP_Diluted,0,COLUMN())</f>
        <v/>
      </c>
      <c r="U746" s="1112">
        <f>INDEX(MO_VA_StockPrice,0,COLUMN())*INDEX(MO_SCA_ShareCount_EoP_Diluted,0,COLUMN())</f>
        <v/>
      </c>
      <c r="V746" s="27">
        <f>INDEX(MO_VA_StockPrice,0,COLUMN())*INDEX(MO_SCA_ShareCount_EoP_Diluted,0,COLUMN())</f>
        <v/>
      </c>
      <c r="W746" s="27">
        <f>INDEX(MO_VA_StockPrice,0,COLUMN())*INDEX(MO_SCA_ShareCount_EoP_Diluted,0,COLUMN())</f>
        <v/>
      </c>
      <c r="X746" s="27">
        <f>INDEX(MO_VA_StockPrice,0,COLUMN())*INDEX(MO_SCA_ShareCount_EoP_Diluted,0,COLUMN())</f>
        <v/>
      </c>
      <c r="Y746" s="27">
        <f>INDEX(MO_VA_StockPrice,0,COLUMN())*INDEX(MO_SCA_ShareCount_EoP_Diluted,0,COLUMN())</f>
        <v/>
      </c>
      <c r="Z746" s="1112">
        <f>INDEX(MO_VA_StockPrice,0,COLUMN())*INDEX(MO_SCA_ShareCount_EoP_Diluted,0,COLUMN())</f>
        <v/>
      </c>
      <c r="AA746" s="27">
        <f>INDEX(MO_VA_StockPrice,0,COLUMN())*INDEX(MO_SCA_ShareCount_EoP_Diluted,0,COLUMN())</f>
        <v/>
      </c>
      <c r="AB746" s="27">
        <f>INDEX(MO_VA_StockPrice,0,COLUMN())*INDEX(MO_SCA_ShareCount_EoP_Diluted,0,COLUMN())</f>
        <v/>
      </c>
      <c r="AC746" s="27">
        <f>INDEX(MO_VA_StockPrice,0,COLUMN())*INDEX(MO_SCA_ShareCount_EoP_Diluted,0,COLUMN())</f>
        <v/>
      </c>
      <c r="AD746" s="27">
        <f>INDEX(MO_VA_StockPrice,0,COLUMN())*INDEX(MO_SCA_ShareCount_EoP_Diluted,0,COLUMN())</f>
        <v/>
      </c>
      <c r="AE746" s="1110">
        <f>INDEX(MO_VA_StockPrice,0,COLUMN())*INDEX(MO_SCA_ShareCount_EoP_Diluted,0,COLUMN())</f>
        <v/>
      </c>
      <c r="AF746" s="27">
        <f>INDEX(MO_VA_StockPrice,0,COLUMN())*INDEX(MO_SCA_ShareCount_EoP_Diluted,0,COLUMN())</f>
        <v/>
      </c>
      <c r="AG746" s="27">
        <f>INDEX(MO_VA_StockPrice,0,COLUMN())*INDEX(MO_SCA_ShareCount_EoP_Diluted,0,COLUMN())</f>
        <v/>
      </c>
      <c r="AH746" s="27">
        <f>INDEX(MO_VA_StockPrice,0,COLUMN())*INDEX(MO_SCA_ShareCount_EoP_Diluted,0,COLUMN())</f>
        <v/>
      </c>
      <c r="AI746" s="27">
        <f>INDEX(MO_VA_StockPrice,0,COLUMN())*INDEX(MO_SCA_ShareCount_EoP_Diluted,0,COLUMN())</f>
        <v/>
      </c>
      <c r="AJ746" s="1110">
        <f>INDEX(MO_VA_StockPrice,0,COLUMN())*INDEX(MO_SCA_ShareCount_EoP_Diluted,0,COLUMN())</f>
        <v/>
      </c>
      <c r="AK746" s="27">
        <f>INDEX(MO_VA_StockPrice,0,COLUMN())*INDEX(MO_SCA_ShareCount_EoP_Diluted,0,COLUMN())</f>
        <v/>
      </c>
      <c r="AL746" s="27">
        <f>INDEX(MO_VA_StockPrice,0,COLUMN())*INDEX(MO_SCA_ShareCount_EoP_Diluted,0,COLUMN())</f>
        <v/>
      </c>
      <c r="AM746" s="27">
        <f>INDEX(MO_VA_StockPrice,0,COLUMN())*INDEX(MO_SCA_ShareCount_EoP_Diluted,0,COLUMN())</f>
        <v/>
      </c>
      <c r="AN746" s="27">
        <f>INDEX(MO_VA_StockPrice,0,COLUMN())*INDEX(MO_SCA_ShareCount_EoP_Diluted,0,COLUMN())</f>
        <v/>
      </c>
      <c r="AO746" s="1110">
        <f>INDEX(MO_VA_StockPrice,0,COLUMN())*INDEX(MO_SCA_ShareCount_EoP_Diluted,0,COLUMN())</f>
        <v/>
      </c>
      <c r="AP746" s="27">
        <f>INDEX(MO_VA_StockPrice,0,COLUMN())*INDEX(MO_SCA_ShareCount_EoP_Diluted,0,COLUMN())</f>
        <v/>
      </c>
      <c r="AQ746" s="27">
        <f>INDEX(MO_VA_StockPrice,0,COLUMN())*INDEX(MO_SCA_ShareCount_EoP_Diluted,0,COLUMN())</f>
        <v/>
      </c>
      <c r="AR746" s="27">
        <f>INDEX(MO_VA_StockPrice,0,COLUMN())*INDEX(MO_SCA_ShareCount_EoP_Diluted,0,COLUMN())</f>
        <v/>
      </c>
      <c r="AS746" s="27">
        <f>INDEX(MO_VA_StockPrice,0,COLUMN())*INDEX(MO_SCA_ShareCount_EoP_Diluted,0,COLUMN())</f>
        <v/>
      </c>
      <c r="AT746" s="1110">
        <f>INDEX(MO_VA_StockPrice,0,COLUMN())*INDEX(MO_SCA_ShareCount_EoP_Diluted,0,COLUMN())</f>
        <v/>
      </c>
      <c r="AU746" s="27">
        <f>INDEX(MO_VA_StockPrice,0,COLUMN())*INDEX(MO_SCA_ShareCount_EoP_Diluted,0,COLUMN())</f>
        <v/>
      </c>
      <c r="AV746" s="27">
        <f>INDEX(MO_VA_StockPrice,0,COLUMN())*INDEX(MO_SCA_ShareCount_EoP_Diluted,0,COLUMN())</f>
        <v/>
      </c>
      <c r="AW746" s="27">
        <f>INDEX(MO_VA_StockPrice,0,COLUMN())*INDEX(MO_SCA_ShareCount_EoP_Diluted,0,COLUMN())</f>
        <v/>
      </c>
      <c r="AX746" s="27">
        <f>INDEX(MO_VA_StockPrice,0,COLUMN())*INDEX(MO_SCA_ShareCount_EoP_Diluted,0,COLUMN())</f>
        <v/>
      </c>
      <c r="AY746" s="1110">
        <f>INDEX(MO_VA_StockPrice,0,COLUMN())*INDEX(MO_SCA_ShareCount_EoP_Diluted,0,COLUMN())</f>
        <v/>
      </c>
      <c r="AZ746" s="27">
        <f>INDEX(MO_VA_StockPrice,0,COLUMN())*INDEX(MO_SCA_ShareCount_EoP_Diluted,0,COLUMN())</f>
        <v/>
      </c>
      <c r="BA746" s="27">
        <f>INDEX(MO_VA_StockPrice,0,COLUMN())*INDEX(MO_SCA_ShareCount_EoP_Diluted,0,COLUMN())</f>
        <v/>
      </c>
      <c r="BB746" s="27">
        <f>INDEX(MO_VA_StockPrice,0,COLUMN())*INDEX(MO_SCA_ShareCount_EoP_Diluted,0,COLUMN())</f>
        <v/>
      </c>
      <c r="BC746" s="27">
        <f>INDEX(MO_VA_StockPrice,0,COLUMN())*INDEX(MO_SCA_ShareCount_EoP_Diluted,0,COLUMN())</f>
        <v/>
      </c>
      <c r="BD746" s="1110">
        <f>INDEX(MO_VA_StockPrice,0,COLUMN())*INDEX(MO_SCA_ShareCount_EoP_Diluted,0,COLUMN())</f>
        <v/>
      </c>
      <c r="BE746" s="27">
        <f>INDEX(MO_VA_StockPrice,0,COLUMN())*INDEX(MO_SCA_ShareCount_EoP_Diluted,0,COLUMN())</f>
        <v/>
      </c>
      <c r="BF746" s="27">
        <f>INDEX(MO_VA_StockPrice,0,COLUMN())*INDEX(MO_SCA_ShareCount_EoP_Diluted,0,COLUMN())</f>
        <v/>
      </c>
      <c r="BG746" s="27">
        <f>INDEX(MO_VA_StockPrice,0,COLUMN())*INDEX(MO_SCA_ShareCount_EoP_Diluted,0,COLUMN())</f>
        <v/>
      </c>
      <c r="BH746" s="27">
        <f>INDEX(MO_VA_StockPrice,0,COLUMN())*INDEX(MO_SCA_ShareCount_EoP_Diluted,0,COLUMN())</f>
        <v/>
      </c>
      <c r="BI746" s="1110">
        <f>INDEX(MO_VA_StockPrice,0,COLUMN())*INDEX(MO_SCA_ShareCount_EoP_Diluted,0,COLUMN())</f>
        <v/>
      </c>
      <c r="BJ746" s="27">
        <f>INDEX(MO_VA_StockPrice,0,COLUMN())*INDEX(MO_SCA_ShareCount_EoP_Diluted,0,COLUMN())</f>
        <v/>
      </c>
      <c r="BK746" s="27">
        <f>INDEX(MO_VA_StockPrice,0,COLUMN())*INDEX(MO_SCA_ShareCount_EoP_Diluted,0,COLUMN())</f>
        <v/>
      </c>
      <c r="BL746" s="27">
        <f>INDEX(MO_VA_StockPrice,0,COLUMN())*INDEX(MO_SCA_ShareCount_EoP_Diluted,0,COLUMN())</f>
        <v/>
      </c>
      <c r="BM746" s="27">
        <f>INDEX(MO_VA_StockPrice,0,COLUMN())*INDEX(MO_SCA_ShareCount_EoP_Diluted,0,COLUMN())</f>
        <v/>
      </c>
      <c r="BN746" s="1110">
        <f>INDEX(MO_VA_StockPrice,0,COLUMN())*INDEX(MO_SCA_ShareCount_EoP_Diluted,0,COLUMN())</f>
        <v/>
      </c>
      <c r="BO746" s="27">
        <f>INDEX(MO_VA_StockPrice,0,COLUMN())*INDEX(MO_SCA_ShareCount_EoP_Diluted,0,COLUMN())</f>
        <v/>
      </c>
      <c r="BP746" s="27">
        <f>INDEX(MO_VA_StockPrice,0,COLUMN())*INDEX(MO_SCA_ShareCount_EoP_Diluted,0,COLUMN())</f>
        <v/>
      </c>
      <c r="BQ746" s="27">
        <f>INDEX(MO_VA_StockPrice,0,COLUMN())*INDEX(MO_SCA_ShareCount_EoP_Diluted,0,COLUMN())</f>
        <v/>
      </c>
      <c r="BR746" s="27">
        <f>INDEX(MO_VA_StockPrice,0,COLUMN())*INDEX(MO_SCA_ShareCount_EoP_Diluted,0,COLUMN())</f>
        <v/>
      </c>
      <c r="BS746" s="1110">
        <f>INDEX(MO_VA_StockPrice,0,COLUMN())*INDEX(MO_SCA_ShareCount_EoP_Diluted,0,COLUMN())</f>
        <v/>
      </c>
      <c r="BT746" s="27">
        <f>INDEX(MO_VA_StockPrice,0,COLUMN())*INDEX(MO_SCA_ShareCount_EoP_Diluted,0,COLUMN())</f>
        <v/>
      </c>
      <c r="BU746" s="27">
        <f>INDEX(MO_VA_StockPrice,0,COLUMN())*INDEX(MO_SCA_ShareCount_EoP_Diluted,0,COLUMN())</f>
        <v/>
      </c>
      <c r="BV746" s="508">
        <f>INDEX(MO_VA_StockPrice,0,COLUMN())*INDEX(MO_SCA_ShareCount_EoP_Diluted,0,COLUMN())</f>
        <v/>
      </c>
      <c r="BW746" s="68">
        <f>INDEX(MO_VA_StockPrice,0,COLUMN())*INDEX(MO_SCA_ShareCount_EoP_Diluted,0,COLUMN())</f>
        <v/>
      </c>
      <c r="BX746" s="1110">
        <f>INDEX(MO_VA_StockPrice,0,COLUMN())*INDEX(MO_SCA_ShareCount_EoP_Diluted,0,COLUMN())</f>
        <v/>
      </c>
      <c r="BY746" s="68">
        <f>INDEX(MO_VA_StockPrice,0,COLUMN())*INDEX(MO_SCA_ShareCount_EoP_Diluted,0,COLUMN())</f>
        <v/>
      </c>
      <c r="BZ746" s="68">
        <f>INDEX(MO_VA_StockPrice,0,COLUMN())*INDEX(MO_SCA_ShareCount_EoP_Diluted,0,COLUMN())</f>
        <v/>
      </c>
      <c r="CA746" s="68">
        <f>INDEX(MO_VA_StockPrice,0,COLUMN())*INDEX(MO_SCA_ShareCount_EoP_Diluted,0,COLUMN())</f>
        <v/>
      </c>
      <c r="CB746" s="68">
        <f>INDEX(MO_VA_StockPrice,0,COLUMN())*INDEX(MO_SCA_ShareCount_EoP_Diluted,0,COLUMN())</f>
        <v/>
      </c>
      <c r="CC746" s="1110">
        <f>INDEX(MO_VA_StockPrice,0,COLUMN())*INDEX(MO_SCA_ShareCount_EoP_Diluted,0,COLUMN())</f>
        <v/>
      </c>
      <c r="CD746" s="1110">
        <f>INDEX(MO_VA_StockPrice,0,COLUMN())*INDEX(MO_SCA_ShareCount_EoP_Diluted,0,COLUMN())</f>
        <v/>
      </c>
      <c r="CE746" s="1110">
        <f>INDEX(MO_VA_StockPrice,0,COLUMN())*INDEX(MO_SCA_ShareCount_EoP_Diluted,0,COLUMN())</f>
        <v/>
      </c>
      <c r="CF746" s="1110">
        <f>INDEX(MO_VA_StockPrice,0,COLUMN())*INDEX(MO_SCA_ShareCount_EoP_Diluted,0,COLUMN())</f>
        <v/>
      </c>
      <c r="CG746" s="155" t="n"/>
    </row>
    <row r="747">
      <c r="A747" s="27">
        <f>"Enterprise Value - "&amp;MO.ValuationToggle</f>
        <v/>
      </c>
      <c r="B747" s="146" t="n"/>
      <c r="C747" s="1112">
        <f>C731+C746+C765+C766+C767</f>
        <v/>
      </c>
      <c r="D747" s="1112">
        <f>D731+D746+D765+D766+D767</f>
        <v/>
      </c>
      <c r="E747" s="1112">
        <f>E731+E746+E765+E766+E767</f>
        <v/>
      </c>
      <c r="F747" s="1112">
        <f>F731+F746+F765+F766+F767</f>
        <v/>
      </c>
      <c r="G747" s="27">
        <f>G731+G746+G765+G766+G767</f>
        <v/>
      </c>
      <c r="H747" s="27">
        <f>H731+H746+H765+H766+H767</f>
        <v/>
      </c>
      <c r="I747" s="27">
        <f>I731+I746+I765+I766+I767</f>
        <v/>
      </c>
      <c r="J747" s="27">
        <f>J731+J746+J765+J766+J767</f>
        <v/>
      </c>
      <c r="K747" s="1112">
        <f>K731+K746+K765+K766+K767</f>
        <v/>
      </c>
      <c r="L747" s="27">
        <f>L731+L746+L765+L766+L767</f>
        <v/>
      </c>
      <c r="M747" s="27">
        <f>M731+M746+M765+M766+M767</f>
        <v/>
      </c>
      <c r="N747" s="27">
        <f>N731+N746+N765+N766+N767</f>
        <v/>
      </c>
      <c r="O747" s="27">
        <f>O731+O746+O765+O766+O767</f>
        <v/>
      </c>
      <c r="P747" s="1112">
        <f>P731+P746+P765+P766+P767</f>
        <v/>
      </c>
      <c r="Q747" s="27">
        <f>Q731+Q746+Q765+Q766+Q767</f>
        <v/>
      </c>
      <c r="R747" s="27">
        <f>R731+R746+R765+R766+R767</f>
        <v/>
      </c>
      <c r="S747" s="27">
        <f>S731+S746+S765+S766+S767</f>
        <v/>
      </c>
      <c r="T747" s="27">
        <f>T731+T746+T765+T766+T767</f>
        <v/>
      </c>
      <c r="U747" s="1112">
        <f>U731+U746+U765+U766+U767</f>
        <v/>
      </c>
      <c r="V747" s="27">
        <f>V731+V746+V765+V766+V767</f>
        <v/>
      </c>
      <c r="W747" s="27">
        <f>W731+W746+W765+W766+W767</f>
        <v/>
      </c>
      <c r="X747" s="27">
        <f>X731+X746+X765+X766+X767</f>
        <v/>
      </c>
      <c r="Y747" s="27">
        <f>Y731+Y746+Y765+Y766+Y767</f>
        <v/>
      </c>
      <c r="Z747" s="1112">
        <f>Z731+Z746+Z765+Z766+Z767</f>
        <v/>
      </c>
      <c r="AA747" s="27">
        <f>AA731+AA746+AA765+AA766+AA767</f>
        <v/>
      </c>
      <c r="AB747" s="27">
        <f>AB731+AB746+AB765+AB766+AB767</f>
        <v/>
      </c>
      <c r="AC747" s="27">
        <f>AC731+AC746+AC765+AC766+AC767</f>
        <v/>
      </c>
      <c r="AD747" s="27">
        <f>AD731+AD746+AD765+AD766+AD767</f>
        <v/>
      </c>
      <c r="AE747" s="1110">
        <f>AE731+AE746+AE765+AE766+AE767</f>
        <v/>
      </c>
      <c r="AF747" s="27">
        <f>AF731+AF746+AF765+AF766+AF767</f>
        <v/>
      </c>
      <c r="AG747" s="27">
        <f>AG731+AG746+AG765+AG766+AG767</f>
        <v/>
      </c>
      <c r="AH747" s="27">
        <f>AH731+AH746+AH765+AH766+AH767</f>
        <v/>
      </c>
      <c r="AI747" s="27">
        <f>AI731+AI746+AI765+AI766+AI767</f>
        <v/>
      </c>
      <c r="AJ747" s="1110">
        <f>AJ731+AJ746+AJ765+AJ766+AJ767</f>
        <v/>
      </c>
      <c r="AK747" s="27">
        <f>AK731+AK746+AK765+AK766+AK767</f>
        <v/>
      </c>
      <c r="AL747" s="27">
        <f>AL731+AL746+AL765+AL766+AL767</f>
        <v/>
      </c>
      <c r="AM747" s="27">
        <f>AM731+AM746+AM765+AM766+AM767</f>
        <v/>
      </c>
      <c r="AN747" s="27">
        <f>AN731+AN746+AN765+AN766+AN767</f>
        <v/>
      </c>
      <c r="AO747" s="1110">
        <f>AO731+AO746+AO765+AO766+AO767</f>
        <v/>
      </c>
      <c r="AP747" s="27">
        <f>AP731+AP746+AP765+AP766+AP767</f>
        <v/>
      </c>
      <c r="AQ747" s="27">
        <f>AQ731+AQ746+AQ765+AQ766+AQ767</f>
        <v/>
      </c>
      <c r="AR747" s="27">
        <f>AR731+AR746+AR765+AR766+AR767</f>
        <v/>
      </c>
      <c r="AS747" s="27">
        <f>AS731+AS746+AS765+AS766+AS767</f>
        <v/>
      </c>
      <c r="AT747" s="1110">
        <f>AT731+AT746+AT765+AT766+AT767</f>
        <v/>
      </c>
      <c r="AU747" s="27">
        <f>AU731+AU746+AU765+AU766+AU767</f>
        <v/>
      </c>
      <c r="AV747" s="27">
        <f>AV731+AV746+AV765+AV766+AV767</f>
        <v/>
      </c>
      <c r="AW747" s="27">
        <f>AW731+AW746+AW765+AW766+AW767</f>
        <v/>
      </c>
      <c r="AX747" s="27">
        <f>AX731+AX746+AX765+AX766+AX767</f>
        <v/>
      </c>
      <c r="AY747" s="1110">
        <f>AY731+AY746+AY765+AY766+AY767</f>
        <v/>
      </c>
      <c r="AZ747" s="27">
        <f>AZ731+AZ746+AZ765+AZ766+AZ767</f>
        <v/>
      </c>
      <c r="BA747" s="27">
        <f>BA731+BA746+BA765+BA766+BA767</f>
        <v/>
      </c>
      <c r="BB747" s="27">
        <f>BB731+BB746+BB765+BB766+BB767</f>
        <v/>
      </c>
      <c r="BC747" s="27">
        <f>BC731+BC746+BC765+BC766+BC767</f>
        <v/>
      </c>
      <c r="BD747" s="1110">
        <f>BD731+BD746+BD765+BD766+BD767</f>
        <v/>
      </c>
      <c r="BE747" s="27">
        <f>BE731+BE746+BE765+BE766+BE767</f>
        <v/>
      </c>
      <c r="BF747" s="27">
        <f>BF731+BF746+BF765+BF766+BF767</f>
        <v/>
      </c>
      <c r="BG747" s="27">
        <f>BG731+BG746+BG765+BG766+BG767</f>
        <v/>
      </c>
      <c r="BH747" s="27">
        <f>BH731+BH746+BH765+BH766+BH767</f>
        <v/>
      </c>
      <c r="BI747" s="1110">
        <f>BI731+BI746+BI765+BI766+BI767</f>
        <v/>
      </c>
      <c r="BJ747" s="27">
        <f>BJ731+BJ746+BJ765+BJ766+BJ767</f>
        <v/>
      </c>
      <c r="BK747" s="27">
        <f>BK731+BK746+BK765+BK766+BK767</f>
        <v/>
      </c>
      <c r="BL747" s="27">
        <f>BL731+BL746+BL765+BL766+BL767</f>
        <v/>
      </c>
      <c r="BM747" s="27">
        <f>BM731+BM746+BM765+BM766+BM767</f>
        <v/>
      </c>
      <c r="BN747" s="1110">
        <f>BN731+BN746+BN765+BN766+BN767</f>
        <v/>
      </c>
      <c r="BO747" s="27">
        <f>BO731+BO746+BO765+BO766+BO767</f>
        <v/>
      </c>
      <c r="BP747" s="27">
        <f>BP731+BP746+BP765+BP766+BP767</f>
        <v/>
      </c>
      <c r="BQ747" s="27">
        <f>BQ731+BQ746+BQ765+BQ766+BQ767</f>
        <v/>
      </c>
      <c r="BR747" s="27">
        <f>BR731+BR746+BR765+BR766+BR767</f>
        <v/>
      </c>
      <c r="BS747" s="1110">
        <f>BS731+BS746+BS765+BS766+BS767</f>
        <v/>
      </c>
      <c r="BT747" s="27">
        <f>BT731+BT746+BT765+BT766+BT767</f>
        <v/>
      </c>
      <c r="BU747" s="27">
        <f>BU731+BU746+BU765+BU766+BU767</f>
        <v/>
      </c>
      <c r="BV747" s="508">
        <f>BV731+BV746+BV765+BV766+BV767</f>
        <v/>
      </c>
      <c r="BW747" s="68">
        <f>BW731+BW746+BW765+BW766+BW767</f>
        <v/>
      </c>
      <c r="BX747" s="1110">
        <f>BX731+BX746+BX765+BX766+BX767</f>
        <v/>
      </c>
      <c r="BY747" s="68">
        <f>BY731+BY746+BY765+BY766+BY767</f>
        <v/>
      </c>
      <c r="BZ747" s="68">
        <f>BZ731+BZ746+BZ765+BZ766+BZ767</f>
        <v/>
      </c>
      <c r="CA747" s="68">
        <f>CA731+CA746+CA765+CA766+CA767</f>
        <v/>
      </c>
      <c r="CB747" s="68">
        <f>CB731+CB746+CB765+CB766+CB767</f>
        <v/>
      </c>
      <c r="CC747" s="1110">
        <f>CC731+CC746+CC765+CC766+CC767</f>
        <v/>
      </c>
      <c r="CD747" s="1110">
        <f>CD731+CD746+CD765+CD766+CD767</f>
        <v/>
      </c>
      <c r="CE747" s="1110">
        <f>CE731+CE746+CE765+CE766+CE767</f>
        <v/>
      </c>
      <c r="CF747" s="1110">
        <f>CF731+CF746+CF765+CF766+CF767</f>
        <v/>
      </c>
      <c r="CG747" s="155" t="n"/>
    </row>
    <row r="748">
      <c r="A748" s="618" t="n"/>
      <c r="B748" s="619" t="n"/>
      <c r="C748" s="1218" t="n"/>
      <c r="D748" s="1218" t="n"/>
      <c r="E748" s="1218" t="n"/>
      <c r="F748" s="1218" t="n"/>
      <c r="G748" s="999" t="n"/>
      <c r="H748" s="999" t="n"/>
      <c r="I748" s="999" t="n"/>
      <c r="J748" s="999" t="n"/>
      <c r="K748" s="1218" t="n"/>
      <c r="L748" s="999" t="n"/>
      <c r="M748" s="999" t="n"/>
      <c r="N748" s="999" t="n"/>
      <c r="O748" s="999" t="n"/>
      <c r="P748" s="1218" t="n"/>
      <c r="Q748" s="999" t="n"/>
      <c r="R748" s="999" t="n"/>
      <c r="S748" s="999" t="n"/>
      <c r="T748" s="999" t="n"/>
      <c r="U748" s="1218" t="n"/>
      <c r="V748" s="999" t="n"/>
      <c r="W748" s="620" t="n"/>
      <c r="X748" s="620" t="n"/>
      <c r="Y748" s="620" t="n"/>
      <c r="Z748" s="1218" t="n"/>
      <c r="AA748" s="620" t="n"/>
      <c r="AB748" s="620" t="n"/>
      <c r="AC748" s="620" t="n"/>
      <c r="AD748" s="620" t="n"/>
      <c r="AE748" s="1218" t="n"/>
      <c r="AF748" s="620" t="n"/>
      <c r="AG748" s="620" t="n"/>
      <c r="AH748" s="620" t="n"/>
      <c r="AI748" s="620" t="n"/>
      <c r="AJ748" s="1218" t="n"/>
      <c r="AK748" s="620" t="n"/>
      <c r="AL748" s="620" t="n"/>
      <c r="AM748" s="620" t="n"/>
      <c r="AN748" s="620" t="n"/>
      <c r="AO748" s="1218" t="n"/>
      <c r="AP748" s="620" t="n"/>
      <c r="AQ748" s="620" t="n"/>
      <c r="AR748" s="620" t="n"/>
      <c r="AS748" s="620" t="n"/>
      <c r="AT748" s="1218" t="n"/>
      <c r="AU748" s="620" t="n"/>
      <c r="AV748" s="620" t="n"/>
      <c r="AW748" s="620" t="n"/>
      <c r="AX748" s="620" t="n"/>
      <c r="AY748" s="1218" t="n"/>
      <c r="AZ748" s="620" t="n"/>
      <c r="BA748" s="620" t="n"/>
      <c r="BB748" s="620" t="n"/>
      <c r="BC748" s="620" t="n"/>
      <c r="BD748" s="1218" t="n"/>
      <c r="BE748" s="620" t="n"/>
      <c r="BF748" s="620" t="n"/>
      <c r="BG748" s="620" t="n"/>
      <c r="BH748" s="620" t="n"/>
      <c r="BI748" s="1218" t="n"/>
      <c r="BJ748" s="620" t="n"/>
      <c r="BK748" s="620" t="n"/>
      <c r="BL748" s="620" t="n"/>
      <c r="BM748" s="620" t="n"/>
      <c r="BN748" s="1218" t="n"/>
      <c r="BO748" s="620" t="n"/>
      <c r="BP748" s="620" t="n"/>
      <c r="BQ748" s="620" t="n"/>
      <c r="BR748" s="620" t="n"/>
      <c r="BS748" s="1218" t="n"/>
      <c r="BT748" s="620" t="n"/>
      <c r="BU748" s="620" t="n"/>
      <c r="BV748" s="924" t="n"/>
      <c r="BW748" s="620" t="n"/>
      <c r="BX748" s="1218" t="n"/>
      <c r="BY748" s="620" t="n"/>
      <c r="BZ748" s="620" t="n"/>
      <c r="CA748" s="620" t="n"/>
      <c r="CB748" s="620" t="n"/>
      <c r="CC748" s="1218" t="n"/>
      <c r="CD748" s="1218" t="n"/>
      <c r="CE748" s="1218" t="n"/>
      <c r="CF748" s="1218" t="n"/>
      <c r="CG748" s="155" t="n"/>
    </row>
    <row r="749">
      <c r="A749" s="485">
        <f>"P/E - "&amp;MO.ValuationToggle</f>
        <v/>
      </c>
      <c r="B749" s="619" t="n"/>
      <c r="C749" s="1219">
        <f>C745/C425</f>
        <v/>
      </c>
      <c r="D749" s="1219">
        <f>D745/D425</f>
        <v/>
      </c>
      <c r="E749" s="1219">
        <f>E745/E425</f>
        <v/>
      </c>
      <c r="F749" s="1219">
        <f>F745/F425</f>
        <v/>
      </c>
      <c r="G749" s="999" t="n"/>
      <c r="H749" s="999" t="n"/>
      <c r="I749" s="999" t="n"/>
      <c r="J749" s="999" t="n"/>
      <c r="K749" s="1219">
        <f>K745/K425</f>
        <v/>
      </c>
      <c r="L749" s="999" t="n"/>
      <c r="M749" s="999" t="n"/>
      <c r="N749" s="999" t="n"/>
      <c r="O749" s="999" t="n"/>
      <c r="P749" s="1219">
        <f>P745/P425</f>
        <v/>
      </c>
      <c r="Q749" s="999" t="n"/>
      <c r="R749" s="999" t="n"/>
      <c r="S749" s="999" t="n"/>
      <c r="T749" s="999" t="n"/>
      <c r="U749" s="1219">
        <f>U745/U425</f>
        <v/>
      </c>
      <c r="V749" s="999" t="n"/>
      <c r="W749" s="620" t="n"/>
      <c r="X749" s="620" t="n"/>
      <c r="Y749" s="620" t="n"/>
      <c r="Z749" s="1219">
        <f>Z745/Z425</f>
        <v/>
      </c>
      <c r="AA749" s="620" t="n"/>
      <c r="AB749" s="620" t="n"/>
      <c r="AC749" s="620" t="n"/>
      <c r="AD749" s="620" t="n"/>
      <c r="AE749" s="1218">
        <f>AE745/AE425</f>
        <v/>
      </c>
      <c r="AF749" s="620" t="n"/>
      <c r="AG749" s="620" t="n"/>
      <c r="AH749" s="620" t="n"/>
      <c r="AI749" s="620" t="n"/>
      <c r="AJ749" s="1218">
        <f>AJ745/AJ425</f>
        <v/>
      </c>
      <c r="AK749" s="620" t="n"/>
      <c r="AL749" s="620" t="n"/>
      <c r="AM749" s="620" t="n"/>
      <c r="AN749" s="620" t="n"/>
      <c r="AO749" s="1218">
        <f>AO745/AO425</f>
        <v/>
      </c>
      <c r="AP749" s="620" t="n"/>
      <c r="AQ749" s="620" t="n"/>
      <c r="AR749" s="620" t="n"/>
      <c r="AS749" s="620" t="n"/>
      <c r="AT749" s="1218">
        <f>AT745/AT425</f>
        <v/>
      </c>
      <c r="AU749" s="620" t="n"/>
      <c r="AV749" s="620" t="n"/>
      <c r="AW749" s="620" t="n"/>
      <c r="AX749" s="620" t="n"/>
      <c r="AY749" s="1218">
        <f>AY745/AY425</f>
        <v/>
      </c>
      <c r="AZ749" s="620" t="n"/>
      <c r="BA749" s="620" t="n"/>
      <c r="BB749" s="620" t="n"/>
      <c r="BC749" s="620" t="n"/>
      <c r="BD749" s="1218">
        <f>BD745/BD425</f>
        <v/>
      </c>
      <c r="BE749" s="620" t="n"/>
      <c r="BF749" s="620" t="n"/>
      <c r="BG749" s="620" t="n"/>
      <c r="BH749" s="620" t="n"/>
      <c r="BI749" s="1218">
        <f>BI745/BI425</f>
        <v/>
      </c>
      <c r="BJ749" s="620" t="n"/>
      <c r="BK749" s="620" t="n"/>
      <c r="BL749" s="620" t="n"/>
      <c r="BM749" s="620" t="n"/>
      <c r="BN749" s="1218">
        <f>BN745/BN425</f>
        <v/>
      </c>
      <c r="BO749" s="620" t="n"/>
      <c r="BP749" s="620" t="n"/>
      <c r="BQ749" s="620" t="n"/>
      <c r="BR749" s="620" t="n"/>
      <c r="BS749" s="1218">
        <f>BS745/BS425</f>
        <v/>
      </c>
      <c r="BT749" s="620" t="n"/>
      <c r="BU749" s="620" t="n"/>
      <c r="BV749" s="924" t="n"/>
      <c r="BW749" s="620" t="n"/>
      <c r="BX749" s="1218">
        <f>BX745/BX425</f>
        <v/>
      </c>
      <c r="BY749" s="620" t="n"/>
      <c r="BZ749" s="620" t="n"/>
      <c r="CA749" s="620" t="n"/>
      <c r="CB749" s="620" t="n"/>
      <c r="CC749" s="1218">
        <f>CC745/CC425</f>
        <v/>
      </c>
      <c r="CD749" s="1218">
        <f>CD745/CD425</f>
        <v/>
      </c>
      <c r="CE749" s="1218">
        <f>CE745/CE425</f>
        <v/>
      </c>
      <c r="CF749" s="1218">
        <f>CF745/CF425</f>
        <v/>
      </c>
      <c r="CG749" s="155" t="n"/>
    </row>
    <row r="750">
      <c r="A750" s="485">
        <f>"EV/Sales - "&amp;MO.ValuationToggle</f>
        <v/>
      </c>
      <c r="B750" s="619" t="n"/>
      <c r="C750" s="1219">
        <f>C747/C362</f>
        <v/>
      </c>
      <c r="D750" s="1219">
        <f>D747/D362</f>
        <v/>
      </c>
      <c r="E750" s="1219">
        <f>E747/E362</f>
        <v/>
      </c>
      <c r="F750" s="1219">
        <f>F747/F362</f>
        <v/>
      </c>
      <c r="G750" s="999" t="n"/>
      <c r="H750" s="999" t="n"/>
      <c r="I750" s="999" t="n"/>
      <c r="J750" s="999" t="n"/>
      <c r="K750" s="1219">
        <f>K747/K362</f>
        <v/>
      </c>
      <c r="L750" s="999" t="n"/>
      <c r="M750" s="999" t="n"/>
      <c r="N750" s="999" t="n"/>
      <c r="O750" s="999" t="n"/>
      <c r="P750" s="1219">
        <f>P747/P362</f>
        <v/>
      </c>
      <c r="Q750" s="999" t="n"/>
      <c r="R750" s="999" t="n"/>
      <c r="S750" s="999" t="n"/>
      <c r="T750" s="999" t="n"/>
      <c r="U750" s="1219">
        <f>U747/U362</f>
        <v/>
      </c>
      <c r="V750" s="999" t="n"/>
      <c r="W750" s="620" t="n"/>
      <c r="X750" s="620" t="n"/>
      <c r="Y750" s="620" t="n"/>
      <c r="Z750" s="1219">
        <f>Z747/Z362</f>
        <v/>
      </c>
      <c r="AA750" s="620" t="n"/>
      <c r="AB750" s="620" t="n"/>
      <c r="AC750" s="620" t="n"/>
      <c r="AD750" s="620" t="n"/>
      <c r="AE750" s="1218">
        <f>AE747/AE362</f>
        <v/>
      </c>
      <c r="AF750" s="620" t="n"/>
      <c r="AG750" s="620" t="n"/>
      <c r="AH750" s="620" t="n"/>
      <c r="AI750" s="620" t="n"/>
      <c r="AJ750" s="1218">
        <f>AJ747/AJ362</f>
        <v/>
      </c>
      <c r="AK750" s="620" t="n"/>
      <c r="AL750" s="620" t="n"/>
      <c r="AM750" s="620" t="n"/>
      <c r="AN750" s="620" t="n"/>
      <c r="AO750" s="1218">
        <f>AO747/AO362</f>
        <v/>
      </c>
      <c r="AP750" s="620" t="n"/>
      <c r="AQ750" s="620" t="n"/>
      <c r="AR750" s="620" t="n"/>
      <c r="AS750" s="620" t="n"/>
      <c r="AT750" s="1218">
        <f>AT747/AT362</f>
        <v/>
      </c>
      <c r="AU750" s="620" t="n"/>
      <c r="AV750" s="620" t="n"/>
      <c r="AW750" s="620" t="n"/>
      <c r="AX750" s="620" t="n"/>
      <c r="AY750" s="1218">
        <f>AY747/AY362</f>
        <v/>
      </c>
      <c r="AZ750" s="620" t="n"/>
      <c r="BA750" s="620" t="n"/>
      <c r="BB750" s="620" t="n"/>
      <c r="BC750" s="620" t="n"/>
      <c r="BD750" s="1218">
        <f>BD747/BD362</f>
        <v/>
      </c>
      <c r="BE750" s="620" t="n"/>
      <c r="BF750" s="620" t="n"/>
      <c r="BG750" s="620" t="n"/>
      <c r="BH750" s="620" t="n"/>
      <c r="BI750" s="1218">
        <f>BI747/BI362</f>
        <v/>
      </c>
      <c r="BJ750" s="620" t="n"/>
      <c r="BK750" s="620" t="n"/>
      <c r="BL750" s="620" t="n"/>
      <c r="BM750" s="620" t="n"/>
      <c r="BN750" s="1218">
        <f>BN747/BN362</f>
        <v/>
      </c>
      <c r="BO750" s="620" t="n"/>
      <c r="BP750" s="620" t="n"/>
      <c r="BQ750" s="620" t="n"/>
      <c r="BR750" s="620" t="n"/>
      <c r="BS750" s="1218">
        <f>BS747/BS362</f>
        <v/>
      </c>
      <c r="BT750" s="620" t="n"/>
      <c r="BU750" s="620" t="n"/>
      <c r="BV750" s="924" t="n"/>
      <c r="BW750" s="620" t="n"/>
      <c r="BX750" s="1218">
        <f>BX747/BX362</f>
        <v/>
      </c>
      <c r="BY750" s="620" t="n"/>
      <c r="BZ750" s="620" t="n"/>
      <c r="CA750" s="620" t="n"/>
      <c r="CB750" s="620" t="n"/>
      <c r="CC750" s="1218">
        <f>CC747/CC362</f>
        <v/>
      </c>
      <c r="CD750" s="1218">
        <f>CD747/CD362</f>
        <v/>
      </c>
      <c r="CE750" s="1218">
        <f>CE747/CE362</f>
        <v/>
      </c>
      <c r="CF750" s="1218">
        <f>CF747/CF362</f>
        <v/>
      </c>
      <c r="CG750" s="155" t="n"/>
    </row>
    <row r="751">
      <c r="A751" s="485">
        <f>"EV/EBITDA - "&amp;MO.ValuationToggle</f>
        <v/>
      </c>
      <c r="B751" s="619" t="n"/>
      <c r="C751" s="1218" t="n"/>
      <c r="D751" s="1219">
        <f>D747/D392</f>
        <v/>
      </c>
      <c r="E751" s="1219">
        <f>E747/E392</f>
        <v/>
      </c>
      <c r="F751" s="1219">
        <f>F747/F392</f>
        <v/>
      </c>
      <c r="G751" s="999" t="n"/>
      <c r="H751" s="999" t="n"/>
      <c r="I751" s="999" t="n"/>
      <c r="J751" s="999" t="n"/>
      <c r="K751" s="1219">
        <f>K747/K392</f>
        <v/>
      </c>
      <c r="L751" s="999" t="n"/>
      <c r="M751" s="999" t="n"/>
      <c r="N751" s="999" t="n"/>
      <c r="O751" s="999" t="n"/>
      <c r="P751" s="1219">
        <f>P747/P392</f>
        <v/>
      </c>
      <c r="Q751" s="999" t="n"/>
      <c r="R751" s="999" t="n"/>
      <c r="S751" s="999" t="n"/>
      <c r="T751" s="999" t="n"/>
      <c r="U751" s="1219">
        <f>U747/U392</f>
        <v/>
      </c>
      <c r="V751" s="999" t="n"/>
      <c r="W751" s="620" t="n"/>
      <c r="X751" s="620" t="n"/>
      <c r="Y751" s="620" t="n"/>
      <c r="Z751" s="1219">
        <f>Z747/Z392</f>
        <v/>
      </c>
      <c r="AA751" s="620" t="n"/>
      <c r="AB751" s="620" t="n"/>
      <c r="AC751" s="620" t="n"/>
      <c r="AD751" s="620" t="n"/>
      <c r="AE751" s="1219">
        <f>AE747/AE392</f>
        <v/>
      </c>
      <c r="AF751" s="620" t="n"/>
      <c r="AG751" s="620" t="n"/>
      <c r="AH751" s="620" t="n"/>
      <c r="AI751" s="620" t="n"/>
      <c r="AJ751" s="1219">
        <f>AJ747/AJ392</f>
        <v/>
      </c>
      <c r="AK751" s="620" t="n"/>
      <c r="AL751" s="620" t="n"/>
      <c r="AM751" s="620" t="n"/>
      <c r="AN751" s="620" t="n"/>
      <c r="AO751" s="1219">
        <f>AO747/AO392</f>
        <v/>
      </c>
      <c r="AP751" s="620" t="n"/>
      <c r="AQ751" s="620" t="n"/>
      <c r="AR751" s="620" t="n"/>
      <c r="AS751" s="620" t="n"/>
      <c r="AT751" s="1219">
        <f>AT747/AT392</f>
        <v/>
      </c>
      <c r="AU751" s="620" t="n"/>
      <c r="AV751" s="620" t="n"/>
      <c r="AW751" s="620" t="n"/>
      <c r="AX751" s="620" t="n"/>
      <c r="AY751" s="1219">
        <f>AY747/AY392</f>
        <v/>
      </c>
      <c r="AZ751" s="620" t="n"/>
      <c r="BA751" s="620" t="n"/>
      <c r="BB751" s="620" t="n"/>
      <c r="BC751" s="620" t="n"/>
      <c r="BD751" s="1219">
        <f>BD747/BD392</f>
        <v/>
      </c>
      <c r="BE751" s="620" t="n"/>
      <c r="BF751" s="620" t="n"/>
      <c r="BG751" s="620" t="n"/>
      <c r="BH751" s="620" t="n"/>
      <c r="BI751" s="1219">
        <f>BI747/BI392</f>
        <v/>
      </c>
      <c r="BJ751" s="620" t="n"/>
      <c r="BK751" s="620" t="n"/>
      <c r="BL751" s="620" t="n"/>
      <c r="BM751" s="620" t="n"/>
      <c r="BN751" s="1219">
        <f>BN747/BN392</f>
        <v/>
      </c>
      <c r="BO751" s="620" t="n"/>
      <c r="BP751" s="620" t="n"/>
      <c r="BQ751" s="620" t="n"/>
      <c r="BR751" s="620" t="n"/>
      <c r="BS751" s="1219">
        <f>BS747/BS392</f>
        <v/>
      </c>
      <c r="BT751" s="620" t="n"/>
      <c r="BU751" s="620" t="n"/>
      <c r="BV751" s="924" t="n"/>
      <c r="BW751" s="620" t="n"/>
      <c r="BX751" s="1218">
        <f>BX747/BX392</f>
        <v/>
      </c>
      <c r="BY751" s="620" t="n"/>
      <c r="BZ751" s="620" t="n"/>
      <c r="CA751" s="620" t="n"/>
      <c r="CB751" s="620" t="n"/>
      <c r="CC751" s="1218">
        <f>CC747/CC392</f>
        <v/>
      </c>
      <c r="CD751" s="1218">
        <f>CD747/CD392</f>
        <v/>
      </c>
      <c r="CE751" s="1218">
        <f>CE747/CE392</f>
        <v/>
      </c>
      <c r="CF751" s="1218">
        <f>CF747/CF392</f>
        <v/>
      </c>
      <c r="CG751" s="155" t="n"/>
    </row>
    <row r="752">
      <c r="A752" s="485">
        <f>"P/CF - "&amp;MO.ValuationToggle</f>
        <v/>
      </c>
      <c r="B752" s="619" t="n"/>
      <c r="C752" s="1219">
        <f>C745/C699</f>
        <v/>
      </c>
      <c r="D752" s="1219">
        <f>D745/D699</f>
        <v/>
      </c>
      <c r="E752" s="1219">
        <f>E745/E699</f>
        <v/>
      </c>
      <c r="F752" s="1219">
        <f>F745/F699</f>
        <v/>
      </c>
      <c r="G752" s="999" t="n"/>
      <c r="H752" s="999" t="n"/>
      <c r="I752" s="999" t="n"/>
      <c r="J752" s="999" t="n"/>
      <c r="K752" s="1219">
        <f>K745/K699</f>
        <v/>
      </c>
      <c r="L752" s="999" t="n"/>
      <c r="M752" s="999" t="n"/>
      <c r="N752" s="999" t="n"/>
      <c r="O752" s="999" t="n"/>
      <c r="P752" s="1219">
        <f>P745/P699</f>
        <v/>
      </c>
      <c r="Q752" s="999" t="n"/>
      <c r="R752" s="999" t="n"/>
      <c r="S752" s="999" t="n"/>
      <c r="T752" s="999" t="n"/>
      <c r="U752" s="1219">
        <f>U745/U699</f>
        <v/>
      </c>
      <c r="V752" s="999" t="n"/>
      <c r="W752" s="620" t="n"/>
      <c r="X752" s="620" t="n"/>
      <c r="Y752" s="620" t="n"/>
      <c r="Z752" s="1219">
        <f>Z745/Z699</f>
        <v/>
      </c>
      <c r="AA752" s="620" t="n"/>
      <c r="AB752" s="620" t="n"/>
      <c r="AC752" s="620" t="n"/>
      <c r="AD752" s="620" t="n"/>
      <c r="AE752" s="1218">
        <f>AE745/AE699</f>
        <v/>
      </c>
      <c r="AF752" s="620" t="n"/>
      <c r="AG752" s="620" t="n"/>
      <c r="AH752" s="620" t="n"/>
      <c r="AI752" s="620" t="n"/>
      <c r="AJ752" s="1218">
        <f>AJ745/AJ699</f>
        <v/>
      </c>
      <c r="AK752" s="620" t="n"/>
      <c r="AL752" s="620" t="n"/>
      <c r="AM752" s="620" t="n"/>
      <c r="AN752" s="620" t="n"/>
      <c r="AO752" s="1218">
        <f>AO745/AO699</f>
        <v/>
      </c>
      <c r="AP752" s="620" t="n"/>
      <c r="AQ752" s="620" t="n"/>
      <c r="AR752" s="620" t="n"/>
      <c r="AS752" s="620" t="n"/>
      <c r="AT752" s="1218">
        <f>AT745/AT699</f>
        <v/>
      </c>
      <c r="AU752" s="620" t="n"/>
      <c r="AV752" s="620" t="n"/>
      <c r="AW752" s="620" t="n"/>
      <c r="AX752" s="620" t="n"/>
      <c r="AY752" s="1218">
        <f>AY745/AY699</f>
        <v/>
      </c>
      <c r="AZ752" s="620" t="n"/>
      <c r="BA752" s="620" t="n"/>
      <c r="BB752" s="620" t="n"/>
      <c r="BC752" s="620" t="n"/>
      <c r="BD752" s="1218">
        <f>BD745/BD699</f>
        <v/>
      </c>
      <c r="BE752" s="620" t="n"/>
      <c r="BF752" s="620" t="n"/>
      <c r="BG752" s="620" t="n"/>
      <c r="BH752" s="620" t="n"/>
      <c r="BI752" s="1218">
        <f>BI745/BI699</f>
        <v/>
      </c>
      <c r="BJ752" s="620" t="n"/>
      <c r="BK752" s="620" t="n"/>
      <c r="BL752" s="620" t="n"/>
      <c r="BM752" s="620" t="n"/>
      <c r="BN752" s="1218">
        <f>BN745/BN699</f>
        <v/>
      </c>
      <c r="BO752" s="620" t="n"/>
      <c r="BP752" s="620" t="n"/>
      <c r="BQ752" s="620" t="n"/>
      <c r="BR752" s="620" t="n"/>
      <c r="BS752" s="1218">
        <f>BS745/BS699</f>
        <v/>
      </c>
      <c r="BT752" s="620" t="n"/>
      <c r="BU752" s="620" t="n"/>
      <c r="BV752" s="924" t="n"/>
      <c r="BW752" s="620" t="n"/>
      <c r="BX752" s="1218">
        <f>BX745/BX699</f>
        <v/>
      </c>
      <c r="BY752" s="620" t="n"/>
      <c r="BZ752" s="620" t="n"/>
      <c r="CA752" s="620" t="n"/>
      <c r="CB752" s="620" t="n"/>
      <c r="CC752" s="1218">
        <f>CC745/CC699</f>
        <v/>
      </c>
      <c r="CD752" s="1218">
        <f>CD745/CD699</f>
        <v/>
      </c>
      <c r="CE752" s="1218">
        <f>CE745/CE699</f>
        <v/>
      </c>
      <c r="CF752" s="1218">
        <f>CF745/CF699</f>
        <v/>
      </c>
      <c r="CG752" s="155" t="n"/>
    </row>
    <row r="753">
      <c r="A753" s="42">
        <f>"FCF Yield % to "&amp;MO.ValuationToggle&amp;" Market Cap"</f>
        <v/>
      </c>
      <c r="B753" s="202" t="n"/>
      <c r="C753" s="1220">
        <f>C720/C746</f>
        <v/>
      </c>
      <c r="D753" s="1220">
        <f>D720/D746</f>
        <v/>
      </c>
      <c r="E753" s="1220">
        <f>E720/E746</f>
        <v/>
      </c>
      <c r="F753" s="1220">
        <f>F720/F746</f>
        <v/>
      </c>
      <c r="G753" s="594" t="n"/>
      <c r="H753" s="594" t="n"/>
      <c r="I753" s="594" t="n"/>
      <c r="J753" s="594" t="n"/>
      <c r="K753" s="1220">
        <f>K720/K746</f>
        <v/>
      </c>
      <c r="L753" s="594" t="n"/>
      <c r="M753" s="594" t="n"/>
      <c r="N753" s="594" t="n"/>
      <c r="O753" s="594" t="n"/>
      <c r="P753" s="1220">
        <f>P720/P746</f>
        <v/>
      </c>
      <c r="Q753" s="594" t="n"/>
      <c r="R753" s="594" t="n"/>
      <c r="S753" s="594" t="n"/>
      <c r="T753" s="594" t="n"/>
      <c r="U753" s="1220">
        <f>U720/U746</f>
        <v/>
      </c>
      <c r="V753" s="594" t="n"/>
      <c r="W753" s="594" t="n"/>
      <c r="X753" s="594" t="n"/>
      <c r="Y753" s="594" t="n"/>
      <c r="Z753" s="1220">
        <f>Z720/Z746</f>
        <v/>
      </c>
      <c r="AA753" s="594" t="n"/>
      <c r="AB753" s="594" t="n"/>
      <c r="AC753" s="594" t="n"/>
      <c r="AD753" s="594" t="n"/>
      <c r="AE753" s="1221">
        <f>AE720/AE746</f>
        <v/>
      </c>
      <c r="AF753" s="594" t="n"/>
      <c r="AG753" s="594" t="n"/>
      <c r="AH753" s="594" t="n"/>
      <c r="AI753" s="594" t="n"/>
      <c r="AJ753" s="1221">
        <f>AJ720/AJ746</f>
        <v/>
      </c>
      <c r="AK753" s="594" t="n"/>
      <c r="AL753" s="594" t="n"/>
      <c r="AM753" s="594" t="n"/>
      <c r="AN753" s="594" t="n"/>
      <c r="AO753" s="1221">
        <f>AO720/AO746</f>
        <v/>
      </c>
      <c r="AP753" s="594" t="n"/>
      <c r="AQ753" s="594" t="n"/>
      <c r="AR753" s="594" t="n"/>
      <c r="AS753" s="594" t="n"/>
      <c r="AT753" s="1221">
        <f>AT720/AT746</f>
        <v/>
      </c>
      <c r="AU753" s="594" t="n"/>
      <c r="AV753" s="594" t="n"/>
      <c r="AW753" s="594" t="n"/>
      <c r="AX753" s="594" t="n"/>
      <c r="AY753" s="1221">
        <f>AY720/AY746</f>
        <v/>
      </c>
      <c r="AZ753" s="594" t="n"/>
      <c r="BA753" s="594" t="n"/>
      <c r="BB753" s="594" t="n"/>
      <c r="BC753" s="594" t="n"/>
      <c r="BD753" s="1221">
        <f>BD720/BD746</f>
        <v/>
      </c>
      <c r="BE753" s="594" t="n"/>
      <c r="BF753" s="594" t="n"/>
      <c r="BG753" s="594" t="n"/>
      <c r="BH753" s="594" t="n"/>
      <c r="BI753" s="1221">
        <f>BI720/BI746</f>
        <v/>
      </c>
      <c r="BJ753" s="594" t="n"/>
      <c r="BK753" s="594" t="n"/>
      <c r="BL753" s="594" t="n"/>
      <c r="BM753" s="594" t="n"/>
      <c r="BN753" s="1221">
        <f>BN720/BN746</f>
        <v/>
      </c>
      <c r="BO753" s="594" t="n"/>
      <c r="BP753" s="594" t="n"/>
      <c r="BQ753" s="594" t="n"/>
      <c r="BR753" s="594" t="n"/>
      <c r="BS753" s="1221">
        <f>BS720/BS746</f>
        <v/>
      </c>
      <c r="BT753" s="594" t="n"/>
      <c r="BU753" s="594" t="n"/>
      <c r="BV753" s="732" t="n"/>
      <c r="BW753" s="594" t="n"/>
      <c r="BX753" s="1221">
        <f>BX720/BX746</f>
        <v/>
      </c>
      <c r="BY753" s="594" t="n"/>
      <c r="BZ753" s="594" t="n"/>
      <c r="CA753" s="594" t="n"/>
      <c r="CB753" s="594" t="n"/>
      <c r="CC753" s="1221">
        <f>CC720/CC746</f>
        <v/>
      </c>
      <c r="CD753" s="1221">
        <f>CD720/CD746</f>
        <v/>
      </c>
      <c r="CE753" s="1221">
        <f>CE720/CE746</f>
        <v/>
      </c>
      <c r="CF753" s="1221">
        <f>CF720/CF746</f>
        <v/>
      </c>
      <c r="CG753" s="155" t="n"/>
    </row>
    <row r="754">
      <c r="A754" s="42">
        <f>"FCF Yield % to "&amp;MO.ValuationToggle&amp;" Enterprise Value"</f>
        <v/>
      </c>
      <c r="B754" s="202" t="n"/>
      <c r="C754" s="1220">
        <f>C720/C747</f>
        <v/>
      </c>
      <c r="D754" s="1220">
        <f>D720/D747</f>
        <v/>
      </c>
      <c r="E754" s="1220">
        <f>E720/E747</f>
        <v/>
      </c>
      <c r="F754" s="1220">
        <f>F720/F747</f>
        <v/>
      </c>
      <c r="G754" s="594" t="n"/>
      <c r="H754" s="594" t="n"/>
      <c r="I754" s="594" t="n"/>
      <c r="J754" s="594" t="n"/>
      <c r="K754" s="1220">
        <f>K720/K747</f>
        <v/>
      </c>
      <c r="L754" s="594" t="n"/>
      <c r="M754" s="594" t="n"/>
      <c r="N754" s="594" t="n"/>
      <c r="O754" s="594" t="n"/>
      <c r="P754" s="1220">
        <f>P720/P747</f>
        <v/>
      </c>
      <c r="Q754" s="594" t="n"/>
      <c r="R754" s="594" t="n"/>
      <c r="S754" s="594" t="n"/>
      <c r="T754" s="594" t="n"/>
      <c r="U754" s="1220">
        <f>U720/U747</f>
        <v/>
      </c>
      <c r="V754" s="594" t="n"/>
      <c r="W754" s="594" t="n"/>
      <c r="X754" s="594" t="n"/>
      <c r="Y754" s="594" t="n"/>
      <c r="Z754" s="1220">
        <f>Z720/Z747</f>
        <v/>
      </c>
      <c r="AA754" s="594" t="n"/>
      <c r="AB754" s="594" t="n"/>
      <c r="AC754" s="594" t="n"/>
      <c r="AD754" s="594" t="n"/>
      <c r="AE754" s="1221">
        <f>AE720/AE747</f>
        <v/>
      </c>
      <c r="AF754" s="594" t="n"/>
      <c r="AG754" s="594" t="n"/>
      <c r="AH754" s="594" t="n"/>
      <c r="AI754" s="594" t="n"/>
      <c r="AJ754" s="1221">
        <f>AJ720/AJ747</f>
        <v/>
      </c>
      <c r="AK754" s="594" t="n"/>
      <c r="AL754" s="594" t="n"/>
      <c r="AM754" s="594" t="n"/>
      <c r="AN754" s="594" t="n"/>
      <c r="AO754" s="1221">
        <f>AO720/AO747</f>
        <v/>
      </c>
      <c r="AP754" s="594" t="n"/>
      <c r="AQ754" s="594" t="n"/>
      <c r="AR754" s="594" t="n"/>
      <c r="AS754" s="594" t="n"/>
      <c r="AT754" s="1221">
        <f>AT720/AT747</f>
        <v/>
      </c>
      <c r="AU754" s="594" t="n"/>
      <c r="AV754" s="594" t="n"/>
      <c r="AW754" s="594" t="n"/>
      <c r="AX754" s="594" t="n"/>
      <c r="AY754" s="1221">
        <f>AY720/AY747</f>
        <v/>
      </c>
      <c r="AZ754" s="594" t="n"/>
      <c r="BA754" s="594" t="n"/>
      <c r="BB754" s="594" t="n"/>
      <c r="BC754" s="594" t="n"/>
      <c r="BD754" s="1221">
        <f>BD720/BD747</f>
        <v/>
      </c>
      <c r="BE754" s="594" t="n"/>
      <c r="BF754" s="594" t="n"/>
      <c r="BG754" s="594" t="n"/>
      <c r="BH754" s="594" t="n"/>
      <c r="BI754" s="1221">
        <f>BI720/BI747</f>
        <v/>
      </c>
      <c r="BJ754" s="594" t="n"/>
      <c r="BK754" s="594" t="n"/>
      <c r="BL754" s="594" t="n"/>
      <c r="BM754" s="594" t="n"/>
      <c r="BN754" s="1221">
        <f>BN720/BN747</f>
        <v/>
      </c>
      <c r="BO754" s="594" t="n"/>
      <c r="BP754" s="594" t="n"/>
      <c r="BQ754" s="594" t="n"/>
      <c r="BR754" s="594" t="n"/>
      <c r="BS754" s="1221">
        <f>BS720/BS747</f>
        <v/>
      </c>
      <c r="BT754" s="594" t="n"/>
      <c r="BU754" s="594" t="n"/>
      <c r="BV754" s="732" t="n"/>
      <c r="BW754" s="594" t="n"/>
      <c r="BX754" s="1221">
        <f>BX720/BX747</f>
        <v/>
      </c>
      <c r="BY754" s="594" t="n"/>
      <c r="BZ754" s="594" t="n"/>
      <c r="CA754" s="594" t="n"/>
      <c r="CB754" s="594" t="n"/>
      <c r="CC754" s="1221">
        <f>CC720/CC747</f>
        <v/>
      </c>
      <c r="CD754" s="1221">
        <f>CD720/CD747</f>
        <v/>
      </c>
      <c r="CE754" s="1221">
        <f>CE720/CE747</f>
        <v/>
      </c>
      <c r="CF754" s="1221">
        <f>CF720/CF747</f>
        <v/>
      </c>
      <c r="CG754" s="155" t="n"/>
    </row>
    <row r="755" hidden="1" outlineLevel="1">
      <c r="A755" s="621" t="n"/>
      <c r="B755" s="202" t="n"/>
      <c r="C755" s="1221" t="n"/>
      <c r="D755" s="1221" t="n"/>
      <c r="E755" s="1221" t="n"/>
      <c r="F755" s="1221" t="n"/>
      <c r="G755" s="594" t="n"/>
      <c r="H755" s="594" t="n"/>
      <c r="I755" s="594" t="n"/>
      <c r="J755" s="594" t="n"/>
      <c r="K755" s="1221" t="n"/>
      <c r="L755" s="594" t="n"/>
      <c r="M755" s="594" t="n"/>
      <c r="N755" s="594" t="n"/>
      <c r="O755" s="594" t="n"/>
      <c r="P755" s="1221" t="n"/>
      <c r="Q755" s="594" t="n"/>
      <c r="R755" s="594" t="n"/>
      <c r="S755" s="594" t="n"/>
      <c r="T755" s="594" t="n"/>
      <c r="U755" s="1221" t="n"/>
      <c r="V755" s="594" t="n"/>
      <c r="W755" s="594" t="n"/>
      <c r="X755" s="594" t="n"/>
      <c r="Y755" s="594" t="n"/>
      <c r="Z755" s="1221" t="n"/>
      <c r="AA755" s="594" t="n"/>
      <c r="AB755" s="594" t="n"/>
      <c r="AC755" s="594" t="n"/>
      <c r="AD755" s="594" t="n"/>
      <c r="AE755" s="1221" t="n"/>
      <c r="AF755" s="594" t="n"/>
      <c r="AG755" s="594" t="n"/>
      <c r="AH755" s="594" t="n"/>
      <c r="AI755" s="594" t="n"/>
      <c r="AJ755" s="1221" t="n"/>
      <c r="AK755" s="594" t="n"/>
      <c r="AL755" s="594" t="n"/>
      <c r="AM755" s="594" t="n"/>
      <c r="AN755" s="594" t="n"/>
      <c r="AO755" s="1221" t="n"/>
      <c r="AP755" s="594" t="n"/>
      <c r="AQ755" s="594" t="n"/>
      <c r="AR755" s="594" t="n"/>
      <c r="AS755" s="594" t="n"/>
      <c r="AT755" s="1221" t="n"/>
      <c r="AU755" s="594" t="n"/>
      <c r="AV755" s="594" t="n"/>
      <c r="AW755" s="594" t="n"/>
      <c r="AX755" s="594" t="n"/>
      <c r="AY755" s="1221" t="n"/>
      <c r="AZ755" s="594" t="n"/>
      <c r="BA755" s="594" t="n"/>
      <c r="BB755" s="594" t="n"/>
      <c r="BC755" s="594" t="n"/>
      <c r="BD755" s="1221" t="n"/>
      <c r="BE755" s="594" t="n"/>
      <c r="BF755" s="594" t="n"/>
      <c r="BG755" s="594" t="n"/>
      <c r="BH755" s="594" t="n"/>
      <c r="BI755" s="1221" t="n"/>
      <c r="BJ755" s="594" t="n"/>
      <c r="BK755" s="594" t="n"/>
      <c r="BL755" s="594" t="n"/>
      <c r="BM755" s="594" t="n"/>
      <c r="BN755" s="1221" t="n"/>
      <c r="BO755" s="594" t="n"/>
      <c r="BP755" s="594" t="n"/>
      <c r="BQ755" s="594" t="n"/>
      <c r="BR755" s="594" t="n"/>
      <c r="BS755" s="1221" t="n"/>
      <c r="BT755" s="594" t="n"/>
      <c r="BU755" s="594" t="n"/>
      <c r="BV755" s="732" t="n"/>
      <c r="BW755" s="594" t="n"/>
      <c r="BX755" s="1221" t="n"/>
      <c r="BY755" s="594" t="n"/>
      <c r="BZ755" s="594" t="n"/>
      <c r="CA755" s="594" t="n"/>
      <c r="CB755" s="594" t="n"/>
      <c r="CC755" s="1221" t="n"/>
      <c r="CD755" s="1221" t="n"/>
      <c r="CE755" s="1221" t="n"/>
      <c r="CF755" s="1221" t="n"/>
      <c r="CG755" s="155" t="n"/>
    </row>
    <row r="756" hidden="1" outlineLevel="1">
      <c r="A756" s="230">
        <f>"Stock High, "&amp;HP.TradeCurrency</f>
        <v/>
      </c>
      <c r="B756" s="622" t="n"/>
      <c r="C756" s="1222">
        <f>IF(INDEX(MO_SNA_IsHistoricalPeriod,1,COLUMN())=FALSE,0,INDEX(MO_SPT_StockHigh,1,COLUMN()))</f>
        <v/>
      </c>
      <c r="D756" s="1222">
        <f>IF(INDEX(MO_SNA_IsHistoricalPeriod,1,COLUMN())=FALSE,0,INDEX(MO_SPT_StockHigh,1,COLUMN()))</f>
        <v/>
      </c>
      <c r="E756" s="1222">
        <f>IF(INDEX(MO_SNA_IsHistoricalPeriod,1,COLUMN())=FALSE,0,INDEX(MO_SPT_StockHigh,1,COLUMN()))</f>
        <v/>
      </c>
      <c r="F756" s="1222">
        <f>IF(INDEX(MO_SNA_IsHistoricalPeriod,1,COLUMN())=FALSE,0,INDEX(MO_SPT_StockHigh,1,COLUMN()))</f>
        <v/>
      </c>
      <c r="G756" s="299">
        <f>IF(INDEX(MO_SNA_IsHistoricalPeriod,1,COLUMN())=FALSE,0,INDEX(MO_SPT_StockHigh,1,COLUMN()))</f>
        <v/>
      </c>
      <c r="H756" s="299">
        <f>IF(INDEX(MO_SNA_IsHistoricalPeriod,1,COLUMN())=FALSE,0,INDEX(MO_SPT_StockHigh,1,COLUMN()))</f>
        <v/>
      </c>
      <c r="I756" s="299">
        <f>IF(INDEX(MO_SNA_IsHistoricalPeriod,1,COLUMN())=FALSE,0,INDEX(MO_SPT_StockHigh,1,COLUMN()))</f>
        <v/>
      </c>
      <c r="J756" s="299">
        <f>IF(INDEX(MO_SNA_IsHistoricalPeriod,1,COLUMN())=FALSE,0,INDEX(MO_SPT_StockHigh,1,COLUMN()))</f>
        <v/>
      </c>
      <c r="K756" s="1222">
        <f>IF(INDEX(MO_SNA_IsHistoricalPeriod,1,COLUMN())=FALSE,0,INDEX(MO_SPT_StockHigh,1,COLUMN()))</f>
        <v/>
      </c>
      <c r="L756" s="299">
        <f>IF(INDEX(MO_SNA_IsHistoricalPeriod,1,COLUMN())=FALSE,0,INDEX(MO_SPT_StockHigh,1,COLUMN()))</f>
        <v/>
      </c>
      <c r="M756" s="299">
        <f>IF(INDEX(MO_SNA_IsHistoricalPeriod,1,COLUMN())=FALSE,0,INDEX(MO_SPT_StockHigh,1,COLUMN()))</f>
        <v/>
      </c>
      <c r="N756" s="299">
        <f>IF(INDEX(MO_SNA_IsHistoricalPeriod,1,COLUMN())=FALSE,0,INDEX(MO_SPT_StockHigh,1,COLUMN()))</f>
        <v/>
      </c>
      <c r="O756" s="299">
        <f>IF(INDEX(MO_SNA_IsHistoricalPeriod,1,COLUMN())=FALSE,0,INDEX(MO_SPT_StockHigh,1,COLUMN()))</f>
        <v/>
      </c>
      <c r="P756" s="1222">
        <f>IF(INDEX(MO_SNA_IsHistoricalPeriod,1,COLUMN())=FALSE,0,INDEX(MO_SPT_StockHigh,1,COLUMN()))</f>
        <v/>
      </c>
      <c r="Q756" s="299">
        <f>IF(INDEX(MO_SNA_IsHistoricalPeriod,1,COLUMN())=FALSE,0,INDEX(MO_SPT_StockHigh,1,COLUMN()))</f>
        <v/>
      </c>
      <c r="R756" s="299">
        <f>IF(INDEX(MO_SNA_IsHistoricalPeriod,1,COLUMN())=FALSE,0,INDEX(MO_SPT_StockHigh,1,COLUMN()))</f>
        <v/>
      </c>
      <c r="S756" s="299">
        <f>IF(INDEX(MO_SNA_IsHistoricalPeriod,1,COLUMN())=FALSE,0,INDEX(MO_SPT_StockHigh,1,COLUMN()))</f>
        <v/>
      </c>
      <c r="T756" s="299">
        <f>IF(INDEX(MO_SNA_IsHistoricalPeriod,1,COLUMN())=FALSE,0,INDEX(MO_SPT_StockHigh,1,COLUMN()))</f>
        <v/>
      </c>
      <c r="U756" s="1222">
        <f>IF(INDEX(MO_SNA_IsHistoricalPeriod,1,COLUMN())=FALSE,0,INDEX(MO_SPT_StockHigh,1,COLUMN()))</f>
        <v/>
      </c>
      <c r="V756" s="299">
        <f>IF(INDEX(MO_SNA_IsHistoricalPeriod,1,COLUMN())=FALSE,0,INDEX(MO_SPT_StockHigh,1,COLUMN()))</f>
        <v/>
      </c>
      <c r="W756" s="299">
        <f>IF(INDEX(MO_SNA_IsHistoricalPeriod,1,COLUMN())=FALSE,0,INDEX(MO_SPT_StockHigh,1,COLUMN()))</f>
        <v/>
      </c>
      <c r="X756" s="299">
        <f>IF(INDEX(MO_SNA_IsHistoricalPeriod,1,COLUMN())=FALSE,0,INDEX(MO_SPT_StockHigh,1,COLUMN()))</f>
        <v/>
      </c>
      <c r="Y756" s="299">
        <f>IF(INDEX(MO_SNA_IsHistoricalPeriod,1,COLUMN())=FALSE,0,INDEX(MO_SPT_StockHigh,1,COLUMN()))</f>
        <v/>
      </c>
      <c r="Z756" s="1223">
        <f>IF(INDEX(MO_SNA_IsHistoricalPeriod,1,COLUMN())=FALSE,0,INDEX(MO_SPT_StockHigh,1,COLUMN()))</f>
        <v/>
      </c>
      <c r="AA756" s="299">
        <f>IF(INDEX(MO_SNA_IsHistoricalPeriod,1,COLUMN())=FALSE,0,INDEX(MO_SPT_StockHigh,1,COLUMN()))</f>
        <v/>
      </c>
      <c r="AB756" s="299">
        <f>IF(INDEX(MO_SNA_IsHistoricalPeriod,1,COLUMN())=FALSE,0,INDEX(MO_SPT_StockHigh,1,COLUMN()))</f>
        <v/>
      </c>
      <c r="AC756" s="299">
        <f>IF(INDEX(MO_SNA_IsHistoricalPeriod,1,COLUMN())=FALSE,0,INDEX(MO_SPT_StockHigh,1,COLUMN()))</f>
        <v/>
      </c>
      <c r="AD756" s="299">
        <f>IF(INDEX(MO_SNA_IsHistoricalPeriod,1,COLUMN())=FALSE,0,INDEX(MO_SPT_StockHigh,1,COLUMN()))</f>
        <v/>
      </c>
      <c r="AE756" s="1224">
        <f>IF(INDEX(MO_SNA_IsHistoricalPeriod,1,COLUMN())=FALSE,0,INDEX(MO_SPT_StockHigh,1,COLUMN()))</f>
        <v/>
      </c>
      <c r="AF756" s="299">
        <f>IF(INDEX(MO_SNA_IsHistoricalPeriod,1,COLUMN())=FALSE,0,INDEX(MO_SPT_StockHigh,1,COLUMN()))</f>
        <v/>
      </c>
      <c r="AG756" s="299">
        <f>IF(INDEX(MO_SNA_IsHistoricalPeriod,1,COLUMN())=FALSE,0,INDEX(MO_SPT_StockHigh,1,COLUMN()))</f>
        <v/>
      </c>
      <c r="AH756" s="299">
        <f>IF(INDEX(MO_SNA_IsHistoricalPeriod,1,COLUMN())=FALSE,0,INDEX(MO_SPT_StockHigh,1,COLUMN()))</f>
        <v/>
      </c>
      <c r="AI756" s="299">
        <f>IF(INDEX(MO_SNA_IsHistoricalPeriod,1,COLUMN())=FALSE,0,INDEX(MO_SPT_StockHigh,1,COLUMN()))</f>
        <v/>
      </c>
      <c r="AJ756" s="1224">
        <f>IF(INDEX(MO_SNA_IsHistoricalPeriod,1,COLUMN())=FALSE,0,INDEX(MO_SPT_StockHigh,1,COLUMN()))</f>
        <v/>
      </c>
      <c r="AK756" s="299">
        <f>IF(INDEX(MO_SNA_IsHistoricalPeriod,1,COLUMN())=FALSE,0,INDEX(MO_SPT_StockHigh,1,COLUMN()))</f>
        <v/>
      </c>
      <c r="AL756" s="299">
        <f>IF(INDEX(MO_SNA_IsHistoricalPeriod,1,COLUMN())=FALSE,0,INDEX(MO_SPT_StockHigh,1,COLUMN()))</f>
        <v/>
      </c>
      <c r="AM756" s="299">
        <f>IF(INDEX(MO_SNA_IsHistoricalPeriod,1,COLUMN())=FALSE,0,INDEX(MO_SPT_StockHigh,1,COLUMN()))</f>
        <v/>
      </c>
      <c r="AN756" s="299">
        <f>IF(INDEX(MO_SNA_IsHistoricalPeriod,1,COLUMN())=FALSE,0,INDEX(MO_SPT_StockHigh,1,COLUMN()))</f>
        <v/>
      </c>
      <c r="AO756" s="1224">
        <f>IF(INDEX(MO_SNA_IsHistoricalPeriod,1,COLUMN())=FALSE,0,INDEX(MO_SPT_StockHigh,1,COLUMN()))</f>
        <v/>
      </c>
      <c r="AP756" s="299">
        <f>IF(INDEX(MO_SNA_IsHistoricalPeriod,1,COLUMN())=FALSE,0,INDEX(MO_SPT_StockHigh,1,COLUMN()))</f>
        <v/>
      </c>
      <c r="AQ756" s="299">
        <f>IF(INDEX(MO_SNA_IsHistoricalPeriod,1,COLUMN())=FALSE,0,INDEX(MO_SPT_StockHigh,1,COLUMN()))</f>
        <v/>
      </c>
      <c r="AR756" s="299">
        <f>IF(INDEX(MO_SNA_IsHistoricalPeriod,1,COLUMN())=FALSE,0,INDEX(MO_SPT_StockHigh,1,COLUMN()))</f>
        <v/>
      </c>
      <c r="AS756" s="299">
        <f>IF(INDEX(MO_SNA_IsHistoricalPeriod,1,COLUMN())=FALSE,0,INDEX(MO_SPT_StockHigh,1,COLUMN()))</f>
        <v/>
      </c>
      <c r="AT756" s="1224">
        <f>IF(INDEX(MO_SNA_IsHistoricalPeriod,1,COLUMN())=FALSE,0,INDEX(MO_SPT_StockHigh,1,COLUMN()))</f>
        <v/>
      </c>
      <c r="AU756" s="299">
        <f>IF(INDEX(MO_SNA_IsHistoricalPeriod,1,COLUMN())=FALSE,0,INDEX(MO_SPT_StockHigh,1,COLUMN()))</f>
        <v/>
      </c>
      <c r="AV756" s="299">
        <f>IF(INDEX(MO_SNA_IsHistoricalPeriod,1,COLUMN())=FALSE,0,INDEX(MO_SPT_StockHigh,1,COLUMN()))</f>
        <v/>
      </c>
      <c r="AW756" s="299">
        <f>IF(INDEX(MO_SNA_IsHistoricalPeriod,1,COLUMN())=FALSE,0,INDEX(MO_SPT_StockHigh,1,COLUMN()))</f>
        <v/>
      </c>
      <c r="AX756" s="299">
        <f>IF(INDEX(MO_SNA_IsHistoricalPeriod,1,COLUMN())=FALSE,0,INDEX(MO_SPT_StockHigh,1,COLUMN()))</f>
        <v/>
      </c>
      <c r="AY756" s="1224">
        <f>IF(INDEX(MO_SNA_IsHistoricalPeriod,1,COLUMN())=FALSE,0,INDEX(MO_SPT_StockHigh,1,COLUMN()))</f>
        <v/>
      </c>
      <c r="AZ756" s="299">
        <f>IF(INDEX(MO_SNA_IsHistoricalPeriod,1,COLUMN())=FALSE,0,INDEX(MO_SPT_StockHigh,1,COLUMN()))</f>
        <v/>
      </c>
      <c r="BA756" s="299">
        <f>IF(INDEX(MO_SNA_IsHistoricalPeriod,1,COLUMN())=FALSE,0,INDEX(MO_SPT_StockHigh,1,COLUMN()))</f>
        <v/>
      </c>
      <c r="BB756" s="299">
        <f>IF(INDEX(MO_SNA_IsHistoricalPeriod,1,COLUMN())=FALSE,0,INDEX(MO_SPT_StockHigh,1,COLUMN()))</f>
        <v/>
      </c>
      <c r="BC756" s="299">
        <f>IF(INDEX(MO_SNA_IsHistoricalPeriod,1,COLUMN())=FALSE,0,INDEX(MO_SPT_StockHigh,1,COLUMN()))</f>
        <v/>
      </c>
      <c r="BD756" s="1224">
        <f>IF(INDEX(MO_SNA_IsHistoricalPeriod,1,COLUMN())=FALSE,0,INDEX(MO_SPT_StockHigh,1,COLUMN()))</f>
        <v/>
      </c>
      <c r="BE756" s="299">
        <f>IF(INDEX(MO_SNA_IsHistoricalPeriod,1,COLUMN())=FALSE,0,INDEX(MO_SPT_StockHigh,1,COLUMN()))</f>
        <v/>
      </c>
      <c r="BF756" s="299">
        <f>IF(INDEX(MO_SNA_IsHistoricalPeriod,1,COLUMN())=FALSE,0,INDEX(MO_SPT_StockHigh,1,COLUMN()))</f>
        <v/>
      </c>
      <c r="BG756" s="299">
        <f>IF(INDEX(MO_SNA_IsHistoricalPeriod,1,COLUMN())=FALSE,0,INDEX(MO_SPT_StockHigh,1,COLUMN()))</f>
        <v/>
      </c>
      <c r="BH756" s="299">
        <f>IF(INDEX(MO_SNA_IsHistoricalPeriod,1,COLUMN())=FALSE,0,INDEX(MO_SPT_StockHigh,1,COLUMN()))</f>
        <v/>
      </c>
      <c r="BI756" s="1224">
        <f>IF(INDEX(MO_SNA_IsHistoricalPeriod,1,COLUMN())=FALSE,0,INDEX(MO_SPT_StockHigh,1,COLUMN()))</f>
        <v/>
      </c>
      <c r="BJ756" s="299">
        <f>IF(INDEX(MO_SNA_IsHistoricalPeriod,1,COLUMN())=FALSE,0,INDEX(MO_SPT_StockHigh,1,COLUMN()))</f>
        <v/>
      </c>
      <c r="BK756" s="299">
        <f>IF(INDEX(MO_SNA_IsHistoricalPeriod,1,COLUMN())=FALSE,0,INDEX(MO_SPT_StockHigh,1,COLUMN()))</f>
        <v/>
      </c>
      <c r="BL756" s="299">
        <f>IF(INDEX(MO_SNA_IsHistoricalPeriod,1,COLUMN())=FALSE,0,INDEX(MO_SPT_StockHigh,1,COLUMN()))</f>
        <v/>
      </c>
      <c r="BM756" s="299">
        <f>IF(INDEX(MO_SNA_IsHistoricalPeriod,1,COLUMN())=FALSE,0,INDEX(MO_SPT_StockHigh,1,COLUMN()))</f>
        <v/>
      </c>
      <c r="BN756" s="1224">
        <f>IF(INDEX(MO_SNA_IsHistoricalPeriod,1,COLUMN())=FALSE,0,INDEX(MO_SPT_StockHigh,1,COLUMN()))</f>
        <v/>
      </c>
      <c r="BO756" s="299">
        <f>IF(INDEX(MO_SNA_IsHistoricalPeriod,1,COLUMN())=FALSE,0,INDEX(MO_SPT_StockHigh,1,COLUMN()))</f>
        <v/>
      </c>
      <c r="BP756" s="299">
        <f>IF(INDEX(MO_SNA_IsHistoricalPeriod,1,COLUMN())=FALSE,0,INDEX(MO_SPT_StockHigh,1,COLUMN()))</f>
        <v/>
      </c>
      <c r="BQ756" s="299">
        <f>IF(INDEX(MO_SNA_IsHistoricalPeriod,1,COLUMN())=FALSE,0,INDEX(MO_SPT_StockHigh,1,COLUMN()))</f>
        <v/>
      </c>
      <c r="BR756" s="299">
        <f>IF(INDEX(MO_SNA_IsHistoricalPeriod,1,COLUMN())=FALSE,0,INDEX(MO_SPT_StockHigh,1,COLUMN()))</f>
        <v/>
      </c>
      <c r="BS756" s="1224">
        <f>IF(INDEX(MO_SNA_IsHistoricalPeriod,1,COLUMN())=FALSE,0,INDEX(MO_SPT_StockHigh,1,COLUMN()))</f>
        <v/>
      </c>
      <c r="BT756" s="299">
        <f>IF(INDEX(MO_SNA_IsHistoricalPeriod,1,COLUMN())=FALSE,0,INDEX(MO_SPT_StockHigh,1,COLUMN()))</f>
        <v/>
      </c>
      <c r="BU756" s="299">
        <f>IF(INDEX(MO_SNA_IsHistoricalPeriod,1,COLUMN())=FALSE,0,INDEX(MO_SPT_StockHigh,1,COLUMN()))</f>
        <v/>
      </c>
      <c r="BV756" s="925">
        <f>IF(INDEX(MO_SNA_IsHistoricalPeriod,1,COLUMN())=FALSE,0,INDEX(MO_SPT_StockHigh,1,COLUMN()))</f>
        <v/>
      </c>
      <c r="BW756" s="723">
        <f>IF(INDEX(MO_SNA_IsHistoricalPeriod,1,COLUMN())=FALSE,0,INDEX(MO_SPT_StockHigh,1,COLUMN()))</f>
        <v/>
      </c>
      <c r="BX756" s="1224">
        <f>IF(INDEX(MO_SNA_IsHistoricalPeriod,1,COLUMN())=FALSE,0,INDEX(MO_SPT_StockHigh,1,COLUMN()))</f>
        <v/>
      </c>
      <c r="BY756" s="723">
        <f>IF(INDEX(MO_SNA_IsHistoricalPeriod,1,COLUMN())=FALSE,0,INDEX(MO_SPT_StockHigh,1,COLUMN()))</f>
        <v/>
      </c>
      <c r="BZ756" s="723">
        <f>IF(INDEX(MO_SNA_IsHistoricalPeriod,1,COLUMN())=FALSE,0,INDEX(MO_SPT_StockHigh,1,COLUMN()))</f>
        <v/>
      </c>
      <c r="CA756" s="723">
        <f>IF(INDEX(MO_SNA_IsHistoricalPeriod,1,COLUMN())=FALSE,0,INDEX(MO_SPT_StockHigh,1,COLUMN()))</f>
        <v/>
      </c>
      <c r="CB756" s="723">
        <f>IF(INDEX(MO_SNA_IsHistoricalPeriod,1,COLUMN())=FALSE,0,INDEX(MO_SPT_StockHigh,1,COLUMN()))</f>
        <v/>
      </c>
      <c r="CC756" s="1224">
        <f>IF(INDEX(MO_SNA_IsHistoricalPeriod,1,COLUMN())=FALSE,0,INDEX(MO_SPT_StockHigh,1,COLUMN()))</f>
        <v/>
      </c>
      <c r="CD756" s="1224">
        <f>IF(INDEX(MO_SNA_IsHistoricalPeriod,1,COLUMN())=FALSE,0,INDEX(MO_SPT_StockHigh,1,COLUMN()))</f>
        <v/>
      </c>
      <c r="CE756" s="1224">
        <f>IF(INDEX(MO_SNA_IsHistoricalPeriod,1,COLUMN())=FALSE,0,INDEX(MO_SPT_StockHigh,1,COLUMN()))</f>
        <v/>
      </c>
      <c r="CF756" s="1224">
        <f>IF(INDEX(MO_SNA_IsHistoricalPeriod,1,COLUMN())=FALSE,0,INDEX(MO_SPT_StockHigh,1,COLUMN()))</f>
        <v/>
      </c>
      <c r="CG756" s="155" t="n"/>
    </row>
    <row r="757" hidden="1" outlineLevel="1">
      <c r="A757" s="230">
        <f>"Stock Low, "&amp;HP.TradeCurrency</f>
        <v/>
      </c>
      <c r="B757" s="622" t="n"/>
      <c r="C757" s="1222">
        <f>IF(INDEX(MO_SNA_IsHistoricalPeriod,1,COLUMN())=FALSE,0,INDEX(MO_SPT_StockLow,1,COLUMN()))</f>
        <v/>
      </c>
      <c r="D757" s="1222">
        <f>IF(INDEX(MO_SNA_IsHistoricalPeriod,1,COLUMN())=FALSE,0,INDEX(MO_SPT_StockLow,1,COLUMN()))</f>
        <v/>
      </c>
      <c r="E757" s="1222">
        <f>IF(INDEX(MO_SNA_IsHistoricalPeriod,1,COLUMN())=FALSE,0,INDEX(MO_SPT_StockLow,1,COLUMN()))</f>
        <v/>
      </c>
      <c r="F757" s="1222">
        <f>IF(INDEX(MO_SNA_IsHistoricalPeriod,1,COLUMN())=FALSE,0,INDEX(MO_SPT_StockLow,1,COLUMN()))</f>
        <v/>
      </c>
      <c r="G757" s="299">
        <f>IF(INDEX(MO_SNA_IsHistoricalPeriod,1,COLUMN())=FALSE,0,INDEX(MO_SPT_StockLow,1,COLUMN()))</f>
        <v/>
      </c>
      <c r="H757" s="299">
        <f>IF(INDEX(MO_SNA_IsHistoricalPeriod,1,COLUMN())=FALSE,0,INDEX(MO_SPT_StockLow,1,COLUMN()))</f>
        <v/>
      </c>
      <c r="I757" s="299">
        <f>IF(INDEX(MO_SNA_IsHistoricalPeriod,1,COLUMN())=FALSE,0,INDEX(MO_SPT_StockLow,1,COLUMN()))</f>
        <v/>
      </c>
      <c r="J757" s="299">
        <f>IF(INDEX(MO_SNA_IsHistoricalPeriod,1,COLUMN())=FALSE,0,INDEX(MO_SPT_StockLow,1,COLUMN()))</f>
        <v/>
      </c>
      <c r="K757" s="1222">
        <f>IF(INDEX(MO_SNA_IsHistoricalPeriod,1,COLUMN())=FALSE,0,INDEX(MO_SPT_StockLow,1,COLUMN()))</f>
        <v/>
      </c>
      <c r="L757" s="299">
        <f>IF(INDEX(MO_SNA_IsHistoricalPeriod,1,COLUMN())=FALSE,0,INDEX(MO_SPT_StockLow,1,COLUMN()))</f>
        <v/>
      </c>
      <c r="M757" s="299">
        <f>IF(INDEX(MO_SNA_IsHistoricalPeriod,1,COLUMN())=FALSE,0,INDEX(MO_SPT_StockLow,1,COLUMN()))</f>
        <v/>
      </c>
      <c r="N757" s="299">
        <f>IF(INDEX(MO_SNA_IsHistoricalPeriod,1,COLUMN())=FALSE,0,INDEX(MO_SPT_StockLow,1,COLUMN()))</f>
        <v/>
      </c>
      <c r="O757" s="299">
        <f>IF(INDEX(MO_SNA_IsHistoricalPeriod,1,COLUMN())=FALSE,0,INDEX(MO_SPT_StockLow,1,COLUMN()))</f>
        <v/>
      </c>
      <c r="P757" s="1222">
        <f>IF(INDEX(MO_SNA_IsHistoricalPeriod,1,COLUMN())=FALSE,0,INDEX(MO_SPT_StockLow,1,COLUMN()))</f>
        <v/>
      </c>
      <c r="Q757" s="299">
        <f>IF(INDEX(MO_SNA_IsHistoricalPeriod,1,COLUMN())=FALSE,0,INDEX(MO_SPT_StockLow,1,COLUMN()))</f>
        <v/>
      </c>
      <c r="R757" s="299">
        <f>IF(INDEX(MO_SNA_IsHistoricalPeriod,1,COLUMN())=FALSE,0,INDEX(MO_SPT_StockLow,1,COLUMN()))</f>
        <v/>
      </c>
      <c r="S757" s="299">
        <f>IF(INDEX(MO_SNA_IsHistoricalPeriod,1,COLUMN())=FALSE,0,INDEX(MO_SPT_StockLow,1,COLUMN()))</f>
        <v/>
      </c>
      <c r="T757" s="299">
        <f>IF(INDEX(MO_SNA_IsHistoricalPeriod,1,COLUMN())=FALSE,0,INDEX(MO_SPT_StockLow,1,COLUMN()))</f>
        <v/>
      </c>
      <c r="U757" s="1222">
        <f>IF(INDEX(MO_SNA_IsHistoricalPeriod,1,COLUMN())=FALSE,0,INDEX(MO_SPT_StockLow,1,COLUMN()))</f>
        <v/>
      </c>
      <c r="V757" s="299">
        <f>IF(INDEX(MO_SNA_IsHistoricalPeriod,1,COLUMN())=FALSE,0,INDEX(MO_SPT_StockLow,1,COLUMN()))</f>
        <v/>
      </c>
      <c r="W757" s="299">
        <f>IF(INDEX(MO_SNA_IsHistoricalPeriod,1,COLUMN())=FALSE,0,INDEX(MO_SPT_StockLow,1,COLUMN()))</f>
        <v/>
      </c>
      <c r="X757" s="299">
        <f>IF(INDEX(MO_SNA_IsHistoricalPeriod,1,COLUMN())=FALSE,0,INDEX(MO_SPT_StockLow,1,COLUMN()))</f>
        <v/>
      </c>
      <c r="Y757" s="299">
        <f>IF(INDEX(MO_SNA_IsHistoricalPeriod,1,COLUMN())=FALSE,0,INDEX(MO_SPT_StockLow,1,COLUMN()))</f>
        <v/>
      </c>
      <c r="Z757" s="1223">
        <f>IF(INDEX(MO_SNA_IsHistoricalPeriod,1,COLUMN())=FALSE,0,INDEX(MO_SPT_StockLow,1,COLUMN()))</f>
        <v/>
      </c>
      <c r="AA757" s="299">
        <f>IF(INDEX(MO_SNA_IsHistoricalPeriod,1,COLUMN())=FALSE,0,INDEX(MO_SPT_StockLow,1,COLUMN()))</f>
        <v/>
      </c>
      <c r="AB757" s="299">
        <f>IF(INDEX(MO_SNA_IsHistoricalPeriod,1,COLUMN())=FALSE,0,INDEX(MO_SPT_StockLow,1,COLUMN()))</f>
        <v/>
      </c>
      <c r="AC757" s="299">
        <f>IF(INDEX(MO_SNA_IsHistoricalPeriod,1,COLUMN())=FALSE,0,INDEX(MO_SPT_StockLow,1,COLUMN()))</f>
        <v/>
      </c>
      <c r="AD757" s="299">
        <f>IF(INDEX(MO_SNA_IsHistoricalPeriod,1,COLUMN())=FALSE,0,INDEX(MO_SPT_StockLow,1,COLUMN()))</f>
        <v/>
      </c>
      <c r="AE757" s="1224">
        <f>IF(INDEX(MO_SNA_IsHistoricalPeriod,1,COLUMN())=FALSE,0,INDEX(MO_SPT_StockLow,1,COLUMN()))</f>
        <v/>
      </c>
      <c r="AF757" s="299">
        <f>IF(INDEX(MO_SNA_IsHistoricalPeriod,1,COLUMN())=FALSE,0,INDEX(MO_SPT_StockLow,1,COLUMN()))</f>
        <v/>
      </c>
      <c r="AG757" s="299">
        <f>IF(INDEX(MO_SNA_IsHistoricalPeriod,1,COLUMN())=FALSE,0,INDEX(MO_SPT_StockLow,1,COLUMN()))</f>
        <v/>
      </c>
      <c r="AH757" s="299">
        <f>IF(INDEX(MO_SNA_IsHistoricalPeriod,1,COLUMN())=FALSE,0,INDEX(MO_SPT_StockLow,1,COLUMN()))</f>
        <v/>
      </c>
      <c r="AI757" s="299">
        <f>IF(INDEX(MO_SNA_IsHistoricalPeriod,1,COLUMN())=FALSE,0,INDEX(MO_SPT_StockLow,1,COLUMN()))</f>
        <v/>
      </c>
      <c r="AJ757" s="1224">
        <f>IF(INDEX(MO_SNA_IsHistoricalPeriod,1,COLUMN())=FALSE,0,INDEX(MO_SPT_StockLow,1,COLUMN()))</f>
        <v/>
      </c>
      <c r="AK757" s="299">
        <f>IF(INDEX(MO_SNA_IsHistoricalPeriod,1,COLUMN())=FALSE,0,INDEX(MO_SPT_StockLow,1,COLUMN()))</f>
        <v/>
      </c>
      <c r="AL757" s="299">
        <f>IF(INDEX(MO_SNA_IsHistoricalPeriod,1,COLUMN())=FALSE,0,INDEX(MO_SPT_StockLow,1,COLUMN()))</f>
        <v/>
      </c>
      <c r="AM757" s="299">
        <f>IF(INDEX(MO_SNA_IsHistoricalPeriod,1,COLUMN())=FALSE,0,INDEX(MO_SPT_StockLow,1,COLUMN()))</f>
        <v/>
      </c>
      <c r="AN757" s="299">
        <f>IF(INDEX(MO_SNA_IsHistoricalPeriod,1,COLUMN())=FALSE,0,INDEX(MO_SPT_StockLow,1,COLUMN()))</f>
        <v/>
      </c>
      <c r="AO757" s="1224">
        <f>IF(INDEX(MO_SNA_IsHistoricalPeriod,1,COLUMN())=FALSE,0,INDEX(MO_SPT_StockLow,1,COLUMN()))</f>
        <v/>
      </c>
      <c r="AP757" s="299">
        <f>IF(INDEX(MO_SNA_IsHistoricalPeriod,1,COLUMN())=FALSE,0,INDEX(MO_SPT_StockLow,1,COLUMN()))</f>
        <v/>
      </c>
      <c r="AQ757" s="299">
        <f>IF(INDEX(MO_SNA_IsHistoricalPeriod,1,COLUMN())=FALSE,0,INDEX(MO_SPT_StockLow,1,COLUMN()))</f>
        <v/>
      </c>
      <c r="AR757" s="299">
        <f>IF(INDEX(MO_SNA_IsHistoricalPeriod,1,COLUMN())=FALSE,0,INDEX(MO_SPT_StockLow,1,COLUMN()))</f>
        <v/>
      </c>
      <c r="AS757" s="299">
        <f>IF(INDEX(MO_SNA_IsHistoricalPeriod,1,COLUMN())=FALSE,0,INDEX(MO_SPT_StockLow,1,COLUMN()))</f>
        <v/>
      </c>
      <c r="AT757" s="1224">
        <f>IF(INDEX(MO_SNA_IsHistoricalPeriod,1,COLUMN())=FALSE,0,INDEX(MO_SPT_StockLow,1,COLUMN()))</f>
        <v/>
      </c>
      <c r="AU757" s="299">
        <f>IF(INDEX(MO_SNA_IsHistoricalPeriod,1,COLUMN())=FALSE,0,INDEX(MO_SPT_StockLow,1,COLUMN()))</f>
        <v/>
      </c>
      <c r="AV757" s="299">
        <f>IF(INDEX(MO_SNA_IsHistoricalPeriod,1,COLUMN())=FALSE,0,INDEX(MO_SPT_StockLow,1,COLUMN()))</f>
        <v/>
      </c>
      <c r="AW757" s="299">
        <f>IF(INDEX(MO_SNA_IsHistoricalPeriod,1,COLUMN())=FALSE,0,INDEX(MO_SPT_StockLow,1,COLUMN()))</f>
        <v/>
      </c>
      <c r="AX757" s="299">
        <f>IF(INDEX(MO_SNA_IsHistoricalPeriod,1,COLUMN())=FALSE,0,INDEX(MO_SPT_StockLow,1,COLUMN()))</f>
        <v/>
      </c>
      <c r="AY757" s="1224">
        <f>IF(INDEX(MO_SNA_IsHistoricalPeriod,1,COLUMN())=FALSE,0,INDEX(MO_SPT_StockLow,1,COLUMN()))</f>
        <v/>
      </c>
      <c r="AZ757" s="299">
        <f>IF(INDEX(MO_SNA_IsHistoricalPeriod,1,COLUMN())=FALSE,0,INDEX(MO_SPT_StockLow,1,COLUMN()))</f>
        <v/>
      </c>
      <c r="BA757" s="299">
        <f>IF(INDEX(MO_SNA_IsHistoricalPeriod,1,COLUMN())=FALSE,0,INDEX(MO_SPT_StockLow,1,COLUMN()))</f>
        <v/>
      </c>
      <c r="BB757" s="299">
        <f>IF(INDEX(MO_SNA_IsHistoricalPeriod,1,COLUMN())=FALSE,0,INDEX(MO_SPT_StockLow,1,COLUMN()))</f>
        <v/>
      </c>
      <c r="BC757" s="299">
        <f>IF(INDEX(MO_SNA_IsHistoricalPeriod,1,COLUMN())=FALSE,0,INDEX(MO_SPT_StockLow,1,COLUMN()))</f>
        <v/>
      </c>
      <c r="BD757" s="1224">
        <f>IF(INDEX(MO_SNA_IsHistoricalPeriod,1,COLUMN())=FALSE,0,INDEX(MO_SPT_StockLow,1,COLUMN()))</f>
        <v/>
      </c>
      <c r="BE757" s="299">
        <f>IF(INDEX(MO_SNA_IsHistoricalPeriod,1,COLUMN())=FALSE,0,INDEX(MO_SPT_StockLow,1,COLUMN()))</f>
        <v/>
      </c>
      <c r="BF757" s="299">
        <f>IF(INDEX(MO_SNA_IsHistoricalPeriod,1,COLUMN())=FALSE,0,INDEX(MO_SPT_StockLow,1,COLUMN()))</f>
        <v/>
      </c>
      <c r="BG757" s="299">
        <f>IF(INDEX(MO_SNA_IsHistoricalPeriod,1,COLUMN())=FALSE,0,INDEX(MO_SPT_StockLow,1,COLUMN()))</f>
        <v/>
      </c>
      <c r="BH757" s="299">
        <f>IF(INDEX(MO_SNA_IsHistoricalPeriod,1,COLUMN())=FALSE,0,INDEX(MO_SPT_StockLow,1,COLUMN()))</f>
        <v/>
      </c>
      <c r="BI757" s="1224">
        <f>IF(INDEX(MO_SNA_IsHistoricalPeriod,1,COLUMN())=FALSE,0,INDEX(MO_SPT_StockLow,1,COLUMN()))</f>
        <v/>
      </c>
      <c r="BJ757" s="299">
        <f>IF(INDEX(MO_SNA_IsHistoricalPeriod,1,COLUMN())=FALSE,0,INDEX(MO_SPT_StockLow,1,COLUMN()))</f>
        <v/>
      </c>
      <c r="BK757" s="299">
        <f>IF(INDEX(MO_SNA_IsHistoricalPeriod,1,COLUMN())=FALSE,0,INDEX(MO_SPT_StockLow,1,COLUMN()))</f>
        <v/>
      </c>
      <c r="BL757" s="299">
        <f>IF(INDEX(MO_SNA_IsHistoricalPeriod,1,COLUMN())=FALSE,0,INDEX(MO_SPT_StockLow,1,COLUMN()))</f>
        <v/>
      </c>
      <c r="BM757" s="299">
        <f>IF(INDEX(MO_SNA_IsHistoricalPeriod,1,COLUMN())=FALSE,0,INDEX(MO_SPT_StockLow,1,COLUMN()))</f>
        <v/>
      </c>
      <c r="BN757" s="1224">
        <f>IF(INDEX(MO_SNA_IsHistoricalPeriod,1,COLUMN())=FALSE,0,INDEX(MO_SPT_StockLow,1,COLUMN()))</f>
        <v/>
      </c>
      <c r="BO757" s="299">
        <f>IF(INDEX(MO_SNA_IsHistoricalPeriod,1,COLUMN())=FALSE,0,INDEX(MO_SPT_StockLow,1,COLUMN()))</f>
        <v/>
      </c>
      <c r="BP757" s="299">
        <f>IF(INDEX(MO_SNA_IsHistoricalPeriod,1,COLUMN())=FALSE,0,INDEX(MO_SPT_StockLow,1,COLUMN()))</f>
        <v/>
      </c>
      <c r="BQ757" s="299">
        <f>IF(INDEX(MO_SNA_IsHistoricalPeriod,1,COLUMN())=FALSE,0,INDEX(MO_SPT_StockLow,1,COLUMN()))</f>
        <v/>
      </c>
      <c r="BR757" s="299">
        <f>IF(INDEX(MO_SNA_IsHistoricalPeriod,1,COLUMN())=FALSE,0,INDEX(MO_SPT_StockLow,1,COLUMN()))</f>
        <v/>
      </c>
      <c r="BS757" s="1224">
        <f>IF(INDEX(MO_SNA_IsHistoricalPeriod,1,COLUMN())=FALSE,0,INDEX(MO_SPT_StockLow,1,COLUMN()))</f>
        <v/>
      </c>
      <c r="BT757" s="299">
        <f>IF(INDEX(MO_SNA_IsHistoricalPeriod,1,COLUMN())=FALSE,0,INDEX(MO_SPT_StockLow,1,COLUMN()))</f>
        <v/>
      </c>
      <c r="BU757" s="299">
        <f>IF(INDEX(MO_SNA_IsHistoricalPeriod,1,COLUMN())=FALSE,0,INDEX(MO_SPT_StockLow,1,COLUMN()))</f>
        <v/>
      </c>
      <c r="BV757" s="925">
        <f>IF(INDEX(MO_SNA_IsHistoricalPeriod,1,COLUMN())=FALSE,0,INDEX(MO_SPT_StockLow,1,COLUMN()))</f>
        <v/>
      </c>
      <c r="BW757" s="723">
        <f>IF(INDEX(MO_SNA_IsHistoricalPeriod,1,COLUMN())=FALSE,0,INDEX(MO_SPT_StockLow,1,COLUMN()))</f>
        <v/>
      </c>
      <c r="BX757" s="1224">
        <f>IF(INDEX(MO_SNA_IsHistoricalPeriod,1,COLUMN())=FALSE,0,INDEX(MO_SPT_StockLow,1,COLUMN()))</f>
        <v/>
      </c>
      <c r="BY757" s="723">
        <f>IF(INDEX(MO_SNA_IsHistoricalPeriod,1,COLUMN())=FALSE,0,INDEX(MO_SPT_StockLow,1,COLUMN()))</f>
        <v/>
      </c>
      <c r="BZ757" s="723">
        <f>IF(INDEX(MO_SNA_IsHistoricalPeriod,1,COLUMN())=FALSE,0,INDEX(MO_SPT_StockLow,1,COLUMN()))</f>
        <v/>
      </c>
      <c r="CA757" s="723">
        <f>IF(INDEX(MO_SNA_IsHistoricalPeriod,1,COLUMN())=FALSE,0,INDEX(MO_SPT_StockLow,1,COLUMN()))</f>
        <v/>
      </c>
      <c r="CB757" s="723">
        <f>IF(INDEX(MO_SNA_IsHistoricalPeriod,1,COLUMN())=FALSE,0,INDEX(MO_SPT_StockLow,1,COLUMN()))</f>
        <v/>
      </c>
      <c r="CC757" s="1224">
        <f>IF(INDEX(MO_SNA_IsHistoricalPeriod,1,COLUMN())=FALSE,0,INDEX(MO_SPT_StockLow,1,COLUMN()))</f>
        <v/>
      </c>
      <c r="CD757" s="1224">
        <f>IF(INDEX(MO_SNA_IsHistoricalPeriod,1,COLUMN())=FALSE,0,INDEX(MO_SPT_StockLow,1,COLUMN()))</f>
        <v/>
      </c>
      <c r="CE757" s="1224">
        <f>IF(INDEX(MO_SNA_IsHistoricalPeriod,1,COLUMN())=FALSE,0,INDEX(MO_SPT_StockLow,1,COLUMN()))</f>
        <v/>
      </c>
      <c r="CF757" s="1224">
        <f>IF(INDEX(MO_SNA_IsHistoricalPeriod,1,COLUMN())=FALSE,0,INDEX(MO_SPT_StockLow,1,COLUMN()))</f>
        <v/>
      </c>
      <c r="CG757" s="155" t="n"/>
    </row>
    <row r="758" hidden="1" outlineLevel="1">
      <c r="A758" s="230">
        <f>"Stock Average, "&amp;HP.TradeCurrency</f>
        <v/>
      </c>
      <c r="B758" s="622" t="n"/>
      <c r="C758" s="1222">
        <f>IF(INDEX(MO_SNA_IsHistoricalPeriod,1,COLUMN())=FALSE,0,INDEX(MO_SPT_StockAverage,1,COLUMN()))</f>
        <v/>
      </c>
      <c r="D758" s="1222">
        <f>IF(INDEX(MO_SNA_IsHistoricalPeriod,1,COLUMN())=FALSE,0,INDEX(MO_SPT_StockAverage,1,COLUMN()))</f>
        <v/>
      </c>
      <c r="E758" s="1222">
        <f>IF(INDEX(MO_SNA_IsHistoricalPeriod,1,COLUMN())=FALSE,0,INDEX(MO_SPT_StockAverage,1,COLUMN()))</f>
        <v/>
      </c>
      <c r="F758" s="1222">
        <f>IF(INDEX(MO_SNA_IsHistoricalPeriod,1,COLUMN())=FALSE,0,INDEX(MO_SPT_StockAverage,1,COLUMN()))</f>
        <v/>
      </c>
      <c r="G758" s="299">
        <f>IF(INDEX(MO_SNA_IsHistoricalPeriod,1,COLUMN())=FALSE,0,INDEX(MO_SPT_StockAverage,1,COLUMN()))</f>
        <v/>
      </c>
      <c r="H758" s="299">
        <f>IF(INDEX(MO_SNA_IsHistoricalPeriod,1,COLUMN())=FALSE,0,INDEX(MO_SPT_StockAverage,1,COLUMN()))</f>
        <v/>
      </c>
      <c r="I758" s="299">
        <f>IF(INDEX(MO_SNA_IsHistoricalPeriod,1,COLUMN())=FALSE,0,INDEX(MO_SPT_StockAverage,1,COLUMN()))</f>
        <v/>
      </c>
      <c r="J758" s="299">
        <f>IF(INDEX(MO_SNA_IsHistoricalPeriod,1,COLUMN())=FALSE,0,INDEX(MO_SPT_StockAverage,1,COLUMN()))</f>
        <v/>
      </c>
      <c r="K758" s="1222">
        <f>IF(INDEX(MO_SNA_IsHistoricalPeriod,1,COLUMN())=FALSE,0,INDEX(MO_SPT_StockAverage,1,COLUMN()))</f>
        <v/>
      </c>
      <c r="L758" s="299">
        <f>IF(INDEX(MO_SNA_IsHistoricalPeriod,1,COLUMN())=FALSE,0,INDEX(MO_SPT_StockAverage,1,COLUMN()))</f>
        <v/>
      </c>
      <c r="M758" s="299">
        <f>IF(INDEX(MO_SNA_IsHistoricalPeriod,1,COLUMN())=FALSE,0,INDEX(MO_SPT_StockAverage,1,COLUMN()))</f>
        <v/>
      </c>
      <c r="N758" s="299">
        <f>IF(INDEX(MO_SNA_IsHistoricalPeriod,1,COLUMN())=FALSE,0,INDEX(MO_SPT_StockAverage,1,COLUMN()))</f>
        <v/>
      </c>
      <c r="O758" s="299">
        <f>IF(INDEX(MO_SNA_IsHistoricalPeriod,1,COLUMN())=FALSE,0,INDEX(MO_SPT_StockAverage,1,COLUMN()))</f>
        <v/>
      </c>
      <c r="P758" s="1222">
        <f>IF(INDEX(MO_SNA_IsHistoricalPeriod,1,COLUMN())=FALSE,0,INDEX(MO_SPT_StockAverage,1,COLUMN()))</f>
        <v/>
      </c>
      <c r="Q758" s="299">
        <f>IF(INDEX(MO_SNA_IsHistoricalPeriod,1,COLUMN())=FALSE,0,INDEX(MO_SPT_StockAverage,1,COLUMN()))</f>
        <v/>
      </c>
      <c r="R758" s="299">
        <f>IF(INDEX(MO_SNA_IsHistoricalPeriod,1,COLUMN())=FALSE,0,INDEX(MO_SPT_StockAverage,1,COLUMN()))</f>
        <v/>
      </c>
      <c r="S758" s="299">
        <f>IF(INDEX(MO_SNA_IsHistoricalPeriod,1,COLUMN())=FALSE,0,INDEX(MO_SPT_StockAverage,1,COLUMN()))</f>
        <v/>
      </c>
      <c r="T758" s="299">
        <f>IF(INDEX(MO_SNA_IsHistoricalPeriod,1,COLUMN())=FALSE,0,INDEX(MO_SPT_StockAverage,1,COLUMN()))</f>
        <v/>
      </c>
      <c r="U758" s="1222">
        <f>IF(INDEX(MO_SNA_IsHistoricalPeriod,1,COLUMN())=FALSE,0,INDEX(MO_SPT_StockAverage,1,COLUMN()))</f>
        <v/>
      </c>
      <c r="V758" s="299">
        <f>IF(INDEX(MO_SNA_IsHistoricalPeriod,1,COLUMN())=FALSE,0,INDEX(MO_SPT_StockAverage,1,COLUMN()))</f>
        <v/>
      </c>
      <c r="W758" s="299">
        <f>IF(INDEX(MO_SNA_IsHistoricalPeriod,1,COLUMN())=FALSE,0,INDEX(MO_SPT_StockAverage,1,COLUMN()))</f>
        <v/>
      </c>
      <c r="X758" s="299">
        <f>IF(INDEX(MO_SNA_IsHistoricalPeriod,1,COLUMN())=FALSE,0,INDEX(MO_SPT_StockAverage,1,COLUMN()))</f>
        <v/>
      </c>
      <c r="Y758" s="299">
        <f>IF(INDEX(MO_SNA_IsHistoricalPeriod,1,COLUMN())=FALSE,0,INDEX(MO_SPT_StockAverage,1,COLUMN()))</f>
        <v/>
      </c>
      <c r="Z758" s="1223">
        <f>IF(INDEX(MO_SNA_IsHistoricalPeriod,1,COLUMN())=FALSE,0,INDEX(MO_SPT_StockAverage,1,COLUMN()))</f>
        <v/>
      </c>
      <c r="AA758" s="299">
        <f>IF(INDEX(MO_SNA_IsHistoricalPeriod,1,COLUMN())=FALSE,0,INDEX(MO_SPT_StockAverage,1,COLUMN()))</f>
        <v/>
      </c>
      <c r="AB758" s="299">
        <f>IF(INDEX(MO_SNA_IsHistoricalPeriod,1,COLUMN())=FALSE,0,INDEX(MO_SPT_StockAverage,1,COLUMN()))</f>
        <v/>
      </c>
      <c r="AC758" s="299">
        <f>IF(INDEX(MO_SNA_IsHistoricalPeriod,1,COLUMN())=FALSE,0,INDEX(MO_SPT_StockAverage,1,COLUMN()))</f>
        <v/>
      </c>
      <c r="AD758" s="299">
        <f>IF(INDEX(MO_SNA_IsHistoricalPeriod,1,COLUMN())=FALSE,0,INDEX(MO_SPT_StockAverage,1,COLUMN()))</f>
        <v/>
      </c>
      <c r="AE758" s="1224">
        <f>IF(INDEX(MO_SNA_IsHistoricalPeriod,1,COLUMN())=FALSE,0,INDEX(MO_SPT_StockAverage,1,COLUMN()))</f>
        <v/>
      </c>
      <c r="AF758" s="299">
        <f>IF(INDEX(MO_SNA_IsHistoricalPeriod,1,COLUMN())=FALSE,0,INDEX(MO_SPT_StockAverage,1,COLUMN()))</f>
        <v/>
      </c>
      <c r="AG758" s="299">
        <f>IF(INDEX(MO_SNA_IsHistoricalPeriod,1,COLUMN())=FALSE,0,INDEX(MO_SPT_StockAverage,1,COLUMN()))</f>
        <v/>
      </c>
      <c r="AH758" s="299">
        <f>IF(INDEX(MO_SNA_IsHistoricalPeriod,1,COLUMN())=FALSE,0,INDEX(MO_SPT_StockAverage,1,COLUMN()))</f>
        <v/>
      </c>
      <c r="AI758" s="299">
        <f>IF(INDEX(MO_SNA_IsHistoricalPeriod,1,COLUMN())=FALSE,0,INDEX(MO_SPT_StockAverage,1,COLUMN()))</f>
        <v/>
      </c>
      <c r="AJ758" s="1224">
        <f>IF(INDEX(MO_SNA_IsHistoricalPeriod,1,COLUMN())=FALSE,0,INDEX(MO_SPT_StockAverage,1,COLUMN()))</f>
        <v/>
      </c>
      <c r="AK758" s="299">
        <f>IF(INDEX(MO_SNA_IsHistoricalPeriod,1,COLUMN())=FALSE,0,INDEX(MO_SPT_StockAverage,1,COLUMN()))</f>
        <v/>
      </c>
      <c r="AL758" s="299">
        <f>IF(INDEX(MO_SNA_IsHistoricalPeriod,1,COLUMN())=FALSE,0,INDEX(MO_SPT_StockAverage,1,COLUMN()))</f>
        <v/>
      </c>
      <c r="AM758" s="299">
        <f>IF(INDEX(MO_SNA_IsHistoricalPeriod,1,COLUMN())=FALSE,0,INDEX(MO_SPT_StockAverage,1,COLUMN()))</f>
        <v/>
      </c>
      <c r="AN758" s="299">
        <f>IF(INDEX(MO_SNA_IsHistoricalPeriod,1,COLUMN())=FALSE,0,INDEX(MO_SPT_StockAverage,1,COLUMN()))</f>
        <v/>
      </c>
      <c r="AO758" s="1224">
        <f>IF(INDEX(MO_SNA_IsHistoricalPeriod,1,COLUMN())=FALSE,0,INDEX(MO_SPT_StockAverage,1,COLUMN()))</f>
        <v/>
      </c>
      <c r="AP758" s="299">
        <f>IF(INDEX(MO_SNA_IsHistoricalPeriod,1,COLUMN())=FALSE,0,INDEX(MO_SPT_StockAverage,1,COLUMN()))</f>
        <v/>
      </c>
      <c r="AQ758" s="299">
        <f>IF(INDEX(MO_SNA_IsHistoricalPeriod,1,COLUMN())=FALSE,0,INDEX(MO_SPT_StockAverage,1,COLUMN()))</f>
        <v/>
      </c>
      <c r="AR758" s="299">
        <f>IF(INDEX(MO_SNA_IsHistoricalPeriod,1,COLUMN())=FALSE,0,INDEX(MO_SPT_StockAverage,1,COLUMN()))</f>
        <v/>
      </c>
      <c r="AS758" s="299">
        <f>IF(INDEX(MO_SNA_IsHistoricalPeriod,1,COLUMN())=FALSE,0,INDEX(MO_SPT_StockAverage,1,COLUMN()))</f>
        <v/>
      </c>
      <c r="AT758" s="1224">
        <f>IF(INDEX(MO_SNA_IsHistoricalPeriod,1,COLUMN())=FALSE,0,INDEX(MO_SPT_StockAverage,1,COLUMN()))</f>
        <v/>
      </c>
      <c r="AU758" s="299">
        <f>IF(INDEX(MO_SNA_IsHistoricalPeriod,1,COLUMN())=FALSE,0,INDEX(MO_SPT_StockAverage,1,COLUMN()))</f>
        <v/>
      </c>
      <c r="AV758" s="299">
        <f>IF(INDEX(MO_SNA_IsHistoricalPeriod,1,COLUMN())=FALSE,0,INDEX(MO_SPT_StockAverage,1,COLUMN()))</f>
        <v/>
      </c>
      <c r="AW758" s="299">
        <f>IF(INDEX(MO_SNA_IsHistoricalPeriod,1,COLUMN())=FALSE,0,INDEX(MO_SPT_StockAverage,1,COLUMN()))</f>
        <v/>
      </c>
      <c r="AX758" s="299">
        <f>IF(INDEX(MO_SNA_IsHistoricalPeriod,1,COLUMN())=FALSE,0,INDEX(MO_SPT_StockAverage,1,COLUMN()))</f>
        <v/>
      </c>
      <c r="AY758" s="1224">
        <f>IF(INDEX(MO_SNA_IsHistoricalPeriod,1,COLUMN())=FALSE,0,INDEX(MO_SPT_StockAverage,1,COLUMN()))</f>
        <v/>
      </c>
      <c r="AZ758" s="299">
        <f>IF(INDEX(MO_SNA_IsHistoricalPeriod,1,COLUMN())=FALSE,0,INDEX(MO_SPT_StockAverage,1,COLUMN()))</f>
        <v/>
      </c>
      <c r="BA758" s="299">
        <f>IF(INDEX(MO_SNA_IsHistoricalPeriod,1,COLUMN())=FALSE,0,INDEX(MO_SPT_StockAverage,1,COLUMN()))</f>
        <v/>
      </c>
      <c r="BB758" s="299">
        <f>IF(INDEX(MO_SNA_IsHistoricalPeriod,1,COLUMN())=FALSE,0,INDEX(MO_SPT_StockAverage,1,COLUMN()))</f>
        <v/>
      </c>
      <c r="BC758" s="299">
        <f>IF(INDEX(MO_SNA_IsHistoricalPeriod,1,COLUMN())=FALSE,0,INDEX(MO_SPT_StockAverage,1,COLUMN()))</f>
        <v/>
      </c>
      <c r="BD758" s="1224">
        <f>IF(INDEX(MO_SNA_IsHistoricalPeriod,1,COLUMN())=FALSE,0,INDEX(MO_SPT_StockAverage,1,COLUMN()))</f>
        <v/>
      </c>
      <c r="BE758" s="299">
        <f>IF(INDEX(MO_SNA_IsHistoricalPeriod,1,COLUMN())=FALSE,0,INDEX(MO_SPT_StockAverage,1,COLUMN()))</f>
        <v/>
      </c>
      <c r="BF758" s="299">
        <f>IF(INDEX(MO_SNA_IsHistoricalPeriod,1,COLUMN())=FALSE,0,INDEX(MO_SPT_StockAverage,1,COLUMN()))</f>
        <v/>
      </c>
      <c r="BG758" s="299">
        <f>IF(INDEX(MO_SNA_IsHistoricalPeriod,1,COLUMN())=FALSE,0,INDEX(MO_SPT_StockAverage,1,COLUMN()))</f>
        <v/>
      </c>
      <c r="BH758" s="299">
        <f>IF(INDEX(MO_SNA_IsHistoricalPeriod,1,COLUMN())=FALSE,0,INDEX(MO_SPT_StockAverage,1,COLUMN()))</f>
        <v/>
      </c>
      <c r="BI758" s="1224">
        <f>IF(INDEX(MO_SNA_IsHistoricalPeriod,1,COLUMN())=FALSE,0,INDEX(MO_SPT_StockAverage,1,COLUMN()))</f>
        <v/>
      </c>
      <c r="BJ758" s="299">
        <f>IF(INDEX(MO_SNA_IsHistoricalPeriod,1,COLUMN())=FALSE,0,INDEX(MO_SPT_StockAverage,1,COLUMN()))</f>
        <v/>
      </c>
      <c r="BK758" s="299">
        <f>IF(INDEX(MO_SNA_IsHistoricalPeriod,1,COLUMN())=FALSE,0,INDEX(MO_SPT_StockAverage,1,COLUMN()))</f>
        <v/>
      </c>
      <c r="BL758" s="299">
        <f>IF(INDEX(MO_SNA_IsHistoricalPeriod,1,COLUMN())=FALSE,0,INDEX(MO_SPT_StockAverage,1,COLUMN()))</f>
        <v/>
      </c>
      <c r="BM758" s="299">
        <f>IF(INDEX(MO_SNA_IsHistoricalPeriod,1,COLUMN())=FALSE,0,INDEX(MO_SPT_StockAverage,1,COLUMN()))</f>
        <v/>
      </c>
      <c r="BN758" s="1224">
        <f>IF(INDEX(MO_SNA_IsHistoricalPeriod,1,COLUMN())=FALSE,0,INDEX(MO_SPT_StockAverage,1,COLUMN()))</f>
        <v/>
      </c>
      <c r="BO758" s="299">
        <f>IF(INDEX(MO_SNA_IsHistoricalPeriod,1,COLUMN())=FALSE,0,INDEX(MO_SPT_StockAverage,1,COLUMN()))</f>
        <v/>
      </c>
      <c r="BP758" s="299">
        <f>IF(INDEX(MO_SNA_IsHistoricalPeriod,1,COLUMN())=FALSE,0,INDEX(MO_SPT_StockAverage,1,COLUMN()))</f>
        <v/>
      </c>
      <c r="BQ758" s="299">
        <f>IF(INDEX(MO_SNA_IsHistoricalPeriod,1,COLUMN())=FALSE,0,INDEX(MO_SPT_StockAverage,1,COLUMN()))</f>
        <v/>
      </c>
      <c r="BR758" s="299">
        <f>IF(INDEX(MO_SNA_IsHistoricalPeriod,1,COLUMN())=FALSE,0,INDEX(MO_SPT_StockAverage,1,COLUMN()))</f>
        <v/>
      </c>
      <c r="BS758" s="1224">
        <f>IF(INDEX(MO_SNA_IsHistoricalPeriod,1,COLUMN())=FALSE,0,INDEX(MO_SPT_StockAverage,1,COLUMN()))</f>
        <v/>
      </c>
      <c r="BT758" s="299">
        <f>IF(INDEX(MO_SNA_IsHistoricalPeriod,1,COLUMN())=FALSE,0,INDEX(MO_SPT_StockAverage,1,COLUMN()))</f>
        <v/>
      </c>
      <c r="BU758" s="299">
        <f>IF(INDEX(MO_SNA_IsHistoricalPeriod,1,COLUMN())=FALSE,0,INDEX(MO_SPT_StockAverage,1,COLUMN()))</f>
        <v/>
      </c>
      <c r="BV758" s="925">
        <f>IF(INDEX(MO_SNA_IsHistoricalPeriod,1,COLUMN())=FALSE,0,INDEX(MO_SPT_StockAverage,1,COLUMN()))</f>
        <v/>
      </c>
      <c r="BW758" s="723">
        <f>IF(INDEX(MO_SNA_IsHistoricalPeriod,1,COLUMN())=FALSE,0,INDEX(MO_SPT_StockAverage,1,COLUMN()))</f>
        <v/>
      </c>
      <c r="BX758" s="1224">
        <f>IF(INDEX(MO_SNA_IsHistoricalPeriod,1,COLUMN())=FALSE,0,INDEX(MO_SPT_StockAverage,1,COLUMN()))</f>
        <v/>
      </c>
      <c r="BY758" s="723">
        <f>IF(INDEX(MO_SNA_IsHistoricalPeriod,1,COLUMN())=FALSE,0,INDEX(MO_SPT_StockAverage,1,COLUMN()))</f>
        <v/>
      </c>
      <c r="BZ758" s="723">
        <f>IF(INDEX(MO_SNA_IsHistoricalPeriod,1,COLUMN())=FALSE,0,INDEX(MO_SPT_StockAverage,1,COLUMN()))</f>
        <v/>
      </c>
      <c r="CA758" s="723">
        <f>IF(INDEX(MO_SNA_IsHistoricalPeriod,1,COLUMN())=FALSE,0,INDEX(MO_SPT_StockAverage,1,COLUMN()))</f>
        <v/>
      </c>
      <c r="CB758" s="723">
        <f>IF(INDEX(MO_SNA_IsHistoricalPeriod,1,COLUMN())=FALSE,0,INDEX(MO_SPT_StockAverage,1,COLUMN()))</f>
        <v/>
      </c>
      <c r="CC758" s="1224">
        <f>IF(INDEX(MO_SNA_IsHistoricalPeriod,1,COLUMN())=FALSE,0,INDEX(MO_SPT_StockAverage,1,COLUMN()))</f>
        <v/>
      </c>
      <c r="CD758" s="1224">
        <f>IF(INDEX(MO_SNA_IsHistoricalPeriod,1,COLUMN())=FALSE,0,INDEX(MO_SPT_StockAverage,1,COLUMN()))</f>
        <v/>
      </c>
      <c r="CE758" s="1224">
        <f>IF(INDEX(MO_SNA_IsHistoricalPeriod,1,COLUMN())=FALSE,0,INDEX(MO_SPT_StockAverage,1,COLUMN()))</f>
        <v/>
      </c>
      <c r="CF758" s="1224">
        <f>IF(INDEX(MO_SNA_IsHistoricalPeriod,1,COLUMN())=FALSE,0,INDEX(MO_SPT_StockAverage,1,COLUMN()))</f>
        <v/>
      </c>
      <c r="CG758" s="155" t="n"/>
    </row>
    <row r="759" hidden="1" outlineLevel="1">
      <c r="A759" s="230">
        <f>"Stock EoP, "&amp;HP.TradeCurrency</f>
        <v/>
      </c>
      <c r="B759" s="622" t="n"/>
      <c r="C759" s="1428">
        <f>IF(INDEX(MO_SNA_IsHistoricalPeriod,1,COLUMN())=FALSE,MO.LastPrice,INDEX(MO_SPT_StockEoP,1,COLUMN()))</f>
        <v/>
      </c>
      <c r="D759" s="1428">
        <f>IF(INDEX(MO_SNA_IsHistoricalPeriod,1,COLUMN())=FALSE,MO.LastPrice,INDEX(MO_SPT_StockEoP,1,COLUMN()))</f>
        <v/>
      </c>
      <c r="E759" s="1428">
        <f>IF(INDEX(MO_SNA_IsHistoricalPeriod,1,COLUMN())=FALSE,MO.LastPrice,INDEX(MO_SPT_StockEoP,1,COLUMN()))</f>
        <v/>
      </c>
      <c r="F759" s="1428">
        <f>IF(INDEX(MO_SNA_IsHistoricalPeriod,1,COLUMN())=FALSE,MO.LastPrice,INDEX(MO_SPT_StockEoP,1,COLUMN()))</f>
        <v/>
      </c>
      <c r="G759" s="1429">
        <f>IF(INDEX(MO_SNA_IsHistoricalPeriod,1,COLUMN())=FALSE,MO.LastPrice,INDEX(MO_SPT_StockEoP,1,COLUMN()))</f>
        <v/>
      </c>
      <c r="H759" s="1429">
        <f>IF(INDEX(MO_SNA_IsHistoricalPeriod,1,COLUMN())=FALSE,MO.LastPrice,INDEX(MO_SPT_StockEoP,1,COLUMN()))</f>
        <v/>
      </c>
      <c r="I759" s="1429">
        <f>IF(INDEX(MO_SNA_IsHistoricalPeriod,1,COLUMN())=FALSE,MO.LastPrice,INDEX(MO_SPT_StockEoP,1,COLUMN()))</f>
        <v/>
      </c>
      <c r="J759" s="1429">
        <f>IF(INDEX(MO_SNA_IsHistoricalPeriod,1,COLUMN())=FALSE,MO.LastPrice,INDEX(MO_SPT_StockEoP,1,COLUMN()))</f>
        <v/>
      </c>
      <c r="K759" s="1428">
        <f>IF(INDEX(MO_SNA_IsHistoricalPeriod,1,COLUMN())=FALSE,MO.LastPrice,INDEX(MO_SPT_StockEoP,1,COLUMN()))</f>
        <v/>
      </c>
      <c r="L759" s="1429">
        <f>IF(INDEX(MO_SNA_IsHistoricalPeriod,1,COLUMN())=FALSE,MO.LastPrice,INDEX(MO_SPT_StockEoP,1,COLUMN()))</f>
        <v/>
      </c>
      <c r="M759" s="1429">
        <f>IF(INDEX(MO_SNA_IsHistoricalPeriod,1,COLUMN())=FALSE,MO.LastPrice,INDEX(MO_SPT_StockEoP,1,COLUMN()))</f>
        <v/>
      </c>
      <c r="N759" s="1429">
        <f>IF(INDEX(MO_SNA_IsHistoricalPeriod,1,COLUMN())=FALSE,MO.LastPrice,INDEX(MO_SPT_StockEoP,1,COLUMN()))</f>
        <v/>
      </c>
      <c r="O759" s="1429">
        <f>IF(INDEX(MO_SNA_IsHistoricalPeriod,1,COLUMN())=FALSE,MO.LastPrice,INDEX(MO_SPT_StockEoP,1,COLUMN()))</f>
        <v/>
      </c>
      <c r="P759" s="1428">
        <f>IF(INDEX(MO_SNA_IsHistoricalPeriod,1,COLUMN())=FALSE,MO.LastPrice,INDEX(MO_SPT_StockEoP,1,COLUMN()))</f>
        <v/>
      </c>
      <c r="Q759" s="1429">
        <f>IF(INDEX(MO_SNA_IsHistoricalPeriod,1,COLUMN())=FALSE,MO.LastPrice,INDEX(MO_SPT_StockEoP,1,COLUMN()))</f>
        <v/>
      </c>
      <c r="R759" s="1429">
        <f>IF(INDEX(MO_SNA_IsHistoricalPeriod,1,COLUMN())=FALSE,MO.LastPrice,INDEX(MO_SPT_StockEoP,1,COLUMN()))</f>
        <v/>
      </c>
      <c r="S759" s="1429">
        <f>IF(INDEX(MO_SNA_IsHistoricalPeriod,1,COLUMN())=FALSE,MO.LastPrice,INDEX(MO_SPT_StockEoP,1,COLUMN()))</f>
        <v/>
      </c>
      <c r="T759" s="1429">
        <f>IF(INDEX(MO_SNA_IsHistoricalPeriod,1,COLUMN())=FALSE,MO.LastPrice,INDEX(MO_SPT_StockEoP,1,COLUMN()))</f>
        <v/>
      </c>
      <c r="U759" s="1428">
        <f>IF(INDEX(MO_SNA_IsHistoricalPeriod,1,COLUMN())=FALSE,MO.LastPrice,INDEX(MO_SPT_StockEoP,1,COLUMN()))</f>
        <v/>
      </c>
      <c r="V759" s="1429">
        <f>IF(INDEX(MO_SNA_IsHistoricalPeriod,1,COLUMN())=FALSE,MO.LastPrice,INDEX(MO_SPT_StockEoP,1,COLUMN()))</f>
        <v/>
      </c>
      <c r="W759" s="1429">
        <f>IF(INDEX(MO_SNA_IsHistoricalPeriod,1,COLUMN())=FALSE,MO.LastPrice,INDEX(MO_SPT_StockEoP,1,COLUMN()))</f>
        <v/>
      </c>
      <c r="X759" s="1429">
        <f>IF(INDEX(MO_SNA_IsHistoricalPeriod,1,COLUMN())=FALSE,MO.LastPrice,INDEX(MO_SPT_StockEoP,1,COLUMN()))</f>
        <v/>
      </c>
      <c r="Y759" s="1429">
        <f>IF(INDEX(MO_SNA_IsHistoricalPeriod,1,COLUMN())=FALSE,MO.LastPrice,INDEX(MO_SPT_StockEoP,1,COLUMN()))</f>
        <v/>
      </c>
      <c r="Z759" s="1430">
        <f>IF(INDEX(MO_SNA_IsHistoricalPeriod,1,COLUMN())=FALSE,MO.LastPrice,INDEX(MO_SPT_StockEoP,1,COLUMN()))</f>
        <v/>
      </c>
      <c r="AA759" s="1429">
        <f>IF(INDEX(MO_SNA_IsHistoricalPeriod,1,COLUMN())=FALSE,MO.LastPrice,INDEX(MO_SPT_StockEoP,1,COLUMN()))</f>
        <v/>
      </c>
      <c r="AB759" s="1429">
        <f>IF(INDEX(MO_SNA_IsHistoricalPeriod,1,COLUMN())=FALSE,MO.LastPrice,INDEX(MO_SPT_StockEoP,1,COLUMN()))</f>
        <v/>
      </c>
      <c r="AC759" s="1429">
        <f>IF(INDEX(MO_SNA_IsHistoricalPeriod,1,COLUMN())=FALSE,MO.LastPrice,INDEX(MO_SPT_StockEoP,1,COLUMN()))</f>
        <v/>
      </c>
      <c r="AD759" s="1429">
        <f>IF(INDEX(MO_SNA_IsHistoricalPeriod,1,COLUMN())=FALSE,MO.LastPrice,INDEX(MO_SPT_StockEoP,1,COLUMN()))</f>
        <v/>
      </c>
      <c r="AE759" s="1431">
        <f>IF(INDEX(MO_SNA_IsHistoricalPeriod,1,COLUMN())=FALSE,MO.LastPrice,INDEX(MO_SPT_StockEoP,1,COLUMN()))</f>
        <v/>
      </c>
      <c r="AF759" s="1429">
        <f>IF(INDEX(MO_SNA_IsHistoricalPeriod,1,COLUMN())=FALSE,MO.LastPrice,INDEX(MO_SPT_StockEoP,1,COLUMN()))</f>
        <v/>
      </c>
      <c r="AG759" s="1429">
        <f>IF(INDEX(MO_SNA_IsHistoricalPeriod,1,COLUMN())=FALSE,MO.LastPrice,INDEX(MO_SPT_StockEoP,1,COLUMN()))</f>
        <v/>
      </c>
      <c r="AH759" s="1429">
        <f>IF(INDEX(MO_SNA_IsHistoricalPeriod,1,COLUMN())=FALSE,MO.LastPrice,INDEX(MO_SPT_StockEoP,1,COLUMN()))</f>
        <v/>
      </c>
      <c r="AI759" s="1429">
        <f>IF(INDEX(MO_SNA_IsHistoricalPeriod,1,COLUMN())=FALSE,MO.LastPrice,INDEX(MO_SPT_StockEoP,1,COLUMN()))</f>
        <v/>
      </c>
      <c r="AJ759" s="1431">
        <f>IF(INDEX(MO_SNA_IsHistoricalPeriod,1,COLUMN())=FALSE,MO.LastPrice,INDEX(MO_SPT_StockEoP,1,COLUMN()))</f>
        <v/>
      </c>
      <c r="AK759" s="1429">
        <f>IF(INDEX(MO_SNA_IsHistoricalPeriod,1,COLUMN())=FALSE,MO.LastPrice,INDEX(MO_SPT_StockEoP,1,COLUMN()))</f>
        <v/>
      </c>
      <c r="AL759" s="1429">
        <f>IF(INDEX(MO_SNA_IsHistoricalPeriod,1,COLUMN())=FALSE,MO.LastPrice,INDEX(MO_SPT_StockEoP,1,COLUMN()))</f>
        <v/>
      </c>
      <c r="AM759" s="1429">
        <f>IF(INDEX(MO_SNA_IsHistoricalPeriod,1,COLUMN())=FALSE,MO.LastPrice,INDEX(MO_SPT_StockEoP,1,COLUMN()))</f>
        <v/>
      </c>
      <c r="AN759" s="1429">
        <f>IF(INDEX(MO_SNA_IsHistoricalPeriod,1,COLUMN())=FALSE,MO.LastPrice,INDEX(MO_SPT_StockEoP,1,COLUMN()))</f>
        <v/>
      </c>
      <c r="AO759" s="1431">
        <f>IF(INDEX(MO_SNA_IsHistoricalPeriod,1,COLUMN())=FALSE,MO.LastPrice,INDEX(MO_SPT_StockEoP,1,COLUMN()))</f>
        <v/>
      </c>
      <c r="AP759" s="1429">
        <f>IF(INDEX(MO_SNA_IsHistoricalPeriod,1,COLUMN())=FALSE,MO.LastPrice,INDEX(MO_SPT_StockEoP,1,COLUMN()))</f>
        <v/>
      </c>
      <c r="AQ759" s="1429">
        <f>IF(INDEX(MO_SNA_IsHistoricalPeriod,1,COLUMN())=FALSE,MO.LastPrice,INDEX(MO_SPT_StockEoP,1,COLUMN()))</f>
        <v/>
      </c>
      <c r="AR759" s="1429">
        <f>IF(INDEX(MO_SNA_IsHistoricalPeriod,1,COLUMN())=FALSE,MO.LastPrice,INDEX(MO_SPT_StockEoP,1,COLUMN()))</f>
        <v/>
      </c>
      <c r="AS759" s="1429">
        <f>IF(INDEX(MO_SNA_IsHistoricalPeriod,1,COLUMN())=FALSE,MO.LastPrice,INDEX(MO_SPT_StockEoP,1,COLUMN()))</f>
        <v/>
      </c>
      <c r="AT759" s="1431">
        <f>IF(INDEX(MO_SNA_IsHistoricalPeriod,1,COLUMN())=FALSE,MO.LastPrice,INDEX(MO_SPT_StockEoP,1,COLUMN()))</f>
        <v/>
      </c>
      <c r="AU759" s="1429">
        <f>IF(INDEX(MO_SNA_IsHistoricalPeriod,1,COLUMN())=FALSE,MO.LastPrice,INDEX(MO_SPT_StockEoP,1,COLUMN()))</f>
        <v/>
      </c>
      <c r="AV759" s="1429">
        <f>IF(INDEX(MO_SNA_IsHistoricalPeriod,1,COLUMN())=FALSE,MO.LastPrice,INDEX(MO_SPT_StockEoP,1,COLUMN()))</f>
        <v/>
      </c>
      <c r="AW759" s="1429">
        <f>IF(INDEX(MO_SNA_IsHistoricalPeriod,1,COLUMN())=FALSE,MO.LastPrice,INDEX(MO_SPT_StockEoP,1,COLUMN()))</f>
        <v/>
      </c>
      <c r="AX759" s="1429">
        <f>IF(INDEX(MO_SNA_IsHistoricalPeriod,1,COLUMN())=FALSE,MO.LastPrice,INDEX(MO_SPT_StockEoP,1,COLUMN()))</f>
        <v/>
      </c>
      <c r="AY759" s="1431">
        <f>IF(INDEX(MO_SNA_IsHistoricalPeriod,1,COLUMN())=FALSE,MO.LastPrice,INDEX(MO_SPT_StockEoP,1,COLUMN()))</f>
        <v/>
      </c>
      <c r="AZ759" s="1429">
        <f>IF(INDEX(MO_SNA_IsHistoricalPeriod,1,COLUMN())=FALSE,MO.LastPrice,INDEX(MO_SPT_StockEoP,1,COLUMN()))</f>
        <v/>
      </c>
      <c r="BA759" s="1429">
        <f>IF(INDEX(MO_SNA_IsHistoricalPeriod,1,COLUMN())=FALSE,MO.LastPrice,INDEX(MO_SPT_StockEoP,1,COLUMN()))</f>
        <v/>
      </c>
      <c r="BB759" s="1429">
        <f>IF(INDEX(MO_SNA_IsHistoricalPeriod,1,COLUMN())=FALSE,MO.LastPrice,INDEX(MO_SPT_StockEoP,1,COLUMN()))</f>
        <v/>
      </c>
      <c r="BC759" s="1429">
        <f>IF(INDEX(MO_SNA_IsHistoricalPeriod,1,COLUMN())=FALSE,MO.LastPrice,INDEX(MO_SPT_StockEoP,1,COLUMN()))</f>
        <v/>
      </c>
      <c r="BD759" s="1431">
        <f>IF(INDEX(MO_SNA_IsHistoricalPeriod,1,COLUMN())=FALSE,MO.LastPrice,INDEX(MO_SPT_StockEoP,1,COLUMN()))</f>
        <v/>
      </c>
      <c r="BE759" s="1429">
        <f>IF(INDEX(MO_SNA_IsHistoricalPeriod,1,COLUMN())=FALSE,MO.LastPrice,INDEX(MO_SPT_StockEoP,1,COLUMN()))</f>
        <v/>
      </c>
      <c r="BF759" s="1429">
        <f>IF(INDEX(MO_SNA_IsHistoricalPeriod,1,COLUMN())=FALSE,MO.LastPrice,INDEX(MO_SPT_StockEoP,1,COLUMN()))</f>
        <v/>
      </c>
      <c r="BG759" s="1429">
        <f>IF(INDEX(MO_SNA_IsHistoricalPeriod,1,COLUMN())=FALSE,MO.LastPrice,INDEX(MO_SPT_StockEoP,1,COLUMN()))</f>
        <v/>
      </c>
      <c r="BH759" s="1429">
        <f>IF(INDEX(MO_SNA_IsHistoricalPeriod,1,COLUMN())=FALSE,MO.LastPrice,INDEX(MO_SPT_StockEoP,1,COLUMN()))</f>
        <v/>
      </c>
      <c r="BI759" s="1431">
        <f>IF(INDEX(MO_SNA_IsHistoricalPeriod,1,COLUMN())=FALSE,MO.LastPrice,INDEX(MO_SPT_StockEoP,1,COLUMN()))</f>
        <v/>
      </c>
      <c r="BJ759" s="1429">
        <f>IF(INDEX(MO_SNA_IsHistoricalPeriod,1,COLUMN())=FALSE,MO.LastPrice,INDEX(MO_SPT_StockEoP,1,COLUMN()))</f>
        <v/>
      </c>
      <c r="BK759" s="1429">
        <f>IF(INDEX(MO_SNA_IsHistoricalPeriod,1,COLUMN())=FALSE,MO.LastPrice,INDEX(MO_SPT_StockEoP,1,COLUMN()))</f>
        <v/>
      </c>
      <c r="BL759" s="1429">
        <f>IF(INDEX(MO_SNA_IsHistoricalPeriod,1,COLUMN())=FALSE,MO.LastPrice,INDEX(MO_SPT_StockEoP,1,COLUMN()))</f>
        <v/>
      </c>
      <c r="BM759" s="1429">
        <f>IF(INDEX(MO_SNA_IsHistoricalPeriod,1,COLUMN())=FALSE,MO.LastPrice,INDEX(MO_SPT_StockEoP,1,COLUMN()))</f>
        <v/>
      </c>
      <c r="BN759" s="1431">
        <f>IF(INDEX(MO_SNA_IsHistoricalPeriod,1,COLUMN())=FALSE,MO.LastPrice,INDEX(MO_SPT_StockEoP,1,COLUMN()))</f>
        <v/>
      </c>
      <c r="BO759" s="1429">
        <f>IF(INDEX(MO_SNA_IsHistoricalPeriod,1,COLUMN())=FALSE,MO.LastPrice,INDEX(MO_SPT_StockEoP,1,COLUMN()))</f>
        <v/>
      </c>
      <c r="BP759" s="1429">
        <f>IF(INDEX(MO_SNA_IsHistoricalPeriod,1,COLUMN())=FALSE,MO.LastPrice,INDEX(MO_SPT_StockEoP,1,COLUMN()))</f>
        <v/>
      </c>
      <c r="BQ759" s="1429">
        <f>IF(INDEX(MO_SNA_IsHistoricalPeriod,1,COLUMN())=FALSE,MO.LastPrice,INDEX(MO_SPT_StockEoP,1,COLUMN()))</f>
        <v/>
      </c>
      <c r="BR759" s="1429">
        <f>IF(INDEX(MO_SNA_IsHistoricalPeriod,1,COLUMN())=FALSE,MO.LastPrice,INDEX(MO_SPT_StockEoP,1,COLUMN()))</f>
        <v/>
      </c>
      <c r="BS759" s="1431">
        <f>IF(INDEX(MO_SNA_IsHistoricalPeriod,1,COLUMN())=FALSE,MO.LastPrice,INDEX(MO_SPT_StockEoP,1,COLUMN()))</f>
        <v/>
      </c>
      <c r="BT759" s="1429">
        <f>IF(INDEX(MO_SNA_IsHistoricalPeriod,1,COLUMN())=FALSE,MO.LastPrice,INDEX(MO_SPT_StockEoP,1,COLUMN()))</f>
        <v/>
      </c>
      <c r="BU759" s="1429">
        <f>IF(INDEX(MO_SNA_IsHistoricalPeriod,1,COLUMN())=FALSE,MO.LastPrice,INDEX(MO_SPT_StockEoP,1,COLUMN()))</f>
        <v/>
      </c>
      <c r="BV759" s="1432">
        <f>IF(INDEX(MO_SNA_IsHistoricalPeriod,1,COLUMN())=FALSE,MO.LastPrice,INDEX(MO_SPT_StockEoP,1,COLUMN()))</f>
        <v/>
      </c>
      <c r="BW759" s="1433">
        <f>IF(INDEX(MO_SNA_IsHistoricalPeriod,1,COLUMN())=FALSE,MO.LastPrice,INDEX(MO_SPT_StockEoP,1,COLUMN()))</f>
        <v/>
      </c>
      <c r="BX759" s="1431">
        <f>IF(INDEX(MO_SNA_IsHistoricalPeriod,1,COLUMN())=FALSE,MO.LastPrice,INDEX(MO_SPT_StockEoP,1,COLUMN()))</f>
        <v/>
      </c>
      <c r="BY759" s="1433">
        <f>IF(INDEX(MO_SNA_IsHistoricalPeriod,1,COLUMN())=FALSE,MO.LastPrice,INDEX(MO_SPT_StockEoP,1,COLUMN()))</f>
        <v/>
      </c>
      <c r="BZ759" s="1433">
        <f>IF(INDEX(MO_SNA_IsHistoricalPeriod,1,COLUMN())=FALSE,MO.LastPrice,INDEX(MO_SPT_StockEoP,1,COLUMN()))</f>
        <v/>
      </c>
      <c r="CA759" s="1433">
        <f>IF(INDEX(MO_SNA_IsHistoricalPeriod,1,COLUMN())=FALSE,MO.LastPrice,INDEX(MO_SPT_StockEoP,1,COLUMN()))</f>
        <v/>
      </c>
      <c r="CB759" s="1433">
        <f>IF(INDEX(MO_SNA_IsHistoricalPeriod,1,COLUMN())=FALSE,MO.LastPrice,INDEX(MO_SPT_StockEoP,1,COLUMN()))</f>
        <v/>
      </c>
      <c r="CC759" s="1431">
        <f>IF(INDEX(MO_SNA_IsHistoricalPeriod,1,COLUMN())=FALSE,MO.LastPrice,INDEX(MO_SPT_StockEoP,1,COLUMN()))</f>
        <v/>
      </c>
      <c r="CD759" s="1431">
        <f>IF(INDEX(MO_SNA_IsHistoricalPeriod,1,COLUMN())=FALSE,MO.LastPrice,INDEX(MO_SPT_StockEoP,1,COLUMN()))</f>
        <v/>
      </c>
      <c r="CE759" s="1431">
        <f>IF(INDEX(MO_SNA_IsHistoricalPeriod,1,COLUMN())=FALSE,MO.LastPrice,INDEX(MO_SPT_StockEoP,1,COLUMN()))</f>
        <v/>
      </c>
      <c r="CF759" s="1431">
        <f>IF(INDEX(MO_SNA_IsHistoricalPeriod,1,COLUMN())=FALSE,MO.LastPrice,INDEX(MO_SPT_StockEoP,1,COLUMN()))</f>
        <v/>
      </c>
      <c r="CG759" s="155" t="n"/>
    </row>
    <row r="760" hidden="1" outlineLevel="1">
      <c r="A760" s="271">
        <f>"Average FX Rate, "&amp;HP.TradeCurrency&amp;"/"&amp;MO.ReportCurrency</f>
        <v/>
      </c>
      <c r="B760" s="623" t="n"/>
      <c r="C760" s="1228">
        <f>IF(INDEX(MO_SPT_FXAverage,1,COLUMN())=0,1,INDEX(MO_SPT_FXAverage,1,COLUMN()))</f>
        <v/>
      </c>
      <c r="D760" s="1228">
        <f>IF(INDEX(MO_SPT_FXAverage,1,COLUMN())=0,1,INDEX(MO_SPT_FXAverage,1,COLUMN()))</f>
        <v/>
      </c>
      <c r="E760" s="1228">
        <f>IF(INDEX(MO_SPT_FXAverage,1,COLUMN())=0,1,INDEX(MO_SPT_FXAverage,1,COLUMN()))</f>
        <v/>
      </c>
      <c r="F760" s="1228">
        <f>IF(INDEX(MO_SPT_FXAverage,1,COLUMN())=0,1,INDEX(MO_SPT_FXAverage,1,COLUMN()))</f>
        <v/>
      </c>
      <c r="G760" s="488">
        <f>IF(INDEX(MO_SPT_FXAverage,1,COLUMN())=0,1,INDEX(MO_SPT_FXAverage,1,COLUMN()))</f>
        <v/>
      </c>
      <c r="H760" s="488">
        <f>IF(INDEX(MO_SPT_FXAverage,1,COLUMN())=0,1,INDEX(MO_SPT_FXAverage,1,COLUMN()))</f>
        <v/>
      </c>
      <c r="I760" s="488">
        <f>IF(INDEX(MO_SPT_FXAverage,1,COLUMN())=0,1,INDEX(MO_SPT_FXAverage,1,COLUMN()))</f>
        <v/>
      </c>
      <c r="J760" s="488">
        <f>IF(INDEX(MO_SPT_FXAverage,1,COLUMN())=0,1,INDEX(MO_SPT_FXAverage,1,COLUMN()))</f>
        <v/>
      </c>
      <c r="K760" s="1228">
        <f>IF(INDEX(MO_SPT_FXAverage,1,COLUMN())=0,1,INDEX(MO_SPT_FXAverage,1,COLUMN()))</f>
        <v/>
      </c>
      <c r="L760" s="488">
        <f>IF(INDEX(MO_SPT_FXAverage,1,COLUMN())=0,1,INDEX(MO_SPT_FXAverage,1,COLUMN()))</f>
        <v/>
      </c>
      <c r="M760" s="488">
        <f>IF(INDEX(MO_SPT_FXAverage,1,COLUMN())=0,1,INDEX(MO_SPT_FXAverage,1,COLUMN()))</f>
        <v/>
      </c>
      <c r="N760" s="488">
        <f>IF(INDEX(MO_SPT_FXAverage,1,COLUMN())=0,1,INDEX(MO_SPT_FXAverage,1,COLUMN()))</f>
        <v/>
      </c>
      <c r="O760" s="488">
        <f>IF(INDEX(MO_SPT_FXAverage,1,COLUMN())=0,1,INDEX(MO_SPT_FXAverage,1,COLUMN()))</f>
        <v/>
      </c>
      <c r="P760" s="1228">
        <f>IF(INDEX(MO_SPT_FXAverage,1,COLUMN())=0,1,INDEX(MO_SPT_FXAverage,1,COLUMN()))</f>
        <v/>
      </c>
      <c r="Q760" s="488">
        <f>IF(INDEX(MO_SPT_FXAverage,1,COLUMN())=0,1,INDEX(MO_SPT_FXAverage,1,COLUMN()))</f>
        <v/>
      </c>
      <c r="R760" s="488">
        <f>IF(INDEX(MO_SPT_FXAverage,1,COLUMN())=0,1,INDEX(MO_SPT_FXAverage,1,COLUMN()))</f>
        <v/>
      </c>
      <c r="S760" s="488">
        <f>IF(INDEX(MO_SPT_FXAverage,1,COLUMN())=0,1,INDEX(MO_SPT_FXAverage,1,COLUMN()))</f>
        <v/>
      </c>
      <c r="T760" s="488">
        <f>IF(INDEX(MO_SPT_FXAverage,1,COLUMN())=0,1,INDEX(MO_SPT_FXAverage,1,COLUMN()))</f>
        <v/>
      </c>
      <c r="U760" s="1228">
        <f>IF(INDEX(MO_SPT_FXAverage,1,COLUMN())=0,1,INDEX(MO_SPT_FXAverage,1,COLUMN()))</f>
        <v/>
      </c>
      <c r="V760" s="488">
        <f>IF(INDEX(MO_SPT_FXAverage,1,COLUMN())=0,1,INDEX(MO_SPT_FXAverage,1,COLUMN()))</f>
        <v/>
      </c>
      <c r="W760" s="488">
        <f>IF(INDEX(MO_SPT_FXAverage,1,COLUMN())=0,1,INDEX(MO_SPT_FXAverage,1,COLUMN()))</f>
        <v/>
      </c>
      <c r="X760" s="488">
        <f>IF(INDEX(MO_SPT_FXAverage,1,COLUMN())=0,1,INDEX(MO_SPT_FXAverage,1,COLUMN()))</f>
        <v/>
      </c>
      <c r="Y760" s="488">
        <f>IF(INDEX(MO_SPT_FXAverage,1,COLUMN())=0,1,INDEX(MO_SPT_FXAverage,1,COLUMN()))</f>
        <v/>
      </c>
      <c r="Z760" s="1229">
        <f>IF(INDEX(MO_SPT_FXAverage,1,COLUMN())=0,1,INDEX(MO_SPT_FXAverage,1,COLUMN()))</f>
        <v/>
      </c>
      <c r="AA760" s="488">
        <f>IF(INDEX(MO_SPT_FXAverage,1,COLUMN())=0,1,INDEX(MO_SPT_FXAverage,1,COLUMN()))</f>
        <v/>
      </c>
      <c r="AB760" s="488">
        <f>IF(INDEX(MO_SPT_FXAverage,1,COLUMN())=0,1,INDEX(MO_SPT_FXAverage,1,COLUMN()))</f>
        <v/>
      </c>
      <c r="AC760" s="488">
        <f>IF(INDEX(MO_SPT_FXAverage,1,COLUMN())=0,1,INDEX(MO_SPT_FXAverage,1,COLUMN()))</f>
        <v/>
      </c>
      <c r="AD760" s="488">
        <f>IF(INDEX(MO_SPT_FXAverage,1,COLUMN())=0,1,INDEX(MO_SPT_FXAverage,1,COLUMN()))</f>
        <v/>
      </c>
      <c r="AE760" s="1230">
        <f>IF(INDEX(MO_SPT_FXAverage,1,COLUMN())=0,1,INDEX(MO_SPT_FXAverage,1,COLUMN()))</f>
        <v/>
      </c>
      <c r="AF760" s="488">
        <f>IF(INDEX(MO_SPT_FXAverage,1,COLUMN())=0,1,INDEX(MO_SPT_FXAverage,1,COLUMN()))</f>
        <v/>
      </c>
      <c r="AG760" s="488">
        <f>IF(INDEX(MO_SPT_FXAverage,1,COLUMN())=0,1,INDEX(MO_SPT_FXAverage,1,COLUMN()))</f>
        <v/>
      </c>
      <c r="AH760" s="488">
        <f>IF(INDEX(MO_SPT_FXAverage,1,COLUMN())=0,1,INDEX(MO_SPT_FXAverage,1,COLUMN()))</f>
        <v/>
      </c>
      <c r="AI760" s="488">
        <f>IF(INDEX(MO_SPT_FXAverage,1,COLUMN())=0,1,INDEX(MO_SPT_FXAverage,1,COLUMN()))</f>
        <v/>
      </c>
      <c r="AJ760" s="1230">
        <f>IF(INDEX(MO_SPT_FXAverage,1,COLUMN())=0,1,INDEX(MO_SPT_FXAverage,1,COLUMN()))</f>
        <v/>
      </c>
      <c r="AK760" s="488">
        <f>IF(INDEX(MO_SPT_FXAverage,1,COLUMN())=0,1,INDEX(MO_SPT_FXAverage,1,COLUMN()))</f>
        <v/>
      </c>
      <c r="AL760" s="488">
        <f>IF(INDEX(MO_SPT_FXAverage,1,COLUMN())=0,1,INDEX(MO_SPT_FXAverage,1,COLUMN()))</f>
        <v/>
      </c>
      <c r="AM760" s="488">
        <f>IF(INDEX(MO_SPT_FXAverage,1,COLUMN())=0,1,INDEX(MO_SPT_FXAverage,1,COLUMN()))</f>
        <v/>
      </c>
      <c r="AN760" s="488">
        <f>IF(INDEX(MO_SPT_FXAverage,1,COLUMN())=0,1,INDEX(MO_SPT_FXAverage,1,COLUMN()))</f>
        <v/>
      </c>
      <c r="AO760" s="1230">
        <f>IF(INDEX(MO_SPT_FXAverage,1,COLUMN())=0,1,INDEX(MO_SPT_FXAverage,1,COLUMN()))</f>
        <v/>
      </c>
      <c r="AP760" s="488">
        <f>IF(INDEX(MO_SPT_FXAverage,1,COLUMN())=0,1,INDEX(MO_SPT_FXAverage,1,COLUMN()))</f>
        <v/>
      </c>
      <c r="AQ760" s="488">
        <f>IF(INDEX(MO_SPT_FXAverage,1,COLUMN())=0,1,INDEX(MO_SPT_FXAverage,1,COLUMN()))</f>
        <v/>
      </c>
      <c r="AR760" s="488">
        <f>IF(INDEX(MO_SPT_FXAverage,1,COLUMN())=0,1,INDEX(MO_SPT_FXAverage,1,COLUMN()))</f>
        <v/>
      </c>
      <c r="AS760" s="488">
        <f>IF(INDEX(MO_SPT_FXAverage,1,COLUMN())=0,1,INDEX(MO_SPT_FXAverage,1,COLUMN()))</f>
        <v/>
      </c>
      <c r="AT760" s="1230">
        <f>IF(INDEX(MO_SPT_FXAverage,1,COLUMN())=0,1,INDEX(MO_SPT_FXAverage,1,COLUMN()))</f>
        <v/>
      </c>
      <c r="AU760" s="488">
        <f>IF(INDEX(MO_SPT_FXAverage,1,COLUMN())=0,1,INDEX(MO_SPT_FXAverage,1,COLUMN()))</f>
        <v/>
      </c>
      <c r="AV760" s="488">
        <f>IF(INDEX(MO_SPT_FXAverage,1,COLUMN())=0,1,INDEX(MO_SPT_FXAverage,1,COLUMN()))</f>
        <v/>
      </c>
      <c r="AW760" s="488">
        <f>IF(INDEX(MO_SPT_FXAverage,1,COLUMN())=0,1,INDEX(MO_SPT_FXAverage,1,COLUMN()))</f>
        <v/>
      </c>
      <c r="AX760" s="488">
        <f>IF(INDEX(MO_SPT_FXAverage,1,COLUMN())=0,1,INDEX(MO_SPT_FXAverage,1,COLUMN()))</f>
        <v/>
      </c>
      <c r="AY760" s="1230">
        <f>IF(INDEX(MO_SPT_FXAverage,1,COLUMN())=0,1,INDEX(MO_SPT_FXAverage,1,COLUMN()))</f>
        <v/>
      </c>
      <c r="AZ760" s="488">
        <f>IF(INDEX(MO_SPT_FXAverage,1,COLUMN())=0,1,INDEX(MO_SPT_FXAverage,1,COLUMN()))</f>
        <v/>
      </c>
      <c r="BA760" s="488">
        <f>IF(INDEX(MO_SPT_FXAverage,1,COLUMN())=0,1,INDEX(MO_SPT_FXAverage,1,COLUMN()))</f>
        <v/>
      </c>
      <c r="BB760" s="488">
        <f>IF(INDEX(MO_SPT_FXAverage,1,COLUMN())=0,1,INDEX(MO_SPT_FXAverage,1,COLUMN()))</f>
        <v/>
      </c>
      <c r="BC760" s="488">
        <f>IF(INDEX(MO_SPT_FXAverage,1,COLUMN())=0,1,INDEX(MO_SPT_FXAverage,1,COLUMN()))</f>
        <v/>
      </c>
      <c r="BD760" s="1230">
        <f>IF(INDEX(MO_SPT_FXAverage,1,COLUMN())=0,1,INDEX(MO_SPT_FXAverage,1,COLUMN()))</f>
        <v/>
      </c>
      <c r="BE760" s="488">
        <f>IF(INDEX(MO_SPT_FXAverage,1,COLUMN())=0,1,INDEX(MO_SPT_FXAverage,1,COLUMN()))</f>
        <v/>
      </c>
      <c r="BF760" s="488">
        <f>IF(INDEX(MO_SPT_FXAverage,1,COLUMN())=0,1,INDEX(MO_SPT_FXAverage,1,COLUMN()))</f>
        <v/>
      </c>
      <c r="BG760" s="488">
        <f>IF(INDEX(MO_SPT_FXAverage,1,COLUMN())=0,1,INDEX(MO_SPT_FXAverage,1,COLUMN()))</f>
        <v/>
      </c>
      <c r="BH760" s="488">
        <f>IF(INDEX(MO_SPT_FXAverage,1,COLUMN())=0,1,INDEX(MO_SPT_FXAverage,1,COLUMN()))</f>
        <v/>
      </c>
      <c r="BI760" s="1230">
        <f>IF(INDEX(MO_SPT_FXAverage,1,COLUMN())=0,1,INDEX(MO_SPT_FXAverage,1,COLUMN()))</f>
        <v/>
      </c>
      <c r="BJ760" s="488">
        <f>IF(INDEX(MO_SPT_FXAverage,1,COLUMN())=0,1,INDEX(MO_SPT_FXAverage,1,COLUMN()))</f>
        <v/>
      </c>
      <c r="BK760" s="488">
        <f>IF(INDEX(MO_SPT_FXAverage,1,COLUMN())=0,1,INDEX(MO_SPT_FXAverage,1,COLUMN()))</f>
        <v/>
      </c>
      <c r="BL760" s="488">
        <f>IF(INDEX(MO_SPT_FXAverage,1,COLUMN())=0,1,INDEX(MO_SPT_FXAverage,1,COLUMN()))</f>
        <v/>
      </c>
      <c r="BM760" s="488">
        <f>IF(INDEX(MO_SPT_FXAverage,1,COLUMN())=0,1,INDEX(MO_SPT_FXAverage,1,COLUMN()))</f>
        <v/>
      </c>
      <c r="BN760" s="1230">
        <f>IF(INDEX(MO_SPT_FXAverage,1,COLUMN())=0,1,INDEX(MO_SPT_FXAverage,1,COLUMN()))</f>
        <v/>
      </c>
      <c r="BO760" s="488">
        <f>IF(INDEX(MO_SPT_FXAverage,1,COLUMN())=0,1,INDEX(MO_SPT_FXAverage,1,COLUMN()))</f>
        <v/>
      </c>
      <c r="BP760" s="488">
        <f>IF(INDEX(MO_SPT_FXAverage,1,COLUMN())=0,1,INDEX(MO_SPT_FXAverage,1,COLUMN()))</f>
        <v/>
      </c>
      <c r="BQ760" s="488">
        <f>IF(INDEX(MO_SPT_FXAverage,1,COLUMN())=0,1,INDEX(MO_SPT_FXAverage,1,COLUMN()))</f>
        <v/>
      </c>
      <c r="BR760" s="488">
        <f>IF(INDEX(MO_SPT_FXAverage,1,COLUMN())=0,1,INDEX(MO_SPT_FXAverage,1,COLUMN()))</f>
        <v/>
      </c>
      <c r="BS760" s="1230">
        <f>IF(INDEX(MO_SPT_FXAverage,1,COLUMN())=0,1,INDEX(MO_SPT_FXAverage,1,COLUMN()))</f>
        <v/>
      </c>
      <c r="BT760" s="488">
        <f>IF(INDEX(MO_SPT_FXAverage,1,COLUMN())=0,1,INDEX(MO_SPT_FXAverage,1,COLUMN()))</f>
        <v/>
      </c>
      <c r="BU760" s="488">
        <f>IF(INDEX(MO_SPT_FXAverage,1,COLUMN())=0,1,INDEX(MO_SPT_FXAverage,1,COLUMN()))</f>
        <v/>
      </c>
      <c r="BV760" s="927">
        <f>IF(INDEX(MO_SPT_FXAverage,1,COLUMN())=0,1,INDEX(MO_SPT_FXAverage,1,COLUMN()))</f>
        <v/>
      </c>
      <c r="BW760" s="725">
        <f>IF(INDEX(MO_SPT_FXAverage,1,COLUMN())=0,1,INDEX(MO_SPT_FXAverage,1,COLUMN()))</f>
        <v/>
      </c>
      <c r="BX760" s="1230">
        <f>IF(INDEX(MO_SPT_FXAverage,1,COLUMN())=0,1,INDEX(MO_SPT_FXAverage,1,COLUMN()))</f>
        <v/>
      </c>
      <c r="BY760" s="725">
        <f>IF(INDEX(MO_SPT_FXAverage,1,COLUMN())=0,1,INDEX(MO_SPT_FXAverage,1,COLUMN()))</f>
        <v/>
      </c>
      <c r="BZ760" s="725">
        <f>IF(INDEX(MO_SPT_FXAverage,1,COLUMN())=0,1,INDEX(MO_SPT_FXAverage,1,COLUMN()))</f>
        <v/>
      </c>
      <c r="CA760" s="725">
        <f>IF(INDEX(MO_SPT_FXAverage,1,COLUMN())=0,1,INDEX(MO_SPT_FXAverage,1,COLUMN()))</f>
        <v/>
      </c>
      <c r="CB760" s="725">
        <f>IF(INDEX(MO_SPT_FXAverage,1,COLUMN())=0,1,INDEX(MO_SPT_FXAverage,1,COLUMN()))</f>
        <v/>
      </c>
      <c r="CC760" s="1230">
        <f>IF(INDEX(MO_SPT_FXAverage,1,COLUMN())=0,1,INDEX(MO_SPT_FXAverage,1,COLUMN()))</f>
        <v/>
      </c>
      <c r="CD760" s="1230">
        <f>IF(INDEX(MO_SPT_FXAverage,1,COLUMN())=0,1,INDEX(MO_SPT_FXAverage,1,COLUMN()))</f>
        <v/>
      </c>
      <c r="CE760" s="1230">
        <f>IF(INDEX(MO_SPT_FXAverage,1,COLUMN())=0,1,INDEX(MO_SPT_FXAverage,1,COLUMN()))</f>
        <v/>
      </c>
      <c r="CF760" s="1230">
        <f>IF(INDEX(MO_SPT_FXAverage,1,COLUMN())=0,1,INDEX(MO_SPT_FXAverage,1,COLUMN()))</f>
        <v/>
      </c>
      <c r="CG760" s="155" t="n"/>
    </row>
    <row r="761" hidden="1" outlineLevel="1">
      <c r="A761" s="271">
        <f>"EoP FX Rate, "&amp;HP.TradeCurrency&amp;"/"&amp;MO.ReportCurrency</f>
        <v/>
      </c>
      <c r="B761" s="623" t="n"/>
      <c r="C761" s="1228">
        <f>IF(INDEX(MO_SNA_IsHistoricalPeriod,1,COLUMN())=FALSE,HP.MRFX,INDEX(MO_SPT_FXEoP,1,COLUMN()))</f>
        <v/>
      </c>
      <c r="D761" s="1228">
        <f>IF(INDEX(MO_SNA_IsHistoricalPeriod,1,COLUMN())=FALSE,HP.MRFX,INDEX(MO_SPT_FXEoP,1,COLUMN()))</f>
        <v/>
      </c>
      <c r="E761" s="1228">
        <f>IF(INDEX(MO_SNA_IsHistoricalPeriod,1,COLUMN())=FALSE,HP.MRFX,INDEX(MO_SPT_FXEoP,1,COLUMN()))</f>
        <v/>
      </c>
      <c r="F761" s="1228">
        <f>IF(INDEX(MO_SNA_IsHistoricalPeriod,1,COLUMN())=FALSE,HP.MRFX,INDEX(MO_SPT_FXEoP,1,COLUMN()))</f>
        <v/>
      </c>
      <c r="G761" s="488">
        <f>IF(INDEX(MO_SNA_IsHistoricalPeriod,1,COLUMN())=FALSE,HP.MRFX,INDEX(MO_SPT_FXEoP,1,COLUMN()))</f>
        <v/>
      </c>
      <c r="H761" s="488">
        <f>IF(INDEX(MO_SNA_IsHistoricalPeriod,1,COLUMN())=FALSE,HP.MRFX,INDEX(MO_SPT_FXEoP,1,COLUMN()))</f>
        <v/>
      </c>
      <c r="I761" s="488">
        <f>IF(INDEX(MO_SNA_IsHistoricalPeriod,1,COLUMN())=FALSE,HP.MRFX,INDEX(MO_SPT_FXEoP,1,COLUMN()))</f>
        <v/>
      </c>
      <c r="J761" s="488">
        <f>IF(INDEX(MO_SNA_IsHistoricalPeriod,1,COLUMN())=FALSE,HP.MRFX,INDEX(MO_SPT_FXEoP,1,COLUMN()))</f>
        <v/>
      </c>
      <c r="K761" s="1228">
        <f>IF(INDEX(MO_SNA_IsHistoricalPeriod,1,COLUMN())=FALSE,HP.MRFX,INDEX(MO_SPT_FXEoP,1,COLUMN()))</f>
        <v/>
      </c>
      <c r="L761" s="488">
        <f>IF(INDEX(MO_SNA_IsHistoricalPeriod,1,COLUMN())=FALSE,HP.MRFX,INDEX(MO_SPT_FXEoP,1,COLUMN()))</f>
        <v/>
      </c>
      <c r="M761" s="488">
        <f>IF(INDEX(MO_SNA_IsHistoricalPeriod,1,COLUMN())=FALSE,HP.MRFX,INDEX(MO_SPT_FXEoP,1,COLUMN()))</f>
        <v/>
      </c>
      <c r="N761" s="488">
        <f>IF(INDEX(MO_SNA_IsHistoricalPeriod,1,COLUMN())=FALSE,HP.MRFX,INDEX(MO_SPT_FXEoP,1,COLUMN()))</f>
        <v/>
      </c>
      <c r="O761" s="488">
        <f>IF(INDEX(MO_SNA_IsHistoricalPeriod,1,COLUMN())=FALSE,HP.MRFX,INDEX(MO_SPT_FXEoP,1,COLUMN()))</f>
        <v/>
      </c>
      <c r="P761" s="1228">
        <f>IF(INDEX(MO_SNA_IsHistoricalPeriod,1,COLUMN())=FALSE,HP.MRFX,INDEX(MO_SPT_FXEoP,1,COLUMN()))</f>
        <v/>
      </c>
      <c r="Q761" s="488">
        <f>IF(INDEX(MO_SNA_IsHistoricalPeriod,1,COLUMN())=FALSE,HP.MRFX,INDEX(MO_SPT_FXEoP,1,COLUMN()))</f>
        <v/>
      </c>
      <c r="R761" s="488">
        <f>IF(INDEX(MO_SNA_IsHistoricalPeriod,1,COLUMN())=FALSE,HP.MRFX,INDEX(MO_SPT_FXEoP,1,COLUMN()))</f>
        <v/>
      </c>
      <c r="S761" s="488">
        <f>IF(INDEX(MO_SNA_IsHistoricalPeriod,1,COLUMN())=FALSE,HP.MRFX,INDEX(MO_SPT_FXEoP,1,COLUMN()))</f>
        <v/>
      </c>
      <c r="T761" s="488">
        <f>IF(INDEX(MO_SNA_IsHistoricalPeriod,1,COLUMN())=FALSE,HP.MRFX,INDEX(MO_SPT_FXEoP,1,COLUMN()))</f>
        <v/>
      </c>
      <c r="U761" s="1228">
        <f>IF(INDEX(MO_SNA_IsHistoricalPeriod,1,COLUMN())=FALSE,HP.MRFX,INDEX(MO_SPT_FXEoP,1,COLUMN()))</f>
        <v/>
      </c>
      <c r="V761" s="488">
        <f>IF(INDEX(MO_SNA_IsHistoricalPeriod,1,COLUMN())=FALSE,HP.MRFX,INDEX(MO_SPT_FXEoP,1,COLUMN()))</f>
        <v/>
      </c>
      <c r="W761" s="488">
        <f>IF(INDEX(MO_SNA_IsHistoricalPeriod,1,COLUMN())=FALSE,HP.MRFX,INDEX(MO_SPT_FXEoP,1,COLUMN()))</f>
        <v/>
      </c>
      <c r="X761" s="488">
        <f>IF(INDEX(MO_SNA_IsHistoricalPeriod,1,COLUMN())=FALSE,HP.MRFX,INDEX(MO_SPT_FXEoP,1,COLUMN()))</f>
        <v/>
      </c>
      <c r="Y761" s="488">
        <f>IF(INDEX(MO_SNA_IsHistoricalPeriod,1,COLUMN())=FALSE,HP.MRFX,INDEX(MO_SPT_FXEoP,1,COLUMN()))</f>
        <v/>
      </c>
      <c r="Z761" s="1229">
        <f>IF(INDEX(MO_SNA_IsHistoricalPeriod,1,COLUMN())=FALSE,HP.MRFX,INDEX(MO_SPT_FXEoP,1,COLUMN()))</f>
        <v/>
      </c>
      <c r="AA761" s="488">
        <f>IF(INDEX(MO_SNA_IsHistoricalPeriod,1,COLUMN())=FALSE,HP.MRFX,INDEX(MO_SPT_FXEoP,1,COLUMN()))</f>
        <v/>
      </c>
      <c r="AB761" s="488">
        <f>IF(INDEX(MO_SNA_IsHistoricalPeriod,1,COLUMN())=FALSE,HP.MRFX,INDEX(MO_SPT_FXEoP,1,COLUMN()))</f>
        <v/>
      </c>
      <c r="AC761" s="488">
        <f>IF(INDEX(MO_SNA_IsHistoricalPeriod,1,COLUMN())=FALSE,HP.MRFX,INDEX(MO_SPT_FXEoP,1,COLUMN()))</f>
        <v/>
      </c>
      <c r="AD761" s="488">
        <f>IF(INDEX(MO_SNA_IsHistoricalPeriod,1,COLUMN())=FALSE,HP.MRFX,INDEX(MO_SPT_FXEoP,1,COLUMN()))</f>
        <v/>
      </c>
      <c r="AE761" s="1230">
        <f>IF(INDEX(MO_SNA_IsHistoricalPeriod,1,COLUMN())=FALSE,HP.MRFX,INDEX(MO_SPT_FXEoP,1,COLUMN()))</f>
        <v/>
      </c>
      <c r="AF761" s="488">
        <f>IF(INDEX(MO_SNA_IsHistoricalPeriod,1,COLUMN())=FALSE,HP.MRFX,INDEX(MO_SPT_FXEoP,1,COLUMN()))</f>
        <v/>
      </c>
      <c r="AG761" s="488">
        <f>IF(INDEX(MO_SNA_IsHistoricalPeriod,1,COLUMN())=FALSE,HP.MRFX,INDEX(MO_SPT_FXEoP,1,COLUMN()))</f>
        <v/>
      </c>
      <c r="AH761" s="488">
        <f>IF(INDEX(MO_SNA_IsHistoricalPeriod,1,COLUMN())=FALSE,HP.MRFX,INDEX(MO_SPT_FXEoP,1,COLUMN()))</f>
        <v/>
      </c>
      <c r="AI761" s="488">
        <f>IF(INDEX(MO_SNA_IsHistoricalPeriod,1,COLUMN())=FALSE,HP.MRFX,INDEX(MO_SPT_FXEoP,1,COLUMN()))</f>
        <v/>
      </c>
      <c r="AJ761" s="1230">
        <f>IF(INDEX(MO_SNA_IsHistoricalPeriod,1,COLUMN())=FALSE,HP.MRFX,INDEX(MO_SPT_FXEoP,1,COLUMN()))</f>
        <v/>
      </c>
      <c r="AK761" s="488">
        <f>IF(INDEX(MO_SNA_IsHistoricalPeriod,1,COLUMN())=FALSE,HP.MRFX,INDEX(MO_SPT_FXEoP,1,COLUMN()))</f>
        <v/>
      </c>
      <c r="AL761" s="488">
        <f>IF(INDEX(MO_SNA_IsHistoricalPeriod,1,COLUMN())=FALSE,HP.MRFX,INDEX(MO_SPT_FXEoP,1,COLUMN()))</f>
        <v/>
      </c>
      <c r="AM761" s="488">
        <f>IF(INDEX(MO_SNA_IsHistoricalPeriod,1,COLUMN())=FALSE,HP.MRFX,INDEX(MO_SPT_FXEoP,1,COLUMN()))</f>
        <v/>
      </c>
      <c r="AN761" s="488">
        <f>IF(INDEX(MO_SNA_IsHistoricalPeriod,1,COLUMN())=FALSE,HP.MRFX,INDEX(MO_SPT_FXEoP,1,COLUMN()))</f>
        <v/>
      </c>
      <c r="AO761" s="1230">
        <f>IF(INDEX(MO_SNA_IsHistoricalPeriod,1,COLUMN())=FALSE,HP.MRFX,INDEX(MO_SPT_FXEoP,1,COLUMN()))</f>
        <v/>
      </c>
      <c r="AP761" s="488">
        <f>IF(INDEX(MO_SNA_IsHistoricalPeriod,1,COLUMN())=FALSE,HP.MRFX,INDEX(MO_SPT_FXEoP,1,COLUMN()))</f>
        <v/>
      </c>
      <c r="AQ761" s="488">
        <f>IF(INDEX(MO_SNA_IsHistoricalPeriod,1,COLUMN())=FALSE,HP.MRFX,INDEX(MO_SPT_FXEoP,1,COLUMN()))</f>
        <v/>
      </c>
      <c r="AR761" s="488">
        <f>IF(INDEX(MO_SNA_IsHistoricalPeriod,1,COLUMN())=FALSE,HP.MRFX,INDEX(MO_SPT_FXEoP,1,COLUMN()))</f>
        <v/>
      </c>
      <c r="AS761" s="488">
        <f>IF(INDEX(MO_SNA_IsHistoricalPeriod,1,COLUMN())=FALSE,HP.MRFX,INDEX(MO_SPT_FXEoP,1,COLUMN()))</f>
        <v/>
      </c>
      <c r="AT761" s="1230">
        <f>IF(INDEX(MO_SNA_IsHistoricalPeriod,1,COLUMN())=FALSE,HP.MRFX,INDEX(MO_SPT_FXEoP,1,COLUMN()))</f>
        <v/>
      </c>
      <c r="AU761" s="488">
        <f>IF(INDEX(MO_SNA_IsHistoricalPeriod,1,COLUMN())=FALSE,HP.MRFX,INDEX(MO_SPT_FXEoP,1,COLUMN()))</f>
        <v/>
      </c>
      <c r="AV761" s="488">
        <f>IF(INDEX(MO_SNA_IsHistoricalPeriod,1,COLUMN())=FALSE,HP.MRFX,INDEX(MO_SPT_FXEoP,1,COLUMN()))</f>
        <v/>
      </c>
      <c r="AW761" s="488">
        <f>IF(INDEX(MO_SNA_IsHistoricalPeriod,1,COLUMN())=FALSE,HP.MRFX,INDEX(MO_SPT_FXEoP,1,COLUMN()))</f>
        <v/>
      </c>
      <c r="AX761" s="488">
        <f>IF(INDEX(MO_SNA_IsHistoricalPeriod,1,COLUMN())=FALSE,HP.MRFX,INDEX(MO_SPT_FXEoP,1,COLUMN()))</f>
        <v/>
      </c>
      <c r="AY761" s="1230">
        <f>IF(INDEX(MO_SNA_IsHistoricalPeriod,1,COLUMN())=FALSE,HP.MRFX,INDEX(MO_SPT_FXEoP,1,COLUMN()))</f>
        <v/>
      </c>
      <c r="AZ761" s="488">
        <f>IF(INDEX(MO_SNA_IsHistoricalPeriod,1,COLUMN())=FALSE,HP.MRFX,INDEX(MO_SPT_FXEoP,1,COLUMN()))</f>
        <v/>
      </c>
      <c r="BA761" s="488">
        <f>IF(INDEX(MO_SNA_IsHistoricalPeriod,1,COLUMN())=FALSE,HP.MRFX,INDEX(MO_SPT_FXEoP,1,COLUMN()))</f>
        <v/>
      </c>
      <c r="BB761" s="488">
        <f>IF(INDEX(MO_SNA_IsHistoricalPeriod,1,COLUMN())=FALSE,HP.MRFX,INDEX(MO_SPT_FXEoP,1,COLUMN()))</f>
        <v/>
      </c>
      <c r="BC761" s="488">
        <f>IF(INDEX(MO_SNA_IsHistoricalPeriod,1,COLUMN())=FALSE,HP.MRFX,INDEX(MO_SPT_FXEoP,1,COLUMN()))</f>
        <v/>
      </c>
      <c r="BD761" s="1230">
        <f>IF(INDEX(MO_SNA_IsHistoricalPeriod,1,COLUMN())=FALSE,HP.MRFX,INDEX(MO_SPT_FXEoP,1,COLUMN()))</f>
        <v/>
      </c>
      <c r="BE761" s="488">
        <f>IF(INDEX(MO_SNA_IsHistoricalPeriod,1,COLUMN())=FALSE,HP.MRFX,INDEX(MO_SPT_FXEoP,1,COLUMN()))</f>
        <v/>
      </c>
      <c r="BF761" s="488">
        <f>IF(INDEX(MO_SNA_IsHistoricalPeriod,1,COLUMN())=FALSE,HP.MRFX,INDEX(MO_SPT_FXEoP,1,COLUMN()))</f>
        <v/>
      </c>
      <c r="BG761" s="488">
        <f>IF(INDEX(MO_SNA_IsHistoricalPeriod,1,COLUMN())=FALSE,HP.MRFX,INDEX(MO_SPT_FXEoP,1,COLUMN()))</f>
        <v/>
      </c>
      <c r="BH761" s="488">
        <f>IF(INDEX(MO_SNA_IsHistoricalPeriod,1,COLUMN())=FALSE,HP.MRFX,INDEX(MO_SPT_FXEoP,1,COLUMN()))</f>
        <v/>
      </c>
      <c r="BI761" s="1230">
        <f>IF(INDEX(MO_SNA_IsHistoricalPeriod,1,COLUMN())=FALSE,HP.MRFX,INDEX(MO_SPT_FXEoP,1,COLUMN()))</f>
        <v/>
      </c>
      <c r="BJ761" s="488">
        <f>IF(INDEX(MO_SNA_IsHistoricalPeriod,1,COLUMN())=FALSE,HP.MRFX,INDEX(MO_SPT_FXEoP,1,COLUMN()))</f>
        <v/>
      </c>
      <c r="BK761" s="488">
        <f>IF(INDEX(MO_SNA_IsHistoricalPeriod,1,COLUMN())=FALSE,HP.MRFX,INDEX(MO_SPT_FXEoP,1,COLUMN()))</f>
        <v/>
      </c>
      <c r="BL761" s="488">
        <f>IF(INDEX(MO_SNA_IsHistoricalPeriod,1,COLUMN())=FALSE,HP.MRFX,INDEX(MO_SPT_FXEoP,1,COLUMN()))</f>
        <v/>
      </c>
      <c r="BM761" s="488">
        <f>IF(INDEX(MO_SNA_IsHistoricalPeriod,1,COLUMN())=FALSE,HP.MRFX,INDEX(MO_SPT_FXEoP,1,COLUMN()))</f>
        <v/>
      </c>
      <c r="BN761" s="1230">
        <f>IF(INDEX(MO_SNA_IsHistoricalPeriod,1,COLUMN())=FALSE,HP.MRFX,INDEX(MO_SPT_FXEoP,1,COLUMN()))</f>
        <v/>
      </c>
      <c r="BO761" s="488">
        <f>IF(INDEX(MO_SNA_IsHistoricalPeriod,1,COLUMN())=FALSE,HP.MRFX,INDEX(MO_SPT_FXEoP,1,COLUMN()))</f>
        <v/>
      </c>
      <c r="BP761" s="488">
        <f>IF(INDEX(MO_SNA_IsHistoricalPeriod,1,COLUMN())=FALSE,HP.MRFX,INDEX(MO_SPT_FXEoP,1,COLUMN()))</f>
        <v/>
      </c>
      <c r="BQ761" s="488">
        <f>IF(INDEX(MO_SNA_IsHistoricalPeriod,1,COLUMN())=FALSE,HP.MRFX,INDEX(MO_SPT_FXEoP,1,COLUMN()))</f>
        <v/>
      </c>
      <c r="BR761" s="488">
        <f>IF(INDEX(MO_SNA_IsHistoricalPeriod,1,COLUMN())=FALSE,HP.MRFX,INDEX(MO_SPT_FXEoP,1,COLUMN()))</f>
        <v/>
      </c>
      <c r="BS761" s="1230">
        <f>IF(INDEX(MO_SNA_IsHistoricalPeriod,1,COLUMN())=FALSE,HP.MRFX,INDEX(MO_SPT_FXEoP,1,COLUMN()))</f>
        <v/>
      </c>
      <c r="BT761" s="488">
        <f>IF(INDEX(MO_SNA_IsHistoricalPeriod,1,COLUMN())=FALSE,HP.MRFX,INDEX(MO_SPT_FXEoP,1,COLUMN()))</f>
        <v/>
      </c>
      <c r="BU761" s="488">
        <f>IF(INDEX(MO_SNA_IsHistoricalPeriod,1,COLUMN())=FALSE,HP.MRFX,INDEX(MO_SPT_FXEoP,1,COLUMN()))</f>
        <v/>
      </c>
      <c r="BV761" s="927">
        <f>IF(INDEX(MO_SNA_IsHistoricalPeriod,1,COLUMN())=FALSE,HP.MRFX,INDEX(MO_SPT_FXEoP,1,COLUMN()))</f>
        <v/>
      </c>
      <c r="BW761" s="725">
        <f>IF(INDEX(MO_SNA_IsHistoricalPeriod,1,COLUMN())=FALSE,HP.MRFX,INDEX(MO_SPT_FXEoP,1,COLUMN()))</f>
        <v/>
      </c>
      <c r="BX761" s="1230">
        <f>IF(INDEX(MO_SNA_IsHistoricalPeriod,1,COLUMN())=FALSE,HP.MRFX,INDEX(MO_SPT_FXEoP,1,COLUMN()))</f>
        <v/>
      </c>
      <c r="BY761" s="725">
        <f>IF(INDEX(MO_SNA_IsHistoricalPeriod,1,COLUMN())=FALSE,HP.MRFX,INDEX(MO_SPT_FXEoP,1,COLUMN()))</f>
        <v/>
      </c>
      <c r="BZ761" s="725">
        <f>IF(INDEX(MO_SNA_IsHistoricalPeriod,1,COLUMN())=FALSE,HP.MRFX,INDEX(MO_SPT_FXEoP,1,COLUMN()))</f>
        <v/>
      </c>
      <c r="CA761" s="725">
        <f>IF(INDEX(MO_SNA_IsHistoricalPeriod,1,COLUMN())=FALSE,HP.MRFX,INDEX(MO_SPT_FXEoP,1,COLUMN()))</f>
        <v/>
      </c>
      <c r="CB761" s="725">
        <f>IF(INDEX(MO_SNA_IsHistoricalPeriod,1,COLUMN())=FALSE,HP.MRFX,INDEX(MO_SPT_FXEoP,1,COLUMN()))</f>
        <v/>
      </c>
      <c r="CC761" s="1230">
        <f>IF(INDEX(MO_SNA_IsHistoricalPeriod,1,COLUMN())=FALSE,HP.MRFX,INDEX(MO_SPT_FXEoP,1,COLUMN()))</f>
        <v/>
      </c>
      <c r="CD761" s="1230">
        <f>IF(INDEX(MO_SNA_IsHistoricalPeriod,1,COLUMN())=FALSE,HP.MRFX,INDEX(MO_SPT_FXEoP,1,COLUMN()))</f>
        <v/>
      </c>
      <c r="CE761" s="1230">
        <f>IF(INDEX(MO_SNA_IsHistoricalPeriod,1,COLUMN())=FALSE,HP.MRFX,INDEX(MO_SPT_FXEoP,1,COLUMN()))</f>
        <v/>
      </c>
      <c r="CF761" s="1230">
        <f>IF(INDEX(MO_SNA_IsHistoricalPeriod,1,COLUMN())=FALSE,HP.MRFX,INDEX(MO_SPT_FXEoP,1,COLUMN()))</f>
        <v/>
      </c>
      <c r="CG761" s="155" t="n"/>
    </row>
    <row r="762" hidden="1" outlineLevel="1">
      <c r="A762" s="230">
        <f>"Stock Price (Trading Cur.) - "&amp;MO.ValuationToggle&amp;", "&amp;HP.TradeCurrency</f>
        <v/>
      </c>
      <c r="B762" s="622" t="n"/>
      <c r="C762" s="1222">
        <f>IF(INDEX(MO_SNA_IsHistoricalPeriod,1,COLUMN())=FALSE,MO.LastPrice,CHOOSE(VLOOKUP(MO.ValuationToggle,tb_ValuationToggle,COLUMNS(tb_ValuationToggle),FALSE),C756,C757,C758,C759))</f>
        <v/>
      </c>
      <c r="D762" s="1222">
        <f>IF(INDEX(MO_SNA_IsHistoricalPeriod,1,COLUMN())=FALSE,MO.LastPrice,CHOOSE(VLOOKUP(MO.ValuationToggle,tb_ValuationToggle,COLUMNS(tb_ValuationToggle),FALSE),D756,D757,D758,D759))</f>
        <v/>
      </c>
      <c r="E762" s="1222">
        <f>IF(INDEX(MO_SNA_IsHistoricalPeriod,1,COLUMN())=FALSE,MO.LastPrice,CHOOSE(VLOOKUP(MO.ValuationToggle,tb_ValuationToggle,COLUMNS(tb_ValuationToggle),FALSE),E756,E757,E758,E759))</f>
        <v/>
      </c>
      <c r="F762" s="1222">
        <f>IF(INDEX(MO_SNA_IsHistoricalPeriod,1,COLUMN())=FALSE,MO.LastPrice,CHOOSE(VLOOKUP(MO.ValuationToggle,tb_ValuationToggle,COLUMNS(tb_ValuationToggle),FALSE),F756,F757,F758,F759))</f>
        <v/>
      </c>
      <c r="G762" s="299">
        <f>IF(INDEX(MO_SNA_IsHistoricalPeriod,1,COLUMN())=FALSE,MO.LastPrice,CHOOSE(VLOOKUP(MO.ValuationToggle,tb_ValuationToggle,COLUMNS(tb_ValuationToggle),FALSE),G756,G757,G758,G759))</f>
        <v/>
      </c>
      <c r="H762" s="299">
        <f>IF(INDEX(MO_SNA_IsHistoricalPeriod,1,COLUMN())=FALSE,MO.LastPrice,CHOOSE(VLOOKUP(MO.ValuationToggle,tb_ValuationToggle,COLUMNS(tb_ValuationToggle),FALSE),H756,H757,H758,H759))</f>
        <v/>
      </c>
      <c r="I762" s="299">
        <f>IF(INDEX(MO_SNA_IsHistoricalPeriod,1,COLUMN())=FALSE,MO.LastPrice,CHOOSE(VLOOKUP(MO.ValuationToggle,tb_ValuationToggle,COLUMNS(tb_ValuationToggle),FALSE),I756,I757,I758,I759))</f>
        <v/>
      </c>
      <c r="J762" s="299">
        <f>IF(INDEX(MO_SNA_IsHistoricalPeriod,1,COLUMN())=FALSE,MO.LastPrice,CHOOSE(VLOOKUP(MO.ValuationToggle,tb_ValuationToggle,COLUMNS(tb_ValuationToggle),FALSE),J756,J757,J758,J759))</f>
        <v/>
      </c>
      <c r="K762" s="1222">
        <f>IF(INDEX(MO_SNA_IsHistoricalPeriod,1,COLUMN())=FALSE,MO.LastPrice,CHOOSE(VLOOKUP(MO.ValuationToggle,tb_ValuationToggle,COLUMNS(tb_ValuationToggle),FALSE),K756,K757,K758,K759))</f>
        <v/>
      </c>
      <c r="L762" s="299">
        <f>IF(INDEX(MO_SNA_IsHistoricalPeriod,1,COLUMN())=FALSE,MO.LastPrice,CHOOSE(VLOOKUP(MO.ValuationToggle,tb_ValuationToggle,COLUMNS(tb_ValuationToggle),FALSE),L756,L757,L758,L759))</f>
        <v/>
      </c>
      <c r="M762" s="299">
        <f>IF(INDEX(MO_SNA_IsHistoricalPeriod,1,COLUMN())=FALSE,MO.LastPrice,CHOOSE(VLOOKUP(MO.ValuationToggle,tb_ValuationToggle,COLUMNS(tb_ValuationToggle),FALSE),M756,M757,M758,M759))</f>
        <v/>
      </c>
      <c r="N762" s="299">
        <f>IF(INDEX(MO_SNA_IsHistoricalPeriod,1,COLUMN())=FALSE,MO.LastPrice,CHOOSE(VLOOKUP(MO.ValuationToggle,tb_ValuationToggle,COLUMNS(tb_ValuationToggle),FALSE),N756,N757,N758,N759))</f>
        <v/>
      </c>
      <c r="O762" s="299">
        <f>IF(INDEX(MO_SNA_IsHistoricalPeriod,1,COLUMN())=FALSE,MO.LastPrice,CHOOSE(VLOOKUP(MO.ValuationToggle,tb_ValuationToggle,COLUMNS(tb_ValuationToggle),FALSE),O756,O757,O758,O759))</f>
        <v/>
      </c>
      <c r="P762" s="1222">
        <f>IF(INDEX(MO_SNA_IsHistoricalPeriod,1,COLUMN())=FALSE,MO.LastPrice,CHOOSE(VLOOKUP(MO.ValuationToggle,tb_ValuationToggle,COLUMNS(tb_ValuationToggle),FALSE),P756,P757,P758,P759))</f>
        <v/>
      </c>
      <c r="Q762" s="299">
        <f>IF(INDEX(MO_SNA_IsHistoricalPeriod,1,COLUMN())=FALSE,MO.LastPrice,CHOOSE(VLOOKUP(MO.ValuationToggle,tb_ValuationToggle,COLUMNS(tb_ValuationToggle),FALSE),Q756,Q757,Q758,Q759))</f>
        <v/>
      </c>
      <c r="R762" s="299">
        <f>IF(INDEX(MO_SNA_IsHistoricalPeriod,1,COLUMN())=FALSE,MO.LastPrice,CHOOSE(VLOOKUP(MO.ValuationToggle,tb_ValuationToggle,COLUMNS(tb_ValuationToggle),FALSE),R756,R757,R758,R759))</f>
        <v/>
      </c>
      <c r="S762" s="299">
        <f>IF(INDEX(MO_SNA_IsHistoricalPeriod,1,COLUMN())=FALSE,MO.LastPrice,CHOOSE(VLOOKUP(MO.ValuationToggle,tb_ValuationToggle,COLUMNS(tb_ValuationToggle),FALSE),S756,S757,S758,S759))</f>
        <v/>
      </c>
      <c r="T762" s="299">
        <f>IF(INDEX(MO_SNA_IsHistoricalPeriod,1,COLUMN())=FALSE,MO.LastPrice,CHOOSE(VLOOKUP(MO.ValuationToggle,tb_ValuationToggle,COLUMNS(tb_ValuationToggle),FALSE),T756,T757,T758,T759))</f>
        <v/>
      </c>
      <c r="U762" s="1222">
        <f>IF(INDEX(MO_SNA_IsHistoricalPeriod,1,COLUMN())=FALSE,MO.LastPrice,CHOOSE(VLOOKUP(MO.ValuationToggle,tb_ValuationToggle,COLUMNS(tb_ValuationToggle),FALSE),U756,U757,U758,U759))</f>
        <v/>
      </c>
      <c r="V762" s="299">
        <f>IF(INDEX(MO_SNA_IsHistoricalPeriod,1,COLUMN())=FALSE,MO.LastPrice,CHOOSE(VLOOKUP(MO.ValuationToggle,tb_ValuationToggle,COLUMNS(tb_ValuationToggle),FALSE),V756,V757,V758,V759))</f>
        <v/>
      </c>
      <c r="W762" s="299">
        <f>IF(INDEX(MO_SNA_IsHistoricalPeriod,1,COLUMN())=FALSE,MO.LastPrice,CHOOSE(VLOOKUP(MO.ValuationToggle,tb_ValuationToggle,COLUMNS(tb_ValuationToggle),FALSE),W756,W757,W758,W759))</f>
        <v/>
      </c>
      <c r="X762" s="299">
        <f>IF(INDEX(MO_SNA_IsHistoricalPeriod,1,COLUMN())=FALSE,MO.LastPrice,CHOOSE(VLOOKUP(MO.ValuationToggle,tb_ValuationToggle,COLUMNS(tb_ValuationToggle),FALSE),X756,X757,X758,X759))</f>
        <v/>
      </c>
      <c r="Y762" s="299">
        <f>IF(INDEX(MO_SNA_IsHistoricalPeriod,1,COLUMN())=FALSE,MO.LastPrice,CHOOSE(VLOOKUP(MO.ValuationToggle,tb_ValuationToggle,COLUMNS(tb_ValuationToggle),FALSE),Y756,Y757,Y758,Y759))</f>
        <v/>
      </c>
      <c r="Z762" s="1223">
        <f>IF(INDEX(MO_SNA_IsHistoricalPeriod,1,COLUMN())=FALSE,MO.LastPrice,CHOOSE(VLOOKUP(MO.ValuationToggle,tb_ValuationToggle,COLUMNS(tb_ValuationToggle),FALSE),Z756,Z757,Z758,Z759))</f>
        <v/>
      </c>
      <c r="AA762" s="299">
        <f>IF(INDEX(MO_SNA_IsHistoricalPeriod,1,COLUMN())=FALSE,MO.LastPrice,CHOOSE(VLOOKUP(MO.ValuationToggle,tb_ValuationToggle,COLUMNS(tb_ValuationToggle),FALSE),AA756,AA757,AA758,AA759))</f>
        <v/>
      </c>
      <c r="AB762" s="299">
        <f>IF(INDEX(MO_SNA_IsHistoricalPeriod,1,COLUMN())=FALSE,MO.LastPrice,CHOOSE(VLOOKUP(MO.ValuationToggle,tb_ValuationToggle,COLUMNS(tb_ValuationToggle),FALSE),AB756,AB757,AB758,AB759))</f>
        <v/>
      </c>
      <c r="AC762" s="299">
        <f>IF(INDEX(MO_SNA_IsHistoricalPeriod,1,COLUMN())=FALSE,MO.LastPrice,CHOOSE(VLOOKUP(MO.ValuationToggle,tb_ValuationToggle,COLUMNS(tb_ValuationToggle),FALSE),AC756,AC757,AC758,AC759))</f>
        <v/>
      </c>
      <c r="AD762" s="299">
        <f>IF(INDEX(MO_SNA_IsHistoricalPeriod,1,COLUMN())=FALSE,MO.LastPrice,CHOOSE(VLOOKUP(MO.ValuationToggle,tb_ValuationToggle,COLUMNS(tb_ValuationToggle),FALSE),AD756,AD757,AD758,AD759))</f>
        <v/>
      </c>
      <c r="AE762" s="1224">
        <f>IF(INDEX(MO_SNA_IsHistoricalPeriod,1,COLUMN())=FALSE,MO.LastPrice,CHOOSE(VLOOKUP(MO.ValuationToggle,tb_ValuationToggle,COLUMNS(tb_ValuationToggle),FALSE),AE756,AE757,AE758,AE759))</f>
        <v/>
      </c>
      <c r="AF762" s="299">
        <f>IF(INDEX(MO_SNA_IsHistoricalPeriod,1,COLUMN())=FALSE,MO.LastPrice,CHOOSE(VLOOKUP(MO.ValuationToggle,tb_ValuationToggle,COLUMNS(tb_ValuationToggle),FALSE),AF756,AF757,AF758,AF759))</f>
        <v/>
      </c>
      <c r="AG762" s="299">
        <f>IF(INDEX(MO_SNA_IsHistoricalPeriod,1,COLUMN())=FALSE,MO.LastPrice,CHOOSE(VLOOKUP(MO.ValuationToggle,tb_ValuationToggle,COLUMNS(tb_ValuationToggle),FALSE),AG756,AG757,AG758,AG759))</f>
        <v/>
      </c>
      <c r="AH762" s="299">
        <f>IF(INDEX(MO_SNA_IsHistoricalPeriod,1,COLUMN())=FALSE,MO.LastPrice,CHOOSE(VLOOKUP(MO.ValuationToggle,tb_ValuationToggle,COLUMNS(tb_ValuationToggle),FALSE),AH756,AH757,AH758,AH759))</f>
        <v/>
      </c>
      <c r="AI762" s="299">
        <f>IF(INDEX(MO_SNA_IsHistoricalPeriod,1,COLUMN())=FALSE,MO.LastPrice,CHOOSE(VLOOKUP(MO.ValuationToggle,tb_ValuationToggle,COLUMNS(tb_ValuationToggle),FALSE),AI756,AI757,AI758,AI759))</f>
        <v/>
      </c>
      <c r="AJ762" s="1224">
        <f>IF(INDEX(MO_SNA_IsHistoricalPeriod,1,COLUMN())=FALSE,MO.LastPrice,CHOOSE(VLOOKUP(MO.ValuationToggle,tb_ValuationToggle,COLUMNS(tb_ValuationToggle),FALSE),AJ756,AJ757,AJ758,AJ759))</f>
        <v/>
      </c>
      <c r="AK762" s="299">
        <f>IF(INDEX(MO_SNA_IsHistoricalPeriod,1,COLUMN())=FALSE,MO.LastPrice,CHOOSE(VLOOKUP(MO.ValuationToggle,tb_ValuationToggle,COLUMNS(tb_ValuationToggle),FALSE),AK756,AK757,AK758,AK759))</f>
        <v/>
      </c>
      <c r="AL762" s="299">
        <f>IF(INDEX(MO_SNA_IsHistoricalPeriod,1,COLUMN())=FALSE,MO.LastPrice,CHOOSE(VLOOKUP(MO.ValuationToggle,tb_ValuationToggle,COLUMNS(tb_ValuationToggle),FALSE),AL756,AL757,AL758,AL759))</f>
        <v/>
      </c>
      <c r="AM762" s="299">
        <f>IF(INDEX(MO_SNA_IsHistoricalPeriod,1,COLUMN())=FALSE,MO.LastPrice,CHOOSE(VLOOKUP(MO.ValuationToggle,tb_ValuationToggle,COLUMNS(tb_ValuationToggle),FALSE),AM756,AM757,AM758,AM759))</f>
        <v/>
      </c>
      <c r="AN762" s="299">
        <f>IF(INDEX(MO_SNA_IsHistoricalPeriod,1,COLUMN())=FALSE,MO.LastPrice,CHOOSE(VLOOKUP(MO.ValuationToggle,tb_ValuationToggle,COLUMNS(tb_ValuationToggle),FALSE),AN756,AN757,AN758,AN759))</f>
        <v/>
      </c>
      <c r="AO762" s="1224">
        <f>IF(INDEX(MO_SNA_IsHistoricalPeriod,1,COLUMN())=FALSE,MO.LastPrice,CHOOSE(VLOOKUP(MO.ValuationToggle,tb_ValuationToggle,COLUMNS(tb_ValuationToggle),FALSE),AO756,AO757,AO758,AO759))</f>
        <v/>
      </c>
      <c r="AP762" s="299">
        <f>IF(INDEX(MO_SNA_IsHistoricalPeriod,1,COLUMN())=FALSE,MO.LastPrice,CHOOSE(VLOOKUP(MO.ValuationToggle,tb_ValuationToggle,COLUMNS(tb_ValuationToggle),FALSE),AP756,AP757,AP758,AP759))</f>
        <v/>
      </c>
      <c r="AQ762" s="299">
        <f>IF(INDEX(MO_SNA_IsHistoricalPeriod,1,COLUMN())=FALSE,MO.LastPrice,CHOOSE(VLOOKUP(MO.ValuationToggle,tb_ValuationToggle,COLUMNS(tb_ValuationToggle),FALSE),AQ756,AQ757,AQ758,AQ759))</f>
        <v/>
      </c>
      <c r="AR762" s="299">
        <f>IF(INDEX(MO_SNA_IsHistoricalPeriod,1,COLUMN())=FALSE,MO.LastPrice,CHOOSE(VLOOKUP(MO.ValuationToggle,tb_ValuationToggle,COLUMNS(tb_ValuationToggle),FALSE),AR756,AR757,AR758,AR759))</f>
        <v/>
      </c>
      <c r="AS762" s="299">
        <f>IF(INDEX(MO_SNA_IsHistoricalPeriod,1,COLUMN())=FALSE,MO.LastPrice,CHOOSE(VLOOKUP(MO.ValuationToggle,tb_ValuationToggle,COLUMNS(tb_ValuationToggle),FALSE),AS756,AS757,AS758,AS759))</f>
        <v/>
      </c>
      <c r="AT762" s="1224">
        <f>IF(INDEX(MO_SNA_IsHistoricalPeriod,1,COLUMN())=FALSE,MO.LastPrice,CHOOSE(VLOOKUP(MO.ValuationToggle,tb_ValuationToggle,COLUMNS(tb_ValuationToggle),FALSE),AT756,AT757,AT758,AT759))</f>
        <v/>
      </c>
      <c r="AU762" s="299">
        <f>IF(INDEX(MO_SNA_IsHistoricalPeriod,1,COLUMN())=FALSE,MO.LastPrice,CHOOSE(VLOOKUP(MO.ValuationToggle,tb_ValuationToggle,COLUMNS(tb_ValuationToggle),FALSE),AU756,AU757,AU758,AU759))</f>
        <v/>
      </c>
      <c r="AV762" s="299">
        <f>IF(INDEX(MO_SNA_IsHistoricalPeriod,1,COLUMN())=FALSE,MO.LastPrice,CHOOSE(VLOOKUP(MO.ValuationToggle,tb_ValuationToggle,COLUMNS(tb_ValuationToggle),FALSE),AV756,AV757,AV758,AV759))</f>
        <v/>
      </c>
      <c r="AW762" s="299">
        <f>IF(INDEX(MO_SNA_IsHistoricalPeriod,1,COLUMN())=FALSE,MO.LastPrice,CHOOSE(VLOOKUP(MO.ValuationToggle,tb_ValuationToggle,COLUMNS(tb_ValuationToggle),FALSE),AW756,AW757,AW758,AW759))</f>
        <v/>
      </c>
      <c r="AX762" s="299">
        <f>IF(INDEX(MO_SNA_IsHistoricalPeriod,1,COLUMN())=FALSE,MO.LastPrice,CHOOSE(VLOOKUP(MO.ValuationToggle,tb_ValuationToggle,COLUMNS(tb_ValuationToggle),FALSE),AX756,AX757,AX758,AX759))</f>
        <v/>
      </c>
      <c r="AY762" s="1224">
        <f>IF(INDEX(MO_SNA_IsHistoricalPeriod,1,COLUMN())=FALSE,MO.LastPrice,CHOOSE(VLOOKUP(MO.ValuationToggle,tb_ValuationToggle,COLUMNS(tb_ValuationToggle),FALSE),AY756,AY757,AY758,AY759))</f>
        <v/>
      </c>
      <c r="AZ762" s="299">
        <f>IF(INDEX(MO_SNA_IsHistoricalPeriod,1,COLUMN())=FALSE,MO.LastPrice,CHOOSE(VLOOKUP(MO.ValuationToggle,tb_ValuationToggle,COLUMNS(tb_ValuationToggle),FALSE),AZ756,AZ757,AZ758,AZ759))</f>
        <v/>
      </c>
      <c r="BA762" s="299">
        <f>IF(INDEX(MO_SNA_IsHistoricalPeriod,1,COLUMN())=FALSE,MO.LastPrice,CHOOSE(VLOOKUP(MO.ValuationToggle,tb_ValuationToggle,COLUMNS(tb_ValuationToggle),FALSE),BA756,BA757,BA758,BA759))</f>
        <v/>
      </c>
      <c r="BB762" s="299">
        <f>IF(INDEX(MO_SNA_IsHistoricalPeriod,1,COLUMN())=FALSE,MO.LastPrice,CHOOSE(VLOOKUP(MO.ValuationToggle,tb_ValuationToggle,COLUMNS(tb_ValuationToggle),FALSE),BB756,BB757,BB758,BB759))</f>
        <v/>
      </c>
      <c r="BC762" s="299">
        <f>IF(INDEX(MO_SNA_IsHistoricalPeriod,1,COLUMN())=FALSE,MO.LastPrice,CHOOSE(VLOOKUP(MO.ValuationToggle,tb_ValuationToggle,COLUMNS(tb_ValuationToggle),FALSE),BC756,BC757,BC758,BC759))</f>
        <v/>
      </c>
      <c r="BD762" s="1224">
        <f>IF(INDEX(MO_SNA_IsHistoricalPeriod,1,COLUMN())=FALSE,MO.LastPrice,CHOOSE(VLOOKUP(MO.ValuationToggle,tb_ValuationToggle,COLUMNS(tb_ValuationToggle),FALSE),BD756,BD757,BD758,BD759))</f>
        <v/>
      </c>
      <c r="BE762" s="299">
        <f>IF(INDEX(MO_SNA_IsHistoricalPeriod,1,COLUMN())=FALSE,MO.LastPrice,CHOOSE(VLOOKUP(MO.ValuationToggle,tb_ValuationToggle,COLUMNS(tb_ValuationToggle),FALSE),BE756,BE757,BE758,BE759))</f>
        <v/>
      </c>
      <c r="BF762" s="299">
        <f>IF(INDEX(MO_SNA_IsHistoricalPeriod,1,COLUMN())=FALSE,MO.LastPrice,CHOOSE(VLOOKUP(MO.ValuationToggle,tb_ValuationToggle,COLUMNS(tb_ValuationToggle),FALSE),BF756,BF757,BF758,BF759))</f>
        <v/>
      </c>
      <c r="BG762" s="299">
        <f>IF(INDEX(MO_SNA_IsHistoricalPeriod,1,COLUMN())=FALSE,MO.LastPrice,CHOOSE(VLOOKUP(MO.ValuationToggle,tb_ValuationToggle,COLUMNS(tb_ValuationToggle),FALSE),BG756,BG757,BG758,BG759))</f>
        <v/>
      </c>
      <c r="BH762" s="299">
        <f>IF(INDEX(MO_SNA_IsHistoricalPeriod,1,COLUMN())=FALSE,MO.LastPrice,CHOOSE(VLOOKUP(MO.ValuationToggle,tb_ValuationToggle,COLUMNS(tb_ValuationToggle),FALSE),BH756,BH757,BH758,BH759))</f>
        <v/>
      </c>
      <c r="BI762" s="1224">
        <f>IF(INDEX(MO_SNA_IsHistoricalPeriod,1,COLUMN())=FALSE,MO.LastPrice,CHOOSE(VLOOKUP(MO.ValuationToggle,tb_ValuationToggle,COLUMNS(tb_ValuationToggle),FALSE),BI756,BI757,BI758,BI759))</f>
        <v/>
      </c>
      <c r="BJ762" s="299">
        <f>IF(INDEX(MO_SNA_IsHistoricalPeriod,1,COLUMN())=FALSE,MO.LastPrice,CHOOSE(VLOOKUP(MO.ValuationToggle,tb_ValuationToggle,COLUMNS(tb_ValuationToggle),FALSE),BJ756,BJ757,BJ758,BJ759))</f>
        <v/>
      </c>
      <c r="BK762" s="299">
        <f>IF(INDEX(MO_SNA_IsHistoricalPeriod,1,COLUMN())=FALSE,MO.LastPrice,CHOOSE(VLOOKUP(MO.ValuationToggle,tb_ValuationToggle,COLUMNS(tb_ValuationToggle),FALSE),BK756,BK757,BK758,BK759))</f>
        <v/>
      </c>
      <c r="BL762" s="299">
        <f>IF(INDEX(MO_SNA_IsHistoricalPeriod,1,COLUMN())=FALSE,MO.LastPrice,CHOOSE(VLOOKUP(MO.ValuationToggle,tb_ValuationToggle,COLUMNS(tb_ValuationToggle),FALSE),BL756,BL757,BL758,BL759))</f>
        <v/>
      </c>
      <c r="BM762" s="299">
        <f>IF(INDEX(MO_SNA_IsHistoricalPeriod,1,COLUMN())=FALSE,MO.LastPrice,CHOOSE(VLOOKUP(MO.ValuationToggle,tb_ValuationToggle,COLUMNS(tb_ValuationToggle),FALSE),BM756,BM757,BM758,BM759))</f>
        <v/>
      </c>
      <c r="BN762" s="1224">
        <f>IF(INDEX(MO_SNA_IsHistoricalPeriod,1,COLUMN())=FALSE,MO.LastPrice,CHOOSE(VLOOKUP(MO.ValuationToggle,tb_ValuationToggle,COLUMNS(tb_ValuationToggle),FALSE),BN756,BN757,BN758,BN759))</f>
        <v/>
      </c>
      <c r="BO762" s="299">
        <f>IF(INDEX(MO_SNA_IsHistoricalPeriod,1,COLUMN())=FALSE,MO.LastPrice,CHOOSE(VLOOKUP(MO.ValuationToggle,tb_ValuationToggle,COLUMNS(tb_ValuationToggle),FALSE),BO756,BO757,BO758,BO759))</f>
        <v/>
      </c>
      <c r="BP762" s="299">
        <f>IF(INDEX(MO_SNA_IsHistoricalPeriod,1,COLUMN())=FALSE,MO.LastPrice,CHOOSE(VLOOKUP(MO.ValuationToggle,tb_ValuationToggle,COLUMNS(tb_ValuationToggle),FALSE),BP756,BP757,BP758,BP759))</f>
        <v/>
      </c>
      <c r="BQ762" s="299">
        <f>IF(INDEX(MO_SNA_IsHistoricalPeriod,1,COLUMN())=FALSE,MO.LastPrice,CHOOSE(VLOOKUP(MO.ValuationToggle,tb_ValuationToggle,COLUMNS(tb_ValuationToggle),FALSE),BQ756,BQ757,BQ758,BQ759))</f>
        <v/>
      </c>
      <c r="BR762" s="299">
        <f>IF(INDEX(MO_SNA_IsHistoricalPeriod,1,COLUMN())=FALSE,MO.LastPrice,CHOOSE(VLOOKUP(MO.ValuationToggle,tb_ValuationToggle,COLUMNS(tb_ValuationToggle),FALSE),BR756,BR757,BR758,BR759))</f>
        <v/>
      </c>
      <c r="BS762" s="1224">
        <f>IF(INDEX(MO_SNA_IsHistoricalPeriod,1,COLUMN())=FALSE,MO.LastPrice,CHOOSE(VLOOKUP(MO.ValuationToggle,tb_ValuationToggle,COLUMNS(tb_ValuationToggle),FALSE),BS756,BS757,BS758,BS759))</f>
        <v/>
      </c>
      <c r="BT762" s="299">
        <f>IF(INDEX(MO_SNA_IsHistoricalPeriod,1,COLUMN())=FALSE,MO.LastPrice,CHOOSE(VLOOKUP(MO.ValuationToggle,tb_ValuationToggle,COLUMNS(tb_ValuationToggle),FALSE),BT756,BT757,BT758,BT759))</f>
        <v/>
      </c>
      <c r="BU762" s="299">
        <f>IF(INDEX(MO_SNA_IsHistoricalPeriod,1,COLUMN())=FALSE,MO.LastPrice,CHOOSE(VLOOKUP(MO.ValuationToggle,tb_ValuationToggle,COLUMNS(tb_ValuationToggle),FALSE),BU756,BU757,BU758,BU759))</f>
        <v/>
      </c>
      <c r="BV762" s="925">
        <f>IF(INDEX(MO_SNA_IsHistoricalPeriod,1,COLUMN())=FALSE,MO.LastPrice,CHOOSE(VLOOKUP(MO.ValuationToggle,tb_ValuationToggle,COLUMNS(tb_ValuationToggle),FALSE),BV756,BV757,BV758,BV759))</f>
        <v/>
      </c>
      <c r="BW762" s="723">
        <f>IF(INDEX(MO_SNA_IsHistoricalPeriod,1,COLUMN())=FALSE,MO.LastPrice,CHOOSE(VLOOKUP(MO.ValuationToggle,tb_ValuationToggle,COLUMNS(tb_ValuationToggle),FALSE),BW756,BW757,BW758,BW759))</f>
        <v/>
      </c>
      <c r="BX762" s="1224">
        <f>IF(INDEX(MO_SNA_IsHistoricalPeriod,1,COLUMN())=FALSE,MO.LastPrice,CHOOSE(VLOOKUP(MO.ValuationToggle,tb_ValuationToggle,COLUMNS(tb_ValuationToggle),FALSE),BX756,BX757,BX758,BX759))</f>
        <v/>
      </c>
      <c r="BY762" s="723">
        <f>IF(INDEX(MO_SNA_IsHistoricalPeriod,1,COLUMN())=FALSE,MO.LastPrice,CHOOSE(VLOOKUP(MO.ValuationToggle,tb_ValuationToggle,COLUMNS(tb_ValuationToggle),FALSE),BY756,BY757,BY758,BY759))</f>
        <v/>
      </c>
      <c r="BZ762" s="723">
        <f>IF(INDEX(MO_SNA_IsHistoricalPeriod,1,COLUMN())=FALSE,MO.LastPrice,CHOOSE(VLOOKUP(MO.ValuationToggle,tb_ValuationToggle,COLUMNS(tb_ValuationToggle),FALSE),BZ756,BZ757,BZ758,BZ759))</f>
        <v/>
      </c>
      <c r="CA762" s="723">
        <f>IF(INDEX(MO_SNA_IsHistoricalPeriod,1,COLUMN())=FALSE,MO.LastPrice,CHOOSE(VLOOKUP(MO.ValuationToggle,tb_ValuationToggle,COLUMNS(tb_ValuationToggle),FALSE),CA756,CA757,CA758,CA759))</f>
        <v/>
      </c>
      <c r="CB762" s="723">
        <f>IF(INDEX(MO_SNA_IsHistoricalPeriod,1,COLUMN())=FALSE,MO.LastPrice,CHOOSE(VLOOKUP(MO.ValuationToggle,tb_ValuationToggle,COLUMNS(tb_ValuationToggle),FALSE),CB756,CB757,CB758,CB759))</f>
        <v/>
      </c>
      <c r="CC762" s="1224">
        <f>IF(INDEX(MO_SNA_IsHistoricalPeriod,1,COLUMN())=FALSE,MO.LastPrice,CHOOSE(VLOOKUP(MO.ValuationToggle,tb_ValuationToggle,COLUMNS(tb_ValuationToggle),FALSE),CC756,CC757,CC758,CC759))</f>
        <v/>
      </c>
      <c r="CD762" s="1224">
        <f>IF(INDEX(MO_SNA_IsHistoricalPeriod,1,COLUMN())=FALSE,MO.LastPrice,CHOOSE(VLOOKUP(MO.ValuationToggle,tb_ValuationToggle,COLUMNS(tb_ValuationToggle),FALSE),CD756,CD757,CD758,CD759))</f>
        <v/>
      </c>
      <c r="CE762" s="1224">
        <f>IF(INDEX(MO_SNA_IsHistoricalPeriod,1,COLUMN())=FALSE,MO.LastPrice,CHOOSE(VLOOKUP(MO.ValuationToggle,tb_ValuationToggle,COLUMNS(tb_ValuationToggle),FALSE),CE756,CE757,CE758,CE759))</f>
        <v/>
      </c>
      <c r="CF762" s="1224">
        <f>IF(INDEX(MO_SNA_IsHistoricalPeriod,1,COLUMN())=FALSE,MO.LastPrice,CHOOSE(VLOOKUP(MO.ValuationToggle,tb_ValuationToggle,COLUMNS(tb_ValuationToggle),FALSE),CF756,CF757,CF758,CF759))</f>
        <v/>
      </c>
      <c r="CG762" s="155" t="n"/>
    </row>
    <row r="763" hidden="1" outlineLevel="1">
      <c r="A763" s="492" t="n"/>
      <c r="B763" s="428" t="n"/>
      <c r="C763" s="1134" t="n"/>
      <c r="D763" s="1134" t="n"/>
      <c r="E763" s="1134" t="n"/>
      <c r="F763" s="1134" t="n"/>
      <c r="G763" s="93" t="n"/>
      <c r="H763" s="93" t="n"/>
      <c r="I763" s="93" t="n"/>
      <c r="J763" s="93" t="n"/>
      <c r="K763" s="1134" t="n"/>
      <c r="L763" s="93" t="n"/>
      <c r="M763" s="93" t="n"/>
      <c r="N763" s="93" t="n"/>
      <c r="O763" s="93" t="n"/>
      <c r="P763" s="1134" t="n"/>
      <c r="Q763" s="93" t="n"/>
      <c r="R763" s="93" t="n"/>
      <c r="S763" s="93" t="n"/>
      <c r="T763" s="93" t="n"/>
      <c r="U763" s="1134" t="n"/>
      <c r="V763" s="93" t="n"/>
      <c r="W763" s="93" t="n"/>
      <c r="X763" s="93" t="n"/>
      <c r="Y763" s="93" t="n"/>
      <c r="Z763" s="1134" t="n"/>
      <c r="AA763" s="93" t="n"/>
      <c r="AB763" s="93" t="n"/>
      <c r="AC763" s="93" t="n"/>
      <c r="AD763" s="93" t="n"/>
      <c r="AE763" s="1134" t="n"/>
      <c r="AF763" s="93" t="n"/>
      <c r="AG763" s="93" t="n"/>
      <c r="AH763" s="93" t="n"/>
      <c r="AI763" s="93" t="n"/>
      <c r="AJ763" s="1134" t="n"/>
      <c r="AK763" s="93" t="n"/>
      <c r="AL763" s="93" t="n"/>
      <c r="AM763" s="93" t="n"/>
      <c r="AN763" s="93" t="n"/>
      <c r="AO763" s="1134" t="n"/>
      <c r="AP763" s="93" t="n"/>
      <c r="AQ763" s="93" t="n"/>
      <c r="AR763" s="93" t="n"/>
      <c r="AS763" s="93" t="n"/>
      <c r="AT763" s="1134" t="n"/>
      <c r="AU763" s="93" t="n"/>
      <c r="AV763" s="93" t="n"/>
      <c r="AW763" s="93" t="n"/>
      <c r="AX763" s="93" t="n"/>
      <c r="AY763" s="1134" t="n"/>
      <c r="AZ763" s="93" t="n"/>
      <c r="BA763" s="93" t="n"/>
      <c r="BB763" s="93" t="n"/>
      <c r="BC763" s="93" t="n"/>
      <c r="BD763" s="1134" t="n"/>
      <c r="BE763" s="93" t="n"/>
      <c r="BF763" s="93" t="n"/>
      <c r="BG763" s="93" t="n"/>
      <c r="BH763" s="93" t="n"/>
      <c r="BI763" s="1134" t="n"/>
      <c r="BJ763" s="93" t="n"/>
      <c r="BK763" s="93" t="n"/>
      <c r="BL763" s="93" t="n"/>
      <c r="BM763" s="93" t="n"/>
      <c r="BN763" s="1134" t="n"/>
      <c r="BO763" s="93" t="n"/>
      <c r="BP763" s="93" t="n"/>
      <c r="BQ763" s="93" t="n"/>
      <c r="BR763" s="93" t="n"/>
      <c r="BS763" s="1134" t="n"/>
      <c r="BT763" s="93" t="n"/>
      <c r="BU763" s="93" t="n"/>
      <c r="BV763" s="522" t="n"/>
      <c r="BW763" s="93" t="n"/>
      <c r="BX763" s="1134" t="n"/>
      <c r="BY763" s="93" t="n"/>
      <c r="BZ763" s="93" t="n"/>
      <c r="CA763" s="93" t="n"/>
      <c r="CB763" s="93" t="n"/>
      <c r="CC763" s="1134" t="n"/>
      <c r="CD763" s="1134" t="n"/>
      <c r="CE763" s="1134" t="n"/>
      <c r="CF763" s="1134" t="n"/>
      <c r="CG763" s="155" t="n"/>
    </row>
    <row r="764" hidden="1" outlineLevel="1">
      <c r="A764" s="43" t="inlineStr">
        <is>
          <t>Enterprise Value Components</t>
        </is>
      </c>
      <c r="B764" s="610" t="n"/>
      <c r="C764" s="1159" t="n"/>
      <c r="D764" s="1159" t="n"/>
      <c r="E764" s="1159" t="n"/>
      <c r="F764" s="1159" t="n"/>
      <c r="G764" s="378" t="n"/>
      <c r="H764" s="378" t="n"/>
      <c r="I764" s="378" t="n"/>
      <c r="J764" s="378" t="n"/>
      <c r="K764" s="1159" t="n"/>
      <c r="L764" s="378" t="n"/>
      <c r="M764" s="378" t="n"/>
      <c r="N764" s="378" t="n"/>
      <c r="O764" s="378" t="n"/>
      <c r="P764" s="1159" t="n"/>
      <c r="Q764" s="378" t="n"/>
      <c r="R764" s="378" t="n"/>
      <c r="S764" s="378" t="n"/>
      <c r="T764" s="378" t="n"/>
      <c r="U764" s="1159" t="n"/>
      <c r="V764" s="378" t="n"/>
      <c r="W764" s="378" t="n"/>
      <c r="X764" s="378" t="n"/>
      <c r="Y764" s="378" t="n"/>
      <c r="Z764" s="1159" t="n"/>
      <c r="AA764" s="378" t="n"/>
      <c r="AB764" s="378" t="n"/>
      <c r="AC764" s="378" t="n"/>
      <c r="AD764" s="378" t="n"/>
      <c r="AE764" s="1159" t="n"/>
      <c r="AF764" s="378" t="n"/>
      <c r="AG764" s="378" t="n"/>
      <c r="AH764" s="378" t="n"/>
      <c r="AI764" s="378" t="n"/>
      <c r="AJ764" s="1159" t="n"/>
      <c r="AK764" s="378" t="n"/>
      <c r="AL764" s="378" t="n"/>
      <c r="AM764" s="378" t="n"/>
      <c r="AN764" s="378" t="n"/>
      <c r="AO764" s="1159" t="n"/>
      <c r="AP764" s="378" t="n"/>
      <c r="AQ764" s="378" t="n"/>
      <c r="AR764" s="378" t="n"/>
      <c r="AS764" s="378" t="n"/>
      <c r="AT764" s="1159" t="n"/>
      <c r="AU764" s="378" t="n"/>
      <c r="AV764" s="378" t="n"/>
      <c r="AW764" s="378" t="n"/>
      <c r="AX764" s="378" t="n"/>
      <c r="AY764" s="1159" t="n"/>
      <c r="AZ764" s="378" t="n"/>
      <c r="BA764" s="378" t="n"/>
      <c r="BB764" s="378" t="n"/>
      <c r="BC764" s="378" t="n"/>
      <c r="BD764" s="1159" t="n"/>
      <c r="BE764" s="378" t="n"/>
      <c r="BF764" s="378" t="n"/>
      <c r="BG764" s="378" t="n"/>
      <c r="BH764" s="378" t="n"/>
      <c r="BI764" s="1159" t="n"/>
      <c r="BJ764" s="378" t="n"/>
      <c r="BK764" s="378" t="n"/>
      <c r="BL764" s="378" t="n"/>
      <c r="BM764" s="378" t="n"/>
      <c r="BN764" s="1159" t="n"/>
      <c r="BO764" s="378" t="n"/>
      <c r="BP764" s="378" t="n"/>
      <c r="BQ764" s="378" t="n"/>
      <c r="BR764" s="378" t="n"/>
      <c r="BS764" s="1159" t="n"/>
      <c r="BT764" s="378" t="n"/>
      <c r="BU764" s="378" t="n"/>
      <c r="BV764" s="1037" t="n"/>
      <c r="BW764" s="378" t="n"/>
      <c r="BX764" s="1159" t="n"/>
      <c r="BY764" s="378" t="n"/>
      <c r="BZ764" s="378" t="n"/>
      <c r="CA764" s="378" t="n"/>
      <c r="CB764" s="378" t="n"/>
      <c r="CC764" s="1159" t="n"/>
      <c r="CD764" s="1159" t="n"/>
      <c r="CE764" s="1159" t="n"/>
      <c r="CF764" s="1159" t="n"/>
      <c r="CG764" s="155" t="n"/>
    </row>
    <row r="765" hidden="1" outlineLevel="1">
      <c r="A765" s="73" t="inlineStr">
        <is>
          <t>Noncontrolling Interest</t>
        </is>
      </c>
      <c r="B765" s="146" t="n"/>
      <c r="C765" s="1112">
        <f>C1008</f>
        <v/>
      </c>
      <c r="D765" s="1112">
        <f>D1008</f>
        <v/>
      </c>
      <c r="E765" s="1112">
        <f>E1008</f>
        <v/>
      </c>
      <c r="F765" s="1112">
        <f>F1008</f>
        <v/>
      </c>
      <c r="G765" s="27">
        <f>G1008</f>
        <v/>
      </c>
      <c r="H765" s="27">
        <f>H1008</f>
        <v/>
      </c>
      <c r="I765" s="27">
        <f>I1008</f>
        <v/>
      </c>
      <c r="J765" s="27">
        <f>J1008</f>
        <v/>
      </c>
      <c r="K765" s="1112">
        <f>K1008</f>
        <v/>
      </c>
      <c r="L765" s="27">
        <f>L1008</f>
        <v/>
      </c>
      <c r="M765" s="27">
        <f>M1008</f>
        <v/>
      </c>
      <c r="N765" s="27">
        <f>N1008</f>
        <v/>
      </c>
      <c r="O765" s="27">
        <f>O1008</f>
        <v/>
      </c>
      <c r="P765" s="1112">
        <f>P1008</f>
        <v/>
      </c>
      <c r="Q765" s="27">
        <f>Q1008</f>
        <v/>
      </c>
      <c r="R765" s="27">
        <f>R1008</f>
        <v/>
      </c>
      <c r="S765" s="27">
        <f>S1008</f>
        <v/>
      </c>
      <c r="T765" s="27">
        <f>T1008</f>
        <v/>
      </c>
      <c r="U765" s="1112">
        <f>U1008</f>
        <v/>
      </c>
      <c r="V765" s="27">
        <f>V1008</f>
        <v/>
      </c>
      <c r="W765" s="27">
        <f>W1008</f>
        <v/>
      </c>
      <c r="X765" s="27">
        <f>X1008</f>
        <v/>
      </c>
      <c r="Y765" s="27">
        <f>Y1008</f>
        <v/>
      </c>
      <c r="Z765" s="1112">
        <f>Z1008</f>
        <v/>
      </c>
      <c r="AA765" s="27">
        <f>AA1008</f>
        <v/>
      </c>
      <c r="AB765" s="27">
        <f>AB1008</f>
        <v/>
      </c>
      <c r="AC765" s="27">
        <f>AC1008</f>
        <v/>
      </c>
      <c r="AD765" s="27">
        <f>AD1008</f>
        <v/>
      </c>
      <c r="AE765" s="1110">
        <f>AE1008</f>
        <v/>
      </c>
      <c r="AF765" s="27">
        <f>AF1008</f>
        <v/>
      </c>
      <c r="AG765" s="27">
        <f>AG1008</f>
        <v/>
      </c>
      <c r="AH765" s="27">
        <f>AH1008</f>
        <v/>
      </c>
      <c r="AI765" s="27">
        <f>AI1008</f>
        <v/>
      </c>
      <c r="AJ765" s="1110">
        <f>AJ1008</f>
        <v/>
      </c>
      <c r="AK765" s="27">
        <f>AK1008</f>
        <v/>
      </c>
      <c r="AL765" s="27">
        <f>AL1008</f>
        <v/>
      </c>
      <c r="AM765" s="27">
        <f>AM1008</f>
        <v/>
      </c>
      <c r="AN765" s="68">
        <f>AN1008</f>
        <v/>
      </c>
      <c r="AO765" s="1110">
        <f>AO1008</f>
        <v/>
      </c>
      <c r="AP765" s="27">
        <f>AP1008</f>
        <v/>
      </c>
      <c r="AQ765" s="68">
        <f>AQ1008</f>
        <v/>
      </c>
      <c r="AR765" s="27">
        <f>AR1008</f>
        <v/>
      </c>
      <c r="AS765" s="68">
        <f>AS1008</f>
        <v/>
      </c>
      <c r="AT765" s="1110">
        <f>AT1008</f>
        <v/>
      </c>
      <c r="AU765" s="27">
        <f>AU1008</f>
        <v/>
      </c>
      <c r="AV765" s="68">
        <f>AV1008</f>
        <v/>
      </c>
      <c r="AW765" s="27">
        <f>AW1008</f>
        <v/>
      </c>
      <c r="AX765" s="68">
        <f>AX1008</f>
        <v/>
      </c>
      <c r="AY765" s="1110">
        <f>AY1008</f>
        <v/>
      </c>
      <c r="AZ765" s="27">
        <f>AZ1008</f>
        <v/>
      </c>
      <c r="BA765" s="68">
        <f>BA1008</f>
        <v/>
      </c>
      <c r="BB765" s="27">
        <f>BB1008</f>
        <v/>
      </c>
      <c r="BC765" s="68">
        <f>BC1008</f>
        <v/>
      </c>
      <c r="BD765" s="1110">
        <f>BD1008</f>
        <v/>
      </c>
      <c r="BE765" s="27">
        <f>BE1008</f>
        <v/>
      </c>
      <c r="BF765" s="68">
        <f>BF1008</f>
        <v/>
      </c>
      <c r="BG765" s="27">
        <f>BG1008</f>
        <v/>
      </c>
      <c r="BH765" s="68">
        <f>BH1008</f>
        <v/>
      </c>
      <c r="BI765" s="1110">
        <f>BI1008</f>
        <v/>
      </c>
      <c r="BJ765" s="27">
        <f>BJ1008</f>
        <v/>
      </c>
      <c r="BK765" s="68">
        <f>BK1008</f>
        <v/>
      </c>
      <c r="BL765" s="27">
        <f>BL1008</f>
        <v/>
      </c>
      <c r="BM765" s="68">
        <f>BM1008</f>
        <v/>
      </c>
      <c r="BN765" s="1110">
        <f>BN1008</f>
        <v/>
      </c>
      <c r="BO765" s="27">
        <f>BO1008</f>
        <v/>
      </c>
      <c r="BP765" s="68">
        <f>BP1008</f>
        <v/>
      </c>
      <c r="BQ765" s="27">
        <f>BQ1008</f>
        <v/>
      </c>
      <c r="BR765" s="68">
        <f>BR1008</f>
        <v/>
      </c>
      <c r="BS765" s="1110">
        <f>BS1008</f>
        <v/>
      </c>
      <c r="BT765" s="27">
        <f>BT1008</f>
        <v/>
      </c>
      <c r="BU765" s="68">
        <f>BU1008</f>
        <v/>
      </c>
      <c r="BV765" s="508">
        <f>BV1008</f>
        <v/>
      </c>
      <c r="BW765" s="68">
        <f>BW1008</f>
        <v/>
      </c>
      <c r="BX765" s="1110">
        <f>BX1008</f>
        <v/>
      </c>
      <c r="BY765" s="68">
        <f>BY1008</f>
        <v/>
      </c>
      <c r="BZ765" s="68">
        <f>BZ1008</f>
        <v/>
      </c>
      <c r="CA765" s="68">
        <f>CA1008</f>
        <v/>
      </c>
      <c r="CB765" s="68">
        <f>CB1008</f>
        <v/>
      </c>
      <c r="CC765" s="1110">
        <f>CC1008</f>
        <v/>
      </c>
      <c r="CD765" s="1110">
        <f>CD1008</f>
        <v/>
      </c>
      <c r="CE765" s="1110">
        <f>CE1008</f>
        <v/>
      </c>
      <c r="CF765" s="1110">
        <f>CF1008</f>
        <v/>
      </c>
      <c r="CG765" s="155" t="n"/>
    </row>
    <row r="766" hidden="1" outlineLevel="1">
      <c r="A766" s="73" t="inlineStr">
        <is>
          <t>Preferred Shares</t>
        </is>
      </c>
      <c r="B766" s="146" t="n"/>
      <c r="C766" s="1112">
        <f>C1001</f>
        <v/>
      </c>
      <c r="D766" s="1112">
        <f>D1001</f>
        <v/>
      </c>
      <c r="E766" s="1112">
        <f>E1001</f>
        <v/>
      </c>
      <c r="F766" s="1112">
        <f>F1001</f>
        <v/>
      </c>
      <c r="G766" s="27">
        <f>G1001</f>
        <v/>
      </c>
      <c r="H766" s="27">
        <f>H1001</f>
        <v/>
      </c>
      <c r="I766" s="27">
        <f>I1001</f>
        <v/>
      </c>
      <c r="J766" s="27">
        <f>J1001</f>
        <v/>
      </c>
      <c r="K766" s="1112">
        <f>K1001</f>
        <v/>
      </c>
      <c r="L766" s="27">
        <f>L1001</f>
        <v/>
      </c>
      <c r="M766" s="27">
        <f>M1001</f>
        <v/>
      </c>
      <c r="N766" s="27">
        <f>N1001</f>
        <v/>
      </c>
      <c r="O766" s="27">
        <f>O1001</f>
        <v/>
      </c>
      <c r="P766" s="1112">
        <f>P1001</f>
        <v/>
      </c>
      <c r="Q766" s="27">
        <f>Q1001</f>
        <v/>
      </c>
      <c r="R766" s="27">
        <f>R1001</f>
        <v/>
      </c>
      <c r="S766" s="27">
        <f>S1001</f>
        <v/>
      </c>
      <c r="T766" s="27">
        <f>T1001</f>
        <v/>
      </c>
      <c r="U766" s="1112">
        <f>U1001</f>
        <v/>
      </c>
      <c r="V766" s="27">
        <f>V1001</f>
        <v/>
      </c>
      <c r="W766" s="27">
        <f>W1001</f>
        <v/>
      </c>
      <c r="X766" s="27">
        <f>X1001</f>
        <v/>
      </c>
      <c r="Y766" s="27">
        <f>Y1001</f>
        <v/>
      </c>
      <c r="Z766" s="1112">
        <f>Z1001</f>
        <v/>
      </c>
      <c r="AA766" s="27">
        <f>AA1001</f>
        <v/>
      </c>
      <c r="AB766" s="27">
        <f>AB1001</f>
        <v/>
      </c>
      <c r="AC766" s="27">
        <f>AC1001</f>
        <v/>
      </c>
      <c r="AD766" s="27">
        <f>AD1001</f>
        <v/>
      </c>
      <c r="AE766" s="1112">
        <f>AE1001</f>
        <v/>
      </c>
      <c r="AF766" s="27">
        <f>AF1001</f>
        <v/>
      </c>
      <c r="AG766" s="27">
        <f>AG1001</f>
        <v/>
      </c>
      <c r="AH766" s="27">
        <f>AH1001</f>
        <v/>
      </c>
      <c r="AI766" s="27">
        <f>AI1001</f>
        <v/>
      </c>
      <c r="AJ766" s="1112">
        <f>AJ1001</f>
        <v/>
      </c>
      <c r="AK766" s="27">
        <f>AK1001</f>
        <v/>
      </c>
      <c r="AL766" s="27">
        <f>AL1001</f>
        <v/>
      </c>
      <c r="AM766" s="27">
        <f>AM1001</f>
        <v/>
      </c>
      <c r="AN766" s="27">
        <f>AN1001</f>
        <v/>
      </c>
      <c r="AO766" s="1112">
        <f>AO1001</f>
        <v/>
      </c>
      <c r="AP766" s="27">
        <f>AP1001</f>
        <v/>
      </c>
      <c r="AQ766" s="27">
        <f>AQ1001</f>
        <v/>
      </c>
      <c r="AR766" s="27">
        <f>AR1001</f>
        <v/>
      </c>
      <c r="AS766" s="27">
        <f>AS1001</f>
        <v/>
      </c>
      <c r="AT766" s="1112">
        <f>AT1001</f>
        <v/>
      </c>
      <c r="AU766" s="27">
        <f>AU1001</f>
        <v/>
      </c>
      <c r="AV766" s="27">
        <f>AV1001</f>
        <v/>
      </c>
      <c r="AW766" s="27">
        <f>AW1001</f>
        <v/>
      </c>
      <c r="AX766" s="27">
        <f>AX1001</f>
        <v/>
      </c>
      <c r="AY766" s="1112">
        <f>AY1001</f>
        <v/>
      </c>
      <c r="AZ766" s="27">
        <f>AZ1001</f>
        <v/>
      </c>
      <c r="BA766" s="27">
        <f>BA1001</f>
        <v/>
      </c>
      <c r="BB766" s="27">
        <f>BB1001</f>
        <v/>
      </c>
      <c r="BC766" s="27">
        <f>BC1001</f>
        <v/>
      </c>
      <c r="BD766" s="1112">
        <f>BD1001</f>
        <v/>
      </c>
      <c r="BE766" s="27">
        <f>BE1001</f>
        <v/>
      </c>
      <c r="BF766" s="27">
        <f>BF1001</f>
        <v/>
      </c>
      <c r="BG766" s="27">
        <f>BG1001</f>
        <v/>
      </c>
      <c r="BH766" s="27">
        <f>BH1001</f>
        <v/>
      </c>
      <c r="BI766" s="1112">
        <f>BI1001</f>
        <v/>
      </c>
      <c r="BJ766" s="27">
        <f>BJ1001</f>
        <v/>
      </c>
      <c r="BK766" s="27">
        <f>BK1001</f>
        <v/>
      </c>
      <c r="BL766" s="27">
        <f>BL1001</f>
        <v/>
      </c>
      <c r="BM766" s="27">
        <f>BM1001</f>
        <v/>
      </c>
      <c r="BN766" s="1112">
        <f>BN1001</f>
        <v/>
      </c>
      <c r="BO766" s="27">
        <f>BO1001</f>
        <v/>
      </c>
      <c r="BP766" s="27">
        <f>BP1001</f>
        <v/>
      </c>
      <c r="BQ766" s="27">
        <f>BQ1001</f>
        <v/>
      </c>
      <c r="BR766" s="27">
        <f>BR1001</f>
        <v/>
      </c>
      <c r="BS766" s="1112">
        <f>BS1001</f>
        <v/>
      </c>
      <c r="BT766" s="27">
        <f>BT1001</f>
        <v/>
      </c>
      <c r="BU766" s="27">
        <f>BU1001</f>
        <v/>
      </c>
      <c r="BV766" s="508">
        <f>BV1001</f>
        <v/>
      </c>
      <c r="BW766" s="68">
        <f>BW1001</f>
        <v/>
      </c>
      <c r="BX766" s="1110">
        <f>BX1001</f>
        <v/>
      </c>
      <c r="BY766" s="68">
        <f>BY1001</f>
        <v/>
      </c>
      <c r="BZ766" s="68">
        <f>BZ1001</f>
        <v/>
      </c>
      <c r="CA766" s="68">
        <f>CA1001</f>
        <v/>
      </c>
      <c r="CB766" s="68">
        <f>CB1001</f>
        <v/>
      </c>
      <c r="CC766" s="1110">
        <f>CC1001</f>
        <v/>
      </c>
      <c r="CD766" s="1110">
        <f>CD1001</f>
        <v/>
      </c>
      <c r="CE766" s="1110">
        <f>CE1001</f>
        <v/>
      </c>
      <c r="CF766" s="1110">
        <f>CF1001</f>
        <v/>
      </c>
      <c r="CG766" s="155" t="n"/>
    </row>
    <row r="767" hidden="1" outlineLevel="1">
      <c r="A767" s="73" t="inlineStr">
        <is>
          <t>Other EV Components</t>
        </is>
      </c>
      <c r="B767" s="146" t="n"/>
      <c r="C767" s="1112">
        <f>C996</f>
        <v/>
      </c>
      <c r="D767" s="1110" t="n"/>
      <c r="E767" s="1110" t="n"/>
      <c r="F767" s="1110" t="n"/>
      <c r="G767" s="68" t="n"/>
      <c r="H767" s="68" t="n"/>
      <c r="I767" s="68" t="n"/>
      <c r="J767" s="68" t="n"/>
      <c r="K767" s="1110" t="n"/>
      <c r="L767" s="68" t="n"/>
      <c r="M767" s="68" t="n"/>
      <c r="N767" s="68" t="n"/>
      <c r="O767" s="68" t="n"/>
      <c r="P767" s="1110" t="n"/>
      <c r="Q767" s="68" t="n"/>
      <c r="R767" s="68" t="n"/>
      <c r="S767" s="68" t="n"/>
      <c r="T767" s="68" t="n"/>
      <c r="U767" s="1110" t="n"/>
      <c r="V767" s="68" t="n"/>
      <c r="W767" s="68" t="n"/>
      <c r="X767" s="68" t="n"/>
      <c r="Y767" s="68" t="n"/>
      <c r="Z767" s="1110" t="n"/>
      <c r="AA767" s="68" t="n"/>
      <c r="AB767" s="68" t="n"/>
      <c r="AC767" s="68" t="n"/>
      <c r="AD767" s="68" t="n"/>
      <c r="AE767" s="1110" t="n"/>
      <c r="AF767" s="68" t="n"/>
      <c r="AG767" s="68" t="n"/>
      <c r="AH767" s="68" t="n"/>
      <c r="AI767" s="68" t="n"/>
      <c r="AJ767" s="1110" t="n"/>
      <c r="AK767" s="68" t="n"/>
      <c r="AL767" s="68" t="n"/>
      <c r="AM767" s="68" t="n"/>
      <c r="AN767" s="68" t="n"/>
      <c r="AO767" s="1110" t="n"/>
      <c r="AP767" s="68" t="n"/>
      <c r="AQ767" s="68" t="n"/>
      <c r="AR767" s="68" t="n"/>
      <c r="AS767" s="68" t="n"/>
      <c r="AT767" s="1110" t="n"/>
      <c r="AU767" s="68" t="n"/>
      <c r="AV767" s="68" t="n"/>
      <c r="AW767" s="68" t="n"/>
      <c r="AX767" s="68" t="n"/>
      <c r="AY767" s="1110" t="n"/>
      <c r="AZ767" s="68" t="n"/>
      <c r="BA767" s="68" t="n"/>
      <c r="BB767" s="68" t="n"/>
      <c r="BC767" s="68" t="n"/>
      <c r="BD767" s="1110" t="n"/>
      <c r="BE767" s="68" t="n"/>
      <c r="BF767" s="68" t="n"/>
      <c r="BG767" s="68" t="n"/>
      <c r="BH767" s="68" t="n"/>
      <c r="BI767" s="1110" t="n"/>
      <c r="BJ767" s="68" t="n"/>
      <c r="BK767" s="68" t="n"/>
      <c r="BL767" s="68" t="n"/>
      <c r="BM767" s="68" t="n"/>
      <c r="BN767" s="1110" t="n"/>
      <c r="BO767" s="68" t="n"/>
      <c r="BP767" s="68" t="n"/>
      <c r="BQ767" s="68" t="n"/>
      <c r="BR767" s="68" t="n"/>
      <c r="BS767" s="1110" t="n"/>
      <c r="BT767" s="68" t="n"/>
      <c r="BU767" s="68" t="n"/>
      <c r="BV767" s="588" t="n"/>
      <c r="BW767" s="68" t="n"/>
      <c r="BX767" s="1110" t="n"/>
      <c r="BY767" s="68" t="n"/>
      <c r="BZ767" s="68" t="n"/>
      <c r="CA767" s="68" t="n"/>
      <c r="CB767" s="68" t="n"/>
      <c r="CC767" s="1110" t="n"/>
      <c r="CD767" s="1110" t="n"/>
      <c r="CE767" s="1110" t="n"/>
      <c r="CF767" s="1110" t="n"/>
      <c r="CG767" s="155" t="n"/>
    </row>
    <row r="768" collapsed="1">
      <c r="A768" s="624" t="n"/>
      <c r="B768" s="428" t="n"/>
      <c r="C768" s="1134" t="n"/>
      <c r="D768" s="1134" t="n"/>
      <c r="E768" s="1134" t="n"/>
      <c r="F768" s="1134" t="n"/>
      <c r="G768" s="93" t="n"/>
      <c r="H768" s="93" t="n"/>
      <c r="I768" s="93" t="n"/>
      <c r="J768" s="93" t="n"/>
      <c r="K768" s="1134" t="n"/>
      <c r="L768" s="93" t="n"/>
      <c r="M768" s="93" t="n"/>
      <c r="N768" s="93" t="n"/>
      <c r="O768" s="93" t="n"/>
      <c r="P768" s="1134" t="n"/>
      <c r="Q768" s="93" t="n"/>
      <c r="R768" s="93" t="n"/>
      <c r="S768" s="93" t="n"/>
      <c r="T768" s="93" t="n"/>
      <c r="U768" s="1134" t="n"/>
      <c r="V768" s="93" t="n"/>
      <c r="W768" s="93" t="n"/>
      <c r="X768" s="93" t="n"/>
      <c r="Y768" s="93" t="n"/>
      <c r="Z768" s="1134" t="n"/>
      <c r="AA768" s="93" t="n"/>
      <c r="AB768" s="93" t="n"/>
      <c r="AC768" s="93" t="n"/>
      <c r="AD768" s="93" t="n"/>
      <c r="AE768" s="1134" t="n"/>
      <c r="AF768" s="93" t="n"/>
      <c r="AG768" s="93" t="n"/>
      <c r="AH768" s="93" t="n"/>
      <c r="AI768" s="93" t="n"/>
      <c r="AJ768" s="1134" t="n"/>
      <c r="AK768" s="93" t="n"/>
      <c r="AL768" s="93" t="n"/>
      <c r="AM768" s="93" t="n"/>
      <c r="AN768" s="93" t="n"/>
      <c r="AO768" s="1134" t="n"/>
      <c r="AP768" s="93" t="n"/>
      <c r="AQ768" s="93" t="n"/>
      <c r="AR768" s="93" t="n"/>
      <c r="AS768" s="93" t="n"/>
      <c r="AT768" s="1134" t="n"/>
      <c r="AU768" s="93" t="n"/>
      <c r="AV768" s="93" t="n"/>
      <c r="AW768" s="93" t="n"/>
      <c r="AX768" s="93" t="n"/>
      <c r="AY768" s="1134" t="n"/>
      <c r="AZ768" s="93" t="n"/>
      <c r="BA768" s="93" t="n"/>
      <c r="BB768" s="93" t="n"/>
      <c r="BC768" s="93" t="n"/>
      <c r="BD768" s="1134" t="n"/>
      <c r="BE768" s="93" t="n"/>
      <c r="BF768" s="93" t="n"/>
      <c r="BG768" s="93" t="n"/>
      <c r="BH768" s="93" t="n"/>
      <c r="BI768" s="1134" t="n"/>
      <c r="BJ768" s="93" t="n"/>
      <c r="BK768" s="93" t="n"/>
      <c r="BL768" s="93" t="n"/>
      <c r="BM768" s="93" t="n"/>
      <c r="BN768" s="1134" t="n"/>
      <c r="BO768" s="93" t="n"/>
      <c r="BP768" s="93" t="n"/>
      <c r="BQ768" s="93" t="n"/>
      <c r="BR768" s="93" t="n"/>
      <c r="BS768" s="1134" t="n"/>
      <c r="BT768" s="93" t="n"/>
      <c r="BU768" s="93" t="n"/>
      <c r="BV768" s="522" t="n"/>
      <c r="BW768" s="93" t="n"/>
      <c r="BX768" s="1134" t="n"/>
      <c r="BY768" s="93" t="n"/>
      <c r="BZ768" s="93" t="n"/>
      <c r="CA768" s="93" t="n"/>
      <c r="CB768" s="93" t="n"/>
      <c r="CC768" s="1134" t="n"/>
      <c r="CD768" s="1134" t="n"/>
      <c r="CE768" s="1134" t="n"/>
      <c r="CF768" s="1134" t="n"/>
      <c r="CG768" s="155" t="n"/>
    </row>
    <row r="769">
      <c r="A769" s="45" t="inlineStr">
        <is>
          <t>Cumulative Cash Flow Statement</t>
        </is>
      </c>
      <c r="B769" s="45" t="n"/>
      <c r="C769" s="45" t="n"/>
      <c r="D769" s="45" t="n"/>
      <c r="E769" s="45" t="n"/>
      <c r="F769" s="45" t="n"/>
      <c r="G769" s="45" t="n"/>
      <c r="H769" s="45" t="n"/>
      <c r="I769" s="45" t="n"/>
      <c r="J769" s="45" t="n"/>
      <c r="K769" s="45" t="n"/>
      <c r="L769" s="45" t="n"/>
      <c r="M769" s="45" t="n"/>
      <c r="N769" s="45" t="n"/>
      <c r="O769" s="45" t="n"/>
      <c r="P769" s="45" t="n"/>
      <c r="Q769" s="45" t="n"/>
      <c r="R769" s="45" t="n"/>
      <c r="S769" s="45" t="n"/>
      <c r="T769" s="45" t="n"/>
      <c r="U769" s="45" t="n"/>
      <c r="V769" s="45" t="n"/>
      <c r="W769" s="45" t="n"/>
      <c r="X769" s="45" t="n"/>
      <c r="Y769" s="45" t="n"/>
      <c r="Z769" s="45" t="n"/>
      <c r="AA769" s="45" t="n"/>
      <c r="AB769" s="45" t="n"/>
      <c r="AC769" s="45" t="n"/>
      <c r="AD769" s="45" t="n"/>
      <c r="AE769" s="45" t="n"/>
      <c r="AF769" s="45" t="n"/>
      <c r="AG769" s="45" t="n"/>
      <c r="AH769" s="45" t="n"/>
      <c r="AI769" s="45" t="n"/>
      <c r="AJ769" s="45" t="n"/>
      <c r="AK769" s="45" t="n"/>
      <c r="AL769" s="45" t="n"/>
      <c r="AM769" s="45" t="n"/>
      <c r="AN769" s="45" t="n"/>
      <c r="AO769" s="45" t="n"/>
      <c r="AP769" s="45" t="n"/>
      <c r="AQ769" s="45" t="n"/>
      <c r="AR769" s="45" t="n"/>
      <c r="AS769" s="45" t="n"/>
      <c r="AT769" s="45" t="n"/>
      <c r="AU769" s="45" t="n"/>
      <c r="AV769" s="45" t="n"/>
      <c r="AW769" s="45" t="n"/>
      <c r="AX769" s="45" t="n"/>
      <c r="AY769" s="45" t="n"/>
      <c r="AZ769" s="45" t="n"/>
      <c r="BA769" s="45" t="n"/>
      <c r="BB769" s="45" t="n"/>
      <c r="BC769" s="45" t="n"/>
      <c r="BD769" s="45" t="n"/>
      <c r="BE769" s="45" t="n"/>
      <c r="BF769" s="45" t="n"/>
      <c r="BG769" s="45" t="n"/>
      <c r="BH769" s="45" t="n"/>
      <c r="BI769" s="45" t="n"/>
      <c r="BJ769" s="45" t="n"/>
      <c r="BK769" s="45" t="n"/>
      <c r="BL769" s="45" t="n"/>
      <c r="BM769" s="45" t="n"/>
      <c r="BN769" s="45" t="n"/>
      <c r="BO769" s="45" t="n"/>
      <c r="BP769" s="45" t="n"/>
      <c r="BQ769" s="45" t="n"/>
      <c r="BR769" s="45" t="n"/>
      <c r="BS769" s="45" t="n"/>
      <c r="BT769" s="45" t="n"/>
      <c r="BU769" s="45" t="n"/>
      <c r="BV769" s="982" t="n"/>
      <c r="BW769" s="45" t="n"/>
      <c r="BX769" s="45" t="n"/>
      <c r="BY769" s="45" t="n"/>
      <c r="BZ769" s="45" t="n"/>
      <c r="CA769" s="45" t="n"/>
      <c r="CB769" s="45" t="n"/>
      <c r="CC769" s="45" t="n"/>
      <c r="CD769" s="45" t="n"/>
      <c r="CE769" s="45" t="n"/>
      <c r="CF769" s="45" t="n"/>
      <c r="CG769" s="155" t="n"/>
    </row>
    <row r="770" hidden="1" outlineLevel="1">
      <c r="A770" s="35" t="inlineStr">
        <is>
          <t>CFO</t>
        </is>
      </c>
      <c r="B770" s="610" t="n"/>
      <c r="C770" s="1159" t="n"/>
      <c r="D770" s="1159" t="n"/>
      <c r="E770" s="1159" t="n"/>
      <c r="F770" s="1159" t="n"/>
      <c r="G770" s="378" t="n"/>
      <c r="H770" s="378" t="n"/>
      <c r="I770" s="378" t="n"/>
      <c r="J770" s="378" t="n"/>
      <c r="K770" s="1159" t="n"/>
      <c r="L770" s="378" t="n"/>
      <c r="M770" s="378" t="n"/>
      <c r="N770" s="378" t="n"/>
      <c r="O770" s="378" t="n"/>
      <c r="P770" s="1159" t="n"/>
      <c r="Q770" s="378" t="n"/>
      <c r="R770" s="378" t="n"/>
      <c r="S770" s="378" t="n"/>
      <c r="T770" s="378" t="n"/>
      <c r="U770" s="1159" t="n"/>
      <c r="V770" s="378" t="n"/>
      <c r="W770" s="378" t="n"/>
      <c r="X770" s="378" t="n"/>
      <c r="Y770" s="378" t="n"/>
      <c r="Z770" s="1159" t="n"/>
      <c r="AA770" s="378" t="n"/>
      <c r="AB770" s="378" t="n"/>
      <c r="AC770" s="378" t="n"/>
      <c r="AD770" s="378" t="n"/>
      <c r="AE770" s="1159" t="n"/>
      <c r="AF770" s="378" t="n"/>
      <c r="AG770" s="378" t="n"/>
      <c r="AH770" s="378" t="n"/>
      <c r="AI770" s="378" t="n"/>
      <c r="AJ770" s="1159" t="n"/>
      <c r="AK770" s="378" t="n"/>
      <c r="AL770" s="378" t="n"/>
      <c r="AM770" s="378" t="n"/>
      <c r="AN770" s="378" t="n"/>
      <c r="AO770" s="1159" t="n"/>
      <c r="AP770" s="378" t="n"/>
      <c r="AQ770" s="378" t="n"/>
      <c r="AR770" s="378" t="n"/>
      <c r="AS770" s="378" t="n"/>
      <c r="AT770" s="1159" t="n"/>
      <c r="AU770" s="378" t="n"/>
      <c r="AV770" s="378" t="n"/>
      <c r="AW770" s="378" t="n"/>
      <c r="AX770" s="378" t="n"/>
      <c r="AY770" s="1159" t="n"/>
      <c r="AZ770" s="378" t="n"/>
      <c r="BA770" s="378" t="n"/>
      <c r="BB770" s="378" t="n"/>
      <c r="BC770" s="378" t="n"/>
      <c r="BD770" s="1159" t="n"/>
      <c r="BE770" s="378" t="n"/>
      <c r="BF770" s="378" t="n"/>
      <c r="BG770" s="378" t="n"/>
      <c r="BH770" s="378" t="n"/>
      <c r="BI770" s="1159" t="n"/>
      <c r="BJ770" s="378" t="n"/>
      <c r="BK770" s="378" t="n"/>
      <c r="BL770" s="378" t="n"/>
      <c r="BM770" s="378" t="n"/>
      <c r="BN770" s="1159" t="n"/>
      <c r="BO770" s="378" t="n"/>
      <c r="BP770" s="378" t="n"/>
      <c r="BQ770" s="378" t="n"/>
      <c r="BR770" s="378" t="n"/>
      <c r="BS770" s="1159" t="n"/>
      <c r="BT770" s="378" t="n"/>
      <c r="BU770" s="378" t="n"/>
      <c r="BV770" s="1037" t="n"/>
      <c r="BW770" s="378" t="n"/>
      <c r="BX770" s="1159" t="n"/>
      <c r="BY770" s="378" t="n"/>
      <c r="BZ770" s="378" t="n"/>
      <c r="CA770" s="378" t="n"/>
      <c r="CB770" s="378" t="n"/>
      <c r="CC770" s="1159" t="n"/>
      <c r="CD770" s="1159" t="n"/>
      <c r="CE770" s="1159" t="n"/>
      <c r="CF770" s="1159" t="n"/>
      <c r="CG770" s="155" t="n"/>
    </row>
    <row r="771" hidden="1" outlineLevel="1">
      <c r="A771" s="67" t="inlineStr">
        <is>
          <t>Net income</t>
        </is>
      </c>
      <c r="B771" s="146" t="n"/>
      <c r="C771" s="1111" t="n">
        <v>-30.041</v>
      </c>
      <c r="D771" s="1111" t="n">
        <v>-67.98699999999999</v>
      </c>
      <c r="E771" s="1111" t="n">
        <v>253.146</v>
      </c>
      <c r="F771" s="1111" t="n">
        <v>581.09</v>
      </c>
      <c r="G771" s="1053" t="n">
        <v>60.437</v>
      </c>
      <c r="H771" s="1053" t="n">
        <v>179.483</v>
      </c>
      <c r="I771" s="1053" t="n">
        <v>388.563</v>
      </c>
      <c r="J771" s="27">
        <f>K771</f>
        <v/>
      </c>
      <c r="K771" s="1111" t="n">
        <v>562.5359999999999</v>
      </c>
      <c r="L771" s="1053" t="n">
        <v>77.89100000000001</v>
      </c>
      <c r="M771" s="1053" t="n">
        <v>174.339</v>
      </c>
      <c r="N771" s="1053" t="n">
        <v>293.073</v>
      </c>
      <c r="O771" s="27">
        <f>P771</f>
        <v/>
      </c>
      <c r="P771" s="1111" t="n">
        <v>439.99</v>
      </c>
      <c r="Q771" s="1053" t="n">
        <v>137</v>
      </c>
      <c r="R771" s="1053" t="n">
        <v>265</v>
      </c>
      <c r="S771" s="1053" t="n">
        <v>437</v>
      </c>
      <c r="T771" s="27">
        <f>U771</f>
        <v/>
      </c>
      <c r="U771" s="1111" t="n">
        <v>631</v>
      </c>
      <c r="V771" s="1053" t="n">
        <v>134</v>
      </c>
      <c r="W771" s="1053" t="n">
        <v>160</v>
      </c>
      <c r="X771" s="1053" t="n">
        <v>406</v>
      </c>
      <c r="Y771" s="27">
        <f>Z771</f>
        <v/>
      </c>
      <c r="Z771" s="1111" t="n">
        <v>614</v>
      </c>
      <c r="AA771" s="1053" t="n">
        <v>208</v>
      </c>
      <c r="AB771" s="1053" t="n">
        <v>469</v>
      </c>
      <c r="AC771" s="1053" t="n">
        <v>1012</v>
      </c>
      <c r="AD771" s="68">
        <f>AE771</f>
        <v/>
      </c>
      <c r="AE771" s="1111" t="n">
        <v>1666</v>
      </c>
      <c r="AF771" s="1053" t="n">
        <v>507</v>
      </c>
      <c r="AG771" s="1053" t="n">
        <v>1091</v>
      </c>
      <c r="AH771" s="1053" t="n">
        <v>1928</v>
      </c>
      <c r="AI771" s="68">
        <f>AJ771</f>
        <v/>
      </c>
      <c r="AJ771" s="1111" t="n">
        <v>3047</v>
      </c>
      <c r="AK771" s="1053" t="n">
        <v>1244</v>
      </c>
      <c r="AL771" s="1053" t="n">
        <v>2345</v>
      </c>
      <c r="AM771" s="1053" t="n">
        <v>3575</v>
      </c>
      <c r="AN771" s="68">
        <f>AO771</f>
        <v/>
      </c>
      <c r="AO771" s="1111" t="n">
        <v>4141</v>
      </c>
      <c r="AP771" s="1053" t="n">
        <v>394</v>
      </c>
      <c r="AQ771" s="1053" t="n">
        <v>947</v>
      </c>
      <c r="AR771" s="1053" t="n">
        <v>1845</v>
      </c>
      <c r="AS771" s="68">
        <f>AT771</f>
        <v/>
      </c>
      <c r="AT771" s="1111" t="n">
        <v>2796</v>
      </c>
      <c r="AU771" s="1053" t="n">
        <v>917</v>
      </c>
      <c r="AV771" s="1053" t="n">
        <v>1539</v>
      </c>
      <c r="AW771" s="1053" t="n">
        <v>2875</v>
      </c>
      <c r="AX771" s="68">
        <f>AY771</f>
        <v/>
      </c>
      <c r="AY771" s="1111" t="n">
        <v>4332</v>
      </c>
      <c r="AZ771" s="1053" t="n">
        <v>1912</v>
      </c>
      <c r="BA771" s="1053" t="n">
        <v>4285</v>
      </c>
      <c r="BB771" s="1053" t="n">
        <v>6749</v>
      </c>
      <c r="BC771" s="68">
        <f>BD771</f>
        <v/>
      </c>
      <c r="BD771" s="1111" t="n">
        <v>9752</v>
      </c>
      <c r="BE771" s="1053" t="n">
        <v>1618</v>
      </c>
      <c r="BF771" s="1053" t="n">
        <v>2274</v>
      </c>
      <c r="BG771" s="1053" t="n">
        <v>2954</v>
      </c>
      <c r="BH771" s="68">
        <f>BI771</f>
        <v/>
      </c>
      <c r="BI771" s="1111" t="n">
        <v>4368</v>
      </c>
      <c r="BJ771" s="1053" t="n">
        <v>2043</v>
      </c>
      <c r="BK771" s="1053" t="n">
        <v>8232</v>
      </c>
      <c r="BL771" s="1053" t="n">
        <v>17475</v>
      </c>
      <c r="BM771" s="68">
        <f>BN771</f>
        <v/>
      </c>
      <c r="BN771" s="1111" t="n">
        <v>29760</v>
      </c>
      <c r="BO771" s="1053" t="n">
        <v>14881</v>
      </c>
      <c r="BP771" s="1053" t="n">
        <v>31480</v>
      </c>
      <c r="BQ771" s="1053" t="n">
        <v>50789</v>
      </c>
      <c r="BR771" s="68">
        <f>BS771</f>
        <v/>
      </c>
      <c r="BS771" s="1111" t="n">
        <v>72880</v>
      </c>
      <c r="BT771" s="1053" t="n">
        <v>18775</v>
      </c>
      <c r="BU771" s="1053" t="n">
        <v>45197</v>
      </c>
      <c r="BV771" s="1054" t="n">
        <v>77107</v>
      </c>
      <c r="BW771" s="68" t="n"/>
      <c r="BX771" s="1110" t="n"/>
      <c r="BY771" s="68" t="n"/>
      <c r="BZ771" s="68" t="n"/>
      <c r="CA771" s="68" t="n"/>
      <c r="CB771" s="68" t="n"/>
      <c r="CC771" s="1110" t="n"/>
      <c r="CD771" s="1110" t="n"/>
      <c r="CE771" s="1110" t="n"/>
      <c r="CF771" s="1110" t="n"/>
      <c r="CG771" s="155" t="n"/>
    </row>
    <row r="772" hidden="1" outlineLevel="1">
      <c r="A772" s="67" t="inlineStr">
        <is>
          <t>Stock-based compensation expense related to stock option purchase</t>
        </is>
      </c>
      <c r="B772" s="146" t="n"/>
      <c r="C772" s="1111" t="n">
        <v>0</v>
      </c>
      <c r="D772" s="1111" t="n">
        <v>135.735</v>
      </c>
      <c r="E772" s="1110" t="n"/>
      <c r="F772" s="1110" t="n"/>
      <c r="G772" s="68" t="n"/>
      <c r="H772" s="68" t="n"/>
      <c r="I772" s="68" t="n"/>
      <c r="J772" s="27">
        <f>K772</f>
        <v/>
      </c>
      <c r="K772" s="1110" t="n"/>
      <c r="L772" s="68" t="n"/>
      <c r="M772" s="68" t="n"/>
      <c r="N772" s="68" t="n"/>
      <c r="O772" s="27">
        <f>P772</f>
        <v/>
      </c>
      <c r="P772" s="1110" t="n"/>
      <c r="Q772" s="68" t="n"/>
      <c r="R772" s="68" t="n"/>
      <c r="S772" s="68" t="n"/>
      <c r="T772" s="27">
        <f>U772</f>
        <v/>
      </c>
      <c r="U772" s="1110" t="n"/>
      <c r="V772" s="68" t="n"/>
      <c r="W772" s="68" t="n"/>
      <c r="X772" s="68" t="n"/>
      <c r="Y772" s="27">
        <f>Z772</f>
        <v/>
      </c>
      <c r="Z772" s="1110" t="n"/>
      <c r="AA772" s="68" t="n"/>
      <c r="AB772" s="68" t="n"/>
      <c r="AC772" s="68" t="n"/>
      <c r="AD772" s="68">
        <f>AE772</f>
        <v/>
      </c>
      <c r="AE772" s="1110" t="n"/>
      <c r="AF772" s="68" t="n"/>
      <c r="AG772" s="68" t="n"/>
      <c r="AH772" s="68" t="n"/>
      <c r="AI772" s="68">
        <f>AJ772</f>
        <v/>
      </c>
      <c r="AJ772" s="1110" t="n"/>
      <c r="AK772" s="68" t="n"/>
      <c r="AL772" s="68" t="n"/>
      <c r="AM772" s="68" t="n"/>
      <c r="AN772" s="68">
        <f>AO772</f>
        <v/>
      </c>
      <c r="AO772" s="1110" t="n"/>
      <c r="AP772" s="68" t="n"/>
      <c r="AQ772" s="68" t="n"/>
      <c r="AR772" s="68" t="n"/>
      <c r="AS772" s="68">
        <f>AT772</f>
        <v/>
      </c>
      <c r="AT772" s="1110" t="n"/>
      <c r="AU772" s="68" t="n"/>
      <c r="AV772" s="68" t="n"/>
      <c r="AW772" s="68" t="n"/>
      <c r="AX772" s="68">
        <f>AY772</f>
        <v/>
      </c>
      <c r="AY772" s="1110" t="n"/>
      <c r="AZ772" s="68" t="n"/>
      <c r="BA772" s="68" t="n"/>
      <c r="BB772" s="68" t="n"/>
      <c r="BC772" s="68">
        <f>BD772</f>
        <v/>
      </c>
      <c r="BD772" s="1110" t="n"/>
      <c r="BE772" s="68" t="n"/>
      <c r="BF772" s="68" t="n"/>
      <c r="BG772" s="68" t="n"/>
      <c r="BH772" s="68">
        <f>BI772</f>
        <v/>
      </c>
      <c r="BI772" s="1110" t="n"/>
      <c r="BJ772" s="68" t="n"/>
      <c r="BK772" s="68" t="n"/>
      <c r="BL772" s="68" t="n"/>
      <c r="BM772" s="68">
        <f>BN772</f>
        <v/>
      </c>
      <c r="BN772" s="1110" t="n"/>
      <c r="BO772" s="68" t="n"/>
      <c r="BP772" s="68" t="n"/>
      <c r="BQ772" s="68" t="n"/>
      <c r="BR772" s="68">
        <f>BS772</f>
        <v/>
      </c>
      <c r="BS772" s="1110" t="n"/>
      <c r="BT772" s="68" t="n"/>
      <c r="BU772" s="68" t="n"/>
      <c r="BV772" s="588" t="n"/>
      <c r="BW772" s="68" t="n"/>
      <c r="BX772" s="1110" t="n"/>
      <c r="BY772" s="68" t="n"/>
      <c r="BZ772" s="68" t="n"/>
      <c r="CA772" s="68" t="n"/>
      <c r="CB772" s="68" t="n"/>
      <c r="CC772" s="1110" t="n"/>
      <c r="CD772" s="1110" t="n"/>
      <c r="CE772" s="1110" t="n"/>
      <c r="CF772" s="1110" t="n"/>
      <c r="CG772" s="155" t="n"/>
    </row>
    <row r="773" hidden="1" outlineLevel="1">
      <c r="A773" s="67" t="inlineStr">
        <is>
          <t>Acquisition termination cost</t>
        </is>
      </c>
      <c r="B773" s="146" t="n"/>
      <c r="C773" s="1110" t="n"/>
      <c r="D773" s="1110" t="n"/>
      <c r="E773" s="1110" t="n"/>
      <c r="F773" s="1110" t="n"/>
      <c r="G773" s="68" t="n"/>
      <c r="H773" s="68" t="n"/>
      <c r="I773" s="68" t="n"/>
      <c r="J773" s="68" t="n"/>
      <c r="K773" s="1110" t="n"/>
      <c r="L773" s="68" t="n"/>
      <c r="M773" s="68" t="n"/>
      <c r="N773" s="68" t="n"/>
      <c r="O773" s="68" t="n"/>
      <c r="P773" s="1110" t="n"/>
      <c r="Q773" s="68" t="n"/>
      <c r="R773" s="68" t="n"/>
      <c r="S773" s="68" t="n"/>
      <c r="T773" s="68" t="n"/>
      <c r="U773" s="1110" t="n"/>
      <c r="V773" s="68" t="n"/>
      <c r="W773" s="68" t="n"/>
      <c r="X773" s="68" t="n"/>
      <c r="Y773" s="68" t="n"/>
      <c r="Z773" s="1110" t="n"/>
      <c r="AA773" s="68" t="n"/>
      <c r="AB773" s="68" t="n"/>
      <c r="AC773" s="68" t="n"/>
      <c r="AD773" s="68" t="n"/>
      <c r="AE773" s="1110" t="n"/>
      <c r="AF773" s="68" t="n"/>
      <c r="AG773" s="68" t="n"/>
      <c r="AH773" s="68" t="n"/>
      <c r="AI773" s="68" t="n"/>
      <c r="AJ773" s="1110" t="n"/>
      <c r="AK773" s="68" t="n"/>
      <c r="AL773" s="68" t="n"/>
      <c r="AM773" s="68" t="n"/>
      <c r="AN773" s="68" t="n"/>
      <c r="AO773" s="1110" t="n"/>
      <c r="AP773" s="68" t="n"/>
      <c r="AQ773" s="68" t="n"/>
      <c r="AR773" s="68" t="n"/>
      <c r="AS773" s="68" t="n"/>
      <c r="AT773" s="1110" t="n"/>
      <c r="AU773" s="68" t="n"/>
      <c r="AV773" s="68" t="n"/>
      <c r="AW773" s="68" t="n"/>
      <c r="AX773" s="68" t="n"/>
      <c r="AY773" s="1110" t="n"/>
      <c r="AZ773" s="68" t="n"/>
      <c r="BA773" s="68" t="n"/>
      <c r="BB773" s="68" t="n"/>
      <c r="BC773" s="68" t="n"/>
      <c r="BD773" s="1110" t="n"/>
      <c r="BE773" s="1053" t="n">
        <v>1353</v>
      </c>
      <c r="BF773" s="1053" t="n">
        <v>1353</v>
      </c>
      <c r="BG773" s="1053" t="n">
        <v>1353</v>
      </c>
      <c r="BH773" s="68">
        <f>BI773</f>
        <v/>
      </c>
      <c r="BI773" s="1111" t="n">
        <v>1353</v>
      </c>
      <c r="BJ773" s="1053" t="n">
        <v>0</v>
      </c>
      <c r="BK773" s="68" t="n"/>
      <c r="BL773" s="68" t="n"/>
      <c r="BM773" s="68">
        <f>BN773</f>
        <v/>
      </c>
      <c r="BN773" s="1110" t="n"/>
      <c r="BO773" s="68" t="n"/>
      <c r="BP773" s="68" t="n"/>
      <c r="BQ773" s="68" t="n"/>
      <c r="BR773" s="68">
        <f>BS773</f>
        <v/>
      </c>
      <c r="BS773" s="1110" t="n"/>
      <c r="BT773" s="68" t="n"/>
      <c r="BU773" s="68" t="n"/>
      <c r="BV773" s="588" t="n"/>
      <c r="BW773" s="68" t="n"/>
      <c r="BX773" s="1110" t="n"/>
      <c r="BY773" s="68" t="n"/>
      <c r="BZ773" s="68" t="n"/>
      <c r="CA773" s="68" t="n"/>
      <c r="CB773" s="68" t="n"/>
      <c r="CC773" s="1110" t="n"/>
      <c r="CD773" s="1110" t="n"/>
      <c r="CE773" s="1110" t="n"/>
      <c r="CF773" s="1110" t="n"/>
      <c r="CG773" s="155" t="n"/>
    </row>
    <row r="774" hidden="1" outlineLevel="1">
      <c r="A774" s="67" t="inlineStr">
        <is>
          <t>Depreciation and amortization</t>
        </is>
      </c>
      <c r="B774" s="146" t="n"/>
      <c r="C774" s="1111" t="n">
        <v>185.023</v>
      </c>
      <c r="D774" s="1111" t="n">
        <v>196.664</v>
      </c>
      <c r="E774" s="1111" t="n">
        <v>186.989</v>
      </c>
      <c r="F774" s="1111" t="n">
        <v>204.205</v>
      </c>
      <c r="G774" s="1053" t="n">
        <v>54.491</v>
      </c>
      <c r="H774" s="1053" t="n">
        <v>110.686</v>
      </c>
      <c r="I774" s="1053" t="n">
        <v>167.834</v>
      </c>
      <c r="J774" s="27">
        <f>K774</f>
        <v/>
      </c>
      <c r="K774" s="1111" t="n">
        <v>226.235</v>
      </c>
      <c r="L774" s="1053" t="n">
        <v>59.744</v>
      </c>
      <c r="M774" s="1053" t="n">
        <v>121.584</v>
      </c>
      <c r="N774" s="1053" t="n">
        <v>184.31</v>
      </c>
      <c r="O774" s="27">
        <f>P774</f>
        <v/>
      </c>
      <c r="P774" s="1111" t="n">
        <v>239.148</v>
      </c>
      <c r="Q774" s="1053" t="n">
        <v>55</v>
      </c>
      <c r="R774" s="1053" t="n">
        <v>111</v>
      </c>
      <c r="S774" s="1053" t="n">
        <v>166</v>
      </c>
      <c r="T774" s="27">
        <f>U774</f>
        <v/>
      </c>
      <c r="U774" s="1111" t="n">
        <v>220</v>
      </c>
      <c r="V774" s="1053" t="n">
        <v>54</v>
      </c>
      <c r="W774" s="1053" t="n">
        <v>103</v>
      </c>
      <c r="X774" s="1053" t="n">
        <v>151</v>
      </c>
      <c r="Y774" s="27">
        <f>Z774</f>
        <v/>
      </c>
      <c r="Z774" s="1111" t="n">
        <v>197</v>
      </c>
      <c r="AA774" s="1053" t="n">
        <v>45</v>
      </c>
      <c r="AB774" s="1053" t="n">
        <v>92</v>
      </c>
      <c r="AC774" s="1053" t="n">
        <v>140</v>
      </c>
      <c r="AD774" s="68">
        <f>AE774</f>
        <v/>
      </c>
      <c r="AE774" s="1111" t="n">
        <v>187</v>
      </c>
      <c r="AF774" s="1053" t="n">
        <v>47</v>
      </c>
      <c r="AG774" s="1053" t="n">
        <v>96</v>
      </c>
      <c r="AH774" s="1053" t="n">
        <v>145</v>
      </c>
      <c r="AI774" s="68">
        <f>AJ774</f>
        <v/>
      </c>
      <c r="AJ774" s="1111" t="n">
        <v>199</v>
      </c>
      <c r="AK774" s="1053" t="n">
        <v>57</v>
      </c>
      <c r="AL774" s="1053" t="n">
        <v>116</v>
      </c>
      <c r="AM774" s="1053" t="n">
        <v>184</v>
      </c>
      <c r="AN774" s="68">
        <f>AO774</f>
        <v/>
      </c>
      <c r="AO774" s="1111" t="n">
        <v>262</v>
      </c>
      <c r="AP774" s="1053" t="n">
        <v>91</v>
      </c>
      <c r="AQ774" s="1053" t="n">
        <v>183</v>
      </c>
      <c r="AR774" s="1053" t="n">
        <v>275</v>
      </c>
      <c r="AS774" s="68">
        <f>AT774</f>
        <v/>
      </c>
      <c r="AT774" s="1111" t="n">
        <v>381</v>
      </c>
      <c r="AU774" s="1053" t="n">
        <v>107</v>
      </c>
      <c r="AV774" s="1053" t="n">
        <v>511</v>
      </c>
      <c r="AW774" s="1053" t="n">
        <v>810</v>
      </c>
      <c r="AX774" s="68">
        <f>AY774</f>
        <v/>
      </c>
      <c r="AY774" s="1111" t="n">
        <v>1098</v>
      </c>
      <c r="AZ774" s="1053" t="n">
        <v>281</v>
      </c>
      <c r="BA774" s="1053" t="n">
        <v>567</v>
      </c>
      <c r="BB774" s="1053" t="n">
        <v>865</v>
      </c>
      <c r="BC774" s="68">
        <f>BD774</f>
        <v/>
      </c>
      <c r="BD774" s="1111" t="n">
        <v>1174</v>
      </c>
      <c r="BE774" s="1053" t="n">
        <v>334</v>
      </c>
      <c r="BF774" s="1053" t="n">
        <v>712</v>
      </c>
      <c r="BG774" s="1053" t="n">
        <v>1118</v>
      </c>
      <c r="BH774" s="68">
        <f>BI774</f>
        <v/>
      </c>
      <c r="BI774" s="1111" t="n">
        <v>1544</v>
      </c>
      <c r="BJ774" s="1053" t="n">
        <v>384</v>
      </c>
      <c r="BK774" s="1053" t="n">
        <v>749</v>
      </c>
      <c r="BL774" s="1053" t="n">
        <v>1121</v>
      </c>
      <c r="BM774" s="68">
        <f>BN774</f>
        <v/>
      </c>
      <c r="BN774" s="1111" t="n">
        <v>1508</v>
      </c>
      <c r="BO774" s="1053" t="n">
        <v>410</v>
      </c>
      <c r="BP774" s="1053" t="n">
        <v>843</v>
      </c>
      <c r="BQ774" s="1053" t="n">
        <v>1321</v>
      </c>
      <c r="BR774" s="68">
        <f>BS774</f>
        <v/>
      </c>
      <c r="BS774" s="1111" t="n">
        <v>1864</v>
      </c>
      <c r="BT774" s="1053" t="n">
        <v>611</v>
      </c>
      <c r="BU774" s="1053" t="n">
        <v>1280</v>
      </c>
      <c r="BV774" s="1054" t="n">
        <v>2031</v>
      </c>
      <c r="BW774" s="68" t="n"/>
      <c r="BX774" s="1110" t="n"/>
      <c r="BY774" s="68" t="n"/>
      <c r="BZ774" s="68" t="n"/>
      <c r="CA774" s="68" t="n"/>
      <c r="CB774" s="68" t="n"/>
      <c r="CC774" s="1110" t="n"/>
      <c r="CD774" s="1110" t="n"/>
      <c r="CE774" s="1110" t="n"/>
      <c r="CF774" s="1110" t="n"/>
      <c r="CG774" s="155" t="n"/>
    </row>
    <row r="775" hidden="1" outlineLevel="1">
      <c r="A775" s="67" t="inlineStr">
        <is>
          <t>Stock-based compensation expense</t>
        </is>
      </c>
      <c r="B775" s="146" t="n"/>
      <c r="C775" s="1111" t="n">
        <v>162.706</v>
      </c>
      <c r="D775" s="1111" t="n">
        <v>107.091</v>
      </c>
      <c r="E775" s="1111" t="n">
        <v>100.353</v>
      </c>
      <c r="F775" s="1111" t="n">
        <v>136.354</v>
      </c>
      <c r="G775" s="1053" t="n">
        <v>35.569</v>
      </c>
      <c r="H775" s="1053" t="n">
        <v>67.824</v>
      </c>
      <c r="I775" s="1053" t="n">
        <v>100.893</v>
      </c>
      <c r="J775" s="27">
        <f>K775</f>
        <v/>
      </c>
      <c r="K775" s="1111" t="n">
        <v>136.662</v>
      </c>
      <c r="L775" s="1053" t="n">
        <v>33.397</v>
      </c>
      <c r="M775" s="1053" t="n">
        <v>65.792</v>
      </c>
      <c r="N775" s="1053" t="n">
        <v>100.091</v>
      </c>
      <c r="O775" s="27">
        <f>P775</f>
        <v/>
      </c>
      <c r="P775" s="1111" t="n">
        <v>136.295</v>
      </c>
      <c r="Q775" s="1053" t="n">
        <v>36</v>
      </c>
      <c r="R775" s="1053" t="n">
        <v>74</v>
      </c>
      <c r="S775" s="1053" t="n">
        <v>115</v>
      </c>
      <c r="T775" s="27">
        <f>U775</f>
        <v/>
      </c>
      <c r="U775" s="1111" t="n">
        <v>158</v>
      </c>
      <c r="V775" s="1053" t="n">
        <v>45</v>
      </c>
      <c r="W775" s="1053" t="n">
        <v>93</v>
      </c>
      <c r="X775" s="1053" t="n">
        <v>145</v>
      </c>
      <c r="Y775" s="27">
        <f>Z775</f>
        <v/>
      </c>
      <c r="Z775" s="1111" t="n">
        <v>204</v>
      </c>
      <c r="AA775" s="1053" t="n">
        <v>53</v>
      </c>
      <c r="AB775" s="1053" t="n">
        <v>111</v>
      </c>
      <c r="AC775" s="1053" t="n">
        <v>176</v>
      </c>
      <c r="AD775" s="68">
        <f>AE775</f>
        <v/>
      </c>
      <c r="AE775" s="1111" t="n">
        <v>247</v>
      </c>
      <c r="AF775" s="1053" t="n">
        <v>76</v>
      </c>
      <c r="AG775" s="1053" t="n">
        <v>158</v>
      </c>
      <c r="AH775" s="1053" t="n">
        <v>265</v>
      </c>
      <c r="AI775" s="68">
        <f>AJ775</f>
        <v/>
      </c>
      <c r="AJ775" s="1111" t="n">
        <v>391</v>
      </c>
      <c r="AK775" s="1053" t="n">
        <v>129</v>
      </c>
      <c r="AL775" s="1053" t="n">
        <v>262</v>
      </c>
      <c r="AM775" s="1053" t="n">
        <v>400</v>
      </c>
      <c r="AN775" s="68">
        <f>AO775</f>
        <v/>
      </c>
      <c r="AO775" s="1111" t="n">
        <v>557</v>
      </c>
      <c r="AP775" s="1053" t="n">
        <v>178</v>
      </c>
      <c r="AQ775" s="1053" t="n">
        <v>401</v>
      </c>
      <c r="AR775" s="1053" t="n">
        <v>624</v>
      </c>
      <c r="AS775" s="68">
        <f>AT775</f>
        <v/>
      </c>
      <c r="AT775" s="1111" t="n">
        <v>844</v>
      </c>
      <c r="AU775" s="1053" t="n">
        <v>224</v>
      </c>
      <c r="AV775" s="1053" t="n">
        <v>598</v>
      </c>
      <c r="AW775" s="1053" t="n">
        <v>981</v>
      </c>
      <c r="AX775" s="68">
        <f>AY775</f>
        <v/>
      </c>
      <c r="AY775" s="1111" t="n">
        <v>1397</v>
      </c>
      <c r="AZ775" s="1053" t="n">
        <v>429</v>
      </c>
      <c r="BA775" s="1053" t="n">
        <v>894</v>
      </c>
      <c r="BB775" s="1053" t="n">
        <v>1453</v>
      </c>
      <c r="BC775" s="68">
        <f>BD775</f>
        <v/>
      </c>
      <c r="BD775" s="1111" t="n">
        <v>2004</v>
      </c>
      <c r="BE775" s="1053" t="n">
        <v>578</v>
      </c>
      <c r="BF775" s="1053" t="n">
        <v>1226</v>
      </c>
      <c r="BG775" s="1053" t="n">
        <v>1971</v>
      </c>
      <c r="BH775" s="68">
        <f>BI775</f>
        <v/>
      </c>
      <c r="BI775" s="1111" t="n">
        <v>2709</v>
      </c>
      <c r="BJ775" s="1053" t="n">
        <v>735</v>
      </c>
      <c r="BK775" s="1053" t="n">
        <v>1576</v>
      </c>
      <c r="BL775" s="1053" t="n">
        <v>2555</v>
      </c>
      <c r="BM775" s="68">
        <f>BN775</f>
        <v/>
      </c>
      <c r="BN775" s="1111" t="n">
        <v>3549</v>
      </c>
      <c r="BO775" s="1053" t="n">
        <v>1011</v>
      </c>
      <c r="BP775" s="1053" t="n">
        <v>2164</v>
      </c>
      <c r="BQ775" s="1053" t="n">
        <v>3416</v>
      </c>
      <c r="BR775" s="68">
        <f>BS775</f>
        <v/>
      </c>
      <c r="BS775" s="1111" t="n">
        <v>4737</v>
      </c>
      <c r="BT775" s="1053" t="n">
        <v>1474</v>
      </c>
      <c r="BU775" s="1053" t="n">
        <v>3099</v>
      </c>
      <c r="BV775" s="1054" t="n">
        <v>4753</v>
      </c>
      <c r="BW775" s="68" t="n"/>
      <c r="BX775" s="1110" t="n"/>
      <c r="BY775" s="68" t="n"/>
      <c r="BZ775" s="68" t="n"/>
      <c r="CA775" s="68" t="n"/>
      <c r="CB775" s="68" t="n"/>
      <c r="CC775" s="1110" t="n"/>
      <c r="CD775" s="1110" t="n"/>
      <c r="CE775" s="1110" t="n"/>
      <c r="CF775" s="1110" t="n"/>
      <c r="CG775" s="155" t="n"/>
    </row>
    <row r="776" hidden="1" outlineLevel="1">
      <c r="A776" s="67" t="inlineStr">
        <is>
          <t>Restructuring and other charges</t>
        </is>
      </c>
      <c r="B776" s="146" t="n"/>
      <c r="C776" s="1110" t="n"/>
      <c r="D776" s="1110" t="n"/>
      <c r="E776" s="1110" t="n"/>
      <c r="F776" s="1110" t="n"/>
      <c r="G776" s="68" t="n"/>
      <c r="H776" s="68" t="n"/>
      <c r="I776" s="68" t="n"/>
      <c r="J776" s="27">
        <f>K776</f>
        <v/>
      </c>
      <c r="K776" s="1110" t="n"/>
      <c r="L776" s="68" t="n"/>
      <c r="M776" s="68" t="n"/>
      <c r="N776" s="68" t="n"/>
      <c r="O776" s="27">
        <f>P776</f>
        <v/>
      </c>
      <c r="P776" s="1110" t="n"/>
      <c r="Q776" s="68" t="n"/>
      <c r="R776" s="68" t="n"/>
      <c r="S776" s="68" t="n"/>
      <c r="T776" s="27">
        <f>U776</f>
        <v/>
      </c>
      <c r="U776" s="1111" t="n">
        <v>0</v>
      </c>
      <c r="V776" s="68" t="n"/>
      <c r="W776" s="1053" t="n">
        <v>32</v>
      </c>
      <c r="X776" s="1053" t="n">
        <v>37</v>
      </c>
      <c r="Y776" s="27">
        <f>Z776</f>
        <v/>
      </c>
      <c r="Z776" s="1111" t="n">
        <v>45</v>
      </c>
      <c r="AA776" s="68" t="n"/>
      <c r="AB776" s="68" t="n"/>
      <c r="AC776" s="68" t="n"/>
      <c r="AD776" s="68">
        <f>AE776</f>
        <v/>
      </c>
      <c r="AE776" s="1110" t="n"/>
      <c r="AF776" s="68" t="n"/>
      <c r="AG776" s="68" t="n"/>
      <c r="AH776" s="68" t="n"/>
      <c r="AI776" s="68">
        <f>AJ776</f>
        <v/>
      </c>
      <c r="AJ776" s="1110" t="n"/>
      <c r="AK776" s="68" t="n"/>
      <c r="AL776" s="68" t="n"/>
      <c r="AM776" s="68" t="n"/>
      <c r="AN776" s="68">
        <f>AO776</f>
        <v/>
      </c>
      <c r="AO776" s="1110" t="n"/>
      <c r="AP776" s="68" t="n"/>
      <c r="AQ776" s="68" t="n"/>
      <c r="AR776" s="68" t="n"/>
      <c r="AS776" s="68">
        <f>AT776</f>
        <v/>
      </c>
      <c r="AT776" s="1110" t="n"/>
      <c r="AU776" s="68" t="n"/>
      <c r="AV776" s="68" t="n"/>
      <c r="AW776" s="68" t="n"/>
      <c r="AX776" s="68">
        <f>AY776</f>
        <v/>
      </c>
      <c r="AY776" s="1110" t="n"/>
      <c r="AZ776" s="68" t="n"/>
      <c r="BA776" s="68" t="n"/>
      <c r="BB776" s="68" t="n"/>
      <c r="BC776" s="68">
        <f>BD776</f>
        <v/>
      </c>
      <c r="BD776" s="1110" t="n"/>
      <c r="BE776" s="68" t="n"/>
      <c r="BF776" s="68" t="n"/>
      <c r="BG776" s="68" t="n"/>
      <c r="BH776" s="68">
        <f>BI776</f>
        <v/>
      </c>
      <c r="BI776" s="1110" t="n"/>
      <c r="BJ776" s="68" t="n"/>
      <c r="BK776" s="68" t="n"/>
      <c r="BL776" s="68" t="n"/>
      <c r="BM776" s="68">
        <f>BN776</f>
        <v/>
      </c>
      <c r="BN776" s="1110" t="n"/>
      <c r="BO776" s="68" t="n"/>
      <c r="BP776" s="68" t="n"/>
      <c r="BQ776" s="68" t="n"/>
      <c r="BR776" s="68">
        <f>BS776</f>
        <v/>
      </c>
      <c r="BS776" s="1110" t="n"/>
      <c r="BT776" s="68" t="n"/>
      <c r="BU776" s="68" t="n"/>
      <c r="BV776" s="588" t="n"/>
      <c r="BW776" s="68" t="n"/>
      <c r="BX776" s="1110" t="n"/>
      <c r="BY776" s="68" t="n"/>
      <c r="BZ776" s="68" t="n"/>
      <c r="CA776" s="68" t="n"/>
      <c r="CB776" s="68" t="n"/>
      <c r="CC776" s="1110" t="n"/>
      <c r="CD776" s="1110" t="n"/>
      <c r="CE776" s="1110" t="n"/>
      <c r="CF776" s="1110" t="n"/>
      <c r="CG776" s="155" t="n"/>
    </row>
    <row r="777" hidden="1" outlineLevel="1">
      <c r="A777" s="67" t="inlineStr">
        <is>
          <t>Amortization of debt discount</t>
        </is>
      </c>
      <c r="B777" s="146" t="n"/>
      <c r="C777" s="1110" t="n"/>
      <c r="D777" s="1110" t="n"/>
      <c r="E777" s="1110" t="n"/>
      <c r="F777" s="1110" t="n"/>
      <c r="G777" s="68" t="n"/>
      <c r="H777" s="68" t="n"/>
      <c r="I777" s="1053" t="n">
        <v>0</v>
      </c>
      <c r="J777" s="27">
        <f>K777</f>
        <v/>
      </c>
      <c r="K777" s="1111" t="n">
        <v>0</v>
      </c>
      <c r="L777" s="68" t="n"/>
      <c r="M777" s="68" t="n"/>
      <c r="N777" s="1053" t="n">
        <v>0</v>
      </c>
      <c r="O777" s="27">
        <f>P777</f>
        <v/>
      </c>
      <c r="P777" s="1111" t="n">
        <v>4.6</v>
      </c>
      <c r="Q777" s="1053" t="n">
        <v>7</v>
      </c>
      <c r="R777" s="1053" t="n">
        <v>14</v>
      </c>
      <c r="S777" s="1053" t="n">
        <v>21</v>
      </c>
      <c r="T777" s="27">
        <f>U777</f>
        <v/>
      </c>
      <c r="U777" s="1111" t="n">
        <v>28</v>
      </c>
      <c r="V777" s="1053" t="n">
        <v>7</v>
      </c>
      <c r="W777" s="1053" t="n">
        <v>14</v>
      </c>
      <c r="X777" s="1053" t="n">
        <v>22</v>
      </c>
      <c r="Y777" s="27">
        <f>Z777</f>
        <v/>
      </c>
      <c r="Z777" s="1111" t="n">
        <v>29</v>
      </c>
      <c r="AA777" s="1053" t="n">
        <v>8</v>
      </c>
      <c r="AB777" s="1053" t="n">
        <v>14</v>
      </c>
      <c r="AC777" s="1053" t="n">
        <v>20</v>
      </c>
      <c r="AD777" s="68">
        <f>AE777</f>
        <v/>
      </c>
      <c r="AE777" s="1111" t="n">
        <v>25</v>
      </c>
      <c r="AF777" s="1053" t="n">
        <v>2</v>
      </c>
      <c r="AG777" s="1053" t="n">
        <v>2</v>
      </c>
      <c r="AH777" s="1053" t="n">
        <v>3</v>
      </c>
      <c r="AI777" s="68">
        <f>AJ777</f>
        <v/>
      </c>
      <c r="AJ777" s="1111" t="n">
        <v>3</v>
      </c>
      <c r="AK777" s="68" t="n"/>
      <c r="AL777" s="68" t="n"/>
      <c r="AM777" s="68" t="n"/>
      <c r="AN777" s="68">
        <f>AO777</f>
        <v/>
      </c>
      <c r="AO777" s="1110" t="n"/>
      <c r="AP777" s="68" t="n"/>
      <c r="AQ777" s="68" t="n"/>
      <c r="AR777" s="68" t="n"/>
      <c r="AS777" s="68">
        <f>AT777</f>
        <v/>
      </c>
      <c r="AT777" s="1110" t="n"/>
      <c r="AU777" s="68" t="n"/>
      <c r="AV777" s="68" t="n"/>
      <c r="AW777" s="68" t="n"/>
      <c r="AX777" s="68">
        <f>AY777</f>
        <v/>
      </c>
      <c r="AY777" s="1110" t="n"/>
      <c r="AZ777" s="68" t="n"/>
      <c r="BA777" s="68" t="n"/>
      <c r="BB777" s="68" t="n"/>
      <c r="BC777" s="68">
        <f>BD777</f>
        <v/>
      </c>
      <c r="BD777" s="1110" t="n"/>
      <c r="BE777" s="68" t="n"/>
      <c r="BF777" s="68" t="n"/>
      <c r="BG777" s="68" t="n"/>
      <c r="BH777" s="68">
        <f>BI777</f>
        <v/>
      </c>
      <c r="BI777" s="1110" t="n"/>
      <c r="BJ777" s="68" t="n"/>
      <c r="BK777" s="68" t="n"/>
      <c r="BL777" s="68" t="n"/>
      <c r="BM777" s="68">
        <f>BN777</f>
        <v/>
      </c>
      <c r="BN777" s="1110" t="n"/>
      <c r="BO777" s="68" t="n"/>
      <c r="BP777" s="68" t="n"/>
      <c r="BQ777" s="68" t="n"/>
      <c r="BR777" s="68">
        <f>BS777</f>
        <v/>
      </c>
      <c r="BS777" s="1110" t="n"/>
      <c r="BT777" s="68" t="n"/>
      <c r="BU777" s="68" t="n"/>
      <c r="BV777" s="588" t="n"/>
      <c r="BW777" s="68" t="n"/>
      <c r="BX777" s="1110" t="n"/>
      <c r="BY777" s="68" t="n"/>
      <c r="BZ777" s="68" t="n"/>
      <c r="CA777" s="68" t="n"/>
      <c r="CB777" s="68" t="n"/>
      <c r="CC777" s="1110" t="n"/>
      <c r="CD777" s="1110" t="n"/>
      <c r="CE777" s="1110" t="n"/>
      <c r="CF777" s="1110" t="n"/>
      <c r="CG777" s="155" t="n"/>
    </row>
    <row r="778" hidden="1" outlineLevel="1">
      <c r="A778" s="67" t="inlineStr">
        <is>
          <t>Net gain on sale and disposal of long-lived assets and investments</t>
        </is>
      </c>
      <c r="B778" s="146" t="n"/>
      <c r="C778" s="1110" t="n"/>
      <c r="D778" s="1110" t="n"/>
      <c r="E778" s="1110" t="n"/>
      <c r="F778" s="1110" t="n"/>
      <c r="G778" s="68" t="n"/>
      <c r="H778" s="1053" t="n">
        <v>0</v>
      </c>
      <c r="I778" s="1053" t="n">
        <v>0</v>
      </c>
      <c r="J778" s="27">
        <f>K778</f>
        <v/>
      </c>
      <c r="K778" s="1111" t="n">
        <v>0</v>
      </c>
      <c r="L778" s="68" t="n"/>
      <c r="M778" s="1053" t="n">
        <v>0</v>
      </c>
      <c r="N778" s="1053" t="n">
        <v>-0.258</v>
      </c>
      <c r="O778" s="27">
        <f>P778</f>
        <v/>
      </c>
      <c r="P778" s="1111" t="n">
        <v>-8.140000000000001</v>
      </c>
      <c r="Q778" s="1053" t="n">
        <v>-17</v>
      </c>
      <c r="R778" s="1053" t="n">
        <v>-14</v>
      </c>
      <c r="S778" s="1053" t="n">
        <v>-18</v>
      </c>
      <c r="T778" s="27">
        <f>U778</f>
        <v/>
      </c>
      <c r="U778" s="1111" t="n">
        <v>-17</v>
      </c>
      <c r="V778" s="1053" t="n">
        <v>-3</v>
      </c>
      <c r="W778" s="1053" t="n">
        <v>-3</v>
      </c>
      <c r="X778" s="1053" t="n">
        <v>-7</v>
      </c>
      <c r="Y778" s="27">
        <f>Z778</f>
        <v/>
      </c>
      <c r="Z778" s="1111" t="n">
        <v>-6</v>
      </c>
      <c r="AA778" s="1053" t="n">
        <v>-3</v>
      </c>
      <c r="AB778" s="1053" t="n">
        <v>-3</v>
      </c>
      <c r="AC778" s="1053" t="n">
        <v>-2</v>
      </c>
      <c r="AD778" s="68">
        <f>AE778</f>
        <v/>
      </c>
      <c r="AE778" s="1111" t="n">
        <v>-3</v>
      </c>
      <c r="AF778" s="1053" t="n">
        <v>0</v>
      </c>
      <c r="AG778" s="1053" t="n">
        <v>1</v>
      </c>
      <c r="AH778" s="1053" t="n">
        <v>1</v>
      </c>
      <c r="AI778" s="68">
        <f>AJ778</f>
        <v/>
      </c>
      <c r="AJ778" s="1111" t="n">
        <v>-1</v>
      </c>
      <c r="AK778" s="68" t="n"/>
      <c r="AL778" s="68" t="n"/>
      <c r="AM778" s="68" t="n"/>
      <c r="AN778" s="68">
        <f>AO778</f>
        <v/>
      </c>
      <c r="AO778" s="1110" t="n"/>
      <c r="AP778" s="68" t="n"/>
      <c r="AQ778" s="68" t="n"/>
      <c r="AR778" s="68" t="n"/>
      <c r="AS778" s="68">
        <f>AT778</f>
        <v/>
      </c>
      <c r="AT778" s="1110" t="n"/>
      <c r="AU778" s="68" t="n"/>
      <c r="AV778" s="68" t="n"/>
      <c r="AW778" s="68" t="n"/>
      <c r="AX778" s="68">
        <f>AY778</f>
        <v/>
      </c>
      <c r="AY778" s="1110" t="n"/>
      <c r="AZ778" s="68" t="n"/>
      <c r="BA778" s="68" t="n"/>
      <c r="BB778" s="68" t="n"/>
      <c r="BC778" s="68">
        <f>BD778</f>
        <v/>
      </c>
      <c r="BD778" s="1110" t="n"/>
      <c r="BE778" s="68" t="n"/>
      <c r="BF778" s="68" t="n"/>
      <c r="BG778" s="68" t="n"/>
      <c r="BH778" s="68">
        <f>BI778</f>
        <v/>
      </c>
      <c r="BI778" s="1110" t="n"/>
      <c r="BJ778" s="68" t="n"/>
      <c r="BK778" s="68" t="n"/>
      <c r="BL778" s="68" t="n"/>
      <c r="BM778" s="68">
        <f>BN778</f>
        <v/>
      </c>
      <c r="BN778" s="1110" t="n"/>
      <c r="BO778" s="68" t="n"/>
      <c r="BP778" s="68" t="n"/>
      <c r="BQ778" s="68" t="n"/>
      <c r="BR778" s="68">
        <f>BS778</f>
        <v/>
      </c>
      <c r="BS778" s="1110" t="n"/>
      <c r="BT778" s="68" t="n"/>
      <c r="BU778" s="68" t="n"/>
      <c r="BV778" s="588" t="n"/>
      <c r="BW778" s="68" t="n"/>
      <c r="BX778" s="1110" t="n"/>
      <c r="BY778" s="68" t="n"/>
      <c r="BZ778" s="68" t="n"/>
      <c r="CA778" s="68" t="n"/>
      <c r="CB778" s="68" t="n"/>
      <c r="CC778" s="1110" t="n"/>
      <c r="CD778" s="1110" t="n"/>
      <c r="CE778" s="1110" t="n"/>
      <c r="CF778" s="1110" t="n"/>
      <c r="CG778" s="155" t="n"/>
    </row>
    <row r="779" hidden="1" outlineLevel="1">
      <c r="A779" s="67" t="inlineStr">
        <is>
          <t>Loss on early debt conversion</t>
        </is>
      </c>
      <c r="B779" s="146" t="n"/>
      <c r="C779" s="1110" t="n"/>
      <c r="D779" s="1110" t="n"/>
      <c r="E779" s="1110" t="n"/>
      <c r="F779" s="1110" t="n"/>
      <c r="G779" s="68" t="n"/>
      <c r="H779" s="68" t="n"/>
      <c r="I779" s="68" t="n"/>
      <c r="J779" s="68" t="n"/>
      <c r="K779" s="1110" t="n"/>
      <c r="L779" s="68" t="n"/>
      <c r="M779" s="68" t="n"/>
      <c r="N779" s="68" t="n"/>
      <c r="O779" s="68" t="n"/>
      <c r="P779" s="1110" t="n"/>
      <c r="Q779" s="68" t="n"/>
      <c r="R779" s="68" t="n"/>
      <c r="S779" s="68" t="n"/>
      <c r="T779" s="68" t="n"/>
      <c r="U779" s="1110" t="n"/>
      <c r="V779" s="68" t="n"/>
      <c r="W779" s="68" t="n"/>
      <c r="X779" s="68" t="n"/>
      <c r="Y779" s="68" t="n"/>
      <c r="Z779" s="1110" t="n"/>
      <c r="AA779" s="68" t="n"/>
      <c r="AB779" s="68" t="n"/>
      <c r="AC779" s="1053" t="n">
        <v>15</v>
      </c>
      <c r="AD779" s="68">
        <f>AE779</f>
        <v/>
      </c>
      <c r="AE779" s="1111" t="n">
        <v>21</v>
      </c>
      <c r="AF779" s="1053" t="n">
        <v>14</v>
      </c>
      <c r="AG779" s="1053" t="n">
        <v>17</v>
      </c>
      <c r="AH779" s="1053" t="n">
        <v>19</v>
      </c>
      <c r="AI779" s="68">
        <f>AJ779</f>
        <v/>
      </c>
      <c r="AJ779" s="1111" t="n">
        <v>19</v>
      </c>
      <c r="AK779" s="68" t="n"/>
      <c r="AL779" s="68" t="n"/>
      <c r="AM779" s="68" t="n"/>
      <c r="AN779" s="68" t="n"/>
      <c r="AO779" s="1110" t="n"/>
      <c r="AP779" s="68" t="n"/>
      <c r="AQ779" s="68" t="n"/>
      <c r="AR779" s="68" t="n"/>
      <c r="AS779" s="68">
        <f>AT779</f>
        <v/>
      </c>
      <c r="AT779" s="1110" t="n"/>
      <c r="AU779" s="68" t="n"/>
      <c r="AV779" s="68" t="n"/>
      <c r="AW779" s="68" t="n"/>
      <c r="AX779" s="68">
        <f>AY779</f>
        <v/>
      </c>
      <c r="AY779" s="1110" t="n"/>
      <c r="AZ779" s="68" t="n"/>
      <c r="BA779" s="68" t="n"/>
      <c r="BB779" s="68" t="n"/>
      <c r="BC779" s="68">
        <f>BD779</f>
        <v/>
      </c>
      <c r="BD779" s="1110" t="n"/>
      <c r="BE779" s="68" t="n"/>
      <c r="BF779" s="68" t="n"/>
      <c r="BG779" s="68" t="n"/>
      <c r="BH779" s="68">
        <f>BI779</f>
        <v/>
      </c>
      <c r="BI779" s="1110" t="n"/>
      <c r="BJ779" s="68" t="n"/>
      <c r="BK779" s="68" t="n"/>
      <c r="BL779" s="68" t="n"/>
      <c r="BM779" s="68">
        <f>BN779</f>
        <v/>
      </c>
      <c r="BN779" s="1110" t="n"/>
      <c r="BO779" s="68" t="n"/>
      <c r="BP779" s="68" t="n"/>
      <c r="BQ779" s="68" t="n"/>
      <c r="BR779" s="68">
        <f>BS779</f>
        <v/>
      </c>
      <c r="BS779" s="1110" t="n"/>
      <c r="BT779" s="68" t="n"/>
      <c r="BU779" s="68" t="n"/>
      <c r="BV779" s="588" t="n"/>
      <c r="BW779" s="68" t="n"/>
      <c r="BX779" s="1110" t="n"/>
      <c r="BY779" s="68" t="n"/>
      <c r="BZ779" s="68" t="n"/>
      <c r="CA779" s="68" t="n"/>
      <c r="CB779" s="68" t="n"/>
      <c r="CC779" s="1110" t="n"/>
      <c r="CD779" s="1110" t="n"/>
      <c r="CE779" s="1110" t="n"/>
      <c r="CF779" s="1110" t="n"/>
      <c r="CG779" s="155" t="n"/>
    </row>
    <row r="780" hidden="1" outlineLevel="1">
      <c r="A780" s="67" t="inlineStr">
        <is>
          <t>Deferred income taxes</t>
        </is>
      </c>
      <c r="B780" s="146" t="n"/>
      <c r="C780" s="1111" t="n">
        <v>-23.277</v>
      </c>
      <c r="D780" s="1111" t="n">
        <v>-21.147</v>
      </c>
      <c r="E780" s="1111" t="n">
        <v>-2.646</v>
      </c>
      <c r="F780" s="1111" t="n">
        <v>19.056</v>
      </c>
      <c r="G780" s="1053" t="n">
        <v>3.63</v>
      </c>
      <c r="H780" s="1053" t="n">
        <v>13.791</v>
      </c>
      <c r="I780" s="1053" t="n">
        <v>42.684</v>
      </c>
      <c r="J780" s="27">
        <f>K780</f>
        <v/>
      </c>
      <c r="K780" s="1111" t="n">
        <v>31.86</v>
      </c>
      <c r="L780" s="1053" t="n">
        <v>-3.063</v>
      </c>
      <c r="M780" s="1053" t="n">
        <v>-0.611</v>
      </c>
      <c r="N780" s="1053" t="n">
        <v>7.914</v>
      </c>
      <c r="O780" s="27">
        <f>P780</f>
        <v/>
      </c>
      <c r="P780" s="1111" t="n">
        <v>15.43</v>
      </c>
      <c r="Q780" s="1053" t="n">
        <v>22</v>
      </c>
      <c r="R780" s="1053" t="n">
        <v>38</v>
      </c>
      <c r="S780" s="1053" t="n">
        <v>62</v>
      </c>
      <c r="T780" s="27">
        <f>U780</f>
        <v/>
      </c>
      <c r="U780" s="1111" t="n">
        <v>83</v>
      </c>
      <c r="V780" s="1053" t="n">
        <v>28</v>
      </c>
      <c r="W780" s="1053" t="n">
        <v>65</v>
      </c>
      <c r="X780" s="1053" t="n">
        <v>107</v>
      </c>
      <c r="Y780" s="27">
        <f>Z780</f>
        <v/>
      </c>
      <c r="Z780" s="1111" t="n">
        <v>134</v>
      </c>
      <c r="AA780" s="1053" t="n">
        <v>30</v>
      </c>
      <c r="AB780" s="1053" t="n">
        <v>77</v>
      </c>
      <c r="AC780" s="1053" t="n">
        <v>146</v>
      </c>
      <c r="AD780" s="68">
        <f>AE780</f>
        <v/>
      </c>
      <c r="AE780" s="1111" t="n">
        <v>197</v>
      </c>
      <c r="AF780" s="1053" t="n">
        <v>22</v>
      </c>
      <c r="AG780" s="1053" t="n">
        <v>115</v>
      </c>
      <c r="AH780" s="1053" t="n">
        <v>158</v>
      </c>
      <c r="AI780" s="68">
        <f>AJ780</f>
        <v/>
      </c>
      <c r="AJ780" s="1111" t="n">
        <v>-359</v>
      </c>
      <c r="AK780" s="1053" t="n">
        <v>51</v>
      </c>
      <c r="AL780" s="1053" t="n">
        <v>113</v>
      </c>
      <c r="AM780" s="1053" t="n">
        <v>30</v>
      </c>
      <c r="AN780" s="68">
        <f>AO780</f>
        <v/>
      </c>
      <c r="AO780" s="1111" t="n">
        <v>-315</v>
      </c>
      <c r="AP780" s="1053" t="n">
        <v>-42</v>
      </c>
      <c r="AQ780" s="1053" t="n">
        <v>-27</v>
      </c>
      <c r="AR780" s="1053" t="n">
        <v>-5</v>
      </c>
      <c r="AS780" s="68">
        <f>AT780</f>
        <v/>
      </c>
      <c r="AT780" s="1111" t="n">
        <v>18</v>
      </c>
      <c r="AU780" s="1053" t="n">
        <v>16</v>
      </c>
      <c r="AV780" s="1053" t="n">
        <v>-64</v>
      </c>
      <c r="AW780" s="1053" t="n">
        <v>-117</v>
      </c>
      <c r="AX780" s="68">
        <f>AY780</f>
        <v/>
      </c>
      <c r="AY780" s="1111" t="n">
        <v>-282</v>
      </c>
      <c r="AZ780" s="1053" t="n">
        <v>24</v>
      </c>
      <c r="BA780" s="1053" t="n">
        <v>-161</v>
      </c>
      <c r="BB780" s="1053" t="n">
        <v>-182</v>
      </c>
      <c r="BC780" s="68">
        <f>BD780</f>
        <v/>
      </c>
      <c r="BD780" s="1111" t="n">
        <v>-406</v>
      </c>
      <c r="BE780" s="1053" t="n">
        <v>-542</v>
      </c>
      <c r="BF780" s="1053" t="n">
        <v>-985</v>
      </c>
      <c r="BG780" s="1053" t="n">
        <v>-1517</v>
      </c>
      <c r="BH780" s="68">
        <f>BI780</f>
        <v/>
      </c>
      <c r="BI780" s="1111" t="n">
        <v>-2164</v>
      </c>
      <c r="BJ780" s="1053" t="n">
        <v>-1135</v>
      </c>
      <c r="BK780" s="1053" t="n">
        <v>-1881</v>
      </c>
      <c r="BL780" s="1053" t="n">
        <v>-2411</v>
      </c>
      <c r="BM780" s="68">
        <f>BN780</f>
        <v/>
      </c>
      <c r="BN780" s="1111" t="n">
        <v>-2489</v>
      </c>
      <c r="BO780" s="1053" t="n">
        <v>-1577</v>
      </c>
      <c r="BP780" s="1053" t="n">
        <v>-3276</v>
      </c>
      <c r="BQ780" s="1053" t="n">
        <v>-3879</v>
      </c>
      <c r="BR780" s="68">
        <f>BS780</f>
        <v/>
      </c>
      <c r="BS780" s="1111" t="n">
        <v>-4477</v>
      </c>
      <c r="BT780" s="1053" t="n">
        <v>-2177</v>
      </c>
      <c r="BU780" s="1053" t="n">
        <v>-2160</v>
      </c>
      <c r="BV780" s="1054" t="n">
        <v>-2035</v>
      </c>
      <c r="BW780" s="68" t="n"/>
      <c r="BX780" s="1110" t="n"/>
      <c r="BY780" s="68" t="n"/>
      <c r="BZ780" s="68" t="n"/>
      <c r="CA780" s="68" t="n"/>
      <c r="CB780" s="68" t="n"/>
      <c r="CC780" s="1110" t="n"/>
      <c r="CD780" s="1110" t="n"/>
      <c r="CE780" s="1110" t="n"/>
      <c r="CF780" s="1110" t="n"/>
      <c r="CG780" s="155" t="n"/>
    </row>
    <row r="781" hidden="1" outlineLevel="1">
      <c r="A781" s="67" t="inlineStr">
        <is>
          <t>Payments under patent licensing arrangement</t>
        </is>
      </c>
      <c r="B781" s="146" t="n"/>
      <c r="C781" s="1111" t="n">
        <v>-21.797</v>
      </c>
      <c r="D781" s="1111" t="n">
        <v>-0.857</v>
      </c>
      <c r="E781" s="1110" t="n"/>
      <c r="F781" s="1110" t="n"/>
      <c r="G781" s="68" t="n"/>
      <c r="H781" s="68" t="n"/>
      <c r="I781" s="68" t="n"/>
      <c r="J781" s="27">
        <f>K781</f>
        <v/>
      </c>
      <c r="K781" s="1110" t="n"/>
      <c r="L781" s="68" t="n"/>
      <c r="M781" s="68" t="n"/>
      <c r="N781" s="68" t="n"/>
      <c r="O781" s="27">
        <f>P781</f>
        <v/>
      </c>
      <c r="P781" s="1110" t="n"/>
      <c r="Q781" s="68" t="n"/>
      <c r="R781" s="68" t="n"/>
      <c r="S781" s="68" t="n"/>
      <c r="T781" s="27">
        <f>U781</f>
        <v/>
      </c>
      <c r="U781" s="1110" t="n"/>
      <c r="V781" s="68" t="n"/>
      <c r="W781" s="68" t="n"/>
      <c r="X781" s="68" t="n"/>
      <c r="Y781" s="27">
        <f>Z781</f>
        <v/>
      </c>
      <c r="Z781" s="1110" t="n"/>
      <c r="AA781" s="68" t="n"/>
      <c r="AB781" s="68" t="n"/>
      <c r="AC781" s="68" t="n"/>
      <c r="AD781" s="68">
        <f>AE781</f>
        <v/>
      </c>
      <c r="AE781" s="1110" t="n"/>
      <c r="AF781" s="68" t="n"/>
      <c r="AG781" s="68" t="n"/>
      <c r="AH781" s="68" t="n"/>
      <c r="AI781" s="68">
        <f>AJ781</f>
        <v/>
      </c>
      <c r="AJ781" s="1110" t="n"/>
      <c r="AK781" s="68" t="n"/>
      <c r="AL781" s="68" t="n"/>
      <c r="AM781" s="68" t="n"/>
      <c r="AN781" s="68">
        <f>AO781</f>
        <v/>
      </c>
      <c r="AO781" s="1110" t="n"/>
      <c r="AP781" s="68" t="n"/>
      <c r="AQ781" s="68" t="n"/>
      <c r="AR781" s="68" t="n"/>
      <c r="AS781" s="68">
        <f>AT781</f>
        <v/>
      </c>
      <c r="AT781" s="1110" t="n"/>
      <c r="AU781" s="68" t="n"/>
      <c r="AV781" s="68" t="n"/>
      <c r="AW781" s="68" t="n"/>
      <c r="AX781" s="68">
        <f>AY781</f>
        <v/>
      </c>
      <c r="AY781" s="1110" t="n"/>
      <c r="AZ781" s="68" t="n"/>
      <c r="BA781" s="68" t="n"/>
      <c r="BB781" s="68" t="n"/>
      <c r="BC781" s="68">
        <f>BD781</f>
        <v/>
      </c>
      <c r="BD781" s="1110" t="n"/>
      <c r="BE781" s="68" t="n"/>
      <c r="BF781" s="68" t="n"/>
      <c r="BG781" s="68" t="n"/>
      <c r="BH781" s="68">
        <f>BI781</f>
        <v/>
      </c>
      <c r="BI781" s="1110" t="n"/>
      <c r="BJ781" s="68" t="n"/>
      <c r="BK781" s="68" t="n"/>
      <c r="BL781" s="68" t="n"/>
      <c r="BM781" s="68">
        <f>BN781</f>
        <v/>
      </c>
      <c r="BN781" s="1110" t="n"/>
      <c r="BO781" s="68" t="n"/>
      <c r="BP781" s="68" t="n"/>
      <c r="BQ781" s="68" t="n"/>
      <c r="BR781" s="68">
        <f>BS781</f>
        <v/>
      </c>
      <c r="BS781" s="1110" t="n"/>
      <c r="BT781" s="68" t="n"/>
      <c r="BU781" s="68" t="n"/>
      <c r="BV781" s="588" t="n"/>
      <c r="BW781" s="68" t="n"/>
      <c r="BX781" s="1110" t="n"/>
      <c r="BY781" s="68" t="n"/>
      <c r="BZ781" s="68" t="n"/>
      <c r="CA781" s="68" t="n"/>
      <c r="CB781" s="68" t="n"/>
      <c r="CC781" s="1110" t="n"/>
      <c r="CD781" s="1110" t="n"/>
      <c r="CE781" s="1110" t="n"/>
      <c r="CF781" s="1110" t="n"/>
      <c r="CG781" s="155" t="n"/>
    </row>
    <row r="782" hidden="1" outlineLevel="1">
      <c r="A782" s="67" t="inlineStr">
        <is>
          <t>In-process research and development expenses</t>
        </is>
      </c>
      <c r="B782" s="146" t="n"/>
      <c r="C782" s="1110" t="n"/>
      <c r="D782" s="1110" t="n"/>
      <c r="E782" s="1110" t="n"/>
      <c r="F782" s="1110" t="n"/>
      <c r="G782" s="68" t="n"/>
      <c r="H782" s="68" t="n"/>
      <c r="I782" s="68" t="n"/>
      <c r="J782" s="27">
        <f>K782</f>
        <v/>
      </c>
      <c r="K782" s="1110" t="n"/>
      <c r="L782" s="68" t="n"/>
      <c r="M782" s="68" t="n"/>
      <c r="N782" s="68" t="n"/>
      <c r="O782" s="27">
        <f>P782</f>
        <v/>
      </c>
      <c r="P782" s="1110" t="n"/>
      <c r="Q782" s="68" t="n"/>
      <c r="R782" s="68" t="n"/>
      <c r="S782" s="68" t="n"/>
      <c r="T782" s="27">
        <f>U782</f>
        <v/>
      </c>
      <c r="U782" s="1110" t="n"/>
      <c r="V782" s="68" t="n"/>
      <c r="W782" s="68" t="n"/>
      <c r="X782" s="68" t="n"/>
      <c r="Y782" s="27">
        <f>Z782</f>
        <v/>
      </c>
      <c r="Z782" s="1110" t="n"/>
      <c r="AA782" s="68" t="n"/>
      <c r="AB782" s="68" t="n"/>
      <c r="AC782" s="68" t="n"/>
      <c r="AD782" s="68">
        <f>AE782</f>
        <v/>
      </c>
      <c r="AE782" s="1110" t="n"/>
      <c r="AF782" s="68" t="n"/>
      <c r="AG782" s="68" t="n"/>
      <c r="AH782" s="68" t="n"/>
      <c r="AI782" s="68">
        <f>AJ782</f>
        <v/>
      </c>
      <c r="AJ782" s="1110" t="n"/>
      <c r="AK782" s="68" t="n"/>
      <c r="AL782" s="68" t="n"/>
      <c r="AM782" s="68" t="n"/>
      <c r="AN782" s="68">
        <f>AO782</f>
        <v/>
      </c>
      <c r="AO782" s="1110" t="n"/>
      <c r="AP782" s="68" t="n"/>
      <c r="AQ782" s="68" t="n"/>
      <c r="AR782" s="68" t="n"/>
      <c r="AS782" s="68">
        <f>AT782</f>
        <v/>
      </c>
      <c r="AT782" s="1110" t="n"/>
      <c r="AU782" s="68" t="n"/>
      <c r="AV782" s="68" t="n"/>
      <c r="AW782" s="68" t="n"/>
      <c r="AX782" s="68">
        <f>AY782</f>
        <v/>
      </c>
      <c r="AY782" s="1110" t="n"/>
      <c r="AZ782" s="68" t="n"/>
      <c r="BA782" s="68" t="n"/>
      <c r="BB782" s="68" t="n"/>
      <c r="BC782" s="68">
        <f>BD782</f>
        <v/>
      </c>
      <c r="BD782" s="1110" t="n"/>
      <c r="BE782" s="68" t="n"/>
      <c r="BF782" s="68" t="n"/>
      <c r="BG782" s="68" t="n"/>
      <c r="BH782" s="68">
        <f>BI782</f>
        <v/>
      </c>
      <c r="BI782" s="1110" t="n"/>
      <c r="BJ782" s="68" t="n"/>
      <c r="BK782" s="68" t="n"/>
      <c r="BL782" s="68" t="n"/>
      <c r="BM782" s="68">
        <f>BN782</f>
        <v/>
      </c>
      <c r="BN782" s="1110" t="n"/>
      <c r="BO782" s="68" t="n"/>
      <c r="BP782" s="68" t="n"/>
      <c r="BQ782" s="68" t="n"/>
      <c r="BR782" s="68">
        <f>BS782</f>
        <v/>
      </c>
      <c r="BS782" s="1110" t="n"/>
      <c r="BT782" s="68" t="n"/>
      <c r="BU782" s="68" t="n"/>
      <c r="BV782" s="588" t="n"/>
      <c r="BW782" s="68" t="n"/>
      <c r="BX782" s="1110" t="n"/>
      <c r="BY782" s="68" t="n"/>
      <c r="BZ782" s="68" t="n"/>
      <c r="CA782" s="68" t="n"/>
      <c r="CB782" s="68" t="n"/>
      <c r="CC782" s="1110" t="n"/>
      <c r="CD782" s="1110" t="n"/>
      <c r="CE782" s="1110" t="n"/>
      <c r="CF782" s="1110" t="n"/>
      <c r="CG782" s="155" t="n"/>
    </row>
    <row r="783" hidden="1" outlineLevel="1">
      <c r="A783" s="67" t="inlineStr">
        <is>
          <t>Tax benefit from stock options</t>
        </is>
      </c>
      <c r="B783" s="146" t="n"/>
      <c r="C783" s="1110" t="n"/>
      <c r="D783" s="1110" t="n"/>
      <c r="E783" s="1110" t="n"/>
      <c r="F783" s="1110" t="n"/>
      <c r="G783" s="68" t="n"/>
      <c r="H783" s="68" t="n"/>
      <c r="I783" s="68" t="n"/>
      <c r="J783" s="27">
        <f>K783</f>
        <v/>
      </c>
      <c r="K783" s="1110" t="n"/>
      <c r="L783" s="68" t="n"/>
      <c r="M783" s="68" t="n"/>
      <c r="N783" s="68" t="n"/>
      <c r="O783" s="27">
        <f>P783</f>
        <v/>
      </c>
      <c r="P783" s="1110" t="n"/>
      <c r="Q783" s="68" t="n"/>
      <c r="R783" s="68" t="n"/>
      <c r="S783" s="68" t="n"/>
      <c r="T783" s="27">
        <f>U783</f>
        <v/>
      </c>
      <c r="U783" s="1110" t="n"/>
      <c r="V783" s="68" t="n"/>
      <c r="W783" s="68" t="n"/>
      <c r="X783" s="68" t="n"/>
      <c r="Y783" s="27">
        <f>Z783</f>
        <v/>
      </c>
      <c r="Z783" s="1110" t="n"/>
      <c r="AA783" s="68" t="n"/>
      <c r="AB783" s="68" t="n"/>
      <c r="AC783" s="68" t="n"/>
      <c r="AD783" s="68">
        <f>AE783</f>
        <v/>
      </c>
      <c r="AE783" s="1110" t="n"/>
      <c r="AF783" s="68" t="n"/>
      <c r="AG783" s="68" t="n"/>
      <c r="AH783" s="68" t="n"/>
      <c r="AI783" s="68">
        <f>AJ783</f>
        <v/>
      </c>
      <c r="AJ783" s="1110" t="n"/>
      <c r="AK783" s="68" t="n"/>
      <c r="AL783" s="68" t="n"/>
      <c r="AM783" s="68" t="n"/>
      <c r="AN783" s="68">
        <f>AO783</f>
        <v/>
      </c>
      <c r="AO783" s="1110" t="n"/>
      <c r="AP783" s="68" t="n"/>
      <c r="AQ783" s="68" t="n"/>
      <c r="AR783" s="68" t="n"/>
      <c r="AS783" s="68">
        <f>AT783</f>
        <v/>
      </c>
      <c r="AT783" s="1110" t="n"/>
      <c r="AU783" s="68" t="n"/>
      <c r="AV783" s="68" t="n"/>
      <c r="AW783" s="68" t="n"/>
      <c r="AX783" s="68">
        <f>AY783</f>
        <v/>
      </c>
      <c r="AY783" s="1110" t="n"/>
      <c r="AZ783" s="68" t="n"/>
      <c r="BA783" s="68" t="n"/>
      <c r="BB783" s="68" t="n"/>
      <c r="BC783" s="68">
        <f>BD783</f>
        <v/>
      </c>
      <c r="BD783" s="1110" t="n"/>
      <c r="BE783" s="68" t="n"/>
      <c r="BF783" s="68" t="n"/>
      <c r="BG783" s="68" t="n"/>
      <c r="BH783" s="68">
        <f>BI783</f>
        <v/>
      </c>
      <c r="BI783" s="1110" t="n"/>
      <c r="BJ783" s="68" t="n"/>
      <c r="BK783" s="68" t="n"/>
      <c r="BL783" s="68" t="n"/>
      <c r="BM783" s="68">
        <f>BN783</f>
        <v/>
      </c>
      <c r="BN783" s="1110" t="n"/>
      <c r="BO783" s="68" t="n"/>
      <c r="BP783" s="68" t="n"/>
      <c r="BQ783" s="68" t="n"/>
      <c r="BR783" s="68">
        <f>BS783</f>
        <v/>
      </c>
      <c r="BS783" s="1110" t="n"/>
      <c r="BT783" s="68" t="n"/>
      <c r="BU783" s="68" t="n"/>
      <c r="BV783" s="588" t="n"/>
      <c r="BW783" s="68" t="n"/>
      <c r="BX783" s="1110" t="n"/>
      <c r="BY783" s="68" t="n"/>
      <c r="BZ783" s="68" t="n"/>
      <c r="CA783" s="68" t="n"/>
      <c r="CB783" s="68" t="n"/>
      <c r="CC783" s="1110" t="n"/>
      <c r="CD783" s="1110" t="n"/>
      <c r="CE783" s="1110" t="n"/>
      <c r="CF783" s="1110" t="n"/>
      <c r="CG783" s="155" t="n"/>
    </row>
    <row r="784" hidden="1" outlineLevel="1">
      <c r="A784" s="67" t="inlineStr">
        <is>
          <t>Tax benefit from stock-based compensation</t>
        </is>
      </c>
      <c r="B784" s="146" t="n"/>
      <c r="C784" s="1110" t="n"/>
      <c r="D784" s="1110" t="n"/>
      <c r="E784" s="1111" t="n">
        <v>-15.316</v>
      </c>
      <c r="F784" s="1111" t="n">
        <v>-52.793</v>
      </c>
      <c r="G784" s="1053" t="n">
        <v>-8.675000000000001</v>
      </c>
      <c r="H784" s="1053" t="n">
        <v>-18.154</v>
      </c>
      <c r="I784" s="1053" t="n">
        <v>-25.646</v>
      </c>
      <c r="J784" s="27">
        <f>K784</f>
        <v/>
      </c>
      <c r="K784" s="1111" t="n">
        <v>-68.70999999999999</v>
      </c>
      <c r="L784" s="1053" t="n">
        <v>-10.12</v>
      </c>
      <c r="M784" s="1053" t="n">
        <v>-17.36</v>
      </c>
      <c r="N784" s="1053" t="n">
        <v>-23.743</v>
      </c>
      <c r="O784" s="27">
        <f>P784</f>
        <v/>
      </c>
      <c r="P784" s="1111" t="n">
        <v>-25.801</v>
      </c>
      <c r="Q784" s="1053" t="n">
        <v>-4</v>
      </c>
      <c r="R784" s="1053" t="n">
        <v>-7</v>
      </c>
      <c r="S784" s="1053" t="n">
        <v>-12</v>
      </c>
      <c r="T784" s="27">
        <f>U784</f>
        <v/>
      </c>
      <c r="U784" s="1111" t="n">
        <v>-18</v>
      </c>
      <c r="V784" s="1053" t="n">
        <v>-6</v>
      </c>
      <c r="W784" s="1053" t="n">
        <v>-6</v>
      </c>
      <c r="X784" s="1053" t="n">
        <v>-5</v>
      </c>
      <c r="Y784" s="27">
        <f>Z784</f>
        <v/>
      </c>
      <c r="Z784" s="1111" t="n">
        <v>-10</v>
      </c>
      <c r="AA784" s="68" t="n"/>
      <c r="AB784" s="68" t="n"/>
      <c r="AC784" s="68" t="n"/>
      <c r="AD784" s="68">
        <f>AE784</f>
        <v/>
      </c>
      <c r="AE784" s="1110" t="n"/>
      <c r="AF784" s="68" t="n"/>
      <c r="AG784" s="68" t="n"/>
      <c r="AH784" s="68" t="n"/>
      <c r="AI784" s="68">
        <f>AJ784</f>
        <v/>
      </c>
      <c r="AJ784" s="1110" t="n"/>
      <c r="AK784" s="68" t="n"/>
      <c r="AL784" s="68" t="n"/>
      <c r="AM784" s="68" t="n"/>
      <c r="AN784" s="68">
        <f>AO784</f>
        <v/>
      </c>
      <c r="AO784" s="1110" t="n"/>
      <c r="AP784" s="68" t="n"/>
      <c r="AQ784" s="68" t="n"/>
      <c r="AR784" s="68" t="n"/>
      <c r="AS784" s="68">
        <f>AT784</f>
        <v/>
      </c>
      <c r="AT784" s="1110" t="n"/>
      <c r="AU784" s="68" t="n"/>
      <c r="AV784" s="68" t="n"/>
      <c r="AW784" s="68" t="n"/>
      <c r="AX784" s="68">
        <f>AY784</f>
        <v/>
      </c>
      <c r="AY784" s="1110" t="n"/>
      <c r="AZ784" s="68" t="n"/>
      <c r="BA784" s="68" t="n"/>
      <c r="BB784" s="68" t="n"/>
      <c r="BC784" s="68">
        <f>BD784</f>
        <v/>
      </c>
      <c r="BD784" s="1110" t="n"/>
      <c r="BE784" s="68" t="n"/>
      <c r="BF784" s="68" t="n"/>
      <c r="BG784" s="68" t="n"/>
      <c r="BH784" s="68">
        <f>BI784</f>
        <v/>
      </c>
      <c r="BI784" s="1110" t="n"/>
      <c r="BJ784" s="68" t="n"/>
      <c r="BK784" s="68" t="n"/>
      <c r="BL784" s="68" t="n"/>
      <c r="BM784" s="68">
        <f>BN784</f>
        <v/>
      </c>
      <c r="BN784" s="1110" t="n"/>
      <c r="BO784" s="68" t="n"/>
      <c r="BP784" s="68" t="n"/>
      <c r="BQ784" s="68" t="n"/>
      <c r="BR784" s="68">
        <f>BS784</f>
        <v/>
      </c>
      <c r="BS784" s="1110" t="n"/>
      <c r="BT784" s="68" t="n"/>
      <c r="BU784" s="68" t="n"/>
      <c r="BV784" s="588" t="n"/>
      <c r="BW784" s="68" t="n"/>
      <c r="BX784" s="1110" t="n"/>
      <c r="BY784" s="68" t="n"/>
      <c r="BZ784" s="68" t="n"/>
      <c r="CA784" s="68" t="n"/>
      <c r="CB784" s="68" t="n"/>
      <c r="CC784" s="1110" t="n"/>
      <c r="CD784" s="1110" t="n"/>
      <c r="CE784" s="1110" t="n"/>
      <c r="CF784" s="1110" t="n"/>
      <c r="CG784" s="155" t="n"/>
    </row>
    <row r="785" hidden="1" outlineLevel="1">
      <c r="A785" s="67" t="inlineStr">
        <is>
          <t>(Gains) losses on investments in non affiliates, net</t>
        </is>
      </c>
      <c r="B785" s="146" t="n"/>
      <c r="C785" s="1110" t="n"/>
      <c r="D785" s="1110" t="n"/>
      <c r="E785" s="1110" t="n"/>
      <c r="F785" s="1110" t="n"/>
      <c r="G785" s="68" t="n"/>
      <c r="H785" s="68" t="n"/>
      <c r="I785" s="68" t="n"/>
      <c r="J785" s="68" t="n"/>
      <c r="K785" s="1110" t="n"/>
      <c r="L785" s="68" t="n"/>
      <c r="M785" s="68" t="n"/>
      <c r="N785" s="68" t="n"/>
      <c r="O785" s="68" t="n"/>
      <c r="P785" s="1110" t="n"/>
      <c r="Q785" s="68" t="n"/>
      <c r="R785" s="68" t="n"/>
      <c r="S785" s="68" t="n"/>
      <c r="T785" s="68" t="n"/>
      <c r="U785" s="1110" t="n"/>
      <c r="V785" s="68" t="n"/>
      <c r="W785" s="68" t="n"/>
      <c r="X785" s="68" t="n"/>
      <c r="Y785" s="68" t="n"/>
      <c r="Z785" s="1110" t="n"/>
      <c r="AA785" s="68" t="n"/>
      <c r="AB785" s="68" t="n"/>
      <c r="AC785" s="68" t="n"/>
      <c r="AD785" s="68" t="n"/>
      <c r="AE785" s="1110" t="n"/>
      <c r="AF785" s="68" t="n"/>
      <c r="AG785" s="68" t="n"/>
      <c r="AH785" s="68" t="n"/>
      <c r="AI785" s="68" t="n"/>
      <c r="AJ785" s="1110" t="n"/>
      <c r="AK785" s="68" t="n"/>
      <c r="AL785" s="68" t="n"/>
      <c r="AM785" s="68" t="n"/>
      <c r="AN785" s="68" t="n"/>
      <c r="AO785" s="1110" t="n"/>
      <c r="AP785" s="68" t="n"/>
      <c r="AQ785" s="68" t="n"/>
      <c r="AR785" s="68" t="n"/>
      <c r="AS785" s="68" t="n"/>
      <c r="AT785" s="1110" t="n"/>
      <c r="AU785" s="68" t="n"/>
      <c r="AV785" s="68" t="n"/>
      <c r="AW785" s="68" t="n"/>
      <c r="AX785" s="68" t="n"/>
      <c r="AY785" s="1110" t="n"/>
      <c r="AZ785" s="1053" t="n">
        <v>-133</v>
      </c>
      <c r="BA785" s="1053" t="n">
        <v>-133</v>
      </c>
      <c r="BB785" s="1053" t="n">
        <v>-152</v>
      </c>
      <c r="BC785" s="68">
        <f>BD785</f>
        <v/>
      </c>
      <c r="BD785" s="1111" t="n">
        <v>-100</v>
      </c>
      <c r="BE785" s="1053" t="n">
        <v>17</v>
      </c>
      <c r="BF785" s="1053" t="n">
        <v>24</v>
      </c>
      <c r="BG785" s="1053" t="n">
        <v>35</v>
      </c>
      <c r="BH785" s="68">
        <f>BI785</f>
        <v/>
      </c>
      <c r="BI785" s="1111" t="n">
        <v>45</v>
      </c>
      <c r="BJ785" s="1053" t="n">
        <v>14</v>
      </c>
      <c r="BK785" s="1053" t="n">
        <v>-45</v>
      </c>
      <c r="BL785" s="1053" t="n">
        <v>24</v>
      </c>
      <c r="BM785" s="68">
        <f>BN785</f>
        <v/>
      </c>
      <c r="BN785" s="1111" t="n">
        <v>-238</v>
      </c>
      <c r="BO785" s="1053" t="n">
        <v>-69</v>
      </c>
      <c r="BP785" s="1053" t="n">
        <v>-264</v>
      </c>
      <c r="BQ785" s="1053" t="n">
        <v>-302</v>
      </c>
      <c r="BR785" s="68">
        <f>BS785</f>
        <v/>
      </c>
      <c r="BS785" s="1111" t="n">
        <v>-1030</v>
      </c>
      <c r="BT785" s="1053" t="n">
        <v>175</v>
      </c>
      <c r="BU785" s="1053" t="n">
        <v>-2073</v>
      </c>
      <c r="BV785" s="1054" t="n">
        <v>-3426</v>
      </c>
      <c r="BW785" s="68" t="n"/>
      <c r="BX785" s="1110" t="n"/>
      <c r="BY785" s="68" t="n"/>
      <c r="BZ785" s="68" t="n"/>
      <c r="CA785" s="68" t="n"/>
      <c r="CB785" s="68" t="n"/>
      <c r="CC785" s="1110" t="n"/>
      <c r="CD785" s="1110" t="n"/>
      <c r="CE785" s="1110" t="n"/>
      <c r="CF785" s="1110" t="n"/>
      <c r="CG785" s="155" t="n"/>
    </row>
    <row r="786" hidden="1" outlineLevel="1">
      <c r="A786" s="67" t="inlineStr">
        <is>
          <t>Other</t>
        </is>
      </c>
      <c r="B786" s="146" t="n"/>
      <c r="C786" s="1111" t="n">
        <v>0.188</v>
      </c>
      <c r="D786" s="1111" t="n">
        <v>1.893</v>
      </c>
      <c r="E786" s="1111" t="n">
        <v>1.572</v>
      </c>
      <c r="F786" s="1111" t="n">
        <v>19.095</v>
      </c>
      <c r="G786" s="1053" t="n">
        <v>5.451</v>
      </c>
      <c r="H786" s="1053" t="n">
        <v>32.496</v>
      </c>
      <c r="I786" s="1053" t="n">
        <v>39.978</v>
      </c>
      <c r="J786" s="27">
        <f>K786</f>
        <v/>
      </c>
      <c r="K786" s="1111" t="n">
        <v>47.911</v>
      </c>
      <c r="L786" s="1053" t="n">
        <v>4.988</v>
      </c>
      <c r="M786" s="1053" t="n">
        <v>8.867000000000001</v>
      </c>
      <c r="N786" s="1053" t="n">
        <v>11.569</v>
      </c>
      <c r="O786" s="27">
        <f>P786</f>
        <v/>
      </c>
      <c r="P786" s="1111" t="n">
        <v>21.387</v>
      </c>
      <c r="Q786" s="1053" t="n">
        <v>7</v>
      </c>
      <c r="R786" s="1053" t="n">
        <v>14</v>
      </c>
      <c r="S786" s="1053" t="n">
        <v>19</v>
      </c>
      <c r="T786" s="27">
        <f>U786</f>
        <v/>
      </c>
      <c r="U786" s="1111" t="n">
        <v>24</v>
      </c>
      <c r="V786" s="1053" t="n">
        <v>7</v>
      </c>
      <c r="W786" s="1053" t="n">
        <v>11</v>
      </c>
      <c r="X786" s="1053" t="n">
        <v>16</v>
      </c>
      <c r="Y786" s="27">
        <f>Z786</f>
        <v/>
      </c>
      <c r="Z786" s="1111" t="n">
        <v>19</v>
      </c>
      <c r="AA786" s="1053" t="n">
        <v>-4</v>
      </c>
      <c r="AB786" s="1053" t="n">
        <v>7</v>
      </c>
      <c r="AC786" s="1053" t="n">
        <v>8</v>
      </c>
      <c r="AD786" s="68">
        <f>AE786</f>
        <v/>
      </c>
      <c r="AE786" s="1111" t="n">
        <v>11</v>
      </c>
      <c r="AF786" s="1053" t="n">
        <v>5</v>
      </c>
      <c r="AG786" s="1053" t="n">
        <v>8</v>
      </c>
      <c r="AH786" s="1053" t="n">
        <v>11</v>
      </c>
      <c r="AI786" s="68">
        <f>AJ786</f>
        <v/>
      </c>
      <c r="AJ786" s="1111" t="n">
        <v>18</v>
      </c>
      <c r="AK786" s="1053" t="n">
        <v>-8</v>
      </c>
      <c r="AL786" s="1053" t="n">
        <v>-22</v>
      </c>
      <c r="AM786" s="1053" t="n">
        <v>-35</v>
      </c>
      <c r="AN786" s="68">
        <f>AO786</f>
        <v/>
      </c>
      <c r="AO786" s="1111" t="n">
        <v>-45</v>
      </c>
      <c r="AP786" s="1053" t="n">
        <v>-2</v>
      </c>
      <c r="AQ786" s="1053" t="n">
        <v>1</v>
      </c>
      <c r="AR786" s="1053" t="n">
        <v>5</v>
      </c>
      <c r="AS786" s="68">
        <f>AT786</f>
        <v/>
      </c>
      <c r="AT786" s="1111" t="n">
        <v>5</v>
      </c>
      <c r="AU786" s="1053" t="n">
        <v>4</v>
      </c>
      <c r="AV786" s="1053" t="n">
        <v>-5</v>
      </c>
      <c r="AW786" s="1053" t="n">
        <v>-2</v>
      </c>
      <c r="AX786" s="68">
        <f>AY786</f>
        <v/>
      </c>
      <c r="AY786" s="1111" t="n">
        <v>-20</v>
      </c>
      <c r="AZ786" s="1053" t="n">
        <v>-3</v>
      </c>
      <c r="BA786" s="1053" t="n">
        <v>16</v>
      </c>
      <c r="BB786" s="1053" t="n">
        <v>25</v>
      </c>
      <c r="BC786" s="68">
        <f>BD786</f>
        <v/>
      </c>
      <c r="BD786" s="1111" t="n">
        <v>47</v>
      </c>
      <c r="BE786" s="1053" t="n">
        <v>23</v>
      </c>
      <c r="BF786" s="1053" t="n">
        <v>18</v>
      </c>
      <c r="BG786" s="1053" t="n">
        <v>-27</v>
      </c>
      <c r="BH786" s="68">
        <f>BI786</f>
        <v/>
      </c>
      <c r="BI786" s="1111" t="n">
        <v>-7</v>
      </c>
      <c r="BJ786" s="1053" t="n">
        <v>-34</v>
      </c>
      <c r="BK786" s="1053" t="n">
        <v>-102</v>
      </c>
      <c r="BL786" s="1053" t="n">
        <v>-170</v>
      </c>
      <c r="BM786" s="68">
        <f>BN786</f>
        <v/>
      </c>
      <c r="BN786" s="1111" t="n">
        <v>-278</v>
      </c>
      <c r="BO786" s="1053" t="n">
        <v>-145</v>
      </c>
      <c r="BP786" s="1053" t="n">
        <v>-288</v>
      </c>
      <c r="BQ786" s="1053" t="n">
        <v>-365</v>
      </c>
      <c r="BR786" s="68">
        <f>BS786</f>
        <v/>
      </c>
      <c r="BS786" s="1111" t="n">
        <v>-502</v>
      </c>
      <c r="BT786" s="1053" t="n">
        <v>-98</v>
      </c>
      <c r="BU786" s="1053" t="n">
        <v>-196</v>
      </c>
      <c r="BV786" s="1054" t="n">
        <v>-276</v>
      </c>
      <c r="BW786" s="68" t="n"/>
      <c r="BX786" s="1110" t="n"/>
      <c r="BY786" s="68" t="n"/>
      <c r="BZ786" s="68" t="n"/>
      <c r="CA786" s="68" t="n"/>
      <c r="CB786" s="68" t="n"/>
      <c r="CC786" s="1110" t="n"/>
      <c r="CD786" s="1110" t="n"/>
      <c r="CE786" s="1110" t="n"/>
      <c r="CF786" s="1110" t="n"/>
      <c r="CG786" s="155" t="n"/>
    </row>
    <row r="787" hidden="1" outlineLevel="1">
      <c r="A787" s="67" t="inlineStr">
        <is>
          <t>Impairment charge on investments</t>
        </is>
      </c>
      <c r="B787" s="146" t="n"/>
      <c r="C787" s="1111" t="n">
        <v>9.891</v>
      </c>
      <c r="D787" s="1110" t="n"/>
      <c r="E787" s="1110" t="n"/>
      <c r="F787" s="1110" t="n"/>
      <c r="G787" s="68" t="n"/>
      <c r="H787" s="68" t="n"/>
      <c r="I787" s="68" t="n"/>
      <c r="J787" s="27">
        <f>K787</f>
        <v/>
      </c>
      <c r="K787" s="1110" t="n"/>
      <c r="L787" s="68" t="n"/>
      <c r="M787" s="68" t="n"/>
      <c r="N787" s="68" t="n"/>
      <c r="O787" s="27">
        <f>P787</f>
        <v/>
      </c>
      <c r="P787" s="1110" t="n"/>
      <c r="Q787" s="68" t="n"/>
      <c r="R787" s="68" t="n"/>
      <c r="S787" s="68" t="n"/>
      <c r="T787" s="27">
        <f>U787</f>
        <v/>
      </c>
      <c r="U787" s="1110" t="n"/>
      <c r="V787" s="68" t="n"/>
      <c r="W787" s="68" t="n"/>
      <c r="X787" s="68" t="n"/>
      <c r="Y787" s="27">
        <f>Z787</f>
        <v/>
      </c>
      <c r="Z787" s="1110" t="n"/>
      <c r="AA787" s="68" t="n"/>
      <c r="AB787" s="68" t="n"/>
      <c r="AC787" s="68" t="n"/>
      <c r="AD787" s="68">
        <f>AE787</f>
        <v/>
      </c>
      <c r="AE787" s="1110" t="n"/>
      <c r="AF787" s="68" t="n"/>
      <c r="AG787" s="68" t="n"/>
      <c r="AH787" s="68" t="n"/>
      <c r="AI787" s="68">
        <f>AJ787</f>
        <v/>
      </c>
      <c r="AJ787" s="1110" t="n"/>
      <c r="AK787" s="68" t="n"/>
      <c r="AL787" s="68" t="n"/>
      <c r="AM787" s="68" t="n"/>
      <c r="AN787" s="68">
        <f>AO787</f>
        <v/>
      </c>
      <c r="AO787" s="1110" t="n"/>
      <c r="AP787" s="68" t="n"/>
      <c r="AQ787" s="68" t="n"/>
      <c r="AR787" s="68" t="n"/>
      <c r="AS787" s="68">
        <f>AT787</f>
        <v/>
      </c>
      <c r="AT787" s="1110" t="n"/>
      <c r="AU787" s="68" t="n"/>
      <c r="AV787" s="68" t="n"/>
      <c r="AW787" s="68" t="n"/>
      <c r="AX787" s="68">
        <f>AY787</f>
        <v/>
      </c>
      <c r="AY787" s="1110" t="n"/>
      <c r="AZ787" s="68" t="n"/>
      <c r="BA787" s="68" t="n"/>
      <c r="BB787" s="68" t="n"/>
      <c r="BC787" s="68">
        <f>BD787</f>
        <v/>
      </c>
      <c r="BD787" s="1110" t="n"/>
      <c r="BE787" s="68" t="n"/>
      <c r="BF787" s="68" t="n"/>
      <c r="BG787" s="68" t="n"/>
      <c r="BH787" s="68">
        <f>BI787</f>
        <v/>
      </c>
      <c r="BI787" s="1110" t="n"/>
      <c r="BJ787" s="68" t="n"/>
      <c r="BK787" s="68" t="n"/>
      <c r="BL787" s="68" t="n"/>
      <c r="BM787" s="68">
        <f>BN787</f>
        <v/>
      </c>
      <c r="BN787" s="1110" t="n"/>
      <c r="BO787" s="68" t="n"/>
      <c r="BP787" s="68" t="n"/>
      <c r="BQ787" s="68" t="n"/>
      <c r="BR787" s="68">
        <f>BS787</f>
        <v/>
      </c>
      <c r="BS787" s="1110" t="n"/>
      <c r="BT787" s="68" t="n"/>
      <c r="BU787" s="68" t="n"/>
      <c r="BV787" s="588" t="n"/>
      <c r="BW787" s="68" t="n"/>
      <c r="BX787" s="1110" t="n"/>
      <c r="BY787" s="68" t="n"/>
      <c r="BZ787" s="68" t="n"/>
      <c r="CA787" s="68" t="n"/>
      <c r="CB787" s="68" t="n"/>
      <c r="CC787" s="1110" t="n"/>
      <c r="CD787" s="1110" t="n"/>
      <c r="CE787" s="1110" t="n"/>
      <c r="CF787" s="1110" t="n"/>
      <c r="CG787" s="155" t="n"/>
    </row>
    <row r="788" hidden="1" outlineLevel="1">
      <c r="A788" s="59" t="inlineStr">
        <is>
          <t>CFO before WC</t>
        </is>
      </c>
      <c r="B788" s="607" t="n"/>
      <c r="C788" s="1123">
        <f>SUM(C771:C787)</f>
        <v/>
      </c>
      <c r="D788" s="1123">
        <f>SUM(D771:D787)</f>
        <v/>
      </c>
      <c r="E788" s="1123">
        <f>SUM(E771:E787)</f>
        <v/>
      </c>
      <c r="F788" s="1123">
        <f>SUM(F771:F787)</f>
        <v/>
      </c>
      <c r="G788" s="60">
        <f>SUM(G771:G787)</f>
        <v/>
      </c>
      <c r="H788" s="60">
        <f>SUM(H771:H787)</f>
        <v/>
      </c>
      <c r="I788" s="60">
        <f>SUM(I771:I787)</f>
        <v/>
      </c>
      <c r="J788" s="60">
        <f>SUM(J771:J787)</f>
        <v/>
      </c>
      <c r="K788" s="1123">
        <f>SUM(K771:K787)</f>
        <v/>
      </c>
      <c r="L788" s="60">
        <f>SUM(L771:L787)</f>
        <v/>
      </c>
      <c r="M788" s="60">
        <f>SUM(M771:M787)</f>
        <v/>
      </c>
      <c r="N788" s="60">
        <f>SUM(N771:N787)</f>
        <v/>
      </c>
      <c r="O788" s="60">
        <f>SUM(O771:O787)</f>
        <v/>
      </c>
      <c r="P788" s="1123">
        <f>SUM(P771:P787)</f>
        <v/>
      </c>
      <c r="Q788" s="60">
        <f>SUM(Q771:Q787)</f>
        <v/>
      </c>
      <c r="R788" s="60">
        <f>SUM(R771:R787)</f>
        <v/>
      </c>
      <c r="S788" s="60">
        <f>SUM(S771:S787)</f>
        <v/>
      </c>
      <c r="T788" s="60">
        <f>SUM(T771:T787)</f>
        <v/>
      </c>
      <c r="U788" s="1123">
        <f>SUM(U771:U787)</f>
        <v/>
      </c>
      <c r="V788" s="60">
        <f>SUM(V771:V787)</f>
        <v/>
      </c>
      <c r="W788" s="60">
        <f>SUM(W771:W787)</f>
        <v/>
      </c>
      <c r="X788" s="60">
        <f>SUM(X771:X787)</f>
        <v/>
      </c>
      <c r="Y788" s="60">
        <f>SUM(Y771:Y787)</f>
        <v/>
      </c>
      <c r="Z788" s="1123">
        <f>SUM(Z771:Z787)</f>
        <v/>
      </c>
      <c r="AA788" s="60">
        <f>SUM(AA771:AA787)</f>
        <v/>
      </c>
      <c r="AB788" s="60">
        <f>SUM(AB771:AB787)</f>
        <v/>
      </c>
      <c r="AC788" s="61">
        <f>SUM(AC771:AC787)</f>
        <v/>
      </c>
      <c r="AD788" s="61">
        <f>SUM(AD771:AD787)</f>
        <v/>
      </c>
      <c r="AE788" s="1122">
        <f>SUM(AE771:AE787)</f>
        <v/>
      </c>
      <c r="AF788" s="61">
        <f>SUM(AF771:AF787)</f>
        <v/>
      </c>
      <c r="AG788" s="60">
        <f>SUM(AG771:AG787)</f>
        <v/>
      </c>
      <c r="AH788" s="60">
        <f>SUM(AH771:AH787)</f>
        <v/>
      </c>
      <c r="AI788" s="61">
        <f>SUM(AI771:AI787)</f>
        <v/>
      </c>
      <c r="AJ788" s="1122">
        <f>SUM(AJ771:AJ787)</f>
        <v/>
      </c>
      <c r="AK788" s="60">
        <f>SUM(AK771:AK787)</f>
        <v/>
      </c>
      <c r="AL788" s="60">
        <f>SUM(AL771:AL787)</f>
        <v/>
      </c>
      <c r="AM788" s="60">
        <f>SUM(AM771:AM787)</f>
        <v/>
      </c>
      <c r="AN788" s="61">
        <f>SUM(AN771:AN787)</f>
        <v/>
      </c>
      <c r="AO788" s="1122">
        <f>SUM(AO771:AO787)</f>
        <v/>
      </c>
      <c r="AP788" s="60">
        <f>SUM(AP771:AP787)</f>
        <v/>
      </c>
      <c r="AQ788" s="61">
        <f>SUM(AQ771:AQ787)</f>
        <v/>
      </c>
      <c r="AR788" s="60">
        <f>SUM(AR771:AR787)</f>
        <v/>
      </c>
      <c r="AS788" s="61">
        <f>SUM(AS771:AS787)</f>
        <v/>
      </c>
      <c r="AT788" s="1122">
        <f>SUM(AT771:AT787)</f>
        <v/>
      </c>
      <c r="AU788" s="60">
        <f>SUM(AU771:AU787)</f>
        <v/>
      </c>
      <c r="AV788" s="61">
        <f>SUM(AV771:AV787)</f>
        <v/>
      </c>
      <c r="AW788" s="60">
        <f>SUM(AW771:AW787)</f>
        <v/>
      </c>
      <c r="AX788" s="61">
        <f>SUM(AX771:AX787)</f>
        <v/>
      </c>
      <c r="AY788" s="1122">
        <f>SUM(AY771:AY787)</f>
        <v/>
      </c>
      <c r="AZ788" s="60">
        <f>SUM(AZ771:AZ787)</f>
        <v/>
      </c>
      <c r="BA788" s="61">
        <f>SUM(BA771:BA787)</f>
        <v/>
      </c>
      <c r="BB788" s="60">
        <f>SUM(BB771:BB787)</f>
        <v/>
      </c>
      <c r="BC788" s="61">
        <f>SUM(BC771:BC787)</f>
        <v/>
      </c>
      <c r="BD788" s="1122">
        <f>SUM(BD771:BD787)</f>
        <v/>
      </c>
      <c r="BE788" s="60">
        <f>SUM(BE771:BE787)</f>
        <v/>
      </c>
      <c r="BF788" s="61">
        <f>SUM(BF771:BF787)</f>
        <v/>
      </c>
      <c r="BG788" s="60">
        <f>SUM(BG771:BG787)</f>
        <v/>
      </c>
      <c r="BH788" s="61">
        <f>SUM(BH771:BH787)</f>
        <v/>
      </c>
      <c r="BI788" s="1122">
        <f>SUM(BI771:BI787)</f>
        <v/>
      </c>
      <c r="BJ788" s="60">
        <f>SUM(BJ771:BJ787)</f>
        <v/>
      </c>
      <c r="BK788" s="61">
        <f>SUM(BK771:BK787)</f>
        <v/>
      </c>
      <c r="BL788" s="60">
        <f>SUM(BL771:BL787)</f>
        <v/>
      </c>
      <c r="BM788" s="61">
        <f>SUM(BM771:BM787)</f>
        <v/>
      </c>
      <c r="BN788" s="1122">
        <f>SUM(BN771:BN787)</f>
        <v/>
      </c>
      <c r="BO788" s="60">
        <f>SUM(BO771:BO787)</f>
        <v/>
      </c>
      <c r="BP788" s="61">
        <f>SUM(BP771:BP787)</f>
        <v/>
      </c>
      <c r="BQ788" s="60">
        <f>SUM(BQ771:BQ787)</f>
        <v/>
      </c>
      <c r="BR788" s="61">
        <f>SUM(BR771:BR787)</f>
        <v/>
      </c>
      <c r="BS788" s="1122">
        <f>SUM(BS771:BS787)</f>
        <v/>
      </c>
      <c r="BT788" s="60">
        <f>SUM(BT771:BT787)</f>
        <v/>
      </c>
      <c r="BU788" s="61">
        <f>SUM(BU771:BU787)</f>
        <v/>
      </c>
      <c r="BV788" s="883">
        <f>SUM(BV771:BV787)</f>
        <v/>
      </c>
      <c r="BW788" s="61" t="n"/>
      <c r="BX788" s="1122" t="n"/>
      <c r="BY788" s="61" t="n"/>
      <c r="BZ788" s="61" t="n"/>
      <c r="CA788" s="61" t="n"/>
      <c r="CB788" s="61" t="n"/>
      <c r="CC788" s="1122" t="n"/>
      <c r="CD788" s="1122" t="n"/>
      <c r="CE788" s="1122" t="n"/>
      <c r="CF788" s="1122" t="n"/>
      <c r="CG788" s="155" t="n"/>
    </row>
    <row r="789" hidden="1" outlineLevel="1">
      <c r="A789" s="67" t="inlineStr">
        <is>
          <t>Accounts receivable</t>
        </is>
      </c>
      <c r="B789" s="146" t="n"/>
      <c r="C789" s="1111" t="n">
        <v>348.873</v>
      </c>
      <c r="D789" s="1111" t="n">
        <v>-56.741</v>
      </c>
      <c r="E789" s="1111" t="n">
        <v>26.341</v>
      </c>
      <c r="F789" s="1111" t="n">
        <v>26.236</v>
      </c>
      <c r="G789" s="1053" t="n">
        <v>-75.369</v>
      </c>
      <c r="H789" s="1053" t="n">
        <v>-109.218</v>
      </c>
      <c r="I789" s="1053" t="n">
        <v>-109.008</v>
      </c>
      <c r="J789" s="27">
        <f>K789</f>
        <v/>
      </c>
      <c r="K789" s="1111" t="n">
        <v>-118.94</v>
      </c>
      <c r="L789" s="1053" t="n">
        <v>108.476</v>
      </c>
      <c r="M789" s="1053" t="n">
        <v>37.271</v>
      </c>
      <c r="N789" s="1053" t="n">
        <v>7.806</v>
      </c>
      <c r="O789" s="27">
        <f>P789</f>
        <v/>
      </c>
      <c r="P789" s="1111" t="n">
        <v>28.852</v>
      </c>
      <c r="Q789" s="1053" t="n">
        <v>28</v>
      </c>
      <c r="R789" s="1053" t="n">
        <v>-46</v>
      </c>
      <c r="S789" s="1053" t="n">
        <v>-138</v>
      </c>
      <c r="T789" s="27">
        <f>U789</f>
        <v/>
      </c>
      <c r="U789" s="1111" t="n">
        <v>-49</v>
      </c>
      <c r="V789" s="1053" t="n">
        <v>18</v>
      </c>
      <c r="W789" s="1053" t="n">
        <v>-41</v>
      </c>
      <c r="X789" s="1053" t="n">
        <v>-63</v>
      </c>
      <c r="Y789" s="27">
        <f>Z789</f>
        <v/>
      </c>
      <c r="Z789" s="1111" t="n">
        <v>-32</v>
      </c>
      <c r="AA789" s="1053" t="n">
        <v>-17</v>
      </c>
      <c r="AB789" s="1053" t="n">
        <v>-138</v>
      </c>
      <c r="AC789" s="1053" t="n">
        <v>-328</v>
      </c>
      <c r="AD789" s="68">
        <f>AE789</f>
        <v/>
      </c>
      <c r="AE789" s="1111" t="n">
        <v>-321</v>
      </c>
      <c r="AF789" s="1053" t="n">
        <v>-150</v>
      </c>
      <c r="AG789" s="1053" t="n">
        <v>-387</v>
      </c>
      <c r="AH789" s="1053" t="n">
        <v>-342</v>
      </c>
      <c r="AI789" s="68">
        <f>AJ789</f>
        <v/>
      </c>
      <c r="AJ789" s="1111" t="n">
        <v>-440</v>
      </c>
      <c r="AK789" s="1053" t="n">
        <v>56</v>
      </c>
      <c r="AL789" s="1053" t="n">
        <v>-386</v>
      </c>
      <c r="AM789" s="1053" t="n">
        <v>-943</v>
      </c>
      <c r="AN789" s="68">
        <f>AO789</f>
        <v/>
      </c>
      <c r="AO789" s="1111" t="n">
        <v>-149</v>
      </c>
      <c r="AP789" s="1053" t="n">
        <v>182</v>
      </c>
      <c r="AQ789" s="1053" t="n">
        <v>-137</v>
      </c>
      <c r="AR789" s="1053" t="n">
        <v>-32</v>
      </c>
      <c r="AS789" s="68">
        <f>AT789</f>
        <v/>
      </c>
      <c r="AT789" s="1111" t="n">
        <v>-233</v>
      </c>
      <c r="AU789" s="1053" t="n">
        <v>-249</v>
      </c>
      <c r="AV789" s="1053" t="n">
        <v>-205</v>
      </c>
      <c r="AW789" s="1053" t="n">
        <v>-667</v>
      </c>
      <c r="AX789" s="68">
        <f>AY789</f>
        <v/>
      </c>
      <c r="AY789" s="1111" t="n">
        <v>-550</v>
      </c>
      <c r="AZ789" s="1053" t="n">
        <v>-595</v>
      </c>
      <c r="BA789" s="1053" t="n">
        <v>-1157</v>
      </c>
      <c r="BB789" s="1053" t="n">
        <v>-1523</v>
      </c>
      <c r="BC789" s="68">
        <f>BD789</f>
        <v/>
      </c>
      <c r="BD789" s="1111" t="n">
        <v>-2215</v>
      </c>
      <c r="BE789" s="1053" t="n">
        <v>-788</v>
      </c>
      <c r="BF789" s="1053" t="n">
        <v>-668</v>
      </c>
      <c r="BG789" s="1053" t="n">
        <v>-258</v>
      </c>
      <c r="BH789" s="68">
        <f>BI789</f>
        <v/>
      </c>
      <c r="BI789" s="1111" t="n">
        <v>822</v>
      </c>
      <c r="BJ789" s="1053" t="n">
        <v>-252</v>
      </c>
      <c r="BK789" s="1053" t="n">
        <v>-3239</v>
      </c>
      <c r="BL789" s="1053" t="n">
        <v>-4482</v>
      </c>
      <c r="BM789" s="68">
        <f>BN789</f>
        <v/>
      </c>
      <c r="BN789" s="1111" t="n">
        <v>-6172</v>
      </c>
      <c r="BO789" s="1053" t="n">
        <v>-2366</v>
      </c>
      <c r="BP789" s="1053" t="n">
        <v>-4133</v>
      </c>
      <c r="BQ789" s="1053" t="n">
        <v>-7694</v>
      </c>
      <c r="BR789" s="68">
        <f>BS789</f>
        <v/>
      </c>
      <c r="BS789" s="1111" t="n">
        <v>-13063</v>
      </c>
      <c r="BT789" s="1053" t="n">
        <v>933</v>
      </c>
      <c r="BU789" s="1053" t="n">
        <v>-4743</v>
      </c>
      <c r="BV789" s="1054" t="n">
        <v>-10325</v>
      </c>
      <c r="BW789" s="68" t="n"/>
      <c r="BX789" s="1110" t="n"/>
      <c r="BY789" s="68" t="n"/>
      <c r="BZ789" s="68" t="n"/>
      <c r="CA789" s="68" t="n"/>
      <c r="CB789" s="68" t="n"/>
      <c r="CC789" s="1110" t="n"/>
      <c r="CD789" s="1110" t="n"/>
      <c r="CE789" s="1110" t="n"/>
      <c r="CF789" s="1110" t="n"/>
      <c r="CG789" s="155" t="n"/>
    </row>
    <row r="790" hidden="1" outlineLevel="1">
      <c r="A790" s="67" t="inlineStr">
        <is>
          <t>Inventories</t>
        </is>
      </c>
      <c r="B790" s="146" t="n"/>
      <c r="C790" s="1111" t="n">
        <v>-177.295</v>
      </c>
      <c r="D790" s="1111" t="n">
        <v>204.656</v>
      </c>
      <c r="E790" s="1111" t="n">
        <v>-14.128</v>
      </c>
      <c r="F790" s="1111" t="n">
        <v>18.884</v>
      </c>
      <c r="G790" s="1053" t="n">
        <v>-2.191</v>
      </c>
      <c r="H790" s="1053" t="n">
        <v>-46.834</v>
      </c>
      <c r="I790" s="1053" t="n">
        <v>-88.378</v>
      </c>
      <c r="J790" s="27">
        <f>K790</f>
        <v/>
      </c>
      <c r="K790" s="1111" t="n">
        <v>-78.949</v>
      </c>
      <c r="L790" s="1053" t="n">
        <v>41.51</v>
      </c>
      <c r="M790" s="1053" t="n">
        <v>34.722</v>
      </c>
      <c r="N790" s="1053" t="n">
        <v>32.178</v>
      </c>
      <c r="O790" s="27">
        <f>P790</f>
        <v/>
      </c>
      <c r="P790" s="1111" t="n">
        <v>24.651</v>
      </c>
      <c r="Q790" s="1053" t="n">
        <v>-6</v>
      </c>
      <c r="R790" s="1053" t="n">
        <v>1</v>
      </c>
      <c r="S790" s="1053" t="n">
        <v>-20</v>
      </c>
      <c r="T790" s="27">
        <f>U790</f>
        <v/>
      </c>
      <c r="U790" s="1111" t="n">
        <v>-95</v>
      </c>
      <c r="V790" s="1053" t="n">
        <v>45</v>
      </c>
      <c r="W790" s="1053" t="n">
        <v>42</v>
      </c>
      <c r="X790" s="1053" t="n">
        <v>59</v>
      </c>
      <c r="Y790" s="27">
        <f>Z790</f>
        <v/>
      </c>
      <c r="Z790" s="1111" t="n">
        <v>66</v>
      </c>
      <c r="AA790" s="1053" t="n">
        <v>23</v>
      </c>
      <c r="AB790" s="1053" t="n">
        <v>-104</v>
      </c>
      <c r="AC790" s="1053" t="n">
        <v>-261</v>
      </c>
      <c r="AD790" s="68">
        <f>AE790</f>
        <v/>
      </c>
      <c r="AE790" s="1111" t="n">
        <v>-375</v>
      </c>
      <c r="AF790" s="1053" t="n">
        <v>-27</v>
      </c>
      <c r="AG790" s="1053" t="n">
        <v>-61</v>
      </c>
      <c r="AH790" s="1053" t="n">
        <v>-61</v>
      </c>
      <c r="AI790" s="68">
        <f>AJ790</f>
        <v/>
      </c>
      <c r="AJ790" s="1110" t="n"/>
      <c r="AK790" s="1053" t="n">
        <v>-2</v>
      </c>
      <c r="AL790" s="1053" t="n">
        <v>-295</v>
      </c>
      <c r="AM790" s="1053" t="n">
        <v>-620</v>
      </c>
      <c r="AN790" s="68">
        <f>AO790</f>
        <v/>
      </c>
      <c r="AO790" s="1111" t="n">
        <v>-776</v>
      </c>
      <c r="AP790" s="1053" t="n">
        <v>153</v>
      </c>
      <c r="AQ790" s="1053" t="n">
        <v>378</v>
      </c>
      <c r="AR790" s="1053" t="n">
        <v>531</v>
      </c>
      <c r="AS790" s="68">
        <f>AT790</f>
        <v/>
      </c>
      <c r="AT790" s="1111" t="n">
        <v>597</v>
      </c>
      <c r="AU790" s="1053" t="n">
        <v>-151</v>
      </c>
      <c r="AV790" s="1053" t="n">
        <v>-97</v>
      </c>
      <c r="AW790" s="1053" t="n">
        <v>-190</v>
      </c>
      <c r="AX790" s="68">
        <f>AY790</f>
        <v/>
      </c>
      <c r="AY790" s="1111" t="n">
        <v>-524</v>
      </c>
      <c r="AZ790" s="1053" t="n">
        <v>-159</v>
      </c>
      <c r="BA790" s="1053" t="n">
        <v>-282</v>
      </c>
      <c r="BB790" s="1053" t="n">
        <v>-400</v>
      </c>
      <c r="BC790" s="68">
        <f>BD790</f>
        <v/>
      </c>
      <c r="BD790" s="1111" t="n">
        <v>-774</v>
      </c>
      <c r="BE790" s="1053" t="n">
        <v>-560</v>
      </c>
      <c r="BF790" s="1053" t="n">
        <v>-1285</v>
      </c>
      <c r="BG790" s="1053" t="n">
        <v>-1848</v>
      </c>
      <c r="BH790" s="68">
        <f>BI790</f>
        <v/>
      </c>
      <c r="BI790" s="1111" t="n">
        <v>-2554</v>
      </c>
      <c r="BJ790" s="1053" t="n">
        <v>566</v>
      </c>
      <c r="BK790" s="1053" t="n">
        <v>861</v>
      </c>
      <c r="BL790" s="1053" t="n">
        <v>405</v>
      </c>
      <c r="BM790" s="68">
        <f>BN790</f>
        <v/>
      </c>
      <c r="BN790" s="1111" t="n">
        <v>-98</v>
      </c>
      <c r="BO790" s="1053" t="n">
        <v>-577</v>
      </c>
      <c r="BP790" s="1053" t="n">
        <v>-1380</v>
      </c>
      <c r="BQ790" s="1053" t="n">
        <v>-2357</v>
      </c>
      <c r="BR790" s="68">
        <f>BS790</f>
        <v/>
      </c>
      <c r="BS790" s="1111" t="n">
        <v>-4781</v>
      </c>
      <c r="BT790" s="1053" t="n">
        <v>-1258</v>
      </c>
      <c r="BU790" s="1053" t="n">
        <v>-4880</v>
      </c>
      <c r="BV790" s="1054" t="n">
        <v>-9703</v>
      </c>
      <c r="BW790" s="68" t="n"/>
      <c r="BX790" s="1110" t="n"/>
      <c r="BY790" s="68" t="n"/>
      <c r="BZ790" s="68" t="n"/>
      <c r="CA790" s="68" t="n"/>
      <c r="CB790" s="68" t="n"/>
      <c r="CC790" s="1110" t="n"/>
      <c r="CD790" s="1110" t="n"/>
      <c r="CE790" s="1110" t="n"/>
      <c r="CF790" s="1110" t="n"/>
      <c r="CG790" s="155" t="n"/>
    </row>
    <row r="791" hidden="1" outlineLevel="1">
      <c r="A791" s="67" t="inlineStr">
        <is>
          <t>Prepaid expenses and other current assets</t>
        </is>
      </c>
      <c r="B791" s="146" t="n"/>
      <c r="C791" s="1111" t="n">
        <v>21.528</v>
      </c>
      <c r="D791" s="1111" t="n">
        <v>1.58</v>
      </c>
      <c r="E791" s="1111" t="n">
        <v>8.528</v>
      </c>
      <c r="F791" s="1111" t="n">
        <v>-14.803</v>
      </c>
      <c r="G791" s="1053" t="n">
        <v>-48.1</v>
      </c>
      <c r="H791" s="1053" t="n">
        <v>-3.912</v>
      </c>
      <c r="I791" s="1053" t="n">
        <v>-16.786</v>
      </c>
      <c r="J791" s="27">
        <f>K791</f>
        <v/>
      </c>
      <c r="K791" s="1111" t="n">
        <v>-20.29</v>
      </c>
      <c r="L791" s="1053" t="n">
        <v>7.367</v>
      </c>
      <c r="M791" s="1053" t="n">
        <v>-4.956</v>
      </c>
      <c r="N791" s="1053" t="n">
        <v>2.898</v>
      </c>
      <c r="O791" s="27">
        <f>P791</f>
        <v/>
      </c>
      <c r="P791" s="1111" t="n">
        <v>11.552</v>
      </c>
      <c r="Q791" s="1053" t="n">
        <v>-1</v>
      </c>
      <c r="R791" s="1053" t="n">
        <v>3</v>
      </c>
      <c r="S791" s="1053" t="n">
        <v>5</v>
      </c>
      <c r="T791" s="27">
        <f>U791</f>
        <v/>
      </c>
      <c r="U791" s="1111" t="n">
        <v>4</v>
      </c>
      <c r="V791" s="1053" t="n">
        <v>-17</v>
      </c>
      <c r="W791" s="1053" t="n">
        <v>-13</v>
      </c>
      <c r="X791" s="1053" t="n">
        <v>-25</v>
      </c>
      <c r="Y791" s="27">
        <f>Z791</f>
        <v/>
      </c>
      <c r="Z791" s="1111" t="n">
        <v>-16</v>
      </c>
      <c r="AA791" s="1053" t="n">
        <v>-18</v>
      </c>
      <c r="AB791" s="1053" t="n">
        <v>-17</v>
      </c>
      <c r="AC791" s="1053" t="n">
        <v>-28</v>
      </c>
      <c r="AD791" s="68">
        <f>AE791</f>
        <v/>
      </c>
      <c r="AE791" s="1111" t="n">
        <v>-18</v>
      </c>
      <c r="AF791" s="1053" t="n">
        <v>-2</v>
      </c>
      <c r="AG791" s="1053" t="n">
        <v>-15</v>
      </c>
      <c r="AH791" s="1053" t="n">
        <v>-26</v>
      </c>
      <c r="AI791" s="68">
        <f>AJ791</f>
        <v/>
      </c>
      <c r="AJ791" s="1111" t="n">
        <v>21</v>
      </c>
      <c r="AK791" s="1053" t="n">
        <v>-38</v>
      </c>
      <c r="AL791" s="1053" t="n">
        <v>-44</v>
      </c>
      <c r="AM791" s="1053" t="n">
        <v>-68</v>
      </c>
      <c r="AN791" s="68">
        <f>AO791</f>
        <v/>
      </c>
      <c r="AO791" s="1111" t="n">
        <v>-55</v>
      </c>
      <c r="AP791" s="1053" t="n">
        <v>5</v>
      </c>
      <c r="AQ791" s="1053" t="n">
        <v>36</v>
      </c>
      <c r="AR791" s="1053" t="n">
        <v>55</v>
      </c>
      <c r="AS791" s="68">
        <f>AT791</f>
        <v/>
      </c>
      <c r="AT791" s="1111" t="n">
        <v>77</v>
      </c>
      <c r="AU791" s="1053" t="n">
        <v>-8</v>
      </c>
      <c r="AV791" s="1053" t="n">
        <v>34</v>
      </c>
      <c r="AW791" s="1053" t="n">
        <v>-409</v>
      </c>
      <c r="AX791" s="68">
        <f>AY791</f>
        <v/>
      </c>
      <c r="AY791" s="1111" t="n">
        <v>-394</v>
      </c>
      <c r="AZ791" s="1053" t="n">
        <v>2</v>
      </c>
      <c r="BA791" s="1053" t="n">
        <v>18</v>
      </c>
      <c r="BB791" s="1053" t="n">
        <v>-1557</v>
      </c>
      <c r="BC791" s="68">
        <f>BD791</f>
        <v/>
      </c>
      <c r="BD791" s="1111" t="n">
        <v>-1715</v>
      </c>
      <c r="BE791" s="1053" t="n">
        <v>-1261</v>
      </c>
      <c r="BF791" s="1053" t="n">
        <v>-1554</v>
      </c>
      <c r="BG791" s="1053" t="n">
        <v>-1307</v>
      </c>
      <c r="BH791" s="68">
        <f>BI791</f>
        <v/>
      </c>
      <c r="BI791" s="1111" t="n">
        <v>-1517</v>
      </c>
      <c r="BJ791" s="1053" t="n">
        <v>-215</v>
      </c>
      <c r="BK791" s="1053" t="n">
        <v>-592</v>
      </c>
      <c r="BL791" s="1053" t="n">
        <v>-337</v>
      </c>
      <c r="BM791" s="68">
        <f>BN791</f>
        <v/>
      </c>
      <c r="BN791" s="1111" t="n">
        <v>-1522</v>
      </c>
      <c r="BO791" s="1053" t="n">
        <v>-726</v>
      </c>
      <c r="BP791" s="1053" t="n">
        <v>-12</v>
      </c>
      <c r="BQ791" s="1053" t="n">
        <v>-726</v>
      </c>
      <c r="BR791" s="68">
        <f>BS791</f>
        <v/>
      </c>
      <c r="BS791" s="1111" t="n">
        <v>-395</v>
      </c>
      <c r="BT791" s="1053" t="n">
        <v>560</v>
      </c>
      <c r="BU791" s="1053" t="n">
        <v>946</v>
      </c>
      <c r="BV791" s="1054" t="n">
        <v>857</v>
      </c>
      <c r="BW791" s="68" t="n"/>
      <c r="BX791" s="1110" t="n"/>
      <c r="BY791" s="68" t="n"/>
      <c r="BZ791" s="68" t="n"/>
      <c r="CA791" s="68" t="n"/>
      <c r="CB791" s="68" t="n"/>
      <c r="CC791" s="1110" t="n"/>
      <c r="CD791" s="1110" t="n"/>
      <c r="CE791" s="1110" t="n"/>
      <c r="CF791" s="1110" t="n"/>
      <c r="CG791" s="155" t="n"/>
    </row>
    <row r="792" hidden="1" outlineLevel="1">
      <c r="A792" s="67" t="inlineStr">
        <is>
          <t>Deposits and other assets</t>
        </is>
      </c>
      <c r="B792" s="146" t="n"/>
      <c r="C792" s="1111" t="n">
        <v>-2.108</v>
      </c>
      <c r="D792" s="1111" t="n">
        <v>3.857</v>
      </c>
      <c r="E792" s="1111" t="n">
        <v>4.331</v>
      </c>
      <c r="F792" s="1111" t="n">
        <v>-70.694</v>
      </c>
      <c r="G792" s="1053" t="n">
        <v>-1.882</v>
      </c>
      <c r="H792" s="1053" t="n">
        <v>0.494</v>
      </c>
      <c r="I792" s="1053" t="n">
        <v>4.784</v>
      </c>
      <c r="J792" s="27">
        <f>K792</f>
        <v/>
      </c>
      <c r="K792" s="1111" t="n">
        <v>8.567</v>
      </c>
      <c r="L792" s="1053" t="n">
        <v>1.806</v>
      </c>
      <c r="M792" s="1053" t="n">
        <v>4.445</v>
      </c>
      <c r="N792" s="68" t="n"/>
      <c r="O792" s="27">
        <f>P792</f>
        <v/>
      </c>
      <c r="P792" s="1110" t="n"/>
      <c r="Q792" s="68" t="n"/>
      <c r="R792" s="68" t="n"/>
      <c r="S792" s="68" t="n"/>
      <c r="T792" s="27">
        <f>U792</f>
        <v/>
      </c>
      <c r="U792" s="1110" t="n"/>
      <c r="V792" s="68" t="n"/>
      <c r="W792" s="68" t="n"/>
      <c r="X792" s="68" t="n"/>
      <c r="Y792" s="27">
        <f>Z792</f>
        <v/>
      </c>
      <c r="Z792" s="1110" t="n"/>
      <c r="AA792" s="68" t="n"/>
      <c r="AB792" s="68" t="n"/>
      <c r="AC792" s="68" t="n"/>
      <c r="AD792" s="68">
        <f>AE792</f>
        <v/>
      </c>
      <c r="AE792" s="1110" t="n"/>
      <c r="AF792" s="68" t="n"/>
      <c r="AG792" s="68" t="n"/>
      <c r="AH792" s="68" t="n"/>
      <c r="AI792" s="68">
        <f>AJ792</f>
        <v/>
      </c>
      <c r="AJ792" s="1110" t="n"/>
      <c r="AK792" s="68" t="n"/>
      <c r="AL792" s="68" t="n"/>
      <c r="AM792" s="68" t="n"/>
      <c r="AN792" s="68">
        <f>AO792</f>
        <v/>
      </c>
      <c r="AO792" s="1110" t="n"/>
      <c r="AP792" s="68" t="n"/>
      <c r="AQ792" s="68" t="n"/>
      <c r="AR792" s="68" t="n"/>
      <c r="AS792" s="68">
        <f>AT792</f>
        <v/>
      </c>
      <c r="AT792" s="1110" t="n"/>
      <c r="AU792" s="68" t="n"/>
      <c r="AV792" s="68" t="n"/>
      <c r="AW792" s="68" t="n"/>
      <c r="AX792" s="68">
        <f>AY792</f>
        <v/>
      </c>
      <c r="AY792" s="1110" t="n"/>
      <c r="AZ792" s="68" t="n"/>
      <c r="BA792" s="68" t="n"/>
      <c r="BB792" s="68" t="n"/>
      <c r="BC792" s="68">
        <f>BD792</f>
        <v/>
      </c>
      <c r="BD792" s="1110" t="n"/>
      <c r="BE792" s="68" t="n"/>
      <c r="BF792" s="68" t="n"/>
      <c r="BG792" s="68" t="n"/>
      <c r="BH792" s="68">
        <f>BI792</f>
        <v/>
      </c>
      <c r="BI792" s="1110" t="n"/>
      <c r="BJ792" s="68" t="n"/>
      <c r="BK792" s="68" t="n"/>
      <c r="BL792" s="68" t="n"/>
      <c r="BM792" s="68">
        <f>BN792</f>
        <v/>
      </c>
      <c r="BN792" s="1110" t="n"/>
      <c r="BO792" s="68" t="n"/>
      <c r="BP792" s="68" t="n"/>
      <c r="BQ792" s="68" t="n"/>
      <c r="BR792" s="68">
        <f>BS792</f>
        <v/>
      </c>
      <c r="BS792" s="1110" t="n"/>
      <c r="BT792" s="68" t="n"/>
      <c r="BU792" s="68" t="n"/>
      <c r="BV792" s="588" t="n"/>
      <c r="BW792" s="68" t="n"/>
      <c r="BX792" s="1110" t="n"/>
      <c r="BY792" s="68" t="n"/>
      <c r="BZ792" s="68" t="n"/>
      <c r="CA792" s="68" t="n"/>
      <c r="CB792" s="68" t="n"/>
      <c r="CC792" s="1110" t="n"/>
      <c r="CD792" s="1110" t="n"/>
      <c r="CE792" s="1110" t="n"/>
      <c r="CF792" s="1110" t="n"/>
      <c r="CG792" s="155" t="n"/>
    </row>
    <row r="793" hidden="1" outlineLevel="1">
      <c r="A793" s="67" t="inlineStr">
        <is>
          <t>Prepaid expenses and other assets</t>
        </is>
      </c>
      <c r="B793" s="146" t="n"/>
      <c r="C793" s="1110" t="n"/>
      <c r="D793" s="1110" t="n"/>
      <c r="E793" s="1110" t="n"/>
      <c r="F793" s="1110" t="n"/>
      <c r="G793" s="68" t="n"/>
      <c r="H793" s="68" t="n"/>
      <c r="I793" s="68" t="n"/>
      <c r="J793" s="27">
        <f>K793</f>
        <v/>
      </c>
      <c r="K793" s="1110" t="n"/>
      <c r="L793" s="68" t="n"/>
      <c r="M793" s="68" t="n"/>
      <c r="N793" s="68" t="n"/>
      <c r="O793" s="27">
        <f>P793</f>
        <v/>
      </c>
      <c r="P793" s="1110" t="n"/>
      <c r="Q793" s="68" t="n"/>
      <c r="R793" s="68" t="n"/>
      <c r="S793" s="68" t="n"/>
      <c r="T793" s="27">
        <f>U793</f>
        <v/>
      </c>
      <c r="U793" s="1110" t="n"/>
      <c r="V793" s="68" t="n"/>
      <c r="W793" s="68" t="n"/>
      <c r="X793" s="68" t="n"/>
      <c r="Y793" s="27">
        <f>Z793</f>
        <v/>
      </c>
      <c r="Z793" s="1110" t="n"/>
      <c r="AA793" s="68" t="n"/>
      <c r="AB793" s="68" t="n"/>
      <c r="AC793" s="68" t="n"/>
      <c r="AD793" s="68">
        <f>AE793</f>
        <v/>
      </c>
      <c r="AE793" s="1110" t="n"/>
      <c r="AF793" s="68" t="n"/>
      <c r="AG793" s="68" t="n"/>
      <c r="AH793" s="68" t="n"/>
      <c r="AI793" s="68">
        <f>AJ793</f>
        <v/>
      </c>
      <c r="AJ793" s="1110" t="n"/>
      <c r="AK793" s="68" t="n"/>
      <c r="AL793" s="68" t="n"/>
      <c r="AM793" s="68" t="n"/>
      <c r="AN793" s="68">
        <f>AO793</f>
        <v/>
      </c>
      <c r="AO793" s="1110" t="n"/>
      <c r="AP793" s="68" t="n"/>
      <c r="AQ793" s="68" t="n"/>
      <c r="AR793" s="68" t="n"/>
      <c r="AS793" s="68">
        <f>AT793</f>
        <v/>
      </c>
      <c r="AT793" s="1110" t="n"/>
      <c r="AU793" s="68" t="n"/>
      <c r="AV793" s="68" t="n"/>
      <c r="AW793" s="68" t="n"/>
      <c r="AX793" s="68">
        <f>AY793</f>
        <v/>
      </c>
      <c r="AY793" s="1110" t="n"/>
      <c r="AZ793" s="68" t="n"/>
      <c r="BA793" s="68" t="n"/>
      <c r="BB793" s="68" t="n"/>
      <c r="BC793" s="68">
        <f>BD793</f>
        <v/>
      </c>
      <c r="BD793" s="1110" t="n"/>
      <c r="BE793" s="68" t="n"/>
      <c r="BF793" s="68" t="n"/>
      <c r="BG793" s="68" t="n"/>
      <c r="BH793" s="68">
        <f>BI793</f>
        <v/>
      </c>
      <c r="BI793" s="1110" t="n"/>
      <c r="BJ793" s="68" t="n"/>
      <c r="BK793" s="68" t="n"/>
      <c r="BL793" s="68" t="n"/>
      <c r="BM793" s="68">
        <f>BN793</f>
        <v/>
      </c>
      <c r="BN793" s="1110" t="n"/>
      <c r="BO793" s="68" t="n"/>
      <c r="BP793" s="68" t="n"/>
      <c r="BQ793" s="68" t="n"/>
      <c r="BR793" s="68">
        <f>BS793</f>
        <v/>
      </c>
      <c r="BS793" s="1110" t="n"/>
      <c r="BT793" s="68" t="n"/>
      <c r="BU793" s="68" t="n"/>
      <c r="BV793" s="588" t="n"/>
      <c r="BW793" s="68" t="n"/>
      <c r="BX793" s="1110" t="n"/>
      <c r="BY793" s="68" t="n"/>
      <c r="BZ793" s="68" t="n"/>
      <c r="CA793" s="68" t="n"/>
      <c r="CB793" s="68" t="n"/>
      <c r="CC793" s="1110" t="n"/>
      <c r="CD793" s="1110" t="n"/>
      <c r="CE793" s="1110" t="n"/>
      <c r="CF793" s="1110" t="n"/>
      <c r="CG793" s="155" t="n"/>
    </row>
    <row r="794" hidden="1" outlineLevel="1">
      <c r="A794" s="67" t="inlineStr">
        <is>
          <t>Accounts payable</t>
        </is>
      </c>
      <c r="B794" s="146" t="n"/>
      <c r="C794" s="1111" t="n">
        <v>-283.207</v>
      </c>
      <c r="D794" s="1111" t="n">
        <v>119.366</v>
      </c>
      <c r="E794" s="1111" t="n">
        <v>-69.786</v>
      </c>
      <c r="F794" s="1111" t="n">
        <v>35.708</v>
      </c>
      <c r="G794" s="1053" t="n">
        <v>33.516</v>
      </c>
      <c r="H794" s="1053" t="n">
        <v>65.646</v>
      </c>
      <c r="I794" s="1053" t="n">
        <v>49.099</v>
      </c>
      <c r="J794" s="27">
        <f>K794</f>
        <v/>
      </c>
      <c r="K794" s="1111" t="n">
        <v>10.885</v>
      </c>
      <c r="L794" s="1053" t="n">
        <v>-53.101</v>
      </c>
      <c r="M794" s="1053" t="n">
        <v>-36.452</v>
      </c>
      <c r="N794" s="1053" t="n">
        <v>-38.376</v>
      </c>
      <c r="O794" s="27">
        <f>P794</f>
        <v/>
      </c>
      <c r="P794" s="1111" t="n">
        <v>-20.382</v>
      </c>
      <c r="Q794" s="1053" t="n">
        <v>-15</v>
      </c>
      <c r="R794" s="1053" t="n">
        <v>-64</v>
      </c>
      <c r="S794" s="1053" t="n">
        <v>10</v>
      </c>
      <c r="T794" s="27">
        <f>U794</f>
        <v/>
      </c>
      <c r="U794" s="1111" t="n">
        <v>-27</v>
      </c>
      <c r="V794" s="1053" t="n">
        <v>-67</v>
      </c>
      <c r="W794" s="1053" t="n">
        <v>-13</v>
      </c>
      <c r="X794" s="1053" t="n">
        <v>7</v>
      </c>
      <c r="Y794" s="27">
        <f>Z794</f>
        <v/>
      </c>
      <c r="Z794" s="1111" t="n">
        <v>-11</v>
      </c>
      <c r="AA794" s="1053" t="n">
        <v>32</v>
      </c>
      <c r="AB794" s="1053" t="n">
        <v>131</v>
      </c>
      <c r="AC794" s="1053" t="n">
        <v>218</v>
      </c>
      <c r="AD794" s="68">
        <f>AE794</f>
        <v/>
      </c>
      <c r="AE794" s="1111" t="n">
        <v>184</v>
      </c>
      <c r="AF794" s="1053" t="n">
        <v>-133</v>
      </c>
      <c r="AG794" s="1053" t="n">
        <v>-63</v>
      </c>
      <c r="AH794" s="1053" t="n">
        <v>27</v>
      </c>
      <c r="AI794" s="68">
        <f>AJ794</f>
        <v/>
      </c>
      <c r="AJ794" s="1111" t="n">
        <v>90</v>
      </c>
      <c r="AK794" s="1053" t="n">
        <v>22</v>
      </c>
      <c r="AL794" s="1053" t="n">
        <v>172</v>
      </c>
      <c r="AM794" s="1053" t="n">
        <v>224</v>
      </c>
      <c r="AN794" s="68">
        <f>AO794</f>
        <v/>
      </c>
      <c r="AO794" s="1111" t="n">
        <v>-135</v>
      </c>
      <c r="AP794" s="1053" t="n">
        <v>-123</v>
      </c>
      <c r="AQ794" s="1053" t="n">
        <v>-45</v>
      </c>
      <c r="AR794" s="1053" t="n">
        <v>91</v>
      </c>
      <c r="AS794" s="68">
        <f>AT794</f>
        <v/>
      </c>
      <c r="AT794" s="1111" t="n">
        <v>194</v>
      </c>
      <c r="AU794" s="1053" t="n">
        <v>71</v>
      </c>
      <c r="AV794" s="1053" t="n">
        <v>63</v>
      </c>
      <c r="AW794" s="1053" t="n">
        <v>289</v>
      </c>
      <c r="AX794" s="68">
        <f>AY794</f>
        <v/>
      </c>
      <c r="AY794" s="1111" t="n">
        <v>363</v>
      </c>
      <c r="AZ794" s="1053" t="n">
        <v>70</v>
      </c>
      <c r="BA794" s="1053" t="n">
        <v>279</v>
      </c>
      <c r="BB794" s="1053" t="n">
        <v>474</v>
      </c>
      <c r="BC794" s="68">
        <f>BD794</f>
        <v/>
      </c>
      <c r="BD794" s="1111" t="n">
        <v>568</v>
      </c>
      <c r="BE794" s="1053" t="n">
        <v>255</v>
      </c>
      <c r="BF794" s="1053" t="n">
        <v>559</v>
      </c>
      <c r="BG794" s="1053" t="n">
        <v>-358</v>
      </c>
      <c r="BH794" s="68">
        <f>BI794</f>
        <v/>
      </c>
      <c r="BI794" s="1111" t="n">
        <v>-551</v>
      </c>
      <c r="BJ794" s="1053" t="n">
        <v>11</v>
      </c>
      <c r="BK794" s="1053" t="n">
        <v>789</v>
      </c>
      <c r="BL794" s="1053" t="n">
        <v>1250</v>
      </c>
      <c r="BM794" s="68">
        <f>BN794</f>
        <v/>
      </c>
      <c r="BN794" s="1111" t="n">
        <v>1531</v>
      </c>
      <c r="BO794" s="1053" t="n">
        <v>-22</v>
      </c>
      <c r="BP794" s="1053" t="n">
        <v>801</v>
      </c>
      <c r="BQ794" s="1053" t="n">
        <v>2490</v>
      </c>
      <c r="BR794" s="68">
        <f>BS794</f>
        <v/>
      </c>
      <c r="BS794" s="1111" t="n">
        <v>3357</v>
      </c>
      <c r="BT794" s="1053" t="n">
        <v>941</v>
      </c>
      <c r="BU794" s="1053" t="n">
        <v>2255</v>
      </c>
      <c r="BV794" s="1054" t="n">
        <v>2032</v>
      </c>
      <c r="BW794" s="68" t="n"/>
      <c r="BX794" s="1110" t="n"/>
      <c r="BY794" s="68" t="n"/>
      <c r="BZ794" s="68" t="n"/>
      <c r="CA794" s="68" t="n"/>
      <c r="CB794" s="68" t="n"/>
      <c r="CC794" s="1110" t="n"/>
      <c r="CD794" s="1110" t="n"/>
      <c r="CE794" s="1110" t="n"/>
      <c r="CF794" s="1110" t="n"/>
      <c r="CG794" s="155" t="n"/>
    </row>
    <row r="795" hidden="1" outlineLevel="1">
      <c r="A795" s="67" t="inlineStr">
        <is>
          <t>Accrued and other current liabilities</t>
        </is>
      </c>
      <c r="B795" s="146" t="n"/>
      <c r="C795" s="1111" t="n">
        <v>58.876</v>
      </c>
      <c r="D795" s="1111" t="n">
        <v>-136.303</v>
      </c>
      <c r="E795" s="1111" t="n">
        <v>196.413</v>
      </c>
      <c r="F795" s="1111" t="n">
        <v>6.818</v>
      </c>
      <c r="G795" s="1053" t="n">
        <v>-66.08499999999999</v>
      </c>
      <c r="H795" s="1053" t="n">
        <v>-100.624</v>
      </c>
      <c r="I795" s="1053" t="n">
        <v>-180.854</v>
      </c>
      <c r="J795" s="27">
        <f>K795</f>
        <v/>
      </c>
      <c r="K795" s="1111" t="n">
        <v>86.405</v>
      </c>
      <c r="L795" s="1053" t="n">
        <v>-93.245</v>
      </c>
      <c r="M795" s="1053" t="n">
        <v>-115.522</v>
      </c>
      <c r="N795" s="1053" t="n">
        <v>34.296</v>
      </c>
      <c r="O795" s="27">
        <f>P795</f>
        <v/>
      </c>
      <c r="P795" s="1111" t="n">
        <v>5.352</v>
      </c>
      <c r="Q795" s="1053" t="n">
        <v>-29</v>
      </c>
      <c r="R795" s="1053" t="n">
        <v>-12</v>
      </c>
      <c r="S795" s="1053" t="n">
        <v>-23</v>
      </c>
      <c r="T795" s="27">
        <f>U795</f>
        <v/>
      </c>
      <c r="U795" s="1111" t="n">
        <v>5</v>
      </c>
      <c r="V795" s="1053" t="n">
        <v>58</v>
      </c>
      <c r="W795" s="1053" t="n">
        <v>60</v>
      </c>
      <c r="X795" s="1053" t="n">
        <v>-41</v>
      </c>
      <c r="Y795" s="27">
        <f>Z795</f>
        <v/>
      </c>
      <c r="Z795" s="1111" t="n">
        <v>39</v>
      </c>
      <c r="AA795" s="1053" t="n">
        <v>-7</v>
      </c>
      <c r="AB795" s="1053" t="n">
        <v>-85</v>
      </c>
      <c r="AC795" s="1053" t="n">
        <v>-136</v>
      </c>
      <c r="AD795" s="68">
        <f>AE795</f>
        <v/>
      </c>
      <c r="AE795" s="1111" t="n">
        <v>-135</v>
      </c>
      <c r="AF795" s="1053" t="n">
        <v>-87</v>
      </c>
      <c r="AG795" s="1053" t="n">
        <v>9</v>
      </c>
      <c r="AH795" s="1053" t="n">
        <v>-15</v>
      </c>
      <c r="AI795" s="68">
        <f>AJ795</f>
        <v/>
      </c>
      <c r="AJ795" s="1111" t="n">
        <v>33</v>
      </c>
      <c r="AK795" s="1053" t="n">
        <v>-81</v>
      </c>
      <c r="AL795" s="1053" t="n">
        <v>96</v>
      </c>
      <c r="AM795" s="1053" t="n">
        <v>147</v>
      </c>
      <c r="AN795" s="68">
        <f>AO795</f>
        <v/>
      </c>
      <c r="AO795" s="1111" t="n">
        <v>256</v>
      </c>
      <c r="AP795" s="1053" t="n">
        <v>-129</v>
      </c>
      <c r="AQ795" s="1053" t="n">
        <v>-79</v>
      </c>
      <c r="AR795" s="1053" t="n">
        <v>-103</v>
      </c>
      <c r="AS795" s="68">
        <f>AT795</f>
        <v/>
      </c>
      <c r="AT795" s="1111" t="n">
        <v>54</v>
      </c>
      <c r="AU795" s="1053" t="n">
        <v>-32</v>
      </c>
      <c r="AV795" s="1053" t="n">
        <v>81</v>
      </c>
      <c r="AW795" s="1053" t="n">
        <v>111</v>
      </c>
      <c r="AX795" s="68">
        <f>AY795</f>
        <v/>
      </c>
      <c r="AY795" s="1111" t="n">
        <v>239</v>
      </c>
      <c r="AZ795" s="1053" t="n">
        <v>-1</v>
      </c>
      <c r="BA795" s="1053" t="n">
        <v>132</v>
      </c>
      <c r="BB795" s="1053" t="n">
        <v>70</v>
      </c>
      <c r="BC795" s="68">
        <f>BD795</f>
        <v/>
      </c>
      <c r="BD795" s="1111" t="n">
        <v>581</v>
      </c>
      <c r="BE795" s="1053" t="n">
        <v>634</v>
      </c>
      <c r="BF795" s="1053" t="n">
        <v>1267</v>
      </c>
      <c r="BG795" s="1053" t="n">
        <v>1175</v>
      </c>
      <c r="BH795" s="68">
        <f>BI795</f>
        <v/>
      </c>
      <c r="BI795" s="1111" t="n">
        <v>1341</v>
      </c>
      <c r="BJ795" s="1053" t="n">
        <v>689</v>
      </c>
      <c r="BK795" s="1053" t="n">
        <v>2675</v>
      </c>
      <c r="BL795" s="1053" t="n">
        <v>953</v>
      </c>
      <c r="BM795" s="68">
        <f>BN795</f>
        <v/>
      </c>
      <c r="BN795" s="1111" t="n">
        <v>2025</v>
      </c>
      <c r="BO795" s="1053" t="n">
        <v>4202</v>
      </c>
      <c r="BP795" s="1053" t="n">
        <v>3314</v>
      </c>
      <c r="BQ795" s="1053" t="n">
        <v>3918</v>
      </c>
      <c r="BR795" s="68">
        <f>BS795</f>
        <v/>
      </c>
      <c r="BS795" s="1111" t="n">
        <v>4278</v>
      </c>
      <c r="BT795" s="1053" t="n">
        <v>7128</v>
      </c>
      <c r="BU795" s="1053" t="n">
        <v>3075</v>
      </c>
      <c r="BV795" s="1054" t="n">
        <v>4204</v>
      </c>
      <c r="BW795" s="68" t="n"/>
      <c r="BX795" s="1110" t="n"/>
      <c r="BY795" s="68" t="n"/>
      <c r="BZ795" s="68" t="n"/>
      <c r="CA795" s="68" t="n"/>
      <c r="CB795" s="68" t="n"/>
      <c r="CC795" s="1110" t="n"/>
      <c r="CD795" s="1110" t="n"/>
      <c r="CE795" s="1110" t="n"/>
      <c r="CF795" s="1110" t="n"/>
      <c r="CG795" s="155" t="n"/>
    </row>
    <row r="796" hidden="1" outlineLevel="1">
      <c r="A796" s="67" t="inlineStr">
        <is>
          <t>Other long-term liabilities</t>
        </is>
      </c>
      <c r="B796" s="146" t="n"/>
      <c r="C796" s="1110" t="n"/>
      <c r="D796" s="1110" t="n"/>
      <c r="E796" s="1110" t="n"/>
      <c r="F796" s="1110" t="n"/>
      <c r="G796" s="68" t="n"/>
      <c r="H796" s="1053" t="n">
        <v>0</v>
      </c>
      <c r="I796" s="1053" t="n">
        <v>0</v>
      </c>
      <c r="J796" s="27">
        <f>K796</f>
        <v/>
      </c>
      <c r="K796" s="1111" t="n">
        <v>0</v>
      </c>
      <c r="L796" s="68" t="n"/>
      <c r="M796" s="1053" t="n">
        <v>0</v>
      </c>
      <c r="N796" s="1053" t="n">
        <v>-177.324</v>
      </c>
      <c r="O796" s="27">
        <f>P796</f>
        <v/>
      </c>
      <c r="P796" s="1111" t="n">
        <v>-37.788</v>
      </c>
      <c r="Q796" s="1053" t="n">
        <v>-69</v>
      </c>
      <c r="R796" s="1053" t="n">
        <v>-130</v>
      </c>
      <c r="S796" s="1053" t="n">
        <v>-161</v>
      </c>
      <c r="T796" s="27">
        <f>U796</f>
        <v/>
      </c>
      <c r="U796" s="1111" t="n">
        <v>-41</v>
      </c>
      <c r="V796" s="1053" t="n">
        <v>-57</v>
      </c>
      <c r="W796" s="1053" t="n">
        <v>-95</v>
      </c>
      <c r="X796" s="1053" t="n">
        <v>-145</v>
      </c>
      <c r="Y796" s="27">
        <f>Z796</f>
        <v/>
      </c>
      <c r="Z796" s="1111" t="n">
        <v>-97</v>
      </c>
      <c r="AA796" s="1053" t="n">
        <v>-31</v>
      </c>
      <c r="AB796" s="1053" t="n">
        <v>-35</v>
      </c>
      <c r="AC796" s="1053" t="n">
        <v>-29</v>
      </c>
      <c r="AD796" s="68">
        <f>AE796</f>
        <v/>
      </c>
      <c r="AE796" s="1111" t="n">
        <v>-14</v>
      </c>
      <c r="AF796" s="1053" t="n">
        <v>8</v>
      </c>
      <c r="AG796" s="1053" t="n">
        <v>16</v>
      </c>
      <c r="AH796" s="1053" t="n">
        <v>31</v>
      </c>
      <c r="AI796" s="68">
        <f>AJ796</f>
        <v/>
      </c>
      <c r="AJ796" s="1111" t="n">
        <v>481</v>
      </c>
      <c r="AK796" s="1053" t="n">
        <v>15</v>
      </c>
      <c r="AL796" s="1053" t="n">
        <v>1</v>
      </c>
      <c r="AM796" s="1053" t="n">
        <v>-49</v>
      </c>
      <c r="AN796" s="68">
        <f>AO796</f>
        <v/>
      </c>
      <c r="AO796" s="1111" t="n">
        <v>2</v>
      </c>
      <c r="AP796" s="1060" t="n">
        <v>13</v>
      </c>
      <c r="AQ796" s="1053" t="n">
        <v>-2</v>
      </c>
      <c r="AR796" s="1053" t="n">
        <v>10</v>
      </c>
      <c r="AS796" s="68">
        <f>AT796</f>
        <v/>
      </c>
      <c r="AT796" s="1111" t="n">
        <v>28</v>
      </c>
      <c r="AU796" s="1060" t="n">
        <v>10</v>
      </c>
      <c r="AV796" s="1053" t="n">
        <v>21</v>
      </c>
      <c r="AW796" s="1053" t="n">
        <v>74</v>
      </c>
      <c r="AX796" s="68">
        <f>AY796</f>
        <v/>
      </c>
      <c r="AY796" s="1111" t="n">
        <v>163</v>
      </c>
      <c r="AZ796" s="1060" t="n">
        <v>47</v>
      </c>
      <c r="BA796" s="1053" t="n">
        <v>98</v>
      </c>
      <c r="BB796" s="1053" t="n">
        <v>253</v>
      </c>
      <c r="BC796" s="68">
        <f>BD796</f>
        <v/>
      </c>
      <c r="BD796" s="1111" t="n">
        <v>192</v>
      </c>
      <c r="BE796" s="1060" t="n">
        <v>70</v>
      </c>
      <c r="BF796" s="1053" t="n">
        <v>60</v>
      </c>
      <c r="BG796" s="1053" t="n">
        <v>102</v>
      </c>
      <c r="BH796" s="68">
        <f>BI796</f>
        <v/>
      </c>
      <c r="BI796" s="1111" t="n">
        <v>252</v>
      </c>
      <c r="BJ796" s="1060" t="n">
        <v>105</v>
      </c>
      <c r="BK796" s="1053" t="n">
        <v>236</v>
      </c>
      <c r="BL796" s="1053" t="n">
        <v>208</v>
      </c>
      <c r="BM796" s="68">
        <f>BN796</f>
        <v/>
      </c>
      <c r="BN796" s="1111" t="n">
        <v>514</v>
      </c>
      <c r="BO796" s="1060" t="n">
        <v>323</v>
      </c>
      <c r="BP796" s="1053" t="n">
        <v>584</v>
      </c>
      <c r="BQ796" s="1053" t="n">
        <v>849</v>
      </c>
      <c r="BR796" s="68">
        <f>BS796</f>
        <v/>
      </c>
      <c r="BS796" s="1111" t="n">
        <v>1221</v>
      </c>
      <c r="BT796" s="1060" t="n">
        <v>350</v>
      </c>
      <c r="BU796" s="1053" t="n">
        <v>979</v>
      </c>
      <c r="BV796" s="1054" t="n">
        <v>1311</v>
      </c>
      <c r="BW796" s="68" t="n"/>
      <c r="BX796" s="1110" t="n"/>
      <c r="BY796" s="68" t="n"/>
      <c r="BZ796" s="68" t="n"/>
      <c r="CA796" s="68" t="n"/>
      <c r="CB796" s="68" t="n"/>
      <c r="CC796" s="1110" t="n"/>
      <c r="CD796" s="1110" t="n"/>
      <c r="CE796" s="1110" t="n"/>
      <c r="CF796" s="1110" t="n"/>
      <c r="CG796" s="155" t="n"/>
    </row>
    <row r="797" hidden="1" outlineLevel="1">
      <c r="A797" s="59" t="inlineStr">
        <is>
          <t>Net CFO</t>
        </is>
      </c>
      <c r="B797" s="607" t="n"/>
      <c r="C797" s="1123">
        <f>SUM(C788:C796)</f>
        <v/>
      </c>
      <c r="D797" s="1123">
        <f>SUM(D788:D796)</f>
        <v/>
      </c>
      <c r="E797" s="1123">
        <f>SUM(E788:E796)</f>
        <v/>
      </c>
      <c r="F797" s="1123">
        <f>SUM(F788:F796)</f>
        <v/>
      </c>
      <c r="G797" s="60">
        <f>SUM(G788:G796)</f>
        <v/>
      </c>
      <c r="H797" s="60">
        <f>SUM(H788:H796)</f>
        <v/>
      </c>
      <c r="I797" s="60">
        <f>SUM(I788:I796)</f>
        <v/>
      </c>
      <c r="J797" s="60">
        <f>SUM(J788:J796)</f>
        <v/>
      </c>
      <c r="K797" s="1123">
        <f>SUM(K788:K796)</f>
        <v/>
      </c>
      <c r="L797" s="60">
        <f>SUM(L788:L796)</f>
        <v/>
      </c>
      <c r="M797" s="60">
        <f>SUM(M788:M796)</f>
        <v/>
      </c>
      <c r="N797" s="60">
        <f>SUM(N788:N796)</f>
        <v/>
      </c>
      <c r="O797" s="60">
        <f>SUM(O788:O796)</f>
        <v/>
      </c>
      <c r="P797" s="1123">
        <f>SUM(P788:P796)</f>
        <v/>
      </c>
      <c r="Q797" s="60">
        <f>SUM(Q788:Q796)</f>
        <v/>
      </c>
      <c r="R797" s="60">
        <f>SUM(R788:R796)</f>
        <v/>
      </c>
      <c r="S797" s="60">
        <f>SUM(S788:S796)</f>
        <v/>
      </c>
      <c r="T797" s="60">
        <f>SUM(T788:T796)</f>
        <v/>
      </c>
      <c r="U797" s="1123">
        <f>SUM(U788:U796)</f>
        <v/>
      </c>
      <c r="V797" s="60">
        <f>SUM(V788:V796)</f>
        <v/>
      </c>
      <c r="W797" s="60">
        <f>SUM(W788:W796)</f>
        <v/>
      </c>
      <c r="X797" s="60">
        <f>SUM(X788:X796)</f>
        <v/>
      </c>
      <c r="Y797" s="60">
        <f>SUM(Y788:Y796)</f>
        <v/>
      </c>
      <c r="Z797" s="1123">
        <f>SUM(Z788:Z796)</f>
        <v/>
      </c>
      <c r="AA797" s="60">
        <f>SUM(AA788:AA796)</f>
        <v/>
      </c>
      <c r="AB797" s="60">
        <f>SUM(AB788:AB796)</f>
        <v/>
      </c>
      <c r="AC797" s="61">
        <f>SUM(AC788:AC796)</f>
        <v/>
      </c>
      <c r="AD797" s="61">
        <f>SUM(AD788:AD796)</f>
        <v/>
      </c>
      <c r="AE797" s="1122">
        <f>SUM(AE788:AE796)</f>
        <v/>
      </c>
      <c r="AF797" s="61">
        <f>SUM(AF788:AF796)</f>
        <v/>
      </c>
      <c r="AG797" s="60">
        <f>SUM(AG788:AG796)</f>
        <v/>
      </c>
      <c r="AH797" s="60">
        <f>SUM(AH788:AH796)</f>
        <v/>
      </c>
      <c r="AI797" s="61">
        <f>SUM(AI788:AI796)</f>
        <v/>
      </c>
      <c r="AJ797" s="1122">
        <f>SUM(AJ788:AJ796)</f>
        <v/>
      </c>
      <c r="AK797" s="60">
        <f>SUM(AK788:AK796)</f>
        <v/>
      </c>
      <c r="AL797" s="60">
        <f>SUM(AL788:AL796)</f>
        <v/>
      </c>
      <c r="AM797" s="60">
        <f>SUM(AM788:AM796)</f>
        <v/>
      </c>
      <c r="AN797" s="61">
        <f>SUM(AN788:AN796)</f>
        <v/>
      </c>
      <c r="AO797" s="1122">
        <f>SUM(AO788:AO796)</f>
        <v/>
      </c>
      <c r="AP797" s="60">
        <f>SUM(AP788:AP796)</f>
        <v/>
      </c>
      <c r="AQ797" s="61">
        <f>SUM(AQ788:AQ796)</f>
        <v/>
      </c>
      <c r="AR797" s="60">
        <f>SUM(AR788:AR796)</f>
        <v/>
      </c>
      <c r="AS797" s="61">
        <f>SUM(AS788:AS796)</f>
        <v/>
      </c>
      <c r="AT797" s="1122">
        <f>SUM(AT788:AT796)</f>
        <v/>
      </c>
      <c r="AU797" s="60">
        <f>SUM(AU788:AU796)</f>
        <v/>
      </c>
      <c r="AV797" s="61">
        <f>SUM(AV788:AV796)</f>
        <v/>
      </c>
      <c r="AW797" s="60">
        <f>SUM(AW788:AW796)</f>
        <v/>
      </c>
      <c r="AX797" s="61">
        <f>SUM(AX788:AX796)</f>
        <v/>
      </c>
      <c r="AY797" s="1122">
        <f>SUM(AY788:AY796)</f>
        <v/>
      </c>
      <c r="AZ797" s="60">
        <f>SUM(AZ788:AZ796)</f>
        <v/>
      </c>
      <c r="BA797" s="61">
        <f>SUM(BA788:BA796)</f>
        <v/>
      </c>
      <c r="BB797" s="60">
        <f>SUM(BB788:BB796)</f>
        <v/>
      </c>
      <c r="BC797" s="61">
        <f>SUM(BC788:BC796)</f>
        <v/>
      </c>
      <c r="BD797" s="1122">
        <f>SUM(BD788:BD796)</f>
        <v/>
      </c>
      <c r="BE797" s="60">
        <f>SUM(BE788:BE796)</f>
        <v/>
      </c>
      <c r="BF797" s="61">
        <f>SUM(BF788:BF796)</f>
        <v/>
      </c>
      <c r="BG797" s="60">
        <f>SUM(BG788:BG796)</f>
        <v/>
      </c>
      <c r="BH797" s="61">
        <f>SUM(BH788:BH796)</f>
        <v/>
      </c>
      <c r="BI797" s="1122">
        <f>SUM(BI788:BI796)</f>
        <v/>
      </c>
      <c r="BJ797" s="60">
        <f>SUM(BJ788:BJ796)</f>
        <v/>
      </c>
      <c r="BK797" s="61">
        <f>SUM(BK788:BK796)</f>
        <v/>
      </c>
      <c r="BL797" s="60">
        <f>SUM(BL788:BL796)</f>
        <v/>
      </c>
      <c r="BM797" s="61">
        <f>SUM(BM788:BM796)</f>
        <v/>
      </c>
      <c r="BN797" s="1122">
        <f>SUM(BN788:BN796)</f>
        <v/>
      </c>
      <c r="BO797" s="60">
        <f>SUM(BO788:BO796)</f>
        <v/>
      </c>
      <c r="BP797" s="61">
        <f>SUM(BP788:BP796)</f>
        <v/>
      </c>
      <c r="BQ797" s="60">
        <f>SUM(BQ788:BQ796)</f>
        <v/>
      </c>
      <c r="BR797" s="61">
        <f>SUM(BR788:BR796)</f>
        <v/>
      </c>
      <c r="BS797" s="1122">
        <f>SUM(BS788:BS796)</f>
        <v/>
      </c>
      <c r="BT797" s="60">
        <f>SUM(BT788:BT796)</f>
        <v/>
      </c>
      <c r="BU797" s="61">
        <f>SUM(BU788:BU796)</f>
        <v/>
      </c>
      <c r="BV797" s="883">
        <f>SUM(BV788:BV796)</f>
        <v/>
      </c>
      <c r="BW797" s="61" t="n"/>
      <c r="BX797" s="1122" t="n"/>
      <c r="BY797" s="61" t="n"/>
      <c r="BZ797" s="61" t="n"/>
      <c r="CA797" s="61" t="n"/>
      <c r="CB797" s="61" t="n"/>
      <c r="CC797" s="1122" t="n"/>
      <c r="CD797" s="1122" t="n"/>
      <c r="CE797" s="1122" t="n"/>
      <c r="CF797" s="1122" t="n"/>
      <c r="CG797" s="155" t="n"/>
    </row>
    <row r="798" hidden="1" outlineLevel="1">
      <c r="A798" s="600" t="n"/>
      <c r="B798" s="279" t="n"/>
      <c r="C798" s="1125" t="n"/>
      <c r="D798" s="1125" t="n"/>
      <c r="E798" s="1125" t="n"/>
      <c r="F798" s="1125" t="n"/>
      <c r="G798" s="63" t="n"/>
      <c r="H798" s="63" t="n"/>
      <c r="I798" s="63" t="n"/>
      <c r="J798" s="63" t="n"/>
      <c r="K798" s="1125" t="n"/>
      <c r="L798" s="63" t="n"/>
      <c r="M798" s="63" t="n"/>
      <c r="N798" s="63" t="n"/>
      <c r="O798" s="63" t="n"/>
      <c r="P798" s="1125" t="n"/>
      <c r="Q798" s="63" t="n"/>
      <c r="R798" s="63" t="n"/>
      <c r="S798" s="63" t="n"/>
      <c r="T798" s="63" t="n"/>
      <c r="U798" s="1125" t="n"/>
      <c r="V798" s="63" t="n"/>
      <c r="W798" s="63" t="n"/>
      <c r="X798" s="63" t="n"/>
      <c r="Y798" s="63" t="n"/>
      <c r="Z798" s="1125" t="n"/>
      <c r="AA798" s="63" t="n"/>
      <c r="AB798" s="63" t="n"/>
      <c r="AC798" s="63" t="n"/>
      <c r="AD798" s="63" t="n"/>
      <c r="AE798" s="1125" t="n"/>
      <c r="AF798" s="63" t="n"/>
      <c r="AG798" s="63" t="n"/>
      <c r="AH798" s="63" t="n"/>
      <c r="AI798" s="63" t="n"/>
      <c r="AJ798" s="1125" t="n"/>
      <c r="AK798" s="63" t="n"/>
      <c r="AL798" s="63" t="n"/>
      <c r="AM798" s="63" t="n"/>
      <c r="AN798" s="63" t="n"/>
      <c r="AO798" s="1125" t="n"/>
      <c r="AP798" s="63" t="n"/>
      <c r="AQ798" s="63" t="n"/>
      <c r="AR798" s="63" t="n"/>
      <c r="AS798" s="63" t="n"/>
      <c r="AT798" s="1125" t="n"/>
      <c r="AU798" s="63" t="n"/>
      <c r="AV798" s="63" t="n"/>
      <c r="AW798" s="63" t="n"/>
      <c r="AX798" s="63" t="n"/>
      <c r="AY798" s="1125" t="n"/>
      <c r="AZ798" s="63" t="n"/>
      <c r="BA798" s="63" t="n"/>
      <c r="BB798" s="63" t="n"/>
      <c r="BC798" s="63" t="n"/>
      <c r="BD798" s="1125" t="n"/>
      <c r="BE798" s="63" t="n"/>
      <c r="BF798" s="63" t="n"/>
      <c r="BG798" s="63" t="n"/>
      <c r="BH798" s="63" t="n"/>
      <c r="BI798" s="1125" t="n"/>
      <c r="BJ798" s="63" t="n"/>
      <c r="BK798" s="63" t="n"/>
      <c r="BL798" s="63" t="n"/>
      <c r="BM798" s="63" t="n"/>
      <c r="BN798" s="1125" t="n"/>
      <c r="BO798" s="63" t="n"/>
      <c r="BP798" s="63" t="n"/>
      <c r="BQ798" s="63" t="n"/>
      <c r="BR798" s="63" t="n"/>
      <c r="BS798" s="1125" t="n"/>
      <c r="BT798" s="63" t="n"/>
      <c r="BU798" s="63" t="n"/>
      <c r="BV798" s="587" t="n"/>
      <c r="BW798" s="63" t="n"/>
      <c r="BX798" s="1125" t="n"/>
      <c r="BY798" s="63" t="n"/>
      <c r="BZ798" s="63" t="n"/>
      <c r="CA798" s="63" t="n"/>
      <c r="CB798" s="63" t="n"/>
      <c r="CC798" s="1125" t="n"/>
      <c r="CD798" s="1125" t="n"/>
      <c r="CE798" s="1125" t="n"/>
      <c r="CF798" s="1125" t="n"/>
      <c r="CG798" s="155" t="n"/>
    </row>
    <row r="799" hidden="1" outlineLevel="1">
      <c r="A799" s="62" t="inlineStr">
        <is>
          <t>CFI</t>
        </is>
      </c>
      <c r="B799" s="279" t="n"/>
      <c r="C799" s="1125" t="n"/>
      <c r="D799" s="1125" t="n"/>
      <c r="E799" s="1125" t="n"/>
      <c r="F799" s="1125" t="n"/>
      <c r="G799" s="63" t="n"/>
      <c r="H799" s="63" t="n"/>
      <c r="I799" s="63" t="n"/>
      <c r="J799" s="63" t="n"/>
      <c r="K799" s="1125" t="n"/>
      <c r="L799" s="63" t="n"/>
      <c r="M799" s="63" t="n"/>
      <c r="N799" s="63" t="n"/>
      <c r="O799" s="63" t="n"/>
      <c r="P799" s="1125" t="n"/>
      <c r="Q799" s="63" t="n"/>
      <c r="R799" s="63" t="n"/>
      <c r="S799" s="63" t="n"/>
      <c r="T799" s="63" t="n"/>
      <c r="U799" s="1125" t="n"/>
      <c r="V799" s="63" t="n"/>
      <c r="W799" s="63" t="n"/>
      <c r="X799" s="63" t="n"/>
      <c r="Y799" s="63" t="n"/>
      <c r="Z799" s="1125" t="n"/>
      <c r="AA799" s="63" t="n"/>
      <c r="AB799" s="63" t="n"/>
      <c r="AC799" s="63" t="n"/>
      <c r="AD799" s="63" t="n"/>
      <c r="AE799" s="1125" t="n"/>
      <c r="AF799" s="63" t="n"/>
      <c r="AG799" s="63" t="n"/>
      <c r="AH799" s="63" t="n"/>
      <c r="AI799" s="63" t="n"/>
      <c r="AJ799" s="1125" t="n"/>
      <c r="AK799" s="63" t="n"/>
      <c r="AL799" s="63" t="n"/>
      <c r="AM799" s="63" t="n"/>
      <c r="AN799" s="63" t="n"/>
      <c r="AO799" s="1125" t="n"/>
      <c r="AP799" s="63" t="n"/>
      <c r="AQ799" s="63" t="n"/>
      <c r="AR799" s="63" t="n"/>
      <c r="AS799" s="63" t="n"/>
      <c r="AT799" s="1125" t="n"/>
      <c r="AU799" s="63" t="n"/>
      <c r="AV799" s="63" t="n"/>
      <c r="AW799" s="63" t="n"/>
      <c r="AX799" s="63" t="n"/>
      <c r="AY799" s="1125" t="n"/>
      <c r="AZ799" s="63" t="n"/>
      <c r="BA799" s="63" t="n"/>
      <c r="BB799" s="63" t="n"/>
      <c r="BC799" s="63" t="n"/>
      <c r="BD799" s="1125" t="n"/>
      <c r="BE799" s="63" t="n"/>
      <c r="BF799" s="63" t="n"/>
      <c r="BG799" s="63" t="n"/>
      <c r="BH799" s="63" t="n"/>
      <c r="BI799" s="1125" t="n"/>
      <c r="BJ799" s="63" t="n"/>
      <c r="BK799" s="63" t="n"/>
      <c r="BL799" s="63" t="n"/>
      <c r="BM799" s="63" t="n"/>
      <c r="BN799" s="1125" t="n"/>
      <c r="BO799" s="63" t="n"/>
      <c r="BP799" s="63" t="n"/>
      <c r="BQ799" s="63" t="n"/>
      <c r="BR799" s="63" t="n"/>
      <c r="BS799" s="1125" t="n"/>
      <c r="BT799" s="63" t="n"/>
      <c r="BU799" s="63" t="n"/>
      <c r="BV799" s="587" t="n"/>
      <c r="BW799" s="63" t="n"/>
      <c r="BX799" s="1125" t="n"/>
      <c r="BY799" s="63" t="n"/>
      <c r="BZ799" s="63" t="n"/>
      <c r="CA799" s="63" t="n"/>
      <c r="CB799" s="63" t="n"/>
      <c r="CC799" s="1125" t="n"/>
      <c r="CD799" s="1125" t="n"/>
      <c r="CE799" s="1125" t="n"/>
      <c r="CF799" s="1125" t="n"/>
      <c r="CG799" s="155" t="n"/>
    </row>
    <row r="800" hidden="1" outlineLevel="1">
      <c r="A800" s="67" t="inlineStr">
        <is>
          <t>Purchases of marketable securities</t>
        </is>
      </c>
      <c r="B800" s="146" t="n"/>
      <c r="C800" s="1111" t="n">
        <v>-999.953</v>
      </c>
      <c r="D800" s="1111" t="n">
        <v>-1193.948</v>
      </c>
      <c r="E800" s="1111" t="n">
        <v>-1719.7</v>
      </c>
      <c r="F800" s="1111" t="n">
        <v>-1964.898</v>
      </c>
      <c r="G800" s="1053" t="n">
        <v>-814.222</v>
      </c>
      <c r="H800" s="1053" t="n">
        <v>-1247.664</v>
      </c>
      <c r="I800" s="1053" t="n">
        <v>-1729.307</v>
      </c>
      <c r="J800" s="27">
        <f>K800</f>
        <v/>
      </c>
      <c r="K800" s="1111" t="n">
        <v>-2378.445</v>
      </c>
      <c r="L800" s="1053" t="n">
        <v>-541.95</v>
      </c>
      <c r="M800" s="1053" t="n">
        <v>-936.2140000000001</v>
      </c>
      <c r="N800" s="1053" t="n">
        <v>-1420.471</v>
      </c>
      <c r="O800" s="27">
        <f>P800</f>
        <v/>
      </c>
      <c r="P800" s="1111" t="n">
        <v>-3065.404</v>
      </c>
      <c r="Q800" s="1053" t="n">
        <v>-1001</v>
      </c>
      <c r="R800" s="1053" t="n">
        <v>-1683</v>
      </c>
      <c r="S800" s="1053" t="n">
        <v>-2126</v>
      </c>
      <c r="T800" s="27">
        <f>U800</f>
        <v/>
      </c>
      <c r="U800" s="1111" t="n">
        <v>-2862</v>
      </c>
      <c r="V800" s="1053" t="n">
        <v>-1267</v>
      </c>
      <c r="W800" s="1053" t="n">
        <v>-1861</v>
      </c>
      <c r="X800" s="1053" t="n">
        <v>-2669</v>
      </c>
      <c r="Y800" s="27">
        <f>Z800</f>
        <v/>
      </c>
      <c r="Z800" s="1111" t="n">
        <v>-3477</v>
      </c>
      <c r="AA800" s="1053" t="n">
        <v>-469</v>
      </c>
      <c r="AB800" s="1053" t="n">
        <v>-1415</v>
      </c>
      <c r="AC800" s="1053" t="n">
        <v>-2249</v>
      </c>
      <c r="AD800" s="68">
        <f>AE800</f>
        <v/>
      </c>
      <c r="AE800" s="1111" t="n">
        <v>-3134</v>
      </c>
      <c r="AF800" s="1053" t="n">
        <v>-36</v>
      </c>
      <c r="AG800" s="1053" t="n">
        <v>-36</v>
      </c>
      <c r="AH800" s="1053" t="n">
        <v>-36</v>
      </c>
      <c r="AI800" s="68">
        <f>AJ800</f>
        <v/>
      </c>
      <c r="AJ800" s="1111" t="n">
        <v>-36</v>
      </c>
      <c r="AK800" s="1053" t="n">
        <v>-3705</v>
      </c>
      <c r="AL800" s="1053" t="n">
        <v>-7136</v>
      </c>
      <c r="AM800" s="1053" t="n">
        <v>-10112</v>
      </c>
      <c r="AN800" s="68">
        <f>AO800</f>
        <v/>
      </c>
      <c r="AO800" s="1111" t="n">
        <v>-11148</v>
      </c>
      <c r="AP800" s="1053" t="n">
        <v>-622</v>
      </c>
      <c r="AQ800" s="1053" t="n">
        <v>-1461</v>
      </c>
      <c r="AR800" s="1053" t="n">
        <v>-1461</v>
      </c>
      <c r="AS800" s="68">
        <f>AT800</f>
        <v/>
      </c>
      <c r="AT800" s="1111" t="n">
        <v>-1461</v>
      </c>
      <c r="AU800" s="1053" t="n">
        <v>-861</v>
      </c>
      <c r="AV800" s="1053" t="n">
        <v>-8286</v>
      </c>
      <c r="AW800" s="1053" t="n">
        <v>-12840</v>
      </c>
      <c r="AX800" s="68">
        <f>AY800</f>
        <v/>
      </c>
      <c r="AY800" s="1111" t="n">
        <v>-19308</v>
      </c>
      <c r="AZ800" s="1053" t="n">
        <v>-4470</v>
      </c>
      <c r="BA800" s="1053" t="n">
        <v>-9268</v>
      </c>
      <c r="BB800" s="1053" t="n">
        <v>-16020</v>
      </c>
      <c r="BC800" s="68">
        <f>BD800</f>
        <v/>
      </c>
      <c r="BD800" s="1111" t="n">
        <v>-24787</v>
      </c>
      <c r="BE800" s="1053" t="n">
        <v>-3932</v>
      </c>
      <c r="BF800" s="1053" t="n">
        <v>-7576</v>
      </c>
      <c r="BG800" s="1053" t="n">
        <v>-9764</v>
      </c>
      <c r="BH800" s="68">
        <f>BI800</f>
        <v/>
      </c>
      <c r="BI800" s="1111" t="n">
        <v>-11897</v>
      </c>
      <c r="BJ800" s="1053" t="n">
        <v>-2801</v>
      </c>
      <c r="BK800" s="1053" t="n">
        <v>-5343</v>
      </c>
      <c r="BL800" s="1053" t="n">
        <v>-10688</v>
      </c>
      <c r="BM800" s="68">
        <f>BN800</f>
        <v/>
      </c>
      <c r="BN800" s="1111" t="n">
        <v>-18211</v>
      </c>
      <c r="BO800" s="1053" t="n">
        <v>-9303</v>
      </c>
      <c r="BP800" s="1053" t="n">
        <v>-15047</v>
      </c>
      <c r="BQ800" s="1053" t="n">
        <v>-19565</v>
      </c>
      <c r="BR800" s="68">
        <f>BS800</f>
        <v/>
      </c>
      <c r="BS800" s="1111" t="n">
        <v>-26575</v>
      </c>
      <c r="BT800" s="1053" t="n">
        <v>-6546</v>
      </c>
      <c r="BU800" s="1053" t="n">
        <v>-14358</v>
      </c>
      <c r="BV800" s="1054" t="n">
        <v>-20076</v>
      </c>
      <c r="BW800" s="68" t="n"/>
      <c r="BX800" s="1110" t="n"/>
      <c r="BY800" s="68" t="n"/>
      <c r="BZ800" s="68" t="n"/>
      <c r="CA800" s="68" t="n"/>
      <c r="CB800" s="68" t="n"/>
      <c r="CC800" s="1110" t="n"/>
      <c r="CD800" s="1110" t="n"/>
      <c r="CE800" s="1110" t="n"/>
      <c r="CF800" s="1110" t="n"/>
      <c r="CG800" s="155" t="n"/>
    </row>
    <row r="801" hidden="1" outlineLevel="1">
      <c r="A801" s="67" t="inlineStr">
        <is>
          <t>Proceeds from sales of marketable securities</t>
        </is>
      </c>
      <c r="B801" s="146" t="n"/>
      <c r="C801" s="1111" t="n">
        <v>1226.646</v>
      </c>
      <c r="D801" s="1111" t="n">
        <v>752.434</v>
      </c>
      <c r="E801" s="1111" t="n">
        <v>1170.075</v>
      </c>
      <c r="F801" s="1111" t="n">
        <v>1310.743</v>
      </c>
      <c r="G801" s="1053" t="n">
        <v>507.875</v>
      </c>
      <c r="H801" s="1053" t="n">
        <v>476.379</v>
      </c>
      <c r="I801" s="1053" t="n">
        <v>635.7329999999999</v>
      </c>
      <c r="J801" s="27">
        <f>K801</f>
        <v/>
      </c>
      <c r="K801" s="1111" t="n">
        <v>854.9930000000001</v>
      </c>
      <c r="L801" s="1053" t="n">
        <v>199.199</v>
      </c>
      <c r="M801" s="1053" t="n">
        <v>1248.511</v>
      </c>
      <c r="N801" s="1053" t="n">
        <v>1475.403</v>
      </c>
      <c r="O801" s="27">
        <f>P801</f>
        <v/>
      </c>
      <c r="P801" s="1111" t="n">
        <v>1926.817</v>
      </c>
      <c r="Q801" s="1053" t="n">
        <v>545</v>
      </c>
      <c r="R801" s="1053" t="n">
        <v>869</v>
      </c>
      <c r="S801" s="1053" t="n">
        <v>1100</v>
      </c>
      <c r="T801" s="27">
        <f>U801</f>
        <v/>
      </c>
      <c r="U801" s="1111" t="n">
        <v>1372</v>
      </c>
      <c r="V801" s="1053" t="n">
        <v>825</v>
      </c>
      <c r="W801" s="1053" t="n">
        <v>1415</v>
      </c>
      <c r="X801" s="1053" t="n">
        <v>1651</v>
      </c>
      <c r="Y801" s="27">
        <f>Z801</f>
        <v/>
      </c>
      <c r="Z801" s="1111" t="n">
        <v>2102</v>
      </c>
      <c r="AA801" s="1053" t="n">
        <v>175</v>
      </c>
      <c r="AB801" s="1053" t="n">
        <v>506</v>
      </c>
      <c r="AC801" s="1053" t="n">
        <v>712</v>
      </c>
      <c r="AD801" s="68">
        <f>AE801</f>
        <v/>
      </c>
      <c r="AE801" s="1111" t="n">
        <v>1546</v>
      </c>
      <c r="AF801" s="1053" t="n">
        <v>649</v>
      </c>
      <c r="AG801" s="1053" t="n">
        <v>450</v>
      </c>
      <c r="AH801" s="1053" t="n">
        <v>802</v>
      </c>
      <c r="AI801" s="68">
        <f>AJ801</f>
        <v/>
      </c>
      <c r="AJ801" s="1111" t="n">
        <v>863</v>
      </c>
      <c r="AK801" s="1053" t="n">
        <v>33</v>
      </c>
      <c r="AL801" s="1053" t="n">
        <v>77</v>
      </c>
      <c r="AM801" s="1053" t="n">
        <v>114</v>
      </c>
      <c r="AN801" s="68">
        <f>AO801</f>
        <v/>
      </c>
      <c r="AO801" s="1111" t="n">
        <v>428</v>
      </c>
      <c r="AP801" s="1053" t="n">
        <v>26</v>
      </c>
      <c r="AQ801" s="1053" t="n">
        <v>3152</v>
      </c>
      <c r="AR801" s="1053" t="n">
        <v>3363</v>
      </c>
      <c r="AS801" s="68">
        <f>AT801</f>
        <v/>
      </c>
      <c r="AT801" s="1111" t="n">
        <v>3365</v>
      </c>
      <c r="AU801" s="1053" t="n">
        <v>1</v>
      </c>
      <c r="AV801" s="1053" t="n">
        <v>259</v>
      </c>
      <c r="AW801" s="1053" t="n">
        <v>502</v>
      </c>
      <c r="AX801" s="68">
        <f>AY801</f>
        <v/>
      </c>
      <c r="AY801" s="1111" t="n">
        <v>527</v>
      </c>
      <c r="AZ801" s="1053" t="n">
        <v>358</v>
      </c>
      <c r="BA801" s="1053" t="n">
        <v>705</v>
      </c>
      <c r="BB801" s="1053" t="n">
        <v>916</v>
      </c>
      <c r="BC801" s="68">
        <f>BD801</f>
        <v/>
      </c>
      <c r="BD801" s="1111" t="n">
        <v>1023</v>
      </c>
      <c r="BE801" s="1053" t="n">
        <v>1029</v>
      </c>
      <c r="BF801" s="1053" t="n">
        <v>1731</v>
      </c>
      <c r="BG801" s="1053" t="n">
        <v>1806</v>
      </c>
      <c r="BH801" s="68">
        <f>BI801</f>
        <v/>
      </c>
      <c r="BI801" s="1111" t="n">
        <v>1806</v>
      </c>
      <c r="BJ801" s="1053" t="n">
        <v>0</v>
      </c>
      <c r="BK801" s="68" t="n"/>
      <c r="BL801" s="68" t="n"/>
      <c r="BM801" s="68">
        <f>BN801</f>
        <v/>
      </c>
      <c r="BN801" s="1111" t="n">
        <v>50</v>
      </c>
      <c r="BO801" s="1053" t="n">
        <v>149</v>
      </c>
      <c r="BP801" s="1053" t="n">
        <v>164</v>
      </c>
      <c r="BQ801" s="1053" t="n">
        <v>318</v>
      </c>
      <c r="BR801" s="68">
        <f>BS801</f>
        <v/>
      </c>
      <c r="BS801" s="1111" t="n">
        <v>495</v>
      </c>
      <c r="BT801" s="1053" t="n">
        <v>467</v>
      </c>
      <c r="BU801" s="1053" t="n">
        <v>487</v>
      </c>
      <c r="BV801" s="1054" t="n">
        <v>487</v>
      </c>
      <c r="BW801" s="68" t="n"/>
      <c r="BX801" s="1110" t="n"/>
      <c r="BY801" s="68" t="n"/>
      <c r="BZ801" s="68" t="n"/>
      <c r="CA801" s="68" t="n"/>
      <c r="CB801" s="68" t="n"/>
      <c r="CC801" s="1110" t="n"/>
      <c r="CD801" s="1110" t="n"/>
      <c r="CE801" s="1110" t="n"/>
      <c r="CF801" s="1110" t="n"/>
      <c r="CG801" s="155" t="n"/>
    </row>
    <row r="802" hidden="1" outlineLevel="1">
      <c r="A802" s="67" t="inlineStr">
        <is>
          <t>Proceeds from maturities of marketable securities</t>
        </is>
      </c>
      <c r="B802" s="146" t="n"/>
      <c r="C802" s="1110" t="n"/>
      <c r="D802" s="1110" t="n"/>
      <c r="E802" s="1110" t="n"/>
      <c r="F802" s="1110" t="n"/>
      <c r="G802" s="1053" t="n">
        <v>0</v>
      </c>
      <c r="H802" s="1053" t="n">
        <v>442.477</v>
      </c>
      <c r="I802" s="1053" t="n">
        <v>626.434</v>
      </c>
      <c r="J802" s="27">
        <f>K802</f>
        <v/>
      </c>
      <c r="K802" s="1111" t="n">
        <v>962.417</v>
      </c>
      <c r="L802" s="1053" t="n">
        <v>179.082</v>
      </c>
      <c r="M802" s="1053" t="n">
        <v>320.838</v>
      </c>
      <c r="N802" s="1053" t="n">
        <v>447.134</v>
      </c>
      <c r="O802" s="27">
        <f>P802</f>
        <v/>
      </c>
      <c r="P802" s="1111" t="n">
        <v>585.15</v>
      </c>
      <c r="Q802" s="1053" t="n">
        <v>134</v>
      </c>
      <c r="R802" s="1053" t="n">
        <v>451</v>
      </c>
      <c r="S802" s="1053" t="n">
        <v>688</v>
      </c>
      <c r="T802" s="27">
        <f>U802</f>
        <v/>
      </c>
      <c r="U802" s="1111" t="n">
        <v>865</v>
      </c>
      <c r="V802" s="1053" t="n">
        <v>238</v>
      </c>
      <c r="W802" s="1053" t="n">
        <v>487</v>
      </c>
      <c r="X802" s="1053" t="n">
        <v>872</v>
      </c>
      <c r="Y802" s="27">
        <f>Z802</f>
        <v/>
      </c>
      <c r="Z802" s="1111" t="n">
        <v>1036</v>
      </c>
      <c r="AA802" s="1053" t="n">
        <v>529</v>
      </c>
      <c r="AB802" s="1053" t="n">
        <v>901</v>
      </c>
      <c r="AC802" s="1053" t="n">
        <v>1239</v>
      </c>
      <c r="AD802" s="68">
        <f>AE802</f>
        <v/>
      </c>
      <c r="AE802" s="1111" t="n">
        <v>969</v>
      </c>
      <c r="AF802" s="1053" t="n">
        <v>200</v>
      </c>
      <c r="AG802" s="1053" t="n">
        <v>726</v>
      </c>
      <c r="AH802" s="1053" t="n">
        <v>739</v>
      </c>
      <c r="AI802" s="68">
        <f>AJ802</f>
        <v/>
      </c>
      <c r="AJ802" s="1111" t="n">
        <v>1078</v>
      </c>
      <c r="AK802" s="1053" t="n">
        <v>239</v>
      </c>
      <c r="AL802" s="1053" t="n">
        <v>2957</v>
      </c>
      <c r="AM802" s="1053" t="n">
        <v>6267</v>
      </c>
      <c r="AN802" s="68">
        <f>AO802</f>
        <v/>
      </c>
      <c r="AO802" s="1111" t="n">
        <v>7232</v>
      </c>
      <c r="AP802" s="1053" t="n">
        <v>2219</v>
      </c>
      <c r="AQ802" s="1053" t="n">
        <v>3592</v>
      </c>
      <c r="AR802" s="1053" t="n">
        <v>4744</v>
      </c>
      <c r="AS802" s="68">
        <f>AT802</f>
        <v/>
      </c>
      <c r="AT802" s="1111" t="n">
        <v>4744</v>
      </c>
      <c r="AU802" s="1053" t="n">
        <v>0</v>
      </c>
      <c r="AV802" s="1053" t="n">
        <v>1032</v>
      </c>
      <c r="AW802" s="1053" t="n">
        <v>5165</v>
      </c>
      <c r="AX802" s="68">
        <f>AY802</f>
        <v/>
      </c>
      <c r="AY802" s="1111" t="n">
        <v>8792</v>
      </c>
      <c r="AZ802" s="1053" t="n">
        <v>3140</v>
      </c>
      <c r="BA802" s="1053" t="n">
        <v>5236</v>
      </c>
      <c r="BB802" s="1053" t="n">
        <v>7780</v>
      </c>
      <c r="BC802" s="68">
        <f>BD802</f>
        <v/>
      </c>
      <c r="BD802" s="1111" t="n">
        <v>15197</v>
      </c>
      <c r="BE802" s="1053" t="n">
        <v>5947</v>
      </c>
      <c r="BF802" s="1053" t="n">
        <v>10983</v>
      </c>
      <c r="BG802" s="1053" t="n">
        <v>16792</v>
      </c>
      <c r="BH802" s="68">
        <f>BI802</f>
        <v/>
      </c>
      <c r="BI802" s="1111" t="n">
        <v>19425</v>
      </c>
      <c r="BJ802" s="1053" t="n">
        <v>2512</v>
      </c>
      <c r="BK802" s="1053" t="n">
        <v>5111</v>
      </c>
      <c r="BL802" s="1053" t="n">
        <v>8001</v>
      </c>
      <c r="BM802" s="68">
        <f>BN802</f>
        <v/>
      </c>
      <c r="BN802" s="1111" t="n">
        <v>9732</v>
      </c>
      <c r="BO802" s="1053" t="n">
        <v>4004</v>
      </c>
      <c r="BP802" s="1053" t="n">
        <v>8098</v>
      </c>
      <c r="BQ802" s="1053" t="n">
        <v>9485</v>
      </c>
      <c r="BR802" s="68">
        <f>BS802</f>
        <v/>
      </c>
      <c r="BS802" s="1111" t="n">
        <v>11195</v>
      </c>
      <c r="BT802" s="1053" t="n">
        <v>3122</v>
      </c>
      <c r="BU802" s="1053" t="n">
        <v>6252</v>
      </c>
      <c r="BV802" s="1054" t="n">
        <v>8980</v>
      </c>
      <c r="BW802" s="68" t="n"/>
      <c r="BX802" s="1110" t="n"/>
      <c r="BY802" s="68" t="n"/>
      <c r="BZ802" s="68" t="n"/>
      <c r="CA802" s="68" t="n"/>
      <c r="CB802" s="68" t="n"/>
      <c r="CC802" s="1110" t="n"/>
      <c r="CD802" s="1110" t="n"/>
      <c r="CE802" s="1110" t="n"/>
      <c r="CF802" s="1110" t="n"/>
      <c r="CG802" s="155" t="n"/>
    </row>
    <row r="803" hidden="1" outlineLevel="1">
      <c r="A803" s="67" t="inlineStr">
        <is>
          <t>Proceeds from sales of non-marketable equity securities</t>
        </is>
      </c>
      <c r="B803" s="146" t="n"/>
      <c r="C803" s="1110" t="n"/>
      <c r="D803" s="1110" t="n"/>
      <c r="E803" s="1110" t="n"/>
      <c r="F803" s="1110" t="n"/>
      <c r="G803" s="68" t="n"/>
      <c r="H803" s="68" t="n"/>
      <c r="I803" s="68" t="n"/>
      <c r="J803" s="27">
        <f>K803</f>
        <v/>
      </c>
      <c r="K803" s="1110" t="n"/>
      <c r="L803" s="68" t="n"/>
      <c r="M803" s="68" t="n"/>
      <c r="N803" s="68" t="n"/>
      <c r="O803" s="27">
        <f>P803</f>
        <v/>
      </c>
      <c r="P803" s="1110" t="n"/>
      <c r="Q803" s="68" t="n"/>
      <c r="R803" s="68" t="n"/>
      <c r="S803" s="68" t="n"/>
      <c r="T803" s="27">
        <f>U803</f>
        <v/>
      </c>
      <c r="U803" s="1110" t="n"/>
      <c r="V803" s="68" t="n"/>
      <c r="W803" s="68" t="n"/>
      <c r="X803" s="68" t="n"/>
      <c r="Y803" s="27">
        <f>Z803</f>
        <v/>
      </c>
      <c r="Z803" s="1110" t="n"/>
      <c r="AA803" s="68" t="n"/>
      <c r="AB803" s="68" t="n"/>
      <c r="AC803" s="68" t="n"/>
      <c r="AD803" s="68">
        <f>AE803</f>
        <v/>
      </c>
      <c r="AE803" s="1110" t="n"/>
      <c r="AF803" s="68" t="n"/>
      <c r="AG803" s="68" t="n"/>
      <c r="AH803" s="68" t="n"/>
      <c r="AI803" s="68">
        <f>AJ803</f>
        <v/>
      </c>
      <c r="AJ803" s="1110" t="n"/>
      <c r="AK803" s="68" t="n"/>
      <c r="AL803" s="68" t="n"/>
      <c r="AM803" s="68" t="n"/>
      <c r="AN803" s="68">
        <f>AO803</f>
        <v/>
      </c>
      <c r="AO803" s="1110" t="n"/>
      <c r="AP803" s="68" t="n"/>
      <c r="AQ803" s="68" t="n"/>
      <c r="AR803" s="68" t="n"/>
      <c r="AS803" s="68">
        <f>AT803</f>
        <v/>
      </c>
      <c r="AT803" s="1110" t="n"/>
      <c r="AU803" s="68" t="n"/>
      <c r="AV803" s="68" t="n"/>
      <c r="AW803" s="68" t="n"/>
      <c r="AX803" s="68">
        <f>AY803</f>
        <v/>
      </c>
      <c r="AY803" s="1110" t="n"/>
      <c r="AZ803" s="68" t="n"/>
      <c r="BA803" s="68" t="n"/>
      <c r="BB803" s="68" t="n"/>
      <c r="BC803" s="68">
        <f>BD803</f>
        <v/>
      </c>
      <c r="BD803" s="1110" t="n"/>
      <c r="BE803" s="68" t="n"/>
      <c r="BF803" s="68" t="n"/>
      <c r="BG803" s="68" t="n"/>
      <c r="BH803" s="68">
        <f>BI803</f>
        <v/>
      </c>
      <c r="BI803" s="1110" t="n"/>
      <c r="BJ803" s="68" t="n"/>
      <c r="BK803" s="68" t="n"/>
      <c r="BL803" s="68" t="n"/>
      <c r="BM803" s="68">
        <f>BN803</f>
        <v/>
      </c>
      <c r="BN803" s="1110" t="n"/>
      <c r="BO803" s="68" t="n"/>
      <c r="BP803" s="68" t="n"/>
      <c r="BQ803" s="68" t="n"/>
      <c r="BR803" s="68">
        <f>BS803</f>
        <v/>
      </c>
      <c r="BS803" s="1111" t="n">
        <v>171</v>
      </c>
      <c r="BT803" s="68" t="n"/>
      <c r="BU803" s="68" t="n"/>
      <c r="BV803" s="588" t="n"/>
      <c r="BW803" s="68" t="n"/>
      <c r="BX803" s="1110" t="n"/>
      <c r="BY803" s="68" t="n"/>
      <c r="BZ803" s="68" t="n"/>
      <c r="CA803" s="68" t="n"/>
      <c r="CB803" s="68" t="n"/>
      <c r="CC803" s="1110" t="n"/>
      <c r="CD803" s="1110" t="n"/>
      <c r="CE803" s="1110" t="n"/>
      <c r="CF803" s="1110" t="n"/>
      <c r="CG803" s="155" t="n"/>
    </row>
    <row r="804" hidden="1" outlineLevel="1">
      <c r="A804" s="67" t="inlineStr">
        <is>
          <t>Purchases of property and equipment and intangible assets</t>
        </is>
      </c>
      <c r="B804" s="146" t="n"/>
      <c r="C804" s="1111" t="n">
        <v>-407.67</v>
      </c>
      <c r="D804" s="1111" t="n">
        <v>-77.601</v>
      </c>
      <c r="E804" s="1111" t="n">
        <v>-97.89</v>
      </c>
      <c r="F804" s="1111" t="n">
        <v>-138.735</v>
      </c>
      <c r="G804" s="1053" t="n">
        <v>-28.923</v>
      </c>
      <c r="H804" s="1053" t="n">
        <v>-90.867</v>
      </c>
      <c r="I804" s="1053" t="n">
        <v>-135.551</v>
      </c>
      <c r="J804" s="27">
        <f>K804</f>
        <v/>
      </c>
      <c r="K804" s="1111" t="n">
        <v>-183.309</v>
      </c>
      <c r="L804" s="1053" t="n">
        <v>-65.667</v>
      </c>
      <c r="M804" s="1053" t="n">
        <v>-150.653</v>
      </c>
      <c r="N804" s="1053" t="n">
        <v>-188.812</v>
      </c>
      <c r="O804" s="27">
        <f>P804</f>
        <v/>
      </c>
      <c r="P804" s="1111" t="n">
        <v>-255.186</v>
      </c>
      <c r="Q804" s="1053" t="n">
        <v>-29</v>
      </c>
      <c r="R804" s="1053" t="n">
        <v>-52</v>
      </c>
      <c r="S804" s="1053" t="n">
        <v>-91</v>
      </c>
      <c r="T804" s="27">
        <f>U804</f>
        <v/>
      </c>
      <c r="U804" s="1111" t="n">
        <v>-122</v>
      </c>
      <c r="V804" s="1053" t="n">
        <v>-30</v>
      </c>
      <c r="W804" s="1053" t="n">
        <v>-54</v>
      </c>
      <c r="X804" s="1053" t="n">
        <v>-71</v>
      </c>
      <c r="Y804" s="27">
        <f>Z804</f>
        <v/>
      </c>
      <c r="Z804" s="1111" t="n">
        <v>-86</v>
      </c>
      <c r="AA804" s="1053" t="n">
        <v>-55</v>
      </c>
      <c r="AB804" s="1053" t="n">
        <v>-87</v>
      </c>
      <c r="AC804" s="1053" t="n">
        <v>-125</v>
      </c>
      <c r="AD804" s="68">
        <f>AE804</f>
        <v/>
      </c>
      <c r="AE804" s="1111" t="n">
        <v>-176</v>
      </c>
      <c r="AF804" s="1053" t="n">
        <v>-54</v>
      </c>
      <c r="AG804" s="1053" t="n">
        <v>-108</v>
      </c>
      <c r="AH804" s="1053" t="n">
        <v>-177</v>
      </c>
      <c r="AI804" s="68">
        <f>AJ804</f>
        <v/>
      </c>
      <c r="AJ804" s="1111" t="n">
        <v>-593</v>
      </c>
      <c r="AK804" s="1053" t="n">
        <v>-118</v>
      </c>
      <c r="AL804" s="1053" t="n">
        <v>-247</v>
      </c>
      <c r="AM804" s="1053" t="n">
        <v>-397</v>
      </c>
      <c r="AN804" s="68">
        <f>AO804</f>
        <v/>
      </c>
      <c r="AO804" s="1111" t="n">
        <v>-600</v>
      </c>
      <c r="AP804" s="1053" t="n">
        <v>-128</v>
      </c>
      <c r="AQ804" s="1053" t="n">
        <v>-241</v>
      </c>
      <c r="AR804" s="1053" t="n">
        <v>-344</v>
      </c>
      <c r="AS804" s="68">
        <f>AT804</f>
        <v/>
      </c>
      <c r="AT804" s="1111" t="n">
        <v>-489</v>
      </c>
      <c r="AU804" s="1053" t="n">
        <v>-155</v>
      </c>
      <c r="AV804" s="1053" t="n">
        <v>-372</v>
      </c>
      <c r="AW804" s="1053" t="n">
        <v>-845</v>
      </c>
      <c r="AX804" s="68">
        <f>AY804</f>
        <v/>
      </c>
      <c r="AY804" s="1111" t="n">
        <v>-1128</v>
      </c>
      <c r="AZ804" s="1053" t="n">
        <v>-298</v>
      </c>
      <c r="BA804" s="1053" t="n">
        <v>-481</v>
      </c>
      <c r="BB804" s="1053" t="n">
        <v>-703</v>
      </c>
      <c r="BC804" s="68">
        <f>BD804</f>
        <v/>
      </c>
      <c r="BD804" s="1111" t="n">
        <v>-976</v>
      </c>
      <c r="BE804" s="1053" t="n">
        <v>-361</v>
      </c>
      <c r="BF804" s="1053" t="n">
        <v>-794</v>
      </c>
      <c r="BG804" s="1053" t="n">
        <v>-1324</v>
      </c>
      <c r="BH804" s="68">
        <f>BI804</f>
        <v/>
      </c>
      <c r="BI804" s="1111" t="n">
        <v>-1833</v>
      </c>
      <c r="BJ804" s="1053" t="n">
        <v>-248</v>
      </c>
      <c r="BK804" s="1053" t="n">
        <v>-537</v>
      </c>
      <c r="BL804" s="1053" t="n">
        <v>-815</v>
      </c>
      <c r="BM804" s="68">
        <f>BN804</f>
        <v/>
      </c>
      <c r="BN804" s="1111" t="n">
        <v>-1069</v>
      </c>
      <c r="BO804" s="1053" t="n">
        <v>-369</v>
      </c>
      <c r="BP804" s="1053" t="n">
        <v>-1346</v>
      </c>
      <c r="BQ804" s="1053" t="n">
        <v>-2159</v>
      </c>
      <c r="BR804" s="68">
        <f>BS804</f>
        <v/>
      </c>
      <c r="BS804" s="1111" t="n">
        <v>-3236</v>
      </c>
      <c r="BT804" s="1053" t="n">
        <v>-1227</v>
      </c>
      <c r="BU804" s="1053" t="n">
        <v>-3122</v>
      </c>
      <c r="BV804" s="1054" t="n">
        <v>-4758</v>
      </c>
      <c r="BW804" s="68" t="n"/>
      <c r="BX804" s="1110" t="n"/>
      <c r="BY804" s="68" t="n"/>
      <c r="BZ804" s="68" t="n"/>
      <c r="CA804" s="68" t="n"/>
      <c r="CB804" s="68" t="n"/>
      <c r="CC804" s="1110" t="n"/>
      <c r="CD804" s="1110" t="n"/>
      <c r="CE804" s="1110" t="n"/>
      <c r="CF804" s="1110" t="n"/>
      <c r="CG804" s="155" t="n"/>
    </row>
    <row r="805" hidden="1" outlineLevel="1">
      <c r="A805" s="67" t="inlineStr">
        <is>
          <t>Proceeds from sale of long-lived assets and investments</t>
        </is>
      </c>
      <c r="B805" s="146" t="n"/>
      <c r="C805" s="1110" t="n"/>
      <c r="D805" s="1110" t="n"/>
      <c r="E805" s="1110" t="n"/>
      <c r="F805" s="1110" t="n"/>
      <c r="G805" s="68" t="n"/>
      <c r="H805" s="68" t="n"/>
      <c r="I805" s="1053" t="n">
        <v>0</v>
      </c>
      <c r="J805" s="27">
        <f>K805</f>
        <v/>
      </c>
      <c r="K805" s="1111" t="n">
        <v>0</v>
      </c>
      <c r="L805" s="68" t="n"/>
      <c r="M805" s="68" t="n"/>
      <c r="N805" s="1053" t="n">
        <v>0</v>
      </c>
      <c r="O805" s="27">
        <f>P805</f>
        <v/>
      </c>
      <c r="P805" s="1111" t="n">
        <v>24.781</v>
      </c>
      <c r="Q805" s="1053" t="n">
        <v>21</v>
      </c>
      <c r="R805" s="1053" t="n">
        <v>21</v>
      </c>
      <c r="S805" s="1053" t="n">
        <v>21</v>
      </c>
      <c r="T805" s="27">
        <f>U805</f>
        <v/>
      </c>
      <c r="U805" s="1111" t="n">
        <v>21</v>
      </c>
      <c r="V805" s="68" t="n"/>
      <c r="W805" s="1053" t="n">
        <v>2</v>
      </c>
      <c r="X805" s="1053" t="n">
        <v>7</v>
      </c>
      <c r="Y805" s="27">
        <f>Z805</f>
        <v/>
      </c>
      <c r="Z805" s="1111" t="n">
        <v>7</v>
      </c>
      <c r="AA805" s="68" t="n"/>
      <c r="AB805" s="1053" t="n">
        <v>6</v>
      </c>
      <c r="AC805" s="1053" t="n">
        <v>6</v>
      </c>
      <c r="AD805" s="68">
        <f>AE805</f>
        <v/>
      </c>
      <c r="AE805" s="1111" t="n">
        <v>7</v>
      </c>
      <c r="AF805" s="68" t="n"/>
      <c r="AG805" s="68" t="n"/>
      <c r="AH805" s="68" t="n"/>
      <c r="AI805" s="68">
        <f>AJ805</f>
        <v/>
      </c>
      <c r="AJ805" s="1111" t="n">
        <v>2</v>
      </c>
      <c r="AK805" s="68" t="n"/>
      <c r="AL805" s="68" t="n"/>
      <c r="AM805" s="68" t="n"/>
      <c r="AN805" s="68">
        <f>AO805</f>
        <v/>
      </c>
      <c r="AO805" s="1110" t="n"/>
      <c r="AP805" s="68" t="n"/>
      <c r="AQ805" s="68" t="n"/>
      <c r="AR805" s="68" t="n"/>
      <c r="AS805" s="68">
        <f>AT805</f>
        <v/>
      </c>
      <c r="AT805" s="1110" t="n"/>
      <c r="AU805" s="68" t="n"/>
      <c r="AV805" s="68" t="n"/>
      <c r="AW805" s="68" t="n"/>
      <c r="AX805" s="68">
        <f>AY805</f>
        <v/>
      </c>
      <c r="AY805" s="1110" t="n"/>
      <c r="AZ805" s="68" t="n"/>
      <c r="BA805" s="68" t="n"/>
      <c r="BB805" s="68" t="n"/>
      <c r="BC805" s="68">
        <f>BD805</f>
        <v/>
      </c>
      <c r="BD805" s="1110" t="n"/>
      <c r="BE805" s="68" t="n"/>
      <c r="BF805" s="68" t="n"/>
      <c r="BG805" s="68" t="n"/>
      <c r="BH805" s="68">
        <f>BI805</f>
        <v/>
      </c>
      <c r="BI805" s="1110" t="n"/>
      <c r="BJ805" s="68" t="n"/>
      <c r="BK805" s="68" t="n"/>
      <c r="BL805" s="68" t="n"/>
      <c r="BM805" s="68">
        <f>BN805</f>
        <v/>
      </c>
      <c r="BN805" s="1110" t="n"/>
      <c r="BO805" s="68" t="n"/>
      <c r="BP805" s="68" t="n"/>
      <c r="BQ805" s="68" t="n"/>
      <c r="BR805" s="68">
        <f>BS805</f>
        <v/>
      </c>
      <c r="BS805" s="1110" t="n"/>
      <c r="BT805" s="68" t="n"/>
      <c r="BU805" s="68" t="n"/>
      <c r="BV805" s="588" t="n"/>
      <c r="BW805" s="68" t="n"/>
      <c r="BX805" s="1110" t="n"/>
      <c r="BY805" s="68" t="n"/>
      <c r="BZ805" s="68" t="n"/>
      <c r="CA805" s="68" t="n"/>
      <c r="CB805" s="68" t="n"/>
      <c r="CC805" s="1110" t="n"/>
      <c r="CD805" s="1110" t="n"/>
      <c r="CE805" s="1110" t="n"/>
      <c r="CF805" s="1110" t="n"/>
      <c r="CG805" s="155" t="n"/>
    </row>
    <row r="806" hidden="1" outlineLevel="1">
      <c r="A806" s="67" t="inlineStr">
        <is>
          <t>Acquisition of businesses, net of cash and cash equivalents</t>
        </is>
      </c>
      <c r="B806" s="146" t="n"/>
      <c r="C806" s="1111" t="n">
        <v>-27.948</v>
      </c>
      <c r="D806" s="1110" t="n"/>
      <c r="E806" s="1111" t="n">
        <v>0</v>
      </c>
      <c r="F806" s="1111" t="n">
        <v>-348.884</v>
      </c>
      <c r="G806" s="68" t="n"/>
      <c r="H806" s="68" t="n"/>
      <c r="I806" s="1053" t="n">
        <v>0</v>
      </c>
      <c r="J806" s="27">
        <f>K806</f>
        <v/>
      </c>
      <c r="K806" s="1111" t="n">
        <v>0</v>
      </c>
      <c r="L806" s="68" t="n"/>
      <c r="M806" s="68" t="n"/>
      <c r="N806" s="1053" t="n">
        <v>-17.145</v>
      </c>
      <c r="O806" s="27">
        <f>P806</f>
        <v/>
      </c>
      <c r="P806" s="1111" t="n">
        <v>-17.145</v>
      </c>
      <c r="Q806" s="68" t="n"/>
      <c r="R806" s="68" t="n"/>
      <c r="S806" s="68" t="n"/>
      <c r="T806" s="27">
        <f>U806</f>
        <v/>
      </c>
      <c r="U806" s="1110" t="n"/>
      <c r="V806" s="68" t="n"/>
      <c r="W806" s="68" t="n"/>
      <c r="X806" s="68" t="n"/>
      <c r="Y806" s="27">
        <f>Z806</f>
        <v/>
      </c>
      <c r="Z806" s="1111" t="n">
        <v>0</v>
      </c>
      <c r="AA806" s="68" t="n"/>
      <c r="AB806" s="68" t="n"/>
      <c r="AC806" s="68" t="n"/>
      <c r="AD806" s="68">
        <f>AE806</f>
        <v/>
      </c>
      <c r="AE806" s="1110" t="n"/>
      <c r="AF806" s="68" t="n"/>
      <c r="AG806" s="68" t="n"/>
      <c r="AH806" s="68" t="n"/>
      <c r="AI806" s="68">
        <f>AJ806</f>
        <v/>
      </c>
      <c r="AJ806" s="1110" t="n"/>
      <c r="AK806" s="68" t="n"/>
      <c r="AL806" s="68" t="n"/>
      <c r="AM806" s="68" t="n"/>
      <c r="AN806" s="68">
        <f>AO806</f>
        <v/>
      </c>
      <c r="AO806" s="1110" t="n"/>
      <c r="AP806" s="68" t="n"/>
      <c r="AQ806" s="68" t="n"/>
      <c r="AR806" s="68" t="n"/>
      <c r="AS806" s="68">
        <f>AT806</f>
        <v/>
      </c>
      <c r="AT806" s="1110" t="n"/>
      <c r="AU806" s="1053" t="n">
        <v>-34</v>
      </c>
      <c r="AV806" s="1053" t="n">
        <v>-7171</v>
      </c>
      <c r="AW806" s="1053" t="n">
        <v>-8524</v>
      </c>
      <c r="AX806" s="68">
        <f>AY806</f>
        <v/>
      </c>
      <c r="AY806" s="1111" t="n">
        <v>-8524</v>
      </c>
      <c r="AZ806" s="1053" t="n">
        <v>0</v>
      </c>
      <c r="BA806" s="68" t="n"/>
      <c r="BB806" s="1053" t="n">
        <v>-203</v>
      </c>
      <c r="BC806" s="68">
        <f>BD806</f>
        <v/>
      </c>
      <c r="BD806" s="1111" t="n">
        <v>-263</v>
      </c>
      <c r="BE806" s="1053" t="n">
        <v>-36</v>
      </c>
      <c r="BF806" s="1053" t="n">
        <v>-49</v>
      </c>
      <c r="BG806" s="1053" t="n">
        <v>-49</v>
      </c>
      <c r="BH806" s="68">
        <f>BI806</f>
        <v/>
      </c>
      <c r="BI806" s="1111" t="n">
        <v>-49</v>
      </c>
      <c r="BJ806" s="1053" t="n">
        <v>-83</v>
      </c>
      <c r="BK806" s="1053" t="n">
        <v>-83</v>
      </c>
      <c r="BL806" s="1053" t="n">
        <v>-83</v>
      </c>
      <c r="BM806" s="68">
        <f>BN806</f>
        <v/>
      </c>
      <c r="BN806" s="1111" t="n">
        <v>-83</v>
      </c>
      <c r="BO806" s="1053" t="n">
        <v>-39</v>
      </c>
      <c r="BP806" s="1053" t="n">
        <v>-317</v>
      </c>
      <c r="BQ806" s="1053" t="n">
        <v>-465</v>
      </c>
      <c r="BR806" s="68">
        <f>BS806</f>
        <v/>
      </c>
      <c r="BS806" s="1111" t="n">
        <v>-1007</v>
      </c>
      <c r="BT806" s="1053" t="n">
        <v>-383</v>
      </c>
      <c r="BU806" s="1053" t="n">
        <v>-677</v>
      </c>
      <c r="BV806" s="1054" t="n">
        <v>-1370</v>
      </c>
      <c r="BW806" s="68" t="n"/>
      <c r="BX806" s="1110" t="n"/>
      <c r="BY806" s="68" t="n"/>
      <c r="BZ806" s="68" t="n"/>
      <c r="CA806" s="68" t="n"/>
      <c r="CB806" s="68" t="n"/>
      <c r="CC806" s="1110" t="n"/>
      <c r="CD806" s="1110" t="n"/>
      <c r="CE806" s="1110" t="n"/>
      <c r="CF806" s="1110" t="n"/>
      <c r="CG806" s="155" t="n"/>
    </row>
    <row r="807" hidden="1" outlineLevel="1">
      <c r="A807" s="67" t="inlineStr">
        <is>
          <t>Reimbursement of headquarters building development costs from banks</t>
        </is>
      </c>
      <c r="B807" s="146" t="n"/>
      <c r="C807" s="1110" t="n"/>
      <c r="D807" s="1110" t="n"/>
      <c r="E807" s="1110" t="n"/>
      <c r="F807" s="1110" t="n"/>
      <c r="G807" s="68" t="n"/>
      <c r="H807" s="68" t="n"/>
      <c r="I807" s="68" t="n"/>
      <c r="J807" s="27">
        <f>K807</f>
        <v/>
      </c>
      <c r="K807" s="1111" t="n">
        <v>0</v>
      </c>
      <c r="L807" s="68" t="n"/>
      <c r="M807" s="68" t="n"/>
      <c r="N807" s="68" t="n"/>
      <c r="O807" s="27">
        <f>P807</f>
        <v/>
      </c>
      <c r="P807" s="1111" t="n">
        <v>-4.95</v>
      </c>
      <c r="Q807" s="68" t="n"/>
      <c r="R807" s="68" t="n"/>
      <c r="S807" s="68" t="n"/>
      <c r="T807" s="27">
        <f>U807</f>
        <v/>
      </c>
      <c r="U807" s="1110" t="n"/>
      <c r="V807" s="68" t="n"/>
      <c r="W807" s="1053" t="n">
        <v>24</v>
      </c>
      <c r="X807" s="1053" t="n">
        <v>24</v>
      </c>
      <c r="Y807" s="27">
        <f>Z807</f>
        <v/>
      </c>
      <c r="Z807" s="1111" t="n">
        <v>24</v>
      </c>
      <c r="AA807" s="68" t="n"/>
      <c r="AB807" s="68" t="n"/>
      <c r="AC807" s="68" t="n"/>
      <c r="AD807" s="68">
        <f>AE807</f>
        <v/>
      </c>
      <c r="AE807" s="1110" t="n"/>
      <c r="AF807" s="68" t="n"/>
      <c r="AG807" s="68" t="n"/>
      <c r="AH807" s="68" t="n"/>
      <c r="AI807" s="68">
        <f>AJ807</f>
        <v/>
      </c>
      <c r="AJ807" s="1110" t="n"/>
      <c r="AK807" s="68" t="n"/>
      <c r="AL807" s="68" t="n"/>
      <c r="AM807" s="68" t="n"/>
      <c r="AN807" s="68">
        <f>AO807</f>
        <v/>
      </c>
      <c r="AO807" s="1110" t="n"/>
      <c r="AP807" s="68" t="n"/>
      <c r="AQ807" s="68" t="n"/>
      <c r="AR807" s="68" t="n"/>
      <c r="AS807" s="68">
        <f>AT807</f>
        <v/>
      </c>
      <c r="AT807" s="1110" t="n"/>
      <c r="AU807" s="68" t="n"/>
      <c r="AV807" s="68" t="n"/>
      <c r="AW807" s="68" t="n"/>
      <c r="AX807" s="68">
        <f>AY807</f>
        <v/>
      </c>
      <c r="AY807" s="1110" t="n"/>
      <c r="AZ807" s="68" t="n"/>
      <c r="BA807" s="68" t="n"/>
      <c r="BB807" s="68" t="n"/>
      <c r="BC807" s="68">
        <f>BD807</f>
        <v/>
      </c>
      <c r="BD807" s="1110" t="n"/>
      <c r="BE807" s="68" t="n"/>
      <c r="BF807" s="68" t="n"/>
      <c r="BG807" s="68" t="n"/>
      <c r="BH807" s="68">
        <f>BI807</f>
        <v/>
      </c>
      <c r="BI807" s="1110" t="n"/>
      <c r="BJ807" s="68" t="n"/>
      <c r="BK807" s="68" t="n"/>
      <c r="BL807" s="68" t="n"/>
      <c r="BM807" s="68">
        <f>BN807</f>
        <v/>
      </c>
      <c r="BN807" s="1110" t="n"/>
      <c r="BO807" s="68" t="n"/>
      <c r="BP807" s="68" t="n"/>
      <c r="BQ807" s="68" t="n"/>
      <c r="BR807" s="68">
        <f>BS807</f>
        <v/>
      </c>
      <c r="BS807" s="1110" t="n"/>
      <c r="BT807" s="68" t="n"/>
      <c r="BU807" s="68" t="n"/>
      <c r="BV807" s="588" t="n"/>
      <c r="BW807" s="68" t="n"/>
      <c r="BX807" s="1110" t="n"/>
      <c r="BY807" s="68" t="n"/>
      <c r="BZ807" s="68" t="n"/>
      <c r="CA807" s="68" t="n"/>
      <c r="CB807" s="68" t="n"/>
      <c r="CC807" s="1110" t="n"/>
      <c r="CD807" s="1110" t="n"/>
      <c r="CE807" s="1110" t="n"/>
      <c r="CF807" s="1110" t="n"/>
      <c r="CG807" s="155" t="n"/>
    </row>
    <row r="808" hidden="1" outlineLevel="1">
      <c r="A808" s="67" t="inlineStr">
        <is>
          <t>Investment in non-affiliates</t>
        </is>
      </c>
      <c r="B808" s="146" t="n"/>
      <c r="C808" s="1110" t="n"/>
      <c r="D808" s="1110" t="n"/>
      <c r="E808" s="1110" t="n"/>
      <c r="F808" s="1110" t="n"/>
      <c r="G808" s="68" t="n"/>
      <c r="H808" s="68" t="n"/>
      <c r="I808" s="68" t="n"/>
      <c r="J808" s="68" t="n"/>
      <c r="K808" s="1110" t="n"/>
      <c r="L808" s="68" t="n"/>
      <c r="M808" s="68" t="n"/>
      <c r="N808" s="68" t="n"/>
      <c r="O808" s="68" t="n"/>
      <c r="P808" s="1110" t="n"/>
      <c r="Q808" s="68" t="n"/>
      <c r="R808" s="68" t="n"/>
      <c r="S808" s="68" t="n"/>
      <c r="T808" s="68" t="n"/>
      <c r="U808" s="1110" t="n"/>
      <c r="V808" s="68" t="n"/>
      <c r="W808" s="68" t="n"/>
      <c r="X808" s="68" t="n"/>
      <c r="Y808" s="68" t="n"/>
      <c r="Z808" s="1110" t="n"/>
      <c r="AA808" s="68" t="n"/>
      <c r="AB808" s="68" t="n"/>
      <c r="AC808" s="68" t="n"/>
      <c r="AD808" s="68" t="n"/>
      <c r="AE808" s="1110" t="n"/>
      <c r="AF808" s="68" t="n"/>
      <c r="AG808" s="68" t="n"/>
      <c r="AH808" s="68" t="n"/>
      <c r="AI808" s="68" t="n"/>
      <c r="AJ808" s="1110" t="n"/>
      <c r="AK808" s="68" t="n"/>
      <c r="AL808" s="1053" t="n">
        <v>-7</v>
      </c>
      <c r="AM808" s="68" t="n"/>
      <c r="AN808" s="68">
        <f>AO808</f>
        <v/>
      </c>
      <c r="AO808" s="1110" t="n"/>
      <c r="AP808" s="68" t="n"/>
      <c r="AQ808" s="1053" t="n">
        <v>-2</v>
      </c>
      <c r="AR808" s="1053" t="n">
        <v>-6</v>
      </c>
      <c r="AS808" s="68">
        <f>AT808</f>
        <v/>
      </c>
      <c r="AT808" s="1111" t="n">
        <v>-14</v>
      </c>
      <c r="AU808" s="1053" t="n">
        <v>-6</v>
      </c>
      <c r="AV808" s="1053" t="n">
        <v>-7</v>
      </c>
      <c r="AW808" s="1053" t="n">
        <v>-4</v>
      </c>
      <c r="AX808" s="68">
        <f>AY808</f>
        <v/>
      </c>
      <c r="AY808" s="1111" t="n">
        <v>-34</v>
      </c>
      <c r="AZ808" s="1053" t="n">
        <v>-2</v>
      </c>
      <c r="BA808" s="1053" t="n">
        <v>3</v>
      </c>
      <c r="BB808" s="1053" t="n">
        <v>-14</v>
      </c>
      <c r="BC808" s="68">
        <f>BD808</f>
        <v/>
      </c>
      <c r="BD808" s="1111" t="n">
        <v>-24</v>
      </c>
      <c r="BE808" s="1053" t="n">
        <v>-35</v>
      </c>
      <c r="BF808" s="1053" t="n">
        <v>-65</v>
      </c>
      <c r="BG808" s="1053" t="n">
        <v>-83</v>
      </c>
      <c r="BH808" s="68">
        <f>BI808</f>
        <v/>
      </c>
      <c r="BI808" s="1111" t="n">
        <v>-77</v>
      </c>
      <c r="BJ808" s="1053" t="n">
        <v>-221</v>
      </c>
      <c r="BK808" s="1053" t="n">
        <v>-435</v>
      </c>
      <c r="BL808" s="1053" t="n">
        <v>-872</v>
      </c>
      <c r="BM808" s="68">
        <f>BN808</f>
        <v/>
      </c>
      <c r="BN808" s="1111" t="n">
        <v>-985</v>
      </c>
      <c r="BO808" s="1053" t="n">
        <v>-135</v>
      </c>
      <c r="BP808" s="1053">
        <f>-534+105</f>
        <v/>
      </c>
      <c r="BQ808" s="1053">
        <f>-1008+171</f>
        <v/>
      </c>
      <c r="BR808" s="68">
        <f>BS808</f>
        <v/>
      </c>
      <c r="BS808" s="1111" t="n">
        <v>-1486</v>
      </c>
      <c r="BT808" s="1053">
        <f>-649+0</f>
        <v/>
      </c>
      <c r="BU808" s="1053">
        <f>-995+70</f>
        <v/>
      </c>
      <c r="BV808" s="1054">
        <f>-4702+72</f>
        <v/>
      </c>
      <c r="BW808" s="68" t="n"/>
      <c r="BX808" s="1110" t="n"/>
      <c r="BY808" s="68" t="n"/>
      <c r="BZ808" s="68" t="n"/>
      <c r="CA808" s="68" t="n"/>
      <c r="CB808" s="68" t="n"/>
      <c r="CC808" s="1110" t="n"/>
      <c r="CD808" s="1110" t="n"/>
      <c r="CE808" s="1110" t="n"/>
      <c r="CF808" s="1110" t="n"/>
      <c r="CG808" s="155" t="n"/>
    </row>
    <row r="809" hidden="1" outlineLevel="1">
      <c r="A809" s="67" t="inlineStr">
        <is>
          <t>Other</t>
        </is>
      </c>
      <c r="B809" s="146" t="n"/>
      <c r="C809" s="1111" t="n">
        <v>-0.442</v>
      </c>
      <c r="D809" s="1111" t="n">
        <v>-0.218</v>
      </c>
      <c r="E809" s="1111" t="n">
        <v>-2.163</v>
      </c>
      <c r="F809" s="1111" t="n">
        <v>-1.59</v>
      </c>
      <c r="G809" s="1053" t="n">
        <v>0.216</v>
      </c>
      <c r="H809" s="1053" t="n">
        <v>-0.082</v>
      </c>
      <c r="I809" s="1053" t="n">
        <v>0.135</v>
      </c>
      <c r="J809" s="27">
        <f>K809</f>
        <v/>
      </c>
      <c r="K809" s="1111" t="n">
        <v>0.352</v>
      </c>
      <c r="L809" s="1053" t="n">
        <v>-1.45</v>
      </c>
      <c r="M809" s="1053" t="n">
        <v>-1.45</v>
      </c>
      <c r="N809" s="1053" t="n">
        <v>-2.45</v>
      </c>
      <c r="O809" s="27">
        <f>P809</f>
        <v/>
      </c>
      <c r="P809" s="1110" t="n"/>
      <c r="Q809" s="1053" t="n">
        <v>0</v>
      </c>
      <c r="R809" s="1053" t="n">
        <v>0</v>
      </c>
      <c r="S809" s="1053" t="n">
        <v>-1</v>
      </c>
      <c r="T809" s="27">
        <f>U809</f>
        <v/>
      </c>
      <c r="U809" s="1111" t="n">
        <v>-1</v>
      </c>
      <c r="V809" s="1053" t="n">
        <v>-1</v>
      </c>
      <c r="W809" s="1053" t="n">
        <v>-1</v>
      </c>
      <c r="X809" s="1053" t="n">
        <v>-1</v>
      </c>
      <c r="Y809" s="27">
        <f>Z809</f>
        <v/>
      </c>
      <c r="Z809" s="1111" t="n">
        <v>-6</v>
      </c>
      <c r="AA809" s="1053" t="n">
        <v>-4</v>
      </c>
      <c r="AB809" s="1053" t="n">
        <v>-4</v>
      </c>
      <c r="AC809" s="1053" t="n">
        <v>-3</v>
      </c>
      <c r="AD809" s="68">
        <f>AE809</f>
        <v/>
      </c>
      <c r="AE809" s="1111" t="n">
        <v>-5</v>
      </c>
      <c r="AF809" s="1053" t="n">
        <v>-5</v>
      </c>
      <c r="AG809" s="1053" t="n">
        <v>-16</v>
      </c>
      <c r="AH809" s="1053" t="n">
        <v>-26</v>
      </c>
      <c r="AI809" s="68">
        <f>AJ809</f>
        <v/>
      </c>
      <c r="AJ809" s="1111" t="n">
        <v>-36</v>
      </c>
      <c r="AK809" s="68" t="n"/>
      <c r="AL809" s="68" t="n"/>
      <c r="AM809" s="1053" t="n">
        <v>-9</v>
      </c>
      <c r="AN809" s="68">
        <f>AO809</f>
        <v/>
      </c>
      <c r="AO809" s="1111" t="n">
        <v>-9</v>
      </c>
      <c r="AP809" s="68" t="n"/>
      <c r="AQ809" s="68" t="n"/>
      <c r="AR809" s="68" t="n"/>
      <c r="AS809" s="68">
        <f>AT809</f>
        <v/>
      </c>
      <c r="AT809" s="1110" t="n"/>
      <c r="AU809" s="68" t="n"/>
      <c r="AV809" s="68" t="n"/>
      <c r="AW809" s="68" t="n"/>
      <c r="AX809" s="68">
        <f>AY809</f>
        <v/>
      </c>
      <c r="AY809" s="1110" t="n"/>
      <c r="AZ809" s="68" t="n"/>
      <c r="BA809" s="68" t="n"/>
      <c r="BB809" s="68" t="n"/>
      <c r="BC809" s="68">
        <f>BD809</f>
        <v/>
      </c>
      <c r="BD809" s="1110" t="n"/>
      <c r="BE809" s="68" t="n"/>
      <c r="BF809" s="68" t="n"/>
      <c r="BG809" s="68" t="n"/>
      <c r="BH809" s="68">
        <f>BI809</f>
        <v/>
      </c>
      <c r="BI809" s="1110" t="n"/>
      <c r="BJ809" s="68" t="n"/>
      <c r="BK809" s="68" t="n"/>
      <c r="BL809" s="68" t="n"/>
      <c r="BM809" s="68">
        <f>BN809</f>
        <v/>
      </c>
      <c r="BN809" s="1110" t="n"/>
      <c r="BO809" s="68" t="n"/>
      <c r="BP809" s="68" t="n"/>
      <c r="BQ809" s="68" t="n"/>
      <c r="BR809" s="68">
        <f>BS809</f>
        <v/>
      </c>
      <c r="BS809" s="1111" t="n">
        <v>22</v>
      </c>
      <c r="BT809" s="68" t="n"/>
      <c r="BU809" s="68" t="n"/>
      <c r="BV809" s="588" t="n"/>
      <c r="BW809" s="68" t="n"/>
      <c r="BX809" s="1110" t="n"/>
      <c r="BY809" s="68" t="n"/>
      <c r="BZ809" s="68" t="n"/>
      <c r="CA809" s="68" t="n"/>
      <c r="CB809" s="68" t="n"/>
      <c r="CC809" s="1110" t="n"/>
      <c r="CD809" s="1110" t="n"/>
      <c r="CE809" s="1110" t="n"/>
      <c r="CF809" s="1110" t="n"/>
      <c r="CG809" s="155" t="n"/>
    </row>
    <row r="810" hidden="1" outlineLevel="1">
      <c r="A810" s="59" t="inlineStr">
        <is>
          <t>Net CFI</t>
        </is>
      </c>
      <c r="B810" s="607" t="n"/>
      <c r="C810" s="1123">
        <f>SUM(C800:C809)</f>
        <v/>
      </c>
      <c r="D810" s="1123">
        <f>SUM(D800:D809)</f>
        <v/>
      </c>
      <c r="E810" s="1123">
        <f>SUM(E800:E809)</f>
        <v/>
      </c>
      <c r="F810" s="1123">
        <f>SUM(F800:F809)</f>
        <v/>
      </c>
      <c r="G810" s="60">
        <f>SUM(G800:G809)</f>
        <v/>
      </c>
      <c r="H810" s="60">
        <f>SUM(H800:H809)</f>
        <v/>
      </c>
      <c r="I810" s="60">
        <f>SUM(I800:I809)</f>
        <v/>
      </c>
      <c r="J810" s="60">
        <f>SUM(J800:J809)</f>
        <v/>
      </c>
      <c r="K810" s="1123">
        <f>SUM(K800:K809)</f>
        <v/>
      </c>
      <c r="L810" s="60">
        <f>SUM(L800:L809)</f>
        <v/>
      </c>
      <c r="M810" s="60">
        <f>SUM(M800:M809)</f>
        <v/>
      </c>
      <c r="N810" s="60">
        <f>SUM(N800:N809)</f>
        <v/>
      </c>
      <c r="O810" s="60">
        <f>SUM(O800:O809)</f>
        <v/>
      </c>
      <c r="P810" s="1123">
        <f>SUM(P800:P809)</f>
        <v/>
      </c>
      <c r="Q810" s="60">
        <f>SUM(Q800:Q809)</f>
        <v/>
      </c>
      <c r="R810" s="60">
        <f>SUM(R800:R809)</f>
        <v/>
      </c>
      <c r="S810" s="60">
        <f>SUM(S800:S809)</f>
        <v/>
      </c>
      <c r="T810" s="60">
        <f>SUM(T800:T809)</f>
        <v/>
      </c>
      <c r="U810" s="1123">
        <f>SUM(U800:U809)</f>
        <v/>
      </c>
      <c r="V810" s="60">
        <f>SUM(V800:V809)</f>
        <v/>
      </c>
      <c r="W810" s="60">
        <f>SUM(W800:W809)</f>
        <v/>
      </c>
      <c r="X810" s="60">
        <f>SUM(X800:X809)</f>
        <v/>
      </c>
      <c r="Y810" s="60">
        <f>SUM(Y800:Y809)</f>
        <v/>
      </c>
      <c r="Z810" s="1123">
        <f>SUM(Z800:Z809)</f>
        <v/>
      </c>
      <c r="AA810" s="60">
        <f>SUM(AA800:AA809)</f>
        <v/>
      </c>
      <c r="AB810" s="60">
        <f>SUM(AB800:AB809)</f>
        <v/>
      </c>
      <c r="AC810" s="61">
        <f>SUM(AC800:AC809)</f>
        <v/>
      </c>
      <c r="AD810" s="61">
        <f>SUM(AD800:AD809)</f>
        <v/>
      </c>
      <c r="AE810" s="1122">
        <f>SUM(AE800:AE809)</f>
        <v/>
      </c>
      <c r="AF810" s="61">
        <f>SUM(AF800:AF809)</f>
        <v/>
      </c>
      <c r="AG810" s="60">
        <f>SUM(AG800:AG809)</f>
        <v/>
      </c>
      <c r="AH810" s="60">
        <f>SUM(AH800:AH809)</f>
        <v/>
      </c>
      <c r="AI810" s="61">
        <f>SUM(AI800:AI809)</f>
        <v/>
      </c>
      <c r="AJ810" s="1122">
        <f>SUM(AJ800:AJ809)</f>
        <v/>
      </c>
      <c r="AK810" s="60">
        <f>SUM(AK800:AK809)</f>
        <v/>
      </c>
      <c r="AL810" s="60">
        <f>SUM(AL800:AL809)</f>
        <v/>
      </c>
      <c r="AM810" s="60">
        <f>SUM(AM800:AM809)</f>
        <v/>
      </c>
      <c r="AN810" s="61">
        <f>SUM(AN800:AN809)</f>
        <v/>
      </c>
      <c r="AO810" s="1122">
        <f>SUM(AO800:AO809)</f>
        <v/>
      </c>
      <c r="AP810" s="60">
        <f>SUM(AP800:AP809)</f>
        <v/>
      </c>
      <c r="AQ810" s="61">
        <f>SUM(AQ800:AQ809)</f>
        <v/>
      </c>
      <c r="AR810" s="60">
        <f>SUM(AR800:AR809)</f>
        <v/>
      </c>
      <c r="AS810" s="61">
        <f>SUM(AS800:AS809)</f>
        <v/>
      </c>
      <c r="AT810" s="1122">
        <f>SUM(AT800:AT809)</f>
        <v/>
      </c>
      <c r="AU810" s="60">
        <f>SUM(AU800:AU809)</f>
        <v/>
      </c>
      <c r="AV810" s="61">
        <f>SUM(AV800:AV809)</f>
        <v/>
      </c>
      <c r="AW810" s="60">
        <f>SUM(AW800:AW809)</f>
        <v/>
      </c>
      <c r="AX810" s="61">
        <f>SUM(AX800:AX809)</f>
        <v/>
      </c>
      <c r="AY810" s="1122">
        <f>SUM(AY800:AY809)</f>
        <v/>
      </c>
      <c r="AZ810" s="60">
        <f>SUM(AZ800:AZ809)</f>
        <v/>
      </c>
      <c r="BA810" s="61">
        <f>SUM(BA800:BA809)</f>
        <v/>
      </c>
      <c r="BB810" s="60">
        <f>SUM(BB800:BB809)</f>
        <v/>
      </c>
      <c r="BC810" s="61">
        <f>SUM(BC800:BC809)</f>
        <v/>
      </c>
      <c r="BD810" s="1122">
        <f>SUM(BD800:BD809)</f>
        <v/>
      </c>
      <c r="BE810" s="60">
        <f>SUM(BE800:BE809)</f>
        <v/>
      </c>
      <c r="BF810" s="61">
        <f>SUM(BF800:BF809)</f>
        <v/>
      </c>
      <c r="BG810" s="60">
        <f>SUM(BG800:BG809)</f>
        <v/>
      </c>
      <c r="BH810" s="61">
        <f>SUM(BH800:BH809)</f>
        <v/>
      </c>
      <c r="BI810" s="1122">
        <f>SUM(BI800:BI809)</f>
        <v/>
      </c>
      <c r="BJ810" s="60">
        <f>SUM(BJ800:BJ809)</f>
        <v/>
      </c>
      <c r="BK810" s="61">
        <f>SUM(BK800:BK809)</f>
        <v/>
      </c>
      <c r="BL810" s="60">
        <f>SUM(BL800:BL809)</f>
        <v/>
      </c>
      <c r="BM810" s="61">
        <f>SUM(BM800:BM809)</f>
        <v/>
      </c>
      <c r="BN810" s="1122">
        <f>SUM(BN800:BN809)</f>
        <v/>
      </c>
      <c r="BO810" s="60">
        <f>SUM(BO800:BO809)</f>
        <v/>
      </c>
      <c r="BP810" s="61">
        <f>SUM(BP800:BP809)</f>
        <v/>
      </c>
      <c r="BQ810" s="60">
        <f>SUM(BQ800:BQ809)</f>
        <v/>
      </c>
      <c r="BR810" s="61">
        <f>SUM(BR800:BR809)</f>
        <v/>
      </c>
      <c r="BS810" s="1122">
        <f>SUM(BS800:BS809)</f>
        <v/>
      </c>
      <c r="BT810" s="60">
        <f>SUM(BT800:BT809)</f>
        <v/>
      </c>
      <c r="BU810" s="61">
        <f>SUM(BU800:BU809)</f>
        <v/>
      </c>
      <c r="BV810" s="883">
        <f>SUM(BV800:BV809)</f>
        <v/>
      </c>
      <c r="BW810" s="61" t="n"/>
      <c r="BX810" s="1122" t="n"/>
      <c r="BY810" s="61" t="n"/>
      <c r="BZ810" s="61" t="n"/>
      <c r="CA810" s="61" t="n"/>
      <c r="CB810" s="61" t="n"/>
      <c r="CC810" s="1122" t="n"/>
      <c r="CD810" s="1122" t="n"/>
      <c r="CE810" s="1122" t="n"/>
      <c r="CF810" s="1122" t="n"/>
      <c r="CG810" s="155" t="n"/>
    </row>
    <row r="811" hidden="1" outlineLevel="1">
      <c r="A811" s="600" t="n"/>
      <c r="B811" s="279" t="n"/>
      <c r="C811" s="1125" t="n"/>
      <c r="D811" s="1125" t="n"/>
      <c r="E811" s="1125" t="n"/>
      <c r="F811" s="1125" t="n"/>
      <c r="G811" s="63" t="n"/>
      <c r="H811" s="63" t="n"/>
      <c r="I811" s="63" t="n"/>
      <c r="J811" s="63" t="n"/>
      <c r="K811" s="1125" t="n"/>
      <c r="L811" s="63" t="n"/>
      <c r="M811" s="63" t="n"/>
      <c r="N811" s="63" t="n"/>
      <c r="O811" s="63" t="n"/>
      <c r="P811" s="1125" t="n"/>
      <c r="Q811" s="63" t="n"/>
      <c r="R811" s="63" t="n"/>
      <c r="S811" s="63" t="n"/>
      <c r="T811" s="63" t="n"/>
      <c r="U811" s="1125" t="n"/>
      <c r="V811" s="63" t="n"/>
      <c r="W811" s="63" t="n"/>
      <c r="X811" s="63" t="n"/>
      <c r="Y811" s="63" t="n"/>
      <c r="Z811" s="1125" t="n"/>
      <c r="AA811" s="63" t="n"/>
      <c r="AB811" s="63" t="n"/>
      <c r="AC811" s="63" t="n"/>
      <c r="AD811" s="63" t="n"/>
      <c r="AE811" s="1125" t="n"/>
      <c r="AF811" s="63" t="n"/>
      <c r="AG811" s="63" t="n"/>
      <c r="AH811" s="63" t="n"/>
      <c r="AI811" s="63" t="n"/>
      <c r="AJ811" s="1125" t="n"/>
      <c r="AK811" s="63" t="n"/>
      <c r="AL811" s="63" t="n"/>
      <c r="AM811" s="63" t="n"/>
      <c r="AN811" s="63" t="n"/>
      <c r="AO811" s="1125" t="n"/>
      <c r="AP811" s="63" t="n"/>
      <c r="AQ811" s="63" t="n"/>
      <c r="AR811" s="63" t="n"/>
      <c r="AS811" s="63" t="n"/>
      <c r="AT811" s="1125" t="n"/>
      <c r="AU811" s="63" t="n"/>
      <c r="AV811" s="63" t="n"/>
      <c r="AW811" s="63" t="n"/>
      <c r="AX811" s="63" t="n"/>
      <c r="AY811" s="1125" t="n"/>
      <c r="AZ811" s="63" t="n"/>
      <c r="BA811" s="63" t="n"/>
      <c r="BB811" s="63" t="n"/>
      <c r="BC811" s="63" t="n"/>
      <c r="BD811" s="1125" t="n"/>
      <c r="BE811" s="63" t="n"/>
      <c r="BF811" s="63" t="n"/>
      <c r="BG811" s="63" t="n"/>
      <c r="BH811" s="63" t="n"/>
      <c r="BI811" s="1125" t="n"/>
      <c r="BJ811" s="63" t="n"/>
      <c r="BK811" s="63" t="n"/>
      <c r="BL811" s="63" t="n"/>
      <c r="BM811" s="63" t="n"/>
      <c r="BN811" s="1125" t="n"/>
      <c r="BO811" s="63" t="n"/>
      <c r="BP811" s="63" t="n"/>
      <c r="BQ811" s="63" t="n"/>
      <c r="BR811" s="63" t="n"/>
      <c r="BS811" s="1125" t="n"/>
      <c r="BT811" s="63" t="n"/>
      <c r="BU811" s="63" t="n"/>
      <c r="BV811" s="587" t="n"/>
      <c r="BW811" s="63" t="n"/>
      <c r="BX811" s="1125" t="n"/>
      <c r="BY811" s="63" t="n"/>
      <c r="BZ811" s="63" t="n"/>
      <c r="CA811" s="63" t="n"/>
      <c r="CB811" s="63" t="n"/>
      <c r="CC811" s="1125" t="n"/>
      <c r="CD811" s="1125" t="n"/>
      <c r="CE811" s="1125" t="n"/>
      <c r="CF811" s="1125" t="n"/>
      <c r="CG811" s="155" t="n"/>
    </row>
    <row r="812" hidden="1" outlineLevel="1">
      <c r="A812" s="62" t="inlineStr">
        <is>
          <t>CFF</t>
        </is>
      </c>
      <c r="B812" s="279" t="n"/>
      <c r="C812" s="1125" t="n"/>
      <c r="D812" s="1125" t="n"/>
      <c r="E812" s="1125" t="n"/>
      <c r="F812" s="1125" t="n"/>
      <c r="G812" s="63" t="n"/>
      <c r="H812" s="63" t="n"/>
      <c r="I812" s="63" t="n"/>
      <c r="J812" s="63" t="n"/>
      <c r="K812" s="1125" t="n"/>
      <c r="L812" s="63" t="n"/>
      <c r="M812" s="63" t="n"/>
      <c r="N812" s="63" t="n"/>
      <c r="O812" s="63" t="n"/>
      <c r="P812" s="1125" t="n"/>
      <c r="Q812" s="63" t="n"/>
      <c r="R812" s="63" t="n"/>
      <c r="S812" s="63" t="n"/>
      <c r="T812" s="63" t="n"/>
      <c r="U812" s="1125" t="n"/>
      <c r="V812" s="63" t="n"/>
      <c r="W812" s="63" t="n"/>
      <c r="X812" s="63" t="n"/>
      <c r="Y812" s="63" t="n"/>
      <c r="Z812" s="1125" t="n"/>
      <c r="AA812" s="63" t="n"/>
      <c r="AB812" s="63" t="n"/>
      <c r="AC812" s="63" t="n"/>
      <c r="AD812" s="63" t="n"/>
      <c r="AE812" s="1125" t="n"/>
      <c r="AF812" s="63" t="n"/>
      <c r="AG812" s="63" t="n"/>
      <c r="AH812" s="63" t="n"/>
      <c r="AI812" s="63" t="n"/>
      <c r="AJ812" s="1125" t="n"/>
      <c r="AK812" s="63" t="n"/>
      <c r="AL812" s="63" t="n"/>
      <c r="AM812" s="63" t="n"/>
      <c r="AN812" s="63" t="n"/>
      <c r="AO812" s="1125" t="n"/>
      <c r="AP812" s="63" t="n"/>
      <c r="AQ812" s="63" t="n"/>
      <c r="AR812" s="63" t="n"/>
      <c r="AS812" s="63" t="n"/>
      <c r="AT812" s="1125" t="n"/>
      <c r="AU812" s="63" t="n"/>
      <c r="AV812" s="63" t="n"/>
      <c r="AW812" s="63" t="n"/>
      <c r="AX812" s="63" t="n"/>
      <c r="AY812" s="1125" t="n"/>
      <c r="AZ812" s="63" t="n"/>
      <c r="BA812" s="63" t="n"/>
      <c r="BB812" s="63" t="n"/>
      <c r="BC812" s="63" t="n"/>
      <c r="BD812" s="1125" t="n"/>
      <c r="BE812" s="63" t="n"/>
      <c r="BF812" s="63" t="n"/>
      <c r="BG812" s="63" t="n"/>
      <c r="BH812" s="63" t="n"/>
      <c r="BI812" s="1125" t="n"/>
      <c r="BJ812" s="63" t="n"/>
      <c r="BK812" s="63" t="n"/>
      <c r="BL812" s="63" t="n"/>
      <c r="BM812" s="63" t="n"/>
      <c r="BN812" s="1125" t="n"/>
      <c r="BO812" s="63" t="n"/>
      <c r="BP812" s="63" t="n"/>
      <c r="BQ812" s="63" t="n"/>
      <c r="BR812" s="63" t="n"/>
      <c r="BS812" s="1125" t="n"/>
      <c r="BT812" s="63" t="n"/>
      <c r="BU812" s="63" t="n"/>
      <c r="BV812" s="587" t="n"/>
      <c r="BW812" s="63" t="n"/>
      <c r="BX812" s="1125" t="n"/>
      <c r="BY812" s="63" t="n"/>
      <c r="BZ812" s="63" t="n"/>
      <c r="CA812" s="63" t="n"/>
      <c r="CB812" s="63" t="n"/>
      <c r="CC812" s="1125" t="n"/>
      <c r="CD812" s="1125" t="n"/>
      <c r="CE812" s="1125" t="n"/>
      <c r="CF812" s="1125" t="n"/>
      <c r="CG812" s="155" t="n"/>
    </row>
    <row r="813" hidden="1" outlineLevel="1">
      <c r="A813" s="67" t="inlineStr">
        <is>
          <t>Payments related to stock option purchase</t>
        </is>
      </c>
      <c r="B813" s="146" t="n"/>
      <c r="C813" s="1110" t="n"/>
      <c r="D813" s="1111" t="n">
        <v>-78.075</v>
      </c>
      <c r="E813" s="1110" t="n"/>
      <c r="F813" s="1110" t="n"/>
      <c r="G813" s="68" t="n"/>
      <c r="H813" s="68" t="n"/>
      <c r="I813" s="68" t="n"/>
      <c r="J813" s="27">
        <f>K813</f>
        <v/>
      </c>
      <c r="K813" s="1110" t="n"/>
      <c r="L813" s="68" t="n"/>
      <c r="M813" s="68" t="n"/>
      <c r="N813" s="68" t="n"/>
      <c r="O813" s="27">
        <f>P813</f>
        <v/>
      </c>
      <c r="P813" s="1110" t="n"/>
      <c r="Q813" s="68" t="n"/>
      <c r="R813" s="68" t="n"/>
      <c r="S813" s="68" t="n"/>
      <c r="T813" s="27">
        <f>U813</f>
        <v/>
      </c>
      <c r="U813" s="1110" t="n"/>
      <c r="V813" s="68" t="n"/>
      <c r="W813" s="68" t="n"/>
      <c r="X813" s="68" t="n"/>
      <c r="Y813" s="27">
        <f>Z813</f>
        <v/>
      </c>
      <c r="Z813" s="1110" t="n"/>
      <c r="AA813" s="68" t="n"/>
      <c r="AB813" s="68" t="n"/>
      <c r="AC813" s="68" t="n"/>
      <c r="AD813" s="68">
        <f>AE813</f>
        <v/>
      </c>
      <c r="AE813" s="1110" t="n"/>
      <c r="AF813" s="68" t="n"/>
      <c r="AG813" s="68" t="n"/>
      <c r="AH813" s="68" t="n"/>
      <c r="AI813" s="68">
        <f>AJ813</f>
        <v/>
      </c>
      <c r="AJ813" s="1110" t="n"/>
      <c r="AK813" s="68" t="n"/>
      <c r="AL813" s="68" t="n"/>
      <c r="AM813" s="68" t="n"/>
      <c r="AN813" s="68">
        <f>AO813</f>
        <v/>
      </c>
      <c r="AO813" s="1110" t="n"/>
      <c r="AP813" s="68" t="n"/>
      <c r="AQ813" s="68" t="n"/>
      <c r="AR813" s="68" t="n"/>
      <c r="AS813" s="68">
        <f>AT813</f>
        <v/>
      </c>
      <c r="AT813" s="1110" t="n"/>
      <c r="AU813" s="68" t="n"/>
      <c r="AV813" s="68" t="n"/>
      <c r="AW813" s="68" t="n"/>
      <c r="AX813" s="68">
        <f>AY813</f>
        <v/>
      </c>
      <c r="AY813" s="1110" t="n"/>
      <c r="AZ813" s="68" t="n"/>
      <c r="BA813" s="68" t="n"/>
      <c r="BB813" s="68" t="n"/>
      <c r="BC813" s="68">
        <f>BD813</f>
        <v/>
      </c>
      <c r="BD813" s="1110" t="n"/>
      <c r="BE813" s="68" t="n"/>
      <c r="BF813" s="68" t="n"/>
      <c r="BG813" s="68" t="n"/>
      <c r="BH813" s="68">
        <f>BI813</f>
        <v/>
      </c>
      <c r="BI813" s="1110" t="n"/>
      <c r="BJ813" s="68" t="n"/>
      <c r="BK813" s="68" t="n"/>
      <c r="BL813" s="68" t="n"/>
      <c r="BM813" s="68">
        <f>BN813</f>
        <v/>
      </c>
      <c r="BN813" s="1110" t="n"/>
      <c r="BO813" s="68" t="n"/>
      <c r="BP813" s="68" t="n"/>
      <c r="BQ813" s="68" t="n"/>
      <c r="BR813" s="68">
        <f>BS813</f>
        <v/>
      </c>
      <c r="BS813" s="1110" t="n"/>
      <c r="BT813" s="68" t="n"/>
      <c r="BU813" s="68" t="n"/>
      <c r="BV813" s="588" t="n"/>
      <c r="BW813" s="68" t="n"/>
      <c r="BX813" s="1110" t="n"/>
      <c r="BY813" s="68" t="n"/>
      <c r="BZ813" s="68" t="n"/>
      <c r="CA813" s="68" t="n"/>
      <c r="CB813" s="68" t="n"/>
      <c r="CC813" s="1110" t="n"/>
      <c r="CD813" s="1110" t="n"/>
      <c r="CE813" s="1110" t="n"/>
      <c r="CF813" s="1110" t="n"/>
      <c r="CG813" s="155" t="n"/>
    </row>
    <row r="814" hidden="1" outlineLevel="1">
      <c r="A814" s="67" t="inlineStr">
        <is>
          <t>Proceeds from issuance of convertible notes, net</t>
        </is>
      </c>
      <c r="B814" s="146" t="n"/>
      <c r="C814" s="1110" t="n"/>
      <c r="D814" s="1110" t="n"/>
      <c r="E814" s="1110" t="n"/>
      <c r="F814" s="1110" t="n"/>
      <c r="G814" s="68" t="n"/>
      <c r="H814" s="68" t="n"/>
      <c r="I814" s="68" t="n"/>
      <c r="J814" s="27">
        <f>K814</f>
        <v/>
      </c>
      <c r="K814" s="1111" t="n">
        <v>0</v>
      </c>
      <c r="L814" s="68" t="n"/>
      <c r="M814" s="68" t="n"/>
      <c r="N814" s="68" t="n"/>
      <c r="O814" s="27">
        <f>P814</f>
        <v/>
      </c>
      <c r="P814" s="1111" t="n">
        <v>1477.5</v>
      </c>
      <c r="Q814" s="68" t="n"/>
      <c r="R814" s="68" t="n"/>
      <c r="S814" s="68" t="n"/>
      <c r="T814" s="27">
        <f>U814</f>
        <v/>
      </c>
      <c r="U814" s="1110" t="n"/>
      <c r="V814" s="68" t="n"/>
      <c r="W814" s="68" t="n"/>
      <c r="X814" s="68" t="n"/>
      <c r="Y814" s="27">
        <f>Z814</f>
        <v/>
      </c>
      <c r="Z814" s="1110" t="n"/>
      <c r="AA814" s="68" t="n"/>
      <c r="AB814" s="68" t="n"/>
      <c r="AC814" s="1053" t="n">
        <v>1988</v>
      </c>
      <c r="AD814" s="68">
        <f>AE814</f>
        <v/>
      </c>
      <c r="AE814" s="1111" t="n">
        <v>1988</v>
      </c>
      <c r="AF814" s="68" t="n"/>
      <c r="AG814" s="68" t="n"/>
      <c r="AH814" s="68" t="n"/>
      <c r="AI814" s="68">
        <f>AJ814</f>
        <v/>
      </c>
      <c r="AJ814" s="1110" t="n"/>
      <c r="AK814" s="68" t="n"/>
      <c r="AL814" s="68" t="n"/>
      <c r="AM814" s="68" t="n"/>
      <c r="AN814" s="68">
        <f>AO814</f>
        <v/>
      </c>
      <c r="AO814" s="1110" t="n"/>
      <c r="AP814" s="68" t="n"/>
      <c r="AQ814" s="68" t="n"/>
      <c r="AR814" s="68" t="n"/>
      <c r="AS814" s="68">
        <f>AT814</f>
        <v/>
      </c>
      <c r="AT814" s="1110" t="n"/>
      <c r="AU814" s="68" t="n"/>
      <c r="AV814" s="68" t="n"/>
      <c r="AW814" s="68" t="n"/>
      <c r="AX814" s="68">
        <f>AY814</f>
        <v/>
      </c>
      <c r="AY814" s="1110" t="n"/>
      <c r="AZ814" s="68" t="n"/>
      <c r="BA814" s="68" t="n"/>
      <c r="BB814" s="68" t="n"/>
      <c r="BC814" s="68">
        <f>BD814</f>
        <v/>
      </c>
      <c r="BD814" s="1110" t="n"/>
      <c r="BE814" s="68" t="n"/>
      <c r="BF814" s="68" t="n"/>
      <c r="BG814" s="68" t="n"/>
      <c r="BH814" s="68">
        <f>BI814</f>
        <v/>
      </c>
      <c r="BI814" s="1110" t="n"/>
      <c r="BJ814" s="68" t="n"/>
      <c r="BK814" s="68" t="n"/>
      <c r="BL814" s="68" t="n"/>
      <c r="BM814" s="68">
        <f>BN814</f>
        <v/>
      </c>
      <c r="BN814" s="1110" t="n"/>
      <c r="BO814" s="68" t="n"/>
      <c r="BP814" s="68" t="n"/>
      <c r="BQ814" s="68" t="n"/>
      <c r="BR814" s="68">
        <f>BS814</f>
        <v/>
      </c>
      <c r="BS814" s="1110" t="n"/>
      <c r="BT814" s="68" t="n"/>
      <c r="BU814" s="68" t="n"/>
      <c r="BV814" s="588" t="n"/>
      <c r="BW814" s="68" t="n"/>
      <c r="BX814" s="1110" t="n"/>
      <c r="BY814" s="68" t="n"/>
      <c r="BZ814" s="68" t="n"/>
      <c r="CA814" s="68" t="n"/>
      <c r="CB814" s="68" t="n"/>
      <c r="CC814" s="1110" t="n"/>
      <c r="CD814" s="1110" t="n"/>
      <c r="CE814" s="1110" t="n"/>
      <c r="CF814" s="1110" t="n"/>
      <c r="CG814" s="155" t="n"/>
    </row>
    <row r="815" hidden="1" outlineLevel="1">
      <c r="A815" s="67" t="inlineStr">
        <is>
          <t>Issuance of debt, net of issuance costs</t>
        </is>
      </c>
      <c r="B815" s="146" t="n"/>
      <c r="C815" s="1110" t="n"/>
      <c r="D815" s="1110" t="n"/>
      <c r="E815" s="1110" t="n"/>
      <c r="F815" s="1110" t="n"/>
      <c r="G815" s="68" t="n"/>
      <c r="H815" s="68" t="n"/>
      <c r="I815" s="68" t="n"/>
      <c r="J815" s="68" t="n"/>
      <c r="K815" s="1110" t="n"/>
      <c r="L815" s="68" t="n"/>
      <c r="M815" s="68" t="n"/>
      <c r="N815" s="68" t="n"/>
      <c r="O815" s="68" t="n"/>
      <c r="P815" s="1110" t="n"/>
      <c r="Q815" s="68" t="n"/>
      <c r="R815" s="68" t="n"/>
      <c r="S815" s="68" t="n"/>
      <c r="T815" s="68" t="n"/>
      <c r="U815" s="1110" t="n"/>
      <c r="V815" s="68" t="n"/>
      <c r="W815" s="68" t="n"/>
      <c r="X815" s="68" t="n"/>
      <c r="Y815" s="68" t="n"/>
      <c r="Z815" s="1110" t="n"/>
      <c r="AA815" s="68" t="n"/>
      <c r="AB815" s="68" t="n"/>
      <c r="AC815" s="68" t="n"/>
      <c r="AD815" s="68" t="n"/>
      <c r="AE815" s="1110" t="n"/>
      <c r="AF815" s="68" t="n"/>
      <c r="AG815" s="68" t="n"/>
      <c r="AH815" s="68" t="n"/>
      <c r="AI815" s="68" t="n"/>
      <c r="AJ815" s="1110" t="n"/>
      <c r="AK815" s="68" t="n"/>
      <c r="AL815" s="68" t="n"/>
      <c r="AM815" s="68" t="n"/>
      <c r="AN815" s="68" t="n"/>
      <c r="AO815" s="1110" t="n"/>
      <c r="AP815" s="68" t="n"/>
      <c r="AQ815" s="68" t="n"/>
      <c r="AR815" s="68" t="n"/>
      <c r="AS815" s="68" t="n"/>
      <c r="AT815" s="1110" t="n"/>
      <c r="AU815" s="1053" t="n">
        <v>4979</v>
      </c>
      <c r="AV815" s="1053" t="n">
        <v>4971</v>
      </c>
      <c r="AW815" s="1053" t="n">
        <v>4971</v>
      </c>
      <c r="AX815" s="68">
        <f>AY815</f>
        <v/>
      </c>
      <c r="AY815" s="1111" t="n">
        <v>4968</v>
      </c>
      <c r="AZ815" s="1053" t="n">
        <v>0</v>
      </c>
      <c r="BA815" s="1053" t="n">
        <v>4985</v>
      </c>
      <c r="BB815" s="1053" t="n">
        <v>4977</v>
      </c>
      <c r="BC815" s="68">
        <f>BD815</f>
        <v/>
      </c>
      <c r="BD815" s="1111" t="n">
        <v>4977</v>
      </c>
      <c r="BE815" s="68" t="n"/>
      <c r="BF815" s="68" t="n"/>
      <c r="BG815" s="68" t="n"/>
      <c r="BH815" s="68">
        <f>BI815</f>
        <v/>
      </c>
      <c r="BI815" s="1110" t="n"/>
      <c r="BJ815" s="68" t="n"/>
      <c r="BK815" s="68" t="n"/>
      <c r="BL815" s="68" t="n"/>
      <c r="BM815" s="68">
        <f>BN815</f>
        <v/>
      </c>
      <c r="BN815" s="1110" t="n"/>
      <c r="BO815" s="68" t="n"/>
      <c r="BP815" s="68" t="n"/>
      <c r="BQ815" s="68" t="n"/>
      <c r="BR815" s="68">
        <f>BS815</f>
        <v/>
      </c>
      <c r="BS815" s="1110" t="n"/>
      <c r="BT815" s="68" t="n"/>
      <c r="BU815" s="68" t="n"/>
      <c r="BV815" s="588" t="n"/>
      <c r="BW815" s="68" t="n"/>
      <c r="BX815" s="1110" t="n"/>
      <c r="BY815" s="68" t="n"/>
      <c r="BZ815" s="68" t="n"/>
      <c r="CA815" s="68" t="n"/>
      <c r="CB815" s="68" t="n"/>
      <c r="CC815" s="1110" t="n"/>
      <c r="CD815" s="1110" t="n"/>
      <c r="CE815" s="1110" t="n"/>
      <c r="CF815" s="1110" t="n"/>
      <c r="CG815" s="155" t="n"/>
    </row>
    <row r="816" hidden="1" outlineLevel="1">
      <c r="A816" s="67" t="inlineStr">
        <is>
          <t>Purchase of convertible note hedges</t>
        </is>
      </c>
      <c r="B816" s="146" t="n"/>
      <c r="C816" s="1110" t="n"/>
      <c r="D816" s="1110" t="n"/>
      <c r="E816" s="1110" t="n"/>
      <c r="F816" s="1110" t="n"/>
      <c r="G816" s="68" t="n"/>
      <c r="H816" s="68" t="n"/>
      <c r="I816" s="68" t="n"/>
      <c r="J816" s="27">
        <f>K816</f>
        <v/>
      </c>
      <c r="K816" s="1111" t="n">
        <v>0</v>
      </c>
      <c r="L816" s="68" t="n"/>
      <c r="M816" s="68" t="n"/>
      <c r="N816" s="68" t="n"/>
      <c r="O816" s="27">
        <f>P816</f>
        <v/>
      </c>
      <c r="P816" s="1111" t="n">
        <v>-167.1</v>
      </c>
      <c r="Q816" s="68" t="n"/>
      <c r="R816" s="68" t="n"/>
      <c r="S816" s="68" t="n"/>
      <c r="T816" s="27">
        <f>U816</f>
        <v/>
      </c>
      <c r="U816" s="1110" t="n"/>
      <c r="V816" s="68" t="n"/>
      <c r="W816" s="68" t="n"/>
      <c r="X816" s="68" t="n"/>
      <c r="Y816" s="27">
        <f>Z816</f>
        <v/>
      </c>
      <c r="Z816" s="1110" t="n"/>
      <c r="AA816" s="68" t="n"/>
      <c r="AB816" s="68" t="n"/>
      <c r="AC816" s="68" t="n"/>
      <c r="AD816" s="68">
        <f>AE816</f>
        <v/>
      </c>
      <c r="AE816" s="1110" t="n"/>
      <c r="AF816" s="68" t="n"/>
      <c r="AG816" s="68" t="n"/>
      <c r="AH816" s="68" t="n"/>
      <c r="AI816" s="68">
        <f>AJ816</f>
        <v/>
      </c>
      <c r="AJ816" s="1110" t="n"/>
      <c r="AK816" s="68" t="n"/>
      <c r="AL816" s="68" t="n"/>
      <c r="AM816" s="68" t="n"/>
      <c r="AN816" s="68">
        <f>AO816</f>
        <v/>
      </c>
      <c r="AO816" s="1110" t="n"/>
      <c r="AP816" s="68" t="n"/>
      <c r="AQ816" s="68" t="n"/>
      <c r="AR816" s="68" t="n"/>
      <c r="AS816" s="68">
        <f>AT816</f>
        <v/>
      </c>
      <c r="AT816" s="1110" t="n"/>
      <c r="AU816" s="68" t="n"/>
      <c r="AV816" s="68" t="n"/>
      <c r="AW816" s="68" t="n"/>
      <c r="AX816" s="68">
        <f>AY816</f>
        <v/>
      </c>
      <c r="AY816" s="1110" t="n"/>
      <c r="AZ816" s="68" t="n"/>
      <c r="BA816" s="68" t="n"/>
      <c r="BB816" s="68" t="n"/>
      <c r="BC816" s="68">
        <f>BD816</f>
        <v/>
      </c>
      <c r="BD816" s="1110" t="n"/>
      <c r="BE816" s="68" t="n"/>
      <c r="BF816" s="68" t="n"/>
      <c r="BG816" s="68" t="n"/>
      <c r="BH816" s="68">
        <f>BI816</f>
        <v/>
      </c>
      <c r="BI816" s="1110" t="n"/>
      <c r="BJ816" s="68" t="n"/>
      <c r="BK816" s="68" t="n"/>
      <c r="BL816" s="68" t="n"/>
      <c r="BM816" s="68">
        <f>BN816</f>
        <v/>
      </c>
      <c r="BN816" s="1110" t="n"/>
      <c r="BO816" s="68" t="n"/>
      <c r="BP816" s="68" t="n"/>
      <c r="BQ816" s="68" t="n"/>
      <c r="BR816" s="68">
        <f>BS816</f>
        <v/>
      </c>
      <c r="BS816" s="1110" t="n"/>
      <c r="BT816" s="68" t="n"/>
      <c r="BU816" s="68" t="n"/>
      <c r="BV816" s="588" t="n"/>
      <c r="BW816" s="68" t="n"/>
      <c r="BX816" s="1110" t="n"/>
      <c r="BY816" s="68" t="n"/>
      <c r="BZ816" s="68" t="n"/>
      <c r="CA816" s="68" t="n"/>
      <c r="CB816" s="68" t="n"/>
      <c r="CC816" s="1110" t="n"/>
      <c r="CD816" s="1110" t="n"/>
      <c r="CE816" s="1110" t="n"/>
      <c r="CF816" s="1110" t="n"/>
      <c r="CG816" s="155" t="n"/>
    </row>
    <row r="817" hidden="1" outlineLevel="1">
      <c r="A817" s="67" t="inlineStr">
        <is>
          <t>Proceeds from the sale of common stock warrants</t>
        </is>
      </c>
      <c r="B817" s="146" t="n"/>
      <c r="C817" s="1110" t="n"/>
      <c r="D817" s="1110" t="n"/>
      <c r="E817" s="1110" t="n"/>
      <c r="F817" s="1110" t="n"/>
      <c r="G817" s="68" t="n"/>
      <c r="H817" s="68" t="n"/>
      <c r="I817" s="68" t="n"/>
      <c r="J817" s="27">
        <f>K817</f>
        <v/>
      </c>
      <c r="K817" s="1111" t="n">
        <v>0</v>
      </c>
      <c r="L817" s="68" t="n"/>
      <c r="M817" s="68" t="n"/>
      <c r="N817" s="68" t="n"/>
      <c r="O817" s="27">
        <f>P817</f>
        <v/>
      </c>
      <c r="P817" s="1111" t="n">
        <v>59.1</v>
      </c>
      <c r="Q817" s="68" t="n"/>
      <c r="R817" s="68" t="n"/>
      <c r="S817" s="68" t="n"/>
      <c r="T817" s="27">
        <f>U817</f>
        <v/>
      </c>
      <c r="U817" s="1110" t="n"/>
      <c r="V817" s="68" t="n"/>
      <c r="W817" s="68" t="n"/>
      <c r="X817" s="68" t="n"/>
      <c r="Y817" s="27">
        <f>Z817</f>
        <v/>
      </c>
      <c r="Z817" s="1110" t="n"/>
      <c r="AA817" s="68" t="n"/>
      <c r="AB817" s="68" t="n"/>
      <c r="AC817" s="68" t="n"/>
      <c r="AD817" s="68">
        <f>AE817</f>
        <v/>
      </c>
      <c r="AE817" s="1110" t="n"/>
      <c r="AF817" s="68" t="n"/>
      <c r="AG817" s="68" t="n"/>
      <c r="AH817" s="68" t="n"/>
      <c r="AI817" s="68">
        <f>AJ817</f>
        <v/>
      </c>
      <c r="AJ817" s="1110" t="n"/>
      <c r="AK817" s="68" t="n"/>
      <c r="AL817" s="68" t="n"/>
      <c r="AM817" s="68" t="n"/>
      <c r="AN817" s="68">
        <f>AO817</f>
        <v/>
      </c>
      <c r="AO817" s="1110" t="n"/>
      <c r="AP817" s="68" t="n"/>
      <c r="AQ817" s="68" t="n"/>
      <c r="AR817" s="68" t="n"/>
      <c r="AS817" s="68">
        <f>AT817</f>
        <v/>
      </c>
      <c r="AT817" s="1110" t="n"/>
      <c r="AU817" s="68" t="n"/>
      <c r="AV817" s="68" t="n"/>
      <c r="AW817" s="68" t="n"/>
      <c r="AX817" s="68">
        <f>AY817</f>
        <v/>
      </c>
      <c r="AY817" s="1110" t="n"/>
      <c r="AZ817" s="68" t="n"/>
      <c r="BA817" s="68" t="n"/>
      <c r="BB817" s="68" t="n"/>
      <c r="BC817" s="68">
        <f>BD817</f>
        <v/>
      </c>
      <c r="BD817" s="1110" t="n"/>
      <c r="BE817" s="68" t="n"/>
      <c r="BF817" s="68" t="n"/>
      <c r="BG817" s="68" t="n"/>
      <c r="BH817" s="68">
        <f>BI817</f>
        <v/>
      </c>
      <c r="BI817" s="1110" t="n"/>
      <c r="BJ817" s="68" t="n"/>
      <c r="BK817" s="68" t="n"/>
      <c r="BL817" s="68" t="n"/>
      <c r="BM817" s="68">
        <f>BN817</f>
        <v/>
      </c>
      <c r="BN817" s="1110" t="n"/>
      <c r="BO817" s="68" t="n"/>
      <c r="BP817" s="68" t="n"/>
      <c r="BQ817" s="68" t="n"/>
      <c r="BR817" s="68">
        <f>BS817</f>
        <v/>
      </c>
      <c r="BS817" s="1110" t="n"/>
      <c r="BT817" s="68" t="n"/>
      <c r="BU817" s="68" t="n"/>
      <c r="BV817" s="588" t="n"/>
      <c r="BW817" s="68" t="n"/>
      <c r="BX817" s="1110" t="n"/>
      <c r="BY817" s="68" t="n"/>
      <c r="BZ817" s="68" t="n"/>
      <c r="CA817" s="68" t="n"/>
      <c r="CB817" s="68" t="n"/>
      <c r="CC817" s="1110" t="n"/>
      <c r="CD817" s="1110" t="n"/>
      <c r="CE817" s="1110" t="n"/>
      <c r="CF817" s="1110" t="n"/>
      <c r="CG817" s="155" t="n"/>
    </row>
    <row r="818" hidden="1" outlineLevel="1">
      <c r="A818" s="67" t="inlineStr">
        <is>
          <t>Proceeds from issuance of common stock under employee stock plans</t>
        </is>
      </c>
      <c r="B818" s="146" t="n"/>
      <c r="C818" s="1111" t="n">
        <v>73.547</v>
      </c>
      <c r="D818" s="1111" t="n">
        <v>138.029</v>
      </c>
      <c r="E818" s="1111" t="n">
        <v>177.276</v>
      </c>
      <c r="F818" s="1111" t="n">
        <v>195.857</v>
      </c>
      <c r="G818" s="1053" t="n">
        <v>37.361</v>
      </c>
      <c r="H818" s="1053" t="n">
        <v>42.678</v>
      </c>
      <c r="I818" s="1053" t="n">
        <v>62.781</v>
      </c>
      <c r="J818" s="27">
        <f>K818</f>
        <v/>
      </c>
      <c r="K818" s="1111" t="n">
        <v>64.935</v>
      </c>
      <c r="L818" s="1053" t="n">
        <v>22.996</v>
      </c>
      <c r="M818" s="1053" t="n">
        <v>31.303</v>
      </c>
      <c r="N818" s="1053" t="n">
        <v>64.749</v>
      </c>
      <c r="O818" s="27">
        <f>P818</f>
        <v/>
      </c>
      <c r="P818" s="1111" t="n">
        <v>70.17</v>
      </c>
      <c r="Q818" s="1053" t="n">
        <v>80</v>
      </c>
      <c r="R818" s="1053" t="n">
        <v>98</v>
      </c>
      <c r="S818" s="1053" t="n">
        <v>129</v>
      </c>
      <c r="T818" s="1053" t="n">
        <v>154</v>
      </c>
      <c r="U818" s="1111" t="n">
        <v>154</v>
      </c>
      <c r="V818" s="1053" t="n">
        <v>50</v>
      </c>
      <c r="W818" s="1053" t="n">
        <v>64</v>
      </c>
      <c r="X818" s="1053" t="n">
        <v>99</v>
      </c>
      <c r="Y818" s="1053" t="n">
        <v>120</v>
      </c>
      <c r="Z818" s="1111" t="n">
        <v>120</v>
      </c>
      <c r="AA818" s="1053" t="n">
        <v>70</v>
      </c>
      <c r="AB818" s="1053" t="n">
        <v>91</v>
      </c>
      <c r="AC818" s="1053" t="n">
        <v>148</v>
      </c>
      <c r="AD818" s="68">
        <f>AE818</f>
        <v/>
      </c>
      <c r="AE818" s="1111" t="n">
        <v>167</v>
      </c>
      <c r="AF818" s="1053" t="n">
        <v>65</v>
      </c>
      <c r="AG818" s="1053" t="n">
        <v>76</v>
      </c>
      <c r="AH818" s="1053" t="n">
        <v>132</v>
      </c>
      <c r="AI818" s="68">
        <f>AJ818</f>
        <v/>
      </c>
      <c r="AJ818" s="1111" t="n">
        <v>139</v>
      </c>
      <c r="AK818" s="1053" t="n">
        <v>66</v>
      </c>
      <c r="AL818" s="1053" t="n">
        <v>69</v>
      </c>
      <c r="AM818" s="1053" t="n">
        <v>135</v>
      </c>
      <c r="AN818" s="68">
        <f>AO818</f>
        <v/>
      </c>
      <c r="AO818" s="1111" t="n">
        <v>137</v>
      </c>
      <c r="AP818" s="1053" t="n">
        <v>83</v>
      </c>
      <c r="AQ818" s="1053" t="n">
        <v>83</v>
      </c>
      <c r="AR818" s="1053" t="n">
        <v>146</v>
      </c>
      <c r="AS818" s="68">
        <f>AT818</f>
        <v/>
      </c>
      <c r="AT818" s="1111" t="n">
        <v>149</v>
      </c>
      <c r="AU818" s="1053" t="n">
        <v>88</v>
      </c>
      <c r="AV818" s="1053" t="n">
        <v>94</v>
      </c>
      <c r="AW818" s="1053" t="n">
        <v>190</v>
      </c>
      <c r="AX818" s="68">
        <f>AY818</f>
        <v/>
      </c>
      <c r="AY818" s="1111" t="n">
        <v>194</v>
      </c>
      <c r="AZ818" s="1053" t="n">
        <v>126</v>
      </c>
      <c r="BA818" s="1053" t="n">
        <v>128</v>
      </c>
      <c r="BB818" s="1053" t="n">
        <v>277</v>
      </c>
      <c r="BC818" s="68">
        <f>BD818</f>
        <v/>
      </c>
      <c r="BD818" s="1111" t="n">
        <v>281</v>
      </c>
      <c r="BE818" s="1053" t="n">
        <v>204</v>
      </c>
      <c r="BF818" s="1053" t="n">
        <v>205</v>
      </c>
      <c r="BG818" s="1053" t="n">
        <v>349</v>
      </c>
      <c r="BH818" s="68">
        <f>BI818</f>
        <v/>
      </c>
      <c r="BI818" s="1111" t="n">
        <v>355</v>
      </c>
      <c r="BJ818" s="1053" t="n">
        <v>246</v>
      </c>
      <c r="BK818" s="1053" t="n">
        <v>247</v>
      </c>
      <c r="BL818" s="1053" t="n">
        <v>403</v>
      </c>
      <c r="BM818" s="68">
        <f>BN818</f>
        <v/>
      </c>
      <c r="BN818" s="1111" t="n">
        <v>403</v>
      </c>
      <c r="BO818" s="1053" t="n">
        <v>285</v>
      </c>
      <c r="BP818" s="1053" t="n">
        <v>285</v>
      </c>
      <c r="BQ818" s="1053" t="n">
        <v>489</v>
      </c>
      <c r="BR818" s="68">
        <f>BS818</f>
        <v/>
      </c>
      <c r="BS818" s="1111" t="n">
        <v>490</v>
      </c>
      <c r="BT818" s="1053" t="n">
        <v>370</v>
      </c>
      <c r="BU818" s="1053" t="n">
        <v>370</v>
      </c>
      <c r="BV818" s="1054" t="n">
        <v>643</v>
      </c>
      <c r="BW818" s="68" t="n"/>
      <c r="BX818" s="1110" t="n"/>
      <c r="BY818" s="68" t="n"/>
      <c r="BZ818" s="68" t="n"/>
      <c r="CA818" s="68" t="n"/>
      <c r="CB818" s="68" t="n"/>
      <c r="CC818" s="1110" t="n"/>
      <c r="CD818" s="1110" t="n"/>
      <c r="CE818" s="1110" t="n"/>
      <c r="CF818" s="1110" t="n"/>
      <c r="CG818" s="155" t="n"/>
    </row>
    <row r="819" hidden="1" outlineLevel="1">
      <c r="A819" s="67" t="inlineStr">
        <is>
          <t>Repayment of debt</t>
        </is>
      </c>
      <c r="B819" s="146" t="n"/>
      <c r="C819" s="1110" t="n"/>
      <c r="D819" s="1110" t="n"/>
      <c r="E819" s="1110" t="n"/>
      <c r="F819" s="1110" t="n"/>
      <c r="G819" s="68" t="n"/>
      <c r="H819" s="68" t="n"/>
      <c r="I819" s="68" t="n"/>
      <c r="J819" s="68" t="n"/>
      <c r="K819" s="1110" t="n"/>
      <c r="L819" s="68" t="n"/>
      <c r="M819" s="68" t="n"/>
      <c r="N819" s="68" t="n"/>
      <c r="O819" s="68" t="n"/>
      <c r="P819" s="1110" t="n"/>
      <c r="Q819" s="68" t="n"/>
      <c r="R819" s="68" t="n"/>
      <c r="S819" s="68" t="n"/>
      <c r="T819" s="68" t="n"/>
      <c r="U819" s="1110" t="n"/>
      <c r="V819" s="68" t="n"/>
      <c r="W819" s="68" t="n"/>
      <c r="X819" s="68" t="n"/>
      <c r="Y819" s="68" t="n"/>
      <c r="Z819" s="1110" t="n"/>
      <c r="AA819" s="68" t="n"/>
      <c r="AB819" s="68" t="n"/>
      <c r="AC819" s="68" t="n"/>
      <c r="AD819" s="68" t="n"/>
      <c r="AE819" s="1110" t="n"/>
      <c r="AF819" s="68" t="n"/>
      <c r="AG819" s="68" t="n"/>
      <c r="AH819" s="68" t="n"/>
      <c r="AI819" s="68" t="n"/>
      <c r="AJ819" s="1110" t="n"/>
      <c r="AK819" s="68" t="n"/>
      <c r="AL819" s="68" t="n"/>
      <c r="AM819" s="68" t="n"/>
      <c r="AN819" s="68" t="n"/>
      <c r="AO819" s="1110" t="n"/>
      <c r="AP819" s="68" t="n"/>
      <c r="AQ819" s="68" t="n"/>
      <c r="AR819" s="68" t="n"/>
      <c r="AS819" s="68" t="n"/>
      <c r="AT819" s="1110" t="n"/>
      <c r="AU819" s="68" t="n"/>
      <c r="AV819" s="68" t="n"/>
      <c r="AW819" s="68" t="n"/>
      <c r="AX819" s="68" t="n"/>
      <c r="AY819" s="1110" t="n"/>
      <c r="AZ819" s="68" t="n"/>
      <c r="BA819" s="68" t="n"/>
      <c r="BB819" s="1053" t="n">
        <v>-1000</v>
      </c>
      <c r="BC819" s="68">
        <f>BD819</f>
        <v/>
      </c>
      <c r="BD819" s="1111" t="n">
        <v>-1000</v>
      </c>
      <c r="BE819" s="68" t="n"/>
      <c r="BF819" s="68" t="n"/>
      <c r="BG819" s="68" t="n"/>
      <c r="BH819" s="68">
        <f>BI819</f>
        <v/>
      </c>
      <c r="BI819" s="1110" t="n"/>
      <c r="BJ819" s="68" t="n"/>
      <c r="BK819" s="1053" t="n">
        <v>-1250</v>
      </c>
      <c r="BL819" s="1053" t="n">
        <v>-1250</v>
      </c>
      <c r="BM819" s="68">
        <f>BN819</f>
        <v/>
      </c>
      <c r="BN819" s="1111" t="n">
        <v>-1250</v>
      </c>
      <c r="BO819" s="68" t="n"/>
      <c r="BP819" s="1053" t="n">
        <v>-1250</v>
      </c>
      <c r="BQ819" s="1053" t="n">
        <v>-1250</v>
      </c>
      <c r="BR819" s="68">
        <f>BS819</f>
        <v/>
      </c>
      <c r="BS819" s="1111" t="n">
        <v>-1250</v>
      </c>
      <c r="BT819" s="68" t="n"/>
      <c r="BU819" s="68" t="n"/>
      <c r="BV819" s="588" t="n"/>
      <c r="BW819" s="68" t="n"/>
      <c r="BX819" s="1110" t="n"/>
      <c r="BY819" s="68" t="n"/>
      <c r="BZ819" s="68" t="n"/>
      <c r="CA819" s="68" t="n"/>
      <c r="CB819" s="68" t="n"/>
      <c r="CC819" s="1110" t="n"/>
      <c r="CD819" s="1110" t="n"/>
      <c r="CE819" s="1110" t="n"/>
      <c r="CF819" s="1110" t="n"/>
      <c r="CG819" s="155" t="n"/>
    </row>
    <row r="820" hidden="1" outlineLevel="1">
      <c r="A820" s="67" t="inlineStr">
        <is>
          <t>Payments related to repurchases of common stock</t>
        </is>
      </c>
      <c r="B820" s="146" t="n"/>
      <c r="C820" s="1111" t="n">
        <v>-423.636</v>
      </c>
      <c r="D820" s="1110" t="n"/>
      <c r="E820" s="1110" t="n"/>
      <c r="F820" s="1110" t="n"/>
      <c r="G820" s="1053" t="n">
        <v>0</v>
      </c>
      <c r="H820" s="1053" t="n">
        <v>0</v>
      </c>
      <c r="I820" s="1053" t="n">
        <v>0</v>
      </c>
      <c r="J820" s="27">
        <f>K820</f>
        <v/>
      </c>
      <c r="K820" s="1111" t="n">
        <v>-100</v>
      </c>
      <c r="L820" s="1053" t="n">
        <v>-100</v>
      </c>
      <c r="M820" s="1053" t="n">
        <v>-850</v>
      </c>
      <c r="N820" s="1053" t="n">
        <v>-850</v>
      </c>
      <c r="O820" s="27">
        <f>P820</f>
        <v/>
      </c>
      <c r="P820" s="1111" t="n">
        <v>-887.304</v>
      </c>
      <c r="Q820" s="1053" t="n">
        <v>-500</v>
      </c>
      <c r="R820" s="1053" t="n">
        <v>-500</v>
      </c>
      <c r="S820" s="1053" t="n">
        <v>-810</v>
      </c>
      <c r="T820" s="27">
        <f>U820</f>
        <v/>
      </c>
      <c r="U820" s="1111" t="n">
        <v>-814</v>
      </c>
      <c r="V820" s="1053" t="n">
        <v>-53</v>
      </c>
      <c r="W820" s="1053" t="n">
        <v>-452</v>
      </c>
      <c r="X820" s="1053" t="n">
        <v>-452</v>
      </c>
      <c r="Y820" s="27">
        <f>Z820</f>
        <v/>
      </c>
      <c r="Z820" s="1111" t="n">
        <v>-587</v>
      </c>
      <c r="AA820" s="1053" t="n">
        <v>-500</v>
      </c>
      <c r="AB820" s="1053" t="n">
        <v>-509</v>
      </c>
      <c r="AC820" s="1053" t="n">
        <v>-509</v>
      </c>
      <c r="AD820" s="68">
        <f>AE820</f>
        <v/>
      </c>
      <c r="AE820" s="1111" t="n">
        <v>-739</v>
      </c>
      <c r="AF820" s="1053" t="n">
        <v>0</v>
      </c>
      <c r="AG820" s="1053" t="n">
        <v>-758</v>
      </c>
      <c r="AH820" s="1053" t="n">
        <v>-909</v>
      </c>
      <c r="AI820" s="68">
        <f>AJ820</f>
        <v/>
      </c>
      <c r="AJ820" s="1111" t="n">
        <v>-909</v>
      </c>
      <c r="AK820" s="1053" t="n">
        <v>-655</v>
      </c>
      <c r="AL820" s="1053" t="n">
        <v>-655</v>
      </c>
      <c r="AM820" s="1053" t="n">
        <v>-855</v>
      </c>
      <c r="AN820" s="68">
        <f>AO820</f>
        <v/>
      </c>
      <c r="AO820" s="1111" t="n">
        <v>-1579</v>
      </c>
      <c r="AP820" s="68" t="n"/>
      <c r="AQ820" s="68" t="n"/>
      <c r="AR820" s="68" t="n"/>
      <c r="AS820" s="68">
        <f>AT820</f>
        <v/>
      </c>
      <c r="AT820" s="1110" t="n"/>
      <c r="AU820" s="68" t="n"/>
      <c r="AV820" s="68" t="n"/>
      <c r="AW820" s="68" t="n"/>
      <c r="AX820" s="68">
        <f>AY820</f>
        <v/>
      </c>
      <c r="AY820" s="1110" t="n"/>
      <c r="AZ820" s="68" t="n"/>
      <c r="BA820" s="68" t="n"/>
      <c r="BB820" s="68" t="n"/>
      <c r="BC820" s="68">
        <f>BD820</f>
        <v/>
      </c>
      <c r="BD820" s="1110" t="n"/>
      <c r="BE820" s="1053" t="n">
        <v>-1996</v>
      </c>
      <c r="BF820" s="1053" t="n">
        <v>-5341</v>
      </c>
      <c r="BG820" s="1053" t="n">
        <v>-8826</v>
      </c>
      <c r="BH820" s="68">
        <f>BI820</f>
        <v/>
      </c>
      <c r="BI820" s="1111" t="n">
        <v>-10039</v>
      </c>
      <c r="BJ820" s="1053" t="n">
        <v>0</v>
      </c>
      <c r="BK820" s="1053" t="n">
        <v>-3067</v>
      </c>
      <c r="BL820" s="1053" t="n">
        <v>-6874</v>
      </c>
      <c r="BM820" s="68">
        <f>BN820</f>
        <v/>
      </c>
      <c r="BN820" s="1111" t="n">
        <v>-9533</v>
      </c>
      <c r="BO820" s="1053" t="n">
        <v>-7740</v>
      </c>
      <c r="BP820" s="1053" t="n">
        <v>-14898</v>
      </c>
      <c r="BQ820" s="1053" t="n">
        <v>-25895</v>
      </c>
      <c r="BR820" s="68">
        <f>BS820</f>
        <v/>
      </c>
      <c r="BS820" s="1111" t="n">
        <v>-33706</v>
      </c>
      <c r="BT820" s="1053" t="n">
        <v>-14095</v>
      </c>
      <c r="BU820" s="1053" t="n">
        <v>-23815</v>
      </c>
      <c r="BV820" s="1054" t="n">
        <v>-36271</v>
      </c>
      <c r="BW820" s="68" t="n"/>
      <c r="BX820" s="1110" t="n"/>
      <c r="BY820" s="68" t="n"/>
      <c r="BZ820" s="68" t="n"/>
      <c r="CA820" s="68" t="n"/>
      <c r="CB820" s="68" t="n"/>
      <c r="CC820" s="1110" t="n"/>
      <c r="CD820" s="1110" t="n"/>
      <c r="CE820" s="1110" t="n"/>
      <c r="CF820" s="1110" t="n"/>
      <c r="CG820" s="155" t="n"/>
    </row>
    <row r="821" hidden="1" outlineLevel="1">
      <c r="A821" s="67" t="inlineStr">
        <is>
          <t>Repayment of Convertible Notes</t>
        </is>
      </c>
      <c r="B821" s="146" t="n"/>
      <c r="C821" s="1110" t="n"/>
      <c r="D821" s="1110" t="n"/>
      <c r="E821" s="1110" t="n"/>
      <c r="F821" s="1110" t="n"/>
      <c r="G821" s="68" t="n"/>
      <c r="H821" s="68" t="n"/>
      <c r="I821" s="68" t="n"/>
      <c r="J821" s="68" t="n"/>
      <c r="K821" s="1110" t="n"/>
      <c r="L821" s="68" t="n"/>
      <c r="M821" s="68" t="n"/>
      <c r="N821" s="68" t="n"/>
      <c r="O821" s="68" t="n"/>
      <c r="P821" s="1110" t="n"/>
      <c r="Q821" s="68" t="n"/>
      <c r="R821" s="68" t="n"/>
      <c r="S821" s="68" t="n"/>
      <c r="T821" s="68" t="n"/>
      <c r="U821" s="1110" t="n"/>
      <c r="V821" s="68" t="n"/>
      <c r="W821" s="68" t="n"/>
      <c r="X821" s="68" t="n"/>
      <c r="Y821" s="68" t="n"/>
      <c r="Z821" s="1110" t="n"/>
      <c r="AA821" s="68" t="n"/>
      <c r="AB821" s="68" t="n"/>
      <c r="AC821" s="1053" t="n">
        <v>-444</v>
      </c>
      <c r="AD821" s="68">
        <f>AE821</f>
        <v/>
      </c>
      <c r="AE821" s="1111" t="n">
        <v>-673</v>
      </c>
      <c r="AF821" s="1053" t="n">
        <v>-605</v>
      </c>
      <c r="AG821" s="1053" t="n">
        <v>-741</v>
      </c>
      <c r="AH821" s="1053" t="n">
        <v>-803</v>
      </c>
      <c r="AI821" s="68">
        <f>AJ821</f>
        <v/>
      </c>
      <c r="AJ821" s="1111" t="n">
        <v>-812</v>
      </c>
      <c r="AK821" s="1053" t="n">
        <v>-2</v>
      </c>
      <c r="AL821" s="1053" t="n">
        <v>-2</v>
      </c>
      <c r="AM821" s="1053" t="n">
        <v>-12</v>
      </c>
      <c r="AN821" s="68">
        <f>AO821</f>
        <v/>
      </c>
      <c r="AO821" s="1111" t="n">
        <v>-16</v>
      </c>
      <c r="AP821" s="68" t="n"/>
      <c r="AQ821" s="68" t="n"/>
      <c r="AR821" s="68" t="n"/>
      <c r="AS821" s="68">
        <f>AT821</f>
        <v/>
      </c>
      <c r="AT821" s="1110" t="n"/>
      <c r="AU821" s="68" t="n"/>
      <c r="AV821" s="68" t="n"/>
      <c r="AW821" s="68" t="n"/>
      <c r="AX821" s="68">
        <f>AY821</f>
        <v/>
      </c>
      <c r="AY821" s="1110" t="n"/>
      <c r="AZ821" s="68" t="n"/>
      <c r="BA821" s="68" t="n"/>
      <c r="BB821" s="68" t="n"/>
      <c r="BC821" s="68">
        <f>BD821</f>
        <v/>
      </c>
      <c r="BD821" s="1110" t="n"/>
      <c r="BE821" s="68" t="n"/>
      <c r="BF821" s="68" t="n"/>
      <c r="BG821" s="68" t="n"/>
      <c r="BH821" s="68">
        <f>BI821</f>
        <v/>
      </c>
      <c r="BI821" s="1110" t="n"/>
      <c r="BJ821" s="68" t="n"/>
      <c r="BK821" s="68" t="n"/>
      <c r="BL821" s="68" t="n"/>
      <c r="BM821" s="68">
        <f>BN821</f>
        <v/>
      </c>
      <c r="BN821" s="1110" t="n"/>
      <c r="BO821" s="68" t="n"/>
      <c r="BP821" s="68" t="n"/>
      <c r="BQ821" s="68" t="n"/>
      <c r="BR821" s="68">
        <f>BS821</f>
        <v/>
      </c>
      <c r="BS821" s="1110" t="n"/>
      <c r="BT821" s="68" t="n"/>
      <c r="BU821" s="68" t="n"/>
      <c r="BV821" s="588" t="n"/>
      <c r="BW821" s="68" t="n"/>
      <c r="BX821" s="1110" t="n"/>
      <c r="BY821" s="68" t="n"/>
      <c r="BZ821" s="68" t="n"/>
      <c r="CA821" s="68" t="n"/>
      <c r="CB821" s="68" t="n"/>
      <c r="CC821" s="1110" t="n"/>
      <c r="CD821" s="1110" t="n"/>
      <c r="CE821" s="1110" t="n"/>
      <c r="CF821" s="1110" t="n"/>
      <c r="CG821" s="155" t="n"/>
    </row>
    <row r="822" hidden="1" outlineLevel="1">
      <c r="A822" s="67" t="inlineStr">
        <is>
          <t>Dividends paid</t>
        </is>
      </c>
      <c r="B822" s="146" t="n"/>
      <c r="C822" s="1110" t="n"/>
      <c r="D822" s="1110" t="n"/>
      <c r="E822" s="1110" t="n"/>
      <c r="F822" s="1110" t="n"/>
      <c r="G822" s="1053" t="n">
        <v>0</v>
      </c>
      <c r="H822" s="1053" t="n">
        <v>0</v>
      </c>
      <c r="I822" s="1053" t="n">
        <v>0</v>
      </c>
      <c r="J822" s="27">
        <f>K822</f>
        <v/>
      </c>
      <c r="K822" s="1111" t="n">
        <v>-46.866</v>
      </c>
      <c r="L822" s="1053" t="n">
        <v>-46.267</v>
      </c>
      <c r="M822" s="1053" t="n">
        <v>-89.61</v>
      </c>
      <c r="N822" s="1053" t="n">
        <v>-133.007</v>
      </c>
      <c r="O822" s="27">
        <f>P822</f>
        <v/>
      </c>
      <c r="P822" s="1111" t="n">
        <v>-181.336</v>
      </c>
      <c r="Q822" s="1053" t="n">
        <v>-47</v>
      </c>
      <c r="R822" s="1053" t="n">
        <v>-94</v>
      </c>
      <c r="S822" s="1053" t="n">
        <v>-140</v>
      </c>
      <c r="T822" s="27">
        <f>U822</f>
        <v/>
      </c>
      <c r="U822" s="1111" t="n">
        <v>-186</v>
      </c>
      <c r="V822" s="1053" t="n">
        <v>-46</v>
      </c>
      <c r="W822" s="1053" t="n">
        <v>-99</v>
      </c>
      <c r="X822" s="1053" t="n">
        <v>-152</v>
      </c>
      <c r="Y822" s="27">
        <f>Z822</f>
        <v/>
      </c>
      <c r="Z822" s="1111" t="n">
        <v>-213</v>
      </c>
      <c r="AA822" s="1053" t="n">
        <v>-62</v>
      </c>
      <c r="AB822" s="1053" t="n">
        <v>-124</v>
      </c>
      <c r="AC822" s="1053" t="n">
        <v>-185</v>
      </c>
      <c r="AD822" s="68">
        <f>AE822</f>
        <v/>
      </c>
      <c r="AE822" s="1111" t="n">
        <v>-261</v>
      </c>
      <c r="AF822" s="1053" t="n">
        <v>-82</v>
      </c>
      <c r="AG822" s="1053" t="n">
        <v>-166</v>
      </c>
      <c r="AH822" s="1053" t="n">
        <v>-250</v>
      </c>
      <c r="AI822" s="68">
        <f>AJ822</f>
        <v/>
      </c>
      <c r="AJ822" s="1111" t="n">
        <v>-341</v>
      </c>
      <c r="AK822" s="1053" t="n">
        <v>-91</v>
      </c>
      <c r="AL822" s="1053" t="n">
        <v>-182</v>
      </c>
      <c r="AM822" s="1053" t="n">
        <v>-273</v>
      </c>
      <c r="AN822" s="68">
        <f>AO822</f>
        <v/>
      </c>
      <c r="AO822" s="1111" t="n">
        <v>-371</v>
      </c>
      <c r="AP822" s="1053" t="n">
        <v>-97</v>
      </c>
      <c r="AQ822" s="1053" t="n">
        <v>-195</v>
      </c>
      <c r="AR822" s="1053" t="n">
        <v>-292</v>
      </c>
      <c r="AS822" s="68">
        <f>AT822</f>
        <v/>
      </c>
      <c r="AT822" s="1111" t="n">
        <v>-390</v>
      </c>
      <c r="AU822" s="1053" t="n">
        <v>-98</v>
      </c>
      <c r="AV822" s="1053" t="n">
        <v>-197</v>
      </c>
      <c r="AW822" s="1053" t="n">
        <v>-296</v>
      </c>
      <c r="AX822" s="68">
        <f>AY822</f>
        <v/>
      </c>
      <c r="AY822" s="1111" t="n">
        <v>-395</v>
      </c>
      <c r="AZ822" s="1053" t="n">
        <v>-99</v>
      </c>
      <c r="BA822" s="1053" t="n">
        <v>-198</v>
      </c>
      <c r="BB822" s="1053" t="n">
        <v>-298</v>
      </c>
      <c r="BC822" s="68">
        <f>BD822</f>
        <v/>
      </c>
      <c r="BD822" s="1111" t="n">
        <v>-399</v>
      </c>
      <c r="BE822" s="1053" t="n">
        <v>-100</v>
      </c>
      <c r="BF822" s="1053" t="n">
        <v>-200</v>
      </c>
      <c r="BG822" s="1053" t="n">
        <v>-300</v>
      </c>
      <c r="BH822" s="68">
        <f>BI822</f>
        <v/>
      </c>
      <c r="BI822" s="1111" t="n">
        <v>-398</v>
      </c>
      <c r="BJ822" s="1053" t="n">
        <v>-99</v>
      </c>
      <c r="BK822" s="1053" t="n">
        <v>-199</v>
      </c>
      <c r="BL822" s="1053" t="n">
        <v>-296</v>
      </c>
      <c r="BM822" s="68">
        <f>BN822</f>
        <v/>
      </c>
      <c r="BN822" s="1111" t="n">
        <v>-395</v>
      </c>
      <c r="BO822" s="1053" t="n">
        <v>-98</v>
      </c>
      <c r="BP822" s="1053" t="n">
        <v>-344</v>
      </c>
      <c r="BQ822" s="1053" t="n">
        <v>-589</v>
      </c>
      <c r="BR822" s="68">
        <f>BS822</f>
        <v/>
      </c>
      <c r="BS822" s="1111" t="n">
        <v>-834</v>
      </c>
      <c r="BT822" s="1053" t="n">
        <v>-244</v>
      </c>
      <c r="BU822" s="1053" t="n">
        <v>-488</v>
      </c>
      <c r="BV822" s="1054" t="n">
        <v>-732</v>
      </c>
      <c r="BW822" s="68" t="n"/>
      <c r="BX822" s="1110" t="n"/>
      <c r="BY822" s="68" t="n"/>
      <c r="BZ822" s="68" t="n"/>
      <c r="CA822" s="68" t="n"/>
      <c r="CB822" s="68" t="n"/>
      <c r="CC822" s="1110" t="n"/>
      <c r="CD822" s="1110" t="n"/>
      <c r="CE822" s="1110" t="n"/>
      <c r="CF822" s="1110" t="n"/>
      <c r="CG822" s="155" t="n"/>
    </row>
    <row r="823" hidden="1" outlineLevel="1">
      <c r="A823" s="67" t="inlineStr">
        <is>
          <t>Payments related to tax on restricted stock units</t>
        </is>
      </c>
      <c r="B823" s="146" t="n"/>
      <c r="C823" s="1110" t="n"/>
      <c r="D823" s="1110" t="n"/>
      <c r="E823" s="1110" t="n"/>
      <c r="F823" s="1110" t="n"/>
      <c r="G823" s="68" t="n"/>
      <c r="H823" s="68" t="n"/>
      <c r="I823" s="68" t="n"/>
      <c r="J823" s="68">
        <f>K823</f>
        <v/>
      </c>
      <c r="K823" s="1110" t="n"/>
      <c r="L823" s="68" t="n"/>
      <c r="M823" s="68" t="n"/>
      <c r="N823" s="68" t="n"/>
      <c r="O823" s="68">
        <f>P823</f>
        <v/>
      </c>
      <c r="P823" s="1110" t="n"/>
      <c r="Q823" s="68" t="n"/>
      <c r="R823" s="68" t="n"/>
      <c r="S823" s="68" t="n"/>
      <c r="T823" s="68">
        <f>U823</f>
        <v/>
      </c>
      <c r="U823" s="1110" t="n"/>
      <c r="V823" s="68" t="n"/>
      <c r="W823" s="68" t="n"/>
      <c r="X823" s="68" t="n"/>
      <c r="Y823" s="68">
        <f>Z823</f>
        <v/>
      </c>
      <c r="Z823" s="1110" t="n"/>
      <c r="AA823" s="1053" t="n">
        <v>-51</v>
      </c>
      <c r="AB823" s="1053" t="n">
        <v>-51</v>
      </c>
      <c r="AC823" s="1053" t="n">
        <v>-177</v>
      </c>
      <c r="AD823" s="68">
        <f>AE823</f>
        <v/>
      </c>
      <c r="AE823" s="1111" t="n">
        <v>-176</v>
      </c>
      <c r="AF823" s="1053" t="n">
        <v>-190</v>
      </c>
      <c r="AG823" s="1053" t="n">
        <v>-190</v>
      </c>
      <c r="AH823" s="1053" t="n">
        <v>-577</v>
      </c>
      <c r="AI823" s="68">
        <f>AJ823</f>
        <v/>
      </c>
      <c r="AJ823" s="1111" t="n">
        <v>-612</v>
      </c>
      <c r="AK823" s="1053" t="n">
        <v>-449</v>
      </c>
      <c r="AL823" s="1053" t="n">
        <v>-515</v>
      </c>
      <c r="AM823" s="1053" t="n">
        <v>-982</v>
      </c>
      <c r="AN823" s="68">
        <f>AO823</f>
        <v/>
      </c>
      <c r="AO823" s="1111" t="n">
        <v>-1032</v>
      </c>
      <c r="AP823" s="1053" t="n">
        <v>-211</v>
      </c>
      <c r="AQ823" s="1053" t="n">
        <v>-261</v>
      </c>
      <c r="AR823" s="1053" t="n">
        <v>-463</v>
      </c>
      <c r="AS823" s="68">
        <f>AT823</f>
        <v/>
      </c>
      <c r="AT823" s="1111" t="n">
        <v>-551</v>
      </c>
      <c r="AU823" s="1053" t="n">
        <v>-222</v>
      </c>
      <c r="AV823" s="1053" t="n">
        <v>-418</v>
      </c>
      <c r="AW823" s="1053" t="n">
        <v>-716</v>
      </c>
      <c r="AX823" s="68">
        <f>AY823</f>
        <v/>
      </c>
      <c r="AY823" s="1111" t="n">
        <v>-942</v>
      </c>
      <c r="AZ823" s="1053" t="n">
        <v>-477</v>
      </c>
      <c r="BA823" s="1053" t="n">
        <v>-843</v>
      </c>
      <c r="BB823" s="1053" t="n">
        <v>-1282</v>
      </c>
      <c r="BC823" s="68">
        <f>BD823</f>
        <v/>
      </c>
      <c r="BD823" s="1111" t="n">
        <v>-1904</v>
      </c>
      <c r="BE823" s="1053" t="n">
        <v>-532</v>
      </c>
      <c r="BF823" s="1053" t="n">
        <v>-837</v>
      </c>
      <c r="BG823" s="1053" t="n">
        <v>-1131</v>
      </c>
      <c r="BH823" s="68">
        <f>BI823</f>
        <v/>
      </c>
      <c r="BI823" s="1111" t="n">
        <v>-1475</v>
      </c>
      <c r="BJ823" s="1053" t="n">
        <v>-507</v>
      </c>
      <c r="BK823" s="1053" t="n">
        <v>-1179</v>
      </c>
      <c r="BL823" s="1053" t="n">
        <v>-1942</v>
      </c>
      <c r="BM823" s="68">
        <f>BN823</f>
        <v/>
      </c>
      <c r="BN823" s="1111" t="n">
        <v>-2783</v>
      </c>
      <c r="BO823" s="1053" t="n">
        <v>-1752</v>
      </c>
      <c r="BP823" s="1053" t="n">
        <v>-3389</v>
      </c>
      <c r="BQ823" s="1053" t="n">
        <v>-5068</v>
      </c>
      <c r="BR823" s="68">
        <f>BS823</f>
        <v/>
      </c>
      <c r="BS823" s="1111" t="n">
        <v>-6930</v>
      </c>
      <c r="BT823" s="1053" t="n">
        <v>-1532</v>
      </c>
      <c r="BU823" s="1053" t="n">
        <v>-3380</v>
      </c>
      <c r="BV823" s="1054" t="n">
        <v>-5809</v>
      </c>
      <c r="BW823" s="68" t="n"/>
      <c r="BX823" s="1110" t="n"/>
      <c r="BY823" s="68" t="n"/>
      <c r="BZ823" s="68" t="n"/>
      <c r="CA823" s="68" t="n"/>
      <c r="CB823" s="68" t="n"/>
      <c r="CC823" s="1110" t="n"/>
      <c r="CD823" s="1110" t="n"/>
      <c r="CE823" s="1110" t="n"/>
      <c r="CF823" s="1110" t="n"/>
      <c r="CG823" s="155" t="n"/>
    </row>
    <row r="824" hidden="1" outlineLevel="1">
      <c r="A824" s="67" t="inlineStr">
        <is>
          <t>Tax benefit from stock-based compensation</t>
        </is>
      </c>
      <c r="B824" s="146" t="n"/>
      <c r="C824" s="1110" t="n"/>
      <c r="D824" s="1110" t="n"/>
      <c r="E824" s="1111" t="n">
        <v>15.316</v>
      </c>
      <c r="F824" s="1111" t="n">
        <v>52.793</v>
      </c>
      <c r="G824" s="1053" t="n">
        <v>8.675000000000001</v>
      </c>
      <c r="H824" s="1053" t="n">
        <v>18.154</v>
      </c>
      <c r="I824" s="1053" t="n">
        <v>25.646</v>
      </c>
      <c r="J824" s="27">
        <f>K824</f>
        <v/>
      </c>
      <c r="K824" s="1111" t="n">
        <v>68.70999999999999</v>
      </c>
      <c r="L824" s="1053" t="n">
        <v>10.12</v>
      </c>
      <c r="M824" s="1053" t="n">
        <v>17.36</v>
      </c>
      <c r="N824" s="1053" t="n">
        <v>23.743</v>
      </c>
      <c r="O824" s="27">
        <f>P824</f>
        <v/>
      </c>
      <c r="P824" s="1111" t="n">
        <v>25.801</v>
      </c>
      <c r="Q824" s="1053" t="n">
        <v>4</v>
      </c>
      <c r="R824" s="1053" t="n">
        <v>7</v>
      </c>
      <c r="S824" s="1053" t="n">
        <v>12</v>
      </c>
      <c r="T824" s="27">
        <f>U824</f>
        <v/>
      </c>
      <c r="U824" s="1111" t="n">
        <v>18</v>
      </c>
      <c r="V824" s="1053" t="n">
        <v>6</v>
      </c>
      <c r="W824" s="1053" t="n">
        <v>6</v>
      </c>
      <c r="X824" s="1053" t="n">
        <v>5</v>
      </c>
      <c r="Y824" s="27">
        <f>Z824</f>
        <v/>
      </c>
      <c r="Z824" s="1111" t="n">
        <v>10</v>
      </c>
      <c r="AA824" s="68" t="n"/>
      <c r="AB824" s="68" t="n"/>
      <c r="AC824" s="68" t="n"/>
      <c r="AD824" s="68">
        <f>AE824</f>
        <v/>
      </c>
      <c r="AE824" s="1110" t="n"/>
      <c r="AF824" s="68" t="n"/>
      <c r="AG824" s="68" t="n"/>
      <c r="AH824" s="68" t="n"/>
      <c r="AI824" s="68">
        <f>AJ824</f>
        <v/>
      </c>
      <c r="AJ824" s="1110" t="n"/>
      <c r="AK824" s="68" t="n"/>
      <c r="AL824" s="68" t="n"/>
      <c r="AM824" s="68" t="n"/>
      <c r="AN824" s="68" t="n"/>
      <c r="AO824" s="1110" t="n"/>
      <c r="AP824" s="68" t="n"/>
      <c r="AQ824" s="68" t="n"/>
      <c r="AR824" s="68" t="n"/>
      <c r="AS824" s="68">
        <f>AT824</f>
        <v/>
      </c>
      <c r="AT824" s="1110" t="n"/>
      <c r="AU824" s="68" t="n"/>
      <c r="AV824" s="68" t="n"/>
      <c r="AW824" s="68" t="n"/>
      <c r="AX824" s="68">
        <f>AY824</f>
        <v/>
      </c>
      <c r="AY824" s="1110" t="n"/>
      <c r="AZ824" s="68" t="n"/>
      <c r="BA824" s="68" t="n"/>
      <c r="BB824" s="68" t="n"/>
      <c r="BC824" s="68">
        <f>BD824</f>
        <v/>
      </c>
      <c r="BD824" s="1110" t="n"/>
      <c r="BE824" s="68" t="n"/>
      <c r="BF824" s="68" t="n"/>
      <c r="BG824" s="68" t="n"/>
      <c r="BH824" s="68">
        <f>BI824</f>
        <v/>
      </c>
      <c r="BI824" s="1110" t="n"/>
      <c r="BJ824" s="68" t="n"/>
      <c r="BK824" s="68" t="n"/>
      <c r="BL824" s="68" t="n"/>
      <c r="BM824" s="68">
        <f>BN824</f>
        <v/>
      </c>
      <c r="BN824" s="1110" t="n"/>
      <c r="BO824" s="68" t="n"/>
      <c r="BP824" s="68" t="n"/>
      <c r="BQ824" s="68" t="n"/>
      <c r="BR824" s="68">
        <f>BS824</f>
        <v/>
      </c>
      <c r="BS824" s="1110" t="n"/>
      <c r="BT824" s="68" t="n"/>
      <c r="BU824" s="68" t="n"/>
      <c r="BV824" s="588" t="n"/>
      <c r="BW824" s="68" t="n"/>
      <c r="BX824" s="1110" t="n"/>
      <c r="BY824" s="68" t="n"/>
      <c r="BZ824" s="68" t="n"/>
      <c r="CA824" s="68" t="n"/>
      <c r="CB824" s="68" t="n"/>
      <c r="CC824" s="1110" t="n"/>
      <c r="CD824" s="1110" t="n"/>
      <c r="CE824" s="1110" t="n"/>
      <c r="CF824" s="1110" t="n"/>
      <c r="CG824" s="155" t="n"/>
    </row>
    <row r="825" hidden="1" outlineLevel="1">
      <c r="A825" s="67" t="inlineStr">
        <is>
          <t>Payment of notes payable from acquisition</t>
        </is>
      </c>
      <c r="B825" s="146" t="n"/>
      <c r="C825" s="1110" t="n"/>
      <c r="D825" s="1110" t="n"/>
      <c r="E825" s="1111" t="n">
        <v>0</v>
      </c>
      <c r="F825" s="1111" t="n">
        <v>-10.319</v>
      </c>
      <c r="G825" s="68" t="n"/>
      <c r="H825" s="68" t="n"/>
      <c r="I825" s="68" t="n"/>
      <c r="J825" s="27">
        <f>K825</f>
        <v/>
      </c>
      <c r="K825" s="1111" t="n">
        <v>0</v>
      </c>
      <c r="L825" s="68" t="n"/>
      <c r="M825" s="68" t="n"/>
      <c r="N825" s="68" t="n"/>
      <c r="O825" s="68" t="n"/>
      <c r="P825" s="1110" t="n"/>
      <c r="Q825" s="68" t="n"/>
      <c r="R825" s="68" t="n"/>
      <c r="S825" s="68" t="n"/>
      <c r="T825" s="68" t="n"/>
      <c r="U825" s="1110" t="n"/>
      <c r="V825" s="68" t="n"/>
      <c r="W825" s="68" t="n"/>
      <c r="X825" s="68" t="n"/>
      <c r="Y825" s="68" t="n"/>
      <c r="Z825" s="1110" t="n"/>
      <c r="AA825" s="68" t="n"/>
      <c r="AB825" s="68" t="n"/>
      <c r="AC825" s="68" t="n"/>
      <c r="AD825" s="27">
        <f>AE825</f>
        <v/>
      </c>
      <c r="AE825" s="1110" t="n"/>
      <c r="AF825" s="68" t="n"/>
      <c r="AG825" s="68" t="n"/>
      <c r="AH825" s="68" t="n"/>
      <c r="AI825" s="27">
        <f>AJ825</f>
        <v/>
      </c>
      <c r="AJ825" s="1110" t="n"/>
      <c r="AK825" s="68" t="n"/>
      <c r="AL825" s="68" t="n"/>
      <c r="AM825" s="68" t="n"/>
      <c r="AN825" s="27">
        <f>AO825</f>
        <v/>
      </c>
      <c r="AO825" s="1110" t="n"/>
      <c r="AP825" s="68" t="n"/>
      <c r="AQ825" s="68" t="n"/>
      <c r="AR825" s="68" t="n"/>
      <c r="AS825" s="27">
        <f>AT825</f>
        <v/>
      </c>
      <c r="AT825" s="1110" t="n"/>
      <c r="AU825" s="68" t="n"/>
      <c r="AV825" s="68" t="n"/>
      <c r="AW825" s="68" t="n"/>
      <c r="AX825" s="27">
        <f>AY825</f>
        <v/>
      </c>
      <c r="AY825" s="1110" t="n"/>
      <c r="AZ825" s="68" t="n"/>
      <c r="BA825" s="68" t="n"/>
      <c r="BB825" s="68" t="n"/>
      <c r="BC825" s="27">
        <f>BD825</f>
        <v/>
      </c>
      <c r="BD825" s="1110" t="n"/>
      <c r="BE825" s="68" t="n"/>
      <c r="BF825" s="68" t="n"/>
      <c r="BG825" s="68" t="n"/>
      <c r="BH825" s="27">
        <f>BI825</f>
        <v/>
      </c>
      <c r="BI825" s="1110" t="n"/>
      <c r="BJ825" s="68" t="n"/>
      <c r="BK825" s="68" t="n"/>
      <c r="BL825" s="68" t="n"/>
      <c r="BM825" s="27">
        <f>BN825</f>
        <v/>
      </c>
      <c r="BN825" s="1110" t="n"/>
      <c r="BO825" s="68" t="n"/>
      <c r="BP825" s="68" t="n"/>
      <c r="BQ825" s="68" t="n"/>
      <c r="BR825" s="27">
        <f>BS825</f>
        <v/>
      </c>
      <c r="BS825" s="1110" t="n"/>
      <c r="BT825" s="68" t="n"/>
      <c r="BU825" s="68" t="n"/>
      <c r="BV825" s="588" t="n"/>
      <c r="BW825" s="68" t="n"/>
      <c r="BX825" s="1110" t="n"/>
      <c r="BY825" s="68" t="n"/>
      <c r="BZ825" s="68" t="n"/>
      <c r="CA825" s="68" t="n"/>
      <c r="CB825" s="68" t="n"/>
      <c r="CC825" s="1110" t="n"/>
      <c r="CD825" s="1110" t="n"/>
      <c r="CE825" s="1110" t="n"/>
      <c r="CF825" s="1110" t="n"/>
      <c r="CG825" s="155" t="n"/>
    </row>
    <row r="826" hidden="1" outlineLevel="1">
      <c r="A826" s="67" t="inlineStr">
        <is>
          <t>Payments under capital lease obligations</t>
        </is>
      </c>
      <c r="B826" s="146" t="n"/>
      <c r="C826" s="1110" t="n"/>
      <c r="D826" s="1110" t="n"/>
      <c r="E826" s="1111" t="n">
        <v>-0.571</v>
      </c>
      <c r="F826" s="1111" t="n">
        <v>-1.608</v>
      </c>
      <c r="G826" s="1053" t="n">
        <v>-0.515</v>
      </c>
      <c r="H826" s="1053" t="n">
        <v>-1.011</v>
      </c>
      <c r="I826" s="1053" t="n">
        <v>0</v>
      </c>
      <c r="J826" s="27">
        <f>K826</f>
        <v/>
      </c>
      <c r="K826" s="1111" t="n">
        <v>-2.049</v>
      </c>
      <c r="L826" s="1053" t="n">
        <v>-0.576</v>
      </c>
      <c r="M826" s="1053" t="n">
        <v>-1.169</v>
      </c>
      <c r="N826" s="1053" t="n">
        <v>-1.78</v>
      </c>
      <c r="O826" s="27">
        <f>P826</f>
        <v/>
      </c>
      <c r="P826" s="1111" t="n">
        <v>-2.239</v>
      </c>
      <c r="Q826" s="1053" t="n">
        <v>-1</v>
      </c>
      <c r="R826" s="1053" t="n">
        <v>-1</v>
      </c>
      <c r="S826" s="1053" t="n">
        <v>-2</v>
      </c>
      <c r="T826" s="27">
        <f>U826</f>
        <v/>
      </c>
      <c r="U826" s="1111" t="n">
        <v>-3</v>
      </c>
      <c r="V826" s="1053" t="n">
        <v>-1</v>
      </c>
      <c r="W826" s="1053" t="n">
        <v>-2</v>
      </c>
      <c r="X826" s="1053" t="n">
        <v>-3</v>
      </c>
      <c r="Y826" s="27">
        <f>Z826</f>
        <v/>
      </c>
      <c r="Z826" s="1111" t="n">
        <v>-3</v>
      </c>
      <c r="AA826" s="68" t="n"/>
      <c r="AB826" s="68" t="n"/>
      <c r="AC826" s="68" t="n"/>
      <c r="AD826" s="68">
        <f>AE826</f>
        <v/>
      </c>
      <c r="AE826" s="1110" t="n"/>
      <c r="AF826" s="68" t="n"/>
      <c r="AG826" s="68" t="n"/>
      <c r="AH826" s="68" t="n"/>
      <c r="AI826" s="68">
        <f>AJ826</f>
        <v/>
      </c>
      <c r="AJ826" s="1110" t="n"/>
      <c r="AK826" s="68" t="n"/>
      <c r="AL826" s="68" t="n"/>
      <c r="AM826" s="68" t="n"/>
      <c r="AN826" s="68">
        <f>AO826</f>
        <v/>
      </c>
      <c r="AO826" s="1110" t="n"/>
      <c r="AP826" s="68" t="n"/>
      <c r="AQ826" s="68" t="n"/>
      <c r="AR826" s="68" t="n"/>
      <c r="AS826" s="68">
        <f>AT826</f>
        <v/>
      </c>
      <c r="AT826" s="1110" t="n"/>
      <c r="AU826" s="68" t="n"/>
      <c r="AV826" s="68" t="n"/>
      <c r="AW826" s="68" t="n"/>
      <c r="AX826" s="68">
        <f>AY826</f>
        <v/>
      </c>
      <c r="AY826" s="1110" t="n"/>
      <c r="AZ826" s="68" t="n"/>
      <c r="BA826" s="68" t="n"/>
      <c r="BB826" s="68" t="n"/>
      <c r="BC826" s="68">
        <f>BD826</f>
        <v/>
      </c>
      <c r="BD826" s="1110" t="n"/>
      <c r="BE826" s="68" t="n"/>
      <c r="BF826" s="68" t="n"/>
      <c r="BG826" s="68" t="n"/>
      <c r="BH826" s="68">
        <f>BI826</f>
        <v/>
      </c>
      <c r="BI826" s="1110" t="n"/>
      <c r="BJ826" s="68" t="n"/>
      <c r="BK826" s="68" t="n"/>
      <c r="BL826" s="68" t="n"/>
      <c r="BM826" s="68">
        <f>BN826</f>
        <v/>
      </c>
      <c r="BN826" s="1110" t="n"/>
      <c r="BO826" s="68" t="n"/>
      <c r="BP826" s="68" t="n"/>
      <c r="BQ826" s="68" t="n"/>
      <c r="BR826" s="68">
        <f>BS826</f>
        <v/>
      </c>
      <c r="BS826" s="1110" t="n"/>
      <c r="BT826" s="68" t="n"/>
      <c r="BU826" s="68" t="n"/>
      <c r="BV826" s="588" t="n"/>
      <c r="BW826" s="68" t="n"/>
      <c r="BX826" s="1110" t="n"/>
      <c r="BY826" s="68" t="n"/>
      <c r="BZ826" s="68" t="n"/>
      <c r="CA826" s="68" t="n"/>
      <c r="CB826" s="68" t="n"/>
      <c r="CC826" s="1110" t="n"/>
      <c r="CD826" s="1110" t="n"/>
      <c r="CE826" s="1110" t="n"/>
      <c r="CF826" s="1110" t="n"/>
      <c r="CG826" s="155" t="n"/>
    </row>
    <row r="827" hidden="1" outlineLevel="1">
      <c r="A827" s="67" t="inlineStr">
        <is>
          <t>Payments for debt issuance costs</t>
        </is>
      </c>
      <c r="B827" s="146" t="n"/>
      <c r="C827" s="1110" t="n"/>
      <c r="D827" s="1110" t="n"/>
      <c r="E827" s="1110" t="n"/>
      <c r="F827" s="1110" t="n"/>
      <c r="G827" s="68" t="n"/>
      <c r="H827" s="68" t="n"/>
      <c r="I827" s="68" t="n"/>
      <c r="J827" s="68" t="n"/>
      <c r="K827" s="1110" t="n"/>
      <c r="L827" s="68" t="n"/>
      <c r="M827" s="68" t="n"/>
      <c r="N827" s="68" t="n"/>
      <c r="O827" s="68" t="n"/>
      <c r="P827" s="1110" t="n"/>
      <c r="Q827" s="68" t="n"/>
      <c r="R827" s="68" t="n"/>
      <c r="S827" s="68" t="n"/>
      <c r="T827" s="68" t="n"/>
      <c r="U827" s="1110" t="n"/>
      <c r="V827" s="68" t="n"/>
      <c r="W827" s="68" t="n"/>
      <c r="X827" s="68" t="n"/>
      <c r="Y827" s="68" t="n"/>
      <c r="Z827" s="1110" t="n"/>
      <c r="AA827" s="68" t="n"/>
      <c r="AB827" s="68" t="n"/>
      <c r="AC827" s="68" t="n"/>
      <c r="AD827" s="68">
        <f>AE827</f>
        <v/>
      </c>
      <c r="AE827" s="1111" t="n">
        <v>-8</v>
      </c>
      <c r="AF827" s="68" t="n"/>
      <c r="AG827" s="68" t="n"/>
      <c r="AH827" s="68" t="n"/>
      <c r="AI827" s="68">
        <f>AJ827</f>
        <v/>
      </c>
      <c r="AJ827" s="1110" t="n"/>
      <c r="AK827" s="68" t="n"/>
      <c r="AL827" s="68" t="n"/>
      <c r="AM827" s="68" t="n"/>
      <c r="AN827" s="68">
        <f>AO827</f>
        <v/>
      </c>
      <c r="AO827" s="1110" t="n"/>
      <c r="AP827" s="68" t="n"/>
      <c r="AQ827" s="68" t="n"/>
      <c r="AR827" s="68" t="n"/>
      <c r="AS827" s="68">
        <f>AT827</f>
        <v/>
      </c>
      <c r="AT827" s="1110" t="n"/>
      <c r="AU827" s="68" t="n"/>
      <c r="AV827" s="68" t="n"/>
      <c r="AW827" s="68" t="n"/>
      <c r="AX827" s="68">
        <f>AY827</f>
        <v/>
      </c>
      <c r="AY827" s="1110" t="n"/>
      <c r="AZ827" s="68" t="n"/>
      <c r="BA827" s="68" t="n"/>
      <c r="BB827" s="68" t="n"/>
      <c r="BC827" s="68">
        <f>BD827</f>
        <v/>
      </c>
      <c r="BD827" s="1110" t="n"/>
      <c r="BE827" s="68" t="n"/>
      <c r="BF827" s="68" t="n"/>
      <c r="BG827" s="68" t="n"/>
      <c r="BH827" s="68">
        <f>BI827</f>
        <v/>
      </c>
      <c r="BI827" s="1110" t="n"/>
      <c r="BJ827" s="68" t="n"/>
      <c r="BK827" s="68" t="n"/>
      <c r="BL827" s="68" t="n"/>
      <c r="BM827" s="68">
        <f>BN827</f>
        <v/>
      </c>
      <c r="BN827" s="1110" t="n"/>
      <c r="BO827" s="68" t="n"/>
      <c r="BP827" s="68" t="n"/>
      <c r="BQ827" s="68" t="n"/>
      <c r="BR827" s="68">
        <f>BS827</f>
        <v/>
      </c>
      <c r="BS827" s="1110" t="n"/>
      <c r="BT827" s="68" t="n"/>
      <c r="BU827" s="68" t="n"/>
      <c r="BV827" s="588" t="n"/>
      <c r="BW827" s="68" t="n"/>
      <c r="BX827" s="1110" t="n"/>
      <c r="BY827" s="68" t="n"/>
      <c r="BZ827" s="68" t="n"/>
      <c r="CA827" s="68" t="n"/>
      <c r="CB827" s="68" t="n"/>
      <c r="CC827" s="1110" t="n"/>
      <c r="CD827" s="1110" t="n"/>
      <c r="CE827" s="1110" t="n"/>
      <c r="CF827" s="1110" t="n"/>
      <c r="CG827" s="155" t="n"/>
    </row>
    <row r="828" hidden="1" outlineLevel="1">
      <c r="A828" s="67" t="inlineStr">
        <is>
          <t>Principal payments on property and equipment</t>
        </is>
      </c>
      <c r="B828" s="146" t="n"/>
      <c r="C828" s="1110" t="n"/>
      <c r="D828" s="1110" t="n"/>
      <c r="E828" s="1110" t="n"/>
      <c r="F828" s="1110" t="n"/>
      <c r="G828" s="68" t="n"/>
      <c r="H828" s="68" t="n"/>
      <c r="I828" s="68" t="n"/>
      <c r="J828" s="68" t="n"/>
      <c r="K828" s="1110" t="n"/>
      <c r="L828" s="68" t="n"/>
      <c r="M828" s="68" t="n"/>
      <c r="N828" s="68" t="n"/>
      <c r="O828" s="68" t="n"/>
      <c r="P828" s="1110" t="n"/>
      <c r="Q828" s="68" t="n"/>
      <c r="R828" s="68" t="n"/>
      <c r="S828" s="68" t="n"/>
      <c r="T828" s="68" t="n"/>
      <c r="U828" s="1110" t="n"/>
      <c r="V828" s="68" t="n"/>
      <c r="W828" s="68" t="n"/>
      <c r="X828" s="68" t="n"/>
      <c r="Y828" s="68" t="n"/>
      <c r="Z828" s="1110" t="n"/>
      <c r="AA828" s="68" t="n"/>
      <c r="AB828" s="68" t="n"/>
      <c r="AC828" s="68" t="n"/>
      <c r="AD828" s="68" t="n"/>
      <c r="AE828" s="1110" t="n"/>
      <c r="AF828" s="68" t="n"/>
      <c r="AG828" s="68" t="n"/>
      <c r="AH828" s="68" t="n"/>
      <c r="AI828" s="68" t="n"/>
      <c r="AJ828" s="1110" t="n"/>
      <c r="AK828" s="68" t="n"/>
      <c r="AL828" s="68" t="n"/>
      <c r="AM828" s="68" t="n"/>
      <c r="AN828" s="68" t="n"/>
      <c r="AO828" s="1110" t="n"/>
      <c r="AP828" s="68" t="n"/>
      <c r="AQ828" s="68" t="n"/>
      <c r="AR828" s="68" t="n"/>
      <c r="AS828" s="68" t="n"/>
      <c r="AT828" s="1110" t="n"/>
      <c r="AU828" s="68" t="n"/>
      <c r="AV828" s="68" t="n"/>
      <c r="AW828" s="68" t="n"/>
      <c r="AX828" s="68">
        <f>AY828</f>
        <v/>
      </c>
      <c r="AY828" s="1111" t="n">
        <v>-17</v>
      </c>
      <c r="AZ828" s="1053" t="n">
        <v>-19</v>
      </c>
      <c r="BA828" s="1053" t="n">
        <v>-40</v>
      </c>
      <c r="BB828" s="1053" t="n">
        <v>-62</v>
      </c>
      <c r="BC828" s="68">
        <f>BD828</f>
        <v/>
      </c>
      <c r="BD828" s="1111" t="n">
        <v>-83</v>
      </c>
      <c r="BE828" s="1053" t="n">
        <v>-22</v>
      </c>
      <c r="BF828" s="1053" t="n">
        <v>-36</v>
      </c>
      <c r="BG828" s="1053" t="n">
        <v>-54</v>
      </c>
      <c r="BH828" s="68">
        <f>BI828</f>
        <v/>
      </c>
      <c r="BI828" s="1111" t="n">
        <v>-58</v>
      </c>
      <c r="BJ828" s="1053" t="n">
        <v>-20</v>
      </c>
      <c r="BK828" s="1053" t="n">
        <v>-31</v>
      </c>
      <c r="BL828" s="1053" t="n">
        <v>-44</v>
      </c>
      <c r="BM828" s="68">
        <f>BN828</f>
        <v/>
      </c>
      <c r="BN828" s="1111" t="n">
        <v>-74</v>
      </c>
      <c r="BO828" s="1053" t="n">
        <v>-40</v>
      </c>
      <c r="BP828" s="1053" t="n">
        <v>-69</v>
      </c>
      <c r="BQ828" s="1053" t="n">
        <v>-97</v>
      </c>
      <c r="BR828" s="68">
        <f>BS828</f>
        <v/>
      </c>
      <c r="BS828" s="1111" t="n">
        <v>-129</v>
      </c>
      <c r="BT828" s="1053" t="n">
        <v>-52</v>
      </c>
      <c r="BU828" s="1053" t="n">
        <v>-73</v>
      </c>
      <c r="BV828" s="1054" t="n">
        <v>-97</v>
      </c>
      <c r="BW828" s="68" t="n"/>
      <c r="BX828" s="1110" t="n"/>
      <c r="BY828" s="68" t="n"/>
      <c r="BZ828" s="68" t="n"/>
      <c r="CA828" s="68" t="n"/>
      <c r="CB828" s="68" t="n"/>
      <c r="CC828" s="1110" t="n"/>
      <c r="CD828" s="1110" t="n"/>
      <c r="CE828" s="1110" t="n"/>
      <c r="CF828" s="1110" t="n"/>
      <c r="CG828" s="155" t="n"/>
    </row>
    <row r="829" hidden="1" outlineLevel="1">
      <c r="A829" s="67" t="inlineStr">
        <is>
          <t>Other</t>
        </is>
      </c>
      <c r="B829" s="146" t="n"/>
      <c r="C829" s="1111" t="n">
        <v>0.8149999999999999</v>
      </c>
      <c r="D829" s="1111" t="n">
        <v>1.105</v>
      </c>
      <c r="E829" s="1110" t="n"/>
      <c r="F829" s="1110" t="n"/>
      <c r="G829" s="1053" t="n">
        <v>0</v>
      </c>
      <c r="H829" s="1053" t="n">
        <v>0</v>
      </c>
      <c r="I829" s="1053" t="n">
        <v>-1.522</v>
      </c>
      <c r="J829" s="27">
        <f>K829</f>
        <v/>
      </c>
      <c r="K829" s="1111" t="n">
        <v>0</v>
      </c>
      <c r="L829" s="1053" t="n">
        <v>-2.5</v>
      </c>
      <c r="M829" s="1053" t="n">
        <v>-2.5</v>
      </c>
      <c r="N829" s="1053" t="n">
        <v>-2.5</v>
      </c>
      <c r="O829" s="27">
        <f>P829</f>
        <v/>
      </c>
      <c r="P829" s="1111" t="n">
        <v>-5</v>
      </c>
      <c r="Q829" s="68" t="n"/>
      <c r="R829" s="68" t="n"/>
      <c r="S829" s="68" t="n"/>
      <c r="T829" s="27">
        <f>U829</f>
        <v/>
      </c>
      <c r="U829" s="1111" t="n">
        <v>-3</v>
      </c>
      <c r="V829" s="68" t="n"/>
      <c r="W829" s="68" t="n"/>
      <c r="X829" s="68" t="n"/>
      <c r="Y829" s="27">
        <f>Z829</f>
        <v/>
      </c>
      <c r="Z829" s="1111" t="n">
        <v>-3</v>
      </c>
      <c r="AA829" s="1053" t="n">
        <v>-1</v>
      </c>
      <c r="AB829" s="1053" t="n">
        <v>-3</v>
      </c>
      <c r="AC829" s="1053" t="n">
        <v>-8</v>
      </c>
      <c r="AD829" s="68">
        <f>AE829</f>
        <v/>
      </c>
      <c r="AE829" s="1111" t="n">
        <v>-7</v>
      </c>
      <c r="AF829" s="1053" t="n">
        <v>-1</v>
      </c>
      <c r="AG829" s="1053" t="n">
        <v>-2</v>
      </c>
      <c r="AH829" s="1053" t="n">
        <v>-3</v>
      </c>
      <c r="AI829" s="68">
        <f>AJ829</f>
        <v/>
      </c>
      <c r="AJ829" s="1111" t="n">
        <v>-9</v>
      </c>
      <c r="AK829" s="68" t="n"/>
      <c r="AL829" s="1053" t="n">
        <v>-1</v>
      </c>
      <c r="AM829" s="1053" t="n">
        <v>-2</v>
      </c>
      <c r="AN829" s="68">
        <f>AO829</f>
        <v/>
      </c>
      <c r="AO829" s="1111" t="n">
        <v>-5</v>
      </c>
      <c r="AP829" s="68" t="n"/>
      <c r="AQ829" s="68" t="n"/>
      <c r="AR829" s="68" t="n"/>
      <c r="AS829" s="68">
        <f>AT829</f>
        <v/>
      </c>
      <c r="AT829" s="1111" t="n">
        <v>0</v>
      </c>
      <c r="AU829" s="1053" t="n">
        <v>-3</v>
      </c>
      <c r="AV829" s="1053" t="n">
        <v>-3</v>
      </c>
      <c r="AW829" s="1053" t="n">
        <v>-3</v>
      </c>
      <c r="AX829" s="68">
        <f>AY829</f>
        <v/>
      </c>
      <c r="AY829" s="1111" t="n">
        <v>-4</v>
      </c>
      <c r="AZ829" s="1053" t="n">
        <v>-2</v>
      </c>
      <c r="BA829" s="1053" t="n">
        <v>-2</v>
      </c>
      <c r="BB829" s="1053" t="n">
        <v>-2</v>
      </c>
      <c r="BC829" s="68">
        <f>BD829</f>
        <v/>
      </c>
      <c r="BD829" s="1111" t="n">
        <v>-7</v>
      </c>
      <c r="BE829" s="1053" t="n">
        <v>0</v>
      </c>
      <c r="BF829" s="1053" t="n">
        <v>1</v>
      </c>
      <c r="BG829" s="1053" t="n">
        <v>1</v>
      </c>
      <c r="BH829" s="68">
        <f>BI829</f>
        <v/>
      </c>
      <c r="BI829" s="1111" t="n">
        <v>-2</v>
      </c>
      <c r="BJ829" s="68" t="n"/>
      <c r="BK829" s="68" t="n"/>
      <c r="BL829" s="1053" t="n">
        <v>-1</v>
      </c>
      <c r="BM829" s="68">
        <f>BN829</f>
        <v/>
      </c>
      <c r="BN829" s="1111" t="n">
        <v>-1</v>
      </c>
      <c r="BO829" s="68" t="n"/>
      <c r="BP829" s="68" t="n"/>
      <c r="BQ829" s="1053" t="n">
        <v>0</v>
      </c>
      <c r="BR829" s="68">
        <f>BS829</f>
        <v/>
      </c>
      <c r="BS829" s="1110" t="n"/>
      <c r="BT829" s="68" t="n"/>
      <c r="BU829" s="68" t="n"/>
      <c r="BV829" s="588" t="n"/>
      <c r="BW829" s="68" t="n"/>
      <c r="BX829" s="1110" t="n"/>
      <c r="BY829" s="68" t="n"/>
      <c r="BZ829" s="68" t="n"/>
      <c r="CA829" s="68" t="n"/>
      <c r="CB829" s="68" t="n"/>
      <c r="CC829" s="1110" t="n"/>
      <c r="CD829" s="1110" t="n"/>
      <c r="CE829" s="1110" t="n"/>
      <c r="CF829" s="1110" t="n"/>
      <c r="CG829" s="155" t="n"/>
    </row>
    <row r="830" hidden="1" outlineLevel="1">
      <c r="A830" s="59" t="inlineStr">
        <is>
          <t>Net CFF</t>
        </is>
      </c>
      <c r="B830" s="607" t="n"/>
      <c r="C830" s="1123">
        <f>SUM(C813:C829)</f>
        <v/>
      </c>
      <c r="D830" s="1123">
        <f>SUM(D813:D829)</f>
        <v/>
      </c>
      <c r="E830" s="1123">
        <f>SUM(E813:E829)</f>
        <v/>
      </c>
      <c r="F830" s="1123">
        <f>SUM(F813:F829)</f>
        <v/>
      </c>
      <c r="G830" s="60">
        <f>SUM(G813:G829)</f>
        <v/>
      </c>
      <c r="H830" s="60">
        <f>SUM(H813:H829)</f>
        <v/>
      </c>
      <c r="I830" s="60">
        <f>SUM(I813:I829)</f>
        <v/>
      </c>
      <c r="J830" s="60">
        <f>SUM(J813:J829)</f>
        <v/>
      </c>
      <c r="K830" s="1123">
        <f>SUM(K813:K829)</f>
        <v/>
      </c>
      <c r="L830" s="60">
        <f>SUM(L813:L829)</f>
        <v/>
      </c>
      <c r="M830" s="60">
        <f>SUM(M813:M829)</f>
        <v/>
      </c>
      <c r="N830" s="60">
        <f>SUM(N813:N829)</f>
        <v/>
      </c>
      <c r="O830" s="60">
        <f>SUM(O813:O829)</f>
        <v/>
      </c>
      <c r="P830" s="1123">
        <f>SUM(P813:P829)</f>
        <v/>
      </c>
      <c r="Q830" s="60">
        <f>SUM(Q813:Q829)</f>
        <v/>
      </c>
      <c r="R830" s="60">
        <f>SUM(R813:R829)</f>
        <v/>
      </c>
      <c r="S830" s="60">
        <f>SUM(S813:S829)</f>
        <v/>
      </c>
      <c r="T830" s="60">
        <f>SUM(T813:T829)</f>
        <v/>
      </c>
      <c r="U830" s="1123">
        <f>SUM(U813:U829)</f>
        <v/>
      </c>
      <c r="V830" s="60">
        <f>SUM(V813:V829)</f>
        <v/>
      </c>
      <c r="W830" s="60">
        <f>SUM(W813:W829)</f>
        <v/>
      </c>
      <c r="X830" s="60">
        <f>SUM(X813:X829)</f>
        <v/>
      </c>
      <c r="Y830" s="60">
        <f>SUM(Y813:Y829)</f>
        <v/>
      </c>
      <c r="Z830" s="1123">
        <f>SUM(Z813:Z829)</f>
        <v/>
      </c>
      <c r="AA830" s="60">
        <f>SUM(AA813:AA829)</f>
        <v/>
      </c>
      <c r="AB830" s="60">
        <f>SUM(AB813:AB829)</f>
        <v/>
      </c>
      <c r="AC830" s="61">
        <f>SUM(AC813:AC829)</f>
        <v/>
      </c>
      <c r="AD830" s="61">
        <f>SUM(AD813:AD829)</f>
        <v/>
      </c>
      <c r="AE830" s="1122">
        <f>SUM(AE813:AE829)</f>
        <v/>
      </c>
      <c r="AF830" s="61">
        <f>SUM(AF813:AF829)</f>
        <v/>
      </c>
      <c r="AG830" s="60">
        <f>SUM(AG813:AG829)</f>
        <v/>
      </c>
      <c r="AH830" s="60">
        <f>SUM(AH813:AH829)</f>
        <v/>
      </c>
      <c r="AI830" s="61">
        <f>SUM(AI813:AI829)</f>
        <v/>
      </c>
      <c r="AJ830" s="1122">
        <f>SUM(AJ813:AJ829)</f>
        <v/>
      </c>
      <c r="AK830" s="60">
        <f>SUM(AK813:AK829)</f>
        <v/>
      </c>
      <c r="AL830" s="60">
        <f>SUM(AL813:AL829)</f>
        <v/>
      </c>
      <c r="AM830" s="60">
        <f>SUM(AM813:AM829)</f>
        <v/>
      </c>
      <c r="AN830" s="61">
        <f>SUM(AN813:AN829)</f>
        <v/>
      </c>
      <c r="AO830" s="1122">
        <f>SUM(AO813:AO829)</f>
        <v/>
      </c>
      <c r="AP830" s="60">
        <f>SUM(AP813:AP829)</f>
        <v/>
      </c>
      <c r="AQ830" s="61">
        <f>SUM(AQ813:AQ829)</f>
        <v/>
      </c>
      <c r="AR830" s="60">
        <f>SUM(AR813:AR829)</f>
        <v/>
      </c>
      <c r="AS830" s="61">
        <f>SUM(AS813:AS829)</f>
        <v/>
      </c>
      <c r="AT830" s="1122">
        <f>SUM(AT813:AT829)</f>
        <v/>
      </c>
      <c r="AU830" s="60">
        <f>SUM(AU813:AU829)</f>
        <v/>
      </c>
      <c r="AV830" s="61">
        <f>SUM(AV813:AV829)</f>
        <v/>
      </c>
      <c r="AW830" s="60">
        <f>SUM(AW813:AW829)</f>
        <v/>
      </c>
      <c r="AX830" s="61">
        <f>SUM(AX813:AX829)</f>
        <v/>
      </c>
      <c r="AY830" s="1122">
        <f>SUM(AY813:AY829)</f>
        <v/>
      </c>
      <c r="AZ830" s="60">
        <f>SUM(AZ813:AZ829)</f>
        <v/>
      </c>
      <c r="BA830" s="61">
        <f>SUM(BA813:BA829)</f>
        <v/>
      </c>
      <c r="BB830" s="60">
        <f>SUM(BB813:BB829)</f>
        <v/>
      </c>
      <c r="BC830" s="61">
        <f>SUM(BC813:BC829)</f>
        <v/>
      </c>
      <c r="BD830" s="1122">
        <f>SUM(BD813:BD829)</f>
        <v/>
      </c>
      <c r="BE830" s="60">
        <f>SUM(BE813:BE829)</f>
        <v/>
      </c>
      <c r="BF830" s="61">
        <f>SUM(BF813:BF829)</f>
        <v/>
      </c>
      <c r="BG830" s="60">
        <f>SUM(BG813:BG829)</f>
        <v/>
      </c>
      <c r="BH830" s="61">
        <f>SUM(BH813:BH829)</f>
        <v/>
      </c>
      <c r="BI830" s="1122">
        <f>SUM(BI813:BI829)</f>
        <v/>
      </c>
      <c r="BJ830" s="60">
        <f>SUM(BJ813:BJ829)</f>
        <v/>
      </c>
      <c r="BK830" s="61">
        <f>SUM(BK813:BK829)</f>
        <v/>
      </c>
      <c r="BL830" s="60">
        <f>SUM(BL813:BL829)</f>
        <v/>
      </c>
      <c r="BM830" s="61">
        <f>SUM(BM813:BM829)</f>
        <v/>
      </c>
      <c r="BN830" s="1122">
        <f>SUM(BN813:BN829)</f>
        <v/>
      </c>
      <c r="BO830" s="60">
        <f>SUM(BO813:BO829)</f>
        <v/>
      </c>
      <c r="BP830" s="61">
        <f>SUM(BP813:BP829)</f>
        <v/>
      </c>
      <c r="BQ830" s="60">
        <f>SUM(BQ813:BQ829)</f>
        <v/>
      </c>
      <c r="BR830" s="61">
        <f>SUM(BR813:BR829)</f>
        <v/>
      </c>
      <c r="BS830" s="1122">
        <f>SUM(BS813:BS829)</f>
        <v/>
      </c>
      <c r="BT830" s="60">
        <f>SUM(BT813:BT829)</f>
        <v/>
      </c>
      <c r="BU830" s="61">
        <f>SUM(BU813:BU829)</f>
        <v/>
      </c>
      <c r="BV830" s="883">
        <f>SUM(BV813:BV829)</f>
        <v/>
      </c>
      <c r="BW830" s="61" t="n"/>
      <c r="BX830" s="1122" t="n"/>
      <c r="BY830" s="61" t="n"/>
      <c r="BZ830" s="61" t="n"/>
      <c r="CA830" s="61" t="n"/>
      <c r="CB830" s="61" t="n"/>
      <c r="CC830" s="1122" t="n"/>
      <c r="CD830" s="1122" t="n"/>
      <c r="CE830" s="1122" t="n"/>
      <c r="CF830" s="1122" t="n"/>
      <c r="CG830" s="155" t="n"/>
    </row>
    <row r="831" hidden="1" outlineLevel="1">
      <c r="A831" s="600" t="n"/>
      <c r="B831" s="279" t="n"/>
      <c r="C831" s="1125" t="n"/>
      <c r="D831" s="1125" t="n"/>
      <c r="E831" s="1125" t="n"/>
      <c r="F831" s="1125" t="n"/>
      <c r="G831" s="63" t="n"/>
      <c r="H831" s="63" t="n"/>
      <c r="I831" s="63" t="n"/>
      <c r="J831" s="63" t="n"/>
      <c r="K831" s="1125" t="n"/>
      <c r="L831" s="63" t="n"/>
      <c r="M831" s="63" t="n"/>
      <c r="N831" s="63" t="n"/>
      <c r="O831" s="63" t="n"/>
      <c r="P831" s="1125" t="n"/>
      <c r="Q831" s="63" t="n"/>
      <c r="R831" s="63" t="n"/>
      <c r="S831" s="63" t="n"/>
      <c r="T831" s="63" t="n"/>
      <c r="U831" s="1125" t="n"/>
      <c r="V831" s="63" t="n"/>
      <c r="W831" s="63" t="n"/>
      <c r="X831" s="63" t="n"/>
      <c r="Y831" s="63" t="n"/>
      <c r="Z831" s="1125" t="n"/>
      <c r="AA831" s="63" t="n"/>
      <c r="AB831" s="63" t="n"/>
      <c r="AC831" s="63" t="n"/>
      <c r="AD831" s="63" t="n"/>
      <c r="AE831" s="1125" t="n"/>
      <c r="AF831" s="63" t="n"/>
      <c r="AG831" s="63" t="n"/>
      <c r="AH831" s="63" t="n"/>
      <c r="AI831" s="63" t="n"/>
      <c r="AJ831" s="1125" t="n"/>
      <c r="AK831" s="63" t="n"/>
      <c r="AL831" s="63" t="n"/>
      <c r="AM831" s="63" t="n"/>
      <c r="AN831" s="63" t="n"/>
      <c r="AO831" s="1125" t="n"/>
      <c r="AP831" s="63" t="n"/>
      <c r="AQ831" s="63" t="n"/>
      <c r="AR831" s="63" t="n"/>
      <c r="AS831" s="63" t="n"/>
      <c r="AT831" s="1125" t="n"/>
      <c r="AU831" s="63" t="n"/>
      <c r="AV831" s="63" t="n"/>
      <c r="AW831" s="63" t="n"/>
      <c r="AX831" s="63" t="n"/>
      <c r="AY831" s="1125" t="n"/>
      <c r="AZ831" s="63" t="n"/>
      <c r="BA831" s="63" t="n"/>
      <c r="BB831" s="63" t="n"/>
      <c r="BC831" s="63" t="n"/>
      <c r="BD831" s="1125" t="n"/>
      <c r="BE831" s="63" t="n"/>
      <c r="BF831" s="63" t="n"/>
      <c r="BG831" s="63" t="n"/>
      <c r="BH831" s="63" t="n"/>
      <c r="BI831" s="1125" t="n"/>
      <c r="BJ831" s="63" t="n"/>
      <c r="BK831" s="63" t="n"/>
      <c r="BL831" s="63" t="n"/>
      <c r="BM831" s="63" t="n"/>
      <c r="BN831" s="1125" t="n"/>
      <c r="BO831" s="63" t="n"/>
      <c r="BP831" s="63" t="n"/>
      <c r="BQ831" s="63" t="n"/>
      <c r="BR831" s="63" t="n"/>
      <c r="BS831" s="1125" t="n"/>
      <c r="BT831" s="63" t="n"/>
      <c r="BU831" s="63" t="n"/>
      <c r="BV831" s="587" t="n"/>
      <c r="BW831" s="63" t="n"/>
      <c r="BX831" s="1125" t="n"/>
      <c r="BY831" s="63" t="n"/>
      <c r="BZ831" s="63" t="n"/>
      <c r="CA831" s="63" t="n"/>
      <c r="CB831" s="63" t="n"/>
      <c r="CC831" s="1125" t="n"/>
      <c r="CD831" s="1125" t="n"/>
      <c r="CE831" s="1125" t="n"/>
      <c r="CF831" s="1125" t="n"/>
      <c r="CG831" s="155" t="n"/>
    </row>
    <row r="832" hidden="1" outlineLevel="1">
      <c r="A832" s="62" t="inlineStr">
        <is>
          <t>FX</t>
        </is>
      </c>
      <c r="B832" s="279" t="n"/>
      <c r="C832" s="1125" t="n"/>
      <c r="D832" s="1125" t="n"/>
      <c r="E832" s="1125" t="n"/>
      <c r="F832" s="1125" t="n"/>
      <c r="G832" s="63" t="n"/>
      <c r="H832" s="63" t="n"/>
      <c r="I832" s="63" t="n"/>
      <c r="J832" s="28">
        <f>K832</f>
        <v/>
      </c>
      <c r="K832" s="1125" t="n"/>
      <c r="L832" s="63" t="n"/>
      <c r="M832" s="63" t="n"/>
      <c r="N832" s="63" t="n"/>
      <c r="O832" s="28">
        <f>P832</f>
        <v/>
      </c>
      <c r="P832" s="1125" t="n"/>
      <c r="Q832" s="63" t="n"/>
      <c r="R832" s="63" t="n"/>
      <c r="S832" s="63" t="n"/>
      <c r="T832" s="28">
        <f>U832</f>
        <v/>
      </c>
      <c r="U832" s="1125" t="n"/>
      <c r="V832" s="63" t="n"/>
      <c r="W832" s="63" t="n"/>
      <c r="X832" s="63" t="n"/>
      <c r="Y832" s="28">
        <f>Z832</f>
        <v/>
      </c>
      <c r="Z832" s="1125" t="n"/>
      <c r="AA832" s="63" t="n"/>
      <c r="AB832" s="63" t="n"/>
      <c r="AC832" s="63" t="n"/>
      <c r="AD832" s="63">
        <f>AE832</f>
        <v/>
      </c>
      <c r="AE832" s="1125" t="n"/>
      <c r="AF832" s="63" t="n"/>
      <c r="AG832" s="63" t="n"/>
      <c r="AH832" s="63" t="n"/>
      <c r="AI832" s="63">
        <f>AJ832</f>
        <v/>
      </c>
      <c r="AJ832" s="1125" t="n"/>
      <c r="AK832" s="63" t="n"/>
      <c r="AL832" s="63" t="n"/>
      <c r="AM832" s="63" t="n"/>
      <c r="AN832" s="63">
        <f>AO832</f>
        <v/>
      </c>
      <c r="AO832" s="1125" t="n"/>
      <c r="AP832" s="63" t="n"/>
      <c r="AQ832" s="63" t="n"/>
      <c r="AR832" s="63" t="n"/>
      <c r="AS832" s="63">
        <f>AT832</f>
        <v/>
      </c>
      <c r="AT832" s="1125" t="n"/>
      <c r="AU832" s="63" t="n"/>
      <c r="AV832" s="63" t="n"/>
      <c r="AW832" s="63" t="n"/>
      <c r="AX832" s="63">
        <f>AY832</f>
        <v/>
      </c>
      <c r="AY832" s="1125" t="n"/>
      <c r="AZ832" s="63" t="n"/>
      <c r="BA832" s="63" t="n"/>
      <c r="BB832" s="63" t="n"/>
      <c r="BC832" s="63">
        <f>BD832</f>
        <v/>
      </c>
      <c r="BD832" s="1125" t="n"/>
      <c r="BE832" s="63" t="n"/>
      <c r="BF832" s="63" t="n"/>
      <c r="BG832" s="63" t="n"/>
      <c r="BH832" s="63">
        <f>BI832</f>
        <v/>
      </c>
      <c r="BI832" s="1125" t="n"/>
      <c r="BJ832" s="63" t="n"/>
      <c r="BK832" s="63" t="n"/>
      <c r="BL832" s="63" t="n"/>
      <c r="BM832" s="63">
        <f>BN832</f>
        <v/>
      </c>
      <c r="BN832" s="1125" t="n"/>
      <c r="BO832" s="63" t="n"/>
      <c r="BP832" s="63" t="n"/>
      <c r="BQ832" s="63" t="n"/>
      <c r="BR832" s="63">
        <f>BS832</f>
        <v/>
      </c>
      <c r="BS832" s="1125" t="n"/>
      <c r="BT832" s="63" t="n"/>
      <c r="BU832" s="63" t="n"/>
      <c r="BV832" s="587" t="n"/>
      <c r="BW832" s="63" t="n"/>
      <c r="BX832" s="1125" t="n"/>
      <c r="BY832" s="63" t="n"/>
      <c r="BZ832" s="63" t="n"/>
      <c r="CA832" s="63" t="n"/>
      <c r="CB832" s="63" t="n"/>
      <c r="CC832" s="1125" t="n"/>
      <c r="CD832" s="1125" t="n"/>
      <c r="CE832" s="1125" t="n"/>
      <c r="CF832" s="1125" t="n"/>
      <c r="CG832" s="155" t="n"/>
    </row>
    <row r="833" hidden="1" outlineLevel="1">
      <c r="A833" s="62" t="inlineStr">
        <is>
          <t>Net Change in Cash Balance</t>
        </is>
      </c>
      <c r="B833" s="279" t="n"/>
      <c r="C833" s="1132">
        <f>C830+C810+C797+C832</f>
        <v/>
      </c>
      <c r="D833" s="1132">
        <f>D830+D810+D797+D832</f>
        <v/>
      </c>
      <c r="E833" s="1132">
        <f>E830+E810+E797+E832</f>
        <v/>
      </c>
      <c r="F833" s="1132">
        <f>F830+F810+F797+F832</f>
        <v/>
      </c>
      <c r="G833" s="28">
        <f>G830+G810+G797+G832</f>
        <v/>
      </c>
      <c r="H833" s="28">
        <f>H830+H810+H797+H832</f>
        <v/>
      </c>
      <c r="I833" s="28">
        <f>I830+I810+I797+I832</f>
        <v/>
      </c>
      <c r="J833" s="28">
        <f>J830+J810+J797+J832</f>
        <v/>
      </c>
      <c r="K833" s="1132">
        <f>K830+K810+K797+K832</f>
        <v/>
      </c>
      <c r="L833" s="28">
        <f>L830+L810+L797+L832</f>
        <v/>
      </c>
      <c r="M833" s="28">
        <f>M830+M810+M797+M832</f>
        <v/>
      </c>
      <c r="N833" s="28">
        <f>N830+N810+N797+N832</f>
        <v/>
      </c>
      <c r="O833" s="28">
        <f>O830+O810+O797+O832</f>
        <v/>
      </c>
      <c r="P833" s="1132">
        <f>P830+P810+P797+P832</f>
        <v/>
      </c>
      <c r="Q833" s="28">
        <f>Q830+Q810+Q797+Q832</f>
        <v/>
      </c>
      <c r="R833" s="28">
        <f>R830+R810+R797+R832</f>
        <v/>
      </c>
      <c r="S833" s="28">
        <f>S830+S810+S797+S832</f>
        <v/>
      </c>
      <c r="T833" s="28">
        <f>T830+T810+T797+T832</f>
        <v/>
      </c>
      <c r="U833" s="1132">
        <f>U830+U810+U797+U832</f>
        <v/>
      </c>
      <c r="V833" s="28">
        <f>V830+V810+V797+V832</f>
        <v/>
      </c>
      <c r="W833" s="28">
        <f>W830+W810+W797+W832</f>
        <v/>
      </c>
      <c r="X833" s="28">
        <f>X830+X810+X797+X832</f>
        <v/>
      </c>
      <c r="Y833" s="28">
        <f>Y830+Y810+Y797+Y832</f>
        <v/>
      </c>
      <c r="Z833" s="1132">
        <f>Z830+Z810+Z797+Z832</f>
        <v/>
      </c>
      <c r="AA833" s="28">
        <f>AA830+AA810+AA797+AA832</f>
        <v/>
      </c>
      <c r="AB833" s="28">
        <f>AB830+AB810+AB797+AB832</f>
        <v/>
      </c>
      <c r="AC833" s="63">
        <f>AC830+AC810+AC797+AC832</f>
        <v/>
      </c>
      <c r="AD833" s="63">
        <f>AD830+AD810+AD797+AD832</f>
        <v/>
      </c>
      <c r="AE833" s="1125">
        <f>AE830+AE810+AE797+AE832</f>
        <v/>
      </c>
      <c r="AF833" s="63">
        <f>AF830+AF810+AF797+AF832</f>
        <v/>
      </c>
      <c r="AG833" s="28">
        <f>AG830+AG810+AG797+AG832</f>
        <v/>
      </c>
      <c r="AH833" s="28">
        <f>AH830+AH810+AH797+AH832</f>
        <v/>
      </c>
      <c r="AI833" s="28">
        <f>AI830+AI810+AI797+AI832</f>
        <v/>
      </c>
      <c r="AJ833" s="1132">
        <f>AJ830+AJ810+AJ797+AJ832</f>
        <v/>
      </c>
      <c r="AK833" s="28">
        <f>AK830+AK810+AK797+AK832</f>
        <v/>
      </c>
      <c r="AL833" s="28">
        <f>AL830+AL810+AL797+AL832</f>
        <v/>
      </c>
      <c r="AM833" s="28">
        <f>AM830+AM810+AM797+AM832</f>
        <v/>
      </c>
      <c r="AN833" s="63">
        <f>AN830+AN810+AN797+AN832</f>
        <v/>
      </c>
      <c r="AO833" s="1125">
        <f>AO830+AO810+AO797+AO832</f>
        <v/>
      </c>
      <c r="AP833" s="28">
        <f>AP830+AP810+AP797+AP832</f>
        <v/>
      </c>
      <c r="AQ833" s="63">
        <f>AQ830+AQ810+AQ797+AQ832</f>
        <v/>
      </c>
      <c r="AR833" s="28">
        <f>AR830+AR810+AR797+AR832</f>
        <v/>
      </c>
      <c r="AS833" s="63">
        <f>AS830+AS810+AS797+AS832</f>
        <v/>
      </c>
      <c r="AT833" s="1125">
        <f>AT830+AT810+AT797+AT832</f>
        <v/>
      </c>
      <c r="AU833" s="28">
        <f>AU830+AU810+AU797+AU832</f>
        <v/>
      </c>
      <c r="AV833" s="63">
        <f>AV830+AV810+AV797+AV832</f>
        <v/>
      </c>
      <c r="AW833" s="28">
        <f>AW830+AW810+AW797+AW832</f>
        <v/>
      </c>
      <c r="AX833" s="63">
        <f>AX830+AX810+AX797+AX832</f>
        <v/>
      </c>
      <c r="AY833" s="1125">
        <f>AY830+AY810+AY797+AY832</f>
        <v/>
      </c>
      <c r="AZ833" s="28">
        <f>AZ830+AZ810+AZ797+AZ832</f>
        <v/>
      </c>
      <c r="BA833" s="63">
        <f>BA830+BA810+BA797+BA832</f>
        <v/>
      </c>
      <c r="BB833" s="28">
        <f>BB830+BB810+BB797+BB832</f>
        <v/>
      </c>
      <c r="BC833" s="63">
        <f>BC830+BC810+BC797+BC832</f>
        <v/>
      </c>
      <c r="BD833" s="1125">
        <f>BD830+BD810+BD797+BD832</f>
        <v/>
      </c>
      <c r="BE833" s="28">
        <f>BE830+BE810+BE797+BE832</f>
        <v/>
      </c>
      <c r="BF833" s="63">
        <f>BF830+BF810+BF797+BF832</f>
        <v/>
      </c>
      <c r="BG833" s="28">
        <f>BG830+BG810+BG797+BG832</f>
        <v/>
      </c>
      <c r="BH833" s="63">
        <f>BH830+BH810+BH797+BH832</f>
        <v/>
      </c>
      <c r="BI833" s="1125">
        <f>BI830+BI810+BI797+BI832</f>
        <v/>
      </c>
      <c r="BJ833" s="28">
        <f>BJ830+BJ810+BJ797+BJ832</f>
        <v/>
      </c>
      <c r="BK833" s="63">
        <f>BK830+BK810+BK797+BK832</f>
        <v/>
      </c>
      <c r="BL833" s="28">
        <f>BL830+BL810+BL797+BL832</f>
        <v/>
      </c>
      <c r="BM833" s="63">
        <f>BM830+BM810+BM797+BM832</f>
        <v/>
      </c>
      <c r="BN833" s="1125">
        <f>BN830+BN810+BN797+BN832</f>
        <v/>
      </c>
      <c r="BO833" s="28">
        <f>BO830+BO810+BO797+BO832</f>
        <v/>
      </c>
      <c r="BP833" s="63">
        <f>BP830+BP810+BP797+BP832</f>
        <v/>
      </c>
      <c r="BQ833" s="28">
        <f>BQ830+BQ810+BQ797+BQ832</f>
        <v/>
      </c>
      <c r="BR833" s="63">
        <f>BR830+BR810+BR797+BR832</f>
        <v/>
      </c>
      <c r="BS833" s="1125">
        <f>BS830+BS810+BS797+BS832</f>
        <v/>
      </c>
      <c r="BT833" s="28">
        <f>BT830+BT810+BT797+BT832</f>
        <v/>
      </c>
      <c r="BU833" s="63">
        <f>BU830+BU810+BU797+BU832</f>
        <v/>
      </c>
      <c r="BV833" s="505">
        <f>BV830+BV810+BV797+BV832</f>
        <v/>
      </c>
      <c r="BW833" s="63" t="n"/>
      <c r="BX833" s="1125" t="n"/>
      <c r="BY833" s="63" t="n"/>
      <c r="BZ833" s="63" t="n"/>
      <c r="CA833" s="63" t="n"/>
      <c r="CB833" s="63" t="n"/>
      <c r="CC833" s="1125" t="n"/>
      <c r="CD833" s="1125" t="n"/>
      <c r="CE833" s="1125" t="n"/>
      <c r="CF833" s="1125" t="n"/>
      <c r="CG833" s="155" t="n"/>
    </row>
    <row r="834" hidden="1" outlineLevel="1">
      <c r="A834" s="600" t="n"/>
      <c r="B834" s="279" t="n"/>
      <c r="C834" s="1125" t="n"/>
      <c r="D834" s="1125" t="n"/>
      <c r="E834" s="1125" t="n"/>
      <c r="F834" s="1125" t="n"/>
      <c r="G834" s="63" t="n"/>
      <c r="H834" s="63" t="n"/>
      <c r="I834" s="63" t="n"/>
      <c r="J834" s="63" t="n"/>
      <c r="K834" s="1125" t="n"/>
      <c r="L834" s="63" t="n"/>
      <c r="M834" s="63" t="n"/>
      <c r="N834" s="63" t="n"/>
      <c r="O834" s="63" t="n"/>
      <c r="P834" s="1125" t="n"/>
      <c r="Q834" s="63" t="n"/>
      <c r="R834" s="63" t="n"/>
      <c r="S834" s="63" t="n"/>
      <c r="T834" s="63" t="n"/>
      <c r="U834" s="1125" t="n"/>
      <c r="V834" s="63" t="n"/>
      <c r="W834" s="63" t="n"/>
      <c r="X834" s="63" t="n"/>
      <c r="Y834" s="63" t="n"/>
      <c r="Z834" s="1125" t="n"/>
      <c r="AA834" s="63" t="n"/>
      <c r="AB834" s="63" t="n"/>
      <c r="AC834" s="63" t="n"/>
      <c r="AD834" s="63" t="n"/>
      <c r="AE834" s="1125" t="n"/>
      <c r="AF834" s="63" t="n"/>
      <c r="AG834" s="63" t="n"/>
      <c r="AH834" s="63" t="n"/>
      <c r="AI834" s="63" t="n"/>
      <c r="AJ834" s="1125" t="n"/>
      <c r="AK834" s="63" t="n"/>
      <c r="AL834" s="63" t="n"/>
      <c r="AM834" s="63" t="n"/>
      <c r="AN834" s="63" t="n"/>
      <c r="AO834" s="1125" t="n"/>
      <c r="AP834" s="63" t="n"/>
      <c r="AQ834" s="63" t="n"/>
      <c r="AR834" s="63" t="n"/>
      <c r="AS834" s="63" t="n"/>
      <c r="AT834" s="1125" t="n"/>
      <c r="AU834" s="63" t="n"/>
      <c r="AV834" s="63" t="n"/>
      <c r="AW834" s="63" t="n"/>
      <c r="AX834" s="63" t="n"/>
      <c r="AY834" s="1125" t="n"/>
      <c r="AZ834" s="63" t="n"/>
      <c r="BA834" s="63" t="n"/>
      <c r="BB834" s="63" t="n"/>
      <c r="BC834" s="63" t="n"/>
      <c r="BD834" s="1125" t="n"/>
      <c r="BE834" s="63" t="n"/>
      <c r="BF834" s="63" t="n"/>
      <c r="BG834" s="63" t="n"/>
      <c r="BH834" s="63" t="n"/>
      <c r="BI834" s="1125" t="n"/>
      <c r="BJ834" s="63" t="n"/>
      <c r="BK834" s="63" t="n"/>
      <c r="BL834" s="63" t="n"/>
      <c r="BM834" s="63" t="n"/>
      <c r="BN834" s="1125" t="n"/>
      <c r="BO834" s="63" t="n"/>
      <c r="BP834" s="63" t="n"/>
      <c r="BQ834" s="63" t="n"/>
      <c r="BR834" s="63" t="n"/>
      <c r="BS834" s="1125" t="n"/>
      <c r="BT834" s="63" t="n"/>
      <c r="BU834" s="63" t="n"/>
      <c r="BV834" s="587" t="n"/>
      <c r="BW834" s="63" t="n"/>
      <c r="BX834" s="1125" t="n"/>
      <c r="BY834" s="63" t="n"/>
      <c r="BZ834" s="63" t="n"/>
      <c r="CA834" s="63" t="n"/>
      <c r="CB834" s="63" t="n"/>
      <c r="CC834" s="1125" t="n"/>
      <c r="CD834" s="1125" t="n"/>
      <c r="CE834" s="1125" t="n"/>
      <c r="CF834" s="1125" t="n"/>
      <c r="CG834" s="155" t="n"/>
    </row>
    <row r="835" hidden="1" outlineLevel="1">
      <c r="A835" s="62" t="inlineStr">
        <is>
          <t>Beginning Cash Balance</t>
        </is>
      </c>
      <c r="B835" s="279" t="n"/>
      <c r="C835" s="1148" t="n">
        <v>726.9690000000001</v>
      </c>
      <c r="D835" s="1132">
        <f>C836</f>
        <v/>
      </c>
      <c r="E835" s="1132">
        <f>D836</f>
        <v/>
      </c>
      <c r="F835" s="1132">
        <f>E836</f>
        <v/>
      </c>
      <c r="G835" s="28">
        <f>F836</f>
        <v/>
      </c>
      <c r="H835" s="28">
        <f>G835</f>
        <v/>
      </c>
      <c r="I835" s="28">
        <f>H835</f>
        <v/>
      </c>
      <c r="J835" s="28">
        <f>I835</f>
        <v/>
      </c>
      <c r="K835" s="1132">
        <f>J835</f>
        <v/>
      </c>
      <c r="L835" s="1062" t="n">
        <v>732.7859999999999</v>
      </c>
      <c r="M835" s="28">
        <f>L835</f>
        <v/>
      </c>
      <c r="N835" s="28">
        <f>M835</f>
        <v/>
      </c>
      <c r="O835" s="28">
        <f>N835</f>
        <v/>
      </c>
      <c r="P835" s="1132">
        <f>O835</f>
        <v/>
      </c>
      <c r="Q835" s="28">
        <f>P836</f>
        <v/>
      </c>
      <c r="R835" s="28">
        <f>Q835</f>
        <v/>
      </c>
      <c r="S835" s="28">
        <f>R835</f>
        <v/>
      </c>
      <c r="T835" s="28">
        <f>S835</f>
        <v/>
      </c>
      <c r="U835" s="1148" t="n">
        <v>1152</v>
      </c>
      <c r="V835" s="28">
        <f>U836</f>
        <v/>
      </c>
      <c r="W835" s="28">
        <f>V835</f>
        <v/>
      </c>
      <c r="X835" s="28">
        <f>W835</f>
        <v/>
      </c>
      <c r="Y835" s="28">
        <f>X835</f>
        <v/>
      </c>
      <c r="Z835" s="1132">
        <f>Y835</f>
        <v/>
      </c>
      <c r="AA835" s="28">
        <f>Z836</f>
        <v/>
      </c>
      <c r="AB835" s="28">
        <f>AA835</f>
        <v/>
      </c>
      <c r="AC835" s="28">
        <f>AB835</f>
        <v/>
      </c>
      <c r="AD835" s="28">
        <f>AC835</f>
        <v/>
      </c>
      <c r="AE835" s="1132">
        <f>AD835</f>
        <v/>
      </c>
      <c r="AF835" s="28">
        <f>AE836</f>
        <v/>
      </c>
      <c r="AG835" s="28">
        <f>AF835</f>
        <v/>
      </c>
      <c r="AH835" s="28">
        <f>AG835</f>
        <v/>
      </c>
      <c r="AI835" s="28">
        <f>AH835</f>
        <v/>
      </c>
      <c r="AJ835" s="1132">
        <f>AI835</f>
        <v/>
      </c>
      <c r="AK835" s="28">
        <f>AJ836</f>
        <v/>
      </c>
      <c r="AL835" s="28">
        <f>AK835</f>
        <v/>
      </c>
      <c r="AM835" s="28">
        <f>AL835</f>
        <v/>
      </c>
      <c r="AN835" s="28">
        <f>AM835</f>
        <v/>
      </c>
      <c r="AO835" s="1132">
        <f>AN835</f>
        <v/>
      </c>
      <c r="AP835" s="28">
        <f>AO836</f>
        <v/>
      </c>
      <c r="AQ835" s="28">
        <f>AP835</f>
        <v/>
      </c>
      <c r="AR835" s="28">
        <f>AQ835</f>
        <v/>
      </c>
      <c r="AS835" s="28">
        <f>AR835</f>
        <v/>
      </c>
      <c r="AT835" s="1132">
        <f>AS835</f>
        <v/>
      </c>
      <c r="AU835" s="28">
        <f>AT836</f>
        <v/>
      </c>
      <c r="AV835" s="28">
        <f>AU835</f>
        <v/>
      </c>
      <c r="AW835" s="28">
        <f>AV835</f>
        <v/>
      </c>
      <c r="AX835" s="28">
        <f>AW835</f>
        <v/>
      </c>
      <c r="AY835" s="1132">
        <f>AX835</f>
        <v/>
      </c>
      <c r="AZ835" s="28">
        <f>AY836</f>
        <v/>
      </c>
      <c r="BA835" s="28">
        <f>AZ835</f>
        <v/>
      </c>
      <c r="BB835" s="28">
        <f>BA835</f>
        <v/>
      </c>
      <c r="BC835" s="28">
        <f>BB835</f>
        <v/>
      </c>
      <c r="BD835" s="1132">
        <f>BC835</f>
        <v/>
      </c>
      <c r="BE835" s="28">
        <f>BD836</f>
        <v/>
      </c>
      <c r="BF835" s="28">
        <f>BE835</f>
        <v/>
      </c>
      <c r="BG835" s="28">
        <f>BF835</f>
        <v/>
      </c>
      <c r="BH835" s="28">
        <f>BG835</f>
        <v/>
      </c>
      <c r="BI835" s="1132">
        <f>BH835</f>
        <v/>
      </c>
      <c r="BJ835" s="28">
        <f>BI836</f>
        <v/>
      </c>
      <c r="BK835" s="28">
        <f>BJ835</f>
        <v/>
      </c>
      <c r="BL835" s="28">
        <f>BK835</f>
        <v/>
      </c>
      <c r="BM835" s="28">
        <f>BL835</f>
        <v/>
      </c>
      <c r="BN835" s="1132">
        <f>BM835</f>
        <v/>
      </c>
      <c r="BO835" s="28">
        <f>BN836</f>
        <v/>
      </c>
      <c r="BP835" s="28">
        <f>BO835</f>
        <v/>
      </c>
      <c r="BQ835" s="28">
        <f>BP835</f>
        <v/>
      </c>
      <c r="BR835" s="28">
        <f>BQ835</f>
        <v/>
      </c>
      <c r="BS835" s="1132">
        <f>BR835</f>
        <v/>
      </c>
      <c r="BT835" s="28">
        <f>BS836</f>
        <v/>
      </c>
      <c r="BU835" s="28">
        <f>BT835</f>
        <v/>
      </c>
      <c r="BV835" s="505">
        <f>BU835</f>
        <v/>
      </c>
      <c r="BW835" s="63" t="n"/>
      <c r="BX835" s="1125" t="n"/>
      <c r="BY835" s="63" t="n"/>
      <c r="BZ835" s="63" t="n"/>
      <c r="CA835" s="63" t="n"/>
      <c r="CB835" s="63" t="n"/>
      <c r="CC835" s="1125" t="n"/>
      <c r="CD835" s="1125" t="n"/>
      <c r="CE835" s="1125" t="n"/>
      <c r="CF835" s="1125" t="n"/>
      <c r="CG835" s="155" t="n"/>
    </row>
    <row r="836" hidden="1" outlineLevel="1">
      <c r="A836" s="62" t="inlineStr">
        <is>
          <t>Ending Cash Balance</t>
        </is>
      </c>
      <c r="B836" s="279" t="n"/>
      <c r="C836" s="1132">
        <f>C833+C835</f>
        <v/>
      </c>
      <c r="D836" s="1132">
        <f>D833+D835</f>
        <v/>
      </c>
      <c r="E836" s="1132">
        <f>E833+E835</f>
        <v/>
      </c>
      <c r="F836" s="1132">
        <f>F833+F835</f>
        <v/>
      </c>
      <c r="G836" s="28">
        <f>G833+G835</f>
        <v/>
      </c>
      <c r="H836" s="28">
        <f>H833+H835</f>
        <v/>
      </c>
      <c r="I836" s="28">
        <f>I833+I835</f>
        <v/>
      </c>
      <c r="J836" s="28">
        <f>J833+J835</f>
        <v/>
      </c>
      <c r="K836" s="1132">
        <f>K833+K835</f>
        <v/>
      </c>
      <c r="L836" s="28">
        <f>L833+L835</f>
        <v/>
      </c>
      <c r="M836" s="28">
        <f>M833+M835</f>
        <v/>
      </c>
      <c r="N836" s="28">
        <f>N833+N835</f>
        <v/>
      </c>
      <c r="O836" s="28">
        <f>O833+O835</f>
        <v/>
      </c>
      <c r="P836" s="1132">
        <f>P833+P835</f>
        <v/>
      </c>
      <c r="Q836" s="28">
        <f>Q833+Q835</f>
        <v/>
      </c>
      <c r="R836" s="28">
        <f>R833+R835</f>
        <v/>
      </c>
      <c r="S836" s="28">
        <f>S833+S835</f>
        <v/>
      </c>
      <c r="T836" s="28">
        <f>T833+T835</f>
        <v/>
      </c>
      <c r="U836" s="1132">
        <f>U833+U835</f>
        <v/>
      </c>
      <c r="V836" s="28">
        <f>V833+V835</f>
        <v/>
      </c>
      <c r="W836" s="28">
        <f>W833+W835</f>
        <v/>
      </c>
      <c r="X836" s="28">
        <f>X833+X835</f>
        <v/>
      </c>
      <c r="Y836" s="28">
        <f>Y833+Y835</f>
        <v/>
      </c>
      <c r="Z836" s="1132">
        <f>Z833+Z835</f>
        <v/>
      </c>
      <c r="AA836" s="28">
        <f>AA833+AA835</f>
        <v/>
      </c>
      <c r="AB836" s="28">
        <f>AB833+AB835</f>
        <v/>
      </c>
      <c r="AC836" s="28">
        <f>AC833+AC835</f>
        <v/>
      </c>
      <c r="AD836" s="28">
        <f>AD833+AD835</f>
        <v/>
      </c>
      <c r="AE836" s="1132">
        <f>AE833+AE835</f>
        <v/>
      </c>
      <c r="AF836" s="28">
        <f>AF833+AF835</f>
        <v/>
      </c>
      <c r="AG836" s="28">
        <f>AG833+AG835</f>
        <v/>
      </c>
      <c r="AH836" s="28">
        <f>AH833+AH835</f>
        <v/>
      </c>
      <c r="AI836" s="28">
        <f>AI833+AI835</f>
        <v/>
      </c>
      <c r="AJ836" s="1132">
        <f>AJ833+AJ835</f>
        <v/>
      </c>
      <c r="AK836" s="28">
        <f>AK833+AK835</f>
        <v/>
      </c>
      <c r="AL836" s="28">
        <f>AL833+AL835</f>
        <v/>
      </c>
      <c r="AM836" s="28">
        <f>AM833+AM835</f>
        <v/>
      </c>
      <c r="AN836" s="28">
        <f>AN833+AN835</f>
        <v/>
      </c>
      <c r="AO836" s="1132">
        <f>AO833+AO835</f>
        <v/>
      </c>
      <c r="AP836" s="28">
        <f>AP833+AP835</f>
        <v/>
      </c>
      <c r="AQ836" s="28">
        <f>AQ833+AQ835</f>
        <v/>
      </c>
      <c r="AR836" s="28">
        <f>AR833+AR835</f>
        <v/>
      </c>
      <c r="AS836" s="28">
        <f>AS833+AS835</f>
        <v/>
      </c>
      <c r="AT836" s="1132">
        <f>AT833+AT835</f>
        <v/>
      </c>
      <c r="AU836" s="28">
        <f>AU833+AU835</f>
        <v/>
      </c>
      <c r="AV836" s="28">
        <f>AV833+AV835</f>
        <v/>
      </c>
      <c r="AW836" s="28">
        <f>AW833+AW835</f>
        <v/>
      </c>
      <c r="AX836" s="28">
        <f>AX833+AX835</f>
        <v/>
      </c>
      <c r="AY836" s="1132">
        <f>AY833+AY835</f>
        <v/>
      </c>
      <c r="AZ836" s="28">
        <f>AZ833+AZ835</f>
        <v/>
      </c>
      <c r="BA836" s="28">
        <f>BA833+BA835</f>
        <v/>
      </c>
      <c r="BB836" s="28">
        <f>BB833+BB835</f>
        <v/>
      </c>
      <c r="BC836" s="28">
        <f>BC833+BC835</f>
        <v/>
      </c>
      <c r="BD836" s="1132">
        <f>BD833+BD835</f>
        <v/>
      </c>
      <c r="BE836" s="28">
        <f>BE833+BE835</f>
        <v/>
      </c>
      <c r="BF836" s="28">
        <f>BF833+BF835</f>
        <v/>
      </c>
      <c r="BG836" s="28">
        <f>BG833+BG835</f>
        <v/>
      </c>
      <c r="BH836" s="28">
        <f>BH833+BH835</f>
        <v/>
      </c>
      <c r="BI836" s="1132">
        <f>BI833+BI835</f>
        <v/>
      </c>
      <c r="BJ836" s="28">
        <f>BJ833+BJ835</f>
        <v/>
      </c>
      <c r="BK836" s="28">
        <f>BK833+BK835</f>
        <v/>
      </c>
      <c r="BL836" s="28">
        <f>BL833+BL835</f>
        <v/>
      </c>
      <c r="BM836" s="28">
        <f>BM833+BM835</f>
        <v/>
      </c>
      <c r="BN836" s="1132">
        <f>BN833+BN835</f>
        <v/>
      </c>
      <c r="BO836" s="28">
        <f>BO833+BO835</f>
        <v/>
      </c>
      <c r="BP836" s="28">
        <f>BP833+BP835</f>
        <v/>
      </c>
      <c r="BQ836" s="28">
        <f>BQ833+BQ835</f>
        <v/>
      </c>
      <c r="BR836" s="28">
        <f>BR833+BR835</f>
        <v/>
      </c>
      <c r="BS836" s="1132">
        <f>BS833+BS835</f>
        <v/>
      </c>
      <c r="BT836" s="28">
        <f>BT833+BT835</f>
        <v/>
      </c>
      <c r="BU836" s="28">
        <f>BU833+BU835</f>
        <v/>
      </c>
      <c r="BV836" s="505">
        <f>BV833+BV835</f>
        <v/>
      </c>
      <c r="BW836" s="63" t="n"/>
      <c r="BX836" s="1125" t="n"/>
      <c r="BY836" s="63" t="n"/>
      <c r="BZ836" s="63" t="n"/>
      <c r="CA836" s="63" t="n"/>
      <c r="CB836" s="63" t="n"/>
      <c r="CC836" s="1125" t="n"/>
      <c r="CD836" s="1125" t="n"/>
      <c r="CE836" s="1125" t="n"/>
      <c r="CF836" s="1125" t="n"/>
      <c r="CG836" s="155" t="n"/>
    </row>
    <row r="837" hidden="1" outlineLevel="1">
      <c r="A837" s="600" t="n"/>
      <c r="B837" s="279" t="n"/>
      <c r="C837" s="1125" t="n"/>
      <c r="D837" s="1125" t="n"/>
      <c r="E837" s="1125" t="n"/>
      <c r="F837" s="1125" t="n"/>
      <c r="G837" s="63" t="n"/>
      <c r="H837" s="63" t="n"/>
      <c r="I837" s="63" t="n"/>
      <c r="J837" s="63" t="n"/>
      <c r="K837" s="1125" t="n"/>
      <c r="L837" s="63" t="n"/>
      <c r="M837" s="63" t="n"/>
      <c r="N837" s="63" t="n"/>
      <c r="O837" s="63" t="n"/>
      <c r="P837" s="1125" t="n"/>
      <c r="Q837" s="63" t="n"/>
      <c r="R837" s="63" t="n"/>
      <c r="S837" s="63" t="n"/>
      <c r="T837" s="63" t="n"/>
      <c r="U837" s="1125" t="n"/>
      <c r="V837" s="63" t="n"/>
      <c r="W837" s="63" t="n"/>
      <c r="X837" s="63" t="n"/>
      <c r="Y837" s="63" t="n"/>
      <c r="Z837" s="1125" t="n"/>
      <c r="AA837" s="63" t="n"/>
      <c r="AB837" s="63" t="n"/>
      <c r="AC837" s="63" t="n"/>
      <c r="AD837" s="63" t="n"/>
      <c r="AE837" s="1125" t="n"/>
      <c r="AF837" s="63" t="n"/>
      <c r="AG837" s="63" t="n"/>
      <c r="AH837" s="63" t="n"/>
      <c r="AI837" s="63" t="n"/>
      <c r="AJ837" s="1125" t="n"/>
      <c r="AK837" s="63" t="n"/>
      <c r="AL837" s="63" t="n"/>
      <c r="AM837" s="63" t="n"/>
      <c r="AN837" s="63" t="n"/>
      <c r="AO837" s="1125" t="n"/>
      <c r="AP837" s="63" t="n"/>
      <c r="AQ837" s="63" t="n"/>
      <c r="AR837" s="63" t="n"/>
      <c r="AS837" s="63" t="n"/>
      <c r="AT837" s="1125" t="n"/>
      <c r="AU837" s="63" t="n"/>
      <c r="AV837" s="63" t="n"/>
      <c r="AW837" s="63" t="n"/>
      <c r="AX837" s="63" t="n"/>
      <c r="AY837" s="1125" t="n"/>
      <c r="AZ837" s="63" t="n"/>
      <c r="BA837" s="63" t="n"/>
      <c r="BB837" s="63" t="n"/>
      <c r="BC837" s="63" t="n"/>
      <c r="BD837" s="1125" t="n"/>
      <c r="BE837" s="63" t="n"/>
      <c r="BF837" s="63" t="n"/>
      <c r="BG837" s="63" t="n"/>
      <c r="BH837" s="63" t="n"/>
      <c r="BI837" s="1125" t="n"/>
      <c r="BJ837" s="63" t="n"/>
      <c r="BK837" s="63" t="n"/>
      <c r="BL837" s="63" t="n"/>
      <c r="BM837" s="63" t="n"/>
      <c r="BN837" s="1125" t="n"/>
      <c r="BO837" s="63" t="n"/>
      <c r="BP837" s="63" t="n"/>
      <c r="BQ837" s="63" t="n"/>
      <c r="BR837" s="63" t="n"/>
      <c r="BS837" s="1125" t="n"/>
      <c r="BT837" s="63" t="n"/>
      <c r="BU837" s="63" t="n"/>
      <c r="BV837" s="587" t="n"/>
      <c r="BW837" s="63" t="n"/>
      <c r="BX837" s="1125" t="n"/>
      <c r="BY837" s="63" t="n"/>
      <c r="BZ837" s="63" t="n"/>
      <c r="CA837" s="63" t="n"/>
      <c r="CB837" s="63" t="n"/>
      <c r="CC837" s="1125" t="n"/>
      <c r="CD837" s="1125" t="n"/>
      <c r="CE837" s="1125" t="n"/>
      <c r="CF837" s="1125" t="n"/>
      <c r="CG837" s="155" t="n"/>
    </row>
    <row r="838" hidden="1" outlineLevel="1">
      <c r="A838" s="100" t="inlineStr">
        <is>
          <t>Cash paid for interest</t>
        </is>
      </c>
      <c r="B838" s="146" t="n"/>
      <c r="C838" s="1111" t="n">
        <v>0</v>
      </c>
      <c r="D838" s="1111" t="n">
        <v>3.256</v>
      </c>
      <c r="E838" s="1111" t="n">
        <v>3.127</v>
      </c>
      <c r="F838" s="1111" t="n">
        <v>3.008</v>
      </c>
      <c r="G838" s="1053" t="n">
        <v>0.744</v>
      </c>
      <c r="H838" s="1053" t="n">
        <v>1.474</v>
      </c>
      <c r="I838" s="1053" t="n">
        <v>2.189</v>
      </c>
      <c r="J838" s="27">
        <f>K838</f>
        <v/>
      </c>
      <c r="K838" s="1111" t="n">
        <v>2.772</v>
      </c>
      <c r="L838" s="1053" t="n">
        <v>0.655</v>
      </c>
      <c r="M838" s="1053" t="n">
        <v>1.294</v>
      </c>
      <c r="N838" s="68" t="n"/>
      <c r="O838" s="27">
        <f>P838</f>
        <v/>
      </c>
      <c r="P838" s="1111" t="n">
        <v>2.518</v>
      </c>
      <c r="Q838" s="68" t="n"/>
      <c r="R838" s="68" t="n"/>
      <c r="S838" s="68" t="n"/>
      <c r="T838" s="68" t="n"/>
      <c r="U838" s="1111" t="n">
        <v>17</v>
      </c>
      <c r="V838" s="68" t="n"/>
      <c r="W838" s="68" t="n"/>
      <c r="X838" s="68" t="n"/>
      <c r="Y838" s="68" t="n"/>
      <c r="Z838" s="1111" t="n">
        <v>17</v>
      </c>
      <c r="AA838" s="68" t="n"/>
      <c r="AB838" s="68" t="n"/>
      <c r="AC838" s="68" t="n"/>
      <c r="AD838" s="68" t="n"/>
      <c r="AE838" s="1111" t="n">
        <v>13</v>
      </c>
      <c r="AF838" s="68" t="n"/>
      <c r="AG838" s="68" t="n"/>
      <c r="AH838" s="68" t="n"/>
      <c r="AI838" s="68" t="n"/>
      <c r="AJ838" s="1111" t="n">
        <v>55</v>
      </c>
      <c r="AK838" s="68" t="n"/>
      <c r="AL838" s="68" t="n"/>
      <c r="AM838" s="68" t="n"/>
      <c r="AN838" s="68" t="n"/>
      <c r="AO838" s="1111" t="n">
        <v>55</v>
      </c>
      <c r="AP838" s="68" t="n"/>
      <c r="AQ838" s="68" t="n"/>
      <c r="AR838" s="68" t="n"/>
      <c r="AS838" s="68" t="n"/>
      <c r="AT838" s="1111" t="n">
        <v>54</v>
      </c>
      <c r="AU838" s="68" t="n"/>
      <c r="AV838" s="68" t="n"/>
      <c r="AW838" s="68" t="n"/>
      <c r="AX838" s="68" t="n"/>
      <c r="AY838" s="1111" t="n">
        <v>138</v>
      </c>
      <c r="AZ838" s="68" t="n"/>
      <c r="BA838" s="68" t="n"/>
      <c r="BB838" s="68" t="n"/>
      <c r="BC838" s="68" t="n"/>
      <c r="BD838" s="1111" t="n">
        <v>246</v>
      </c>
      <c r="BE838" s="68" t="n"/>
      <c r="BF838" s="68" t="n"/>
      <c r="BG838" s="68" t="n"/>
      <c r="BH838" s="68" t="n"/>
      <c r="BI838" s="1111" t="n">
        <v>254</v>
      </c>
      <c r="BJ838" s="68" t="n"/>
      <c r="BK838" s="68" t="n"/>
      <c r="BL838" s="68" t="n"/>
      <c r="BM838" s="68">
        <f>BN838</f>
        <v/>
      </c>
      <c r="BN838" s="1111" t="n">
        <v>252</v>
      </c>
      <c r="BO838" s="68" t="n"/>
      <c r="BP838" s="68" t="n"/>
      <c r="BQ838" s="68" t="n"/>
      <c r="BR838" s="68">
        <f>BS838</f>
        <v/>
      </c>
      <c r="BS838" s="1111" t="n">
        <v>246</v>
      </c>
      <c r="BT838" s="68" t="n"/>
      <c r="BU838" s="68" t="n"/>
      <c r="BV838" s="588" t="n"/>
      <c r="BW838" s="68" t="n"/>
      <c r="BX838" s="1110" t="n"/>
      <c r="BY838" s="68" t="n"/>
      <c r="BZ838" s="68" t="n"/>
      <c r="CA838" s="68" t="n"/>
      <c r="CB838" s="68" t="n"/>
      <c r="CC838" s="1110" t="n"/>
      <c r="CD838" s="1110" t="n"/>
      <c r="CE838" s="1110" t="n"/>
      <c r="CF838" s="1110" t="n"/>
      <c r="CG838" s="155" t="n"/>
    </row>
    <row r="839" hidden="1" outlineLevel="1">
      <c r="A839" s="100" t="inlineStr">
        <is>
          <t>Cash (received) paid for income taxes, net</t>
        </is>
      </c>
      <c r="B839" s="146" t="n"/>
      <c r="C839" s="1111" t="n">
        <v>7.62</v>
      </c>
      <c r="D839" s="1111" t="n">
        <v>4.217</v>
      </c>
      <c r="E839" s="1111" t="n">
        <v>-1.071</v>
      </c>
      <c r="F839" s="1111" t="n">
        <v>58.328</v>
      </c>
      <c r="G839" s="1053" t="n">
        <v>2.01</v>
      </c>
      <c r="H839" s="1053" t="n">
        <v>-43.149</v>
      </c>
      <c r="I839" s="1053" t="n">
        <v>-40.442</v>
      </c>
      <c r="J839" s="27">
        <f>K839</f>
        <v/>
      </c>
      <c r="K839" s="1111" t="n">
        <v>-38.608</v>
      </c>
      <c r="L839" s="1053" t="n">
        <v>2.286</v>
      </c>
      <c r="M839" s="1053" t="n">
        <v>5.083</v>
      </c>
      <c r="N839" s="68" t="n"/>
      <c r="O839" s="27">
        <f>P839</f>
        <v/>
      </c>
      <c r="P839" s="1111" t="n">
        <v>14.615</v>
      </c>
      <c r="Q839" s="68" t="n"/>
      <c r="R839" s="68" t="n"/>
      <c r="S839" s="68" t="n"/>
      <c r="T839" s="68" t="n"/>
      <c r="U839" s="1111" t="n">
        <v>14</v>
      </c>
      <c r="V839" s="68" t="n"/>
      <c r="W839" s="68" t="n"/>
      <c r="X839" s="68" t="n"/>
      <c r="Y839" s="68" t="n"/>
      <c r="Z839" s="1111" t="n">
        <v>14</v>
      </c>
      <c r="AA839" s="68" t="n"/>
      <c r="AB839" s="68" t="n"/>
      <c r="AC839" s="68" t="n"/>
      <c r="AD839" s="68" t="n"/>
      <c r="AE839" s="1111" t="n">
        <v>14</v>
      </c>
      <c r="AF839" s="68" t="n"/>
      <c r="AG839" s="68" t="n"/>
      <c r="AH839" s="68" t="n"/>
      <c r="AI839" s="68" t="n"/>
      <c r="AJ839" s="1111" t="n">
        <v>22</v>
      </c>
      <c r="AK839" s="68" t="n"/>
      <c r="AL839" s="68" t="n"/>
      <c r="AM839" s="68" t="n"/>
      <c r="AN839" s="68" t="n"/>
      <c r="AO839" s="1111" t="n">
        <v>61</v>
      </c>
      <c r="AP839" s="68" t="n"/>
      <c r="AQ839" s="68" t="n"/>
      <c r="AR839" s="68" t="n"/>
      <c r="AS839" s="68" t="n"/>
      <c r="AT839" s="1111" t="n">
        <v>176</v>
      </c>
      <c r="AU839" s="68" t="n"/>
      <c r="AV839" s="68" t="n"/>
      <c r="AW839" s="68" t="n"/>
      <c r="AX839" s="68" t="n"/>
      <c r="AY839" s="1111" t="n">
        <v>249</v>
      </c>
      <c r="AZ839" s="68" t="n"/>
      <c r="BA839" s="68" t="n"/>
      <c r="BB839" s="68" t="n"/>
      <c r="BC839" s="68" t="n"/>
      <c r="BD839" s="1111" t="n">
        <v>396</v>
      </c>
      <c r="BE839" s="68" t="n"/>
      <c r="BF839" s="1053" t="n">
        <v>1108</v>
      </c>
      <c r="BG839" s="1053" t="n">
        <v>1372</v>
      </c>
      <c r="BH839" s="68">
        <f>BI839</f>
        <v/>
      </c>
      <c r="BI839" s="1111" t="n">
        <v>1404</v>
      </c>
      <c r="BJ839" s="68" t="n"/>
      <c r="BK839" s="1053" t="n">
        <v>328</v>
      </c>
      <c r="BL839" s="1053" t="n">
        <v>4676</v>
      </c>
      <c r="BM839" s="68">
        <f>BN839</f>
        <v/>
      </c>
      <c r="BN839" s="1111" t="n">
        <v>6549</v>
      </c>
      <c r="BO839" s="68" t="n"/>
      <c r="BP839" s="1053" t="n">
        <v>7449</v>
      </c>
      <c r="BQ839" s="1053" t="n">
        <v>10989</v>
      </c>
      <c r="BR839" s="68">
        <f>BS839</f>
        <v/>
      </c>
      <c r="BS839" s="1111" t="n">
        <v>15118</v>
      </c>
      <c r="BT839" s="68" t="n"/>
      <c r="BU839" s="1053" t="n">
        <v>8451</v>
      </c>
      <c r="BV839" s="1054" t="n">
        <v>13309</v>
      </c>
      <c r="BW839" s="68" t="n"/>
      <c r="BX839" s="1110" t="n"/>
      <c r="BY839" s="68" t="n"/>
      <c r="BZ839" s="68" t="n"/>
      <c r="CA839" s="68" t="n"/>
      <c r="CB839" s="68" t="n"/>
      <c r="CC839" s="1110" t="n"/>
      <c r="CD839" s="1110" t="n"/>
      <c r="CE839" s="1110" t="n"/>
      <c r="CF839" s="1110" t="n"/>
      <c r="CG839" s="155" t="n"/>
    </row>
    <row r="840" collapsed="1">
      <c r="A840" s="609" t="n"/>
      <c r="B840" s="610" t="n"/>
      <c r="C840" s="1159" t="n"/>
      <c r="D840" s="1159" t="n"/>
      <c r="E840" s="1159" t="n"/>
      <c r="F840" s="1159" t="n"/>
      <c r="G840" s="378" t="n"/>
      <c r="H840" s="378" t="n"/>
      <c r="I840" s="378" t="n"/>
      <c r="J840" s="378" t="n"/>
      <c r="K840" s="1159" t="n"/>
      <c r="L840" s="378" t="n"/>
      <c r="M840" s="378" t="n"/>
      <c r="N840" s="378" t="n"/>
      <c r="O840" s="378" t="n"/>
      <c r="P840" s="1159" t="n"/>
      <c r="Q840" s="378" t="n"/>
      <c r="R840" s="378" t="n"/>
      <c r="S840" s="378" t="n"/>
      <c r="T840" s="378" t="n"/>
      <c r="U840" s="1159" t="n"/>
      <c r="V840" s="378" t="n"/>
      <c r="W840" s="378" t="n"/>
      <c r="X840" s="378" t="n"/>
      <c r="Y840" s="378" t="n"/>
      <c r="Z840" s="1159" t="n"/>
      <c r="AA840" s="378" t="n"/>
      <c r="AB840" s="378" t="n"/>
      <c r="AC840" s="378" t="n"/>
      <c r="AD840" s="378" t="n"/>
      <c r="AE840" s="1159" t="n"/>
      <c r="AF840" s="378" t="n"/>
      <c r="AG840" s="378" t="n"/>
      <c r="AH840" s="378" t="n"/>
      <c r="AI840" s="378" t="n"/>
      <c r="AJ840" s="1159" t="n"/>
      <c r="AK840" s="378" t="n"/>
      <c r="AL840" s="378" t="n"/>
      <c r="AM840" s="378" t="n"/>
      <c r="AN840" s="378" t="n"/>
      <c r="AO840" s="1159" t="n"/>
      <c r="AP840" s="378" t="n"/>
      <c r="AQ840" s="378" t="n"/>
      <c r="AR840" s="378" t="n"/>
      <c r="AS840" s="378" t="n"/>
      <c r="AT840" s="1159" t="n"/>
      <c r="AU840" s="378" t="n"/>
      <c r="AV840" s="378" t="n"/>
      <c r="AW840" s="378" t="n"/>
      <c r="AX840" s="378" t="n"/>
      <c r="AY840" s="1159" t="n"/>
      <c r="AZ840" s="378" t="n"/>
      <c r="BA840" s="378" t="n"/>
      <c r="BB840" s="378" t="n"/>
      <c r="BC840" s="378" t="n"/>
      <c r="BD840" s="1159" t="n"/>
      <c r="BE840" s="378" t="n"/>
      <c r="BF840" s="378" t="n"/>
      <c r="BG840" s="378" t="n"/>
      <c r="BH840" s="378" t="n"/>
      <c r="BI840" s="1159" t="n"/>
      <c r="BJ840" s="378" t="n"/>
      <c r="BK840" s="378" t="n"/>
      <c r="BL840" s="378" t="n"/>
      <c r="BM840" s="378" t="n"/>
      <c r="BN840" s="1159" t="n"/>
      <c r="BO840" s="378" t="n"/>
      <c r="BP840" s="378" t="n"/>
      <c r="BQ840" s="378" t="n"/>
      <c r="BR840" s="378" t="n"/>
      <c r="BS840" s="1159" t="n"/>
      <c r="BT840" s="378" t="n"/>
      <c r="BU840" s="378" t="n"/>
      <c r="BV840" s="1037" t="n"/>
      <c r="BW840" s="378" t="n"/>
      <c r="BX840" s="1159" t="n"/>
      <c r="BY840" s="378" t="n"/>
      <c r="BZ840" s="378" t="n"/>
      <c r="CA840" s="378" t="n"/>
      <c r="CB840" s="378" t="n"/>
      <c r="CC840" s="1159" t="n"/>
      <c r="CD840" s="1159" t="n"/>
      <c r="CE840" s="1159" t="n"/>
      <c r="CF840" s="1159" t="n"/>
      <c r="CG840" s="155" t="n"/>
    </row>
    <row r="841">
      <c r="A841" s="45" t="inlineStr">
        <is>
          <t>Cash Flow Statement</t>
        </is>
      </c>
      <c r="B841" s="45" t="n"/>
      <c r="C841" s="45" t="n"/>
      <c r="D841" s="45" t="n"/>
      <c r="E841" s="45" t="n"/>
      <c r="F841" s="45" t="n"/>
      <c r="G841" s="45" t="n"/>
      <c r="H841" s="45" t="n"/>
      <c r="I841" s="45" t="n"/>
      <c r="J841" s="45" t="n"/>
      <c r="K841" s="45" t="n"/>
      <c r="L841" s="45" t="n"/>
      <c r="M841" s="45" t="n"/>
      <c r="N841" s="45" t="n"/>
      <c r="O841" s="45" t="n"/>
      <c r="P841" s="45" t="n"/>
      <c r="Q841" s="45" t="n"/>
      <c r="R841" s="45" t="n"/>
      <c r="S841" s="45" t="n"/>
      <c r="T841" s="45" t="n"/>
      <c r="U841" s="45" t="n"/>
      <c r="V841" s="45" t="n"/>
      <c r="W841" s="45" t="n"/>
      <c r="X841" s="45" t="n"/>
      <c r="Y841" s="45" t="n"/>
      <c r="Z841" s="45" t="n"/>
      <c r="AA841" s="45" t="n"/>
      <c r="AB841" s="45" t="n"/>
      <c r="AC841" s="45" t="n"/>
      <c r="AD841" s="45" t="n"/>
      <c r="AE841" s="45" t="n"/>
      <c r="AF841" s="45" t="n"/>
      <c r="AG841" s="45" t="n"/>
      <c r="AH841" s="45" t="n"/>
      <c r="AI841" s="45" t="n"/>
      <c r="AJ841" s="45" t="n"/>
      <c r="AK841" s="45" t="n"/>
      <c r="AL841" s="45" t="n"/>
      <c r="AM841" s="45" t="n"/>
      <c r="AN841" s="45" t="n"/>
      <c r="AO841" s="45" t="n"/>
      <c r="AP841" s="45" t="n"/>
      <c r="AQ841" s="45" t="n"/>
      <c r="AR841" s="45" t="n"/>
      <c r="AS841" s="45" t="n"/>
      <c r="AT841" s="45" t="n"/>
      <c r="AU841" s="45" t="n"/>
      <c r="AV841" s="45" t="n"/>
      <c r="AW841" s="45" t="n"/>
      <c r="AX841" s="45" t="n"/>
      <c r="AY841" s="45" t="n"/>
      <c r="AZ841" s="45" t="n"/>
      <c r="BA841" s="45" t="n"/>
      <c r="BB841" s="45" t="n"/>
      <c r="BC841" s="45" t="n"/>
      <c r="BD841" s="45" t="n"/>
      <c r="BE841" s="45" t="n"/>
      <c r="BF841" s="45" t="n"/>
      <c r="BG841" s="45" t="n"/>
      <c r="BH841" s="45" t="n"/>
      <c r="BI841" s="45" t="n"/>
      <c r="BJ841" s="45" t="n"/>
      <c r="BK841" s="45" t="n"/>
      <c r="BL841" s="45" t="n"/>
      <c r="BM841" s="45" t="n"/>
      <c r="BN841" s="45" t="n"/>
      <c r="BO841" s="45" t="n"/>
      <c r="BP841" s="45" t="n"/>
      <c r="BQ841" s="45" t="n"/>
      <c r="BR841" s="45" t="n"/>
      <c r="BS841" s="45" t="n"/>
      <c r="BT841" s="45" t="n"/>
      <c r="BU841" s="45" t="n"/>
      <c r="BV841" s="982" t="n"/>
      <c r="BW841" s="45" t="n"/>
      <c r="BX841" s="45" t="n"/>
      <c r="BY841" s="45" t="n"/>
      <c r="BZ841" s="45" t="n"/>
      <c r="CA841" s="45" t="n"/>
      <c r="CB841" s="45" t="n"/>
      <c r="CC841" s="45" t="n"/>
      <c r="CD841" s="45" t="n"/>
      <c r="CE841" s="45" t="n"/>
      <c r="CF841" s="45" t="n"/>
      <c r="CG841" s="155" t="n"/>
    </row>
    <row r="842">
      <c r="A842" s="35">
        <f>A770</f>
        <v/>
      </c>
      <c r="B842" s="610" t="n"/>
      <c r="C842" s="1159" t="n"/>
      <c r="D842" s="1159" t="n"/>
      <c r="E842" s="1159" t="n"/>
      <c r="F842" s="1159" t="n"/>
      <c r="G842" s="378" t="n"/>
      <c r="H842" s="378" t="n"/>
      <c r="I842" s="378" t="n"/>
      <c r="J842" s="378" t="n"/>
      <c r="K842" s="1159" t="n"/>
      <c r="L842" s="378" t="n"/>
      <c r="M842" s="378" t="n"/>
      <c r="N842" s="378" t="n"/>
      <c r="O842" s="378" t="n"/>
      <c r="P842" s="1159" t="n"/>
      <c r="Q842" s="378" t="n"/>
      <c r="R842" s="378" t="n"/>
      <c r="S842" s="378" t="n"/>
      <c r="T842" s="378" t="n"/>
      <c r="U842" s="1159" t="n"/>
      <c r="V842" s="378" t="n"/>
      <c r="W842" s="378" t="n"/>
      <c r="X842" s="378" t="n"/>
      <c r="Y842" s="378" t="n"/>
      <c r="Z842" s="1159" t="n"/>
      <c r="AA842" s="378" t="n"/>
      <c r="AB842" s="378" t="n"/>
      <c r="AC842" s="378" t="n"/>
      <c r="AD842" s="378" t="n"/>
      <c r="AE842" s="1159" t="n"/>
      <c r="AF842" s="378" t="n"/>
      <c r="AG842" s="378" t="n"/>
      <c r="AH842" s="378" t="n"/>
      <c r="AI842" s="378" t="n"/>
      <c r="AJ842" s="1159" t="n"/>
      <c r="AK842" s="378" t="n"/>
      <c r="AL842" s="378" t="n"/>
      <c r="AM842" s="378" t="n"/>
      <c r="AN842" s="378" t="n"/>
      <c r="AO842" s="1159" t="n"/>
      <c r="AP842" s="378" t="n"/>
      <c r="AQ842" s="378" t="n"/>
      <c r="AR842" s="378" t="n"/>
      <c r="AS842" s="378" t="n"/>
      <c r="AT842" s="1159" t="n"/>
      <c r="AU842" s="378" t="n"/>
      <c r="AV842" s="378" t="n"/>
      <c r="AW842" s="378" t="n"/>
      <c r="AX842" s="378" t="n"/>
      <c r="AY842" s="1159" t="n"/>
      <c r="AZ842" s="378" t="n"/>
      <c r="BA842" s="378" t="n"/>
      <c r="BB842" s="378" t="n"/>
      <c r="BC842" s="378" t="n"/>
      <c r="BD842" s="1159" t="n"/>
      <c r="BE842" s="378" t="n"/>
      <c r="BF842" s="378" t="n"/>
      <c r="BG842" s="378" t="n"/>
      <c r="BH842" s="378" t="n"/>
      <c r="BI842" s="1159" t="n"/>
      <c r="BJ842" s="378" t="n"/>
      <c r="BK842" s="378" t="n"/>
      <c r="BL842" s="378" t="n"/>
      <c r="BM842" s="378" t="n"/>
      <c r="BN842" s="1159" t="n"/>
      <c r="BO842" s="378" t="n"/>
      <c r="BP842" s="378" t="n"/>
      <c r="BQ842" s="378" t="n"/>
      <c r="BR842" s="378" t="n"/>
      <c r="BS842" s="1159" t="n"/>
      <c r="BT842" s="378" t="n"/>
      <c r="BU842" s="378" t="n"/>
      <c r="BV842" s="1037" t="n"/>
      <c r="BW842" s="378" t="n"/>
      <c r="BX842" s="1159" t="n"/>
      <c r="BY842" s="378" t="n"/>
      <c r="BZ842" s="378" t="n"/>
      <c r="CA842" s="378" t="n"/>
      <c r="CB842" s="378" t="n"/>
      <c r="CC842" s="1159" t="n"/>
      <c r="CD842" s="1159" t="n"/>
      <c r="CE842" s="1159" t="n"/>
      <c r="CF842" s="1159" t="n"/>
      <c r="CG842" s="155" t="n"/>
    </row>
    <row r="843">
      <c r="A843" s="99">
        <f>A771</f>
        <v/>
      </c>
      <c r="B843" s="146" t="n"/>
      <c r="C843" s="1110">
        <f>C771</f>
        <v/>
      </c>
      <c r="D843" s="1110">
        <f>D771</f>
        <v/>
      </c>
      <c r="E843" s="1110">
        <f>E771</f>
        <v/>
      </c>
      <c r="F843" s="1110">
        <f>F771</f>
        <v/>
      </c>
      <c r="G843" s="68">
        <f>G771</f>
        <v/>
      </c>
      <c r="H843" s="68">
        <f>H771-G771</f>
        <v/>
      </c>
      <c r="I843" s="68">
        <f>I771-H771</f>
        <v/>
      </c>
      <c r="J843" s="68">
        <f>J771-I771</f>
        <v/>
      </c>
      <c r="K843" s="1110">
        <f>K771</f>
        <v/>
      </c>
      <c r="L843" s="68">
        <f>L771</f>
        <v/>
      </c>
      <c r="M843" s="68">
        <f>M771-L771</f>
        <v/>
      </c>
      <c r="N843" s="68">
        <f>N771-M771</f>
        <v/>
      </c>
      <c r="O843" s="68">
        <f>O771-N771</f>
        <v/>
      </c>
      <c r="P843" s="1110">
        <f>P771</f>
        <v/>
      </c>
      <c r="Q843" s="68">
        <f>Q771</f>
        <v/>
      </c>
      <c r="R843" s="68">
        <f>R771-Q771</f>
        <v/>
      </c>
      <c r="S843" s="68">
        <f>S771-R771</f>
        <v/>
      </c>
      <c r="T843" s="68">
        <f>T771-S771</f>
        <v/>
      </c>
      <c r="U843" s="1110">
        <f>U771</f>
        <v/>
      </c>
      <c r="V843" s="68">
        <f>V771</f>
        <v/>
      </c>
      <c r="W843" s="68">
        <f>W771-V771</f>
        <v/>
      </c>
      <c r="X843" s="68">
        <f>X771-W771</f>
        <v/>
      </c>
      <c r="Y843" s="68">
        <f>Y771-X771</f>
        <v/>
      </c>
      <c r="Z843" s="1110">
        <f>SUM(V843,W843,X843,Y843)</f>
        <v/>
      </c>
      <c r="AA843" s="68">
        <f>AA771</f>
        <v/>
      </c>
      <c r="AB843" s="68">
        <f>AB771-AA771</f>
        <v/>
      </c>
      <c r="AC843" s="68">
        <f>AC771-AB771</f>
        <v/>
      </c>
      <c r="AD843" s="68">
        <f>AD771-AC771</f>
        <v/>
      </c>
      <c r="AE843" s="1110">
        <f>SUM(AA843,AB843,AC843,AD843)</f>
        <v/>
      </c>
      <c r="AF843" s="68">
        <f>AF771</f>
        <v/>
      </c>
      <c r="AG843" s="68">
        <f>AG771-AF771</f>
        <v/>
      </c>
      <c r="AH843" s="68">
        <f>AH771-AG771</f>
        <v/>
      </c>
      <c r="AI843" s="68">
        <f>AI771-AH771</f>
        <v/>
      </c>
      <c r="AJ843" s="1110">
        <f>SUM(AF843,AG843,AH843,AI843)</f>
        <v/>
      </c>
      <c r="AK843" s="68">
        <f>AK771</f>
        <v/>
      </c>
      <c r="AL843" s="68">
        <f>AL771-AK771</f>
        <v/>
      </c>
      <c r="AM843" s="68">
        <f>AM771-AL771</f>
        <v/>
      </c>
      <c r="AN843" s="68">
        <f>AN771-AM771</f>
        <v/>
      </c>
      <c r="AO843" s="1110">
        <f>SUM(AK843,AL843,AM843,AN843)</f>
        <v/>
      </c>
      <c r="AP843" s="68">
        <f>AP771</f>
        <v/>
      </c>
      <c r="AQ843" s="27">
        <f>AQ771-AP771</f>
        <v/>
      </c>
      <c r="AR843" s="68">
        <f>AR771-AQ771</f>
        <v/>
      </c>
      <c r="AS843" s="68">
        <f>AS771-AR771</f>
        <v/>
      </c>
      <c r="AT843" s="1110">
        <f>SUM(AP843,AQ843,AR843,AS843)</f>
        <v/>
      </c>
      <c r="AU843" s="68">
        <f>AU771</f>
        <v/>
      </c>
      <c r="AV843" s="27">
        <f>AV771-AU771</f>
        <v/>
      </c>
      <c r="AW843" s="68">
        <f>AW771-AV771</f>
        <v/>
      </c>
      <c r="AX843" s="68">
        <f>AX771-AW771</f>
        <v/>
      </c>
      <c r="AY843" s="1110">
        <f>SUM(AU843,AV843,AW843,AX843)</f>
        <v/>
      </c>
      <c r="AZ843" s="68">
        <f>AZ771</f>
        <v/>
      </c>
      <c r="BA843" s="27">
        <f>BA771-AZ771</f>
        <v/>
      </c>
      <c r="BB843" s="68">
        <f>BB771-BA771</f>
        <v/>
      </c>
      <c r="BC843" s="68">
        <f>BC771-BB771</f>
        <v/>
      </c>
      <c r="BD843" s="1110">
        <f>SUM(AZ843,BA843,BB843,BC843)</f>
        <v/>
      </c>
      <c r="BE843" s="68">
        <f>BE771</f>
        <v/>
      </c>
      <c r="BF843" s="27">
        <f>BF771-BE771</f>
        <v/>
      </c>
      <c r="BG843" s="68">
        <f>BG771-BF771</f>
        <v/>
      </c>
      <c r="BH843" s="68">
        <f>BH771-BG771</f>
        <v/>
      </c>
      <c r="BI843" s="1110">
        <f>SUM(BE843,BF843,BG843,BH843)</f>
        <v/>
      </c>
      <c r="BJ843" s="68">
        <f>BJ771</f>
        <v/>
      </c>
      <c r="BK843" s="27">
        <f>BK771-BJ771</f>
        <v/>
      </c>
      <c r="BL843" s="68">
        <f>BL771-BK771</f>
        <v/>
      </c>
      <c r="BM843" s="68">
        <f>BM771-BL771</f>
        <v/>
      </c>
      <c r="BN843" s="1110">
        <f>SUM(BJ843,BK843,BL843,BM843)</f>
        <v/>
      </c>
      <c r="BO843" s="68">
        <f>BO771</f>
        <v/>
      </c>
      <c r="BP843" s="27">
        <f>BP771-BO771</f>
        <v/>
      </c>
      <c r="BQ843" s="68">
        <f>BQ771-BP771</f>
        <v/>
      </c>
      <c r="BR843" s="68">
        <f>BR771-BQ771</f>
        <v/>
      </c>
      <c r="BS843" s="1110">
        <f>SUM(BO843,BP843,BQ843,BR843)</f>
        <v/>
      </c>
      <c r="BT843" s="68">
        <f>BT771</f>
        <v/>
      </c>
      <c r="BU843" s="27">
        <f>BU771-BT771</f>
        <v/>
      </c>
      <c r="BV843" s="588">
        <f>BV771-BU771</f>
        <v/>
      </c>
      <c r="BW843" s="68">
        <f>BW416</f>
        <v/>
      </c>
      <c r="BX843" s="1110">
        <f>SUM(BT843,BU843,BV843,BW843)</f>
        <v/>
      </c>
      <c r="BY843" s="68">
        <f>BY416</f>
        <v/>
      </c>
      <c r="BZ843" s="68">
        <f>BZ416</f>
        <v/>
      </c>
      <c r="CA843" s="68">
        <f>CA416</f>
        <v/>
      </c>
      <c r="CB843" s="68">
        <f>CB416</f>
        <v/>
      </c>
      <c r="CC843" s="1110">
        <f>SUM(BY843,BZ843,CA843,CB843)</f>
        <v/>
      </c>
      <c r="CD843" s="1110">
        <f>CD416</f>
        <v/>
      </c>
      <c r="CE843" s="1110">
        <f>CE416</f>
        <v/>
      </c>
      <c r="CF843" s="1110">
        <f>CF416</f>
        <v/>
      </c>
      <c r="CG843" s="155" t="n"/>
    </row>
    <row r="844">
      <c r="A844" s="99">
        <f>A772</f>
        <v/>
      </c>
      <c r="B844" s="146" t="n"/>
      <c r="C844" s="1110">
        <f>C772</f>
        <v/>
      </c>
      <c r="D844" s="1110">
        <f>D772</f>
        <v/>
      </c>
      <c r="E844" s="1110">
        <f>E772</f>
        <v/>
      </c>
      <c r="F844" s="1110">
        <f>F772</f>
        <v/>
      </c>
      <c r="G844" s="68">
        <f>G772</f>
        <v/>
      </c>
      <c r="H844" s="68">
        <f>H772-G772</f>
        <v/>
      </c>
      <c r="I844" s="68">
        <f>I772-H772</f>
        <v/>
      </c>
      <c r="J844" s="68">
        <f>J772-I772</f>
        <v/>
      </c>
      <c r="K844" s="1110">
        <f>K772</f>
        <v/>
      </c>
      <c r="L844" s="68">
        <f>L772</f>
        <v/>
      </c>
      <c r="M844" s="68">
        <f>M772-L772</f>
        <v/>
      </c>
      <c r="N844" s="68">
        <f>N772-M772</f>
        <v/>
      </c>
      <c r="O844" s="68">
        <f>O772-N772</f>
        <v/>
      </c>
      <c r="P844" s="1110">
        <f>P772</f>
        <v/>
      </c>
      <c r="Q844" s="68">
        <f>Q772</f>
        <v/>
      </c>
      <c r="R844" s="68">
        <f>R772-Q772</f>
        <v/>
      </c>
      <c r="S844" s="68">
        <f>S772-R772</f>
        <v/>
      </c>
      <c r="T844" s="68">
        <f>T772-S772</f>
        <v/>
      </c>
      <c r="U844" s="1110">
        <f>U772</f>
        <v/>
      </c>
      <c r="V844" s="68">
        <f>V772</f>
        <v/>
      </c>
      <c r="W844" s="68">
        <f>W772-V772</f>
        <v/>
      </c>
      <c r="X844" s="68">
        <f>X772-W772</f>
        <v/>
      </c>
      <c r="Y844" s="68">
        <f>Y772-X772</f>
        <v/>
      </c>
      <c r="Z844" s="1110">
        <f>SUM(V844,W844,X844,Y844)</f>
        <v/>
      </c>
      <c r="AA844" s="68">
        <f>AA772</f>
        <v/>
      </c>
      <c r="AB844" s="68">
        <f>AB772-AA772</f>
        <v/>
      </c>
      <c r="AC844" s="68">
        <f>AC772-AB772</f>
        <v/>
      </c>
      <c r="AD844" s="68">
        <f>AD772-AC772</f>
        <v/>
      </c>
      <c r="AE844" s="1110">
        <f>SUM(AA844,AB844,AC844,AD844)</f>
        <v/>
      </c>
      <c r="AF844" s="68">
        <f>AF772</f>
        <v/>
      </c>
      <c r="AG844" s="68">
        <f>AG772-AF772</f>
        <v/>
      </c>
      <c r="AH844" s="68">
        <f>AH772-AG772</f>
        <v/>
      </c>
      <c r="AI844" s="68">
        <f>AI772-AH772</f>
        <v/>
      </c>
      <c r="AJ844" s="1110">
        <f>SUM(AF844,AG844,AH844,AI844)</f>
        <v/>
      </c>
      <c r="AK844" s="68">
        <f>AK772</f>
        <v/>
      </c>
      <c r="AL844" s="68">
        <f>AL772-AK772</f>
        <v/>
      </c>
      <c r="AM844" s="68">
        <f>AM772-AL772</f>
        <v/>
      </c>
      <c r="AN844" s="68">
        <f>AN772-AM772</f>
        <v/>
      </c>
      <c r="AO844" s="1110">
        <f>SUM(AK844,AL844,AM844,AN844)</f>
        <v/>
      </c>
      <c r="AP844" s="68">
        <f>AP772</f>
        <v/>
      </c>
      <c r="AQ844" s="27">
        <f>AQ772-AP772</f>
        <v/>
      </c>
      <c r="AR844" s="68">
        <f>AR772-AQ772</f>
        <v/>
      </c>
      <c r="AS844" s="68">
        <f>AS772-AR772</f>
        <v/>
      </c>
      <c r="AT844" s="1110">
        <f>SUM(AP844,AQ844,AR844,AS844)</f>
        <v/>
      </c>
      <c r="AU844" s="68">
        <f>AU772</f>
        <v/>
      </c>
      <c r="AV844" s="27">
        <f>AV772-AU772</f>
        <v/>
      </c>
      <c r="AW844" s="68">
        <f>AW772-AV772</f>
        <v/>
      </c>
      <c r="AX844" s="68">
        <f>AX772-AW772</f>
        <v/>
      </c>
      <c r="AY844" s="1110">
        <f>SUM(AU844,AV844,AW844,AX844)</f>
        <v/>
      </c>
      <c r="AZ844" s="68">
        <f>AZ772</f>
        <v/>
      </c>
      <c r="BA844" s="27">
        <f>BA772-AZ772</f>
        <v/>
      </c>
      <c r="BB844" s="68">
        <f>BB772-BA772</f>
        <v/>
      </c>
      <c r="BC844" s="68">
        <f>BC772-BB772</f>
        <v/>
      </c>
      <c r="BD844" s="1110">
        <f>SUM(AZ844,BA844,BB844,BC844)</f>
        <v/>
      </c>
      <c r="BE844" s="68">
        <f>BE772</f>
        <v/>
      </c>
      <c r="BF844" s="27">
        <f>BF772-BE772</f>
        <v/>
      </c>
      <c r="BG844" s="68">
        <f>BG772-BF772</f>
        <v/>
      </c>
      <c r="BH844" s="68">
        <f>BH772-BG772</f>
        <v/>
      </c>
      <c r="BI844" s="1110">
        <f>SUM(BE844,BF844,BG844,BH844)</f>
        <v/>
      </c>
      <c r="BJ844" s="68">
        <f>BJ772</f>
        <v/>
      </c>
      <c r="BK844" s="27">
        <f>BK772-BJ772</f>
        <v/>
      </c>
      <c r="BL844" s="68">
        <f>BL772-BK772</f>
        <v/>
      </c>
      <c r="BM844" s="68">
        <f>BM772-BL772</f>
        <v/>
      </c>
      <c r="BN844" s="1110">
        <f>SUM(BJ844,BK844,BL844,BM844)</f>
        <v/>
      </c>
      <c r="BO844" s="68">
        <f>BO772</f>
        <v/>
      </c>
      <c r="BP844" s="27">
        <f>BP772-BO772</f>
        <v/>
      </c>
      <c r="BQ844" s="68">
        <f>BQ772-BP772</f>
        <v/>
      </c>
      <c r="BR844" s="68">
        <f>BR772-BQ772</f>
        <v/>
      </c>
      <c r="BS844" s="1110">
        <f>SUM(BO844,BP844,BQ844,BR844)</f>
        <v/>
      </c>
      <c r="BT844" s="68">
        <f>BT772</f>
        <v/>
      </c>
      <c r="BU844" s="27">
        <f>BU772-BT772</f>
        <v/>
      </c>
      <c r="BV844" s="588">
        <f>BV772-BU772</f>
        <v/>
      </c>
      <c r="BW844" s="68" t="n"/>
      <c r="BX844" s="1110">
        <f>SUM(BT844,BU844,BV844,BW844)</f>
        <v/>
      </c>
      <c r="BY844" s="68" t="n"/>
      <c r="BZ844" s="68" t="n"/>
      <c r="CA844" s="68" t="n"/>
      <c r="CB844" s="68" t="n"/>
      <c r="CC844" s="1110">
        <f>SUM(BY844,BZ844,CA844,CB844)</f>
        <v/>
      </c>
      <c r="CD844" s="1110" t="n"/>
      <c r="CE844" s="1110" t="n"/>
      <c r="CF844" s="1110" t="n"/>
      <c r="CG844" s="155" t="n"/>
    </row>
    <row r="845">
      <c r="A845" s="99">
        <f>A773</f>
        <v/>
      </c>
      <c r="B845" s="146" t="n"/>
      <c r="C845" s="1110">
        <f>C773</f>
        <v/>
      </c>
      <c r="D845" s="1110">
        <f>D773</f>
        <v/>
      </c>
      <c r="E845" s="1110">
        <f>E773</f>
        <v/>
      </c>
      <c r="F845" s="1110">
        <f>F773</f>
        <v/>
      </c>
      <c r="G845" s="68">
        <f>G773</f>
        <v/>
      </c>
      <c r="H845" s="68">
        <f>H773-G773</f>
        <v/>
      </c>
      <c r="I845" s="68">
        <f>I773-H773</f>
        <v/>
      </c>
      <c r="J845" s="68">
        <f>J773-I773</f>
        <v/>
      </c>
      <c r="K845" s="1110">
        <f>K773</f>
        <v/>
      </c>
      <c r="L845" s="68">
        <f>L773</f>
        <v/>
      </c>
      <c r="M845" s="68">
        <f>M773-L773</f>
        <v/>
      </c>
      <c r="N845" s="68">
        <f>N773-M773</f>
        <v/>
      </c>
      <c r="O845" s="68">
        <f>O773-N773</f>
        <v/>
      </c>
      <c r="P845" s="1110">
        <f>P773</f>
        <v/>
      </c>
      <c r="Q845" s="68">
        <f>Q773</f>
        <v/>
      </c>
      <c r="R845" s="68">
        <f>R773-Q773</f>
        <v/>
      </c>
      <c r="S845" s="68">
        <f>S773-R773</f>
        <v/>
      </c>
      <c r="T845" s="68">
        <f>T773-S773</f>
        <v/>
      </c>
      <c r="U845" s="1110">
        <f>U773</f>
        <v/>
      </c>
      <c r="V845" s="68">
        <f>V773</f>
        <v/>
      </c>
      <c r="W845" s="68">
        <f>W773-V773</f>
        <v/>
      </c>
      <c r="X845" s="68">
        <f>X773-W773</f>
        <v/>
      </c>
      <c r="Y845" s="68">
        <f>Y773-X773</f>
        <v/>
      </c>
      <c r="Z845" s="1110">
        <f>SUM(V845,W845,X845,Y845)</f>
        <v/>
      </c>
      <c r="AA845" s="68">
        <f>AA773</f>
        <v/>
      </c>
      <c r="AB845" s="68">
        <f>AB773-AA773</f>
        <v/>
      </c>
      <c r="AC845" s="68">
        <f>AC773-AB773</f>
        <v/>
      </c>
      <c r="AD845" s="68">
        <f>AD773-AC773</f>
        <v/>
      </c>
      <c r="AE845" s="1110">
        <f>SUM(AA845,AB845,AC845,AD845)</f>
        <v/>
      </c>
      <c r="AF845" s="68">
        <f>AF773</f>
        <v/>
      </c>
      <c r="AG845" s="68">
        <f>AG773-AF773</f>
        <v/>
      </c>
      <c r="AH845" s="68">
        <f>AH773-AG773</f>
        <v/>
      </c>
      <c r="AI845" s="68">
        <f>AI773-AH773</f>
        <v/>
      </c>
      <c r="AJ845" s="1110">
        <f>SUM(AF845,AG845,AH845,AI845)</f>
        <v/>
      </c>
      <c r="AK845" s="68">
        <f>AK773</f>
        <v/>
      </c>
      <c r="AL845" s="68">
        <f>AL773-AK773</f>
        <v/>
      </c>
      <c r="AM845" s="68">
        <f>AM773-AL773</f>
        <v/>
      </c>
      <c r="AN845" s="68">
        <f>AN773-AM773</f>
        <v/>
      </c>
      <c r="AO845" s="1110">
        <f>SUM(AK845,AL845,AM845,AN845)</f>
        <v/>
      </c>
      <c r="AP845" s="68">
        <f>AP773</f>
        <v/>
      </c>
      <c r="AQ845" s="27">
        <f>AQ773-AP773</f>
        <v/>
      </c>
      <c r="AR845" s="68">
        <f>AR773-AQ773</f>
        <v/>
      </c>
      <c r="AS845" s="68">
        <f>AS773-AR773</f>
        <v/>
      </c>
      <c r="AT845" s="1110">
        <f>SUM(AP845,AQ845,AR845,AS845)</f>
        <v/>
      </c>
      <c r="AU845" s="68">
        <f>AU773</f>
        <v/>
      </c>
      <c r="AV845" s="27">
        <f>AV773-AU773</f>
        <v/>
      </c>
      <c r="AW845" s="68">
        <f>AW773-AV773</f>
        <v/>
      </c>
      <c r="AX845" s="68">
        <f>AX773-AW773</f>
        <v/>
      </c>
      <c r="AY845" s="1110">
        <f>SUM(AU845,AV845,AW845,AX845)</f>
        <v/>
      </c>
      <c r="AZ845" s="68">
        <f>AZ773</f>
        <v/>
      </c>
      <c r="BA845" s="27">
        <f>BA773-AZ773</f>
        <v/>
      </c>
      <c r="BB845" s="68">
        <f>BB773-BA773</f>
        <v/>
      </c>
      <c r="BC845" s="68">
        <f>BC773-BB773</f>
        <v/>
      </c>
      <c r="BD845" s="1110">
        <f>SUM(AZ845,BA845,BB845,BC845)</f>
        <v/>
      </c>
      <c r="BE845" s="68">
        <f>BE773</f>
        <v/>
      </c>
      <c r="BF845" s="27">
        <f>BF773-BE773</f>
        <v/>
      </c>
      <c r="BG845" s="68">
        <f>BG773-BF773</f>
        <v/>
      </c>
      <c r="BH845" s="68">
        <f>BH773-BG773</f>
        <v/>
      </c>
      <c r="BI845" s="1110">
        <f>SUM(BE845,BF845,BG845,BH845)</f>
        <v/>
      </c>
      <c r="BJ845" s="68">
        <f>BJ773</f>
        <v/>
      </c>
      <c r="BK845" s="27">
        <f>BK773-BJ773</f>
        <v/>
      </c>
      <c r="BL845" s="68">
        <f>BL773-BK773</f>
        <v/>
      </c>
      <c r="BM845" s="68">
        <f>BM773-BL773</f>
        <v/>
      </c>
      <c r="BN845" s="1110">
        <f>SUM(BJ845,BK845,BL845,BM845)</f>
        <v/>
      </c>
      <c r="BO845" s="68">
        <f>BO773</f>
        <v/>
      </c>
      <c r="BP845" s="27">
        <f>BP773-BO773</f>
        <v/>
      </c>
      <c r="BQ845" s="68">
        <f>BQ773-BP773</f>
        <v/>
      </c>
      <c r="BR845" s="68">
        <f>BR773-BQ773</f>
        <v/>
      </c>
      <c r="BS845" s="1110">
        <f>SUM(BO845,BP845,BQ845,BR845)</f>
        <v/>
      </c>
      <c r="BT845" s="68">
        <f>BT773</f>
        <v/>
      </c>
      <c r="BU845" s="27">
        <f>BU773-BT773</f>
        <v/>
      </c>
      <c r="BV845" s="588">
        <f>BV773-BU773</f>
        <v/>
      </c>
      <c r="BW845" s="68" t="n"/>
      <c r="BX845" s="1110">
        <f>SUM(BT845,BU845,BV845,BW845)</f>
        <v/>
      </c>
      <c r="BY845" s="68" t="n"/>
      <c r="BZ845" s="68" t="n"/>
      <c r="CA845" s="68" t="n"/>
      <c r="CB845" s="68" t="n"/>
      <c r="CC845" s="1110">
        <f>SUM(BY845,BZ845,CA845,CB845)</f>
        <v/>
      </c>
      <c r="CD845" s="1110" t="n"/>
      <c r="CE845" s="1110" t="n"/>
      <c r="CF845" s="1110" t="n"/>
      <c r="CG845" s="155" t="n"/>
    </row>
    <row r="846">
      <c r="A846" s="99">
        <f>A774</f>
        <v/>
      </c>
      <c r="B846" s="146" t="n"/>
      <c r="C846" s="1110">
        <f>C774</f>
        <v/>
      </c>
      <c r="D846" s="1110">
        <f>D774</f>
        <v/>
      </c>
      <c r="E846" s="1110">
        <f>E774</f>
        <v/>
      </c>
      <c r="F846" s="1110">
        <f>F774</f>
        <v/>
      </c>
      <c r="G846" s="68">
        <f>G774</f>
        <v/>
      </c>
      <c r="H846" s="68">
        <f>H774-G774</f>
        <v/>
      </c>
      <c r="I846" s="68">
        <f>I774-H774</f>
        <v/>
      </c>
      <c r="J846" s="68">
        <f>J774-I774</f>
        <v/>
      </c>
      <c r="K846" s="1110">
        <f>K774</f>
        <v/>
      </c>
      <c r="L846" s="68">
        <f>L774</f>
        <v/>
      </c>
      <c r="M846" s="68">
        <f>M774-L774</f>
        <v/>
      </c>
      <c r="N846" s="68">
        <f>N774-M774</f>
        <v/>
      </c>
      <c r="O846" s="68">
        <f>O774-N774</f>
        <v/>
      </c>
      <c r="P846" s="1110">
        <f>P774</f>
        <v/>
      </c>
      <c r="Q846" s="68">
        <f>Q774</f>
        <v/>
      </c>
      <c r="R846" s="68">
        <f>R774-Q774</f>
        <v/>
      </c>
      <c r="S846" s="68">
        <f>S774-R774</f>
        <v/>
      </c>
      <c r="T846" s="68">
        <f>T774-S774</f>
        <v/>
      </c>
      <c r="U846" s="1110">
        <f>U774</f>
        <v/>
      </c>
      <c r="V846" s="68">
        <f>V774</f>
        <v/>
      </c>
      <c r="W846" s="68">
        <f>W774-V774</f>
        <v/>
      </c>
      <c r="X846" s="68">
        <f>X774-W774</f>
        <v/>
      </c>
      <c r="Y846" s="68">
        <f>Y774-X774</f>
        <v/>
      </c>
      <c r="Z846" s="1110">
        <f>SUM(V846,W846,X846,Y846)</f>
        <v/>
      </c>
      <c r="AA846" s="68">
        <f>AA774</f>
        <v/>
      </c>
      <c r="AB846" s="68">
        <f>AB774-AA774</f>
        <v/>
      </c>
      <c r="AC846" s="68">
        <f>AC774-AB774</f>
        <v/>
      </c>
      <c r="AD846" s="68">
        <f>AD774-AC774</f>
        <v/>
      </c>
      <c r="AE846" s="1110">
        <f>SUM(AA846,AB846,AC846,AD846)</f>
        <v/>
      </c>
      <c r="AF846" s="68">
        <f>AF774</f>
        <v/>
      </c>
      <c r="AG846" s="68">
        <f>AG774-AF774</f>
        <v/>
      </c>
      <c r="AH846" s="68">
        <f>AH774-AG774</f>
        <v/>
      </c>
      <c r="AI846" s="68">
        <f>AI774-AH774</f>
        <v/>
      </c>
      <c r="AJ846" s="1110">
        <f>SUM(AF846,AG846,AH846,AI846)</f>
        <v/>
      </c>
      <c r="AK846" s="68">
        <f>AK774</f>
        <v/>
      </c>
      <c r="AL846" s="68">
        <f>AL774-AK774</f>
        <v/>
      </c>
      <c r="AM846" s="68">
        <f>AM774-AL774</f>
        <v/>
      </c>
      <c r="AN846" s="68">
        <f>AN774-AM774</f>
        <v/>
      </c>
      <c r="AO846" s="1110">
        <f>SUM(AK846,AL846,AM846,AN846)</f>
        <v/>
      </c>
      <c r="AP846" s="68">
        <f>AP774</f>
        <v/>
      </c>
      <c r="AQ846" s="27">
        <f>AQ774-AP774</f>
        <v/>
      </c>
      <c r="AR846" s="68">
        <f>AR774-AQ774</f>
        <v/>
      </c>
      <c r="AS846" s="68">
        <f>AS774-AR774</f>
        <v/>
      </c>
      <c r="AT846" s="1110">
        <f>SUM(AP846,AQ846,AR846,AS846)</f>
        <v/>
      </c>
      <c r="AU846" s="68">
        <f>AU774</f>
        <v/>
      </c>
      <c r="AV846" s="27">
        <f>AV774-AU774</f>
        <v/>
      </c>
      <c r="AW846" s="68">
        <f>AW774-AV774</f>
        <v/>
      </c>
      <c r="AX846" s="68">
        <f>AX774-AW774</f>
        <v/>
      </c>
      <c r="AY846" s="1110">
        <f>SUM(AU846,AV846,AW846,AX846)</f>
        <v/>
      </c>
      <c r="AZ846" s="68">
        <f>AZ774</f>
        <v/>
      </c>
      <c r="BA846" s="27">
        <f>BA774-AZ774</f>
        <v/>
      </c>
      <c r="BB846" s="68">
        <f>BB774-BA774</f>
        <v/>
      </c>
      <c r="BC846" s="68">
        <f>BC774-BB774</f>
        <v/>
      </c>
      <c r="BD846" s="1110">
        <f>SUM(AZ846,BA846,BB846,BC846)</f>
        <v/>
      </c>
      <c r="BE846" s="68">
        <f>BE774</f>
        <v/>
      </c>
      <c r="BF846" s="27">
        <f>BF774-BE774</f>
        <v/>
      </c>
      <c r="BG846" s="68">
        <f>BG774-BF774</f>
        <v/>
      </c>
      <c r="BH846" s="68">
        <f>BH774-BG774</f>
        <v/>
      </c>
      <c r="BI846" s="1110">
        <f>SUM(BE846,BF846,BG846,BH846)</f>
        <v/>
      </c>
      <c r="BJ846" s="68">
        <f>BJ774</f>
        <v/>
      </c>
      <c r="BK846" s="27">
        <f>BK774-BJ774</f>
        <v/>
      </c>
      <c r="BL846" s="68">
        <f>BL774-BK774</f>
        <v/>
      </c>
      <c r="BM846" s="68">
        <f>BM774-BL774</f>
        <v/>
      </c>
      <c r="BN846" s="1110">
        <f>SUM(BJ846,BK846,BL846,BM846)</f>
        <v/>
      </c>
      <c r="BO846" s="68">
        <f>BO774</f>
        <v/>
      </c>
      <c r="BP846" s="27">
        <f>BP774-BO774</f>
        <v/>
      </c>
      <c r="BQ846" s="68">
        <f>BQ774-BP774</f>
        <v/>
      </c>
      <c r="BR846" s="68">
        <f>BR774-BQ774</f>
        <v/>
      </c>
      <c r="BS846" s="1110">
        <f>SUM(BO846,BP846,BQ846,BR846)</f>
        <v/>
      </c>
      <c r="BT846" s="68">
        <f>BT774</f>
        <v/>
      </c>
      <c r="BU846" s="27">
        <f>BU774-BT774</f>
        <v/>
      </c>
      <c r="BV846" s="588">
        <f>BV774-BU774</f>
        <v/>
      </c>
      <c r="BW846" s="68">
        <f>BW119</f>
        <v/>
      </c>
      <c r="BX846" s="1110">
        <f>SUM(BT846,BU846,BV846,BW846)</f>
        <v/>
      </c>
      <c r="BY846" s="68">
        <f>BY119</f>
        <v/>
      </c>
      <c r="BZ846" s="68">
        <f>BZ119</f>
        <v/>
      </c>
      <c r="CA846" s="68">
        <f>CA119</f>
        <v/>
      </c>
      <c r="CB846" s="68">
        <f>CB119</f>
        <v/>
      </c>
      <c r="CC846" s="1110">
        <f>SUM(BY846,BZ846,CA846,CB846)</f>
        <v/>
      </c>
      <c r="CD846" s="1110">
        <f>CD119</f>
        <v/>
      </c>
      <c r="CE846" s="1110">
        <f>CE119</f>
        <v/>
      </c>
      <c r="CF846" s="1110">
        <f>CF119</f>
        <v/>
      </c>
      <c r="CG846" s="155" t="n"/>
    </row>
    <row r="847">
      <c r="A847" s="99">
        <f>A775</f>
        <v/>
      </c>
      <c r="B847" s="146" t="n"/>
      <c r="C847" s="1110">
        <f>C775</f>
        <v/>
      </c>
      <c r="D847" s="1110">
        <f>D775</f>
        <v/>
      </c>
      <c r="E847" s="1110">
        <f>E775</f>
        <v/>
      </c>
      <c r="F847" s="1110">
        <f>F775</f>
        <v/>
      </c>
      <c r="G847" s="68">
        <f>G775</f>
        <v/>
      </c>
      <c r="H847" s="68">
        <f>H775-G775</f>
        <v/>
      </c>
      <c r="I847" s="68">
        <f>I775-H775</f>
        <v/>
      </c>
      <c r="J847" s="68">
        <f>J775-I775</f>
        <v/>
      </c>
      <c r="K847" s="1110">
        <f>K775</f>
        <v/>
      </c>
      <c r="L847" s="68">
        <f>L775</f>
        <v/>
      </c>
      <c r="M847" s="68">
        <f>M775-L775</f>
        <v/>
      </c>
      <c r="N847" s="68">
        <f>N775-M775</f>
        <v/>
      </c>
      <c r="O847" s="68">
        <f>O775-N775</f>
        <v/>
      </c>
      <c r="P847" s="1110">
        <f>P775</f>
        <v/>
      </c>
      <c r="Q847" s="68">
        <f>Q775</f>
        <v/>
      </c>
      <c r="R847" s="68">
        <f>R775-Q775</f>
        <v/>
      </c>
      <c r="S847" s="68">
        <f>S775-R775</f>
        <v/>
      </c>
      <c r="T847" s="68">
        <f>T775-S775</f>
        <v/>
      </c>
      <c r="U847" s="1110">
        <f>U775</f>
        <v/>
      </c>
      <c r="V847" s="68">
        <f>V775</f>
        <v/>
      </c>
      <c r="W847" s="68">
        <f>W775-V775</f>
        <v/>
      </c>
      <c r="X847" s="68">
        <f>X775-W775</f>
        <v/>
      </c>
      <c r="Y847" s="68">
        <f>Y775-X775</f>
        <v/>
      </c>
      <c r="Z847" s="1110">
        <f>SUM(V847,W847,X847,Y847)</f>
        <v/>
      </c>
      <c r="AA847" s="68">
        <f>AA775</f>
        <v/>
      </c>
      <c r="AB847" s="68">
        <f>AB775-AA775</f>
        <v/>
      </c>
      <c r="AC847" s="68">
        <f>AC775-AB775</f>
        <v/>
      </c>
      <c r="AD847" s="68">
        <f>AD775-AC775</f>
        <v/>
      </c>
      <c r="AE847" s="1110">
        <f>SUM(AA847,AB847,AC847,AD847)</f>
        <v/>
      </c>
      <c r="AF847" s="68">
        <f>AF775</f>
        <v/>
      </c>
      <c r="AG847" s="68">
        <f>AG775-AF775</f>
        <v/>
      </c>
      <c r="AH847" s="68">
        <f>AH775-AG775</f>
        <v/>
      </c>
      <c r="AI847" s="68">
        <f>AI775-AH775</f>
        <v/>
      </c>
      <c r="AJ847" s="1110">
        <f>SUM(AF847,AG847,AH847,AI847)</f>
        <v/>
      </c>
      <c r="AK847" s="68">
        <f>AK775</f>
        <v/>
      </c>
      <c r="AL847" s="68">
        <f>AL775-AK775</f>
        <v/>
      </c>
      <c r="AM847" s="68">
        <f>AM775-AL775</f>
        <v/>
      </c>
      <c r="AN847" s="68">
        <f>AN775-AM775</f>
        <v/>
      </c>
      <c r="AO847" s="1110">
        <f>SUM(AK847,AL847,AM847,AN847)</f>
        <v/>
      </c>
      <c r="AP847" s="68">
        <f>AP775</f>
        <v/>
      </c>
      <c r="AQ847" s="27">
        <f>AQ775-AP775</f>
        <v/>
      </c>
      <c r="AR847" s="68">
        <f>AR775-AQ775</f>
        <v/>
      </c>
      <c r="AS847" s="68">
        <f>AS775-AR775</f>
        <v/>
      </c>
      <c r="AT847" s="1110">
        <f>SUM(AP847,AQ847,AR847,AS847)</f>
        <v/>
      </c>
      <c r="AU847" s="68">
        <f>AU775</f>
        <v/>
      </c>
      <c r="AV847" s="27">
        <f>AV775-AU775</f>
        <v/>
      </c>
      <c r="AW847" s="68">
        <f>AW775-AV775</f>
        <v/>
      </c>
      <c r="AX847" s="68">
        <f>AX775-AW775</f>
        <v/>
      </c>
      <c r="AY847" s="1110">
        <f>SUM(AU847,AV847,AW847,AX847)</f>
        <v/>
      </c>
      <c r="AZ847" s="68">
        <f>AZ775</f>
        <v/>
      </c>
      <c r="BA847" s="27">
        <f>BA775-AZ775</f>
        <v/>
      </c>
      <c r="BB847" s="68">
        <f>BB775-BA775</f>
        <v/>
      </c>
      <c r="BC847" s="68">
        <f>BC775-BB775</f>
        <v/>
      </c>
      <c r="BD847" s="1110">
        <f>SUM(AZ847,BA847,BB847,BC847)</f>
        <v/>
      </c>
      <c r="BE847" s="68">
        <f>BE775</f>
        <v/>
      </c>
      <c r="BF847" s="27">
        <f>BF775-BE775</f>
        <v/>
      </c>
      <c r="BG847" s="68">
        <f>BG775-BF775</f>
        <v/>
      </c>
      <c r="BH847" s="68">
        <f>BH775-BG775</f>
        <v/>
      </c>
      <c r="BI847" s="1110">
        <f>SUM(BE847,BF847,BG847,BH847)</f>
        <v/>
      </c>
      <c r="BJ847" s="68">
        <f>BJ775</f>
        <v/>
      </c>
      <c r="BK847" s="27">
        <f>BK775-BJ775</f>
        <v/>
      </c>
      <c r="BL847" s="68">
        <f>BL775-BK775</f>
        <v/>
      </c>
      <c r="BM847" s="68">
        <f>BM775-BL775</f>
        <v/>
      </c>
      <c r="BN847" s="1110">
        <f>SUM(BJ847,BK847,BL847,BM847)</f>
        <v/>
      </c>
      <c r="BO847" s="68">
        <f>BO775</f>
        <v/>
      </c>
      <c r="BP847" s="27">
        <f>BP775-BO775</f>
        <v/>
      </c>
      <c r="BQ847" s="68">
        <f>BQ775-BP775</f>
        <v/>
      </c>
      <c r="BR847" s="68">
        <f>BR775-BQ775</f>
        <v/>
      </c>
      <c r="BS847" s="1110">
        <f>SUM(BO847,BP847,BQ847,BR847)</f>
        <v/>
      </c>
      <c r="BT847" s="68">
        <f>BT775</f>
        <v/>
      </c>
      <c r="BU847" s="27">
        <f>BU775-BT775</f>
        <v/>
      </c>
      <c r="BV847" s="588">
        <f>BV775-BU775</f>
        <v/>
      </c>
      <c r="BW847" s="68">
        <f>BW408</f>
        <v/>
      </c>
      <c r="BX847" s="1110">
        <f>SUM(BT847,BU847,BV847,BW847)</f>
        <v/>
      </c>
      <c r="BY847" s="68">
        <f>BY408</f>
        <v/>
      </c>
      <c r="BZ847" s="68">
        <f>BZ408</f>
        <v/>
      </c>
      <c r="CA847" s="68">
        <f>CA408</f>
        <v/>
      </c>
      <c r="CB847" s="68">
        <f>CB408</f>
        <v/>
      </c>
      <c r="CC847" s="1110">
        <f>SUM(BY847,BZ847,CA847,CB847)</f>
        <v/>
      </c>
      <c r="CD847" s="1110">
        <f>CD408</f>
        <v/>
      </c>
      <c r="CE847" s="1110">
        <f>CE408</f>
        <v/>
      </c>
      <c r="CF847" s="1110">
        <f>CF408</f>
        <v/>
      </c>
      <c r="CG847" s="155" t="n"/>
    </row>
    <row r="848">
      <c r="A848" s="99">
        <f>A776</f>
        <v/>
      </c>
      <c r="B848" s="146" t="n"/>
      <c r="C848" s="1110">
        <f>C776</f>
        <v/>
      </c>
      <c r="D848" s="1110">
        <f>D776</f>
        <v/>
      </c>
      <c r="E848" s="1110">
        <f>E776</f>
        <v/>
      </c>
      <c r="F848" s="1110">
        <f>F776</f>
        <v/>
      </c>
      <c r="G848" s="68">
        <f>G776</f>
        <v/>
      </c>
      <c r="H848" s="68">
        <f>H776-G776</f>
        <v/>
      </c>
      <c r="I848" s="68">
        <f>I776-H776</f>
        <v/>
      </c>
      <c r="J848" s="68">
        <f>J776-I776</f>
        <v/>
      </c>
      <c r="K848" s="1110">
        <f>K776</f>
        <v/>
      </c>
      <c r="L848" s="68">
        <f>L776</f>
        <v/>
      </c>
      <c r="M848" s="68">
        <f>M776-L776</f>
        <v/>
      </c>
      <c r="N848" s="68">
        <f>N776-M776</f>
        <v/>
      </c>
      <c r="O848" s="68">
        <f>O776-N776</f>
        <v/>
      </c>
      <c r="P848" s="1110">
        <f>P776</f>
        <v/>
      </c>
      <c r="Q848" s="68">
        <f>Q776</f>
        <v/>
      </c>
      <c r="R848" s="68">
        <f>R776-Q776</f>
        <v/>
      </c>
      <c r="S848" s="68">
        <f>S776-R776</f>
        <v/>
      </c>
      <c r="T848" s="68">
        <f>T776-S776</f>
        <v/>
      </c>
      <c r="U848" s="1110">
        <f>U776</f>
        <v/>
      </c>
      <c r="V848" s="68">
        <f>V776</f>
        <v/>
      </c>
      <c r="W848" s="68">
        <f>W776-V776</f>
        <v/>
      </c>
      <c r="X848" s="68">
        <f>X776-W776</f>
        <v/>
      </c>
      <c r="Y848" s="68">
        <f>Y776-X776</f>
        <v/>
      </c>
      <c r="Z848" s="1110">
        <f>SUM(V848,W848,X848,Y848)</f>
        <v/>
      </c>
      <c r="AA848" s="68">
        <f>AA776</f>
        <v/>
      </c>
      <c r="AB848" s="68">
        <f>AB776-AA776</f>
        <v/>
      </c>
      <c r="AC848" s="68">
        <f>AC776-AB776</f>
        <v/>
      </c>
      <c r="AD848" s="68">
        <f>AD776-AC776</f>
        <v/>
      </c>
      <c r="AE848" s="1110">
        <f>SUM(AA848,AB848,AC848,AD848)</f>
        <v/>
      </c>
      <c r="AF848" s="68">
        <f>AF776</f>
        <v/>
      </c>
      <c r="AG848" s="68">
        <f>AG776-AF776</f>
        <v/>
      </c>
      <c r="AH848" s="68">
        <f>AH776-AG776</f>
        <v/>
      </c>
      <c r="AI848" s="68">
        <f>AI776-AH776</f>
        <v/>
      </c>
      <c r="AJ848" s="1110">
        <f>SUM(AF848,AG848,AH848,AI848)</f>
        <v/>
      </c>
      <c r="AK848" s="68">
        <f>AK776</f>
        <v/>
      </c>
      <c r="AL848" s="68">
        <f>AL776-AK776</f>
        <v/>
      </c>
      <c r="AM848" s="68">
        <f>AM776-AL776</f>
        <v/>
      </c>
      <c r="AN848" s="68">
        <f>AN776-AM776</f>
        <v/>
      </c>
      <c r="AO848" s="1110">
        <f>SUM(AK848,AL848,AM848,AN848)</f>
        <v/>
      </c>
      <c r="AP848" s="68">
        <f>AP776</f>
        <v/>
      </c>
      <c r="AQ848" s="27">
        <f>AQ776-AP776</f>
        <v/>
      </c>
      <c r="AR848" s="68">
        <f>AR776-AQ776</f>
        <v/>
      </c>
      <c r="AS848" s="68">
        <f>AS776-AR776</f>
        <v/>
      </c>
      <c r="AT848" s="1110">
        <f>SUM(AP848,AQ848,AR848,AS848)</f>
        <v/>
      </c>
      <c r="AU848" s="68">
        <f>AU776</f>
        <v/>
      </c>
      <c r="AV848" s="27">
        <f>AV776-AU776</f>
        <v/>
      </c>
      <c r="AW848" s="68">
        <f>AW776-AV776</f>
        <v/>
      </c>
      <c r="AX848" s="68">
        <f>AX776-AW776</f>
        <v/>
      </c>
      <c r="AY848" s="1110">
        <f>SUM(AU848,AV848,AW848,AX848)</f>
        <v/>
      </c>
      <c r="AZ848" s="68">
        <f>AZ776</f>
        <v/>
      </c>
      <c r="BA848" s="27">
        <f>BA776-AZ776</f>
        <v/>
      </c>
      <c r="BB848" s="68">
        <f>BB776-BA776</f>
        <v/>
      </c>
      <c r="BC848" s="68">
        <f>BC776-BB776</f>
        <v/>
      </c>
      <c r="BD848" s="1110">
        <f>SUM(AZ848,BA848,BB848,BC848)</f>
        <v/>
      </c>
      <c r="BE848" s="68">
        <f>BE776</f>
        <v/>
      </c>
      <c r="BF848" s="27">
        <f>BF776-BE776</f>
        <v/>
      </c>
      <c r="BG848" s="68">
        <f>BG776-BF776</f>
        <v/>
      </c>
      <c r="BH848" s="68">
        <f>BH776-BG776</f>
        <v/>
      </c>
      <c r="BI848" s="1110">
        <f>SUM(BE848,BF848,BG848,BH848)</f>
        <v/>
      </c>
      <c r="BJ848" s="68">
        <f>BJ776</f>
        <v/>
      </c>
      <c r="BK848" s="27">
        <f>BK776-BJ776</f>
        <v/>
      </c>
      <c r="BL848" s="68">
        <f>BL776-BK776</f>
        <v/>
      </c>
      <c r="BM848" s="68">
        <f>BM776-BL776</f>
        <v/>
      </c>
      <c r="BN848" s="1110">
        <f>SUM(BJ848,BK848,BL848,BM848)</f>
        <v/>
      </c>
      <c r="BO848" s="68">
        <f>BO776</f>
        <v/>
      </c>
      <c r="BP848" s="27">
        <f>BP776-BO776</f>
        <v/>
      </c>
      <c r="BQ848" s="68">
        <f>BQ776-BP776</f>
        <v/>
      </c>
      <c r="BR848" s="68">
        <f>BR776-BQ776</f>
        <v/>
      </c>
      <c r="BS848" s="1110">
        <f>SUM(BO848,BP848,BQ848,BR848)</f>
        <v/>
      </c>
      <c r="BT848" s="68">
        <f>BT776</f>
        <v/>
      </c>
      <c r="BU848" s="27">
        <f>BU776-BT776</f>
        <v/>
      </c>
      <c r="BV848" s="588">
        <f>BV776-BU776</f>
        <v/>
      </c>
      <c r="BW848" s="68" t="n"/>
      <c r="BX848" s="1110">
        <f>SUM(BT848,BU848,BV848,BW848)</f>
        <v/>
      </c>
      <c r="BY848" s="68" t="n"/>
      <c r="BZ848" s="68" t="n"/>
      <c r="CA848" s="68" t="n"/>
      <c r="CB848" s="68" t="n"/>
      <c r="CC848" s="1110">
        <f>SUM(BY848,BZ848,CA848,CB848)</f>
        <v/>
      </c>
      <c r="CD848" s="1110" t="n"/>
      <c r="CE848" s="1110" t="n"/>
      <c r="CF848" s="1110" t="n"/>
      <c r="CG848" s="155" t="n"/>
    </row>
    <row r="849">
      <c r="A849" s="99">
        <f>A777</f>
        <v/>
      </c>
      <c r="B849" s="146" t="n"/>
      <c r="C849" s="1110">
        <f>C777</f>
        <v/>
      </c>
      <c r="D849" s="1110">
        <f>D777</f>
        <v/>
      </c>
      <c r="E849" s="1110">
        <f>E777</f>
        <v/>
      </c>
      <c r="F849" s="1110">
        <f>F777</f>
        <v/>
      </c>
      <c r="G849" s="68">
        <f>G777</f>
        <v/>
      </c>
      <c r="H849" s="68">
        <f>H777-G777</f>
        <v/>
      </c>
      <c r="I849" s="68">
        <f>I777-H777</f>
        <v/>
      </c>
      <c r="J849" s="68">
        <f>J777-I777</f>
        <v/>
      </c>
      <c r="K849" s="1110">
        <f>K777</f>
        <v/>
      </c>
      <c r="L849" s="68">
        <f>L777</f>
        <v/>
      </c>
      <c r="M849" s="68">
        <f>M777-L777</f>
        <v/>
      </c>
      <c r="N849" s="68">
        <f>N777-M777</f>
        <v/>
      </c>
      <c r="O849" s="68">
        <f>O777-N777</f>
        <v/>
      </c>
      <c r="P849" s="1110">
        <f>P777</f>
        <v/>
      </c>
      <c r="Q849" s="68">
        <f>Q777</f>
        <v/>
      </c>
      <c r="R849" s="68">
        <f>R777-Q777</f>
        <v/>
      </c>
      <c r="S849" s="68">
        <f>S777-R777</f>
        <v/>
      </c>
      <c r="T849" s="68">
        <f>T777-S777</f>
        <v/>
      </c>
      <c r="U849" s="1110">
        <f>U777</f>
        <v/>
      </c>
      <c r="V849" s="68">
        <f>V777</f>
        <v/>
      </c>
      <c r="W849" s="68">
        <f>W777-V777</f>
        <v/>
      </c>
      <c r="X849" s="68">
        <f>X777-W777</f>
        <v/>
      </c>
      <c r="Y849" s="68">
        <f>Y777-X777</f>
        <v/>
      </c>
      <c r="Z849" s="1110">
        <f>SUM(V849,W849,X849,Y849)</f>
        <v/>
      </c>
      <c r="AA849" s="68">
        <f>AA777</f>
        <v/>
      </c>
      <c r="AB849" s="68">
        <f>AB777-AA777</f>
        <v/>
      </c>
      <c r="AC849" s="68">
        <f>AC777-AB777</f>
        <v/>
      </c>
      <c r="AD849" s="68">
        <f>AD777-AC777</f>
        <v/>
      </c>
      <c r="AE849" s="1110">
        <f>SUM(AA849,AB849,AC849,AD849)</f>
        <v/>
      </c>
      <c r="AF849" s="68">
        <f>AF777</f>
        <v/>
      </c>
      <c r="AG849" s="68">
        <f>AG777-AF777</f>
        <v/>
      </c>
      <c r="AH849" s="68">
        <f>AH777-AG777</f>
        <v/>
      </c>
      <c r="AI849" s="68">
        <f>AI777-AH777</f>
        <v/>
      </c>
      <c r="AJ849" s="1110">
        <f>SUM(AF849,AG849,AH849,AI849)</f>
        <v/>
      </c>
      <c r="AK849" s="68">
        <f>AK777</f>
        <v/>
      </c>
      <c r="AL849" s="68">
        <f>AL777-AK777</f>
        <v/>
      </c>
      <c r="AM849" s="68">
        <f>AM777-AL777</f>
        <v/>
      </c>
      <c r="AN849" s="68">
        <f>AN777-AM777</f>
        <v/>
      </c>
      <c r="AO849" s="1110">
        <f>SUM(AK849,AL849,AM849,AN849)</f>
        <v/>
      </c>
      <c r="AP849" s="68">
        <f>AP777</f>
        <v/>
      </c>
      <c r="AQ849" s="27">
        <f>AQ777-AP777</f>
        <v/>
      </c>
      <c r="AR849" s="68">
        <f>AR777-AQ777</f>
        <v/>
      </c>
      <c r="AS849" s="68">
        <f>AS777-AR777</f>
        <v/>
      </c>
      <c r="AT849" s="1110">
        <f>SUM(AP849,AQ849,AR849,AS849)</f>
        <v/>
      </c>
      <c r="AU849" s="68">
        <f>AU777</f>
        <v/>
      </c>
      <c r="AV849" s="27">
        <f>AV777-AU777</f>
        <v/>
      </c>
      <c r="AW849" s="68">
        <f>AW777-AV777</f>
        <v/>
      </c>
      <c r="AX849" s="68">
        <f>AX777-AW777</f>
        <v/>
      </c>
      <c r="AY849" s="1110">
        <f>SUM(AU849,AV849,AW849,AX849)</f>
        <v/>
      </c>
      <c r="AZ849" s="68">
        <f>AZ777</f>
        <v/>
      </c>
      <c r="BA849" s="27">
        <f>BA777-AZ777</f>
        <v/>
      </c>
      <c r="BB849" s="68">
        <f>BB777-BA777</f>
        <v/>
      </c>
      <c r="BC849" s="68">
        <f>BC777-BB777</f>
        <v/>
      </c>
      <c r="BD849" s="1110">
        <f>SUM(AZ849,BA849,BB849,BC849)</f>
        <v/>
      </c>
      <c r="BE849" s="68">
        <f>BE777</f>
        <v/>
      </c>
      <c r="BF849" s="27">
        <f>BF777-BE777</f>
        <v/>
      </c>
      <c r="BG849" s="68">
        <f>BG777-BF777</f>
        <v/>
      </c>
      <c r="BH849" s="68">
        <f>BH777-BG777</f>
        <v/>
      </c>
      <c r="BI849" s="1110">
        <f>SUM(BE849,BF849,BG849,BH849)</f>
        <v/>
      </c>
      <c r="BJ849" s="68">
        <f>BJ777</f>
        <v/>
      </c>
      <c r="BK849" s="27">
        <f>BK777-BJ777</f>
        <v/>
      </c>
      <c r="BL849" s="68">
        <f>BL777-BK777</f>
        <v/>
      </c>
      <c r="BM849" s="68">
        <f>BM777-BL777</f>
        <v/>
      </c>
      <c r="BN849" s="1110">
        <f>SUM(BJ849,BK849,BL849,BM849)</f>
        <v/>
      </c>
      <c r="BO849" s="68">
        <f>BO777</f>
        <v/>
      </c>
      <c r="BP849" s="27">
        <f>BP777-BO777</f>
        <v/>
      </c>
      <c r="BQ849" s="68">
        <f>BQ777-BP777</f>
        <v/>
      </c>
      <c r="BR849" s="68">
        <f>BR777-BQ777</f>
        <v/>
      </c>
      <c r="BS849" s="1110">
        <f>SUM(BO849,BP849,BQ849,BR849)</f>
        <v/>
      </c>
      <c r="BT849" s="68">
        <f>BT777</f>
        <v/>
      </c>
      <c r="BU849" s="27">
        <f>BU777-BT777</f>
        <v/>
      </c>
      <c r="BV849" s="588">
        <f>BV777-BU777</f>
        <v/>
      </c>
      <c r="BW849" s="68" t="n"/>
      <c r="BX849" s="1110">
        <f>SUM(BT849,BU849,BV849,BW849)</f>
        <v/>
      </c>
      <c r="BY849" s="68" t="n"/>
      <c r="BZ849" s="68" t="n"/>
      <c r="CA849" s="68" t="n"/>
      <c r="CB849" s="68" t="n"/>
      <c r="CC849" s="1110">
        <f>SUM(BY849,BZ849,CA849,CB849)</f>
        <v/>
      </c>
      <c r="CD849" s="1110" t="n"/>
      <c r="CE849" s="1110" t="n"/>
      <c r="CF849" s="1110" t="n"/>
      <c r="CG849" s="155" t="n"/>
    </row>
    <row r="850">
      <c r="A850" s="99">
        <f>A778</f>
        <v/>
      </c>
      <c r="B850" s="146" t="n"/>
      <c r="C850" s="1110">
        <f>C778</f>
        <v/>
      </c>
      <c r="D850" s="1110">
        <f>D778</f>
        <v/>
      </c>
      <c r="E850" s="1110">
        <f>E778</f>
        <v/>
      </c>
      <c r="F850" s="1110">
        <f>F778</f>
        <v/>
      </c>
      <c r="G850" s="68">
        <f>G778</f>
        <v/>
      </c>
      <c r="H850" s="68">
        <f>H778-G778</f>
        <v/>
      </c>
      <c r="I850" s="68">
        <f>I778-H778</f>
        <v/>
      </c>
      <c r="J850" s="68">
        <f>J778-I778</f>
        <v/>
      </c>
      <c r="K850" s="1110">
        <f>K778</f>
        <v/>
      </c>
      <c r="L850" s="68">
        <f>L778</f>
        <v/>
      </c>
      <c r="M850" s="68">
        <f>M778-L778</f>
        <v/>
      </c>
      <c r="N850" s="68">
        <f>N778-M778</f>
        <v/>
      </c>
      <c r="O850" s="68">
        <f>O778-N778</f>
        <v/>
      </c>
      <c r="P850" s="1110">
        <f>P778</f>
        <v/>
      </c>
      <c r="Q850" s="68">
        <f>Q778</f>
        <v/>
      </c>
      <c r="R850" s="68">
        <f>R778-Q778</f>
        <v/>
      </c>
      <c r="S850" s="68">
        <f>S778-R778</f>
        <v/>
      </c>
      <c r="T850" s="68">
        <f>T778-S778</f>
        <v/>
      </c>
      <c r="U850" s="1110">
        <f>U778</f>
        <v/>
      </c>
      <c r="V850" s="68">
        <f>V778</f>
        <v/>
      </c>
      <c r="W850" s="68">
        <f>W778-V778</f>
        <v/>
      </c>
      <c r="X850" s="68">
        <f>X778-W778</f>
        <v/>
      </c>
      <c r="Y850" s="68">
        <f>Y778-X778</f>
        <v/>
      </c>
      <c r="Z850" s="1110">
        <f>SUM(V850,W850,X850,Y850)</f>
        <v/>
      </c>
      <c r="AA850" s="68">
        <f>AA778</f>
        <v/>
      </c>
      <c r="AB850" s="68">
        <f>AB778-AA778</f>
        <v/>
      </c>
      <c r="AC850" s="68">
        <f>AC778-AB778</f>
        <v/>
      </c>
      <c r="AD850" s="68">
        <f>AD778-AC778</f>
        <v/>
      </c>
      <c r="AE850" s="1110">
        <f>SUM(AA850,AB850,AC850,AD850)</f>
        <v/>
      </c>
      <c r="AF850" s="68">
        <f>AF778</f>
        <v/>
      </c>
      <c r="AG850" s="68">
        <f>AG778-AF778</f>
        <v/>
      </c>
      <c r="AH850" s="68">
        <f>AH778-AG778</f>
        <v/>
      </c>
      <c r="AI850" s="68">
        <f>AI778-AH778</f>
        <v/>
      </c>
      <c r="AJ850" s="1110">
        <f>SUM(AF850,AG850,AH850,AI850)</f>
        <v/>
      </c>
      <c r="AK850" s="68">
        <f>AK778</f>
        <v/>
      </c>
      <c r="AL850" s="68">
        <f>AL778-AK778</f>
        <v/>
      </c>
      <c r="AM850" s="68">
        <f>AM778-AL778</f>
        <v/>
      </c>
      <c r="AN850" s="68">
        <f>AN778-AM778</f>
        <v/>
      </c>
      <c r="AO850" s="1110">
        <f>SUM(AK850,AL850,AM850,AN850)</f>
        <v/>
      </c>
      <c r="AP850" s="68">
        <f>AP778</f>
        <v/>
      </c>
      <c r="AQ850" s="27">
        <f>AQ778-AP778</f>
        <v/>
      </c>
      <c r="AR850" s="68">
        <f>AR778-AQ778</f>
        <v/>
      </c>
      <c r="AS850" s="68">
        <f>AS778-AR778</f>
        <v/>
      </c>
      <c r="AT850" s="1110">
        <f>SUM(AP850,AQ850,AR850,AS850)</f>
        <v/>
      </c>
      <c r="AU850" s="68">
        <f>AU778</f>
        <v/>
      </c>
      <c r="AV850" s="27">
        <f>AV778-AU778</f>
        <v/>
      </c>
      <c r="AW850" s="68">
        <f>AW778-AV778</f>
        <v/>
      </c>
      <c r="AX850" s="68">
        <f>AX778-AW778</f>
        <v/>
      </c>
      <c r="AY850" s="1110">
        <f>SUM(AU850,AV850,AW850,AX850)</f>
        <v/>
      </c>
      <c r="AZ850" s="68">
        <f>AZ778</f>
        <v/>
      </c>
      <c r="BA850" s="27">
        <f>BA778-AZ778</f>
        <v/>
      </c>
      <c r="BB850" s="68">
        <f>BB778-BA778</f>
        <v/>
      </c>
      <c r="BC850" s="68">
        <f>BC778-BB778</f>
        <v/>
      </c>
      <c r="BD850" s="1110">
        <f>SUM(AZ850,BA850,BB850,BC850)</f>
        <v/>
      </c>
      <c r="BE850" s="68">
        <f>BE778</f>
        <v/>
      </c>
      <c r="BF850" s="27">
        <f>BF778-BE778</f>
        <v/>
      </c>
      <c r="BG850" s="68">
        <f>BG778-BF778</f>
        <v/>
      </c>
      <c r="BH850" s="68">
        <f>BH778-BG778</f>
        <v/>
      </c>
      <c r="BI850" s="1110">
        <f>SUM(BE850,BF850,BG850,BH850)</f>
        <v/>
      </c>
      <c r="BJ850" s="68">
        <f>BJ778</f>
        <v/>
      </c>
      <c r="BK850" s="27">
        <f>BK778-BJ778</f>
        <v/>
      </c>
      <c r="BL850" s="68">
        <f>BL778-BK778</f>
        <v/>
      </c>
      <c r="BM850" s="68">
        <f>BM778-BL778</f>
        <v/>
      </c>
      <c r="BN850" s="1110">
        <f>SUM(BJ850,BK850,BL850,BM850)</f>
        <v/>
      </c>
      <c r="BO850" s="68">
        <f>BO778</f>
        <v/>
      </c>
      <c r="BP850" s="27">
        <f>BP778-BO778</f>
        <v/>
      </c>
      <c r="BQ850" s="68">
        <f>BQ778-BP778</f>
        <v/>
      </c>
      <c r="BR850" s="68">
        <f>BR778-BQ778</f>
        <v/>
      </c>
      <c r="BS850" s="1110">
        <f>SUM(BO850,BP850,BQ850,BR850)</f>
        <v/>
      </c>
      <c r="BT850" s="68">
        <f>BT778</f>
        <v/>
      </c>
      <c r="BU850" s="27">
        <f>BU778-BT778</f>
        <v/>
      </c>
      <c r="BV850" s="588">
        <f>BV778-BU778</f>
        <v/>
      </c>
      <c r="BW850" s="68" t="n"/>
      <c r="BX850" s="1110">
        <f>SUM(BT850,BU850,BV850,BW850)</f>
        <v/>
      </c>
      <c r="BY850" s="68" t="n"/>
      <c r="BZ850" s="68" t="n"/>
      <c r="CA850" s="68" t="n"/>
      <c r="CB850" s="68" t="n"/>
      <c r="CC850" s="1110">
        <f>SUM(BY850,BZ850,CA850,CB850)</f>
        <v/>
      </c>
      <c r="CD850" s="1110" t="n"/>
      <c r="CE850" s="1110" t="n"/>
      <c r="CF850" s="1110" t="n"/>
      <c r="CG850" s="155" t="n"/>
    </row>
    <row r="851">
      <c r="A851" s="99">
        <f>A779</f>
        <v/>
      </c>
      <c r="B851" s="146" t="n"/>
      <c r="C851" s="1110">
        <f>C779</f>
        <v/>
      </c>
      <c r="D851" s="1110">
        <f>D779</f>
        <v/>
      </c>
      <c r="E851" s="1110">
        <f>E779</f>
        <v/>
      </c>
      <c r="F851" s="1110">
        <f>F779</f>
        <v/>
      </c>
      <c r="G851" s="68">
        <f>G779</f>
        <v/>
      </c>
      <c r="H851" s="68">
        <f>H779-G779</f>
        <v/>
      </c>
      <c r="I851" s="68">
        <f>I779-H779</f>
        <v/>
      </c>
      <c r="J851" s="68">
        <f>J779-I779</f>
        <v/>
      </c>
      <c r="K851" s="1110">
        <f>K779</f>
        <v/>
      </c>
      <c r="L851" s="68">
        <f>L779</f>
        <v/>
      </c>
      <c r="M851" s="68">
        <f>M779-L779</f>
        <v/>
      </c>
      <c r="N851" s="68">
        <f>N779-M779</f>
        <v/>
      </c>
      <c r="O851" s="68">
        <f>O779-N779</f>
        <v/>
      </c>
      <c r="P851" s="1110">
        <f>P779</f>
        <v/>
      </c>
      <c r="Q851" s="68">
        <f>Q779</f>
        <v/>
      </c>
      <c r="R851" s="68">
        <f>R779-Q779</f>
        <v/>
      </c>
      <c r="S851" s="68">
        <f>S779-R779</f>
        <v/>
      </c>
      <c r="T851" s="68">
        <f>T779-S779</f>
        <v/>
      </c>
      <c r="U851" s="1110">
        <f>U779</f>
        <v/>
      </c>
      <c r="V851" s="68">
        <f>V779</f>
        <v/>
      </c>
      <c r="W851" s="68">
        <f>W779-V779</f>
        <v/>
      </c>
      <c r="X851" s="68">
        <f>X779-W779</f>
        <v/>
      </c>
      <c r="Y851" s="68">
        <f>Y779-X779</f>
        <v/>
      </c>
      <c r="Z851" s="1110">
        <f>SUM(V851,W851,X851,Y851)</f>
        <v/>
      </c>
      <c r="AA851" s="68">
        <f>AA779</f>
        <v/>
      </c>
      <c r="AB851" s="68">
        <f>AB779-AA779</f>
        <v/>
      </c>
      <c r="AC851" s="68">
        <f>AC779-AB779</f>
        <v/>
      </c>
      <c r="AD851" s="68">
        <f>AD779-AC779</f>
        <v/>
      </c>
      <c r="AE851" s="1110">
        <f>SUM(AA851,AB851,AC851,AD851)</f>
        <v/>
      </c>
      <c r="AF851" s="68">
        <f>AF779</f>
        <v/>
      </c>
      <c r="AG851" s="68">
        <f>AG779-AF779</f>
        <v/>
      </c>
      <c r="AH851" s="68">
        <f>AH779-AG779</f>
        <v/>
      </c>
      <c r="AI851" s="68">
        <f>AI779-AH779</f>
        <v/>
      </c>
      <c r="AJ851" s="1110">
        <f>SUM(AF851,AG851,AH851,AI851)</f>
        <v/>
      </c>
      <c r="AK851" s="68">
        <f>AK779</f>
        <v/>
      </c>
      <c r="AL851" s="68">
        <f>AL779-AK779</f>
        <v/>
      </c>
      <c r="AM851" s="68">
        <f>AM779-AL779</f>
        <v/>
      </c>
      <c r="AN851" s="68">
        <f>AN779-AM779</f>
        <v/>
      </c>
      <c r="AO851" s="1110">
        <f>SUM(AK851,AL851,AM851,AN851)</f>
        <v/>
      </c>
      <c r="AP851" s="68">
        <f>AP779</f>
        <v/>
      </c>
      <c r="AQ851" s="27">
        <f>AQ779-AP779</f>
        <v/>
      </c>
      <c r="AR851" s="68">
        <f>AR779-AQ779</f>
        <v/>
      </c>
      <c r="AS851" s="68">
        <f>AS779-AR779</f>
        <v/>
      </c>
      <c r="AT851" s="1110">
        <f>SUM(AP851,AQ851,AR851,AS851)</f>
        <v/>
      </c>
      <c r="AU851" s="68">
        <f>AU779</f>
        <v/>
      </c>
      <c r="AV851" s="27">
        <f>AV779-AU779</f>
        <v/>
      </c>
      <c r="AW851" s="68">
        <f>AW779-AV779</f>
        <v/>
      </c>
      <c r="AX851" s="68">
        <f>AX779-AW779</f>
        <v/>
      </c>
      <c r="AY851" s="1110">
        <f>SUM(AU851,AV851,AW851,AX851)</f>
        <v/>
      </c>
      <c r="AZ851" s="68">
        <f>AZ779</f>
        <v/>
      </c>
      <c r="BA851" s="27">
        <f>BA779-AZ779</f>
        <v/>
      </c>
      <c r="BB851" s="68">
        <f>BB779-BA779</f>
        <v/>
      </c>
      <c r="BC851" s="68">
        <f>BC779-BB779</f>
        <v/>
      </c>
      <c r="BD851" s="1110">
        <f>SUM(AZ851,BA851,BB851,BC851)</f>
        <v/>
      </c>
      <c r="BE851" s="68">
        <f>BE779</f>
        <v/>
      </c>
      <c r="BF851" s="27">
        <f>BF779-BE779</f>
        <v/>
      </c>
      <c r="BG851" s="68">
        <f>BG779-BF779</f>
        <v/>
      </c>
      <c r="BH851" s="68">
        <f>BH779-BG779</f>
        <v/>
      </c>
      <c r="BI851" s="1110">
        <f>SUM(BE851,BF851,BG851,BH851)</f>
        <v/>
      </c>
      <c r="BJ851" s="68">
        <f>BJ779</f>
        <v/>
      </c>
      <c r="BK851" s="27">
        <f>BK779-BJ779</f>
        <v/>
      </c>
      <c r="BL851" s="68">
        <f>BL779-BK779</f>
        <v/>
      </c>
      <c r="BM851" s="68">
        <f>BM779-BL779</f>
        <v/>
      </c>
      <c r="BN851" s="1110">
        <f>SUM(BJ851,BK851,BL851,BM851)</f>
        <v/>
      </c>
      <c r="BO851" s="68">
        <f>BO779</f>
        <v/>
      </c>
      <c r="BP851" s="27">
        <f>BP779-BO779</f>
        <v/>
      </c>
      <c r="BQ851" s="68">
        <f>BQ779-BP779</f>
        <v/>
      </c>
      <c r="BR851" s="68">
        <f>BR779-BQ779</f>
        <v/>
      </c>
      <c r="BS851" s="1110">
        <f>SUM(BO851,BP851,BQ851,BR851)</f>
        <v/>
      </c>
      <c r="BT851" s="68">
        <f>BT779</f>
        <v/>
      </c>
      <c r="BU851" s="27">
        <f>BU779-BT779</f>
        <v/>
      </c>
      <c r="BV851" s="588">
        <f>BV779-BU779</f>
        <v/>
      </c>
      <c r="BW851" s="68" t="n"/>
      <c r="BX851" s="1110">
        <f>SUM(BT851,BU851,BV851,BW851)</f>
        <v/>
      </c>
      <c r="BY851" s="68" t="n"/>
      <c r="BZ851" s="68" t="n"/>
      <c r="CA851" s="68" t="n"/>
      <c r="CB851" s="68" t="n"/>
      <c r="CC851" s="1110">
        <f>SUM(BY851,BZ851,CA851,CB851)</f>
        <v/>
      </c>
      <c r="CD851" s="1110" t="n"/>
      <c r="CE851" s="1110" t="n"/>
      <c r="CF851" s="1110" t="n"/>
      <c r="CG851" s="155" t="n"/>
    </row>
    <row r="852">
      <c r="A852" s="99">
        <f>A780</f>
        <v/>
      </c>
      <c r="B852" s="146" t="n"/>
      <c r="C852" s="1110">
        <f>C780</f>
        <v/>
      </c>
      <c r="D852" s="1110">
        <f>D780</f>
        <v/>
      </c>
      <c r="E852" s="1110">
        <f>E780</f>
        <v/>
      </c>
      <c r="F852" s="1110">
        <f>F780</f>
        <v/>
      </c>
      <c r="G852" s="68">
        <f>G780</f>
        <v/>
      </c>
      <c r="H852" s="68">
        <f>H780-G780</f>
        <v/>
      </c>
      <c r="I852" s="68">
        <f>I780-H780</f>
        <v/>
      </c>
      <c r="J852" s="68">
        <f>J780-I780</f>
        <v/>
      </c>
      <c r="K852" s="1110">
        <f>K780</f>
        <v/>
      </c>
      <c r="L852" s="68">
        <f>L780</f>
        <v/>
      </c>
      <c r="M852" s="68">
        <f>M780-L780</f>
        <v/>
      </c>
      <c r="N852" s="68">
        <f>N780-M780</f>
        <v/>
      </c>
      <c r="O852" s="68">
        <f>O780-N780</f>
        <v/>
      </c>
      <c r="P852" s="1110">
        <f>P780</f>
        <v/>
      </c>
      <c r="Q852" s="68">
        <f>Q780</f>
        <v/>
      </c>
      <c r="R852" s="68">
        <f>R780-Q780</f>
        <v/>
      </c>
      <c r="S852" s="68">
        <f>S780-R780</f>
        <v/>
      </c>
      <c r="T852" s="68">
        <f>T780-S780</f>
        <v/>
      </c>
      <c r="U852" s="1110">
        <f>U780</f>
        <v/>
      </c>
      <c r="V852" s="68">
        <f>V780</f>
        <v/>
      </c>
      <c r="W852" s="68">
        <f>W780-V780</f>
        <v/>
      </c>
      <c r="X852" s="68">
        <f>X780-W780</f>
        <v/>
      </c>
      <c r="Y852" s="68">
        <f>Y780-X780</f>
        <v/>
      </c>
      <c r="Z852" s="1110">
        <f>SUM(V852,W852,X852,Y852)</f>
        <v/>
      </c>
      <c r="AA852" s="68">
        <f>AA780</f>
        <v/>
      </c>
      <c r="AB852" s="68">
        <f>AB780-AA780</f>
        <v/>
      </c>
      <c r="AC852" s="68">
        <f>AC780-AB780</f>
        <v/>
      </c>
      <c r="AD852" s="68">
        <f>AD780-AC780</f>
        <v/>
      </c>
      <c r="AE852" s="1110">
        <f>SUM(AA852,AB852,AC852,AD852)</f>
        <v/>
      </c>
      <c r="AF852" s="68">
        <f>AF780</f>
        <v/>
      </c>
      <c r="AG852" s="68">
        <f>AG780-AF780</f>
        <v/>
      </c>
      <c r="AH852" s="68">
        <f>AH780-AG780</f>
        <v/>
      </c>
      <c r="AI852" s="68">
        <f>AI780-AH780</f>
        <v/>
      </c>
      <c r="AJ852" s="1110">
        <f>SUM(AF852,AG852,AH852,AI852)</f>
        <v/>
      </c>
      <c r="AK852" s="68">
        <f>AK780</f>
        <v/>
      </c>
      <c r="AL852" s="68">
        <f>AL780-AK780</f>
        <v/>
      </c>
      <c r="AM852" s="68">
        <f>AM780-AL780</f>
        <v/>
      </c>
      <c r="AN852" s="68">
        <f>AN780-AM780</f>
        <v/>
      </c>
      <c r="AO852" s="1110">
        <f>SUM(AK852,AL852,AM852,AN852)</f>
        <v/>
      </c>
      <c r="AP852" s="68">
        <f>AP780</f>
        <v/>
      </c>
      <c r="AQ852" s="27">
        <f>AQ780-AP780</f>
        <v/>
      </c>
      <c r="AR852" s="68">
        <f>AR780-AQ780</f>
        <v/>
      </c>
      <c r="AS852" s="68">
        <f>AS780-AR780</f>
        <v/>
      </c>
      <c r="AT852" s="1110">
        <f>SUM(AP852,AQ852,AR852,AS852)</f>
        <v/>
      </c>
      <c r="AU852" s="68">
        <f>AU780</f>
        <v/>
      </c>
      <c r="AV852" s="27">
        <f>AV780-AU780</f>
        <v/>
      </c>
      <c r="AW852" s="68">
        <f>AW780-AV780</f>
        <v/>
      </c>
      <c r="AX852" s="68">
        <f>AX780-AW780</f>
        <v/>
      </c>
      <c r="AY852" s="1110">
        <f>SUM(AU852,AV852,AW852,AX852)</f>
        <v/>
      </c>
      <c r="AZ852" s="68">
        <f>AZ780</f>
        <v/>
      </c>
      <c r="BA852" s="27">
        <f>BA780-AZ780</f>
        <v/>
      </c>
      <c r="BB852" s="68">
        <f>BB780-BA780</f>
        <v/>
      </c>
      <c r="BC852" s="68">
        <f>BC780-BB780</f>
        <v/>
      </c>
      <c r="BD852" s="1110">
        <f>SUM(AZ852,BA852,BB852,BC852)</f>
        <v/>
      </c>
      <c r="BE852" s="68">
        <f>BE780</f>
        <v/>
      </c>
      <c r="BF852" s="27">
        <f>BF780-BE780</f>
        <v/>
      </c>
      <c r="BG852" s="68">
        <f>BG780-BF780</f>
        <v/>
      </c>
      <c r="BH852" s="68">
        <f>BH780-BG780</f>
        <v/>
      </c>
      <c r="BI852" s="1110">
        <f>SUM(BE852,BF852,BG852,BH852)</f>
        <v/>
      </c>
      <c r="BJ852" s="68">
        <f>BJ780</f>
        <v/>
      </c>
      <c r="BK852" s="27">
        <f>BK780-BJ780</f>
        <v/>
      </c>
      <c r="BL852" s="68">
        <f>BL780-BK780</f>
        <v/>
      </c>
      <c r="BM852" s="68">
        <f>BM780-BL780</f>
        <v/>
      </c>
      <c r="BN852" s="1110">
        <f>SUM(BJ852,BK852,BL852,BM852)</f>
        <v/>
      </c>
      <c r="BO852" s="68">
        <f>BO780</f>
        <v/>
      </c>
      <c r="BP852" s="27">
        <f>BP780-BO780</f>
        <v/>
      </c>
      <c r="BQ852" s="68">
        <f>BQ780-BP780</f>
        <v/>
      </c>
      <c r="BR852" s="68">
        <f>BR780-BQ780</f>
        <v/>
      </c>
      <c r="BS852" s="1110">
        <f>SUM(BO852,BP852,BQ852,BR852)</f>
        <v/>
      </c>
      <c r="BT852" s="68">
        <f>BT780</f>
        <v/>
      </c>
      <c r="BU852" s="27">
        <f>BU780-BT780</f>
        <v/>
      </c>
      <c r="BV852" s="588">
        <f>BV780-BU780</f>
        <v/>
      </c>
      <c r="BW852" s="68">
        <f>BW406*BW421</f>
        <v/>
      </c>
      <c r="BX852" s="1110">
        <f>SUM(BT852,BU852,BV852,BW852)</f>
        <v/>
      </c>
      <c r="BY852" s="68">
        <f>BY406*BY421</f>
        <v/>
      </c>
      <c r="BZ852" s="68">
        <f>BZ406*BZ421</f>
        <v/>
      </c>
      <c r="CA852" s="68">
        <f>CA406*CA421</f>
        <v/>
      </c>
      <c r="CB852" s="68">
        <f>CB406*CB421</f>
        <v/>
      </c>
      <c r="CC852" s="1110">
        <f>SUM(BY852,BZ852,CA852,CB852)</f>
        <v/>
      </c>
      <c r="CD852" s="1110">
        <f>CD406*CD421</f>
        <v/>
      </c>
      <c r="CE852" s="1110">
        <f>CE406*CE421</f>
        <v/>
      </c>
      <c r="CF852" s="1110">
        <f>CF406*CF421</f>
        <v/>
      </c>
      <c r="CG852" s="155" t="n"/>
    </row>
    <row r="853">
      <c r="A853" s="99">
        <f>A781</f>
        <v/>
      </c>
      <c r="B853" s="146" t="n"/>
      <c r="C853" s="1110">
        <f>C781</f>
        <v/>
      </c>
      <c r="D853" s="1110">
        <f>D781</f>
        <v/>
      </c>
      <c r="E853" s="1110">
        <f>E781</f>
        <v/>
      </c>
      <c r="F853" s="1110">
        <f>F781</f>
        <v/>
      </c>
      <c r="G853" s="68">
        <f>G781</f>
        <v/>
      </c>
      <c r="H853" s="68">
        <f>H781-G781</f>
        <v/>
      </c>
      <c r="I853" s="68">
        <f>I781-H781</f>
        <v/>
      </c>
      <c r="J853" s="68">
        <f>J781-I781</f>
        <v/>
      </c>
      <c r="K853" s="1110">
        <f>K781</f>
        <v/>
      </c>
      <c r="L853" s="68">
        <f>L781</f>
        <v/>
      </c>
      <c r="M853" s="68">
        <f>M781-L781</f>
        <v/>
      </c>
      <c r="N853" s="68">
        <f>N781-M781</f>
        <v/>
      </c>
      <c r="O853" s="68">
        <f>O781-N781</f>
        <v/>
      </c>
      <c r="P853" s="1110">
        <f>P781</f>
        <v/>
      </c>
      <c r="Q853" s="68">
        <f>Q781</f>
        <v/>
      </c>
      <c r="R853" s="68">
        <f>R781-Q781</f>
        <v/>
      </c>
      <c r="S853" s="68">
        <f>S781-R781</f>
        <v/>
      </c>
      <c r="T853" s="68">
        <f>T781-S781</f>
        <v/>
      </c>
      <c r="U853" s="1110">
        <f>U781</f>
        <v/>
      </c>
      <c r="V853" s="68">
        <f>V781</f>
        <v/>
      </c>
      <c r="W853" s="68">
        <f>W781-V781</f>
        <v/>
      </c>
      <c r="X853" s="68">
        <f>X781-W781</f>
        <v/>
      </c>
      <c r="Y853" s="68">
        <f>Y781-X781</f>
        <v/>
      </c>
      <c r="Z853" s="1110">
        <f>SUM(V853,W853,X853,Y853)</f>
        <v/>
      </c>
      <c r="AA853" s="68">
        <f>AA781</f>
        <v/>
      </c>
      <c r="AB853" s="68">
        <f>AB781-AA781</f>
        <v/>
      </c>
      <c r="AC853" s="68">
        <f>AC781-AB781</f>
        <v/>
      </c>
      <c r="AD853" s="68">
        <f>AD781-AC781</f>
        <v/>
      </c>
      <c r="AE853" s="1110">
        <f>SUM(AA853,AB853,AC853,AD853)</f>
        <v/>
      </c>
      <c r="AF853" s="68">
        <f>AF781</f>
        <v/>
      </c>
      <c r="AG853" s="68">
        <f>AG781-AF781</f>
        <v/>
      </c>
      <c r="AH853" s="68">
        <f>AH781-AG781</f>
        <v/>
      </c>
      <c r="AI853" s="68">
        <f>AI781-AH781</f>
        <v/>
      </c>
      <c r="AJ853" s="1110">
        <f>SUM(AF853,AG853,AH853,AI853)</f>
        <v/>
      </c>
      <c r="AK853" s="68">
        <f>AK781</f>
        <v/>
      </c>
      <c r="AL853" s="68">
        <f>AL781-AK781</f>
        <v/>
      </c>
      <c r="AM853" s="68">
        <f>AM781-AL781</f>
        <v/>
      </c>
      <c r="AN853" s="68">
        <f>AN781-AM781</f>
        <v/>
      </c>
      <c r="AO853" s="1110">
        <f>SUM(AK853,AL853,AM853,AN853)</f>
        <v/>
      </c>
      <c r="AP853" s="68">
        <f>AP781</f>
        <v/>
      </c>
      <c r="AQ853" s="27">
        <f>AQ781-AP781</f>
        <v/>
      </c>
      <c r="AR853" s="68">
        <f>AR781-AQ781</f>
        <v/>
      </c>
      <c r="AS853" s="68">
        <f>AS781-AR781</f>
        <v/>
      </c>
      <c r="AT853" s="1110">
        <f>SUM(AP853,AQ853,AR853,AS853)</f>
        <v/>
      </c>
      <c r="AU853" s="68">
        <f>AU781</f>
        <v/>
      </c>
      <c r="AV853" s="27">
        <f>AV781-AU781</f>
        <v/>
      </c>
      <c r="AW853" s="68">
        <f>AW781-AV781</f>
        <v/>
      </c>
      <c r="AX853" s="68">
        <f>AX781-AW781</f>
        <v/>
      </c>
      <c r="AY853" s="1110">
        <f>SUM(AU853,AV853,AW853,AX853)</f>
        <v/>
      </c>
      <c r="AZ853" s="68">
        <f>AZ781</f>
        <v/>
      </c>
      <c r="BA853" s="27">
        <f>BA781-AZ781</f>
        <v/>
      </c>
      <c r="BB853" s="68">
        <f>BB781-BA781</f>
        <v/>
      </c>
      <c r="BC853" s="68">
        <f>BC781-BB781</f>
        <v/>
      </c>
      <c r="BD853" s="1110">
        <f>SUM(AZ853,BA853,BB853,BC853)</f>
        <v/>
      </c>
      <c r="BE853" s="68">
        <f>BE781</f>
        <v/>
      </c>
      <c r="BF853" s="27">
        <f>BF781-BE781</f>
        <v/>
      </c>
      <c r="BG853" s="68">
        <f>BG781-BF781</f>
        <v/>
      </c>
      <c r="BH853" s="68">
        <f>BH781-BG781</f>
        <v/>
      </c>
      <c r="BI853" s="1110">
        <f>SUM(BE853,BF853,BG853,BH853)</f>
        <v/>
      </c>
      <c r="BJ853" s="68">
        <f>BJ781</f>
        <v/>
      </c>
      <c r="BK853" s="27">
        <f>BK781-BJ781</f>
        <v/>
      </c>
      <c r="BL853" s="68">
        <f>BL781-BK781</f>
        <v/>
      </c>
      <c r="BM853" s="68">
        <f>BM781-BL781</f>
        <v/>
      </c>
      <c r="BN853" s="1110">
        <f>SUM(BJ853,BK853,BL853,BM853)</f>
        <v/>
      </c>
      <c r="BO853" s="68">
        <f>BO781</f>
        <v/>
      </c>
      <c r="BP853" s="27">
        <f>BP781-BO781</f>
        <v/>
      </c>
      <c r="BQ853" s="68">
        <f>BQ781-BP781</f>
        <v/>
      </c>
      <c r="BR853" s="68">
        <f>BR781-BQ781</f>
        <v/>
      </c>
      <c r="BS853" s="1110">
        <f>SUM(BO853,BP853,BQ853,BR853)</f>
        <v/>
      </c>
      <c r="BT853" s="68">
        <f>BT781</f>
        <v/>
      </c>
      <c r="BU853" s="27">
        <f>BU781-BT781</f>
        <v/>
      </c>
      <c r="BV853" s="588">
        <f>BV781-BU781</f>
        <v/>
      </c>
      <c r="BW853" s="68" t="n"/>
      <c r="BX853" s="1110">
        <f>SUM(BT853,BU853,BV853,BW853)</f>
        <v/>
      </c>
      <c r="BY853" s="68" t="n"/>
      <c r="BZ853" s="68" t="n"/>
      <c r="CA853" s="68" t="n"/>
      <c r="CB853" s="68" t="n"/>
      <c r="CC853" s="1110">
        <f>SUM(BY853,BZ853,CA853,CB853)</f>
        <v/>
      </c>
      <c r="CD853" s="1110" t="n"/>
      <c r="CE853" s="1110" t="n"/>
      <c r="CF853" s="1110" t="n"/>
      <c r="CG853" s="155" t="n"/>
    </row>
    <row r="854">
      <c r="A854" s="99">
        <f>A782</f>
        <v/>
      </c>
      <c r="B854" s="146" t="n"/>
      <c r="C854" s="1110">
        <f>C782</f>
        <v/>
      </c>
      <c r="D854" s="1110">
        <f>D782</f>
        <v/>
      </c>
      <c r="E854" s="1110">
        <f>E782</f>
        <v/>
      </c>
      <c r="F854" s="1110">
        <f>F782</f>
        <v/>
      </c>
      <c r="G854" s="68">
        <f>G782</f>
        <v/>
      </c>
      <c r="H854" s="68">
        <f>H782-G782</f>
        <v/>
      </c>
      <c r="I854" s="68">
        <f>I782-H782</f>
        <v/>
      </c>
      <c r="J854" s="68">
        <f>J782-I782</f>
        <v/>
      </c>
      <c r="K854" s="1110">
        <f>K782</f>
        <v/>
      </c>
      <c r="L854" s="68">
        <f>L782</f>
        <v/>
      </c>
      <c r="M854" s="68">
        <f>M782-L782</f>
        <v/>
      </c>
      <c r="N854" s="68">
        <f>N782-M782</f>
        <v/>
      </c>
      <c r="O854" s="68">
        <f>O782-N782</f>
        <v/>
      </c>
      <c r="P854" s="1110">
        <f>P782</f>
        <v/>
      </c>
      <c r="Q854" s="68">
        <f>Q782</f>
        <v/>
      </c>
      <c r="R854" s="68">
        <f>R782-Q782</f>
        <v/>
      </c>
      <c r="S854" s="68">
        <f>S782-R782</f>
        <v/>
      </c>
      <c r="T854" s="68">
        <f>T782-S782</f>
        <v/>
      </c>
      <c r="U854" s="1110">
        <f>U782</f>
        <v/>
      </c>
      <c r="V854" s="68">
        <f>V782</f>
        <v/>
      </c>
      <c r="W854" s="68">
        <f>W782-V782</f>
        <v/>
      </c>
      <c r="X854" s="68">
        <f>X782-W782</f>
        <v/>
      </c>
      <c r="Y854" s="68">
        <f>Y782-X782</f>
        <v/>
      </c>
      <c r="Z854" s="1110">
        <f>SUM(V854,W854,X854,Y854)</f>
        <v/>
      </c>
      <c r="AA854" s="68">
        <f>AA782</f>
        <v/>
      </c>
      <c r="AB854" s="68">
        <f>AB782-AA782</f>
        <v/>
      </c>
      <c r="AC854" s="68">
        <f>AC782-AB782</f>
        <v/>
      </c>
      <c r="AD854" s="68">
        <f>AD782-AC782</f>
        <v/>
      </c>
      <c r="AE854" s="1110">
        <f>SUM(AA854,AB854,AC854,AD854)</f>
        <v/>
      </c>
      <c r="AF854" s="68">
        <f>AF782</f>
        <v/>
      </c>
      <c r="AG854" s="68">
        <f>AG782-AF782</f>
        <v/>
      </c>
      <c r="AH854" s="68">
        <f>AH782-AG782</f>
        <v/>
      </c>
      <c r="AI854" s="68">
        <f>AI782-AH782</f>
        <v/>
      </c>
      <c r="AJ854" s="1110">
        <f>SUM(AF854,AG854,AH854,AI854)</f>
        <v/>
      </c>
      <c r="AK854" s="68">
        <f>AK782</f>
        <v/>
      </c>
      <c r="AL854" s="68">
        <f>AL782-AK782</f>
        <v/>
      </c>
      <c r="AM854" s="68">
        <f>AM782-AL782</f>
        <v/>
      </c>
      <c r="AN854" s="68">
        <f>AN782-AM782</f>
        <v/>
      </c>
      <c r="AO854" s="1110">
        <f>SUM(AK854,AL854,AM854,AN854)</f>
        <v/>
      </c>
      <c r="AP854" s="68">
        <f>AP782</f>
        <v/>
      </c>
      <c r="AQ854" s="27">
        <f>AQ782-AP782</f>
        <v/>
      </c>
      <c r="AR854" s="68">
        <f>AR782-AQ782</f>
        <v/>
      </c>
      <c r="AS854" s="68">
        <f>AS782-AR782</f>
        <v/>
      </c>
      <c r="AT854" s="1110">
        <f>SUM(AP854,AQ854,AR854,AS854)</f>
        <v/>
      </c>
      <c r="AU854" s="68">
        <f>AU782</f>
        <v/>
      </c>
      <c r="AV854" s="27">
        <f>AV782-AU782</f>
        <v/>
      </c>
      <c r="AW854" s="68">
        <f>AW782-AV782</f>
        <v/>
      </c>
      <c r="AX854" s="68">
        <f>AX782-AW782</f>
        <v/>
      </c>
      <c r="AY854" s="1110">
        <f>SUM(AU854,AV854,AW854,AX854)</f>
        <v/>
      </c>
      <c r="AZ854" s="68">
        <f>AZ782</f>
        <v/>
      </c>
      <c r="BA854" s="27">
        <f>BA782-AZ782</f>
        <v/>
      </c>
      <c r="BB854" s="68">
        <f>BB782-BA782</f>
        <v/>
      </c>
      <c r="BC854" s="68">
        <f>BC782-BB782</f>
        <v/>
      </c>
      <c r="BD854" s="1110">
        <f>SUM(AZ854,BA854,BB854,BC854)</f>
        <v/>
      </c>
      <c r="BE854" s="68">
        <f>BE782</f>
        <v/>
      </c>
      <c r="BF854" s="27">
        <f>BF782-BE782</f>
        <v/>
      </c>
      <c r="BG854" s="68">
        <f>BG782-BF782</f>
        <v/>
      </c>
      <c r="BH854" s="68">
        <f>BH782-BG782</f>
        <v/>
      </c>
      <c r="BI854" s="1110">
        <f>SUM(BE854,BF854,BG854,BH854)</f>
        <v/>
      </c>
      <c r="BJ854" s="68">
        <f>BJ782</f>
        <v/>
      </c>
      <c r="BK854" s="27">
        <f>BK782-BJ782</f>
        <v/>
      </c>
      <c r="BL854" s="68">
        <f>BL782-BK782</f>
        <v/>
      </c>
      <c r="BM854" s="68">
        <f>BM782-BL782</f>
        <v/>
      </c>
      <c r="BN854" s="1110">
        <f>SUM(BJ854,BK854,BL854,BM854)</f>
        <v/>
      </c>
      <c r="BO854" s="68">
        <f>BO782</f>
        <v/>
      </c>
      <c r="BP854" s="27">
        <f>BP782-BO782</f>
        <v/>
      </c>
      <c r="BQ854" s="68">
        <f>BQ782-BP782</f>
        <v/>
      </c>
      <c r="BR854" s="68">
        <f>BR782-BQ782</f>
        <v/>
      </c>
      <c r="BS854" s="1110">
        <f>SUM(BO854,BP854,BQ854,BR854)</f>
        <v/>
      </c>
      <c r="BT854" s="68">
        <f>BT782</f>
        <v/>
      </c>
      <c r="BU854" s="27">
        <f>BU782-BT782</f>
        <v/>
      </c>
      <c r="BV854" s="588">
        <f>BV782-BU782</f>
        <v/>
      </c>
      <c r="BW854" s="68" t="n"/>
      <c r="BX854" s="1110">
        <f>SUM(BT854,BU854,BV854,BW854)</f>
        <v/>
      </c>
      <c r="BY854" s="68" t="n"/>
      <c r="BZ854" s="68" t="n"/>
      <c r="CA854" s="68" t="n"/>
      <c r="CB854" s="68" t="n"/>
      <c r="CC854" s="1110">
        <f>SUM(BY854,BZ854,CA854,CB854)</f>
        <v/>
      </c>
      <c r="CD854" s="1110" t="n"/>
      <c r="CE854" s="1110" t="n"/>
      <c r="CF854" s="1110" t="n"/>
      <c r="CG854" s="155" t="n"/>
    </row>
    <row r="855">
      <c r="A855" s="99">
        <f>A783</f>
        <v/>
      </c>
      <c r="B855" s="146" t="n"/>
      <c r="C855" s="1110">
        <f>C783</f>
        <v/>
      </c>
      <c r="D855" s="1110">
        <f>D783</f>
        <v/>
      </c>
      <c r="E855" s="1110">
        <f>E783</f>
        <v/>
      </c>
      <c r="F855" s="1110">
        <f>F783</f>
        <v/>
      </c>
      <c r="G855" s="68">
        <f>G783</f>
        <v/>
      </c>
      <c r="H855" s="68">
        <f>H783-G783</f>
        <v/>
      </c>
      <c r="I855" s="68">
        <f>I783-H783</f>
        <v/>
      </c>
      <c r="J855" s="68">
        <f>J783-I783</f>
        <v/>
      </c>
      <c r="K855" s="1110">
        <f>K783</f>
        <v/>
      </c>
      <c r="L855" s="68">
        <f>L783</f>
        <v/>
      </c>
      <c r="M855" s="68">
        <f>M783-L783</f>
        <v/>
      </c>
      <c r="N855" s="68">
        <f>N783-M783</f>
        <v/>
      </c>
      <c r="O855" s="68">
        <f>O783-N783</f>
        <v/>
      </c>
      <c r="P855" s="1110">
        <f>P783</f>
        <v/>
      </c>
      <c r="Q855" s="68">
        <f>Q783</f>
        <v/>
      </c>
      <c r="R855" s="68">
        <f>R783-Q783</f>
        <v/>
      </c>
      <c r="S855" s="68">
        <f>S783-R783</f>
        <v/>
      </c>
      <c r="T855" s="68">
        <f>T783-S783</f>
        <v/>
      </c>
      <c r="U855" s="1110">
        <f>U783</f>
        <v/>
      </c>
      <c r="V855" s="68">
        <f>V783</f>
        <v/>
      </c>
      <c r="W855" s="68">
        <f>W783-V783</f>
        <v/>
      </c>
      <c r="X855" s="68">
        <f>X783-W783</f>
        <v/>
      </c>
      <c r="Y855" s="68">
        <f>Y783-X783</f>
        <v/>
      </c>
      <c r="Z855" s="1110">
        <f>SUM(V855,W855,X855,Y855)</f>
        <v/>
      </c>
      <c r="AA855" s="68">
        <f>AA783</f>
        <v/>
      </c>
      <c r="AB855" s="68">
        <f>AB783-AA783</f>
        <v/>
      </c>
      <c r="AC855" s="68">
        <f>AC783-AB783</f>
        <v/>
      </c>
      <c r="AD855" s="68">
        <f>AD783-AC783</f>
        <v/>
      </c>
      <c r="AE855" s="1110">
        <f>SUM(AA855,AB855,AC855,AD855)</f>
        <v/>
      </c>
      <c r="AF855" s="68">
        <f>AF783</f>
        <v/>
      </c>
      <c r="AG855" s="68">
        <f>AG783-AF783</f>
        <v/>
      </c>
      <c r="AH855" s="68">
        <f>AH783-AG783</f>
        <v/>
      </c>
      <c r="AI855" s="68">
        <f>AI783-AH783</f>
        <v/>
      </c>
      <c r="AJ855" s="1110">
        <f>SUM(AF855,AG855,AH855,AI855)</f>
        <v/>
      </c>
      <c r="AK855" s="68">
        <f>AK783</f>
        <v/>
      </c>
      <c r="AL855" s="68">
        <f>AL783-AK783</f>
        <v/>
      </c>
      <c r="AM855" s="68">
        <f>AM783-AL783</f>
        <v/>
      </c>
      <c r="AN855" s="68">
        <f>AN783-AM783</f>
        <v/>
      </c>
      <c r="AO855" s="1110">
        <f>SUM(AK855,AL855,AM855,AN855)</f>
        <v/>
      </c>
      <c r="AP855" s="68">
        <f>AP783</f>
        <v/>
      </c>
      <c r="AQ855" s="27">
        <f>AQ783-AP783</f>
        <v/>
      </c>
      <c r="AR855" s="68">
        <f>AR783-AQ783</f>
        <v/>
      </c>
      <c r="AS855" s="68">
        <f>AS783-AR783</f>
        <v/>
      </c>
      <c r="AT855" s="1110">
        <f>SUM(AP855,AQ855,AR855,AS855)</f>
        <v/>
      </c>
      <c r="AU855" s="68">
        <f>AU783</f>
        <v/>
      </c>
      <c r="AV855" s="27">
        <f>AV783-AU783</f>
        <v/>
      </c>
      <c r="AW855" s="68">
        <f>AW783-AV783</f>
        <v/>
      </c>
      <c r="AX855" s="68">
        <f>AX783-AW783</f>
        <v/>
      </c>
      <c r="AY855" s="1110">
        <f>SUM(AU855,AV855,AW855,AX855)</f>
        <v/>
      </c>
      <c r="AZ855" s="68">
        <f>AZ783</f>
        <v/>
      </c>
      <c r="BA855" s="27">
        <f>BA783-AZ783</f>
        <v/>
      </c>
      <c r="BB855" s="68">
        <f>BB783-BA783</f>
        <v/>
      </c>
      <c r="BC855" s="68">
        <f>BC783-BB783</f>
        <v/>
      </c>
      <c r="BD855" s="1110">
        <f>SUM(AZ855,BA855,BB855,BC855)</f>
        <v/>
      </c>
      <c r="BE855" s="68">
        <f>BE783</f>
        <v/>
      </c>
      <c r="BF855" s="27">
        <f>BF783-BE783</f>
        <v/>
      </c>
      <c r="BG855" s="68">
        <f>BG783-BF783</f>
        <v/>
      </c>
      <c r="BH855" s="68">
        <f>BH783-BG783</f>
        <v/>
      </c>
      <c r="BI855" s="1110">
        <f>SUM(BE855,BF855,BG855,BH855)</f>
        <v/>
      </c>
      <c r="BJ855" s="68">
        <f>BJ783</f>
        <v/>
      </c>
      <c r="BK855" s="27">
        <f>BK783-BJ783</f>
        <v/>
      </c>
      <c r="BL855" s="68">
        <f>BL783-BK783</f>
        <v/>
      </c>
      <c r="BM855" s="68">
        <f>BM783-BL783</f>
        <v/>
      </c>
      <c r="BN855" s="1110">
        <f>SUM(BJ855,BK855,BL855,BM855)</f>
        <v/>
      </c>
      <c r="BO855" s="68">
        <f>BO783</f>
        <v/>
      </c>
      <c r="BP855" s="27">
        <f>BP783-BO783</f>
        <v/>
      </c>
      <c r="BQ855" s="68">
        <f>BQ783-BP783</f>
        <v/>
      </c>
      <c r="BR855" s="68">
        <f>BR783-BQ783</f>
        <v/>
      </c>
      <c r="BS855" s="1110">
        <f>SUM(BO855,BP855,BQ855,BR855)</f>
        <v/>
      </c>
      <c r="BT855" s="68">
        <f>BT783</f>
        <v/>
      </c>
      <c r="BU855" s="27">
        <f>BU783-BT783</f>
        <v/>
      </c>
      <c r="BV855" s="588">
        <f>BV783-BU783</f>
        <v/>
      </c>
      <c r="BW855" s="68" t="n"/>
      <c r="BX855" s="1110">
        <f>SUM(BT855,BU855,BV855,BW855)</f>
        <v/>
      </c>
      <c r="BY855" s="68" t="n"/>
      <c r="BZ855" s="68" t="n"/>
      <c r="CA855" s="68" t="n"/>
      <c r="CB855" s="68" t="n"/>
      <c r="CC855" s="1110">
        <f>SUM(BY855,BZ855,CA855,CB855)</f>
        <v/>
      </c>
      <c r="CD855" s="1110" t="n"/>
      <c r="CE855" s="1110" t="n"/>
      <c r="CF855" s="1110" t="n"/>
      <c r="CG855" s="155" t="n"/>
    </row>
    <row r="856">
      <c r="A856" s="99">
        <f>A784</f>
        <v/>
      </c>
      <c r="B856" s="146" t="n"/>
      <c r="C856" s="1110">
        <f>C784</f>
        <v/>
      </c>
      <c r="D856" s="1110">
        <f>D784</f>
        <v/>
      </c>
      <c r="E856" s="1110">
        <f>E784</f>
        <v/>
      </c>
      <c r="F856" s="1110">
        <f>F784</f>
        <v/>
      </c>
      <c r="G856" s="68">
        <f>G784</f>
        <v/>
      </c>
      <c r="H856" s="68">
        <f>H784-G784</f>
        <v/>
      </c>
      <c r="I856" s="68">
        <f>I784-H784</f>
        <v/>
      </c>
      <c r="J856" s="68">
        <f>J784-I784</f>
        <v/>
      </c>
      <c r="K856" s="1110">
        <f>K784</f>
        <v/>
      </c>
      <c r="L856" s="68">
        <f>L784</f>
        <v/>
      </c>
      <c r="M856" s="68">
        <f>M784-L784</f>
        <v/>
      </c>
      <c r="N856" s="68">
        <f>N784-M784</f>
        <v/>
      </c>
      <c r="O856" s="68">
        <f>O784-N784</f>
        <v/>
      </c>
      <c r="P856" s="1110">
        <f>P784</f>
        <v/>
      </c>
      <c r="Q856" s="68">
        <f>Q784</f>
        <v/>
      </c>
      <c r="R856" s="68">
        <f>R784-Q784</f>
        <v/>
      </c>
      <c r="S856" s="68">
        <f>S784-R784</f>
        <v/>
      </c>
      <c r="T856" s="68">
        <f>T784-S784</f>
        <v/>
      </c>
      <c r="U856" s="1110">
        <f>U784</f>
        <v/>
      </c>
      <c r="V856" s="68">
        <f>V784</f>
        <v/>
      </c>
      <c r="W856" s="68">
        <f>W784-V784</f>
        <v/>
      </c>
      <c r="X856" s="68">
        <f>X784-W784</f>
        <v/>
      </c>
      <c r="Y856" s="68">
        <f>Y784-X784</f>
        <v/>
      </c>
      <c r="Z856" s="1110">
        <f>SUM(V856,W856,X856,Y856)</f>
        <v/>
      </c>
      <c r="AA856" s="68">
        <f>AA784</f>
        <v/>
      </c>
      <c r="AB856" s="68">
        <f>AB784-AA784</f>
        <v/>
      </c>
      <c r="AC856" s="68">
        <f>AC784-AB784</f>
        <v/>
      </c>
      <c r="AD856" s="68">
        <f>AD784-AC784</f>
        <v/>
      </c>
      <c r="AE856" s="1110">
        <f>SUM(AA856,AB856,AC856,AD856)</f>
        <v/>
      </c>
      <c r="AF856" s="68">
        <f>AF784</f>
        <v/>
      </c>
      <c r="AG856" s="68">
        <f>AG784-AF784</f>
        <v/>
      </c>
      <c r="AH856" s="68">
        <f>AH784-AG784</f>
        <v/>
      </c>
      <c r="AI856" s="68">
        <f>AI784-AH784</f>
        <v/>
      </c>
      <c r="AJ856" s="1110">
        <f>SUM(AF856,AG856,AH856,AI856)</f>
        <v/>
      </c>
      <c r="AK856" s="68">
        <f>AK784</f>
        <v/>
      </c>
      <c r="AL856" s="68">
        <f>AL784-AK784</f>
        <v/>
      </c>
      <c r="AM856" s="68">
        <f>AM784-AL784</f>
        <v/>
      </c>
      <c r="AN856" s="68">
        <f>AN784-AM784</f>
        <v/>
      </c>
      <c r="AO856" s="1110">
        <f>SUM(AK856,AL856,AM856,AN856)</f>
        <v/>
      </c>
      <c r="AP856" s="68">
        <f>AP784</f>
        <v/>
      </c>
      <c r="AQ856" s="27">
        <f>AQ784-AP784</f>
        <v/>
      </c>
      <c r="AR856" s="68">
        <f>AR784-AQ784</f>
        <v/>
      </c>
      <c r="AS856" s="68">
        <f>AS784-AR784</f>
        <v/>
      </c>
      <c r="AT856" s="1110">
        <f>SUM(AP856,AQ856,AR856,AS856)</f>
        <v/>
      </c>
      <c r="AU856" s="68">
        <f>AU784</f>
        <v/>
      </c>
      <c r="AV856" s="27">
        <f>AV784-AU784</f>
        <v/>
      </c>
      <c r="AW856" s="68">
        <f>AW784-AV784</f>
        <v/>
      </c>
      <c r="AX856" s="68">
        <f>AX784-AW784</f>
        <v/>
      </c>
      <c r="AY856" s="1110">
        <f>SUM(AU856,AV856,AW856,AX856)</f>
        <v/>
      </c>
      <c r="AZ856" s="68">
        <f>AZ784</f>
        <v/>
      </c>
      <c r="BA856" s="27">
        <f>BA784-AZ784</f>
        <v/>
      </c>
      <c r="BB856" s="68">
        <f>BB784-BA784</f>
        <v/>
      </c>
      <c r="BC856" s="68">
        <f>BC784-BB784</f>
        <v/>
      </c>
      <c r="BD856" s="1110">
        <f>SUM(AZ856,BA856,BB856,BC856)</f>
        <v/>
      </c>
      <c r="BE856" s="68">
        <f>BE784</f>
        <v/>
      </c>
      <c r="BF856" s="27">
        <f>BF784-BE784</f>
        <v/>
      </c>
      <c r="BG856" s="68">
        <f>BG784-BF784</f>
        <v/>
      </c>
      <c r="BH856" s="68">
        <f>BH784-BG784</f>
        <v/>
      </c>
      <c r="BI856" s="1110">
        <f>SUM(BE856,BF856,BG856,BH856)</f>
        <v/>
      </c>
      <c r="BJ856" s="68">
        <f>BJ784</f>
        <v/>
      </c>
      <c r="BK856" s="27">
        <f>BK784-BJ784</f>
        <v/>
      </c>
      <c r="BL856" s="68">
        <f>BL784-BK784</f>
        <v/>
      </c>
      <c r="BM856" s="68">
        <f>BM784-BL784</f>
        <v/>
      </c>
      <c r="BN856" s="1110">
        <f>SUM(BJ856,BK856,BL856,BM856)</f>
        <v/>
      </c>
      <c r="BO856" s="68">
        <f>BO784</f>
        <v/>
      </c>
      <c r="BP856" s="27">
        <f>BP784-BO784</f>
        <v/>
      </c>
      <c r="BQ856" s="68">
        <f>BQ784-BP784</f>
        <v/>
      </c>
      <c r="BR856" s="68">
        <f>BR784-BQ784</f>
        <v/>
      </c>
      <c r="BS856" s="1110">
        <f>SUM(BO856,BP856,BQ856,BR856)</f>
        <v/>
      </c>
      <c r="BT856" s="68">
        <f>BT784</f>
        <v/>
      </c>
      <c r="BU856" s="27">
        <f>BU784-BT784</f>
        <v/>
      </c>
      <c r="BV856" s="588">
        <f>BV784-BU784</f>
        <v/>
      </c>
      <c r="BW856" s="68" t="n"/>
      <c r="BX856" s="1110">
        <f>SUM(BT856,BU856,BV856,BW856)</f>
        <v/>
      </c>
      <c r="BY856" s="68" t="n"/>
      <c r="BZ856" s="68" t="n"/>
      <c r="CA856" s="68" t="n"/>
      <c r="CB856" s="68" t="n"/>
      <c r="CC856" s="1110">
        <f>SUM(BY856,BZ856,CA856,CB856)</f>
        <v/>
      </c>
      <c r="CD856" s="1110" t="n"/>
      <c r="CE856" s="1110" t="n"/>
      <c r="CF856" s="1110" t="n"/>
      <c r="CG856" s="155" t="n"/>
    </row>
    <row r="857">
      <c r="A857" s="99">
        <f>A785</f>
        <v/>
      </c>
      <c r="B857" s="146" t="n"/>
      <c r="C857" s="1110">
        <f>C785</f>
        <v/>
      </c>
      <c r="D857" s="1110">
        <f>D785</f>
        <v/>
      </c>
      <c r="E857" s="1110">
        <f>E785</f>
        <v/>
      </c>
      <c r="F857" s="1110">
        <f>F785</f>
        <v/>
      </c>
      <c r="G857" s="68">
        <f>G785</f>
        <v/>
      </c>
      <c r="H857" s="68">
        <f>H785-G785</f>
        <v/>
      </c>
      <c r="I857" s="68">
        <f>I785-H785</f>
        <v/>
      </c>
      <c r="J857" s="68">
        <f>J785-I785</f>
        <v/>
      </c>
      <c r="K857" s="1110">
        <f>K785</f>
        <v/>
      </c>
      <c r="L857" s="68">
        <f>L785</f>
        <v/>
      </c>
      <c r="M857" s="68">
        <f>M785-L785</f>
        <v/>
      </c>
      <c r="N857" s="68">
        <f>N785-M785</f>
        <v/>
      </c>
      <c r="O857" s="68">
        <f>O785-N785</f>
        <v/>
      </c>
      <c r="P857" s="1110">
        <f>P785</f>
        <v/>
      </c>
      <c r="Q857" s="68">
        <f>Q785</f>
        <v/>
      </c>
      <c r="R857" s="68">
        <f>R785-Q785</f>
        <v/>
      </c>
      <c r="S857" s="68">
        <f>S785-R785</f>
        <v/>
      </c>
      <c r="T857" s="68">
        <f>T785-S785</f>
        <v/>
      </c>
      <c r="U857" s="1110">
        <f>U785</f>
        <v/>
      </c>
      <c r="V857" s="68">
        <f>V785</f>
        <v/>
      </c>
      <c r="W857" s="68">
        <f>W785-V785</f>
        <v/>
      </c>
      <c r="X857" s="68">
        <f>X785-W785</f>
        <v/>
      </c>
      <c r="Y857" s="68">
        <f>Y785-X785</f>
        <v/>
      </c>
      <c r="Z857" s="1110">
        <f>SUM(V857,W857,X857,Y857)</f>
        <v/>
      </c>
      <c r="AA857" s="68">
        <f>AA785</f>
        <v/>
      </c>
      <c r="AB857" s="68">
        <f>AB785-AA785</f>
        <v/>
      </c>
      <c r="AC857" s="68">
        <f>AC785-AB785</f>
        <v/>
      </c>
      <c r="AD857" s="68">
        <f>AD785-AC785</f>
        <v/>
      </c>
      <c r="AE857" s="1110">
        <f>SUM(AA857,AB857,AC857,AD857)</f>
        <v/>
      </c>
      <c r="AF857" s="68">
        <f>AF785</f>
        <v/>
      </c>
      <c r="AG857" s="68">
        <f>AG785-AF785</f>
        <v/>
      </c>
      <c r="AH857" s="68">
        <f>AH785-AG785</f>
        <v/>
      </c>
      <c r="AI857" s="68">
        <f>AI785-AH785</f>
        <v/>
      </c>
      <c r="AJ857" s="1110">
        <f>SUM(AF857,AG857,AH857,AI857)</f>
        <v/>
      </c>
      <c r="AK857" s="68">
        <f>AK785</f>
        <v/>
      </c>
      <c r="AL857" s="68">
        <f>AL785-AK785</f>
        <v/>
      </c>
      <c r="AM857" s="68">
        <f>AM785-AL785</f>
        <v/>
      </c>
      <c r="AN857" s="68">
        <f>AN785-AM785</f>
        <v/>
      </c>
      <c r="AO857" s="1110">
        <f>SUM(AK857,AL857,AM857,AN857)</f>
        <v/>
      </c>
      <c r="AP857" s="68">
        <f>AP785</f>
        <v/>
      </c>
      <c r="AQ857" s="27">
        <f>AQ785-AP785</f>
        <v/>
      </c>
      <c r="AR857" s="68">
        <f>AR785-AQ785</f>
        <v/>
      </c>
      <c r="AS857" s="68">
        <f>AS785-AR785</f>
        <v/>
      </c>
      <c r="AT857" s="1110">
        <f>SUM(AP857,AQ857,AR857,AS857)</f>
        <v/>
      </c>
      <c r="AU857" s="68">
        <f>AU785</f>
        <v/>
      </c>
      <c r="AV857" s="27">
        <f>AV785-AU785</f>
        <v/>
      </c>
      <c r="AW857" s="68">
        <f>AW785-AV785</f>
        <v/>
      </c>
      <c r="AX857" s="68">
        <f>AX785-AW785</f>
        <v/>
      </c>
      <c r="AY857" s="1110">
        <f>SUM(AU857,AV857,AW857,AX857)</f>
        <v/>
      </c>
      <c r="AZ857" s="68">
        <f>AZ785</f>
        <v/>
      </c>
      <c r="BA857" s="27">
        <f>BA785-AZ785</f>
        <v/>
      </c>
      <c r="BB857" s="68">
        <f>BB785-BA785</f>
        <v/>
      </c>
      <c r="BC857" s="68">
        <f>BC785-BB785</f>
        <v/>
      </c>
      <c r="BD857" s="1110">
        <f>SUM(AZ857,BA857,BB857,BC857)</f>
        <v/>
      </c>
      <c r="BE857" s="68">
        <f>BE785</f>
        <v/>
      </c>
      <c r="BF857" s="27">
        <f>BF785-BE785</f>
        <v/>
      </c>
      <c r="BG857" s="68">
        <f>BG785-BF785</f>
        <v/>
      </c>
      <c r="BH857" s="68">
        <f>BH785-BG785</f>
        <v/>
      </c>
      <c r="BI857" s="1110">
        <f>SUM(BE857,BF857,BG857,BH857)</f>
        <v/>
      </c>
      <c r="BJ857" s="68">
        <f>BJ785</f>
        <v/>
      </c>
      <c r="BK857" s="27">
        <f>BK785-BJ785</f>
        <v/>
      </c>
      <c r="BL857" s="68">
        <f>BL785-BK785</f>
        <v/>
      </c>
      <c r="BM857" s="68">
        <f>BM785-BL785</f>
        <v/>
      </c>
      <c r="BN857" s="1110">
        <f>SUM(BJ857,BK857,BL857,BM857)</f>
        <v/>
      </c>
      <c r="BO857" s="68">
        <f>BO785</f>
        <v/>
      </c>
      <c r="BP857" s="27">
        <f>BP785-BO785</f>
        <v/>
      </c>
      <c r="BQ857" s="68">
        <f>BQ785-BP785</f>
        <v/>
      </c>
      <c r="BR857" s="68">
        <f>BR785-BQ785</f>
        <v/>
      </c>
      <c r="BS857" s="1110">
        <f>SUM(BO857,BP857,BQ857,BR857)</f>
        <v/>
      </c>
      <c r="BT857" s="68">
        <f>BT785</f>
        <v/>
      </c>
      <c r="BU857" s="27">
        <f>BU785-BT785</f>
        <v/>
      </c>
      <c r="BV857" s="588">
        <f>BV785-BU785</f>
        <v/>
      </c>
      <c r="BW857" s="68" t="n"/>
      <c r="BX857" s="1110">
        <f>SUM(BT857,BU857,BV857,BW857)</f>
        <v/>
      </c>
      <c r="BY857" s="68" t="n"/>
      <c r="BZ857" s="68" t="n"/>
      <c r="CA857" s="68" t="n"/>
      <c r="CB857" s="68" t="n"/>
      <c r="CC857" s="1110">
        <f>SUM(BY857,BZ857,CA857,CB857)</f>
        <v/>
      </c>
      <c r="CD857" s="1110" t="n"/>
      <c r="CE857" s="1110" t="n"/>
      <c r="CF857" s="1110" t="n"/>
      <c r="CG857" s="155" t="n"/>
    </row>
    <row r="858">
      <c r="A858" s="99">
        <f>A786</f>
        <v/>
      </c>
      <c r="B858" s="146" t="n"/>
      <c r="C858" s="1110">
        <f>C786</f>
        <v/>
      </c>
      <c r="D858" s="1110">
        <f>D786</f>
        <v/>
      </c>
      <c r="E858" s="1110">
        <f>E786</f>
        <v/>
      </c>
      <c r="F858" s="1110">
        <f>F786</f>
        <v/>
      </c>
      <c r="G858" s="68">
        <f>G786</f>
        <v/>
      </c>
      <c r="H858" s="68">
        <f>H786-G786</f>
        <v/>
      </c>
      <c r="I858" s="68">
        <f>I786-H786</f>
        <v/>
      </c>
      <c r="J858" s="68">
        <f>J786-I786</f>
        <v/>
      </c>
      <c r="K858" s="1110">
        <f>K786</f>
        <v/>
      </c>
      <c r="L858" s="68">
        <f>L786</f>
        <v/>
      </c>
      <c r="M858" s="68">
        <f>M786-L786</f>
        <v/>
      </c>
      <c r="N858" s="68">
        <f>N786-M786</f>
        <v/>
      </c>
      <c r="O858" s="68">
        <f>O786-N786</f>
        <v/>
      </c>
      <c r="P858" s="1110">
        <f>P786</f>
        <v/>
      </c>
      <c r="Q858" s="68">
        <f>Q786</f>
        <v/>
      </c>
      <c r="R858" s="68">
        <f>R786-Q786</f>
        <v/>
      </c>
      <c r="S858" s="68">
        <f>S786-R786</f>
        <v/>
      </c>
      <c r="T858" s="68">
        <f>T786-S786</f>
        <v/>
      </c>
      <c r="U858" s="1110">
        <f>U786</f>
        <v/>
      </c>
      <c r="V858" s="68">
        <f>V786</f>
        <v/>
      </c>
      <c r="W858" s="68">
        <f>W786-V786</f>
        <v/>
      </c>
      <c r="X858" s="68">
        <f>X786-W786</f>
        <v/>
      </c>
      <c r="Y858" s="68">
        <f>Y786-X786</f>
        <v/>
      </c>
      <c r="Z858" s="1110">
        <f>SUM(V858,W858,X858,Y858)</f>
        <v/>
      </c>
      <c r="AA858" s="68">
        <f>AA786</f>
        <v/>
      </c>
      <c r="AB858" s="68">
        <f>AB786-AA786</f>
        <v/>
      </c>
      <c r="AC858" s="68">
        <f>AC786-AB786</f>
        <v/>
      </c>
      <c r="AD858" s="68">
        <f>AD786-AC786</f>
        <v/>
      </c>
      <c r="AE858" s="1110">
        <f>SUM(AA858,AB858,AC858,AD858)</f>
        <v/>
      </c>
      <c r="AF858" s="68">
        <f>AF786</f>
        <v/>
      </c>
      <c r="AG858" s="68">
        <f>AG786-AF786</f>
        <v/>
      </c>
      <c r="AH858" s="68">
        <f>AH786-AG786</f>
        <v/>
      </c>
      <c r="AI858" s="68">
        <f>AI786-AH786</f>
        <v/>
      </c>
      <c r="AJ858" s="1110">
        <f>SUM(AF858,AG858,AH858,AI858)</f>
        <v/>
      </c>
      <c r="AK858" s="68">
        <f>AK786</f>
        <v/>
      </c>
      <c r="AL858" s="68">
        <f>AL786-AK786</f>
        <v/>
      </c>
      <c r="AM858" s="68">
        <f>AM786-AL786</f>
        <v/>
      </c>
      <c r="AN858" s="68">
        <f>AN786-AM786</f>
        <v/>
      </c>
      <c r="AO858" s="1110">
        <f>SUM(AK858,AL858,AM858,AN858)</f>
        <v/>
      </c>
      <c r="AP858" s="27">
        <f>AP786</f>
        <v/>
      </c>
      <c r="AQ858" s="27">
        <f>AQ786-AP786</f>
        <v/>
      </c>
      <c r="AR858" s="68">
        <f>AR786-AQ786</f>
        <v/>
      </c>
      <c r="AS858" s="68">
        <f>AS786-AR786</f>
        <v/>
      </c>
      <c r="AT858" s="1110">
        <f>SUM(AP858,AQ858,AR858,AS858)</f>
        <v/>
      </c>
      <c r="AU858" s="27">
        <f>AU786</f>
        <v/>
      </c>
      <c r="AV858" s="27">
        <f>AV786-AU786</f>
        <v/>
      </c>
      <c r="AW858" s="68">
        <f>AW786-AV786</f>
        <v/>
      </c>
      <c r="AX858" s="68">
        <f>AX786-AW786</f>
        <v/>
      </c>
      <c r="AY858" s="1110">
        <f>SUM(AU858,AV858,AW858,AX858)</f>
        <v/>
      </c>
      <c r="AZ858" s="27">
        <f>AZ786</f>
        <v/>
      </c>
      <c r="BA858" s="27">
        <f>BA786-AZ786</f>
        <v/>
      </c>
      <c r="BB858" s="68">
        <f>BB786-BA786</f>
        <v/>
      </c>
      <c r="BC858" s="68">
        <f>BC786-BB786</f>
        <v/>
      </c>
      <c r="BD858" s="1110">
        <f>SUM(AZ858,BA858,BB858,BC858)</f>
        <v/>
      </c>
      <c r="BE858" s="27">
        <f>BE786</f>
        <v/>
      </c>
      <c r="BF858" s="27">
        <f>BF786-BE786</f>
        <v/>
      </c>
      <c r="BG858" s="68">
        <f>BG786-BF786</f>
        <v/>
      </c>
      <c r="BH858" s="68">
        <f>BH786-BG786</f>
        <v/>
      </c>
      <c r="BI858" s="1110">
        <f>SUM(BE858,BF858,BG858,BH858)</f>
        <v/>
      </c>
      <c r="BJ858" s="27">
        <f>BJ786</f>
        <v/>
      </c>
      <c r="BK858" s="27">
        <f>BK786-BJ786</f>
        <v/>
      </c>
      <c r="BL858" s="68">
        <f>BL786-BK786</f>
        <v/>
      </c>
      <c r="BM858" s="68">
        <f>BM786-BL786</f>
        <v/>
      </c>
      <c r="BN858" s="1110">
        <f>SUM(BJ858,BK858,BL858,BM858)</f>
        <v/>
      </c>
      <c r="BO858" s="27">
        <f>BO786</f>
        <v/>
      </c>
      <c r="BP858" s="27">
        <f>BP786-BO786</f>
        <v/>
      </c>
      <c r="BQ858" s="68">
        <f>BQ786-BP786</f>
        <v/>
      </c>
      <c r="BR858" s="68">
        <f>BR786-BQ786</f>
        <v/>
      </c>
      <c r="BS858" s="1110">
        <f>SUM(BO858,BP858,BQ858,BR858)</f>
        <v/>
      </c>
      <c r="BT858" s="27">
        <f>BT786</f>
        <v/>
      </c>
      <c r="BU858" s="27">
        <f>BU786-BT786</f>
        <v/>
      </c>
      <c r="BV858" s="588">
        <f>BV786-BU786</f>
        <v/>
      </c>
      <c r="BW858" s="68" t="n"/>
      <c r="BX858" s="1110">
        <f>SUM(BT858,BU858,BV858,BW858)</f>
        <v/>
      </c>
      <c r="BY858" s="68" t="n"/>
      <c r="BZ858" s="68" t="n"/>
      <c r="CA858" s="68" t="n"/>
      <c r="CB858" s="68" t="n"/>
      <c r="CC858" s="1110">
        <f>SUM(BY858,BZ858,CA858,CB858)</f>
        <v/>
      </c>
      <c r="CD858" s="1110" t="n"/>
      <c r="CE858" s="1110" t="n"/>
      <c r="CF858" s="1110" t="n"/>
      <c r="CG858" s="155" t="n"/>
    </row>
    <row r="859">
      <c r="A859" s="99">
        <f>A787</f>
        <v/>
      </c>
      <c r="B859" s="146" t="n"/>
      <c r="C859" s="1110">
        <f>C787</f>
        <v/>
      </c>
      <c r="D859" s="1110">
        <f>D787</f>
        <v/>
      </c>
      <c r="E859" s="1110">
        <f>E787</f>
        <v/>
      </c>
      <c r="F859" s="1110">
        <f>F787</f>
        <v/>
      </c>
      <c r="G859" s="68">
        <f>G787</f>
        <v/>
      </c>
      <c r="H859" s="68">
        <f>H787-G787</f>
        <v/>
      </c>
      <c r="I859" s="68">
        <f>I787-H787</f>
        <v/>
      </c>
      <c r="J859" s="68">
        <f>J787-I787</f>
        <v/>
      </c>
      <c r="K859" s="1110">
        <f>K787</f>
        <v/>
      </c>
      <c r="L859" s="68">
        <f>L787</f>
        <v/>
      </c>
      <c r="M859" s="68">
        <f>M787-L787</f>
        <v/>
      </c>
      <c r="N859" s="68">
        <f>N787-M787</f>
        <v/>
      </c>
      <c r="O859" s="68">
        <f>O787-N787</f>
        <v/>
      </c>
      <c r="P859" s="1110">
        <f>P787</f>
        <v/>
      </c>
      <c r="Q859" s="68">
        <f>Q787</f>
        <v/>
      </c>
      <c r="R859" s="68">
        <f>R787-Q787</f>
        <v/>
      </c>
      <c r="S859" s="68">
        <f>S787-R787</f>
        <v/>
      </c>
      <c r="T859" s="68">
        <f>T787-S787</f>
        <v/>
      </c>
      <c r="U859" s="1110">
        <f>U787</f>
        <v/>
      </c>
      <c r="V859" s="68">
        <f>V787</f>
        <v/>
      </c>
      <c r="W859" s="68">
        <f>W787-V787</f>
        <v/>
      </c>
      <c r="X859" s="68">
        <f>X787-W787</f>
        <v/>
      </c>
      <c r="Y859" s="68">
        <f>Y787-X787</f>
        <v/>
      </c>
      <c r="Z859" s="1110">
        <f>SUM(V859,W859,X859,Y859)</f>
        <v/>
      </c>
      <c r="AA859" s="68">
        <f>AA787</f>
        <v/>
      </c>
      <c r="AB859" s="68">
        <f>AB787-AA787</f>
        <v/>
      </c>
      <c r="AC859" s="68">
        <f>AC787-AB787</f>
        <v/>
      </c>
      <c r="AD859" s="68">
        <f>AD787-AC787</f>
        <v/>
      </c>
      <c r="AE859" s="1110">
        <f>SUM(AA859,AB859,AC859,AD859)</f>
        <v/>
      </c>
      <c r="AF859" s="68">
        <f>AF787</f>
        <v/>
      </c>
      <c r="AG859" s="68">
        <f>AG787-AF787</f>
        <v/>
      </c>
      <c r="AH859" s="68">
        <f>AH787-AG787</f>
        <v/>
      </c>
      <c r="AI859" s="68">
        <f>AI787-AH787</f>
        <v/>
      </c>
      <c r="AJ859" s="1110">
        <f>SUM(AF859,AG859,AH859,AI859)</f>
        <v/>
      </c>
      <c r="AK859" s="68">
        <f>AK787</f>
        <v/>
      </c>
      <c r="AL859" s="68">
        <f>AL787-AK787</f>
        <v/>
      </c>
      <c r="AM859" s="68">
        <f>AM787-AL787</f>
        <v/>
      </c>
      <c r="AN859" s="68">
        <f>AN787-AM787</f>
        <v/>
      </c>
      <c r="AO859" s="1110">
        <f>SUM(AK859,AL859,AM859,AN859)</f>
        <v/>
      </c>
      <c r="AP859" s="68">
        <f>AP787</f>
        <v/>
      </c>
      <c r="AQ859" s="27">
        <f>AQ787-AP787</f>
        <v/>
      </c>
      <c r="AR859" s="68">
        <f>AR787-AQ787</f>
        <v/>
      </c>
      <c r="AS859" s="68">
        <f>AS787-AR787</f>
        <v/>
      </c>
      <c r="AT859" s="1110">
        <f>SUM(AP859,AQ859,AR859,AS859)</f>
        <v/>
      </c>
      <c r="AU859" s="68">
        <f>AU787</f>
        <v/>
      </c>
      <c r="AV859" s="27">
        <f>AV787-AU787</f>
        <v/>
      </c>
      <c r="AW859" s="68">
        <f>AW787-AV787</f>
        <v/>
      </c>
      <c r="AX859" s="68">
        <f>AX787-AW787</f>
        <v/>
      </c>
      <c r="AY859" s="1110">
        <f>SUM(AU859,AV859,AW859,AX859)</f>
        <v/>
      </c>
      <c r="AZ859" s="68">
        <f>AZ787</f>
        <v/>
      </c>
      <c r="BA859" s="27">
        <f>BA787-AZ787</f>
        <v/>
      </c>
      <c r="BB859" s="68">
        <f>BB787-BA787</f>
        <v/>
      </c>
      <c r="BC859" s="68">
        <f>BC787-BB787</f>
        <v/>
      </c>
      <c r="BD859" s="1110">
        <f>SUM(AZ859,BA859,BB859,BC859)</f>
        <v/>
      </c>
      <c r="BE859" s="68">
        <f>BE787</f>
        <v/>
      </c>
      <c r="BF859" s="27">
        <f>BF787-BE787</f>
        <v/>
      </c>
      <c r="BG859" s="68">
        <f>BG787-BF787</f>
        <v/>
      </c>
      <c r="BH859" s="68">
        <f>BH787-BG787</f>
        <v/>
      </c>
      <c r="BI859" s="1110">
        <f>SUM(BE859,BF859,BG859,BH859)</f>
        <v/>
      </c>
      <c r="BJ859" s="68">
        <f>BJ787</f>
        <v/>
      </c>
      <c r="BK859" s="27">
        <f>BK787-BJ787</f>
        <v/>
      </c>
      <c r="BL859" s="68">
        <f>BL787-BK787</f>
        <v/>
      </c>
      <c r="BM859" s="68">
        <f>BM787-BL787</f>
        <v/>
      </c>
      <c r="BN859" s="1110">
        <f>SUM(BJ859,BK859,BL859,BM859)</f>
        <v/>
      </c>
      <c r="BO859" s="68">
        <f>BO787</f>
        <v/>
      </c>
      <c r="BP859" s="27">
        <f>BP787-BO787</f>
        <v/>
      </c>
      <c r="BQ859" s="68">
        <f>BQ787-BP787</f>
        <v/>
      </c>
      <c r="BR859" s="68">
        <f>BR787-BQ787</f>
        <v/>
      </c>
      <c r="BS859" s="1110">
        <f>SUM(BO859,BP859,BQ859,BR859)</f>
        <v/>
      </c>
      <c r="BT859" s="68">
        <f>BT787</f>
        <v/>
      </c>
      <c r="BU859" s="27">
        <f>BU787-BT787</f>
        <v/>
      </c>
      <c r="BV859" s="588">
        <f>BV787-BU787</f>
        <v/>
      </c>
      <c r="BW859" s="68" t="n"/>
      <c r="BX859" s="1110">
        <f>SUM(BT859,BU859,BV859,BW859)</f>
        <v/>
      </c>
      <c r="BY859" s="68" t="n"/>
      <c r="BZ859" s="68" t="n"/>
      <c r="CA859" s="68" t="n"/>
      <c r="CB859" s="68" t="n"/>
      <c r="CC859" s="1110">
        <f>SUM(BY859,BZ859,CA859,CB859)</f>
        <v/>
      </c>
      <c r="CD859" s="1110" t="n"/>
      <c r="CE859" s="1110" t="n"/>
      <c r="CF859" s="1110" t="n"/>
      <c r="CG859" s="155" t="n"/>
    </row>
    <row r="860">
      <c r="A860" s="59">
        <f>A788</f>
        <v/>
      </c>
      <c r="B860" s="607" t="n"/>
      <c r="C860" s="1123">
        <f>SUM(C843:C859)</f>
        <v/>
      </c>
      <c r="D860" s="1123">
        <f>SUM(D843:D859)</f>
        <v/>
      </c>
      <c r="E860" s="1123">
        <f>SUM(E843:E859)</f>
        <v/>
      </c>
      <c r="F860" s="1123">
        <f>SUM(F843:F859)</f>
        <v/>
      </c>
      <c r="G860" s="60">
        <f>SUM(G843:G859)</f>
        <v/>
      </c>
      <c r="H860" s="60">
        <f>SUM(H843:H859)</f>
        <v/>
      </c>
      <c r="I860" s="60">
        <f>SUM(I843:I859)</f>
        <v/>
      </c>
      <c r="J860" s="60">
        <f>SUM(J843:J859)</f>
        <v/>
      </c>
      <c r="K860" s="1123">
        <f>SUM(K843:K859)</f>
        <v/>
      </c>
      <c r="L860" s="60">
        <f>SUM(L843:L859)</f>
        <v/>
      </c>
      <c r="M860" s="60">
        <f>SUM(M843:M859)</f>
        <v/>
      </c>
      <c r="N860" s="60">
        <f>SUM(N843:N859)</f>
        <v/>
      </c>
      <c r="O860" s="60">
        <f>SUM(O843:O859)</f>
        <v/>
      </c>
      <c r="P860" s="1123">
        <f>SUM(P843:P859)</f>
        <v/>
      </c>
      <c r="Q860" s="60">
        <f>SUM(Q843:Q859)</f>
        <v/>
      </c>
      <c r="R860" s="60">
        <f>SUM(R843:R859)</f>
        <v/>
      </c>
      <c r="S860" s="60">
        <f>SUM(S843:S859)</f>
        <v/>
      </c>
      <c r="T860" s="60">
        <f>SUM(T843:T859)</f>
        <v/>
      </c>
      <c r="U860" s="1123">
        <f>SUM(U843:U859)</f>
        <v/>
      </c>
      <c r="V860" s="60">
        <f>SUM(V843:V859)</f>
        <v/>
      </c>
      <c r="W860" s="60">
        <f>SUM(W843:W859)</f>
        <v/>
      </c>
      <c r="X860" s="60">
        <f>SUM(X843:X859)</f>
        <v/>
      </c>
      <c r="Y860" s="60">
        <f>SUM(Y843:Y859)</f>
        <v/>
      </c>
      <c r="Z860" s="1123">
        <f>SUM(Z843:Z859)</f>
        <v/>
      </c>
      <c r="AA860" s="60">
        <f>SUM(AA843:AA859)</f>
        <v/>
      </c>
      <c r="AB860" s="60">
        <f>SUM(AB843:AB859)</f>
        <v/>
      </c>
      <c r="AC860" s="60">
        <f>SUM(AC843:AC859)</f>
        <v/>
      </c>
      <c r="AD860" s="60">
        <f>SUM(AD843:AD859)</f>
        <v/>
      </c>
      <c r="AE860" s="1123">
        <f>SUM(AE843:AE859)</f>
        <v/>
      </c>
      <c r="AF860" s="60">
        <f>SUM(AF843:AF859)</f>
        <v/>
      </c>
      <c r="AG860" s="60">
        <f>SUM(AG843:AG859)</f>
        <v/>
      </c>
      <c r="AH860" s="60">
        <f>SUM(AH843:AH859)</f>
        <v/>
      </c>
      <c r="AI860" s="60">
        <f>SUM(AI843:AI859)</f>
        <v/>
      </c>
      <c r="AJ860" s="1123">
        <f>SUM(AJ843:AJ859)</f>
        <v/>
      </c>
      <c r="AK860" s="60">
        <f>SUM(AK843:AK859)</f>
        <v/>
      </c>
      <c r="AL860" s="60">
        <f>SUM(AL843:AL859)</f>
        <v/>
      </c>
      <c r="AM860" s="60">
        <f>SUM(AM843:AM859)</f>
        <v/>
      </c>
      <c r="AN860" s="61">
        <f>SUM(AN843:AN859)</f>
        <v/>
      </c>
      <c r="AO860" s="1122">
        <f>SUM(AO843:AO859)</f>
        <v/>
      </c>
      <c r="AP860" s="60">
        <f>SUM(AP843:AP859)</f>
        <v/>
      </c>
      <c r="AQ860" s="60">
        <f>SUM(AQ843:AQ859)</f>
        <v/>
      </c>
      <c r="AR860" s="60">
        <f>SUM(AR843:AR859)</f>
        <v/>
      </c>
      <c r="AS860" s="61">
        <f>SUM(AS843:AS859)</f>
        <v/>
      </c>
      <c r="AT860" s="1122">
        <f>SUM(AT843:AT859)</f>
        <v/>
      </c>
      <c r="AU860" s="60">
        <f>SUM(AU843:AU859)</f>
        <v/>
      </c>
      <c r="AV860" s="60">
        <f>SUM(AV843:AV859)</f>
        <v/>
      </c>
      <c r="AW860" s="60">
        <f>SUM(AW843:AW859)</f>
        <v/>
      </c>
      <c r="AX860" s="61">
        <f>SUM(AX843:AX859)</f>
        <v/>
      </c>
      <c r="AY860" s="1122">
        <f>SUM(AY843:AY859)</f>
        <v/>
      </c>
      <c r="AZ860" s="60">
        <f>SUM(AZ843:AZ859)</f>
        <v/>
      </c>
      <c r="BA860" s="60">
        <f>SUM(BA843:BA859)</f>
        <v/>
      </c>
      <c r="BB860" s="60">
        <f>SUM(BB843:BB859)</f>
        <v/>
      </c>
      <c r="BC860" s="61">
        <f>SUM(BC843:BC859)</f>
        <v/>
      </c>
      <c r="BD860" s="1122">
        <f>SUM(BD843:BD859)</f>
        <v/>
      </c>
      <c r="BE860" s="60">
        <f>SUM(BE843:BE859)</f>
        <v/>
      </c>
      <c r="BF860" s="60">
        <f>SUM(BF843:BF859)</f>
        <v/>
      </c>
      <c r="BG860" s="60">
        <f>SUM(BG843:BG859)</f>
        <v/>
      </c>
      <c r="BH860" s="61">
        <f>SUM(BH843:BH859)</f>
        <v/>
      </c>
      <c r="BI860" s="1122">
        <f>SUM(BI843:BI859)</f>
        <v/>
      </c>
      <c r="BJ860" s="60">
        <f>SUM(BJ843:BJ859)</f>
        <v/>
      </c>
      <c r="BK860" s="60">
        <f>SUM(BK843:BK859)</f>
        <v/>
      </c>
      <c r="BL860" s="60">
        <f>SUM(BL843:BL859)</f>
        <v/>
      </c>
      <c r="BM860" s="61">
        <f>SUM(BM843:BM859)</f>
        <v/>
      </c>
      <c r="BN860" s="1122">
        <f>SUM(BN843:BN859)</f>
        <v/>
      </c>
      <c r="BO860" s="60">
        <f>SUM(BO843:BO859)</f>
        <v/>
      </c>
      <c r="BP860" s="60">
        <f>SUM(BP843:BP859)</f>
        <v/>
      </c>
      <c r="BQ860" s="60">
        <f>SUM(BQ843:BQ859)</f>
        <v/>
      </c>
      <c r="BR860" s="61">
        <f>SUM(BR843:BR859)</f>
        <v/>
      </c>
      <c r="BS860" s="1122">
        <f>SUM(BS843:BS859)</f>
        <v/>
      </c>
      <c r="BT860" s="60">
        <f>SUM(BT843:BT859)</f>
        <v/>
      </c>
      <c r="BU860" s="60">
        <f>SUM(BU843:BU859)</f>
        <v/>
      </c>
      <c r="BV860" s="883">
        <f>SUM(BV843:BV859)</f>
        <v/>
      </c>
      <c r="BW860" s="61">
        <f>SUM(BW843:BW859)</f>
        <v/>
      </c>
      <c r="BX860" s="1122">
        <f>SUM(BX843:BX859)</f>
        <v/>
      </c>
      <c r="BY860" s="61">
        <f>SUM(BY843:BY859)</f>
        <v/>
      </c>
      <c r="BZ860" s="61">
        <f>SUM(BZ843:BZ859)</f>
        <v/>
      </c>
      <c r="CA860" s="61">
        <f>SUM(CA843:CA859)</f>
        <v/>
      </c>
      <c r="CB860" s="61">
        <f>SUM(CB843:CB859)</f>
        <v/>
      </c>
      <c r="CC860" s="1122">
        <f>SUM(CC843:CC859)</f>
        <v/>
      </c>
      <c r="CD860" s="1122">
        <f>SUM(CD843:CD859)</f>
        <v/>
      </c>
      <c r="CE860" s="1122">
        <f>SUM(CE843:CE859)</f>
        <v/>
      </c>
      <c r="CF860" s="1122">
        <f>SUM(CF843:CF859)</f>
        <v/>
      </c>
      <c r="CG860" s="155" t="n"/>
    </row>
    <row r="861">
      <c r="A861" s="99">
        <f>A789</f>
        <v/>
      </c>
      <c r="B861" s="146" t="n"/>
      <c r="C861" s="1110">
        <f>C789</f>
        <v/>
      </c>
      <c r="D861" s="1110">
        <f>D789</f>
        <v/>
      </c>
      <c r="E861" s="1110">
        <f>E789</f>
        <v/>
      </c>
      <c r="F861" s="1110">
        <f>F789</f>
        <v/>
      </c>
      <c r="G861" s="68">
        <f>G789</f>
        <v/>
      </c>
      <c r="H861" s="68">
        <f>H789-G789</f>
        <v/>
      </c>
      <c r="I861" s="68">
        <f>I789-H789</f>
        <v/>
      </c>
      <c r="J861" s="68">
        <f>J789-I789</f>
        <v/>
      </c>
      <c r="K861" s="1110">
        <f>K789</f>
        <v/>
      </c>
      <c r="L861" s="68">
        <f>L789</f>
        <v/>
      </c>
      <c r="M861" s="68">
        <f>M789-L789</f>
        <v/>
      </c>
      <c r="N861" s="68">
        <f>N789-M789</f>
        <v/>
      </c>
      <c r="O861" s="68">
        <f>O789-N789</f>
        <v/>
      </c>
      <c r="P861" s="1110">
        <f>P789</f>
        <v/>
      </c>
      <c r="Q861" s="68">
        <f>Q789</f>
        <v/>
      </c>
      <c r="R861" s="68">
        <f>R789-Q789</f>
        <v/>
      </c>
      <c r="S861" s="68">
        <f>S789-R789</f>
        <v/>
      </c>
      <c r="T861" s="68">
        <f>T789-S789</f>
        <v/>
      </c>
      <c r="U861" s="1110">
        <f>U789</f>
        <v/>
      </c>
      <c r="V861" s="68">
        <f>V789</f>
        <v/>
      </c>
      <c r="W861" s="68">
        <f>W789-V789</f>
        <v/>
      </c>
      <c r="X861" s="68">
        <f>X789-W789</f>
        <v/>
      </c>
      <c r="Y861" s="68">
        <f>Y789-X789</f>
        <v/>
      </c>
      <c r="Z861" s="1110">
        <f>SUM(V861,W861,X861,Y861)</f>
        <v/>
      </c>
      <c r="AA861" s="68">
        <f>AA789</f>
        <v/>
      </c>
      <c r="AB861" s="68">
        <f>AB789-AA789</f>
        <v/>
      </c>
      <c r="AC861" s="68">
        <f>AC789-AB789</f>
        <v/>
      </c>
      <c r="AD861" s="68">
        <f>AD789-AC789</f>
        <v/>
      </c>
      <c r="AE861" s="1110">
        <f>SUM(AA861,AB861,AC861,AD861)</f>
        <v/>
      </c>
      <c r="AF861" s="68">
        <f>AF789</f>
        <v/>
      </c>
      <c r="AG861" s="68">
        <f>AG789-AF789</f>
        <v/>
      </c>
      <c r="AH861" s="68">
        <f>AH789-AG789</f>
        <v/>
      </c>
      <c r="AI861" s="68">
        <f>AI789-AH789</f>
        <v/>
      </c>
      <c r="AJ861" s="1110">
        <f>SUM(AF861,AG861,AH861,AI861)</f>
        <v/>
      </c>
      <c r="AK861" s="68">
        <f>AK789</f>
        <v/>
      </c>
      <c r="AL861" s="68">
        <f>AL789-AK789</f>
        <v/>
      </c>
      <c r="AM861" s="68">
        <f>AM789-AL789</f>
        <v/>
      </c>
      <c r="AN861" s="68">
        <f>AN789-AM789</f>
        <v/>
      </c>
      <c r="AO861" s="1110">
        <f>SUM(AK861,AL861,AM861,AN861)</f>
        <v/>
      </c>
      <c r="AP861" s="68">
        <f>AP789</f>
        <v/>
      </c>
      <c r="AQ861" s="27">
        <f>AQ789-AP789</f>
        <v/>
      </c>
      <c r="AR861" s="68">
        <f>AR789-AQ789</f>
        <v/>
      </c>
      <c r="AS861" s="68">
        <f>AS789-AR789</f>
        <v/>
      </c>
      <c r="AT861" s="1110">
        <f>SUM(AP861,AQ861,AR861,AS861)</f>
        <v/>
      </c>
      <c r="AU861" s="68">
        <f>AU789</f>
        <v/>
      </c>
      <c r="AV861" s="27">
        <f>AV789-AU789</f>
        <v/>
      </c>
      <c r="AW861" s="68">
        <f>AW789-AV789</f>
        <v/>
      </c>
      <c r="AX861" s="68">
        <f>AX789-AW789</f>
        <v/>
      </c>
      <c r="AY861" s="1110">
        <f>SUM(AU861,AV861,AW861,AX861)</f>
        <v/>
      </c>
      <c r="AZ861" s="68">
        <f>AZ789</f>
        <v/>
      </c>
      <c r="BA861" s="27">
        <f>BA789-AZ789</f>
        <v/>
      </c>
      <c r="BB861" s="68">
        <f>BB789-BA789</f>
        <v/>
      </c>
      <c r="BC861" s="68">
        <f>BC789-BB789</f>
        <v/>
      </c>
      <c r="BD861" s="1110">
        <f>SUM(AZ861,BA861,BB861,BC861)</f>
        <v/>
      </c>
      <c r="BE861" s="68">
        <f>BE789</f>
        <v/>
      </c>
      <c r="BF861" s="27">
        <f>BF789-BE789</f>
        <v/>
      </c>
      <c r="BG861" s="68">
        <f>BG789-BF789</f>
        <v/>
      </c>
      <c r="BH861" s="68">
        <f>BH789-BG789</f>
        <v/>
      </c>
      <c r="BI861" s="1110">
        <f>SUM(BE861,BF861,BG861,BH861)</f>
        <v/>
      </c>
      <c r="BJ861" s="68">
        <f>BJ789</f>
        <v/>
      </c>
      <c r="BK861" s="27">
        <f>BK789-BJ789</f>
        <v/>
      </c>
      <c r="BL861" s="68">
        <f>BL789-BK789</f>
        <v/>
      </c>
      <c r="BM861" s="68">
        <f>BM789-BL789</f>
        <v/>
      </c>
      <c r="BN861" s="1110">
        <f>SUM(BJ861,BK861,BL861,BM861)</f>
        <v/>
      </c>
      <c r="BO861" s="68">
        <f>BO789</f>
        <v/>
      </c>
      <c r="BP861" s="27">
        <f>BP789-BO789</f>
        <v/>
      </c>
      <c r="BQ861" s="68">
        <f>BQ789-BP789</f>
        <v/>
      </c>
      <c r="BR861" s="68">
        <f>BR789-BQ789</f>
        <v/>
      </c>
      <c r="BS861" s="1110">
        <f>SUM(BO861,BP861,BQ861,BR861)</f>
        <v/>
      </c>
      <c r="BT861" s="68">
        <f>BT789</f>
        <v/>
      </c>
      <c r="BU861" s="27">
        <f>BU789-BT789</f>
        <v/>
      </c>
      <c r="BV861" s="588">
        <f>BV789-BU789</f>
        <v/>
      </c>
      <c r="BW861" s="68">
        <f>BV954-BW954</f>
        <v/>
      </c>
      <c r="BX861" s="1110">
        <f>SUM(BT861,BU861,BV861,BW861)</f>
        <v/>
      </c>
      <c r="BY861" s="68">
        <f>BX954-BY954</f>
        <v/>
      </c>
      <c r="BZ861" s="68">
        <f>BY954-BZ954</f>
        <v/>
      </c>
      <c r="CA861" s="68">
        <f>BZ954-CA954</f>
        <v/>
      </c>
      <c r="CB861" s="68">
        <f>CA954-CB954</f>
        <v/>
      </c>
      <c r="CC861" s="1110">
        <f>SUM(BY861,BZ861,CA861,CB861)</f>
        <v/>
      </c>
      <c r="CD861" s="1110">
        <f>CC954-CD954</f>
        <v/>
      </c>
      <c r="CE861" s="1110">
        <f>CD954-CE954</f>
        <v/>
      </c>
      <c r="CF861" s="1110">
        <f>CE954-CF954</f>
        <v/>
      </c>
      <c r="CG861" s="155" t="n"/>
    </row>
    <row r="862">
      <c r="A862" s="99">
        <f>A790</f>
        <v/>
      </c>
      <c r="B862" s="146" t="n"/>
      <c r="C862" s="1110">
        <f>C790</f>
        <v/>
      </c>
      <c r="D862" s="1110">
        <f>D790</f>
        <v/>
      </c>
      <c r="E862" s="1110">
        <f>E790</f>
        <v/>
      </c>
      <c r="F862" s="1110">
        <f>F790</f>
        <v/>
      </c>
      <c r="G862" s="68">
        <f>G790</f>
        <v/>
      </c>
      <c r="H862" s="68">
        <f>H790-G790</f>
        <v/>
      </c>
      <c r="I862" s="68">
        <f>I790-H790</f>
        <v/>
      </c>
      <c r="J862" s="68">
        <f>J790-I790</f>
        <v/>
      </c>
      <c r="K862" s="1110">
        <f>K790</f>
        <v/>
      </c>
      <c r="L862" s="68">
        <f>L790</f>
        <v/>
      </c>
      <c r="M862" s="68">
        <f>M790-L790</f>
        <v/>
      </c>
      <c r="N862" s="68">
        <f>N790-M790</f>
        <v/>
      </c>
      <c r="O862" s="68">
        <f>O790-N790</f>
        <v/>
      </c>
      <c r="P862" s="1110">
        <f>P790</f>
        <v/>
      </c>
      <c r="Q862" s="68">
        <f>Q790</f>
        <v/>
      </c>
      <c r="R862" s="68">
        <f>R790-Q790</f>
        <v/>
      </c>
      <c r="S862" s="68">
        <f>S790-R790</f>
        <v/>
      </c>
      <c r="T862" s="68">
        <f>T790-S790</f>
        <v/>
      </c>
      <c r="U862" s="1110">
        <f>U790</f>
        <v/>
      </c>
      <c r="V862" s="68">
        <f>V790</f>
        <v/>
      </c>
      <c r="W862" s="68">
        <f>W790-V790</f>
        <v/>
      </c>
      <c r="X862" s="68">
        <f>X790-W790</f>
        <v/>
      </c>
      <c r="Y862" s="68">
        <f>Y790-X790</f>
        <v/>
      </c>
      <c r="Z862" s="1110">
        <f>SUM(V862,W862,X862,Y862)</f>
        <v/>
      </c>
      <c r="AA862" s="68">
        <f>AA790</f>
        <v/>
      </c>
      <c r="AB862" s="68">
        <f>AB790-AA790</f>
        <v/>
      </c>
      <c r="AC862" s="68">
        <f>AC790-AB790</f>
        <v/>
      </c>
      <c r="AD862" s="68">
        <f>AD790-AC790</f>
        <v/>
      </c>
      <c r="AE862" s="1110">
        <f>SUM(AA862,AB862,AC862,AD862)</f>
        <v/>
      </c>
      <c r="AF862" s="68">
        <f>AF790</f>
        <v/>
      </c>
      <c r="AG862" s="68">
        <f>AG790-AF790</f>
        <v/>
      </c>
      <c r="AH862" s="68">
        <f>AH790-AG790</f>
        <v/>
      </c>
      <c r="AI862" s="68">
        <f>AI790-AH790</f>
        <v/>
      </c>
      <c r="AJ862" s="1110">
        <f>SUM(AF862,AG862,AH862,AI862)</f>
        <v/>
      </c>
      <c r="AK862" s="68">
        <f>AK790</f>
        <v/>
      </c>
      <c r="AL862" s="68">
        <f>AL790-AK790</f>
        <v/>
      </c>
      <c r="AM862" s="68">
        <f>AM790-AL790</f>
        <v/>
      </c>
      <c r="AN862" s="68">
        <f>AN790-AM790</f>
        <v/>
      </c>
      <c r="AO862" s="1110">
        <f>SUM(AK862,AL862,AM862,AN862)</f>
        <v/>
      </c>
      <c r="AP862" s="68">
        <f>AP790</f>
        <v/>
      </c>
      <c r="AQ862" s="27">
        <f>AQ790-AP790</f>
        <v/>
      </c>
      <c r="AR862" s="68">
        <f>AR790-AQ790</f>
        <v/>
      </c>
      <c r="AS862" s="68">
        <f>AS790-AR790</f>
        <v/>
      </c>
      <c r="AT862" s="1110">
        <f>SUM(AP862,AQ862,AR862,AS862)</f>
        <v/>
      </c>
      <c r="AU862" s="68">
        <f>AU790</f>
        <v/>
      </c>
      <c r="AV862" s="27">
        <f>AV790-AU790</f>
        <v/>
      </c>
      <c r="AW862" s="68">
        <f>AW790-AV790</f>
        <v/>
      </c>
      <c r="AX862" s="68">
        <f>AX790-AW790</f>
        <v/>
      </c>
      <c r="AY862" s="1110">
        <f>SUM(AU862,AV862,AW862,AX862)</f>
        <v/>
      </c>
      <c r="AZ862" s="68">
        <f>AZ790</f>
        <v/>
      </c>
      <c r="BA862" s="27">
        <f>BA790-AZ790</f>
        <v/>
      </c>
      <c r="BB862" s="68">
        <f>BB790-BA790</f>
        <v/>
      </c>
      <c r="BC862" s="68">
        <f>BC790-BB790</f>
        <v/>
      </c>
      <c r="BD862" s="1110">
        <f>SUM(AZ862,BA862,BB862,BC862)</f>
        <v/>
      </c>
      <c r="BE862" s="68">
        <f>BE790</f>
        <v/>
      </c>
      <c r="BF862" s="27">
        <f>BF790-BE790</f>
        <v/>
      </c>
      <c r="BG862" s="68">
        <f>BG790-BF790</f>
        <v/>
      </c>
      <c r="BH862" s="68">
        <f>BH790-BG790</f>
        <v/>
      </c>
      <c r="BI862" s="1110">
        <f>SUM(BE862,BF862,BG862,BH862)</f>
        <v/>
      </c>
      <c r="BJ862" s="68">
        <f>BJ790</f>
        <v/>
      </c>
      <c r="BK862" s="27">
        <f>BK790-BJ790</f>
        <v/>
      </c>
      <c r="BL862" s="68">
        <f>BL790-BK790</f>
        <v/>
      </c>
      <c r="BM862" s="68">
        <f>BM790-BL790</f>
        <v/>
      </c>
      <c r="BN862" s="1110">
        <f>SUM(BJ862,BK862,BL862,BM862)</f>
        <v/>
      </c>
      <c r="BO862" s="68">
        <f>BO790</f>
        <v/>
      </c>
      <c r="BP862" s="27">
        <f>BP790-BO790</f>
        <v/>
      </c>
      <c r="BQ862" s="68">
        <f>BQ790-BP790</f>
        <v/>
      </c>
      <c r="BR862" s="68">
        <f>BR790-BQ790</f>
        <v/>
      </c>
      <c r="BS862" s="1110">
        <f>SUM(BO862,BP862,BQ862,BR862)</f>
        <v/>
      </c>
      <c r="BT862" s="68">
        <f>BT790</f>
        <v/>
      </c>
      <c r="BU862" s="27">
        <f>BU790-BT790</f>
        <v/>
      </c>
      <c r="BV862" s="588">
        <f>BV790-BU790</f>
        <v/>
      </c>
      <c r="BW862" s="68">
        <f>BV958-BW958</f>
        <v/>
      </c>
      <c r="BX862" s="1110">
        <f>SUM(BT862,BU862,BV862,BW862)</f>
        <v/>
      </c>
      <c r="BY862" s="68">
        <f>BX958-BY958</f>
        <v/>
      </c>
      <c r="BZ862" s="68">
        <f>BY958-BZ958</f>
        <v/>
      </c>
      <c r="CA862" s="68">
        <f>BZ958-CA958</f>
        <v/>
      </c>
      <c r="CB862" s="68">
        <f>CA958-CB958</f>
        <v/>
      </c>
      <c r="CC862" s="1110">
        <f>SUM(BY862,BZ862,CA862,CB862)</f>
        <v/>
      </c>
      <c r="CD862" s="1110">
        <f>CC958-CD958</f>
        <v/>
      </c>
      <c r="CE862" s="1110">
        <f>CD958-CE958</f>
        <v/>
      </c>
      <c r="CF862" s="1110">
        <f>CE958-CF958</f>
        <v/>
      </c>
      <c r="CG862" s="155" t="n"/>
    </row>
    <row r="863">
      <c r="A863" s="99">
        <f>A791</f>
        <v/>
      </c>
      <c r="B863" s="146" t="n"/>
      <c r="C863" s="1110">
        <f>C791</f>
        <v/>
      </c>
      <c r="D863" s="1110">
        <f>D791</f>
        <v/>
      </c>
      <c r="E863" s="1110">
        <f>E791</f>
        <v/>
      </c>
      <c r="F863" s="1110">
        <f>F791</f>
        <v/>
      </c>
      <c r="G863" s="68">
        <f>G791</f>
        <v/>
      </c>
      <c r="H863" s="68">
        <f>H791-G791</f>
        <v/>
      </c>
      <c r="I863" s="68">
        <f>I791-H791</f>
        <v/>
      </c>
      <c r="J863" s="68">
        <f>J791-I791</f>
        <v/>
      </c>
      <c r="K863" s="1110">
        <f>K791</f>
        <v/>
      </c>
      <c r="L863" s="68">
        <f>L791</f>
        <v/>
      </c>
      <c r="M863" s="68">
        <f>M791-L791</f>
        <v/>
      </c>
      <c r="N863" s="68">
        <f>N791-M791</f>
        <v/>
      </c>
      <c r="O863" s="68">
        <f>O791-N791</f>
        <v/>
      </c>
      <c r="P863" s="1110">
        <f>P791</f>
        <v/>
      </c>
      <c r="Q863" s="68">
        <f>Q791</f>
        <v/>
      </c>
      <c r="R863" s="68">
        <f>R791-Q791</f>
        <v/>
      </c>
      <c r="S863" s="68">
        <f>S791-R791</f>
        <v/>
      </c>
      <c r="T863" s="68">
        <f>T791-S791</f>
        <v/>
      </c>
      <c r="U863" s="1110">
        <f>U791</f>
        <v/>
      </c>
      <c r="V863" s="68">
        <f>V791</f>
        <v/>
      </c>
      <c r="W863" s="68">
        <f>W791-V791</f>
        <v/>
      </c>
      <c r="X863" s="68">
        <f>X791-W791</f>
        <v/>
      </c>
      <c r="Y863" s="68">
        <f>Y791-X791</f>
        <v/>
      </c>
      <c r="Z863" s="1110">
        <f>SUM(V863,W863,X863,Y863)</f>
        <v/>
      </c>
      <c r="AA863" s="68">
        <f>AA791</f>
        <v/>
      </c>
      <c r="AB863" s="68">
        <f>AB791-AA791</f>
        <v/>
      </c>
      <c r="AC863" s="68">
        <f>AC791-AB791</f>
        <v/>
      </c>
      <c r="AD863" s="68">
        <f>AD791-AC791</f>
        <v/>
      </c>
      <c r="AE863" s="1110">
        <f>SUM(AA863,AB863,AC863,AD863)</f>
        <v/>
      </c>
      <c r="AF863" s="68">
        <f>AF791</f>
        <v/>
      </c>
      <c r="AG863" s="68">
        <f>AG791-AF791</f>
        <v/>
      </c>
      <c r="AH863" s="68">
        <f>AH791-AG791</f>
        <v/>
      </c>
      <c r="AI863" s="68">
        <f>AI791-AH791</f>
        <v/>
      </c>
      <c r="AJ863" s="1110">
        <f>SUM(AF863,AG863,AH863,AI863)</f>
        <v/>
      </c>
      <c r="AK863" s="68">
        <f>AK791</f>
        <v/>
      </c>
      <c r="AL863" s="68">
        <f>AL791-AK791</f>
        <v/>
      </c>
      <c r="AM863" s="68">
        <f>AM791-AL791</f>
        <v/>
      </c>
      <c r="AN863" s="68">
        <f>AN791-AM791</f>
        <v/>
      </c>
      <c r="AO863" s="1110">
        <f>SUM(AK863,AL863,AM863,AN863)</f>
        <v/>
      </c>
      <c r="AP863" s="68">
        <f>AP791</f>
        <v/>
      </c>
      <c r="AQ863" s="27">
        <f>AQ791-AP791</f>
        <v/>
      </c>
      <c r="AR863" s="68">
        <f>AR791-AQ791</f>
        <v/>
      </c>
      <c r="AS863" s="68">
        <f>AS791-AR791</f>
        <v/>
      </c>
      <c r="AT863" s="1110">
        <f>SUM(AP863,AQ863,AR863,AS863)</f>
        <v/>
      </c>
      <c r="AU863" s="68">
        <f>AU791</f>
        <v/>
      </c>
      <c r="AV863" s="27">
        <f>AV791-AU791</f>
        <v/>
      </c>
      <c r="AW863" s="68">
        <f>AW791-AV791</f>
        <v/>
      </c>
      <c r="AX863" s="68">
        <f>AX791-AW791</f>
        <v/>
      </c>
      <c r="AY863" s="1110">
        <f>SUM(AU863,AV863,AW863,AX863)</f>
        <v/>
      </c>
      <c r="AZ863" s="68">
        <f>AZ791</f>
        <v/>
      </c>
      <c r="BA863" s="27">
        <f>BA791-AZ791</f>
        <v/>
      </c>
      <c r="BB863" s="68">
        <f>BB791-BA791</f>
        <v/>
      </c>
      <c r="BC863" s="68">
        <f>BC791-BB791</f>
        <v/>
      </c>
      <c r="BD863" s="1110">
        <f>SUM(AZ863,BA863,BB863,BC863)</f>
        <v/>
      </c>
      <c r="BE863" s="68">
        <f>BE791</f>
        <v/>
      </c>
      <c r="BF863" s="27">
        <f>BF791-BE791</f>
        <v/>
      </c>
      <c r="BG863" s="68">
        <f>BG791-BF791</f>
        <v/>
      </c>
      <c r="BH863" s="68">
        <f>BH791-BG791</f>
        <v/>
      </c>
      <c r="BI863" s="1110">
        <f>SUM(BE863,BF863,BG863,BH863)</f>
        <v/>
      </c>
      <c r="BJ863" s="68">
        <f>BJ791</f>
        <v/>
      </c>
      <c r="BK863" s="27">
        <f>BK791-BJ791</f>
        <v/>
      </c>
      <c r="BL863" s="68">
        <f>BL791-BK791</f>
        <v/>
      </c>
      <c r="BM863" s="68">
        <f>BM791-BL791</f>
        <v/>
      </c>
      <c r="BN863" s="1110">
        <f>SUM(BJ863,BK863,BL863,BM863)</f>
        <v/>
      </c>
      <c r="BO863" s="68">
        <f>BO791</f>
        <v/>
      </c>
      <c r="BP863" s="27">
        <f>BP791-BO791</f>
        <v/>
      </c>
      <c r="BQ863" s="68">
        <f>BQ791-BP791</f>
        <v/>
      </c>
      <c r="BR863" s="68">
        <f>BR791-BQ791</f>
        <v/>
      </c>
      <c r="BS863" s="1110">
        <f>SUM(BO863,BP863,BQ863,BR863)</f>
        <v/>
      </c>
      <c r="BT863" s="68">
        <f>BT791</f>
        <v/>
      </c>
      <c r="BU863" s="27">
        <f>BU791-BT791</f>
        <v/>
      </c>
      <c r="BV863" s="588">
        <f>BV791-BU791</f>
        <v/>
      </c>
      <c r="BW863" s="68" t="n"/>
      <c r="BX863" s="1110">
        <f>SUM(BT863,BU863,BV863,BW863)</f>
        <v/>
      </c>
      <c r="BY863" s="68" t="n"/>
      <c r="BZ863" s="68" t="n"/>
      <c r="CA863" s="68" t="n"/>
      <c r="CB863" s="68" t="n"/>
      <c r="CC863" s="1110">
        <f>SUM(BY863,BZ863,CA863,CB863)</f>
        <v/>
      </c>
      <c r="CD863" s="1110" t="n"/>
      <c r="CE863" s="1110" t="n"/>
      <c r="CF863" s="1110" t="n"/>
      <c r="CG863" s="155" t="n"/>
    </row>
    <row r="864">
      <c r="A864" s="99">
        <f>A792</f>
        <v/>
      </c>
      <c r="B864" s="146" t="n"/>
      <c r="C864" s="1110">
        <f>C792</f>
        <v/>
      </c>
      <c r="D864" s="1110">
        <f>D792</f>
        <v/>
      </c>
      <c r="E864" s="1110">
        <f>E792</f>
        <v/>
      </c>
      <c r="F864" s="1110">
        <f>F792</f>
        <v/>
      </c>
      <c r="G864" s="68">
        <f>G792</f>
        <v/>
      </c>
      <c r="H864" s="68">
        <f>H792-G792</f>
        <v/>
      </c>
      <c r="I864" s="68">
        <f>I792-H792</f>
        <v/>
      </c>
      <c r="J864" s="68">
        <f>J792-I792</f>
        <v/>
      </c>
      <c r="K864" s="1110">
        <f>K792</f>
        <v/>
      </c>
      <c r="L864" s="68">
        <f>L792</f>
        <v/>
      </c>
      <c r="M864" s="68">
        <f>M792-L792</f>
        <v/>
      </c>
      <c r="N864" s="68">
        <f>N792-M792</f>
        <v/>
      </c>
      <c r="O864" s="68">
        <f>O792-N792</f>
        <v/>
      </c>
      <c r="P864" s="1110">
        <f>P792</f>
        <v/>
      </c>
      <c r="Q864" s="68">
        <f>Q792</f>
        <v/>
      </c>
      <c r="R864" s="68">
        <f>R792-Q792</f>
        <v/>
      </c>
      <c r="S864" s="68">
        <f>S792-R792</f>
        <v/>
      </c>
      <c r="T864" s="68">
        <f>T792-S792</f>
        <v/>
      </c>
      <c r="U864" s="1110">
        <f>U792</f>
        <v/>
      </c>
      <c r="V864" s="68">
        <f>V792</f>
        <v/>
      </c>
      <c r="W864" s="68">
        <f>W792-V792</f>
        <v/>
      </c>
      <c r="X864" s="68">
        <f>X792-W792</f>
        <v/>
      </c>
      <c r="Y864" s="68">
        <f>Y792-X792</f>
        <v/>
      </c>
      <c r="Z864" s="1110">
        <f>SUM(V864,W864,X864,Y864)</f>
        <v/>
      </c>
      <c r="AA864" s="68">
        <f>AA792</f>
        <v/>
      </c>
      <c r="AB864" s="68">
        <f>AB792-AA792</f>
        <v/>
      </c>
      <c r="AC864" s="68">
        <f>AC792-AB792</f>
        <v/>
      </c>
      <c r="AD864" s="68">
        <f>AD792-AC792</f>
        <v/>
      </c>
      <c r="AE864" s="1110">
        <f>SUM(AA864,AB864,AC864,AD864)</f>
        <v/>
      </c>
      <c r="AF864" s="68">
        <f>AF792</f>
        <v/>
      </c>
      <c r="AG864" s="68">
        <f>AG792-AF792</f>
        <v/>
      </c>
      <c r="AH864" s="68">
        <f>AH792-AG792</f>
        <v/>
      </c>
      <c r="AI864" s="68">
        <f>AI792-AH792</f>
        <v/>
      </c>
      <c r="AJ864" s="1110">
        <f>SUM(AF864,AG864,AH864,AI864)</f>
        <v/>
      </c>
      <c r="AK864" s="68">
        <f>AK792</f>
        <v/>
      </c>
      <c r="AL864" s="68">
        <f>AL792-AK792</f>
        <v/>
      </c>
      <c r="AM864" s="68">
        <f>AM792-AL792</f>
        <v/>
      </c>
      <c r="AN864" s="68">
        <f>AN792-AM792</f>
        <v/>
      </c>
      <c r="AO864" s="1110">
        <f>SUM(AK864,AL864,AM864,AN864)</f>
        <v/>
      </c>
      <c r="AP864" s="68">
        <f>AP792</f>
        <v/>
      </c>
      <c r="AQ864" s="68">
        <f>AQ792-AP792</f>
        <v/>
      </c>
      <c r="AR864" s="68">
        <f>AR792-AQ792</f>
        <v/>
      </c>
      <c r="AS864" s="68">
        <f>AS792-AR792</f>
        <v/>
      </c>
      <c r="AT864" s="1110">
        <f>SUM(AP864,AQ864,AR864,AS864)</f>
        <v/>
      </c>
      <c r="AU864" s="68">
        <f>AU792</f>
        <v/>
      </c>
      <c r="AV864" s="68">
        <f>AV792-AU792</f>
        <v/>
      </c>
      <c r="AW864" s="68">
        <f>AW792-AV792</f>
        <v/>
      </c>
      <c r="AX864" s="68">
        <f>AX792-AW792</f>
        <v/>
      </c>
      <c r="AY864" s="1110">
        <f>SUM(AU864,AV864,AW864,AX864)</f>
        <v/>
      </c>
      <c r="AZ864" s="68">
        <f>AZ792</f>
        <v/>
      </c>
      <c r="BA864" s="68">
        <f>BA792-AZ792</f>
        <v/>
      </c>
      <c r="BB864" s="68">
        <f>BB792-BA792</f>
        <v/>
      </c>
      <c r="BC864" s="68">
        <f>BC792-BB792</f>
        <v/>
      </c>
      <c r="BD864" s="1110">
        <f>SUM(AZ864,BA864,BB864,BC864)</f>
        <v/>
      </c>
      <c r="BE864" s="68">
        <f>BE792</f>
        <v/>
      </c>
      <c r="BF864" s="68">
        <f>BF792-BE792</f>
        <v/>
      </c>
      <c r="BG864" s="68">
        <f>BG792-BF792</f>
        <v/>
      </c>
      <c r="BH864" s="68">
        <f>BH792-BG792</f>
        <v/>
      </c>
      <c r="BI864" s="1110">
        <f>SUM(BE864,BF864,BG864,BH864)</f>
        <v/>
      </c>
      <c r="BJ864" s="68">
        <f>BJ792</f>
        <v/>
      </c>
      <c r="BK864" s="68">
        <f>BK792-BJ792</f>
        <v/>
      </c>
      <c r="BL864" s="68">
        <f>BL792-BK792</f>
        <v/>
      </c>
      <c r="BM864" s="68">
        <f>BM792-BL792</f>
        <v/>
      </c>
      <c r="BN864" s="1110">
        <f>SUM(BJ864,BK864,BL864,BM864)</f>
        <v/>
      </c>
      <c r="BO864" s="68">
        <f>BO792</f>
        <v/>
      </c>
      <c r="BP864" s="68">
        <f>BP792-BO792</f>
        <v/>
      </c>
      <c r="BQ864" s="68">
        <f>BQ792-BP792</f>
        <v/>
      </c>
      <c r="BR864" s="68">
        <f>BR792-BQ792</f>
        <v/>
      </c>
      <c r="BS864" s="1110">
        <f>SUM(BO864,BP864,BQ864,BR864)</f>
        <v/>
      </c>
      <c r="BT864" s="68">
        <f>BT792</f>
        <v/>
      </c>
      <c r="BU864" s="68">
        <f>BU792-BT792</f>
        <v/>
      </c>
      <c r="BV864" s="588">
        <f>BV792-BU792</f>
        <v/>
      </c>
      <c r="BW864" s="68" t="n"/>
      <c r="BX864" s="1110">
        <f>SUM(BT864,BU864,BV864,BW864)</f>
        <v/>
      </c>
      <c r="BY864" s="68" t="n"/>
      <c r="BZ864" s="68" t="n"/>
      <c r="CA864" s="68" t="n"/>
      <c r="CB864" s="68" t="n"/>
      <c r="CC864" s="1110">
        <f>SUM(BY864,BZ864,CA864,CB864)</f>
        <v/>
      </c>
      <c r="CD864" s="1110" t="n"/>
      <c r="CE864" s="1110" t="n"/>
      <c r="CF864" s="1110" t="n"/>
      <c r="CG864" s="155" t="n"/>
    </row>
    <row r="865">
      <c r="A865" s="99">
        <f>A793</f>
        <v/>
      </c>
      <c r="B865" s="146" t="n"/>
      <c r="C865" s="1110">
        <f>C793</f>
        <v/>
      </c>
      <c r="D865" s="1110">
        <f>D793</f>
        <v/>
      </c>
      <c r="E865" s="1110">
        <f>E793</f>
        <v/>
      </c>
      <c r="F865" s="1110">
        <f>F793</f>
        <v/>
      </c>
      <c r="G865" s="68">
        <f>G793</f>
        <v/>
      </c>
      <c r="H865" s="68">
        <f>H793-G793</f>
        <v/>
      </c>
      <c r="I865" s="68">
        <f>I793-H793</f>
        <v/>
      </c>
      <c r="J865" s="68">
        <f>J793-I793</f>
        <v/>
      </c>
      <c r="K865" s="1110">
        <f>K793</f>
        <v/>
      </c>
      <c r="L865" s="68">
        <f>L793</f>
        <v/>
      </c>
      <c r="M865" s="68">
        <f>M793-L793</f>
        <v/>
      </c>
      <c r="N865" s="68">
        <f>N793-M793</f>
        <v/>
      </c>
      <c r="O865" s="68">
        <f>O793-N793</f>
        <v/>
      </c>
      <c r="P865" s="1110">
        <f>P793</f>
        <v/>
      </c>
      <c r="Q865" s="68">
        <f>Q793</f>
        <v/>
      </c>
      <c r="R865" s="68">
        <f>R793-Q793</f>
        <v/>
      </c>
      <c r="S865" s="68">
        <f>S793-R793</f>
        <v/>
      </c>
      <c r="T865" s="68">
        <f>T793-S793</f>
        <v/>
      </c>
      <c r="U865" s="1110">
        <f>U793</f>
        <v/>
      </c>
      <c r="V865" s="68">
        <f>V793</f>
        <v/>
      </c>
      <c r="W865" s="68">
        <f>W793-V793</f>
        <v/>
      </c>
      <c r="X865" s="68">
        <f>X793-W793</f>
        <v/>
      </c>
      <c r="Y865" s="68">
        <f>Y793-X793</f>
        <v/>
      </c>
      <c r="Z865" s="1110">
        <f>SUM(V865,W865,X865,Y865)</f>
        <v/>
      </c>
      <c r="AA865" s="68">
        <f>AA793</f>
        <v/>
      </c>
      <c r="AB865" s="68">
        <f>AB793-AA793</f>
        <v/>
      </c>
      <c r="AC865" s="68">
        <f>AC793-AB793</f>
        <v/>
      </c>
      <c r="AD865" s="68">
        <f>AD793-AC793</f>
        <v/>
      </c>
      <c r="AE865" s="1110">
        <f>SUM(AA865,AB865,AC865,AD865)</f>
        <v/>
      </c>
      <c r="AF865" s="68">
        <f>AF793</f>
        <v/>
      </c>
      <c r="AG865" s="68">
        <f>AG793-AF793</f>
        <v/>
      </c>
      <c r="AH865" s="68">
        <f>AH793-AG793</f>
        <v/>
      </c>
      <c r="AI865" s="68">
        <f>AI793-AH793</f>
        <v/>
      </c>
      <c r="AJ865" s="1110">
        <f>SUM(AF865,AG865,AH865,AI865)</f>
        <v/>
      </c>
      <c r="AK865" s="68">
        <f>AK793</f>
        <v/>
      </c>
      <c r="AL865" s="68">
        <f>AL793-AK793</f>
        <v/>
      </c>
      <c r="AM865" s="68">
        <f>AM793-AL793</f>
        <v/>
      </c>
      <c r="AN865" s="68">
        <f>AN793-AM793</f>
        <v/>
      </c>
      <c r="AO865" s="1110">
        <f>SUM(AK865,AL865,AM865,AN865)</f>
        <v/>
      </c>
      <c r="AP865" s="68">
        <f>AP793</f>
        <v/>
      </c>
      <c r="AQ865" s="68">
        <f>AQ793-AP793</f>
        <v/>
      </c>
      <c r="AR865" s="68">
        <f>AR793-AQ793</f>
        <v/>
      </c>
      <c r="AS865" s="68">
        <f>AS793-AR793</f>
        <v/>
      </c>
      <c r="AT865" s="1110">
        <f>SUM(AP865,AQ865,AR865,AS865)</f>
        <v/>
      </c>
      <c r="AU865" s="68">
        <f>AU793</f>
        <v/>
      </c>
      <c r="AV865" s="68">
        <f>AV793-AU793</f>
        <v/>
      </c>
      <c r="AW865" s="68">
        <f>AW793-AV793</f>
        <v/>
      </c>
      <c r="AX865" s="68">
        <f>AX793-AW793</f>
        <v/>
      </c>
      <c r="AY865" s="1110">
        <f>SUM(AU865,AV865,AW865,AX865)</f>
        <v/>
      </c>
      <c r="AZ865" s="68">
        <f>AZ793</f>
        <v/>
      </c>
      <c r="BA865" s="68">
        <f>BA793-AZ793</f>
        <v/>
      </c>
      <c r="BB865" s="68">
        <f>BB793-BA793</f>
        <v/>
      </c>
      <c r="BC865" s="68">
        <f>BC793-BB793</f>
        <v/>
      </c>
      <c r="BD865" s="1110">
        <f>SUM(AZ865,BA865,BB865,BC865)</f>
        <v/>
      </c>
      <c r="BE865" s="68">
        <f>BE793</f>
        <v/>
      </c>
      <c r="BF865" s="68">
        <f>BF793-BE793</f>
        <v/>
      </c>
      <c r="BG865" s="68">
        <f>BG793-BF793</f>
        <v/>
      </c>
      <c r="BH865" s="68">
        <f>BH793-BG793</f>
        <v/>
      </c>
      <c r="BI865" s="1110">
        <f>SUM(BE865,BF865,BG865,BH865)</f>
        <v/>
      </c>
      <c r="BJ865" s="68">
        <f>BJ793</f>
        <v/>
      </c>
      <c r="BK865" s="68">
        <f>BK793-BJ793</f>
        <v/>
      </c>
      <c r="BL865" s="68">
        <f>BL793-BK793</f>
        <v/>
      </c>
      <c r="BM865" s="68">
        <f>BM793-BL793</f>
        <v/>
      </c>
      <c r="BN865" s="1110">
        <f>SUM(BJ865,BK865,BL865,BM865)</f>
        <v/>
      </c>
      <c r="BO865" s="68">
        <f>BO793</f>
        <v/>
      </c>
      <c r="BP865" s="68">
        <f>BP793-BO793</f>
        <v/>
      </c>
      <c r="BQ865" s="68">
        <f>BQ793-BP793</f>
        <v/>
      </c>
      <c r="BR865" s="68">
        <f>BR793-BQ793</f>
        <v/>
      </c>
      <c r="BS865" s="1110">
        <f>SUM(BO865,BP865,BQ865,BR865)</f>
        <v/>
      </c>
      <c r="BT865" s="68">
        <f>BT793</f>
        <v/>
      </c>
      <c r="BU865" s="68">
        <f>BU793-BT793</f>
        <v/>
      </c>
      <c r="BV865" s="588">
        <f>BV793-BU793</f>
        <v/>
      </c>
      <c r="BW865" s="68" t="n"/>
      <c r="BX865" s="1110">
        <f>SUM(BT865,BU865,BV865,BW865)</f>
        <v/>
      </c>
      <c r="BY865" s="68" t="n"/>
      <c r="BZ865" s="68" t="n"/>
      <c r="CA865" s="68" t="n"/>
      <c r="CB865" s="68" t="n"/>
      <c r="CC865" s="1110">
        <f>SUM(BY865,BZ865,CA865,CB865)</f>
        <v/>
      </c>
      <c r="CD865" s="1110" t="n"/>
      <c r="CE865" s="1110" t="n"/>
      <c r="CF865" s="1110" t="n"/>
      <c r="CG865" s="155" t="n"/>
    </row>
    <row r="866">
      <c r="A866" s="99">
        <f>A794</f>
        <v/>
      </c>
      <c r="B866" s="146" t="n"/>
      <c r="C866" s="1110">
        <f>C794</f>
        <v/>
      </c>
      <c r="D866" s="1110">
        <f>D794</f>
        <v/>
      </c>
      <c r="E866" s="1110">
        <f>E794</f>
        <v/>
      </c>
      <c r="F866" s="1110">
        <f>F794</f>
        <v/>
      </c>
      <c r="G866" s="68">
        <f>G794</f>
        <v/>
      </c>
      <c r="H866" s="68">
        <f>H794-G794</f>
        <v/>
      </c>
      <c r="I866" s="68">
        <f>I794-H794</f>
        <v/>
      </c>
      <c r="J866" s="68">
        <f>J794-I794</f>
        <v/>
      </c>
      <c r="K866" s="1110">
        <f>K794</f>
        <v/>
      </c>
      <c r="L866" s="68">
        <f>L794</f>
        <v/>
      </c>
      <c r="M866" s="68">
        <f>M794-L794</f>
        <v/>
      </c>
      <c r="N866" s="68">
        <f>N794-M794</f>
        <v/>
      </c>
      <c r="O866" s="68">
        <f>O794-N794</f>
        <v/>
      </c>
      <c r="P866" s="1110">
        <f>P794</f>
        <v/>
      </c>
      <c r="Q866" s="68">
        <f>Q794</f>
        <v/>
      </c>
      <c r="R866" s="68">
        <f>R794-Q794</f>
        <v/>
      </c>
      <c r="S866" s="68">
        <f>S794-R794</f>
        <v/>
      </c>
      <c r="T866" s="68">
        <f>T794-S794</f>
        <v/>
      </c>
      <c r="U866" s="1110">
        <f>U794</f>
        <v/>
      </c>
      <c r="V866" s="68">
        <f>V794</f>
        <v/>
      </c>
      <c r="W866" s="68">
        <f>W794-V794</f>
        <v/>
      </c>
      <c r="X866" s="68">
        <f>X794-W794</f>
        <v/>
      </c>
      <c r="Y866" s="68">
        <f>Y794-X794</f>
        <v/>
      </c>
      <c r="Z866" s="1110">
        <f>SUM(V866,W866,X866,Y866)</f>
        <v/>
      </c>
      <c r="AA866" s="68">
        <f>AA794</f>
        <v/>
      </c>
      <c r="AB866" s="68">
        <f>AB794-AA794</f>
        <v/>
      </c>
      <c r="AC866" s="68">
        <f>AC794-AB794</f>
        <v/>
      </c>
      <c r="AD866" s="68">
        <f>AD794-AC794</f>
        <v/>
      </c>
      <c r="AE866" s="1110">
        <f>SUM(AA866,AB866,AC866,AD866)</f>
        <v/>
      </c>
      <c r="AF866" s="68">
        <f>AF794</f>
        <v/>
      </c>
      <c r="AG866" s="68">
        <f>AG794-AF794</f>
        <v/>
      </c>
      <c r="AH866" s="68">
        <f>AH794-AG794</f>
        <v/>
      </c>
      <c r="AI866" s="68">
        <f>AI794-AH794</f>
        <v/>
      </c>
      <c r="AJ866" s="1110">
        <f>SUM(AF866,AG866,AH866,AI866)</f>
        <v/>
      </c>
      <c r="AK866" s="68">
        <f>AK794</f>
        <v/>
      </c>
      <c r="AL866" s="68">
        <f>AL794-AK794</f>
        <v/>
      </c>
      <c r="AM866" s="68">
        <f>AM794-AL794</f>
        <v/>
      </c>
      <c r="AN866" s="68">
        <f>AN794-AM794</f>
        <v/>
      </c>
      <c r="AO866" s="1110">
        <f>SUM(AK866,AL866,AM866,AN866)</f>
        <v/>
      </c>
      <c r="AP866" s="68">
        <f>AP794</f>
        <v/>
      </c>
      <c r="AQ866" s="27">
        <f>AQ794-AP794</f>
        <v/>
      </c>
      <c r="AR866" s="68">
        <f>AR794-AQ794</f>
        <v/>
      </c>
      <c r="AS866" s="68">
        <f>AS794-AR794</f>
        <v/>
      </c>
      <c r="AT866" s="1110">
        <f>SUM(AP866,AQ866,AR866,AS866)</f>
        <v/>
      </c>
      <c r="AU866" s="68">
        <f>AU794</f>
        <v/>
      </c>
      <c r="AV866" s="27">
        <f>AV794-AU794</f>
        <v/>
      </c>
      <c r="AW866" s="68">
        <f>AW794-AV794</f>
        <v/>
      </c>
      <c r="AX866" s="68">
        <f>AX794-AW794</f>
        <v/>
      </c>
      <c r="AY866" s="1110">
        <f>SUM(AU866,AV866,AW866,AX866)</f>
        <v/>
      </c>
      <c r="AZ866" s="68">
        <f>AZ794</f>
        <v/>
      </c>
      <c r="BA866" s="27">
        <f>BA794-AZ794</f>
        <v/>
      </c>
      <c r="BB866" s="68">
        <f>BB794-BA794</f>
        <v/>
      </c>
      <c r="BC866" s="68">
        <f>BC794-BB794</f>
        <v/>
      </c>
      <c r="BD866" s="1110">
        <f>SUM(AZ866,BA866,BB866,BC866)</f>
        <v/>
      </c>
      <c r="BE866" s="68">
        <f>BE794</f>
        <v/>
      </c>
      <c r="BF866" s="27">
        <f>BF794-BE794</f>
        <v/>
      </c>
      <c r="BG866" s="68">
        <f>BG794-BF794</f>
        <v/>
      </c>
      <c r="BH866" s="68">
        <f>BH794-BG794</f>
        <v/>
      </c>
      <c r="BI866" s="1110">
        <f>SUM(BE866,BF866,BG866,BH866)</f>
        <v/>
      </c>
      <c r="BJ866" s="68">
        <f>BJ794</f>
        <v/>
      </c>
      <c r="BK866" s="27">
        <f>BK794-BJ794</f>
        <v/>
      </c>
      <c r="BL866" s="68">
        <f>BL794-BK794</f>
        <v/>
      </c>
      <c r="BM866" s="68">
        <f>BM794-BL794</f>
        <v/>
      </c>
      <c r="BN866" s="1110">
        <f>SUM(BJ866,BK866,BL866,BM866)</f>
        <v/>
      </c>
      <c r="BO866" s="68">
        <f>BO794</f>
        <v/>
      </c>
      <c r="BP866" s="27">
        <f>BP794-BO794</f>
        <v/>
      </c>
      <c r="BQ866" s="68">
        <f>BQ794-BP794</f>
        <v/>
      </c>
      <c r="BR866" s="68">
        <f>BR794-BQ794</f>
        <v/>
      </c>
      <c r="BS866" s="1110">
        <f>SUM(BO866,BP866,BQ866,BR866)</f>
        <v/>
      </c>
      <c r="BT866" s="68">
        <f>BT794</f>
        <v/>
      </c>
      <c r="BU866" s="27">
        <f>BU794-BT794</f>
        <v/>
      </c>
      <c r="BV866" s="588">
        <f>BV794-BU794</f>
        <v/>
      </c>
      <c r="BW866" s="68">
        <f>BW985-BV985</f>
        <v/>
      </c>
      <c r="BX866" s="1110">
        <f>SUM(BT866,BU866,BV866,BW866)</f>
        <v/>
      </c>
      <c r="BY866" s="68">
        <f>BY985-BX985</f>
        <v/>
      </c>
      <c r="BZ866" s="68">
        <f>BZ985-BY985</f>
        <v/>
      </c>
      <c r="CA866" s="68">
        <f>CA985-BZ985</f>
        <v/>
      </c>
      <c r="CB866" s="68">
        <f>CB985-CA985</f>
        <v/>
      </c>
      <c r="CC866" s="1110">
        <f>SUM(BY866,BZ866,CA866,CB866)</f>
        <v/>
      </c>
      <c r="CD866" s="1110">
        <f>CD985-CC985</f>
        <v/>
      </c>
      <c r="CE866" s="1110">
        <f>CE985-CD985</f>
        <v/>
      </c>
      <c r="CF866" s="1110">
        <f>CF985-CE985</f>
        <v/>
      </c>
      <c r="CG866" s="155" t="n"/>
    </row>
    <row r="867">
      <c r="A867" s="99">
        <f>A795</f>
        <v/>
      </c>
      <c r="B867" s="146" t="n"/>
      <c r="C867" s="1110">
        <f>C795</f>
        <v/>
      </c>
      <c r="D867" s="1110">
        <f>D795</f>
        <v/>
      </c>
      <c r="E867" s="1110">
        <f>E795</f>
        <v/>
      </c>
      <c r="F867" s="1110">
        <f>F795</f>
        <v/>
      </c>
      <c r="G867" s="68">
        <f>G795</f>
        <v/>
      </c>
      <c r="H867" s="68">
        <f>H795-G795</f>
        <v/>
      </c>
      <c r="I867" s="68">
        <f>I795-H795</f>
        <v/>
      </c>
      <c r="J867" s="68">
        <f>J795-I795</f>
        <v/>
      </c>
      <c r="K867" s="1110">
        <f>K795</f>
        <v/>
      </c>
      <c r="L867" s="68">
        <f>L795</f>
        <v/>
      </c>
      <c r="M867" s="68">
        <f>M795-L795</f>
        <v/>
      </c>
      <c r="N867" s="68">
        <f>N795-M795</f>
        <v/>
      </c>
      <c r="O867" s="68">
        <f>O795-N795</f>
        <v/>
      </c>
      <c r="P867" s="1110">
        <f>P795</f>
        <v/>
      </c>
      <c r="Q867" s="68">
        <f>Q795</f>
        <v/>
      </c>
      <c r="R867" s="68">
        <f>R795-Q795</f>
        <v/>
      </c>
      <c r="S867" s="68">
        <f>S795-R795</f>
        <v/>
      </c>
      <c r="T867" s="68">
        <f>T795-S795</f>
        <v/>
      </c>
      <c r="U867" s="1110">
        <f>U795</f>
        <v/>
      </c>
      <c r="V867" s="68">
        <f>V795</f>
        <v/>
      </c>
      <c r="W867" s="68">
        <f>W795-V795</f>
        <v/>
      </c>
      <c r="X867" s="68">
        <f>X795-W795</f>
        <v/>
      </c>
      <c r="Y867" s="68">
        <f>Y795-X795</f>
        <v/>
      </c>
      <c r="Z867" s="1110">
        <f>SUM(V867,W867,X867,Y867)</f>
        <v/>
      </c>
      <c r="AA867" s="68">
        <f>AA795</f>
        <v/>
      </c>
      <c r="AB867" s="68">
        <f>AB795-AA795</f>
        <v/>
      </c>
      <c r="AC867" s="68">
        <f>AC795-AB795</f>
        <v/>
      </c>
      <c r="AD867" s="68">
        <f>AD795-AC795</f>
        <v/>
      </c>
      <c r="AE867" s="1110">
        <f>SUM(AA867,AB867,AC867,AD867)</f>
        <v/>
      </c>
      <c r="AF867" s="68">
        <f>AF795</f>
        <v/>
      </c>
      <c r="AG867" s="68">
        <f>AG795-AF795</f>
        <v/>
      </c>
      <c r="AH867" s="68">
        <f>AH795-AG795</f>
        <v/>
      </c>
      <c r="AI867" s="68">
        <f>AI795-AH795</f>
        <v/>
      </c>
      <c r="AJ867" s="1110">
        <f>SUM(AF867,AG867,AH867,AI867)</f>
        <v/>
      </c>
      <c r="AK867" s="68">
        <f>AK795</f>
        <v/>
      </c>
      <c r="AL867" s="68">
        <f>AL795-AK795</f>
        <v/>
      </c>
      <c r="AM867" s="68">
        <f>AM795-AL795</f>
        <v/>
      </c>
      <c r="AN867" s="68">
        <f>AN795-AM795</f>
        <v/>
      </c>
      <c r="AO867" s="1110">
        <f>SUM(AK867,AL867,AM867,AN867)</f>
        <v/>
      </c>
      <c r="AP867" s="68">
        <f>AP795</f>
        <v/>
      </c>
      <c r="AQ867" s="27">
        <f>AQ795-AP795</f>
        <v/>
      </c>
      <c r="AR867" s="68">
        <f>AR795-AQ795</f>
        <v/>
      </c>
      <c r="AS867" s="68">
        <f>AS795-AR795</f>
        <v/>
      </c>
      <c r="AT867" s="1110">
        <f>SUM(AP867,AQ867,AR867,AS867)</f>
        <v/>
      </c>
      <c r="AU867" s="68">
        <f>AU795</f>
        <v/>
      </c>
      <c r="AV867" s="27">
        <f>AV795-AU795</f>
        <v/>
      </c>
      <c r="AW867" s="68">
        <f>AW795-AV795</f>
        <v/>
      </c>
      <c r="AX867" s="68">
        <f>AX795-AW795</f>
        <v/>
      </c>
      <c r="AY867" s="1110">
        <f>SUM(AU867,AV867,AW867,AX867)</f>
        <v/>
      </c>
      <c r="AZ867" s="68">
        <f>AZ795</f>
        <v/>
      </c>
      <c r="BA867" s="27">
        <f>BA795-AZ795</f>
        <v/>
      </c>
      <c r="BB867" s="68">
        <f>BB795-BA795</f>
        <v/>
      </c>
      <c r="BC867" s="68">
        <f>BC795-BB795</f>
        <v/>
      </c>
      <c r="BD867" s="1110">
        <f>SUM(AZ867,BA867,BB867,BC867)</f>
        <v/>
      </c>
      <c r="BE867" s="68">
        <f>BE795</f>
        <v/>
      </c>
      <c r="BF867" s="27">
        <f>BF795-BE795</f>
        <v/>
      </c>
      <c r="BG867" s="68">
        <f>BG795-BF795</f>
        <v/>
      </c>
      <c r="BH867" s="68">
        <f>BH795-BG795</f>
        <v/>
      </c>
      <c r="BI867" s="1110">
        <f>SUM(BE867,BF867,BG867,BH867)</f>
        <v/>
      </c>
      <c r="BJ867" s="68">
        <f>BJ795</f>
        <v/>
      </c>
      <c r="BK867" s="27">
        <f>BK795-BJ795</f>
        <v/>
      </c>
      <c r="BL867" s="68">
        <f>BL795-BK795</f>
        <v/>
      </c>
      <c r="BM867" s="68">
        <f>BM795-BL795</f>
        <v/>
      </c>
      <c r="BN867" s="1110">
        <f>SUM(BJ867,BK867,BL867,BM867)</f>
        <v/>
      </c>
      <c r="BO867" s="68">
        <f>BO795</f>
        <v/>
      </c>
      <c r="BP867" s="27">
        <f>BP795-BO795</f>
        <v/>
      </c>
      <c r="BQ867" s="68">
        <f>BQ795-BP795</f>
        <v/>
      </c>
      <c r="BR867" s="68">
        <f>BR795-BQ795</f>
        <v/>
      </c>
      <c r="BS867" s="1110">
        <f>SUM(BO867,BP867,BQ867,BR867)</f>
        <v/>
      </c>
      <c r="BT867" s="68">
        <f>BT795</f>
        <v/>
      </c>
      <c r="BU867" s="27">
        <f>BU795-BT795</f>
        <v/>
      </c>
      <c r="BV867" s="588">
        <f>BV795-BU795</f>
        <v/>
      </c>
      <c r="BW867" s="68">
        <f>BW987-BV987</f>
        <v/>
      </c>
      <c r="BX867" s="1110">
        <f>SUM(BT867,BU867,BV867,BW867)</f>
        <v/>
      </c>
      <c r="BY867" s="68">
        <f>BY987-BX987</f>
        <v/>
      </c>
      <c r="BZ867" s="68">
        <f>BZ987-BY987</f>
        <v/>
      </c>
      <c r="CA867" s="68">
        <f>CA987-BZ987</f>
        <v/>
      </c>
      <c r="CB867" s="68">
        <f>CB987-CA987</f>
        <v/>
      </c>
      <c r="CC867" s="1110">
        <f>SUM(BY867,BZ867,CA867,CB867)</f>
        <v/>
      </c>
      <c r="CD867" s="1110">
        <f>CD987-CC987</f>
        <v/>
      </c>
      <c r="CE867" s="1110">
        <f>CE987-CD987</f>
        <v/>
      </c>
      <c r="CF867" s="1110">
        <f>CF987-CE987</f>
        <v/>
      </c>
      <c r="CG867" s="155" t="n"/>
    </row>
    <row r="868">
      <c r="A868" s="99">
        <f>A796</f>
        <v/>
      </c>
      <c r="B868" s="146" t="n"/>
      <c r="C868" s="1110">
        <f>C796</f>
        <v/>
      </c>
      <c r="D868" s="1110">
        <f>D796</f>
        <v/>
      </c>
      <c r="E868" s="1110">
        <f>E796</f>
        <v/>
      </c>
      <c r="F868" s="1110">
        <f>F796</f>
        <v/>
      </c>
      <c r="G868" s="68">
        <f>G796</f>
        <v/>
      </c>
      <c r="H868" s="68">
        <f>H796-G796</f>
        <v/>
      </c>
      <c r="I868" s="68">
        <f>I796-H796</f>
        <v/>
      </c>
      <c r="J868" s="68">
        <f>J796-I796</f>
        <v/>
      </c>
      <c r="K868" s="1110">
        <f>K796</f>
        <v/>
      </c>
      <c r="L868" s="68">
        <f>L796</f>
        <v/>
      </c>
      <c r="M868" s="68">
        <f>M796-L796</f>
        <v/>
      </c>
      <c r="N868" s="68">
        <f>N796-M796</f>
        <v/>
      </c>
      <c r="O868" s="68">
        <f>O796-N796</f>
        <v/>
      </c>
      <c r="P868" s="1110">
        <f>P796</f>
        <v/>
      </c>
      <c r="Q868" s="68">
        <f>Q796</f>
        <v/>
      </c>
      <c r="R868" s="68">
        <f>R796-Q796</f>
        <v/>
      </c>
      <c r="S868" s="68">
        <f>S796-R796</f>
        <v/>
      </c>
      <c r="T868" s="68">
        <f>T796-S796</f>
        <v/>
      </c>
      <c r="U868" s="1110">
        <f>U796</f>
        <v/>
      </c>
      <c r="V868" s="68">
        <f>V796</f>
        <v/>
      </c>
      <c r="W868" s="68">
        <f>W796-V796</f>
        <v/>
      </c>
      <c r="X868" s="68">
        <f>X796-W796</f>
        <v/>
      </c>
      <c r="Y868" s="68">
        <f>Y796-X796</f>
        <v/>
      </c>
      <c r="Z868" s="1110">
        <f>SUM(V868,W868,X868,Y868)</f>
        <v/>
      </c>
      <c r="AA868" s="68">
        <f>AA796</f>
        <v/>
      </c>
      <c r="AB868" s="68">
        <f>AB796-AA796</f>
        <v/>
      </c>
      <c r="AC868" s="68">
        <f>AC796-AB796</f>
        <v/>
      </c>
      <c r="AD868" s="68">
        <f>AD796-AC796</f>
        <v/>
      </c>
      <c r="AE868" s="1110">
        <f>SUM(AA868,AB868,AC868,AD868)</f>
        <v/>
      </c>
      <c r="AF868" s="68">
        <f>AF796</f>
        <v/>
      </c>
      <c r="AG868" s="68">
        <f>AG796-AF796</f>
        <v/>
      </c>
      <c r="AH868" s="68">
        <f>AH796-AG796</f>
        <v/>
      </c>
      <c r="AI868" s="68">
        <f>AI796-AH796</f>
        <v/>
      </c>
      <c r="AJ868" s="1110">
        <f>SUM(AF868,AG868,AH868,AI868)</f>
        <v/>
      </c>
      <c r="AK868" s="68">
        <f>AK796</f>
        <v/>
      </c>
      <c r="AL868" s="68">
        <f>AL796-AK796</f>
        <v/>
      </c>
      <c r="AM868" s="68">
        <f>AM796-AL796</f>
        <v/>
      </c>
      <c r="AN868" s="68">
        <f>AN796-AM796</f>
        <v/>
      </c>
      <c r="AO868" s="1110">
        <f>SUM(AK868,AL868,AM868,AN868)</f>
        <v/>
      </c>
      <c r="AP868" s="68">
        <f>AP796</f>
        <v/>
      </c>
      <c r="AQ868" s="27">
        <f>AQ796-AP796</f>
        <v/>
      </c>
      <c r="AR868" s="68">
        <f>AR796-AQ796</f>
        <v/>
      </c>
      <c r="AS868" s="68">
        <f>AS796-AR796</f>
        <v/>
      </c>
      <c r="AT868" s="1110">
        <f>SUM(AP868,AQ868,AR868,AS868)</f>
        <v/>
      </c>
      <c r="AU868" s="68">
        <f>AU796</f>
        <v/>
      </c>
      <c r="AV868" s="27">
        <f>AV796-AU796</f>
        <v/>
      </c>
      <c r="AW868" s="68">
        <f>AW796-AV796</f>
        <v/>
      </c>
      <c r="AX868" s="68">
        <f>AX796-AW796</f>
        <v/>
      </c>
      <c r="AY868" s="1110">
        <f>SUM(AU868,AV868,AW868,AX868)</f>
        <v/>
      </c>
      <c r="AZ868" s="68">
        <f>AZ796</f>
        <v/>
      </c>
      <c r="BA868" s="27">
        <f>BA796-AZ796</f>
        <v/>
      </c>
      <c r="BB868" s="68">
        <f>BB796-BA796</f>
        <v/>
      </c>
      <c r="BC868" s="68">
        <f>BC796-BB796</f>
        <v/>
      </c>
      <c r="BD868" s="1110">
        <f>SUM(AZ868,BA868,BB868,BC868)</f>
        <v/>
      </c>
      <c r="BE868" s="68">
        <f>BE796</f>
        <v/>
      </c>
      <c r="BF868" s="27">
        <f>BF796-BE796</f>
        <v/>
      </c>
      <c r="BG868" s="68">
        <f>BG796-BF796</f>
        <v/>
      </c>
      <c r="BH868" s="68">
        <f>BH796-BG796</f>
        <v/>
      </c>
      <c r="BI868" s="1110">
        <f>SUM(BE868,BF868,BG868,BH868)</f>
        <v/>
      </c>
      <c r="BJ868" s="68">
        <f>BJ796</f>
        <v/>
      </c>
      <c r="BK868" s="27">
        <f>BK796-BJ796</f>
        <v/>
      </c>
      <c r="BL868" s="68">
        <f>BL796-BK796</f>
        <v/>
      </c>
      <c r="BM868" s="68">
        <f>BM796-BL796</f>
        <v/>
      </c>
      <c r="BN868" s="1110">
        <f>SUM(BJ868,BK868,BL868,BM868)</f>
        <v/>
      </c>
      <c r="BO868" s="68">
        <f>BO796</f>
        <v/>
      </c>
      <c r="BP868" s="27">
        <f>BP796-BO796</f>
        <v/>
      </c>
      <c r="BQ868" s="68">
        <f>BQ796-BP796</f>
        <v/>
      </c>
      <c r="BR868" s="68">
        <f>BR796-BQ796</f>
        <v/>
      </c>
      <c r="BS868" s="1110">
        <f>SUM(BO868,BP868,BQ868,BR868)</f>
        <v/>
      </c>
      <c r="BT868" s="68">
        <f>BT796</f>
        <v/>
      </c>
      <c r="BU868" s="27">
        <f>BU796-BT796</f>
        <v/>
      </c>
      <c r="BV868" s="588">
        <f>BV796-BU796</f>
        <v/>
      </c>
      <c r="BW868" s="68" t="n"/>
      <c r="BX868" s="1110">
        <f>SUM(BT868,BU868,BV868,BW868)</f>
        <v/>
      </c>
      <c r="BY868" s="68" t="n"/>
      <c r="BZ868" s="68" t="n"/>
      <c r="CA868" s="68" t="n"/>
      <c r="CB868" s="68" t="n"/>
      <c r="CC868" s="1110">
        <f>SUM(BY868,BZ868,CA868,CB868)</f>
        <v/>
      </c>
      <c r="CD868" s="1110" t="n"/>
      <c r="CE868" s="1110" t="n"/>
      <c r="CF868" s="1110" t="n"/>
      <c r="CG868" s="155" t="n"/>
    </row>
    <row r="869">
      <c r="A869" s="59">
        <f>A797</f>
        <v/>
      </c>
      <c r="B869" s="607" t="n"/>
      <c r="C869" s="1123">
        <f>SUM(C860:C868)</f>
        <v/>
      </c>
      <c r="D869" s="1123">
        <f>SUM(D860:D868)</f>
        <v/>
      </c>
      <c r="E869" s="1123">
        <f>SUM(E860:E868)</f>
        <v/>
      </c>
      <c r="F869" s="1123">
        <f>SUM(F860:F868)</f>
        <v/>
      </c>
      <c r="G869" s="60">
        <f>SUM(G860:G868)</f>
        <v/>
      </c>
      <c r="H869" s="60">
        <f>SUM(H860:H868)</f>
        <v/>
      </c>
      <c r="I869" s="60">
        <f>SUM(I860:I868)</f>
        <v/>
      </c>
      <c r="J869" s="60">
        <f>SUM(J860:J868)</f>
        <v/>
      </c>
      <c r="K869" s="1123">
        <f>SUM(K860:K868)</f>
        <v/>
      </c>
      <c r="L869" s="60">
        <f>SUM(L860:L868)</f>
        <v/>
      </c>
      <c r="M869" s="60">
        <f>SUM(M860:M868)</f>
        <v/>
      </c>
      <c r="N869" s="60">
        <f>SUM(N860:N868)</f>
        <v/>
      </c>
      <c r="O869" s="60">
        <f>SUM(O860:O868)</f>
        <v/>
      </c>
      <c r="P869" s="1123">
        <f>SUM(P860:P868)</f>
        <v/>
      </c>
      <c r="Q869" s="60">
        <f>SUM(Q860:Q868)</f>
        <v/>
      </c>
      <c r="R869" s="60">
        <f>SUM(R860:R868)</f>
        <v/>
      </c>
      <c r="S869" s="60">
        <f>SUM(S860:S868)</f>
        <v/>
      </c>
      <c r="T869" s="60">
        <f>SUM(T860:T868)</f>
        <v/>
      </c>
      <c r="U869" s="1123">
        <f>SUM(U860:U868)</f>
        <v/>
      </c>
      <c r="V869" s="60">
        <f>SUM(V860:V868)</f>
        <v/>
      </c>
      <c r="W869" s="60">
        <f>SUM(W860:W868)</f>
        <v/>
      </c>
      <c r="X869" s="60">
        <f>SUM(X860:X868)</f>
        <v/>
      </c>
      <c r="Y869" s="60">
        <f>SUM(Y860:Y868)</f>
        <v/>
      </c>
      <c r="Z869" s="1123">
        <f>SUM(Z860:Z868)</f>
        <v/>
      </c>
      <c r="AA869" s="60">
        <f>SUM(AA860:AA868)</f>
        <v/>
      </c>
      <c r="AB869" s="60">
        <f>SUM(AB860:AB868)</f>
        <v/>
      </c>
      <c r="AC869" s="60">
        <f>SUM(AC860:AC868)</f>
        <v/>
      </c>
      <c r="AD869" s="60">
        <f>SUM(AD860:AD868)</f>
        <v/>
      </c>
      <c r="AE869" s="1123">
        <f>SUM(AE860:AE868)</f>
        <v/>
      </c>
      <c r="AF869" s="60">
        <f>SUM(AF860:AF868)</f>
        <v/>
      </c>
      <c r="AG869" s="60">
        <f>SUM(AG860:AG868)</f>
        <v/>
      </c>
      <c r="AH869" s="60">
        <f>SUM(AH860:AH868)</f>
        <v/>
      </c>
      <c r="AI869" s="60">
        <f>SUM(AI860:AI868)</f>
        <v/>
      </c>
      <c r="AJ869" s="1123">
        <f>SUM(AJ860:AJ868)</f>
        <v/>
      </c>
      <c r="AK869" s="60">
        <f>SUM(AK860:AK868)</f>
        <v/>
      </c>
      <c r="AL869" s="60">
        <f>SUM(AL860:AL868)</f>
        <v/>
      </c>
      <c r="AM869" s="60">
        <f>SUM(AM860:AM868)</f>
        <v/>
      </c>
      <c r="AN869" s="61">
        <f>SUM(AN860:AN868)</f>
        <v/>
      </c>
      <c r="AO869" s="1122">
        <f>SUM(AO860:AO868)</f>
        <v/>
      </c>
      <c r="AP869" s="60">
        <f>SUM(AP860:AP868)</f>
        <v/>
      </c>
      <c r="AQ869" s="60">
        <f>SUM(AQ860:AQ868)</f>
        <v/>
      </c>
      <c r="AR869" s="60">
        <f>SUM(AR860:AR868)</f>
        <v/>
      </c>
      <c r="AS869" s="61">
        <f>SUM(AS860:AS868)</f>
        <v/>
      </c>
      <c r="AT869" s="1122">
        <f>SUM(AT860:AT868)</f>
        <v/>
      </c>
      <c r="AU869" s="60">
        <f>SUM(AU860:AU868)</f>
        <v/>
      </c>
      <c r="AV869" s="60">
        <f>SUM(AV860:AV868)</f>
        <v/>
      </c>
      <c r="AW869" s="60">
        <f>SUM(AW860:AW868)</f>
        <v/>
      </c>
      <c r="AX869" s="61">
        <f>SUM(AX860:AX868)</f>
        <v/>
      </c>
      <c r="AY869" s="1122">
        <f>SUM(AY860:AY868)</f>
        <v/>
      </c>
      <c r="AZ869" s="60">
        <f>SUM(AZ860:AZ868)</f>
        <v/>
      </c>
      <c r="BA869" s="60">
        <f>SUM(BA860:BA868)</f>
        <v/>
      </c>
      <c r="BB869" s="60">
        <f>SUM(BB860:BB868)</f>
        <v/>
      </c>
      <c r="BC869" s="61">
        <f>SUM(BC860:BC868)</f>
        <v/>
      </c>
      <c r="BD869" s="1122">
        <f>SUM(BD860:BD868)</f>
        <v/>
      </c>
      <c r="BE869" s="60">
        <f>SUM(BE860:BE868)</f>
        <v/>
      </c>
      <c r="BF869" s="60">
        <f>SUM(BF860:BF868)</f>
        <v/>
      </c>
      <c r="BG869" s="60">
        <f>SUM(BG860:BG868)</f>
        <v/>
      </c>
      <c r="BH869" s="61">
        <f>SUM(BH860:BH868)</f>
        <v/>
      </c>
      <c r="BI869" s="1122">
        <f>SUM(BI860:BI868)</f>
        <v/>
      </c>
      <c r="BJ869" s="60">
        <f>SUM(BJ860:BJ868)</f>
        <v/>
      </c>
      <c r="BK869" s="60">
        <f>SUM(BK860:BK868)</f>
        <v/>
      </c>
      <c r="BL869" s="60">
        <f>SUM(BL860:BL868)</f>
        <v/>
      </c>
      <c r="BM869" s="61">
        <f>SUM(BM860:BM868)</f>
        <v/>
      </c>
      <c r="BN869" s="1122">
        <f>SUM(BN860:BN868)</f>
        <v/>
      </c>
      <c r="BO869" s="60">
        <f>SUM(BO860:BO868)</f>
        <v/>
      </c>
      <c r="BP869" s="60">
        <f>SUM(BP860:BP868)</f>
        <v/>
      </c>
      <c r="BQ869" s="60">
        <f>SUM(BQ860:BQ868)</f>
        <v/>
      </c>
      <c r="BR869" s="61">
        <f>SUM(BR860:BR868)</f>
        <v/>
      </c>
      <c r="BS869" s="1122">
        <f>SUM(BS860:BS868)</f>
        <v/>
      </c>
      <c r="BT869" s="60">
        <f>SUM(BT860:BT868)</f>
        <v/>
      </c>
      <c r="BU869" s="60">
        <f>SUM(BU860:BU868)</f>
        <v/>
      </c>
      <c r="BV869" s="883">
        <f>SUM(BV860:BV868)</f>
        <v/>
      </c>
      <c r="BW869" s="61">
        <f>SUM(BW860:BW868)</f>
        <v/>
      </c>
      <c r="BX869" s="1122">
        <f>SUM(BX860:BX868)</f>
        <v/>
      </c>
      <c r="BY869" s="61">
        <f>SUM(BY860:BY868)</f>
        <v/>
      </c>
      <c r="BZ869" s="61">
        <f>SUM(BZ860:BZ868)</f>
        <v/>
      </c>
      <c r="CA869" s="61">
        <f>SUM(CA860:CA868)</f>
        <v/>
      </c>
      <c r="CB869" s="61">
        <f>SUM(CB860:CB868)</f>
        <v/>
      </c>
      <c r="CC869" s="1122">
        <f>SUM(CC860:CC868)</f>
        <v/>
      </c>
      <c r="CD869" s="1122">
        <f>SUM(CD860:CD868)</f>
        <v/>
      </c>
      <c r="CE869" s="1122">
        <f>SUM(CE860:CE868)</f>
        <v/>
      </c>
      <c r="CF869" s="1122">
        <f>SUM(CF860:CF868)</f>
        <v/>
      </c>
      <c r="CG869" s="155" t="n"/>
    </row>
    <row r="870">
      <c r="A870" s="600" t="n"/>
      <c r="B870" s="279" t="n"/>
      <c r="C870" s="1125" t="n"/>
      <c r="D870" s="1125" t="n"/>
      <c r="E870" s="1125" t="n"/>
      <c r="F870" s="1125" t="n"/>
      <c r="G870" s="63" t="n"/>
      <c r="H870" s="63" t="n"/>
      <c r="I870" s="63" t="n"/>
      <c r="J870" s="63" t="n"/>
      <c r="K870" s="1125" t="n"/>
      <c r="L870" s="63" t="n"/>
      <c r="M870" s="63" t="n"/>
      <c r="N870" s="63" t="n"/>
      <c r="O870" s="63" t="n"/>
      <c r="P870" s="1125" t="n"/>
      <c r="Q870" s="63" t="n"/>
      <c r="R870" s="63" t="n"/>
      <c r="S870" s="63" t="n"/>
      <c r="T870" s="63" t="n"/>
      <c r="U870" s="1125" t="n"/>
      <c r="V870" s="63" t="n"/>
      <c r="W870" s="63" t="n"/>
      <c r="X870" s="63" t="n"/>
      <c r="Y870" s="63" t="n"/>
      <c r="Z870" s="1125" t="n"/>
      <c r="AA870" s="63" t="n"/>
      <c r="AB870" s="63" t="n"/>
      <c r="AC870" s="63" t="n"/>
      <c r="AD870" s="63" t="n"/>
      <c r="AE870" s="1125" t="n"/>
      <c r="AF870" s="63" t="n"/>
      <c r="AG870" s="63" t="n"/>
      <c r="AH870" s="63" t="n"/>
      <c r="AI870" s="63" t="n"/>
      <c r="AJ870" s="1125" t="n"/>
      <c r="AK870" s="63" t="n"/>
      <c r="AL870" s="63" t="n"/>
      <c r="AM870" s="63" t="n"/>
      <c r="AN870" s="63" t="n"/>
      <c r="AO870" s="1125" t="n"/>
      <c r="AP870" s="63" t="n"/>
      <c r="AQ870" s="63" t="n"/>
      <c r="AR870" s="63" t="n"/>
      <c r="AS870" s="63" t="n"/>
      <c r="AT870" s="1125" t="n"/>
      <c r="AU870" s="63" t="n"/>
      <c r="AV870" s="63" t="n"/>
      <c r="AW870" s="63" t="n"/>
      <c r="AX870" s="63" t="n"/>
      <c r="AY870" s="1125" t="n"/>
      <c r="AZ870" s="63" t="n"/>
      <c r="BA870" s="63" t="n"/>
      <c r="BB870" s="63" t="n"/>
      <c r="BC870" s="63" t="n"/>
      <c r="BD870" s="1125" t="n"/>
      <c r="BE870" s="63" t="n"/>
      <c r="BF870" s="63" t="n"/>
      <c r="BG870" s="63" t="n"/>
      <c r="BH870" s="63" t="n"/>
      <c r="BI870" s="1125" t="n"/>
      <c r="BJ870" s="63" t="n"/>
      <c r="BK870" s="63" t="n"/>
      <c r="BL870" s="63" t="n"/>
      <c r="BM870" s="63" t="n"/>
      <c r="BN870" s="1125" t="n"/>
      <c r="BO870" s="63" t="n"/>
      <c r="BP870" s="63" t="n"/>
      <c r="BQ870" s="63" t="n"/>
      <c r="BR870" s="63" t="n"/>
      <c r="BS870" s="1125" t="n"/>
      <c r="BT870" s="63" t="n"/>
      <c r="BU870" s="63" t="n"/>
      <c r="BV870" s="587" t="n"/>
      <c r="BW870" s="63" t="n"/>
      <c r="BX870" s="1125" t="n"/>
      <c r="BY870" s="63" t="n"/>
      <c r="BZ870" s="63" t="n"/>
      <c r="CA870" s="63" t="n"/>
      <c r="CB870" s="63" t="n"/>
      <c r="CC870" s="1125" t="n"/>
      <c r="CD870" s="1125" t="n"/>
      <c r="CE870" s="1125" t="n"/>
      <c r="CF870" s="1125" t="n"/>
      <c r="CG870" s="155" t="n"/>
    </row>
    <row r="871">
      <c r="A871" s="62">
        <f>A799</f>
        <v/>
      </c>
      <c r="B871" s="279" t="n"/>
      <c r="C871" s="1125" t="n"/>
      <c r="D871" s="1125" t="n"/>
      <c r="E871" s="1125" t="n"/>
      <c r="F871" s="1125" t="n"/>
      <c r="G871" s="63" t="n"/>
      <c r="H871" s="63" t="n"/>
      <c r="I871" s="63" t="n"/>
      <c r="J871" s="63" t="n"/>
      <c r="K871" s="1125" t="n"/>
      <c r="L871" s="63" t="n"/>
      <c r="M871" s="63" t="n"/>
      <c r="N871" s="63" t="n"/>
      <c r="O871" s="63" t="n"/>
      <c r="P871" s="1125" t="n"/>
      <c r="Q871" s="63" t="n"/>
      <c r="R871" s="63" t="n"/>
      <c r="S871" s="63" t="n"/>
      <c r="T871" s="63" t="n"/>
      <c r="U871" s="1125" t="n"/>
      <c r="V871" s="63" t="n"/>
      <c r="W871" s="63" t="n"/>
      <c r="X871" s="63" t="n"/>
      <c r="Y871" s="63" t="n"/>
      <c r="Z871" s="1125" t="n"/>
      <c r="AA871" s="63" t="n"/>
      <c r="AB871" s="63" t="n"/>
      <c r="AC871" s="63" t="n"/>
      <c r="AD871" s="63" t="n"/>
      <c r="AE871" s="1125" t="n"/>
      <c r="AF871" s="63" t="n"/>
      <c r="AG871" s="63" t="n"/>
      <c r="AH871" s="63" t="n"/>
      <c r="AI871" s="63" t="n"/>
      <c r="AJ871" s="1125" t="n"/>
      <c r="AK871" s="63" t="n"/>
      <c r="AL871" s="63" t="n"/>
      <c r="AM871" s="63" t="n"/>
      <c r="AN871" s="63" t="n"/>
      <c r="AO871" s="1125" t="n"/>
      <c r="AP871" s="63" t="n"/>
      <c r="AQ871" s="63" t="n"/>
      <c r="AR871" s="63" t="n"/>
      <c r="AS871" s="63" t="n"/>
      <c r="AT871" s="1125" t="n"/>
      <c r="AU871" s="63" t="n"/>
      <c r="AV871" s="63" t="n"/>
      <c r="AW871" s="63" t="n"/>
      <c r="AX871" s="63" t="n"/>
      <c r="AY871" s="1125" t="n"/>
      <c r="AZ871" s="63" t="n"/>
      <c r="BA871" s="63" t="n"/>
      <c r="BB871" s="63" t="n"/>
      <c r="BC871" s="63" t="n"/>
      <c r="BD871" s="1125" t="n"/>
      <c r="BE871" s="63" t="n"/>
      <c r="BF871" s="63" t="n"/>
      <c r="BG871" s="63" t="n"/>
      <c r="BH871" s="63" t="n"/>
      <c r="BI871" s="1125" t="n"/>
      <c r="BJ871" s="63" t="n"/>
      <c r="BK871" s="63" t="n"/>
      <c r="BL871" s="63" t="n"/>
      <c r="BM871" s="63" t="n"/>
      <c r="BN871" s="1125" t="n"/>
      <c r="BO871" s="63" t="n"/>
      <c r="BP871" s="63" t="n"/>
      <c r="BQ871" s="63" t="n"/>
      <c r="BR871" s="63" t="n"/>
      <c r="BS871" s="1125" t="n"/>
      <c r="BT871" s="63" t="n"/>
      <c r="BU871" s="63" t="n"/>
      <c r="BV871" s="587" t="n"/>
      <c r="BW871" s="63" t="n"/>
      <c r="BX871" s="1125" t="n"/>
      <c r="BY871" s="63" t="n"/>
      <c r="BZ871" s="63" t="n"/>
      <c r="CA871" s="63" t="n"/>
      <c r="CB871" s="63" t="n"/>
      <c r="CC871" s="1125" t="n"/>
      <c r="CD871" s="1125" t="n"/>
      <c r="CE871" s="1125" t="n"/>
      <c r="CF871" s="1125" t="n"/>
      <c r="CG871" s="155" t="n"/>
    </row>
    <row r="872">
      <c r="A872" s="99">
        <f>A800</f>
        <v/>
      </c>
      <c r="B872" s="68" t="n"/>
      <c r="C872" s="1110">
        <f>C800</f>
        <v/>
      </c>
      <c r="D872" s="1110">
        <f>D800</f>
        <v/>
      </c>
      <c r="E872" s="1110">
        <f>E800</f>
        <v/>
      </c>
      <c r="F872" s="1110">
        <f>F800</f>
        <v/>
      </c>
      <c r="G872" s="68">
        <f>G800</f>
        <v/>
      </c>
      <c r="H872" s="68">
        <f>H800-G800</f>
        <v/>
      </c>
      <c r="I872" s="68">
        <f>I800-H800</f>
        <v/>
      </c>
      <c r="J872" s="68">
        <f>J800-I800</f>
        <v/>
      </c>
      <c r="K872" s="1110">
        <f>K800</f>
        <v/>
      </c>
      <c r="L872" s="68">
        <f>L800</f>
        <v/>
      </c>
      <c r="M872" s="68">
        <f>M800-L800</f>
        <v/>
      </c>
      <c r="N872" s="68">
        <f>N800-M800</f>
        <v/>
      </c>
      <c r="O872" s="68">
        <f>O800-N800</f>
        <v/>
      </c>
      <c r="P872" s="1110">
        <f>P800</f>
        <v/>
      </c>
      <c r="Q872" s="68">
        <f>Q800</f>
        <v/>
      </c>
      <c r="R872" s="68">
        <f>R800-Q800</f>
        <v/>
      </c>
      <c r="S872" s="68">
        <f>S800-R800</f>
        <v/>
      </c>
      <c r="T872" s="68">
        <f>T800-S800</f>
        <v/>
      </c>
      <c r="U872" s="1110">
        <f>U800</f>
        <v/>
      </c>
      <c r="V872" s="68">
        <f>V800</f>
        <v/>
      </c>
      <c r="W872" s="68">
        <f>W800-V800</f>
        <v/>
      </c>
      <c r="X872" s="68">
        <f>X800-W800</f>
        <v/>
      </c>
      <c r="Y872" s="68">
        <f>Y800-X800</f>
        <v/>
      </c>
      <c r="Z872" s="1110">
        <f>SUM(V872,W872,X872,Y872)</f>
        <v/>
      </c>
      <c r="AA872" s="68">
        <f>AA800</f>
        <v/>
      </c>
      <c r="AB872" s="68">
        <f>AB800-AA800</f>
        <v/>
      </c>
      <c r="AC872" s="68">
        <f>AC800-AB800</f>
        <v/>
      </c>
      <c r="AD872" s="68">
        <f>AD800-AC800</f>
        <v/>
      </c>
      <c r="AE872" s="1110">
        <f>SUM(AA872,AB872,AC872,AD872)</f>
        <v/>
      </c>
      <c r="AF872" s="68">
        <f>AF800</f>
        <v/>
      </c>
      <c r="AG872" s="68">
        <f>AG800-AF800</f>
        <v/>
      </c>
      <c r="AH872" s="68">
        <f>AH800-AG800</f>
        <v/>
      </c>
      <c r="AI872" s="68">
        <f>AI800-AH800</f>
        <v/>
      </c>
      <c r="AJ872" s="1110">
        <f>SUM(AF872,AG872,AH872,AI872)</f>
        <v/>
      </c>
      <c r="AK872" s="68">
        <f>AK800</f>
        <v/>
      </c>
      <c r="AL872" s="68">
        <f>AL800-AK800</f>
        <v/>
      </c>
      <c r="AM872" s="68">
        <f>AM800-AL800</f>
        <v/>
      </c>
      <c r="AN872" s="68">
        <f>AN800-AM800</f>
        <v/>
      </c>
      <c r="AO872" s="1110">
        <f>SUM(AK872,AL872,AM872,AN872)</f>
        <v/>
      </c>
      <c r="AP872" s="68">
        <f>AP800</f>
        <v/>
      </c>
      <c r="AQ872" s="27">
        <f>AQ800-AP800</f>
        <v/>
      </c>
      <c r="AR872" s="68">
        <f>AR800-AQ800</f>
        <v/>
      </c>
      <c r="AS872" s="68">
        <f>AS800-AR800</f>
        <v/>
      </c>
      <c r="AT872" s="1110">
        <f>SUM(AP872,AQ872,AR872,AS872)</f>
        <v/>
      </c>
      <c r="AU872" s="68">
        <f>AU800</f>
        <v/>
      </c>
      <c r="AV872" s="27">
        <f>AV800-AU800</f>
        <v/>
      </c>
      <c r="AW872" s="68">
        <f>AW800-AV800</f>
        <v/>
      </c>
      <c r="AX872" s="68">
        <f>AX800-AW800</f>
        <v/>
      </c>
      <c r="AY872" s="1110">
        <f>SUM(AU872,AV872,AW872,AX872)</f>
        <v/>
      </c>
      <c r="AZ872" s="68">
        <f>AZ800</f>
        <v/>
      </c>
      <c r="BA872" s="27">
        <f>BA800-AZ800</f>
        <v/>
      </c>
      <c r="BB872" s="68">
        <f>BB800-BA800</f>
        <v/>
      </c>
      <c r="BC872" s="68">
        <f>BC800-BB800</f>
        <v/>
      </c>
      <c r="BD872" s="1110">
        <f>SUM(AZ872,BA872,BB872,BC872)</f>
        <v/>
      </c>
      <c r="BE872" s="68">
        <f>BE800</f>
        <v/>
      </c>
      <c r="BF872" s="27">
        <f>BF800-BE800</f>
        <v/>
      </c>
      <c r="BG872" s="68">
        <f>BG800-BF800</f>
        <v/>
      </c>
      <c r="BH872" s="68">
        <f>BH800-BG800</f>
        <v/>
      </c>
      <c r="BI872" s="1110">
        <f>SUM(BE872,BF872,BG872,BH872)</f>
        <v/>
      </c>
      <c r="BJ872" s="68">
        <f>BJ800</f>
        <v/>
      </c>
      <c r="BK872" s="27">
        <f>BK800-BJ800</f>
        <v/>
      </c>
      <c r="BL872" s="68">
        <f>BL800-BK800</f>
        <v/>
      </c>
      <c r="BM872" s="68">
        <f>BM800-BL800</f>
        <v/>
      </c>
      <c r="BN872" s="1110">
        <f>SUM(BJ872,BK872,BL872,BM872)</f>
        <v/>
      </c>
      <c r="BO872" s="68">
        <f>BO800</f>
        <v/>
      </c>
      <c r="BP872" s="27">
        <f>BP800-BO800</f>
        <v/>
      </c>
      <c r="BQ872" s="68">
        <f>BQ800-BP800</f>
        <v/>
      </c>
      <c r="BR872" s="68">
        <f>BR800-BQ800</f>
        <v/>
      </c>
      <c r="BS872" s="1110">
        <f>SUM(BO872,BP872,BQ872,BR872)</f>
        <v/>
      </c>
      <c r="BT872" s="68">
        <f>BT800</f>
        <v/>
      </c>
      <c r="BU872" s="27">
        <f>BU800-BT800</f>
        <v/>
      </c>
      <c r="BV872" s="588">
        <f>BV800-BU800</f>
        <v/>
      </c>
      <c r="BW872" s="68" t="n"/>
      <c r="BX872" s="1110">
        <f>SUM(BT872,BU872,BV872,BW872)</f>
        <v/>
      </c>
      <c r="BY872" s="68" t="n"/>
      <c r="BZ872" s="68" t="n"/>
      <c r="CA872" s="68" t="n"/>
      <c r="CB872" s="68" t="n"/>
      <c r="CC872" s="1110">
        <f>SUM(BY872,BZ872,CA872,CB872)</f>
        <v/>
      </c>
      <c r="CD872" s="1110" t="n"/>
      <c r="CE872" s="1110" t="n"/>
      <c r="CF872" s="1110" t="n"/>
      <c r="CG872" s="155" t="n"/>
    </row>
    <row r="873">
      <c r="A873" s="99">
        <f>A801</f>
        <v/>
      </c>
      <c r="B873" s="68" t="n"/>
      <c r="C873" s="1110">
        <f>C801</f>
        <v/>
      </c>
      <c r="D873" s="1110">
        <f>D801</f>
        <v/>
      </c>
      <c r="E873" s="1110">
        <f>E801</f>
        <v/>
      </c>
      <c r="F873" s="1110">
        <f>F801</f>
        <v/>
      </c>
      <c r="G873" s="68">
        <f>G801</f>
        <v/>
      </c>
      <c r="H873" s="68">
        <f>H801-G801</f>
        <v/>
      </c>
      <c r="I873" s="68">
        <f>I801-H801</f>
        <v/>
      </c>
      <c r="J873" s="68">
        <f>J801-I801</f>
        <v/>
      </c>
      <c r="K873" s="1110">
        <f>K801</f>
        <v/>
      </c>
      <c r="L873" s="68">
        <f>L801</f>
        <v/>
      </c>
      <c r="M873" s="68">
        <f>M801-L801</f>
        <v/>
      </c>
      <c r="N873" s="68">
        <f>N801-M801</f>
        <v/>
      </c>
      <c r="O873" s="68">
        <f>O801-N801</f>
        <v/>
      </c>
      <c r="P873" s="1110">
        <f>P801</f>
        <v/>
      </c>
      <c r="Q873" s="68">
        <f>Q801</f>
        <v/>
      </c>
      <c r="R873" s="68">
        <f>R801-Q801</f>
        <v/>
      </c>
      <c r="S873" s="68">
        <f>S801-R801</f>
        <v/>
      </c>
      <c r="T873" s="68">
        <f>T801-S801</f>
        <v/>
      </c>
      <c r="U873" s="1110">
        <f>U801</f>
        <v/>
      </c>
      <c r="V873" s="68">
        <f>V801</f>
        <v/>
      </c>
      <c r="W873" s="68">
        <f>W801-V801</f>
        <v/>
      </c>
      <c r="X873" s="68">
        <f>X801-W801</f>
        <v/>
      </c>
      <c r="Y873" s="68">
        <f>Y801-X801</f>
        <v/>
      </c>
      <c r="Z873" s="1110">
        <f>SUM(V873,W873,X873,Y873)</f>
        <v/>
      </c>
      <c r="AA873" s="68">
        <f>AA801</f>
        <v/>
      </c>
      <c r="AB873" s="68">
        <f>AB801-AA801</f>
        <v/>
      </c>
      <c r="AC873" s="68">
        <f>AC801-AB801</f>
        <v/>
      </c>
      <c r="AD873" s="68">
        <f>AD801-AC801</f>
        <v/>
      </c>
      <c r="AE873" s="1110">
        <f>SUM(AA873,AB873,AC873,AD873)</f>
        <v/>
      </c>
      <c r="AF873" s="68">
        <f>AF801</f>
        <v/>
      </c>
      <c r="AG873" s="68">
        <f>AG801-AF801</f>
        <v/>
      </c>
      <c r="AH873" s="68">
        <f>AH801-AG801</f>
        <v/>
      </c>
      <c r="AI873" s="68">
        <f>AI801-AH801</f>
        <v/>
      </c>
      <c r="AJ873" s="1110">
        <f>SUM(AF873,AG873,AH873,AI873)</f>
        <v/>
      </c>
      <c r="AK873" s="68">
        <f>AK801</f>
        <v/>
      </c>
      <c r="AL873" s="68">
        <f>AL801-AK801</f>
        <v/>
      </c>
      <c r="AM873" s="68">
        <f>AM801-AL801</f>
        <v/>
      </c>
      <c r="AN873" s="68">
        <f>AN801-AM801</f>
        <v/>
      </c>
      <c r="AO873" s="1110">
        <f>SUM(AK873,AL873,AM873,AN873)</f>
        <v/>
      </c>
      <c r="AP873" s="68">
        <f>AP801</f>
        <v/>
      </c>
      <c r="AQ873" s="27">
        <f>AQ801-AP801</f>
        <v/>
      </c>
      <c r="AR873" s="68">
        <f>AR801-AQ801</f>
        <v/>
      </c>
      <c r="AS873" s="68">
        <f>AS801-AR801</f>
        <v/>
      </c>
      <c r="AT873" s="1110">
        <f>SUM(AP873,AQ873,AR873,AS873)</f>
        <v/>
      </c>
      <c r="AU873" s="68">
        <f>AU801</f>
        <v/>
      </c>
      <c r="AV873" s="27">
        <f>AV801-AU801</f>
        <v/>
      </c>
      <c r="AW873" s="68">
        <f>AW801-AV801</f>
        <v/>
      </c>
      <c r="AX873" s="68">
        <f>AX801-AW801</f>
        <v/>
      </c>
      <c r="AY873" s="1110">
        <f>SUM(AU873,AV873,AW873,AX873)</f>
        <v/>
      </c>
      <c r="AZ873" s="68">
        <f>AZ801</f>
        <v/>
      </c>
      <c r="BA873" s="27">
        <f>BA801-AZ801</f>
        <v/>
      </c>
      <c r="BB873" s="68">
        <f>BB801-BA801</f>
        <v/>
      </c>
      <c r="BC873" s="68">
        <f>BC801-BB801</f>
        <v/>
      </c>
      <c r="BD873" s="1110">
        <f>SUM(AZ873,BA873,BB873,BC873)</f>
        <v/>
      </c>
      <c r="BE873" s="68">
        <f>BE801</f>
        <v/>
      </c>
      <c r="BF873" s="27">
        <f>BF801-BE801</f>
        <v/>
      </c>
      <c r="BG873" s="68">
        <f>BG801-BF801</f>
        <v/>
      </c>
      <c r="BH873" s="68">
        <f>BH801-BG801</f>
        <v/>
      </c>
      <c r="BI873" s="1110">
        <f>SUM(BE873,BF873,BG873,BH873)</f>
        <v/>
      </c>
      <c r="BJ873" s="68">
        <f>BJ801</f>
        <v/>
      </c>
      <c r="BK873" s="27">
        <f>BK801-BJ801</f>
        <v/>
      </c>
      <c r="BL873" s="68">
        <f>BL801-BK801</f>
        <v/>
      </c>
      <c r="BM873" s="68">
        <f>BM801-BL801</f>
        <v/>
      </c>
      <c r="BN873" s="1110">
        <f>SUM(BJ873,BK873,BL873,BM873)</f>
        <v/>
      </c>
      <c r="BO873" s="68">
        <f>BO801</f>
        <v/>
      </c>
      <c r="BP873" s="27">
        <f>BP801-BO801</f>
        <v/>
      </c>
      <c r="BQ873" s="68">
        <f>BQ801-BP801</f>
        <v/>
      </c>
      <c r="BR873" s="68">
        <f>BR801-BQ801</f>
        <v/>
      </c>
      <c r="BS873" s="1110">
        <f>SUM(BO873,BP873,BQ873,BR873)</f>
        <v/>
      </c>
      <c r="BT873" s="68">
        <f>BT801</f>
        <v/>
      </c>
      <c r="BU873" s="27">
        <f>BU801-BT801</f>
        <v/>
      </c>
      <c r="BV873" s="588">
        <f>BV801-BU801</f>
        <v/>
      </c>
      <c r="BW873" s="68" t="n"/>
      <c r="BX873" s="1110">
        <f>SUM(BT873,BU873,BV873,BW873)</f>
        <v/>
      </c>
      <c r="BY873" s="68" t="n"/>
      <c r="BZ873" s="68" t="n"/>
      <c r="CA873" s="68" t="n"/>
      <c r="CB873" s="68" t="n"/>
      <c r="CC873" s="1110">
        <f>SUM(BY873,BZ873,CA873,CB873)</f>
        <v/>
      </c>
      <c r="CD873" s="1110" t="n"/>
      <c r="CE873" s="1110" t="n"/>
      <c r="CF873" s="1110" t="n"/>
      <c r="CG873" s="155" t="n"/>
    </row>
    <row r="874">
      <c r="A874" s="99">
        <f>A802</f>
        <v/>
      </c>
      <c r="B874" s="68" t="n"/>
      <c r="C874" s="1110">
        <f>C802</f>
        <v/>
      </c>
      <c r="D874" s="1110">
        <f>D802</f>
        <v/>
      </c>
      <c r="E874" s="1110">
        <f>E802</f>
        <v/>
      </c>
      <c r="F874" s="1110">
        <f>F802</f>
        <v/>
      </c>
      <c r="G874" s="68">
        <f>G802</f>
        <v/>
      </c>
      <c r="H874" s="68">
        <f>H802-G802</f>
        <v/>
      </c>
      <c r="I874" s="68">
        <f>I802-H802</f>
        <v/>
      </c>
      <c r="J874" s="68">
        <f>J802-I802</f>
        <v/>
      </c>
      <c r="K874" s="1110">
        <f>K802</f>
        <v/>
      </c>
      <c r="L874" s="68">
        <f>L802</f>
        <v/>
      </c>
      <c r="M874" s="68">
        <f>M802-L802</f>
        <v/>
      </c>
      <c r="N874" s="68">
        <f>N802-M802</f>
        <v/>
      </c>
      <c r="O874" s="68">
        <f>O802-N802</f>
        <v/>
      </c>
      <c r="P874" s="1110">
        <f>P802</f>
        <v/>
      </c>
      <c r="Q874" s="68">
        <f>Q802</f>
        <v/>
      </c>
      <c r="R874" s="68">
        <f>R802-Q802</f>
        <v/>
      </c>
      <c r="S874" s="68">
        <f>S802-R802</f>
        <v/>
      </c>
      <c r="T874" s="68">
        <f>T802-S802</f>
        <v/>
      </c>
      <c r="U874" s="1110">
        <f>U802</f>
        <v/>
      </c>
      <c r="V874" s="68">
        <f>V802</f>
        <v/>
      </c>
      <c r="W874" s="68">
        <f>W802-V802</f>
        <v/>
      </c>
      <c r="X874" s="68">
        <f>X802-W802</f>
        <v/>
      </c>
      <c r="Y874" s="68">
        <f>Y802-X802</f>
        <v/>
      </c>
      <c r="Z874" s="1110">
        <f>SUM(V874,W874,X874,Y874)</f>
        <v/>
      </c>
      <c r="AA874" s="68">
        <f>AA802</f>
        <v/>
      </c>
      <c r="AB874" s="68">
        <f>AB802-AA802</f>
        <v/>
      </c>
      <c r="AC874" s="68">
        <f>AC802-AB802</f>
        <v/>
      </c>
      <c r="AD874" s="68">
        <f>AD802-AC802</f>
        <v/>
      </c>
      <c r="AE874" s="1110">
        <f>SUM(AA874,AB874,AC874,AD874)</f>
        <v/>
      </c>
      <c r="AF874" s="68">
        <f>AF802</f>
        <v/>
      </c>
      <c r="AG874" s="68">
        <f>AG802-AF802</f>
        <v/>
      </c>
      <c r="AH874" s="68">
        <f>AH802-AG802</f>
        <v/>
      </c>
      <c r="AI874" s="68">
        <f>AI802-AH802</f>
        <v/>
      </c>
      <c r="AJ874" s="1110">
        <f>SUM(AF874,AG874,AH874,AI874)</f>
        <v/>
      </c>
      <c r="AK874" s="68">
        <f>AK802</f>
        <v/>
      </c>
      <c r="AL874" s="68">
        <f>AL802-AK802</f>
        <v/>
      </c>
      <c r="AM874" s="68">
        <f>AM802-AL802</f>
        <v/>
      </c>
      <c r="AN874" s="68">
        <f>AN802-AM802</f>
        <v/>
      </c>
      <c r="AO874" s="1110">
        <f>SUM(AK874,AL874,AM874,AN874)</f>
        <v/>
      </c>
      <c r="AP874" s="68">
        <f>AP802</f>
        <v/>
      </c>
      <c r="AQ874" s="27">
        <f>AQ802-AP802</f>
        <v/>
      </c>
      <c r="AR874" s="68">
        <f>AR802-AQ802</f>
        <v/>
      </c>
      <c r="AS874" s="68">
        <f>AS802-AR802</f>
        <v/>
      </c>
      <c r="AT874" s="1110">
        <f>SUM(AP874,AQ874,AR874,AS874)</f>
        <v/>
      </c>
      <c r="AU874" s="68">
        <f>AU802</f>
        <v/>
      </c>
      <c r="AV874" s="27">
        <f>AV802-AU802</f>
        <v/>
      </c>
      <c r="AW874" s="68">
        <f>AW802-AV802</f>
        <v/>
      </c>
      <c r="AX874" s="68">
        <f>AX802-AW802</f>
        <v/>
      </c>
      <c r="AY874" s="1110">
        <f>SUM(AU874,AV874,AW874,AX874)</f>
        <v/>
      </c>
      <c r="AZ874" s="68">
        <f>AZ802</f>
        <v/>
      </c>
      <c r="BA874" s="27">
        <f>BA802-AZ802</f>
        <v/>
      </c>
      <c r="BB874" s="68">
        <f>BB802-BA802</f>
        <v/>
      </c>
      <c r="BC874" s="68">
        <f>BC802-BB802</f>
        <v/>
      </c>
      <c r="BD874" s="1110">
        <f>SUM(AZ874,BA874,BB874,BC874)</f>
        <v/>
      </c>
      <c r="BE874" s="68">
        <f>BE802</f>
        <v/>
      </c>
      <c r="BF874" s="27">
        <f>BF802-BE802</f>
        <v/>
      </c>
      <c r="BG874" s="68">
        <f>BG802-BF802</f>
        <v/>
      </c>
      <c r="BH874" s="68">
        <f>BH802-BG802</f>
        <v/>
      </c>
      <c r="BI874" s="1110">
        <f>SUM(BE874,BF874,BG874,BH874)</f>
        <v/>
      </c>
      <c r="BJ874" s="68">
        <f>BJ802</f>
        <v/>
      </c>
      <c r="BK874" s="27">
        <f>BK802-BJ802</f>
        <v/>
      </c>
      <c r="BL874" s="68">
        <f>BL802-BK802</f>
        <v/>
      </c>
      <c r="BM874" s="68">
        <f>BM802-BL802</f>
        <v/>
      </c>
      <c r="BN874" s="1110">
        <f>SUM(BJ874,BK874,BL874,BM874)</f>
        <v/>
      </c>
      <c r="BO874" s="68">
        <f>BO802</f>
        <v/>
      </c>
      <c r="BP874" s="27">
        <f>BP802-BO802</f>
        <v/>
      </c>
      <c r="BQ874" s="68">
        <f>BQ802-BP802</f>
        <v/>
      </c>
      <c r="BR874" s="68">
        <f>BR802-BQ802</f>
        <v/>
      </c>
      <c r="BS874" s="1110">
        <f>SUM(BO874,BP874,BQ874,BR874)</f>
        <v/>
      </c>
      <c r="BT874" s="68">
        <f>BT802</f>
        <v/>
      </c>
      <c r="BU874" s="27">
        <f>BU802-BT802</f>
        <v/>
      </c>
      <c r="BV874" s="588">
        <f>BV802-BU802</f>
        <v/>
      </c>
      <c r="BW874" s="68" t="n"/>
      <c r="BX874" s="1110">
        <f>SUM(BT874,BU874,BV874,BW874)</f>
        <v/>
      </c>
      <c r="BY874" s="68" t="n"/>
      <c r="BZ874" s="68" t="n"/>
      <c r="CA874" s="68" t="n"/>
      <c r="CB874" s="68" t="n"/>
      <c r="CC874" s="1110">
        <f>SUM(BY874,BZ874,CA874,CB874)</f>
        <v/>
      </c>
      <c r="CD874" s="1110" t="n"/>
      <c r="CE874" s="1110" t="n"/>
      <c r="CF874" s="1110" t="n"/>
      <c r="CG874" s="155" t="n"/>
    </row>
    <row r="875">
      <c r="A875" s="99">
        <f>A803</f>
        <v/>
      </c>
      <c r="B875" s="68" t="n"/>
      <c r="C875" s="1110">
        <f>C803</f>
        <v/>
      </c>
      <c r="D875" s="1110">
        <f>D803</f>
        <v/>
      </c>
      <c r="E875" s="1110">
        <f>E803</f>
        <v/>
      </c>
      <c r="F875" s="1110">
        <f>F803</f>
        <v/>
      </c>
      <c r="G875" s="68">
        <f>G803</f>
        <v/>
      </c>
      <c r="H875" s="68">
        <f>H803-G803</f>
        <v/>
      </c>
      <c r="I875" s="68">
        <f>I803-H803</f>
        <v/>
      </c>
      <c r="J875" s="68">
        <f>J803-I803</f>
        <v/>
      </c>
      <c r="K875" s="1110">
        <f>K803</f>
        <v/>
      </c>
      <c r="L875" s="68">
        <f>L803</f>
        <v/>
      </c>
      <c r="M875" s="68">
        <f>M803-L803</f>
        <v/>
      </c>
      <c r="N875" s="68">
        <f>N803-M803</f>
        <v/>
      </c>
      <c r="O875" s="68">
        <f>O803-N803</f>
        <v/>
      </c>
      <c r="P875" s="1110">
        <f>P803</f>
        <v/>
      </c>
      <c r="Q875" s="68">
        <f>Q803</f>
        <v/>
      </c>
      <c r="R875" s="68">
        <f>R803-Q803</f>
        <v/>
      </c>
      <c r="S875" s="68">
        <f>S803-R803</f>
        <v/>
      </c>
      <c r="T875" s="68">
        <f>T803-S803</f>
        <v/>
      </c>
      <c r="U875" s="1110">
        <f>U803</f>
        <v/>
      </c>
      <c r="V875" s="68">
        <f>V803</f>
        <v/>
      </c>
      <c r="W875" s="68">
        <f>W803-V803</f>
        <v/>
      </c>
      <c r="X875" s="68">
        <f>X803-W803</f>
        <v/>
      </c>
      <c r="Y875" s="68">
        <f>Y803-X803</f>
        <v/>
      </c>
      <c r="Z875" s="1110">
        <f>Z803</f>
        <v/>
      </c>
      <c r="AA875" s="68">
        <f>AA803</f>
        <v/>
      </c>
      <c r="AB875" s="68">
        <f>AB803-AA803</f>
        <v/>
      </c>
      <c r="AC875" s="68">
        <f>AC803-AB803</f>
        <v/>
      </c>
      <c r="AD875" s="68">
        <f>AD803-AC803</f>
        <v/>
      </c>
      <c r="AE875" s="1110">
        <f>AE803</f>
        <v/>
      </c>
      <c r="AF875" s="68">
        <f>AF803</f>
        <v/>
      </c>
      <c r="AG875" s="68">
        <f>AG803-AF803</f>
        <v/>
      </c>
      <c r="AH875" s="68">
        <f>AH803-AG803</f>
        <v/>
      </c>
      <c r="AI875" s="68">
        <f>AI803-AH803</f>
        <v/>
      </c>
      <c r="AJ875" s="1110">
        <f>AJ803</f>
        <v/>
      </c>
      <c r="AK875" s="68">
        <f>AK803</f>
        <v/>
      </c>
      <c r="AL875" s="68">
        <f>AL803-AK803</f>
        <v/>
      </c>
      <c r="AM875" s="68">
        <f>AM803-AL803</f>
        <v/>
      </c>
      <c r="AN875" s="68">
        <f>AN803-AM803</f>
        <v/>
      </c>
      <c r="AO875" s="1110">
        <f>AO803</f>
        <v/>
      </c>
      <c r="AP875" s="68">
        <f>AP803</f>
        <v/>
      </c>
      <c r="AQ875" s="27">
        <f>AQ803-AP803</f>
        <v/>
      </c>
      <c r="AR875" s="68">
        <f>AR803-AQ803</f>
        <v/>
      </c>
      <c r="AS875" s="68">
        <f>AS803-AR803</f>
        <v/>
      </c>
      <c r="AT875" s="1110">
        <f>AT803</f>
        <v/>
      </c>
      <c r="AU875" s="68">
        <f>AU803</f>
        <v/>
      </c>
      <c r="AV875" s="27">
        <f>AV803-AU803</f>
        <v/>
      </c>
      <c r="AW875" s="68">
        <f>AW803-AV803</f>
        <v/>
      </c>
      <c r="AX875" s="68">
        <f>AX803-AW803</f>
        <v/>
      </c>
      <c r="AY875" s="1110">
        <f>AY803</f>
        <v/>
      </c>
      <c r="AZ875" s="68">
        <f>AZ803</f>
        <v/>
      </c>
      <c r="BA875" s="27">
        <f>BA803-AZ803</f>
        <v/>
      </c>
      <c r="BB875" s="68">
        <f>BB803-BA803</f>
        <v/>
      </c>
      <c r="BC875" s="68">
        <f>BC803-BB803</f>
        <v/>
      </c>
      <c r="BD875" s="1110">
        <f>BD803</f>
        <v/>
      </c>
      <c r="BE875" s="68">
        <f>BE803</f>
        <v/>
      </c>
      <c r="BF875" s="27">
        <f>BF803-BE803</f>
        <v/>
      </c>
      <c r="BG875" s="68">
        <f>BG803-BF803</f>
        <v/>
      </c>
      <c r="BH875" s="68">
        <f>BH803-BG803</f>
        <v/>
      </c>
      <c r="BI875" s="1110">
        <f>BI803</f>
        <v/>
      </c>
      <c r="BJ875" s="68">
        <f>BJ803</f>
        <v/>
      </c>
      <c r="BK875" s="27">
        <f>BK803-BJ803</f>
        <v/>
      </c>
      <c r="BL875" s="68">
        <f>BL803-BK803</f>
        <v/>
      </c>
      <c r="BM875" s="68">
        <f>BM803-BL803</f>
        <v/>
      </c>
      <c r="BN875" s="1110">
        <f>BN803</f>
        <v/>
      </c>
      <c r="BO875" s="68">
        <f>BO803</f>
        <v/>
      </c>
      <c r="BP875" s="27">
        <f>BP803-BO803</f>
        <v/>
      </c>
      <c r="BQ875" s="68">
        <f>BQ803-BP803</f>
        <v/>
      </c>
      <c r="BR875" s="68">
        <f>BR803-BQ803</f>
        <v/>
      </c>
      <c r="BS875" s="1110">
        <f>BS803</f>
        <v/>
      </c>
      <c r="BT875" s="68">
        <f>BT803</f>
        <v/>
      </c>
      <c r="BU875" s="27">
        <f>BU803-BT803</f>
        <v/>
      </c>
      <c r="BV875" s="588">
        <f>BV803-BU803</f>
        <v/>
      </c>
      <c r="BW875" s="68" t="n"/>
      <c r="BX875" s="1110">
        <f>SUM(BT875,BU875,BV875,BW875)</f>
        <v/>
      </c>
      <c r="BY875" s="68" t="n"/>
      <c r="BZ875" s="68" t="n"/>
      <c r="CA875" s="68" t="n"/>
      <c r="CB875" s="68" t="n"/>
      <c r="CC875" s="1110">
        <f>SUM(BY875,BZ875,CA875,CB875)</f>
        <v/>
      </c>
      <c r="CD875" s="1110" t="n"/>
      <c r="CE875" s="1110" t="n"/>
      <c r="CF875" s="1110" t="n"/>
      <c r="CG875" s="155" t="n"/>
    </row>
    <row r="876">
      <c r="A876" s="67">
        <f>A804</f>
        <v/>
      </c>
      <c r="B876" s="68" t="n"/>
      <c r="C876" s="1112">
        <f>C804</f>
        <v/>
      </c>
      <c r="D876" s="1112">
        <f>D804</f>
        <v/>
      </c>
      <c r="E876" s="1112">
        <f>E804</f>
        <v/>
      </c>
      <c r="F876" s="1112">
        <f>F804</f>
        <v/>
      </c>
      <c r="G876" s="27">
        <f>G804</f>
        <v/>
      </c>
      <c r="H876" s="27">
        <f>H804-G804</f>
        <v/>
      </c>
      <c r="I876" s="27">
        <f>I804-H804</f>
        <v/>
      </c>
      <c r="J876" s="27">
        <f>J804-I804</f>
        <v/>
      </c>
      <c r="K876" s="1112">
        <f>K804</f>
        <v/>
      </c>
      <c r="L876" s="27">
        <f>L804</f>
        <v/>
      </c>
      <c r="M876" s="27">
        <f>M804-L804</f>
        <v/>
      </c>
      <c r="N876" s="27">
        <f>N804-M804</f>
        <v/>
      </c>
      <c r="O876" s="27">
        <f>O804-N804</f>
        <v/>
      </c>
      <c r="P876" s="1112">
        <f>P804</f>
        <v/>
      </c>
      <c r="Q876" s="27">
        <f>Q804</f>
        <v/>
      </c>
      <c r="R876" s="27">
        <f>R804-Q804</f>
        <v/>
      </c>
      <c r="S876" s="27">
        <f>S804-R804</f>
        <v/>
      </c>
      <c r="T876" s="27">
        <f>T804-S804</f>
        <v/>
      </c>
      <c r="U876" s="1112">
        <f>U804</f>
        <v/>
      </c>
      <c r="V876" s="27">
        <f>V804</f>
        <v/>
      </c>
      <c r="W876" s="27">
        <f>W804-V804</f>
        <v/>
      </c>
      <c r="X876" s="27">
        <f>X804-W804</f>
        <v/>
      </c>
      <c r="Y876" s="27">
        <f>Y804-X804</f>
        <v/>
      </c>
      <c r="Z876" s="1112">
        <f>SUM(V876,W876,X876,Y876)</f>
        <v/>
      </c>
      <c r="AA876" s="27">
        <f>AA804</f>
        <v/>
      </c>
      <c r="AB876" s="27">
        <f>AB804-AA804</f>
        <v/>
      </c>
      <c r="AC876" s="27">
        <f>AC804-AB804</f>
        <v/>
      </c>
      <c r="AD876" s="27">
        <f>AD804-AC804</f>
        <v/>
      </c>
      <c r="AE876" s="1112">
        <f>SUM(AA876,AB876,AC876,AD876)</f>
        <v/>
      </c>
      <c r="AF876" s="27">
        <f>AF804</f>
        <v/>
      </c>
      <c r="AG876" s="27">
        <f>AG804-AF804</f>
        <v/>
      </c>
      <c r="AH876" s="27">
        <f>AH804-AG804</f>
        <v/>
      </c>
      <c r="AI876" s="27">
        <f>AI804-AH804</f>
        <v/>
      </c>
      <c r="AJ876" s="1112">
        <f>SUM(AF876,AG876,AH876,AI876)</f>
        <v/>
      </c>
      <c r="AK876" s="27">
        <f>AK804</f>
        <v/>
      </c>
      <c r="AL876" s="27">
        <f>AL804-AK804</f>
        <v/>
      </c>
      <c r="AM876" s="27">
        <f>AM804-AL804</f>
        <v/>
      </c>
      <c r="AN876" s="68">
        <f>AN804-AM804</f>
        <v/>
      </c>
      <c r="AO876" s="1110">
        <f>SUM(AK876,AL876,AM876,AN876)</f>
        <v/>
      </c>
      <c r="AP876" s="27">
        <f>AP804</f>
        <v/>
      </c>
      <c r="AQ876" s="27">
        <f>AQ804-AP804</f>
        <v/>
      </c>
      <c r="AR876" s="27">
        <f>AR804-AQ804</f>
        <v/>
      </c>
      <c r="AS876" s="68">
        <f>AS804-AR804</f>
        <v/>
      </c>
      <c r="AT876" s="1110">
        <f>SUM(AP876,AQ876,AR876,AS876)</f>
        <v/>
      </c>
      <c r="AU876" s="27">
        <f>AU804</f>
        <v/>
      </c>
      <c r="AV876" s="27">
        <f>AV804-AU804</f>
        <v/>
      </c>
      <c r="AW876" s="27">
        <f>AW804-AV804</f>
        <v/>
      </c>
      <c r="AX876" s="68">
        <f>AX804-AW804</f>
        <v/>
      </c>
      <c r="AY876" s="1110">
        <f>SUM(AU876,AV876,AW876,AX876)</f>
        <v/>
      </c>
      <c r="AZ876" s="27">
        <f>AZ804</f>
        <v/>
      </c>
      <c r="BA876" s="27">
        <f>BA804-AZ804</f>
        <v/>
      </c>
      <c r="BB876" s="27">
        <f>BB804-BA804</f>
        <v/>
      </c>
      <c r="BC876" s="68">
        <f>BC804-BB804</f>
        <v/>
      </c>
      <c r="BD876" s="1110">
        <f>SUM(AZ876,BA876,BB876,BC876)</f>
        <v/>
      </c>
      <c r="BE876" s="27">
        <f>BE804</f>
        <v/>
      </c>
      <c r="BF876" s="27">
        <f>BF804-BE804</f>
        <v/>
      </c>
      <c r="BG876" s="27">
        <f>BG804-BF804</f>
        <v/>
      </c>
      <c r="BH876" s="68">
        <f>BH804-BG804</f>
        <v/>
      </c>
      <c r="BI876" s="1110">
        <f>SUM(BE876,BF876,BG876,BH876)</f>
        <v/>
      </c>
      <c r="BJ876" s="27">
        <f>BJ804</f>
        <v/>
      </c>
      <c r="BK876" s="27">
        <f>BK804-BJ804</f>
        <v/>
      </c>
      <c r="BL876" s="27">
        <f>BL804-BK804</f>
        <v/>
      </c>
      <c r="BM876" s="68">
        <f>BM804-BL804</f>
        <v/>
      </c>
      <c r="BN876" s="1110">
        <f>SUM(BJ876,BK876,BL876,BM876)</f>
        <v/>
      </c>
      <c r="BO876" s="27">
        <f>BO804</f>
        <v/>
      </c>
      <c r="BP876" s="27">
        <f>BP804-BO804</f>
        <v/>
      </c>
      <c r="BQ876" s="27">
        <f>BQ804-BP804</f>
        <v/>
      </c>
      <c r="BR876" s="68">
        <f>BR804-BQ804</f>
        <v/>
      </c>
      <c r="BS876" s="1110">
        <f>SUM(BO876,BP876,BQ876,BR876)</f>
        <v/>
      </c>
      <c r="BT876" s="27">
        <f>BT804</f>
        <v/>
      </c>
      <c r="BU876" s="27">
        <f>BU804-BT804</f>
        <v/>
      </c>
      <c r="BV876" s="508">
        <f>BV804-BU804</f>
        <v/>
      </c>
      <c r="BW876" s="68">
        <f>BW701</f>
        <v/>
      </c>
      <c r="BX876" s="1110">
        <f>SUM(BT876,BU876,BV876,BW876)</f>
        <v/>
      </c>
      <c r="BY876" s="68">
        <f>BY701</f>
        <v/>
      </c>
      <c r="BZ876" s="68">
        <f>BZ701</f>
        <v/>
      </c>
      <c r="CA876" s="68">
        <f>CA701</f>
        <v/>
      </c>
      <c r="CB876" s="68">
        <f>CB701</f>
        <v/>
      </c>
      <c r="CC876" s="1110">
        <f>SUM(BY876,BZ876,CA876,CB876)</f>
        <v/>
      </c>
      <c r="CD876" s="1110">
        <f>CD701</f>
        <v/>
      </c>
      <c r="CE876" s="1110">
        <f>CE701</f>
        <v/>
      </c>
      <c r="CF876" s="1110">
        <f>CF701</f>
        <v/>
      </c>
      <c r="CG876" s="155" t="n"/>
    </row>
    <row r="877">
      <c r="A877" s="99">
        <f>A805</f>
        <v/>
      </c>
      <c r="B877" s="68" t="n"/>
      <c r="C877" s="1110">
        <f>C805</f>
        <v/>
      </c>
      <c r="D877" s="1110">
        <f>D805</f>
        <v/>
      </c>
      <c r="E877" s="1110">
        <f>E805</f>
        <v/>
      </c>
      <c r="F877" s="1110">
        <f>F805</f>
        <v/>
      </c>
      <c r="G877" s="68">
        <f>G805</f>
        <v/>
      </c>
      <c r="H877" s="68">
        <f>H805-G805</f>
        <v/>
      </c>
      <c r="I877" s="68">
        <f>I805-H805</f>
        <v/>
      </c>
      <c r="J877" s="68">
        <f>J805-I805</f>
        <v/>
      </c>
      <c r="K877" s="1110">
        <f>K805</f>
        <v/>
      </c>
      <c r="L877" s="68">
        <f>L805</f>
        <v/>
      </c>
      <c r="M877" s="68">
        <f>M805-L805</f>
        <v/>
      </c>
      <c r="N877" s="68">
        <f>N805-M805</f>
        <v/>
      </c>
      <c r="O877" s="68">
        <f>O805-N805</f>
        <v/>
      </c>
      <c r="P877" s="1110">
        <f>P805</f>
        <v/>
      </c>
      <c r="Q877" s="68">
        <f>Q805</f>
        <v/>
      </c>
      <c r="R877" s="68">
        <f>R805-Q805</f>
        <v/>
      </c>
      <c r="S877" s="68">
        <f>S805-R805</f>
        <v/>
      </c>
      <c r="T877" s="68">
        <f>T805-S805</f>
        <v/>
      </c>
      <c r="U877" s="1110">
        <f>U805</f>
        <v/>
      </c>
      <c r="V877" s="68">
        <f>V805</f>
        <v/>
      </c>
      <c r="W877" s="68">
        <f>W805-V805</f>
        <v/>
      </c>
      <c r="X877" s="68">
        <f>X805-W805</f>
        <v/>
      </c>
      <c r="Y877" s="68">
        <f>Y805-X805</f>
        <v/>
      </c>
      <c r="Z877" s="1110">
        <f>SUM(V877,W877,X877,Y877)</f>
        <v/>
      </c>
      <c r="AA877" s="68">
        <f>AA805</f>
        <v/>
      </c>
      <c r="AB877" s="68">
        <f>AB805-AA805</f>
        <v/>
      </c>
      <c r="AC877" s="68">
        <f>AC805-AB805</f>
        <v/>
      </c>
      <c r="AD877" s="68">
        <f>AD805-AC805</f>
        <v/>
      </c>
      <c r="AE877" s="1110">
        <f>SUM(AA877,AB877,AC877,AD877)</f>
        <v/>
      </c>
      <c r="AF877" s="27">
        <f>AF805</f>
        <v/>
      </c>
      <c r="AG877" s="27">
        <f>AG805-AF805</f>
        <v/>
      </c>
      <c r="AH877" s="27">
        <f>AH805-AG805</f>
        <v/>
      </c>
      <c r="AI877" s="68">
        <f>AI805-AH805</f>
        <v/>
      </c>
      <c r="AJ877" s="1110">
        <f>SUM(AF877,AG877,AH877,AI877)</f>
        <v/>
      </c>
      <c r="AK877" s="27">
        <f>AK805</f>
        <v/>
      </c>
      <c r="AL877" s="27">
        <f>AL805-AK805</f>
        <v/>
      </c>
      <c r="AM877" s="27">
        <f>AM805-AL805</f>
        <v/>
      </c>
      <c r="AN877" s="68">
        <f>AN805-AM805</f>
        <v/>
      </c>
      <c r="AO877" s="1110">
        <f>SUM(AK877,AL877,AM877,AN877)</f>
        <v/>
      </c>
      <c r="AP877" s="27">
        <f>AP805</f>
        <v/>
      </c>
      <c r="AQ877" s="27">
        <f>AQ805-AP805</f>
        <v/>
      </c>
      <c r="AR877" s="27">
        <f>AR805-AQ805</f>
        <v/>
      </c>
      <c r="AS877" s="68">
        <f>AS805-AR805</f>
        <v/>
      </c>
      <c r="AT877" s="1110">
        <f>SUM(AP877,AQ877,AR877,AS877)</f>
        <v/>
      </c>
      <c r="AU877" s="27">
        <f>AU805</f>
        <v/>
      </c>
      <c r="AV877" s="27">
        <f>AV805-AU805</f>
        <v/>
      </c>
      <c r="AW877" s="27">
        <f>AW805-AV805</f>
        <v/>
      </c>
      <c r="AX877" s="68">
        <f>AX805-AW805</f>
        <v/>
      </c>
      <c r="AY877" s="1110">
        <f>SUM(AU877,AV877,AW877,AX877)</f>
        <v/>
      </c>
      <c r="AZ877" s="27">
        <f>AZ805</f>
        <v/>
      </c>
      <c r="BA877" s="27">
        <f>BA805-AZ805</f>
        <v/>
      </c>
      <c r="BB877" s="27">
        <f>BB805-BA805</f>
        <v/>
      </c>
      <c r="BC877" s="68">
        <f>BC805-BB805</f>
        <v/>
      </c>
      <c r="BD877" s="1110">
        <f>SUM(AZ877,BA877,BB877,BC877)</f>
        <v/>
      </c>
      <c r="BE877" s="27">
        <f>BE805</f>
        <v/>
      </c>
      <c r="BF877" s="27">
        <f>BF805-BE805</f>
        <v/>
      </c>
      <c r="BG877" s="27">
        <f>BG805-BF805</f>
        <v/>
      </c>
      <c r="BH877" s="68">
        <f>BH805-BG805</f>
        <v/>
      </c>
      <c r="BI877" s="1110">
        <f>SUM(BE877,BF877,BG877,BH877)</f>
        <v/>
      </c>
      <c r="BJ877" s="27">
        <f>BJ805</f>
        <v/>
      </c>
      <c r="BK877" s="27">
        <f>BK805-BJ805</f>
        <v/>
      </c>
      <c r="BL877" s="27">
        <f>BL805-BK805</f>
        <v/>
      </c>
      <c r="BM877" s="68">
        <f>BM805-BL805</f>
        <v/>
      </c>
      <c r="BN877" s="1110">
        <f>SUM(BJ877,BK877,BL877,BM877)</f>
        <v/>
      </c>
      <c r="BO877" s="27">
        <f>BO805</f>
        <v/>
      </c>
      <c r="BP877" s="27">
        <f>BP805-BO805</f>
        <v/>
      </c>
      <c r="BQ877" s="27">
        <f>BQ805-BP805</f>
        <v/>
      </c>
      <c r="BR877" s="68">
        <f>BR805-BQ805</f>
        <v/>
      </c>
      <c r="BS877" s="1110">
        <f>SUM(BO877,BP877,BQ877,BR877)</f>
        <v/>
      </c>
      <c r="BT877" s="27">
        <f>BT805</f>
        <v/>
      </c>
      <c r="BU877" s="27">
        <f>BU805-BT805</f>
        <v/>
      </c>
      <c r="BV877" s="508">
        <f>BV805-BU805</f>
        <v/>
      </c>
      <c r="BW877" s="68">
        <f>BW705</f>
        <v/>
      </c>
      <c r="BX877" s="1110">
        <f>SUM(BT877,BU877,BV877,BW877)</f>
        <v/>
      </c>
      <c r="BY877" s="68">
        <f>BY705</f>
        <v/>
      </c>
      <c r="BZ877" s="68">
        <f>BZ705</f>
        <v/>
      </c>
      <c r="CA877" s="68">
        <f>CA705</f>
        <v/>
      </c>
      <c r="CB877" s="68">
        <f>CB705</f>
        <v/>
      </c>
      <c r="CC877" s="1110">
        <f>SUM(BY877,BZ877,CA877,CB877)</f>
        <v/>
      </c>
      <c r="CD877" s="1110">
        <f>CD705</f>
        <v/>
      </c>
      <c r="CE877" s="1110">
        <f>CE705</f>
        <v/>
      </c>
      <c r="CF877" s="1110">
        <f>CF705</f>
        <v/>
      </c>
      <c r="CG877" s="155" t="n"/>
    </row>
    <row r="878">
      <c r="A878" s="99">
        <f>A806</f>
        <v/>
      </c>
      <c r="B878" s="68" t="n"/>
      <c r="C878" s="1110">
        <f>C806</f>
        <v/>
      </c>
      <c r="D878" s="1110">
        <f>D806</f>
        <v/>
      </c>
      <c r="E878" s="1110">
        <f>E806</f>
        <v/>
      </c>
      <c r="F878" s="1110">
        <f>F806</f>
        <v/>
      </c>
      <c r="G878" s="68">
        <f>G806</f>
        <v/>
      </c>
      <c r="H878" s="68">
        <f>H806-G806</f>
        <v/>
      </c>
      <c r="I878" s="68">
        <f>I806-H806</f>
        <v/>
      </c>
      <c r="J878" s="68">
        <f>J806-I806</f>
        <v/>
      </c>
      <c r="K878" s="1110">
        <f>K806</f>
        <v/>
      </c>
      <c r="L878" s="68">
        <f>L806</f>
        <v/>
      </c>
      <c r="M878" s="68">
        <f>M806-L806</f>
        <v/>
      </c>
      <c r="N878" s="68">
        <f>N806-M806</f>
        <v/>
      </c>
      <c r="O878" s="68">
        <f>O806-N806</f>
        <v/>
      </c>
      <c r="P878" s="1110">
        <f>P806</f>
        <v/>
      </c>
      <c r="Q878" s="68">
        <f>Q806</f>
        <v/>
      </c>
      <c r="R878" s="68">
        <f>R806-Q806</f>
        <v/>
      </c>
      <c r="S878" s="68">
        <f>S806-R806</f>
        <v/>
      </c>
      <c r="T878" s="68">
        <f>T806-S806</f>
        <v/>
      </c>
      <c r="U878" s="1110">
        <f>U806</f>
        <v/>
      </c>
      <c r="V878" s="68">
        <f>V806</f>
        <v/>
      </c>
      <c r="W878" s="68">
        <f>W806-V806</f>
        <v/>
      </c>
      <c r="X878" s="68">
        <f>X806-W806</f>
        <v/>
      </c>
      <c r="Y878" s="68">
        <f>Y806-X806</f>
        <v/>
      </c>
      <c r="Z878" s="1110">
        <f>SUM(V878,W878,X878,Y878)</f>
        <v/>
      </c>
      <c r="AA878" s="68">
        <f>AA806</f>
        <v/>
      </c>
      <c r="AB878" s="68">
        <f>AB806-AA806</f>
        <v/>
      </c>
      <c r="AC878" s="68">
        <f>AC806-AB806</f>
        <v/>
      </c>
      <c r="AD878" s="68">
        <f>AD806-AC806</f>
        <v/>
      </c>
      <c r="AE878" s="1110">
        <f>SUM(AA878,AB878,AC878,AD878)</f>
        <v/>
      </c>
      <c r="AF878" s="68">
        <f>AF806</f>
        <v/>
      </c>
      <c r="AG878" s="68">
        <f>AG806-AF806</f>
        <v/>
      </c>
      <c r="AH878" s="68">
        <f>AH806-AG806</f>
        <v/>
      </c>
      <c r="AI878" s="68">
        <f>AI806-AH806</f>
        <v/>
      </c>
      <c r="AJ878" s="1110">
        <f>SUM(AF878,AG878,AH878,AI878)</f>
        <v/>
      </c>
      <c r="AK878" s="68">
        <f>AK806</f>
        <v/>
      </c>
      <c r="AL878" s="68">
        <f>AL806-AK806</f>
        <v/>
      </c>
      <c r="AM878" s="68">
        <f>AM806-AL806</f>
        <v/>
      </c>
      <c r="AN878" s="68">
        <f>AN806-AM806</f>
        <v/>
      </c>
      <c r="AO878" s="1110">
        <f>SUM(AK878,AL878,AM878,AN878)</f>
        <v/>
      </c>
      <c r="AP878" s="68">
        <f>AP806</f>
        <v/>
      </c>
      <c r="AQ878" s="27">
        <f>AQ806-AP806</f>
        <v/>
      </c>
      <c r="AR878" s="68">
        <f>AR806-AQ806</f>
        <v/>
      </c>
      <c r="AS878" s="68">
        <f>AS806-AR806</f>
        <v/>
      </c>
      <c r="AT878" s="1110">
        <f>SUM(AP878,AQ878,AR878,AS878)</f>
        <v/>
      </c>
      <c r="AU878" s="68">
        <f>AU806</f>
        <v/>
      </c>
      <c r="AV878" s="27">
        <f>AV806-AU806</f>
        <v/>
      </c>
      <c r="AW878" s="68">
        <f>AW806-AV806</f>
        <v/>
      </c>
      <c r="AX878" s="68">
        <f>AX806-AW806</f>
        <v/>
      </c>
      <c r="AY878" s="1110">
        <f>SUM(AU878,AV878,AW878,AX878)</f>
        <v/>
      </c>
      <c r="AZ878" s="68">
        <f>AZ806</f>
        <v/>
      </c>
      <c r="BA878" s="27">
        <f>BA806-AZ806</f>
        <v/>
      </c>
      <c r="BB878" s="68">
        <f>BB806-BA806</f>
        <v/>
      </c>
      <c r="BC878" s="68">
        <f>BC806-BB806</f>
        <v/>
      </c>
      <c r="BD878" s="1110">
        <f>SUM(AZ878,BA878,BB878,BC878)</f>
        <v/>
      </c>
      <c r="BE878" s="68">
        <f>BE806</f>
        <v/>
      </c>
      <c r="BF878" s="27">
        <f>BF806-BE806</f>
        <v/>
      </c>
      <c r="BG878" s="68">
        <f>BG806-BF806</f>
        <v/>
      </c>
      <c r="BH878" s="68">
        <f>BH806-BG806</f>
        <v/>
      </c>
      <c r="BI878" s="1110">
        <f>SUM(BE878,BF878,BG878,BH878)</f>
        <v/>
      </c>
      <c r="BJ878" s="68">
        <f>BJ806</f>
        <v/>
      </c>
      <c r="BK878" s="27">
        <f>BK806-BJ806</f>
        <v/>
      </c>
      <c r="BL878" s="68">
        <f>BL806-BK806</f>
        <v/>
      </c>
      <c r="BM878" s="68">
        <f>BM806-BL806</f>
        <v/>
      </c>
      <c r="BN878" s="1110">
        <f>SUM(BJ878,BK878,BL878,BM878)</f>
        <v/>
      </c>
      <c r="BO878" s="68">
        <f>BO806</f>
        <v/>
      </c>
      <c r="BP878" s="27">
        <f>BP806-BO806</f>
        <v/>
      </c>
      <c r="BQ878" s="68">
        <f>BQ806-BP806</f>
        <v/>
      </c>
      <c r="BR878" s="68">
        <f>BR806-BQ806</f>
        <v/>
      </c>
      <c r="BS878" s="1110">
        <f>SUM(BO878,BP878,BQ878,BR878)</f>
        <v/>
      </c>
      <c r="BT878" s="68">
        <f>BT806</f>
        <v/>
      </c>
      <c r="BU878" s="27">
        <f>BU806-BT806</f>
        <v/>
      </c>
      <c r="BV878" s="588">
        <f>BV806-BU806</f>
        <v/>
      </c>
      <c r="BW878" s="68">
        <f>BW704</f>
        <v/>
      </c>
      <c r="BX878" s="1110">
        <f>SUM(BT878,BU878,BV878,BW878)</f>
        <v/>
      </c>
      <c r="BY878" s="68">
        <f>BY704</f>
        <v/>
      </c>
      <c r="BZ878" s="68">
        <f>BZ704</f>
        <v/>
      </c>
      <c r="CA878" s="68">
        <f>CA704</f>
        <v/>
      </c>
      <c r="CB878" s="68">
        <f>CB704</f>
        <v/>
      </c>
      <c r="CC878" s="1110">
        <f>SUM(BY878,BZ878,CA878,CB878)</f>
        <v/>
      </c>
      <c r="CD878" s="1110">
        <f>CD704</f>
        <v/>
      </c>
      <c r="CE878" s="1110">
        <f>CE704</f>
        <v/>
      </c>
      <c r="CF878" s="1110">
        <f>CF704</f>
        <v/>
      </c>
      <c r="CG878" s="155" t="n"/>
    </row>
    <row r="879">
      <c r="A879" s="99">
        <f>A807</f>
        <v/>
      </c>
      <c r="B879" s="68" t="n"/>
      <c r="C879" s="1110">
        <f>C807</f>
        <v/>
      </c>
      <c r="D879" s="1110">
        <f>D807</f>
        <v/>
      </c>
      <c r="E879" s="1110">
        <f>E807</f>
        <v/>
      </c>
      <c r="F879" s="1110">
        <f>F807</f>
        <v/>
      </c>
      <c r="G879" s="68">
        <f>G807</f>
        <v/>
      </c>
      <c r="H879" s="68">
        <f>H807-G807</f>
        <v/>
      </c>
      <c r="I879" s="68">
        <f>I807-H807</f>
        <v/>
      </c>
      <c r="J879" s="68">
        <f>J807-I807</f>
        <v/>
      </c>
      <c r="K879" s="1110">
        <f>K807</f>
        <v/>
      </c>
      <c r="L879" s="68">
        <f>L807</f>
        <v/>
      </c>
      <c r="M879" s="68">
        <f>M807-L807</f>
        <v/>
      </c>
      <c r="N879" s="68">
        <f>N807-M807</f>
        <v/>
      </c>
      <c r="O879" s="68">
        <f>O807-N807</f>
        <v/>
      </c>
      <c r="P879" s="1110">
        <f>P807</f>
        <v/>
      </c>
      <c r="Q879" s="68">
        <f>Q807</f>
        <v/>
      </c>
      <c r="R879" s="68">
        <f>R807-Q807</f>
        <v/>
      </c>
      <c r="S879" s="68">
        <f>S807-R807</f>
        <v/>
      </c>
      <c r="T879" s="68">
        <f>T807-S807</f>
        <v/>
      </c>
      <c r="U879" s="1110">
        <f>U807</f>
        <v/>
      </c>
      <c r="V879" s="68">
        <f>V807</f>
        <v/>
      </c>
      <c r="W879" s="68">
        <f>W807-V807</f>
        <v/>
      </c>
      <c r="X879" s="68">
        <f>X807-W807</f>
        <v/>
      </c>
      <c r="Y879" s="68">
        <f>Y807-X807</f>
        <v/>
      </c>
      <c r="Z879" s="1110">
        <f>SUM(V879,W879,X879,Y879)</f>
        <v/>
      </c>
      <c r="AA879" s="68">
        <f>AA807</f>
        <v/>
      </c>
      <c r="AB879" s="68">
        <f>AB807-AA807</f>
        <v/>
      </c>
      <c r="AC879" s="68">
        <f>AC807-AB807</f>
        <v/>
      </c>
      <c r="AD879" s="68">
        <f>AD807-AC807</f>
        <v/>
      </c>
      <c r="AE879" s="1110">
        <f>SUM(AA879,AB879,AC879,AD879)</f>
        <v/>
      </c>
      <c r="AF879" s="68">
        <f>AF807</f>
        <v/>
      </c>
      <c r="AG879" s="68">
        <f>AG807-AF807</f>
        <v/>
      </c>
      <c r="AH879" s="68">
        <f>AH807-AG807</f>
        <v/>
      </c>
      <c r="AI879" s="68">
        <f>AI807-AH807</f>
        <v/>
      </c>
      <c r="AJ879" s="1110">
        <f>SUM(AF879,AG879,AH879,AI879)</f>
        <v/>
      </c>
      <c r="AK879" s="68">
        <f>AK807</f>
        <v/>
      </c>
      <c r="AL879" s="68">
        <f>AL807-AK807</f>
        <v/>
      </c>
      <c r="AM879" s="68">
        <f>AM807-AL807</f>
        <v/>
      </c>
      <c r="AN879" s="68">
        <f>AN807-AM807</f>
        <v/>
      </c>
      <c r="AO879" s="1110">
        <f>SUM(AK879,AL879,AM879,AN879)</f>
        <v/>
      </c>
      <c r="AP879" s="68">
        <f>AP807</f>
        <v/>
      </c>
      <c r="AQ879" s="27">
        <f>AQ807-AP807</f>
        <v/>
      </c>
      <c r="AR879" s="68">
        <f>AR807-AQ807</f>
        <v/>
      </c>
      <c r="AS879" s="68">
        <f>AS807-AR807</f>
        <v/>
      </c>
      <c r="AT879" s="1110">
        <f>SUM(AP879,AQ879,AR879,AS879)</f>
        <v/>
      </c>
      <c r="AU879" s="68">
        <f>AU807</f>
        <v/>
      </c>
      <c r="AV879" s="27">
        <f>AV807-AU807</f>
        <v/>
      </c>
      <c r="AW879" s="68">
        <f>AW807-AV807</f>
        <v/>
      </c>
      <c r="AX879" s="68">
        <f>AX807-AW807</f>
        <v/>
      </c>
      <c r="AY879" s="1110">
        <f>SUM(AU879,AV879,AW879,AX879)</f>
        <v/>
      </c>
      <c r="AZ879" s="68">
        <f>AZ807</f>
        <v/>
      </c>
      <c r="BA879" s="27">
        <f>BA807-AZ807</f>
        <v/>
      </c>
      <c r="BB879" s="68">
        <f>BB807-BA807</f>
        <v/>
      </c>
      <c r="BC879" s="68">
        <f>BC807-BB807</f>
        <v/>
      </c>
      <c r="BD879" s="1110">
        <f>SUM(AZ879,BA879,BB879,BC879)</f>
        <v/>
      </c>
      <c r="BE879" s="68">
        <f>BE807</f>
        <v/>
      </c>
      <c r="BF879" s="27">
        <f>BF807-BE807</f>
        <v/>
      </c>
      <c r="BG879" s="68">
        <f>BG807-BF807</f>
        <v/>
      </c>
      <c r="BH879" s="68">
        <f>BH807-BG807</f>
        <v/>
      </c>
      <c r="BI879" s="1110">
        <f>SUM(BE879,BF879,BG879,BH879)</f>
        <v/>
      </c>
      <c r="BJ879" s="68">
        <f>BJ807</f>
        <v/>
      </c>
      <c r="BK879" s="27">
        <f>BK807-BJ807</f>
        <v/>
      </c>
      <c r="BL879" s="68">
        <f>BL807-BK807</f>
        <v/>
      </c>
      <c r="BM879" s="68">
        <f>BM807-BL807</f>
        <v/>
      </c>
      <c r="BN879" s="1110">
        <f>SUM(BJ879,BK879,BL879,BM879)</f>
        <v/>
      </c>
      <c r="BO879" s="68">
        <f>BO807</f>
        <v/>
      </c>
      <c r="BP879" s="27">
        <f>BP807-BO807</f>
        <v/>
      </c>
      <c r="BQ879" s="68">
        <f>BQ807-BP807</f>
        <v/>
      </c>
      <c r="BR879" s="68">
        <f>BR807-BQ807</f>
        <v/>
      </c>
      <c r="BS879" s="1110">
        <f>SUM(BO879,BP879,BQ879,BR879)</f>
        <v/>
      </c>
      <c r="BT879" s="68">
        <f>BT807</f>
        <v/>
      </c>
      <c r="BU879" s="27">
        <f>BU807-BT807</f>
        <v/>
      </c>
      <c r="BV879" s="588">
        <f>BV807-BU807</f>
        <v/>
      </c>
      <c r="BW879" s="68" t="n"/>
      <c r="BX879" s="1110">
        <f>SUM(BT879,BU879,BV879,BW879)</f>
        <v/>
      </c>
      <c r="BY879" s="68" t="n"/>
      <c r="BZ879" s="68" t="n"/>
      <c r="CA879" s="68" t="n"/>
      <c r="CB879" s="68" t="n"/>
      <c r="CC879" s="1110">
        <f>SUM(BY879,BZ879,CA879,CB879)</f>
        <v/>
      </c>
      <c r="CD879" s="1110" t="n"/>
      <c r="CE879" s="1110" t="n"/>
      <c r="CF879" s="1110" t="n"/>
      <c r="CG879" s="155" t="n"/>
    </row>
    <row r="880">
      <c r="A880" s="99">
        <f>A808</f>
        <v/>
      </c>
      <c r="B880" s="68" t="n"/>
      <c r="C880" s="1110">
        <f>C808</f>
        <v/>
      </c>
      <c r="D880" s="1110">
        <f>D808</f>
        <v/>
      </c>
      <c r="E880" s="1110">
        <f>E808</f>
        <v/>
      </c>
      <c r="F880" s="1110">
        <f>F808</f>
        <v/>
      </c>
      <c r="G880" s="68">
        <f>G808</f>
        <v/>
      </c>
      <c r="H880" s="68">
        <f>H808-G808</f>
        <v/>
      </c>
      <c r="I880" s="68">
        <f>I808-H808</f>
        <v/>
      </c>
      <c r="J880" s="68">
        <f>J808-I808</f>
        <v/>
      </c>
      <c r="K880" s="1110">
        <f>K808</f>
        <v/>
      </c>
      <c r="L880" s="68">
        <f>L808</f>
        <v/>
      </c>
      <c r="M880" s="68">
        <f>M808-L808</f>
        <v/>
      </c>
      <c r="N880" s="68">
        <f>N808-M808</f>
        <v/>
      </c>
      <c r="O880" s="68">
        <f>O808-N808</f>
        <v/>
      </c>
      <c r="P880" s="1110">
        <f>P808</f>
        <v/>
      </c>
      <c r="Q880" s="68">
        <f>Q808</f>
        <v/>
      </c>
      <c r="R880" s="68">
        <f>R808-Q808</f>
        <v/>
      </c>
      <c r="S880" s="68">
        <f>S808-R808</f>
        <v/>
      </c>
      <c r="T880" s="68">
        <f>T808-S808</f>
        <v/>
      </c>
      <c r="U880" s="1110">
        <f>U808</f>
        <v/>
      </c>
      <c r="V880" s="68">
        <f>V808</f>
        <v/>
      </c>
      <c r="W880" s="68">
        <f>W808-V808</f>
        <v/>
      </c>
      <c r="X880" s="68">
        <f>X808-W808</f>
        <v/>
      </c>
      <c r="Y880" s="68">
        <f>Y808-X808</f>
        <v/>
      </c>
      <c r="Z880" s="1110">
        <f>SUM(V880,W880,X880,Y880)</f>
        <v/>
      </c>
      <c r="AA880" s="68">
        <f>AA808</f>
        <v/>
      </c>
      <c r="AB880" s="68">
        <f>AB808-AA808</f>
        <v/>
      </c>
      <c r="AC880" s="68">
        <f>AC808-AB808</f>
        <v/>
      </c>
      <c r="AD880" s="68">
        <f>AD808-AC808</f>
        <v/>
      </c>
      <c r="AE880" s="1110">
        <f>SUM(AA880,AB880,AC880,AD880)</f>
        <v/>
      </c>
      <c r="AF880" s="68">
        <f>AF808</f>
        <v/>
      </c>
      <c r="AG880" s="68">
        <f>AG808-AF808</f>
        <v/>
      </c>
      <c r="AH880" s="68">
        <f>AH808-AG808</f>
        <v/>
      </c>
      <c r="AI880" s="68">
        <f>AI808-AH808</f>
        <v/>
      </c>
      <c r="AJ880" s="1110">
        <f>SUM(AF880,AG880,AH880,AI880)</f>
        <v/>
      </c>
      <c r="AK880" s="68">
        <f>AK808</f>
        <v/>
      </c>
      <c r="AL880" s="68">
        <f>AL808-AK808</f>
        <v/>
      </c>
      <c r="AM880" s="68">
        <f>AM808-AL808</f>
        <v/>
      </c>
      <c r="AN880" s="68">
        <f>AN808-AM808</f>
        <v/>
      </c>
      <c r="AO880" s="1110">
        <f>SUM(AK880,AL880,AM880,AN880)</f>
        <v/>
      </c>
      <c r="AP880" s="68">
        <f>AP808</f>
        <v/>
      </c>
      <c r="AQ880" s="27">
        <f>AQ808-AP808</f>
        <v/>
      </c>
      <c r="AR880" s="68">
        <f>AR808-AQ808</f>
        <v/>
      </c>
      <c r="AS880" s="68">
        <f>AS808-AR808</f>
        <v/>
      </c>
      <c r="AT880" s="1110">
        <f>SUM(AP880,AQ880,AR880,AS880)</f>
        <v/>
      </c>
      <c r="AU880" s="68">
        <f>AU808</f>
        <v/>
      </c>
      <c r="AV880" s="27">
        <f>AV808-AU808</f>
        <v/>
      </c>
      <c r="AW880" s="68">
        <f>AW808-AV808</f>
        <v/>
      </c>
      <c r="AX880" s="68">
        <f>AX808-AW808</f>
        <v/>
      </c>
      <c r="AY880" s="1110">
        <f>SUM(AU880,AV880,AW880,AX880)</f>
        <v/>
      </c>
      <c r="AZ880" s="68">
        <f>AZ808</f>
        <v/>
      </c>
      <c r="BA880" s="27">
        <f>BA808-AZ808</f>
        <v/>
      </c>
      <c r="BB880" s="68">
        <f>BB808-BA808</f>
        <v/>
      </c>
      <c r="BC880" s="68">
        <f>BC808-BB808</f>
        <v/>
      </c>
      <c r="BD880" s="1110">
        <f>SUM(AZ880,BA880,BB880,BC880)</f>
        <v/>
      </c>
      <c r="BE880" s="68">
        <f>BE808</f>
        <v/>
      </c>
      <c r="BF880" s="27">
        <f>BF808-BE808</f>
        <v/>
      </c>
      <c r="BG880" s="68">
        <f>BG808-BF808</f>
        <v/>
      </c>
      <c r="BH880" s="68">
        <f>BH808-BG808</f>
        <v/>
      </c>
      <c r="BI880" s="1110">
        <f>SUM(BE880,BF880,BG880,BH880)</f>
        <v/>
      </c>
      <c r="BJ880" s="68">
        <f>BJ808</f>
        <v/>
      </c>
      <c r="BK880" s="27">
        <f>BK808-BJ808</f>
        <v/>
      </c>
      <c r="BL880" s="68">
        <f>BL808-BK808</f>
        <v/>
      </c>
      <c r="BM880" s="68">
        <f>BM808-BL808</f>
        <v/>
      </c>
      <c r="BN880" s="1110">
        <f>SUM(BJ880,BK880,BL880,BM880)</f>
        <v/>
      </c>
      <c r="BO880" s="68">
        <f>BO808</f>
        <v/>
      </c>
      <c r="BP880" s="27">
        <f>BP808-BO808</f>
        <v/>
      </c>
      <c r="BQ880" s="68">
        <f>BQ808-BP808</f>
        <v/>
      </c>
      <c r="BR880" s="68">
        <f>BR808-BQ808</f>
        <v/>
      </c>
      <c r="BS880" s="1110">
        <f>SUM(BO880,BP880,BQ880,BR880)</f>
        <v/>
      </c>
      <c r="BT880" s="68">
        <f>BT808</f>
        <v/>
      </c>
      <c r="BU880" s="27">
        <f>BU808-BT808</f>
        <v/>
      </c>
      <c r="BV880" s="588">
        <f>BV808-BU808</f>
        <v/>
      </c>
      <c r="BW880" s="68" t="n"/>
      <c r="BX880" s="1110">
        <f>SUM(BT880,BU880,BV880,BW880)</f>
        <v/>
      </c>
      <c r="BY880" s="68" t="n"/>
      <c r="BZ880" s="68" t="n"/>
      <c r="CA880" s="68" t="n"/>
      <c r="CB880" s="68" t="n"/>
      <c r="CC880" s="1110">
        <f>SUM(BY880,BZ880,CA880,CB880)</f>
        <v/>
      </c>
      <c r="CD880" s="1110" t="n"/>
      <c r="CE880" s="1110" t="n"/>
      <c r="CF880" s="1110" t="n"/>
      <c r="CG880" s="155" t="n"/>
    </row>
    <row r="881">
      <c r="A881" s="99">
        <f>A809</f>
        <v/>
      </c>
      <c r="B881" s="68" t="n"/>
      <c r="C881" s="1110">
        <f>C809</f>
        <v/>
      </c>
      <c r="D881" s="1110">
        <f>D809</f>
        <v/>
      </c>
      <c r="E881" s="1110">
        <f>E809</f>
        <v/>
      </c>
      <c r="F881" s="1110">
        <f>F809</f>
        <v/>
      </c>
      <c r="G881" s="68">
        <f>G809</f>
        <v/>
      </c>
      <c r="H881" s="68">
        <f>H809-G809</f>
        <v/>
      </c>
      <c r="I881" s="68">
        <f>I809-H809</f>
        <v/>
      </c>
      <c r="J881" s="68">
        <f>J809-I809</f>
        <v/>
      </c>
      <c r="K881" s="1110">
        <f>K809</f>
        <v/>
      </c>
      <c r="L881" s="68">
        <f>L809</f>
        <v/>
      </c>
      <c r="M881" s="68">
        <f>M809-L809</f>
        <v/>
      </c>
      <c r="N881" s="68">
        <f>N809-M809</f>
        <v/>
      </c>
      <c r="O881" s="68">
        <f>O809-N809</f>
        <v/>
      </c>
      <c r="P881" s="1110">
        <f>P809</f>
        <v/>
      </c>
      <c r="Q881" s="68">
        <f>Q809</f>
        <v/>
      </c>
      <c r="R881" s="68">
        <f>R809-Q809</f>
        <v/>
      </c>
      <c r="S881" s="68">
        <f>S809-R809</f>
        <v/>
      </c>
      <c r="T881" s="68">
        <f>T809-S809</f>
        <v/>
      </c>
      <c r="U881" s="1110">
        <f>U809</f>
        <v/>
      </c>
      <c r="V881" s="68">
        <f>V809</f>
        <v/>
      </c>
      <c r="W881" s="68">
        <f>W809-V809</f>
        <v/>
      </c>
      <c r="X881" s="68">
        <f>X809-W809</f>
        <v/>
      </c>
      <c r="Y881" s="68">
        <f>Y809-X809</f>
        <v/>
      </c>
      <c r="Z881" s="1110">
        <f>SUM(V881,W881,X881,Y881)</f>
        <v/>
      </c>
      <c r="AA881" s="68">
        <f>AA809</f>
        <v/>
      </c>
      <c r="AB881" s="68">
        <f>AB809-AA809</f>
        <v/>
      </c>
      <c r="AC881" s="68">
        <f>AC809-AB809</f>
        <v/>
      </c>
      <c r="AD881" s="68">
        <f>AD809-AC809</f>
        <v/>
      </c>
      <c r="AE881" s="1110">
        <f>SUM(AA881,AB881,AC881,AD881)</f>
        <v/>
      </c>
      <c r="AF881" s="68">
        <f>AF809</f>
        <v/>
      </c>
      <c r="AG881" s="68">
        <f>AG809-AF809</f>
        <v/>
      </c>
      <c r="AH881" s="68">
        <f>AH809-AG809</f>
        <v/>
      </c>
      <c r="AI881" s="68">
        <f>AI809-AH809</f>
        <v/>
      </c>
      <c r="AJ881" s="1110">
        <f>SUM(AF881,AG881,AH881,AI881)</f>
        <v/>
      </c>
      <c r="AK881" s="68">
        <f>AK809</f>
        <v/>
      </c>
      <c r="AL881" s="68">
        <f>AL809-AK809</f>
        <v/>
      </c>
      <c r="AM881" s="68">
        <f>AM809-AL809</f>
        <v/>
      </c>
      <c r="AN881" s="68">
        <f>AN809-AM809</f>
        <v/>
      </c>
      <c r="AO881" s="1110">
        <f>SUM(AK881,AL881,AM881,AN881)</f>
        <v/>
      </c>
      <c r="AP881" s="68">
        <f>AP809</f>
        <v/>
      </c>
      <c r="AQ881" s="27">
        <f>AQ809-AP809</f>
        <v/>
      </c>
      <c r="AR881" s="68">
        <f>AR809-AQ809</f>
        <v/>
      </c>
      <c r="AS881" s="68">
        <f>AS809-AR809</f>
        <v/>
      </c>
      <c r="AT881" s="1110">
        <f>SUM(AP881,AQ881,AR881,AS881)</f>
        <v/>
      </c>
      <c r="AU881" s="68">
        <f>AU809</f>
        <v/>
      </c>
      <c r="AV881" s="27">
        <f>AV809-AU809</f>
        <v/>
      </c>
      <c r="AW881" s="68">
        <f>AW809-AV809</f>
        <v/>
      </c>
      <c r="AX881" s="68">
        <f>AX809-AW809</f>
        <v/>
      </c>
      <c r="AY881" s="1110">
        <f>SUM(AU881,AV881,AW881,AX881)</f>
        <v/>
      </c>
      <c r="AZ881" s="68">
        <f>AZ809</f>
        <v/>
      </c>
      <c r="BA881" s="27">
        <f>BA809-AZ809</f>
        <v/>
      </c>
      <c r="BB881" s="68">
        <f>BB809-BA809</f>
        <v/>
      </c>
      <c r="BC881" s="68">
        <f>BC809-BB809</f>
        <v/>
      </c>
      <c r="BD881" s="1110">
        <f>SUM(AZ881,BA881,BB881,BC881)</f>
        <v/>
      </c>
      <c r="BE881" s="68">
        <f>BE809</f>
        <v/>
      </c>
      <c r="BF881" s="27">
        <f>BF809-BE809</f>
        <v/>
      </c>
      <c r="BG881" s="68">
        <f>BG809-BF809</f>
        <v/>
      </c>
      <c r="BH881" s="68">
        <f>BH809-BG809</f>
        <v/>
      </c>
      <c r="BI881" s="1110">
        <f>SUM(BE881,BF881,BG881,BH881)</f>
        <v/>
      </c>
      <c r="BJ881" s="68">
        <f>BJ809</f>
        <v/>
      </c>
      <c r="BK881" s="27">
        <f>BK809-BJ809</f>
        <v/>
      </c>
      <c r="BL881" s="68">
        <f>BL809-BK809</f>
        <v/>
      </c>
      <c r="BM881" s="68">
        <f>BM809-BL809</f>
        <v/>
      </c>
      <c r="BN881" s="1110">
        <f>SUM(BJ881,BK881,BL881,BM881)</f>
        <v/>
      </c>
      <c r="BO881" s="68">
        <f>BO809</f>
        <v/>
      </c>
      <c r="BP881" s="27">
        <f>BP809-BO809</f>
        <v/>
      </c>
      <c r="BQ881" s="68">
        <f>BQ809-BP809</f>
        <v/>
      </c>
      <c r="BR881" s="68">
        <f>BR809-BQ809</f>
        <v/>
      </c>
      <c r="BS881" s="1110">
        <f>SUM(BO881,BP881,BQ881,BR881)</f>
        <v/>
      </c>
      <c r="BT881" s="68">
        <f>BT809</f>
        <v/>
      </c>
      <c r="BU881" s="27">
        <f>BU809-BT809</f>
        <v/>
      </c>
      <c r="BV881" s="588">
        <f>BV809-BU809</f>
        <v/>
      </c>
      <c r="BW881" s="68" t="n"/>
      <c r="BX881" s="1110">
        <f>SUM(BT881,BU881,BV881,BW881)</f>
        <v/>
      </c>
      <c r="BY881" s="68" t="n"/>
      <c r="BZ881" s="68" t="n"/>
      <c r="CA881" s="68" t="n"/>
      <c r="CB881" s="68" t="n"/>
      <c r="CC881" s="1110">
        <f>SUM(BY881,BZ881,CA881,CB881)</f>
        <v/>
      </c>
      <c r="CD881" s="1110" t="n"/>
      <c r="CE881" s="1110" t="n"/>
      <c r="CF881" s="1110" t="n"/>
      <c r="CG881" s="155" t="n"/>
    </row>
    <row r="882">
      <c r="A882" s="59">
        <f>A810</f>
        <v/>
      </c>
      <c r="B882" s="607" t="n"/>
      <c r="C882" s="1123">
        <f>SUM(C872:C881)</f>
        <v/>
      </c>
      <c r="D882" s="1123">
        <f>SUM(D872:D881)</f>
        <v/>
      </c>
      <c r="E882" s="1123">
        <f>SUM(E872:E881)</f>
        <v/>
      </c>
      <c r="F882" s="1123">
        <f>SUM(F872:F881)</f>
        <v/>
      </c>
      <c r="G882" s="60">
        <f>SUM(G872:G881)</f>
        <v/>
      </c>
      <c r="H882" s="60">
        <f>SUM(H872:H881)</f>
        <v/>
      </c>
      <c r="I882" s="60">
        <f>SUM(I872:I881)</f>
        <v/>
      </c>
      <c r="J882" s="60">
        <f>SUM(J872:J881)</f>
        <v/>
      </c>
      <c r="K882" s="1123">
        <f>SUM(K872:K881)</f>
        <v/>
      </c>
      <c r="L882" s="60">
        <f>SUM(L872:L881)</f>
        <v/>
      </c>
      <c r="M882" s="60">
        <f>SUM(M872:M881)</f>
        <v/>
      </c>
      <c r="N882" s="60">
        <f>SUM(N872:N881)</f>
        <v/>
      </c>
      <c r="O882" s="60">
        <f>SUM(O872:O881)</f>
        <v/>
      </c>
      <c r="P882" s="1123">
        <f>SUM(P872:P881)</f>
        <v/>
      </c>
      <c r="Q882" s="60">
        <f>SUM(Q872:Q881)</f>
        <v/>
      </c>
      <c r="R882" s="60">
        <f>SUM(R872:R881)</f>
        <v/>
      </c>
      <c r="S882" s="60">
        <f>SUM(S872:S881)</f>
        <v/>
      </c>
      <c r="T882" s="60">
        <f>SUM(T872:T881)</f>
        <v/>
      </c>
      <c r="U882" s="1123">
        <f>SUM(U872:U881)</f>
        <v/>
      </c>
      <c r="V882" s="60">
        <f>SUM(V872:V881)</f>
        <v/>
      </c>
      <c r="W882" s="60">
        <f>SUM(W872:W881)</f>
        <v/>
      </c>
      <c r="X882" s="60">
        <f>SUM(X872:X881)</f>
        <v/>
      </c>
      <c r="Y882" s="60">
        <f>SUM(Y872:Y881)</f>
        <v/>
      </c>
      <c r="Z882" s="1123">
        <f>SUM(Z872:Z881)</f>
        <v/>
      </c>
      <c r="AA882" s="60">
        <f>SUM(AA872:AA881)</f>
        <v/>
      </c>
      <c r="AB882" s="60">
        <f>SUM(AB872:AB881)</f>
        <v/>
      </c>
      <c r="AC882" s="60">
        <f>SUM(AC872:AC881)</f>
        <v/>
      </c>
      <c r="AD882" s="60">
        <f>SUM(AD872:AD881)</f>
        <v/>
      </c>
      <c r="AE882" s="1123">
        <f>SUM(AE872:AE881)</f>
        <v/>
      </c>
      <c r="AF882" s="60">
        <f>SUM(AF872:AF881)</f>
        <v/>
      </c>
      <c r="AG882" s="60">
        <f>SUM(AG872:AG881)</f>
        <v/>
      </c>
      <c r="AH882" s="60">
        <f>SUM(AH872:AH881)</f>
        <v/>
      </c>
      <c r="AI882" s="60">
        <f>SUM(AI872:AI881)</f>
        <v/>
      </c>
      <c r="AJ882" s="1123">
        <f>SUM(AJ872:AJ881)</f>
        <v/>
      </c>
      <c r="AK882" s="60">
        <f>SUM(AK872:AK881)</f>
        <v/>
      </c>
      <c r="AL882" s="60">
        <f>SUM(AL872:AL881)</f>
        <v/>
      </c>
      <c r="AM882" s="60">
        <f>SUM(AM872:AM881)</f>
        <v/>
      </c>
      <c r="AN882" s="61">
        <f>SUM(AN872:AN881)</f>
        <v/>
      </c>
      <c r="AO882" s="1122">
        <f>SUM(AO872:AO881)</f>
        <v/>
      </c>
      <c r="AP882" s="60">
        <f>SUM(AP872:AP881)</f>
        <v/>
      </c>
      <c r="AQ882" s="60">
        <f>SUM(AQ872:AQ881)</f>
        <v/>
      </c>
      <c r="AR882" s="60">
        <f>SUM(AR872:AR881)</f>
        <v/>
      </c>
      <c r="AS882" s="61">
        <f>SUM(AS872:AS881)</f>
        <v/>
      </c>
      <c r="AT882" s="1122">
        <f>SUM(AT872:AT881)</f>
        <v/>
      </c>
      <c r="AU882" s="60">
        <f>SUM(AU872:AU881)</f>
        <v/>
      </c>
      <c r="AV882" s="60">
        <f>SUM(AV872:AV881)</f>
        <v/>
      </c>
      <c r="AW882" s="60">
        <f>SUM(AW872:AW881)</f>
        <v/>
      </c>
      <c r="AX882" s="61">
        <f>SUM(AX872:AX881)</f>
        <v/>
      </c>
      <c r="AY882" s="1122">
        <f>SUM(AY872:AY881)</f>
        <v/>
      </c>
      <c r="AZ882" s="60">
        <f>SUM(AZ872:AZ881)</f>
        <v/>
      </c>
      <c r="BA882" s="60">
        <f>SUM(BA872:BA881)</f>
        <v/>
      </c>
      <c r="BB882" s="60">
        <f>SUM(BB872:BB881)</f>
        <v/>
      </c>
      <c r="BC882" s="61">
        <f>SUM(BC872:BC881)</f>
        <v/>
      </c>
      <c r="BD882" s="1122">
        <f>SUM(BD872:BD881)</f>
        <v/>
      </c>
      <c r="BE882" s="60">
        <f>SUM(BE872:BE881)</f>
        <v/>
      </c>
      <c r="BF882" s="60">
        <f>SUM(BF872:BF881)</f>
        <v/>
      </c>
      <c r="BG882" s="60">
        <f>SUM(BG872:BG881)</f>
        <v/>
      </c>
      <c r="BH882" s="61">
        <f>SUM(BH872:BH881)</f>
        <v/>
      </c>
      <c r="BI882" s="1122">
        <f>SUM(BI872:BI881)</f>
        <v/>
      </c>
      <c r="BJ882" s="60">
        <f>SUM(BJ872:BJ881)</f>
        <v/>
      </c>
      <c r="BK882" s="60">
        <f>SUM(BK872:BK881)</f>
        <v/>
      </c>
      <c r="BL882" s="60">
        <f>SUM(BL872:BL881)</f>
        <v/>
      </c>
      <c r="BM882" s="61">
        <f>SUM(BM872:BM881)</f>
        <v/>
      </c>
      <c r="BN882" s="1122">
        <f>SUM(BN872:BN881)</f>
        <v/>
      </c>
      <c r="BO882" s="60">
        <f>SUM(BO872:BO881)</f>
        <v/>
      </c>
      <c r="BP882" s="60">
        <f>SUM(BP872:BP881)</f>
        <v/>
      </c>
      <c r="BQ882" s="60">
        <f>SUM(BQ872:BQ881)</f>
        <v/>
      </c>
      <c r="BR882" s="61">
        <f>SUM(BR872:BR881)</f>
        <v/>
      </c>
      <c r="BS882" s="1122">
        <f>SUM(BS872:BS881)</f>
        <v/>
      </c>
      <c r="BT882" s="60">
        <f>SUM(BT872:BT881)</f>
        <v/>
      </c>
      <c r="BU882" s="60">
        <f>SUM(BU872:BU881)</f>
        <v/>
      </c>
      <c r="BV882" s="883">
        <f>SUM(BV872:BV881)</f>
        <v/>
      </c>
      <c r="BW882" s="61">
        <f>SUM(BW872:BW881)</f>
        <v/>
      </c>
      <c r="BX882" s="1122">
        <f>SUM(BX872:BX881)</f>
        <v/>
      </c>
      <c r="BY882" s="61">
        <f>SUM(BY872:BY881)</f>
        <v/>
      </c>
      <c r="BZ882" s="61">
        <f>SUM(BZ872:BZ881)</f>
        <v/>
      </c>
      <c r="CA882" s="61">
        <f>SUM(CA872:CA881)</f>
        <v/>
      </c>
      <c r="CB882" s="61">
        <f>SUM(CB872:CB881)</f>
        <v/>
      </c>
      <c r="CC882" s="1122">
        <f>SUM(CC872:CC881)</f>
        <v/>
      </c>
      <c r="CD882" s="1122">
        <f>SUM(CD872:CD881)</f>
        <v/>
      </c>
      <c r="CE882" s="1122">
        <f>SUM(CE872:CE881)</f>
        <v/>
      </c>
      <c r="CF882" s="1122">
        <f>SUM(CF872:CF881)</f>
        <v/>
      </c>
      <c r="CG882" s="155" t="n"/>
    </row>
    <row r="883">
      <c r="A883" s="600" t="n"/>
      <c r="B883" s="279" t="n"/>
      <c r="C883" s="1125" t="n"/>
      <c r="D883" s="1125" t="n"/>
      <c r="E883" s="1125" t="n"/>
      <c r="F883" s="1125" t="n"/>
      <c r="G883" s="63" t="n"/>
      <c r="H883" s="63" t="n"/>
      <c r="I883" s="63" t="n"/>
      <c r="J883" s="63" t="n"/>
      <c r="K883" s="1125" t="n"/>
      <c r="L883" s="63" t="n"/>
      <c r="M883" s="63" t="n"/>
      <c r="N883" s="63" t="n"/>
      <c r="O883" s="63" t="n"/>
      <c r="P883" s="1125" t="n"/>
      <c r="Q883" s="63" t="n"/>
      <c r="R883" s="63" t="n"/>
      <c r="S883" s="63" t="n"/>
      <c r="T883" s="63" t="n"/>
      <c r="U883" s="1125" t="n"/>
      <c r="V883" s="63" t="n"/>
      <c r="W883" s="63" t="n"/>
      <c r="X883" s="63" t="n"/>
      <c r="Y883" s="63" t="n"/>
      <c r="Z883" s="1125" t="n"/>
      <c r="AA883" s="63" t="n"/>
      <c r="AB883" s="63" t="n"/>
      <c r="AC883" s="63" t="n"/>
      <c r="AD883" s="63" t="n"/>
      <c r="AE883" s="1125" t="n"/>
      <c r="AF883" s="63" t="n"/>
      <c r="AG883" s="63" t="n"/>
      <c r="AH883" s="63" t="n"/>
      <c r="AI883" s="63" t="n"/>
      <c r="AJ883" s="1125" t="n"/>
      <c r="AK883" s="63" t="n"/>
      <c r="AL883" s="63" t="n"/>
      <c r="AM883" s="63" t="n"/>
      <c r="AN883" s="63" t="n"/>
      <c r="AO883" s="1125" t="n"/>
      <c r="AP883" s="63" t="n"/>
      <c r="AQ883" s="63" t="n"/>
      <c r="AR883" s="63" t="n"/>
      <c r="AS883" s="63" t="n"/>
      <c r="AT883" s="1125" t="n"/>
      <c r="AU883" s="63" t="n"/>
      <c r="AV883" s="63" t="n"/>
      <c r="AW883" s="63" t="n"/>
      <c r="AX883" s="63" t="n"/>
      <c r="AY883" s="1125" t="n"/>
      <c r="AZ883" s="63" t="n"/>
      <c r="BA883" s="63" t="n"/>
      <c r="BB883" s="63" t="n"/>
      <c r="BC883" s="63" t="n"/>
      <c r="BD883" s="1125" t="n"/>
      <c r="BE883" s="63" t="n"/>
      <c r="BF883" s="63" t="n"/>
      <c r="BG883" s="63" t="n"/>
      <c r="BH883" s="63" t="n"/>
      <c r="BI883" s="1125" t="n"/>
      <c r="BJ883" s="63" t="n"/>
      <c r="BK883" s="63" t="n"/>
      <c r="BL883" s="63" t="n"/>
      <c r="BM883" s="63" t="n"/>
      <c r="BN883" s="1125" t="n"/>
      <c r="BO883" s="63" t="n"/>
      <c r="BP883" s="63" t="n"/>
      <c r="BQ883" s="63" t="n"/>
      <c r="BR883" s="63" t="n"/>
      <c r="BS883" s="1125" t="n"/>
      <c r="BT883" s="63" t="n"/>
      <c r="BU883" s="63" t="n"/>
      <c r="BV883" s="587" t="n"/>
      <c r="BW883" s="63" t="n"/>
      <c r="BX883" s="1125" t="n"/>
      <c r="BY883" s="63" t="n"/>
      <c r="BZ883" s="63" t="n"/>
      <c r="CA883" s="63" t="n"/>
      <c r="CB883" s="63" t="n"/>
      <c r="CC883" s="1125" t="n"/>
      <c r="CD883" s="1125" t="n"/>
      <c r="CE883" s="1125" t="n"/>
      <c r="CF883" s="1125" t="n"/>
      <c r="CG883" s="155" t="n"/>
    </row>
    <row r="884">
      <c r="A884" s="62">
        <f>A812</f>
        <v/>
      </c>
      <c r="B884" s="279" t="n"/>
      <c r="C884" s="1125" t="n"/>
      <c r="D884" s="1125" t="n"/>
      <c r="E884" s="1125" t="n"/>
      <c r="F884" s="1125" t="n"/>
      <c r="G884" s="63" t="n"/>
      <c r="H884" s="63" t="n"/>
      <c r="I884" s="63" t="n"/>
      <c r="J884" s="63" t="n"/>
      <c r="K884" s="1125" t="n"/>
      <c r="L884" s="63" t="n"/>
      <c r="M884" s="63" t="n"/>
      <c r="N884" s="63" t="n"/>
      <c r="O884" s="63" t="n"/>
      <c r="P884" s="1125" t="n"/>
      <c r="Q884" s="63" t="n"/>
      <c r="R884" s="63" t="n"/>
      <c r="S884" s="63" t="n"/>
      <c r="T884" s="63" t="n"/>
      <c r="U884" s="1125" t="n"/>
      <c r="V884" s="63" t="n"/>
      <c r="W884" s="63" t="n"/>
      <c r="X884" s="63" t="n"/>
      <c r="Y884" s="63" t="n"/>
      <c r="Z884" s="1125" t="n"/>
      <c r="AA884" s="63" t="n"/>
      <c r="AB884" s="63" t="n"/>
      <c r="AC884" s="63" t="n"/>
      <c r="AD884" s="63" t="n"/>
      <c r="AE884" s="1125" t="n"/>
      <c r="AF884" s="63" t="n"/>
      <c r="AG884" s="63" t="n"/>
      <c r="AH884" s="63" t="n"/>
      <c r="AI884" s="63" t="n"/>
      <c r="AJ884" s="1125" t="n"/>
      <c r="AK884" s="63" t="n"/>
      <c r="AL884" s="63" t="n"/>
      <c r="AM884" s="63" t="n"/>
      <c r="AN884" s="63" t="n"/>
      <c r="AO884" s="1125" t="n"/>
      <c r="AP884" s="63" t="n"/>
      <c r="AQ884" s="63" t="n"/>
      <c r="AR884" s="63" t="n"/>
      <c r="AS884" s="63" t="n"/>
      <c r="AT884" s="1125" t="n"/>
      <c r="AU884" s="63" t="n"/>
      <c r="AV884" s="63" t="n"/>
      <c r="AW884" s="63" t="n"/>
      <c r="AX884" s="63" t="n"/>
      <c r="AY884" s="1125" t="n"/>
      <c r="AZ884" s="63" t="n"/>
      <c r="BA884" s="63" t="n"/>
      <c r="BB884" s="63" t="n"/>
      <c r="BC884" s="63" t="n"/>
      <c r="BD884" s="1125" t="n"/>
      <c r="BE884" s="63" t="n"/>
      <c r="BF884" s="63" t="n"/>
      <c r="BG884" s="63" t="n"/>
      <c r="BH884" s="63" t="n"/>
      <c r="BI884" s="1125" t="n"/>
      <c r="BJ884" s="63" t="n"/>
      <c r="BK884" s="63" t="n"/>
      <c r="BL884" s="63" t="n"/>
      <c r="BM884" s="63" t="n"/>
      <c r="BN884" s="1125" t="n"/>
      <c r="BO884" s="63" t="n"/>
      <c r="BP884" s="63" t="n"/>
      <c r="BQ884" s="63" t="n"/>
      <c r="BR884" s="63" t="n"/>
      <c r="BS884" s="1125" t="n"/>
      <c r="BT884" s="63" t="n"/>
      <c r="BU884" s="63" t="n"/>
      <c r="BV884" s="587" t="n"/>
      <c r="BW884" s="63" t="n"/>
      <c r="BX884" s="1125" t="n"/>
      <c r="BY884" s="63" t="n"/>
      <c r="BZ884" s="63" t="n"/>
      <c r="CA884" s="63" t="n"/>
      <c r="CB884" s="63" t="n"/>
      <c r="CC884" s="1125" t="n"/>
      <c r="CD884" s="1125" t="n"/>
      <c r="CE884" s="1125" t="n"/>
      <c r="CF884" s="1125" t="n"/>
      <c r="CG884" s="155" t="n"/>
    </row>
    <row r="885">
      <c r="A885" s="99">
        <f>A813</f>
        <v/>
      </c>
      <c r="B885" s="68" t="n"/>
      <c r="C885" s="1110">
        <f>C813</f>
        <v/>
      </c>
      <c r="D885" s="1110">
        <f>D813</f>
        <v/>
      </c>
      <c r="E885" s="1110">
        <f>E813</f>
        <v/>
      </c>
      <c r="F885" s="1110">
        <f>F813</f>
        <v/>
      </c>
      <c r="G885" s="68">
        <f>G813</f>
        <v/>
      </c>
      <c r="H885" s="68">
        <f>H813-G813</f>
        <v/>
      </c>
      <c r="I885" s="68">
        <f>I813-H813</f>
        <v/>
      </c>
      <c r="J885" s="68">
        <f>J813-I813</f>
        <v/>
      </c>
      <c r="K885" s="1110">
        <f>K813</f>
        <v/>
      </c>
      <c r="L885" s="68">
        <f>L813</f>
        <v/>
      </c>
      <c r="M885" s="68">
        <f>M813-L813</f>
        <v/>
      </c>
      <c r="N885" s="68">
        <f>N813-M813</f>
        <v/>
      </c>
      <c r="O885" s="68">
        <f>O813-N813</f>
        <v/>
      </c>
      <c r="P885" s="1110">
        <f>P813</f>
        <v/>
      </c>
      <c r="Q885" s="68">
        <f>Q813</f>
        <v/>
      </c>
      <c r="R885" s="68">
        <f>R813-Q813</f>
        <v/>
      </c>
      <c r="S885" s="68">
        <f>S813-R813</f>
        <v/>
      </c>
      <c r="T885" s="68">
        <f>T813-S813</f>
        <v/>
      </c>
      <c r="U885" s="1110">
        <f>U813</f>
        <v/>
      </c>
      <c r="V885" s="68">
        <f>V813</f>
        <v/>
      </c>
      <c r="W885" s="68">
        <f>W813-V813</f>
        <v/>
      </c>
      <c r="X885" s="68">
        <f>X813-W813</f>
        <v/>
      </c>
      <c r="Y885" s="68">
        <f>Y813-X813</f>
        <v/>
      </c>
      <c r="Z885" s="1110">
        <f>SUM(V885,W885,X885,Y885)</f>
        <v/>
      </c>
      <c r="AA885" s="68">
        <f>AA813</f>
        <v/>
      </c>
      <c r="AB885" s="68">
        <f>AB813-AA813</f>
        <v/>
      </c>
      <c r="AC885" s="68">
        <f>AC813-AB813</f>
        <v/>
      </c>
      <c r="AD885" s="68">
        <f>AD813-AC813</f>
        <v/>
      </c>
      <c r="AE885" s="1110">
        <f>SUM(AA885,AB885,AC885,AD885)</f>
        <v/>
      </c>
      <c r="AF885" s="68">
        <f>AF813</f>
        <v/>
      </c>
      <c r="AG885" s="68">
        <f>AG813-AF813</f>
        <v/>
      </c>
      <c r="AH885" s="68">
        <f>AH813-AG813</f>
        <v/>
      </c>
      <c r="AI885" s="68">
        <f>AI813-AH813</f>
        <v/>
      </c>
      <c r="AJ885" s="1110">
        <f>SUM(AF885,AG885,AH885,AI885)</f>
        <v/>
      </c>
      <c r="AK885" s="68">
        <f>AK813</f>
        <v/>
      </c>
      <c r="AL885" s="68">
        <f>AL813-AK813</f>
        <v/>
      </c>
      <c r="AM885" s="68">
        <f>AM813-AL813</f>
        <v/>
      </c>
      <c r="AN885" s="68">
        <f>AN813-AM813</f>
        <v/>
      </c>
      <c r="AO885" s="1110">
        <f>SUM(AK885,AL885,AM885,AN885)</f>
        <v/>
      </c>
      <c r="AP885" s="68">
        <f>AP813</f>
        <v/>
      </c>
      <c r="AQ885" s="27">
        <f>AQ813-AP813</f>
        <v/>
      </c>
      <c r="AR885" s="68">
        <f>AR813-AQ813</f>
        <v/>
      </c>
      <c r="AS885" s="68">
        <f>AS813-AR813</f>
        <v/>
      </c>
      <c r="AT885" s="1110">
        <f>SUM(AP885,AQ885,AR885,AS885)</f>
        <v/>
      </c>
      <c r="AU885" s="68">
        <f>AU813</f>
        <v/>
      </c>
      <c r="AV885" s="27">
        <f>AV813-AU813</f>
        <v/>
      </c>
      <c r="AW885" s="68">
        <f>AW813-AV813</f>
        <v/>
      </c>
      <c r="AX885" s="68">
        <f>AX813-AW813</f>
        <v/>
      </c>
      <c r="AY885" s="1110">
        <f>SUM(AU885,AV885,AW885,AX885)</f>
        <v/>
      </c>
      <c r="AZ885" s="68">
        <f>AZ813</f>
        <v/>
      </c>
      <c r="BA885" s="27">
        <f>BA813-AZ813</f>
        <v/>
      </c>
      <c r="BB885" s="68">
        <f>BB813-BA813</f>
        <v/>
      </c>
      <c r="BC885" s="68">
        <f>BC813-BB813</f>
        <v/>
      </c>
      <c r="BD885" s="1110">
        <f>SUM(AZ885,BA885,BB885,BC885)</f>
        <v/>
      </c>
      <c r="BE885" s="68">
        <f>BE813</f>
        <v/>
      </c>
      <c r="BF885" s="27">
        <f>BF813-BE813</f>
        <v/>
      </c>
      <c r="BG885" s="68">
        <f>BG813-BF813</f>
        <v/>
      </c>
      <c r="BH885" s="68">
        <f>BH813-BG813</f>
        <v/>
      </c>
      <c r="BI885" s="1110">
        <f>SUM(BE885,BF885,BG885,BH885)</f>
        <v/>
      </c>
      <c r="BJ885" s="68">
        <f>BJ813</f>
        <v/>
      </c>
      <c r="BK885" s="27">
        <f>BK813-BJ813</f>
        <v/>
      </c>
      <c r="BL885" s="68">
        <f>BL813-BK813</f>
        <v/>
      </c>
      <c r="BM885" s="68">
        <f>BM813-BL813</f>
        <v/>
      </c>
      <c r="BN885" s="1110">
        <f>SUM(BJ885,BK885,BL885,BM885)</f>
        <v/>
      </c>
      <c r="BO885" s="68">
        <f>BO813</f>
        <v/>
      </c>
      <c r="BP885" s="27">
        <f>BP813-BO813</f>
        <v/>
      </c>
      <c r="BQ885" s="68">
        <f>BQ813-BP813</f>
        <v/>
      </c>
      <c r="BR885" s="68">
        <f>BR813-BQ813</f>
        <v/>
      </c>
      <c r="BS885" s="1110">
        <f>SUM(BO885,BP885,BQ885,BR885)</f>
        <v/>
      </c>
      <c r="BT885" s="68">
        <f>BT813</f>
        <v/>
      </c>
      <c r="BU885" s="27">
        <f>BU813-BT813</f>
        <v/>
      </c>
      <c r="BV885" s="588">
        <f>BV813-BU813</f>
        <v/>
      </c>
      <c r="BW885" s="68" t="n"/>
      <c r="BX885" s="1110">
        <f>SUM(BT885,BU885,BV885,BW885)</f>
        <v/>
      </c>
      <c r="BY885" s="68" t="n"/>
      <c r="BZ885" s="68" t="n"/>
      <c r="CA885" s="68" t="n"/>
      <c r="CB885" s="68" t="n"/>
      <c r="CC885" s="1110">
        <f>SUM(BY885,BZ885,CA885,CB885)</f>
        <v/>
      </c>
      <c r="CD885" s="1110" t="n"/>
      <c r="CE885" s="1110" t="n"/>
      <c r="CF885" s="1110" t="n"/>
      <c r="CG885" s="155" t="n"/>
    </row>
    <row r="886">
      <c r="A886" s="99">
        <f>A814</f>
        <v/>
      </c>
      <c r="B886" s="68" t="n"/>
      <c r="C886" s="1110">
        <f>C814</f>
        <v/>
      </c>
      <c r="D886" s="1110">
        <f>D814</f>
        <v/>
      </c>
      <c r="E886" s="1110">
        <f>E814</f>
        <v/>
      </c>
      <c r="F886" s="1110">
        <f>F814</f>
        <v/>
      </c>
      <c r="G886" s="68">
        <f>G814</f>
        <v/>
      </c>
      <c r="H886" s="68">
        <f>H814-G814</f>
        <v/>
      </c>
      <c r="I886" s="68">
        <f>I814-H814</f>
        <v/>
      </c>
      <c r="J886" s="68">
        <f>J814-I814</f>
        <v/>
      </c>
      <c r="K886" s="1110">
        <f>K814</f>
        <v/>
      </c>
      <c r="L886" s="68">
        <f>L814</f>
        <v/>
      </c>
      <c r="M886" s="68">
        <f>M814-L814</f>
        <v/>
      </c>
      <c r="N886" s="68">
        <f>N814-M814</f>
        <v/>
      </c>
      <c r="O886" s="68">
        <f>O814-N814</f>
        <v/>
      </c>
      <c r="P886" s="1110">
        <f>P814</f>
        <v/>
      </c>
      <c r="Q886" s="68">
        <f>Q814</f>
        <v/>
      </c>
      <c r="R886" s="68">
        <f>R814-Q814</f>
        <v/>
      </c>
      <c r="S886" s="68">
        <f>S814-R814</f>
        <v/>
      </c>
      <c r="T886" s="68">
        <f>T814-S814</f>
        <v/>
      </c>
      <c r="U886" s="1110">
        <f>U814</f>
        <v/>
      </c>
      <c r="V886" s="68">
        <f>V814</f>
        <v/>
      </c>
      <c r="W886" s="68">
        <f>W814-V814</f>
        <v/>
      </c>
      <c r="X886" s="68">
        <f>X814-W814</f>
        <v/>
      </c>
      <c r="Y886" s="68">
        <f>Y814-X814</f>
        <v/>
      </c>
      <c r="Z886" s="1110">
        <f>SUM(V886,W886,X886,Y886)</f>
        <v/>
      </c>
      <c r="AA886" s="68">
        <f>AA814</f>
        <v/>
      </c>
      <c r="AB886" s="68">
        <f>AB814-AA814</f>
        <v/>
      </c>
      <c r="AC886" s="68">
        <f>AC814-AB814</f>
        <v/>
      </c>
      <c r="AD886" s="68">
        <f>AD814-AC814</f>
        <v/>
      </c>
      <c r="AE886" s="1110">
        <f>SUM(AA886,AB886,AC886,AD886)</f>
        <v/>
      </c>
      <c r="AF886" s="68">
        <f>AF814</f>
        <v/>
      </c>
      <c r="AG886" s="68">
        <f>AG814-AF814</f>
        <v/>
      </c>
      <c r="AH886" s="68">
        <f>AH814-AG814</f>
        <v/>
      </c>
      <c r="AI886" s="68">
        <f>AI814-AH814</f>
        <v/>
      </c>
      <c r="AJ886" s="1110">
        <f>SUM(AF886,AG886,AH886,AI886)</f>
        <v/>
      </c>
      <c r="AK886" s="68">
        <f>AK814</f>
        <v/>
      </c>
      <c r="AL886" s="68">
        <f>AL814-AK814</f>
        <v/>
      </c>
      <c r="AM886" s="68">
        <f>AM814-AL814</f>
        <v/>
      </c>
      <c r="AN886" s="68">
        <f>AN814-AM814</f>
        <v/>
      </c>
      <c r="AO886" s="1110">
        <f>SUM(AK886,AL886,AM886,AN886)</f>
        <v/>
      </c>
      <c r="AP886" s="68">
        <f>AP814</f>
        <v/>
      </c>
      <c r="AQ886" s="27">
        <f>AQ814-AP814</f>
        <v/>
      </c>
      <c r="AR886" s="68">
        <f>AR814-AQ814</f>
        <v/>
      </c>
      <c r="AS886" s="68">
        <f>AS814-AR814</f>
        <v/>
      </c>
      <c r="AT886" s="1110">
        <f>SUM(AP886,AQ886,AR886,AS886)</f>
        <v/>
      </c>
      <c r="AU886" s="68">
        <f>AU814</f>
        <v/>
      </c>
      <c r="AV886" s="27">
        <f>AV814-AU814</f>
        <v/>
      </c>
      <c r="AW886" s="68">
        <f>AW814-AV814</f>
        <v/>
      </c>
      <c r="AX886" s="68">
        <f>AX814-AW814</f>
        <v/>
      </c>
      <c r="AY886" s="1110">
        <f>SUM(AU886,AV886,AW886,AX886)</f>
        <v/>
      </c>
      <c r="AZ886" s="68">
        <f>AZ814</f>
        <v/>
      </c>
      <c r="BA886" s="27">
        <f>BA814-AZ814</f>
        <v/>
      </c>
      <c r="BB886" s="68">
        <f>BB814-BA814</f>
        <v/>
      </c>
      <c r="BC886" s="68">
        <f>BC814-BB814</f>
        <v/>
      </c>
      <c r="BD886" s="1110">
        <f>SUM(AZ886,BA886,BB886,BC886)</f>
        <v/>
      </c>
      <c r="BE886" s="68">
        <f>BE814</f>
        <v/>
      </c>
      <c r="BF886" s="27">
        <f>BF814-BE814</f>
        <v/>
      </c>
      <c r="BG886" s="68">
        <f>BG814-BF814</f>
        <v/>
      </c>
      <c r="BH886" s="68">
        <f>BH814-BG814</f>
        <v/>
      </c>
      <c r="BI886" s="1110">
        <f>SUM(BE886,BF886,BG886,BH886)</f>
        <v/>
      </c>
      <c r="BJ886" s="68">
        <f>BJ814</f>
        <v/>
      </c>
      <c r="BK886" s="27">
        <f>BK814-BJ814</f>
        <v/>
      </c>
      <c r="BL886" s="68">
        <f>BL814-BK814</f>
        <v/>
      </c>
      <c r="BM886" s="68">
        <f>BM814-BL814</f>
        <v/>
      </c>
      <c r="BN886" s="1110">
        <f>SUM(BJ886,BK886,BL886,BM886)</f>
        <v/>
      </c>
      <c r="BO886" s="68">
        <f>BO814</f>
        <v/>
      </c>
      <c r="BP886" s="27">
        <f>BP814-BO814</f>
        <v/>
      </c>
      <c r="BQ886" s="68">
        <f>BQ814-BP814</f>
        <v/>
      </c>
      <c r="BR886" s="68">
        <f>BR814-BQ814</f>
        <v/>
      </c>
      <c r="BS886" s="1110">
        <f>SUM(BO886,BP886,BQ886,BR886)</f>
        <v/>
      </c>
      <c r="BT886" s="68">
        <f>BT814</f>
        <v/>
      </c>
      <c r="BU886" s="27">
        <f>BU814-BT814</f>
        <v/>
      </c>
      <c r="BV886" s="588">
        <f>BV814-BU814</f>
        <v/>
      </c>
      <c r="BW886" s="68" t="n"/>
      <c r="BX886" s="1110">
        <f>SUM(BT886,BU886,BV886,BW886)</f>
        <v/>
      </c>
      <c r="BY886" s="68" t="n"/>
      <c r="BZ886" s="68" t="n"/>
      <c r="CA886" s="68" t="n"/>
      <c r="CB886" s="68" t="n"/>
      <c r="CC886" s="1110">
        <f>SUM(BY886,BZ886,CA886,CB886)</f>
        <v/>
      </c>
      <c r="CD886" s="1110" t="n"/>
      <c r="CE886" s="1110" t="n"/>
      <c r="CF886" s="1110" t="n"/>
      <c r="CG886" s="155" t="n"/>
    </row>
    <row r="887">
      <c r="A887" s="99">
        <f>A815</f>
        <v/>
      </c>
      <c r="B887" s="68" t="n"/>
      <c r="C887" s="1110">
        <f>C815</f>
        <v/>
      </c>
      <c r="D887" s="1110">
        <f>D815</f>
        <v/>
      </c>
      <c r="E887" s="1110">
        <f>E815</f>
        <v/>
      </c>
      <c r="F887" s="1110">
        <f>F815</f>
        <v/>
      </c>
      <c r="G887" s="68">
        <f>G815</f>
        <v/>
      </c>
      <c r="H887" s="68">
        <f>H815-G815</f>
        <v/>
      </c>
      <c r="I887" s="68">
        <f>I815-H815</f>
        <v/>
      </c>
      <c r="J887" s="68">
        <f>J815-I815</f>
        <v/>
      </c>
      <c r="K887" s="1110">
        <f>K815</f>
        <v/>
      </c>
      <c r="L887" s="68">
        <f>L815</f>
        <v/>
      </c>
      <c r="M887" s="68">
        <f>M815-L815</f>
        <v/>
      </c>
      <c r="N887" s="68">
        <f>N815-M815</f>
        <v/>
      </c>
      <c r="O887" s="68">
        <f>O815-N815</f>
        <v/>
      </c>
      <c r="P887" s="1110">
        <f>P815</f>
        <v/>
      </c>
      <c r="Q887" s="68">
        <f>Q815</f>
        <v/>
      </c>
      <c r="R887" s="68">
        <f>R815-Q815</f>
        <v/>
      </c>
      <c r="S887" s="68">
        <f>S815-R815</f>
        <v/>
      </c>
      <c r="T887" s="68">
        <f>T815-S815</f>
        <v/>
      </c>
      <c r="U887" s="1110">
        <f>U815</f>
        <v/>
      </c>
      <c r="V887" s="68">
        <f>V815</f>
        <v/>
      </c>
      <c r="W887" s="68">
        <f>W815-V815</f>
        <v/>
      </c>
      <c r="X887" s="68">
        <f>X815-W815</f>
        <v/>
      </c>
      <c r="Y887" s="68">
        <f>Y815-X815</f>
        <v/>
      </c>
      <c r="Z887" s="1110">
        <f>SUM(V887,W887,X887,Y887)</f>
        <v/>
      </c>
      <c r="AA887" s="68">
        <f>AA815</f>
        <v/>
      </c>
      <c r="AB887" s="68">
        <f>AB815-AA815</f>
        <v/>
      </c>
      <c r="AC887" s="68">
        <f>AC815-AB815</f>
        <v/>
      </c>
      <c r="AD887" s="68">
        <f>AD815-AC815</f>
        <v/>
      </c>
      <c r="AE887" s="1110">
        <f>SUM(AA887,AB887,AC887,AD887)</f>
        <v/>
      </c>
      <c r="AF887" s="68">
        <f>AF815</f>
        <v/>
      </c>
      <c r="AG887" s="68">
        <f>AG815-AF815</f>
        <v/>
      </c>
      <c r="AH887" s="68">
        <f>AH815-AG815</f>
        <v/>
      </c>
      <c r="AI887" s="68">
        <f>AI815-AH815</f>
        <v/>
      </c>
      <c r="AJ887" s="1110">
        <f>SUM(AF887,AG887,AH887,AI887)</f>
        <v/>
      </c>
      <c r="AK887" s="68">
        <f>AK815</f>
        <v/>
      </c>
      <c r="AL887" s="68">
        <f>AL815-AK815</f>
        <v/>
      </c>
      <c r="AM887" s="68">
        <f>AM815-AL815</f>
        <v/>
      </c>
      <c r="AN887" s="68">
        <f>AN815-AM815</f>
        <v/>
      </c>
      <c r="AO887" s="1110">
        <f>SUM(AK887,AL887,AM887,AN887)</f>
        <v/>
      </c>
      <c r="AP887" s="68">
        <f>AP815</f>
        <v/>
      </c>
      <c r="AQ887" s="68">
        <f>AQ815-AP815</f>
        <v/>
      </c>
      <c r="AR887" s="68">
        <f>AR815-AQ815</f>
        <v/>
      </c>
      <c r="AS887" s="68">
        <f>AS815-AR815</f>
        <v/>
      </c>
      <c r="AT887" s="1110">
        <f>SUM(AP887,AQ887,AR887,AS887)</f>
        <v/>
      </c>
      <c r="AU887" s="68">
        <f>AU815</f>
        <v/>
      </c>
      <c r="AV887" s="68">
        <f>AV815-AU815</f>
        <v/>
      </c>
      <c r="AW887" s="68">
        <f>AW815-AV815</f>
        <v/>
      </c>
      <c r="AX887" s="68">
        <f>AX815-AW815</f>
        <v/>
      </c>
      <c r="AY887" s="1110">
        <f>SUM(AU887,AV887,AW887,AX887)</f>
        <v/>
      </c>
      <c r="AZ887" s="68">
        <f>AZ815</f>
        <v/>
      </c>
      <c r="BA887" s="68">
        <f>BA815-AZ815</f>
        <v/>
      </c>
      <c r="BB887" s="68">
        <f>BB815-BA815</f>
        <v/>
      </c>
      <c r="BC887" s="68">
        <f>BC815-BB815</f>
        <v/>
      </c>
      <c r="BD887" s="1110">
        <f>SUM(AZ887,BA887,BB887,BC887)</f>
        <v/>
      </c>
      <c r="BE887" s="68">
        <f>BE815</f>
        <v/>
      </c>
      <c r="BF887" s="68">
        <f>BF815-BE815</f>
        <v/>
      </c>
      <c r="BG887" s="68">
        <f>BG815-BF815</f>
        <v/>
      </c>
      <c r="BH887" s="68">
        <f>BH815-BG815</f>
        <v/>
      </c>
      <c r="BI887" s="1110">
        <f>SUM(BE887,BF887,BG887,BH887)</f>
        <v/>
      </c>
      <c r="BJ887" s="68">
        <f>BJ815</f>
        <v/>
      </c>
      <c r="BK887" s="68">
        <f>BK815-BJ815</f>
        <v/>
      </c>
      <c r="BL887" s="68">
        <f>BL815-BK815</f>
        <v/>
      </c>
      <c r="BM887" s="68">
        <f>BM815-BL815</f>
        <v/>
      </c>
      <c r="BN887" s="1110">
        <f>SUM(BJ887,BK887,BL887,BM887)</f>
        <v/>
      </c>
      <c r="BO887" s="68">
        <f>BO815</f>
        <v/>
      </c>
      <c r="BP887" s="68">
        <f>BP815-BO815</f>
        <v/>
      </c>
      <c r="BQ887" s="68">
        <f>BQ815-BP815</f>
        <v/>
      </c>
      <c r="BR887" s="68">
        <f>BR815-BQ815</f>
        <v/>
      </c>
      <c r="BS887" s="1110">
        <f>SUM(BO887,BP887,BQ887,BR887)</f>
        <v/>
      </c>
      <c r="BT887" s="68">
        <f>BT815</f>
        <v/>
      </c>
      <c r="BU887" s="68">
        <f>BU815-BT815</f>
        <v/>
      </c>
      <c r="BV887" s="588">
        <f>BV815-BU815</f>
        <v/>
      </c>
      <c r="BW887" s="68">
        <f>BW709</f>
        <v/>
      </c>
      <c r="BX887" s="1110">
        <f>SUM(BT887,BU887,BV887,BW887)</f>
        <v/>
      </c>
      <c r="BY887" s="68">
        <f>BY709</f>
        <v/>
      </c>
      <c r="BZ887" s="68">
        <f>BZ709</f>
        <v/>
      </c>
      <c r="CA887" s="68">
        <f>CA709</f>
        <v/>
      </c>
      <c r="CB887" s="68">
        <f>CB709</f>
        <v/>
      </c>
      <c r="CC887" s="1110">
        <f>SUM(BY887,BZ887,CA887,CB887)</f>
        <v/>
      </c>
      <c r="CD887" s="1110">
        <f>CD709</f>
        <v/>
      </c>
      <c r="CE887" s="1110">
        <f>CE709</f>
        <v/>
      </c>
      <c r="CF887" s="1110">
        <f>CF709</f>
        <v/>
      </c>
      <c r="CG887" s="155" t="n"/>
    </row>
    <row r="888">
      <c r="A888" s="99">
        <f>A816</f>
        <v/>
      </c>
      <c r="B888" s="68" t="n"/>
      <c r="C888" s="1110">
        <f>C816</f>
        <v/>
      </c>
      <c r="D888" s="1110">
        <f>D816</f>
        <v/>
      </c>
      <c r="E888" s="1110">
        <f>E816</f>
        <v/>
      </c>
      <c r="F888" s="1110">
        <f>F816</f>
        <v/>
      </c>
      <c r="G888" s="68">
        <f>G816</f>
        <v/>
      </c>
      <c r="H888" s="68">
        <f>H816-G816</f>
        <v/>
      </c>
      <c r="I888" s="68">
        <f>I816-H816</f>
        <v/>
      </c>
      <c r="J888" s="68">
        <f>J816-I816</f>
        <v/>
      </c>
      <c r="K888" s="1110">
        <f>K816</f>
        <v/>
      </c>
      <c r="L888" s="68">
        <f>L816</f>
        <v/>
      </c>
      <c r="M888" s="68">
        <f>M816-L816</f>
        <v/>
      </c>
      <c r="N888" s="68">
        <f>N816-M816</f>
        <v/>
      </c>
      <c r="O888" s="68">
        <f>O816-N816</f>
        <v/>
      </c>
      <c r="P888" s="1110">
        <f>P816</f>
        <v/>
      </c>
      <c r="Q888" s="68">
        <f>Q816</f>
        <v/>
      </c>
      <c r="R888" s="68">
        <f>R816-Q816</f>
        <v/>
      </c>
      <c r="S888" s="68">
        <f>S816-R816</f>
        <v/>
      </c>
      <c r="T888" s="68">
        <f>T816-S816</f>
        <v/>
      </c>
      <c r="U888" s="1110">
        <f>U816</f>
        <v/>
      </c>
      <c r="V888" s="68">
        <f>V816</f>
        <v/>
      </c>
      <c r="W888" s="68">
        <f>W816-V816</f>
        <v/>
      </c>
      <c r="X888" s="68">
        <f>X816-W816</f>
        <v/>
      </c>
      <c r="Y888" s="68">
        <f>Y816-X816</f>
        <v/>
      </c>
      <c r="Z888" s="1110">
        <f>SUM(V888,W888,X888,Y888)</f>
        <v/>
      </c>
      <c r="AA888" s="68">
        <f>AA816</f>
        <v/>
      </c>
      <c r="AB888" s="68">
        <f>AB816-AA816</f>
        <v/>
      </c>
      <c r="AC888" s="68">
        <f>AC816-AB816</f>
        <v/>
      </c>
      <c r="AD888" s="68">
        <f>AD816-AC816</f>
        <v/>
      </c>
      <c r="AE888" s="1110">
        <f>SUM(AA888,AB888,AC888,AD888)</f>
        <v/>
      </c>
      <c r="AF888" s="68">
        <f>AF816</f>
        <v/>
      </c>
      <c r="AG888" s="68">
        <f>AG816-AF816</f>
        <v/>
      </c>
      <c r="AH888" s="68">
        <f>AH816-AG816</f>
        <v/>
      </c>
      <c r="AI888" s="68">
        <f>AI816-AH816</f>
        <v/>
      </c>
      <c r="AJ888" s="1110">
        <f>SUM(AF888,AG888,AH888,AI888)</f>
        <v/>
      </c>
      <c r="AK888" s="68">
        <f>AK816</f>
        <v/>
      </c>
      <c r="AL888" s="68">
        <f>AL816-AK816</f>
        <v/>
      </c>
      <c r="AM888" s="68">
        <f>AM816-AL816</f>
        <v/>
      </c>
      <c r="AN888" s="68">
        <f>AN816-AM816</f>
        <v/>
      </c>
      <c r="AO888" s="1110">
        <f>SUM(AK888,AL888,AM888,AN888)</f>
        <v/>
      </c>
      <c r="AP888" s="68">
        <f>AP816</f>
        <v/>
      </c>
      <c r="AQ888" s="27">
        <f>AQ816-AP816</f>
        <v/>
      </c>
      <c r="AR888" s="68">
        <f>AR816-AQ816</f>
        <v/>
      </c>
      <c r="AS888" s="68">
        <f>AS816-AR816</f>
        <v/>
      </c>
      <c r="AT888" s="1110">
        <f>SUM(AP888,AQ888,AR888,AS888)</f>
        <v/>
      </c>
      <c r="AU888" s="68">
        <f>AU816</f>
        <v/>
      </c>
      <c r="AV888" s="27">
        <f>AV816-AU816</f>
        <v/>
      </c>
      <c r="AW888" s="68">
        <f>AW816-AV816</f>
        <v/>
      </c>
      <c r="AX888" s="68">
        <f>AX816-AW816</f>
        <v/>
      </c>
      <c r="AY888" s="1110">
        <f>SUM(AU888,AV888,AW888,AX888)</f>
        <v/>
      </c>
      <c r="AZ888" s="68">
        <f>AZ816</f>
        <v/>
      </c>
      <c r="BA888" s="27">
        <f>BA816-AZ816</f>
        <v/>
      </c>
      <c r="BB888" s="68">
        <f>BB816-BA816</f>
        <v/>
      </c>
      <c r="BC888" s="68">
        <f>BC816-BB816</f>
        <v/>
      </c>
      <c r="BD888" s="1110">
        <f>SUM(AZ888,BA888,BB888,BC888)</f>
        <v/>
      </c>
      <c r="BE888" s="68">
        <f>BE816</f>
        <v/>
      </c>
      <c r="BF888" s="27">
        <f>BF816-BE816</f>
        <v/>
      </c>
      <c r="BG888" s="68">
        <f>BG816-BF816</f>
        <v/>
      </c>
      <c r="BH888" s="68">
        <f>BH816-BG816</f>
        <v/>
      </c>
      <c r="BI888" s="1110">
        <f>SUM(BE888,BF888,BG888,BH888)</f>
        <v/>
      </c>
      <c r="BJ888" s="68">
        <f>BJ816</f>
        <v/>
      </c>
      <c r="BK888" s="27">
        <f>BK816-BJ816</f>
        <v/>
      </c>
      <c r="BL888" s="68">
        <f>BL816-BK816</f>
        <v/>
      </c>
      <c r="BM888" s="68">
        <f>BM816-BL816</f>
        <v/>
      </c>
      <c r="BN888" s="1110">
        <f>SUM(BJ888,BK888,BL888,BM888)</f>
        <v/>
      </c>
      <c r="BO888" s="68">
        <f>BO816</f>
        <v/>
      </c>
      <c r="BP888" s="27">
        <f>BP816-BO816</f>
        <v/>
      </c>
      <c r="BQ888" s="68">
        <f>BQ816-BP816</f>
        <v/>
      </c>
      <c r="BR888" s="68">
        <f>BR816-BQ816</f>
        <v/>
      </c>
      <c r="BS888" s="1110">
        <f>SUM(BO888,BP888,BQ888,BR888)</f>
        <v/>
      </c>
      <c r="BT888" s="68">
        <f>BT816</f>
        <v/>
      </c>
      <c r="BU888" s="27">
        <f>BU816-BT816</f>
        <v/>
      </c>
      <c r="BV888" s="588">
        <f>BV816-BU816</f>
        <v/>
      </c>
      <c r="BW888" s="68" t="n"/>
      <c r="BX888" s="1110">
        <f>SUM(BT888,BU888,BV888,BW888)</f>
        <v/>
      </c>
      <c r="BY888" s="68" t="n"/>
      <c r="BZ888" s="68" t="n"/>
      <c r="CA888" s="68" t="n"/>
      <c r="CB888" s="68" t="n"/>
      <c r="CC888" s="1110">
        <f>SUM(BY888,BZ888,CA888,CB888)</f>
        <v/>
      </c>
      <c r="CD888" s="1110" t="n"/>
      <c r="CE888" s="1110" t="n"/>
      <c r="CF888" s="1110" t="n"/>
      <c r="CG888" s="155" t="n"/>
    </row>
    <row r="889">
      <c r="A889" s="99">
        <f>A817</f>
        <v/>
      </c>
      <c r="B889" s="68" t="n"/>
      <c r="C889" s="1110">
        <f>C817</f>
        <v/>
      </c>
      <c r="D889" s="1110">
        <f>D817</f>
        <v/>
      </c>
      <c r="E889" s="1110">
        <f>E817</f>
        <v/>
      </c>
      <c r="F889" s="1110">
        <f>F817</f>
        <v/>
      </c>
      <c r="G889" s="68">
        <f>G817</f>
        <v/>
      </c>
      <c r="H889" s="68">
        <f>H817-G817</f>
        <v/>
      </c>
      <c r="I889" s="68">
        <f>I817-H817</f>
        <v/>
      </c>
      <c r="J889" s="68">
        <f>J817-I817</f>
        <v/>
      </c>
      <c r="K889" s="1110">
        <f>K817</f>
        <v/>
      </c>
      <c r="L889" s="68">
        <f>L817</f>
        <v/>
      </c>
      <c r="M889" s="68">
        <f>M817-L817</f>
        <v/>
      </c>
      <c r="N889" s="68">
        <f>N817-M817</f>
        <v/>
      </c>
      <c r="O889" s="68">
        <f>O817-N817</f>
        <v/>
      </c>
      <c r="P889" s="1110">
        <f>P817</f>
        <v/>
      </c>
      <c r="Q889" s="68">
        <f>Q817</f>
        <v/>
      </c>
      <c r="R889" s="68">
        <f>R817-Q817</f>
        <v/>
      </c>
      <c r="S889" s="68">
        <f>S817-R817</f>
        <v/>
      </c>
      <c r="T889" s="68">
        <f>T817-S817</f>
        <v/>
      </c>
      <c r="U889" s="1110">
        <f>U817</f>
        <v/>
      </c>
      <c r="V889" s="68">
        <f>V817</f>
        <v/>
      </c>
      <c r="W889" s="68">
        <f>W817-V817</f>
        <v/>
      </c>
      <c r="X889" s="68">
        <f>X817-W817</f>
        <v/>
      </c>
      <c r="Y889" s="68">
        <f>Y817-X817</f>
        <v/>
      </c>
      <c r="Z889" s="1110">
        <f>SUM(V889,W889,X889,Y889)</f>
        <v/>
      </c>
      <c r="AA889" s="68">
        <f>AA817</f>
        <v/>
      </c>
      <c r="AB889" s="68">
        <f>AB817-AA817</f>
        <v/>
      </c>
      <c r="AC889" s="68">
        <f>AC817-AB817</f>
        <v/>
      </c>
      <c r="AD889" s="68">
        <f>AD817-AC817</f>
        <v/>
      </c>
      <c r="AE889" s="1110">
        <f>SUM(AA889,AB889,AC889,AD889)</f>
        <v/>
      </c>
      <c r="AF889" s="68">
        <f>AF817</f>
        <v/>
      </c>
      <c r="AG889" s="68">
        <f>AG817-AF817</f>
        <v/>
      </c>
      <c r="AH889" s="68">
        <f>AH817-AG817</f>
        <v/>
      </c>
      <c r="AI889" s="68">
        <f>AI817-AH817</f>
        <v/>
      </c>
      <c r="AJ889" s="1110">
        <f>SUM(AF889,AG889,AH889,AI889)</f>
        <v/>
      </c>
      <c r="AK889" s="68">
        <f>AK817</f>
        <v/>
      </c>
      <c r="AL889" s="68">
        <f>AL817-AK817</f>
        <v/>
      </c>
      <c r="AM889" s="68">
        <f>AM817-AL817</f>
        <v/>
      </c>
      <c r="AN889" s="68">
        <f>AN817-AM817</f>
        <v/>
      </c>
      <c r="AO889" s="1110">
        <f>SUM(AK889,AL889,AM889,AN889)</f>
        <v/>
      </c>
      <c r="AP889" s="68">
        <f>AP817</f>
        <v/>
      </c>
      <c r="AQ889" s="27">
        <f>AQ817-AP817</f>
        <v/>
      </c>
      <c r="AR889" s="68">
        <f>AR817-AQ817</f>
        <v/>
      </c>
      <c r="AS889" s="68">
        <f>AS817-AR817</f>
        <v/>
      </c>
      <c r="AT889" s="1110">
        <f>SUM(AP889,AQ889,AR889,AS889)</f>
        <v/>
      </c>
      <c r="AU889" s="68">
        <f>AU817</f>
        <v/>
      </c>
      <c r="AV889" s="27">
        <f>AV817-AU817</f>
        <v/>
      </c>
      <c r="AW889" s="68">
        <f>AW817-AV817</f>
        <v/>
      </c>
      <c r="AX889" s="68">
        <f>AX817-AW817</f>
        <v/>
      </c>
      <c r="AY889" s="1110">
        <f>SUM(AU889,AV889,AW889,AX889)</f>
        <v/>
      </c>
      <c r="AZ889" s="68">
        <f>AZ817</f>
        <v/>
      </c>
      <c r="BA889" s="27">
        <f>BA817-AZ817</f>
        <v/>
      </c>
      <c r="BB889" s="68">
        <f>BB817-BA817</f>
        <v/>
      </c>
      <c r="BC889" s="68">
        <f>BC817-BB817</f>
        <v/>
      </c>
      <c r="BD889" s="1110">
        <f>SUM(AZ889,BA889,BB889,BC889)</f>
        <v/>
      </c>
      <c r="BE889" s="68">
        <f>BE817</f>
        <v/>
      </c>
      <c r="BF889" s="27">
        <f>BF817-BE817</f>
        <v/>
      </c>
      <c r="BG889" s="68">
        <f>BG817-BF817</f>
        <v/>
      </c>
      <c r="BH889" s="68">
        <f>BH817-BG817</f>
        <v/>
      </c>
      <c r="BI889" s="1110">
        <f>SUM(BE889,BF889,BG889,BH889)</f>
        <v/>
      </c>
      <c r="BJ889" s="68">
        <f>BJ817</f>
        <v/>
      </c>
      <c r="BK889" s="27">
        <f>BK817-BJ817</f>
        <v/>
      </c>
      <c r="BL889" s="68">
        <f>BL817-BK817</f>
        <v/>
      </c>
      <c r="BM889" s="68">
        <f>BM817-BL817</f>
        <v/>
      </c>
      <c r="BN889" s="1110">
        <f>SUM(BJ889,BK889,BL889,BM889)</f>
        <v/>
      </c>
      <c r="BO889" s="68">
        <f>BO817</f>
        <v/>
      </c>
      <c r="BP889" s="27">
        <f>BP817-BO817</f>
        <v/>
      </c>
      <c r="BQ889" s="68">
        <f>BQ817-BP817</f>
        <v/>
      </c>
      <c r="BR889" s="68">
        <f>BR817-BQ817</f>
        <v/>
      </c>
      <c r="BS889" s="1110">
        <f>SUM(BO889,BP889,BQ889,BR889)</f>
        <v/>
      </c>
      <c r="BT889" s="68">
        <f>BT817</f>
        <v/>
      </c>
      <c r="BU889" s="27">
        <f>BU817-BT817</f>
        <v/>
      </c>
      <c r="BV889" s="588">
        <f>BV817-BU817</f>
        <v/>
      </c>
      <c r="BW889" s="68" t="n"/>
      <c r="BX889" s="1110">
        <f>SUM(BT889,BU889,BV889,BW889)</f>
        <v/>
      </c>
      <c r="BY889" s="68" t="n"/>
      <c r="BZ889" s="68" t="n"/>
      <c r="CA889" s="68" t="n"/>
      <c r="CB889" s="68" t="n"/>
      <c r="CC889" s="1110">
        <f>SUM(BY889,BZ889,CA889,CB889)</f>
        <v/>
      </c>
      <c r="CD889" s="1110" t="n"/>
      <c r="CE889" s="1110" t="n"/>
      <c r="CF889" s="1110" t="n"/>
      <c r="CG889" s="155" t="n"/>
    </row>
    <row r="890">
      <c r="A890" s="99">
        <f>A818</f>
        <v/>
      </c>
      <c r="B890" s="68" t="n"/>
      <c r="C890" s="1110">
        <f>C818</f>
        <v/>
      </c>
      <c r="D890" s="1110">
        <f>D818</f>
        <v/>
      </c>
      <c r="E890" s="1110">
        <f>E818</f>
        <v/>
      </c>
      <c r="F890" s="1110">
        <f>F818</f>
        <v/>
      </c>
      <c r="G890" s="68">
        <f>G818</f>
        <v/>
      </c>
      <c r="H890" s="68">
        <f>H818-G818</f>
        <v/>
      </c>
      <c r="I890" s="68">
        <f>I818-H818</f>
        <v/>
      </c>
      <c r="J890" s="68">
        <f>J818-I818</f>
        <v/>
      </c>
      <c r="K890" s="1110">
        <f>K818</f>
        <v/>
      </c>
      <c r="L890" s="68">
        <f>L818</f>
        <v/>
      </c>
      <c r="M890" s="68">
        <f>M818-L818</f>
        <v/>
      </c>
      <c r="N890" s="68">
        <f>N818-M818</f>
        <v/>
      </c>
      <c r="O890" s="68">
        <f>O818-N818</f>
        <v/>
      </c>
      <c r="P890" s="1110">
        <f>P818</f>
        <v/>
      </c>
      <c r="Q890" s="68">
        <f>Q818</f>
        <v/>
      </c>
      <c r="R890" s="68">
        <f>R818-Q818</f>
        <v/>
      </c>
      <c r="S890" s="68">
        <f>S818-R818</f>
        <v/>
      </c>
      <c r="T890" s="68">
        <f>T818-S818</f>
        <v/>
      </c>
      <c r="U890" s="1110">
        <f>U818</f>
        <v/>
      </c>
      <c r="V890" s="68">
        <f>V818</f>
        <v/>
      </c>
      <c r="W890" s="68">
        <f>W818-V818</f>
        <v/>
      </c>
      <c r="X890" s="68">
        <f>X818-W818</f>
        <v/>
      </c>
      <c r="Y890" s="68">
        <f>Y818-X818</f>
        <v/>
      </c>
      <c r="Z890" s="1110">
        <f>SUM(V890,W890,X890,Y890)</f>
        <v/>
      </c>
      <c r="AA890" s="68">
        <f>AA818</f>
        <v/>
      </c>
      <c r="AB890" s="68">
        <f>AB818-AA818</f>
        <v/>
      </c>
      <c r="AC890" s="68">
        <f>AC818-AB818</f>
        <v/>
      </c>
      <c r="AD890" s="68">
        <f>AD818-AC818</f>
        <v/>
      </c>
      <c r="AE890" s="1110">
        <f>SUM(AA890,AB890,AC890,AD890)</f>
        <v/>
      </c>
      <c r="AF890" s="68">
        <f>AF818</f>
        <v/>
      </c>
      <c r="AG890" s="68">
        <f>AG818-AF818</f>
        <v/>
      </c>
      <c r="AH890" s="68">
        <f>AH818-AG818</f>
        <v/>
      </c>
      <c r="AI890" s="68">
        <f>AI818-AH818</f>
        <v/>
      </c>
      <c r="AJ890" s="1110">
        <f>SUM(AF890,AG890,AH890,AI890)</f>
        <v/>
      </c>
      <c r="AK890" s="68">
        <f>AK818</f>
        <v/>
      </c>
      <c r="AL890" s="68">
        <f>AL818-AK818</f>
        <v/>
      </c>
      <c r="AM890" s="68">
        <f>AM818-AL818</f>
        <v/>
      </c>
      <c r="AN890" s="68">
        <f>AN818-AM818</f>
        <v/>
      </c>
      <c r="AO890" s="1110">
        <f>SUM(AK890,AL890,AM890,AN890)</f>
        <v/>
      </c>
      <c r="AP890" s="68">
        <f>AP818</f>
        <v/>
      </c>
      <c r="AQ890" s="27">
        <f>AQ818-AP818</f>
        <v/>
      </c>
      <c r="AR890" s="68">
        <f>AR818-AQ818</f>
        <v/>
      </c>
      <c r="AS890" s="68">
        <f>AS818-AR818</f>
        <v/>
      </c>
      <c r="AT890" s="1110">
        <f>SUM(AP890,AQ890,AR890,AS890)</f>
        <v/>
      </c>
      <c r="AU890" s="68">
        <f>AU818</f>
        <v/>
      </c>
      <c r="AV890" s="27">
        <f>AV818-AU818</f>
        <v/>
      </c>
      <c r="AW890" s="68">
        <f>AW818-AV818</f>
        <v/>
      </c>
      <c r="AX890" s="68">
        <f>AX818-AW818</f>
        <v/>
      </c>
      <c r="AY890" s="1110">
        <f>SUM(AU890,AV890,AW890,AX890)</f>
        <v/>
      </c>
      <c r="AZ890" s="68">
        <f>AZ818</f>
        <v/>
      </c>
      <c r="BA890" s="27">
        <f>BA818-AZ818</f>
        <v/>
      </c>
      <c r="BB890" s="68">
        <f>BB818-BA818</f>
        <v/>
      </c>
      <c r="BC890" s="68">
        <f>BC818-BB818</f>
        <v/>
      </c>
      <c r="BD890" s="1110">
        <f>SUM(AZ890,BA890,BB890,BC890)</f>
        <v/>
      </c>
      <c r="BE890" s="68">
        <f>BE818</f>
        <v/>
      </c>
      <c r="BF890" s="27">
        <f>BF818-BE818</f>
        <v/>
      </c>
      <c r="BG890" s="68">
        <f>BG818-BF818</f>
        <v/>
      </c>
      <c r="BH890" s="68">
        <f>BH818-BG818</f>
        <v/>
      </c>
      <c r="BI890" s="1110">
        <f>SUM(BE890,BF890,BG890,BH890)</f>
        <v/>
      </c>
      <c r="BJ890" s="68">
        <f>BJ818</f>
        <v/>
      </c>
      <c r="BK890" s="27">
        <f>BK818-BJ818</f>
        <v/>
      </c>
      <c r="BL890" s="68">
        <f>BL818-BK818</f>
        <v/>
      </c>
      <c r="BM890" s="68">
        <f>BM818-BL818</f>
        <v/>
      </c>
      <c r="BN890" s="1110">
        <f>SUM(BJ890,BK890,BL890,BM890)</f>
        <v/>
      </c>
      <c r="BO890" s="68">
        <f>BO818</f>
        <v/>
      </c>
      <c r="BP890" s="27">
        <f>BP818-BO818</f>
        <v/>
      </c>
      <c r="BQ890" s="68">
        <f>BQ818-BP818</f>
        <v/>
      </c>
      <c r="BR890" s="68">
        <f>BR818-BQ818</f>
        <v/>
      </c>
      <c r="BS890" s="1110">
        <f>SUM(BO890,BP890,BQ890,BR890)</f>
        <v/>
      </c>
      <c r="BT890" s="68">
        <f>BT818</f>
        <v/>
      </c>
      <c r="BU890" s="27">
        <f>BU818-BT818</f>
        <v/>
      </c>
      <c r="BV890" s="588">
        <f>BV818-BU818</f>
        <v/>
      </c>
      <c r="BW890" s="68" t="n"/>
      <c r="BX890" s="1110">
        <f>SUM(BT890,BU890,BV890,BW890)</f>
        <v/>
      </c>
      <c r="BY890" s="68" t="n"/>
      <c r="BZ890" s="68" t="n"/>
      <c r="CA890" s="68" t="n"/>
      <c r="CB890" s="68" t="n"/>
      <c r="CC890" s="1110">
        <f>SUM(BY890,BZ890,CA890,CB890)</f>
        <v/>
      </c>
      <c r="CD890" s="1110" t="n"/>
      <c r="CE890" s="1110" t="n"/>
      <c r="CF890" s="1110" t="n"/>
      <c r="CG890" s="155" t="n"/>
    </row>
    <row r="891">
      <c r="A891" s="99">
        <f>A819</f>
        <v/>
      </c>
      <c r="B891" s="68" t="n"/>
      <c r="C891" s="1110">
        <f>C819</f>
        <v/>
      </c>
      <c r="D891" s="1110">
        <f>D819</f>
        <v/>
      </c>
      <c r="E891" s="1110">
        <f>E819</f>
        <v/>
      </c>
      <c r="F891" s="1110">
        <f>F819</f>
        <v/>
      </c>
      <c r="G891" s="68">
        <f>G819</f>
        <v/>
      </c>
      <c r="H891" s="68">
        <f>H819-G819</f>
        <v/>
      </c>
      <c r="I891" s="68">
        <f>I819-H819</f>
        <v/>
      </c>
      <c r="J891" s="68">
        <f>J819-I819</f>
        <v/>
      </c>
      <c r="K891" s="1110">
        <f>K819</f>
        <v/>
      </c>
      <c r="L891" s="68">
        <f>L819</f>
        <v/>
      </c>
      <c r="M891" s="68">
        <f>M819-L819</f>
        <v/>
      </c>
      <c r="N891" s="68">
        <f>N819-M819</f>
        <v/>
      </c>
      <c r="O891" s="68">
        <f>O819-N819</f>
        <v/>
      </c>
      <c r="P891" s="1110">
        <f>P819</f>
        <v/>
      </c>
      <c r="Q891" s="68">
        <f>Q819</f>
        <v/>
      </c>
      <c r="R891" s="68">
        <f>R819-Q819</f>
        <v/>
      </c>
      <c r="S891" s="68">
        <f>S819-R819</f>
        <v/>
      </c>
      <c r="T891" s="68">
        <f>T819-S819</f>
        <v/>
      </c>
      <c r="U891" s="1110">
        <f>U819</f>
        <v/>
      </c>
      <c r="V891" s="68">
        <f>V819</f>
        <v/>
      </c>
      <c r="W891" s="68">
        <f>W819-V819</f>
        <v/>
      </c>
      <c r="X891" s="68">
        <f>X819-W819</f>
        <v/>
      </c>
      <c r="Y891" s="68">
        <f>Y819-X819</f>
        <v/>
      </c>
      <c r="Z891" s="1110">
        <f>SUM(V891,W891,X891,Y891)</f>
        <v/>
      </c>
      <c r="AA891" s="68">
        <f>AA819</f>
        <v/>
      </c>
      <c r="AB891" s="68">
        <f>AB819-AA819</f>
        <v/>
      </c>
      <c r="AC891" s="68">
        <f>AC819-AB819</f>
        <v/>
      </c>
      <c r="AD891" s="68">
        <f>AD819-AC819</f>
        <v/>
      </c>
      <c r="AE891" s="1110">
        <f>SUM(AA891,AB891,AC891,AD891)</f>
        <v/>
      </c>
      <c r="AF891" s="68">
        <f>AF819</f>
        <v/>
      </c>
      <c r="AG891" s="68">
        <f>AG819-AF819</f>
        <v/>
      </c>
      <c r="AH891" s="68">
        <f>AH819-AG819</f>
        <v/>
      </c>
      <c r="AI891" s="68">
        <f>AI819-AH819</f>
        <v/>
      </c>
      <c r="AJ891" s="1110">
        <f>SUM(AF891,AG891,AH891,AI891)</f>
        <v/>
      </c>
      <c r="AK891" s="68">
        <f>AK819</f>
        <v/>
      </c>
      <c r="AL891" s="68">
        <f>AL819-AK819</f>
        <v/>
      </c>
      <c r="AM891" s="68">
        <f>AM819-AL819</f>
        <v/>
      </c>
      <c r="AN891" s="68">
        <f>AN819-AM819</f>
        <v/>
      </c>
      <c r="AO891" s="1110">
        <f>SUM(AK891,AL891,AM891,AN891)</f>
        <v/>
      </c>
      <c r="AP891" s="68">
        <f>AP819</f>
        <v/>
      </c>
      <c r="AQ891" s="27">
        <f>AQ819-AP819</f>
        <v/>
      </c>
      <c r="AR891" s="68">
        <f>AR819-AQ819</f>
        <v/>
      </c>
      <c r="AS891" s="68">
        <f>AS819-AR819</f>
        <v/>
      </c>
      <c r="AT891" s="1110">
        <f>SUM(AP891,AQ891,AR891,AS891)</f>
        <v/>
      </c>
      <c r="AU891" s="68">
        <f>AU819</f>
        <v/>
      </c>
      <c r="AV891" s="27">
        <f>AV819-AU819</f>
        <v/>
      </c>
      <c r="AW891" s="68">
        <f>AW819-AV819</f>
        <v/>
      </c>
      <c r="AX891" s="68">
        <f>AX819-AW819</f>
        <v/>
      </c>
      <c r="AY891" s="1110">
        <f>SUM(AU891,AV891,AW891,AX891)</f>
        <v/>
      </c>
      <c r="AZ891" s="68">
        <f>AZ819</f>
        <v/>
      </c>
      <c r="BA891" s="27">
        <f>BA819-AZ819</f>
        <v/>
      </c>
      <c r="BB891" s="68">
        <f>BB819-BA819</f>
        <v/>
      </c>
      <c r="BC891" s="68">
        <f>BC819-BB819</f>
        <v/>
      </c>
      <c r="BD891" s="1110">
        <f>SUM(AZ891,BA891,BB891,BC891)</f>
        <v/>
      </c>
      <c r="BE891" s="68">
        <f>BE819</f>
        <v/>
      </c>
      <c r="BF891" s="27">
        <f>BF819-BE819</f>
        <v/>
      </c>
      <c r="BG891" s="68">
        <f>BG819-BF819</f>
        <v/>
      </c>
      <c r="BH891" s="68">
        <f>BH819-BG819</f>
        <v/>
      </c>
      <c r="BI891" s="1110">
        <f>SUM(BE891,BF891,BG891,BH891)</f>
        <v/>
      </c>
      <c r="BJ891" s="68">
        <f>BJ819</f>
        <v/>
      </c>
      <c r="BK891" s="27">
        <f>BK819-BJ819</f>
        <v/>
      </c>
      <c r="BL891" s="68">
        <f>BL819-BK819</f>
        <v/>
      </c>
      <c r="BM891" s="68">
        <f>BM819-BL819</f>
        <v/>
      </c>
      <c r="BN891" s="1110">
        <f>SUM(BJ891,BK891,BL891,BM891)</f>
        <v/>
      </c>
      <c r="BO891" s="68">
        <f>BO819</f>
        <v/>
      </c>
      <c r="BP891" s="27">
        <f>BP819-BO819</f>
        <v/>
      </c>
      <c r="BQ891" s="68">
        <f>BQ819-BP819</f>
        <v/>
      </c>
      <c r="BR891" s="68">
        <f>BR819-BQ819</f>
        <v/>
      </c>
      <c r="BS891" s="1110">
        <f>SUM(BO891,BP891,BQ891,BR891)</f>
        <v/>
      </c>
      <c r="BT891" s="68">
        <f>BT819</f>
        <v/>
      </c>
      <c r="BU891" s="27">
        <f>BU819-BT819</f>
        <v/>
      </c>
      <c r="BV891" s="588">
        <f>BV819-BU819</f>
        <v/>
      </c>
      <c r="BW891" s="68" t="n"/>
      <c r="BX891" s="1110">
        <f>SUM(BT891,BU891,BV891,BW891)</f>
        <v/>
      </c>
      <c r="BY891" s="68" t="n"/>
      <c r="BZ891" s="68" t="n"/>
      <c r="CA891" s="68" t="n"/>
      <c r="CB891" s="68" t="n"/>
      <c r="CC891" s="1110">
        <f>SUM(BY891,BZ891,CA891,CB891)</f>
        <v/>
      </c>
      <c r="CD891" s="1110" t="n"/>
      <c r="CE891" s="1110" t="n"/>
      <c r="CF891" s="1110" t="n"/>
      <c r="CG891" s="155" t="n"/>
    </row>
    <row r="892">
      <c r="A892" s="99">
        <f>A820</f>
        <v/>
      </c>
      <c r="B892" s="68" t="n"/>
      <c r="C892" s="1110">
        <f>C820</f>
        <v/>
      </c>
      <c r="D892" s="1110">
        <f>D820</f>
        <v/>
      </c>
      <c r="E892" s="1110">
        <f>E820</f>
        <v/>
      </c>
      <c r="F892" s="1110">
        <f>F820</f>
        <v/>
      </c>
      <c r="G892" s="68">
        <f>G820</f>
        <v/>
      </c>
      <c r="H892" s="68">
        <f>H820-G820</f>
        <v/>
      </c>
      <c r="I892" s="68">
        <f>I820-H820</f>
        <v/>
      </c>
      <c r="J892" s="68">
        <f>J820-I820</f>
        <v/>
      </c>
      <c r="K892" s="1110">
        <f>K820</f>
        <v/>
      </c>
      <c r="L892" s="68">
        <f>L820</f>
        <v/>
      </c>
      <c r="M892" s="68">
        <f>M820-L820</f>
        <v/>
      </c>
      <c r="N892" s="68">
        <f>N820-M820</f>
        <v/>
      </c>
      <c r="O892" s="68">
        <f>O820-N820</f>
        <v/>
      </c>
      <c r="P892" s="1110">
        <f>P820</f>
        <v/>
      </c>
      <c r="Q892" s="68">
        <f>Q820</f>
        <v/>
      </c>
      <c r="R892" s="68">
        <f>R820-Q820</f>
        <v/>
      </c>
      <c r="S892" s="68">
        <f>S820-R820</f>
        <v/>
      </c>
      <c r="T892" s="68">
        <f>T820-S820</f>
        <v/>
      </c>
      <c r="U892" s="1110">
        <f>U820</f>
        <v/>
      </c>
      <c r="V892" s="68">
        <f>V820</f>
        <v/>
      </c>
      <c r="W892" s="68">
        <f>W820-V820</f>
        <v/>
      </c>
      <c r="X892" s="68">
        <f>X820-W820</f>
        <v/>
      </c>
      <c r="Y892" s="68">
        <f>Y820-X820</f>
        <v/>
      </c>
      <c r="Z892" s="1110">
        <f>SUM(V892,W892,X892,Y892)</f>
        <v/>
      </c>
      <c r="AA892" s="68">
        <f>AA820</f>
        <v/>
      </c>
      <c r="AB892" s="68">
        <f>AB820-AA820</f>
        <v/>
      </c>
      <c r="AC892" s="68">
        <f>AC820-AB820</f>
        <v/>
      </c>
      <c r="AD892" s="68">
        <f>AD820-AC820</f>
        <v/>
      </c>
      <c r="AE892" s="1110">
        <f>SUM(AA892,AB892,AC892,AD892)</f>
        <v/>
      </c>
      <c r="AF892" s="68">
        <f>AF820</f>
        <v/>
      </c>
      <c r="AG892" s="68">
        <f>AG820-AF820</f>
        <v/>
      </c>
      <c r="AH892" s="68">
        <f>AH820-AG820</f>
        <v/>
      </c>
      <c r="AI892" s="68">
        <f>AI820-AH820</f>
        <v/>
      </c>
      <c r="AJ892" s="1110">
        <f>SUM(AF892,AG892,AH892,AI892)</f>
        <v/>
      </c>
      <c r="AK892" s="68">
        <f>AK820</f>
        <v/>
      </c>
      <c r="AL892" s="68">
        <f>AL820-AK820</f>
        <v/>
      </c>
      <c r="AM892" s="68">
        <f>AM820-AL820</f>
        <v/>
      </c>
      <c r="AN892" s="68">
        <f>AN820-AM820</f>
        <v/>
      </c>
      <c r="AO892" s="1110">
        <f>SUM(AK892,AL892,AM892,AN892)</f>
        <v/>
      </c>
      <c r="AP892" s="68">
        <f>AP820</f>
        <v/>
      </c>
      <c r="AQ892" s="68">
        <f>AQ820-AP820</f>
        <v/>
      </c>
      <c r="AR892" s="68">
        <f>AR820-AQ820</f>
        <v/>
      </c>
      <c r="AS892" s="68">
        <f>AS820-AR820</f>
        <v/>
      </c>
      <c r="AT892" s="1110">
        <f>SUM(AP892,AQ892,AR892,AS892)</f>
        <v/>
      </c>
      <c r="AU892" s="68">
        <f>AU820</f>
        <v/>
      </c>
      <c r="AV892" s="68">
        <f>AV820-AU820</f>
        <v/>
      </c>
      <c r="AW892" s="68">
        <f>AW820-AV820</f>
        <v/>
      </c>
      <c r="AX892" s="68">
        <f>AX820-AW820</f>
        <v/>
      </c>
      <c r="AY892" s="1110">
        <f>SUM(AU892,AV892,AW892,AX892)</f>
        <v/>
      </c>
      <c r="AZ892" s="68">
        <f>AZ820</f>
        <v/>
      </c>
      <c r="BA892" s="68">
        <f>BA820-AZ820</f>
        <v/>
      </c>
      <c r="BB892" s="68">
        <f>BB820-BA820</f>
        <v/>
      </c>
      <c r="BC892" s="68">
        <f>BC820-BB820</f>
        <v/>
      </c>
      <c r="BD892" s="1110">
        <f>SUM(AZ892,BA892,BB892,BC892)</f>
        <v/>
      </c>
      <c r="BE892" s="68">
        <f>BE820</f>
        <v/>
      </c>
      <c r="BF892" s="68">
        <f>BF820-BE820</f>
        <v/>
      </c>
      <c r="BG892" s="68">
        <f>BG820-BF820</f>
        <v/>
      </c>
      <c r="BH892" s="68">
        <f>BH820-BG820</f>
        <v/>
      </c>
      <c r="BI892" s="1110">
        <f>SUM(BE892,BF892,BG892,BH892)</f>
        <v/>
      </c>
      <c r="BJ892" s="68">
        <f>BJ820</f>
        <v/>
      </c>
      <c r="BK892" s="68">
        <f>BK820-BJ820</f>
        <v/>
      </c>
      <c r="BL892" s="68">
        <f>BL820-BK820</f>
        <v/>
      </c>
      <c r="BM892" s="68">
        <f>BM820-BL820</f>
        <v/>
      </c>
      <c r="BN892" s="1110">
        <f>SUM(BJ892,BK892,BL892,BM892)</f>
        <v/>
      </c>
      <c r="BO892" s="68">
        <f>BO820</f>
        <v/>
      </c>
      <c r="BP892" s="68">
        <f>BP820-BO820</f>
        <v/>
      </c>
      <c r="BQ892" s="68">
        <f>BQ820-BP820</f>
        <v/>
      </c>
      <c r="BR892" s="68">
        <f>BR820-BQ820</f>
        <v/>
      </c>
      <c r="BS892" s="1110">
        <f>SUM(BO892,BP892,BQ892,BR892)</f>
        <v/>
      </c>
      <c r="BT892" s="68">
        <f>BT820</f>
        <v/>
      </c>
      <c r="BU892" s="68">
        <f>BU820-BT820</f>
        <v/>
      </c>
      <c r="BV892" s="588">
        <f>BV820-BU820</f>
        <v/>
      </c>
      <c r="BW892" s="68">
        <f>BW710</f>
        <v/>
      </c>
      <c r="BX892" s="1110">
        <f>SUM(BT892,BU892,BV892,BW892)</f>
        <v/>
      </c>
      <c r="BY892" s="68">
        <f>BY710</f>
        <v/>
      </c>
      <c r="BZ892" s="68">
        <f>BZ710</f>
        <v/>
      </c>
      <c r="CA892" s="68">
        <f>CA710</f>
        <v/>
      </c>
      <c r="CB892" s="68">
        <f>CB710</f>
        <v/>
      </c>
      <c r="CC892" s="1110">
        <f>SUM(BY892,BZ892,CA892,CB892)</f>
        <v/>
      </c>
      <c r="CD892" s="1110">
        <f>CD710</f>
        <v/>
      </c>
      <c r="CE892" s="1110">
        <f>CE710</f>
        <v/>
      </c>
      <c r="CF892" s="1110">
        <f>CF710</f>
        <v/>
      </c>
      <c r="CG892" s="155" t="n"/>
    </row>
    <row r="893">
      <c r="A893" s="99">
        <f>A821</f>
        <v/>
      </c>
      <c r="B893" s="68" t="n"/>
      <c r="C893" s="1110">
        <f>C821</f>
        <v/>
      </c>
      <c r="D893" s="1110">
        <f>D821</f>
        <v/>
      </c>
      <c r="E893" s="1110">
        <f>E821</f>
        <v/>
      </c>
      <c r="F893" s="1110">
        <f>F821</f>
        <v/>
      </c>
      <c r="G893" s="68">
        <f>G821</f>
        <v/>
      </c>
      <c r="H893" s="68">
        <f>H821-G821</f>
        <v/>
      </c>
      <c r="I893" s="68">
        <f>I821-H821</f>
        <v/>
      </c>
      <c r="J893" s="68">
        <f>J821-I821</f>
        <v/>
      </c>
      <c r="K893" s="1110">
        <f>K821</f>
        <v/>
      </c>
      <c r="L893" s="68">
        <f>L821</f>
        <v/>
      </c>
      <c r="M893" s="68">
        <f>M821-L821</f>
        <v/>
      </c>
      <c r="N893" s="68">
        <f>N821-M821</f>
        <v/>
      </c>
      <c r="O893" s="68">
        <f>O821-N821</f>
        <v/>
      </c>
      <c r="P893" s="1110">
        <f>P821</f>
        <v/>
      </c>
      <c r="Q893" s="68">
        <f>Q821</f>
        <v/>
      </c>
      <c r="R893" s="68">
        <f>R821-Q821</f>
        <v/>
      </c>
      <c r="S893" s="68">
        <f>S821-R821</f>
        <v/>
      </c>
      <c r="T893" s="68">
        <f>T821-S821</f>
        <v/>
      </c>
      <c r="U893" s="1110">
        <f>U821</f>
        <v/>
      </c>
      <c r="V893" s="68">
        <f>V821</f>
        <v/>
      </c>
      <c r="W893" s="68">
        <f>W821-V821</f>
        <v/>
      </c>
      <c r="X893" s="68">
        <f>X821-W821</f>
        <v/>
      </c>
      <c r="Y893" s="68">
        <f>Y821-X821</f>
        <v/>
      </c>
      <c r="Z893" s="1110">
        <f>SUM(V893,W893,X893,Y893)</f>
        <v/>
      </c>
      <c r="AA893" s="68">
        <f>AA821</f>
        <v/>
      </c>
      <c r="AB893" s="68">
        <f>AB821-AA821</f>
        <v/>
      </c>
      <c r="AC893" s="68">
        <f>AC821-AB821</f>
        <v/>
      </c>
      <c r="AD893" s="68">
        <f>AD821-AC821</f>
        <v/>
      </c>
      <c r="AE893" s="1110">
        <f>SUM(AA893,AB893,AC893,AD893)</f>
        <v/>
      </c>
      <c r="AF893" s="68">
        <f>AF821</f>
        <v/>
      </c>
      <c r="AG893" s="68">
        <f>AG821-AF821</f>
        <v/>
      </c>
      <c r="AH893" s="68">
        <f>AH821-AG821</f>
        <v/>
      </c>
      <c r="AI893" s="68">
        <f>AI821-AH821</f>
        <v/>
      </c>
      <c r="AJ893" s="1110">
        <f>SUM(AF893,AG893,AH893,AI893)</f>
        <v/>
      </c>
      <c r="AK893" s="68">
        <f>AK821</f>
        <v/>
      </c>
      <c r="AL893" s="68">
        <f>AL821-AK821</f>
        <v/>
      </c>
      <c r="AM893" s="68">
        <f>AM821-AL821</f>
        <v/>
      </c>
      <c r="AN893" s="68">
        <f>AN821-AM821</f>
        <v/>
      </c>
      <c r="AO893" s="1110">
        <f>SUM(AK893,AL893,AM893,AN893)</f>
        <v/>
      </c>
      <c r="AP893" s="68">
        <f>AP821</f>
        <v/>
      </c>
      <c r="AQ893" s="27">
        <f>AQ821-AP821</f>
        <v/>
      </c>
      <c r="AR893" s="68">
        <f>AR821-AQ821</f>
        <v/>
      </c>
      <c r="AS893" s="68">
        <f>AS821-AR821</f>
        <v/>
      </c>
      <c r="AT893" s="1110">
        <f>SUM(AP893,AQ893,AR893,AS893)</f>
        <v/>
      </c>
      <c r="AU893" s="68">
        <f>AU821</f>
        <v/>
      </c>
      <c r="AV893" s="27">
        <f>AV821-AU821</f>
        <v/>
      </c>
      <c r="AW893" s="68">
        <f>AW821-AV821</f>
        <v/>
      </c>
      <c r="AX893" s="68">
        <f>AX821-AW821</f>
        <v/>
      </c>
      <c r="AY893" s="1110">
        <f>SUM(AU893,AV893,AW893,AX893)</f>
        <v/>
      </c>
      <c r="AZ893" s="68">
        <f>AZ821</f>
        <v/>
      </c>
      <c r="BA893" s="27">
        <f>BA821-AZ821</f>
        <v/>
      </c>
      <c r="BB893" s="68">
        <f>BB821-BA821</f>
        <v/>
      </c>
      <c r="BC893" s="68">
        <f>BC821-BB821</f>
        <v/>
      </c>
      <c r="BD893" s="1110">
        <f>SUM(AZ893,BA893,BB893,BC893)</f>
        <v/>
      </c>
      <c r="BE893" s="68">
        <f>BE821</f>
        <v/>
      </c>
      <c r="BF893" s="27">
        <f>BF821-BE821</f>
        <v/>
      </c>
      <c r="BG893" s="68">
        <f>BG821-BF821</f>
        <v/>
      </c>
      <c r="BH893" s="68">
        <f>BH821-BG821</f>
        <v/>
      </c>
      <c r="BI893" s="1110">
        <f>SUM(BE893,BF893,BG893,BH893)</f>
        <v/>
      </c>
      <c r="BJ893" s="68">
        <f>BJ821</f>
        <v/>
      </c>
      <c r="BK893" s="27">
        <f>BK821-BJ821</f>
        <v/>
      </c>
      <c r="BL893" s="68">
        <f>BL821-BK821</f>
        <v/>
      </c>
      <c r="BM893" s="68">
        <f>BM821-BL821</f>
        <v/>
      </c>
      <c r="BN893" s="1110">
        <f>SUM(BJ893,BK893,BL893,BM893)</f>
        <v/>
      </c>
      <c r="BO893" s="68">
        <f>BO821</f>
        <v/>
      </c>
      <c r="BP893" s="27">
        <f>BP821-BO821</f>
        <v/>
      </c>
      <c r="BQ893" s="68">
        <f>BQ821-BP821</f>
        <v/>
      </c>
      <c r="BR893" s="68">
        <f>BR821-BQ821</f>
        <v/>
      </c>
      <c r="BS893" s="1110">
        <f>SUM(BO893,BP893,BQ893,BR893)</f>
        <v/>
      </c>
      <c r="BT893" s="68">
        <f>BT821</f>
        <v/>
      </c>
      <c r="BU893" s="27">
        <f>BU821-BT821</f>
        <v/>
      </c>
      <c r="BV893" s="588">
        <f>BV821-BU821</f>
        <v/>
      </c>
      <c r="BW893" s="68" t="n"/>
      <c r="BX893" s="1110">
        <f>SUM(BT893,BU893,BV893,BW893)</f>
        <v/>
      </c>
      <c r="BY893" s="68" t="n"/>
      <c r="BZ893" s="68" t="n"/>
      <c r="CA893" s="68" t="n"/>
      <c r="CB893" s="68" t="n"/>
      <c r="CC893" s="1110">
        <f>SUM(BY893,BZ893,CA893,CB893)</f>
        <v/>
      </c>
      <c r="CD893" s="1110" t="n"/>
      <c r="CE893" s="1110" t="n"/>
      <c r="CF893" s="1110" t="n"/>
      <c r="CG893" s="155" t="n"/>
    </row>
    <row r="894">
      <c r="A894" s="99">
        <f>A822</f>
        <v/>
      </c>
      <c r="B894" s="68" t="n"/>
      <c r="C894" s="1110">
        <f>C822</f>
        <v/>
      </c>
      <c r="D894" s="1110">
        <f>D822</f>
        <v/>
      </c>
      <c r="E894" s="1110">
        <f>E822</f>
        <v/>
      </c>
      <c r="F894" s="1110">
        <f>F822</f>
        <v/>
      </c>
      <c r="G894" s="68">
        <f>G822</f>
        <v/>
      </c>
      <c r="H894" s="68">
        <f>H822-G822</f>
        <v/>
      </c>
      <c r="I894" s="68">
        <f>I822-H822</f>
        <v/>
      </c>
      <c r="J894" s="68">
        <f>J822-I822</f>
        <v/>
      </c>
      <c r="K894" s="1110">
        <f>K822</f>
        <v/>
      </c>
      <c r="L894" s="68">
        <f>L822</f>
        <v/>
      </c>
      <c r="M894" s="68">
        <f>M822-L822</f>
        <v/>
      </c>
      <c r="N894" s="68">
        <f>N822-M822</f>
        <v/>
      </c>
      <c r="O894" s="68">
        <f>O822-N822</f>
        <v/>
      </c>
      <c r="P894" s="1110">
        <f>P822</f>
        <v/>
      </c>
      <c r="Q894" s="68">
        <f>Q822</f>
        <v/>
      </c>
      <c r="R894" s="68">
        <f>R822-Q822</f>
        <v/>
      </c>
      <c r="S894" s="68">
        <f>S822-R822</f>
        <v/>
      </c>
      <c r="T894" s="68">
        <f>T822-S822</f>
        <v/>
      </c>
      <c r="U894" s="1110">
        <f>U822</f>
        <v/>
      </c>
      <c r="V894" s="68">
        <f>V822</f>
        <v/>
      </c>
      <c r="W894" s="68">
        <f>W822-V822</f>
        <v/>
      </c>
      <c r="X894" s="68">
        <f>X822-W822</f>
        <v/>
      </c>
      <c r="Y894" s="68">
        <f>Y822-X822</f>
        <v/>
      </c>
      <c r="Z894" s="1110">
        <f>SUM(V894,W894,X894,Y894)</f>
        <v/>
      </c>
      <c r="AA894" s="68">
        <f>AA822</f>
        <v/>
      </c>
      <c r="AB894" s="68">
        <f>AB822-AA822</f>
        <v/>
      </c>
      <c r="AC894" s="68">
        <f>AC822-AB822</f>
        <v/>
      </c>
      <c r="AD894" s="68">
        <f>AD822-AC822</f>
        <v/>
      </c>
      <c r="AE894" s="1110">
        <f>SUM(AA894,AB894,AC894,AD894)</f>
        <v/>
      </c>
      <c r="AF894" s="68">
        <f>AF822</f>
        <v/>
      </c>
      <c r="AG894" s="68">
        <f>AG822-AF822</f>
        <v/>
      </c>
      <c r="AH894" s="68">
        <f>AH822-AG822</f>
        <v/>
      </c>
      <c r="AI894" s="68">
        <f>AI822-AH822</f>
        <v/>
      </c>
      <c r="AJ894" s="1110">
        <f>SUM(AF894,AG894,AH894,AI894)</f>
        <v/>
      </c>
      <c r="AK894" s="68">
        <f>AK822</f>
        <v/>
      </c>
      <c r="AL894" s="68">
        <f>AL822-AK822</f>
        <v/>
      </c>
      <c r="AM894" s="68">
        <f>AM822-AL822</f>
        <v/>
      </c>
      <c r="AN894" s="68">
        <f>AN822-AM822</f>
        <v/>
      </c>
      <c r="AO894" s="1110">
        <f>SUM(AK894,AL894,AM894,AN894)</f>
        <v/>
      </c>
      <c r="AP894" s="68">
        <f>AP822</f>
        <v/>
      </c>
      <c r="AQ894" s="27">
        <f>AQ822-AP822</f>
        <v/>
      </c>
      <c r="AR894" s="68">
        <f>AR822-AQ822</f>
        <v/>
      </c>
      <c r="AS894" s="68">
        <f>AS822-AR822</f>
        <v/>
      </c>
      <c r="AT894" s="1110">
        <f>SUM(AP894,AQ894,AR894,AS894)</f>
        <v/>
      </c>
      <c r="AU894" s="68">
        <f>AU822</f>
        <v/>
      </c>
      <c r="AV894" s="27">
        <f>AV822-AU822</f>
        <v/>
      </c>
      <c r="AW894" s="68">
        <f>AW822-AV822</f>
        <v/>
      </c>
      <c r="AX894" s="68">
        <f>AX822-AW822</f>
        <v/>
      </c>
      <c r="AY894" s="1110">
        <f>SUM(AU894,AV894,AW894,AX894)</f>
        <v/>
      </c>
      <c r="AZ894" s="68">
        <f>AZ822</f>
        <v/>
      </c>
      <c r="BA894" s="27">
        <f>BA822-AZ822</f>
        <v/>
      </c>
      <c r="BB894" s="68">
        <f>BB822-BA822</f>
        <v/>
      </c>
      <c r="BC894" s="68">
        <f>BC822-BB822</f>
        <v/>
      </c>
      <c r="BD894" s="1110">
        <f>SUM(AZ894,BA894,BB894,BC894)</f>
        <v/>
      </c>
      <c r="BE894" s="68">
        <f>BE822</f>
        <v/>
      </c>
      <c r="BF894" s="27">
        <f>BF822-BE822</f>
        <v/>
      </c>
      <c r="BG894" s="68">
        <f>BG822-BF822</f>
        <v/>
      </c>
      <c r="BH894" s="68">
        <f>BH822-BG822</f>
        <v/>
      </c>
      <c r="BI894" s="1110">
        <f>SUM(BE894,BF894,BG894,BH894)</f>
        <v/>
      </c>
      <c r="BJ894" s="68">
        <f>BJ822</f>
        <v/>
      </c>
      <c r="BK894" s="27">
        <f>BK822-BJ822</f>
        <v/>
      </c>
      <c r="BL894" s="68">
        <f>BL822-BK822</f>
        <v/>
      </c>
      <c r="BM894" s="68">
        <f>BM822-BL822</f>
        <v/>
      </c>
      <c r="BN894" s="1110">
        <f>SUM(BJ894,BK894,BL894,BM894)</f>
        <v/>
      </c>
      <c r="BO894" s="68">
        <f>BO822</f>
        <v/>
      </c>
      <c r="BP894" s="27">
        <f>BP822-BO822</f>
        <v/>
      </c>
      <c r="BQ894" s="68">
        <f>BQ822-BP822</f>
        <v/>
      </c>
      <c r="BR894" s="68">
        <f>BR822-BQ822</f>
        <v/>
      </c>
      <c r="BS894" s="1110">
        <f>SUM(BO894,BP894,BQ894,BR894)</f>
        <v/>
      </c>
      <c r="BT894" s="68">
        <f>BT822</f>
        <v/>
      </c>
      <c r="BU894" s="27">
        <f>BU822-BT822</f>
        <v/>
      </c>
      <c r="BV894" s="588">
        <f>BV822-BU822</f>
        <v/>
      </c>
      <c r="BW894" s="68">
        <f>BW706</f>
        <v/>
      </c>
      <c r="BX894" s="1110">
        <f>SUM(BT894,BU894,BV894,BW894)</f>
        <v/>
      </c>
      <c r="BY894" s="68">
        <f>BY706</f>
        <v/>
      </c>
      <c r="BZ894" s="68">
        <f>BZ706</f>
        <v/>
      </c>
      <c r="CA894" s="68">
        <f>CA706</f>
        <v/>
      </c>
      <c r="CB894" s="68">
        <f>CB706</f>
        <v/>
      </c>
      <c r="CC894" s="1110">
        <f>SUM(BY894,BZ894,CA894,CB894)</f>
        <v/>
      </c>
      <c r="CD894" s="1110">
        <f>CD706</f>
        <v/>
      </c>
      <c r="CE894" s="1110">
        <f>CE706</f>
        <v/>
      </c>
      <c r="CF894" s="1110">
        <f>CF706</f>
        <v/>
      </c>
      <c r="CG894" s="155" t="n"/>
    </row>
    <row r="895">
      <c r="A895" s="99">
        <f>A823</f>
        <v/>
      </c>
      <c r="B895" s="68" t="n"/>
      <c r="C895" s="1110">
        <f>C823</f>
        <v/>
      </c>
      <c r="D895" s="1110">
        <f>D823</f>
        <v/>
      </c>
      <c r="E895" s="1110">
        <f>E823</f>
        <v/>
      </c>
      <c r="F895" s="1110">
        <f>F823</f>
        <v/>
      </c>
      <c r="G895" s="68">
        <f>G823</f>
        <v/>
      </c>
      <c r="H895" s="68">
        <f>H823-G823</f>
        <v/>
      </c>
      <c r="I895" s="68">
        <f>I823-H823</f>
        <v/>
      </c>
      <c r="J895" s="68">
        <f>J823-I823</f>
        <v/>
      </c>
      <c r="K895" s="1110">
        <f>K823</f>
        <v/>
      </c>
      <c r="L895" s="68">
        <f>L823</f>
        <v/>
      </c>
      <c r="M895" s="68">
        <f>M823-L823</f>
        <v/>
      </c>
      <c r="N895" s="68">
        <f>N823-M823</f>
        <v/>
      </c>
      <c r="O895" s="68">
        <f>O823-N823</f>
        <v/>
      </c>
      <c r="P895" s="1110">
        <f>P823</f>
        <v/>
      </c>
      <c r="Q895" s="68">
        <f>Q823</f>
        <v/>
      </c>
      <c r="R895" s="68">
        <f>R823-Q823</f>
        <v/>
      </c>
      <c r="S895" s="68">
        <f>S823-R823</f>
        <v/>
      </c>
      <c r="T895" s="68">
        <f>T823-S823</f>
        <v/>
      </c>
      <c r="U895" s="1110">
        <f>U823</f>
        <v/>
      </c>
      <c r="V895" s="68">
        <f>V823</f>
        <v/>
      </c>
      <c r="W895" s="68">
        <f>W823-V823</f>
        <v/>
      </c>
      <c r="X895" s="68">
        <f>X823-W823</f>
        <v/>
      </c>
      <c r="Y895" s="68">
        <f>Y823-X823</f>
        <v/>
      </c>
      <c r="Z895" s="1110">
        <f>SUM(V895,W895,X895,Y895)</f>
        <v/>
      </c>
      <c r="AA895" s="68">
        <f>AA823</f>
        <v/>
      </c>
      <c r="AB895" s="68">
        <f>AB823-AA823</f>
        <v/>
      </c>
      <c r="AC895" s="68">
        <f>AC823-AB823</f>
        <v/>
      </c>
      <c r="AD895" s="68">
        <f>AD823-AC823</f>
        <v/>
      </c>
      <c r="AE895" s="1110">
        <f>SUM(AA895,AB895,AC895,AD895)</f>
        <v/>
      </c>
      <c r="AF895" s="68">
        <f>AF823</f>
        <v/>
      </c>
      <c r="AG895" s="68">
        <f>AG823-AF823</f>
        <v/>
      </c>
      <c r="AH895" s="68">
        <f>AH823-AG823</f>
        <v/>
      </c>
      <c r="AI895" s="68">
        <f>AI823-AH823</f>
        <v/>
      </c>
      <c r="AJ895" s="1110">
        <f>SUM(AF895,AG895,AH895,AI895)</f>
        <v/>
      </c>
      <c r="AK895" s="68">
        <f>AK823</f>
        <v/>
      </c>
      <c r="AL895" s="68">
        <f>AL823-AK823</f>
        <v/>
      </c>
      <c r="AM895" s="68">
        <f>AM823-AL823</f>
        <v/>
      </c>
      <c r="AN895" s="68">
        <f>AN823-AM823</f>
        <v/>
      </c>
      <c r="AO895" s="1110">
        <f>SUM(AK895,AL895,AM895,AN895)</f>
        <v/>
      </c>
      <c r="AP895" s="68">
        <f>AP823</f>
        <v/>
      </c>
      <c r="AQ895" s="27">
        <f>AQ823-AP823</f>
        <v/>
      </c>
      <c r="AR895" s="68">
        <f>AR823-AQ823</f>
        <v/>
      </c>
      <c r="AS895" s="68">
        <f>AS823-AR823</f>
        <v/>
      </c>
      <c r="AT895" s="1110">
        <f>SUM(AP895,AQ895,AR895,AS895)</f>
        <v/>
      </c>
      <c r="AU895" s="68">
        <f>AU823</f>
        <v/>
      </c>
      <c r="AV895" s="27">
        <f>AV823-AU823</f>
        <v/>
      </c>
      <c r="AW895" s="68">
        <f>AW823-AV823</f>
        <v/>
      </c>
      <c r="AX895" s="68">
        <f>AX823-AW823</f>
        <v/>
      </c>
      <c r="AY895" s="1110">
        <f>SUM(AU895,AV895,AW895,AX895)</f>
        <v/>
      </c>
      <c r="AZ895" s="68">
        <f>AZ823</f>
        <v/>
      </c>
      <c r="BA895" s="27">
        <f>BA823-AZ823</f>
        <v/>
      </c>
      <c r="BB895" s="68">
        <f>BB823-BA823</f>
        <v/>
      </c>
      <c r="BC895" s="68">
        <f>BC823-BB823</f>
        <v/>
      </c>
      <c r="BD895" s="1110">
        <f>SUM(AZ895,BA895,BB895,BC895)</f>
        <v/>
      </c>
      <c r="BE895" s="68">
        <f>BE823</f>
        <v/>
      </c>
      <c r="BF895" s="27">
        <f>BF823-BE823</f>
        <v/>
      </c>
      <c r="BG895" s="68">
        <f>BG823-BF823</f>
        <v/>
      </c>
      <c r="BH895" s="68">
        <f>BH823-BG823</f>
        <v/>
      </c>
      <c r="BI895" s="1110">
        <f>SUM(BE895,BF895,BG895,BH895)</f>
        <v/>
      </c>
      <c r="BJ895" s="68">
        <f>BJ823</f>
        <v/>
      </c>
      <c r="BK895" s="27">
        <f>BK823-BJ823</f>
        <v/>
      </c>
      <c r="BL895" s="68">
        <f>BL823-BK823</f>
        <v/>
      </c>
      <c r="BM895" s="68">
        <f>BM823-BL823</f>
        <v/>
      </c>
      <c r="BN895" s="1110">
        <f>SUM(BJ895,BK895,BL895,BM895)</f>
        <v/>
      </c>
      <c r="BO895" s="68">
        <f>BO823</f>
        <v/>
      </c>
      <c r="BP895" s="27">
        <f>BP823-BO823</f>
        <v/>
      </c>
      <c r="BQ895" s="68">
        <f>BQ823-BP823</f>
        <v/>
      </c>
      <c r="BR895" s="68">
        <f>BR823-BQ823</f>
        <v/>
      </c>
      <c r="BS895" s="1110">
        <f>SUM(BO895,BP895,BQ895,BR895)</f>
        <v/>
      </c>
      <c r="BT895" s="68">
        <f>BT823</f>
        <v/>
      </c>
      <c r="BU895" s="27">
        <f>BU823-BT823</f>
        <v/>
      </c>
      <c r="BV895" s="588">
        <f>BV823-BU823</f>
        <v/>
      </c>
      <c r="BW895" s="68" t="n"/>
      <c r="BX895" s="1110">
        <f>SUM(BT895,BU895,BV895,BW895)</f>
        <v/>
      </c>
      <c r="BY895" s="68" t="n"/>
      <c r="BZ895" s="68" t="n"/>
      <c r="CA895" s="68" t="n"/>
      <c r="CB895" s="68" t="n"/>
      <c r="CC895" s="1110">
        <f>SUM(BY895,BZ895,CA895,CB895)</f>
        <v/>
      </c>
      <c r="CD895" s="1110" t="n"/>
      <c r="CE895" s="1110" t="n"/>
      <c r="CF895" s="1110" t="n"/>
      <c r="CG895" s="155" t="n"/>
    </row>
    <row r="896">
      <c r="A896" s="99">
        <f>A824</f>
        <v/>
      </c>
      <c r="B896" s="68" t="n"/>
      <c r="C896" s="1110">
        <f>C824</f>
        <v/>
      </c>
      <c r="D896" s="1110">
        <f>D824</f>
        <v/>
      </c>
      <c r="E896" s="1110">
        <f>E824</f>
        <v/>
      </c>
      <c r="F896" s="1110">
        <f>F824</f>
        <v/>
      </c>
      <c r="G896" s="68">
        <f>G824</f>
        <v/>
      </c>
      <c r="H896" s="68">
        <f>H824-G824</f>
        <v/>
      </c>
      <c r="I896" s="68">
        <f>I824-H824</f>
        <v/>
      </c>
      <c r="J896" s="68">
        <f>J824-I824</f>
        <v/>
      </c>
      <c r="K896" s="1110">
        <f>K824</f>
        <v/>
      </c>
      <c r="L896" s="68">
        <f>L824</f>
        <v/>
      </c>
      <c r="M896" s="68">
        <f>M824-L824</f>
        <v/>
      </c>
      <c r="N896" s="68">
        <f>N824-M824</f>
        <v/>
      </c>
      <c r="O896" s="68">
        <f>O824-N824</f>
        <v/>
      </c>
      <c r="P896" s="1110">
        <f>P824</f>
        <v/>
      </c>
      <c r="Q896" s="68">
        <f>Q824</f>
        <v/>
      </c>
      <c r="R896" s="68">
        <f>R824-Q824</f>
        <v/>
      </c>
      <c r="S896" s="68">
        <f>S824-R824</f>
        <v/>
      </c>
      <c r="T896" s="68">
        <f>T824-S824</f>
        <v/>
      </c>
      <c r="U896" s="1110">
        <f>U824</f>
        <v/>
      </c>
      <c r="V896" s="68">
        <f>V824</f>
        <v/>
      </c>
      <c r="W896" s="68">
        <f>W824-V824</f>
        <v/>
      </c>
      <c r="X896" s="68">
        <f>X824-W824</f>
        <v/>
      </c>
      <c r="Y896" s="68">
        <f>Y824-X824</f>
        <v/>
      </c>
      <c r="Z896" s="1110">
        <f>SUM(V896,W896,X896,Y896)</f>
        <v/>
      </c>
      <c r="AA896" s="68">
        <f>AA824</f>
        <v/>
      </c>
      <c r="AB896" s="68">
        <f>AB824-AA824</f>
        <v/>
      </c>
      <c r="AC896" s="68">
        <f>AC824-AB824</f>
        <v/>
      </c>
      <c r="AD896" s="68">
        <f>AD824-AC824</f>
        <v/>
      </c>
      <c r="AE896" s="1110">
        <f>SUM(AA896,AB896,AC896,AD896)</f>
        <v/>
      </c>
      <c r="AF896" s="68">
        <f>AF824</f>
        <v/>
      </c>
      <c r="AG896" s="68">
        <f>AG824-AF824</f>
        <v/>
      </c>
      <c r="AH896" s="68">
        <f>AH824-AG824</f>
        <v/>
      </c>
      <c r="AI896" s="68">
        <f>AI824-AH824</f>
        <v/>
      </c>
      <c r="AJ896" s="1110">
        <f>SUM(AF896,AG896,AH896,AI896)</f>
        <v/>
      </c>
      <c r="AK896" s="68">
        <f>AK824</f>
        <v/>
      </c>
      <c r="AL896" s="68">
        <f>AL824-AK824</f>
        <v/>
      </c>
      <c r="AM896" s="68">
        <f>AM824-AL824</f>
        <v/>
      </c>
      <c r="AN896" s="68">
        <f>AN824-AM824</f>
        <v/>
      </c>
      <c r="AO896" s="1110">
        <f>SUM(AK896,AL896,AM896,AN896)</f>
        <v/>
      </c>
      <c r="AP896" s="68">
        <f>AP824</f>
        <v/>
      </c>
      <c r="AQ896" s="27">
        <f>AQ824-AP824</f>
        <v/>
      </c>
      <c r="AR896" s="68">
        <f>AR824-AQ824</f>
        <v/>
      </c>
      <c r="AS896" s="68">
        <f>AS824-AR824</f>
        <v/>
      </c>
      <c r="AT896" s="1110">
        <f>SUM(AP896,AQ896,AR896,AS896)</f>
        <v/>
      </c>
      <c r="AU896" s="68">
        <f>AU824</f>
        <v/>
      </c>
      <c r="AV896" s="27">
        <f>AV824-AU824</f>
        <v/>
      </c>
      <c r="AW896" s="68">
        <f>AW824-AV824</f>
        <v/>
      </c>
      <c r="AX896" s="68">
        <f>AX824-AW824</f>
        <v/>
      </c>
      <c r="AY896" s="1110">
        <f>SUM(AU896,AV896,AW896,AX896)</f>
        <v/>
      </c>
      <c r="AZ896" s="68">
        <f>AZ824</f>
        <v/>
      </c>
      <c r="BA896" s="27">
        <f>BA824-AZ824</f>
        <v/>
      </c>
      <c r="BB896" s="68">
        <f>BB824-BA824</f>
        <v/>
      </c>
      <c r="BC896" s="68">
        <f>BC824-BB824</f>
        <v/>
      </c>
      <c r="BD896" s="1110">
        <f>SUM(AZ896,BA896,BB896,BC896)</f>
        <v/>
      </c>
      <c r="BE896" s="68">
        <f>BE824</f>
        <v/>
      </c>
      <c r="BF896" s="27">
        <f>BF824-BE824</f>
        <v/>
      </c>
      <c r="BG896" s="68">
        <f>BG824-BF824</f>
        <v/>
      </c>
      <c r="BH896" s="68">
        <f>BH824-BG824</f>
        <v/>
      </c>
      <c r="BI896" s="1110">
        <f>SUM(BE896,BF896,BG896,BH896)</f>
        <v/>
      </c>
      <c r="BJ896" s="68">
        <f>BJ824</f>
        <v/>
      </c>
      <c r="BK896" s="27">
        <f>BK824-BJ824</f>
        <v/>
      </c>
      <c r="BL896" s="68">
        <f>BL824-BK824</f>
        <v/>
      </c>
      <c r="BM896" s="68">
        <f>BM824-BL824</f>
        <v/>
      </c>
      <c r="BN896" s="1110">
        <f>SUM(BJ896,BK896,BL896,BM896)</f>
        <v/>
      </c>
      <c r="BO896" s="68">
        <f>BO824</f>
        <v/>
      </c>
      <c r="BP896" s="27">
        <f>BP824-BO824</f>
        <v/>
      </c>
      <c r="BQ896" s="68">
        <f>BQ824-BP824</f>
        <v/>
      </c>
      <c r="BR896" s="68">
        <f>BR824-BQ824</f>
        <v/>
      </c>
      <c r="BS896" s="1110">
        <f>SUM(BO896,BP896,BQ896,BR896)</f>
        <v/>
      </c>
      <c r="BT896" s="68">
        <f>BT824</f>
        <v/>
      </c>
      <c r="BU896" s="27">
        <f>BU824-BT824</f>
        <v/>
      </c>
      <c r="BV896" s="588">
        <f>BV824-BU824</f>
        <v/>
      </c>
      <c r="BW896" s="68" t="n"/>
      <c r="BX896" s="1110">
        <f>SUM(BT896,BU896,BV896,BW896)</f>
        <v/>
      </c>
      <c r="BY896" s="68" t="n"/>
      <c r="BZ896" s="68" t="n"/>
      <c r="CA896" s="68" t="n"/>
      <c r="CB896" s="68" t="n"/>
      <c r="CC896" s="1110">
        <f>SUM(BY896,BZ896,CA896,CB896)</f>
        <v/>
      </c>
      <c r="CD896" s="1110" t="n"/>
      <c r="CE896" s="1110" t="n"/>
      <c r="CF896" s="1110" t="n"/>
      <c r="CG896" s="155" t="n"/>
    </row>
    <row r="897">
      <c r="A897" s="99">
        <f>A825</f>
        <v/>
      </c>
      <c r="B897" s="68" t="n"/>
      <c r="C897" s="1110">
        <f>C825</f>
        <v/>
      </c>
      <c r="D897" s="1110">
        <f>D825</f>
        <v/>
      </c>
      <c r="E897" s="1110">
        <f>E825</f>
        <v/>
      </c>
      <c r="F897" s="1110">
        <f>F825</f>
        <v/>
      </c>
      <c r="G897" s="68">
        <f>G825</f>
        <v/>
      </c>
      <c r="H897" s="68">
        <f>H825-G825</f>
        <v/>
      </c>
      <c r="I897" s="68">
        <f>I825-H825</f>
        <v/>
      </c>
      <c r="J897" s="68">
        <f>J825-I825</f>
        <v/>
      </c>
      <c r="K897" s="1110">
        <f>K825</f>
        <v/>
      </c>
      <c r="L897" s="68">
        <f>L825</f>
        <v/>
      </c>
      <c r="M897" s="68">
        <f>M825-L825</f>
        <v/>
      </c>
      <c r="N897" s="68">
        <f>N825-M825</f>
        <v/>
      </c>
      <c r="O897" s="68">
        <f>O825-N825</f>
        <v/>
      </c>
      <c r="P897" s="1110">
        <f>P825</f>
        <v/>
      </c>
      <c r="Q897" s="68">
        <f>Q825</f>
        <v/>
      </c>
      <c r="R897" s="68">
        <f>R825-Q825</f>
        <v/>
      </c>
      <c r="S897" s="68">
        <f>S825-R825</f>
        <v/>
      </c>
      <c r="T897" s="68">
        <f>T825-S825</f>
        <v/>
      </c>
      <c r="U897" s="1110">
        <f>U825</f>
        <v/>
      </c>
      <c r="V897" s="68">
        <f>V825</f>
        <v/>
      </c>
      <c r="W897" s="68">
        <f>W825-V825</f>
        <v/>
      </c>
      <c r="X897" s="68">
        <f>X825-W825</f>
        <v/>
      </c>
      <c r="Y897" s="68">
        <f>Y825-X825</f>
        <v/>
      </c>
      <c r="Z897" s="1110">
        <f>SUM(V897,W897,X897,Y897)</f>
        <v/>
      </c>
      <c r="AA897" s="68">
        <f>AA825</f>
        <v/>
      </c>
      <c r="AB897" s="68">
        <f>AB825-AA825</f>
        <v/>
      </c>
      <c r="AC897" s="68">
        <f>AC825-AB825</f>
        <v/>
      </c>
      <c r="AD897" s="68">
        <f>AD825-AC825</f>
        <v/>
      </c>
      <c r="AE897" s="1110">
        <f>SUM(AA897,AB897,AC897,AD897)</f>
        <v/>
      </c>
      <c r="AF897" s="68">
        <f>AF825</f>
        <v/>
      </c>
      <c r="AG897" s="68">
        <f>AG825-AF825</f>
        <v/>
      </c>
      <c r="AH897" s="68">
        <f>AH825-AG825</f>
        <v/>
      </c>
      <c r="AI897" s="68">
        <f>AI825-AH825</f>
        <v/>
      </c>
      <c r="AJ897" s="1110">
        <f>SUM(AF897,AG897,AH897,AI897)</f>
        <v/>
      </c>
      <c r="AK897" s="68">
        <f>AK825</f>
        <v/>
      </c>
      <c r="AL897" s="68">
        <f>AL825-AK825</f>
        <v/>
      </c>
      <c r="AM897" s="68">
        <f>AM825-AL825</f>
        <v/>
      </c>
      <c r="AN897" s="68">
        <f>AN825-AM825</f>
        <v/>
      </c>
      <c r="AO897" s="1110">
        <f>SUM(AK897,AL897,AM897,AN897)</f>
        <v/>
      </c>
      <c r="AP897" s="68">
        <f>AP825</f>
        <v/>
      </c>
      <c r="AQ897" s="27">
        <f>AQ825-AP825</f>
        <v/>
      </c>
      <c r="AR897" s="68">
        <f>AR825-AQ825</f>
        <v/>
      </c>
      <c r="AS897" s="68">
        <f>AS825-AR825</f>
        <v/>
      </c>
      <c r="AT897" s="1110">
        <f>SUM(AP897,AQ897,AR897,AS897)</f>
        <v/>
      </c>
      <c r="AU897" s="68">
        <f>AU825</f>
        <v/>
      </c>
      <c r="AV897" s="27">
        <f>AV825-AU825</f>
        <v/>
      </c>
      <c r="AW897" s="68">
        <f>AW825-AV825</f>
        <v/>
      </c>
      <c r="AX897" s="68">
        <f>AX825-AW825</f>
        <v/>
      </c>
      <c r="AY897" s="1110">
        <f>SUM(AU897,AV897,AW897,AX897)</f>
        <v/>
      </c>
      <c r="AZ897" s="68">
        <f>AZ825</f>
        <v/>
      </c>
      <c r="BA897" s="27">
        <f>BA825-AZ825</f>
        <v/>
      </c>
      <c r="BB897" s="68">
        <f>BB825-BA825</f>
        <v/>
      </c>
      <c r="BC897" s="68">
        <f>BC825-BB825</f>
        <v/>
      </c>
      <c r="BD897" s="1110">
        <f>SUM(AZ897,BA897,BB897,BC897)</f>
        <v/>
      </c>
      <c r="BE897" s="68">
        <f>BE825</f>
        <v/>
      </c>
      <c r="BF897" s="27">
        <f>BF825-BE825</f>
        <v/>
      </c>
      <c r="BG897" s="68">
        <f>BG825-BF825</f>
        <v/>
      </c>
      <c r="BH897" s="68">
        <f>BH825-BG825</f>
        <v/>
      </c>
      <c r="BI897" s="1110">
        <f>SUM(BE897,BF897,BG897,BH897)</f>
        <v/>
      </c>
      <c r="BJ897" s="68">
        <f>BJ825</f>
        <v/>
      </c>
      <c r="BK897" s="27">
        <f>BK825-BJ825</f>
        <v/>
      </c>
      <c r="BL897" s="68">
        <f>BL825-BK825</f>
        <v/>
      </c>
      <c r="BM897" s="68">
        <f>BM825-BL825</f>
        <v/>
      </c>
      <c r="BN897" s="1110">
        <f>SUM(BJ897,BK897,BL897,BM897)</f>
        <v/>
      </c>
      <c r="BO897" s="68">
        <f>BO825</f>
        <v/>
      </c>
      <c r="BP897" s="27">
        <f>BP825-BO825</f>
        <v/>
      </c>
      <c r="BQ897" s="68">
        <f>BQ825-BP825</f>
        <v/>
      </c>
      <c r="BR897" s="68">
        <f>BR825-BQ825</f>
        <v/>
      </c>
      <c r="BS897" s="1110">
        <f>SUM(BO897,BP897,BQ897,BR897)</f>
        <v/>
      </c>
      <c r="BT897" s="68">
        <f>BT825</f>
        <v/>
      </c>
      <c r="BU897" s="27">
        <f>BU825-BT825</f>
        <v/>
      </c>
      <c r="BV897" s="588">
        <f>BV825-BU825</f>
        <v/>
      </c>
      <c r="BW897" s="68" t="n"/>
      <c r="BX897" s="1110">
        <f>SUM(BT897,BU897,BV897,BW897)</f>
        <v/>
      </c>
      <c r="BY897" s="68" t="n"/>
      <c r="BZ897" s="68" t="n"/>
      <c r="CA897" s="68" t="n"/>
      <c r="CB897" s="68" t="n"/>
      <c r="CC897" s="1110">
        <f>SUM(BY897,BZ897,CA897,CB897)</f>
        <v/>
      </c>
      <c r="CD897" s="1110" t="n"/>
      <c r="CE897" s="1110" t="n"/>
      <c r="CF897" s="1110" t="n"/>
      <c r="CG897" s="155" t="n"/>
    </row>
    <row r="898">
      <c r="A898" s="99">
        <f>A826</f>
        <v/>
      </c>
      <c r="B898" s="68" t="n"/>
      <c r="C898" s="1110">
        <f>C826</f>
        <v/>
      </c>
      <c r="D898" s="1110">
        <f>D826</f>
        <v/>
      </c>
      <c r="E898" s="1110">
        <f>E826</f>
        <v/>
      </c>
      <c r="F898" s="1110">
        <f>F826</f>
        <v/>
      </c>
      <c r="G898" s="68">
        <f>G826</f>
        <v/>
      </c>
      <c r="H898" s="68">
        <f>H826-G826</f>
        <v/>
      </c>
      <c r="I898" s="68">
        <f>I826-H826</f>
        <v/>
      </c>
      <c r="J898" s="68">
        <f>J826-I826</f>
        <v/>
      </c>
      <c r="K898" s="1110">
        <f>K826</f>
        <v/>
      </c>
      <c r="L898" s="68">
        <f>L826</f>
        <v/>
      </c>
      <c r="M898" s="68">
        <f>M826-L826</f>
        <v/>
      </c>
      <c r="N898" s="68">
        <f>N826-M826</f>
        <v/>
      </c>
      <c r="O898" s="68">
        <f>O826-N826</f>
        <v/>
      </c>
      <c r="P898" s="1110">
        <f>P826</f>
        <v/>
      </c>
      <c r="Q898" s="68">
        <f>Q826</f>
        <v/>
      </c>
      <c r="R898" s="68">
        <f>R826-Q826</f>
        <v/>
      </c>
      <c r="S898" s="68">
        <f>S826-R826</f>
        <v/>
      </c>
      <c r="T898" s="68">
        <f>T826-S826</f>
        <v/>
      </c>
      <c r="U898" s="1110">
        <f>U826</f>
        <v/>
      </c>
      <c r="V898" s="68">
        <f>V826</f>
        <v/>
      </c>
      <c r="W898" s="68">
        <f>W826-V826</f>
        <v/>
      </c>
      <c r="X898" s="68">
        <f>X826-W826</f>
        <v/>
      </c>
      <c r="Y898" s="68">
        <f>Y826-X826</f>
        <v/>
      </c>
      <c r="Z898" s="1110">
        <f>SUM(V898,W898,X898,Y898)</f>
        <v/>
      </c>
      <c r="AA898" s="68">
        <f>AA826</f>
        <v/>
      </c>
      <c r="AB898" s="68">
        <f>AB826-AA826</f>
        <v/>
      </c>
      <c r="AC898" s="68">
        <f>AC826-AB826</f>
        <v/>
      </c>
      <c r="AD898" s="68">
        <f>AD826-AC826</f>
        <v/>
      </c>
      <c r="AE898" s="1110">
        <f>SUM(AA898,AB898,AC898,AD898)</f>
        <v/>
      </c>
      <c r="AF898" s="68">
        <f>AF826</f>
        <v/>
      </c>
      <c r="AG898" s="68">
        <f>AG826-AF826</f>
        <v/>
      </c>
      <c r="AH898" s="68">
        <f>AH826-AG826</f>
        <v/>
      </c>
      <c r="AI898" s="68">
        <f>AI826-AH826</f>
        <v/>
      </c>
      <c r="AJ898" s="1110">
        <f>SUM(AF898,AG898,AH898,AI898)</f>
        <v/>
      </c>
      <c r="AK898" s="68">
        <f>AK826</f>
        <v/>
      </c>
      <c r="AL898" s="68">
        <f>AL826-AK826</f>
        <v/>
      </c>
      <c r="AM898" s="68">
        <f>AM826-AL826</f>
        <v/>
      </c>
      <c r="AN898" s="68">
        <f>AN826-AM826</f>
        <v/>
      </c>
      <c r="AO898" s="1110">
        <f>SUM(AK898,AL898,AM898,AN898)</f>
        <v/>
      </c>
      <c r="AP898" s="68">
        <f>AP826</f>
        <v/>
      </c>
      <c r="AQ898" s="27">
        <f>AQ826-AP826</f>
        <v/>
      </c>
      <c r="AR898" s="68">
        <f>AR826-AQ826</f>
        <v/>
      </c>
      <c r="AS898" s="68">
        <f>AS826-AR826</f>
        <v/>
      </c>
      <c r="AT898" s="1110">
        <f>SUM(AP898,AQ898,AR898,AS898)</f>
        <v/>
      </c>
      <c r="AU898" s="68">
        <f>AU826</f>
        <v/>
      </c>
      <c r="AV898" s="27">
        <f>AV826-AU826</f>
        <v/>
      </c>
      <c r="AW898" s="68">
        <f>AW826-AV826</f>
        <v/>
      </c>
      <c r="AX898" s="68">
        <f>AX826-AW826</f>
        <v/>
      </c>
      <c r="AY898" s="1110">
        <f>SUM(AU898,AV898,AW898,AX898)</f>
        <v/>
      </c>
      <c r="AZ898" s="68">
        <f>AZ826</f>
        <v/>
      </c>
      <c r="BA898" s="27">
        <f>BA826-AZ826</f>
        <v/>
      </c>
      <c r="BB898" s="68">
        <f>BB826-BA826</f>
        <v/>
      </c>
      <c r="BC898" s="68">
        <f>BC826-BB826</f>
        <v/>
      </c>
      <c r="BD898" s="1110">
        <f>SUM(AZ898,BA898,BB898,BC898)</f>
        <v/>
      </c>
      <c r="BE898" s="68">
        <f>BE826</f>
        <v/>
      </c>
      <c r="BF898" s="27">
        <f>BF826-BE826</f>
        <v/>
      </c>
      <c r="BG898" s="68">
        <f>BG826-BF826</f>
        <v/>
      </c>
      <c r="BH898" s="68">
        <f>BH826-BG826</f>
        <v/>
      </c>
      <c r="BI898" s="1110">
        <f>SUM(BE898,BF898,BG898,BH898)</f>
        <v/>
      </c>
      <c r="BJ898" s="68">
        <f>BJ826</f>
        <v/>
      </c>
      <c r="BK898" s="27">
        <f>BK826-BJ826</f>
        <v/>
      </c>
      <c r="BL898" s="68">
        <f>BL826-BK826</f>
        <v/>
      </c>
      <c r="BM898" s="68">
        <f>BM826-BL826</f>
        <v/>
      </c>
      <c r="BN898" s="1110">
        <f>SUM(BJ898,BK898,BL898,BM898)</f>
        <v/>
      </c>
      <c r="BO898" s="68">
        <f>BO826</f>
        <v/>
      </c>
      <c r="BP898" s="27">
        <f>BP826-BO826</f>
        <v/>
      </c>
      <c r="BQ898" s="68">
        <f>BQ826-BP826</f>
        <v/>
      </c>
      <c r="BR898" s="68">
        <f>BR826-BQ826</f>
        <v/>
      </c>
      <c r="BS898" s="1110">
        <f>SUM(BO898,BP898,BQ898,BR898)</f>
        <v/>
      </c>
      <c r="BT898" s="68">
        <f>BT826</f>
        <v/>
      </c>
      <c r="BU898" s="27">
        <f>BU826-BT826</f>
        <v/>
      </c>
      <c r="BV898" s="588">
        <f>BV826-BU826</f>
        <v/>
      </c>
      <c r="BW898" s="68" t="n"/>
      <c r="BX898" s="1110">
        <f>SUM(BT898,BU898,BV898,BW898)</f>
        <v/>
      </c>
      <c r="BY898" s="68" t="n"/>
      <c r="BZ898" s="68" t="n"/>
      <c r="CA898" s="68" t="n"/>
      <c r="CB898" s="68" t="n"/>
      <c r="CC898" s="1110">
        <f>SUM(BY898,BZ898,CA898,CB898)</f>
        <v/>
      </c>
      <c r="CD898" s="1110" t="n"/>
      <c r="CE898" s="1110" t="n"/>
      <c r="CF898" s="1110" t="n"/>
      <c r="CG898" s="155" t="n"/>
    </row>
    <row r="899">
      <c r="A899" s="99">
        <f>A827</f>
        <v/>
      </c>
      <c r="B899" s="68" t="n"/>
      <c r="C899" s="1110">
        <f>C827</f>
        <v/>
      </c>
      <c r="D899" s="1110">
        <f>D827</f>
        <v/>
      </c>
      <c r="E899" s="1110">
        <f>E827</f>
        <v/>
      </c>
      <c r="F899" s="1110">
        <f>F827</f>
        <v/>
      </c>
      <c r="G899" s="68">
        <f>G827</f>
        <v/>
      </c>
      <c r="H899" s="68">
        <f>H827-G827</f>
        <v/>
      </c>
      <c r="I899" s="68">
        <f>I827-H827</f>
        <v/>
      </c>
      <c r="J899" s="68">
        <f>J827-I827</f>
        <v/>
      </c>
      <c r="K899" s="1110">
        <f>K827</f>
        <v/>
      </c>
      <c r="L899" s="68">
        <f>L827</f>
        <v/>
      </c>
      <c r="M899" s="68">
        <f>M827-L827</f>
        <v/>
      </c>
      <c r="N899" s="68">
        <f>N827-M827</f>
        <v/>
      </c>
      <c r="O899" s="68">
        <f>O827-N827</f>
        <v/>
      </c>
      <c r="P899" s="1110">
        <f>P827</f>
        <v/>
      </c>
      <c r="Q899" s="68">
        <f>Q827</f>
        <v/>
      </c>
      <c r="R899" s="68">
        <f>R827-Q827</f>
        <v/>
      </c>
      <c r="S899" s="68">
        <f>S827-R827</f>
        <v/>
      </c>
      <c r="T899" s="68">
        <f>T827-S827</f>
        <v/>
      </c>
      <c r="U899" s="1110">
        <f>U827</f>
        <v/>
      </c>
      <c r="V899" s="68">
        <f>V827</f>
        <v/>
      </c>
      <c r="W899" s="68">
        <f>W827-V827</f>
        <v/>
      </c>
      <c r="X899" s="68">
        <f>X827-W827</f>
        <v/>
      </c>
      <c r="Y899" s="68">
        <f>Y827-X827</f>
        <v/>
      </c>
      <c r="Z899" s="1110">
        <f>SUM(V899,W899,X899,Y899)</f>
        <v/>
      </c>
      <c r="AA899" s="68">
        <f>AA827</f>
        <v/>
      </c>
      <c r="AB899" s="68">
        <f>AB827-AA827</f>
        <v/>
      </c>
      <c r="AC899" s="68">
        <f>AC827-AB827</f>
        <v/>
      </c>
      <c r="AD899" s="68">
        <f>AD827-AC827</f>
        <v/>
      </c>
      <c r="AE899" s="1110">
        <f>SUM(AA899,AB899,AC899,AD899)</f>
        <v/>
      </c>
      <c r="AF899" s="68">
        <f>AF827</f>
        <v/>
      </c>
      <c r="AG899" s="68">
        <f>AG827-AF827</f>
        <v/>
      </c>
      <c r="AH899" s="68">
        <f>AH827-AG827</f>
        <v/>
      </c>
      <c r="AI899" s="68">
        <f>AI827-AH827</f>
        <v/>
      </c>
      <c r="AJ899" s="1110">
        <f>SUM(AF899,AG899,AH899,AI899)</f>
        <v/>
      </c>
      <c r="AK899" s="68">
        <f>AK827</f>
        <v/>
      </c>
      <c r="AL899" s="68">
        <f>AL827-AK827</f>
        <v/>
      </c>
      <c r="AM899" s="68">
        <f>AM827-AL827</f>
        <v/>
      </c>
      <c r="AN899" s="68">
        <f>AN827-AM827</f>
        <v/>
      </c>
      <c r="AO899" s="1110">
        <f>SUM(AK899,AL899,AM899,AN899)</f>
        <v/>
      </c>
      <c r="AP899" s="68">
        <f>AP827</f>
        <v/>
      </c>
      <c r="AQ899" s="27">
        <f>AQ827-AP827</f>
        <v/>
      </c>
      <c r="AR899" s="68">
        <f>AR827-AQ827</f>
        <v/>
      </c>
      <c r="AS899" s="68">
        <f>AS827-AR827</f>
        <v/>
      </c>
      <c r="AT899" s="1110">
        <f>SUM(AP899,AQ899,AR899,AS899)</f>
        <v/>
      </c>
      <c r="AU899" s="68">
        <f>AU827</f>
        <v/>
      </c>
      <c r="AV899" s="27">
        <f>AV827-AU827</f>
        <v/>
      </c>
      <c r="AW899" s="68">
        <f>AW827-AV827</f>
        <v/>
      </c>
      <c r="AX899" s="68">
        <f>AX827-AW827</f>
        <v/>
      </c>
      <c r="AY899" s="1110">
        <f>SUM(AU899,AV899,AW899,AX899)</f>
        <v/>
      </c>
      <c r="AZ899" s="68">
        <f>AZ827</f>
        <v/>
      </c>
      <c r="BA899" s="27">
        <f>BA827-AZ827</f>
        <v/>
      </c>
      <c r="BB899" s="68">
        <f>BB827-BA827</f>
        <v/>
      </c>
      <c r="BC899" s="68">
        <f>BC827-BB827</f>
        <v/>
      </c>
      <c r="BD899" s="1110">
        <f>SUM(AZ899,BA899,BB899,BC899)</f>
        <v/>
      </c>
      <c r="BE899" s="68">
        <f>BE827</f>
        <v/>
      </c>
      <c r="BF899" s="27">
        <f>BF827-BE827</f>
        <v/>
      </c>
      <c r="BG899" s="68">
        <f>BG827-BF827</f>
        <v/>
      </c>
      <c r="BH899" s="68">
        <f>BH827-BG827</f>
        <v/>
      </c>
      <c r="BI899" s="1110">
        <f>SUM(BE899,BF899,BG899,BH899)</f>
        <v/>
      </c>
      <c r="BJ899" s="68">
        <f>BJ827</f>
        <v/>
      </c>
      <c r="BK899" s="27">
        <f>BK827-BJ827</f>
        <v/>
      </c>
      <c r="BL899" s="68">
        <f>BL827-BK827</f>
        <v/>
      </c>
      <c r="BM899" s="68">
        <f>BM827-BL827</f>
        <v/>
      </c>
      <c r="BN899" s="1110">
        <f>SUM(BJ899,BK899,BL899,BM899)</f>
        <v/>
      </c>
      <c r="BO899" s="68">
        <f>BO827</f>
        <v/>
      </c>
      <c r="BP899" s="27">
        <f>BP827-BO827</f>
        <v/>
      </c>
      <c r="BQ899" s="68">
        <f>BQ827-BP827</f>
        <v/>
      </c>
      <c r="BR899" s="68">
        <f>BR827-BQ827</f>
        <v/>
      </c>
      <c r="BS899" s="1110">
        <f>SUM(BO899,BP899,BQ899,BR899)</f>
        <v/>
      </c>
      <c r="BT899" s="68">
        <f>BT827</f>
        <v/>
      </c>
      <c r="BU899" s="27">
        <f>BU827-BT827</f>
        <v/>
      </c>
      <c r="BV899" s="588">
        <f>BV827-BU827</f>
        <v/>
      </c>
      <c r="BW899" s="68" t="n"/>
      <c r="BX899" s="1110">
        <f>SUM(BT899,BU899,BV899,BW899)</f>
        <v/>
      </c>
      <c r="BY899" s="68" t="n"/>
      <c r="BZ899" s="68" t="n"/>
      <c r="CA899" s="68" t="n"/>
      <c r="CB899" s="68" t="n"/>
      <c r="CC899" s="1110">
        <f>SUM(BY899,BZ899,CA899,CB899)</f>
        <v/>
      </c>
      <c r="CD899" s="1110" t="n"/>
      <c r="CE899" s="1110" t="n"/>
      <c r="CF899" s="1110" t="n"/>
      <c r="CG899" s="155" t="n"/>
    </row>
    <row r="900">
      <c r="A900" s="99">
        <f>A828</f>
        <v/>
      </c>
      <c r="B900" s="68" t="n"/>
      <c r="C900" s="1110">
        <f>C828</f>
        <v/>
      </c>
      <c r="D900" s="1110">
        <f>D828</f>
        <v/>
      </c>
      <c r="E900" s="1110">
        <f>E828</f>
        <v/>
      </c>
      <c r="F900" s="1110">
        <f>F828</f>
        <v/>
      </c>
      <c r="G900" s="68">
        <f>G828</f>
        <v/>
      </c>
      <c r="H900" s="68">
        <f>H828-G828</f>
        <v/>
      </c>
      <c r="I900" s="68">
        <f>I828-H828</f>
        <v/>
      </c>
      <c r="J900" s="68">
        <f>J828-I828</f>
        <v/>
      </c>
      <c r="K900" s="1110">
        <f>K828</f>
        <v/>
      </c>
      <c r="L900" s="68">
        <f>L828</f>
        <v/>
      </c>
      <c r="M900" s="68">
        <f>M828-L828</f>
        <v/>
      </c>
      <c r="N900" s="68">
        <f>N828-M828</f>
        <v/>
      </c>
      <c r="O900" s="68">
        <f>O828-N828</f>
        <v/>
      </c>
      <c r="P900" s="1110">
        <f>P828</f>
        <v/>
      </c>
      <c r="Q900" s="68">
        <f>Q828</f>
        <v/>
      </c>
      <c r="R900" s="68">
        <f>R828-Q828</f>
        <v/>
      </c>
      <c r="S900" s="68">
        <f>S828-R828</f>
        <v/>
      </c>
      <c r="T900" s="68">
        <f>T828-S828</f>
        <v/>
      </c>
      <c r="U900" s="1110">
        <f>U828</f>
        <v/>
      </c>
      <c r="V900" s="68">
        <f>V828</f>
        <v/>
      </c>
      <c r="W900" s="68">
        <f>W828-V828</f>
        <v/>
      </c>
      <c r="X900" s="68">
        <f>X828-W828</f>
        <v/>
      </c>
      <c r="Y900" s="68">
        <f>Y828-X828</f>
        <v/>
      </c>
      <c r="Z900" s="1110">
        <f>SUM(V900,W900,X900,Y900)</f>
        <v/>
      </c>
      <c r="AA900" s="68">
        <f>AA828</f>
        <v/>
      </c>
      <c r="AB900" s="68">
        <f>AB828-AA828</f>
        <v/>
      </c>
      <c r="AC900" s="68">
        <f>AC828-AB828</f>
        <v/>
      </c>
      <c r="AD900" s="68">
        <f>AD828-AC828</f>
        <v/>
      </c>
      <c r="AE900" s="1110">
        <f>SUM(AA900,AB900,AC900,AD900)</f>
        <v/>
      </c>
      <c r="AF900" s="68">
        <f>AF828</f>
        <v/>
      </c>
      <c r="AG900" s="68">
        <f>AG828-AF828</f>
        <v/>
      </c>
      <c r="AH900" s="68">
        <f>AH828-AG828</f>
        <v/>
      </c>
      <c r="AI900" s="68">
        <f>AI828-AH828</f>
        <v/>
      </c>
      <c r="AJ900" s="1110">
        <f>SUM(AF900,AG900,AH900,AI900)</f>
        <v/>
      </c>
      <c r="AK900" s="68">
        <f>AK828</f>
        <v/>
      </c>
      <c r="AL900" s="68">
        <f>AL828-AK828</f>
        <v/>
      </c>
      <c r="AM900" s="68">
        <f>AM828-AL828</f>
        <v/>
      </c>
      <c r="AN900" s="68">
        <f>AN828-AM828</f>
        <v/>
      </c>
      <c r="AO900" s="1110">
        <f>SUM(AK900,AL900,AM900,AN900)</f>
        <v/>
      </c>
      <c r="AP900" s="68">
        <f>AP828</f>
        <v/>
      </c>
      <c r="AQ900" s="27">
        <f>AQ828-AP828</f>
        <v/>
      </c>
      <c r="AR900" s="68">
        <f>AR828-AQ828</f>
        <v/>
      </c>
      <c r="AS900" s="68">
        <f>AS828-AR828</f>
        <v/>
      </c>
      <c r="AT900" s="1110">
        <f>SUM(AP900,AQ900,AR900,AS900)</f>
        <v/>
      </c>
      <c r="AU900" s="68">
        <f>AU828</f>
        <v/>
      </c>
      <c r="AV900" s="27">
        <f>AV828-AU828</f>
        <v/>
      </c>
      <c r="AW900" s="68">
        <f>AW828-AV828</f>
        <v/>
      </c>
      <c r="AX900" s="68">
        <f>AX828-AW828</f>
        <v/>
      </c>
      <c r="AY900" s="1110">
        <f>SUM(AU900,AV900,AW900,AX900)</f>
        <v/>
      </c>
      <c r="AZ900" s="68">
        <f>AZ828</f>
        <v/>
      </c>
      <c r="BA900" s="27">
        <f>BA828-AZ828</f>
        <v/>
      </c>
      <c r="BB900" s="68">
        <f>BB828-BA828</f>
        <v/>
      </c>
      <c r="BC900" s="68">
        <f>BC828-BB828</f>
        <v/>
      </c>
      <c r="BD900" s="1110">
        <f>SUM(AZ900,BA900,BB900,BC900)</f>
        <v/>
      </c>
      <c r="BE900" s="68">
        <f>BE828</f>
        <v/>
      </c>
      <c r="BF900" s="27">
        <f>BF828-BE828</f>
        <v/>
      </c>
      <c r="BG900" s="68">
        <f>BG828-BF828</f>
        <v/>
      </c>
      <c r="BH900" s="68">
        <f>BH828-BG828</f>
        <v/>
      </c>
      <c r="BI900" s="1110">
        <f>SUM(BE900,BF900,BG900,BH900)</f>
        <v/>
      </c>
      <c r="BJ900" s="68">
        <f>BJ828</f>
        <v/>
      </c>
      <c r="BK900" s="27">
        <f>BK828-BJ828</f>
        <v/>
      </c>
      <c r="BL900" s="68">
        <f>BL828-BK828</f>
        <v/>
      </c>
      <c r="BM900" s="68">
        <f>BM828-BL828</f>
        <v/>
      </c>
      <c r="BN900" s="1110">
        <f>SUM(BJ900,BK900,BL900,BM900)</f>
        <v/>
      </c>
      <c r="BO900" s="68">
        <f>BO828</f>
        <v/>
      </c>
      <c r="BP900" s="27">
        <f>BP828-BO828</f>
        <v/>
      </c>
      <c r="BQ900" s="68">
        <f>BQ828-BP828</f>
        <v/>
      </c>
      <c r="BR900" s="68">
        <f>BR828-BQ828</f>
        <v/>
      </c>
      <c r="BS900" s="1110">
        <f>SUM(BO900,BP900,BQ900,BR900)</f>
        <v/>
      </c>
      <c r="BT900" s="68">
        <f>BT828</f>
        <v/>
      </c>
      <c r="BU900" s="27">
        <f>BU828-BT828</f>
        <v/>
      </c>
      <c r="BV900" s="588">
        <f>BV828-BU828</f>
        <v/>
      </c>
      <c r="BW900" s="68" t="n"/>
      <c r="BX900" s="1110">
        <f>SUM(BT900,BU900,BV900,BW900)</f>
        <v/>
      </c>
      <c r="BY900" s="68" t="n"/>
      <c r="BZ900" s="68" t="n"/>
      <c r="CA900" s="68" t="n"/>
      <c r="CB900" s="68" t="n"/>
      <c r="CC900" s="1110">
        <f>SUM(BY900,BZ900,CA900,CB900)</f>
        <v/>
      </c>
      <c r="CD900" s="1110" t="n"/>
      <c r="CE900" s="1110" t="n"/>
      <c r="CF900" s="1110" t="n"/>
      <c r="CG900" s="155" t="n"/>
    </row>
    <row r="901">
      <c r="A901" s="99">
        <f>A829</f>
        <v/>
      </c>
      <c r="B901" s="68" t="n"/>
      <c r="C901" s="1110">
        <f>C829</f>
        <v/>
      </c>
      <c r="D901" s="1110">
        <f>D829</f>
        <v/>
      </c>
      <c r="E901" s="1110">
        <f>E829</f>
        <v/>
      </c>
      <c r="F901" s="1110">
        <f>F829</f>
        <v/>
      </c>
      <c r="G901" s="68">
        <f>G829</f>
        <v/>
      </c>
      <c r="H901" s="68">
        <f>H829-G829</f>
        <v/>
      </c>
      <c r="I901" s="68">
        <f>I829-H829</f>
        <v/>
      </c>
      <c r="J901" s="68">
        <f>J829-I829</f>
        <v/>
      </c>
      <c r="K901" s="1110">
        <f>K829</f>
        <v/>
      </c>
      <c r="L901" s="68">
        <f>L829</f>
        <v/>
      </c>
      <c r="M901" s="68">
        <f>M829-L829</f>
        <v/>
      </c>
      <c r="N901" s="68">
        <f>N829-M829</f>
        <v/>
      </c>
      <c r="O901" s="68">
        <f>O829-N829</f>
        <v/>
      </c>
      <c r="P901" s="1110">
        <f>P829</f>
        <v/>
      </c>
      <c r="Q901" s="68">
        <f>Q829</f>
        <v/>
      </c>
      <c r="R901" s="68">
        <f>R829-Q829</f>
        <v/>
      </c>
      <c r="S901" s="68">
        <f>S829-R829</f>
        <v/>
      </c>
      <c r="T901" s="68">
        <f>T829-S829</f>
        <v/>
      </c>
      <c r="U901" s="1110">
        <f>U829</f>
        <v/>
      </c>
      <c r="V901" s="68">
        <f>V829</f>
        <v/>
      </c>
      <c r="W901" s="68">
        <f>W829-V829</f>
        <v/>
      </c>
      <c r="X901" s="68">
        <f>X829-W829</f>
        <v/>
      </c>
      <c r="Y901" s="68">
        <f>Y829-X829</f>
        <v/>
      </c>
      <c r="Z901" s="1110">
        <f>SUM(V901,W901,X901,Y901)</f>
        <v/>
      </c>
      <c r="AA901" s="68">
        <f>AA829</f>
        <v/>
      </c>
      <c r="AB901" s="68">
        <f>AB829-AA829</f>
        <v/>
      </c>
      <c r="AC901" s="68">
        <f>AC829-AB829</f>
        <v/>
      </c>
      <c r="AD901" s="68">
        <f>AD829-AC829</f>
        <v/>
      </c>
      <c r="AE901" s="1110">
        <f>SUM(AA901,AB901,AC901,AD901)</f>
        <v/>
      </c>
      <c r="AF901" s="68">
        <f>AF829</f>
        <v/>
      </c>
      <c r="AG901" s="68">
        <f>AG829-AF829</f>
        <v/>
      </c>
      <c r="AH901" s="68">
        <f>AH829-AG829</f>
        <v/>
      </c>
      <c r="AI901" s="68">
        <f>AI829-AH829</f>
        <v/>
      </c>
      <c r="AJ901" s="1110">
        <f>SUM(AF901,AG901,AH901,AI901)</f>
        <v/>
      </c>
      <c r="AK901" s="68">
        <f>AK829</f>
        <v/>
      </c>
      <c r="AL901" s="68">
        <f>AL829-AK829</f>
        <v/>
      </c>
      <c r="AM901" s="68">
        <f>AM829-AL829</f>
        <v/>
      </c>
      <c r="AN901" s="68">
        <f>AN829-AM829</f>
        <v/>
      </c>
      <c r="AO901" s="1110">
        <f>SUM(AK901,AL901,AM901,AN901)</f>
        <v/>
      </c>
      <c r="AP901" s="68">
        <f>AP829</f>
        <v/>
      </c>
      <c r="AQ901" s="27">
        <f>AQ829-AP829</f>
        <v/>
      </c>
      <c r="AR901" s="68">
        <f>AR829-AQ829</f>
        <v/>
      </c>
      <c r="AS901" s="68">
        <f>AS829-AR829</f>
        <v/>
      </c>
      <c r="AT901" s="1110">
        <f>SUM(AP901,AQ901,AR901,AS901)</f>
        <v/>
      </c>
      <c r="AU901" s="68">
        <f>AU829</f>
        <v/>
      </c>
      <c r="AV901" s="27">
        <f>AV829-AU829</f>
        <v/>
      </c>
      <c r="AW901" s="68">
        <f>AW829-AV829</f>
        <v/>
      </c>
      <c r="AX901" s="68">
        <f>AX829-AW829</f>
        <v/>
      </c>
      <c r="AY901" s="1110">
        <f>SUM(AU901,AV901,AW901,AX901)</f>
        <v/>
      </c>
      <c r="AZ901" s="68">
        <f>AZ829</f>
        <v/>
      </c>
      <c r="BA901" s="27">
        <f>BA829-AZ829</f>
        <v/>
      </c>
      <c r="BB901" s="68">
        <f>BB829-BA829</f>
        <v/>
      </c>
      <c r="BC901" s="68">
        <f>BC829-BB829</f>
        <v/>
      </c>
      <c r="BD901" s="1110">
        <f>SUM(AZ901,BA901,BB901,BC901)</f>
        <v/>
      </c>
      <c r="BE901" s="68">
        <f>BE829</f>
        <v/>
      </c>
      <c r="BF901" s="27">
        <f>BF829-BE829</f>
        <v/>
      </c>
      <c r="BG901" s="68">
        <f>BG829-BF829</f>
        <v/>
      </c>
      <c r="BH901" s="68">
        <f>BH829-BG829</f>
        <v/>
      </c>
      <c r="BI901" s="1110">
        <f>SUM(BE901,BF901,BG901,BH901)</f>
        <v/>
      </c>
      <c r="BJ901" s="68">
        <f>BJ829</f>
        <v/>
      </c>
      <c r="BK901" s="27">
        <f>BK829-BJ829</f>
        <v/>
      </c>
      <c r="BL901" s="68">
        <f>BL829-BK829</f>
        <v/>
      </c>
      <c r="BM901" s="68">
        <f>BM829-BL829</f>
        <v/>
      </c>
      <c r="BN901" s="1110">
        <f>SUM(BJ901,BK901,BL901,BM901)</f>
        <v/>
      </c>
      <c r="BO901" s="68">
        <f>BO829</f>
        <v/>
      </c>
      <c r="BP901" s="27">
        <f>BP829-BO829</f>
        <v/>
      </c>
      <c r="BQ901" s="68">
        <f>BQ829-BP829</f>
        <v/>
      </c>
      <c r="BR901" s="68">
        <f>BR829-BQ829</f>
        <v/>
      </c>
      <c r="BS901" s="1110">
        <f>SUM(BO901,BP901,BQ901,BR901)</f>
        <v/>
      </c>
      <c r="BT901" s="68">
        <f>BT829</f>
        <v/>
      </c>
      <c r="BU901" s="27">
        <f>BU829-BT829</f>
        <v/>
      </c>
      <c r="BV901" s="588">
        <f>BV829-BU829</f>
        <v/>
      </c>
      <c r="BW901" s="68" t="n"/>
      <c r="BX901" s="1110">
        <f>SUM(BT901,BU901,BV901,BW901)</f>
        <v/>
      </c>
      <c r="BY901" s="68" t="n"/>
      <c r="BZ901" s="68" t="n"/>
      <c r="CA901" s="68" t="n"/>
      <c r="CB901" s="68" t="n"/>
      <c r="CC901" s="1110">
        <f>SUM(BY901,BZ901,CA901,CB901)</f>
        <v/>
      </c>
      <c r="CD901" s="1110" t="n"/>
      <c r="CE901" s="1110" t="n"/>
      <c r="CF901" s="1110" t="n"/>
      <c r="CG901" s="155" t="n"/>
    </row>
    <row r="902">
      <c r="A902" s="59">
        <f>A830</f>
        <v/>
      </c>
      <c r="B902" s="607" t="n"/>
      <c r="C902" s="1123">
        <f>SUM(C885:C901)</f>
        <v/>
      </c>
      <c r="D902" s="1123">
        <f>SUM(D885:D901)</f>
        <v/>
      </c>
      <c r="E902" s="1123">
        <f>SUM(E885:E901)</f>
        <v/>
      </c>
      <c r="F902" s="1123">
        <f>SUM(F885:F901)</f>
        <v/>
      </c>
      <c r="G902" s="60">
        <f>SUM(G885:G901)</f>
        <v/>
      </c>
      <c r="H902" s="60">
        <f>SUM(H885:H901)</f>
        <v/>
      </c>
      <c r="I902" s="60">
        <f>SUM(I885:I901)</f>
        <v/>
      </c>
      <c r="J902" s="60">
        <f>SUM(J885:J901)</f>
        <v/>
      </c>
      <c r="K902" s="1123">
        <f>SUM(K885:K901)</f>
        <v/>
      </c>
      <c r="L902" s="60">
        <f>SUM(L885:L901)</f>
        <v/>
      </c>
      <c r="M902" s="60">
        <f>SUM(M885:M901)</f>
        <v/>
      </c>
      <c r="N902" s="60">
        <f>SUM(N885:N901)</f>
        <v/>
      </c>
      <c r="O902" s="60">
        <f>SUM(O885:O901)</f>
        <v/>
      </c>
      <c r="P902" s="1123">
        <f>SUM(P885:P901)</f>
        <v/>
      </c>
      <c r="Q902" s="60">
        <f>SUM(Q885:Q901)</f>
        <v/>
      </c>
      <c r="R902" s="60">
        <f>SUM(R885:R901)</f>
        <v/>
      </c>
      <c r="S902" s="60">
        <f>SUM(S885:S901)</f>
        <v/>
      </c>
      <c r="T902" s="60">
        <f>SUM(T885:T901)</f>
        <v/>
      </c>
      <c r="U902" s="1123">
        <f>SUM(U885:U901)</f>
        <v/>
      </c>
      <c r="V902" s="60">
        <f>SUM(V885:V901)</f>
        <v/>
      </c>
      <c r="W902" s="60">
        <f>SUM(W885:W901)</f>
        <v/>
      </c>
      <c r="X902" s="60">
        <f>SUM(X885:X901)</f>
        <v/>
      </c>
      <c r="Y902" s="60">
        <f>SUM(Y885:Y901)</f>
        <v/>
      </c>
      <c r="Z902" s="1123">
        <f>SUM(Z885:Z901)</f>
        <v/>
      </c>
      <c r="AA902" s="60">
        <f>SUM(AA885:AA901)</f>
        <v/>
      </c>
      <c r="AB902" s="60">
        <f>SUM(AB885:AB901)</f>
        <v/>
      </c>
      <c r="AC902" s="60">
        <f>SUM(AC885:AC901)</f>
        <v/>
      </c>
      <c r="AD902" s="60">
        <f>SUM(AD885:AD901)</f>
        <v/>
      </c>
      <c r="AE902" s="1123">
        <f>SUM(AE885:AE901)</f>
        <v/>
      </c>
      <c r="AF902" s="60">
        <f>SUM(AF885:AF901)</f>
        <v/>
      </c>
      <c r="AG902" s="60">
        <f>SUM(AG885:AG901)</f>
        <v/>
      </c>
      <c r="AH902" s="60">
        <f>SUM(AH885:AH901)</f>
        <v/>
      </c>
      <c r="AI902" s="60">
        <f>SUM(AI885:AI901)</f>
        <v/>
      </c>
      <c r="AJ902" s="1123">
        <f>SUM(AJ885:AJ901)</f>
        <v/>
      </c>
      <c r="AK902" s="60">
        <f>SUM(AK885:AK901)</f>
        <v/>
      </c>
      <c r="AL902" s="60">
        <f>SUM(AL885:AL901)</f>
        <v/>
      </c>
      <c r="AM902" s="60">
        <f>SUM(AM885:AM901)</f>
        <v/>
      </c>
      <c r="AN902" s="61">
        <f>SUM(AN885:AN901)</f>
        <v/>
      </c>
      <c r="AO902" s="1122">
        <f>SUM(AO885:AO901)</f>
        <v/>
      </c>
      <c r="AP902" s="60">
        <f>SUM(AP885:AP901)</f>
        <v/>
      </c>
      <c r="AQ902" s="60">
        <f>SUM(AQ885:AQ901)</f>
        <v/>
      </c>
      <c r="AR902" s="60">
        <f>SUM(AR885:AR901)</f>
        <v/>
      </c>
      <c r="AS902" s="61">
        <f>SUM(AS885:AS901)</f>
        <v/>
      </c>
      <c r="AT902" s="1122">
        <f>SUM(AT885:AT901)</f>
        <v/>
      </c>
      <c r="AU902" s="60">
        <f>SUM(AU885:AU901)</f>
        <v/>
      </c>
      <c r="AV902" s="60">
        <f>SUM(AV885:AV901)</f>
        <v/>
      </c>
      <c r="AW902" s="60">
        <f>SUM(AW885:AW901)</f>
        <v/>
      </c>
      <c r="AX902" s="61">
        <f>SUM(AX885:AX901)</f>
        <v/>
      </c>
      <c r="AY902" s="1122">
        <f>SUM(AY885:AY901)</f>
        <v/>
      </c>
      <c r="AZ902" s="60">
        <f>SUM(AZ885:AZ901)</f>
        <v/>
      </c>
      <c r="BA902" s="60">
        <f>SUM(BA885:BA901)</f>
        <v/>
      </c>
      <c r="BB902" s="60">
        <f>SUM(BB885:BB901)</f>
        <v/>
      </c>
      <c r="BC902" s="61">
        <f>SUM(BC885:BC901)</f>
        <v/>
      </c>
      <c r="BD902" s="1122">
        <f>SUM(BD885:BD901)</f>
        <v/>
      </c>
      <c r="BE902" s="60">
        <f>SUM(BE885:BE901)</f>
        <v/>
      </c>
      <c r="BF902" s="60">
        <f>SUM(BF885:BF901)</f>
        <v/>
      </c>
      <c r="BG902" s="60">
        <f>SUM(BG885:BG901)</f>
        <v/>
      </c>
      <c r="BH902" s="61">
        <f>SUM(BH885:BH901)</f>
        <v/>
      </c>
      <c r="BI902" s="1122">
        <f>SUM(BI885:BI901)</f>
        <v/>
      </c>
      <c r="BJ902" s="60">
        <f>SUM(BJ885:BJ901)</f>
        <v/>
      </c>
      <c r="BK902" s="60">
        <f>SUM(BK885:BK901)</f>
        <v/>
      </c>
      <c r="BL902" s="60">
        <f>SUM(BL885:BL901)</f>
        <v/>
      </c>
      <c r="BM902" s="61">
        <f>SUM(BM885:BM901)</f>
        <v/>
      </c>
      <c r="BN902" s="1122">
        <f>SUM(BN885:BN901)</f>
        <v/>
      </c>
      <c r="BO902" s="60">
        <f>SUM(BO885:BO901)</f>
        <v/>
      </c>
      <c r="BP902" s="60">
        <f>SUM(BP885:BP901)</f>
        <v/>
      </c>
      <c r="BQ902" s="60">
        <f>SUM(BQ885:BQ901)</f>
        <v/>
      </c>
      <c r="BR902" s="61">
        <f>SUM(BR885:BR901)</f>
        <v/>
      </c>
      <c r="BS902" s="1122">
        <f>SUM(BS885:BS901)</f>
        <v/>
      </c>
      <c r="BT902" s="60">
        <f>SUM(BT885:BT901)</f>
        <v/>
      </c>
      <c r="BU902" s="60">
        <f>SUM(BU885:BU901)</f>
        <v/>
      </c>
      <c r="BV902" s="883">
        <f>SUM(BV885:BV901)</f>
        <v/>
      </c>
      <c r="BW902" s="61">
        <f>SUM(BW885:BW901)</f>
        <v/>
      </c>
      <c r="BX902" s="1122">
        <f>SUM(BX885:BX901)</f>
        <v/>
      </c>
      <c r="BY902" s="61">
        <f>SUM(BY885:BY901)</f>
        <v/>
      </c>
      <c r="BZ902" s="61">
        <f>SUM(BZ885:BZ901)</f>
        <v/>
      </c>
      <c r="CA902" s="61">
        <f>SUM(CA885:CA901)</f>
        <v/>
      </c>
      <c r="CB902" s="61">
        <f>SUM(CB885:CB901)</f>
        <v/>
      </c>
      <c r="CC902" s="1122">
        <f>SUM(CC885:CC901)</f>
        <v/>
      </c>
      <c r="CD902" s="1122">
        <f>SUM(CD885:CD901)</f>
        <v/>
      </c>
      <c r="CE902" s="1122">
        <f>SUM(CE885:CE901)</f>
        <v/>
      </c>
      <c r="CF902" s="1122">
        <f>SUM(CF885:CF901)</f>
        <v/>
      </c>
      <c r="CG902" s="155" t="n"/>
    </row>
    <row r="903">
      <c r="A903" s="600" t="n"/>
      <c r="B903" s="279" t="n"/>
      <c r="C903" s="1125" t="n"/>
      <c r="D903" s="1125" t="n"/>
      <c r="E903" s="1125" t="n"/>
      <c r="F903" s="1125" t="n"/>
      <c r="G903" s="63" t="n"/>
      <c r="H903" s="63" t="n"/>
      <c r="I903" s="63" t="n"/>
      <c r="J903" s="63" t="n"/>
      <c r="K903" s="1125" t="n"/>
      <c r="L903" s="63" t="n"/>
      <c r="M903" s="63" t="n"/>
      <c r="N903" s="63" t="n"/>
      <c r="O903" s="63" t="n"/>
      <c r="P903" s="1125" t="n"/>
      <c r="Q903" s="63" t="n"/>
      <c r="R903" s="63" t="n"/>
      <c r="S903" s="63" t="n"/>
      <c r="T903" s="63" t="n"/>
      <c r="U903" s="1125" t="n"/>
      <c r="V903" s="63" t="n"/>
      <c r="W903" s="63" t="n"/>
      <c r="X903" s="63" t="n"/>
      <c r="Y903" s="63" t="n"/>
      <c r="Z903" s="1125" t="n"/>
      <c r="AA903" s="63" t="n"/>
      <c r="AB903" s="63" t="n"/>
      <c r="AC903" s="63" t="n"/>
      <c r="AD903" s="63" t="n"/>
      <c r="AE903" s="1125" t="n"/>
      <c r="AF903" s="63" t="n"/>
      <c r="AG903" s="63" t="n"/>
      <c r="AH903" s="63" t="n"/>
      <c r="AI903" s="63" t="n"/>
      <c r="AJ903" s="1125" t="n"/>
      <c r="AK903" s="63" t="n"/>
      <c r="AL903" s="63" t="n"/>
      <c r="AM903" s="63" t="n"/>
      <c r="AN903" s="63" t="n"/>
      <c r="AO903" s="1125" t="n"/>
      <c r="AP903" s="63" t="n"/>
      <c r="AQ903" s="63" t="n"/>
      <c r="AR903" s="63" t="n"/>
      <c r="AS903" s="63" t="n"/>
      <c r="AT903" s="1125" t="n"/>
      <c r="AU903" s="63" t="n"/>
      <c r="AV903" s="63" t="n"/>
      <c r="AW903" s="63" t="n"/>
      <c r="AX903" s="63" t="n"/>
      <c r="AY903" s="1125" t="n"/>
      <c r="AZ903" s="63" t="n"/>
      <c r="BA903" s="63" t="n"/>
      <c r="BB903" s="63" t="n"/>
      <c r="BC903" s="63" t="n"/>
      <c r="BD903" s="1125" t="n"/>
      <c r="BE903" s="63" t="n"/>
      <c r="BF903" s="63" t="n"/>
      <c r="BG903" s="63" t="n"/>
      <c r="BH903" s="63" t="n"/>
      <c r="BI903" s="1125" t="n"/>
      <c r="BJ903" s="63" t="n"/>
      <c r="BK903" s="63" t="n"/>
      <c r="BL903" s="63" t="n"/>
      <c r="BM903" s="63" t="n"/>
      <c r="BN903" s="1125" t="n"/>
      <c r="BO903" s="63" t="n"/>
      <c r="BP903" s="63" t="n"/>
      <c r="BQ903" s="63" t="n"/>
      <c r="BR903" s="63" t="n"/>
      <c r="BS903" s="1125" t="n"/>
      <c r="BT903" s="63" t="n"/>
      <c r="BU903" s="63" t="n"/>
      <c r="BV903" s="587" t="n"/>
      <c r="BW903" s="63" t="n"/>
      <c r="BX903" s="1125" t="n"/>
      <c r="BY903" s="63" t="n"/>
      <c r="BZ903" s="63" t="n"/>
      <c r="CA903" s="63" t="n"/>
      <c r="CB903" s="63" t="n"/>
      <c r="CC903" s="1125" t="n"/>
      <c r="CD903" s="1125" t="n"/>
      <c r="CE903" s="1125" t="n"/>
      <c r="CF903" s="1125" t="n"/>
      <c r="CG903" s="155" t="n"/>
    </row>
    <row r="904">
      <c r="A904" s="100">
        <f>A832</f>
        <v/>
      </c>
      <c r="B904" s="146" t="n"/>
      <c r="C904" s="1112">
        <f>C832</f>
        <v/>
      </c>
      <c r="D904" s="1112">
        <f>D832</f>
        <v/>
      </c>
      <c r="E904" s="1112">
        <f>E832</f>
        <v/>
      </c>
      <c r="F904" s="1112">
        <f>F832</f>
        <v/>
      </c>
      <c r="G904" s="27">
        <f>G832</f>
        <v/>
      </c>
      <c r="H904" s="27">
        <f>H832-G832</f>
        <v/>
      </c>
      <c r="I904" s="27">
        <f>I832-H832</f>
        <v/>
      </c>
      <c r="J904" s="27">
        <f>J832-I832</f>
        <v/>
      </c>
      <c r="K904" s="1112">
        <f>K832</f>
        <v/>
      </c>
      <c r="L904" s="27">
        <f>L832</f>
        <v/>
      </c>
      <c r="M904" s="27">
        <f>M832-L832</f>
        <v/>
      </c>
      <c r="N904" s="27">
        <f>N832-M832</f>
        <v/>
      </c>
      <c r="O904" s="27">
        <f>O832-N832</f>
        <v/>
      </c>
      <c r="P904" s="1112">
        <f>P832</f>
        <v/>
      </c>
      <c r="Q904" s="27">
        <f>Q832</f>
        <v/>
      </c>
      <c r="R904" s="27">
        <f>R832-Q832</f>
        <v/>
      </c>
      <c r="S904" s="27">
        <f>S832-R832</f>
        <v/>
      </c>
      <c r="T904" s="27">
        <f>T832-S832</f>
        <v/>
      </c>
      <c r="U904" s="1112">
        <f>U832</f>
        <v/>
      </c>
      <c r="V904" s="27">
        <f>V832</f>
        <v/>
      </c>
      <c r="W904" s="27">
        <f>W832-V832</f>
        <v/>
      </c>
      <c r="X904" s="27">
        <f>X832-W832</f>
        <v/>
      </c>
      <c r="Y904" s="27">
        <f>Y832-X832</f>
        <v/>
      </c>
      <c r="Z904" s="1112">
        <f>SUM(V904,W904,X904,Y904)</f>
        <v/>
      </c>
      <c r="AA904" s="27">
        <f>AA832</f>
        <v/>
      </c>
      <c r="AB904" s="27">
        <f>AB832-AA832</f>
        <v/>
      </c>
      <c r="AC904" s="27">
        <f>AC832-AB832</f>
        <v/>
      </c>
      <c r="AD904" s="27">
        <f>AD832-AC832</f>
        <v/>
      </c>
      <c r="AE904" s="1112">
        <f>SUM(AA904,AB904,AC904,AD904)</f>
        <v/>
      </c>
      <c r="AF904" s="27">
        <f>AF832</f>
        <v/>
      </c>
      <c r="AG904" s="27">
        <f>AG832-AF832</f>
        <v/>
      </c>
      <c r="AH904" s="27">
        <f>AH832-AG832</f>
        <v/>
      </c>
      <c r="AI904" s="27">
        <f>AI832-AH832</f>
        <v/>
      </c>
      <c r="AJ904" s="1112">
        <f>SUM(AF904,AG904,AH904,AI904)</f>
        <v/>
      </c>
      <c r="AK904" s="27">
        <f>AK832</f>
        <v/>
      </c>
      <c r="AL904" s="27">
        <f>AL832-AK832</f>
        <v/>
      </c>
      <c r="AM904" s="27">
        <f>AM832-AL832</f>
        <v/>
      </c>
      <c r="AN904" s="68">
        <f>AN832-AM832</f>
        <v/>
      </c>
      <c r="AO904" s="1110">
        <f>SUM(AK904,AL904,AM904,AN904)</f>
        <v/>
      </c>
      <c r="AP904" s="27">
        <f>AP832</f>
        <v/>
      </c>
      <c r="AQ904" s="27">
        <f>AQ832-AP832</f>
        <v/>
      </c>
      <c r="AR904" s="27">
        <f>AR832-AQ832</f>
        <v/>
      </c>
      <c r="AS904" s="68">
        <f>AS832-AR832</f>
        <v/>
      </c>
      <c r="AT904" s="1110">
        <f>SUM(AP904,AQ904,AR904,AS904)</f>
        <v/>
      </c>
      <c r="AU904" s="27">
        <f>AU832</f>
        <v/>
      </c>
      <c r="AV904" s="27">
        <f>AV832-AU832</f>
        <v/>
      </c>
      <c r="AW904" s="27">
        <f>AW832-AV832</f>
        <v/>
      </c>
      <c r="AX904" s="68">
        <f>AX832-AW832</f>
        <v/>
      </c>
      <c r="AY904" s="1110">
        <f>SUM(AU904,AV904,AW904,AX904)</f>
        <v/>
      </c>
      <c r="AZ904" s="27">
        <f>AZ832</f>
        <v/>
      </c>
      <c r="BA904" s="27">
        <f>BA832-AZ832</f>
        <v/>
      </c>
      <c r="BB904" s="27">
        <f>BB832-BA832</f>
        <v/>
      </c>
      <c r="BC904" s="68">
        <f>BC832-BB832</f>
        <v/>
      </c>
      <c r="BD904" s="1110">
        <f>SUM(AZ904,BA904,BB904,BC904)</f>
        <v/>
      </c>
      <c r="BE904" s="27">
        <f>BE832</f>
        <v/>
      </c>
      <c r="BF904" s="27">
        <f>BF832-BE832</f>
        <v/>
      </c>
      <c r="BG904" s="27">
        <f>BG832-BF832</f>
        <v/>
      </c>
      <c r="BH904" s="68">
        <f>BH832-BG832</f>
        <v/>
      </c>
      <c r="BI904" s="1110">
        <f>SUM(BE904,BF904,BG904,BH904)</f>
        <v/>
      </c>
      <c r="BJ904" s="27">
        <f>BJ832</f>
        <v/>
      </c>
      <c r="BK904" s="27">
        <f>BK832-BJ832</f>
        <v/>
      </c>
      <c r="BL904" s="27">
        <f>BL832-BK832</f>
        <v/>
      </c>
      <c r="BM904" s="68">
        <f>BM832-BL832</f>
        <v/>
      </c>
      <c r="BN904" s="1110">
        <f>SUM(BJ904,BK904,BL904,BM904)</f>
        <v/>
      </c>
      <c r="BO904" s="27">
        <f>BO832</f>
        <v/>
      </c>
      <c r="BP904" s="27">
        <f>BP832-BO832</f>
        <v/>
      </c>
      <c r="BQ904" s="27">
        <f>BQ832-BP832</f>
        <v/>
      </c>
      <c r="BR904" s="68">
        <f>BR832-BQ832</f>
        <v/>
      </c>
      <c r="BS904" s="1110">
        <f>SUM(BO904,BP904,BQ904,BR904)</f>
        <v/>
      </c>
      <c r="BT904" s="27">
        <f>BT832</f>
        <v/>
      </c>
      <c r="BU904" s="27">
        <f>BU832-BT832</f>
        <v/>
      </c>
      <c r="BV904" s="508">
        <f>BV832-BU832</f>
        <v/>
      </c>
      <c r="BW904" s="68" t="n"/>
      <c r="BX904" s="1110">
        <f>SUM(BT904,BU904,BV904,BW904)</f>
        <v/>
      </c>
      <c r="BY904" s="68" t="n"/>
      <c r="BZ904" s="68" t="n"/>
      <c r="CA904" s="68" t="n"/>
      <c r="CB904" s="68" t="n"/>
      <c r="CC904" s="1110">
        <f>SUM(BY904,BZ904,CA904,CB904)</f>
        <v/>
      </c>
      <c r="CD904" s="1110" t="n"/>
      <c r="CE904" s="1110" t="n"/>
      <c r="CF904" s="1110" t="n"/>
      <c r="CG904" s="155" t="n"/>
    </row>
    <row r="905">
      <c r="A905" s="62">
        <f>A833</f>
        <v/>
      </c>
      <c r="B905" s="279" t="n"/>
      <c r="C905" s="1132">
        <f>C902+C882+C869+C904</f>
        <v/>
      </c>
      <c r="D905" s="1132">
        <f>D902+D882+D869+D904</f>
        <v/>
      </c>
      <c r="E905" s="1132">
        <f>E902+E882+E869+E904</f>
        <v/>
      </c>
      <c r="F905" s="1132">
        <f>F902+F882+F869+F904</f>
        <v/>
      </c>
      <c r="G905" s="28">
        <f>G902+G882+G869+G904</f>
        <v/>
      </c>
      <c r="H905" s="28">
        <f>H902+H882+H869+H904</f>
        <v/>
      </c>
      <c r="I905" s="28">
        <f>I902+I882+I869+I904</f>
        <v/>
      </c>
      <c r="J905" s="28">
        <f>J902+J882+J869+J904</f>
        <v/>
      </c>
      <c r="K905" s="1132">
        <f>K902+K882+K869+K904</f>
        <v/>
      </c>
      <c r="L905" s="28">
        <f>L902+L882+L869+L904</f>
        <v/>
      </c>
      <c r="M905" s="28">
        <f>M902+M882+M869+M904</f>
        <v/>
      </c>
      <c r="N905" s="28">
        <f>N902+N882+N869+N904</f>
        <v/>
      </c>
      <c r="O905" s="28">
        <f>O902+O882+O869+O904</f>
        <v/>
      </c>
      <c r="P905" s="1132">
        <f>P902+P882+P869+P904</f>
        <v/>
      </c>
      <c r="Q905" s="28">
        <f>Q902+Q882+Q869+Q904</f>
        <v/>
      </c>
      <c r="R905" s="28">
        <f>R902+R882+R869+R904</f>
        <v/>
      </c>
      <c r="S905" s="28">
        <f>S902+S882+S869+S904</f>
        <v/>
      </c>
      <c r="T905" s="28">
        <f>T902+T882+T869+T904</f>
        <v/>
      </c>
      <c r="U905" s="1132">
        <f>U902+U882+U869+U904</f>
        <v/>
      </c>
      <c r="V905" s="28">
        <f>V902+V882+V869+V904</f>
        <v/>
      </c>
      <c r="W905" s="28">
        <f>W902+W882+W869+W904</f>
        <v/>
      </c>
      <c r="X905" s="28">
        <f>X902+X882+X869+X904</f>
        <v/>
      </c>
      <c r="Y905" s="28">
        <f>Y902+Y882+Y869+Y904</f>
        <v/>
      </c>
      <c r="Z905" s="1132">
        <f>Z902+Z882+Z869+Z904</f>
        <v/>
      </c>
      <c r="AA905" s="28">
        <f>AA902+AA882+AA869+AA904</f>
        <v/>
      </c>
      <c r="AB905" s="28">
        <f>AB902+AB882+AB869+AB904</f>
        <v/>
      </c>
      <c r="AC905" s="28">
        <f>AC902+AC882+AC869+AC904</f>
        <v/>
      </c>
      <c r="AD905" s="28">
        <f>AD902+AD882+AD869+AD904</f>
        <v/>
      </c>
      <c r="AE905" s="1132">
        <f>AE902+AE882+AE869+AE904</f>
        <v/>
      </c>
      <c r="AF905" s="28">
        <f>AF902+AF882+AF869+AF904</f>
        <v/>
      </c>
      <c r="AG905" s="28">
        <f>AG902+AG882+AG869+AG904</f>
        <v/>
      </c>
      <c r="AH905" s="28">
        <f>AH902+AH882+AH869+AH904</f>
        <v/>
      </c>
      <c r="AI905" s="28">
        <f>AI902+AI882+AI869+AI904</f>
        <v/>
      </c>
      <c r="AJ905" s="1132">
        <f>AJ902+AJ882+AJ869+AJ904</f>
        <v/>
      </c>
      <c r="AK905" s="28">
        <f>AK902+AK882+AK869+AK904</f>
        <v/>
      </c>
      <c r="AL905" s="28">
        <f>AL902+AL882+AL869+AL904</f>
        <v/>
      </c>
      <c r="AM905" s="28">
        <f>AM902+AM882+AM869+AM904</f>
        <v/>
      </c>
      <c r="AN905" s="63">
        <f>AN902+AN882+AN869+AN904</f>
        <v/>
      </c>
      <c r="AO905" s="1125">
        <f>SUM(AK905,AL905,AM905,AN905)</f>
        <v/>
      </c>
      <c r="AP905" s="28">
        <f>AP902+AP882+AP869+AP904</f>
        <v/>
      </c>
      <c r="AQ905" s="28">
        <f>AQ902+AQ882+AQ869+AQ904</f>
        <v/>
      </c>
      <c r="AR905" s="28">
        <f>AR902+AR882+AR869+AR904</f>
        <v/>
      </c>
      <c r="AS905" s="63">
        <f>AS902+AS882+AS869+AS904</f>
        <v/>
      </c>
      <c r="AT905" s="1125">
        <f>SUM(AP905,AQ905,AR905,AS905)</f>
        <v/>
      </c>
      <c r="AU905" s="28">
        <f>AU902+AU882+AU869+AU904</f>
        <v/>
      </c>
      <c r="AV905" s="28">
        <f>AV902+AV882+AV869+AV904</f>
        <v/>
      </c>
      <c r="AW905" s="28">
        <f>AW902+AW882+AW869+AW904</f>
        <v/>
      </c>
      <c r="AX905" s="63">
        <f>AX902+AX882+AX869+AX904</f>
        <v/>
      </c>
      <c r="AY905" s="1125">
        <f>SUM(AU905,AV905,AW905,AX905)</f>
        <v/>
      </c>
      <c r="AZ905" s="28">
        <f>AZ902+AZ882+AZ869+AZ904</f>
        <v/>
      </c>
      <c r="BA905" s="28">
        <f>BA902+BA882+BA869+BA904</f>
        <v/>
      </c>
      <c r="BB905" s="28">
        <f>BB902+BB882+BB869+BB904</f>
        <v/>
      </c>
      <c r="BC905" s="63">
        <f>BC902+BC882+BC869+BC904</f>
        <v/>
      </c>
      <c r="BD905" s="1125">
        <f>SUM(AZ905,BA905,BB905,BC905)</f>
        <v/>
      </c>
      <c r="BE905" s="28">
        <f>BE902+BE882+BE869+BE904</f>
        <v/>
      </c>
      <c r="BF905" s="28">
        <f>BF902+BF882+BF869+BF904</f>
        <v/>
      </c>
      <c r="BG905" s="28">
        <f>BG902+BG882+BG869+BG904</f>
        <v/>
      </c>
      <c r="BH905" s="63">
        <f>BH902+BH882+BH869+BH904</f>
        <v/>
      </c>
      <c r="BI905" s="1125">
        <f>SUM(BE905,BF905,BG905,BH905)</f>
        <v/>
      </c>
      <c r="BJ905" s="28">
        <f>BJ902+BJ882+BJ869+BJ904</f>
        <v/>
      </c>
      <c r="BK905" s="28">
        <f>BK902+BK882+BK869+BK904</f>
        <v/>
      </c>
      <c r="BL905" s="28">
        <f>BL902+BL882+BL869+BL904</f>
        <v/>
      </c>
      <c r="BM905" s="63">
        <f>BM902+BM882+BM869+BM904</f>
        <v/>
      </c>
      <c r="BN905" s="1125">
        <f>SUM(BJ905,BK905,BL905,BM905)</f>
        <v/>
      </c>
      <c r="BO905" s="28">
        <f>BO902+BO882+BO869+BO904</f>
        <v/>
      </c>
      <c r="BP905" s="28">
        <f>BP902+BP882+BP869+BP904</f>
        <v/>
      </c>
      <c r="BQ905" s="28">
        <f>BQ902+BQ882+BQ869+BQ904</f>
        <v/>
      </c>
      <c r="BR905" s="63">
        <f>BR902+BR882+BR869+BR904</f>
        <v/>
      </c>
      <c r="BS905" s="1125">
        <f>SUM(BO905,BP905,BQ905,BR905)</f>
        <v/>
      </c>
      <c r="BT905" s="28">
        <f>BT902+BT882+BT869+BT904</f>
        <v/>
      </c>
      <c r="BU905" s="28">
        <f>BU902+BU882+BU869+BU904</f>
        <v/>
      </c>
      <c r="BV905" s="505">
        <f>BV902+BV882+BV869+BV904</f>
        <v/>
      </c>
      <c r="BW905" s="63">
        <f>BW902+BW882+BW869+BW904</f>
        <v/>
      </c>
      <c r="BX905" s="1125">
        <f>BX902+BX882+BX869+BX904</f>
        <v/>
      </c>
      <c r="BY905" s="63">
        <f>BY902+BY882+BY869+BY904</f>
        <v/>
      </c>
      <c r="BZ905" s="63">
        <f>BZ902+BZ882+BZ869+BZ904</f>
        <v/>
      </c>
      <c r="CA905" s="63">
        <f>CA902+CA882+CA869+CA904</f>
        <v/>
      </c>
      <c r="CB905" s="63">
        <f>CB902+CB882+CB869+CB904</f>
        <v/>
      </c>
      <c r="CC905" s="1125">
        <f>CC902+CC882+CC869+CC904</f>
        <v/>
      </c>
      <c r="CD905" s="1125">
        <f>CD902+CD882+CD869+CD904</f>
        <v/>
      </c>
      <c r="CE905" s="1125">
        <f>CE902+CE882+CE869+CE904</f>
        <v/>
      </c>
      <c r="CF905" s="1125">
        <f>CF902+CF882+CF869+CF904</f>
        <v/>
      </c>
      <c r="CG905" s="155" t="n"/>
    </row>
    <row r="906">
      <c r="A906" s="600" t="n"/>
      <c r="B906" s="279" t="n"/>
      <c r="C906" s="1125" t="n"/>
      <c r="D906" s="1125" t="n"/>
      <c r="E906" s="1125" t="n"/>
      <c r="F906" s="1125" t="n"/>
      <c r="G906" s="63" t="n"/>
      <c r="H906" s="63" t="n"/>
      <c r="I906" s="63" t="n"/>
      <c r="J906" s="63" t="n"/>
      <c r="K906" s="1125" t="n"/>
      <c r="L906" s="63" t="n"/>
      <c r="M906" s="63" t="n"/>
      <c r="N906" s="63" t="n"/>
      <c r="O906" s="63" t="n"/>
      <c r="P906" s="1125" t="n"/>
      <c r="Q906" s="63" t="n"/>
      <c r="R906" s="63" t="n"/>
      <c r="S906" s="63" t="n"/>
      <c r="T906" s="63" t="n"/>
      <c r="U906" s="1125" t="n"/>
      <c r="V906" s="63" t="n"/>
      <c r="W906" s="63" t="n"/>
      <c r="X906" s="63" t="n"/>
      <c r="Y906" s="63" t="n"/>
      <c r="Z906" s="1125" t="n"/>
      <c r="AA906" s="63" t="n"/>
      <c r="AB906" s="63" t="n"/>
      <c r="AC906" s="63" t="n"/>
      <c r="AD906" s="63" t="n"/>
      <c r="AE906" s="1125" t="n"/>
      <c r="AF906" s="63" t="n"/>
      <c r="AG906" s="63" t="n"/>
      <c r="AH906" s="63" t="n"/>
      <c r="AI906" s="63" t="n"/>
      <c r="AJ906" s="1125" t="n"/>
      <c r="AK906" s="63" t="n"/>
      <c r="AL906" s="63" t="n"/>
      <c r="AM906" s="63" t="n"/>
      <c r="AN906" s="63" t="n"/>
      <c r="AO906" s="1125" t="n"/>
      <c r="AP906" s="63" t="n"/>
      <c r="AQ906" s="63" t="n"/>
      <c r="AR906" s="63" t="n"/>
      <c r="AS906" s="63" t="n"/>
      <c r="AT906" s="1125" t="n"/>
      <c r="AU906" s="63" t="n"/>
      <c r="AV906" s="63" t="n"/>
      <c r="AW906" s="63" t="n"/>
      <c r="AX906" s="63" t="n"/>
      <c r="AY906" s="1125" t="n"/>
      <c r="AZ906" s="63" t="n"/>
      <c r="BA906" s="63" t="n"/>
      <c r="BB906" s="63" t="n"/>
      <c r="BC906" s="63" t="n"/>
      <c r="BD906" s="1125" t="n"/>
      <c r="BE906" s="63" t="n"/>
      <c r="BF906" s="63" t="n"/>
      <c r="BG906" s="63" t="n"/>
      <c r="BH906" s="63" t="n"/>
      <c r="BI906" s="1125" t="n"/>
      <c r="BJ906" s="63" t="n"/>
      <c r="BK906" s="63" t="n"/>
      <c r="BL906" s="63" t="n"/>
      <c r="BM906" s="63" t="n"/>
      <c r="BN906" s="1125" t="n"/>
      <c r="BO906" s="63" t="n"/>
      <c r="BP906" s="63" t="n"/>
      <c r="BQ906" s="63" t="n"/>
      <c r="BR906" s="63" t="n"/>
      <c r="BS906" s="1125" t="n"/>
      <c r="BT906" s="63" t="n"/>
      <c r="BU906" s="63" t="n"/>
      <c r="BV906" s="587" t="n"/>
      <c r="BW906" s="63" t="n"/>
      <c r="BX906" s="1125" t="n"/>
      <c r="BY906" s="63" t="n"/>
      <c r="BZ906" s="63" t="n"/>
      <c r="CA906" s="63" t="n"/>
      <c r="CB906" s="63" t="n"/>
      <c r="CC906" s="1125" t="n"/>
      <c r="CD906" s="1125" t="n"/>
      <c r="CE906" s="1125" t="n"/>
      <c r="CF906" s="1125" t="n"/>
      <c r="CG906" s="155" t="n"/>
    </row>
    <row r="907">
      <c r="A907" s="62">
        <f>A835</f>
        <v/>
      </c>
      <c r="B907" s="279" t="n"/>
      <c r="C907" s="1148" t="n">
        <v>726.9690000000001</v>
      </c>
      <c r="D907" s="1132">
        <f>C908</f>
        <v/>
      </c>
      <c r="E907" s="1132">
        <f>D908</f>
        <v/>
      </c>
      <c r="F907" s="1132">
        <f>E908</f>
        <v/>
      </c>
      <c r="G907" s="28">
        <f>F908</f>
        <v/>
      </c>
      <c r="H907" s="28">
        <f>G908</f>
        <v/>
      </c>
      <c r="I907" s="28">
        <f>H908</f>
        <v/>
      </c>
      <c r="J907" s="28">
        <f>I908</f>
        <v/>
      </c>
      <c r="K907" s="1132">
        <f>F908</f>
        <v/>
      </c>
      <c r="L907" s="28">
        <f>K908</f>
        <v/>
      </c>
      <c r="M907" s="28">
        <f>L908</f>
        <v/>
      </c>
      <c r="N907" s="28">
        <f>M908</f>
        <v/>
      </c>
      <c r="O907" s="28">
        <f>N908</f>
        <v/>
      </c>
      <c r="P907" s="1132">
        <f>K908</f>
        <v/>
      </c>
      <c r="Q907" s="28">
        <f>P908</f>
        <v/>
      </c>
      <c r="R907" s="28">
        <f>Q908</f>
        <v/>
      </c>
      <c r="S907" s="28">
        <f>R908</f>
        <v/>
      </c>
      <c r="T907" s="28">
        <f>S908</f>
        <v/>
      </c>
      <c r="U907" s="1148" t="n">
        <v>1152</v>
      </c>
      <c r="V907" s="28">
        <f>U908</f>
        <v/>
      </c>
      <c r="W907" s="28">
        <f>V908</f>
        <v/>
      </c>
      <c r="X907" s="28">
        <f>W908</f>
        <v/>
      </c>
      <c r="Y907" s="28">
        <f>X908</f>
        <v/>
      </c>
      <c r="Z907" s="1132">
        <f>U908</f>
        <v/>
      </c>
      <c r="AA907" s="28">
        <f>Z908</f>
        <v/>
      </c>
      <c r="AB907" s="28">
        <f>AA908</f>
        <v/>
      </c>
      <c r="AC907" s="28">
        <f>AB908</f>
        <v/>
      </c>
      <c r="AD907" s="28">
        <f>AC908</f>
        <v/>
      </c>
      <c r="AE907" s="1132">
        <f>Z908</f>
        <v/>
      </c>
      <c r="AF907" s="28">
        <f>AE908</f>
        <v/>
      </c>
      <c r="AG907" s="28">
        <f>AF908</f>
        <v/>
      </c>
      <c r="AH907" s="28">
        <f>AG908</f>
        <v/>
      </c>
      <c r="AI907" s="28">
        <f>AH908</f>
        <v/>
      </c>
      <c r="AJ907" s="1132">
        <f>AE908</f>
        <v/>
      </c>
      <c r="AK907" s="28">
        <f>AJ908</f>
        <v/>
      </c>
      <c r="AL907" s="28">
        <f>AK908</f>
        <v/>
      </c>
      <c r="AM907" s="28">
        <f>AL908</f>
        <v/>
      </c>
      <c r="AN907" s="63">
        <f>AM908</f>
        <v/>
      </c>
      <c r="AO907" s="1125">
        <f>AJ908</f>
        <v/>
      </c>
      <c r="AP907" s="28">
        <f>AO908</f>
        <v/>
      </c>
      <c r="AQ907" s="28">
        <f>AP908</f>
        <v/>
      </c>
      <c r="AR907" s="28">
        <f>AQ908</f>
        <v/>
      </c>
      <c r="AS907" s="63">
        <f>AR908</f>
        <v/>
      </c>
      <c r="AT907" s="1125">
        <f>AO908</f>
        <v/>
      </c>
      <c r="AU907" s="28">
        <f>AT908</f>
        <v/>
      </c>
      <c r="AV907" s="28">
        <f>AU908</f>
        <v/>
      </c>
      <c r="AW907" s="28">
        <f>AV908</f>
        <v/>
      </c>
      <c r="AX907" s="63">
        <f>AW908</f>
        <v/>
      </c>
      <c r="AY907" s="1125">
        <f>AT908</f>
        <v/>
      </c>
      <c r="AZ907" s="28">
        <f>AY908</f>
        <v/>
      </c>
      <c r="BA907" s="28">
        <f>AZ908</f>
        <v/>
      </c>
      <c r="BB907" s="28">
        <f>BA908</f>
        <v/>
      </c>
      <c r="BC907" s="63">
        <f>BB908</f>
        <v/>
      </c>
      <c r="BD907" s="1125">
        <f>AY908</f>
        <v/>
      </c>
      <c r="BE907" s="28">
        <f>BD908</f>
        <v/>
      </c>
      <c r="BF907" s="28">
        <f>BE908</f>
        <v/>
      </c>
      <c r="BG907" s="28">
        <f>BF908</f>
        <v/>
      </c>
      <c r="BH907" s="63">
        <f>BG908</f>
        <v/>
      </c>
      <c r="BI907" s="1125">
        <f>BD908</f>
        <v/>
      </c>
      <c r="BJ907" s="28">
        <f>BI908</f>
        <v/>
      </c>
      <c r="BK907" s="28">
        <f>BJ908</f>
        <v/>
      </c>
      <c r="BL907" s="28">
        <f>BK908</f>
        <v/>
      </c>
      <c r="BM907" s="63">
        <f>BL908</f>
        <v/>
      </c>
      <c r="BN907" s="1125">
        <f>BI908</f>
        <v/>
      </c>
      <c r="BO907" s="28">
        <f>BN908</f>
        <v/>
      </c>
      <c r="BP907" s="28">
        <f>BO908</f>
        <v/>
      </c>
      <c r="BQ907" s="28">
        <f>BP908</f>
        <v/>
      </c>
      <c r="BR907" s="63">
        <f>BQ908</f>
        <v/>
      </c>
      <c r="BS907" s="1125">
        <f>BN908</f>
        <v/>
      </c>
      <c r="BT907" s="28">
        <f>BS908</f>
        <v/>
      </c>
      <c r="BU907" s="28">
        <f>BT908</f>
        <v/>
      </c>
      <c r="BV907" s="505">
        <f>BU908</f>
        <v/>
      </c>
      <c r="BW907" s="63">
        <f>BV908</f>
        <v/>
      </c>
      <c r="BX907" s="1125">
        <f>BS908</f>
        <v/>
      </c>
      <c r="BY907" s="63">
        <f>BX908</f>
        <v/>
      </c>
      <c r="BZ907" s="63">
        <f>BY908</f>
        <v/>
      </c>
      <c r="CA907" s="63">
        <f>BZ908</f>
        <v/>
      </c>
      <c r="CB907" s="63">
        <f>CA908</f>
        <v/>
      </c>
      <c r="CC907" s="1125">
        <f>BX908</f>
        <v/>
      </c>
      <c r="CD907" s="1125">
        <f>CC908</f>
        <v/>
      </c>
      <c r="CE907" s="1125">
        <f>CD908</f>
        <v/>
      </c>
      <c r="CF907" s="1125">
        <f>CE908</f>
        <v/>
      </c>
      <c r="CG907" s="155" t="n"/>
    </row>
    <row r="908">
      <c r="A908" s="62">
        <f>A836</f>
        <v/>
      </c>
      <c r="B908" s="279" t="n"/>
      <c r="C908" s="1132">
        <f>C907+C905</f>
        <v/>
      </c>
      <c r="D908" s="1132">
        <f>D907+D905</f>
        <v/>
      </c>
      <c r="E908" s="1132">
        <f>E907+E905</f>
        <v/>
      </c>
      <c r="F908" s="1132">
        <f>F907+F905</f>
        <v/>
      </c>
      <c r="G908" s="28">
        <f>G907+G905</f>
        <v/>
      </c>
      <c r="H908" s="28">
        <f>H907+H905</f>
        <v/>
      </c>
      <c r="I908" s="28">
        <f>I907+I905</f>
        <v/>
      </c>
      <c r="J908" s="28">
        <f>J907+J905</f>
        <v/>
      </c>
      <c r="K908" s="1132">
        <f>K907+K905</f>
        <v/>
      </c>
      <c r="L908" s="28">
        <f>L907+L905</f>
        <v/>
      </c>
      <c r="M908" s="28">
        <f>M907+M905</f>
        <v/>
      </c>
      <c r="N908" s="28">
        <f>N907+N905</f>
        <v/>
      </c>
      <c r="O908" s="28">
        <f>O907+O905</f>
        <v/>
      </c>
      <c r="P908" s="1132">
        <f>P907+P905</f>
        <v/>
      </c>
      <c r="Q908" s="28">
        <f>Q907+Q905</f>
        <v/>
      </c>
      <c r="R908" s="28">
        <f>R907+R905</f>
        <v/>
      </c>
      <c r="S908" s="28">
        <f>S907+S905</f>
        <v/>
      </c>
      <c r="T908" s="28">
        <f>T907+T905</f>
        <v/>
      </c>
      <c r="U908" s="1132">
        <f>U907+U905</f>
        <v/>
      </c>
      <c r="V908" s="28">
        <f>V907+V905</f>
        <v/>
      </c>
      <c r="W908" s="28">
        <f>W907+W905</f>
        <v/>
      </c>
      <c r="X908" s="28">
        <f>X907+X905</f>
        <v/>
      </c>
      <c r="Y908" s="28">
        <f>Y907+Y905</f>
        <v/>
      </c>
      <c r="Z908" s="1132">
        <f>Z907+Z905</f>
        <v/>
      </c>
      <c r="AA908" s="28">
        <f>AA907+AA905</f>
        <v/>
      </c>
      <c r="AB908" s="28">
        <f>AB907+AB905</f>
        <v/>
      </c>
      <c r="AC908" s="28">
        <f>AC907+AC905</f>
        <v/>
      </c>
      <c r="AD908" s="28">
        <f>AD907+AD905</f>
        <v/>
      </c>
      <c r="AE908" s="1132">
        <f>AE907+AE905</f>
        <v/>
      </c>
      <c r="AF908" s="28">
        <f>AF907+AF905</f>
        <v/>
      </c>
      <c r="AG908" s="28">
        <f>AG907+AG905</f>
        <v/>
      </c>
      <c r="AH908" s="28">
        <f>AH907+AH905</f>
        <v/>
      </c>
      <c r="AI908" s="28">
        <f>AI907+AI905</f>
        <v/>
      </c>
      <c r="AJ908" s="1132">
        <f>AJ907+AJ905</f>
        <v/>
      </c>
      <c r="AK908" s="28">
        <f>AK907+AK905</f>
        <v/>
      </c>
      <c r="AL908" s="28">
        <f>AL907+AL905</f>
        <v/>
      </c>
      <c r="AM908" s="28">
        <f>AM907+AM905</f>
        <v/>
      </c>
      <c r="AN908" s="63">
        <f>AN907+AN905</f>
        <v/>
      </c>
      <c r="AO908" s="1125">
        <f>AO907+AO905</f>
        <v/>
      </c>
      <c r="AP908" s="28">
        <f>AP907+AP905</f>
        <v/>
      </c>
      <c r="AQ908" s="28">
        <f>AQ907+AQ905</f>
        <v/>
      </c>
      <c r="AR908" s="28">
        <f>AR907+AR905</f>
        <v/>
      </c>
      <c r="AS908" s="63">
        <f>AS907+AS905</f>
        <v/>
      </c>
      <c r="AT908" s="1125">
        <f>AT907+AT905</f>
        <v/>
      </c>
      <c r="AU908" s="28">
        <f>AU907+AU905</f>
        <v/>
      </c>
      <c r="AV908" s="28">
        <f>AV907+AV905</f>
        <v/>
      </c>
      <c r="AW908" s="28">
        <f>AW907+AW905</f>
        <v/>
      </c>
      <c r="AX908" s="63">
        <f>AX907+AX905</f>
        <v/>
      </c>
      <c r="AY908" s="1125">
        <f>AY907+AY905</f>
        <v/>
      </c>
      <c r="AZ908" s="28">
        <f>AZ907+AZ905</f>
        <v/>
      </c>
      <c r="BA908" s="28">
        <f>BA907+BA905</f>
        <v/>
      </c>
      <c r="BB908" s="28">
        <f>BB907+BB905</f>
        <v/>
      </c>
      <c r="BC908" s="63">
        <f>BC907+BC905</f>
        <v/>
      </c>
      <c r="BD908" s="1125">
        <f>BD907+BD905</f>
        <v/>
      </c>
      <c r="BE908" s="28">
        <f>BE907+BE905</f>
        <v/>
      </c>
      <c r="BF908" s="28">
        <f>BF907+BF905</f>
        <v/>
      </c>
      <c r="BG908" s="28">
        <f>BG907+BG905</f>
        <v/>
      </c>
      <c r="BH908" s="63">
        <f>BH907+BH905</f>
        <v/>
      </c>
      <c r="BI908" s="1125">
        <f>BI907+BI905</f>
        <v/>
      </c>
      <c r="BJ908" s="28">
        <f>BJ907+BJ905</f>
        <v/>
      </c>
      <c r="BK908" s="28">
        <f>BK907+BK905</f>
        <v/>
      </c>
      <c r="BL908" s="28">
        <f>BL907+BL905</f>
        <v/>
      </c>
      <c r="BM908" s="63">
        <f>BM907+BM905</f>
        <v/>
      </c>
      <c r="BN908" s="1125">
        <f>BN907+BN905</f>
        <v/>
      </c>
      <c r="BO908" s="28">
        <f>BO907+BO905</f>
        <v/>
      </c>
      <c r="BP908" s="28">
        <f>BP907+BP905</f>
        <v/>
      </c>
      <c r="BQ908" s="28">
        <f>BQ907+BQ905</f>
        <v/>
      </c>
      <c r="BR908" s="63">
        <f>BR907+BR905</f>
        <v/>
      </c>
      <c r="BS908" s="1125">
        <f>BS907+BS905</f>
        <v/>
      </c>
      <c r="BT908" s="28">
        <f>BT907+BT905</f>
        <v/>
      </c>
      <c r="BU908" s="28">
        <f>BU907+BU905</f>
        <v/>
      </c>
      <c r="BV908" s="505">
        <f>BV907+BV905</f>
        <v/>
      </c>
      <c r="BW908" s="63">
        <f>BW907+BW905</f>
        <v/>
      </c>
      <c r="BX908" s="1125">
        <f>BX907+BX905</f>
        <v/>
      </c>
      <c r="BY908" s="63">
        <f>BY907+BY905</f>
        <v/>
      </c>
      <c r="BZ908" s="63">
        <f>BZ907+BZ905</f>
        <v/>
      </c>
      <c r="CA908" s="63">
        <f>CA907+CA905</f>
        <v/>
      </c>
      <c r="CB908" s="63">
        <f>CB907+CB905</f>
        <v/>
      </c>
      <c r="CC908" s="1125">
        <f>CC907+CC905</f>
        <v/>
      </c>
      <c r="CD908" s="1125">
        <f>CD907+CD905</f>
        <v/>
      </c>
      <c r="CE908" s="1125">
        <f>CE907+CE905</f>
        <v/>
      </c>
      <c r="CF908" s="1125">
        <f>CF907+CF905</f>
        <v/>
      </c>
      <c r="CG908" s="155" t="n"/>
    </row>
    <row r="909">
      <c r="A909" s="600" t="n"/>
      <c r="B909" s="279" t="n"/>
      <c r="C909" s="1125" t="n"/>
      <c r="D909" s="1125" t="n"/>
      <c r="E909" s="1125" t="n"/>
      <c r="F909" s="1125" t="n"/>
      <c r="G909" s="63" t="n"/>
      <c r="H909" s="63" t="n"/>
      <c r="I909" s="63" t="n"/>
      <c r="J909" s="63" t="n"/>
      <c r="K909" s="1125" t="n"/>
      <c r="L909" s="63" t="n"/>
      <c r="M909" s="63" t="n"/>
      <c r="N909" s="63" t="n"/>
      <c r="O909" s="63" t="n"/>
      <c r="P909" s="1125" t="n"/>
      <c r="Q909" s="63" t="n"/>
      <c r="R909" s="63" t="n"/>
      <c r="S909" s="63" t="n"/>
      <c r="T909" s="63" t="n"/>
      <c r="U909" s="1125" t="n"/>
      <c r="V909" s="63" t="n"/>
      <c r="W909" s="63" t="n"/>
      <c r="X909" s="63" t="n"/>
      <c r="Y909" s="63" t="n"/>
      <c r="Z909" s="1125" t="n"/>
      <c r="AA909" s="63" t="n"/>
      <c r="AB909" s="63" t="n"/>
      <c r="AC909" s="63" t="n"/>
      <c r="AD909" s="63" t="n"/>
      <c r="AE909" s="1125" t="n"/>
      <c r="AF909" s="63" t="n"/>
      <c r="AG909" s="63" t="n"/>
      <c r="AH909" s="63" t="n"/>
      <c r="AI909" s="63" t="n"/>
      <c r="AJ909" s="1125" t="n"/>
      <c r="AK909" s="63" t="n"/>
      <c r="AL909" s="63" t="n"/>
      <c r="AM909" s="63" t="n"/>
      <c r="AN909" s="63" t="n"/>
      <c r="AO909" s="1125" t="n"/>
      <c r="AP909" s="63" t="n"/>
      <c r="AQ909" s="63" t="n"/>
      <c r="AR909" s="63" t="n"/>
      <c r="AS909" s="63" t="n"/>
      <c r="AT909" s="1125" t="n"/>
      <c r="AU909" s="63" t="n"/>
      <c r="AV909" s="63" t="n"/>
      <c r="AW909" s="63" t="n"/>
      <c r="AX909" s="63" t="n"/>
      <c r="AY909" s="1125" t="n"/>
      <c r="AZ909" s="63" t="n"/>
      <c r="BA909" s="63" t="n"/>
      <c r="BB909" s="63" t="n"/>
      <c r="BC909" s="63" t="n"/>
      <c r="BD909" s="1125" t="n"/>
      <c r="BE909" s="63" t="n"/>
      <c r="BF909" s="63" t="n"/>
      <c r="BG909" s="63" t="n"/>
      <c r="BH909" s="63" t="n"/>
      <c r="BI909" s="1125" t="n"/>
      <c r="BJ909" s="63" t="n"/>
      <c r="BK909" s="63" t="n"/>
      <c r="BL909" s="63" t="n"/>
      <c r="BM909" s="63" t="n"/>
      <c r="BN909" s="1125" t="n"/>
      <c r="BO909" s="63" t="n"/>
      <c r="BP909" s="63" t="n"/>
      <c r="BQ909" s="63" t="n"/>
      <c r="BR909" s="63" t="n"/>
      <c r="BS909" s="1125" t="n"/>
      <c r="BT909" s="63" t="n"/>
      <c r="BU909" s="63" t="n"/>
      <c r="BV909" s="587" t="n"/>
      <c r="BW909" s="63" t="n"/>
      <c r="BX909" s="1125" t="n"/>
      <c r="BY909" s="63" t="n"/>
      <c r="BZ909" s="63" t="n"/>
      <c r="CA909" s="63" t="n"/>
      <c r="CB909" s="63" t="n"/>
      <c r="CC909" s="1125" t="n"/>
      <c r="CD909" s="1125" t="n"/>
      <c r="CE909" s="1125" t="n"/>
      <c r="CF909" s="1125" t="n"/>
      <c r="CG909" s="155" t="n"/>
    </row>
    <row r="910">
      <c r="A910" s="100">
        <f>A838</f>
        <v/>
      </c>
      <c r="B910" s="146" t="n"/>
      <c r="C910" s="1112">
        <f>C838</f>
        <v/>
      </c>
      <c r="D910" s="1112">
        <f>D838</f>
        <v/>
      </c>
      <c r="E910" s="1112">
        <f>E838</f>
        <v/>
      </c>
      <c r="F910" s="1112">
        <f>F838</f>
        <v/>
      </c>
      <c r="G910" s="27">
        <f>G838</f>
        <v/>
      </c>
      <c r="H910" s="27">
        <f>H838-G838</f>
        <v/>
      </c>
      <c r="I910" s="27">
        <f>I838-H838</f>
        <v/>
      </c>
      <c r="J910" s="27">
        <f>J838-I838</f>
        <v/>
      </c>
      <c r="K910" s="1112">
        <f>K838</f>
        <v/>
      </c>
      <c r="L910" s="27">
        <f>L838</f>
        <v/>
      </c>
      <c r="M910" s="27">
        <f>M838-L838</f>
        <v/>
      </c>
      <c r="N910" s="68" t="n"/>
      <c r="O910" s="68" t="n"/>
      <c r="P910" s="1112">
        <f>P838</f>
        <v/>
      </c>
      <c r="Q910" s="68" t="n"/>
      <c r="R910" s="68" t="n"/>
      <c r="S910" s="68" t="n"/>
      <c r="T910" s="68" t="n"/>
      <c r="U910" s="1112">
        <f>U838</f>
        <v/>
      </c>
      <c r="V910" s="68" t="n"/>
      <c r="W910" s="68" t="n"/>
      <c r="X910" s="68" t="n"/>
      <c r="Y910" s="68" t="n"/>
      <c r="Z910" s="1112">
        <f>Z838</f>
        <v/>
      </c>
      <c r="AA910" s="68" t="n"/>
      <c r="AB910" s="68" t="n"/>
      <c r="AC910" s="68" t="n"/>
      <c r="AD910" s="68" t="n"/>
      <c r="AE910" s="1112">
        <f>AE838</f>
        <v/>
      </c>
      <c r="AF910" s="68" t="n"/>
      <c r="AG910" s="68" t="n"/>
      <c r="AH910" s="68" t="n"/>
      <c r="AI910" s="68" t="n"/>
      <c r="AJ910" s="1112">
        <f>AJ838</f>
        <v/>
      </c>
      <c r="AK910" s="68" t="n"/>
      <c r="AL910" s="68" t="n"/>
      <c r="AM910" s="68" t="n"/>
      <c r="AN910" s="68" t="n"/>
      <c r="AO910" s="1110">
        <f>AO838</f>
        <v/>
      </c>
      <c r="AP910" s="68" t="n"/>
      <c r="AQ910" s="68" t="n"/>
      <c r="AR910" s="68" t="n"/>
      <c r="AS910" s="68" t="n"/>
      <c r="AT910" s="1110">
        <f>AT838</f>
        <v/>
      </c>
      <c r="AU910" s="68" t="n"/>
      <c r="AV910" s="68" t="n"/>
      <c r="AW910" s="68" t="n"/>
      <c r="AX910" s="68" t="n"/>
      <c r="AY910" s="1110">
        <f>AY838</f>
        <v/>
      </c>
      <c r="AZ910" s="68" t="n"/>
      <c r="BA910" s="68" t="n"/>
      <c r="BB910" s="68" t="n"/>
      <c r="BC910" s="68" t="n"/>
      <c r="BD910" s="1110">
        <f>BD838</f>
        <v/>
      </c>
      <c r="BE910" s="68" t="n"/>
      <c r="BF910" s="68" t="n"/>
      <c r="BG910" s="68" t="n"/>
      <c r="BH910" s="68" t="n"/>
      <c r="BI910" s="1110">
        <f>BI838</f>
        <v/>
      </c>
      <c r="BJ910" s="68" t="n"/>
      <c r="BK910" s="68" t="n"/>
      <c r="BL910" s="68" t="n"/>
      <c r="BM910" s="1053" t="n">
        <v>26</v>
      </c>
      <c r="BN910" s="1111" t="n">
        <v>252</v>
      </c>
      <c r="BO910" s="68">
        <f>BO838</f>
        <v/>
      </c>
      <c r="BP910" s="68" t="n"/>
      <c r="BQ910" s="68" t="n"/>
      <c r="BR910" s="1053" t="n">
        <v>22</v>
      </c>
      <c r="BS910" s="1110">
        <f>BS838</f>
        <v/>
      </c>
      <c r="BT910" s="68">
        <f>BT838</f>
        <v/>
      </c>
      <c r="BU910" s="68" t="n"/>
      <c r="BV910" s="588" t="n"/>
      <c r="BW910" s="68" t="n"/>
      <c r="BX910" s="1110" t="n"/>
      <c r="BY910" s="68" t="n"/>
      <c r="BZ910" s="68" t="n"/>
      <c r="CA910" s="68" t="n"/>
      <c r="CB910" s="68" t="n"/>
      <c r="CC910" s="1110" t="n"/>
      <c r="CD910" s="1110" t="n"/>
      <c r="CE910" s="1110" t="n"/>
      <c r="CF910" s="1110" t="n"/>
      <c r="CG910" s="155" t="n"/>
    </row>
    <row r="911">
      <c r="A911" s="100">
        <f>A839</f>
        <v/>
      </c>
      <c r="B911" s="146" t="n"/>
      <c r="C911" s="1112">
        <f>C839</f>
        <v/>
      </c>
      <c r="D911" s="1112">
        <f>D839</f>
        <v/>
      </c>
      <c r="E911" s="1112">
        <f>E839</f>
        <v/>
      </c>
      <c r="F911" s="1112">
        <f>F839</f>
        <v/>
      </c>
      <c r="G911" s="27">
        <f>G839</f>
        <v/>
      </c>
      <c r="H911" s="27">
        <f>H839-G839</f>
        <v/>
      </c>
      <c r="I911" s="27">
        <f>I839-H839</f>
        <v/>
      </c>
      <c r="J911" s="27">
        <f>J839-I839</f>
        <v/>
      </c>
      <c r="K911" s="1112">
        <f>K839</f>
        <v/>
      </c>
      <c r="L911" s="27">
        <f>L839</f>
        <v/>
      </c>
      <c r="M911" s="27">
        <f>M839-L839</f>
        <v/>
      </c>
      <c r="N911" s="68" t="n"/>
      <c r="O911" s="68" t="n"/>
      <c r="P911" s="1112">
        <f>P839</f>
        <v/>
      </c>
      <c r="Q911" s="68" t="n"/>
      <c r="R911" s="68" t="n"/>
      <c r="S911" s="68" t="n"/>
      <c r="T911" s="68" t="n"/>
      <c r="U911" s="1112">
        <f>U839</f>
        <v/>
      </c>
      <c r="V911" s="68" t="n"/>
      <c r="W911" s="68" t="n"/>
      <c r="X911" s="68" t="n"/>
      <c r="Y911" s="68" t="n"/>
      <c r="Z911" s="1112">
        <f>Z839</f>
        <v/>
      </c>
      <c r="AA911" s="68" t="n"/>
      <c r="AB911" s="68" t="n"/>
      <c r="AC911" s="68" t="n"/>
      <c r="AD911" s="68" t="n"/>
      <c r="AE911" s="1112">
        <f>AE839</f>
        <v/>
      </c>
      <c r="AF911" s="68" t="n"/>
      <c r="AG911" s="68" t="n"/>
      <c r="AH911" s="68" t="n"/>
      <c r="AI911" s="68" t="n"/>
      <c r="AJ911" s="1112">
        <f>AJ839</f>
        <v/>
      </c>
      <c r="AK911" s="68" t="n"/>
      <c r="AL911" s="68" t="n"/>
      <c r="AM911" s="68" t="n"/>
      <c r="AN911" s="68" t="n"/>
      <c r="AO911" s="1110">
        <f>AO839</f>
        <v/>
      </c>
      <c r="AP911" s="68" t="n"/>
      <c r="AQ911" s="68" t="n"/>
      <c r="AR911" s="68" t="n"/>
      <c r="AS911" s="68" t="n"/>
      <c r="AT911" s="1110">
        <f>AT839</f>
        <v/>
      </c>
      <c r="AU911" s="68" t="n"/>
      <c r="AV911" s="68" t="n"/>
      <c r="AW911" s="68" t="n"/>
      <c r="AX911" s="68" t="n"/>
      <c r="AY911" s="1110">
        <f>AY839</f>
        <v/>
      </c>
      <c r="AZ911" s="68" t="n"/>
      <c r="BA911" s="68" t="n"/>
      <c r="BB911" s="68" t="n"/>
      <c r="BC911" s="68" t="n"/>
      <c r="BD911" s="1110">
        <f>BD839</f>
        <v/>
      </c>
      <c r="BE911" s="68" t="n"/>
      <c r="BF911" s="1053" t="n">
        <v>1081</v>
      </c>
      <c r="BG911" s="27">
        <f>BG839-BF839</f>
        <v/>
      </c>
      <c r="BH911" s="68">
        <f>BH839-BG839</f>
        <v/>
      </c>
      <c r="BI911" s="1110">
        <f>BI839</f>
        <v/>
      </c>
      <c r="BJ911" s="68" t="n"/>
      <c r="BK911" s="1053" t="n">
        <v>227</v>
      </c>
      <c r="BL911" s="27">
        <f>BL839-BK839</f>
        <v/>
      </c>
      <c r="BM911" s="68">
        <f>BM839-BL839</f>
        <v/>
      </c>
      <c r="BN911" s="1111" t="n">
        <v>6549</v>
      </c>
      <c r="BO911" s="68">
        <f>BP839-BP911</f>
        <v/>
      </c>
      <c r="BP911" s="1053" t="n">
        <v>7208</v>
      </c>
      <c r="BQ911" s="68">
        <f>BQ839-BP839</f>
        <v/>
      </c>
      <c r="BR911" s="68">
        <f>BR839-BQ839</f>
        <v/>
      </c>
      <c r="BS911" s="1110">
        <f>BS839</f>
        <v/>
      </c>
      <c r="BT911" s="68">
        <f>BU839-BU911</f>
        <v/>
      </c>
      <c r="BU911" s="1053" t="n">
        <v>8094</v>
      </c>
      <c r="BV911" s="588">
        <f>BV839-BU839</f>
        <v/>
      </c>
      <c r="BW911" s="68" t="n"/>
      <c r="BX911" s="1110" t="n"/>
      <c r="BY911" s="68" t="n"/>
      <c r="BZ911" s="68" t="n"/>
      <c r="CA911" s="68" t="n"/>
      <c r="CB911" s="68" t="n"/>
      <c r="CC911" s="1110" t="n"/>
      <c r="CD911" s="1110" t="n"/>
      <c r="CE911" s="1110" t="n"/>
      <c r="CF911" s="1110" t="n"/>
      <c r="CG911" s="155" t="n"/>
    </row>
    <row r="912">
      <c r="A912" s="600" t="n"/>
      <c r="B912" s="279" t="n"/>
      <c r="C912" s="1125" t="n"/>
      <c r="D912" s="1125" t="n"/>
      <c r="E912" s="1125" t="n"/>
      <c r="F912" s="1125" t="n"/>
      <c r="G912" s="63" t="n"/>
      <c r="H912" s="63" t="n"/>
      <c r="I912" s="63" t="n"/>
      <c r="J912" s="63" t="n"/>
      <c r="K912" s="1125" t="n"/>
      <c r="L912" s="63" t="n"/>
      <c r="M912" s="63" t="n"/>
      <c r="N912" s="63" t="n"/>
      <c r="O912" s="63" t="n"/>
      <c r="P912" s="1125" t="n"/>
      <c r="Q912" s="63" t="n"/>
      <c r="R912" s="63" t="n"/>
      <c r="S912" s="63" t="n"/>
      <c r="T912" s="63" t="n"/>
      <c r="U912" s="1125" t="n"/>
      <c r="V912" s="63" t="n"/>
      <c r="W912" s="63" t="n"/>
      <c r="X912" s="63" t="n"/>
      <c r="Y912" s="63" t="n"/>
      <c r="Z912" s="1125" t="n"/>
      <c r="AA912" s="63" t="n"/>
      <c r="AB912" s="63" t="n"/>
      <c r="AC912" s="63" t="n"/>
      <c r="AD912" s="63" t="n"/>
      <c r="AE912" s="1125" t="n"/>
      <c r="AF912" s="63" t="n"/>
      <c r="AG912" s="63" t="n"/>
      <c r="AH912" s="63" t="n"/>
      <c r="AI912" s="63" t="n"/>
      <c r="AJ912" s="1125" t="n"/>
      <c r="AK912" s="63" t="n"/>
      <c r="AL912" s="63" t="n"/>
      <c r="AM912" s="63" t="n"/>
      <c r="AN912" s="63" t="n"/>
      <c r="AO912" s="1125" t="n"/>
      <c r="AP912" s="63" t="n"/>
      <c r="AQ912" s="63" t="n"/>
      <c r="AR912" s="63" t="n"/>
      <c r="AS912" s="63" t="n"/>
      <c r="AT912" s="1125" t="n"/>
      <c r="AU912" s="63" t="n"/>
      <c r="AV912" s="63" t="n"/>
      <c r="AW912" s="63" t="n"/>
      <c r="AX912" s="63" t="n"/>
      <c r="AY912" s="1125" t="n"/>
      <c r="AZ912" s="63" t="n"/>
      <c r="BA912" s="63" t="n"/>
      <c r="BB912" s="63" t="n"/>
      <c r="BC912" s="63" t="n"/>
      <c r="BD912" s="1125" t="n"/>
      <c r="BE912" s="63" t="n"/>
      <c r="BF912" s="63" t="n"/>
      <c r="BG912" s="63" t="n"/>
      <c r="BH912" s="63" t="n"/>
      <c r="BI912" s="1125" t="n"/>
      <c r="BJ912" s="63" t="n"/>
      <c r="BK912" s="63" t="n"/>
      <c r="BL912" s="63" t="n"/>
      <c r="BM912" s="63" t="n"/>
      <c r="BN912" s="1125" t="n"/>
      <c r="BO912" s="63" t="n"/>
      <c r="BP912" s="63" t="n"/>
      <c r="BQ912" s="63" t="n"/>
      <c r="BR912" s="63" t="n"/>
      <c r="BS912" s="1125" t="n"/>
      <c r="BT912" s="63" t="n"/>
      <c r="BU912" s="63" t="n"/>
      <c r="BV912" s="587" t="n"/>
      <c r="BW912" s="63" t="n"/>
      <c r="BX912" s="1125" t="n"/>
      <c r="BY912" s="63" t="n"/>
      <c r="BZ912" s="63" t="n"/>
      <c r="CA912" s="63" t="n"/>
      <c r="CB912" s="63" t="n"/>
      <c r="CC912" s="1125" t="n"/>
      <c r="CD912" s="1125" t="n"/>
      <c r="CE912" s="1125" t="n"/>
      <c r="CF912" s="1125" t="n"/>
      <c r="CG912" s="155" t="n"/>
    </row>
    <row r="913">
      <c r="A913" s="985" t="inlineStr">
        <is>
          <t>CF Check</t>
        </is>
      </c>
      <c r="B913" s="985" t="n"/>
      <c r="C913" s="986">
        <f>ROUND(C908-C952,6)</f>
        <v/>
      </c>
      <c r="D913" s="986">
        <f>ROUND(D908-D952,6)</f>
        <v/>
      </c>
      <c r="E913" s="986">
        <f>ROUND(E908-E952,6)</f>
        <v/>
      </c>
      <c r="F913" s="986">
        <f>ROUND(F908-F952,6)</f>
        <v/>
      </c>
      <c r="G913" s="986">
        <f>ROUND(G908-G952,6)</f>
        <v/>
      </c>
      <c r="H913" s="986">
        <f>ROUND(H908-H952,6)</f>
        <v/>
      </c>
      <c r="I913" s="986">
        <f>ROUND(I908-I952,6)</f>
        <v/>
      </c>
      <c r="J913" s="986">
        <f>ROUND(J908-J952,6)</f>
        <v/>
      </c>
      <c r="K913" s="986">
        <f>ROUND(K908-K952,6)</f>
        <v/>
      </c>
      <c r="L913" s="986">
        <f>ROUND(L908-L952,6)</f>
        <v/>
      </c>
      <c r="M913" s="986">
        <f>ROUND(M908-M952,6)</f>
        <v/>
      </c>
      <c r="N913" s="986">
        <f>ROUND(N908-N952,6)</f>
        <v/>
      </c>
      <c r="O913" s="986">
        <f>ROUND(O908-O952,6)</f>
        <v/>
      </c>
      <c r="P913" s="986">
        <f>ROUND(P908-P952,6)</f>
        <v/>
      </c>
      <c r="Q913" s="986">
        <f>ROUND(Q908-Q952,6)</f>
        <v/>
      </c>
      <c r="R913" s="986">
        <f>ROUND(R908-R952,6)</f>
        <v/>
      </c>
      <c r="S913" s="986">
        <f>ROUND(S908-S952,6)</f>
        <v/>
      </c>
      <c r="T913" s="986">
        <f>ROUND(T908-T952,6)</f>
        <v/>
      </c>
      <c r="U913" s="986">
        <f>ROUND(U908-U952,6)</f>
        <v/>
      </c>
      <c r="V913" s="986">
        <f>ROUND(V908-V952,6)</f>
        <v/>
      </c>
      <c r="W913" s="986">
        <f>ROUND(W908-W952,6)</f>
        <v/>
      </c>
      <c r="X913" s="986">
        <f>ROUND(X908-X952,6)</f>
        <v/>
      </c>
      <c r="Y913" s="986">
        <f>ROUND(Y908-Y952,6)</f>
        <v/>
      </c>
      <c r="Z913" s="986">
        <f>ROUND(Z908-Z952,6)</f>
        <v/>
      </c>
      <c r="AA913" s="986">
        <f>ROUND(AA908-AA952,6)</f>
        <v/>
      </c>
      <c r="AB913" s="986">
        <f>ROUND(AB908-AB952,6)</f>
        <v/>
      </c>
      <c r="AC913" s="1001">
        <f>ROUND(AC908-AC952,6)</f>
        <v/>
      </c>
      <c r="AD913" s="1001">
        <f>ROUND(AD908-AD952,6)</f>
        <v/>
      </c>
      <c r="AE913" s="1001">
        <f>ROUND(AE908-AE952,6)</f>
        <v/>
      </c>
      <c r="AF913" s="986">
        <f>ROUND(AF908-AF952,6)</f>
        <v/>
      </c>
      <c r="AG913" s="986">
        <f>ROUND(AG908-AG952,6)</f>
        <v/>
      </c>
      <c r="AH913" s="986">
        <f>ROUND(AH908-AH952,6)</f>
        <v/>
      </c>
      <c r="AI913" s="1001">
        <f>ROUND(AI908-AI952,6)</f>
        <v/>
      </c>
      <c r="AJ913" s="1001">
        <f>ROUND(AJ908-AJ952,6)</f>
        <v/>
      </c>
      <c r="AK913" s="986">
        <f>ROUND(AK908-AK952,6)</f>
        <v/>
      </c>
      <c r="AL913" s="986">
        <f>ROUND(AL908-AL952,6)</f>
        <v/>
      </c>
      <c r="AM913" s="986">
        <f>ROUND(AM908-AM952,6)</f>
        <v/>
      </c>
      <c r="AN913" s="986">
        <f>ROUND(AN908-AN952,6)</f>
        <v/>
      </c>
      <c r="AO913" s="986">
        <f>ROUND(AO908-AO952,6)</f>
        <v/>
      </c>
      <c r="AP913" s="986">
        <f>ROUND(AP908-AP952,6)</f>
        <v/>
      </c>
      <c r="AQ913" s="986">
        <f>ROUND(AQ908-AQ952,6)</f>
        <v/>
      </c>
      <c r="AR913" s="986">
        <f>ROUND(AR908-AR952,6)</f>
        <v/>
      </c>
      <c r="AS913" s="986">
        <f>ROUND(AS908-AS952,6)</f>
        <v/>
      </c>
      <c r="AT913" s="986">
        <f>ROUND(AT908-AT952,6)</f>
        <v/>
      </c>
      <c r="AU913" s="986">
        <f>ROUND(AU908-AU952,6)</f>
        <v/>
      </c>
      <c r="AV913" s="986">
        <f>ROUND(AV908-AV952,6)</f>
        <v/>
      </c>
      <c r="AW913" s="986">
        <f>ROUND(AW908-AW952,6)</f>
        <v/>
      </c>
      <c r="AX913" s="986">
        <f>ROUND(AX908-AX952,6)</f>
        <v/>
      </c>
      <c r="AY913" s="986">
        <f>ROUND(AY908-AY952,6)</f>
        <v/>
      </c>
      <c r="AZ913" s="986">
        <f>ROUND(AZ908-AZ952,6)</f>
        <v/>
      </c>
      <c r="BA913" s="986">
        <f>ROUND(BA908-BA952,6)</f>
        <v/>
      </c>
      <c r="BB913" s="986">
        <f>ROUND(BB908-BB952,6)</f>
        <v/>
      </c>
      <c r="BC913" s="986">
        <f>ROUND(BC908-BC952,6)</f>
        <v/>
      </c>
      <c r="BD913" s="986">
        <f>ROUND(BD908-BD952,6)</f>
        <v/>
      </c>
      <c r="BE913" s="986">
        <f>ROUND(BE908-BE952,6)</f>
        <v/>
      </c>
      <c r="BF913" s="986">
        <f>ROUND(BF908-BF952,6)</f>
        <v/>
      </c>
      <c r="BG913" s="986">
        <f>ROUND(BG908-BG952,6)</f>
        <v/>
      </c>
      <c r="BH913" s="986">
        <f>ROUND(BH908-BH952,6)</f>
        <v/>
      </c>
      <c r="BI913" s="986">
        <f>ROUND(BI908-BI952,6)</f>
        <v/>
      </c>
      <c r="BJ913" s="986">
        <f>ROUND(BJ908-BJ952,6)</f>
        <v/>
      </c>
      <c r="BK913" s="986">
        <f>ROUND(BK908-BK952-BK959,6)</f>
        <v/>
      </c>
      <c r="BL913" s="986">
        <f>ROUND(BL908-BL952-BL959,6)</f>
        <v/>
      </c>
      <c r="BM913" s="986">
        <f>ROUND(BM908-BM952,6)</f>
        <v/>
      </c>
      <c r="BN913" s="986">
        <f>ROUND(BN908-BN952,6)</f>
        <v/>
      </c>
      <c r="BO913" s="986">
        <f>ROUND(BO908-BO952-BO959,6)</f>
        <v/>
      </c>
      <c r="BP913" s="986">
        <f>ROUND(BP908-BP952-BP959,6)</f>
        <v/>
      </c>
      <c r="BQ913" s="986">
        <f>ROUND(BQ908-BQ952-BQ959,6)</f>
        <v/>
      </c>
      <c r="BR913" s="986">
        <f>ROUND(BR908-BR952,6)</f>
        <v/>
      </c>
      <c r="BS913" s="986">
        <f>ROUND(BS908-BS952,6)</f>
        <v/>
      </c>
      <c r="BT913" s="986">
        <f>ROUND(BT908-BT952-BT959,6)</f>
        <v/>
      </c>
      <c r="BU913" s="986">
        <f>ROUND(BU908-BU952-BU959,6)</f>
        <v/>
      </c>
      <c r="BV913" s="987">
        <f>ROUND(BV908-BV952-BV959,6)</f>
        <v/>
      </c>
      <c r="BW913" s="986">
        <f>ROUND(BW908-BW952-BW959,6)</f>
        <v/>
      </c>
      <c r="BX913" s="986">
        <f>ROUND(BX908-BX952-BX959,6)</f>
        <v/>
      </c>
      <c r="BY913" s="986">
        <f>ROUND(BY908-BY952-BY959,6)</f>
        <v/>
      </c>
      <c r="BZ913" s="986">
        <f>ROUND(BZ908-BZ952-BZ959,6)</f>
        <v/>
      </c>
      <c r="CA913" s="986">
        <f>ROUND(CA908-CA952-CA959,6)</f>
        <v/>
      </c>
      <c r="CB913" s="986">
        <f>ROUND(CB908-CB952-CB959,6)</f>
        <v/>
      </c>
      <c r="CC913" s="986">
        <f>ROUND(CC908-CC952-CC959,6)</f>
        <v/>
      </c>
      <c r="CD913" s="986">
        <f>ROUND(CD908-CD952-CD959,6)</f>
        <v/>
      </c>
      <c r="CE913" s="986">
        <f>ROUND(CE908-CE952-CE959,6)</f>
        <v/>
      </c>
      <c r="CF913" s="986">
        <f>ROUND(CF908-CF952-CF959,6)</f>
        <v/>
      </c>
      <c r="CG913" s="155" t="n"/>
    </row>
    <row r="914">
      <c r="A914" s="600" t="n"/>
      <c r="B914" s="279" t="n"/>
      <c r="C914" s="1125" t="n"/>
      <c r="D914" s="1125" t="n"/>
      <c r="E914" s="1125" t="n"/>
      <c r="F914" s="1125" t="n"/>
      <c r="G914" s="63" t="n"/>
      <c r="H914" s="63" t="n"/>
      <c r="I914" s="63" t="n"/>
      <c r="J914" s="63" t="n"/>
      <c r="K914" s="1125" t="n"/>
      <c r="L914" s="63" t="n"/>
      <c r="M914" s="63" t="n"/>
      <c r="N914" s="63" t="n"/>
      <c r="O914" s="63" t="n"/>
      <c r="P914" s="1125" t="n"/>
      <c r="Q914" s="63" t="n"/>
      <c r="R914" s="63" t="n"/>
      <c r="S914" s="63" t="n"/>
      <c r="T914" s="63" t="n"/>
      <c r="U914" s="1125" t="n"/>
      <c r="V914" s="63" t="n"/>
      <c r="W914" s="63" t="n"/>
      <c r="X914" s="63" t="n"/>
      <c r="Y914" s="63" t="n"/>
      <c r="Z914" s="1125" t="n"/>
      <c r="AA914" s="63" t="n"/>
      <c r="AB914" s="63" t="n"/>
      <c r="AC914" s="63" t="n"/>
      <c r="AD914" s="63" t="n"/>
      <c r="AE914" s="1125" t="n"/>
      <c r="AF914" s="63" t="n"/>
      <c r="AG914" s="63" t="n"/>
      <c r="AH914" s="63" t="n"/>
      <c r="AI914" s="63" t="n"/>
      <c r="AJ914" s="1125" t="n"/>
      <c r="AK914" s="63" t="n"/>
      <c r="AL914" s="63" t="n"/>
      <c r="AM914" s="63" t="n"/>
      <c r="AN914" s="63" t="n"/>
      <c r="AO914" s="1125" t="n"/>
      <c r="AP914" s="63" t="n"/>
      <c r="AQ914" s="63" t="n"/>
      <c r="AR914" s="63" t="n"/>
      <c r="AS914" s="63" t="n"/>
      <c r="AT914" s="1125" t="n"/>
      <c r="AU914" s="63" t="n"/>
      <c r="AV914" s="63" t="n"/>
      <c r="AW914" s="63" t="n"/>
      <c r="AX914" s="63" t="n"/>
      <c r="AY914" s="1125" t="n"/>
      <c r="AZ914" s="63" t="n"/>
      <c r="BA914" s="63" t="n"/>
      <c r="BB914" s="63" t="n"/>
      <c r="BC914" s="63" t="n"/>
      <c r="BD914" s="1125" t="n"/>
      <c r="BE914" s="63" t="n"/>
      <c r="BF914" s="63" t="n"/>
      <c r="BG914" s="63" t="n"/>
      <c r="BH914" s="63" t="n"/>
      <c r="BI914" s="1125" t="n"/>
      <c r="BJ914" s="63" t="n"/>
      <c r="BK914" s="63" t="n"/>
      <c r="BL914" s="63" t="n"/>
      <c r="BM914" s="63" t="n"/>
      <c r="BN914" s="1125" t="n"/>
      <c r="BO914" s="63" t="n"/>
      <c r="BP914" s="63" t="n"/>
      <c r="BQ914" s="63" t="n"/>
      <c r="BR914" s="63" t="n"/>
      <c r="BS914" s="1125" t="n"/>
      <c r="BT914" s="63" t="n"/>
      <c r="BU914" s="63" t="n"/>
      <c r="BV914" s="587" t="n"/>
      <c r="BW914" s="63" t="n"/>
      <c r="BX914" s="1125" t="n"/>
      <c r="BY914" s="63" t="n"/>
      <c r="BZ914" s="63" t="n"/>
      <c r="CA914" s="63" t="n"/>
      <c r="CB914" s="63" t="n"/>
      <c r="CC914" s="1125" t="n"/>
      <c r="CD914" s="1125" t="n"/>
      <c r="CE914" s="1125" t="n"/>
      <c r="CF914" s="1125" t="n"/>
      <c r="CG914" s="155" t="n"/>
    </row>
    <row r="915">
      <c r="A915" s="241" t="inlineStr">
        <is>
          <t>D&amp;A Forecasting</t>
        </is>
      </c>
      <c r="B915" s="242" t="n"/>
      <c r="C915" s="650" t="n"/>
      <c r="D915" s="650" t="n"/>
      <c r="E915" s="650" t="n"/>
      <c r="F915" s="650" t="n"/>
      <c r="G915" s="650" t="n"/>
      <c r="H915" s="650" t="n"/>
      <c r="I915" s="650" t="n"/>
      <c r="J915" s="650" t="n"/>
      <c r="K915" s="650" t="n"/>
      <c r="L915" s="650" t="n"/>
      <c r="M915" s="650" t="n"/>
      <c r="N915" s="650" t="n"/>
      <c r="O915" s="650" t="n"/>
      <c r="P915" s="650" t="n"/>
      <c r="Q915" s="650" t="n"/>
      <c r="R915" s="650" t="n"/>
      <c r="S915" s="650" t="n"/>
      <c r="T915" s="650" t="n"/>
      <c r="U915" s="650" t="n"/>
      <c r="V915" s="650" t="n"/>
      <c r="W915" s="650" t="n"/>
      <c r="X915" s="650" t="n"/>
      <c r="Y915" s="650" t="n"/>
      <c r="Z915" s="650" t="n"/>
      <c r="AA915" s="650" t="n"/>
      <c r="AB915" s="650" t="n"/>
      <c r="AC915" s="650" t="n"/>
      <c r="AD915" s="650" t="n"/>
      <c r="AE915" s="650" t="n"/>
      <c r="AF915" s="650" t="n"/>
      <c r="AG915" s="650" t="n"/>
      <c r="AH915" s="650" t="n"/>
      <c r="AI915" s="650" t="n"/>
      <c r="AJ915" s="650" t="n"/>
      <c r="AK915" s="650" t="n"/>
      <c r="AL915" s="650" t="n"/>
      <c r="AM915" s="650" t="n"/>
      <c r="AN915" s="650" t="n"/>
      <c r="AO915" s="650" t="n"/>
      <c r="AP915" s="650" t="n"/>
      <c r="AQ915" s="650" t="n"/>
      <c r="AR915" s="650" t="n"/>
      <c r="AS915" s="650" t="n"/>
      <c r="AT915" s="650" t="n"/>
      <c r="AU915" s="650" t="n"/>
      <c r="AV915" s="650" t="n"/>
      <c r="AW915" s="650" t="n"/>
      <c r="AX915" s="650" t="n"/>
      <c r="AY915" s="650" t="n"/>
      <c r="AZ915" s="650" t="n"/>
      <c r="BA915" s="650" t="n"/>
      <c r="BB915" s="650" t="n"/>
      <c r="BC915" s="650" t="n"/>
      <c r="BD915" s="650" t="n"/>
      <c r="BE915" s="650" t="n"/>
      <c r="BF915" s="650" t="n"/>
      <c r="BG915" s="650" t="n"/>
      <c r="BH915" s="650" t="n"/>
      <c r="BI915" s="650" t="n"/>
      <c r="BJ915" s="650" t="n"/>
      <c r="BK915" s="650" t="n"/>
      <c r="BL915" s="650" t="n"/>
      <c r="BM915" s="650" t="n"/>
      <c r="BN915" s="650" t="n"/>
      <c r="BO915" s="650" t="n"/>
      <c r="BP915" s="650" t="n"/>
      <c r="BQ915" s="650" t="n"/>
      <c r="BR915" s="650" t="n"/>
      <c r="BS915" s="650" t="n"/>
      <c r="BT915" s="650" t="n"/>
      <c r="BU915" s="650" t="n"/>
      <c r="BV915" s="700" t="n"/>
      <c r="BW915" s="650" t="n"/>
      <c r="BX915" s="650" t="n"/>
      <c r="BY915" s="650" t="n"/>
      <c r="BZ915" s="650" t="n"/>
      <c r="CA915" s="650" t="n"/>
      <c r="CB915" s="650" t="n"/>
      <c r="CC915" s="650" t="n"/>
      <c r="CD915" s="650" t="n"/>
      <c r="CE915" s="650" t="n"/>
      <c r="CF915" s="650" t="n"/>
      <c r="CG915" s="155" t="n"/>
    </row>
    <row r="916">
      <c r="A916" s="600" t="inlineStr">
        <is>
          <t>PP&amp;E BoP, mm</t>
        </is>
      </c>
      <c r="B916" s="279" t="n"/>
      <c r="C916" s="1153" t="n"/>
      <c r="D916" s="1153">
        <f>C920</f>
        <v/>
      </c>
      <c r="E916" s="1153">
        <f>D920</f>
        <v/>
      </c>
      <c r="F916" s="1153">
        <f>E920</f>
        <v/>
      </c>
      <c r="G916" s="654">
        <f>F920</f>
        <v/>
      </c>
      <c r="H916" s="654">
        <f>G920</f>
        <v/>
      </c>
      <c r="I916" s="654">
        <f>H920</f>
        <v/>
      </c>
      <c r="J916" s="654">
        <f>I920</f>
        <v/>
      </c>
      <c r="K916" s="1153">
        <f>F920</f>
        <v/>
      </c>
      <c r="L916" s="654">
        <f>K920</f>
        <v/>
      </c>
      <c r="M916" s="654">
        <f>L920</f>
        <v/>
      </c>
      <c r="N916" s="654">
        <f>M920</f>
        <v/>
      </c>
      <c r="O916" s="654">
        <f>N920</f>
        <v/>
      </c>
      <c r="P916" s="1153">
        <f>K920</f>
        <v/>
      </c>
      <c r="Q916" s="654">
        <f>P920</f>
        <v/>
      </c>
      <c r="R916" s="654">
        <f>Q920</f>
        <v/>
      </c>
      <c r="S916" s="654">
        <f>R920</f>
        <v/>
      </c>
      <c r="T916" s="654">
        <f>S920</f>
        <v/>
      </c>
      <c r="U916" s="1153">
        <f>P920</f>
        <v/>
      </c>
      <c r="V916" s="654">
        <f>U920</f>
        <v/>
      </c>
      <c r="W916" s="654">
        <f>V920</f>
        <v/>
      </c>
      <c r="X916" s="654">
        <f>W920</f>
        <v/>
      </c>
      <c r="Y916" s="654">
        <f>X920</f>
        <v/>
      </c>
      <c r="Z916" s="1153">
        <f>U920</f>
        <v/>
      </c>
      <c r="AA916" s="654">
        <f>Z920</f>
        <v/>
      </c>
      <c r="AB916" s="654">
        <f>AA920</f>
        <v/>
      </c>
      <c r="AC916" s="654">
        <f>AB920</f>
        <v/>
      </c>
      <c r="AD916" s="654">
        <f>AC920</f>
        <v/>
      </c>
      <c r="AE916" s="1153">
        <f>Z920</f>
        <v/>
      </c>
      <c r="AF916" s="654">
        <f>AE920</f>
        <v/>
      </c>
      <c r="AG916" s="654">
        <f>AF920</f>
        <v/>
      </c>
      <c r="AH916" s="654">
        <f>AG920</f>
        <v/>
      </c>
      <c r="AI916" s="654">
        <f>AH920</f>
        <v/>
      </c>
      <c r="AJ916" s="1153">
        <f>AE920</f>
        <v/>
      </c>
      <c r="AK916" s="654">
        <f>AJ920</f>
        <v/>
      </c>
      <c r="AL916" s="654">
        <f>AK920</f>
        <v/>
      </c>
      <c r="AM916" s="654">
        <f>AL920</f>
        <v/>
      </c>
      <c r="AN916" s="654">
        <f>AM920</f>
        <v/>
      </c>
      <c r="AO916" s="1153">
        <f>AJ920</f>
        <v/>
      </c>
      <c r="AP916" s="654">
        <f>AO920</f>
        <v/>
      </c>
      <c r="AQ916" s="654">
        <f>AP920</f>
        <v/>
      </c>
      <c r="AR916" s="654">
        <f>AQ920</f>
        <v/>
      </c>
      <c r="AS916" s="654">
        <f>AR920</f>
        <v/>
      </c>
      <c r="AT916" s="1153">
        <f>AO920</f>
        <v/>
      </c>
      <c r="AU916" s="654">
        <f>AT920</f>
        <v/>
      </c>
      <c r="AV916" s="654">
        <f>AU920</f>
        <v/>
      </c>
      <c r="AW916" s="654">
        <f>AV920</f>
        <v/>
      </c>
      <c r="AX916" s="654">
        <f>AW920</f>
        <v/>
      </c>
      <c r="AY916" s="1153">
        <f>AT920</f>
        <v/>
      </c>
      <c r="AZ916" s="654">
        <f>AY920</f>
        <v/>
      </c>
      <c r="BA916" s="654">
        <f>AZ920</f>
        <v/>
      </c>
      <c r="BB916" s="654">
        <f>BA920</f>
        <v/>
      </c>
      <c r="BC916" s="654">
        <f>BB920</f>
        <v/>
      </c>
      <c r="BD916" s="1153">
        <f>AY920</f>
        <v/>
      </c>
      <c r="BE916" s="654">
        <f>BD920</f>
        <v/>
      </c>
      <c r="BF916" s="654">
        <f>BE920</f>
        <v/>
      </c>
      <c r="BG916" s="654">
        <f>BF920</f>
        <v/>
      </c>
      <c r="BH916" s="654">
        <f>BG920</f>
        <v/>
      </c>
      <c r="BI916" s="1153">
        <f>BD920</f>
        <v/>
      </c>
      <c r="BJ916" s="654">
        <f>BI920</f>
        <v/>
      </c>
      <c r="BK916" s="654">
        <f>BJ920</f>
        <v/>
      </c>
      <c r="BL916" s="654">
        <f>BK920</f>
        <v/>
      </c>
      <c r="BM916" s="654">
        <f>BL920</f>
        <v/>
      </c>
      <c r="BN916" s="1153">
        <f>BI920</f>
        <v/>
      </c>
      <c r="BO916" s="654">
        <f>BN920</f>
        <v/>
      </c>
      <c r="BP916" s="654">
        <f>BO920</f>
        <v/>
      </c>
      <c r="BQ916" s="654">
        <f>BP920</f>
        <v/>
      </c>
      <c r="BR916" s="654">
        <f>BQ920</f>
        <v/>
      </c>
      <c r="BS916" s="1153">
        <f>BN920</f>
        <v/>
      </c>
      <c r="BT916" s="654">
        <f>BS920</f>
        <v/>
      </c>
      <c r="BU916" s="654">
        <f>BT920</f>
        <v/>
      </c>
      <c r="BV916" s="928">
        <f>BU920</f>
        <v/>
      </c>
      <c r="BW916" s="654">
        <f>BV920</f>
        <v/>
      </c>
      <c r="BX916" s="1153">
        <f>BS920</f>
        <v/>
      </c>
      <c r="BY916" s="654">
        <f>BX920</f>
        <v/>
      </c>
      <c r="BZ916" s="654">
        <f>BY920</f>
        <v/>
      </c>
      <c r="CA916" s="654">
        <f>BZ920</f>
        <v/>
      </c>
      <c r="CB916" s="654">
        <f>CA920</f>
        <v/>
      </c>
      <c r="CC916" s="1153">
        <f>BX920</f>
        <v/>
      </c>
      <c r="CD916" s="1153">
        <f>CC920</f>
        <v/>
      </c>
      <c r="CE916" s="1153">
        <f>CD920</f>
        <v/>
      </c>
      <c r="CF916" s="1153">
        <f>CE920</f>
        <v/>
      </c>
      <c r="CG916" s="155" t="n"/>
    </row>
    <row r="917">
      <c r="A917" s="99" t="inlineStr">
        <is>
          <t>Depreciation of fixed assets, mm</t>
        </is>
      </c>
      <c r="B917" s="146" t="n"/>
      <c r="C917" s="1151" t="n"/>
      <c r="D917" s="1151">
        <f>-D391</f>
        <v/>
      </c>
      <c r="E917" s="1151">
        <f>-E391</f>
        <v/>
      </c>
      <c r="F917" s="1151">
        <f>-F391</f>
        <v/>
      </c>
      <c r="G917" s="563">
        <f>-G391</f>
        <v/>
      </c>
      <c r="H917" s="563">
        <f>-H391</f>
        <v/>
      </c>
      <c r="I917" s="563">
        <f>-I391</f>
        <v/>
      </c>
      <c r="J917" s="563">
        <f>-J391</f>
        <v/>
      </c>
      <c r="K917" s="1151">
        <f>-K391</f>
        <v/>
      </c>
      <c r="L917" s="563">
        <f>-L391</f>
        <v/>
      </c>
      <c r="M917" s="563">
        <f>-M391</f>
        <v/>
      </c>
      <c r="N917" s="563">
        <f>-N391</f>
        <v/>
      </c>
      <c r="O917" s="563">
        <f>-O391</f>
        <v/>
      </c>
      <c r="P917" s="1151">
        <f>-P391</f>
        <v/>
      </c>
      <c r="Q917" s="563">
        <f>-Q391</f>
        <v/>
      </c>
      <c r="R917" s="563">
        <f>-R391</f>
        <v/>
      </c>
      <c r="S917" s="563">
        <f>-S391</f>
        <v/>
      </c>
      <c r="T917" s="563">
        <f>-T391</f>
        <v/>
      </c>
      <c r="U917" s="1151">
        <f>-U391</f>
        <v/>
      </c>
      <c r="V917" s="563">
        <f>-V391</f>
        <v/>
      </c>
      <c r="W917" s="563">
        <f>-W391</f>
        <v/>
      </c>
      <c r="X917" s="563">
        <f>-X391</f>
        <v/>
      </c>
      <c r="Y917" s="563">
        <f>-Y391</f>
        <v/>
      </c>
      <c r="Z917" s="1151">
        <f>-Z391</f>
        <v/>
      </c>
      <c r="AA917" s="563">
        <f>-AA391</f>
        <v/>
      </c>
      <c r="AB917" s="563">
        <f>-AB391</f>
        <v/>
      </c>
      <c r="AC917" s="563">
        <f>-AC391</f>
        <v/>
      </c>
      <c r="AD917" s="563">
        <f>-AD391</f>
        <v/>
      </c>
      <c r="AE917" s="1151">
        <f>-AE391</f>
        <v/>
      </c>
      <c r="AF917" s="563">
        <f>-AF391</f>
        <v/>
      </c>
      <c r="AG917" s="563">
        <f>-AG391</f>
        <v/>
      </c>
      <c r="AH917" s="563">
        <f>-AH391</f>
        <v/>
      </c>
      <c r="AI917" s="563">
        <f>-AI391</f>
        <v/>
      </c>
      <c r="AJ917" s="1151">
        <f>-AJ391</f>
        <v/>
      </c>
      <c r="AK917" s="563">
        <f>-AK391</f>
        <v/>
      </c>
      <c r="AL917" s="563">
        <f>-AL391</f>
        <v/>
      </c>
      <c r="AM917" s="563">
        <f>-AM391</f>
        <v/>
      </c>
      <c r="AN917" s="563">
        <f>-AN391</f>
        <v/>
      </c>
      <c r="AO917" s="1151">
        <f>-AO391</f>
        <v/>
      </c>
      <c r="AP917" s="563">
        <f>-AP391</f>
        <v/>
      </c>
      <c r="AQ917" s="563">
        <f>-AQ391</f>
        <v/>
      </c>
      <c r="AR917" s="563">
        <f>-AR391</f>
        <v/>
      </c>
      <c r="AS917" s="563">
        <f>-AS391</f>
        <v/>
      </c>
      <c r="AT917" s="1151">
        <f>-AT391</f>
        <v/>
      </c>
      <c r="AU917" s="563">
        <f>-AU391</f>
        <v/>
      </c>
      <c r="AV917" s="563">
        <f>-AV391</f>
        <v/>
      </c>
      <c r="AW917" s="563">
        <f>-AW391</f>
        <v/>
      </c>
      <c r="AX917" s="563">
        <f>-AX391</f>
        <v/>
      </c>
      <c r="AY917" s="1151">
        <f>-AY391</f>
        <v/>
      </c>
      <c r="AZ917" s="563">
        <f>-AZ391</f>
        <v/>
      </c>
      <c r="BA917" s="563">
        <f>-BA391</f>
        <v/>
      </c>
      <c r="BB917" s="563">
        <f>-BB391</f>
        <v/>
      </c>
      <c r="BC917" s="563">
        <f>-BC391</f>
        <v/>
      </c>
      <c r="BD917" s="1151">
        <f>-BD391</f>
        <v/>
      </c>
      <c r="BE917" s="563">
        <f>-BE391</f>
        <v/>
      </c>
      <c r="BF917" s="563">
        <f>-BF391</f>
        <v/>
      </c>
      <c r="BG917" s="563">
        <f>-BG391</f>
        <v/>
      </c>
      <c r="BH917" s="563">
        <f>-BH391</f>
        <v/>
      </c>
      <c r="BI917" s="1151">
        <f>-BI391</f>
        <v/>
      </c>
      <c r="BJ917" s="563">
        <f>-BJ391</f>
        <v/>
      </c>
      <c r="BK917" s="563">
        <f>-BK391</f>
        <v/>
      </c>
      <c r="BL917" s="563">
        <f>-BL391</f>
        <v/>
      </c>
      <c r="BM917" s="563">
        <f>-BM391</f>
        <v/>
      </c>
      <c r="BN917" s="1151">
        <f>-BN391</f>
        <v/>
      </c>
      <c r="BO917" s="563">
        <f>-BO391</f>
        <v/>
      </c>
      <c r="BP917" s="563">
        <f>-BP391</f>
        <v/>
      </c>
      <c r="BQ917" s="563">
        <f>-BQ391</f>
        <v/>
      </c>
      <c r="BR917" s="563">
        <f>-BR391</f>
        <v/>
      </c>
      <c r="BS917" s="1151">
        <f>-BS391</f>
        <v/>
      </c>
      <c r="BT917" s="563">
        <f>-BT391</f>
        <v/>
      </c>
      <c r="BU917" s="563">
        <f>-BU391</f>
        <v/>
      </c>
      <c r="BV917" s="731">
        <f>-BV391</f>
        <v/>
      </c>
      <c r="BW917" s="563">
        <f>-BW916*BW928*BW3/BX3</f>
        <v/>
      </c>
      <c r="BX917" s="1151">
        <f>IF(OR(ISBLANK(BT917),ISBLANK(BU917),ISBLANK(BV917),ISBLANK(BW917)),"n/a",SUM(BT917,BU917,BV917,BW917))</f>
        <v/>
      </c>
      <c r="BY917" s="563">
        <f>-BY916*BY928*BY3/CC3</f>
        <v/>
      </c>
      <c r="BZ917" s="563">
        <f>-BZ916*BZ928*BZ3/CC3</f>
        <v/>
      </c>
      <c r="CA917" s="563">
        <f>-CA916*CA928*CA3/CC3</f>
        <v/>
      </c>
      <c r="CB917" s="563">
        <f>-CB916*CB928*CB3/CC3</f>
        <v/>
      </c>
      <c r="CC917" s="1151">
        <f>IF(OR(ISBLANK(BY917),ISBLANK(BZ917),ISBLANK(CA917),ISBLANK(CB917)),"n/a",SUM(BY917,BZ917,CA917,CB917))</f>
        <v/>
      </c>
      <c r="CD917" s="1151">
        <f>-CD916*CD928</f>
        <v/>
      </c>
      <c r="CE917" s="1151">
        <f>-CE916*CE928</f>
        <v/>
      </c>
      <c r="CF917" s="1151">
        <f>-CF916*CF928</f>
        <v/>
      </c>
      <c r="CG917" s="155" t="n"/>
    </row>
    <row r="918">
      <c r="A918" s="99" t="inlineStr">
        <is>
          <t>Capex of PP&amp;E, mm</t>
        </is>
      </c>
      <c r="B918" s="146" t="n"/>
      <c r="C918" s="1151" t="n"/>
      <c r="D918" s="1151">
        <f>-D876</f>
        <v/>
      </c>
      <c r="E918" s="1151">
        <f>-E876</f>
        <v/>
      </c>
      <c r="F918" s="1151">
        <f>-F876</f>
        <v/>
      </c>
      <c r="G918" s="563">
        <f>-G876</f>
        <v/>
      </c>
      <c r="H918" s="563">
        <f>-H876</f>
        <v/>
      </c>
      <c r="I918" s="563">
        <f>-I876</f>
        <v/>
      </c>
      <c r="J918" s="563">
        <f>-J876</f>
        <v/>
      </c>
      <c r="K918" s="1151">
        <f>-K876</f>
        <v/>
      </c>
      <c r="L918" s="563">
        <f>-L876</f>
        <v/>
      </c>
      <c r="M918" s="563">
        <f>-M876</f>
        <v/>
      </c>
      <c r="N918" s="563">
        <f>-N876</f>
        <v/>
      </c>
      <c r="O918" s="563">
        <f>-O876</f>
        <v/>
      </c>
      <c r="P918" s="1151">
        <f>-P876</f>
        <v/>
      </c>
      <c r="Q918" s="563">
        <f>-Q876</f>
        <v/>
      </c>
      <c r="R918" s="563">
        <f>-R876</f>
        <v/>
      </c>
      <c r="S918" s="563">
        <f>-S876</f>
        <v/>
      </c>
      <c r="T918" s="563">
        <f>-T876</f>
        <v/>
      </c>
      <c r="U918" s="1151">
        <f>-U876</f>
        <v/>
      </c>
      <c r="V918" s="563">
        <f>-V876</f>
        <v/>
      </c>
      <c r="W918" s="563">
        <f>-W876</f>
        <v/>
      </c>
      <c r="X918" s="563">
        <f>-X876</f>
        <v/>
      </c>
      <c r="Y918" s="563">
        <f>-Y876</f>
        <v/>
      </c>
      <c r="Z918" s="1151">
        <f>-Z876</f>
        <v/>
      </c>
      <c r="AA918" s="563">
        <f>-AA876</f>
        <v/>
      </c>
      <c r="AB918" s="563">
        <f>-AB876</f>
        <v/>
      </c>
      <c r="AC918" s="563">
        <f>-AC876</f>
        <v/>
      </c>
      <c r="AD918" s="563">
        <f>-AD876</f>
        <v/>
      </c>
      <c r="AE918" s="1151">
        <f>-AE876</f>
        <v/>
      </c>
      <c r="AF918" s="563">
        <f>-AF876</f>
        <v/>
      </c>
      <c r="AG918" s="563">
        <f>-AG876</f>
        <v/>
      </c>
      <c r="AH918" s="563">
        <f>-AH876</f>
        <v/>
      </c>
      <c r="AI918" s="563">
        <f>-AI876</f>
        <v/>
      </c>
      <c r="AJ918" s="1151">
        <f>-AJ876</f>
        <v/>
      </c>
      <c r="AK918" s="563">
        <f>-AK876</f>
        <v/>
      </c>
      <c r="AL918" s="563">
        <f>-AL876</f>
        <v/>
      </c>
      <c r="AM918" s="563">
        <f>-AM876</f>
        <v/>
      </c>
      <c r="AN918" s="563">
        <f>-AN876</f>
        <v/>
      </c>
      <c r="AO918" s="1151">
        <f>-AO876</f>
        <v/>
      </c>
      <c r="AP918" s="563">
        <f>-AP876</f>
        <v/>
      </c>
      <c r="AQ918" s="563">
        <f>-AQ876</f>
        <v/>
      </c>
      <c r="AR918" s="563">
        <f>-AR876</f>
        <v/>
      </c>
      <c r="AS918" s="563">
        <f>-AS876</f>
        <v/>
      </c>
      <c r="AT918" s="1151">
        <f>-AT876</f>
        <v/>
      </c>
      <c r="AU918" s="563">
        <f>-AU876</f>
        <v/>
      </c>
      <c r="AV918" s="563">
        <f>-AV876</f>
        <v/>
      </c>
      <c r="AW918" s="563">
        <f>-AW876</f>
        <v/>
      </c>
      <c r="AX918" s="563">
        <f>-AX876</f>
        <v/>
      </c>
      <c r="AY918" s="1151">
        <f>-AY876</f>
        <v/>
      </c>
      <c r="AZ918" s="563">
        <f>-AZ876</f>
        <v/>
      </c>
      <c r="BA918" s="563">
        <f>-BA876</f>
        <v/>
      </c>
      <c r="BB918" s="563">
        <f>-BB876</f>
        <v/>
      </c>
      <c r="BC918" s="563">
        <f>-BC876</f>
        <v/>
      </c>
      <c r="BD918" s="1151">
        <f>-BD876</f>
        <v/>
      </c>
      <c r="BE918" s="563">
        <f>-BE876</f>
        <v/>
      </c>
      <c r="BF918" s="563">
        <f>-BF876</f>
        <v/>
      </c>
      <c r="BG918" s="563">
        <f>-BG876</f>
        <v/>
      </c>
      <c r="BH918" s="563">
        <f>-BH876</f>
        <v/>
      </c>
      <c r="BI918" s="1151">
        <f>-BI876</f>
        <v/>
      </c>
      <c r="BJ918" s="563">
        <f>-BJ876</f>
        <v/>
      </c>
      <c r="BK918" s="563">
        <f>-BK876</f>
        <v/>
      </c>
      <c r="BL918" s="563">
        <f>-BL876</f>
        <v/>
      </c>
      <c r="BM918" s="563">
        <f>-BM876</f>
        <v/>
      </c>
      <c r="BN918" s="1151">
        <f>-BN876</f>
        <v/>
      </c>
      <c r="BO918" s="563">
        <f>-BO876</f>
        <v/>
      </c>
      <c r="BP918" s="563">
        <f>-BP876</f>
        <v/>
      </c>
      <c r="BQ918" s="563">
        <f>-BQ876</f>
        <v/>
      </c>
      <c r="BR918" s="563">
        <f>-BR876</f>
        <v/>
      </c>
      <c r="BS918" s="1151">
        <f>-BS876</f>
        <v/>
      </c>
      <c r="BT918" s="563">
        <f>-BT876</f>
        <v/>
      </c>
      <c r="BU918" s="563">
        <f>-BU876</f>
        <v/>
      </c>
      <c r="BV918" s="731">
        <f>-BV876</f>
        <v/>
      </c>
      <c r="BW918" s="563">
        <f>BW934*(1-BW935)+BW936*(1-BW937)</f>
        <v/>
      </c>
      <c r="BX918" s="1151">
        <f>IF(OR(ISBLANK(BT918),ISBLANK(BU918),ISBLANK(BV918),ISBLANK(BW918)),"n/a",SUM(BT918,BU918,BV918,BW918))</f>
        <v/>
      </c>
      <c r="BY918" s="563">
        <f>BY934*(1-BY935)+BY936*(1-BY937)</f>
        <v/>
      </c>
      <c r="BZ918" s="563">
        <f>BZ934*(1-BZ935)+BZ936*(1-BZ937)</f>
        <v/>
      </c>
      <c r="CA918" s="563">
        <f>CA934*(1-CA935)+CA936*(1-CA937)</f>
        <v/>
      </c>
      <c r="CB918" s="563">
        <f>CB934*(1-CB935)+CB936*(1-CB937)</f>
        <v/>
      </c>
      <c r="CC918" s="1151">
        <f>IF(OR(ISBLANK(BY918),ISBLANK(BZ918),ISBLANK(CA918),ISBLANK(CB918)),"n/a",SUM(BY918,BZ918,CA918,CB918))</f>
        <v/>
      </c>
      <c r="CD918" s="1151">
        <f>CD934*(1-CD935)+CD936*(1-CD937)</f>
        <v/>
      </c>
      <c r="CE918" s="1151">
        <f>CE934*(1-CE935)+CE936*(1-CE937)</f>
        <v/>
      </c>
      <c r="CF918" s="1151">
        <f>CF934*(1-CF935)+CF936*(1-CF937)</f>
        <v/>
      </c>
      <c r="CG918" s="155" t="n"/>
    </row>
    <row r="919">
      <c r="A919" s="99" t="inlineStr">
        <is>
          <t>Other net additions to PP&amp;E, mm</t>
        </is>
      </c>
      <c r="B919" s="146" t="n"/>
      <c r="C919" s="1151" t="n"/>
      <c r="D919" s="1151">
        <f>ROUND(D920-D916-D917-D918,6)</f>
        <v/>
      </c>
      <c r="E919" s="1151">
        <f>ROUND(E920-E916-E917-E918,6)</f>
        <v/>
      </c>
      <c r="F919" s="1151">
        <f>ROUND(F920-F916-F917-F918,6)</f>
        <v/>
      </c>
      <c r="G919" s="563">
        <f>ROUND(G920-G916-G917-G918,6)</f>
        <v/>
      </c>
      <c r="H919" s="563">
        <f>ROUND(H920-H916-H917-H918,6)</f>
        <v/>
      </c>
      <c r="I919" s="563">
        <f>ROUND(I920-I916-I917-I918,6)</f>
        <v/>
      </c>
      <c r="J919" s="563">
        <f>ROUND(J920-J916-J917-J918,6)</f>
        <v/>
      </c>
      <c r="K919" s="1151">
        <f>ROUND(K920-K916-K917-K918,6)</f>
        <v/>
      </c>
      <c r="L919" s="563">
        <f>ROUND(L920-L916-L917-L918,6)</f>
        <v/>
      </c>
      <c r="M919" s="563">
        <f>ROUND(M920-M916-M917-M918,6)</f>
        <v/>
      </c>
      <c r="N919" s="563">
        <f>ROUND(N920-N916-N917-N918,6)</f>
        <v/>
      </c>
      <c r="O919" s="563">
        <f>ROUND(O920-O916-O917-O918,6)</f>
        <v/>
      </c>
      <c r="P919" s="1151">
        <f>ROUND(P920-P916-P917-P918,6)</f>
        <v/>
      </c>
      <c r="Q919" s="563">
        <f>ROUND(Q920-Q916-Q917-Q918,6)</f>
        <v/>
      </c>
      <c r="R919" s="563">
        <f>ROUND(R920-R916-R917-R918,6)</f>
        <v/>
      </c>
      <c r="S919" s="563">
        <f>ROUND(S920-S916-S917-S918,6)</f>
        <v/>
      </c>
      <c r="T919" s="563">
        <f>ROUND(T920-T916-T917-T918,6)</f>
        <v/>
      </c>
      <c r="U919" s="1151">
        <f>ROUND(U920-U916-U917-U918,6)</f>
        <v/>
      </c>
      <c r="V919" s="563">
        <f>ROUND(V920-V916-V917-V918,6)</f>
        <v/>
      </c>
      <c r="W919" s="563">
        <f>ROUND(W920-W916-W917-W918,6)</f>
        <v/>
      </c>
      <c r="X919" s="563">
        <f>ROUND(X920-X916-X917-X918,6)</f>
        <v/>
      </c>
      <c r="Y919" s="563">
        <f>ROUND(Y920-Y916-Y917-Y918,6)</f>
        <v/>
      </c>
      <c r="Z919" s="1151">
        <f>ROUND(Z920-Z916-Z917-Z918,6)</f>
        <v/>
      </c>
      <c r="AA919" s="563">
        <f>ROUND(AA920-AA916-AA917-AA918,6)</f>
        <v/>
      </c>
      <c r="AB919" s="563">
        <f>ROUND(AB920-AB916-AB917-AB918,6)</f>
        <v/>
      </c>
      <c r="AC919" s="563">
        <f>ROUND(AC920-AC916-AC917-AC918,6)</f>
        <v/>
      </c>
      <c r="AD919" s="563">
        <f>ROUND(AD920-AD916-AD917-AD918,6)</f>
        <v/>
      </c>
      <c r="AE919" s="1151">
        <f>ROUND(AE920-AE916-AE917-AE918,6)</f>
        <v/>
      </c>
      <c r="AF919" s="563">
        <f>ROUND(AF920-AF916-AF917-AF918,6)</f>
        <v/>
      </c>
      <c r="AG919" s="563">
        <f>ROUND(AG920-AG916-AG917-AG918,6)</f>
        <v/>
      </c>
      <c r="AH919" s="563">
        <f>ROUND(AH920-AH916-AH917-AH918,6)</f>
        <v/>
      </c>
      <c r="AI919" s="563">
        <f>ROUND(AI920-AI916-AI917-AI918,6)</f>
        <v/>
      </c>
      <c r="AJ919" s="1151">
        <f>ROUND(AJ920-AJ916-AJ917-AJ918,6)</f>
        <v/>
      </c>
      <c r="AK919" s="563">
        <f>ROUND(AK920-AK916-AK917-AK918,6)</f>
        <v/>
      </c>
      <c r="AL919" s="563">
        <f>ROUND(AL920-AL916-AL917-AL918,6)</f>
        <v/>
      </c>
      <c r="AM919" s="563">
        <f>ROUND(AM920-AM916-AM917-AM918,6)</f>
        <v/>
      </c>
      <c r="AN919" s="563">
        <f>ROUND(AN920-AN916-AN917-AN918,6)</f>
        <v/>
      </c>
      <c r="AO919" s="1151">
        <f>ROUND(AO920-AO916-AO917-AO918,6)</f>
        <v/>
      </c>
      <c r="AP919" s="563">
        <f>ROUND(AP920-AP916-AP917-AP918,6)</f>
        <v/>
      </c>
      <c r="AQ919" s="563">
        <f>ROUND(AQ920-AQ916-AQ917-AQ918,6)</f>
        <v/>
      </c>
      <c r="AR919" s="563">
        <f>ROUND(AR920-AR916-AR917-AR918,6)</f>
        <v/>
      </c>
      <c r="AS919" s="563">
        <f>ROUND(AS920-AS916-AS917-AS918,6)</f>
        <v/>
      </c>
      <c r="AT919" s="1151">
        <f>ROUND(AT920-AT916-AT917-AT918,6)</f>
        <v/>
      </c>
      <c r="AU919" s="563">
        <f>ROUND(AU920-AU916-AU917-AU918,6)</f>
        <v/>
      </c>
      <c r="AV919" s="563">
        <f>ROUND(AV920-AV916-AV917-AV918,6)</f>
        <v/>
      </c>
      <c r="AW919" s="563">
        <f>ROUND(AW920-AW916-AW917-AW918,6)</f>
        <v/>
      </c>
      <c r="AX919" s="563">
        <f>ROUND(AX920-AX916-AX917-AX918,6)</f>
        <v/>
      </c>
      <c r="AY919" s="1151">
        <f>ROUND(AY920-AY916-AY917-AY918,6)</f>
        <v/>
      </c>
      <c r="AZ919" s="563">
        <f>ROUND(AZ920-AZ916-AZ917-AZ918,6)</f>
        <v/>
      </c>
      <c r="BA919" s="563">
        <f>ROUND(BA920-BA916-BA917-BA918,6)</f>
        <v/>
      </c>
      <c r="BB919" s="563">
        <f>ROUND(BB920-BB916-BB917-BB918,6)</f>
        <v/>
      </c>
      <c r="BC919" s="563">
        <f>ROUND(BC920-BC916-BC917-BC918,6)</f>
        <v/>
      </c>
      <c r="BD919" s="1151">
        <f>ROUND(BD920-BD916-BD917-BD918,6)</f>
        <v/>
      </c>
      <c r="BE919" s="563">
        <f>ROUND(BE920-BE916-BE917-BE918,6)</f>
        <v/>
      </c>
      <c r="BF919" s="563">
        <f>ROUND(BF920-BF916-BF917-BF918,6)</f>
        <v/>
      </c>
      <c r="BG919" s="563">
        <f>ROUND(BG920-BG916-BG917-BG918,6)</f>
        <v/>
      </c>
      <c r="BH919" s="563">
        <f>ROUND(BH920-BH916-BH917-BH918,6)</f>
        <v/>
      </c>
      <c r="BI919" s="1151">
        <f>ROUND(BI920-BI916-BI917-BI918,6)</f>
        <v/>
      </c>
      <c r="BJ919" s="563">
        <f>ROUND(BJ920-BJ916-BJ917-BJ918,6)</f>
        <v/>
      </c>
      <c r="BK919" s="563">
        <f>ROUND(BK920-BK916-BK917-BK918,6)</f>
        <v/>
      </c>
      <c r="BL919" s="563">
        <f>ROUND(BL920-BL916-BL917-BL918,6)</f>
        <v/>
      </c>
      <c r="BM919" s="563">
        <f>ROUND(BM920-BM916-BM917-BM918,6)</f>
        <v/>
      </c>
      <c r="BN919" s="1151">
        <f>ROUND(BN920-BN916-BN917-BN918,6)</f>
        <v/>
      </c>
      <c r="BO919" s="563">
        <f>ROUND(BO920-BO916-BO917-BO918,6)</f>
        <v/>
      </c>
      <c r="BP919" s="563">
        <f>ROUND(BP920-BP916-BP917-BP918,6)</f>
        <v/>
      </c>
      <c r="BQ919" s="563">
        <f>ROUND(BQ920-BQ916-BQ917-BQ918,6)</f>
        <v/>
      </c>
      <c r="BR919" s="563">
        <f>ROUND(BR920-BR916-BR917-BR918,6)</f>
        <v/>
      </c>
      <c r="BS919" s="1151">
        <f>ROUND(BS920-BS916-BS917-BS918,6)</f>
        <v/>
      </c>
      <c r="BT919" s="563">
        <f>ROUND(BT920-BT916-BT917-BT918,6)</f>
        <v/>
      </c>
      <c r="BU919" s="563">
        <f>ROUND(BU920-BU916-BU917-BU918,6)</f>
        <v/>
      </c>
      <c r="BV919" s="731">
        <f>ROUND(BV920-BV916-BV917-BV918,6)</f>
        <v/>
      </c>
      <c r="BW919" s="563">
        <f>ROUND(BW920-BW916-BW917-BW918,6)</f>
        <v/>
      </c>
      <c r="BX919" s="1151">
        <f>ROUND(BX920-BX916-IF(ISNUMBER(BX917),BX917,0)-IF(ISNUMBER(BX918),BX918,0),6)</f>
        <v/>
      </c>
      <c r="BY919" s="563">
        <f>ROUND(BY920-BY916-BY917-BY918,6)</f>
        <v/>
      </c>
      <c r="BZ919" s="563">
        <f>ROUND(BZ920-BZ916-BZ917-BZ918,6)</f>
        <v/>
      </c>
      <c r="CA919" s="563">
        <f>ROUND(CA920-CA916-CA917-CA918,6)</f>
        <v/>
      </c>
      <c r="CB919" s="563">
        <f>ROUND(CB920-CB916-CB917-CB918,6)</f>
        <v/>
      </c>
      <c r="CC919" s="1151">
        <f>ROUND(CC920-CC916-IF(ISNUMBER(CC917),CC917,0)-IF(ISNUMBER(CC918),CC918,0),6)</f>
        <v/>
      </c>
      <c r="CD919" s="1151">
        <f>ROUND(CD920-CD916-CD917-CD918,6)</f>
        <v/>
      </c>
      <c r="CE919" s="1151">
        <f>ROUND(CE920-CE916-CE917-CE918,6)</f>
        <v/>
      </c>
      <c r="CF919" s="1151">
        <f>ROUND(CF920-CF916-CF917-CF918,6)</f>
        <v/>
      </c>
      <c r="CG919" s="155" t="n"/>
    </row>
    <row r="920">
      <c r="A920" s="651" t="inlineStr">
        <is>
          <t>PP&amp;E EoP, mm</t>
        </is>
      </c>
      <c r="B920" s="652" t="n"/>
      <c r="C920" s="1231">
        <f>C965</f>
        <v/>
      </c>
      <c r="D920" s="1231">
        <f>D965</f>
        <v/>
      </c>
      <c r="E920" s="1231">
        <f>E965</f>
        <v/>
      </c>
      <c r="F920" s="1231">
        <f>F965</f>
        <v/>
      </c>
      <c r="G920" s="653">
        <f>G965</f>
        <v/>
      </c>
      <c r="H920" s="653">
        <f>H965</f>
        <v/>
      </c>
      <c r="I920" s="653">
        <f>I965</f>
        <v/>
      </c>
      <c r="J920" s="653">
        <f>J965</f>
        <v/>
      </c>
      <c r="K920" s="1231">
        <f>K965</f>
        <v/>
      </c>
      <c r="L920" s="653">
        <f>L965</f>
        <v/>
      </c>
      <c r="M920" s="653">
        <f>M965</f>
        <v/>
      </c>
      <c r="N920" s="653">
        <f>N965</f>
        <v/>
      </c>
      <c r="O920" s="653">
        <f>O965</f>
        <v/>
      </c>
      <c r="P920" s="1231">
        <f>P965</f>
        <v/>
      </c>
      <c r="Q920" s="653">
        <f>Q965</f>
        <v/>
      </c>
      <c r="R920" s="653">
        <f>R965</f>
        <v/>
      </c>
      <c r="S920" s="653">
        <f>S965</f>
        <v/>
      </c>
      <c r="T920" s="653">
        <f>T965</f>
        <v/>
      </c>
      <c r="U920" s="1231">
        <f>U965</f>
        <v/>
      </c>
      <c r="V920" s="653">
        <f>V965</f>
        <v/>
      </c>
      <c r="W920" s="653">
        <f>W965</f>
        <v/>
      </c>
      <c r="X920" s="653">
        <f>X965</f>
        <v/>
      </c>
      <c r="Y920" s="653">
        <f>Y965</f>
        <v/>
      </c>
      <c r="Z920" s="1231">
        <f>Z965</f>
        <v/>
      </c>
      <c r="AA920" s="653">
        <f>AA965</f>
        <v/>
      </c>
      <c r="AB920" s="653">
        <f>AB965</f>
        <v/>
      </c>
      <c r="AC920" s="653">
        <f>AC965</f>
        <v/>
      </c>
      <c r="AD920" s="653">
        <f>AD965</f>
        <v/>
      </c>
      <c r="AE920" s="1231">
        <f>AE965</f>
        <v/>
      </c>
      <c r="AF920" s="653">
        <f>AF965</f>
        <v/>
      </c>
      <c r="AG920" s="653">
        <f>AG965</f>
        <v/>
      </c>
      <c r="AH920" s="653">
        <f>AH965</f>
        <v/>
      </c>
      <c r="AI920" s="653">
        <f>AI965</f>
        <v/>
      </c>
      <c r="AJ920" s="1231">
        <f>AJ965</f>
        <v/>
      </c>
      <c r="AK920" s="653">
        <f>AK965</f>
        <v/>
      </c>
      <c r="AL920" s="653">
        <f>AL965</f>
        <v/>
      </c>
      <c r="AM920" s="653">
        <f>AM965</f>
        <v/>
      </c>
      <c r="AN920" s="653">
        <f>AN965</f>
        <v/>
      </c>
      <c r="AO920" s="1231">
        <f>AO965</f>
        <v/>
      </c>
      <c r="AP920" s="653">
        <f>AP965</f>
        <v/>
      </c>
      <c r="AQ920" s="653">
        <f>AQ965</f>
        <v/>
      </c>
      <c r="AR920" s="653">
        <f>AR965</f>
        <v/>
      </c>
      <c r="AS920" s="653">
        <f>AS965</f>
        <v/>
      </c>
      <c r="AT920" s="1231">
        <f>AT965</f>
        <v/>
      </c>
      <c r="AU920" s="653">
        <f>AU965</f>
        <v/>
      </c>
      <c r="AV920" s="653">
        <f>AV965</f>
        <v/>
      </c>
      <c r="AW920" s="653">
        <f>AW965</f>
        <v/>
      </c>
      <c r="AX920" s="653">
        <f>AX965</f>
        <v/>
      </c>
      <c r="AY920" s="1231">
        <f>AY965</f>
        <v/>
      </c>
      <c r="AZ920" s="653">
        <f>AZ965</f>
        <v/>
      </c>
      <c r="BA920" s="653">
        <f>BA965</f>
        <v/>
      </c>
      <c r="BB920" s="653">
        <f>BB965</f>
        <v/>
      </c>
      <c r="BC920" s="653">
        <f>BC965</f>
        <v/>
      </c>
      <c r="BD920" s="1231">
        <f>BD965</f>
        <v/>
      </c>
      <c r="BE920" s="653">
        <f>BE965</f>
        <v/>
      </c>
      <c r="BF920" s="653">
        <f>BF965</f>
        <v/>
      </c>
      <c r="BG920" s="653">
        <f>BG965</f>
        <v/>
      </c>
      <c r="BH920" s="653">
        <f>BH965</f>
        <v/>
      </c>
      <c r="BI920" s="1231">
        <f>BI965</f>
        <v/>
      </c>
      <c r="BJ920" s="653">
        <f>BJ965</f>
        <v/>
      </c>
      <c r="BK920" s="653">
        <f>BK965</f>
        <v/>
      </c>
      <c r="BL920" s="653">
        <f>BL965</f>
        <v/>
      </c>
      <c r="BM920" s="653">
        <f>BM965</f>
        <v/>
      </c>
      <c r="BN920" s="1231">
        <f>BN965</f>
        <v/>
      </c>
      <c r="BO920" s="653">
        <f>BO965</f>
        <v/>
      </c>
      <c r="BP920" s="653">
        <f>BP965</f>
        <v/>
      </c>
      <c r="BQ920" s="653">
        <f>BQ965</f>
        <v/>
      </c>
      <c r="BR920" s="653">
        <f>BR965</f>
        <v/>
      </c>
      <c r="BS920" s="1231">
        <f>BS965</f>
        <v/>
      </c>
      <c r="BT920" s="653">
        <f>BT965</f>
        <v/>
      </c>
      <c r="BU920" s="653">
        <f>BU965</f>
        <v/>
      </c>
      <c r="BV920" s="929">
        <f>BV965</f>
        <v/>
      </c>
      <c r="BW920" s="653">
        <f>BW965</f>
        <v/>
      </c>
      <c r="BX920" s="1231">
        <f>BX965</f>
        <v/>
      </c>
      <c r="BY920" s="653">
        <f>BY965</f>
        <v/>
      </c>
      <c r="BZ920" s="653">
        <f>BZ965</f>
        <v/>
      </c>
      <c r="CA920" s="653">
        <f>CA965</f>
        <v/>
      </c>
      <c r="CB920" s="653">
        <f>CB965</f>
        <v/>
      </c>
      <c r="CC920" s="1231">
        <f>CC965</f>
        <v/>
      </c>
      <c r="CD920" s="1231">
        <f>CD965</f>
        <v/>
      </c>
      <c r="CE920" s="1231">
        <f>CE965</f>
        <v/>
      </c>
      <c r="CF920" s="1231">
        <f>CF965</f>
        <v/>
      </c>
      <c r="CG920" s="155" t="n"/>
    </row>
    <row r="921">
      <c r="A921" s="99" t="n"/>
      <c r="B921" s="146" t="n"/>
      <c r="C921" s="1151" t="n"/>
      <c r="D921" s="1151" t="n"/>
      <c r="E921" s="1151" t="n"/>
      <c r="F921" s="1151" t="n"/>
      <c r="G921" s="563" t="n"/>
      <c r="H921" s="563" t="n"/>
      <c r="I921" s="563" t="n"/>
      <c r="J921" s="563" t="n"/>
      <c r="K921" s="1151" t="n"/>
      <c r="L921" s="563" t="n"/>
      <c r="M921" s="563" t="n"/>
      <c r="N921" s="563" t="n"/>
      <c r="O921" s="563" t="n"/>
      <c r="P921" s="1151" t="n"/>
      <c r="Q921" s="563" t="n"/>
      <c r="R921" s="563" t="n"/>
      <c r="S921" s="563" t="n"/>
      <c r="T921" s="563" t="n"/>
      <c r="U921" s="1151" t="n"/>
      <c r="V921" s="563" t="n"/>
      <c r="W921" s="563" t="n"/>
      <c r="X921" s="563" t="n"/>
      <c r="Y921" s="563" t="n"/>
      <c r="Z921" s="1151" t="n"/>
      <c r="AA921" s="563" t="n"/>
      <c r="AB921" s="563" t="n"/>
      <c r="AC921" s="563" t="n"/>
      <c r="AD921" s="563" t="n"/>
      <c r="AE921" s="1151" t="n"/>
      <c r="AF921" s="563" t="n"/>
      <c r="AG921" s="563" t="n"/>
      <c r="AH921" s="563" t="n"/>
      <c r="AI921" s="563" t="n"/>
      <c r="AJ921" s="1151" t="n"/>
      <c r="AK921" s="563" t="n"/>
      <c r="AL921" s="563" t="n"/>
      <c r="AM921" s="563" t="n"/>
      <c r="AN921" s="563" t="n"/>
      <c r="AO921" s="1151" t="n"/>
      <c r="AP921" s="563" t="n"/>
      <c r="AQ921" s="563" t="n"/>
      <c r="AR921" s="563" t="n"/>
      <c r="AS921" s="563" t="n"/>
      <c r="AT921" s="1151" t="n"/>
      <c r="AU921" s="563" t="n"/>
      <c r="AV921" s="563" t="n"/>
      <c r="AW921" s="563" t="n"/>
      <c r="AX921" s="563" t="n"/>
      <c r="AY921" s="1151" t="n"/>
      <c r="AZ921" s="563" t="n"/>
      <c r="BA921" s="563" t="n"/>
      <c r="BB921" s="563" t="n"/>
      <c r="BC921" s="563" t="n"/>
      <c r="BD921" s="1151" t="n"/>
      <c r="BE921" s="563" t="n"/>
      <c r="BF921" s="563" t="n"/>
      <c r="BG921" s="563" t="n"/>
      <c r="BH921" s="563" t="n"/>
      <c r="BI921" s="1151" t="n"/>
      <c r="BJ921" s="563" t="n"/>
      <c r="BK921" s="563" t="n"/>
      <c r="BL921" s="563" t="n"/>
      <c r="BM921" s="563" t="n"/>
      <c r="BN921" s="1151" t="n"/>
      <c r="BO921" s="563" t="n"/>
      <c r="BP921" s="563" t="n"/>
      <c r="BQ921" s="563" t="n"/>
      <c r="BR921" s="563" t="n"/>
      <c r="BS921" s="1151" t="n"/>
      <c r="BT921" s="563" t="n"/>
      <c r="BU921" s="563" t="n"/>
      <c r="BV921" s="731" t="n"/>
      <c r="BW921" s="563" t="n"/>
      <c r="BX921" s="1151" t="n"/>
      <c r="BY921" s="563" t="n"/>
      <c r="BZ921" s="563" t="n"/>
      <c r="CA921" s="563" t="n"/>
      <c r="CB921" s="563" t="n"/>
      <c r="CC921" s="1151" t="n"/>
      <c r="CD921" s="1151" t="n"/>
      <c r="CE921" s="1151" t="n"/>
      <c r="CF921" s="1151" t="n"/>
      <c r="CG921" s="155" t="n"/>
    </row>
    <row r="922">
      <c r="A922" s="600" t="inlineStr">
        <is>
          <t>Intangibles BoP, mm</t>
        </is>
      </c>
      <c r="B922" s="279" t="n"/>
      <c r="C922" s="1153" t="n"/>
      <c r="D922" s="1153">
        <f>C926</f>
        <v/>
      </c>
      <c r="E922" s="1153">
        <f>D926</f>
        <v/>
      </c>
      <c r="F922" s="1153">
        <f>E926</f>
        <v/>
      </c>
      <c r="G922" s="654">
        <f>F926</f>
        <v/>
      </c>
      <c r="H922" s="654">
        <f>G926</f>
        <v/>
      </c>
      <c r="I922" s="654">
        <f>H926</f>
        <v/>
      </c>
      <c r="J922" s="654">
        <f>I926</f>
        <v/>
      </c>
      <c r="K922" s="1153">
        <f>F926</f>
        <v/>
      </c>
      <c r="L922" s="654">
        <f>K926</f>
        <v/>
      </c>
      <c r="M922" s="654">
        <f>L926</f>
        <v/>
      </c>
      <c r="N922" s="654">
        <f>M926</f>
        <v/>
      </c>
      <c r="O922" s="654">
        <f>N926</f>
        <v/>
      </c>
      <c r="P922" s="1153">
        <f>K926</f>
        <v/>
      </c>
      <c r="Q922" s="654">
        <f>P926</f>
        <v/>
      </c>
      <c r="R922" s="654">
        <f>Q926</f>
        <v/>
      </c>
      <c r="S922" s="654">
        <f>R926</f>
        <v/>
      </c>
      <c r="T922" s="654">
        <f>S926</f>
        <v/>
      </c>
      <c r="U922" s="1153">
        <f>P926</f>
        <v/>
      </c>
      <c r="V922" s="654">
        <f>U926</f>
        <v/>
      </c>
      <c r="W922" s="654">
        <f>V926</f>
        <v/>
      </c>
      <c r="X922" s="654">
        <f>W926</f>
        <v/>
      </c>
      <c r="Y922" s="654">
        <f>X926</f>
        <v/>
      </c>
      <c r="Z922" s="1153">
        <f>U926</f>
        <v/>
      </c>
      <c r="AA922" s="654">
        <f>Z926</f>
        <v/>
      </c>
      <c r="AB922" s="654">
        <f>AA926</f>
        <v/>
      </c>
      <c r="AC922" s="654">
        <f>AB926</f>
        <v/>
      </c>
      <c r="AD922" s="654">
        <f>AC926</f>
        <v/>
      </c>
      <c r="AE922" s="1153">
        <f>Z926</f>
        <v/>
      </c>
      <c r="AF922" s="654">
        <f>AE926</f>
        <v/>
      </c>
      <c r="AG922" s="654">
        <f>AF926</f>
        <v/>
      </c>
      <c r="AH922" s="654">
        <f>AG926</f>
        <v/>
      </c>
      <c r="AI922" s="654">
        <f>AH926</f>
        <v/>
      </c>
      <c r="AJ922" s="1153">
        <f>AE926</f>
        <v/>
      </c>
      <c r="AK922" s="654">
        <f>AJ926</f>
        <v/>
      </c>
      <c r="AL922" s="654">
        <f>AK926</f>
        <v/>
      </c>
      <c r="AM922" s="654">
        <f>AL926</f>
        <v/>
      </c>
      <c r="AN922" s="654">
        <f>AM926</f>
        <v/>
      </c>
      <c r="AO922" s="1153">
        <f>AJ926</f>
        <v/>
      </c>
      <c r="AP922" s="654">
        <f>AO926</f>
        <v/>
      </c>
      <c r="AQ922" s="654">
        <f>AP926</f>
        <v/>
      </c>
      <c r="AR922" s="654">
        <f>AQ926</f>
        <v/>
      </c>
      <c r="AS922" s="654">
        <f>AR926</f>
        <v/>
      </c>
      <c r="AT922" s="1153">
        <f>AO926</f>
        <v/>
      </c>
      <c r="AU922" s="654">
        <f>AT926</f>
        <v/>
      </c>
      <c r="AV922" s="654">
        <f>AU926</f>
        <v/>
      </c>
      <c r="AW922" s="654">
        <f>AV926</f>
        <v/>
      </c>
      <c r="AX922" s="654">
        <f>AW926</f>
        <v/>
      </c>
      <c r="AY922" s="1153">
        <f>AT926</f>
        <v/>
      </c>
      <c r="AZ922" s="654">
        <f>AY926</f>
        <v/>
      </c>
      <c r="BA922" s="654">
        <f>AZ926</f>
        <v/>
      </c>
      <c r="BB922" s="654">
        <f>BA926</f>
        <v/>
      </c>
      <c r="BC922" s="654">
        <f>BB926</f>
        <v/>
      </c>
      <c r="BD922" s="1153">
        <f>AY926</f>
        <v/>
      </c>
      <c r="BE922" s="654">
        <f>BD926</f>
        <v/>
      </c>
      <c r="BF922" s="654">
        <f>BE926</f>
        <v/>
      </c>
      <c r="BG922" s="654">
        <f>BF926</f>
        <v/>
      </c>
      <c r="BH922" s="654">
        <f>BG926</f>
        <v/>
      </c>
      <c r="BI922" s="1153">
        <f>BD926</f>
        <v/>
      </c>
      <c r="BJ922" s="654">
        <f>BI926</f>
        <v/>
      </c>
      <c r="BK922" s="654">
        <f>BJ926</f>
        <v/>
      </c>
      <c r="BL922" s="654">
        <f>BK926</f>
        <v/>
      </c>
      <c r="BM922" s="654">
        <f>BL926</f>
        <v/>
      </c>
      <c r="BN922" s="1153">
        <f>BI926</f>
        <v/>
      </c>
      <c r="BO922" s="654">
        <f>BN926</f>
        <v/>
      </c>
      <c r="BP922" s="654">
        <f>BO926</f>
        <v/>
      </c>
      <c r="BQ922" s="654">
        <f>BP926</f>
        <v/>
      </c>
      <c r="BR922" s="654">
        <f>BQ926</f>
        <v/>
      </c>
      <c r="BS922" s="1153">
        <f>BN926</f>
        <v/>
      </c>
      <c r="BT922" s="654">
        <f>BS926</f>
        <v/>
      </c>
      <c r="BU922" s="654">
        <f>BT926</f>
        <v/>
      </c>
      <c r="BV922" s="928">
        <f>BU926</f>
        <v/>
      </c>
      <c r="BW922" s="654">
        <f>BV926</f>
        <v/>
      </c>
      <c r="BX922" s="1153">
        <f>BS926</f>
        <v/>
      </c>
      <c r="BY922" s="654">
        <f>BX926</f>
        <v/>
      </c>
      <c r="BZ922" s="654">
        <f>BY926</f>
        <v/>
      </c>
      <c r="CA922" s="654">
        <f>BZ926</f>
        <v/>
      </c>
      <c r="CB922" s="654">
        <f>CA926</f>
        <v/>
      </c>
      <c r="CC922" s="1153">
        <f>BX926</f>
        <v/>
      </c>
      <c r="CD922" s="1153">
        <f>CC926</f>
        <v/>
      </c>
      <c r="CE922" s="1153">
        <f>CD926</f>
        <v/>
      </c>
      <c r="CF922" s="1153">
        <f>CE926</f>
        <v/>
      </c>
      <c r="CG922" s="155" t="n"/>
    </row>
    <row r="923">
      <c r="A923" s="99" t="inlineStr">
        <is>
          <t>Amortization of intangibles, mm</t>
        </is>
      </c>
      <c r="B923" s="146" t="n"/>
      <c r="C923" s="1151" t="n"/>
      <c r="D923" s="1151">
        <f>-D118</f>
        <v/>
      </c>
      <c r="E923" s="1151">
        <f>-E118</f>
        <v/>
      </c>
      <c r="F923" s="1151">
        <f>-F118</f>
        <v/>
      </c>
      <c r="G923" s="563">
        <f>-G118</f>
        <v/>
      </c>
      <c r="H923" s="563">
        <f>-H118</f>
        <v/>
      </c>
      <c r="I923" s="563">
        <f>-I118</f>
        <v/>
      </c>
      <c r="J923" s="563">
        <f>-J118</f>
        <v/>
      </c>
      <c r="K923" s="1151">
        <f>-K118</f>
        <v/>
      </c>
      <c r="L923" s="563">
        <f>-L118</f>
        <v/>
      </c>
      <c r="M923" s="563">
        <f>-M118</f>
        <v/>
      </c>
      <c r="N923" s="563">
        <f>-N118</f>
        <v/>
      </c>
      <c r="O923" s="563">
        <f>-O118</f>
        <v/>
      </c>
      <c r="P923" s="1151">
        <f>-P118</f>
        <v/>
      </c>
      <c r="Q923" s="563">
        <f>-Q118</f>
        <v/>
      </c>
      <c r="R923" s="563">
        <f>-R118</f>
        <v/>
      </c>
      <c r="S923" s="563">
        <f>-S118</f>
        <v/>
      </c>
      <c r="T923" s="563">
        <f>-T118</f>
        <v/>
      </c>
      <c r="U923" s="1151">
        <f>-U118</f>
        <v/>
      </c>
      <c r="V923" s="563">
        <f>-V118</f>
        <v/>
      </c>
      <c r="W923" s="563">
        <f>-W118</f>
        <v/>
      </c>
      <c r="X923" s="563">
        <f>-X118</f>
        <v/>
      </c>
      <c r="Y923" s="563">
        <f>-Y118</f>
        <v/>
      </c>
      <c r="Z923" s="1151">
        <f>-Z118</f>
        <v/>
      </c>
      <c r="AA923" s="563">
        <f>-AA118</f>
        <v/>
      </c>
      <c r="AB923" s="563">
        <f>-AB118</f>
        <v/>
      </c>
      <c r="AC923" s="563">
        <f>-AC118</f>
        <v/>
      </c>
      <c r="AD923" s="563">
        <f>-AD118</f>
        <v/>
      </c>
      <c r="AE923" s="1151">
        <f>-AE118</f>
        <v/>
      </c>
      <c r="AF923" s="563">
        <f>-AF118</f>
        <v/>
      </c>
      <c r="AG923" s="563">
        <f>-AG118</f>
        <v/>
      </c>
      <c r="AH923" s="563">
        <f>-AH118</f>
        <v/>
      </c>
      <c r="AI923" s="563">
        <f>-AI118</f>
        <v/>
      </c>
      <c r="AJ923" s="1151">
        <f>-AJ118</f>
        <v/>
      </c>
      <c r="AK923" s="563">
        <f>-AK118</f>
        <v/>
      </c>
      <c r="AL923" s="563">
        <f>-AL118</f>
        <v/>
      </c>
      <c r="AM923" s="563">
        <f>-AM118</f>
        <v/>
      </c>
      <c r="AN923" s="563">
        <f>-AN118</f>
        <v/>
      </c>
      <c r="AO923" s="1151">
        <f>-AO118</f>
        <v/>
      </c>
      <c r="AP923" s="563">
        <f>-AP118</f>
        <v/>
      </c>
      <c r="AQ923" s="563">
        <f>-AQ118</f>
        <v/>
      </c>
      <c r="AR923" s="563">
        <f>-AR118</f>
        <v/>
      </c>
      <c r="AS923" s="563">
        <f>-AS118</f>
        <v/>
      </c>
      <c r="AT923" s="1151">
        <f>-AT118</f>
        <v/>
      </c>
      <c r="AU923" s="563">
        <f>-AU118</f>
        <v/>
      </c>
      <c r="AV923" s="563">
        <f>-AV118</f>
        <v/>
      </c>
      <c r="AW923" s="563">
        <f>-AW118</f>
        <v/>
      </c>
      <c r="AX923" s="563">
        <f>-AX118</f>
        <v/>
      </c>
      <c r="AY923" s="1151">
        <f>-AY118</f>
        <v/>
      </c>
      <c r="AZ923" s="563">
        <f>-AZ118</f>
        <v/>
      </c>
      <c r="BA923" s="563">
        <f>-BA118</f>
        <v/>
      </c>
      <c r="BB923" s="563">
        <f>-BB118</f>
        <v/>
      </c>
      <c r="BC923" s="563">
        <f>-BC118</f>
        <v/>
      </c>
      <c r="BD923" s="1151">
        <f>-BD118</f>
        <v/>
      </c>
      <c r="BE923" s="563">
        <f>-BE118</f>
        <v/>
      </c>
      <c r="BF923" s="563">
        <f>-BF118</f>
        <v/>
      </c>
      <c r="BG923" s="563">
        <f>-BG118</f>
        <v/>
      </c>
      <c r="BH923" s="563">
        <f>-BH118</f>
        <v/>
      </c>
      <c r="BI923" s="1151">
        <f>-BI118</f>
        <v/>
      </c>
      <c r="BJ923" s="563">
        <f>-BJ118</f>
        <v/>
      </c>
      <c r="BK923" s="563">
        <f>-BK118</f>
        <v/>
      </c>
      <c r="BL923" s="563">
        <f>-BL118</f>
        <v/>
      </c>
      <c r="BM923" s="563">
        <f>-BM118</f>
        <v/>
      </c>
      <c r="BN923" s="1151">
        <f>-BN118</f>
        <v/>
      </c>
      <c r="BO923" s="563">
        <f>-BO118</f>
        <v/>
      </c>
      <c r="BP923" s="563">
        <f>-BP118</f>
        <v/>
      </c>
      <c r="BQ923" s="563">
        <f>-BQ118</f>
        <v/>
      </c>
      <c r="BR923" s="563">
        <f>-BR118</f>
        <v/>
      </c>
      <c r="BS923" s="1151">
        <f>-BS118</f>
        <v/>
      </c>
      <c r="BT923" s="563">
        <f>-BT118</f>
        <v/>
      </c>
      <c r="BU923" s="563">
        <f>-BU118</f>
        <v/>
      </c>
      <c r="BV923" s="731">
        <f>-BV118</f>
        <v/>
      </c>
      <c r="BW923" s="563">
        <f>-BW922*BW929*BW3/BX3</f>
        <v/>
      </c>
      <c r="BX923" s="1151">
        <f>IF(OR(ISBLANK(BT923),ISBLANK(BU923),ISBLANK(BV923),ISBLANK(BW923)),"n/a",SUM(BT923,BU923,BV923,BW923))</f>
        <v/>
      </c>
      <c r="BY923" s="563">
        <f>-BY922*BY929*BY3/CC3</f>
        <v/>
      </c>
      <c r="BZ923" s="563">
        <f>-BZ922*BZ929*BZ3/CC3</f>
        <v/>
      </c>
      <c r="CA923" s="563">
        <f>-CA922*CA929*CA3/CC3</f>
        <v/>
      </c>
      <c r="CB923" s="563">
        <f>-CB922*CB929*CB3/CC3</f>
        <v/>
      </c>
      <c r="CC923" s="1151">
        <f>IF(OR(ISBLANK(BY923),ISBLANK(BZ923),ISBLANK(CA923),ISBLANK(CB923)),"n/a",SUM(BY923,BZ923,CA923,CB923))</f>
        <v/>
      </c>
      <c r="CD923" s="1151">
        <f>-CD922*CD929</f>
        <v/>
      </c>
      <c r="CE923" s="1151">
        <f>-CE922*CE929</f>
        <v/>
      </c>
      <c r="CF923" s="1151">
        <f>-CF922*CF929</f>
        <v/>
      </c>
      <c r="CG923" s="155" t="n"/>
    </row>
    <row r="924">
      <c r="A924" s="99" t="inlineStr">
        <is>
          <t>Additions to acquired intangibles, mm</t>
        </is>
      </c>
      <c r="B924" s="146" t="n"/>
      <c r="C924" s="1151" t="n"/>
      <c r="D924" s="1151" t="n"/>
      <c r="E924" s="1151" t="n"/>
      <c r="F924" s="1151" t="n"/>
      <c r="G924" s="563" t="n"/>
      <c r="H924" s="563" t="n"/>
      <c r="I924" s="563" t="n"/>
      <c r="J924" s="563" t="n"/>
      <c r="K924" s="1151" t="n"/>
      <c r="L924" s="563" t="n"/>
      <c r="M924" s="563" t="n"/>
      <c r="N924" s="563" t="n"/>
      <c r="O924" s="563" t="n"/>
      <c r="P924" s="1151" t="n"/>
      <c r="Q924" s="563" t="n"/>
      <c r="R924" s="563" t="n"/>
      <c r="S924" s="563" t="n"/>
      <c r="T924" s="563" t="n"/>
      <c r="U924" s="1151" t="n"/>
      <c r="V924" s="563" t="n"/>
      <c r="W924" s="563" t="n"/>
      <c r="X924" s="563" t="n"/>
      <c r="Y924" s="563" t="n"/>
      <c r="Z924" s="1151" t="n"/>
      <c r="AA924" s="563" t="n"/>
      <c r="AB924" s="563" t="n"/>
      <c r="AC924" s="563" t="n"/>
      <c r="AD924" s="563" t="n"/>
      <c r="AE924" s="1151" t="n"/>
      <c r="AF924" s="563" t="n"/>
      <c r="AG924" s="563" t="n"/>
      <c r="AH924" s="563" t="n"/>
      <c r="AI924" s="563" t="n"/>
      <c r="AJ924" s="1151" t="n"/>
      <c r="AK924" s="563" t="n"/>
      <c r="AL924" s="563" t="n"/>
      <c r="AM924" s="563" t="n"/>
      <c r="AN924" s="563" t="n"/>
      <c r="AO924" s="1151" t="n"/>
      <c r="AP924" s="563" t="n"/>
      <c r="AQ924" s="563" t="n"/>
      <c r="AR924" s="563" t="n"/>
      <c r="AS924" s="563" t="n"/>
      <c r="AT924" s="1151" t="n"/>
      <c r="AU924" s="563" t="n"/>
      <c r="AV924" s="563" t="n"/>
      <c r="AW924" s="563" t="n"/>
      <c r="AX924" s="563" t="n"/>
      <c r="AY924" s="1151" t="n"/>
      <c r="AZ924" s="563" t="n"/>
      <c r="BA924" s="563" t="n"/>
      <c r="BB924" s="563" t="n"/>
      <c r="BC924" s="563" t="n"/>
      <c r="BD924" s="1151" t="n"/>
      <c r="BE924" s="563" t="n"/>
      <c r="BF924" s="563" t="n"/>
      <c r="BG924" s="563" t="n"/>
      <c r="BH924" s="563" t="n"/>
      <c r="BI924" s="1151" t="n"/>
      <c r="BJ924" s="563" t="n"/>
      <c r="BK924" s="563" t="n"/>
      <c r="BL924" s="563" t="n"/>
      <c r="BM924" s="563" t="n"/>
      <c r="BN924" s="1151" t="n"/>
      <c r="BO924" s="563" t="n"/>
      <c r="BP924" s="563" t="n"/>
      <c r="BQ924" s="563" t="n"/>
      <c r="BR924" s="563" t="n"/>
      <c r="BS924" s="1151" t="n"/>
      <c r="BT924" s="563" t="n"/>
      <c r="BU924" s="563" t="n"/>
      <c r="BV924" s="731" t="n"/>
      <c r="BW924" s="563">
        <f>BW936*BW937+BW934*BW935</f>
        <v/>
      </c>
      <c r="BX924" s="1151">
        <f>IF(OR(ISBLANK(BT924),ISBLANK(BU924),ISBLANK(BV924),ISBLANK(BW924)),"n/a",SUM(BT924,BU924,BV924,BW924))</f>
        <v/>
      </c>
      <c r="BY924" s="563">
        <f>BY936*BY937+BY934*BY935</f>
        <v/>
      </c>
      <c r="BZ924" s="563">
        <f>BZ936*BZ937+BZ934*BZ935</f>
        <v/>
      </c>
      <c r="CA924" s="563">
        <f>CA936*CA937+CA934*CA935</f>
        <v/>
      </c>
      <c r="CB924" s="563">
        <f>CB936*CB937+CB934*CB935</f>
        <v/>
      </c>
      <c r="CC924" s="1151">
        <f>IF(OR(ISBLANK(BY924),ISBLANK(BZ924),ISBLANK(CA924),ISBLANK(CB924)),"n/a",SUM(BY924,BZ924,CA924,CB924))</f>
        <v/>
      </c>
      <c r="CD924" s="1151">
        <f>CD936*CD937+CD934*CD935</f>
        <v/>
      </c>
      <c r="CE924" s="1151">
        <f>CE936*CE937+CE934*CE935</f>
        <v/>
      </c>
      <c r="CF924" s="1151">
        <f>CF936*CF937+CF934*CF935</f>
        <v/>
      </c>
      <c r="CG924" s="155" t="n"/>
    </row>
    <row r="925">
      <c r="A925" s="99" t="inlineStr">
        <is>
          <t>Other net additions to intangibles, mm</t>
        </is>
      </c>
      <c r="B925" s="146" t="n"/>
      <c r="C925" s="1151" t="n"/>
      <c r="D925" s="1151">
        <f>ROUND(D926-D922-D923-D924,6)</f>
        <v/>
      </c>
      <c r="E925" s="1151">
        <f>ROUND(E926-E922-E923-E924,6)</f>
        <v/>
      </c>
      <c r="F925" s="1151">
        <f>ROUND(F926-F922-F923-F924,6)</f>
        <v/>
      </c>
      <c r="G925" s="563">
        <f>ROUND(G926-G922-G923-G924,6)</f>
        <v/>
      </c>
      <c r="H925" s="563">
        <f>ROUND(H926-H922-H923-H924,6)</f>
        <v/>
      </c>
      <c r="I925" s="563">
        <f>ROUND(I926-I922-I923-I924,6)</f>
        <v/>
      </c>
      <c r="J925" s="563">
        <f>ROUND(J926-J922-J923-J924,6)</f>
        <v/>
      </c>
      <c r="K925" s="1151">
        <f>ROUND(K926-K922-K923-K924,6)</f>
        <v/>
      </c>
      <c r="L925" s="563">
        <f>ROUND(L926-L922-L923-L924,6)</f>
        <v/>
      </c>
      <c r="M925" s="563">
        <f>ROUND(M926-M922-M923-M924,6)</f>
        <v/>
      </c>
      <c r="N925" s="563">
        <f>ROUND(N926-N922-N923-N924,6)</f>
        <v/>
      </c>
      <c r="O925" s="563">
        <f>ROUND(O926-O922-O923-O924,6)</f>
        <v/>
      </c>
      <c r="P925" s="1151">
        <f>ROUND(P926-P922-P923-P924,6)</f>
        <v/>
      </c>
      <c r="Q925" s="563">
        <f>ROUND(Q926-Q922-Q923-Q924,6)</f>
        <v/>
      </c>
      <c r="R925" s="563">
        <f>ROUND(R926-R922-R923-R924,6)</f>
        <v/>
      </c>
      <c r="S925" s="563">
        <f>ROUND(S926-S922-S923-S924,6)</f>
        <v/>
      </c>
      <c r="T925" s="563">
        <f>ROUND(T926-T922-T923-T924,6)</f>
        <v/>
      </c>
      <c r="U925" s="1151">
        <f>ROUND(U926-U922-U923-U924,6)</f>
        <v/>
      </c>
      <c r="V925" s="563">
        <f>ROUND(V926-V922-V923-V924,6)</f>
        <v/>
      </c>
      <c r="W925" s="563">
        <f>ROUND(W926-W922-W923-W924,6)</f>
        <v/>
      </c>
      <c r="X925" s="563">
        <f>ROUND(X926-X922-X923-X924,6)</f>
        <v/>
      </c>
      <c r="Y925" s="563">
        <f>ROUND(Y926-Y922-Y923-Y924,6)</f>
        <v/>
      </c>
      <c r="Z925" s="1151">
        <f>ROUND(Z926-Z922-Z923-Z924,6)</f>
        <v/>
      </c>
      <c r="AA925" s="563">
        <f>ROUND(AA926-AA922-AA923-AA924,6)</f>
        <v/>
      </c>
      <c r="AB925" s="563">
        <f>ROUND(AB926-AB922-AB923-AB924,6)</f>
        <v/>
      </c>
      <c r="AC925" s="563">
        <f>ROUND(AC926-AC922-AC923-AC924,6)</f>
        <v/>
      </c>
      <c r="AD925" s="563">
        <f>ROUND(AD926-AD922-AD923-AD924,6)</f>
        <v/>
      </c>
      <c r="AE925" s="1151">
        <f>ROUND(AE926-AE922-AE923-AE924,6)</f>
        <v/>
      </c>
      <c r="AF925" s="563">
        <f>ROUND(AF926-AF922-AF923-AF924,6)</f>
        <v/>
      </c>
      <c r="AG925" s="563">
        <f>ROUND(AG926-AG922-AG923-AG924,6)</f>
        <v/>
      </c>
      <c r="AH925" s="563">
        <f>ROUND(AH926-AH922-AH923-AH924,6)</f>
        <v/>
      </c>
      <c r="AI925" s="563">
        <f>ROUND(AI926-AI922-AI923-AI924,6)</f>
        <v/>
      </c>
      <c r="AJ925" s="1151">
        <f>ROUND(AJ926-AJ922-AJ923-AJ924,6)</f>
        <v/>
      </c>
      <c r="AK925" s="563">
        <f>ROUND(AK926-AK922-AK923-AK924,6)</f>
        <v/>
      </c>
      <c r="AL925" s="563">
        <f>ROUND(AL926-AL922-AL923-AL924,6)</f>
        <v/>
      </c>
      <c r="AM925" s="563">
        <f>ROUND(AM926-AM922-AM923-AM924,6)</f>
        <v/>
      </c>
      <c r="AN925" s="563">
        <f>ROUND(AN926-AN922-AN923-AN924,6)</f>
        <v/>
      </c>
      <c r="AO925" s="1151">
        <f>ROUND(AO926-AO922-AO923-AO924,6)</f>
        <v/>
      </c>
      <c r="AP925" s="563">
        <f>ROUND(AP926-AP922-AP923-AP924,6)</f>
        <v/>
      </c>
      <c r="AQ925" s="563">
        <f>ROUND(AQ926-AQ922-AQ923-AQ924,6)</f>
        <v/>
      </c>
      <c r="AR925" s="563">
        <f>ROUND(AR926-AR922-AR923-AR924,6)</f>
        <v/>
      </c>
      <c r="AS925" s="563">
        <f>ROUND(AS926-AS922-AS923-AS924,6)</f>
        <v/>
      </c>
      <c r="AT925" s="1151">
        <f>ROUND(AT926-AT922-AT923-AT924,6)</f>
        <v/>
      </c>
      <c r="AU925" s="563">
        <f>ROUND(AU926-AU922-AU923-AU924,6)</f>
        <v/>
      </c>
      <c r="AV925" s="563">
        <f>ROUND(AV926-AV922-AV923-AV924,6)</f>
        <v/>
      </c>
      <c r="AW925" s="563">
        <f>ROUND(AW926-AW922-AW923-AW924,6)</f>
        <v/>
      </c>
      <c r="AX925" s="563">
        <f>ROUND(AX926-AX922-AX923-AX924,6)</f>
        <v/>
      </c>
      <c r="AY925" s="1151">
        <f>ROUND(AY926-AY922-AY923-AY924,6)</f>
        <v/>
      </c>
      <c r="AZ925" s="563">
        <f>ROUND(AZ926-AZ922-AZ923-AZ924,6)</f>
        <v/>
      </c>
      <c r="BA925" s="563">
        <f>ROUND(BA926-BA922-BA923-BA924,6)</f>
        <v/>
      </c>
      <c r="BB925" s="563">
        <f>ROUND(BB926-BB922-BB923-BB924,6)</f>
        <v/>
      </c>
      <c r="BC925" s="563">
        <f>ROUND(BC926-BC922-BC923-BC924,6)</f>
        <v/>
      </c>
      <c r="BD925" s="1151">
        <f>ROUND(BD926-BD922-BD923-BD924,6)</f>
        <v/>
      </c>
      <c r="BE925" s="563">
        <f>ROUND(BE926-BE922-BE923-BE924,6)</f>
        <v/>
      </c>
      <c r="BF925" s="563">
        <f>ROUND(BF926-BF922-BF923-BF924,6)</f>
        <v/>
      </c>
      <c r="BG925" s="563">
        <f>ROUND(BG926-BG922-BG923-BG924,6)</f>
        <v/>
      </c>
      <c r="BH925" s="563">
        <f>ROUND(BH926-BH922-BH923-BH924,6)</f>
        <v/>
      </c>
      <c r="BI925" s="1151">
        <f>ROUND(BI926-BI922-BI923-BI924,6)</f>
        <v/>
      </c>
      <c r="BJ925" s="563">
        <f>ROUND(BJ926-BJ922-BJ923-BJ924,6)</f>
        <v/>
      </c>
      <c r="BK925" s="563">
        <f>ROUND(BK926-BK922-BK923-BK924,6)</f>
        <v/>
      </c>
      <c r="BL925" s="563">
        <f>ROUND(BL926-BL922-BL923-BL924,6)</f>
        <v/>
      </c>
      <c r="BM925" s="563">
        <f>ROUND(BM926-BM922-BM923-BM924,6)</f>
        <v/>
      </c>
      <c r="BN925" s="1151">
        <f>ROUND(BN926-BN922-BN923-BN924,6)</f>
        <v/>
      </c>
      <c r="BO925" s="563">
        <f>ROUND(BO926-BO922-BO923-BO924,6)</f>
        <v/>
      </c>
      <c r="BP925" s="563">
        <f>ROUND(BP926-BP922-BP923-BP924,6)</f>
        <v/>
      </c>
      <c r="BQ925" s="563">
        <f>ROUND(BQ926-BQ922-BQ923-BQ924,6)</f>
        <v/>
      </c>
      <c r="BR925" s="563">
        <f>ROUND(BR926-BR922-BR923-BR924,6)</f>
        <v/>
      </c>
      <c r="BS925" s="1151">
        <f>ROUND(BS926-BS922-BS923-BS924,6)</f>
        <v/>
      </c>
      <c r="BT925" s="563">
        <f>ROUND(BT926-BT922-BT923-BT924,6)</f>
        <v/>
      </c>
      <c r="BU925" s="563">
        <f>ROUND(BU926-BU922-BU923-BU924,6)</f>
        <v/>
      </c>
      <c r="BV925" s="731">
        <f>ROUND(BV926-BV922-BV923-BV924,6)</f>
        <v/>
      </c>
      <c r="BW925" s="563">
        <f>ROUND(BW926-BW922-BW923-BW924,6)</f>
        <v/>
      </c>
      <c r="BX925" s="1151">
        <f>ROUND(BX926-BX922-IF(ISNUMBER(BX923),BX923,0)-IF(ISNUMBER(BX924),BX924,0),6)</f>
        <v/>
      </c>
      <c r="BY925" s="563">
        <f>ROUND(BY926-BY922-BY923-BY924,6)</f>
        <v/>
      </c>
      <c r="BZ925" s="563">
        <f>ROUND(BZ926-BZ922-BZ923-BZ924,6)</f>
        <v/>
      </c>
      <c r="CA925" s="563">
        <f>ROUND(CA926-CA922-CA923-CA924,6)</f>
        <v/>
      </c>
      <c r="CB925" s="563">
        <f>ROUND(CB926-CB922-CB923-CB924,6)</f>
        <v/>
      </c>
      <c r="CC925" s="1151">
        <f>ROUND(CC926-CC922-IF(ISNUMBER(CC923),CC923,0)-IF(ISNUMBER(CC924),CC924,0),6)</f>
        <v/>
      </c>
      <c r="CD925" s="1151">
        <f>ROUND(CD926-CD922-CD923-CD924,6)</f>
        <v/>
      </c>
      <c r="CE925" s="1151">
        <f>ROUND(CE926-CE922-CE923-CE924,6)</f>
        <v/>
      </c>
      <c r="CF925" s="1151">
        <f>ROUND(CF926-CF922-CF923-CF924,6)</f>
        <v/>
      </c>
      <c r="CG925" s="155" t="n"/>
    </row>
    <row r="926">
      <c r="A926" s="651" t="inlineStr">
        <is>
          <t>Intangibles EoP, mm</t>
        </is>
      </c>
      <c r="B926" s="652" t="n"/>
      <c r="C926" s="1231">
        <f>C970</f>
        <v/>
      </c>
      <c r="D926" s="1231">
        <f>D970</f>
        <v/>
      </c>
      <c r="E926" s="1231">
        <f>E970</f>
        <v/>
      </c>
      <c r="F926" s="1231">
        <f>F970</f>
        <v/>
      </c>
      <c r="G926" s="653">
        <f>G970</f>
        <v/>
      </c>
      <c r="H926" s="653">
        <f>H970</f>
        <v/>
      </c>
      <c r="I926" s="653">
        <f>I970</f>
        <v/>
      </c>
      <c r="J926" s="653">
        <f>J970</f>
        <v/>
      </c>
      <c r="K926" s="1231">
        <f>K970</f>
        <v/>
      </c>
      <c r="L926" s="653">
        <f>L970</f>
        <v/>
      </c>
      <c r="M926" s="653">
        <f>M970</f>
        <v/>
      </c>
      <c r="N926" s="653">
        <f>N970</f>
        <v/>
      </c>
      <c r="O926" s="653">
        <f>O970</f>
        <v/>
      </c>
      <c r="P926" s="1231">
        <f>P970</f>
        <v/>
      </c>
      <c r="Q926" s="653">
        <f>Q970</f>
        <v/>
      </c>
      <c r="R926" s="653">
        <f>R970</f>
        <v/>
      </c>
      <c r="S926" s="653">
        <f>S970</f>
        <v/>
      </c>
      <c r="T926" s="653">
        <f>T970</f>
        <v/>
      </c>
      <c r="U926" s="1231">
        <f>U970</f>
        <v/>
      </c>
      <c r="V926" s="653">
        <f>V970</f>
        <v/>
      </c>
      <c r="W926" s="653">
        <f>W970</f>
        <v/>
      </c>
      <c r="X926" s="653">
        <f>X970</f>
        <v/>
      </c>
      <c r="Y926" s="653">
        <f>Y970</f>
        <v/>
      </c>
      <c r="Z926" s="1231">
        <f>Z970</f>
        <v/>
      </c>
      <c r="AA926" s="653">
        <f>AA970</f>
        <v/>
      </c>
      <c r="AB926" s="653">
        <f>AB970</f>
        <v/>
      </c>
      <c r="AC926" s="653">
        <f>AC970</f>
        <v/>
      </c>
      <c r="AD926" s="653">
        <f>AD970</f>
        <v/>
      </c>
      <c r="AE926" s="1231">
        <f>AE970</f>
        <v/>
      </c>
      <c r="AF926" s="653">
        <f>AF970</f>
        <v/>
      </c>
      <c r="AG926" s="653">
        <f>AG970</f>
        <v/>
      </c>
      <c r="AH926" s="653">
        <f>AH970</f>
        <v/>
      </c>
      <c r="AI926" s="653">
        <f>AI970</f>
        <v/>
      </c>
      <c r="AJ926" s="1231">
        <f>AJ970</f>
        <v/>
      </c>
      <c r="AK926" s="653">
        <f>AK970</f>
        <v/>
      </c>
      <c r="AL926" s="653">
        <f>AL970</f>
        <v/>
      </c>
      <c r="AM926" s="653">
        <f>AM970</f>
        <v/>
      </c>
      <c r="AN926" s="653">
        <f>AN970</f>
        <v/>
      </c>
      <c r="AO926" s="1231">
        <f>AO970</f>
        <v/>
      </c>
      <c r="AP926" s="653">
        <f>AP970</f>
        <v/>
      </c>
      <c r="AQ926" s="653">
        <f>AQ970</f>
        <v/>
      </c>
      <c r="AR926" s="653">
        <f>AR970</f>
        <v/>
      </c>
      <c r="AS926" s="653">
        <f>AS970</f>
        <v/>
      </c>
      <c r="AT926" s="1231">
        <f>AT970</f>
        <v/>
      </c>
      <c r="AU926" s="653">
        <f>AU970</f>
        <v/>
      </c>
      <c r="AV926" s="653">
        <f>AV970</f>
        <v/>
      </c>
      <c r="AW926" s="653">
        <f>AW970</f>
        <v/>
      </c>
      <c r="AX926" s="653">
        <f>AX970</f>
        <v/>
      </c>
      <c r="AY926" s="1231">
        <f>AY970</f>
        <v/>
      </c>
      <c r="AZ926" s="653">
        <f>AZ970</f>
        <v/>
      </c>
      <c r="BA926" s="653">
        <f>BA970</f>
        <v/>
      </c>
      <c r="BB926" s="653">
        <f>BB970</f>
        <v/>
      </c>
      <c r="BC926" s="653">
        <f>BC970</f>
        <v/>
      </c>
      <c r="BD926" s="1231">
        <f>BD970</f>
        <v/>
      </c>
      <c r="BE926" s="653">
        <f>BE970</f>
        <v/>
      </c>
      <c r="BF926" s="653">
        <f>BF970</f>
        <v/>
      </c>
      <c r="BG926" s="653">
        <f>BG970</f>
        <v/>
      </c>
      <c r="BH926" s="653">
        <f>BH970</f>
        <v/>
      </c>
      <c r="BI926" s="1231">
        <f>BI970</f>
        <v/>
      </c>
      <c r="BJ926" s="653">
        <f>BJ970</f>
        <v/>
      </c>
      <c r="BK926" s="653">
        <f>BK970</f>
        <v/>
      </c>
      <c r="BL926" s="653">
        <f>BL970</f>
        <v/>
      </c>
      <c r="BM926" s="653">
        <f>BM970</f>
        <v/>
      </c>
      <c r="BN926" s="1231">
        <f>BN970</f>
        <v/>
      </c>
      <c r="BO926" s="653">
        <f>BO970</f>
        <v/>
      </c>
      <c r="BP926" s="653">
        <f>BP970</f>
        <v/>
      </c>
      <c r="BQ926" s="653">
        <f>BQ970</f>
        <v/>
      </c>
      <c r="BR926" s="653">
        <f>BR970</f>
        <v/>
      </c>
      <c r="BS926" s="1231">
        <f>BS970</f>
        <v/>
      </c>
      <c r="BT926" s="653">
        <f>BT970</f>
        <v/>
      </c>
      <c r="BU926" s="653">
        <f>BU970</f>
        <v/>
      </c>
      <c r="BV926" s="929">
        <f>BV970</f>
        <v/>
      </c>
      <c r="BW926" s="653">
        <f>BW970</f>
        <v/>
      </c>
      <c r="BX926" s="1231">
        <f>BX970</f>
        <v/>
      </c>
      <c r="BY926" s="653">
        <f>BY970</f>
        <v/>
      </c>
      <c r="BZ926" s="653">
        <f>BZ970</f>
        <v/>
      </c>
      <c r="CA926" s="653">
        <f>CA970</f>
        <v/>
      </c>
      <c r="CB926" s="653">
        <f>CB970</f>
        <v/>
      </c>
      <c r="CC926" s="1231">
        <f>CC970</f>
        <v/>
      </c>
      <c r="CD926" s="1231">
        <f>CD970</f>
        <v/>
      </c>
      <c r="CE926" s="1231">
        <f>CE970</f>
        <v/>
      </c>
      <c r="CF926" s="1231">
        <f>CF970</f>
        <v/>
      </c>
      <c r="CG926" s="155" t="n"/>
    </row>
    <row r="927">
      <c r="A927" s="99" t="n"/>
      <c r="B927" s="146" t="n"/>
      <c r="C927" s="1151" t="n"/>
      <c r="D927" s="1151" t="n"/>
      <c r="E927" s="1151" t="n"/>
      <c r="F927" s="1151" t="n"/>
      <c r="G927" s="563" t="n"/>
      <c r="H927" s="563" t="n"/>
      <c r="I927" s="563" t="n"/>
      <c r="J927" s="563" t="n"/>
      <c r="K927" s="1151" t="n"/>
      <c r="L927" s="563" t="n"/>
      <c r="M927" s="563" t="n"/>
      <c r="N927" s="563" t="n"/>
      <c r="O927" s="563" t="n"/>
      <c r="P927" s="1151" t="n"/>
      <c r="Q927" s="563" t="n"/>
      <c r="R927" s="563" t="n"/>
      <c r="S927" s="563" t="n"/>
      <c r="T927" s="563" t="n"/>
      <c r="U927" s="1151" t="n"/>
      <c r="V927" s="563" t="n"/>
      <c r="W927" s="563" t="n"/>
      <c r="X927" s="563" t="n"/>
      <c r="Y927" s="563" t="n"/>
      <c r="Z927" s="1151" t="n"/>
      <c r="AA927" s="563" t="n"/>
      <c r="AB927" s="563" t="n"/>
      <c r="AC927" s="563" t="n"/>
      <c r="AD927" s="563" t="n"/>
      <c r="AE927" s="1151" t="n"/>
      <c r="AF927" s="563" t="n"/>
      <c r="AG927" s="563" t="n"/>
      <c r="AH927" s="563" t="n"/>
      <c r="AI927" s="563" t="n"/>
      <c r="AJ927" s="1151" t="n"/>
      <c r="AK927" s="563" t="n"/>
      <c r="AL927" s="563" t="n"/>
      <c r="AM927" s="563" t="n"/>
      <c r="AN927" s="563" t="n"/>
      <c r="AO927" s="1151" t="n"/>
      <c r="AP927" s="563" t="n"/>
      <c r="AQ927" s="563" t="n"/>
      <c r="AR927" s="563" t="n"/>
      <c r="AS927" s="563" t="n"/>
      <c r="AT927" s="1151" t="n"/>
      <c r="AU927" s="563" t="n"/>
      <c r="AV927" s="563" t="n"/>
      <c r="AW927" s="563" t="n"/>
      <c r="AX927" s="563" t="n"/>
      <c r="AY927" s="1151" t="n"/>
      <c r="AZ927" s="563" t="n"/>
      <c r="BA927" s="563" t="n"/>
      <c r="BB927" s="563" t="n"/>
      <c r="BC927" s="563" t="n"/>
      <c r="BD927" s="1151" t="n"/>
      <c r="BE927" s="563" t="n"/>
      <c r="BF927" s="563" t="n"/>
      <c r="BG927" s="563" t="n"/>
      <c r="BH927" s="563" t="n"/>
      <c r="BI927" s="1151" t="n"/>
      <c r="BJ927" s="563" t="n"/>
      <c r="BK927" s="563" t="n"/>
      <c r="BL927" s="563" t="n"/>
      <c r="BM927" s="563" t="n"/>
      <c r="BN927" s="1151" t="n"/>
      <c r="BO927" s="563" t="n"/>
      <c r="BP927" s="563" t="n"/>
      <c r="BQ927" s="563" t="n"/>
      <c r="BR927" s="563" t="n"/>
      <c r="BS927" s="1151" t="n"/>
      <c r="BT927" s="563" t="n"/>
      <c r="BU927" s="563" t="n"/>
      <c r="BV927" s="731" t="n"/>
      <c r="BW927" s="563" t="n"/>
      <c r="BX927" s="1151" t="n"/>
      <c r="BY927" s="563" t="n"/>
      <c r="BZ927" s="563" t="n"/>
      <c r="CA927" s="563" t="n"/>
      <c r="CB927" s="563" t="n"/>
      <c r="CC927" s="1151" t="n"/>
      <c r="CD927" s="1151" t="n"/>
      <c r="CE927" s="1151" t="n"/>
      <c r="CF927" s="1151" t="n"/>
      <c r="CG927" s="155" t="n"/>
    </row>
    <row r="928">
      <c r="A928" s="655" t="inlineStr">
        <is>
          <t>Depreciation as percentage of PP&amp;E BoP, %</t>
        </is>
      </c>
      <c r="B928" s="102" t="n"/>
      <c r="C928" s="1114" t="n"/>
      <c r="D928" s="1114">
        <f>IFERROR(-D917/D916,"n/a")</f>
        <v/>
      </c>
      <c r="E928" s="1114">
        <f>IFERROR(-E917/E916,"n/a")</f>
        <v/>
      </c>
      <c r="F928" s="1114">
        <f>IFERROR(-F917/F916,"n/a")</f>
        <v/>
      </c>
      <c r="G928" s="643">
        <f>IFERROR(-G917/G916*K3/G3,"n/a")</f>
        <v/>
      </c>
      <c r="H928" s="643">
        <f>IFERROR(-H917/H916*K3/H3,"n/a")</f>
        <v/>
      </c>
      <c r="I928" s="643">
        <f>IFERROR(-I917/I916*K3/I3,"n/a")</f>
        <v/>
      </c>
      <c r="J928" s="643">
        <f>IFERROR(-J917/J916*K3/J3,"n/a")</f>
        <v/>
      </c>
      <c r="K928" s="1114">
        <f>IFERROR(-K917/K916,"n/a")</f>
        <v/>
      </c>
      <c r="L928" s="643">
        <f>IFERROR(-L917/L916*P3/L3,"n/a")</f>
        <v/>
      </c>
      <c r="M928" s="643">
        <f>IFERROR(-M917/M916*P3/M3,"n/a")</f>
        <v/>
      </c>
      <c r="N928" s="643">
        <f>IFERROR(-N917/N916*P3/N3,"n/a")</f>
        <v/>
      </c>
      <c r="O928" s="643">
        <f>IFERROR(-O917/O916*P3/O3,"n/a")</f>
        <v/>
      </c>
      <c r="P928" s="1114">
        <f>IFERROR(-P917/P916,"n/a")</f>
        <v/>
      </c>
      <c r="Q928" s="643">
        <f>IFERROR(-Q917/Q916*U3/Q3,"n/a")</f>
        <v/>
      </c>
      <c r="R928" s="643">
        <f>IFERROR(-R917/R916*U3/R3,"n/a")</f>
        <v/>
      </c>
      <c r="S928" s="643">
        <f>IFERROR(-S917/S916*U3/S3,"n/a")</f>
        <v/>
      </c>
      <c r="T928" s="643">
        <f>IFERROR(-T917/T916*U3/T3,"n/a")</f>
        <v/>
      </c>
      <c r="U928" s="1114">
        <f>IFERROR(-U917/U916,"n/a")</f>
        <v/>
      </c>
      <c r="V928" s="643">
        <f>IFERROR(-V917/V916*Z3/V3,"n/a")</f>
        <v/>
      </c>
      <c r="W928" s="643">
        <f>IFERROR(-W917/W916*Z3/W3,"n/a")</f>
        <v/>
      </c>
      <c r="X928" s="643">
        <f>IFERROR(-X917/X916*Z3/X3,"n/a")</f>
        <v/>
      </c>
      <c r="Y928" s="643">
        <f>IFERROR(-Y917/Y916*Z3/Y3,"n/a")</f>
        <v/>
      </c>
      <c r="Z928" s="1114">
        <f>IFERROR(-Z917/Z916,"n/a")</f>
        <v/>
      </c>
      <c r="AA928" s="643">
        <f>IFERROR(-AA917/AA916*AE3/AA3,"n/a")</f>
        <v/>
      </c>
      <c r="AB928" s="643">
        <f>IFERROR(-AB917/AB916*AE3/AB3,"n/a")</f>
        <v/>
      </c>
      <c r="AC928" s="643">
        <f>IFERROR(-AC917/AC916*AE3/AC3,"n/a")</f>
        <v/>
      </c>
      <c r="AD928" s="643">
        <f>IFERROR(-AD917/AD916*AE3/AD3,"n/a")</f>
        <v/>
      </c>
      <c r="AE928" s="1114">
        <f>IFERROR(-AE917/AE916,"n/a")</f>
        <v/>
      </c>
      <c r="AF928" s="643">
        <f>IFERROR(-AF917/AF916*AJ3/AF3,"n/a")</f>
        <v/>
      </c>
      <c r="AG928" s="643">
        <f>IFERROR(-AG917/AG916*AJ3/AG3,"n/a")</f>
        <v/>
      </c>
      <c r="AH928" s="643">
        <f>IFERROR(-AH917/AH916*AJ3/AH3,"n/a")</f>
        <v/>
      </c>
      <c r="AI928" s="643">
        <f>IFERROR(-AI917/AI916*AJ3/AI3,"n/a")</f>
        <v/>
      </c>
      <c r="AJ928" s="1114">
        <f>IFERROR(-AJ917/AJ916,"n/a")</f>
        <v/>
      </c>
      <c r="AK928" s="643">
        <f>IFERROR(-AK917/AK916*AO3/AK3,"n/a")</f>
        <v/>
      </c>
      <c r="AL928" s="643">
        <f>IFERROR(-AL917/AL916*AO3/AL3,"n/a")</f>
        <v/>
      </c>
      <c r="AM928" s="643">
        <f>IFERROR(-AM917/AM916*AO3/AM3,"n/a")</f>
        <v/>
      </c>
      <c r="AN928" s="643">
        <f>IFERROR(-AN917/AN916*AO3/AN3,"n/a")</f>
        <v/>
      </c>
      <c r="AO928" s="1114">
        <f>IFERROR(-AO917/AO916,"n/a")</f>
        <v/>
      </c>
      <c r="AP928" s="643">
        <f>IFERROR(-AP917/AP916*AT3/AP3,"n/a")</f>
        <v/>
      </c>
      <c r="AQ928" s="643">
        <f>IFERROR(-AQ917/AQ916*AT3/AQ3,"n/a")</f>
        <v/>
      </c>
      <c r="AR928" s="643">
        <f>IFERROR(-AR917/AR916*AT3/AR3,"n/a")</f>
        <v/>
      </c>
      <c r="AS928" s="643">
        <f>IFERROR(-AS917/AS916*AT3/AS3,"n/a")</f>
        <v/>
      </c>
      <c r="AT928" s="1114">
        <f>IFERROR(-AT917/AT916,"n/a")</f>
        <v/>
      </c>
      <c r="AU928" s="643">
        <f>IFERROR(-AU917/AU916*AY3/AU3,"n/a")</f>
        <v/>
      </c>
      <c r="AV928" s="643">
        <f>IFERROR(-AV917/AV916*AY3/AV3,"n/a")</f>
        <v/>
      </c>
      <c r="AW928" s="643">
        <f>IFERROR(-AW917/AW916*AY3/AW3,"n/a")</f>
        <v/>
      </c>
      <c r="AX928" s="643">
        <f>IFERROR(-AX917/AX916*AY3/AX3,"n/a")</f>
        <v/>
      </c>
      <c r="AY928" s="1114">
        <f>IFERROR(-AY917/AY916,"n/a")</f>
        <v/>
      </c>
      <c r="AZ928" s="643">
        <f>IFERROR(-AZ917/AZ916*BD3/AZ3,"n/a")</f>
        <v/>
      </c>
      <c r="BA928" s="643">
        <f>IFERROR(-BA917/BA916*BD3/BA3,"n/a")</f>
        <v/>
      </c>
      <c r="BB928" s="643">
        <f>IFERROR(-BB917/BB916*BD3/BB3,"n/a")</f>
        <v/>
      </c>
      <c r="BC928" s="643">
        <f>IFERROR(-BC917/BC916*BD3/BC3,"n/a")</f>
        <v/>
      </c>
      <c r="BD928" s="1114">
        <f>IFERROR(-BD917/BD916,"n/a")</f>
        <v/>
      </c>
      <c r="BE928" s="643">
        <f>IFERROR(-BE917/BE916*BI3/BE3,"n/a")</f>
        <v/>
      </c>
      <c r="BF928" s="643">
        <f>IFERROR(-BF917/BF916*BI3/BF3,"n/a")</f>
        <v/>
      </c>
      <c r="BG928" s="643">
        <f>IFERROR(-BG917/BG916*BI3/BG3,"n/a")</f>
        <v/>
      </c>
      <c r="BH928" s="643">
        <f>IFERROR(-BH917/BH916*BI3/BH3,"n/a")</f>
        <v/>
      </c>
      <c r="BI928" s="1114">
        <f>IFERROR(-BI917/BI916,"n/a")</f>
        <v/>
      </c>
      <c r="BJ928" s="643">
        <f>IFERROR(-BJ917/BJ916*BN3/BJ3,"n/a")</f>
        <v/>
      </c>
      <c r="BK928" s="643">
        <f>IFERROR(-BK917/BK916*BN3/BK3,"n/a")</f>
        <v/>
      </c>
      <c r="BL928" s="643">
        <f>IFERROR(-BL917/BL916*BN3/BL3,"n/a")</f>
        <v/>
      </c>
      <c r="BM928" s="643">
        <f>IFERROR(-BM917/BM916*BN3/BM3,"n/a")</f>
        <v/>
      </c>
      <c r="BN928" s="1114">
        <f>IFERROR(-BN917/BN916,"n/a")</f>
        <v/>
      </c>
      <c r="BO928" s="643">
        <f>IFERROR(-BO917/BO916*BS3/BO3,"n/a")</f>
        <v/>
      </c>
      <c r="BP928" s="643">
        <f>IFERROR(-BP917/BP916*BS3/BP3,"n/a")</f>
        <v/>
      </c>
      <c r="BQ928" s="643">
        <f>IFERROR(-BQ917/BQ916*BS3/BQ3,"n/a")</f>
        <v/>
      </c>
      <c r="BR928" s="643">
        <f>IFERROR(-BR917/BR916*BS3/BR3,"n/a")</f>
        <v/>
      </c>
      <c r="BS928" s="1114">
        <f>IFERROR(-BS917/BS916,"n/a")</f>
        <v/>
      </c>
      <c r="BT928" s="643">
        <f>IFERROR(-BT917/BT916*BX3/BT3,"n/a")</f>
        <v/>
      </c>
      <c r="BU928" s="643">
        <f>IFERROR(-BU917/BU916*BX3/BU3,"n/a")</f>
        <v/>
      </c>
      <c r="BV928" s="930">
        <f>IFERROR(-BV917/BV916*BX3/BV3,"n/a")</f>
        <v/>
      </c>
      <c r="BW928" s="1055" t="n">
        <v>0.26</v>
      </c>
      <c r="BX928" s="1114">
        <f>AVERAGE(BT928,BU928,BV928,BW928)</f>
        <v/>
      </c>
      <c r="BY928" s="1055" t="n">
        <v>0.26</v>
      </c>
      <c r="BZ928" s="1055" t="n">
        <v>0.26</v>
      </c>
      <c r="CA928" s="1055" t="n">
        <v>0.26</v>
      </c>
      <c r="CB928" s="1055" t="n">
        <v>0.26</v>
      </c>
      <c r="CC928" s="1114">
        <f>AVERAGE(BY928,BZ928,CA928,CB928)</f>
        <v/>
      </c>
      <c r="CD928" s="1116" t="n">
        <v>0.26</v>
      </c>
      <c r="CE928" s="1116" t="n">
        <v>0.26</v>
      </c>
      <c r="CF928" s="1116" t="n">
        <v>0.26</v>
      </c>
      <c r="CG928" s="155" t="n"/>
    </row>
    <row r="929">
      <c r="A929" s="655" t="inlineStr">
        <is>
          <t>Amortization as percentage of Intangibles BoP, %</t>
        </is>
      </c>
      <c r="B929" s="102" t="n"/>
      <c r="C929" s="1114" t="n"/>
      <c r="D929" s="1114">
        <f>IFERROR(-D923/D922,"n/a")</f>
        <v/>
      </c>
      <c r="E929" s="1114">
        <f>IFERROR(-E923/E922,"n/a")</f>
        <v/>
      </c>
      <c r="F929" s="1114">
        <f>IFERROR(-F923/F922,"n/a")</f>
        <v/>
      </c>
      <c r="G929" s="643">
        <f>IFERROR(-G923/G922*K3/G3,"n/a")</f>
        <v/>
      </c>
      <c r="H929" s="643">
        <f>IFERROR(-H923/H922*K3/H3,"n/a")</f>
        <v/>
      </c>
      <c r="I929" s="643">
        <f>IFERROR(-I923/I922*K3/I3,"n/a")</f>
        <v/>
      </c>
      <c r="J929" s="643">
        <f>IFERROR(-J923/J922*K3/J3,"n/a")</f>
        <v/>
      </c>
      <c r="K929" s="1114">
        <f>IFERROR(-K923/K922,"n/a")</f>
        <v/>
      </c>
      <c r="L929" s="643">
        <f>IFERROR(-L923/L922*P3/L3,"n/a")</f>
        <v/>
      </c>
      <c r="M929" s="643">
        <f>IFERROR(-M923/M922*P3/M3,"n/a")</f>
        <v/>
      </c>
      <c r="N929" s="643">
        <f>IFERROR(-N923/N922*P3/N3,"n/a")</f>
        <v/>
      </c>
      <c r="O929" s="643">
        <f>IFERROR(-O923/O922*P3/O3,"n/a")</f>
        <v/>
      </c>
      <c r="P929" s="1114">
        <f>IFERROR(-P923/P922,"n/a")</f>
        <v/>
      </c>
      <c r="Q929" s="643">
        <f>IFERROR(-Q923/Q922*U3/Q3,"n/a")</f>
        <v/>
      </c>
      <c r="R929" s="643">
        <f>IFERROR(-R923/R922*U3/R3,"n/a")</f>
        <v/>
      </c>
      <c r="S929" s="643">
        <f>IFERROR(-S923/S922*U3/S3,"n/a")</f>
        <v/>
      </c>
      <c r="T929" s="643">
        <f>IFERROR(-T923/T922*U3/T3,"n/a")</f>
        <v/>
      </c>
      <c r="U929" s="1114">
        <f>IFERROR(-U923/U922,"n/a")</f>
        <v/>
      </c>
      <c r="V929" s="643">
        <f>IFERROR(-V923/V922*Z3/V3,"n/a")</f>
        <v/>
      </c>
      <c r="W929" s="643">
        <f>IFERROR(-W923/W922*Z3/W3,"n/a")</f>
        <v/>
      </c>
      <c r="X929" s="643">
        <f>IFERROR(-X923/X922*Z3/X3,"n/a")</f>
        <v/>
      </c>
      <c r="Y929" s="643">
        <f>IFERROR(-Y923/Y922*Z3/Y3,"n/a")</f>
        <v/>
      </c>
      <c r="Z929" s="1114">
        <f>IFERROR(-Z923/Z922,"n/a")</f>
        <v/>
      </c>
      <c r="AA929" s="643">
        <f>IFERROR(-AA923/AA922*AE3/AA3,"n/a")</f>
        <v/>
      </c>
      <c r="AB929" s="643">
        <f>IFERROR(-AB923/AB922*AE3/AB3,"n/a")</f>
        <v/>
      </c>
      <c r="AC929" s="643">
        <f>IFERROR(-AC923/AC922*AE3/AC3,"n/a")</f>
        <v/>
      </c>
      <c r="AD929" s="643">
        <f>IFERROR(-AD923/AD922*AE3/AD3,"n/a")</f>
        <v/>
      </c>
      <c r="AE929" s="1114">
        <f>IFERROR(-AE923/AE922,"n/a")</f>
        <v/>
      </c>
      <c r="AF929" s="643">
        <f>IFERROR(-AF923/AF922*AJ3/AF3,"n/a")</f>
        <v/>
      </c>
      <c r="AG929" s="643">
        <f>IFERROR(-AG923/AG922*AJ3/AG3,"n/a")</f>
        <v/>
      </c>
      <c r="AH929" s="643">
        <f>IFERROR(-AH923/AH922*AJ3/AH3,"n/a")</f>
        <v/>
      </c>
      <c r="AI929" s="643">
        <f>IFERROR(-AI923/AI922*AJ3/AI3,"n/a")</f>
        <v/>
      </c>
      <c r="AJ929" s="1114">
        <f>IFERROR(-AJ923/AJ922,"n/a")</f>
        <v/>
      </c>
      <c r="AK929" s="643">
        <f>IFERROR(-AK923/AK922*AO3/AK3,"n/a")</f>
        <v/>
      </c>
      <c r="AL929" s="643">
        <f>IFERROR(-AL923/AL922*AO3/AL3,"n/a")</f>
        <v/>
      </c>
      <c r="AM929" s="643">
        <f>IFERROR(-AM923/AM922*AO3/AM3,"n/a")</f>
        <v/>
      </c>
      <c r="AN929" s="643">
        <f>IFERROR(-AN923/AN922*AO3/AN3,"n/a")</f>
        <v/>
      </c>
      <c r="AO929" s="1114">
        <f>IFERROR(-AO923/AO922,"n/a")</f>
        <v/>
      </c>
      <c r="AP929" s="643">
        <f>IFERROR(-AP923/AP922*AT3/AP3,"n/a")</f>
        <v/>
      </c>
      <c r="AQ929" s="643">
        <f>IFERROR(-AQ923/AQ922*AT3/AQ3,"n/a")</f>
        <v/>
      </c>
      <c r="AR929" s="643">
        <f>IFERROR(-AR923/AR922*AT3/AR3,"n/a")</f>
        <v/>
      </c>
      <c r="AS929" s="643">
        <f>IFERROR(-AS923/AS922*AT3/AS3,"n/a")</f>
        <v/>
      </c>
      <c r="AT929" s="1114">
        <f>IFERROR(-AT923/AT922,"n/a")</f>
        <v/>
      </c>
      <c r="AU929" s="643">
        <f>IFERROR(-AU923/AU922*AY3/AU3,"n/a")</f>
        <v/>
      </c>
      <c r="AV929" s="643">
        <f>IFERROR(-AV923/AV922*AY3/AV3,"n/a")</f>
        <v/>
      </c>
      <c r="AW929" s="643">
        <f>IFERROR(-AW923/AW922*AY3/AW3,"n/a")</f>
        <v/>
      </c>
      <c r="AX929" s="643">
        <f>IFERROR(-AX923/AX922*AY3/AX3,"n/a")</f>
        <v/>
      </c>
      <c r="AY929" s="1114">
        <f>IFERROR(-AY923/AY922,"n/a")</f>
        <v/>
      </c>
      <c r="AZ929" s="643">
        <f>IFERROR(-AZ923/AZ922*BD3/AZ3,"n/a")</f>
        <v/>
      </c>
      <c r="BA929" s="643">
        <f>IFERROR(-BA923/BA922*BD3/BA3,"n/a")</f>
        <v/>
      </c>
      <c r="BB929" s="643">
        <f>IFERROR(-BB923/BB922*BD3/BB3,"n/a")</f>
        <v/>
      </c>
      <c r="BC929" s="643">
        <f>IFERROR(-BC923/BC922*BD3/BC3,"n/a")</f>
        <v/>
      </c>
      <c r="BD929" s="1114">
        <f>IFERROR(-BD923/BD922,"n/a")</f>
        <v/>
      </c>
      <c r="BE929" s="643">
        <f>IFERROR(-BE923/BE922*BI3/BE3,"n/a")</f>
        <v/>
      </c>
      <c r="BF929" s="643">
        <f>IFERROR(-BF923/BF922*BI3/BF3,"n/a")</f>
        <v/>
      </c>
      <c r="BG929" s="990">
        <f>IFERROR(-BG923/BG922*BI3/BG3,"n/a")</f>
        <v/>
      </c>
      <c r="BH929" s="643">
        <f>IFERROR(-BH923/BH922*BI3/BH3,"n/a")</f>
        <v/>
      </c>
      <c r="BI929" s="1114">
        <f>IFERROR(-BI923/BI922,"n/a")</f>
        <v/>
      </c>
      <c r="BJ929" s="643">
        <f>IFERROR(-BJ923/BJ922*BN3/BJ3,"n/a")</f>
        <v/>
      </c>
      <c r="BK929" s="643">
        <f>IFERROR(-BK923/BK922*BN3/BK3,"n/a")</f>
        <v/>
      </c>
      <c r="BL929" s="990">
        <f>IFERROR(-BL923/BL922*BN3/BL3,"n/a")</f>
        <v/>
      </c>
      <c r="BM929" s="643">
        <f>IFERROR(-BM923/BM922*BN3/BM3,"n/a")</f>
        <v/>
      </c>
      <c r="BN929" s="1114">
        <f>IFERROR(-BN923/BN922,"n/a")</f>
        <v/>
      </c>
      <c r="BO929" s="643">
        <f>IFERROR(-BO923/BO922*BS3/BO3,"n/a")</f>
        <v/>
      </c>
      <c r="BP929" s="643">
        <f>IFERROR(-BP923/BP922*BS3/BP3,"n/a")</f>
        <v/>
      </c>
      <c r="BQ929" s="990">
        <f>IFERROR(-BQ923/BQ922*BS3/BQ3,"n/a")</f>
        <v/>
      </c>
      <c r="BR929" s="643">
        <f>IFERROR(-BR923/BR922*BS3/BR3,"n/a")</f>
        <v/>
      </c>
      <c r="BS929" s="1114">
        <f>IFERROR(-BS923/BS922,"n/a")</f>
        <v/>
      </c>
      <c r="BT929" s="643">
        <f>IFERROR(-BT923/BT922*BX3/BT3,"n/a")</f>
        <v/>
      </c>
      <c r="BU929" s="643">
        <f>IFERROR(-BU923/BU922*BX3/BU3,"n/a")</f>
        <v/>
      </c>
      <c r="BV929" s="879">
        <f>IFERROR(-BV923/BV922*BX3/BV3,"n/a")</f>
        <v/>
      </c>
      <c r="BW929" s="1055" t="n">
        <v>0.3</v>
      </c>
      <c r="BX929" s="1114">
        <f>AVERAGE(BT929,BU929,BV929,BW929)</f>
        <v/>
      </c>
      <c r="BY929" s="1055" t="n">
        <v>0.3</v>
      </c>
      <c r="BZ929" s="1055" t="n">
        <v>0.3</v>
      </c>
      <c r="CA929" s="1055" t="n">
        <v>0.3</v>
      </c>
      <c r="CB929" s="1055" t="n">
        <v>0.3</v>
      </c>
      <c r="CC929" s="1114">
        <f>AVERAGE(BY929,BZ929,CA929,CB929)</f>
        <v/>
      </c>
      <c r="CD929" s="1116" t="n">
        <v>0.3</v>
      </c>
      <c r="CE929" s="1116" t="n">
        <v>0.3</v>
      </c>
      <c r="CF929" s="1116" t="n">
        <v>0.3</v>
      </c>
      <c r="CG929" s="155" t="n"/>
    </row>
    <row r="930">
      <c r="A930" s="600" t="inlineStr">
        <is>
          <t>Implied life of fixed assets, yr</t>
        </is>
      </c>
      <c r="B930" s="279" t="n"/>
      <c r="C930" s="1153" t="n"/>
      <c r="D930" s="1153">
        <f>IFERROR(-D916/D917,"n/a")</f>
        <v/>
      </c>
      <c r="E930" s="1153">
        <f>IFERROR(-E916/E917,"n/a")</f>
        <v/>
      </c>
      <c r="F930" s="1153">
        <f>IFERROR(-F916/F917,"n/a")</f>
        <v/>
      </c>
      <c r="G930" s="654">
        <f>IFERROR(-G916/G917*G3/K3,"n/a")</f>
        <v/>
      </c>
      <c r="H930" s="654">
        <f>IFERROR(-H916/H917*H3/K3,"n/a")</f>
        <v/>
      </c>
      <c r="I930" s="654">
        <f>IFERROR(-I916/I917*I3/K3,"n/a")</f>
        <v/>
      </c>
      <c r="J930" s="654">
        <f>IFERROR(-J916/J917*J3/K3,"n/a")</f>
        <v/>
      </c>
      <c r="K930" s="1153">
        <f>IFERROR(-K916/K917,"n/a")</f>
        <v/>
      </c>
      <c r="L930" s="654">
        <f>IFERROR(-L916/L917*L3/P3,"n/a")</f>
        <v/>
      </c>
      <c r="M930" s="654">
        <f>IFERROR(-M916/M917*M3/P3,"n/a")</f>
        <v/>
      </c>
      <c r="N930" s="654">
        <f>IFERROR(-N916/N917*N3/P3,"n/a")</f>
        <v/>
      </c>
      <c r="O930" s="654">
        <f>IFERROR(-O916/O917*O3/P3,"n/a")</f>
        <v/>
      </c>
      <c r="P930" s="1153">
        <f>IFERROR(-P916/P917,"n/a")</f>
        <v/>
      </c>
      <c r="Q930" s="654">
        <f>IFERROR(-Q916/Q917*Q3/U3,"n/a")</f>
        <v/>
      </c>
      <c r="R930" s="654">
        <f>IFERROR(-R916/R917*R3/U3,"n/a")</f>
        <v/>
      </c>
      <c r="S930" s="654">
        <f>IFERROR(-S916/S917*S3/U3,"n/a")</f>
        <v/>
      </c>
      <c r="T930" s="654">
        <f>IFERROR(-T916/T917*T3/U3,"n/a")</f>
        <v/>
      </c>
      <c r="U930" s="1153">
        <f>IFERROR(-U916/U917,"n/a")</f>
        <v/>
      </c>
      <c r="V930" s="654">
        <f>IFERROR(-V916/V917*V3/Z3,"n/a")</f>
        <v/>
      </c>
      <c r="W930" s="654">
        <f>IFERROR(-W916/W917*W3/Z3,"n/a")</f>
        <v/>
      </c>
      <c r="X930" s="654">
        <f>IFERROR(-X916/X917*X3/Z3,"n/a")</f>
        <v/>
      </c>
      <c r="Y930" s="654">
        <f>IFERROR(-Y916/Y917*Y3/Z3,"n/a")</f>
        <v/>
      </c>
      <c r="Z930" s="1153">
        <f>IFERROR(-Z916/Z917,"n/a")</f>
        <v/>
      </c>
      <c r="AA930" s="654">
        <f>IFERROR(-AA916/AA917*AA3/AE3,"n/a")</f>
        <v/>
      </c>
      <c r="AB930" s="654">
        <f>IFERROR(-AB916/AB917*AB3/AE3,"n/a")</f>
        <v/>
      </c>
      <c r="AC930" s="654">
        <f>IFERROR(-AC916/AC917*AC3/AE3,"n/a")</f>
        <v/>
      </c>
      <c r="AD930" s="654">
        <f>IFERROR(-AD916/AD917*AD3/AE3,"n/a")</f>
        <v/>
      </c>
      <c r="AE930" s="1153">
        <f>IFERROR(-AE916/AE917,"n/a")</f>
        <v/>
      </c>
      <c r="AF930" s="654">
        <f>IFERROR(-AF916/AF917*AF3/AJ3,"n/a")</f>
        <v/>
      </c>
      <c r="AG930" s="654">
        <f>IFERROR(-AG916/AG917*AG3/AJ3,"n/a")</f>
        <v/>
      </c>
      <c r="AH930" s="654">
        <f>IFERROR(-AH916/AH917*AH3/AJ3,"n/a")</f>
        <v/>
      </c>
      <c r="AI930" s="654">
        <f>IFERROR(-AI916/AI917*AI3/AJ3,"n/a")</f>
        <v/>
      </c>
      <c r="AJ930" s="1153">
        <f>IFERROR(-AJ916/AJ917,"n/a")</f>
        <v/>
      </c>
      <c r="AK930" s="654">
        <f>IFERROR(-AK916/AK917*AK3/AO3,"n/a")</f>
        <v/>
      </c>
      <c r="AL930" s="654">
        <f>IFERROR(-AL916/AL917*AL3/AO3,"n/a")</f>
        <v/>
      </c>
      <c r="AM930" s="654">
        <f>IFERROR(-AM916/AM917*AM3/AO3,"n/a")</f>
        <v/>
      </c>
      <c r="AN930" s="654">
        <f>IFERROR(-AN916/AN917*AN3/AO3,"n/a")</f>
        <v/>
      </c>
      <c r="AO930" s="1153">
        <f>IFERROR(-AO916/AO917,"n/a")</f>
        <v/>
      </c>
      <c r="AP930" s="654">
        <f>IFERROR(-AP916/AP917*AP3/AT3,"n/a")</f>
        <v/>
      </c>
      <c r="AQ930" s="654">
        <f>IFERROR(-AQ916/AQ917*AQ3/AT3,"n/a")</f>
        <v/>
      </c>
      <c r="AR930" s="654">
        <f>IFERROR(-AR916/AR917*AR3/AT3,"n/a")</f>
        <v/>
      </c>
      <c r="AS930" s="654">
        <f>IFERROR(-AS916/AS917*AS3/AT3,"n/a")</f>
        <v/>
      </c>
      <c r="AT930" s="1153">
        <f>IFERROR(-AT916/AT917,"n/a")</f>
        <v/>
      </c>
      <c r="AU930" s="654">
        <f>IFERROR(-AU916/AU917*AU3/AY3,"n/a")</f>
        <v/>
      </c>
      <c r="AV930" s="654">
        <f>IFERROR(-AV916/AV917*AV3/AY3,"n/a")</f>
        <v/>
      </c>
      <c r="AW930" s="654">
        <f>IFERROR(-AW916/AW917*AW3/AY3,"n/a")</f>
        <v/>
      </c>
      <c r="AX930" s="654">
        <f>IFERROR(-AX916/AX917*AX3/AY3,"n/a")</f>
        <v/>
      </c>
      <c r="AY930" s="1153">
        <f>IFERROR(-AY916/AY917,"n/a")</f>
        <v/>
      </c>
      <c r="AZ930" s="654">
        <f>IFERROR(-AZ916/AZ917*AZ3/BD3,"n/a")</f>
        <v/>
      </c>
      <c r="BA930" s="654">
        <f>IFERROR(-BA916/BA917*BA3/BD3,"n/a")</f>
        <v/>
      </c>
      <c r="BB930" s="654">
        <f>IFERROR(-BB916/BB917*BB3/BD3,"n/a")</f>
        <v/>
      </c>
      <c r="BC930" s="654">
        <f>IFERROR(-BC916/BC917*BC3/BD3,"n/a")</f>
        <v/>
      </c>
      <c r="BD930" s="1153">
        <f>IFERROR(-BD916/BD917,"n/a")</f>
        <v/>
      </c>
      <c r="BE930" s="654">
        <f>IFERROR(-BE916/BE917*BE3/BI3,"n/a")</f>
        <v/>
      </c>
      <c r="BF930" s="654">
        <f>IFERROR(-BF916/BF917*BF3/BI3,"n/a")</f>
        <v/>
      </c>
      <c r="BG930" s="654">
        <f>IFERROR(-BG916/BG917*BG3/BI3,"n/a")</f>
        <v/>
      </c>
      <c r="BH930" s="654">
        <f>IFERROR(-BH916/BH917*BH3/BI3,"n/a")</f>
        <v/>
      </c>
      <c r="BI930" s="1153">
        <f>IFERROR(-BI916/BI917,"n/a")</f>
        <v/>
      </c>
      <c r="BJ930" s="654">
        <f>IFERROR(-BJ916/BJ917*BJ3/BN3,"n/a")</f>
        <v/>
      </c>
      <c r="BK930" s="654">
        <f>IFERROR(-BK916/BK917*BK3/BN3,"n/a")</f>
        <v/>
      </c>
      <c r="BL930" s="654">
        <f>IFERROR(-BL916/BL917*BL3/BN3,"n/a")</f>
        <v/>
      </c>
      <c r="BM930" s="654">
        <f>IFERROR(-BM916/BM917*BM3/BN3,"n/a")</f>
        <v/>
      </c>
      <c r="BN930" s="1153">
        <f>IFERROR(-BN916/BN917,"n/a")</f>
        <v/>
      </c>
      <c r="BO930" s="654">
        <f>IFERROR(-BO916/BO917*BO3/BS3,"n/a")</f>
        <v/>
      </c>
      <c r="BP930" s="654">
        <f>IFERROR(-BP916/BP917*BP3/BS3,"n/a")</f>
        <v/>
      </c>
      <c r="BQ930" s="654">
        <f>IFERROR(-BQ916/BQ917*BQ3/BS3,"n/a")</f>
        <v/>
      </c>
      <c r="BR930" s="654">
        <f>IFERROR(-BR916/BR917*BR3/BS3,"n/a")</f>
        <v/>
      </c>
      <c r="BS930" s="1153">
        <f>IFERROR(-BS916/BS917,"n/a")</f>
        <v/>
      </c>
      <c r="BT930" s="654">
        <f>IFERROR(-BT916/BT917*BT3/BX3,"n/a")</f>
        <v/>
      </c>
      <c r="BU930" s="654">
        <f>IFERROR(-BU916/BU917*BU3/BX3,"n/a")</f>
        <v/>
      </c>
      <c r="BV930" s="928">
        <f>IFERROR(-BV916/BV917*BV3/BX3,"n/a")</f>
        <v/>
      </c>
      <c r="BW930" s="654">
        <f>IFERROR(-BW916/BW917*BW3/BX3,"n/a")</f>
        <v/>
      </c>
      <c r="BX930" s="1153">
        <f>AVERAGE(BT930,BU930,BV930,BW930)</f>
        <v/>
      </c>
      <c r="BY930" s="654">
        <f>IFERROR(-BY916/BY917*BY3/CC3,"n/a")</f>
        <v/>
      </c>
      <c r="BZ930" s="654">
        <f>IFERROR(-BZ916/BZ917*BZ3/CC3,"n/a")</f>
        <v/>
      </c>
      <c r="CA930" s="654">
        <f>IFERROR(-CA916/CA917*CA3/CC3,"n/a")</f>
        <v/>
      </c>
      <c r="CB930" s="654">
        <f>IFERROR(-CB916/CB917*CB3/CC3,"n/a")</f>
        <v/>
      </c>
      <c r="CC930" s="1153">
        <f>AVERAGE(BY930,BZ930,CA930,CB930)</f>
        <v/>
      </c>
      <c r="CD930" s="1153">
        <f>IFERROR(-CD916/CD917,"n/a")</f>
        <v/>
      </c>
      <c r="CE930" s="1153">
        <f>IFERROR(-CE916/CE917,"n/a")</f>
        <v/>
      </c>
      <c r="CF930" s="1153">
        <f>IFERROR(-CF916/CF917,"n/a")</f>
        <v/>
      </c>
      <c r="CG930" s="155" t="n"/>
    </row>
    <row r="931">
      <c r="A931" s="600" t="inlineStr">
        <is>
          <t>Implied life of intangibles, yr</t>
        </is>
      </c>
      <c r="B931" s="279" t="n"/>
      <c r="C931" s="1153" t="n"/>
      <c r="D931" s="1153">
        <f>IFERROR(-D922/D923,"n/a")</f>
        <v/>
      </c>
      <c r="E931" s="1153">
        <f>IFERROR(-E922/E923,"n/a")</f>
        <v/>
      </c>
      <c r="F931" s="1153">
        <f>IFERROR(-F922/F923,"n/a")</f>
        <v/>
      </c>
      <c r="G931" s="654">
        <f>IFERROR(-G922/G923*G3/K3,"n/a")</f>
        <v/>
      </c>
      <c r="H931" s="654">
        <f>IFERROR(-H922/H923*H3/K3,"n/a")</f>
        <v/>
      </c>
      <c r="I931" s="654">
        <f>IFERROR(-I922/I923*I3/K3,"n/a")</f>
        <v/>
      </c>
      <c r="J931" s="654">
        <f>IFERROR(-J922/J923*J3/K3,"n/a")</f>
        <v/>
      </c>
      <c r="K931" s="1153">
        <f>IFERROR(-K922/K923,"n/a")</f>
        <v/>
      </c>
      <c r="L931" s="654">
        <f>IFERROR(-L922/L923*L3/P3,"n/a")</f>
        <v/>
      </c>
      <c r="M931" s="654">
        <f>IFERROR(-M922/M923*M3/P3,"n/a")</f>
        <v/>
      </c>
      <c r="N931" s="654">
        <f>IFERROR(-N922/N923*N3/P3,"n/a")</f>
        <v/>
      </c>
      <c r="O931" s="654">
        <f>IFERROR(-O922/O923*O3/P3,"n/a")</f>
        <v/>
      </c>
      <c r="P931" s="1153">
        <f>IFERROR(-P922/P923,"n/a")</f>
        <v/>
      </c>
      <c r="Q931" s="654">
        <f>IFERROR(-Q922/Q923*Q3/U3,"n/a")</f>
        <v/>
      </c>
      <c r="R931" s="654">
        <f>IFERROR(-R922/R923*R3/U3,"n/a")</f>
        <v/>
      </c>
      <c r="S931" s="654">
        <f>IFERROR(-S922/S923*S3/U3,"n/a")</f>
        <v/>
      </c>
      <c r="T931" s="654">
        <f>IFERROR(-T922/T923*T3/U3,"n/a")</f>
        <v/>
      </c>
      <c r="U931" s="1153">
        <f>IFERROR(-U922/U923,"n/a")</f>
        <v/>
      </c>
      <c r="V931" s="654">
        <f>IFERROR(-V922/V923*V3/Z3,"n/a")</f>
        <v/>
      </c>
      <c r="W931" s="654">
        <f>IFERROR(-W922/W923*W3/Z3,"n/a")</f>
        <v/>
      </c>
      <c r="X931" s="654">
        <f>IFERROR(-X922/X923*X3/Z3,"n/a")</f>
        <v/>
      </c>
      <c r="Y931" s="654">
        <f>IFERROR(-Y922/Y923*Y3/Z3,"n/a")</f>
        <v/>
      </c>
      <c r="Z931" s="1153">
        <f>IFERROR(-Z922/Z923,"n/a")</f>
        <v/>
      </c>
      <c r="AA931" s="654">
        <f>IFERROR(-AA922/AA923*AA3/AE3,"n/a")</f>
        <v/>
      </c>
      <c r="AB931" s="654">
        <f>IFERROR(-AB922/AB923*AB3/AE3,"n/a")</f>
        <v/>
      </c>
      <c r="AC931" s="654">
        <f>IFERROR(-AC922/AC923*AC3/AE3,"n/a")</f>
        <v/>
      </c>
      <c r="AD931" s="654">
        <f>IFERROR(-AD922/AD923*AD3/AE3,"n/a")</f>
        <v/>
      </c>
      <c r="AE931" s="1153">
        <f>IFERROR(-AE922/AE923,"n/a")</f>
        <v/>
      </c>
      <c r="AF931" s="654">
        <f>IFERROR(-AF922/AF923*AF3/AJ3,"n/a")</f>
        <v/>
      </c>
      <c r="AG931" s="654">
        <f>IFERROR(-AG922/AG923*AG3/AJ3,"n/a")</f>
        <v/>
      </c>
      <c r="AH931" s="654">
        <f>IFERROR(-AH922/AH923*AH3/AJ3,"n/a")</f>
        <v/>
      </c>
      <c r="AI931" s="654">
        <f>IFERROR(-AI922/AI923*AI3/AJ3,"n/a")</f>
        <v/>
      </c>
      <c r="AJ931" s="1153">
        <f>IFERROR(-AJ922/AJ923,"n/a")</f>
        <v/>
      </c>
      <c r="AK931" s="654">
        <f>IFERROR(-AK922/AK923*AK3/AO3,"n/a")</f>
        <v/>
      </c>
      <c r="AL931" s="654">
        <f>IFERROR(-AL922/AL923*AL3/AO3,"n/a")</f>
        <v/>
      </c>
      <c r="AM931" s="654">
        <f>IFERROR(-AM922/AM923*AM3/AO3,"n/a")</f>
        <v/>
      </c>
      <c r="AN931" s="654">
        <f>IFERROR(-AN922/AN923*AN3/AO3,"n/a")</f>
        <v/>
      </c>
      <c r="AO931" s="1153">
        <f>IFERROR(-AO922/AO923,"n/a")</f>
        <v/>
      </c>
      <c r="AP931" s="654">
        <f>IFERROR(-AP922/AP923*AP3/AT3,"n/a")</f>
        <v/>
      </c>
      <c r="AQ931" s="654">
        <f>IFERROR(-AQ922/AQ923*AQ3/AT3,"n/a")</f>
        <v/>
      </c>
      <c r="AR931" s="654">
        <f>IFERROR(-AR922/AR923*AR3/AT3,"n/a")</f>
        <v/>
      </c>
      <c r="AS931" s="654">
        <f>IFERROR(-AS922/AS923*AS3/AT3,"n/a")</f>
        <v/>
      </c>
      <c r="AT931" s="1153">
        <f>IFERROR(-AT922/AT923,"n/a")</f>
        <v/>
      </c>
      <c r="AU931" s="654">
        <f>IFERROR(-AU922/AU923*AU3/AY3,"n/a")</f>
        <v/>
      </c>
      <c r="AV931" s="654">
        <f>IFERROR(-AV922/AV923*AV3/AY3,"n/a")</f>
        <v/>
      </c>
      <c r="AW931" s="654">
        <f>IFERROR(-AW922/AW923*AW3/AY3,"n/a")</f>
        <v/>
      </c>
      <c r="AX931" s="654">
        <f>IFERROR(-AX922/AX923*AX3/AY3,"n/a")</f>
        <v/>
      </c>
      <c r="AY931" s="1153">
        <f>IFERROR(-AY922/AY923,"n/a")</f>
        <v/>
      </c>
      <c r="AZ931" s="654">
        <f>IFERROR(-AZ922/AZ923*AZ3/BD3,"n/a")</f>
        <v/>
      </c>
      <c r="BA931" s="654">
        <f>IFERROR(-BA922/BA923*BA3/BD3,"n/a")</f>
        <v/>
      </c>
      <c r="BB931" s="654">
        <f>IFERROR(-BB922/BB923*BB3/BD3,"n/a")</f>
        <v/>
      </c>
      <c r="BC931" s="654">
        <f>IFERROR(-BC922/BC923*BC3/BD3,"n/a")</f>
        <v/>
      </c>
      <c r="BD931" s="1153">
        <f>IFERROR(-BD922/BD923,"n/a")</f>
        <v/>
      </c>
      <c r="BE931" s="654">
        <f>IFERROR(-BE922/BE923*BE3/BI3,"n/a")</f>
        <v/>
      </c>
      <c r="BF931" s="654">
        <f>IFERROR(-BF922/BF923*BF3/BI3,"n/a")</f>
        <v/>
      </c>
      <c r="BG931" s="654">
        <f>IFERROR(-BG922/BG923*BG3/BI3,"n/a")</f>
        <v/>
      </c>
      <c r="BH931" s="654">
        <f>IFERROR(-BH922/BH923*BH3/BI3,"n/a")</f>
        <v/>
      </c>
      <c r="BI931" s="1153">
        <f>IFERROR(-BI922/BI923,"n/a")</f>
        <v/>
      </c>
      <c r="BJ931" s="654">
        <f>IFERROR(-BJ922/BJ923*BJ3/BN3,"n/a")</f>
        <v/>
      </c>
      <c r="BK931" s="654">
        <f>IFERROR(-BK922/BK923*BK3/BN3,"n/a")</f>
        <v/>
      </c>
      <c r="BL931" s="654">
        <f>IFERROR(-BL922/BL923*BL3/BN3,"n/a")</f>
        <v/>
      </c>
      <c r="BM931" s="654">
        <f>IFERROR(-BM922/BM923*BM3/BN3,"n/a")</f>
        <v/>
      </c>
      <c r="BN931" s="1153">
        <f>IFERROR(-BN922/BN923,"n/a")</f>
        <v/>
      </c>
      <c r="BO931" s="654">
        <f>IFERROR(-BO922/BO923*BO3/BS3,"n/a")</f>
        <v/>
      </c>
      <c r="BP931" s="654">
        <f>IFERROR(-BP922/BP923*BP3/BS3,"n/a")</f>
        <v/>
      </c>
      <c r="BQ931" s="654">
        <f>IFERROR(-BQ922/BQ923*BQ3/BS3,"n/a")</f>
        <v/>
      </c>
      <c r="BR931" s="654">
        <f>IFERROR(-BR922/BR923*BR3/BS3,"n/a")</f>
        <v/>
      </c>
      <c r="BS931" s="1153">
        <f>IFERROR(-BS922/BS923,"n/a")</f>
        <v/>
      </c>
      <c r="BT931" s="654">
        <f>IFERROR(-BT922/BT923*BT3/BX3,"n/a")</f>
        <v/>
      </c>
      <c r="BU931" s="654">
        <f>IFERROR(-BU922/BU923*BU3/BX3,"n/a")</f>
        <v/>
      </c>
      <c r="BV931" s="928">
        <f>IFERROR(-BV922/BV923*BV3/BX3,"n/a")</f>
        <v/>
      </c>
      <c r="BW931" s="654">
        <f>IFERROR(-BW922/BW923*BW3/BX3,"n/a")</f>
        <v/>
      </c>
      <c r="BX931" s="1153">
        <f>AVERAGE(BT931,BU931,BV931,BW931)</f>
        <v/>
      </c>
      <c r="BY931" s="654">
        <f>IFERROR(-BY922/BY923*BY3/CC3,"n/a")</f>
        <v/>
      </c>
      <c r="BZ931" s="654">
        <f>IFERROR(-BZ922/BZ923*BZ3/CC3,"n/a")</f>
        <v/>
      </c>
      <c r="CA931" s="654">
        <f>IFERROR(-CA922/CA923*CA3/CC3,"n/a")</f>
        <v/>
      </c>
      <c r="CB931" s="654">
        <f>IFERROR(-CB922/CB923*CB3/CC3,"n/a")</f>
        <v/>
      </c>
      <c r="CC931" s="1153">
        <f>AVERAGE(BY931,BZ931,CA931,CB931)</f>
        <v/>
      </c>
      <c r="CD931" s="1153">
        <f>IFERROR(-CD922/CD923,"n/a")</f>
        <v/>
      </c>
      <c r="CE931" s="1153">
        <f>IFERROR(-CE922/CE923,"n/a")</f>
        <v/>
      </c>
      <c r="CF931" s="1153">
        <f>IFERROR(-CF922/CF923,"n/a")</f>
        <v/>
      </c>
      <c r="CG931" s="155" t="n"/>
    </row>
    <row r="932">
      <c r="A932" s="99" t="n"/>
      <c r="B932" s="146" t="n"/>
      <c r="C932" s="1151" t="n"/>
      <c r="D932" s="1151" t="n"/>
      <c r="E932" s="1151" t="n"/>
      <c r="F932" s="1151" t="n"/>
      <c r="G932" s="563" t="n"/>
      <c r="H932" s="563" t="n"/>
      <c r="I932" s="563" t="n"/>
      <c r="J932" s="563" t="n"/>
      <c r="K932" s="1151" t="n"/>
      <c r="L932" s="563" t="n"/>
      <c r="M932" s="563" t="n"/>
      <c r="N932" s="563" t="n"/>
      <c r="O932" s="563" t="n"/>
      <c r="P932" s="1151" t="n"/>
      <c r="Q932" s="563" t="n"/>
      <c r="R932" s="563" t="n"/>
      <c r="S932" s="563" t="n"/>
      <c r="T932" s="563" t="n"/>
      <c r="U932" s="1151" t="n"/>
      <c r="V932" s="563" t="n"/>
      <c r="W932" s="563" t="n"/>
      <c r="X932" s="563" t="n"/>
      <c r="Y932" s="563" t="n"/>
      <c r="Z932" s="1151" t="n"/>
      <c r="AA932" s="563" t="n"/>
      <c r="AB932" s="563" t="n"/>
      <c r="AC932" s="563" t="n"/>
      <c r="AD932" s="563" t="n"/>
      <c r="AE932" s="1151" t="n"/>
      <c r="AF932" s="563" t="n"/>
      <c r="AG932" s="563" t="n"/>
      <c r="AH932" s="563" t="n"/>
      <c r="AI932" s="563" t="n"/>
      <c r="AJ932" s="1151" t="n"/>
      <c r="AK932" s="563" t="n"/>
      <c r="AL932" s="563" t="n"/>
      <c r="AM932" s="563" t="n"/>
      <c r="AN932" s="563" t="n"/>
      <c r="AO932" s="1151" t="n"/>
      <c r="AP932" s="563" t="n"/>
      <c r="AQ932" s="563" t="n"/>
      <c r="AR932" s="563" t="n"/>
      <c r="AS932" s="563" t="n"/>
      <c r="AT932" s="1151" t="n"/>
      <c r="AU932" s="563" t="n"/>
      <c r="AV932" s="563" t="n"/>
      <c r="AW932" s="563" t="n"/>
      <c r="AX932" s="563" t="n"/>
      <c r="AY932" s="1151" t="n"/>
      <c r="AZ932" s="563" t="n"/>
      <c r="BA932" s="563" t="n"/>
      <c r="BB932" s="563" t="n"/>
      <c r="BC932" s="563" t="n"/>
      <c r="BD932" s="1151" t="n"/>
      <c r="BE932" s="563" t="n"/>
      <c r="BF932" s="563" t="n"/>
      <c r="BG932" s="563" t="n"/>
      <c r="BH932" s="563" t="n"/>
      <c r="BI932" s="1151" t="n"/>
      <c r="BJ932" s="563" t="n"/>
      <c r="BK932" s="563" t="n"/>
      <c r="BL932" s="563" t="n"/>
      <c r="BM932" s="563" t="n"/>
      <c r="BN932" s="1151" t="n"/>
      <c r="BO932" s="563" t="n"/>
      <c r="BP932" s="563" t="n"/>
      <c r="BQ932" s="563" t="n"/>
      <c r="BR932" s="563" t="n"/>
      <c r="BS932" s="1151" t="n"/>
      <c r="BT932" s="563" t="n"/>
      <c r="BU932" s="563" t="n"/>
      <c r="BV932" s="731" t="n"/>
      <c r="BW932" s="563" t="n"/>
      <c r="BX932" s="1151" t="n"/>
      <c r="BY932" s="563" t="n"/>
      <c r="BZ932" s="563" t="n"/>
      <c r="CA932" s="563" t="n"/>
      <c r="CB932" s="563" t="n"/>
      <c r="CC932" s="1151" t="n"/>
      <c r="CD932" s="1151" t="n"/>
      <c r="CE932" s="1151" t="n"/>
      <c r="CF932" s="1151" t="n"/>
      <c r="CG932" s="155" t="n"/>
    </row>
    <row r="933">
      <c r="A933" s="600" t="inlineStr">
        <is>
          <t>D&amp;A of PPE and Intangibles, mm</t>
        </is>
      </c>
      <c r="B933" s="279" t="n"/>
      <c r="C933" s="1153">
        <f>C119</f>
        <v/>
      </c>
      <c r="D933" s="1153">
        <f>D119</f>
        <v/>
      </c>
      <c r="E933" s="1153">
        <f>E119</f>
        <v/>
      </c>
      <c r="F933" s="1153">
        <f>F119</f>
        <v/>
      </c>
      <c r="G933" s="654">
        <f>G119</f>
        <v/>
      </c>
      <c r="H933" s="654">
        <f>H119</f>
        <v/>
      </c>
      <c r="I933" s="654">
        <f>I119</f>
        <v/>
      </c>
      <c r="J933" s="654">
        <f>J119</f>
        <v/>
      </c>
      <c r="K933" s="1153">
        <f>K119</f>
        <v/>
      </c>
      <c r="L933" s="654">
        <f>L119</f>
        <v/>
      </c>
      <c r="M933" s="654">
        <f>M119</f>
        <v/>
      </c>
      <c r="N933" s="654">
        <f>N119</f>
        <v/>
      </c>
      <c r="O933" s="654">
        <f>O119</f>
        <v/>
      </c>
      <c r="P933" s="1153">
        <f>P119</f>
        <v/>
      </c>
      <c r="Q933" s="654">
        <f>Q119</f>
        <v/>
      </c>
      <c r="R933" s="654">
        <f>R119</f>
        <v/>
      </c>
      <c r="S933" s="654">
        <f>S119</f>
        <v/>
      </c>
      <c r="T933" s="654">
        <f>T119</f>
        <v/>
      </c>
      <c r="U933" s="1153">
        <f>U119</f>
        <v/>
      </c>
      <c r="V933" s="654">
        <f>V119</f>
        <v/>
      </c>
      <c r="W933" s="654">
        <f>W119</f>
        <v/>
      </c>
      <c r="X933" s="654">
        <f>X119</f>
        <v/>
      </c>
      <c r="Y933" s="654">
        <f>Y119</f>
        <v/>
      </c>
      <c r="Z933" s="1153">
        <f>Z119</f>
        <v/>
      </c>
      <c r="AA933" s="654">
        <f>AA119</f>
        <v/>
      </c>
      <c r="AB933" s="654">
        <f>AB119</f>
        <v/>
      </c>
      <c r="AC933" s="654">
        <f>AC119</f>
        <v/>
      </c>
      <c r="AD933" s="654">
        <f>AD119</f>
        <v/>
      </c>
      <c r="AE933" s="1153">
        <f>AE119</f>
        <v/>
      </c>
      <c r="AF933" s="654">
        <f>AF119</f>
        <v/>
      </c>
      <c r="AG933" s="654">
        <f>AG119</f>
        <v/>
      </c>
      <c r="AH933" s="654">
        <f>AH119</f>
        <v/>
      </c>
      <c r="AI933" s="654">
        <f>AI119</f>
        <v/>
      </c>
      <c r="AJ933" s="1153">
        <f>AJ119</f>
        <v/>
      </c>
      <c r="AK933" s="654">
        <f>AK119</f>
        <v/>
      </c>
      <c r="AL933" s="654">
        <f>AL119</f>
        <v/>
      </c>
      <c r="AM933" s="654">
        <f>AM119</f>
        <v/>
      </c>
      <c r="AN933" s="654">
        <f>AN119</f>
        <v/>
      </c>
      <c r="AO933" s="1153">
        <f>AO119</f>
        <v/>
      </c>
      <c r="AP933" s="654">
        <f>AP119</f>
        <v/>
      </c>
      <c r="AQ933" s="654">
        <f>AQ119</f>
        <v/>
      </c>
      <c r="AR933" s="654">
        <f>AR119</f>
        <v/>
      </c>
      <c r="AS933" s="654">
        <f>AS119</f>
        <v/>
      </c>
      <c r="AT933" s="1153">
        <f>AT119</f>
        <v/>
      </c>
      <c r="AU933" s="654">
        <f>AU119</f>
        <v/>
      </c>
      <c r="AV933" s="654">
        <f>AV119</f>
        <v/>
      </c>
      <c r="AW933" s="654">
        <f>AW119</f>
        <v/>
      </c>
      <c r="AX933" s="654">
        <f>AX119</f>
        <v/>
      </c>
      <c r="AY933" s="1153">
        <f>AY119</f>
        <v/>
      </c>
      <c r="AZ933" s="654">
        <f>AZ119</f>
        <v/>
      </c>
      <c r="BA933" s="654">
        <f>BA119</f>
        <v/>
      </c>
      <c r="BB933" s="654">
        <f>BB119</f>
        <v/>
      </c>
      <c r="BC933" s="654">
        <f>BC119</f>
        <v/>
      </c>
      <c r="BD933" s="1153">
        <f>BD119</f>
        <v/>
      </c>
      <c r="BE933" s="654">
        <f>BE119</f>
        <v/>
      </c>
      <c r="BF933" s="654">
        <f>BF119</f>
        <v/>
      </c>
      <c r="BG933" s="654">
        <f>BG119</f>
        <v/>
      </c>
      <c r="BH933" s="654">
        <f>BH119</f>
        <v/>
      </c>
      <c r="BI933" s="1153">
        <f>BI119</f>
        <v/>
      </c>
      <c r="BJ933" s="654">
        <f>BJ119</f>
        <v/>
      </c>
      <c r="BK933" s="654">
        <f>BK119</f>
        <v/>
      </c>
      <c r="BL933" s="654">
        <f>BL119</f>
        <v/>
      </c>
      <c r="BM933" s="654">
        <f>BM119</f>
        <v/>
      </c>
      <c r="BN933" s="1153">
        <f>BN119</f>
        <v/>
      </c>
      <c r="BO933" s="654">
        <f>BO119</f>
        <v/>
      </c>
      <c r="BP933" s="654">
        <f>BP119</f>
        <v/>
      </c>
      <c r="BQ933" s="654">
        <f>BQ119</f>
        <v/>
      </c>
      <c r="BR933" s="654">
        <f>BR119</f>
        <v/>
      </c>
      <c r="BS933" s="1153">
        <f>BS119</f>
        <v/>
      </c>
      <c r="BT933" s="654">
        <f>BT119</f>
        <v/>
      </c>
      <c r="BU933" s="654">
        <f>BU119</f>
        <v/>
      </c>
      <c r="BV933" s="928">
        <f>BV119</f>
        <v/>
      </c>
      <c r="BW933" s="654">
        <f>BW119</f>
        <v/>
      </c>
      <c r="BX933" s="1153">
        <f>BX119</f>
        <v/>
      </c>
      <c r="BY933" s="654">
        <f>BY119</f>
        <v/>
      </c>
      <c r="BZ933" s="654">
        <f>BZ119</f>
        <v/>
      </c>
      <c r="CA933" s="654">
        <f>CA119</f>
        <v/>
      </c>
      <c r="CB933" s="654">
        <f>CB119</f>
        <v/>
      </c>
      <c r="CC933" s="1153">
        <f>CC119</f>
        <v/>
      </c>
      <c r="CD933" s="1153">
        <f>CD119</f>
        <v/>
      </c>
      <c r="CE933" s="1153">
        <f>CE119</f>
        <v/>
      </c>
      <c r="CF933" s="1153">
        <f>CF119</f>
        <v/>
      </c>
      <c r="CG933" s="155" t="n"/>
    </row>
    <row r="934">
      <c r="A934" s="600" t="inlineStr">
        <is>
          <t>Capex of PPE and Intangibles, mm</t>
        </is>
      </c>
      <c r="B934" s="279" t="n"/>
      <c r="C934" s="1153">
        <f>-C701</f>
        <v/>
      </c>
      <c r="D934" s="1153">
        <f>-D701</f>
        <v/>
      </c>
      <c r="E934" s="1153">
        <f>-E701</f>
        <v/>
      </c>
      <c r="F934" s="1153">
        <f>-F701</f>
        <v/>
      </c>
      <c r="G934" s="654">
        <f>-G701</f>
        <v/>
      </c>
      <c r="H934" s="654">
        <f>-H701</f>
        <v/>
      </c>
      <c r="I934" s="654">
        <f>-I701</f>
        <v/>
      </c>
      <c r="J934" s="654">
        <f>-J701</f>
        <v/>
      </c>
      <c r="K934" s="1153">
        <f>-K701</f>
        <v/>
      </c>
      <c r="L934" s="654">
        <f>-L701</f>
        <v/>
      </c>
      <c r="M934" s="654">
        <f>-M701</f>
        <v/>
      </c>
      <c r="N934" s="654">
        <f>-N701</f>
        <v/>
      </c>
      <c r="O934" s="654">
        <f>-O701</f>
        <v/>
      </c>
      <c r="P934" s="1153">
        <f>-P701</f>
        <v/>
      </c>
      <c r="Q934" s="654">
        <f>-Q701</f>
        <v/>
      </c>
      <c r="R934" s="654">
        <f>-R701</f>
        <v/>
      </c>
      <c r="S934" s="654">
        <f>-S701</f>
        <v/>
      </c>
      <c r="T934" s="654">
        <f>-T701</f>
        <v/>
      </c>
      <c r="U934" s="1153">
        <f>-U701</f>
        <v/>
      </c>
      <c r="V934" s="654">
        <f>-V701</f>
        <v/>
      </c>
      <c r="W934" s="654">
        <f>-W701</f>
        <v/>
      </c>
      <c r="X934" s="654">
        <f>-X701</f>
        <v/>
      </c>
      <c r="Y934" s="654">
        <f>-Y701</f>
        <v/>
      </c>
      <c r="Z934" s="1153">
        <f>-Z701</f>
        <v/>
      </c>
      <c r="AA934" s="654">
        <f>-AA701</f>
        <v/>
      </c>
      <c r="AB934" s="654">
        <f>-AB701</f>
        <v/>
      </c>
      <c r="AC934" s="654">
        <f>-AC701</f>
        <v/>
      </c>
      <c r="AD934" s="654">
        <f>-AD701</f>
        <v/>
      </c>
      <c r="AE934" s="1153">
        <f>-AE701</f>
        <v/>
      </c>
      <c r="AF934" s="654">
        <f>-AF701</f>
        <v/>
      </c>
      <c r="AG934" s="654">
        <f>-AG701</f>
        <v/>
      </c>
      <c r="AH934" s="654">
        <f>-AH701</f>
        <v/>
      </c>
      <c r="AI934" s="654">
        <f>-AI701</f>
        <v/>
      </c>
      <c r="AJ934" s="1153">
        <f>-AJ701</f>
        <v/>
      </c>
      <c r="AK934" s="654">
        <f>-AK701</f>
        <v/>
      </c>
      <c r="AL934" s="654">
        <f>-AL701</f>
        <v/>
      </c>
      <c r="AM934" s="654">
        <f>-AM701</f>
        <v/>
      </c>
      <c r="AN934" s="654">
        <f>-AN701</f>
        <v/>
      </c>
      <c r="AO934" s="1153">
        <f>-AO701</f>
        <v/>
      </c>
      <c r="AP934" s="654">
        <f>-AP701</f>
        <v/>
      </c>
      <c r="AQ934" s="654">
        <f>-AQ701</f>
        <v/>
      </c>
      <c r="AR934" s="654">
        <f>-AR701</f>
        <v/>
      </c>
      <c r="AS934" s="654">
        <f>-AS701</f>
        <v/>
      </c>
      <c r="AT934" s="1153">
        <f>-AT701</f>
        <v/>
      </c>
      <c r="AU934" s="654">
        <f>-AU701</f>
        <v/>
      </c>
      <c r="AV934" s="654">
        <f>-AV701</f>
        <v/>
      </c>
      <c r="AW934" s="654">
        <f>-AW701</f>
        <v/>
      </c>
      <c r="AX934" s="654">
        <f>-AX701</f>
        <v/>
      </c>
      <c r="AY934" s="1153">
        <f>-AY701</f>
        <v/>
      </c>
      <c r="AZ934" s="654">
        <f>-AZ701</f>
        <v/>
      </c>
      <c r="BA934" s="654">
        <f>-BA701</f>
        <v/>
      </c>
      <c r="BB934" s="654">
        <f>-BB701</f>
        <v/>
      </c>
      <c r="BC934" s="654">
        <f>-BC701</f>
        <v/>
      </c>
      <c r="BD934" s="1153">
        <f>-BD701</f>
        <v/>
      </c>
      <c r="BE934" s="654">
        <f>-BE701</f>
        <v/>
      </c>
      <c r="BF934" s="654">
        <f>-BF701</f>
        <v/>
      </c>
      <c r="BG934" s="654">
        <f>-BG701</f>
        <v/>
      </c>
      <c r="BH934" s="654">
        <f>-BH701</f>
        <v/>
      </c>
      <c r="BI934" s="1153">
        <f>-BI701</f>
        <v/>
      </c>
      <c r="BJ934" s="654">
        <f>-BJ701</f>
        <v/>
      </c>
      <c r="BK934" s="654">
        <f>-BK701</f>
        <v/>
      </c>
      <c r="BL934" s="654">
        <f>-BL701</f>
        <v/>
      </c>
      <c r="BM934" s="654">
        <f>-BM701</f>
        <v/>
      </c>
      <c r="BN934" s="1153">
        <f>-BN701</f>
        <v/>
      </c>
      <c r="BO934" s="654">
        <f>-BO701</f>
        <v/>
      </c>
      <c r="BP934" s="654">
        <f>-BP701</f>
        <v/>
      </c>
      <c r="BQ934" s="654">
        <f>-BQ701</f>
        <v/>
      </c>
      <c r="BR934" s="654">
        <f>-BR701</f>
        <v/>
      </c>
      <c r="BS934" s="1153">
        <f>-BS701</f>
        <v/>
      </c>
      <c r="BT934" s="654">
        <f>-BT701</f>
        <v/>
      </c>
      <c r="BU934" s="654">
        <f>-BU701</f>
        <v/>
      </c>
      <c r="BV934" s="928">
        <f>-BV701</f>
        <v/>
      </c>
      <c r="BW934" s="654">
        <f>-BW701</f>
        <v/>
      </c>
      <c r="BX934" s="1153">
        <f>-BX701</f>
        <v/>
      </c>
      <c r="BY934" s="654">
        <f>-BY701</f>
        <v/>
      </c>
      <c r="BZ934" s="654">
        <f>-BZ701</f>
        <v/>
      </c>
      <c r="CA934" s="654">
        <f>-CA701</f>
        <v/>
      </c>
      <c r="CB934" s="654">
        <f>-CB701</f>
        <v/>
      </c>
      <c r="CC934" s="1153">
        <f>-CC701</f>
        <v/>
      </c>
      <c r="CD934" s="1153">
        <f>-CD701</f>
        <v/>
      </c>
      <c r="CE934" s="1153">
        <f>-CE701</f>
        <v/>
      </c>
      <c r="CF934" s="1153">
        <f>-CF701</f>
        <v/>
      </c>
      <c r="CG934" s="155" t="n"/>
    </row>
    <row r="935" hidden="1" outlineLevel="1">
      <c r="A935" s="655" t="inlineStr">
        <is>
          <t>Percentage of capex allocated to intangible assets, %</t>
        </is>
      </c>
      <c r="B935" s="102" t="n"/>
      <c r="C935" s="1114" t="n"/>
      <c r="D935" s="1114" t="n"/>
      <c r="E935" s="1114" t="n"/>
      <c r="F935" s="1114" t="n"/>
      <c r="G935" s="643" t="n"/>
      <c r="H935" s="643" t="n"/>
      <c r="I935" s="643" t="n"/>
      <c r="J935" s="643" t="n"/>
      <c r="K935" s="1114" t="n"/>
      <c r="L935" s="643" t="n"/>
      <c r="M935" s="643" t="n"/>
      <c r="N935" s="643" t="n"/>
      <c r="O935" s="643" t="n"/>
      <c r="P935" s="1114" t="n"/>
      <c r="Q935" s="643" t="n"/>
      <c r="R935" s="643" t="n"/>
      <c r="S935" s="643" t="n"/>
      <c r="T935" s="643" t="n"/>
      <c r="U935" s="1114" t="n"/>
      <c r="V935" s="643" t="n"/>
      <c r="W935" s="643" t="n"/>
      <c r="X935" s="643" t="n"/>
      <c r="Y935" s="643" t="n"/>
      <c r="Z935" s="1114" t="n"/>
      <c r="AA935" s="643" t="n"/>
      <c r="AB935" s="643" t="n"/>
      <c r="AC935" s="643" t="n"/>
      <c r="AD935" s="643" t="n"/>
      <c r="AE935" s="1114" t="n"/>
      <c r="AF935" s="643" t="n"/>
      <c r="AG935" s="643" t="n"/>
      <c r="AH935" s="643" t="n"/>
      <c r="AI935" s="643" t="n"/>
      <c r="AJ935" s="1114" t="n"/>
      <c r="AK935" s="643" t="n"/>
      <c r="AL935" s="643" t="n"/>
      <c r="AM935" s="643" t="n"/>
      <c r="AN935" s="643" t="n"/>
      <c r="AO935" s="1114" t="n"/>
      <c r="AP935" s="643" t="n"/>
      <c r="AQ935" s="643" t="n"/>
      <c r="AR935" s="643" t="n"/>
      <c r="AS935" s="643" t="n"/>
      <c r="AT935" s="1114" t="n"/>
      <c r="AU935" s="643" t="n"/>
      <c r="AV935" s="643" t="n"/>
      <c r="AW935" s="643" t="n"/>
      <c r="AX935" s="643" t="n"/>
      <c r="AY935" s="1114" t="n"/>
      <c r="AZ935" s="643" t="n"/>
      <c r="BA935" s="643" t="n"/>
      <c r="BB935" s="643" t="n"/>
      <c r="BC935" s="643" t="n"/>
      <c r="BD935" s="1114" t="n"/>
      <c r="BE935" s="643" t="n"/>
      <c r="BF935" s="643" t="n"/>
      <c r="BG935" s="643" t="n"/>
      <c r="BH935" s="643" t="n"/>
      <c r="BI935" s="1114" t="n"/>
      <c r="BJ935" s="643" t="n"/>
      <c r="BK935" s="643" t="n"/>
      <c r="BL935" s="643" t="n"/>
      <c r="BM935" s="643" t="n"/>
      <c r="BN935" s="1114" t="n"/>
      <c r="BO935" s="643" t="n"/>
      <c r="BP935" s="643" t="n"/>
      <c r="BQ935" s="643" t="n"/>
      <c r="BR935" s="643" t="n"/>
      <c r="BS935" s="1114" t="n"/>
      <c r="BT935" s="643" t="n"/>
      <c r="BU935" s="643" t="n"/>
      <c r="BV935" s="930" t="n"/>
      <c r="BW935" s="1055" t="n">
        <v>0.1</v>
      </c>
      <c r="BX935" s="1114">
        <f>IFERROR(BX924/BX934,"n/a")</f>
        <v/>
      </c>
      <c r="BY935" s="1055" t="n">
        <v>0.1</v>
      </c>
      <c r="BZ935" s="1055" t="n">
        <v>0.1</v>
      </c>
      <c r="CA935" s="1055" t="n">
        <v>0.1</v>
      </c>
      <c r="CB935" s="1055" t="n">
        <v>0.1</v>
      </c>
      <c r="CC935" s="1114">
        <f>IFERROR(CC924/CC934,"n/a")</f>
        <v/>
      </c>
      <c r="CD935" s="1116" t="n">
        <v>0.1</v>
      </c>
      <c r="CE935" s="1116" t="n">
        <v>0.1</v>
      </c>
      <c r="CF935" s="1116" t="n">
        <v>0.1</v>
      </c>
      <c r="CG935" s="155" t="n"/>
    </row>
    <row r="936" collapsed="1">
      <c r="A936" s="600" t="inlineStr">
        <is>
          <t>Total Acquisitions, mm</t>
        </is>
      </c>
      <c r="B936" s="279" t="n"/>
      <c r="C936" s="1153">
        <f>-C704</f>
        <v/>
      </c>
      <c r="D936" s="1153">
        <f>-D704</f>
        <v/>
      </c>
      <c r="E936" s="1153">
        <f>-E704</f>
        <v/>
      </c>
      <c r="F936" s="1153">
        <f>-F704</f>
        <v/>
      </c>
      <c r="G936" s="654">
        <f>-G704</f>
        <v/>
      </c>
      <c r="H936" s="654">
        <f>-H704</f>
        <v/>
      </c>
      <c r="I936" s="654">
        <f>-I704</f>
        <v/>
      </c>
      <c r="J936" s="654">
        <f>-J704</f>
        <v/>
      </c>
      <c r="K936" s="1153">
        <f>-K704</f>
        <v/>
      </c>
      <c r="L936" s="654">
        <f>-L704</f>
        <v/>
      </c>
      <c r="M936" s="654">
        <f>-M704</f>
        <v/>
      </c>
      <c r="N936" s="654">
        <f>-N704</f>
        <v/>
      </c>
      <c r="O936" s="654">
        <f>-O704</f>
        <v/>
      </c>
      <c r="P936" s="1153">
        <f>-P704</f>
        <v/>
      </c>
      <c r="Q936" s="654">
        <f>-Q704</f>
        <v/>
      </c>
      <c r="R936" s="654">
        <f>-R704</f>
        <v/>
      </c>
      <c r="S936" s="654">
        <f>-S704</f>
        <v/>
      </c>
      <c r="T936" s="654">
        <f>-T704</f>
        <v/>
      </c>
      <c r="U936" s="1153">
        <f>-U704</f>
        <v/>
      </c>
      <c r="V936" s="654">
        <f>-V704</f>
        <v/>
      </c>
      <c r="W936" s="654">
        <f>-W704</f>
        <v/>
      </c>
      <c r="X936" s="654">
        <f>-X704</f>
        <v/>
      </c>
      <c r="Y936" s="654">
        <f>-Y704</f>
        <v/>
      </c>
      <c r="Z936" s="1153">
        <f>-Z704</f>
        <v/>
      </c>
      <c r="AA936" s="654">
        <f>-AA704</f>
        <v/>
      </c>
      <c r="AB936" s="654">
        <f>-AB704</f>
        <v/>
      </c>
      <c r="AC936" s="654">
        <f>-AC704</f>
        <v/>
      </c>
      <c r="AD936" s="654">
        <f>-AD704</f>
        <v/>
      </c>
      <c r="AE936" s="1153">
        <f>-AE704</f>
        <v/>
      </c>
      <c r="AF936" s="654">
        <f>-AF704</f>
        <v/>
      </c>
      <c r="AG936" s="654">
        <f>-AG704</f>
        <v/>
      </c>
      <c r="AH936" s="654">
        <f>-AH704</f>
        <v/>
      </c>
      <c r="AI936" s="654">
        <f>-AI704</f>
        <v/>
      </c>
      <c r="AJ936" s="1153">
        <f>-AJ704</f>
        <v/>
      </c>
      <c r="AK936" s="654">
        <f>-AK704</f>
        <v/>
      </c>
      <c r="AL936" s="654">
        <f>-AL704</f>
        <v/>
      </c>
      <c r="AM936" s="654">
        <f>-AM704</f>
        <v/>
      </c>
      <c r="AN936" s="654">
        <f>-AN704</f>
        <v/>
      </c>
      <c r="AO936" s="1153">
        <f>-AO704</f>
        <v/>
      </c>
      <c r="AP936" s="654">
        <f>-AP704</f>
        <v/>
      </c>
      <c r="AQ936" s="654">
        <f>-AQ704</f>
        <v/>
      </c>
      <c r="AR936" s="654">
        <f>-AR704</f>
        <v/>
      </c>
      <c r="AS936" s="654">
        <f>-AS704</f>
        <v/>
      </c>
      <c r="AT936" s="1153">
        <f>-AT704</f>
        <v/>
      </c>
      <c r="AU936" s="654">
        <f>-AU704</f>
        <v/>
      </c>
      <c r="AV936" s="654">
        <f>-AV704</f>
        <v/>
      </c>
      <c r="AW936" s="654">
        <f>-AW704</f>
        <v/>
      </c>
      <c r="AX936" s="654">
        <f>-AX704</f>
        <v/>
      </c>
      <c r="AY936" s="1153">
        <f>-AY704</f>
        <v/>
      </c>
      <c r="AZ936" s="654">
        <f>-AZ704</f>
        <v/>
      </c>
      <c r="BA936" s="654">
        <f>-BA704</f>
        <v/>
      </c>
      <c r="BB936" s="654">
        <f>-BB704</f>
        <v/>
      </c>
      <c r="BC936" s="654">
        <f>-BC704</f>
        <v/>
      </c>
      <c r="BD936" s="1153">
        <f>-BD704</f>
        <v/>
      </c>
      <c r="BE936" s="654">
        <f>-BE704</f>
        <v/>
      </c>
      <c r="BF936" s="654">
        <f>-BF704</f>
        <v/>
      </c>
      <c r="BG936" s="654">
        <f>-BG704</f>
        <v/>
      </c>
      <c r="BH936" s="654">
        <f>-BH704</f>
        <v/>
      </c>
      <c r="BI936" s="1153">
        <f>-BI704</f>
        <v/>
      </c>
      <c r="BJ936" s="654">
        <f>-BJ704</f>
        <v/>
      </c>
      <c r="BK936" s="654">
        <f>-BK704</f>
        <v/>
      </c>
      <c r="BL936" s="654">
        <f>-BL704</f>
        <v/>
      </c>
      <c r="BM936" s="654">
        <f>-BM704</f>
        <v/>
      </c>
      <c r="BN936" s="1153">
        <f>-BN704</f>
        <v/>
      </c>
      <c r="BO936" s="654">
        <f>-BO704</f>
        <v/>
      </c>
      <c r="BP936" s="654">
        <f>-BP704</f>
        <v/>
      </c>
      <c r="BQ936" s="654">
        <f>-BQ704</f>
        <v/>
      </c>
      <c r="BR936" s="654">
        <f>-BR704</f>
        <v/>
      </c>
      <c r="BS936" s="1153">
        <f>-BS704</f>
        <v/>
      </c>
      <c r="BT936" s="654">
        <f>-BT704</f>
        <v/>
      </c>
      <c r="BU936" s="654">
        <f>-BU704</f>
        <v/>
      </c>
      <c r="BV936" s="928">
        <f>-BV704</f>
        <v/>
      </c>
      <c r="BW936" s="654">
        <f>-BW704</f>
        <v/>
      </c>
      <c r="BX936" s="1153">
        <f>-BX704</f>
        <v/>
      </c>
      <c r="BY936" s="654">
        <f>-BY704</f>
        <v/>
      </c>
      <c r="BZ936" s="654">
        <f>-BZ704</f>
        <v/>
      </c>
      <c r="CA936" s="654">
        <f>-CA704</f>
        <v/>
      </c>
      <c r="CB936" s="654">
        <f>-CB704</f>
        <v/>
      </c>
      <c r="CC936" s="1153">
        <f>-CC704</f>
        <v/>
      </c>
      <c r="CD936" s="1153">
        <f>-CD704</f>
        <v/>
      </c>
      <c r="CE936" s="1153">
        <f>-CE704</f>
        <v/>
      </c>
      <c r="CF936" s="1153">
        <f>-CF704</f>
        <v/>
      </c>
      <c r="CG936" s="155" t="n"/>
    </row>
    <row r="937">
      <c r="A937" s="655" t="inlineStr">
        <is>
          <t>Percentage of acquisition expenditure allocated to intangible assets, %</t>
        </is>
      </c>
      <c r="B937" s="102" t="n"/>
      <c r="C937" s="1114" t="n"/>
      <c r="D937" s="1114" t="n"/>
      <c r="E937" s="1114" t="n"/>
      <c r="F937" s="1114" t="n"/>
      <c r="G937" s="643" t="n"/>
      <c r="H937" s="643" t="n"/>
      <c r="I937" s="643" t="n"/>
      <c r="J937" s="643" t="n"/>
      <c r="K937" s="1114" t="n"/>
      <c r="L937" s="643" t="n"/>
      <c r="M937" s="643" t="n"/>
      <c r="N937" s="643" t="n"/>
      <c r="O937" s="643" t="n"/>
      <c r="P937" s="1114" t="n"/>
      <c r="Q937" s="643" t="n"/>
      <c r="R937" s="643" t="n"/>
      <c r="S937" s="643" t="n"/>
      <c r="T937" s="643" t="n"/>
      <c r="U937" s="1114" t="n"/>
      <c r="V937" s="643" t="n"/>
      <c r="W937" s="643" t="n"/>
      <c r="X937" s="643" t="n"/>
      <c r="Y937" s="643" t="n"/>
      <c r="Z937" s="1114" t="n"/>
      <c r="AA937" s="643" t="n"/>
      <c r="AB937" s="643" t="n"/>
      <c r="AC937" s="643" t="n"/>
      <c r="AD937" s="643" t="n"/>
      <c r="AE937" s="1114" t="n"/>
      <c r="AF937" s="643" t="n"/>
      <c r="AG937" s="643" t="n"/>
      <c r="AH937" s="643" t="n"/>
      <c r="AI937" s="643" t="n"/>
      <c r="AJ937" s="1114" t="n"/>
      <c r="AK937" s="643" t="n"/>
      <c r="AL937" s="643" t="n"/>
      <c r="AM937" s="643" t="n"/>
      <c r="AN937" s="643" t="n"/>
      <c r="AO937" s="1114" t="n"/>
      <c r="AP937" s="643" t="n"/>
      <c r="AQ937" s="643" t="n"/>
      <c r="AR937" s="643" t="n"/>
      <c r="AS937" s="643" t="n"/>
      <c r="AT937" s="1114" t="n"/>
      <c r="AU937" s="643" t="n"/>
      <c r="AV937" s="643" t="n"/>
      <c r="AW937" s="643" t="n"/>
      <c r="AX937" s="643" t="n"/>
      <c r="AY937" s="1114" t="n"/>
      <c r="AZ937" s="643" t="n"/>
      <c r="BA937" s="643" t="n"/>
      <c r="BB937" s="643" t="n"/>
      <c r="BC937" s="643" t="n"/>
      <c r="BD937" s="1114" t="n"/>
      <c r="BE937" s="643" t="n"/>
      <c r="BF937" s="643" t="n"/>
      <c r="BG937" s="643" t="n"/>
      <c r="BH937" s="643" t="n"/>
      <c r="BI937" s="1114" t="n"/>
      <c r="BJ937" s="643" t="n"/>
      <c r="BK937" s="643" t="n"/>
      <c r="BL937" s="643" t="n"/>
      <c r="BM937" s="643" t="n"/>
      <c r="BN937" s="1114" t="n"/>
      <c r="BO937" s="643" t="n"/>
      <c r="BP937" s="643" t="n"/>
      <c r="BQ937" s="643" t="n"/>
      <c r="BR937" s="643" t="n"/>
      <c r="BS937" s="1114" t="n"/>
      <c r="BT937" s="643" t="n"/>
      <c r="BU937" s="643" t="n"/>
      <c r="BV937" s="930" t="n"/>
      <c r="BW937" s="1055" t="n">
        <v>0.5</v>
      </c>
      <c r="BX937" s="1114">
        <f>IFERROR(BX924/BX936,"N/A")</f>
        <v/>
      </c>
      <c r="BY937" s="1055" t="n">
        <v>0.5</v>
      </c>
      <c r="BZ937" s="1055" t="n">
        <v>0.5</v>
      </c>
      <c r="CA937" s="1055" t="n">
        <v>0.5</v>
      </c>
      <c r="CB937" s="1055" t="n">
        <v>0.5</v>
      </c>
      <c r="CC937" s="1114">
        <f>IFERROR(CC924/CC936,"N/A")</f>
        <v/>
      </c>
      <c r="CD937" s="1116" t="n">
        <v>0.5</v>
      </c>
      <c r="CE937" s="1116" t="n">
        <v>0.5</v>
      </c>
      <c r="CF937" s="1116" t="n">
        <v>0.5</v>
      </c>
      <c r="CG937" s="155" t="n"/>
    </row>
    <row r="938">
      <c r="A938" s="99" t="n"/>
      <c r="B938" s="146" t="n"/>
      <c r="C938" s="1151" t="n"/>
      <c r="D938" s="1151" t="n"/>
      <c r="E938" s="1151" t="n"/>
      <c r="F938" s="1151" t="n"/>
      <c r="G938" s="563" t="n"/>
      <c r="H938" s="563" t="n"/>
      <c r="I938" s="563" t="n"/>
      <c r="J938" s="563" t="n"/>
      <c r="K938" s="1151" t="n"/>
      <c r="L938" s="563" t="n"/>
      <c r="M938" s="563" t="n"/>
      <c r="N938" s="563" t="n"/>
      <c r="O938" s="563" t="n"/>
      <c r="P938" s="1151" t="n"/>
      <c r="Q938" s="563" t="n"/>
      <c r="R938" s="563" t="n"/>
      <c r="S938" s="563" t="n"/>
      <c r="T938" s="563" t="n"/>
      <c r="U938" s="1151" t="n"/>
      <c r="V938" s="563" t="n"/>
      <c r="W938" s="563" t="n"/>
      <c r="X938" s="563" t="n"/>
      <c r="Y938" s="563" t="n"/>
      <c r="Z938" s="1151" t="n"/>
      <c r="AA938" s="563" t="n"/>
      <c r="AB938" s="563" t="n"/>
      <c r="AC938" s="563" t="n"/>
      <c r="AD938" s="563" t="n"/>
      <c r="AE938" s="1151" t="n"/>
      <c r="AF938" s="563" t="n"/>
      <c r="AG938" s="563" t="n"/>
      <c r="AH938" s="563" t="n"/>
      <c r="AI938" s="563" t="n"/>
      <c r="AJ938" s="1151" t="n"/>
      <c r="AK938" s="563" t="n"/>
      <c r="AL938" s="563" t="n"/>
      <c r="AM938" s="563" t="n"/>
      <c r="AN938" s="563" t="n"/>
      <c r="AO938" s="1151" t="n"/>
      <c r="AP938" s="563" t="n"/>
      <c r="AQ938" s="563" t="n"/>
      <c r="AR938" s="563" t="n"/>
      <c r="AS938" s="563" t="n"/>
      <c r="AT938" s="1151" t="n"/>
      <c r="AU938" s="563" t="n"/>
      <c r="AV938" s="563" t="n"/>
      <c r="AW938" s="563" t="n"/>
      <c r="AX938" s="563" t="n"/>
      <c r="AY938" s="1151" t="n"/>
      <c r="AZ938" s="563" t="n"/>
      <c r="BA938" s="563" t="n"/>
      <c r="BB938" s="563" t="n"/>
      <c r="BC938" s="563" t="n"/>
      <c r="BD938" s="1151" t="n"/>
      <c r="BE938" s="563" t="n"/>
      <c r="BF938" s="563" t="n"/>
      <c r="BG938" s="563" t="n"/>
      <c r="BH938" s="563" t="n"/>
      <c r="BI938" s="1151" t="n"/>
      <c r="BJ938" s="563" t="n"/>
      <c r="BK938" s="563" t="n"/>
      <c r="BL938" s="563" t="n"/>
      <c r="BM938" s="563" t="n"/>
      <c r="BN938" s="1151" t="n"/>
      <c r="BO938" s="563" t="n"/>
      <c r="BP938" s="563" t="n"/>
      <c r="BQ938" s="563" t="n"/>
      <c r="BR938" s="563" t="n"/>
      <c r="BS938" s="1151" t="n"/>
      <c r="BT938" s="563" t="n"/>
      <c r="BU938" s="563" t="n"/>
      <c r="BV938" s="731" t="n"/>
      <c r="BW938" s="563" t="n"/>
      <c r="BX938" s="1151" t="n"/>
      <c r="BY938" s="563" t="n"/>
      <c r="BZ938" s="563" t="n"/>
      <c r="CA938" s="563" t="n"/>
      <c r="CB938" s="563" t="n"/>
      <c r="CC938" s="1151" t="n"/>
      <c r="CD938" s="1151" t="n"/>
      <c r="CE938" s="1151" t="n"/>
      <c r="CF938" s="1151" t="n"/>
      <c r="CG938" s="155" t="n"/>
    </row>
    <row r="939">
      <c r="A939" s="241" t="inlineStr">
        <is>
          <t>Working Capital Forecasting</t>
        </is>
      </c>
      <c r="B939" s="242" t="n"/>
      <c r="C939" s="286" t="n"/>
      <c r="D939" s="286" t="n"/>
      <c r="E939" s="286" t="n"/>
      <c r="F939" s="286" t="n"/>
      <c r="G939" s="286" t="n"/>
      <c r="H939" s="286" t="n"/>
      <c r="I939" s="286" t="n"/>
      <c r="J939" s="286" t="n"/>
      <c r="K939" s="286" t="n"/>
      <c r="L939" s="286" t="n"/>
      <c r="M939" s="286" t="n"/>
      <c r="N939" s="286" t="n"/>
      <c r="O939" s="286" t="n"/>
      <c r="P939" s="286" t="n"/>
      <c r="Q939" s="286" t="n"/>
      <c r="R939" s="286" t="n"/>
      <c r="S939" s="286" t="n"/>
      <c r="T939" s="286" t="n"/>
      <c r="U939" s="286" t="n"/>
      <c r="V939" s="286" t="n"/>
      <c r="W939" s="286" t="n"/>
      <c r="X939" s="286" t="n"/>
      <c r="Y939" s="286" t="n"/>
      <c r="Z939" s="286" t="n"/>
      <c r="AA939" s="286" t="n"/>
      <c r="AB939" s="286" t="n"/>
      <c r="AC939" s="286" t="n"/>
      <c r="AD939" s="286" t="n"/>
      <c r="AE939" s="286" t="n"/>
      <c r="AF939" s="286" t="n"/>
      <c r="AG939" s="286" t="n"/>
      <c r="AH939" s="286" t="n"/>
      <c r="AI939" s="286" t="n"/>
      <c r="AJ939" s="286" t="n"/>
      <c r="AK939" s="286" t="n"/>
      <c r="AL939" s="286" t="n"/>
      <c r="AM939" s="286" t="n"/>
      <c r="AN939" s="286" t="n"/>
      <c r="AO939" s="286" t="n"/>
      <c r="AP939" s="286" t="n"/>
      <c r="AQ939" s="286" t="n"/>
      <c r="AR939" s="286" t="n"/>
      <c r="AS939" s="286" t="n"/>
      <c r="AT939" s="286" t="n"/>
      <c r="AU939" s="286" t="n"/>
      <c r="AV939" s="286" t="n"/>
      <c r="AW939" s="286" t="n"/>
      <c r="AX939" s="286" t="n"/>
      <c r="AY939" s="286" t="n"/>
      <c r="AZ939" s="286" t="n"/>
      <c r="BA939" s="286" t="n"/>
      <c r="BB939" s="286" t="n"/>
      <c r="BC939" s="286" t="n"/>
      <c r="BD939" s="286" t="n"/>
      <c r="BE939" s="286" t="n"/>
      <c r="BF939" s="286" t="n"/>
      <c r="BG939" s="286" t="n"/>
      <c r="BH939" s="286" t="n"/>
      <c r="BI939" s="286" t="n"/>
      <c r="BJ939" s="286" t="n"/>
      <c r="BK939" s="286" t="n"/>
      <c r="BL939" s="286" t="n"/>
      <c r="BM939" s="286" t="n"/>
      <c r="BN939" s="286" t="n"/>
      <c r="BO939" s="286" t="n"/>
      <c r="BP939" s="286" t="n"/>
      <c r="BQ939" s="286" t="n"/>
      <c r="BR939" s="286" t="n"/>
      <c r="BS939" s="286" t="n"/>
      <c r="BT939" s="286" t="n"/>
      <c r="BU939" s="286" t="n"/>
      <c r="BV939" s="542" t="n"/>
      <c r="BW939" s="286" t="n"/>
      <c r="BX939" s="286" t="n"/>
      <c r="BY939" s="286" t="n"/>
      <c r="BZ939" s="286" t="n"/>
      <c r="CA939" s="286" t="n"/>
      <c r="CB939" s="286" t="n"/>
      <c r="CC939" s="286" t="n"/>
      <c r="CD939" s="286" t="n"/>
      <c r="CE939" s="286" t="n"/>
      <c r="CF939" s="286" t="n"/>
      <c r="CG939" s="155" t="n"/>
    </row>
    <row r="940" customFormat="1" s="333">
      <c r="A940" s="96" t="inlineStr">
        <is>
          <t>Accounts receivable, net, % of LTM Sales</t>
        </is>
      </c>
      <c r="B940" s="283" t="n"/>
      <c r="C940" s="1232">
        <f>C954/C$362</f>
        <v/>
      </c>
      <c r="D940" s="1232">
        <f>D954/D$362</f>
        <v/>
      </c>
      <c r="E940" s="1232">
        <f>E954/E$362</f>
        <v/>
      </c>
      <c r="F940" s="1232">
        <f>F954/F$362</f>
        <v/>
      </c>
      <c r="G940" s="238" t="n"/>
      <c r="H940" s="238" t="n"/>
      <c r="I940" s="238" t="n"/>
      <c r="J940" s="238" t="n"/>
      <c r="K940" s="1232">
        <f>K954/K$362</f>
        <v/>
      </c>
      <c r="L940" s="25">
        <f>L954/(L$362+J$362+I$362+H$362)</f>
        <v/>
      </c>
      <c r="M940" s="25">
        <f>M954/(M$362+L$362+J$362+I$362)</f>
        <v/>
      </c>
      <c r="N940" s="25">
        <f>N954/(N$362+M$362+L$362+J$362)</f>
        <v/>
      </c>
      <c r="O940" s="25">
        <f>O954/(O$362+N$362+M$362+L$362)</f>
        <v/>
      </c>
      <c r="P940" s="1232">
        <f>P954/P$362</f>
        <v/>
      </c>
      <c r="Q940" s="25">
        <f>Q954/(Q$362+O$362+N$362+M$362)</f>
        <v/>
      </c>
      <c r="R940" s="25">
        <f>R954/(R$362+Q$362+O$362+N$362)</f>
        <v/>
      </c>
      <c r="S940" s="25">
        <f>S954/(S$362+R$362+Q$362+O$362)</f>
        <v/>
      </c>
      <c r="T940" s="25">
        <f>T954/(T$362+S$362+R$362+Q$362)</f>
        <v/>
      </c>
      <c r="U940" s="1232">
        <f>U954/U$362</f>
        <v/>
      </c>
      <c r="V940" s="25">
        <f>V954/(V$362+T$362+S$362+R$362)</f>
        <v/>
      </c>
      <c r="W940" s="25">
        <f>W954/(W$362+V$362+T$362+S$362)</f>
        <v/>
      </c>
      <c r="X940" s="25">
        <f>X954/(X$362+W$362+V$362+T$362)</f>
        <v/>
      </c>
      <c r="Y940" s="25">
        <f>Y954/(Y$362+X$362+W$362+V$362)</f>
        <v/>
      </c>
      <c r="Z940" s="1232">
        <f>Z954/Z$362</f>
        <v/>
      </c>
      <c r="AA940" s="25">
        <f>AA954/(AA$362+Y$362+X$362+W$362)</f>
        <v/>
      </c>
      <c r="AB940" s="25">
        <f>AB954/(AB$362+AA$362+Y$362+X$362)</f>
        <v/>
      </c>
      <c r="AC940" s="25">
        <f>AC954/(AC$362+AB$362+AA$362+Y$362)</f>
        <v/>
      </c>
      <c r="AD940" s="25">
        <f>AD954/(AD$362+AC$362+AB$362+AA$362)</f>
        <v/>
      </c>
      <c r="AE940" s="1232">
        <f>AE954/AE$362</f>
        <v/>
      </c>
      <c r="AF940" s="25">
        <f>AF954/(AF$362+AD$362+AC$362+AB$362)</f>
        <v/>
      </c>
      <c r="AG940" s="25">
        <f>AG954/(AG$362+AF$362+AD$362+AC$362)</f>
        <v/>
      </c>
      <c r="AH940" s="25">
        <f>AH954/(AH$362+AG$362+AF$362+AD$362)</f>
        <v/>
      </c>
      <c r="AI940" s="25">
        <f>AI954/(AI$362+AH$362+AG$362+AF$362)</f>
        <v/>
      </c>
      <c r="AJ940" s="1232">
        <f>AJ954/AJ$362</f>
        <v/>
      </c>
      <c r="AK940" s="25">
        <f>AK954/(AK$362+AI$362+AH$362+AG$362)</f>
        <v/>
      </c>
      <c r="AL940" s="25">
        <f>AL954/(AL$362+AK$362+AI$362+AH$362)</f>
        <v/>
      </c>
      <c r="AM940" s="25">
        <f>AM954/(AM$362+AL$362+AK$362+AI$362)</f>
        <v/>
      </c>
      <c r="AN940" s="25">
        <f>AN954/(AN$362+AM$362+AL$362+AK$362)</f>
        <v/>
      </c>
      <c r="AO940" s="1232">
        <f>AO954/AO$362</f>
        <v/>
      </c>
      <c r="AP940" s="25">
        <f>AP954/(AP$362+AN$362+AM$362+AL$362)</f>
        <v/>
      </c>
      <c r="AQ940" s="25">
        <f>AQ954/(AQ$362+AP$362+AN$362+AM$362)</f>
        <v/>
      </c>
      <c r="AR940" s="25">
        <f>AR954/(AR$362+AQ$362+AP$362+AN$362)</f>
        <v/>
      </c>
      <c r="AS940" s="25">
        <f>AS954/(AS$362+AR$362+AQ$362+AP$362)</f>
        <v/>
      </c>
      <c r="AT940" s="1232">
        <f>AT954/AT$362</f>
        <v/>
      </c>
      <c r="AU940" s="25">
        <f>AU954/(AU$362+AS$362+AR$362+AQ$362)</f>
        <v/>
      </c>
      <c r="AV940" s="25">
        <f>AV954/(AV$362+AU$362+AS$362+AR$362)</f>
        <v/>
      </c>
      <c r="AW940" s="25">
        <f>AW954/(AW$362+AV$362+AU$362+AS$362)</f>
        <v/>
      </c>
      <c r="AX940" s="25">
        <f>AX954/(AX$362+AW$362+AV$362+AU$362)</f>
        <v/>
      </c>
      <c r="AY940" s="1232">
        <f>AY954/AY$362</f>
        <v/>
      </c>
      <c r="AZ940" s="25">
        <f>AZ954/(AZ$362+AX$362+AW$362+AV$362)</f>
        <v/>
      </c>
      <c r="BA940" s="25">
        <f>BA954/(BA$362+AZ$362+AX$362+AW$362)</f>
        <v/>
      </c>
      <c r="BB940" s="25">
        <f>BB954/(BB$362+BA$362+AZ$362+AX$362)</f>
        <v/>
      </c>
      <c r="BC940" s="25">
        <f>BC954/(BC$362+BB$362+BA$362+AZ$362)</f>
        <v/>
      </c>
      <c r="BD940" s="1232">
        <f>BD954/BD$362</f>
        <v/>
      </c>
      <c r="BE940" s="25">
        <f>BE954/(BE$362+BC$362+BB$362+BA$362)</f>
        <v/>
      </c>
      <c r="BF940" s="25">
        <f>BF954/(BF$362+BE$362+BC$362+BB$362)</f>
        <v/>
      </c>
      <c r="BG940" s="25">
        <f>BG954/(BG$362+BF$362+BE$362+BC$362)</f>
        <v/>
      </c>
      <c r="BH940" s="25">
        <f>BH954/(BH$362+BG$362+BF$362+BE$362)</f>
        <v/>
      </c>
      <c r="BI940" s="1232">
        <f>BI954/BI$362</f>
        <v/>
      </c>
      <c r="BJ940" s="25">
        <f>BJ954/(BJ$362+BH$362+BG$362+BF$362)</f>
        <v/>
      </c>
      <c r="BK940" s="25">
        <f>BK954/(BK$362+BJ$362+BH$362+BG$362)</f>
        <v/>
      </c>
      <c r="BL940" s="25">
        <f>BL954/(BL$362+BK$362+BJ$362+BH$362)</f>
        <v/>
      </c>
      <c r="BM940" s="25">
        <f>BM954/(BM$362+BL$362+BK$362+BJ$362)</f>
        <v/>
      </c>
      <c r="BN940" s="1232">
        <f>BN954/BN$362</f>
        <v/>
      </c>
      <c r="BO940" s="25">
        <f>BO954/(BO$362+BM$362+BL$362+BK$362)</f>
        <v/>
      </c>
      <c r="BP940" s="25">
        <f>BP954/(BP$362+BO$362+BM$362+BL$362)</f>
        <v/>
      </c>
      <c r="BQ940" s="25">
        <f>BQ954/(BQ$362+BP$362+BO$362+BM$362)</f>
        <v/>
      </c>
      <c r="BR940" s="25">
        <f>BR954/(BR$362+BQ$362+BP$362+BO$362)</f>
        <v/>
      </c>
      <c r="BS940" s="1232">
        <f>BS954/BS$362</f>
        <v/>
      </c>
      <c r="BT940" s="25">
        <f>BT954/(BT$362+BR$362+BQ$362+BP$362)</f>
        <v/>
      </c>
      <c r="BU940" s="25">
        <f>BU954/(BU$362+BT$362+BR$362+BQ$362)</f>
        <v/>
      </c>
      <c r="BV940" s="931">
        <f>BV954/(BV$362+BU$362+BT$362+BR$362)</f>
        <v/>
      </c>
      <c r="BW940" s="238">
        <f>BR940+BW945</f>
        <v/>
      </c>
      <c r="BX940" s="1145">
        <f>BX954/BX$362</f>
        <v/>
      </c>
      <c r="BY940" s="238">
        <f>BT940+BY945</f>
        <v/>
      </c>
      <c r="BZ940" s="238">
        <f>BU940+BZ945</f>
        <v/>
      </c>
      <c r="CA940" s="238">
        <f>BV940+CA945</f>
        <v/>
      </c>
      <c r="CB940" s="238">
        <f>BW940+CB945</f>
        <v/>
      </c>
      <c r="CC940" s="1145">
        <f>CC954/CC$362</f>
        <v/>
      </c>
      <c r="CD940" s="1145">
        <f>CC940+CD945</f>
        <v/>
      </c>
      <c r="CE940" s="1145">
        <f>CD940+CE945</f>
        <v/>
      </c>
      <c r="CF940" s="1145">
        <f>CE940+CF945</f>
        <v/>
      </c>
      <c r="CG940" s="332" t="n"/>
    </row>
    <row r="941" customFormat="1" s="333">
      <c r="A941" s="96" t="inlineStr">
        <is>
          <t>Inventories, % of LTM COGS</t>
        </is>
      </c>
      <c r="B941" s="283" t="n"/>
      <c r="C941" s="1232">
        <f>C958/C$366</f>
        <v/>
      </c>
      <c r="D941" s="1232">
        <f>D958/D$366</f>
        <v/>
      </c>
      <c r="E941" s="1232">
        <f>E958/E$366</f>
        <v/>
      </c>
      <c r="F941" s="1232">
        <f>F958/F$366</f>
        <v/>
      </c>
      <c r="G941" s="238" t="n"/>
      <c r="H941" s="238" t="n"/>
      <c r="I941" s="238" t="n"/>
      <c r="J941" s="238" t="n"/>
      <c r="K941" s="1232">
        <f>K958/K$366</f>
        <v/>
      </c>
      <c r="L941" s="25">
        <f>L958/(L$366+J$366+I$366+H$366)</f>
        <v/>
      </c>
      <c r="M941" s="25">
        <f>M958/(M$366+L$366+J$366+I$366)</f>
        <v/>
      </c>
      <c r="N941" s="25">
        <f>N958/(N$366+M$366+L$366+J$366)</f>
        <v/>
      </c>
      <c r="O941" s="25">
        <f>O958/(O$366+N$366+M$366+L$366)</f>
        <v/>
      </c>
      <c r="P941" s="1232">
        <f>P958/P$366</f>
        <v/>
      </c>
      <c r="Q941" s="25">
        <f>Q958/(Q$366+O$366+N$366+M$366)</f>
        <v/>
      </c>
      <c r="R941" s="25">
        <f>R958/(R$366+Q$366+O$366+N$366)</f>
        <v/>
      </c>
      <c r="S941" s="25">
        <f>S958/(S$366+R$366+Q$366+O$366)</f>
        <v/>
      </c>
      <c r="T941" s="25">
        <f>T958/(T$366+S$366+R$366+Q$366)</f>
        <v/>
      </c>
      <c r="U941" s="1232">
        <f>U958/U$366</f>
        <v/>
      </c>
      <c r="V941" s="25">
        <f>V958/(V$366+T$366+S$366+R$366)</f>
        <v/>
      </c>
      <c r="W941" s="25">
        <f>W958/(W$366+V$366+T$366+S$366)</f>
        <v/>
      </c>
      <c r="X941" s="25">
        <f>X958/(X$366+W$366+V$366+T$366)</f>
        <v/>
      </c>
      <c r="Y941" s="25">
        <f>Y958/(Y$366+X$366+W$366+V$366)</f>
        <v/>
      </c>
      <c r="Z941" s="1232">
        <f>Z958/Z$366</f>
        <v/>
      </c>
      <c r="AA941" s="25">
        <f>AA958/(AA$366+Y$366+X$366+W$366)</f>
        <v/>
      </c>
      <c r="AB941" s="25">
        <f>AB958/(AB$366+AA$366+Y$366+X$366)</f>
        <v/>
      </c>
      <c r="AC941" s="25">
        <f>AC958/(AC$366+AB$366+AA$366+Y$366)</f>
        <v/>
      </c>
      <c r="AD941" s="25">
        <f>AD958/(AD$366+AC$366+AB$366+AA$366)</f>
        <v/>
      </c>
      <c r="AE941" s="1232">
        <f>AE958/AE$366</f>
        <v/>
      </c>
      <c r="AF941" s="25">
        <f>AF958/(AF$366+AD$366+AC$366+AB$366)</f>
        <v/>
      </c>
      <c r="AG941" s="25">
        <f>AG958/(AG$366+AF$366+AD$366+AC$366)</f>
        <v/>
      </c>
      <c r="AH941" s="25">
        <f>AH958/(AH$366+AG$366+AF$366+AD$366)</f>
        <v/>
      </c>
      <c r="AI941" s="25">
        <f>AI958/(AI$366+AH$366+AG$366+AF$366)</f>
        <v/>
      </c>
      <c r="AJ941" s="1232">
        <f>AJ958/AJ$366</f>
        <v/>
      </c>
      <c r="AK941" s="25">
        <f>AK958/(AK$366+AI$366+AH$366+AG$366)</f>
        <v/>
      </c>
      <c r="AL941" s="25">
        <f>AL958/(AL$366+AK$366+AI$366+AH$366)</f>
        <v/>
      </c>
      <c r="AM941" s="25">
        <f>AM958/(AM$366+AL$366+AK$366+AI$366)</f>
        <v/>
      </c>
      <c r="AN941" s="25">
        <f>AN958/(AN$366+AM$366+AL$366+AK$366)</f>
        <v/>
      </c>
      <c r="AO941" s="1232">
        <f>AO958/AO$366</f>
        <v/>
      </c>
      <c r="AP941" s="25">
        <f>AP958/(AP$366+AN$366+AM$366+AL$366)</f>
        <v/>
      </c>
      <c r="AQ941" s="25">
        <f>AQ958/(AQ$366+AP$366+AN$366+AM$366)</f>
        <v/>
      </c>
      <c r="AR941" s="25">
        <f>AR958/(AR$366+AQ$366+AP$366+AN$366)</f>
        <v/>
      </c>
      <c r="AS941" s="25">
        <f>AS958/(AS$366+AR$366+AQ$366+AP$366)</f>
        <v/>
      </c>
      <c r="AT941" s="1232">
        <f>AT958/AT$366</f>
        <v/>
      </c>
      <c r="AU941" s="25">
        <f>AU958/(AU$366+AS$366+AR$366+AQ$366)</f>
        <v/>
      </c>
      <c r="AV941" s="25">
        <f>AV958/(AV$366+AU$366+AS$366+AR$366)</f>
        <v/>
      </c>
      <c r="AW941" s="25">
        <f>AW958/(AW$366+AV$366+AU$366+AS$366)</f>
        <v/>
      </c>
      <c r="AX941" s="25">
        <f>AX958/(AX$366+AW$366+AV$366+AU$366)</f>
        <v/>
      </c>
      <c r="AY941" s="1232">
        <f>AY958/AY$366</f>
        <v/>
      </c>
      <c r="AZ941" s="25">
        <f>AZ958/(AZ$366+AX$366+AW$366+AV$366)</f>
        <v/>
      </c>
      <c r="BA941" s="25">
        <f>BA958/(BA$366+AZ$366+AX$366+AW$366)</f>
        <v/>
      </c>
      <c r="BB941" s="25">
        <f>BB958/(BB$366+BA$366+AZ$366+AX$366)</f>
        <v/>
      </c>
      <c r="BC941" s="25">
        <f>BC958/(BC$366+BB$366+BA$366+AZ$366)</f>
        <v/>
      </c>
      <c r="BD941" s="1232">
        <f>BD958/BD$366</f>
        <v/>
      </c>
      <c r="BE941" s="25">
        <f>BE958/(BE$366+BC$366+BB$366+BA$366)</f>
        <v/>
      </c>
      <c r="BF941" s="25">
        <f>BF958/(BF$366+BE$366+BC$366+BB$366)</f>
        <v/>
      </c>
      <c r="BG941" s="25">
        <f>BG958/(BG$366+BF$366+BE$366+BC$366)</f>
        <v/>
      </c>
      <c r="BH941" s="25">
        <f>BH958/(BH$366+BG$366+BF$366+BE$366)</f>
        <v/>
      </c>
      <c r="BI941" s="1232">
        <f>BI958/BI$366</f>
        <v/>
      </c>
      <c r="BJ941" s="25">
        <f>BJ958/(BJ$366+BH$366+BG$366+BF$366)</f>
        <v/>
      </c>
      <c r="BK941" s="25">
        <f>BK958/(BK$366+BJ$366+BH$366+BG$366)</f>
        <v/>
      </c>
      <c r="BL941" s="25">
        <f>BL958/(BL$366+BK$366+BJ$366+BH$366)</f>
        <v/>
      </c>
      <c r="BM941" s="25">
        <f>BM958/(BM$366+BL$366+BK$366+BJ$366)</f>
        <v/>
      </c>
      <c r="BN941" s="1232">
        <f>BN958/BN$366</f>
        <v/>
      </c>
      <c r="BO941" s="25">
        <f>BO958/(BO$366+BM$366+BL$366+BK$366)</f>
        <v/>
      </c>
      <c r="BP941" s="25">
        <f>BP958/(BP$366+BO$366+BM$366+BL$366)</f>
        <v/>
      </c>
      <c r="BQ941" s="25">
        <f>BQ958/(BQ$366+BP$366+BO$366+BM$366)</f>
        <v/>
      </c>
      <c r="BR941" s="25">
        <f>BR958/(BR$366+BQ$366+BP$366+BO$366)</f>
        <v/>
      </c>
      <c r="BS941" s="1232">
        <f>BS958/BS$366</f>
        <v/>
      </c>
      <c r="BT941" s="25">
        <f>BT958/(BT$366+BR$366+BQ$366+BP$366)</f>
        <v/>
      </c>
      <c r="BU941" s="25">
        <f>BU958/(BU$366+BT$366+BR$366+BQ$366)</f>
        <v/>
      </c>
      <c r="BV941" s="931">
        <f>BV958/(BV$366+BU$366+BT$366+BR$366)</f>
        <v/>
      </c>
      <c r="BW941" s="238">
        <f>BR941+BW946</f>
        <v/>
      </c>
      <c r="BX941" s="1145">
        <f>BX958/BX$366</f>
        <v/>
      </c>
      <c r="BY941" s="238">
        <f>BT941+BY946</f>
        <v/>
      </c>
      <c r="BZ941" s="238">
        <f>BU941+BZ946</f>
        <v/>
      </c>
      <c r="CA941" s="238">
        <f>BV941+CA946</f>
        <v/>
      </c>
      <c r="CB941" s="238">
        <f>BW941+CB946</f>
        <v/>
      </c>
      <c r="CC941" s="1145">
        <f>CC958/CC$366</f>
        <v/>
      </c>
      <c r="CD941" s="1145">
        <f>CC941+CD946</f>
        <v/>
      </c>
      <c r="CE941" s="1145">
        <f>CD941+CE946</f>
        <v/>
      </c>
      <c r="CF941" s="1145">
        <f>CE941+CF946</f>
        <v/>
      </c>
      <c r="CG941" s="332" t="n"/>
    </row>
    <row r="942" customFormat="1" s="333">
      <c r="A942" s="96" t="inlineStr">
        <is>
          <t>Accounts payable, % of LTM COGS</t>
        </is>
      </c>
      <c r="B942" s="283" t="n"/>
      <c r="C942" s="1232">
        <f>C985/C$366</f>
        <v/>
      </c>
      <c r="D942" s="1232">
        <f>D985/D$366</f>
        <v/>
      </c>
      <c r="E942" s="1232">
        <f>E985/E$366</f>
        <v/>
      </c>
      <c r="F942" s="1232">
        <f>F985/F$366</f>
        <v/>
      </c>
      <c r="G942" s="238" t="n"/>
      <c r="H942" s="238" t="n"/>
      <c r="I942" s="238" t="n"/>
      <c r="J942" s="238" t="n"/>
      <c r="K942" s="1232">
        <f>K985/K$366</f>
        <v/>
      </c>
      <c r="L942" s="25">
        <f>L985/(L$366+J$366+I$366+H$366)</f>
        <v/>
      </c>
      <c r="M942" s="25">
        <f>M985/(M$366+L$366+J$366+I$366)</f>
        <v/>
      </c>
      <c r="N942" s="25">
        <f>N985/(N$366+M$366+L$366+J$366)</f>
        <v/>
      </c>
      <c r="O942" s="25">
        <f>O985/(O$366+N$366+M$366+L$366)</f>
        <v/>
      </c>
      <c r="P942" s="1232">
        <f>P985/P$366</f>
        <v/>
      </c>
      <c r="Q942" s="25">
        <f>Q985/(Q$366+O$366+N$366+M$366)</f>
        <v/>
      </c>
      <c r="R942" s="25">
        <f>R985/(R$366+Q$366+O$366+N$366)</f>
        <v/>
      </c>
      <c r="S942" s="25">
        <f>S985/(S$366+R$366+Q$366+O$366)</f>
        <v/>
      </c>
      <c r="T942" s="25">
        <f>T985/(T$366+S$366+R$366+Q$366)</f>
        <v/>
      </c>
      <c r="U942" s="1232">
        <f>U985/U$366</f>
        <v/>
      </c>
      <c r="V942" s="25">
        <f>V985/(V$366+T$366+S$366+R$366)</f>
        <v/>
      </c>
      <c r="W942" s="25">
        <f>W985/(W$366+V$366+T$366+S$366)</f>
        <v/>
      </c>
      <c r="X942" s="25">
        <f>X985/(X$366+W$366+V$366+T$366)</f>
        <v/>
      </c>
      <c r="Y942" s="25">
        <f>Y985/(Y$366+X$366+W$366+V$366)</f>
        <v/>
      </c>
      <c r="Z942" s="1232">
        <f>Z985/Z$366</f>
        <v/>
      </c>
      <c r="AA942" s="25">
        <f>AA985/(AA$366+Y$366+X$366+W$366)</f>
        <v/>
      </c>
      <c r="AB942" s="25">
        <f>AB985/(AB$366+AA$366+Y$366+X$366)</f>
        <v/>
      </c>
      <c r="AC942" s="25">
        <f>AC985/(AC$366+AB$366+AA$366+Y$366)</f>
        <v/>
      </c>
      <c r="AD942" s="25">
        <f>AD985/(AD$366+AC$366+AB$366+AA$366)</f>
        <v/>
      </c>
      <c r="AE942" s="1232">
        <f>AE985/AE$366</f>
        <v/>
      </c>
      <c r="AF942" s="25">
        <f>AF985/(AF$366+AD$366+AC$366+AB$366)</f>
        <v/>
      </c>
      <c r="AG942" s="25">
        <f>AG985/(AG$366+AF$366+AD$366+AC$366)</f>
        <v/>
      </c>
      <c r="AH942" s="25">
        <f>AH985/(AH$366+AG$366+AF$366+AD$366)</f>
        <v/>
      </c>
      <c r="AI942" s="25">
        <f>AI985/(AI$366+AH$366+AG$366+AF$366)</f>
        <v/>
      </c>
      <c r="AJ942" s="1232">
        <f>AJ985/AJ$366</f>
        <v/>
      </c>
      <c r="AK942" s="25">
        <f>AK985/(AK$366+AI$366+AH$366+AG$366)</f>
        <v/>
      </c>
      <c r="AL942" s="25">
        <f>AL985/(AL$366+AK$366+AI$366+AH$366)</f>
        <v/>
      </c>
      <c r="AM942" s="25">
        <f>AM985/(AM$366+AL$366+AK$366+AI$366)</f>
        <v/>
      </c>
      <c r="AN942" s="25">
        <f>AN985/(AN$366+AM$366+AL$366+AK$366)</f>
        <v/>
      </c>
      <c r="AO942" s="1232">
        <f>AO985/AO$366</f>
        <v/>
      </c>
      <c r="AP942" s="25">
        <f>AP985/(AP$366+AN$366+AM$366+AL$366)</f>
        <v/>
      </c>
      <c r="AQ942" s="25">
        <f>AQ985/(AQ$366+AP$366+AN$366+AM$366)</f>
        <v/>
      </c>
      <c r="AR942" s="25">
        <f>AR985/(AR$366+AQ$366+AP$366+AN$366)</f>
        <v/>
      </c>
      <c r="AS942" s="25">
        <f>AS985/(AS$366+AR$366+AQ$366+AP$366)</f>
        <v/>
      </c>
      <c r="AT942" s="1232">
        <f>AT985/AT$366</f>
        <v/>
      </c>
      <c r="AU942" s="25">
        <f>AU985/(AU$366+AS$366+AR$366+AQ$366)</f>
        <v/>
      </c>
      <c r="AV942" s="25">
        <f>AV985/(AV$366+AU$366+AS$366+AR$366)</f>
        <v/>
      </c>
      <c r="AW942" s="25">
        <f>AW985/(AW$366+AV$366+AU$366+AS$366)</f>
        <v/>
      </c>
      <c r="AX942" s="25">
        <f>AX985/(AX$366+AW$366+AV$366+AU$366)</f>
        <v/>
      </c>
      <c r="AY942" s="1232">
        <f>AY985/AY$366</f>
        <v/>
      </c>
      <c r="AZ942" s="25">
        <f>AZ985/(AZ$366+AX$366+AW$366+AV$366)</f>
        <v/>
      </c>
      <c r="BA942" s="25">
        <f>BA985/(BA$366+AZ$366+AX$366+AW$366)</f>
        <v/>
      </c>
      <c r="BB942" s="25">
        <f>BB985/(BB$366+BA$366+AZ$366+AX$366)</f>
        <v/>
      </c>
      <c r="BC942" s="25">
        <f>BC985/(BC$366+BB$366+BA$366+AZ$366)</f>
        <v/>
      </c>
      <c r="BD942" s="1232">
        <f>BD985/BD$366</f>
        <v/>
      </c>
      <c r="BE942" s="25">
        <f>BE985/(BE$366+BC$366+BB$366+BA$366)</f>
        <v/>
      </c>
      <c r="BF942" s="25">
        <f>BF985/(BF$366+BE$366+BC$366+BB$366)</f>
        <v/>
      </c>
      <c r="BG942" s="25">
        <f>BG985/(BG$366+BF$366+BE$366+BC$366)</f>
        <v/>
      </c>
      <c r="BH942" s="25">
        <f>BH985/(BH$366+BG$366+BF$366+BE$366)</f>
        <v/>
      </c>
      <c r="BI942" s="1232">
        <f>BI985/BI$366</f>
        <v/>
      </c>
      <c r="BJ942" s="25">
        <f>BJ985/(BJ$366+BH$366+BG$366+BF$366)</f>
        <v/>
      </c>
      <c r="BK942" s="25">
        <f>BK985/(BK$366+BJ$366+BH$366+BG$366)</f>
        <v/>
      </c>
      <c r="BL942" s="25">
        <f>BL985/(BL$366+BK$366+BJ$366+BH$366)</f>
        <v/>
      </c>
      <c r="BM942" s="25">
        <f>BM985/(BM$366+BL$366+BK$366+BJ$366)</f>
        <v/>
      </c>
      <c r="BN942" s="1232">
        <f>BN985/BN$366</f>
        <v/>
      </c>
      <c r="BO942" s="25">
        <f>BO985/(BO$366+BM$366+BL$366+BK$366)</f>
        <v/>
      </c>
      <c r="BP942" s="25">
        <f>BP985/(BP$366+BO$366+BM$366+BL$366)</f>
        <v/>
      </c>
      <c r="BQ942" s="25">
        <f>BQ985/(BQ$366+BP$366+BO$366+BM$366)</f>
        <v/>
      </c>
      <c r="BR942" s="25">
        <f>BR985/(BR$366+BQ$366+BP$366+BO$366)</f>
        <v/>
      </c>
      <c r="BS942" s="1232">
        <f>BS985/BS$366</f>
        <v/>
      </c>
      <c r="BT942" s="25">
        <f>BT985/(BT$366+BR$366+BQ$366+BP$366)</f>
        <v/>
      </c>
      <c r="BU942" s="25">
        <f>BU985/(BU$366+BT$366+BR$366+BQ$366)</f>
        <v/>
      </c>
      <c r="BV942" s="931">
        <f>BV985/(BV$366+BU$366+BT$366+BR$366)</f>
        <v/>
      </c>
      <c r="BW942" s="238">
        <f>BR942+BW947</f>
        <v/>
      </c>
      <c r="BX942" s="1145">
        <f>BX985/BX$366</f>
        <v/>
      </c>
      <c r="BY942" s="238">
        <f>BT942+BY947</f>
        <v/>
      </c>
      <c r="BZ942" s="238">
        <f>BU942+BZ947</f>
        <v/>
      </c>
      <c r="CA942" s="238">
        <f>BV942+CA947</f>
        <v/>
      </c>
      <c r="CB942" s="238">
        <f>BW942+CB947</f>
        <v/>
      </c>
      <c r="CC942" s="1145">
        <f>CC985/CC$366</f>
        <v/>
      </c>
      <c r="CD942" s="1145">
        <f>CC942+CD947</f>
        <v/>
      </c>
      <c r="CE942" s="1145">
        <f>CD942+CE947</f>
        <v/>
      </c>
      <c r="CF942" s="1145">
        <f>CE942+CF947</f>
        <v/>
      </c>
      <c r="CG942" s="332" t="n"/>
    </row>
    <row r="943" customFormat="1" s="333">
      <c r="A943" s="96" t="inlineStr">
        <is>
          <t>Accrued and other current liabilities, % of LTM Sales</t>
        </is>
      </c>
      <c r="B943" s="283" t="n"/>
      <c r="C943" s="1232">
        <f>C987/C$362</f>
        <v/>
      </c>
      <c r="D943" s="1232">
        <f>D987/D$362</f>
        <v/>
      </c>
      <c r="E943" s="1232">
        <f>E987/E$362</f>
        <v/>
      </c>
      <c r="F943" s="1232">
        <f>F987/F$362</f>
        <v/>
      </c>
      <c r="G943" s="238" t="n"/>
      <c r="H943" s="238" t="n"/>
      <c r="I943" s="238" t="n"/>
      <c r="J943" s="238" t="n"/>
      <c r="K943" s="1232">
        <f>K987/K$362</f>
        <v/>
      </c>
      <c r="L943" s="25">
        <f>L987/(L$362+J$362+I$362+H$362)</f>
        <v/>
      </c>
      <c r="M943" s="25">
        <f>M987/(M$362+L$362+J$362+I$362)</f>
        <v/>
      </c>
      <c r="N943" s="25">
        <f>N987/(N$362+M$362+L$362+J$362)</f>
        <v/>
      </c>
      <c r="O943" s="25">
        <f>O987/(O$362+N$362+M$362+L$362)</f>
        <v/>
      </c>
      <c r="P943" s="1232">
        <f>P987/P$362</f>
        <v/>
      </c>
      <c r="Q943" s="25">
        <f>Q987/(Q$362+O$362+N$362+M$362)</f>
        <v/>
      </c>
      <c r="R943" s="25">
        <f>R987/(R$362+Q$362+O$362+N$362)</f>
        <v/>
      </c>
      <c r="S943" s="25">
        <f>S987/(S$362+R$362+Q$362+O$362)</f>
        <v/>
      </c>
      <c r="T943" s="25">
        <f>T987/(T$362+S$362+R$362+Q$362)</f>
        <v/>
      </c>
      <c r="U943" s="1232">
        <f>U987/U$362</f>
        <v/>
      </c>
      <c r="V943" s="25">
        <f>V987/(V$362+T$362+S$362+R$362)</f>
        <v/>
      </c>
      <c r="W943" s="25">
        <f>W987/(W$362+V$362+T$362+S$362)</f>
        <v/>
      </c>
      <c r="X943" s="25">
        <f>X987/(X$362+W$362+V$362+T$362)</f>
        <v/>
      </c>
      <c r="Y943" s="25">
        <f>Y987/(Y$362+X$362+W$362+V$362)</f>
        <v/>
      </c>
      <c r="Z943" s="1232">
        <f>Z987/Z$362</f>
        <v/>
      </c>
      <c r="AA943" s="25">
        <f>AA987/(AA$362+Y$362+X$362+W$362)</f>
        <v/>
      </c>
      <c r="AB943" s="25">
        <f>AB987/(AB$362+AA$362+Y$362+X$362)</f>
        <v/>
      </c>
      <c r="AC943" s="25">
        <f>AC987/(AC$362+AB$362+AA$362+Y$362)</f>
        <v/>
      </c>
      <c r="AD943" s="25">
        <f>AD987/(AD$362+AC$362+AB$362+AA$362)</f>
        <v/>
      </c>
      <c r="AE943" s="1232">
        <f>AE987/AE$362</f>
        <v/>
      </c>
      <c r="AF943" s="25">
        <f>AF987/(AF$362+AD$362+AC$362+AB$362)</f>
        <v/>
      </c>
      <c r="AG943" s="25">
        <f>AG987/(AG$362+AF$362+AD$362+AC$362)</f>
        <v/>
      </c>
      <c r="AH943" s="25">
        <f>AH987/(AH$362+AG$362+AF$362+AD$362)</f>
        <v/>
      </c>
      <c r="AI943" s="25">
        <f>AI987/(AI$362+AH$362+AG$362+AF$362)</f>
        <v/>
      </c>
      <c r="AJ943" s="1232">
        <f>AJ987/AJ$362</f>
        <v/>
      </c>
      <c r="AK943" s="25">
        <f>AK987/(AK$362+AI$362+AH$362+AG$362)</f>
        <v/>
      </c>
      <c r="AL943" s="25">
        <f>AL987/(AL$362+AK$362+AI$362+AH$362)</f>
        <v/>
      </c>
      <c r="AM943" s="25">
        <f>AM987/(AM$362+AL$362+AK$362+AI$362)</f>
        <v/>
      </c>
      <c r="AN943" s="25">
        <f>AN987/(AN$362+AM$362+AL$362+AK$362)</f>
        <v/>
      </c>
      <c r="AO943" s="1232">
        <f>AO987/AO$362</f>
        <v/>
      </c>
      <c r="AP943" s="25">
        <f>AP987/(AP$362+AN$362+AM$362+AL$362)</f>
        <v/>
      </c>
      <c r="AQ943" s="25">
        <f>AQ987/(AQ$362+AP$362+AN$362+AM$362)</f>
        <v/>
      </c>
      <c r="AR943" s="25">
        <f>AR987/(AR$362+AQ$362+AP$362+AN$362)</f>
        <v/>
      </c>
      <c r="AS943" s="25">
        <f>AS987/(AS$362+AR$362+AQ$362+AP$362)</f>
        <v/>
      </c>
      <c r="AT943" s="1232">
        <f>AT987/AT$362</f>
        <v/>
      </c>
      <c r="AU943" s="25">
        <f>AU987/(AU$362+AS$362+AR$362+AQ$362)</f>
        <v/>
      </c>
      <c r="AV943" s="25">
        <f>AV987/(AV$362+AU$362+AS$362+AR$362)</f>
        <v/>
      </c>
      <c r="AW943" s="25">
        <f>AW987/(AW$362+AV$362+AU$362+AS$362)</f>
        <v/>
      </c>
      <c r="AX943" s="25">
        <f>AX987/(AX$362+AW$362+AV$362+AU$362)</f>
        <v/>
      </c>
      <c r="AY943" s="1232">
        <f>AY987/AY$362</f>
        <v/>
      </c>
      <c r="AZ943" s="25">
        <f>AZ987/(AZ$362+AX$362+AW$362+AV$362)</f>
        <v/>
      </c>
      <c r="BA943" s="25">
        <f>BA987/(BA$362+AZ$362+AX$362+AW$362)</f>
        <v/>
      </c>
      <c r="BB943" s="25">
        <f>BB987/(BB$362+BA$362+AZ$362+AX$362)</f>
        <v/>
      </c>
      <c r="BC943" s="25">
        <f>BC987/(BC$362+BB$362+BA$362+AZ$362)</f>
        <v/>
      </c>
      <c r="BD943" s="1232">
        <f>BD987/BD$362</f>
        <v/>
      </c>
      <c r="BE943" s="25">
        <f>BE987/(BE$362+BC$362+BB$362+BA$362)</f>
        <v/>
      </c>
      <c r="BF943" s="25">
        <f>BF987/(BF$362+BE$362+BC$362+BB$362)</f>
        <v/>
      </c>
      <c r="BG943" s="25">
        <f>BG987/(BG$362+BF$362+BE$362+BC$362)</f>
        <v/>
      </c>
      <c r="BH943" s="25">
        <f>BH987/(BH$362+BG$362+BF$362+BE$362)</f>
        <v/>
      </c>
      <c r="BI943" s="1232">
        <f>BI987/BI$362</f>
        <v/>
      </c>
      <c r="BJ943" s="25">
        <f>BJ987/(BJ$362+BH$362+BG$362+BF$362)</f>
        <v/>
      </c>
      <c r="BK943" s="25">
        <f>BK987/(BK$362+BJ$362+BH$362+BG$362)</f>
        <v/>
      </c>
      <c r="BL943" s="25">
        <f>BL987/(BL$362+BK$362+BJ$362+BH$362)</f>
        <v/>
      </c>
      <c r="BM943" s="25">
        <f>BM987/(BM$362+BL$362+BK$362+BJ$362)</f>
        <v/>
      </c>
      <c r="BN943" s="1232">
        <f>BN987/BN$362</f>
        <v/>
      </c>
      <c r="BO943" s="25">
        <f>BO987/(BO$362+BM$362+BL$362+BK$362)</f>
        <v/>
      </c>
      <c r="BP943" s="25">
        <f>BP987/(BP$362+BO$362+BM$362+BL$362)</f>
        <v/>
      </c>
      <c r="BQ943" s="25">
        <f>BQ987/(BQ$362+BP$362+BO$362+BM$362)</f>
        <v/>
      </c>
      <c r="BR943" s="25">
        <f>BR987/(BR$362+BQ$362+BP$362+BO$362)</f>
        <v/>
      </c>
      <c r="BS943" s="1232">
        <f>BS987/BS$362</f>
        <v/>
      </c>
      <c r="BT943" s="25">
        <f>BT987/(BT$362+BR$362+BQ$362+BP$362)</f>
        <v/>
      </c>
      <c r="BU943" s="25">
        <f>BU987/(BU$362+BT$362+BR$362+BQ$362)</f>
        <v/>
      </c>
      <c r="BV943" s="931">
        <f>BV987/(BV$362+BU$362+BT$362+BR$362)</f>
        <v/>
      </c>
      <c r="BW943" s="238">
        <f>BR943+BW948</f>
        <v/>
      </c>
      <c r="BX943" s="1145">
        <f>BX987/BX$362</f>
        <v/>
      </c>
      <c r="BY943" s="238">
        <f>BT943+BY948</f>
        <v/>
      </c>
      <c r="BZ943" s="238">
        <f>BU943+BZ948</f>
        <v/>
      </c>
      <c r="CA943" s="238">
        <f>BV943+CA948</f>
        <v/>
      </c>
      <c r="CB943" s="238">
        <f>BW943+CB948</f>
        <v/>
      </c>
      <c r="CC943" s="1145">
        <f>CC987/CC$362</f>
        <v/>
      </c>
      <c r="CD943" s="1145">
        <f>CC943+CD948</f>
        <v/>
      </c>
      <c r="CE943" s="1145">
        <f>CD943+CE948</f>
        <v/>
      </c>
      <c r="CF943" s="1145">
        <f>CE943+CF948</f>
        <v/>
      </c>
      <c r="CG943" s="332" t="n"/>
    </row>
    <row r="944">
      <c r="A944" s="581" t="n"/>
      <c r="B944" s="283" t="n"/>
      <c r="C944" s="1145" t="n"/>
      <c r="D944" s="1145" t="n"/>
      <c r="E944" s="1145" t="n"/>
      <c r="F944" s="1145" t="n"/>
      <c r="G944" s="238" t="n"/>
      <c r="H944" s="238" t="n"/>
      <c r="I944" s="238" t="n"/>
      <c r="J944" s="238" t="n"/>
      <c r="K944" s="1145" t="n"/>
      <c r="L944" s="238" t="n"/>
      <c r="M944" s="238" t="n"/>
      <c r="N944" s="238" t="n"/>
      <c r="O944" s="238" t="n"/>
      <c r="P944" s="1145" t="n"/>
      <c r="Q944" s="238" t="n"/>
      <c r="R944" s="238" t="n"/>
      <c r="S944" s="238" t="n"/>
      <c r="T944" s="238" t="n"/>
      <c r="U944" s="1145" t="n"/>
      <c r="V944" s="238" t="n"/>
      <c r="W944" s="238" t="n"/>
      <c r="X944" s="238" t="n"/>
      <c r="Y944" s="238" t="n"/>
      <c r="Z944" s="1145" t="n"/>
      <c r="AA944" s="238" t="n"/>
      <c r="AB944" s="238" t="n"/>
      <c r="AC944" s="238" t="n"/>
      <c r="AD944" s="238" t="n"/>
      <c r="AE944" s="1145" t="n"/>
      <c r="AF944" s="238" t="n"/>
      <c r="AG944" s="238" t="n"/>
      <c r="AH944" s="238" t="n"/>
      <c r="AI944" s="238" t="n"/>
      <c r="AJ944" s="1145" t="n"/>
      <c r="AK944" s="238" t="n"/>
      <c r="AL944" s="238" t="n"/>
      <c r="AM944" s="238" t="n"/>
      <c r="AN944" s="238" t="n"/>
      <c r="AO944" s="1145" t="n"/>
      <c r="AP944" s="238" t="n"/>
      <c r="AQ944" s="238" t="n"/>
      <c r="AR944" s="238" t="n"/>
      <c r="AS944" s="238" t="n"/>
      <c r="AT944" s="1145" t="n"/>
      <c r="AU944" s="238" t="n"/>
      <c r="AV944" s="238" t="n"/>
      <c r="AW944" s="238" t="n"/>
      <c r="AX944" s="238" t="n"/>
      <c r="AY944" s="1145" t="n"/>
      <c r="AZ944" s="238" t="n"/>
      <c r="BA944" s="238" t="n"/>
      <c r="BB944" s="238" t="n"/>
      <c r="BC944" s="238" t="n"/>
      <c r="BD944" s="1145" t="n"/>
      <c r="BE944" s="238" t="n"/>
      <c r="BF944" s="238" t="n"/>
      <c r="BG944" s="238" t="n"/>
      <c r="BH944" s="238" t="n"/>
      <c r="BI944" s="1145" t="n"/>
      <c r="BJ944" s="238" t="n"/>
      <c r="BK944" s="238" t="n"/>
      <c r="BL944" s="238" t="n"/>
      <c r="BM944" s="238" t="n"/>
      <c r="BN944" s="1145" t="n"/>
      <c r="BO944" s="238" t="n"/>
      <c r="BP944" s="238" t="n"/>
      <c r="BQ944" s="238" t="n"/>
      <c r="BR944" s="238" t="n"/>
      <c r="BS944" s="1145" t="n"/>
      <c r="BT944" s="238" t="n"/>
      <c r="BU944" s="238" t="n"/>
      <c r="BV944" s="913" t="n"/>
      <c r="BW944" s="238" t="n"/>
      <c r="BX944" s="1145" t="n"/>
      <c r="BY944" s="238" t="n"/>
      <c r="BZ944" s="238" t="n"/>
      <c r="CA944" s="238" t="n"/>
      <c r="CB944" s="238" t="n"/>
      <c r="CC944" s="1145" t="n"/>
      <c r="CD944" s="1145" t="n"/>
      <c r="CE944" s="1145" t="n"/>
      <c r="CF944" s="1145" t="n"/>
      <c r="CG944" s="155" t="n"/>
    </row>
    <row r="945">
      <c r="A945" s="726" t="inlineStr">
        <is>
          <t>Accounts receivable, net, Y/Y Change, %</t>
        </is>
      </c>
      <c r="B945" s="625" t="n"/>
      <c r="C945" s="1191" t="n"/>
      <c r="D945" s="1191">
        <f>D940-C940</f>
        <v/>
      </c>
      <c r="E945" s="1191">
        <f>E940-D940</f>
        <v/>
      </c>
      <c r="F945" s="1191">
        <f>F940-E940</f>
        <v/>
      </c>
      <c r="G945" s="792" t="n"/>
      <c r="H945" s="792" t="n"/>
      <c r="I945" s="792" t="n"/>
      <c r="J945" s="792" t="n"/>
      <c r="K945" s="1191">
        <f>K940-F940</f>
        <v/>
      </c>
      <c r="L945" s="792" t="n"/>
      <c r="M945" s="792" t="n"/>
      <c r="N945" s="792" t="n"/>
      <c r="O945" s="792" t="n"/>
      <c r="P945" s="1191">
        <f>P940-K940</f>
        <v/>
      </c>
      <c r="Q945" s="792">
        <f>Q940-L940</f>
        <v/>
      </c>
      <c r="R945" s="792">
        <f>R940-M940</f>
        <v/>
      </c>
      <c r="S945" s="792">
        <f>S940-N940</f>
        <v/>
      </c>
      <c r="T945" s="792">
        <f>T940-O940</f>
        <v/>
      </c>
      <c r="U945" s="1191">
        <f>U940-P940</f>
        <v/>
      </c>
      <c r="V945" s="792">
        <f>V940-Q940</f>
        <v/>
      </c>
      <c r="W945" s="792">
        <f>W940-R940</f>
        <v/>
      </c>
      <c r="X945" s="792">
        <f>X940-S940</f>
        <v/>
      </c>
      <c r="Y945" s="792">
        <f>Y940-T940</f>
        <v/>
      </c>
      <c r="Z945" s="1191">
        <f>Z940-U940</f>
        <v/>
      </c>
      <c r="AA945" s="792">
        <f>AA940-V940</f>
        <v/>
      </c>
      <c r="AB945" s="792">
        <f>AB940-W940</f>
        <v/>
      </c>
      <c r="AC945" s="792">
        <f>AC940-X940</f>
        <v/>
      </c>
      <c r="AD945" s="792">
        <f>AD940-Y940</f>
        <v/>
      </c>
      <c r="AE945" s="1191">
        <f>AE940-Z940</f>
        <v/>
      </c>
      <c r="AF945" s="792">
        <f>AF940-AA940</f>
        <v/>
      </c>
      <c r="AG945" s="792">
        <f>AG940-AB940</f>
        <v/>
      </c>
      <c r="AH945" s="792">
        <f>AH940-AC940</f>
        <v/>
      </c>
      <c r="AI945" s="792">
        <f>AI940-AD940</f>
        <v/>
      </c>
      <c r="AJ945" s="1191">
        <f>AJ940-AE940</f>
        <v/>
      </c>
      <c r="AK945" s="792">
        <f>AK940-AF940</f>
        <v/>
      </c>
      <c r="AL945" s="792">
        <f>AL940-AG940</f>
        <v/>
      </c>
      <c r="AM945" s="792">
        <f>AM940-AH940</f>
        <v/>
      </c>
      <c r="AN945" s="792">
        <f>AN940-AI940</f>
        <v/>
      </c>
      <c r="AO945" s="1191">
        <f>AO940-AJ940</f>
        <v/>
      </c>
      <c r="AP945" s="792">
        <f>AP940-AK940</f>
        <v/>
      </c>
      <c r="AQ945" s="792">
        <f>AQ940-AL940</f>
        <v/>
      </c>
      <c r="AR945" s="792">
        <f>AR940-AM940</f>
        <v/>
      </c>
      <c r="AS945" s="792">
        <f>AS940-AN940</f>
        <v/>
      </c>
      <c r="AT945" s="1191">
        <f>AT940-AO940</f>
        <v/>
      </c>
      <c r="AU945" s="792">
        <f>AU940-AP940</f>
        <v/>
      </c>
      <c r="AV945" s="792">
        <f>AV940-AQ940</f>
        <v/>
      </c>
      <c r="AW945" s="792">
        <f>AW940-AR940</f>
        <v/>
      </c>
      <c r="AX945" s="792">
        <f>AX940-AS940</f>
        <v/>
      </c>
      <c r="AY945" s="1191">
        <f>AY940-AT940</f>
        <v/>
      </c>
      <c r="AZ945" s="792">
        <f>AZ940-AU940</f>
        <v/>
      </c>
      <c r="BA945" s="792">
        <f>BA940-AV940</f>
        <v/>
      </c>
      <c r="BB945" s="792">
        <f>BB940-AW940</f>
        <v/>
      </c>
      <c r="BC945" s="792">
        <f>BC940-AX940</f>
        <v/>
      </c>
      <c r="BD945" s="1191">
        <f>BD940-AY940</f>
        <v/>
      </c>
      <c r="BE945" s="792">
        <f>BE940-AZ940</f>
        <v/>
      </c>
      <c r="BF945" s="792">
        <f>BF940-BA940</f>
        <v/>
      </c>
      <c r="BG945" s="792">
        <f>BG940-BB940</f>
        <v/>
      </c>
      <c r="BH945" s="792">
        <f>BH940-BC940</f>
        <v/>
      </c>
      <c r="BI945" s="1191">
        <f>BI940-BD940</f>
        <v/>
      </c>
      <c r="BJ945" s="792">
        <f>BJ940-BE940</f>
        <v/>
      </c>
      <c r="BK945" s="792">
        <f>BK940-BF940</f>
        <v/>
      </c>
      <c r="BL945" s="792">
        <f>BL940-BG940</f>
        <v/>
      </c>
      <c r="BM945" s="792">
        <f>BM940-BH940</f>
        <v/>
      </c>
      <c r="BN945" s="1191">
        <f>BN940-BI940</f>
        <v/>
      </c>
      <c r="BO945" s="792">
        <f>BO940-BJ940</f>
        <v/>
      </c>
      <c r="BP945" s="792">
        <f>BP940-BK940</f>
        <v/>
      </c>
      <c r="BQ945" s="792">
        <f>BQ940-BL940</f>
        <v/>
      </c>
      <c r="BR945" s="792">
        <f>BR940-BM940</f>
        <v/>
      </c>
      <c r="BS945" s="1191">
        <f>BS940-BN940</f>
        <v/>
      </c>
      <c r="BT945" s="792">
        <f>BT940-BO940</f>
        <v/>
      </c>
      <c r="BU945" s="792">
        <f>BU940-BP940</f>
        <v/>
      </c>
      <c r="BV945" s="907">
        <f>BV940-BQ940</f>
        <v/>
      </c>
      <c r="BW945" s="1088" t="n">
        <v>0</v>
      </c>
      <c r="BX945" s="1191">
        <f>BX940-BS940</f>
        <v/>
      </c>
      <c r="BY945" s="1088" t="n">
        <v>0</v>
      </c>
      <c r="BZ945" s="1088" t="n">
        <v>0</v>
      </c>
      <c r="CA945" s="1088" t="n">
        <v>0</v>
      </c>
      <c r="CB945" s="1088" t="n">
        <v>0</v>
      </c>
      <c r="CC945" s="1191">
        <f>CC940-BX940</f>
        <v/>
      </c>
      <c r="CD945" s="1233" t="n">
        <v>0</v>
      </c>
      <c r="CE945" s="1233" t="n">
        <v>0</v>
      </c>
      <c r="CF945" s="1233" t="n">
        <v>0</v>
      </c>
      <c r="CG945" s="155" t="n"/>
    </row>
    <row r="946">
      <c r="A946" s="726" t="inlineStr">
        <is>
          <t>Inventories, Y/Y Change, %</t>
        </is>
      </c>
      <c r="B946" s="625" t="n"/>
      <c r="C946" s="1191" t="n"/>
      <c r="D946" s="1191">
        <f>D941-C941</f>
        <v/>
      </c>
      <c r="E946" s="1191">
        <f>E941-D941</f>
        <v/>
      </c>
      <c r="F946" s="1191">
        <f>F941-E941</f>
        <v/>
      </c>
      <c r="G946" s="792" t="n"/>
      <c r="H946" s="792" t="n"/>
      <c r="I946" s="792" t="n"/>
      <c r="J946" s="792" t="n"/>
      <c r="K946" s="1191">
        <f>K941-F941</f>
        <v/>
      </c>
      <c r="L946" s="792" t="n"/>
      <c r="M946" s="792" t="n"/>
      <c r="N946" s="792" t="n"/>
      <c r="O946" s="792" t="n"/>
      <c r="P946" s="1191">
        <f>P941-K941</f>
        <v/>
      </c>
      <c r="Q946" s="792">
        <f>Q941-L941</f>
        <v/>
      </c>
      <c r="R946" s="792">
        <f>R941-M941</f>
        <v/>
      </c>
      <c r="S946" s="792">
        <f>S941-N941</f>
        <v/>
      </c>
      <c r="T946" s="792">
        <f>T941-O941</f>
        <v/>
      </c>
      <c r="U946" s="1191">
        <f>U941-P941</f>
        <v/>
      </c>
      <c r="V946" s="792">
        <f>V941-Q941</f>
        <v/>
      </c>
      <c r="W946" s="792">
        <f>W941-R941</f>
        <v/>
      </c>
      <c r="X946" s="792">
        <f>X941-S941</f>
        <v/>
      </c>
      <c r="Y946" s="792">
        <f>Y941-T941</f>
        <v/>
      </c>
      <c r="Z946" s="1191">
        <f>Z941-U941</f>
        <v/>
      </c>
      <c r="AA946" s="792">
        <f>AA941-V941</f>
        <v/>
      </c>
      <c r="AB946" s="792">
        <f>AB941-W941</f>
        <v/>
      </c>
      <c r="AC946" s="792">
        <f>AC941-X941</f>
        <v/>
      </c>
      <c r="AD946" s="792">
        <f>AD941-Y941</f>
        <v/>
      </c>
      <c r="AE946" s="1191">
        <f>AE941-Z941</f>
        <v/>
      </c>
      <c r="AF946" s="792">
        <f>AF941-AA941</f>
        <v/>
      </c>
      <c r="AG946" s="792">
        <f>AG941-AB941</f>
        <v/>
      </c>
      <c r="AH946" s="792">
        <f>AH941-AC941</f>
        <v/>
      </c>
      <c r="AI946" s="792">
        <f>AI941-AD941</f>
        <v/>
      </c>
      <c r="AJ946" s="1191">
        <f>AJ941-AE941</f>
        <v/>
      </c>
      <c r="AK946" s="792">
        <f>AK941-AF941</f>
        <v/>
      </c>
      <c r="AL946" s="792">
        <f>AL941-AG941</f>
        <v/>
      </c>
      <c r="AM946" s="792">
        <f>AM941-AH941</f>
        <v/>
      </c>
      <c r="AN946" s="792">
        <f>AN941-AI941</f>
        <v/>
      </c>
      <c r="AO946" s="1191">
        <f>AO941-AJ941</f>
        <v/>
      </c>
      <c r="AP946" s="792">
        <f>AP941-AK941</f>
        <v/>
      </c>
      <c r="AQ946" s="792">
        <f>AQ941-AL941</f>
        <v/>
      </c>
      <c r="AR946" s="792">
        <f>AR941-AM941</f>
        <v/>
      </c>
      <c r="AS946" s="792">
        <f>AS941-AN941</f>
        <v/>
      </c>
      <c r="AT946" s="1191">
        <f>AT941-AO941</f>
        <v/>
      </c>
      <c r="AU946" s="792">
        <f>AU941-AP941</f>
        <v/>
      </c>
      <c r="AV946" s="792">
        <f>AV941-AQ941</f>
        <v/>
      </c>
      <c r="AW946" s="792">
        <f>AW941-AR941</f>
        <v/>
      </c>
      <c r="AX946" s="792">
        <f>AX941-AS941</f>
        <v/>
      </c>
      <c r="AY946" s="1191">
        <f>AY941-AT941</f>
        <v/>
      </c>
      <c r="AZ946" s="792">
        <f>AZ941-AU941</f>
        <v/>
      </c>
      <c r="BA946" s="792">
        <f>BA941-AV941</f>
        <v/>
      </c>
      <c r="BB946" s="792">
        <f>BB941-AW941</f>
        <v/>
      </c>
      <c r="BC946" s="792">
        <f>BC941-AX941</f>
        <v/>
      </c>
      <c r="BD946" s="1191">
        <f>BD941-AY941</f>
        <v/>
      </c>
      <c r="BE946" s="792">
        <f>BE941-AZ941</f>
        <v/>
      </c>
      <c r="BF946" s="792">
        <f>BF941-BA941</f>
        <v/>
      </c>
      <c r="BG946" s="792">
        <f>BG941-BB941</f>
        <v/>
      </c>
      <c r="BH946" s="792">
        <f>BH941-BC941</f>
        <v/>
      </c>
      <c r="BI946" s="1191">
        <f>BI941-BD941</f>
        <v/>
      </c>
      <c r="BJ946" s="792">
        <f>BJ941-BE941</f>
        <v/>
      </c>
      <c r="BK946" s="792">
        <f>BK941-BF941</f>
        <v/>
      </c>
      <c r="BL946" s="792">
        <f>BL941-BG941</f>
        <v/>
      </c>
      <c r="BM946" s="792">
        <f>BM941-BH941</f>
        <v/>
      </c>
      <c r="BN946" s="1191">
        <f>BN941-BI941</f>
        <v/>
      </c>
      <c r="BO946" s="792">
        <f>BO941-BJ941</f>
        <v/>
      </c>
      <c r="BP946" s="792">
        <f>BP941-BK941</f>
        <v/>
      </c>
      <c r="BQ946" s="792">
        <f>BQ941-BL941</f>
        <v/>
      </c>
      <c r="BR946" s="792">
        <f>BR941-BM941</f>
        <v/>
      </c>
      <c r="BS946" s="1191">
        <f>BS941-BN941</f>
        <v/>
      </c>
      <c r="BT946" s="792">
        <f>BT941-BO941</f>
        <v/>
      </c>
      <c r="BU946" s="792">
        <f>BU941-BP941</f>
        <v/>
      </c>
      <c r="BV946" s="907">
        <f>BV941-BQ941</f>
        <v/>
      </c>
      <c r="BW946" s="1088" t="n">
        <v>0</v>
      </c>
      <c r="BX946" s="1191">
        <f>BX941-BS941</f>
        <v/>
      </c>
      <c r="BY946" s="1088" t="n">
        <v>0</v>
      </c>
      <c r="BZ946" s="1088" t="n">
        <v>0</v>
      </c>
      <c r="CA946" s="1088" t="n">
        <v>0</v>
      </c>
      <c r="CB946" s="1088" t="n">
        <v>0</v>
      </c>
      <c r="CC946" s="1191">
        <f>CC941-BX941</f>
        <v/>
      </c>
      <c r="CD946" s="1233" t="n">
        <v>0</v>
      </c>
      <c r="CE946" s="1233" t="n">
        <v>0</v>
      </c>
      <c r="CF946" s="1233" t="n">
        <v>0</v>
      </c>
      <c r="CG946" s="155" t="n"/>
    </row>
    <row r="947">
      <c r="A947" s="726" t="inlineStr">
        <is>
          <t>Accounts payable, Y/Y Change, %</t>
        </is>
      </c>
      <c r="B947" s="625" t="n"/>
      <c r="C947" s="1191" t="n"/>
      <c r="D947" s="1191">
        <f>D942-C942</f>
        <v/>
      </c>
      <c r="E947" s="1191">
        <f>E942-D942</f>
        <v/>
      </c>
      <c r="F947" s="1191">
        <f>F942-E942</f>
        <v/>
      </c>
      <c r="G947" s="792" t="n"/>
      <c r="H947" s="792" t="n"/>
      <c r="I947" s="792" t="n"/>
      <c r="J947" s="792" t="n"/>
      <c r="K947" s="1191">
        <f>K942-F942</f>
        <v/>
      </c>
      <c r="L947" s="792" t="n"/>
      <c r="M947" s="792" t="n"/>
      <c r="N947" s="792" t="n"/>
      <c r="O947" s="792" t="n"/>
      <c r="P947" s="1191">
        <f>P942-K942</f>
        <v/>
      </c>
      <c r="Q947" s="792">
        <f>Q942-L942</f>
        <v/>
      </c>
      <c r="R947" s="792">
        <f>R942-M942</f>
        <v/>
      </c>
      <c r="S947" s="792">
        <f>S942-N942</f>
        <v/>
      </c>
      <c r="T947" s="792">
        <f>T942-O942</f>
        <v/>
      </c>
      <c r="U947" s="1191">
        <f>U942-P942</f>
        <v/>
      </c>
      <c r="V947" s="792">
        <f>V942-Q942</f>
        <v/>
      </c>
      <c r="W947" s="792">
        <f>W942-R942</f>
        <v/>
      </c>
      <c r="X947" s="792">
        <f>X942-S942</f>
        <v/>
      </c>
      <c r="Y947" s="792">
        <f>Y942-T942</f>
        <v/>
      </c>
      <c r="Z947" s="1191">
        <f>Z942-U942</f>
        <v/>
      </c>
      <c r="AA947" s="792">
        <f>AA942-V942</f>
        <v/>
      </c>
      <c r="AB947" s="792">
        <f>AB942-W942</f>
        <v/>
      </c>
      <c r="AC947" s="792">
        <f>AC942-X942</f>
        <v/>
      </c>
      <c r="AD947" s="792">
        <f>AD942-Y942</f>
        <v/>
      </c>
      <c r="AE947" s="1191">
        <f>AE942-Z942</f>
        <v/>
      </c>
      <c r="AF947" s="792">
        <f>AF942-AA942</f>
        <v/>
      </c>
      <c r="AG947" s="792">
        <f>AG942-AB942</f>
        <v/>
      </c>
      <c r="AH947" s="792">
        <f>AH942-AC942</f>
        <v/>
      </c>
      <c r="AI947" s="792">
        <f>AI942-AD942</f>
        <v/>
      </c>
      <c r="AJ947" s="1191">
        <f>AJ942-AE942</f>
        <v/>
      </c>
      <c r="AK947" s="792">
        <f>AK942-AF942</f>
        <v/>
      </c>
      <c r="AL947" s="792">
        <f>AL942-AG942</f>
        <v/>
      </c>
      <c r="AM947" s="792">
        <f>AM942-AH942</f>
        <v/>
      </c>
      <c r="AN947" s="792">
        <f>AN942-AI942</f>
        <v/>
      </c>
      <c r="AO947" s="1191">
        <f>AO942-AJ942</f>
        <v/>
      </c>
      <c r="AP947" s="792">
        <f>AP942-AK942</f>
        <v/>
      </c>
      <c r="AQ947" s="792">
        <f>AQ942-AL942</f>
        <v/>
      </c>
      <c r="AR947" s="792">
        <f>AR942-AM942</f>
        <v/>
      </c>
      <c r="AS947" s="792">
        <f>AS942-AN942</f>
        <v/>
      </c>
      <c r="AT947" s="1191">
        <f>AT942-AO942</f>
        <v/>
      </c>
      <c r="AU947" s="792">
        <f>AU942-AP942</f>
        <v/>
      </c>
      <c r="AV947" s="792">
        <f>AV942-AQ942</f>
        <v/>
      </c>
      <c r="AW947" s="792">
        <f>AW942-AR942</f>
        <v/>
      </c>
      <c r="AX947" s="792">
        <f>AX942-AS942</f>
        <v/>
      </c>
      <c r="AY947" s="1191">
        <f>AY942-AT942</f>
        <v/>
      </c>
      <c r="AZ947" s="792">
        <f>AZ942-AU942</f>
        <v/>
      </c>
      <c r="BA947" s="792">
        <f>BA942-AV942</f>
        <v/>
      </c>
      <c r="BB947" s="792">
        <f>BB942-AW942</f>
        <v/>
      </c>
      <c r="BC947" s="792">
        <f>BC942-AX942</f>
        <v/>
      </c>
      <c r="BD947" s="1191">
        <f>BD942-AY942</f>
        <v/>
      </c>
      <c r="BE947" s="792">
        <f>BE942-AZ942</f>
        <v/>
      </c>
      <c r="BF947" s="792">
        <f>BF942-BA942</f>
        <v/>
      </c>
      <c r="BG947" s="792">
        <f>BG942-BB942</f>
        <v/>
      </c>
      <c r="BH947" s="792">
        <f>BH942-BC942</f>
        <v/>
      </c>
      <c r="BI947" s="1191">
        <f>BI942-BD942</f>
        <v/>
      </c>
      <c r="BJ947" s="792">
        <f>BJ942-BE942</f>
        <v/>
      </c>
      <c r="BK947" s="792">
        <f>BK942-BF942</f>
        <v/>
      </c>
      <c r="BL947" s="792">
        <f>BL942-BG942</f>
        <v/>
      </c>
      <c r="BM947" s="792">
        <f>BM942-BH942</f>
        <v/>
      </c>
      <c r="BN947" s="1191">
        <f>BN942-BI942</f>
        <v/>
      </c>
      <c r="BO947" s="792">
        <f>BO942-BJ942</f>
        <v/>
      </c>
      <c r="BP947" s="792">
        <f>BP942-BK942</f>
        <v/>
      </c>
      <c r="BQ947" s="792">
        <f>BQ942-BL942</f>
        <v/>
      </c>
      <c r="BR947" s="792">
        <f>BR942-BM942</f>
        <v/>
      </c>
      <c r="BS947" s="1191">
        <f>BS942-BN942</f>
        <v/>
      </c>
      <c r="BT947" s="792">
        <f>BT942-BO942</f>
        <v/>
      </c>
      <c r="BU947" s="792">
        <f>BU942-BP942</f>
        <v/>
      </c>
      <c r="BV947" s="907">
        <f>BV942-BQ942</f>
        <v/>
      </c>
      <c r="BW947" s="1088" t="n">
        <v>0</v>
      </c>
      <c r="BX947" s="1191">
        <f>BX942-BS942</f>
        <v/>
      </c>
      <c r="BY947" s="1088" t="n">
        <v>0</v>
      </c>
      <c r="BZ947" s="1088" t="n">
        <v>0</v>
      </c>
      <c r="CA947" s="1088" t="n">
        <v>0</v>
      </c>
      <c r="CB947" s="1088" t="n">
        <v>0</v>
      </c>
      <c r="CC947" s="1191">
        <f>CC942-BX942</f>
        <v/>
      </c>
      <c r="CD947" s="1233" t="n">
        <v>0</v>
      </c>
      <c r="CE947" s="1233" t="n">
        <v>0</v>
      </c>
      <c r="CF947" s="1233" t="n">
        <v>0</v>
      </c>
      <c r="CG947" s="155" t="n"/>
    </row>
    <row r="948">
      <c r="A948" s="726" t="inlineStr">
        <is>
          <t>Accrued and other current liabilities, Y/Y Change, %</t>
        </is>
      </c>
      <c r="B948" s="625" t="n"/>
      <c r="C948" s="1191" t="n"/>
      <c r="D948" s="1191">
        <f>D943-C943</f>
        <v/>
      </c>
      <c r="E948" s="1191">
        <f>E943-D943</f>
        <v/>
      </c>
      <c r="F948" s="1191">
        <f>F943-E943</f>
        <v/>
      </c>
      <c r="G948" s="792" t="n"/>
      <c r="H948" s="792" t="n"/>
      <c r="I948" s="792" t="n"/>
      <c r="J948" s="792" t="n"/>
      <c r="K948" s="1191">
        <f>K943-F943</f>
        <v/>
      </c>
      <c r="L948" s="792" t="n"/>
      <c r="M948" s="792" t="n"/>
      <c r="N948" s="792" t="n"/>
      <c r="O948" s="792" t="n"/>
      <c r="P948" s="1191">
        <f>P943-K943</f>
        <v/>
      </c>
      <c r="Q948" s="792">
        <f>Q943-L943</f>
        <v/>
      </c>
      <c r="R948" s="792">
        <f>R943-M943</f>
        <v/>
      </c>
      <c r="S948" s="792">
        <f>S943-N943</f>
        <v/>
      </c>
      <c r="T948" s="792">
        <f>T943-O943</f>
        <v/>
      </c>
      <c r="U948" s="1191">
        <f>U943-P943</f>
        <v/>
      </c>
      <c r="V948" s="792">
        <f>V943-Q943</f>
        <v/>
      </c>
      <c r="W948" s="792">
        <f>W943-R943</f>
        <v/>
      </c>
      <c r="X948" s="792">
        <f>X943-S943</f>
        <v/>
      </c>
      <c r="Y948" s="792">
        <f>Y943-T943</f>
        <v/>
      </c>
      <c r="Z948" s="1191">
        <f>Z943-U943</f>
        <v/>
      </c>
      <c r="AA948" s="792">
        <f>AA943-V943</f>
        <v/>
      </c>
      <c r="AB948" s="792">
        <f>AB943-W943</f>
        <v/>
      </c>
      <c r="AC948" s="792">
        <f>AC943-X943</f>
        <v/>
      </c>
      <c r="AD948" s="792">
        <f>AD943-Y943</f>
        <v/>
      </c>
      <c r="AE948" s="1191">
        <f>AE943-Z943</f>
        <v/>
      </c>
      <c r="AF948" s="792">
        <f>AF943-AA943</f>
        <v/>
      </c>
      <c r="AG948" s="792">
        <f>AG943-AB943</f>
        <v/>
      </c>
      <c r="AH948" s="792">
        <f>AH943-AC943</f>
        <v/>
      </c>
      <c r="AI948" s="792">
        <f>AI943-AD943</f>
        <v/>
      </c>
      <c r="AJ948" s="1191">
        <f>AJ943-AE943</f>
        <v/>
      </c>
      <c r="AK948" s="792">
        <f>AK943-AF943</f>
        <v/>
      </c>
      <c r="AL948" s="792">
        <f>AL943-AG943</f>
        <v/>
      </c>
      <c r="AM948" s="792">
        <f>AM943-AH943</f>
        <v/>
      </c>
      <c r="AN948" s="792">
        <f>AN943-AI943</f>
        <v/>
      </c>
      <c r="AO948" s="1191">
        <f>AO943-AJ943</f>
        <v/>
      </c>
      <c r="AP948" s="792">
        <f>AP943-AK943</f>
        <v/>
      </c>
      <c r="AQ948" s="792">
        <f>AQ943-AL943</f>
        <v/>
      </c>
      <c r="AR948" s="792">
        <f>AR943-AM943</f>
        <v/>
      </c>
      <c r="AS948" s="792">
        <f>AS943-AN943</f>
        <v/>
      </c>
      <c r="AT948" s="1191">
        <f>AT943-AO943</f>
        <v/>
      </c>
      <c r="AU948" s="792">
        <f>AU943-AP943</f>
        <v/>
      </c>
      <c r="AV948" s="792">
        <f>AV943-AQ943</f>
        <v/>
      </c>
      <c r="AW948" s="792">
        <f>AW943-AR943</f>
        <v/>
      </c>
      <c r="AX948" s="792">
        <f>AX943-AS943</f>
        <v/>
      </c>
      <c r="AY948" s="1191">
        <f>AY943-AT943</f>
        <v/>
      </c>
      <c r="AZ948" s="792">
        <f>AZ943-AU943</f>
        <v/>
      </c>
      <c r="BA948" s="792">
        <f>BA943-AV943</f>
        <v/>
      </c>
      <c r="BB948" s="792">
        <f>BB943-AW943</f>
        <v/>
      </c>
      <c r="BC948" s="792">
        <f>BC943-AX943</f>
        <v/>
      </c>
      <c r="BD948" s="1191">
        <f>BD943-AY943</f>
        <v/>
      </c>
      <c r="BE948" s="792">
        <f>BE943-AZ943</f>
        <v/>
      </c>
      <c r="BF948" s="792">
        <f>BF943-BA943</f>
        <v/>
      </c>
      <c r="BG948" s="792">
        <f>BG943-BB943</f>
        <v/>
      </c>
      <c r="BH948" s="792">
        <f>BH943-BC943</f>
        <v/>
      </c>
      <c r="BI948" s="1191">
        <f>BI943-BD943</f>
        <v/>
      </c>
      <c r="BJ948" s="792">
        <f>BJ943-BE943</f>
        <v/>
      </c>
      <c r="BK948" s="792">
        <f>BK943-BF943</f>
        <v/>
      </c>
      <c r="BL948" s="792">
        <f>BL943-BG943</f>
        <v/>
      </c>
      <c r="BM948" s="792">
        <f>BM943-BH943</f>
        <v/>
      </c>
      <c r="BN948" s="1191">
        <f>BN943-BI943</f>
        <v/>
      </c>
      <c r="BO948" s="792">
        <f>BO943-BJ943</f>
        <v/>
      </c>
      <c r="BP948" s="792">
        <f>BP943-BK943</f>
        <v/>
      </c>
      <c r="BQ948" s="792">
        <f>BQ943-BL943</f>
        <v/>
      </c>
      <c r="BR948" s="792">
        <f>BR943-BM943</f>
        <v/>
      </c>
      <c r="BS948" s="1191">
        <f>BS943-BN943</f>
        <v/>
      </c>
      <c r="BT948" s="792">
        <f>BT943-BO943</f>
        <v/>
      </c>
      <c r="BU948" s="792">
        <f>BU943-BP943</f>
        <v/>
      </c>
      <c r="BV948" s="907">
        <f>BV943-BQ943</f>
        <v/>
      </c>
      <c r="BW948" s="1088" t="n">
        <v>0</v>
      </c>
      <c r="BX948" s="1191">
        <f>BX943-BS943</f>
        <v/>
      </c>
      <c r="BY948" s="1088" t="n">
        <v>0</v>
      </c>
      <c r="BZ948" s="1088" t="n">
        <v>0</v>
      </c>
      <c r="CA948" s="1088" t="n">
        <v>0</v>
      </c>
      <c r="CB948" s="1088" t="n">
        <v>0</v>
      </c>
      <c r="CC948" s="1191">
        <f>CC943-BX943</f>
        <v/>
      </c>
      <c r="CD948" s="1233" t="n">
        <v>0</v>
      </c>
      <c r="CE948" s="1233" t="n">
        <v>0</v>
      </c>
      <c r="CF948" s="1233" t="n">
        <v>0</v>
      </c>
      <c r="CG948" s="155" t="n"/>
    </row>
    <row r="949">
      <c r="A949" s="99" t="n"/>
      <c r="B949" s="146" t="n"/>
      <c r="C949" s="1151" t="n"/>
      <c r="D949" s="1151" t="n"/>
      <c r="E949" s="1151" t="n"/>
      <c r="F949" s="1151" t="n"/>
      <c r="G949" s="563" t="n"/>
      <c r="H949" s="563" t="n"/>
      <c r="I949" s="563" t="n"/>
      <c r="J949" s="563" t="n"/>
      <c r="K949" s="1151" t="n"/>
      <c r="L949" s="563" t="n"/>
      <c r="M949" s="563" t="n"/>
      <c r="N949" s="563" t="n"/>
      <c r="O949" s="563" t="n"/>
      <c r="P949" s="1151" t="n"/>
      <c r="Q949" s="563" t="n"/>
      <c r="R949" s="563" t="n"/>
      <c r="S949" s="563" t="n"/>
      <c r="T949" s="563" t="n"/>
      <c r="U949" s="1151" t="n"/>
      <c r="V949" s="563" t="n"/>
      <c r="W949" s="563" t="n"/>
      <c r="X949" s="563" t="n"/>
      <c r="Y949" s="563" t="n"/>
      <c r="Z949" s="1151" t="n"/>
      <c r="AA949" s="563" t="n"/>
      <c r="AB949" s="563" t="n"/>
      <c r="AC949" s="563" t="n"/>
      <c r="AD949" s="563" t="n"/>
      <c r="AE949" s="1151" t="n"/>
      <c r="AF949" s="563" t="n"/>
      <c r="AG949" s="563" t="n"/>
      <c r="AH949" s="563" t="n"/>
      <c r="AI949" s="563" t="n"/>
      <c r="AJ949" s="1151" t="n"/>
      <c r="AK949" s="563" t="n"/>
      <c r="AL949" s="563" t="n"/>
      <c r="AM949" s="563" t="n"/>
      <c r="AN949" s="563" t="n"/>
      <c r="AO949" s="1151" t="n"/>
      <c r="AP949" s="563" t="n"/>
      <c r="AQ949" s="563" t="n"/>
      <c r="AR949" s="563" t="n"/>
      <c r="AS949" s="563" t="n"/>
      <c r="AT949" s="1151" t="n"/>
      <c r="AU949" s="563" t="n"/>
      <c r="AV949" s="563" t="n"/>
      <c r="AW949" s="563" t="n"/>
      <c r="AX949" s="563" t="n"/>
      <c r="AY949" s="1151" t="n"/>
      <c r="AZ949" s="563" t="n"/>
      <c r="BA949" s="563" t="n"/>
      <c r="BB949" s="563" t="n"/>
      <c r="BC949" s="563" t="n"/>
      <c r="BD949" s="1151" t="n"/>
      <c r="BE949" s="563" t="n"/>
      <c r="BF949" s="563" t="n"/>
      <c r="BG949" s="563" t="n"/>
      <c r="BH949" s="563" t="n"/>
      <c r="BI949" s="1151" t="n"/>
      <c r="BJ949" s="563" t="n"/>
      <c r="BK949" s="563" t="n"/>
      <c r="BL949" s="563" t="n"/>
      <c r="BM949" s="563" t="n"/>
      <c r="BN949" s="1151" t="n"/>
      <c r="BO949" s="563" t="n"/>
      <c r="BP949" s="563" t="n"/>
      <c r="BQ949" s="563" t="n"/>
      <c r="BR949" s="563" t="n"/>
      <c r="BS949" s="1151" t="n"/>
      <c r="BT949" s="563" t="n"/>
      <c r="BU949" s="563" t="n"/>
      <c r="BV949" s="731" t="n"/>
      <c r="BW949" s="563" t="n"/>
      <c r="BX949" s="1151" t="n"/>
      <c r="BY949" s="563" t="n"/>
      <c r="BZ949" s="563" t="n"/>
      <c r="CA949" s="563" t="n"/>
      <c r="CB949" s="563" t="n"/>
      <c r="CC949" s="1151" t="n"/>
      <c r="CD949" s="1151" t="n"/>
      <c r="CE949" s="1151" t="n"/>
      <c r="CF949" s="1151" t="n"/>
      <c r="CG949" s="155" t="n"/>
    </row>
    <row r="950">
      <c r="A950" s="286" t="inlineStr">
        <is>
          <t>Balance Sheet</t>
        </is>
      </c>
      <c r="B950" s="286" t="n"/>
      <c r="C950" s="286" t="n"/>
      <c r="D950" s="286" t="n"/>
      <c r="E950" s="286" t="n"/>
      <c r="F950" s="286" t="n"/>
      <c r="G950" s="286" t="n"/>
      <c r="H950" s="286" t="n"/>
      <c r="I950" s="286" t="n"/>
      <c r="J950" s="286" t="n"/>
      <c r="K950" s="286" t="n"/>
      <c r="L950" s="286" t="n"/>
      <c r="M950" s="286" t="n"/>
      <c r="N950" s="286" t="n"/>
      <c r="O950" s="286" t="n"/>
      <c r="P950" s="286" t="n"/>
      <c r="Q950" s="286" t="n"/>
      <c r="R950" s="286" t="n"/>
      <c r="S950" s="286" t="n"/>
      <c r="T950" s="286" t="n"/>
      <c r="U950" s="286" t="n"/>
      <c r="V950" s="286" t="n"/>
      <c r="W950" s="286" t="n"/>
      <c r="X950" s="286" t="n"/>
      <c r="Y950" s="286" t="n"/>
      <c r="Z950" s="286" t="n"/>
      <c r="AA950" s="286" t="n"/>
      <c r="AB950" s="286" t="n"/>
      <c r="AC950" s="286" t="n"/>
      <c r="AD950" s="286" t="n"/>
      <c r="AE950" s="286" t="n"/>
      <c r="AF950" s="286" t="n"/>
      <c r="AG950" s="286" t="n"/>
      <c r="AH950" s="286" t="n"/>
      <c r="AI950" s="286" t="n"/>
      <c r="AJ950" s="286" t="n"/>
      <c r="AK950" s="286" t="n"/>
      <c r="AL950" s="286" t="n"/>
      <c r="AM950" s="286" t="n"/>
      <c r="AN950" s="286" t="n"/>
      <c r="AO950" s="286" t="n"/>
      <c r="AP950" s="286" t="n"/>
      <c r="AQ950" s="286" t="n"/>
      <c r="AR950" s="286" t="n"/>
      <c r="AS950" s="286" t="n"/>
      <c r="AT950" s="286" t="n"/>
      <c r="AU950" s="286" t="n"/>
      <c r="AV950" s="286" t="n"/>
      <c r="AW950" s="286" t="n"/>
      <c r="AX950" s="286" t="n"/>
      <c r="AY950" s="286" t="n"/>
      <c r="AZ950" s="286" t="n"/>
      <c r="BA950" s="286" t="n"/>
      <c r="BB950" s="286" t="n"/>
      <c r="BC950" s="286" t="n"/>
      <c r="BD950" s="286" t="n"/>
      <c r="BE950" s="286" t="n"/>
      <c r="BF950" s="286" t="n"/>
      <c r="BG950" s="286" t="n"/>
      <c r="BH950" s="286" t="n"/>
      <c r="BI950" s="286" t="n"/>
      <c r="BJ950" s="286" t="n"/>
      <c r="BK950" s="286" t="n"/>
      <c r="BL950" s="286" t="n"/>
      <c r="BM950" s="286" t="n"/>
      <c r="BN950" s="286" t="n"/>
      <c r="BO950" s="286" t="n"/>
      <c r="BP950" s="286" t="n"/>
      <c r="BQ950" s="286" t="n"/>
      <c r="BR950" s="286" t="n"/>
      <c r="BS950" s="286" t="n"/>
      <c r="BT950" s="286" t="n"/>
      <c r="BU950" s="286" t="n"/>
      <c r="BV950" s="542" t="n"/>
      <c r="BW950" s="286" t="n"/>
      <c r="BX950" s="286" t="n"/>
      <c r="BY950" s="286" t="n"/>
      <c r="BZ950" s="286" t="n"/>
      <c r="CA950" s="286" t="n"/>
      <c r="CB950" s="286" t="n"/>
      <c r="CC950" s="286" t="n"/>
      <c r="CD950" s="286" t="n"/>
      <c r="CE950" s="286" t="n"/>
      <c r="CF950" s="286" t="n"/>
      <c r="CG950" s="155" t="n"/>
    </row>
    <row r="951">
      <c r="A951" s="62" t="inlineStr">
        <is>
          <t>Current Assets</t>
        </is>
      </c>
      <c r="B951" s="279" t="n"/>
      <c r="C951" s="1125" t="n"/>
      <c r="D951" s="1125" t="n"/>
      <c r="E951" s="1125" t="n"/>
      <c r="F951" s="1125" t="n"/>
      <c r="G951" s="63" t="n"/>
      <c r="H951" s="63" t="n"/>
      <c r="I951" s="63" t="n"/>
      <c r="J951" s="63" t="n"/>
      <c r="K951" s="1125" t="n"/>
      <c r="L951" s="63" t="n"/>
      <c r="M951" s="63" t="n"/>
      <c r="N951" s="63" t="n"/>
      <c r="O951" s="63" t="n"/>
      <c r="P951" s="1125" t="n"/>
      <c r="Q951" s="63" t="n"/>
      <c r="R951" s="63" t="n"/>
      <c r="S951" s="63" t="n"/>
      <c r="T951" s="63" t="n"/>
      <c r="U951" s="1125" t="n"/>
      <c r="V951" s="63" t="n"/>
      <c r="W951" s="63" t="n"/>
      <c r="X951" s="63" t="n"/>
      <c r="Y951" s="63" t="n"/>
      <c r="Z951" s="1125" t="n"/>
      <c r="AA951" s="63" t="n"/>
      <c r="AB951" s="63" t="n"/>
      <c r="AC951" s="63" t="n"/>
      <c r="AD951" s="63" t="n"/>
      <c r="AE951" s="1125" t="n"/>
      <c r="AF951" s="63" t="n"/>
      <c r="AG951" s="63" t="n"/>
      <c r="AH951" s="63" t="n"/>
      <c r="AI951" s="63" t="n"/>
      <c r="AJ951" s="1125" t="n"/>
      <c r="AK951" s="63" t="n"/>
      <c r="AL951" s="63" t="n"/>
      <c r="AM951" s="63" t="n"/>
      <c r="AN951" s="63" t="n"/>
      <c r="AO951" s="1125" t="n"/>
      <c r="AP951" s="63" t="n"/>
      <c r="AQ951" s="63" t="n"/>
      <c r="AR951" s="63" t="n"/>
      <c r="AS951" s="63" t="n"/>
      <c r="AT951" s="1125" t="n"/>
      <c r="AU951" s="63" t="n"/>
      <c r="AV951" s="63" t="n"/>
      <c r="AW951" s="63" t="n"/>
      <c r="AX951" s="63" t="n"/>
      <c r="AY951" s="1125" t="n"/>
      <c r="AZ951" s="63" t="n"/>
      <c r="BA951" s="63" t="n"/>
      <c r="BB951" s="63" t="n"/>
      <c r="BC951" s="63" t="n"/>
      <c r="BD951" s="1125" t="n"/>
      <c r="BE951" s="63" t="n"/>
      <c r="BF951" s="63" t="n"/>
      <c r="BG951" s="63" t="n"/>
      <c r="BH951" s="63" t="n"/>
      <c r="BI951" s="1125" t="n"/>
      <c r="BJ951" s="63" t="n"/>
      <c r="BK951" s="63" t="n"/>
      <c r="BL951" s="63" t="n"/>
      <c r="BM951" s="63" t="n"/>
      <c r="BN951" s="1125" t="n"/>
      <c r="BO951" s="63" t="n"/>
      <c r="BP951" s="63" t="n"/>
      <c r="BQ951" s="63" t="n"/>
      <c r="BR951" s="63" t="n"/>
      <c r="BS951" s="1125" t="n"/>
      <c r="BT951" s="63" t="n"/>
      <c r="BU951" s="63" t="n"/>
      <c r="BV951" s="587" t="n"/>
      <c r="BW951" s="63" t="n"/>
      <c r="BX951" s="1125" t="n"/>
      <c r="BY951" s="63" t="n"/>
      <c r="BZ951" s="63" t="n"/>
      <c r="CA951" s="63" t="n"/>
      <c r="CB951" s="63" t="n"/>
      <c r="CC951" s="1125" t="n"/>
      <c r="CD951" s="1125" t="n"/>
      <c r="CE951" s="1125" t="n"/>
      <c r="CF951" s="1125" t="n"/>
      <c r="CG951" s="155" t="n"/>
    </row>
    <row r="952">
      <c r="A952" s="99" t="inlineStr">
        <is>
          <t>Cash and cash equivalents</t>
        </is>
      </c>
      <c r="B952" s="146" t="n"/>
      <c r="C952" s="1111" t="n">
        <v>417.688</v>
      </c>
      <c r="D952" s="1111" t="n">
        <v>447.221</v>
      </c>
      <c r="E952" s="1111" t="n">
        <v>665.361</v>
      </c>
      <c r="F952" s="1111" t="n">
        <v>667.876</v>
      </c>
      <c r="G952" s="1053" t="n">
        <v>369.135</v>
      </c>
      <c r="H952" s="1053" t="n">
        <v>499.618</v>
      </c>
      <c r="I952" s="1053" t="n">
        <v>525.388</v>
      </c>
      <c r="J952" s="68">
        <f>K952</f>
        <v/>
      </c>
      <c r="K952" s="1111" t="n">
        <v>732.7859999999999</v>
      </c>
      <c r="L952" s="1053" t="n">
        <v>561.423</v>
      </c>
      <c r="M952" s="1053" t="n">
        <v>591.321</v>
      </c>
      <c r="N952" s="1053" t="n">
        <v>562.0839999999999</v>
      </c>
      <c r="O952" s="68">
        <f>P952</f>
        <v/>
      </c>
      <c r="P952" s="1111" t="n">
        <v>1151.587</v>
      </c>
      <c r="Q952" s="1053" t="n">
        <v>509.165</v>
      </c>
      <c r="R952" s="1053" t="n">
        <v>515.092</v>
      </c>
      <c r="S952" s="1053" t="n">
        <v>394.683</v>
      </c>
      <c r="T952" s="68">
        <f>U952</f>
        <v/>
      </c>
      <c r="U952" s="1111" t="n">
        <v>497</v>
      </c>
      <c r="V952" s="1053" t="n">
        <v>464</v>
      </c>
      <c r="W952" s="1053" t="n">
        <v>435</v>
      </c>
      <c r="X952" s="1053" t="n">
        <v>471</v>
      </c>
      <c r="Y952" s="68">
        <f>Z952</f>
        <v/>
      </c>
      <c r="Z952" s="1111" t="n">
        <v>596</v>
      </c>
      <c r="AA952" s="1053" t="n">
        <v>547</v>
      </c>
      <c r="AB952" s="1053" t="n">
        <v>426</v>
      </c>
      <c r="AC952" s="1053" t="n">
        <v>1940</v>
      </c>
      <c r="AD952" s="1053" t="n">
        <v>1766</v>
      </c>
      <c r="AE952" s="1110">
        <f>AD952</f>
        <v/>
      </c>
      <c r="AF952" s="1053" t="n">
        <v>1989</v>
      </c>
      <c r="AG952" s="1053" t="n">
        <v>1988</v>
      </c>
      <c r="AH952" s="1053" t="n">
        <v>2802</v>
      </c>
      <c r="AI952" s="68">
        <f>AJ952</f>
        <v/>
      </c>
      <c r="AJ952" s="1111" t="n">
        <v>4002</v>
      </c>
      <c r="AK952" s="1053" t="n">
        <v>765</v>
      </c>
      <c r="AL952" s="1053" t="n">
        <v>718</v>
      </c>
      <c r="AM952" s="1053" t="n">
        <v>721</v>
      </c>
      <c r="AN952" s="68">
        <f>AO952</f>
        <v/>
      </c>
      <c r="AO952" s="1111" t="n">
        <v>782</v>
      </c>
      <c r="AP952" s="1053" t="n">
        <v>2772</v>
      </c>
      <c r="AQ952" s="1053" t="n">
        <v>7105</v>
      </c>
      <c r="AR952" s="1053" t="n">
        <v>9765</v>
      </c>
      <c r="AS952" s="68">
        <f>AT952</f>
        <v/>
      </c>
      <c r="AT952" s="1111" t="n">
        <v>10896</v>
      </c>
      <c r="AU952" s="1053" t="n">
        <v>15494</v>
      </c>
      <c r="AV952" s="1053" t="n">
        <v>3274</v>
      </c>
      <c r="AW952" s="1053" t="n">
        <v>2251</v>
      </c>
      <c r="AX952" s="68">
        <f>AY952</f>
        <v/>
      </c>
      <c r="AY952" s="1110">
        <f>11561-AY953</f>
        <v/>
      </c>
      <c r="AZ952" s="1053" t="n">
        <v>978</v>
      </c>
      <c r="BA952" s="1053" t="n">
        <v>5628</v>
      </c>
      <c r="BB952" s="1053" t="n">
        <v>1288</v>
      </c>
      <c r="BC952" s="68">
        <f>BD952</f>
        <v/>
      </c>
      <c r="BD952" s="1111" t="n">
        <v>1990</v>
      </c>
      <c r="BE952" s="1053" t="n">
        <v>3887</v>
      </c>
      <c r="BF952" s="1053" t="n">
        <v>3013</v>
      </c>
      <c r="BG952" s="1053" t="n">
        <v>2800</v>
      </c>
      <c r="BH952" s="68">
        <f>BI952</f>
        <v/>
      </c>
      <c r="BI952" s="1111" t="n">
        <v>3389</v>
      </c>
      <c r="BJ952" s="1053" t="n">
        <v>5079</v>
      </c>
      <c r="BK952" s="1053" t="n">
        <v>5783</v>
      </c>
      <c r="BL952" s="1053" t="n">
        <v>5519</v>
      </c>
      <c r="BM952" s="68">
        <f>BN952</f>
        <v/>
      </c>
      <c r="BN952" s="1111" t="n">
        <v>7280</v>
      </c>
      <c r="BO952" s="1053" t="n">
        <v>7587</v>
      </c>
      <c r="BP952" s="1053" t="n">
        <v>8563</v>
      </c>
      <c r="BQ952" s="1053" t="n">
        <v>9107</v>
      </c>
      <c r="BR952" s="68">
        <f>BS952</f>
        <v/>
      </c>
      <c r="BS952" s="1111" t="n">
        <v>8589</v>
      </c>
      <c r="BT952" s="1053" t="n">
        <v>15234</v>
      </c>
      <c r="BU952" s="1053" t="n">
        <v>11639</v>
      </c>
      <c r="BV952" s="1054" t="n">
        <v>11486</v>
      </c>
      <c r="BW952" s="68">
        <f>BV952+BW905</f>
        <v/>
      </c>
      <c r="BX952" s="1110">
        <f>BW952</f>
        <v/>
      </c>
      <c r="BY952" s="68">
        <f>BX952+BY905</f>
        <v/>
      </c>
      <c r="BZ952" s="68">
        <f>BY952+BZ905</f>
        <v/>
      </c>
      <c r="CA952" s="68">
        <f>BZ952+CA905</f>
        <v/>
      </c>
      <c r="CB952" s="68">
        <f>CA952+CB905</f>
        <v/>
      </c>
      <c r="CC952" s="1110">
        <f>CB952</f>
        <v/>
      </c>
      <c r="CD952" s="1110">
        <f>CC952+CD905</f>
        <v/>
      </c>
      <c r="CE952" s="1110">
        <f>CD952+CE905</f>
        <v/>
      </c>
      <c r="CF952" s="1110">
        <f>CE952+CF905</f>
        <v/>
      </c>
      <c r="CG952" s="155" t="n"/>
    </row>
    <row r="953">
      <c r="A953" s="99" t="inlineStr">
        <is>
          <t>Marketable securities</t>
        </is>
      </c>
      <c r="B953" s="146" t="n"/>
      <c r="C953" s="1111" t="n">
        <v>837.702</v>
      </c>
      <c r="D953" s="1111" t="n">
        <v>1281.006</v>
      </c>
      <c r="E953" s="1111" t="n">
        <v>1825.202</v>
      </c>
      <c r="F953" s="1111" t="n">
        <v>2461.7</v>
      </c>
      <c r="G953" s="1053" t="n">
        <v>2761.677</v>
      </c>
      <c r="H953" s="1053" t="n">
        <v>2778.482</v>
      </c>
      <c r="I953" s="1053" t="n">
        <v>2909.384</v>
      </c>
      <c r="J953" s="68">
        <f>K953</f>
        <v/>
      </c>
      <c r="K953" s="1111" t="n">
        <v>2995.097</v>
      </c>
      <c r="L953" s="1053" t="n">
        <v>3151.928</v>
      </c>
      <c r="M953" s="1053" t="n">
        <v>2344.572</v>
      </c>
      <c r="N953" s="1053" t="n">
        <v>2470.87</v>
      </c>
      <c r="O953" s="68">
        <f>P953</f>
        <v/>
      </c>
      <c r="P953" s="1111" t="n">
        <v>3520.223</v>
      </c>
      <c r="Q953" s="1053" t="n">
        <v>3838.652</v>
      </c>
      <c r="R953" s="1053" t="n">
        <v>3870.962</v>
      </c>
      <c r="S953" s="1053" t="n">
        <v>3846.114</v>
      </c>
      <c r="T953" s="68">
        <f>U953</f>
        <v/>
      </c>
      <c r="U953" s="1111" t="n">
        <v>4126</v>
      </c>
      <c r="V953" s="1053" t="n">
        <v>4328</v>
      </c>
      <c r="W953" s="1053" t="n">
        <v>4070</v>
      </c>
      <c r="X953" s="1053" t="n">
        <v>4257</v>
      </c>
      <c r="Y953" s="68">
        <f>Z953</f>
        <v/>
      </c>
      <c r="Z953" s="1111" t="n">
        <v>4441</v>
      </c>
      <c r="AA953" s="1053" t="n">
        <v>4207</v>
      </c>
      <c r="AB953" s="1053" t="n">
        <v>4453</v>
      </c>
      <c r="AC953" s="1053" t="n">
        <v>4731</v>
      </c>
      <c r="AD953" s="1053" t="n">
        <v>5032</v>
      </c>
      <c r="AE953" s="1110">
        <f>AD953</f>
        <v/>
      </c>
      <c r="AF953" s="1053" t="n">
        <v>4217</v>
      </c>
      <c r="AG953" s="1053" t="n">
        <v>3889</v>
      </c>
      <c r="AH953" s="1053" t="n">
        <v>3518</v>
      </c>
      <c r="AI953" s="68">
        <f>AJ953</f>
        <v/>
      </c>
      <c r="AJ953" s="1111" t="n">
        <v>3106</v>
      </c>
      <c r="AK953" s="1053" t="n">
        <v>6535</v>
      </c>
      <c r="AL953" s="1053" t="n">
        <v>7225</v>
      </c>
      <c r="AM953" s="1053" t="n">
        <v>6870</v>
      </c>
      <c r="AN953" s="68">
        <f>AO953</f>
        <v/>
      </c>
      <c r="AO953" s="1110">
        <f>7422-AO952</f>
        <v/>
      </c>
      <c r="AP953" s="1053" t="n">
        <v>5030</v>
      </c>
      <c r="AQ953" s="1053" t="n">
        <v>1370</v>
      </c>
      <c r="AR953" s="1053" t="n">
        <v>4</v>
      </c>
      <c r="AS953" s="68">
        <f>AT953</f>
        <v/>
      </c>
      <c r="AT953" s="1111" t="n">
        <v>1</v>
      </c>
      <c r="AU953" s="1053" t="n">
        <v>860</v>
      </c>
      <c r="AV953" s="1053" t="n">
        <v>7707</v>
      </c>
      <c r="AW953" s="1053" t="n">
        <v>7888</v>
      </c>
      <c r="AX953" s="68">
        <f>AY953</f>
        <v/>
      </c>
      <c r="AY953" s="1111" t="n">
        <v>10714</v>
      </c>
      <c r="AZ953" s="1053" t="n">
        <v>11689</v>
      </c>
      <c r="BA953" s="1053" t="n">
        <v>14026</v>
      </c>
      <c r="BB953" s="1053" t="n">
        <v>18010</v>
      </c>
      <c r="BC953" s="68">
        <f>BD953</f>
        <v/>
      </c>
      <c r="BD953" s="1111" t="n">
        <v>19218</v>
      </c>
      <c r="BE953" s="1053" t="n">
        <v>16451</v>
      </c>
      <c r="BF953" s="1053" t="n">
        <v>14024</v>
      </c>
      <c r="BG953" s="1053" t="n">
        <v>10343</v>
      </c>
      <c r="BH953" s="68">
        <f>BI953</f>
        <v/>
      </c>
      <c r="BI953" s="1111" t="n">
        <v>9907</v>
      </c>
      <c r="BJ953" s="1053" t="n">
        <v>10241</v>
      </c>
      <c r="BK953" s="1053" t="n">
        <v>10240</v>
      </c>
      <c r="BL953" s="1053" t="n">
        <v>12762</v>
      </c>
      <c r="BM953" s="68">
        <f>BN953</f>
        <v/>
      </c>
      <c r="BN953" s="1111" t="n">
        <v>18704</v>
      </c>
      <c r="BO953" s="1053" t="n">
        <v>23851</v>
      </c>
      <c r="BP953" s="1053" t="n">
        <v>26237</v>
      </c>
      <c r="BQ953" s="1053" t="n">
        <v>29380</v>
      </c>
      <c r="BR953" s="68">
        <f>BS953</f>
        <v/>
      </c>
      <c r="BS953" s="1111" t="n">
        <v>34621</v>
      </c>
      <c r="BT953" s="1053" t="n">
        <v>38457</v>
      </c>
      <c r="BU953" s="1053" t="n">
        <v>45152</v>
      </c>
      <c r="BV953" s="1054" t="n">
        <v>49122</v>
      </c>
      <c r="BW953" s="68">
        <f>BV953</f>
        <v/>
      </c>
      <c r="BX953" s="1110">
        <f>BW953</f>
        <v/>
      </c>
      <c r="BY953" s="68">
        <f>BX953</f>
        <v/>
      </c>
      <c r="BZ953" s="68">
        <f>BY953</f>
        <v/>
      </c>
      <c r="CA953" s="68">
        <f>BZ953</f>
        <v/>
      </c>
      <c r="CB953" s="68">
        <f>CA953</f>
        <v/>
      </c>
      <c r="CC953" s="1110">
        <f>CB953</f>
        <v/>
      </c>
      <c r="CD953" s="1110">
        <f>CC953</f>
        <v/>
      </c>
      <c r="CE953" s="1110">
        <f>CD953</f>
        <v/>
      </c>
      <c r="CF953" s="1110">
        <f>CE953</f>
        <v/>
      </c>
      <c r="CG953" s="155" t="n"/>
    </row>
    <row r="954">
      <c r="A954" s="67" t="inlineStr">
        <is>
          <t>Accounts receivable, net</t>
        </is>
      </c>
      <c r="B954" s="146" t="n"/>
      <c r="C954" s="1111" t="n">
        <v>318.435</v>
      </c>
      <c r="D954" s="1111" t="n">
        <v>374.963</v>
      </c>
      <c r="E954" s="1111" t="n">
        <v>348.77</v>
      </c>
      <c r="F954" s="1111" t="n">
        <v>336.143</v>
      </c>
      <c r="G954" s="1053" t="n">
        <v>411.155</v>
      </c>
      <c r="H954" s="1053" t="n">
        <v>445.312</v>
      </c>
      <c r="I954" s="1053" t="n">
        <v>444.944</v>
      </c>
      <c r="J954" s="27">
        <f>K954</f>
        <v/>
      </c>
      <c r="K954" s="1111" t="n">
        <v>454.252</v>
      </c>
      <c r="L954" s="1053" t="n">
        <v>346.998</v>
      </c>
      <c r="M954" s="1053" t="n">
        <v>418.123</v>
      </c>
      <c r="N954" s="1053" t="n">
        <v>447.631</v>
      </c>
      <c r="O954" s="27">
        <f>P954</f>
        <v/>
      </c>
      <c r="P954" s="1111" t="n">
        <v>426.357</v>
      </c>
      <c r="Q954" s="1053" t="n">
        <v>396.438</v>
      </c>
      <c r="R954" s="1053" t="n">
        <v>469.625</v>
      </c>
      <c r="S954" s="1053" t="n">
        <v>563.4</v>
      </c>
      <c r="T954" s="27">
        <f>U954</f>
        <v/>
      </c>
      <c r="U954" s="1111" t="n">
        <v>474</v>
      </c>
      <c r="V954" s="1053" t="n">
        <v>455</v>
      </c>
      <c r="W954" s="1053" t="n">
        <v>514</v>
      </c>
      <c r="X954" s="1053" t="n">
        <v>536</v>
      </c>
      <c r="Y954" s="27">
        <f>Z954</f>
        <v/>
      </c>
      <c r="Z954" s="1111" t="n">
        <v>505</v>
      </c>
      <c r="AA954" s="1053" t="n">
        <v>523</v>
      </c>
      <c r="AB954" s="1053" t="n">
        <v>644</v>
      </c>
      <c r="AC954" s="1053" t="n">
        <v>833</v>
      </c>
      <c r="AD954" s="1053" t="n">
        <v>826</v>
      </c>
      <c r="AE954" s="1110">
        <f>AD954</f>
        <v/>
      </c>
      <c r="AF954" s="1053" t="n">
        <v>976</v>
      </c>
      <c r="AG954" s="1053" t="n">
        <v>1213</v>
      </c>
      <c r="AH954" s="1053" t="n">
        <v>1167</v>
      </c>
      <c r="AI954" s="68">
        <f>AJ954</f>
        <v/>
      </c>
      <c r="AJ954" s="1111" t="n">
        <v>1265</v>
      </c>
      <c r="AK954" s="1053" t="n">
        <v>1220</v>
      </c>
      <c r="AL954" s="1053" t="n">
        <v>1662</v>
      </c>
      <c r="AM954" s="1053" t="n">
        <v>2219</v>
      </c>
      <c r="AN954" s="68">
        <f>AO954</f>
        <v/>
      </c>
      <c r="AO954" s="1111" t="n">
        <v>1424</v>
      </c>
      <c r="AP954" s="1053" t="n">
        <v>1242</v>
      </c>
      <c r="AQ954" s="1053" t="n">
        <v>1561</v>
      </c>
      <c r="AR954" s="1053" t="n">
        <v>1455</v>
      </c>
      <c r="AS954" s="68">
        <f>AT954</f>
        <v/>
      </c>
      <c r="AT954" s="1111" t="n">
        <v>1657</v>
      </c>
      <c r="AU954" s="1053" t="n">
        <v>1907</v>
      </c>
      <c r="AV954" s="1053" t="n">
        <v>2084</v>
      </c>
      <c r="AW954" s="1053" t="n">
        <v>2546</v>
      </c>
      <c r="AX954" s="68">
        <f>AY954</f>
        <v/>
      </c>
      <c r="AY954" s="1111" t="n">
        <v>2429</v>
      </c>
      <c r="AZ954" s="1053" t="n">
        <v>3024</v>
      </c>
      <c r="BA954" s="1053" t="n">
        <v>3586</v>
      </c>
      <c r="BB954" s="1053" t="n">
        <v>3954</v>
      </c>
      <c r="BC954" s="68">
        <f>BD954</f>
        <v/>
      </c>
      <c r="BD954" s="1111" t="n">
        <v>4650</v>
      </c>
      <c r="BE954" s="1053" t="n">
        <v>5438</v>
      </c>
      <c r="BF954" s="1053" t="n">
        <v>5317</v>
      </c>
      <c r="BG954" s="1053" t="n">
        <v>4908</v>
      </c>
      <c r="BH954" s="68">
        <f>BI954</f>
        <v/>
      </c>
      <c r="BI954" s="1111" t="n">
        <v>3827</v>
      </c>
      <c r="BJ954" s="1053" t="n">
        <v>4080</v>
      </c>
      <c r="BK954" s="1053" t="n">
        <v>7066</v>
      </c>
      <c r="BL954" s="1053" t="n">
        <v>8309</v>
      </c>
      <c r="BM954" s="68">
        <f>BN954</f>
        <v/>
      </c>
      <c r="BN954" s="1111" t="n">
        <v>9999</v>
      </c>
      <c r="BO954" s="1053" t="n">
        <v>12365</v>
      </c>
      <c r="BP954" s="1053" t="n">
        <v>14132</v>
      </c>
      <c r="BQ954" s="1053" t="n">
        <v>17693</v>
      </c>
      <c r="BR954" s="68">
        <f>BS954</f>
        <v/>
      </c>
      <c r="BS954" s="1111" t="n">
        <v>23065</v>
      </c>
      <c r="BT954" s="1053" t="n">
        <v>22132</v>
      </c>
      <c r="BU954" s="1053" t="n">
        <v>27808</v>
      </c>
      <c r="BV954" s="1054" t="n">
        <v>33391</v>
      </c>
      <c r="BW954" s="68">
        <f>(BW$362+BV$362+BU$362+BT$362)*BW940</f>
        <v/>
      </c>
      <c r="BX954" s="1110">
        <f>BW954</f>
        <v/>
      </c>
      <c r="BY954" s="68">
        <f>(BY$362+BW$362+BV$362+BU$362)*BY940</f>
        <v/>
      </c>
      <c r="BZ954" s="68">
        <f>(BZ$362+BY$362+BW$362+BV$362)*BZ940</f>
        <v/>
      </c>
      <c r="CA954" s="68">
        <f>(CA$362+BZ$362+BY$362+BW$362)*CA940</f>
        <v/>
      </c>
      <c r="CB954" s="68">
        <f>(CB$362+CA$362+BZ$362+BY$362)*CB940</f>
        <v/>
      </c>
      <c r="CC954" s="1110">
        <f>CB954</f>
        <v/>
      </c>
      <c r="CD954" s="1110">
        <f>CD362*CD940</f>
        <v/>
      </c>
      <c r="CE954" s="1110">
        <f>CE362*CE940</f>
        <v/>
      </c>
      <c r="CF954" s="1110">
        <f>CF362*CF940</f>
        <v/>
      </c>
      <c r="CG954" s="155" t="n"/>
    </row>
    <row r="955">
      <c r="A955" s="73" t="inlineStr">
        <is>
          <t>Raw materials, mm</t>
        </is>
      </c>
      <c r="B955" s="146" t="n"/>
      <c r="C955" s="1111" t="n">
        <v>122.024</v>
      </c>
      <c r="D955" s="1111" t="n">
        <v>76.935</v>
      </c>
      <c r="E955" s="1111" t="n">
        <v>67.88</v>
      </c>
      <c r="F955" s="1111" t="n">
        <v>84.92700000000001</v>
      </c>
      <c r="G955" s="1053" t="n">
        <v>108.589</v>
      </c>
      <c r="H955" s="1053" t="n">
        <v>87.117</v>
      </c>
      <c r="I955" s="1053" t="n">
        <v>107.241</v>
      </c>
      <c r="J955" s="1053" t="n">
        <v>157.989</v>
      </c>
      <c r="K955" s="1111" t="n">
        <v>157.989</v>
      </c>
      <c r="L955" s="1053" t="n">
        <v>136.533</v>
      </c>
      <c r="M955" s="1053" t="n">
        <v>119.491</v>
      </c>
      <c r="N955" s="1053" t="n">
        <v>138.205</v>
      </c>
      <c r="O955" s="1053" t="n">
        <v>126.896</v>
      </c>
      <c r="P955" s="1111" t="n">
        <v>126.896</v>
      </c>
      <c r="Q955" s="1053" t="n">
        <v>143.773</v>
      </c>
      <c r="R955" s="1053" t="n">
        <v>126.191</v>
      </c>
      <c r="S955" s="1053" t="n">
        <v>128.588</v>
      </c>
      <c r="T955" s="1053" t="n">
        <v>156.846</v>
      </c>
      <c r="U955" s="1111" t="n">
        <v>156.846</v>
      </c>
      <c r="V955" s="1053" t="n">
        <v>151</v>
      </c>
      <c r="W955" s="1053" t="n">
        <v>139</v>
      </c>
      <c r="X955" s="1053" t="n">
        <v>117</v>
      </c>
      <c r="Y955" s="1053" t="n">
        <v>105</v>
      </c>
      <c r="Z955" s="1111" t="n">
        <v>105</v>
      </c>
      <c r="AA955" s="1053" t="n">
        <v>124</v>
      </c>
      <c r="AB955" s="1053" t="n">
        <v>133</v>
      </c>
      <c r="AC955" s="1053" t="n">
        <v>203</v>
      </c>
      <c r="AD955" s="1053" t="n">
        <v>252</v>
      </c>
      <c r="AE955" s="1111" t="n">
        <v>252</v>
      </c>
      <c r="AF955" s="1053" t="n">
        <v>375</v>
      </c>
      <c r="AG955" s="1053" t="n">
        <v>294</v>
      </c>
      <c r="AH955" s="1053" t="n">
        <v>219</v>
      </c>
      <c r="AI955" s="1053" t="n">
        <v>227</v>
      </c>
      <c r="AJ955" s="1111" t="n">
        <v>227</v>
      </c>
      <c r="AK955" s="1053" t="n">
        <v>214</v>
      </c>
      <c r="AL955" s="1053" t="n">
        <v>421</v>
      </c>
      <c r="AM955" s="1053" t="n">
        <v>634</v>
      </c>
      <c r="AN955" s="1053" t="n">
        <v>613</v>
      </c>
      <c r="AO955" s="1111" t="n">
        <v>613</v>
      </c>
      <c r="AP955" s="1053" t="n">
        <v>484</v>
      </c>
      <c r="AQ955" s="1053" t="n">
        <v>362</v>
      </c>
      <c r="AR955" s="1053" t="n">
        <v>255</v>
      </c>
      <c r="AS955" s="1053" t="n">
        <v>249</v>
      </c>
      <c r="AT955" s="1111" t="n">
        <v>249</v>
      </c>
      <c r="AU955" s="1053" t="n">
        <v>341</v>
      </c>
      <c r="AV955" s="1053" t="n">
        <v>320</v>
      </c>
      <c r="AW955" s="1053" t="n">
        <v>455</v>
      </c>
      <c r="AX955" s="68">
        <f>AY955</f>
        <v/>
      </c>
      <c r="AY955" s="1111" t="n">
        <v>632</v>
      </c>
      <c r="AZ955" s="1053" t="n">
        <v>734</v>
      </c>
      <c r="BA955" s="1053" t="n">
        <v>825</v>
      </c>
      <c r="BB955" s="1053" t="n">
        <v>755</v>
      </c>
      <c r="BC955" s="68">
        <f>BD955</f>
        <v/>
      </c>
      <c r="BD955" s="1111" t="n">
        <v>791</v>
      </c>
      <c r="BE955" s="1053" t="n">
        <v>1119</v>
      </c>
      <c r="BF955" s="1053" t="n">
        <v>1534</v>
      </c>
      <c r="BG955" s="1053" t="n">
        <v>1936</v>
      </c>
      <c r="BH955" s="68">
        <f>BI955</f>
        <v/>
      </c>
      <c r="BI955" s="1111" t="n">
        <v>2430</v>
      </c>
      <c r="BJ955" s="1053" t="n">
        <v>1809</v>
      </c>
      <c r="BK955" s="1053" t="n">
        <v>1632</v>
      </c>
      <c r="BL955" s="1053" t="n">
        <v>1663</v>
      </c>
      <c r="BM955" s="68">
        <f>BN955</f>
        <v/>
      </c>
      <c r="BN955" s="1111" t="n">
        <v>1719</v>
      </c>
      <c r="BO955" s="1053" t="n">
        <v>1991</v>
      </c>
      <c r="BP955" s="1053" t="n">
        <v>1895</v>
      </c>
      <c r="BQ955" s="1053" t="n">
        <v>1846</v>
      </c>
      <c r="BR955" s="68">
        <f>BS955</f>
        <v/>
      </c>
      <c r="BS955" s="1111" t="n">
        <v>3408</v>
      </c>
      <c r="BT955" s="1053" t="n">
        <v>2525</v>
      </c>
      <c r="BU955" s="1053" t="n">
        <v>1843</v>
      </c>
      <c r="BV955" s="1054" t="n">
        <v>4209</v>
      </c>
      <c r="BW955" s="68" t="n"/>
      <c r="BX955" s="1110" t="n"/>
      <c r="BY955" s="68" t="n"/>
      <c r="BZ955" s="68" t="n"/>
      <c r="CA955" s="68" t="n"/>
      <c r="CB955" s="68" t="n"/>
      <c r="CC955" s="1110" t="n"/>
      <c r="CD955" s="1110" t="n"/>
      <c r="CE955" s="1110" t="n"/>
      <c r="CF955" s="1110" t="n"/>
      <c r="CG955" s="155" t="n"/>
    </row>
    <row r="956">
      <c r="A956" s="73" t="inlineStr">
        <is>
          <t>Work in-process, mm</t>
        </is>
      </c>
      <c r="B956" s="146" t="n"/>
      <c r="C956" s="1111" t="n">
        <v>38.747</v>
      </c>
      <c r="D956" s="1111" t="n">
        <v>67.502</v>
      </c>
      <c r="E956" s="1111" t="n">
        <v>72.69799999999999</v>
      </c>
      <c r="F956" s="1111" t="n">
        <v>62.934</v>
      </c>
      <c r="G956" s="1053" t="n">
        <v>82.779</v>
      </c>
      <c r="H956" s="1053" t="n">
        <v>82.339</v>
      </c>
      <c r="I956" s="1053" t="n">
        <v>71.327</v>
      </c>
      <c r="J956" s="1053" t="n">
        <v>67.352</v>
      </c>
      <c r="K956" s="1111" t="n">
        <v>67.352</v>
      </c>
      <c r="L956" s="1053" t="n">
        <v>57.722</v>
      </c>
      <c r="M956" s="1053" t="n">
        <v>64.937</v>
      </c>
      <c r="N956" s="1053" t="n">
        <v>77.834</v>
      </c>
      <c r="O956" s="1053" t="n">
        <v>94.84399999999999</v>
      </c>
      <c r="P956" s="1111" t="n">
        <v>94.84399999999999</v>
      </c>
      <c r="Q956" s="1053" t="n">
        <v>83.767</v>
      </c>
      <c r="R956" s="1053" t="n">
        <v>85.895</v>
      </c>
      <c r="S956" s="1053" t="n">
        <v>78.849</v>
      </c>
      <c r="T956" s="1053" t="n">
        <v>91.77800000000001</v>
      </c>
      <c r="U956" s="1111" t="n">
        <v>91.77800000000001</v>
      </c>
      <c r="V956" s="1053" t="n">
        <v>73</v>
      </c>
      <c r="W956" s="1053" t="n">
        <v>107</v>
      </c>
      <c r="X956" s="1053" t="n">
        <v>91</v>
      </c>
      <c r="Y956" s="1053" t="n">
        <v>103</v>
      </c>
      <c r="Z956" s="1111" t="n">
        <v>103</v>
      </c>
      <c r="AA956" s="1053" t="n">
        <v>105</v>
      </c>
      <c r="AB956" s="1053" t="n">
        <v>143</v>
      </c>
      <c r="AC956" s="1053" t="n">
        <v>203</v>
      </c>
      <c r="AD956" s="1053" t="n">
        <v>176</v>
      </c>
      <c r="AE956" s="1111" t="n">
        <v>176</v>
      </c>
      <c r="AF956" s="1053" t="n">
        <v>137</v>
      </c>
      <c r="AG956" s="1053" t="n">
        <v>209</v>
      </c>
      <c r="AH956" s="1053" t="n">
        <v>235</v>
      </c>
      <c r="AI956" s="1053" t="n">
        <v>192</v>
      </c>
      <c r="AJ956" s="1111" t="n">
        <v>192</v>
      </c>
      <c r="AK956" s="1053" t="n">
        <v>254</v>
      </c>
      <c r="AL956" s="1053" t="n">
        <v>266</v>
      </c>
      <c r="AM956" s="1053" t="n">
        <v>259</v>
      </c>
      <c r="AN956" s="1053" t="n">
        <v>238</v>
      </c>
      <c r="AO956" s="1111" t="n">
        <v>238</v>
      </c>
      <c r="AP956" s="1053" t="n">
        <v>189</v>
      </c>
      <c r="AQ956" s="1053" t="n">
        <v>203</v>
      </c>
      <c r="AR956" s="1053" t="n">
        <v>265</v>
      </c>
      <c r="AS956" s="1053" t="n">
        <v>265</v>
      </c>
      <c r="AT956" s="1111" t="n">
        <v>265</v>
      </c>
      <c r="AU956" s="1053" t="n">
        <v>287</v>
      </c>
      <c r="AV956" s="1053" t="n">
        <v>516</v>
      </c>
      <c r="AW956" s="1053" t="n">
        <v>380</v>
      </c>
      <c r="AX956" s="68">
        <f>AY956</f>
        <v/>
      </c>
      <c r="AY956" s="1111" t="n">
        <v>457</v>
      </c>
      <c r="AZ956" s="1053" t="n">
        <v>504</v>
      </c>
      <c r="BA956" s="1053" t="n">
        <v>553</v>
      </c>
      <c r="BB956" s="1053" t="n">
        <v>538</v>
      </c>
      <c r="BC956" s="68">
        <f>BD956</f>
        <v/>
      </c>
      <c r="BD956" s="1111" t="n">
        <v>692</v>
      </c>
      <c r="BE956" s="1053" t="n">
        <v>672</v>
      </c>
      <c r="BF956" s="1053" t="n">
        <v>767</v>
      </c>
      <c r="BG956" s="1053" t="n">
        <v>788</v>
      </c>
      <c r="BH956" s="68">
        <f>BI956</f>
        <v/>
      </c>
      <c r="BI956" s="1111" t="n">
        <v>466</v>
      </c>
      <c r="BJ956" s="1053" t="n">
        <v>930</v>
      </c>
      <c r="BK956" s="1053" t="n">
        <v>1058</v>
      </c>
      <c r="BL956" s="1053" t="n">
        <v>1338</v>
      </c>
      <c r="BM956" s="68">
        <f>BN956</f>
        <v/>
      </c>
      <c r="BN956" s="1111" t="n">
        <v>1505</v>
      </c>
      <c r="BO956" s="1053" t="n">
        <v>1625</v>
      </c>
      <c r="BP956" s="1053" t="n">
        <v>2111</v>
      </c>
      <c r="BQ956" s="1053" t="n">
        <v>2881</v>
      </c>
      <c r="BR956" s="68">
        <f>BS956</f>
        <v/>
      </c>
      <c r="BS956" s="1111" t="n">
        <v>3399</v>
      </c>
      <c r="BT956" s="1053" t="n">
        <v>5339</v>
      </c>
      <c r="BU956" s="1053" t="n">
        <v>4411</v>
      </c>
      <c r="BV956" s="1054" t="n">
        <v>8735</v>
      </c>
      <c r="BW956" s="68" t="n"/>
      <c r="BX956" s="1110" t="n"/>
      <c r="BY956" s="68" t="n"/>
      <c r="BZ956" s="68" t="n"/>
      <c r="CA956" s="68" t="n"/>
      <c r="CB956" s="68" t="n"/>
      <c r="CC956" s="1110" t="n"/>
      <c r="CD956" s="1110" t="n"/>
      <c r="CE956" s="1110" t="n"/>
      <c r="CF956" s="1110" t="n"/>
      <c r="CG956" s="155" t="n"/>
    </row>
    <row r="957">
      <c r="A957" s="73" t="inlineStr">
        <is>
          <t>Finished goods, mm</t>
        </is>
      </c>
      <c r="B957" s="146" t="n"/>
      <c r="C957" s="1111" t="n">
        <v>377.063</v>
      </c>
      <c r="D957" s="1111" t="n">
        <v>186.237</v>
      </c>
      <c r="E957" s="1111" t="n">
        <v>204.947</v>
      </c>
      <c r="F957" s="1111" t="n">
        <v>192.436</v>
      </c>
      <c r="G957" s="1053" t="n">
        <v>151.339</v>
      </c>
      <c r="H957" s="1053" t="n">
        <v>217.729</v>
      </c>
      <c r="I957" s="1053" t="n">
        <v>250.415</v>
      </c>
      <c r="J957" s="1053" t="n">
        <v>187.126</v>
      </c>
      <c r="K957" s="1111" t="n">
        <v>187.126</v>
      </c>
      <c r="L957" s="1053" t="n">
        <v>183.342</v>
      </c>
      <c r="M957" s="1053" t="n">
        <v>193.852</v>
      </c>
      <c r="N957" s="1053" t="n">
        <v>164.28</v>
      </c>
      <c r="O957" s="1053" t="n">
        <v>166.025</v>
      </c>
      <c r="P957" s="1111" t="n">
        <v>166.025</v>
      </c>
      <c r="Q957" s="1053" t="n">
        <v>165.74</v>
      </c>
      <c r="R957" s="1053" t="n">
        <v>175.348</v>
      </c>
      <c r="S957" s="1053" t="n">
        <v>200.644</v>
      </c>
      <c r="T957" s="1053" t="n">
        <v>234.269</v>
      </c>
      <c r="U957" s="1111" t="n">
        <v>234.269</v>
      </c>
      <c r="V957" s="1053" t="n">
        <v>214</v>
      </c>
      <c r="W957" s="1053" t="n">
        <v>195</v>
      </c>
      <c r="X957" s="1053" t="n">
        <v>217</v>
      </c>
      <c r="Y957" s="1053" t="n">
        <v>210</v>
      </c>
      <c r="Z957" s="1111" t="n">
        <v>210</v>
      </c>
      <c r="AA957" s="1053" t="n">
        <v>165</v>
      </c>
      <c r="AB957" s="1053" t="n">
        <v>245</v>
      </c>
      <c r="AC957" s="1053" t="n">
        <v>273</v>
      </c>
      <c r="AD957" s="1053" t="n">
        <v>366</v>
      </c>
      <c r="AE957" s="1111" t="n">
        <v>366</v>
      </c>
      <c r="AF957" s="1053" t="n">
        <v>309</v>
      </c>
      <c r="AG957" s="1053" t="n">
        <v>352</v>
      </c>
      <c r="AH957" s="1053" t="n">
        <v>403</v>
      </c>
      <c r="AI957" s="1053" t="n">
        <v>377</v>
      </c>
      <c r="AJ957" s="1111" t="n">
        <v>377</v>
      </c>
      <c r="AK957" s="1053" t="n">
        <v>329</v>
      </c>
      <c r="AL957" s="1053" t="n">
        <v>403</v>
      </c>
      <c r="AM957" s="1053" t="n">
        <v>524</v>
      </c>
      <c r="AN957" s="1053" t="n">
        <v>724</v>
      </c>
      <c r="AO957" s="1111" t="n">
        <v>724</v>
      </c>
      <c r="AP957" s="1053" t="n">
        <v>753</v>
      </c>
      <c r="AQ957" s="1053" t="n">
        <v>639</v>
      </c>
      <c r="AR957" s="1053" t="n">
        <v>527</v>
      </c>
      <c r="AS957" s="1053" t="n">
        <v>465</v>
      </c>
      <c r="AT957" s="1111" t="n">
        <v>465</v>
      </c>
      <c r="AU957" s="1053" t="n">
        <v>500</v>
      </c>
      <c r="AV957" s="1053" t="n">
        <v>565</v>
      </c>
      <c r="AW957" s="1053" t="n">
        <v>660</v>
      </c>
      <c r="AX957" s="68">
        <f>AY957</f>
        <v/>
      </c>
      <c r="AY957" s="1111" t="n">
        <v>737</v>
      </c>
      <c r="AZ957" s="1053" t="n">
        <v>754</v>
      </c>
      <c r="BA957" s="1053" t="n">
        <v>736</v>
      </c>
      <c r="BB957" s="1053" t="n">
        <v>940</v>
      </c>
      <c r="BC957" s="68">
        <f>BD957</f>
        <v/>
      </c>
      <c r="BD957" s="1111" t="n">
        <v>1122</v>
      </c>
      <c r="BE957" s="1053" t="n">
        <v>1372</v>
      </c>
      <c r="BF957" s="1053" t="n">
        <v>1588</v>
      </c>
      <c r="BG957" s="1053" t="n">
        <v>1730</v>
      </c>
      <c r="BH957" s="68">
        <f>BI957</f>
        <v/>
      </c>
      <c r="BI957" s="1111" t="n">
        <v>2263</v>
      </c>
      <c r="BJ957" s="1053" t="n">
        <v>1872</v>
      </c>
      <c r="BK957" s="1053" t="n">
        <v>1629</v>
      </c>
      <c r="BL957" s="1053" t="n">
        <v>1778</v>
      </c>
      <c r="BM957" s="68">
        <f>BN957</f>
        <v/>
      </c>
      <c r="BN957" s="1131" t="n">
        <v>2058</v>
      </c>
      <c r="BO957" s="1053" t="n">
        <v>2248</v>
      </c>
      <c r="BP957" s="1053" t="n">
        <v>2669</v>
      </c>
      <c r="BQ957" s="1053" t="n">
        <v>2927</v>
      </c>
      <c r="BR957" s="68">
        <f>BS957</f>
        <v/>
      </c>
      <c r="BS957" s="1131" t="n">
        <v>3273</v>
      </c>
      <c r="BT957" s="1053" t="n">
        <v>3469</v>
      </c>
      <c r="BU957" s="1053" t="n">
        <v>8708</v>
      </c>
      <c r="BV957" s="1054" t="n">
        <v>6840</v>
      </c>
      <c r="BW957" s="68" t="n"/>
      <c r="BX957" s="1110" t="n"/>
      <c r="BY957" s="68" t="n"/>
      <c r="BZ957" s="68" t="n"/>
      <c r="CA957" s="68" t="n"/>
      <c r="CB957" s="68" t="n"/>
      <c r="CC957" s="1110" t="n"/>
      <c r="CD957" s="1110" t="n"/>
      <c r="CE957" s="1110" t="n"/>
      <c r="CF957" s="1110" t="n"/>
      <c r="CG957" s="155" t="n"/>
    </row>
    <row r="958">
      <c r="A958" s="559" t="inlineStr">
        <is>
          <t>Inventories</t>
        </is>
      </c>
      <c r="B958" s="571" t="n"/>
      <c r="C958" s="1119" t="n">
        <v>537.8339999999999</v>
      </c>
      <c r="D958" s="1119" t="n">
        <v>330.674</v>
      </c>
      <c r="E958" s="1119" t="n">
        <v>345.525</v>
      </c>
      <c r="F958" s="1119" t="n">
        <v>340.297</v>
      </c>
      <c r="G958" s="1056" t="n">
        <v>342.707</v>
      </c>
      <c r="H958" s="1056" t="n">
        <v>387.185</v>
      </c>
      <c r="I958" s="1056" t="n">
        <v>428.983</v>
      </c>
      <c r="J958" s="560">
        <f>K958</f>
        <v/>
      </c>
      <c r="K958" s="1119" t="n">
        <v>412.467</v>
      </c>
      <c r="L958" s="1056" t="n">
        <v>377.597</v>
      </c>
      <c r="M958" s="1056" t="n">
        <v>378.28</v>
      </c>
      <c r="N958" s="1056" t="n">
        <v>380.319</v>
      </c>
      <c r="O958" s="560">
        <f>P958</f>
        <v/>
      </c>
      <c r="P958" s="1119" t="n">
        <v>387.765</v>
      </c>
      <c r="Q958" s="1056" t="n">
        <v>393.28</v>
      </c>
      <c r="R958" s="1056" t="n">
        <v>387.434</v>
      </c>
      <c r="S958" s="1056" t="n">
        <v>408.081</v>
      </c>
      <c r="T958" s="560">
        <f>U958</f>
        <v/>
      </c>
      <c r="U958" s="1119" t="n">
        <v>483</v>
      </c>
      <c r="V958" s="1056" t="n">
        <v>438</v>
      </c>
      <c r="W958" s="1056" t="n">
        <v>441</v>
      </c>
      <c r="X958" s="1056" t="n">
        <v>425</v>
      </c>
      <c r="Y958" s="560">
        <f>Z958</f>
        <v/>
      </c>
      <c r="Z958" s="1119" t="n">
        <v>418</v>
      </c>
      <c r="AA958" s="1056" t="n">
        <v>394</v>
      </c>
      <c r="AB958" s="1056" t="n">
        <v>521</v>
      </c>
      <c r="AC958" s="1056" t="n">
        <v>679</v>
      </c>
      <c r="AD958" s="1056" t="n">
        <v>794</v>
      </c>
      <c r="AE958" s="1118">
        <f>AD958</f>
        <v/>
      </c>
      <c r="AF958" s="1056" t="n">
        <v>821</v>
      </c>
      <c r="AG958" s="1056" t="n">
        <v>855</v>
      </c>
      <c r="AH958" s="1056" t="n">
        <v>857</v>
      </c>
      <c r="AI958" s="561">
        <f>AJ958</f>
        <v/>
      </c>
      <c r="AJ958" s="1119" t="n">
        <v>796</v>
      </c>
      <c r="AK958" s="1056" t="n">
        <v>797</v>
      </c>
      <c r="AL958" s="1056" t="n">
        <v>1090</v>
      </c>
      <c r="AM958" s="1056" t="n">
        <v>1417</v>
      </c>
      <c r="AN958" s="561">
        <f>AO958</f>
        <v/>
      </c>
      <c r="AO958" s="1119" t="n">
        <v>1575</v>
      </c>
      <c r="AP958" s="1056" t="n">
        <v>1426</v>
      </c>
      <c r="AQ958" s="1056" t="n">
        <v>1204</v>
      </c>
      <c r="AR958" s="1056" t="n">
        <v>1047</v>
      </c>
      <c r="AS958" s="561">
        <f>AT958</f>
        <v/>
      </c>
      <c r="AT958" s="1119" t="n">
        <v>979</v>
      </c>
      <c r="AU958" s="1056" t="n">
        <v>1128</v>
      </c>
      <c r="AV958" s="1056" t="n">
        <v>1401</v>
      </c>
      <c r="AW958" s="1056" t="n">
        <v>1495</v>
      </c>
      <c r="AX958" s="561">
        <f>AY958</f>
        <v/>
      </c>
      <c r="AY958" s="1119" t="n">
        <v>1826</v>
      </c>
      <c r="AZ958" s="1056" t="n">
        <v>1992</v>
      </c>
      <c r="BA958" s="1056" t="n">
        <v>2114</v>
      </c>
      <c r="BB958" s="1056" t="n">
        <v>2233</v>
      </c>
      <c r="BC958" s="561">
        <f>BD958</f>
        <v/>
      </c>
      <c r="BD958" s="1119" t="n">
        <v>2605</v>
      </c>
      <c r="BE958" s="1056" t="n">
        <v>3163</v>
      </c>
      <c r="BF958" s="1056" t="n">
        <v>3889</v>
      </c>
      <c r="BG958" s="1056" t="n">
        <v>4454</v>
      </c>
      <c r="BH958" s="561">
        <f>BI958</f>
        <v/>
      </c>
      <c r="BI958" s="1119" t="n">
        <v>5159</v>
      </c>
      <c r="BJ958" s="1056" t="n">
        <v>4611</v>
      </c>
      <c r="BK958" s="561">
        <f>SUM(BK955:BK957)</f>
        <v/>
      </c>
      <c r="BL958" s="560">
        <f>SUM(BL955:BL957)</f>
        <v/>
      </c>
      <c r="BM958" s="561">
        <f>SUM(BM955:BM957)</f>
        <v/>
      </c>
      <c r="BN958" s="1110">
        <f>SUM(BN955:BN957)</f>
        <v/>
      </c>
      <c r="BO958" s="560">
        <f>SUM(BO955:BO957)</f>
        <v/>
      </c>
      <c r="BP958" s="561">
        <f>SUM(BP955:BP957)</f>
        <v/>
      </c>
      <c r="BQ958" s="561">
        <f>SUM(BQ955:BQ957)</f>
        <v/>
      </c>
      <c r="BR958" s="561">
        <f>BS958</f>
        <v/>
      </c>
      <c r="BS958" s="1111" t="n">
        <v>10080</v>
      </c>
      <c r="BT958" s="560">
        <f>SUM(BT955:BT957)</f>
        <v/>
      </c>
      <c r="BU958" s="561">
        <f>SUM(BU955:BU957)</f>
        <v/>
      </c>
      <c r="BV958" s="738">
        <f>SUM(BV955:BV957)</f>
        <v/>
      </c>
      <c r="BW958" s="561">
        <f>(BW$366+BV$366+BU$366+BT$366)*BW941</f>
        <v/>
      </c>
      <c r="BX958" s="1118">
        <f>BW958</f>
        <v/>
      </c>
      <c r="BY958" s="561">
        <f>(BY$366+BW$366+BV$366+BU$366)*BY941</f>
        <v/>
      </c>
      <c r="BZ958" s="561">
        <f>(BZ$366+BY$366+BW$366+BV$366)*BZ941</f>
        <v/>
      </c>
      <c r="CA958" s="561">
        <f>(CA$366+BZ$366+BY$366+BW$366)*CA941</f>
        <v/>
      </c>
      <c r="CB958" s="561">
        <f>(CB$366+CA$366+BZ$366+BY$366)*CB941</f>
        <v/>
      </c>
      <c r="CC958" s="1118">
        <f>CB958</f>
        <v/>
      </c>
      <c r="CD958" s="1118">
        <f>CD366*CD941</f>
        <v/>
      </c>
      <c r="CE958" s="1118">
        <f>CE366*CE941</f>
        <v/>
      </c>
      <c r="CF958" s="1118">
        <f>CF366*CF941</f>
        <v/>
      </c>
      <c r="CG958" s="155" t="n"/>
    </row>
    <row r="959">
      <c r="A959" s="67" t="inlineStr">
        <is>
          <t>Restricted cash</t>
        </is>
      </c>
      <c r="B959" s="146" t="n"/>
      <c r="C959" s="1110" t="n"/>
      <c r="D959" s="1110" t="n"/>
      <c r="E959" s="1110" t="n"/>
      <c r="F959" s="1110" t="n"/>
      <c r="G959" s="68" t="n"/>
      <c r="H959" s="68" t="n"/>
      <c r="I959" s="68" t="n"/>
      <c r="J959" s="68" t="n"/>
      <c r="K959" s="1110" t="n"/>
      <c r="L959" s="68" t="n"/>
      <c r="M959" s="68" t="n"/>
      <c r="N959" s="68" t="n"/>
      <c r="O959" s="68" t="n"/>
      <c r="P959" s="1110" t="n"/>
      <c r="Q959" s="68" t="n"/>
      <c r="R959" s="68" t="n"/>
      <c r="S959" s="68" t="n"/>
      <c r="T959" s="68" t="n"/>
      <c r="U959" s="1110" t="n"/>
      <c r="V959" s="68" t="n"/>
      <c r="W959" s="68" t="n"/>
      <c r="X959" s="68" t="n"/>
      <c r="Y959" s="68" t="n"/>
      <c r="Z959" s="1110" t="n"/>
      <c r="AA959" s="68" t="n"/>
      <c r="AB959" s="68" t="n"/>
      <c r="AC959" s="68" t="n"/>
      <c r="AD959" s="68" t="n"/>
      <c r="AE959" s="1110" t="n"/>
      <c r="AF959" s="68" t="n"/>
      <c r="AG959" s="68" t="n"/>
      <c r="AH959" s="68" t="n"/>
      <c r="AI959" s="68" t="n"/>
      <c r="AJ959" s="1110" t="n"/>
      <c r="AK959" s="68" t="n"/>
      <c r="AL959" s="68" t="n"/>
      <c r="AM959" s="68" t="n"/>
      <c r="AN959" s="68" t="n"/>
      <c r="AO959" s="1110" t="n"/>
      <c r="AP959" s="68" t="n"/>
      <c r="AQ959" s="68" t="n"/>
      <c r="AR959" s="68" t="n"/>
      <c r="AS959" s="68" t="n"/>
      <c r="AT959" s="1110" t="n"/>
      <c r="AU959" s="68" t="n"/>
      <c r="AV959" s="68" t="n"/>
      <c r="AW959" s="68" t="n"/>
      <c r="AX959" s="68" t="n"/>
      <c r="AY959" s="1110" t="n"/>
      <c r="AZ959" s="68" t="n"/>
      <c r="BA959" s="68" t="n"/>
      <c r="BB959" s="68" t="n"/>
      <c r="BC959" s="68" t="n"/>
      <c r="BD959" s="1110" t="n"/>
      <c r="BE959" s="68" t="n"/>
      <c r="BF959" s="68" t="n"/>
      <c r="BG959" s="68" t="n"/>
      <c r="BH959" s="68" t="n"/>
      <c r="BI959" s="1110" t="n"/>
      <c r="BJ959" s="68" t="n"/>
      <c r="BK959" s="1053" t="n">
        <v>99</v>
      </c>
      <c r="BL959" s="68" t="n"/>
      <c r="BM959" s="68" t="n"/>
      <c r="BN959" s="1110" t="n"/>
      <c r="BO959" s="68" t="n"/>
      <c r="BP959" s="1053" t="n">
        <v>8</v>
      </c>
      <c r="BQ959" s="68" t="n"/>
      <c r="BR959" s="68" t="n"/>
      <c r="BS959" s="1110" t="n"/>
      <c r="BT959" s="68" t="n"/>
      <c r="BU959" s="68" t="n"/>
      <c r="BV959" s="588" t="n"/>
      <c r="BW959" s="68">
        <f>BV959</f>
        <v/>
      </c>
      <c r="BX959" s="1110">
        <f>BW959</f>
        <v/>
      </c>
      <c r="BY959" s="68">
        <f>BX959</f>
        <v/>
      </c>
      <c r="BZ959" s="68">
        <f>BY959</f>
        <v/>
      </c>
      <c r="CA959" s="68">
        <f>BZ959</f>
        <v/>
      </c>
      <c r="CB959" s="68">
        <f>CA959</f>
        <v/>
      </c>
      <c r="CC959" s="1110">
        <f>CB959</f>
        <v/>
      </c>
      <c r="CD959" s="1110">
        <f>CC959</f>
        <v/>
      </c>
      <c r="CE959" s="1110">
        <f>CD959</f>
        <v/>
      </c>
      <c r="CF959" s="1110">
        <f>CE959</f>
        <v/>
      </c>
      <c r="CG959" s="155" t="n"/>
    </row>
    <row r="960">
      <c r="A960" s="67" t="inlineStr">
        <is>
          <t>Prepaid expenses and other current assets</t>
        </is>
      </c>
      <c r="B960" s="146" t="n"/>
      <c r="C960" s="1111" t="n">
        <v>39.794</v>
      </c>
      <c r="D960" s="1111" t="n">
        <v>38.214</v>
      </c>
      <c r="E960" s="1111" t="n">
        <v>32.636</v>
      </c>
      <c r="F960" s="1111" t="n">
        <v>49.411</v>
      </c>
      <c r="G960" s="1053" t="n">
        <v>97.511</v>
      </c>
      <c r="H960" s="1053" t="n">
        <v>53.323</v>
      </c>
      <c r="I960" s="1053" t="n">
        <v>66.197</v>
      </c>
      <c r="J960" s="27">
        <f>K960</f>
        <v/>
      </c>
      <c r="K960" s="1111" t="n">
        <v>76.92</v>
      </c>
      <c r="L960" s="1053" t="n">
        <v>62.334</v>
      </c>
      <c r="M960" s="1053" t="n">
        <v>81.876</v>
      </c>
      <c r="N960" s="1053" t="n">
        <v>81.70099999999999</v>
      </c>
      <c r="O960" s="27">
        <f>P960</f>
        <v/>
      </c>
      <c r="P960" s="1111" t="n">
        <v>70.285</v>
      </c>
      <c r="Q960" s="1053" t="n">
        <v>71.06699999999999</v>
      </c>
      <c r="R960" s="1053" t="n">
        <v>67.776</v>
      </c>
      <c r="S960" s="1053" t="n">
        <v>67.333</v>
      </c>
      <c r="T960" s="27">
        <f>U960</f>
        <v/>
      </c>
      <c r="U960" s="1111" t="n">
        <v>70</v>
      </c>
      <c r="V960" s="1053" t="n">
        <v>89</v>
      </c>
      <c r="W960" s="1053" t="n">
        <v>89</v>
      </c>
      <c r="X960" s="1053" t="n">
        <v>93</v>
      </c>
      <c r="Y960" s="27">
        <f>Z960</f>
        <v/>
      </c>
      <c r="Z960" s="1111" t="n">
        <v>93</v>
      </c>
      <c r="AA960" s="1053" t="n">
        <v>119</v>
      </c>
      <c r="AB960" s="1053" t="n">
        <v>112</v>
      </c>
      <c r="AC960" s="1053" t="n">
        <v>124</v>
      </c>
      <c r="AD960" s="1053" t="n">
        <v>118</v>
      </c>
      <c r="AE960" s="1110">
        <f>AD960</f>
        <v/>
      </c>
      <c r="AF960" s="1053" t="n">
        <v>113</v>
      </c>
      <c r="AG960" s="1053" t="n">
        <v>125</v>
      </c>
      <c r="AH960" s="1053" t="n">
        <v>135</v>
      </c>
      <c r="AI960" s="68">
        <f>AJ960</f>
        <v/>
      </c>
      <c r="AJ960" s="1111" t="n">
        <v>86</v>
      </c>
      <c r="AK960" s="1053" t="n">
        <v>131</v>
      </c>
      <c r="AL960" s="1053" t="n">
        <v>136</v>
      </c>
      <c r="AM960" s="1053" t="n">
        <v>159</v>
      </c>
      <c r="AN960" s="68">
        <f>AO960</f>
        <v/>
      </c>
      <c r="AO960" s="1111" t="n">
        <v>136</v>
      </c>
      <c r="AP960" s="1053" t="n">
        <v>159</v>
      </c>
      <c r="AQ960" s="1053" t="n">
        <v>151</v>
      </c>
      <c r="AR960" s="1053" t="n">
        <v>149</v>
      </c>
      <c r="AS960" s="68">
        <f>AT960</f>
        <v/>
      </c>
      <c r="AT960" s="1111" t="n">
        <v>157</v>
      </c>
      <c r="AU960" s="1053" t="n">
        <v>195</v>
      </c>
      <c r="AV960" s="1053" t="n">
        <v>215</v>
      </c>
      <c r="AW960" s="1053" t="n">
        <v>213</v>
      </c>
      <c r="AX960" s="68">
        <f>AY960</f>
        <v/>
      </c>
      <c r="AY960" s="1111" t="n">
        <v>239</v>
      </c>
      <c r="AZ960" s="1053" t="n">
        <v>444</v>
      </c>
      <c r="BA960" s="1053" t="n">
        <v>452</v>
      </c>
      <c r="BB960" s="1053" t="n">
        <v>321</v>
      </c>
      <c r="BC960" s="68">
        <f>BD960</f>
        <v/>
      </c>
      <c r="BD960" s="1111" t="n">
        <v>366</v>
      </c>
      <c r="BE960" s="1053" t="n">
        <v>636</v>
      </c>
      <c r="BF960" s="1053" t="n">
        <v>1175</v>
      </c>
      <c r="BG960" s="1053" t="n">
        <v>718</v>
      </c>
      <c r="BH960" s="68">
        <f>BI960</f>
        <v/>
      </c>
      <c r="BI960" s="1111" t="n">
        <v>791</v>
      </c>
      <c r="BJ960" s="1053" t="n">
        <v>872</v>
      </c>
      <c r="BK960" s="68">
        <f>1389-BK959</f>
        <v/>
      </c>
      <c r="BL960" s="27">
        <f>1289-BL959</f>
        <v/>
      </c>
      <c r="BM960" s="68">
        <f>BN960</f>
        <v/>
      </c>
      <c r="BN960" s="1111" t="n">
        <v>3080</v>
      </c>
      <c r="BO960" s="1053" t="n">
        <v>4062</v>
      </c>
      <c r="BP960" s="68">
        <f>4026-BP959</f>
        <v/>
      </c>
      <c r="BQ960" s="1053" t="n">
        <v>3806</v>
      </c>
      <c r="BR960" s="68">
        <f>BS960</f>
        <v/>
      </c>
      <c r="BS960" s="1111" t="n">
        <v>3771</v>
      </c>
      <c r="BT960" s="1053" t="n">
        <v>2779</v>
      </c>
      <c r="BU960" s="68">
        <f>2658-BU959</f>
        <v/>
      </c>
      <c r="BV960" s="1054" t="n">
        <v>2709</v>
      </c>
      <c r="BW960" s="68">
        <f>BV960</f>
        <v/>
      </c>
      <c r="BX960" s="1110">
        <f>BW960</f>
        <v/>
      </c>
      <c r="BY960" s="68">
        <f>BX960</f>
        <v/>
      </c>
      <c r="BZ960" s="68">
        <f>BY960</f>
        <v/>
      </c>
      <c r="CA960" s="68">
        <f>BZ960</f>
        <v/>
      </c>
      <c r="CB960" s="68">
        <f>CA960</f>
        <v/>
      </c>
      <c r="CC960" s="1110">
        <f>CB960</f>
        <v/>
      </c>
      <c r="CD960" s="1110">
        <f>CC960</f>
        <v/>
      </c>
      <c r="CE960" s="1110">
        <f>CD960</f>
        <v/>
      </c>
      <c r="CF960" s="1110">
        <f>CE960</f>
        <v/>
      </c>
      <c r="CG960" s="155" t="n"/>
    </row>
    <row r="961">
      <c r="A961" s="67" t="inlineStr">
        <is>
          <t>Deferred income taxes</t>
        </is>
      </c>
      <c r="B961" s="146" t="n"/>
      <c r="C961" s="1111" t="n">
        <v>16.505</v>
      </c>
      <c r="D961" s="1111" t="n">
        <v>8.752000000000001</v>
      </c>
      <c r="E961" s="1111" t="n">
        <v>9.456</v>
      </c>
      <c r="F961" s="1111" t="n">
        <v>49.931</v>
      </c>
      <c r="G961" s="1053" t="n">
        <v>49.931</v>
      </c>
      <c r="H961" s="1053" t="n">
        <v>49.931</v>
      </c>
      <c r="I961" s="1053" t="n">
        <v>49.931</v>
      </c>
      <c r="J961" s="27">
        <f>K961</f>
        <v/>
      </c>
      <c r="K961" s="1111" t="n">
        <v>103.736</v>
      </c>
      <c r="L961" s="1053" t="n">
        <v>106.336</v>
      </c>
      <c r="M961" s="1053" t="n">
        <v>108.436</v>
      </c>
      <c r="N961" s="1053" t="n">
        <v>107.236</v>
      </c>
      <c r="O961" s="27">
        <f>P961</f>
        <v/>
      </c>
      <c r="P961" s="1111" t="n">
        <v>68.494</v>
      </c>
      <c r="Q961" s="1053" t="n">
        <v>65.196</v>
      </c>
      <c r="R961" s="1053" t="n">
        <v>66.697</v>
      </c>
      <c r="S961" s="1053" t="n">
        <v>61.498</v>
      </c>
      <c r="T961" s="27">
        <f>U961</f>
        <v/>
      </c>
      <c r="U961" s="1111" t="n">
        <v>63</v>
      </c>
      <c r="V961" s="1053" t="n">
        <v>58</v>
      </c>
      <c r="W961" s="1053" t="n">
        <v>59</v>
      </c>
      <c r="X961" s="1053" t="n">
        <v>52</v>
      </c>
      <c r="Y961" s="27">
        <f>Z961</f>
        <v/>
      </c>
      <c r="Z961" s="1110" t="n"/>
      <c r="AA961" s="27">
        <f>Z961</f>
        <v/>
      </c>
      <c r="AB961" s="68" t="n"/>
      <c r="AC961" s="1053" t="n">
        <v>0</v>
      </c>
      <c r="AD961" s="68" t="n"/>
      <c r="AE961" s="1110">
        <f>AD961</f>
        <v/>
      </c>
      <c r="AF961" s="1053" t="n">
        <v>0</v>
      </c>
      <c r="AG961" s="68" t="n"/>
      <c r="AH961" s="68" t="n"/>
      <c r="AI961" s="68">
        <f>AJ961</f>
        <v/>
      </c>
      <c r="AJ961" s="1111" t="n">
        <v>0</v>
      </c>
      <c r="AK961" s="68" t="n"/>
      <c r="AL961" s="68" t="n"/>
      <c r="AM961" s="68" t="n"/>
      <c r="AN961" s="68">
        <f>AO961</f>
        <v/>
      </c>
      <c r="AO961" s="1110" t="n"/>
      <c r="AP961" s="68" t="n"/>
      <c r="AQ961" s="68" t="n"/>
      <c r="AR961" s="68" t="n"/>
      <c r="AS961" s="68">
        <f>AT961</f>
        <v/>
      </c>
      <c r="AT961" s="1110" t="n"/>
      <c r="AU961" s="68" t="n"/>
      <c r="AV961" s="68" t="n"/>
      <c r="AW961" s="68" t="n"/>
      <c r="AX961" s="68">
        <f>AY961</f>
        <v/>
      </c>
      <c r="AY961" s="1110" t="n"/>
      <c r="AZ961" s="68" t="n"/>
      <c r="BA961" s="68" t="n"/>
      <c r="BB961" s="68" t="n"/>
      <c r="BC961" s="68">
        <f>BD961</f>
        <v/>
      </c>
      <c r="BD961" s="1110" t="n"/>
      <c r="BE961" s="68" t="n"/>
      <c r="BF961" s="68" t="n"/>
      <c r="BG961" s="68" t="n"/>
      <c r="BH961" s="68">
        <f>BI961</f>
        <v/>
      </c>
      <c r="BI961" s="1110" t="n"/>
      <c r="BJ961" s="68" t="n"/>
      <c r="BK961" s="68" t="n"/>
      <c r="BL961" s="68" t="n"/>
      <c r="BM961" s="68">
        <f>BN961</f>
        <v/>
      </c>
      <c r="BN961" s="1110" t="n"/>
      <c r="BO961" s="68" t="n"/>
      <c r="BP961" s="68" t="n"/>
      <c r="BQ961" s="68" t="n"/>
      <c r="BR961" s="68">
        <f>BS961</f>
        <v/>
      </c>
      <c r="BS961" s="1110" t="n"/>
      <c r="BT961" s="68" t="n"/>
      <c r="BU961" s="68" t="n"/>
      <c r="BV961" s="588" t="n"/>
      <c r="BW961" s="68" t="n"/>
      <c r="BX961" s="1110" t="n"/>
      <c r="BY961" s="68" t="n"/>
      <c r="BZ961" s="68" t="n"/>
      <c r="CA961" s="68" t="n"/>
      <c r="CB961" s="68" t="n"/>
      <c r="CC961" s="1110" t="n"/>
      <c r="CD961" s="1110" t="n"/>
      <c r="CE961" s="1110" t="n"/>
      <c r="CF961" s="1110" t="n"/>
      <c r="CG961" s="155" t="n"/>
    </row>
    <row r="962">
      <c r="A962" s="59" t="inlineStr">
        <is>
          <t>Total Current Assets</t>
        </is>
      </c>
      <c r="B962" s="607" t="n"/>
      <c r="C962" s="1123">
        <f>SUM(C958:C961)+SUM(C952:C954)</f>
        <v/>
      </c>
      <c r="D962" s="1123">
        <f>SUM(D958:D961)+SUM(D952:D954)</f>
        <v/>
      </c>
      <c r="E962" s="1123">
        <f>SUM(E958:E961)+SUM(E952:E954)</f>
        <v/>
      </c>
      <c r="F962" s="1123">
        <f>SUM(F958:F961)+SUM(F952:F954)</f>
        <v/>
      </c>
      <c r="G962" s="60">
        <f>SUM(G958:G961)+SUM(G952:G954)</f>
        <v/>
      </c>
      <c r="H962" s="60">
        <f>SUM(H958:H961)+SUM(H952:H954)</f>
        <v/>
      </c>
      <c r="I962" s="60">
        <f>SUM(I958:I961)+SUM(I952:I954)</f>
        <v/>
      </c>
      <c r="J962" s="60">
        <f>SUM(J958:J961)+SUM(J952:J954)</f>
        <v/>
      </c>
      <c r="K962" s="1123">
        <f>SUM(K958:K961)+SUM(K952:K954)</f>
        <v/>
      </c>
      <c r="L962" s="60">
        <f>SUM(L958:L961)+SUM(L952:L954)</f>
        <v/>
      </c>
      <c r="M962" s="60">
        <f>SUM(M958:M961)+SUM(M952:M954)</f>
        <v/>
      </c>
      <c r="N962" s="60">
        <f>SUM(N958:N961)+SUM(N952:N954)</f>
        <v/>
      </c>
      <c r="O962" s="60">
        <f>SUM(O958:O961)+SUM(O952:O954)</f>
        <v/>
      </c>
      <c r="P962" s="1123">
        <f>SUM(P958:P961)+SUM(P952:P954)</f>
        <v/>
      </c>
      <c r="Q962" s="60">
        <f>SUM(Q958:Q961)+SUM(Q952:Q954)</f>
        <v/>
      </c>
      <c r="R962" s="60">
        <f>SUM(R958:R961)+SUM(R952:R954)</f>
        <v/>
      </c>
      <c r="S962" s="60">
        <f>SUM(S958:S961)+SUM(S952:S954)</f>
        <v/>
      </c>
      <c r="T962" s="60">
        <f>SUM(T958:T961)+SUM(T952:T954)</f>
        <v/>
      </c>
      <c r="U962" s="1123">
        <f>SUM(U958:U961)+SUM(U952:U954)</f>
        <v/>
      </c>
      <c r="V962" s="60">
        <f>SUM(V958:V961)+SUM(V952:V954)</f>
        <v/>
      </c>
      <c r="W962" s="60">
        <f>SUM(W958:W961)+SUM(W952:W954)</f>
        <v/>
      </c>
      <c r="X962" s="60">
        <f>SUM(X958:X961)+SUM(X952:X954)</f>
        <v/>
      </c>
      <c r="Y962" s="60">
        <f>SUM(Y958:Y961)+SUM(Y952:Y954)</f>
        <v/>
      </c>
      <c r="Z962" s="1123">
        <f>SUM(Z958:Z961)+SUM(Z952:Z954)</f>
        <v/>
      </c>
      <c r="AA962" s="60">
        <f>SUM(AA958:AA961)+SUM(AA952:AA954)</f>
        <v/>
      </c>
      <c r="AB962" s="60">
        <f>SUM(AB958:AB961)+SUM(AB952:AB954)</f>
        <v/>
      </c>
      <c r="AC962" s="61">
        <f>SUM(AC958:AC961)+SUM(AC952:AC954)</f>
        <v/>
      </c>
      <c r="AD962" s="61">
        <f>SUM(AD958:AD961)+SUM(AD952:AD954)</f>
        <v/>
      </c>
      <c r="AE962" s="1122">
        <f>SUM(AE958:AE961)+SUM(AE952:AE954)</f>
        <v/>
      </c>
      <c r="AF962" s="61">
        <f>SUM(AF958:AF961)+SUM(AF952:AF954)</f>
        <v/>
      </c>
      <c r="AG962" s="60">
        <f>SUM(AG958:AG961)+SUM(AG952:AG954)</f>
        <v/>
      </c>
      <c r="AH962" s="60">
        <f>SUM(AH958:AH961)+SUM(AH952:AH954)</f>
        <v/>
      </c>
      <c r="AI962" s="61">
        <f>SUM(AI958:AI961)+SUM(AI952:AI954)</f>
        <v/>
      </c>
      <c r="AJ962" s="1122">
        <f>SUM(AJ958:AJ961)+SUM(AJ952:AJ954)</f>
        <v/>
      </c>
      <c r="AK962" s="60">
        <f>SUM(AK958:AK961)+SUM(AK952:AK954)</f>
        <v/>
      </c>
      <c r="AL962" s="60">
        <f>SUM(AL958:AL961)+SUM(AL952:AL954)</f>
        <v/>
      </c>
      <c r="AM962" s="60">
        <f>SUM(AM958:AM961)+SUM(AM952:AM954)</f>
        <v/>
      </c>
      <c r="AN962" s="61">
        <f>SUM(AN958:AN961)+SUM(AN952:AN954)</f>
        <v/>
      </c>
      <c r="AO962" s="1122">
        <f>SUM(AO958:AO961)+SUM(AO952:AO954)</f>
        <v/>
      </c>
      <c r="AP962" s="60">
        <f>SUM(AP958:AP961)+SUM(AP952:AP954)</f>
        <v/>
      </c>
      <c r="AQ962" s="60">
        <f>SUM(AQ958:AQ961)+SUM(AQ952:AQ954)</f>
        <v/>
      </c>
      <c r="AR962" s="60">
        <f>SUM(AR958:AR961)+SUM(AR952:AR954)</f>
        <v/>
      </c>
      <c r="AS962" s="61">
        <f>SUM(AS958:AS961)+SUM(AS952:AS954)</f>
        <v/>
      </c>
      <c r="AT962" s="1122">
        <f>SUM(AT958:AT961)+SUM(AT952:AT954)</f>
        <v/>
      </c>
      <c r="AU962" s="60">
        <f>SUM(AU958:AU961)+SUM(AU952:AU954)</f>
        <v/>
      </c>
      <c r="AV962" s="60">
        <f>SUM(AV958:AV961)+SUM(AV952:AV954)</f>
        <v/>
      </c>
      <c r="AW962" s="60">
        <f>SUM(AW958:AW961)+SUM(AW952:AW954)</f>
        <v/>
      </c>
      <c r="AX962" s="61">
        <f>SUM(AX958:AX961)+SUM(AX952:AX954)</f>
        <v/>
      </c>
      <c r="AY962" s="1122">
        <f>SUM(AY958:AY961)+SUM(AY952:AY954)</f>
        <v/>
      </c>
      <c r="AZ962" s="60">
        <f>SUM(AZ958:AZ961)+SUM(AZ952:AZ954)</f>
        <v/>
      </c>
      <c r="BA962" s="60">
        <f>SUM(BA958:BA961)+SUM(BA952:BA954)</f>
        <v/>
      </c>
      <c r="BB962" s="60">
        <f>SUM(BB958:BB961)+SUM(BB952:BB954)</f>
        <v/>
      </c>
      <c r="BC962" s="61">
        <f>SUM(BC958:BC961)+SUM(BC952:BC954)</f>
        <v/>
      </c>
      <c r="BD962" s="1122">
        <f>SUM(BD958:BD961)+SUM(BD952:BD954)</f>
        <v/>
      </c>
      <c r="BE962" s="60">
        <f>SUM(BE958:BE961)+SUM(BE952:BE954)</f>
        <v/>
      </c>
      <c r="BF962" s="61">
        <f>SUM(BF958:BF961)+SUM(BF952:BF954)</f>
        <v/>
      </c>
      <c r="BG962" s="60">
        <f>SUM(BG958:BG961)+SUM(BG952:BG954)</f>
        <v/>
      </c>
      <c r="BH962" s="61">
        <f>SUM(BH958:BH961)+SUM(BH952:BH954)</f>
        <v/>
      </c>
      <c r="BI962" s="1122">
        <f>SUM(BI958:BI961)+SUM(BI952:BI954)</f>
        <v/>
      </c>
      <c r="BJ962" s="60">
        <f>SUM(BJ958:BJ961)+SUM(BJ952:BJ954)</f>
        <v/>
      </c>
      <c r="BK962" s="61">
        <f>SUM(BK958:BK961)+SUM(BK952:BK954)</f>
        <v/>
      </c>
      <c r="BL962" s="60">
        <f>SUM(BL958:BL961)+SUM(BL952:BL954)</f>
        <v/>
      </c>
      <c r="BM962" s="61">
        <f>SUM(BM958:BM961)+SUM(BM952:BM954)</f>
        <v/>
      </c>
      <c r="BN962" s="1122">
        <f>SUM(BN958:BN961)+SUM(BN952:BN954)</f>
        <v/>
      </c>
      <c r="BO962" s="60">
        <f>SUM(BO958:BO961)+SUM(BO952:BO954)</f>
        <v/>
      </c>
      <c r="BP962" s="61">
        <f>SUM(BP958:BP961)+SUM(BP952:BP954)</f>
        <v/>
      </c>
      <c r="BQ962" s="60">
        <f>SUM(BQ958:BQ961)+SUM(BQ952:BQ954)</f>
        <v/>
      </c>
      <c r="BR962" s="61">
        <f>SUM(BR958:BR961)+SUM(BR952:BR954)</f>
        <v/>
      </c>
      <c r="BS962" s="1122">
        <f>SUM(BS958:BS961)+SUM(BS952:BS954)</f>
        <v/>
      </c>
      <c r="BT962" s="60">
        <f>SUM(BT958:BT961)+SUM(BT952:BT954)</f>
        <v/>
      </c>
      <c r="BU962" s="61">
        <f>SUM(BU958:BU961)+SUM(BU952:BU954)</f>
        <v/>
      </c>
      <c r="BV962" s="883">
        <f>SUM(BV958:BV961)+SUM(BV952:BV954)</f>
        <v/>
      </c>
      <c r="BW962" s="61">
        <f>SUM(BW958:BW961)+SUM(BW952:BW954)</f>
        <v/>
      </c>
      <c r="BX962" s="1122">
        <f>SUM(BX958:BX961)+SUM(BX952:BX954)</f>
        <v/>
      </c>
      <c r="BY962" s="61">
        <f>SUM(BY958:BY961)+SUM(BY952:BY954)</f>
        <v/>
      </c>
      <c r="BZ962" s="61">
        <f>SUM(BZ958:BZ961)+SUM(BZ952:BZ954)</f>
        <v/>
      </c>
      <c r="CA962" s="61">
        <f>SUM(CA958:CA961)+SUM(CA952:CA954)</f>
        <v/>
      </c>
      <c r="CB962" s="61">
        <f>SUM(CB958:CB961)+SUM(CB952:CB954)</f>
        <v/>
      </c>
      <c r="CC962" s="1122">
        <f>SUM(CC958:CC961)+SUM(CC952:CC954)</f>
        <v/>
      </c>
      <c r="CD962" s="1122">
        <f>SUM(CD958:CD961)+SUM(CD952:CD954)</f>
        <v/>
      </c>
      <c r="CE962" s="1122">
        <f>SUM(CE958:CE961)+SUM(CE952:CE954)</f>
        <v/>
      </c>
      <c r="CF962" s="1122">
        <f>SUM(CF958:CF961)+SUM(CF952:CF954)</f>
        <v/>
      </c>
      <c r="CG962" s="155" t="n"/>
    </row>
    <row r="963">
      <c r="A963" s="600" t="n"/>
      <c r="B963" s="279" t="n"/>
      <c r="C963" s="1125" t="n"/>
      <c r="D963" s="1125" t="n"/>
      <c r="E963" s="1125" t="n"/>
      <c r="F963" s="1125" t="n"/>
      <c r="G963" s="63" t="n"/>
      <c r="H963" s="63" t="n"/>
      <c r="I963" s="63" t="n"/>
      <c r="J963" s="63" t="n"/>
      <c r="K963" s="1125" t="n"/>
      <c r="L963" s="63" t="n"/>
      <c r="M963" s="63" t="n"/>
      <c r="N963" s="63" t="n"/>
      <c r="O963" s="63" t="n"/>
      <c r="P963" s="1125" t="n"/>
      <c r="Q963" s="63" t="n"/>
      <c r="R963" s="63" t="n"/>
      <c r="S963" s="63" t="n"/>
      <c r="T963" s="63" t="n"/>
      <c r="U963" s="1125" t="n"/>
      <c r="V963" s="63" t="n"/>
      <c r="W963" s="63" t="n"/>
      <c r="X963" s="63" t="n"/>
      <c r="Y963" s="63" t="n"/>
      <c r="Z963" s="1125" t="n"/>
      <c r="AA963" s="63" t="n"/>
      <c r="AB963" s="63" t="n"/>
      <c r="AC963" s="63" t="n"/>
      <c r="AD963" s="63" t="n"/>
      <c r="AE963" s="1125" t="n"/>
      <c r="AF963" s="63" t="n"/>
      <c r="AG963" s="63" t="n"/>
      <c r="AH963" s="63" t="n"/>
      <c r="AI963" s="63" t="n"/>
      <c r="AJ963" s="1125" t="n"/>
      <c r="AK963" s="63" t="n"/>
      <c r="AL963" s="63" t="n"/>
      <c r="AM963" s="63" t="n"/>
      <c r="AN963" s="63" t="n"/>
      <c r="AO963" s="1125" t="n"/>
      <c r="AP963" s="63" t="n"/>
      <c r="AQ963" s="63" t="n"/>
      <c r="AR963" s="63" t="n"/>
      <c r="AS963" s="63" t="n"/>
      <c r="AT963" s="1125" t="n"/>
      <c r="AU963" s="63" t="n"/>
      <c r="AV963" s="63" t="n"/>
      <c r="AW963" s="63" t="n"/>
      <c r="AX963" s="63" t="n"/>
      <c r="AY963" s="1125" t="n"/>
      <c r="AZ963" s="63" t="n"/>
      <c r="BA963" s="63" t="n"/>
      <c r="BB963" s="63" t="n"/>
      <c r="BC963" s="63" t="n"/>
      <c r="BD963" s="1125" t="n"/>
      <c r="BE963" s="63" t="n"/>
      <c r="BF963" s="63" t="n"/>
      <c r="BG963" s="63" t="n"/>
      <c r="BH963" s="63" t="n"/>
      <c r="BI963" s="1125" t="n"/>
      <c r="BJ963" s="63" t="n"/>
      <c r="BK963" s="63" t="n"/>
      <c r="BL963" s="63" t="n"/>
      <c r="BM963" s="63" t="n"/>
      <c r="BN963" s="1125" t="n"/>
      <c r="BO963" s="63" t="n"/>
      <c r="BP963" s="63" t="n"/>
      <c r="BQ963" s="63" t="n"/>
      <c r="BR963" s="63" t="n"/>
      <c r="BS963" s="1125" t="n"/>
      <c r="BT963" s="63" t="n"/>
      <c r="BU963" s="63" t="n"/>
      <c r="BV963" s="587" t="n"/>
      <c r="BW963" s="63" t="n"/>
      <c r="BX963" s="1125" t="n"/>
      <c r="BY963" s="63" t="n"/>
      <c r="BZ963" s="63" t="n"/>
      <c r="CA963" s="63" t="n"/>
      <c r="CB963" s="63" t="n"/>
      <c r="CC963" s="1125" t="n"/>
      <c r="CD963" s="1125" t="n"/>
      <c r="CE963" s="1125" t="n"/>
      <c r="CF963" s="1125" t="n"/>
      <c r="CG963" s="155" t="n"/>
    </row>
    <row r="964">
      <c r="A964" s="69" t="inlineStr">
        <is>
          <t>Non-Current Assets</t>
        </is>
      </c>
      <c r="B964" s="279" t="n"/>
      <c r="C964" s="1125" t="n"/>
      <c r="D964" s="1125" t="n"/>
      <c r="E964" s="1125" t="n"/>
      <c r="F964" s="1125" t="n"/>
      <c r="G964" s="63" t="n"/>
      <c r="H964" s="63" t="n"/>
      <c r="I964" s="63" t="n"/>
      <c r="J964" s="63" t="n"/>
      <c r="K964" s="1125" t="n"/>
      <c r="L964" s="63" t="n"/>
      <c r="M964" s="63" t="n"/>
      <c r="N964" s="63" t="n"/>
      <c r="O964" s="63" t="n"/>
      <c r="P964" s="1125" t="n"/>
      <c r="Q964" s="63" t="n"/>
      <c r="R964" s="63" t="n"/>
      <c r="S964" s="63" t="n"/>
      <c r="T964" s="63" t="n"/>
      <c r="U964" s="1125" t="n"/>
      <c r="V964" s="63" t="n"/>
      <c r="W964" s="63" t="n"/>
      <c r="X964" s="63" t="n"/>
      <c r="Y964" s="63" t="n"/>
      <c r="Z964" s="1125" t="n"/>
      <c r="AA964" s="63" t="n"/>
      <c r="AB964" s="63" t="n"/>
      <c r="AC964" s="63" t="n"/>
      <c r="AD964" s="63" t="n"/>
      <c r="AE964" s="1125" t="n"/>
      <c r="AF964" s="63" t="n"/>
      <c r="AG964" s="63" t="n"/>
      <c r="AH964" s="63" t="n"/>
      <c r="AI964" s="63" t="n"/>
      <c r="AJ964" s="1125" t="n"/>
      <c r="AK964" s="63" t="n"/>
      <c r="AL964" s="63" t="n"/>
      <c r="AM964" s="63" t="n"/>
      <c r="AN964" s="63" t="n"/>
      <c r="AO964" s="1125" t="n"/>
      <c r="AP964" s="63" t="n"/>
      <c r="AQ964" s="63" t="n"/>
      <c r="AR964" s="63" t="n"/>
      <c r="AS964" s="63" t="n"/>
      <c r="AT964" s="1125" t="n"/>
      <c r="AU964" s="63" t="n"/>
      <c r="AV964" s="63" t="n"/>
      <c r="AW964" s="63" t="n"/>
      <c r="AX964" s="63" t="n"/>
      <c r="AY964" s="1125" t="n"/>
      <c r="AZ964" s="63" t="n"/>
      <c r="BA964" s="63" t="n"/>
      <c r="BB964" s="63" t="n"/>
      <c r="BC964" s="63" t="n"/>
      <c r="BD964" s="1125" t="n"/>
      <c r="BE964" s="63" t="n"/>
      <c r="BF964" s="63" t="n"/>
      <c r="BG964" s="63" t="n"/>
      <c r="BH964" s="63" t="n"/>
      <c r="BI964" s="1125" t="n"/>
      <c r="BJ964" s="63" t="n"/>
      <c r="BK964" s="63" t="n"/>
      <c r="BL964" s="63" t="n"/>
      <c r="BM964" s="63" t="n"/>
      <c r="BN964" s="1125" t="n"/>
      <c r="BO964" s="63" t="n"/>
      <c r="BP964" s="63" t="n"/>
      <c r="BQ964" s="63" t="n"/>
      <c r="BR964" s="63" t="n"/>
      <c r="BS964" s="1125" t="n"/>
      <c r="BT964" s="63" t="n"/>
      <c r="BU964" s="63" t="n"/>
      <c r="BV964" s="587" t="n"/>
      <c r="BW964" s="63" t="n"/>
      <c r="BX964" s="1125" t="n"/>
      <c r="BY964" s="63" t="n"/>
      <c r="BZ964" s="63" t="n"/>
      <c r="CA964" s="63" t="n"/>
      <c r="CB964" s="63" t="n"/>
      <c r="CC964" s="1125" t="n"/>
      <c r="CD964" s="1125" t="n"/>
      <c r="CE964" s="1125" t="n"/>
      <c r="CF964" s="1125" t="n"/>
      <c r="CG964" s="155" t="n"/>
    </row>
    <row r="965">
      <c r="A965" s="67" t="inlineStr">
        <is>
          <t>Property and equipment, net</t>
        </is>
      </c>
      <c r="B965" s="146" t="n"/>
      <c r="C965" s="1111" t="n">
        <v>625.798</v>
      </c>
      <c r="D965" s="1111" t="n">
        <v>571.8579999999999</v>
      </c>
      <c r="E965" s="1111" t="n">
        <v>568.857</v>
      </c>
      <c r="F965" s="1111" t="n">
        <v>560.072</v>
      </c>
      <c r="G965" s="1053" t="n">
        <v>553.5410000000001</v>
      </c>
      <c r="H965" s="1053" t="n">
        <v>574.056</v>
      </c>
      <c r="I965" s="1053" t="n">
        <v>566.54</v>
      </c>
      <c r="J965" s="27">
        <f>K965</f>
        <v/>
      </c>
      <c r="K965" s="1111" t="n">
        <v>576.144</v>
      </c>
      <c r="L965" s="1053" t="n">
        <v>588.023</v>
      </c>
      <c r="M965" s="1053" t="n">
        <v>578.948</v>
      </c>
      <c r="N965" s="1053" t="n">
        <v>595.418</v>
      </c>
      <c r="O965" s="27">
        <f>P965</f>
        <v/>
      </c>
      <c r="P965" s="1111" t="n">
        <v>582.74</v>
      </c>
      <c r="Q965" s="1053" t="n">
        <v>570.802</v>
      </c>
      <c r="R965" s="1053" t="n">
        <v>556.9109999999999</v>
      </c>
      <c r="S965" s="1053" t="n">
        <v>566.601</v>
      </c>
      <c r="T965" s="27">
        <f>U965</f>
        <v/>
      </c>
      <c r="U965" s="1111" t="n">
        <v>557</v>
      </c>
      <c r="V965" s="1053" t="n">
        <v>547</v>
      </c>
      <c r="W965" s="1053" t="n">
        <v>497</v>
      </c>
      <c r="X965" s="1053" t="n">
        <v>477</v>
      </c>
      <c r="Y965" s="27">
        <f>Z965</f>
        <v/>
      </c>
      <c r="Z965" s="1111" t="n">
        <v>466</v>
      </c>
      <c r="AA965" s="1053" t="n">
        <v>479</v>
      </c>
      <c r="AB965" s="1053" t="n">
        <v>485</v>
      </c>
      <c r="AC965" s="1053" t="n">
        <v>503</v>
      </c>
      <c r="AD965" s="1053" t="n">
        <v>521</v>
      </c>
      <c r="AE965" s="1110">
        <f>AD965</f>
        <v/>
      </c>
      <c r="AF965" s="1053" t="n">
        <v>539</v>
      </c>
      <c r="AG965" s="1053" t="n">
        <v>578</v>
      </c>
      <c r="AH965" s="1053" t="n">
        <v>600</v>
      </c>
      <c r="AI965" s="68">
        <f>AJ965</f>
        <v/>
      </c>
      <c r="AJ965" s="1111" t="n">
        <v>997</v>
      </c>
      <c r="AK965" s="1053" t="n">
        <v>1066</v>
      </c>
      <c r="AL965" s="1053" t="n">
        <v>1162</v>
      </c>
      <c r="AM965" s="1053" t="n">
        <v>1292</v>
      </c>
      <c r="AN965" s="68">
        <f>AO965</f>
        <v/>
      </c>
      <c r="AO965" s="1111" t="n">
        <v>1404</v>
      </c>
      <c r="AP965" s="1053" t="n">
        <v>1473</v>
      </c>
      <c r="AQ965" s="1053" t="n">
        <v>1484</v>
      </c>
      <c r="AR965" s="1053" t="n">
        <v>1517</v>
      </c>
      <c r="AS965" s="68">
        <f>AT965</f>
        <v/>
      </c>
      <c r="AT965" s="1111" t="n">
        <v>1674</v>
      </c>
      <c r="AU965" s="1053" t="n">
        <v>1715</v>
      </c>
      <c r="AV965" s="1053" t="n">
        <v>1964</v>
      </c>
      <c r="AW965" s="1053" t="n">
        <v>2059</v>
      </c>
      <c r="AX965" s="68">
        <f>AY965</f>
        <v/>
      </c>
      <c r="AY965" s="1111" t="n">
        <v>2149</v>
      </c>
      <c r="AZ965" s="1053" t="n">
        <v>2268</v>
      </c>
      <c r="BA965" s="1053" t="n">
        <v>2364</v>
      </c>
      <c r="BB965" s="1053" t="n">
        <v>2509</v>
      </c>
      <c r="BC965" s="68">
        <f>BD965</f>
        <v/>
      </c>
      <c r="BD965" s="1111" t="n">
        <v>2778</v>
      </c>
      <c r="BE965" s="1053" t="n">
        <v>2916</v>
      </c>
      <c r="BF965" s="1053" t="n">
        <v>3233</v>
      </c>
      <c r="BG965" s="1053" t="n">
        <v>3774</v>
      </c>
      <c r="BH965" s="68">
        <f>BI965</f>
        <v/>
      </c>
      <c r="BI965" s="1111" t="n">
        <v>3807</v>
      </c>
      <c r="BJ965" s="1053" t="n">
        <v>3740</v>
      </c>
      <c r="BK965" s="1053" t="n">
        <v>3799</v>
      </c>
      <c r="BL965" s="1053" t="n">
        <v>3844</v>
      </c>
      <c r="BM965" s="68">
        <f>BN965</f>
        <v/>
      </c>
      <c r="BN965" s="1111" t="n">
        <v>3914</v>
      </c>
      <c r="BO965" s="1053" t="n">
        <v>4006</v>
      </c>
      <c r="BP965" s="1053" t="n">
        <v>4885</v>
      </c>
      <c r="BQ965" s="1053" t="n">
        <v>5343</v>
      </c>
      <c r="BR965" s="68">
        <f>BS965</f>
        <v/>
      </c>
      <c r="BS965" s="1111" t="n">
        <v>6283</v>
      </c>
      <c r="BT965" s="1053" t="n">
        <v>7136</v>
      </c>
      <c r="BU965" s="1053" t="n">
        <v>9141</v>
      </c>
      <c r="BV965" s="1054" t="n">
        <v>9780</v>
      </c>
      <c r="BW965" s="68">
        <f>BV965-BW877+BW918+BW917</f>
        <v/>
      </c>
      <c r="BX965" s="1110">
        <f>BW965</f>
        <v/>
      </c>
      <c r="BY965" s="68">
        <f>BX965-BY877+BY918+BY917</f>
        <v/>
      </c>
      <c r="BZ965" s="68">
        <f>BY965-BZ877+BZ918+BZ917</f>
        <v/>
      </c>
      <c r="CA965" s="68">
        <f>BZ965-CA877+CA918+CA917</f>
        <v/>
      </c>
      <c r="CB965" s="68">
        <f>CA965-CB877+CB918+CB917</f>
        <v/>
      </c>
      <c r="CC965" s="1110">
        <f>CB965</f>
        <v/>
      </c>
      <c r="CD965" s="1110">
        <f>CC965-CD877+CD918+CD917</f>
        <v/>
      </c>
      <c r="CE965" s="1110">
        <f>CD965-CE877+CE918+CE917</f>
        <v/>
      </c>
      <c r="CF965" s="1110">
        <f>CE965-CF877+CF918+CF917</f>
        <v/>
      </c>
      <c r="CG965" s="155" t="n"/>
    </row>
    <row r="966">
      <c r="A966" s="67" t="inlineStr">
        <is>
          <t>Operating lease assets</t>
        </is>
      </c>
      <c r="B966" s="146" t="n"/>
      <c r="C966" s="1110" t="n"/>
      <c r="D966" s="1110" t="n"/>
      <c r="E966" s="1110" t="n"/>
      <c r="F966" s="1110" t="n"/>
      <c r="G966" s="68" t="n"/>
      <c r="H966" s="68" t="n"/>
      <c r="I966" s="68" t="n"/>
      <c r="J966" s="68" t="n"/>
      <c r="K966" s="1110" t="n"/>
      <c r="L966" s="68" t="n"/>
      <c r="M966" s="68" t="n"/>
      <c r="N966" s="68" t="n"/>
      <c r="O966" s="68" t="n"/>
      <c r="P966" s="1110" t="n"/>
      <c r="Q966" s="68" t="n"/>
      <c r="R966" s="68" t="n"/>
      <c r="S966" s="68" t="n"/>
      <c r="T966" s="68" t="n"/>
      <c r="U966" s="1110" t="n"/>
      <c r="V966" s="68" t="n"/>
      <c r="W966" s="68" t="n"/>
      <c r="X966" s="68" t="n"/>
      <c r="Y966" s="68" t="n"/>
      <c r="Z966" s="1110" t="n"/>
      <c r="AA966" s="68" t="n"/>
      <c r="AB966" s="68" t="n"/>
      <c r="AC966" s="68" t="n"/>
      <c r="AD966" s="68" t="n"/>
      <c r="AE966" s="1110" t="n"/>
      <c r="AF966" s="68" t="n"/>
      <c r="AG966" s="68" t="n"/>
      <c r="AH966" s="68" t="n"/>
      <c r="AI966" s="68" t="n"/>
      <c r="AJ966" s="1110" t="n"/>
      <c r="AK966" s="68" t="n"/>
      <c r="AL966" s="68" t="n"/>
      <c r="AM966" s="68" t="n"/>
      <c r="AN966" s="68" t="n"/>
      <c r="AO966" s="1110" t="n"/>
      <c r="AP966" s="1053" t="n">
        <v>536</v>
      </c>
      <c r="AQ966" s="1053" t="n">
        <v>535</v>
      </c>
      <c r="AR966" s="1053" t="n">
        <v>527</v>
      </c>
      <c r="AS966" s="68">
        <f>AT966</f>
        <v/>
      </c>
      <c r="AT966" s="1111" t="n">
        <v>618</v>
      </c>
      <c r="AU966" s="1053" t="n">
        <v>595</v>
      </c>
      <c r="AV966" s="1053" t="n">
        <v>701</v>
      </c>
      <c r="AW966" s="1053" t="n">
        <v>681</v>
      </c>
      <c r="AX966" s="68">
        <f>AY966</f>
        <v/>
      </c>
      <c r="AY966" s="1111" t="n">
        <v>707</v>
      </c>
      <c r="AZ966" s="1053" t="n">
        <v>727</v>
      </c>
      <c r="BA966" s="1053" t="n">
        <v>801</v>
      </c>
      <c r="BB966" s="1053" t="n">
        <v>830</v>
      </c>
      <c r="BC966" s="68">
        <f>BD966</f>
        <v/>
      </c>
      <c r="BD966" s="1111" t="n">
        <v>829</v>
      </c>
      <c r="BE966" s="1053" t="n">
        <v>856</v>
      </c>
      <c r="BF966" s="1053" t="n">
        <v>852</v>
      </c>
      <c r="BG966" s="1053" t="n">
        <v>927</v>
      </c>
      <c r="BH966" s="68">
        <f>BI966</f>
        <v/>
      </c>
      <c r="BI966" s="1111" t="n">
        <v>1038</v>
      </c>
      <c r="BJ966" s="1053" t="n">
        <v>1094</v>
      </c>
      <c r="BK966" s="1053" t="n">
        <v>1235</v>
      </c>
      <c r="BL966" s="1053" t="n">
        <v>1316</v>
      </c>
      <c r="BM966" s="68">
        <f>BN966</f>
        <v/>
      </c>
      <c r="BN966" s="1111" t="n">
        <v>1346</v>
      </c>
      <c r="BO966" s="1053" t="n">
        <v>1532</v>
      </c>
      <c r="BP966" s="1053" t="n">
        <v>1556</v>
      </c>
      <c r="BQ966" s="1053" t="n">
        <v>1755</v>
      </c>
      <c r="BR966" s="68">
        <f>BS966</f>
        <v/>
      </c>
      <c r="BS966" s="1111" t="n">
        <v>1793</v>
      </c>
      <c r="BT966" s="1053" t="n">
        <v>1810</v>
      </c>
      <c r="BU966" s="1053" t="n">
        <v>2084</v>
      </c>
      <c r="BV966" s="1054" t="n">
        <v>2281</v>
      </c>
      <c r="BW966" s="68">
        <f>BV966</f>
        <v/>
      </c>
      <c r="BX966" s="1110">
        <f>BW966</f>
        <v/>
      </c>
      <c r="BY966" s="68">
        <f>BX966</f>
        <v/>
      </c>
      <c r="BZ966" s="68">
        <f>BY966</f>
        <v/>
      </c>
      <c r="CA966" s="68">
        <f>BZ966</f>
        <v/>
      </c>
      <c r="CB966" s="68">
        <f>CA966</f>
        <v/>
      </c>
      <c r="CC966" s="1110">
        <f>CB966</f>
        <v/>
      </c>
      <c r="CD966" s="1110">
        <f>CC966</f>
        <v/>
      </c>
      <c r="CE966" s="1110">
        <f>CD966</f>
        <v/>
      </c>
      <c r="CF966" s="1110">
        <f>CE966</f>
        <v/>
      </c>
      <c r="CG966" s="155" t="n"/>
    </row>
    <row r="967">
      <c r="A967" s="67" t="inlineStr">
        <is>
          <t>Goodwill</t>
        </is>
      </c>
      <c r="B967" s="146" t="n"/>
      <c r="C967" s="1111" t="n">
        <v>369.844</v>
      </c>
      <c r="D967" s="1111" t="n">
        <v>369.844</v>
      </c>
      <c r="E967" s="1111" t="n">
        <v>369.844</v>
      </c>
      <c r="F967" s="1111" t="n">
        <v>641.03</v>
      </c>
      <c r="G967" s="1053" t="n">
        <v>641.03</v>
      </c>
      <c r="H967" s="1053" t="n">
        <v>641.03</v>
      </c>
      <c r="I967" s="1053" t="n">
        <v>641.03</v>
      </c>
      <c r="J967" s="27">
        <f>K967</f>
        <v/>
      </c>
      <c r="K967" s="1111" t="n">
        <v>641.03</v>
      </c>
      <c r="L967" s="1053" t="n">
        <v>641.03</v>
      </c>
      <c r="M967" s="1053" t="n">
        <v>641.03</v>
      </c>
      <c r="N967" s="1053" t="n">
        <v>643.179</v>
      </c>
      <c r="O967" s="27">
        <f>P967</f>
        <v/>
      </c>
      <c r="P967" s="1111" t="n">
        <v>643.179</v>
      </c>
      <c r="Q967" s="1053" t="n">
        <v>643.179</v>
      </c>
      <c r="R967" s="1053" t="n">
        <v>643.179</v>
      </c>
      <c r="S967" s="1053" t="n">
        <v>643.179</v>
      </c>
      <c r="T967" s="27">
        <f>U967</f>
        <v/>
      </c>
      <c r="U967" s="1111" t="n">
        <v>618</v>
      </c>
      <c r="V967" s="1053" t="n">
        <v>618</v>
      </c>
      <c r="W967" s="1053" t="n">
        <v>618</v>
      </c>
      <c r="X967" s="1053" t="n">
        <v>618</v>
      </c>
      <c r="Y967" s="27">
        <f>Z967</f>
        <v/>
      </c>
      <c r="Z967" s="1111" t="n">
        <v>618</v>
      </c>
      <c r="AA967" s="1053" t="n">
        <v>618</v>
      </c>
      <c r="AB967" s="1053" t="n">
        <v>618</v>
      </c>
      <c r="AC967" s="1053" t="n">
        <v>618</v>
      </c>
      <c r="AD967" s="1053" t="n">
        <v>618</v>
      </c>
      <c r="AE967" s="1110">
        <f>AD967</f>
        <v/>
      </c>
      <c r="AF967" s="1053" t="n">
        <v>618</v>
      </c>
      <c r="AG967" s="1053" t="n">
        <v>618</v>
      </c>
      <c r="AH967" s="1053" t="n">
        <v>618</v>
      </c>
      <c r="AI967" s="68">
        <f>AJ967</f>
        <v/>
      </c>
      <c r="AJ967" s="1111" t="n">
        <v>618</v>
      </c>
      <c r="AK967" s="1053" t="n">
        <v>618</v>
      </c>
      <c r="AL967" s="1053" t="n">
        <v>618</v>
      </c>
      <c r="AM967" s="1053" t="n">
        <v>618</v>
      </c>
      <c r="AN967" s="68">
        <f>AO967</f>
        <v/>
      </c>
      <c r="AO967" s="1111" t="n">
        <v>618</v>
      </c>
      <c r="AP967" s="1053" t="n">
        <v>618</v>
      </c>
      <c r="AQ967" s="1053" t="n">
        <v>618</v>
      </c>
      <c r="AR967" s="1053" t="n">
        <v>618</v>
      </c>
      <c r="AS967" s="68">
        <f>AT967</f>
        <v/>
      </c>
      <c r="AT967" s="1111" t="n">
        <v>618</v>
      </c>
      <c r="AU967" s="1053" t="n">
        <v>628</v>
      </c>
      <c r="AV967" s="1053" t="n">
        <v>4193</v>
      </c>
      <c r="AW967" s="1053" t="n">
        <v>4193</v>
      </c>
      <c r="AX967" s="68">
        <f>AY967</f>
        <v/>
      </c>
      <c r="AY967" s="1111" t="n">
        <v>4193</v>
      </c>
      <c r="AZ967" s="1053" t="n">
        <v>4193</v>
      </c>
      <c r="BA967" s="1053" t="n">
        <v>4193</v>
      </c>
      <c r="BB967" s="1053" t="n">
        <v>4302</v>
      </c>
      <c r="BC967" s="68">
        <f>BD967</f>
        <v/>
      </c>
      <c r="BD967" s="1111" t="n">
        <v>4349</v>
      </c>
      <c r="BE967" s="1053" t="n">
        <v>4365</v>
      </c>
      <c r="BF967" s="1053" t="n">
        <v>4372</v>
      </c>
      <c r="BG967" s="1053" t="n">
        <v>4372</v>
      </c>
      <c r="BH967" s="68">
        <f>BI967</f>
        <v/>
      </c>
      <c r="BI967" s="1111" t="n">
        <v>4372</v>
      </c>
      <c r="BJ967" s="1053" t="n">
        <v>4430</v>
      </c>
      <c r="BK967" s="1053" t="n">
        <v>4430</v>
      </c>
      <c r="BL967" s="1053" t="n">
        <v>4430</v>
      </c>
      <c r="BM967" s="68">
        <f>BN967</f>
        <v/>
      </c>
      <c r="BN967" s="1111" t="n">
        <v>4430</v>
      </c>
      <c r="BO967" s="1053" t="n">
        <v>4453</v>
      </c>
      <c r="BP967" s="1053" t="n">
        <v>4622</v>
      </c>
      <c r="BQ967" s="1053" t="n">
        <v>4724</v>
      </c>
      <c r="BR967" s="68">
        <f>BS967</f>
        <v/>
      </c>
      <c r="BS967" s="1111" t="n">
        <v>5188</v>
      </c>
      <c r="BT967" s="1053" t="n">
        <v>5498</v>
      </c>
      <c r="BU967" s="1053" t="n">
        <v>5755</v>
      </c>
      <c r="BV967" s="1054" t="n">
        <v>6261</v>
      </c>
      <c r="BW967" s="68">
        <f>BV967</f>
        <v/>
      </c>
      <c r="BX967" s="1110">
        <f>BW967</f>
        <v/>
      </c>
      <c r="BY967" s="68">
        <f>BX967</f>
        <v/>
      </c>
      <c r="BZ967" s="68">
        <f>BY967</f>
        <v/>
      </c>
      <c r="CA967" s="68">
        <f>BZ967</f>
        <v/>
      </c>
      <c r="CB967" s="68">
        <f>CA967</f>
        <v/>
      </c>
      <c r="CC967" s="1110">
        <f>CB967</f>
        <v/>
      </c>
      <c r="CD967" s="1110">
        <f>CC967</f>
        <v/>
      </c>
      <c r="CE967" s="1110">
        <f>CD967</f>
        <v/>
      </c>
      <c r="CF967" s="1110">
        <f>CE967</f>
        <v/>
      </c>
      <c r="CG967" s="155" t="n"/>
    </row>
    <row r="968">
      <c r="A968" s="73" t="inlineStr">
        <is>
          <t>Acquisition-related intangible assets, mm</t>
        </is>
      </c>
      <c r="B968" s="146" t="n"/>
      <c r="C968" s="1110" t="n"/>
      <c r="D968" s="1110" t="n"/>
      <c r="E968" s="1111" t="n">
        <v>14.225</v>
      </c>
      <c r="F968" s="1111" t="n">
        <v>92.77800000000001</v>
      </c>
      <c r="G968" s="1053" t="n">
        <v>88.446</v>
      </c>
      <c r="H968" s="1053" t="n">
        <v>84.38</v>
      </c>
      <c r="I968" s="1053" t="n">
        <v>79.976</v>
      </c>
      <c r="J968" s="1053" t="n">
        <v>75.65000000000001</v>
      </c>
      <c r="K968" s="1111" t="n">
        <v>75.65000000000001</v>
      </c>
      <c r="L968" s="1053" t="n">
        <v>71.733</v>
      </c>
      <c r="M968" s="1053" t="n">
        <v>68.751</v>
      </c>
      <c r="N968" s="1053" t="n">
        <v>80.04300000000001</v>
      </c>
      <c r="O968" s="1053" t="n">
        <v>75.13500000000001</v>
      </c>
      <c r="P968" s="1111" t="n">
        <v>75.13500000000001</v>
      </c>
      <c r="Q968" s="1053" t="n">
        <v>70.145</v>
      </c>
      <c r="R968" s="1053" t="n">
        <v>65.15600000000001</v>
      </c>
      <c r="S968" s="1053" t="n">
        <v>60.166</v>
      </c>
      <c r="T968" s="1053" t="n">
        <v>55.177</v>
      </c>
      <c r="U968" s="1111" t="n">
        <v>55.177</v>
      </c>
      <c r="V968" s="1053" t="n">
        <v>50</v>
      </c>
      <c r="W968" s="1053" t="n">
        <v>50</v>
      </c>
      <c r="X968" s="1053" t="n">
        <v>45</v>
      </c>
      <c r="Y968" s="1053" t="n">
        <v>41</v>
      </c>
      <c r="Z968" s="1111" t="n">
        <v>41</v>
      </c>
      <c r="AA968" s="1053" t="n">
        <v>37</v>
      </c>
      <c r="AB968" s="1053" t="n">
        <v>33</v>
      </c>
      <c r="AC968" s="1053" t="n">
        <v>30</v>
      </c>
      <c r="AD968" s="1053" t="n">
        <v>26</v>
      </c>
      <c r="AE968" s="1111" t="n">
        <v>26</v>
      </c>
      <c r="AF968" s="1053" t="n">
        <v>22</v>
      </c>
      <c r="AG968" s="1053" t="n">
        <v>18</v>
      </c>
      <c r="AH968" s="1053" t="n">
        <v>15</v>
      </c>
      <c r="AI968" s="1053" t="n">
        <v>15</v>
      </c>
      <c r="AJ968" s="1111" t="n">
        <v>15</v>
      </c>
      <c r="AK968" s="1053" t="n">
        <v>12</v>
      </c>
      <c r="AL968" s="1053" t="n">
        <v>11</v>
      </c>
      <c r="AM968" s="1053" t="n">
        <v>9</v>
      </c>
      <c r="AN968" s="1053" t="n">
        <v>7</v>
      </c>
      <c r="AO968" s="1111" t="n">
        <v>7</v>
      </c>
      <c r="AP968" s="1053" t="n">
        <v>7</v>
      </c>
      <c r="AQ968" s="1053" t="n">
        <v>5</v>
      </c>
      <c r="AR968" s="1053" t="n">
        <v>4</v>
      </c>
      <c r="AS968" s="1053" t="n">
        <v>3</v>
      </c>
      <c r="AT968" s="1111" t="n">
        <v>3</v>
      </c>
      <c r="AU968" s="1053" t="n">
        <v>36</v>
      </c>
      <c r="AV968" s="1053" t="n">
        <v>2813</v>
      </c>
      <c r="AW968" s="1053" t="n">
        <v>2645</v>
      </c>
      <c r="AX968" s="68">
        <f>AY968</f>
        <v/>
      </c>
      <c r="AY968" s="1111" t="n">
        <v>2506</v>
      </c>
      <c r="AZ968" s="1053" t="n">
        <v>2376</v>
      </c>
      <c r="BA968" s="1053" t="n">
        <v>2247</v>
      </c>
      <c r="BB968" s="1053" t="n">
        <v>2230</v>
      </c>
      <c r="BC968" s="68">
        <f>BD968</f>
        <v/>
      </c>
      <c r="BD968" s="1111" t="n">
        <v>2114</v>
      </c>
      <c r="BE968" s="1053" t="n">
        <v>1993</v>
      </c>
      <c r="BF968" s="1053" t="n">
        <v>1826</v>
      </c>
      <c r="BG968" s="1053" t="n">
        <v>1652</v>
      </c>
      <c r="BH968" s="68">
        <f>BI968</f>
        <v/>
      </c>
      <c r="BI968" s="1111" t="n">
        <v>1479</v>
      </c>
      <c r="BJ968" s="1053" t="n">
        <v>1332</v>
      </c>
      <c r="BK968" s="1053" t="n">
        <v>1194</v>
      </c>
      <c r="BL968" s="1053" t="n">
        <v>1058</v>
      </c>
      <c r="BM968" s="68">
        <f>BN968</f>
        <v/>
      </c>
      <c r="BN968" s="1111" t="n">
        <v>922</v>
      </c>
      <c r="BO968" s="1053" t="n">
        <v>804</v>
      </c>
      <c r="BP968" s="1053" t="n">
        <v>776</v>
      </c>
      <c r="BQ968" s="1053" t="n">
        <v>668</v>
      </c>
      <c r="BR968" s="1053" t="n">
        <v>636</v>
      </c>
      <c r="BS968" s="1111" t="n">
        <v>636</v>
      </c>
      <c r="BT968" s="1053" t="n">
        <v>592</v>
      </c>
      <c r="BU968" s="1053" t="n">
        <v>570</v>
      </c>
      <c r="BV968" s="1054" t="n">
        <v>690</v>
      </c>
      <c r="BW968" s="68" t="n"/>
      <c r="BX968" s="1110" t="n"/>
      <c r="BY968" s="68" t="n"/>
      <c r="BZ968" s="68" t="n"/>
      <c r="CA968" s="68" t="n"/>
      <c r="CB968" s="68" t="n"/>
      <c r="CC968" s="1110" t="n"/>
      <c r="CD968" s="1110" t="n"/>
      <c r="CE968" s="1110" t="n"/>
      <c r="CF968" s="1110" t="n"/>
      <c r="CG968" s="155" t="n"/>
    </row>
    <row r="969">
      <c r="A969" s="73" t="inlineStr">
        <is>
          <t>Patents and licensed technology, mm</t>
        </is>
      </c>
      <c r="B969" s="146" t="n"/>
      <c r="C969" s="1110" t="n"/>
      <c r="D969" s="1110" t="n"/>
      <c r="E969" s="1111" t="n">
        <v>274.52</v>
      </c>
      <c r="F969" s="1111" t="n">
        <v>233.358</v>
      </c>
      <c r="G969" s="1053" t="n">
        <v>274.949</v>
      </c>
      <c r="H969" s="1053" t="n">
        <v>262.558</v>
      </c>
      <c r="I969" s="1053" t="n">
        <v>251.272</v>
      </c>
      <c r="J969" s="1053" t="n">
        <v>236.682</v>
      </c>
      <c r="K969" s="1111" t="n">
        <v>236.682</v>
      </c>
      <c r="L969" s="1053" t="n">
        <v>265</v>
      </c>
      <c r="M969" s="1053" t="n">
        <v>253.769</v>
      </c>
      <c r="N969" s="1053" t="n">
        <v>240.546</v>
      </c>
      <c r="O969" s="1053" t="n">
        <v>220.877</v>
      </c>
      <c r="P969" s="1111" t="n">
        <v>220.877</v>
      </c>
      <c r="Q969" s="1053" t="n">
        <v>207.385</v>
      </c>
      <c r="R969" s="1053" t="n">
        <v>195.457</v>
      </c>
      <c r="S969" s="1053" t="n">
        <v>181.135</v>
      </c>
      <c r="T969" s="1053" t="n">
        <v>166.537</v>
      </c>
      <c r="U969" s="1111" t="n">
        <v>166.537</v>
      </c>
      <c r="V969" s="1053" t="n">
        <v>155</v>
      </c>
      <c r="W969" s="1053" t="n">
        <v>140</v>
      </c>
      <c r="X969" s="1053" t="n">
        <v>127</v>
      </c>
      <c r="Y969" s="1053" t="n">
        <v>125</v>
      </c>
      <c r="Z969" s="1111" t="n">
        <v>125</v>
      </c>
      <c r="AA969" s="1053" t="n">
        <v>118</v>
      </c>
      <c r="AB969" s="1053" t="n">
        <v>105</v>
      </c>
      <c r="AC969" s="1053" t="n">
        <v>90</v>
      </c>
      <c r="AD969" s="1053" t="n">
        <v>78</v>
      </c>
      <c r="AE969" s="1111" t="n">
        <v>78</v>
      </c>
      <c r="AF969" s="1053" t="n">
        <v>68</v>
      </c>
      <c r="AG969" s="1053" t="n">
        <v>58</v>
      </c>
      <c r="AH969" s="1053" t="n">
        <v>48</v>
      </c>
      <c r="AI969" s="1053" t="n">
        <v>37</v>
      </c>
      <c r="AJ969" s="1111" t="n">
        <v>37</v>
      </c>
      <c r="AK969" s="1053" t="n">
        <v>43</v>
      </c>
      <c r="AL969" s="1053" t="n">
        <v>40</v>
      </c>
      <c r="AM969" s="1053" t="n">
        <v>40</v>
      </c>
      <c r="AN969" s="1053" t="n">
        <v>38</v>
      </c>
      <c r="AO969" s="1111" t="n">
        <v>38</v>
      </c>
      <c r="AP969" s="1053" t="n">
        <v>47</v>
      </c>
      <c r="AQ969" s="1053" t="n">
        <v>44</v>
      </c>
      <c r="AR969" s="1053" t="n">
        <v>39</v>
      </c>
      <c r="AS969" s="1053" t="n">
        <v>46</v>
      </c>
      <c r="AT969" s="1111" t="n">
        <v>46</v>
      </c>
      <c r="AU969" s="1053" t="n">
        <v>44</v>
      </c>
      <c r="AV969" s="1053" t="n">
        <v>41</v>
      </c>
      <c r="AW969" s="1053" t="n">
        <v>216</v>
      </c>
      <c r="AX969" s="68">
        <f>AY969</f>
        <v/>
      </c>
      <c r="AY969" s="1111" t="n">
        <v>231</v>
      </c>
      <c r="AZ969" s="1053" t="n">
        <v>237</v>
      </c>
      <c r="BA969" s="1053" t="n">
        <v>231</v>
      </c>
      <c r="BB969" s="1053" t="n">
        <v>224</v>
      </c>
      <c r="BC969" s="68">
        <f>BD969</f>
        <v/>
      </c>
      <c r="BD969" s="1111" t="n">
        <v>225</v>
      </c>
      <c r="BE969" s="1053" t="n">
        <v>218</v>
      </c>
      <c r="BF969" s="1053" t="n">
        <v>210</v>
      </c>
      <c r="BG969" s="1053" t="n">
        <v>198</v>
      </c>
      <c r="BH969" s="68">
        <f>BI969</f>
        <v/>
      </c>
      <c r="BI969" s="1111" t="n">
        <v>197</v>
      </c>
      <c r="BJ969" s="1053" t="n">
        <v>209</v>
      </c>
      <c r="BK969" s="1053" t="n">
        <v>201</v>
      </c>
      <c r="BL969" s="1053" t="n">
        <v>193</v>
      </c>
      <c r="BM969" s="68">
        <f>BN969</f>
        <v/>
      </c>
      <c r="BN969" s="1111" t="n">
        <v>190</v>
      </c>
      <c r="BO969" s="1053" t="n">
        <v>182</v>
      </c>
      <c r="BP969" s="1053" t="n">
        <v>176</v>
      </c>
      <c r="BQ969" s="1053" t="n">
        <v>170</v>
      </c>
      <c r="BR969" s="1053" t="n">
        <v>171</v>
      </c>
      <c r="BS969" s="1111" t="n">
        <v>171</v>
      </c>
      <c r="BT969" s="1053" t="n">
        <v>177</v>
      </c>
      <c r="BU969" s="1053" t="n">
        <v>185</v>
      </c>
      <c r="BV969" s="1054" t="n">
        <v>246</v>
      </c>
      <c r="BW969" s="68" t="n"/>
      <c r="BX969" s="1110" t="n"/>
      <c r="BY969" s="68" t="n"/>
      <c r="BZ969" s="68" t="n"/>
      <c r="CA969" s="68" t="n"/>
      <c r="CB969" s="68" t="n"/>
      <c r="CC969" s="1110" t="n"/>
      <c r="CD969" s="1110" t="n"/>
      <c r="CE969" s="1110" t="n"/>
      <c r="CF969" s="1110" t="n"/>
      <c r="CG969" s="155" t="n"/>
    </row>
    <row r="970">
      <c r="A970" s="559" t="inlineStr">
        <is>
          <t>Intangible assets, net</t>
        </is>
      </c>
      <c r="B970" s="571" t="n"/>
      <c r="C970" s="1119" t="n">
        <v>147.101</v>
      </c>
      <c r="D970" s="1119" t="n">
        <v>120.458</v>
      </c>
      <c r="E970" s="1119" t="n">
        <v>288.745</v>
      </c>
      <c r="F970" s="1119" t="n">
        <v>326.136</v>
      </c>
      <c r="G970" s="1056" t="n">
        <v>363.395</v>
      </c>
      <c r="H970" s="1056" t="n">
        <v>346.938</v>
      </c>
      <c r="I970" s="1056" t="n">
        <v>331.248</v>
      </c>
      <c r="J970" s="560">
        <f>K970</f>
        <v/>
      </c>
      <c r="K970" s="1119" t="n">
        <v>312.332</v>
      </c>
      <c r="L970" s="1056" t="n">
        <v>336.733</v>
      </c>
      <c r="M970" s="1056" t="n">
        <v>322.52</v>
      </c>
      <c r="N970" s="1056" t="n">
        <v>320.589</v>
      </c>
      <c r="O970" s="560">
        <f>P970</f>
        <v/>
      </c>
      <c r="P970" s="1119" t="n">
        <v>296.012</v>
      </c>
      <c r="Q970" s="1056" t="n">
        <v>277.53</v>
      </c>
      <c r="R970" s="1056" t="n">
        <v>260.613</v>
      </c>
      <c r="S970" s="1056" t="n">
        <v>241.301</v>
      </c>
      <c r="T970" s="560">
        <f>U970</f>
        <v/>
      </c>
      <c r="U970" s="1119" t="n">
        <v>222</v>
      </c>
      <c r="V970" s="1056" t="n">
        <v>205</v>
      </c>
      <c r="W970" s="1056" t="n">
        <v>190</v>
      </c>
      <c r="X970" s="1056" t="n">
        <v>172</v>
      </c>
      <c r="Y970" s="560">
        <f>Z970</f>
        <v/>
      </c>
      <c r="Z970" s="1119" t="n">
        <v>166</v>
      </c>
      <c r="AA970" s="1056" t="n">
        <v>155</v>
      </c>
      <c r="AB970" s="1056" t="n">
        <v>138</v>
      </c>
      <c r="AC970" s="1056" t="n">
        <v>120</v>
      </c>
      <c r="AD970" s="1056" t="n">
        <v>104</v>
      </c>
      <c r="AE970" s="1118">
        <f>AD970</f>
        <v/>
      </c>
      <c r="AF970" s="1056" t="n">
        <v>90</v>
      </c>
      <c r="AG970" s="1056" t="n">
        <v>76</v>
      </c>
      <c r="AH970" s="1056" t="n">
        <v>63</v>
      </c>
      <c r="AI970" s="561">
        <f>AJ970</f>
        <v/>
      </c>
      <c r="AJ970" s="1119" t="n">
        <v>52</v>
      </c>
      <c r="AK970" s="1056" t="n">
        <v>55</v>
      </c>
      <c r="AL970" s="1056" t="n">
        <v>51</v>
      </c>
      <c r="AM970" s="1056" t="n">
        <v>49</v>
      </c>
      <c r="AN970" s="561">
        <f>AO970</f>
        <v/>
      </c>
      <c r="AO970" s="1119" t="n">
        <v>45</v>
      </c>
      <c r="AP970" s="1056" t="n">
        <v>54</v>
      </c>
      <c r="AQ970" s="1056" t="n">
        <v>49</v>
      </c>
      <c r="AR970" s="1056" t="n">
        <v>43</v>
      </c>
      <c r="AS970" s="561">
        <f>AT970</f>
        <v/>
      </c>
      <c r="AT970" s="1119" t="n">
        <v>49</v>
      </c>
      <c r="AU970" s="1056" t="n">
        <v>80</v>
      </c>
      <c r="AV970" s="1056" t="n">
        <v>2854</v>
      </c>
      <c r="AW970" s="1056" t="n">
        <v>2861</v>
      </c>
      <c r="AX970" s="561">
        <f>AY970</f>
        <v/>
      </c>
      <c r="AY970" s="1119" t="n">
        <v>2737</v>
      </c>
      <c r="AZ970" s="1056" t="n">
        <v>2613</v>
      </c>
      <c r="BA970" s="1056" t="n">
        <v>2478</v>
      </c>
      <c r="BB970" s="1056" t="n">
        <v>2454</v>
      </c>
      <c r="BC970" s="561">
        <f>BD970</f>
        <v/>
      </c>
      <c r="BD970" s="1119" t="n">
        <v>2339</v>
      </c>
      <c r="BE970" s="1056" t="n">
        <v>2211</v>
      </c>
      <c r="BF970" s="1056" t="n">
        <v>2036</v>
      </c>
      <c r="BG970" s="1056" t="n">
        <v>1850</v>
      </c>
      <c r="BH970" s="561">
        <f>BI970</f>
        <v/>
      </c>
      <c r="BI970" s="1119" t="n">
        <v>1676</v>
      </c>
      <c r="BJ970" s="1056" t="n">
        <v>1541</v>
      </c>
      <c r="BK970" s="561">
        <f>SUM(BK968:BK969)</f>
        <v/>
      </c>
      <c r="BL970" s="560">
        <f>SUM(BL968:BL969)</f>
        <v/>
      </c>
      <c r="BM970" s="561">
        <f>BN970</f>
        <v/>
      </c>
      <c r="BN970" s="1119" t="n">
        <v>1112</v>
      </c>
      <c r="BO970" s="560">
        <f>SUM(BO968:BO969)</f>
        <v/>
      </c>
      <c r="BP970" s="561">
        <f>SUM(BP968:BP969)</f>
        <v/>
      </c>
      <c r="BQ970" s="561">
        <f>SUM(BQ968:BQ969)</f>
        <v/>
      </c>
      <c r="BR970" s="561">
        <f>BS970</f>
        <v/>
      </c>
      <c r="BS970" s="1119" t="n">
        <v>807</v>
      </c>
      <c r="BT970" s="560">
        <f>SUM(BT968:BT969)</f>
        <v/>
      </c>
      <c r="BU970" s="561">
        <f>SUM(BU968:BU969)</f>
        <v/>
      </c>
      <c r="BV970" s="738">
        <f>SUM(BV968:BV969)</f>
        <v/>
      </c>
      <c r="BW970" s="561">
        <f>BV970+BW924+BW923</f>
        <v/>
      </c>
      <c r="BX970" s="1118">
        <f>BW970</f>
        <v/>
      </c>
      <c r="BY970" s="561">
        <f>BX970+BY924+BY923</f>
        <v/>
      </c>
      <c r="BZ970" s="561">
        <f>BY970+BZ924+BZ923</f>
        <v/>
      </c>
      <c r="CA970" s="561">
        <f>BZ970+CA924+CA923</f>
        <v/>
      </c>
      <c r="CB970" s="561">
        <f>CA970+CB924+CB923</f>
        <v/>
      </c>
      <c r="CC970" s="1118">
        <f>CB970</f>
        <v/>
      </c>
      <c r="CD970" s="1118">
        <f>CC970+CD924+CD923</f>
        <v/>
      </c>
      <c r="CE970" s="1118">
        <f>CD970+CE924+CE923</f>
        <v/>
      </c>
      <c r="CF970" s="1118">
        <f>CE970+CF924+CF923</f>
        <v/>
      </c>
      <c r="CG970" s="155" t="n"/>
    </row>
    <row r="971">
      <c r="A971" s="67" t="inlineStr">
        <is>
          <t>Deferred income tax assets</t>
        </is>
      </c>
      <c r="B971" s="146" t="n"/>
      <c r="C971" s="1110" t="n"/>
      <c r="D971" s="1110" t="n"/>
      <c r="E971" s="1110" t="n"/>
      <c r="F971" s="1110" t="n"/>
      <c r="G971" s="68" t="n"/>
      <c r="H971" s="68" t="n"/>
      <c r="I971" s="68" t="n"/>
      <c r="J971" s="68" t="n"/>
      <c r="K971" s="1110" t="n"/>
      <c r="L971" s="68" t="n"/>
      <c r="M971" s="68" t="n"/>
      <c r="N971" s="68" t="n"/>
      <c r="O971" s="68" t="n"/>
      <c r="P971" s="1110" t="n"/>
      <c r="Q971" s="68" t="n"/>
      <c r="R971" s="68" t="n"/>
      <c r="S971" s="68" t="n"/>
      <c r="T971" s="68" t="n"/>
      <c r="U971" s="1110" t="n"/>
      <c r="V971" s="68" t="n"/>
      <c r="W971" s="68" t="n"/>
      <c r="X971" s="68" t="n"/>
      <c r="Y971" s="68" t="n"/>
      <c r="Z971" s="1110" t="n"/>
      <c r="AA971" s="68" t="n"/>
      <c r="AB971" s="68" t="n"/>
      <c r="AC971" s="68" t="n"/>
      <c r="AD971" s="68" t="n"/>
      <c r="AE971" s="1110" t="n"/>
      <c r="AF971" s="68" t="n"/>
      <c r="AG971" s="68" t="n"/>
      <c r="AH971" s="68" t="n"/>
      <c r="AI971" s="68" t="n"/>
      <c r="AJ971" s="1110" t="n"/>
      <c r="AK971" s="68" t="n"/>
      <c r="AL971" s="68" t="n"/>
      <c r="AM971" s="68" t="n"/>
      <c r="AN971" s="68" t="n"/>
      <c r="AO971" s="1110" t="n"/>
      <c r="AP971" s="1053" t="n">
        <v>601</v>
      </c>
      <c r="AQ971" s="1053" t="n">
        <v>588</v>
      </c>
      <c r="AR971" s="1053" t="n">
        <v>569</v>
      </c>
      <c r="AS971" s="68">
        <f>AT971</f>
        <v/>
      </c>
      <c r="AT971" s="1111" t="n">
        <v>548</v>
      </c>
      <c r="AU971" s="1053" t="n">
        <v>533</v>
      </c>
      <c r="AV971" s="1053" t="n">
        <v>630</v>
      </c>
      <c r="AW971" s="1053" t="n">
        <v>666</v>
      </c>
      <c r="AX971" s="68">
        <f>AY971</f>
        <v/>
      </c>
      <c r="AY971" s="1111" t="n">
        <v>806</v>
      </c>
      <c r="AZ971" s="1053" t="n">
        <v>778</v>
      </c>
      <c r="BA971" s="1053" t="n">
        <v>958</v>
      </c>
      <c r="BB971" s="1053" t="n">
        <v>970</v>
      </c>
      <c r="BC971" s="68">
        <f>BD971</f>
        <v/>
      </c>
      <c r="BD971" s="1111" t="n">
        <v>1222</v>
      </c>
      <c r="BE971" s="1053" t="n">
        <v>1784</v>
      </c>
      <c r="BF971" s="1053" t="n">
        <v>2225</v>
      </c>
      <c r="BG971" s="1053" t="n">
        <v>2762</v>
      </c>
      <c r="BH971" s="68">
        <f>BI971</f>
        <v/>
      </c>
      <c r="BI971" s="1111" t="n">
        <v>3396</v>
      </c>
      <c r="BJ971" s="1053" t="n">
        <v>4568</v>
      </c>
      <c r="BK971" s="1053" t="n">
        <v>5398</v>
      </c>
      <c r="BL971" s="1053" t="n">
        <v>5982</v>
      </c>
      <c r="BM971" s="68">
        <f>BN971</f>
        <v/>
      </c>
      <c r="BN971" s="1111" t="n">
        <v>6081</v>
      </c>
      <c r="BO971" s="1053" t="n">
        <v>7798</v>
      </c>
      <c r="BP971" s="1053" t="n">
        <v>9578</v>
      </c>
      <c r="BQ971" s="1053" t="n">
        <v>10276</v>
      </c>
      <c r="BR971" s="68">
        <f>BS971</f>
        <v/>
      </c>
      <c r="BS971" s="1111" t="n">
        <v>10979</v>
      </c>
      <c r="BT971" s="1053" t="n">
        <v>13318</v>
      </c>
      <c r="BU971" s="1053" t="n">
        <v>13570</v>
      </c>
      <c r="BV971" s="1054" t="n">
        <v>13674</v>
      </c>
      <c r="BW971" s="68">
        <f>BV971-BW852</f>
        <v/>
      </c>
      <c r="BX971" s="1110">
        <f>BW971</f>
        <v/>
      </c>
      <c r="BY971" s="68">
        <f>BX971-BY852</f>
        <v/>
      </c>
      <c r="BZ971" s="68">
        <f>BY971-BZ852</f>
        <v/>
      </c>
      <c r="CA971" s="68">
        <f>BZ971-CA852</f>
        <v/>
      </c>
      <c r="CB971" s="68">
        <f>CA971-CB852</f>
        <v/>
      </c>
      <c r="CC971" s="1110">
        <f>CB971</f>
        <v/>
      </c>
      <c r="CD971" s="1110">
        <f>CC971-CD852</f>
        <v/>
      </c>
      <c r="CE971" s="1110">
        <f>CD971-CE852</f>
        <v/>
      </c>
      <c r="CF971" s="1110">
        <f>CE971-CF852</f>
        <v/>
      </c>
      <c r="CG971" s="155" t="n"/>
    </row>
    <row r="972">
      <c r="A972" s="73" t="inlineStr">
        <is>
          <t>Prepaid supply agreements</t>
        </is>
      </c>
      <c r="B972" s="146" t="n"/>
      <c r="C972" s="1110" t="n"/>
      <c r="D972" s="1110" t="n"/>
      <c r="E972" s="1110" t="n"/>
      <c r="F972" s="1110" t="n"/>
      <c r="G972" s="68" t="n"/>
      <c r="H972" s="68" t="n"/>
      <c r="I972" s="68" t="n"/>
      <c r="J972" s="68" t="n"/>
      <c r="K972" s="1110" t="n"/>
      <c r="L972" s="68" t="n"/>
      <c r="M972" s="68" t="n"/>
      <c r="N972" s="68" t="n"/>
      <c r="O972" s="68" t="n"/>
      <c r="P972" s="1110" t="n"/>
      <c r="Q972" s="68" t="n"/>
      <c r="R972" s="68" t="n"/>
      <c r="S972" s="68" t="n"/>
      <c r="T972" s="68" t="n"/>
      <c r="U972" s="1110" t="n"/>
      <c r="V972" s="68" t="n"/>
      <c r="W972" s="68" t="n"/>
      <c r="X972" s="68" t="n"/>
      <c r="Y972" s="68" t="n"/>
      <c r="Z972" s="1110" t="n"/>
      <c r="AA972" s="68" t="n"/>
      <c r="AB972" s="68" t="n"/>
      <c r="AC972" s="68" t="n"/>
      <c r="AD972" s="68" t="n"/>
      <c r="AE972" s="1110" t="n"/>
      <c r="AF972" s="68" t="n"/>
      <c r="AG972" s="68" t="n"/>
      <c r="AH972" s="68" t="n"/>
      <c r="AI972" s="68" t="n"/>
      <c r="AJ972" s="1110" t="n"/>
      <c r="AK972" s="68" t="n"/>
      <c r="AL972" s="68" t="n"/>
      <c r="AM972" s="68" t="n"/>
      <c r="AN972" s="68" t="n"/>
      <c r="AO972" s="1110" t="n"/>
      <c r="AP972" s="68" t="n"/>
      <c r="AQ972" s="68" t="n"/>
      <c r="AR972" s="68" t="n"/>
      <c r="AS972" s="68" t="n"/>
      <c r="AT972" s="1110" t="n"/>
      <c r="AU972" s="68" t="n"/>
      <c r="AV972" s="68" t="n"/>
      <c r="AW972" s="68" t="n"/>
      <c r="AX972" s="68" t="n"/>
      <c r="AY972" s="1110" t="n"/>
      <c r="AZ972" s="68" t="n"/>
      <c r="BA972" s="68" t="n"/>
      <c r="BB972" s="1053" t="n">
        <v>1606</v>
      </c>
      <c r="BC972" s="68">
        <f>BD972</f>
        <v/>
      </c>
      <c r="BD972" s="1111" t="n">
        <v>1747</v>
      </c>
      <c r="BE972" s="1053" t="n">
        <v>2752</v>
      </c>
      <c r="BF972" s="1053" t="n">
        <v>2523</v>
      </c>
      <c r="BG972" s="1053" t="n">
        <v>2771</v>
      </c>
      <c r="BH972" s="68">
        <f>BI972</f>
        <v/>
      </c>
      <c r="BI972" s="1111" t="n">
        <v>2989</v>
      </c>
      <c r="BJ972" s="1053" t="n">
        <v>3002</v>
      </c>
      <c r="BK972" s="1053" t="n">
        <v>3008</v>
      </c>
      <c r="BL972" s="1053" t="n">
        <v>2927</v>
      </c>
      <c r="BM972" s="68">
        <f>BN972</f>
        <v/>
      </c>
      <c r="BN972" s="1111" t="n">
        <v>2458</v>
      </c>
      <c r="BO972" s="1053" t="n">
        <v>2232</v>
      </c>
      <c r="BP972" s="1053" t="n">
        <v>1313</v>
      </c>
      <c r="BQ972" s="1053" t="n">
        <v>2041</v>
      </c>
      <c r="BR972" s="68">
        <f>BS972</f>
        <v/>
      </c>
      <c r="BS972" s="1111" t="n">
        <v>1747</v>
      </c>
      <c r="BT972" s="1053" t="n">
        <v>2079</v>
      </c>
      <c r="BU972" s="1053" t="n">
        <v>1776</v>
      </c>
      <c r="BV972" s="1054" t="n">
        <v>1536</v>
      </c>
      <c r="BW972" s="68" t="n"/>
      <c r="BX972" s="1110" t="n"/>
      <c r="BY972" s="68" t="n"/>
      <c r="BZ972" s="68" t="n"/>
      <c r="CA972" s="68" t="n"/>
      <c r="CB972" s="68" t="n"/>
      <c r="CC972" s="1110" t="n"/>
      <c r="CD972" s="1110" t="n"/>
      <c r="CE972" s="1110" t="n"/>
      <c r="CF972" s="1110" t="n"/>
      <c r="CG972" s="155" t="n"/>
    </row>
    <row r="973">
      <c r="A973" s="73" t="inlineStr">
        <is>
          <t>Prepaid royalties</t>
        </is>
      </c>
      <c r="B973" s="146" t="n"/>
      <c r="C973" s="1110" t="n"/>
      <c r="D973" s="1110" t="n"/>
      <c r="E973" s="1110" t="n"/>
      <c r="F973" s="1110" t="n"/>
      <c r="G973" s="68" t="n"/>
      <c r="H973" s="68" t="n"/>
      <c r="I973" s="68" t="n"/>
      <c r="J973" s="68" t="n"/>
      <c r="K973" s="1110" t="n"/>
      <c r="L973" s="68" t="n"/>
      <c r="M973" s="68" t="n"/>
      <c r="N973" s="68" t="n"/>
      <c r="O973" s="68" t="n"/>
      <c r="P973" s="1110" t="n"/>
      <c r="Q973" s="68" t="n"/>
      <c r="R973" s="68" t="n"/>
      <c r="S973" s="68" t="n"/>
      <c r="T973" s="68" t="n"/>
      <c r="U973" s="1110" t="n"/>
      <c r="V973" s="68" t="n"/>
      <c r="W973" s="68" t="n"/>
      <c r="X973" s="68" t="n"/>
      <c r="Y973" s="68" t="n"/>
      <c r="Z973" s="1110" t="n"/>
      <c r="AA973" s="68" t="n"/>
      <c r="AB973" s="68" t="n"/>
      <c r="AC973" s="68" t="n"/>
      <c r="AD973" s="68" t="n"/>
      <c r="AE973" s="1110" t="n"/>
      <c r="AF973" s="68" t="n"/>
      <c r="AG973" s="68" t="n"/>
      <c r="AH973" s="68" t="n"/>
      <c r="AI973" s="68" t="n"/>
      <c r="AJ973" s="1110" t="n"/>
      <c r="AK973" s="68" t="n"/>
      <c r="AL973" s="68" t="n"/>
      <c r="AM973" s="68" t="n"/>
      <c r="AN973" s="68" t="n"/>
      <c r="AO973" s="1110" t="n"/>
      <c r="AP973" s="68" t="n"/>
      <c r="AQ973" s="68" t="n"/>
      <c r="AR973" s="68" t="n"/>
      <c r="AS973" s="68" t="n"/>
      <c r="AT973" s="1111" t="n">
        <v>1</v>
      </c>
      <c r="AU973" s="68" t="n"/>
      <c r="AV973" s="68" t="n"/>
      <c r="AW973" s="1053" t="n">
        <v>446</v>
      </c>
      <c r="AX973" s="68">
        <f>AY973</f>
        <v/>
      </c>
      <c r="AY973" s="1111" t="n">
        <v>440</v>
      </c>
      <c r="AZ973" s="1053" t="n">
        <v>428</v>
      </c>
      <c r="BA973" s="1053" t="n">
        <v>422</v>
      </c>
      <c r="BB973" s="1053" t="n">
        <v>416</v>
      </c>
      <c r="BC973" s="68">
        <f>BD973</f>
        <v/>
      </c>
      <c r="BD973" s="1111" t="n">
        <v>409</v>
      </c>
      <c r="BE973" s="1053" t="n">
        <v>405</v>
      </c>
      <c r="BF973" s="1053" t="n">
        <v>399</v>
      </c>
      <c r="BG973" s="1053" t="n">
        <v>393</v>
      </c>
      <c r="BH973" s="68">
        <f>BI973</f>
        <v/>
      </c>
      <c r="BI973" s="1111" t="n">
        <v>387</v>
      </c>
      <c r="BJ973" s="1053" t="n">
        <v>381</v>
      </c>
      <c r="BK973" s="1053" t="n">
        <v>375</v>
      </c>
      <c r="BL973" s="1053" t="n">
        <v>369</v>
      </c>
      <c r="BM973" s="68">
        <f>BN973</f>
        <v/>
      </c>
      <c r="BN973" s="1111" t="n">
        <v>364</v>
      </c>
      <c r="BO973" s="1053" t="n">
        <v>358</v>
      </c>
      <c r="BP973" s="1053" t="n">
        <v>352</v>
      </c>
      <c r="BQ973" s="1053" t="n">
        <v>346</v>
      </c>
      <c r="BR973" s="68">
        <f>BS973</f>
        <v/>
      </c>
      <c r="BS973" s="1111" t="n">
        <v>340</v>
      </c>
      <c r="BT973" s="1053" t="n">
        <v>334</v>
      </c>
      <c r="BU973" s="1053" t="n">
        <v>327</v>
      </c>
      <c r="BV973" s="588" t="n"/>
      <c r="BW973" s="68" t="n"/>
      <c r="BX973" s="1110" t="n"/>
      <c r="BY973" s="68" t="n"/>
      <c r="BZ973" s="68" t="n"/>
      <c r="CA973" s="68" t="n"/>
      <c r="CB973" s="68" t="n"/>
      <c r="CC973" s="1110" t="n"/>
      <c r="CD973" s="1110" t="n"/>
      <c r="CE973" s="1110" t="n"/>
      <c r="CF973" s="1110" t="n"/>
      <c r="CG973" s="155" t="n"/>
    </row>
    <row r="974">
      <c r="A974" s="73" t="inlineStr">
        <is>
          <t>Investment in non-affiliated entities</t>
        </is>
      </c>
      <c r="B974" s="146" t="n"/>
      <c r="C974" s="1110" t="n"/>
      <c r="D974" s="1110" t="n"/>
      <c r="E974" s="1110" t="n"/>
      <c r="F974" s="1110" t="n"/>
      <c r="G974" s="68" t="n"/>
      <c r="H974" s="68" t="n"/>
      <c r="I974" s="68" t="n"/>
      <c r="J974" s="68" t="n"/>
      <c r="K974" s="1110" t="n"/>
      <c r="L974" s="68" t="n"/>
      <c r="M974" s="68" t="n"/>
      <c r="N974" s="68" t="n"/>
      <c r="O974" s="68" t="n"/>
      <c r="P974" s="1110" t="n"/>
      <c r="Q974" s="68" t="n"/>
      <c r="R974" s="68" t="n"/>
      <c r="S974" s="68" t="n"/>
      <c r="T974" s="68" t="n"/>
      <c r="U974" s="1110" t="n"/>
      <c r="V974" s="68" t="n"/>
      <c r="W974" s="68" t="n"/>
      <c r="X974" s="68" t="n"/>
      <c r="Y974" s="68" t="n"/>
      <c r="Z974" s="1110" t="n"/>
      <c r="AA974" s="68" t="n"/>
      <c r="AB974" s="68" t="n"/>
      <c r="AC974" s="68" t="n"/>
      <c r="AD974" s="68" t="n"/>
      <c r="AE974" s="1110" t="n"/>
      <c r="AF974" s="68" t="n"/>
      <c r="AG974" s="68" t="n"/>
      <c r="AH974" s="68" t="n"/>
      <c r="AI974" s="68" t="n"/>
      <c r="AJ974" s="1110" t="n"/>
      <c r="AK974" s="68" t="n"/>
      <c r="AL974" s="68" t="n"/>
      <c r="AM974" s="68" t="n"/>
      <c r="AN974" s="68" t="n"/>
      <c r="AO974" s="1110" t="n"/>
      <c r="AP974" s="68" t="n"/>
      <c r="AQ974" s="68" t="n"/>
      <c r="AR974" s="68" t="n"/>
      <c r="AS974" s="68" t="n"/>
      <c r="AT974" s="1111" t="n">
        <v>77</v>
      </c>
      <c r="AU974" s="68" t="n"/>
      <c r="AV974" s="68" t="n"/>
      <c r="AW974" s="1053" t="n">
        <v>106</v>
      </c>
      <c r="AX974" s="68">
        <f>AY974</f>
        <v/>
      </c>
      <c r="AY974" s="1111" t="n">
        <v>144</v>
      </c>
      <c r="AZ974" s="1053" t="n">
        <v>146</v>
      </c>
      <c r="BA974" s="1053" t="n">
        <v>147</v>
      </c>
      <c r="BB974" s="1053" t="n">
        <v>308</v>
      </c>
      <c r="BC974" s="68">
        <f>BD974</f>
        <v/>
      </c>
      <c r="BD974" s="1111" t="n">
        <v>266</v>
      </c>
      <c r="BE974" s="1053" t="n">
        <v>285</v>
      </c>
      <c r="BF974" s="1053" t="n">
        <v>307</v>
      </c>
      <c r="BG974" s="1053" t="n">
        <v>314</v>
      </c>
      <c r="BH974" s="68">
        <f>BI974</f>
        <v/>
      </c>
      <c r="BI974" s="1111" t="n">
        <v>299</v>
      </c>
      <c r="BJ974" s="1053" t="n">
        <v>505</v>
      </c>
      <c r="BK974" s="1053" t="n">
        <v>800</v>
      </c>
      <c r="BL974" s="1053" t="n">
        <v>1172</v>
      </c>
      <c r="BM974" s="68">
        <f>BN974</f>
        <v/>
      </c>
      <c r="BN974" s="1111" t="n">
        <v>1546</v>
      </c>
      <c r="BO974" s="1053" t="n">
        <v>1750</v>
      </c>
      <c r="BP974" s="1053" t="n">
        <v>1819</v>
      </c>
      <c r="BQ974" s="1053" t="n">
        <v>2237</v>
      </c>
      <c r="BR974" s="68">
        <f>BS974</f>
        <v/>
      </c>
      <c r="BS974" s="1111" t="n">
        <v>3387</v>
      </c>
      <c r="BT974" s="1053" t="n">
        <v>3240</v>
      </c>
      <c r="BU974" s="1053" t="n">
        <v>3799</v>
      </c>
      <c r="BV974" s="1054" t="n">
        <v>8187</v>
      </c>
      <c r="BW974" s="68" t="n"/>
      <c r="BX974" s="1110" t="n"/>
      <c r="BY974" s="68" t="n"/>
      <c r="BZ974" s="68" t="n"/>
      <c r="CA974" s="68" t="n"/>
      <c r="CB974" s="68" t="n"/>
      <c r="CC974" s="1110" t="n"/>
      <c r="CD974" s="1110" t="n"/>
      <c r="CE974" s="1110" t="n"/>
      <c r="CF974" s="1110" t="n"/>
      <c r="CG974" s="155" t="n"/>
    </row>
    <row r="975">
      <c r="A975" s="73" t="inlineStr">
        <is>
          <t>Income tax receivable</t>
        </is>
      </c>
      <c r="B975" s="146" t="n"/>
      <c r="C975" s="1110" t="n"/>
      <c r="D975" s="1110" t="n"/>
      <c r="E975" s="1110" t="n"/>
      <c r="F975" s="1110" t="n"/>
      <c r="G975" s="68" t="n"/>
      <c r="H975" s="68" t="n"/>
      <c r="I975" s="68" t="n"/>
      <c r="J975" s="68" t="n"/>
      <c r="K975" s="1110" t="n"/>
      <c r="L975" s="68" t="n"/>
      <c r="M975" s="68" t="n"/>
      <c r="N975" s="68" t="n"/>
      <c r="O975" s="68" t="n"/>
      <c r="P975" s="1110" t="n"/>
      <c r="Q975" s="68" t="n"/>
      <c r="R975" s="68" t="n"/>
      <c r="S975" s="68" t="n"/>
      <c r="T975" s="68" t="n"/>
      <c r="U975" s="1110" t="n"/>
      <c r="V975" s="68" t="n"/>
      <c r="W975" s="68" t="n"/>
      <c r="X975" s="68" t="n"/>
      <c r="Y975" s="68" t="n"/>
      <c r="Z975" s="1110" t="n"/>
      <c r="AA975" s="68" t="n"/>
      <c r="AB975" s="68" t="n"/>
      <c r="AC975" s="68" t="n"/>
      <c r="AD975" s="68" t="n"/>
      <c r="AE975" s="1110" t="n"/>
      <c r="AF975" s="68" t="n"/>
      <c r="AG975" s="68" t="n"/>
      <c r="AH975" s="68" t="n"/>
      <c r="AI975" s="68" t="n"/>
      <c r="AJ975" s="1110" t="n"/>
      <c r="AK975" s="68" t="n"/>
      <c r="AL975" s="68" t="n"/>
      <c r="AM975" s="68" t="n"/>
      <c r="AN975" s="68" t="n"/>
      <c r="AO975" s="1110" t="n"/>
      <c r="AP975" s="68" t="n"/>
      <c r="AQ975" s="68" t="n"/>
      <c r="AR975" s="68" t="n"/>
      <c r="AS975" s="68" t="n"/>
      <c r="AT975" s="1110" t="n"/>
      <c r="AU975" s="68" t="n"/>
      <c r="AV975" s="68" t="n"/>
      <c r="AW975" s="68" t="n"/>
      <c r="AX975" s="68" t="n"/>
      <c r="AY975" s="1110" t="n"/>
      <c r="AZ975" s="68" t="n"/>
      <c r="BA975" s="68" t="n"/>
      <c r="BB975" s="68" t="n"/>
      <c r="BC975" s="68" t="n"/>
      <c r="BD975" s="1110" t="n"/>
      <c r="BE975" s="68" t="n"/>
      <c r="BF975" s="68" t="n"/>
      <c r="BG975" s="68" t="n"/>
      <c r="BH975" s="68" t="n"/>
      <c r="BI975" s="1110" t="n"/>
      <c r="BJ975" s="68" t="n"/>
      <c r="BK975" s="68" t="n"/>
      <c r="BL975" s="68" t="n"/>
      <c r="BM975" s="68" t="n"/>
      <c r="BN975" s="1110" t="n"/>
      <c r="BO975" s="68" t="n"/>
      <c r="BP975" s="68" t="n"/>
      <c r="BQ975" s="1053" t="n">
        <v>568</v>
      </c>
      <c r="BR975" s="68">
        <f>BS975</f>
        <v/>
      </c>
      <c r="BS975" s="1111" t="n">
        <v>750</v>
      </c>
      <c r="BT975" s="1053" t="n">
        <v>895</v>
      </c>
      <c r="BU975" s="1053" t="n">
        <v>1042</v>
      </c>
      <c r="BV975" s="1054" t="n">
        <v>1369</v>
      </c>
      <c r="BW975" s="68" t="n"/>
      <c r="BX975" s="1110" t="n"/>
      <c r="BY975" s="68" t="n"/>
      <c r="BZ975" s="68" t="n"/>
      <c r="CA975" s="68" t="n"/>
      <c r="CB975" s="68" t="n"/>
      <c r="CC975" s="1110" t="n"/>
      <c r="CD975" s="1110" t="n"/>
      <c r="CE975" s="1110" t="n"/>
      <c r="CF975" s="1110" t="n"/>
      <c r="CG975" s="155" t="n"/>
    </row>
    <row r="976">
      <c r="A976" s="73" t="inlineStr">
        <is>
          <t>Prepaid cloud services</t>
        </is>
      </c>
      <c r="B976" s="146" t="n"/>
      <c r="C976" s="1110" t="n"/>
      <c r="D976" s="1110" t="n"/>
      <c r="E976" s="1110" t="n"/>
      <c r="F976" s="1110" t="n"/>
      <c r="G976" s="68" t="n"/>
      <c r="H976" s="68" t="n"/>
      <c r="I976" s="68" t="n"/>
      <c r="J976" s="68" t="n"/>
      <c r="K976" s="1110" t="n"/>
      <c r="L976" s="68" t="n"/>
      <c r="M976" s="68" t="n"/>
      <c r="N976" s="68" t="n"/>
      <c r="O976" s="68" t="n"/>
      <c r="P976" s="1110" t="n"/>
      <c r="Q976" s="68" t="n"/>
      <c r="R976" s="68" t="n"/>
      <c r="S976" s="68" t="n"/>
      <c r="T976" s="68" t="n"/>
      <c r="U976" s="1110" t="n"/>
      <c r="V976" s="68" t="n"/>
      <c r="W976" s="68" t="n"/>
      <c r="X976" s="68" t="n"/>
      <c r="Y976" s="68" t="n"/>
      <c r="Z976" s="1110" t="n"/>
      <c r="AA976" s="68" t="n"/>
      <c r="AB976" s="68" t="n"/>
      <c r="AC976" s="68" t="n"/>
      <c r="AD976" s="68" t="n"/>
      <c r="AE976" s="1110" t="n"/>
      <c r="AF976" s="68" t="n"/>
      <c r="AG976" s="68" t="n"/>
      <c r="AH976" s="68" t="n"/>
      <c r="AI976" s="68" t="n"/>
      <c r="AJ976" s="1110" t="n"/>
      <c r="AK976" s="68" t="n"/>
      <c r="AL976" s="68" t="n"/>
      <c r="AM976" s="68" t="n"/>
      <c r="AN976" s="68" t="n"/>
      <c r="AO976" s="1110" t="n"/>
      <c r="AP976" s="68" t="n"/>
      <c r="AQ976" s="68" t="n"/>
      <c r="AR976" s="68" t="n"/>
      <c r="AS976" s="68" t="n"/>
      <c r="AT976" s="1110" t="n"/>
      <c r="AU976" s="68" t="n"/>
      <c r="AV976" s="68" t="n"/>
      <c r="AW976" s="68" t="n"/>
      <c r="AX976" s="68" t="n"/>
      <c r="AY976" s="1110" t="n"/>
      <c r="AZ976" s="68" t="n"/>
      <c r="BA976" s="68" t="n"/>
      <c r="BB976" s="68" t="n"/>
      <c r="BC976" s="68" t="n"/>
      <c r="BD976" s="1110" t="n"/>
      <c r="BE976" s="68" t="n"/>
      <c r="BF976" s="68" t="n"/>
      <c r="BG976" s="68" t="n"/>
      <c r="BH976" s="68">
        <f>BI976</f>
        <v/>
      </c>
      <c r="BI976" s="1110" t="n"/>
      <c r="BJ976" s="1053" t="n">
        <v>171</v>
      </c>
      <c r="BK976" s="1053" t="n">
        <v>170</v>
      </c>
      <c r="BL976" s="1053" t="n">
        <v>60</v>
      </c>
      <c r="BM976" s="68">
        <f>BN976</f>
        <v/>
      </c>
      <c r="BN976" s="1110" t="n"/>
      <c r="BO976" s="68" t="n"/>
      <c r="BP976" s="68" t="n"/>
      <c r="BQ976" s="68" t="n"/>
      <c r="BR976" s="68">
        <f>BS976</f>
        <v/>
      </c>
      <c r="BS976" s="1110" t="n"/>
      <c r="BT976" s="68" t="n"/>
      <c r="BU976" s="68" t="n"/>
      <c r="BV976" s="588" t="n"/>
      <c r="BW976" s="68" t="n"/>
      <c r="BX976" s="1110" t="n"/>
      <c r="BY976" s="68" t="n"/>
      <c r="BZ976" s="68" t="n"/>
      <c r="CA976" s="68" t="n"/>
      <c r="CB976" s="68" t="n"/>
      <c r="CC976" s="1110" t="n"/>
      <c r="CD976" s="1110" t="n"/>
      <c r="CE976" s="1110" t="n"/>
      <c r="CF976" s="1110" t="n"/>
      <c r="CG976" s="155" t="n"/>
    </row>
    <row r="977">
      <c r="A977" s="73" t="inlineStr">
        <is>
          <t>Advanced consideration for acquisition</t>
        </is>
      </c>
      <c r="B977" s="146" t="n"/>
      <c r="C977" s="1110" t="n"/>
      <c r="D977" s="1110" t="n"/>
      <c r="E977" s="1110" t="n"/>
      <c r="F977" s="1110" t="n"/>
      <c r="G977" s="68" t="n"/>
      <c r="H977" s="68" t="n"/>
      <c r="I977" s="68" t="n"/>
      <c r="J977" s="68" t="n"/>
      <c r="K977" s="1110" t="n"/>
      <c r="L977" s="68" t="n"/>
      <c r="M977" s="68" t="n"/>
      <c r="N977" s="68" t="n"/>
      <c r="O977" s="68" t="n"/>
      <c r="P977" s="1110" t="n"/>
      <c r="Q977" s="68" t="n"/>
      <c r="R977" s="68" t="n"/>
      <c r="S977" s="68" t="n"/>
      <c r="T977" s="68" t="n"/>
      <c r="U977" s="1110" t="n"/>
      <c r="V977" s="68" t="n"/>
      <c r="W977" s="68" t="n"/>
      <c r="X977" s="68" t="n"/>
      <c r="Y977" s="68" t="n"/>
      <c r="Z977" s="1110" t="n"/>
      <c r="AA977" s="68" t="n"/>
      <c r="AB977" s="68" t="n"/>
      <c r="AC977" s="68" t="n"/>
      <c r="AD977" s="68" t="n"/>
      <c r="AE977" s="1110" t="n"/>
      <c r="AF977" s="68" t="n"/>
      <c r="AG977" s="68" t="n"/>
      <c r="AH977" s="68" t="n"/>
      <c r="AI977" s="68" t="n"/>
      <c r="AJ977" s="1110" t="n"/>
      <c r="AK977" s="68" t="n"/>
      <c r="AL977" s="68" t="n"/>
      <c r="AM977" s="68" t="n"/>
      <c r="AN977" s="68" t="n"/>
      <c r="AO977" s="1110" t="n"/>
      <c r="AP977" s="68" t="n"/>
      <c r="AQ977" s="68" t="n"/>
      <c r="AR977" s="68" t="n"/>
      <c r="AS977" s="68" t="n"/>
      <c r="AT977" s="1110" t="n"/>
      <c r="AU977" s="68" t="n"/>
      <c r="AV977" s="68" t="n"/>
      <c r="AW977" s="1053" t="n">
        <v>1357</v>
      </c>
      <c r="AX977" s="68">
        <f>AY977</f>
        <v/>
      </c>
      <c r="AY977" s="1111" t="n">
        <v>1357</v>
      </c>
      <c r="AZ977" s="1053" t="n">
        <v>1357</v>
      </c>
      <c r="BA977" s="1053" t="n">
        <v>1357</v>
      </c>
      <c r="BB977" s="1053" t="n">
        <v>1357</v>
      </c>
      <c r="BC977" s="68">
        <f>BD977</f>
        <v/>
      </c>
      <c r="BD977" s="1111" t="n">
        <v>1357</v>
      </c>
      <c r="BE977" s="68" t="n"/>
      <c r="BF977" s="68" t="n"/>
      <c r="BG977" s="68" t="n"/>
      <c r="BH977" s="68">
        <f>BI977</f>
        <v/>
      </c>
      <c r="BI977" s="1111" t="n">
        <v>0</v>
      </c>
      <c r="BJ977" s="68" t="n"/>
      <c r="BK977" s="68" t="n"/>
      <c r="BL977" s="68" t="n"/>
      <c r="BM977" s="68" t="n"/>
      <c r="BN977" s="1110" t="n"/>
      <c r="BO977" s="68" t="n"/>
      <c r="BP977" s="68" t="n"/>
      <c r="BQ977" s="68" t="n"/>
      <c r="BR977" s="68">
        <f>BS977</f>
        <v/>
      </c>
      <c r="BS977" s="1110" t="n"/>
      <c r="BT977" s="68" t="n"/>
      <c r="BU977" s="68" t="n"/>
      <c r="BV977" s="588" t="n"/>
      <c r="BW977" s="68" t="n"/>
      <c r="BX977" s="1110" t="n"/>
      <c r="BY977" s="68" t="n"/>
      <c r="BZ977" s="68" t="n"/>
      <c r="CA977" s="68" t="n"/>
      <c r="CB977" s="68" t="n"/>
      <c r="CC977" s="1110" t="n"/>
      <c r="CD977" s="1110" t="n"/>
      <c r="CE977" s="1110" t="n"/>
      <c r="CF977" s="1110" t="n"/>
      <c r="CG977" s="155" t="n"/>
    </row>
    <row r="978">
      <c r="A978" s="73" t="inlineStr">
        <is>
          <t>Deposits</t>
        </is>
      </c>
      <c r="B978" s="146" t="n"/>
      <c r="C978" s="1110" t="n"/>
      <c r="D978" s="1110" t="n"/>
      <c r="E978" s="1110" t="n"/>
      <c r="F978" s="1110" t="n"/>
      <c r="G978" s="68" t="n"/>
      <c r="H978" s="68" t="n"/>
      <c r="I978" s="68" t="n"/>
      <c r="J978" s="68" t="n"/>
      <c r="K978" s="1110" t="n"/>
      <c r="L978" s="68" t="n"/>
      <c r="M978" s="68" t="n"/>
      <c r="N978" s="68" t="n"/>
      <c r="O978" s="68" t="n"/>
      <c r="P978" s="1110" t="n"/>
      <c r="Q978" s="68" t="n"/>
      <c r="R978" s="68" t="n"/>
      <c r="S978" s="68" t="n"/>
      <c r="T978" s="68" t="n"/>
      <c r="U978" s="1110" t="n"/>
      <c r="V978" s="68" t="n"/>
      <c r="W978" s="68" t="n"/>
      <c r="X978" s="68" t="n"/>
      <c r="Y978" s="68" t="n"/>
      <c r="Z978" s="1110" t="n"/>
      <c r="AA978" s="68" t="n"/>
      <c r="AB978" s="68" t="n"/>
      <c r="AC978" s="68" t="n"/>
      <c r="AD978" s="68" t="n"/>
      <c r="AE978" s="1110" t="n"/>
      <c r="AF978" s="68" t="n"/>
      <c r="AG978" s="68" t="n"/>
      <c r="AH978" s="68" t="n"/>
      <c r="AI978" s="68" t="n"/>
      <c r="AJ978" s="1110" t="n"/>
      <c r="AK978" s="68" t="n"/>
      <c r="AL978" s="68" t="n"/>
      <c r="AM978" s="68" t="n"/>
      <c r="AN978" s="68" t="n"/>
      <c r="AO978" s="1110" t="n"/>
      <c r="AP978" s="68" t="n"/>
      <c r="AQ978" s="68" t="n"/>
      <c r="AR978" s="68" t="n"/>
      <c r="AS978" s="68" t="n"/>
      <c r="AT978" s="1110" t="n"/>
      <c r="AU978" s="68" t="n"/>
      <c r="AV978" s="68" t="n"/>
      <c r="AW978" s="68" t="n"/>
      <c r="AX978" s="68">
        <f>AY978</f>
        <v/>
      </c>
      <c r="AY978" s="1111" t="n">
        <v>136</v>
      </c>
      <c r="AZ978" s="1053" t="n">
        <v>123</v>
      </c>
      <c r="BA978" s="1053" t="n">
        <v>77</v>
      </c>
      <c r="BB978" s="1053" t="n">
        <v>22</v>
      </c>
      <c r="BC978" s="68">
        <f>BD978</f>
        <v/>
      </c>
      <c r="BD978" s="1110" t="n"/>
      <c r="BE978" s="68" t="n"/>
      <c r="BF978" s="68" t="n"/>
      <c r="BG978" s="68" t="n"/>
      <c r="BH978" s="68">
        <f>BI978</f>
        <v/>
      </c>
      <c r="BI978" s="1110" t="n"/>
      <c r="BJ978" s="68" t="n"/>
      <c r="BK978" s="68" t="n"/>
      <c r="BL978" s="68" t="n"/>
      <c r="BM978" s="68" t="n"/>
      <c r="BN978" s="1110" t="n"/>
      <c r="BO978" s="68" t="n"/>
      <c r="BP978" s="68" t="n"/>
      <c r="BQ978" s="68" t="n"/>
      <c r="BR978" s="68">
        <f>BS978</f>
        <v/>
      </c>
      <c r="BS978" s="1110" t="n"/>
      <c r="BT978" s="68" t="n"/>
      <c r="BU978" s="68" t="n"/>
      <c r="BV978" s="588" t="n"/>
      <c r="BW978" s="68" t="n"/>
      <c r="BX978" s="1110" t="n"/>
      <c r="BY978" s="68" t="n"/>
      <c r="BZ978" s="68" t="n"/>
      <c r="CA978" s="68" t="n"/>
      <c r="CB978" s="68" t="n"/>
      <c r="CC978" s="1110" t="n"/>
      <c r="CD978" s="1110" t="n"/>
      <c r="CE978" s="1110" t="n"/>
      <c r="CF978" s="1110" t="n"/>
      <c r="CG978" s="155" t="n"/>
    </row>
    <row r="979">
      <c r="A979" s="150" t="inlineStr">
        <is>
          <t>Other assets</t>
        </is>
      </c>
      <c r="B979" s="149" t="n"/>
      <c r="C979" s="1121" t="n"/>
      <c r="D979" s="1121" t="n"/>
      <c r="E979" s="1121" t="n"/>
      <c r="F979" s="1121" t="n"/>
      <c r="G979" s="109" t="n"/>
      <c r="H979" s="109" t="n"/>
      <c r="I979" s="109" t="n"/>
      <c r="J979" s="109" t="n"/>
      <c r="K979" s="1121" t="n"/>
      <c r="L979" s="109" t="n"/>
      <c r="M979" s="109" t="n"/>
      <c r="N979" s="109" t="n"/>
      <c r="O979" s="109" t="n"/>
      <c r="P979" s="1121" t="n"/>
      <c r="Q979" s="109" t="n"/>
      <c r="R979" s="109" t="n"/>
      <c r="S979" s="109" t="n"/>
      <c r="T979" s="109" t="n"/>
      <c r="U979" s="1121" t="n"/>
      <c r="V979" s="109" t="n"/>
      <c r="W979" s="109" t="n"/>
      <c r="X979" s="109" t="n"/>
      <c r="Y979" s="109" t="n"/>
      <c r="Z979" s="1121" t="n"/>
      <c r="AA979" s="109" t="n"/>
      <c r="AB979" s="109" t="n"/>
      <c r="AC979" s="109" t="n"/>
      <c r="AD979" s="109" t="n"/>
      <c r="AE979" s="1121" t="n"/>
      <c r="AF979" s="109" t="n"/>
      <c r="AG979" s="109" t="n"/>
      <c r="AH979" s="109" t="n"/>
      <c r="AI979" s="109" t="n"/>
      <c r="AJ979" s="1121" t="n"/>
      <c r="AK979" s="109" t="n"/>
      <c r="AL979" s="109" t="n"/>
      <c r="AM979" s="109" t="n"/>
      <c r="AN979" s="109" t="n"/>
      <c r="AO979" s="1121" t="n"/>
      <c r="AP979" s="109" t="n"/>
      <c r="AQ979" s="109" t="n"/>
      <c r="AR979" s="109" t="n"/>
      <c r="AS979" s="109" t="n"/>
      <c r="AT979" s="1131" t="n">
        <v>40</v>
      </c>
      <c r="AU979" s="109" t="n"/>
      <c r="AV979" s="109" t="n"/>
      <c r="AW979" s="1060" t="n">
        <v>119</v>
      </c>
      <c r="AX979" s="109">
        <f>AY979</f>
        <v/>
      </c>
      <c r="AY979" s="1131" t="n">
        <v>67</v>
      </c>
      <c r="AZ979" s="1060" t="n">
        <v>36</v>
      </c>
      <c r="BA979" s="1060" t="n">
        <v>47</v>
      </c>
      <c r="BB979" s="1060" t="n">
        <v>52</v>
      </c>
      <c r="BC979" s="109">
        <f>BD979</f>
        <v/>
      </c>
      <c r="BD979" s="1131" t="n">
        <v>62</v>
      </c>
      <c r="BE979" s="1060" t="n">
        <v>63</v>
      </c>
      <c r="BF979" s="1060" t="n">
        <v>111</v>
      </c>
      <c r="BG979" s="1060" t="n">
        <v>102</v>
      </c>
      <c r="BH979" s="109">
        <f>BI979</f>
        <v/>
      </c>
      <c r="BI979" s="1131" t="n">
        <v>145</v>
      </c>
      <c r="BJ979" s="1060" t="n">
        <v>145</v>
      </c>
      <c r="BK979" s="1060" t="n">
        <v>148</v>
      </c>
      <c r="BL979" s="1060" t="n">
        <v>139</v>
      </c>
      <c r="BM979" s="68">
        <f>BN979</f>
        <v/>
      </c>
      <c r="BN979" s="1111" t="n">
        <v>132</v>
      </c>
      <c r="BO979" s="1060" t="n">
        <v>228</v>
      </c>
      <c r="BP979" s="1060">
        <f>186+331</f>
        <v/>
      </c>
      <c r="BQ979" s="1060" t="n">
        <v>245</v>
      </c>
      <c r="BR979" s="68">
        <f>BS979</f>
        <v/>
      </c>
      <c r="BS979" s="1111" t="n">
        <v>201</v>
      </c>
      <c r="BT979" s="1060" t="n">
        <v>240</v>
      </c>
      <c r="BU979" s="1060" t="n">
        <v>272</v>
      </c>
      <c r="BV979" s="1061" t="n">
        <v>632</v>
      </c>
      <c r="BW979" s="109" t="n"/>
      <c r="BX979" s="1121" t="n"/>
      <c r="BY979" s="109" t="n"/>
      <c r="BZ979" s="109" t="n"/>
      <c r="CA979" s="109" t="n"/>
      <c r="CB979" s="109" t="n"/>
      <c r="CC979" s="1121" t="n"/>
      <c r="CD979" s="1121" t="n"/>
      <c r="CE979" s="1121" t="n"/>
      <c r="CF979" s="1121" t="n"/>
      <c r="CG979" s="155" t="n"/>
    </row>
    <row r="980">
      <c r="A980" s="67" t="inlineStr">
        <is>
          <t>Other assets</t>
        </is>
      </c>
      <c r="B980" s="146" t="n"/>
      <c r="C980" s="1111" t="n">
        <v>40.026</v>
      </c>
      <c r="D980" s="1111" t="n">
        <v>42.928</v>
      </c>
      <c r="E980" s="1111" t="n">
        <v>40.85</v>
      </c>
      <c r="F980" s="1111" t="n">
        <v>120.332</v>
      </c>
      <c r="G980" s="1053" t="n">
        <v>118.085</v>
      </c>
      <c r="H980" s="1053" t="n">
        <v>116.006</v>
      </c>
      <c r="I980" s="1053" t="n">
        <v>111.499</v>
      </c>
      <c r="J980" s="27">
        <f>K980</f>
        <v/>
      </c>
      <c r="K980" s="1111" t="n">
        <v>107.481</v>
      </c>
      <c r="L980" s="1053" t="n">
        <v>107.125</v>
      </c>
      <c r="M980" s="1053" t="n">
        <v>104.486</v>
      </c>
      <c r="N980" s="1053" t="n">
        <v>102.346</v>
      </c>
      <c r="O980" s="27">
        <f>P980</f>
        <v/>
      </c>
      <c r="P980" s="1111" t="n">
        <v>104.252</v>
      </c>
      <c r="Q980" s="1053" t="n">
        <v>99.354</v>
      </c>
      <c r="R980" s="1053" t="n">
        <v>95.43000000000001</v>
      </c>
      <c r="S980" s="1053" t="n">
        <v>93.679</v>
      </c>
      <c r="T980" s="27">
        <f>U980</f>
        <v/>
      </c>
      <c r="U980" s="1111" t="n">
        <v>91</v>
      </c>
      <c r="V980" s="1053" t="n">
        <v>89</v>
      </c>
      <c r="W980" s="1053" t="n">
        <v>66</v>
      </c>
      <c r="X980" s="1053" t="n">
        <v>73</v>
      </c>
      <c r="Y980" s="27">
        <f>Z980</f>
        <v/>
      </c>
      <c r="Z980" s="1111" t="n">
        <v>67</v>
      </c>
      <c r="AA980" s="1053" t="n">
        <v>66</v>
      </c>
      <c r="AB980" s="1053" t="n">
        <v>64</v>
      </c>
      <c r="AC980" s="1053" t="n">
        <v>64</v>
      </c>
      <c r="AD980" s="1053" t="n">
        <v>62</v>
      </c>
      <c r="AE980" s="1110">
        <f>AD980</f>
        <v/>
      </c>
      <c r="AF980" s="1053" t="n">
        <v>47</v>
      </c>
      <c r="AG980" s="1053" t="n">
        <v>60</v>
      </c>
      <c r="AH980" s="1053" t="n">
        <v>70</v>
      </c>
      <c r="AI980" s="68">
        <f>AJ980</f>
        <v/>
      </c>
      <c r="AJ980" s="1111" t="n">
        <v>319</v>
      </c>
      <c r="AK980" s="1053" t="n">
        <v>273</v>
      </c>
      <c r="AL980" s="1053" t="n">
        <v>220</v>
      </c>
      <c r="AM980" s="1053" t="n">
        <v>312</v>
      </c>
      <c r="AN980" s="68">
        <f>AO980</f>
        <v/>
      </c>
      <c r="AO980" s="1111" t="n">
        <v>668</v>
      </c>
      <c r="AP980" s="1060" t="n">
        <v>110</v>
      </c>
      <c r="AQ980" s="1060" t="n">
        <v>110</v>
      </c>
      <c r="AR980" s="1053" t="n">
        <v>116</v>
      </c>
      <c r="AS980" s="68">
        <f>AT980</f>
        <v/>
      </c>
      <c r="AT980" s="1110">
        <f>SUM(AT972:AT979)</f>
        <v/>
      </c>
      <c r="AU980" s="1060" t="n">
        <v>119</v>
      </c>
      <c r="AV980" s="1060" t="n">
        <v>157</v>
      </c>
      <c r="AW980" s="27">
        <f>SUM(AW972:AW979)</f>
        <v/>
      </c>
      <c r="AX980" s="68">
        <f>SUM(AX972:AX979)</f>
        <v/>
      </c>
      <c r="AY980" s="1110">
        <f>SUM(AY972:AY979)</f>
        <v/>
      </c>
      <c r="AZ980" s="110">
        <f>SUM(AZ972:AZ979)</f>
        <v/>
      </c>
      <c r="BA980" s="110">
        <f>SUM(BA972:BA979)</f>
        <v/>
      </c>
      <c r="BB980" s="27">
        <f>SUM(BB972:BB979)</f>
        <v/>
      </c>
      <c r="BC980" s="68">
        <f>SUM(BC972:BC979)</f>
        <v/>
      </c>
      <c r="BD980" s="1110">
        <f>SUM(BD972:BD979)</f>
        <v/>
      </c>
      <c r="BE980" s="110">
        <f>SUM(BE972:BE979)</f>
        <v/>
      </c>
      <c r="BF980" s="68">
        <f>SUM(BF972:BF979)</f>
        <v/>
      </c>
      <c r="BG980" s="27">
        <f>SUM(BG972:BG979)</f>
        <v/>
      </c>
      <c r="BH980" s="68">
        <f>BI980</f>
        <v/>
      </c>
      <c r="BI980" s="1111" t="n">
        <v>3820</v>
      </c>
      <c r="BJ980" s="110">
        <f>SUM(BJ972:BJ979)</f>
        <v/>
      </c>
      <c r="BK980" s="68">
        <f>SUM(BK972:BK979)</f>
        <v/>
      </c>
      <c r="BL980" s="27">
        <f>SUM(BL972:BL979)</f>
        <v/>
      </c>
      <c r="BM980" s="561">
        <f>BN980</f>
        <v/>
      </c>
      <c r="BN980" s="1119" t="n">
        <v>4500</v>
      </c>
      <c r="BO980" s="109">
        <f>SUM(BO972:BO979)</f>
        <v/>
      </c>
      <c r="BP980" s="68">
        <f>SUM(BP972:BP979)</f>
        <v/>
      </c>
      <c r="BQ980" s="68">
        <f>SUM(BQ972:BQ979)</f>
        <v/>
      </c>
      <c r="BR980" s="561">
        <f>BS980</f>
        <v/>
      </c>
      <c r="BS980" s="1119" t="n">
        <v>6425</v>
      </c>
      <c r="BT980" s="109">
        <f>SUM(BT972:BT979)</f>
        <v/>
      </c>
      <c r="BU980" s="68">
        <f>SUM(BU972:BU979)</f>
        <v/>
      </c>
      <c r="BV980" s="588">
        <f>SUM(BV972:BV979)</f>
        <v/>
      </c>
      <c r="BW980" s="68">
        <f>BV980</f>
        <v/>
      </c>
      <c r="BX980" s="1110">
        <f>BW980</f>
        <v/>
      </c>
      <c r="BY980" s="68">
        <f>BX980</f>
        <v/>
      </c>
      <c r="BZ980" s="68">
        <f>BY980</f>
        <v/>
      </c>
      <c r="CA980" s="68">
        <f>BZ980</f>
        <v/>
      </c>
      <c r="CB980" s="68">
        <f>CA980</f>
        <v/>
      </c>
      <c r="CC980" s="1110">
        <f>CB980</f>
        <v/>
      </c>
      <c r="CD980" s="1110">
        <f>CC980</f>
        <v/>
      </c>
      <c r="CE980" s="1110">
        <f>CD980</f>
        <v/>
      </c>
      <c r="CF980" s="1110">
        <f>CE980</f>
        <v/>
      </c>
      <c r="CG980" s="155" t="n"/>
    </row>
    <row r="981">
      <c r="A981" s="59" t="inlineStr">
        <is>
          <t>Total Non-Current Assets</t>
        </is>
      </c>
      <c r="B981" s="607" t="n"/>
      <c r="C981" s="1123">
        <f>SUM(C970:C971)+SUM(C965:C967)+C980</f>
        <v/>
      </c>
      <c r="D981" s="1123">
        <f>SUM(D970:D971)+SUM(D965:D967)+D980</f>
        <v/>
      </c>
      <c r="E981" s="1123">
        <f>SUM(E970:E971)+SUM(E965:E967)+E980</f>
        <v/>
      </c>
      <c r="F981" s="1123">
        <f>SUM(F970:F971)+SUM(F965:F967)+F980</f>
        <v/>
      </c>
      <c r="G981" s="60">
        <f>SUM(G970:G971)+SUM(G965:G967)+G980</f>
        <v/>
      </c>
      <c r="H981" s="60">
        <f>SUM(H970:H971)+SUM(H965:H967)+H980</f>
        <v/>
      </c>
      <c r="I981" s="60">
        <f>SUM(I970:I971)+SUM(I965:I967)+I980</f>
        <v/>
      </c>
      <c r="J981" s="60">
        <f>SUM(J970:J971)+SUM(J965:J967)+J980</f>
        <v/>
      </c>
      <c r="K981" s="1123">
        <f>SUM(K970:K971)+SUM(K965:K967)+K980</f>
        <v/>
      </c>
      <c r="L981" s="60">
        <f>SUM(L970:L971)+SUM(L965:L967)+L980</f>
        <v/>
      </c>
      <c r="M981" s="60">
        <f>SUM(M970:M971)+SUM(M965:M967)+M980</f>
        <v/>
      </c>
      <c r="N981" s="60">
        <f>SUM(N970:N971)+SUM(N965:N967)+N980</f>
        <v/>
      </c>
      <c r="O981" s="60">
        <f>SUM(O970:O971)+SUM(O965:O967)+O980</f>
        <v/>
      </c>
      <c r="P981" s="1123">
        <f>SUM(P970:P971)+SUM(P965:P967)+P980</f>
        <v/>
      </c>
      <c r="Q981" s="60">
        <f>SUM(Q970:Q971)+SUM(Q965:Q967)+Q980</f>
        <v/>
      </c>
      <c r="R981" s="60">
        <f>SUM(R970:R971)+SUM(R965:R967)+R980</f>
        <v/>
      </c>
      <c r="S981" s="60">
        <f>SUM(S970:S971)+SUM(S965:S967)+S980</f>
        <v/>
      </c>
      <c r="T981" s="60">
        <f>SUM(T970:T971)+SUM(T965:T967)+T980</f>
        <v/>
      </c>
      <c r="U981" s="1123">
        <f>SUM(U970:U971)+SUM(U965:U967)+U980</f>
        <v/>
      </c>
      <c r="V981" s="60">
        <f>SUM(V970:V971)+SUM(V965:V967)+V980</f>
        <v/>
      </c>
      <c r="W981" s="60">
        <f>SUM(W970:W971)+SUM(W965:W967)+W980</f>
        <v/>
      </c>
      <c r="X981" s="60">
        <f>SUM(X970:X971)+SUM(X965:X967)+X980</f>
        <v/>
      </c>
      <c r="Y981" s="60">
        <f>SUM(Y970:Y971)+SUM(Y965:Y967)+Y980</f>
        <v/>
      </c>
      <c r="Z981" s="1123">
        <f>SUM(Z970:Z971)+SUM(Z965:Z967)+Z980</f>
        <v/>
      </c>
      <c r="AA981" s="60">
        <f>SUM(AA970:AA971)+SUM(AA965:AA967)+AA980</f>
        <v/>
      </c>
      <c r="AB981" s="60">
        <f>SUM(AB970:AB971)+SUM(AB965:AB967)+AB980</f>
        <v/>
      </c>
      <c r="AC981" s="61">
        <f>SUM(AC970:AC971)+SUM(AC965:AC967)+AC980</f>
        <v/>
      </c>
      <c r="AD981" s="61">
        <f>SUM(AD970:AD971)+SUM(AD965:AD967)+AD980</f>
        <v/>
      </c>
      <c r="AE981" s="1122">
        <f>SUM(AE970:AE971)+SUM(AE965:AE967)+AE980</f>
        <v/>
      </c>
      <c r="AF981" s="61">
        <f>SUM(AF970:AF971)+SUM(AF965:AF967)+AF980</f>
        <v/>
      </c>
      <c r="AG981" s="60">
        <f>SUM(AG970:AG971)+SUM(AG965:AG967)+AG980</f>
        <v/>
      </c>
      <c r="AH981" s="60">
        <f>SUM(AH970:AH971)+SUM(AH965:AH967)+AH980</f>
        <v/>
      </c>
      <c r="AI981" s="61">
        <f>SUM(AI970:AI971)+SUM(AI965:AI967)+AI980</f>
        <v/>
      </c>
      <c r="AJ981" s="1122">
        <f>SUM(AJ970:AJ971)+SUM(AJ965:AJ967)+AJ980</f>
        <v/>
      </c>
      <c r="AK981" s="60">
        <f>SUM(AK970:AK971)+SUM(AK965:AK967)+AK980</f>
        <v/>
      </c>
      <c r="AL981" s="60">
        <f>SUM(AL970:AL971)+SUM(AL965:AL967)+AL980</f>
        <v/>
      </c>
      <c r="AM981" s="60">
        <f>SUM(AM970:AM971)+SUM(AM965:AM967)+AM980</f>
        <v/>
      </c>
      <c r="AN981" s="61">
        <f>SUM(AN970:AN971)+SUM(AN965:AN967)+AN980</f>
        <v/>
      </c>
      <c r="AO981" s="1122">
        <f>SUM(AO970:AO971)+SUM(AO965:AO967)+AO980</f>
        <v/>
      </c>
      <c r="AP981" s="60">
        <f>SUM(AP970:AP971)+SUM(AP965:AP967)+AP980</f>
        <v/>
      </c>
      <c r="AQ981" s="60">
        <f>SUM(AQ970:AQ971)+SUM(AQ965:AQ967)+AQ980</f>
        <v/>
      </c>
      <c r="AR981" s="60">
        <f>SUM(AR970:AR971)+SUM(AR965:AR967)+AR980</f>
        <v/>
      </c>
      <c r="AS981" s="61">
        <f>SUM(AS970:AS971)+SUM(AS965:AS967)+AS980</f>
        <v/>
      </c>
      <c r="AT981" s="1122">
        <f>SUM(AT970:AT971)+SUM(AT965:AT967)+AT980</f>
        <v/>
      </c>
      <c r="AU981" s="60">
        <f>SUM(AU970:AU971)+SUM(AU965:AU967)+AU980</f>
        <v/>
      </c>
      <c r="AV981" s="60">
        <f>SUM(AV970:AV971)+SUM(AV965:AV967)+AV980</f>
        <v/>
      </c>
      <c r="AW981" s="60">
        <f>SUM(AW970:AW971)+SUM(AW965:AW967)+AW980</f>
        <v/>
      </c>
      <c r="AX981" s="61">
        <f>SUM(AX970:AX971)+SUM(AX965:AX967)+AX980</f>
        <v/>
      </c>
      <c r="AY981" s="1122">
        <f>SUM(AY970:AY971)+SUM(AY965:AY967)+AY980</f>
        <v/>
      </c>
      <c r="AZ981" s="60">
        <f>SUM(AZ970:AZ971)+SUM(AZ965:AZ967)+AZ980</f>
        <v/>
      </c>
      <c r="BA981" s="60">
        <f>SUM(BA970:BA971)+SUM(BA965:BA967)+BA980</f>
        <v/>
      </c>
      <c r="BB981" s="60">
        <f>SUM(BB970:BB971)+SUM(BB965:BB967)+BB980</f>
        <v/>
      </c>
      <c r="BC981" s="61">
        <f>SUM(BC970:BC971)+SUM(BC965:BC967)+BC980</f>
        <v/>
      </c>
      <c r="BD981" s="1122">
        <f>SUM(BD970:BD971)+SUM(BD965:BD967)+BD980</f>
        <v/>
      </c>
      <c r="BE981" s="60">
        <f>SUM(BE970:BE971)+SUM(BE965:BE967)+BE980</f>
        <v/>
      </c>
      <c r="BF981" s="61">
        <f>SUM(BF970:BF971)+SUM(BF965:BF967)+BF980</f>
        <v/>
      </c>
      <c r="BG981" s="60">
        <f>SUM(BG970:BG971)+SUM(BG965:BG967)+BG980</f>
        <v/>
      </c>
      <c r="BH981" s="61">
        <f>SUM(BH970:BH971)+SUM(BH965:BH967)+BH980</f>
        <v/>
      </c>
      <c r="BI981" s="1122">
        <f>SUM(BI970:BI971)+SUM(BI965:BI967)+BI980</f>
        <v/>
      </c>
      <c r="BJ981" s="60">
        <f>SUM(BJ970:BJ971)+SUM(BJ965:BJ967)+BJ980</f>
        <v/>
      </c>
      <c r="BK981" s="61">
        <f>SUM(BK970:BK971)+SUM(BK965:BK967)+BK980</f>
        <v/>
      </c>
      <c r="BL981" s="60">
        <f>SUM(BL970:BL971)+SUM(BL965:BL967)+BL980</f>
        <v/>
      </c>
      <c r="BM981" s="61">
        <f>SUM(BM970:BM971)+SUM(BM965:BM967)+BM980</f>
        <v/>
      </c>
      <c r="BN981" s="1122">
        <f>SUM(BN970:BN971)+SUM(BN965:BN967)+BN980</f>
        <v/>
      </c>
      <c r="BO981" s="60">
        <f>SUM(BO970:BO971)+SUM(BO965:BO967)+BO980</f>
        <v/>
      </c>
      <c r="BP981" s="61">
        <f>SUM(BP970:BP971)+SUM(BP965:BP967)+BP980</f>
        <v/>
      </c>
      <c r="BQ981" s="60">
        <f>SUM(BQ970:BQ971)+SUM(BQ965:BQ967)+BQ980</f>
        <v/>
      </c>
      <c r="BR981" s="61">
        <f>SUM(BR970:BR971)+SUM(BR965:BR967)+BR980</f>
        <v/>
      </c>
      <c r="BS981" s="1122">
        <f>SUM(BS970:BS971)+SUM(BS965:BS967)+BS980</f>
        <v/>
      </c>
      <c r="BT981" s="60">
        <f>SUM(BT970:BT971)+SUM(BT965:BT967)+BT980</f>
        <v/>
      </c>
      <c r="BU981" s="61">
        <f>SUM(BU970:BU971)+SUM(BU965:BU967)+BU980</f>
        <v/>
      </c>
      <c r="BV981" s="883">
        <f>SUM(BV970:BV971)+SUM(BV965:BV967)+BV980</f>
        <v/>
      </c>
      <c r="BW981" s="61">
        <f>SUM(BW970:BW971)+SUM(BW965:BW967)+BW980</f>
        <v/>
      </c>
      <c r="BX981" s="1122">
        <f>SUM(BX970:BX971)+SUM(BX965:BX967)+BX980</f>
        <v/>
      </c>
      <c r="BY981" s="61">
        <f>SUM(BY970:BY971)+SUM(BY965:BY967)+BY980</f>
        <v/>
      </c>
      <c r="BZ981" s="61">
        <f>SUM(BZ970:BZ971)+SUM(BZ965:BZ967)+BZ980</f>
        <v/>
      </c>
      <c r="CA981" s="61">
        <f>SUM(CA970:CA971)+SUM(CA965:CA967)+CA980</f>
        <v/>
      </c>
      <c r="CB981" s="61">
        <f>SUM(CB970:CB971)+SUM(CB965:CB967)+CB980</f>
        <v/>
      </c>
      <c r="CC981" s="1122">
        <f>SUM(CC970:CC971)+SUM(CC965:CC967)+CC980</f>
        <v/>
      </c>
      <c r="CD981" s="1122">
        <f>SUM(CD970:CD971)+SUM(CD965:CD967)+CD980</f>
        <v/>
      </c>
      <c r="CE981" s="1122">
        <f>SUM(CE970:CE971)+SUM(CE965:CE967)+CE980</f>
        <v/>
      </c>
      <c r="CF981" s="1122">
        <f>SUM(CF970:CF971)+SUM(CF965:CF967)+CF980</f>
        <v/>
      </c>
      <c r="CG981" s="155" t="n"/>
    </row>
    <row r="982">
      <c r="A982" s="62" t="inlineStr">
        <is>
          <t>Total Assets</t>
        </is>
      </c>
      <c r="B982" s="279" t="n"/>
      <c r="C982" s="1132">
        <f>C962+C981</f>
        <v/>
      </c>
      <c r="D982" s="1132">
        <f>D962+D981</f>
        <v/>
      </c>
      <c r="E982" s="1132">
        <f>E962+E981</f>
        <v/>
      </c>
      <c r="F982" s="1132">
        <f>F962+F981</f>
        <v/>
      </c>
      <c r="G982" s="28">
        <f>G962+G981</f>
        <v/>
      </c>
      <c r="H982" s="28">
        <f>H962+H981</f>
        <v/>
      </c>
      <c r="I982" s="28">
        <f>I962+I981</f>
        <v/>
      </c>
      <c r="J982" s="28">
        <f>J962+J981</f>
        <v/>
      </c>
      <c r="K982" s="1132">
        <f>K962+K981</f>
        <v/>
      </c>
      <c r="L982" s="28">
        <f>L962+L981</f>
        <v/>
      </c>
      <c r="M982" s="28">
        <f>M962+M981</f>
        <v/>
      </c>
      <c r="N982" s="28">
        <f>N962+N981</f>
        <v/>
      </c>
      <c r="O982" s="28">
        <f>O962+O981</f>
        <v/>
      </c>
      <c r="P982" s="1132">
        <f>P962+P981</f>
        <v/>
      </c>
      <c r="Q982" s="28">
        <f>Q962+Q981</f>
        <v/>
      </c>
      <c r="R982" s="28">
        <f>R962+R981</f>
        <v/>
      </c>
      <c r="S982" s="28">
        <f>S962+S981</f>
        <v/>
      </c>
      <c r="T982" s="28">
        <f>T962+T981</f>
        <v/>
      </c>
      <c r="U982" s="1132">
        <f>U962+U981</f>
        <v/>
      </c>
      <c r="V982" s="28">
        <f>V962+V981</f>
        <v/>
      </c>
      <c r="W982" s="28">
        <f>W962+W981</f>
        <v/>
      </c>
      <c r="X982" s="28">
        <f>X962+X981</f>
        <v/>
      </c>
      <c r="Y982" s="28">
        <f>Y962+Y981</f>
        <v/>
      </c>
      <c r="Z982" s="1132">
        <f>Z962+Z981</f>
        <v/>
      </c>
      <c r="AA982" s="28">
        <f>AA962+AA981</f>
        <v/>
      </c>
      <c r="AB982" s="28">
        <f>AB962+AB981</f>
        <v/>
      </c>
      <c r="AC982" s="63">
        <f>AC962+AC981</f>
        <v/>
      </c>
      <c r="AD982" s="63">
        <f>AD962+AD981</f>
        <v/>
      </c>
      <c r="AE982" s="1125">
        <f>AE962+AE981</f>
        <v/>
      </c>
      <c r="AF982" s="63">
        <f>AF962+AF981</f>
        <v/>
      </c>
      <c r="AG982" s="28">
        <f>AG962+AG981</f>
        <v/>
      </c>
      <c r="AH982" s="28">
        <f>AH962+AH981</f>
        <v/>
      </c>
      <c r="AI982" s="63">
        <f>AI962+AI981</f>
        <v/>
      </c>
      <c r="AJ982" s="1125">
        <f>AJ962+AJ981</f>
        <v/>
      </c>
      <c r="AK982" s="28">
        <f>AK962+AK981</f>
        <v/>
      </c>
      <c r="AL982" s="28">
        <f>AL962+AL981</f>
        <v/>
      </c>
      <c r="AM982" s="28">
        <f>AM962+AM981</f>
        <v/>
      </c>
      <c r="AN982" s="63">
        <f>AN962+AN981</f>
        <v/>
      </c>
      <c r="AO982" s="1125">
        <f>AO962+AO981</f>
        <v/>
      </c>
      <c r="AP982" s="28">
        <f>AP962+AP981</f>
        <v/>
      </c>
      <c r="AQ982" s="28">
        <f>AQ962+AQ981</f>
        <v/>
      </c>
      <c r="AR982" s="28">
        <f>AR962+AR981</f>
        <v/>
      </c>
      <c r="AS982" s="63">
        <f>AS962+AS981</f>
        <v/>
      </c>
      <c r="AT982" s="1125">
        <f>AT962+AT981</f>
        <v/>
      </c>
      <c r="AU982" s="28">
        <f>AU962+AU981</f>
        <v/>
      </c>
      <c r="AV982" s="28">
        <f>AV962+AV981</f>
        <v/>
      </c>
      <c r="AW982" s="28">
        <f>AW962+AW981</f>
        <v/>
      </c>
      <c r="AX982" s="63">
        <f>AX962+AX981</f>
        <v/>
      </c>
      <c r="AY982" s="1125">
        <f>AY962+AY981</f>
        <v/>
      </c>
      <c r="AZ982" s="28">
        <f>AZ962+AZ981</f>
        <v/>
      </c>
      <c r="BA982" s="28">
        <f>BA962+BA981</f>
        <v/>
      </c>
      <c r="BB982" s="28">
        <f>BB962+BB981</f>
        <v/>
      </c>
      <c r="BC982" s="63">
        <f>BC962+BC981</f>
        <v/>
      </c>
      <c r="BD982" s="1125">
        <f>BD962+BD981</f>
        <v/>
      </c>
      <c r="BE982" s="28">
        <f>BE962+BE981</f>
        <v/>
      </c>
      <c r="BF982" s="63">
        <f>BF962+BF981</f>
        <v/>
      </c>
      <c r="BG982" s="28">
        <f>BG962+BG981</f>
        <v/>
      </c>
      <c r="BH982" s="63">
        <f>BH962+BH981</f>
        <v/>
      </c>
      <c r="BI982" s="1125">
        <f>BI962+BI981</f>
        <v/>
      </c>
      <c r="BJ982" s="28">
        <f>BJ962+BJ981</f>
        <v/>
      </c>
      <c r="BK982" s="63">
        <f>BK962+BK981</f>
        <v/>
      </c>
      <c r="BL982" s="28">
        <f>BL962+BL981</f>
        <v/>
      </c>
      <c r="BM982" s="63">
        <f>BM962+BM981</f>
        <v/>
      </c>
      <c r="BN982" s="1125">
        <f>BN962+BN981</f>
        <v/>
      </c>
      <c r="BO982" s="28">
        <f>BO962+BO981</f>
        <v/>
      </c>
      <c r="BP982" s="63">
        <f>BP962+BP981</f>
        <v/>
      </c>
      <c r="BQ982" s="28">
        <f>BQ962+BQ981</f>
        <v/>
      </c>
      <c r="BR982" s="63">
        <f>BR962+BR981</f>
        <v/>
      </c>
      <c r="BS982" s="1125">
        <f>BS962+BS981</f>
        <v/>
      </c>
      <c r="BT982" s="28">
        <f>BT962+BT981</f>
        <v/>
      </c>
      <c r="BU982" s="63">
        <f>BU962+BU981</f>
        <v/>
      </c>
      <c r="BV982" s="505">
        <f>BV962+BV981</f>
        <v/>
      </c>
      <c r="BW982" s="63">
        <f>BW962+BW981</f>
        <v/>
      </c>
      <c r="BX982" s="1125">
        <f>BX962+BX981</f>
        <v/>
      </c>
      <c r="BY982" s="63">
        <f>BY962+BY981</f>
        <v/>
      </c>
      <c r="BZ982" s="63">
        <f>BZ962+BZ981</f>
        <v/>
      </c>
      <c r="CA982" s="63">
        <f>CA962+CA981</f>
        <v/>
      </c>
      <c r="CB982" s="63">
        <f>CB962+CB981</f>
        <v/>
      </c>
      <c r="CC982" s="1125">
        <f>CC962+CC981</f>
        <v/>
      </c>
      <c r="CD982" s="1125">
        <f>CD962+CD981</f>
        <v/>
      </c>
      <c r="CE982" s="1125">
        <f>CE962+CE981</f>
        <v/>
      </c>
      <c r="CF982" s="1125">
        <f>CF962+CF981</f>
        <v/>
      </c>
      <c r="CG982" s="155" t="n"/>
    </row>
    <row r="983">
      <c r="A983" s="600" t="n"/>
      <c r="B983" s="279" t="n"/>
      <c r="C983" s="1125" t="n"/>
      <c r="D983" s="1125" t="n"/>
      <c r="E983" s="1125" t="n"/>
      <c r="F983" s="1125" t="n"/>
      <c r="G983" s="63" t="n"/>
      <c r="H983" s="63" t="n"/>
      <c r="I983" s="63" t="n"/>
      <c r="J983" s="63" t="n"/>
      <c r="K983" s="1125" t="n"/>
      <c r="L983" s="63" t="n"/>
      <c r="M983" s="63" t="n"/>
      <c r="N983" s="63" t="n"/>
      <c r="O983" s="63" t="n"/>
      <c r="P983" s="1125" t="n"/>
      <c r="Q983" s="63" t="n"/>
      <c r="R983" s="63" t="n"/>
      <c r="S983" s="63" t="n"/>
      <c r="T983" s="63" t="n"/>
      <c r="U983" s="1125" t="n"/>
      <c r="V983" s="63" t="n"/>
      <c r="W983" s="63" t="n"/>
      <c r="X983" s="63" t="n"/>
      <c r="Y983" s="63" t="n"/>
      <c r="Z983" s="1125" t="n"/>
      <c r="AA983" s="63" t="n"/>
      <c r="AB983" s="63" t="n"/>
      <c r="AC983" s="63" t="n"/>
      <c r="AD983" s="63" t="n"/>
      <c r="AE983" s="1125" t="n"/>
      <c r="AF983" s="63" t="n"/>
      <c r="AG983" s="63" t="n"/>
      <c r="AH983" s="63" t="n"/>
      <c r="AI983" s="63" t="n"/>
      <c r="AJ983" s="1125" t="n"/>
      <c r="AK983" s="63" t="n"/>
      <c r="AL983" s="63" t="n"/>
      <c r="AM983" s="63" t="n"/>
      <c r="AN983" s="63" t="n"/>
      <c r="AO983" s="1125" t="n"/>
      <c r="AP983" s="63" t="n"/>
      <c r="AQ983" s="63" t="n"/>
      <c r="AR983" s="63" t="n"/>
      <c r="AS983" s="63" t="n"/>
      <c r="AT983" s="1125" t="n"/>
      <c r="AU983" s="63" t="n"/>
      <c r="AV983" s="63" t="n"/>
      <c r="AW983" s="63" t="n"/>
      <c r="AX983" s="63" t="n"/>
      <c r="AY983" s="1125" t="n"/>
      <c r="AZ983" s="63" t="n"/>
      <c r="BA983" s="63" t="n"/>
      <c r="BB983" s="63" t="n"/>
      <c r="BC983" s="63" t="n"/>
      <c r="BD983" s="1125" t="n"/>
      <c r="BE983" s="63" t="n"/>
      <c r="BF983" s="63" t="n"/>
      <c r="BG983" s="63" t="n"/>
      <c r="BH983" s="63" t="n"/>
      <c r="BI983" s="1125" t="n"/>
      <c r="BJ983" s="63" t="n"/>
      <c r="BK983" s="63" t="n"/>
      <c r="BL983" s="63" t="n"/>
      <c r="BM983" s="63" t="n"/>
      <c r="BN983" s="1125" t="n"/>
      <c r="BO983" s="63" t="n"/>
      <c r="BP983" s="63" t="n"/>
      <c r="BQ983" s="63" t="n"/>
      <c r="BR983" s="63" t="n"/>
      <c r="BS983" s="1125" t="n"/>
      <c r="BT983" s="63" t="n"/>
      <c r="BU983" s="63" t="n"/>
      <c r="BV983" s="587" t="n"/>
      <c r="BW983" s="63" t="n"/>
      <c r="BX983" s="1125" t="n"/>
      <c r="BY983" s="63" t="n"/>
      <c r="BZ983" s="63" t="n"/>
      <c r="CA983" s="63" t="n"/>
      <c r="CB983" s="63" t="n"/>
      <c r="CC983" s="1125" t="n"/>
      <c r="CD983" s="1125" t="n"/>
      <c r="CE983" s="1125" t="n"/>
      <c r="CF983" s="1125" t="n"/>
      <c r="CG983" s="155" t="n"/>
    </row>
    <row r="984">
      <c r="A984" s="62" t="inlineStr">
        <is>
          <t>Current Liabilities</t>
        </is>
      </c>
      <c r="B984" s="279" t="n"/>
      <c r="C984" s="1125" t="n"/>
      <c r="D984" s="1125" t="n"/>
      <c r="E984" s="1125" t="n"/>
      <c r="F984" s="1125" t="n"/>
      <c r="G984" s="63" t="n"/>
      <c r="H984" s="63" t="n"/>
      <c r="I984" s="63" t="n"/>
      <c r="J984" s="63" t="n"/>
      <c r="K984" s="1125" t="n"/>
      <c r="L984" s="63" t="n"/>
      <c r="M984" s="63" t="n"/>
      <c r="N984" s="63" t="n"/>
      <c r="O984" s="63" t="n"/>
      <c r="P984" s="1125" t="n"/>
      <c r="Q984" s="63" t="n"/>
      <c r="R984" s="63" t="n"/>
      <c r="S984" s="63" t="n"/>
      <c r="T984" s="63" t="n"/>
      <c r="U984" s="1125" t="n"/>
      <c r="V984" s="63" t="n"/>
      <c r="W984" s="63" t="n"/>
      <c r="X984" s="63" t="n"/>
      <c r="Y984" s="63" t="n"/>
      <c r="Z984" s="1125" t="n"/>
      <c r="AA984" s="63" t="n"/>
      <c r="AB984" s="63" t="n"/>
      <c r="AC984" s="63" t="n"/>
      <c r="AD984" s="63" t="n"/>
      <c r="AE984" s="1125" t="n"/>
      <c r="AF984" s="63" t="n"/>
      <c r="AG984" s="63" t="n"/>
      <c r="AH984" s="63" t="n"/>
      <c r="AI984" s="63" t="n"/>
      <c r="AJ984" s="1125" t="n"/>
      <c r="AK984" s="63" t="n"/>
      <c r="AL984" s="63" t="n"/>
      <c r="AM984" s="63" t="n"/>
      <c r="AN984" s="63" t="n"/>
      <c r="AO984" s="1125" t="n"/>
      <c r="AP984" s="63" t="n"/>
      <c r="AQ984" s="63" t="n"/>
      <c r="AR984" s="63" t="n"/>
      <c r="AS984" s="63" t="n"/>
      <c r="AT984" s="1125" t="n"/>
      <c r="AU984" s="63" t="n"/>
      <c r="AV984" s="63" t="n"/>
      <c r="AW984" s="63" t="n"/>
      <c r="AX984" s="63" t="n"/>
      <c r="AY984" s="1125" t="n"/>
      <c r="AZ984" s="63" t="n"/>
      <c r="BA984" s="63" t="n"/>
      <c r="BB984" s="63" t="n"/>
      <c r="BC984" s="63" t="n"/>
      <c r="BD984" s="1125" t="n"/>
      <c r="BE984" s="63" t="n"/>
      <c r="BF984" s="63" t="n"/>
      <c r="BG984" s="63" t="n"/>
      <c r="BH984" s="63" t="n"/>
      <c r="BI984" s="1125" t="n"/>
      <c r="BJ984" s="63" t="n"/>
      <c r="BK984" s="63" t="n"/>
      <c r="BL984" s="63" t="n"/>
      <c r="BM984" s="63" t="n"/>
      <c r="BN984" s="1125" t="n"/>
      <c r="BO984" s="63" t="n"/>
      <c r="BP984" s="63" t="n"/>
      <c r="BQ984" s="63" t="n"/>
      <c r="BR984" s="63" t="n"/>
      <c r="BS984" s="1125" t="n"/>
      <c r="BT984" s="63" t="n"/>
      <c r="BU984" s="63" t="n"/>
      <c r="BV984" s="587" t="n"/>
      <c r="BW984" s="63" t="n"/>
      <c r="BX984" s="1125" t="n"/>
      <c r="BY984" s="63" t="n"/>
      <c r="BZ984" s="63" t="n"/>
      <c r="CA984" s="63" t="n"/>
      <c r="CB984" s="63" t="n"/>
      <c r="CC984" s="1125" t="n"/>
      <c r="CD984" s="1125" t="n"/>
      <c r="CE984" s="1125" t="n"/>
      <c r="CF984" s="1125" t="n"/>
      <c r="CG984" s="155" t="n"/>
    </row>
    <row r="985">
      <c r="A985" s="67" t="inlineStr">
        <is>
          <t>Accounts payable</t>
        </is>
      </c>
      <c r="B985" s="146" t="n"/>
      <c r="C985" s="1111" t="n">
        <v>218.864</v>
      </c>
      <c r="D985" s="1111" t="n">
        <v>344.527</v>
      </c>
      <c r="E985" s="1111" t="n">
        <v>286.138</v>
      </c>
      <c r="F985" s="1111" t="n">
        <v>335.072</v>
      </c>
      <c r="G985" s="1053" t="n">
        <v>395.578</v>
      </c>
      <c r="H985" s="1053" t="n">
        <v>417.25</v>
      </c>
      <c r="I985" s="1053" t="n">
        <v>390.265</v>
      </c>
      <c r="J985" s="27">
        <f>K985</f>
        <v/>
      </c>
      <c r="K985" s="1111" t="n">
        <v>356.428</v>
      </c>
      <c r="L985" s="1053" t="n">
        <v>328.259</v>
      </c>
      <c r="M985" s="1053" t="n">
        <v>310.271</v>
      </c>
      <c r="N985" s="1053" t="n">
        <v>333.283</v>
      </c>
      <c r="O985" s="27">
        <f>P985</f>
        <v/>
      </c>
      <c r="P985" s="1111" t="n">
        <v>324.391</v>
      </c>
      <c r="Q985" s="1053" t="n">
        <v>309.008</v>
      </c>
      <c r="R985" s="1053" t="n">
        <v>261.627</v>
      </c>
      <c r="S985" s="1053" t="n">
        <v>328.097</v>
      </c>
      <c r="T985" s="27">
        <f>U985</f>
        <v/>
      </c>
      <c r="U985" s="1111" t="n">
        <v>293</v>
      </c>
      <c r="V985" s="1053" t="n">
        <v>222</v>
      </c>
      <c r="W985" s="1053" t="n">
        <v>277</v>
      </c>
      <c r="X985" s="1053" t="n">
        <v>295</v>
      </c>
      <c r="Y985" s="27">
        <f>Z985</f>
        <v/>
      </c>
      <c r="Z985" s="1111" t="n">
        <v>296</v>
      </c>
      <c r="AA985" s="1053" t="n">
        <v>320</v>
      </c>
      <c r="AB985" s="1053" t="n">
        <v>423</v>
      </c>
      <c r="AC985" s="1053" t="n">
        <v>523</v>
      </c>
      <c r="AD985" s="1053" t="n">
        <v>485</v>
      </c>
      <c r="AE985" s="1110">
        <f>AD985</f>
        <v/>
      </c>
      <c r="AF985" s="1053" t="n">
        <v>348</v>
      </c>
      <c r="AG985" s="1053" t="n">
        <v>431</v>
      </c>
      <c r="AH985" s="1053" t="n">
        <v>511</v>
      </c>
      <c r="AI985" s="68">
        <f>AJ985</f>
        <v/>
      </c>
      <c r="AJ985" s="1111" t="n">
        <v>596</v>
      </c>
      <c r="AK985" s="1053" t="n">
        <v>623</v>
      </c>
      <c r="AL985" s="1053" t="n">
        <v>800</v>
      </c>
      <c r="AM985" s="1053" t="n">
        <v>902</v>
      </c>
      <c r="AN985" s="68">
        <f>AO985</f>
        <v/>
      </c>
      <c r="AO985" s="1111" t="n">
        <v>511</v>
      </c>
      <c r="AP985" s="1053" t="n">
        <v>368</v>
      </c>
      <c r="AQ985" s="1053" t="n">
        <v>437</v>
      </c>
      <c r="AR985" s="1053" t="n">
        <v>591</v>
      </c>
      <c r="AS985" s="68">
        <f>AT985</f>
        <v/>
      </c>
      <c r="AT985" s="1111" t="n">
        <v>687</v>
      </c>
      <c r="AU985" s="1053" t="n">
        <v>761</v>
      </c>
      <c r="AV985" s="1053" t="n">
        <v>893</v>
      </c>
      <c r="AW985" s="1053" t="n">
        <v>1097</v>
      </c>
      <c r="AX985" s="68">
        <f>AY985</f>
        <v/>
      </c>
      <c r="AY985" s="1111" t="n">
        <v>1201</v>
      </c>
      <c r="AZ985" s="1053" t="n">
        <v>1218</v>
      </c>
      <c r="BA985" s="1053" t="n">
        <v>1474</v>
      </c>
      <c r="BB985" s="1053" t="n">
        <v>1664</v>
      </c>
      <c r="BC985" s="68">
        <f>BD985</f>
        <v/>
      </c>
      <c r="BD985" s="1111" t="n">
        <v>1783</v>
      </c>
      <c r="BE985" s="1053" t="n">
        <v>1999</v>
      </c>
      <c r="BF985" s="1053" t="n">
        <v>2421</v>
      </c>
      <c r="BG985" s="1053" t="n">
        <v>1491</v>
      </c>
      <c r="BH985" s="68">
        <f>BI985</f>
        <v/>
      </c>
      <c r="BI985" s="1111" t="n">
        <v>1193</v>
      </c>
      <c r="BJ985" s="1053" t="n">
        <v>1141</v>
      </c>
      <c r="BK985" s="1053" t="n">
        <v>1929</v>
      </c>
      <c r="BL985" s="1053" t="n">
        <v>2380</v>
      </c>
      <c r="BM985" s="68">
        <f>BN985</f>
        <v/>
      </c>
      <c r="BN985" s="1111" t="n">
        <v>2699</v>
      </c>
      <c r="BO985" s="1053" t="n">
        <v>2715</v>
      </c>
      <c r="BP985" s="1053" t="n">
        <v>3680</v>
      </c>
      <c r="BQ985" s="1053" t="n">
        <v>5353</v>
      </c>
      <c r="BR985" s="68">
        <f>BS985</f>
        <v/>
      </c>
      <c r="BS985" s="1111" t="n">
        <v>6310</v>
      </c>
      <c r="BT985" s="1053" t="n">
        <v>7331</v>
      </c>
      <c r="BU985" s="1053" t="n">
        <v>9064</v>
      </c>
      <c r="BV985" s="1054" t="n">
        <v>8624</v>
      </c>
      <c r="BW985" s="68">
        <f>(BW$366+BV$366+BU$366+BT$366)*BW942</f>
        <v/>
      </c>
      <c r="BX985" s="1110">
        <f>BW985</f>
        <v/>
      </c>
      <c r="BY985" s="68">
        <f>(BY$366+BW$366+BV$366+BU$366)*BY942</f>
        <v/>
      </c>
      <c r="BZ985" s="68">
        <f>(BZ$366+BY$366+BW$366+BV$366)*BZ942</f>
        <v/>
      </c>
      <c r="CA985" s="68">
        <f>(CA$366+BZ$366+BY$366+BW$366)*CA942</f>
        <v/>
      </c>
      <c r="CB985" s="68">
        <f>(CB$366+CA$366+BZ$366+BY$366)*CB942</f>
        <v/>
      </c>
      <c r="CC985" s="1110">
        <f>CB985</f>
        <v/>
      </c>
      <c r="CD985" s="1110">
        <f>CD366*CD942</f>
        <v/>
      </c>
      <c r="CE985" s="1110">
        <f>CE366*CE942</f>
        <v/>
      </c>
      <c r="CF985" s="1110">
        <f>CF366*CF942</f>
        <v/>
      </c>
      <c r="CG985" s="155" t="n"/>
    </row>
    <row r="986">
      <c r="A986" s="99" t="inlineStr">
        <is>
          <t>Short-term operating lease liabilities</t>
        </is>
      </c>
      <c r="B986" s="146" t="n"/>
      <c r="C986" s="1110" t="n"/>
      <c r="D986" s="1110" t="n"/>
      <c r="E986" s="1110" t="n"/>
      <c r="F986" s="1110" t="n"/>
      <c r="G986" s="68" t="n"/>
      <c r="H986" s="68" t="n"/>
      <c r="I986" s="68" t="n"/>
      <c r="J986" s="68" t="n"/>
      <c r="K986" s="1110" t="n"/>
      <c r="L986" s="68" t="n"/>
      <c r="M986" s="68" t="n"/>
      <c r="N986" s="68" t="n"/>
      <c r="O986" s="68" t="n"/>
      <c r="P986" s="1110" t="n"/>
      <c r="Q986" s="68" t="n"/>
      <c r="R986" s="68" t="n"/>
      <c r="S986" s="68" t="n"/>
      <c r="T986" s="68" t="n"/>
      <c r="U986" s="1110" t="n"/>
      <c r="V986" s="68" t="n"/>
      <c r="W986" s="68" t="n"/>
      <c r="X986" s="68" t="n"/>
      <c r="Y986" s="68" t="n"/>
      <c r="Z986" s="1110" t="n"/>
      <c r="AA986" s="68" t="n"/>
      <c r="AB986" s="68" t="n"/>
      <c r="AC986" s="68" t="n"/>
      <c r="AD986" s="68" t="n"/>
      <c r="AE986" s="1110" t="n"/>
      <c r="AF986" s="68" t="n"/>
      <c r="AG986" s="68" t="n"/>
      <c r="AH986" s="68" t="n"/>
      <c r="AI986" s="68" t="n"/>
      <c r="AJ986" s="1110" t="n"/>
      <c r="AK986" s="68" t="n"/>
      <c r="AL986" s="68" t="n"/>
      <c r="AM986" s="68" t="n"/>
      <c r="AN986" s="68" t="n"/>
      <c r="AO986" s="1110" t="n"/>
      <c r="AP986" s="1053" t="n">
        <v>80</v>
      </c>
      <c r="AQ986" s="1053" t="n">
        <v>84</v>
      </c>
      <c r="AR986" s="1053" t="n">
        <v>89</v>
      </c>
      <c r="AS986" s="68">
        <f>AT986</f>
        <v/>
      </c>
      <c r="AT986" s="1111" t="n">
        <v>91</v>
      </c>
      <c r="AU986" s="1053" t="n">
        <v>100</v>
      </c>
      <c r="AV986" s="1053" t="n">
        <v>124</v>
      </c>
      <c r="AW986" s="1053" t="n">
        <v>116</v>
      </c>
      <c r="AX986" s="68">
        <f>AY986</f>
        <v/>
      </c>
      <c r="AY986" s="1111" t="n">
        <v>121</v>
      </c>
      <c r="AZ986" s="1053" t="n">
        <v>135</v>
      </c>
      <c r="BA986" s="1053" t="n">
        <v>132</v>
      </c>
      <c r="BB986" s="1053" t="n">
        <v>140</v>
      </c>
      <c r="BC986" s="68">
        <f>BD986</f>
        <v/>
      </c>
      <c r="BD986" s="1111" t="n">
        <v>144</v>
      </c>
      <c r="BE986" s="1053" t="n">
        <v>147</v>
      </c>
      <c r="BF986" s="1053" t="n">
        <v>145</v>
      </c>
      <c r="BG986" s="1053" t="n">
        <v>156</v>
      </c>
      <c r="BH986" s="68">
        <f>BI986</f>
        <v/>
      </c>
      <c r="BI986" s="1111" t="n">
        <v>176</v>
      </c>
      <c r="BJ986" s="1053" t="n">
        <v>187</v>
      </c>
      <c r="BK986" s="1053" t="n">
        <v>208</v>
      </c>
      <c r="BL986" s="1053" t="n">
        <v>230</v>
      </c>
      <c r="BM986" s="68">
        <f>BN986</f>
        <v/>
      </c>
      <c r="BN986" s="1111" t="n">
        <v>228</v>
      </c>
      <c r="BO986" s="1053" t="n">
        <v>246</v>
      </c>
      <c r="BP986" s="1053" t="n">
        <v>250</v>
      </c>
      <c r="BQ986" s="1053" t="n">
        <v>273</v>
      </c>
      <c r="BR986" s="27">
        <f>BS986</f>
        <v/>
      </c>
      <c r="BS986" s="1111" t="n">
        <v>288</v>
      </c>
      <c r="BT986" s="1053" t="n">
        <v>300</v>
      </c>
      <c r="BU986" s="1053" t="n">
        <v>301</v>
      </c>
      <c r="BV986" s="1054" t="n">
        <v>341</v>
      </c>
      <c r="BW986" s="68">
        <f>BV986</f>
        <v/>
      </c>
      <c r="BX986" s="1110">
        <f>BW986</f>
        <v/>
      </c>
      <c r="BY986" s="68">
        <f>BX986</f>
        <v/>
      </c>
      <c r="BZ986" s="68">
        <f>BY986</f>
        <v/>
      </c>
      <c r="CA986" s="68">
        <f>BZ986</f>
        <v/>
      </c>
      <c r="CB986" s="68">
        <f>CA986</f>
        <v/>
      </c>
      <c r="CC986" s="1110">
        <f>CB986</f>
        <v/>
      </c>
      <c r="CD986" s="1110">
        <f>CC986</f>
        <v/>
      </c>
      <c r="CE986" s="1110">
        <f>CD986</f>
        <v/>
      </c>
      <c r="CF986" s="1110">
        <f>CE986</f>
        <v/>
      </c>
      <c r="CG986" s="155" t="n"/>
    </row>
    <row r="987">
      <c r="A987" s="67" t="inlineStr">
        <is>
          <t>Accrued and other current liabilities</t>
        </is>
      </c>
      <c r="B987" s="146" t="n"/>
      <c r="C987" s="1111" t="n">
        <v>559.727</v>
      </c>
      <c r="D987" s="1111" t="n">
        <v>439.851</v>
      </c>
      <c r="E987" s="1111" t="n">
        <v>656.544</v>
      </c>
      <c r="F987" s="1111" t="n">
        <v>594.886</v>
      </c>
      <c r="G987" s="1053" t="n">
        <v>551.826</v>
      </c>
      <c r="H987" s="1053" t="n">
        <v>604.71</v>
      </c>
      <c r="I987" s="1053" t="n">
        <v>601.0940000000001</v>
      </c>
      <c r="J987" s="27">
        <f>K987</f>
        <v/>
      </c>
      <c r="K987" s="1111" t="n">
        <v>619.795</v>
      </c>
      <c r="L987" s="1053" t="n">
        <v>597.318</v>
      </c>
      <c r="M987" s="1053" t="n">
        <v>625.52</v>
      </c>
      <c r="N987" s="1053" t="n">
        <v>652.644</v>
      </c>
      <c r="O987" s="27">
        <f>P987</f>
        <v/>
      </c>
      <c r="P987" s="1111" t="n">
        <v>621.105</v>
      </c>
      <c r="Q987" s="1053" t="n">
        <v>588.937</v>
      </c>
      <c r="R987" s="1053" t="n">
        <v>607.102</v>
      </c>
      <c r="S987" s="1053" t="n">
        <v>605.8099999999999</v>
      </c>
      <c r="T987" s="27">
        <f>U987</f>
        <v/>
      </c>
      <c r="U987" s="1111" t="n">
        <v>603</v>
      </c>
      <c r="V987" s="1053" t="n">
        <v>661</v>
      </c>
      <c r="W987" s="1053" t="n">
        <v>659</v>
      </c>
      <c r="X987" s="1053" t="n">
        <v>560</v>
      </c>
      <c r="Y987" s="27">
        <f>Z987</f>
        <v/>
      </c>
      <c r="Z987" s="1111" t="n">
        <v>642</v>
      </c>
      <c r="AA987" s="1053" t="n">
        <v>636</v>
      </c>
      <c r="AB987" s="1053" t="n">
        <v>556</v>
      </c>
      <c r="AC987" s="1053" t="n">
        <v>507</v>
      </c>
      <c r="AD987" s="1053" t="n">
        <v>507</v>
      </c>
      <c r="AE987" s="1110">
        <f>AD987</f>
        <v/>
      </c>
      <c r="AF987" s="1053" t="n">
        <v>420</v>
      </c>
      <c r="AG987" s="1053" t="n">
        <v>517</v>
      </c>
      <c r="AH987" s="1053" t="n">
        <v>493</v>
      </c>
      <c r="AI987" s="68">
        <f>AJ987</f>
        <v/>
      </c>
      <c r="AJ987" s="1111" t="n">
        <v>542</v>
      </c>
      <c r="AK987" s="1053" t="n">
        <v>469</v>
      </c>
      <c r="AL987" s="1053" t="n">
        <v>648</v>
      </c>
      <c r="AM987" s="1053" t="n">
        <v>703</v>
      </c>
      <c r="AN987" s="68">
        <f>AO987</f>
        <v/>
      </c>
      <c r="AO987" s="1111" t="n">
        <v>818</v>
      </c>
      <c r="AP987" s="27">
        <f>815-AP986</f>
        <v/>
      </c>
      <c r="AQ987" s="27">
        <f>880-AQ986</f>
        <v/>
      </c>
      <c r="AR987" s="27">
        <f>884-AR986</f>
        <v/>
      </c>
      <c r="AS987" s="68">
        <f>AT987</f>
        <v/>
      </c>
      <c r="AT987" s="1110">
        <f>1097-AT986</f>
        <v/>
      </c>
      <c r="AU987" s="27">
        <f>1142-AU986</f>
        <v/>
      </c>
      <c r="AV987" s="27">
        <f>1517-AV986</f>
        <v/>
      </c>
      <c r="AW987" s="27">
        <f>1574-AW986</f>
        <v/>
      </c>
      <c r="AX987" s="68">
        <f>AY987</f>
        <v/>
      </c>
      <c r="AY987" s="1110">
        <f>1725-AY986</f>
        <v/>
      </c>
      <c r="AZ987" s="27">
        <f>1787-AZ986</f>
        <v/>
      </c>
      <c r="BA987" s="27">
        <f>1974-BA986</f>
        <v/>
      </c>
      <c r="BB987" s="27">
        <f>1948-BB986</f>
        <v/>
      </c>
      <c r="BC987" s="68">
        <f>BD987</f>
        <v/>
      </c>
      <c r="BD987" s="1110">
        <f>2552-BD986</f>
        <v/>
      </c>
      <c r="BE987" s="27">
        <f>3563-BE986</f>
        <v/>
      </c>
      <c r="BF987" s="68">
        <f>3903-BF986</f>
        <v/>
      </c>
      <c r="BG987" s="27">
        <f>4115-BG986</f>
        <v/>
      </c>
      <c r="BH987" s="68">
        <f>BI987</f>
        <v/>
      </c>
      <c r="BI987" s="1110">
        <f>4120-BI986</f>
        <v/>
      </c>
      <c r="BJ987" s="27">
        <f>4869-BJ986</f>
        <v/>
      </c>
      <c r="BK987" s="68">
        <f>7156-BK986</f>
        <v/>
      </c>
      <c r="BL987" s="27">
        <f>5472-BL986</f>
        <v/>
      </c>
      <c r="BM987" s="68">
        <f>BN987</f>
        <v/>
      </c>
      <c r="BN987" s="1110">
        <f>6682-BN986</f>
        <v/>
      </c>
      <c r="BO987" s="27">
        <f>11258-BO986</f>
        <v/>
      </c>
      <c r="BP987" s="68">
        <f>10289-BP986</f>
        <v/>
      </c>
      <c r="BQ987" s="27">
        <f>11126-BQ986</f>
        <v/>
      </c>
      <c r="BR987" s="27">
        <f>BS987</f>
        <v/>
      </c>
      <c r="BS987" s="1112">
        <f>11737-BS986</f>
        <v/>
      </c>
      <c r="BT987" s="27">
        <f>19211-BT986</f>
        <v/>
      </c>
      <c r="BU987" s="68">
        <f>15193-BU986</f>
        <v/>
      </c>
      <c r="BV987" s="508">
        <f>16452-BV986</f>
        <v/>
      </c>
      <c r="BW987" s="68">
        <f>(BW$362+BV$362+BU$362+BT$362)*BW943</f>
        <v/>
      </c>
      <c r="BX987" s="1110">
        <f>BW987</f>
        <v/>
      </c>
      <c r="BY987" s="68">
        <f>(BY$362+BW$362+BV$362+BU$362)*BY943</f>
        <v/>
      </c>
      <c r="BZ987" s="68">
        <f>(BZ$362+BY$362+BW$362+BV$362)*BZ943</f>
        <v/>
      </c>
      <c r="CA987" s="68">
        <f>(CA$362+BZ$362+BY$362+BW$362)*CA943</f>
        <v/>
      </c>
      <c r="CB987" s="68">
        <f>(CB$362+CA$362+BZ$362+BY$362)*CB943</f>
        <v/>
      </c>
      <c r="CC987" s="1110">
        <f>CB987</f>
        <v/>
      </c>
      <c r="CD987" s="1110">
        <f>CD362*CD943</f>
        <v/>
      </c>
      <c r="CE987" s="1110">
        <f>CE362*CE943</f>
        <v/>
      </c>
      <c r="CF987" s="1110">
        <f>CF362*CF943</f>
        <v/>
      </c>
      <c r="CG987" s="155" t="n"/>
    </row>
    <row r="988">
      <c r="A988" s="67" t="inlineStr">
        <is>
          <t>Short-term debt</t>
        </is>
      </c>
      <c r="B988" s="146" t="n"/>
      <c r="C988" s="1110" t="n"/>
      <c r="D988" s="1110" t="n"/>
      <c r="E988" s="1110" t="n"/>
      <c r="F988" s="1110" t="n"/>
      <c r="G988" s="68" t="n"/>
      <c r="H988" s="68" t="n"/>
      <c r="I988" s="68" t="n"/>
      <c r="J988" s="27">
        <f>K988</f>
        <v/>
      </c>
      <c r="K988" s="1110" t="n"/>
      <c r="L988" s="68" t="n"/>
      <c r="M988" s="68" t="n"/>
      <c r="N988" s="68" t="n"/>
      <c r="O988" s="27">
        <f>P988</f>
        <v/>
      </c>
      <c r="P988" s="1110" t="n"/>
      <c r="Q988" s="68" t="n"/>
      <c r="R988" s="68" t="n"/>
      <c r="S988" s="68" t="n"/>
      <c r="T988" s="27">
        <f>U988</f>
        <v/>
      </c>
      <c r="U988" s="1111" t="n">
        <v>0</v>
      </c>
      <c r="V988" s="1053" t="n">
        <v>0</v>
      </c>
      <c r="W988" s="68" t="n"/>
      <c r="X988" s="68" t="n"/>
      <c r="Y988" s="27">
        <f>Z988</f>
        <v/>
      </c>
      <c r="Z988" s="1111" t="n">
        <v>1413</v>
      </c>
      <c r="AA988" s="1053" t="n">
        <v>1421</v>
      </c>
      <c r="AB988" s="1053" t="n">
        <v>1428</v>
      </c>
      <c r="AC988" s="1053" t="n">
        <v>1011</v>
      </c>
      <c r="AD988" s="1053" t="n">
        <v>796</v>
      </c>
      <c r="AE988" s="1110">
        <f>AD988</f>
        <v/>
      </c>
      <c r="AF988" s="1053" t="n">
        <v>215</v>
      </c>
      <c r="AG988" s="1053" t="n">
        <v>84</v>
      </c>
      <c r="AH988" s="1053" t="n">
        <v>23</v>
      </c>
      <c r="AI988" s="68">
        <f>AJ988</f>
        <v/>
      </c>
      <c r="AJ988" s="1111" t="n">
        <v>15</v>
      </c>
      <c r="AK988" s="1053" t="n">
        <v>14</v>
      </c>
      <c r="AL988" s="1053" t="n">
        <v>14</v>
      </c>
      <c r="AM988" s="1053" t="n">
        <v>3</v>
      </c>
      <c r="AN988" s="68">
        <f>AO988</f>
        <v/>
      </c>
      <c r="AO988" s="1111" t="n">
        <v>0</v>
      </c>
      <c r="AP988" s="68" t="n"/>
      <c r="AQ988" s="68" t="n"/>
      <c r="AR988" s="68" t="n"/>
      <c r="AS988" s="68">
        <f>AT988</f>
        <v/>
      </c>
      <c r="AT988" s="1110" t="n"/>
      <c r="AU988" s="68" t="n"/>
      <c r="AV988" s="68" t="n"/>
      <c r="AW988" s="1053" t="n">
        <v>998</v>
      </c>
      <c r="AX988" s="68">
        <f>AY988</f>
        <v/>
      </c>
      <c r="AY988" s="1111" t="n">
        <v>999</v>
      </c>
      <c r="AZ988" s="1053" t="n">
        <v>999</v>
      </c>
      <c r="BA988" s="1053" t="n">
        <v>1000</v>
      </c>
      <c r="BB988" s="68" t="n"/>
      <c r="BC988" s="68">
        <f>BD988</f>
        <v/>
      </c>
      <c r="BD988" s="1110" t="n"/>
      <c r="BE988" s="68" t="n"/>
      <c r="BF988" s="1053" t="n">
        <v>1249</v>
      </c>
      <c r="BG988" s="1053" t="n">
        <v>1249</v>
      </c>
      <c r="BH988" s="68">
        <f>BI988</f>
        <v/>
      </c>
      <c r="BI988" s="1111" t="n">
        <v>1250</v>
      </c>
      <c r="BJ988" s="1053" t="n">
        <v>1250</v>
      </c>
      <c r="BK988" s="1053" t="n">
        <v>1249</v>
      </c>
      <c r="BL988" s="1053" t="n">
        <v>1249</v>
      </c>
      <c r="BM988" s="109">
        <f>BN988</f>
        <v/>
      </c>
      <c r="BN988" s="1131" t="n">
        <v>1250</v>
      </c>
      <c r="BO988" s="1053" t="n">
        <v>1250</v>
      </c>
      <c r="BP988" s="1053" t="n">
        <v>0</v>
      </c>
      <c r="BQ988" s="1053" t="n">
        <v>0</v>
      </c>
      <c r="BR988" s="109">
        <f>BS988</f>
        <v/>
      </c>
      <c r="BS988" s="1121" t="n"/>
      <c r="BT988" s="68" t="n"/>
      <c r="BU988" s="68" t="n"/>
      <c r="BV988" s="1054" t="n">
        <v>999</v>
      </c>
      <c r="BW988" s="68">
        <f>BW727</f>
        <v/>
      </c>
      <c r="BX988" s="1110">
        <f>BW988</f>
        <v/>
      </c>
      <c r="BY988" s="68">
        <f>BY727</f>
        <v/>
      </c>
      <c r="BZ988" s="68">
        <f>BZ727</f>
        <v/>
      </c>
      <c r="CA988" s="68">
        <f>CA727</f>
        <v/>
      </c>
      <c r="CB988" s="68">
        <f>CB727</f>
        <v/>
      </c>
      <c r="CC988" s="1110">
        <f>CB988</f>
        <v/>
      </c>
      <c r="CD988" s="1110">
        <f>CD727</f>
        <v/>
      </c>
      <c r="CE988" s="1110">
        <f>CE727</f>
        <v/>
      </c>
      <c r="CF988" s="1110">
        <f>CF727</f>
        <v/>
      </c>
      <c r="CG988" s="155" t="n"/>
    </row>
    <row r="989">
      <c r="A989" s="59" t="inlineStr">
        <is>
          <t>Total Current Liabilities</t>
        </is>
      </c>
      <c r="B989" s="607" t="n"/>
      <c r="C989" s="1123">
        <f>SUM(C985:C988)</f>
        <v/>
      </c>
      <c r="D989" s="1123">
        <f>SUM(D985:D988)</f>
        <v/>
      </c>
      <c r="E989" s="1123">
        <f>SUM(E985:E988)</f>
        <v/>
      </c>
      <c r="F989" s="1123">
        <f>SUM(F985:F988)</f>
        <v/>
      </c>
      <c r="G989" s="60">
        <f>SUM(G985:G988)</f>
        <v/>
      </c>
      <c r="H989" s="60">
        <f>SUM(H985:H988)</f>
        <v/>
      </c>
      <c r="I989" s="60">
        <f>SUM(I985:I988)</f>
        <v/>
      </c>
      <c r="J989" s="60">
        <f>SUM(J985:J988)</f>
        <v/>
      </c>
      <c r="K989" s="1123">
        <f>SUM(K985:K988)</f>
        <v/>
      </c>
      <c r="L989" s="60">
        <f>SUM(L985:L988)</f>
        <v/>
      </c>
      <c r="M989" s="60">
        <f>SUM(M985:M988)</f>
        <v/>
      </c>
      <c r="N989" s="60">
        <f>SUM(N985:N988)</f>
        <v/>
      </c>
      <c r="O989" s="60">
        <f>SUM(O985:O988)</f>
        <v/>
      </c>
      <c r="P989" s="1123">
        <f>SUM(P985:P988)</f>
        <v/>
      </c>
      <c r="Q989" s="60">
        <f>SUM(Q985:Q988)</f>
        <v/>
      </c>
      <c r="R989" s="60">
        <f>SUM(R985:R988)</f>
        <v/>
      </c>
      <c r="S989" s="60">
        <f>SUM(S985:S988)</f>
        <v/>
      </c>
      <c r="T989" s="60">
        <f>SUM(T985:T988)</f>
        <v/>
      </c>
      <c r="U989" s="1123">
        <f>SUM(U985:U988)</f>
        <v/>
      </c>
      <c r="V989" s="60">
        <f>SUM(V985:V988)</f>
        <v/>
      </c>
      <c r="W989" s="60">
        <f>SUM(W985:W988)</f>
        <v/>
      </c>
      <c r="X989" s="60">
        <f>SUM(X985:X988)</f>
        <v/>
      </c>
      <c r="Y989" s="60">
        <f>SUM(Y985:Y988)</f>
        <v/>
      </c>
      <c r="Z989" s="1123">
        <f>SUM(Z985:Z988)</f>
        <v/>
      </c>
      <c r="AA989" s="60">
        <f>SUM(AA985:AA988)</f>
        <v/>
      </c>
      <c r="AB989" s="60">
        <f>SUM(AB985:AB988)</f>
        <v/>
      </c>
      <c r="AC989" s="61">
        <f>SUM(AC985:AC988)</f>
        <v/>
      </c>
      <c r="AD989" s="61">
        <f>SUM(AD985:AD988)</f>
        <v/>
      </c>
      <c r="AE989" s="1122">
        <f>SUM(AE985:AE988)</f>
        <v/>
      </c>
      <c r="AF989" s="61">
        <f>SUM(AF985:AF988)</f>
        <v/>
      </c>
      <c r="AG989" s="60">
        <f>SUM(AG985:AG988)</f>
        <v/>
      </c>
      <c r="AH989" s="60">
        <f>SUM(AH985:AH988)</f>
        <v/>
      </c>
      <c r="AI989" s="61">
        <f>SUM(AI985:AI988)</f>
        <v/>
      </c>
      <c r="AJ989" s="1122">
        <f>SUM(AJ985:AJ988)</f>
        <v/>
      </c>
      <c r="AK989" s="60">
        <f>SUM(AK985:AK988)</f>
        <v/>
      </c>
      <c r="AL989" s="60">
        <f>SUM(AL985:AL988)</f>
        <v/>
      </c>
      <c r="AM989" s="60">
        <f>SUM(AM985:AM988)</f>
        <v/>
      </c>
      <c r="AN989" s="61">
        <f>SUM(AN985:AN988)</f>
        <v/>
      </c>
      <c r="AO989" s="1122">
        <f>SUM(AO985:AO988)</f>
        <v/>
      </c>
      <c r="AP989" s="60">
        <f>SUM(AP985:AP988)</f>
        <v/>
      </c>
      <c r="AQ989" s="60">
        <f>SUM(AQ985:AQ988)</f>
        <v/>
      </c>
      <c r="AR989" s="60">
        <f>SUM(AR985:AR988)</f>
        <v/>
      </c>
      <c r="AS989" s="61">
        <f>SUM(AS985:AS988)</f>
        <v/>
      </c>
      <c r="AT989" s="1122">
        <f>SUM(AT985:AT988)</f>
        <v/>
      </c>
      <c r="AU989" s="60">
        <f>SUM(AU985:AU988)</f>
        <v/>
      </c>
      <c r="AV989" s="60">
        <f>SUM(AV985:AV988)</f>
        <v/>
      </c>
      <c r="AW989" s="60">
        <f>SUM(AW985:AW988)</f>
        <v/>
      </c>
      <c r="AX989" s="61">
        <f>SUM(AX985:AX988)</f>
        <v/>
      </c>
      <c r="AY989" s="1122">
        <f>SUM(AY985:AY988)</f>
        <v/>
      </c>
      <c r="AZ989" s="60">
        <f>SUM(AZ985:AZ988)</f>
        <v/>
      </c>
      <c r="BA989" s="60">
        <f>SUM(BA985:BA988)</f>
        <v/>
      </c>
      <c r="BB989" s="60">
        <f>SUM(BB985:BB988)</f>
        <v/>
      </c>
      <c r="BC989" s="61">
        <f>SUM(BC985:BC988)</f>
        <v/>
      </c>
      <c r="BD989" s="1122">
        <f>SUM(BD985:BD988)</f>
        <v/>
      </c>
      <c r="BE989" s="60">
        <f>SUM(BE985:BE988)</f>
        <v/>
      </c>
      <c r="BF989" s="61">
        <f>SUM(BF985:BF988)</f>
        <v/>
      </c>
      <c r="BG989" s="60">
        <f>SUM(BG985:BG988)</f>
        <v/>
      </c>
      <c r="BH989" s="61">
        <f>SUM(BH985:BH988)</f>
        <v/>
      </c>
      <c r="BI989" s="1122">
        <f>SUM(BI985:BI988)</f>
        <v/>
      </c>
      <c r="BJ989" s="60">
        <f>SUM(BJ985:BJ988)</f>
        <v/>
      </c>
      <c r="BK989" s="61">
        <f>SUM(BK985:BK988)</f>
        <v/>
      </c>
      <c r="BL989" s="60">
        <f>SUM(BL985:BL988)</f>
        <v/>
      </c>
      <c r="BM989" s="63">
        <f>SUM(BM985:BM988)</f>
        <v/>
      </c>
      <c r="BN989" s="1125">
        <f>SUM(BN985:BN988)</f>
        <v/>
      </c>
      <c r="BO989" s="60">
        <f>SUM(BO985:BO988)</f>
        <v/>
      </c>
      <c r="BP989" s="61">
        <f>SUM(BP985:BP988)</f>
        <v/>
      </c>
      <c r="BQ989" s="60">
        <f>SUM(BQ985:BQ988)</f>
        <v/>
      </c>
      <c r="BR989" s="63">
        <f>SUM(BR985:BR988)</f>
        <v/>
      </c>
      <c r="BS989" s="1125">
        <f>SUM(BS985:BS988)</f>
        <v/>
      </c>
      <c r="BT989" s="60">
        <f>SUM(BT985:BT988)</f>
        <v/>
      </c>
      <c r="BU989" s="61">
        <f>SUM(BU985:BU988)</f>
        <v/>
      </c>
      <c r="BV989" s="883">
        <f>SUM(BV985:BV988)</f>
        <v/>
      </c>
      <c r="BW989" s="61">
        <f>SUM(BW985:BW988)</f>
        <v/>
      </c>
      <c r="BX989" s="1122">
        <f>SUM(BX985:BX988)</f>
        <v/>
      </c>
      <c r="BY989" s="61">
        <f>SUM(BY985:BY988)</f>
        <v/>
      </c>
      <c r="BZ989" s="61">
        <f>SUM(BZ985:BZ988)</f>
        <v/>
      </c>
      <c r="CA989" s="61">
        <f>SUM(CA985:CA988)</f>
        <v/>
      </c>
      <c r="CB989" s="61">
        <f>SUM(CB985:CB988)</f>
        <v/>
      </c>
      <c r="CC989" s="1122">
        <f>SUM(CC985:CC988)</f>
        <v/>
      </c>
      <c r="CD989" s="1122">
        <f>SUM(CD985:CD988)</f>
        <v/>
      </c>
      <c r="CE989" s="1122">
        <f>SUM(CE985:CE988)</f>
        <v/>
      </c>
      <c r="CF989" s="1122">
        <f>SUM(CF985:CF988)</f>
        <v/>
      </c>
      <c r="CG989" s="155" t="n"/>
    </row>
    <row r="990">
      <c r="A990" s="600" t="n"/>
      <c r="B990" s="279" t="n"/>
      <c r="C990" s="1125" t="n"/>
      <c r="D990" s="1125" t="n"/>
      <c r="E990" s="1125" t="n"/>
      <c r="F990" s="1125" t="n"/>
      <c r="G990" s="63" t="n"/>
      <c r="H990" s="63" t="n"/>
      <c r="I990" s="63" t="n"/>
      <c r="J990" s="63" t="n"/>
      <c r="K990" s="1125" t="n"/>
      <c r="L990" s="63" t="n"/>
      <c r="M990" s="63" t="n"/>
      <c r="N990" s="63" t="n"/>
      <c r="O990" s="63" t="n"/>
      <c r="P990" s="1125" t="n"/>
      <c r="Q990" s="63" t="n"/>
      <c r="R990" s="63" t="n"/>
      <c r="S990" s="63" t="n"/>
      <c r="T990" s="63" t="n"/>
      <c r="U990" s="1125" t="n"/>
      <c r="V990" s="63" t="n"/>
      <c r="W990" s="63" t="n"/>
      <c r="X990" s="63" t="n"/>
      <c r="Y990" s="63" t="n"/>
      <c r="Z990" s="1125" t="n"/>
      <c r="AA990" s="63" t="n"/>
      <c r="AB990" s="63" t="n"/>
      <c r="AC990" s="63" t="n"/>
      <c r="AD990" s="63" t="n"/>
      <c r="AE990" s="1125" t="n"/>
      <c r="AF990" s="63" t="n"/>
      <c r="AG990" s="63" t="n"/>
      <c r="AH990" s="63" t="n"/>
      <c r="AI990" s="63" t="n"/>
      <c r="AJ990" s="1125" t="n"/>
      <c r="AK990" s="63" t="n"/>
      <c r="AL990" s="63" t="n"/>
      <c r="AM990" s="63" t="n"/>
      <c r="AN990" s="63" t="n"/>
      <c r="AO990" s="1125" t="n"/>
      <c r="AP990" s="63" t="n"/>
      <c r="AQ990" s="63" t="n"/>
      <c r="AR990" s="63" t="n"/>
      <c r="AS990" s="63" t="n"/>
      <c r="AT990" s="1125" t="n"/>
      <c r="AU990" s="63" t="n"/>
      <c r="AV990" s="63" t="n"/>
      <c r="AW990" s="63" t="n"/>
      <c r="AX990" s="63" t="n"/>
      <c r="AY990" s="1125" t="n"/>
      <c r="AZ990" s="63" t="n"/>
      <c r="BA990" s="63" t="n"/>
      <c r="BB990" s="63" t="n"/>
      <c r="BC990" s="63" t="n"/>
      <c r="BD990" s="1125" t="n"/>
      <c r="BE990" s="63" t="n"/>
      <c r="BF990" s="63" t="n"/>
      <c r="BG990" s="63" t="n"/>
      <c r="BH990" s="63" t="n"/>
      <c r="BI990" s="1125" t="n"/>
      <c r="BJ990" s="63" t="n"/>
      <c r="BK990" s="63" t="n"/>
      <c r="BL990" s="63" t="n"/>
      <c r="BM990" s="63" t="n"/>
      <c r="BN990" s="1125" t="n"/>
      <c r="BO990" s="63" t="n"/>
      <c r="BP990" s="63" t="n"/>
      <c r="BQ990" s="63" t="n"/>
      <c r="BR990" s="63" t="n"/>
      <c r="BS990" s="1125" t="n"/>
      <c r="BT990" s="63" t="n"/>
      <c r="BU990" s="63" t="n"/>
      <c r="BV990" s="587" t="n"/>
      <c r="BW990" s="63" t="n"/>
      <c r="BX990" s="1125" t="n"/>
      <c r="BY990" s="63" t="n"/>
      <c r="BZ990" s="63" t="n"/>
      <c r="CA990" s="63" t="n"/>
      <c r="CB990" s="63" t="n"/>
      <c r="CC990" s="1125" t="n"/>
      <c r="CD990" s="1125" t="n"/>
      <c r="CE990" s="1125" t="n"/>
      <c r="CF990" s="1125" t="n"/>
      <c r="CG990" s="155" t="n"/>
    </row>
    <row r="991">
      <c r="A991" s="69" t="inlineStr">
        <is>
          <t>Non-Current Liabilities</t>
        </is>
      </c>
      <c r="B991" s="279" t="n"/>
      <c r="C991" s="1125" t="n"/>
      <c r="D991" s="1125" t="n"/>
      <c r="E991" s="1125" t="n"/>
      <c r="F991" s="1125" t="n"/>
      <c r="G991" s="63" t="n"/>
      <c r="H991" s="63" t="n"/>
      <c r="I991" s="63" t="n"/>
      <c r="J991" s="63" t="n"/>
      <c r="K991" s="1125" t="n"/>
      <c r="L991" s="63" t="n"/>
      <c r="M991" s="63" t="n"/>
      <c r="N991" s="63" t="n"/>
      <c r="O991" s="63" t="n"/>
      <c r="P991" s="1125" t="n"/>
      <c r="Q991" s="63" t="n"/>
      <c r="R991" s="63" t="n"/>
      <c r="S991" s="63" t="n"/>
      <c r="T991" s="63" t="n"/>
      <c r="U991" s="1125" t="n"/>
      <c r="V991" s="63" t="n"/>
      <c r="W991" s="63" t="n"/>
      <c r="X991" s="63" t="n"/>
      <c r="Y991" s="63" t="n"/>
      <c r="Z991" s="1125" t="n"/>
      <c r="AA991" s="63" t="n"/>
      <c r="AB991" s="63" t="n"/>
      <c r="AC991" s="63" t="n"/>
      <c r="AD991" s="63" t="n"/>
      <c r="AE991" s="1125" t="n"/>
      <c r="AF991" s="63" t="n"/>
      <c r="AG991" s="63" t="n"/>
      <c r="AH991" s="63" t="n"/>
      <c r="AI991" s="63" t="n"/>
      <c r="AJ991" s="1125" t="n"/>
      <c r="AK991" s="63" t="n"/>
      <c r="AL991" s="63" t="n"/>
      <c r="AM991" s="63" t="n"/>
      <c r="AN991" s="63" t="n"/>
      <c r="AO991" s="1125" t="n"/>
      <c r="AP991" s="63" t="n"/>
      <c r="AQ991" s="63" t="n"/>
      <c r="AR991" s="63" t="n"/>
      <c r="AS991" s="63" t="n"/>
      <c r="AT991" s="1125" t="n"/>
      <c r="AU991" s="63" t="n"/>
      <c r="AV991" s="63" t="n"/>
      <c r="AW991" s="63" t="n"/>
      <c r="AX991" s="63" t="n"/>
      <c r="AY991" s="1125" t="n"/>
      <c r="AZ991" s="63" t="n"/>
      <c r="BA991" s="63" t="n"/>
      <c r="BB991" s="63" t="n"/>
      <c r="BC991" s="63" t="n"/>
      <c r="BD991" s="1125" t="n"/>
      <c r="BE991" s="63" t="n"/>
      <c r="BF991" s="63" t="n"/>
      <c r="BG991" s="63" t="n"/>
      <c r="BH991" s="63" t="n"/>
      <c r="BI991" s="1125" t="n"/>
      <c r="BJ991" s="63" t="n"/>
      <c r="BK991" s="63" t="n"/>
      <c r="BL991" s="63" t="n"/>
      <c r="BM991" s="63" t="n"/>
      <c r="BN991" s="1125" t="n"/>
      <c r="BO991" s="63" t="n"/>
      <c r="BP991" s="63" t="n"/>
      <c r="BQ991" s="63" t="n"/>
      <c r="BR991" s="63" t="n"/>
      <c r="BS991" s="1125" t="n"/>
      <c r="BT991" s="63" t="n"/>
      <c r="BU991" s="63" t="n"/>
      <c r="BV991" s="587" t="n"/>
      <c r="BW991" s="63" t="n"/>
      <c r="BX991" s="1125" t="n"/>
      <c r="BY991" s="63" t="n"/>
      <c r="BZ991" s="63" t="n"/>
      <c r="CA991" s="63" t="n"/>
      <c r="CB991" s="63" t="n"/>
      <c r="CC991" s="1125" t="n"/>
      <c r="CD991" s="1125" t="n"/>
      <c r="CE991" s="1125" t="n"/>
      <c r="CF991" s="1125" t="n"/>
      <c r="CG991" s="155" t="n"/>
    </row>
    <row r="992">
      <c r="A992" s="67" t="inlineStr">
        <is>
          <t>Convertible long-term debt</t>
        </is>
      </c>
      <c r="B992" s="146" t="n"/>
      <c r="C992" s="1110" t="n"/>
      <c r="D992" s="1110" t="n"/>
      <c r="E992" s="1110" t="n"/>
      <c r="F992" s="1110" t="n"/>
      <c r="G992" s="68" t="n"/>
      <c r="H992" s="68" t="n"/>
      <c r="I992" s="68" t="n"/>
      <c r="J992" s="68" t="n"/>
      <c r="K992" s="1110" t="n"/>
      <c r="L992" s="68" t="n"/>
      <c r="M992" s="68" t="n"/>
      <c r="N992" s="68" t="n"/>
      <c r="O992" s="27">
        <f>P992</f>
        <v/>
      </c>
      <c r="P992" s="1111" t="n">
        <v>1356.375</v>
      </c>
      <c r="Q992" s="1053" t="n">
        <v>1363.276</v>
      </c>
      <c r="R992" s="1053" t="n">
        <v>1370.249</v>
      </c>
      <c r="S992" s="1053" t="n">
        <v>1377.259</v>
      </c>
      <c r="T992" s="27">
        <f>U992</f>
        <v/>
      </c>
      <c r="U992" s="1111" t="n">
        <v>1384</v>
      </c>
      <c r="V992" s="1053" t="n">
        <v>1391</v>
      </c>
      <c r="W992" s="1053" t="n">
        <v>1399</v>
      </c>
      <c r="X992" s="1053" t="n">
        <v>1406</v>
      </c>
      <c r="Y992" s="27">
        <f>Z992</f>
        <v/>
      </c>
      <c r="Z992" s="1110" t="n"/>
      <c r="AA992" s="27">
        <f>Z992</f>
        <v/>
      </c>
      <c r="AB992" s="68" t="n"/>
      <c r="AC992" s="1053" t="n">
        <v>1982</v>
      </c>
      <c r="AD992" s="1053" t="n">
        <v>1983</v>
      </c>
      <c r="AE992" s="1110">
        <f>AD992</f>
        <v/>
      </c>
      <c r="AF992" s="1053" t="n">
        <v>1984</v>
      </c>
      <c r="AG992" s="1053" t="n">
        <v>1984</v>
      </c>
      <c r="AH992" s="1053" t="n">
        <v>1985</v>
      </c>
      <c r="AI992" s="68">
        <f>AJ992</f>
        <v/>
      </c>
      <c r="AJ992" s="1111" t="n">
        <v>1985</v>
      </c>
      <c r="AK992" s="1053" t="n">
        <v>1986</v>
      </c>
      <c r="AL992" s="1053" t="n">
        <v>1987</v>
      </c>
      <c r="AM992" s="1053" t="n">
        <v>1987</v>
      </c>
      <c r="AN992" s="68">
        <f>AO992</f>
        <v/>
      </c>
      <c r="AO992" s="1111" t="n">
        <v>1988</v>
      </c>
      <c r="AP992" s="1053" t="n">
        <v>1988</v>
      </c>
      <c r="AQ992" s="1053" t="n">
        <v>1989</v>
      </c>
      <c r="AR992" s="1053" t="n">
        <v>1990</v>
      </c>
      <c r="AS992" s="68">
        <f>AT992</f>
        <v/>
      </c>
      <c r="AT992" s="1111" t="n">
        <v>1991</v>
      </c>
      <c r="AU992" s="1053" t="n">
        <v>6959</v>
      </c>
      <c r="AV992" s="1053" t="n">
        <v>6960</v>
      </c>
      <c r="AW992" s="1053" t="n">
        <v>5963</v>
      </c>
      <c r="AX992" s="68">
        <f>AY992</f>
        <v/>
      </c>
      <c r="AY992" s="1111" t="n">
        <v>5964</v>
      </c>
      <c r="AZ992" s="1053" t="n">
        <v>5964</v>
      </c>
      <c r="BA992" s="1053" t="n">
        <v>10943</v>
      </c>
      <c r="BB992" s="1053" t="n">
        <v>10944</v>
      </c>
      <c r="BC992" s="68">
        <f>BD992</f>
        <v/>
      </c>
      <c r="BD992" s="1111" t="n">
        <v>10946</v>
      </c>
      <c r="BE992" s="1053" t="n">
        <v>10947</v>
      </c>
      <c r="BF992" s="1053" t="n">
        <v>9700</v>
      </c>
      <c r="BG992" s="1053" t="n">
        <v>9701</v>
      </c>
      <c r="BH992" s="68">
        <f>BI992</f>
        <v/>
      </c>
      <c r="BI992" s="1111" t="n">
        <v>9703</v>
      </c>
      <c r="BJ992" s="1053" t="n">
        <v>9704</v>
      </c>
      <c r="BK992" s="1053" t="n">
        <v>8456</v>
      </c>
      <c r="BL992" s="1053" t="n">
        <v>8457</v>
      </c>
      <c r="BM992" s="68">
        <f>BN992</f>
        <v/>
      </c>
      <c r="BN992" s="1111" t="n">
        <v>8459</v>
      </c>
      <c r="BO992" s="1053" t="n">
        <v>8460</v>
      </c>
      <c r="BP992" s="1053" t="n">
        <v>8461</v>
      </c>
      <c r="BQ992" s="1053" t="n">
        <v>8462</v>
      </c>
      <c r="BR992" s="68">
        <f>BS992</f>
        <v/>
      </c>
      <c r="BS992" s="1111" t="n">
        <v>8463</v>
      </c>
      <c r="BT992" s="1053" t="n">
        <v>8464</v>
      </c>
      <c r="BU992" s="1053" t="n">
        <v>8466</v>
      </c>
      <c r="BV992" s="1054" t="n">
        <v>7468</v>
      </c>
      <c r="BW992" s="68">
        <f>BW728</f>
        <v/>
      </c>
      <c r="BX992" s="1110">
        <f>BW992</f>
        <v/>
      </c>
      <c r="BY992" s="68">
        <f>BY728</f>
        <v/>
      </c>
      <c r="BZ992" s="68">
        <f>BZ728</f>
        <v/>
      </c>
      <c r="CA992" s="68">
        <f>CA728</f>
        <v/>
      </c>
      <c r="CB992" s="68">
        <f>CB728</f>
        <v/>
      </c>
      <c r="CC992" s="1110">
        <f>CB992</f>
        <v/>
      </c>
      <c r="CD992" s="1110">
        <f>CD728</f>
        <v/>
      </c>
      <c r="CE992" s="1110">
        <f>CE728</f>
        <v/>
      </c>
      <c r="CF992" s="1110">
        <f>CF728</f>
        <v/>
      </c>
      <c r="CG992" s="155" t="n"/>
    </row>
    <row r="993">
      <c r="A993" s="67" t="inlineStr">
        <is>
          <t>Long-term operating lease liabilities</t>
        </is>
      </c>
      <c r="B993" s="146" t="n"/>
      <c r="C993" s="1110" t="n"/>
      <c r="D993" s="1110" t="n"/>
      <c r="E993" s="1110" t="n"/>
      <c r="F993" s="1110" t="n"/>
      <c r="G993" s="68" t="n"/>
      <c r="H993" s="68" t="n"/>
      <c r="I993" s="68" t="n"/>
      <c r="J993" s="68" t="n"/>
      <c r="K993" s="1110" t="n"/>
      <c r="L993" s="68" t="n"/>
      <c r="M993" s="68" t="n"/>
      <c r="N993" s="68" t="n"/>
      <c r="O993" s="68" t="n"/>
      <c r="P993" s="1110" t="n"/>
      <c r="Q993" s="68" t="n"/>
      <c r="R993" s="68" t="n"/>
      <c r="S993" s="68" t="n"/>
      <c r="T993" s="68" t="n"/>
      <c r="U993" s="1110" t="n"/>
      <c r="V993" s="68" t="n"/>
      <c r="W993" s="68" t="n"/>
      <c r="X993" s="68" t="n"/>
      <c r="Y993" s="68" t="n"/>
      <c r="Z993" s="1110" t="n"/>
      <c r="AA993" s="68" t="n"/>
      <c r="AB993" s="68" t="n"/>
      <c r="AC993" s="68" t="n"/>
      <c r="AD993" s="68" t="n"/>
      <c r="AE993" s="1110" t="n"/>
      <c r="AF993" s="68" t="n"/>
      <c r="AG993" s="68" t="n"/>
      <c r="AH993" s="68" t="n"/>
      <c r="AI993" s="68" t="n"/>
      <c r="AJ993" s="1110" t="n"/>
      <c r="AK993" s="68" t="n"/>
      <c r="AL993" s="68" t="n"/>
      <c r="AM993" s="68" t="n"/>
      <c r="AN993" s="68" t="n"/>
      <c r="AO993" s="1110" t="n"/>
      <c r="AP993" s="1053" t="n">
        <v>486</v>
      </c>
      <c r="AQ993" s="1053" t="n">
        <v>483</v>
      </c>
      <c r="AR993" s="1053" t="n">
        <v>469</v>
      </c>
      <c r="AS993" s="68">
        <f>AT993</f>
        <v/>
      </c>
      <c r="AT993" s="1111" t="n">
        <v>561</v>
      </c>
      <c r="AU993" s="1053" t="n">
        <v>519</v>
      </c>
      <c r="AV993" s="1053" t="n">
        <v>611</v>
      </c>
      <c r="AW993" s="1053" t="n">
        <v>604</v>
      </c>
      <c r="AX993" s="68">
        <f>AY993</f>
        <v/>
      </c>
      <c r="AY993" s="1111" t="n">
        <v>634</v>
      </c>
      <c r="AZ993" s="1053" t="n">
        <v>640</v>
      </c>
      <c r="BA993" s="1053" t="n">
        <v>716</v>
      </c>
      <c r="BB993" s="1053" t="n">
        <v>743</v>
      </c>
      <c r="BC993" s="68">
        <f>BD993</f>
        <v/>
      </c>
      <c r="BD993" s="1111" t="n">
        <v>741</v>
      </c>
      <c r="BE993" s="1053" t="n">
        <v>752</v>
      </c>
      <c r="BF993" s="1053" t="n">
        <v>743</v>
      </c>
      <c r="BG993" s="1053" t="n">
        <v>798</v>
      </c>
      <c r="BH993" s="68">
        <f>BI993</f>
        <v/>
      </c>
      <c r="BI993" s="1111" t="n">
        <v>902</v>
      </c>
      <c r="BJ993" s="1053" t="n">
        <v>939</v>
      </c>
      <c r="BK993" s="1053" t="n">
        <v>1041</v>
      </c>
      <c r="BL993" s="1053" t="n">
        <v>1091</v>
      </c>
      <c r="BM993" s="68">
        <f>BN993</f>
        <v/>
      </c>
      <c r="BN993" s="1111" t="n">
        <v>1119</v>
      </c>
      <c r="BO993" s="1053" t="n">
        <v>1281</v>
      </c>
      <c r="BP993" s="1053" t="n">
        <v>1304</v>
      </c>
      <c r="BQ993" s="1053" t="n">
        <v>1490</v>
      </c>
      <c r="BR993" s="68">
        <f>BS993</f>
        <v/>
      </c>
      <c r="BS993" s="1111" t="n">
        <v>1519</v>
      </c>
      <c r="BT993" s="1053" t="n">
        <v>1521</v>
      </c>
      <c r="BU993" s="1053" t="n">
        <v>1831</v>
      </c>
      <c r="BV993" s="1054" t="n">
        <v>2014</v>
      </c>
      <c r="BW993" s="68">
        <f>BV993</f>
        <v/>
      </c>
      <c r="BX993" s="1110">
        <f>BW993</f>
        <v/>
      </c>
      <c r="BY993" s="68">
        <f>BX993</f>
        <v/>
      </c>
      <c r="BZ993" s="68">
        <f>BY993</f>
        <v/>
      </c>
      <c r="CA993" s="68">
        <f>BZ993</f>
        <v/>
      </c>
      <c r="CB993" s="68">
        <f>CA993</f>
        <v/>
      </c>
      <c r="CC993" s="1110">
        <f>CB993</f>
        <v/>
      </c>
      <c r="CD993" s="1110">
        <f>CC993</f>
        <v/>
      </c>
      <c r="CE993" s="1110">
        <f>CD993</f>
        <v/>
      </c>
      <c r="CF993" s="1110">
        <f>CE993</f>
        <v/>
      </c>
      <c r="CG993" s="155" t="n"/>
    </row>
    <row r="994">
      <c r="A994" s="67" t="inlineStr">
        <is>
          <t>Other long-term liabilities</t>
        </is>
      </c>
      <c r="B994" s="146" t="n"/>
      <c r="C994" s="1111" t="n">
        <v>151.85</v>
      </c>
      <c r="D994" s="1111" t="n">
        <v>111.95</v>
      </c>
      <c r="E994" s="1111" t="n">
        <v>347.713</v>
      </c>
      <c r="F994" s="1111" t="n">
        <v>455.807</v>
      </c>
      <c r="G994" s="1053" t="n">
        <v>452.505</v>
      </c>
      <c r="H994" s="1053" t="n">
        <v>396.019</v>
      </c>
      <c r="I994" s="1053" t="n">
        <v>341.312</v>
      </c>
      <c r="J994" s="27">
        <f>K994</f>
        <v/>
      </c>
      <c r="K994" s="1111" t="n">
        <v>589.321</v>
      </c>
      <c r="L994" s="1053" t="n">
        <v>510.681</v>
      </c>
      <c r="M994" s="1053" t="n">
        <v>443.943</v>
      </c>
      <c r="N994" s="1053" t="n">
        <v>387.784</v>
      </c>
      <c r="O994" s="27">
        <f>P994</f>
        <v/>
      </c>
      <c r="P994" s="1111" t="n">
        <v>475.125</v>
      </c>
      <c r="Q994" s="1053" t="n">
        <v>419.774</v>
      </c>
      <c r="R994" s="1053" t="n">
        <v>374.113</v>
      </c>
      <c r="S994" s="1053" t="n">
        <v>355.133</v>
      </c>
      <c r="T994" s="27">
        <f>U994</f>
        <v/>
      </c>
      <c r="U994" s="1111" t="n">
        <v>489</v>
      </c>
      <c r="V994" s="1053" t="n">
        <v>448</v>
      </c>
      <c r="W994" s="1053" t="n">
        <v>447</v>
      </c>
      <c r="X994" s="1053" t="n">
        <v>437</v>
      </c>
      <c r="Y994" s="27">
        <f>Z994</f>
        <v/>
      </c>
      <c r="Z994" s="1111" t="n">
        <v>453</v>
      </c>
      <c r="AA994" s="1053" t="n">
        <v>447</v>
      </c>
      <c r="AB994" s="1053" t="n">
        <v>494</v>
      </c>
      <c r="AC994" s="1053" t="n">
        <v>213</v>
      </c>
      <c r="AD994" s="1053" t="n">
        <v>271</v>
      </c>
      <c r="AE994" s="1110">
        <f>AD994</f>
        <v/>
      </c>
      <c r="AF994" s="1053" t="n">
        <v>300</v>
      </c>
      <c r="AG994" s="1053" t="n">
        <v>408</v>
      </c>
      <c r="AH994" s="1053" t="n">
        <v>464</v>
      </c>
      <c r="AI994" s="68">
        <f>AJ994</f>
        <v/>
      </c>
      <c r="AJ994" s="1111" t="n">
        <v>632</v>
      </c>
      <c r="AK994" s="1053" t="n">
        <v>651</v>
      </c>
      <c r="AL994" s="1053" t="n">
        <v>638</v>
      </c>
      <c r="AM994" s="1053" t="n">
        <v>587</v>
      </c>
      <c r="AN994" s="68">
        <f>AO994</f>
        <v/>
      </c>
      <c r="AO994" s="1111" t="n">
        <v>633</v>
      </c>
      <c r="AP994" s="1053" t="n">
        <v>660</v>
      </c>
      <c r="AQ994" s="1053" t="n">
        <v>650</v>
      </c>
      <c r="AR994" s="1053" t="n">
        <v>662</v>
      </c>
      <c r="AS994" s="68">
        <f>AT994</f>
        <v/>
      </c>
      <c r="AT994" s="1111" t="n">
        <v>775</v>
      </c>
      <c r="AU994" s="1053" t="n">
        <v>774</v>
      </c>
      <c r="AV994" s="1053" t="n">
        <v>1285</v>
      </c>
      <c r="AW994" s="1053" t="n">
        <v>1311</v>
      </c>
      <c r="AX994" s="68">
        <f>AY994</f>
        <v/>
      </c>
      <c r="AY994" s="1111" t="n">
        <v>1375</v>
      </c>
      <c r="AZ994" s="1053" t="n">
        <v>1414</v>
      </c>
      <c r="BA994" s="1053" t="n">
        <v>1396</v>
      </c>
      <c r="BB994" s="1053" t="n">
        <v>1535</v>
      </c>
      <c r="BC994" s="68">
        <f>BD994</f>
        <v/>
      </c>
      <c r="BD994" s="1111" t="n">
        <v>1553</v>
      </c>
      <c r="BE994" s="1053" t="n">
        <v>1631</v>
      </c>
      <c r="BF994" s="1053" t="n">
        <v>1609</v>
      </c>
      <c r="BG994" s="1053" t="n">
        <v>1785</v>
      </c>
      <c r="BH994" s="68">
        <f>BI994</f>
        <v/>
      </c>
      <c r="BI994" s="1111" t="n">
        <v>1913</v>
      </c>
      <c r="BJ994" s="1053" t="n">
        <v>2037</v>
      </c>
      <c r="BK994" s="1053" t="n">
        <v>2223</v>
      </c>
      <c r="BL994" s="1053" t="n">
        <v>2234</v>
      </c>
      <c r="BM994" s="68">
        <f>BN994</f>
        <v/>
      </c>
      <c r="BN994" s="1111" t="n">
        <v>2541</v>
      </c>
      <c r="BO994" s="1053" t="n">
        <v>2966</v>
      </c>
      <c r="BP994" s="1053" t="n">
        <v>3336</v>
      </c>
      <c r="BQ994" s="1053" t="n">
        <v>3683</v>
      </c>
      <c r="BR994" s="68">
        <f>BS994</f>
        <v/>
      </c>
      <c r="BS994" s="1111" t="n">
        <v>4245</v>
      </c>
      <c r="BT994" s="1053" t="n">
        <v>4884</v>
      </c>
      <c r="BU994" s="1053" t="n">
        <v>6055</v>
      </c>
      <c r="BV994" s="1054" t="n">
        <v>6694</v>
      </c>
      <c r="BW994" s="68">
        <f>BV994</f>
        <v/>
      </c>
      <c r="BX994" s="1110">
        <f>BW994</f>
        <v/>
      </c>
      <c r="BY994" s="68">
        <f>BX994</f>
        <v/>
      </c>
      <c r="BZ994" s="68">
        <f>BY994</f>
        <v/>
      </c>
      <c r="CA994" s="68">
        <f>BZ994</f>
        <v/>
      </c>
      <c r="CB994" s="68">
        <f>CA994</f>
        <v/>
      </c>
      <c r="CC994" s="1110">
        <f>CB994</f>
        <v/>
      </c>
      <c r="CD994" s="1110">
        <f>CC994</f>
        <v/>
      </c>
      <c r="CE994" s="1110">
        <f>CD994</f>
        <v/>
      </c>
      <c r="CF994" s="1110">
        <f>CE994</f>
        <v/>
      </c>
      <c r="CG994" s="155" t="n"/>
    </row>
    <row r="995">
      <c r="A995" s="67" t="inlineStr">
        <is>
          <t>Capital lease obligations, long term</t>
        </is>
      </c>
      <c r="B995" s="146" t="n"/>
      <c r="C995" s="1111" t="n">
        <v>25.634</v>
      </c>
      <c r="D995" s="1111" t="n">
        <v>24.45</v>
      </c>
      <c r="E995" s="1111" t="n">
        <v>23.389</v>
      </c>
      <c r="F995" s="1111" t="n">
        <v>21.439</v>
      </c>
      <c r="G995" s="1053" t="n">
        <v>20.83</v>
      </c>
      <c r="H995" s="1053" t="n">
        <v>20.237</v>
      </c>
      <c r="I995" s="1053" t="n">
        <v>19.627</v>
      </c>
      <c r="J995" s="27">
        <f>K995</f>
        <v/>
      </c>
      <c r="K995" s="1111" t="n">
        <v>18.998</v>
      </c>
      <c r="L995" s="1053" t="n">
        <v>18.333</v>
      </c>
      <c r="M995" s="1053" t="n">
        <v>17.685</v>
      </c>
      <c r="N995" s="1053" t="n">
        <v>17.015</v>
      </c>
      <c r="O995" s="27">
        <f>P995</f>
        <v/>
      </c>
      <c r="P995" s="1111" t="n">
        <v>17.5</v>
      </c>
      <c r="Q995" s="1053" t="n">
        <v>16.683</v>
      </c>
      <c r="R995" s="1053" t="n">
        <v>15.842</v>
      </c>
      <c r="S995" s="1053" t="n">
        <v>14.977</v>
      </c>
      <c r="T995" s="27">
        <f>U995</f>
        <v/>
      </c>
      <c r="U995" s="1111" t="n">
        <v>14</v>
      </c>
      <c r="V995" s="1053" t="n">
        <v>13</v>
      </c>
      <c r="W995" s="1053" t="n">
        <v>12</v>
      </c>
      <c r="X995" s="1053" t="n">
        <v>11</v>
      </c>
      <c r="Y995" s="27">
        <f>Z995</f>
        <v/>
      </c>
      <c r="Z995" s="1111" t="n">
        <v>10</v>
      </c>
      <c r="AA995" s="1053" t="n">
        <v>9</v>
      </c>
      <c r="AB995" s="1053" t="n">
        <v>8</v>
      </c>
      <c r="AC995" s="1053" t="n">
        <v>7</v>
      </c>
      <c r="AD995" s="1053" t="n">
        <v>6</v>
      </c>
      <c r="AE995" s="1110">
        <f>AD995</f>
        <v/>
      </c>
      <c r="AF995" s="1053" t="n">
        <v>4</v>
      </c>
      <c r="AG995" s="1053" t="n">
        <v>3</v>
      </c>
      <c r="AH995" s="1053" t="n">
        <v>1</v>
      </c>
      <c r="AI995" s="68">
        <f>AJ995</f>
        <v/>
      </c>
      <c r="AJ995" s="1110" t="n"/>
      <c r="AK995" s="68" t="n"/>
      <c r="AL995" s="68" t="n"/>
      <c r="AM995" s="68" t="n"/>
      <c r="AN995" s="68">
        <f>AO995</f>
        <v/>
      </c>
      <c r="AO995" s="1110" t="n"/>
      <c r="AP995" s="68" t="n"/>
      <c r="AQ995" s="68" t="n"/>
      <c r="AR995" s="68" t="n"/>
      <c r="AS995" s="68">
        <f>AT995</f>
        <v/>
      </c>
      <c r="AT995" s="1110" t="n"/>
      <c r="AU995" s="68" t="n"/>
      <c r="AV995" s="68" t="n"/>
      <c r="AW995" s="68" t="n"/>
      <c r="AX995" s="68">
        <f>AY995</f>
        <v/>
      </c>
      <c r="AY995" s="1110" t="n"/>
      <c r="AZ995" s="68" t="n"/>
      <c r="BA995" s="68" t="n"/>
      <c r="BB995" s="68" t="n"/>
      <c r="BC995" s="68">
        <f>BD995</f>
        <v/>
      </c>
      <c r="BD995" s="1110" t="n"/>
      <c r="BE995" s="68" t="n"/>
      <c r="BF995" s="68" t="n"/>
      <c r="BG995" s="68" t="n"/>
      <c r="BH995" s="68">
        <f>BI995</f>
        <v/>
      </c>
      <c r="BI995" s="1110" t="n"/>
      <c r="BJ995" s="68" t="n"/>
      <c r="BK995" s="68" t="n"/>
      <c r="BL995" s="68" t="n"/>
      <c r="BM995" s="68">
        <f>BN995</f>
        <v/>
      </c>
      <c r="BN995" s="1110" t="n"/>
      <c r="BO995" s="68" t="n"/>
      <c r="BP995" s="68" t="n"/>
      <c r="BQ995" s="68" t="n"/>
      <c r="BR995" s="68">
        <f>BS995</f>
        <v/>
      </c>
      <c r="BS995" s="1110" t="n"/>
      <c r="BT995" s="68" t="n"/>
      <c r="BU995" s="68" t="n"/>
      <c r="BV995" s="588" t="n"/>
      <c r="BW995" s="68" t="n"/>
      <c r="BX995" s="1110" t="n"/>
      <c r="BY995" s="68" t="n"/>
      <c r="BZ995" s="68" t="n"/>
      <c r="CA995" s="68" t="n"/>
      <c r="CB995" s="68" t="n"/>
      <c r="CC995" s="1110" t="n"/>
      <c r="CD995" s="1110" t="n"/>
      <c r="CE995" s="1110" t="n"/>
      <c r="CF995" s="1110" t="n"/>
      <c r="CG995" s="155" t="n"/>
    </row>
    <row r="996">
      <c r="A996" s="67" t="inlineStr">
        <is>
          <t>Convertible debt conversion obligation</t>
        </is>
      </c>
      <c r="B996" s="146" t="n"/>
      <c r="C996" s="1110" t="n"/>
      <c r="D996" s="1110" t="n"/>
      <c r="E996" s="1110" t="n"/>
      <c r="F996" s="1110" t="n"/>
      <c r="G996" s="68" t="n"/>
      <c r="H996" s="68" t="n"/>
      <c r="I996" s="68" t="n"/>
      <c r="J996" s="68" t="n"/>
      <c r="K996" s="1110" t="n"/>
      <c r="L996" s="68" t="n"/>
      <c r="M996" s="68" t="n"/>
      <c r="N996" s="68" t="n"/>
      <c r="O996" s="68" t="n"/>
      <c r="P996" s="1110" t="n"/>
      <c r="Q996" s="68" t="n"/>
      <c r="R996" s="68" t="n"/>
      <c r="S996" s="68" t="n"/>
      <c r="T996" s="68" t="n"/>
      <c r="U996" s="1111" t="n">
        <v>0</v>
      </c>
      <c r="V996" s="68" t="n"/>
      <c r="W996" s="68" t="n"/>
      <c r="X996" s="68" t="n"/>
      <c r="Y996" s="1053" t="n">
        <v>87</v>
      </c>
      <c r="Z996" s="1111" t="n">
        <v>87</v>
      </c>
      <c r="AA996" s="1053" t="n">
        <v>79</v>
      </c>
      <c r="AB996" s="1053" t="n">
        <v>72</v>
      </c>
      <c r="AC996" s="1053" t="n">
        <v>45</v>
      </c>
      <c r="AD996" s="1053" t="n">
        <v>31</v>
      </c>
      <c r="AE996" s="1111" t="n">
        <v>31</v>
      </c>
      <c r="AF996" s="1053" t="n">
        <v>7</v>
      </c>
      <c r="AG996" s="1053" t="n">
        <v>2</v>
      </c>
      <c r="AH996" s="1053" t="n">
        <v>1</v>
      </c>
      <c r="AI996" s="68">
        <f>AJ996</f>
        <v/>
      </c>
      <c r="AJ996" s="1110" t="n"/>
      <c r="AK996" s="68" t="n"/>
      <c r="AL996" s="68" t="n"/>
      <c r="AM996" s="68" t="n"/>
      <c r="AN996" s="68">
        <f>AO996</f>
        <v/>
      </c>
      <c r="AO996" s="1110" t="n"/>
      <c r="AP996" s="68" t="n"/>
      <c r="AQ996" s="68" t="n"/>
      <c r="AR996" s="68" t="n"/>
      <c r="AS996" s="68">
        <f>AT996</f>
        <v/>
      </c>
      <c r="AT996" s="1110" t="n"/>
      <c r="AU996" s="68" t="n"/>
      <c r="AV996" s="68" t="n"/>
      <c r="AW996" s="68" t="n"/>
      <c r="AX996" s="68">
        <f>AY996</f>
        <v/>
      </c>
      <c r="AY996" s="1110" t="n"/>
      <c r="AZ996" s="68" t="n"/>
      <c r="BA996" s="68" t="n"/>
      <c r="BB996" s="68" t="n"/>
      <c r="BC996" s="68">
        <f>BD996</f>
        <v/>
      </c>
      <c r="BD996" s="1110" t="n"/>
      <c r="BE996" s="68" t="n"/>
      <c r="BF996" s="68" t="n"/>
      <c r="BG996" s="68" t="n"/>
      <c r="BH996" s="68">
        <f>BI996</f>
        <v/>
      </c>
      <c r="BI996" s="1110" t="n"/>
      <c r="BJ996" s="68" t="n"/>
      <c r="BK996" s="68" t="n"/>
      <c r="BL996" s="68" t="n"/>
      <c r="BM996" s="68">
        <f>BN996</f>
        <v/>
      </c>
      <c r="BN996" s="1110" t="n"/>
      <c r="BO996" s="68" t="n"/>
      <c r="BP996" s="68" t="n"/>
      <c r="BQ996" s="68" t="n"/>
      <c r="BR996" s="68">
        <f>BS996</f>
        <v/>
      </c>
      <c r="BS996" s="1110" t="n"/>
      <c r="BT996" s="68" t="n"/>
      <c r="BU996" s="68" t="n"/>
      <c r="BV996" s="588" t="n"/>
      <c r="BW996" s="68" t="n"/>
      <c r="BX996" s="1110" t="n"/>
      <c r="BY996" s="68" t="n"/>
      <c r="BZ996" s="68" t="n"/>
      <c r="CA996" s="68" t="n"/>
      <c r="CB996" s="68" t="n"/>
      <c r="CC996" s="1110" t="n"/>
      <c r="CD996" s="1110" t="n"/>
      <c r="CE996" s="1110" t="n"/>
      <c r="CF996" s="1110" t="n"/>
      <c r="CG996" s="155" t="n"/>
    </row>
    <row r="997">
      <c r="A997" s="59" t="inlineStr">
        <is>
          <t>Total Non-Current liabilities</t>
        </is>
      </c>
      <c r="B997" s="607" t="n"/>
      <c r="C997" s="1123">
        <f>SUM(C992:C996)</f>
        <v/>
      </c>
      <c r="D997" s="1123">
        <f>SUM(D992:D996)</f>
        <v/>
      </c>
      <c r="E997" s="1123">
        <f>SUM(E992:E996)</f>
        <v/>
      </c>
      <c r="F997" s="1123">
        <f>SUM(F992:F996)</f>
        <v/>
      </c>
      <c r="G997" s="60">
        <f>SUM(G992:G996)</f>
        <v/>
      </c>
      <c r="H997" s="60">
        <f>SUM(H992:H996)</f>
        <v/>
      </c>
      <c r="I997" s="60">
        <f>SUM(I992:I996)</f>
        <v/>
      </c>
      <c r="J997" s="60">
        <f>SUM(J992:J996)</f>
        <v/>
      </c>
      <c r="K997" s="1123">
        <f>SUM(K992:K996)</f>
        <v/>
      </c>
      <c r="L997" s="60">
        <f>SUM(L992:L996)</f>
        <v/>
      </c>
      <c r="M997" s="60">
        <f>SUM(M992:M996)</f>
        <v/>
      </c>
      <c r="N997" s="60">
        <f>SUM(N992:N996)</f>
        <v/>
      </c>
      <c r="O997" s="60">
        <f>SUM(O992:O996)</f>
        <v/>
      </c>
      <c r="P997" s="1123">
        <f>SUM(P992:P996)</f>
        <v/>
      </c>
      <c r="Q997" s="60">
        <f>SUM(Q992:Q996)</f>
        <v/>
      </c>
      <c r="R997" s="60">
        <f>SUM(R992:R996)</f>
        <v/>
      </c>
      <c r="S997" s="60">
        <f>SUM(S992:S996)</f>
        <v/>
      </c>
      <c r="T997" s="60">
        <f>SUM(T992:T996)</f>
        <v/>
      </c>
      <c r="U997" s="1123">
        <f>SUM(U992:U996)</f>
        <v/>
      </c>
      <c r="V997" s="60">
        <f>SUM(V992:V996)</f>
        <v/>
      </c>
      <c r="W997" s="60">
        <f>SUM(W992:W996)</f>
        <v/>
      </c>
      <c r="X997" s="60">
        <f>SUM(X992:X996)</f>
        <v/>
      </c>
      <c r="Y997" s="60">
        <f>SUM(Y992:Y996)</f>
        <v/>
      </c>
      <c r="Z997" s="1123">
        <f>SUM(Z992:Z996)</f>
        <v/>
      </c>
      <c r="AA997" s="60">
        <f>SUM(AA992:AA996)</f>
        <v/>
      </c>
      <c r="AB997" s="60">
        <f>SUM(AB992:AB996)</f>
        <v/>
      </c>
      <c r="AC997" s="61">
        <f>SUM(AC992:AC996)</f>
        <v/>
      </c>
      <c r="AD997" s="61">
        <f>SUM(AD992:AD996)</f>
        <v/>
      </c>
      <c r="AE997" s="1122">
        <f>SUM(AE992:AE996)</f>
        <v/>
      </c>
      <c r="AF997" s="61">
        <f>SUM(AF992:AF996)</f>
        <v/>
      </c>
      <c r="AG997" s="60">
        <f>SUM(AG992:AG996)</f>
        <v/>
      </c>
      <c r="AH997" s="60">
        <f>SUM(AH992:AH996)</f>
        <v/>
      </c>
      <c r="AI997" s="61">
        <f>SUM(AI992:AI996)</f>
        <v/>
      </c>
      <c r="AJ997" s="1122">
        <f>SUM(AJ992:AJ996)</f>
        <v/>
      </c>
      <c r="AK997" s="60">
        <f>SUM(AK992:AK996)</f>
        <v/>
      </c>
      <c r="AL997" s="60">
        <f>SUM(AL992:AL996)</f>
        <v/>
      </c>
      <c r="AM997" s="60">
        <f>SUM(AM992:AM996)</f>
        <v/>
      </c>
      <c r="AN997" s="61">
        <f>SUM(AN992:AN996)</f>
        <v/>
      </c>
      <c r="AO997" s="1122">
        <f>SUM(AO992:AO996)</f>
        <v/>
      </c>
      <c r="AP997" s="60">
        <f>SUM(AP992:AP996)</f>
        <v/>
      </c>
      <c r="AQ997" s="60">
        <f>SUM(AQ992:AQ996)</f>
        <v/>
      </c>
      <c r="AR997" s="60">
        <f>SUM(AR992:AR996)</f>
        <v/>
      </c>
      <c r="AS997" s="61">
        <f>SUM(AS992:AS996)</f>
        <v/>
      </c>
      <c r="AT997" s="1122">
        <f>SUM(AT992:AT996)</f>
        <v/>
      </c>
      <c r="AU997" s="60">
        <f>SUM(AU992:AU996)</f>
        <v/>
      </c>
      <c r="AV997" s="60">
        <f>SUM(AV992:AV996)</f>
        <v/>
      </c>
      <c r="AW997" s="60">
        <f>SUM(AW992:AW996)</f>
        <v/>
      </c>
      <c r="AX997" s="61">
        <f>SUM(AX992:AX996)</f>
        <v/>
      </c>
      <c r="AY997" s="1122">
        <f>SUM(AY992:AY996)</f>
        <v/>
      </c>
      <c r="AZ997" s="60">
        <f>SUM(AZ992:AZ996)</f>
        <v/>
      </c>
      <c r="BA997" s="60">
        <f>SUM(BA992:BA996)</f>
        <v/>
      </c>
      <c r="BB997" s="60">
        <f>SUM(BB992:BB996)</f>
        <v/>
      </c>
      <c r="BC997" s="61">
        <f>SUM(BC992:BC996)</f>
        <v/>
      </c>
      <c r="BD997" s="1122">
        <f>SUM(BD992:BD996)</f>
        <v/>
      </c>
      <c r="BE997" s="60">
        <f>SUM(BE992:BE996)</f>
        <v/>
      </c>
      <c r="BF997" s="61">
        <f>SUM(BF992:BF996)</f>
        <v/>
      </c>
      <c r="BG997" s="60">
        <f>SUM(BG992:BG996)</f>
        <v/>
      </c>
      <c r="BH997" s="61">
        <f>SUM(BH992:BH996)</f>
        <v/>
      </c>
      <c r="BI997" s="1122">
        <f>SUM(BI992:BI996)</f>
        <v/>
      </c>
      <c r="BJ997" s="60">
        <f>SUM(BJ992:BJ996)</f>
        <v/>
      </c>
      <c r="BK997" s="61">
        <f>SUM(BK992:BK996)</f>
        <v/>
      </c>
      <c r="BL997" s="60">
        <f>SUM(BL992:BL996)</f>
        <v/>
      </c>
      <c r="BM997" s="61">
        <f>SUM(BM992:BM996)</f>
        <v/>
      </c>
      <c r="BN997" s="1122">
        <f>SUM(BN992:BN996)</f>
        <v/>
      </c>
      <c r="BO997" s="60">
        <f>SUM(BO992:BO996)</f>
        <v/>
      </c>
      <c r="BP997" s="61">
        <f>SUM(BP992:BP996)</f>
        <v/>
      </c>
      <c r="BQ997" s="60">
        <f>SUM(BQ992:BQ996)</f>
        <v/>
      </c>
      <c r="BR997" s="61">
        <f>SUM(BR992:BR996)</f>
        <v/>
      </c>
      <c r="BS997" s="1122">
        <f>SUM(BS992:BS996)</f>
        <v/>
      </c>
      <c r="BT997" s="60">
        <f>SUM(BT992:BT996)</f>
        <v/>
      </c>
      <c r="BU997" s="61">
        <f>SUM(BU992:BU996)</f>
        <v/>
      </c>
      <c r="BV997" s="883">
        <f>SUM(BV992:BV996)</f>
        <v/>
      </c>
      <c r="BW997" s="61">
        <f>SUM(BW992:BW996)</f>
        <v/>
      </c>
      <c r="BX997" s="1122">
        <f>SUM(BX992:BX996)</f>
        <v/>
      </c>
      <c r="BY997" s="61">
        <f>SUM(BY992:BY996)</f>
        <v/>
      </c>
      <c r="BZ997" s="61">
        <f>SUM(BZ992:BZ996)</f>
        <v/>
      </c>
      <c r="CA997" s="61">
        <f>SUM(CA992:CA996)</f>
        <v/>
      </c>
      <c r="CB997" s="61">
        <f>SUM(CB992:CB996)</f>
        <v/>
      </c>
      <c r="CC997" s="1122">
        <f>SUM(CC992:CC996)</f>
        <v/>
      </c>
      <c r="CD997" s="1122">
        <f>SUM(CD992:CD996)</f>
        <v/>
      </c>
      <c r="CE997" s="1122">
        <f>SUM(CE992:CE996)</f>
        <v/>
      </c>
      <c r="CF997" s="1122">
        <f>SUM(CF992:CF996)</f>
        <v/>
      </c>
      <c r="CG997" s="155" t="n"/>
    </row>
    <row r="998">
      <c r="A998" s="62" t="inlineStr">
        <is>
          <t>Total Liabilities</t>
        </is>
      </c>
      <c r="B998" s="279" t="n"/>
      <c r="C998" s="1132">
        <f>C989+C997</f>
        <v/>
      </c>
      <c r="D998" s="1132">
        <f>D989+D997</f>
        <v/>
      </c>
      <c r="E998" s="1132">
        <f>E989+E997</f>
        <v/>
      </c>
      <c r="F998" s="1132">
        <f>F989+F997</f>
        <v/>
      </c>
      <c r="G998" s="28">
        <f>G989+G997</f>
        <v/>
      </c>
      <c r="H998" s="28">
        <f>H989+H997</f>
        <v/>
      </c>
      <c r="I998" s="28">
        <f>I989+I997</f>
        <v/>
      </c>
      <c r="J998" s="28">
        <f>J989+J997</f>
        <v/>
      </c>
      <c r="K998" s="1132">
        <f>K989+K997</f>
        <v/>
      </c>
      <c r="L998" s="28">
        <f>L989+L997</f>
        <v/>
      </c>
      <c r="M998" s="28">
        <f>M989+M997</f>
        <v/>
      </c>
      <c r="N998" s="28">
        <f>N989+N997</f>
        <v/>
      </c>
      <c r="O998" s="28">
        <f>O989+O997</f>
        <v/>
      </c>
      <c r="P998" s="1132">
        <f>P989+P997</f>
        <v/>
      </c>
      <c r="Q998" s="28">
        <f>Q989+Q997</f>
        <v/>
      </c>
      <c r="R998" s="28">
        <f>R989+R997</f>
        <v/>
      </c>
      <c r="S998" s="28">
        <f>S989+S997</f>
        <v/>
      </c>
      <c r="T998" s="28">
        <f>T989+T997</f>
        <v/>
      </c>
      <c r="U998" s="1132">
        <f>U989+U997</f>
        <v/>
      </c>
      <c r="V998" s="28">
        <f>V989+V997</f>
        <v/>
      </c>
      <c r="W998" s="28">
        <f>W989+W997</f>
        <v/>
      </c>
      <c r="X998" s="28">
        <f>X989+X997</f>
        <v/>
      </c>
      <c r="Y998" s="28">
        <f>Y989+Y997</f>
        <v/>
      </c>
      <c r="Z998" s="1132">
        <f>Z989+Z997</f>
        <v/>
      </c>
      <c r="AA998" s="28">
        <f>AA989+AA997</f>
        <v/>
      </c>
      <c r="AB998" s="28">
        <f>AB989+AB997</f>
        <v/>
      </c>
      <c r="AC998" s="63">
        <f>AC989+AC997</f>
        <v/>
      </c>
      <c r="AD998" s="63">
        <f>AD989+AD997</f>
        <v/>
      </c>
      <c r="AE998" s="1125">
        <f>AE989+AE997</f>
        <v/>
      </c>
      <c r="AF998" s="63">
        <f>AF989+AF997</f>
        <v/>
      </c>
      <c r="AG998" s="28">
        <f>AG989+AG997</f>
        <v/>
      </c>
      <c r="AH998" s="28">
        <f>AH989+AH997</f>
        <v/>
      </c>
      <c r="AI998" s="63">
        <f>AI989+AI997</f>
        <v/>
      </c>
      <c r="AJ998" s="1125">
        <f>AJ989+AJ997</f>
        <v/>
      </c>
      <c r="AK998" s="28">
        <f>AK989+AK997</f>
        <v/>
      </c>
      <c r="AL998" s="28">
        <f>AL989+AL997</f>
        <v/>
      </c>
      <c r="AM998" s="28">
        <f>AM989+AM997</f>
        <v/>
      </c>
      <c r="AN998" s="63">
        <f>AN989+AN997</f>
        <v/>
      </c>
      <c r="AO998" s="1125">
        <f>AO989+AO997</f>
        <v/>
      </c>
      <c r="AP998" s="28">
        <f>AP989+AP997</f>
        <v/>
      </c>
      <c r="AQ998" s="28">
        <f>AQ989+AQ997</f>
        <v/>
      </c>
      <c r="AR998" s="28">
        <f>AR989+AR997</f>
        <v/>
      </c>
      <c r="AS998" s="63">
        <f>AS989+AS997</f>
        <v/>
      </c>
      <c r="AT998" s="1125">
        <f>AT989+AT997</f>
        <v/>
      </c>
      <c r="AU998" s="28">
        <f>AU989+AU997</f>
        <v/>
      </c>
      <c r="AV998" s="28">
        <f>AV989+AV997</f>
        <v/>
      </c>
      <c r="AW998" s="28">
        <f>AW989+AW997</f>
        <v/>
      </c>
      <c r="AX998" s="63">
        <f>AX989+AX997</f>
        <v/>
      </c>
      <c r="AY998" s="1125">
        <f>AY989+AY997</f>
        <v/>
      </c>
      <c r="AZ998" s="28">
        <f>AZ989+AZ997</f>
        <v/>
      </c>
      <c r="BA998" s="28">
        <f>BA989+BA997</f>
        <v/>
      </c>
      <c r="BB998" s="28">
        <f>BB989+BB997</f>
        <v/>
      </c>
      <c r="BC998" s="63">
        <f>BC989+BC997</f>
        <v/>
      </c>
      <c r="BD998" s="1125">
        <f>BD989+BD997</f>
        <v/>
      </c>
      <c r="BE998" s="28">
        <f>BE989+BE997</f>
        <v/>
      </c>
      <c r="BF998" s="63">
        <f>BF989+BF997</f>
        <v/>
      </c>
      <c r="BG998" s="28">
        <f>BG989+BG997</f>
        <v/>
      </c>
      <c r="BH998" s="63">
        <f>BH989+BH997</f>
        <v/>
      </c>
      <c r="BI998" s="1125">
        <f>BI989+BI997</f>
        <v/>
      </c>
      <c r="BJ998" s="28">
        <f>BJ989+BJ997</f>
        <v/>
      </c>
      <c r="BK998" s="63">
        <f>BK989+BK997</f>
        <v/>
      </c>
      <c r="BL998" s="28">
        <f>BL989+BL997</f>
        <v/>
      </c>
      <c r="BM998" s="63">
        <f>BM989+BM997</f>
        <v/>
      </c>
      <c r="BN998" s="1125">
        <f>BN989+BN997</f>
        <v/>
      </c>
      <c r="BO998" s="28">
        <f>BO989+BO997</f>
        <v/>
      </c>
      <c r="BP998" s="63">
        <f>BP989+BP997</f>
        <v/>
      </c>
      <c r="BQ998" s="28">
        <f>BQ989+BQ997</f>
        <v/>
      </c>
      <c r="BR998" s="63">
        <f>BR989+BR997</f>
        <v/>
      </c>
      <c r="BS998" s="1125">
        <f>BS989+BS997</f>
        <v/>
      </c>
      <c r="BT998" s="28">
        <f>BT989+BT997</f>
        <v/>
      </c>
      <c r="BU998" s="63">
        <f>BU989+BU997</f>
        <v/>
      </c>
      <c r="BV998" s="505">
        <f>BV989+BV997</f>
        <v/>
      </c>
      <c r="BW998" s="63">
        <f>BW989+BW997</f>
        <v/>
      </c>
      <c r="BX998" s="1125">
        <f>BX989+BX997</f>
        <v/>
      </c>
      <c r="BY998" s="63">
        <f>BY989+BY997</f>
        <v/>
      </c>
      <c r="BZ998" s="63">
        <f>BZ989+BZ997</f>
        <v/>
      </c>
      <c r="CA998" s="63">
        <f>CA989+CA997</f>
        <v/>
      </c>
      <c r="CB998" s="63">
        <f>CB989+CB997</f>
        <v/>
      </c>
      <c r="CC998" s="1125">
        <f>CC989+CC997</f>
        <v/>
      </c>
      <c r="CD998" s="1125">
        <f>CD989+CD997</f>
        <v/>
      </c>
      <c r="CE998" s="1125">
        <f>CE989+CE997</f>
        <v/>
      </c>
      <c r="CF998" s="1125">
        <f>CF989+CF997</f>
        <v/>
      </c>
      <c r="CG998" s="155" t="n"/>
    </row>
    <row r="999">
      <c r="A999" s="600" t="n"/>
      <c r="B999" s="279" t="n"/>
      <c r="C999" s="1125" t="n"/>
      <c r="D999" s="1125" t="n"/>
      <c r="E999" s="1125" t="n"/>
      <c r="F999" s="1125" t="n"/>
      <c r="G999" s="63" t="n"/>
      <c r="H999" s="63" t="n"/>
      <c r="I999" s="63" t="n"/>
      <c r="J999" s="63" t="n"/>
      <c r="K999" s="1125" t="n"/>
      <c r="L999" s="63" t="n"/>
      <c r="M999" s="63" t="n"/>
      <c r="N999" s="63" t="n"/>
      <c r="O999" s="63" t="n"/>
      <c r="P999" s="1125" t="n"/>
      <c r="Q999" s="63" t="n"/>
      <c r="R999" s="63" t="n"/>
      <c r="S999" s="63" t="n"/>
      <c r="T999" s="63" t="n"/>
      <c r="U999" s="1125" t="n"/>
      <c r="V999" s="63" t="n"/>
      <c r="W999" s="63" t="n"/>
      <c r="X999" s="63" t="n"/>
      <c r="Y999" s="63" t="n"/>
      <c r="Z999" s="1125" t="n"/>
      <c r="AA999" s="63" t="n"/>
      <c r="AB999" s="63" t="n"/>
      <c r="AC999" s="63" t="n"/>
      <c r="AD999" s="63" t="n"/>
      <c r="AE999" s="1125" t="n"/>
      <c r="AF999" s="63" t="n"/>
      <c r="AG999" s="63" t="n"/>
      <c r="AH999" s="63" t="n"/>
      <c r="AI999" s="63" t="n"/>
      <c r="AJ999" s="1125" t="n"/>
      <c r="AK999" s="63" t="n"/>
      <c r="AL999" s="63" t="n"/>
      <c r="AM999" s="63" t="n"/>
      <c r="AN999" s="63" t="n"/>
      <c r="AO999" s="1125" t="n"/>
      <c r="AP999" s="63" t="n"/>
      <c r="AQ999" s="63" t="n"/>
      <c r="AR999" s="63" t="n"/>
      <c r="AS999" s="63" t="n"/>
      <c r="AT999" s="1125" t="n"/>
      <c r="AU999" s="63" t="n"/>
      <c r="AV999" s="63" t="n"/>
      <c r="AW999" s="63" t="n"/>
      <c r="AX999" s="63" t="n"/>
      <c r="AY999" s="1125" t="n"/>
      <c r="AZ999" s="63" t="n"/>
      <c r="BA999" s="63" t="n"/>
      <c r="BB999" s="63" t="n"/>
      <c r="BC999" s="63" t="n"/>
      <c r="BD999" s="1125" t="n"/>
      <c r="BE999" s="63" t="n"/>
      <c r="BF999" s="63" t="n"/>
      <c r="BG999" s="63" t="n"/>
      <c r="BH999" s="63" t="n"/>
      <c r="BI999" s="1125" t="n"/>
      <c r="BJ999" s="63" t="n"/>
      <c r="BK999" s="63" t="n"/>
      <c r="BL999" s="63" t="n"/>
      <c r="BM999" s="63" t="n"/>
      <c r="BN999" s="1125" t="n"/>
      <c r="BO999" s="63" t="n"/>
      <c r="BP999" s="63" t="n"/>
      <c r="BQ999" s="63" t="n"/>
      <c r="BR999" s="63" t="n"/>
      <c r="BS999" s="1125" t="n"/>
      <c r="BT999" s="63" t="n"/>
      <c r="BU999" s="63" t="n"/>
      <c r="BV999" s="587" t="n"/>
      <c r="BW999" s="63" t="n"/>
      <c r="BX999" s="1125" t="n"/>
      <c r="BY999" s="63" t="n"/>
      <c r="BZ999" s="63" t="n"/>
      <c r="CA999" s="63" t="n"/>
      <c r="CB999" s="63" t="n"/>
      <c r="CC999" s="1125" t="n"/>
      <c r="CD999" s="1125" t="n"/>
      <c r="CE999" s="1125" t="n"/>
      <c r="CF999" s="1125" t="n"/>
      <c r="CG999" s="155" t="n"/>
    </row>
    <row r="1000">
      <c r="A1000" s="69" t="inlineStr">
        <is>
          <t>Shareholders' Equity</t>
        </is>
      </c>
      <c r="B1000" s="279" t="n"/>
      <c r="C1000" s="1125" t="n"/>
      <c r="D1000" s="1125" t="n"/>
      <c r="E1000" s="1125" t="n"/>
      <c r="F1000" s="1125" t="n"/>
      <c r="G1000" s="63" t="n"/>
      <c r="H1000" s="63" t="n"/>
      <c r="I1000" s="63" t="n"/>
      <c r="J1000" s="63" t="n"/>
      <c r="K1000" s="1125" t="n"/>
      <c r="L1000" s="63" t="n"/>
      <c r="M1000" s="63" t="n"/>
      <c r="N1000" s="63" t="n"/>
      <c r="O1000" s="63" t="n"/>
      <c r="P1000" s="1125" t="n"/>
      <c r="Q1000" s="63" t="n"/>
      <c r="R1000" s="63" t="n"/>
      <c r="S1000" s="63" t="n"/>
      <c r="T1000" s="63" t="n"/>
      <c r="U1000" s="1125" t="n"/>
      <c r="V1000" s="63" t="n"/>
      <c r="W1000" s="63" t="n"/>
      <c r="X1000" s="63" t="n"/>
      <c r="Y1000" s="63" t="n"/>
      <c r="Z1000" s="1125" t="n"/>
      <c r="AA1000" s="63" t="n"/>
      <c r="AB1000" s="63" t="n"/>
      <c r="AC1000" s="63" t="n"/>
      <c r="AD1000" s="63" t="n"/>
      <c r="AE1000" s="1125" t="n"/>
      <c r="AF1000" s="63" t="n"/>
      <c r="AG1000" s="63" t="n"/>
      <c r="AH1000" s="63" t="n"/>
      <c r="AI1000" s="63" t="n"/>
      <c r="AJ1000" s="1125" t="n"/>
      <c r="AK1000" s="63" t="n"/>
      <c r="AL1000" s="63" t="n"/>
      <c r="AM1000" s="63" t="n"/>
      <c r="AN1000" s="63" t="n"/>
      <c r="AO1000" s="1125" t="n"/>
      <c r="AP1000" s="63" t="n"/>
      <c r="AQ1000" s="63" t="n"/>
      <c r="AR1000" s="63" t="n"/>
      <c r="AS1000" s="63" t="n"/>
      <c r="AT1000" s="1125" t="n"/>
      <c r="AU1000" s="63" t="n"/>
      <c r="AV1000" s="63" t="n"/>
      <c r="AW1000" s="63" t="n"/>
      <c r="AX1000" s="63" t="n"/>
      <c r="AY1000" s="1125" t="n"/>
      <c r="AZ1000" s="63" t="n"/>
      <c r="BA1000" s="63" t="n"/>
      <c r="BB1000" s="63" t="n"/>
      <c r="BC1000" s="63" t="n"/>
      <c r="BD1000" s="1125" t="n"/>
      <c r="BE1000" s="63" t="n"/>
      <c r="BF1000" s="63" t="n"/>
      <c r="BG1000" s="63" t="n"/>
      <c r="BH1000" s="63" t="n"/>
      <c r="BI1000" s="1125" t="n"/>
      <c r="BJ1000" s="63" t="n"/>
      <c r="BK1000" s="63" t="n"/>
      <c r="BL1000" s="63" t="n"/>
      <c r="BM1000" s="63" t="n"/>
      <c r="BN1000" s="1125" t="n"/>
      <c r="BO1000" s="63" t="n"/>
      <c r="BP1000" s="63" t="n"/>
      <c r="BQ1000" s="63" t="n"/>
      <c r="BR1000" s="63" t="n"/>
      <c r="BS1000" s="1125" t="n"/>
      <c r="BT1000" s="63" t="n"/>
      <c r="BU1000" s="63" t="n"/>
      <c r="BV1000" s="587" t="n"/>
      <c r="BW1000" s="63" t="n"/>
      <c r="BX1000" s="1125" t="n"/>
      <c r="BY1000" s="63" t="n"/>
      <c r="BZ1000" s="63" t="n"/>
      <c r="CA1000" s="63" t="n"/>
      <c r="CB1000" s="63" t="n"/>
      <c r="CC1000" s="1125" t="n"/>
      <c r="CD1000" s="1125" t="n"/>
      <c r="CE1000" s="1125" t="n"/>
      <c r="CF1000" s="1125" t="n"/>
      <c r="CG1000" s="155" t="n"/>
    </row>
    <row r="1001">
      <c r="A1001" s="67" t="inlineStr">
        <is>
          <t>Preferred stock</t>
        </is>
      </c>
      <c r="B1001" s="146" t="n"/>
      <c r="C1001" s="1110" t="n"/>
      <c r="D1001" s="1110" t="n"/>
      <c r="E1001" s="1110" t="n"/>
      <c r="F1001" s="1110" t="n"/>
      <c r="G1001" s="68" t="n"/>
      <c r="H1001" s="68" t="n"/>
      <c r="I1001" s="68" t="n"/>
      <c r="J1001" s="68" t="n"/>
      <c r="K1001" s="1110" t="n"/>
      <c r="L1001" s="68" t="n"/>
      <c r="M1001" s="68" t="n"/>
      <c r="N1001" s="68" t="n"/>
      <c r="O1001" s="68" t="n"/>
      <c r="P1001" s="1110" t="n"/>
      <c r="Q1001" s="68" t="n"/>
      <c r="R1001" s="68" t="n"/>
      <c r="S1001" s="68" t="n"/>
      <c r="T1001" s="68" t="n"/>
      <c r="U1001" s="1110" t="n"/>
      <c r="V1001" s="68" t="n"/>
      <c r="W1001" s="68" t="n"/>
      <c r="X1001" s="68" t="n"/>
      <c r="Y1001" s="27">
        <f>Z1001</f>
        <v/>
      </c>
      <c r="Z1001" s="1110" t="n"/>
      <c r="AA1001" s="27">
        <f>Z1001</f>
        <v/>
      </c>
      <c r="AB1001" s="1053" t="n">
        <v>0</v>
      </c>
      <c r="AC1001" s="1053" t="n">
        <v>0</v>
      </c>
      <c r="AD1001" s="1053" t="n">
        <v>0</v>
      </c>
      <c r="AE1001" s="1110">
        <f>AD1001</f>
        <v/>
      </c>
      <c r="AF1001" s="1053" t="n">
        <v>0</v>
      </c>
      <c r="AG1001" s="68" t="n"/>
      <c r="AH1001" s="68" t="n"/>
      <c r="AI1001" s="68">
        <f>AJ1001</f>
        <v/>
      </c>
      <c r="AJ1001" s="1110" t="n"/>
      <c r="AK1001" s="68" t="n"/>
      <c r="AL1001" s="68" t="n"/>
      <c r="AM1001" s="68" t="n"/>
      <c r="AN1001" s="68" t="n"/>
      <c r="AO1001" s="1110" t="n"/>
      <c r="AP1001" s="68" t="n"/>
      <c r="AQ1001" s="68" t="n"/>
      <c r="AR1001" s="68" t="n"/>
      <c r="AS1001" s="68" t="n"/>
      <c r="AT1001" s="1110" t="n"/>
      <c r="AU1001" s="68" t="n"/>
      <c r="AV1001" s="68" t="n"/>
      <c r="AW1001" s="68" t="n"/>
      <c r="AX1001" s="68" t="n"/>
      <c r="AY1001" s="1110" t="n"/>
      <c r="AZ1001" s="68" t="n"/>
      <c r="BA1001" s="68" t="n"/>
      <c r="BB1001" s="68" t="n"/>
      <c r="BC1001" s="68" t="n"/>
      <c r="BD1001" s="1110" t="n"/>
      <c r="BE1001" s="68" t="n"/>
      <c r="BF1001" s="68" t="n"/>
      <c r="BG1001" s="68" t="n"/>
      <c r="BH1001" s="68">
        <f>BI1001</f>
        <v/>
      </c>
      <c r="BI1001" s="1110" t="n"/>
      <c r="BJ1001" s="1053" t="n">
        <v>0</v>
      </c>
      <c r="BK1001" s="68" t="n"/>
      <c r="BL1001" s="68" t="n"/>
      <c r="BM1001" s="68" t="n"/>
      <c r="BN1001" s="1110" t="n"/>
      <c r="BO1001" s="68" t="n"/>
      <c r="BP1001" s="68" t="n"/>
      <c r="BQ1001" s="68" t="n"/>
      <c r="BR1001" s="68" t="n"/>
      <c r="BS1001" s="1110" t="n"/>
      <c r="BT1001" s="68" t="n"/>
      <c r="BU1001" s="68" t="n"/>
      <c r="BV1001" s="588" t="n"/>
      <c r="BW1001" s="68" t="n"/>
      <c r="BX1001" s="1110" t="n"/>
      <c r="BY1001" s="68" t="n"/>
      <c r="BZ1001" s="68" t="n"/>
      <c r="CA1001" s="68" t="n"/>
      <c r="CB1001" s="68" t="n"/>
      <c r="CC1001" s="1110" t="n"/>
      <c r="CD1001" s="1110" t="n"/>
      <c r="CE1001" s="1110" t="n"/>
      <c r="CF1001" s="1110" t="n"/>
      <c r="CG1001" s="155" t="n"/>
    </row>
    <row r="1002">
      <c r="A1002" s="99" t="inlineStr">
        <is>
          <t>Common stock</t>
        </is>
      </c>
      <c r="B1002" s="146" t="n"/>
      <c r="C1002" s="1111" t="n">
        <v>0.629</v>
      </c>
      <c r="D1002" s="1111" t="n">
        <v>0.653</v>
      </c>
      <c r="E1002" s="1111" t="n">
        <v>0.677</v>
      </c>
      <c r="F1002" s="1111" t="n">
        <v>0.7</v>
      </c>
      <c r="G1002" s="1053" t="n">
        <v>0.707</v>
      </c>
      <c r="H1002" s="1053" t="n">
        <v>0.713</v>
      </c>
      <c r="I1002" s="1053" t="n">
        <v>0.719</v>
      </c>
      <c r="J1002" s="68">
        <f>K1002</f>
        <v/>
      </c>
      <c r="K1002" s="1111" t="n">
        <v>0.72</v>
      </c>
      <c r="L1002" s="1053" t="n">
        <v>0.725</v>
      </c>
      <c r="M1002" s="1053" t="n">
        <v>0.726</v>
      </c>
      <c r="N1002" s="1053" t="n">
        <v>0.732</v>
      </c>
      <c r="O1002" s="68">
        <f>P1002</f>
        <v/>
      </c>
      <c r="P1002" s="1111" t="n">
        <v>0.732</v>
      </c>
      <c r="Q1002" s="1053" t="n">
        <v>0.743</v>
      </c>
      <c r="R1002" s="1053" t="n">
        <v>0.744</v>
      </c>
      <c r="S1002" s="1053" t="n">
        <v>0.752</v>
      </c>
      <c r="T1002" s="68">
        <f>U1002</f>
        <v/>
      </c>
      <c r="U1002" s="1111" t="n">
        <v>1</v>
      </c>
      <c r="V1002" s="1053" t="n">
        <v>1</v>
      </c>
      <c r="W1002" s="1053" t="n">
        <v>1</v>
      </c>
      <c r="X1002" s="1053" t="n">
        <v>1</v>
      </c>
      <c r="Y1002" s="68">
        <f>Z1002</f>
        <v/>
      </c>
      <c r="Z1002" s="1111" t="n">
        <v>1</v>
      </c>
      <c r="AA1002" s="1053" t="n">
        <v>1</v>
      </c>
      <c r="AB1002" s="1053" t="n">
        <v>1</v>
      </c>
      <c r="AC1002" s="1053" t="n">
        <v>1</v>
      </c>
      <c r="AD1002" s="1053" t="n">
        <v>1</v>
      </c>
      <c r="AE1002" s="1110">
        <f>AD1002</f>
        <v/>
      </c>
      <c r="AF1002" s="1053" t="n">
        <v>1</v>
      </c>
      <c r="AG1002" s="1053" t="n">
        <v>1</v>
      </c>
      <c r="AH1002" s="1053" t="n">
        <v>1</v>
      </c>
      <c r="AI1002" s="68">
        <f>AJ1002</f>
        <v/>
      </c>
      <c r="AJ1002" s="1111" t="n">
        <v>1</v>
      </c>
      <c r="AK1002" s="1053" t="n">
        <v>1</v>
      </c>
      <c r="AL1002" s="1053" t="n">
        <v>1</v>
      </c>
      <c r="AM1002" s="1053" t="n">
        <v>1</v>
      </c>
      <c r="AN1002" s="68">
        <f>AO1002</f>
        <v/>
      </c>
      <c r="AO1002" s="1111" t="n">
        <v>1</v>
      </c>
      <c r="AP1002" s="1053" t="n">
        <v>1</v>
      </c>
      <c r="AQ1002" s="1053" t="n">
        <v>1</v>
      </c>
      <c r="AR1002" s="1053" t="n">
        <v>1</v>
      </c>
      <c r="AS1002" s="68">
        <f>AT1002</f>
        <v/>
      </c>
      <c r="AT1002" s="1111" t="n">
        <v>1</v>
      </c>
      <c r="AU1002" s="1053" t="n">
        <v>1</v>
      </c>
      <c r="AV1002" s="1053" t="n">
        <v>1</v>
      </c>
      <c r="AW1002" s="1053" t="n">
        <v>1</v>
      </c>
      <c r="AX1002" s="68">
        <f>AY1002</f>
        <v/>
      </c>
      <c r="AY1002" s="1111" t="n">
        <v>1</v>
      </c>
      <c r="AZ1002" s="1053" t="n">
        <v>1</v>
      </c>
      <c r="BA1002" s="1053" t="n">
        <v>3</v>
      </c>
      <c r="BB1002" s="1053" t="n">
        <v>3</v>
      </c>
      <c r="BC1002" s="68">
        <f>BD1002</f>
        <v/>
      </c>
      <c r="BD1002" s="1111" t="n">
        <v>3</v>
      </c>
      <c r="BE1002" s="1053" t="n">
        <v>3</v>
      </c>
      <c r="BF1002" s="1053" t="n">
        <v>2</v>
      </c>
      <c r="BG1002" s="1053" t="n">
        <v>2</v>
      </c>
      <c r="BH1002" s="68">
        <f>BI1002</f>
        <v/>
      </c>
      <c r="BI1002" s="1111" t="n">
        <v>2</v>
      </c>
      <c r="BJ1002" s="1053" t="n">
        <v>2</v>
      </c>
      <c r="BK1002" s="1053" t="n">
        <v>2</v>
      </c>
      <c r="BL1002" s="1053" t="n">
        <v>2</v>
      </c>
      <c r="BM1002" s="68">
        <f>BN1002</f>
        <v/>
      </c>
      <c r="BN1002" s="1111" t="n">
        <v>2</v>
      </c>
      <c r="BO1002" s="1053" t="n">
        <v>2</v>
      </c>
      <c r="BP1002" s="1053" t="n">
        <v>25</v>
      </c>
      <c r="BQ1002" s="1053" t="n">
        <v>25</v>
      </c>
      <c r="BR1002" s="68">
        <f>BS1002</f>
        <v/>
      </c>
      <c r="BS1002" s="1111" t="n">
        <v>24</v>
      </c>
      <c r="BT1002" s="1053" t="n">
        <v>24</v>
      </c>
      <c r="BU1002" s="1053" t="n">
        <v>24</v>
      </c>
      <c r="BV1002" s="1054" t="n">
        <v>24</v>
      </c>
      <c r="BW1002" s="68">
        <f>BV1002</f>
        <v/>
      </c>
      <c r="BX1002" s="1110">
        <f>BW1002</f>
        <v/>
      </c>
      <c r="BY1002" s="68">
        <f>BX1002</f>
        <v/>
      </c>
      <c r="BZ1002" s="68">
        <f>BY1002</f>
        <v/>
      </c>
      <c r="CA1002" s="68">
        <f>BZ1002</f>
        <v/>
      </c>
      <c r="CB1002" s="68">
        <f>CA1002</f>
        <v/>
      </c>
      <c r="CC1002" s="1110">
        <f>CB1002</f>
        <v/>
      </c>
      <c r="CD1002" s="1110">
        <f>CC1002</f>
        <v/>
      </c>
      <c r="CE1002" s="1110">
        <f>CD1002</f>
        <v/>
      </c>
      <c r="CF1002" s="1110">
        <f>CE1002</f>
        <v/>
      </c>
      <c r="CG1002" s="155" t="n"/>
    </row>
    <row r="1003">
      <c r="A1003" s="99" t="inlineStr">
        <is>
          <t>Additional paid-in capital</t>
        </is>
      </c>
      <c r="B1003" s="146" t="n"/>
      <c r="C1003" s="1111" t="n">
        <v>1889.257</v>
      </c>
      <c r="D1003" s="1111" t="n">
        <v>2219.401</v>
      </c>
      <c r="E1003" s="1111" t="n">
        <v>2500.577</v>
      </c>
      <c r="F1003" s="1111" t="n">
        <v>2900.896</v>
      </c>
      <c r="G1003" s="1053" t="n">
        <v>2994.507</v>
      </c>
      <c r="H1003" s="1053" t="n">
        <v>3040.979</v>
      </c>
      <c r="I1003" s="1053" t="n">
        <v>3114.995</v>
      </c>
      <c r="J1003" s="68">
        <f>K1003</f>
        <v/>
      </c>
      <c r="K1003" s="1111" t="n">
        <v>3193.623</v>
      </c>
      <c r="L1003" s="1053" t="n">
        <v>3273.23</v>
      </c>
      <c r="M1003" s="1053" t="n">
        <v>3104.501</v>
      </c>
      <c r="N1003" s="1053" t="n">
        <v>3407.889</v>
      </c>
      <c r="O1003" s="68">
        <f>P1003</f>
        <v/>
      </c>
      <c r="P1003" s="1111" t="n">
        <v>3483.342</v>
      </c>
      <c r="Q1003" s="1053" t="n">
        <v>3492.14</v>
      </c>
      <c r="R1003" s="1053" t="n">
        <v>3682.742</v>
      </c>
      <c r="S1003" s="1053" t="n">
        <v>3783.099</v>
      </c>
      <c r="T1003" s="68">
        <f>U1003</f>
        <v/>
      </c>
      <c r="U1003" s="1111" t="n">
        <v>3855</v>
      </c>
      <c r="V1003" s="1053" t="n">
        <v>3986</v>
      </c>
      <c r="W1003" s="1053" t="n">
        <v>3938</v>
      </c>
      <c r="X1003" s="1053" t="n">
        <v>4170</v>
      </c>
      <c r="Y1003" s="68">
        <f>Z1003</f>
        <v/>
      </c>
      <c r="Z1003" s="1111" t="n">
        <v>4170</v>
      </c>
      <c r="AA1003" s="1053" t="n">
        <v>4218</v>
      </c>
      <c r="AB1003" s="1053" t="n">
        <v>4408</v>
      </c>
      <c r="AC1003" s="1053" t="n">
        <v>4581</v>
      </c>
      <c r="AD1003" s="1053" t="n">
        <v>4708</v>
      </c>
      <c r="AE1003" s="1110">
        <f>AD1003</f>
        <v/>
      </c>
      <c r="AF1003" s="1053" t="n">
        <v>4936</v>
      </c>
      <c r="AG1003" s="1053" t="n">
        <v>5048</v>
      </c>
      <c r="AH1003" s="1053" t="n">
        <v>5219</v>
      </c>
      <c r="AI1003" s="68">
        <f>AJ1003</f>
        <v/>
      </c>
      <c r="AJ1003" s="1111" t="n">
        <v>5351</v>
      </c>
      <c r="AK1003" s="1053" t="n">
        <v>5546</v>
      </c>
      <c r="AL1003" s="1053" t="n">
        <v>5681</v>
      </c>
      <c r="AM1003" s="1053" t="n">
        <v>5891</v>
      </c>
      <c r="AN1003" s="68">
        <f>AO1003</f>
        <v/>
      </c>
      <c r="AO1003" s="1111" t="n">
        <v>6051</v>
      </c>
      <c r="AP1003" s="1053" t="n">
        <v>6317</v>
      </c>
      <c r="AQ1003" s="1053" t="n">
        <v>6543</v>
      </c>
      <c r="AR1003" s="1053" t="n">
        <v>6824</v>
      </c>
      <c r="AS1003" s="68">
        <f>AT1003</f>
        <v/>
      </c>
      <c r="AT1003" s="1111" t="n">
        <v>7045</v>
      </c>
      <c r="AU1003" s="1053" t="n">
        <v>7354</v>
      </c>
      <c r="AV1003" s="1053" t="n">
        <v>7828</v>
      </c>
      <c r="AW1003" s="1053" t="n">
        <v>8301</v>
      </c>
      <c r="AX1003" s="68">
        <f>AY1003</f>
        <v/>
      </c>
      <c r="AY1003" s="1111" t="n">
        <v>8721</v>
      </c>
      <c r="AZ1003" s="1053" t="n">
        <v>9280</v>
      </c>
      <c r="BA1003" s="1053" t="n">
        <v>9745</v>
      </c>
      <c r="BB1003" s="1053" t="n">
        <v>10465</v>
      </c>
      <c r="BC1003" s="68">
        <f>BD1003</f>
        <v/>
      </c>
      <c r="BD1003" s="1111" t="n">
        <v>10385</v>
      </c>
      <c r="BE1003" s="1053" t="n">
        <v>10623</v>
      </c>
      <c r="BF1003" s="1053" t="n">
        <v>10968</v>
      </c>
      <c r="BG1003" s="1053" t="n">
        <v>11565</v>
      </c>
      <c r="BH1003" s="68">
        <f>BI1003</f>
        <v/>
      </c>
      <c r="BI1003" s="1111" t="n">
        <v>11971</v>
      </c>
      <c r="BJ1003" s="1053" t="n">
        <v>12453</v>
      </c>
      <c r="BK1003" s="1053" t="n">
        <v>12629</v>
      </c>
      <c r="BL1003" s="1053" t="n">
        <v>12991</v>
      </c>
      <c r="BM1003" s="68">
        <f>BN1003</f>
        <v/>
      </c>
      <c r="BN1003" s="1111" t="n">
        <v>13132</v>
      </c>
      <c r="BO1003" s="1053" t="n">
        <v>12651</v>
      </c>
      <c r="BP1003" s="1053" t="n">
        <v>12115</v>
      </c>
      <c r="BQ1003" s="1053" t="n">
        <v>11821</v>
      </c>
      <c r="BR1003" s="68">
        <f>BS1003</f>
        <v/>
      </c>
      <c r="BS1003" s="1111" t="n">
        <v>11237</v>
      </c>
      <c r="BT1003" s="1053" t="n">
        <v>11475</v>
      </c>
      <c r="BU1003" s="1053" t="n">
        <v>11200</v>
      </c>
      <c r="BV1003" s="1054" t="n">
        <v>10626</v>
      </c>
      <c r="BW1003" s="68">
        <f>BV1003+BW847</f>
        <v/>
      </c>
      <c r="BX1003" s="1110">
        <f>BW1003</f>
        <v/>
      </c>
      <c r="BY1003" s="68">
        <f>BX1003+BY847</f>
        <v/>
      </c>
      <c r="BZ1003" s="68">
        <f>BY1003+BZ847</f>
        <v/>
      </c>
      <c r="CA1003" s="68">
        <f>BZ1003+CA847</f>
        <v/>
      </c>
      <c r="CB1003" s="68">
        <f>CA1003+CB847</f>
        <v/>
      </c>
      <c r="CC1003" s="1110">
        <f>CB1003</f>
        <v/>
      </c>
      <c r="CD1003" s="1110">
        <f>CC1003+CD847</f>
        <v/>
      </c>
      <c r="CE1003" s="1110">
        <f>CD1003+CE847</f>
        <v/>
      </c>
      <c r="CF1003" s="1110">
        <f>CE1003+CF847</f>
        <v/>
      </c>
      <c r="CG1003" s="155" t="n"/>
    </row>
    <row r="1004">
      <c r="A1004" s="99" t="inlineStr">
        <is>
          <t>Treasury stock, at cost</t>
        </is>
      </c>
      <c r="B1004" s="146" t="n"/>
      <c r="C1004" s="1111" t="n">
        <v>-1463.268</v>
      </c>
      <c r="D1004" s="1111" t="n">
        <v>-1463.268</v>
      </c>
      <c r="E1004" s="1111" t="n">
        <v>-1479.392</v>
      </c>
      <c r="F1004" s="1111" t="n">
        <v>-1496.904</v>
      </c>
      <c r="G1004" s="1053" t="n">
        <v>-1509.088</v>
      </c>
      <c r="H1004" s="1053" t="n">
        <v>-1509.087</v>
      </c>
      <c r="I1004" s="1053" t="n">
        <v>-1522.709</v>
      </c>
      <c r="J1004" s="68">
        <f>K1004</f>
        <v/>
      </c>
      <c r="K1004" s="1111" t="n">
        <v>-1622.709</v>
      </c>
      <c r="L1004" s="1053" t="n">
        <v>-1737.025</v>
      </c>
      <c r="M1004" s="1053" t="n">
        <v>-2269.766</v>
      </c>
      <c r="N1004" s="1053" t="n">
        <v>-2499.99</v>
      </c>
      <c r="O1004" s="68">
        <f>P1004</f>
        <v/>
      </c>
      <c r="P1004" s="1111" t="n">
        <v>-2537.295</v>
      </c>
      <c r="Q1004" s="1053" t="n">
        <v>-2926.789</v>
      </c>
      <c r="R1004" s="1053" t="n">
        <v>-3058.149</v>
      </c>
      <c r="S1004" s="1053" t="n">
        <v>-3390.985</v>
      </c>
      <c r="T1004" s="68">
        <f>U1004</f>
        <v/>
      </c>
      <c r="U1004" s="1111" t="n">
        <v>-3395</v>
      </c>
      <c r="V1004" s="1053" t="n">
        <v>-3476</v>
      </c>
      <c r="W1004" s="1053" t="n">
        <v>-3765</v>
      </c>
      <c r="X1004" s="1053" t="n">
        <v>-3912</v>
      </c>
      <c r="Y1004" s="68">
        <f>Z1004</f>
        <v/>
      </c>
      <c r="Z1004" s="1111" t="n">
        <v>-4048</v>
      </c>
      <c r="AA1004" s="1053" t="n">
        <v>-4508</v>
      </c>
      <c r="AB1004" s="1053" t="n">
        <v>-4608</v>
      </c>
      <c r="AC1004" s="1053" t="n">
        <v>-4783</v>
      </c>
      <c r="AD1004" s="1053" t="n">
        <v>-5039</v>
      </c>
      <c r="AE1004" s="1110">
        <f>AD1004</f>
        <v/>
      </c>
      <c r="AF1004" s="1053" t="n">
        <v>-5297</v>
      </c>
      <c r="AG1004" s="1053" t="n">
        <v>-6070</v>
      </c>
      <c r="AH1004" s="1053" t="n">
        <v>-6614</v>
      </c>
      <c r="AI1004" s="68">
        <f>AJ1004</f>
        <v/>
      </c>
      <c r="AJ1004" s="1111" t="n">
        <v>-6650</v>
      </c>
      <c r="AK1004" s="1053" t="n">
        <v>-7755</v>
      </c>
      <c r="AL1004" s="1053" t="n">
        <v>-7821</v>
      </c>
      <c r="AM1004" s="1053" t="n">
        <v>-8489</v>
      </c>
      <c r="AN1004" s="68">
        <f>AO1004</f>
        <v/>
      </c>
      <c r="AO1004" s="1111" t="n">
        <v>-9263</v>
      </c>
      <c r="AP1004" s="1053" t="n">
        <v>-9474</v>
      </c>
      <c r="AQ1004" s="1053" t="n">
        <v>-9524</v>
      </c>
      <c r="AR1004" s="1053" t="n">
        <v>-9726</v>
      </c>
      <c r="AS1004" s="68">
        <f>AT1004</f>
        <v/>
      </c>
      <c r="AT1004" s="1111" t="n">
        <v>-9814</v>
      </c>
      <c r="AU1004" s="1053" t="n">
        <v>-10036</v>
      </c>
      <c r="AV1004" s="1053" t="n">
        <v>-10232</v>
      </c>
      <c r="AW1004" s="1053" t="n">
        <v>-10530</v>
      </c>
      <c r="AX1004" s="68">
        <f>AY1004</f>
        <v/>
      </c>
      <c r="AY1004" s="1111" t="n">
        <v>-10756</v>
      </c>
      <c r="AZ1004" s="1053" t="n">
        <v>-11242</v>
      </c>
      <c r="BA1004" s="1053" t="n">
        <v>-11604</v>
      </c>
      <c r="BB1004" s="1053" t="n">
        <v>-12038</v>
      </c>
      <c r="BC1004" s="68">
        <f>BD1004</f>
        <v/>
      </c>
      <c r="BD1004" s="1110" t="n"/>
      <c r="BE1004" s="68" t="n"/>
      <c r="BF1004" s="68" t="n"/>
      <c r="BG1004" s="68" t="n"/>
      <c r="BH1004" s="68">
        <f>BI1004</f>
        <v/>
      </c>
      <c r="BI1004" s="1110" t="n"/>
      <c r="BJ1004" s="68" t="n"/>
      <c r="BK1004" s="68" t="n"/>
      <c r="BL1004" s="68" t="n"/>
      <c r="BM1004" s="68">
        <f>BN1004</f>
        <v/>
      </c>
      <c r="BN1004" s="1110" t="n"/>
      <c r="BO1004" s="68" t="n"/>
      <c r="BP1004" s="68" t="n"/>
      <c r="BQ1004" s="68" t="n"/>
      <c r="BR1004" s="68">
        <f>BS1004</f>
        <v/>
      </c>
      <c r="BS1004" s="1110" t="n"/>
      <c r="BT1004" s="68" t="n"/>
      <c r="BU1004" s="68" t="n"/>
      <c r="BV1004" s="588" t="n"/>
      <c r="BW1004" s="68">
        <f>BV1004+INDEX(MO_CFS_Buyback,0,COLUMN())</f>
        <v/>
      </c>
      <c r="BX1004" s="1110">
        <f>BW1004</f>
        <v/>
      </c>
      <c r="BY1004" s="68">
        <f>BX1004+INDEX(MO_CFS_Buyback,0,COLUMN())</f>
        <v/>
      </c>
      <c r="BZ1004" s="68">
        <f>BY1004+INDEX(MO_CFS_Buyback,0,COLUMN())</f>
        <v/>
      </c>
      <c r="CA1004" s="68">
        <f>BZ1004+INDEX(MO_CFS_Buyback,0,COLUMN())</f>
        <v/>
      </c>
      <c r="CB1004" s="68">
        <f>CA1004+INDEX(MO_CFS_Buyback,0,COLUMN())</f>
        <v/>
      </c>
      <c r="CC1004" s="1110">
        <f>CB1004</f>
        <v/>
      </c>
      <c r="CD1004" s="1110">
        <f>CC1004+INDEX(MO_CFS_Buyback,0,COLUMN())</f>
        <v/>
      </c>
      <c r="CE1004" s="1110">
        <f>CD1004+INDEX(MO_CFS_Buyback,0,COLUMN())</f>
        <v/>
      </c>
      <c r="CF1004" s="1110">
        <f>CE1004+INDEX(MO_CFS_Buyback,0,COLUMN())</f>
        <v/>
      </c>
      <c r="CG1004" s="155" t="n"/>
    </row>
    <row r="1005">
      <c r="A1005" s="99" t="inlineStr">
        <is>
          <t>Accumulated other comprehensive income (loss)</t>
        </is>
      </c>
      <c r="B1005" s="146" t="n"/>
      <c r="C1005" s="1111" t="n">
        <v>3.865</v>
      </c>
      <c r="D1005" s="1111" t="n">
        <v>12.172</v>
      </c>
      <c r="E1005" s="1111" t="n">
        <v>10.272</v>
      </c>
      <c r="F1005" s="1111" t="n">
        <v>10.614</v>
      </c>
      <c r="G1005" s="1053" t="n">
        <v>10.447</v>
      </c>
      <c r="H1005" s="1053" t="n">
        <v>11.159</v>
      </c>
      <c r="I1005" s="1053" t="n">
        <v>10.86</v>
      </c>
      <c r="J1005" s="68">
        <f>K1005</f>
        <v/>
      </c>
      <c r="K1005" s="1111" t="n">
        <v>9.981</v>
      </c>
      <c r="L1005" s="1053" t="n">
        <v>10.293</v>
      </c>
      <c r="M1005" s="1053" t="n">
        <v>5.897</v>
      </c>
      <c r="N1005" s="1053" t="n">
        <v>5.862</v>
      </c>
      <c r="O1005" s="68">
        <f>P1005</f>
        <v/>
      </c>
      <c r="P1005" s="1111" t="n">
        <v>4.877</v>
      </c>
      <c r="Q1005" s="1053" t="n">
        <v>6.364</v>
      </c>
      <c r="R1005" s="1053" t="n">
        <v>4.378</v>
      </c>
      <c r="S1005" s="1053" t="n">
        <v>9.760999999999999</v>
      </c>
      <c r="T1005" s="68">
        <f>U1005</f>
        <v/>
      </c>
      <c r="U1005" s="1111" t="n">
        <v>8</v>
      </c>
      <c r="V1005" s="1053" t="n">
        <v>8</v>
      </c>
      <c r="W1005" s="1053" t="n">
        <v>1</v>
      </c>
      <c r="X1005" s="1053" t="n">
        <v>2</v>
      </c>
      <c r="Y1005" s="68">
        <f>Z1005</f>
        <v/>
      </c>
      <c r="Z1005" s="1111" t="n">
        <v>-4</v>
      </c>
      <c r="AA1005" s="1053" t="n">
        <v>1</v>
      </c>
      <c r="AB1005" s="1053" t="n">
        <v>4</v>
      </c>
      <c r="AC1005" s="1053" t="n">
        <v>-4</v>
      </c>
      <c r="AD1005" s="1053" t="n">
        <v>-16</v>
      </c>
      <c r="AE1005" s="1110">
        <f>AD1005</f>
        <v/>
      </c>
      <c r="AF1005" s="1053" t="n">
        <v>-14</v>
      </c>
      <c r="AG1005" s="1053" t="n">
        <v>-12</v>
      </c>
      <c r="AH1005" s="1053" t="n">
        <v>-14</v>
      </c>
      <c r="AI1005" s="68">
        <f>AJ1005</f>
        <v/>
      </c>
      <c r="AJ1005" s="1111" t="n">
        <v>-18</v>
      </c>
      <c r="AK1005" s="1053" t="n">
        <v>-23</v>
      </c>
      <c r="AL1005" s="1053" t="n">
        <v>-23</v>
      </c>
      <c r="AM1005" s="1053" t="n">
        <v>-24</v>
      </c>
      <c r="AN1005" s="68">
        <f>AO1005</f>
        <v/>
      </c>
      <c r="AO1005" s="1111" t="n">
        <v>-12</v>
      </c>
      <c r="AP1005" s="1053" t="n">
        <v>-2</v>
      </c>
      <c r="AQ1005" s="1053" t="n">
        <v>-1</v>
      </c>
      <c r="AR1005" s="1053" t="n">
        <v>-3</v>
      </c>
      <c r="AS1005" s="68">
        <f>AT1005</f>
        <v/>
      </c>
      <c r="AT1005" s="1111" t="n">
        <v>1</v>
      </c>
      <c r="AU1005" s="1053" t="n">
        <v>-10</v>
      </c>
      <c r="AV1005" s="1053" t="n">
        <v>4</v>
      </c>
      <c r="AW1005" s="1053" t="n">
        <v>12</v>
      </c>
      <c r="AX1005" s="68">
        <f>AY1005</f>
        <v/>
      </c>
      <c r="AY1005" s="1111" t="n">
        <v>19</v>
      </c>
      <c r="AZ1005" s="1053" t="n">
        <v>14</v>
      </c>
      <c r="BA1005" s="1053" t="n">
        <v>8</v>
      </c>
      <c r="BB1005" s="1053" t="n">
        <v>9</v>
      </c>
      <c r="BC1005" s="68">
        <f>BD1005</f>
        <v/>
      </c>
      <c r="BD1005" s="1111" t="n">
        <v>-11</v>
      </c>
      <c r="BE1005" s="1053" t="n">
        <v>-64</v>
      </c>
      <c r="BF1005" s="1053" t="n">
        <v>-90</v>
      </c>
      <c r="BG1005" s="1053" t="n">
        <v>-123</v>
      </c>
      <c r="BH1005" s="68">
        <f>BI1005</f>
        <v/>
      </c>
      <c r="BI1005" s="1111" t="n">
        <v>-43</v>
      </c>
      <c r="BJ1005" s="1053" t="n">
        <v>-50</v>
      </c>
      <c r="BK1005" s="1053" t="n">
        <v>-51</v>
      </c>
      <c r="BL1005" s="1053" t="n">
        <v>-88</v>
      </c>
      <c r="BM1005" s="68">
        <f>BN1005</f>
        <v/>
      </c>
      <c r="BN1005" s="1111" t="n">
        <v>27</v>
      </c>
      <c r="BO1005" s="1053" t="n">
        <v>-109</v>
      </c>
      <c r="BP1005" s="1053" t="n">
        <v>56</v>
      </c>
      <c r="BQ1005" s="1053" t="n">
        <v>103</v>
      </c>
      <c r="BR1005" s="68">
        <f>BS1005</f>
        <v/>
      </c>
      <c r="BS1005" s="1111" t="n">
        <v>28</v>
      </c>
      <c r="BT1005" s="1053" t="n">
        <v>186</v>
      </c>
      <c r="BU1005" s="1053" t="n">
        <v>170</v>
      </c>
      <c r="BV1005" s="1054" t="n">
        <v>339</v>
      </c>
      <c r="BW1005" s="68">
        <f>BV1005</f>
        <v/>
      </c>
      <c r="BX1005" s="1110">
        <f>BW1005</f>
        <v/>
      </c>
      <c r="BY1005" s="68">
        <f>BX1005</f>
        <v/>
      </c>
      <c r="BZ1005" s="68">
        <f>BY1005</f>
        <v/>
      </c>
      <c r="CA1005" s="68">
        <f>BZ1005</f>
        <v/>
      </c>
      <c r="CB1005" s="68">
        <f>CA1005</f>
        <v/>
      </c>
      <c r="CC1005" s="1110">
        <f>CB1005</f>
        <v/>
      </c>
      <c r="CD1005" s="1110">
        <f>CC1005</f>
        <v/>
      </c>
      <c r="CE1005" s="1110">
        <f>CD1005</f>
        <v/>
      </c>
      <c r="CF1005" s="1110">
        <f>CE1005</f>
        <v/>
      </c>
      <c r="CG1005" s="155" t="n"/>
    </row>
    <row r="1006">
      <c r="A1006" s="99" t="inlineStr">
        <is>
          <t>Retained earnings</t>
        </is>
      </c>
      <c r="B1006" s="146" t="n"/>
      <c r="C1006" s="1111" t="n">
        <v>1964.169</v>
      </c>
      <c r="D1006" s="1111" t="n">
        <v>1896.182</v>
      </c>
      <c r="E1006" s="1111" t="n">
        <v>2149.328</v>
      </c>
      <c r="F1006" s="1111" t="n">
        <v>2730.418</v>
      </c>
      <c r="G1006" s="1053" t="n">
        <v>2790.855</v>
      </c>
      <c r="H1006" s="1053" t="n">
        <v>2909.901</v>
      </c>
      <c r="I1006" s="1053" t="n">
        <v>3118.981</v>
      </c>
      <c r="J1006" s="68">
        <f>K1006</f>
        <v/>
      </c>
      <c r="K1006" s="1111" t="n">
        <v>3246.088</v>
      </c>
      <c r="L1006" s="1053" t="n">
        <v>3277.713</v>
      </c>
      <c r="M1006" s="1053" t="n">
        <v>3330.815</v>
      </c>
      <c r="N1006" s="1053" t="n">
        <v>3406.154</v>
      </c>
      <c r="O1006" s="68">
        <f>P1006</f>
        <v/>
      </c>
      <c r="P1006" s="1111" t="n">
        <v>3504.742</v>
      </c>
      <c r="Q1006" s="1053" t="n">
        <v>3594.527</v>
      </c>
      <c r="R1006" s="1053" t="n">
        <v>3675.071</v>
      </c>
      <c r="S1006" s="1053" t="n">
        <v>3801.966</v>
      </c>
      <c r="T1006" s="68">
        <f>U1006</f>
        <v/>
      </c>
      <c r="U1006" s="1111" t="n">
        <v>3949</v>
      </c>
      <c r="V1006" s="1053" t="n">
        <v>4037</v>
      </c>
      <c r="W1006" s="1053" t="n">
        <v>4010</v>
      </c>
      <c r="X1006" s="1053" t="n">
        <v>4204</v>
      </c>
      <c r="Y1006" s="68">
        <f>Z1006</f>
        <v/>
      </c>
      <c r="Z1006" s="1111" t="n">
        <v>4350</v>
      </c>
      <c r="AA1006" s="1053" t="n">
        <v>4484</v>
      </c>
      <c r="AB1006" s="1053" t="n">
        <v>4675</v>
      </c>
      <c r="AC1006" s="1053" t="n">
        <v>5529</v>
      </c>
      <c r="AD1006" s="1053" t="n">
        <v>6108</v>
      </c>
      <c r="AE1006" s="1110">
        <f>AD1006</f>
        <v/>
      </c>
      <c r="AF1006" s="1053" t="n">
        <v>6506</v>
      </c>
      <c r="AG1006" s="1053" t="n">
        <v>7006</v>
      </c>
      <c r="AH1006" s="1053" t="n">
        <v>7760</v>
      </c>
      <c r="AI1006" s="68">
        <f>AJ1006</f>
        <v/>
      </c>
      <c r="AJ1006" s="1111" t="n">
        <v>8787</v>
      </c>
      <c r="AK1006" s="1053" t="n">
        <v>9948</v>
      </c>
      <c r="AL1006" s="1053" t="n">
        <v>10957</v>
      </c>
      <c r="AM1006" s="1053" t="n">
        <v>12096</v>
      </c>
      <c r="AN1006" s="68">
        <f>AO1006</f>
        <v/>
      </c>
      <c r="AO1006" s="1111" t="n">
        <v>12565</v>
      </c>
      <c r="AP1006" s="1060" t="n">
        <v>12862</v>
      </c>
      <c r="AQ1006" s="1060" t="n">
        <v>13317</v>
      </c>
      <c r="AR1006" s="1053" t="n">
        <v>14118</v>
      </c>
      <c r="AS1006" s="68">
        <f>AT1006</f>
        <v/>
      </c>
      <c r="AT1006" s="1111" t="n">
        <v>14971</v>
      </c>
      <c r="AU1006" s="1060" t="n">
        <v>15790</v>
      </c>
      <c r="AV1006" s="1060" t="n">
        <v>16313</v>
      </c>
      <c r="AW1006" s="1053" t="n">
        <v>17550</v>
      </c>
      <c r="AX1006" s="68">
        <f>AY1006</f>
        <v/>
      </c>
      <c r="AY1006" s="1111" t="n">
        <v>18908</v>
      </c>
      <c r="AZ1006" s="1060" t="n">
        <v>20721</v>
      </c>
      <c r="BA1006" s="1060" t="n">
        <v>22995</v>
      </c>
      <c r="BB1006" s="1053" t="n">
        <v>25359</v>
      </c>
      <c r="BC1006" s="68">
        <f>BD1006</f>
        <v/>
      </c>
      <c r="BD1006" s="1111" t="n">
        <v>16235</v>
      </c>
      <c r="BE1006" s="1060" t="n">
        <v>15758</v>
      </c>
      <c r="BF1006" s="1053" t="n">
        <v>12971</v>
      </c>
      <c r="BG1006" s="1053" t="n">
        <v>9905</v>
      </c>
      <c r="BH1006" s="68">
        <f>BI1006</f>
        <v/>
      </c>
      <c r="BI1006" s="1111" t="n">
        <v>10171</v>
      </c>
      <c r="BJ1006" s="1060" t="n">
        <v>12115</v>
      </c>
      <c r="BK1006" s="1053" t="n">
        <v>14921</v>
      </c>
      <c r="BL1006" s="1053" t="n">
        <v>20360</v>
      </c>
      <c r="BM1006" s="68">
        <f>BN1006</f>
        <v/>
      </c>
      <c r="BN1006" s="1111" t="n">
        <v>29817</v>
      </c>
      <c r="BO1006" s="1060" t="n">
        <v>36598</v>
      </c>
      <c r="BP1006" s="1053" t="n">
        <v>45961</v>
      </c>
      <c r="BQ1006" s="1053" t="n">
        <v>53950</v>
      </c>
      <c r="BR1006" s="68">
        <f>BS1006</f>
        <v/>
      </c>
      <c r="BS1006" s="1111" t="n">
        <v>68038</v>
      </c>
      <c r="BT1006" s="1060" t="n">
        <v>72158</v>
      </c>
      <c r="BU1006" s="1053" t="n">
        <v>88737</v>
      </c>
      <c r="BV1006" s="1054" t="n">
        <v>107908</v>
      </c>
      <c r="BW1006" s="68">
        <f>BV1006+BW894+BW843</f>
        <v/>
      </c>
      <c r="BX1006" s="1110">
        <f>BW1006</f>
        <v/>
      </c>
      <c r="BY1006" s="68">
        <f>BX1006+BY894+BY843</f>
        <v/>
      </c>
      <c r="BZ1006" s="68">
        <f>BY1006+BZ894+BZ843</f>
        <v/>
      </c>
      <c r="CA1006" s="68">
        <f>BZ1006+CA894+CA843</f>
        <v/>
      </c>
      <c r="CB1006" s="68">
        <f>CA1006+CB894+CB843</f>
        <v/>
      </c>
      <c r="CC1006" s="1110">
        <f>CB1006</f>
        <v/>
      </c>
      <c r="CD1006" s="1110">
        <f>CC1006+CD894+CD843</f>
        <v/>
      </c>
      <c r="CE1006" s="1110">
        <f>CD1006+CE894+CE843</f>
        <v/>
      </c>
      <c r="CF1006" s="1110">
        <f>CE1006+CF894+CF843</f>
        <v/>
      </c>
      <c r="CG1006" s="155" t="n"/>
    </row>
    <row r="1007">
      <c r="A1007" s="59" t="inlineStr">
        <is>
          <t>Total SE</t>
        </is>
      </c>
      <c r="B1007" s="607" t="n"/>
      <c r="C1007" s="1123">
        <f>SUM(C1001:C1006)</f>
        <v/>
      </c>
      <c r="D1007" s="1123">
        <f>SUM(D1001:D1006)</f>
        <v/>
      </c>
      <c r="E1007" s="1123">
        <f>SUM(E1001:E1006)</f>
        <v/>
      </c>
      <c r="F1007" s="1123">
        <f>SUM(F1001:F1006)</f>
        <v/>
      </c>
      <c r="G1007" s="60">
        <f>SUM(G1001:G1006)</f>
        <v/>
      </c>
      <c r="H1007" s="60">
        <f>SUM(H1001:H1006)</f>
        <v/>
      </c>
      <c r="I1007" s="60">
        <f>SUM(I1001:I1006)</f>
        <v/>
      </c>
      <c r="J1007" s="60">
        <f>SUM(J1001:J1006)</f>
        <v/>
      </c>
      <c r="K1007" s="1123">
        <f>SUM(K1001:K1006)</f>
        <v/>
      </c>
      <c r="L1007" s="60">
        <f>SUM(L1001:L1006)</f>
        <v/>
      </c>
      <c r="M1007" s="60">
        <f>SUM(M1001:M1006)</f>
        <v/>
      </c>
      <c r="N1007" s="60">
        <f>SUM(N1001:N1006)</f>
        <v/>
      </c>
      <c r="O1007" s="60">
        <f>SUM(O1001:O1006)</f>
        <v/>
      </c>
      <c r="P1007" s="1123">
        <f>SUM(P1001:P1006)</f>
        <v/>
      </c>
      <c r="Q1007" s="60">
        <f>SUM(Q1001:Q1006)</f>
        <v/>
      </c>
      <c r="R1007" s="60">
        <f>SUM(R1001:R1006)</f>
        <v/>
      </c>
      <c r="S1007" s="60">
        <f>SUM(S1001:S1006)</f>
        <v/>
      </c>
      <c r="T1007" s="60">
        <f>SUM(T1001:T1006)</f>
        <v/>
      </c>
      <c r="U1007" s="1123">
        <f>SUM(U1001:U1006)</f>
        <v/>
      </c>
      <c r="V1007" s="60">
        <f>SUM(V1001:V1006)</f>
        <v/>
      </c>
      <c r="W1007" s="60">
        <f>SUM(W1001:W1006)</f>
        <v/>
      </c>
      <c r="X1007" s="60">
        <f>SUM(X1001:X1006)</f>
        <v/>
      </c>
      <c r="Y1007" s="60">
        <f>SUM(Y1001:Y1006)</f>
        <v/>
      </c>
      <c r="Z1007" s="1123">
        <f>SUM(Z1001:Z1006)</f>
        <v/>
      </c>
      <c r="AA1007" s="60">
        <f>SUM(AA1001:AA1006)</f>
        <v/>
      </c>
      <c r="AB1007" s="60">
        <f>SUM(AB1001:AB1006)</f>
        <v/>
      </c>
      <c r="AC1007" s="61">
        <f>SUM(AC1001:AC1006)</f>
        <v/>
      </c>
      <c r="AD1007" s="61">
        <f>SUM(AD1001:AD1006)</f>
        <v/>
      </c>
      <c r="AE1007" s="1122">
        <f>SUM(AE1001:AE1006)</f>
        <v/>
      </c>
      <c r="AF1007" s="61">
        <f>SUM(AF1001:AF1006)</f>
        <v/>
      </c>
      <c r="AG1007" s="60">
        <f>SUM(AG1001:AG1006)</f>
        <v/>
      </c>
      <c r="AH1007" s="60">
        <f>SUM(AH1001:AH1006)</f>
        <v/>
      </c>
      <c r="AI1007" s="61">
        <f>SUM(AI1001:AI1006)</f>
        <v/>
      </c>
      <c r="AJ1007" s="1122">
        <f>SUM(AJ1001:AJ1006)</f>
        <v/>
      </c>
      <c r="AK1007" s="60">
        <f>SUM(AK1001:AK1006)</f>
        <v/>
      </c>
      <c r="AL1007" s="60">
        <f>SUM(AL1001:AL1006)</f>
        <v/>
      </c>
      <c r="AM1007" s="60">
        <f>SUM(AM1001:AM1006)</f>
        <v/>
      </c>
      <c r="AN1007" s="61">
        <f>SUM(AN1001:AN1006)</f>
        <v/>
      </c>
      <c r="AO1007" s="1122">
        <f>SUM(AO1001:AO1006)</f>
        <v/>
      </c>
      <c r="AP1007" s="60">
        <f>SUM(AP1001:AP1006)</f>
        <v/>
      </c>
      <c r="AQ1007" s="60">
        <f>SUM(AQ1001:AQ1006)</f>
        <v/>
      </c>
      <c r="AR1007" s="60">
        <f>SUM(AR1001:AR1006)</f>
        <v/>
      </c>
      <c r="AS1007" s="61">
        <f>SUM(AS1001:AS1006)</f>
        <v/>
      </c>
      <c r="AT1007" s="1122">
        <f>SUM(AT1001:AT1006)</f>
        <v/>
      </c>
      <c r="AU1007" s="60">
        <f>SUM(AU1001:AU1006)</f>
        <v/>
      </c>
      <c r="AV1007" s="60">
        <f>SUM(AV1001:AV1006)</f>
        <v/>
      </c>
      <c r="AW1007" s="60">
        <f>SUM(AW1001:AW1006)</f>
        <v/>
      </c>
      <c r="AX1007" s="61">
        <f>SUM(AX1001:AX1006)</f>
        <v/>
      </c>
      <c r="AY1007" s="1122">
        <f>SUM(AY1001:AY1006)</f>
        <v/>
      </c>
      <c r="AZ1007" s="60">
        <f>SUM(AZ1001:AZ1006)</f>
        <v/>
      </c>
      <c r="BA1007" s="60">
        <f>SUM(BA1001:BA1006)</f>
        <v/>
      </c>
      <c r="BB1007" s="60">
        <f>SUM(BB1001:BB1006)</f>
        <v/>
      </c>
      <c r="BC1007" s="61">
        <f>SUM(BC1001:BC1006)</f>
        <v/>
      </c>
      <c r="BD1007" s="1122">
        <f>SUM(BD1001:BD1006)</f>
        <v/>
      </c>
      <c r="BE1007" s="60">
        <f>SUM(BE1001:BE1006)</f>
        <v/>
      </c>
      <c r="BF1007" s="61">
        <f>SUM(BF1001:BF1006)</f>
        <v/>
      </c>
      <c r="BG1007" s="60">
        <f>SUM(BG1001:BG1006)</f>
        <v/>
      </c>
      <c r="BH1007" s="61">
        <f>SUM(BH1001:BH1006)</f>
        <v/>
      </c>
      <c r="BI1007" s="1122">
        <f>SUM(BI1001:BI1006)</f>
        <v/>
      </c>
      <c r="BJ1007" s="60">
        <f>SUM(BJ1001:BJ1006)</f>
        <v/>
      </c>
      <c r="BK1007" s="61">
        <f>SUM(BK1001:BK1006)</f>
        <v/>
      </c>
      <c r="BL1007" s="60">
        <f>SUM(BL1001:BL1006)</f>
        <v/>
      </c>
      <c r="BM1007" s="61">
        <f>SUM(BM1001:BM1006)</f>
        <v/>
      </c>
      <c r="BN1007" s="1122">
        <f>SUM(BN1001:BN1006)</f>
        <v/>
      </c>
      <c r="BO1007" s="60">
        <f>SUM(BO1001:BO1006)</f>
        <v/>
      </c>
      <c r="BP1007" s="61">
        <f>SUM(BP1001:BP1006)</f>
        <v/>
      </c>
      <c r="BQ1007" s="61">
        <f>SUM(BQ1001:BQ1006)</f>
        <v/>
      </c>
      <c r="BR1007" s="61">
        <f>SUM(BR1001:BR1006)</f>
        <v/>
      </c>
      <c r="BS1007" s="1122">
        <f>SUM(BS1001:BS1006)</f>
        <v/>
      </c>
      <c r="BT1007" s="60">
        <f>SUM(BT1001:BT1006)</f>
        <v/>
      </c>
      <c r="BU1007" s="61">
        <f>SUM(BU1001:BU1006)</f>
        <v/>
      </c>
      <c r="BV1007" s="884">
        <f>SUM(BV1001:BV1006)</f>
        <v/>
      </c>
      <c r="BW1007" s="61">
        <f>SUM(BW1001:BW1006)</f>
        <v/>
      </c>
      <c r="BX1007" s="1122">
        <f>BW1007</f>
        <v/>
      </c>
      <c r="BY1007" s="61">
        <f>SUM(BY1001:BY1006)</f>
        <v/>
      </c>
      <c r="BZ1007" s="61">
        <f>SUM(BZ1001:BZ1006)</f>
        <v/>
      </c>
      <c r="CA1007" s="61">
        <f>SUM(CA1001:CA1006)</f>
        <v/>
      </c>
      <c r="CB1007" s="61">
        <f>SUM(CB1001:CB1006)</f>
        <v/>
      </c>
      <c r="CC1007" s="1122">
        <f>CB1007</f>
        <v/>
      </c>
      <c r="CD1007" s="1122">
        <f>SUM(CD1001:CD1006)</f>
        <v/>
      </c>
      <c r="CE1007" s="1122">
        <f>SUM(CE1001:CE1006)</f>
        <v/>
      </c>
      <c r="CF1007" s="1122">
        <f>SUM(CF1001:CF1006)</f>
        <v/>
      </c>
      <c r="CG1007" s="155" t="n"/>
    </row>
    <row r="1008">
      <c r="A1008" s="67" t="inlineStr">
        <is>
          <t>NCI</t>
        </is>
      </c>
      <c r="B1008" s="146" t="n"/>
      <c r="C1008" s="1110" t="n"/>
      <c r="D1008" s="1110" t="n"/>
      <c r="E1008" s="1110" t="n"/>
      <c r="F1008" s="1110" t="n"/>
      <c r="G1008" s="68" t="n"/>
      <c r="H1008" s="68" t="n"/>
      <c r="I1008" s="68" t="n"/>
      <c r="J1008" s="68" t="n"/>
      <c r="K1008" s="1110" t="n"/>
      <c r="L1008" s="68" t="n"/>
      <c r="M1008" s="68" t="n"/>
      <c r="N1008" s="68" t="n"/>
      <c r="O1008" s="68" t="n"/>
      <c r="P1008" s="1110" t="n"/>
      <c r="Q1008" s="68" t="n"/>
      <c r="R1008" s="68" t="n"/>
      <c r="S1008" s="68" t="n"/>
      <c r="T1008" s="68" t="n"/>
      <c r="U1008" s="1110" t="n"/>
      <c r="V1008" s="68" t="n"/>
      <c r="W1008" s="68" t="n"/>
      <c r="X1008" s="68" t="n"/>
      <c r="Y1008" s="68" t="n"/>
      <c r="Z1008" s="1110" t="n"/>
      <c r="AA1008" s="68" t="n"/>
      <c r="AB1008" s="68" t="n"/>
      <c r="AC1008" s="68" t="n"/>
      <c r="AD1008" s="68" t="n"/>
      <c r="AE1008" s="1110" t="n"/>
      <c r="AF1008" s="68" t="n"/>
      <c r="AG1008" s="68" t="n"/>
      <c r="AH1008" s="68" t="n"/>
      <c r="AI1008" s="68" t="n"/>
      <c r="AJ1008" s="1110" t="n"/>
      <c r="AK1008" s="68" t="n"/>
      <c r="AL1008" s="68" t="n"/>
      <c r="AM1008" s="68" t="n"/>
      <c r="AN1008" s="68" t="n"/>
      <c r="AO1008" s="1110" t="n"/>
      <c r="AP1008" s="68" t="n"/>
      <c r="AQ1008" s="68" t="n"/>
      <c r="AR1008" s="68" t="n"/>
      <c r="AS1008" s="68" t="n"/>
      <c r="AT1008" s="1110" t="n"/>
      <c r="AU1008" s="68" t="n"/>
      <c r="AV1008" s="68" t="n"/>
      <c r="AW1008" s="68" t="n"/>
      <c r="AX1008" s="68" t="n"/>
      <c r="AY1008" s="1110" t="n"/>
      <c r="AZ1008" s="68" t="n"/>
      <c r="BA1008" s="68" t="n"/>
      <c r="BB1008" s="68" t="n"/>
      <c r="BC1008" s="68" t="n"/>
      <c r="BD1008" s="1110" t="n"/>
      <c r="BE1008" s="68" t="n"/>
      <c r="BF1008" s="27">
        <f>BE1008</f>
        <v/>
      </c>
      <c r="BG1008" s="68">
        <f>BF1008</f>
        <v/>
      </c>
      <c r="BH1008" s="68" t="n"/>
      <c r="BI1008" s="1110" t="n"/>
      <c r="BJ1008" s="68" t="n"/>
      <c r="BK1008" s="68" t="n"/>
      <c r="BL1008" s="68" t="n"/>
      <c r="BM1008" s="68" t="n"/>
      <c r="BN1008" s="1110" t="n"/>
      <c r="BO1008" s="68" t="n"/>
      <c r="BP1008" s="68" t="n"/>
      <c r="BQ1008" s="68" t="n"/>
      <c r="BR1008" s="68" t="n"/>
      <c r="BS1008" s="1110" t="n"/>
      <c r="BT1008" s="68" t="n"/>
      <c r="BU1008" s="68" t="n"/>
      <c r="BV1008" s="588" t="n"/>
      <c r="BW1008" s="68">
        <f>BV1008</f>
        <v/>
      </c>
      <c r="BX1008" s="1110">
        <f>BW1008</f>
        <v/>
      </c>
      <c r="BY1008" s="68">
        <f>BX1008</f>
        <v/>
      </c>
      <c r="BZ1008" s="68">
        <f>BY1008</f>
        <v/>
      </c>
      <c r="CA1008" s="68">
        <f>BZ1008</f>
        <v/>
      </c>
      <c r="CB1008" s="68">
        <f>CA1008</f>
        <v/>
      </c>
      <c r="CC1008" s="1110">
        <f>CB1008</f>
        <v/>
      </c>
      <c r="CD1008" s="1110">
        <f>CC1008</f>
        <v/>
      </c>
      <c r="CE1008" s="1110">
        <f>CD1008</f>
        <v/>
      </c>
      <c r="CF1008" s="1110">
        <f>CE1008</f>
        <v/>
      </c>
      <c r="CG1008" s="155" t="n"/>
    </row>
    <row r="1009">
      <c r="A1009" s="62" t="inlineStr">
        <is>
          <t>Total Liabilities &amp; SE</t>
        </is>
      </c>
      <c r="B1009" s="279" t="n"/>
      <c r="C1009" s="1132">
        <f>C1007+C998+C1008</f>
        <v/>
      </c>
      <c r="D1009" s="1132">
        <f>D1007+D998+D1008</f>
        <v/>
      </c>
      <c r="E1009" s="1132">
        <f>E1007+E998+E1008</f>
        <v/>
      </c>
      <c r="F1009" s="1132">
        <f>F1007+F998+F1008</f>
        <v/>
      </c>
      <c r="G1009" s="28">
        <f>G1007+G998+G1008</f>
        <v/>
      </c>
      <c r="H1009" s="28">
        <f>H1007+H998+H1008</f>
        <v/>
      </c>
      <c r="I1009" s="28">
        <f>I1007+I998+I1008</f>
        <v/>
      </c>
      <c r="J1009" s="28">
        <f>J1007+J998+J1008</f>
        <v/>
      </c>
      <c r="K1009" s="1132">
        <f>K1007+K998+K1008</f>
        <v/>
      </c>
      <c r="L1009" s="28">
        <f>L1007+L998+L1008</f>
        <v/>
      </c>
      <c r="M1009" s="28">
        <f>M1007+M998+M1008</f>
        <v/>
      </c>
      <c r="N1009" s="28">
        <f>N1007+N998+N1008</f>
        <v/>
      </c>
      <c r="O1009" s="28">
        <f>O1007+O998+O1008</f>
        <v/>
      </c>
      <c r="P1009" s="1132">
        <f>P1007+P998+P1008</f>
        <v/>
      </c>
      <c r="Q1009" s="28">
        <f>Q1007+Q998+Q1008</f>
        <v/>
      </c>
      <c r="R1009" s="28">
        <f>R1007+R998+R1008</f>
        <v/>
      </c>
      <c r="S1009" s="28">
        <f>S1007+S998+S1008</f>
        <v/>
      </c>
      <c r="T1009" s="28">
        <f>T1007+T998+T1008</f>
        <v/>
      </c>
      <c r="U1009" s="1132">
        <f>U1007+U998+U1008</f>
        <v/>
      </c>
      <c r="V1009" s="28">
        <f>V1007+V998+V1008</f>
        <v/>
      </c>
      <c r="W1009" s="28">
        <f>W1007+W998+W1008</f>
        <v/>
      </c>
      <c r="X1009" s="28">
        <f>X1007+X998+X1008</f>
        <v/>
      </c>
      <c r="Y1009" s="28">
        <f>Y1007+Y998+Y1008</f>
        <v/>
      </c>
      <c r="Z1009" s="1132">
        <f>Z1007+Z998+Z1008</f>
        <v/>
      </c>
      <c r="AA1009" s="28">
        <f>AA1007+AA998+AA1008</f>
        <v/>
      </c>
      <c r="AB1009" s="28">
        <f>AB1007+AB998+AB1008</f>
        <v/>
      </c>
      <c r="AC1009" s="63">
        <f>AC1007+AC998+AC1008</f>
        <v/>
      </c>
      <c r="AD1009" s="63">
        <f>AD1007+AD998+AD1008</f>
        <v/>
      </c>
      <c r="AE1009" s="1125">
        <f>AE1007+AE998+AE1008</f>
        <v/>
      </c>
      <c r="AF1009" s="63">
        <f>AF1007+AF998+AF1008</f>
        <v/>
      </c>
      <c r="AG1009" s="28">
        <f>AG1007+AG998+AG1008</f>
        <v/>
      </c>
      <c r="AH1009" s="28">
        <f>AH1007+AH998+AH1008</f>
        <v/>
      </c>
      <c r="AI1009" s="63">
        <f>AI1007+AI998+AI1008</f>
        <v/>
      </c>
      <c r="AJ1009" s="1125">
        <f>AJ1007+AJ998+AJ1008</f>
        <v/>
      </c>
      <c r="AK1009" s="28">
        <f>AK1007+AK998+AK1008</f>
        <v/>
      </c>
      <c r="AL1009" s="28">
        <f>AL1007+AL998+AL1008</f>
        <v/>
      </c>
      <c r="AM1009" s="28">
        <f>AM1007+AM998+AM1008</f>
        <v/>
      </c>
      <c r="AN1009" s="63">
        <f>AN1007+AN998+AN1008</f>
        <v/>
      </c>
      <c r="AO1009" s="1125">
        <f>AO1007+AO998+AO1008</f>
        <v/>
      </c>
      <c r="AP1009" s="28">
        <f>AP1007+AP998+AP1008</f>
        <v/>
      </c>
      <c r="AQ1009" s="28">
        <f>AQ1007+AQ998+AQ1008</f>
        <v/>
      </c>
      <c r="AR1009" s="28">
        <f>AR1007+AR998+AR1008</f>
        <v/>
      </c>
      <c r="AS1009" s="63">
        <f>AS1007+AS998+AS1008</f>
        <v/>
      </c>
      <c r="AT1009" s="1125">
        <f>AT1007+AT998+AT1008</f>
        <v/>
      </c>
      <c r="AU1009" s="28">
        <f>AU1007+AU998+AU1008</f>
        <v/>
      </c>
      <c r="AV1009" s="28">
        <f>AV1007+AV998+AV1008</f>
        <v/>
      </c>
      <c r="AW1009" s="28">
        <f>AW1007+AW998+AW1008</f>
        <v/>
      </c>
      <c r="AX1009" s="63">
        <f>AX1007+AX998+AX1008</f>
        <v/>
      </c>
      <c r="AY1009" s="1125">
        <f>AY1007+AY998+AY1008</f>
        <v/>
      </c>
      <c r="AZ1009" s="28">
        <f>AZ1007+AZ998+AZ1008</f>
        <v/>
      </c>
      <c r="BA1009" s="28">
        <f>BA1007+BA998+BA1008</f>
        <v/>
      </c>
      <c r="BB1009" s="28">
        <f>BB1007+BB998+BB1008</f>
        <v/>
      </c>
      <c r="BC1009" s="63">
        <f>BC1007+BC998+BC1008</f>
        <v/>
      </c>
      <c r="BD1009" s="1125">
        <f>BD1007+BD998+BD1008</f>
        <v/>
      </c>
      <c r="BE1009" s="28">
        <f>BE1007+BE998+BE1008</f>
        <v/>
      </c>
      <c r="BF1009" s="63">
        <f>BF1007+BF998+BF1008</f>
        <v/>
      </c>
      <c r="BG1009" s="28">
        <f>BG1007+BG998+BG1008</f>
        <v/>
      </c>
      <c r="BH1009" s="63">
        <f>BH1007+BH998+BH1008</f>
        <v/>
      </c>
      <c r="BI1009" s="1125">
        <f>BI1007+BI998+BI1008</f>
        <v/>
      </c>
      <c r="BJ1009" s="28">
        <f>BJ1007+BJ998+BJ1008</f>
        <v/>
      </c>
      <c r="BK1009" s="63">
        <f>BK1007+BK998+BK1008</f>
        <v/>
      </c>
      <c r="BL1009" s="28">
        <f>BL1007+BL998+BL1008</f>
        <v/>
      </c>
      <c r="BM1009" s="63">
        <f>BM1007+BM998+BM1008</f>
        <v/>
      </c>
      <c r="BN1009" s="1125">
        <f>BN1007+BN998+BN1008</f>
        <v/>
      </c>
      <c r="BO1009" s="28">
        <f>BO1007+BO998+BO1008</f>
        <v/>
      </c>
      <c r="BP1009" s="63">
        <f>BP1007+BP998+BP1008</f>
        <v/>
      </c>
      <c r="BQ1009" s="28">
        <f>BQ1007+BQ998+BQ1008</f>
        <v/>
      </c>
      <c r="BR1009" s="63">
        <f>BR1007+BR998+BR1008</f>
        <v/>
      </c>
      <c r="BS1009" s="1125">
        <f>BS1007+BS998+BS1008</f>
        <v/>
      </c>
      <c r="BT1009" s="28">
        <f>BT1007+BT998+BT1008</f>
        <v/>
      </c>
      <c r="BU1009" s="63">
        <f>BU1007+BU998+BU1008</f>
        <v/>
      </c>
      <c r="BV1009" s="505">
        <f>BV1007+BV998+BV1008</f>
        <v/>
      </c>
      <c r="BW1009" s="63">
        <f>BW1007+BW998+BW1008</f>
        <v/>
      </c>
      <c r="BX1009" s="1125">
        <f>BX1007+BX998+BX1008</f>
        <v/>
      </c>
      <c r="BY1009" s="63">
        <f>BY1007+BY998+BY1008</f>
        <v/>
      </c>
      <c r="BZ1009" s="63">
        <f>BZ1007+BZ998+BZ1008</f>
        <v/>
      </c>
      <c r="CA1009" s="63">
        <f>CA1007+CA998+CA1008</f>
        <v/>
      </c>
      <c r="CB1009" s="63">
        <f>CB1007+CB998+CB1008</f>
        <v/>
      </c>
      <c r="CC1009" s="1125">
        <f>CC1007+CC998+CC1008</f>
        <v/>
      </c>
      <c r="CD1009" s="1125">
        <f>CD1007+CD998+CD1008</f>
        <v/>
      </c>
      <c r="CE1009" s="1125">
        <f>CE1007+CE998+CE1008</f>
        <v/>
      </c>
      <c r="CF1009" s="1125">
        <f>CF1007+CF998+CF1008</f>
        <v/>
      </c>
      <c r="CG1009" s="155" t="n"/>
    </row>
    <row r="1010">
      <c r="A1010" s="68" t="n"/>
      <c r="B1010" s="68" t="n"/>
      <c r="C1010" s="68" t="n"/>
      <c r="D1010" s="68" t="n"/>
      <c r="E1010" s="68" t="n"/>
      <c r="F1010" s="68" t="n"/>
      <c r="G1010" s="68" t="n"/>
      <c r="H1010" s="68" t="n"/>
      <c r="I1010" s="68" t="n"/>
      <c r="J1010" s="68" t="n"/>
      <c r="K1010" s="68" t="n"/>
      <c r="L1010" s="68" t="n"/>
      <c r="M1010" s="68" t="n"/>
      <c r="N1010" s="68" t="n"/>
      <c r="O1010" s="68" t="n"/>
      <c r="P1010" s="68" t="n"/>
      <c r="Q1010" s="68" t="n"/>
      <c r="R1010" s="68" t="n"/>
      <c r="S1010" s="68" t="n"/>
      <c r="T1010" s="68" t="n"/>
      <c r="U1010" s="68" t="n"/>
      <c r="V1010" s="68" t="n"/>
      <c r="W1010" s="68" t="n"/>
      <c r="X1010" s="68" t="n"/>
      <c r="Y1010" s="68" t="n"/>
      <c r="Z1010" s="68" t="n"/>
      <c r="AA1010" s="68" t="n"/>
      <c r="AB1010" s="68" t="n"/>
      <c r="AC1010" s="68" t="n"/>
      <c r="AD1010" s="68" t="n"/>
      <c r="AE1010" s="68" t="n"/>
      <c r="AF1010" s="68" t="n"/>
      <c r="AG1010" s="68" t="n"/>
      <c r="AH1010" s="68" t="n"/>
      <c r="AI1010" s="68" t="n"/>
      <c r="AJ1010" s="68" t="n"/>
      <c r="AK1010" s="68" t="n"/>
      <c r="AL1010" s="68" t="n"/>
      <c r="AM1010" s="68" t="n"/>
      <c r="AN1010" s="68" t="n"/>
      <c r="AO1010" s="68" t="n"/>
      <c r="AP1010" s="68" t="n"/>
      <c r="AQ1010" s="68" t="n"/>
      <c r="AR1010" s="68" t="n"/>
      <c r="AS1010" s="68" t="n"/>
      <c r="AT1010" s="68" t="n"/>
      <c r="AU1010" s="68" t="n"/>
      <c r="AV1010" s="68" t="n"/>
      <c r="AW1010" s="68" t="n"/>
      <c r="AX1010" s="68" t="n"/>
      <c r="AY1010" s="68" t="n"/>
      <c r="AZ1010" s="68" t="n"/>
      <c r="BA1010" s="68" t="n"/>
      <c r="BB1010" s="68" t="n"/>
      <c r="BC1010" s="68" t="n"/>
      <c r="BD1010" s="68" t="n"/>
      <c r="BE1010" s="68" t="n"/>
      <c r="BF1010" s="68" t="n"/>
      <c r="BG1010" s="68" t="n"/>
      <c r="BH1010" s="68" t="n"/>
      <c r="BI1010" s="68" t="n"/>
      <c r="BJ1010" s="68" t="n"/>
      <c r="BK1010" s="68" t="n"/>
      <c r="BL1010" s="68" t="n"/>
      <c r="BM1010" s="68" t="n"/>
      <c r="BN1010" s="68" t="n"/>
      <c r="BO1010" s="68" t="n"/>
      <c r="BP1010" s="68" t="n"/>
      <c r="BQ1010" s="68" t="n"/>
      <c r="BR1010" s="68" t="n"/>
      <c r="BS1010" s="68" t="n"/>
      <c r="BT1010" s="68" t="n"/>
      <c r="BU1010" s="68" t="n"/>
      <c r="BV1010" s="588" t="n"/>
      <c r="BW1010" s="68" t="n"/>
      <c r="BX1010" s="68" t="n"/>
      <c r="BY1010" s="68" t="n"/>
      <c r="BZ1010" s="68" t="n"/>
      <c r="CA1010" s="68" t="n"/>
      <c r="CB1010" s="68" t="n"/>
      <c r="CC1010" s="68" t="n"/>
      <c r="CD1010" s="68" t="n"/>
      <c r="CE1010" s="68" t="n"/>
      <c r="CF1010" s="68" t="n"/>
      <c r="CG1010" s="155" t="n"/>
    </row>
    <row r="1011">
      <c r="A1011" s="985" t="inlineStr">
        <is>
          <t>BS Check</t>
        </is>
      </c>
      <c r="B1011" s="985" t="n"/>
      <c r="C1011" s="986">
        <f>ROUND(C982-C1009,6)</f>
        <v/>
      </c>
      <c r="D1011" s="986">
        <f>ROUND(D982-D1009,6)</f>
        <v/>
      </c>
      <c r="E1011" s="986">
        <f>ROUND(E982-E1009,6)</f>
        <v/>
      </c>
      <c r="F1011" s="986">
        <f>ROUND(F982-F1009,6)</f>
        <v/>
      </c>
      <c r="G1011" s="986">
        <f>ROUND(G982-G1009,6)</f>
        <v/>
      </c>
      <c r="H1011" s="986">
        <f>ROUND(H982-H1009,6)</f>
        <v/>
      </c>
      <c r="I1011" s="986">
        <f>ROUND(I982-I1009,6)</f>
        <v/>
      </c>
      <c r="J1011" s="986">
        <f>ROUND(J982-J1009,6)</f>
        <v/>
      </c>
      <c r="K1011" s="986">
        <f>ROUND(K982-K1009,6)</f>
        <v/>
      </c>
      <c r="L1011" s="986">
        <f>ROUND(L982-L1009,6)</f>
        <v/>
      </c>
      <c r="M1011" s="986">
        <f>ROUND(M982-M1009,6)</f>
        <v/>
      </c>
      <c r="N1011" s="986">
        <f>ROUND(N982-N1009,6)</f>
        <v/>
      </c>
      <c r="O1011" s="986">
        <f>ROUND(O982-O1009,6)</f>
        <v/>
      </c>
      <c r="P1011" s="986">
        <f>ROUND(P982-P1009,6)</f>
        <v/>
      </c>
      <c r="Q1011" s="986">
        <f>ROUND(Q982-Q1009,6)</f>
        <v/>
      </c>
      <c r="R1011" s="986">
        <f>ROUND(R982-R1009,6)</f>
        <v/>
      </c>
      <c r="S1011" s="986">
        <f>ROUND(S982-S1009,6)</f>
        <v/>
      </c>
      <c r="T1011" s="986">
        <f>ROUND(T982-T1009,6)</f>
        <v/>
      </c>
      <c r="U1011" s="986">
        <f>ROUND(U982-U1009,6)</f>
        <v/>
      </c>
      <c r="V1011" s="986">
        <f>ROUND(V982-V1009,6)</f>
        <v/>
      </c>
      <c r="W1011" s="986">
        <f>ROUND(W982-W1009,6)</f>
        <v/>
      </c>
      <c r="X1011" s="986">
        <f>ROUND(X982-X1009,6)</f>
        <v/>
      </c>
      <c r="Y1011" s="986">
        <f>ROUND(Y982-Y1009,6)</f>
        <v/>
      </c>
      <c r="Z1011" s="986">
        <f>ROUND(Z982-Z1009,6)</f>
        <v/>
      </c>
      <c r="AA1011" s="986">
        <f>ROUND(AA982-AA1009,6)</f>
        <v/>
      </c>
      <c r="AB1011" s="986">
        <f>ROUND(AB982-AB1009,6)</f>
        <v/>
      </c>
      <c r="AC1011" s="986">
        <f>ROUND(AC982-AC1009,6)</f>
        <v/>
      </c>
      <c r="AD1011" s="986">
        <f>ROUND(AD982-AD1009,6)</f>
        <v/>
      </c>
      <c r="AE1011" s="986">
        <f>ROUND(AE982-AE1009,6)</f>
        <v/>
      </c>
      <c r="AF1011" s="986">
        <f>ROUND(AF982-AF1009,6)</f>
        <v/>
      </c>
      <c r="AG1011" s="986">
        <f>ROUND(AG982-AG1009,6)</f>
        <v/>
      </c>
      <c r="AH1011" s="986">
        <f>ROUND(AH982-AH1009,6)</f>
        <v/>
      </c>
      <c r="AI1011" s="986">
        <f>ROUND(AI982-AI1009,6)</f>
        <v/>
      </c>
      <c r="AJ1011" s="986">
        <f>ROUND(AJ982-AJ1009,6)</f>
        <v/>
      </c>
      <c r="AK1011" s="986">
        <f>ROUND(AK982-AK1009,6)</f>
        <v/>
      </c>
      <c r="AL1011" s="986">
        <f>ROUND(AL982-AL1009,6)</f>
        <v/>
      </c>
      <c r="AM1011" s="986">
        <f>ROUND(AM982-AM1009,6)</f>
        <v/>
      </c>
      <c r="AN1011" s="986">
        <f>ROUND(AN982-AN1009,6)</f>
        <v/>
      </c>
      <c r="AO1011" s="986">
        <f>ROUND(AO982-AO1009,6)</f>
        <v/>
      </c>
      <c r="AP1011" s="986">
        <f>ROUND(AP982-AP1009,6)</f>
        <v/>
      </c>
      <c r="AQ1011" s="986">
        <f>ROUND(AQ982-AQ1009,6)</f>
        <v/>
      </c>
      <c r="AR1011" s="986">
        <f>ROUND(AR982-AR1009,6)</f>
        <v/>
      </c>
      <c r="AS1011" s="986">
        <f>ROUND(AS982-AS1009,6)</f>
        <v/>
      </c>
      <c r="AT1011" s="986">
        <f>ROUND(AT982-AT1009,6)</f>
        <v/>
      </c>
      <c r="AU1011" s="986">
        <f>ROUND(AU982-AU1009,6)</f>
        <v/>
      </c>
      <c r="AV1011" s="986">
        <f>ROUND(AV982-AV1009,6)</f>
        <v/>
      </c>
      <c r="AW1011" s="986">
        <f>ROUND(AW982-AW1009,6)</f>
        <v/>
      </c>
      <c r="AX1011" s="986">
        <f>ROUND(AX982-AX1009,6)</f>
        <v/>
      </c>
      <c r="AY1011" s="986">
        <f>ROUND(AY982-AY1009,6)</f>
        <v/>
      </c>
      <c r="AZ1011" s="986">
        <f>ROUND(AZ982-AZ1009,6)</f>
        <v/>
      </c>
      <c r="BA1011" s="986">
        <f>ROUND(BA982-BA1009,6)</f>
        <v/>
      </c>
      <c r="BB1011" s="986">
        <f>ROUND(BB982-BB1009,6)</f>
        <v/>
      </c>
      <c r="BC1011" s="986">
        <f>ROUND(BC982-BC1009,6)</f>
        <v/>
      </c>
      <c r="BD1011" s="986">
        <f>ROUND(BD982-BD1009,6)</f>
        <v/>
      </c>
      <c r="BE1011" s="986">
        <f>ROUND(BE982-BE1009,6)</f>
        <v/>
      </c>
      <c r="BF1011" s="986">
        <f>ROUND(BF982-BF1009,6)</f>
        <v/>
      </c>
      <c r="BG1011" s="986">
        <f>ROUND(BG982-BG1009,6)</f>
        <v/>
      </c>
      <c r="BH1011" s="986">
        <f>ROUND(BH982-BH1009,6)</f>
        <v/>
      </c>
      <c r="BI1011" s="986">
        <f>ROUND(BI982-BI1009,6)</f>
        <v/>
      </c>
      <c r="BJ1011" s="986">
        <f>ROUND(BJ982-BJ1009,6)</f>
        <v/>
      </c>
      <c r="BK1011" s="986">
        <f>ROUND(BK982-BK1009,6)</f>
        <v/>
      </c>
      <c r="BL1011" s="986">
        <f>ROUND(BL982-BL1009,6)</f>
        <v/>
      </c>
      <c r="BM1011" s="986">
        <f>ROUND(BM982-BM1009,6)</f>
        <v/>
      </c>
      <c r="BN1011" s="986">
        <f>ROUND(BN982-BN1009,6)</f>
        <v/>
      </c>
      <c r="BO1011" s="986">
        <f>ROUND(BO982-BO1009,6)</f>
        <v/>
      </c>
      <c r="BP1011" s="986">
        <f>ROUND(BP982-BP1009,6)</f>
        <v/>
      </c>
      <c r="BQ1011" s="986">
        <f>ROUND(BQ982-BQ1009,6)</f>
        <v/>
      </c>
      <c r="BR1011" s="986">
        <f>ROUND(BR982-BR1009,6)</f>
        <v/>
      </c>
      <c r="BS1011" s="986">
        <f>ROUND(BS982-BS1009,6)</f>
        <v/>
      </c>
      <c r="BT1011" s="986">
        <f>ROUND(BT982-BT1009,6)</f>
        <v/>
      </c>
      <c r="BU1011" s="986">
        <f>ROUND(BU982-BU1009,6)</f>
        <v/>
      </c>
      <c r="BV1011" s="987">
        <f>ROUND(BV982-BV1009,6)</f>
        <v/>
      </c>
      <c r="BW1011" s="986">
        <f>ROUND(BW982-BW1009,6)</f>
        <v/>
      </c>
      <c r="BX1011" s="986">
        <f>ROUND(BX982-BX1009,6)</f>
        <v/>
      </c>
      <c r="BY1011" s="986">
        <f>ROUND(BY982-BY1009,6)</f>
        <v/>
      </c>
      <c r="BZ1011" s="986">
        <f>ROUND(BZ982-BZ1009,6)</f>
        <v/>
      </c>
      <c r="CA1011" s="986">
        <f>ROUND(CA982-CA1009,6)</f>
        <v/>
      </c>
      <c r="CB1011" s="986">
        <f>ROUND(CB982-CB1009,6)</f>
        <v/>
      </c>
      <c r="CC1011" s="986">
        <f>ROUND(CC982-CC1009,6)</f>
        <v/>
      </c>
      <c r="CD1011" s="986">
        <f>ROUND(CD982-CD1009,6)</f>
        <v/>
      </c>
      <c r="CE1011" s="986">
        <f>ROUND(CE982-CE1009,6)</f>
        <v/>
      </c>
      <c r="CF1011" s="986">
        <f>ROUND(CF982-CF1009,6)</f>
        <v/>
      </c>
      <c r="CG1011" s="155" t="n"/>
    </row>
    <row r="1012">
      <c r="A1012" s="93" t="n"/>
      <c r="B1012" s="93" t="n"/>
      <c r="C1012" s="93" t="n"/>
      <c r="D1012" s="93" t="n"/>
      <c r="E1012" s="93" t="n"/>
      <c r="F1012" s="93" t="n"/>
      <c r="G1012" s="93" t="n"/>
      <c r="H1012" s="93" t="n"/>
      <c r="I1012" s="93" t="n"/>
      <c r="J1012" s="93" t="n"/>
      <c r="K1012" s="93" t="n"/>
      <c r="L1012" s="93" t="n"/>
      <c r="M1012" s="93" t="n"/>
      <c r="N1012" s="93" t="n"/>
      <c r="O1012" s="93" t="n"/>
      <c r="P1012" s="93" t="n"/>
      <c r="Q1012" s="93" t="n"/>
      <c r="R1012" s="93" t="n"/>
      <c r="S1012" s="93" t="n"/>
      <c r="T1012" s="93" t="n"/>
      <c r="U1012" s="93" t="n"/>
      <c r="V1012" s="93" t="n"/>
      <c r="W1012" s="93" t="n"/>
      <c r="X1012" s="93" t="n"/>
      <c r="Y1012" s="93" t="n"/>
      <c r="Z1012" s="93" t="n"/>
      <c r="AA1012" s="93" t="n"/>
      <c r="AB1012" s="93" t="n"/>
      <c r="AC1012" s="93" t="n"/>
      <c r="AD1012" s="93" t="n"/>
      <c r="AE1012" s="93" t="n"/>
      <c r="AF1012" s="93" t="n"/>
      <c r="AG1012" s="93" t="n"/>
      <c r="AH1012" s="93" t="n"/>
      <c r="AI1012" s="93" t="n"/>
      <c r="AJ1012" s="93" t="n"/>
      <c r="AK1012" s="93" t="n"/>
      <c r="AL1012" s="93" t="n"/>
      <c r="AM1012" s="93" t="n"/>
      <c r="AN1012" s="93" t="n"/>
      <c r="AO1012" s="93" t="n"/>
      <c r="AP1012" s="93" t="n"/>
      <c r="AQ1012" s="93" t="n"/>
      <c r="AR1012" s="93" t="n"/>
      <c r="AS1012" s="93" t="n"/>
      <c r="AT1012" s="93" t="n"/>
      <c r="AU1012" s="93" t="n"/>
      <c r="AV1012" s="93" t="n"/>
      <c r="AW1012" s="93" t="n"/>
      <c r="AX1012" s="93" t="n"/>
      <c r="AY1012" s="93" t="n"/>
      <c r="AZ1012" s="93" t="n"/>
      <c r="BA1012" s="93" t="n"/>
      <c r="BB1012" s="93" t="n"/>
      <c r="BC1012" s="93" t="n"/>
      <c r="BD1012" s="93" t="n"/>
      <c r="BE1012" s="93" t="n"/>
      <c r="BF1012" s="93" t="n"/>
      <c r="BG1012" s="93" t="n"/>
      <c r="BH1012" s="93" t="n"/>
      <c r="BI1012" s="93" t="n"/>
      <c r="BJ1012" s="93" t="n"/>
      <c r="BK1012" s="93" t="n"/>
      <c r="BL1012" s="93" t="n"/>
      <c r="BM1012" s="93" t="n"/>
      <c r="BN1012" s="93" t="n"/>
      <c r="BO1012" s="93" t="n"/>
      <c r="BP1012" s="93" t="n"/>
      <c r="BQ1012" s="93" t="n"/>
      <c r="BR1012" s="93" t="n"/>
      <c r="BS1012" s="93" t="n"/>
      <c r="BT1012" s="93" t="n"/>
      <c r="BU1012" s="93" t="n"/>
      <c r="BV1012" s="522" t="n"/>
      <c r="BW1012" s="93" t="n"/>
      <c r="BX1012" s="93" t="n"/>
      <c r="BY1012" s="93" t="n"/>
      <c r="BZ1012" s="93" t="n"/>
      <c r="CA1012" s="93" t="n"/>
      <c r="CB1012" s="93" t="n"/>
      <c r="CC1012" s="93" t="n"/>
      <c r="CD1012" s="93" t="n"/>
      <c r="CE1012" s="93" t="n"/>
      <c r="CF1012" s="93" t="n"/>
      <c r="CG1012" s="155" t="n"/>
    </row>
    <row r="1013">
      <c r="A1013" s="95" t="inlineStr">
        <is>
          <t>Model Checks</t>
        </is>
      </c>
      <c r="B1013" s="95" t="n"/>
      <c r="C1013" s="95" t="n"/>
      <c r="D1013" s="95" t="n"/>
      <c r="E1013" s="95" t="n"/>
      <c r="F1013" s="95"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c r="AA1013" s="95" t="n"/>
      <c r="AB1013" s="95" t="n"/>
      <c r="AC1013" s="95" t="n"/>
      <c r="AD1013" s="95" t="n"/>
      <c r="AE1013" s="95" t="n"/>
      <c r="AF1013" s="95" t="n"/>
      <c r="AG1013" s="95" t="n"/>
      <c r="AH1013" s="95" t="n"/>
      <c r="AI1013" s="95" t="n"/>
      <c r="AJ1013" s="95" t="n"/>
      <c r="AK1013" s="95" t="n"/>
      <c r="AL1013" s="95" t="n"/>
      <c r="AM1013" s="95" t="n"/>
      <c r="AN1013" s="95" t="n"/>
      <c r="AO1013" s="95" t="n"/>
      <c r="AP1013" s="95" t="n"/>
      <c r="AQ1013" s="95" t="n"/>
      <c r="AR1013" s="95" t="n"/>
      <c r="AS1013" s="95" t="n"/>
      <c r="AT1013" s="95" t="n"/>
      <c r="AU1013" s="95" t="n"/>
      <c r="AV1013" s="95" t="n"/>
      <c r="AW1013" s="95" t="n"/>
      <c r="AX1013" s="95" t="n"/>
      <c r="AY1013" s="95" t="n"/>
      <c r="AZ1013" s="95" t="n"/>
      <c r="BA1013" s="95" t="n"/>
      <c r="BB1013" s="95" t="n"/>
      <c r="BC1013" s="95" t="n"/>
      <c r="BD1013" s="95" t="n"/>
      <c r="BE1013" s="95" t="n"/>
      <c r="BF1013" s="95" t="n"/>
      <c r="BG1013" s="95" t="n"/>
      <c r="BH1013" s="95" t="n"/>
      <c r="BI1013" s="95" t="n"/>
      <c r="BJ1013" s="95" t="n"/>
      <c r="BK1013" s="95" t="n"/>
      <c r="BL1013" s="95" t="n"/>
      <c r="BM1013" s="95" t="n"/>
      <c r="BN1013" s="95" t="n"/>
      <c r="BO1013" s="95" t="n"/>
      <c r="BP1013" s="95" t="n"/>
      <c r="BQ1013" s="95" t="n"/>
      <c r="BR1013" s="95" t="n"/>
      <c r="BS1013" s="95" t="n"/>
      <c r="BT1013" s="95" t="n"/>
      <c r="BU1013" s="95" t="n"/>
      <c r="BV1013" s="500" t="n"/>
      <c r="BW1013" s="95" t="n"/>
      <c r="BX1013" s="95" t="n"/>
      <c r="BY1013" s="95" t="n"/>
      <c r="BZ1013" s="95" t="n"/>
      <c r="CA1013" s="95" t="n"/>
      <c r="CB1013" s="95" t="n"/>
      <c r="CC1013" s="95" t="n"/>
      <c r="CD1013" s="95" t="n"/>
      <c r="CE1013" s="95" t="n"/>
      <c r="CF1013" s="95" t="n"/>
      <c r="CG1013" s="155" t="n"/>
    </row>
    <row r="1014">
      <c r="A1014" s="27" t="inlineStr">
        <is>
          <t>Net Income on Revised IS = NI on CF statement</t>
        </is>
      </c>
      <c r="B1014" s="563" t="n"/>
      <c r="C1014" s="986">
        <f>ROUND(C416-C843,6)</f>
        <v/>
      </c>
      <c r="D1014" s="986">
        <f>ROUND(D416-D843,6)</f>
        <v/>
      </c>
      <c r="E1014" s="986">
        <f>ROUND(E416-E843,6)</f>
        <v/>
      </c>
      <c r="F1014" s="986">
        <f>ROUND(F416-F843,6)</f>
        <v/>
      </c>
      <c r="G1014" s="986">
        <f>ROUND(G416-G843,6)</f>
        <v/>
      </c>
      <c r="H1014" s="986">
        <f>ROUND(H416-H843,6)</f>
        <v/>
      </c>
      <c r="I1014" s="986">
        <f>ROUND(I416-I843,6)</f>
        <v/>
      </c>
      <c r="J1014" s="986">
        <f>ROUND(J416-J843,6)</f>
        <v/>
      </c>
      <c r="K1014" s="986">
        <f>ROUND(K416-K843,6)</f>
        <v/>
      </c>
      <c r="L1014" s="986">
        <f>ROUND(L416-L843,6)</f>
        <v/>
      </c>
      <c r="M1014" s="986">
        <f>ROUND(M416-M843,6)</f>
        <v/>
      </c>
      <c r="N1014" s="986">
        <f>ROUND(N416-N843,6)</f>
        <v/>
      </c>
      <c r="O1014" s="986">
        <f>ROUND(O416-O843,6)</f>
        <v/>
      </c>
      <c r="P1014" s="986">
        <f>ROUND(P416-P843,6)</f>
        <v/>
      </c>
      <c r="Q1014" s="986">
        <f>ROUND(Q416-Q843,6)</f>
        <v/>
      </c>
      <c r="R1014" s="986">
        <f>ROUND(R416-R843,6)</f>
        <v/>
      </c>
      <c r="S1014" s="986">
        <f>ROUND(S416-S843,6)</f>
        <v/>
      </c>
      <c r="T1014" s="986">
        <f>ROUND(T416-T843,6)</f>
        <v/>
      </c>
      <c r="U1014" s="986">
        <f>ROUND(U416-U843,6)</f>
        <v/>
      </c>
      <c r="V1014" s="986">
        <f>ROUND(V416-V843,6)</f>
        <v/>
      </c>
      <c r="W1014" s="986">
        <f>ROUND(W416-W843,6)</f>
        <v/>
      </c>
      <c r="X1014" s="986">
        <f>ROUND(X416-X843,6)</f>
        <v/>
      </c>
      <c r="Y1014" s="986">
        <f>ROUND(Y416-Y843,6)</f>
        <v/>
      </c>
      <c r="Z1014" s="986">
        <f>ROUND(Z416-Z843,6)</f>
        <v/>
      </c>
      <c r="AA1014" s="986">
        <f>ROUND(AA416-AA843,6)</f>
        <v/>
      </c>
      <c r="AB1014" s="986">
        <f>ROUND(AB416-AB843,6)</f>
        <v/>
      </c>
      <c r="AC1014" s="986">
        <f>ROUND(AC416-AC843,6)</f>
        <v/>
      </c>
      <c r="AD1014" s="986">
        <f>ROUND(AD416-AD843,6)</f>
        <v/>
      </c>
      <c r="AE1014" s="986">
        <f>ROUND(AE416-AE843,6)</f>
        <v/>
      </c>
      <c r="AF1014" s="986">
        <f>ROUND(AF416-AF843,6)</f>
        <v/>
      </c>
      <c r="AG1014" s="986">
        <f>ROUND(AG416-AG843,6)</f>
        <v/>
      </c>
      <c r="AH1014" s="986">
        <f>ROUND(AH416-AH843,6)</f>
        <v/>
      </c>
      <c r="AI1014" s="986">
        <f>ROUND(AI416-AI843,6)</f>
        <v/>
      </c>
      <c r="AJ1014" s="986">
        <f>ROUND(AJ416-AJ843,6)</f>
        <v/>
      </c>
      <c r="AK1014" s="986">
        <f>ROUND(AK416-AK843,6)</f>
        <v/>
      </c>
      <c r="AL1014" s="986">
        <f>ROUND(AL416-AL843,6)</f>
        <v/>
      </c>
      <c r="AM1014" s="986">
        <f>ROUND(AM416-AM843,6)</f>
        <v/>
      </c>
      <c r="AN1014" s="986">
        <f>ROUND(AN416-AN843,6)</f>
        <v/>
      </c>
      <c r="AO1014" s="986">
        <f>ROUND(AO416-AO843,6)</f>
        <v/>
      </c>
      <c r="AP1014" s="986">
        <f>ROUND(AP416-AP843,6)</f>
        <v/>
      </c>
      <c r="AQ1014" s="986">
        <f>ROUND(AQ416-AQ843,6)</f>
        <v/>
      </c>
      <c r="AR1014" s="986">
        <f>ROUND(AR416-AR843,6)</f>
        <v/>
      </c>
      <c r="AS1014" s="986">
        <f>ROUND(AS416-AS843,6)</f>
        <v/>
      </c>
      <c r="AT1014" s="986">
        <f>ROUND(AT416-AT843,6)</f>
        <v/>
      </c>
      <c r="AU1014" s="986">
        <f>ROUND(AU416-AU843,6)</f>
        <v/>
      </c>
      <c r="AV1014" s="986">
        <f>ROUND(AV416-AV843,6)</f>
        <v/>
      </c>
      <c r="AW1014" s="986">
        <f>ROUND(AW416-AW843,6)</f>
        <v/>
      </c>
      <c r="AX1014" s="986">
        <f>ROUND(AX416-AX843,6)</f>
        <v/>
      </c>
      <c r="AY1014" s="986">
        <f>ROUND(AY416-AY843,6)</f>
        <v/>
      </c>
      <c r="AZ1014" s="986">
        <f>ROUND(AZ416-AZ843,6)</f>
        <v/>
      </c>
      <c r="BA1014" s="986">
        <f>ROUND(BA416-BA843,6)</f>
        <v/>
      </c>
      <c r="BB1014" s="986">
        <f>ROUND(BB416-BB843,6)</f>
        <v/>
      </c>
      <c r="BC1014" s="986">
        <f>ROUND(BC416-BC843,6)</f>
        <v/>
      </c>
      <c r="BD1014" s="986">
        <f>ROUND(BD416-BD843,6)</f>
        <v/>
      </c>
      <c r="BE1014" s="986">
        <f>ROUND(BE416-BE843,6)</f>
        <v/>
      </c>
      <c r="BF1014" s="986">
        <f>ROUND(BF416-BF843,6)</f>
        <v/>
      </c>
      <c r="BG1014" s="986">
        <f>ROUND(BG416-BG843,6)</f>
        <v/>
      </c>
      <c r="BH1014" s="986">
        <f>ROUND(BH416-BH843,6)</f>
        <v/>
      </c>
      <c r="BI1014" s="986">
        <f>ROUND(BI416-BI843,6)</f>
        <v/>
      </c>
      <c r="BJ1014" s="986">
        <f>ROUND(BJ416-BJ843,6)</f>
        <v/>
      </c>
      <c r="BK1014" s="986">
        <f>ROUND(BK416-BK843,6)</f>
        <v/>
      </c>
      <c r="BL1014" s="986">
        <f>ROUND(BL416-BL843,6)</f>
        <v/>
      </c>
      <c r="BM1014" s="986">
        <f>ROUND(BM416-BM843,6)</f>
        <v/>
      </c>
      <c r="BN1014" s="986">
        <f>ROUND(BN416-BN843,6)</f>
        <v/>
      </c>
      <c r="BO1014" s="986">
        <f>ROUND(BO416-BO843,6)</f>
        <v/>
      </c>
      <c r="BP1014" s="986">
        <f>ROUND(BP416-BP843,6)</f>
        <v/>
      </c>
      <c r="BQ1014" s="986">
        <f>ROUND(BQ416-BQ843,6)</f>
        <v/>
      </c>
      <c r="BR1014" s="986">
        <f>ROUND(BR416-BR843,6)</f>
        <v/>
      </c>
      <c r="BS1014" s="986">
        <f>ROUND(BS416-BS843,6)</f>
        <v/>
      </c>
      <c r="BT1014" s="986">
        <f>ROUND(BT416-BT843,6)</f>
        <v/>
      </c>
      <c r="BU1014" s="986">
        <f>ROUND(BU416-BU843,6)</f>
        <v/>
      </c>
      <c r="BV1014" s="987">
        <f>ROUND(BV416-BV843,6)</f>
        <v/>
      </c>
      <c r="BW1014" s="986">
        <f>ROUND(BW416-BW843,6)</f>
        <v/>
      </c>
      <c r="BX1014" s="986">
        <f>ROUND(BX416-BX843,6)</f>
        <v/>
      </c>
      <c r="BY1014" s="986">
        <f>ROUND(BY416-BY843,6)</f>
        <v/>
      </c>
      <c r="BZ1014" s="986">
        <f>ROUND(BZ416-BZ843,6)</f>
        <v/>
      </c>
      <c r="CA1014" s="986">
        <f>ROUND(CA416-CA843,6)</f>
        <v/>
      </c>
      <c r="CB1014" s="986">
        <f>ROUND(CB416-CB843,6)</f>
        <v/>
      </c>
      <c r="CC1014" s="986">
        <f>ROUND(CC416-CC843,6)</f>
        <v/>
      </c>
      <c r="CD1014" s="986">
        <f>ROUND(CD416-CD843,6)</f>
        <v/>
      </c>
      <c r="CE1014" s="986">
        <f>ROUND(CE416-CE843,6)</f>
        <v/>
      </c>
      <c r="CF1014" s="986">
        <f>ROUND(CF416-CF843,6)</f>
        <v/>
      </c>
      <c r="CG1014" s="155" t="n"/>
    </row>
    <row r="1015">
      <c r="A1015" s="228" t="inlineStr">
        <is>
          <t>Net Income on Reported IS = NI on Revised</t>
        </is>
      </c>
      <c r="B1015" s="626" t="n"/>
      <c r="C1015" s="387">
        <f>IF(ISBLANK(INDEX(MO_IS_FirstRow,0,COLUMN())),0,ROUND(C307-C416,6))</f>
        <v/>
      </c>
      <c r="D1015" s="387">
        <f>IF(ISBLANK(INDEX(MO_IS_FirstRow,0,COLUMN())),0,ROUND(D307-D416,6))</f>
        <v/>
      </c>
      <c r="E1015" s="387">
        <f>IF(ISBLANK(INDEX(MO_IS_FirstRow,0,COLUMN())),0,ROUND(E307-E416,6))</f>
        <v/>
      </c>
      <c r="F1015" s="387">
        <f>IF(ISBLANK(INDEX(MO_IS_FirstRow,0,COLUMN())),0,ROUND(F307-F416,6))</f>
        <v/>
      </c>
      <c r="G1015" s="387">
        <f>IF(ISBLANK(INDEX(MO_IS_FirstRow,0,COLUMN())),0,ROUND(G307-G416,6))</f>
        <v/>
      </c>
      <c r="H1015" s="387">
        <f>IF(ISBLANK(INDEX(MO_IS_FirstRow,0,COLUMN())),0,ROUND(H307-H416,6))</f>
        <v/>
      </c>
      <c r="I1015" s="387">
        <f>IF(ISBLANK(INDEX(MO_IS_FirstRow,0,COLUMN())),0,ROUND(I307-I416,6))</f>
        <v/>
      </c>
      <c r="J1015" s="387">
        <f>IF(ISBLANK(INDEX(MO_IS_FirstRow,0,COLUMN())),0,ROUND(J307-J416,6))</f>
        <v/>
      </c>
      <c r="K1015" s="387">
        <f>IF(ISBLANK(INDEX(MO_IS_FirstRow,0,COLUMN())),0,ROUND(K307-K416,6))</f>
        <v/>
      </c>
      <c r="L1015" s="387">
        <f>IF(ISBLANK(INDEX(MO_IS_FirstRow,0,COLUMN())),0,ROUND(L307-L416,6))</f>
        <v/>
      </c>
      <c r="M1015" s="387">
        <f>IF(ISBLANK(INDEX(MO_IS_FirstRow,0,COLUMN())),0,ROUND(M307-M416,6))</f>
        <v/>
      </c>
      <c r="N1015" s="387">
        <f>IF(ISBLANK(INDEX(MO_IS_FirstRow,0,COLUMN())),0,ROUND(N307-N416,6))</f>
        <v/>
      </c>
      <c r="O1015" s="387">
        <f>IF(ISBLANK(INDEX(MO_IS_FirstRow,0,COLUMN())),0,ROUND(O307-O416,6))</f>
        <v/>
      </c>
      <c r="P1015" s="387">
        <f>IF(ISBLANK(INDEX(MO_IS_FirstRow,0,COLUMN())),0,ROUND(P307-P416,6))</f>
        <v/>
      </c>
      <c r="Q1015" s="387">
        <f>IF(ISBLANK(INDEX(MO_IS_FirstRow,0,COLUMN())),0,ROUND(Q307-Q416,6))</f>
        <v/>
      </c>
      <c r="R1015" s="387">
        <f>IF(ISBLANK(INDEX(MO_IS_FirstRow,0,COLUMN())),0,ROUND(R307-R416,6))</f>
        <v/>
      </c>
      <c r="S1015" s="387">
        <f>IF(ISBLANK(INDEX(MO_IS_FirstRow,0,COLUMN())),0,ROUND(S307-S416,6))</f>
        <v/>
      </c>
      <c r="T1015" s="387">
        <f>IF(ISBLANK(INDEX(MO_IS_FirstRow,0,COLUMN())),0,ROUND(T307-T416,6))</f>
        <v/>
      </c>
      <c r="U1015" s="387">
        <f>IF(ISBLANK(INDEX(MO_IS_FirstRow,0,COLUMN())),0,ROUND(U307-U416,6))</f>
        <v/>
      </c>
      <c r="V1015" s="387">
        <f>IF(ISBLANK(INDEX(MO_IS_FirstRow,0,COLUMN())),0,ROUND(V307-V416,6))</f>
        <v/>
      </c>
      <c r="W1015" s="387">
        <f>IF(ISBLANK(INDEX(MO_IS_FirstRow,0,COLUMN())),0,ROUND(W307-W416,6))</f>
        <v/>
      </c>
      <c r="X1015" s="387">
        <f>IF(ISBLANK(INDEX(MO_IS_FirstRow,0,COLUMN())),0,ROUND(X307-X416,6))</f>
        <v/>
      </c>
      <c r="Y1015" s="387">
        <f>IF(ISBLANK(INDEX(MO_IS_FirstRow,0,COLUMN())),0,ROUND(Y307-Y416,6))</f>
        <v/>
      </c>
      <c r="Z1015" s="387">
        <f>IF(ISBLANK(INDEX(MO_IS_FirstRow,0,COLUMN())),0,ROUND(Z307-Z416,6))</f>
        <v/>
      </c>
      <c r="AA1015" s="387">
        <f>IF(ISBLANK(INDEX(MO_IS_FirstRow,0,COLUMN())),0,ROUND(AA307-AA416,6))</f>
        <v/>
      </c>
      <c r="AB1015" s="387">
        <f>IF(ISBLANK(INDEX(MO_IS_FirstRow,0,COLUMN())),0,ROUND(AB307-AB416,6))</f>
        <v/>
      </c>
      <c r="AC1015" s="387">
        <f>IF(ISBLANK(INDEX(MO_IS_FirstRow,0,COLUMN())),0,ROUND(AC307-AC416,6))</f>
        <v/>
      </c>
      <c r="AD1015" s="387">
        <f>IF(ISBLANK(INDEX(MO_IS_FirstRow,0,COLUMN())),0,ROUND(AD307-AD416,6))</f>
        <v/>
      </c>
      <c r="AE1015" s="387">
        <f>IF(ISBLANK(INDEX(MO_IS_FirstRow,0,COLUMN())),0,ROUND(AE307-AE416,6))</f>
        <v/>
      </c>
      <c r="AF1015" s="387">
        <f>IF(ISBLANK(INDEX(MO_IS_FirstRow,0,COLUMN())),0,ROUND(AF307-AF416,6))</f>
        <v/>
      </c>
      <c r="AG1015" s="387">
        <f>IF(ISBLANK(INDEX(MO_IS_FirstRow,0,COLUMN())),0,ROUND(AG307-AG416,6))</f>
        <v/>
      </c>
      <c r="AH1015" s="387">
        <f>IF(ISBLANK(INDEX(MO_IS_FirstRow,0,COLUMN())),0,ROUND(AH307-AH416,6))</f>
        <v/>
      </c>
      <c r="AI1015" s="387">
        <f>IF(ISBLANK(INDEX(MO_IS_FirstRow,0,COLUMN())),0,ROUND(AI307-AI416,6))</f>
        <v/>
      </c>
      <c r="AJ1015" s="387">
        <f>IF(ISBLANK(INDEX(MO_IS_FirstRow,0,COLUMN())),0,ROUND(AJ307-AJ416,6))</f>
        <v/>
      </c>
      <c r="AK1015" s="387">
        <f>IF(ISBLANK(INDEX(MO_IS_FirstRow,0,COLUMN())),0,ROUND(AK307-AK416,6))</f>
        <v/>
      </c>
      <c r="AL1015" s="387">
        <f>IF(ISBLANK(INDEX(MO_IS_FirstRow,0,COLUMN())),0,ROUND(AL307-AL416,6))</f>
        <v/>
      </c>
      <c r="AM1015" s="387">
        <f>IF(ISBLANK(INDEX(MO_IS_FirstRow,0,COLUMN())),0,ROUND(AM307-AM416,6))</f>
        <v/>
      </c>
      <c r="AN1015" s="387">
        <f>IF(ISBLANK(INDEX(MO_IS_FirstRow,0,COLUMN())),0,ROUND(AN307-AN416,6))</f>
        <v/>
      </c>
      <c r="AO1015" s="387">
        <f>IF(ISBLANK(INDEX(MO_IS_FirstRow,0,COLUMN())),0,ROUND(AO307-AO416,6))</f>
        <v/>
      </c>
      <c r="AP1015" s="387">
        <f>IF(ISBLANK(INDEX(MO_IS_FirstRow,0,COLUMN())),0,ROUND(AP307-AP416,6))</f>
        <v/>
      </c>
      <c r="AQ1015" s="387">
        <f>IF(ISBLANK(INDEX(MO_IS_FirstRow,0,COLUMN())),0,ROUND(AQ307-AQ416,6))</f>
        <v/>
      </c>
      <c r="AR1015" s="387">
        <f>IF(ISBLANK(INDEX(MO_IS_FirstRow,0,COLUMN())),0,ROUND(AR307-AR416,6))</f>
        <v/>
      </c>
      <c r="AS1015" s="387">
        <f>IF(ISBLANK(INDEX(MO_IS_FirstRow,0,COLUMN())),0,ROUND(AS307-AS416,6))</f>
        <v/>
      </c>
      <c r="AT1015" s="387">
        <f>IF(ISBLANK(INDEX(MO_IS_FirstRow,0,COLUMN())),0,ROUND(AT307-AT416,6))</f>
        <v/>
      </c>
      <c r="AU1015" s="387">
        <f>IF(ISBLANK(INDEX(MO_IS_FirstRow,0,COLUMN())),0,ROUND(AU307-AU416,6))</f>
        <v/>
      </c>
      <c r="AV1015" s="387">
        <f>IF(ISBLANK(INDEX(MO_IS_FirstRow,0,COLUMN())),0,ROUND(AV307-AV416,6))</f>
        <v/>
      </c>
      <c r="AW1015" s="387">
        <f>IF(ISBLANK(INDEX(MO_IS_FirstRow,0,COLUMN())),0,ROUND(AW307-AW416,6))</f>
        <v/>
      </c>
      <c r="AX1015" s="387">
        <f>IF(ISBLANK(INDEX(MO_IS_FirstRow,0,COLUMN())),0,ROUND(AX307-AX416,6))</f>
        <v/>
      </c>
      <c r="AY1015" s="387">
        <f>IF(ISBLANK(INDEX(MO_IS_FirstRow,0,COLUMN())),0,ROUND(AY307-AY416,6))</f>
        <v/>
      </c>
      <c r="AZ1015" s="387">
        <f>IF(ISBLANK(INDEX(MO_IS_FirstRow,0,COLUMN())),0,ROUND(AZ307-AZ416,6))</f>
        <v/>
      </c>
      <c r="BA1015" s="387">
        <f>IF(ISBLANK(INDEX(MO_IS_FirstRow,0,COLUMN())),0,ROUND(BA307-BA416,6))</f>
        <v/>
      </c>
      <c r="BB1015" s="387">
        <f>IF(ISBLANK(INDEX(MO_IS_FirstRow,0,COLUMN())),0,ROUND(BB307-BB416,6))</f>
        <v/>
      </c>
      <c r="BC1015" s="387">
        <f>IF(ISBLANK(INDEX(MO_IS_FirstRow,0,COLUMN())),0,ROUND(BC307-BC416,6))</f>
        <v/>
      </c>
      <c r="BD1015" s="387">
        <f>IF(ISBLANK(INDEX(MO_IS_FirstRow,0,COLUMN())),0,ROUND(BD307-BD416,6))</f>
        <v/>
      </c>
      <c r="BE1015" s="387">
        <f>IF(ISBLANK(INDEX(MO_IS_FirstRow,0,COLUMN())),0,ROUND(BE307-BE416,6))</f>
        <v/>
      </c>
      <c r="BF1015" s="387">
        <f>IF(ISBLANK(INDEX(MO_IS_FirstRow,0,COLUMN())),0,ROUND(BF307-BF416,6))</f>
        <v/>
      </c>
      <c r="BG1015" s="387">
        <f>IF(ISBLANK(INDEX(MO_IS_FirstRow,0,COLUMN())),0,ROUND(BG307-BG416,6))</f>
        <v/>
      </c>
      <c r="BH1015" s="387">
        <f>IF(ISBLANK(INDEX(MO_IS_FirstRow,0,COLUMN())),0,ROUND(BH307-BH416,6))</f>
        <v/>
      </c>
      <c r="BI1015" s="387">
        <f>IF(ISBLANK(INDEX(MO_IS_FirstRow,0,COLUMN())),0,ROUND(BI307-BI416,6))</f>
        <v/>
      </c>
      <c r="BJ1015" s="387">
        <f>IF(ISBLANK(INDEX(MO_IS_FirstRow,0,COLUMN())),0,ROUND(BJ307-BJ416,6))</f>
        <v/>
      </c>
      <c r="BK1015" s="387">
        <f>IF(ISBLANK(INDEX(MO_IS_FirstRow,0,COLUMN())),0,ROUND(BK307-BK416,6))</f>
        <v/>
      </c>
      <c r="BL1015" s="387">
        <f>IF(ISBLANK(INDEX(MO_IS_FirstRow,0,COLUMN())),0,ROUND(BL307-BL416,6))</f>
        <v/>
      </c>
      <c r="BM1015" s="387">
        <f>IF(ISBLANK(INDEX(MO_IS_FirstRow,0,COLUMN())),0,ROUND(BM307-BM416,6))</f>
        <v/>
      </c>
      <c r="BN1015" s="387">
        <f>IF(ISBLANK(INDEX(MO_IS_FirstRow,0,COLUMN())),0,ROUND(BN307-BN416,6))</f>
        <v/>
      </c>
      <c r="BO1015" s="387">
        <f>IF(ISBLANK(INDEX(MO_IS_FirstRow,0,COLUMN())),0,ROUND(BO307-BO416,6))</f>
        <v/>
      </c>
      <c r="BP1015" s="387">
        <f>IF(ISBLANK(INDEX(MO_IS_FirstRow,0,COLUMN())),0,ROUND(BP307-BP416,6))</f>
        <v/>
      </c>
      <c r="BQ1015" s="387">
        <f>IF(ISBLANK(INDEX(MO_IS_FirstRow,0,COLUMN())),0,ROUND(BQ307-BQ416,6))</f>
        <v/>
      </c>
      <c r="BR1015" s="387">
        <f>IF(ISBLANK(INDEX(MO_IS_FirstRow,0,COLUMN())),0,ROUND(BR307-BR416,6))</f>
        <v/>
      </c>
      <c r="BS1015" s="387">
        <f>IF(ISBLANK(INDEX(MO_IS_FirstRow,0,COLUMN())),0,ROUND(BS307-BS416,6))</f>
        <v/>
      </c>
      <c r="BT1015" s="387">
        <f>IF(ISBLANK(INDEX(MO_IS_FirstRow,0,COLUMN())),0,ROUND(BT307-BT416,6))</f>
        <v/>
      </c>
      <c r="BU1015" s="387">
        <f>IF(ISBLANK(INDEX(MO_IS_FirstRow,0,COLUMN())),0,ROUND(BU307-BU416,6))</f>
        <v/>
      </c>
      <c r="BV1015" s="1044">
        <f>IF(ISBLANK(INDEX(MO_IS_FirstRow,0,COLUMN())),0,ROUND(BV307-BV416,6))</f>
        <v/>
      </c>
      <c r="BW1015" s="387">
        <f>IF(ISBLANK(INDEX(MO_IS_FirstRow,0,COLUMN())),0,ROUND(BW307-BW416,6))</f>
        <v/>
      </c>
      <c r="BX1015" s="387">
        <f>IF(ISBLANK(INDEX(MO_IS_FirstRow,0,COLUMN())),0,ROUND(BX307-BX416,6))</f>
        <v/>
      </c>
      <c r="BY1015" s="387">
        <f>IF(ISBLANK(INDEX(MO_IS_FirstRow,0,COLUMN())),0,ROUND(BY307-BY416,6))</f>
        <v/>
      </c>
      <c r="BZ1015" s="387">
        <f>IF(ISBLANK(INDEX(MO_IS_FirstRow,0,COLUMN())),0,ROUND(BZ307-BZ416,6))</f>
        <v/>
      </c>
      <c r="CA1015" s="387">
        <f>IF(ISBLANK(INDEX(MO_IS_FirstRow,0,COLUMN())),0,ROUND(CA307-CA416,6))</f>
        <v/>
      </c>
      <c r="CB1015" s="387">
        <f>IF(ISBLANK(INDEX(MO_IS_FirstRow,0,COLUMN())),0,ROUND(CB307-CB416,6))</f>
        <v/>
      </c>
      <c r="CC1015" s="387">
        <f>IF(ISBLANK(INDEX(MO_IS_FirstRow,0,COLUMN())),0,ROUND(CC307-CC416,6))</f>
        <v/>
      </c>
      <c r="CD1015" s="387">
        <f>IF(ISBLANK(INDEX(MO_IS_FirstRow,0,COLUMN())),0,ROUND(CD307-CD416,6))</f>
        <v/>
      </c>
      <c r="CE1015" s="387">
        <f>IF(ISBLANK(INDEX(MO_IS_FirstRow,0,COLUMN())),0,ROUND(CE307-CE416,6))</f>
        <v/>
      </c>
      <c r="CF1015" s="387">
        <f>IF(ISBLANK(INDEX(MO_IS_FirstRow,0,COLUMN())),0,ROUND(CF307-CF416,6))</f>
        <v/>
      </c>
      <c r="CG1015" s="155" t="n"/>
    </row>
    <row r="1016">
      <c r="A1016" s="228" t="inlineStr">
        <is>
          <t>Cash is Positive</t>
        </is>
      </c>
      <c r="B1016" s="626" t="n"/>
      <c r="C1016" s="387">
        <f>IF(C726&lt;0,C726,0)</f>
        <v/>
      </c>
      <c r="D1016" s="387">
        <f>IF(D726&lt;0,D726,0)</f>
        <v/>
      </c>
      <c r="E1016" s="387">
        <f>IF(E726&lt;0,E726,0)</f>
        <v/>
      </c>
      <c r="F1016" s="387">
        <f>IF(F726&lt;0,F726,0)</f>
        <v/>
      </c>
      <c r="G1016" s="387">
        <f>IF(G726&lt;0,G726,0)</f>
        <v/>
      </c>
      <c r="H1016" s="387">
        <f>IF(H726&lt;0,H726,0)</f>
        <v/>
      </c>
      <c r="I1016" s="387">
        <f>IF(I726&lt;0,I726,0)</f>
        <v/>
      </c>
      <c r="J1016" s="387">
        <f>IF(J726&lt;0,J726,0)</f>
        <v/>
      </c>
      <c r="K1016" s="387">
        <f>IF(K726&lt;0,K726,0)</f>
        <v/>
      </c>
      <c r="L1016" s="387">
        <f>IF(L726&lt;0,L726,0)</f>
        <v/>
      </c>
      <c r="M1016" s="387">
        <f>IF(M726&lt;0,M726,0)</f>
        <v/>
      </c>
      <c r="N1016" s="387">
        <f>IF(N726&lt;0,N726,0)</f>
        <v/>
      </c>
      <c r="O1016" s="387">
        <f>IF(O726&lt;0,O726,0)</f>
        <v/>
      </c>
      <c r="P1016" s="387">
        <f>IF(P726&lt;0,P726,0)</f>
        <v/>
      </c>
      <c r="Q1016" s="387">
        <f>IF(Q726&lt;0,Q726,0)</f>
        <v/>
      </c>
      <c r="R1016" s="387">
        <f>IF(R726&lt;0,R726,0)</f>
        <v/>
      </c>
      <c r="S1016" s="387">
        <f>IF(S726&lt;0,S726,0)</f>
        <v/>
      </c>
      <c r="T1016" s="387">
        <f>IF(T726&lt;0,T726,0)</f>
        <v/>
      </c>
      <c r="U1016" s="387">
        <f>IF(U726&lt;0,U726,0)</f>
        <v/>
      </c>
      <c r="V1016" s="387">
        <f>IF(V726&lt;0,V726,0)</f>
        <v/>
      </c>
      <c r="W1016" s="387">
        <f>IF(W726&lt;0,W726,0)</f>
        <v/>
      </c>
      <c r="X1016" s="387">
        <f>IF(X726&lt;0,X726,0)</f>
        <v/>
      </c>
      <c r="Y1016" s="387">
        <f>IF(Y726&lt;0,Y726,0)</f>
        <v/>
      </c>
      <c r="Z1016" s="387">
        <f>IF(Z726&lt;0,Z726,0)</f>
        <v/>
      </c>
      <c r="AA1016" s="387">
        <f>IF(AA726&lt;0,AA726,0)</f>
        <v/>
      </c>
      <c r="AB1016" s="387">
        <f>IF(AB726&lt;0,AB726,0)</f>
        <v/>
      </c>
      <c r="AC1016" s="387">
        <f>IF(AC726&lt;0,AC726,0)</f>
        <v/>
      </c>
      <c r="AD1016" s="387">
        <f>IF(AD726&lt;0,AD726,0)</f>
        <v/>
      </c>
      <c r="AE1016" s="387">
        <f>IF(AE726&lt;0,AE726,0)</f>
        <v/>
      </c>
      <c r="AF1016" s="387">
        <f>IF(AF726&lt;0,AF726,0)</f>
        <v/>
      </c>
      <c r="AG1016" s="387">
        <f>IF(AG726&lt;0,AG726,0)</f>
        <v/>
      </c>
      <c r="AH1016" s="387">
        <f>IF(AH726&lt;0,AH726,0)</f>
        <v/>
      </c>
      <c r="AI1016" s="387">
        <f>IF(AI726&lt;0,AI726,0)</f>
        <v/>
      </c>
      <c r="AJ1016" s="387">
        <f>IF(AJ726&lt;0,AJ726,0)</f>
        <v/>
      </c>
      <c r="AK1016" s="387">
        <f>IF(AK726&lt;0,AK726,0)</f>
        <v/>
      </c>
      <c r="AL1016" s="387">
        <f>IF(AL726&lt;0,AL726,0)</f>
        <v/>
      </c>
      <c r="AM1016" s="387">
        <f>IF(AM726&lt;0,AM726,0)</f>
        <v/>
      </c>
      <c r="AN1016" s="387">
        <f>IF(AN726&lt;0,AN726,0)</f>
        <v/>
      </c>
      <c r="AO1016" s="387">
        <f>IF(AO726&lt;0,AO726,0)</f>
        <v/>
      </c>
      <c r="AP1016" s="387">
        <f>IF(AP726&lt;0,AP726,0)</f>
        <v/>
      </c>
      <c r="AQ1016" s="387">
        <f>IF(AQ726&lt;0,AQ726,0)</f>
        <v/>
      </c>
      <c r="AR1016" s="387">
        <f>IF(AR726&lt;0,AR726,0)</f>
        <v/>
      </c>
      <c r="AS1016" s="387">
        <f>IF(AS726&lt;0,AS726,0)</f>
        <v/>
      </c>
      <c r="AT1016" s="387">
        <f>IF(AT726&lt;0,AT726,0)</f>
        <v/>
      </c>
      <c r="AU1016" s="387">
        <f>IF(AU726&lt;0,AU726,0)</f>
        <v/>
      </c>
      <c r="AV1016" s="387">
        <f>IF(AV726&lt;0,AV726,0)</f>
        <v/>
      </c>
      <c r="AW1016" s="387">
        <f>IF(AW726&lt;0,AW726,0)</f>
        <v/>
      </c>
      <c r="AX1016" s="387">
        <f>IF(AX726&lt;0,AX726,0)</f>
        <v/>
      </c>
      <c r="AY1016" s="387">
        <f>IF(AY726&lt;0,AY726,0)</f>
        <v/>
      </c>
      <c r="AZ1016" s="387">
        <f>IF(AZ726&lt;0,AZ726,0)</f>
        <v/>
      </c>
      <c r="BA1016" s="387">
        <f>IF(BA726&lt;0,BA726,0)</f>
        <v/>
      </c>
      <c r="BB1016" s="387">
        <f>IF(BB726&lt;0,BB726,0)</f>
        <v/>
      </c>
      <c r="BC1016" s="387">
        <f>IF(BC726&lt;0,BC726,0)</f>
        <v/>
      </c>
      <c r="BD1016" s="387">
        <f>IF(BD726&lt;0,BD726,0)</f>
        <v/>
      </c>
      <c r="BE1016" s="387">
        <f>IF(BE726&lt;0,BE726,0)</f>
        <v/>
      </c>
      <c r="BF1016" s="387">
        <f>IF(BF726&lt;0,BF726,0)</f>
        <v/>
      </c>
      <c r="BG1016" s="387">
        <f>IF(BG726&lt;0,BG726,0)</f>
        <v/>
      </c>
      <c r="BH1016" s="387">
        <f>IF(BH726&lt;0,BH726,0)</f>
        <v/>
      </c>
      <c r="BI1016" s="387">
        <f>IF(BI726&lt;0,BI726,0)</f>
        <v/>
      </c>
      <c r="BJ1016" s="387">
        <f>IF(BJ726&lt;0,BJ726,0)</f>
        <v/>
      </c>
      <c r="BK1016" s="387">
        <f>IF(BK726&lt;0,BK726,0)</f>
        <v/>
      </c>
      <c r="BL1016" s="387">
        <f>IF(BL726&lt;0,BL726,0)</f>
        <v/>
      </c>
      <c r="BM1016" s="387">
        <f>IF(BM726&lt;0,BM726,0)</f>
        <v/>
      </c>
      <c r="BN1016" s="387">
        <f>IF(BN726&lt;0,BN726,0)</f>
        <v/>
      </c>
      <c r="BO1016" s="387">
        <f>IF(BO726&lt;0,BO726,0)</f>
        <v/>
      </c>
      <c r="BP1016" s="387">
        <f>IF(BP726&lt;0,BP726,0)</f>
        <v/>
      </c>
      <c r="BQ1016" s="387">
        <f>IF(BQ726&lt;0,BQ726,0)</f>
        <v/>
      </c>
      <c r="BR1016" s="387">
        <f>IF(BR726&lt;0,BR726,0)</f>
        <v/>
      </c>
      <c r="BS1016" s="387">
        <f>IF(BS726&lt;0,BS726,0)</f>
        <v/>
      </c>
      <c r="BT1016" s="387">
        <f>IF(BT726&lt;0,BT726,0)</f>
        <v/>
      </c>
      <c r="BU1016" s="387">
        <f>IF(BU726&lt;0,BU726,0)</f>
        <v/>
      </c>
      <c r="BV1016" s="1044">
        <f>IF(BV726&lt;0,BV726,0)</f>
        <v/>
      </c>
      <c r="BW1016" s="387">
        <f>IF(BW726&lt;0,BW726,0)</f>
        <v/>
      </c>
      <c r="BX1016" s="387">
        <f>IF(BX726&lt;0,BX726,0)</f>
        <v/>
      </c>
      <c r="BY1016" s="387">
        <f>IF(BY726&lt;0,BY726,0)</f>
        <v/>
      </c>
      <c r="BZ1016" s="387">
        <f>IF(BZ726&lt;0,BZ726,0)</f>
        <v/>
      </c>
      <c r="CA1016" s="387">
        <f>IF(CA726&lt;0,CA726,0)</f>
        <v/>
      </c>
      <c r="CB1016" s="387">
        <f>IF(CB726&lt;0,CB726,0)</f>
        <v/>
      </c>
      <c r="CC1016" s="387">
        <f>IF(CC726&lt;0,CC726,0)</f>
        <v/>
      </c>
      <c r="CD1016" s="387">
        <f>IF(CD726&lt;0,CD726,0)</f>
        <v/>
      </c>
      <c r="CE1016" s="387">
        <f>IF(CE726&lt;0,CE726,0)</f>
        <v/>
      </c>
      <c r="CF1016" s="387">
        <f>IF(CF726&lt;0,CF726,0)</f>
        <v/>
      </c>
      <c r="CG1016" s="155" t="n"/>
    </row>
    <row r="1017">
      <c r="A1017" s="228" t="inlineStr">
        <is>
          <t>Debt is Positive</t>
        </is>
      </c>
      <c r="B1017" s="626" t="n"/>
      <c r="C1017" s="387">
        <f>IF(C729&lt;0,C729,0)</f>
        <v/>
      </c>
      <c r="D1017" s="387">
        <f>IF(D729&lt;0,D729,0)</f>
        <v/>
      </c>
      <c r="E1017" s="387">
        <f>IF(E729&lt;0,E729,0)</f>
        <v/>
      </c>
      <c r="F1017" s="387">
        <f>IF(F729&lt;0,F729,0)</f>
        <v/>
      </c>
      <c r="G1017" s="387">
        <f>IF(G729&lt;0,G729,0)</f>
        <v/>
      </c>
      <c r="H1017" s="387">
        <f>IF(H729&lt;0,H729,0)</f>
        <v/>
      </c>
      <c r="I1017" s="387">
        <f>IF(I729&lt;0,I729,0)</f>
        <v/>
      </c>
      <c r="J1017" s="387">
        <f>IF(J729&lt;0,J729,0)</f>
        <v/>
      </c>
      <c r="K1017" s="387">
        <f>IF(K729&lt;0,K729,0)</f>
        <v/>
      </c>
      <c r="L1017" s="387">
        <f>IF(L729&lt;0,L729,0)</f>
        <v/>
      </c>
      <c r="M1017" s="387">
        <f>IF(M729&lt;0,M729,0)</f>
        <v/>
      </c>
      <c r="N1017" s="387">
        <f>IF(N729&lt;0,N729,0)</f>
        <v/>
      </c>
      <c r="O1017" s="387">
        <f>IF(O729&lt;0,O729,0)</f>
        <v/>
      </c>
      <c r="P1017" s="387">
        <f>IF(P729&lt;0,P729,0)</f>
        <v/>
      </c>
      <c r="Q1017" s="387">
        <f>IF(Q729&lt;0,Q729,0)</f>
        <v/>
      </c>
      <c r="R1017" s="387">
        <f>IF(R729&lt;0,R729,0)</f>
        <v/>
      </c>
      <c r="S1017" s="387">
        <f>IF(S729&lt;0,S729,0)</f>
        <v/>
      </c>
      <c r="T1017" s="387">
        <f>IF(T729&lt;0,T729,0)</f>
        <v/>
      </c>
      <c r="U1017" s="387">
        <f>IF(U729&lt;0,U729,0)</f>
        <v/>
      </c>
      <c r="V1017" s="387">
        <f>IF(V729&lt;0,V729,0)</f>
        <v/>
      </c>
      <c r="W1017" s="387">
        <f>IF(W729&lt;0,W729,0)</f>
        <v/>
      </c>
      <c r="X1017" s="387">
        <f>IF(X729&lt;0,X729,0)</f>
        <v/>
      </c>
      <c r="Y1017" s="387">
        <f>IF(Y729&lt;0,Y729,0)</f>
        <v/>
      </c>
      <c r="Z1017" s="387">
        <f>IF(Z729&lt;0,Z729,0)</f>
        <v/>
      </c>
      <c r="AA1017" s="387">
        <f>IF(AA729&lt;0,AA729,0)</f>
        <v/>
      </c>
      <c r="AB1017" s="387">
        <f>IF(AB729&lt;0,AB729,0)</f>
        <v/>
      </c>
      <c r="AC1017" s="387">
        <f>IF(AC729&lt;0,AC729,0)</f>
        <v/>
      </c>
      <c r="AD1017" s="387">
        <f>IF(AD729&lt;0,AD729,0)</f>
        <v/>
      </c>
      <c r="AE1017" s="387">
        <f>IF(AE729&lt;0,AE729,0)</f>
        <v/>
      </c>
      <c r="AF1017" s="387">
        <f>IF(AF729&lt;0,AF729,0)</f>
        <v/>
      </c>
      <c r="AG1017" s="387">
        <f>IF(AG729&lt;0,AG729,0)</f>
        <v/>
      </c>
      <c r="AH1017" s="387">
        <f>IF(AH729&lt;0,AH729,0)</f>
        <v/>
      </c>
      <c r="AI1017" s="387">
        <f>IF(AI729&lt;0,AI729,0)</f>
        <v/>
      </c>
      <c r="AJ1017" s="387">
        <f>IF(AJ729&lt;0,AJ729,0)</f>
        <v/>
      </c>
      <c r="AK1017" s="387">
        <f>IF(AK729&lt;0,AK729,0)</f>
        <v/>
      </c>
      <c r="AL1017" s="387">
        <f>IF(AL729&lt;0,AL729,0)</f>
        <v/>
      </c>
      <c r="AM1017" s="387">
        <f>IF(AM729&lt;0,AM729,0)</f>
        <v/>
      </c>
      <c r="AN1017" s="387">
        <f>IF(AN729&lt;0,AN729,0)</f>
        <v/>
      </c>
      <c r="AO1017" s="387">
        <f>IF(AO729&lt;0,AO729,0)</f>
        <v/>
      </c>
      <c r="AP1017" s="387">
        <f>IF(AP729&lt;0,AP729,0)</f>
        <v/>
      </c>
      <c r="AQ1017" s="387">
        <f>IF(AQ729&lt;0,AQ729,0)</f>
        <v/>
      </c>
      <c r="AR1017" s="387">
        <f>IF(AR729&lt;0,AR729,0)</f>
        <v/>
      </c>
      <c r="AS1017" s="387">
        <f>IF(AS729&lt;0,AS729,0)</f>
        <v/>
      </c>
      <c r="AT1017" s="387">
        <f>IF(AT729&lt;0,AT729,0)</f>
        <v/>
      </c>
      <c r="AU1017" s="387">
        <f>IF(AU729&lt;0,AU729,0)</f>
        <v/>
      </c>
      <c r="AV1017" s="387">
        <f>IF(AV729&lt;0,AV729,0)</f>
        <v/>
      </c>
      <c r="AW1017" s="387">
        <f>IF(AW729&lt;0,AW729,0)</f>
        <v/>
      </c>
      <c r="AX1017" s="387">
        <f>IF(AX729&lt;0,AX729,0)</f>
        <v/>
      </c>
      <c r="AY1017" s="387">
        <f>IF(AY729&lt;0,AY729,0)</f>
        <v/>
      </c>
      <c r="AZ1017" s="387">
        <f>IF(AZ729&lt;0,AZ729,0)</f>
        <v/>
      </c>
      <c r="BA1017" s="387">
        <f>IF(BA729&lt;0,BA729,0)</f>
        <v/>
      </c>
      <c r="BB1017" s="387">
        <f>IF(BB729&lt;0,BB729,0)</f>
        <v/>
      </c>
      <c r="BC1017" s="387">
        <f>IF(BC729&lt;0,BC729,0)</f>
        <v/>
      </c>
      <c r="BD1017" s="387">
        <f>IF(BD729&lt;0,BD729,0)</f>
        <v/>
      </c>
      <c r="BE1017" s="387">
        <f>IF(BE729&lt;0,BE729,0)</f>
        <v/>
      </c>
      <c r="BF1017" s="387">
        <f>IF(BF729&lt;0,BF729,0)</f>
        <v/>
      </c>
      <c r="BG1017" s="387">
        <f>IF(BG729&lt;0,BG729,0)</f>
        <v/>
      </c>
      <c r="BH1017" s="387">
        <f>IF(BH729&lt;0,BH729,0)</f>
        <v/>
      </c>
      <c r="BI1017" s="387">
        <f>IF(BI729&lt;0,BI729,0)</f>
        <v/>
      </c>
      <c r="BJ1017" s="387">
        <f>IF(BJ729&lt;0,BJ729,0)</f>
        <v/>
      </c>
      <c r="BK1017" s="387">
        <f>IF(BK729&lt;0,BK729,0)</f>
        <v/>
      </c>
      <c r="BL1017" s="387">
        <f>IF(BL729&lt;0,BL729,0)</f>
        <v/>
      </c>
      <c r="BM1017" s="387">
        <f>IF(BM729&lt;0,BM729,0)</f>
        <v/>
      </c>
      <c r="BN1017" s="387">
        <f>IF(BN729&lt;0,BN729,0)</f>
        <v/>
      </c>
      <c r="BO1017" s="387">
        <f>IF(BO729&lt;0,BO729,0)</f>
        <v/>
      </c>
      <c r="BP1017" s="387">
        <f>IF(BP729&lt;0,BP729,0)</f>
        <v/>
      </c>
      <c r="BQ1017" s="387">
        <f>IF(BQ729&lt;0,BQ729,0)</f>
        <v/>
      </c>
      <c r="BR1017" s="387">
        <f>IF(BR729&lt;0,BR729,0)</f>
        <v/>
      </c>
      <c r="BS1017" s="387">
        <f>IF(BS729&lt;0,BS729,0)</f>
        <v/>
      </c>
      <c r="BT1017" s="387">
        <f>IF(BT729&lt;0,BT729,0)</f>
        <v/>
      </c>
      <c r="BU1017" s="387">
        <f>IF(BU729&lt;0,BU729,0)</f>
        <v/>
      </c>
      <c r="BV1017" s="1044">
        <f>IF(BV729&lt;0,BV729,0)</f>
        <v/>
      </c>
      <c r="BW1017" s="387">
        <f>IF(BW729&lt;0,BW729,0)</f>
        <v/>
      </c>
      <c r="BX1017" s="387">
        <f>IF(BX729&lt;0,BX729,0)</f>
        <v/>
      </c>
      <c r="BY1017" s="387">
        <f>IF(BY729&lt;0,BY729,0)</f>
        <v/>
      </c>
      <c r="BZ1017" s="387">
        <f>IF(BZ729&lt;0,BZ729,0)</f>
        <v/>
      </c>
      <c r="CA1017" s="387">
        <f>IF(CA729&lt;0,CA729,0)</f>
        <v/>
      </c>
      <c r="CB1017" s="387">
        <f>IF(CB729&lt;0,CB729,0)</f>
        <v/>
      </c>
      <c r="CC1017" s="387">
        <f>IF(CC729&lt;0,CC729,0)</f>
        <v/>
      </c>
      <c r="CD1017" s="387">
        <f>IF(CD729&lt;0,CD729,0)</f>
        <v/>
      </c>
      <c r="CE1017" s="387">
        <f>IF(CE729&lt;0,CE729,0)</f>
        <v/>
      </c>
      <c r="CF1017" s="387">
        <f>IF(CF729&lt;0,CF729,0)</f>
        <v/>
      </c>
      <c r="CG1017" s="155" t="n"/>
    </row>
    <row r="1018">
      <c r="A1018" s="228" t="inlineStr">
        <is>
          <t>Segmented Revenue = Revenue</t>
        </is>
      </c>
      <c r="B1018" s="626" t="n"/>
      <c r="C1018" s="387">
        <f>IF(AND(ISBLANK(C7),ISBLANK(C11),ISBLANK(C22),ISBLANK(C26),ISBLANK(C30)),0,ROUND(C362-C34,6))</f>
        <v/>
      </c>
      <c r="D1018" s="387">
        <f>IF(AND(ISBLANK(D7),ISBLANK(D11),ISBLANK(D22),ISBLANK(D26),ISBLANK(D30)),0,ROUND(D362-D34,6))</f>
        <v/>
      </c>
      <c r="E1018" s="387">
        <f>IF(AND(ISBLANK(E7),ISBLANK(E11),ISBLANK(E22),ISBLANK(E26),ISBLANK(E30)),0,ROUND(E362-E34,6))</f>
        <v/>
      </c>
      <c r="F1018" s="387">
        <f>IF(AND(ISBLANK(F7),ISBLANK(F11),ISBLANK(F22),ISBLANK(F26),ISBLANK(F30)),0,ROUND(F362-F34,6))</f>
        <v/>
      </c>
      <c r="G1018" s="387">
        <f>IF(AND(ISBLANK(G7),ISBLANK(G11),ISBLANK(G22),ISBLANK(G26),ISBLANK(G30)),0,ROUND(G362-G34,6))</f>
        <v/>
      </c>
      <c r="H1018" s="387">
        <f>IF(AND(ISBLANK(H7),ISBLANK(H11),ISBLANK(H22),ISBLANK(H26),ISBLANK(H30)),0,ROUND(H362-H34,6))</f>
        <v/>
      </c>
      <c r="I1018" s="387">
        <f>IF(AND(ISBLANK(I7),ISBLANK(I11),ISBLANK(I22),ISBLANK(I26),ISBLANK(I30)),0,ROUND(I362-I34,6))</f>
        <v/>
      </c>
      <c r="J1018" s="387">
        <f>IF(AND(ISBLANK(J7),ISBLANK(J11),ISBLANK(J22),ISBLANK(J26),ISBLANK(J30)),0,ROUND(J362-J34,6))</f>
        <v/>
      </c>
      <c r="K1018" s="387">
        <f>IF(AND(ISBLANK(K7),ISBLANK(K11),ISBLANK(K22),ISBLANK(K26),ISBLANK(K30)),0,ROUND(K362-K34,6))</f>
        <v/>
      </c>
      <c r="L1018" s="387">
        <f>IF(AND(ISBLANK(L7),ISBLANK(L11),ISBLANK(L22),ISBLANK(L26),ISBLANK(L30)),0,ROUND(L362-L34,6))</f>
        <v/>
      </c>
      <c r="M1018" s="387">
        <f>IF(AND(ISBLANK(M7),ISBLANK(M11),ISBLANK(M22),ISBLANK(M26),ISBLANK(M30)),0,ROUND(M362-M34,6))</f>
        <v/>
      </c>
      <c r="N1018" s="387">
        <f>IF(AND(ISBLANK(N7),ISBLANK(N11),ISBLANK(N22),ISBLANK(N26),ISBLANK(N30)),0,ROUND(N362-N34,6))</f>
        <v/>
      </c>
      <c r="O1018" s="387">
        <f>IF(AND(ISBLANK(O7),ISBLANK(O11),ISBLANK(O22),ISBLANK(O26),ISBLANK(O30)),0,ROUND(O362-O34,6))</f>
        <v/>
      </c>
      <c r="P1018" s="387">
        <f>IF(AND(ISBLANK(P7),ISBLANK(P11),ISBLANK(P22),ISBLANK(P26),ISBLANK(P30)),0,ROUND(P362-P34,6))</f>
        <v/>
      </c>
      <c r="Q1018" s="387">
        <f>IF(AND(ISBLANK(Q7),ISBLANK(Q11),ISBLANK(Q22),ISBLANK(Q26),ISBLANK(Q30)),0,ROUND(Q362-Q34,6))</f>
        <v/>
      </c>
      <c r="R1018" s="387">
        <f>IF(AND(ISBLANK(R7),ISBLANK(R11),ISBLANK(R22),ISBLANK(R26),ISBLANK(R30)),0,ROUND(R362-R34,6))</f>
        <v/>
      </c>
      <c r="S1018" s="387">
        <f>IF(AND(ISBLANK(S7),ISBLANK(S11),ISBLANK(S22),ISBLANK(S26),ISBLANK(S30)),0,ROUND(S362-S34,6))</f>
        <v/>
      </c>
      <c r="T1018" s="387">
        <f>IF(AND(ISBLANK(T7),ISBLANK(T11),ISBLANK(T22),ISBLANK(T26),ISBLANK(T30)),0,ROUND(T362-T34,6))</f>
        <v/>
      </c>
      <c r="U1018" s="387">
        <f>IF(AND(ISBLANK(U7),ISBLANK(U11),ISBLANK(U22),ISBLANK(U26),ISBLANK(U30)),0,ROUND(U362-U34,6))</f>
        <v/>
      </c>
      <c r="V1018" s="387">
        <f>IF(AND(ISBLANK(V7),ISBLANK(V11),ISBLANK(V22),ISBLANK(V26),ISBLANK(V30)),0,ROUND(V362-V34,6))</f>
        <v/>
      </c>
      <c r="W1018" s="387">
        <f>IF(AND(ISBLANK(W7),ISBLANK(W11),ISBLANK(W22),ISBLANK(W26),ISBLANK(W30)),0,ROUND(W362-W34,6))</f>
        <v/>
      </c>
      <c r="X1018" s="387">
        <f>IF(AND(ISBLANK(X7),ISBLANK(X11),ISBLANK(X22),ISBLANK(X26),ISBLANK(X30)),0,ROUND(X362-X34,6))</f>
        <v/>
      </c>
      <c r="Y1018" s="387">
        <f>IF(AND(ISBLANK(Y7),ISBLANK(Y11),ISBLANK(Y22),ISBLANK(Y26),ISBLANK(Y30)),0,ROUND(Y362-Y34,6))</f>
        <v/>
      </c>
      <c r="Z1018" s="387">
        <f>IF(AND(ISBLANK(Z7),ISBLANK(Z11),ISBLANK(Z22),ISBLANK(Z26),ISBLANK(Z30)),0,ROUND(Z362-Z34,6))</f>
        <v/>
      </c>
      <c r="AA1018" s="387">
        <f>IF(AND(ISBLANK(AA7),ISBLANK(AA11),ISBLANK(AA22),ISBLANK(AA26),ISBLANK(AA30)),0,ROUND(AA362-AA34,6))</f>
        <v/>
      </c>
      <c r="AB1018" s="387">
        <f>IF(AND(ISBLANK(AB7),ISBLANK(AB11),ISBLANK(AB22),ISBLANK(AB26),ISBLANK(AB30)),0,ROUND(AB362-AB34,6))</f>
        <v/>
      </c>
      <c r="AC1018" s="387">
        <f>IF(AND(ISBLANK(AC7),ISBLANK(AC11),ISBLANK(AC22),ISBLANK(AC26),ISBLANK(AC30)),0,ROUND(AC362-AC34,6))</f>
        <v/>
      </c>
      <c r="AD1018" s="387">
        <f>IF(AND(ISBLANK(AD7),ISBLANK(AD11),ISBLANK(AD22),ISBLANK(AD26),ISBLANK(AD30)),0,ROUND(AD362-AD34,6))</f>
        <v/>
      </c>
      <c r="AE1018" s="387">
        <f>IF(AND(ISBLANK(AE7),ISBLANK(AE11),ISBLANK(AE22),ISBLANK(AE26),ISBLANK(AE30)),0,ROUND(AE362-AE34,6))</f>
        <v/>
      </c>
      <c r="AF1018" s="387">
        <f>IF(AND(ISBLANK(AF7),ISBLANK(AF11),ISBLANK(AF22),ISBLANK(AF26),ISBLANK(AF30)),0,ROUND(AF362-AF34,6))</f>
        <v/>
      </c>
      <c r="AG1018" s="387">
        <f>IF(AND(ISBLANK(AG7),ISBLANK(AG11),ISBLANK(AG22),ISBLANK(AG26),ISBLANK(AG30)),0,ROUND(AG362-AG34,6))</f>
        <v/>
      </c>
      <c r="AH1018" s="387">
        <f>IF(AND(ISBLANK(AH7),ISBLANK(AH11),ISBLANK(AH22),ISBLANK(AH26),ISBLANK(AH30)),0,ROUND(AH362-AH34,6))</f>
        <v/>
      </c>
      <c r="AI1018" s="387">
        <f>IF(AND(ISBLANK(AI7),ISBLANK(AI11),ISBLANK(AI22),ISBLANK(AI26),ISBLANK(AI30)),0,ROUND(AI362-AI34,6))</f>
        <v/>
      </c>
      <c r="AJ1018" s="387">
        <f>IF(AND(ISBLANK(AJ7),ISBLANK(AJ11),ISBLANK(AJ22),ISBLANK(AJ26),ISBLANK(AJ30)),0,ROUND(AJ362-AJ34,6))</f>
        <v/>
      </c>
      <c r="AK1018" s="387">
        <f>IF(AND(ISBLANK(AK7),ISBLANK(AK11),ISBLANK(AK22),ISBLANK(AK26),ISBLANK(AK30)),0,ROUND(AK362-AK34,6))</f>
        <v/>
      </c>
      <c r="AL1018" s="387">
        <f>IF(AND(ISBLANK(AL7),ISBLANK(AL11),ISBLANK(AL22),ISBLANK(AL26),ISBLANK(AL30)),0,ROUND(AL362-AL34,6))</f>
        <v/>
      </c>
      <c r="AM1018" s="387">
        <f>IF(AND(ISBLANK(AM7),ISBLANK(AM11),ISBLANK(AM22),ISBLANK(AM26),ISBLANK(AM30)),0,ROUND(AM362-AM34,6))</f>
        <v/>
      </c>
      <c r="AN1018" s="387">
        <f>IF(AND(ISBLANK(AN7),ISBLANK(AN11),ISBLANK(AN22),ISBLANK(AN26),ISBLANK(AN30)),0,ROUND(AN362-AN34,6))</f>
        <v/>
      </c>
      <c r="AO1018" s="387">
        <f>IF(AND(ISBLANK(AO7),ISBLANK(AO11),ISBLANK(AO22),ISBLANK(AO26),ISBLANK(AO30)),0,ROUND(AO362-AO34,6))</f>
        <v/>
      </c>
      <c r="AP1018" s="387">
        <f>IF(AND(ISBLANK(AP7),ISBLANK(AP11),ISBLANK(AP22),ISBLANK(AP26),ISBLANK(AP30)),0,ROUND(AP362-AP34,6))</f>
        <v/>
      </c>
      <c r="AQ1018" s="387">
        <f>IF(AND(ISBLANK(AQ7),ISBLANK(AQ11),ISBLANK(AQ22),ISBLANK(AQ26),ISBLANK(AQ30)),0,ROUND(AQ362-AQ34,6))</f>
        <v/>
      </c>
      <c r="AR1018" s="387">
        <f>IF(AND(ISBLANK(AR7),ISBLANK(AR11),ISBLANK(AR22),ISBLANK(AR26),ISBLANK(AR30)),0,ROUND(AR362-AR34,6))</f>
        <v/>
      </c>
      <c r="AS1018" s="387">
        <f>IF(AND(ISBLANK(AS7),ISBLANK(AS11),ISBLANK(AS22),ISBLANK(AS26),ISBLANK(AS30)),0,ROUND(AS362-AS34,6))</f>
        <v/>
      </c>
      <c r="AT1018" s="387">
        <f>IF(AND(ISBLANK(AT7),ISBLANK(AT11),ISBLANK(AT22),ISBLANK(AT26),ISBLANK(AT30)),0,ROUND(AT362-AT34,6))</f>
        <v/>
      </c>
      <c r="AU1018" s="387">
        <f>IF(AND(ISBLANK(AU7),ISBLANK(AU11),ISBLANK(AU22),ISBLANK(AU26),ISBLANK(AU30)),0,ROUND(AU362-AU34,6))</f>
        <v/>
      </c>
      <c r="AV1018" s="387">
        <f>IF(AND(ISBLANK(AV7),ISBLANK(AV11),ISBLANK(AV22),ISBLANK(AV26),ISBLANK(AV30)),0,ROUND(AV362-AV34,6))</f>
        <v/>
      </c>
      <c r="AW1018" s="387">
        <f>IF(AND(ISBLANK(AW7),ISBLANK(AW11),ISBLANK(AW22),ISBLANK(AW26),ISBLANK(AW30)),0,ROUND(AW362-AW34,6))</f>
        <v/>
      </c>
      <c r="AX1018" s="387">
        <f>IF(AND(ISBLANK(AX7),ISBLANK(AX11),ISBLANK(AX22),ISBLANK(AX26),ISBLANK(AX30)),0,ROUND(AX362-AX34,6))</f>
        <v/>
      </c>
      <c r="AY1018" s="387">
        <f>IF(AND(ISBLANK(AY7),ISBLANK(AY11),ISBLANK(AY22),ISBLANK(AY26),ISBLANK(AY30)),0,ROUND(AY362-AY34,6))</f>
        <v/>
      </c>
      <c r="AZ1018" s="387">
        <f>IF(AND(ISBLANK(AZ7),ISBLANK(AZ11),ISBLANK(AZ22),ISBLANK(AZ26),ISBLANK(AZ30)),0,ROUND(AZ362-AZ34,6))</f>
        <v/>
      </c>
      <c r="BA1018" s="387">
        <f>IF(AND(ISBLANK(BA7),ISBLANK(BA11),ISBLANK(BA22),ISBLANK(BA26),ISBLANK(BA30)),0,ROUND(BA362-BA34,6))</f>
        <v/>
      </c>
      <c r="BB1018" s="387">
        <f>IF(AND(ISBLANK(BB7),ISBLANK(BB11),ISBLANK(BB22),ISBLANK(BB26),ISBLANK(BB30)),0,ROUND(BB362-BB34,6))</f>
        <v/>
      </c>
      <c r="BC1018" s="387">
        <f>IF(AND(ISBLANK(BC7),ISBLANK(BC11),ISBLANK(BC22),ISBLANK(BC26),ISBLANK(BC30)),0,ROUND(BC362-BC34,6))</f>
        <v/>
      </c>
      <c r="BD1018" s="387">
        <f>IF(AND(ISBLANK(BD7),ISBLANK(BD11),ISBLANK(BD22),ISBLANK(BD26),ISBLANK(BD30)),0,ROUND(BD362-BD34,6))</f>
        <v/>
      </c>
      <c r="BE1018" s="387">
        <f>IF(AND(ISBLANK(BE7),ISBLANK(BE11),ISBLANK(BE22),ISBLANK(BE26),ISBLANK(BE30)),0,ROUND(BE362-BE34,6))</f>
        <v/>
      </c>
      <c r="BF1018" s="387">
        <f>IF(AND(ISBLANK(BF7),ISBLANK(BF11),ISBLANK(BF22),ISBLANK(BF26),ISBLANK(BF30)),0,ROUND(BF362-BF34,6))</f>
        <v/>
      </c>
      <c r="BG1018" s="387">
        <f>IF(AND(ISBLANK(BG7),ISBLANK(BG11),ISBLANK(BG22),ISBLANK(BG26),ISBLANK(BG30)),0,ROUND(BG362-BG34,6))</f>
        <v/>
      </c>
      <c r="BH1018" s="387">
        <f>IF(AND(ISBLANK(BH7),ISBLANK(BH11),ISBLANK(BH22),ISBLANK(BH26),ISBLANK(BH30)),0,ROUND(BH362-BH34,6))</f>
        <v/>
      </c>
      <c r="BI1018" s="387">
        <f>IF(AND(ISBLANK(BI7),ISBLANK(BI11),ISBLANK(BI22),ISBLANK(BI26),ISBLANK(BI30)),0,ROUND(BI362-BI34,6))</f>
        <v/>
      </c>
      <c r="BJ1018" s="387">
        <f>IF(AND(ISBLANK(BJ7),ISBLANK(BJ11),ISBLANK(BJ22),ISBLANK(BJ26),ISBLANK(BJ30)),0,ROUND(BJ362-BJ34,6))</f>
        <v/>
      </c>
      <c r="BK1018" s="387">
        <f>IF(AND(ISBLANK(BK7),ISBLANK(BK11),ISBLANK(BK22),ISBLANK(BK26),ISBLANK(BK30)),0,ROUND(BK362-BK34,6))</f>
        <v/>
      </c>
      <c r="BL1018" s="387">
        <f>IF(AND(ISBLANK(BL7),ISBLANK(BL11),ISBLANK(BL22),ISBLANK(BL26),ISBLANK(BL30)),0,ROUND(BL362-BL34,6))</f>
        <v/>
      </c>
      <c r="BM1018" s="387">
        <f>IF(AND(ISBLANK(BM7),ISBLANK(BM11),ISBLANK(BM22),ISBLANK(BM26),ISBLANK(BM30)),0,ROUND(BM362-BM34,6))</f>
        <v/>
      </c>
      <c r="BN1018" s="387">
        <f>IF(AND(ISBLANK(BN7),ISBLANK(BN11),ISBLANK(BN22),ISBLANK(BN26),ISBLANK(BN30)),0,ROUND(BN362-BN34,6))</f>
        <v/>
      </c>
      <c r="BO1018" s="387">
        <f>IF(AND(ISBLANK(BO7),ISBLANK(BO11),ISBLANK(BO22),ISBLANK(BO26),ISBLANK(BO30)),0,ROUND(BO362-BO34,6))</f>
        <v/>
      </c>
      <c r="BP1018" s="387">
        <f>IF(AND(ISBLANK(BP7),ISBLANK(BP11),ISBLANK(BP22),ISBLANK(BP26),ISBLANK(BP30)),0,ROUND(BP362-BP34,6))</f>
        <v/>
      </c>
      <c r="BQ1018" s="387">
        <f>IF(AND(ISBLANK(BQ7),ISBLANK(BQ11),ISBLANK(BQ22),ISBLANK(BQ26),ISBLANK(BQ30)),0,ROUND(BQ362-BQ34,6))</f>
        <v/>
      </c>
      <c r="BR1018" s="387">
        <f>IF(AND(ISBLANK(BR7),ISBLANK(BR11),ISBLANK(BR22),ISBLANK(BR26),ISBLANK(BR30)),0,ROUND(BR362-BR34,6))</f>
        <v/>
      </c>
      <c r="BS1018" s="387">
        <f>IF(AND(ISBLANK(BS7),ISBLANK(BS11),ISBLANK(BS22),ISBLANK(BS26),ISBLANK(BS30)),0,ROUND(BS362-BS34,6))</f>
        <v/>
      </c>
      <c r="BT1018" s="387">
        <f>IF(AND(ISBLANK(BT7),ISBLANK(BT11),ISBLANK(BT22),ISBLANK(BT26),ISBLANK(BT30)),0,ROUND(BT362-BT34,6))</f>
        <v/>
      </c>
      <c r="BU1018" s="387">
        <f>IF(AND(ISBLANK(BU7),ISBLANK(BU11),ISBLANK(BU22),ISBLANK(BU26),ISBLANK(BU30)),0,ROUND(BU362-BU34,6))</f>
        <v/>
      </c>
      <c r="BV1018" s="1044">
        <f>IF(AND(ISBLANK(BV7),ISBLANK(BV11),ISBLANK(BV22),ISBLANK(BV26),ISBLANK(BV30)),0,ROUND(BV362-BV34,6))</f>
        <v/>
      </c>
      <c r="BW1018" s="387">
        <f>IF(AND(ISBLANK(BW7),ISBLANK(BW11),ISBLANK(BW22),ISBLANK(BW26),ISBLANK(BW30)),0,ROUND(BW362-BW34,6))</f>
        <v/>
      </c>
      <c r="BX1018" s="387">
        <f>IF(AND(ISBLANK(BX7),ISBLANK(BX11),ISBLANK(BX22),ISBLANK(BX26),ISBLANK(BX30)),0,ROUND(BX362-BX34,6))</f>
        <v/>
      </c>
      <c r="BY1018" s="387">
        <f>IF(AND(ISBLANK(BY7),ISBLANK(BY11),ISBLANK(BY22),ISBLANK(BY26),ISBLANK(BY30)),0,ROUND(BY362-BY34,6))</f>
        <v/>
      </c>
      <c r="BZ1018" s="387">
        <f>IF(AND(ISBLANK(BZ7),ISBLANK(BZ11),ISBLANK(BZ22),ISBLANK(BZ26),ISBLANK(BZ30)),0,ROUND(BZ362-BZ34,6))</f>
        <v/>
      </c>
      <c r="CA1018" s="387">
        <f>IF(AND(ISBLANK(CA7),ISBLANK(CA11),ISBLANK(CA22),ISBLANK(CA26),ISBLANK(CA30)),0,ROUND(CA362-CA34,6))</f>
        <v/>
      </c>
      <c r="CB1018" s="387">
        <f>IF(AND(ISBLANK(CB7),ISBLANK(CB11),ISBLANK(CB22),ISBLANK(CB26),ISBLANK(CB30)),0,ROUND(CB362-CB34,6))</f>
        <v/>
      </c>
      <c r="CC1018" s="387">
        <f>IF(AND(ISBLANK(CC7),ISBLANK(CC11),ISBLANK(CC22),ISBLANK(CC26),ISBLANK(CC30)),0,ROUND(CC362-CC34,6))</f>
        <v/>
      </c>
      <c r="CD1018" s="387">
        <f>IF(AND(ISBLANK(CD7),ISBLANK(CD11),ISBLANK(CD22),ISBLANK(CD26),ISBLANK(CD30)),0,ROUND(CD362-CD34,6))</f>
        <v/>
      </c>
      <c r="CE1018" s="387">
        <f>IF(AND(ISBLANK(CE7),ISBLANK(CE11),ISBLANK(CE22),ISBLANK(CE26),ISBLANK(CE30)),0,ROUND(CE362-CE34,6))</f>
        <v/>
      </c>
      <c r="CF1018" s="387">
        <f>IF(AND(ISBLANK(CF7),ISBLANK(CF11),ISBLANK(CF22),ISBLANK(CF26),ISBLANK(CF30)),0,ROUND(CF362-CF34,6))</f>
        <v/>
      </c>
      <c r="CG1018" s="155" t="n"/>
    </row>
    <row r="1019">
      <c r="A1019" s="228" t="inlineStr">
        <is>
          <t>RIS Adjusted EBIT = Adjusted EBIT</t>
        </is>
      </c>
      <c r="B1019" s="626" t="n"/>
      <c r="C1019" s="387">
        <f>ROUND(C106-C388,6)</f>
        <v/>
      </c>
      <c r="D1019" s="387">
        <f>ROUND(D106-D388,6)</f>
        <v/>
      </c>
      <c r="E1019" s="387">
        <f>ROUND(E106-E388,6)</f>
        <v/>
      </c>
      <c r="F1019" s="387">
        <f>ROUND(F106-F388,6)</f>
        <v/>
      </c>
      <c r="G1019" s="387">
        <f>ROUND(G106-G388,6)</f>
        <v/>
      </c>
      <c r="H1019" s="387">
        <f>ROUND(H106-H388,6)</f>
        <v/>
      </c>
      <c r="I1019" s="387">
        <f>ROUND(I106-I388,6)</f>
        <v/>
      </c>
      <c r="J1019" s="387">
        <f>ROUND(J106-J388,6)</f>
        <v/>
      </c>
      <c r="K1019" s="387">
        <f>ROUND(K106-K388,6)</f>
        <v/>
      </c>
      <c r="L1019" s="387">
        <f>ROUND(L106-L388,6)</f>
        <v/>
      </c>
      <c r="M1019" s="387">
        <f>ROUND(M106-M388,6)</f>
        <v/>
      </c>
      <c r="N1019" s="387">
        <f>ROUND(N106-N388,6)</f>
        <v/>
      </c>
      <c r="O1019" s="387">
        <f>ROUND(O106-O388,6)</f>
        <v/>
      </c>
      <c r="P1019" s="387">
        <f>ROUND(P106-P388,6)</f>
        <v/>
      </c>
      <c r="Q1019" s="387">
        <f>ROUND(Q106-Q388,6)</f>
        <v/>
      </c>
      <c r="R1019" s="387">
        <f>ROUND(R106-R388,6)</f>
        <v/>
      </c>
      <c r="S1019" s="387">
        <f>ROUND(S106-S388,6)</f>
        <v/>
      </c>
      <c r="T1019" s="387">
        <f>ROUND(T106-T388,6)</f>
        <v/>
      </c>
      <c r="U1019" s="387">
        <f>ROUND(U106-U388,6)</f>
        <v/>
      </c>
      <c r="V1019" s="387">
        <f>ROUND(V106-V388,6)</f>
        <v/>
      </c>
      <c r="W1019" s="387">
        <f>ROUND(W106-W388,6)</f>
        <v/>
      </c>
      <c r="X1019" s="387">
        <f>ROUND(X106-X388,6)</f>
        <v/>
      </c>
      <c r="Y1019" s="387">
        <f>ROUND(Y106-Y388,6)</f>
        <v/>
      </c>
      <c r="Z1019" s="387">
        <f>ROUND(Z106-Z388,6)</f>
        <v/>
      </c>
      <c r="AA1019" s="387">
        <f>ROUND(AA106-AA388,6)</f>
        <v/>
      </c>
      <c r="AB1019" s="387">
        <f>ROUND(AB106-AB388,6)</f>
        <v/>
      </c>
      <c r="AC1019" s="387">
        <f>ROUND(AC106-AC388,6)</f>
        <v/>
      </c>
      <c r="AD1019" s="387">
        <f>ROUND(AD106-AD388,6)</f>
        <v/>
      </c>
      <c r="AE1019" s="387">
        <f>ROUND(AE106-AE388,6)</f>
        <v/>
      </c>
      <c r="AF1019" s="387">
        <f>ROUND(AF106-AF388,6)</f>
        <v/>
      </c>
      <c r="AG1019" s="387">
        <f>ROUND(AG106-AG388,6)</f>
        <v/>
      </c>
      <c r="AH1019" s="387">
        <f>ROUND(AH106-AH388,6)</f>
        <v/>
      </c>
      <c r="AI1019" s="387">
        <f>ROUND(AI106-AI388,6)</f>
        <v/>
      </c>
      <c r="AJ1019" s="387">
        <f>ROUND(AJ106-AJ388,6)</f>
        <v/>
      </c>
      <c r="AK1019" s="387">
        <f>ROUND(AK106-AK388,6)</f>
        <v/>
      </c>
      <c r="AL1019" s="387">
        <f>ROUND(AL106-AL388,6)</f>
        <v/>
      </c>
      <c r="AM1019" s="387">
        <f>ROUND(AM106-AM388,6)</f>
        <v/>
      </c>
      <c r="AN1019" s="387">
        <f>ROUND(AN106-AN388,6)</f>
        <v/>
      </c>
      <c r="AO1019" s="387">
        <f>ROUND(AO106-AO388,6)</f>
        <v/>
      </c>
      <c r="AP1019" s="387">
        <f>ROUND(AP106-AP388,6)</f>
        <v/>
      </c>
      <c r="AQ1019" s="387">
        <f>ROUND(AQ106-AQ388,6)</f>
        <v/>
      </c>
      <c r="AR1019" s="387">
        <f>ROUND(AR106-AR388,6)</f>
        <v/>
      </c>
      <c r="AS1019" s="387">
        <f>ROUND(AS106-AS388,6)</f>
        <v/>
      </c>
      <c r="AT1019" s="387">
        <f>ROUND(AT106-AT388,6)</f>
        <v/>
      </c>
      <c r="AU1019" s="387">
        <f>ROUND(AU106-AU388,6)</f>
        <v/>
      </c>
      <c r="AV1019" s="387">
        <f>ROUND(AV106-AV388,6)</f>
        <v/>
      </c>
      <c r="AW1019" s="387">
        <f>ROUND(AW106-AW388,6)</f>
        <v/>
      </c>
      <c r="AX1019" s="387">
        <f>ROUND(AX106-AX388,6)</f>
        <v/>
      </c>
      <c r="AY1019" s="387">
        <f>ROUND(AY106-AY388,6)</f>
        <v/>
      </c>
      <c r="AZ1019" s="387">
        <f>ROUND(AZ106-AZ388,6)</f>
        <v/>
      </c>
      <c r="BA1019" s="387">
        <f>ROUND(BA106-BA388,6)</f>
        <v/>
      </c>
      <c r="BB1019" s="387">
        <f>ROUND(BB106-BB388,6)</f>
        <v/>
      </c>
      <c r="BC1019" s="387">
        <f>ROUND(BC106-BC388,6)</f>
        <v/>
      </c>
      <c r="BD1019" s="387">
        <f>ROUND(BD106-BD388,6)</f>
        <v/>
      </c>
      <c r="BE1019" s="387">
        <f>ROUND(BE106-BE388,6)</f>
        <v/>
      </c>
      <c r="BF1019" s="387">
        <f>ROUND(BF106-BF388,6)</f>
        <v/>
      </c>
      <c r="BG1019" s="387">
        <f>ROUND(BG106-BG388,6)</f>
        <v/>
      </c>
      <c r="BH1019" s="387">
        <f>ROUND(BH106-BH388,6)</f>
        <v/>
      </c>
      <c r="BI1019" s="387">
        <f>ROUND(BI106-BI388,6)</f>
        <v/>
      </c>
      <c r="BJ1019" s="387">
        <f>ROUND(BJ106-BJ388,6)</f>
        <v/>
      </c>
      <c r="BK1019" s="387">
        <f>ROUND(BK106-BK388,6)</f>
        <v/>
      </c>
      <c r="BL1019" s="387">
        <f>ROUND(BL106-BL388,6)</f>
        <v/>
      </c>
      <c r="BM1019" s="387">
        <f>ROUND(BM106-BM388,6)</f>
        <v/>
      </c>
      <c r="BN1019" s="387">
        <f>ROUND(BN106-BN388,6)</f>
        <v/>
      </c>
      <c r="BO1019" s="387">
        <f>ROUND(BO106-BO388,6)</f>
        <v/>
      </c>
      <c r="BP1019" s="387">
        <f>ROUND(BP106-BP388,6)</f>
        <v/>
      </c>
      <c r="BQ1019" s="387">
        <f>ROUND(BQ106-BQ388,6)</f>
        <v/>
      </c>
      <c r="BR1019" s="387">
        <f>ROUND(BR106-BR388,6)</f>
        <v/>
      </c>
      <c r="BS1019" s="387">
        <f>ROUND(BS106-BS388,6)</f>
        <v/>
      </c>
      <c r="BT1019" s="387">
        <f>ROUND(BT106-BT388,6)</f>
        <v/>
      </c>
      <c r="BU1019" s="387">
        <f>ROUND(BU106-BU388,6)</f>
        <v/>
      </c>
      <c r="BV1019" s="1044">
        <f>ROUND(BV106-BV388,6)</f>
        <v/>
      </c>
      <c r="BW1019" s="387">
        <f>ROUND(BW106-BW388,6)</f>
        <v/>
      </c>
      <c r="BX1019" s="387">
        <f>ROUND(BX106-BX388,6)</f>
        <v/>
      </c>
      <c r="BY1019" s="387">
        <f>ROUND(BY106-BY388,6)</f>
        <v/>
      </c>
      <c r="BZ1019" s="387">
        <f>ROUND(BZ106-BZ388,6)</f>
        <v/>
      </c>
      <c r="CA1019" s="387">
        <f>ROUND(CA106-CA388,6)</f>
        <v/>
      </c>
      <c r="CB1019" s="387">
        <f>ROUND(CB106-CB388,6)</f>
        <v/>
      </c>
      <c r="CC1019" s="387">
        <f>ROUND(CC106-CC388,6)</f>
        <v/>
      </c>
      <c r="CD1019" s="387">
        <f>ROUND(CD106-CD388,6)</f>
        <v/>
      </c>
      <c r="CE1019" s="387">
        <f>ROUND(CE106-CE388,6)</f>
        <v/>
      </c>
      <c r="CF1019" s="387">
        <f>ROUND(CF106-CF388,6)</f>
        <v/>
      </c>
      <c r="CG1019" s="155" t="n"/>
    </row>
    <row r="1020">
      <c r="A1020" s="228" t="inlineStr">
        <is>
          <t>Cash Flow is not Repeated</t>
        </is>
      </c>
      <c r="B1020" s="626" t="n"/>
      <c r="C1020" s="387">
        <f>IF(ISBLANK(INDEX(MO_IS_FirstRow,0,COLUMN())),0,IF(OR(C905=B905,C905=D905),"CHECK",0))</f>
        <v/>
      </c>
      <c r="D1020" s="387">
        <f>IF(ISBLANK(INDEX(MO_IS_FirstRow,0,COLUMN())),0,IF(OR(D905=C905,D905=E905),"CHECK",0))</f>
        <v/>
      </c>
      <c r="E1020" s="387">
        <f>IF(ISBLANK(INDEX(MO_IS_FirstRow,0,COLUMN())),0,IF(OR(E905=D905,E905=F905),"CHECK",0))</f>
        <v/>
      </c>
      <c r="F1020" s="387">
        <f>IF(ISBLANK(INDEX(MO_IS_FirstRow,0,COLUMN())),0,IF(OR(F905=E905,F905=K905),"CHECK",0))</f>
        <v/>
      </c>
      <c r="G1020" s="387">
        <f>IF(ISBLANK(INDEX(MO_IS_FirstRow,0,COLUMN())),0,IF(OR(G905=B905,G905=H905,G905=E905),"CHECK",0))</f>
        <v/>
      </c>
      <c r="H1020" s="387">
        <f>IF(ISBLANK(INDEX(MO_IS_FirstRow,0,COLUMN())),0,IF(OR(H905=C905,H905=I905,H905=G905),"CHECK",0))</f>
        <v/>
      </c>
      <c r="I1020" s="387">
        <f>IF(ISBLANK(INDEX(MO_IS_FirstRow,0,COLUMN())),0,IF(OR(I905=D905,I905=J905,I905=H905),"CHECK",0))</f>
        <v/>
      </c>
      <c r="J1020" s="387">
        <f>IF(ISBLANK(INDEX(MO_IS_FirstRow,0,COLUMN())),0,IF(OR(J905=E905,J905=K905,J905=I905),"CHECK",0))</f>
        <v/>
      </c>
      <c r="K1020" s="387">
        <f>IF(ISBLANK(INDEX(MO_IS_FirstRow,0,COLUMN())),0,IF(K905=F905,"CHECK",0))</f>
        <v/>
      </c>
      <c r="L1020" s="387">
        <f>IF(ISBLANK(INDEX(MO_IS_FirstRow,0,COLUMN())),0,IF(OR(L905=G905,L905=M905,L905=J905),"CHECK",0))</f>
        <v/>
      </c>
      <c r="M1020" s="387">
        <f>IF(ISBLANK(INDEX(MO_IS_FirstRow,0,COLUMN())),0,IF(OR(M905=H905,M905=N905,M905=L905),"CHECK",0))</f>
        <v/>
      </c>
      <c r="N1020" s="387">
        <f>IF(ISBLANK(INDEX(MO_IS_FirstRow,0,COLUMN())),0,IF(OR(N905=I905,N905=O905,N905=M905),"CHECK",0))</f>
        <v/>
      </c>
      <c r="O1020" s="387">
        <f>IF(ISBLANK(INDEX(MO_IS_FirstRow,0,COLUMN())),0,IF(OR(O905=J905,O905=P905,O905=N905),"CHECK",0))</f>
        <v/>
      </c>
      <c r="P1020" s="387">
        <f>IF(ISBLANK(INDEX(MO_IS_FirstRow,0,COLUMN())),0,IF(P905=K905,"CHECK",0))</f>
        <v/>
      </c>
      <c r="Q1020" s="387">
        <f>IF(ISBLANK(INDEX(MO_IS_FirstRow,0,COLUMN())),0,IF(OR(Q905=L905,Q905=R905,Q905=O905),"CHECK",0))</f>
        <v/>
      </c>
      <c r="R1020" s="387">
        <f>IF(ISBLANK(INDEX(MO_IS_FirstRow,0,COLUMN())),0,IF(OR(R905=M905,R905=S905,R905=Q905),"CHECK",0))</f>
        <v/>
      </c>
      <c r="S1020" s="387">
        <f>IF(ISBLANK(INDEX(MO_IS_FirstRow,0,COLUMN())),0,IF(OR(S905=N905,S905=T905,S905=R905),"CHECK",0))</f>
        <v/>
      </c>
      <c r="T1020" s="387">
        <f>IF(ISBLANK(INDEX(MO_IS_FirstRow,0,COLUMN())),0,IF(OR(T905=O905,T905=U905,T905=S905),"CHECK",0))</f>
        <v/>
      </c>
      <c r="U1020" s="387">
        <f>IF(ISBLANK(INDEX(MO_IS_FirstRow,0,COLUMN())),0,IF(U905=P905,"CHECK",0))</f>
        <v/>
      </c>
      <c r="V1020" s="387">
        <f>IF(ISBLANK(INDEX(MO_IS_FirstRow,0,COLUMN())),0,IF(OR(V905=Q905,V905=W905,V905=T905),"CHECK",0))</f>
        <v/>
      </c>
      <c r="W1020" s="387">
        <f>IF(ISBLANK(INDEX(MO_IS_FirstRow,0,COLUMN())),0,IF(OR(W905=R905,W905=X905,W905=V905),"CHECK",0))</f>
        <v/>
      </c>
      <c r="X1020" s="387">
        <f>IF(ISBLANK(INDEX(MO_IS_FirstRow,0,COLUMN())),0,IF(OR(X905=S905,X905=Y905,X905=W905),"CHECK",0))</f>
        <v/>
      </c>
      <c r="Y1020" s="387">
        <f>IF(ISBLANK(INDEX(MO_IS_FirstRow,0,COLUMN())),0,IF(OR(Y905=T905,Y905=Z905,Y905=X905),"CHECK",0))</f>
        <v/>
      </c>
      <c r="Z1020" s="387">
        <f>IF(ISBLANK(INDEX(MO_IS_FirstRow,0,COLUMN())),0,IF(Z905=U905,"CHECK",0))</f>
        <v/>
      </c>
      <c r="AA1020" s="387">
        <f>IF(ISBLANK(INDEX(MO_IS_FirstRow,0,COLUMN())),0,IF(OR(AA905=V905,AA905=AB905,AA905=Y905),"CHECK",0))</f>
        <v/>
      </c>
      <c r="AB1020" s="387">
        <f>IF(ISBLANK(INDEX(MO_IS_FirstRow,0,COLUMN())),0,IF(OR(AB905=W905,AB905=AC905,AB905=AA905),"CHECK",0))</f>
        <v/>
      </c>
      <c r="AC1020" s="387">
        <f>IF(ISBLANK(INDEX(MO_IS_FirstRow,0,COLUMN())),0,IF(OR(AC905=X905,AC905=AD905,AC905=AB905),"CHECK",0))</f>
        <v/>
      </c>
      <c r="AD1020" s="387">
        <f>IF(ISBLANK(INDEX(MO_IS_FirstRow,0,COLUMN())),0,IF(OR(AD905=Y905,AD905=AE905,AD905=AC905),"CHECK",0))</f>
        <v/>
      </c>
      <c r="AE1020" s="387">
        <f>IF(ISBLANK(INDEX(MO_IS_FirstRow,0,COLUMN())),0,IF(AE905=Z905,"CHECK",0))</f>
        <v/>
      </c>
      <c r="AF1020" s="387">
        <f>IF(ISBLANK(INDEX(MO_IS_FirstRow,0,COLUMN())),0,IF(OR(AF905=AA905,AF905=AG905,AF905=AD905),"CHECK",0))</f>
        <v/>
      </c>
      <c r="AG1020" s="387">
        <f>IF(ISBLANK(INDEX(MO_IS_FirstRow,0,COLUMN())),0,IF(OR(AG905=AB905,AG905=AH905,AG905=AF905),"CHECK",0))</f>
        <v/>
      </c>
      <c r="AH1020" s="387">
        <f>IF(ISBLANK(INDEX(MO_IS_FirstRow,0,COLUMN())),0,IF(OR(AH905=AC905,AH905=AI905,AH905=AG905),"CHECK",0))</f>
        <v/>
      </c>
      <c r="AI1020" s="387">
        <f>IF(ISBLANK(INDEX(MO_IS_FirstRow,0,COLUMN())),0,IF(OR(AI905=AD905,AI905=AJ905,AI905=AH905),"CHECK",0))</f>
        <v/>
      </c>
      <c r="AJ1020" s="387">
        <f>IF(ISBLANK(INDEX(MO_IS_FirstRow,0,COLUMN())),0,IF(AJ905=AE905,"CHECK",0))</f>
        <v/>
      </c>
      <c r="AK1020" s="387">
        <f>IF(ISBLANK(INDEX(MO_IS_FirstRow,0,COLUMN())),0,IF(OR(AK905=AF905,AK905=AL905,AK905=AI905),"CHECK",0))</f>
        <v/>
      </c>
      <c r="AL1020" s="387">
        <f>IF(ISBLANK(INDEX(MO_IS_FirstRow,0,COLUMN())),0,IF(OR(AL905=AG905,AL905=AM905,AL905=AK905),"CHECK",0))</f>
        <v/>
      </c>
      <c r="AM1020" s="387">
        <f>IF(ISBLANK(INDEX(MO_IS_FirstRow,0,COLUMN())),0,IF(OR(AM905=AH905,AM905=AN905,AM905=AL905),"CHECK",0))</f>
        <v/>
      </c>
      <c r="AN1020" s="387">
        <f>IF(ISBLANK(INDEX(MO_IS_FirstRow,0,COLUMN())),0,IF(OR(AN905=AI905,AN905=AO905,AN905=AM905),"CHECK",0))</f>
        <v/>
      </c>
      <c r="AO1020" s="387">
        <f>IF(ISBLANK(INDEX(MO_IS_FirstRow,0,COLUMN())),0,IF(AO905=AJ905,"CHECK",0))</f>
        <v/>
      </c>
      <c r="AP1020" s="387">
        <f>IF(ISBLANK(INDEX(MO_IS_FirstRow,0,COLUMN())),0,IF(OR(AP905=AK905,AP905=AQ905,AP905=AN905),"CHECK",0))</f>
        <v/>
      </c>
      <c r="AQ1020" s="387">
        <f>IF(ISBLANK(INDEX(MO_IS_FirstRow,0,COLUMN())),0,IF(OR(AQ905=AL905,AQ905=AR905,AQ905=AP905),"CHECK",0))</f>
        <v/>
      </c>
      <c r="AR1020" s="387">
        <f>IF(ISBLANK(INDEX(MO_IS_FirstRow,0,COLUMN())),0,IF(OR(AR905=AM905,AR905=AS905,AR905=AQ905),"CHECK",0))</f>
        <v/>
      </c>
      <c r="AS1020" s="387">
        <f>IF(ISBLANK(INDEX(MO_IS_FirstRow,0,COLUMN())),0,IF(OR(AS905=AN905,AS905=AT905,AS905=AR905),"CHECK",0))</f>
        <v/>
      </c>
      <c r="AT1020" s="387">
        <f>IF(ISBLANK(INDEX(MO_IS_FirstRow,0,COLUMN())),0,IF(AT905=AO905,"CHECK",0))</f>
        <v/>
      </c>
      <c r="AU1020" s="387">
        <f>IF(ISBLANK(INDEX(MO_IS_FirstRow,0,COLUMN())),0,IF(OR(AU905=AP905,AU905=AV905,AU905=AS905),"CHECK",0))</f>
        <v/>
      </c>
      <c r="AV1020" s="387">
        <f>IF(ISBLANK(INDEX(MO_IS_FirstRow,0,COLUMN())),0,IF(OR(AV905=AQ905,AV905=AW905,AV905=AU905),"CHECK",0))</f>
        <v/>
      </c>
      <c r="AW1020" s="387">
        <f>IF(ISBLANK(INDEX(MO_IS_FirstRow,0,COLUMN())),0,IF(OR(AW905=AR905,AW905=AX905,AW905=AV905),"CHECK",0))</f>
        <v/>
      </c>
      <c r="AX1020" s="387">
        <f>IF(ISBLANK(INDEX(MO_IS_FirstRow,0,COLUMN())),0,IF(OR(AX905=AS905,AX905=AY905,AX905=AW905),"CHECK",0))</f>
        <v/>
      </c>
      <c r="AY1020" s="387">
        <f>IF(ISBLANK(INDEX(MO_IS_FirstRow,0,COLUMN())),0,IF(AY905=AT905,"CHECK",0))</f>
        <v/>
      </c>
      <c r="AZ1020" s="387">
        <f>IF(ISBLANK(INDEX(MO_IS_FirstRow,0,COLUMN())),0,IF(OR(AZ905=AU905,AZ905=BA905,AZ905=AX905),"CHECK",0))</f>
        <v/>
      </c>
      <c r="BA1020" s="387">
        <f>IF(ISBLANK(INDEX(MO_IS_FirstRow,0,COLUMN())),0,IF(OR(BA905=AV905,BA905=BB905,BA905=AZ905),"CHECK",0))</f>
        <v/>
      </c>
      <c r="BB1020" s="387">
        <f>IF(ISBLANK(INDEX(MO_IS_FirstRow,0,COLUMN())),0,IF(OR(BB905=AW905,BB905=BC905,BB905=BA905),"CHECK",0))</f>
        <v/>
      </c>
      <c r="BC1020" s="387">
        <f>IF(ISBLANK(INDEX(MO_IS_FirstRow,0,COLUMN())),0,IF(OR(BC905=AX905,BC905=BD905,BC905=BB905),"CHECK",0))</f>
        <v/>
      </c>
      <c r="BD1020" s="387">
        <f>IF(ISBLANK(INDEX(MO_IS_FirstRow,0,COLUMN())),0,IF(BD905=AY905,"CHECK",0))</f>
        <v/>
      </c>
      <c r="BE1020" s="387">
        <f>IF(ISBLANK(INDEX(MO_IS_FirstRow,0,COLUMN())),0,IF(OR(BE905=AZ905,BE905=BF905,BE905=BC905),"CHECK",0))</f>
        <v/>
      </c>
      <c r="BF1020" s="387">
        <f>IF(ISBLANK(INDEX(MO_IS_FirstRow,0,COLUMN())),0,IF(OR(BF905=BA905,BF905=BG905,BF905=BE905),"CHECK",0))</f>
        <v/>
      </c>
      <c r="BG1020" s="387">
        <f>IF(ISBLANK(INDEX(MO_IS_FirstRow,0,COLUMN())),0,IF(OR(BG905=BB905,BG905=BH905,BG905=BF905),"CHECK",0))</f>
        <v/>
      </c>
      <c r="BH1020" s="387">
        <f>IF(ISBLANK(INDEX(MO_IS_FirstRow,0,COLUMN())),0,IF(OR(BH905=BC905,BH905=BI905,BH905=BG905),"CHECK",0))</f>
        <v/>
      </c>
      <c r="BI1020" s="387">
        <f>IF(ISBLANK(INDEX(MO_IS_FirstRow,0,COLUMN())),0,IF(BI905=BD905,"CHECK",0))</f>
        <v/>
      </c>
      <c r="BJ1020" s="387">
        <f>IF(ISBLANK(INDEX(MO_IS_FirstRow,0,COLUMN())),0,IF(OR(BJ905=BE905,BJ905=BK905,BJ905=BH905),"CHECK",0))</f>
        <v/>
      </c>
      <c r="BK1020" s="387">
        <f>IF(ISBLANK(INDEX(MO_IS_FirstRow,0,COLUMN())),0,IF(OR(BK905=BF905,BK905=BL905,BK905=BJ905),"CHECK",0))</f>
        <v/>
      </c>
      <c r="BL1020" s="387">
        <f>IF(ISBLANK(INDEX(MO_IS_FirstRow,0,COLUMN())),0,IF(OR(BL905=BG905,BL905=BM905,BL905=BK905),"CHECK",0))</f>
        <v/>
      </c>
      <c r="BM1020" s="387">
        <f>IF(ISBLANK(INDEX(MO_IS_FirstRow,0,COLUMN())),0,IF(OR(BM905=BH905,BM905=BN905,BM905=BL905),"CHECK",0))</f>
        <v/>
      </c>
      <c r="BN1020" s="387">
        <f>IF(ISBLANK(INDEX(MO_IS_FirstRow,0,COLUMN())),0,IF(BN905=BI905,"CHECK",0))</f>
        <v/>
      </c>
      <c r="BO1020" s="387">
        <f>IF(ISBLANK(INDEX(MO_IS_FirstRow,0,COLUMN())),0,IF(OR(BO905=BJ905,BO905=BP905,BO905=BM905),"CHECK",0))</f>
        <v/>
      </c>
      <c r="BP1020" s="387">
        <f>IF(ISBLANK(INDEX(MO_IS_FirstRow,0,COLUMN())),0,IF(OR(BP905=BK905,BP905=BQ905,BP905=BO905),"CHECK",0))</f>
        <v/>
      </c>
      <c r="BQ1020" s="387">
        <f>IF(ISBLANK(INDEX(MO_IS_FirstRow,0,COLUMN())),0,IF(OR(BQ905=BL905,BQ905=BR905,BQ905=BP905),"CHECK",0))</f>
        <v/>
      </c>
      <c r="BR1020" s="387">
        <f>IF(ISBLANK(INDEX(MO_IS_FirstRow,0,COLUMN())),0,IF(OR(BR905=BM905,BR905=BS905,BR905=BQ905),"CHECK",0))</f>
        <v/>
      </c>
      <c r="BS1020" s="387">
        <f>IF(ISBLANK(INDEX(MO_IS_FirstRow,0,COLUMN())),0,IF(BS905=BN905,"CHECK",0))</f>
        <v/>
      </c>
      <c r="BT1020" s="387">
        <f>IF(ISBLANK(INDEX(MO_IS_FirstRow,0,COLUMN())),0,IF(OR(BT905=BO905,BT905=BU905,BT905=BR905),"CHECK",0))</f>
        <v/>
      </c>
      <c r="BU1020" s="387">
        <f>IF(ISBLANK(INDEX(MO_IS_FirstRow,0,COLUMN())),0,IF(OR(BU905=BP905,BU905=BV905,BU905=BT905),"CHECK",0))</f>
        <v/>
      </c>
      <c r="BV1020" s="1044">
        <f>IF(ISBLANK(INDEX(MO_IS_FirstRow,0,COLUMN())),0,IF(OR(BV905=BQ905,BV905=BW905,BV905=BU905),"CHECK",0))</f>
        <v/>
      </c>
      <c r="BW1020" s="387" t="n"/>
      <c r="BX1020" s="387" t="n"/>
      <c r="BY1020" s="387" t="n"/>
      <c r="BZ1020" s="387" t="n"/>
      <c r="CA1020" s="387" t="n"/>
      <c r="CB1020" s="387" t="n"/>
      <c r="CC1020" s="387" t="n"/>
      <c r="CD1020" s="387" t="n"/>
      <c r="CE1020" s="387" t="n"/>
      <c r="CF1020" s="387" t="n"/>
      <c r="CG1020" s="155" t="n"/>
    </row>
    <row r="1021">
      <c r="A1021" s="228" t="inlineStr">
        <is>
          <t>Income Statement is not Repeated</t>
        </is>
      </c>
      <c r="B1021" s="626" t="n"/>
      <c r="C1021" s="387">
        <f>IF(ISBLANK(INDEX(MO_IS_FirstRow,0,COLUMN())),0,IF(C416=B416,"CHECK",0))</f>
        <v/>
      </c>
      <c r="D1021" s="387">
        <f>IF(ISBLANK(INDEX(MO_IS_FirstRow,0,COLUMN())),0,IF(D416=C416,"CHECK",0))</f>
        <v/>
      </c>
      <c r="E1021" s="387">
        <f>IF(ISBLANK(INDEX(MO_IS_FirstRow,0,COLUMN())),0,IF(E416=D416,"CHECK",0))</f>
        <v/>
      </c>
      <c r="F1021" s="387">
        <f>IF(ISBLANK(INDEX(MO_IS_FirstRow,0,COLUMN())),0,IF(F416=E416,"CHECK",0))</f>
        <v/>
      </c>
      <c r="G1021" s="387">
        <f>IF(ISBLANK(INDEX(MO_IS_FirstRow,0,COLUMN())),0,IF(OR(G416=B416,G416=H416,G416=F416),"CHECK",0))</f>
        <v/>
      </c>
      <c r="H1021" s="387">
        <f>IF(ISBLANK(INDEX(MO_IS_FirstRow,0,COLUMN())),0,IF(OR(H416=C416,H416=I416,H416=G416),"CHECK",0))</f>
        <v/>
      </c>
      <c r="I1021" s="387">
        <f>IF(ISBLANK(INDEX(MO_IS_FirstRow,0,COLUMN())),0,IF(OR(I416=D416,I416=J416,I416=H416),"CHECK",0))</f>
        <v/>
      </c>
      <c r="J1021" s="387">
        <f>IF(ISBLANK(INDEX(MO_IS_FirstRow,0,COLUMN())),0,IF(OR(J416=E416,J416=K416,J416=I416),"CHECK",0))</f>
        <v/>
      </c>
      <c r="K1021" s="387">
        <f>IF(ISBLANK(INDEX(MO_IS_FirstRow,0,COLUMN())),0,IF(OR(K416=F416,K416=L416,K416=J416),"CHECK",0))</f>
        <v/>
      </c>
      <c r="L1021" s="387">
        <f>IF(ISBLANK(INDEX(MO_IS_FirstRow,0,COLUMN())),0,IF(OR(L416=G416,L416=M416,L416=K416),"CHECK",0))</f>
        <v/>
      </c>
      <c r="M1021" s="387">
        <f>IF(ISBLANK(INDEX(MO_IS_FirstRow,0,COLUMN())),0,IF(OR(M416=H416,M416=N416,M416=L416),"CHECK",0))</f>
        <v/>
      </c>
      <c r="N1021" s="387">
        <f>IF(ISBLANK(INDEX(MO_IS_FirstRow,0,COLUMN())),0,IF(OR(N416=I416,N416=O416,N416=M416),"CHECK",0))</f>
        <v/>
      </c>
      <c r="O1021" s="387">
        <f>IF(ISBLANK(INDEX(MO_IS_FirstRow,0,COLUMN())),0,IF(OR(O416=J416,O416=P416,O416=N416),"CHECK",0))</f>
        <v/>
      </c>
      <c r="P1021" s="387">
        <f>IF(ISBLANK(INDEX(MO_IS_FirstRow,0,COLUMN())),0,IF(OR(P416=K416,P416=Q416,P416=O416),"CHECK",0))</f>
        <v/>
      </c>
      <c r="Q1021" s="387">
        <f>IF(ISBLANK(INDEX(MO_IS_FirstRow,0,COLUMN())),0,IF(OR(Q416=L416,Q416=R416,Q416=P416),"CHECK",0))</f>
        <v/>
      </c>
      <c r="R1021" s="387">
        <f>IF(ISBLANK(INDEX(MO_IS_FirstRow,0,COLUMN())),0,IF(OR(R416=M416,R416=S416,R416=Q416),"CHECK",0))</f>
        <v/>
      </c>
      <c r="S1021" s="387">
        <f>IF(ISBLANK(INDEX(MO_IS_FirstRow,0,COLUMN())),0,IF(OR(S416=N416,S416=T416,S416=R416),"CHECK",0))</f>
        <v/>
      </c>
      <c r="T1021" s="387">
        <f>IF(ISBLANK(INDEX(MO_IS_FirstRow,0,COLUMN())),0,IF(OR(T416=O416,T416=U416,T416=S416),"CHECK",0))</f>
        <v/>
      </c>
      <c r="U1021" s="387">
        <f>IF(ISBLANK(INDEX(MO_IS_FirstRow,0,COLUMN())),0,IF(OR(U416=P416,U416=V416,U416=T416),"CHECK",0))</f>
        <v/>
      </c>
      <c r="V1021" s="387">
        <f>IF(ISBLANK(INDEX(MO_IS_FirstRow,0,COLUMN())),0,IF(OR(V416=Q416,V416=W416,V416=U416),"CHECK",0))</f>
        <v/>
      </c>
      <c r="W1021" s="387">
        <f>IF(ISBLANK(INDEX(MO_IS_FirstRow,0,COLUMN())),0,IF(OR(W416=R416,W416=X416,W416=V416),"CHECK",0))</f>
        <v/>
      </c>
      <c r="X1021" s="387">
        <f>IF(ISBLANK(INDEX(MO_IS_FirstRow,0,COLUMN())),0,IF(OR(X416=S416,X416=Y416,X416=W416),"CHECK",0))</f>
        <v/>
      </c>
      <c r="Y1021" s="387">
        <f>IF(ISBLANK(INDEX(MO_IS_FirstRow,0,COLUMN())),0,IF(OR(Y416=T416,Y416=Z416,Y416=X416),"CHECK",0))</f>
        <v/>
      </c>
      <c r="Z1021" s="387">
        <f>IF(ISBLANK(INDEX(MO_IS_FirstRow,0,COLUMN())),0,IF(OR(Z416=U416,Z416=AA416,Z416=Y416),"CHECK",0))</f>
        <v/>
      </c>
      <c r="AA1021" s="387">
        <f>IF(ISBLANK(INDEX(MO_IS_FirstRow,0,COLUMN())),0,IF(OR(AA416=V416,AA416=AB416,AA416=Z416),"CHECK",0))</f>
        <v/>
      </c>
      <c r="AB1021" s="387">
        <f>IF(ISBLANK(INDEX(MO_IS_FirstRow,0,COLUMN())),0,IF(OR(AB416=W416,AB416=AC416,AB416=AA416),"CHECK",0))</f>
        <v/>
      </c>
      <c r="AC1021" s="387">
        <f>IF(ISBLANK(INDEX(MO_IS_FirstRow,0,COLUMN())),0,IF(OR(AC416=X416,AC416=AD416,AC416=AB416),"CHECK",0))</f>
        <v/>
      </c>
      <c r="AD1021" s="387">
        <f>IF(ISBLANK(INDEX(MO_IS_FirstRow,0,COLUMN())),0,IF(OR(AD416=Y416,AD416=AE416,AD416=AC416),"CHECK",0))</f>
        <v/>
      </c>
      <c r="AE1021" s="387">
        <f>IF(ISBLANK(INDEX(MO_IS_FirstRow,0,COLUMN())),0,IF(OR(AE416=Z416,AE416=AF416,AE416=AD416),"CHECK",0))</f>
        <v/>
      </c>
      <c r="AF1021" s="387">
        <f>IF(ISBLANK(INDEX(MO_IS_FirstRow,0,COLUMN())),0,IF(OR(AF416=AA416,AF416=AG416,AF416=AE416),"CHECK",0))</f>
        <v/>
      </c>
      <c r="AG1021" s="387">
        <f>IF(ISBLANK(INDEX(MO_IS_FirstRow,0,COLUMN())),0,IF(OR(AG416=AB416,AG416=AH416,AG416=AF416),"CHECK",0))</f>
        <v/>
      </c>
      <c r="AH1021" s="387">
        <f>IF(ISBLANK(INDEX(MO_IS_FirstRow,0,COLUMN())),0,IF(OR(AH416=AC416,AH416=AI416,AH416=AG416),"CHECK",0))</f>
        <v/>
      </c>
      <c r="AI1021" s="387">
        <f>IF(ISBLANK(INDEX(MO_IS_FirstRow,0,COLUMN())),0,IF(OR(AI416=AD416,AI416=AJ416,AI416=AH416),"CHECK",0))</f>
        <v/>
      </c>
      <c r="AJ1021" s="387">
        <f>IF(ISBLANK(INDEX(MO_IS_FirstRow,0,COLUMN())),0,IF(OR(AJ416=AE416,AJ416=AK416,AJ416=AI416),"CHECK",0))</f>
        <v/>
      </c>
      <c r="AK1021" s="387">
        <f>IF(ISBLANK(INDEX(MO_IS_FirstRow,0,COLUMN())),0,IF(OR(AK416=AF416,AK416=AL416,AK416=AJ416),"CHECK",0))</f>
        <v/>
      </c>
      <c r="AL1021" s="387">
        <f>IF(ISBLANK(INDEX(MO_IS_FirstRow,0,COLUMN())),0,IF(OR(AL416=AG416,AL416=AM416,AL416=AK416),"CHECK",0))</f>
        <v/>
      </c>
      <c r="AM1021" s="387">
        <f>IF(ISBLANK(INDEX(MO_IS_FirstRow,0,COLUMN())),0,IF(OR(AM416=AH416,AM416=AN416,AM416=AL416),"CHECK",0))</f>
        <v/>
      </c>
      <c r="AN1021" s="387">
        <f>IF(ISBLANK(INDEX(MO_IS_FirstRow,0,COLUMN())),0,IF(OR(AN416=AI416,AN416=AO416,AN416=AM416),"CHECK",0))</f>
        <v/>
      </c>
      <c r="AO1021" s="387">
        <f>IF(ISBLANK(INDEX(MO_IS_FirstRow,0,COLUMN())),0,IF(OR(AO416=AJ416,AO416=AP416,AO416=AN416),"CHECK",0))</f>
        <v/>
      </c>
      <c r="AP1021" s="387">
        <f>IF(ISBLANK(INDEX(MO_IS_FirstRow,0,COLUMN())),0,IF(OR(AP416=AK416,AP416=AQ416,AP416=AO416),"CHECK",0))</f>
        <v/>
      </c>
      <c r="AQ1021" s="387">
        <f>IF(ISBLANK(INDEX(MO_IS_FirstRow,0,COLUMN())),0,IF(OR(AQ416=AL416,AQ416=AR416,AQ416=AP416),"CHECK",0))</f>
        <v/>
      </c>
      <c r="AR1021" s="387">
        <f>IF(ISBLANK(INDEX(MO_IS_FirstRow,0,COLUMN())),0,IF(OR(AR416=AM416,AR416=AS416,AR416=AQ416),"CHECK",0))</f>
        <v/>
      </c>
      <c r="AS1021" s="387">
        <f>IF(ISBLANK(INDEX(MO_IS_FirstRow,0,COLUMN())),0,IF(OR(AS416=AN416,AS416=AT416,AS416=AR416),"CHECK",0))</f>
        <v/>
      </c>
      <c r="AT1021" s="387">
        <f>IF(ISBLANK(INDEX(MO_IS_FirstRow,0,COLUMN())),0,IF(OR(AT416=AO416,AT416=AU416,AT416=AS416),"CHECK",0))</f>
        <v/>
      </c>
      <c r="AU1021" s="387">
        <f>IF(ISBLANK(INDEX(MO_IS_FirstRow,0,COLUMN())),0,IF(OR(AU416=AP416,AU416=AV416,AU416=AT416),"CHECK",0))</f>
        <v/>
      </c>
      <c r="AV1021" s="387">
        <f>IF(ISBLANK(INDEX(MO_IS_FirstRow,0,COLUMN())),0,IF(OR(AV416=AQ416,AV416=AW416,AV416=AU416),"CHECK",0))</f>
        <v/>
      </c>
      <c r="AW1021" s="387">
        <f>IF(ISBLANK(INDEX(MO_IS_FirstRow,0,COLUMN())),0,IF(OR(AW416=AR416,AW416=AX416,AW416=AV416),"CHECK",0))</f>
        <v/>
      </c>
      <c r="AX1021" s="387">
        <f>IF(ISBLANK(INDEX(MO_IS_FirstRow,0,COLUMN())),0,IF(OR(AX416=AS416,AX416=AY416,AX416=AW416),"CHECK",0))</f>
        <v/>
      </c>
      <c r="AY1021" s="387">
        <f>IF(ISBLANK(INDEX(MO_IS_FirstRow,0,COLUMN())),0,IF(OR(AY416=AT416,AY416=AZ416,AY416=AX416),"CHECK",0))</f>
        <v/>
      </c>
      <c r="AZ1021" s="387">
        <f>IF(ISBLANK(INDEX(MO_IS_FirstRow,0,COLUMN())),0,IF(OR(AZ416=AU416,AZ416=BA416,AZ416=AY416),"CHECK",0))</f>
        <v/>
      </c>
      <c r="BA1021" s="387">
        <f>IF(ISBLANK(INDEX(MO_IS_FirstRow,0,COLUMN())),0,IF(OR(BA416=AV416,BA416=BB416,BA416=AZ416),"CHECK",0))</f>
        <v/>
      </c>
      <c r="BB1021" s="387">
        <f>IF(ISBLANK(INDEX(MO_IS_FirstRow,0,COLUMN())),0,IF(OR(BB416=AW416,BB416=BC416,BB416=BA416),"CHECK",0))</f>
        <v/>
      </c>
      <c r="BC1021" s="387">
        <f>IF(ISBLANK(INDEX(MO_IS_FirstRow,0,COLUMN())),0,IF(OR(BC416=AX416,BC416=BD416,BC416=BB416),"CHECK",0))</f>
        <v/>
      </c>
      <c r="BD1021" s="387">
        <f>IF(ISBLANK(INDEX(MO_IS_FirstRow,0,COLUMN())),0,IF(OR(BD416=AY416,BD416=BE416,BD416=BC416),"CHECK",0))</f>
        <v/>
      </c>
      <c r="BE1021" s="387">
        <f>IF(ISBLANK(INDEX(MO_IS_FirstRow,0,COLUMN())),0,IF(OR(BE416=AZ416,BE416=BF416,BE416=BD416),"CHECK",0))</f>
        <v/>
      </c>
      <c r="BF1021" s="387">
        <f>IF(ISBLANK(INDEX(MO_IS_FirstRow,0,COLUMN())),0,IF(OR(BF416=BA416,BF416=BG416,BF416=BE416),"CHECK",0))</f>
        <v/>
      </c>
      <c r="BG1021" s="387">
        <f>IF(ISBLANK(INDEX(MO_IS_FirstRow,0,COLUMN())),0,IF(OR(BG416=BB416,BG416=BH416,BG416=BF416),"CHECK",0))</f>
        <v/>
      </c>
      <c r="BH1021" s="387">
        <f>IF(ISBLANK(INDEX(MO_IS_FirstRow,0,COLUMN())),0,IF(OR(BH416=BC416,BH416=BI416,BH416=BG416),"CHECK",0))</f>
        <v/>
      </c>
      <c r="BI1021" s="387">
        <f>IF(ISBLANK(INDEX(MO_IS_FirstRow,0,COLUMN())),0,IF(OR(BI416=BD416,BI416=BJ416,BI416=BH416),"CHECK",0))</f>
        <v/>
      </c>
      <c r="BJ1021" s="387">
        <f>IF(ISBLANK(INDEX(MO_IS_FirstRow,0,COLUMN())),0,IF(OR(BJ416=BE416,BJ416=BK416,BJ416=BI416),"CHECK",0))</f>
        <v/>
      </c>
      <c r="BK1021" s="387">
        <f>IF(ISBLANK(INDEX(MO_IS_FirstRow,0,COLUMN())),0,IF(OR(BK416=BF416,BK416=BL416,BK416=BJ416),"CHECK",0))</f>
        <v/>
      </c>
      <c r="BL1021" s="387">
        <f>IF(ISBLANK(INDEX(MO_IS_FirstRow,0,COLUMN())),0,IF(OR(BL416=BG416,BL416=BM416,BL416=BK416),"CHECK",0))</f>
        <v/>
      </c>
      <c r="BM1021" s="387">
        <f>IF(ISBLANK(INDEX(MO_IS_FirstRow,0,COLUMN())),0,IF(OR(BM416=BH416,BM416=BN416,BM416=BL416),"CHECK",0))</f>
        <v/>
      </c>
      <c r="BN1021" s="387">
        <f>IF(ISBLANK(INDEX(MO_IS_FirstRow,0,COLUMN())),0,IF(OR(BN416=BI416,BN416=BO416,BN416=BM416),"CHECK",0))</f>
        <v/>
      </c>
      <c r="BO1021" s="387">
        <f>IF(ISBLANK(INDEX(MO_IS_FirstRow,0,COLUMN())),0,IF(OR(BO416=BJ416,BO416=BP416,BO416=BN416),"CHECK",0))</f>
        <v/>
      </c>
      <c r="BP1021" s="387">
        <f>IF(ISBLANK(INDEX(MO_IS_FirstRow,0,COLUMN())),0,IF(OR(BP416=BK416,BP416=BQ416,BP416=BO416),"CHECK",0))</f>
        <v/>
      </c>
      <c r="BQ1021" s="387">
        <f>IF(ISBLANK(INDEX(MO_IS_FirstRow,0,COLUMN())),0,IF(OR(BQ416=BL416,BQ416=BR416,BQ416=BP416),"CHECK",0))</f>
        <v/>
      </c>
      <c r="BR1021" s="387">
        <f>IF(ISBLANK(INDEX(MO_IS_FirstRow,0,COLUMN())),0,IF(OR(BR416=BM416,BR416=BS416,BR416=BQ416),"CHECK",0))</f>
        <v/>
      </c>
      <c r="BS1021" s="387">
        <f>IF(ISBLANK(INDEX(MO_IS_FirstRow,0,COLUMN())),0,IF(OR(BS416=BN416,BS416=BT416,BS416=BR416),"CHECK",0))</f>
        <v/>
      </c>
      <c r="BT1021" s="387">
        <f>IF(ISBLANK(INDEX(MO_IS_FirstRow,0,COLUMN())),0,IF(OR(BT416=BO416,BT416=BU416,BT416=BS416),"CHECK",0))</f>
        <v/>
      </c>
      <c r="BU1021" s="387">
        <f>IF(ISBLANK(INDEX(MO_IS_FirstRow,0,COLUMN())),0,IF(OR(BU416=BP416,BU416=BV416,BU416=BT416),"CHECK",0))</f>
        <v/>
      </c>
      <c r="BV1021" s="1044">
        <f>IF(ISBLANK(INDEX(MO_IS_FirstRow,0,COLUMN())),0,IF(OR(BV416=BQ416,BV416=BW416,BV416=BU416),"CHECK",0))</f>
        <v/>
      </c>
      <c r="BW1021" s="387" t="n"/>
      <c r="BX1021" s="387" t="n"/>
      <c r="BY1021" s="387" t="n"/>
      <c r="BZ1021" s="387" t="n"/>
      <c r="CA1021" s="387" t="n"/>
      <c r="CB1021" s="387" t="n"/>
      <c r="CC1021" s="387" t="n"/>
      <c r="CD1021" s="387" t="n"/>
      <c r="CE1021" s="387" t="n"/>
      <c r="CF1021" s="387" t="n"/>
      <c r="CG1021" s="155" t="n"/>
    </row>
    <row r="1022">
      <c r="A1022" s="228" t="inlineStr">
        <is>
          <t>Balance Sheet is not Repeated</t>
        </is>
      </c>
      <c r="B1022" s="626" t="n"/>
      <c r="C1022" s="387">
        <f>IF(OR(C982=B982,C982=D982),"CHECK",0)</f>
        <v/>
      </c>
      <c r="D1022" s="387">
        <f>IF(OR(D982=C982,D982=E982),"CHECK",0)</f>
        <v/>
      </c>
      <c r="E1022" s="387">
        <f>IF(OR(E982=D982,E982=F982),"CHECK",0)</f>
        <v/>
      </c>
      <c r="F1022" s="387">
        <f>IF(OR(F982=E982,F982=K982),"CHECK",0)</f>
        <v/>
      </c>
      <c r="G1022" s="387">
        <f>IF(OR(G982=B982,G982=H982,G982=E982),"CHECK",0)</f>
        <v/>
      </c>
      <c r="H1022" s="387">
        <f>IF(OR(H982=C982,H982=I982,H982=G982),"CHECK",0)</f>
        <v/>
      </c>
      <c r="I1022" s="387">
        <f>IF(OR(I982=D982,I982=J982,I982=H982),"CHECK",0)</f>
        <v/>
      </c>
      <c r="J1022" s="387">
        <f>IF(OR(J982=E982,J982=I982),"CHECK",0)</f>
        <v/>
      </c>
      <c r="K1022" s="387">
        <f>IF(K982=F982,"CHECK",0)</f>
        <v/>
      </c>
      <c r="L1022" s="387">
        <f>IF(OR(L982=G982,L982=M982,L982=J982),"CHECK",0)</f>
        <v/>
      </c>
      <c r="M1022" s="387">
        <f>IF(OR(M982=H982,M982=N982,M982=L982),"CHECK",0)</f>
        <v/>
      </c>
      <c r="N1022" s="387">
        <f>IF(OR(N982=I982,N982=O982,N982=M982),"CHECK",0)</f>
        <v/>
      </c>
      <c r="O1022" s="387">
        <f>IF(OR(O982=J982,O982=N982),"CHECK",0)</f>
        <v/>
      </c>
      <c r="P1022" s="387">
        <f>IF(P982=K982,"CHECK",0)</f>
        <v/>
      </c>
      <c r="Q1022" s="387">
        <f>IF(OR(Q982=L982,Q982=R982,Q982=O982),"CHECK",0)</f>
        <v/>
      </c>
      <c r="R1022" s="387">
        <f>IF(OR(R982=M982,R982=S982,R982=Q982),"CHECK",0)</f>
        <v/>
      </c>
      <c r="S1022" s="387">
        <f>IF(OR(S982=N982,S982=T982,S982=R982),"CHECK",0)</f>
        <v/>
      </c>
      <c r="T1022" s="387">
        <f>IF(OR(T982=O982,T982=S982),"CHECK",0)</f>
        <v/>
      </c>
      <c r="U1022" s="387">
        <f>IF(U982=P982,"CHECK",0)</f>
        <v/>
      </c>
      <c r="V1022" s="387">
        <f>IF(OR(V982=Q982,V982=W982,V982=T982),"CHECK",0)</f>
        <v/>
      </c>
      <c r="W1022" s="387">
        <f>IF(OR(W982=R982,W982=X982,W982=V982),"CHECK",0)</f>
        <v/>
      </c>
      <c r="X1022" s="387">
        <f>IF(OR(X982=S982,X982=Y982,X982=W982),"CHECK",0)</f>
        <v/>
      </c>
      <c r="Y1022" s="387">
        <f>IF(OR(Y982=T982,Y982=X982),"CHECK",0)</f>
        <v/>
      </c>
      <c r="Z1022" s="387">
        <f>IF(Z982=U982,"CHECK",0)</f>
        <v/>
      </c>
      <c r="AA1022" s="387">
        <f>IF(OR(AA982=V982,AA982=AB982,AA982=Y982),"CHECK",0)</f>
        <v/>
      </c>
      <c r="AB1022" s="387">
        <f>IF(OR(AB982=W982,AB982=AC982,AB982=AA982),"CHECK",0)</f>
        <v/>
      </c>
      <c r="AC1022" s="387">
        <f>IF(OR(AC982=X982,AC982=AD982,AC982=AB982),"CHECK",0)</f>
        <v/>
      </c>
      <c r="AD1022" s="387">
        <f>IF(OR(AD982=Y982,AD982=AC982),"CHECK",0)</f>
        <v/>
      </c>
      <c r="AE1022" s="387">
        <f>IF(AE982=Z982,"CHECK",0)</f>
        <v/>
      </c>
      <c r="AF1022" s="387">
        <f>IF(OR(AF982=AA982,AF982=AG982,AF982=AD982),"CHECK",0)</f>
        <v/>
      </c>
      <c r="AG1022" s="387">
        <f>IF(OR(AG982=AB982,AG982=AH982,AG982=AF982),"CHECK",0)</f>
        <v/>
      </c>
      <c r="AH1022" s="387">
        <f>IF(OR(AH982=AC982,AH982=AI982,AH982=AG982),"CHECK",0)</f>
        <v/>
      </c>
      <c r="AI1022" s="387">
        <f>IF(OR(AI982=AD982,AI982=AH982),"CHECK",0)</f>
        <v/>
      </c>
      <c r="AJ1022" s="387">
        <f>IF(AJ982=AE982,"CHECK",0)</f>
        <v/>
      </c>
      <c r="AK1022" s="387">
        <f>IF(OR(AK982=AF982,AK982=AL982,AK982=AI982),"CHECK",0)</f>
        <v/>
      </c>
      <c r="AL1022" s="387">
        <f>IF(OR(AL982=AG982,AL982=AM982,AL982=AK982),"CHECK",0)</f>
        <v/>
      </c>
      <c r="AM1022" s="387">
        <f>IF(OR(AM982=AH982,AM982=AN982,AM982=AL982),"CHECK",0)</f>
        <v/>
      </c>
      <c r="AN1022" s="387">
        <f>IF(OR(AN982=AI982,AN982=AM982),"CHECK",0)</f>
        <v/>
      </c>
      <c r="AO1022" s="387">
        <f>IF(AO982=AJ982,"CHECK",0)</f>
        <v/>
      </c>
      <c r="AP1022" s="387">
        <f>IF(OR(AP982=AK982,AP982=AQ982,AP982=AN982),"CHECK",0)</f>
        <v/>
      </c>
      <c r="AQ1022" s="387">
        <f>IF(OR(AQ982=AL982,AQ982=AR982,AQ982=AP982),"CHECK",0)</f>
        <v/>
      </c>
      <c r="AR1022" s="387">
        <f>IF(OR(AR982=AM982,AR982=AS982,AR982=AQ982),"CHECK",0)</f>
        <v/>
      </c>
      <c r="AS1022" s="387">
        <f>IF(OR(AS982=AN982,AS982=AR982),"CHECK",0)</f>
        <v/>
      </c>
      <c r="AT1022" s="387">
        <f>IF(AT982=AO982,"CHECK",0)</f>
        <v/>
      </c>
      <c r="AU1022" s="387">
        <f>IF(OR(AU982=AP982,AU982=AV982,AU982=AS982),"CHECK",0)</f>
        <v/>
      </c>
      <c r="AV1022" s="387">
        <f>IF(OR(AV982=AQ982,AV982=AW982,AV982=AU982),"CHECK",0)</f>
        <v/>
      </c>
      <c r="AW1022" s="387">
        <f>IF(OR(AW982=AR982,AW982=AX982,AW982=AV982),"CHECK",0)</f>
        <v/>
      </c>
      <c r="AX1022" s="387">
        <f>IF(OR(AX982=AS982,AX982=AW982),"CHECK",0)</f>
        <v/>
      </c>
      <c r="AY1022" s="387">
        <f>IF(AY982=AT982,"CHECK",0)</f>
        <v/>
      </c>
      <c r="AZ1022" s="387">
        <f>IF(OR(AZ982=AU982,AZ982=BA982,AZ982=AX982),"CHECK",0)</f>
        <v/>
      </c>
      <c r="BA1022" s="387">
        <f>IF(OR(BA982=AV982,BA982=BB982,BA982=AZ982),"CHECK",0)</f>
        <v/>
      </c>
      <c r="BB1022" s="387">
        <f>IF(OR(BB982=AW982,BB982=BC982,BB982=BA982),"CHECK",0)</f>
        <v/>
      </c>
      <c r="BC1022" s="387">
        <f>IF(OR(BC982=AX982,BC982=BB982),"CHECK",0)</f>
        <v/>
      </c>
      <c r="BD1022" s="387">
        <f>IF(BD982=AY982,"CHECK",0)</f>
        <v/>
      </c>
      <c r="BE1022" s="387">
        <f>IF(OR(BE982=AZ982,BE982=BF982,BE982=BC982),"CHECK",0)</f>
        <v/>
      </c>
      <c r="BF1022" s="387">
        <f>IF(OR(BF982=BA982,BF982=BG982,BF982=BE982),"CHECK",0)</f>
        <v/>
      </c>
      <c r="BG1022" s="387">
        <f>IF(OR(BG982=BB982,BG982=BH982,BG982=BF982),"CHECK",0)</f>
        <v/>
      </c>
      <c r="BH1022" s="387">
        <f>IF(OR(BH982=BC982,BH982=BG982),"CHECK",0)</f>
        <v/>
      </c>
      <c r="BI1022" s="387">
        <f>IF(BI982=BD982,"CHECK",0)</f>
        <v/>
      </c>
      <c r="BJ1022" s="387">
        <f>IF(OR(BJ982=BE982,BJ982=BK982,BJ982=BH982),"CHECK",0)</f>
        <v/>
      </c>
      <c r="BK1022" s="387">
        <f>IF(OR(BK982=BF982,BK982=BL982,BK982=BJ982),"CHECK",0)</f>
        <v/>
      </c>
      <c r="BL1022" s="387">
        <f>IF(OR(BL982=BG982,BL982=BM982,BL982=BK982),"CHECK",0)</f>
        <v/>
      </c>
      <c r="BM1022" s="387">
        <f>IF(OR(BM982=BH982,BM982=BL982),"CHECK",0)</f>
        <v/>
      </c>
      <c r="BN1022" s="387">
        <f>IF(BN982=BI982,"CHECK",0)</f>
        <v/>
      </c>
      <c r="BO1022" s="387">
        <f>IF(OR(BO982=BJ982,BO982=BP982,BO982=BM982),"CHECK",0)</f>
        <v/>
      </c>
      <c r="BP1022" s="387">
        <f>IF(OR(BP982=BK982,BP982=BQ982,BP982=BO982),"CHECK",0)</f>
        <v/>
      </c>
      <c r="BQ1022" s="387">
        <f>IF(OR(BQ982=BL982,BQ982=BR982,BQ982=BP982),"CHECK",0)</f>
        <v/>
      </c>
      <c r="BR1022" s="387">
        <f>IF(OR(BR982=BM982,BR982=BQ982),"CHECK",0)</f>
        <v/>
      </c>
      <c r="BS1022" s="387">
        <f>IF(BS982=BN982,"CHECK",0)</f>
        <v/>
      </c>
      <c r="BT1022" s="387">
        <f>IF(OR(BT982=BO982,BT982=BU982,BT982=BR982),"CHECK",0)</f>
        <v/>
      </c>
      <c r="BU1022" s="387">
        <f>IF(OR(BU982=BP982,BU982=BV982,BU982=BT982),"CHECK",0)</f>
        <v/>
      </c>
      <c r="BV1022" s="1044">
        <f>IF(OR(BV982=BQ982,BV982=BW982,BV982=BU982),"CHECK",0)</f>
        <v/>
      </c>
      <c r="BW1022" s="387" t="n"/>
      <c r="BX1022" s="387" t="n"/>
      <c r="BY1022" s="387" t="n"/>
      <c r="BZ1022" s="387" t="n"/>
      <c r="CA1022" s="387" t="n"/>
      <c r="CB1022" s="387" t="n"/>
      <c r="CC1022" s="387" t="n"/>
      <c r="CD1022" s="387" t="n"/>
      <c r="CE1022" s="387" t="n"/>
      <c r="CF1022" s="387" t="n"/>
      <c r="CG1022" s="155" t="n"/>
    </row>
    <row r="1023">
      <c r="A1023" s="228" t="inlineStr">
        <is>
          <t>Ending CF = Ending Cumulative CF</t>
        </is>
      </c>
      <c r="B1023" s="626" t="n"/>
      <c r="C1023" s="387">
        <f>IF(ISBLANK(INDEX(MO_IS_FirstRow,0,COLUMN())),0,ROUND(C908-C836,6))</f>
        <v/>
      </c>
      <c r="D1023" s="387">
        <f>IF(ISBLANK(INDEX(MO_IS_FirstRow,0,COLUMN())),0,ROUND(D908-D836,6))</f>
        <v/>
      </c>
      <c r="E1023" s="387">
        <f>IF(ISBLANK(INDEX(MO_IS_FirstRow,0,COLUMN())),0,ROUND(E908-E836,6))</f>
        <v/>
      </c>
      <c r="F1023" s="387">
        <f>IF(ISBLANK(INDEX(MO_IS_FirstRow,0,COLUMN())),0,ROUND(F908-F836,6))</f>
        <v/>
      </c>
      <c r="G1023" s="387">
        <f>IF(ISBLANK(INDEX(MO_IS_FirstRow,0,COLUMN())),0,ROUND(G908-G836,6))</f>
        <v/>
      </c>
      <c r="H1023" s="387">
        <f>IF(ISBLANK(INDEX(MO_IS_FirstRow,0,COLUMN())),0,ROUND(H908-H836,6))</f>
        <v/>
      </c>
      <c r="I1023" s="387">
        <f>IF(ISBLANK(INDEX(MO_IS_FirstRow,0,COLUMN())),0,ROUND(I908-I836,6))</f>
        <v/>
      </c>
      <c r="J1023" s="387">
        <f>IF(ISBLANK(INDEX(MO_IS_FirstRow,0,COLUMN())),0,ROUND(J908-J836,6))</f>
        <v/>
      </c>
      <c r="K1023" s="387">
        <f>IF(ISBLANK(INDEX(MO_IS_FirstRow,0,COLUMN())),0,ROUND(K908-K836,6))</f>
        <v/>
      </c>
      <c r="L1023" s="387">
        <f>IF(ISBLANK(INDEX(MO_IS_FirstRow,0,COLUMN())),0,ROUND(L908-L836,6))</f>
        <v/>
      </c>
      <c r="M1023" s="387">
        <f>IF(ISBLANK(INDEX(MO_IS_FirstRow,0,COLUMN())),0,ROUND(M908-M836,6))</f>
        <v/>
      </c>
      <c r="N1023" s="387">
        <f>IF(ISBLANK(INDEX(MO_IS_FirstRow,0,COLUMN())),0,ROUND(N908-N836,6))</f>
        <v/>
      </c>
      <c r="O1023" s="387">
        <f>IF(ISBLANK(INDEX(MO_IS_FirstRow,0,COLUMN())),0,ROUND(O908-O836,6))</f>
        <v/>
      </c>
      <c r="P1023" s="387">
        <f>IF(ISBLANK(INDEX(MO_IS_FirstRow,0,COLUMN())),0,ROUND(P908-P836,6))</f>
        <v/>
      </c>
      <c r="Q1023" s="387">
        <f>IF(ISBLANK(INDEX(MO_IS_FirstRow,0,COLUMN())),0,ROUND(Q908-Q836,6))</f>
        <v/>
      </c>
      <c r="R1023" s="387">
        <f>IF(ISBLANK(INDEX(MO_IS_FirstRow,0,COLUMN())),0,ROUND(R908-R836,6))</f>
        <v/>
      </c>
      <c r="S1023" s="387">
        <f>IF(ISBLANK(INDEX(MO_IS_FirstRow,0,COLUMN())),0,ROUND(S908-S836,6))</f>
        <v/>
      </c>
      <c r="T1023" s="387">
        <f>IF(ISBLANK(INDEX(MO_IS_FirstRow,0,COLUMN())),0,ROUND(T908-T836,6))</f>
        <v/>
      </c>
      <c r="U1023" s="387">
        <f>IF(ISBLANK(INDEX(MO_IS_FirstRow,0,COLUMN())),0,ROUND(U908-U836,6))</f>
        <v/>
      </c>
      <c r="V1023" s="387">
        <f>IF(ISBLANK(INDEX(MO_IS_FirstRow,0,COLUMN())),0,ROUND(V908-V836,6))</f>
        <v/>
      </c>
      <c r="W1023" s="387">
        <f>IF(ISBLANK(INDEX(MO_IS_FirstRow,0,COLUMN())),0,ROUND(W908-W836,6))</f>
        <v/>
      </c>
      <c r="X1023" s="387">
        <f>IF(ISBLANK(INDEX(MO_IS_FirstRow,0,COLUMN())),0,ROUND(X908-X836,6))</f>
        <v/>
      </c>
      <c r="Y1023" s="387">
        <f>IF(ISBLANK(INDEX(MO_IS_FirstRow,0,COLUMN())),0,ROUND(Y908-Y836,6))</f>
        <v/>
      </c>
      <c r="Z1023" s="387">
        <f>IF(ISBLANK(INDEX(MO_IS_FirstRow,0,COLUMN())),0,ROUND(Z908-Z836,6))</f>
        <v/>
      </c>
      <c r="AA1023" s="387">
        <f>IF(ISBLANK(INDEX(MO_IS_FirstRow,0,COLUMN())),0,ROUND(AA908-AA836,6))</f>
        <v/>
      </c>
      <c r="AB1023" s="387">
        <f>IF(ISBLANK(INDEX(MO_IS_FirstRow,0,COLUMN())),0,ROUND(AB908-AB836,6))</f>
        <v/>
      </c>
      <c r="AC1023" s="387">
        <f>IF(ISBLANK(INDEX(MO_IS_FirstRow,0,COLUMN())),0,ROUND(AC908-AC836,6))</f>
        <v/>
      </c>
      <c r="AD1023" s="387">
        <f>IF(ISBLANK(INDEX(MO_IS_FirstRow,0,COLUMN())),0,ROUND(AD908-AD836,6))</f>
        <v/>
      </c>
      <c r="AE1023" s="387">
        <f>IF(ISBLANK(INDEX(MO_IS_FirstRow,0,COLUMN())),0,ROUND(AE908-AE836,6))</f>
        <v/>
      </c>
      <c r="AF1023" s="387">
        <f>IF(ISBLANK(INDEX(MO_IS_FirstRow,0,COLUMN())),0,ROUND(AF908-AF836,6))</f>
        <v/>
      </c>
      <c r="AG1023" s="387">
        <f>IF(ISBLANK(INDEX(MO_IS_FirstRow,0,COLUMN())),0,ROUND(AG908-AG836,6))</f>
        <v/>
      </c>
      <c r="AH1023" s="387">
        <f>IF(ISBLANK(INDEX(MO_IS_FirstRow,0,COLUMN())),0,ROUND(AH908-AH836,6))</f>
        <v/>
      </c>
      <c r="AI1023" s="387">
        <f>IF(ISBLANK(INDEX(MO_IS_FirstRow,0,COLUMN())),0,ROUND(AI908-AI836,6))</f>
        <v/>
      </c>
      <c r="AJ1023" s="387">
        <f>IF(ISBLANK(INDEX(MO_IS_FirstRow,0,COLUMN())),0,ROUND(AJ908-AJ836,6))</f>
        <v/>
      </c>
      <c r="AK1023" s="387">
        <f>IF(ISBLANK(INDEX(MO_IS_FirstRow,0,COLUMN())),0,ROUND(AK908-AK836,6))</f>
        <v/>
      </c>
      <c r="AL1023" s="387">
        <f>IF(ISBLANK(INDEX(MO_IS_FirstRow,0,COLUMN())),0,ROUND(AL908-AL836,6))</f>
        <v/>
      </c>
      <c r="AM1023" s="387">
        <f>IF(ISBLANK(INDEX(MO_IS_FirstRow,0,COLUMN())),0,ROUND(AM908-AM836,6))</f>
        <v/>
      </c>
      <c r="AN1023" s="387">
        <f>IF(ISBLANK(INDEX(MO_IS_FirstRow,0,COLUMN())),0,ROUND(AN908-AN836,6))</f>
        <v/>
      </c>
      <c r="AO1023" s="387">
        <f>IF(ISBLANK(INDEX(MO_IS_FirstRow,0,COLUMN())),0,ROUND(AO908-AO836,6))</f>
        <v/>
      </c>
      <c r="AP1023" s="387">
        <f>IF(ISBLANK(INDEX(MO_IS_FirstRow,0,COLUMN())),0,ROUND(AP908-AP836,6))</f>
        <v/>
      </c>
      <c r="AQ1023" s="387">
        <f>IF(ISBLANK(INDEX(MO_IS_FirstRow,0,COLUMN())),0,ROUND(AQ908-AQ836,6))</f>
        <v/>
      </c>
      <c r="AR1023" s="387">
        <f>IF(ISBLANK(INDEX(MO_IS_FirstRow,0,COLUMN())),0,ROUND(AR908-AR836,6))</f>
        <v/>
      </c>
      <c r="AS1023" s="387">
        <f>IF(ISBLANK(INDEX(MO_IS_FirstRow,0,COLUMN())),0,ROUND(AS908-AS836,6))</f>
        <v/>
      </c>
      <c r="AT1023" s="387">
        <f>IF(ISBLANK(INDEX(MO_IS_FirstRow,0,COLUMN())),0,ROUND(AT908-AT836,6))</f>
        <v/>
      </c>
      <c r="AU1023" s="387">
        <f>IF(ISBLANK(INDEX(MO_IS_FirstRow,0,COLUMN())),0,ROUND(AU908-AU836,6))</f>
        <v/>
      </c>
      <c r="AV1023" s="387">
        <f>IF(ISBLANK(INDEX(MO_IS_FirstRow,0,COLUMN())),0,ROUND(AV908-AV836,6))</f>
        <v/>
      </c>
      <c r="AW1023" s="387">
        <f>IF(ISBLANK(INDEX(MO_IS_FirstRow,0,COLUMN())),0,ROUND(AW908-AW836,6))</f>
        <v/>
      </c>
      <c r="AX1023" s="387">
        <f>IF(ISBLANK(INDEX(MO_IS_FirstRow,0,COLUMN())),0,ROUND(AX908-AX836,6))</f>
        <v/>
      </c>
      <c r="AY1023" s="387">
        <f>IF(ISBLANK(INDEX(MO_IS_FirstRow,0,COLUMN())),0,ROUND(AY908-AY836,6))</f>
        <v/>
      </c>
      <c r="AZ1023" s="387">
        <f>IF(ISBLANK(INDEX(MO_IS_FirstRow,0,COLUMN())),0,ROUND(AZ908-AZ836,6))</f>
        <v/>
      </c>
      <c r="BA1023" s="387">
        <f>IF(ISBLANK(INDEX(MO_IS_FirstRow,0,COLUMN())),0,ROUND(BA908-BA836,6))</f>
        <v/>
      </c>
      <c r="BB1023" s="387">
        <f>IF(ISBLANK(INDEX(MO_IS_FirstRow,0,COLUMN())),0,ROUND(BB908-BB836,6))</f>
        <v/>
      </c>
      <c r="BC1023" s="387">
        <f>IF(ISBLANK(INDEX(MO_IS_FirstRow,0,COLUMN())),0,ROUND(BC908-BC836,6))</f>
        <v/>
      </c>
      <c r="BD1023" s="387">
        <f>IF(ISBLANK(INDEX(MO_IS_FirstRow,0,COLUMN())),0,ROUND(BD908-BD836,6))</f>
        <v/>
      </c>
      <c r="BE1023" s="387">
        <f>IF(ISBLANK(INDEX(MO_IS_FirstRow,0,COLUMN())),0,ROUND(BE908-BE836,6))</f>
        <v/>
      </c>
      <c r="BF1023" s="387">
        <f>IF(ISBLANK(INDEX(MO_IS_FirstRow,0,COLUMN())),0,ROUND(BF908-BF836,6))</f>
        <v/>
      </c>
      <c r="BG1023" s="387">
        <f>IF(ISBLANK(INDEX(MO_IS_FirstRow,0,COLUMN())),0,ROUND(BG908-BG836,6))</f>
        <v/>
      </c>
      <c r="BH1023" s="387">
        <f>IF(ISBLANK(INDEX(MO_IS_FirstRow,0,COLUMN())),0,ROUND(BH908-BH836,6))</f>
        <v/>
      </c>
      <c r="BI1023" s="387">
        <f>IF(ISBLANK(INDEX(MO_IS_FirstRow,0,COLUMN())),0,ROUND(BI908-BI836,6))</f>
        <v/>
      </c>
      <c r="BJ1023" s="387">
        <f>IF(ISBLANK(INDEX(MO_IS_FirstRow,0,COLUMN())),0,ROUND(BJ908-BJ836,6))</f>
        <v/>
      </c>
      <c r="BK1023" s="387">
        <f>IF(ISBLANK(INDEX(MO_IS_FirstRow,0,COLUMN())),0,ROUND(BK908-BK836,6))</f>
        <v/>
      </c>
      <c r="BL1023" s="387">
        <f>IF(ISBLANK(INDEX(MO_IS_FirstRow,0,COLUMN())),0,ROUND(BL908-BL836,6))</f>
        <v/>
      </c>
      <c r="BM1023" s="387">
        <f>IF(ISBLANK(INDEX(MO_IS_FirstRow,0,COLUMN())),0,ROUND(BM908-BM836,6))</f>
        <v/>
      </c>
      <c r="BN1023" s="387">
        <f>IF(ISBLANK(INDEX(MO_IS_FirstRow,0,COLUMN())),0,ROUND(BN908-BN836,6))</f>
        <v/>
      </c>
      <c r="BO1023" s="387">
        <f>IF(ISBLANK(INDEX(MO_IS_FirstRow,0,COLUMN())),0,ROUND(BO908-BO836,6))</f>
        <v/>
      </c>
      <c r="BP1023" s="387">
        <f>IF(ISBLANK(INDEX(MO_IS_FirstRow,0,COLUMN())),0,ROUND(BP908-BP836,6))</f>
        <v/>
      </c>
      <c r="BQ1023" s="387">
        <f>IF(ISBLANK(INDEX(MO_IS_FirstRow,0,COLUMN())),0,ROUND(BQ908-BQ836,6))</f>
        <v/>
      </c>
      <c r="BR1023" s="387">
        <f>IF(ISBLANK(INDEX(MO_IS_FirstRow,0,COLUMN())),0,ROUND(BR908-BR836,6))</f>
        <v/>
      </c>
      <c r="BS1023" s="387">
        <f>IF(ISBLANK(INDEX(MO_IS_FirstRow,0,COLUMN())),0,ROUND(BS908-BS836,6))</f>
        <v/>
      </c>
      <c r="BT1023" s="387">
        <f>IF(ISBLANK(INDEX(MO_IS_FirstRow,0,COLUMN())),0,ROUND(BT908-BT836,6))</f>
        <v/>
      </c>
      <c r="BU1023" s="387">
        <f>IF(ISBLANK(INDEX(MO_IS_FirstRow,0,COLUMN())),0,ROUND(BU908-BU836,6))</f>
        <v/>
      </c>
      <c r="BV1023" s="1044">
        <f>IF(ISBLANK(INDEX(MO_IS_FirstRow,0,COLUMN())),0,ROUND(BV908-BV836,6))</f>
        <v/>
      </c>
      <c r="BW1023" s="387">
        <f>IF(ISBLANK(INDEX(MO_IS_FirstRow,0,COLUMN())),0,ROUND(BW908-BW836,6))</f>
        <v/>
      </c>
      <c r="BX1023" s="387">
        <f>IF(ISBLANK(INDEX(MO_IS_FirstRow,0,COLUMN())),0,ROUND(BX908-BX836,6))</f>
        <v/>
      </c>
      <c r="BY1023" s="387">
        <f>IF(ISBLANK(INDEX(MO_IS_FirstRow,0,COLUMN())),0,ROUND(BY908-BY836,6))</f>
        <v/>
      </c>
      <c r="BZ1023" s="387">
        <f>IF(ISBLANK(INDEX(MO_IS_FirstRow,0,COLUMN())),0,ROUND(BZ908-BZ836,6))</f>
        <v/>
      </c>
      <c r="CA1023" s="387">
        <f>IF(ISBLANK(INDEX(MO_IS_FirstRow,0,COLUMN())),0,ROUND(CA908-CA836,6))</f>
        <v/>
      </c>
      <c r="CB1023" s="387">
        <f>IF(ISBLANK(INDEX(MO_IS_FirstRow,0,COLUMN())),0,ROUND(CB908-CB836,6))</f>
        <v/>
      </c>
      <c r="CC1023" s="387">
        <f>IF(ISBLANK(INDEX(MO_IS_FirstRow,0,COLUMN())),0,ROUND(CC908-CC836,6))</f>
        <v/>
      </c>
      <c r="CD1023" s="387">
        <f>IF(ISBLANK(INDEX(MO_IS_FirstRow,0,COLUMN())),0,ROUND(CD908-CD836,6))</f>
        <v/>
      </c>
      <c r="CE1023" s="387">
        <f>IF(ISBLANK(INDEX(MO_IS_FirstRow,0,COLUMN())),0,ROUND(CE908-CE836,6))</f>
        <v/>
      </c>
      <c r="CF1023" s="387">
        <f>IF(ISBLANK(INDEX(MO_IS_FirstRow,0,COLUMN())),0,ROUND(CF908-CF836,6))</f>
        <v/>
      </c>
      <c r="CG1023" s="155" t="n"/>
    </row>
    <row r="1024">
      <c r="A1024" s="228" t="inlineStr">
        <is>
          <t>Capex is Updated</t>
        </is>
      </c>
      <c r="B1024" s="626" t="n"/>
      <c r="C1024" s="387">
        <f>ROUND(INDEX(MO_CFSum_Capex,0,COLUMN())-C876,6)</f>
        <v/>
      </c>
      <c r="D1024" s="387">
        <f>ROUND(INDEX(MO_CFSum_Capex,0,COLUMN())-D876,6)</f>
        <v/>
      </c>
      <c r="E1024" s="387">
        <f>ROUND(INDEX(MO_CFSum_Capex,0,COLUMN())-E876,6)</f>
        <v/>
      </c>
      <c r="F1024" s="387">
        <f>ROUND(INDEX(MO_CFSum_Capex,0,COLUMN())-F876,6)</f>
        <v/>
      </c>
      <c r="G1024" s="387">
        <f>ROUND(INDEX(MO_CFSum_Capex,0,COLUMN())-G876,6)</f>
        <v/>
      </c>
      <c r="H1024" s="387">
        <f>ROUND(INDEX(MO_CFSum_Capex,0,COLUMN())-H876,6)</f>
        <v/>
      </c>
      <c r="I1024" s="387">
        <f>ROUND(INDEX(MO_CFSum_Capex,0,COLUMN())-I876,6)</f>
        <v/>
      </c>
      <c r="J1024" s="387">
        <f>ROUND(INDEX(MO_CFSum_Capex,0,COLUMN())-J876,6)</f>
        <v/>
      </c>
      <c r="K1024" s="387">
        <f>ROUND(INDEX(MO_CFSum_Capex,0,COLUMN())-K876,6)</f>
        <v/>
      </c>
      <c r="L1024" s="387">
        <f>ROUND(INDEX(MO_CFSum_Capex,0,COLUMN())-L876,6)</f>
        <v/>
      </c>
      <c r="M1024" s="387">
        <f>ROUND(INDEX(MO_CFSum_Capex,0,COLUMN())-M876,6)</f>
        <v/>
      </c>
      <c r="N1024" s="387">
        <f>ROUND(INDEX(MO_CFSum_Capex,0,COLUMN())-N876,6)</f>
        <v/>
      </c>
      <c r="O1024" s="387">
        <f>ROUND(INDEX(MO_CFSum_Capex,0,COLUMN())-O876,6)</f>
        <v/>
      </c>
      <c r="P1024" s="387">
        <f>ROUND(INDEX(MO_CFSum_Capex,0,COLUMN())-P876,6)</f>
        <v/>
      </c>
      <c r="Q1024" s="387">
        <f>ROUND(INDEX(MO_CFSum_Capex,0,COLUMN())-Q876,6)</f>
        <v/>
      </c>
      <c r="R1024" s="387">
        <f>ROUND(INDEX(MO_CFSum_Capex,0,COLUMN())-R876,6)</f>
        <v/>
      </c>
      <c r="S1024" s="387">
        <f>ROUND(INDEX(MO_CFSum_Capex,0,COLUMN())-S876,6)</f>
        <v/>
      </c>
      <c r="T1024" s="387">
        <f>ROUND(INDEX(MO_CFSum_Capex,0,COLUMN())-T876,6)</f>
        <v/>
      </c>
      <c r="U1024" s="387">
        <f>ROUND(INDEX(MO_CFSum_Capex,0,COLUMN())-U876,6)</f>
        <v/>
      </c>
      <c r="V1024" s="387">
        <f>ROUND(INDEX(MO_CFSum_Capex,0,COLUMN())-V876,6)</f>
        <v/>
      </c>
      <c r="W1024" s="387">
        <f>ROUND(INDEX(MO_CFSum_Capex,0,COLUMN())-W876,6)</f>
        <v/>
      </c>
      <c r="X1024" s="387">
        <f>ROUND(INDEX(MO_CFSum_Capex,0,COLUMN())-X876,6)</f>
        <v/>
      </c>
      <c r="Y1024" s="387">
        <f>ROUND(INDEX(MO_CFSum_Capex,0,COLUMN())-Y876,6)</f>
        <v/>
      </c>
      <c r="Z1024" s="387">
        <f>ROUND(INDEX(MO_CFSum_Capex,0,COLUMN())-Z876,6)</f>
        <v/>
      </c>
      <c r="AA1024" s="387">
        <f>ROUND(INDEX(MO_CFSum_Capex,0,COLUMN())-AA876,6)</f>
        <v/>
      </c>
      <c r="AB1024" s="387">
        <f>ROUND(INDEX(MO_CFSum_Capex,0,COLUMN())-AB876,6)</f>
        <v/>
      </c>
      <c r="AC1024" s="387">
        <f>ROUND(INDEX(MO_CFSum_Capex,0,COLUMN())-AC876,6)</f>
        <v/>
      </c>
      <c r="AD1024" s="387">
        <f>ROUND(INDEX(MO_CFSum_Capex,0,COLUMN())-AD876,6)</f>
        <v/>
      </c>
      <c r="AE1024" s="387">
        <f>ROUND(INDEX(MO_CFSum_Capex,0,COLUMN())-AE876,6)</f>
        <v/>
      </c>
      <c r="AF1024" s="387">
        <f>ROUND(INDEX(MO_CFSum_Capex,0,COLUMN())-AF876,6)</f>
        <v/>
      </c>
      <c r="AG1024" s="387">
        <f>ROUND(INDEX(MO_CFSum_Capex,0,COLUMN())-AG876,6)</f>
        <v/>
      </c>
      <c r="AH1024" s="387">
        <f>ROUND(INDEX(MO_CFSum_Capex,0,COLUMN())-AH876,6)</f>
        <v/>
      </c>
      <c r="AI1024" s="387">
        <f>ROUND(INDEX(MO_CFSum_Capex,0,COLUMN())-AI876,6)</f>
        <v/>
      </c>
      <c r="AJ1024" s="387">
        <f>ROUND(INDEX(MO_CFSum_Capex,0,COLUMN())-AJ876,6)</f>
        <v/>
      </c>
      <c r="AK1024" s="387">
        <f>ROUND(INDEX(MO_CFSum_Capex,0,COLUMN())-AK876,6)</f>
        <v/>
      </c>
      <c r="AL1024" s="387">
        <f>ROUND(INDEX(MO_CFSum_Capex,0,COLUMN())-AL876,6)</f>
        <v/>
      </c>
      <c r="AM1024" s="387">
        <f>ROUND(INDEX(MO_CFSum_Capex,0,COLUMN())-AM876,6)</f>
        <v/>
      </c>
      <c r="AN1024" s="387">
        <f>ROUND(INDEX(MO_CFSum_Capex,0,COLUMN())-AN876,6)</f>
        <v/>
      </c>
      <c r="AO1024" s="387">
        <f>ROUND(INDEX(MO_CFSum_Capex,0,COLUMN())-AO876,6)</f>
        <v/>
      </c>
      <c r="AP1024" s="387">
        <f>ROUND(INDEX(MO_CFSum_Capex,0,COLUMN())-AP876,6)</f>
        <v/>
      </c>
      <c r="AQ1024" s="387">
        <f>ROUND(INDEX(MO_CFSum_Capex,0,COLUMN())-AQ876,6)</f>
        <v/>
      </c>
      <c r="AR1024" s="387">
        <f>ROUND(INDEX(MO_CFSum_Capex,0,COLUMN())-AR876,6)</f>
        <v/>
      </c>
      <c r="AS1024" s="387">
        <f>ROUND(INDEX(MO_CFSum_Capex,0,COLUMN())-AS876,6)</f>
        <v/>
      </c>
      <c r="AT1024" s="387">
        <f>ROUND(INDEX(MO_CFSum_Capex,0,COLUMN())-AT876,6)</f>
        <v/>
      </c>
      <c r="AU1024" s="387">
        <f>ROUND(INDEX(MO_CFSum_Capex,0,COLUMN())-AU876,6)</f>
        <v/>
      </c>
      <c r="AV1024" s="387">
        <f>ROUND(INDEX(MO_CFSum_Capex,0,COLUMN())-AV876,6)</f>
        <v/>
      </c>
      <c r="AW1024" s="387">
        <f>ROUND(INDEX(MO_CFSum_Capex,0,COLUMN())-AW876,6)</f>
        <v/>
      </c>
      <c r="AX1024" s="387">
        <f>ROUND(INDEX(MO_CFSum_Capex,0,COLUMN())-AX876,6)</f>
        <v/>
      </c>
      <c r="AY1024" s="387">
        <f>ROUND(INDEX(MO_CFSum_Capex,0,COLUMN())-AY876,6)</f>
        <v/>
      </c>
      <c r="AZ1024" s="387">
        <f>ROUND(INDEX(MO_CFSum_Capex,0,COLUMN())-AZ876,6)</f>
        <v/>
      </c>
      <c r="BA1024" s="387">
        <f>ROUND(INDEX(MO_CFSum_Capex,0,COLUMN())-BA876,6)</f>
        <v/>
      </c>
      <c r="BB1024" s="387">
        <f>ROUND(INDEX(MO_CFSum_Capex,0,COLUMN())-BB876,6)</f>
        <v/>
      </c>
      <c r="BC1024" s="387">
        <f>ROUND(INDEX(MO_CFSum_Capex,0,COLUMN())-BC876,6)</f>
        <v/>
      </c>
      <c r="BD1024" s="387">
        <f>ROUND(INDEX(MO_CFSum_Capex,0,COLUMN())-BD876,6)</f>
        <v/>
      </c>
      <c r="BE1024" s="387">
        <f>ROUND(INDEX(MO_CFSum_Capex,0,COLUMN())-BE876,6)</f>
        <v/>
      </c>
      <c r="BF1024" s="387">
        <f>ROUND(INDEX(MO_CFSum_Capex,0,COLUMN())-BF876,6)</f>
        <v/>
      </c>
      <c r="BG1024" s="387">
        <f>ROUND(INDEX(MO_CFSum_Capex,0,COLUMN())-BG876,6)</f>
        <v/>
      </c>
      <c r="BH1024" s="387">
        <f>ROUND(INDEX(MO_CFSum_Capex,0,COLUMN())-BH876,6)</f>
        <v/>
      </c>
      <c r="BI1024" s="387">
        <f>ROUND(INDEX(MO_CFSum_Capex,0,COLUMN())-BI876,6)</f>
        <v/>
      </c>
      <c r="BJ1024" s="387">
        <f>ROUND(INDEX(MO_CFSum_Capex,0,COLUMN())-BJ876,6)</f>
        <v/>
      </c>
      <c r="BK1024" s="387">
        <f>ROUND(INDEX(MO_CFSum_Capex,0,COLUMN())-BK876,6)</f>
        <v/>
      </c>
      <c r="BL1024" s="387">
        <f>ROUND(INDEX(MO_CFSum_Capex,0,COLUMN())-BL876,6)</f>
        <v/>
      </c>
      <c r="BM1024" s="387">
        <f>ROUND(INDEX(MO_CFSum_Capex,0,COLUMN())-BM876,6)</f>
        <v/>
      </c>
      <c r="BN1024" s="387">
        <f>ROUND(INDEX(MO_CFSum_Capex,0,COLUMN())-BN876,6)</f>
        <v/>
      </c>
      <c r="BO1024" s="387">
        <f>ROUND(INDEX(MO_CFSum_Capex,0,COLUMN())-BO876,6)</f>
        <v/>
      </c>
      <c r="BP1024" s="387">
        <f>ROUND(INDEX(MO_CFSum_Capex,0,COLUMN())-BP876,6)</f>
        <v/>
      </c>
      <c r="BQ1024" s="387">
        <f>ROUND(INDEX(MO_CFSum_Capex,0,COLUMN())-BQ876,6)</f>
        <v/>
      </c>
      <c r="BR1024" s="387">
        <f>ROUND(INDEX(MO_CFSum_Capex,0,COLUMN())-BR876,6)</f>
        <v/>
      </c>
      <c r="BS1024" s="387">
        <f>ROUND(INDEX(MO_CFSum_Capex,0,COLUMN())-BS876,6)</f>
        <v/>
      </c>
      <c r="BT1024" s="387">
        <f>ROUND(INDEX(MO_CFSum_Capex,0,COLUMN())-BT876,6)</f>
        <v/>
      </c>
      <c r="BU1024" s="387">
        <f>ROUND(INDEX(MO_CFSum_Capex,0,COLUMN())-BU876,6)</f>
        <v/>
      </c>
      <c r="BV1024" s="1044">
        <f>ROUND(INDEX(MO_CFSum_Capex,0,COLUMN())-BV876,6)</f>
        <v/>
      </c>
      <c r="BW1024" s="387">
        <f>ROUND(INDEX(MO_CFSum_Capex,0,COLUMN())-BW876,6)</f>
        <v/>
      </c>
      <c r="BX1024" s="387">
        <f>ROUND(INDEX(MO_CFSum_Capex,0,COLUMN())-BX876,6)</f>
        <v/>
      </c>
      <c r="BY1024" s="387">
        <f>ROUND(INDEX(MO_CFSum_Capex,0,COLUMN())-BY876,6)</f>
        <v/>
      </c>
      <c r="BZ1024" s="387">
        <f>ROUND(INDEX(MO_CFSum_Capex,0,COLUMN())-BZ876,6)</f>
        <v/>
      </c>
      <c r="CA1024" s="387">
        <f>ROUND(INDEX(MO_CFSum_Capex,0,COLUMN())-CA876,6)</f>
        <v/>
      </c>
      <c r="CB1024" s="387">
        <f>ROUND(INDEX(MO_CFSum_Capex,0,COLUMN())-CB876,6)</f>
        <v/>
      </c>
      <c r="CC1024" s="387">
        <f>ROUND(INDEX(MO_CFSum_Capex,0,COLUMN())-CC876,6)</f>
        <v/>
      </c>
      <c r="CD1024" s="387">
        <f>ROUND(INDEX(MO_CFSum_Capex,0,COLUMN())-CD876,6)</f>
        <v/>
      </c>
      <c r="CE1024" s="387">
        <f>ROUND(INDEX(MO_CFSum_Capex,0,COLUMN())-CE876,6)</f>
        <v/>
      </c>
      <c r="CF1024" s="387">
        <f>ROUND(INDEX(MO_CFSum_Capex,0,COLUMN())-CF876,6)</f>
        <v/>
      </c>
      <c r="CG1024" s="155" t="n"/>
    </row>
    <row r="1025">
      <c r="A1025" s="228" t="inlineStr">
        <is>
          <t>Margin is Updated</t>
        </is>
      </c>
      <c r="B1025" s="626" t="n"/>
      <c r="C1025" s="387">
        <f>IF(ISBLANK(INDEX(MO_IS_FirstRow,0,COLUMN())),0,IF(MOD(C283*1000000,1)=0,"Check",0))</f>
        <v/>
      </c>
      <c r="D1025" s="387">
        <f>IF(ISBLANK(INDEX(MO_IS_FirstRow,0,COLUMN())),0,IF(MOD(D283*1000000,1)=0,"Check",0))</f>
        <v/>
      </c>
      <c r="E1025" s="387">
        <f>IF(ISBLANK(INDEX(MO_IS_FirstRow,0,COLUMN())),0,IF(MOD(E283*1000000,1)=0,"Check",0))</f>
        <v/>
      </c>
      <c r="F1025" s="387">
        <f>IF(ISBLANK(INDEX(MO_IS_FirstRow,0,COLUMN())),0,IF(MOD(F283*1000000,1)=0,"Check",0))</f>
        <v/>
      </c>
      <c r="G1025" s="387">
        <f>IF(ISBLANK(INDEX(MO_IS_FirstRow,0,COLUMN())),0,IF(MOD(G283*1000000,1)=0,"Check",0))</f>
        <v/>
      </c>
      <c r="H1025" s="387">
        <f>IF(ISBLANK(INDEX(MO_IS_FirstRow,0,COLUMN())),0,IF(MOD(H283*1000000,1)=0,"Check",0))</f>
        <v/>
      </c>
      <c r="I1025" s="387">
        <f>IF(ISBLANK(INDEX(MO_IS_FirstRow,0,COLUMN())),0,IF(MOD(I283*1000000,1)=0,"Check",0))</f>
        <v/>
      </c>
      <c r="J1025" s="387">
        <f>IF(ISBLANK(INDEX(MO_IS_FirstRow,0,COLUMN())),0,IF(MOD(J283*1000000,1)=0,"Check",0))</f>
        <v/>
      </c>
      <c r="K1025" s="387">
        <f>IF(ISBLANK(INDEX(MO_IS_FirstRow,0,COLUMN())),0,IF(MOD(K283*1000000,1)=0,"Check",0))</f>
        <v/>
      </c>
      <c r="L1025" s="387">
        <f>IF(ISBLANK(INDEX(MO_IS_FirstRow,0,COLUMN())),0,IF(MOD(L283*1000000,1)=0,"Check",0))</f>
        <v/>
      </c>
      <c r="M1025" s="387">
        <f>IF(ISBLANK(INDEX(MO_IS_FirstRow,0,COLUMN())),0,IF(MOD(M283*1000000,1)=0,"Check",0))</f>
        <v/>
      </c>
      <c r="N1025" s="387">
        <f>IF(ISBLANK(INDEX(MO_IS_FirstRow,0,COLUMN())),0,IF(MOD(N283*1000000,1)=0,"Check",0))</f>
        <v/>
      </c>
      <c r="O1025" s="387">
        <f>IF(ISBLANK(INDEX(MO_IS_FirstRow,0,COLUMN())),0,IF(MOD(O283*1000000,1)=0,"Check",0))</f>
        <v/>
      </c>
      <c r="P1025" s="387">
        <f>IF(ISBLANK(INDEX(MO_IS_FirstRow,0,COLUMN())),0,IF(MOD(P283*1000000,1)=0,"Check",0))</f>
        <v/>
      </c>
      <c r="Q1025" s="387">
        <f>IF(ISBLANK(INDEX(MO_IS_FirstRow,0,COLUMN())),0,IF(MOD(Q283*1000000,1)=0,"Check",0))</f>
        <v/>
      </c>
      <c r="R1025" s="387">
        <f>IF(ISBLANK(INDEX(MO_IS_FirstRow,0,COLUMN())),0,IF(MOD(R283*1000000,1)=0,"Check",0))</f>
        <v/>
      </c>
      <c r="S1025" s="387">
        <f>IF(ISBLANK(INDEX(MO_IS_FirstRow,0,COLUMN())),0,IF(MOD(S283*1000000,1)=0,"Check",0))</f>
        <v/>
      </c>
      <c r="T1025" s="387">
        <f>IF(ISBLANK(INDEX(MO_IS_FirstRow,0,COLUMN())),0,IF(MOD(T283*1000000,1)=0,"Check",0))</f>
        <v/>
      </c>
      <c r="U1025" s="387">
        <f>IF(ISBLANK(INDEX(MO_IS_FirstRow,0,COLUMN())),0,IF(MOD(U283*1000000,1)=0,"Check",0))</f>
        <v/>
      </c>
      <c r="V1025" s="387">
        <f>IF(ISBLANK(INDEX(MO_IS_FirstRow,0,COLUMN())),0,IF(MOD(V283*1000000,1)=0,"Check",0))</f>
        <v/>
      </c>
      <c r="W1025" s="387">
        <f>IF(ISBLANK(INDEX(MO_IS_FirstRow,0,COLUMN())),0,IF(MOD(W283*1000000,1)=0,"Check",0))</f>
        <v/>
      </c>
      <c r="X1025" s="387">
        <f>IF(ISBLANK(INDEX(MO_IS_FirstRow,0,COLUMN())),0,IF(MOD(X283*1000000,1)=0,"Check",0))</f>
        <v/>
      </c>
      <c r="Y1025" s="387">
        <f>IF(ISBLANK(INDEX(MO_IS_FirstRow,0,COLUMN())),0,IF(MOD(Y283*1000000,1)=0,"Check",0))</f>
        <v/>
      </c>
      <c r="Z1025" s="387">
        <f>IF(ISBLANK(INDEX(MO_IS_FirstRow,0,COLUMN())),0,IF(MOD(Z283*1000000,1)=0,"Check",0))</f>
        <v/>
      </c>
      <c r="AA1025" s="387">
        <f>IF(ISBLANK(INDEX(MO_IS_FirstRow,0,COLUMN())),0,IF(MOD(AA283*1000000,1)=0,"Check",0))</f>
        <v/>
      </c>
      <c r="AB1025" s="387">
        <f>IF(ISBLANK(INDEX(MO_IS_FirstRow,0,COLUMN())),0,IF(MOD(AB283*1000000,1)=0,"Check",0))</f>
        <v/>
      </c>
      <c r="AC1025" s="387">
        <f>IF(ISBLANK(INDEX(MO_IS_FirstRow,0,COLUMN())),0,IF(MOD(AC283*1000000,1)=0,"Check",0))</f>
        <v/>
      </c>
      <c r="AD1025" s="387">
        <f>IF(ISBLANK(INDEX(MO_IS_FirstRow,0,COLUMN())),0,IF(MOD(AD283*1000000,1)=0,"Check",0))</f>
        <v/>
      </c>
      <c r="AE1025" s="387">
        <f>IF(ISBLANK(INDEX(MO_IS_FirstRow,0,COLUMN())),0,IF(MOD(AE283*1000000,1)=0,"Check",0))</f>
        <v/>
      </c>
      <c r="AF1025" s="387">
        <f>IF(ISBLANK(INDEX(MO_IS_FirstRow,0,COLUMN())),0,IF(MOD(AF283*1000000,1)=0,"Check",0))</f>
        <v/>
      </c>
      <c r="AG1025" s="387">
        <f>IF(ISBLANK(INDEX(MO_IS_FirstRow,0,COLUMN())),0,IF(MOD(AG283*1000000,1)=0,"Check",0))</f>
        <v/>
      </c>
      <c r="AH1025" s="387">
        <f>IF(ISBLANK(INDEX(MO_IS_FirstRow,0,COLUMN())),0,IF(MOD(AH283*1000000,1)=0,"Check",0))</f>
        <v/>
      </c>
      <c r="AI1025" s="387">
        <f>IF(ISBLANK(INDEX(MO_IS_FirstRow,0,COLUMN())),0,IF(MOD(AI283*1000000,1)=0,"Check",0))</f>
        <v/>
      </c>
      <c r="AJ1025" s="387">
        <f>IF(ISBLANK(INDEX(MO_IS_FirstRow,0,COLUMN())),0,IF(MOD(AJ283*1000000,1)=0,"Check",0))</f>
        <v/>
      </c>
      <c r="AK1025" s="387">
        <f>IF(ISBLANK(INDEX(MO_IS_FirstRow,0,COLUMN())),0,IF(MOD(AK283*1000000,1)=0,"Check",0))</f>
        <v/>
      </c>
      <c r="AL1025" s="387">
        <f>IF(ISBLANK(INDEX(MO_IS_FirstRow,0,COLUMN())),0,IF(MOD(AL283*1000000,1)=0,"Check",0))</f>
        <v/>
      </c>
      <c r="AM1025" s="387">
        <f>IF(ISBLANK(INDEX(MO_IS_FirstRow,0,COLUMN())),0,IF(MOD(AM283*1000000,1)=0,"Check",0))</f>
        <v/>
      </c>
      <c r="AN1025" s="387">
        <f>IF(ISBLANK(INDEX(MO_IS_FirstRow,0,COLUMN())),0,IF(MOD(AN283*1000000,1)=0,"Check",0))</f>
        <v/>
      </c>
      <c r="AO1025" s="387">
        <f>IF(ISBLANK(INDEX(MO_IS_FirstRow,0,COLUMN())),0,IF(MOD(AO283*1000000,1)=0,"Check",0))</f>
        <v/>
      </c>
      <c r="AP1025" s="387">
        <f>IF(ISBLANK(INDEX(MO_IS_FirstRow,0,COLUMN())),0,IF(MOD(AP283*1000000,1)=0,"Check",0))</f>
        <v/>
      </c>
      <c r="AQ1025" s="387">
        <f>IF(ISBLANK(INDEX(MO_IS_FirstRow,0,COLUMN())),0,IF(MOD(AQ283*1000000,1)=0,"Check",0))</f>
        <v/>
      </c>
      <c r="AR1025" s="387">
        <f>IF(ISBLANK(INDEX(MO_IS_FirstRow,0,COLUMN())),0,IF(MOD(AR283*1000000,1)=0,"Check",0))</f>
        <v/>
      </c>
      <c r="AS1025" s="387">
        <f>IF(ISBLANK(INDEX(MO_IS_FirstRow,0,COLUMN())),0,IF(MOD(AS283*1000000,1)=0,"Check",0))</f>
        <v/>
      </c>
      <c r="AT1025" s="387">
        <f>IF(ISBLANK(INDEX(MO_IS_FirstRow,0,COLUMN())),0,IF(MOD(AT283*1000000,1)=0,"Check",0))</f>
        <v/>
      </c>
      <c r="AU1025" s="387">
        <f>IF(ISBLANK(INDEX(MO_IS_FirstRow,0,COLUMN())),0,IF(MOD(AU283*1000000,1)=0,"Check",0))</f>
        <v/>
      </c>
      <c r="AV1025" s="387">
        <f>IF(ISBLANK(INDEX(MO_IS_FirstRow,0,COLUMN())),0,IF(MOD(AV283*1000000,1)=0,"Check",0))</f>
        <v/>
      </c>
      <c r="AW1025" s="387">
        <f>IF(ISBLANK(INDEX(MO_IS_FirstRow,0,COLUMN())),0,IF(MOD(AW283*1000000,1)=0,"Check",0))</f>
        <v/>
      </c>
      <c r="AX1025" s="387">
        <f>IF(ISBLANK(INDEX(MO_IS_FirstRow,0,COLUMN())),0,IF(MOD(AX283*1000000,1)=0,"Check",0))</f>
        <v/>
      </c>
      <c r="AY1025" s="387">
        <f>IF(ISBLANK(INDEX(MO_IS_FirstRow,0,COLUMN())),0,IF(MOD(AY283*1000000,1)=0,"Check",0))</f>
        <v/>
      </c>
      <c r="AZ1025" s="387">
        <f>IF(ISBLANK(INDEX(MO_IS_FirstRow,0,COLUMN())),0,IF(MOD(AZ283*1000000,1)=0,"Check",0))</f>
        <v/>
      </c>
      <c r="BA1025" s="387">
        <f>IF(ISBLANK(INDEX(MO_IS_FirstRow,0,COLUMN())),0,IF(MOD(BA283*1000000,1)=0,"Check",0))</f>
        <v/>
      </c>
      <c r="BB1025" s="387">
        <f>IF(ISBLANK(INDEX(MO_IS_FirstRow,0,COLUMN())),0,IF(MOD(BB283*1000000,1)=0,"Check",0))</f>
        <v/>
      </c>
      <c r="BC1025" s="387">
        <f>IF(ISBLANK(INDEX(MO_IS_FirstRow,0,COLUMN())),0,IF(MOD(BC283*1000000,1)=0,"Check",0))</f>
        <v/>
      </c>
      <c r="BD1025" s="387">
        <f>IF(ISBLANK(INDEX(MO_IS_FirstRow,0,COLUMN())),0,IF(MOD(BD283*1000000,1)=0,"Check",0))</f>
        <v/>
      </c>
      <c r="BE1025" s="387">
        <f>IF(ISBLANK(INDEX(MO_IS_FirstRow,0,COLUMN())),0,IF(MOD(BE283*1000000,1)=0,"Check",0))</f>
        <v/>
      </c>
      <c r="BF1025" s="387">
        <f>IF(ISBLANK(INDEX(MO_IS_FirstRow,0,COLUMN())),0,IF(MOD(BF283*1000000,1)=0,"Check",0))</f>
        <v/>
      </c>
      <c r="BG1025" s="387">
        <f>IF(ISBLANK(INDEX(MO_IS_FirstRow,0,COLUMN())),0,IF(MOD(BG283*1000000,1)=0,"Check",0))</f>
        <v/>
      </c>
      <c r="BH1025" s="387">
        <f>IF(ISBLANK(INDEX(MO_IS_FirstRow,0,COLUMN())),0,IF(MOD(BH283*1000000,1)=0,"Check",0))</f>
        <v/>
      </c>
      <c r="BI1025" s="387">
        <f>IF(ISBLANK(INDEX(MO_IS_FirstRow,0,COLUMN())),0,IF(MOD(BI283*1000000,1)=0,"Check",0))</f>
        <v/>
      </c>
      <c r="BJ1025" s="387">
        <f>IF(ISBLANK(INDEX(MO_IS_FirstRow,0,COLUMN())),0,IF(MOD(BJ283*1000000,1)=0,"Check",0))</f>
        <v/>
      </c>
      <c r="BK1025" s="387">
        <f>IF(ISBLANK(INDEX(MO_IS_FirstRow,0,COLUMN())),0,IF(MOD(BK283*1000000,1)=0,"Check",0))</f>
        <v/>
      </c>
      <c r="BL1025" s="387">
        <f>IF(ISBLANK(INDEX(MO_IS_FirstRow,0,COLUMN())),0,IF(MOD(BL283*1000000,1)=0,"Check",0))</f>
        <v/>
      </c>
      <c r="BM1025" s="387">
        <f>IF(ISBLANK(INDEX(MO_IS_FirstRow,0,COLUMN())),0,IF(MOD(BM283*1000000,1)=0,"Check",0))</f>
        <v/>
      </c>
      <c r="BN1025" s="387">
        <f>IF(ISBLANK(INDEX(MO_IS_FirstRow,0,COLUMN())),0,IF(MOD(BN283*1000000,1)=0,"Check",0))</f>
        <v/>
      </c>
      <c r="BO1025" s="387">
        <f>IF(ISBLANK(INDEX(MO_IS_FirstRow,0,COLUMN())),0,IF(MOD(BO283*1000000,1)=0,"Check",0))</f>
        <v/>
      </c>
      <c r="BP1025" s="387">
        <f>IF(ISBLANK(INDEX(MO_IS_FirstRow,0,COLUMN())),0,IF(MOD(BP283*1000000,1)=0,"Check",0))</f>
        <v/>
      </c>
      <c r="BQ1025" s="387">
        <f>IF(ISBLANK(INDEX(MO_IS_FirstRow,0,COLUMN())),0,IF(MOD(BQ283*1000000,1)=0,"Check",0))</f>
        <v/>
      </c>
      <c r="BR1025" s="387">
        <f>IF(ISBLANK(INDEX(MO_IS_FirstRow,0,COLUMN())),0,IF(MOD(BR283*1000000,1)=0,"Check",0))</f>
        <v/>
      </c>
      <c r="BS1025" s="387">
        <f>IF(ISBLANK(INDEX(MO_IS_FirstRow,0,COLUMN())),0,IF(MOD(BS283*1000000,1)=0,"Check",0))</f>
        <v/>
      </c>
      <c r="BT1025" s="387">
        <f>IF(ISBLANK(INDEX(MO_IS_FirstRow,0,COLUMN())),0,IF(MOD(BT283*1000000,1)=0,"Check",0))</f>
        <v/>
      </c>
      <c r="BU1025" s="387">
        <f>IF(ISBLANK(INDEX(MO_IS_FirstRow,0,COLUMN())),0,IF(MOD(BU283*1000000,1)=0,"Check",0))</f>
        <v/>
      </c>
      <c r="BV1025" s="1044">
        <f>IF(ISBLANK(INDEX(MO_IS_FirstRow,0,COLUMN())),0,IF(MOD(BV283*1000000,1)=0,"Check",0))</f>
        <v/>
      </c>
      <c r="BW1025" s="387">
        <f>IF(ISBLANK(INDEX(MO_IS_FirstRow,0,COLUMN())),0,IF(MOD(BW283*1000000,1)=0,"Check",0))</f>
        <v/>
      </c>
      <c r="BX1025" s="387">
        <f>IF(ISBLANK(INDEX(MO_IS_FirstRow,0,COLUMN())),0,IF(MOD(BX283*1000000,1)=0,"Check",0))</f>
        <v/>
      </c>
      <c r="BY1025" s="387">
        <f>IF(ISBLANK(INDEX(MO_IS_FirstRow,0,COLUMN())),0,IF(MOD(BY283*1000000,1)=0,"Check",0))</f>
        <v/>
      </c>
      <c r="BZ1025" s="387">
        <f>IF(ISBLANK(INDEX(MO_IS_FirstRow,0,COLUMN())),0,IF(MOD(BZ283*1000000,1)=0,"Check",0))</f>
        <v/>
      </c>
      <c r="CA1025" s="387">
        <f>IF(ISBLANK(INDEX(MO_IS_FirstRow,0,COLUMN())),0,IF(MOD(CA283*1000000,1)=0,"Check",0))</f>
        <v/>
      </c>
      <c r="CB1025" s="387">
        <f>IF(ISBLANK(INDEX(MO_IS_FirstRow,0,COLUMN())),0,IF(MOD(CB283*1000000,1)=0,"Check",0))</f>
        <v/>
      </c>
      <c r="CC1025" s="387">
        <f>IF(ISBLANK(INDEX(MO_IS_FirstRow,0,COLUMN())),0,IF(MOD(CC283*1000000,1)=0,"Check",0))</f>
        <v/>
      </c>
      <c r="CD1025" s="387">
        <f>IF(ISBLANK(INDEX(MO_IS_FirstRow,0,COLUMN())),0,IF(MOD(CD283*1000000,1)=0,"Check",0))</f>
        <v/>
      </c>
      <c r="CE1025" s="387">
        <f>IF(ISBLANK(INDEX(MO_IS_FirstRow,0,COLUMN())),0,IF(MOD(CE283*1000000,1)=0,"Check",0))</f>
        <v/>
      </c>
      <c r="CF1025" s="387">
        <f>IF(ISBLANK(INDEX(MO_IS_FirstRow,0,COLUMN())),0,IF(MOD(CF283*1000000,1)=0,"Check",0))</f>
        <v/>
      </c>
      <c r="CG1025" s="155" t="n"/>
    </row>
    <row r="1026">
      <c r="A1026" s="27" t="inlineStr">
        <is>
          <t>Adjusted Numbers FY = Sum of Qs</t>
        </is>
      </c>
      <c r="B1026" s="563" t="n"/>
      <c r="C1026" s="986" t="n"/>
      <c r="D1026" s="986" t="n"/>
      <c r="E1026" s="986" t="n"/>
      <c r="F1026" s="986" t="n"/>
      <c r="G1026" s="986" t="n"/>
      <c r="H1026" s="986" t="n"/>
      <c r="I1026" s="986" t="n"/>
      <c r="J1026" s="986" t="n"/>
      <c r="K1026" s="986">
        <f>IF(ISBLANK(INDEX(MO_IS_FirstRow,0,COLUMN())),0,ROUND(K319-SUM(G319,H319,I319,J319),6)+ROUND(K319-SUM(G319,H319,I319,J319),6))</f>
        <v/>
      </c>
      <c r="L1026" s="986" t="n"/>
      <c r="M1026" s="986" t="n"/>
      <c r="N1026" s="986" t="n"/>
      <c r="O1026" s="986" t="n"/>
      <c r="P1026" s="986">
        <f>IF(ISBLANK(INDEX(MO_IS_FirstRow,0,COLUMN())),0,ROUND(P319-SUM(L319,M319,N319,O319),6)+ROUND(P319-SUM(L319,M319,N319,O319),6))</f>
        <v/>
      </c>
      <c r="Q1026" s="986" t="n"/>
      <c r="R1026" s="986" t="n"/>
      <c r="S1026" s="986" t="n"/>
      <c r="T1026" s="986" t="n"/>
      <c r="U1026" s="986">
        <f>IF(ISBLANK(INDEX(MO_IS_FirstRow,0,COLUMN())),0,ROUND(U319-SUM(Q319,R319,S319,T319),6)+ROUND(U319-SUM(Q319,R319,S319,T319),6))</f>
        <v/>
      </c>
      <c r="V1026" s="986" t="n"/>
      <c r="W1026" s="986" t="n"/>
      <c r="X1026" s="986" t="n"/>
      <c r="Y1026" s="986" t="n"/>
      <c r="Z1026" s="986">
        <f>IF(ISBLANK(INDEX(MO_IS_FirstRow,0,COLUMN())),0,ROUND(Z319-SUM(V319,W319,X319,Y319),6)+ROUND(Z319-SUM(V319,W319,X319,Y319),6))</f>
        <v/>
      </c>
      <c r="AA1026" s="986" t="n"/>
      <c r="AB1026" s="986" t="n"/>
      <c r="AC1026" s="986" t="n"/>
      <c r="AD1026" s="986" t="n"/>
      <c r="AE1026" s="986">
        <f>IF(ISBLANK(INDEX(MO_IS_FirstRow,0,COLUMN())),0,ROUND(AE319-SUM(AA319,AB319,AC319,AD319),6)+ROUND(AE319-SUM(AA319,AB319,AC319,AD319),6))</f>
        <v/>
      </c>
      <c r="AF1026" s="986" t="n"/>
      <c r="AG1026" s="986" t="n"/>
      <c r="AH1026" s="986" t="n"/>
      <c r="AI1026" s="986" t="n"/>
      <c r="AJ1026" s="986">
        <f>IF(ISBLANK(INDEX(MO_IS_FirstRow,0,COLUMN())),0,ROUND(AJ319-SUM(AF319,AG319,AH319,AI319),6)+ROUND(AJ319-SUM(AF319,AG319,AH319,AI319),6))</f>
        <v/>
      </c>
      <c r="AK1026" s="986" t="n"/>
      <c r="AL1026" s="986" t="n"/>
      <c r="AM1026" s="986" t="n"/>
      <c r="AN1026" s="986" t="n"/>
      <c r="AO1026" s="986">
        <f>IF(ISBLANK(INDEX(MO_IS_FirstRow,0,COLUMN())),0,ROUND(AO319-SUM(AK319,AL319,AM319,AN319),6)+ROUND(AO319-SUM(AK319,AL319,AM319,AN319),6))</f>
        <v/>
      </c>
      <c r="AP1026" s="986" t="n"/>
      <c r="AQ1026" s="986" t="n"/>
      <c r="AR1026" s="986" t="n"/>
      <c r="AS1026" s="986" t="n"/>
      <c r="AT1026" s="986">
        <f>IF(ISBLANK(INDEX(MO_IS_FirstRow,0,COLUMN())),0,ROUND(AT319-SUM(AP319,AQ319,AR319,AS319),6)+ROUND(AT319-SUM(AP319,AQ319,AR319,AS319),6))</f>
        <v/>
      </c>
      <c r="AU1026" s="986" t="n"/>
      <c r="AV1026" s="986" t="n"/>
      <c r="AW1026" s="986" t="n"/>
      <c r="AX1026" s="986" t="n"/>
      <c r="AY1026" s="986">
        <f>IF(ISBLANK(INDEX(MO_IS_FirstRow,0,COLUMN())),0,ROUND(AY319-SUM(AU319,AV319,AW319,AX319),6)+ROUND(AY319-SUM(AU319,AV319,AW319,AX319),6))</f>
        <v/>
      </c>
      <c r="AZ1026" s="986" t="n"/>
      <c r="BA1026" s="986" t="n"/>
      <c r="BB1026" s="986" t="n"/>
      <c r="BC1026" s="986" t="n"/>
      <c r="BD1026" s="986">
        <f>IF(ISBLANK(INDEX(MO_IS_FirstRow,0,COLUMN())),0,ROUND(BD319-SUM(AZ319,BA319,BB319,BC319),6)+ROUND(BD319-SUM(AZ319,BA319,BB319,BC319),6))</f>
        <v/>
      </c>
      <c r="BE1026" s="986" t="n"/>
      <c r="BF1026" s="986" t="n"/>
      <c r="BG1026" s="986" t="n"/>
      <c r="BH1026" s="986" t="n"/>
      <c r="BI1026" s="986">
        <f>IF(ISBLANK(INDEX(MO_IS_FirstRow,0,COLUMN())),0,ROUND(BI319-SUM(BE319,BF319,BG319,BH319),6)+ROUND(BI319-SUM(BE319,BF319,BG319,BH319),6))</f>
        <v/>
      </c>
      <c r="BJ1026" s="986" t="n"/>
      <c r="BK1026" s="986" t="n"/>
      <c r="BL1026" s="986" t="n"/>
      <c r="BM1026" s="986" t="n"/>
      <c r="BN1026" s="986">
        <f>IF(ISBLANK(INDEX(MO_IS_FirstRow,0,COLUMN())),0,ROUND(BN319-SUM(BJ319,BK319,BL319,BM319),6)+ROUND(BN319-SUM(BJ319,BK319,BL319,BM319),6))</f>
        <v/>
      </c>
      <c r="BO1026" s="986" t="n"/>
      <c r="BP1026" s="986" t="n"/>
      <c r="BQ1026" s="986" t="n"/>
      <c r="BR1026" s="986" t="n"/>
      <c r="BS1026" s="986">
        <f>IF(ISBLANK(INDEX(MO_IS_FirstRow,0,COLUMN())),0,ROUND(BS319-SUM(BO319,BP319,BQ319,BR319),6)+ROUND(BS319-SUM(BO319,BP319,BQ319,BR319),6))</f>
        <v/>
      </c>
      <c r="BT1026" s="986" t="n"/>
      <c r="BU1026" s="986" t="n"/>
      <c r="BV1026" s="987" t="n"/>
      <c r="BW1026" s="986" t="n"/>
      <c r="BX1026" s="986" t="n"/>
      <c r="BY1026" s="986" t="n"/>
      <c r="BZ1026" s="986" t="n"/>
      <c r="CA1026" s="986" t="n"/>
      <c r="CB1026" s="986" t="n"/>
      <c r="CC1026" s="986" t="n"/>
      <c r="CD1026" s="986" t="n"/>
      <c r="CE1026" s="986" t="n"/>
      <c r="CF1026" s="986" t="n"/>
      <c r="CG1026" s="155" t="n"/>
    </row>
    <row r="1027">
      <c r="A1027" s="228" t="inlineStr">
        <is>
          <t>*Margin adds up to 100%</t>
        </is>
      </c>
      <c r="B1027" s="626" t="n"/>
      <c r="C1027" s="387">
        <f>ROUND(1-INDEX(MO_MA_COGS_NONGAAP,0,COLUMN())-INDEX(MO_MA_SGA_NONGAAP,0,COLUMN())-INDEX(MO_MA_RD_NONGAAP,0,COLUMN())-INDEX(MO_MA_OPEX_NONGAAP,0,COLUMN())-INDEX(MO_MA_OperatingIncome_NONGAAP,0,COLUMN()),6)</f>
        <v/>
      </c>
      <c r="D1027" s="387">
        <f>ROUND(1-INDEX(MO_MA_COGS_NONGAAP,0,COLUMN())-INDEX(MO_MA_SGA_NONGAAP,0,COLUMN())-INDEX(MO_MA_RD_NONGAAP,0,COLUMN())-INDEX(MO_MA_OPEX_NONGAAP,0,COLUMN())-INDEX(MO_MA_OperatingIncome_NONGAAP,0,COLUMN()),6)</f>
        <v/>
      </c>
      <c r="E1027" s="387">
        <f>ROUND(1-INDEX(MO_MA_COGS_NONGAAP,0,COLUMN())-INDEX(MO_MA_SGA_NONGAAP,0,COLUMN())-INDEX(MO_MA_RD_NONGAAP,0,COLUMN())-INDEX(MO_MA_OPEX_NONGAAP,0,COLUMN())-INDEX(MO_MA_OperatingIncome_NONGAAP,0,COLUMN()),6)</f>
        <v/>
      </c>
      <c r="F1027" s="387">
        <f>ROUND(1-INDEX(MO_MA_COGS_NONGAAP,0,COLUMN())-INDEX(MO_MA_SGA_NONGAAP,0,COLUMN())-INDEX(MO_MA_RD_NONGAAP,0,COLUMN())-INDEX(MO_MA_OPEX_NONGAAP,0,COLUMN())-INDEX(MO_MA_OperatingIncome_NONGAAP,0,COLUMN()),6)</f>
        <v/>
      </c>
      <c r="G1027" s="387">
        <f>ROUND(1-INDEX(MO_MA_COGS_NONGAAP,0,COLUMN())-INDEX(MO_MA_SGA_NONGAAP,0,COLUMN())-INDEX(MO_MA_RD_NONGAAP,0,COLUMN())-INDEX(MO_MA_OPEX_NONGAAP,0,COLUMN())-INDEX(MO_MA_OperatingIncome_NONGAAP,0,COLUMN()),6)</f>
        <v/>
      </c>
      <c r="H1027" s="387">
        <f>ROUND(1-INDEX(MO_MA_COGS_NONGAAP,0,COLUMN())-INDEX(MO_MA_SGA_NONGAAP,0,COLUMN())-INDEX(MO_MA_RD_NONGAAP,0,COLUMN())-INDEX(MO_MA_OPEX_NONGAAP,0,COLUMN())-INDEX(MO_MA_OperatingIncome_NONGAAP,0,COLUMN()),6)</f>
        <v/>
      </c>
      <c r="I1027" s="387">
        <f>ROUND(1-INDEX(MO_MA_COGS_NONGAAP,0,COLUMN())-INDEX(MO_MA_SGA_NONGAAP,0,COLUMN())-INDEX(MO_MA_RD_NONGAAP,0,COLUMN())-INDEX(MO_MA_OPEX_NONGAAP,0,COLUMN())-INDEX(MO_MA_OperatingIncome_NONGAAP,0,COLUMN()),6)</f>
        <v/>
      </c>
      <c r="J1027" s="387">
        <f>ROUND(1-INDEX(MO_MA_COGS_NONGAAP,0,COLUMN())-INDEX(MO_MA_SGA_NONGAAP,0,COLUMN())-INDEX(MO_MA_RD_NONGAAP,0,COLUMN())-INDEX(MO_MA_OPEX_NONGAAP,0,COLUMN())-INDEX(MO_MA_OperatingIncome_NONGAAP,0,COLUMN()),6)</f>
        <v/>
      </c>
      <c r="K1027" s="387">
        <f>ROUND(1-INDEX(MO_MA_COGS_NONGAAP,0,COLUMN())-INDEX(MO_MA_SGA_NONGAAP,0,COLUMN())-INDEX(MO_MA_RD_NONGAAP,0,COLUMN())-INDEX(MO_MA_OPEX_NONGAAP,0,COLUMN())-INDEX(MO_MA_OperatingIncome_NONGAAP,0,COLUMN()),6)</f>
        <v/>
      </c>
      <c r="L1027" s="387">
        <f>ROUND(1-INDEX(MO_MA_COGS_NONGAAP,0,COLUMN())-INDEX(MO_MA_SGA_NONGAAP,0,COLUMN())-INDEX(MO_MA_RD_NONGAAP,0,COLUMN())-INDEX(MO_MA_OPEX_NONGAAP,0,COLUMN())-INDEX(MO_MA_OperatingIncome_NONGAAP,0,COLUMN()),6)</f>
        <v/>
      </c>
      <c r="M1027" s="387">
        <f>ROUND(1-INDEX(MO_MA_COGS_NONGAAP,0,COLUMN())-INDEX(MO_MA_SGA_NONGAAP,0,COLUMN())-INDEX(MO_MA_RD_NONGAAP,0,COLUMN())-INDEX(MO_MA_OPEX_NONGAAP,0,COLUMN())-INDEX(MO_MA_OperatingIncome_NONGAAP,0,COLUMN()),6)</f>
        <v/>
      </c>
      <c r="N1027" s="387">
        <f>ROUND(1-INDEX(MO_MA_COGS_NONGAAP,0,COLUMN())-INDEX(MO_MA_SGA_NONGAAP,0,COLUMN())-INDEX(MO_MA_RD_NONGAAP,0,COLUMN())-INDEX(MO_MA_OPEX_NONGAAP,0,COLUMN())-INDEX(MO_MA_OperatingIncome_NONGAAP,0,COLUMN()),6)</f>
        <v/>
      </c>
      <c r="O1027" s="387">
        <f>ROUND(1-INDEX(MO_MA_COGS_NONGAAP,0,COLUMN())-INDEX(MO_MA_SGA_NONGAAP,0,COLUMN())-INDEX(MO_MA_RD_NONGAAP,0,COLUMN())-INDEX(MO_MA_OPEX_NONGAAP,0,COLUMN())-INDEX(MO_MA_OperatingIncome_NONGAAP,0,COLUMN()),6)</f>
        <v/>
      </c>
      <c r="P1027" s="387">
        <f>ROUND(1-INDEX(MO_MA_COGS_NONGAAP,0,COLUMN())-INDEX(MO_MA_SGA_NONGAAP,0,COLUMN())-INDEX(MO_MA_RD_NONGAAP,0,COLUMN())-INDEX(MO_MA_OPEX_NONGAAP,0,COLUMN())-INDEX(MO_MA_OperatingIncome_NONGAAP,0,COLUMN()),6)</f>
        <v/>
      </c>
      <c r="Q1027" s="387">
        <f>ROUND(1-INDEX(MO_MA_COGS_NONGAAP,0,COLUMN())-INDEX(MO_MA_SGA_NONGAAP,0,COLUMN())-INDEX(MO_MA_RD_NONGAAP,0,COLUMN())-INDEX(MO_MA_OPEX_NONGAAP,0,COLUMN())-INDEX(MO_MA_OperatingIncome_NONGAAP,0,COLUMN()),6)</f>
        <v/>
      </c>
      <c r="R1027" s="387">
        <f>ROUND(1-INDEX(MO_MA_COGS_NONGAAP,0,COLUMN())-INDEX(MO_MA_SGA_NONGAAP,0,COLUMN())-INDEX(MO_MA_RD_NONGAAP,0,COLUMN())-INDEX(MO_MA_OPEX_NONGAAP,0,COLUMN())-INDEX(MO_MA_OperatingIncome_NONGAAP,0,COLUMN()),6)</f>
        <v/>
      </c>
      <c r="S1027" s="387">
        <f>ROUND(1-INDEX(MO_MA_COGS_NONGAAP,0,COLUMN())-INDEX(MO_MA_SGA_NONGAAP,0,COLUMN())-INDEX(MO_MA_RD_NONGAAP,0,COLUMN())-INDEX(MO_MA_OPEX_NONGAAP,0,COLUMN())-INDEX(MO_MA_OperatingIncome_NONGAAP,0,COLUMN()),6)</f>
        <v/>
      </c>
      <c r="T1027" s="387">
        <f>ROUND(1-INDEX(MO_MA_COGS_NONGAAP,0,COLUMN())-INDEX(MO_MA_SGA_NONGAAP,0,COLUMN())-INDEX(MO_MA_RD_NONGAAP,0,COLUMN())-INDEX(MO_MA_OPEX_NONGAAP,0,COLUMN())-INDEX(MO_MA_OperatingIncome_NONGAAP,0,COLUMN()),6)</f>
        <v/>
      </c>
      <c r="U1027" s="387">
        <f>ROUND(1-INDEX(MO_MA_COGS_NONGAAP,0,COLUMN())-INDEX(MO_MA_SGA_NONGAAP,0,COLUMN())-INDEX(MO_MA_RD_NONGAAP,0,COLUMN())-INDEX(MO_MA_OPEX_NONGAAP,0,COLUMN())-INDEX(MO_MA_OperatingIncome_NONGAAP,0,COLUMN()),6)</f>
        <v/>
      </c>
      <c r="V1027" s="387">
        <f>ROUND(1-INDEX(MO_MA_COGS_NONGAAP,0,COLUMN())-INDEX(MO_MA_SGA_NONGAAP,0,COLUMN())-INDEX(MO_MA_RD_NONGAAP,0,COLUMN())-INDEX(MO_MA_OPEX_NONGAAP,0,COLUMN())-INDEX(MO_MA_OperatingIncome_NONGAAP,0,COLUMN()),6)</f>
        <v/>
      </c>
      <c r="W1027" s="387">
        <f>ROUND(1-INDEX(MO_MA_COGS_NONGAAP,0,COLUMN())-INDEX(MO_MA_SGA_NONGAAP,0,COLUMN())-INDEX(MO_MA_RD_NONGAAP,0,COLUMN())-INDEX(MO_MA_OPEX_NONGAAP,0,COLUMN())-INDEX(MO_MA_OperatingIncome_NONGAAP,0,COLUMN()),6)</f>
        <v/>
      </c>
      <c r="X1027" s="387">
        <f>ROUND(1-INDEX(MO_MA_COGS_NONGAAP,0,COLUMN())-INDEX(MO_MA_SGA_NONGAAP,0,COLUMN())-INDEX(MO_MA_RD_NONGAAP,0,COLUMN())-INDEX(MO_MA_OPEX_NONGAAP,0,COLUMN())-INDEX(MO_MA_OperatingIncome_NONGAAP,0,COLUMN()),6)</f>
        <v/>
      </c>
      <c r="Y1027" s="387">
        <f>ROUND(1-INDEX(MO_MA_COGS_NONGAAP,0,COLUMN())-INDEX(MO_MA_SGA_NONGAAP,0,COLUMN())-INDEX(MO_MA_RD_NONGAAP,0,COLUMN())-INDEX(MO_MA_OPEX_NONGAAP,0,COLUMN())-INDEX(MO_MA_OperatingIncome_NONGAAP,0,COLUMN()),6)</f>
        <v/>
      </c>
      <c r="Z1027" s="387">
        <f>ROUND(1-INDEX(MO_MA_COGS_NONGAAP,0,COLUMN())-INDEX(MO_MA_SGA_NONGAAP,0,COLUMN())-INDEX(MO_MA_RD_NONGAAP,0,COLUMN())-INDEX(MO_MA_OPEX_NONGAAP,0,COLUMN())-INDEX(MO_MA_OperatingIncome_NONGAAP,0,COLUMN()),6)</f>
        <v/>
      </c>
      <c r="AA1027" s="387">
        <f>ROUND(1-INDEX(MO_MA_COGS_NONGAAP,0,COLUMN())-INDEX(MO_MA_SGA_NONGAAP,0,COLUMN())-INDEX(MO_MA_RD_NONGAAP,0,COLUMN())-INDEX(MO_MA_OPEX_NONGAAP,0,COLUMN())-INDEX(MO_MA_OperatingIncome_NONGAAP,0,COLUMN()),6)</f>
        <v/>
      </c>
      <c r="AB1027" s="387">
        <f>ROUND(1-INDEX(MO_MA_COGS_NONGAAP,0,COLUMN())-INDEX(MO_MA_SGA_NONGAAP,0,COLUMN())-INDEX(MO_MA_RD_NONGAAP,0,COLUMN())-INDEX(MO_MA_OPEX_NONGAAP,0,COLUMN())-INDEX(MO_MA_OperatingIncome_NONGAAP,0,COLUMN()),6)</f>
        <v/>
      </c>
      <c r="AC1027" s="387">
        <f>ROUND(1-INDEX(MO_MA_COGS_NONGAAP,0,COLUMN())-INDEX(MO_MA_SGA_NONGAAP,0,COLUMN())-INDEX(MO_MA_RD_NONGAAP,0,COLUMN())-INDEX(MO_MA_OPEX_NONGAAP,0,COLUMN())-INDEX(MO_MA_OperatingIncome_NONGAAP,0,COLUMN()),6)</f>
        <v/>
      </c>
      <c r="AD1027" s="387">
        <f>ROUND(1-INDEX(MO_MA_COGS_NONGAAP,0,COLUMN())-INDEX(MO_MA_SGA_NONGAAP,0,COLUMN())-INDEX(MO_MA_RD_NONGAAP,0,COLUMN())-INDEX(MO_MA_OPEX_NONGAAP,0,COLUMN())-INDEX(MO_MA_OperatingIncome_NONGAAP,0,COLUMN()),6)</f>
        <v/>
      </c>
      <c r="AE1027" s="387">
        <f>ROUND(1-INDEX(MO_MA_COGS_NONGAAP,0,COLUMN())-INDEX(MO_MA_SGA_NONGAAP,0,COLUMN())-INDEX(MO_MA_RD_NONGAAP,0,COLUMN())-INDEX(MO_MA_OPEX_NONGAAP,0,COLUMN())-INDEX(MO_MA_OperatingIncome_NONGAAP,0,COLUMN()),6)</f>
        <v/>
      </c>
      <c r="AF1027" s="387">
        <f>ROUND(1-INDEX(MO_MA_COGS_NONGAAP,0,COLUMN())-INDEX(MO_MA_SGA_NONGAAP,0,COLUMN())-INDEX(MO_MA_RD_NONGAAP,0,COLUMN())-INDEX(MO_MA_OPEX_NONGAAP,0,COLUMN())-INDEX(MO_MA_OperatingIncome_NONGAAP,0,COLUMN()),6)</f>
        <v/>
      </c>
      <c r="AG1027" s="387">
        <f>ROUND(1-INDEX(MO_MA_COGS_NONGAAP,0,COLUMN())-INDEX(MO_MA_SGA_NONGAAP,0,COLUMN())-INDEX(MO_MA_RD_NONGAAP,0,COLUMN())-INDEX(MO_MA_OPEX_NONGAAP,0,COLUMN())-INDEX(MO_MA_OperatingIncome_NONGAAP,0,COLUMN()),6)</f>
        <v/>
      </c>
      <c r="AH1027" s="387">
        <f>ROUND(1-INDEX(MO_MA_COGS_NONGAAP,0,COLUMN())-INDEX(MO_MA_SGA_NONGAAP,0,COLUMN())-INDEX(MO_MA_RD_NONGAAP,0,COLUMN())-INDEX(MO_MA_OPEX_NONGAAP,0,COLUMN())-INDEX(MO_MA_OperatingIncome_NONGAAP,0,COLUMN()),6)</f>
        <v/>
      </c>
      <c r="AI1027" s="387">
        <f>ROUND(1-INDEX(MO_MA_COGS_NONGAAP,0,COLUMN())-INDEX(MO_MA_SGA_NONGAAP,0,COLUMN())-INDEX(MO_MA_RD_NONGAAP,0,COLUMN())-INDEX(MO_MA_OPEX_NONGAAP,0,COLUMN())-INDEX(MO_MA_OperatingIncome_NONGAAP,0,COLUMN()),6)</f>
        <v/>
      </c>
      <c r="AJ1027" s="387">
        <f>ROUND(1-INDEX(MO_MA_COGS_NONGAAP,0,COLUMN())-INDEX(MO_MA_SGA_NONGAAP,0,COLUMN())-INDEX(MO_MA_RD_NONGAAP,0,COLUMN())-INDEX(MO_MA_OPEX_NONGAAP,0,COLUMN())-INDEX(MO_MA_OperatingIncome_NONGAAP,0,COLUMN()),6)</f>
        <v/>
      </c>
      <c r="AK1027" s="387">
        <f>ROUND(1-INDEX(MO_MA_COGS_NONGAAP,0,COLUMN())-INDEX(MO_MA_SGA_NONGAAP,0,COLUMN())-INDEX(MO_MA_RD_NONGAAP,0,COLUMN())-INDEX(MO_MA_OPEX_NONGAAP,0,COLUMN())-INDEX(MO_MA_OperatingIncome_NONGAAP,0,COLUMN()),6)</f>
        <v/>
      </c>
      <c r="AL1027" s="387">
        <f>ROUND(1-INDEX(MO_MA_COGS_NONGAAP,0,COLUMN())-INDEX(MO_MA_SGA_NONGAAP,0,COLUMN())-INDEX(MO_MA_RD_NONGAAP,0,COLUMN())-INDEX(MO_MA_OPEX_NONGAAP,0,COLUMN())-INDEX(MO_MA_OperatingIncome_NONGAAP,0,COLUMN()),6)</f>
        <v/>
      </c>
      <c r="AM1027" s="387">
        <f>ROUND(1-INDEX(MO_MA_COGS_NONGAAP,0,COLUMN())-INDEX(MO_MA_SGA_NONGAAP,0,COLUMN())-INDEX(MO_MA_RD_NONGAAP,0,COLUMN())-INDEX(MO_MA_OPEX_NONGAAP,0,COLUMN())-INDEX(MO_MA_OperatingIncome_NONGAAP,0,COLUMN()),6)</f>
        <v/>
      </c>
      <c r="AN1027" s="387">
        <f>ROUND(1-INDEX(MO_MA_COGS_NONGAAP,0,COLUMN())-INDEX(MO_MA_SGA_NONGAAP,0,COLUMN())-INDEX(MO_MA_RD_NONGAAP,0,COLUMN())-INDEX(MO_MA_OPEX_NONGAAP,0,COLUMN())-INDEX(MO_MA_OperatingIncome_NONGAAP,0,COLUMN()),6)</f>
        <v/>
      </c>
      <c r="AO1027" s="387">
        <f>ROUND(1-INDEX(MO_MA_COGS_NONGAAP,0,COLUMN())-INDEX(MO_MA_SGA_NONGAAP,0,COLUMN())-INDEX(MO_MA_RD_NONGAAP,0,COLUMN())-INDEX(MO_MA_OPEX_NONGAAP,0,COLUMN())-INDEX(MO_MA_OperatingIncome_NONGAAP,0,COLUMN()),6)</f>
        <v/>
      </c>
      <c r="AP1027" s="387">
        <f>ROUND(1-INDEX(MO_MA_COGS_NONGAAP,0,COLUMN())-INDEX(MO_MA_SGA_NONGAAP,0,COLUMN())-INDEX(MO_MA_RD_NONGAAP,0,COLUMN())-INDEX(MO_MA_OPEX_NONGAAP,0,COLUMN())-INDEX(MO_MA_OperatingIncome_NONGAAP,0,COLUMN()),6)</f>
        <v/>
      </c>
      <c r="AQ1027" s="387">
        <f>ROUND(1-INDEX(MO_MA_COGS_NONGAAP,0,COLUMN())-INDEX(MO_MA_SGA_NONGAAP,0,COLUMN())-INDEX(MO_MA_RD_NONGAAP,0,COLUMN())-INDEX(MO_MA_OPEX_NONGAAP,0,COLUMN())-INDEX(MO_MA_OperatingIncome_NONGAAP,0,COLUMN()),6)</f>
        <v/>
      </c>
      <c r="AR1027" s="387">
        <f>ROUND(1-INDEX(MO_MA_COGS_NONGAAP,0,COLUMN())-INDEX(MO_MA_SGA_NONGAAP,0,COLUMN())-INDEX(MO_MA_RD_NONGAAP,0,COLUMN())-INDEX(MO_MA_OPEX_NONGAAP,0,COLUMN())-INDEX(MO_MA_OperatingIncome_NONGAAP,0,COLUMN()),6)</f>
        <v/>
      </c>
      <c r="AS1027" s="387">
        <f>ROUND(1-INDEX(MO_MA_COGS_NONGAAP,0,COLUMN())-INDEX(MO_MA_SGA_NONGAAP,0,COLUMN())-INDEX(MO_MA_RD_NONGAAP,0,COLUMN())-INDEX(MO_MA_OPEX_NONGAAP,0,COLUMN())-INDEX(MO_MA_OperatingIncome_NONGAAP,0,COLUMN()),6)</f>
        <v/>
      </c>
      <c r="AT1027" s="387">
        <f>ROUND(1-INDEX(MO_MA_COGS_NONGAAP,0,COLUMN())-INDEX(MO_MA_SGA_NONGAAP,0,COLUMN())-INDEX(MO_MA_RD_NONGAAP,0,COLUMN())-INDEX(MO_MA_OPEX_NONGAAP,0,COLUMN())-INDEX(MO_MA_OperatingIncome_NONGAAP,0,COLUMN()),6)</f>
        <v/>
      </c>
      <c r="AU1027" s="387">
        <f>ROUND(1-INDEX(MO_MA_COGS_NONGAAP,0,COLUMN())-INDEX(MO_MA_SGA_NONGAAP,0,COLUMN())-INDEX(MO_MA_RD_NONGAAP,0,COLUMN())-INDEX(MO_MA_OPEX_NONGAAP,0,COLUMN())-INDEX(MO_MA_OperatingIncome_NONGAAP,0,COLUMN()),6)</f>
        <v/>
      </c>
      <c r="AV1027" s="387">
        <f>ROUND(1-INDEX(MO_MA_COGS_NONGAAP,0,COLUMN())-INDEX(MO_MA_SGA_NONGAAP,0,COLUMN())-INDEX(MO_MA_RD_NONGAAP,0,COLUMN())-INDEX(MO_MA_OPEX_NONGAAP,0,COLUMN())-INDEX(MO_MA_OperatingIncome_NONGAAP,0,COLUMN()),6)</f>
        <v/>
      </c>
      <c r="AW1027" s="387">
        <f>ROUND(1-INDEX(MO_MA_COGS_NONGAAP,0,COLUMN())-INDEX(MO_MA_SGA_NONGAAP,0,COLUMN())-INDEX(MO_MA_RD_NONGAAP,0,COLUMN())-INDEX(MO_MA_OPEX_NONGAAP,0,COLUMN())-INDEX(MO_MA_OperatingIncome_NONGAAP,0,COLUMN()),6)</f>
        <v/>
      </c>
      <c r="AX1027" s="387">
        <f>ROUND(1-INDEX(MO_MA_COGS_NONGAAP,0,COLUMN())-INDEX(MO_MA_SGA_NONGAAP,0,COLUMN())-INDEX(MO_MA_RD_NONGAAP,0,COLUMN())-INDEX(MO_MA_OPEX_NONGAAP,0,COLUMN())-INDEX(MO_MA_OperatingIncome_NONGAAP,0,COLUMN()),6)</f>
        <v/>
      </c>
      <c r="AY1027" s="387">
        <f>ROUND(1-INDEX(MO_MA_COGS_NONGAAP,0,COLUMN())-INDEX(MO_MA_SGA_NONGAAP,0,COLUMN())-INDEX(MO_MA_RD_NONGAAP,0,COLUMN())-INDEX(MO_MA_OPEX_NONGAAP,0,COLUMN())-INDEX(MO_MA_OperatingIncome_NONGAAP,0,COLUMN()),6)</f>
        <v/>
      </c>
      <c r="AZ1027" s="387">
        <f>ROUND(1-INDEX(MO_MA_COGS_NONGAAP,0,COLUMN())-INDEX(MO_MA_SGA_NONGAAP,0,COLUMN())-INDEX(MO_MA_RD_NONGAAP,0,COLUMN())-INDEX(MO_MA_OPEX_NONGAAP,0,COLUMN())-INDEX(MO_MA_OperatingIncome_NONGAAP,0,COLUMN()),6)</f>
        <v/>
      </c>
      <c r="BA1027" s="387">
        <f>ROUND(1-INDEX(MO_MA_COGS_NONGAAP,0,COLUMN())-INDEX(MO_MA_SGA_NONGAAP,0,COLUMN())-INDEX(MO_MA_RD_NONGAAP,0,COLUMN())-INDEX(MO_MA_OPEX_NONGAAP,0,COLUMN())-INDEX(MO_MA_OperatingIncome_NONGAAP,0,COLUMN()),6)</f>
        <v/>
      </c>
      <c r="BB1027" s="387">
        <f>ROUND(1-INDEX(MO_MA_COGS_NONGAAP,0,COLUMN())-INDEX(MO_MA_SGA_NONGAAP,0,COLUMN())-INDEX(MO_MA_RD_NONGAAP,0,COLUMN())-INDEX(MO_MA_OPEX_NONGAAP,0,COLUMN())-INDEX(MO_MA_OperatingIncome_NONGAAP,0,COLUMN()),6)</f>
        <v/>
      </c>
      <c r="BC1027" s="387">
        <f>ROUND(1-INDEX(MO_MA_COGS_NONGAAP,0,COLUMN())-INDEX(MO_MA_SGA_NONGAAP,0,COLUMN())-INDEX(MO_MA_RD_NONGAAP,0,COLUMN())-INDEX(MO_MA_OPEX_NONGAAP,0,COLUMN())-INDEX(MO_MA_OperatingIncome_NONGAAP,0,COLUMN()),6)</f>
        <v/>
      </c>
      <c r="BD1027" s="387">
        <f>ROUND(1-INDEX(MO_MA_COGS_NONGAAP,0,COLUMN())-INDEX(MO_MA_SGA_NONGAAP,0,COLUMN())-INDEX(MO_MA_RD_NONGAAP,0,COLUMN())-INDEX(MO_MA_OPEX_NONGAAP,0,COLUMN())-INDEX(MO_MA_OperatingIncome_NONGAAP,0,COLUMN()),6)</f>
        <v/>
      </c>
      <c r="BE1027" s="387">
        <f>ROUND(1-INDEX(MO_MA_COGS_NONGAAP,0,COLUMN())-INDEX(MO_MA_SGA_NONGAAP,0,COLUMN())-INDEX(MO_MA_RD_NONGAAP,0,COLUMN())-INDEX(MO_MA_OPEX_NONGAAP,0,COLUMN())-INDEX(MO_MA_OperatingIncome_NONGAAP,0,COLUMN()),6)</f>
        <v/>
      </c>
      <c r="BF1027" s="387">
        <f>ROUND(1-INDEX(MO_MA_COGS_NONGAAP,0,COLUMN())-INDEX(MO_MA_SGA_NONGAAP,0,COLUMN())-INDEX(MO_MA_RD_NONGAAP,0,COLUMN())-INDEX(MO_MA_OPEX_NONGAAP,0,COLUMN())-INDEX(MO_MA_OperatingIncome_NONGAAP,0,COLUMN()),6)</f>
        <v/>
      </c>
      <c r="BG1027" s="387">
        <f>ROUND(1-INDEX(MO_MA_COGS_NONGAAP,0,COLUMN())-INDEX(MO_MA_SGA_NONGAAP,0,COLUMN())-INDEX(MO_MA_RD_NONGAAP,0,COLUMN())-INDEX(MO_MA_OPEX_NONGAAP,0,COLUMN())-INDEX(MO_MA_OperatingIncome_NONGAAP,0,COLUMN()),6)</f>
        <v/>
      </c>
      <c r="BH1027" s="387">
        <f>ROUND(1-INDEX(MO_MA_COGS_NONGAAP,0,COLUMN())-INDEX(MO_MA_SGA_NONGAAP,0,COLUMN())-INDEX(MO_MA_RD_NONGAAP,0,COLUMN())-INDEX(MO_MA_OPEX_NONGAAP,0,COLUMN())-INDEX(MO_MA_OperatingIncome_NONGAAP,0,COLUMN()),6)</f>
        <v/>
      </c>
      <c r="BI1027" s="387">
        <f>ROUND(1-INDEX(MO_MA_COGS_NONGAAP,0,COLUMN())-INDEX(MO_MA_SGA_NONGAAP,0,COLUMN())-INDEX(MO_MA_RD_NONGAAP,0,COLUMN())-INDEX(MO_MA_OPEX_NONGAAP,0,COLUMN())-INDEX(MO_MA_OperatingIncome_NONGAAP,0,COLUMN()),6)</f>
        <v/>
      </c>
      <c r="BJ1027" s="387">
        <f>ROUND(1-INDEX(MO_MA_COGS_NONGAAP,0,COLUMN())-INDEX(MO_MA_SGA_NONGAAP,0,COLUMN())-INDEX(MO_MA_RD_NONGAAP,0,COLUMN())-INDEX(MO_MA_OPEX_NONGAAP,0,COLUMN())-INDEX(MO_MA_OperatingIncome_NONGAAP,0,COLUMN()),6)</f>
        <v/>
      </c>
      <c r="BK1027" s="387">
        <f>ROUND(1-INDEX(MO_MA_COGS_NONGAAP,0,COLUMN())-INDEX(MO_MA_SGA_NONGAAP,0,COLUMN())-INDEX(MO_MA_RD_NONGAAP,0,COLUMN())-INDEX(MO_MA_OPEX_NONGAAP,0,COLUMN())-INDEX(MO_MA_OperatingIncome_NONGAAP,0,COLUMN()),6)</f>
        <v/>
      </c>
      <c r="BL1027" s="387">
        <f>ROUND(1-INDEX(MO_MA_COGS_NONGAAP,0,COLUMN())-INDEX(MO_MA_SGA_NONGAAP,0,COLUMN())-INDEX(MO_MA_RD_NONGAAP,0,COLUMN())-INDEX(MO_MA_OPEX_NONGAAP,0,COLUMN())-INDEX(MO_MA_OperatingIncome_NONGAAP,0,COLUMN()),6)</f>
        <v/>
      </c>
      <c r="BM1027" s="387">
        <f>ROUND(1-INDEX(MO_MA_COGS_NONGAAP,0,COLUMN())-INDEX(MO_MA_SGA_NONGAAP,0,COLUMN())-INDEX(MO_MA_RD_NONGAAP,0,COLUMN())-INDEX(MO_MA_OPEX_NONGAAP,0,COLUMN())-INDEX(MO_MA_OperatingIncome_NONGAAP,0,COLUMN()),6)</f>
        <v/>
      </c>
      <c r="BN1027" s="387">
        <f>ROUND(1-INDEX(MO_MA_COGS_NONGAAP,0,COLUMN())-INDEX(MO_MA_SGA_NONGAAP,0,COLUMN())-INDEX(MO_MA_RD_NONGAAP,0,COLUMN())-INDEX(MO_MA_OPEX_NONGAAP,0,COLUMN())-INDEX(MO_MA_OperatingIncome_NONGAAP,0,COLUMN()),6)</f>
        <v/>
      </c>
      <c r="BO1027" s="387">
        <f>ROUND(1-INDEX(MO_MA_COGS_NONGAAP,0,COLUMN())-INDEX(MO_MA_SGA_NONGAAP,0,COLUMN())-INDEX(MO_MA_RD_NONGAAP,0,COLUMN())-INDEX(MO_MA_OPEX_NONGAAP,0,COLUMN())-INDEX(MO_MA_OperatingIncome_NONGAAP,0,COLUMN()),6)</f>
        <v/>
      </c>
      <c r="BP1027" s="387">
        <f>ROUND(1-INDEX(MO_MA_COGS_NONGAAP,0,COLUMN())-INDEX(MO_MA_SGA_NONGAAP,0,COLUMN())-INDEX(MO_MA_RD_NONGAAP,0,COLUMN())-INDEX(MO_MA_OPEX_NONGAAP,0,COLUMN())-INDEX(MO_MA_OperatingIncome_NONGAAP,0,COLUMN()),6)</f>
        <v/>
      </c>
      <c r="BQ1027" s="387">
        <f>ROUND(1-INDEX(MO_MA_COGS_NONGAAP,0,COLUMN())-INDEX(MO_MA_SGA_NONGAAP,0,COLUMN())-INDEX(MO_MA_RD_NONGAAP,0,COLUMN())-INDEX(MO_MA_OPEX_NONGAAP,0,COLUMN())-INDEX(MO_MA_OperatingIncome_NONGAAP,0,COLUMN()),6)</f>
        <v/>
      </c>
      <c r="BR1027" s="387">
        <f>ROUND(1-INDEX(MO_MA_COGS_NONGAAP,0,COLUMN())-INDEX(MO_MA_SGA_NONGAAP,0,COLUMN())-INDEX(MO_MA_RD_NONGAAP,0,COLUMN())-INDEX(MO_MA_OPEX_NONGAAP,0,COLUMN())-INDEX(MO_MA_OperatingIncome_NONGAAP,0,COLUMN()),6)</f>
        <v/>
      </c>
      <c r="BS1027" s="387">
        <f>ROUND(1-INDEX(MO_MA_COGS_NONGAAP,0,COLUMN())-INDEX(MO_MA_SGA_NONGAAP,0,COLUMN())-INDEX(MO_MA_RD_NONGAAP,0,COLUMN())-INDEX(MO_MA_OPEX_NONGAAP,0,COLUMN())-INDEX(MO_MA_OperatingIncome_NONGAAP,0,COLUMN()),6)</f>
        <v/>
      </c>
      <c r="BT1027" s="387">
        <f>ROUND(1-INDEX(MO_MA_COGS_NONGAAP,0,COLUMN())-INDEX(MO_MA_SGA_NONGAAP,0,COLUMN())-INDEX(MO_MA_RD_NONGAAP,0,COLUMN())-INDEX(MO_MA_OPEX_NONGAAP,0,COLUMN())-INDEX(MO_MA_OperatingIncome_NONGAAP,0,COLUMN()),6)</f>
        <v/>
      </c>
      <c r="BU1027" s="387">
        <f>ROUND(1-INDEX(MO_MA_COGS_NONGAAP,0,COLUMN())-INDEX(MO_MA_SGA_NONGAAP,0,COLUMN())-INDEX(MO_MA_RD_NONGAAP,0,COLUMN())-INDEX(MO_MA_OPEX_NONGAAP,0,COLUMN())-INDEX(MO_MA_OperatingIncome_NONGAAP,0,COLUMN()),6)</f>
        <v/>
      </c>
      <c r="BV1027" s="1044">
        <f>ROUND(1-INDEX(MO_MA_COGS_NONGAAP,0,COLUMN())-INDEX(MO_MA_SGA_NONGAAP,0,COLUMN())-INDEX(MO_MA_RD_NONGAAP,0,COLUMN())-INDEX(MO_MA_OPEX_NONGAAP,0,COLUMN())-INDEX(MO_MA_OperatingIncome_NONGAAP,0,COLUMN()),6)</f>
        <v/>
      </c>
      <c r="BW1027" s="387">
        <f>ROUND(1-INDEX(MO_MA_COGS_NONGAAP,0,COLUMN())-INDEX(MO_MA_SGA_NONGAAP,0,COLUMN())-INDEX(MO_MA_RD_NONGAAP,0,COLUMN())-INDEX(MO_MA_OPEX_NONGAAP,0,COLUMN())-INDEX(MO_MA_OperatingIncome_NONGAAP,0,COLUMN()),6)</f>
        <v/>
      </c>
      <c r="BX1027" s="387">
        <f>ROUND(1-INDEX(MO_MA_COGS_NONGAAP,0,COLUMN())-INDEX(MO_MA_SGA_NONGAAP,0,COLUMN())-INDEX(MO_MA_RD_NONGAAP,0,COLUMN())-INDEX(MO_MA_OPEX_NONGAAP,0,COLUMN())-INDEX(MO_MA_OperatingIncome_NONGAAP,0,COLUMN()),6)</f>
        <v/>
      </c>
      <c r="BY1027" s="387">
        <f>ROUND(1-INDEX(MO_MA_COGS_NONGAAP,0,COLUMN())-INDEX(MO_MA_SGA_NONGAAP,0,COLUMN())-INDEX(MO_MA_RD_NONGAAP,0,COLUMN())-INDEX(MO_MA_OPEX_NONGAAP,0,COLUMN())-INDEX(MO_MA_OperatingIncome_NONGAAP,0,COLUMN()),6)</f>
        <v/>
      </c>
      <c r="BZ1027" s="387">
        <f>ROUND(1-INDEX(MO_MA_COGS_NONGAAP,0,COLUMN())-INDEX(MO_MA_SGA_NONGAAP,0,COLUMN())-INDEX(MO_MA_RD_NONGAAP,0,COLUMN())-INDEX(MO_MA_OPEX_NONGAAP,0,COLUMN())-INDEX(MO_MA_OperatingIncome_NONGAAP,0,COLUMN()),6)</f>
        <v/>
      </c>
      <c r="CA1027" s="387">
        <f>ROUND(1-INDEX(MO_MA_COGS_NONGAAP,0,COLUMN())-INDEX(MO_MA_SGA_NONGAAP,0,COLUMN())-INDEX(MO_MA_RD_NONGAAP,0,COLUMN())-INDEX(MO_MA_OPEX_NONGAAP,0,COLUMN())-INDEX(MO_MA_OperatingIncome_NONGAAP,0,COLUMN()),6)</f>
        <v/>
      </c>
      <c r="CB1027" s="387">
        <f>ROUND(1-INDEX(MO_MA_COGS_NONGAAP,0,COLUMN())-INDEX(MO_MA_SGA_NONGAAP,0,COLUMN())-INDEX(MO_MA_RD_NONGAAP,0,COLUMN())-INDEX(MO_MA_OPEX_NONGAAP,0,COLUMN())-INDEX(MO_MA_OperatingIncome_NONGAAP,0,COLUMN()),6)</f>
        <v/>
      </c>
      <c r="CC1027" s="387">
        <f>ROUND(1-INDEX(MO_MA_COGS_NONGAAP,0,COLUMN())-INDEX(MO_MA_SGA_NONGAAP,0,COLUMN())-INDEX(MO_MA_RD_NONGAAP,0,COLUMN())-INDEX(MO_MA_OPEX_NONGAAP,0,COLUMN())-INDEX(MO_MA_OperatingIncome_NONGAAP,0,COLUMN()),6)</f>
        <v/>
      </c>
      <c r="CD1027" s="387">
        <f>ROUND(1-INDEX(MO_MA_COGS_NONGAAP,0,COLUMN())-INDEX(MO_MA_SGA_NONGAAP,0,COLUMN())-INDEX(MO_MA_RD_NONGAAP,0,COLUMN())-INDEX(MO_MA_OPEX_NONGAAP,0,COLUMN())-INDEX(MO_MA_OperatingIncome_NONGAAP,0,COLUMN()),6)</f>
        <v/>
      </c>
      <c r="CE1027" s="387">
        <f>ROUND(1-INDEX(MO_MA_COGS_NONGAAP,0,COLUMN())-INDEX(MO_MA_SGA_NONGAAP,0,COLUMN())-INDEX(MO_MA_RD_NONGAAP,0,COLUMN())-INDEX(MO_MA_OPEX_NONGAAP,0,COLUMN())-INDEX(MO_MA_OperatingIncome_NONGAAP,0,COLUMN()),6)</f>
        <v/>
      </c>
      <c r="CF1027" s="387">
        <f>ROUND(1-INDEX(MO_MA_COGS_NONGAAP,0,COLUMN())-INDEX(MO_MA_SGA_NONGAAP,0,COLUMN())-INDEX(MO_MA_RD_NONGAAP,0,COLUMN())-INDEX(MO_MA_OPEX_NONGAAP,0,COLUMN())-INDEX(MO_MA_OperatingIncome_NONGAAP,0,COLUMN()),6)</f>
        <v/>
      </c>
      <c r="CG1027" s="155" t="n"/>
    </row>
    <row r="1028">
      <c r="A1028" s="27" t="inlineStr">
        <is>
          <t>*Cash Flow Summary Signs are Correct</t>
        </is>
      </c>
      <c r="B1028" s="563" t="n"/>
      <c r="C1028" s="986">
        <f>IF(OR(INDEX(MO_CFSum_Acquisition,1,COLUMN())&gt;0,INDEX(MO_CFSum_Divestiture,1,COLUMN())&lt;0,INDEX(MO_CFSum_Capex,1,COLUMN())&gt;0,INDEX(MO_CFSum_Dividend,1,COLUMN())&gt;0),"CHECK",0)</f>
        <v/>
      </c>
      <c r="D1028" s="986">
        <f>IF(OR(INDEX(MO_CFSum_Acquisition,1,COLUMN())&gt;0,INDEX(MO_CFSum_Divestiture,1,COLUMN())&lt;0,INDEX(MO_CFSum_Capex,1,COLUMN())&gt;0,INDEX(MO_CFSum_Dividend,1,COLUMN())&gt;0),"CHECK",0)</f>
        <v/>
      </c>
      <c r="E1028" s="986">
        <f>IF(OR(INDEX(MO_CFSum_Acquisition,1,COLUMN())&gt;0,INDEX(MO_CFSum_Divestiture,1,COLUMN())&lt;0,INDEX(MO_CFSum_Capex,1,COLUMN())&gt;0,INDEX(MO_CFSum_Dividend,1,COLUMN())&gt;0),"CHECK",0)</f>
        <v/>
      </c>
      <c r="F1028" s="986">
        <f>IF(OR(INDEX(MO_CFSum_Acquisition,1,COLUMN())&gt;0,INDEX(MO_CFSum_Divestiture,1,COLUMN())&lt;0,INDEX(MO_CFSum_Capex,1,COLUMN())&gt;0,INDEX(MO_CFSum_Dividend,1,COLUMN())&gt;0),"CHECK",0)</f>
        <v/>
      </c>
      <c r="G1028" s="986">
        <f>IF(OR(INDEX(MO_CFSum_Acquisition,1,COLUMN())&gt;0,INDEX(MO_CFSum_Divestiture,1,COLUMN())&lt;0,INDEX(MO_CFSum_Capex,1,COLUMN())&gt;0,INDEX(MO_CFSum_Dividend,1,COLUMN())&gt;0),"CHECK",0)</f>
        <v/>
      </c>
      <c r="H1028" s="986">
        <f>IF(OR(INDEX(MO_CFSum_Acquisition,1,COLUMN())&gt;0,INDEX(MO_CFSum_Divestiture,1,COLUMN())&lt;0,INDEX(MO_CFSum_Capex,1,COLUMN())&gt;0,INDEX(MO_CFSum_Dividend,1,COLUMN())&gt;0),"CHECK",0)</f>
        <v/>
      </c>
      <c r="I1028" s="986">
        <f>IF(OR(INDEX(MO_CFSum_Acquisition,1,COLUMN())&gt;0,INDEX(MO_CFSum_Divestiture,1,COLUMN())&lt;0,INDEX(MO_CFSum_Capex,1,COLUMN())&gt;0,INDEX(MO_CFSum_Dividend,1,COLUMN())&gt;0),"CHECK",0)</f>
        <v/>
      </c>
      <c r="J1028" s="986">
        <f>IF(OR(INDEX(MO_CFSum_Acquisition,1,COLUMN())&gt;0,INDEX(MO_CFSum_Divestiture,1,COLUMN())&lt;0,INDEX(MO_CFSum_Capex,1,COLUMN())&gt;0,INDEX(MO_CFSum_Dividend,1,COLUMN())&gt;0),"CHECK",0)</f>
        <v/>
      </c>
      <c r="K1028" s="986">
        <f>IF(OR(INDEX(MO_CFSum_Acquisition,1,COLUMN())&gt;0,INDEX(MO_CFSum_Divestiture,1,COLUMN())&lt;0,INDEX(MO_CFSum_Capex,1,COLUMN())&gt;0,INDEX(MO_CFSum_Dividend,1,COLUMN())&gt;0),"CHECK",0)</f>
        <v/>
      </c>
      <c r="L1028" s="986">
        <f>IF(OR(INDEX(MO_CFSum_Acquisition,1,COLUMN())&gt;0,INDEX(MO_CFSum_Divestiture,1,COLUMN())&lt;0,INDEX(MO_CFSum_Capex,1,COLUMN())&gt;0,INDEX(MO_CFSum_Dividend,1,COLUMN())&gt;0),"CHECK",0)</f>
        <v/>
      </c>
      <c r="M1028" s="986">
        <f>IF(OR(INDEX(MO_CFSum_Acquisition,1,COLUMN())&gt;0,INDEX(MO_CFSum_Divestiture,1,COLUMN())&lt;0,INDEX(MO_CFSum_Capex,1,COLUMN())&gt;0,INDEX(MO_CFSum_Dividend,1,COLUMN())&gt;0),"CHECK",0)</f>
        <v/>
      </c>
      <c r="N1028" s="986">
        <f>IF(OR(INDEX(MO_CFSum_Acquisition,1,COLUMN())&gt;0,INDEX(MO_CFSum_Divestiture,1,COLUMN())&lt;0,INDEX(MO_CFSum_Capex,1,COLUMN())&gt;0,INDEX(MO_CFSum_Dividend,1,COLUMN())&gt;0),"CHECK",0)</f>
        <v/>
      </c>
      <c r="O1028" s="986">
        <f>IF(OR(INDEX(MO_CFSum_Acquisition,1,COLUMN())&gt;0,INDEX(MO_CFSum_Divestiture,1,COLUMN())&lt;0,INDEX(MO_CFSum_Capex,1,COLUMN())&gt;0,INDEX(MO_CFSum_Dividend,1,COLUMN())&gt;0),"CHECK",0)</f>
        <v/>
      </c>
      <c r="P1028" s="986">
        <f>IF(OR(INDEX(MO_CFSum_Acquisition,1,COLUMN())&gt;0,INDEX(MO_CFSum_Divestiture,1,COLUMN())&lt;0,INDEX(MO_CFSum_Capex,1,COLUMN())&gt;0,INDEX(MO_CFSum_Dividend,1,COLUMN())&gt;0),"CHECK",0)</f>
        <v/>
      </c>
      <c r="Q1028" s="986">
        <f>IF(OR(INDEX(MO_CFSum_Acquisition,1,COLUMN())&gt;0,INDEX(MO_CFSum_Divestiture,1,COLUMN())&lt;0,INDEX(MO_CFSum_Capex,1,COLUMN())&gt;0,INDEX(MO_CFSum_Dividend,1,COLUMN())&gt;0),"CHECK",0)</f>
        <v/>
      </c>
      <c r="R1028" s="986">
        <f>IF(OR(INDEX(MO_CFSum_Acquisition,1,COLUMN())&gt;0,INDEX(MO_CFSum_Divestiture,1,COLUMN())&lt;0,INDEX(MO_CFSum_Capex,1,COLUMN())&gt;0,INDEX(MO_CFSum_Dividend,1,COLUMN())&gt;0),"CHECK",0)</f>
        <v/>
      </c>
      <c r="S1028" s="986">
        <f>IF(OR(INDEX(MO_CFSum_Acquisition,1,COLUMN())&gt;0,INDEX(MO_CFSum_Divestiture,1,COLUMN())&lt;0,INDEX(MO_CFSum_Capex,1,COLUMN())&gt;0,INDEX(MO_CFSum_Dividend,1,COLUMN())&gt;0),"CHECK",0)</f>
        <v/>
      </c>
      <c r="T1028" s="986">
        <f>IF(OR(INDEX(MO_CFSum_Acquisition,1,COLUMN())&gt;0,INDEX(MO_CFSum_Divestiture,1,COLUMN())&lt;0,INDEX(MO_CFSum_Capex,1,COLUMN())&gt;0,INDEX(MO_CFSum_Dividend,1,COLUMN())&gt;0),"CHECK",0)</f>
        <v/>
      </c>
      <c r="U1028" s="986">
        <f>IF(OR(INDEX(MO_CFSum_Acquisition,1,COLUMN())&gt;0,INDEX(MO_CFSum_Divestiture,1,COLUMN())&lt;0,INDEX(MO_CFSum_Capex,1,COLUMN())&gt;0,INDEX(MO_CFSum_Dividend,1,COLUMN())&gt;0),"CHECK",0)</f>
        <v/>
      </c>
      <c r="V1028" s="986">
        <f>IF(OR(INDEX(MO_CFSum_Acquisition,1,COLUMN())&gt;0,INDEX(MO_CFSum_Divestiture,1,COLUMN())&lt;0,INDEX(MO_CFSum_Capex,1,COLUMN())&gt;0,INDEX(MO_CFSum_Dividend,1,COLUMN())&gt;0),"CHECK",0)</f>
        <v/>
      </c>
      <c r="W1028" s="986">
        <f>IF(OR(INDEX(MO_CFSum_Acquisition,1,COLUMN())&gt;0,INDEX(MO_CFSum_Divestiture,1,COLUMN())&lt;0,INDEX(MO_CFSum_Capex,1,COLUMN())&gt;0,INDEX(MO_CFSum_Dividend,1,COLUMN())&gt;0),"CHECK",0)</f>
        <v/>
      </c>
      <c r="X1028" s="986">
        <f>IF(OR(INDEX(MO_CFSum_Acquisition,1,COLUMN())&gt;0,INDEX(MO_CFSum_Divestiture,1,COLUMN())&lt;0,INDEX(MO_CFSum_Capex,1,COLUMN())&gt;0,INDEX(MO_CFSum_Dividend,1,COLUMN())&gt;0),"CHECK",0)</f>
        <v/>
      </c>
      <c r="Y1028" s="986">
        <f>IF(OR(INDEX(MO_CFSum_Acquisition,1,COLUMN())&gt;0,INDEX(MO_CFSum_Divestiture,1,COLUMN())&lt;0,INDEX(MO_CFSum_Capex,1,COLUMN())&gt;0,INDEX(MO_CFSum_Dividend,1,COLUMN())&gt;0),"CHECK",0)</f>
        <v/>
      </c>
      <c r="Z1028" s="986">
        <f>IF(OR(INDEX(MO_CFSum_Acquisition,1,COLUMN())&gt;0,INDEX(MO_CFSum_Divestiture,1,COLUMN())&lt;0,INDEX(MO_CFSum_Capex,1,COLUMN())&gt;0,INDEX(MO_CFSum_Dividend,1,COLUMN())&gt;0),"CHECK",0)</f>
        <v/>
      </c>
      <c r="AA1028" s="986">
        <f>IF(OR(INDEX(MO_CFSum_Acquisition,1,COLUMN())&gt;0,INDEX(MO_CFSum_Divestiture,1,COLUMN())&lt;0,INDEX(MO_CFSum_Capex,1,COLUMN())&gt;0,INDEX(MO_CFSum_Dividend,1,COLUMN())&gt;0),"CHECK",0)</f>
        <v/>
      </c>
      <c r="AB1028" s="986">
        <f>IF(OR(INDEX(MO_CFSum_Acquisition,1,COLUMN())&gt;0,INDEX(MO_CFSum_Divestiture,1,COLUMN())&lt;0,INDEX(MO_CFSum_Capex,1,COLUMN())&gt;0,INDEX(MO_CFSum_Dividend,1,COLUMN())&gt;0),"CHECK",0)</f>
        <v/>
      </c>
      <c r="AC1028" s="986">
        <f>IF(OR(INDEX(MO_CFSum_Acquisition,1,COLUMN())&gt;0,INDEX(MO_CFSum_Divestiture,1,COLUMN())&lt;0,INDEX(MO_CFSum_Capex,1,COLUMN())&gt;0,INDEX(MO_CFSum_Dividend,1,COLUMN())&gt;0),"CHECK",0)</f>
        <v/>
      </c>
      <c r="AD1028" s="986">
        <f>IF(OR(INDEX(MO_CFSum_Acquisition,1,COLUMN())&gt;0,INDEX(MO_CFSum_Divestiture,1,COLUMN())&lt;0,INDEX(MO_CFSum_Capex,1,COLUMN())&gt;0,INDEX(MO_CFSum_Dividend,1,COLUMN())&gt;0),"CHECK",0)</f>
        <v/>
      </c>
      <c r="AE1028" s="986">
        <f>IF(OR(INDEX(MO_CFSum_Acquisition,1,COLUMN())&gt;0,INDEX(MO_CFSum_Divestiture,1,COLUMN())&lt;0,INDEX(MO_CFSum_Capex,1,COLUMN())&gt;0,INDEX(MO_CFSum_Dividend,1,COLUMN())&gt;0),"CHECK",0)</f>
        <v/>
      </c>
      <c r="AF1028" s="986">
        <f>IF(OR(INDEX(MO_CFSum_Acquisition,1,COLUMN())&gt;0,INDEX(MO_CFSum_Divestiture,1,COLUMN())&lt;0,INDEX(MO_CFSum_Capex,1,COLUMN())&gt;0,INDEX(MO_CFSum_Dividend,1,COLUMN())&gt;0),"CHECK",0)</f>
        <v/>
      </c>
      <c r="AG1028" s="986">
        <f>IF(OR(INDEX(MO_CFSum_Acquisition,1,COLUMN())&gt;0,INDEX(MO_CFSum_Divestiture,1,COLUMN())&lt;0,INDEX(MO_CFSum_Capex,1,COLUMN())&gt;0,INDEX(MO_CFSum_Dividend,1,COLUMN())&gt;0),"CHECK",0)</f>
        <v/>
      </c>
      <c r="AH1028" s="986">
        <f>IF(OR(INDEX(MO_CFSum_Acquisition,1,COLUMN())&gt;0,INDEX(MO_CFSum_Divestiture,1,COLUMN())&lt;0,INDEX(MO_CFSum_Capex,1,COLUMN())&gt;0,INDEX(MO_CFSum_Dividend,1,COLUMN())&gt;0),"CHECK",0)</f>
        <v/>
      </c>
      <c r="AI1028" s="986">
        <f>IF(OR(INDEX(MO_CFSum_Acquisition,1,COLUMN())&gt;0,INDEX(MO_CFSum_Divestiture,1,COLUMN())&lt;0,INDEX(MO_CFSum_Capex,1,COLUMN())&gt;0,INDEX(MO_CFSum_Dividend,1,COLUMN())&gt;0),"CHECK",0)</f>
        <v/>
      </c>
      <c r="AJ1028" s="986">
        <f>IF(OR(INDEX(MO_CFSum_Acquisition,1,COLUMN())&gt;0,INDEX(MO_CFSum_Divestiture,1,COLUMN())&lt;0,INDEX(MO_CFSum_Capex,1,COLUMN())&gt;0,INDEX(MO_CFSum_Dividend,1,COLUMN())&gt;0),"CHECK",0)</f>
        <v/>
      </c>
      <c r="AK1028" s="986">
        <f>IF(OR(INDEX(MO_CFSum_Acquisition,1,COLUMN())&gt;0,INDEX(MO_CFSum_Divestiture,1,COLUMN())&lt;0,INDEX(MO_CFSum_Capex,1,COLUMN())&gt;0,INDEX(MO_CFSum_Dividend,1,COLUMN())&gt;0),"CHECK",0)</f>
        <v/>
      </c>
      <c r="AL1028" s="986">
        <f>IF(OR(INDEX(MO_CFSum_Acquisition,1,COLUMN())&gt;0,INDEX(MO_CFSum_Divestiture,1,COLUMN())&lt;0,INDEX(MO_CFSum_Capex,1,COLUMN())&gt;0,INDEX(MO_CFSum_Dividend,1,COLUMN())&gt;0),"CHECK",0)</f>
        <v/>
      </c>
      <c r="AM1028" s="986">
        <f>IF(OR(INDEX(MO_CFSum_Acquisition,1,COLUMN())&gt;0,INDEX(MO_CFSum_Divestiture,1,COLUMN())&lt;0,INDEX(MO_CFSum_Capex,1,COLUMN())&gt;0,INDEX(MO_CFSum_Dividend,1,COLUMN())&gt;0),"CHECK",0)</f>
        <v/>
      </c>
      <c r="AN1028" s="986">
        <f>IF(OR(INDEX(MO_CFSum_Acquisition,1,COLUMN())&gt;0,INDEX(MO_CFSum_Divestiture,1,COLUMN())&lt;0,INDEX(MO_CFSum_Capex,1,COLUMN())&gt;0,INDEX(MO_CFSum_Dividend,1,COLUMN())&gt;0),"CHECK",0)</f>
        <v/>
      </c>
      <c r="AO1028" s="986">
        <f>IF(OR(INDEX(MO_CFSum_Acquisition,1,COLUMN())&gt;0,INDEX(MO_CFSum_Divestiture,1,COLUMN())&lt;0,INDEX(MO_CFSum_Capex,1,COLUMN())&gt;0,INDEX(MO_CFSum_Dividend,1,COLUMN())&gt;0),"CHECK",0)</f>
        <v/>
      </c>
      <c r="AP1028" s="986">
        <f>IF(OR(INDEX(MO_CFSum_Acquisition,1,COLUMN())&gt;0,INDEX(MO_CFSum_Divestiture,1,COLUMN())&lt;0,INDEX(MO_CFSum_Capex,1,COLUMN())&gt;0,INDEX(MO_CFSum_Dividend,1,COLUMN())&gt;0),"CHECK",0)</f>
        <v/>
      </c>
      <c r="AQ1028" s="986">
        <f>IF(OR(INDEX(MO_CFSum_Acquisition,1,COLUMN())&gt;0,INDEX(MO_CFSum_Divestiture,1,COLUMN())&lt;0,INDEX(MO_CFSum_Capex,1,COLUMN())&gt;0,INDEX(MO_CFSum_Dividend,1,COLUMN())&gt;0),"CHECK",0)</f>
        <v/>
      </c>
      <c r="AR1028" s="986">
        <f>IF(OR(INDEX(MO_CFSum_Acquisition,1,COLUMN())&gt;0,INDEX(MO_CFSum_Divestiture,1,COLUMN())&lt;0,INDEX(MO_CFSum_Capex,1,COLUMN())&gt;0,INDEX(MO_CFSum_Dividend,1,COLUMN())&gt;0),"CHECK",0)</f>
        <v/>
      </c>
      <c r="AS1028" s="986">
        <f>IF(OR(INDEX(MO_CFSum_Acquisition,1,COLUMN())&gt;0,INDEX(MO_CFSum_Divestiture,1,COLUMN())&lt;0,INDEX(MO_CFSum_Capex,1,COLUMN())&gt;0,INDEX(MO_CFSum_Dividend,1,COLUMN())&gt;0),"CHECK",0)</f>
        <v/>
      </c>
      <c r="AT1028" s="986">
        <f>IF(OR(INDEX(MO_CFSum_Acquisition,1,COLUMN())&gt;0,INDEX(MO_CFSum_Divestiture,1,COLUMN())&lt;0,INDEX(MO_CFSum_Capex,1,COLUMN())&gt;0,INDEX(MO_CFSum_Dividend,1,COLUMN())&gt;0),"CHECK",0)</f>
        <v/>
      </c>
      <c r="AU1028" s="986">
        <f>IF(OR(INDEX(MO_CFSum_Acquisition,1,COLUMN())&gt;0,INDEX(MO_CFSum_Divestiture,1,COLUMN())&lt;0,INDEX(MO_CFSum_Capex,1,COLUMN())&gt;0,INDEX(MO_CFSum_Dividend,1,COLUMN())&gt;0),"CHECK",0)</f>
        <v/>
      </c>
      <c r="AV1028" s="986">
        <f>IF(OR(INDEX(MO_CFSum_Acquisition,1,COLUMN())&gt;0,INDEX(MO_CFSum_Divestiture,1,COLUMN())&lt;0,INDEX(MO_CFSum_Capex,1,COLUMN())&gt;0,INDEX(MO_CFSum_Dividend,1,COLUMN())&gt;0),"CHECK",0)</f>
        <v/>
      </c>
      <c r="AW1028" s="986">
        <f>IF(OR(INDEX(MO_CFSum_Acquisition,1,COLUMN())&gt;0,INDEX(MO_CFSum_Divestiture,1,COLUMN())&lt;0,INDEX(MO_CFSum_Capex,1,COLUMN())&gt;0,INDEX(MO_CFSum_Dividend,1,COLUMN())&gt;0),"CHECK",0)</f>
        <v/>
      </c>
      <c r="AX1028" s="986">
        <f>IF(OR(INDEX(MO_CFSum_Acquisition,1,COLUMN())&gt;0,INDEX(MO_CFSum_Divestiture,1,COLUMN())&lt;0,INDEX(MO_CFSum_Capex,1,COLUMN())&gt;0,INDEX(MO_CFSum_Dividend,1,COLUMN())&gt;0),"CHECK",0)</f>
        <v/>
      </c>
      <c r="AY1028" s="986">
        <f>IF(OR(INDEX(MO_CFSum_Acquisition,1,COLUMN())&gt;0,INDEX(MO_CFSum_Divestiture,1,COLUMN())&lt;0,INDEX(MO_CFSum_Capex,1,COLUMN())&gt;0,INDEX(MO_CFSum_Dividend,1,COLUMN())&gt;0),"CHECK",0)</f>
        <v/>
      </c>
      <c r="AZ1028" s="986">
        <f>IF(OR(INDEX(MO_CFSum_Acquisition,1,COLUMN())&gt;0,INDEX(MO_CFSum_Divestiture,1,COLUMN())&lt;0,INDEX(MO_CFSum_Capex,1,COLUMN())&gt;0,INDEX(MO_CFSum_Dividend,1,COLUMN())&gt;0),"CHECK",0)</f>
        <v/>
      </c>
      <c r="BA1028" s="986">
        <f>IF(OR(INDEX(MO_CFSum_Acquisition,1,COLUMN())&gt;0,INDEX(MO_CFSum_Divestiture,1,COLUMN())&lt;0,INDEX(MO_CFSum_Capex,1,COLUMN())&gt;0,INDEX(MO_CFSum_Dividend,1,COLUMN())&gt;0),"CHECK",0)</f>
        <v/>
      </c>
      <c r="BB1028" s="986">
        <f>IF(OR(INDEX(MO_CFSum_Acquisition,1,COLUMN())&gt;0,INDEX(MO_CFSum_Divestiture,1,COLUMN())&lt;0,INDEX(MO_CFSum_Capex,1,COLUMN())&gt;0,INDEX(MO_CFSum_Dividend,1,COLUMN())&gt;0),"CHECK",0)</f>
        <v/>
      </c>
      <c r="BC1028" s="986">
        <f>IF(OR(INDEX(MO_CFSum_Acquisition,1,COLUMN())&gt;0,INDEX(MO_CFSum_Divestiture,1,COLUMN())&lt;0,INDEX(MO_CFSum_Capex,1,COLUMN())&gt;0,INDEX(MO_CFSum_Dividend,1,COLUMN())&gt;0),"CHECK",0)</f>
        <v/>
      </c>
      <c r="BD1028" s="986">
        <f>IF(OR(INDEX(MO_CFSum_Acquisition,1,COLUMN())&gt;0,INDEX(MO_CFSum_Divestiture,1,COLUMN())&lt;0,INDEX(MO_CFSum_Capex,1,COLUMN())&gt;0,INDEX(MO_CFSum_Dividend,1,COLUMN())&gt;0),"CHECK",0)</f>
        <v/>
      </c>
      <c r="BE1028" s="986">
        <f>IF(OR(INDEX(MO_CFSum_Acquisition,1,COLUMN())&gt;0,INDEX(MO_CFSum_Divestiture,1,COLUMN())&lt;0,INDEX(MO_CFSum_Capex,1,COLUMN())&gt;0,INDEX(MO_CFSum_Dividend,1,COLUMN())&gt;0),"CHECK",0)</f>
        <v/>
      </c>
      <c r="BF1028" s="986">
        <f>IF(OR(INDEX(MO_CFSum_Acquisition,1,COLUMN())&gt;0,INDEX(MO_CFSum_Divestiture,1,COLUMN())&lt;0,INDEX(MO_CFSum_Capex,1,COLUMN())&gt;0,INDEX(MO_CFSum_Dividend,1,COLUMN())&gt;0),"CHECK",0)</f>
        <v/>
      </c>
      <c r="BG1028" s="986">
        <f>IF(OR(INDEX(MO_CFSum_Acquisition,1,COLUMN())&gt;0,INDEX(MO_CFSum_Divestiture,1,COLUMN())&lt;0,INDEX(MO_CFSum_Capex,1,COLUMN())&gt;0,INDEX(MO_CFSum_Dividend,1,COLUMN())&gt;0),"CHECK",0)</f>
        <v/>
      </c>
      <c r="BH1028" s="986">
        <f>IF(OR(INDEX(MO_CFSum_Acquisition,1,COLUMN())&gt;0,INDEX(MO_CFSum_Divestiture,1,COLUMN())&lt;0,INDEX(MO_CFSum_Capex,1,COLUMN())&gt;0,INDEX(MO_CFSum_Dividend,1,COLUMN())&gt;0),"CHECK",0)</f>
        <v/>
      </c>
      <c r="BI1028" s="986">
        <f>IF(OR(INDEX(MO_CFSum_Acquisition,1,COLUMN())&gt;0,INDEX(MO_CFSum_Divestiture,1,COLUMN())&lt;0,INDEX(MO_CFSum_Capex,1,COLUMN())&gt;0,INDEX(MO_CFSum_Dividend,1,COLUMN())&gt;0),"CHECK",0)</f>
        <v/>
      </c>
      <c r="BJ1028" s="986">
        <f>IF(OR(INDEX(MO_CFSum_Acquisition,1,COLUMN())&gt;0,INDEX(MO_CFSum_Divestiture,1,COLUMN())&lt;0,INDEX(MO_CFSum_Capex,1,COLUMN())&gt;0,INDEX(MO_CFSum_Dividend,1,COLUMN())&gt;0),"CHECK",0)</f>
        <v/>
      </c>
      <c r="BK1028" s="986">
        <f>IF(OR(INDEX(MO_CFSum_Acquisition,1,COLUMN())&gt;0,INDEX(MO_CFSum_Divestiture,1,COLUMN())&lt;0,INDEX(MO_CFSum_Capex,1,COLUMN())&gt;0,INDEX(MO_CFSum_Dividend,1,COLUMN())&gt;0),"CHECK",0)</f>
        <v/>
      </c>
      <c r="BL1028" s="986">
        <f>IF(OR(INDEX(MO_CFSum_Acquisition,1,COLUMN())&gt;0,INDEX(MO_CFSum_Divestiture,1,COLUMN())&lt;0,INDEX(MO_CFSum_Capex,1,COLUMN())&gt;0,INDEX(MO_CFSum_Dividend,1,COLUMN())&gt;0),"CHECK",0)</f>
        <v/>
      </c>
      <c r="BM1028" s="986">
        <f>IF(OR(INDEX(MO_CFSum_Acquisition,1,COLUMN())&gt;0,INDEX(MO_CFSum_Divestiture,1,COLUMN())&lt;0,INDEX(MO_CFSum_Capex,1,COLUMN())&gt;0,INDEX(MO_CFSum_Dividend,1,COLUMN())&gt;0),"CHECK",0)</f>
        <v/>
      </c>
      <c r="BN1028" s="986">
        <f>IF(OR(INDEX(MO_CFSum_Acquisition,1,COLUMN())&gt;0,INDEX(MO_CFSum_Divestiture,1,COLUMN())&lt;0,INDEX(MO_CFSum_Capex,1,COLUMN())&gt;0,INDEX(MO_CFSum_Dividend,1,COLUMN())&gt;0),"CHECK",0)</f>
        <v/>
      </c>
      <c r="BO1028" s="986">
        <f>IF(OR(INDEX(MO_CFSum_Acquisition,1,COLUMN())&gt;0,INDEX(MO_CFSum_Divestiture,1,COLUMN())&lt;0,INDEX(MO_CFSum_Capex,1,COLUMN())&gt;0,INDEX(MO_CFSum_Dividend,1,COLUMN())&gt;0),"CHECK",0)</f>
        <v/>
      </c>
      <c r="BP1028" s="986">
        <f>IF(OR(INDEX(MO_CFSum_Acquisition,1,COLUMN())&gt;0,INDEX(MO_CFSum_Divestiture,1,COLUMN())&lt;0,INDEX(MO_CFSum_Capex,1,COLUMN())&gt;0,INDEX(MO_CFSum_Dividend,1,COLUMN())&gt;0),"CHECK",0)</f>
        <v/>
      </c>
      <c r="BQ1028" s="986">
        <f>IF(OR(INDEX(MO_CFSum_Acquisition,1,COLUMN())&gt;0,INDEX(MO_CFSum_Divestiture,1,COLUMN())&lt;0,INDEX(MO_CFSum_Capex,1,COLUMN())&gt;0,INDEX(MO_CFSum_Dividend,1,COLUMN())&gt;0),"CHECK",0)</f>
        <v/>
      </c>
      <c r="BR1028" s="986">
        <f>IF(OR(INDEX(MO_CFSum_Acquisition,1,COLUMN())&gt;0,INDEX(MO_CFSum_Divestiture,1,COLUMN())&lt;0,INDEX(MO_CFSum_Capex,1,COLUMN())&gt;0,INDEX(MO_CFSum_Dividend,1,COLUMN())&gt;0),"CHECK",0)</f>
        <v/>
      </c>
      <c r="BS1028" s="986">
        <f>IF(OR(INDEX(MO_CFSum_Acquisition,1,COLUMN())&gt;0,INDEX(MO_CFSum_Divestiture,1,COLUMN())&lt;0,INDEX(MO_CFSum_Capex,1,COLUMN())&gt;0,INDEX(MO_CFSum_Dividend,1,COLUMN())&gt;0),"CHECK",0)</f>
        <v/>
      </c>
      <c r="BT1028" s="986">
        <f>IF(OR(INDEX(MO_CFSum_Acquisition,1,COLUMN())&gt;0,INDEX(MO_CFSum_Divestiture,1,COLUMN())&lt;0,INDEX(MO_CFSum_Capex,1,COLUMN())&gt;0,INDEX(MO_CFSum_Dividend,1,COLUMN())&gt;0),"CHECK",0)</f>
        <v/>
      </c>
      <c r="BU1028" s="986">
        <f>IF(OR(INDEX(MO_CFSum_Acquisition,1,COLUMN())&gt;0,INDEX(MO_CFSum_Divestiture,1,COLUMN())&lt;0,INDEX(MO_CFSum_Capex,1,COLUMN())&gt;0,INDEX(MO_CFSum_Dividend,1,COLUMN())&gt;0),"CHECK",0)</f>
        <v/>
      </c>
      <c r="BV1028" s="987">
        <f>IF(OR(INDEX(MO_CFSum_Acquisition,1,COLUMN())&gt;0,INDEX(MO_CFSum_Divestiture,1,COLUMN())&lt;0,INDEX(MO_CFSum_Capex,1,COLUMN())&gt;0,INDEX(MO_CFSum_Dividend,1,COLUMN())&gt;0),"CHECK",0)</f>
        <v/>
      </c>
      <c r="BW1028" s="986">
        <f>IF(OR(INDEX(MO_CFSum_Acquisition,1,COLUMN())&gt;0,INDEX(MO_CFSum_Divestiture,1,COLUMN())&lt;0,INDEX(MO_CFSum_Capex,1,COLUMN())&gt;0,INDEX(MO_CFSum_Dividend,1,COLUMN())&gt;0),"CHECK",0)</f>
        <v/>
      </c>
      <c r="BX1028" s="986">
        <f>IF(OR(INDEX(MO_CFSum_Acquisition,1,COLUMN())&gt;0,INDEX(MO_CFSum_Divestiture,1,COLUMN())&lt;0,INDEX(MO_CFSum_Capex,1,COLUMN())&gt;0,INDEX(MO_CFSum_Dividend,1,COLUMN())&gt;0),"CHECK",0)</f>
        <v/>
      </c>
      <c r="BY1028" s="986">
        <f>IF(OR(INDEX(MO_CFSum_Acquisition,1,COLUMN())&gt;0,INDEX(MO_CFSum_Divestiture,1,COLUMN())&lt;0,INDEX(MO_CFSum_Capex,1,COLUMN())&gt;0,INDEX(MO_CFSum_Dividend,1,COLUMN())&gt;0),"CHECK",0)</f>
        <v/>
      </c>
      <c r="BZ1028" s="986">
        <f>IF(OR(INDEX(MO_CFSum_Acquisition,1,COLUMN())&gt;0,INDEX(MO_CFSum_Divestiture,1,COLUMN())&lt;0,INDEX(MO_CFSum_Capex,1,COLUMN())&gt;0,INDEX(MO_CFSum_Dividend,1,COLUMN())&gt;0),"CHECK",0)</f>
        <v/>
      </c>
      <c r="CA1028" s="986">
        <f>IF(OR(INDEX(MO_CFSum_Acquisition,1,COLUMN())&gt;0,INDEX(MO_CFSum_Divestiture,1,COLUMN())&lt;0,INDEX(MO_CFSum_Capex,1,COLUMN())&gt;0,INDEX(MO_CFSum_Dividend,1,COLUMN())&gt;0),"CHECK",0)</f>
        <v/>
      </c>
      <c r="CB1028" s="986">
        <f>IF(OR(INDEX(MO_CFSum_Acquisition,1,COLUMN())&gt;0,INDEX(MO_CFSum_Divestiture,1,COLUMN())&lt;0,INDEX(MO_CFSum_Capex,1,COLUMN())&gt;0,INDEX(MO_CFSum_Dividend,1,COLUMN())&gt;0),"CHECK",0)</f>
        <v/>
      </c>
      <c r="CC1028" s="986">
        <f>IF(OR(INDEX(MO_CFSum_Acquisition,1,COLUMN())&gt;0,INDEX(MO_CFSum_Divestiture,1,COLUMN())&lt;0,INDEX(MO_CFSum_Capex,1,COLUMN())&gt;0,INDEX(MO_CFSum_Dividend,1,COLUMN())&gt;0),"CHECK",0)</f>
        <v/>
      </c>
      <c r="CD1028" s="986">
        <f>IF(OR(INDEX(MO_CFSum_Acquisition,1,COLUMN())&gt;0,INDEX(MO_CFSum_Divestiture,1,COLUMN())&lt;0,INDEX(MO_CFSum_Capex,1,COLUMN())&gt;0,INDEX(MO_CFSum_Dividend,1,COLUMN())&gt;0),"CHECK",0)</f>
        <v/>
      </c>
      <c r="CE1028" s="986">
        <f>IF(OR(INDEX(MO_CFSum_Acquisition,1,COLUMN())&gt;0,INDEX(MO_CFSum_Divestiture,1,COLUMN())&lt;0,INDEX(MO_CFSum_Capex,1,COLUMN())&gt;0,INDEX(MO_CFSum_Dividend,1,COLUMN())&gt;0),"CHECK",0)</f>
        <v/>
      </c>
      <c r="CF1028" s="986">
        <f>IF(OR(INDEX(MO_CFSum_Acquisition,1,COLUMN())&gt;0,INDEX(MO_CFSum_Divestiture,1,COLUMN())&lt;0,INDEX(MO_CFSum_Capex,1,COLUMN())&gt;0,INDEX(MO_CFSum_Dividend,1,COLUMN())&gt;0),"CHECK",0)</f>
        <v/>
      </c>
      <c r="CG1028" s="155" t="n"/>
    </row>
    <row r="1029">
      <c r="A1029" s="27" t="inlineStr">
        <is>
          <t>*RIS NI FY = Sum of Qs</t>
        </is>
      </c>
      <c r="B1029" s="563" t="n"/>
      <c r="C1029" s="986" t="n"/>
      <c r="D1029" s="986" t="n"/>
      <c r="E1029" s="986" t="n"/>
      <c r="F1029" s="986" t="n"/>
      <c r="G1029" s="986" t="n"/>
      <c r="H1029" s="986" t="n"/>
      <c r="I1029" s="986" t="n"/>
      <c r="J1029" s="986" t="n"/>
      <c r="K1029" s="986">
        <f>ROUND(K416-SUM(G416,H416,I416,J416),6)</f>
        <v/>
      </c>
      <c r="L1029" s="986" t="n"/>
      <c r="M1029" s="986" t="n"/>
      <c r="N1029" s="986" t="n"/>
      <c r="O1029" s="986" t="n"/>
      <c r="P1029" s="986">
        <f>ROUND(P416-SUM(L416,M416,N416,O416),6)</f>
        <v/>
      </c>
      <c r="Q1029" s="986" t="n"/>
      <c r="R1029" s="986" t="n"/>
      <c r="S1029" s="986" t="n"/>
      <c r="T1029" s="986" t="n"/>
      <c r="U1029" s="986">
        <f>ROUND(U416-SUM(Q416,R416,S416,T416),6)</f>
        <v/>
      </c>
      <c r="V1029" s="986" t="n"/>
      <c r="W1029" s="986" t="n"/>
      <c r="X1029" s="986" t="n"/>
      <c r="Y1029" s="986" t="n"/>
      <c r="Z1029" s="986">
        <f>ROUND(Z416-SUM(V416,W416,X416,Y416),6)</f>
        <v/>
      </c>
      <c r="AA1029" s="986" t="n"/>
      <c r="AB1029" s="986" t="n"/>
      <c r="AC1029" s="986" t="n"/>
      <c r="AD1029" s="986" t="n"/>
      <c r="AE1029" s="986">
        <f>ROUND(AE416-SUM(AA416,AB416,AC416,AD416),6)</f>
        <v/>
      </c>
      <c r="AF1029" s="986" t="n"/>
      <c r="AG1029" s="986" t="n"/>
      <c r="AH1029" s="986" t="n"/>
      <c r="AI1029" s="986" t="n"/>
      <c r="AJ1029" s="986">
        <f>ROUND(AJ416-SUM(AF416,AG416,AH416,AI416),6)</f>
        <v/>
      </c>
      <c r="AK1029" s="986" t="n"/>
      <c r="AL1029" s="986" t="n"/>
      <c r="AM1029" s="986" t="n"/>
      <c r="AN1029" s="986" t="n"/>
      <c r="AO1029" s="986">
        <f>ROUND(AO416-SUM(AK416,AL416,AM416,AN416),6)</f>
        <v/>
      </c>
      <c r="AP1029" s="986" t="n"/>
      <c r="AQ1029" s="986" t="n"/>
      <c r="AR1029" s="986" t="n"/>
      <c r="AS1029" s="986" t="n"/>
      <c r="AT1029" s="986">
        <f>ROUND(AT416-SUM(AP416,AQ416,AR416,AS416),6)</f>
        <v/>
      </c>
      <c r="AU1029" s="986" t="n"/>
      <c r="AV1029" s="986" t="n"/>
      <c r="AW1029" s="986" t="n"/>
      <c r="AX1029" s="986" t="n"/>
      <c r="AY1029" s="986">
        <f>ROUND(AY416-SUM(AU416,AV416,AW416,AX416),6)</f>
        <v/>
      </c>
      <c r="AZ1029" s="986" t="n"/>
      <c r="BA1029" s="986" t="n"/>
      <c r="BB1029" s="986" t="n"/>
      <c r="BC1029" s="986" t="n"/>
      <c r="BD1029" s="986">
        <f>ROUND(BD416-SUM(AZ416,BA416,BB416,BC416),6)</f>
        <v/>
      </c>
      <c r="BE1029" s="986" t="n"/>
      <c r="BF1029" s="986" t="n"/>
      <c r="BG1029" s="986" t="n"/>
      <c r="BH1029" s="986" t="n"/>
      <c r="BI1029" s="986">
        <f>ROUND(BI416-SUM(BE416,BF416,BG416,BH416),6)</f>
        <v/>
      </c>
      <c r="BJ1029" s="986" t="n"/>
      <c r="BK1029" s="986" t="n"/>
      <c r="BL1029" s="986" t="n"/>
      <c r="BM1029" s="986" t="n"/>
      <c r="BN1029" s="986">
        <f>ROUND(BN416-SUM(BJ416,BK416,BL416,BM416),6)</f>
        <v/>
      </c>
      <c r="BO1029" s="986" t="n"/>
      <c r="BP1029" s="986" t="n"/>
      <c r="BQ1029" s="986" t="n"/>
      <c r="BR1029" s="986" t="n"/>
      <c r="BS1029" s="986">
        <f>ROUND(BS416-SUM(BO416,BP416,BQ416,BR416),6)</f>
        <v/>
      </c>
      <c r="BT1029" s="986" t="n"/>
      <c r="BU1029" s="986" t="n"/>
      <c r="BV1029" s="987" t="n"/>
      <c r="BW1029" s="986" t="n"/>
      <c r="BX1029" s="986">
        <f>ROUND(BX416-SUM(BT416,BU416,BV416,BW416),6)</f>
        <v/>
      </c>
      <c r="BY1029" s="986" t="n"/>
      <c r="BZ1029" s="986" t="n"/>
      <c r="CA1029" s="986" t="n"/>
      <c r="CB1029" s="986" t="n"/>
      <c r="CC1029" s="986">
        <f>ROUND(CC416-SUM(BY416,BZ416,CA416,CB416),6)</f>
        <v/>
      </c>
      <c r="CD1029" s="986" t="n"/>
      <c r="CE1029" s="986" t="n"/>
      <c r="CF1029" s="986" t="n"/>
      <c r="CG1029" s="155" t="n"/>
    </row>
    <row r="1030">
      <c r="A1030" s="27" t="inlineStr">
        <is>
          <t>*RIS Adjusted NI FY = Sum of Qs</t>
        </is>
      </c>
      <c r="B1030" s="563" t="n"/>
      <c r="C1030" s="986" t="n"/>
      <c r="D1030" s="986" t="n"/>
      <c r="E1030" s="986" t="n"/>
      <c r="F1030" s="986" t="n"/>
      <c r="G1030" s="986" t="n"/>
      <c r="H1030" s="986" t="n"/>
      <c r="I1030" s="986" t="n"/>
      <c r="J1030" s="986" t="n"/>
      <c r="K1030" s="986">
        <f>ROUND(K407-SUM(G407,H407,I407,J407),6)</f>
        <v/>
      </c>
      <c r="L1030" s="986" t="n"/>
      <c r="M1030" s="986" t="n"/>
      <c r="N1030" s="986" t="n"/>
      <c r="O1030" s="986" t="n"/>
      <c r="P1030" s="986">
        <f>ROUND(P407-SUM(L407,M407,N407,O407),6)</f>
        <v/>
      </c>
      <c r="Q1030" s="986" t="n"/>
      <c r="R1030" s="986" t="n"/>
      <c r="S1030" s="986" t="n"/>
      <c r="T1030" s="986" t="n"/>
      <c r="U1030" s="986">
        <f>ROUND(U407-SUM(Q407,R407,S407,T407),6)</f>
        <v/>
      </c>
      <c r="V1030" s="986" t="n"/>
      <c r="W1030" s="986" t="n"/>
      <c r="X1030" s="986" t="n"/>
      <c r="Y1030" s="986" t="n"/>
      <c r="Z1030" s="986">
        <f>ROUND(Z407-SUM(V407,W407,X407,Y407),6)</f>
        <v/>
      </c>
      <c r="AA1030" s="986" t="n"/>
      <c r="AB1030" s="986" t="n"/>
      <c r="AC1030" s="986" t="n"/>
      <c r="AD1030" s="986" t="n"/>
      <c r="AE1030" s="986">
        <f>ROUND(AE407-SUM(AA407,AB407,AC407,AD407),6)</f>
        <v/>
      </c>
      <c r="AF1030" s="986" t="n"/>
      <c r="AG1030" s="986" t="n"/>
      <c r="AH1030" s="986" t="n"/>
      <c r="AI1030" s="986" t="n"/>
      <c r="AJ1030" s="986">
        <f>ROUND(AJ407-SUM(AF407,AG407,AH407,AI407),6)</f>
        <v/>
      </c>
      <c r="AK1030" s="986" t="n"/>
      <c r="AL1030" s="986" t="n"/>
      <c r="AM1030" s="986" t="n"/>
      <c r="AN1030" s="986" t="n"/>
      <c r="AO1030" s="986">
        <f>ROUND(AO407-SUM(AK407,AL407,AM407,AN407),6)</f>
        <v/>
      </c>
      <c r="AP1030" s="986" t="n"/>
      <c r="AQ1030" s="986" t="n"/>
      <c r="AR1030" s="986" t="n"/>
      <c r="AS1030" s="986" t="n"/>
      <c r="AT1030" s="986">
        <f>ROUND(AT407-SUM(AP407,AQ407,AR407,AS407),6)</f>
        <v/>
      </c>
      <c r="AU1030" s="986" t="n"/>
      <c r="AV1030" s="986" t="n"/>
      <c r="AW1030" s="986" t="n"/>
      <c r="AX1030" s="986" t="n"/>
      <c r="AY1030" s="986">
        <f>ROUND(AY407-SUM(AU407,AV407,AW407,AX407),6)</f>
        <v/>
      </c>
      <c r="AZ1030" s="986" t="n"/>
      <c r="BA1030" s="986" t="n"/>
      <c r="BB1030" s="986" t="n"/>
      <c r="BC1030" s="986" t="n"/>
      <c r="BD1030" s="986">
        <f>ROUND(BD407-SUM(AZ407,BA407,BB407,BC407),6)</f>
        <v/>
      </c>
      <c r="BE1030" s="986" t="n"/>
      <c r="BF1030" s="986" t="n"/>
      <c r="BG1030" s="986" t="n"/>
      <c r="BH1030" s="986" t="n"/>
      <c r="BI1030" s="986">
        <f>ROUND(BI407-SUM(BE407,BF407,BG407,BH407),6)</f>
        <v/>
      </c>
      <c r="BJ1030" s="986" t="n"/>
      <c r="BK1030" s="986" t="n"/>
      <c r="BL1030" s="986" t="n"/>
      <c r="BM1030" s="986" t="n"/>
      <c r="BN1030" s="986">
        <f>ROUND(BN407-SUM(BJ407,BK407,BL407,BM407),6)</f>
        <v/>
      </c>
      <c r="BO1030" s="986" t="n"/>
      <c r="BP1030" s="986" t="n"/>
      <c r="BQ1030" s="986" t="n"/>
      <c r="BR1030" s="986" t="n"/>
      <c r="BS1030" s="986">
        <f>ROUND(BS407-SUM(BO407,BP407,BQ407,BR407),6)</f>
        <v/>
      </c>
      <c r="BT1030" s="986" t="n"/>
      <c r="BU1030" s="986" t="n"/>
      <c r="BV1030" s="987" t="n"/>
      <c r="BW1030" s="986" t="n"/>
      <c r="BX1030" s="986">
        <f>ROUND(BX407-SUM(BT407,BU407,BV407,BW407),6)</f>
        <v/>
      </c>
      <c r="BY1030" s="986" t="n"/>
      <c r="BZ1030" s="986" t="n"/>
      <c r="CA1030" s="986" t="n"/>
      <c r="CB1030" s="986" t="n"/>
      <c r="CC1030" s="986">
        <f>ROUND(CC407-SUM(BY407,BZ407,CA407,CB407),6)</f>
        <v/>
      </c>
      <c r="CD1030" s="986" t="n"/>
      <c r="CE1030" s="986" t="n"/>
      <c r="CF1030" s="986" t="n"/>
      <c r="CG1030" s="155" t="n"/>
    </row>
    <row r="1031">
      <c r="A1031" s="27" t="inlineStr">
        <is>
          <t>*CFO Before WC subtotal FY = Sum of Qs</t>
        </is>
      </c>
      <c r="B1031" s="563" t="n"/>
      <c r="C1031" s="986" t="n"/>
      <c r="D1031" s="986" t="n"/>
      <c r="E1031" s="986" t="n"/>
      <c r="F1031" s="986" t="n"/>
      <c r="G1031" s="986" t="n"/>
      <c r="H1031" s="986" t="n"/>
      <c r="I1031" s="986" t="n"/>
      <c r="J1031" s="986" t="n"/>
      <c r="K1031" s="986">
        <f>ROUND(SUM(G860,H860,I860,J860)-SUM(OFFSET(INDEX(MO_CFS_CFO_BeforeWC,1,COLUMN()),ROW(INDEX(MO_SubSection_CFS_CFO,1,COLUMN()))-ROW(INDEX(MO_CFS_CFO_BeforeWC,1,COLUMN())),0,ROW(INDEX(MO_CFS_CFO_BeforeWC,1,COLUMN()))-ROW(INDEX(MO_SubSection_CFS_CFO,1,COLUMN())),1)),6)</f>
        <v/>
      </c>
      <c r="L1031" s="986" t="n"/>
      <c r="M1031" s="986" t="n"/>
      <c r="N1031" s="986" t="n"/>
      <c r="O1031" s="986" t="n"/>
      <c r="P1031" s="986">
        <f>ROUND(SUM(L860,M860,N860,O860)-SUM(OFFSET(INDEX(MO_CFS_CFO_BeforeWC,1,COLUMN()),ROW(INDEX(MO_SubSection_CFS_CFO,1,COLUMN()))-ROW(INDEX(MO_CFS_CFO_BeforeWC,1,COLUMN())),0,ROW(INDEX(MO_CFS_CFO_BeforeWC,1,COLUMN()))-ROW(INDEX(MO_SubSection_CFS_CFO,1,COLUMN())),1)),6)</f>
        <v/>
      </c>
      <c r="Q1031" s="986" t="n"/>
      <c r="R1031" s="986" t="n"/>
      <c r="S1031" s="986" t="n"/>
      <c r="T1031" s="986" t="n"/>
      <c r="U1031" s="986">
        <f>ROUND(SUM(Q860,R860,S860,T860)-SUM(OFFSET(INDEX(MO_CFS_CFO_BeforeWC,1,COLUMN()),ROW(INDEX(MO_SubSection_CFS_CFO,1,COLUMN()))-ROW(INDEX(MO_CFS_CFO_BeforeWC,1,COLUMN())),0,ROW(INDEX(MO_CFS_CFO_BeforeWC,1,COLUMN()))-ROW(INDEX(MO_SubSection_CFS_CFO,1,COLUMN())),1)),6)</f>
        <v/>
      </c>
      <c r="V1031" s="986" t="n"/>
      <c r="W1031" s="986" t="n"/>
      <c r="X1031" s="986" t="n"/>
      <c r="Y1031" s="986" t="n"/>
      <c r="Z1031" s="986">
        <f>ROUND(SUM(V860,W860,X860,Y860)-SUM(OFFSET(INDEX(MO_CFS_CFO_BeforeWC,1,COLUMN()),ROW(INDEX(MO_SubSection_CFS_CFO,1,COLUMN()))-ROW(INDEX(MO_CFS_CFO_BeforeWC,1,COLUMN())),0,ROW(INDEX(MO_CFS_CFO_BeforeWC,1,COLUMN()))-ROW(INDEX(MO_SubSection_CFS_CFO,1,COLUMN())),1)),6)</f>
        <v/>
      </c>
      <c r="AA1031" s="986" t="n"/>
      <c r="AB1031" s="986" t="n"/>
      <c r="AC1031" s="986" t="n"/>
      <c r="AD1031" s="986" t="n"/>
      <c r="AE1031" s="986">
        <f>ROUND(SUM(AA860,AB860,AC860,AD860)-SUM(OFFSET(INDEX(MO_CFS_CFO_BeforeWC,1,COLUMN()),ROW(INDEX(MO_SubSection_CFS_CFO,1,COLUMN()))-ROW(INDEX(MO_CFS_CFO_BeforeWC,1,COLUMN())),0,ROW(INDEX(MO_CFS_CFO_BeforeWC,1,COLUMN()))-ROW(INDEX(MO_SubSection_CFS_CFO,1,COLUMN())),1)),6)</f>
        <v/>
      </c>
      <c r="AF1031" s="986" t="n"/>
      <c r="AG1031" s="986" t="n"/>
      <c r="AH1031" s="986" t="n"/>
      <c r="AI1031" s="986" t="n"/>
      <c r="AJ1031" s="986">
        <f>ROUND(SUM(AF860,AG860,AH860,AI860)-SUM(OFFSET(INDEX(MO_CFS_CFO_BeforeWC,1,COLUMN()),ROW(INDEX(MO_SubSection_CFS_CFO,1,COLUMN()))-ROW(INDEX(MO_CFS_CFO_BeforeWC,1,COLUMN())),0,ROW(INDEX(MO_CFS_CFO_BeforeWC,1,COLUMN()))-ROW(INDEX(MO_SubSection_CFS_CFO,1,COLUMN())),1)),6)</f>
        <v/>
      </c>
      <c r="AK1031" s="986" t="n"/>
      <c r="AL1031" s="986" t="n"/>
      <c r="AM1031" s="986" t="n"/>
      <c r="AN1031" s="986" t="n"/>
      <c r="AO1031" s="986">
        <f>ROUND(SUM(AK860,AL860,AM860,AN860)-SUM(OFFSET(INDEX(MO_CFS_CFO_BeforeWC,1,COLUMN()),ROW(INDEX(MO_SubSection_CFS_CFO,1,COLUMN()))-ROW(INDEX(MO_CFS_CFO_BeforeWC,1,COLUMN())),0,ROW(INDEX(MO_CFS_CFO_BeforeWC,1,COLUMN()))-ROW(INDEX(MO_SubSection_CFS_CFO,1,COLUMN())),1)),6)</f>
        <v/>
      </c>
      <c r="AP1031" s="986" t="n"/>
      <c r="AQ1031" s="986" t="n"/>
      <c r="AR1031" s="986" t="n"/>
      <c r="AS1031" s="986" t="n"/>
      <c r="AT1031" s="986">
        <f>ROUND(SUM(AP860,AQ860,AR860,AS860)-SUM(OFFSET(INDEX(MO_CFS_CFO_BeforeWC,1,COLUMN()),ROW(INDEX(MO_SubSection_CFS_CFO,1,COLUMN()))-ROW(INDEX(MO_CFS_CFO_BeforeWC,1,COLUMN())),0,ROW(INDEX(MO_CFS_CFO_BeforeWC,1,COLUMN()))-ROW(INDEX(MO_SubSection_CFS_CFO,1,COLUMN())),1)),6)</f>
        <v/>
      </c>
      <c r="AU1031" s="986" t="n"/>
      <c r="AV1031" s="986" t="n"/>
      <c r="AW1031" s="986" t="n"/>
      <c r="AX1031" s="986" t="n"/>
      <c r="AY1031" s="986">
        <f>ROUND(SUM(AU860,AV860,AW860,AX860)-SUM(OFFSET(INDEX(MO_CFS_CFO_BeforeWC,1,COLUMN()),ROW(INDEX(MO_SubSection_CFS_CFO,1,COLUMN()))-ROW(INDEX(MO_CFS_CFO_BeforeWC,1,COLUMN())),0,ROW(INDEX(MO_CFS_CFO_BeforeWC,1,COLUMN()))-ROW(INDEX(MO_SubSection_CFS_CFO,1,COLUMN())),1)),6)</f>
        <v/>
      </c>
      <c r="AZ1031" s="986" t="n"/>
      <c r="BA1031" s="986" t="n"/>
      <c r="BB1031" s="986" t="n"/>
      <c r="BC1031" s="986" t="n"/>
      <c r="BD1031" s="986">
        <f>ROUND(SUM(AZ860,BA860,BB860,BC860)-SUM(OFFSET(INDEX(MO_CFS_CFO_BeforeWC,1,COLUMN()),ROW(INDEX(MO_SubSection_CFS_CFO,1,COLUMN()))-ROW(INDEX(MO_CFS_CFO_BeforeWC,1,COLUMN())),0,ROW(INDEX(MO_CFS_CFO_BeforeWC,1,COLUMN()))-ROW(INDEX(MO_SubSection_CFS_CFO,1,COLUMN())),1)),6)</f>
        <v/>
      </c>
      <c r="BE1031" s="986" t="n"/>
      <c r="BF1031" s="986" t="n"/>
      <c r="BG1031" s="986" t="n"/>
      <c r="BH1031" s="986" t="n"/>
      <c r="BI1031" s="986">
        <f>ROUND(SUM(BE860,BF860,BG860,BH860)-SUM(OFFSET(INDEX(MO_CFS_CFO_BeforeWC,1,COLUMN()),ROW(INDEX(MO_SubSection_CFS_CFO,1,COLUMN()))-ROW(INDEX(MO_CFS_CFO_BeforeWC,1,COLUMN())),0,ROW(INDEX(MO_CFS_CFO_BeforeWC,1,COLUMN()))-ROW(INDEX(MO_SubSection_CFS_CFO,1,COLUMN())),1)),6)</f>
        <v/>
      </c>
      <c r="BJ1031" s="986" t="n"/>
      <c r="BK1031" s="986" t="n"/>
      <c r="BL1031" s="986" t="n"/>
      <c r="BM1031" s="986" t="n"/>
      <c r="BN1031" s="986">
        <f>ROUND(SUM(BJ860,BK860,BL860,BM860)-SUM(OFFSET(INDEX(MO_CFS_CFO_BeforeWC,1,COLUMN()),ROW(INDEX(MO_SubSection_CFS_CFO,1,COLUMN()))-ROW(INDEX(MO_CFS_CFO_BeforeWC,1,COLUMN())),0,ROW(INDEX(MO_CFS_CFO_BeforeWC,1,COLUMN()))-ROW(INDEX(MO_SubSection_CFS_CFO,1,COLUMN())),1)),6)</f>
        <v/>
      </c>
      <c r="BO1031" s="986" t="n"/>
      <c r="BP1031" s="986" t="n"/>
      <c r="BQ1031" s="986" t="n"/>
      <c r="BR1031" s="986" t="n"/>
      <c r="BS1031" s="986">
        <f>ROUND(SUM(BO860,BP860,BQ860,BR860)-SUM(OFFSET(INDEX(MO_CFS_CFO_BeforeWC,1,COLUMN()),ROW(INDEX(MO_SubSection_CFS_CFO,1,COLUMN()))-ROW(INDEX(MO_CFS_CFO_BeforeWC,1,COLUMN())),0,ROW(INDEX(MO_CFS_CFO_BeforeWC,1,COLUMN()))-ROW(INDEX(MO_SubSection_CFS_CFO,1,COLUMN())),1)),6)</f>
        <v/>
      </c>
      <c r="BT1031" s="986" t="n"/>
      <c r="BU1031" s="986" t="n"/>
      <c r="BV1031" s="987" t="n"/>
      <c r="BW1031" s="986" t="n"/>
      <c r="BX1031" s="986">
        <f>ROUND(SUM(BT860,BU860,BV860,BW860)-SUM(OFFSET(INDEX(MO_CFS_CFO_BeforeWC,1,COLUMN()),ROW(INDEX(MO_SubSection_CFS_CFO,1,COLUMN()))-ROW(INDEX(MO_CFS_CFO_BeforeWC,1,COLUMN())),0,ROW(INDEX(MO_CFS_CFO_BeforeWC,1,COLUMN()))-ROW(INDEX(MO_SubSection_CFS_CFO,1,COLUMN())),1)),6)</f>
        <v/>
      </c>
      <c r="BY1031" s="986" t="n"/>
      <c r="BZ1031" s="986" t="n"/>
      <c r="CA1031" s="986" t="n"/>
      <c r="CB1031" s="986" t="n"/>
      <c r="CC1031" s="986">
        <f>ROUND(SUM(BY860,BZ860,CA860,CB860)-SUM(OFFSET(INDEX(MO_CFS_CFO_BeforeWC,1,COLUMN()),ROW(INDEX(MO_SubSection_CFS_CFO,1,COLUMN()))-ROW(INDEX(MO_CFS_CFO_BeforeWC,1,COLUMN())),0,ROW(INDEX(MO_CFS_CFO_BeforeWC,1,COLUMN()))-ROW(INDEX(MO_SubSection_CFS_CFO,1,COLUMN())),1)),6)</f>
        <v/>
      </c>
      <c r="CD1031" s="986" t="n"/>
      <c r="CE1031" s="986" t="n"/>
      <c r="CF1031" s="986" t="n"/>
      <c r="CG1031" s="155" t="n"/>
    </row>
    <row r="1032">
      <c r="A1032" s="27" t="inlineStr">
        <is>
          <t>*CFO subtotal FY = Sum of Qs</t>
        </is>
      </c>
      <c r="B1032" s="563" t="n"/>
      <c r="C1032" s="986" t="n"/>
      <c r="D1032" s="986" t="n"/>
      <c r="E1032" s="986" t="n"/>
      <c r="F1032" s="986" t="n"/>
      <c r="G1032" s="986" t="n"/>
      <c r="H1032" s="986" t="n"/>
      <c r="I1032" s="986" t="n"/>
      <c r="J1032" s="986" t="n"/>
      <c r="K1032" s="986">
        <f>ROUND(SUM(G869,H869,I869,J869)-SUM(OFFSET(INDEX(MO_CFS_CFO,1,COLUMN()),ROW(INDEX(MO_CFS_CFO_BeforeWC,1,COLUMN()))-ROW(INDEX(MO_CFS_CFO,1,COLUMN())),0,ROW(INDEX(MO_CFS_CFO,1,COLUMN()))-ROW(INDEX(MO_CFS_CFO_BeforeWC,1,COLUMN())),1)),6)</f>
        <v/>
      </c>
      <c r="L1032" s="986" t="n"/>
      <c r="M1032" s="986" t="n"/>
      <c r="N1032" s="986" t="n"/>
      <c r="O1032" s="986" t="n"/>
      <c r="P1032" s="986">
        <f>ROUND(SUM(L869,M869,N869,O869)-SUM(OFFSET(INDEX(MO_CFS_CFO,1,COLUMN()),ROW(INDEX(MO_CFS_CFO_BeforeWC,1,COLUMN()))-ROW(INDEX(MO_CFS_CFO,1,COLUMN())),0,ROW(INDEX(MO_CFS_CFO,1,COLUMN()))-ROW(INDEX(MO_CFS_CFO_BeforeWC,1,COLUMN())),1)),6)</f>
        <v/>
      </c>
      <c r="Q1032" s="986" t="n"/>
      <c r="R1032" s="986" t="n"/>
      <c r="S1032" s="986" t="n"/>
      <c r="T1032" s="986" t="n"/>
      <c r="U1032" s="986">
        <f>ROUND(SUM(Q869,R869,S869,T869)-SUM(OFFSET(INDEX(MO_CFS_CFO,1,COLUMN()),ROW(INDEX(MO_CFS_CFO_BeforeWC,1,COLUMN()))-ROW(INDEX(MO_CFS_CFO,1,COLUMN())),0,ROW(INDEX(MO_CFS_CFO,1,COLUMN()))-ROW(INDEX(MO_CFS_CFO_BeforeWC,1,COLUMN())),1)),6)</f>
        <v/>
      </c>
      <c r="V1032" s="986" t="n"/>
      <c r="W1032" s="986" t="n"/>
      <c r="X1032" s="986" t="n"/>
      <c r="Y1032" s="986" t="n"/>
      <c r="Z1032" s="986">
        <f>ROUND(SUM(V869,W869,X869,Y869)-SUM(OFFSET(INDEX(MO_CFS_CFO,1,COLUMN()),ROW(INDEX(MO_CFS_CFO_BeforeWC,1,COLUMN()))-ROW(INDEX(MO_CFS_CFO,1,COLUMN())),0,ROW(INDEX(MO_CFS_CFO,1,COLUMN()))-ROW(INDEX(MO_CFS_CFO_BeforeWC,1,COLUMN())),1)),6)</f>
        <v/>
      </c>
      <c r="AA1032" s="986" t="n"/>
      <c r="AB1032" s="986" t="n"/>
      <c r="AC1032" s="986" t="n"/>
      <c r="AD1032" s="986" t="n"/>
      <c r="AE1032" s="986">
        <f>ROUND(SUM(AA869,AB869,AC869,AD869)-SUM(OFFSET(INDEX(MO_CFS_CFO,1,COLUMN()),ROW(INDEX(MO_CFS_CFO_BeforeWC,1,COLUMN()))-ROW(INDEX(MO_CFS_CFO,1,COLUMN())),0,ROW(INDEX(MO_CFS_CFO,1,COLUMN()))-ROW(INDEX(MO_CFS_CFO_BeforeWC,1,COLUMN())),1)),6)</f>
        <v/>
      </c>
      <c r="AF1032" s="986" t="n"/>
      <c r="AG1032" s="986" t="n"/>
      <c r="AH1032" s="986" t="n"/>
      <c r="AI1032" s="986" t="n"/>
      <c r="AJ1032" s="986">
        <f>ROUND(SUM(AF869,AG869,AH869,AI869)-SUM(OFFSET(INDEX(MO_CFS_CFO,1,COLUMN()),ROW(INDEX(MO_CFS_CFO_BeforeWC,1,COLUMN()))-ROW(INDEX(MO_CFS_CFO,1,COLUMN())),0,ROW(INDEX(MO_CFS_CFO,1,COLUMN()))-ROW(INDEX(MO_CFS_CFO_BeforeWC,1,COLUMN())),1)),6)</f>
        <v/>
      </c>
      <c r="AK1032" s="986" t="n"/>
      <c r="AL1032" s="986" t="n"/>
      <c r="AM1032" s="986" t="n"/>
      <c r="AN1032" s="986" t="n"/>
      <c r="AO1032" s="986">
        <f>ROUND(SUM(AK869,AL869,AM869,AN869)-SUM(OFFSET(INDEX(MO_CFS_CFO,1,COLUMN()),ROW(INDEX(MO_CFS_CFO_BeforeWC,1,COLUMN()))-ROW(INDEX(MO_CFS_CFO,1,COLUMN())),0,ROW(INDEX(MO_CFS_CFO,1,COLUMN()))-ROW(INDEX(MO_CFS_CFO_BeforeWC,1,COLUMN())),1)),6)</f>
        <v/>
      </c>
      <c r="AP1032" s="986" t="n"/>
      <c r="AQ1032" s="986" t="n"/>
      <c r="AR1032" s="986" t="n"/>
      <c r="AS1032" s="986" t="n"/>
      <c r="AT1032" s="986">
        <f>ROUND(SUM(AP869,AQ869,AR869,AS869)-SUM(OFFSET(INDEX(MO_CFS_CFO,1,COLUMN()),ROW(INDEX(MO_CFS_CFO_BeforeWC,1,COLUMN()))-ROW(INDEX(MO_CFS_CFO,1,COLUMN())),0,ROW(INDEX(MO_CFS_CFO,1,COLUMN()))-ROW(INDEX(MO_CFS_CFO_BeforeWC,1,COLUMN())),1)),6)</f>
        <v/>
      </c>
      <c r="AU1032" s="986" t="n"/>
      <c r="AV1032" s="986" t="n"/>
      <c r="AW1032" s="986" t="n"/>
      <c r="AX1032" s="986" t="n"/>
      <c r="AY1032" s="986">
        <f>ROUND(SUM(AU869,AV869,AW869,AX869)-SUM(OFFSET(INDEX(MO_CFS_CFO,1,COLUMN()),ROW(INDEX(MO_CFS_CFO_BeforeWC,1,COLUMN()))-ROW(INDEX(MO_CFS_CFO,1,COLUMN())),0,ROW(INDEX(MO_CFS_CFO,1,COLUMN()))-ROW(INDEX(MO_CFS_CFO_BeforeWC,1,COLUMN())),1)),6)</f>
        <v/>
      </c>
      <c r="AZ1032" s="986" t="n"/>
      <c r="BA1032" s="986" t="n"/>
      <c r="BB1032" s="986" t="n"/>
      <c r="BC1032" s="986" t="n"/>
      <c r="BD1032" s="986">
        <f>ROUND(SUM(AZ869,BA869,BB869,BC869)-SUM(OFFSET(INDEX(MO_CFS_CFO,1,COLUMN()),ROW(INDEX(MO_CFS_CFO_BeforeWC,1,COLUMN()))-ROW(INDEX(MO_CFS_CFO,1,COLUMN())),0,ROW(INDEX(MO_CFS_CFO,1,COLUMN()))-ROW(INDEX(MO_CFS_CFO_BeforeWC,1,COLUMN())),1)),6)</f>
        <v/>
      </c>
      <c r="BE1032" s="986" t="n"/>
      <c r="BF1032" s="986" t="n"/>
      <c r="BG1032" s="986" t="n"/>
      <c r="BH1032" s="986" t="n"/>
      <c r="BI1032" s="986">
        <f>ROUND(SUM(BE869,BF869,BG869,BH869)-SUM(OFFSET(INDEX(MO_CFS_CFO,1,COLUMN()),ROW(INDEX(MO_CFS_CFO_BeforeWC,1,COLUMN()))-ROW(INDEX(MO_CFS_CFO,1,COLUMN())),0,ROW(INDEX(MO_CFS_CFO,1,COLUMN()))-ROW(INDEX(MO_CFS_CFO_BeforeWC,1,COLUMN())),1)),6)</f>
        <v/>
      </c>
      <c r="BJ1032" s="986" t="n"/>
      <c r="BK1032" s="986" t="n"/>
      <c r="BL1032" s="986" t="n"/>
      <c r="BM1032" s="986" t="n"/>
      <c r="BN1032" s="986">
        <f>ROUND(SUM(BJ869,BK869,BL869,BM869)-SUM(OFFSET(INDEX(MO_CFS_CFO,1,COLUMN()),ROW(INDEX(MO_CFS_CFO_BeforeWC,1,COLUMN()))-ROW(INDEX(MO_CFS_CFO,1,COLUMN())),0,ROW(INDEX(MO_CFS_CFO,1,COLUMN()))-ROW(INDEX(MO_CFS_CFO_BeforeWC,1,COLUMN())),1)),6)</f>
        <v/>
      </c>
      <c r="BO1032" s="986" t="n"/>
      <c r="BP1032" s="986" t="n"/>
      <c r="BQ1032" s="986" t="n"/>
      <c r="BR1032" s="986" t="n"/>
      <c r="BS1032" s="986">
        <f>ROUND(SUM(BO869,BP869,BQ869,BR869)-SUM(OFFSET(INDEX(MO_CFS_CFO,1,COLUMN()),ROW(INDEX(MO_CFS_CFO_BeforeWC,1,COLUMN()))-ROW(INDEX(MO_CFS_CFO,1,COLUMN())),0,ROW(INDEX(MO_CFS_CFO,1,COLUMN()))-ROW(INDEX(MO_CFS_CFO_BeforeWC,1,COLUMN())),1)),6)</f>
        <v/>
      </c>
      <c r="BT1032" s="986" t="n"/>
      <c r="BU1032" s="986" t="n"/>
      <c r="BV1032" s="987" t="n"/>
      <c r="BW1032" s="986" t="n"/>
      <c r="BX1032" s="986">
        <f>ROUND(SUM(BT869,BU869,BV869,BW869)-SUM(OFFSET(INDEX(MO_CFS_CFO,1,COLUMN()),ROW(INDEX(MO_CFS_CFO_BeforeWC,1,COLUMN()))-ROW(INDEX(MO_CFS_CFO,1,COLUMN())),0,ROW(INDEX(MO_CFS_CFO,1,COLUMN()))-ROW(INDEX(MO_CFS_CFO_BeforeWC,1,COLUMN())),1)),6)</f>
        <v/>
      </c>
      <c r="BY1032" s="986" t="n"/>
      <c r="BZ1032" s="986" t="n"/>
      <c r="CA1032" s="986" t="n"/>
      <c r="CB1032" s="986" t="n"/>
      <c r="CC1032" s="986">
        <f>ROUND(SUM(BY869,BZ869,CA869,CB869)-SUM(OFFSET(INDEX(MO_CFS_CFO,1,COLUMN()),ROW(INDEX(MO_CFS_CFO_BeforeWC,1,COLUMN()))-ROW(INDEX(MO_CFS_CFO,1,COLUMN())),0,ROW(INDEX(MO_CFS_CFO,1,COLUMN()))-ROW(INDEX(MO_CFS_CFO_BeforeWC,1,COLUMN())),1)),6)</f>
        <v/>
      </c>
      <c r="CD1032" s="986" t="n"/>
      <c r="CE1032" s="986" t="n"/>
      <c r="CF1032" s="986" t="n"/>
      <c r="CG1032" s="155" t="n"/>
    </row>
    <row r="1033">
      <c r="A1033" s="27" t="inlineStr">
        <is>
          <t>*CFI subtotal FY = Sum of Qs</t>
        </is>
      </c>
      <c r="B1033" s="563" t="n"/>
      <c r="C1033" s="986" t="n"/>
      <c r="D1033" s="986" t="n"/>
      <c r="E1033" s="986" t="n"/>
      <c r="F1033" s="986" t="n"/>
      <c r="G1033" s="986" t="n"/>
      <c r="H1033" s="986" t="n"/>
      <c r="I1033" s="986" t="n"/>
      <c r="J1033" s="986" t="n"/>
      <c r="K1033" s="986">
        <f>ROUND(SUM(G882,H882,I882,J882)-SUM(OFFSET(INDEX(MO_CFS_CFI,1,COLUMN()),ROW(INDEX(MO_SubSection_CFS_CFI,1,COLUMN()))-ROW(INDEX(MO_CFS_CFI,1,COLUMN())),0,ROW(INDEX(MO_CFS_CFI,1,COLUMN()))-ROW(INDEX(MO_SubSection_CFS_CFI,1,COLUMN())),1)),6)</f>
        <v/>
      </c>
      <c r="L1033" s="986" t="n"/>
      <c r="M1033" s="986" t="n"/>
      <c r="N1033" s="986" t="n"/>
      <c r="O1033" s="986" t="n"/>
      <c r="P1033" s="986">
        <f>ROUND(SUM(L882,M882,N882,O882)-SUM(OFFSET(INDEX(MO_CFS_CFI,1,COLUMN()),ROW(INDEX(MO_SubSection_CFS_CFI,1,COLUMN()))-ROW(INDEX(MO_CFS_CFI,1,COLUMN())),0,ROW(INDEX(MO_CFS_CFI,1,COLUMN()))-ROW(INDEX(MO_SubSection_CFS_CFI,1,COLUMN())),1)),6)</f>
        <v/>
      </c>
      <c r="Q1033" s="986" t="n"/>
      <c r="R1033" s="986" t="n"/>
      <c r="S1033" s="986" t="n"/>
      <c r="T1033" s="986" t="n"/>
      <c r="U1033" s="986">
        <f>ROUND(SUM(Q882,R882,S882,T882)-SUM(OFFSET(INDEX(MO_CFS_CFI,1,COLUMN()),ROW(INDEX(MO_SubSection_CFS_CFI,1,COLUMN()))-ROW(INDEX(MO_CFS_CFI,1,COLUMN())),0,ROW(INDEX(MO_CFS_CFI,1,COLUMN()))-ROW(INDEX(MO_SubSection_CFS_CFI,1,COLUMN())),1)),6)</f>
        <v/>
      </c>
      <c r="V1033" s="986" t="n"/>
      <c r="W1033" s="986" t="n"/>
      <c r="X1033" s="986" t="n"/>
      <c r="Y1033" s="986" t="n"/>
      <c r="Z1033" s="986">
        <f>ROUND(SUM(V882,W882,X882,Y882)-SUM(OFFSET(INDEX(MO_CFS_CFI,1,COLUMN()),ROW(INDEX(MO_SubSection_CFS_CFI,1,COLUMN()))-ROW(INDEX(MO_CFS_CFI,1,COLUMN())),0,ROW(INDEX(MO_CFS_CFI,1,COLUMN()))-ROW(INDEX(MO_SubSection_CFS_CFI,1,COLUMN())),1)),6)</f>
        <v/>
      </c>
      <c r="AA1033" s="986" t="n"/>
      <c r="AB1033" s="986" t="n"/>
      <c r="AC1033" s="986" t="n"/>
      <c r="AD1033" s="986" t="n"/>
      <c r="AE1033" s="986">
        <f>ROUND(SUM(AA882,AB882,AC882,AD882)-SUM(OFFSET(INDEX(MO_CFS_CFI,1,COLUMN()),ROW(INDEX(MO_SubSection_CFS_CFI,1,COLUMN()))-ROW(INDEX(MO_CFS_CFI,1,COLUMN())),0,ROW(INDEX(MO_CFS_CFI,1,COLUMN()))-ROW(INDEX(MO_SubSection_CFS_CFI,1,COLUMN())),1)),6)</f>
        <v/>
      </c>
      <c r="AF1033" s="986" t="n"/>
      <c r="AG1033" s="986" t="n"/>
      <c r="AH1033" s="986" t="n"/>
      <c r="AI1033" s="986" t="n"/>
      <c r="AJ1033" s="986">
        <f>ROUND(SUM(AF882,AG882,AH882,AI882)-SUM(OFFSET(INDEX(MO_CFS_CFI,1,COLUMN()),ROW(INDEX(MO_SubSection_CFS_CFI,1,COLUMN()))-ROW(INDEX(MO_CFS_CFI,1,COLUMN())),0,ROW(INDEX(MO_CFS_CFI,1,COLUMN()))-ROW(INDEX(MO_SubSection_CFS_CFI,1,COLUMN())),1)),6)</f>
        <v/>
      </c>
      <c r="AK1033" s="986" t="n"/>
      <c r="AL1033" s="986" t="n"/>
      <c r="AM1033" s="986" t="n"/>
      <c r="AN1033" s="986" t="n"/>
      <c r="AO1033" s="986">
        <f>ROUND(SUM(AK882,AL882,AM882,AN882)-SUM(OFFSET(INDEX(MO_CFS_CFI,1,COLUMN()),ROW(INDEX(MO_SubSection_CFS_CFI,1,COLUMN()))-ROW(INDEX(MO_CFS_CFI,1,COLUMN())),0,ROW(INDEX(MO_CFS_CFI,1,COLUMN()))-ROW(INDEX(MO_SubSection_CFS_CFI,1,COLUMN())),1)),6)</f>
        <v/>
      </c>
      <c r="AP1033" s="986" t="n"/>
      <c r="AQ1033" s="986" t="n"/>
      <c r="AR1033" s="986" t="n"/>
      <c r="AS1033" s="986" t="n"/>
      <c r="AT1033" s="986">
        <f>ROUND(SUM(AP882,AQ882,AR882,AS882)-SUM(OFFSET(INDEX(MO_CFS_CFI,1,COLUMN()),ROW(INDEX(MO_SubSection_CFS_CFI,1,COLUMN()))-ROW(INDEX(MO_CFS_CFI,1,COLUMN())),0,ROW(INDEX(MO_CFS_CFI,1,COLUMN()))-ROW(INDEX(MO_SubSection_CFS_CFI,1,COLUMN())),1)),6)</f>
        <v/>
      </c>
      <c r="AU1033" s="986" t="n"/>
      <c r="AV1033" s="986" t="n"/>
      <c r="AW1033" s="986" t="n"/>
      <c r="AX1033" s="986" t="n"/>
      <c r="AY1033" s="986">
        <f>ROUND(SUM(AU882,AV882,AW882,AX882)-SUM(OFFSET(INDEX(MO_CFS_CFI,1,COLUMN()),ROW(INDEX(MO_SubSection_CFS_CFI,1,COLUMN()))-ROW(INDEX(MO_CFS_CFI,1,COLUMN())),0,ROW(INDEX(MO_CFS_CFI,1,COLUMN()))-ROW(INDEX(MO_SubSection_CFS_CFI,1,COLUMN())),1)),6)</f>
        <v/>
      </c>
      <c r="AZ1033" s="986" t="n"/>
      <c r="BA1033" s="986" t="n"/>
      <c r="BB1033" s="986" t="n"/>
      <c r="BC1033" s="986" t="n"/>
      <c r="BD1033" s="986">
        <f>ROUND(SUM(AZ882,BA882,BB882,BC882)-SUM(OFFSET(INDEX(MO_CFS_CFI,1,COLUMN()),ROW(INDEX(MO_SubSection_CFS_CFI,1,COLUMN()))-ROW(INDEX(MO_CFS_CFI,1,COLUMN())),0,ROW(INDEX(MO_CFS_CFI,1,COLUMN()))-ROW(INDEX(MO_SubSection_CFS_CFI,1,COLUMN())),1)),6)</f>
        <v/>
      </c>
      <c r="BE1033" s="986" t="n"/>
      <c r="BF1033" s="986" t="n"/>
      <c r="BG1033" s="986" t="n"/>
      <c r="BH1033" s="986" t="n"/>
      <c r="BI1033" s="986">
        <f>ROUND(SUM(BE882,BF882,BG882,BH882)-SUM(OFFSET(INDEX(MO_CFS_CFI,1,COLUMN()),ROW(INDEX(MO_SubSection_CFS_CFI,1,COLUMN()))-ROW(INDEX(MO_CFS_CFI,1,COLUMN())),0,ROW(INDEX(MO_CFS_CFI,1,COLUMN()))-ROW(INDEX(MO_SubSection_CFS_CFI,1,COLUMN())),1)),6)</f>
        <v/>
      </c>
      <c r="BJ1033" s="986" t="n"/>
      <c r="BK1033" s="986" t="n"/>
      <c r="BL1033" s="986" t="n"/>
      <c r="BM1033" s="986" t="n"/>
      <c r="BN1033" s="986">
        <f>ROUND(SUM(BJ882,BK882,BL882,BM882)-SUM(OFFSET(INDEX(MO_CFS_CFI,1,COLUMN()),ROW(INDEX(MO_SubSection_CFS_CFI,1,COLUMN()))-ROW(INDEX(MO_CFS_CFI,1,COLUMN())),0,ROW(INDEX(MO_CFS_CFI,1,COLUMN()))-ROW(INDEX(MO_SubSection_CFS_CFI,1,COLUMN())),1)),6)</f>
        <v/>
      </c>
      <c r="BO1033" s="986" t="n"/>
      <c r="BP1033" s="986" t="n"/>
      <c r="BQ1033" s="986" t="n"/>
      <c r="BR1033" s="986" t="n"/>
      <c r="BS1033" s="986">
        <f>ROUND(SUM(BO882,BP882,BQ882,BR882)-SUM(OFFSET(INDEX(MO_CFS_CFI,1,COLUMN()),ROW(INDEX(MO_SubSection_CFS_CFI,1,COLUMN()))-ROW(INDEX(MO_CFS_CFI,1,COLUMN())),0,ROW(INDEX(MO_CFS_CFI,1,COLUMN()))-ROW(INDEX(MO_SubSection_CFS_CFI,1,COLUMN())),1)),6)</f>
        <v/>
      </c>
      <c r="BT1033" s="986" t="n"/>
      <c r="BU1033" s="986" t="n"/>
      <c r="BV1033" s="987" t="n"/>
      <c r="BW1033" s="986" t="n"/>
      <c r="BX1033" s="986">
        <f>ROUND(SUM(BT882,BU882,BV882,BW882)-SUM(OFFSET(INDEX(MO_CFS_CFI,1,COLUMN()),ROW(INDEX(MO_SubSection_CFS_CFI,1,COLUMN()))-ROW(INDEX(MO_CFS_CFI,1,COLUMN())),0,ROW(INDEX(MO_CFS_CFI,1,COLUMN()))-ROW(INDEX(MO_SubSection_CFS_CFI,1,COLUMN())),1)),6)</f>
        <v/>
      </c>
      <c r="BY1033" s="986" t="n"/>
      <c r="BZ1033" s="986" t="n"/>
      <c r="CA1033" s="986" t="n"/>
      <c r="CB1033" s="986" t="n"/>
      <c r="CC1033" s="986">
        <f>ROUND(SUM(BY882,BZ882,CA882,CB882)-SUM(OFFSET(INDEX(MO_CFS_CFI,1,COLUMN()),ROW(INDEX(MO_SubSection_CFS_CFI,1,COLUMN()))-ROW(INDEX(MO_CFS_CFI,1,COLUMN())),0,ROW(INDEX(MO_CFS_CFI,1,COLUMN()))-ROW(INDEX(MO_SubSection_CFS_CFI,1,COLUMN())),1)),6)</f>
        <v/>
      </c>
      <c r="CD1033" s="986" t="n"/>
      <c r="CE1033" s="986" t="n"/>
      <c r="CF1033" s="986" t="n"/>
      <c r="CG1033" s="155" t="n"/>
    </row>
    <row r="1034">
      <c r="A1034" s="27" t="inlineStr">
        <is>
          <t>*CFF subtotal FY = Sum of Qs</t>
        </is>
      </c>
      <c r="B1034" s="563" t="n"/>
      <c r="C1034" s="986" t="n"/>
      <c r="D1034" s="986" t="n"/>
      <c r="E1034" s="986" t="n"/>
      <c r="F1034" s="986" t="n"/>
      <c r="G1034" s="986" t="n"/>
      <c r="H1034" s="986" t="n"/>
      <c r="I1034" s="986" t="n"/>
      <c r="J1034" s="986" t="n"/>
      <c r="K1034" s="986">
        <f>ROUND(SUM(G902,H902,I902,J902)-SUM(OFFSET(INDEX(MO_CFS_CFF,1,COLUMN()),ROW(INDEX(MO_SubSection_CFS_CFF,1,COLUMN()))-ROW(INDEX(MO_CFS_CFF,1,COLUMN())),0,ROW(INDEX(MO_CFS_CFF,1,COLUMN()))-ROW(INDEX(MO_SubSection_CFS_CFF,1,COLUMN())),1)),6)</f>
        <v/>
      </c>
      <c r="L1034" s="986" t="n"/>
      <c r="M1034" s="986" t="n"/>
      <c r="N1034" s="986" t="n"/>
      <c r="O1034" s="986" t="n"/>
      <c r="P1034" s="986">
        <f>ROUND(SUM(L902,M902,N902,O902)-SUM(OFFSET(INDEX(MO_CFS_CFF,1,COLUMN()),ROW(INDEX(MO_SubSection_CFS_CFF,1,COLUMN()))-ROW(INDEX(MO_CFS_CFF,1,COLUMN())),0,ROW(INDEX(MO_CFS_CFF,1,COLUMN()))-ROW(INDEX(MO_SubSection_CFS_CFF,1,COLUMN())),1)),6)</f>
        <v/>
      </c>
      <c r="Q1034" s="986" t="n"/>
      <c r="R1034" s="986" t="n"/>
      <c r="S1034" s="986" t="n"/>
      <c r="T1034" s="986" t="n"/>
      <c r="U1034" s="986">
        <f>ROUND(SUM(Q902,R902,S902,T902)-SUM(OFFSET(INDEX(MO_CFS_CFF,1,COLUMN()),ROW(INDEX(MO_SubSection_CFS_CFF,1,COLUMN()))-ROW(INDEX(MO_CFS_CFF,1,COLUMN())),0,ROW(INDEX(MO_CFS_CFF,1,COLUMN()))-ROW(INDEX(MO_SubSection_CFS_CFF,1,COLUMN())),1)),6)</f>
        <v/>
      </c>
      <c r="V1034" s="986" t="n"/>
      <c r="W1034" s="986" t="n"/>
      <c r="X1034" s="986" t="n"/>
      <c r="Y1034" s="986" t="n"/>
      <c r="Z1034" s="986">
        <f>ROUND(SUM(V902,W902,X902,Y902)-SUM(OFFSET(INDEX(MO_CFS_CFF,1,COLUMN()),ROW(INDEX(MO_SubSection_CFS_CFF,1,COLUMN()))-ROW(INDEX(MO_CFS_CFF,1,COLUMN())),0,ROW(INDEX(MO_CFS_CFF,1,COLUMN()))-ROW(INDEX(MO_SubSection_CFS_CFF,1,COLUMN())),1)),6)</f>
        <v/>
      </c>
      <c r="AA1034" s="986" t="n"/>
      <c r="AB1034" s="986" t="n"/>
      <c r="AC1034" s="986" t="n"/>
      <c r="AD1034" s="986" t="n"/>
      <c r="AE1034" s="986">
        <f>ROUND(SUM(AA902,AB902,AC902,AD902)-SUM(OFFSET(INDEX(MO_CFS_CFF,1,COLUMN()),ROW(INDEX(MO_SubSection_CFS_CFF,1,COLUMN()))-ROW(INDEX(MO_CFS_CFF,1,COLUMN())),0,ROW(INDEX(MO_CFS_CFF,1,COLUMN()))-ROW(INDEX(MO_SubSection_CFS_CFF,1,COLUMN())),1)),6)</f>
        <v/>
      </c>
      <c r="AF1034" s="986" t="n"/>
      <c r="AG1034" s="986" t="n"/>
      <c r="AH1034" s="986" t="n"/>
      <c r="AI1034" s="986" t="n"/>
      <c r="AJ1034" s="986">
        <f>ROUND(SUM(AF902,AG902,AH902,AI902)-SUM(OFFSET(INDEX(MO_CFS_CFF,1,COLUMN()),ROW(INDEX(MO_SubSection_CFS_CFF,1,COLUMN()))-ROW(INDEX(MO_CFS_CFF,1,COLUMN())),0,ROW(INDEX(MO_CFS_CFF,1,COLUMN()))-ROW(INDEX(MO_SubSection_CFS_CFF,1,COLUMN())),1)),6)</f>
        <v/>
      </c>
      <c r="AK1034" s="986" t="n"/>
      <c r="AL1034" s="986" t="n"/>
      <c r="AM1034" s="986" t="n"/>
      <c r="AN1034" s="986" t="n"/>
      <c r="AO1034" s="986">
        <f>ROUND(SUM(AK902,AL902,AM902,AN902)-SUM(OFFSET(INDEX(MO_CFS_CFF,1,COLUMN()),ROW(INDEX(MO_SubSection_CFS_CFF,1,COLUMN()))-ROW(INDEX(MO_CFS_CFF,1,COLUMN())),0,ROW(INDEX(MO_CFS_CFF,1,COLUMN()))-ROW(INDEX(MO_SubSection_CFS_CFF,1,COLUMN())),1)),6)</f>
        <v/>
      </c>
      <c r="AP1034" s="986" t="n"/>
      <c r="AQ1034" s="986" t="n"/>
      <c r="AR1034" s="986" t="n"/>
      <c r="AS1034" s="986" t="n"/>
      <c r="AT1034" s="986">
        <f>ROUND(SUM(AP902,AQ902,AR902,AS902)-SUM(OFFSET(INDEX(MO_CFS_CFF,1,COLUMN()),ROW(INDEX(MO_SubSection_CFS_CFF,1,COLUMN()))-ROW(INDEX(MO_CFS_CFF,1,COLUMN())),0,ROW(INDEX(MO_CFS_CFF,1,COLUMN()))-ROW(INDEX(MO_SubSection_CFS_CFF,1,COLUMN())),1)),6)</f>
        <v/>
      </c>
      <c r="AU1034" s="986" t="n"/>
      <c r="AV1034" s="986" t="n"/>
      <c r="AW1034" s="986" t="n"/>
      <c r="AX1034" s="986" t="n"/>
      <c r="AY1034" s="986">
        <f>ROUND(SUM(AU902,AV902,AW902,AX902)-SUM(OFFSET(INDEX(MO_CFS_CFF,1,COLUMN()),ROW(INDEX(MO_SubSection_CFS_CFF,1,COLUMN()))-ROW(INDEX(MO_CFS_CFF,1,COLUMN())),0,ROW(INDEX(MO_CFS_CFF,1,COLUMN()))-ROW(INDEX(MO_SubSection_CFS_CFF,1,COLUMN())),1)),6)</f>
        <v/>
      </c>
      <c r="AZ1034" s="986" t="n"/>
      <c r="BA1034" s="986" t="n"/>
      <c r="BB1034" s="986" t="n"/>
      <c r="BC1034" s="986" t="n"/>
      <c r="BD1034" s="986">
        <f>ROUND(SUM(AZ902,BA902,BB902,BC902)-SUM(OFFSET(INDEX(MO_CFS_CFF,1,COLUMN()),ROW(INDEX(MO_SubSection_CFS_CFF,1,COLUMN()))-ROW(INDEX(MO_CFS_CFF,1,COLUMN())),0,ROW(INDEX(MO_CFS_CFF,1,COLUMN()))-ROW(INDEX(MO_SubSection_CFS_CFF,1,COLUMN())),1)),6)</f>
        <v/>
      </c>
      <c r="BE1034" s="986" t="n"/>
      <c r="BF1034" s="986" t="n"/>
      <c r="BG1034" s="986" t="n"/>
      <c r="BH1034" s="986" t="n"/>
      <c r="BI1034" s="986">
        <f>ROUND(SUM(BE902,BF902,BG902,BH902)-SUM(OFFSET(INDEX(MO_CFS_CFF,1,COLUMN()),ROW(INDEX(MO_SubSection_CFS_CFF,1,COLUMN()))-ROW(INDEX(MO_CFS_CFF,1,COLUMN())),0,ROW(INDEX(MO_CFS_CFF,1,COLUMN()))-ROW(INDEX(MO_SubSection_CFS_CFF,1,COLUMN())),1)),6)</f>
        <v/>
      </c>
      <c r="BJ1034" s="986" t="n"/>
      <c r="BK1034" s="986" t="n"/>
      <c r="BL1034" s="986" t="n"/>
      <c r="BM1034" s="986" t="n"/>
      <c r="BN1034" s="986">
        <f>ROUND(SUM(BJ902,BK902,BL902,BM902)-SUM(OFFSET(INDEX(MO_CFS_CFF,1,COLUMN()),ROW(INDEX(MO_SubSection_CFS_CFF,1,COLUMN()))-ROW(INDEX(MO_CFS_CFF,1,COLUMN())),0,ROW(INDEX(MO_CFS_CFF,1,COLUMN()))-ROW(INDEX(MO_SubSection_CFS_CFF,1,COLUMN())),1)),6)</f>
        <v/>
      </c>
      <c r="BO1034" s="986" t="n"/>
      <c r="BP1034" s="986" t="n"/>
      <c r="BQ1034" s="986" t="n"/>
      <c r="BR1034" s="986" t="n"/>
      <c r="BS1034" s="986">
        <f>ROUND(SUM(BO902,BP902,BQ902,BR902)-SUM(OFFSET(INDEX(MO_CFS_CFF,1,COLUMN()),ROW(INDEX(MO_SubSection_CFS_CFF,1,COLUMN()))-ROW(INDEX(MO_CFS_CFF,1,COLUMN())),0,ROW(INDEX(MO_CFS_CFF,1,COLUMN()))-ROW(INDEX(MO_SubSection_CFS_CFF,1,COLUMN())),1)),6)</f>
        <v/>
      </c>
      <c r="BT1034" s="986" t="n"/>
      <c r="BU1034" s="986" t="n"/>
      <c r="BV1034" s="987" t="n"/>
      <c r="BW1034" s="986" t="n"/>
      <c r="BX1034" s="986">
        <f>ROUND(SUM(BT902,BU902,BV902,BW902)-SUM(OFFSET(INDEX(MO_CFS_CFF,1,COLUMN()),ROW(INDEX(MO_SubSection_CFS_CFF,1,COLUMN()))-ROW(INDEX(MO_CFS_CFF,1,COLUMN())),0,ROW(INDEX(MO_CFS_CFF,1,COLUMN()))-ROW(INDEX(MO_SubSection_CFS_CFF,1,COLUMN())),1)),6)</f>
        <v/>
      </c>
      <c r="BY1034" s="986" t="n"/>
      <c r="BZ1034" s="986" t="n"/>
      <c r="CA1034" s="986" t="n"/>
      <c r="CB1034" s="986" t="n"/>
      <c r="CC1034" s="986">
        <f>ROUND(SUM(BY902,BZ902,CA902,CB902)-SUM(OFFSET(INDEX(MO_CFS_CFF,1,COLUMN()),ROW(INDEX(MO_SubSection_CFS_CFF,1,COLUMN()))-ROW(INDEX(MO_CFS_CFF,1,COLUMN())),0,ROW(INDEX(MO_CFS_CFF,1,COLUMN()))-ROW(INDEX(MO_SubSection_CFS_CFF,1,COLUMN())),1)),6)</f>
        <v/>
      </c>
      <c r="CD1034" s="986" t="n"/>
      <c r="CE1034" s="986" t="n"/>
      <c r="CF1034" s="986" t="n"/>
      <c r="CG1034" s="155" t="n"/>
    </row>
    <row r="1035">
      <c r="A1035" s="27" t="inlineStr">
        <is>
          <t>*CF Summary FY = Sum of Qs</t>
        </is>
      </c>
      <c r="B1035" s="563" t="n"/>
      <c r="C1035" s="986" t="n"/>
      <c r="D1035" s="986" t="n"/>
      <c r="E1035" s="986" t="n"/>
      <c r="F1035" s="986" t="n"/>
      <c r="G1035" s="986" t="n"/>
      <c r="H1035" s="986" t="n"/>
      <c r="I1035" s="986" t="n"/>
      <c r="J1035" s="986" t="n"/>
      <c r="K1035" s="986">
        <f>ROUND(SUM(INDEX(MO_CFSum_Acquisition,0,COLUMN()),INDEX(MO_CFSum_Capex,0,COLUMN()),INDEX(MO_CFSum_Divestiture,0,COLUMN()),INDEX(MO_CFSum_Dividend,0,COLUMN()))-SUM(G704,H704,I704,J704,G705,H705,I705,J705,G706,H706,I706,J706)-SUM(G701,H701,I701,J701),6)</f>
        <v/>
      </c>
      <c r="L1035" s="986" t="n"/>
      <c r="M1035" s="986" t="n"/>
      <c r="N1035" s="986" t="n"/>
      <c r="O1035" s="986" t="n"/>
      <c r="P1035" s="986">
        <f>ROUND(SUM(INDEX(MO_CFSum_Acquisition,0,COLUMN()),INDEX(MO_CFSum_Capex,0,COLUMN()),INDEX(MO_CFSum_Divestiture,0,COLUMN()),INDEX(MO_CFSum_Dividend,0,COLUMN()))-SUM(L704,M704,N704,O704,L705,M705,N705,O705,L706,M706,N706,O706)-SUM(L701,M701,N701,O701),6)</f>
        <v/>
      </c>
      <c r="Q1035" s="986" t="n"/>
      <c r="R1035" s="986" t="n"/>
      <c r="S1035" s="986" t="n"/>
      <c r="T1035" s="986" t="n"/>
      <c r="U1035" s="986">
        <f>ROUND(SUM(INDEX(MO_CFSum_Acquisition,0,COLUMN()),INDEX(MO_CFSum_Capex,0,COLUMN()),INDEX(MO_CFSum_Divestiture,0,COLUMN()),INDEX(MO_CFSum_Dividend,0,COLUMN()))-SUM(Q704,R704,S704,T704,Q705,R705,S705,T705,Q706,R706,S706,T706)-SUM(Q701,R701,S701,T701),6)</f>
        <v/>
      </c>
      <c r="V1035" s="986" t="n"/>
      <c r="W1035" s="986" t="n"/>
      <c r="X1035" s="986" t="n"/>
      <c r="Y1035" s="986" t="n"/>
      <c r="Z1035" s="986">
        <f>ROUND(SUM(INDEX(MO_CFSum_Acquisition,0,COLUMN()),INDEX(MO_CFSum_Capex,0,COLUMN()),INDEX(MO_CFSum_Divestiture,0,COLUMN()),INDEX(MO_CFSum_Dividend,0,COLUMN()))-SUM(V704,W704,X704,Y704,V705,W705,X705,Y705,V706,W706,X706,Y706)-SUM(V701,W701,X701,Y701),6)</f>
        <v/>
      </c>
      <c r="AA1035" s="986" t="n"/>
      <c r="AB1035" s="986" t="n"/>
      <c r="AC1035" s="986" t="n"/>
      <c r="AD1035" s="986" t="n"/>
      <c r="AE1035" s="986">
        <f>ROUND(SUM(INDEX(MO_CFSum_Acquisition,0,COLUMN()),INDEX(MO_CFSum_Capex,0,COLUMN()),INDEX(MO_CFSum_Divestiture,0,COLUMN()),INDEX(MO_CFSum_Dividend,0,COLUMN()))-SUM(AA704,AB704,AC704,AD704,AA705,AB705,AC705,AD705,AA706,AB706,AC706,AD706)-SUM(AA701,AB701,AC701,AD701),6)</f>
        <v/>
      </c>
      <c r="AF1035" s="986" t="n"/>
      <c r="AG1035" s="986" t="n"/>
      <c r="AH1035" s="986" t="n"/>
      <c r="AI1035" s="986" t="n"/>
      <c r="AJ1035" s="986">
        <f>ROUND(SUM(INDEX(MO_CFSum_Acquisition,0,COLUMN()),INDEX(MO_CFSum_Capex,0,COLUMN()),INDEX(MO_CFSum_Divestiture,0,COLUMN()),INDEX(MO_CFSum_Dividend,0,COLUMN()))-SUM(AF704,AG704,AH704,AI704,AF705,AG705,AH705,AI705,AF706,AG706,AH706,AI706)-SUM(AF701,AG701,AH701,AI701),6)</f>
        <v/>
      </c>
      <c r="AK1035" s="986" t="n"/>
      <c r="AL1035" s="986" t="n"/>
      <c r="AM1035" s="986" t="n"/>
      <c r="AN1035" s="986" t="n"/>
      <c r="AO1035" s="986">
        <f>ROUND(SUM(INDEX(MO_CFSum_Acquisition,0,COLUMN()),INDEX(MO_CFSum_Capex,0,COLUMN()),INDEX(MO_CFSum_Divestiture,0,COLUMN()),INDEX(MO_CFSum_Dividend,0,COLUMN()))-SUM(AK704,AL704,AM704,AN704,AK705,AL705,AM705,AN705,AK706,AL706,AM706,AN706)-SUM(AK701,AL701,AM701,AN701),6)</f>
        <v/>
      </c>
      <c r="AP1035" s="986" t="n"/>
      <c r="AQ1035" s="986" t="n"/>
      <c r="AR1035" s="986" t="n"/>
      <c r="AS1035" s="986" t="n"/>
      <c r="AT1035" s="986">
        <f>ROUND(SUM(INDEX(MO_CFSum_Acquisition,0,COLUMN()),INDEX(MO_CFSum_Capex,0,COLUMN()),INDEX(MO_CFSum_Divestiture,0,COLUMN()),INDEX(MO_CFSum_Dividend,0,COLUMN()))-SUM(AP704,AQ704,AR704,AS704,AP705,AQ705,AR705,AS705,AP706,AQ706,AR706,AS706)-SUM(AP701,AQ701,AR701,AS701),6)</f>
        <v/>
      </c>
      <c r="AU1035" s="986" t="n"/>
      <c r="AV1035" s="986" t="n"/>
      <c r="AW1035" s="986" t="n"/>
      <c r="AX1035" s="986" t="n"/>
      <c r="AY1035" s="986">
        <f>ROUND(SUM(INDEX(MO_CFSum_Acquisition,0,COLUMN()),INDEX(MO_CFSum_Capex,0,COLUMN()),INDEX(MO_CFSum_Divestiture,0,COLUMN()),INDEX(MO_CFSum_Dividend,0,COLUMN()))-SUM(AU704,AV704,AW704,AX704,AU705,AV705,AW705,AX705,AU706,AV706,AW706,AX706)-SUM(AU701,AV701,AW701,AX701),6)</f>
        <v/>
      </c>
      <c r="AZ1035" s="986" t="n"/>
      <c r="BA1035" s="986" t="n"/>
      <c r="BB1035" s="986" t="n"/>
      <c r="BC1035" s="986" t="n"/>
      <c r="BD1035" s="986">
        <f>ROUND(SUM(INDEX(MO_CFSum_Acquisition,0,COLUMN()),INDEX(MO_CFSum_Capex,0,COLUMN()),INDEX(MO_CFSum_Divestiture,0,COLUMN()),INDEX(MO_CFSum_Dividend,0,COLUMN()))-SUM(AZ704,BA704,BB704,BC704,AZ705,BA705,BB705,BC705,AZ706,BA706,BB706,BC706)-SUM(AZ701,BA701,BB701,BC701),6)</f>
        <v/>
      </c>
      <c r="BE1035" s="986" t="n"/>
      <c r="BF1035" s="986" t="n"/>
      <c r="BG1035" s="986" t="n"/>
      <c r="BH1035" s="986" t="n"/>
      <c r="BI1035" s="986">
        <f>ROUND(SUM(INDEX(MO_CFSum_Acquisition,0,COLUMN()),INDEX(MO_CFSum_Capex,0,COLUMN()),INDEX(MO_CFSum_Divestiture,0,COLUMN()),INDEX(MO_CFSum_Dividend,0,COLUMN()))-SUM(BE704,BF704,BG704,BH704,BE705,BF705,BG705,BH705,BE706,BF706,BG706,BH706)-SUM(BE701,BF701,BG701,BH701),6)</f>
        <v/>
      </c>
      <c r="BJ1035" s="986" t="n"/>
      <c r="BK1035" s="986" t="n"/>
      <c r="BL1035" s="986" t="n"/>
      <c r="BM1035" s="986" t="n"/>
      <c r="BN1035" s="986">
        <f>ROUND(SUM(INDEX(MO_CFSum_Acquisition,0,COLUMN()),INDEX(MO_CFSum_Capex,0,COLUMN()),INDEX(MO_CFSum_Divestiture,0,COLUMN()),INDEX(MO_CFSum_Dividend,0,COLUMN()))-SUM(BJ704,BK704,BL704,BM704,BJ705,BK705,BL705,BM705,BJ706,BK706,BL706,BM706)-SUM(BJ701,BK701,BL701,BM701),6)</f>
        <v/>
      </c>
      <c r="BO1035" s="986" t="n"/>
      <c r="BP1035" s="986" t="n"/>
      <c r="BQ1035" s="986" t="n"/>
      <c r="BR1035" s="986" t="n"/>
      <c r="BS1035" s="986">
        <f>ROUND(SUM(INDEX(MO_CFSum_Acquisition,0,COLUMN()),INDEX(MO_CFSum_Capex,0,COLUMN()),INDEX(MO_CFSum_Divestiture,0,COLUMN()),INDEX(MO_CFSum_Dividend,0,COLUMN()))-SUM(BO704,BP704,BQ704,BR704,BO705,BP705,BQ705,BR705,BO706,BP706,BQ706,BR706)-SUM(BO701,BP701,BQ701,BR701),6)</f>
        <v/>
      </c>
      <c r="BT1035" s="986" t="n"/>
      <c r="BU1035" s="986" t="n"/>
      <c r="BV1035" s="987" t="n"/>
      <c r="BW1035" s="986" t="n"/>
      <c r="BX1035" s="986">
        <f>ROUND(SUM(INDEX(MO_CFSum_Acquisition,0,COLUMN()),INDEX(MO_CFSum_Capex,0,COLUMN()),INDEX(MO_CFSum_Divestiture,0,COLUMN()),INDEX(MO_CFSum_Dividend,0,COLUMN()))-SUM(BT704,BU704,BV704,BW704,BT705,BU705,BV705,BW705,BT706,BU706,BV706,BW706)-SUM(BT701,BU701,BV701,BW701),6)</f>
        <v/>
      </c>
      <c r="BY1035" s="986" t="n"/>
      <c r="BZ1035" s="986" t="n"/>
      <c r="CA1035" s="986" t="n"/>
      <c r="CB1035" s="986" t="n"/>
      <c r="CC1035" s="986">
        <f>ROUND(SUM(INDEX(MO_CFSum_Acquisition,0,COLUMN()),INDEX(MO_CFSum_Capex,0,COLUMN()),INDEX(MO_CFSum_Divestiture,0,COLUMN()),INDEX(MO_CFSum_Dividend,0,COLUMN()))-SUM(BY704,BZ704,CA704,CB704,BY705,BZ705,CA705,CB705,BY706,BZ706,CA706,CB706)-SUM(BY701,BZ701,CA701,CB701),6)</f>
        <v/>
      </c>
      <c r="CD1035" s="986" t="n"/>
      <c r="CE1035" s="986" t="n"/>
      <c r="CF1035" s="986" t="n"/>
      <c r="CG1035" s="155" t="n"/>
    </row>
    <row r="1036">
      <c r="A1036" s="93" t="n"/>
      <c r="B1036" s="93" t="n"/>
      <c r="C1036" s="93" t="n"/>
      <c r="D1036" s="93" t="n"/>
      <c r="E1036" s="93" t="n"/>
      <c r="F1036" s="93" t="n"/>
      <c r="G1036" s="93" t="n"/>
      <c r="H1036" s="93" t="n"/>
      <c r="I1036" s="93" t="n"/>
      <c r="J1036" s="93" t="n"/>
      <c r="K1036" s="93" t="n"/>
      <c r="L1036" s="93" t="n"/>
      <c r="M1036" s="93" t="n"/>
      <c r="N1036" s="93" t="n"/>
      <c r="O1036" s="93" t="n"/>
      <c r="P1036" s="93" t="n"/>
      <c r="Q1036" s="93" t="n"/>
      <c r="R1036" s="93" t="n"/>
      <c r="S1036" s="93" t="n"/>
      <c r="T1036" s="93" t="n"/>
      <c r="U1036" s="93" t="n"/>
      <c r="V1036" s="93" t="n"/>
      <c r="W1036" s="93" t="n"/>
      <c r="X1036" s="93" t="n"/>
      <c r="Y1036" s="93" t="n"/>
      <c r="Z1036" s="93" t="n"/>
      <c r="AA1036" s="93" t="n"/>
      <c r="AB1036" s="93" t="n"/>
      <c r="AC1036" s="93" t="n"/>
      <c r="AD1036" s="93" t="n"/>
      <c r="AE1036" s="93" t="n"/>
      <c r="AF1036" s="93" t="n"/>
      <c r="AG1036" s="93" t="n"/>
      <c r="AH1036" s="93" t="n"/>
      <c r="AI1036" s="93" t="n"/>
      <c r="AJ1036" s="93" t="n"/>
      <c r="AK1036" s="93" t="n"/>
      <c r="AL1036" s="93" t="n"/>
      <c r="AM1036" s="93" t="n"/>
      <c r="AN1036" s="93" t="n"/>
      <c r="AO1036" s="93" t="n"/>
      <c r="AP1036" s="93" t="n"/>
      <c r="AQ1036" s="93" t="n"/>
      <c r="AR1036" s="93" t="n"/>
      <c r="AS1036" s="93" t="n"/>
      <c r="AT1036" s="93" t="n"/>
      <c r="AU1036" s="93" t="n"/>
      <c r="AV1036" s="93" t="n"/>
      <c r="AW1036" s="93" t="n"/>
      <c r="AX1036" s="93" t="n"/>
      <c r="AY1036" s="93" t="n"/>
      <c r="AZ1036" s="93" t="n"/>
      <c r="BA1036" s="93" t="n"/>
      <c r="BB1036" s="93" t="n"/>
      <c r="BC1036" s="93" t="n"/>
      <c r="BD1036" s="93" t="n"/>
      <c r="BE1036" s="93" t="n"/>
      <c r="BF1036" s="93" t="n"/>
      <c r="BG1036" s="93" t="n"/>
      <c r="BH1036" s="93" t="n"/>
      <c r="BI1036" s="93" t="n"/>
      <c r="BJ1036" s="93" t="n"/>
      <c r="BK1036" s="93" t="n"/>
      <c r="BL1036" s="93" t="n"/>
      <c r="BM1036" s="93" t="n"/>
      <c r="BN1036" s="93" t="n"/>
      <c r="BO1036" s="93" t="n"/>
      <c r="BP1036" s="93" t="n"/>
      <c r="BQ1036" s="93" t="n"/>
      <c r="BR1036" s="93" t="n"/>
      <c r="BS1036" s="93" t="n"/>
      <c r="BT1036" s="93" t="n"/>
      <c r="BU1036" s="93" t="n"/>
      <c r="BV1036" s="522" t="n"/>
      <c r="BW1036" s="93" t="n"/>
      <c r="BX1036" s="93" t="n"/>
      <c r="BY1036" s="93" t="n"/>
      <c r="BZ1036" s="93" t="n"/>
      <c r="CA1036" s="93" t="n"/>
      <c r="CB1036" s="93" t="n"/>
      <c r="CC1036" s="93" t="n"/>
      <c r="CD1036" s="93" t="n"/>
      <c r="CE1036" s="93" t="n"/>
      <c r="CF1036" s="93" t="n"/>
      <c r="CG1036" s="155" t="n"/>
    </row>
    <row r="1037">
      <c r="A1037" s="95" t="inlineStr">
        <is>
          <t>Other Tables</t>
        </is>
      </c>
      <c r="B1037" s="95" t="n"/>
      <c r="C1037" s="95" t="n"/>
      <c r="D1037" s="95" t="n"/>
      <c r="E1037" s="95" t="n"/>
      <c r="F1037" s="95" t="n"/>
      <c r="G1037" s="95" t="n"/>
      <c r="H1037" s="95" t="n"/>
      <c r="I1037" s="95" t="n"/>
      <c r="J1037" s="95" t="n"/>
      <c r="K1037" s="95" t="n"/>
      <c r="L1037" s="95" t="n"/>
      <c r="M1037" s="95" t="n"/>
      <c r="N1037" s="95" t="n"/>
      <c r="O1037" s="95" t="n"/>
      <c r="P1037" s="95" t="n"/>
      <c r="Q1037" s="95" t="n"/>
      <c r="R1037" s="95" t="n"/>
      <c r="S1037" s="95" t="n"/>
      <c r="T1037" s="95" t="n"/>
      <c r="U1037" s="95" t="n"/>
      <c r="V1037" s="95" t="n"/>
      <c r="W1037" s="95" t="n"/>
      <c r="X1037" s="95" t="n"/>
      <c r="Y1037" s="95" t="n"/>
      <c r="Z1037" s="95" t="n"/>
      <c r="AA1037" s="95" t="n"/>
      <c r="AB1037" s="95" t="n"/>
      <c r="AC1037" s="95" t="n"/>
      <c r="AD1037" s="95" t="n"/>
      <c r="AE1037" s="95" t="n"/>
      <c r="AF1037" s="95" t="n"/>
      <c r="AG1037" s="95" t="n"/>
      <c r="AH1037" s="95" t="n"/>
      <c r="AI1037" s="95" t="n"/>
      <c r="AJ1037" s="95" t="n"/>
      <c r="AK1037" s="95" t="n"/>
      <c r="AL1037" s="95" t="n"/>
      <c r="AM1037" s="95" t="n"/>
      <c r="AN1037" s="95" t="n"/>
      <c r="AO1037" s="95" t="n"/>
      <c r="AP1037" s="95" t="n"/>
      <c r="AQ1037" s="95" t="n"/>
      <c r="AR1037" s="95" t="n"/>
      <c r="AS1037" s="95" t="n"/>
      <c r="AT1037" s="95" t="n"/>
      <c r="AU1037" s="95" t="n"/>
      <c r="AV1037" s="95" t="n"/>
      <c r="AW1037" s="95" t="n"/>
      <c r="AX1037" s="95" t="n"/>
      <c r="AY1037" s="95" t="n"/>
      <c r="AZ1037" s="95" t="n"/>
      <c r="BA1037" s="95" t="n"/>
      <c r="BB1037" s="95" t="n"/>
      <c r="BC1037" s="95" t="n"/>
      <c r="BD1037" s="95" t="n"/>
      <c r="BE1037" s="95" t="n"/>
      <c r="BF1037" s="95" t="n"/>
      <c r="BG1037" s="95" t="n"/>
      <c r="BH1037" s="95" t="n"/>
      <c r="BI1037" s="95" t="n"/>
      <c r="BJ1037" s="95" t="n"/>
      <c r="BK1037" s="95" t="n"/>
      <c r="BL1037" s="95" t="n"/>
      <c r="BM1037" s="95" t="n"/>
      <c r="BN1037" s="95" t="n"/>
      <c r="BO1037" s="95" t="n"/>
      <c r="BP1037" s="95" t="n"/>
      <c r="BQ1037" s="95" t="n"/>
      <c r="BR1037" s="95" t="n"/>
      <c r="BS1037" s="95" t="n"/>
      <c r="BT1037" s="95" t="n"/>
      <c r="BU1037" s="95" t="n"/>
      <c r="BV1037" s="500" t="n"/>
      <c r="BW1037" s="95" t="n"/>
      <c r="BX1037" s="95" t="n"/>
      <c r="BY1037" s="95" t="n"/>
      <c r="BZ1037" s="95" t="n"/>
      <c r="CA1037" s="95" t="n"/>
      <c r="CB1037" s="95" t="n"/>
      <c r="CC1037" s="95" t="n"/>
      <c r="CD1037" s="95" t="n"/>
      <c r="CE1037" s="95" t="n"/>
      <c r="CF1037" s="95" t="n"/>
      <c r="CG1037" s="155" t="n"/>
    </row>
    <row r="1038">
      <c r="A1038" s="253" t="n"/>
      <c r="B1038" s="93" t="n"/>
      <c r="C1038" s="989" t="n"/>
      <c r="D1038" s="989" t="n"/>
      <c r="E1038" s="93" t="n"/>
      <c r="F1038" s="93" t="n"/>
      <c r="G1038" s="93" t="n"/>
      <c r="H1038" s="93" t="n"/>
      <c r="I1038" s="93" t="n"/>
      <c r="J1038" s="93" t="n"/>
      <c r="K1038" s="93" t="n"/>
      <c r="L1038" s="93" t="n"/>
      <c r="M1038" s="93" t="n"/>
      <c r="N1038" s="93" t="n"/>
      <c r="O1038" s="93" t="n"/>
      <c r="P1038" s="93" t="n"/>
      <c r="Q1038" s="93" t="n"/>
      <c r="R1038" s="93" t="n"/>
      <c r="S1038" s="93" t="n"/>
      <c r="T1038" s="93" t="n"/>
      <c r="U1038" s="93" t="n"/>
      <c r="V1038" s="93" t="n"/>
      <c r="W1038" s="93" t="n"/>
      <c r="X1038" s="93" t="n"/>
      <c r="Y1038" s="93" t="n"/>
      <c r="Z1038" s="93" t="n"/>
      <c r="AA1038" s="93" t="n"/>
      <c r="AB1038" s="93" t="n"/>
      <c r="AC1038" s="93" t="n"/>
      <c r="AD1038" s="93" t="n"/>
      <c r="AE1038" s="93" t="n"/>
      <c r="AF1038" s="93" t="n"/>
      <c r="AG1038" s="93" t="n"/>
      <c r="AH1038" s="93" t="n"/>
      <c r="AI1038" s="93" t="n"/>
      <c r="AJ1038" s="93" t="n"/>
      <c r="AK1038" s="93" t="n"/>
      <c r="AL1038" s="93" t="n"/>
      <c r="AM1038" s="93" t="n"/>
      <c r="AN1038" s="93" t="n"/>
      <c r="AO1038" s="93" t="n"/>
      <c r="AP1038" s="93" t="n"/>
      <c r="AQ1038" s="93" t="n"/>
      <c r="AR1038" s="93" t="n"/>
      <c r="AS1038" s="93" t="n"/>
      <c r="AT1038" s="93" t="n"/>
      <c r="AU1038" s="93" t="n"/>
      <c r="AV1038" s="93" t="n"/>
      <c r="AW1038" s="93" t="n"/>
      <c r="AX1038" s="93" t="n"/>
      <c r="AY1038" s="93" t="n"/>
      <c r="AZ1038" s="93" t="n"/>
      <c r="BA1038" s="93" t="n"/>
      <c r="BB1038" s="93" t="n"/>
      <c r="BC1038" s="93" t="n"/>
      <c r="BD1038" s="93" t="n"/>
      <c r="BE1038" s="93" t="n"/>
      <c r="BF1038" s="93" t="n"/>
      <c r="BG1038" s="93" t="n"/>
      <c r="BH1038" s="93" t="n"/>
      <c r="BI1038" s="93" t="n"/>
      <c r="BJ1038" s="93" t="n"/>
      <c r="BK1038" s="93" t="n"/>
      <c r="BL1038" s="93" t="n"/>
      <c r="BM1038" s="93" t="n"/>
      <c r="BN1038" s="93" t="n"/>
      <c r="BO1038" s="93" t="n"/>
      <c r="BP1038" s="93" t="n"/>
      <c r="BQ1038" s="93" t="n"/>
      <c r="BR1038" s="93" t="n"/>
      <c r="BS1038" s="93" t="n"/>
      <c r="BT1038" s="93" t="n"/>
      <c r="BU1038" s="93" t="n"/>
      <c r="BV1038" s="522" t="n"/>
      <c r="BW1038" s="93" t="n"/>
      <c r="BX1038" s="93" t="n"/>
      <c r="BY1038" s="93" t="n"/>
      <c r="BZ1038" s="93" t="n"/>
      <c r="CA1038" s="93" t="n"/>
      <c r="CB1038" s="93" t="n"/>
      <c r="CC1038" s="93" t="n"/>
      <c r="CD1038" s="93" t="n"/>
      <c r="CE1038" s="93" t="n"/>
      <c r="CF1038" s="93" t="n"/>
      <c r="CG1038" s="155" t="n"/>
    </row>
    <row r="1039">
      <c r="A1039" s="551" t="inlineStr">
        <is>
          <t>Ticker Symbol</t>
        </is>
      </c>
      <c r="B1039" s="63" t="n"/>
      <c r="C1039" s="1002" t="n"/>
      <c r="D1039" s="1002" t="n"/>
      <c r="E1039" s="63" t="n"/>
      <c r="F1039" s="63" t="n"/>
      <c r="G1039" s="63" t="n"/>
      <c r="H1039" s="63" t="n"/>
      <c r="I1039" s="63" t="n"/>
      <c r="J1039" s="63" t="n"/>
      <c r="K1039" s="63" t="n"/>
      <c r="L1039" s="63" t="n"/>
      <c r="M1039" s="63" t="n"/>
      <c r="N1039" s="63" t="n"/>
      <c r="O1039" s="63" t="n"/>
      <c r="P1039" s="63" t="n"/>
      <c r="Q1039" s="63" t="n"/>
      <c r="R1039" s="63" t="n"/>
      <c r="S1039" s="63" t="n"/>
      <c r="T1039" s="63" t="n"/>
      <c r="U1039" s="63" t="n"/>
      <c r="V1039" s="63" t="n"/>
      <c r="W1039" s="63" t="n"/>
      <c r="X1039" s="63" t="n"/>
      <c r="Y1039" s="63" t="n"/>
      <c r="Z1039" s="63" t="n"/>
      <c r="AA1039" s="63" t="n"/>
      <c r="AB1039" s="63" t="n"/>
      <c r="AC1039" s="63" t="n"/>
      <c r="AD1039" s="63" t="n"/>
      <c r="AE1039" s="63" t="n"/>
      <c r="AF1039" s="63" t="n"/>
      <c r="AG1039" s="63" t="n"/>
      <c r="AH1039" s="63" t="n"/>
      <c r="AI1039" s="63" t="n"/>
      <c r="AJ1039" s="63" t="n"/>
      <c r="AK1039" s="63" t="n"/>
      <c r="AL1039" s="63" t="n"/>
      <c r="AM1039" s="63" t="n"/>
      <c r="AN1039" s="63" t="n"/>
      <c r="AO1039" s="63" t="n"/>
      <c r="AP1039" s="63" t="n"/>
      <c r="AQ1039" s="63" t="n"/>
      <c r="AR1039" s="63" t="n"/>
      <c r="AS1039" s="63" t="n"/>
      <c r="AT1039" s="63" t="n"/>
      <c r="AU1039" s="63" t="n"/>
      <c r="AV1039" s="63" t="n"/>
      <c r="AW1039" s="63" t="n"/>
      <c r="AX1039" s="63" t="n"/>
      <c r="AY1039" s="63" t="n"/>
      <c r="AZ1039" s="63" t="n"/>
      <c r="BA1039" s="63" t="n"/>
      <c r="BB1039" s="63" t="n"/>
      <c r="BC1039" s="63" t="n"/>
      <c r="BD1039" s="63" t="n"/>
      <c r="BE1039" s="63" t="n"/>
      <c r="BF1039" s="63" t="n"/>
      <c r="BG1039" s="63" t="n"/>
      <c r="BH1039" s="63" t="n"/>
      <c r="BI1039" s="63" t="n"/>
      <c r="BJ1039" s="63" t="n"/>
      <c r="BK1039" s="63" t="n"/>
      <c r="BL1039" s="63" t="n"/>
      <c r="BM1039" s="63" t="n"/>
      <c r="BN1039" s="63" t="n"/>
      <c r="BO1039" s="63" t="n"/>
      <c r="BP1039" s="63" t="n"/>
      <c r="BQ1039" s="63" t="n"/>
      <c r="BR1039" s="63" t="n"/>
      <c r="BS1039" s="63" t="n"/>
      <c r="BT1039" s="63" t="n"/>
      <c r="BU1039" s="63" t="n"/>
      <c r="BV1039" s="587" t="n"/>
      <c r="BW1039" s="63" t="n"/>
      <c r="BX1039" s="63" t="n"/>
      <c r="BY1039" s="63" t="n"/>
      <c r="BZ1039" s="63" t="n"/>
      <c r="CA1039" s="63" t="n"/>
      <c r="CB1039" s="63" t="n"/>
      <c r="CC1039" s="63" t="n"/>
      <c r="CD1039" s="63" t="n"/>
      <c r="CE1039" s="63" t="n"/>
      <c r="CF1039" s="63" t="n"/>
      <c r="CG1039" s="155" t="n"/>
    </row>
    <row r="1040">
      <c r="A1040" s="1434" t="inlineStr">
        <is>
          <t>NVDA_US</t>
        </is>
      </c>
      <c r="B1040" s="68" t="n"/>
      <c r="C1040" s="1003" t="n"/>
      <c r="D1040" s="1003" t="n"/>
      <c r="E1040" s="68" t="n"/>
      <c r="F1040" s="68" t="n"/>
      <c r="G1040" s="68" t="n"/>
      <c r="H1040" s="68" t="n"/>
      <c r="I1040" s="68" t="n"/>
      <c r="J1040" s="68" t="n"/>
      <c r="K1040" s="68" t="n"/>
      <c r="L1040" s="68" t="n"/>
      <c r="M1040" s="68" t="n"/>
      <c r="N1040" s="68" t="n"/>
      <c r="O1040" s="68" t="n"/>
      <c r="P1040" s="68" t="n"/>
      <c r="Q1040" s="68" t="n"/>
      <c r="R1040" s="68" t="n"/>
      <c r="S1040" s="68" t="n"/>
      <c r="T1040" s="68" t="n"/>
      <c r="U1040" s="68" t="n"/>
      <c r="V1040" s="68" t="n"/>
      <c r="W1040" s="68" t="n"/>
      <c r="X1040" s="68" t="n"/>
      <c r="Y1040" s="68" t="n"/>
      <c r="Z1040" s="68" t="n"/>
      <c r="AA1040" s="68" t="n"/>
      <c r="AB1040" s="68" t="n"/>
      <c r="AC1040" s="68" t="n"/>
      <c r="AD1040" s="68" t="n"/>
      <c r="AE1040" s="68" t="n"/>
      <c r="AF1040" s="68" t="n"/>
      <c r="AG1040" s="68" t="n"/>
      <c r="AH1040" s="68" t="n"/>
      <c r="AI1040" s="68" t="n"/>
      <c r="AJ1040" s="68" t="n"/>
      <c r="AK1040" s="68" t="n"/>
      <c r="AL1040" s="68" t="n"/>
      <c r="AM1040" s="68" t="n"/>
      <c r="AN1040" s="68" t="n"/>
      <c r="AO1040" s="68" t="n"/>
      <c r="AP1040" s="68" t="n"/>
      <c r="AQ1040" s="68" t="n"/>
      <c r="AR1040" s="68" t="n"/>
      <c r="AS1040" s="68" t="n"/>
      <c r="AT1040" s="68" t="n"/>
      <c r="AU1040" s="68" t="n"/>
      <c r="AV1040" s="68" t="n"/>
      <c r="AW1040" s="68" t="n"/>
      <c r="AX1040" s="68" t="n"/>
      <c r="AY1040" s="68" t="n"/>
      <c r="AZ1040" s="68" t="n"/>
      <c r="BA1040" s="68" t="n"/>
      <c r="BB1040" s="68" t="n"/>
      <c r="BC1040" s="68" t="n"/>
      <c r="BD1040" s="68" t="n"/>
      <c r="BE1040" s="68" t="n"/>
      <c r="BF1040" s="68" t="n"/>
      <c r="BG1040" s="68" t="n"/>
      <c r="BH1040" s="68" t="n"/>
      <c r="BI1040" s="68" t="n"/>
      <c r="BJ1040" s="68" t="n"/>
      <c r="BK1040" s="68" t="n"/>
      <c r="BL1040" s="68" t="n"/>
      <c r="BM1040" s="68" t="n"/>
      <c r="BN1040" s="68" t="n"/>
      <c r="BO1040" s="68" t="n"/>
      <c r="BP1040" s="68" t="n"/>
      <c r="BQ1040" s="68" t="n"/>
      <c r="BR1040" s="68" t="n"/>
      <c r="BS1040" s="68" t="n"/>
      <c r="BT1040" s="68" t="n"/>
      <c r="BU1040" s="68" t="n"/>
      <c r="BV1040" s="588" t="n"/>
      <c r="BW1040" s="68" t="n"/>
      <c r="BX1040" s="68" t="n"/>
      <c r="BY1040" s="68" t="n"/>
      <c r="BZ1040" s="68" t="n"/>
      <c r="CA1040" s="68" t="n"/>
      <c r="CB1040" s="68" t="n"/>
      <c r="CC1040" s="68" t="n"/>
      <c r="CD1040" s="68" t="n"/>
      <c r="CE1040" s="68" t="n"/>
      <c r="CF1040" s="68" t="n"/>
      <c r="CG1040" s="155" t="n"/>
    </row>
    <row r="1041">
      <c r="A1041" s="1435" t="inlineStr">
        <is>
          <t>NVDA US</t>
        </is>
      </c>
      <c r="B1041" s="68" t="n"/>
      <c r="C1041" s="1003" t="n"/>
      <c r="D1041" s="1003" t="n"/>
      <c r="E1041" s="68" t="n"/>
      <c r="F1041" s="68" t="n"/>
      <c r="G1041" s="68" t="n"/>
      <c r="H1041" s="68" t="n"/>
      <c r="I1041" s="68" t="n"/>
      <c r="J1041" s="68" t="n"/>
      <c r="K1041" s="68" t="n"/>
      <c r="L1041" s="68" t="n"/>
      <c r="M1041" s="68" t="n"/>
      <c r="N1041" s="68" t="n"/>
      <c r="O1041" s="68" t="n"/>
      <c r="P1041" s="68" t="n"/>
      <c r="Q1041" s="68" t="n"/>
      <c r="R1041" s="68" t="n"/>
      <c r="S1041" s="68" t="n"/>
      <c r="T1041" s="68" t="n"/>
      <c r="U1041" s="68" t="n"/>
      <c r="V1041" s="68" t="n"/>
      <c r="W1041" s="68" t="n"/>
      <c r="X1041" s="68" t="n"/>
      <c r="Y1041" s="68" t="n"/>
      <c r="Z1041" s="68" t="n"/>
      <c r="AA1041" s="68" t="n"/>
      <c r="AB1041" s="68" t="n"/>
      <c r="AC1041" s="68" t="n"/>
      <c r="AD1041" s="68" t="n"/>
      <c r="AE1041" s="68" t="n"/>
      <c r="AF1041" s="68" t="n"/>
      <c r="AG1041" s="68" t="n"/>
      <c r="AH1041" s="68" t="n"/>
      <c r="AI1041" s="68" t="n"/>
      <c r="AJ1041" s="68" t="n"/>
      <c r="AK1041" s="68" t="n"/>
      <c r="AL1041" s="68" t="n"/>
      <c r="AM1041" s="68" t="n"/>
      <c r="AN1041" s="68" t="n"/>
      <c r="AO1041" s="68" t="n"/>
      <c r="AP1041" s="68" t="n"/>
      <c r="AQ1041" s="68" t="n"/>
      <c r="AR1041" s="68" t="n"/>
      <c r="AS1041" s="68" t="n"/>
      <c r="AT1041" s="68" t="n"/>
      <c r="AU1041" s="68" t="n"/>
      <c r="AV1041" s="68" t="n"/>
      <c r="AW1041" s="68" t="n"/>
      <c r="AX1041" s="68" t="n"/>
      <c r="AY1041" s="68" t="n"/>
      <c r="AZ1041" s="68" t="n"/>
      <c r="BA1041" s="68" t="n"/>
      <c r="BB1041" s="68" t="n"/>
      <c r="BC1041" s="68" t="n"/>
      <c r="BD1041" s="68" t="n"/>
      <c r="BE1041" s="68" t="n"/>
      <c r="BF1041" s="68" t="n"/>
      <c r="BG1041" s="68" t="n"/>
      <c r="BH1041" s="68" t="n"/>
      <c r="BI1041" s="68" t="n"/>
      <c r="BJ1041" s="68" t="n"/>
      <c r="BK1041" s="68" t="n"/>
      <c r="BL1041" s="68" t="n"/>
      <c r="BM1041" s="68" t="n"/>
      <c r="BN1041" s="68" t="n"/>
      <c r="BO1041" s="68" t="n"/>
      <c r="BP1041" s="68" t="n"/>
      <c r="BQ1041" s="68" t="n"/>
      <c r="BR1041" s="68" t="n"/>
      <c r="BS1041" s="68" t="n"/>
      <c r="BT1041" s="68" t="n"/>
      <c r="BU1041" s="68" t="n"/>
      <c r="BV1041" s="588" t="n"/>
      <c r="BW1041" s="68" t="n"/>
      <c r="BX1041" s="68" t="n"/>
      <c r="BY1041" s="68" t="n"/>
      <c r="BZ1041" s="68" t="n"/>
      <c r="CA1041" s="68" t="n"/>
      <c r="CB1041" s="68" t="n"/>
      <c r="CC1041" s="68" t="n"/>
      <c r="CD1041" s="68" t="n"/>
      <c r="CE1041" s="68" t="n"/>
      <c r="CF1041" s="68" t="n"/>
      <c r="CG1041" s="155" t="n"/>
    </row>
    <row r="1042">
      <c r="A1042" s="1436" t="inlineStr">
        <is>
          <t>NASDAQ:NVDA</t>
        </is>
      </c>
      <c r="B1042" s="68" t="n"/>
      <c r="C1042" s="1003" t="n"/>
      <c r="D1042" s="1003" t="n"/>
      <c r="E1042" s="68" t="n"/>
      <c r="F1042" s="68" t="n"/>
      <c r="G1042" s="68" t="n"/>
      <c r="H1042" s="68" t="n"/>
      <c r="I1042" s="68" t="n"/>
      <c r="J1042" s="68" t="n"/>
      <c r="K1042" s="68" t="n"/>
      <c r="L1042" s="68" t="n"/>
      <c r="M1042" s="68" t="n"/>
      <c r="N1042" s="68" t="n"/>
      <c r="O1042" s="68" t="n"/>
      <c r="P1042" s="68" t="n"/>
      <c r="Q1042" s="68" t="n"/>
      <c r="R1042" s="68" t="n"/>
      <c r="S1042" s="68" t="n"/>
      <c r="T1042" s="68" t="n"/>
      <c r="U1042" s="68" t="n"/>
      <c r="V1042" s="68" t="n"/>
      <c r="W1042" s="68" t="n"/>
      <c r="X1042" s="68" t="n"/>
      <c r="Y1042" s="68" t="n"/>
      <c r="Z1042" s="68" t="n"/>
      <c r="AA1042" s="68" t="n"/>
      <c r="AB1042" s="68" t="n"/>
      <c r="AC1042" s="68" t="n"/>
      <c r="AD1042" s="68" t="n"/>
      <c r="AE1042" s="68" t="n"/>
      <c r="AF1042" s="68" t="n"/>
      <c r="AG1042" s="68" t="n"/>
      <c r="AH1042" s="68" t="n"/>
      <c r="AI1042" s="68" t="n"/>
      <c r="AJ1042" s="68" t="n"/>
      <c r="AK1042" s="68" t="n"/>
      <c r="AL1042" s="68" t="n"/>
      <c r="AM1042" s="68" t="n"/>
      <c r="AN1042" s="68" t="n"/>
      <c r="AO1042" s="68" t="n"/>
      <c r="AP1042" s="68" t="n"/>
      <c r="AQ1042" s="68" t="n"/>
      <c r="AR1042" s="68" t="n"/>
      <c r="AS1042" s="68" t="n"/>
      <c r="AT1042" s="68" t="n"/>
      <c r="AU1042" s="68" t="n"/>
      <c r="AV1042" s="68" t="n"/>
      <c r="AW1042" s="68" t="n"/>
      <c r="AX1042" s="68" t="n"/>
      <c r="AY1042" s="68" t="n"/>
      <c r="AZ1042" s="68" t="n"/>
      <c r="BA1042" s="68" t="n"/>
      <c r="BB1042" s="68" t="n"/>
      <c r="BC1042" s="68" t="n"/>
      <c r="BD1042" s="68" t="n"/>
      <c r="BE1042" s="68" t="n"/>
      <c r="BF1042" s="68" t="n"/>
      <c r="BG1042" s="68" t="n"/>
      <c r="BH1042" s="68" t="n"/>
      <c r="BI1042" s="68" t="n"/>
      <c r="BJ1042" s="68" t="n"/>
      <c r="BK1042" s="68" t="n"/>
      <c r="BL1042" s="68" t="n"/>
      <c r="BM1042" s="68" t="n"/>
      <c r="BN1042" s="68" t="n"/>
      <c r="BO1042" s="68" t="n"/>
      <c r="BP1042" s="68" t="n"/>
      <c r="BQ1042" s="68" t="n"/>
      <c r="BR1042" s="68" t="n"/>
      <c r="BS1042" s="68" t="n"/>
      <c r="BT1042" s="68" t="n"/>
      <c r="BU1042" s="68" t="n"/>
      <c r="BV1042" s="588" t="n"/>
      <c r="BW1042" s="68" t="n"/>
      <c r="BX1042" s="68" t="n"/>
      <c r="BY1042" s="68" t="n"/>
      <c r="BZ1042" s="68" t="n"/>
      <c r="CA1042" s="68" t="n"/>
      <c r="CB1042" s="68" t="n"/>
      <c r="CC1042" s="68" t="n"/>
      <c r="CD1042" s="68" t="n"/>
      <c r="CE1042" s="68" t="n"/>
      <c r="CF1042" s="68" t="n"/>
      <c r="CG1042" s="155" t="n"/>
    </row>
    <row r="1043">
      <c r="A1043" s="1437" t="inlineStr">
        <is>
          <t>NVDA-US</t>
        </is>
      </c>
      <c r="B1043" s="68" t="n"/>
      <c r="C1043" s="1003" t="n"/>
      <c r="D1043" s="1003" t="n"/>
      <c r="E1043" s="68" t="n"/>
      <c r="F1043" s="68" t="n"/>
      <c r="G1043" s="68" t="n"/>
      <c r="H1043" s="68" t="n"/>
      <c r="I1043" s="68" t="n"/>
      <c r="J1043" s="68" t="n"/>
      <c r="K1043" s="68" t="n"/>
      <c r="L1043" s="68" t="n"/>
      <c r="M1043" s="68" t="n"/>
      <c r="N1043" s="68" t="n"/>
      <c r="O1043" s="68" t="n"/>
      <c r="P1043" s="68" t="n"/>
      <c r="Q1043" s="68" t="n"/>
      <c r="R1043" s="68" t="n"/>
      <c r="S1043" s="68" t="n"/>
      <c r="T1043" s="68" t="n"/>
      <c r="U1043" s="68" t="n"/>
      <c r="V1043" s="68" t="n"/>
      <c r="W1043" s="68" t="n"/>
      <c r="X1043" s="68" t="n"/>
      <c r="Y1043" s="68" t="n"/>
      <c r="Z1043" s="68" t="n"/>
      <c r="AA1043" s="68" t="n"/>
      <c r="AB1043" s="68" t="n"/>
      <c r="AC1043" s="68" t="n"/>
      <c r="AD1043" s="68" t="n"/>
      <c r="AE1043" s="68" t="n"/>
      <c r="AF1043" s="68" t="n"/>
      <c r="AG1043" s="68" t="n"/>
      <c r="AH1043" s="68" t="n"/>
      <c r="AI1043" s="68" t="n"/>
      <c r="AJ1043" s="68" t="n"/>
      <c r="AK1043" s="68" t="n"/>
      <c r="AL1043" s="68" t="n"/>
      <c r="AM1043" s="68" t="n"/>
      <c r="AN1043" s="68" t="n"/>
      <c r="AO1043" s="68" t="n"/>
      <c r="AP1043" s="68" t="n"/>
      <c r="AQ1043" s="68" t="n"/>
      <c r="AR1043" s="68" t="n"/>
      <c r="AS1043" s="68" t="n"/>
      <c r="AT1043" s="68" t="n"/>
      <c r="AU1043" s="68" t="n"/>
      <c r="AV1043" s="68" t="n"/>
      <c r="AW1043" s="68" t="n"/>
      <c r="AX1043" s="68" t="n"/>
      <c r="AY1043" s="68" t="n"/>
      <c r="AZ1043" s="68" t="n"/>
      <c r="BA1043" s="68" t="n"/>
      <c r="BB1043" s="68" t="n"/>
      <c r="BC1043" s="68" t="n"/>
      <c r="BD1043" s="68" t="n"/>
      <c r="BE1043" s="68" t="n"/>
      <c r="BF1043" s="68" t="n"/>
      <c r="BG1043" s="68" t="n"/>
      <c r="BH1043" s="68" t="n"/>
      <c r="BI1043" s="68" t="n"/>
      <c r="BJ1043" s="68" t="n"/>
      <c r="BK1043" s="68" t="n"/>
      <c r="BL1043" s="68" t="n"/>
      <c r="BM1043" s="68" t="n"/>
      <c r="BN1043" s="68" t="n"/>
      <c r="BO1043" s="68" t="n"/>
      <c r="BP1043" s="68" t="n"/>
      <c r="BQ1043" s="68" t="n"/>
      <c r="BR1043" s="68" t="n"/>
      <c r="BS1043" s="68" t="n"/>
      <c r="BT1043" s="68" t="n"/>
      <c r="BU1043" s="68" t="n"/>
      <c r="BV1043" s="588" t="n"/>
      <c r="BW1043" s="68" t="n"/>
      <c r="BX1043" s="68" t="n"/>
      <c r="BY1043" s="68" t="n"/>
      <c r="BZ1043" s="68" t="n"/>
      <c r="CA1043" s="68" t="n"/>
      <c r="CB1043" s="68" t="n"/>
      <c r="CC1043" s="68" t="n"/>
      <c r="CD1043" s="68" t="n"/>
      <c r="CE1043" s="68" t="n"/>
      <c r="CF1043" s="68" t="n"/>
      <c r="CG1043" s="155" t="n"/>
    </row>
    <row r="1044">
      <c r="A1044" s="1438" t="inlineStr">
        <is>
          <t>NVDA.OQ</t>
        </is>
      </c>
      <c r="B1044" s="68" t="n"/>
      <c r="C1044" s="1003" t="n"/>
      <c r="D1044" s="1003" t="n"/>
      <c r="E1044" s="68" t="n"/>
      <c r="F1044" s="68" t="n"/>
      <c r="G1044" s="68" t="n"/>
      <c r="H1044" s="68" t="n"/>
      <c r="I1044" s="68" t="n"/>
      <c r="J1044" s="68" t="n"/>
      <c r="K1044" s="68" t="n"/>
      <c r="L1044" s="68" t="n"/>
      <c r="M1044" s="68" t="n"/>
      <c r="N1044" s="68" t="n"/>
      <c r="O1044" s="68" t="n"/>
      <c r="P1044" s="68" t="n"/>
      <c r="Q1044" s="68" t="n"/>
      <c r="R1044" s="68" t="n"/>
      <c r="S1044" s="68" t="n"/>
      <c r="T1044" s="68" t="n"/>
      <c r="U1044" s="68" t="n"/>
      <c r="V1044" s="68" t="n"/>
      <c r="W1044" s="68" t="n"/>
      <c r="X1044" s="68" t="n"/>
      <c r="Y1044" s="68" t="n"/>
      <c r="Z1044" s="68" t="n"/>
      <c r="AA1044" s="68" t="n"/>
      <c r="AB1044" s="68" t="n"/>
      <c r="AC1044" s="68" t="n"/>
      <c r="AD1044" s="68" t="n"/>
      <c r="AE1044" s="68" t="n"/>
      <c r="AF1044" s="68" t="n"/>
      <c r="AG1044" s="68" t="n"/>
      <c r="AH1044" s="68" t="n"/>
      <c r="AI1044" s="68" t="n"/>
      <c r="AJ1044" s="68" t="n"/>
      <c r="AK1044" s="68" t="n"/>
      <c r="AL1044" s="68" t="n"/>
      <c r="AM1044" s="68" t="n"/>
      <c r="AN1044" s="68" t="n"/>
      <c r="AO1044" s="68" t="n"/>
      <c r="AP1044" s="68" t="n"/>
      <c r="AQ1044" s="68" t="n"/>
      <c r="AR1044" s="68" t="n"/>
      <c r="AS1044" s="68" t="n"/>
      <c r="AT1044" s="68" t="n"/>
      <c r="AU1044" s="68" t="n"/>
      <c r="AV1044" s="68" t="n"/>
      <c r="AW1044" s="68" t="n"/>
      <c r="AX1044" s="68" t="n"/>
      <c r="AY1044" s="68" t="n"/>
      <c r="AZ1044" s="68" t="n"/>
      <c r="BA1044" s="68" t="n"/>
      <c r="BB1044" s="68" t="n"/>
      <c r="BC1044" s="68" t="n"/>
      <c r="BD1044" s="68" t="n"/>
      <c r="BE1044" s="68" t="n"/>
      <c r="BF1044" s="68" t="n"/>
      <c r="BG1044" s="68" t="n"/>
      <c r="BH1044" s="68" t="n"/>
      <c r="BI1044" s="68" t="n"/>
      <c r="BJ1044" s="68" t="n"/>
      <c r="BK1044" s="68" t="n"/>
      <c r="BL1044" s="68" t="n"/>
      <c r="BM1044" s="68" t="n"/>
      <c r="BN1044" s="68" t="n"/>
      <c r="BO1044" s="68" t="n"/>
      <c r="BP1044" s="68" t="n"/>
      <c r="BQ1044" s="68" t="n"/>
      <c r="BR1044" s="68" t="n"/>
      <c r="BS1044" s="68" t="n"/>
      <c r="BT1044" s="68" t="n"/>
      <c r="BU1044" s="68" t="n"/>
      <c r="BV1044" s="588" t="n"/>
      <c r="BW1044" s="68" t="n"/>
      <c r="BX1044" s="68" t="n"/>
      <c r="BY1044" s="68" t="n"/>
      <c r="BZ1044" s="68" t="n"/>
      <c r="CA1044" s="68" t="n"/>
      <c r="CB1044" s="68" t="n"/>
      <c r="CC1044" s="68" t="n"/>
      <c r="CD1044" s="68" t="n"/>
      <c r="CE1044" s="68" t="n"/>
      <c r="CF1044" s="68" t="n"/>
      <c r="CG1044" s="155" t="n"/>
    </row>
    <row r="1045">
      <c r="A1045" s="253" t="n"/>
      <c r="B1045" s="68" t="n"/>
      <c r="C1045" s="1003" t="n"/>
      <c r="D1045" s="1003" t="n"/>
      <c r="E1045" s="68" t="n"/>
      <c r="F1045" s="68" t="n"/>
      <c r="G1045" s="68" t="n"/>
      <c r="H1045" s="68" t="n"/>
      <c r="I1045" s="68" t="n"/>
      <c r="J1045" s="68" t="n"/>
      <c r="K1045" s="68" t="n"/>
      <c r="L1045" s="68" t="n"/>
      <c r="M1045" s="68" t="n"/>
      <c r="N1045" s="68" t="n"/>
      <c r="O1045" s="68" t="n"/>
      <c r="P1045" s="68" t="n"/>
      <c r="Q1045" s="68" t="n"/>
      <c r="R1045" s="68" t="n"/>
      <c r="S1045" s="68" t="n"/>
      <c r="T1045" s="68" t="n"/>
      <c r="U1045" s="68" t="n"/>
      <c r="V1045" s="68" t="n"/>
      <c r="W1045" s="68" t="n"/>
      <c r="X1045" s="68" t="n"/>
      <c r="Y1045" s="68" t="n"/>
      <c r="Z1045" s="68" t="n"/>
      <c r="AA1045" s="68" t="n"/>
      <c r="AB1045" s="68" t="n"/>
      <c r="AC1045" s="68" t="n"/>
      <c r="AD1045" s="68" t="n"/>
      <c r="AE1045" s="68" t="n"/>
      <c r="AF1045" s="68" t="n"/>
      <c r="AG1045" s="68" t="n"/>
      <c r="AH1045" s="68" t="n"/>
      <c r="AI1045" s="68" t="n"/>
      <c r="AJ1045" s="68" t="n"/>
      <c r="AK1045" s="68" t="n"/>
      <c r="AL1045" s="68" t="n"/>
      <c r="AM1045" s="68" t="n"/>
      <c r="AN1045" s="68" t="n"/>
      <c r="AO1045" s="68" t="n"/>
      <c r="AP1045" s="68" t="n"/>
      <c r="AQ1045" s="68" t="n"/>
      <c r="AR1045" s="68" t="n"/>
      <c r="AS1045" s="68" t="n"/>
      <c r="AT1045" s="68" t="n"/>
      <c r="AU1045" s="68" t="n"/>
      <c r="AV1045" s="68" t="n"/>
      <c r="AW1045" s="68" t="n"/>
      <c r="AX1045" s="68" t="n"/>
      <c r="AY1045" s="68" t="n"/>
      <c r="AZ1045" s="68" t="n"/>
      <c r="BA1045" s="68" t="n"/>
      <c r="BB1045" s="68" t="n"/>
      <c r="BC1045" s="68" t="n"/>
      <c r="BD1045" s="68" t="n"/>
      <c r="BE1045" s="68" t="n"/>
      <c r="BF1045" s="68" t="n"/>
      <c r="BG1045" s="68" t="n"/>
      <c r="BH1045" s="68" t="n"/>
      <c r="BI1045" s="68" t="n"/>
      <c r="BJ1045" s="68" t="n"/>
      <c r="BK1045" s="68" t="n"/>
      <c r="BL1045" s="68" t="n"/>
      <c r="BM1045" s="68" t="n"/>
      <c r="BN1045" s="68" t="n"/>
      <c r="BO1045" s="68" t="n"/>
      <c r="BP1045" s="68" t="n"/>
      <c r="BQ1045" s="68" t="n"/>
      <c r="BR1045" s="68" t="n"/>
      <c r="BS1045" s="68" t="n"/>
      <c r="BT1045" s="68" t="n"/>
      <c r="BU1045" s="68" t="n"/>
      <c r="BV1045" s="588" t="n"/>
      <c r="BW1045" s="68" t="n"/>
      <c r="BX1045" s="68" t="n"/>
      <c r="BY1045" s="68" t="n"/>
      <c r="BZ1045" s="68" t="n"/>
      <c r="CA1045" s="68" t="n"/>
      <c r="CB1045" s="68" t="n"/>
      <c r="CC1045" s="68" t="n"/>
      <c r="CD1045" s="68" t="n"/>
      <c r="CE1045" s="68" t="n"/>
      <c r="CF1045" s="68" t="n"/>
      <c r="CG1045" s="155" t="n"/>
    </row>
    <row r="1046">
      <c r="A1046" s="556" t="inlineStr">
        <is>
          <t>Valuation Toggle Table</t>
        </is>
      </c>
      <c r="B1046" s="555" t="n"/>
      <c r="C1046" s="627" t="n"/>
      <c r="D1046" s="627" t="n"/>
      <c r="E1046" s="627" t="n"/>
      <c r="F1046" s="627" t="n"/>
      <c r="G1046" s="627" t="n"/>
      <c r="H1046" s="627" t="n"/>
      <c r="I1046" s="627" t="n"/>
      <c r="J1046" s="627" t="n"/>
      <c r="K1046" s="627" t="n"/>
      <c r="L1046" s="627" t="n"/>
      <c r="M1046" s="627" t="n"/>
      <c r="N1046" s="627" t="n"/>
      <c r="O1046" s="627" t="n"/>
      <c r="P1046" s="627" t="n"/>
      <c r="Q1046" s="627" t="n"/>
      <c r="R1046" s="627" t="n"/>
      <c r="S1046" s="627" t="n"/>
      <c r="T1046" s="627" t="n"/>
      <c r="U1046" s="627" t="n"/>
      <c r="V1046" s="627" t="n"/>
      <c r="W1046" s="627" t="n"/>
      <c r="X1046" s="627" t="n"/>
      <c r="Y1046" s="627" t="n"/>
      <c r="Z1046" s="627" t="n"/>
      <c r="AA1046" s="627" t="n"/>
      <c r="AB1046" s="627" t="n"/>
      <c r="AC1046" s="627" t="n"/>
      <c r="AD1046" s="627" t="n"/>
      <c r="AE1046" s="627" t="n"/>
      <c r="AF1046" s="627" t="n"/>
      <c r="AG1046" s="627" t="n"/>
      <c r="AH1046" s="627" t="n"/>
      <c r="AI1046" s="627" t="n"/>
      <c r="AJ1046" s="627" t="n"/>
      <c r="AK1046" s="627" t="n"/>
      <c r="AL1046" s="627" t="n"/>
      <c r="AM1046" s="627" t="n"/>
      <c r="AN1046" s="627" t="n"/>
      <c r="AO1046" s="627" t="n"/>
      <c r="AP1046" s="627" t="n"/>
      <c r="AQ1046" s="627" t="n"/>
      <c r="AR1046" s="627" t="n"/>
      <c r="AS1046" s="627" t="n"/>
      <c r="AT1046" s="627" t="n"/>
      <c r="AU1046" s="627" t="n"/>
      <c r="AV1046" s="627" t="n"/>
      <c r="AW1046" s="627" t="n"/>
      <c r="AX1046" s="627" t="n"/>
      <c r="AY1046" s="627" t="n"/>
      <c r="AZ1046" s="627" t="n"/>
      <c r="BA1046" s="627" t="n"/>
      <c r="BB1046" s="627" t="n"/>
      <c r="BC1046" s="627" t="n"/>
      <c r="BD1046" s="627" t="n"/>
      <c r="BE1046" s="627" t="n"/>
      <c r="BF1046" s="627" t="n"/>
      <c r="BG1046" s="627" t="n"/>
      <c r="BH1046" s="627" t="n"/>
      <c r="BI1046" s="627" t="n"/>
      <c r="BJ1046" s="627" t="n"/>
      <c r="BK1046" s="627" t="n"/>
      <c r="BL1046" s="627" t="n"/>
      <c r="BM1046" s="627" t="n"/>
      <c r="BN1046" s="627" t="n"/>
      <c r="BO1046" s="627" t="n"/>
      <c r="BP1046" s="627" t="n"/>
      <c r="BQ1046" s="627" t="n"/>
      <c r="BR1046" s="627" t="n"/>
      <c r="BS1046" s="627" t="n"/>
      <c r="BT1046" s="627" t="n"/>
      <c r="BU1046" s="627" t="n"/>
      <c r="BV1046" s="628" t="n"/>
      <c r="BW1046" s="627" t="n"/>
      <c r="BX1046" s="627" t="n"/>
      <c r="BY1046" s="627" t="n"/>
      <c r="BZ1046" s="627" t="n"/>
      <c r="CA1046" s="627" t="n"/>
      <c r="CB1046" s="627" t="n"/>
      <c r="CC1046" s="627" t="n"/>
      <c r="CD1046" s="627" t="n"/>
      <c r="CE1046" s="627" t="n"/>
      <c r="CF1046" s="627" t="n"/>
      <c r="CG1046" s="155" t="n"/>
    </row>
    <row r="1047">
      <c r="A1047" s="549" t="inlineStr">
        <is>
          <t>High</t>
        </is>
      </c>
      <c r="B1047" s="1089" t="n">
        <v>1</v>
      </c>
      <c r="C1047" s="68" t="n"/>
      <c r="D1047" s="1003" t="n"/>
      <c r="E1047" s="68" t="n"/>
      <c r="F1047" s="68" t="n"/>
      <c r="G1047" s="68" t="n"/>
      <c r="H1047" s="68" t="n"/>
      <c r="I1047" s="68" t="n"/>
      <c r="J1047" s="68" t="n"/>
      <c r="K1047" s="68" t="n"/>
      <c r="L1047" s="68" t="n"/>
      <c r="M1047" s="68" t="n"/>
      <c r="N1047" s="68" t="n"/>
      <c r="O1047" s="68" t="n"/>
      <c r="P1047" s="68" t="n"/>
      <c r="Q1047" s="68" t="n"/>
      <c r="R1047" s="68" t="n"/>
      <c r="S1047" s="68" t="n"/>
      <c r="T1047" s="68" t="n"/>
      <c r="U1047" s="68" t="n"/>
      <c r="V1047" s="68" t="n"/>
      <c r="W1047" s="68" t="n"/>
      <c r="X1047" s="68" t="n"/>
      <c r="Y1047" s="68" t="n"/>
      <c r="Z1047" s="68" t="n"/>
      <c r="AA1047" s="68" t="n"/>
      <c r="AB1047" s="68" t="n"/>
      <c r="AC1047" s="68" t="n"/>
      <c r="AD1047" s="68" t="n"/>
      <c r="AE1047" s="68" t="n"/>
      <c r="AF1047" s="68" t="n"/>
      <c r="AG1047" s="68" t="n"/>
      <c r="AH1047" s="68" t="n"/>
      <c r="AI1047" s="68" t="n"/>
      <c r="AJ1047" s="68" t="n"/>
      <c r="AK1047" s="68" t="n"/>
      <c r="AL1047" s="68" t="n"/>
      <c r="AM1047" s="68" t="n"/>
      <c r="AN1047" s="68" t="n"/>
      <c r="AO1047" s="68" t="n"/>
      <c r="AP1047" s="68" t="n"/>
      <c r="AQ1047" s="68" t="n"/>
      <c r="AR1047" s="68" t="n"/>
      <c r="AS1047" s="68" t="n"/>
      <c r="AT1047" s="68" t="n"/>
      <c r="AU1047" s="68" t="n"/>
      <c r="AV1047" s="68" t="n"/>
      <c r="AW1047" s="68" t="n"/>
      <c r="AX1047" s="68" t="n"/>
      <c r="AY1047" s="68" t="n"/>
      <c r="AZ1047" s="68" t="n"/>
      <c r="BA1047" s="68" t="n"/>
      <c r="BB1047" s="68" t="n"/>
      <c r="BC1047" s="68" t="n"/>
      <c r="BD1047" s="68" t="n"/>
      <c r="BE1047" s="68" t="n"/>
      <c r="BF1047" s="68" t="n"/>
      <c r="BG1047" s="68" t="n"/>
      <c r="BH1047" s="68" t="n"/>
      <c r="BI1047" s="68" t="n"/>
      <c r="BJ1047" s="68" t="n"/>
      <c r="BK1047" s="68" t="n"/>
      <c r="BL1047" s="68" t="n"/>
      <c r="BM1047" s="68" t="n"/>
      <c r="BN1047" s="68" t="n"/>
      <c r="BO1047" s="68" t="n"/>
      <c r="BP1047" s="68" t="n"/>
      <c r="BQ1047" s="68" t="n"/>
      <c r="BR1047" s="68" t="n"/>
      <c r="BS1047" s="68" t="n"/>
      <c r="BT1047" s="68" t="n"/>
      <c r="BU1047" s="68" t="n"/>
      <c r="BV1047" s="588" t="n"/>
      <c r="BW1047" s="68" t="n"/>
      <c r="BX1047" s="68" t="n"/>
      <c r="BY1047" s="68" t="n"/>
      <c r="BZ1047" s="68" t="n"/>
      <c r="CA1047" s="68" t="n"/>
      <c r="CB1047" s="68" t="n"/>
      <c r="CC1047" s="68" t="n"/>
      <c r="CD1047" s="68" t="n"/>
      <c r="CE1047" s="68" t="n"/>
      <c r="CF1047" s="68" t="n"/>
      <c r="CG1047" s="155" t="n"/>
    </row>
    <row r="1048">
      <c r="A1048" s="549" t="inlineStr">
        <is>
          <t>Low</t>
        </is>
      </c>
      <c r="B1048" s="1089" t="n">
        <v>2</v>
      </c>
      <c r="C1048" s="68" t="n"/>
      <c r="D1048" s="1003" t="n"/>
      <c r="E1048" s="68" t="n"/>
      <c r="F1048" s="68" t="n"/>
      <c r="G1048" s="68" t="n"/>
      <c r="H1048" s="68" t="n"/>
      <c r="I1048" s="68" t="n"/>
      <c r="J1048" s="68" t="n"/>
      <c r="K1048" s="68" t="n"/>
      <c r="L1048" s="68" t="n"/>
      <c r="M1048" s="68" t="n"/>
      <c r="N1048" s="68" t="n"/>
      <c r="O1048" s="68" t="n"/>
      <c r="P1048" s="68" t="n"/>
      <c r="Q1048" s="68" t="n"/>
      <c r="R1048" s="68" t="n"/>
      <c r="S1048" s="68" t="n"/>
      <c r="T1048" s="68" t="n"/>
      <c r="U1048" s="68" t="n"/>
      <c r="V1048" s="68" t="n"/>
      <c r="W1048" s="68" t="n"/>
      <c r="X1048" s="68" t="n"/>
      <c r="Y1048" s="68" t="n"/>
      <c r="Z1048" s="68" t="n"/>
      <c r="AA1048" s="68" t="n"/>
      <c r="AB1048" s="68" t="n"/>
      <c r="AC1048" s="68" t="n"/>
      <c r="AD1048" s="68" t="n"/>
      <c r="AE1048" s="68" t="n"/>
      <c r="AF1048" s="68" t="n"/>
      <c r="AG1048" s="68" t="n"/>
      <c r="AH1048" s="68" t="n"/>
      <c r="AI1048" s="68" t="n"/>
      <c r="AJ1048" s="68" t="n"/>
      <c r="AK1048" s="68" t="n"/>
      <c r="AL1048" s="68" t="n"/>
      <c r="AM1048" s="68" t="n"/>
      <c r="AN1048" s="68" t="n"/>
      <c r="AO1048" s="68" t="n"/>
      <c r="AP1048" s="68" t="n"/>
      <c r="AQ1048" s="68" t="n"/>
      <c r="AR1048" s="68" t="n"/>
      <c r="AS1048" s="68" t="n"/>
      <c r="AT1048" s="68" t="n"/>
      <c r="AU1048" s="68" t="n"/>
      <c r="AV1048" s="68" t="n"/>
      <c r="AW1048" s="68" t="n"/>
      <c r="AX1048" s="68" t="n"/>
      <c r="AY1048" s="68" t="n"/>
      <c r="AZ1048" s="68" t="n"/>
      <c r="BA1048" s="68" t="n"/>
      <c r="BB1048" s="68" t="n"/>
      <c r="BC1048" s="68" t="n"/>
      <c r="BD1048" s="68" t="n"/>
      <c r="BE1048" s="68" t="n"/>
      <c r="BF1048" s="68" t="n"/>
      <c r="BG1048" s="68" t="n"/>
      <c r="BH1048" s="68" t="n"/>
      <c r="BI1048" s="68" t="n"/>
      <c r="BJ1048" s="68" t="n"/>
      <c r="BK1048" s="68" t="n"/>
      <c r="BL1048" s="68" t="n"/>
      <c r="BM1048" s="68" t="n"/>
      <c r="BN1048" s="68" t="n"/>
      <c r="BO1048" s="68" t="n"/>
      <c r="BP1048" s="68" t="n"/>
      <c r="BQ1048" s="68" t="n"/>
      <c r="BR1048" s="68" t="n"/>
      <c r="BS1048" s="68" t="n"/>
      <c r="BT1048" s="68" t="n"/>
      <c r="BU1048" s="68" t="n"/>
      <c r="BV1048" s="588" t="n"/>
      <c r="BW1048" s="68" t="n"/>
      <c r="BX1048" s="68" t="n"/>
      <c r="BY1048" s="68" t="n"/>
      <c r="BZ1048" s="68" t="n"/>
      <c r="CA1048" s="68" t="n"/>
      <c r="CB1048" s="68" t="n"/>
      <c r="CC1048" s="68" t="n"/>
      <c r="CD1048" s="68" t="n"/>
      <c r="CE1048" s="68" t="n"/>
      <c r="CF1048" s="68" t="n"/>
      <c r="CG1048" s="155" t="n"/>
    </row>
    <row r="1049">
      <c r="A1049" s="549" t="inlineStr">
        <is>
          <t>Avg</t>
        </is>
      </c>
      <c r="B1049" s="1089" t="n">
        <v>3</v>
      </c>
      <c r="C1049" s="68" t="n"/>
      <c r="D1049" s="1003" t="n"/>
      <c r="E1049" s="68" t="n"/>
      <c r="F1049" s="68" t="n"/>
      <c r="G1049" s="68" t="n"/>
      <c r="H1049" s="68" t="n"/>
      <c r="I1049" s="68" t="n"/>
      <c r="J1049" s="68" t="n"/>
      <c r="K1049" s="68" t="n"/>
      <c r="L1049" s="68" t="n"/>
      <c r="M1049" s="68" t="n"/>
      <c r="N1049" s="68" t="n"/>
      <c r="O1049" s="68" t="n"/>
      <c r="P1049" s="68" t="n"/>
      <c r="Q1049" s="68" t="n"/>
      <c r="R1049" s="68" t="n"/>
      <c r="S1049" s="68" t="n"/>
      <c r="T1049" s="68" t="n"/>
      <c r="U1049" s="68" t="n"/>
      <c r="V1049" s="68" t="n"/>
      <c r="W1049" s="68" t="n"/>
      <c r="X1049" s="68" t="n"/>
      <c r="Y1049" s="68" t="n"/>
      <c r="Z1049" s="68" t="n"/>
      <c r="AA1049" s="68" t="n"/>
      <c r="AB1049" s="68" t="n"/>
      <c r="AC1049" s="68" t="n"/>
      <c r="AD1049" s="68" t="n"/>
      <c r="AE1049" s="68" t="n"/>
      <c r="AF1049" s="68" t="n"/>
      <c r="AG1049" s="68" t="n"/>
      <c r="AH1049" s="68" t="n"/>
      <c r="AI1049" s="68" t="n"/>
      <c r="AJ1049" s="68" t="n"/>
      <c r="AK1049" s="68" t="n"/>
      <c r="AL1049" s="68" t="n"/>
      <c r="AM1049" s="68" t="n"/>
      <c r="AN1049" s="68" t="n"/>
      <c r="AO1049" s="68" t="n"/>
      <c r="AP1049" s="68" t="n"/>
      <c r="AQ1049" s="68" t="n"/>
      <c r="AR1049" s="68" t="n"/>
      <c r="AS1049" s="68" t="n"/>
      <c r="AT1049" s="68" t="n"/>
      <c r="AU1049" s="68" t="n"/>
      <c r="AV1049" s="68" t="n"/>
      <c r="AW1049" s="68" t="n"/>
      <c r="AX1049" s="68" t="n"/>
      <c r="AY1049" s="68" t="n"/>
      <c r="AZ1049" s="68" t="n"/>
      <c r="BA1049" s="68" t="n"/>
      <c r="BB1049" s="68" t="n"/>
      <c r="BC1049" s="68" t="n"/>
      <c r="BD1049" s="68" t="n"/>
      <c r="BE1049" s="68" t="n"/>
      <c r="BF1049" s="68" t="n"/>
      <c r="BG1049" s="68" t="n"/>
      <c r="BH1049" s="68" t="n"/>
      <c r="BI1049" s="68" t="n"/>
      <c r="BJ1049" s="68" t="n"/>
      <c r="BK1049" s="68" t="n"/>
      <c r="BL1049" s="68" t="n"/>
      <c r="BM1049" s="68" t="n"/>
      <c r="BN1049" s="68" t="n"/>
      <c r="BO1049" s="68" t="n"/>
      <c r="BP1049" s="68" t="n"/>
      <c r="BQ1049" s="68" t="n"/>
      <c r="BR1049" s="68" t="n"/>
      <c r="BS1049" s="68" t="n"/>
      <c r="BT1049" s="68" t="n"/>
      <c r="BU1049" s="68" t="n"/>
      <c r="BV1049" s="588" t="n"/>
      <c r="BW1049" s="68" t="n"/>
      <c r="BX1049" s="68" t="n"/>
      <c r="BY1049" s="68" t="n"/>
      <c r="BZ1049" s="68" t="n"/>
      <c r="CA1049" s="68" t="n"/>
      <c r="CB1049" s="68" t="n"/>
      <c r="CC1049" s="68" t="n"/>
      <c r="CD1049" s="68" t="n"/>
      <c r="CE1049" s="68" t="n"/>
      <c r="CF1049" s="68" t="n"/>
      <c r="CG1049" s="155" t="n"/>
    </row>
    <row r="1050">
      <c r="A1050" s="550" t="inlineStr">
        <is>
          <t>EoP</t>
        </is>
      </c>
      <c r="B1050" s="1090" t="n">
        <v>4</v>
      </c>
      <c r="C1050" s="68" t="n"/>
      <c r="D1050" s="1003" t="n"/>
      <c r="E1050" s="68" t="n"/>
      <c r="F1050" s="68" t="n"/>
      <c r="G1050" s="68" t="n"/>
      <c r="H1050" s="68" t="n"/>
      <c r="I1050" s="68" t="n"/>
      <c r="J1050" s="68" t="n"/>
      <c r="K1050" s="68" t="n"/>
      <c r="L1050" s="68" t="n"/>
      <c r="M1050" s="68" t="n"/>
      <c r="N1050" s="68" t="n"/>
      <c r="O1050" s="68" t="n"/>
      <c r="P1050" s="68" t="n"/>
      <c r="Q1050" s="68" t="n"/>
      <c r="R1050" s="68" t="n"/>
      <c r="S1050" s="68" t="n"/>
      <c r="T1050" s="68" t="n"/>
      <c r="U1050" s="68" t="n"/>
      <c r="V1050" s="68" t="n"/>
      <c r="W1050" s="68" t="n"/>
      <c r="X1050" s="68" t="n"/>
      <c r="Y1050" s="68" t="n"/>
      <c r="Z1050" s="68" t="n"/>
      <c r="AA1050" s="68" t="n"/>
      <c r="AB1050" s="68" t="n"/>
      <c r="AC1050" s="68" t="n"/>
      <c r="AD1050" s="68" t="n"/>
      <c r="AE1050" s="68" t="n"/>
      <c r="AF1050" s="68" t="n"/>
      <c r="AG1050" s="68" t="n"/>
      <c r="AH1050" s="68" t="n"/>
      <c r="AI1050" s="68" t="n"/>
      <c r="AJ1050" s="68" t="n"/>
      <c r="AK1050" s="68" t="n"/>
      <c r="AL1050" s="68" t="n"/>
      <c r="AM1050" s="68" t="n"/>
      <c r="AN1050" s="68" t="n"/>
      <c r="AO1050" s="68" t="n"/>
      <c r="AP1050" s="68" t="n"/>
      <c r="AQ1050" s="68" t="n"/>
      <c r="AR1050" s="68" t="n"/>
      <c r="AS1050" s="68" t="n"/>
      <c r="AT1050" s="68" t="n"/>
      <c r="AU1050" s="68" t="n"/>
      <c r="AV1050" s="68" t="n"/>
      <c r="AW1050" s="68" t="n"/>
      <c r="AX1050" s="68" t="n"/>
      <c r="AY1050" s="68" t="n"/>
      <c r="AZ1050" s="68" t="n"/>
      <c r="BA1050" s="68" t="n"/>
      <c r="BB1050" s="68" t="n"/>
      <c r="BC1050" s="68" t="n"/>
      <c r="BD1050" s="68" t="n"/>
      <c r="BE1050" s="68" t="n"/>
      <c r="BF1050" s="68" t="n"/>
      <c r="BG1050" s="68" t="n"/>
      <c r="BH1050" s="68" t="n"/>
      <c r="BI1050" s="68" t="n"/>
      <c r="BJ1050" s="68" t="n"/>
      <c r="BK1050" s="68" t="n"/>
      <c r="BL1050" s="68" t="n"/>
      <c r="BM1050" s="68" t="n"/>
      <c r="BN1050" s="68" t="n"/>
      <c r="BO1050" s="68" t="n"/>
      <c r="BP1050" s="68" t="n"/>
      <c r="BQ1050" s="68" t="n"/>
      <c r="BR1050" s="68" t="n"/>
      <c r="BS1050" s="68" t="n"/>
      <c r="BT1050" s="68" t="n"/>
      <c r="BU1050" s="68" t="n"/>
      <c r="BV1050" s="588" t="n"/>
      <c r="BW1050" s="68" t="n"/>
      <c r="BX1050" s="68" t="n"/>
      <c r="BY1050" s="68" t="n"/>
      <c r="BZ1050" s="68" t="n"/>
      <c r="CA1050" s="68" t="n"/>
      <c r="CB1050" s="68" t="n"/>
      <c r="CC1050" s="68" t="n"/>
      <c r="CD1050" s="68" t="n"/>
      <c r="CE1050" s="68" t="n"/>
      <c r="CF1050" s="68" t="n"/>
      <c r="CG1050" s="155" t="n"/>
    </row>
    <row r="1051">
      <c r="A1051" s="253" t="n"/>
      <c r="B1051" s="68" t="n"/>
      <c r="C1051" s="1003" t="n"/>
      <c r="D1051" s="1003" t="n"/>
      <c r="E1051" s="68" t="n"/>
      <c r="F1051" s="68" t="n"/>
      <c r="G1051" s="68" t="n"/>
      <c r="H1051" s="68" t="n"/>
      <c r="I1051" s="68" t="n"/>
      <c r="J1051" s="68" t="n"/>
      <c r="K1051" s="68" t="n"/>
      <c r="L1051" s="68" t="n"/>
      <c r="M1051" s="68" t="n"/>
      <c r="N1051" s="68" t="n"/>
      <c r="O1051" s="68" t="n"/>
      <c r="P1051" s="68" t="n"/>
      <c r="Q1051" s="68" t="n"/>
      <c r="R1051" s="68" t="n"/>
      <c r="S1051" s="68" t="n"/>
      <c r="T1051" s="68" t="n"/>
      <c r="U1051" s="68" t="n"/>
      <c r="V1051" s="68" t="n"/>
      <c r="W1051" s="68" t="n"/>
      <c r="X1051" s="68" t="n"/>
      <c r="Y1051" s="68" t="n"/>
      <c r="Z1051" s="68" t="n"/>
      <c r="AA1051" s="68" t="n"/>
      <c r="AB1051" s="68" t="n"/>
      <c r="AC1051" s="68" t="n"/>
      <c r="AD1051" s="68" t="n"/>
      <c r="AE1051" s="68" t="n"/>
      <c r="AF1051" s="68" t="n"/>
      <c r="AG1051" s="68" t="n"/>
      <c r="AH1051" s="68" t="n"/>
      <c r="AI1051" s="68" t="n"/>
      <c r="AJ1051" s="68" t="n"/>
      <c r="AK1051" s="68" t="n"/>
      <c r="AL1051" s="68" t="n"/>
      <c r="AM1051" s="68" t="n"/>
      <c r="AN1051" s="68" t="n"/>
      <c r="AO1051" s="68" t="n"/>
      <c r="AP1051" s="68" t="n"/>
      <c r="AQ1051" s="68" t="n"/>
      <c r="AR1051" s="68" t="n"/>
      <c r="AS1051" s="68" t="n"/>
      <c r="AT1051" s="68" t="n"/>
      <c r="AU1051" s="68" t="n"/>
      <c r="AV1051" s="68" t="n"/>
      <c r="AW1051" s="68" t="n"/>
      <c r="AX1051" s="68" t="n"/>
      <c r="AY1051" s="68" t="n"/>
      <c r="AZ1051" s="68" t="n"/>
      <c r="BA1051" s="68" t="n"/>
      <c r="BB1051" s="68" t="n"/>
      <c r="BC1051" s="68" t="n"/>
      <c r="BD1051" s="68" t="n"/>
      <c r="BE1051" s="68" t="n"/>
      <c r="BF1051" s="68" t="n"/>
      <c r="BG1051" s="68" t="n"/>
      <c r="BH1051" s="68" t="n"/>
      <c r="BI1051" s="68" t="n"/>
      <c r="BJ1051" s="68" t="n"/>
      <c r="BK1051" s="68" t="n"/>
      <c r="BL1051" s="68" t="n"/>
      <c r="BM1051" s="68" t="n"/>
      <c r="BN1051" s="68" t="n"/>
      <c r="BO1051" s="68" t="n"/>
      <c r="BP1051" s="68" t="n"/>
      <c r="BQ1051" s="68" t="n"/>
      <c r="BR1051" s="68" t="n"/>
      <c r="BS1051" s="68" t="n"/>
      <c r="BT1051" s="68" t="n"/>
      <c r="BU1051" s="68" t="n"/>
      <c r="BV1051" s="588" t="n"/>
      <c r="BW1051" s="68" t="n"/>
      <c r="BX1051" s="68" t="n"/>
      <c r="BY1051" s="68" t="n"/>
      <c r="BZ1051" s="68" t="n"/>
      <c r="CA1051" s="68" t="n"/>
      <c r="CB1051" s="68" t="n"/>
      <c r="CC1051" s="68" t="n"/>
      <c r="CD1051" s="68" t="n"/>
      <c r="CE1051" s="68" t="n"/>
      <c r="CF1051" s="68" t="n"/>
      <c r="CG1051" s="155" t="n"/>
    </row>
    <row r="1052">
      <c r="A1052" s="557" t="inlineStr">
        <is>
          <t>Key Outputs</t>
        </is>
      </c>
      <c r="B1052" s="68" t="n"/>
      <c r="C1052" s="1003" t="n"/>
      <c r="D1052" s="1003" t="n"/>
      <c r="E1052" s="68" t="n"/>
      <c r="F1052" s="68" t="n"/>
      <c r="G1052" s="68" t="n"/>
      <c r="H1052" s="68" t="n"/>
      <c r="I1052" s="68" t="n"/>
      <c r="J1052" s="68" t="n"/>
      <c r="K1052" s="68" t="n"/>
      <c r="L1052" s="68" t="n"/>
      <c r="M1052" s="68" t="n"/>
      <c r="N1052" s="68" t="n"/>
      <c r="O1052" s="68" t="n"/>
      <c r="P1052" s="68" t="n"/>
      <c r="Q1052" s="68" t="n"/>
      <c r="R1052" s="68" t="n"/>
      <c r="S1052" s="68" t="n"/>
      <c r="T1052" s="68" t="n"/>
      <c r="U1052" s="68" t="n"/>
      <c r="V1052" s="68" t="n"/>
      <c r="W1052" s="68" t="n"/>
      <c r="X1052" s="68" t="n"/>
      <c r="Y1052" s="68" t="n"/>
      <c r="Z1052" s="68" t="n"/>
      <c r="AA1052" s="68" t="n"/>
      <c r="AB1052" s="68" t="n"/>
      <c r="AC1052" s="68" t="n"/>
      <c r="AD1052" s="68" t="n"/>
      <c r="AE1052" s="68" t="n"/>
      <c r="AF1052" s="68" t="n"/>
      <c r="AG1052" s="68" t="n"/>
      <c r="AH1052" s="68" t="n"/>
      <c r="AI1052" s="68" t="n"/>
      <c r="AJ1052" s="68" t="n"/>
      <c r="AK1052" s="68" t="n"/>
      <c r="AL1052" s="68" t="n"/>
      <c r="AM1052" s="68" t="n"/>
      <c r="AN1052" s="68" t="n"/>
      <c r="AO1052" s="68" t="n"/>
      <c r="AP1052" s="68" t="n"/>
      <c r="AQ1052" s="68" t="n"/>
      <c r="AR1052" s="68" t="n"/>
      <c r="AS1052" s="68" t="n"/>
      <c r="AT1052" s="68" t="n"/>
      <c r="AU1052" s="68" t="n"/>
      <c r="AV1052" s="68" t="n"/>
      <c r="AW1052" s="68" t="n"/>
      <c r="AX1052" s="68" t="n"/>
      <c r="AY1052" s="68" t="n"/>
      <c r="AZ1052" s="68" t="n"/>
      <c r="BA1052" s="68" t="n"/>
      <c r="BB1052" s="68" t="n"/>
      <c r="BC1052" s="68" t="n"/>
      <c r="BD1052" s="68" t="n"/>
      <c r="BE1052" s="68" t="n"/>
      <c r="BF1052" s="68" t="n"/>
      <c r="BG1052" s="68" t="n"/>
      <c r="BH1052" s="68" t="n"/>
      <c r="BI1052" s="68" t="n"/>
      <c r="BJ1052" s="68" t="n"/>
      <c r="BK1052" s="68" t="n"/>
      <c r="BL1052" s="68" t="n"/>
      <c r="BM1052" s="68" t="n"/>
      <c r="BN1052" s="68" t="n"/>
      <c r="BO1052" s="68" t="n"/>
      <c r="BP1052" s="68" t="n"/>
      <c r="BQ1052" s="68" t="n"/>
      <c r="BR1052" s="68" t="n"/>
      <c r="BS1052" s="68" t="n"/>
      <c r="BT1052" s="68" t="n"/>
      <c r="BU1052" s="68" t="n"/>
      <c r="BV1052" s="588" t="n"/>
      <c r="BW1052" s="68" t="n"/>
      <c r="BX1052" s="68" t="n"/>
      <c r="BY1052" s="68" t="n"/>
      <c r="BZ1052" s="68" t="n"/>
      <c r="CA1052" s="68" t="n"/>
      <c r="CB1052" s="68" t="n"/>
      <c r="CC1052" s="68" t="n"/>
      <c r="CD1052" s="68" t="n"/>
      <c r="CE1052" s="68" t="n"/>
      <c r="CF1052" s="68" t="n"/>
      <c r="CG1052" s="155" t="n"/>
    </row>
    <row r="1053">
      <c r="A1053" s="558">
        <f>MO_RIS_REV</f>
        <v/>
      </c>
      <c r="B1053" s="68" t="n"/>
      <c r="C1053" s="1003" t="n"/>
      <c r="D1053" s="1003" t="n"/>
      <c r="E1053" s="68" t="n"/>
      <c r="F1053" s="68" t="n"/>
      <c r="G1053" s="68" t="n"/>
      <c r="H1053" s="68" t="n"/>
      <c r="I1053" s="68" t="n"/>
      <c r="J1053" s="68" t="n"/>
      <c r="K1053" s="68" t="n"/>
      <c r="L1053" s="68" t="n"/>
      <c r="M1053" s="68" t="n"/>
      <c r="N1053" s="68" t="n"/>
      <c r="O1053" s="68" t="n"/>
      <c r="P1053" s="68" t="n"/>
      <c r="Q1053" s="68" t="n"/>
      <c r="R1053" s="68" t="n"/>
      <c r="S1053" s="68" t="n"/>
      <c r="T1053" s="68" t="n"/>
      <c r="U1053" s="68" t="n"/>
      <c r="V1053" s="68" t="n"/>
      <c r="W1053" s="68" t="n"/>
      <c r="X1053" s="68" t="n"/>
      <c r="Y1053" s="68" t="n"/>
      <c r="Z1053" s="68" t="n"/>
      <c r="AA1053" s="68" t="n"/>
      <c r="AB1053" s="68" t="n"/>
      <c r="AC1053" s="68" t="n"/>
      <c r="AD1053" s="68" t="n"/>
      <c r="AE1053" s="68" t="n"/>
      <c r="AF1053" s="68" t="n"/>
      <c r="AG1053" s="68" t="n"/>
      <c r="AH1053" s="68" t="n"/>
      <c r="AI1053" s="68" t="n"/>
      <c r="AJ1053" s="68" t="n"/>
      <c r="AK1053" s="68" t="n"/>
      <c r="AL1053" s="68" t="n"/>
      <c r="AM1053" s="68" t="n"/>
      <c r="AN1053" s="68" t="n"/>
      <c r="AO1053" s="68" t="n"/>
      <c r="AP1053" s="68" t="n"/>
      <c r="AQ1053" s="68" t="n"/>
      <c r="AR1053" s="68" t="n"/>
      <c r="AS1053" s="68" t="n"/>
      <c r="AT1053" s="68" t="n"/>
      <c r="AU1053" s="68" t="n"/>
      <c r="AV1053" s="68" t="n"/>
      <c r="AW1053" s="68" t="n"/>
      <c r="AX1053" s="68" t="n"/>
      <c r="AY1053" s="68" t="n"/>
      <c r="AZ1053" s="68" t="n"/>
      <c r="BA1053" s="68" t="n"/>
      <c r="BB1053" s="68" t="n"/>
      <c r="BC1053" s="68" t="n"/>
      <c r="BD1053" s="68" t="n"/>
      <c r="BE1053" s="68" t="n"/>
      <c r="BF1053" s="68" t="n"/>
      <c r="BG1053" s="68" t="n"/>
      <c r="BH1053" s="68" t="n"/>
      <c r="BI1053" s="68" t="n"/>
      <c r="BJ1053" s="68" t="n"/>
      <c r="BK1053" s="68" t="n"/>
      <c r="BL1053" s="68" t="n"/>
      <c r="BM1053" s="68" t="n"/>
      <c r="BN1053" s="68" t="n"/>
      <c r="BO1053" s="68" t="n"/>
      <c r="BP1053" s="68" t="n"/>
      <c r="BQ1053" s="68" t="n"/>
      <c r="BR1053" s="68" t="n"/>
      <c r="BS1053" s="68" t="n"/>
      <c r="BT1053" s="68" t="n"/>
      <c r="BU1053" s="68" t="n"/>
      <c r="BV1053" s="588" t="n"/>
      <c r="BW1053" s="68" t="n"/>
      <c r="BX1053" s="68" t="n"/>
      <c r="BY1053" s="68" t="n"/>
      <c r="BZ1053" s="68" t="n"/>
      <c r="CA1053" s="68" t="n"/>
      <c r="CB1053" s="68" t="n"/>
      <c r="CC1053" s="68" t="n"/>
      <c r="CD1053" s="68" t="n"/>
      <c r="CE1053" s="68" t="n"/>
      <c r="CF1053" s="68" t="n"/>
      <c r="CG1053" s="155" t="n"/>
    </row>
    <row r="1054">
      <c r="A1054" s="558">
        <f>MO_RIS_EBITDA_Adj</f>
        <v/>
      </c>
      <c r="B1054" s="68" t="n"/>
      <c r="C1054" s="1003" t="n"/>
      <c r="D1054" s="1003" t="n"/>
      <c r="E1054" s="68" t="n"/>
      <c r="F1054" s="68" t="n"/>
      <c r="G1054" s="68" t="n"/>
      <c r="H1054" s="68" t="n"/>
      <c r="I1054" s="68" t="n"/>
      <c r="J1054" s="68" t="n"/>
      <c r="K1054" s="68" t="n"/>
      <c r="L1054" s="68" t="n"/>
      <c r="M1054" s="68" t="n"/>
      <c r="N1054" s="68" t="n"/>
      <c r="O1054" s="68" t="n"/>
      <c r="P1054" s="68" t="n"/>
      <c r="Q1054" s="68" t="n"/>
      <c r="R1054" s="68" t="n"/>
      <c r="S1054" s="68" t="n"/>
      <c r="T1054" s="68" t="n"/>
      <c r="U1054" s="68" t="n"/>
      <c r="V1054" s="68" t="n"/>
      <c r="W1054" s="68" t="n"/>
      <c r="X1054" s="68" t="n"/>
      <c r="Y1054" s="68" t="n"/>
      <c r="Z1054" s="68" t="n"/>
      <c r="AA1054" s="68" t="n"/>
      <c r="AB1054" s="68" t="n"/>
      <c r="AC1054" s="68" t="n"/>
      <c r="AD1054" s="68" t="n"/>
      <c r="AE1054" s="68" t="n"/>
      <c r="AF1054" s="68" t="n"/>
      <c r="AG1054" s="68" t="n"/>
      <c r="AH1054" s="68" t="n"/>
      <c r="AI1054" s="68" t="n"/>
      <c r="AJ1054" s="68" t="n"/>
      <c r="AK1054" s="68" t="n"/>
      <c r="AL1054" s="68" t="n"/>
      <c r="AM1054" s="68" t="n"/>
      <c r="AN1054" s="68" t="n"/>
      <c r="AO1054" s="68" t="n"/>
      <c r="AP1054" s="68" t="n"/>
      <c r="AQ1054" s="68" t="n"/>
      <c r="AR1054" s="68" t="n"/>
      <c r="AS1054" s="68" t="n"/>
      <c r="AT1054" s="68" t="n"/>
      <c r="AU1054" s="68" t="n"/>
      <c r="AV1054" s="68" t="n"/>
      <c r="AW1054" s="68" t="n"/>
      <c r="AX1054" s="68" t="n"/>
      <c r="AY1054" s="68" t="n"/>
      <c r="AZ1054" s="68" t="n"/>
      <c r="BA1054" s="68" t="n"/>
      <c r="BB1054" s="68" t="n"/>
      <c r="BC1054" s="68" t="n"/>
      <c r="BD1054" s="68" t="n"/>
      <c r="BE1054" s="68" t="n"/>
      <c r="BF1054" s="68" t="n"/>
      <c r="BG1054" s="68" t="n"/>
      <c r="BH1054" s="68" t="n"/>
      <c r="BI1054" s="68" t="n"/>
      <c r="BJ1054" s="68" t="n"/>
      <c r="BK1054" s="68" t="n"/>
      <c r="BL1054" s="68" t="n"/>
      <c r="BM1054" s="68" t="n"/>
      <c r="BN1054" s="68" t="n"/>
      <c r="BO1054" s="68" t="n"/>
      <c r="BP1054" s="68" t="n"/>
      <c r="BQ1054" s="68" t="n"/>
      <c r="BR1054" s="68" t="n"/>
      <c r="BS1054" s="68" t="n"/>
      <c r="BT1054" s="68" t="n"/>
      <c r="BU1054" s="68" t="n"/>
      <c r="BV1054" s="588" t="n"/>
      <c r="BW1054" s="68" t="n"/>
      <c r="BX1054" s="68" t="n"/>
      <c r="BY1054" s="68" t="n"/>
      <c r="BZ1054" s="68" t="n"/>
      <c r="CA1054" s="68" t="n"/>
      <c r="CB1054" s="68" t="n"/>
      <c r="CC1054" s="68" t="n"/>
      <c r="CD1054" s="68" t="n"/>
      <c r="CE1054" s="68" t="n"/>
      <c r="CF1054" s="68" t="n"/>
      <c r="CG1054" s="155" t="n"/>
    </row>
    <row r="1055">
      <c r="A1055" s="558">
        <f>MO_RIS_EPS_WAD_Adj</f>
        <v/>
      </c>
      <c r="B1055" s="68" t="n"/>
      <c r="C1055" s="1003" t="n"/>
      <c r="D1055" s="1003" t="n"/>
      <c r="E1055" s="68" t="n"/>
      <c r="F1055" s="68" t="n"/>
      <c r="G1055" s="68" t="n"/>
      <c r="H1055" s="68" t="n"/>
      <c r="I1055" s="68" t="n"/>
      <c r="J1055" s="68" t="n"/>
      <c r="K1055" s="68" t="n"/>
      <c r="L1055" s="68" t="n"/>
      <c r="M1055" s="68" t="n"/>
      <c r="N1055" s="68" t="n"/>
      <c r="O1055" s="68" t="n"/>
      <c r="P1055" s="68" t="n"/>
      <c r="Q1055" s="68" t="n"/>
      <c r="R1055" s="68" t="n"/>
      <c r="S1055" s="68" t="n"/>
      <c r="T1055" s="68" t="n"/>
      <c r="U1055" s="68" t="n"/>
      <c r="V1055" s="68" t="n"/>
      <c r="W1055" s="68" t="n"/>
      <c r="X1055" s="68" t="n"/>
      <c r="Y1055" s="68" t="n"/>
      <c r="Z1055" s="68" t="n"/>
      <c r="AA1055" s="68" t="n"/>
      <c r="AB1055" s="68" t="n"/>
      <c r="AC1055" s="68" t="n"/>
      <c r="AD1055" s="68" t="n"/>
      <c r="AE1055" s="68" t="n"/>
      <c r="AF1055" s="68" t="n"/>
      <c r="AG1055" s="68" t="n"/>
      <c r="AH1055" s="68" t="n"/>
      <c r="AI1055" s="68" t="n"/>
      <c r="AJ1055" s="68" t="n"/>
      <c r="AK1055" s="68" t="n"/>
      <c r="AL1055" s="68" t="n"/>
      <c r="AM1055" s="68" t="n"/>
      <c r="AN1055" s="68" t="n"/>
      <c r="AO1055" s="68" t="n"/>
      <c r="AP1055" s="68" t="n"/>
      <c r="AQ1055" s="68" t="n"/>
      <c r="AR1055" s="68" t="n"/>
      <c r="AS1055" s="68" t="n"/>
      <c r="AT1055" s="68" t="n"/>
      <c r="AU1055" s="68" t="n"/>
      <c r="AV1055" s="68" t="n"/>
      <c r="AW1055" s="68" t="n"/>
      <c r="AX1055" s="68" t="n"/>
      <c r="AY1055" s="68" t="n"/>
      <c r="AZ1055" s="68" t="n"/>
      <c r="BA1055" s="68" t="n"/>
      <c r="BB1055" s="68" t="n"/>
      <c r="BC1055" s="68" t="n"/>
      <c r="BD1055" s="68" t="n"/>
      <c r="BE1055" s="68" t="n"/>
      <c r="BF1055" s="68" t="n"/>
      <c r="BG1055" s="68" t="n"/>
      <c r="BH1055" s="68" t="n"/>
      <c r="BI1055" s="68" t="n"/>
      <c r="BJ1055" s="68" t="n"/>
      <c r="BK1055" s="68" t="n"/>
      <c r="BL1055" s="68" t="n"/>
      <c r="BM1055" s="68" t="n"/>
      <c r="BN1055" s="68" t="n"/>
      <c r="BO1055" s="68" t="n"/>
      <c r="BP1055" s="68" t="n"/>
      <c r="BQ1055" s="68" t="n"/>
      <c r="BR1055" s="68" t="n"/>
      <c r="BS1055" s="68" t="n"/>
      <c r="BT1055" s="68" t="n"/>
      <c r="BU1055" s="68" t="n"/>
      <c r="BV1055" s="588" t="n"/>
      <c r="BW1055" s="68" t="n"/>
      <c r="BX1055" s="68" t="n"/>
      <c r="BY1055" s="68" t="n"/>
      <c r="BZ1055" s="68" t="n"/>
      <c r="CA1055" s="68" t="n"/>
      <c r="CB1055" s="68" t="n"/>
      <c r="CC1055" s="68" t="n"/>
      <c r="CD1055" s="68" t="n"/>
      <c r="CE1055" s="68" t="n"/>
      <c r="CF1055" s="68" t="n"/>
      <c r="CG1055" s="155" t="n"/>
    </row>
    <row r="1056">
      <c r="A1056" s="558">
        <f>MO_VA_EV_ToEBITDA</f>
        <v/>
      </c>
      <c r="B1056" s="68" t="n"/>
      <c r="C1056" s="1003" t="n"/>
      <c r="D1056" s="1003" t="n"/>
      <c r="E1056" s="68" t="n"/>
      <c r="F1056" s="68" t="n"/>
      <c r="G1056" s="68" t="n"/>
      <c r="H1056" s="68" t="n"/>
      <c r="I1056" s="68" t="n"/>
      <c r="J1056" s="68" t="n"/>
      <c r="K1056" s="68" t="n"/>
      <c r="L1056" s="68" t="n"/>
      <c r="M1056" s="68" t="n"/>
      <c r="N1056" s="68" t="n"/>
      <c r="O1056" s="68" t="n"/>
      <c r="P1056" s="68" t="n"/>
      <c r="Q1056" s="68" t="n"/>
      <c r="R1056" s="68" t="n"/>
      <c r="S1056" s="68" t="n"/>
      <c r="T1056" s="68" t="n"/>
      <c r="U1056" s="68" t="n"/>
      <c r="V1056" s="68" t="n"/>
      <c r="W1056" s="68" t="n"/>
      <c r="X1056" s="68" t="n"/>
      <c r="Y1056" s="68" t="n"/>
      <c r="Z1056" s="68" t="n"/>
      <c r="AA1056" s="68" t="n"/>
      <c r="AB1056" s="68" t="n"/>
      <c r="AC1056" s="68" t="n"/>
      <c r="AD1056" s="68" t="n"/>
      <c r="AE1056" s="68" t="n"/>
      <c r="AF1056" s="68" t="n"/>
      <c r="AG1056" s="68" t="n"/>
      <c r="AH1056" s="68" t="n"/>
      <c r="AI1056" s="68" t="n"/>
      <c r="AJ1056" s="68" t="n"/>
      <c r="AK1056" s="68" t="n"/>
      <c r="AL1056" s="68" t="n"/>
      <c r="AM1056" s="68" t="n"/>
      <c r="AN1056" s="68" t="n"/>
      <c r="AO1056" s="68" t="n"/>
      <c r="AP1056" s="68" t="n"/>
      <c r="AQ1056" s="68" t="n"/>
      <c r="AR1056" s="68" t="n"/>
      <c r="AS1056" s="68" t="n"/>
      <c r="AT1056" s="68" t="n"/>
      <c r="AU1056" s="68" t="n"/>
      <c r="AV1056" s="68" t="n"/>
      <c r="AW1056" s="68" t="n"/>
      <c r="AX1056" s="68" t="n"/>
      <c r="AY1056" s="68" t="n"/>
      <c r="AZ1056" s="68" t="n"/>
      <c r="BA1056" s="68" t="n"/>
      <c r="BB1056" s="68" t="n"/>
      <c r="BC1056" s="68" t="n"/>
      <c r="BD1056" s="68" t="n"/>
      <c r="BE1056" s="68" t="n"/>
      <c r="BF1056" s="68" t="n"/>
      <c r="BG1056" s="68" t="n"/>
      <c r="BH1056" s="68" t="n"/>
      <c r="BI1056" s="68" t="n"/>
      <c r="BJ1056" s="68" t="n"/>
      <c r="BK1056" s="68" t="n"/>
      <c r="BL1056" s="68" t="n"/>
      <c r="BM1056" s="68" t="n"/>
      <c r="BN1056" s="68" t="n"/>
      <c r="BO1056" s="68" t="n"/>
      <c r="BP1056" s="68" t="n"/>
      <c r="BQ1056" s="68" t="n"/>
      <c r="BR1056" s="68" t="n"/>
      <c r="BS1056" s="68" t="n"/>
      <c r="BT1056" s="68" t="n"/>
      <c r="BU1056" s="68" t="n"/>
      <c r="BV1056" s="588" t="n"/>
      <c r="BW1056" s="68" t="n"/>
      <c r="BX1056" s="68" t="n"/>
      <c r="BY1056" s="68" t="n"/>
      <c r="BZ1056" s="68" t="n"/>
      <c r="CA1056" s="68" t="n"/>
      <c r="CB1056" s="68" t="n"/>
      <c r="CC1056" s="68" t="n"/>
      <c r="CD1056" s="68" t="n"/>
      <c r="CE1056" s="68" t="n"/>
      <c r="CF1056" s="68" t="n"/>
      <c r="CG1056" s="155" t="n"/>
    </row>
    <row r="1057">
      <c r="A1057" s="558">
        <f>MO_VA_P_ToE</f>
        <v/>
      </c>
      <c r="B1057" s="68" t="n"/>
      <c r="C1057" s="1003" t="n"/>
      <c r="D1057" s="1003" t="n"/>
      <c r="E1057" s="68" t="n"/>
      <c r="F1057" s="68" t="n"/>
      <c r="G1057" s="68" t="n"/>
      <c r="H1057" s="68" t="n"/>
      <c r="I1057" s="68" t="n"/>
      <c r="J1057" s="68" t="n"/>
      <c r="K1057" s="68" t="n"/>
      <c r="L1057" s="68" t="n"/>
      <c r="M1057" s="68" t="n"/>
      <c r="N1057" s="68" t="n"/>
      <c r="O1057" s="68" t="n"/>
      <c r="P1057" s="68" t="n"/>
      <c r="Q1057" s="68" t="n"/>
      <c r="R1057" s="68" t="n"/>
      <c r="S1057" s="68" t="n"/>
      <c r="T1057" s="68" t="n"/>
      <c r="U1057" s="68" t="n"/>
      <c r="V1057" s="68" t="n"/>
      <c r="W1057" s="68" t="n"/>
      <c r="X1057" s="68" t="n"/>
      <c r="Y1057" s="68" t="n"/>
      <c r="Z1057" s="68" t="n"/>
      <c r="AA1057" s="68" t="n"/>
      <c r="AB1057" s="68" t="n"/>
      <c r="AC1057" s="68" t="n"/>
      <c r="AD1057" s="68" t="n"/>
      <c r="AE1057" s="68" t="n"/>
      <c r="AF1057" s="68" t="n"/>
      <c r="AG1057" s="68" t="n"/>
      <c r="AH1057" s="68" t="n"/>
      <c r="AI1057" s="68" t="n"/>
      <c r="AJ1057" s="68" t="n"/>
      <c r="AK1057" s="68" t="n"/>
      <c r="AL1057" s="68" t="n"/>
      <c r="AM1057" s="68" t="n"/>
      <c r="AN1057" s="68" t="n"/>
      <c r="AO1057" s="68" t="n"/>
      <c r="AP1057" s="68" t="n"/>
      <c r="AQ1057" s="68" t="n"/>
      <c r="AR1057" s="68" t="n"/>
      <c r="AS1057" s="68" t="n"/>
      <c r="AT1057" s="68" t="n"/>
      <c r="AU1057" s="68" t="n"/>
      <c r="AV1057" s="68" t="n"/>
      <c r="AW1057" s="68" t="n"/>
      <c r="AX1057" s="68" t="n"/>
      <c r="AY1057" s="68" t="n"/>
      <c r="AZ1057" s="68" t="n"/>
      <c r="BA1057" s="68" t="n"/>
      <c r="BB1057" s="68" t="n"/>
      <c r="BC1057" s="68" t="n"/>
      <c r="BD1057" s="68" t="n"/>
      <c r="BE1057" s="68" t="n"/>
      <c r="BF1057" s="68" t="n"/>
      <c r="BG1057" s="68" t="n"/>
      <c r="BH1057" s="68" t="n"/>
      <c r="BI1057" s="68" t="n"/>
      <c r="BJ1057" s="68" t="n"/>
      <c r="BK1057" s="68" t="n"/>
      <c r="BL1057" s="68" t="n"/>
      <c r="BM1057" s="68" t="n"/>
      <c r="BN1057" s="68" t="n"/>
      <c r="BO1057" s="68" t="n"/>
      <c r="BP1057" s="68" t="n"/>
      <c r="BQ1057" s="68" t="n"/>
      <c r="BR1057" s="68" t="n"/>
      <c r="BS1057" s="68" t="n"/>
      <c r="BT1057" s="68" t="n"/>
      <c r="BU1057" s="68" t="n"/>
      <c r="BV1057" s="588" t="n"/>
      <c r="BW1057" s="68" t="n"/>
      <c r="BX1057" s="68" t="n"/>
      <c r="BY1057" s="68" t="n"/>
      <c r="BZ1057" s="68" t="n"/>
      <c r="CA1057" s="68" t="n"/>
      <c r="CB1057" s="68" t="n"/>
      <c r="CC1057" s="68" t="n"/>
      <c r="CD1057" s="68" t="n"/>
      <c r="CE1057" s="68" t="n"/>
      <c r="CF1057" s="68" t="n"/>
      <c r="CG1057" s="155" t="n"/>
    </row>
    <row r="1058">
      <c r="A1058" s="629" t="n"/>
      <c r="B1058" s="68" t="n"/>
      <c r="C1058" s="1003" t="n"/>
      <c r="D1058" s="1003" t="n"/>
      <c r="E1058" s="68" t="n"/>
      <c r="F1058" s="68" t="n"/>
      <c r="G1058" s="68" t="n"/>
      <c r="H1058" s="68" t="n"/>
      <c r="I1058" s="68" t="n"/>
      <c r="J1058" s="68" t="n"/>
      <c r="K1058" s="68" t="n"/>
      <c r="L1058" s="68" t="n"/>
      <c r="M1058" s="68" t="n"/>
      <c r="N1058" s="68" t="n"/>
      <c r="O1058" s="68" t="n"/>
      <c r="P1058" s="68" t="n"/>
      <c r="Q1058" s="68" t="n"/>
      <c r="R1058" s="68" t="n"/>
      <c r="S1058" s="68" t="n"/>
      <c r="T1058" s="68" t="n"/>
      <c r="U1058" s="68" t="n"/>
      <c r="V1058" s="68" t="n"/>
      <c r="W1058" s="68" t="n"/>
      <c r="X1058" s="68" t="n"/>
      <c r="Y1058" s="68" t="n"/>
      <c r="Z1058" s="68" t="n"/>
      <c r="AA1058" s="68" t="n"/>
      <c r="AB1058" s="68" t="n"/>
      <c r="AC1058" s="68" t="n"/>
      <c r="AD1058" s="68" t="n"/>
      <c r="AE1058" s="68" t="n"/>
      <c r="AF1058" s="68" t="n"/>
      <c r="AG1058" s="68" t="n"/>
      <c r="AH1058" s="68" t="n"/>
      <c r="AI1058" s="68" t="n"/>
      <c r="AJ1058" s="68" t="n"/>
      <c r="AK1058" s="68" t="n"/>
      <c r="AL1058" s="68" t="n"/>
      <c r="AM1058" s="68" t="n"/>
      <c r="AN1058" s="68" t="n"/>
      <c r="AO1058" s="68" t="n"/>
      <c r="AP1058" s="68" t="n"/>
      <c r="AQ1058" s="68" t="n"/>
      <c r="AR1058" s="68" t="n"/>
      <c r="AS1058" s="68" t="n"/>
      <c r="AT1058" s="68" t="n"/>
      <c r="AU1058" s="68" t="n"/>
      <c r="AV1058" s="68" t="n"/>
      <c r="AW1058" s="68" t="n"/>
      <c r="AX1058" s="68" t="n"/>
      <c r="AY1058" s="68" t="n"/>
      <c r="AZ1058" s="68" t="n"/>
      <c r="BA1058" s="68" t="n"/>
      <c r="BB1058" s="68" t="n"/>
      <c r="BC1058" s="68" t="n"/>
      <c r="BD1058" s="68" t="n"/>
      <c r="BE1058" s="68" t="n"/>
      <c r="BF1058" s="68" t="n"/>
      <c r="BG1058" s="68" t="n"/>
      <c r="BH1058" s="68" t="n"/>
      <c r="BI1058" s="68" t="n"/>
      <c r="BJ1058" s="68" t="n"/>
      <c r="BK1058" s="68" t="n"/>
      <c r="BL1058" s="68" t="n"/>
      <c r="BM1058" s="68" t="n"/>
      <c r="BN1058" s="68" t="n"/>
      <c r="BO1058" s="68" t="n"/>
      <c r="BP1058" s="68" t="n"/>
      <c r="BQ1058" s="68" t="n"/>
      <c r="BR1058" s="68" t="n"/>
      <c r="BS1058" s="68" t="n"/>
      <c r="BT1058" s="68" t="n"/>
      <c r="BU1058" s="68" t="n"/>
      <c r="BV1058" s="588" t="n"/>
      <c r="BW1058" s="68" t="n"/>
      <c r="BX1058" s="68" t="n"/>
      <c r="BY1058" s="68" t="n"/>
      <c r="BZ1058" s="68" t="n"/>
      <c r="CA1058" s="68" t="n"/>
      <c r="CB1058" s="68" t="n"/>
      <c r="CC1058" s="68" t="n"/>
      <c r="CD1058" s="68" t="n"/>
      <c r="CE1058" s="68" t="n"/>
      <c r="CF1058" s="68" t="n"/>
      <c r="CG1058" s="155" t="n"/>
    </row>
    <row r="1059">
      <c r="A1059" s="253" t="n"/>
      <c r="B1059" s="68" t="n"/>
      <c r="C1059" s="1003" t="n"/>
      <c r="D1059" s="1003" t="n"/>
      <c r="E1059" s="68" t="n"/>
      <c r="F1059" s="68" t="n"/>
      <c r="G1059" s="68" t="n"/>
      <c r="H1059" s="68" t="n"/>
      <c r="I1059" s="68" t="n"/>
      <c r="J1059" s="68" t="n"/>
      <c r="K1059" s="68" t="n"/>
      <c r="L1059" s="68" t="n"/>
      <c r="M1059" s="68" t="n"/>
      <c r="N1059" s="68" t="n"/>
      <c r="O1059" s="68" t="n"/>
      <c r="P1059" s="68" t="n"/>
      <c r="Q1059" s="68" t="n"/>
      <c r="R1059" s="68" t="n"/>
      <c r="S1059" s="68" t="n"/>
      <c r="T1059" s="68" t="n"/>
      <c r="U1059" s="68" t="n"/>
      <c r="V1059" s="68" t="n"/>
      <c r="W1059" s="68" t="n"/>
      <c r="X1059" s="68" t="n"/>
      <c r="Y1059" s="68" t="n"/>
      <c r="Z1059" s="68" t="n"/>
      <c r="AA1059" s="68" t="n"/>
      <c r="AB1059" s="68" t="n"/>
      <c r="AC1059" s="68" t="n"/>
      <c r="AD1059" s="68" t="n"/>
      <c r="AE1059" s="68" t="n"/>
      <c r="AF1059" s="68" t="n"/>
      <c r="AG1059" s="68" t="n"/>
      <c r="AH1059" s="68" t="n"/>
      <c r="AI1059" s="68" t="n"/>
      <c r="AJ1059" s="68" t="n"/>
      <c r="AK1059" s="68" t="n"/>
      <c r="AL1059" s="68" t="n"/>
      <c r="AM1059" s="68" t="n"/>
      <c r="AN1059" s="68" t="n"/>
      <c r="AO1059" s="68" t="n"/>
      <c r="AP1059" s="68" t="n"/>
      <c r="AQ1059" s="68" t="n"/>
      <c r="AR1059" s="68" t="n"/>
      <c r="AS1059" s="68" t="n"/>
      <c r="AT1059" s="68" t="n"/>
      <c r="AU1059" s="68" t="n"/>
      <c r="AV1059" s="68" t="n"/>
      <c r="AW1059" s="68" t="n"/>
      <c r="AX1059" s="68" t="n"/>
      <c r="AY1059" s="68" t="n"/>
      <c r="AZ1059" s="68" t="n"/>
      <c r="BA1059" s="68" t="n"/>
      <c r="BB1059" s="68" t="n"/>
      <c r="BC1059" s="68" t="n"/>
      <c r="BD1059" s="68" t="n"/>
      <c r="BE1059" s="68" t="n"/>
      <c r="BF1059" s="68" t="n"/>
      <c r="BG1059" s="68" t="n"/>
      <c r="BH1059" s="68" t="n"/>
      <c r="BI1059" s="68" t="n"/>
      <c r="BJ1059" s="68" t="n"/>
      <c r="BK1059" s="68" t="n"/>
      <c r="BL1059" s="68" t="n"/>
      <c r="BM1059" s="68" t="n"/>
      <c r="BN1059" s="68" t="n"/>
      <c r="BO1059" s="68" t="n"/>
      <c r="BP1059" s="68" t="n"/>
      <c r="BQ1059" s="68" t="n"/>
      <c r="BR1059" s="68" t="n"/>
      <c r="BS1059" s="68" t="n"/>
      <c r="BT1059" s="68" t="n"/>
      <c r="BU1059" s="68" t="n"/>
      <c r="BV1059" s="588" t="n"/>
      <c r="BW1059" s="68" t="n"/>
      <c r="BX1059" s="68" t="n"/>
      <c r="BY1059" s="68" t="n"/>
      <c r="BZ1059" s="68" t="n"/>
      <c r="CA1059" s="68" t="n"/>
      <c r="CB1059" s="68" t="n"/>
      <c r="CC1059" s="68" t="n"/>
      <c r="CD1059" s="68" t="n"/>
      <c r="CE1059" s="68" t="n"/>
      <c r="CF1059" s="68" t="n"/>
      <c r="CG1059" s="155" t="n"/>
    </row>
    <row r="1060">
      <c r="A1060" s="728" t="inlineStr">
        <is>
          <t>KPI Data</t>
        </is>
      </c>
      <c r="B1060" s="68" t="n"/>
      <c r="C1060" s="1003" t="n"/>
      <c r="D1060" s="1003" t="n"/>
      <c r="E1060" s="68" t="n"/>
      <c r="F1060" s="68" t="n"/>
      <c r="G1060" s="68" t="n"/>
      <c r="H1060" s="68" t="n"/>
      <c r="I1060" s="68" t="n"/>
      <c r="J1060" s="68" t="n"/>
      <c r="K1060" s="68" t="n"/>
      <c r="L1060" s="68" t="n"/>
      <c r="M1060" s="68" t="n"/>
      <c r="N1060" s="68" t="n"/>
      <c r="O1060" s="68" t="n"/>
      <c r="P1060" s="68" t="n"/>
      <c r="Q1060" s="68" t="n"/>
      <c r="R1060" s="68" t="n"/>
      <c r="S1060" s="68" t="n"/>
      <c r="T1060" s="68" t="n"/>
      <c r="U1060" s="68" t="n"/>
      <c r="V1060" s="68" t="n"/>
      <c r="W1060" s="68" t="n"/>
      <c r="X1060" s="68" t="n"/>
      <c r="Y1060" s="68" t="n"/>
      <c r="Z1060" s="68" t="n"/>
      <c r="AA1060" s="68" t="n"/>
      <c r="AB1060" s="68" t="n"/>
      <c r="AC1060" s="68" t="n"/>
      <c r="AD1060" s="68" t="n"/>
      <c r="AE1060" s="68" t="n"/>
      <c r="AF1060" s="68" t="n"/>
      <c r="AG1060" s="68" t="n"/>
      <c r="AH1060" s="68" t="n"/>
      <c r="AI1060" s="68" t="n"/>
      <c r="AJ1060" s="68" t="n"/>
      <c r="AK1060" s="68" t="n"/>
      <c r="AL1060" s="68" t="n"/>
      <c r="AM1060" s="68" t="n"/>
      <c r="AN1060" s="68" t="n"/>
      <c r="AO1060" s="68" t="n"/>
      <c r="AP1060" s="68" t="n"/>
      <c r="AQ1060" s="68" t="n"/>
      <c r="AR1060" s="68" t="n"/>
      <c r="AS1060" s="68" t="n"/>
      <c r="AT1060" s="68" t="n"/>
      <c r="AU1060" s="68" t="n"/>
      <c r="AV1060" s="68" t="n"/>
      <c r="AW1060" s="68" t="n"/>
      <c r="AX1060" s="68" t="n"/>
      <c r="AY1060" s="68" t="n"/>
      <c r="AZ1060" s="68" t="n"/>
      <c r="BA1060" s="68" t="n"/>
      <c r="BB1060" s="68" t="n"/>
      <c r="BC1060" s="68" t="n"/>
      <c r="BD1060" s="68" t="n"/>
      <c r="BE1060" s="68" t="n"/>
      <c r="BF1060" s="68" t="n"/>
      <c r="BG1060" s="68" t="n"/>
      <c r="BH1060" s="68" t="n"/>
      <c r="BI1060" s="68" t="n"/>
      <c r="BJ1060" s="68" t="n"/>
      <c r="BK1060" s="68" t="n"/>
      <c r="BL1060" s="68" t="n"/>
      <c r="BM1060" s="68" t="n"/>
      <c r="BN1060" s="68" t="n"/>
      <c r="BO1060" s="68" t="n"/>
      <c r="BP1060" s="68" t="n"/>
      <c r="BQ1060" s="68" t="n"/>
      <c r="BR1060" s="68" t="n"/>
      <c r="BS1060" s="68" t="n"/>
      <c r="BT1060" s="68" t="n"/>
      <c r="BU1060" s="68" t="n"/>
      <c r="BV1060" s="588" t="n"/>
      <c r="BW1060" s="68" t="n"/>
      <c r="BX1060" s="68" t="n"/>
      <c r="BY1060" s="68" t="n"/>
      <c r="BZ1060" s="68" t="n"/>
      <c r="CA1060" s="68" t="n"/>
      <c r="CB1060" s="68" t="n"/>
      <c r="CC1060" s="68" t="n"/>
      <c r="CD1060" s="68" t="n"/>
      <c r="CE1060" s="68" t="n"/>
      <c r="CF1060" s="68" t="n"/>
      <c r="CG1060" s="155" t="n"/>
    </row>
    <row r="1061">
      <c r="A1061" s="729" t="inlineStr">
        <is>
          <t>MO_RIS_REV</t>
        </is>
      </c>
      <c r="B1061" s="68" t="n"/>
      <c r="C1061" s="1003" t="n"/>
      <c r="D1061" s="1003" t="n"/>
      <c r="E1061" s="68" t="n"/>
      <c r="F1061" s="68" t="n"/>
      <c r="G1061" s="68" t="n"/>
      <c r="H1061" s="68" t="n"/>
      <c r="I1061" s="68" t="n"/>
      <c r="J1061" s="68" t="n"/>
      <c r="K1061" s="68" t="n"/>
      <c r="L1061" s="68" t="n"/>
      <c r="M1061" s="68" t="n"/>
      <c r="N1061" s="68" t="n"/>
      <c r="O1061" s="68" t="n"/>
      <c r="P1061" s="68" t="n"/>
      <c r="Q1061" s="68" t="n"/>
      <c r="R1061" s="68" t="n"/>
      <c r="S1061" s="68" t="n"/>
      <c r="T1061" s="68" t="n"/>
      <c r="U1061" s="68" t="n"/>
      <c r="V1061" s="68" t="n"/>
      <c r="W1061" s="68" t="n"/>
      <c r="X1061" s="68" t="n"/>
      <c r="Y1061" s="68" t="n"/>
      <c r="Z1061" s="68" t="n"/>
      <c r="AA1061" s="68" t="n"/>
      <c r="AB1061" s="68" t="n"/>
      <c r="AC1061" s="68" t="n"/>
      <c r="AD1061" s="68" t="n"/>
      <c r="AE1061" s="68" t="n"/>
      <c r="AF1061" s="68" t="n"/>
      <c r="AG1061" s="68" t="n"/>
      <c r="AH1061" s="68" t="n"/>
      <c r="AI1061" s="68" t="n"/>
      <c r="AJ1061" s="68" t="n"/>
      <c r="AK1061" s="68" t="n"/>
      <c r="AL1061" s="68" t="n"/>
      <c r="AM1061" s="68" t="n"/>
      <c r="AN1061" s="68" t="n"/>
      <c r="AO1061" s="68" t="n"/>
      <c r="AP1061" s="68" t="n"/>
      <c r="AQ1061" s="68" t="n"/>
      <c r="AR1061" s="68" t="n"/>
      <c r="AS1061" s="68" t="n"/>
      <c r="AT1061" s="68" t="n"/>
      <c r="AU1061" s="68" t="n"/>
      <c r="AV1061" s="68" t="n"/>
      <c r="AW1061" s="68" t="n"/>
      <c r="AX1061" s="68" t="n"/>
      <c r="AY1061" s="68" t="n"/>
      <c r="AZ1061" s="68" t="n"/>
      <c r="BA1061" s="68" t="n"/>
      <c r="BB1061" s="68" t="n"/>
      <c r="BC1061" s="68" t="n"/>
      <c r="BD1061" s="68" t="n"/>
      <c r="BE1061" s="68" t="n"/>
      <c r="BF1061" s="68" t="n"/>
      <c r="BG1061" s="68" t="n"/>
      <c r="BH1061" s="68" t="n"/>
      <c r="BI1061" s="68" t="n"/>
      <c r="BJ1061" s="68" t="n"/>
      <c r="BK1061" s="68" t="n"/>
      <c r="BL1061" s="68" t="n"/>
      <c r="BM1061" s="68" t="n"/>
      <c r="BN1061" s="68" t="n"/>
      <c r="BO1061" s="68" t="n"/>
      <c r="BP1061" s="68" t="n"/>
      <c r="BQ1061" s="68" t="n"/>
      <c r="BR1061" s="68" t="n"/>
      <c r="BS1061" s="68" t="n"/>
      <c r="BT1061" s="68" t="n"/>
      <c r="BU1061" s="68" t="n"/>
      <c r="BV1061" s="588" t="n"/>
      <c r="BW1061" s="68" t="n"/>
      <c r="BX1061" s="68" t="n"/>
      <c r="BY1061" s="68" t="n"/>
      <c r="BZ1061" s="68" t="n"/>
      <c r="CA1061" s="68" t="n"/>
      <c r="CB1061" s="68" t="n"/>
      <c r="CC1061" s="68" t="n"/>
      <c r="CD1061" s="68" t="n"/>
      <c r="CE1061" s="68" t="n"/>
      <c r="CF1061" s="68" t="n"/>
      <c r="CG1061" s="155" t="n"/>
    </row>
    <row r="1062">
      <c r="A1062" s="729" t="inlineStr">
        <is>
          <t>MO_RIS_NI_NONGAAP_Diluted</t>
        </is>
      </c>
      <c r="B1062" s="68" t="n"/>
      <c r="C1062" s="1003" t="n"/>
      <c r="D1062" s="1003" t="n"/>
      <c r="E1062" s="68" t="n"/>
      <c r="F1062" s="68" t="n"/>
      <c r="G1062" s="68" t="n"/>
      <c r="H1062" s="68" t="n"/>
      <c r="I1062" s="68" t="n"/>
      <c r="J1062" s="68" t="n"/>
      <c r="K1062" s="68" t="n"/>
      <c r="L1062" s="68" t="n"/>
      <c r="M1062" s="68" t="n"/>
      <c r="N1062" s="68" t="n"/>
      <c r="O1062" s="68" t="n"/>
      <c r="P1062" s="68" t="n"/>
      <c r="Q1062" s="68" t="n"/>
      <c r="R1062" s="68" t="n"/>
      <c r="S1062" s="68" t="n"/>
      <c r="T1062" s="68" t="n"/>
      <c r="U1062" s="68" t="n"/>
      <c r="V1062" s="68" t="n"/>
      <c r="W1062" s="68" t="n"/>
      <c r="X1062" s="68" t="n"/>
      <c r="Y1062" s="68" t="n"/>
      <c r="Z1062" s="68" t="n"/>
      <c r="AA1062" s="68" t="n"/>
      <c r="AB1062" s="68" t="n"/>
      <c r="AC1062" s="68" t="n"/>
      <c r="AD1062" s="68" t="n"/>
      <c r="AE1062" s="68" t="n"/>
      <c r="AF1062" s="68" t="n"/>
      <c r="AG1062" s="68" t="n"/>
      <c r="AH1062" s="68" t="n"/>
      <c r="AI1062" s="68" t="n"/>
      <c r="AJ1062" s="68" t="n"/>
      <c r="AK1062" s="68" t="n"/>
      <c r="AL1062" s="68" t="n"/>
      <c r="AM1062" s="68" t="n"/>
      <c r="AN1062" s="68" t="n"/>
      <c r="AO1062" s="68" t="n"/>
      <c r="AP1062" s="68" t="n"/>
      <c r="AQ1062" s="68" t="n"/>
      <c r="AR1062" s="68" t="n"/>
      <c r="AS1062" s="68" t="n"/>
      <c r="AT1062" s="68" t="n"/>
      <c r="AU1062" s="68" t="n"/>
      <c r="AV1062" s="68" t="n"/>
      <c r="AW1062" s="68" t="n"/>
      <c r="AX1062" s="68" t="n"/>
      <c r="AY1062" s="68" t="n"/>
      <c r="AZ1062" s="68" t="n"/>
      <c r="BA1062" s="68" t="n"/>
      <c r="BB1062" s="68" t="n"/>
      <c r="BC1062" s="68" t="n"/>
      <c r="BD1062" s="68" t="n"/>
      <c r="BE1062" s="68" t="n"/>
      <c r="BF1062" s="68" t="n"/>
      <c r="BG1062" s="68" t="n"/>
      <c r="BH1062" s="68" t="n"/>
      <c r="BI1062" s="68" t="n"/>
      <c r="BJ1062" s="68" t="n"/>
      <c r="BK1062" s="68" t="n"/>
      <c r="BL1062" s="68" t="n"/>
      <c r="BM1062" s="68" t="n"/>
      <c r="BN1062" s="68" t="n"/>
      <c r="BO1062" s="68" t="n"/>
      <c r="BP1062" s="68" t="n"/>
      <c r="BQ1062" s="68" t="n"/>
      <c r="BR1062" s="68" t="n"/>
      <c r="BS1062" s="68" t="n"/>
      <c r="BT1062" s="68" t="n"/>
      <c r="BU1062" s="68" t="n"/>
      <c r="BV1062" s="588" t="n"/>
      <c r="BW1062" s="68" t="n"/>
      <c r="BX1062" s="68" t="n"/>
      <c r="BY1062" s="68" t="n"/>
      <c r="BZ1062" s="68" t="n"/>
      <c r="CA1062" s="68" t="n"/>
      <c r="CB1062" s="68" t="n"/>
      <c r="CC1062" s="68" t="n"/>
      <c r="CD1062" s="68" t="n"/>
      <c r="CE1062" s="68" t="n"/>
      <c r="CF1062" s="68" t="n"/>
      <c r="CG1062" s="155" t="n"/>
    </row>
    <row r="1063">
      <c r="A1063" s="729" t="inlineStr">
        <is>
          <t>MO_RIS_EPS_WAD_Adj</t>
        </is>
      </c>
      <c r="B1063" s="68" t="n"/>
      <c r="C1063" s="1003" t="n"/>
      <c r="D1063" s="1003" t="n"/>
      <c r="E1063" s="68" t="n"/>
      <c r="F1063" s="68" t="n"/>
      <c r="G1063" s="68" t="n"/>
      <c r="H1063" s="68" t="n"/>
      <c r="I1063" s="68" t="n"/>
      <c r="J1063" s="68" t="n"/>
      <c r="K1063" s="68" t="n"/>
      <c r="L1063" s="68" t="n"/>
      <c r="M1063" s="68" t="n"/>
      <c r="N1063" s="68" t="n"/>
      <c r="O1063" s="68" t="n"/>
      <c r="P1063" s="68" t="n"/>
      <c r="Q1063" s="68" t="n"/>
      <c r="R1063" s="68" t="n"/>
      <c r="S1063" s="68" t="n"/>
      <c r="T1063" s="68" t="n"/>
      <c r="U1063" s="68" t="n"/>
      <c r="V1063" s="68" t="n"/>
      <c r="W1063" s="68" t="n"/>
      <c r="X1063" s="68" t="n"/>
      <c r="Y1063" s="68" t="n"/>
      <c r="Z1063" s="68" t="n"/>
      <c r="AA1063" s="68" t="n"/>
      <c r="AB1063" s="68" t="n"/>
      <c r="AC1063" s="68" t="n"/>
      <c r="AD1063" s="68" t="n"/>
      <c r="AE1063" s="68" t="n"/>
      <c r="AF1063" s="68" t="n"/>
      <c r="AG1063" s="68" t="n"/>
      <c r="AH1063" s="68" t="n"/>
      <c r="AI1063" s="68" t="n"/>
      <c r="AJ1063" s="68" t="n"/>
      <c r="AK1063" s="68" t="n"/>
      <c r="AL1063" s="68" t="n"/>
      <c r="AM1063" s="68" t="n"/>
      <c r="AN1063" s="68" t="n"/>
      <c r="AO1063" s="68" t="n"/>
      <c r="AP1063" s="68" t="n"/>
      <c r="AQ1063" s="68" t="n"/>
      <c r="AR1063" s="68" t="n"/>
      <c r="AS1063" s="68" t="n"/>
      <c r="AT1063" s="68" t="n"/>
      <c r="AU1063" s="68" t="n"/>
      <c r="AV1063" s="68" t="n"/>
      <c r="AW1063" s="68" t="n"/>
      <c r="AX1063" s="68" t="n"/>
      <c r="AY1063" s="68" t="n"/>
      <c r="AZ1063" s="68" t="n"/>
      <c r="BA1063" s="68" t="n"/>
      <c r="BB1063" s="68" t="n"/>
      <c r="BC1063" s="68" t="n"/>
      <c r="BD1063" s="68" t="n"/>
      <c r="BE1063" s="68" t="n"/>
      <c r="BF1063" s="68" t="n"/>
      <c r="BG1063" s="68" t="n"/>
      <c r="BH1063" s="68" t="n"/>
      <c r="BI1063" s="68" t="n"/>
      <c r="BJ1063" s="68" t="n"/>
      <c r="BK1063" s="68" t="n"/>
      <c r="BL1063" s="68" t="n"/>
      <c r="BM1063" s="68" t="n"/>
      <c r="BN1063" s="68" t="n"/>
      <c r="BO1063" s="68" t="n"/>
      <c r="BP1063" s="68" t="n"/>
      <c r="BQ1063" s="68" t="n"/>
      <c r="BR1063" s="68" t="n"/>
      <c r="BS1063" s="68" t="n"/>
      <c r="BT1063" s="68" t="n"/>
      <c r="BU1063" s="68" t="n"/>
      <c r="BV1063" s="588" t="n"/>
      <c r="BW1063" s="68" t="n"/>
      <c r="BX1063" s="68" t="n"/>
      <c r="BY1063" s="68" t="n"/>
      <c r="BZ1063" s="68" t="n"/>
      <c r="CA1063" s="68" t="n"/>
      <c r="CB1063" s="68" t="n"/>
      <c r="CC1063" s="68" t="n"/>
      <c r="CD1063" s="68" t="n"/>
      <c r="CE1063" s="68" t="n"/>
      <c r="CF1063" s="68" t="n"/>
      <c r="CG1063" s="155" t="n"/>
    </row>
    <row r="1064">
      <c r="A1064" s="729" t="inlineStr">
        <is>
          <t>MO_RIS_EBITDA_Adj</t>
        </is>
      </c>
      <c r="B1064" s="68" t="n"/>
      <c r="C1064" s="1003" t="n"/>
      <c r="D1064" s="1003" t="n"/>
      <c r="E1064" s="68" t="n"/>
      <c r="F1064" s="68" t="n"/>
      <c r="G1064" s="68" t="n"/>
      <c r="H1064" s="68" t="n"/>
      <c r="I1064" s="68" t="n"/>
      <c r="J1064" s="68" t="n"/>
      <c r="K1064" s="68" t="n"/>
      <c r="L1064" s="68" t="n"/>
      <c r="M1064" s="68" t="n"/>
      <c r="N1064" s="68" t="n"/>
      <c r="O1064" s="68" t="n"/>
      <c r="P1064" s="68" t="n"/>
      <c r="Q1064" s="68" t="n"/>
      <c r="R1064" s="68" t="n"/>
      <c r="S1064" s="68" t="n"/>
      <c r="T1064" s="68" t="n"/>
      <c r="U1064" s="68" t="n"/>
      <c r="V1064" s="68" t="n"/>
      <c r="W1064" s="68" t="n"/>
      <c r="X1064" s="68" t="n"/>
      <c r="Y1064" s="68" t="n"/>
      <c r="Z1064" s="68" t="n"/>
      <c r="AA1064" s="68" t="n"/>
      <c r="AB1064" s="68" t="n"/>
      <c r="AC1064" s="68" t="n"/>
      <c r="AD1064" s="68" t="n"/>
      <c r="AE1064" s="68" t="n"/>
      <c r="AF1064" s="68" t="n"/>
      <c r="AG1064" s="68" t="n"/>
      <c r="AH1064" s="68" t="n"/>
      <c r="AI1064" s="68" t="n"/>
      <c r="AJ1064" s="68" t="n"/>
      <c r="AK1064" s="68" t="n"/>
      <c r="AL1064" s="68" t="n"/>
      <c r="AM1064" s="68" t="n"/>
      <c r="AN1064" s="68" t="n"/>
      <c r="AO1064" s="68" t="n"/>
      <c r="AP1064" s="68" t="n"/>
      <c r="AQ1064" s="68" t="n"/>
      <c r="AR1064" s="68" t="n"/>
      <c r="AS1064" s="68" t="n"/>
      <c r="AT1064" s="68" t="n"/>
      <c r="AU1064" s="68" t="n"/>
      <c r="AV1064" s="68" t="n"/>
      <c r="AW1064" s="68" t="n"/>
      <c r="AX1064" s="68" t="n"/>
      <c r="AY1064" s="68" t="n"/>
      <c r="AZ1064" s="68" t="n"/>
      <c r="BA1064" s="68" t="n"/>
      <c r="BB1064" s="68" t="n"/>
      <c r="BC1064" s="68" t="n"/>
      <c r="BD1064" s="68" t="n"/>
      <c r="BE1064" s="68" t="n"/>
      <c r="BF1064" s="68" t="n"/>
      <c r="BG1064" s="68" t="n"/>
      <c r="BH1064" s="68" t="n"/>
      <c r="BI1064" s="68" t="n"/>
      <c r="BJ1064" s="68" t="n"/>
      <c r="BK1064" s="68" t="n"/>
      <c r="BL1064" s="68" t="n"/>
      <c r="BM1064" s="68" t="n"/>
      <c r="BN1064" s="68" t="n"/>
      <c r="BO1064" s="68" t="n"/>
      <c r="BP1064" s="68" t="n"/>
      <c r="BQ1064" s="68" t="n"/>
      <c r="BR1064" s="68" t="n"/>
      <c r="BS1064" s="68" t="n"/>
      <c r="BT1064" s="68" t="n"/>
      <c r="BU1064" s="68" t="n"/>
      <c r="BV1064" s="588" t="n"/>
      <c r="BW1064" s="68" t="n"/>
      <c r="BX1064" s="68" t="n"/>
      <c r="BY1064" s="68" t="n"/>
      <c r="BZ1064" s="68" t="n"/>
      <c r="CA1064" s="68" t="n"/>
      <c r="CB1064" s="68" t="n"/>
      <c r="CC1064" s="68" t="n"/>
      <c r="CD1064" s="68" t="n"/>
      <c r="CE1064" s="68" t="n"/>
      <c r="CF1064" s="68" t="n"/>
      <c r="CG1064" s="155" t="n"/>
    </row>
    <row r="1065">
      <c r="A1065" s="729" t="inlineStr">
        <is>
          <t>MO_OS_EmployeeCount</t>
        </is>
      </c>
      <c r="B1065" s="68" t="n"/>
      <c r="C1065" s="1003" t="n"/>
      <c r="D1065" s="1003" t="n"/>
      <c r="E1065" s="68" t="n"/>
      <c r="F1065" s="68" t="n"/>
      <c r="G1065" s="68" t="n"/>
      <c r="H1065" s="68" t="n"/>
      <c r="I1065" s="68" t="n"/>
      <c r="J1065" s="68" t="n"/>
      <c r="K1065" s="68" t="n"/>
      <c r="L1065" s="68" t="n"/>
      <c r="M1065" s="68" t="n"/>
      <c r="N1065" s="68" t="n"/>
      <c r="O1065" s="68" t="n"/>
      <c r="P1065" s="68" t="n"/>
      <c r="Q1065" s="68" t="n"/>
      <c r="R1065" s="68" t="n"/>
      <c r="S1065" s="68" t="n"/>
      <c r="T1065" s="68" t="n"/>
      <c r="U1065" s="68" t="n"/>
      <c r="V1065" s="68" t="n"/>
      <c r="W1065" s="68" t="n"/>
      <c r="X1065" s="68" t="n"/>
      <c r="Y1065" s="68" t="n"/>
      <c r="Z1065" s="68" t="n"/>
      <c r="AA1065" s="68" t="n"/>
      <c r="AB1065" s="68" t="n"/>
      <c r="AC1065" s="68" t="n"/>
      <c r="AD1065" s="68" t="n"/>
      <c r="AE1065" s="68" t="n"/>
      <c r="AF1065" s="68" t="n"/>
      <c r="AG1065" s="68" t="n"/>
      <c r="AH1065" s="68" t="n"/>
      <c r="AI1065" s="68" t="n"/>
      <c r="AJ1065" s="68" t="n"/>
      <c r="AK1065" s="68" t="n"/>
      <c r="AL1065" s="68" t="n"/>
      <c r="AM1065" s="68" t="n"/>
      <c r="AN1065" s="68" t="n"/>
      <c r="AO1065" s="68" t="n"/>
      <c r="AP1065" s="68" t="n"/>
      <c r="AQ1065" s="68" t="n"/>
      <c r="AR1065" s="68" t="n"/>
      <c r="AS1065" s="68" t="n"/>
      <c r="AT1065" s="68" t="n"/>
      <c r="AU1065" s="68" t="n"/>
      <c r="AV1065" s="68" t="n"/>
      <c r="AW1065" s="68" t="n"/>
      <c r="AX1065" s="68" t="n"/>
      <c r="AY1065" s="68" t="n"/>
      <c r="AZ1065" s="68" t="n"/>
      <c r="BA1065" s="68" t="n"/>
      <c r="BB1065" s="68" t="n"/>
      <c r="BC1065" s="68" t="n"/>
      <c r="BD1065" s="68" t="n"/>
      <c r="BE1065" s="68" t="n"/>
      <c r="BF1065" s="68" t="n"/>
      <c r="BG1065" s="68" t="n"/>
      <c r="BH1065" s="68" t="n"/>
      <c r="BI1065" s="68" t="n"/>
      <c r="BJ1065" s="68" t="n"/>
      <c r="BK1065" s="68" t="n"/>
      <c r="BL1065" s="68" t="n"/>
      <c r="BM1065" s="68" t="n"/>
      <c r="BN1065" s="68" t="n"/>
      <c r="BO1065" s="68" t="n"/>
      <c r="BP1065" s="68" t="n"/>
      <c r="BQ1065" s="68" t="n"/>
      <c r="BR1065" s="68" t="n"/>
      <c r="BS1065" s="68" t="n"/>
      <c r="BT1065" s="68" t="n"/>
      <c r="BU1065" s="68" t="n"/>
      <c r="BV1065" s="588" t="n"/>
      <c r="BW1065" s="68" t="n"/>
      <c r="BX1065" s="68" t="n"/>
      <c r="BY1065" s="68" t="n"/>
      <c r="BZ1065" s="68" t="n"/>
      <c r="CA1065" s="68" t="n"/>
      <c r="CB1065" s="68" t="n"/>
      <c r="CC1065" s="68" t="n"/>
      <c r="CD1065" s="68" t="n"/>
      <c r="CE1065" s="68" t="n"/>
      <c r="CF1065" s="68" t="n"/>
      <c r="CG1065" s="155" t="n"/>
    </row>
    <row r="1066">
      <c r="A1066" s="729" t="inlineStr">
        <is>
          <t>MO_KPI_REV_SEMI</t>
        </is>
      </c>
      <c r="B1066" s="68" t="n"/>
      <c r="C1066" s="1003" t="n"/>
      <c r="D1066" s="1003" t="n"/>
      <c r="E1066" s="68" t="n"/>
      <c r="F1066" s="68" t="n"/>
      <c r="G1066" s="68" t="n"/>
      <c r="H1066" s="68" t="n"/>
      <c r="I1066" s="68" t="n"/>
      <c r="J1066" s="68" t="n"/>
      <c r="K1066" s="68" t="n"/>
      <c r="L1066" s="68" t="n"/>
      <c r="M1066" s="68" t="n"/>
      <c r="N1066" s="68" t="n"/>
      <c r="O1066" s="68" t="n"/>
      <c r="P1066" s="68" t="n"/>
      <c r="Q1066" s="68" t="n"/>
      <c r="R1066" s="68" t="n"/>
      <c r="S1066" s="68" t="n"/>
      <c r="T1066" s="68" t="n"/>
      <c r="U1066" s="68" t="n"/>
      <c r="V1066" s="68" t="n"/>
      <c r="W1066" s="68" t="n"/>
      <c r="X1066" s="68" t="n"/>
      <c r="Y1066" s="68" t="n"/>
      <c r="Z1066" s="68" t="n"/>
      <c r="AA1066" s="68" t="n"/>
      <c r="AB1066" s="68" t="n"/>
      <c r="AC1066" s="68" t="n"/>
      <c r="AD1066" s="68" t="n"/>
      <c r="AE1066" s="68" t="n"/>
      <c r="AF1066" s="68" t="n"/>
      <c r="AG1066" s="68" t="n"/>
      <c r="AH1066" s="68" t="n"/>
      <c r="AI1066" s="68" t="n"/>
      <c r="AJ1066" s="68" t="n"/>
      <c r="AK1066" s="68" t="n"/>
      <c r="AL1066" s="68" t="n"/>
      <c r="AM1066" s="68" t="n"/>
      <c r="AN1066" s="68" t="n"/>
      <c r="AO1066" s="68" t="n"/>
      <c r="AP1066" s="68" t="n"/>
      <c r="AQ1066" s="68" t="n"/>
      <c r="AR1066" s="68" t="n"/>
      <c r="AS1066" s="68" t="n"/>
      <c r="AT1066" s="68" t="n"/>
      <c r="AU1066" s="68" t="n"/>
      <c r="AV1066" s="68" t="n"/>
      <c r="AW1066" s="68" t="n"/>
      <c r="AX1066" s="68" t="n"/>
      <c r="AY1066" s="68" t="n"/>
      <c r="AZ1066" s="68" t="n"/>
      <c r="BA1066" s="68" t="n"/>
      <c r="BB1066" s="68" t="n"/>
      <c r="BC1066" s="68" t="n"/>
      <c r="BD1066" s="68" t="n"/>
      <c r="BE1066" s="68" t="n"/>
      <c r="BF1066" s="68" t="n"/>
      <c r="BG1066" s="68" t="n"/>
      <c r="BH1066" s="68" t="n"/>
      <c r="BI1066" s="68" t="n"/>
      <c r="BJ1066" s="68" t="n"/>
      <c r="BK1066" s="68" t="n"/>
      <c r="BL1066" s="68" t="n"/>
      <c r="BM1066" s="68" t="n"/>
      <c r="BN1066" s="68" t="n"/>
      <c r="BO1066" s="68" t="n"/>
      <c r="BP1066" s="68" t="n"/>
      <c r="BQ1066" s="68" t="n"/>
      <c r="BR1066" s="68" t="n"/>
      <c r="BS1066" s="68" t="n"/>
      <c r="BT1066" s="68" t="n"/>
      <c r="BU1066" s="68" t="n"/>
      <c r="BV1066" s="588" t="n"/>
      <c r="BW1066" s="68" t="n"/>
      <c r="BX1066" s="68" t="n"/>
      <c r="BY1066" s="68" t="n"/>
      <c r="BZ1066" s="68" t="n"/>
      <c r="CA1066" s="68" t="n"/>
      <c r="CB1066" s="68" t="n"/>
      <c r="CC1066" s="68" t="n"/>
      <c r="CD1066" s="68" t="n"/>
      <c r="CE1066" s="68" t="n"/>
      <c r="CF1066" s="68" t="n"/>
      <c r="CG1066" s="155" t="n"/>
    </row>
    <row r="1067">
      <c r="A1067" s="729" t="inlineStr">
        <is>
          <t>MO_KPI_REV_SEMI_Growth</t>
        </is>
      </c>
      <c r="B1067" s="68" t="n"/>
      <c r="C1067" s="1003" t="n"/>
      <c r="D1067" s="1003" t="n"/>
      <c r="E1067" s="68" t="n"/>
      <c r="F1067" s="68" t="n"/>
      <c r="G1067" s="68" t="n"/>
      <c r="H1067" s="68" t="n"/>
      <c r="I1067" s="68" t="n"/>
      <c r="J1067" s="68" t="n"/>
      <c r="K1067" s="68" t="n"/>
      <c r="L1067" s="68" t="n"/>
      <c r="M1067" s="68" t="n"/>
      <c r="N1067" s="68" t="n"/>
      <c r="O1067" s="68" t="n"/>
      <c r="P1067" s="68" t="n"/>
      <c r="Q1067" s="68" t="n"/>
      <c r="R1067" s="68" t="n"/>
      <c r="S1067" s="68" t="n"/>
      <c r="T1067" s="68" t="n"/>
      <c r="U1067" s="68" t="n"/>
      <c r="V1067" s="68" t="n"/>
      <c r="W1067" s="68" t="n"/>
      <c r="X1067" s="68" t="n"/>
      <c r="Y1067" s="68" t="n"/>
      <c r="Z1067" s="68" t="n"/>
      <c r="AA1067" s="68" t="n"/>
      <c r="AB1067" s="68" t="n"/>
      <c r="AC1067" s="68" t="n"/>
      <c r="AD1067" s="68" t="n"/>
      <c r="AE1067" s="68" t="n"/>
      <c r="AF1067" s="68" t="n"/>
      <c r="AG1067" s="68" t="n"/>
      <c r="AH1067" s="68" t="n"/>
      <c r="AI1067" s="68" t="n"/>
      <c r="AJ1067" s="68" t="n"/>
      <c r="AK1067" s="68" t="n"/>
      <c r="AL1067" s="68" t="n"/>
      <c r="AM1067" s="68" t="n"/>
      <c r="AN1067" s="68" t="n"/>
      <c r="AO1067" s="68" t="n"/>
      <c r="AP1067" s="68" t="n"/>
      <c r="AQ1067" s="68" t="n"/>
      <c r="AR1067" s="68" t="n"/>
      <c r="AS1067" s="68" t="n"/>
      <c r="AT1067" s="68" t="n"/>
      <c r="AU1067" s="68" t="n"/>
      <c r="AV1067" s="68" t="n"/>
      <c r="AW1067" s="68" t="n"/>
      <c r="AX1067" s="68" t="n"/>
      <c r="AY1067" s="68" t="n"/>
      <c r="AZ1067" s="68" t="n"/>
      <c r="BA1067" s="68" t="n"/>
      <c r="BB1067" s="68" t="n"/>
      <c r="BC1067" s="68" t="n"/>
      <c r="BD1067" s="68" t="n"/>
      <c r="BE1067" s="68" t="n"/>
      <c r="BF1067" s="68" t="n"/>
      <c r="BG1067" s="68" t="n"/>
      <c r="BH1067" s="68" t="n"/>
      <c r="BI1067" s="68" t="n"/>
      <c r="BJ1067" s="68" t="n"/>
      <c r="BK1067" s="68" t="n"/>
      <c r="BL1067" s="68" t="n"/>
      <c r="BM1067" s="68" t="n"/>
      <c r="BN1067" s="68" t="n"/>
      <c r="BO1067" s="68" t="n"/>
      <c r="BP1067" s="68" t="n"/>
      <c r="BQ1067" s="68" t="n"/>
      <c r="BR1067" s="68" t="n"/>
      <c r="BS1067" s="68" t="n"/>
      <c r="BT1067" s="68" t="n"/>
      <c r="BU1067" s="68" t="n"/>
      <c r="BV1067" s="588" t="n"/>
      <c r="BW1067" s="68" t="n"/>
      <c r="BX1067" s="68" t="n"/>
      <c r="BY1067" s="68" t="n"/>
      <c r="BZ1067" s="68" t="n"/>
      <c r="CA1067" s="68" t="n"/>
      <c r="CB1067" s="68" t="n"/>
      <c r="CC1067" s="68" t="n"/>
      <c r="CD1067" s="68" t="n"/>
      <c r="CE1067" s="68" t="n"/>
      <c r="CF1067" s="68" t="n"/>
      <c r="CG1067" s="155" t="n"/>
    </row>
    <row r="1068">
      <c r="A1068" s="729" t="inlineStr">
        <is>
          <t>MO_KPI_REV_SEMI_Auto</t>
        </is>
      </c>
      <c r="B1068" s="68" t="n"/>
      <c r="C1068" s="1003" t="n"/>
      <c r="D1068" s="1003" t="n"/>
      <c r="E1068" s="68" t="n"/>
      <c r="F1068" s="68" t="n"/>
      <c r="G1068" s="68" t="n"/>
      <c r="H1068" s="68" t="n"/>
      <c r="I1068" s="68" t="n"/>
      <c r="J1068" s="68" t="n"/>
      <c r="K1068" s="68" t="n"/>
      <c r="L1068" s="68" t="n"/>
      <c r="M1068" s="68" t="n"/>
      <c r="N1068" s="68" t="n"/>
      <c r="O1068" s="68" t="n"/>
      <c r="P1068" s="68" t="n"/>
      <c r="Q1068" s="68" t="n"/>
      <c r="R1068" s="68" t="n"/>
      <c r="S1068" s="68" t="n"/>
      <c r="T1068" s="68" t="n"/>
      <c r="U1068" s="68" t="n"/>
      <c r="V1068" s="68" t="n"/>
      <c r="W1068" s="68" t="n"/>
      <c r="X1068" s="68" t="n"/>
      <c r="Y1068" s="68" t="n"/>
      <c r="Z1068" s="68" t="n"/>
      <c r="AA1068" s="68" t="n"/>
      <c r="AB1068" s="68" t="n"/>
      <c r="AC1068" s="68" t="n"/>
      <c r="AD1068" s="68" t="n"/>
      <c r="AE1068" s="68" t="n"/>
      <c r="AF1068" s="68" t="n"/>
      <c r="AG1068" s="68" t="n"/>
      <c r="AH1068" s="68" t="n"/>
      <c r="AI1068" s="68" t="n"/>
      <c r="AJ1068" s="68" t="n"/>
      <c r="AK1068" s="68" t="n"/>
      <c r="AL1068" s="68" t="n"/>
      <c r="AM1068" s="68" t="n"/>
      <c r="AN1068" s="68" t="n"/>
      <c r="AO1068" s="68" t="n"/>
      <c r="AP1068" s="68" t="n"/>
      <c r="AQ1068" s="68" t="n"/>
      <c r="AR1068" s="68" t="n"/>
      <c r="AS1068" s="68" t="n"/>
      <c r="AT1068" s="68" t="n"/>
      <c r="AU1068" s="68" t="n"/>
      <c r="AV1068" s="68" t="n"/>
      <c r="AW1068" s="68" t="n"/>
      <c r="AX1068" s="68" t="n"/>
      <c r="AY1068" s="68" t="n"/>
      <c r="AZ1068" s="68" t="n"/>
      <c r="BA1068" s="68" t="n"/>
      <c r="BB1068" s="68" t="n"/>
      <c r="BC1068" s="68" t="n"/>
      <c r="BD1068" s="68" t="n"/>
      <c r="BE1068" s="68" t="n"/>
      <c r="BF1068" s="68" t="n"/>
      <c r="BG1068" s="68" t="n"/>
      <c r="BH1068" s="68" t="n"/>
      <c r="BI1068" s="68" t="n"/>
      <c r="BJ1068" s="68" t="n"/>
      <c r="BK1068" s="68" t="n"/>
      <c r="BL1068" s="68" t="n"/>
      <c r="BM1068" s="68" t="n"/>
      <c r="BN1068" s="68" t="n"/>
      <c r="BO1068" s="68" t="n"/>
      <c r="BP1068" s="68" t="n"/>
      <c r="BQ1068" s="68" t="n"/>
      <c r="BR1068" s="68" t="n"/>
      <c r="BS1068" s="68" t="n"/>
      <c r="BT1068" s="68" t="n"/>
      <c r="BU1068" s="68" t="n"/>
      <c r="BV1068" s="588" t="n"/>
      <c r="BW1068" s="68" t="n"/>
      <c r="BX1068" s="68" t="n"/>
      <c r="BY1068" s="68" t="n"/>
      <c r="BZ1068" s="68" t="n"/>
      <c r="CA1068" s="68" t="n"/>
      <c r="CB1068" s="68" t="n"/>
      <c r="CC1068" s="68" t="n"/>
      <c r="CD1068" s="68" t="n"/>
      <c r="CE1068" s="68" t="n"/>
      <c r="CF1068" s="68" t="n"/>
      <c r="CG1068" s="155" t="n"/>
    </row>
    <row r="1069">
      <c r="A1069" s="729" t="inlineStr">
        <is>
          <t>MO_KPI_REV_SEMI_Auto_Growth</t>
        </is>
      </c>
      <c r="B1069" s="68" t="n"/>
      <c r="C1069" s="1003" t="n"/>
      <c r="D1069" s="1003" t="n"/>
      <c r="E1069" s="68" t="n"/>
      <c r="F1069" s="68" t="n"/>
      <c r="G1069" s="68" t="n"/>
      <c r="H1069" s="68" t="n"/>
      <c r="I1069" s="68" t="n"/>
      <c r="J1069" s="68" t="n"/>
      <c r="K1069" s="68" t="n"/>
      <c r="L1069" s="68" t="n"/>
      <c r="M1069" s="68" t="n"/>
      <c r="N1069" s="68" t="n"/>
      <c r="O1069" s="68" t="n"/>
      <c r="P1069" s="68" t="n"/>
      <c r="Q1069" s="68" t="n"/>
      <c r="R1069" s="68" t="n"/>
      <c r="S1069" s="68" t="n"/>
      <c r="T1069" s="68" t="n"/>
      <c r="U1069" s="68" t="n"/>
      <c r="V1069" s="68" t="n"/>
      <c r="W1069" s="68" t="n"/>
      <c r="X1069" s="68" t="n"/>
      <c r="Y1069" s="68" t="n"/>
      <c r="Z1069" s="68" t="n"/>
      <c r="AA1069" s="68" t="n"/>
      <c r="AB1069" s="68" t="n"/>
      <c r="AC1069" s="68" t="n"/>
      <c r="AD1069" s="68" t="n"/>
      <c r="AE1069" s="68" t="n"/>
      <c r="AF1069" s="68" t="n"/>
      <c r="AG1069" s="68" t="n"/>
      <c r="AH1069" s="68" t="n"/>
      <c r="AI1069" s="68" t="n"/>
      <c r="AJ1069" s="68" t="n"/>
      <c r="AK1069" s="68" t="n"/>
      <c r="AL1069" s="68" t="n"/>
      <c r="AM1069" s="68" t="n"/>
      <c r="AN1069" s="68" t="n"/>
      <c r="AO1069" s="68" t="n"/>
      <c r="AP1069" s="68" t="n"/>
      <c r="AQ1069" s="68" t="n"/>
      <c r="AR1069" s="68" t="n"/>
      <c r="AS1069" s="68" t="n"/>
      <c r="AT1069" s="68" t="n"/>
      <c r="AU1069" s="68" t="n"/>
      <c r="AV1069" s="68" t="n"/>
      <c r="AW1069" s="68" t="n"/>
      <c r="AX1069" s="68" t="n"/>
      <c r="AY1069" s="68" t="n"/>
      <c r="AZ1069" s="68" t="n"/>
      <c r="BA1069" s="68" t="n"/>
      <c r="BB1069" s="68" t="n"/>
      <c r="BC1069" s="68" t="n"/>
      <c r="BD1069" s="68" t="n"/>
      <c r="BE1069" s="68" t="n"/>
      <c r="BF1069" s="68" t="n"/>
      <c r="BG1069" s="68" t="n"/>
      <c r="BH1069" s="68" t="n"/>
      <c r="BI1069" s="68" t="n"/>
      <c r="BJ1069" s="68" t="n"/>
      <c r="BK1069" s="68" t="n"/>
      <c r="BL1069" s="68" t="n"/>
      <c r="BM1069" s="68" t="n"/>
      <c r="BN1069" s="68" t="n"/>
      <c r="BO1069" s="68" t="n"/>
      <c r="BP1069" s="68" t="n"/>
      <c r="BQ1069" s="68" t="n"/>
      <c r="BR1069" s="68" t="n"/>
      <c r="BS1069" s="68" t="n"/>
      <c r="BT1069" s="68" t="n"/>
      <c r="BU1069" s="68" t="n"/>
      <c r="BV1069" s="588" t="n"/>
      <c r="BW1069" s="68" t="n"/>
      <c r="BX1069" s="68" t="n"/>
      <c r="BY1069" s="68" t="n"/>
      <c r="BZ1069" s="68" t="n"/>
      <c r="CA1069" s="68" t="n"/>
      <c r="CB1069" s="68" t="n"/>
      <c r="CC1069" s="68" t="n"/>
      <c r="CD1069" s="68" t="n"/>
      <c r="CE1069" s="68" t="n"/>
      <c r="CF1069" s="68" t="n"/>
      <c r="CG1069" s="155" t="n"/>
    </row>
    <row r="1070">
      <c r="A1070" s="729" t="inlineStr">
        <is>
          <t>MO_KPI_REV_SEMI_Comp</t>
        </is>
      </c>
      <c r="B1070" s="68" t="n"/>
      <c r="C1070" s="1003" t="n"/>
      <c r="D1070" s="1003" t="n"/>
      <c r="E1070" s="68" t="n"/>
      <c r="F1070" s="68" t="n"/>
      <c r="G1070" s="68" t="n"/>
      <c r="H1070" s="68" t="n"/>
      <c r="I1070" s="68" t="n"/>
      <c r="J1070" s="68" t="n"/>
      <c r="K1070" s="68" t="n"/>
      <c r="L1070" s="68" t="n"/>
      <c r="M1070" s="68" t="n"/>
      <c r="N1070" s="68" t="n"/>
      <c r="O1070" s="68" t="n"/>
      <c r="P1070" s="68" t="n"/>
      <c r="Q1070" s="68" t="n"/>
      <c r="R1070" s="68" t="n"/>
      <c r="S1070" s="68" t="n"/>
      <c r="T1070" s="68" t="n"/>
      <c r="U1070" s="68" t="n"/>
      <c r="V1070" s="68" t="n"/>
      <c r="W1070" s="68" t="n"/>
      <c r="X1070" s="68" t="n"/>
      <c r="Y1070" s="68" t="n"/>
      <c r="Z1070" s="68" t="n"/>
      <c r="AA1070" s="68" t="n"/>
      <c r="AB1070" s="68" t="n"/>
      <c r="AC1070" s="68" t="n"/>
      <c r="AD1070" s="68" t="n"/>
      <c r="AE1070" s="68" t="n"/>
      <c r="AF1070" s="68" t="n"/>
      <c r="AG1070" s="68" t="n"/>
      <c r="AH1070" s="68" t="n"/>
      <c r="AI1070" s="68" t="n"/>
      <c r="AJ1070" s="68" t="n"/>
      <c r="AK1070" s="68" t="n"/>
      <c r="AL1070" s="68" t="n"/>
      <c r="AM1070" s="68" t="n"/>
      <c r="AN1070" s="68" t="n"/>
      <c r="AO1070" s="68" t="n"/>
      <c r="AP1070" s="68" t="n"/>
      <c r="AQ1070" s="68" t="n"/>
      <c r="AR1070" s="68" t="n"/>
      <c r="AS1070" s="68" t="n"/>
      <c r="AT1070" s="68" t="n"/>
      <c r="AU1070" s="68" t="n"/>
      <c r="AV1070" s="68" t="n"/>
      <c r="AW1070" s="68" t="n"/>
      <c r="AX1070" s="68" t="n"/>
      <c r="AY1070" s="68" t="n"/>
      <c r="AZ1070" s="68" t="n"/>
      <c r="BA1070" s="68" t="n"/>
      <c r="BB1070" s="68" t="n"/>
      <c r="BC1070" s="68" t="n"/>
      <c r="BD1070" s="68" t="n"/>
      <c r="BE1070" s="68" t="n"/>
      <c r="BF1070" s="68" t="n"/>
      <c r="BG1070" s="68" t="n"/>
      <c r="BH1070" s="68" t="n"/>
      <c r="BI1070" s="68" t="n"/>
      <c r="BJ1070" s="68" t="n"/>
      <c r="BK1070" s="68" t="n"/>
      <c r="BL1070" s="68" t="n"/>
      <c r="BM1070" s="68" t="n"/>
      <c r="BN1070" s="68" t="n"/>
      <c r="BO1070" s="68" t="n"/>
      <c r="BP1070" s="68" t="n"/>
      <c r="BQ1070" s="68" t="n"/>
      <c r="BR1070" s="68" t="n"/>
      <c r="BS1070" s="68" t="n"/>
      <c r="BT1070" s="68" t="n"/>
      <c r="BU1070" s="68" t="n"/>
      <c r="BV1070" s="588" t="n"/>
      <c r="BW1070" s="68" t="n"/>
      <c r="BX1070" s="68" t="n"/>
      <c r="BY1070" s="68" t="n"/>
      <c r="BZ1070" s="68" t="n"/>
      <c r="CA1070" s="68" t="n"/>
      <c r="CB1070" s="68" t="n"/>
      <c r="CC1070" s="68" t="n"/>
      <c r="CD1070" s="68" t="n"/>
      <c r="CE1070" s="68" t="n"/>
      <c r="CF1070" s="68" t="n"/>
      <c r="CG1070" s="155" t="n"/>
    </row>
    <row r="1071">
      <c r="A1071" s="729" t="inlineStr">
        <is>
          <t>MO_KPI_REV_SEMI_Comp_Growth</t>
        </is>
      </c>
      <c r="B1071" s="68" t="n"/>
      <c r="C1071" s="1003" t="n"/>
      <c r="D1071" s="1003" t="n"/>
      <c r="E1071" s="68" t="n"/>
      <c r="F1071" s="68" t="n"/>
      <c r="G1071" s="68" t="n"/>
      <c r="H1071" s="68" t="n"/>
      <c r="I1071" s="68" t="n"/>
      <c r="J1071" s="68" t="n"/>
      <c r="K1071" s="68" t="n"/>
      <c r="L1071" s="68" t="n"/>
      <c r="M1071" s="68" t="n"/>
      <c r="N1071" s="68" t="n"/>
      <c r="O1071" s="68" t="n"/>
      <c r="P1071" s="68" t="n"/>
      <c r="Q1071" s="68" t="n"/>
      <c r="R1071" s="68" t="n"/>
      <c r="S1071" s="68" t="n"/>
      <c r="T1071" s="68" t="n"/>
      <c r="U1071" s="68" t="n"/>
      <c r="V1071" s="68" t="n"/>
      <c r="W1071" s="68" t="n"/>
      <c r="X1071" s="68" t="n"/>
      <c r="Y1071" s="68" t="n"/>
      <c r="Z1071" s="68" t="n"/>
      <c r="AA1071" s="68" t="n"/>
      <c r="AB1071" s="68" t="n"/>
      <c r="AC1071" s="68" t="n"/>
      <c r="AD1071" s="68" t="n"/>
      <c r="AE1071" s="68" t="n"/>
      <c r="AF1071" s="68" t="n"/>
      <c r="AG1071" s="68" t="n"/>
      <c r="AH1071" s="68" t="n"/>
      <c r="AI1071" s="68" t="n"/>
      <c r="AJ1071" s="68" t="n"/>
      <c r="AK1071" s="68" t="n"/>
      <c r="AL1071" s="68" t="n"/>
      <c r="AM1071" s="68" t="n"/>
      <c r="AN1071" s="68" t="n"/>
      <c r="AO1071" s="68" t="n"/>
      <c r="AP1071" s="68" t="n"/>
      <c r="AQ1071" s="68" t="n"/>
      <c r="AR1071" s="68" t="n"/>
      <c r="AS1071" s="68" t="n"/>
      <c r="AT1071" s="68" t="n"/>
      <c r="AU1071" s="68" t="n"/>
      <c r="AV1071" s="68" t="n"/>
      <c r="AW1071" s="68" t="n"/>
      <c r="AX1071" s="68" t="n"/>
      <c r="AY1071" s="68" t="n"/>
      <c r="AZ1071" s="68" t="n"/>
      <c r="BA1071" s="68" t="n"/>
      <c r="BB1071" s="68" t="n"/>
      <c r="BC1071" s="68" t="n"/>
      <c r="BD1071" s="68" t="n"/>
      <c r="BE1071" s="68" t="n"/>
      <c r="BF1071" s="68" t="n"/>
      <c r="BG1071" s="68" t="n"/>
      <c r="BH1071" s="68" t="n"/>
      <c r="BI1071" s="68" t="n"/>
      <c r="BJ1071" s="68" t="n"/>
      <c r="BK1071" s="68" t="n"/>
      <c r="BL1071" s="68" t="n"/>
      <c r="BM1071" s="68" t="n"/>
      <c r="BN1071" s="68" t="n"/>
      <c r="BO1071" s="68" t="n"/>
      <c r="BP1071" s="68" t="n"/>
      <c r="BQ1071" s="68" t="n"/>
      <c r="BR1071" s="68" t="n"/>
      <c r="BS1071" s="68" t="n"/>
      <c r="BT1071" s="68" t="n"/>
      <c r="BU1071" s="68" t="n"/>
      <c r="BV1071" s="588" t="n"/>
      <c r="BW1071" s="68" t="n"/>
      <c r="BX1071" s="68" t="n"/>
      <c r="BY1071" s="68" t="n"/>
      <c r="BZ1071" s="68" t="n"/>
      <c r="CA1071" s="68" t="n"/>
      <c r="CB1071" s="68" t="n"/>
      <c r="CC1071" s="68" t="n"/>
      <c r="CD1071" s="68" t="n"/>
      <c r="CE1071" s="68" t="n"/>
      <c r="CF1071" s="68" t="n"/>
      <c r="CG1071" s="155" t="n"/>
    </row>
    <row r="1072">
      <c r="A1072" s="729" t="inlineStr">
        <is>
          <t>MO_KPI_REV_SEMI_Data</t>
        </is>
      </c>
      <c r="B1072" s="68" t="n"/>
      <c r="C1072" s="1003" t="n"/>
      <c r="D1072" s="1003" t="n"/>
      <c r="E1072" s="68" t="n"/>
      <c r="F1072" s="68" t="n"/>
      <c r="G1072" s="68" t="n"/>
      <c r="H1072" s="68" t="n"/>
      <c r="I1072" s="68" t="n"/>
      <c r="J1072" s="68" t="n"/>
      <c r="K1072" s="68" t="n"/>
      <c r="L1072" s="68" t="n"/>
      <c r="M1072" s="68" t="n"/>
      <c r="N1072" s="68" t="n"/>
      <c r="O1072" s="68" t="n"/>
      <c r="P1072" s="68" t="n"/>
      <c r="Q1072" s="68" t="n"/>
      <c r="R1072" s="68" t="n"/>
      <c r="S1072" s="68" t="n"/>
      <c r="T1072" s="68" t="n"/>
      <c r="U1072" s="68" t="n"/>
      <c r="V1072" s="68" t="n"/>
      <c r="W1072" s="68" t="n"/>
      <c r="X1072" s="68" t="n"/>
      <c r="Y1072" s="68" t="n"/>
      <c r="Z1072" s="68" t="n"/>
      <c r="AA1072" s="68" t="n"/>
      <c r="AB1072" s="68" t="n"/>
      <c r="AC1072" s="68" t="n"/>
      <c r="AD1072" s="68" t="n"/>
      <c r="AE1072" s="68" t="n"/>
      <c r="AF1072" s="68" t="n"/>
      <c r="AG1072" s="68" t="n"/>
      <c r="AH1072" s="68" t="n"/>
      <c r="AI1072" s="68" t="n"/>
      <c r="AJ1072" s="68" t="n"/>
      <c r="AK1072" s="68" t="n"/>
      <c r="AL1072" s="68" t="n"/>
      <c r="AM1072" s="68" t="n"/>
      <c r="AN1072" s="68" t="n"/>
      <c r="AO1072" s="68" t="n"/>
      <c r="AP1072" s="68" t="n"/>
      <c r="AQ1072" s="68" t="n"/>
      <c r="AR1072" s="68" t="n"/>
      <c r="AS1072" s="68" t="n"/>
      <c r="AT1072" s="68" t="n"/>
      <c r="AU1072" s="68" t="n"/>
      <c r="AV1072" s="68" t="n"/>
      <c r="AW1072" s="68" t="n"/>
      <c r="AX1072" s="68" t="n"/>
      <c r="AY1072" s="68" t="n"/>
      <c r="AZ1072" s="68" t="n"/>
      <c r="BA1072" s="68" t="n"/>
      <c r="BB1072" s="68" t="n"/>
      <c r="BC1072" s="68" t="n"/>
      <c r="BD1072" s="68" t="n"/>
      <c r="BE1072" s="68" t="n"/>
      <c r="BF1072" s="68" t="n"/>
      <c r="BG1072" s="68" t="n"/>
      <c r="BH1072" s="68" t="n"/>
      <c r="BI1072" s="68" t="n"/>
      <c r="BJ1072" s="68" t="n"/>
      <c r="BK1072" s="68" t="n"/>
      <c r="BL1072" s="68" t="n"/>
      <c r="BM1072" s="68" t="n"/>
      <c r="BN1072" s="68" t="n"/>
      <c r="BO1072" s="68" t="n"/>
      <c r="BP1072" s="68" t="n"/>
      <c r="BQ1072" s="68" t="n"/>
      <c r="BR1072" s="68" t="n"/>
      <c r="BS1072" s="68" t="n"/>
      <c r="BT1072" s="68" t="n"/>
      <c r="BU1072" s="68" t="n"/>
      <c r="BV1072" s="588" t="n"/>
      <c r="BW1072" s="68" t="n"/>
      <c r="BX1072" s="68" t="n"/>
      <c r="BY1072" s="68" t="n"/>
      <c r="BZ1072" s="68" t="n"/>
      <c r="CA1072" s="68" t="n"/>
      <c r="CB1072" s="68" t="n"/>
      <c r="CC1072" s="68" t="n"/>
      <c r="CD1072" s="68" t="n"/>
      <c r="CE1072" s="68" t="n"/>
      <c r="CF1072" s="68" t="n"/>
      <c r="CG1072" s="155" t="n"/>
    </row>
    <row r="1073">
      <c r="A1073" s="729" t="inlineStr">
        <is>
          <t>MO_KPI_REV_SEMI_Data_Growth</t>
        </is>
      </c>
      <c r="B1073" s="68" t="n"/>
      <c r="C1073" s="1003" t="n"/>
      <c r="D1073" s="1003" t="n"/>
      <c r="E1073" s="68" t="n"/>
      <c r="F1073" s="68" t="n"/>
      <c r="G1073" s="68" t="n"/>
      <c r="H1073" s="68" t="n"/>
      <c r="I1073" s="68" t="n"/>
      <c r="J1073" s="68" t="n"/>
      <c r="K1073" s="68" t="n"/>
      <c r="L1073" s="68" t="n"/>
      <c r="M1073" s="68" t="n"/>
      <c r="N1073" s="68" t="n"/>
      <c r="O1073" s="68" t="n"/>
      <c r="P1073" s="68" t="n"/>
      <c r="Q1073" s="68" t="n"/>
      <c r="R1073" s="68" t="n"/>
      <c r="S1073" s="68" t="n"/>
      <c r="T1073" s="68" t="n"/>
      <c r="U1073" s="68" t="n"/>
      <c r="V1073" s="68" t="n"/>
      <c r="W1073" s="68" t="n"/>
      <c r="X1073" s="68" t="n"/>
      <c r="Y1073" s="68" t="n"/>
      <c r="Z1073" s="68" t="n"/>
      <c r="AA1073" s="68" t="n"/>
      <c r="AB1073" s="68" t="n"/>
      <c r="AC1073" s="68" t="n"/>
      <c r="AD1073" s="68" t="n"/>
      <c r="AE1073" s="68" t="n"/>
      <c r="AF1073" s="68" t="n"/>
      <c r="AG1073" s="68" t="n"/>
      <c r="AH1073" s="68" t="n"/>
      <c r="AI1073" s="68" t="n"/>
      <c r="AJ1073" s="68" t="n"/>
      <c r="AK1073" s="68" t="n"/>
      <c r="AL1073" s="68" t="n"/>
      <c r="AM1073" s="68" t="n"/>
      <c r="AN1073" s="68" t="n"/>
      <c r="AO1073" s="68" t="n"/>
      <c r="AP1073" s="68" t="n"/>
      <c r="AQ1073" s="68" t="n"/>
      <c r="AR1073" s="68" t="n"/>
      <c r="AS1073" s="68" t="n"/>
      <c r="AT1073" s="68" t="n"/>
      <c r="AU1073" s="68" t="n"/>
      <c r="AV1073" s="68" t="n"/>
      <c r="AW1073" s="68" t="n"/>
      <c r="AX1073" s="68" t="n"/>
      <c r="AY1073" s="68" t="n"/>
      <c r="AZ1073" s="68" t="n"/>
      <c r="BA1073" s="68" t="n"/>
      <c r="BB1073" s="68" t="n"/>
      <c r="BC1073" s="68" t="n"/>
      <c r="BD1073" s="68" t="n"/>
      <c r="BE1073" s="68" t="n"/>
      <c r="BF1073" s="68" t="n"/>
      <c r="BG1073" s="68" t="n"/>
      <c r="BH1073" s="68" t="n"/>
      <c r="BI1073" s="68" t="n"/>
      <c r="BJ1073" s="68" t="n"/>
      <c r="BK1073" s="68" t="n"/>
      <c r="BL1073" s="68" t="n"/>
      <c r="BM1073" s="68" t="n"/>
      <c r="BN1073" s="68" t="n"/>
      <c r="BO1073" s="68" t="n"/>
      <c r="BP1073" s="68" t="n"/>
      <c r="BQ1073" s="68" t="n"/>
      <c r="BR1073" s="68" t="n"/>
      <c r="BS1073" s="68" t="n"/>
      <c r="BT1073" s="68" t="n"/>
      <c r="BU1073" s="68" t="n"/>
      <c r="BV1073" s="588" t="n"/>
      <c r="BW1073" s="68" t="n"/>
      <c r="BX1073" s="68" t="n"/>
      <c r="BY1073" s="68" t="n"/>
      <c r="BZ1073" s="68" t="n"/>
      <c r="CA1073" s="68" t="n"/>
      <c r="CB1073" s="68" t="n"/>
      <c r="CC1073" s="68" t="n"/>
      <c r="CD1073" s="68" t="n"/>
      <c r="CE1073" s="68" t="n"/>
      <c r="CF1073" s="68" t="n"/>
      <c r="CG1073" s="155" t="n"/>
    </row>
    <row r="1074">
      <c r="A1074" s="729" t="inlineStr">
        <is>
          <t>MO_KPI_REV_SEMI_Cons</t>
        </is>
      </c>
      <c r="B1074" s="68" t="n"/>
      <c r="C1074" s="1003" t="n"/>
      <c r="D1074" s="1003" t="n"/>
      <c r="E1074" s="68" t="n"/>
      <c r="F1074" s="68" t="n"/>
      <c r="G1074" s="68" t="n"/>
      <c r="H1074" s="68" t="n"/>
      <c r="I1074" s="68" t="n"/>
      <c r="J1074" s="68" t="n"/>
      <c r="K1074" s="68" t="n"/>
      <c r="L1074" s="68" t="n"/>
      <c r="M1074" s="68" t="n"/>
      <c r="N1074" s="68" t="n"/>
      <c r="O1074" s="68" t="n"/>
      <c r="P1074" s="68" t="n"/>
      <c r="Q1074" s="68" t="n"/>
      <c r="R1074" s="68" t="n"/>
      <c r="S1074" s="68" t="n"/>
      <c r="T1074" s="68" t="n"/>
      <c r="U1074" s="68" t="n"/>
      <c r="V1074" s="68" t="n"/>
      <c r="W1074" s="68" t="n"/>
      <c r="X1074" s="68" t="n"/>
      <c r="Y1074" s="68" t="n"/>
      <c r="Z1074" s="68" t="n"/>
      <c r="AA1074" s="68" t="n"/>
      <c r="AB1074" s="68" t="n"/>
      <c r="AC1074" s="68" t="n"/>
      <c r="AD1074" s="68" t="n"/>
      <c r="AE1074" s="68" t="n"/>
      <c r="AF1074" s="68" t="n"/>
      <c r="AG1074" s="68" t="n"/>
      <c r="AH1074" s="68" t="n"/>
      <c r="AI1074" s="68" t="n"/>
      <c r="AJ1074" s="68" t="n"/>
      <c r="AK1074" s="68" t="n"/>
      <c r="AL1074" s="68" t="n"/>
      <c r="AM1074" s="68" t="n"/>
      <c r="AN1074" s="68" t="n"/>
      <c r="AO1074" s="68" t="n"/>
      <c r="AP1074" s="68" t="n"/>
      <c r="AQ1074" s="68" t="n"/>
      <c r="AR1074" s="68" t="n"/>
      <c r="AS1074" s="68" t="n"/>
      <c r="AT1074" s="68" t="n"/>
      <c r="AU1074" s="68" t="n"/>
      <c r="AV1074" s="68" t="n"/>
      <c r="AW1074" s="68" t="n"/>
      <c r="AX1074" s="68" t="n"/>
      <c r="AY1074" s="68" t="n"/>
      <c r="AZ1074" s="68" t="n"/>
      <c r="BA1074" s="68" t="n"/>
      <c r="BB1074" s="68" t="n"/>
      <c r="BC1074" s="68" t="n"/>
      <c r="BD1074" s="68" t="n"/>
      <c r="BE1074" s="68" t="n"/>
      <c r="BF1074" s="68" t="n"/>
      <c r="BG1074" s="68" t="n"/>
      <c r="BH1074" s="68" t="n"/>
      <c r="BI1074" s="68" t="n"/>
      <c r="BJ1074" s="68" t="n"/>
      <c r="BK1074" s="68" t="n"/>
      <c r="BL1074" s="68" t="n"/>
      <c r="BM1074" s="68" t="n"/>
      <c r="BN1074" s="68" t="n"/>
      <c r="BO1074" s="68" t="n"/>
      <c r="BP1074" s="68" t="n"/>
      <c r="BQ1074" s="68" t="n"/>
      <c r="BR1074" s="68" t="n"/>
      <c r="BS1074" s="68" t="n"/>
      <c r="BT1074" s="68" t="n"/>
      <c r="BU1074" s="68" t="n"/>
      <c r="BV1074" s="588" t="n"/>
      <c r="BW1074" s="68" t="n"/>
      <c r="BX1074" s="68" t="n"/>
      <c r="BY1074" s="68" t="n"/>
      <c r="BZ1074" s="68" t="n"/>
      <c r="CA1074" s="68" t="n"/>
      <c r="CB1074" s="68" t="n"/>
      <c r="CC1074" s="68" t="n"/>
      <c r="CD1074" s="68" t="n"/>
      <c r="CE1074" s="68" t="n"/>
      <c r="CF1074" s="68" t="n"/>
      <c r="CG1074" s="155" t="n"/>
    </row>
    <row r="1075">
      <c r="A1075" s="729" t="inlineStr">
        <is>
          <t>MO_KPI_REV_SEMI_Cons_Growth</t>
        </is>
      </c>
      <c r="B1075" s="68" t="n"/>
      <c r="C1075" s="1003" t="n"/>
      <c r="D1075" s="1003" t="n"/>
      <c r="E1075" s="68" t="n"/>
      <c r="F1075" s="68" t="n"/>
      <c r="G1075" s="68" t="n"/>
      <c r="H1075" s="68" t="n"/>
      <c r="I1075" s="68" t="n"/>
      <c r="J1075" s="68" t="n"/>
      <c r="K1075" s="68" t="n"/>
      <c r="L1075" s="68" t="n"/>
      <c r="M1075" s="68" t="n"/>
      <c r="N1075" s="68" t="n"/>
      <c r="O1075" s="68" t="n"/>
      <c r="P1075" s="68" t="n"/>
      <c r="Q1075" s="68" t="n"/>
      <c r="R1075" s="68" t="n"/>
      <c r="S1075" s="68" t="n"/>
      <c r="T1075" s="68" t="n"/>
      <c r="U1075" s="68" t="n"/>
      <c r="V1075" s="68" t="n"/>
      <c r="W1075" s="68" t="n"/>
      <c r="X1075" s="68" t="n"/>
      <c r="Y1075" s="68" t="n"/>
      <c r="Z1075" s="68" t="n"/>
      <c r="AA1075" s="68" t="n"/>
      <c r="AB1075" s="68" t="n"/>
      <c r="AC1075" s="68" t="n"/>
      <c r="AD1075" s="68" t="n"/>
      <c r="AE1075" s="68" t="n"/>
      <c r="AF1075" s="68" t="n"/>
      <c r="AG1075" s="68" t="n"/>
      <c r="AH1075" s="68" t="n"/>
      <c r="AI1075" s="68" t="n"/>
      <c r="AJ1075" s="68" t="n"/>
      <c r="AK1075" s="68" t="n"/>
      <c r="AL1075" s="68" t="n"/>
      <c r="AM1075" s="68" t="n"/>
      <c r="AN1075" s="68" t="n"/>
      <c r="AO1075" s="68" t="n"/>
      <c r="AP1075" s="68" t="n"/>
      <c r="AQ1075" s="68" t="n"/>
      <c r="AR1075" s="68" t="n"/>
      <c r="AS1075" s="68" t="n"/>
      <c r="AT1075" s="68" t="n"/>
      <c r="AU1075" s="68" t="n"/>
      <c r="AV1075" s="68" t="n"/>
      <c r="AW1075" s="68" t="n"/>
      <c r="AX1075" s="68" t="n"/>
      <c r="AY1075" s="68" t="n"/>
      <c r="AZ1075" s="68" t="n"/>
      <c r="BA1075" s="68" t="n"/>
      <c r="BB1075" s="68" t="n"/>
      <c r="BC1075" s="68" t="n"/>
      <c r="BD1075" s="68" t="n"/>
      <c r="BE1075" s="68" t="n"/>
      <c r="BF1075" s="68" t="n"/>
      <c r="BG1075" s="68" t="n"/>
      <c r="BH1075" s="68" t="n"/>
      <c r="BI1075" s="68" t="n"/>
      <c r="BJ1075" s="68" t="n"/>
      <c r="BK1075" s="68" t="n"/>
      <c r="BL1075" s="68" t="n"/>
      <c r="BM1075" s="68" t="n"/>
      <c r="BN1075" s="68" t="n"/>
      <c r="BO1075" s="68" t="n"/>
      <c r="BP1075" s="68" t="n"/>
      <c r="BQ1075" s="68" t="n"/>
      <c r="BR1075" s="68" t="n"/>
      <c r="BS1075" s="68" t="n"/>
      <c r="BT1075" s="68" t="n"/>
      <c r="BU1075" s="68" t="n"/>
      <c r="BV1075" s="588" t="n"/>
      <c r="BW1075" s="68" t="n"/>
      <c r="BX1075" s="68" t="n"/>
      <c r="BY1075" s="68" t="n"/>
      <c r="BZ1075" s="68" t="n"/>
      <c r="CA1075" s="68" t="n"/>
      <c r="CB1075" s="68" t="n"/>
      <c r="CC1075" s="68" t="n"/>
      <c r="CD1075" s="68" t="n"/>
      <c r="CE1075" s="68" t="n"/>
      <c r="CF1075" s="68" t="n"/>
      <c r="CG1075" s="155" t="n"/>
    </row>
    <row r="1076">
      <c r="A1076" s="729" t="inlineStr">
        <is>
          <t>MO_MA_RD_NONGAAP</t>
        </is>
      </c>
      <c r="B1076" s="68" t="n"/>
      <c r="C1076" s="1003" t="n"/>
      <c r="D1076" s="1003" t="n"/>
      <c r="E1076" s="68" t="n"/>
      <c r="F1076" s="68" t="n"/>
      <c r="G1076" s="68" t="n"/>
      <c r="H1076" s="68" t="n"/>
      <c r="I1076" s="68" t="n"/>
      <c r="J1076" s="68" t="n"/>
      <c r="K1076" s="68" t="n"/>
      <c r="L1076" s="68" t="n"/>
      <c r="M1076" s="68" t="n"/>
      <c r="N1076" s="68" t="n"/>
      <c r="O1076" s="68" t="n"/>
      <c r="P1076" s="68" t="n"/>
      <c r="Q1076" s="68" t="n"/>
      <c r="R1076" s="68" t="n"/>
      <c r="S1076" s="68" t="n"/>
      <c r="T1076" s="68" t="n"/>
      <c r="U1076" s="68" t="n"/>
      <c r="V1076" s="68" t="n"/>
      <c r="W1076" s="68" t="n"/>
      <c r="X1076" s="68" t="n"/>
      <c r="Y1076" s="68" t="n"/>
      <c r="Z1076" s="68" t="n"/>
      <c r="AA1076" s="68" t="n"/>
      <c r="AB1076" s="68" t="n"/>
      <c r="AC1076" s="68" t="n"/>
      <c r="AD1076" s="68" t="n"/>
      <c r="AE1076" s="68" t="n"/>
      <c r="AF1076" s="68" t="n"/>
      <c r="AG1076" s="68" t="n"/>
      <c r="AH1076" s="68" t="n"/>
      <c r="AI1076" s="68" t="n"/>
      <c r="AJ1076" s="68" t="n"/>
      <c r="AK1076" s="68" t="n"/>
      <c r="AL1076" s="68" t="n"/>
      <c r="AM1076" s="68" t="n"/>
      <c r="AN1076" s="68" t="n"/>
      <c r="AO1076" s="68" t="n"/>
      <c r="AP1076" s="68" t="n"/>
      <c r="AQ1076" s="68" t="n"/>
      <c r="AR1076" s="68" t="n"/>
      <c r="AS1076" s="68" t="n"/>
      <c r="AT1076" s="68" t="n"/>
      <c r="AU1076" s="68" t="n"/>
      <c r="AV1076" s="68" t="n"/>
      <c r="AW1076" s="68" t="n"/>
      <c r="AX1076" s="68" t="n"/>
      <c r="AY1076" s="68" t="n"/>
      <c r="AZ1076" s="68" t="n"/>
      <c r="BA1076" s="68" t="n"/>
      <c r="BB1076" s="68" t="n"/>
      <c r="BC1076" s="68" t="n"/>
      <c r="BD1076" s="68" t="n"/>
      <c r="BE1076" s="68" t="n"/>
      <c r="BF1076" s="68" t="n"/>
      <c r="BG1076" s="68" t="n"/>
      <c r="BH1076" s="68" t="n"/>
      <c r="BI1076" s="68" t="n"/>
      <c r="BJ1076" s="68" t="n"/>
      <c r="BK1076" s="68" t="n"/>
      <c r="BL1076" s="68" t="n"/>
      <c r="BM1076" s="68" t="n"/>
      <c r="BN1076" s="68" t="n"/>
      <c r="BO1076" s="68" t="n"/>
      <c r="BP1076" s="68" t="n"/>
      <c r="BQ1076" s="68" t="n"/>
      <c r="BR1076" s="68" t="n"/>
      <c r="BS1076" s="68" t="n"/>
      <c r="BT1076" s="68" t="n"/>
      <c r="BU1076" s="68" t="n"/>
      <c r="BV1076" s="588" t="n"/>
      <c r="BW1076" s="68" t="n"/>
      <c r="BX1076" s="68" t="n"/>
      <c r="BY1076" s="68" t="n"/>
      <c r="BZ1076" s="68" t="n"/>
      <c r="CA1076" s="68" t="n"/>
      <c r="CB1076" s="68" t="n"/>
      <c r="CC1076" s="68" t="n"/>
      <c r="CD1076" s="68" t="n"/>
      <c r="CE1076" s="68" t="n"/>
      <c r="CF1076" s="68" t="n"/>
      <c r="CG1076" s="155" t="n"/>
    </row>
    <row r="1077">
      <c r="A1077" s="729" t="inlineStr">
        <is>
          <t>MO_CFSum_Capex</t>
        </is>
      </c>
      <c r="B1077" s="68" t="n"/>
      <c r="C1077" s="1003" t="n"/>
      <c r="D1077" s="1003" t="n"/>
      <c r="E1077" s="68" t="n"/>
      <c r="F1077" s="68" t="n"/>
      <c r="G1077" s="68" t="n"/>
      <c r="H1077" s="68" t="n"/>
      <c r="I1077" s="68" t="n"/>
      <c r="J1077" s="68" t="n"/>
      <c r="K1077" s="68" t="n"/>
      <c r="L1077" s="68" t="n"/>
      <c r="M1077" s="68" t="n"/>
      <c r="N1077" s="68" t="n"/>
      <c r="O1077" s="68" t="n"/>
      <c r="P1077" s="68" t="n"/>
      <c r="Q1077" s="68" t="n"/>
      <c r="R1077" s="68" t="n"/>
      <c r="S1077" s="68" t="n"/>
      <c r="T1077" s="68" t="n"/>
      <c r="U1077" s="68" t="n"/>
      <c r="V1077" s="68" t="n"/>
      <c r="W1077" s="68" t="n"/>
      <c r="X1077" s="68" t="n"/>
      <c r="Y1077" s="68" t="n"/>
      <c r="Z1077" s="68" t="n"/>
      <c r="AA1077" s="68" t="n"/>
      <c r="AB1077" s="68" t="n"/>
      <c r="AC1077" s="68" t="n"/>
      <c r="AD1077" s="68" t="n"/>
      <c r="AE1077" s="68" t="n"/>
      <c r="AF1077" s="68" t="n"/>
      <c r="AG1077" s="68" t="n"/>
      <c r="AH1077" s="68" t="n"/>
      <c r="AI1077" s="68" t="n"/>
      <c r="AJ1077" s="68" t="n"/>
      <c r="AK1077" s="68" t="n"/>
      <c r="AL1077" s="68" t="n"/>
      <c r="AM1077" s="68" t="n"/>
      <c r="AN1077" s="68" t="n"/>
      <c r="AO1077" s="68" t="n"/>
      <c r="AP1077" s="68" t="n"/>
      <c r="AQ1077" s="68" t="n"/>
      <c r="AR1077" s="68" t="n"/>
      <c r="AS1077" s="68" t="n"/>
      <c r="AT1077" s="68" t="n"/>
      <c r="AU1077" s="68" t="n"/>
      <c r="AV1077" s="68" t="n"/>
      <c r="AW1077" s="68" t="n"/>
      <c r="AX1077" s="68" t="n"/>
      <c r="AY1077" s="68" t="n"/>
      <c r="AZ1077" s="68" t="n"/>
      <c r="BA1077" s="68" t="n"/>
      <c r="BB1077" s="68" t="n"/>
      <c r="BC1077" s="68" t="n"/>
      <c r="BD1077" s="68" t="n"/>
      <c r="BE1077" s="68" t="n"/>
      <c r="BF1077" s="68" t="n"/>
      <c r="BG1077" s="68" t="n"/>
      <c r="BH1077" s="68" t="n"/>
      <c r="BI1077" s="68" t="n"/>
      <c r="BJ1077" s="68" t="n"/>
      <c r="BK1077" s="68" t="n"/>
      <c r="BL1077" s="68" t="n"/>
      <c r="BM1077" s="68" t="n"/>
      <c r="BN1077" s="68" t="n"/>
      <c r="BO1077" s="68" t="n"/>
      <c r="BP1077" s="68" t="n"/>
      <c r="BQ1077" s="68" t="n"/>
      <c r="BR1077" s="68" t="n"/>
      <c r="BS1077" s="68" t="n"/>
      <c r="BT1077" s="68" t="n"/>
      <c r="BU1077" s="68" t="n"/>
      <c r="BV1077" s="588" t="n"/>
      <c r="BW1077" s="68" t="n"/>
      <c r="BX1077" s="68" t="n"/>
      <c r="BY1077" s="68" t="n"/>
      <c r="BZ1077" s="68" t="n"/>
      <c r="CA1077" s="68" t="n"/>
      <c r="CB1077" s="68" t="n"/>
      <c r="CC1077" s="68" t="n"/>
      <c r="CD1077" s="68" t="n"/>
      <c r="CE1077" s="68" t="n"/>
      <c r="CF1077" s="68" t="n"/>
      <c r="CG1077" s="155" t="n"/>
    </row>
    <row r="1078">
      <c r="A1078" s="729" t="inlineStr">
        <is>
          <t>MO_MA_GM</t>
        </is>
      </c>
      <c r="B1078" s="68" t="n"/>
      <c r="C1078" s="1003" t="n"/>
      <c r="D1078" s="1003" t="n"/>
      <c r="E1078" s="68" t="n"/>
      <c r="F1078" s="68" t="n"/>
      <c r="G1078" s="68" t="n"/>
      <c r="H1078" s="68" t="n"/>
      <c r="I1078" s="68" t="n"/>
      <c r="J1078" s="68" t="n"/>
      <c r="K1078" s="68" t="n"/>
      <c r="L1078" s="68" t="n"/>
      <c r="M1078" s="68" t="n"/>
      <c r="N1078" s="68" t="n"/>
      <c r="O1078" s="68" t="n"/>
      <c r="P1078" s="68" t="n"/>
      <c r="Q1078" s="68" t="n"/>
      <c r="R1078" s="68" t="n"/>
      <c r="S1078" s="68" t="n"/>
      <c r="T1078" s="68" t="n"/>
      <c r="U1078" s="68" t="n"/>
      <c r="V1078" s="68" t="n"/>
      <c r="W1078" s="68" t="n"/>
      <c r="X1078" s="68" t="n"/>
      <c r="Y1078" s="68" t="n"/>
      <c r="Z1078" s="68" t="n"/>
      <c r="AA1078" s="68" t="n"/>
      <c r="AB1078" s="68" t="n"/>
      <c r="AC1078" s="68" t="n"/>
      <c r="AD1078" s="68" t="n"/>
      <c r="AE1078" s="68" t="n"/>
      <c r="AF1078" s="68" t="n"/>
      <c r="AG1078" s="68" t="n"/>
      <c r="AH1078" s="68" t="n"/>
      <c r="AI1078" s="68" t="n"/>
      <c r="AJ1078" s="68" t="n"/>
      <c r="AK1078" s="68" t="n"/>
      <c r="AL1078" s="68" t="n"/>
      <c r="AM1078" s="68" t="n"/>
      <c r="AN1078" s="68" t="n"/>
      <c r="AO1078" s="68" t="n"/>
      <c r="AP1078" s="68" t="n"/>
      <c r="AQ1078" s="68" t="n"/>
      <c r="AR1078" s="68" t="n"/>
      <c r="AS1078" s="68" t="n"/>
      <c r="AT1078" s="68" t="n"/>
      <c r="AU1078" s="68" t="n"/>
      <c r="AV1078" s="68" t="n"/>
      <c r="AW1078" s="68" t="n"/>
      <c r="AX1078" s="68" t="n"/>
      <c r="AY1078" s="68" t="n"/>
      <c r="AZ1078" s="68" t="n"/>
      <c r="BA1078" s="68" t="n"/>
      <c r="BB1078" s="68" t="n"/>
      <c r="BC1078" s="68" t="n"/>
      <c r="BD1078" s="68" t="n"/>
      <c r="BE1078" s="68" t="n"/>
      <c r="BF1078" s="68" t="n"/>
      <c r="BG1078" s="68" t="n"/>
      <c r="BH1078" s="68" t="n"/>
      <c r="BI1078" s="68" t="n"/>
      <c r="BJ1078" s="68" t="n"/>
      <c r="BK1078" s="68" t="n"/>
      <c r="BL1078" s="68" t="n"/>
      <c r="BM1078" s="68" t="n"/>
      <c r="BN1078" s="68" t="n"/>
      <c r="BO1078" s="68" t="n"/>
      <c r="BP1078" s="68" t="n"/>
      <c r="BQ1078" s="68" t="n"/>
      <c r="BR1078" s="68" t="n"/>
      <c r="BS1078" s="68" t="n"/>
      <c r="BT1078" s="68" t="n"/>
      <c r="BU1078" s="68" t="n"/>
      <c r="BV1078" s="588" t="n"/>
      <c r="BW1078" s="68" t="n"/>
      <c r="BX1078" s="68" t="n"/>
      <c r="BY1078" s="68" t="n"/>
      <c r="BZ1078" s="68" t="n"/>
      <c r="CA1078" s="68" t="n"/>
      <c r="CB1078" s="68" t="n"/>
      <c r="CC1078" s="68" t="n"/>
      <c r="CD1078" s="68" t="n"/>
      <c r="CE1078" s="68" t="n"/>
      <c r="CF1078" s="68" t="n"/>
      <c r="CG1078" s="155" t="n"/>
    </row>
    <row r="1079">
      <c r="A1079" s="629" t="n"/>
      <c r="B1079" s="68" t="n"/>
      <c r="C1079" s="1003" t="n"/>
      <c r="D1079" s="1003" t="n"/>
      <c r="E1079" s="68" t="n"/>
      <c r="F1079" s="68" t="n"/>
      <c r="G1079" s="68" t="n"/>
      <c r="H1079" s="68" t="n"/>
      <c r="I1079" s="68" t="n"/>
      <c r="J1079" s="68" t="n"/>
      <c r="K1079" s="68" t="n"/>
      <c r="L1079" s="68" t="n"/>
      <c r="M1079" s="68" t="n"/>
      <c r="N1079" s="68" t="n"/>
      <c r="O1079" s="68" t="n"/>
      <c r="P1079" s="68" t="n"/>
      <c r="Q1079" s="68" t="n"/>
      <c r="R1079" s="68" t="n"/>
      <c r="S1079" s="68" t="n"/>
      <c r="T1079" s="68" t="n"/>
      <c r="U1079" s="68" t="n"/>
      <c r="V1079" s="68" t="n"/>
      <c r="W1079" s="68" t="n"/>
      <c r="X1079" s="68" t="n"/>
      <c r="Y1079" s="68" t="n"/>
      <c r="Z1079" s="68" t="n"/>
      <c r="AA1079" s="68" t="n"/>
      <c r="AB1079" s="68" t="n"/>
      <c r="AC1079" s="68" t="n"/>
      <c r="AD1079" s="68" t="n"/>
      <c r="AE1079" s="68" t="n"/>
      <c r="AF1079" s="68" t="n"/>
      <c r="AG1079" s="68" t="n"/>
      <c r="AH1079" s="68" t="n"/>
      <c r="AI1079" s="68" t="n"/>
      <c r="AJ1079" s="68" t="n"/>
      <c r="AK1079" s="68" t="n"/>
      <c r="AL1079" s="68" t="n"/>
      <c r="AM1079" s="68" t="n"/>
      <c r="AN1079" s="68" t="n"/>
      <c r="AO1079" s="68" t="n"/>
      <c r="AP1079" s="68" t="n"/>
      <c r="AQ1079" s="68" t="n"/>
      <c r="AR1079" s="68" t="n"/>
      <c r="AS1079" s="68" t="n"/>
      <c r="AT1079" s="68" t="n"/>
      <c r="AU1079" s="68" t="n"/>
      <c r="AV1079" s="68" t="n"/>
      <c r="AW1079" s="68" t="n"/>
      <c r="AX1079" s="68" t="n"/>
      <c r="AY1079" s="68" t="n"/>
      <c r="AZ1079" s="68" t="n"/>
      <c r="BA1079" s="68" t="n"/>
      <c r="BB1079" s="68" t="n"/>
      <c r="BC1079" s="68" t="n"/>
      <c r="BD1079" s="68" t="n"/>
      <c r="BE1079" s="68" t="n"/>
      <c r="BF1079" s="68" t="n"/>
      <c r="BG1079" s="68" t="n"/>
      <c r="BH1079" s="68" t="n"/>
      <c r="BI1079" s="68" t="n"/>
      <c r="BJ1079" s="68" t="n"/>
      <c r="BK1079" s="68" t="n"/>
      <c r="BL1079" s="68" t="n"/>
      <c r="BM1079" s="68" t="n"/>
      <c r="BN1079" s="68" t="n"/>
      <c r="BO1079" s="68" t="n"/>
      <c r="BP1079" s="68" t="n"/>
      <c r="BQ1079" s="68" t="n"/>
      <c r="BR1079" s="68" t="n"/>
      <c r="BS1079" s="68" t="n"/>
      <c r="BT1079" s="68" t="n"/>
      <c r="BU1079" s="68" t="n"/>
      <c r="BV1079" s="588" t="n"/>
      <c r="BW1079" s="68" t="n"/>
      <c r="BX1079" s="68" t="n"/>
      <c r="BY1079" s="68" t="n"/>
      <c r="BZ1079" s="68" t="n"/>
      <c r="CA1079" s="68" t="n"/>
      <c r="CB1079" s="68" t="n"/>
      <c r="CC1079" s="68" t="n"/>
      <c r="CD1079" s="68" t="n"/>
      <c r="CE1079" s="68" t="n"/>
      <c r="CF1079" s="68" t="n"/>
      <c r="CG1079" s="155" t="n"/>
    </row>
    <row r="1080">
      <c r="A1080" s="253" t="n"/>
      <c r="B1080" s="68" t="n"/>
      <c r="C1080" s="1003" t="n"/>
      <c r="D1080" s="1003" t="n"/>
      <c r="E1080" s="68" t="n"/>
      <c r="F1080" s="68" t="n"/>
      <c r="G1080" s="68" t="n"/>
      <c r="H1080" s="68" t="n"/>
      <c r="I1080" s="68" t="n"/>
      <c r="J1080" s="68" t="n"/>
      <c r="K1080" s="68" t="n"/>
      <c r="L1080" s="68" t="n"/>
      <c r="M1080" s="68" t="n"/>
      <c r="N1080" s="68" t="n"/>
      <c r="O1080" s="68" t="n"/>
      <c r="P1080" s="68" t="n"/>
      <c r="Q1080" s="68" t="n"/>
      <c r="R1080" s="68" t="n"/>
      <c r="S1080" s="68" t="n"/>
      <c r="T1080" s="68" t="n"/>
      <c r="U1080" s="68" t="n"/>
      <c r="V1080" s="68" t="n"/>
      <c r="W1080" s="68" t="n"/>
      <c r="X1080" s="68" t="n"/>
      <c r="Y1080" s="68" t="n"/>
      <c r="Z1080" s="68" t="n"/>
      <c r="AA1080" s="68" t="n"/>
      <c r="AB1080" s="68" t="n"/>
      <c r="AC1080" s="68" t="n"/>
      <c r="AD1080" s="68" t="n"/>
      <c r="AE1080" s="68" t="n"/>
      <c r="AF1080" s="68" t="n"/>
      <c r="AG1080" s="68" t="n"/>
      <c r="AH1080" s="68" t="n"/>
      <c r="AI1080" s="68" t="n"/>
      <c r="AJ1080" s="68" t="n"/>
      <c r="AK1080" s="68" t="n"/>
      <c r="AL1080" s="68" t="n"/>
      <c r="AM1080" s="68" t="n"/>
      <c r="AN1080" s="68" t="n"/>
      <c r="AO1080" s="68" t="n"/>
      <c r="AP1080" s="68" t="n"/>
      <c r="AQ1080" s="68" t="n"/>
      <c r="AR1080" s="68" t="n"/>
      <c r="AS1080" s="68" t="n"/>
      <c r="AT1080" s="68" t="n"/>
      <c r="AU1080" s="68" t="n"/>
      <c r="AV1080" s="68" t="n"/>
      <c r="AW1080" s="68" t="n"/>
      <c r="AX1080" s="68" t="n"/>
      <c r="AY1080" s="68" t="n"/>
      <c r="AZ1080" s="68" t="n"/>
      <c r="BA1080" s="68" t="n"/>
      <c r="BB1080" s="68" t="n"/>
      <c r="BC1080" s="68" t="n"/>
      <c r="BD1080" s="68" t="n"/>
      <c r="BE1080" s="68" t="n"/>
      <c r="BF1080" s="68" t="n"/>
      <c r="BG1080" s="68" t="n"/>
      <c r="BH1080" s="68" t="n"/>
      <c r="BI1080" s="68" t="n"/>
      <c r="BJ1080" s="68" t="n"/>
      <c r="BK1080" s="68" t="n"/>
      <c r="BL1080" s="68" t="n"/>
      <c r="BM1080" s="68" t="n"/>
      <c r="BN1080" s="68" t="n"/>
      <c r="BO1080" s="68" t="n"/>
      <c r="BP1080" s="68" t="n"/>
      <c r="BQ1080" s="68" t="n"/>
      <c r="BR1080" s="68" t="n"/>
      <c r="BS1080" s="68" t="n"/>
      <c r="BT1080" s="68" t="n"/>
      <c r="BU1080" s="68" t="n"/>
      <c r="BV1080" s="588" t="n"/>
      <c r="BW1080" s="68" t="n"/>
      <c r="BX1080" s="68" t="n"/>
      <c r="BY1080" s="68" t="n"/>
      <c r="BZ1080" s="68" t="n"/>
      <c r="CA1080" s="68" t="n"/>
      <c r="CB1080" s="68" t="n"/>
      <c r="CC1080" s="68" t="n"/>
      <c r="CD1080" s="68" t="n"/>
      <c r="CE1080" s="68" t="n"/>
      <c r="CF1080" s="68" t="n"/>
      <c r="CG1080" s="155" t="n"/>
    </row>
    <row r="1081">
      <c r="A1081" s="742" t="inlineStr">
        <is>
          <t>Quarterly Guidance Table</t>
        </is>
      </c>
      <c r="B1081" s="561" t="n"/>
      <c r="C1081" s="737" t="n"/>
      <c r="D1081" s="737" t="n"/>
      <c r="E1081" s="561" t="n"/>
      <c r="F1081" s="561" t="n"/>
      <c r="G1081" s="561" t="n"/>
      <c r="H1081" s="561" t="n"/>
      <c r="I1081" s="561" t="n"/>
      <c r="J1081" s="561" t="n"/>
      <c r="K1081" s="561" t="n"/>
      <c r="L1081" s="561" t="n"/>
      <c r="M1081" s="561" t="n"/>
      <c r="N1081" s="561" t="n"/>
      <c r="O1081" s="561" t="n"/>
      <c r="P1081" s="561" t="n"/>
      <c r="Q1081" s="561" t="n"/>
      <c r="R1081" s="561" t="n"/>
      <c r="S1081" s="561" t="n"/>
      <c r="T1081" s="561" t="n"/>
      <c r="U1081" s="561" t="n"/>
      <c r="V1081" s="561" t="n"/>
      <c r="W1081" s="561" t="n"/>
      <c r="X1081" s="561" t="n"/>
      <c r="Y1081" s="561" t="n"/>
      <c r="Z1081" s="561" t="n"/>
      <c r="AA1081" s="561" t="n"/>
      <c r="AB1081" s="561" t="n"/>
      <c r="AC1081" s="561" t="n"/>
      <c r="AD1081" s="561" t="n"/>
      <c r="AE1081" s="561" t="n"/>
      <c r="AF1081" s="561" t="n"/>
      <c r="AG1081" s="561" t="n"/>
      <c r="AH1081" s="561" t="n"/>
      <c r="AI1081" s="561" t="n"/>
      <c r="AJ1081" s="561" t="n"/>
      <c r="AK1081" s="561" t="n"/>
      <c r="AL1081" s="561" t="n"/>
      <c r="AM1081" s="561" t="n"/>
      <c r="AN1081" s="561" t="n"/>
      <c r="AO1081" s="561" t="n"/>
      <c r="AP1081" s="561" t="n"/>
      <c r="AQ1081" s="561" t="n"/>
      <c r="AR1081" s="561" t="n"/>
      <c r="AS1081" s="561" t="n"/>
      <c r="AT1081" s="561" t="n"/>
      <c r="AU1081" s="561" t="n"/>
      <c r="AV1081" s="561" t="n"/>
      <c r="AW1081" s="561" t="n"/>
      <c r="AX1081" s="561" t="n"/>
      <c r="AY1081" s="561" t="n"/>
      <c r="AZ1081" s="561" t="n"/>
      <c r="BA1081" s="561" t="n"/>
      <c r="BB1081" s="561" t="n"/>
      <c r="BC1081" s="561" t="n"/>
      <c r="BD1081" s="561" t="n"/>
      <c r="BE1081" s="561" t="n"/>
      <c r="BF1081" s="561" t="n"/>
      <c r="BG1081" s="561" t="n"/>
      <c r="BH1081" s="561" t="n"/>
      <c r="BI1081" s="561" t="n"/>
      <c r="BJ1081" s="561" t="n"/>
      <c r="BK1081" s="561" t="n"/>
      <c r="BL1081" s="561" t="n"/>
      <c r="BM1081" s="561" t="n"/>
      <c r="BN1081" s="561" t="n"/>
      <c r="BO1081" s="561" t="n"/>
      <c r="BP1081" s="561" t="n"/>
      <c r="BQ1081" s="561" t="n"/>
      <c r="BR1081" s="561" t="n"/>
      <c r="BS1081" s="561" t="n"/>
      <c r="BT1081" s="561" t="n"/>
      <c r="BU1081" s="561" t="n"/>
      <c r="BV1081" s="738" t="n"/>
      <c r="BW1081" s="561" t="n"/>
      <c r="BX1081" s="561" t="n"/>
      <c r="BY1081" s="561" t="n"/>
      <c r="BZ1081" s="561" t="n"/>
      <c r="CA1081" s="561" t="n"/>
      <c r="CB1081" s="561" t="n"/>
      <c r="CC1081" s="561" t="n"/>
      <c r="CD1081" s="561" t="n"/>
      <c r="CE1081" s="561" t="n"/>
      <c r="CF1081" s="739" t="n"/>
      <c r="CG1081" s="155" t="n"/>
    </row>
    <row r="1082">
      <c r="A1082" s="743" t="inlineStr">
        <is>
          <t>Reporting Date</t>
        </is>
      </c>
      <c r="B1082" s="68" t="n"/>
      <c r="C1082" s="1004" t="n"/>
      <c r="D1082" s="1004" t="n"/>
      <c r="E1082" s="745" t="n"/>
      <c r="F1082" s="745" t="n"/>
      <c r="G1082" s="745" t="n"/>
      <c r="H1082" s="745" t="n"/>
      <c r="I1082" s="745" t="n"/>
      <c r="J1082" s="745" t="n"/>
      <c r="K1082" s="745" t="n"/>
      <c r="L1082" s="745" t="n"/>
      <c r="M1082" s="745" t="n"/>
      <c r="N1082" s="745" t="n"/>
      <c r="O1082" s="745" t="n"/>
      <c r="P1082" s="745" t="n"/>
      <c r="Q1082" s="745" t="n"/>
      <c r="R1082" s="745" t="n"/>
      <c r="S1082" s="745" t="n"/>
      <c r="T1082" s="745" t="n"/>
      <c r="U1082" s="745" t="n"/>
      <c r="V1082" s="745" t="n"/>
      <c r="W1082" s="745" t="n"/>
      <c r="X1082" s="745" t="n"/>
      <c r="Y1082" s="745" t="n"/>
      <c r="Z1082" s="745" t="n"/>
      <c r="AA1082" s="745" t="n"/>
      <c r="AB1082" s="745" t="n"/>
      <c r="AC1082" s="745" t="n"/>
      <c r="AD1082" s="745" t="n"/>
      <c r="AE1082" s="745" t="n"/>
      <c r="AF1082" s="745" t="n"/>
      <c r="AG1082" s="745" t="n"/>
      <c r="AH1082" s="1091" t="n">
        <v>43048</v>
      </c>
      <c r="AI1082" s="1091" t="n">
        <v>43139</v>
      </c>
      <c r="AJ1082" s="1091" t="n">
        <v>43139</v>
      </c>
      <c r="AK1082" s="1091" t="n">
        <v>43230</v>
      </c>
      <c r="AL1082" s="1091" t="n">
        <v>43328</v>
      </c>
      <c r="AM1082" s="1091" t="n">
        <v>43419</v>
      </c>
      <c r="AN1082" s="1091" t="n">
        <v>43510</v>
      </c>
      <c r="AO1082" s="1091" t="n">
        <v>43510</v>
      </c>
      <c r="AP1082" s="1091" t="n">
        <v>43601</v>
      </c>
      <c r="AQ1082" s="1091" t="n">
        <v>43692</v>
      </c>
      <c r="AR1082" s="1091" t="n">
        <v>43783</v>
      </c>
      <c r="AS1082" s="1091" t="n">
        <v>43874</v>
      </c>
      <c r="AT1082" s="1091" t="n">
        <v>43874</v>
      </c>
      <c r="AU1082" s="1091" t="n">
        <v>43972</v>
      </c>
      <c r="AV1082" s="1091" t="n">
        <v>44062</v>
      </c>
      <c r="AW1082" s="1091" t="n">
        <v>44153</v>
      </c>
      <c r="AX1082" s="1091" t="n">
        <v>44251</v>
      </c>
      <c r="AY1082" s="1091" t="n">
        <v>44251</v>
      </c>
      <c r="AZ1082" s="1091" t="n">
        <v>44342</v>
      </c>
      <c r="BA1082" s="1091" t="n">
        <v>44426</v>
      </c>
      <c r="BB1082" s="1091" t="n">
        <v>44517</v>
      </c>
      <c r="BC1082" s="1091" t="n">
        <v>44608</v>
      </c>
      <c r="BD1082" s="1091" t="n">
        <v>44608</v>
      </c>
      <c r="BE1082" s="1091" t="n">
        <v>44706</v>
      </c>
      <c r="BF1082" s="1091" t="n">
        <v>44797</v>
      </c>
      <c r="BG1082" s="1091" t="n">
        <v>44881</v>
      </c>
      <c r="BH1082" s="1091" t="n">
        <v>44979</v>
      </c>
      <c r="BI1082" s="1091" t="n">
        <v>44979</v>
      </c>
      <c r="BJ1082" s="1091" t="n">
        <v>45070</v>
      </c>
      <c r="BK1082" s="1091" t="n">
        <v>45161</v>
      </c>
      <c r="BL1082" s="1091" t="n">
        <v>45251</v>
      </c>
      <c r="BM1082" s="1091" t="n">
        <v>45343</v>
      </c>
      <c r="BN1082" s="1091" t="n">
        <v>45343</v>
      </c>
      <c r="BO1082" s="1091" t="n">
        <v>45434</v>
      </c>
      <c r="BP1082" s="1091" t="n">
        <v>45532</v>
      </c>
      <c r="BQ1082" s="1091" t="n">
        <v>45616</v>
      </c>
      <c r="BR1082" s="1091" t="n">
        <v>45714</v>
      </c>
      <c r="BS1082" s="1091" t="n">
        <v>45714</v>
      </c>
      <c r="BT1082" s="1091" t="n">
        <v>45805</v>
      </c>
      <c r="BU1082" s="1091" t="n">
        <v>45896</v>
      </c>
      <c r="BV1082" s="1092" t="n">
        <v>45980</v>
      </c>
      <c r="BW1082" s="745" t="n"/>
      <c r="BX1082" s="745" t="n"/>
      <c r="BY1082" s="745" t="n"/>
      <c r="BZ1082" s="745" t="n"/>
      <c r="CA1082" s="745" t="n"/>
      <c r="CB1082" s="745" t="n"/>
      <c r="CC1082" s="745" t="n"/>
      <c r="CD1082" s="745" t="n"/>
      <c r="CE1082" s="745" t="n"/>
      <c r="CF1082" s="747" t="n"/>
      <c r="CG1082" s="155" t="n"/>
    </row>
    <row r="1083">
      <c r="A1083" s="743" t="inlineStr">
        <is>
          <t>Applicable Period</t>
        </is>
      </c>
      <c r="B1083" s="68" t="n"/>
      <c r="C1083" s="1005" t="n"/>
      <c r="D1083" s="1005" t="n"/>
      <c r="E1083" s="748" t="n"/>
      <c r="F1083" s="748" t="n"/>
      <c r="G1083" s="748" t="n"/>
      <c r="H1083" s="748" t="n"/>
      <c r="I1083" s="748" t="n"/>
      <c r="J1083" s="748" t="n"/>
      <c r="K1083" s="748" t="n"/>
      <c r="L1083" s="748" t="n"/>
      <c r="M1083" s="748" t="n"/>
      <c r="N1083" s="748" t="n"/>
      <c r="O1083" s="748" t="n"/>
      <c r="P1083" s="748" t="n"/>
      <c r="Q1083" s="748" t="n"/>
      <c r="R1083" s="748" t="n"/>
      <c r="S1083" s="748" t="n"/>
      <c r="T1083" s="748" t="n"/>
      <c r="U1083" s="748" t="n"/>
      <c r="V1083" s="748" t="n"/>
      <c r="W1083" s="748" t="n"/>
      <c r="X1083" s="748" t="n"/>
      <c r="Y1083" s="748" t="n"/>
      <c r="Z1083" s="748" t="n"/>
      <c r="AA1083" s="748" t="n"/>
      <c r="AB1083" s="748" t="n"/>
      <c r="AC1083" s="748" t="n"/>
      <c r="AD1083" s="748" t="n"/>
      <c r="AE1083" s="748" t="n"/>
      <c r="AF1083" s="748" t="n"/>
      <c r="AG1083" s="748" t="n"/>
      <c r="AH1083" s="748">
        <f>AI$5</f>
        <v/>
      </c>
      <c r="AI1083" s="748">
        <f>AK$5</f>
        <v/>
      </c>
      <c r="AJ1083" s="748">
        <f>AK$5</f>
        <v/>
      </c>
      <c r="AK1083" s="748">
        <f>AL$5</f>
        <v/>
      </c>
      <c r="AL1083" s="748">
        <f>AM$5</f>
        <v/>
      </c>
      <c r="AM1083" s="748">
        <f>AN$5</f>
        <v/>
      </c>
      <c r="AN1083" s="748">
        <f>AP$5</f>
        <v/>
      </c>
      <c r="AO1083" s="748">
        <f>AP$5</f>
        <v/>
      </c>
      <c r="AP1083" s="748">
        <f>AQ$5</f>
        <v/>
      </c>
      <c r="AQ1083" s="748">
        <f>AR$5</f>
        <v/>
      </c>
      <c r="AR1083" s="748">
        <f>AS$5</f>
        <v/>
      </c>
      <c r="AS1083" s="748">
        <f>AU$5</f>
        <v/>
      </c>
      <c r="AT1083" s="748">
        <f>AU$5</f>
        <v/>
      </c>
      <c r="AU1083" s="748">
        <f>AV$5</f>
        <v/>
      </c>
      <c r="AV1083" s="748">
        <f>AW$5</f>
        <v/>
      </c>
      <c r="AW1083" s="748">
        <f>AX$5</f>
        <v/>
      </c>
      <c r="AX1083" s="748">
        <f>AZ$5</f>
        <v/>
      </c>
      <c r="AY1083" s="748">
        <f>AZ$5</f>
        <v/>
      </c>
      <c r="AZ1083" s="748">
        <f>BA$5</f>
        <v/>
      </c>
      <c r="BA1083" s="748">
        <f>BB$5</f>
        <v/>
      </c>
      <c r="BB1083" s="748">
        <f>BC$5</f>
        <v/>
      </c>
      <c r="BC1083" s="748">
        <f>BE$5</f>
        <v/>
      </c>
      <c r="BD1083" s="748">
        <f>BE$5</f>
        <v/>
      </c>
      <c r="BE1083" s="748">
        <f>BF$5</f>
        <v/>
      </c>
      <c r="BF1083" s="748">
        <f>BG$5</f>
        <v/>
      </c>
      <c r="BG1083" s="748">
        <f>BH$5</f>
        <v/>
      </c>
      <c r="BH1083" s="748">
        <f>BJ$5</f>
        <v/>
      </c>
      <c r="BI1083" s="748">
        <f>BJ$5</f>
        <v/>
      </c>
      <c r="BJ1083" s="748">
        <f>BK$5</f>
        <v/>
      </c>
      <c r="BK1083" s="748">
        <f>BL$5</f>
        <v/>
      </c>
      <c r="BL1083" s="748">
        <f>BM$5</f>
        <v/>
      </c>
      <c r="BM1083" s="748">
        <f>BO$5</f>
        <v/>
      </c>
      <c r="BN1083" s="748">
        <f>BO$5</f>
        <v/>
      </c>
      <c r="BO1083" s="748">
        <f>BP$5</f>
        <v/>
      </c>
      <c r="BP1083" s="748">
        <f>BQ$5</f>
        <v/>
      </c>
      <c r="BQ1083" s="748">
        <f>BR$5</f>
        <v/>
      </c>
      <c r="BR1083" s="748">
        <f>BT$5</f>
        <v/>
      </c>
      <c r="BS1083" s="748">
        <f>BT$5</f>
        <v/>
      </c>
      <c r="BT1083" s="748">
        <f>BU$5</f>
        <v/>
      </c>
      <c r="BU1083" s="748">
        <f>BV$5</f>
        <v/>
      </c>
      <c r="BV1083" s="749">
        <f>BW$5</f>
        <v/>
      </c>
      <c r="BW1083" s="748" t="n"/>
      <c r="BX1083" s="748" t="n"/>
      <c r="BY1083" s="748" t="n"/>
      <c r="BZ1083" s="748" t="n"/>
      <c r="CA1083" s="748" t="n"/>
      <c r="CB1083" s="748" t="n"/>
      <c r="CC1083" s="748" t="n"/>
      <c r="CD1083" s="748" t="n"/>
      <c r="CE1083" s="748" t="n"/>
      <c r="CF1083" s="750" t="n"/>
      <c r="CG1083" s="155" t="n"/>
    </row>
    <row r="1084">
      <c r="A1084" s="793" t="inlineStr">
        <is>
          <t>Low - Net Revenue, mm</t>
        </is>
      </c>
      <c r="B1084" s="1053" t="inlineStr">
        <is>
          <t>MO_RIS_REV</t>
        </is>
      </c>
      <c r="C1084" s="1006" t="n"/>
      <c r="D1084" s="1006" t="n"/>
      <c r="E1084" s="563" t="n"/>
      <c r="F1084" s="563" t="n"/>
      <c r="G1084" s="563" t="n"/>
      <c r="H1084" s="563" t="n"/>
      <c r="I1084" s="563" t="n"/>
      <c r="J1084" s="563" t="n"/>
      <c r="K1084" s="563" t="n"/>
      <c r="L1084" s="563" t="n"/>
      <c r="M1084" s="563" t="n"/>
      <c r="N1084" s="563" t="n"/>
      <c r="O1084" s="563" t="n"/>
      <c r="P1084" s="563" t="n"/>
      <c r="Q1084" s="563" t="n"/>
      <c r="R1084" s="563" t="n"/>
      <c r="S1084" s="563" t="n"/>
      <c r="T1084" s="563" t="n"/>
      <c r="U1084" s="563" t="n"/>
      <c r="V1084" s="563" t="n"/>
      <c r="W1084" s="563" t="n"/>
      <c r="X1084" s="563" t="n"/>
      <c r="Y1084" s="563" t="n"/>
      <c r="Z1084" s="563" t="n"/>
      <c r="AA1084" s="563" t="n"/>
      <c r="AB1084" s="563" t="n"/>
      <c r="AC1084" s="563" t="n"/>
      <c r="AD1084" s="563" t="n"/>
      <c r="AE1084" s="563" t="n"/>
      <c r="AF1084" s="563" t="n"/>
      <c r="AG1084" s="563" t="n"/>
      <c r="AH1084" s="563">
        <f>IF(ISBLANK(AH$1083),"N/A",IF(COUNTIFS(GD_Item_FiscalPeriod,AH$1083,GD_Item_Name,$B1084,GD_Update_Date,AH$1082)=0,"NR",SUMIFS(GD_Guidance_Low,GD_Item_Name,$B1084,GD_Item_FiscalPeriod,AH$1083,GD_Update_Date,AH$1082)))</f>
        <v/>
      </c>
      <c r="AI1084" s="563">
        <f>IF(ISBLANK(AI$1083),"N/A",IF(COUNTIFS(GD_Item_FiscalPeriod,AI$1083,GD_Item_Name,$B1084,GD_Update_Date,AI$1082)=0,"NR",SUMIFS(GD_Guidance_Low,GD_Item_Name,$B1084,GD_Item_FiscalPeriod,AI$1083,GD_Update_Date,AI$1082)))</f>
        <v/>
      </c>
      <c r="AJ1084" s="563">
        <f>IF(ISBLANK(AJ$1083),"N/A",IF(COUNTIFS(GD_Item_FiscalPeriod,AJ$1083,GD_Item_Name,$B1084,GD_Update_Date,AJ$1082)=0,"NR",SUMIFS(GD_Guidance_Low,GD_Item_Name,$B1084,GD_Item_FiscalPeriod,AJ$1083,GD_Update_Date,AJ$1082)))</f>
        <v/>
      </c>
      <c r="AK1084" s="563">
        <f>IF(ISBLANK(AK$1083),"N/A",IF(COUNTIFS(GD_Item_FiscalPeriod,AK$1083,GD_Item_Name,$B1084,GD_Update_Date,AK$1082)=0,"NR",SUMIFS(GD_Guidance_Low,GD_Item_Name,$B1084,GD_Item_FiscalPeriod,AK$1083,GD_Update_Date,AK$1082)))</f>
        <v/>
      </c>
      <c r="AL1084" s="563">
        <f>IF(ISBLANK(AL$1083),"N/A",IF(COUNTIFS(GD_Item_FiscalPeriod,AL$1083,GD_Item_Name,$B1084,GD_Update_Date,AL$1082)=0,"NR",SUMIFS(GD_Guidance_Low,GD_Item_Name,$B1084,GD_Item_FiscalPeriod,AL$1083,GD_Update_Date,AL$1082)))</f>
        <v/>
      </c>
      <c r="AM1084" s="563">
        <f>IF(ISBLANK(AM$1083),"N/A",IF(COUNTIFS(GD_Item_FiscalPeriod,AM$1083,GD_Item_Name,$B1084,GD_Update_Date,AM$1082)=0,"NR",SUMIFS(GD_Guidance_Low,GD_Item_Name,$B1084,GD_Item_FiscalPeriod,AM$1083,GD_Update_Date,AM$1082)))</f>
        <v/>
      </c>
      <c r="AN1084" s="563">
        <f>IF(ISBLANK(AN$1083),"N/A",IF(COUNTIFS(GD_Item_FiscalPeriod,AN$1083,GD_Item_Name,$B1084,GD_Update_Date,AN$1082)=0,"NR",SUMIFS(GD_Guidance_Low,GD_Item_Name,$B1084,GD_Item_FiscalPeriod,AN$1083,GD_Update_Date,AN$1082)))</f>
        <v/>
      </c>
      <c r="AO1084" s="563">
        <f>IF(ISBLANK(AO$1083),"N/A",IF(COUNTIFS(GD_Item_FiscalPeriod,AO$1083,GD_Item_Name,$B1084,GD_Update_Date,AO$1082)=0,"NR",SUMIFS(GD_Guidance_Low,GD_Item_Name,$B1084,GD_Item_FiscalPeriod,AO$1083,GD_Update_Date,AO$1082)))</f>
        <v/>
      </c>
      <c r="AP1084" s="563">
        <f>IF(ISBLANK(AP$1083),"N/A",IF(COUNTIFS(GD_Item_FiscalPeriod,AP$1083,GD_Item_Name,$B1084,GD_Update_Date,AP$1082)=0,"NR",SUMIFS(GD_Guidance_Low,GD_Item_Name,$B1084,GD_Item_FiscalPeriod,AP$1083,GD_Update_Date,AP$1082)))</f>
        <v/>
      </c>
      <c r="AQ1084" s="563">
        <f>IF(ISBLANK(AQ$1083),"N/A",IF(COUNTIFS(GD_Item_FiscalPeriod,AQ$1083,GD_Item_Name,$B1084,GD_Update_Date,AQ$1082)=0,"NR",SUMIFS(GD_Guidance_Low,GD_Item_Name,$B1084,GD_Item_FiscalPeriod,AQ$1083,GD_Update_Date,AQ$1082)))</f>
        <v/>
      </c>
      <c r="AR1084" s="563">
        <f>IF(ISBLANK(AR$1083),"N/A",IF(COUNTIFS(GD_Item_FiscalPeriod,AR$1083,GD_Item_Name,$B1084,GD_Update_Date,AR$1082)=0,"NR",SUMIFS(GD_Guidance_Low,GD_Item_Name,$B1084,GD_Item_FiscalPeriod,AR$1083,GD_Update_Date,AR$1082)))</f>
        <v/>
      </c>
      <c r="AS1084" s="563">
        <f>IF(ISBLANK(AS$1083),"N/A",IF(COUNTIFS(GD_Item_FiscalPeriod,AS$1083,GD_Item_Name,$B1084,GD_Update_Date,AS$1082)=0,"NR",SUMIFS(GD_Guidance_Low,GD_Item_Name,$B1084,GD_Item_FiscalPeriod,AS$1083,GD_Update_Date,AS$1082)))</f>
        <v/>
      </c>
      <c r="AT1084" s="563">
        <f>IF(ISBLANK(AT$1083),"N/A",IF(COUNTIFS(GD_Item_FiscalPeriod,AT$1083,GD_Item_Name,$B1084,GD_Update_Date,AT$1082)=0,"NR",SUMIFS(GD_Guidance_Low,GD_Item_Name,$B1084,GD_Item_FiscalPeriod,AT$1083,GD_Update_Date,AT$1082)))</f>
        <v/>
      </c>
      <c r="AU1084" s="563">
        <f>IF(ISBLANK(AU$1083),"N/A",IF(COUNTIFS(GD_Item_FiscalPeriod,AU$1083,GD_Item_Name,$B1084,GD_Update_Date,AU$1082)=0,"NR",SUMIFS(GD_Guidance_Low,GD_Item_Name,$B1084,GD_Item_FiscalPeriod,AU$1083,GD_Update_Date,AU$1082)))</f>
        <v/>
      </c>
      <c r="AV1084" s="563">
        <f>IF(ISBLANK(AV$1083),"N/A",IF(COUNTIFS(GD_Item_FiscalPeriod,AV$1083,GD_Item_Name,$B1084,GD_Update_Date,AV$1082)=0,"NR",SUMIFS(GD_Guidance_Low,GD_Item_Name,$B1084,GD_Item_FiscalPeriod,AV$1083,GD_Update_Date,AV$1082)))</f>
        <v/>
      </c>
      <c r="AW1084" s="563">
        <f>IF(ISBLANK(AW$1083),"N/A",IF(COUNTIFS(GD_Item_FiscalPeriod,AW$1083,GD_Item_Name,$B1084,GD_Update_Date,AW$1082)=0,"NR",SUMIFS(GD_Guidance_Low,GD_Item_Name,$B1084,GD_Item_FiscalPeriod,AW$1083,GD_Update_Date,AW$1082)))</f>
        <v/>
      </c>
      <c r="AX1084" s="563">
        <f>IF(ISBLANK(AX$1083),"N/A",IF(COUNTIFS(GD_Item_FiscalPeriod,AX$1083,GD_Item_Name,$B1084,GD_Update_Date,AX$1082)=0,"NR",SUMIFS(GD_Guidance_Low,GD_Item_Name,$B1084,GD_Item_FiscalPeriod,AX$1083,GD_Update_Date,AX$1082)))</f>
        <v/>
      </c>
      <c r="AY1084" s="563">
        <f>IF(ISBLANK(AY$1083),"N/A",IF(COUNTIFS(GD_Item_FiscalPeriod,AY$1083,GD_Item_Name,$B1084,GD_Update_Date,AY$1082)=0,"NR",SUMIFS(GD_Guidance_Low,GD_Item_Name,$B1084,GD_Item_FiscalPeriod,AY$1083,GD_Update_Date,AY$1082)))</f>
        <v/>
      </c>
      <c r="AZ1084" s="563">
        <f>IF(ISBLANK(AZ$1083),"N/A",IF(COUNTIFS(GD_Item_FiscalPeriod,AZ$1083,GD_Item_Name,$B1084,GD_Update_Date,AZ$1082)=0,"NR",SUMIFS(GD_Guidance_Low,GD_Item_Name,$B1084,GD_Item_FiscalPeriod,AZ$1083,GD_Update_Date,AZ$1082)))</f>
        <v/>
      </c>
      <c r="BA1084" s="563">
        <f>IF(ISBLANK(BA$1083),"N/A",IF(COUNTIFS(GD_Item_FiscalPeriod,BA$1083,GD_Item_Name,$B1084,GD_Update_Date,BA$1082)=0,"NR",SUMIFS(GD_Guidance_Low,GD_Item_Name,$B1084,GD_Item_FiscalPeriod,BA$1083,GD_Update_Date,BA$1082)))</f>
        <v/>
      </c>
      <c r="BB1084" s="563">
        <f>IF(ISBLANK(BB$1083),"N/A",IF(COUNTIFS(GD_Item_FiscalPeriod,BB$1083,GD_Item_Name,$B1084,GD_Update_Date,BB$1082)=0,"NR",SUMIFS(GD_Guidance_Low,GD_Item_Name,$B1084,GD_Item_FiscalPeriod,BB$1083,GD_Update_Date,BB$1082)))</f>
        <v/>
      </c>
      <c r="BC1084" s="563">
        <f>IF(ISBLANK(BC$1083),"N/A",IF(COUNTIFS(GD_Item_FiscalPeriod,BC$1083,GD_Item_Name,$B1084,GD_Update_Date,BC$1082)=0,"NR",SUMIFS(GD_Guidance_Low,GD_Item_Name,$B1084,GD_Item_FiscalPeriod,BC$1083,GD_Update_Date,BC$1082)))</f>
        <v/>
      </c>
      <c r="BD1084" s="563">
        <f>IF(ISBLANK(BD$1083),"N/A",IF(COUNTIFS(GD_Item_FiscalPeriod,BD$1083,GD_Item_Name,$B1084,GD_Update_Date,BD$1082)=0,"NR",SUMIFS(GD_Guidance_Low,GD_Item_Name,$B1084,GD_Item_FiscalPeriod,BD$1083,GD_Update_Date,BD$1082)))</f>
        <v/>
      </c>
      <c r="BE1084" s="563">
        <f>IF(ISBLANK(BE$1083),"N/A",IF(COUNTIFS(GD_Item_FiscalPeriod,BE$1083,GD_Item_Name,$B1084,GD_Update_Date,BE$1082)=0,"NR",SUMIFS(GD_Guidance_Low,GD_Item_Name,$B1084,GD_Item_FiscalPeriod,BE$1083,GD_Update_Date,BE$1082)))</f>
        <v/>
      </c>
      <c r="BF1084" s="563">
        <f>IF(ISBLANK(BF$1083),"N/A",IF(COUNTIFS(GD_Item_FiscalPeriod,BF$1083,GD_Item_Name,$B1084,GD_Update_Date,BF$1082)=0,"NR",SUMIFS(GD_Guidance_Low,GD_Item_Name,$B1084,GD_Item_FiscalPeriod,BF$1083,GD_Update_Date,BF$1082)))</f>
        <v/>
      </c>
      <c r="BG1084" s="563">
        <f>IF(ISBLANK(BG$1083),"N/A",IF(COUNTIFS(GD_Item_FiscalPeriod,BG$1083,GD_Item_Name,$B1084,GD_Update_Date,BG$1082)=0,"NR",SUMIFS(GD_Guidance_Low,GD_Item_Name,$B1084,GD_Item_FiscalPeriod,BG$1083,GD_Update_Date,BG$1082)))</f>
        <v/>
      </c>
      <c r="BH1084" s="563">
        <f>IF(ISBLANK(BH$1083),"N/A",IF(COUNTIFS(GD_Item_FiscalPeriod,BH$1083,GD_Item_Name,$B1084,GD_Update_Date,BH$1082)=0,"NR",SUMIFS(GD_Guidance_Low,GD_Item_Name,$B1084,GD_Item_FiscalPeriod,BH$1083,GD_Update_Date,BH$1082)))</f>
        <v/>
      </c>
      <c r="BI1084" s="563">
        <f>IF(ISBLANK(BI$1083),"N/A",IF(COUNTIFS(GD_Item_FiscalPeriod,BI$1083,GD_Item_Name,$B1084,GD_Update_Date,BI$1082)=0,"NR",SUMIFS(GD_Guidance_Low,GD_Item_Name,$B1084,GD_Item_FiscalPeriod,BI$1083,GD_Update_Date,BI$1082)))</f>
        <v/>
      </c>
      <c r="BJ1084" s="563">
        <f>IF(ISBLANK(BJ$1083),"N/A",IF(COUNTIFS(GD_Item_FiscalPeriod,BJ$1083,GD_Item_Name,$B1084,GD_Update_Date,BJ$1082)=0,"NR",SUMIFS(GD_Guidance_Low,GD_Item_Name,$B1084,GD_Item_FiscalPeriod,BJ$1083,GD_Update_Date,BJ$1082)))</f>
        <v/>
      </c>
      <c r="BK1084" s="563">
        <f>IF(ISBLANK(BK$1083),"N/A",IF(COUNTIFS(GD_Item_FiscalPeriod,BK$1083,GD_Item_Name,$B1084,GD_Update_Date,BK$1082)=0,"NR",SUMIFS(GD_Guidance_Low,GD_Item_Name,$B1084,GD_Item_FiscalPeriod,BK$1083,GD_Update_Date,BK$1082)))</f>
        <v/>
      </c>
      <c r="BL1084" s="563">
        <f>IF(ISBLANK(BL$1083),"N/A",IF(COUNTIFS(GD_Item_FiscalPeriod,BL$1083,GD_Item_Name,$B1084,GD_Update_Date,BL$1082)=0,"NR",SUMIFS(GD_Guidance_Low,GD_Item_Name,$B1084,GD_Item_FiscalPeriod,BL$1083,GD_Update_Date,BL$1082)))</f>
        <v/>
      </c>
      <c r="BM1084" s="563">
        <f>IF(ISBLANK(BM$1083),"N/A",IF(COUNTIFS(GD_Item_FiscalPeriod,BM$1083,GD_Item_Name,$B1084,GD_Update_Date,BM$1082)=0,"NR",SUMIFS(GD_Guidance_Low,GD_Item_Name,$B1084,GD_Item_FiscalPeriod,BM$1083,GD_Update_Date,BM$1082)))</f>
        <v/>
      </c>
      <c r="BN1084" s="563">
        <f>IF(ISBLANK(BN$1083),"N/A",IF(COUNTIFS(GD_Item_FiscalPeriod,BN$1083,GD_Item_Name,$B1084,GD_Update_Date,BN$1082)=0,"NR",SUMIFS(GD_Guidance_Low,GD_Item_Name,$B1084,GD_Item_FiscalPeriod,BN$1083,GD_Update_Date,BN$1082)))</f>
        <v/>
      </c>
      <c r="BO1084" s="563">
        <f>IF(ISBLANK(BO$1083),"N/A",IF(COUNTIFS(GD_Item_FiscalPeriod,BO$1083,GD_Item_Name,$B1084,GD_Update_Date,BO$1082)=0,"NR",SUMIFS(GD_Guidance_Low,GD_Item_Name,$B1084,GD_Item_FiscalPeriod,BO$1083,GD_Update_Date,BO$1082)))</f>
        <v/>
      </c>
      <c r="BP1084" s="563">
        <f>IF(ISBLANK(BP$1083),"N/A",IF(COUNTIFS(GD_Item_FiscalPeriod,BP$1083,GD_Item_Name,$B1084,GD_Update_Date,BP$1082)=0,"NR",SUMIFS(GD_Guidance_Low,GD_Item_Name,$B1084,GD_Item_FiscalPeriod,BP$1083,GD_Update_Date,BP$1082)))</f>
        <v/>
      </c>
      <c r="BQ1084" s="563">
        <f>IF(ISBLANK(BQ$1083),"N/A",IF(COUNTIFS(GD_Item_FiscalPeriod,BQ$1083,GD_Item_Name,$B1084,GD_Update_Date,BQ$1082)=0,"NR",SUMIFS(GD_Guidance_Low,GD_Item_Name,$B1084,GD_Item_FiscalPeriod,BQ$1083,GD_Update_Date,BQ$1082)))</f>
        <v/>
      </c>
      <c r="BR1084" s="563">
        <f>IF(ISBLANK(BR$1083),"N/A",IF(COUNTIFS(GD_Item_FiscalPeriod,BR$1083,GD_Item_Name,$B1084,GD_Update_Date,BR$1082)=0,"NR",SUMIFS(GD_Guidance_Low,GD_Item_Name,$B1084,GD_Item_FiscalPeriod,BR$1083,GD_Update_Date,BR$1082)))</f>
        <v/>
      </c>
      <c r="BS1084" s="563">
        <f>IF(ISBLANK(BS$1083),"N/A",IF(COUNTIFS(GD_Item_FiscalPeriod,BS$1083,GD_Item_Name,$B1084,GD_Update_Date,BS$1082)=0,"NR",SUMIFS(GD_Guidance_Low,GD_Item_Name,$B1084,GD_Item_FiscalPeriod,BS$1083,GD_Update_Date,BS$1082)))</f>
        <v/>
      </c>
      <c r="BT1084" s="563">
        <f>IF(ISBLANK(BT$1083),"N/A",IF(COUNTIFS(GD_Item_FiscalPeriod,BT$1083,GD_Item_Name,$B1084,GD_Update_Date,BT$1082)=0,"NR",SUMIFS(GD_Guidance_Low,GD_Item_Name,$B1084,GD_Item_FiscalPeriod,BT$1083,GD_Update_Date,BT$1082)))</f>
        <v/>
      </c>
      <c r="BU1084" s="563">
        <f>IF(ISBLANK(BU$1083),"N/A",IF(COUNTIFS(GD_Item_FiscalPeriod,BU$1083,GD_Item_Name,$B1084,GD_Update_Date,BU$1082)=0,"NR",SUMIFS(GD_Guidance_Low,GD_Item_Name,$B1084,GD_Item_FiscalPeriod,BU$1083,GD_Update_Date,BU$1082)))</f>
        <v/>
      </c>
      <c r="BV1084" s="731">
        <f>IF(ISBLANK(BV$1083),"N/A",IF(COUNTIFS(GD_Item_FiscalPeriod,BV$1083,GD_Item_Name,$B1084,GD_Update_Date,BV$1082)=0,"NR",SUMIFS(GD_Guidance_Low,GD_Item_Name,$B1084,GD_Item_FiscalPeriod,BV$1083,GD_Update_Date,BV$1082)))</f>
        <v/>
      </c>
      <c r="BW1084" s="563">
        <f>IF(ISBLANK(BW$1083),"N/A",IF(COUNTIFS(GD_Item_FiscalPeriod,BW$1083,GD_Item_Name,$B1084,GD_Update_Date,BW$1082)=0,"NR",SUMIFS(GD_Guidance_Low,GD_Item_Name,$B1084,GD_Item_FiscalPeriod,BW$1083,GD_Update_Date,BW$1082)))</f>
        <v/>
      </c>
      <c r="BX1084" s="563">
        <f>IF(ISBLANK(BX$1083),"N/A",IF(COUNTIFS(GD_Item_FiscalPeriod,BX$1083,GD_Item_Name,$B1084,GD_Update_Date,BX$1082)=0,"NR",SUMIFS(GD_Guidance_Low,GD_Item_Name,$B1084,GD_Item_FiscalPeriod,BX$1083,GD_Update_Date,BX$1082)))</f>
        <v/>
      </c>
      <c r="BY1084" s="563">
        <f>IF(ISBLANK(BY$1083),"N/A",IF(COUNTIFS(GD_Item_FiscalPeriod,BY$1083,GD_Item_Name,$B1084,GD_Update_Date,BY$1082)=0,"NR",SUMIFS(GD_Guidance_Low,GD_Item_Name,$B1084,GD_Item_FiscalPeriod,BY$1083,GD_Update_Date,BY$1082)))</f>
        <v/>
      </c>
      <c r="BZ1084" s="563">
        <f>IF(ISBLANK(BZ$1083),"N/A",IF(COUNTIFS(GD_Item_FiscalPeriod,BZ$1083,GD_Item_Name,$B1084,GD_Update_Date,BZ$1082)=0,"NR",SUMIFS(GD_Guidance_Low,GD_Item_Name,$B1084,GD_Item_FiscalPeriod,BZ$1083,GD_Update_Date,BZ$1082)))</f>
        <v/>
      </c>
      <c r="CA1084" s="563">
        <f>IF(ISBLANK(CA$1083),"N/A",IF(COUNTIFS(GD_Item_FiscalPeriod,CA$1083,GD_Item_Name,$B1084,GD_Update_Date,CA$1082)=0,"NR",SUMIFS(GD_Guidance_Low,GD_Item_Name,$B1084,GD_Item_FiscalPeriod,CA$1083,GD_Update_Date,CA$1082)))</f>
        <v/>
      </c>
      <c r="CB1084" s="563">
        <f>IF(ISBLANK(CB$1083),"N/A",IF(COUNTIFS(GD_Item_FiscalPeriod,CB$1083,GD_Item_Name,$B1084,GD_Update_Date,CB$1082)=0,"NR",SUMIFS(GD_Guidance_Low,GD_Item_Name,$B1084,GD_Item_FiscalPeriod,CB$1083,GD_Update_Date,CB$1082)))</f>
        <v/>
      </c>
      <c r="CC1084" s="563">
        <f>IF(ISBLANK(CC$1083),"N/A",IF(COUNTIFS(GD_Item_FiscalPeriod,CC$1083,GD_Item_Name,$B1084,GD_Update_Date,CC$1082)=0,"NR",SUMIFS(GD_Guidance_Low,GD_Item_Name,$B1084,GD_Item_FiscalPeriod,CC$1083,GD_Update_Date,CC$1082)))</f>
        <v/>
      </c>
      <c r="CD1084" s="563">
        <f>IF(ISBLANK(CD$1083),"N/A",IF(COUNTIFS(GD_Item_FiscalPeriod,CD$1083,GD_Item_Name,$B1084,GD_Update_Date,CD$1082)=0,"NR",SUMIFS(GD_Guidance_Low,GD_Item_Name,$B1084,GD_Item_FiscalPeriod,CD$1083,GD_Update_Date,CD$1082)))</f>
        <v/>
      </c>
      <c r="CE1084" s="563">
        <f>IF(ISBLANK(CE$1083),"N/A",IF(COUNTIFS(GD_Item_FiscalPeriod,CE$1083,GD_Item_Name,$B1084,GD_Update_Date,CE$1082)=0,"NR",SUMIFS(GD_Guidance_Low,GD_Item_Name,$B1084,GD_Item_FiscalPeriod,CE$1083,GD_Update_Date,CE$1082)))</f>
        <v/>
      </c>
      <c r="CF1084" s="794">
        <f>IF(ISBLANK(CF$1083),"N/A",IF(COUNTIFS(GD_Item_FiscalPeriod,CF$1083,GD_Item_Name,$B1084,GD_Update_Date,CF$1082)=0,"NR",SUMIFS(GD_Guidance_Low,GD_Item_Name,$B1084,GD_Item_FiscalPeriod,CF$1083,GD_Update_Date,CF$1082)))</f>
        <v/>
      </c>
      <c r="CG1084" s="155" t="n"/>
    </row>
    <row r="1085">
      <c r="A1085" s="793" t="inlineStr">
        <is>
          <t>High - Net Revenue, mm</t>
        </is>
      </c>
      <c r="B1085" s="1053" t="inlineStr">
        <is>
          <t>MO_RIS_REV</t>
        </is>
      </c>
      <c r="C1085" s="1006" t="n"/>
      <c r="D1085" s="1006" t="n"/>
      <c r="E1085" s="563" t="n"/>
      <c r="F1085" s="563" t="n"/>
      <c r="G1085" s="563" t="n"/>
      <c r="H1085" s="563" t="n"/>
      <c r="I1085" s="563" t="n"/>
      <c r="J1085" s="563" t="n"/>
      <c r="K1085" s="563" t="n"/>
      <c r="L1085" s="563" t="n"/>
      <c r="M1085" s="563" t="n"/>
      <c r="N1085" s="563" t="n"/>
      <c r="O1085" s="563" t="n"/>
      <c r="P1085" s="563" t="n"/>
      <c r="Q1085" s="563" t="n"/>
      <c r="R1085" s="563" t="n"/>
      <c r="S1085" s="563" t="n"/>
      <c r="T1085" s="563" t="n"/>
      <c r="U1085" s="563" t="n"/>
      <c r="V1085" s="563" t="n"/>
      <c r="W1085" s="563" t="n"/>
      <c r="X1085" s="563" t="n"/>
      <c r="Y1085" s="563" t="n"/>
      <c r="Z1085" s="563" t="n"/>
      <c r="AA1085" s="563" t="n"/>
      <c r="AB1085" s="563" t="n"/>
      <c r="AC1085" s="563" t="n"/>
      <c r="AD1085" s="563" t="n"/>
      <c r="AE1085" s="563" t="n"/>
      <c r="AF1085" s="563" t="n"/>
      <c r="AG1085" s="563" t="n"/>
      <c r="AH1085" s="563">
        <f>IF(ISBLANK(AH$1083),"N/A",IF(COUNTIFS(GD_Item_FiscalPeriod,AH$1083,GD_Item_Name,$B1085,GD_Update_Date,AH$1082)=0,"NR",SUMIFS(GD_Guidance_High,GD_Item_Name,$B1085,GD_Item_FiscalPeriod,AH$1083,GD_Update_Date,AH$1082)))</f>
        <v/>
      </c>
      <c r="AI1085" s="563">
        <f>IF(ISBLANK(AI$1083),"N/A",IF(COUNTIFS(GD_Item_FiscalPeriod,AI$1083,GD_Item_Name,$B1085,GD_Update_Date,AI$1082)=0,"NR",SUMIFS(GD_Guidance_High,GD_Item_Name,$B1085,GD_Item_FiscalPeriod,AI$1083,GD_Update_Date,AI$1082)))</f>
        <v/>
      </c>
      <c r="AJ1085" s="563">
        <f>IF(ISBLANK(AJ$1083),"N/A",IF(COUNTIFS(GD_Item_FiscalPeriod,AJ$1083,GD_Item_Name,$B1085,GD_Update_Date,AJ$1082)=0,"NR",SUMIFS(GD_Guidance_High,GD_Item_Name,$B1085,GD_Item_FiscalPeriod,AJ$1083,GD_Update_Date,AJ$1082)))</f>
        <v/>
      </c>
      <c r="AK1085" s="563">
        <f>IF(ISBLANK(AK$1083),"N/A",IF(COUNTIFS(GD_Item_FiscalPeriod,AK$1083,GD_Item_Name,$B1085,GD_Update_Date,AK$1082)=0,"NR",SUMIFS(GD_Guidance_High,GD_Item_Name,$B1085,GD_Item_FiscalPeriod,AK$1083,GD_Update_Date,AK$1082)))</f>
        <v/>
      </c>
      <c r="AL1085" s="563">
        <f>IF(ISBLANK(AL$1083),"N/A",IF(COUNTIFS(GD_Item_FiscalPeriod,AL$1083,GD_Item_Name,$B1085,GD_Update_Date,AL$1082)=0,"NR",SUMIFS(GD_Guidance_High,GD_Item_Name,$B1085,GD_Item_FiscalPeriod,AL$1083,GD_Update_Date,AL$1082)))</f>
        <v/>
      </c>
      <c r="AM1085" s="563">
        <f>IF(ISBLANK(AM$1083),"N/A",IF(COUNTIFS(GD_Item_FiscalPeriod,AM$1083,GD_Item_Name,$B1085,GD_Update_Date,AM$1082)=0,"NR",SUMIFS(GD_Guidance_High,GD_Item_Name,$B1085,GD_Item_FiscalPeriod,AM$1083,GD_Update_Date,AM$1082)))</f>
        <v/>
      </c>
      <c r="AN1085" s="563">
        <f>IF(ISBLANK(AN$1083),"N/A",IF(COUNTIFS(GD_Item_FiscalPeriod,AN$1083,GD_Item_Name,$B1085,GD_Update_Date,AN$1082)=0,"NR",SUMIFS(GD_Guidance_High,GD_Item_Name,$B1085,GD_Item_FiscalPeriod,AN$1083,GD_Update_Date,AN$1082)))</f>
        <v/>
      </c>
      <c r="AO1085" s="563">
        <f>IF(ISBLANK(AO$1083),"N/A",IF(COUNTIFS(GD_Item_FiscalPeriod,AO$1083,GD_Item_Name,$B1085,GD_Update_Date,AO$1082)=0,"NR",SUMIFS(GD_Guidance_High,GD_Item_Name,$B1085,GD_Item_FiscalPeriod,AO$1083,GD_Update_Date,AO$1082)))</f>
        <v/>
      </c>
      <c r="AP1085" s="563">
        <f>IF(ISBLANK(AP$1083),"N/A",IF(COUNTIFS(GD_Item_FiscalPeriod,AP$1083,GD_Item_Name,$B1085,GD_Update_Date,AP$1082)=0,"NR",SUMIFS(GD_Guidance_High,GD_Item_Name,$B1085,GD_Item_FiscalPeriod,AP$1083,GD_Update_Date,AP$1082)))</f>
        <v/>
      </c>
      <c r="AQ1085" s="563">
        <f>IF(ISBLANK(AQ$1083),"N/A",IF(COUNTIFS(GD_Item_FiscalPeriod,AQ$1083,GD_Item_Name,$B1085,GD_Update_Date,AQ$1082)=0,"NR",SUMIFS(GD_Guidance_High,GD_Item_Name,$B1085,GD_Item_FiscalPeriod,AQ$1083,GD_Update_Date,AQ$1082)))</f>
        <v/>
      </c>
      <c r="AR1085" s="563">
        <f>IF(ISBLANK(AR$1083),"N/A",IF(COUNTIFS(GD_Item_FiscalPeriod,AR$1083,GD_Item_Name,$B1085,GD_Update_Date,AR$1082)=0,"NR",SUMIFS(GD_Guidance_High,GD_Item_Name,$B1085,GD_Item_FiscalPeriod,AR$1083,GD_Update_Date,AR$1082)))</f>
        <v/>
      </c>
      <c r="AS1085" s="563">
        <f>IF(ISBLANK(AS$1083),"N/A",IF(COUNTIFS(GD_Item_FiscalPeriod,AS$1083,GD_Item_Name,$B1085,GD_Update_Date,AS$1082)=0,"NR",SUMIFS(GD_Guidance_High,GD_Item_Name,$B1085,GD_Item_FiscalPeriod,AS$1083,GD_Update_Date,AS$1082)))</f>
        <v/>
      </c>
      <c r="AT1085" s="563">
        <f>IF(ISBLANK(AT$1083),"N/A",IF(COUNTIFS(GD_Item_FiscalPeriod,AT$1083,GD_Item_Name,$B1085,GD_Update_Date,AT$1082)=0,"NR",SUMIFS(GD_Guidance_High,GD_Item_Name,$B1085,GD_Item_FiscalPeriod,AT$1083,GD_Update_Date,AT$1082)))</f>
        <v/>
      </c>
      <c r="AU1085" s="563">
        <f>IF(ISBLANK(AU$1083),"N/A",IF(COUNTIFS(GD_Item_FiscalPeriod,AU$1083,GD_Item_Name,$B1085,GD_Update_Date,AU$1082)=0,"NR",SUMIFS(GD_Guidance_High,GD_Item_Name,$B1085,GD_Item_FiscalPeriod,AU$1083,GD_Update_Date,AU$1082)))</f>
        <v/>
      </c>
      <c r="AV1085" s="563">
        <f>IF(ISBLANK(AV$1083),"N/A",IF(COUNTIFS(GD_Item_FiscalPeriod,AV$1083,GD_Item_Name,$B1085,GD_Update_Date,AV$1082)=0,"NR",SUMIFS(GD_Guidance_High,GD_Item_Name,$B1085,GD_Item_FiscalPeriod,AV$1083,GD_Update_Date,AV$1082)))</f>
        <v/>
      </c>
      <c r="AW1085" s="563">
        <f>IF(ISBLANK(AW$1083),"N/A",IF(COUNTIFS(GD_Item_FiscalPeriod,AW$1083,GD_Item_Name,$B1085,GD_Update_Date,AW$1082)=0,"NR",SUMIFS(GD_Guidance_High,GD_Item_Name,$B1085,GD_Item_FiscalPeriod,AW$1083,GD_Update_Date,AW$1082)))</f>
        <v/>
      </c>
      <c r="AX1085" s="563">
        <f>IF(ISBLANK(AX$1083),"N/A",IF(COUNTIFS(GD_Item_FiscalPeriod,AX$1083,GD_Item_Name,$B1085,GD_Update_Date,AX$1082)=0,"NR",SUMIFS(GD_Guidance_High,GD_Item_Name,$B1085,GD_Item_FiscalPeriod,AX$1083,GD_Update_Date,AX$1082)))</f>
        <v/>
      </c>
      <c r="AY1085" s="563">
        <f>IF(ISBLANK(AY$1083),"N/A",IF(COUNTIFS(GD_Item_FiscalPeriod,AY$1083,GD_Item_Name,$B1085,GD_Update_Date,AY$1082)=0,"NR",SUMIFS(GD_Guidance_High,GD_Item_Name,$B1085,GD_Item_FiscalPeriod,AY$1083,GD_Update_Date,AY$1082)))</f>
        <v/>
      </c>
      <c r="AZ1085" s="563">
        <f>IF(ISBLANK(AZ$1083),"N/A",IF(COUNTIFS(GD_Item_FiscalPeriod,AZ$1083,GD_Item_Name,$B1085,GD_Update_Date,AZ$1082)=0,"NR",SUMIFS(GD_Guidance_High,GD_Item_Name,$B1085,GD_Item_FiscalPeriod,AZ$1083,GD_Update_Date,AZ$1082)))</f>
        <v/>
      </c>
      <c r="BA1085" s="563">
        <f>IF(ISBLANK(BA$1083),"N/A",IF(COUNTIFS(GD_Item_FiscalPeriod,BA$1083,GD_Item_Name,$B1085,GD_Update_Date,BA$1082)=0,"NR",SUMIFS(GD_Guidance_High,GD_Item_Name,$B1085,GD_Item_FiscalPeriod,BA$1083,GD_Update_Date,BA$1082)))</f>
        <v/>
      </c>
      <c r="BB1085" s="563">
        <f>IF(ISBLANK(BB$1083),"N/A",IF(COUNTIFS(GD_Item_FiscalPeriod,BB$1083,GD_Item_Name,$B1085,GD_Update_Date,BB$1082)=0,"NR",SUMIFS(GD_Guidance_High,GD_Item_Name,$B1085,GD_Item_FiscalPeriod,BB$1083,GD_Update_Date,BB$1082)))</f>
        <v/>
      </c>
      <c r="BC1085" s="563">
        <f>IF(ISBLANK(BC$1083),"N/A",IF(COUNTIFS(GD_Item_FiscalPeriod,BC$1083,GD_Item_Name,$B1085,GD_Update_Date,BC$1082)=0,"NR",SUMIFS(GD_Guidance_High,GD_Item_Name,$B1085,GD_Item_FiscalPeriod,BC$1083,GD_Update_Date,BC$1082)))</f>
        <v/>
      </c>
      <c r="BD1085" s="563">
        <f>IF(ISBLANK(BD$1083),"N/A",IF(COUNTIFS(GD_Item_FiscalPeriod,BD$1083,GD_Item_Name,$B1085,GD_Update_Date,BD$1082)=0,"NR",SUMIFS(GD_Guidance_High,GD_Item_Name,$B1085,GD_Item_FiscalPeriod,BD$1083,GD_Update_Date,BD$1082)))</f>
        <v/>
      </c>
      <c r="BE1085" s="563">
        <f>IF(ISBLANK(BE$1083),"N/A",IF(COUNTIFS(GD_Item_FiscalPeriod,BE$1083,GD_Item_Name,$B1085,GD_Update_Date,BE$1082)=0,"NR",SUMIFS(GD_Guidance_High,GD_Item_Name,$B1085,GD_Item_FiscalPeriod,BE$1083,GD_Update_Date,BE$1082)))</f>
        <v/>
      </c>
      <c r="BF1085" s="563">
        <f>IF(ISBLANK(BF$1083),"N/A",IF(COUNTIFS(GD_Item_FiscalPeriod,BF$1083,GD_Item_Name,$B1085,GD_Update_Date,BF$1082)=0,"NR",SUMIFS(GD_Guidance_High,GD_Item_Name,$B1085,GD_Item_FiscalPeriod,BF$1083,GD_Update_Date,BF$1082)))</f>
        <v/>
      </c>
      <c r="BG1085" s="563">
        <f>IF(ISBLANK(BG$1083),"N/A",IF(COUNTIFS(GD_Item_FiscalPeriod,BG$1083,GD_Item_Name,$B1085,GD_Update_Date,BG$1082)=0,"NR",SUMIFS(GD_Guidance_High,GD_Item_Name,$B1085,GD_Item_FiscalPeriod,BG$1083,GD_Update_Date,BG$1082)))</f>
        <v/>
      </c>
      <c r="BH1085" s="563">
        <f>IF(ISBLANK(BH$1083),"N/A",IF(COUNTIFS(GD_Item_FiscalPeriod,BH$1083,GD_Item_Name,$B1085,GD_Update_Date,BH$1082)=0,"NR",SUMIFS(GD_Guidance_High,GD_Item_Name,$B1085,GD_Item_FiscalPeriod,BH$1083,GD_Update_Date,BH$1082)))</f>
        <v/>
      </c>
      <c r="BI1085" s="563">
        <f>IF(ISBLANK(BI$1083),"N/A",IF(COUNTIFS(GD_Item_FiscalPeriod,BI$1083,GD_Item_Name,$B1085,GD_Update_Date,BI$1082)=0,"NR",SUMIFS(GD_Guidance_High,GD_Item_Name,$B1085,GD_Item_FiscalPeriod,BI$1083,GD_Update_Date,BI$1082)))</f>
        <v/>
      </c>
      <c r="BJ1085" s="563">
        <f>IF(ISBLANK(BJ$1083),"N/A",IF(COUNTIFS(GD_Item_FiscalPeriod,BJ$1083,GD_Item_Name,$B1085,GD_Update_Date,BJ$1082)=0,"NR",SUMIFS(GD_Guidance_High,GD_Item_Name,$B1085,GD_Item_FiscalPeriod,BJ$1083,GD_Update_Date,BJ$1082)))</f>
        <v/>
      </c>
      <c r="BK1085" s="563">
        <f>IF(ISBLANK(BK$1083),"N/A",IF(COUNTIFS(GD_Item_FiscalPeriod,BK$1083,GD_Item_Name,$B1085,GD_Update_Date,BK$1082)=0,"NR",SUMIFS(GD_Guidance_High,GD_Item_Name,$B1085,GD_Item_FiscalPeriod,BK$1083,GD_Update_Date,BK$1082)))</f>
        <v/>
      </c>
      <c r="BL1085" s="563">
        <f>IF(ISBLANK(BL$1083),"N/A",IF(COUNTIFS(GD_Item_FiscalPeriod,BL$1083,GD_Item_Name,$B1085,GD_Update_Date,BL$1082)=0,"NR",SUMIFS(GD_Guidance_High,GD_Item_Name,$B1085,GD_Item_FiscalPeriod,BL$1083,GD_Update_Date,BL$1082)))</f>
        <v/>
      </c>
      <c r="BM1085" s="563">
        <f>IF(ISBLANK(BM$1083),"N/A",IF(COUNTIFS(GD_Item_FiscalPeriod,BM$1083,GD_Item_Name,$B1085,GD_Update_Date,BM$1082)=0,"NR",SUMIFS(GD_Guidance_High,GD_Item_Name,$B1085,GD_Item_FiscalPeriod,BM$1083,GD_Update_Date,BM$1082)))</f>
        <v/>
      </c>
      <c r="BN1085" s="563">
        <f>IF(ISBLANK(BN$1083),"N/A",IF(COUNTIFS(GD_Item_FiscalPeriod,BN$1083,GD_Item_Name,$B1085,GD_Update_Date,BN$1082)=0,"NR",SUMIFS(GD_Guidance_High,GD_Item_Name,$B1085,GD_Item_FiscalPeriod,BN$1083,GD_Update_Date,BN$1082)))</f>
        <v/>
      </c>
      <c r="BO1085" s="563">
        <f>IF(ISBLANK(BO$1083),"N/A",IF(COUNTIFS(GD_Item_FiscalPeriod,BO$1083,GD_Item_Name,$B1085,GD_Update_Date,BO$1082)=0,"NR",SUMIFS(GD_Guidance_High,GD_Item_Name,$B1085,GD_Item_FiscalPeriod,BO$1083,GD_Update_Date,BO$1082)))</f>
        <v/>
      </c>
      <c r="BP1085" s="563">
        <f>IF(ISBLANK(BP$1083),"N/A",IF(COUNTIFS(GD_Item_FiscalPeriod,BP$1083,GD_Item_Name,$B1085,GD_Update_Date,BP$1082)=0,"NR",SUMIFS(GD_Guidance_High,GD_Item_Name,$B1085,GD_Item_FiscalPeriod,BP$1083,GD_Update_Date,BP$1082)))</f>
        <v/>
      </c>
      <c r="BQ1085" s="563">
        <f>IF(ISBLANK(BQ$1083),"N/A",IF(COUNTIFS(GD_Item_FiscalPeriod,BQ$1083,GD_Item_Name,$B1085,GD_Update_Date,BQ$1082)=0,"NR",SUMIFS(GD_Guidance_High,GD_Item_Name,$B1085,GD_Item_FiscalPeriod,BQ$1083,GD_Update_Date,BQ$1082)))</f>
        <v/>
      </c>
      <c r="BR1085" s="563">
        <f>IF(ISBLANK(BR$1083),"N/A",IF(COUNTIFS(GD_Item_FiscalPeriod,BR$1083,GD_Item_Name,$B1085,GD_Update_Date,BR$1082)=0,"NR",SUMIFS(GD_Guidance_High,GD_Item_Name,$B1085,GD_Item_FiscalPeriod,BR$1083,GD_Update_Date,BR$1082)))</f>
        <v/>
      </c>
      <c r="BS1085" s="563">
        <f>IF(ISBLANK(BS$1083),"N/A",IF(COUNTIFS(GD_Item_FiscalPeriod,BS$1083,GD_Item_Name,$B1085,GD_Update_Date,BS$1082)=0,"NR",SUMIFS(GD_Guidance_High,GD_Item_Name,$B1085,GD_Item_FiscalPeriod,BS$1083,GD_Update_Date,BS$1082)))</f>
        <v/>
      </c>
      <c r="BT1085" s="563">
        <f>IF(ISBLANK(BT$1083),"N/A",IF(COUNTIFS(GD_Item_FiscalPeriod,BT$1083,GD_Item_Name,$B1085,GD_Update_Date,BT$1082)=0,"NR",SUMIFS(GD_Guidance_High,GD_Item_Name,$B1085,GD_Item_FiscalPeriod,BT$1083,GD_Update_Date,BT$1082)))</f>
        <v/>
      </c>
      <c r="BU1085" s="563">
        <f>IF(ISBLANK(BU$1083),"N/A",IF(COUNTIFS(GD_Item_FiscalPeriod,BU$1083,GD_Item_Name,$B1085,GD_Update_Date,BU$1082)=0,"NR",SUMIFS(GD_Guidance_High,GD_Item_Name,$B1085,GD_Item_FiscalPeriod,BU$1083,GD_Update_Date,BU$1082)))</f>
        <v/>
      </c>
      <c r="BV1085" s="731">
        <f>IF(ISBLANK(BV$1083),"N/A",IF(COUNTIFS(GD_Item_FiscalPeriod,BV$1083,GD_Item_Name,$B1085,GD_Update_Date,BV$1082)=0,"NR",SUMIFS(GD_Guidance_High,GD_Item_Name,$B1085,GD_Item_FiscalPeriod,BV$1083,GD_Update_Date,BV$1082)))</f>
        <v/>
      </c>
      <c r="BW1085" s="563">
        <f>IF(ISBLANK(BW$1083),"N/A",IF(COUNTIFS(GD_Item_FiscalPeriod,BW$1083,GD_Item_Name,$B1085,GD_Update_Date,BW$1082)=0,"NR",SUMIFS(GD_Guidance_High,GD_Item_Name,$B1085,GD_Item_FiscalPeriod,BW$1083,GD_Update_Date,BW$1082)))</f>
        <v/>
      </c>
      <c r="BX1085" s="563">
        <f>IF(ISBLANK(BX$1083),"N/A",IF(COUNTIFS(GD_Item_FiscalPeriod,BX$1083,GD_Item_Name,$B1085,GD_Update_Date,BX$1082)=0,"NR",SUMIFS(GD_Guidance_High,GD_Item_Name,$B1085,GD_Item_FiscalPeriod,BX$1083,GD_Update_Date,BX$1082)))</f>
        <v/>
      </c>
      <c r="BY1085" s="563">
        <f>IF(ISBLANK(BY$1083),"N/A",IF(COUNTIFS(GD_Item_FiscalPeriod,BY$1083,GD_Item_Name,$B1085,GD_Update_Date,BY$1082)=0,"NR",SUMIFS(GD_Guidance_High,GD_Item_Name,$B1085,GD_Item_FiscalPeriod,BY$1083,GD_Update_Date,BY$1082)))</f>
        <v/>
      </c>
      <c r="BZ1085" s="563">
        <f>IF(ISBLANK(BZ$1083),"N/A",IF(COUNTIFS(GD_Item_FiscalPeriod,BZ$1083,GD_Item_Name,$B1085,GD_Update_Date,BZ$1082)=0,"NR",SUMIFS(GD_Guidance_High,GD_Item_Name,$B1085,GD_Item_FiscalPeriod,BZ$1083,GD_Update_Date,BZ$1082)))</f>
        <v/>
      </c>
      <c r="CA1085" s="563">
        <f>IF(ISBLANK(CA$1083),"N/A",IF(COUNTIFS(GD_Item_FiscalPeriod,CA$1083,GD_Item_Name,$B1085,GD_Update_Date,CA$1082)=0,"NR",SUMIFS(GD_Guidance_High,GD_Item_Name,$B1085,GD_Item_FiscalPeriod,CA$1083,GD_Update_Date,CA$1082)))</f>
        <v/>
      </c>
      <c r="CB1085" s="563">
        <f>IF(ISBLANK(CB$1083),"N/A",IF(COUNTIFS(GD_Item_FiscalPeriod,CB$1083,GD_Item_Name,$B1085,GD_Update_Date,CB$1082)=0,"NR",SUMIFS(GD_Guidance_High,GD_Item_Name,$B1085,GD_Item_FiscalPeriod,CB$1083,GD_Update_Date,CB$1082)))</f>
        <v/>
      </c>
      <c r="CC1085" s="563">
        <f>IF(ISBLANK(CC$1083),"N/A",IF(COUNTIFS(GD_Item_FiscalPeriod,CC$1083,GD_Item_Name,$B1085,GD_Update_Date,CC$1082)=0,"NR",SUMIFS(GD_Guidance_High,GD_Item_Name,$B1085,GD_Item_FiscalPeriod,CC$1083,GD_Update_Date,CC$1082)))</f>
        <v/>
      </c>
      <c r="CD1085" s="563">
        <f>IF(ISBLANK(CD$1083),"N/A",IF(COUNTIFS(GD_Item_FiscalPeriod,CD$1083,GD_Item_Name,$B1085,GD_Update_Date,CD$1082)=0,"NR",SUMIFS(GD_Guidance_High,GD_Item_Name,$B1085,GD_Item_FiscalPeriod,CD$1083,GD_Update_Date,CD$1082)))</f>
        <v/>
      </c>
      <c r="CE1085" s="563">
        <f>IF(ISBLANK(CE$1083),"N/A",IF(COUNTIFS(GD_Item_FiscalPeriod,CE$1083,GD_Item_Name,$B1085,GD_Update_Date,CE$1082)=0,"NR",SUMIFS(GD_Guidance_High,GD_Item_Name,$B1085,GD_Item_FiscalPeriod,CE$1083,GD_Update_Date,CE$1082)))</f>
        <v/>
      </c>
      <c r="CF1085" s="794">
        <f>IF(ISBLANK(CF$1083),"N/A",IF(COUNTIFS(GD_Item_FiscalPeriod,CF$1083,GD_Item_Name,$B1085,GD_Update_Date,CF$1082)=0,"NR",SUMIFS(GD_Guidance_High,GD_Item_Name,$B1085,GD_Item_FiscalPeriod,CF$1083,GD_Update_Date,CF$1082)))</f>
        <v/>
      </c>
      <c r="CG1085" s="155" t="n"/>
    </row>
    <row r="1086">
      <c r="A1086" s="793" t="inlineStr">
        <is>
          <t>Mid - Net Revenue, mm</t>
        </is>
      </c>
      <c r="B1086" s="1053" t="inlineStr">
        <is>
          <t>MO_RIS_REV</t>
        </is>
      </c>
      <c r="C1086" s="1006" t="n"/>
      <c r="D1086" s="1006" t="n"/>
      <c r="E1086" s="563" t="n"/>
      <c r="F1086" s="563" t="n"/>
      <c r="G1086" s="563" t="n"/>
      <c r="H1086" s="563" t="n"/>
      <c r="I1086" s="563" t="n"/>
      <c r="J1086" s="563" t="n"/>
      <c r="K1086" s="563" t="n"/>
      <c r="L1086" s="563" t="n"/>
      <c r="M1086" s="563" t="n"/>
      <c r="N1086" s="563" t="n"/>
      <c r="O1086" s="563" t="n"/>
      <c r="P1086" s="563" t="n"/>
      <c r="Q1086" s="563" t="n"/>
      <c r="R1086" s="563" t="n"/>
      <c r="S1086" s="563" t="n"/>
      <c r="T1086" s="563" t="n"/>
      <c r="U1086" s="563" t="n"/>
      <c r="V1086" s="563" t="n"/>
      <c r="W1086" s="563" t="n"/>
      <c r="X1086" s="563" t="n"/>
      <c r="Y1086" s="563" t="n"/>
      <c r="Z1086" s="563" t="n"/>
      <c r="AA1086" s="563" t="n"/>
      <c r="AB1086" s="563" t="n"/>
      <c r="AC1086" s="563" t="n"/>
      <c r="AD1086" s="563" t="n"/>
      <c r="AE1086" s="563" t="n"/>
      <c r="AF1086" s="563" t="n"/>
      <c r="AG1086" s="563" t="n"/>
      <c r="AH1086" s="563">
        <f>IF(ISBLANK(AH$1083),"N/A",IF(COUNTIFS(GD_Item_FiscalPeriod,AH$1083,GD_Item_Name,$B1086,GD_Update_Date,AH$1082)=0,"NR",SUMIFS(GD_Guidance_Mid,GD_Item_Name,$B1086,GD_Item_FiscalPeriod,AH$1083,GD_Update_Date,AH$1082)))</f>
        <v/>
      </c>
      <c r="AI1086" s="563">
        <f>IF(ISBLANK(AI$1083),"N/A",IF(COUNTIFS(GD_Item_FiscalPeriod,AI$1083,GD_Item_Name,$B1086,GD_Update_Date,AI$1082)=0,"NR",SUMIFS(GD_Guidance_Mid,GD_Item_Name,$B1086,GD_Item_FiscalPeriod,AI$1083,GD_Update_Date,AI$1082)))</f>
        <v/>
      </c>
      <c r="AJ1086" s="563">
        <f>IF(ISBLANK(AJ$1083),"N/A",IF(COUNTIFS(GD_Item_FiscalPeriod,AJ$1083,GD_Item_Name,$B1086,GD_Update_Date,AJ$1082)=0,"NR",SUMIFS(GD_Guidance_Mid,GD_Item_Name,$B1086,GD_Item_FiscalPeriod,AJ$1083,GD_Update_Date,AJ$1082)))</f>
        <v/>
      </c>
      <c r="AK1086" s="563">
        <f>IF(ISBLANK(AK$1083),"N/A",IF(COUNTIFS(GD_Item_FiscalPeriod,AK$1083,GD_Item_Name,$B1086,GD_Update_Date,AK$1082)=0,"NR",SUMIFS(GD_Guidance_Mid,GD_Item_Name,$B1086,GD_Item_FiscalPeriod,AK$1083,GD_Update_Date,AK$1082)))</f>
        <v/>
      </c>
      <c r="AL1086" s="563">
        <f>IF(ISBLANK(AL$1083),"N/A",IF(COUNTIFS(GD_Item_FiscalPeriod,AL$1083,GD_Item_Name,$B1086,GD_Update_Date,AL$1082)=0,"NR",SUMIFS(GD_Guidance_Mid,GD_Item_Name,$B1086,GD_Item_FiscalPeriod,AL$1083,GD_Update_Date,AL$1082)))</f>
        <v/>
      </c>
      <c r="AM1086" s="563">
        <f>IF(ISBLANK(AM$1083),"N/A",IF(COUNTIFS(GD_Item_FiscalPeriod,AM$1083,GD_Item_Name,$B1086,GD_Update_Date,AM$1082)=0,"NR",SUMIFS(GD_Guidance_Mid,GD_Item_Name,$B1086,GD_Item_FiscalPeriod,AM$1083,GD_Update_Date,AM$1082)))</f>
        <v/>
      </c>
      <c r="AN1086" s="563">
        <f>IF(ISBLANK(AN$1083),"N/A",IF(COUNTIFS(GD_Item_FiscalPeriod,AN$1083,GD_Item_Name,$B1086,GD_Update_Date,AN$1082)=0,"NR",SUMIFS(GD_Guidance_Mid,GD_Item_Name,$B1086,GD_Item_FiscalPeriod,AN$1083,GD_Update_Date,AN$1082)))</f>
        <v/>
      </c>
      <c r="AO1086" s="563">
        <f>IF(ISBLANK(AO$1083),"N/A",IF(COUNTIFS(GD_Item_FiscalPeriod,AO$1083,GD_Item_Name,$B1086,GD_Update_Date,AO$1082)=0,"NR",SUMIFS(GD_Guidance_Mid,GD_Item_Name,$B1086,GD_Item_FiscalPeriod,AO$1083,GD_Update_Date,AO$1082)))</f>
        <v/>
      </c>
      <c r="AP1086" s="563">
        <f>IF(ISBLANK(AP$1083),"N/A",IF(COUNTIFS(GD_Item_FiscalPeriod,AP$1083,GD_Item_Name,$B1086,GD_Update_Date,AP$1082)=0,"NR",SUMIFS(GD_Guidance_Mid,GD_Item_Name,$B1086,GD_Item_FiscalPeriod,AP$1083,GD_Update_Date,AP$1082)))</f>
        <v/>
      </c>
      <c r="AQ1086" s="563">
        <f>IF(ISBLANK(AQ$1083),"N/A",IF(COUNTIFS(GD_Item_FiscalPeriod,AQ$1083,GD_Item_Name,$B1086,GD_Update_Date,AQ$1082)=0,"NR",SUMIFS(GD_Guidance_Mid,GD_Item_Name,$B1086,GD_Item_FiscalPeriod,AQ$1083,GD_Update_Date,AQ$1082)))</f>
        <v/>
      </c>
      <c r="AR1086" s="563">
        <f>IF(ISBLANK(AR$1083),"N/A",IF(COUNTIFS(GD_Item_FiscalPeriod,AR$1083,GD_Item_Name,$B1086,GD_Update_Date,AR$1082)=0,"NR",SUMIFS(GD_Guidance_Mid,GD_Item_Name,$B1086,GD_Item_FiscalPeriod,AR$1083,GD_Update_Date,AR$1082)))</f>
        <v/>
      </c>
      <c r="AS1086" s="563">
        <f>IF(ISBLANK(AS$1083),"N/A",IF(COUNTIFS(GD_Item_FiscalPeriod,AS$1083,GD_Item_Name,$B1086,GD_Update_Date,AS$1082)=0,"NR",SUMIFS(GD_Guidance_Mid,GD_Item_Name,$B1086,GD_Item_FiscalPeriod,AS$1083,GD_Update_Date,AS$1082)))</f>
        <v/>
      </c>
      <c r="AT1086" s="563">
        <f>IF(ISBLANK(AT$1083),"N/A",IF(COUNTIFS(GD_Item_FiscalPeriod,AT$1083,GD_Item_Name,$B1086,GD_Update_Date,AT$1082)=0,"NR",SUMIFS(GD_Guidance_Mid,GD_Item_Name,$B1086,GD_Item_FiscalPeriod,AT$1083,GD_Update_Date,AT$1082)))</f>
        <v/>
      </c>
      <c r="AU1086" s="563">
        <f>IF(ISBLANK(AU$1083),"N/A",IF(COUNTIFS(GD_Item_FiscalPeriod,AU$1083,GD_Item_Name,$B1086,GD_Update_Date,AU$1082)=0,"NR",SUMIFS(GD_Guidance_Mid,GD_Item_Name,$B1086,GD_Item_FiscalPeriod,AU$1083,GD_Update_Date,AU$1082)))</f>
        <v/>
      </c>
      <c r="AV1086" s="563">
        <f>IF(ISBLANK(AV$1083),"N/A",IF(COUNTIFS(GD_Item_FiscalPeriod,AV$1083,GD_Item_Name,$B1086,GD_Update_Date,AV$1082)=0,"NR",SUMIFS(GD_Guidance_Mid,GD_Item_Name,$B1086,GD_Item_FiscalPeriod,AV$1083,GD_Update_Date,AV$1082)))</f>
        <v/>
      </c>
      <c r="AW1086" s="563">
        <f>IF(ISBLANK(AW$1083),"N/A",IF(COUNTIFS(GD_Item_FiscalPeriod,AW$1083,GD_Item_Name,$B1086,GD_Update_Date,AW$1082)=0,"NR",SUMIFS(GD_Guidance_Mid,GD_Item_Name,$B1086,GD_Item_FiscalPeriod,AW$1083,GD_Update_Date,AW$1082)))</f>
        <v/>
      </c>
      <c r="AX1086" s="563">
        <f>IF(ISBLANK(AX$1083),"N/A",IF(COUNTIFS(GD_Item_FiscalPeriod,AX$1083,GD_Item_Name,$B1086,GD_Update_Date,AX$1082)=0,"NR",SUMIFS(GD_Guidance_Mid,GD_Item_Name,$B1086,GD_Item_FiscalPeriod,AX$1083,GD_Update_Date,AX$1082)))</f>
        <v/>
      </c>
      <c r="AY1086" s="563">
        <f>IF(ISBLANK(AY$1083),"N/A",IF(COUNTIFS(GD_Item_FiscalPeriod,AY$1083,GD_Item_Name,$B1086,GD_Update_Date,AY$1082)=0,"NR",SUMIFS(GD_Guidance_Mid,GD_Item_Name,$B1086,GD_Item_FiscalPeriod,AY$1083,GD_Update_Date,AY$1082)))</f>
        <v/>
      </c>
      <c r="AZ1086" s="563">
        <f>IF(ISBLANK(AZ$1083),"N/A",IF(COUNTIFS(GD_Item_FiscalPeriod,AZ$1083,GD_Item_Name,$B1086,GD_Update_Date,AZ$1082)=0,"NR",SUMIFS(GD_Guidance_Mid,GD_Item_Name,$B1086,GD_Item_FiscalPeriod,AZ$1083,GD_Update_Date,AZ$1082)))</f>
        <v/>
      </c>
      <c r="BA1086" s="563">
        <f>IF(ISBLANK(BA$1083),"N/A",IF(COUNTIFS(GD_Item_FiscalPeriod,BA$1083,GD_Item_Name,$B1086,GD_Update_Date,BA$1082)=0,"NR",SUMIFS(GD_Guidance_Mid,GD_Item_Name,$B1086,GD_Item_FiscalPeriod,BA$1083,GD_Update_Date,BA$1082)))</f>
        <v/>
      </c>
      <c r="BB1086" s="563">
        <f>IF(ISBLANK(BB$1083),"N/A",IF(COUNTIFS(GD_Item_FiscalPeriod,BB$1083,GD_Item_Name,$B1086,GD_Update_Date,BB$1082)=0,"NR",SUMIFS(GD_Guidance_Mid,GD_Item_Name,$B1086,GD_Item_FiscalPeriod,BB$1083,GD_Update_Date,BB$1082)))</f>
        <v/>
      </c>
      <c r="BC1086" s="563">
        <f>IF(ISBLANK(BC$1083),"N/A",IF(COUNTIFS(GD_Item_FiscalPeriod,BC$1083,GD_Item_Name,$B1086,GD_Update_Date,BC$1082)=0,"NR",SUMIFS(GD_Guidance_Mid,GD_Item_Name,$B1086,GD_Item_FiscalPeriod,BC$1083,GD_Update_Date,BC$1082)))</f>
        <v/>
      </c>
      <c r="BD1086" s="563">
        <f>IF(ISBLANK(BD$1083),"N/A",IF(COUNTIFS(GD_Item_FiscalPeriod,BD$1083,GD_Item_Name,$B1086,GD_Update_Date,BD$1082)=0,"NR",SUMIFS(GD_Guidance_Mid,GD_Item_Name,$B1086,GD_Item_FiscalPeriod,BD$1083,GD_Update_Date,BD$1082)))</f>
        <v/>
      </c>
      <c r="BE1086" s="563">
        <f>IF(ISBLANK(BE$1083),"N/A",IF(COUNTIFS(GD_Item_FiscalPeriod,BE$1083,GD_Item_Name,$B1086,GD_Update_Date,BE$1082)=0,"NR",SUMIFS(GD_Guidance_Mid,GD_Item_Name,$B1086,GD_Item_FiscalPeriod,BE$1083,GD_Update_Date,BE$1082)))</f>
        <v/>
      </c>
      <c r="BF1086" s="563">
        <f>IF(ISBLANK(BF$1083),"N/A",IF(COUNTIFS(GD_Item_FiscalPeriod,BF$1083,GD_Item_Name,$B1086,GD_Update_Date,BF$1082)=0,"NR",SUMIFS(GD_Guidance_Mid,GD_Item_Name,$B1086,GD_Item_FiscalPeriod,BF$1083,GD_Update_Date,BF$1082)))</f>
        <v/>
      </c>
      <c r="BG1086" s="563">
        <f>IF(ISBLANK(BG$1083),"N/A",IF(COUNTIFS(GD_Item_FiscalPeriod,BG$1083,GD_Item_Name,$B1086,GD_Update_Date,BG$1082)=0,"NR",SUMIFS(GD_Guidance_Mid,GD_Item_Name,$B1086,GD_Item_FiscalPeriod,BG$1083,GD_Update_Date,BG$1082)))</f>
        <v/>
      </c>
      <c r="BH1086" s="563">
        <f>IF(ISBLANK(BH$1083),"N/A",IF(COUNTIFS(GD_Item_FiscalPeriod,BH$1083,GD_Item_Name,$B1086,GD_Update_Date,BH$1082)=0,"NR",SUMIFS(GD_Guidance_Mid,GD_Item_Name,$B1086,GD_Item_FiscalPeriod,BH$1083,GD_Update_Date,BH$1082)))</f>
        <v/>
      </c>
      <c r="BI1086" s="563">
        <f>IF(ISBLANK(BI$1083),"N/A",IF(COUNTIFS(GD_Item_FiscalPeriod,BI$1083,GD_Item_Name,$B1086,GD_Update_Date,BI$1082)=0,"NR",SUMIFS(GD_Guidance_Mid,GD_Item_Name,$B1086,GD_Item_FiscalPeriod,BI$1083,GD_Update_Date,BI$1082)))</f>
        <v/>
      </c>
      <c r="BJ1086" s="563">
        <f>IF(ISBLANK(BJ$1083),"N/A",IF(COUNTIFS(GD_Item_FiscalPeriod,BJ$1083,GD_Item_Name,$B1086,GD_Update_Date,BJ$1082)=0,"NR",SUMIFS(GD_Guidance_Mid,GD_Item_Name,$B1086,GD_Item_FiscalPeriod,BJ$1083,GD_Update_Date,BJ$1082)))</f>
        <v/>
      </c>
      <c r="BK1086" s="563">
        <f>IF(ISBLANK(BK$1083),"N/A",IF(COUNTIFS(GD_Item_FiscalPeriod,BK$1083,GD_Item_Name,$B1086,GD_Update_Date,BK$1082)=0,"NR",SUMIFS(GD_Guidance_Mid,GD_Item_Name,$B1086,GD_Item_FiscalPeriod,BK$1083,GD_Update_Date,BK$1082)))</f>
        <v/>
      </c>
      <c r="BL1086" s="563">
        <f>IF(ISBLANK(BL$1083),"N/A",IF(COUNTIFS(GD_Item_FiscalPeriod,BL$1083,GD_Item_Name,$B1086,GD_Update_Date,BL$1082)=0,"NR",SUMIFS(GD_Guidance_Mid,GD_Item_Name,$B1086,GD_Item_FiscalPeriod,BL$1083,GD_Update_Date,BL$1082)))</f>
        <v/>
      </c>
      <c r="BM1086" s="563">
        <f>IF(ISBLANK(BM$1083),"N/A",IF(COUNTIFS(GD_Item_FiscalPeriod,BM$1083,GD_Item_Name,$B1086,GD_Update_Date,BM$1082)=0,"NR",SUMIFS(GD_Guidance_Mid,GD_Item_Name,$B1086,GD_Item_FiscalPeriod,BM$1083,GD_Update_Date,BM$1082)))</f>
        <v/>
      </c>
      <c r="BN1086" s="563">
        <f>IF(ISBLANK(BN$1083),"N/A",IF(COUNTIFS(GD_Item_FiscalPeriod,BN$1083,GD_Item_Name,$B1086,GD_Update_Date,BN$1082)=0,"NR",SUMIFS(GD_Guidance_Mid,GD_Item_Name,$B1086,GD_Item_FiscalPeriod,BN$1083,GD_Update_Date,BN$1082)))</f>
        <v/>
      </c>
      <c r="BO1086" s="563">
        <f>IF(ISBLANK(BO$1083),"N/A",IF(COUNTIFS(GD_Item_FiscalPeriod,BO$1083,GD_Item_Name,$B1086,GD_Update_Date,BO$1082)=0,"NR",SUMIFS(GD_Guidance_Mid,GD_Item_Name,$B1086,GD_Item_FiscalPeriod,BO$1083,GD_Update_Date,BO$1082)))</f>
        <v/>
      </c>
      <c r="BP1086" s="563">
        <f>IF(ISBLANK(BP$1083),"N/A",IF(COUNTIFS(GD_Item_FiscalPeriod,BP$1083,GD_Item_Name,$B1086,GD_Update_Date,BP$1082)=0,"NR",SUMIFS(GD_Guidance_Mid,GD_Item_Name,$B1086,GD_Item_FiscalPeriod,BP$1083,GD_Update_Date,BP$1082)))</f>
        <v/>
      </c>
      <c r="BQ1086" s="563">
        <f>IF(ISBLANK(BQ$1083),"N/A",IF(COUNTIFS(GD_Item_FiscalPeriod,BQ$1083,GD_Item_Name,$B1086,GD_Update_Date,BQ$1082)=0,"NR",SUMIFS(GD_Guidance_Mid,GD_Item_Name,$B1086,GD_Item_FiscalPeriod,BQ$1083,GD_Update_Date,BQ$1082)))</f>
        <v/>
      </c>
      <c r="BR1086" s="563">
        <f>IF(ISBLANK(BR$1083),"N/A",IF(COUNTIFS(GD_Item_FiscalPeriod,BR$1083,GD_Item_Name,$B1086,GD_Update_Date,BR$1082)=0,"NR",SUMIFS(GD_Guidance_Mid,GD_Item_Name,$B1086,GD_Item_FiscalPeriod,BR$1083,GD_Update_Date,BR$1082)))</f>
        <v/>
      </c>
      <c r="BS1086" s="563">
        <f>IF(ISBLANK(BS$1083),"N/A",IF(COUNTIFS(GD_Item_FiscalPeriod,BS$1083,GD_Item_Name,$B1086,GD_Update_Date,BS$1082)=0,"NR",SUMIFS(GD_Guidance_Mid,GD_Item_Name,$B1086,GD_Item_FiscalPeriod,BS$1083,GD_Update_Date,BS$1082)))</f>
        <v/>
      </c>
      <c r="BT1086" s="563">
        <f>IF(ISBLANK(BT$1083),"N/A",IF(COUNTIFS(GD_Item_FiscalPeriod,BT$1083,GD_Item_Name,$B1086,GD_Update_Date,BT$1082)=0,"NR",SUMIFS(GD_Guidance_Mid,GD_Item_Name,$B1086,GD_Item_FiscalPeriod,BT$1083,GD_Update_Date,BT$1082)))</f>
        <v/>
      </c>
      <c r="BU1086" s="563">
        <f>IF(ISBLANK(BU$1083),"N/A",IF(COUNTIFS(GD_Item_FiscalPeriod,BU$1083,GD_Item_Name,$B1086,GD_Update_Date,BU$1082)=0,"NR",SUMIFS(GD_Guidance_Mid,GD_Item_Name,$B1086,GD_Item_FiscalPeriod,BU$1083,GD_Update_Date,BU$1082)))</f>
        <v/>
      </c>
      <c r="BV1086" s="731">
        <f>IF(ISBLANK(BV$1083),"N/A",IF(COUNTIFS(GD_Item_FiscalPeriod,BV$1083,GD_Item_Name,$B1086,GD_Update_Date,BV$1082)=0,"NR",SUMIFS(GD_Guidance_Mid,GD_Item_Name,$B1086,GD_Item_FiscalPeriod,BV$1083,GD_Update_Date,BV$1082)))</f>
        <v/>
      </c>
      <c r="BW1086" s="563">
        <f>IF(ISBLANK(BW$1083),"N/A",IF(COUNTIFS(GD_Item_FiscalPeriod,BW$1083,GD_Item_Name,$B1086,GD_Update_Date,BW$1082)=0,"NR",SUMIFS(GD_Guidance_Mid,GD_Item_Name,$B1086,GD_Item_FiscalPeriod,BW$1083,GD_Update_Date,BW$1082)))</f>
        <v/>
      </c>
      <c r="BX1086" s="563">
        <f>IF(ISBLANK(BX$1083),"N/A",IF(COUNTIFS(GD_Item_FiscalPeriod,BX$1083,GD_Item_Name,$B1086,GD_Update_Date,BX$1082)=0,"NR",SUMIFS(GD_Guidance_Mid,GD_Item_Name,$B1086,GD_Item_FiscalPeriod,BX$1083,GD_Update_Date,BX$1082)))</f>
        <v/>
      </c>
      <c r="BY1086" s="563">
        <f>IF(ISBLANK(BY$1083),"N/A",IF(COUNTIFS(GD_Item_FiscalPeriod,BY$1083,GD_Item_Name,$B1086,GD_Update_Date,BY$1082)=0,"NR",SUMIFS(GD_Guidance_Mid,GD_Item_Name,$B1086,GD_Item_FiscalPeriod,BY$1083,GD_Update_Date,BY$1082)))</f>
        <v/>
      </c>
      <c r="BZ1086" s="563">
        <f>IF(ISBLANK(BZ$1083),"N/A",IF(COUNTIFS(GD_Item_FiscalPeriod,BZ$1083,GD_Item_Name,$B1086,GD_Update_Date,BZ$1082)=0,"NR",SUMIFS(GD_Guidance_Mid,GD_Item_Name,$B1086,GD_Item_FiscalPeriod,BZ$1083,GD_Update_Date,BZ$1082)))</f>
        <v/>
      </c>
      <c r="CA1086" s="563">
        <f>IF(ISBLANK(CA$1083),"N/A",IF(COUNTIFS(GD_Item_FiscalPeriod,CA$1083,GD_Item_Name,$B1086,GD_Update_Date,CA$1082)=0,"NR",SUMIFS(GD_Guidance_Mid,GD_Item_Name,$B1086,GD_Item_FiscalPeriod,CA$1083,GD_Update_Date,CA$1082)))</f>
        <v/>
      </c>
      <c r="CB1086" s="563">
        <f>IF(ISBLANK(CB$1083),"N/A",IF(COUNTIFS(GD_Item_FiscalPeriod,CB$1083,GD_Item_Name,$B1086,GD_Update_Date,CB$1082)=0,"NR",SUMIFS(GD_Guidance_Mid,GD_Item_Name,$B1086,GD_Item_FiscalPeriod,CB$1083,GD_Update_Date,CB$1082)))</f>
        <v/>
      </c>
      <c r="CC1086" s="563">
        <f>IF(ISBLANK(CC$1083),"N/A",IF(COUNTIFS(GD_Item_FiscalPeriod,CC$1083,GD_Item_Name,$B1086,GD_Update_Date,CC$1082)=0,"NR",SUMIFS(GD_Guidance_Mid,GD_Item_Name,$B1086,GD_Item_FiscalPeriod,CC$1083,GD_Update_Date,CC$1082)))</f>
        <v/>
      </c>
      <c r="CD1086" s="563">
        <f>IF(ISBLANK(CD$1083),"N/A",IF(COUNTIFS(GD_Item_FiscalPeriod,CD$1083,GD_Item_Name,$B1086,GD_Update_Date,CD$1082)=0,"NR",SUMIFS(GD_Guidance_Mid,GD_Item_Name,$B1086,GD_Item_FiscalPeriod,CD$1083,GD_Update_Date,CD$1082)))</f>
        <v/>
      </c>
      <c r="CE1086" s="563">
        <f>IF(ISBLANK(CE$1083),"N/A",IF(COUNTIFS(GD_Item_FiscalPeriod,CE$1083,GD_Item_Name,$B1086,GD_Update_Date,CE$1082)=0,"NR",SUMIFS(GD_Guidance_Mid,GD_Item_Name,$B1086,GD_Item_FiscalPeriod,CE$1083,GD_Update_Date,CE$1082)))</f>
        <v/>
      </c>
      <c r="CF1086" s="794">
        <f>IF(ISBLANK(CF$1083),"N/A",IF(COUNTIFS(GD_Item_FiscalPeriod,CF$1083,GD_Item_Name,$B1086,GD_Update_Date,CF$1082)=0,"NR",SUMIFS(GD_Guidance_Mid,GD_Item_Name,$B1086,GD_Item_FiscalPeriod,CF$1083,GD_Update_Date,CF$1082)))</f>
        <v/>
      </c>
      <c r="CG1086" s="155" t="n"/>
    </row>
    <row r="1087">
      <c r="A1087" s="795" t="inlineStr">
        <is>
          <t>Low - Non-GAAP Gross Margin, %</t>
        </is>
      </c>
      <c r="B1087" s="1067" t="inlineStr">
        <is>
          <t>MO_MA_GM_NONGAAP</t>
        </is>
      </c>
      <c r="C1087" s="1007" t="n"/>
      <c r="D1087" s="1007" t="n"/>
      <c r="E1087" s="594" t="n"/>
      <c r="F1087" s="594" t="n"/>
      <c r="G1087" s="594" t="n"/>
      <c r="H1087" s="594" t="n"/>
      <c r="I1087" s="594" t="n"/>
      <c r="J1087" s="594" t="n"/>
      <c r="K1087" s="594" t="n"/>
      <c r="L1087" s="594" t="n"/>
      <c r="M1087" s="594" t="n"/>
      <c r="N1087" s="594" t="n"/>
      <c r="O1087" s="594" t="n"/>
      <c r="P1087" s="594" t="n"/>
      <c r="Q1087" s="594" t="n"/>
      <c r="R1087" s="594" t="n"/>
      <c r="S1087" s="594" t="n"/>
      <c r="T1087" s="594" t="n"/>
      <c r="U1087" s="594" t="n"/>
      <c r="V1087" s="594" t="n"/>
      <c r="W1087" s="594" t="n"/>
      <c r="X1087" s="594" t="n"/>
      <c r="Y1087" s="594" t="n"/>
      <c r="Z1087" s="594" t="n"/>
      <c r="AA1087" s="594" t="n"/>
      <c r="AB1087" s="594" t="n"/>
      <c r="AC1087" s="594" t="n"/>
      <c r="AD1087" s="594" t="n"/>
      <c r="AE1087" s="594" t="n"/>
      <c r="AF1087" s="594" t="n"/>
      <c r="AG1087" s="594" t="n"/>
      <c r="AH1087" s="594">
        <f>IF(ISBLANK(AH$1083),"N/A",IF(COUNTIFS(GD_Item_FiscalPeriod,AH$1083,GD_Item_Name,$B1087,GD_Update_Date,AH$1082)=0,"NR",SUMIFS(GD_Guidance_Low,GD_Item_Name,$B1087,GD_Item_FiscalPeriod,AH$1083,GD_Update_Date,AH$1082)))</f>
        <v/>
      </c>
      <c r="AI1087" s="594">
        <f>IF(ISBLANK(AI$1083),"N/A",IF(COUNTIFS(GD_Item_FiscalPeriod,AI$1083,GD_Item_Name,$B1087,GD_Update_Date,AI$1082)=0,"NR",SUMIFS(GD_Guidance_Low,GD_Item_Name,$B1087,GD_Item_FiscalPeriod,AI$1083,GD_Update_Date,AI$1082)))</f>
        <v/>
      </c>
      <c r="AJ1087" s="594">
        <f>IF(ISBLANK(AJ$1083),"N/A",IF(COUNTIFS(GD_Item_FiscalPeriod,AJ$1083,GD_Item_Name,$B1087,GD_Update_Date,AJ$1082)=0,"NR",SUMIFS(GD_Guidance_Low,GD_Item_Name,$B1087,GD_Item_FiscalPeriod,AJ$1083,GD_Update_Date,AJ$1082)))</f>
        <v/>
      </c>
      <c r="AK1087" s="594">
        <f>IF(ISBLANK(AK$1083),"N/A",IF(COUNTIFS(GD_Item_FiscalPeriod,AK$1083,GD_Item_Name,$B1087,GD_Update_Date,AK$1082)=0,"NR",SUMIFS(GD_Guidance_Low,GD_Item_Name,$B1087,GD_Item_FiscalPeriod,AK$1083,GD_Update_Date,AK$1082)))</f>
        <v/>
      </c>
      <c r="AL1087" s="594">
        <f>IF(ISBLANK(AL$1083),"N/A",IF(COUNTIFS(GD_Item_FiscalPeriod,AL$1083,GD_Item_Name,$B1087,GD_Update_Date,AL$1082)=0,"NR",SUMIFS(GD_Guidance_Low,GD_Item_Name,$B1087,GD_Item_FiscalPeriod,AL$1083,GD_Update_Date,AL$1082)))</f>
        <v/>
      </c>
      <c r="AM1087" s="594">
        <f>IF(ISBLANK(AM$1083),"N/A",IF(COUNTIFS(GD_Item_FiscalPeriod,AM$1083,GD_Item_Name,$B1087,GD_Update_Date,AM$1082)=0,"NR",SUMIFS(GD_Guidance_Low,GD_Item_Name,$B1087,GD_Item_FiscalPeriod,AM$1083,GD_Update_Date,AM$1082)))</f>
        <v/>
      </c>
      <c r="AN1087" s="594">
        <f>IF(ISBLANK(AN$1083),"N/A",IF(COUNTIFS(GD_Item_FiscalPeriod,AN$1083,GD_Item_Name,$B1087,GD_Update_Date,AN$1082)=0,"NR",SUMIFS(GD_Guidance_Low,GD_Item_Name,$B1087,GD_Item_FiscalPeriod,AN$1083,GD_Update_Date,AN$1082)))</f>
        <v/>
      </c>
      <c r="AO1087" s="594">
        <f>IF(ISBLANK(AO$1083),"N/A",IF(COUNTIFS(GD_Item_FiscalPeriod,AO$1083,GD_Item_Name,$B1087,GD_Update_Date,AO$1082)=0,"NR",SUMIFS(GD_Guidance_Low,GD_Item_Name,$B1087,GD_Item_FiscalPeriod,AO$1083,GD_Update_Date,AO$1082)))</f>
        <v/>
      </c>
      <c r="AP1087" s="594">
        <f>IF(ISBLANK(AP$1083),"N/A",IF(COUNTIFS(GD_Item_FiscalPeriod,AP$1083,GD_Item_Name,$B1087,GD_Update_Date,AP$1082)=0,"NR",SUMIFS(GD_Guidance_Low,GD_Item_Name,$B1087,GD_Item_FiscalPeriod,AP$1083,GD_Update_Date,AP$1082)))</f>
        <v/>
      </c>
      <c r="AQ1087" s="594">
        <f>IF(ISBLANK(AQ$1083),"N/A",IF(COUNTIFS(GD_Item_FiscalPeriod,AQ$1083,GD_Item_Name,$B1087,GD_Update_Date,AQ$1082)=0,"NR",SUMIFS(GD_Guidance_Low,GD_Item_Name,$B1087,GD_Item_FiscalPeriod,AQ$1083,GD_Update_Date,AQ$1082)))</f>
        <v/>
      </c>
      <c r="AR1087" s="594">
        <f>IF(ISBLANK(AR$1083),"N/A",IF(COUNTIFS(GD_Item_FiscalPeriod,AR$1083,GD_Item_Name,$B1087,GD_Update_Date,AR$1082)=0,"NR",SUMIFS(GD_Guidance_Low,GD_Item_Name,$B1087,GD_Item_FiscalPeriod,AR$1083,GD_Update_Date,AR$1082)))</f>
        <v/>
      </c>
      <c r="AS1087" s="594">
        <f>IF(ISBLANK(AS$1083),"N/A",IF(COUNTIFS(GD_Item_FiscalPeriod,AS$1083,GD_Item_Name,$B1087,GD_Update_Date,AS$1082)=0,"NR",SUMIFS(GD_Guidance_Low,GD_Item_Name,$B1087,GD_Item_FiscalPeriod,AS$1083,GD_Update_Date,AS$1082)))</f>
        <v/>
      </c>
      <c r="AT1087" s="594">
        <f>IF(ISBLANK(AT$1083),"N/A",IF(COUNTIFS(GD_Item_FiscalPeriod,AT$1083,GD_Item_Name,$B1087,GD_Update_Date,AT$1082)=0,"NR",SUMIFS(GD_Guidance_Low,GD_Item_Name,$B1087,GD_Item_FiscalPeriod,AT$1083,GD_Update_Date,AT$1082)))</f>
        <v/>
      </c>
      <c r="AU1087" s="594">
        <f>IF(ISBLANK(AU$1083),"N/A",IF(COUNTIFS(GD_Item_FiscalPeriod,AU$1083,GD_Item_Name,$B1087,GD_Update_Date,AU$1082)=0,"NR",SUMIFS(GD_Guidance_Low,GD_Item_Name,$B1087,GD_Item_FiscalPeriod,AU$1083,GD_Update_Date,AU$1082)))</f>
        <v/>
      </c>
      <c r="AV1087" s="594">
        <f>IF(ISBLANK(AV$1083),"N/A",IF(COUNTIFS(GD_Item_FiscalPeriod,AV$1083,GD_Item_Name,$B1087,GD_Update_Date,AV$1082)=0,"NR",SUMIFS(GD_Guidance_Low,GD_Item_Name,$B1087,GD_Item_FiscalPeriod,AV$1083,GD_Update_Date,AV$1082)))</f>
        <v/>
      </c>
      <c r="AW1087" s="594">
        <f>IF(ISBLANK(AW$1083),"N/A",IF(COUNTIFS(GD_Item_FiscalPeriod,AW$1083,GD_Item_Name,$B1087,GD_Update_Date,AW$1082)=0,"NR",SUMIFS(GD_Guidance_Low,GD_Item_Name,$B1087,GD_Item_FiscalPeriod,AW$1083,GD_Update_Date,AW$1082)))</f>
        <v/>
      </c>
      <c r="AX1087" s="594">
        <f>IF(ISBLANK(AX$1083),"N/A",IF(COUNTIFS(GD_Item_FiscalPeriod,AX$1083,GD_Item_Name,$B1087,GD_Update_Date,AX$1082)=0,"NR",SUMIFS(GD_Guidance_Low,GD_Item_Name,$B1087,GD_Item_FiscalPeriod,AX$1083,GD_Update_Date,AX$1082)))</f>
        <v/>
      </c>
      <c r="AY1087" s="594">
        <f>IF(ISBLANK(AY$1083),"N/A",IF(COUNTIFS(GD_Item_FiscalPeriod,AY$1083,GD_Item_Name,$B1087,GD_Update_Date,AY$1082)=0,"NR",SUMIFS(GD_Guidance_Low,GD_Item_Name,$B1087,GD_Item_FiscalPeriod,AY$1083,GD_Update_Date,AY$1082)))</f>
        <v/>
      </c>
      <c r="AZ1087" s="594">
        <f>IF(ISBLANK(AZ$1083),"N/A",IF(COUNTIFS(GD_Item_FiscalPeriod,AZ$1083,GD_Item_Name,$B1087,GD_Update_Date,AZ$1082)=0,"NR",SUMIFS(GD_Guidance_Low,GD_Item_Name,$B1087,GD_Item_FiscalPeriod,AZ$1083,GD_Update_Date,AZ$1082)))</f>
        <v/>
      </c>
      <c r="BA1087" s="594">
        <f>IF(ISBLANK(BA$1083),"N/A",IF(COUNTIFS(GD_Item_FiscalPeriod,BA$1083,GD_Item_Name,$B1087,GD_Update_Date,BA$1082)=0,"NR",SUMIFS(GD_Guidance_Low,GD_Item_Name,$B1087,GD_Item_FiscalPeriod,BA$1083,GD_Update_Date,BA$1082)))</f>
        <v/>
      </c>
      <c r="BB1087" s="594">
        <f>IF(ISBLANK(BB$1083),"N/A",IF(COUNTIFS(GD_Item_FiscalPeriod,BB$1083,GD_Item_Name,$B1087,GD_Update_Date,BB$1082)=0,"NR",SUMIFS(GD_Guidance_Low,GD_Item_Name,$B1087,GD_Item_FiscalPeriod,BB$1083,GD_Update_Date,BB$1082)))</f>
        <v/>
      </c>
      <c r="BC1087" s="594">
        <f>IF(ISBLANK(BC$1083),"N/A",IF(COUNTIFS(GD_Item_FiscalPeriod,BC$1083,GD_Item_Name,$B1087,GD_Update_Date,BC$1082)=0,"NR",SUMIFS(GD_Guidance_Low,GD_Item_Name,$B1087,GD_Item_FiscalPeriod,BC$1083,GD_Update_Date,BC$1082)))</f>
        <v/>
      </c>
      <c r="BD1087" s="594">
        <f>IF(ISBLANK(BD$1083),"N/A",IF(COUNTIFS(GD_Item_FiscalPeriod,BD$1083,GD_Item_Name,$B1087,GD_Update_Date,BD$1082)=0,"NR",SUMIFS(GD_Guidance_Low,GD_Item_Name,$B1087,GD_Item_FiscalPeriod,BD$1083,GD_Update_Date,BD$1082)))</f>
        <v/>
      </c>
      <c r="BE1087" s="594">
        <f>IF(ISBLANK(BE$1083),"N/A",IF(COUNTIFS(GD_Item_FiscalPeriod,BE$1083,GD_Item_Name,$B1087,GD_Update_Date,BE$1082)=0,"NR",SUMIFS(GD_Guidance_Low,GD_Item_Name,$B1087,GD_Item_FiscalPeriod,BE$1083,GD_Update_Date,BE$1082)))</f>
        <v/>
      </c>
      <c r="BF1087" s="594">
        <f>IF(ISBLANK(BF$1083),"N/A",IF(COUNTIFS(GD_Item_FiscalPeriod,BF$1083,GD_Item_Name,$B1087,GD_Update_Date,BF$1082)=0,"NR",SUMIFS(GD_Guidance_Low,GD_Item_Name,$B1087,GD_Item_FiscalPeriod,BF$1083,GD_Update_Date,BF$1082)))</f>
        <v/>
      </c>
      <c r="BG1087" s="594">
        <f>IF(ISBLANK(BG$1083),"N/A",IF(COUNTIFS(GD_Item_FiscalPeriod,BG$1083,GD_Item_Name,$B1087,GD_Update_Date,BG$1082)=0,"NR",SUMIFS(GD_Guidance_Low,GD_Item_Name,$B1087,GD_Item_FiscalPeriod,BG$1083,GD_Update_Date,BG$1082)))</f>
        <v/>
      </c>
      <c r="BH1087" s="594">
        <f>IF(ISBLANK(BH$1083),"N/A",IF(COUNTIFS(GD_Item_FiscalPeriod,BH$1083,GD_Item_Name,$B1087,GD_Update_Date,BH$1082)=0,"NR",SUMIFS(GD_Guidance_Low,GD_Item_Name,$B1087,GD_Item_FiscalPeriod,BH$1083,GD_Update_Date,BH$1082)))</f>
        <v/>
      </c>
      <c r="BI1087" s="594">
        <f>IF(ISBLANK(BI$1083),"N/A",IF(COUNTIFS(GD_Item_FiscalPeriod,BI$1083,GD_Item_Name,$B1087,GD_Update_Date,BI$1082)=0,"NR",SUMIFS(GD_Guidance_Low,GD_Item_Name,$B1087,GD_Item_FiscalPeriod,BI$1083,GD_Update_Date,BI$1082)))</f>
        <v/>
      </c>
      <c r="BJ1087" s="594">
        <f>IF(ISBLANK(BJ$1083),"N/A",IF(COUNTIFS(GD_Item_FiscalPeriod,BJ$1083,GD_Item_Name,$B1087,GD_Update_Date,BJ$1082)=0,"NR",SUMIFS(GD_Guidance_Low,GD_Item_Name,$B1087,GD_Item_FiscalPeriod,BJ$1083,GD_Update_Date,BJ$1082)))</f>
        <v/>
      </c>
      <c r="BK1087" s="594">
        <f>IF(ISBLANK(BK$1083),"N/A",IF(COUNTIFS(GD_Item_FiscalPeriod,BK$1083,GD_Item_Name,$B1087,GD_Update_Date,BK$1082)=0,"NR",SUMIFS(GD_Guidance_Low,GD_Item_Name,$B1087,GD_Item_FiscalPeriod,BK$1083,GD_Update_Date,BK$1082)))</f>
        <v/>
      </c>
      <c r="BL1087" s="594">
        <f>IF(ISBLANK(BL$1083),"N/A",IF(COUNTIFS(GD_Item_FiscalPeriod,BL$1083,GD_Item_Name,$B1087,GD_Update_Date,BL$1082)=0,"NR",SUMIFS(GD_Guidance_Low,GD_Item_Name,$B1087,GD_Item_FiscalPeriod,BL$1083,GD_Update_Date,BL$1082)))</f>
        <v/>
      </c>
      <c r="BM1087" s="594">
        <f>IF(ISBLANK(BM$1083),"N/A",IF(COUNTIFS(GD_Item_FiscalPeriod,BM$1083,GD_Item_Name,$B1087,GD_Update_Date,BM$1082)=0,"NR",SUMIFS(GD_Guidance_Low,GD_Item_Name,$B1087,GD_Item_FiscalPeriod,BM$1083,GD_Update_Date,BM$1082)))</f>
        <v/>
      </c>
      <c r="BN1087" s="594">
        <f>IF(ISBLANK(BN$1083),"N/A",IF(COUNTIFS(GD_Item_FiscalPeriod,BN$1083,GD_Item_Name,$B1087,GD_Update_Date,BN$1082)=0,"NR",SUMIFS(GD_Guidance_Low,GD_Item_Name,$B1087,GD_Item_FiscalPeriod,BN$1083,GD_Update_Date,BN$1082)))</f>
        <v/>
      </c>
      <c r="BO1087" s="594">
        <f>IF(ISBLANK(BO$1083),"N/A",IF(COUNTIFS(GD_Item_FiscalPeriod,BO$1083,GD_Item_Name,$B1087,GD_Update_Date,BO$1082)=0,"NR",SUMIFS(GD_Guidance_Low,GD_Item_Name,$B1087,GD_Item_FiscalPeriod,BO$1083,GD_Update_Date,BO$1082)))</f>
        <v/>
      </c>
      <c r="BP1087" s="594">
        <f>IF(ISBLANK(BP$1083),"N/A",IF(COUNTIFS(GD_Item_FiscalPeriod,BP$1083,GD_Item_Name,$B1087,GD_Update_Date,BP$1082)=0,"NR",SUMIFS(GD_Guidance_Low,GD_Item_Name,$B1087,GD_Item_FiscalPeriod,BP$1083,GD_Update_Date,BP$1082)))</f>
        <v/>
      </c>
      <c r="BQ1087" s="594">
        <f>IF(ISBLANK(BQ$1083),"N/A",IF(COUNTIFS(GD_Item_FiscalPeriod,BQ$1083,GD_Item_Name,$B1087,GD_Update_Date,BQ$1082)=0,"NR",SUMIFS(GD_Guidance_Low,GD_Item_Name,$B1087,GD_Item_FiscalPeriod,BQ$1083,GD_Update_Date,BQ$1082)))</f>
        <v/>
      </c>
      <c r="BR1087" s="594">
        <f>IF(ISBLANK(BR$1083),"N/A",IF(COUNTIFS(GD_Item_FiscalPeriod,BR$1083,GD_Item_Name,$B1087,GD_Update_Date,BR$1082)=0,"NR",SUMIFS(GD_Guidance_Low,GD_Item_Name,$B1087,GD_Item_FiscalPeriod,BR$1083,GD_Update_Date,BR$1082)))</f>
        <v/>
      </c>
      <c r="BS1087" s="594">
        <f>IF(ISBLANK(BS$1083),"N/A",IF(COUNTIFS(GD_Item_FiscalPeriod,BS$1083,GD_Item_Name,$B1087,GD_Update_Date,BS$1082)=0,"NR",SUMIFS(GD_Guidance_Low,GD_Item_Name,$B1087,GD_Item_FiscalPeriod,BS$1083,GD_Update_Date,BS$1082)))</f>
        <v/>
      </c>
      <c r="BT1087" s="594">
        <f>IF(ISBLANK(BT$1083),"N/A",IF(COUNTIFS(GD_Item_FiscalPeriod,BT$1083,GD_Item_Name,$B1087,GD_Update_Date,BT$1082)=0,"NR",SUMIFS(GD_Guidance_Low,GD_Item_Name,$B1087,GD_Item_FiscalPeriod,BT$1083,GD_Update_Date,BT$1082)))</f>
        <v/>
      </c>
      <c r="BU1087" s="594">
        <f>IF(ISBLANK(BU$1083),"N/A",IF(COUNTIFS(GD_Item_FiscalPeriod,BU$1083,GD_Item_Name,$B1087,GD_Update_Date,BU$1082)=0,"NR",SUMIFS(GD_Guidance_Low,GD_Item_Name,$B1087,GD_Item_FiscalPeriod,BU$1083,GD_Update_Date,BU$1082)))</f>
        <v/>
      </c>
      <c r="BV1087" s="732">
        <f>IF(ISBLANK(BV$1083),"N/A",IF(COUNTIFS(GD_Item_FiscalPeriod,BV$1083,GD_Item_Name,$B1087,GD_Update_Date,BV$1082)=0,"NR",SUMIFS(GD_Guidance_Low,GD_Item_Name,$B1087,GD_Item_FiscalPeriod,BV$1083,GD_Update_Date,BV$1082)))</f>
        <v/>
      </c>
      <c r="BW1087" s="594">
        <f>IF(ISBLANK(BW$1083),"N/A",IF(COUNTIFS(GD_Item_FiscalPeriod,BW$1083,GD_Item_Name,$B1087,GD_Update_Date,BW$1082)=0,"NR",SUMIFS(GD_Guidance_Low,GD_Item_Name,$B1087,GD_Item_FiscalPeriod,BW$1083,GD_Update_Date,BW$1082)))</f>
        <v/>
      </c>
      <c r="BX1087" s="594">
        <f>IF(ISBLANK(BX$1083),"N/A",IF(COUNTIFS(GD_Item_FiscalPeriod,BX$1083,GD_Item_Name,$B1087,GD_Update_Date,BX$1082)=0,"NR",SUMIFS(GD_Guidance_Low,GD_Item_Name,$B1087,GD_Item_FiscalPeriod,BX$1083,GD_Update_Date,BX$1082)))</f>
        <v/>
      </c>
      <c r="BY1087" s="594">
        <f>IF(ISBLANK(BY$1083),"N/A",IF(COUNTIFS(GD_Item_FiscalPeriod,BY$1083,GD_Item_Name,$B1087,GD_Update_Date,BY$1082)=0,"NR",SUMIFS(GD_Guidance_Low,GD_Item_Name,$B1087,GD_Item_FiscalPeriod,BY$1083,GD_Update_Date,BY$1082)))</f>
        <v/>
      </c>
      <c r="BZ1087" s="594">
        <f>IF(ISBLANK(BZ$1083),"N/A",IF(COUNTIFS(GD_Item_FiscalPeriod,BZ$1083,GD_Item_Name,$B1087,GD_Update_Date,BZ$1082)=0,"NR",SUMIFS(GD_Guidance_Low,GD_Item_Name,$B1087,GD_Item_FiscalPeriod,BZ$1083,GD_Update_Date,BZ$1082)))</f>
        <v/>
      </c>
      <c r="CA1087" s="594">
        <f>IF(ISBLANK(CA$1083),"N/A",IF(COUNTIFS(GD_Item_FiscalPeriod,CA$1083,GD_Item_Name,$B1087,GD_Update_Date,CA$1082)=0,"NR",SUMIFS(GD_Guidance_Low,GD_Item_Name,$B1087,GD_Item_FiscalPeriod,CA$1083,GD_Update_Date,CA$1082)))</f>
        <v/>
      </c>
      <c r="CB1087" s="594">
        <f>IF(ISBLANK(CB$1083),"N/A",IF(COUNTIFS(GD_Item_FiscalPeriod,CB$1083,GD_Item_Name,$B1087,GD_Update_Date,CB$1082)=0,"NR",SUMIFS(GD_Guidance_Low,GD_Item_Name,$B1087,GD_Item_FiscalPeriod,CB$1083,GD_Update_Date,CB$1082)))</f>
        <v/>
      </c>
      <c r="CC1087" s="594">
        <f>IF(ISBLANK(CC$1083),"N/A",IF(COUNTIFS(GD_Item_FiscalPeriod,CC$1083,GD_Item_Name,$B1087,GD_Update_Date,CC$1082)=0,"NR",SUMIFS(GD_Guidance_Low,GD_Item_Name,$B1087,GD_Item_FiscalPeriod,CC$1083,GD_Update_Date,CC$1082)))</f>
        <v/>
      </c>
      <c r="CD1087" s="594">
        <f>IF(ISBLANK(CD$1083),"N/A",IF(COUNTIFS(GD_Item_FiscalPeriod,CD$1083,GD_Item_Name,$B1087,GD_Update_Date,CD$1082)=0,"NR",SUMIFS(GD_Guidance_Low,GD_Item_Name,$B1087,GD_Item_FiscalPeriod,CD$1083,GD_Update_Date,CD$1082)))</f>
        <v/>
      </c>
      <c r="CE1087" s="594">
        <f>IF(ISBLANK(CE$1083),"N/A",IF(COUNTIFS(GD_Item_FiscalPeriod,CE$1083,GD_Item_Name,$B1087,GD_Update_Date,CE$1082)=0,"NR",SUMIFS(GD_Guidance_Low,GD_Item_Name,$B1087,GD_Item_FiscalPeriod,CE$1083,GD_Update_Date,CE$1082)))</f>
        <v/>
      </c>
      <c r="CF1087" s="796">
        <f>IF(ISBLANK(CF$1083),"N/A",IF(COUNTIFS(GD_Item_FiscalPeriod,CF$1083,GD_Item_Name,$B1087,GD_Update_Date,CF$1082)=0,"NR",SUMIFS(GD_Guidance_Low,GD_Item_Name,$B1087,GD_Item_FiscalPeriod,CF$1083,GD_Update_Date,CF$1082)))</f>
        <v/>
      </c>
      <c r="CG1087" s="155" t="n"/>
    </row>
    <row r="1088">
      <c r="A1088" s="795" t="inlineStr">
        <is>
          <t>High - Non-GAAP Gross Margin, %</t>
        </is>
      </c>
      <c r="B1088" s="1067" t="inlineStr">
        <is>
          <t>MO_MA_GM_NONGAAP</t>
        </is>
      </c>
      <c r="C1088" s="1007" t="n"/>
      <c r="D1088" s="1007" t="n"/>
      <c r="E1088" s="594" t="n"/>
      <c r="F1088" s="594" t="n"/>
      <c r="G1088" s="594" t="n"/>
      <c r="H1088" s="594" t="n"/>
      <c r="I1088" s="594" t="n"/>
      <c r="J1088" s="594" t="n"/>
      <c r="K1088" s="594" t="n"/>
      <c r="L1088" s="594" t="n"/>
      <c r="M1088" s="594" t="n"/>
      <c r="N1088" s="594" t="n"/>
      <c r="O1088" s="594" t="n"/>
      <c r="P1088" s="594" t="n"/>
      <c r="Q1088" s="594" t="n"/>
      <c r="R1088" s="594" t="n"/>
      <c r="S1088" s="594" t="n"/>
      <c r="T1088" s="594" t="n"/>
      <c r="U1088" s="594" t="n"/>
      <c r="V1088" s="594" t="n"/>
      <c r="W1088" s="594" t="n"/>
      <c r="X1088" s="594" t="n"/>
      <c r="Y1088" s="594" t="n"/>
      <c r="Z1088" s="594" t="n"/>
      <c r="AA1088" s="594" t="n"/>
      <c r="AB1088" s="594" t="n"/>
      <c r="AC1088" s="594" t="n"/>
      <c r="AD1088" s="594" t="n"/>
      <c r="AE1088" s="594" t="n"/>
      <c r="AF1088" s="594" t="n"/>
      <c r="AG1088" s="594" t="n"/>
      <c r="AH1088" s="594">
        <f>IF(ISBLANK(AH$1083),"N/A",IF(COUNTIFS(GD_Item_FiscalPeriod,AH$1083,GD_Item_Name,$B1088,GD_Update_Date,AH$1082)=0,"NR",SUMIFS(GD_Guidance_High,GD_Item_Name,$B1088,GD_Item_FiscalPeriod,AH$1083,GD_Update_Date,AH$1082)))</f>
        <v/>
      </c>
      <c r="AI1088" s="594">
        <f>IF(ISBLANK(AI$1083),"N/A",IF(COUNTIFS(GD_Item_FiscalPeriod,AI$1083,GD_Item_Name,$B1088,GD_Update_Date,AI$1082)=0,"NR",SUMIFS(GD_Guidance_High,GD_Item_Name,$B1088,GD_Item_FiscalPeriod,AI$1083,GD_Update_Date,AI$1082)))</f>
        <v/>
      </c>
      <c r="AJ1088" s="594">
        <f>IF(ISBLANK(AJ$1083),"N/A",IF(COUNTIFS(GD_Item_FiscalPeriod,AJ$1083,GD_Item_Name,$B1088,GD_Update_Date,AJ$1082)=0,"NR",SUMIFS(GD_Guidance_High,GD_Item_Name,$B1088,GD_Item_FiscalPeriod,AJ$1083,GD_Update_Date,AJ$1082)))</f>
        <v/>
      </c>
      <c r="AK1088" s="594">
        <f>IF(ISBLANK(AK$1083),"N/A",IF(COUNTIFS(GD_Item_FiscalPeriod,AK$1083,GD_Item_Name,$B1088,GD_Update_Date,AK$1082)=0,"NR",SUMIFS(GD_Guidance_High,GD_Item_Name,$B1088,GD_Item_FiscalPeriod,AK$1083,GD_Update_Date,AK$1082)))</f>
        <v/>
      </c>
      <c r="AL1088" s="594">
        <f>IF(ISBLANK(AL$1083),"N/A",IF(COUNTIFS(GD_Item_FiscalPeriod,AL$1083,GD_Item_Name,$B1088,GD_Update_Date,AL$1082)=0,"NR",SUMIFS(GD_Guidance_High,GD_Item_Name,$B1088,GD_Item_FiscalPeriod,AL$1083,GD_Update_Date,AL$1082)))</f>
        <v/>
      </c>
      <c r="AM1088" s="594">
        <f>IF(ISBLANK(AM$1083),"N/A",IF(COUNTIFS(GD_Item_FiscalPeriod,AM$1083,GD_Item_Name,$B1088,GD_Update_Date,AM$1082)=0,"NR",SUMIFS(GD_Guidance_High,GD_Item_Name,$B1088,GD_Item_FiscalPeriod,AM$1083,GD_Update_Date,AM$1082)))</f>
        <v/>
      </c>
      <c r="AN1088" s="594">
        <f>IF(ISBLANK(AN$1083),"N/A",IF(COUNTIFS(GD_Item_FiscalPeriod,AN$1083,GD_Item_Name,$B1088,GD_Update_Date,AN$1082)=0,"NR",SUMIFS(GD_Guidance_High,GD_Item_Name,$B1088,GD_Item_FiscalPeriod,AN$1083,GD_Update_Date,AN$1082)))</f>
        <v/>
      </c>
      <c r="AO1088" s="594">
        <f>IF(ISBLANK(AO$1083),"N/A",IF(COUNTIFS(GD_Item_FiscalPeriod,AO$1083,GD_Item_Name,$B1088,GD_Update_Date,AO$1082)=0,"NR",SUMIFS(GD_Guidance_High,GD_Item_Name,$B1088,GD_Item_FiscalPeriod,AO$1083,GD_Update_Date,AO$1082)))</f>
        <v/>
      </c>
      <c r="AP1088" s="594">
        <f>IF(ISBLANK(AP$1083),"N/A",IF(COUNTIFS(GD_Item_FiscalPeriod,AP$1083,GD_Item_Name,$B1088,GD_Update_Date,AP$1082)=0,"NR",SUMIFS(GD_Guidance_High,GD_Item_Name,$B1088,GD_Item_FiscalPeriod,AP$1083,GD_Update_Date,AP$1082)))</f>
        <v/>
      </c>
      <c r="AQ1088" s="594">
        <f>IF(ISBLANK(AQ$1083),"N/A",IF(COUNTIFS(GD_Item_FiscalPeriod,AQ$1083,GD_Item_Name,$B1088,GD_Update_Date,AQ$1082)=0,"NR",SUMIFS(GD_Guidance_High,GD_Item_Name,$B1088,GD_Item_FiscalPeriod,AQ$1083,GD_Update_Date,AQ$1082)))</f>
        <v/>
      </c>
      <c r="AR1088" s="594">
        <f>IF(ISBLANK(AR$1083),"N/A",IF(COUNTIFS(GD_Item_FiscalPeriod,AR$1083,GD_Item_Name,$B1088,GD_Update_Date,AR$1082)=0,"NR",SUMIFS(GD_Guidance_High,GD_Item_Name,$B1088,GD_Item_FiscalPeriod,AR$1083,GD_Update_Date,AR$1082)))</f>
        <v/>
      </c>
      <c r="AS1088" s="594">
        <f>IF(ISBLANK(AS$1083),"N/A",IF(COUNTIFS(GD_Item_FiscalPeriod,AS$1083,GD_Item_Name,$B1088,GD_Update_Date,AS$1082)=0,"NR",SUMIFS(GD_Guidance_High,GD_Item_Name,$B1088,GD_Item_FiscalPeriod,AS$1083,GD_Update_Date,AS$1082)))</f>
        <v/>
      </c>
      <c r="AT1088" s="594">
        <f>IF(ISBLANK(AT$1083),"N/A",IF(COUNTIFS(GD_Item_FiscalPeriod,AT$1083,GD_Item_Name,$B1088,GD_Update_Date,AT$1082)=0,"NR",SUMIFS(GD_Guidance_High,GD_Item_Name,$B1088,GD_Item_FiscalPeriod,AT$1083,GD_Update_Date,AT$1082)))</f>
        <v/>
      </c>
      <c r="AU1088" s="594">
        <f>IF(ISBLANK(AU$1083),"N/A",IF(COUNTIFS(GD_Item_FiscalPeriod,AU$1083,GD_Item_Name,$B1088,GD_Update_Date,AU$1082)=0,"NR",SUMIFS(GD_Guidance_High,GD_Item_Name,$B1088,GD_Item_FiscalPeriod,AU$1083,GD_Update_Date,AU$1082)))</f>
        <v/>
      </c>
      <c r="AV1088" s="594">
        <f>IF(ISBLANK(AV$1083),"N/A",IF(COUNTIFS(GD_Item_FiscalPeriod,AV$1083,GD_Item_Name,$B1088,GD_Update_Date,AV$1082)=0,"NR",SUMIFS(GD_Guidance_High,GD_Item_Name,$B1088,GD_Item_FiscalPeriod,AV$1083,GD_Update_Date,AV$1082)))</f>
        <v/>
      </c>
      <c r="AW1088" s="594">
        <f>IF(ISBLANK(AW$1083),"N/A",IF(COUNTIFS(GD_Item_FiscalPeriod,AW$1083,GD_Item_Name,$B1088,GD_Update_Date,AW$1082)=0,"NR",SUMIFS(GD_Guidance_High,GD_Item_Name,$B1088,GD_Item_FiscalPeriod,AW$1083,GD_Update_Date,AW$1082)))</f>
        <v/>
      </c>
      <c r="AX1088" s="594">
        <f>IF(ISBLANK(AX$1083),"N/A",IF(COUNTIFS(GD_Item_FiscalPeriod,AX$1083,GD_Item_Name,$B1088,GD_Update_Date,AX$1082)=0,"NR",SUMIFS(GD_Guidance_High,GD_Item_Name,$B1088,GD_Item_FiscalPeriod,AX$1083,GD_Update_Date,AX$1082)))</f>
        <v/>
      </c>
      <c r="AY1088" s="594">
        <f>IF(ISBLANK(AY$1083),"N/A",IF(COUNTIFS(GD_Item_FiscalPeriod,AY$1083,GD_Item_Name,$B1088,GD_Update_Date,AY$1082)=0,"NR",SUMIFS(GD_Guidance_High,GD_Item_Name,$B1088,GD_Item_FiscalPeriod,AY$1083,GD_Update_Date,AY$1082)))</f>
        <v/>
      </c>
      <c r="AZ1088" s="594">
        <f>IF(ISBLANK(AZ$1083),"N/A",IF(COUNTIFS(GD_Item_FiscalPeriod,AZ$1083,GD_Item_Name,$B1088,GD_Update_Date,AZ$1082)=0,"NR",SUMIFS(GD_Guidance_High,GD_Item_Name,$B1088,GD_Item_FiscalPeriod,AZ$1083,GD_Update_Date,AZ$1082)))</f>
        <v/>
      </c>
      <c r="BA1088" s="594">
        <f>IF(ISBLANK(BA$1083),"N/A",IF(COUNTIFS(GD_Item_FiscalPeriod,BA$1083,GD_Item_Name,$B1088,GD_Update_Date,BA$1082)=0,"NR",SUMIFS(GD_Guidance_High,GD_Item_Name,$B1088,GD_Item_FiscalPeriod,BA$1083,GD_Update_Date,BA$1082)))</f>
        <v/>
      </c>
      <c r="BB1088" s="594">
        <f>IF(ISBLANK(BB$1083),"N/A",IF(COUNTIFS(GD_Item_FiscalPeriod,BB$1083,GD_Item_Name,$B1088,GD_Update_Date,BB$1082)=0,"NR",SUMIFS(GD_Guidance_High,GD_Item_Name,$B1088,GD_Item_FiscalPeriod,BB$1083,GD_Update_Date,BB$1082)))</f>
        <v/>
      </c>
      <c r="BC1088" s="594">
        <f>IF(ISBLANK(BC$1083),"N/A",IF(COUNTIFS(GD_Item_FiscalPeriod,BC$1083,GD_Item_Name,$B1088,GD_Update_Date,BC$1082)=0,"NR",SUMIFS(GD_Guidance_High,GD_Item_Name,$B1088,GD_Item_FiscalPeriod,BC$1083,GD_Update_Date,BC$1082)))</f>
        <v/>
      </c>
      <c r="BD1088" s="594">
        <f>IF(ISBLANK(BD$1083),"N/A",IF(COUNTIFS(GD_Item_FiscalPeriod,BD$1083,GD_Item_Name,$B1088,GD_Update_Date,BD$1082)=0,"NR",SUMIFS(GD_Guidance_High,GD_Item_Name,$B1088,GD_Item_FiscalPeriod,BD$1083,GD_Update_Date,BD$1082)))</f>
        <v/>
      </c>
      <c r="BE1088" s="594">
        <f>IF(ISBLANK(BE$1083),"N/A",IF(COUNTIFS(GD_Item_FiscalPeriod,BE$1083,GD_Item_Name,$B1088,GD_Update_Date,BE$1082)=0,"NR",SUMIFS(GD_Guidance_High,GD_Item_Name,$B1088,GD_Item_FiscalPeriod,BE$1083,GD_Update_Date,BE$1082)))</f>
        <v/>
      </c>
      <c r="BF1088" s="594">
        <f>IF(ISBLANK(BF$1083),"N/A",IF(COUNTIFS(GD_Item_FiscalPeriod,BF$1083,GD_Item_Name,$B1088,GD_Update_Date,BF$1082)=0,"NR",SUMIFS(GD_Guidance_High,GD_Item_Name,$B1088,GD_Item_FiscalPeriod,BF$1083,GD_Update_Date,BF$1082)))</f>
        <v/>
      </c>
      <c r="BG1088" s="594">
        <f>IF(ISBLANK(BG$1083),"N/A",IF(COUNTIFS(GD_Item_FiscalPeriod,BG$1083,GD_Item_Name,$B1088,GD_Update_Date,BG$1082)=0,"NR",SUMIFS(GD_Guidance_High,GD_Item_Name,$B1088,GD_Item_FiscalPeriod,BG$1083,GD_Update_Date,BG$1082)))</f>
        <v/>
      </c>
      <c r="BH1088" s="594">
        <f>IF(ISBLANK(BH$1083),"N/A",IF(COUNTIFS(GD_Item_FiscalPeriod,BH$1083,GD_Item_Name,$B1088,GD_Update_Date,BH$1082)=0,"NR",SUMIFS(GD_Guidance_High,GD_Item_Name,$B1088,GD_Item_FiscalPeriod,BH$1083,GD_Update_Date,BH$1082)))</f>
        <v/>
      </c>
      <c r="BI1088" s="594">
        <f>IF(ISBLANK(BI$1083),"N/A",IF(COUNTIFS(GD_Item_FiscalPeriod,BI$1083,GD_Item_Name,$B1088,GD_Update_Date,BI$1082)=0,"NR",SUMIFS(GD_Guidance_High,GD_Item_Name,$B1088,GD_Item_FiscalPeriod,BI$1083,GD_Update_Date,BI$1082)))</f>
        <v/>
      </c>
      <c r="BJ1088" s="594">
        <f>IF(ISBLANK(BJ$1083),"N/A",IF(COUNTIFS(GD_Item_FiscalPeriod,BJ$1083,GD_Item_Name,$B1088,GD_Update_Date,BJ$1082)=0,"NR",SUMIFS(GD_Guidance_High,GD_Item_Name,$B1088,GD_Item_FiscalPeriod,BJ$1083,GD_Update_Date,BJ$1082)))</f>
        <v/>
      </c>
      <c r="BK1088" s="594">
        <f>IF(ISBLANK(BK$1083),"N/A",IF(COUNTIFS(GD_Item_FiscalPeriod,BK$1083,GD_Item_Name,$B1088,GD_Update_Date,BK$1082)=0,"NR",SUMIFS(GD_Guidance_High,GD_Item_Name,$B1088,GD_Item_FiscalPeriod,BK$1083,GD_Update_Date,BK$1082)))</f>
        <v/>
      </c>
      <c r="BL1088" s="594">
        <f>IF(ISBLANK(BL$1083),"N/A",IF(COUNTIFS(GD_Item_FiscalPeriod,BL$1083,GD_Item_Name,$B1088,GD_Update_Date,BL$1082)=0,"NR",SUMIFS(GD_Guidance_High,GD_Item_Name,$B1088,GD_Item_FiscalPeriod,BL$1083,GD_Update_Date,BL$1082)))</f>
        <v/>
      </c>
      <c r="BM1088" s="594">
        <f>IF(ISBLANK(BM$1083),"N/A",IF(COUNTIFS(GD_Item_FiscalPeriod,BM$1083,GD_Item_Name,$B1088,GD_Update_Date,BM$1082)=0,"NR",SUMIFS(GD_Guidance_High,GD_Item_Name,$B1088,GD_Item_FiscalPeriod,BM$1083,GD_Update_Date,BM$1082)))</f>
        <v/>
      </c>
      <c r="BN1088" s="594">
        <f>IF(ISBLANK(BN$1083),"N/A",IF(COUNTIFS(GD_Item_FiscalPeriod,BN$1083,GD_Item_Name,$B1088,GD_Update_Date,BN$1082)=0,"NR",SUMIFS(GD_Guidance_High,GD_Item_Name,$B1088,GD_Item_FiscalPeriod,BN$1083,GD_Update_Date,BN$1082)))</f>
        <v/>
      </c>
      <c r="BO1088" s="594">
        <f>IF(ISBLANK(BO$1083),"N/A",IF(COUNTIFS(GD_Item_FiscalPeriod,BO$1083,GD_Item_Name,$B1088,GD_Update_Date,BO$1082)=0,"NR",SUMIFS(GD_Guidance_High,GD_Item_Name,$B1088,GD_Item_FiscalPeriod,BO$1083,GD_Update_Date,BO$1082)))</f>
        <v/>
      </c>
      <c r="BP1088" s="594">
        <f>IF(ISBLANK(BP$1083),"N/A",IF(COUNTIFS(GD_Item_FiscalPeriod,BP$1083,GD_Item_Name,$B1088,GD_Update_Date,BP$1082)=0,"NR",SUMIFS(GD_Guidance_High,GD_Item_Name,$B1088,GD_Item_FiscalPeriod,BP$1083,GD_Update_Date,BP$1082)))</f>
        <v/>
      </c>
      <c r="BQ1088" s="594">
        <f>IF(ISBLANK(BQ$1083),"N/A",IF(COUNTIFS(GD_Item_FiscalPeriod,BQ$1083,GD_Item_Name,$B1088,GD_Update_Date,BQ$1082)=0,"NR",SUMIFS(GD_Guidance_High,GD_Item_Name,$B1088,GD_Item_FiscalPeriod,BQ$1083,GD_Update_Date,BQ$1082)))</f>
        <v/>
      </c>
      <c r="BR1088" s="594">
        <f>IF(ISBLANK(BR$1083),"N/A",IF(COUNTIFS(GD_Item_FiscalPeriod,BR$1083,GD_Item_Name,$B1088,GD_Update_Date,BR$1082)=0,"NR",SUMIFS(GD_Guidance_High,GD_Item_Name,$B1088,GD_Item_FiscalPeriod,BR$1083,GD_Update_Date,BR$1082)))</f>
        <v/>
      </c>
      <c r="BS1088" s="594">
        <f>IF(ISBLANK(BS$1083),"N/A",IF(COUNTIFS(GD_Item_FiscalPeriod,BS$1083,GD_Item_Name,$B1088,GD_Update_Date,BS$1082)=0,"NR",SUMIFS(GD_Guidance_High,GD_Item_Name,$B1088,GD_Item_FiscalPeriod,BS$1083,GD_Update_Date,BS$1082)))</f>
        <v/>
      </c>
      <c r="BT1088" s="594">
        <f>IF(ISBLANK(BT$1083),"N/A",IF(COUNTIFS(GD_Item_FiscalPeriod,BT$1083,GD_Item_Name,$B1088,GD_Update_Date,BT$1082)=0,"NR",SUMIFS(GD_Guidance_High,GD_Item_Name,$B1088,GD_Item_FiscalPeriod,BT$1083,GD_Update_Date,BT$1082)))</f>
        <v/>
      </c>
      <c r="BU1088" s="594">
        <f>IF(ISBLANK(BU$1083),"N/A",IF(COUNTIFS(GD_Item_FiscalPeriod,BU$1083,GD_Item_Name,$B1088,GD_Update_Date,BU$1082)=0,"NR",SUMIFS(GD_Guidance_High,GD_Item_Name,$B1088,GD_Item_FiscalPeriod,BU$1083,GD_Update_Date,BU$1082)))</f>
        <v/>
      </c>
      <c r="BV1088" s="732">
        <f>IF(ISBLANK(BV$1083),"N/A",IF(COUNTIFS(GD_Item_FiscalPeriod,BV$1083,GD_Item_Name,$B1088,GD_Update_Date,BV$1082)=0,"NR",SUMIFS(GD_Guidance_High,GD_Item_Name,$B1088,GD_Item_FiscalPeriod,BV$1083,GD_Update_Date,BV$1082)))</f>
        <v/>
      </c>
      <c r="BW1088" s="594">
        <f>IF(ISBLANK(BW$1083),"N/A",IF(COUNTIFS(GD_Item_FiscalPeriod,BW$1083,GD_Item_Name,$B1088,GD_Update_Date,BW$1082)=0,"NR",SUMIFS(GD_Guidance_High,GD_Item_Name,$B1088,GD_Item_FiscalPeriod,BW$1083,GD_Update_Date,BW$1082)))</f>
        <v/>
      </c>
      <c r="BX1088" s="594">
        <f>IF(ISBLANK(BX$1083),"N/A",IF(COUNTIFS(GD_Item_FiscalPeriod,BX$1083,GD_Item_Name,$B1088,GD_Update_Date,BX$1082)=0,"NR",SUMIFS(GD_Guidance_High,GD_Item_Name,$B1088,GD_Item_FiscalPeriod,BX$1083,GD_Update_Date,BX$1082)))</f>
        <v/>
      </c>
      <c r="BY1088" s="594">
        <f>IF(ISBLANK(BY$1083),"N/A",IF(COUNTIFS(GD_Item_FiscalPeriod,BY$1083,GD_Item_Name,$B1088,GD_Update_Date,BY$1082)=0,"NR",SUMIFS(GD_Guidance_High,GD_Item_Name,$B1088,GD_Item_FiscalPeriod,BY$1083,GD_Update_Date,BY$1082)))</f>
        <v/>
      </c>
      <c r="BZ1088" s="594">
        <f>IF(ISBLANK(BZ$1083),"N/A",IF(COUNTIFS(GD_Item_FiscalPeriod,BZ$1083,GD_Item_Name,$B1088,GD_Update_Date,BZ$1082)=0,"NR",SUMIFS(GD_Guidance_High,GD_Item_Name,$B1088,GD_Item_FiscalPeriod,BZ$1083,GD_Update_Date,BZ$1082)))</f>
        <v/>
      </c>
      <c r="CA1088" s="594">
        <f>IF(ISBLANK(CA$1083),"N/A",IF(COUNTIFS(GD_Item_FiscalPeriod,CA$1083,GD_Item_Name,$B1088,GD_Update_Date,CA$1082)=0,"NR",SUMIFS(GD_Guidance_High,GD_Item_Name,$B1088,GD_Item_FiscalPeriod,CA$1083,GD_Update_Date,CA$1082)))</f>
        <v/>
      </c>
      <c r="CB1088" s="594">
        <f>IF(ISBLANK(CB$1083),"N/A",IF(COUNTIFS(GD_Item_FiscalPeriod,CB$1083,GD_Item_Name,$B1088,GD_Update_Date,CB$1082)=0,"NR",SUMIFS(GD_Guidance_High,GD_Item_Name,$B1088,GD_Item_FiscalPeriod,CB$1083,GD_Update_Date,CB$1082)))</f>
        <v/>
      </c>
      <c r="CC1088" s="594">
        <f>IF(ISBLANK(CC$1083),"N/A",IF(COUNTIFS(GD_Item_FiscalPeriod,CC$1083,GD_Item_Name,$B1088,GD_Update_Date,CC$1082)=0,"NR",SUMIFS(GD_Guidance_High,GD_Item_Name,$B1088,GD_Item_FiscalPeriod,CC$1083,GD_Update_Date,CC$1082)))</f>
        <v/>
      </c>
      <c r="CD1088" s="594">
        <f>IF(ISBLANK(CD$1083),"N/A",IF(COUNTIFS(GD_Item_FiscalPeriod,CD$1083,GD_Item_Name,$B1088,GD_Update_Date,CD$1082)=0,"NR",SUMIFS(GD_Guidance_High,GD_Item_Name,$B1088,GD_Item_FiscalPeriod,CD$1083,GD_Update_Date,CD$1082)))</f>
        <v/>
      </c>
      <c r="CE1088" s="594">
        <f>IF(ISBLANK(CE$1083),"N/A",IF(COUNTIFS(GD_Item_FiscalPeriod,CE$1083,GD_Item_Name,$B1088,GD_Update_Date,CE$1082)=0,"NR",SUMIFS(GD_Guidance_High,GD_Item_Name,$B1088,GD_Item_FiscalPeriod,CE$1083,GD_Update_Date,CE$1082)))</f>
        <v/>
      </c>
      <c r="CF1088" s="796">
        <f>IF(ISBLANK(CF$1083),"N/A",IF(COUNTIFS(GD_Item_FiscalPeriod,CF$1083,GD_Item_Name,$B1088,GD_Update_Date,CF$1082)=0,"NR",SUMIFS(GD_Guidance_High,GD_Item_Name,$B1088,GD_Item_FiscalPeriod,CF$1083,GD_Update_Date,CF$1082)))</f>
        <v/>
      </c>
      <c r="CG1088" s="155" t="n"/>
    </row>
    <row r="1089">
      <c r="A1089" s="795" t="inlineStr">
        <is>
          <t>Mid - Non-GAAP Gross Margin, %</t>
        </is>
      </c>
      <c r="B1089" s="1067" t="inlineStr">
        <is>
          <t>MO_MA_GM_NONGAAP</t>
        </is>
      </c>
      <c r="C1089" s="1007" t="n"/>
      <c r="D1089" s="1007" t="n"/>
      <c r="E1089" s="594" t="n"/>
      <c r="F1089" s="594" t="n"/>
      <c r="G1089" s="594" t="n"/>
      <c r="H1089" s="594" t="n"/>
      <c r="I1089" s="594" t="n"/>
      <c r="J1089" s="594" t="n"/>
      <c r="K1089" s="594" t="n"/>
      <c r="L1089" s="594" t="n"/>
      <c r="M1089" s="594" t="n"/>
      <c r="N1089" s="594" t="n"/>
      <c r="O1089" s="594" t="n"/>
      <c r="P1089" s="594" t="n"/>
      <c r="Q1089" s="594" t="n"/>
      <c r="R1089" s="594" t="n"/>
      <c r="S1089" s="594" t="n"/>
      <c r="T1089" s="594" t="n"/>
      <c r="U1089" s="594" t="n"/>
      <c r="V1089" s="594" t="n"/>
      <c r="W1089" s="594" t="n"/>
      <c r="X1089" s="594" t="n"/>
      <c r="Y1089" s="594" t="n"/>
      <c r="Z1089" s="594" t="n"/>
      <c r="AA1089" s="594" t="n"/>
      <c r="AB1089" s="594" t="n"/>
      <c r="AC1089" s="594" t="n"/>
      <c r="AD1089" s="594" t="n"/>
      <c r="AE1089" s="594" t="n"/>
      <c r="AF1089" s="594" t="n"/>
      <c r="AG1089" s="594" t="n"/>
      <c r="AH1089" s="594">
        <f>IF(ISBLANK(AH$1083),"N/A",IF(COUNTIFS(GD_Item_FiscalPeriod,AH$1083,GD_Item_Name,$B1089,GD_Update_Date,AH$1082)=0,"NR",SUMIFS(GD_Guidance_Mid,GD_Item_Name,$B1089,GD_Item_FiscalPeriod,AH$1083,GD_Update_Date,AH$1082)))</f>
        <v/>
      </c>
      <c r="AI1089" s="594">
        <f>IF(ISBLANK(AI$1083),"N/A",IF(COUNTIFS(GD_Item_FiscalPeriod,AI$1083,GD_Item_Name,$B1089,GD_Update_Date,AI$1082)=0,"NR",SUMIFS(GD_Guidance_Mid,GD_Item_Name,$B1089,GD_Item_FiscalPeriod,AI$1083,GD_Update_Date,AI$1082)))</f>
        <v/>
      </c>
      <c r="AJ1089" s="594">
        <f>IF(ISBLANK(AJ$1083),"N/A",IF(COUNTIFS(GD_Item_FiscalPeriod,AJ$1083,GD_Item_Name,$B1089,GD_Update_Date,AJ$1082)=0,"NR",SUMIFS(GD_Guidance_Mid,GD_Item_Name,$B1089,GD_Item_FiscalPeriod,AJ$1083,GD_Update_Date,AJ$1082)))</f>
        <v/>
      </c>
      <c r="AK1089" s="594">
        <f>IF(ISBLANK(AK$1083),"N/A",IF(COUNTIFS(GD_Item_FiscalPeriod,AK$1083,GD_Item_Name,$B1089,GD_Update_Date,AK$1082)=0,"NR",SUMIFS(GD_Guidance_Mid,GD_Item_Name,$B1089,GD_Item_FiscalPeriod,AK$1083,GD_Update_Date,AK$1082)))</f>
        <v/>
      </c>
      <c r="AL1089" s="594">
        <f>IF(ISBLANK(AL$1083),"N/A",IF(COUNTIFS(GD_Item_FiscalPeriod,AL$1083,GD_Item_Name,$B1089,GD_Update_Date,AL$1082)=0,"NR",SUMIFS(GD_Guidance_Mid,GD_Item_Name,$B1089,GD_Item_FiscalPeriod,AL$1083,GD_Update_Date,AL$1082)))</f>
        <v/>
      </c>
      <c r="AM1089" s="594">
        <f>IF(ISBLANK(AM$1083),"N/A",IF(COUNTIFS(GD_Item_FiscalPeriod,AM$1083,GD_Item_Name,$B1089,GD_Update_Date,AM$1082)=0,"NR",SUMIFS(GD_Guidance_Mid,GD_Item_Name,$B1089,GD_Item_FiscalPeriod,AM$1083,GD_Update_Date,AM$1082)))</f>
        <v/>
      </c>
      <c r="AN1089" s="594">
        <f>IF(ISBLANK(AN$1083),"N/A",IF(COUNTIFS(GD_Item_FiscalPeriod,AN$1083,GD_Item_Name,$B1089,GD_Update_Date,AN$1082)=0,"NR",SUMIFS(GD_Guidance_Mid,GD_Item_Name,$B1089,GD_Item_FiscalPeriod,AN$1083,GD_Update_Date,AN$1082)))</f>
        <v/>
      </c>
      <c r="AO1089" s="594">
        <f>IF(ISBLANK(AO$1083),"N/A",IF(COUNTIFS(GD_Item_FiscalPeriod,AO$1083,GD_Item_Name,$B1089,GD_Update_Date,AO$1082)=0,"NR",SUMIFS(GD_Guidance_Mid,GD_Item_Name,$B1089,GD_Item_FiscalPeriod,AO$1083,GD_Update_Date,AO$1082)))</f>
        <v/>
      </c>
      <c r="AP1089" s="594">
        <f>IF(ISBLANK(AP$1083),"N/A",IF(COUNTIFS(GD_Item_FiscalPeriod,AP$1083,GD_Item_Name,$B1089,GD_Update_Date,AP$1082)=0,"NR",SUMIFS(GD_Guidance_Mid,GD_Item_Name,$B1089,GD_Item_FiscalPeriod,AP$1083,GD_Update_Date,AP$1082)))</f>
        <v/>
      </c>
      <c r="AQ1089" s="594">
        <f>IF(ISBLANK(AQ$1083),"N/A",IF(COUNTIFS(GD_Item_FiscalPeriod,AQ$1083,GD_Item_Name,$B1089,GD_Update_Date,AQ$1082)=0,"NR",SUMIFS(GD_Guidance_Mid,GD_Item_Name,$B1089,GD_Item_FiscalPeriod,AQ$1083,GD_Update_Date,AQ$1082)))</f>
        <v/>
      </c>
      <c r="AR1089" s="594">
        <f>IF(ISBLANK(AR$1083),"N/A",IF(COUNTIFS(GD_Item_FiscalPeriod,AR$1083,GD_Item_Name,$B1089,GD_Update_Date,AR$1082)=0,"NR",SUMIFS(GD_Guidance_Mid,GD_Item_Name,$B1089,GD_Item_FiscalPeriod,AR$1083,GD_Update_Date,AR$1082)))</f>
        <v/>
      </c>
      <c r="AS1089" s="594">
        <f>IF(ISBLANK(AS$1083),"N/A",IF(COUNTIFS(GD_Item_FiscalPeriod,AS$1083,GD_Item_Name,$B1089,GD_Update_Date,AS$1082)=0,"NR",SUMIFS(GD_Guidance_Mid,GD_Item_Name,$B1089,GD_Item_FiscalPeriod,AS$1083,GD_Update_Date,AS$1082)))</f>
        <v/>
      </c>
      <c r="AT1089" s="594">
        <f>IF(ISBLANK(AT$1083),"N/A",IF(COUNTIFS(GD_Item_FiscalPeriod,AT$1083,GD_Item_Name,$B1089,GD_Update_Date,AT$1082)=0,"NR",SUMIFS(GD_Guidance_Mid,GD_Item_Name,$B1089,GD_Item_FiscalPeriod,AT$1083,GD_Update_Date,AT$1082)))</f>
        <v/>
      </c>
      <c r="AU1089" s="594">
        <f>IF(ISBLANK(AU$1083),"N/A",IF(COUNTIFS(GD_Item_FiscalPeriod,AU$1083,GD_Item_Name,$B1089,GD_Update_Date,AU$1082)=0,"NR",SUMIFS(GD_Guidance_Mid,GD_Item_Name,$B1089,GD_Item_FiscalPeriod,AU$1083,GD_Update_Date,AU$1082)))</f>
        <v/>
      </c>
      <c r="AV1089" s="594">
        <f>IF(ISBLANK(AV$1083),"N/A",IF(COUNTIFS(GD_Item_FiscalPeriod,AV$1083,GD_Item_Name,$B1089,GD_Update_Date,AV$1082)=0,"NR",SUMIFS(GD_Guidance_Mid,GD_Item_Name,$B1089,GD_Item_FiscalPeriod,AV$1083,GD_Update_Date,AV$1082)))</f>
        <v/>
      </c>
      <c r="AW1089" s="594">
        <f>IF(ISBLANK(AW$1083),"N/A",IF(COUNTIFS(GD_Item_FiscalPeriod,AW$1083,GD_Item_Name,$B1089,GD_Update_Date,AW$1082)=0,"NR",SUMIFS(GD_Guidance_Mid,GD_Item_Name,$B1089,GD_Item_FiscalPeriod,AW$1083,GD_Update_Date,AW$1082)))</f>
        <v/>
      </c>
      <c r="AX1089" s="594">
        <f>IF(ISBLANK(AX$1083),"N/A",IF(COUNTIFS(GD_Item_FiscalPeriod,AX$1083,GD_Item_Name,$B1089,GD_Update_Date,AX$1082)=0,"NR",SUMIFS(GD_Guidance_Mid,GD_Item_Name,$B1089,GD_Item_FiscalPeriod,AX$1083,GD_Update_Date,AX$1082)))</f>
        <v/>
      </c>
      <c r="AY1089" s="594">
        <f>IF(ISBLANK(AY$1083),"N/A",IF(COUNTIFS(GD_Item_FiscalPeriod,AY$1083,GD_Item_Name,$B1089,GD_Update_Date,AY$1082)=0,"NR",SUMIFS(GD_Guidance_Mid,GD_Item_Name,$B1089,GD_Item_FiscalPeriod,AY$1083,GD_Update_Date,AY$1082)))</f>
        <v/>
      </c>
      <c r="AZ1089" s="594">
        <f>IF(ISBLANK(AZ$1083),"N/A",IF(COUNTIFS(GD_Item_FiscalPeriod,AZ$1083,GD_Item_Name,$B1089,GD_Update_Date,AZ$1082)=0,"NR",SUMIFS(GD_Guidance_Mid,GD_Item_Name,$B1089,GD_Item_FiscalPeriod,AZ$1083,GD_Update_Date,AZ$1082)))</f>
        <v/>
      </c>
      <c r="BA1089" s="594">
        <f>IF(ISBLANK(BA$1083),"N/A",IF(COUNTIFS(GD_Item_FiscalPeriod,BA$1083,GD_Item_Name,$B1089,GD_Update_Date,BA$1082)=0,"NR",SUMIFS(GD_Guidance_Mid,GD_Item_Name,$B1089,GD_Item_FiscalPeriod,BA$1083,GD_Update_Date,BA$1082)))</f>
        <v/>
      </c>
      <c r="BB1089" s="594">
        <f>IF(ISBLANK(BB$1083),"N/A",IF(COUNTIFS(GD_Item_FiscalPeriod,BB$1083,GD_Item_Name,$B1089,GD_Update_Date,BB$1082)=0,"NR",SUMIFS(GD_Guidance_Mid,GD_Item_Name,$B1089,GD_Item_FiscalPeriod,BB$1083,GD_Update_Date,BB$1082)))</f>
        <v/>
      </c>
      <c r="BC1089" s="594">
        <f>IF(ISBLANK(BC$1083),"N/A",IF(COUNTIFS(GD_Item_FiscalPeriod,BC$1083,GD_Item_Name,$B1089,GD_Update_Date,BC$1082)=0,"NR",SUMIFS(GD_Guidance_Mid,GD_Item_Name,$B1089,GD_Item_FiscalPeriod,BC$1083,GD_Update_Date,BC$1082)))</f>
        <v/>
      </c>
      <c r="BD1089" s="594">
        <f>IF(ISBLANK(BD$1083),"N/A",IF(COUNTIFS(GD_Item_FiscalPeriod,BD$1083,GD_Item_Name,$B1089,GD_Update_Date,BD$1082)=0,"NR",SUMIFS(GD_Guidance_Mid,GD_Item_Name,$B1089,GD_Item_FiscalPeriod,BD$1083,GD_Update_Date,BD$1082)))</f>
        <v/>
      </c>
      <c r="BE1089" s="594">
        <f>IF(ISBLANK(BE$1083),"N/A",IF(COUNTIFS(GD_Item_FiscalPeriod,BE$1083,GD_Item_Name,$B1089,GD_Update_Date,BE$1082)=0,"NR",SUMIFS(GD_Guidance_Mid,GD_Item_Name,$B1089,GD_Item_FiscalPeriod,BE$1083,GD_Update_Date,BE$1082)))</f>
        <v/>
      </c>
      <c r="BF1089" s="594">
        <f>IF(ISBLANK(BF$1083),"N/A",IF(COUNTIFS(GD_Item_FiscalPeriod,BF$1083,GD_Item_Name,$B1089,GD_Update_Date,BF$1082)=0,"NR",SUMIFS(GD_Guidance_Mid,GD_Item_Name,$B1089,GD_Item_FiscalPeriod,BF$1083,GD_Update_Date,BF$1082)))</f>
        <v/>
      </c>
      <c r="BG1089" s="594">
        <f>IF(ISBLANK(BG$1083),"N/A",IF(COUNTIFS(GD_Item_FiscalPeriod,BG$1083,GD_Item_Name,$B1089,GD_Update_Date,BG$1082)=0,"NR",SUMIFS(GD_Guidance_Mid,GD_Item_Name,$B1089,GD_Item_FiscalPeriod,BG$1083,GD_Update_Date,BG$1082)))</f>
        <v/>
      </c>
      <c r="BH1089" s="594">
        <f>IF(ISBLANK(BH$1083),"N/A",IF(COUNTIFS(GD_Item_FiscalPeriod,BH$1083,GD_Item_Name,$B1089,GD_Update_Date,BH$1082)=0,"NR",SUMIFS(GD_Guidance_Mid,GD_Item_Name,$B1089,GD_Item_FiscalPeriod,BH$1083,GD_Update_Date,BH$1082)))</f>
        <v/>
      </c>
      <c r="BI1089" s="594">
        <f>IF(ISBLANK(BI$1083),"N/A",IF(COUNTIFS(GD_Item_FiscalPeriod,BI$1083,GD_Item_Name,$B1089,GD_Update_Date,BI$1082)=0,"NR",SUMIFS(GD_Guidance_Mid,GD_Item_Name,$B1089,GD_Item_FiscalPeriod,BI$1083,GD_Update_Date,BI$1082)))</f>
        <v/>
      </c>
      <c r="BJ1089" s="594">
        <f>IF(ISBLANK(BJ$1083),"N/A",IF(COUNTIFS(GD_Item_FiscalPeriod,BJ$1083,GD_Item_Name,$B1089,GD_Update_Date,BJ$1082)=0,"NR",SUMIFS(GD_Guidance_Mid,GD_Item_Name,$B1089,GD_Item_FiscalPeriod,BJ$1083,GD_Update_Date,BJ$1082)))</f>
        <v/>
      </c>
      <c r="BK1089" s="594">
        <f>IF(ISBLANK(BK$1083),"N/A",IF(COUNTIFS(GD_Item_FiscalPeriod,BK$1083,GD_Item_Name,$B1089,GD_Update_Date,BK$1082)=0,"NR",SUMIFS(GD_Guidance_Mid,GD_Item_Name,$B1089,GD_Item_FiscalPeriod,BK$1083,GD_Update_Date,BK$1082)))</f>
        <v/>
      </c>
      <c r="BL1089" s="594">
        <f>IF(ISBLANK(BL$1083),"N/A",IF(COUNTIFS(GD_Item_FiscalPeriod,BL$1083,GD_Item_Name,$B1089,GD_Update_Date,BL$1082)=0,"NR",SUMIFS(GD_Guidance_Mid,GD_Item_Name,$B1089,GD_Item_FiscalPeriod,BL$1083,GD_Update_Date,BL$1082)))</f>
        <v/>
      </c>
      <c r="BM1089" s="594">
        <f>IF(ISBLANK(BM$1083),"N/A",IF(COUNTIFS(GD_Item_FiscalPeriod,BM$1083,GD_Item_Name,$B1089,GD_Update_Date,BM$1082)=0,"NR",SUMIFS(GD_Guidance_Mid,GD_Item_Name,$B1089,GD_Item_FiscalPeriod,BM$1083,GD_Update_Date,BM$1082)))</f>
        <v/>
      </c>
      <c r="BN1089" s="594">
        <f>IF(ISBLANK(BN$1083),"N/A",IF(COUNTIFS(GD_Item_FiscalPeriod,BN$1083,GD_Item_Name,$B1089,GD_Update_Date,BN$1082)=0,"NR",SUMIFS(GD_Guidance_Mid,GD_Item_Name,$B1089,GD_Item_FiscalPeriod,BN$1083,GD_Update_Date,BN$1082)))</f>
        <v/>
      </c>
      <c r="BO1089" s="594">
        <f>IF(ISBLANK(BO$1083),"N/A",IF(COUNTIFS(GD_Item_FiscalPeriod,BO$1083,GD_Item_Name,$B1089,GD_Update_Date,BO$1082)=0,"NR",SUMIFS(GD_Guidance_Mid,GD_Item_Name,$B1089,GD_Item_FiscalPeriod,BO$1083,GD_Update_Date,BO$1082)))</f>
        <v/>
      </c>
      <c r="BP1089" s="594">
        <f>IF(ISBLANK(BP$1083),"N/A",IF(COUNTIFS(GD_Item_FiscalPeriod,BP$1083,GD_Item_Name,$B1089,GD_Update_Date,BP$1082)=0,"NR",SUMIFS(GD_Guidance_Mid,GD_Item_Name,$B1089,GD_Item_FiscalPeriod,BP$1083,GD_Update_Date,BP$1082)))</f>
        <v/>
      </c>
      <c r="BQ1089" s="594">
        <f>IF(ISBLANK(BQ$1083),"N/A",IF(COUNTIFS(GD_Item_FiscalPeriod,BQ$1083,GD_Item_Name,$B1089,GD_Update_Date,BQ$1082)=0,"NR",SUMIFS(GD_Guidance_Mid,GD_Item_Name,$B1089,GD_Item_FiscalPeriod,BQ$1083,GD_Update_Date,BQ$1082)))</f>
        <v/>
      </c>
      <c r="BR1089" s="594">
        <f>IF(ISBLANK(BR$1083),"N/A",IF(COUNTIFS(GD_Item_FiscalPeriod,BR$1083,GD_Item_Name,$B1089,GD_Update_Date,BR$1082)=0,"NR",SUMIFS(GD_Guidance_Mid,GD_Item_Name,$B1089,GD_Item_FiscalPeriod,BR$1083,GD_Update_Date,BR$1082)))</f>
        <v/>
      </c>
      <c r="BS1089" s="594">
        <f>IF(ISBLANK(BS$1083),"N/A",IF(COUNTIFS(GD_Item_FiscalPeriod,BS$1083,GD_Item_Name,$B1089,GD_Update_Date,BS$1082)=0,"NR",SUMIFS(GD_Guidance_Mid,GD_Item_Name,$B1089,GD_Item_FiscalPeriod,BS$1083,GD_Update_Date,BS$1082)))</f>
        <v/>
      </c>
      <c r="BT1089" s="594">
        <f>IF(ISBLANK(BT$1083),"N/A",IF(COUNTIFS(GD_Item_FiscalPeriod,BT$1083,GD_Item_Name,$B1089,GD_Update_Date,BT$1082)=0,"NR",SUMIFS(GD_Guidance_Mid,GD_Item_Name,$B1089,GD_Item_FiscalPeriod,BT$1083,GD_Update_Date,BT$1082)))</f>
        <v/>
      </c>
      <c r="BU1089" s="594">
        <f>IF(ISBLANK(BU$1083),"N/A",IF(COUNTIFS(GD_Item_FiscalPeriod,BU$1083,GD_Item_Name,$B1089,GD_Update_Date,BU$1082)=0,"NR",SUMIFS(GD_Guidance_Mid,GD_Item_Name,$B1089,GD_Item_FiscalPeriod,BU$1083,GD_Update_Date,BU$1082)))</f>
        <v/>
      </c>
      <c r="BV1089" s="732">
        <f>IF(ISBLANK(BV$1083),"N/A",IF(COUNTIFS(GD_Item_FiscalPeriod,BV$1083,GD_Item_Name,$B1089,GD_Update_Date,BV$1082)=0,"NR",SUMIFS(GD_Guidance_Mid,GD_Item_Name,$B1089,GD_Item_FiscalPeriod,BV$1083,GD_Update_Date,BV$1082)))</f>
        <v/>
      </c>
      <c r="BW1089" s="594">
        <f>IF(ISBLANK(BW$1083),"N/A",IF(COUNTIFS(GD_Item_FiscalPeriod,BW$1083,GD_Item_Name,$B1089,GD_Update_Date,BW$1082)=0,"NR",SUMIFS(GD_Guidance_Mid,GD_Item_Name,$B1089,GD_Item_FiscalPeriod,BW$1083,GD_Update_Date,BW$1082)))</f>
        <v/>
      </c>
      <c r="BX1089" s="594">
        <f>IF(ISBLANK(BX$1083),"N/A",IF(COUNTIFS(GD_Item_FiscalPeriod,BX$1083,GD_Item_Name,$B1089,GD_Update_Date,BX$1082)=0,"NR",SUMIFS(GD_Guidance_Mid,GD_Item_Name,$B1089,GD_Item_FiscalPeriod,BX$1083,GD_Update_Date,BX$1082)))</f>
        <v/>
      </c>
      <c r="BY1089" s="594">
        <f>IF(ISBLANK(BY$1083),"N/A",IF(COUNTIFS(GD_Item_FiscalPeriod,BY$1083,GD_Item_Name,$B1089,GD_Update_Date,BY$1082)=0,"NR",SUMIFS(GD_Guidance_Mid,GD_Item_Name,$B1089,GD_Item_FiscalPeriod,BY$1083,GD_Update_Date,BY$1082)))</f>
        <v/>
      </c>
      <c r="BZ1089" s="594">
        <f>IF(ISBLANK(BZ$1083),"N/A",IF(COUNTIFS(GD_Item_FiscalPeriod,BZ$1083,GD_Item_Name,$B1089,GD_Update_Date,BZ$1082)=0,"NR",SUMIFS(GD_Guidance_Mid,GD_Item_Name,$B1089,GD_Item_FiscalPeriod,BZ$1083,GD_Update_Date,BZ$1082)))</f>
        <v/>
      </c>
      <c r="CA1089" s="594">
        <f>IF(ISBLANK(CA$1083),"N/A",IF(COUNTIFS(GD_Item_FiscalPeriod,CA$1083,GD_Item_Name,$B1089,GD_Update_Date,CA$1082)=0,"NR",SUMIFS(GD_Guidance_Mid,GD_Item_Name,$B1089,GD_Item_FiscalPeriod,CA$1083,GD_Update_Date,CA$1082)))</f>
        <v/>
      </c>
      <c r="CB1089" s="594">
        <f>IF(ISBLANK(CB$1083),"N/A",IF(COUNTIFS(GD_Item_FiscalPeriod,CB$1083,GD_Item_Name,$B1089,GD_Update_Date,CB$1082)=0,"NR",SUMIFS(GD_Guidance_Mid,GD_Item_Name,$B1089,GD_Item_FiscalPeriod,CB$1083,GD_Update_Date,CB$1082)))</f>
        <v/>
      </c>
      <c r="CC1089" s="594">
        <f>IF(ISBLANK(CC$1083),"N/A",IF(COUNTIFS(GD_Item_FiscalPeriod,CC$1083,GD_Item_Name,$B1089,GD_Update_Date,CC$1082)=0,"NR",SUMIFS(GD_Guidance_Mid,GD_Item_Name,$B1089,GD_Item_FiscalPeriod,CC$1083,GD_Update_Date,CC$1082)))</f>
        <v/>
      </c>
      <c r="CD1089" s="594">
        <f>IF(ISBLANK(CD$1083),"N/A",IF(COUNTIFS(GD_Item_FiscalPeriod,CD$1083,GD_Item_Name,$B1089,GD_Update_Date,CD$1082)=0,"NR",SUMIFS(GD_Guidance_Mid,GD_Item_Name,$B1089,GD_Item_FiscalPeriod,CD$1083,GD_Update_Date,CD$1082)))</f>
        <v/>
      </c>
      <c r="CE1089" s="594">
        <f>IF(ISBLANK(CE$1083),"N/A",IF(COUNTIFS(GD_Item_FiscalPeriod,CE$1083,GD_Item_Name,$B1089,GD_Update_Date,CE$1082)=0,"NR",SUMIFS(GD_Guidance_Mid,GD_Item_Name,$B1089,GD_Item_FiscalPeriod,CE$1083,GD_Update_Date,CE$1082)))</f>
        <v/>
      </c>
      <c r="CF1089" s="796">
        <f>IF(ISBLANK(CF$1083),"N/A",IF(COUNTIFS(GD_Item_FiscalPeriod,CF$1083,GD_Item_Name,$B1089,GD_Update_Date,CF$1082)=0,"NR",SUMIFS(GD_Guidance_Mid,GD_Item_Name,$B1089,GD_Item_FiscalPeriod,CF$1083,GD_Update_Date,CF$1082)))</f>
        <v/>
      </c>
      <c r="CG1089" s="155" t="n"/>
    </row>
    <row r="1090">
      <c r="A1090" s="793" t="inlineStr">
        <is>
          <t>Low - Total Non-GAAP Operating Expenses, mm</t>
        </is>
      </c>
      <c r="B1090" s="1053" t="inlineStr">
        <is>
          <t>MO_OS_OPEX</t>
        </is>
      </c>
      <c r="C1090" s="1006" t="n"/>
      <c r="D1090" s="1006" t="n"/>
      <c r="E1090" s="563" t="n"/>
      <c r="F1090" s="563" t="n"/>
      <c r="G1090" s="563" t="n"/>
      <c r="H1090" s="563" t="n"/>
      <c r="I1090" s="563" t="n"/>
      <c r="J1090" s="563" t="n"/>
      <c r="K1090" s="563" t="n"/>
      <c r="L1090" s="563" t="n"/>
      <c r="M1090" s="563" t="n"/>
      <c r="N1090" s="563" t="n"/>
      <c r="O1090" s="563" t="n"/>
      <c r="P1090" s="563" t="n"/>
      <c r="Q1090" s="563" t="n"/>
      <c r="R1090" s="563" t="n"/>
      <c r="S1090" s="563" t="n"/>
      <c r="T1090" s="563" t="n"/>
      <c r="U1090" s="563" t="n"/>
      <c r="V1090" s="563" t="n"/>
      <c r="W1090" s="563" t="n"/>
      <c r="X1090" s="563" t="n"/>
      <c r="Y1090" s="563" t="n"/>
      <c r="Z1090" s="563" t="n"/>
      <c r="AA1090" s="563" t="n"/>
      <c r="AB1090" s="563" t="n"/>
      <c r="AC1090" s="563" t="n"/>
      <c r="AD1090" s="563" t="n"/>
      <c r="AE1090" s="563" t="n"/>
      <c r="AF1090" s="563" t="n"/>
      <c r="AG1090" s="563" t="n"/>
      <c r="AH1090" s="563">
        <f>IF(ISBLANK(AH$1083),"N/A",IF(COUNTIFS(GD_Item_FiscalPeriod,AH$1083,GD_Item_Name,$B1090,GD_Update_Date,AH$1082)=0,"NR",SUMIFS(GD_Guidance_Low,GD_Item_Name,$B1090,GD_Item_FiscalPeriod,AH$1083,GD_Update_Date,AH$1082)))</f>
        <v/>
      </c>
      <c r="AI1090" s="563">
        <f>IF(ISBLANK(AI$1083),"N/A",IF(COUNTIFS(GD_Item_FiscalPeriod,AI$1083,GD_Item_Name,$B1090,GD_Update_Date,AI$1082)=0,"NR",SUMIFS(GD_Guidance_Low,GD_Item_Name,$B1090,GD_Item_FiscalPeriod,AI$1083,GD_Update_Date,AI$1082)))</f>
        <v/>
      </c>
      <c r="AJ1090" s="563">
        <f>IF(ISBLANK(AJ$1083),"N/A",IF(COUNTIFS(GD_Item_FiscalPeriod,AJ$1083,GD_Item_Name,$B1090,GD_Update_Date,AJ$1082)=0,"NR",SUMIFS(GD_Guidance_Low,GD_Item_Name,$B1090,GD_Item_FiscalPeriod,AJ$1083,GD_Update_Date,AJ$1082)))</f>
        <v/>
      </c>
      <c r="AK1090" s="563">
        <f>IF(ISBLANK(AK$1083),"N/A",IF(COUNTIFS(GD_Item_FiscalPeriod,AK$1083,GD_Item_Name,$B1090,GD_Update_Date,AK$1082)=0,"NR",SUMIFS(GD_Guidance_Low,GD_Item_Name,$B1090,GD_Item_FiscalPeriod,AK$1083,GD_Update_Date,AK$1082)))</f>
        <v/>
      </c>
      <c r="AL1090" s="563">
        <f>IF(ISBLANK(AL$1083),"N/A",IF(COUNTIFS(GD_Item_FiscalPeriod,AL$1083,GD_Item_Name,$B1090,GD_Update_Date,AL$1082)=0,"NR",SUMIFS(GD_Guidance_Low,GD_Item_Name,$B1090,GD_Item_FiscalPeriod,AL$1083,GD_Update_Date,AL$1082)))</f>
        <v/>
      </c>
      <c r="AM1090" s="563">
        <f>IF(ISBLANK(AM$1083),"N/A",IF(COUNTIFS(GD_Item_FiscalPeriod,AM$1083,GD_Item_Name,$B1090,GD_Update_Date,AM$1082)=0,"NR",SUMIFS(GD_Guidance_Low,GD_Item_Name,$B1090,GD_Item_FiscalPeriod,AM$1083,GD_Update_Date,AM$1082)))</f>
        <v/>
      </c>
      <c r="AN1090" s="563">
        <f>IF(ISBLANK(AN$1083),"N/A",IF(COUNTIFS(GD_Item_FiscalPeriod,AN$1083,GD_Item_Name,$B1090,GD_Update_Date,AN$1082)=0,"NR",SUMIFS(GD_Guidance_Low,GD_Item_Name,$B1090,GD_Item_FiscalPeriod,AN$1083,GD_Update_Date,AN$1082)))</f>
        <v/>
      </c>
      <c r="AO1090" s="563">
        <f>IF(ISBLANK(AO$1083),"N/A",IF(COUNTIFS(GD_Item_FiscalPeriod,AO$1083,GD_Item_Name,$B1090,GD_Update_Date,AO$1082)=0,"NR",SUMIFS(GD_Guidance_Low,GD_Item_Name,$B1090,GD_Item_FiscalPeriod,AO$1083,GD_Update_Date,AO$1082)))</f>
        <v/>
      </c>
      <c r="AP1090" s="563">
        <f>IF(ISBLANK(AP$1083),"N/A",IF(COUNTIFS(GD_Item_FiscalPeriod,AP$1083,GD_Item_Name,$B1090,GD_Update_Date,AP$1082)=0,"NR",SUMIFS(GD_Guidance_Low,GD_Item_Name,$B1090,GD_Item_FiscalPeriod,AP$1083,GD_Update_Date,AP$1082)))</f>
        <v/>
      </c>
      <c r="AQ1090" s="563">
        <f>IF(ISBLANK(AQ$1083),"N/A",IF(COUNTIFS(GD_Item_FiscalPeriod,AQ$1083,GD_Item_Name,$B1090,GD_Update_Date,AQ$1082)=0,"NR",SUMIFS(GD_Guidance_Low,GD_Item_Name,$B1090,GD_Item_FiscalPeriod,AQ$1083,GD_Update_Date,AQ$1082)))</f>
        <v/>
      </c>
      <c r="AR1090" s="563">
        <f>IF(ISBLANK(AR$1083),"N/A",IF(COUNTIFS(GD_Item_FiscalPeriod,AR$1083,GD_Item_Name,$B1090,GD_Update_Date,AR$1082)=0,"NR",SUMIFS(GD_Guidance_Low,GD_Item_Name,$B1090,GD_Item_FiscalPeriod,AR$1083,GD_Update_Date,AR$1082)))</f>
        <v/>
      </c>
      <c r="AS1090" s="563">
        <f>IF(ISBLANK(AS$1083),"N/A",IF(COUNTIFS(GD_Item_FiscalPeriod,AS$1083,GD_Item_Name,$B1090,GD_Update_Date,AS$1082)=0,"NR",SUMIFS(GD_Guidance_Low,GD_Item_Name,$B1090,GD_Item_FiscalPeriod,AS$1083,GD_Update_Date,AS$1082)))</f>
        <v/>
      </c>
      <c r="AT1090" s="563">
        <f>IF(ISBLANK(AT$1083),"N/A",IF(COUNTIFS(GD_Item_FiscalPeriod,AT$1083,GD_Item_Name,$B1090,GD_Update_Date,AT$1082)=0,"NR",SUMIFS(GD_Guidance_Low,GD_Item_Name,$B1090,GD_Item_FiscalPeriod,AT$1083,GD_Update_Date,AT$1082)))</f>
        <v/>
      </c>
      <c r="AU1090" s="563">
        <f>IF(ISBLANK(AU$1083),"N/A",IF(COUNTIFS(GD_Item_FiscalPeriod,AU$1083,GD_Item_Name,$B1090,GD_Update_Date,AU$1082)=0,"NR",SUMIFS(GD_Guidance_Low,GD_Item_Name,$B1090,GD_Item_FiscalPeriod,AU$1083,GD_Update_Date,AU$1082)))</f>
        <v/>
      </c>
      <c r="AV1090" s="563">
        <f>IF(ISBLANK(AV$1083),"N/A",IF(COUNTIFS(GD_Item_FiscalPeriod,AV$1083,GD_Item_Name,$B1090,GD_Update_Date,AV$1082)=0,"NR",SUMIFS(GD_Guidance_Low,GD_Item_Name,$B1090,GD_Item_FiscalPeriod,AV$1083,GD_Update_Date,AV$1082)))</f>
        <v/>
      </c>
      <c r="AW1090" s="563">
        <f>IF(ISBLANK(AW$1083),"N/A",IF(COUNTIFS(GD_Item_FiscalPeriod,AW$1083,GD_Item_Name,$B1090,GD_Update_Date,AW$1082)=0,"NR",SUMIFS(GD_Guidance_Low,GD_Item_Name,$B1090,GD_Item_FiscalPeriod,AW$1083,GD_Update_Date,AW$1082)))</f>
        <v/>
      </c>
      <c r="AX1090" s="563">
        <f>IF(ISBLANK(AX$1083),"N/A",IF(COUNTIFS(GD_Item_FiscalPeriod,AX$1083,GD_Item_Name,$B1090,GD_Update_Date,AX$1082)=0,"NR",SUMIFS(GD_Guidance_Low,GD_Item_Name,$B1090,GD_Item_FiscalPeriod,AX$1083,GD_Update_Date,AX$1082)))</f>
        <v/>
      </c>
      <c r="AY1090" s="563">
        <f>IF(ISBLANK(AY$1083),"N/A",IF(COUNTIFS(GD_Item_FiscalPeriod,AY$1083,GD_Item_Name,$B1090,GD_Update_Date,AY$1082)=0,"NR",SUMIFS(GD_Guidance_Low,GD_Item_Name,$B1090,GD_Item_FiscalPeriod,AY$1083,GD_Update_Date,AY$1082)))</f>
        <v/>
      </c>
      <c r="AZ1090" s="563">
        <f>IF(ISBLANK(AZ$1083),"N/A",IF(COUNTIFS(GD_Item_FiscalPeriod,AZ$1083,GD_Item_Name,$B1090,GD_Update_Date,AZ$1082)=0,"NR",SUMIFS(GD_Guidance_Low,GD_Item_Name,$B1090,GD_Item_FiscalPeriod,AZ$1083,GD_Update_Date,AZ$1082)))</f>
        <v/>
      </c>
      <c r="BA1090" s="563">
        <f>IF(ISBLANK(BA$1083),"N/A",IF(COUNTIFS(GD_Item_FiscalPeriod,BA$1083,GD_Item_Name,$B1090,GD_Update_Date,BA$1082)=0,"NR",SUMIFS(GD_Guidance_Low,GD_Item_Name,$B1090,GD_Item_FiscalPeriod,BA$1083,GD_Update_Date,BA$1082)))</f>
        <v/>
      </c>
      <c r="BB1090" s="563">
        <f>IF(ISBLANK(BB$1083),"N/A",IF(COUNTIFS(GD_Item_FiscalPeriod,BB$1083,GD_Item_Name,$B1090,GD_Update_Date,BB$1082)=0,"NR",SUMIFS(GD_Guidance_Low,GD_Item_Name,$B1090,GD_Item_FiscalPeriod,BB$1083,GD_Update_Date,BB$1082)))</f>
        <v/>
      </c>
      <c r="BC1090" s="563">
        <f>IF(ISBLANK(BC$1083),"N/A",IF(COUNTIFS(GD_Item_FiscalPeriod,BC$1083,GD_Item_Name,$B1090,GD_Update_Date,BC$1082)=0,"NR",SUMIFS(GD_Guidance_Low,GD_Item_Name,$B1090,GD_Item_FiscalPeriod,BC$1083,GD_Update_Date,BC$1082)))</f>
        <v/>
      </c>
      <c r="BD1090" s="563">
        <f>IF(ISBLANK(BD$1083),"N/A",IF(COUNTIFS(GD_Item_FiscalPeriod,BD$1083,GD_Item_Name,$B1090,GD_Update_Date,BD$1082)=0,"NR",SUMIFS(GD_Guidance_Low,GD_Item_Name,$B1090,GD_Item_FiscalPeriod,BD$1083,GD_Update_Date,BD$1082)))</f>
        <v/>
      </c>
      <c r="BE1090" s="563">
        <f>IF(ISBLANK(BE$1083),"N/A",IF(COUNTIFS(GD_Item_FiscalPeriod,BE$1083,GD_Item_Name,$B1090,GD_Update_Date,BE$1082)=0,"NR",SUMIFS(GD_Guidance_Low,GD_Item_Name,$B1090,GD_Item_FiscalPeriod,BE$1083,GD_Update_Date,BE$1082)))</f>
        <v/>
      </c>
      <c r="BF1090" s="563">
        <f>IF(ISBLANK(BF$1083),"N/A",IF(COUNTIFS(GD_Item_FiscalPeriod,BF$1083,GD_Item_Name,$B1090,GD_Update_Date,BF$1082)=0,"NR",SUMIFS(GD_Guidance_Low,GD_Item_Name,$B1090,GD_Item_FiscalPeriod,BF$1083,GD_Update_Date,BF$1082)))</f>
        <v/>
      </c>
      <c r="BG1090" s="563">
        <f>IF(ISBLANK(BG$1083),"N/A",IF(COUNTIFS(GD_Item_FiscalPeriod,BG$1083,GD_Item_Name,$B1090,GD_Update_Date,BG$1082)=0,"NR",SUMIFS(GD_Guidance_Low,GD_Item_Name,$B1090,GD_Item_FiscalPeriod,BG$1083,GD_Update_Date,BG$1082)))</f>
        <v/>
      </c>
      <c r="BH1090" s="563">
        <f>IF(ISBLANK(BH$1083),"N/A",IF(COUNTIFS(GD_Item_FiscalPeriod,BH$1083,GD_Item_Name,$B1090,GD_Update_Date,BH$1082)=0,"NR",SUMIFS(GD_Guidance_Low,GD_Item_Name,$B1090,GD_Item_FiscalPeriod,BH$1083,GD_Update_Date,BH$1082)))</f>
        <v/>
      </c>
      <c r="BI1090" s="563">
        <f>IF(ISBLANK(BI$1083),"N/A",IF(COUNTIFS(GD_Item_FiscalPeriod,BI$1083,GD_Item_Name,$B1090,GD_Update_Date,BI$1082)=0,"NR",SUMIFS(GD_Guidance_Low,GD_Item_Name,$B1090,GD_Item_FiscalPeriod,BI$1083,GD_Update_Date,BI$1082)))</f>
        <v/>
      </c>
      <c r="BJ1090" s="563">
        <f>IF(ISBLANK(BJ$1083),"N/A",IF(COUNTIFS(GD_Item_FiscalPeriod,BJ$1083,GD_Item_Name,$B1090,GD_Update_Date,BJ$1082)=0,"NR",SUMIFS(GD_Guidance_Low,GD_Item_Name,$B1090,GD_Item_FiscalPeriod,BJ$1083,GD_Update_Date,BJ$1082)))</f>
        <v/>
      </c>
      <c r="BK1090" s="563">
        <f>IF(ISBLANK(BK$1083),"N/A",IF(COUNTIFS(GD_Item_FiscalPeriod,BK$1083,GD_Item_Name,$B1090,GD_Update_Date,BK$1082)=0,"NR",SUMIFS(GD_Guidance_Low,GD_Item_Name,$B1090,GD_Item_FiscalPeriod,BK$1083,GD_Update_Date,BK$1082)))</f>
        <v/>
      </c>
      <c r="BL1090" s="563">
        <f>IF(ISBLANK(BL$1083),"N/A",IF(COUNTIFS(GD_Item_FiscalPeriod,BL$1083,GD_Item_Name,$B1090,GD_Update_Date,BL$1082)=0,"NR",SUMIFS(GD_Guidance_Low,GD_Item_Name,$B1090,GD_Item_FiscalPeriod,BL$1083,GD_Update_Date,BL$1082)))</f>
        <v/>
      </c>
      <c r="BM1090" s="563">
        <f>IF(ISBLANK(BM$1083),"N/A",IF(COUNTIFS(GD_Item_FiscalPeriod,BM$1083,GD_Item_Name,$B1090,GD_Update_Date,BM$1082)=0,"NR",SUMIFS(GD_Guidance_Low,GD_Item_Name,$B1090,GD_Item_FiscalPeriod,BM$1083,GD_Update_Date,BM$1082)))</f>
        <v/>
      </c>
      <c r="BN1090" s="563">
        <f>IF(ISBLANK(BN$1083),"N/A",IF(COUNTIFS(GD_Item_FiscalPeriod,BN$1083,GD_Item_Name,$B1090,GD_Update_Date,BN$1082)=0,"NR",SUMIFS(GD_Guidance_Low,GD_Item_Name,$B1090,GD_Item_FiscalPeriod,BN$1083,GD_Update_Date,BN$1082)))</f>
        <v/>
      </c>
      <c r="BO1090" s="563">
        <f>IF(ISBLANK(BO$1083),"N/A",IF(COUNTIFS(GD_Item_FiscalPeriod,BO$1083,GD_Item_Name,$B1090,GD_Update_Date,BO$1082)=0,"NR",SUMIFS(GD_Guidance_Low,GD_Item_Name,$B1090,GD_Item_FiscalPeriod,BO$1083,GD_Update_Date,BO$1082)))</f>
        <v/>
      </c>
      <c r="BP1090" s="563">
        <f>IF(ISBLANK(BP$1083),"N/A",IF(COUNTIFS(GD_Item_FiscalPeriod,BP$1083,GD_Item_Name,$B1090,GD_Update_Date,BP$1082)=0,"NR",SUMIFS(GD_Guidance_Low,GD_Item_Name,$B1090,GD_Item_FiscalPeriod,BP$1083,GD_Update_Date,BP$1082)))</f>
        <v/>
      </c>
      <c r="BQ1090" s="563">
        <f>IF(ISBLANK(BQ$1083),"N/A",IF(COUNTIFS(GD_Item_FiscalPeriod,BQ$1083,GD_Item_Name,$B1090,GD_Update_Date,BQ$1082)=0,"NR",SUMIFS(GD_Guidance_Low,GD_Item_Name,$B1090,GD_Item_FiscalPeriod,BQ$1083,GD_Update_Date,BQ$1082)))</f>
        <v/>
      </c>
      <c r="BR1090" s="563">
        <f>IF(ISBLANK(BR$1083),"N/A",IF(COUNTIFS(GD_Item_FiscalPeriod,BR$1083,GD_Item_Name,$B1090,GD_Update_Date,BR$1082)=0,"NR",SUMIFS(GD_Guidance_Low,GD_Item_Name,$B1090,GD_Item_FiscalPeriod,BR$1083,GD_Update_Date,BR$1082)))</f>
        <v/>
      </c>
      <c r="BS1090" s="563">
        <f>IF(ISBLANK(BS$1083),"N/A",IF(COUNTIFS(GD_Item_FiscalPeriod,BS$1083,GD_Item_Name,$B1090,GD_Update_Date,BS$1082)=0,"NR",SUMIFS(GD_Guidance_Low,GD_Item_Name,$B1090,GD_Item_FiscalPeriod,BS$1083,GD_Update_Date,BS$1082)))</f>
        <v/>
      </c>
      <c r="BT1090" s="563">
        <f>IF(ISBLANK(BT$1083),"N/A",IF(COUNTIFS(GD_Item_FiscalPeriod,BT$1083,GD_Item_Name,$B1090,GD_Update_Date,BT$1082)=0,"NR",SUMIFS(GD_Guidance_Low,GD_Item_Name,$B1090,GD_Item_FiscalPeriod,BT$1083,GD_Update_Date,BT$1082)))</f>
        <v/>
      </c>
      <c r="BU1090" s="563">
        <f>IF(ISBLANK(BU$1083),"N/A",IF(COUNTIFS(GD_Item_FiscalPeriod,BU$1083,GD_Item_Name,$B1090,GD_Update_Date,BU$1082)=0,"NR",SUMIFS(GD_Guidance_Low,GD_Item_Name,$B1090,GD_Item_FiscalPeriod,BU$1083,GD_Update_Date,BU$1082)))</f>
        <v/>
      </c>
      <c r="BV1090" s="731">
        <f>IF(ISBLANK(BV$1083),"N/A",IF(COUNTIFS(GD_Item_FiscalPeriod,BV$1083,GD_Item_Name,$B1090,GD_Update_Date,BV$1082)=0,"NR",SUMIFS(GD_Guidance_Low,GD_Item_Name,$B1090,GD_Item_FiscalPeriod,BV$1083,GD_Update_Date,BV$1082)))</f>
        <v/>
      </c>
      <c r="BW1090" s="563">
        <f>IF(ISBLANK(BW$1083),"N/A",IF(COUNTIFS(GD_Item_FiscalPeriod,BW$1083,GD_Item_Name,$B1090,GD_Update_Date,BW$1082)=0,"NR",SUMIFS(GD_Guidance_Low,GD_Item_Name,$B1090,GD_Item_FiscalPeriod,BW$1083,GD_Update_Date,BW$1082)))</f>
        <v/>
      </c>
      <c r="BX1090" s="563">
        <f>IF(ISBLANK(BX$1083),"N/A",IF(COUNTIFS(GD_Item_FiscalPeriod,BX$1083,GD_Item_Name,$B1090,GD_Update_Date,BX$1082)=0,"NR",SUMIFS(GD_Guidance_Low,GD_Item_Name,$B1090,GD_Item_FiscalPeriod,BX$1083,GD_Update_Date,BX$1082)))</f>
        <v/>
      </c>
      <c r="BY1090" s="563">
        <f>IF(ISBLANK(BY$1083),"N/A",IF(COUNTIFS(GD_Item_FiscalPeriod,BY$1083,GD_Item_Name,$B1090,GD_Update_Date,BY$1082)=0,"NR",SUMIFS(GD_Guidance_Low,GD_Item_Name,$B1090,GD_Item_FiscalPeriod,BY$1083,GD_Update_Date,BY$1082)))</f>
        <v/>
      </c>
      <c r="BZ1090" s="563">
        <f>IF(ISBLANK(BZ$1083),"N/A",IF(COUNTIFS(GD_Item_FiscalPeriod,BZ$1083,GD_Item_Name,$B1090,GD_Update_Date,BZ$1082)=0,"NR",SUMIFS(GD_Guidance_Low,GD_Item_Name,$B1090,GD_Item_FiscalPeriod,BZ$1083,GD_Update_Date,BZ$1082)))</f>
        <v/>
      </c>
      <c r="CA1090" s="563">
        <f>IF(ISBLANK(CA$1083),"N/A",IF(COUNTIFS(GD_Item_FiscalPeriod,CA$1083,GD_Item_Name,$B1090,GD_Update_Date,CA$1082)=0,"NR",SUMIFS(GD_Guidance_Low,GD_Item_Name,$B1090,GD_Item_FiscalPeriod,CA$1083,GD_Update_Date,CA$1082)))</f>
        <v/>
      </c>
      <c r="CB1090" s="563">
        <f>IF(ISBLANK(CB$1083),"N/A",IF(COUNTIFS(GD_Item_FiscalPeriod,CB$1083,GD_Item_Name,$B1090,GD_Update_Date,CB$1082)=0,"NR",SUMIFS(GD_Guidance_Low,GD_Item_Name,$B1090,GD_Item_FiscalPeriod,CB$1083,GD_Update_Date,CB$1082)))</f>
        <v/>
      </c>
      <c r="CC1090" s="563">
        <f>IF(ISBLANK(CC$1083),"N/A",IF(COUNTIFS(GD_Item_FiscalPeriod,CC$1083,GD_Item_Name,$B1090,GD_Update_Date,CC$1082)=0,"NR",SUMIFS(GD_Guidance_Low,GD_Item_Name,$B1090,GD_Item_FiscalPeriod,CC$1083,GD_Update_Date,CC$1082)))</f>
        <v/>
      </c>
      <c r="CD1090" s="563">
        <f>IF(ISBLANK(CD$1083),"N/A",IF(COUNTIFS(GD_Item_FiscalPeriod,CD$1083,GD_Item_Name,$B1090,GD_Update_Date,CD$1082)=0,"NR",SUMIFS(GD_Guidance_Low,GD_Item_Name,$B1090,GD_Item_FiscalPeriod,CD$1083,GD_Update_Date,CD$1082)))</f>
        <v/>
      </c>
      <c r="CE1090" s="563">
        <f>IF(ISBLANK(CE$1083),"N/A",IF(COUNTIFS(GD_Item_FiscalPeriod,CE$1083,GD_Item_Name,$B1090,GD_Update_Date,CE$1082)=0,"NR",SUMIFS(GD_Guidance_Low,GD_Item_Name,$B1090,GD_Item_FiscalPeriod,CE$1083,GD_Update_Date,CE$1082)))</f>
        <v/>
      </c>
      <c r="CF1090" s="794">
        <f>IF(ISBLANK(CF$1083),"N/A",IF(COUNTIFS(GD_Item_FiscalPeriod,CF$1083,GD_Item_Name,$B1090,GD_Update_Date,CF$1082)=0,"NR",SUMIFS(GD_Guidance_Low,GD_Item_Name,$B1090,GD_Item_FiscalPeriod,CF$1083,GD_Update_Date,CF$1082)))</f>
        <v/>
      </c>
      <c r="CG1090" s="155" t="n"/>
    </row>
    <row r="1091">
      <c r="A1091" s="793" t="inlineStr">
        <is>
          <t>High - Total Non-GAAP Operating Expenses, mm</t>
        </is>
      </c>
      <c r="B1091" s="1053" t="inlineStr">
        <is>
          <t>MO_OS_OPEX</t>
        </is>
      </c>
      <c r="C1091" s="1006" t="n"/>
      <c r="D1091" s="1006" t="n"/>
      <c r="E1091" s="563" t="n"/>
      <c r="F1091" s="563" t="n"/>
      <c r="G1091" s="563" t="n"/>
      <c r="H1091" s="563" t="n"/>
      <c r="I1091" s="563" t="n"/>
      <c r="J1091" s="563" t="n"/>
      <c r="K1091" s="563" t="n"/>
      <c r="L1091" s="563" t="n"/>
      <c r="M1091" s="563" t="n"/>
      <c r="N1091" s="563" t="n"/>
      <c r="O1091" s="563" t="n"/>
      <c r="P1091" s="563" t="n"/>
      <c r="Q1091" s="563" t="n"/>
      <c r="R1091" s="563" t="n"/>
      <c r="S1091" s="563" t="n"/>
      <c r="T1091" s="563" t="n"/>
      <c r="U1091" s="563" t="n"/>
      <c r="V1091" s="563" t="n"/>
      <c r="W1091" s="563" t="n"/>
      <c r="X1091" s="563" t="n"/>
      <c r="Y1091" s="563" t="n"/>
      <c r="Z1091" s="563" t="n"/>
      <c r="AA1091" s="563" t="n"/>
      <c r="AB1091" s="563" t="n"/>
      <c r="AC1091" s="563" t="n"/>
      <c r="AD1091" s="563" t="n"/>
      <c r="AE1091" s="563" t="n"/>
      <c r="AF1091" s="563" t="n"/>
      <c r="AG1091" s="563" t="n"/>
      <c r="AH1091" s="563">
        <f>IF(ISBLANK(AH$1083),"N/A",IF(COUNTIFS(GD_Item_FiscalPeriod,AH$1083,GD_Item_Name,$B1091,GD_Update_Date,AH$1082)=0,"NR",SUMIFS(GD_Guidance_High,GD_Item_Name,$B1091,GD_Item_FiscalPeriod,AH$1083,GD_Update_Date,AH$1082)))</f>
        <v/>
      </c>
      <c r="AI1091" s="563">
        <f>IF(ISBLANK(AI$1083),"N/A",IF(COUNTIFS(GD_Item_FiscalPeriod,AI$1083,GD_Item_Name,$B1091,GD_Update_Date,AI$1082)=0,"NR",SUMIFS(GD_Guidance_High,GD_Item_Name,$B1091,GD_Item_FiscalPeriod,AI$1083,GD_Update_Date,AI$1082)))</f>
        <v/>
      </c>
      <c r="AJ1091" s="563">
        <f>IF(ISBLANK(AJ$1083),"N/A",IF(COUNTIFS(GD_Item_FiscalPeriod,AJ$1083,GD_Item_Name,$B1091,GD_Update_Date,AJ$1082)=0,"NR",SUMIFS(GD_Guidance_High,GD_Item_Name,$B1091,GD_Item_FiscalPeriod,AJ$1083,GD_Update_Date,AJ$1082)))</f>
        <v/>
      </c>
      <c r="AK1091" s="563">
        <f>IF(ISBLANK(AK$1083),"N/A",IF(COUNTIFS(GD_Item_FiscalPeriod,AK$1083,GD_Item_Name,$B1091,GD_Update_Date,AK$1082)=0,"NR",SUMIFS(GD_Guidance_High,GD_Item_Name,$B1091,GD_Item_FiscalPeriod,AK$1083,GD_Update_Date,AK$1082)))</f>
        <v/>
      </c>
      <c r="AL1091" s="563">
        <f>IF(ISBLANK(AL$1083),"N/A",IF(COUNTIFS(GD_Item_FiscalPeriod,AL$1083,GD_Item_Name,$B1091,GD_Update_Date,AL$1082)=0,"NR",SUMIFS(GD_Guidance_High,GD_Item_Name,$B1091,GD_Item_FiscalPeriod,AL$1083,GD_Update_Date,AL$1082)))</f>
        <v/>
      </c>
      <c r="AM1091" s="563">
        <f>IF(ISBLANK(AM$1083),"N/A",IF(COUNTIFS(GD_Item_FiscalPeriod,AM$1083,GD_Item_Name,$B1091,GD_Update_Date,AM$1082)=0,"NR",SUMIFS(GD_Guidance_High,GD_Item_Name,$B1091,GD_Item_FiscalPeriod,AM$1083,GD_Update_Date,AM$1082)))</f>
        <v/>
      </c>
      <c r="AN1091" s="563">
        <f>IF(ISBLANK(AN$1083),"N/A",IF(COUNTIFS(GD_Item_FiscalPeriod,AN$1083,GD_Item_Name,$B1091,GD_Update_Date,AN$1082)=0,"NR",SUMIFS(GD_Guidance_High,GD_Item_Name,$B1091,GD_Item_FiscalPeriod,AN$1083,GD_Update_Date,AN$1082)))</f>
        <v/>
      </c>
      <c r="AO1091" s="563">
        <f>IF(ISBLANK(AO$1083),"N/A",IF(COUNTIFS(GD_Item_FiscalPeriod,AO$1083,GD_Item_Name,$B1091,GD_Update_Date,AO$1082)=0,"NR",SUMIFS(GD_Guidance_High,GD_Item_Name,$B1091,GD_Item_FiscalPeriod,AO$1083,GD_Update_Date,AO$1082)))</f>
        <v/>
      </c>
      <c r="AP1091" s="563">
        <f>IF(ISBLANK(AP$1083),"N/A",IF(COUNTIFS(GD_Item_FiscalPeriod,AP$1083,GD_Item_Name,$B1091,GD_Update_Date,AP$1082)=0,"NR",SUMIFS(GD_Guidance_High,GD_Item_Name,$B1091,GD_Item_FiscalPeriod,AP$1083,GD_Update_Date,AP$1082)))</f>
        <v/>
      </c>
      <c r="AQ1091" s="563">
        <f>IF(ISBLANK(AQ$1083),"N/A",IF(COUNTIFS(GD_Item_FiscalPeriod,AQ$1083,GD_Item_Name,$B1091,GD_Update_Date,AQ$1082)=0,"NR",SUMIFS(GD_Guidance_High,GD_Item_Name,$B1091,GD_Item_FiscalPeriod,AQ$1083,GD_Update_Date,AQ$1082)))</f>
        <v/>
      </c>
      <c r="AR1091" s="563">
        <f>IF(ISBLANK(AR$1083),"N/A",IF(COUNTIFS(GD_Item_FiscalPeriod,AR$1083,GD_Item_Name,$B1091,GD_Update_Date,AR$1082)=0,"NR",SUMIFS(GD_Guidance_High,GD_Item_Name,$B1091,GD_Item_FiscalPeriod,AR$1083,GD_Update_Date,AR$1082)))</f>
        <v/>
      </c>
      <c r="AS1091" s="563">
        <f>IF(ISBLANK(AS$1083),"N/A",IF(COUNTIFS(GD_Item_FiscalPeriod,AS$1083,GD_Item_Name,$B1091,GD_Update_Date,AS$1082)=0,"NR",SUMIFS(GD_Guidance_High,GD_Item_Name,$B1091,GD_Item_FiscalPeriod,AS$1083,GD_Update_Date,AS$1082)))</f>
        <v/>
      </c>
      <c r="AT1091" s="563">
        <f>IF(ISBLANK(AT$1083),"N/A",IF(COUNTIFS(GD_Item_FiscalPeriod,AT$1083,GD_Item_Name,$B1091,GD_Update_Date,AT$1082)=0,"NR",SUMIFS(GD_Guidance_High,GD_Item_Name,$B1091,GD_Item_FiscalPeriod,AT$1083,GD_Update_Date,AT$1082)))</f>
        <v/>
      </c>
      <c r="AU1091" s="563">
        <f>IF(ISBLANK(AU$1083),"N/A",IF(COUNTIFS(GD_Item_FiscalPeriod,AU$1083,GD_Item_Name,$B1091,GD_Update_Date,AU$1082)=0,"NR",SUMIFS(GD_Guidance_High,GD_Item_Name,$B1091,GD_Item_FiscalPeriod,AU$1083,GD_Update_Date,AU$1082)))</f>
        <v/>
      </c>
      <c r="AV1091" s="563">
        <f>IF(ISBLANK(AV$1083),"N/A",IF(COUNTIFS(GD_Item_FiscalPeriod,AV$1083,GD_Item_Name,$B1091,GD_Update_Date,AV$1082)=0,"NR",SUMIFS(GD_Guidance_High,GD_Item_Name,$B1091,GD_Item_FiscalPeriod,AV$1083,GD_Update_Date,AV$1082)))</f>
        <v/>
      </c>
      <c r="AW1091" s="563">
        <f>IF(ISBLANK(AW$1083),"N/A",IF(COUNTIFS(GD_Item_FiscalPeriod,AW$1083,GD_Item_Name,$B1091,GD_Update_Date,AW$1082)=0,"NR",SUMIFS(GD_Guidance_High,GD_Item_Name,$B1091,GD_Item_FiscalPeriod,AW$1083,GD_Update_Date,AW$1082)))</f>
        <v/>
      </c>
      <c r="AX1091" s="563">
        <f>IF(ISBLANK(AX$1083),"N/A",IF(COUNTIFS(GD_Item_FiscalPeriod,AX$1083,GD_Item_Name,$B1091,GD_Update_Date,AX$1082)=0,"NR",SUMIFS(GD_Guidance_High,GD_Item_Name,$B1091,GD_Item_FiscalPeriod,AX$1083,GD_Update_Date,AX$1082)))</f>
        <v/>
      </c>
      <c r="AY1091" s="563">
        <f>IF(ISBLANK(AY$1083),"N/A",IF(COUNTIFS(GD_Item_FiscalPeriod,AY$1083,GD_Item_Name,$B1091,GD_Update_Date,AY$1082)=0,"NR",SUMIFS(GD_Guidance_High,GD_Item_Name,$B1091,GD_Item_FiscalPeriod,AY$1083,GD_Update_Date,AY$1082)))</f>
        <v/>
      </c>
      <c r="AZ1091" s="563">
        <f>IF(ISBLANK(AZ$1083),"N/A",IF(COUNTIFS(GD_Item_FiscalPeriod,AZ$1083,GD_Item_Name,$B1091,GD_Update_Date,AZ$1082)=0,"NR",SUMIFS(GD_Guidance_High,GD_Item_Name,$B1091,GD_Item_FiscalPeriod,AZ$1083,GD_Update_Date,AZ$1082)))</f>
        <v/>
      </c>
      <c r="BA1091" s="563">
        <f>IF(ISBLANK(BA$1083),"N/A",IF(COUNTIFS(GD_Item_FiscalPeriod,BA$1083,GD_Item_Name,$B1091,GD_Update_Date,BA$1082)=0,"NR",SUMIFS(GD_Guidance_High,GD_Item_Name,$B1091,GD_Item_FiscalPeriod,BA$1083,GD_Update_Date,BA$1082)))</f>
        <v/>
      </c>
      <c r="BB1091" s="563">
        <f>IF(ISBLANK(BB$1083),"N/A",IF(COUNTIFS(GD_Item_FiscalPeriod,BB$1083,GD_Item_Name,$B1091,GD_Update_Date,BB$1082)=0,"NR",SUMIFS(GD_Guidance_High,GD_Item_Name,$B1091,GD_Item_FiscalPeriod,BB$1083,GD_Update_Date,BB$1082)))</f>
        <v/>
      </c>
      <c r="BC1091" s="563">
        <f>IF(ISBLANK(BC$1083),"N/A",IF(COUNTIFS(GD_Item_FiscalPeriod,BC$1083,GD_Item_Name,$B1091,GD_Update_Date,BC$1082)=0,"NR",SUMIFS(GD_Guidance_High,GD_Item_Name,$B1091,GD_Item_FiscalPeriod,BC$1083,GD_Update_Date,BC$1082)))</f>
        <v/>
      </c>
      <c r="BD1091" s="563">
        <f>IF(ISBLANK(BD$1083),"N/A",IF(COUNTIFS(GD_Item_FiscalPeriod,BD$1083,GD_Item_Name,$B1091,GD_Update_Date,BD$1082)=0,"NR",SUMIFS(GD_Guidance_High,GD_Item_Name,$B1091,GD_Item_FiscalPeriod,BD$1083,GD_Update_Date,BD$1082)))</f>
        <v/>
      </c>
      <c r="BE1091" s="563">
        <f>IF(ISBLANK(BE$1083),"N/A",IF(COUNTIFS(GD_Item_FiscalPeriod,BE$1083,GD_Item_Name,$B1091,GD_Update_Date,BE$1082)=0,"NR",SUMIFS(GD_Guidance_High,GD_Item_Name,$B1091,GD_Item_FiscalPeriod,BE$1083,GD_Update_Date,BE$1082)))</f>
        <v/>
      </c>
      <c r="BF1091" s="563">
        <f>IF(ISBLANK(BF$1083),"N/A",IF(COUNTIFS(GD_Item_FiscalPeriod,BF$1083,GD_Item_Name,$B1091,GD_Update_Date,BF$1082)=0,"NR",SUMIFS(GD_Guidance_High,GD_Item_Name,$B1091,GD_Item_FiscalPeriod,BF$1083,GD_Update_Date,BF$1082)))</f>
        <v/>
      </c>
      <c r="BG1091" s="563">
        <f>IF(ISBLANK(BG$1083),"N/A",IF(COUNTIFS(GD_Item_FiscalPeriod,BG$1083,GD_Item_Name,$B1091,GD_Update_Date,BG$1082)=0,"NR",SUMIFS(GD_Guidance_High,GD_Item_Name,$B1091,GD_Item_FiscalPeriod,BG$1083,GD_Update_Date,BG$1082)))</f>
        <v/>
      </c>
      <c r="BH1091" s="563">
        <f>IF(ISBLANK(BH$1083),"N/A",IF(COUNTIFS(GD_Item_FiscalPeriod,BH$1083,GD_Item_Name,$B1091,GD_Update_Date,BH$1082)=0,"NR",SUMIFS(GD_Guidance_High,GD_Item_Name,$B1091,GD_Item_FiscalPeriod,BH$1083,GD_Update_Date,BH$1082)))</f>
        <v/>
      </c>
      <c r="BI1091" s="563">
        <f>IF(ISBLANK(BI$1083),"N/A",IF(COUNTIFS(GD_Item_FiscalPeriod,BI$1083,GD_Item_Name,$B1091,GD_Update_Date,BI$1082)=0,"NR",SUMIFS(GD_Guidance_High,GD_Item_Name,$B1091,GD_Item_FiscalPeriod,BI$1083,GD_Update_Date,BI$1082)))</f>
        <v/>
      </c>
      <c r="BJ1091" s="563">
        <f>IF(ISBLANK(BJ$1083),"N/A",IF(COUNTIFS(GD_Item_FiscalPeriod,BJ$1083,GD_Item_Name,$B1091,GD_Update_Date,BJ$1082)=0,"NR",SUMIFS(GD_Guidance_High,GD_Item_Name,$B1091,GD_Item_FiscalPeriod,BJ$1083,GD_Update_Date,BJ$1082)))</f>
        <v/>
      </c>
      <c r="BK1091" s="563">
        <f>IF(ISBLANK(BK$1083),"N/A",IF(COUNTIFS(GD_Item_FiscalPeriod,BK$1083,GD_Item_Name,$B1091,GD_Update_Date,BK$1082)=0,"NR",SUMIFS(GD_Guidance_High,GD_Item_Name,$B1091,GD_Item_FiscalPeriod,BK$1083,GD_Update_Date,BK$1082)))</f>
        <v/>
      </c>
      <c r="BL1091" s="563">
        <f>IF(ISBLANK(BL$1083),"N/A",IF(COUNTIFS(GD_Item_FiscalPeriod,BL$1083,GD_Item_Name,$B1091,GD_Update_Date,BL$1082)=0,"NR",SUMIFS(GD_Guidance_High,GD_Item_Name,$B1091,GD_Item_FiscalPeriod,BL$1083,GD_Update_Date,BL$1082)))</f>
        <v/>
      </c>
      <c r="BM1091" s="563">
        <f>IF(ISBLANK(BM$1083),"N/A",IF(COUNTIFS(GD_Item_FiscalPeriod,BM$1083,GD_Item_Name,$B1091,GD_Update_Date,BM$1082)=0,"NR",SUMIFS(GD_Guidance_High,GD_Item_Name,$B1091,GD_Item_FiscalPeriod,BM$1083,GD_Update_Date,BM$1082)))</f>
        <v/>
      </c>
      <c r="BN1091" s="563">
        <f>IF(ISBLANK(BN$1083),"N/A",IF(COUNTIFS(GD_Item_FiscalPeriod,BN$1083,GD_Item_Name,$B1091,GD_Update_Date,BN$1082)=0,"NR",SUMIFS(GD_Guidance_High,GD_Item_Name,$B1091,GD_Item_FiscalPeriod,BN$1083,GD_Update_Date,BN$1082)))</f>
        <v/>
      </c>
      <c r="BO1091" s="563">
        <f>IF(ISBLANK(BO$1083),"N/A",IF(COUNTIFS(GD_Item_FiscalPeriod,BO$1083,GD_Item_Name,$B1091,GD_Update_Date,BO$1082)=0,"NR",SUMIFS(GD_Guidance_High,GD_Item_Name,$B1091,GD_Item_FiscalPeriod,BO$1083,GD_Update_Date,BO$1082)))</f>
        <v/>
      </c>
      <c r="BP1091" s="563">
        <f>IF(ISBLANK(BP$1083),"N/A",IF(COUNTIFS(GD_Item_FiscalPeriod,BP$1083,GD_Item_Name,$B1091,GD_Update_Date,BP$1082)=0,"NR",SUMIFS(GD_Guidance_High,GD_Item_Name,$B1091,GD_Item_FiscalPeriod,BP$1083,GD_Update_Date,BP$1082)))</f>
        <v/>
      </c>
      <c r="BQ1091" s="563">
        <f>IF(ISBLANK(BQ$1083),"N/A",IF(COUNTIFS(GD_Item_FiscalPeriod,BQ$1083,GD_Item_Name,$B1091,GD_Update_Date,BQ$1082)=0,"NR",SUMIFS(GD_Guidance_High,GD_Item_Name,$B1091,GD_Item_FiscalPeriod,BQ$1083,GD_Update_Date,BQ$1082)))</f>
        <v/>
      </c>
      <c r="BR1091" s="563">
        <f>IF(ISBLANK(BR$1083),"N/A",IF(COUNTIFS(GD_Item_FiscalPeriod,BR$1083,GD_Item_Name,$B1091,GD_Update_Date,BR$1082)=0,"NR",SUMIFS(GD_Guidance_High,GD_Item_Name,$B1091,GD_Item_FiscalPeriod,BR$1083,GD_Update_Date,BR$1082)))</f>
        <v/>
      </c>
      <c r="BS1091" s="563">
        <f>IF(ISBLANK(BS$1083),"N/A",IF(COUNTIFS(GD_Item_FiscalPeriod,BS$1083,GD_Item_Name,$B1091,GD_Update_Date,BS$1082)=0,"NR",SUMIFS(GD_Guidance_High,GD_Item_Name,$B1091,GD_Item_FiscalPeriod,BS$1083,GD_Update_Date,BS$1082)))</f>
        <v/>
      </c>
      <c r="BT1091" s="563">
        <f>IF(ISBLANK(BT$1083),"N/A",IF(COUNTIFS(GD_Item_FiscalPeriod,BT$1083,GD_Item_Name,$B1091,GD_Update_Date,BT$1082)=0,"NR",SUMIFS(GD_Guidance_High,GD_Item_Name,$B1091,GD_Item_FiscalPeriod,BT$1083,GD_Update_Date,BT$1082)))</f>
        <v/>
      </c>
      <c r="BU1091" s="563">
        <f>IF(ISBLANK(BU$1083),"N/A",IF(COUNTIFS(GD_Item_FiscalPeriod,BU$1083,GD_Item_Name,$B1091,GD_Update_Date,BU$1082)=0,"NR",SUMIFS(GD_Guidance_High,GD_Item_Name,$B1091,GD_Item_FiscalPeriod,BU$1083,GD_Update_Date,BU$1082)))</f>
        <v/>
      </c>
      <c r="BV1091" s="731">
        <f>IF(ISBLANK(BV$1083),"N/A",IF(COUNTIFS(GD_Item_FiscalPeriod,BV$1083,GD_Item_Name,$B1091,GD_Update_Date,BV$1082)=0,"NR",SUMIFS(GD_Guidance_High,GD_Item_Name,$B1091,GD_Item_FiscalPeriod,BV$1083,GD_Update_Date,BV$1082)))</f>
        <v/>
      </c>
      <c r="BW1091" s="563">
        <f>IF(ISBLANK(BW$1083),"N/A",IF(COUNTIFS(GD_Item_FiscalPeriod,BW$1083,GD_Item_Name,$B1091,GD_Update_Date,BW$1082)=0,"NR",SUMIFS(GD_Guidance_High,GD_Item_Name,$B1091,GD_Item_FiscalPeriod,BW$1083,GD_Update_Date,BW$1082)))</f>
        <v/>
      </c>
      <c r="BX1091" s="563">
        <f>IF(ISBLANK(BX$1083),"N/A",IF(COUNTIFS(GD_Item_FiscalPeriod,BX$1083,GD_Item_Name,$B1091,GD_Update_Date,BX$1082)=0,"NR",SUMIFS(GD_Guidance_High,GD_Item_Name,$B1091,GD_Item_FiscalPeriod,BX$1083,GD_Update_Date,BX$1082)))</f>
        <v/>
      </c>
      <c r="BY1091" s="563">
        <f>IF(ISBLANK(BY$1083),"N/A",IF(COUNTIFS(GD_Item_FiscalPeriod,BY$1083,GD_Item_Name,$B1091,GD_Update_Date,BY$1082)=0,"NR",SUMIFS(GD_Guidance_High,GD_Item_Name,$B1091,GD_Item_FiscalPeriod,BY$1083,GD_Update_Date,BY$1082)))</f>
        <v/>
      </c>
      <c r="BZ1091" s="563">
        <f>IF(ISBLANK(BZ$1083),"N/A",IF(COUNTIFS(GD_Item_FiscalPeriod,BZ$1083,GD_Item_Name,$B1091,GD_Update_Date,BZ$1082)=0,"NR",SUMIFS(GD_Guidance_High,GD_Item_Name,$B1091,GD_Item_FiscalPeriod,BZ$1083,GD_Update_Date,BZ$1082)))</f>
        <v/>
      </c>
      <c r="CA1091" s="563">
        <f>IF(ISBLANK(CA$1083),"N/A",IF(COUNTIFS(GD_Item_FiscalPeriod,CA$1083,GD_Item_Name,$B1091,GD_Update_Date,CA$1082)=0,"NR",SUMIFS(GD_Guidance_High,GD_Item_Name,$B1091,GD_Item_FiscalPeriod,CA$1083,GD_Update_Date,CA$1082)))</f>
        <v/>
      </c>
      <c r="CB1091" s="563">
        <f>IF(ISBLANK(CB$1083),"N/A",IF(COUNTIFS(GD_Item_FiscalPeriod,CB$1083,GD_Item_Name,$B1091,GD_Update_Date,CB$1082)=0,"NR",SUMIFS(GD_Guidance_High,GD_Item_Name,$B1091,GD_Item_FiscalPeriod,CB$1083,GD_Update_Date,CB$1082)))</f>
        <v/>
      </c>
      <c r="CC1091" s="563">
        <f>IF(ISBLANK(CC$1083),"N/A",IF(COUNTIFS(GD_Item_FiscalPeriod,CC$1083,GD_Item_Name,$B1091,GD_Update_Date,CC$1082)=0,"NR",SUMIFS(GD_Guidance_High,GD_Item_Name,$B1091,GD_Item_FiscalPeriod,CC$1083,GD_Update_Date,CC$1082)))</f>
        <v/>
      </c>
      <c r="CD1091" s="563">
        <f>IF(ISBLANK(CD$1083),"N/A",IF(COUNTIFS(GD_Item_FiscalPeriod,CD$1083,GD_Item_Name,$B1091,GD_Update_Date,CD$1082)=0,"NR",SUMIFS(GD_Guidance_High,GD_Item_Name,$B1091,GD_Item_FiscalPeriod,CD$1083,GD_Update_Date,CD$1082)))</f>
        <v/>
      </c>
      <c r="CE1091" s="563">
        <f>IF(ISBLANK(CE$1083),"N/A",IF(COUNTIFS(GD_Item_FiscalPeriod,CE$1083,GD_Item_Name,$B1091,GD_Update_Date,CE$1082)=0,"NR",SUMIFS(GD_Guidance_High,GD_Item_Name,$B1091,GD_Item_FiscalPeriod,CE$1083,GD_Update_Date,CE$1082)))</f>
        <v/>
      </c>
      <c r="CF1091" s="794">
        <f>IF(ISBLANK(CF$1083),"N/A",IF(COUNTIFS(GD_Item_FiscalPeriod,CF$1083,GD_Item_Name,$B1091,GD_Update_Date,CF$1082)=0,"NR",SUMIFS(GD_Guidance_High,GD_Item_Name,$B1091,GD_Item_FiscalPeriod,CF$1083,GD_Update_Date,CF$1082)))</f>
        <v/>
      </c>
      <c r="CG1091" s="155" t="n"/>
    </row>
    <row r="1092">
      <c r="A1092" s="793" t="inlineStr">
        <is>
          <t>Mid - Total Non-GAAP Operating Expenses, mm</t>
        </is>
      </c>
      <c r="B1092" s="1053" t="inlineStr">
        <is>
          <t>MO_OS_OPEX</t>
        </is>
      </c>
      <c r="C1092" s="1006" t="n"/>
      <c r="D1092" s="1006" t="n"/>
      <c r="E1092" s="563" t="n"/>
      <c r="F1092" s="563" t="n"/>
      <c r="G1092" s="563" t="n"/>
      <c r="H1092" s="563" t="n"/>
      <c r="I1092" s="563" t="n"/>
      <c r="J1092" s="563" t="n"/>
      <c r="K1092" s="563" t="n"/>
      <c r="L1092" s="563" t="n"/>
      <c r="M1092" s="563" t="n"/>
      <c r="N1092" s="563" t="n"/>
      <c r="O1092" s="563" t="n"/>
      <c r="P1092" s="563" t="n"/>
      <c r="Q1092" s="563" t="n"/>
      <c r="R1092" s="563" t="n"/>
      <c r="S1092" s="563" t="n"/>
      <c r="T1092" s="563" t="n"/>
      <c r="U1092" s="563" t="n"/>
      <c r="V1092" s="563" t="n"/>
      <c r="W1092" s="563" t="n"/>
      <c r="X1092" s="563" t="n"/>
      <c r="Y1092" s="563" t="n"/>
      <c r="Z1092" s="563" t="n"/>
      <c r="AA1092" s="563" t="n"/>
      <c r="AB1092" s="563" t="n"/>
      <c r="AC1092" s="563" t="n"/>
      <c r="AD1092" s="563" t="n"/>
      <c r="AE1092" s="563" t="n"/>
      <c r="AF1092" s="563" t="n"/>
      <c r="AG1092" s="563" t="n"/>
      <c r="AH1092" s="563">
        <f>IF(ISBLANK(AH$1083),"N/A",IF(COUNTIFS(GD_Item_FiscalPeriod,AH$1083,GD_Item_Name,$B1092,GD_Update_Date,AH$1082)=0,"NR",SUMIFS(GD_Guidance_Mid,GD_Item_Name,$B1092,GD_Item_FiscalPeriod,AH$1083,GD_Update_Date,AH$1082)))</f>
        <v/>
      </c>
      <c r="AI1092" s="563">
        <f>IF(ISBLANK(AI$1083),"N/A",IF(COUNTIFS(GD_Item_FiscalPeriod,AI$1083,GD_Item_Name,$B1092,GD_Update_Date,AI$1082)=0,"NR",SUMIFS(GD_Guidance_Mid,GD_Item_Name,$B1092,GD_Item_FiscalPeriod,AI$1083,GD_Update_Date,AI$1082)))</f>
        <v/>
      </c>
      <c r="AJ1092" s="563">
        <f>IF(ISBLANK(AJ$1083),"N/A",IF(COUNTIFS(GD_Item_FiscalPeriod,AJ$1083,GD_Item_Name,$B1092,GD_Update_Date,AJ$1082)=0,"NR",SUMIFS(GD_Guidance_Mid,GD_Item_Name,$B1092,GD_Item_FiscalPeriod,AJ$1083,GD_Update_Date,AJ$1082)))</f>
        <v/>
      </c>
      <c r="AK1092" s="563">
        <f>IF(ISBLANK(AK$1083),"N/A",IF(COUNTIFS(GD_Item_FiscalPeriod,AK$1083,GD_Item_Name,$B1092,GD_Update_Date,AK$1082)=0,"NR",SUMIFS(GD_Guidance_Mid,GD_Item_Name,$B1092,GD_Item_FiscalPeriod,AK$1083,GD_Update_Date,AK$1082)))</f>
        <v/>
      </c>
      <c r="AL1092" s="563">
        <f>IF(ISBLANK(AL$1083),"N/A",IF(COUNTIFS(GD_Item_FiscalPeriod,AL$1083,GD_Item_Name,$B1092,GD_Update_Date,AL$1082)=0,"NR",SUMIFS(GD_Guidance_Mid,GD_Item_Name,$B1092,GD_Item_FiscalPeriod,AL$1083,GD_Update_Date,AL$1082)))</f>
        <v/>
      </c>
      <c r="AM1092" s="563">
        <f>IF(ISBLANK(AM$1083),"N/A",IF(COUNTIFS(GD_Item_FiscalPeriod,AM$1083,GD_Item_Name,$B1092,GD_Update_Date,AM$1082)=0,"NR",SUMIFS(GD_Guidance_Mid,GD_Item_Name,$B1092,GD_Item_FiscalPeriod,AM$1083,GD_Update_Date,AM$1082)))</f>
        <v/>
      </c>
      <c r="AN1092" s="563">
        <f>IF(ISBLANK(AN$1083),"N/A",IF(COUNTIFS(GD_Item_FiscalPeriod,AN$1083,GD_Item_Name,$B1092,GD_Update_Date,AN$1082)=0,"NR",SUMIFS(GD_Guidance_Mid,GD_Item_Name,$B1092,GD_Item_FiscalPeriod,AN$1083,GD_Update_Date,AN$1082)))</f>
        <v/>
      </c>
      <c r="AO1092" s="563">
        <f>IF(ISBLANK(AO$1083),"N/A",IF(COUNTIFS(GD_Item_FiscalPeriod,AO$1083,GD_Item_Name,$B1092,GD_Update_Date,AO$1082)=0,"NR",SUMIFS(GD_Guidance_Mid,GD_Item_Name,$B1092,GD_Item_FiscalPeriod,AO$1083,GD_Update_Date,AO$1082)))</f>
        <v/>
      </c>
      <c r="AP1092" s="563">
        <f>IF(ISBLANK(AP$1083),"N/A",IF(COUNTIFS(GD_Item_FiscalPeriod,AP$1083,GD_Item_Name,$B1092,GD_Update_Date,AP$1082)=0,"NR",SUMIFS(GD_Guidance_Mid,GD_Item_Name,$B1092,GD_Item_FiscalPeriod,AP$1083,GD_Update_Date,AP$1082)))</f>
        <v/>
      </c>
      <c r="AQ1092" s="563">
        <f>IF(ISBLANK(AQ$1083),"N/A",IF(COUNTIFS(GD_Item_FiscalPeriod,AQ$1083,GD_Item_Name,$B1092,GD_Update_Date,AQ$1082)=0,"NR",SUMIFS(GD_Guidance_Mid,GD_Item_Name,$B1092,GD_Item_FiscalPeriod,AQ$1083,GD_Update_Date,AQ$1082)))</f>
        <v/>
      </c>
      <c r="AR1092" s="563">
        <f>IF(ISBLANK(AR$1083),"N/A",IF(COUNTIFS(GD_Item_FiscalPeriod,AR$1083,GD_Item_Name,$B1092,GD_Update_Date,AR$1082)=0,"NR",SUMIFS(GD_Guidance_Mid,GD_Item_Name,$B1092,GD_Item_FiscalPeriod,AR$1083,GD_Update_Date,AR$1082)))</f>
        <v/>
      </c>
      <c r="AS1092" s="563">
        <f>IF(ISBLANK(AS$1083),"N/A",IF(COUNTIFS(GD_Item_FiscalPeriod,AS$1083,GD_Item_Name,$B1092,GD_Update_Date,AS$1082)=0,"NR",SUMIFS(GD_Guidance_Mid,GD_Item_Name,$B1092,GD_Item_FiscalPeriod,AS$1083,GD_Update_Date,AS$1082)))</f>
        <v/>
      </c>
      <c r="AT1092" s="563">
        <f>IF(ISBLANK(AT$1083),"N/A",IF(COUNTIFS(GD_Item_FiscalPeriod,AT$1083,GD_Item_Name,$B1092,GD_Update_Date,AT$1082)=0,"NR",SUMIFS(GD_Guidance_Mid,GD_Item_Name,$B1092,GD_Item_FiscalPeriod,AT$1083,GD_Update_Date,AT$1082)))</f>
        <v/>
      </c>
      <c r="AU1092" s="563">
        <f>IF(ISBLANK(AU$1083),"N/A",IF(COUNTIFS(GD_Item_FiscalPeriod,AU$1083,GD_Item_Name,$B1092,GD_Update_Date,AU$1082)=0,"NR",SUMIFS(GD_Guidance_Mid,GD_Item_Name,$B1092,GD_Item_FiscalPeriod,AU$1083,GD_Update_Date,AU$1082)))</f>
        <v/>
      </c>
      <c r="AV1092" s="563">
        <f>IF(ISBLANK(AV$1083),"N/A",IF(COUNTIFS(GD_Item_FiscalPeriod,AV$1083,GD_Item_Name,$B1092,GD_Update_Date,AV$1082)=0,"NR",SUMIFS(GD_Guidance_Mid,GD_Item_Name,$B1092,GD_Item_FiscalPeriod,AV$1083,GD_Update_Date,AV$1082)))</f>
        <v/>
      </c>
      <c r="AW1092" s="563">
        <f>IF(ISBLANK(AW$1083),"N/A",IF(COUNTIFS(GD_Item_FiscalPeriod,AW$1083,GD_Item_Name,$B1092,GD_Update_Date,AW$1082)=0,"NR",SUMIFS(GD_Guidance_Mid,GD_Item_Name,$B1092,GD_Item_FiscalPeriod,AW$1083,GD_Update_Date,AW$1082)))</f>
        <v/>
      </c>
      <c r="AX1092" s="563">
        <f>IF(ISBLANK(AX$1083),"N/A",IF(COUNTIFS(GD_Item_FiscalPeriod,AX$1083,GD_Item_Name,$B1092,GD_Update_Date,AX$1082)=0,"NR",SUMIFS(GD_Guidance_Mid,GD_Item_Name,$B1092,GD_Item_FiscalPeriod,AX$1083,GD_Update_Date,AX$1082)))</f>
        <v/>
      </c>
      <c r="AY1092" s="563">
        <f>IF(ISBLANK(AY$1083),"N/A",IF(COUNTIFS(GD_Item_FiscalPeriod,AY$1083,GD_Item_Name,$B1092,GD_Update_Date,AY$1082)=0,"NR",SUMIFS(GD_Guidance_Mid,GD_Item_Name,$B1092,GD_Item_FiscalPeriod,AY$1083,GD_Update_Date,AY$1082)))</f>
        <v/>
      </c>
      <c r="AZ1092" s="563">
        <f>IF(ISBLANK(AZ$1083),"N/A",IF(COUNTIFS(GD_Item_FiscalPeriod,AZ$1083,GD_Item_Name,$B1092,GD_Update_Date,AZ$1082)=0,"NR",SUMIFS(GD_Guidance_Mid,GD_Item_Name,$B1092,GD_Item_FiscalPeriod,AZ$1083,GD_Update_Date,AZ$1082)))</f>
        <v/>
      </c>
      <c r="BA1092" s="563">
        <f>IF(ISBLANK(BA$1083),"N/A",IF(COUNTIFS(GD_Item_FiscalPeriod,BA$1083,GD_Item_Name,$B1092,GD_Update_Date,BA$1082)=0,"NR",SUMIFS(GD_Guidance_Mid,GD_Item_Name,$B1092,GD_Item_FiscalPeriod,BA$1083,GD_Update_Date,BA$1082)))</f>
        <v/>
      </c>
      <c r="BB1092" s="563">
        <f>IF(ISBLANK(BB$1083),"N/A",IF(COUNTIFS(GD_Item_FiscalPeriod,BB$1083,GD_Item_Name,$B1092,GD_Update_Date,BB$1082)=0,"NR",SUMIFS(GD_Guidance_Mid,GD_Item_Name,$B1092,GD_Item_FiscalPeriod,BB$1083,GD_Update_Date,BB$1082)))</f>
        <v/>
      </c>
      <c r="BC1092" s="563">
        <f>IF(ISBLANK(BC$1083),"N/A",IF(COUNTIFS(GD_Item_FiscalPeriod,BC$1083,GD_Item_Name,$B1092,GD_Update_Date,BC$1082)=0,"NR",SUMIFS(GD_Guidance_Mid,GD_Item_Name,$B1092,GD_Item_FiscalPeriod,BC$1083,GD_Update_Date,BC$1082)))</f>
        <v/>
      </c>
      <c r="BD1092" s="563">
        <f>IF(ISBLANK(BD$1083),"N/A",IF(COUNTIFS(GD_Item_FiscalPeriod,BD$1083,GD_Item_Name,$B1092,GD_Update_Date,BD$1082)=0,"NR",SUMIFS(GD_Guidance_Mid,GD_Item_Name,$B1092,GD_Item_FiscalPeriod,BD$1083,GD_Update_Date,BD$1082)))</f>
        <v/>
      </c>
      <c r="BE1092" s="563">
        <f>IF(ISBLANK(BE$1083),"N/A",IF(COUNTIFS(GD_Item_FiscalPeriod,BE$1083,GD_Item_Name,$B1092,GD_Update_Date,BE$1082)=0,"NR",SUMIFS(GD_Guidance_Mid,GD_Item_Name,$B1092,GD_Item_FiscalPeriod,BE$1083,GD_Update_Date,BE$1082)))</f>
        <v/>
      </c>
      <c r="BF1092" s="563">
        <f>IF(ISBLANK(BF$1083),"N/A",IF(COUNTIFS(GD_Item_FiscalPeriod,BF$1083,GD_Item_Name,$B1092,GD_Update_Date,BF$1082)=0,"NR",SUMIFS(GD_Guidance_Mid,GD_Item_Name,$B1092,GD_Item_FiscalPeriod,BF$1083,GD_Update_Date,BF$1082)))</f>
        <v/>
      </c>
      <c r="BG1092" s="563">
        <f>IF(ISBLANK(BG$1083),"N/A",IF(COUNTIFS(GD_Item_FiscalPeriod,BG$1083,GD_Item_Name,$B1092,GD_Update_Date,BG$1082)=0,"NR",SUMIFS(GD_Guidance_Mid,GD_Item_Name,$B1092,GD_Item_FiscalPeriod,BG$1083,GD_Update_Date,BG$1082)))</f>
        <v/>
      </c>
      <c r="BH1092" s="563">
        <f>IF(ISBLANK(BH$1083),"N/A",IF(COUNTIFS(GD_Item_FiscalPeriod,BH$1083,GD_Item_Name,$B1092,GD_Update_Date,BH$1082)=0,"NR",SUMIFS(GD_Guidance_Mid,GD_Item_Name,$B1092,GD_Item_FiscalPeriod,BH$1083,GD_Update_Date,BH$1082)))</f>
        <v/>
      </c>
      <c r="BI1092" s="563">
        <f>IF(ISBLANK(BI$1083),"N/A",IF(COUNTIFS(GD_Item_FiscalPeriod,BI$1083,GD_Item_Name,$B1092,GD_Update_Date,BI$1082)=0,"NR",SUMIFS(GD_Guidance_Mid,GD_Item_Name,$B1092,GD_Item_FiscalPeriod,BI$1083,GD_Update_Date,BI$1082)))</f>
        <v/>
      </c>
      <c r="BJ1092" s="563">
        <f>IF(ISBLANK(BJ$1083),"N/A",IF(COUNTIFS(GD_Item_FiscalPeriod,BJ$1083,GD_Item_Name,$B1092,GD_Update_Date,BJ$1082)=0,"NR",SUMIFS(GD_Guidance_Mid,GD_Item_Name,$B1092,GD_Item_FiscalPeriod,BJ$1083,GD_Update_Date,BJ$1082)))</f>
        <v/>
      </c>
      <c r="BK1092" s="563">
        <f>IF(ISBLANK(BK$1083),"N/A",IF(COUNTIFS(GD_Item_FiscalPeriod,BK$1083,GD_Item_Name,$B1092,GD_Update_Date,BK$1082)=0,"NR",SUMIFS(GD_Guidance_Mid,GD_Item_Name,$B1092,GD_Item_FiscalPeriod,BK$1083,GD_Update_Date,BK$1082)))</f>
        <v/>
      </c>
      <c r="BL1092" s="563">
        <f>IF(ISBLANK(BL$1083),"N/A",IF(COUNTIFS(GD_Item_FiscalPeriod,BL$1083,GD_Item_Name,$B1092,GD_Update_Date,BL$1082)=0,"NR",SUMIFS(GD_Guidance_Mid,GD_Item_Name,$B1092,GD_Item_FiscalPeriod,BL$1083,GD_Update_Date,BL$1082)))</f>
        <v/>
      </c>
      <c r="BM1092" s="563">
        <f>IF(ISBLANK(BM$1083),"N/A",IF(COUNTIFS(GD_Item_FiscalPeriod,BM$1083,GD_Item_Name,$B1092,GD_Update_Date,BM$1082)=0,"NR",SUMIFS(GD_Guidance_Mid,GD_Item_Name,$B1092,GD_Item_FiscalPeriod,BM$1083,GD_Update_Date,BM$1082)))</f>
        <v/>
      </c>
      <c r="BN1092" s="563">
        <f>IF(ISBLANK(BN$1083),"N/A",IF(COUNTIFS(GD_Item_FiscalPeriod,BN$1083,GD_Item_Name,$B1092,GD_Update_Date,BN$1082)=0,"NR",SUMIFS(GD_Guidance_Mid,GD_Item_Name,$B1092,GD_Item_FiscalPeriod,BN$1083,GD_Update_Date,BN$1082)))</f>
        <v/>
      </c>
      <c r="BO1092" s="563">
        <f>IF(ISBLANK(BO$1083),"N/A",IF(COUNTIFS(GD_Item_FiscalPeriod,BO$1083,GD_Item_Name,$B1092,GD_Update_Date,BO$1082)=0,"NR",SUMIFS(GD_Guidance_Mid,GD_Item_Name,$B1092,GD_Item_FiscalPeriod,BO$1083,GD_Update_Date,BO$1082)))</f>
        <v/>
      </c>
      <c r="BP1092" s="563">
        <f>IF(ISBLANK(BP$1083),"N/A",IF(COUNTIFS(GD_Item_FiscalPeriod,BP$1083,GD_Item_Name,$B1092,GD_Update_Date,BP$1082)=0,"NR",SUMIFS(GD_Guidance_Mid,GD_Item_Name,$B1092,GD_Item_FiscalPeriod,BP$1083,GD_Update_Date,BP$1082)))</f>
        <v/>
      </c>
      <c r="BQ1092" s="563">
        <f>IF(ISBLANK(BQ$1083),"N/A",IF(COUNTIFS(GD_Item_FiscalPeriod,BQ$1083,GD_Item_Name,$B1092,GD_Update_Date,BQ$1082)=0,"NR",SUMIFS(GD_Guidance_Mid,GD_Item_Name,$B1092,GD_Item_FiscalPeriod,BQ$1083,GD_Update_Date,BQ$1082)))</f>
        <v/>
      </c>
      <c r="BR1092" s="563">
        <f>IF(ISBLANK(BR$1083),"N/A",IF(COUNTIFS(GD_Item_FiscalPeriod,BR$1083,GD_Item_Name,$B1092,GD_Update_Date,BR$1082)=0,"NR",SUMIFS(GD_Guidance_Mid,GD_Item_Name,$B1092,GD_Item_FiscalPeriod,BR$1083,GD_Update_Date,BR$1082)))</f>
        <v/>
      </c>
      <c r="BS1092" s="563">
        <f>IF(ISBLANK(BS$1083),"N/A",IF(COUNTIFS(GD_Item_FiscalPeriod,BS$1083,GD_Item_Name,$B1092,GD_Update_Date,BS$1082)=0,"NR",SUMIFS(GD_Guidance_Mid,GD_Item_Name,$B1092,GD_Item_FiscalPeriod,BS$1083,GD_Update_Date,BS$1082)))</f>
        <v/>
      </c>
      <c r="BT1092" s="563">
        <f>IF(ISBLANK(BT$1083),"N/A",IF(COUNTIFS(GD_Item_FiscalPeriod,BT$1083,GD_Item_Name,$B1092,GD_Update_Date,BT$1082)=0,"NR",SUMIFS(GD_Guidance_Mid,GD_Item_Name,$B1092,GD_Item_FiscalPeriod,BT$1083,GD_Update_Date,BT$1082)))</f>
        <v/>
      </c>
      <c r="BU1092" s="563">
        <f>IF(ISBLANK(BU$1083),"N/A",IF(COUNTIFS(GD_Item_FiscalPeriod,BU$1083,GD_Item_Name,$B1092,GD_Update_Date,BU$1082)=0,"NR",SUMIFS(GD_Guidance_Mid,GD_Item_Name,$B1092,GD_Item_FiscalPeriod,BU$1083,GD_Update_Date,BU$1082)))</f>
        <v/>
      </c>
      <c r="BV1092" s="731">
        <f>IF(ISBLANK(BV$1083),"N/A",IF(COUNTIFS(GD_Item_FiscalPeriod,BV$1083,GD_Item_Name,$B1092,GD_Update_Date,BV$1082)=0,"NR",SUMIFS(GD_Guidance_Mid,GD_Item_Name,$B1092,GD_Item_FiscalPeriod,BV$1083,GD_Update_Date,BV$1082)))</f>
        <v/>
      </c>
      <c r="BW1092" s="563">
        <f>IF(ISBLANK(BW$1083),"N/A",IF(COUNTIFS(GD_Item_FiscalPeriod,BW$1083,GD_Item_Name,$B1092,GD_Update_Date,BW$1082)=0,"NR",SUMIFS(GD_Guidance_Mid,GD_Item_Name,$B1092,GD_Item_FiscalPeriod,BW$1083,GD_Update_Date,BW$1082)))</f>
        <v/>
      </c>
      <c r="BX1092" s="563">
        <f>IF(ISBLANK(BX$1083),"N/A",IF(COUNTIFS(GD_Item_FiscalPeriod,BX$1083,GD_Item_Name,$B1092,GD_Update_Date,BX$1082)=0,"NR",SUMIFS(GD_Guidance_Mid,GD_Item_Name,$B1092,GD_Item_FiscalPeriod,BX$1083,GD_Update_Date,BX$1082)))</f>
        <v/>
      </c>
      <c r="BY1092" s="563">
        <f>IF(ISBLANK(BY$1083),"N/A",IF(COUNTIFS(GD_Item_FiscalPeriod,BY$1083,GD_Item_Name,$B1092,GD_Update_Date,BY$1082)=0,"NR",SUMIFS(GD_Guidance_Mid,GD_Item_Name,$B1092,GD_Item_FiscalPeriod,BY$1083,GD_Update_Date,BY$1082)))</f>
        <v/>
      </c>
      <c r="BZ1092" s="563">
        <f>IF(ISBLANK(BZ$1083),"N/A",IF(COUNTIFS(GD_Item_FiscalPeriod,BZ$1083,GD_Item_Name,$B1092,GD_Update_Date,BZ$1082)=0,"NR",SUMIFS(GD_Guidance_Mid,GD_Item_Name,$B1092,GD_Item_FiscalPeriod,BZ$1083,GD_Update_Date,BZ$1082)))</f>
        <v/>
      </c>
      <c r="CA1092" s="563">
        <f>IF(ISBLANK(CA$1083),"N/A",IF(COUNTIFS(GD_Item_FiscalPeriod,CA$1083,GD_Item_Name,$B1092,GD_Update_Date,CA$1082)=0,"NR",SUMIFS(GD_Guidance_Mid,GD_Item_Name,$B1092,GD_Item_FiscalPeriod,CA$1083,GD_Update_Date,CA$1082)))</f>
        <v/>
      </c>
      <c r="CB1092" s="563">
        <f>IF(ISBLANK(CB$1083),"N/A",IF(COUNTIFS(GD_Item_FiscalPeriod,CB$1083,GD_Item_Name,$B1092,GD_Update_Date,CB$1082)=0,"NR",SUMIFS(GD_Guidance_Mid,GD_Item_Name,$B1092,GD_Item_FiscalPeriod,CB$1083,GD_Update_Date,CB$1082)))</f>
        <v/>
      </c>
      <c r="CC1092" s="563">
        <f>IF(ISBLANK(CC$1083),"N/A",IF(COUNTIFS(GD_Item_FiscalPeriod,CC$1083,GD_Item_Name,$B1092,GD_Update_Date,CC$1082)=0,"NR",SUMIFS(GD_Guidance_Mid,GD_Item_Name,$B1092,GD_Item_FiscalPeriod,CC$1083,GD_Update_Date,CC$1082)))</f>
        <v/>
      </c>
      <c r="CD1092" s="563">
        <f>IF(ISBLANK(CD$1083),"N/A",IF(COUNTIFS(GD_Item_FiscalPeriod,CD$1083,GD_Item_Name,$B1092,GD_Update_Date,CD$1082)=0,"NR",SUMIFS(GD_Guidance_Mid,GD_Item_Name,$B1092,GD_Item_FiscalPeriod,CD$1083,GD_Update_Date,CD$1082)))</f>
        <v/>
      </c>
      <c r="CE1092" s="563">
        <f>IF(ISBLANK(CE$1083),"N/A",IF(COUNTIFS(GD_Item_FiscalPeriod,CE$1083,GD_Item_Name,$B1092,GD_Update_Date,CE$1082)=0,"NR",SUMIFS(GD_Guidance_Mid,GD_Item_Name,$B1092,GD_Item_FiscalPeriod,CE$1083,GD_Update_Date,CE$1082)))</f>
        <v/>
      </c>
      <c r="CF1092" s="794">
        <f>IF(ISBLANK(CF$1083),"N/A",IF(COUNTIFS(GD_Item_FiscalPeriod,CF$1083,GD_Item_Name,$B1092,GD_Update_Date,CF$1082)=0,"NR",SUMIFS(GD_Guidance_Mid,GD_Item_Name,$B1092,GD_Item_FiscalPeriod,CF$1083,GD_Update_Date,CF$1082)))</f>
        <v/>
      </c>
      <c r="CG1092" s="155" t="n"/>
    </row>
    <row r="1093">
      <c r="A1093" s="793" t="inlineStr">
        <is>
          <t>Low - Capex, mm</t>
        </is>
      </c>
      <c r="B1093" s="1053" t="inlineStr">
        <is>
          <t>MO_CFSum_Capex</t>
        </is>
      </c>
      <c r="C1093" s="1006" t="n"/>
      <c r="D1093" s="1006" t="n"/>
      <c r="E1093" s="563" t="n"/>
      <c r="F1093" s="563" t="n"/>
      <c r="G1093" s="563" t="n"/>
      <c r="H1093" s="563" t="n"/>
      <c r="I1093" s="563" t="n"/>
      <c r="J1093" s="563" t="n"/>
      <c r="K1093" s="563" t="n"/>
      <c r="L1093" s="563" t="n"/>
      <c r="M1093" s="563" t="n"/>
      <c r="N1093" s="563" t="n"/>
      <c r="O1093" s="563" t="n"/>
      <c r="P1093" s="563" t="n"/>
      <c r="Q1093" s="563" t="n"/>
      <c r="R1093" s="563" t="n"/>
      <c r="S1093" s="563" t="n"/>
      <c r="T1093" s="563" t="n"/>
      <c r="U1093" s="563" t="n"/>
      <c r="V1093" s="563" t="n"/>
      <c r="W1093" s="563" t="n"/>
      <c r="X1093" s="563" t="n"/>
      <c r="Y1093" s="563" t="n"/>
      <c r="Z1093" s="563" t="n"/>
      <c r="AA1093" s="563" t="n"/>
      <c r="AB1093" s="563" t="n"/>
      <c r="AC1093" s="563" t="n"/>
      <c r="AD1093" s="563" t="n"/>
      <c r="AE1093" s="563" t="n"/>
      <c r="AF1093" s="563" t="n"/>
      <c r="AG1093" s="563" t="n"/>
      <c r="AH1093" s="563">
        <f>IF(ISBLANK(AH$1083),"N/A",IF(COUNTIFS(GD_Item_FiscalPeriod,AH$1083,GD_Item_Name,$B1093,GD_Update_Date,AH$1082)=0,"NR",SUMIFS(GD_Guidance_Low,GD_Item_Name,$B1093,GD_Item_FiscalPeriod,AH$1083,GD_Update_Date,AH$1082)))</f>
        <v/>
      </c>
      <c r="AI1093" s="563">
        <f>IF(ISBLANK(AI$1083),"N/A",IF(COUNTIFS(GD_Item_FiscalPeriod,AI$1083,GD_Item_Name,$B1093,GD_Update_Date,AI$1082)=0,"NR",SUMIFS(GD_Guidance_Low,GD_Item_Name,$B1093,GD_Item_FiscalPeriod,AI$1083,GD_Update_Date,AI$1082)))</f>
        <v/>
      </c>
      <c r="AJ1093" s="563">
        <f>IF(ISBLANK(AJ$1083),"N/A",IF(COUNTIFS(GD_Item_FiscalPeriod,AJ$1083,GD_Item_Name,$B1093,GD_Update_Date,AJ$1082)=0,"NR",SUMIFS(GD_Guidance_Low,GD_Item_Name,$B1093,GD_Item_FiscalPeriod,AJ$1083,GD_Update_Date,AJ$1082)))</f>
        <v/>
      </c>
      <c r="AK1093" s="563">
        <f>IF(ISBLANK(AK$1083),"N/A",IF(COUNTIFS(GD_Item_FiscalPeriod,AK$1083,GD_Item_Name,$B1093,GD_Update_Date,AK$1082)=0,"NR",SUMIFS(GD_Guidance_Low,GD_Item_Name,$B1093,GD_Item_FiscalPeriod,AK$1083,GD_Update_Date,AK$1082)))</f>
        <v/>
      </c>
      <c r="AL1093" s="563">
        <f>IF(ISBLANK(AL$1083),"N/A",IF(COUNTIFS(GD_Item_FiscalPeriod,AL$1083,GD_Item_Name,$B1093,GD_Update_Date,AL$1082)=0,"NR",SUMIFS(GD_Guidance_Low,GD_Item_Name,$B1093,GD_Item_FiscalPeriod,AL$1083,GD_Update_Date,AL$1082)))</f>
        <v/>
      </c>
      <c r="AM1093" s="563">
        <f>IF(ISBLANK(AM$1083),"N/A",IF(COUNTIFS(GD_Item_FiscalPeriod,AM$1083,GD_Item_Name,$B1093,GD_Update_Date,AM$1082)=0,"NR",SUMIFS(GD_Guidance_Low,GD_Item_Name,$B1093,GD_Item_FiscalPeriod,AM$1083,GD_Update_Date,AM$1082)))</f>
        <v/>
      </c>
      <c r="AN1093" s="563">
        <f>IF(ISBLANK(AN$1083),"N/A",IF(COUNTIFS(GD_Item_FiscalPeriod,AN$1083,GD_Item_Name,$B1093,GD_Update_Date,AN$1082)=0,"NR",SUMIFS(GD_Guidance_Low,GD_Item_Name,$B1093,GD_Item_FiscalPeriod,AN$1083,GD_Update_Date,AN$1082)))</f>
        <v/>
      </c>
      <c r="AO1093" s="563">
        <f>IF(ISBLANK(AO$1083),"N/A",IF(COUNTIFS(GD_Item_FiscalPeriod,AO$1083,GD_Item_Name,$B1093,GD_Update_Date,AO$1082)=0,"NR",SUMIFS(GD_Guidance_Low,GD_Item_Name,$B1093,GD_Item_FiscalPeriod,AO$1083,GD_Update_Date,AO$1082)))</f>
        <v/>
      </c>
      <c r="AP1093" s="563">
        <f>IF(ISBLANK(AP$1083),"N/A",IF(COUNTIFS(GD_Item_FiscalPeriod,AP$1083,GD_Item_Name,$B1093,GD_Update_Date,AP$1082)=0,"NR",SUMIFS(GD_Guidance_Low,GD_Item_Name,$B1093,GD_Item_FiscalPeriod,AP$1083,GD_Update_Date,AP$1082)))</f>
        <v/>
      </c>
      <c r="AQ1093" s="563">
        <f>IF(ISBLANK(AQ$1083),"N/A",IF(COUNTIFS(GD_Item_FiscalPeriod,AQ$1083,GD_Item_Name,$B1093,GD_Update_Date,AQ$1082)=0,"NR",SUMIFS(GD_Guidance_Low,GD_Item_Name,$B1093,GD_Item_FiscalPeriod,AQ$1083,GD_Update_Date,AQ$1082)))</f>
        <v/>
      </c>
      <c r="AR1093" s="563">
        <f>IF(ISBLANK(AR$1083),"N/A",IF(COUNTIFS(GD_Item_FiscalPeriod,AR$1083,GD_Item_Name,$B1093,GD_Update_Date,AR$1082)=0,"NR",SUMIFS(GD_Guidance_Low,GD_Item_Name,$B1093,GD_Item_FiscalPeriod,AR$1083,GD_Update_Date,AR$1082)))</f>
        <v/>
      </c>
      <c r="AS1093" s="563">
        <f>IF(ISBLANK(AS$1083),"N/A",IF(COUNTIFS(GD_Item_FiscalPeriod,AS$1083,GD_Item_Name,$B1093,GD_Update_Date,AS$1082)=0,"NR",SUMIFS(GD_Guidance_Low,GD_Item_Name,$B1093,GD_Item_FiscalPeriod,AS$1083,GD_Update_Date,AS$1082)))</f>
        <v/>
      </c>
      <c r="AT1093" s="563">
        <f>IF(ISBLANK(AT$1083),"N/A",IF(COUNTIFS(GD_Item_FiscalPeriod,AT$1083,GD_Item_Name,$B1093,GD_Update_Date,AT$1082)=0,"NR",SUMIFS(GD_Guidance_Low,GD_Item_Name,$B1093,GD_Item_FiscalPeriod,AT$1083,GD_Update_Date,AT$1082)))</f>
        <v/>
      </c>
      <c r="AU1093" s="563">
        <f>IF(ISBLANK(AU$1083),"N/A",IF(COUNTIFS(GD_Item_FiscalPeriod,AU$1083,GD_Item_Name,$B1093,GD_Update_Date,AU$1082)=0,"NR",SUMIFS(GD_Guidance_Low,GD_Item_Name,$B1093,GD_Item_FiscalPeriod,AU$1083,GD_Update_Date,AU$1082)))</f>
        <v/>
      </c>
      <c r="AV1093" s="563">
        <f>IF(ISBLANK(AV$1083),"N/A",IF(COUNTIFS(GD_Item_FiscalPeriod,AV$1083,GD_Item_Name,$B1093,GD_Update_Date,AV$1082)=0,"NR",SUMIFS(GD_Guidance_Low,GD_Item_Name,$B1093,GD_Item_FiscalPeriod,AV$1083,GD_Update_Date,AV$1082)))</f>
        <v/>
      </c>
      <c r="AW1093" s="563">
        <f>IF(ISBLANK(AW$1083),"N/A",IF(COUNTIFS(GD_Item_FiscalPeriod,AW$1083,GD_Item_Name,$B1093,GD_Update_Date,AW$1082)=0,"NR",SUMIFS(GD_Guidance_Low,GD_Item_Name,$B1093,GD_Item_FiscalPeriod,AW$1083,GD_Update_Date,AW$1082)))</f>
        <v/>
      </c>
      <c r="AX1093" s="563">
        <f>IF(ISBLANK(AX$1083),"N/A",IF(COUNTIFS(GD_Item_FiscalPeriod,AX$1083,GD_Item_Name,$B1093,GD_Update_Date,AX$1082)=0,"NR",SUMIFS(GD_Guidance_Low,GD_Item_Name,$B1093,GD_Item_FiscalPeriod,AX$1083,GD_Update_Date,AX$1082)))</f>
        <v/>
      </c>
      <c r="AY1093" s="563">
        <f>IF(ISBLANK(AY$1083),"N/A",IF(COUNTIFS(GD_Item_FiscalPeriod,AY$1083,GD_Item_Name,$B1093,GD_Update_Date,AY$1082)=0,"NR",SUMIFS(GD_Guidance_Low,GD_Item_Name,$B1093,GD_Item_FiscalPeriod,AY$1083,GD_Update_Date,AY$1082)))</f>
        <v/>
      </c>
      <c r="AZ1093" s="563">
        <f>IF(ISBLANK(AZ$1083),"N/A",IF(COUNTIFS(GD_Item_FiscalPeriod,AZ$1083,GD_Item_Name,$B1093,GD_Update_Date,AZ$1082)=0,"NR",SUMIFS(GD_Guidance_Low,GD_Item_Name,$B1093,GD_Item_FiscalPeriod,AZ$1083,GD_Update_Date,AZ$1082)))</f>
        <v/>
      </c>
      <c r="BA1093" s="563">
        <f>IF(ISBLANK(BA$1083),"N/A",IF(COUNTIFS(GD_Item_FiscalPeriod,BA$1083,GD_Item_Name,$B1093,GD_Update_Date,BA$1082)=0,"NR",SUMIFS(GD_Guidance_Low,GD_Item_Name,$B1093,GD_Item_FiscalPeriod,BA$1083,GD_Update_Date,BA$1082)))</f>
        <v/>
      </c>
      <c r="BB1093" s="563">
        <f>IF(ISBLANK(BB$1083),"N/A",IF(COUNTIFS(GD_Item_FiscalPeriod,BB$1083,GD_Item_Name,$B1093,GD_Update_Date,BB$1082)=0,"NR",SUMIFS(GD_Guidance_Low,GD_Item_Name,$B1093,GD_Item_FiscalPeriod,BB$1083,GD_Update_Date,BB$1082)))</f>
        <v/>
      </c>
      <c r="BC1093" s="563">
        <f>IF(ISBLANK(BC$1083),"N/A",IF(COUNTIFS(GD_Item_FiscalPeriod,BC$1083,GD_Item_Name,$B1093,GD_Update_Date,BC$1082)=0,"NR",SUMIFS(GD_Guidance_Low,GD_Item_Name,$B1093,GD_Item_FiscalPeriod,BC$1083,GD_Update_Date,BC$1082)))</f>
        <v/>
      </c>
      <c r="BD1093" s="563">
        <f>IF(ISBLANK(BD$1083),"N/A",IF(COUNTIFS(GD_Item_FiscalPeriod,BD$1083,GD_Item_Name,$B1093,GD_Update_Date,BD$1082)=0,"NR",SUMIFS(GD_Guidance_Low,GD_Item_Name,$B1093,GD_Item_FiscalPeriod,BD$1083,GD_Update_Date,BD$1082)))</f>
        <v/>
      </c>
      <c r="BE1093" s="563">
        <f>IF(ISBLANK(BE$1083),"N/A",IF(COUNTIFS(GD_Item_FiscalPeriod,BE$1083,GD_Item_Name,$B1093,GD_Update_Date,BE$1082)=0,"NR",SUMIFS(GD_Guidance_Low,GD_Item_Name,$B1093,GD_Item_FiscalPeriod,BE$1083,GD_Update_Date,BE$1082)))</f>
        <v/>
      </c>
      <c r="BF1093" s="563">
        <f>IF(ISBLANK(BF$1083),"N/A",IF(COUNTIFS(GD_Item_FiscalPeriod,BF$1083,GD_Item_Name,$B1093,GD_Update_Date,BF$1082)=0,"NR",SUMIFS(GD_Guidance_Low,GD_Item_Name,$B1093,GD_Item_FiscalPeriod,BF$1083,GD_Update_Date,BF$1082)))</f>
        <v/>
      </c>
      <c r="BG1093" s="563">
        <f>IF(ISBLANK(BG$1083),"N/A",IF(COUNTIFS(GD_Item_FiscalPeriod,BG$1083,GD_Item_Name,$B1093,GD_Update_Date,BG$1082)=0,"NR",SUMIFS(GD_Guidance_Low,GD_Item_Name,$B1093,GD_Item_FiscalPeriod,BG$1083,GD_Update_Date,BG$1082)))</f>
        <v/>
      </c>
      <c r="BH1093" s="563">
        <f>IF(ISBLANK(BH$1083),"N/A",IF(COUNTIFS(GD_Item_FiscalPeriod,BH$1083,GD_Item_Name,$B1093,GD_Update_Date,BH$1082)=0,"NR",SUMIFS(GD_Guidance_Low,GD_Item_Name,$B1093,GD_Item_FiscalPeriod,BH$1083,GD_Update_Date,BH$1082)))</f>
        <v/>
      </c>
      <c r="BI1093" s="563">
        <f>IF(ISBLANK(BI$1083),"N/A",IF(COUNTIFS(GD_Item_FiscalPeriod,BI$1083,GD_Item_Name,$B1093,GD_Update_Date,BI$1082)=0,"NR",SUMIFS(GD_Guidance_Low,GD_Item_Name,$B1093,GD_Item_FiscalPeriod,BI$1083,GD_Update_Date,BI$1082)))</f>
        <v/>
      </c>
      <c r="BJ1093" s="563">
        <f>IF(ISBLANK(BJ$1083),"N/A",IF(COUNTIFS(GD_Item_FiscalPeriod,BJ$1083,GD_Item_Name,$B1093,GD_Update_Date,BJ$1082)=0,"NR",SUMIFS(GD_Guidance_Low,GD_Item_Name,$B1093,GD_Item_FiscalPeriod,BJ$1083,GD_Update_Date,BJ$1082)))</f>
        <v/>
      </c>
      <c r="BK1093" s="563">
        <f>IF(ISBLANK(BK$1083),"N/A",IF(COUNTIFS(GD_Item_FiscalPeriod,BK$1083,GD_Item_Name,$B1093,GD_Update_Date,BK$1082)=0,"NR",SUMIFS(GD_Guidance_Low,GD_Item_Name,$B1093,GD_Item_FiscalPeriod,BK$1083,GD_Update_Date,BK$1082)))</f>
        <v/>
      </c>
      <c r="BL1093" s="563">
        <f>IF(ISBLANK(BL$1083),"N/A",IF(COUNTIFS(GD_Item_FiscalPeriod,BL$1083,GD_Item_Name,$B1093,GD_Update_Date,BL$1082)=0,"NR",SUMIFS(GD_Guidance_Low,GD_Item_Name,$B1093,GD_Item_FiscalPeriod,BL$1083,GD_Update_Date,BL$1082)))</f>
        <v/>
      </c>
      <c r="BM1093" s="563">
        <f>IF(ISBLANK(BM$1083),"N/A",IF(COUNTIFS(GD_Item_FiscalPeriod,BM$1083,GD_Item_Name,$B1093,GD_Update_Date,BM$1082)=0,"NR",SUMIFS(GD_Guidance_Low,GD_Item_Name,$B1093,GD_Item_FiscalPeriod,BM$1083,GD_Update_Date,BM$1082)))</f>
        <v/>
      </c>
      <c r="BN1093" s="563">
        <f>IF(ISBLANK(BN$1083),"N/A",IF(COUNTIFS(GD_Item_FiscalPeriod,BN$1083,GD_Item_Name,$B1093,GD_Update_Date,BN$1082)=0,"NR",SUMIFS(GD_Guidance_Low,GD_Item_Name,$B1093,GD_Item_FiscalPeriod,BN$1083,GD_Update_Date,BN$1082)))</f>
        <v/>
      </c>
      <c r="BO1093" s="563">
        <f>IF(ISBLANK(BO$1083),"N/A",IF(COUNTIFS(GD_Item_FiscalPeriod,BO$1083,GD_Item_Name,$B1093,GD_Update_Date,BO$1082)=0,"NR",SUMIFS(GD_Guidance_Low,GD_Item_Name,$B1093,GD_Item_FiscalPeriod,BO$1083,GD_Update_Date,BO$1082)))</f>
        <v/>
      </c>
      <c r="BP1093" s="563">
        <f>IF(ISBLANK(BP$1083),"N/A",IF(COUNTIFS(GD_Item_FiscalPeriod,BP$1083,GD_Item_Name,$B1093,GD_Update_Date,BP$1082)=0,"NR",SUMIFS(GD_Guidance_Low,GD_Item_Name,$B1093,GD_Item_FiscalPeriod,BP$1083,GD_Update_Date,BP$1082)))</f>
        <v/>
      </c>
      <c r="BQ1093" s="563">
        <f>IF(ISBLANK(BQ$1083),"N/A",IF(COUNTIFS(GD_Item_FiscalPeriod,BQ$1083,GD_Item_Name,$B1093,GD_Update_Date,BQ$1082)=0,"NR",SUMIFS(GD_Guidance_Low,GD_Item_Name,$B1093,GD_Item_FiscalPeriod,BQ$1083,GD_Update_Date,BQ$1082)))</f>
        <v/>
      </c>
      <c r="BR1093" s="563">
        <f>IF(ISBLANK(BR$1083),"N/A",IF(COUNTIFS(GD_Item_FiscalPeriod,BR$1083,GD_Item_Name,$B1093,GD_Update_Date,BR$1082)=0,"NR",SUMIFS(GD_Guidance_Low,GD_Item_Name,$B1093,GD_Item_FiscalPeriod,BR$1083,GD_Update_Date,BR$1082)))</f>
        <v/>
      </c>
      <c r="BS1093" s="563">
        <f>IF(ISBLANK(BS$1083),"N/A",IF(COUNTIFS(GD_Item_FiscalPeriod,BS$1083,GD_Item_Name,$B1093,GD_Update_Date,BS$1082)=0,"NR",SUMIFS(GD_Guidance_Low,GD_Item_Name,$B1093,GD_Item_FiscalPeriod,BS$1083,GD_Update_Date,BS$1082)))</f>
        <v/>
      </c>
      <c r="BT1093" s="563">
        <f>IF(ISBLANK(BT$1083),"N/A",IF(COUNTIFS(GD_Item_FiscalPeriod,BT$1083,GD_Item_Name,$B1093,GD_Update_Date,BT$1082)=0,"NR",SUMIFS(GD_Guidance_Low,GD_Item_Name,$B1093,GD_Item_FiscalPeriod,BT$1083,GD_Update_Date,BT$1082)))</f>
        <v/>
      </c>
      <c r="BU1093" s="563">
        <f>IF(ISBLANK(BU$1083),"N/A",IF(COUNTIFS(GD_Item_FiscalPeriod,BU$1083,GD_Item_Name,$B1093,GD_Update_Date,BU$1082)=0,"NR",SUMIFS(GD_Guidance_Low,GD_Item_Name,$B1093,GD_Item_FiscalPeriod,BU$1083,GD_Update_Date,BU$1082)))</f>
        <v/>
      </c>
      <c r="BV1093" s="731">
        <f>IF(ISBLANK(BV$1083),"N/A",IF(COUNTIFS(GD_Item_FiscalPeriod,BV$1083,GD_Item_Name,$B1093,GD_Update_Date,BV$1082)=0,"NR",SUMIFS(GD_Guidance_Low,GD_Item_Name,$B1093,GD_Item_FiscalPeriod,BV$1083,GD_Update_Date,BV$1082)))</f>
        <v/>
      </c>
      <c r="BW1093" s="563">
        <f>IF(ISBLANK(BW$1083),"N/A",IF(COUNTIFS(GD_Item_FiscalPeriod,BW$1083,GD_Item_Name,$B1093,GD_Update_Date,BW$1082)=0,"NR",SUMIFS(GD_Guidance_Low,GD_Item_Name,$B1093,GD_Item_FiscalPeriod,BW$1083,GD_Update_Date,BW$1082)))</f>
        <v/>
      </c>
      <c r="BX1093" s="563">
        <f>IF(ISBLANK(BX$1083),"N/A",IF(COUNTIFS(GD_Item_FiscalPeriod,BX$1083,GD_Item_Name,$B1093,GD_Update_Date,BX$1082)=0,"NR",SUMIFS(GD_Guidance_Low,GD_Item_Name,$B1093,GD_Item_FiscalPeriod,BX$1083,GD_Update_Date,BX$1082)))</f>
        <v/>
      </c>
      <c r="BY1093" s="563">
        <f>IF(ISBLANK(BY$1083),"N/A",IF(COUNTIFS(GD_Item_FiscalPeriod,BY$1083,GD_Item_Name,$B1093,GD_Update_Date,BY$1082)=0,"NR",SUMIFS(GD_Guidance_Low,GD_Item_Name,$B1093,GD_Item_FiscalPeriod,BY$1083,GD_Update_Date,BY$1082)))</f>
        <v/>
      </c>
      <c r="BZ1093" s="563">
        <f>IF(ISBLANK(BZ$1083),"N/A",IF(COUNTIFS(GD_Item_FiscalPeriod,BZ$1083,GD_Item_Name,$B1093,GD_Update_Date,BZ$1082)=0,"NR",SUMIFS(GD_Guidance_Low,GD_Item_Name,$B1093,GD_Item_FiscalPeriod,BZ$1083,GD_Update_Date,BZ$1082)))</f>
        <v/>
      </c>
      <c r="CA1093" s="563">
        <f>IF(ISBLANK(CA$1083),"N/A",IF(COUNTIFS(GD_Item_FiscalPeriod,CA$1083,GD_Item_Name,$B1093,GD_Update_Date,CA$1082)=0,"NR",SUMIFS(GD_Guidance_Low,GD_Item_Name,$B1093,GD_Item_FiscalPeriod,CA$1083,GD_Update_Date,CA$1082)))</f>
        <v/>
      </c>
      <c r="CB1093" s="563">
        <f>IF(ISBLANK(CB$1083),"N/A",IF(COUNTIFS(GD_Item_FiscalPeriod,CB$1083,GD_Item_Name,$B1093,GD_Update_Date,CB$1082)=0,"NR",SUMIFS(GD_Guidance_Low,GD_Item_Name,$B1093,GD_Item_FiscalPeriod,CB$1083,GD_Update_Date,CB$1082)))</f>
        <v/>
      </c>
      <c r="CC1093" s="563">
        <f>IF(ISBLANK(CC$1083),"N/A",IF(COUNTIFS(GD_Item_FiscalPeriod,CC$1083,GD_Item_Name,$B1093,GD_Update_Date,CC$1082)=0,"NR",SUMIFS(GD_Guidance_Low,GD_Item_Name,$B1093,GD_Item_FiscalPeriod,CC$1083,GD_Update_Date,CC$1082)))</f>
        <v/>
      </c>
      <c r="CD1093" s="563">
        <f>IF(ISBLANK(CD$1083),"N/A",IF(COUNTIFS(GD_Item_FiscalPeriod,CD$1083,GD_Item_Name,$B1093,GD_Update_Date,CD$1082)=0,"NR",SUMIFS(GD_Guidance_Low,GD_Item_Name,$B1093,GD_Item_FiscalPeriod,CD$1083,GD_Update_Date,CD$1082)))</f>
        <v/>
      </c>
      <c r="CE1093" s="563">
        <f>IF(ISBLANK(CE$1083),"N/A",IF(COUNTIFS(GD_Item_FiscalPeriod,CE$1083,GD_Item_Name,$B1093,GD_Update_Date,CE$1082)=0,"NR",SUMIFS(GD_Guidance_Low,GD_Item_Name,$B1093,GD_Item_FiscalPeriod,CE$1083,GD_Update_Date,CE$1082)))</f>
        <v/>
      </c>
      <c r="CF1093" s="794">
        <f>IF(ISBLANK(CF$1083),"N/A",IF(COUNTIFS(GD_Item_FiscalPeriod,CF$1083,GD_Item_Name,$B1093,GD_Update_Date,CF$1082)=0,"NR",SUMIFS(GD_Guidance_Low,GD_Item_Name,$B1093,GD_Item_FiscalPeriod,CF$1083,GD_Update_Date,CF$1082)))</f>
        <v/>
      </c>
      <c r="CG1093" s="155" t="n"/>
    </row>
    <row r="1094">
      <c r="A1094" s="793" t="inlineStr">
        <is>
          <t>High - Capex, mm</t>
        </is>
      </c>
      <c r="B1094" s="1053" t="inlineStr">
        <is>
          <t>MO_CFSum_Capex</t>
        </is>
      </c>
      <c r="C1094" s="1006" t="n"/>
      <c r="D1094" s="1006" t="n"/>
      <c r="E1094" s="563" t="n"/>
      <c r="F1094" s="563" t="n"/>
      <c r="G1094" s="563" t="n"/>
      <c r="H1094" s="563" t="n"/>
      <c r="I1094" s="563" t="n"/>
      <c r="J1094" s="563" t="n"/>
      <c r="K1094" s="563" t="n"/>
      <c r="L1094" s="563" t="n"/>
      <c r="M1094" s="563" t="n"/>
      <c r="N1094" s="563" t="n"/>
      <c r="O1094" s="563" t="n"/>
      <c r="P1094" s="563" t="n"/>
      <c r="Q1094" s="563" t="n"/>
      <c r="R1094" s="563" t="n"/>
      <c r="S1094" s="563" t="n"/>
      <c r="T1094" s="563" t="n"/>
      <c r="U1094" s="563" t="n"/>
      <c r="V1094" s="563" t="n"/>
      <c r="W1094" s="563" t="n"/>
      <c r="X1094" s="563" t="n"/>
      <c r="Y1094" s="563" t="n"/>
      <c r="Z1094" s="563" t="n"/>
      <c r="AA1094" s="563" t="n"/>
      <c r="AB1094" s="563" t="n"/>
      <c r="AC1094" s="563" t="n"/>
      <c r="AD1094" s="563" t="n"/>
      <c r="AE1094" s="563" t="n"/>
      <c r="AF1094" s="563" t="n"/>
      <c r="AG1094" s="563" t="n"/>
      <c r="AH1094" s="563">
        <f>IF(ISBLANK(AH$1083),"N/A",IF(COUNTIFS(GD_Item_FiscalPeriod,AH$1083,GD_Item_Name,$B1094,GD_Update_Date,AH$1082)=0,"NR",SUMIFS(GD_Guidance_High,GD_Item_Name,$B1094,GD_Item_FiscalPeriod,AH$1083,GD_Update_Date,AH$1082)))</f>
        <v/>
      </c>
      <c r="AI1094" s="563">
        <f>IF(ISBLANK(AI$1083),"N/A",IF(COUNTIFS(GD_Item_FiscalPeriod,AI$1083,GD_Item_Name,$B1094,GD_Update_Date,AI$1082)=0,"NR",SUMIFS(GD_Guidance_High,GD_Item_Name,$B1094,GD_Item_FiscalPeriod,AI$1083,GD_Update_Date,AI$1082)))</f>
        <v/>
      </c>
      <c r="AJ1094" s="563">
        <f>IF(ISBLANK(AJ$1083),"N/A",IF(COUNTIFS(GD_Item_FiscalPeriod,AJ$1083,GD_Item_Name,$B1094,GD_Update_Date,AJ$1082)=0,"NR",SUMIFS(GD_Guidance_High,GD_Item_Name,$B1094,GD_Item_FiscalPeriod,AJ$1083,GD_Update_Date,AJ$1082)))</f>
        <v/>
      </c>
      <c r="AK1094" s="563">
        <f>IF(ISBLANK(AK$1083),"N/A",IF(COUNTIFS(GD_Item_FiscalPeriod,AK$1083,GD_Item_Name,$B1094,GD_Update_Date,AK$1082)=0,"NR",SUMIFS(GD_Guidance_High,GD_Item_Name,$B1094,GD_Item_FiscalPeriod,AK$1083,GD_Update_Date,AK$1082)))</f>
        <v/>
      </c>
      <c r="AL1094" s="563">
        <f>IF(ISBLANK(AL$1083),"N/A",IF(COUNTIFS(GD_Item_FiscalPeriod,AL$1083,GD_Item_Name,$B1094,GD_Update_Date,AL$1082)=0,"NR",SUMIFS(GD_Guidance_High,GD_Item_Name,$B1094,GD_Item_FiscalPeriod,AL$1083,GD_Update_Date,AL$1082)))</f>
        <v/>
      </c>
      <c r="AM1094" s="563">
        <f>IF(ISBLANK(AM$1083),"N/A",IF(COUNTIFS(GD_Item_FiscalPeriod,AM$1083,GD_Item_Name,$B1094,GD_Update_Date,AM$1082)=0,"NR",SUMIFS(GD_Guidance_High,GD_Item_Name,$B1094,GD_Item_FiscalPeriod,AM$1083,GD_Update_Date,AM$1082)))</f>
        <v/>
      </c>
      <c r="AN1094" s="563">
        <f>IF(ISBLANK(AN$1083),"N/A",IF(COUNTIFS(GD_Item_FiscalPeriod,AN$1083,GD_Item_Name,$B1094,GD_Update_Date,AN$1082)=0,"NR",SUMIFS(GD_Guidance_High,GD_Item_Name,$B1094,GD_Item_FiscalPeriod,AN$1083,GD_Update_Date,AN$1082)))</f>
        <v/>
      </c>
      <c r="AO1094" s="563">
        <f>IF(ISBLANK(AO$1083),"N/A",IF(COUNTIFS(GD_Item_FiscalPeriod,AO$1083,GD_Item_Name,$B1094,GD_Update_Date,AO$1082)=0,"NR",SUMIFS(GD_Guidance_High,GD_Item_Name,$B1094,GD_Item_FiscalPeriod,AO$1083,GD_Update_Date,AO$1082)))</f>
        <v/>
      </c>
      <c r="AP1094" s="563">
        <f>IF(ISBLANK(AP$1083),"N/A",IF(COUNTIFS(GD_Item_FiscalPeriod,AP$1083,GD_Item_Name,$B1094,GD_Update_Date,AP$1082)=0,"NR",SUMIFS(GD_Guidance_High,GD_Item_Name,$B1094,GD_Item_FiscalPeriod,AP$1083,GD_Update_Date,AP$1082)))</f>
        <v/>
      </c>
      <c r="AQ1094" s="563">
        <f>IF(ISBLANK(AQ$1083),"N/A",IF(COUNTIFS(GD_Item_FiscalPeriod,AQ$1083,GD_Item_Name,$B1094,GD_Update_Date,AQ$1082)=0,"NR",SUMIFS(GD_Guidance_High,GD_Item_Name,$B1094,GD_Item_FiscalPeriod,AQ$1083,GD_Update_Date,AQ$1082)))</f>
        <v/>
      </c>
      <c r="AR1094" s="563">
        <f>IF(ISBLANK(AR$1083),"N/A",IF(COUNTIFS(GD_Item_FiscalPeriod,AR$1083,GD_Item_Name,$B1094,GD_Update_Date,AR$1082)=0,"NR",SUMIFS(GD_Guidance_High,GD_Item_Name,$B1094,GD_Item_FiscalPeriod,AR$1083,GD_Update_Date,AR$1082)))</f>
        <v/>
      </c>
      <c r="AS1094" s="563">
        <f>IF(ISBLANK(AS$1083),"N/A",IF(COUNTIFS(GD_Item_FiscalPeriod,AS$1083,GD_Item_Name,$B1094,GD_Update_Date,AS$1082)=0,"NR",SUMIFS(GD_Guidance_High,GD_Item_Name,$B1094,GD_Item_FiscalPeriod,AS$1083,GD_Update_Date,AS$1082)))</f>
        <v/>
      </c>
      <c r="AT1094" s="563">
        <f>IF(ISBLANK(AT$1083),"N/A",IF(COUNTIFS(GD_Item_FiscalPeriod,AT$1083,GD_Item_Name,$B1094,GD_Update_Date,AT$1082)=0,"NR",SUMIFS(GD_Guidance_High,GD_Item_Name,$B1094,GD_Item_FiscalPeriod,AT$1083,GD_Update_Date,AT$1082)))</f>
        <v/>
      </c>
      <c r="AU1094" s="563">
        <f>IF(ISBLANK(AU$1083),"N/A",IF(COUNTIFS(GD_Item_FiscalPeriod,AU$1083,GD_Item_Name,$B1094,GD_Update_Date,AU$1082)=0,"NR",SUMIFS(GD_Guidance_High,GD_Item_Name,$B1094,GD_Item_FiscalPeriod,AU$1083,GD_Update_Date,AU$1082)))</f>
        <v/>
      </c>
      <c r="AV1094" s="563">
        <f>IF(ISBLANK(AV$1083),"N/A",IF(COUNTIFS(GD_Item_FiscalPeriod,AV$1083,GD_Item_Name,$B1094,GD_Update_Date,AV$1082)=0,"NR",SUMIFS(GD_Guidance_High,GD_Item_Name,$B1094,GD_Item_FiscalPeriod,AV$1083,GD_Update_Date,AV$1082)))</f>
        <v/>
      </c>
      <c r="AW1094" s="563">
        <f>IF(ISBLANK(AW$1083),"N/A",IF(COUNTIFS(GD_Item_FiscalPeriod,AW$1083,GD_Item_Name,$B1094,GD_Update_Date,AW$1082)=0,"NR",SUMIFS(GD_Guidance_High,GD_Item_Name,$B1094,GD_Item_FiscalPeriod,AW$1083,GD_Update_Date,AW$1082)))</f>
        <v/>
      </c>
      <c r="AX1094" s="563">
        <f>IF(ISBLANK(AX$1083),"N/A",IF(COUNTIFS(GD_Item_FiscalPeriod,AX$1083,GD_Item_Name,$B1094,GD_Update_Date,AX$1082)=0,"NR",SUMIFS(GD_Guidance_High,GD_Item_Name,$B1094,GD_Item_FiscalPeriod,AX$1083,GD_Update_Date,AX$1082)))</f>
        <v/>
      </c>
      <c r="AY1094" s="563">
        <f>IF(ISBLANK(AY$1083),"N/A",IF(COUNTIFS(GD_Item_FiscalPeriod,AY$1083,GD_Item_Name,$B1094,GD_Update_Date,AY$1082)=0,"NR",SUMIFS(GD_Guidance_High,GD_Item_Name,$B1094,GD_Item_FiscalPeriod,AY$1083,GD_Update_Date,AY$1082)))</f>
        <v/>
      </c>
      <c r="AZ1094" s="563">
        <f>IF(ISBLANK(AZ$1083),"N/A",IF(COUNTIFS(GD_Item_FiscalPeriod,AZ$1083,GD_Item_Name,$B1094,GD_Update_Date,AZ$1082)=0,"NR",SUMIFS(GD_Guidance_High,GD_Item_Name,$B1094,GD_Item_FiscalPeriod,AZ$1083,GD_Update_Date,AZ$1082)))</f>
        <v/>
      </c>
      <c r="BA1094" s="563">
        <f>IF(ISBLANK(BA$1083),"N/A",IF(COUNTIFS(GD_Item_FiscalPeriod,BA$1083,GD_Item_Name,$B1094,GD_Update_Date,BA$1082)=0,"NR",SUMIFS(GD_Guidance_High,GD_Item_Name,$B1094,GD_Item_FiscalPeriod,BA$1083,GD_Update_Date,BA$1082)))</f>
        <v/>
      </c>
      <c r="BB1094" s="563">
        <f>IF(ISBLANK(BB$1083),"N/A",IF(COUNTIFS(GD_Item_FiscalPeriod,BB$1083,GD_Item_Name,$B1094,GD_Update_Date,BB$1082)=0,"NR",SUMIFS(GD_Guidance_High,GD_Item_Name,$B1094,GD_Item_FiscalPeriod,BB$1083,GD_Update_Date,BB$1082)))</f>
        <v/>
      </c>
      <c r="BC1094" s="563">
        <f>IF(ISBLANK(BC$1083),"N/A",IF(COUNTIFS(GD_Item_FiscalPeriod,BC$1083,GD_Item_Name,$B1094,GD_Update_Date,BC$1082)=0,"NR",SUMIFS(GD_Guidance_High,GD_Item_Name,$B1094,GD_Item_FiscalPeriod,BC$1083,GD_Update_Date,BC$1082)))</f>
        <v/>
      </c>
      <c r="BD1094" s="563">
        <f>IF(ISBLANK(BD$1083),"N/A",IF(COUNTIFS(GD_Item_FiscalPeriod,BD$1083,GD_Item_Name,$B1094,GD_Update_Date,BD$1082)=0,"NR",SUMIFS(GD_Guidance_High,GD_Item_Name,$B1094,GD_Item_FiscalPeriod,BD$1083,GD_Update_Date,BD$1082)))</f>
        <v/>
      </c>
      <c r="BE1094" s="563">
        <f>IF(ISBLANK(BE$1083),"N/A",IF(COUNTIFS(GD_Item_FiscalPeriod,BE$1083,GD_Item_Name,$B1094,GD_Update_Date,BE$1082)=0,"NR",SUMIFS(GD_Guidance_High,GD_Item_Name,$B1094,GD_Item_FiscalPeriod,BE$1083,GD_Update_Date,BE$1082)))</f>
        <v/>
      </c>
      <c r="BF1094" s="563">
        <f>IF(ISBLANK(BF$1083),"N/A",IF(COUNTIFS(GD_Item_FiscalPeriod,BF$1083,GD_Item_Name,$B1094,GD_Update_Date,BF$1082)=0,"NR",SUMIFS(GD_Guidance_High,GD_Item_Name,$B1094,GD_Item_FiscalPeriod,BF$1083,GD_Update_Date,BF$1082)))</f>
        <v/>
      </c>
      <c r="BG1094" s="563">
        <f>IF(ISBLANK(BG$1083),"N/A",IF(COUNTIFS(GD_Item_FiscalPeriod,BG$1083,GD_Item_Name,$B1094,GD_Update_Date,BG$1082)=0,"NR",SUMIFS(GD_Guidance_High,GD_Item_Name,$B1094,GD_Item_FiscalPeriod,BG$1083,GD_Update_Date,BG$1082)))</f>
        <v/>
      </c>
      <c r="BH1094" s="563">
        <f>IF(ISBLANK(BH$1083),"N/A",IF(COUNTIFS(GD_Item_FiscalPeriod,BH$1083,GD_Item_Name,$B1094,GD_Update_Date,BH$1082)=0,"NR",SUMIFS(GD_Guidance_High,GD_Item_Name,$B1094,GD_Item_FiscalPeriod,BH$1083,GD_Update_Date,BH$1082)))</f>
        <v/>
      </c>
      <c r="BI1094" s="563">
        <f>IF(ISBLANK(BI$1083),"N/A",IF(COUNTIFS(GD_Item_FiscalPeriod,BI$1083,GD_Item_Name,$B1094,GD_Update_Date,BI$1082)=0,"NR",SUMIFS(GD_Guidance_High,GD_Item_Name,$B1094,GD_Item_FiscalPeriod,BI$1083,GD_Update_Date,BI$1082)))</f>
        <v/>
      </c>
      <c r="BJ1094" s="563">
        <f>IF(ISBLANK(BJ$1083),"N/A",IF(COUNTIFS(GD_Item_FiscalPeriod,BJ$1083,GD_Item_Name,$B1094,GD_Update_Date,BJ$1082)=0,"NR",SUMIFS(GD_Guidance_High,GD_Item_Name,$B1094,GD_Item_FiscalPeriod,BJ$1083,GD_Update_Date,BJ$1082)))</f>
        <v/>
      </c>
      <c r="BK1094" s="563">
        <f>IF(ISBLANK(BK$1083),"N/A",IF(COUNTIFS(GD_Item_FiscalPeriod,BK$1083,GD_Item_Name,$B1094,GD_Update_Date,BK$1082)=0,"NR",SUMIFS(GD_Guidance_High,GD_Item_Name,$B1094,GD_Item_FiscalPeriod,BK$1083,GD_Update_Date,BK$1082)))</f>
        <v/>
      </c>
      <c r="BL1094" s="563">
        <f>IF(ISBLANK(BL$1083),"N/A",IF(COUNTIFS(GD_Item_FiscalPeriod,BL$1083,GD_Item_Name,$B1094,GD_Update_Date,BL$1082)=0,"NR",SUMIFS(GD_Guidance_High,GD_Item_Name,$B1094,GD_Item_FiscalPeriod,BL$1083,GD_Update_Date,BL$1082)))</f>
        <v/>
      </c>
      <c r="BM1094" s="563">
        <f>IF(ISBLANK(BM$1083),"N/A",IF(COUNTIFS(GD_Item_FiscalPeriod,BM$1083,GD_Item_Name,$B1094,GD_Update_Date,BM$1082)=0,"NR",SUMIFS(GD_Guidance_High,GD_Item_Name,$B1094,GD_Item_FiscalPeriod,BM$1083,GD_Update_Date,BM$1082)))</f>
        <v/>
      </c>
      <c r="BN1094" s="563">
        <f>IF(ISBLANK(BN$1083),"N/A",IF(COUNTIFS(GD_Item_FiscalPeriod,BN$1083,GD_Item_Name,$B1094,GD_Update_Date,BN$1082)=0,"NR",SUMIFS(GD_Guidance_High,GD_Item_Name,$B1094,GD_Item_FiscalPeriod,BN$1083,GD_Update_Date,BN$1082)))</f>
        <v/>
      </c>
      <c r="BO1094" s="563">
        <f>IF(ISBLANK(BO$1083),"N/A",IF(COUNTIFS(GD_Item_FiscalPeriod,BO$1083,GD_Item_Name,$B1094,GD_Update_Date,BO$1082)=0,"NR",SUMIFS(GD_Guidance_High,GD_Item_Name,$B1094,GD_Item_FiscalPeriod,BO$1083,GD_Update_Date,BO$1082)))</f>
        <v/>
      </c>
      <c r="BP1094" s="563">
        <f>IF(ISBLANK(BP$1083),"N/A",IF(COUNTIFS(GD_Item_FiscalPeriod,BP$1083,GD_Item_Name,$B1094,GD_Update_Date,BP$1082)=0,"NR",SUMIFS(GD_Guidance_High,GD_Item_Name,$B1094,GD_Item_FiscalPeriod,BP$1083,GD_Update_Date,BP$1082)))</f>
        <v/>
      </c>
      <c r="BQ1094" s="563">
        <f>IF(ISBLANK(BQ$1083),"N/A",IF(COUNTIFS(GD_Item_FiscalPeriod,BQ$1083,GD_Item_Name,$B1094,GD_Update_Date,BQ$1082)=0,"NR",SUMIFS(GD_Guidance_High,GD_Item_Name,$B1094,GD_Item_FiscalPeriod,BQ$1083,GD_Update_Date,BQ$1082)))</f>
        <v/>
      </c>
      <c r="BR1094" s="563">
        <f>IF(ISBLANK(BR$1083),"N/A",IF(COUNTIFS(GD_Item_FiscalPeriod,BR$1083,GD_Item_Name,$B1094,GD_Update_Date,BR$1082)=0,"NR",SUMIFS(GD_Guidance_High,GD_Item_Name,$B1094,GD_Item_FiscalPeriod,BR$1083,GD_Update_Date,BR$1082)))</f>
        <v/>
      </c>
      <c r="BS1094" s="563">
        <f>IF(ISBLANK(BS$1083),"N/A",IF(COUNTIFS(GD_Item_FiscalPeriod,BS$1083,GD_Item_Name,$B1094,GD_Update_Date,BS$1082)=0,"NR",SUMIFS(GD_Guidance_High,GD_Item_Name,$B1094,GD_Item_FiscalPeriod,BS$1083,GD_Update_Date,BS$1082)))</f>
        <v/>
      </c>
      <c r="BT1094" s="563">
        <f>IF(ISBLANK(BT$1083),"N/A",IF(COUNTIFS(GD_Item_FiscalPeriod,BT$1083,GD_Item_Name,$B1094,GD_Update_Date,BT$1082)=0,"NR",SUMIFS(GD_Guidance_High,GD_Item_Name,$B1094,GD_Item_FiscalPeriod,BT$1083,GD_Update_Date,BT$1082)))</f>
        <v/>
      </c>
      <c r="BU1094" s="563">
        <f>IF(ISBLANK(BU$1083),"N/A",IF(COUNTIFS(GD_Item_FiscalPeriod,BU$1083,GD_Item_Name,$B1094,GD_Update_Date,BU$1082)=0,"NR",SUMIFS(GD_Guidance_High,GD_Item_Name,$B1094,GD_Item_FiscalPeriod,BU$1083,GD_Update_Date,BU$1082)))</f>
        <v/>
      </c>
      <c r="BV1094" s="731">
        <f>IF(ISBLANK(BV$1083),"N/A",IF(COUNTIFS(GD_Item_FiscalPeriod,BV$1083,GD_Item_Name,$B1094,GD_Update_Date,BV$1082)=0,"NR",SUMIFS(GD_Guidance_High,GD_Item_Name,$B1094,GD_Item_FiscalPeriod,BV$1083,GD_Update_Date,BV$1082)))</f>
        <v/>
      </c>
      <c r="BW1094" s="563">
        <f>IF(ISBLANK(BW$1083),"N/A",IF(COUNTIFS(GD_Item_FiscalPeriod,BW$1083,GD_Item_Name,$B1094,GD_Update_Date,BW$1082)=0,"NR",SUMIFS(GD_Guidance_High,GD_Item_Name,$B1094,GD_Item_FiscalPeriod,BW$1083,GD_Update_Date,BW$1082)))</f>
        <v/>
      </c>
      <c r="BX1094" s="563">
        <f>IF(ISBLANK(BX$1083),"N/A",IF(COUNTIFS(GD_Item_FiscalPeriod,BX$1083,GD_Item_Name,$B1094,GD_Update_Date,BX$1082)=0,"NR",SUMIFS(GD_Guidance_High,GD_Item_Name,$B1094,GD_Item_FiscalPeriod,BX$1083,GD_Update_Date,BX$1082)))</f>
        <v/>
      </c>
      <c r="BY1094" s="563">
        <f>IF(ISBLANK(BY$1083),"N/A",IF(COUNTIFS(GD_Item_FiscalPeriod,BY$1083,GD_Item_Name,$B1094,GD_Update_Date,BY$1082)=0,"NR",SUMIFS(GD_Guidance_High,GD_Item_Name,$B1094,GD_Item_FiscalPeriod,BY$1083,GD_Update_Date,BY$1082)))</f>
        <v/>
      </c>
      <c r="BZ1094" s="563">
        <f>IF(ISBLANK(BZ$1083),"N/A",IF(COUNTIFS(GD_Item_FiscalPeriod,BZ$1083,GD_Item_Name,$B1094,GD_Update_Date,BZ$1082)=0,"NR",SUMIFS(GD_Guidance_High,GD_Item_Name,$B1094,GD_Item_FiscalPeriod,BZ$1083,GD_Update_Date,BZ$1082)))</f>
        <v/>
      </c>
      <c r="CA1094" s="563">
        <f>IF(ISBLANK(CA$1083),"N/A",IF(COUNTIFS(GD_Item_FiscalPeriod,CA$1083,GD_Item_Name,$B1094,GD_Update_Date,CA$1082)=0,"NR",SUMIFS(GD_Guidance_High,GD_Item_Name,$B1094,GD_Item_FiscalPeriod,CA$1083,GD_Update_Date,CA$1082)))</f>
        <v/>
      </c>
      <c r="CB1094" s="563">
        <f>IF(ISBLANK(CB$1083),"N/A",IF(COUNTIFS(GD_Item_FiscalPeriod,CB$1083,GD_Item_Name,$B1094,GD_Update_Date,CB$1082)=0,"NR",SUMIFS(GD_Guidance_High,GD_Item_Name,$B1094,GD_Item_FiscalPeriod,CB$1083,GD_Update_Date,CB$1082)))</f>
        <v/>
      </c>
      <c r="CC1094" s="563">
        <f>IF(ISBLANK(CC$1083),"N/A",IF(COUNTIFS(GD_Item_FiscalPeriod,CC$1083,GD_Item_Name,$B1094,GD_Update_Date,CC$1082)=0,"NR",SUMIFS(GD_Guidance_High,GD_Item_Name,$B1094,GD_Item_FiscalPeriod,CC$1083,GD_Update_Date,CC$1082)))</f>
        <v/>
      </c>
      <c r="CD1094" s="563">
        <f>IF(ISBLANK(CD$1083),"N/A",IF(COUNTIFS(GD_Item_FiscalPeriod,CD$1083,GD_Item_Name,$B1094,GD_Update_Date,CD$1082)=0,"NR",SUMIFS(GD_Guidance_High,GD_Item_Name,$B1094,GD_Item_FiscalPeriod,CD$1083,GD_Update_Date,CD$1082)))</f>
        <v/>
      </c>
      <c r="CE1094" s="563">
        <f>IF(ISBLANK(CE$1083),"N/A",IF(COUNTIFS(GD_Item_FiscalPeriod,CE$1083,GD_Item_Name,$B1094,GD_Update_Date,CE$1082)=0,"NR",SUMIFS(GD_Guidance_High,GD_Item_Name,$B1094,GD_Item_FiscalPeriod,CE$1083,GD_Update_Date,CE$1082)))</f>
        <v/>
      </c>
      <c r="CF1094" s="794">
        <f>IF(ISBLANK(CF$1083),"N/A",IF(COUNTIFS(GD_Item_FiscalPeriod,CF$1083,GD_Item_Name,$B1094,GD_Update_Date,CF$1082)=0,"NR",SUMIFS(GD_Guidance_High,GD_Item_Name,$B1094,GD_Item_FiscalPeriod,CF$1083,GD_Update_Date,CF$1082)))</f>
        <v/>
      </c>
      <c r="CG1094" s="155" t="n"/>
    </row>
    <row r="1095">
      <c r="A1095" s="793" t="inlineStr">
        <is>
          <t>Mid - Capex, mm</t>
        </is>
      </c>
      <c r="B1095" s="1053" t="inlineStr">
        <is>
          <t>MO_CFSum_Capex</t>
        </is>
      </c>
      <c r="C1095" s="1006" t="n"/>
      <c r="D1095" s="1006" t="n"/>
      <c r="E1095" s="563" t="n"/>
      <c r="F1095" s="563" t="n"/>
      <c r="G1095" s="563" t="n"/>
      <c r="H1095" s="563" t="n"/>
      <c r="I1095" s="563" t="n"/>
      <c r="J1095" s="563" t="n"/>
      <c r="K1095" s="563" t="n"/>
      <c r="L1095" s="563" t="n"/>
      <c r="M1095" s="563" t="n"/>
      <c r="N1095" s="563" t="n"/>
      <c r="O1095" s="563" t="n"/>
      <c r="P1095" s="563" t="n"/>
      <c r="Q1095" s="563" t="n"/>
      <c r="R1095" s="563" t="n"/>
      <c r="S1095" s="563" t="n"/>
      <c r="T1095" s="563" t="n"/>
      <c r="U1095" s="563" t="n"/>
      <c r="V1095" s="563" t="n"/>
      <c r="W1095" s="563" t="n"/>
      <c r="X1095" s="563" t="n"/>
      <c r="Y1095" s="563" t="n"/>
      <c r="Z1095" s="563" t="n"/>
      <c r="AA1095" s="563" t="n"/>
      <c r="AB1095" s="563" t="n"/>
      <c r="AC1095" s="563" t="n"/>
      <c r="AD1095" s="563" t="n"/>
      <c r="AE1095" s="563" t="n"/>
      <c r="AF1095" s="563" t="n"/>
      <c r="AG1095" s="563" t="n"/>
      <c r="AH1095" s="563">
        <f>IF(ISBLANK(AH$1083),"N/A",IF(COUNTIFS(GD_Item_FiscalPeriod,AH$1083,GD_Item_Name,$B1095,GD_Update_Date,AH$1082)=0,"NR",SUMIFS(GD_Guidance_Mid,GD_Item_Name,$B1095,GD_Item_FiscalPeriod,AH$1083,GD_Update_Date,AH$1082)))</f>
        <v/>
      </c>
      <c r="AI1095" s="563">
        <f>IF(ISBLANK(AI$1083),"N/A",IF(COUNTIFS(GD_Item_FiscalPeriod,AI$1083,GD_Item_Name,$B1095,GD_Update_Date,AI$1082)=0,"NR",SUMIFS(GD_Guidance_Mid,GD_Item_Name,$B1095,GD_Item_FiscalPeriod,AI$1083,GD_Update_Date,AI$1082)))</f>
        <v/>
      </c>
      <c r="AJ1095" s="563">
        <f>IF(ISBLANK(AJ$1083),"N/A",IF(COUNTIFS(GD_Item_FiscalPeriod,AJ$1083,GD_Item_Name,$B1095,GD_Update_Date,AJ$1082)=0,"NR",SUMIFS(GD_Guidance_Mid,GD_Item_Name,$B1095,GD_Item_FiscalPeriod,AJ$1083,GD_Update_Date,AJ$1082)))</f>
        <v/>
      </c>
      <c r="AK1095" s="563">
        <f>IF(ISBLANK(AK$1083),"N/A",IF(COUNTIFS(GD_Item_FiscalPeriod,AK$1083,GD_Item_Name,$B1095,GD_Update_Date,AK$1082)=0,"NR",SUMIFS(GD_Guidance_Mid,GD_Item_Name,$B1095,GD_Item_FiscalPeriod,AK$1083,GD_Update_Date,AK$1082)))</f>
        <v/>
      </c>
      <c r="AL1095" s="563">
        <f>IF(ISBLANK(AL$1083),"N/A",IF(COUNTIFS(GD_Item_FiscalPeriod,AL$1083,GD_Item_Name,$B1095,GD_Update_Date,AL$1082)=0,"NR",SUMIFS(GD_Guidance_Mid,GD_Item_Name,$B1095,GD_Item_FiscalPeriod,AL$1083,GD_Update_Date,AL$1082)))</f>
        <v/>
      </c>
      <c r="AM1095" s="563">
        <f>IF(ISBLANK(AM$1083),"N/A",IF(COUNTIFS(GD_Item_FiscalPeriod,AM$1083,GD_Item_Name,$B1095,GD_Update_Date,AM$1082)=0,"NR",SUMIFS(GD_Guidance_Mid,GD_Item_Name,$B1095,GD_Item_FiscalPeriod,AM$1083,GD_Update_Date,AM$1082)))</f>
        <v/>
      </c>
      <c r="AN1095" s="563">
        <f>IF(ISBLANK(AN$1083),"N/A",IF(COUNTIFS(GD_Item_FiscalPeriod,AN$1083,GD_Item_Name,$B1095,GD_Update_Date,AN$1082)=0,"NR",SUMIFS(GD_Guidance_Mid,GD_Item_Name,$B1095,GD_Item_FiscalPeriod,AN$1083,GD_Update_Date,AN$1082)))</f>
        <v/>
      </c>
      <c r="AO1095" s="563">
        <f>IF(ISBLANK(AO$1083),"N/A",IF(COUNTIFS(GD_Item_FiscalPeriod,AO$1083,GD_Item_Name,$B1095,GD_Update_Date,AO$1082)=0,"NR",SUMIFS(GD_Guidance_Mid,GD_Item_Name,$B1095,GD_Item_FiscalPeriod,AO$1083,GD_Update_Date,AO$1082)))</f>
        <v/>
      </c>
      <c r="AP1095" s="563">
        <f>IF(ISBLANK(AP$1083),"N/A",IF(COUNTIFS(GD_Item_FiscalPeriod,AP$1083,GD_Item_Name,$B1095,GD_Update_Date,AP$1082)=0,"NR",SUMIFS(GD_Guidance_Mid,GD_Item_Name,$B1095,GD_Item_FiscalPeriod,AP$1083,GD_Update_Date,AP$1082)))</f>
        <v/>
      </c>
      <c r="AQ1095" s="563">
        <f>IF(ISBLANK(AQ$1083),"N/A",IF(COUNTIFS(GD_Item_FiscalPeriod,AQ$1083,GD_Item_Name,$B1095,GD_Update_Date,AQ$1082)=0,"NR",SUMIFS(GD_Guidance_Mid,GD_Item_Name,$B1095,GD_Item_FiscalPeriod,AQ$1083,GD_Update_Date,AQ$1082)))</f>
        <v/>
      </c>
      <c r="AR1095" s="563">
        <f>IF(ISBLANK(AR$1083),"N/A",IF(COUNTIFS(GD_Item_FiscalPeriod,AR$1083,GD_Item_Name,$B1095,GD_Update_Date,AR$1082)=0,"NR",SUMIFS(GD_Guidance_Mid,GD_Item_Name,$B1095,GD_Item_FiscalPeriod,AR$1083,GD_Update_Date,AR$1082)))</f>
        <v/>
      </c>
      <c r="AS1095" s="563">
        <f>IF(ISBLANK(AS$1083),"N/A",IF(COUNTIFS(GD_Item_FiscalPeriod,AS$1083,GD_Item_Name,$B1095,GD_Update_Date,AS$1082)=0,"NR",SUMIFS(GD_Guidance_Mid,GD_Item_Name,$B1095,GD_Item_FiscalPeriod,AS$1083,GD_Update_Date,AS$1082)))</f>
        <v/>
      </c>
      <c r="AT1095" s="563">
        <f>IF(ISBLANK(AT$1083),"N/A",IF(COUNTIFS(GD_Item_FiscalPeriod,AT$1083,GD_Item_Name,$B1095,GD_Update_Date,AT$1082)=0,"NR",SUMIFS(GD_Guidance_Mid,GD_Item_Name,$B1095,GD_Item_FiscalPeriod,AT$1083,GD_Update_Date,AT$1082)))</f>
        <v/>
      </c>
      <c r="AU1095" s="563">
        <f>IF(ISBLANK(AU$1083),"N/A",IF(COUNTIFS(GD_Item_FiscalPeriod,AU$1083,GD_Item_Name,$B1095,GD_Update_Date,AU$1082)=0,"NR",SUMIFS(GD_Guidance_Mid,GD_Item_Name,$B1095,GD_Item_FiscalPeriod,AU$1083,GD_Update_Date,AU$1082)))</f>
        <v/>
      </c>
      <c r="AV1095" s="563">
        <f>IF(ISBLANK(AV$1083),"N/A",IF(COUNTIFS(GD_Item_FiscalPeriod,AV$1083,GD_Item_Name,$B1095,GD_Update_Date,AV$1082)=0,"NR",SUMIFS(GD_Guidance_Mid,GD_Item_Name,$B1095,GD_Item_FiscalPeriod,AV$1083,GD_Update_Date,AV$1082)))</f>
        <v/>
      </c>
      <c r="AW1095" s="563">
        <f>IF(ISBLANK(AW$1083),"N/A",IF(COUNTIFS(GD_Item_FiscalPeriod,AW$1083,GD_Item_Name,$B1095,GD_Update_Date,AW$1082)=0,"NR",SUMIFS(GD_Guidance_Mid,GD_Item_Name,$B1095,GD_Item_FiscalPeriod,AW$1083,GD_Update_Date,AW$1082)))</f>
        <v/>
      </c>
      <c r="AX1095" s="563">
        <f>IF(ISBLANK(AX$1083),"N/A",IF(COUNTIFS(GD_Item_FiscalPeriod,AX$1083,GD_Item_Name,$B1095,GD_Update_Date,AX$1082)=0,"NR",SUMIFS(GD_Guidance_Mid,GD_Item_Name,$B1095,GD_Item_FiscalPeriod,AX$1083,GD_Update_Date,AX$1082)))</f>
        <v/>
      </c>
      <c r="AY1095" s="563">
        <f>IF(ISBLANK(AY$1083),"N/A",IF(COUNTIFS(GD_Item_FiscalPeriod,AY$1083,GD_Item_Name,$B1095,GD_Update_Date,AY$1082)=0,"NR",SUMIFS(GD_Guidance_Mid,GD_Item_Name,$B1095,GD_Item_FiscalPeriod,AY$1083,GD_Update_Date,AY$1082)))</f>
        <v/>
      </c>
      <c r="AZ1095" s="563">
        <f>IF(ISBLANK(AZ$1083),"N/A",IF(COUNTIFS(GD_Item_FiscalPeriod,AZ$1083,GD_Item_Name,$B1095,GD_Update_Date,AZ$1082)=0,"NR",SUMIFS(GD_Guidance_Mid,GD_Item_Name,$B1095,GD_Item_FiscalPeriod,AZ$1083,GD_Update_Date,AZ$1082)))</f>
        <v/>
      </c>
      <c r="BA1095" s="563">
        <f>IF(ISBLANK(BA$1083),"N/A",IF(COUNTIFS(GD_Item_FiscalPeriod,BA$1083,GD_Item_Name,$B1095,GD_Update_Date,BA$1082)=0,"NR",SUMIFS(GD_Guidance_Mid,GD_Item_Name,$B1095,GD_Item_FiscalPeriod,BA$1083,GD_Update_Date,BA$1082)))</f>
        <v/>
      </c>
      <c r="BB1095" s="563">
        <f>IF(ISBLANK(BB$1083),"N/A",IF(COUNTIFS(GD_Item_FiscalPeriod,BB$1083,GD_Item_Name,$B1095,GD_Update_Date,BB$1082)=0,"NR",SUMIFS(GD_Guidance_Mid,GD_Item_Name,$B1095,GD_Item_FiscalPeriod,BB$1083,GD_Update_Date,BB$1082)))</f>
        <v/>
      </c>
      <c r="BC1095" s="563">
        <f>IF(ISBLANK(BC$1083),"N/A",IF(COUNTIFS(GD_Item_FiscalPeriod,BC$1083,GD_Item_Name,$B1095,GD_Update_Date,BC$1082)=0,"NR",SUMIFS(GD_Guidance_Mid,GD_Item_Name,$B1095,GD_Item_FiscalPeriod,BC$1083,GD_Update_Date,BC$1082)))</f>
        <v/>
      </c>
      <c r="BD1095" s="563">
        <f>IF(ISBLANK(BD$1083),"N/A",IF(COUNTIFS(GD_Item_FiscalPeriod,BD$1083,GD_Item_Name,$B1095,GD_Update_Date,BD$1082)=0,"NR",SUMIFS(GD_Guidance_Mid,GD_Item_Name,$B1095,GD_Item_FiscalPeriod,BD$1083,GD_Update_Date,BD$1082)))</f>
        <v/>
      </c>
      <c r="BE1095" s="563">
        <f>IF(ISBLANK(BE$1083),"N/A",IF(COUNTIFS(GD_Item_FiscalPeriod,BE$1083,GD_Item_Name,$B1095,GD_Update_Date,BE$1082)=0,"NR",SUMIFS(GD_Guidance_Mid,GD_Item_Name,$B1095,GD_Item_FiscalPeriod,BE$1083,GD_Update_Date,BE$1082)))</f>
        <v/>
      </c>
      <c r="BF1095" s="563">
        <f>IF(ISBLANK(BF$1083),"N/A",IF(COUNTIFS(GD_Item_FiscalPeriod,BF$1083,GD_Item_Name,$B1095,GD_Update_Date,BF$1082)=0,"NR",SUMIFS(GD_Guidance_Mid,GD_Item_Name,$B1095,GD_Item_FiscalPeriod,BF$1083,GD_Update_Date,BF$1082)))</f>
        <v/>
      </c>
      <c r="BG1095" s="563">
        <f>IF(ISBLANK(BG$1083),"N/A",IF(COUNTIFS(GD_Item_FiscalPeriod,BG$1083,GD_Item_Name,$B1095,GD_Update_Date,BG$1082)=0,"NR",SUMIFS(GD_Guidance_Mid,GD_Item_Name,$B1095,GD_Item_FiscalPeriod,BG$1083,GD_Update_Date,BG$1082)))</f>
        <v/>
      </c>
      <c r="BH1095" s="563">
        <f>IF(ISBLANK(BH$1083),"N/A",IF(COUNTIFS(GD_Item_FiscalPeriod,BH$1083,GD_Item_Name,$B1095,GD_Update_Date,BH$1082)=0,"NR",SUMIFS(GD_Guidance_Mid,GD_Item_Name,$B1095,GD_Item_FiscalPeriod,BH$1083,GD_Update_Date,BH$1082)))</f>
        <v/>
      </c>
      <c r="BI1095" s="563">
        <f>IF(ISBLANK(BI$1083),"N/A",IF(COUNTIFS(GD_Item_FiscalPeriod,BI$1083,GD_Item_Name,$B1095,GD_Update_Date,BI$1082)=0,"NR",SUMIFS(GD_Guidance_Mid,GD_Item_Name,$B1095,GD_Item_FiscalPeriod,BI$1083,GD_Update_Date,BI$1082)))</f>
        <v/>
      </c>
      <c r="BJ1095" s="563">
        <f>IF(ISBLANK(BJ$1083),"N/A",IF(COUNTIFS(GD_Item_FiscalPeriod,BJ$1083,GD_Item_Name,$B1095,GD_Update_Date,BJ$1082)=0,"NR",SUMIFS(GD_Guidance_Mid,GD_Item_Name,$B1095,GD_Item_FiscalPeriod,BJ$1083,GD_Update_Date,BJ$1082)))</f>
        <v/>
      </c>
      <c r="BK1095" s="563">
        <f>IF(ISBLANK(BK$1083),"N/A",IF(COUNTIFS(GD_Item_FiscalPeriod,BK$1083,GD_Item_Name,$B1095,GD_Update_Date,BK$1082)=0,"NR",SUMIFS(GD_Guidance_Mid,GD_Item_Name,$B1095,GD_Item_FiscalPeriod,BK$1083,GD_Update_Date,BK$1082)))</f>
        <v/>
      </c>
      <c r="BL1095" s="563">
        <f>IF(ISBLANK(BL$1083),"N/A",IF(COUNTIFS(GD_Item_FiscalPeriod,BL$1083,GD_Item_Name,$B1095,GD_Update_Date,BL$1082)=0,"NR",SUMIFS(GD_Guidance_Mid,GD_Item_Name,$B1095,GD_Item_FiscalPeriod,BL$1083,GD_Update_Date,BL$1082)))</f>
        <v/>
      </c>
      <c r="BM1095" s="563">
        <f>IF(ISBLANK(BM$1083),"N/A",IF(COUNTIFS(GD_Item_FiscalPeriod,BM$1083,GD_Item_Name,$B1095,GD_Update_Date,BM$1082)=0,"NR",SUMIFS(GD_Guidance_Mid,GD_Item_Name,$B1095,GD_Item_FiscalPeriod,BM$1083,GD_Update_Date,BM$1082)))</f>
        <v/>
      </c>
      <c r="BN1095" s="563">
        <f>IF(ISBLANK(BN$1083),"N/A",IF(COUNTIFS(GD_Item_FiscalPeriod,BN$1083,GD_Item_Name,$B1095,GD_Update_Date,BN$1082)=0,"NR",SUMIFS(GD_Guidance_Mid,GD_Item_Name,$B1095,GD_Item_FiscalPeriod,BN$1083,GD_Update_Date,BN$1082)))</f>
        <v/>
      </c>
      <c r="BO1095" s="563">
        <f>IF(ISBLANK(BO$1083),"N/A",IF(COUNTIFS(GD_Item_FiscalPeriod,BO$1083,GD_Item_Name,$B1095,GD_Update_Date,BO$1082)=0,"NR",SUMIFS(GD_Guidance_Mid,GD_Item_Name,$B1095,GD_Item_FiscalPeriod,BO$1083,GD_Update_Date,BO$1082)))</f>
        <v/>
      </c>
      <c r="BP1095" s="563">
        <f>IF(ISBLANK(BP$1083),"N/A",IF(COUNTIFS(GD_Item_FiscalPeriod,BP$1083,GD_Item_Name,$B1095,GD_Update_Date,BP$1082)=0,"NR",SUMIFS(GD_Guidance_Mid,GD_Item_Name,$B1095,GD_Item_FiscalPeriod,BP$1083,GD_Update_Date,BP$1082)))</f>
        <v/>
      </c>
      <c r="BQ1095" s="563">
        <f>IF(ISBLANK(BQ$1083),"N/A",IF(COUNTIFS(GD_Item_FiscalPeriod,BQ$1083,GD_Item_Name,$B1095,GD_Update_Date,BQ$1082)=0,"NR",SUMIFS(GD_Guidance_Mid,GD_Item_Name,$B1095,GD_Item_FiscalPeriod,BQ$1083,GD_Update_Date,BQ$1082)))</f>
        <v/>
      </c>
      <c r="BR1095" s="563">
        <f>IF(ISBLANK(BR$1083),"N/A",IF(COUNTIFS(GD_Item_FiscalPeriod,BR$1083,GD_Item_Name,$B1095,GD_Update_Date,BR$1082)=0,"NR",SUMIFS(GD_Guidance_Mid,GD_Item_Name,$B1095,GD_Item_FiscalPeriod,BR$1083,GD_Update_Date,BR$1082)))</f>
        <v/>
      </c>
      <c r="BS1095" s="563">
        <f>IF(ISBLANK(BS$1083),"N/A",IF(COUNTIFS(GD_Item_FiscalPeriod,BS$1083,GD_Item_Name,$B1095,GD_Update_Date,BS$1082)=0,"NR",SUMIFS(GD_Guidance_Mid,GD_Item_Name,$B1095,GD_Item_FiscalPeriod,BS$1083,GD_Update_Date,BS$1082)))</f>
        <v/>
      </c>
      <c r="BT1095" s="563">
        <f>IF(ISBLANK(BT$1083),"N/A",IF(COUNTIFS(GD_Item_FiscalPeriod,BT$1083,GD_Item_Name,$B1095,GD_Update_Date,BT$1082)=0,"NR",SUMIFS(GD_Guidance_Mid,GD_Item_Name,$B1095,GD_Item_FiscalPeriod,BT$1083,GD_Update_Date,BT$1082)))</f>
        <v/>
      </c>
      <c r="BU1095" s="563">
        <f>IF(ISBLANK(BU$1083),"N/A",IF(COUNTIFS(GD_Item_FiscalPeriod,BU$1083,GD_Item_Name,$B1095,GD_Update_Date,BU$1082)=0,"NR",SUMIFS(GD_Guidance_Mid,GD_Item_Name,$B1095,GD_Item_FiscalPeriod,BU$1083,GD_Update_Date,BU$1082)))</f>
        <v/>
      </c>
      <c r="BV1095" s="731">
        <f>IF(ISBLANK(BV$1083),"N/A",IF(COUNTIFS(GD_Item_FiscalPeriod,BV$1083,GD_Item_Name,$B1095,GD_Update_Date,BV$1082)=0,"NR",SUMIFS(GD_Guidance_Mid,GD_Item_Name,$B1095,GD_Item_FiscalPeriod,BV$1083,GD_Update_Date,BV$1082)))</f>
        <v/>
      </c>
      <c r="BW1095" s="563">
        <f>IF(ISBLANK(BW$1083),"N/A",IF(COUNTIFS(GD_Item_FiscalPeriod,BW$1083,GD_Item_Name,$B1095,GD_Update_Date,BW$1082)=0,"NR",SUMIFS(GD_Guidance_Mid,GD_Item_Name,$B1095,GD_Item_FiscalPeriod,BW$1083,GD_Update_Date,BW$1082)))</f>
        <v/>
      </c>
      <c r="BX1095" s="563">
        <f>IF(ISBLANK(BX$1083),"N/A",IF(COUNTIFS(GD_Item_FiscalPeriod,BX$1083,GD_Item_Name,$B1095,GD_Update_Date,BX$1082)=0,"NR",SUMIFS(GD_Guidance_Mid,GD_Item_Name,$B1095,GD_Item_FiscalPeriod,BX$1083,GD_Update_Date,BX$1082)))</f>
        <v/>
      </c>
      <c r="BY1095" s="563">
        <f>IF(ISBLANK(BY$1083),"N/A",IF(COUNTIFS(GD_Item_FiscalPeriod,BY$1083,GD_Item_Name,$B1095,GD_Update_Date,BY$1082)=0,"NR",SUMIFS(GD_Guidance_Mid,GD_Item_Name,$B1095,GD_Item_FiscalPeriod,BY$1083,GD_Update_Date,BY$1082)))</f>
        <v/>
      </c>
      <c r="BZ1095" s="563">
        <f>IF(ISBLANK(BZ$1083),"N/A",IF(COUNTIFS(GD_Item_FiscalPeriod,BZ$1083,GD_Item_Name,$B1095,GD_Update_Date,BZ$1082)=0,"NR",SUMIFS(GD_Guidance_Mid,GD_Item_Name,$B1095,GD_Item_FiscalPeriod,BZ$1083,GD_Update_Date,BZ$1082)))</f>
        <v/>
      </c>
      <c r="CA1095" s="563">
        <f>IF(ISBLANK(CA$1083),"N/A",IF(COUNTIFS(GD_Item_FiscalPeriod,CA$1083,GD_Item_Name,$B1095,GD_Update_Date,CA$1082)=0,"NR",SUMIFS(GD_Guidance_Mid,GD_Item_Name,$B1095,GD_Item_FiscalPeriod,CA$1083,GD_Update_Date,CA$1082)))</f>
        <v/>
      </c>
      <c r="CB1095" s="563">
        <f>IF(ISBLANK(CB$1083),"N/A",IF(COUNTIFS(GD_Item_FiscalPeriod,CB$1083,GD_Item_Name,$B1095,GD_Update_Date,CB$1082)=0,"NR",SUMIFS(GD_Guidance_Mid,GD_Item_Name,$B1095,GD_Item_FiscalPeriod,CB$1083,GD_Update_Date,CB$1082)))</f>
        <v/>
      </c>
      <c r="CC1095" s="563">
        <f>IF(ISBLANK(CC$1083),"N/A",IF(COUNTIFS(GD_Item_FiscalPeriod,CC$1083,GD_Item_Name,$B1095,GD_Update_Date,CC$1082)=0,"NR",SUMIFS(GD_Guidance_Mid,GD_Item_Name,$B1095,GD_Item_FiscalPeriod,CC$1083,GD_Update_Date,CC$1082)))</f>
        <v/>
      </c>
      <c r="CD1095" s="563">
        <f>IF(ISBLANK(CD$1083),"N/A",IF(COUNTIFS(GD_Item_FiscalPeriod,CD$1083,GD_Item_Name,$B1095,GD_Update_Date,CD$1082)=0,"NR",SUMIFS(GD_Guidance_Mid,GD_Item_Name,$B1095,GD_Item_FiscalPeriod,CD$1083,GD_Update_Date,CD$1082)))</f>
        <v/>
      </c>
      <c r="CE1095" s="563">
        <f>IF(ISBLANK(CE$1083),"N/A",IF(COUNTIFS(GD_Item_FiscalPeriod,CE$1083,GD_Item_Name,$B1095,GD_Update_Date,CE$1082)=0,"NR",SUMIFS(GD_Guidance_Mid,GD_Item_Name,$B1095,GD_Item_FiscalPeriod,CE$1083,GD_Update_Date,CE$1082)))</f>
        <v/>
      </c>
      <c r="CF1095" s="794">
        <f>IF(ISBLANK(CF$1083),"N/A",IF(COUNTIFS(GD_Item_FiscalPeriod,CF$1083,GD_Item_Name,$B1095,GD_Update_Date,CF$1082)=0,"NR",SUMIFS(GD_Guidance_Mid,GD_Item_Name,$B1095,GD_Item_FiscalPeriod,CF$1083,GD_Update_Date,CF$1082)))</f>
        <v/>
      </c>
      <c r="CG1095" s="155" t="n"/>
    </row>
    <row r="1096">
      <c r="A1096" s="744" t="n"/>
      <c r="B1096" s="109" t="n"/>
      <c r="C1096" s="740" t="n"/>
      <c r="D1096" s="740" t="n"/>
      <c r="E1096" s="109" t="n"/>
      <c r="F1096" s="109" t="n"/>
      <c r="G1096" s="109" t="n"/>
      <c r="H1096" s="109" t="n"/>
      <c r="I1096" s="109" t="n"/>
      <c r="J1096" s="109" t="n"/>
      <c r="K1096" s="109" t="n"/>
      <c r="L1096" s="109" t="n"/>
      <c r="M1096" s="109" t="n"/>
      <c r="N1096" s="109" t="n"/>
      <c r="O1096" s="109" t="n"/>
      <c r="P1096" s="109" t="n"/>
      <c r="Q1096" s="109" t="n"/>
      <c r="R1096" s="109" t="n"/>
      <c r="S1096" s="109" t="n"/>
      <c r="T1096" s="109" t="n"/>
      <c r="U1096" s="109" t="n"/>
      <c r="V1096" s="109" t="n"/>
      <c r="W1096" s="109" t="n"/>
      <c r="X1096" s="109" t="n"/>
      <c r="Y1096" s="109" t="n"/>
      <c r="Z1096" s="109" t="n"/>
      <c r="AA1096" s="109" t="n"/>
      <c r="AB1096" s="109" t="n"/>
      <c r="AC1096" s="109" t="n"/>
      <c r="AD1096" s="109" t="n"/>
      <c r="AE1096" s="109" t="n"/>
      <c r="AF1096" s="109" t="n"/>
      <c r="AG1096" s="109" t="n"/>
      <c r="AH1096" s="109" t="n"/>
      <c r="AI1096" s="109" t="n"/>
      <c r="AJ1096" s="109" t="n"/>
      <c r="AK1096" s="109" t="n"/>
      <c r="AL1096" s="109" t="n"/>
      <c r="AM1096" s="109" t="n"/>
      <c r="AN1096" s="109" t="n"/>
      <c r="AO1096" s="109" t="n"/>
      <c r="AP1096" s="109" t="n"/>
      <c r="AQ1096" s="109" t="n"/>
      <c r="AR1096" s="109" t="n"/>
      <c r="AS1096" s="109" t="n"/>
      <c r="AT1096" s="109" t="n"/>
      <c r="AU1096" s="109" t="n"/>
      <c r="AV1096" s="109" t="n"/>
      <c r="AW1096" s="109" t="n"/>
      <c r="AX1096" s="109" t="n"/>
      <c r="AY1096" s="109" t="n"/>
      <c r="AZ1096" s="109" t="n"/>
      <c r="BA1096" s="109" t="n"/>
      <c r="BB1096" s="109" t="n"/>
      <c r="BC1096" s="109" t="n"/>
      <c r="BD1096" s="109" t="n"/>
      <c r="BE1096" s="109" t="n"/>
      <c r="BF1096" s="109" t="n"/>
      <c r="BG1096" s="109" t="n"/>
      <c r="BH1096" s="109" t="n"/>
      <c r="BI1096" s="109" t="n"/>
      <c r="BJ1096" s="109" t="n"/>
      <c r="BK1096" s="109" t="n"/>
      <c r="BL1096" s="109" t="n"/>
      <c r="BM1096" s="109" t="n"/>
      <c r="BN1096" s="109" t="n"/>
      <c r="BO1096" s="109" t="n"/>
      <c r="BP1096" s="109" t="n"/>
      <c r="BQ1096" s="109" t="n"/>
      <c r="BR1096" s="109" t="n"/>
      <c r="BS1096" s="109" t="n"/>
      <c r="BT1096" s="109" t="n"/>
      <c r="BU1096" s="109" t="n"/>
      <c r="BV1096" s="730" t="n"/>
      <c r="BW1096" s="109" t="n"/>
      <c r="BX1096" s="109" t="n"/>
      <c r="BY1096" s="109" t="n"/>
      <c r="BZ1096" s="109" t="n"/>
      <c r="CA1096" s="109" t="n"/>
      <c r="CB1096" s="109" t="n"/>
      <c r="CC1096" s="109" t="n"/>
      <c r="CD1096" s="109" t="n"/>
      <c r="CE1096" s="109" t="n"/>
      <c r="CF1096" s="741" t="n"/>
      <c r="CG1096" s="155" t="n"/>
    </row>
    <row r="1097">
      <c r="A1097" s="253" t="n"/>
      <c r="B1097" s="68" t="n"/>
      <c r="C1097" s="1003" t="n"/>
      <c r="D1097" s="1003" t="n"/>
      <c r="E1097" s="68" t="n"/>
      <c r="F1097" s="68" t="n"/>
      <c r="G1097" s="68" t="n"/>
      <c r="H1097" s="68" t="n"/>
      <c r="I1097" s="68" t="n"/>
      <c r="J1097" s="68" t="n"/>
      <c r="K1097" s="68" t="n"/>
      <c r="L1097" s="68" t="n"/>
      <c r="M1097" s="68" t="n"/>
      <c r="N1097" s="68" t="n"/>
      <c r="O1097" s="68" t="n"/>
      <c r="P1097" s="68" t="n"/>
      <c r="Q1097" s="68" t="n"/>
      <c r="R1097" s="68" t="n"/>
      <c r="S1097" s="68" t="n"/>
      <c r="T1097" s="68" t="n"/>
      <c r="U1097" s="68" t="n"/>
      <c r="V1097" s="68" t="n"/>
      <c r="W1097" s="68" t="n"/>
      <c r="X1097" s="68" t="n"/>
      <c r="Y1097" s="68" t="n"/>
      <c r="Z1097" s="68" t="n"/>
      <c r="AA1097" s="68" t="n"/>
      <c r="AB1097" s="68" t="n"/>
      <c r="AC1097" s="68" t="n"/>
      <c r="AD1097" s="68" t="n"/>
      <c r="AE1097" s="68" t="n"/>
      <c r="AF1097" s="68" t="n"/>
      <c r="AG1097" s="68" t="n"/>
      <c r="AH1097" s="68" t="n"/>
      <c r="AI1097" s="68" t="n"/>
      <c r="AJ1097" s="68" t="n"/>
      <c r="AK1097" s="68" t="n"/>
      <c r="AL1097" s="68" t="n"/>
      <c r="AM1097" s="68" t="n"/>
      <c r="AN1097" s="68" t="n"/>
      <c r="AO1097" s="68" t="n"/>
      <c r="AP1097" s="68" t="n"/>
      <c r="AQ1097" s="68" t="n"/>
      <c r="AR1097" s="68" t="n"/>
      <c r="AS1097" s="68" t="n"/>
      <c r="AT1097" s="68" t="n"/>
      <c r="AU1097" s="68" t="n"/>
      <c r="AV1097" s="68" t="n"/>
      <c r="AW1097" s="68" t="n"/>
      <c r="AX1097" s="68" t="n"/>
      <c r="AY1097" s="68" t="n"/>
      <c r="AZ1097" s="68" t="n"/>
      <c r="BA1097" s="68" t="n"/>
      <c r="BB1097" s="68" t="n"/>
      <c r="BC1097" s="68" t="n"/>
      <c r="BD1097" s="68" t="n"/>
      <c r="BE1097" s="68" t="n"/>
      <c r="BF1097" s="68" t="n"/>
      <c r="BG1097" s="68" t="n"/>
      <c r="BH1097" s="68" t="n"/>
      <c r="BI1097" s="68" t="n"/>
      <c r="BJ1097" s="68" t="n"/>
      <c r="BK1097" s="68" t="n"/>
      <c r="BL1097" s="68" t="n"/>
      <c r="BM1097" s="68" t="n"/>
      <c r="BN1097" s="68" t="n"/>
      <c r="BO1097" s="68" t="n"/>
      <c r="BP1097" s="68" t="n"/>
      <c r="BQ1097" s="68" t="n"/>
      <c r="BR1097" s="68" t="n"/>
      <c r="BS1097" s="68" t="n"/>
      <c r="BT1097" s="68" t="n"/>
      <c r="BU1097" s="68" t="n"/>
      <c r="BV1097" s="588" t="n"/>
      <c r="BW1097" s="68" t="n"/>
      <c r="BX1097" s="68" t="n"/>
      <c r="BY1097" s="68" t="n"/>
      <c r="BZ1097" s="68" t="n"/>
      <c r="CA1097" s="68" t="n"/>
      <c r="CB1097" s="68" t="n"/>
      <c r="CC1097" s="68" t="n"/>
      <c r="CD1097" s="68" t="n"/>
      <c r="CE1097" s="68" t="n"/>
      <c r="CF1097" s="68" t="n"/>
      <c r="CG1097" s="155" t="n"/>
    </row>
    <row r="1098">
      <c r="A1098" s="742" t="inlineStr">
        <is>
          <t>Annual Guidance Table</t>
        </is>
      </c>
      <c r="B1098" s="561" t="n"/>
      <c r="C1098" s="737" t="n"/>
      <c r="D1098" s="737" t="n"/>
      <c r="E1098" s="561" t="n"/>
      <c r="F1098" s="561" t="n"/>
      <c r="G1098" s="561" t="n"/>
      <c r="H1098" s="561" t="n"/>
      <c r="I1098" s="561" t="n"/>
      <c r="J1098" s="561" t="n"/>
      <c r="K1098" s="561" t="n"/>
      <c r="L1098" s="561" t="n"/>
      <c r="M1098" s="561" t="n"/>
      <c r="N1098" s="561" t="n"/>
      <c r="O1098" s="561" t="n"/>
      <c r="P1098" s="561" t="n"/>
      <c r="Q1098" s="561" t="n"/>
      <c r="R1098" s="561" t="n"/>
      <c r="S1098" s="561" t="n"/>
      <c r="T1098" s="561" t="n"/>
      <c r="U1098" s="561" t="n"/>
      <c r="V1098" s="561" t="n"/>
      <c r="W1098" s="561" t="n"/>
      <c r="X1098" s="561" t="n"/>
      <c r="Y1098" s="561" t="n"/>
      <c r="Z1098" s="561" t="n"/>
      <c r="AA1098" s="561" t="n"/>
      <c r="AB1098" s="561" t="n"/>
      <c r="AC1098" s="561" t="n"/>
      <c r="AD1098" s="561" t="n"/>
      <c r="AE1098" s="561" t="n"/>
      <c r="AF1098" s="561" t="n"/>
      <c r="AG1098" s="561" t="n"/>
      <c r="AH1098" s="561" t="n"/>
      <c r="AI1098" s="561" t="n"/>
      <c r="AJ1098" s="561" t="n"/>
      <c r="AK1098" s="561" t="n"/>
      <c r="AL1098" s="561" t="n"/>
      <c r="AM1098" s="561" t="n"/>
      <c r="AN1098" s="561" t="n"/>
      <c r="AO1098" s="561" t="n"/>
      <c r="AP1098" s="561" t="n"/>
      <c r="AQ1098" s="561" t="n"/>
      <c r="AR1098" s="561" t="n"/>
      <c r="AS1098" s="561" t="n"/>
      <c r="AT1098" s="561" t="n"/>
      <c r="AU1098" s="561" t="n"/>
      <c r="AV1098" s="561" t="n"/>
      <c r="AW1098" s="561" t="n"/>
      <c r="AX1098" s="561" t="n"/>
      <c r="AY1098" s="561" t="n"/>
      <c r="AZ1098" s="561" t="n"/>
      <c r="BA1098" s="561" t="n"/>
      <c r="BB1098" s="561" t="n"/>
      <c r="BC1098" s="561" t="n"/>
      <c r="BD1098" s="561" t="n"/>
      <c r="BE1098" s="561" t="n"/>
      <c r="BF1098" s="561" t="n"/>
      <c r="BG1098" s="561" t="n"/>
      <c r="BH1098" s="561" t="n"/>
      <c r="BI1098" s="561" t="n"/>
      <c r="BJ1098" s="561" t="n"/>
      <c r="BK1098" s="561" t="n"/>
      <c r="BL1098" s="561" t="n"/>
      <c r="BM1098" s="561" t="n"/>
      <c r="BN1098" s="561" t="n"/>
      <c r="BO1098" s="561" t="n"/>
      <c r="BP1098" s="561" t="n"/>
      <c r="BQ1098" s="561" t="n"/>
      <c r="BR1098" s="561" t="n"/>
      <c r="BS1098" s="561" t="n"/>
      <c r="BT1098" s="561" t="n"/>
      <c r="BU1098" s="561" t="n"/>
      <c r="BV1098" s="738" t="n"/>
      <c r="BW1098" s="561" t="n"/>
      <c r="BX1098" s="561" t="n"/>
      <c r="BY1098" s="561" t="n"/>
      <c r="BZ1098" s="561" t="n"/>
      <c r="CA1098" s="561" t="n"/>
      <c r="CB1098" s="561" t="n"/>
      <c r="CC1098" s="561" t="n"/>
      <c r="CD1098" s="561" t="n"/>
      <c r="CE1098" s="561" t="n"/>
      <c r="CF1098" s="739" t="n"/>
      <c r="CG1098" s="155" t="n"/>
    </row>
    <row r="1099">
      <c r="A1099" s="743" t="inlineStr">
        <is>
          <t>Reporting Date</t>
        </is>
      </c>
      <c r="B1099" s="68" t="n"/>
      <c r="C1099" s="1004" t="n"/>
      <c r="D1099" s="1004" t="n"/>
      <c r="E1099" s="745" t="n"/>
      <c r="F1099" s="745" t="n"/>
      <c r="G1099" s="745" t="n"/>
      <c r="H1099" s="745" t="n"/>
      <c r="I1099" s="745" t="n"/>
      <c r="J1099" s="745" t="n"/>
      <c r="K1099" s="745" t="n"/>
      <c r="L1099" s="745" t="n"/>
      <c r="M1099" s="745" t="n"/>
      <c r="N1099" s="745" t="n"/>
      <c r="O1099" s="745" t="n"/>
      <c r="P1099" s="745" t="n"/>
      <c r="Q1099" s="745" t="n"/>
      <c r="R1099" s="745" t="n"/>
      <c r="S1099" s="745" t="n"/>
      <c r="T1099" s="745" t="n"/>
      <c r="U1099" s="745" t="n"/>
      <c r="V1099" s="745" t="n"/>
      <c r="W1099" s="745" t="n"/>
      <c r="X1099" s="745" t="n"/>
      <c r="Y1099" s="745" t="n"/>
      <c r="Z1099" s="745" t="n"/>
      <c r="AA1099" s="745" t="n"/>
      <c r="AB1099" s="745" t="n"/>
      <c r="AC1099" s="745" t="n"/>
      <c r="AD1099" s="745" t="n"/>
      <c r="AE1099" s="745" t="n"/>
      <c r="AF1099" s="745" t="n"/>
      <c r="AG1099" s="745" t="n"/>
      <c r="AH1099" s="745">
        <f>AH1082</f>
        <v/>
      </c>
      <c r="AI1099" s="745">
        <f>AI1082</f>
        <v/>
      </c>
      <c r="AJ1099" s="745">
        <f>AJ1082</f>
        <v/>
      </c>
      <c r="AK1099" s="745">
        <f>AK1082</f>
        <v/>
      </c>
      <c r="AL1099" s="745">
        <f>AL1082</f>
        <v/>
      </c>
      <c r="AM1099" s="745">
        <f>AM1082</f>
        <v/>
      </c>
      <c r="AN1099" s="745">
        <f>AN1082</f>
        <v/>
      </c>
      <c r="AO1099" s="745">
        <f>AO1082</f>
        <v/>
      </c>
      <c r="AP1099" s="745">
        <f>AP1082</f>
        <v/>
      </c>
      <c r="AQ1099" s="745">
        <f>AQ1082</f>
        <v/>
      </c>
      <c r="AR1099" s="745">
        <f>AR1082</f>
        <v/>
      </c>
      <c r="AS1099" s="745">
        <f>AS1082</f>
        <v/>
      </c>
      <c r="AT1099" s="745">
        <f>AT1082</f>
        <v/>
      </c>
      <c r="AU1099" s="745">
        <f>AU1082</f>
        <v/>
      </c>
      <c r="AV1099" s="745">
        <f>AV1082</f>
        <v/>
      </c>
      <c r="AW1099" s="745">
        <f>AW1082</f>
        <v/>
      </c>
      <c r="AX1099" s="745">
        <f>AX1082</f>
        <v/>
      </c>
      <c r="AY1099" s="745">
        <f>AY1082</f>
        <v/>
      </c>
      <c r="AZ1099" s="745">
        <f>AZ1082</f>
        <v/>
      </c>
      <c r="BA1099" s="745">
        <f>BA1082</f>
        <v/>
      </c>
      <c r="BB1099" s="745">
        <f>BB1082</f>
        <v/>
      </c>
      <c r="BC1099" s="745">
        <f>BC1082</f>
        <v/>
      </c>
      <c r="BD1099" s="745">
        <f>BD1082</f>
        <v/>
      </c>
      <c r="BE1099" s="745">
        <f>BE1082</f>
        <v/>
      </c>
      <c r="BF1099" s="745">
        <f>BF1082</f>
        <v/>
      </c>
      <c r="BG1099" s="745">
        <f>BG1082</f>
        <v/>
      </c>
      <c r="BH1099" s="745">
        <f>BH1082</f>
        <v/>
      </c>
      <c r="BI1099" s="745">
        <f>BI1082</f>
        <v/>
      </c>
      <c r="BJ1099" s="745">
        <f>BJ1082</f>
        <v/>
      </c>
      <c r="BK1099" s="745">
        <f>BK1082</f>
        <v/>
      </c>
      <c r="BL1099" s="745">
        <f>BL1082</f>
        <v/>
      </c>
      <c r="BM1099" s="745">
        <f>BM1082</f>
        <v/>
      </c>
      <c r="BN1099" s="745">
        <f>BN1082</f>
        <v/>
      </c>
      <c r="BO1099" s="745">
        <f>BO1082</f>
        <v/>
      </c>
      <c r="BP1099" s="745">
        <f>BP1082</f>
        <v/>
      </c>
      <c r="BQ1099" s="745">
        <f>BQ1082</f>
        <v/>
      </c>
      <c r="BR1099" s="745">
        <f>BR1082</f>
        <v/>
      </c>
      <c r="BS1099" s="745">
        <f>BS1082</f>
        <v/>
      </c>
      <c r="BT1099" s="745">
        <f>BT1082</f>
        <v/>
      </c>
      <c r="BU1099" s="745">
        <f>BU1082</f>
        <v/>
      </c>
      <c r="BV1099" s="746">
        <f>BV1082</f>
        <v/>
      </c>
      <c r="BW1099" s="745" t="n"/>
      <c r="BX1099" s="745" t="n"/>
      <c r="BY1099" s="745" t="n"/>
      <c r="BZ1099" s="745" t="n"/>
      <c r="CA1099" s="745" t="n"/>
      <c r="CB1099" s="745" t="n"/>
      <c r="CC1099" s="745" t="n"/>
      <c r="CD1099" s="745" t="n"/>
      <c r="CE1099" s="745" t="n"/>
      <c r="CF1099" s="747" t="n"/>
      <c r="CG1099" s="155" t="n"/>
    </row>
    <row r="1100">
      <c r="A1100" s="743" t="inlineStr">
        <is>
          <t>Is Latest</t>
        </is>
      </c>
      <c r="B1100" s="68" t="n"/>
      <c r="C1100" s="1005" t="n"/>
      <c r="D1100" s="1005" t="n"/>
      <c r="E1100" s="748" t="n"/>
      <c r="F1100" s="748" t="n"/>
      <c r="G1100" s="748" t="n"/>
      <c r="H1100" s="748" t="n"/>
      <c r="I1100" s="748" t="n"/>
      <c r="J1100" s="748" t="n"/>
      <c r="K1100" s="748" t="n"/>
      <c r="L1100" s="748" t="n"/>
      <c r="M1100" s="748" t="n"/>
      <c r="N1100" s="748" t="n"/>
      <c r="O1100" s="748" t="n"/>
      <c r="P1100" s="748" t="n"/>
      <c r="Q1100" s="748" t="n"/>
      <c r="R1100" s="748" t="n"/>
      <c r="S1100" s="748" t="n"/>
      <c r="T1100" s="748" t="n"/>
      <c r="U1100" s="748" t="n"/>
      <c r="V1100" s="748" t="n"/>
      <c r="W1100" s="748" t="n"/>
      <c r="X1100" s="748" t="n"/>
      <c r="Y1100" s="748" t="n"/>
      <c r="Z1100" s="748" t="n"/>
      <c r="AA1100" s="748" t="n"/>
      <c r="AB1100" s="748" t="n"/>
      <c r="AC1100" s="748" t="n"/>
      <c r="AD1100" s="748" t="n"/>
      <c r="AE1100" s="748" t="n"/>
      <c r="AF1100" s="748" t="n"/>
      <c r="AG1100" s="748" t="n"/>
      <c r="AH1100" s="748">
        <f>IF(AH1101=AI1101,"",AH1101)</f>
        <v/>
      </c>
      <c r="AI1100" s="748">
        <f>IF(AI1101=AJ1101,"",AI1101)</f>
        <v/>
      </c>
      <c r="AJ1100" s="748">
        <f>IF(AJ1101=AK1101,"",AJ1101)</f>
        <v/>
      </c>
      <c r="AK1100" s="748">
        <f>IF(AK1101=AL1101,"",AK1101)</f>
        <v/>
      </c>
      <c r="AL1100" s="748">
        <f>IF(AL1101=AM1101,"",AL1101)</f>
        <v/>
      </c>
      <c r="AM1100" s="748">
        <f>IF(AM1101=AN1101,"",AM1101)</f>
        <v/>
      </c>
      <c r="AN1100" s="748">
        <f>IF(AN1101=AO1101,"",AN1101)</f>
        <v/>
      </c>
      <c r="AO1100" s="748">
        <f>IF(AO1101=AP1101,"",AO1101)</f>
        <v/>
      </c>
      <c r="AP1100" s="748">
        <f>IF(AP1101=AQ1101,"",AP1101)</f>
        <v/>
      </c>
      <c r="AQ1100" s="748">
        <f>IF(AQ1101=AR1101,"",AQ1101)</f>
        <v/>
      </c>
      <c r="AR1100" s="748">
        <f>IF(AR1101=AS1101,"",AR1101)</f>
        <v/>
      </c>
      <c r="AS1100" s="748">
        <f>IF(AS1101=AT1101,"",AS1101)</f>
        <v/>
      </c>
      <c r="AT1100" s="748">
        <f>IF(AT1101=AU1101,"",AT1101)</f>
        <v/>
      </c>
      <c r="AU1100" s="748">
        <f>IF(AU1101=AV1101,"",AU1101)</f>
        <v/>
      </c>
      <c r="AV1100" s="748">
        <f>IF(AV1101=AW1101,"",AV1101)</f>
        <v/>
      </c>
      <c r="AW1100" s="748">
        <f>IF(AW1101=AX1101,"",AW1101)</f>
        <v/>
      </c>
      <c r="AX1100" s="748">
        <f>IF(AX1101=AY1101,"",AX1101)</f>
        <v/>
      </c>
      <c r="AY1100" s="748">
        <f>IF(AY1101=AZ1101,"",AY1101)</f>
        <v/>
      </c>
      <c r="AZ1100" s="748">
        <f>IF(AZ1101=BA1101,"",AZ1101)</f>
        <v/>
      </c>
      <c r="BA1100" s="748">
        <f>IF(BA1101=BB1101,"",BA1101)</f>
        <v/>
      </c>
      <c r="BB1100" s="748">
        <f>IF(BB1101=BC1101,"",BB1101)</f>
        <v/>
      </c>
      <c r="BC1100" s="748">
        <f>IF(BC1101=BD1101,"",BC1101)</f>
        <v/>
      </c>
      <c r="BD1100" s="748">
        <f>IF(BD1101=BE1101,"",BD1101)</f>
        <v/>
      </c>
      <c r="BE1100" s="748">
        <f>IF(BE1101=BF1101,"",BE1101)</f>
        <v/>
      </c>
      <c r="BF1100" s="748">
        <f>IF(BF1101=BG1101,"",BF1101)</f>
        <v/>
      </c>
      <c r="BG1100" s="748">
        <f>IF(BG1101=BH1101,"",BG1101)</f>
        <v/>
      </c>
      <c r="BH1100" s="748">
        <f>IF(BH1101=BI1101,"",BH1101)</f>
        <v/>
      </c>
      <c r="BI1100" s="748">
        <f>IF(BI1101=BJ1101,"",BI1101)</f>
        <v/>
      </c>
      <c r="BJ1100" s="748">
        <f>IF(BJ1101=BK1101,"",BJ1101)</f>
        <v/>
      </c>
      <c r="BK1100" s="748">
        <f>IF(BK1101=BL1101,"",BK1101)</f>
        <v/>
      </c>
      <c r="BL1100" s="748">
        <f>IF(BL1101=BM1101,"",BL1101)</f>
        <v/>
      </c>
      <c r="BM1100" s="748">
        <f>IF(BM1101=BN1101,"",BM1101)</f>
        <v/>
      </c>
      <c r="BN1100" s="748">
        <f>IF(BN1101=BO1101,"",BN1101)</f>
        <v/>
      </c>
      <c r="BO1100" s="748">
        <f>IF(BO1101=BP1101,"",BO1101)</f>
        <v/>
      </c>
      <c r="BP1100" s="748">
        <f>IF(BP1101=BQ1101,"",BP1101)</f>
        <v/>
      </c>
      <c r="BQ1100" s="748">
        <f>IF(BQ1101=BR1101,"",BQ1101)</f>
        <v/>
      </c>
      <c r="BR1100" s="748">
        <f>IF(BR1101=BS1101,"",BR1101)</f>
        <v/>
      </c>
      <c r="BS1100" s="748">
        <f>IF(BS1101=BT1101,"",BS1101)</f>
        <v/>
      </c>
      <c r="BT1100" s="748">
        <f>IF(BT1101=BU1101,"",BT1101)</f>
        <v/>
      </c>
      <c r="BU1100" s="748">
        <f>IF(BU1101=BV1101,"",BU1101)</f>
        <v/>
      </c>
      <c r="BV1100" s="749">
        <f>IF(BV1101=BW1101,"",BV1101)</f>
        <v/>
      </c>
      <c r="BW1100" s="748" t="n"/>
      <c r="BX1100" s="748" t="n"/>
      <c r="BY1100" s="748" t="n"/>
      <c r="BZ1100" s="748" t="n"/>
      <c r="CA1100" s="748" t="n"/>
      <c r="CB1100" s="748" t="n"/>
      <c r="CC1100" s="748" t="n"/>
      <c r="CD1100" s="748" t="n"/>
      <c r="CE1100" s="748" t="n"/>
      <c r="CF1100" s="750" t="n"/>
      <c r="CG1100" s="155" t="n"/>
    </row>
    <row r="1101">
      <c r="A1101" s="743" t="inlineStr">
        <is>
          <t>Applicable Period</t>
        </is>
      </c>
      <c r="B1101" s="68" t="n"/>
      <c r="C1101" s="1005" t="n"/>
      <c r="D1101" s="1005" t="n"/>
      <c r="E1101" s="748" t="n"/>
      <c r="F1101" s="748" t="n"/>
      <c r="G1101" s="748" t="n"/>
      <c r="H1101" s="748" t="n"/>
      <c r="I1101" s="748" t="n"/>
      <c r="J1101" s="748" t="n"/>
      <c r="K1101" s="748" t="n"/>
      <c r="L1101" s="748" t="n"/>
      <c r="M1101" s="748" t="n"/>
      <c r="N1101" s="748" t="n"/>
      <c r="O1101" s="748" t="n"/>
      <c r="P1101" s="748" t="n"/>
      <c r="Q1101" s="748" t="n"/>
      <c r="R1101" s="748" t="n"/>
      <c r="S1101" s="748" t="n"/>
      <c r="T1101" s="748" t="n"/>
      <c r="U1101" s="748" t="n"/>
      <c r="V1101" s="748" t="n"/>
      <c r="W1101" s="748" t="n"/>
      <c r="X1101" s="748" t="n"/>
      <c r="Y1101" s="748" t="n"/>
      <c r="Z1101" s="748" t="n"/>
      <c r="AA1101" s="748" t="n"/>
      <c r="AB1101" s="748" t="n"/>
      <c r="AC1101" s="748" t="n"/>
      <c r="AD1101" s="748" t="n"/>
      <c r="AE1101" s="748" t="n"/>
      <c r="AF1101" s="748" t="n"/>
      <c r="AG1101" s="748" t="n"/>
      <c r="AH1101" s="748">
        <f>AJ$5</f>
        <v/>
      </c>
      <c r="AI1101" s="748">
        <f>AO$5</f>
        <v/>
      </c>
      <c r="AJ1101" s="748">
        <f>AO$5</f>
        <v/>
      </c>
      <c r="AK1101" s="748">
        <f>AO$5</f>
        <v/>
      </c>
      <c r="AL1101" s="748">
        <f>AO$5</f>
        <v/>
      </c>
      <c r="AM1101" s="748">
        <f>AO$5</f>
        <v/>
      </c>
      <c r="AN1101" s="748">
        <f>AT$5</f>
        <v/>
      </c>
      <c r="AO1101" s="748">
        <f>AT$5</f>
        <v/>
      </c>
      <c r="AP1101" s="748">
        <f>AT$5</f>
        <v/>
      </c>
      <c r="AQ1101" s="748">
        <f>AT$5</f>
        <v/>
      </c>
      <c r="AR1101" s="748">
        <f>AT$5</f>
        <v/>
      </c>
      <c r="AS1101" s="748">
        <f>AY$5</f>
        <v/>
      </c>
      <c r="AT1101" s="748">
        <f>AY$5</f>
        <v/>
      </c>
      <c r="AU1101" s="748">
        <f>AY$5</f>
        <v/>
      </c>
      <c r="AV1101" s="748">
        <f>AY$5</f>
        <v/>
      </c>
      <c r="AW1101" s="748">
        <f>AY$5</f>
        <v/>
      </c>
      <c r="AX1101" s="748">
        <f>BD$5</f>
        <v/>
      </c>
      <c r="AY1101" s="748">
        <f>BD$5</f>
        <v/>
      </c>
      <c r="AZ1101" s="748">
        <f>BD$5</f>
        <v/>
      </c>
      <c r="BA1101" s="748">
        <f>BD$5</f>
        <v/>
      </c>
      <c r="BB1101" s="748">
        <f>BD$5</f>
        <v/>
      </c>
      <c r="BC1101" s="748">
        <f>BI$5</f>
        <v/>
      </c>
      <c r="BD1101" s="748">
        <f>BI$5</f>
        <v/>
      </c>
      <c r="BE1101" s="748">
        <f>BI$5</f>
        <v/>
      </c>
      <c r="BF1101" s="748">
        <f>BI$5</f>
        <v/>
      </c>
      <c r="BG1101" s="748">
        <f>BI$5</f>
        <v/>
      </c>
      <c r="BH1101" s="748">
        <f>BN$5</f>
        <v/>
      </c>
      <c r="BI1101" s="748">
        <f>BN$5</f>
        <v/>
      </c>
      <c r="BJ1101" s="748">
        <f>BN$5</f>
        <v/>
      </c>
      <c r="BK1101" s="748">
        <f>BN$5</f>
        <v/>
      </c>
      <c r="BL1101" s="748">
        <f>BN$5</f>
        <v/>
      </c>
      <c r="BM1101" s="748">
        <f>BS$5</f>
        <v/>
      </c>
      <c r="BN1101" s="748">
        <f>BS$5</f>
        <v/>
      </c>
      <c r="BO1101" s="748">
        <f>BS$5</f>
        <v/>
      </c>
      <c r="BP1101" s="748">
        <f>BS$5</f>
        <v/>
      </c>
      <c r="BQ1101" s="748">
        <f>BS$5</f>
        <v/>
      </c>
      <c r="BR1101" s="748">
        <f>BX$5</f>
        <v/>
      </c>
      <c r="BS1101" s="748">
        <f>BX$5</f>
        <v/>
      </c>
      <c r="BT1101" s="748">
        <f>BX$5</f>
        <v/>
      </c>
      <c r="BU1101" s="748">
        <f>BX$5</f>
        <v/>
      </c>
      <c r="BV1101" s="749">
        <f>BX$5</f>
        <v/>
      </c>
      <c r="BW1101" s="748" t="n"/>
      <c r="BX1101" s="748" t="n"/>
      <c r="BY1101" s="748" t="n"/>
      <c r="BZ1101" s="748" t="n"/>
      <c r="CA1101" s="748" t="n"/>
      <c r="CB1101" s="748" t="n"/>
      <c r="CC1101" s="748" t="n"/>
      <c r="CD1101" s="748" t="n"/>
      <c r="CE1101" s="748" t="n"/>
      <c r="CF1101" s="750" t="n"/>
      <c r="CG1101" s="155" t="n"/>
    </row>
    <row r="1102">
      <c r="A1102" s="793" t="inlineStr">
        <is>
          <t>Low - Net Revenue, mm</t>
        </is>
      </c>
      <c r="B1102" s="1053" t="inlineStr">
        <is>
          <t>MO_RIS_REV</t>
        </is>
      </c>
      <c r="C1102" s="1006" t="n"/>
      <c r="D1102" s="1006" t="n"/>
      <c r="E1102" s="563" t="n"/>
      <c r="F1102" s="563" t="n"/>
      <c r="G1102" s="563" t="n"/>
      <c r="H1102" s="563" t="n"/>
      <c r="I1102" s="563" t="n"/>
      <c r="J1102" s="563" t="n"/>
      <c r="K1102" s="563" t="n"/>
      <c r="L1102" s="563" t="n"/>
      <c r="M1102" s="563" t="n"/>
      <c r="N1102" s="563" t="n"/>
      <c r="O1102" s="563" t="n"/>
      <c r="P1102" s="563" t="n"/>
      <c r="Q1102" s="563" t="n"/>
      <c r="R1102" s="563" t="n"/>
      <c r="S1102" s="563" t="n"/>
      <c r="T1102" s="563" t="n"/>
      <c r="U1102" s="563" t="n"/>
      <c r="V1102" s="563" t="n"/>
      <c r="W1102" s="563" t="n"/>
      <c r="X1102" s="563" t="n"/>
      <c r="Y1102" s="563" t="n"/>
      <c r="Z1102" s="563" t="n"/>
      <c r="AA1102" s="563" t="n"/>
      <c r="AB1102" s="563" t="n"/>
      <c r="AC1102" s="563" t="n"/>
      <c r="AD1102" s="563" t="n"/>
      <c r="AE1102" s="563" t="n"/>
      <c r="AF1102" s="563" t="n"/>
      <c r="AG1102" s="563" t="n"/>
      <c r="AH1102" s="563">
        <f>IF(ISBLANK(AH$1101),"N/A",IF(COUNTIFS(GD_Item_FiscalPeriod,AH$1101,GD_Item_Name,$B1102,GD_Update_Date,AH$1099)=0,"NR",SUMIFS(GD_Guidance_Low,GD_Item_Name,$B1102,GD_Item_FiscalPeriod,AH$1101,GD_Update_Date,AH$1099)))</f>
        <v/>
      </c>
      <c r="AI1102" s="563">
        <f>IF(ISBLANK(AI$1101),"N/A",IF(COUNTIFS(GD_Item_FiscalPeriod,AI$1101,GD_Item_Name,$B1102,GD_Update_Date,AI$1099)=0,"NR",SUMIFS(GD_Guidance_Low,GD_Item_Name,$B1102,GD_Item_FiscalPeriod,AI$1101,GD_Update_Date,AI$1099)))</f>
        <v/>
      </c>
      <c r="AJ1102" s="563">
        <f>IF(ISBLANK(AJ$1101),"N/A",IF(COUNTIFS(GD_Item_FiscalPeriod,AJ$1101,GD_Item_Name,$B1102,GD_Update_Date,AJ$1099)=0,"NR",SUMIFS(GD_Guidance_Low,GD_Item_Name,$B1102,GD_Item_FiscalPeriod,AJ$1101,GD_Update_Date,AJ$1099)))</f>
        <v/>
      </c>
      <c r="AK1102" s="563">
        <f>IF(ISBLANK(AK$1101),"N/A",IF(COUNTIFS(GD_Item_FiscalPeriod,AK$1101,GD_Item_Name,$B1102,GD_Update_Date,AK$1099)=0,"NR",SUMIFS(GD_Guidance_Low,GD_Item_Name,$B1102,GD_Item_FiscalPeriod,AK$1101,GD_Update_Date,AK$1099)))</f>
        <v/>
      </c>
      <c r="AL1102" s="563">
        <f>IF(ISBLANK(AL$1101),"N/A",IF(COUNTIFS(GD_Item_FiscalPeriod,AL$1101,GD_Item_Name,$B1102,GD_Update_Date,AL$1099)=0,"NR",SUMIFS(GD_Guidance_Low,GD_Item_Name,$B1102,GD_Item_FiscalPeriod,AL$1101,GD_Update_Date,AL$1099)))</f>
        <v/>
      </c>
      <c r="AM1102" s="563">
        <f>IF(ISBLANK(AM$1101),"N/A",IF(COUNTIFS(GD_Item_FiscalPeriod,AM$1101,GD_Item_Name,$B1102,GD_Update_Date,AM$1099)=0,"NR",SUMIFS(GD_Guidance_Low,GD_Item_Name,$B1102,GD_Item_FiscalPeriod,AM$1101,GD_Update_Date,AM$1099)))</f>
        <v/>
      </c>
      <c r="AN1102" s="563">
        <f>IF(ISBLANK(AN$1101),"N/A",IF(COUNTIFS(GD_Item_FiscalPeriod,AN$1101,GD_Item_Name,$B1102,GD_Update_Date,AN$1099)=0,"NR",SUMIFS(GD_Guidance_Low,GD_Item_Name,$B1102,GD_Item_FiscalPeriod,AN$1101,GD_Update_Date,AN$1099)))</f>
        <v/>
      </c>
      <c r="AO1102" s="563">
        <f>IF(ISBLANK(AO$1101),"N/A",IF(COUNTIFS(GD_Item_FiscalPeriod,AO$1101,GD_Item_Name,$B1102,GD_Update_Date,AO$1099)=0,"NR",SUMIFS(GD_Guidance_Low,GD_Item_Name,$B1102,GD_Item_FiscalPeriod,AO$1101,GD_Update_Date,AO$1099)))</f>
        <v/>
      </c>
      <c r="AP1102" s="563">
        <f>IF(ISBLANK(AP$1101),"N/A",IF(COUNTIFS(GD_Item_FiscalPeriod,AP$1101,GD_Item_Name,$B1102,GD_Update_Date,AP$1099)=0,"NR",SUMIFS(GD_Guidance_Low,GD_Item_Name,$B1102,GD_Item_FiscalPeriod,AP$1101,GD_Update_Date,AP$1099)))</f>
        <v/>
      </c>
      <c r="AQ1102" s="563">
        <f>IF(ISBLANK(AQ$1101),"N/A",IF(COUNTIFS(GD_Item_FiscalPeriod,AQ$1101,GD_Item_Name,$B1102,GD_Update_Date,AQ$1099)=0,"NR",SUMIFS(GD_Guidance_Low,GD_Item_Name,$B1102,GD_Item_FiscalPeriod,AQ$1101,GD_Update_Date,AQ$1099)))</f>
        <v/>
      </c>
      <c r="AR1102" s="563">
        <f>IF(ISBLANK(AR$1101),"N/A",IF(COUNTIFS(GD_Item_FiscalPeriod,AR$1101,GD_Item_Name,$B1102,GD_Update_Date,AR$1099)=0,"NR",SUMIFS(GD_Guidance_Low,GD_Item_Name,$B1102,GD_Item_FiscalPeriod,AR$1101,GD_Update_Date,AR$1099)))</f>
        <v/>
      </c>
      <c r="AS1102" s="563">
        <f>IF(ISBLANK(AS$1101),"N/A",IF(COUNTIFS(GD_Item_FiscalPeriod,AS$1101,GD_Item_Name,$B1102,GD_Update_Date,AS$1099)=0,"NR",SUMIFS(GD_Guidance_Low,GD_Item_Name,$B1102,GD_Item_FiscalPeriod,AS$1101,GD_Update_Date,AS$1099)))</f>
        <v/>
      </c>
      <c r="AT1102" s="563">
        <f>IF(ISBLANK(AT$1101),"N/A",IF(COUNTIFS(GD_Item_FiscalPeriod,AT$1101,GD_Item_Name,$B1102,GD_Update_Date,AT$1099)=0,"NR",SUMIFS(GD_Guidance_Low,GD_Item_Name,$B1102,GD_Item_FiscalPeriod,AT$1101,GD_Update_Date,AT$1099)))</f>
        <v/>
      </c>
      <c r="AU1102" s="563">
        <f>IF(ISBLANK(AU$1101),"N/A",IF(COUNTIFS(GD_Item_FiscalPeriod,AU$1101,GD_Item_Name,$B1102,GD_Update_Date,AU$1099)=0,"NR",SUMIFS(GD_Guidance_Low,GD_Item_Name,$B1102,GD_Item_FiscalPeriod,AU$1101,GD_Update_Date,AU$1099)))</f>
        <v/>
      </c>
      <c r="AV1102" s="563">
        <f>IF(ISBLANK(AV$1101),"N/A",IF(COUNTIFS(GD_Item_FiscalPeriod,AV$1101,GD_Item_Name,$B1102,GD_Update_Date,AV$1099)=0,"NR",SUMIFS(GD_Guidance_Low,GD_Item_Name,$B1102,GD_Item_FiscalPeriod,AV$1101,GD_Update_Date,AV$1099)))</f>
        <v/>
      </c>
      <c r="AW1102" s="563">
        <f>IF(ISBLANK(AW$1101),"N/A",IF(COUNTIFS(GD_Item_FiscalPeriod,AW$1101,GD_Item_Name,$B1102,GD_Update_Date,AW$1099)=0,"NR",SUMIFS(GD_Guidance_Low,GD_Item_Name,$B1102,GD_Item_FiscalPeriod,AW$1101,GD_Update_Date,AW$1099)))</f>
        <v/>
      </c>
      <c r="AX1102" s="563">
        <f>IF(ISBLANK(AX$1101),"N/A",IF(COUNTIFS(GD_Item_FiscalPeriod,AX$1101,GD_Item_Name,$B1102,GD_Update_Date,AX$1099)=0,"NR",SUMIFS(GD_Guidance_Low,GD_Item_Name,$B1102,GD_Item_FiscalPeriod,AX$1101,GD_Update_Date,AX$1099)))</f>
        <v/>
      </c>
      <c r="AY1102" s="563">
        <f>IF(ISBLANK(AY$1101),"N/A",IF(COUNTIFS(GD_Item_FiscalPeriod,AY$1101,GD_Item_Name,$B1102,GD_Update_Date,AY$1099)=0,"NR",SUMIFS(GD_Guidance_Low,GD_Item_Name,$B1102,GD_Item_FiscalPeriod,AY$1101,GD_Update_Date,AY$1099)))</f>
        <v/>
      </c>
      <c r="AZ1102" s="563">
        <f>IF(ISBLANK(AZ$1101),"N/A",IF(COUNTIFS(GD_Item_FiscalPeriod,AZ$1101,GD_Item_Name,$B1102,GD_Update_Date,AZ$1099)=0,"NR",SUMIFS(GD_Guidance_Low,GD_Item_Name,$B1102,GD_Item_FiscalPeriod,AZ$1101,GD_Update_Date,AZ$1099)))</f>
        <v/>
      </c>
      <c r="BA1102" s="563">
        <f>IF(ISBLANK(BA$1101),"N/A",IF(COUNTIFS(GD_Item_FiscalPeriod,BA$1101,GD_Item_Name,$B1102,GD_Update_Date,BA$1099)=0,"NR",SUMIFS(GD_Guidance_Low,GD_Item_Name,$B1102,GD_Item_FiscalPeriod,BA$1101,GD_Update_Date,BA$1099)))</f>
        <v/>
      </c>
      <c r="BB1102" s="563">
        <f>IF(ISBLANK(BB$1101),"N/A",IF(COUNTIFS(GD_Item_FiscalPeriod,BB$1101,GD_Item_Name,$B1102,GD_Update_Date,BB$1099)=0,"NR",SUMIFS(GD_Guidance_Low,GD_Item_Name,$B1102,GD_Item_FiscalPeriod,BB$1101,GD_Update_Date,BB$1099)))</f>
        <v/>
      </c>
      <c r="BC1102" s="563">
        <f>IF(ISBLANK(BC$1101),"N/A",IF(COUNTIFS(GD_Item_FiscalPeriod,BC$1101,GD_Item_Name,$B1102,GD_Update_Date,BC$1099)=0,"NR",SUMIFS(GD_Guidance_Low,GD_Item_Name,$B1102,GD_Item_FiscalPeriod,BC$1101,GD_Update_Date,BC$1099)))</f>
        <v/>
      </c>
      <c r="BD1102" s="563">
        <f>IF(ISBLANK(BD$1101),"N/A",IF(COUNTIFS(GD_Item_FiscalPeriod,BD$1101,GD_Item_Name,$B1102,GD_Update_Date,BD$1099)=0,"NR",SUMIFS(GD_Guidance_Low,GD_Item_Name,$B1102,GD_Item_FiscalPeriod,BD$1101,GD_Update_Date,BD$1099)))</f>
        <v/>
      </c>
      <c r="BE1102" s="563">
        <f>IF(ISBLANK(BE$1101),"N/A",IF(COUNTIFS(GD_Item_FiscalPeriod,BE$1101,GD_Item_Name,$B1102,GD_Update_Date,BE$1099)=0,"NR",SUMIFS(GD_Guidance_Low,GD_Item_Name,$B1102,GD_Item_FiscalPeriod,BE$1101,GD_Update_Date,BE$1099)))</f>
        <v/>
      </c>
      <c r="BF1102" s="563">
        <f>IF(ISBLANK(BF$1101),"N/A",IF(COUNTIFS(GD_Item_FiscalPeriod,BF$1101,GD_Item_Name,$B1102,GD_Update_Date,BF$1099)=0,"NR",SUMIFS(GD_Guidance_Low,GD_Item_Name,$B1102,GD_Item_FiscalPeriod,BF$1101,GD_Update_Date,BF$1099)))</f>
        <v/>
      </c>
      <c r="BG1102" s="563">
        <f>IF(ISBLANK(BG$1101),"N/A",IF(COUNTIFS(GD_Item_FiscalPeriod,BG$1101,GD_Item_Name,$B1102,GD_Update_Date,BG$1099)=0,"NR",SUMIFS(GD_Guidance_Low,GD_Item_Name,$B1102,GD_Item_FiscalPeriod,BG$1101,GD_Update_Date,BG$1099)))</f>
        <v/>
      </c>
      <c r="BH1102" s="563">
        <f>IF(ISBLANK(BH$1101),"N/A",IF(COUNTIFS(GD_Item_FiscalPeriod,BH$1101,GD_Item_Name,$B1102,GD_Update_Date,BH$1099)=0,"NR",SUMIFS(GD_Guidance_Low,GD_Item_Name,$B1102,GD_Item_FiscalPeriod,BH$1101,GD_Update_Date,BH$1099)))</f>
        <v/>
      </c>
      <c r="BI1102" s="563">
        <f>IF(ISBLANK(BI$1101),"N/A",IF(COUNTIFS(GD_Item_FiscalPeriod,BI$1101,GD_Item_Name,$B1102,GD_Update_Date,BI$1099)=0,"NR",SUMIFS(GD_Guidance_Low,GD_Item_Name,$B1102,GD_Item_FiscalPeriod,BI$1101,GD_Update_Date,BI$1099)))</f>
        <v/>
      </c>
      <c r="BJ1102" s="563">
        <f>IF(ISBLANK(BJ$1101),"N/A",IF(COUNTIFS(GD_Item_FiscalPeriod,BJ$1101,GD_Item_Name,$B1102,GD_Update_Date,BJ$1099)=0,"NR",SUMIFS(GD_Guidance_Low,GD_Item_Name,$B1102,GD_Item_FiscalPeriod,BJ$1101,GD_Update_Date,BJ$1099)))</f>
        <v/>
      </c>
      <c r="BK1102" s="563">
        <f>IF(ISBLANK(BK$1101),"N/A",IF(COUNTIFS(GD_Item_FiscalPeriod,BK$1101,GD_Item_Name,$B1102,GD_Update_Date,BK$1099)=0,"NR",SUMIFS(GD_Guidance_Low,GD_Item_Name,$B1102,GD_Item_FiscalPeriod,BK$1101,GD_Update_Date,BK$1099)))</f>
        <v/>
      </c>
      <c r="BL1102" s="563">
        <f>IF(ISBLANK(BL$1101),"N/A",IF(COUNTIFS(GD_Item_FiscalPeriod,BL$1101,GD_Item_Name,$B1102,GD_Update_Date,BL$1099)=0,"NR",SUMIFS(GD_Guidance_Low,GD_Item_Name,$B1102,GD_Item_FiscalPeriod,BL$1101,GD_Update_Date,BL$1099)))</f>
        <v/>
      </c>
      <c r="BM1102" s="563">
        <f>IF(ISBLANK(BM$1101),"N/A",IF(COUNTIFS(GD_Item_FiscalPeriod,BM$1101,GD_Item_Name,$B1102,GD_Update_Date,BM$1099)=0,"NR",SUMIFS(GD_Guidance_Low,GD_Item_Name,$B1102,GD_Item_FiscalPeriod,BM$1101,GD_Update_Date,BM$1099)))</f>
        <v/>
      </c>
      <c r="BN1102" s="563">
        <f>IF(ISBLANK(BN$1101),"N/A",IF(COUNTIFS(GD_Item_FiscalPeriod,BN$1101,GD_Item_Name,$B1102,GD_Update_Date,BN$1099)=0,"NR",SUMIFS(GD_Guidance_Low,GD_Item_Name,$B1102,GD_Item_FiscalPeriod,BN$1101,GD_Update_Date,BN$1099)))</f>
        <v/>
      </c>
      <c r="BO1102" s="563">
        <f>IF(ISBLANK(BO$1101),"N/A",IF(COUNTIFS(GD_Item_FiscalPeriod,BO$1101,GD_Item_Name,$B1102,GD_Update_Date,BO$1099)=0,"NR",SUMIFS(GD_Guidance_Low,GD_Item_Name,$B1102,GD_Item_FiscalPeriod,BO$1101,GD_Update_Date,BO$1099)))</f>
        <v/>
      </c>
      <c r="BP1102" s="563">
        <f>IF(ISBLANK(BP$1101),"N/A",IF(COUNTIFS(GD_Item_FiscalPeriod,BP$1101,GD_Item_Name,$B1102,GD_Update_Date,BP$1099)=0,"NR",SUMIFS(GD_Guidance_Low,GD_Item_Name,$B1102,GD_Item_FiscalPeriod,BP$1101,GD_Update_Date,BP$1099)))</f>
        <v/>
      </c>
      <c r="BQ1102" s="563">
        <f>IF(ISBLANK(BQ$1101),"N/A",IF(COUNTIFS(GD_Item_FiscalPeriod,BQ$1101,GD_Item_Name,$B1102,GD_Update_Date,BQ$1099)=0,"NR",SUMIFS(GD_Guidance_Low,GD_Item_Name,$B1102,GD_Item_FiscalPeriod,BQ$1101,GD_Update_Date,BQ$1099)))</f>
        <v/>
      </c>
      <c r="BR1102" s="563">
        <f>IF(ISBLANK(BR$1101),"N/A",IF(COUNTIFS(GD_Item_FiscalPeriod,BR$1101,GD_Item_Name,$B1102,GD_Update_Date,BR$1099)=0,"NR",SUMIFS(GD_Guidance_Low,GD_Item_Name,$B1102,GD_Item_FiscalPeriod,BR$1101,GD_Update_Date,BR$1099)))</f>
        <v/>
      </c>
      <c r="BS1102" s="563">
        <f>IF(ISBLANK(BS$1101),"N/A",IF(COUNTIFS(GD_Item_FiscalPeriod,BS$1101,GD_Item_Name,$B1102,GD_Update_Date,BS$1099)=0,"NR",SUMIFS(GD_Guidance_Low,GD_Item_Name,$B1102,GD_Item_FiscalPeriod,BS$1101,GD_Update_Date,BS$1099)))</f>
        <v/>
      </c>
      <c r="BT1102" s="563">
        <f>IF(ISBLANK(BT$1101),"N/A",IF(COUNTIFS(GD_Item_FiscalPeriod,BT$1101,GD_Item_Name,$B1102,GD_Update_Date,BT$1099)=0,"NR",SUMIFS(GD_Guidance_Low,GD_Item_Name,$B1102,GD_Item_FiscalPeriod,BT$1101,GD_Update_Date,BT$1099)))</f>
        <v/>
      </c>
      <c r="BU1102" s="563">
        <f>IF(ISBLANK(BU$1101),"N/A",IF(COUNTIFS(GD_Item_FiscalPeriod,BU$1101,GD_Item_Name,$B1102,GD_Update_Date,BU$1099)=0,"NR",SUMIFS(GD_Guidance_Low,GD_Item_Name,$B1102,GD_Item_FiscalPeriod,BU$1101,GD_Update_Date,BU$1099)))</f>
        <v/>
      </c>
      <c r="BV1102" s="731">
        <f>IF(ISBLANK(BV$1101),"N/A",IF(COUNTIFS(GD_Item_FiscalPeriod,BV$1101,GD_Item_Name,$B1102,GD_Update_Date,BV$1099)=0,"NR",SUMIFS(GD_Guidance_Low,GD_Item_Name,$B1102,GD_Item_FiscalPeriod,BV$1101,GD_Update_Date,BV$1099)))</f>
        <v/>
      </c>
      <c r="BW1102" s="563">
        <f>IF(ISBLANK(BW$1101),"N/A",IF(COUNTIFS(GD_Item_FiscalPeriod,BW$1101,GD_Item_Name,$B1102,GD_Update_Date,BW$1099)=0,"NR",SUMIFS(GD_Guidance_Low,GD_Item_Name,$B1102,GD_Item_FiscalPeriod,BW$1101,GD_Update_Date,BW$1099)))</f>
        <v/>
      </c>
      <c r="BX1102" s="563">
        <f>IF(ISBLANK(BX$1101),"N/A",IF(COUNTIFS(GD_Item_FiscalPeriod,BX$1101,GD_Item_Name,$B1102,GD_Update_Date,BX$1099)=0,"NR",SUMIFS(GD_Guidance_Low,GD_Item_Name,$B1102,GD_Item_FiscalPeriod,BX$1101,GD_Update_Date,BX$1099)))</f>
        <v/>
      </c>
      <c r="BY1102" s="563">
        <f>IF(ISBLANK(BY$1101),"N/A",IF(COUNTIFS(GD_Item_FiscalPeriod,BY$1101,GD_Item_Name,$B1102,GD_Update_Date,BY$1099)=0,"NR",SUMIFS(GD_Guidance_Low,GD_Item_Name,$B1102,GD_Item_FiscalPeriod,BY$1101,GD_Update_Date,BY$1099)))</f>
        <v/>
      </c>
      <c r="BZ1102" s="563">
        <f>IF(ISBLANK(BZ$1101),"N/A",IF(COUNTIFS(GD_Item_FiscalPeriod,BZ$1101,GD_Item_Name,$B1102,GD_Update_Date,BZ$1099)=0,"NR",SUMIFS(GD_Guidance_Low,GD_Item_Name,$B1102,GD_Item_FiscalPeriod,BZ$1101,GD_Update_Date,BZ$1099)))</f>
        <v/>
      </c>
      <c r="CA1102" s="563">
        <f>IF(ISBLANK(CA$1101),"N/A",IF(COUNTIFS(GD_Item_FiscalPeriod,CA$1101,GD_Item_Name,$B1102,GD_Update_Date,CA$1099)=0,"NR",SUMIFS(GD_Guidance_Low,GD_Item_Name,$B1102,GD_Item_FiscalPeriod,CA$1101,GD_Update_Date,CA$1099)))</f>
        <v/>
      </c>
      <c r="CB1102" s="563">
        <f>IF(ISBLANK(CB$1101),"N/A",IF(COUNTIFS(GD_Item_FiscalPeriod,CB$1101,GD_Item_Name,$B1102,GD_Update_Date,CB$1099)=0,"NR",SUMIFS(GD_Guidance_Low,GD_Item_Name,$B1102,GD_Item_FiscalPeriod,CB$1101,GD_Update_Date,CB$1099)))</f>
        <v/>
      </c>
      <c r="CC1102" s="563">
        <f>IF(ISBLANK(CC$1101),"N/A",IF(COUNTIFS(GD_Item_FiscalPeriod,CC$1101,GD_Item_Name,$B1102,GD_Update_Date,CC$1099)=0,"NR",SUMIFS(GD_Guidance_Low,GD_Item_Name,$B1102,GD_Item_FiscalPeriod,CC$1101,GD_Update_Date,CC$1099)))</f>
        <v/>
      </c>
      <c r="CD1102" s="563">
        <f>IF(ISBLANK(CD$1101),"N/A",IF(COUNTIFS(GD_Item_FiscalPeriod,CD$1101,GD_Item_Name,$B1102,GD_Update_Date,CD$1099)=0,"NR",SUMIFS(GD_Guidance_Low,GD_Item_Name,$B1102,GD_Item_FiscalPeriod,CD$1101,GD_Update_Date,CD$1099)))</f>
        <v/>
      </c>
      <c r="CE1102" s="563">
        <f>IF(ISBLANK(CE$1101),"N/A",IF(COUNTIFS(GD_Item_FiscalPeriod,CE$1101,GD_Item_Name,$B1102,GD_Update_Date,CE$1099)=0,"NR",SUMIFS(GD_Guidance_Low,GD_Item_Name,$B1102,GD_Item_FiscalPeriod,CE$1101,GD_Update_Date,CE$1099)))</f>
        <v/>
      </c>
      <c r="CF1102" s="794">
        <f>IF(ISBLANK(CF$1101),"N/A",IF(COUNTIFS(GD_Item_FiscalPeriod,CF$1101,GD_Item_Name,$B1102,GD_Update_Date,CF$1099)=0,"NR",SUMIFS(GD_Guidance_Low,GD_Item_Name,$B1102,GD_Item_FiscalPeriod,CF$1101,GD_Update_Date,CF$1099)))</f>
        <v/>
      </c>
      <c r="CG1102" s="155" t="n"/>
    </row>
    <row r="1103">
      <c r="A1103" s="793" t="inlineStr">
        <is>
          <t>High - Net Revenue, mm</t>
        </is>
      </c>
      <c r="B1103" s="1053" t="inlineStr">
        <is>
          <t>MO_RIS_REV</t>
        </is>
      </c>
      <c r="C1103" s="1006" t="n"/>
      <c r="D1103" s="1006" t="n"/>
      <c r="E1103" s="563" t="n"/>
      <c r="F1103" s="563" t="n"/>
      <c r="G1103" s="563" t="n"/>
      <c r="H1103" s="563" t="n"/>
      <c r="I1103" s="563" t="n"/>
      <c r="J1103" s="563" t="n"/>
      <c r="K1103" s="563" t="n"/>
      <c r="L1103" s="563" t="n"/>
      <c r="M1103" s="563" t="n"/>
      <c r="N1103" s="563" t="n"/>
      <c r="O1103" s="563" t="n"/>
      <c r="P1103" s="563" t="n"/>
      <c r="Q1103" s="563" t="n"/>
      <c r="R1103" s="563" t="n"/>
      <c r="S1103" s="563" t="n"/>
      <c r="T1103" s="563" t="n"/>
      <c r="U1103" s="563" t="n"/>
      <c r="V1103" s="563" t="n"/>
      <c r="W1103" s="563" t="n"/>
      <c r="X1103" s="563" t="n"/>
      <c r="Y1103" s="563" t="n"/>
      <c r="Z1103" s="563" t="n"/>
      <c r="AA1103" s="563" t="n"/>
      <c r="AB1103" s="563" t="n"/>
      <c r="AC1103" s="563" t="n"/>
      <c r="AD1103" s="563" t="n"/>
      <c r="AE1103" s="563" t="n"/>
      <c r="AF1103" s="563" t="n"/>
      <c r="AG1103" s="563" t="n"/>
      <c r="AH1103" s="563">
        <f>IF(ISBLANK(AH$1101),"N/A",IF(COUNTIFS(GD_Item_FiscalPeriod,AH$1101,GD_Item_Name,$B1103,GD_Update_Date,AH$1099)=0,"NR",SUMIFS(GD_Guidance_High,GD_Item_Name,$B1103,GD_Item_FiscalPeriod,AH$1101,GD_Update_Date,AH$1099)))</f>
        <v/>
      </c>
      <c r="AI1103" s="563">
        <f>IF(ISBLANK(AI$1101),"N/A",IF(COUNTIFS(GD_Item_FiscalPeriod,AI$1101,GD_Item_Name,$B1103,GD_Update_Date,AI$1099)=0,"NR",SUMIFS(GD_Guidance_High,GD_Item_Name,$B1103,GD_Item_FiscalPeriod,AI$1101,GD_Update_Date,AI$1099)))</f>
        <v/>
      </c>
      <c r="AJ1103" s="563">
        <f>IF(ISBLANK(AJ$1101),"N/A",IF(COUNTIFS(GD_Item_FiscalPeriod,AJ$1101,GD_Item_Name,$B1103,GD_Update_Date,AJ$1099)=0,"NR",SUMIFS(GD_Guidance_High,GD_Item_Name,$B1103,GD_Item_FiscalPeriod,AJ$1101,GD_Update_Date,AJ$1099)))</f>
        <v/>
      </c>
      <c r="AK1103" s="563">
        <f>IF(ISBLANK(AK$1101),"N/A",IF(COUNTIFS(GD_Item_FiscalPeriod,AK$1101,GD_Item_Name,$B1103,GD_Update_Date,AK$1099)=0,"NR",SUMIFS(GD_Guidance_High,GD_Item_Name,$B1103,GD_Item_FiscalPeriod,AK$1101,GD_Update_Date,AK$1099)))</f>
        <v/>
      </c>
      <c r="AL1103" s="563">
        <f>IF(ISBLANK(AL$1101),"N/A",IF(COUNTIFS(GD_Item_FiscalPeriod,AL$1101,GD_Item_Name,$B1103,GD_Update_Date,AL$1099)=0,"NR",SUMIFS(GD_Guidance_High,GD_Item_Name,$B1103,GD_Item_FiscalPeriod,AL$1101,GD_Update_Date,AL$1099)))</f>
        <v/>
      </c>
      <c r="AM1103" s="563">
        <f>IF(ISBLANK(AM$1101),"N/A",IF(COUNTIFS(GD_Item_FiscalPeriod,AM$1101,GD_Item_Name,$B1103,GD_Update_Date,AM$1099)=0,"NR",SUMIFS(GD_Guidance_High,GD_Item_Name,$B1103,GD_Item_FiscalPeriod,AM$1101,GD_Update_Date,AM$1099)))</f>
        <v/>
      </c>
      <c r="AN1103" s="563">
        <f>IF(ISBLANK(AN$1101),"N/A",IF(COUNTIFS(GD_Item_FiscalPeriod,AN$1101,GD_Item_Name,$B1103,GD_Update_Date,AN$1099)=0,"NR",SUMIFS(GD_Guidance_High,GD_Item_Name,$B1103,GD_Item_FiscalPeriod,AN$1101,GD_Update_Date,AN$1099)))</f>
        <v/>
      </c>
      <c r="AO1103" s="563">
        <f>IF(ISBLANK(AO$1101),"N/A",IF(COUNTIFS(GD_Item_FiscalPeriod,AO$1101,GD_Item_Name,$B1103,GD_Update_Date,AO$1099)=0,"NR",SUMIFS(GD_Guidance_High,GD_Item_Name,$B1103,GD_Item_FiscalPeriod,AO$1101,GD_Update_Date,AO$1099)))</f>
        <v/>
      </c>
      <c r="AP1103" s="563">
        <f>IF(ISBLANK(AP$1101),"N/A",IF(COUNTIFS(GD_Item_FiscalPeriod,AP$1101,GD_Item_Name,$B1103,GD_Update_Date,AP$1099)=0,"NR",SUMIFS(GD_Guidance_High,GD_Item_Name,$B1103,GD_Item_FiscalPeriod,AP$1101,GD_Update_Date,AP$1099)))</f>
        <v/>
      </c>
      <c r="AQ1103" s="563">
        <f>IF(ISBLANK(AQ$1101),"N/A",IF(COUNTIFS(GD_Item_FiscalPeriod,AQ$1101,GD_Item_Name,$B1103,GD_Update_Date,AQ$1099)=0,"NR",SUMIFS(GD_Guidance_High,GD_Item_Name,$B1103,GD_Item_FiscalPeriod,AQ$1101,GD_Update_Date,AQ$1099)))</f>
        <v/>
      </c>
      <c r="AR1103" s="563">
        <f>IF(ISBLANK(AR$1101),"N/A",IF(COUNTIFS(GD_Item_FiscalPeriod,AR$1101,GD_Item_Name,$B1103,GD_Update_Date,AR$1099)=0,"NR",SUMIFS(GD_Guidance_High,GD_Item_Name,$B1103,GD_Item_FiscalPeriod,AR$1101,GD_Update_Date,AR$1099)))</f>
        <v/>
      </c>
      <c r="AS1103" s="563">
        <f>IF(ISBLANK(AS$1101),"N/A",IF(COUNTIFS(GD_Item_FiscalPeriod,AS$1101,GD_Item_Name,$B1103,GD_Update_Date,AS$1099)=0,"NR",SUMIFS(GD_Guidance_High,GD_Item_Name,$B1103,GD_Item_FiscalPeriod,AS$1101,GD_Update_Date,AS$1099)))</f>
        <v/>
      </c>
      <c r="AT1103" s="563">
        <f>IF(ISBLANK(AT$1101),"N/A",IF(COUNTIFS(GD_Item_FiscalPeriod,AT$1101,GD_Item_Name,$B1103,GD_Update_Date,AT$1099)=0,"NR",SUMIFS(GD_Guidance_High,GD_Item_Name,$B1103,GD_Item_FiscalPeriod,AT$1101,GD_Update_Date,AT$1099)))</f>
        <v/>
      </c>
      <c r="AU1103" s="563">
        <f>IF(ISBLANK(AU$1101),"N/A",IF(COUNTIFS(GD_Item_FiscalPeriod,AU$1101,GD_Item_Name,$B1103,GD_Update_Date,AU$1099)=0,"NR",SUMIFS(GD_Guidance_High,GD_Item_Name,$B1103,GD_Item_FiscalPeriod,AU$1101,GD_Update_Date,AU$1099)))</f>
        <v/>
      </c>
      <c r="AV1103" s="563">
        <f>IF(ISBLANK(AV$1101),"N/A",IF(COUNTIFS(GD_Item_FiscalPeriod,AV$1101,GD_Item_Name,$B1103,GD_Update_Date,AV$1099)=0,"NR",SUMIFS(GD_Guidance_High,GD_Item_Name,$B1103,GD_Item_FiscalPeriod,AV$1101,GD_Update_Date,AV$1099)))</f>
        <v/>
      </c>
      <c r="AW1103" s="563">
        <f>IF(ISBLANK(AW$1101),"N/A",IF(COUNTIFS(GD_Item_FiscalPeriod,AW$1101,GD_Item_Name,$B1103,GD_Update_Date,AW$1099)=0,"NR",SUMIFS(GD_Guidance_High,GD_Item_Name,$B1103,GD_Item_FiscalPeriod,AW$1101,GD_Update_Date,AW$1099)))</f>
        <v/>
      </c>
      <c r="AX1103" s="563">
        <f>IF(ISBLANK(AX$1101),"N/A",IF(COUNTIFS(GD_Item_FiscalPeriod,AX$1101,GD_Item_Name,$B1103,GD_Update_Date,AX$1099)=0,"NR",SUMIFS(GD_Guidance_High,GD_Item_Name,$B1103,GD_Item_FiscalPeriod,AX$1101,GD_Update_Date,AX$1099)))</f>
        <v/>
      </c>
      <c r="AY1103" s="563">
        <f>IF(ISBLANK(AY$1101),"N/A",IF(COUNTIFS(GD_Item_FiscalPeriod,AY$1101,GD_Item_Name,$B1103,GD_Update_Date,AY$1099)=0,"NR",SUMIFS(GD_Guidance_High,GD_Item_Name,$B1103,GD_Item_FiscalPeriod,AY$1101,GD_Update_Date,AY$1099)))</f>
        <v/>
      </c>
      <c r="AZ1103" s="563">
        <f>IF(ISBLANK(AZ$1101),"N/A",IF(COUNTIFS(GD_Item_FiscalPeriod,AZ$1101,GD_Item_Name,$B1103,GD_Update_Date,AZ$1099)=0,"NR",SUMIFS(GD_Guidance_High,GD_Item_Name,$B1103,GD_Item_FiscalPeriod,AZ$1101,GD_Update_Date,AZ$1099)))</f>
        <v/>
      </c>
      <c r="BA1103" s="563">
        <f>IF(ISBLANK(BA$1101),"N/A",IF(COUNTIFS(GD_Item_FiscalPeriod,BA$1101,GD_Item_Name,$B1103,GD_Update_Date,BA$1099)=0,"NR",SUMIFS(GD_Guidance_High,GD_Item_Name,$B1103,GD_Item_FiscalPeriod,BA$1101,GD_Update_Date,BA$1099)))</f>
        <v/>
      </c>
      <c r="BB1103" s="563">
        <f>IF(ISBLANK(BB$1101),"N/A",IF(COUNTIFS(GD_Item_FiscalPeriod,BB$1101,GD_Item_Name,$B1103,GD_Update_Date,BB$1099)=0,"NR",SUMIFS(GD_Guidance_High,GD_Item_Name,$B1103,GD_Item_FiscalPeriod,BB$1101,GD_Update_Date,BB$1099)))</f>
        <v/>
      </c>
      <c r="BC1103" s="563">
        <f>IF(ISBLANK(BC$1101),"N/A",IF(COUNTIFS(GD_Item_FiscalPeriod,BC$1101,GD_Item_Name,$B1103,GD_Update_Date,BC$1099)=0,"NR",SUMIFS(GD_Guidance_High,GD_Item_Name,$B1103,GD_Item_FiscalPeriod,BC$1101,GD_Update_Date,BC$1099)))</f>
        <v/>
      </c>
      <c r="BD1103" s="563">
        <f>IF(ISBLANK(BD$1101),"N/A",IF(COUNTIFS(GD_Item_FiscalPeriod,BD$1101,GD_Item_Name,$B1103,GD_Update_Date,BD$1099)=0,"NR",SUMIFS(GD_Guidance_High,GD_Item_Name,$B1103,GD_Item_FiscalPeriod,BD$1101,GD_Update_Date,BD$1099)))</f>
        <v/>
      </c>
      <c r="BE1103" s="563">
        <f>IF(ISBLANK(BE$1101),"N/A",IF(COUNTIFS(GD_Item_FiscalPeriod,BE$1101,GD_Item_Name,$B1103,GD_Update_Date,BE$1099)=0,"NR",SUMIFS(GD_Guidance_High,GD_Item_Name,$B1103,GD_Item_FiscalPeriod,BE$1101,GD_Update_Date,BE$1099)))</f>
        <v/>
      </c>
      <c r="BF1103" s="563">
        <f>IF(ISBLANK(BF$1101),"N/A",IF(COUNTIFS(GD_Item_FiscalPeriod,BF$1101,GD_Item_Name,$B1103,GD_Update_Date,BF$1099)=0,"NR",SUMIFS(GD_Guidance_High,GD_Item_Name,$B1103,GD_Item_FiscalPeriod,BF$1101,GD_Update_Date,BF$1099)))</f>
        <v/>
      </c>
      <c r="BG1103" s="563">
        <f>IF(ISBLANK(BG$1101),"N/A",IF(COUNTIFS(GD_Item_FiscalPeriod,BG$1101,GD_Item_Name,$B1103,GD_Update_Date,BG$1099)=0,"NR",SUMIFS(GD_Guidance_High,GD_Item_Name,$B1103,GD_Item_FiscalPeriod,BG$1101,GD_Update_Date,BG$1099)))</f>
        <v/>
      </c>
      <c r="BH1103" s="563">
        <f>IF(ISBLANK(BH$1101),"N/A",IF(COUNTIFS(GD_Item_FiscalPeriod,BH$1101,GD_Item_Name,$B1103,GD_Update_Date,BH$1099)=0,"NR",SUMIFS(GD_Guidance_High,GD_Item_Name,$B1103,GD_Item_FiscalPeriod,BH$1101,GD_Update_Date,BH$1099)))</f>
        <v/>
      </c>
      <c r="BI1103" s="563">
        <f>IF(ISBLANK(BI$1101),"N/A",IF(COUNTIFS(GD_Item_FiscalPeriod,BI$1101,GD_Item_Name,$B1103,GD_Update_Date,BI$1099)=0,"NR",SUMIFS(GD_Guidance_High,GD_Item_Name,$B1103,GD_Item_FiscalPeriod,BI$1101,GD_Update_Date,BI$1099)))</f>
        <v/>
      </c>
      <c r="BJ1103" s="563">
        <f>IF(ISBLANK(BJ$1101),"N/A",IF(COUNTIFS(GD_Item_FiscalPeriod,BJ$1101,GD_Item_Name,$B1103,GD_Update_Date,BJ$1099)=0,"NR",SUMIFS(GD_Guidance_High,GD_Item_Name,$B1103,GD_Item_FiscalPeriod,BJ$1101,GD_Update_Date,BJ$1099)))</f>
        <v/>
      </c>
      <c r="BK1103" s="563">
        <f>IF(ISBLANK(BK$1101),"N/A",IF(COUNTIFS(GD_Item_FiscalPeriod,BK$1101,GD_Item_Name,$B1103,GD_Update_Date,BK$1099)=0,"NR",SUMIFS(GD_Guidance_High,GD_Item_Name,$B1103,GD_Item_FiscalPeriod,BK$1101,GD_Update_Date,BK$1099)))</f>
        <v/>
      </c>
      <c r="BL1103" s="563">
        <f>IF(ISBLANK(BL$1101),"N/A",IF(COUNTIFS(GD_Item_FiscalPeriod,BL$1101,GD_Item_Name,$B1103,GD_Update_Date,BL$1099)=0,"NR",SUMIFS(GD_Guidance_High,GD_Item_Name,$B1103,GD_Item_FiscalPeriod,BL$1101,GD_Update_Date,BL$1099)))</f>
        <v/>
      </c>
      <c r="BM1103" s="563">
        <f>IF(ISBLANK(BM$1101),"N/A",IF(COUNTIFS(GD_Item_FiscalPeriod,BM$1101,GD_Item_Name,$B1103,GD_Update_Date,BM$1099)=0,"NR",SUMIFS(GD_Guidance_High,GD_Item_Name,$B1103,GD_Item_FiscalPeriod,BM$1101,GD_Update_Date,BM$1099)))</f>
        <v/>
      </c>
      <c r="BN1103" s="563">
        <f>IF(ISBLANK(BN$1101),"N/A",IF(COUNTIFS(GD_Item_FiscalPeriod,BN$1101,GD_Item_Name,$B1103,GD_Update_Date,BN$1099)=0,"NR",SUMIFS(GD_Guidance_High,GD_Item_Name,$B1103,GD_Item_FiscalPeriod,BN$1101,GD_Update_Date,BN$1099)))</f>
        <v/>
      </c>
      <c r="BO1103" s="563">
        <f>IF(ISBLANK(BO$1101),"N/A",IF(COUNTIFS(GD_Item_FiscalPeriod,BO$1101,GD_Item_Name,$B1103,GD_Update_Date,BO$1099)=0,"NR",SUMIFS(GD_Guidance_High,GD_Item_Name,$B1103,GD_Item_FiscalPeriod,BO$1101,GD_Update_Date,BO$1099)))</f>
        <v/>
      </c>
      <c r="BP1103" s="563">
        <f>IF(ISBLANK(BP$1101),"N/A",IF(COUNTIFS(GD_Item_FiscalPeriod,BP$1101,GD_Item_Name,$B1103,GD_Update_Date,BP$1099)=0,"NR",SUMIFS(GD_Guidance_High,GD_Item_Name,$B1103,GD_Item_FiscalPeriod,BP$1101,GD_Update_Date,BP$1099)))</f>
        <v/>
      </c>
      <c r="BQ1103" s="563">
        <f>IF(ISBLANK(BQ$1101),"N/A",IF(COUNTIFS(GD_Item_FiscalPeriod,BQ$1101,GD_Item_Name,$B1103,GD_Update_Date,BQ$1099)=0,"NR",SUMIFS(GD_Guidance_High,GD_Item_Name,$B1103,GD_Item_FiscalPeriod,BQ$1101,GD_Update_Date,BQ$1099)))</f>
        <v/>
      </c>
      <c r="BR1103" s="563">
        <f>IF(ISBLANK(BR$1101),"N/A",IF(COUNTIFS(GD_Item_FiscalPeriod,BR$1101,GD_Item_Name,$B1103,GD_Update_Date,BR$1099)=0,"NR",SUMIFS(GD_Guidance_High,GD_Item_Name,$B1103,GD_Item_FiscalPeriod,BR$1101,GD_Update_Date,BR$1099)))</f>
        <v/>
      </c>
      <c r="BS1103" s="563">
        <f>IF(ISBLANK(BS$1101),"N/A",IF(COUNTIFS(GD_Item_FiscalPeriod,BS$1101,GD_Item_Name,$B1103,GD_Update_Date,BS$1099)=0,"NR",SUMIFS(GD_Guidance_High,GD_Item_Name,$B1103,GD_Item_FiscalPeriod,BS$1101,GD_Update_Date,BS$1099)))</f>
        <v/>
      </c>
      <c r="BT1103" s="563">
        <f>IF(ISBLANK(BT$1101),"N/A",IF(COUNTIFS(GD_Item_FiscalPeriod,BT$1101,GD_Item_Name,$B1103,GD_Update_Date,BT$1099)=0,"NR",SUMIFS(GD_Guidance_High,GD_Item_Name,$B1103,GD_Item_FiscalPeriod,BT$1101,GD_Update_Date,BT$1099)))</f>
        <v/>
      </c>
      <c r="BU1103" s="563">
        <f>IF(ISBLANK(BU$1101),"N/A",IF(COUNTIFS(GD_Item_FiscalPeriod,BU$1101,GD_Item_Name,$B1103,GD_Update_Date,BU$1099)=0,"NR",SUMIFS(GD_Guidance_High,GD_Item_Name,$B1103,GD_Item_FiscalPeriod,BU$1101,GD_Update_Date,BU$1099)))</f>
        <v/>
      </c>
      <c r="BV1103" s="731">
        <f>IF(ISBLANK(BV$1101),"N/A",IF(COUNTIFS(GD_Item_FiscalPeriod,BV$1101,GD_Item_Name,$B1103,GD_Update_Date,BV$1099)=0,"NR",SUMIFS(GD_Guidance_High,GD_Item_Name,$B1103,GD_Item_FiscalPeriod,BV$1101,GD_Update_Date,BV$1099)))</f>
        <v/>
      </c>
      <c r="BW1103" s="563">
        <f>IF(ISBLANK(BW$1101),"N/A",IF(COUNTIFS(GD_Item_FiscalPeriod,BW$1101,GD_Item_Name,$B1103,GD_Update_Date,BW$1099)=0,"NR",SUMIFS(GD_Guidance_High,GD_Item_Name,$B1103,GD_Item_FiscalPeriod,BW$1101,GD_Update_Date,BW$1099)))</f>
        <v/>
      </c>
      <c r="BX1103" s="563">
        <f>IF(ISBLANK(BX$1101),"N/A",IF(COUNTIFS(GD_Item_FiscalPeriod,BX$1101,GD_Item_Name,$B1103,GD_Update_Date,BX$1099)=0,"NR",SUMIFS(GD_Guidance_High,GD_Item_Name,$B1103,GD_Item_FiscalPeriod,BX$1101,GD_Update_Date,BX$1099)))</f>
        <v/>
      </c>
      <c r="BY1103" s="563">
        <f>IF(ISBLANK(BY$1101),"N/A",IF(COUNTIFS(GD_Item_FiscalPeriod,BY$1101,GD_Item_Name,$B1103,GD_Update_Date,BY$1099)=0,"NR",SUMIFS(GD_Guidance_High,GD_Item_Name,$B1103,GD_Item_FiscalPeriod,BY$1101,GD_Update_Date,BY$1099)))</f>
        <v/>
      </c>
      <c r="BZ1103" s="563">
        <f>IF(ISBLANK(BZ$1101),"N/A",IF(COUNTIFS(GD_Item_FiscalPeriod,BZ$1101,GD_Item_Name,$B1103,GD_Update_Date,BZ$1099)=0,"NR",SUMIFS(GD_Guidance_High,GD_Item_Name,$B1103,GD_Item_FiscalPeriod,BZ$1101,GD_Update_Date,BZ$1099)))</f>
        <v/>
      </c>
      <c r="CA1103" s="563">
        <f>IF(ISBLANK(CA$1101),"N/A",IF(COUNTIFS(GD_Item_FiscalPeriod,CA$1101,GD_Item_Name,$B1103,GD_Update_Date,CA$1099)=0,"NR",SUMIFS(GD_Guidance_High,GD_Item_Name,$B1103,GD_Item_FiscalPeriod,CA$1101,GD_Update_Date,CA$1099)))</f>
        <v/>
      </c>
      <c r="CB1103" s="563">
        <f>IF(ISBLANK(CB$1101),"N/A",IF(COUNTIFS(GD_Item_FiscalPeriod,CB$1101,GD_Item_Name,$B1103,GD_Update_Date,CB$1099)=0,"NR",SUMIFS(GD_Guidance_High,GD_Item_Name,$B1103,GD_Item_FiscalPeriod,CB$1101,GD_Update_Date,CB$1099)))</f>
        <v/>
      </c>
      <c r="CC1103" s="563">
        <f>IF(ISBLANK(CC$1101),"N/A",IF(COUNTIFS(GD_Item_FiscalPeriod,CC$1101,GD_Item_Name,$B1103,GD_Update_Date,CC$1099)=0,"NR",SUMIFS(GD_Guidance_High,GD_Item_Name,$B1103,GD_Item_FiscalPeriod,CC$1101,GD_Update_Date,CC$1099)))</f>
        <v/>
      </c>
      <c r="CD1103" s="563">
        <f>IF(ISBLANK(CD$1101),"N/A",IF(COUNTIFS(GD_Item_FiscalPeriod,CD$1101,GD_Item_Name,$B1103,GD_Update_Date,CD$1099)=0,"NR",SUMIFS(GD_Guidance_High,GD_Item_Name,$B1103,GD_Item_FiscalPeriod,CD$1101,GD_Update_Date,CD$1099)))</f>
        <v/>
      </c>
      <c r="CE1103" s="563">
        <f>IF(ISBLANK(CE$1101),"N/A",IF(COUNTIFS(GD_Item_FiscalPeriod,CE$1101,GD_Item_Name,$B1103,GD_Update_Date,CE$1099)=0,"NR",SUMIFS(GD_Guidance_High,GD_Item_Name,$B1103,GD_Item_FiscalPeriod,CE$1101,GD_Update_Date,CE$1099)))</f>
        <v/>
      </c>
      <c r="CF1103" s="794">
        <f>IF(ISBLANK(CF$1101),"N/A",IF(COUNTIFS(GD_Item_FiscalPeriod,CF$1101,GD_Item_Name,$B1103,GD_Update_Date,CF$1099)=0,"NR",SUMIFS(GD_Guidance_High,GD_Item_Name,$B1103,GD_Item_FiscalPeriod,CF$1101,GD_Update_Date,CF$1099)))</f>
        <v/>
      </c>
      <c r="CG1103" s="155" t="n"/>
    </row>
    <row r="1104">
      <c r="A1104" s="793" t="inlineStr">
        <is>
          <t>Mid - Net Revenue, mm</t>
        </is>
      </c>
      <c r="B1104" s="1053" t="inlineStr">
        <is>
          <t>MO_RIS_REV</t>
        </is>
      </c>
      <c r="C1104" s="1006" t="n"/>
      <c r="D1104" s="1006" t="n"/>
      <c r="E1104" s="563" t="n"/>
      <c r="F1104" s="563" t="n"/>
      <c r="G1104" s="563" t="n"/>
      <c r="H1104" s="563" t="n"/>
      <c r="I1104" s="563" t="n"/>
      <c r="J1104" s="563" t="n"/>
      <c r="K1104" s="563" t="n"/>
      <c r="L1104" s="563" t="n"/>
      <c r="M1104" s="563" t="n"/>
      <c r="N1104" s="563" t="n"/>
      <c r="O1104" s="563" t="n"/>
      <c r="P1104" s="563" t="n"/>
      <c r="Q1104" s="563" t="n"/>
      <c r="R1104" s="563" t="n"/>
      <c r="S1104" s="563" t="n"/>
      <c r="T1104" s="563" t="n"/>
      <c r="U1104" s="563" t="n"/>
      <c r="V1104" s="563" t="n"/>
      <c r="W1104" s="563" t="n"/>
      <c r="X1104" s="563" t="n"/>
      <c r="Y1104" s="563" t="n"/>
      <c r="Z1104" s="563" t="n"/>
      <c r="AA1104" s="563" t="n"/>
      <c r="AB1104" s="563" t="n"/>
      <c r="AC1104" s="563" t="n"/>
      <c r="AD1104" s="563" t="n"/>
      <c r="AE1104" s="563" t="n"/>
      <c r="AF1104" s="563" t="n"/>
      <c r="AG1104" s="563" t="n"/>
      <c r="AH1104" s="563">
        <f>IF(ISBLANK(AH$1101),"N/A",IF(COUNTIFS(GD_Item_FiscalPeriod,AH$1101,GD_Item_Name,$B1104,GD_Update_Date,AH$1099)=0,"NR",SUMIFS(GD_Guidance_Mid,GD_Item_Name,$B1104,GD_Item_FiscalPeriod,AH$1101,GD_Update_Date,AH$1099)))</f>
        <v/>
      </c>
      <c r="AI1104" s="563">
        <f>IF(ISBLANK(AI$1101),"N/A",IF(COUNTIFS(GD_Item_FiscalPeriod,AI$1101,GD_Item_Name,$B1104,GD_Update_Date,AI$1099)=0,"NR",SUMIFS(GD_Guidance_Mid,GD_Item_Name,$B1104,GD_Item_FiscalPeriod,AI$1101,GD_Update_Date,AI$1099)))</f>
        <v/>
      </c>
      <c r="AJ1104" s="563">
        <f>IF(ISBLANK(AJ$1101),"N/A",IF(COUNTIFS(GD_Item_FiscalPeriod,AJ$1101,GD_Item_Name,$B1104,GD_Update_Date,AJ$1099)=0,"NR",SUMIFS(GD_Guidance_Mid,GD_Item_Name,$B1104,GD_Item_FiscalPeriod,AJ$1101,GD_Update_Date,AJ$1099)))</f>
        <v/>
      </c>
      <c r="AK1104" s="563">
        <f>IF(ISBLANK(AK$1101),"N/A",IF(COUNTIFS(GD_Item_FiscalPeriod,AK$1101,GD_Item_Name,$B1104,GD_Update_Date,AK$1099)=0,"NR",SUMIFS(GD_Guidance_Mid,GD_Item_Name,$B1104,GD_Item_FiscalPeriod,AK$1101,GD_Update_Date,AK$1099)))</f>
        <v/>
      </c>
      <c r="AL1104" s="563">
        <f>IF(ISBLANK(AL$1101),"N/A",IF(COUNTIFS(GD_Item_FiscalPeriod,AL$1101,GD_Item_Name,$B1104,GD_Update_Date,AL$1099)=0,"NR",SUMIFS(GD_Guidance_Mid,GD_Item_Name,$B1104,GD_Item_FiscalPeriod,AL$1101,GD_Update_Date,AL$1099)))</f>
        <v/>
      </c>
      <c r="AM1104" s="563">
        <f>IF(ISBLANK(AM$1101),"N/A",IF(COUNTIFS(GD_Item_FiscalPeriod,AM$1101,GD_Item_Name,$B1104,GD_Update_Date,AM$1099)=0,"NR",SUMIFS(GD_Guidance_Mid,GD_Item_Name,$B1104,GD_Item_FiscalPeriod,AM$1101,GD_Update_Date,AM$1099)))</f>
        <v/>
      </c>
      <c r="AN1104" s="563">
        <f>IF(ISBLANK(AN$1101),"N/A",IF(COUNTIFS(GD_Item_FiscalPeriod,AN$1101,GD_Item_Name,$B1104,GD_Update_Date,AN$1099)=0,"NR",SUMIFS(GD_Guidance_Mid,GD_Item_Name,$B1104,GD_Item_FiscalPeriod,AN$1101,GD_Update_Date,AN$1099)))</f>
        <v/>
      </c>
      <c r="AO1104" s="563">
        <f>IF(ISBLANK(AO$1101),"N/A",IF(COUNTIFS(GD_Item_FiscalPeriod,AO$1101,GD_Item_Name,$B1104,GD_Update_Date,AO$1099)=0,"NR",SUMIFS(GD_Guidance_Mid,GD_Item_Name,$B1104,GD_Item_FiscalPeriod,AO$1101,GD_Update_Date,AO$1099)))</f>
        <v/>
      </c>
      <c r="AP1104" s="563">
        <f>IF(ISBLANK(AP$1101),"N/A",IF(COUNTIFS(GD_Item_FiscalPeriod,AP$1101,GD_Item_Name,$B1104,GD_Update_Date,AP$1099)=0,"NR",SUMIFS(GD_Guidance_Mid,GD_Item_Name,$B1104,GD_Item_FiscalPeriod,AP$1101,GD_Update_Date,AP$1099)))</f>
        <v/>
      </c>
      <c r="AQ1104" s="563">
        <f>IF(ISBLANK(AQ$1101),"N/A",IF(COUNTIFS(GD_Item_FiscalPeriod,AQ$1101,GD_Item_Name,$B1104,GD_Update_Date,AQ$1099)=0,"NR",SUMIFS(GD_Guidance_Mid,GD_Item_Name,$B1104,GD_Item_FiscalPeriod,AQ$1101,GD_Update_Date,AQ$1099)))</f>
        <v/>
      </c>
      <c r="AR1104" s="563">
        <f>IF(ISBLANK(AR$1101),"N/A",IF(COUNTIFS(GD_Item_FiscalPeriod,AR$1101,GD_Item_Name,$B1104,GD_Update_Date,AR$1099)=0,"NR",SUMIFS(GD_Guidance_Mid,GD_Item_Name,$B1104,GD_Item_FiscalPeriod,AR$1101,GD_Update_Date,AR$1099)))</f>
        <v/>
      </c>
      <c r="AS1104" s="563">
        <f>IF(ISBLANK(AS$1101),"N/A",IF(COUNTIFS(GD_Item_FiscalPeriod,AS$1101,GD_Item_Name,$B1104,GD_Update_Date,AS$1099)=0,"NR",SUMIFS(GD_Guidance_Mid,GD_Item_Name,$B1104,GD_Item_FiscalPeriod,AS$1101,GD_Update_Date,AS$1099)))</f>
        <v/>
      </c>
      <c r="AT1104" s="563">
        <f>IF(ISBLANK(AT$1101),"N/A",IF(COUNTIFS(GD_Item_FiscalPeriod,AT$1101,GD_Item_Name,$B1104,GD_Update_Date,AT$1099)=0,"NR",SUMIFS(GD_Guidance_Mid,GD_Item_Name,$B1104,GD_Item_FiscalPeriod,AT$1101,GD_Update_Date,AT$1099)))</f>
        <v/>
      </c>
      <c r="AU1104" s="563">
        <f>IF(ISBLANK(AU$1101),"N/A",IF(COUNTIFS(GD_Item_FiscalPeriod,AU$1101,GD_Item_Name,$B1104,GD_Update_Date,AU$1099)=0,"NR",SUMIFS(GD_Guidance_Mid,GD_Item_Name,$B1104,GD_Item_FiscalPeriod,AU$1101,GD_Update_Date,AU$1099)))</f>
        <v/>
      </c>
      <c r="AV1104" s="563">
        <f>IF(ISBLANK(AV$1101),"N/A",IF(COUNTIFS(GD_Item_FiscalPeriod,AV$1101,GD_Item_Name,$B1104,GD_Update_Date,AV$1099)=0,"NR",SUMIFS(GD_Guidance_Mid,GD_Item_Name,$B1104,GD_Item_FiscalPeriod,AV$1101,GD_Update_Date,AV$1099)))</f>
        <v/>
      </c>
      <c r="AW1104" s="563">
        <f>IF(ISBLANK(AW$1101),"N/A",IF(COUNTIFS(GD_Item_FiscalPeriod,AW$1101,GD_Item_Name,$B1104,GD_Update_Date,AW$1099)=0,"NR",SUMIFS(GD_Guidance_Mid,GD_Item_Name,$B1104,GD_Item_FiscalPeriod,AW$1101,GD_Update_Date,AW$1099)))</f>
        <v/>
      </c>
      <c r="AX1104" s="563">
        <f>IF(ISBLANK(AX$1101),"N/A",IF(COUNTIFS(GD_Item_FiscalPeriod,AX$1101,GD_Item_Name,$B1104,GD_Update_Date,AX$1099)=0,"NR",SUMIFS(GD_Guidance_Mid,GD_Item_Name,$B1104,GD_Item_FiscalPeriod,AX$1101,GD_Update_Date,AX$1099)))</f>
        <v/>
      </c>
      <c r="AY1104" s="563">
        <f>IF(ISBLANK(AY$1101),"N/A",IF(COUNTIFS(GD_Item_FiscalPeriod,AY$1101,GD_Item_Name,$B1104,GD_Update_Date,AY$1099)=0,"NR",SUMIFS(GD_Guidance_Mid,GD_Item_Name,$B1104,GD_Item_FiscalPeriod,AY$1101,GD_Update_Date,AY$1099)))</f>
        <v/>
      </c>
      <c r="AZ1104" s="563">
        <f>IF(ISBLANK(AZ$1101),"N/A",IF(COUNTIFS(GD_Item_FiscalPeriod,AZ$1101,GD_Item_Name,$B1104,GD_Update_Date,AZ$1099)=0,"NR",SUMIFS(GD_Guidance_Mid,GD_Item_Name,$B1104,GD_Item_FiscalPeriod,AZ$1101,GD_Update_Date,AZ$1099)))</f>
        <v/>
      </c>
      <c r="BA1104" s="563">
        <f>IF(ISBLANK(BA$1101),"N/A",IF(COUNTIFS(GD_Item_FiscalPeriod,BA$1101,GD_Item_Name,$B1104,GD_Update_Date,BA$1099)=0,"NR",SUMIFS(GD_Guidance_Mid,GD_Item_Name,$B1104,GD_Item_FiscalPeriod,BA$1101,GD_Update_Date,BA$1099)))</f>
        <v/>
      </c>
      <c r="BB1104" s="563">
        <f>IF(ISBLANK(BB$1101),"N/A",IF(COUNTIFS(GD_Item_FiscalPeriod,BB$1101,GD_Item_Name,$B1104,GD_Update_Date,BB$1099)=0,"NR",SUMIFS(GD_Guidance_Mid,GD_Item_Name,$B1104,GD_Item_FiscalPeriod,BB$1101,GD_Update_Date,BB$1099)))</f>
        <v/>
      </c>
      <c r="BC1104" s="563">
        <f>IF(ISBLANK(BC$1101),"N/A",IF(COUNTIFS(GD_Item_FiscalPeriod,BC$1101,GD_Item_Name,$B1104,GD_Update_Date,BC$1099)=0,"NR",SUMIFS(GD_Guidance_Mid,GD_Item_Name,$B1104,GD_Item_FiscalPeriod,BC$1101,GD_Update_Date,BC$1099)))</f>
        <v/>
      </c>
      <c r="BD1104" s="563">
        <f>IF(ISBLANK(BD$1101),"N/A",IF(COUNTIFS(GD_Item_FiscalPeriod,BD$1101,GD_Item_Name,$B1104,GD_Update_Date,BD$1099)=0,"NR",SUMIFS(GD_Guidance_Mid,GD_Item_Name,$B1104,GD_Item_FiscalPeriod,BD$1101,GD_Update_Date,BD$1099)))</f>
        <v/>
      </c>
      <c r="BE1104" s="563">
        <f>IF(ISBLANK(BE$1101),"N/A",IF(COUNTIFS(GD_Item_FiscalPeriod,BE$1101,GD_Item_Name,$B1104,GD_Update_Date,BE$1099)=0,"NR",SUMIFS(GD_Guidance_Mid,GD_Item_Name,$B1104,GD_Item_FiscalPeriod,BE$1101,GD_Update_Date,BE$1099)))</f>
        <v/>
      </c>
      <c r="BF1104" s="563">
        <f>IF(ISBLANK(BF$1101),"N/A",IF(COUNTIFS(GD_Item_FiscalPeriod,BF$1101,GD_Item_Name,$B1104,GD_Update_Date,BF$1099)=0,"NR",SUMIFS(GD_Guidance_Mid,GD_Item_Name,$B1104,GD_Item_FiscalPeriod,BF$1101,GD_Update_Date,BF$1099)))</f>
        <v/>
      </c>
      <c r="BG1104" s="563">
        <f>IF(ISBLANK(BG$1101),"N/A",IF(COUNTIFS(GD_Item_FiscalPeriod,BG$1101,GD_Item_Name,$B1104,GD_Update_Date,BG$1099)=0,"NR",SUMIFS(GD_Guidance_Mid,GD_Item_Name,$B1104,GD_Item_FiscalPeriod,BG$1101,GD_Update_Date,BG$1099)))</f>
        <v/>
      </c>
      <c r="BH1104" s="563">
        <f>IF(ISBLANK(BH$1101),"N/A",IF(COUNTIFS(GD_Item_FiscalPeriod,BH$1101,GD_Item_Name,$B1104,GD_Update_Date,BH$1099)=0,"NR",SUMIFS(GD_Guidance_Mid,GD_Item_Name,$B1104,GD_Item_FiscalPeriod,BH$1101,GD_Update_Date,BH$1099)))</f>
        <v/>
      </c>
      <c r="BI1104" s="563">
        <f>IF(ISBLANK(BI$1101),"N/A",IF(COUNTIFS(GD_Item_FiscalPeriod,BI$1101,GD_Item_Name,$B1104,GD_Update_Date,BI$1099)=0,"NR",SUMIFS(GD_Guidance_Mid,GD_Item_Name,$B1104,GD_Item_FiscalPeriod,BI$1101,GD_Update_Date,BI$1099)))</f>
        <v/>
      </c>
      <c r="BJ1104" s="563">
        <f>IF(ISBLANK(BJ$1101),"N/A",IF(COUNTIFS(GD_Item_FiscalPeriod,BJ$1101,GD_Item_Name,$B1104,GD_Update_Date,BJ$1099)=0,"NR",SUMIFS(GD_Guidance_Mid,GD_Item_Name,$B1104,GD_Item_FiscalPeriod,BJ$1101,GD_Update_Date,BJ$1099)))</f>
        <v/>
      </c>
      <c r="BK1104" s="563">
        <f>IF(ISBLANK(BK$1101),"N/A",IF(COUNTIFS(GD_Item_FiscalPeriod,BK$1101,GD_Item_Name,$B1104,GD_Update_Date,BK$1099)=0,"NR",SUMIFS(GD_Guidance_Mid,GD_Item_Name,$B1104,GD_Item_FiscalPeriod,BK$1101,GD_Update_Date,BK$1099)))</f>
        <v/>
      </c>
      <c r="BL1104" s="563">
        <f>IF(ISBLANK(BL$1101),"N/A",IF(COUNTIFS(GD_Item_FiscalPeriod,BL$1101,GD_Item_Name,$B1104,GD_Update_Date,BL$1099)=0,"NR",SUMIFS(GD_Guidance_Mid,GD_Item_Name,$B1104,GD_Item_FiscalPeriod,BL$1101,GD_Update_Date,BL$1099)))</f>
        <v/>
      </c>
      <c r="BM1104" s="563">
        <f>IF(ISBLANK(BM$1101),"N/A",IF(COUNTIFS(GD_Item_FiscalPeriod,BM$1101,GD_Item_Name,$B1104,GD_Update_Date,BM$1099)=0,"NR",SUMIFS(GD_Guidance_Mid,GD_Item_Name,$B1104,GD_Item_FiscalPeriod,BM$1101,GD_Update_Date,BM$1099)))</f>
        <v/>
      </c>
      <c r="BN1104" s="563">
        <f>IF(ISBLANK(BN$1101),"N/A",IF(COUNTIFS(GD_Item_FiscalPeriod,BN$1101,GD_Item_Name,$B1104,GD_Update_Date,BN$1099)=0,"NR",SUMIFS(GD_Guidance_Mid,GD_Item_Name,$B1104,GD_Item_FiscalPeriod,BN$1101,GD_Update_Date,BN$1099)))</f>
        <v/>
      </c>
      <c r="BO1104" s="563">
        <f>IF(ISBLANK(BO$1101),"N/A",IF(COUNTIFS(GD_Item_FiscalPeriod,BO$1101,GD_Item_Name,$B1104,GD_Update_Date,BO$1099)=0,"NR",SUMIFS(GD_Guidance_Mid,GD_Item_Name,$B1104,GD_Item_FiscalPeriod,BO$1101,GD_Update_Date,BO$1099)))</f>
        <v/>
      </c>
      <c r="BP1104" s="563">
        <f>IF(ISBLANK(BP$1101),"N/A",IF(COUNTIFS(GD_Item_FiscalPeriod,BP$1101,GD_Item_Name,$B1104,GD_Update_Date,BP$1099)=0,"NR",SUMIFS(GD_Guidance_Mid,GD_Item_Name,$B1104,GD_Item_FiscalPeriod,BP$1101,GD_Update_Date,BP$1099)))</f>
        <v/>
      </c>
      <c r="BQ1104" s="563">
        <f>IF(ISBLANK(BQ$1101),"N/A",IF(COUNTIFS(GD_Item_FiscalPeriod,BQ$1101,GD_Item_Name,$B1104,GD_Update_Date,BQ$1099)=0,"NR",SUMIFS(GD_Guidance_Mid,GD_Item_Name,$B1104,GD_Item_FiscalPeriod,BQ$1101,GD_Update_Date,BQ$1099)))</f>
        <v/>
      </c>
      <c r="BR1104" s="563">
        <f>IF(ISBLANK(BR$1101),"N/A",IF(COUNTIFS(GD_Item_FiscalPeriod,BR$1101,GD_Item_Name,$B1104,GD_Update_Date,BR$1099)=0,"NR",SUMIFS(GD_Guidance_Mid,GD_Item_Name,$B1104,GD_Item_FiscalPeriod,BR$1101,GD_Update_Date,BR$1099)))</f>
        <v/>
      </c>
      <c r="BS1104" s="563">
        <f>IF(ISBLANK(BS$1101),"N/A",IF(COUNTIFS(GD_Item_FiscalPeriod,BS$1101,GD_Item_Name,$B1104,GD_Update_Date,BS$1099)=0,"NR",SUMIFS(GD_Guidance_Mid,GD_Item_Name,$B1104,GD_Item_FiscalPeriod,BS$1101,GD_Update_Date,BS$1099)))</f>
        <v/>
      </c>
      <c r="BT1104" s="563">
        <f>IF(ISBLANK(BT$1101),"N/A",IF(COUNTIFS(GD_Item_FiscalPeriod,BT$1101,GD_Item_Name,$B1104,GD_Update_Date,BT$1099)=0,"NR",SUMIFS(GD_Guidance_Mid,GD_Item_Name,$B1104,GD_Item_FiscalPeriod,BT$1101,GD_Update_Date,BT$1099)))</f>
        <v/>
      </c>
      <c r="BU1104" s="563">
        <f>IF(ISBLANK(BU$1101),"N/A",IF(COUNTIFS(GD_Item_FiscalPeriod,BU$1101,GD_Item_Name,$B1104,GD_Update_Date,BU$1099)=0,"NR",SUMIFS(GD_Guidance_Mid,GD_Item_Name,$B1104,GD_Item_FiscalPeriod,BU$1101,GD_Update_Date,BU$1099)))</f>
        <v/>
      </c>
      <c r="BV1104" s="731">
        <f>IF(ISBLANK(BV$1101),"N/A",IF(COUNTIFS(GD_Item_FiscalPeriod,BV$1101,GD_Item_Name,$B1104,GD_Update_Date,BV$1099)=0,"NR",SUMIFS(GD_Guidance_Mid,GD_Item_Name,$B1104,GD_Item_FiscalPeriod,BV$1101,GD_Update_Date,BV$1099)))</f>
        <v/>
      </c>
      <c r="BW1104" s="563">
        <f>IF(ISBLANK(BW$1101),"N/A",IF(COUNTIFS(GD_Item_FiscalPeriod,BW$1101,GD_Item_Name,$B1104,GD_Update_Date,BW$1099)=0,"NR",SUMIFS(GD_Guidance_Mid,GD_Item_Name,$B1104,GD_Item_FiscalPeriod,BW$1101,GD_Update_Date,BW$1099)))</f>
        <v/>
      </c>
      <c r="BX1104" s="563">
        <f>IF(ISBLANK(BX$1101),"N/A",IF(COUNTIFS(GD_Item_FiscalPeriod,BX$1101,GD_Item_Name,$B1104,GD_Update_Date,BX$1099)=0,"NR",SUMIFS(GD_Guidance_Mid,GD_Item_Name,$B1104,GD_Item_FiscalPeriod,BX$1101,GD_Update_Date,BX$1099)))</f>
        <v/>
      </c>
      <c r="BY1104" s="563">
        <f>IF(ISBLANK(BY$1101),"N/A",IF(COUNTIFS(GD_Item_FiscalPeriod,BY$1101,GD_Item_Name,$B1104,GD_Update_Date,BY$1099)=0,"NR",SUMIFS(GD_Guidance_Mid,GD_Item_Name,$B1104,GD_Item_FiscalPeriod,BY$1101,GD_Update_Date,BY$1099)))</f>
        <v/>
      </c>
      <c r="BZ1104" s="563">
        <f>IF(ISBLANK(BZ$1101),"N/A",IF(COUNTIFS(GD_Item_FiscalPeriod,BZ$1101,GD_Item_Name,$B1104,GD_Update_Date,BZ$1099)=0,"NR",SUMIFS(GD_Guidance_Mid,GD_Item_Name,$B1104,GD_Item_FiscalPeriod,BZ$1101,GD_Update_Date,BZ$1099)))</f>
        <v/>
      </c>
      <c r="CA1104" s="563">
        <f>IF(ISBLANK(CA$1101),"N/A",IF(COUNTIFS(GD_Item_FiscalPeriod,CA$1101,GD_Item_Name,$B1104,GD_Update_Date,CA$1099)=0,"NR",SUMIFS(GD_Guidance_Mid,GD_Item_Name,$B1104,GD_Item_FiscalPeriod,CA$1101,GD_Update_Date,CA$1099)))</f>
        <v/>
      </c>
      <c r="CB1104" s="563">
        <f>IF(ISBLANK(CB$1101),"N/A",IF(COUNTIFS(GD_Item_FiscalPeriod,CB$1101,GD_Item_Name,$B1104,GD_Update_Date,CB$1099)=0,"NR",SUMIFS(GD_Guidance_Mid,GD_Item_Name,$B1104,GD_Item_FiscalPeriod,CB$1101,GD_Update_Date,CB$1099)))</f>
        <v/>
      </c>
      <c r="CC1104" s="563">
        <f>IF(ISBLANK(CC$1101),"N/A",IF(COUNTIFS(GD_Item_FiscalPeriod,CC$1101,GD_Item_Name,$B1104,GD_Update_Date,CC$1099)=0,"NR",SUMIFS(GD_Guidance_Mid,GD_Item_Name,$B1104,GD_Item_FiscalPeriod,CC$1101,GD_Update_Date,CC$1099)))</f>
        <v/>
      </c>
      <c r="CD1104" s="563">
        <f>IF(ISBLANK(CD$1101),"N/A",IF(COUNTIFS(GD_Item_FiscalPeriod,CD$1101,GD_Item_Name,$B1104,GD_Update_Date,CD$1099)=0,"NR",SUMIFS(GD_Guidance_Mid,GD_Item_Name,$B1104,GD_Item_FiscalPeriod,CD$1101,GD_Update_Date,CD$1099)))</f>
        <v/>
      </c>
      <c r="CE1104" s="563">
        <f>IF(ISBLANK(CE$1101),"N/A",IF(COUNTIFS(GD_Item_FiscalPeriod,CE$1101,GD_Item_Name,$B1104,GD_Update_Date,CE$1099)=0,"NR",SUMIFS(GD_Guidance_Mid,GD_Item_Name,$B1104,GD_Item_FiscalPeriod,CE$1101,GD_Update_Date,CE$1099)))</f>
        <v/>
      </c>
      <c r="CF1104" s="794">
        <f>IF(ISBLANK(CF$1101),"N/A",IF(COUNTIFS(GD_Item_FiscalPeriod,CF$1101,GD_Item_Name,$B1104,GD_Update_Date,CF$1099)=0,"NR",SUMIFS(GD_Guidance_Mid,GD_Item_Name,$B1104,GD_Item_FiscalPeriod,CF$1101,GD_Update_Date,CF$1099)))</f>
        <v/>
      </c>
      <c r="CG1104" s="155" t="n"/>
    </row>
    <row r="1105">
      <c r="A1105" s="795" t="inlineStr">
        <is>
          <t>Low - Non-GAAP Gross Margin, %</t>
        </is>
      </c>
      <c r="B1105" s="1067" t="inlineStr">
        <is>
          <t>MO_MA_GM_NONGAAP</t>
        </is>
      </c>
      <c r="C1105" s="1007" t="n"/>
      <c r="D1105" s="1007" t="n"/>
      <c r="E1105" s="594" t="n"/>
      <c r="F1105" s="594" t="n"/>
      <c r="G1105" s="594" t="n"/>
      <c r="H1105" s="594" t="n"/>
      <c r="I1105" s="594" t="n"/>
      <c r="J1105" s="594" t="n"/>
      <c r="K1105" s="594" t="n"/>
      <c r="L1105" s="594" t="n"/>
      <c r="M1105" s="594" t="n"/>
      <c r="N1105" s="594" t="n"/>
      <c r="O1105" s="594" t="n"/>
      <c r="P1105" s="594" t="n"/>
      <c r="Q1105" s="594" t="n"/>
      <c r="R1105" s="594" t="n"/>
      <c r="S1105" s="594" t="n"/>
      <c r="T1105" s="594" t="n"/>
      <c r="U1105" s="594" t="n"/>
      <c r="V1105" s="594" t="n"/>
      <c r="W1105" s="594" t="n"/>
      <c r="X1105" s="594" t="n"/>
      <c r="Y1105" s="594" t="n"/>
      <c r="Z1105" s="594" t="n"/>
      <c r="AA1105" s="594" t="n"/>
      <c r="AB1105" s="594" t="n"/>
      <c r="AC1105" s="594" t="n"/>
      <c r="AD1105" s="594" t="n"/>
      <c r="AE1105" s="594" t="n"/>
      <c r="AF1105" s="594" t="n"/>
      <c r="AG1105" s="594" t="n"/>
      <c r="AH1105" s="594">
        <f>IF(ISBLANK(AH$1101),"N/A",IF(COUNTIFS(GD_Item_FiscalPeriod,AH$1101,GD_Item_Name,$B1105,GD_Update_Date,AH$1099)=0,"NR",SUMIFS(GD_Guidance_Low,GD_Item_Name,$B1105,GD_Item_FiscalPeriod,AH$1101,GD_Update_Date,AH$1099)))</f>
        <v/>
      </c>
      <c r="AI1105" s="594">
        <f>IF(ISBLANK(AI$1101),"N/A",IF(COUNTIFS(GD_Item_FiscalPeriod,AI$1101,GD_Item_Name,$B1105,GD_Update_Date,AI$1099)=0,"NR",SUMIFS(GD_Guidance_Low,GD_Item_Name,$B1105,GD_Item_FiscalPeriod,AI$1101,GD_Update_Date,AI$1099)))</f>
        <v/>
      </c>
      <c r="AJ1105" s="594">
        <f>IF(ISBLANK(AJ$1101),"N/A",IF(COUNTIFS(GD_Item_FiscalPeriod,AJ$1101,GD_Item_Name,$B1105,GD_Update_Date,AJ$1099)=0,"NR",SUMIFS(GD_Guidance_Low,GD_Item_Name,$B1105,GD_Item_FiscalPeriod,AJ$1101,GD_Update_Date,AJ$1099)))</f>
        <v/>
      </c>
      <c r="AK1105" s="594">
        <f>IF(ISBLANK(AK$1101),"N/A",IF(COUNTIFS(GD_Item_FiscalPeriod,AK$1101,GD_Item_Name,$B1105,GD_Update_Date,AK$1099)=0,"NR",SUMIFS(GD_Guidance_Low,GD_Item_Name,$B1105,GD_Item_FiscalPeriod,AK$1101,GD_Update_Date,AK$1099)))</f>
        <v/>
      </c>
      <c r="AL1105" s="594">
        <f>IF(ISBLANK(AL$1101),"N/A",IF(COUNTIFS(GD_Item_FiscalPeriod,AL$1101,GD_Item_Name,$B1105,GD_Update_Date,AL$1099)=0,"NR",SUMIFS(GD_Guidance_Low,GD_Item_Name,$B1105,GD_Item_FiscalPeriod,AL$1101,GD_Update_Date,AL$1099)))</f>
        <v/>
      </c>
      <c r="AM1105" s="594">
        <f>IF(ISBLANK(AM$1101),"N/A",IF(COUNTIFS(GD_Item_FiscalPeriod,AM$1101,GD_Item_Name,$B1105,GD_Update_Date,AM$1099)=0,"NR",SUMIFS(GD_Guidance_Low,GD_Item_Name,$B1105,GD_Item_FiscalPeriod,AM$1101,GD_Update_Date,AM$1099)))</f>
        <v/>
      </c>
      <c r="AN1105" s="594">
        <f>IF(ISBLANK(AN$1101),"N/A",IF(COUNTIFS(GD_Item_FiscalPeriod,AN$1101,GD_Item_Name,$B1105,GD_Update_Date,AN$1099)=0,"NR",SUMIFS(GD_Guidance_Low,GD_Item_Name,$B1105,GD_Item_FiscalPeriod,AN$1101,GD_Update_Date,AN$1099)))</f>
        <v/>
      </c>
      <c r="AO1105" s="594">
        <f>IF(ISBLANK(AO$1101),"N/A",IF(COUNTIFS(GD_Item_FiscalPeriod,AO$1101,GD_Item_Name,$B1105,GD_Update_Date,AO$1099)=0,"NR",SUMIFS(GD_Guidance_Low,GD_Item_Name,$B1105,GD_Item_FiscalPeriod,AO$1101,GD_Update_Date,AO$1099)))</f>
        <v/>
      </c>
      <c r="AP1105" s="594">
        <f>IF(ISBLANK(AP$1101),"N/A",IF(COUNTIFS(GD_Item_FiscalPeriod,AP$1101,GD_Item_Name,$B1105,GD_Update_Date,AP$1099)=0,"NR",SUMIFS(GD_Guidance_Low,GD_Item_Name,$B1105,GD_Item_FiscalPeriod,AP$1101,GD_Update_Date,AP$1099)))</f>
        <v/>
      </c>
      <c r="AQ1105" s="594">
        <f>IF(ISBLANK(AQ$1101),"N/A",IF(COUNTIFS(GD_Item_FiscalPeriod,AQ$1101,GD_Item_Name,$B1105,GD_Update_Date,AQ$1099)=0,"NR",SUMIFS(GD_Guidance_Low,GD_Item_Name,$B1105,GD_Item_FiscalPeriod,AQ$1101,GD_Update_Date,AQ$1099)))</f>
        <v/>
      </c>
      <c r="AR1105" s="594">
        <f>IF(ISBLANK(AR$1101),"N/A",IF(COUNTIFS(GD_Item_FiscalPeriod,AR$1101,GD_Item_Name,$B1105,GD_Update_Date,AR$1099)=0,"NR",SUMIFS(GD_Guidance_Low,GD_Item_Name,$B1105,GD_Item_FiscalPeriod,AR$1101,GD_Update_Date,AR$1099)))</f>
        <v/>
      </c>
      <c r="AS1105" s="594">
        <f>IF(ISBLANK(AS$1101),"N/A",IF(COUNTIFS(GD_Item_FiscalPeriod,AS$1101,GD_Item_Name,$B1105,GD_Update_Date,AS$1099)=0,"NR",SUMIFS(GD_Guidance_Low,GD_Item_Name,$B1105,GD_Item_FiscalPeriod,AS$1101,GD_Update_Date,AS$1099)))</f>
        <v/>
      </c>
      <c r="AT1105" s="594">
        <f>IF(ISBLANK(AT$1101),"N/A",IF(COUNTIFS(GD_Item_FiscalPeriod,AT$1101,GD_Item_Name,$B1105,GD_Update_Date,AT$1099)=0,"NR",SUMIFS(GD_Guidance_Low,GD_Item_Name,$B1105,GD_Item_FiscalPeriod,AT$1101,GD_Update_Date,AT$1099)))</f>
        <v/>
      </c>
      <c r="AU1105" s="594">
        <f>IF(ISBLANK(AU$1101),"N/A",IF(COUNTIFS(GD_Item_FiscalPeriod,AU$1101,GD_Item_Name,$B1105,GD_Update_Date,AU$1099)=0,"NR",SUMIFS(GD_Guidance_Low,GD_Item_Name,$B1105,GD_Item_FiscalPeriod,AU$1101,GD_Update_Date,AU$1099)))</f>
        <v/>
      </c>
      <c r="AV1105" s="594">
        <f>IF(ISBLANK(AV$1101),"N/A",IF(COUNTIFS(GD_Item_FiscalPeriod,AV$1101,GD_Item_Name,$B1105,GD_Update_Date,AV$1099)=0,"NR",SUMIFS(GD_Guidance_Low,GD_Item_Name,$B1105,GD_Item_FiscalPeriod,AV$1101,GD_Update_Date,AV$1099)))</f>
        <v/>
      </c>
      <c r="AW1105" s="594">
        <f>IF(ISBLANK(AW$1101),"N/A",IF(COUNTIFS(GD_Item_FiscalPeriod,AW$1101,GD_Item_Name,$B1105,GD_Update_Date,AW$1099)=0,"NR",SUMIFS(GD_Guidance_Low,GD_Item_Name,$B1105,GD_Item_FiscalPeriod,AW$1101,GD_Update_Date,AW$1099)))</f>
        <v/>
      </c>
      <c r="AX1105" s="594">
        <f>IF(ISBLANK(AX$1101),"N/A",IF(COUNTIFS(GD_Item_FiscalPeriod,AX$1101,GD_Item_Name,$B1105,GD_Update_Date,AX$1099)=0,"NR",SUMIFS(GD_Guidance_Low,GD_Item_Name,$B1105,GD_Item_FiscalPeriod,AX$1101,GD_Update_Date,AX$1099)))</f>
        <v/>
      </c>
      <c r="AY1105" s="594">
        <f>IF(ISBLANK(AY$1101),"N/A",IF(COUNTIFS(GD_Item_FiscalPeriod,AY$1101,GD_Item_Name,$B1105,GD_Update_Date,AY$1099)=0,"NR",SUMIFS(GD_Guidance_Low,GD_Item_Name,$B1105,GD_Item_FiscalPeriod,AY$1101,GD_Update_Date,AY$1099)))</f>
        <v/>
      </c>
      <c r="AZ1105" s="594">
        <f>IF(ISBLANK(AZ$1101),"N/A",IF(COUNTIFS(GD_Item_FiscalPeriod,AZ$1101,GD_Item_Name,$B1105,GD_Update_Date,AZ$1099)=0,"NR",SUMIFS(GD_Guidance_Low,GD_Item_Name,$B1105,GD_Item_FiscalPeriod,AZ$1101,GD_Update_Date,AZ$1099)))</f>
        <v/>
      </c>
      <c r="BA1105" s="594">
        <f>IF(ISBLANK(BA$1101),"N/A",IF(COUNTIFS(GD_Item_FiscalPeriod,BA$1101,GD_Item_Name,$B1105,GD_Update_Date,BA$1099)=0,"NR",SUMIFS(GD_Guidance_Low,GD_Item_Name,$B1105,GD_Item_FiscalPeriod,BA$1101,GD_Update_Date,BA$1099)))</f>
        <v/>
      </c>
      <c r="BB1105" s="594">
        <f>IF(ISBLANK(BB$1101),"N/A",IF(COUNTIFS(GD_Item_FiscalPeriod,BB$1101,GD_Item_Name,$B1105,GD_Update_Date,BB$1099)=0,"NR",SUMIFS(GD_Guidance_Low,GD_Item_Name,$B1105,GD_Item_FiscalPeriod,BB$1101,GD_Update_Date,BB$1099)))</f>
        <v/>
      </c>
      <c r="BC1105" s="594">
        <f>IF(ISBLANK(BC$1101),"N/A",IF(COUNTIFS(GD_Item_FiscalPeriod,BC$1101,GD_Item_Name,$B1105,GD_Update_Date,BC$1099)=0,"NR",SUMIFS(GD_Guidance_Low,GD_Item_Name,$B1105,GD_Item_FiscalPeriod,BC$1101,GD_Update_Date,BC$1099)))</f>
        <v/>
      </c>
      <c r="BD1105" s="594">
        <f>IF(ISBLANK(BD$1101),"N/A",IF(COUNTIFS(GD_Item_FiscalPeriod,BD$1101,GD_Item_Name,$B1105,GD_Update_Date,BD$1099)=0,"NR",SUMIFS(GD_Guidance_Low,GD_Item_Name,$B1105,GD_Item_FiscalPeriod,BD$1101,GD_Update_Date,BD$1099)))</f>
        <v/>
      </c>
      <c r="BE1105" s="594">
        <f>IF(ISBLANK(BE$1101),"N/A",IF(COUNTIFS(GD_Item_FiscalPeriod,BE$1101,GD_Item_Name,$B1105,GD_Update_Date,BE$1099)=0,"NR",SUMIFS(GD_Guidance_Low,GD_Item_Name,$B1105,GD_Item_FiscalPeriod,BE$1101,GD_Update_Date,BE$1099)))</f>
        <v/>
      </c>
      <c r="BF1105" s="594">
        <f>IF(ISBLANK(BF$1101),"N/A",IF(COUNTIFS(GD_Item_FiscalPeriod,BF$1101,GD_Item_Name,$B1105,GD_Update_Date,BF$1099)=0,"NR",SUMIFS(GD_Guidance_Low,GD_Item_Name,$B1105,GD_Item_FiscalPeriod,BF$1101,GD_Update_Date,BF$1099)))</f>
        <v/>
      </c>
      <c r="BG1105" s="594">
        <f>IF(ISBLANK(BG$1101),"N/A",IF(COUNTIFS(GD_Item_FiscalPeriod,BG$1101,GD_Item_Name,$B1105,GD_Update_Date,BG$1099)=0,"NR",SUMIFS(GD_Guidance_Low,GD_Item_Name,$B1105,GD_Item_FiscalPeriod,BG$1101,GD_Update_Date,BG$1099)))</f>
        <v/>
      </c>
      <c r="BH1105" s="594">
        <f>IF(ISBLANK(BH$1101),"N/A",IF(COUNTIFS(GD_Item_FiscalPeriod,BH$1101,GD_Item_Name,$B1105,GD_Update_Date,BH$1099)=0,"NR",SUMIFS(GD_Guidance_Low,GD_Item_Name,$B1105,GD_Item_FiscalPeriod,BH$1101,GD_Update_Date,BH$1099)))</f>
        <v/>
      </c>
      <c r="BI1105" s="594">
        <f>IF(ISBLANK(BI$1101),"N/A",IF(COUNTIFS(GD_Item_FiscalPeriod,BI$1101,GD_Item_Name,$B1105,GD_Update_Date,BI$1099)=0,"NR",SUMIFS(GD_Guidance_Low,GD_Item_Name,$B1105,GD_Item_FiscalPeriod,BI$1101,GD_Update_Date,BI$1099)))</f>
        <v/>
      </c>
      <c r="BJ1105" s="594">
        <f>IF(ISBLANK(BJ$1101),"N/A",IF(COUNTIFS(GD_Item_FiscalPeriod,BJ$1101,GD_Item_Name,$B1105,GD_Update_Date,BJ$1099)=0,"NR",SUMIFS(GD_Guidance_Low,GD_Item_Name,$B1105,GD_Item_FiscalPeriod,BJ$1101,GD_Update_Date,BJ$1099)))</f>
        <v/>
      </c>
      <c r="BK1105" s="594">
        <f>IF(ISBLANK(BK$1101),"N/A",IF(COUNTIFS(GD_Item_FiscalPeriod,BK$1101,GD_Item_Name,$B1105,GD_Update_Date,BK$1099)=0,"NR",SUMIFS(GD_Guidance_Low,GD_Item_Name,$B1105,GD_Item_FiscalPeriod,BK$1101,GD_Update_Date,BK$1099)))</f>
        <v/>
      </c>
      <c r="BL1105" s="594">
        <f>IF(ISBLANK(BL$1101),"N/A",IF(COUNTIFS(GD_Item_FiscalPeriod,BL$1101,GD_Item_Name,$B1105,GD_Update_Date,BL$1099)=0,"NR",SUMIFS(GD_Guidance_Low,GD_Item_Name,$B1105,GD_Item_FiscalPeriod,BL$1101,GD_Update_Date,BL$1099)))</f>
        <v/>
      </c>
      <c r="BM1105" s="594">
        <f>IF(ISBLANK(BM$1101),"N/A",IF(COUNTIFS(GD_Item_FiscalPeriod,BM$1101,GD_Item_Name,$B1105,GD_Update_Date,BM$1099)=0,"NR",SUMIFS(GD_Guidance_Low,GD_Item_Name,$B1105,GD_Item_FiscalPeriod,BM$1101,GD_Update_Date,BM$1099)))</f>
        <v/>
      </c>
      <c r="BN1105" s="594">
        <f>IF(ISBLANK(BN$1101),"N/A",IF(COUNTIFS(GD_Item_FiscalPeriod,BN$1101,GD_Item_Name,$B1105,GD_Update_Date,BN$1099)=0,"NR",SUMIFS(GD_Guidance_Low,GD_Item_Name,$B1105,GD_Item_FiscalPeriod,BN$1101,GD_Update_Date,BN$1099)))</f>
        <v/>
      </c>
      <c r="BO1105" s="594">
        <f>IF(ISBLANK(BO$1101),"N/A",IF(COUNTIFS(GD_Item_FiscalPeriod,BO$1101,GD_Item_Name,$B1105,GD_Update_Date,BO$1099)=0,"NR",SUMIFS(GD_Guidance_Low,GD_Item_Name,$B1105,GD_Item_FiscalPeriod,BO$1101,GD_Update_Date,BO$1099)))</f>
        <v/>
      </c>
      <c r="BP1105" s="594">
        <f>IF(ISBLANK(BP$1101),"N/A",IF(COUNTIFS(GD_Item_FiscalPeriod,BP$1101,GD_Item_Name,$B1105,GD_Update_Date,BP$1099)=0,"NR",SUMIFS(GD_Guidance_Low,GD_Item_Name,$B1105,GD_Item_FiscalPeriod,BP$1101,GD_Update_Date,BP$1099)))</f>
        <v/>
      </c>
      <c r="BQ1105" s="594">
        <f>IF(ISBLANK(BQ$1101),"N/A",IF(COUNTIFS(GD_Item_FiscalPeriod,BQ$1101,GD_Item_Name,$B1105,GD_Update_Date,BQ$1099)=0,"NR",SUMIFS(GD_Guidance_Low,GD_Item_Name,$B1105,GD_Item_FiscalPeriod,BQ$1101,GD_Update_Date,BQ$1099)))</f>
        <v/>
      </c>
      <c r="BR1105" s="594">
        <f>IF(ISBLANK(BR$1101),"N/A",IF(COUNTIFS(GD_Item_FiscalPeriod,BR$1101,GD_Item_Name,$B1105,GD_Update_Date,BR$1099)=0,"NR",SUMIFS(GD_Guidance_Low,GD_Item_Name,$B1105,GD_Item_FiscalPeriod,BR$1101,GD_Update_Date,BR$1099)))</f>
        <v/>
      </c>
      <c r="BS1105" s="594">
        <f>IF(ISBLANK(BS$1101),"N/A",IF(COUNTIFS(GD_Item_FiscalPeriod,BS$1101,GD_Item_Name,$B1105,GD_Update_Date,BS$1099)=0,"NR",SUMIFS(GD_Guidance_Low,GD_Item_Name,$B1105,GD_Item_FiscalPeriod,BS$1101,GD_Update_Date,BS$1099)))</f>
        <v/>
      </c>
      <c r="BT1105" s="594">
        <f>IF(ISBLANK(BT$1101),"N/A",IF(COUNTIFS(GD_Item_FiscalPeriod,BT$1101,GD_Item_Name,$B1105,GD_Update_Date,BT$1099)=0,"NR",SUMIFS(GD_Guidance_Low,GD_Item_Name,$B1105,GD_Item_FiscalPeriod,BT$1101,GD_Update_Date,BT$1099)))</f>
        <v/>
      </c>
      <c r="BU1105" s="594">
        <f>IF(ISBLANK(BU$1101),"N/A",IF(COUNTIFS(GD_Item_FiscalPeriod,BU$1101,GD_Item_Name,$B1105,GD_Update_Date,BU$1099)=0,"NR",SUMIFS(GD_Guidance_Low,GD_Item_Name,$B1105,GD_Item_FiscalPeriod,BU$1101,GD_Update_Date,BU$1099)))</f>
        <v/>
      </c>
      <c r="BV1105" s="732">
        <f>IF(ISBLANK(BV$1101),"N/A",IF(COUNTIFS(GD_Item_FiscalPeriod,BV$1101,GD_Item_Name,$B1105,GD_Update_Date,BV$1099)=0,"NR",SUMIFS(GD_Guidance_Low,GD_Item_Name,$B1105,GD_Item_FiscalPeriod,BV$1101,GD_Update_Date,BV$1099)))</f>
        <v/>
      </c>
      <c r="BW1105" s="594">
        <f>IF(ISBLANK(BW$1101),"N/A",IF(COUNTIFS(GD_Item_FiscalPeriod,BW$1101,GD_Item_Name,$B1105,GD_Update_Date,BW$1099)=0,"NR",SUMIFS(GD_Guidance_Low,GD_Item_Name,$B1105,GD_Item_FiscalPeriod,BW$1101,GD_Update_Date,BW$1099)))</f>
        <v/>
      </c>
      <c r="BX1105" s="594">
        <f>IF(ISBLANK(BX$1101),"N/A",IF(COUNTIFS(GD_Item_FiscalPeriod,BX$1101,GD_Item_Name,$B1105,GD_Update_Date,BX$1099)=0,"NR",SUMIFS(GD_Guidance_Low,GD_Item_Name,$B1105,GD_Item_FiscalPeriod,BX$1101,GD_Update_Date,BX$1099)))</f>
        <v/>
      </c>
      <c r="BY1105" s="594">
        <f>IF(ISBLANK(BY$1101),"N/A",IF(COUNTIFS(GD_Item_FiscalPeriod,BY$1101,GD_Item_Name,$B1105,GD_Update_Date,BY$1099)=0,"NR",SUMIFS(GD_Guidance_Low,GD_Item_Name,$B1105,GD_Item_FiscalPeriod,BY$1101,GD_Update_Date,BY$1099)))</f>
        <v/>
      </c>
      <c r="BZ1105" s="594">
        <f>IF(ISBLANK(BZ$1101),"N/A",IF(COUNTIFS(GD_Item_FiscalPeriod,BZ$1101,GD_Item_Name,$B1105,GD_Update_Date,BZ$1099)=0,"NR",SUMIFS(GD_Guidance_Low,GD_Item_Name,$B1105,GD_Item_FiscalPeriod,BZ$1101,GD_Update_Date,BZ$1099)))</f>
        <v/>
      </c>
      <c r="CA1105" s="594">
        <f>IF(ISBLANK(CA$1101),"N/A",IF(COUNTIFS(GD_Item_FiscalPeriod,CA$1101,GD_Item_Name,$B1105,GD_Update_Date,CA$1099)=0,"NR",SUMIFS(GD_Guidance_Low,GD_Item_Name,$B1105,GD_Item_FiscalPeriod,CA$1101,GD_Update_Date,CA$1099)))</f>
        <v/>
      </c>
      <c r="CB1105" s="594">
        <f>IF(ISBLANK(CB$1101),"N/A",IF(COUNTIFS(GD_Item_FiscalPeriod,CB$1101,GD_Item_Name,$B1105,GD_Update_Date,CB$1099)=0,"NR",SUMIFS(GD_Guidance_Low,GD_Item_Name,$B1105,GD_Item_FiscalPeriod,CB$1101,GD_Update_Date,CB$1099)))</f>
        <v/>
      </c>
      <c r="CC1105" s="594">
        <f>IF(ISBLANK(CC$1101),"N/A",IF(COUNTIFS(GD_Item_FiscalPeriod,CC$1101,GD_Item_Name,$B1105,GD_Update_Date,CC$1099)=0,"NR",SUMIFS(GD_Guidance_Low,GD_Item_Name,$B1105,GD_Item_FiscalPeriod,CC$1101,GD_Update_Date,CC$1099)))</f>
        <v/>
      </c>
      <c r="CD1105" s="594">
        <f>IF(ISBLANK(CD$1101),"N/A",IF(COUNTIFS(GD_Item_FiscalPeriod,CD$1101,GD_Item_Name,$B1105,GD_Update_Date,CD$1099)=0,"NR",SUMIFS(GD_Guidance_Low,GD_Item_Name,$B1105,GD_Item_FiscalPeriod,CD$1101,GD_Update_Date,CD$1099)))</f>
        <v/>
      </c>
      <c r="CE1105" s="594">
        <f>IF(ISBLANK(CE$1101),"N/A",IF(COUNTIFS(GD_Item_FiscalPeriod,CE$1101,GD_Item_Name,$B1105,GD_Update_Date,CE$1099)=0,"NR",SUMIFS(GD_Guidance_Low,GD_Item_Name,$B1105,GD_Item_FiscalPeriod,CE$1101,GD_Update_Date,CE$1099)))</f>
        <v/>
      </c>
      <c r="CF1105" s="796">
        <f>IF(ISBLANK(CF$1101),"N/A",IF(COUNTIFS(GD_Item_FiscalPeriod,CF$1101,GD_Item_Name,$B1105,GD_Update_Date,CF$1099)=0,"NR",SUMIFS(GD_Guidance_Low,GD_Item_Name,$B1105,GD_Item_FiscalPeriod,CF$1101,GD_Update_Date,CF$1099)))</f>
        <v/>
      </c>
      <c r="CG1105" s="155" t="n"/>
    </row>
    <row r="1106">
      <c r="A1106" s="795" t="inlineStr">
        <is>
          <t>High - Non-GAAP Gross Margin, %</t>
        </is>
      </c>
      <c r="B1106" s="1067" t="inlineStr">
        <is>
          <t>MO_MA_GM_NONGAAP</t>
        </is>
      </c>
      <c r="C1106" s="1007" t="n"/>
      <c r="D1106" s="1007" t="n"/>
      <c r="E1106" s="594" t="n"/>
      <c r="F1106" s="594" t="n"/>
      <c r="G1106" s="594" t="n"/>
      <c r="H1106" s="594" t="n"/>
      <c r="I1106" s="594" t="n"/>
      <c r="J1106" s="594" t="n"/>
      <c r="K1106" s="594" t="n"/>
      <c r="L1106" s="594" t="n"/>
      <c r="M1106" s="594" t="n"/>
      <c r="N1106" s="594" t="n"/>
      <c r="O1106" s="594" t="n"/>
      <c r="P1106" s="594" t="n"/>
      <c r="Q1106" s="594" t="n"/>
      <c r="R1106" s="594" t="n"/>
      <c r="S1106" s="594" t="n"/>
      <c r="T1106" s="594" t="n"/>
      <c r="U1106" s="594" t="n"/>
      <c r="V1106" s="594" t="n"/>
      <c r="W1106" s="594" t="n"/>
      <c r="X1106" s="594" t="n"/>
      <c r="Y1106" s="594" t="n"/>
      <c r="Z1106" s="594" t="n"/>
      <c r="AA1106" s="594" t="n"/>
      <c r="AB1106" s="594" t="n"/>
      <c r="AC1106" s="594" t="n"/>
      <c r="AD1106" s="594" t="n"/>
      <c r="AE1106" s="594" t="n"/>
      <c r="AF1106" s="594" t="n"/>
      <c r="AG1106" s="594" t="n"/>
      <c r="AH1106" s="594">
        <f>IF(ISBLANK(AH$1101),"N/A",IF(COUNTIFS(GD_Item_FiscalPeriod,AH$1101,GD_Item_Name,$B1106,GD_Update_Date,AH$1099)=0,"NR",SUMIFS(GD_Guidance_High,GD_Item_Name,$B1106,GD_Item_FiscalPeriod,AH$1101,GD_Update_Date,AH$1099)))</f>
        <v/>
      </c>
      <c r="AI1106" s="594">
        <f>IF(ISBLANK(AI$1101),"N/A",IF(COUNTIFS(GD_Item_FiscalPeriod,AI$1101,GD_Item_Name,$B1106,GD_Update_Date,AI$1099)=0,"NR",SUMIFS(GD_Guidance_High,GD_Item_Name,$B1106,GD_Item_FiscalPeriod,AI$1101,GD_Update_Date,AI$1099)))</f>
        <v/>
      </c>
      <c r="AJ1106" s="594">
        <f>IF(ISBLANK(AJ$1101),"N/A",IF(COUNTIFS(GD_Item_FiscalPeriod,AJ$1101,GD_Item_Name,$B1106,GD_Update_Date,AJ$1099)=0,"NR",SUMIFS(GD_Guidance_High,GD_Item_Name,$B1106,GD_Item_FiscalPeriod,AJ$1101,GD_Update_Date,AJ$1099)))</f>
        <v/>
      </c>
      <c r="AK1106" s="594">
        <f>IF(ISBLANK(AK$1101),"N/A",IF(COUNTIFS(GD_Item_FiscalPeriod,AK$1101,GD_Item_Name,$B1106,GD_Update_Date,AK$1099)=0,"NR",SUMIFS(GD_Guidance_High,GD_Item_Name,$B1106,GD_Item_FiscalPeriod,AK$1101,GD_Update_Date,AK$1099)))</f>
        <v/>
      </c>
      <c r="AL1106" s="594">
        <f>IF(ISBLANK(AL$1101),"N/A",IF(COUNTIFS(GD_Item_FiscalPeriod,AL$1101,GD_Item_Name,$B1106,GD_Update_Date,AL$1099)=0,"NR",SUMIFS(GD_Guidance_High,GD_Item_Name,$B1106,GD_Item_FiscalPeriod,AL$1101,GD_Update_Date,AL$1099)))</f>
        <v/>
      </c>
      <c r="AM1106" s="594">
        <f>IF(ISBLANK(AM$1101),"N/A",IF(COUNTIFS(GD_Item_FiscalPeriod,AM$1101,GD_Item_Name,$B1106,GD_Update_Date,AM$1099)=0,"NR",SUMIFS(GD_Guidance_High,GD_Item_Name,$B1106,GD_Item_FiscalPeriod,AM$1101,GD_Update_Date,AM$1099)))</f>
        <v/>
      </c>
      <c r="AN1106" s="594">
        <f>IF(ISBLANK(AN$1101),"N/A",IF(COUNTIFS(GD_Item_FiscalPeriod,AN$1101,GD_Item_Name,$B1106,GD_Update_Date,AN$1099)=0,"NR",SUMIFS(GD_Guidance_High,GD_Item_Name,$B1106,GD_Item_FiscalPeriod,AN$1101,GD_Update_Date,AN$1099)))</f>
        <v/>
      </c>
      <c r="AO1106" s="594">
        <f>IF(ISBLANK(AO$1101),"N/A",IF(COUNTIFS(GD_Item_FiscalPeriod,AO$1101,GD_Item_Name,$B1106,GD_Update_Date,AO$1099)=0,"NR",SUMIFS(GD_Guidance_High,GD_Item_Name,$B1106,GD_Item_FiscalPeriod,AO$1101,GD_Update_Date,AO$1099)))</f>
        <v/>
      </c>
      <c r="AP1106" s="594">
        <f>IF(ISBLANK(AP$1101),"N/A",IF(COUNTIFS(GD_Item_FiscalPeriod,AP$1101,GD_Item_Name,$B1106,GD_Update_Date,AP$1099)=0,"NR",SUMIFS(GD_Guidance_High,GD_Item_Name,$B1106,GD_Item_FiscalPeriod,AP$1101,GD_Update_Date,AP$1099)))</f>
        <v/>
      </c>
      <c r="AQ1106" s="594">
        <f>IF(ISBLANK(AQ$1101),"N/A",IF(COUNTIFS(GD_Item_FiscalPeriod,AQ$1101,GD_Item_Name,$B1106,GD_Update_Date,AQ$1099)=0,"NR",SUMIFS(GD_Guidance_High,GD_Item_Name,$B1106,GD_Item_FiscalPeriod,AQ$1101,GD_Update_Date,AQ$1099)))</f>
        <v/>
      </c>
      <c r="AR1106" s="594">
        <f>IF(ISBLANK(AR$1101),"N/A",IF(COUNTIFS(GD_Item_FiscalPeriod,AR$1101,GD_Item_Name,$B1106,GD_Update_Date,AR$1099)=0,"NR",SUMIFS(GD_Guidance_High,GD_Item_Name,$B1106,GD_Item_FiscalPeriod,AR$1101,GD_Update_Date,AR$1099)))</f>
        <v/>
      </c>
      <c r="AS1106" s="594">
        <f>IF(ISBLANK(AS$1101),"N/A",IF(COUNTIFS(GD_Item_FiscalPeriod,AS$1101,GD_Item_Name,$B1106,GD_Update_Date,AS$1099)=0,"NR",SUMIFS(GD_Guidance_High,GD_Item_Name,$B1106,GD_Item_FiscalPeriod,AS$1101,GD_Update_Date,AS$1099)))</f>
        <v/>
      </c>
      <c r="AT1106" s="594">
        <f>IF(ISBLANK(AT$1101),"N/A",IF(COUNTIFS(GD_Item_FiscalPeriod,AT$1101,GD_Item_Name,$B1106,GD_Update_Date,AT$1099)=0,"NR",SUMIFS(GD_Guidance_High,GD_Item_Name,$B1106,GD_Item_FiscalPeriod,AT$1101,GD_Update_Date,AT$1099)))</f>
        <v/>
      </c>
      <c r="AU1106" s="594">
        <f>IF(ISBLANK(AU$1101),"N/A",IF(COUNTIFS(GD_Item_FiscalPeriod,AU$1101,GD_Item_Name,$B1106,GD_Update_Date,AU$1099)=0,"NR",SUMIFS(GD_Guidance_High,GD_Item_Name,$B1106,GD_Item_FiscalPeriod,AU$1101,GD_Update_Date,AU$1099)))</f>
        <v/>
      </c>
      <c r="AV1106" s="594">
        <f>IF(ISBLANK(AV$1101),"N/A",IF(COUNTIFS(GD_Item_FiscalPeriod,AV$1101,GD_Item_Name,$B1106,GD_Update_Date,AV$1099)=0,"NR",SUMIFS(GD_Guidance_High,GD_Item_Name,$B1106,GD_Item_FiscalPeriod,AV$1101,GD_Update_Date,AV$1099)))</f>
        <v/>
      </c>
      <c r="AW1106" s="594">
        <f>IF(ISBLANK(AW$1101),"N/A",IF(COUNTIFS(GD_Item_FiscalPeriod,AW$1101,GD_Item_Name,$B1106,GD_Update_Date,AW$1099)=0,"NR",SUMIFS(GD_Guidance_High,GD_Item_Name,$B1106,GD_Item_FiscalPeriod,AW$1101,GD_Update_Date,AW$1099)))</f>
        <v/>
      </c>
      <c r="AX1106" s="594">
        <f>IF(ISBLANK(AX$1101),"N/A",IF(COUNTIFS(GD_Item_FiscalPeriod,AX$1101,GD_Item_Name,$B1106,GD_Update_Date,AX$1099)=0,"NR",SUMIFS(GD_Guidance_High,GD_Item_Name,$B1106,GD_Item_FiscalPeriod,AX$1101,GD_Update_Date,AX$1099)))</f>
        <v/>
      </c>
      <c r="AY1106" s="594">
        <f>IF(ISBLANK(AY$1101),"N/A",IF(COUNTIFS(GD_Item_FiscalPeriod,AY$1101,GD_Item_Name,$B1106,GD_Update_Date,AY$1099)=0,"NR",SUMIFS(GD_Guidance_High,GD_Item_Name,$B1106,GD_Item_FiscalPeriod,AY$1101,GD_Update_Date,AY$1099)))</f>
        <v/>
      </c>
      <c r="AZ1106" s="594">
        <f>IF(ISBLANK(AZ$1101),"N/A",IF(COUNTIFS(GD_Item_FiscalPeriod,AZ$1101,GD_Item_Name,$B1106,GD_Update_Date,AZ$1099)=0,"NR",SUMIFS(GD_Guidance_High,GD_Item_Name,$B1106,GD_Item_FiscalPeriod,AZ$1101,GD_Update_Date,AZ$1099)))</f>
        <v/>
      </c>
      <c r="BA1106" s="594">
        <f>IF(ISBLANK(BA$1101),"N/A",IF(COUNTIFS(GD_Item_FiscalPeriod,BA$1101,GD_Item_Name,$B1106,GD_Update_Date,BA$1099)=0,"NR",SUMIFS(GD_Guidance_High,GD_Item_Name,$B1106,GD_Item_FiscalPeriod,BA$1101,GD_Update_Date,BA$1099)))</f>
        <v/>
      </c>
      <c r="BB1106" s="594">
        <f>IF(ISBLANK(BB$1101),"N/A",IF(COUNTIFS(GD_Item_FiscalPeriod,BB$1101,GD_Item_Name,$B1106,GD_Update_Date,BB$1099)=0,"NR",SUMIFS(GD_Guidance_High,GD_Item_Name,$B1106,GD_Item_FiscalPeriod,BB$1101,GD_Update_Date,BB$1099)))</f>
        <v/>
      </c>
      <c r="BC1106" s="594">
        <f>IF(ISBLANK(BC$1101),"N/A",IF(COUNTIFS(GD_Item_FiscalPeriod,BC$1101,GD_Item_Name,$B1106,GD_Update_Date,BC$1099)=0,"NR",SUMIFS(GD_Guidance_High,GD_Item_Name,$B1106,GD_Item_FiscalPeriod,BC$1101,GD_Update_Date,BC$1099)))</f>
        <v/>
      </c>
      <c r="BD1106" s="594">
        <f>IF(ISBLANK(BD$1101),"N/A",IF(COUNTIFS(GD_Item_FiscalPeriod,BD$1101,GD_Item_Name,$B1106,GD_Update_Date,BD$1099)=0,"NR",SUMIFS(GD_Guidance_High,GD_Item_Name,$B1106,GD_Item_FiscalPeriod,BD$1101,GD_Update_Date,BD$1099)))</f>
        <v/>
      </c>
      <c r="BE1106" s="594">
        <f>IF(ISBLANK(BE$1101),"N/A",IF(COUNTIFS(GD_Item_FiscalPeriod,BE$1101,GD_Item_Name,$B1106,GD_Update_Date,BE$1099)=0,"NR",SUMIFS(GD_Guidance_High,GD_Item_Name,$B1106,GD_Item_FiscalPeriod,BE$1101,GD_Update_Date,BE$1099)))</f>
        <v/>
      </c>
      <c r="BF1106" s="594">
        <f>IF(ISBLANK(BF$1101),"N/A",IF(COUNTIFS(GD_Item_FiscalPeriod,BF$1101,GD_Item_Name,$B1106,GD_Update_Date,BF$1099)=0,"NR",SUMIFS(GD_Guidance_High,GD_Item_Name,$B1106,GD_Item_FiscalPeriod,BF$1101,GD_Update_Date,BF$1099)))</f>
        <v/>
      </c>
      <c r="BG1106" s="594">
        <f>IF(ISBLANK(BG$1101),"N/A",IF(COUNTIFS(GD_Item_FiscalPeriod,BG$1101,GD_Item_Name,$B1106,GD_Update_Date,BG$1099)=0,"NR",SUMIFS(GD_Guidance_High,GD_Item_Name,$B1106,GD_Item_FiscalPeriod,BG$1101,GD_Update_Date,BG$1099)))</f>
        <v/>
      </c>
      <c r="BH1106" s="594">
        <f>IF(ISBLANK(BH$1101),"N/A",IF(COUNTIFS(GD_Item_FiscalPeriod,BH$1101,GD_Item_Name,$B1106,GD_Update_Date,BH$1099)=0,"NR",SUMIFS(GD_Guidance_High,GD_Item_Name,$B1106,GD_Item_FiscalPeriod,BH$1101,GD_Update_Date,BH$1099)))</f>
        <v/>
      </c>
      <c r="BI1106" s="594">
        <f>IF(ISBLANK(BI$1101),"N/A",IF(COUNTIFS(GD_Item_FiscalPeriod,BI$1101,GD_Item_Name,$B1106,GD_Update_Date,BI$1099)=0,"NR",SUMIFS(GD_Guidance_High,GD_Item_Name,$B1106,GD_Item_FiscalPeriod,BI$1101,GD_Update_Date,BI$1099)))</f>
        <v/>
      </c>
      <c r="BJ1106" s="594">
        <f>IF(ISBLANK(BJ$1101),"N/A",IF(COUNTIFS(GD_Item_FiscalPeriod,BJ$1101,GD_Item_Name,$B1106,GD_Update_Date,BJ$1099)=0,"NR",SUMIFS(GD_Guidance_High,GD_Item_Name,$B1106,GD_Item_FiscalPeriod,BJ$1101,GD_Update_Date,BJ$1099)))</f>
        <v/>
      </c>
      <c r="BK1106" s="594">
        <f>IF(ISBLANK(BK$1101),"N/A",IF(COUNTIFS(GD_Item_FiscalPeriod,BK$1101,GD_Item_Name,$B1106,GD_Update_Date,BK$1099)=0,"NR",SUMIFS(GD_Guidance_High,GD_Item_Name,$B1106,GD_Item_FiscalPeriod,BK$1101,GD_Update_Date,BK$1099)))</f>
        <v/>
      </c>
      <c r="BL1106" s="594">
        <f>IF(ISBLANK(BL$1101),"N/A",IF(COUNTIFS(GD_Item_FiscalPeriod,BL$1101,GD_Item_Name,$B1106,GD_Update_Date,BL$1099)=0,"NR",SUMIFS(GD_Guidance_High,GD_Item_Name,$B1106,GD_Item_FiscalPeriod,BL$1101,GD_Update_Date,BL$1099)))</f>
        <v/>
      </c>
      <c r="BM1106" s="594">
        <f>IF(ISBLANK(BM$1101),"N/A",IF(COUNTIFS(GD_Item_FiscalPeriod,BM$1101,GD_Item_Name,$B1106,GD_Update_Date,BM$1099)=0,"NR",SUMIFS(GD_Guidance_High,GD_Item_Name,$B1106,GD_Item_FiscalPeriod,BM$1101,GD_Update_Date,BM$1099)))</f>
        <v/>
      </c>
      <c r="BN1106" s="594">
        <f>IF(ISBLANK(BN$1101),"N/A",IF(COUNTIFS(GD_Item_FiscalPeriod,BN$1101,GD_Item_Name,$B1106,GD_Update_Date,BN$1099)=0,"NR",SUMIFS(GD_Guidance_High,GD_Item_Name,$B1106,GD_Item_FiscalPeriod,BN$1101,GD_Update_Date,BN$1099)))</f>
        <v/>
      </c>
      <c r="BO1106" s="594">
        <f>IF(ISBLANK(BO$1101),"N/A",IF(COUNTIFS(GD_Item_FiscalPeriod,BO$1101,GD_Item_Name,$B1106,GD_Update_Date,BO$1099)=0,"NR",SUMIFS(GD_Guidance_High,GD_Item_Name,$B1106,GD_Item_FiscalPeriod,BO$1101,GD_Update_Date,BO$1099)))</f>
        <v/>
      </c>
      <c r="BP1106" s="594">
        <f>IF(ISBLANK(BP$1101),"N/A",IF(COUNTIFS(GD_Item_FiscalPeriod,BP$1101,GD_Item_Name,$B1106,GD_Update_Date,BP$1099)=0,"NR",SUMIFS(GD_Guidance_High,GD_Item_Name,$B1106,GD_Item_FiscalPeriod,BP$1101,GD_Update_Date,BP$1099)))</f>
        <v/>
      </c>
      <c r="BQ1106" s="594">
        <f>IF(ISBLANK(BQ$1101),"N/A",IF(COUNTIFS(GD_Item_FiscalPeriod,BQ$1101,GD_Item_Name,$B1106,GD_Update_Date,BQ$1099)=0,"NR",SUMIFS(GD_Guidance_High,GD_Item_Name,$B1106,GD_Item_FiscalPeriod,BQ$1101,GD_Update_Date,BQ$1099)))</f>
        <v/>
      </c>
      <c r="BR1106" s="594">
        <f>IF(ISBLANK(BR$1101),"N/A",IF(COUNTIFS(GD_Item_FiscalPeriod,BR$1101,GD_Item_Name,$B1106,GD_Update_Date,BR$1099)=0,"NR",SUMIFS(GD_Guidance_High,GD_Item_Name,$B1106,GD_Item_FiscalPeriod,BR$1101,GD_Update_Date,BR$1099)))</f>
        <v/>
      </c>
      <c r="BS1106" s="594">
        <f>IF(ISBLANK(BS$1101),"N/A",IF(COUNTIFS(GD_Item_FiscalPeriod,BS$1101,GD_Item_Name,$B1106,GD_Update_Date,BS$1099)=0,"NR",SUMIFS(GD_Guidance_High,GD_Item_Name,$B1106,GD_Item_FiscalPeriod,BS$1101,GD_Update_Date,BS$1099)))</f>
        <v/>
      </c>
      <c r="BT1106" s="594">
        <f>IF(ISBLANK(BT$1101),"N/A",IF(COUNTIFS(GD_Item_FiscalPeriod,BT$1101,GD_Item_Name,$B1106,GD_Update_Date,BT$1099)=0,"NR",SUMIFS(GD_Guidance_High,GD_Item_Name,$B1106,GD_Item_FiscalPeriod,BT$1101,GD_Update_Date,BT$1099)))</f>
        <v/>
      </c>
      <c r="BU1106" s="594">
        <f>IF(ISBLANK(BU$1101),"N/A",IF(COUNTIFS(GD_Item_FiscalPeriod,BU$1101,GD_Item_Name,$B1106,GD_Update_Date,BU$1099)=0,"NR",SUMIFS(GD_Guidance_High,GD_Item_Name,$B1106,GD_Item_FiscalPeriod,BU$1101,GD_Update_Date,BU$1099)))</f>
        <v/>
      </c>
      <c r="BV1106" s="732">
        <f>IF(ISBLANK(BV$1101),"N/A",IF(COUNTIFS(GD_Item_FiscalPeriod,BV$1101,GD_Item_Name,$B1106,GD_Update_Date,BV$1099)=0,"NR",SUMIFS(GD_Guidance_High,GD_Item_Name,$B1106,GD_Item_FiscalPeriod,BV$1101,GD_Update_Date,BV$1099)))</f>
        <v/>
      </c>
      <c r="BW1106" s="594">
        <f>IF(ISBLANK(BW$1101),"N/A",IF(COUNTIFS(GD_Item_FiscalPeriod,BW$1101,GD_Item_Name,$B1106,GD_Update_Date,BW$1099)=0,"NR",SUMIFS(GD_Guidance_High,GD_Item_Name,$B1106,GD_Item_FiscalPeriod,BW$1101,GD_Update_Date,BW$1099)))</f>
        <v/>
      </c>
      <c r="BX1106" s="594">
        <f>IF(ISBLANK(BX$1101),"N/A",IF(COUNTIFS(GD_Item_FiscalPeriod,BX$1101,GD_Item_Name,$B1106,GD_Update_Date,BX$1099)=0,"NR",SUMIFS(GD_Guidance_High,GD_Item_Name,$B1106,GD_Item_FiscalPeriod,BX$1101,GD_Update_Date,BX$1099)))</f>
        <v/>
      </c>
      <c r="BY1106" s="594">
        <f>IF(ISBLANK(BY$1101),"N/A",IF(COUNTIFS(GD_Item_FiscalPeriod,BY$1101,GD_Item_Name,$B1106,GD_Update_Date,BY$1099)=0,"NR",SUMIFS(GD_Guidance_High,GD_Item_Name,$B1106,GD_Item_FiscalPeriod,BY$1101,GD_Update_Date,BY$1099)))</f>
        <v/>
      </c>
      <c r="BZ1106" s="594">
        <f>IF(ISBLANK(BZ$1101),"N/A",IF(COUNTIFS(GD_Item_FiscalPeriod,BZ$1101,GD_Item_Name,$B1106,GD_Update_Date,BZ$1099)=0,"NR",SUMIFS(GD_Guidance_High,GD_Item_Name,$B1106,GD_Item_FiscalPeriod,BZ$1101,GD_Update_Date,BZ$1099)))</f>
        <v/>
      </c>
      <c r="CA1106" s="594">
        <f>IF(ISBLANK(CA$1101),"N/A",IF(COUNTIFS(GD_Item_FiscalPeriod,CA$1101,GD_Item_Name,$B1106,GD_Update_Date,CA$1099)=0,"NR",SUMIFS(GD_Guidance_High,GD_Item_Name,$B1106,GD_Item_FiscalPeriod,CA$1101,GD_Update_Date,CA$1099)))</f>
        <v/>
      </c>
      <c r="CB1106" s="594">
        <f>IF(ISBLANK(CB$1101),"N/A",IF(COUNTIFS(GD_Item_FiscalPeriod,CB$1101,GD_Item_Name,$B1106,GD_Update_Date,CB$1099)=0,"NR",SUMIFS(GD_Guidance_High,GD_Item_Name,$B1106,GD_Item_FiscalPeriod,CB$1101,GD_Update_Date,CB$1099)))</f>
        <v/>
      </c>
      <c r="CC1106" s="594">
        <f>IF(ISBLANK(CC$1101),"N/A",IF(COUNTIFS(GD_Item_FiscalPeriod,CC$1101,GD_Item_Name,$B1106,GD_Update_Date,CC$1099)=0,"NR",SUMIFS(GD_Guidance_High,GD_Item_Name,$B1106,GD_Item_FiscalPeriod,CC$1101,GD_Update_Date,CC$1099)))</f>
        <v/>
      </c>
      <c r="CD1106" s="594">
        <f>IF(ISBLANK(CD$1101),"N/A",IF(COUNTIFS(GD_Item_FiscalPeriod,CD$1101,GD_Item_Name,$B1106,GD_Update_Date,CD$1099)=0,"NR",SUMIFS(GD_Guidance_High,GD_Item_Name,$B1106,GD_Item_FiscalPeriod,CD$1101,GD_Update_Date,CD$1099)))</f>
        <v/>
      </c>
      <c r="CE1106" s="594">
        <f>IF(ISBLANK(CE$1101),"N/A",IF(COUNTIFS(GD_Item_FiscalPeriod,CE$1101,GD_Item_Name,$B1106,GD_Update_Date,CE$1099)=0,"NR",SUMIFS(GD_Guidance_High,GD_Item_Name,$B1106,GD_Item_FiscalPeriod,CE$1101,GD_Update_Date,CE$1099)))</f>
        <v/>
      </c>
      <c r="CF1106" s="796">
        <f>IF(ISBLANK(CF$1101),"N/A",IF(COUNTIFS(GD_Item_FiscalPeriod,CF$1101,GD_Item_Name,$B1106,GD_Update_Date,CF$1099)=0,"NR",SUMIFS(GD_Guidance_High,GD_Item_Name,$B1106,GD_Item_FiscalPeriod,CF$1101,GD_Update_Date,CF$1099)))</f>
        <v/>
      </c>
      <c r="CG1106" s="155" t="n"/>
    </row>
    <row r="1107">
      <c r="A1107" s="795" t="inlineStr">
        <is>
          <t>Mid - Non-GAAP Gross Margin, %</t>
        </is>
      </c>
      <c r="B1107" s="1067" t="inlineStr">
        <is>
          <t>MO_MA_GM_NONGAAP</t>
        </is>
      </c>
      <c r="C1107" s="1007" t="n"/>
      <c r="D1107" s="1007" t="n"/>
      <c r="E1107" s="594" t="n"/>
      <c r="F1107" s="594" t="n"/>
      <c r="G1107" s="594" t="n"/>
      <c r="H1107" s="594" t="n"/>
      <c r="I1107" s="594" t="n"/>
      <c r="J1107" s="594" t="n"/>
      <c r="K1107" s="594" t="n"/>
      <c r="L1107" s="594" t="n"/>
      <c r="M1107" s="594" t="n"/>
      <c r="N1107" s="594" t="n"/>
      <c r="O1107" s="594" t="n"/>
      <c r="P1107" s="594" t="n"/>
      <c r="Q1107" s="594" t="n"/>
      <c r="R1107" s="594" t="n"/>
      <c r="S1107" s="594" t="n"/>
      <c r="T1107" s="594" t="n"/>
      <c r="U1107" s="594" t="n"/>
      <c r="V1107" s="594" t="n"/>
      <c r="W1107" s="594" t="n"/>
      <c r="X1107" s="594" t="n"/>
      <c r="Y1107" s="594" t="n"/>
      <c r="Z1107" s="594" t="n"/>
      <c r="AA1107" s="594" t="n"/>
      <c r="AB1107" s="594" t="n"/>
      <c r="AC1107" s="594" t="n"/>
      <c r="AD1107" s="594" t="n"/>
      <c r="AE1107" s="594" t="n"/>
      <c r="AF1107" s="594" t="n"/>
      <c r="AG1107" s="594" t="n"/>
      <c r="AH1107" s="594">
        <f>IF(ISBLANK(AH$1101),"N/A",IF(COUNTIFS(GD_Item_FiscalPeriod,AH$1101,GD_Item_Name,$B1107,GD_Update_Date,AH$1099)=0,"NR",SUMIFS(GD_Guidance_Mid,GD_Item_Name,$B1107,GD_Item_FiscalPeriod,AH$1101,GD_Update_Date,AH$1099)))</f>
        <v/>
      </c>
      <c r="AI1107" s="594">
        <f>IF(ISBLANK(AI$1101),"N/A",IF(COUNTIFS(GD_Item_FiscalPeriod,AI$1101,GD_Item_Name,$B1107,GD_Update_Date,AI$1099)=0,"NR",SUMIFS(GD_Guidance_Mid,GD_Item_Name,$B1107,GD_Item_FiscalPeriod,AI$1101,GD_Update_Date,AI$1099)))</f>
        <v/>
      </c>
      <c r="AJ1107" s="594">
        <f>IF(ISBLANK(AJ$1101),"N/A",IF(COUNTIFS(GD_Item_FiscalPeriod,AJ$1101,GD_Item_Name,$B1107,GD_Update_Date,AJ$1099)=0,"NR",SUMIFS(GD_Guidance_Mid,GD_Item_Name,$B1107,GD_Item_FiscalPeriod,AJ$1101,GD_Update_Date,AJ$1099)))</f>
        <v/>
      </c>
      <c r="AK1107" s="594">
        <f>IF(ISBLANK(AK$1101),"N/A",IF(COUNTIFS(GD_Item_FiscalPeriod,AK$1101,GD_Item_Name,$B1107,GD_Update_Date,AK$1099)=0,"NR",SUMIFS(GD_Guidance_Mid,GD_Item_Name,$B1107,GD_Item_FiscalPeriod,AK$1101,GD_Update_Date,AK$1099)))</f>
        <v/>
      </c>
      <c r="AL1107" s="594">
        <f>IF(ISBLANK(AL$1101),"N/A",IF(COUNTIFS(GD_Item_FiscalPeriod,AL$1101,GD_Item_Name,$B1107,GD_Update_Date,AL$1099)=0,"NR",SUMIFS(GD_Guidance_Mid,GD_Item_Name,$B1107,GD_Item_FiscalPeriod,AL$1101,GD_Update_Date,AL$1099)))</f>
        <v/>
      </c>
      <c r="AM1107" s="594">
        <f>IF(ISBLANK(AM$1101),"N/A",IF(COUNTIFS(GD_Item_FiscalPeriod,AM$1101,GD_Item_Name,$B1107,GD_Update_Date,AM$1099)=0,"NR",SUMIFS(GD_Guidance_Mid,GD_Item_Name,$B1107,GD_Item_FiscalPeriod,AM$1101,GD_Update_Date,AM$1099)))</f>
        <v/>
      </c>
      <c r="AN1107" s="594">
        <f>IF(ISBLANK(AN$1101),"N/A",IF(COUNTIFS(GD_Item_FiscalPeriod,AN$1101,GD_Item_Name,$B1107,GD_Update_Date,AN$1099)=0,"NR",SUMIFS(GD_Guidance_Mid,GD_Item_Name,$B1107,GD_Item_FiscalPeriod,AN$1101,GD_Update_Date,AN$1099)))</f>
        <v/>
      </c>
      <c r="AO1107" s="594">
        <f>IF(ISBLANK(AO$1101),"N/A",IF(COUNTIFS(GD_Item_FiscalPeriod,AO$1101,GD_Item_Name,$B1107,GD_Update_Date,AO$1099)=0,"NR",SUMIFS(GD_Guidance_Mid,GD_Item_Name,$B1107,GD_Item_FiscalPeriod,AO$1101,GD_Update_Date,AO$1099)))</f>
        <v/>
      </c>
      <c r="AP1107" s="594">
        <f>IF(ISBLANK(AP$1101),"N/A",IF(COUNTIFS(GD_Item_FiscalPeriod,AP$1101,GD_Item_Name,$B1107,GD_Update_Date,AP$1099)=0,"NR",SUMIFS(GD_Guidance_Mid,GD_Item_Name,$B1107,GD_Item_FiscalPeriod,AP$1101,GD_Update_Date,AP$1099)))</f>
        <v/>
      </c>
      <c r="AQ1107" s="594">
        <f>IF(ISBLANK(AQ$1101),"N/A",IF(COUNTIFS(GD_Item_FiscalPeriod,AQ$1101,GD_Item_Name,$B1107,GD_Update_Date,AQ$1099)=0,"NR",SUMIFS(GD_Guidance_Mid,GD_Item_Name,$B1107,GD_Item_FiscalPeriod,AQ$1101,GD_Update_Date,AQ$1099)))</f>
        <v/>
      </c>
      <c r="AR1107" s="594">
        <f>IF(ISBLANK(AR$1101),"N/A",IF(COUNTIFS(GD_Item_FiscalPeriod,AR$1101,GD_Item_Name,$B1107,GD_Update_Date,AR$1099)=0,"NR",SUMIFS(GD_Guidance_Mid,GD_Item_Name,$B1107,GD_Item_FiscalPeriod,AR$1101,GD_Update_Date,AR$1099)))</f>
        <v/>
      </c>
      <c r="AS1107" s="594">
        <f>IF(ISBLANK(AS$1101),"N/A",IF(COUNTIFS(GD_Item_FiscalPeriod,AS$1101,GD_Item_Name,$B1107,GD_Update_Date,AS$1099)=0,"NR",SUMIFS(GD_Guidance_Mid,GD_Item_Name,$B1107,GD_Item_FiscalPeriod,AS$1101,GD_Update_Date,AS$1099)))</f>
        <v/>
      </c>
      <c r="AT1107" s="594">
        <f>IF(ISBLANK(AT$1101),"N/A",IF(COUNTIFS(GD_Item_FiscalPeriod,AT$1101,GD_Item_Name,$B1107,GD_Update_Date,AT$1099)=0,"NR",SUMIFS(GD_Guidance_Mid,GD_Item_Name,$B1107,GD_Item_FiscalPeriod,AT$1101,GD_Update_Date,AT$1099)))</f>
        <v/>
      </c>
      <c r="AU1107" s="594">
        <f>IF(ISBLANK(AU$1101),"N/A",IF(COUNTIFS(GD_Item_FiscalPeriod,AU$1101,GD_Item_Name,$B1107,GD_Update_Date,AU$1099)=0,"NR",SUMIFS(GD_Guidance_Mid,GD_Item_Name,$B1107,GD_Item_FiscalPeriod,AU$1101,GD_Update_Date,AU$1099)))</f>
        <v/>
      </c>
      <c r="AV1107" s="594">
        <f>IF(ISBLANK(AV$1101),"N/A",IF(COUNTIFS(GD_Item_FiscalPeriod,AV$1101,GD_Item_Name,$B1107,GD_Update_Date,AV$1099)=0,"NR",SUMIFS(GD_Guidance_Mid,GD_Item_Name,$B1107,GD_Item_FiscalPeriod,AV$1101,GD_Update_Date,AV$1099)))</f>
        <v/>
      </c>
      <c r="AW1107" s="594">
        <f>IF(ISBLANK(AW$1101),"N/A",IF(COUNTIFS(GD_Item_FiscalPeriod,AW$1101,GD_Item_Name,$B1107,GD_Update_Date,AW$1099)=0,"NR",SUMIFS(GD_Guidance_Mid,GD_Item_Name,$B1107,GD_Item_FiscalPeriod,AW$1101,GD_Update_Date,AW$1099)))</f>
        <v/>
      </c>
      <c r="AX1107" s="594">
        <f>IF(ISBLANK(AX$1101),"N/A",IF(COUNTIFS(GD_Item_FiscalPeriod,AX$1101,GD_Item_Name,$B1107,GD_Update_Date,AX$1099)=0,"NR",SUMIFS(GD_Guidance_Mid,GD_Item_Name,$B1107,GD_Item_FiscalPeriod,AX$1101,GD_Update_Date,AX$1099)))</f>
        <v/>
      </c>
      <c r="AY1107" s="594">
        <f>IF(ISBLANK(AY$1101),"N/A",IF(COUNTIFS(GD_Item_FiscalPeriod,AY$1101,GD_Item_Name,$B1107,GD_Update_Date,AY$1099)=0,"NR",SUMIFS(GD_Guidance_Mid,GD_Item_Name,$B1107,GD_Item_FiscalPeriod,AY$1101,GD_Update_Date,AY$1099)))</f>
        <v/>
      </c>
      <c r="AZ1107" s="594">
        <f>IF(ISBLANK(AZ$1101),"N/A",IF(COUNTIFS(GD_Item_FiscalPeriod,AZ$1101,GD_Item_Name,$B1107,GD_Update_Date,AZ$1099)=0,"NR",SUMIFS(GD_Guidance_Mid,GD_Item_Name,$B1107,GD_Item_FiscalPeriod,AZ$1101,GD_Update_Date,AZ$1099)))</f>
        <v/>
      </c>
      <c r="BA1107" s="594">
        <f>IF(ISBLANK(BA$1101),"N/A",IF(COUNTIFS(GD_Item_FiscalPeriod,BA$1101,GD_Item_Name,$B1107,GD_Update_Date,BA$1099)=0,"NR",SUMIFS(GD_Guidance_Mid,GD_Item_Name,$B1107,GD_Item_FiscalPeriod,BA$1101,GD_Update_Date,BA$1099)))</f>
        <v/>
      </c>
      <c r="BB1107" s="594">
        <f>IF(ISBLANK(BB$1101),"N/A",IF(COUNTIFS(GD_Item_FiscalPeriod,BB$1101,GD_Item_Name,$B1107,GD_Update_Date,BB$1099)=0,"NR",SUMIFS(GD_Guidance_Mid,GD_Item_Name,$B1107,GD_Item_FiscalPeriod,BB$1101,GD_Update_Date,BB$1099)))</f>
        <v/>
      </c>
      <c r="BC1107" s="594">
        <f>IF(ISBLANK(BC$1101),"N/A",IF(COUNTIFS(GD_Item_FiscalPeriod,BC$1101,GD_Item_Name,$B1107,GD_Update_Date,BC$1099)=0,"NR",SUMIFS(GD_Guidance_Mid,GD_Item_Name,$B1107,GD_Item_FiscalPeriod,BC$1101,GD_Update_Date,BC$1099)))</f>
        <v/>
      </c>
      <c r="BD1107" s="594">
        <f>IF(ISBLANK(BD$1101),"N/A",IF(COUNTIFS(GD_Item_FiscalPeriod,BD$1101,GD_Item_Name,$B1107,GD_Update_Date,BD$1099)=0,"NR",SUMIFS(GD_Guidance_Mid,GD_Item_Name,$B1107,GD_Item_FiscalPeriod,BD$1101,GD_Update_Date,BD$1099)))</f>
        <v/>
      </c>
      <c r="BE1107" s="594">
        <f>IF(ISBLANK(BE$1101),"N/A",IF(COUNTIFS(GD_Item_FiscalPeriod,BE$1101,GD_Item_Name,$B1107,GD_Update_Date,BE$1099)=0,"NR",SUMIFS(GD_Guidance_Mid,GD_Item_Name,$B1107,GD_Item_FiscalPeriod,BE$1101,GD_Update_Date,BE$1099)))</f>
        <v/>
      </c>
      <c r="BF1107" s="594">
        <f>IF(ISBLANK(BF$1101),"N/A",IF(COUNTIFS(GD_Item_FiscalPeriod,BF$1101,GD_Item_Name,$B1107,GD_Update_Date,BF$1099)=0,"NR",SUMIFS(GD_Guidance_Mid,GD_Item_Name,$B1107,GD_Item_FiscalPeriod,BF$1101,GD_Update_Date,BF$1099)))</f>
        <v/>
      </c>
      <c r="BG1107" s="594">
        <f>IF(ISBLANK(BG$1101),"N/A",IF(COUNTIFS(GD_Item_FiscalPeriod,BG$1101,GD_Item_Name,$B1107,GD_Update_Date,BG$1099)=0,"NR",SUMIFS(GD_Guidance_Mid,GD_Item_Name,$B1107,GD_Item_FiscalPeriod,BG$1101,GD_Update_Date,BG$1099)))</f>
        <v/>
      </c>
      <c r="BH1107" s="594">
        <f>IF(ISBLANK(BH$1101),"N/A",IF(COUNTIFS(GD_Item_FiscalPeriod,BH$1101,GD_Item_Name,$B1107,GD_Update_Date,BH$1099)=0,"NR",SUMIFS(GD_Guidance_Mid,GD_Item_Name,$B1107,GD_Item_FiscalPeriod,BH$1101,GD_Update_Date,BH$1099)))</f>
        <v/>
      </c>
      <c r="BI1107" s="594">
        <f>IF(ISBLANK(BI$1101),"N/A",IF(COUNTIFS(GD_Item_FiscalPeriod,BI$1101,GD_Item_Name,$B1107,GD_Update_Date,BI$1099)=0,"NR",SUMIFS(GD_Guidance_Mid,GD_Item_Name,$B1107,GD_Item_FiscalPeriod,BI$1101,GD_Update_Date,BI$1099)))</f>
        <v/>
      </c>
      <c r="BJ1107" s="594">
        <f>IF(ISBLANK(BJ$1101),"N/A",IF(COUNTIFS(GD_Item_FiscalPeriod,BJ$1101,GD_Item_Name,$B1107,GD_Update_Date,BJ$1099)=0,"NR",SUMIFS(GD_Guidance_Mid,GD_Item_Name,$B1107,GD_Item_FiscalPeriod,BJ$1101,GD_Update_Date,BJ$1099)))</f>
        <v/>
      </c>
      <c r="BK1107" s="594">
        <f>IF(ISBLANK(BK$1101),"N/A",IF(COUNTIFS(GD_Item_FiscalPeriod,BK$1101,GD_Item_Name,$B1107,GD_Update_Date,BK$1099)=0,"NR",SUMIFS(GD_Guidance_Mid,GD_Item_Name,$B1107,GD_Item_FiscalPeriod,BK$1101,GD_Update_Date,BK$1099)))</f>
        <v/>
      </c>
      <c r="BL1107" s="594">
        <f>IF(ISBLANK(BL$1101),"N/A",IF(COUNTIFS(GD_Item_FiscalPeriod,BL$1101,GD_Item_Name,$B1107,GD_Update_Date,BL$1099)=0,"NR",SUMIFS(GD_Guidance_Mid,GD_Item_Name,$B1107,GD_Item_FiscalPeriod,BL$1101,GD_Update_Date,BL$1099)))</f>
        <v/>
      </c>
      <c r="BM1107" s="594">
        <f>IF(ISBLANK(BM$1101),"N/A",IF(COUNTIFS(GD_Item_FiscalPeriod,BM$1101,GD_Item_Name,$B1107,GD_Update_Date,BM$1099)=0,"NR",SUMIFS(GD_Guidance_Mid,GD_Item_Name,$B1107,GD_Item_FiscalPeriod,BM$1101,GD_Update_Date,BM$1099)))</f>
        <v/>
      </c>
      <c r="BN1107" s="594">
        <f>IF(ISBLANK(BN$1101),"N/A",IF(COUNTIFS(GD_Item_FiscalPeriod,BN$1101,GD_Item_Name,$B1107,GD_Update_Date,BN$1099)=0,"NR",SUMIFS(GD_Guidance_Mid,GD_Item_Name,$B1107,GD_Item_FiscalPeriod,BN$1101,GD_Update_Date,BN$1099)))</f>
        <v/>
      </c>
      <c r="BO1107" s="594">
        <f>IF(ISBLANK(BO$1101),"N/A",IF(COUNTIFS(GD_Item_FiscalPeriod,BO$1101,GD_Item_Name,$B1107,GD_Update_Date,BO$1099)=0,"NR",SUMIFS(GD_Guidance_Mid,GD_Item_Name,$B1107,GD_Item_FiscalPeriod,BO$1101,GD_Update_Date,BO$1099)))</f>
        <v/>
      </c>
      <c r="BP1107" s="594">
        <f>IF(ISBLANK(BP$1101),"N/A",IF(COUNTIFS(GD_Item_FiscalPeriod,BP$1101,GD_Item_Name,$B1107,GD_Update_Date,BP$1099)=0,"NR",SUMIFS(GD_Guidance_Mid,GD_Item_Name,$B1107,GD_Item_FiscalPeriod,BP$1101,GD_Update_Date,BP$1099)))</f>
        <v/>
      </c>
      <c r="BQ1107" s="594">
        <f>IF(ISBLANK(BQ$1101),"N/A",IF(COUNTIFS(GD_Item_FiscalPeriod,BQ$1101,GD_Item_Name,$B1107,GD_Update_Date,BQ$1099)=0,"NR",SUMIFS(GD_Guidance_Mid,GD_Item_Name,$B1107,GD_Item_FiscalPeriod,BQ$1101,GD_Update_Date,BQ$1099)))</f>
        <v/>
      </c>
      <c r="BR1107" s="594">
        <f>IF(ISBLANK(BR$1101),"N/A",IF(COUNTIFS(GD_Item_FiscalPeriod,BR$1101,GD_Item_Name,$B1107,GD_Update_Date,BR$1099)=0,"NR",SUMIFS(GD_Guidance_Mid,GD_Item_Name,$B1107,GD_Item_FiscalPeriod,BR$1101,GD_Update_Date,BR$1099)))</f>
        <v/>
      </c>
      <c r="BS1107" s="594">
        <f>IF(ISBLANK(BS$1101),"N/A",IF(COUNTIFS(GD_Item_FiscalPeriod,BS$1101,GD_Item_Name,$B1107,GD_Update_Date,BS$1099)=0,"NR",SUMIFS(GD_Guidance_Mid,GD_Item_Name,$B1107,GD_Item_FiscalPeriod,BS$1101,GD_Update_Date,BS$1099)))</f>
        <v/>
      </c>
      <c r="BT1107" s="594">
        <f>IF(ISBLANK(BT$1101),"N/A",IF(COUNTIFS(GD_Item_FiscalPeriod,BT$1101,GD_Item_Name,$B1107,GD_Update_Date,BT$1099)=0,"NR",SUMIFS(GD_Guidance_Mid,GD_Item_Name,$B1107,GD_Item_FiscalPeriod,BT$1101,GD_Update_Date,BT$1099)))</f>
        <v/>
      </c>
      <c r="BU1107" s="594">
        <f>IF(ISBLANK(BU$1101),"N/A",IF(COUNTIFS(GD_Item_FiscalPeriod,BU$1101,GD_Item_Name,$B1107,GD_Update_Date,BU$1099)=0,"NR",SUMIFS(GD_Guidance_Mid,GD_Item_Name,$B1107,GD_Item_FiscalPeriod,BU$1101,GD_Update_Date,BU$1099)))</f>
        <v/>
      </c>
      <c r="BV1107" s="732">
        <f>IF(ISBLANK(BV$1101),"N/A",IF(COUNTIFS(GD_Item_FiscalPeriod,BV$1101,GD_Item_Name,$B1107,GD_Update_Date,BV$1099)=0,"NR",SUMIFS(GD_Guidance_Mid,GD_Item_Name,$B1107,GD_Item_FiscalPeriod,BV$1101,GD_Update_Date,BV$1099)))</f>
        <v/>
      </c>
      <c r="BW1107" s="594">
        <f>IF(ISBLANK(BW$1101),"N/A",IF(COUNTIFS(GD_Item_FiscalPeriod,BW$1101,GD_Item_Name,$B1107,GD_Update_Date,BW$1099)=0,"NR",SUMIFS(GD_Guidance_Mid,GD_Item_Name,$B1107,GD_Item_FiscalPeriod,BW$1101,GD_Update_Date,BW$1099)))</f>
        <v/>
      </c>
      <c r="BX1107" s="594">
        <f>IF(ISBLANK(BX$1101),"N/A",IF(COUNTIFS(GD_Item_FiscalPeriod,BX$1101,GD_Item_Name,$B1107,GD_Update_Date,BX$1099)=0,"NR",SUMIFS(GD_Guidance_Mid,GD_Item_Name,$B1107,GD_Item_FiscalPeriod,BX$1101,GD_Update_Date,BX$1099)))</f>
        <v/>
      </c>
      <c r="BY1107" s="594">
        <f>IF(ISBLANK(BY$1101),"N/A",IF(COUNTIFS(GD_Item_FiscalPeriod,BY$1101,GD_Item_Name,$B1107,GD_Update_Date,BY$1099)=0,"NR",SUMIFS(GD_Guidance_Mid,GD_Item_Name,$B1107,GD_Item_FiscalPeriod,BY$1101,GD_Update_Date,BY$1099)))</f>
        <v/>
      </c>
      <c r="BZ1107" s="594">
        <f>IF(ISBLANK(BZ$1101),"N/A",IF(COUNTIFS(GD_Item_FiscalPeriod,BZ$1101,GD_Item_Name,$B1107,GD_Update_Date,BZ$1099)=0,"NR",SUMIFS(GD_Guidance_Mid,GD_Item_Name,$B1107,GD_Item_FiscalPeriod,BZ$1101,GD_Update_Date,BZ$1099)))</f>
        <v/>
      </c>
      <c r="CA1107" s="594">
        <f>IF(ISBLANK(CA$1101),"N/A",IF(COUNTIFS(GD_Item_FiscalPeriod,CA$1101,GD_Item_Name,$B1107,GD_Update_Date,CA$1099)=0,"NR",SUMIFS(GD_Guidance_Mid,GD_Item_Name,$B1107,GD_Item_FiscalPeriod,CA$1101,GD_Update_Date,CA$1099)))</f>
        <v/>
      </c>
      <c r="CB1107" s="594">
        <f>IF(ISBLANK(CB$1101),"N/A",IF(COUNTIFS(GD_Item_FiscalPeriod,CB$1101,GD_Item_Name,$B1107,GD_Update_Date,CB$1099)=0,"NR",SUMIFS(GD_Guidance_Mid,GD_Item_Name,$B1107,GD_Item_FiscalPeriod,CB$1101,GD_Update_Date,CB$1099)))</f>
        <v/>
      </c>
      <c r="CC1107" s="594">
        <f>IF(ISBLANK(CC$1101),"N/A",IF(COUNTIFS(GD_Item_FiscalPeriod,CC$1101,GD_Item_Name,$B1107,GD_Update_Date,CC$1099)=0,"NR",SUMIFS(GD_Guidance_Mid,GD_Item_Name,$B1107,GD_Item_FiscalPeriod,CC$1101,GD_Update_Date,CC$1099)))</f>
        <v/>
      </c>
      <c r="CD1107" s="594">
        <f>IF(ISBLANK(CD$1101),"N/A",IF(COUNTIFS(GD_Item_FiscalPeriod,CD$1101,GD_Item_Name,$B1107,GD_Update_Date,CD$1099)=0,"NR",SUMIFS(GD_Guidance_Mid,GD_Item_Name,$B1107,GD_Item_FiscalPeriod,CD$1101,GD_Update_Date,CD$1099)))</f>
        <v/>
      </c>
      <c r="CE1107" s="594">
        <f>IF(ISBLANK(CE$1101),"N/A",IF(COUNTIFS(GD_Item_FiscalPeriod,CE$1101,GD_Item_Name,$B1107,GD_Update_Date,CE$1099)=0,"NR",SUMIFS(GD_Guidance_Mid,GD_Item_Name,$B1107,GD_Item_FiscalPeriod,CE$1101,GD_Update_Date,CE$1099)))</f>
        <v/>
      </c>
      <c r="CF1107" s="796">
        <f>IF(ISBLANK(CF$1101),"N/A",IF(COUNTIFS(GD_Item_FiscalPeriod,CF$1101,GD_Item_Name,$B1107,GD_Update_Date,CF$1099)=0,"NR",SUMIFS(GD_Guidance_Mid,GD_Item_Name,$B1107,GD_Item_FiscalPeriod,CF$1101,GD_Update_Date,CF$1099)))</f>
        <v/>
      </c>
      <c r="CG1107" s="155" t="n"/>
    </row>
    <row r="1108">
      <c r="A1108" s="793" t="inlineStr">
        <is>
          <t>Low - Total Non-GAAP Operating Expenses, mm</t>
        </is>
      </c>
      <c r="B1108" s="1053" t="inlineStr">
        <is>
          <t>MO_OS_OPEX</t>
        </is>
      </c>
      <c r="C1108" s="1006" t="n"/>
      <c r="D1108" s="1006" t="n"/>
      <c r="E1108" s="563" t="n"/>
      <c r="F1108" s="563" t="n"/>
      <c r="G1108" s="563" t="n"/>
      <c r="H1108" s="563" t="n"/>
      <c r="I1108" s="563" t="n"/>
      <c r="J1108" s="563" t="n"/>
      <c r="K1108" s="563" t="n"/>
      <c r="L1108" s="563" t="n"/>
      <c r="M1108" s="563" t="n"/>
      <c r="N1108" s="563" t="n"/>
      <c r="O1108" s="563" t="n"/>
      <c r="P1108" s="563" t="n"/>
      <c r="Q1108" s="563" t="n"/>
      <c r="R1108" s="563" t="n"/>
      <c r="S1108" s="563" t="n"/>
      <c r="T1108" s="563" t="n"/>
      <c r="U1108" s="563" t="n"/>
      <c r="V1108" s="563" t="n"/>
      <c r="W1108" s="563" t="n"/>
      <c r="X1108" s="563" t="n"/>
      <c r="Y1108" s="563" t="n"/>
      <c r="Z1108" s="563" t="n"/>
      <c r="AA1108" s="563" t="n"/>
      <c r="AB1108" s="563" t="n"/>
      <c r="AC1108" s="563" t="n"/>
      <c r="AD1108" s="563" t="n"/>
      <c r="AE1108" s="563" t="n"/>
      <c r="AF1108" s="563" t="n"/>
      <c r="AG1108" s="563" t="n"/>
      <c r="AH1108" s="563">
        <f>IF(ISBLANK(AH$1101),"N/A",IF(COUNTIFS(GD_Item_FiscalPeriod,AH$1101,GD_Item_Name,$B1108,GD_Update_Date,AH$1099)=0,"NR",SUMIFS(GD_Guidance_Low,GD_Item_Name,$B1108,GD_Item_FiscalPeriod,AH$1101,GD_Update_Date,AH$1099)))</f>
        <v/>
      </c>
      <c r="AI1108" s="563">
        <f>IF(ISBLANK(AI$1101),"N/A",IF(COUNTIFS(GD_Item_FiscalPeriod,AI$1101,GD_Item_Name,$B1108,GD_Update_Date,AI$1099)=0,"NR",SUMIFS(GD_Guidance_Low,GD_Item_Name,$B1108,GD_Item_FiscalPeriod,AI$1101,GD_Update_Date,AI$1099)))</f>
        <v/>
      </c>
      <c r="AJ1108" s="563">
        <f>IF(ISBLANK(AJ$1101),"N/A",IF(COUNTIFS(GD_Item_FiscalPeriod,AJ$1101,GD_Item_Name,$B1108,GD_Update_Date,AJ$1099)=0,"NR",SUMIFS(GD_Guidance_Low,GD_Item_Name,$B1108,GD_Item_FiscalPeriod,AJ$1101,GD_Update_Date,AJ$1099)))</f>
        <v/>
      </c>
      <c r="AK1108" s="563">
        <f>IF(ISBLANK(AK$1101),"N/A",IF(COUNTIFS(GD_Item_FiscalPeriod,AK$1101,GD_Item_Name,$B1108,GD_Update_Date,AK$1099)=0,"NR",SUMIFS(GD_Guidance_Low,GD_Item_Name,$B1108,GD_Item_FiscalPeriod,AK$1101,GD_Update_Date,AK$1099)))</f>
        <v/>
      </c>
      <c r="AL1108" s="563">
        <f>IF(ISBLANK(AL$1101),"N/A",IF(COUNTIFS(GD_Item_FiscalPeriod,AL$1101,GD_Item_Name,$B1108,GD_Update_Date,AL$1099)=0,"NR",SUMIFS(GD_Guidance_Low,GD_Item_Name,$B1108,GD_Item_FiscalPeriod,AL$1101,GD_Update_Date,AL$1099)))</f>
        <v/>
      </c>
      <c r="AM1108" s="563">
        <f>IF(ISBLANK(AM$1101),"N/A",IF(COUNTIFS(GD_Item_FiscalPeriod,AM$1101,GD_Item_Name,$B1108,GD_Update_Date,AM$1099)=0,"NR",SUMIFS(GD_Guidance_Low,GD_Item_Name,$B1108,GD_Item_FiscalPeriod,AM$1101,GD_Update_Date,AM$1099)))</f>
        <v/>
      </c>
      <c r="AN1108" s="563">
        <f>IF(ISBLANK(AN$1101),"N/A",IF(COUNTIFS(GD_Item_FiscalPeriod,AN$1101,GD_Item_Name,$B1108,GD_Update_Date,AN$1099)=0,"NR",SUMIFS(GD_Guidance_Low,GD_Item_Name,$B1108,GD_Item_FiscalPeriod,AN$1101,GD_Update_Date,AN$1099)))</f>
        <v/>
      </c>
      <c r="AO1108" s="563">
        <f>IF(ISBLANK(AO$1101),"N/A",IF(COUNTIFS(GD_Item_FiscalPeriod,AO$1101,GD_Item_Name,$B1108,GD_Update_Date,AO$1099)=0,"NR",SUMIFS(GD_Guidance_Low,GD_Item_Name,$B1108,GD_Item_FiscalPeriod,AO$1101,GD_Update_Date,AO$1099)))</f>
        <v/>
      </c>
      <c r="AP1108" s="563">
        <f>IF(ISBLANK(AP$1101),"N/A",IF(COUNTIFS(GD_Item_FiscalPeriod,AP$1101,GD_Item_Name,$B1108,GD_Update_Date,AP$1099)=0,"NR",SUMIFS(GD_Guidance_Low,GD_Item_Name,$B1108,GD_Item_FiscalPeriod,AP$1101,GD_Update_Date,AP$1099)))</f>
        <v/>
      </c>
      <c r="AQ1108" s="563">
        <f>IF(ISBLANK(AQ$1101),"N/A",IF(COUNTIFS(GD_Item_FiscalPeriod,AQ$1101,GD_Item_Name,$B1108,GD_Update_Date,AQ$1099)=0,"NR",SUMIFS(GD_Guidance_Low,GD_Item_Name,$B1108,GD_Item_FiscalPeriod,AQ$1101,GD_Update_Date,AQ$1099)))</f>
        <v/>
      </c>
      <c r="AR1108" s="563">
        <f>IF(ISBLANK(AR$1101),"N/A",IF(COUNTIFS(GD_Item_FiscalPeriod,AR$1101,GD_Item_Name,$B1108,GD_Update_Date,AR$1099)=0,"NR",SUMIFS(GD_Guidance_Low,GD_Item_Name,$B1108,GD_Item_FiscalPeriod,AR$1101,GD_Update_Date,AR$1099)))</f>
        <v/>
      </c>
      <c r="AS1108" s="563">
        <f>IF(ISBLANK(AS$1101),"N/A",IF(COUNTIFS(GD_Item_FiscalPeriod,AS$1101,GD_Item_Name,$B1108,GD_Update_Date,AS$1099)=0,"NR",SUMIFS(GD_Guidance_Low,GD_Item_Name,$B1108,GD_Item_FiscalPeriod,AS$1101,GD_Update_Date,AS$1099)))</f>
        <v/>
      </c>
      <c r="AT1108" s="563">
        <f>IF(ISBLANK(AT$1101),"N/A",IF(COUNTIFS(GD_Item_FiscalPeriod,AT$1101,GD_Item_Name,$B1108,GD_Update_Date,AT$1099)=0,"NR",SUMIFS(GD_Guidance_Low,GD_Item_Name,$B1108,GD_Item_FiscalPeriod,AT$1101,GD_Update_Date,AT$1099)))</f>
        <v/>
      </c>
      <c r="AU1108" s="563">
        <f>IF(ISBLANK(AU$1101),"N/A",IF(COUNTIFS(GD_Item_FiscalPeriod,AU$1101,GD_Item_Name,$B1108,GD_Update_Date,AU$1099)=0,"NR",SUMIFS(GD_Guidance_Low,GD_Item_Name,$B1108,GD_Item_FiscalPeriod,AU$1101,GD_Update_Date,AU$1099)))</f>
        <v/>
      </c>
      <c r="AV1108" s="563">
        <f>IF(ISBLANK(AV$1101),"N/A",IF(COUNTIFS(GD_Item_FiscalPeriod,AV$1101,GD_Item_Name,$B1108,GD_Update_Date,AV$1099)=0,"NR",SUMIFS(GD_Guidance_Low,GD_Item_Name,$B1108,GD_Item_FiscalPeriod,AV$1101,GD_Update_Date,AV$1099)))</f>
        <v/>
      </c>
      <c r="AW1108" s="563">
        <f>IF(ISBLANK(AW$1101),"N/A",IF(COUNTIFS(GD_Item_FiscalPeriod,AW$1101,GD_Item_Name,$B1108,GD_Update_Date,AW$1099)=0,"NR",SUMIFS(GD_Guidance_Low,GD_Item_Name,$B1108,GD_Item_FiscalPeriod,AW$1101,GD_Update_Date,AW$1099)))</f>
        <v/>
      </c>
      <c r="AX1108" s="563">
        <f>IF(ISBLANK(AX$1101),"N/A",IF(COUNTIFS(GD_Item_FiscalPeriod,AX$1101,GD_Item_Name,$B1108,GD_Update_Date,AX$1099)=0,"NR",SUMIFS(GD_Guidance_Low,GD_Item_Name,$B1108,GD_Item_FiscalPeriod,AX$1101,GD_Update_Date,AX$1099)))</f>
        <v/>
      </c>
      <c r="AY1108" s="563">
        <f>IF(ISBLANK(AY$1101),"N/A",IF(COUNTIFS(GD_Item_FiscalPeriod,AY$1101,GD_Item_Name,$B1108,GD_Update_Date,AY$1099)=0,"NR",SUMIFS(GD_Guidance_Low,GD_Item_Name,$B1108,GD_Item_FiscalPeriod,AY$1101,GD_Update_Date,AY$1099)))</f>
        <v/>
      </c>
      <c r="AZ1108" s="563">
        <f>IF(ISBLANK(AZ$1101),"N/A",IF(COUNTIFS(GD_Item_FiscalPeriod,AZ$1101,GD_Item_Name,$B1108,GD_Update_Date,AZ$1099)=0,"NR",SUMIFS(GD_Guidance_Low,GD_Item_Name,$B1108,GD_Item_FiscalPeriod,AZ$1101,GD_Update_Date,AZ$1099)))</f>
        <v/>
      </c>
      <c r="BA1108" s="563">
        <f>IF(ISBLANK(BA$1101),"N/A",IF(COUNTIFS(GD_Item_FiscalPeriod,BA$1101,GD_Item_Name,$B1108,GD_Update_Date,BA$1099)=0,"NR",SUMIFS(GD_Guidance_Low,GD_Item_Name,$B1108,GD_Item_FiscalPeriod,BA$1101,GD_Update_Date,BA$1099)))</f>
        <v/>
      </c>
      <c r="BB1108" s="563">
        <f>IF(ISBLANK(BB$1101),"N/A",IF(COUNTIFS(GD_Item_FiscalPeriod,BB$1101,GD_Item_Name,$B1108,GD_Update_Date,BB$1099)=0,"NR",SUMIFS(GD_Guidance_Low,GD_Item_Name,$B1108,GD_Item_FiscalPeriod,BB$1101,GD_Update_Date,BB$1099)))</f>
        <v/>
      </c>
      <c r="BC1108" s="563">
        <f>IF(ISBLANK(BC$1101),"N/A",IF(COUNTIFS(GD_Item_FiscalPeriod,BC$1101,GD_Item_Name,$B1108,GD_Update_Date,BC$1099)=0,"NR",SUMIFS(GD_Guidance_Low,GD_Item_Name,$B1108,GD_Item_FiscalPeriod,BC$1101,GD_Update_Date,BC$1099)))</f>
        <v/>
      </c>
      <c r="BD1108" s="563">
        <f>IF(ISBLANK(BD$1101),"N/A",IF(COUNTIFS(GD_Item_FiscalPeriod,BD$1101,GD_Item_Name,$B1108,GD_Update_Date,BD$1099)=0,"NR",SUMIFS(GD_Guidance_Low,GD_Item_Name,$B1108,GD_Item_FiscalPeriod,BD$1101,GD_Update_Date,BD$1099)))</f>
        <v/>
      </c>
      <c r="BE1108" s="563">
        <f>IF(ISBLANK(BE$1101),"N/A",IF(COUNTIFS(GD_Item_FiscalPeriod,BE$1101,GD_Item_Name,$B1108,GD_Update_Date,BE$1099)=0,"NR",SUMIFS(GD_Guidance_Low,GD_Item_Name,$B1108,GD_Item_FiscalPeriod,BE$1101,GD_Update_Date,BE$1099)))</f>
        <v/>
      </c>
      <c r="BF1108" s="563">
        <f>IF(ISBLANK(BF$1101),"N/A",IF(COUNTIFS(GD_Item_FiscalPeriod,BF$1101,GD_Item_Name,$B1108,GD_Update_Date,BF$1099)=0,"NR",SUMIFS(GD_Guidance_Low,GD_Item_Name,$B1108,GD_Item_FiscalPeriod,BF$1101,GD_Update_Date,BF$1099)))</f>
        <v/>
      </c>
      <c r="BG1108" s="563">
        <f>IF(ISBLANK(BG$1101),"N/A",IF(COUNTIFS(GD_Item_FiscalPeriod,BG$1101,GD_Item_Name,$B1108,GD_Update_Date,BG$1099)=0,"NR",SUMIFS(GD_Guidance_Low,GD_Item_Name,$B1108,GD_Item_FiscalPeriod,BG$1101,GD_Update_Date,BG$1099)))</f>
        <v/>
      </c>
      <c r="BH1108" s="563">
        <f>IF(ISBLANK(BH$1101),"N/A",IF(COUNTIFS(GD_Item_FiscalPeriod,BH$1101,GD_Item_Name,$B1108,GD_Update_Date,BH$1099)=0,"NR",SUMIFS(GD_Guidance_Low,GD_Item_Name,$B1108,GD_Item_FiscalPeriod,BH$1101,GD_Update_Date,BH$1099)))</f>
        <v/>
      </c>
      <c r="BI1108" s="563">
        <f>IF(ISBLANK(BI$1101),"N/A",IF(COUNTIFS(GD_Item_FiscalPeriod,BI$1101,GD_Item_Name,$B1108,GD_Update_Date,BI$1099)=0,"NR",SUMIFS(GD_Guidance_Low,GD_Item_Name,$B1108,GD_Item_FiscalPeriod,BI$1101,GD_Update_Date,BI$1099)))</f>
        <v/>
      </c>
      <c r="BJ1108" s="563">
        <f>IF(ISBLANK(BJ$1101),"N/A",IF(COUNTIFS(GD_Item_FiscalPeriod,BJ$1101,GD_Item_Name,$B1108,GD_Update_Date,BJ$1099)=0,"NR",SUMIFS(GD_Guidance_Low,GD_Item_Name,$B1108,GD_Item_FiscalPeriod,BJ$1101,GD_Update_Date,BJ$1099)))</f>
        <v/>
      </c>
      <c r="BK1108" s="563">
        <f>IF(ISBLANK(BK$1101),"N/A",IF(COUNTIFS(GD_Item_FiscalPeriod,BK$1101,GD_Item_Name,$B1108,GD_Update_Date,BK$1099)=0,"NR",SUMIFS(GD_Guidance_Low,GD_Item_Name,$B1108,GD_Item_FiscalPeriod,BK$1101,GD_Update_Date,BK$1099)))</f>
        <v/>
      </c>
      <c r="BL1108" s="563">
        <f>IF(ISBLANK(BL$1101),"N/A",IF(COUNTIFS(GD_Item_FiscalPeriod,BL$1101,GD_Item_Name,$B1108,GD_Update_Date,BL$1099)=0,"NR",SUMIFS(GD_Guidance_Low,GD_Item_Name,$B1108,GD_Item_FiscalPeriod,BL$1101,GD_Update_Date,BL$1099)))</f>
        <v/>
      </c>
      <c r="BM1108" s="563">
        <f>IF(ISBLANK(BM$1101),"N/A",IF(COUNTIFS(GD_Item_FiscalPeriod,BM$1101,GD_Item_Name,$B1108,GD_Update_Date,BM$1099)=0,"NR",SUMIFS(GD_Guidance_Low,GD_Item_Name,$B1108,GD_Item_FiscalPeriod,BM$1101,GD_Update_Date,BM$1099)))</f>
        <v/>
      </c>
      <c r="BN1108" s="563">
        <f>IF(ISBLANK(BN$1101),"N/A",IF(COUNTIFS(GD_Item_FiscalPeriod,BN$1101,GD_Item_Name,$B1108,GD_Update_Date,BN$1099)=0,"NR",SUMIFS(GD_Guidance_Low,GD_Item_Name,$B1108,GD_Item_FiscalPeriod,BN$1101,GD_Update_Date,BN$1099)))</f>
        <v/>
      </c>
      <c r="BO1108" s="563">
        <f>IF(ISBLANK(BO$1101),"N/A",IF(COUNTIFS(GD_Item_FiscalPeriod,BO$1101,GD_Item_Name,$B1108,GD_Update_Date,BO$1099)=0,"NR",SUMIFS(GD_Guidance_Low,GD_Item_Name,$B1108,GD_Item_FiscalPeriod,BO$1101,GD_Update_Date,BO$1099)))</f>
        <v/>
      </c>
      <c r="BP1108" s="563">
        <f>IF(ISBLANK(BP$1101),"N/A",IF(COUNTIFS(GD_Item_FiscalPeriod,BP$1101,GD_Item_Name,$B1108,GD_Update_Date,BP$1099)=0,"NR",SUMIFS(GD_Guidance_Low,GD_Item_Name,$B1108,GD_Item_FiscalPeriod,BP$1101,GD_Update_Date,BP$1099)))</f>
        <v/>
      </c>
      <c r="BQ1108" s="563">
        <f>IF(ISBLANK(BQ$1101),"N/A",IF(COUNTIFS(GD_Item_FiscalPeriod,BQ$1101,GD_Item_Name,$B1108,GD_Update_Date,BQ$1099)=0,"NR",SUMIFS(GD_Guidance_Low,GD_Item_Name,$B1108,GD_Item_FiscalPeriod,BQ$1101,GD_Update_Date,BQ$1099)))</f>
        <v/>
      </c>
      <c r="BR1108" s="563">
        <f>IF(ISBLANK(BR$1101),"N/A",IF(COUNTIFS(GD_Item_FiscalPeriod,BR$1101,GD_Item_Name,$B1108,GD_Update_Date,BR$1099)=0,"NR",SUMIFS(GD_Guidance_Low,GD_Item_Name,$B1108,GD_Item_FiscalPeriod,BR$1101,GD_Update_Date,BR$1099)))</f>
        <v/>
      </c>
      <c r="BS1108" s="563">
        <f>IF(ISBLANK(BS$1101),"N/A",IF(COUNTIFS(GD_Item_FiscalPeriod,BS$1101,GD_Item_Name,$B1108,GD_Update_Date,BS$1099)=0,"NR",SUMIFS(GD_Guidance_Low,GD_Item_Name,$B1108,GD_Item_FiscalPeriod,BS$1101,GD_Update_Date,BS$1099)))</f>
        <v/>
      </c>
      <c r="BT1108" s="563">
        <f>IF(ISBLANK(BT$1101),"N/A",IF(COUNTIFS(GD_Item_FiscalPeriod,BT$1101,GD_Item_Name,$B1108,GD_Update_Date,BT$1099)=0,"NR",SUMIFS(GD_Guidance_Low,GD_Item_Name,$B1108,GD_Item_FiscalPeriod,BT$1101,GD_Update_Date,BT$1099)))</f>
        <v/>
      </c>
      <c r="BU1108" s="563">
        <f>IF(ISBLANK(BU$1101),"N/A",IF(COUNTIFS(GD_Item_FiscalPeriod,BU$1101,GD_Item_Name,$B1108,GD_Update_Date,BU$1099)=0,"NR",SUMIFS(GD_Guidance_Low,GD_Item_Name,$B1108,GD_Item_FiscalPeriod,BU$1101,GD_Update_Date,BU$1099)))</f>
        <v/>
      </c>
      <c r="BV1108" s="731">
        <f>IF(ISBLANK(BV$1101),"N/A",IF(COUNTIFS(GD_Item_FiscalPeriod,BV$1101,GD_Item_Name,$B1108,GD_Update_Date,BV$1099)=0,"NR",SUMIFS(GD_Guidance_Low,GD_Item_Name,$B1108,GD_Item_FiscalPeriod,BV$1101,GD_Update_Date,BV$1099)))</f>
        <v/>
      </c>
      <c r="BW1108" s="563">
        <f>IF(ISBLANK(BW$1101),"N/A",IF(COUNTIFS(GD_Item_FiscalPeriod,BW$1101,GD_Item_Name,$B1108,GD_Update_Date,BW$1099)=0,"NR",SUMIFS(GD_Guidance_Low,GD_Item_Name,$B1108,GD_Item_FiscalPeriod,BW$1101,GD_Update_Date,BW$1099)))</f>
        <v/>
      </c>
      <c r="BX1108" s="563">
        <f>IF(ISBLANK(BX$1101),"N/A",IF(COUNTIFS(GD_Item_FiscalPeriod,BX$1101,GD_Item_Name,$B1108,GD_Update_Date,BX$1099)=0,"NR",SUMIFS(GD_Guidance_Low,GD_Item_Name,$B1108,GD_Item_FiscalPeriod,BX$1101,GD_Update_Date,BX$1099)))</f>
        <v/>
      </c>
      <c r="BY1108" s="563">
        <f>IF(ISBLANK(BY$1101),"N/A",IF(COUNTIFS(GD_Item_FiscalPeriod,BY$1101,GD_Item_Name,$B1108,GD_Update_Date,BY$1099)=0,"NR",SUMIFS(GD_Guidance_Low,GD_Item_Name,$B1108,GD_Item_FiscalPeriod,BY$1101,GD_Update_Date,BY$1099)))</f>
        <v/>
      </c>
      <c r="BZ1108" s="563">
        <f>IF(ISBLANK(BZ$1101),"N/A",IF(COUNTIFS(GD_Item_FiscalPeriod,BZ$1101,GD_Item_Name,$B1108,GD_Update_Date,BZ$1099)=0,"NR",SUMIFS(GD_Guidance_Low,GD_Item_Name,$B1108,GD_Item_FiscalPeriod,BZ$1101,GD_Update_Date,BZ$1099)))</f>
        <v/>
      </c>
      <c r="CA1108" s="563">
        <f>IF(ISBLANK(CA$1101),"N/A",IF(COUNTIFS(GD_Item_FiscalPeriod,CA$1101,GD_Item_Name,$B1108,GD_Update_Date,CA$1099)=0,"NR",SUMIFS(GD_Guidance_Low,GD_Item_Name,$B1108,GD_Item_FiscalPeriod,CA$1101,GD_Update_Date,CA$1099)))</f>
        <v/>
      </c>
      <c r="CB1108" s="563">
        <f>IF(ISBLANK(CB$1101),"N/A",IF(COUNTIFS(GD_Item_FiscalPeriod,CB$1101,GD_Item_Name,$B1108,GD_Update_Date,CB$1099)=0,"NR",SUMIFS(GD_Guidance_Low,GD_Item_Name,$B1108,GD_Item_FiscalPeriod,CB$1101,GD_Update_Date,CB$1099)))</f>
        <v/>
      </c>
      <c r="CC1108" s="563">
        <f>IF(ISBLANK(CC$1101),"N/A",IF(COUNTIFS(GD_Item_FiscalPeriod,CC$1101,GD_Item_Name,$B1108,GD_Update_Date,CC$1099)=0,"NR",SUMIFS(GD_Guidance_Low,GD_Item_Name,$B1108,GD_Item_FiscalPeriod,CC$1101,GD_Update_Date,CC$1099)))</f>
        <v/>
      </c>
      <c r="CD1108" s="563">
        <f>IF(ISBLANK(CD$1101),"N/A",IF(COUNTIFS(GD_Item_FiscalPeriod,CD$1101,GD_Item_Name,$B1108,GD_Update_Date,CD$1099)=0,"NR",SUMIFS(GD_Guidance_Low,GD_Item_Name,$B1108,GD_Item_FiscalPeriod,CD$1101,GD_Update_Date,CD$1099)))</f>
        <v/>
      </c>
      <c r="CE1108" s="563">
        <f>IF(ISBLANK(CE$1101),"N/A",IF(COUNTIFS(GD_Item_FiscalPeriod,CE$1101,GD_Item_Name,$B1108,GD_Update_Date,CE$1099)=0,"NR",SUMIFS(GD_Guidance_Low,GD_Item_Name,$B1108,GD_Item_FiscalPeriod,CE$1101,GD_Update_Date,CE$1099)))</f>
        <v/>
      </c>
      <c r="CF1108" s="794">
        <f>IF(ISBLANK(CF$1101),"N/A",IF(COUNTIFS(GD_Item_FiscalPeriod,CF$1101,GD_Item_Name,$B1108,GD_Update_Date,CF$1099)=0,"NR",SUMIFS(GD_Guidance_Low,GD_Item_Name,$B1108,GD_Item_FiscalPeriod,CF$1101,GD_Update_Date,CF$1099)))</f>
        <v/>
      </c>
      <c r="CG1108" s="155" t="n"/>
    </row>
    <row r="1109">
      <c r="A1109" s="793" t="inlineStr">
        <is>
          <t>High - Total Non-GAAP Operating Expenses, mm</t>
        </is>
      </c>
      <c r="B1109" s="1053" t="inlineStr">
        <is>
          <t>MO_OS_OPEX</t>
        </is>
      </c>
      <c r="C1109" s="1006" t="n"/>
      <c r="D1109" s="1006" t="n"/>
      <c r="E1109" s="563" t="n"/>
      <c r="F1109" s="563" t="n"/>
      <c r="G1109" s="563" t="n"/>
      <c r="H1109" s="563" t="n"/>
      <c r="I1109" s="563" t="n"/>
      <c r="J1109" s="563" t="n"/>
      <c r="K1109" s="563" t="n"/>
      <c r="L1109" s="563" t="n"/>
      <c r="M1109" s="563" t="n"/>
      <c r="N1109" s="563" t="n"/>
      <c r="O1109" s="563" t="n"/>
      <c r="P1109" s="563" t="n"/>
      <c r="Q1109" s="563" t="n"/>
      <c r="R1109" s="563" t="n"/>
      <c r="S1109" s="563" t="n"/>
      <c r="T1109" s="563" t="n"/>
      <c r="U1109" s="563" t="n"/>
      <c r="V1109" s="563" t="n"/>
      <c r="W1109" s="563" t="n"/>
      <c r="X1109" s="563" t="n"/>
      <c r="Y1109" s="563" t="n"/>
      <c r="Z1109" s="563" t="n"/>
      <c r="AA1109" s="563" t="n"/>
      <c r="AB1109" s="563" t="n"/>
      <c r="AC1109" s="563" t="n"/>
      <c r="AD1109" s="563" t="n"/>
      <c r="AE1109" s="563" t="n"/>
      <c r="AF1109" s="563" t="n"/>
      <c r="AG1109" s="563" t="n"/>
      <c r="AH1109" s="563">
        <f>IF(ISBLANK(AH$1101),"N/A",IF(COUNTIFS(GD_Item_FiscalPeriod,AH$1101,GD_Item_Name,$B1109,GD_Update_Date,AH$1099)=0,"NR",SUMIFS(GD_Guidance_High,GD_Item_Name,$B1109,GD_Item_FiscalPeriod,AH$1101,GD_Update_Date,AH$1099)))</f>
        <v/>
      </c>
      <c r="AI1109" s="563">
        <f>IF(ISBLANK(AI$1101),"N/A",IF(COUNTIFS(GD_Item_FiscalPeriod,AI$1101,GD_Item_Name,$B1109,GD_Update_Date,AI$1099)=0,"NR",SUMIFS(GD_Guidance_High,GD_Item_Name,$B1109,GD_Item_FiscalPeriod,AI$1101,GD_Update_Date,AI$1099)))</f>
        <v/>
      </c>
      <c r="AJ1109" s="563">
        <f>IF(ISBLANK(AJ$1101),"N/A",IF(COUNTIFS(GD_Item_FiscalPeriod,AJ$1101,GD_Item_Name,$B1109,GD_Update_Date,AJ$1099)=0,"NR",SUMIFS(GD_Guidance_High,GD_Item_Name,$B1109,GD_Item_FiscalPeriod,AJ$1101,GD_Update_Date,AJ$1099)))</f>
        <v/>
      </c>
      <c r="AK1109" s="563">
        <f>IF(ISBLANK(AK$1101),"N/A",IF(COUNTIFS(GD_Item_FiscalPeriod,AK$1101,GD_Item_Name,$B1109,GD_Update_Date,AK$1099)=0,"NR",SUMIFS(GD_Guidance_High,GD_Item_Name,$B1109,GD_Item_FiscalPeriod,AK$1101,GD_Update_Date,AK$1099)))</f>
        <v/>
      </c>
      <c r="AL1109" s="563">
        <f>IF(ISBLANK(AL$1101),"N/A",IF(COUNTIFS(GD_Item_FiscalPeriod,AL$1101,GD_Item_Name,$B1109,GD_Update_Date,AL$1099)=0,"NR",SUMIFS(GD_Guidance_High,GD_Item_Name,$B1109,GD_Item_FiscalPeriod,AL$1101,GD_Update_Date,AL$1099)))</f>
        <v/>
      </c>
      <c r="AM1109" s="563">
        <f>IF(ISBLANK(AM$1101),"N/A",IF(COUNTIFS(GD_Item_FiscalPeriod,AM$1101,GD_Item_Name,$B1109,GD_Update_Date,AM$1099)=0,"NR",SUMIFS(GD_Guidance_High,GD_Item_Name,$B1109,GD_Item_FiscalPeriod,AM$1101,GD_Update_Date,AM$1099)))</f>
        <v/>
      </c>
      <c r="AN1109" s="563">
        <f>IF(ISBLANK(AN$1101),"N/A",IF(COUNTIFS(GD_Item_FiscalPeriod,AN$1101,GD_Item_Name,$B1109,GD_Update_Date,AN$1099)=0,"NR",SUMIFS(GD_Guidance_High,GD_Item_Name,$B1109,GD_Item_FiscalPeriod,AN$1101,GD_Update_Date,AN$1099)))</f>
        <v/>
      </c>
      <c r="AO1109" s="563">
        <f>IF(ISBLANK(AO$1101),"N/A",IF(COUNTIFS(GD_Item_FiscalPeriod,AO$1101,GD_Item_Name,$B1109,GD_Update_Date,AO$1099)=0,"NR",SUMIFS(GD_Guidance_High,GD_Item_Name,$B1109,GD_Item_FiscalPeriod,AO$1101,GD_Update_Date,AO$1099)))</f>
        <v/>
      </c>
      <c r="AP1109" s="563">
        <f>IF(ISBLANK(AP$1101),"N/A",IF(COUNTIFS(GD_Item_FiscalPeriod,AP$1101,GD_Item_Name,$B1109,GD_Update_Date,AP$1099)=0,"NR",SUMIFS(GD_Guidance_High,GD_Item_Name,$B1109,GD_Item_FiscalPeriod,AP$1101,GD_Update_Date,AP$1099)))</f>
        <v/>
      </c>
      <c r="AQ1109" s="563">
        <f>IF(ISBLANK(AQ$1101),"N/A",IF(COUNTIFS(GD_Item_FiscalPeriod,AQ$1101,GD_Item_Name,$B1109,GD_Update_Date,AQ$1099)=0,"NR",SUMIFS(GD_Guidance_High,GD_Item_Name,$B1109,GD_Item_FiscalPeriod,AQ$1101,GD_Update_Date,AQ$1099)))</f>
        <v/>
      </c>
      <c r="AR1109" s="563">
        <f>IF(ISBLANK(AR$1101),"N/A",IF(COUNTIFS(GD_Item_FiscalPeriod,AR$1101,GD_Item_Name,$B1109,GD_Update_Date,AR$1099)=0,"NR",SUMIFS(GD_Guidance_High,GD_Item_Name,$B1109,GD_Item_FiscalPeriod,AR$1101,GD_Update_Date,AR$1099)))</f>
        <v/>
      </c>
      <c r="AS1109" s="563">
        <f>IF(ISBLANK(AS$1101),"N/A",IF(COUNTIFS(GD_Item_FiscalPeriod,AS$1101,GD_Item_Name,$B1109,GD_Update_Date,AS$1099)=0,"NR",SUMIFS(GD_Guidance_High,GD_Item_Name,$B1109,GD_Item_FiscalPeriod,AS$1101,GD_Update_Date,AS$1099)))</f>
        <v/>
      </c>
      <c r="AT1109" s="563">
        <f>IF(ISBLANK(AT$1101),"N/A",IF(COUNTIFS(GD_Item_FiscalPeriod,AT$1101,GD_Item_Name,$B1109,GD_Update_Date,AT$1099)=0,"NR",SUMIFS(GD_Guidance_High,GD_Item_Name,$B1109,GD_Item_FiscalPeriod,AT$1101,GD_Update_Date,AT$1099)))</f>
        <v/>
      </c>
      <c r="AU1109" s="563">
        <f>IF(ISBLANK(AU$1101),"N/A",IF(COUNTIFS(GD_Item_FiscalPeriod,AU$1101,GD_Item_Name,$B1109,GD_Update_Date,AU$1099)=0,"NR",SUMIFS(GD_Guidance_High,GD_Item_Name,$B1109,GD_Item_FiscalPeriod,AU$1101,GD_Update_Date,AU$1099)))</f>
        <v/>
      </c>
      <c r="AV1109" s="563">
        <f>IF(ISBLANK(AV$1101),"N/A",IF(COUNTIFS(GD_Item_FiscalPeriod,AV$1101,GD_Item_Name,$B1109,GD_Update_Date,AV$1099)=0,"NR",SUMIFS(GD_Guidance_High,GD_Item_Name,$B1109,GD_Item_FiscalPeriod,AV$1101,GD_Update_Date,AV$1099)))</f>
        <v/>
      </c>
      <c r="AW1109" s="563">
        <f>IF(ISBLANK(AW$1101),"N/A",IF(COUNTIFS(GD_Item_FiscalPeriod,AW$1101,GD_Item_Name,$B1109,GD_Update_Date,AW$1099)=0,"NR",SUMIFS(GD_Guidance_High,GD_Item_Name,$B1109,GD_Item_FiscalPeriod,AW$1101,GD_Update_Date,AW$1099)))</f>
        <v/>
      </c>
      <c r="AX1109" s="563">
        <f>IF(ISBLANK(AX$1101),"N/A",IF(COUNTIFS(GD_Item_FiscalPeriod,AX$1101,GD_Item_Name,$B1109,GD_Update_Date,AX$1099)=0,"NR",SUMIFS(GD_Guidance_High,GD_Item_Name,$B1109,GD_Item_FiscalPeriod,AX$1101,GD_Update_Date,AX$1099)))</f>
        <v/>
      </c>
      <c r="AY1109" s="563">
        <f>IF(ISBLANK(AY$1101),"N/A",IF(COUNTIFS(GD_Item_FiscalPeriod,AY$1101,GD_Item_Name,$B1109,GD_Update_Date,AY$1099)=0,"NR",SUMIFS(GD_Guidance_High,GD_Item_Name,$B1109,GD_Item_FiscalPeriod,AY$1101,GD_Update_Date,AY$1099)))</f>
        <v/>
      </c>
      <c r="AZ1109" s="563">
        <f>IF(ISBLANK(AZ$1101),"N/A",IF(COUNTIFS(GD_Item_FiscalPeriod,AZ$1101,GD_Item_Name,$B1109,GD_Update_Date,AZ$1099)=0,"NR",SUMIFS(GD_Guidance_High,GD_Item_Name,$B1109,GD_Item_FiscalPeriod,AZ$1101,GD_Update_Date,AZ$1099)))</f>
        <v/>
      </c>
      <c r="BA1109" s="563">
        <f>IF(ISBLANK(BA$1101),"N/A",IF(COUNTIFS(GD_Item_FiscalPeriod,BA$1101,GD_Item_Name,$B1109,GD_Update_Date,BA$1099)=0,"NR",SUMIFS(GD_Guidance_High,GD_Item_Name,$B1109,GD_Item_FiscalPeriod,BA$1101,GD_Update_Date,BA$1099)))</f>
        <v/>
      </c>
      <c r="BB1109" s="563">
        <f>IF(ISBLANK(BB$1101),"N/A",IF(COUNTIFS(GD_Item_FiscalPeriod,BB$1101,GD_Item_Name,$B1109,GD_Update_Date,BB$1099)=0,"NR",SUMIFS(GD_Guidance_High,GD_Item_Name,$B1109,GD_Item_FiscalPeriod,BB$1101,GD_Update_Date,BB$1099)))</f>
        <v/>
      </c>
      <c r="BC1109" s="563">
        <f>IF(ISBLANK(BC$1101),"N/A",IF(COUNTIFS(GD_Item_FiscalPeriod,BC$1101,GD_Item_Name,$B1109,GD_Update_Date,BC$1099)=0,"NR",SUMIFS(GD_Guidance_High,GD_Item_Name,$B1109,GD_Item_FiscalPeriod,BC$1101,GD_Update_Date,BC$1099)))</f>
        <v/>
      </c>
      <c r="BD1109" s="563">
        <f>IF(ISBLANK(BD$1101),"N/A",IF(COUNTIFS(GD_Item_FiscalPeriod,BD$1101,GD_Item_Name,$B1109,GD_Update_Date,BD$1099)=0,"NR",SUMIFS(GD_Guidance_High,GD_Item_Name,$B1109,GD_Item_FiscalPeriod,BD$1101,GD_Update_Date,BD$1099)))</f>
        <v/>
      </c>
      <c r="BE1109" s="563">
        <f>IF(ISBLANK(BE$1101),"N/A",IF(COUNTIFS(GD_Item_FiscalPeriod,BE$1101,GD_Item_Name,$B1109,GD_Update_Date,BE$1099)=0,"NR",SUMIFS(GD_Guidance_High,GD_Item_Name,$B1109,GD_Item_FiscalPeriod,BE$1101,GD_Update_Date,BE$1099)))</f>
        <v/>
      </c>
      <c r="BF1109" s="563">
        <f>IF(ISBLANK(BF$1101),"N/A",IF(COUNTIFS(GD_Item_FiscalPeriod,BF$1101,GD_Item_Name,$B1109,GD_Update_Date,BF$1099)=0,"NR",SUMIFS(GD_Guidance_High,GD_Item_Name,$B1109,GD_Item_FiscalPeriod,BF$1101,GD_Update_Date,BF$1099)))</f>
        <v/>
      </c>
      <c r="BG1109" s="563">
        <f>IF(ISBLANK(BG$1101),"N/A",IF(COUNTIFS(GD_Item_FiscalPeriod,BG$1101,GD_Item_Name,$B1109,GD_Update_Date,BG$1099)=0,"NR",SUMIFS(GD_Guidance_High,GD_Item_Name,$B1109,GD_Item_FiscalPeriod,BG$1101,GD_Update_Date,BG$1099)))</f>
        <v/>
      </c>
      <c r="BH1109" s="563">
        <f>IF(ISBLANK(BH$1101),"N/A",IF(COUNTIFS(GD_Item_FiscalPeriod,BH$1101,GD_Item_Name,$B1109,GD_Update_Date,BH$1099)=0,"NR",SUMIFS(GD_Guidance_High,GD_Item_Name,$B1109,GD_Item_FiscalPeriod,BH$1101,GD_Update_Date,BH$1099)))</f>
        <v/>
      </c>
      <c r="BI1109" s="563">
        <f>IF(ISBLANK(BI$1101),"N/A",IF(COUNTIFS(GD_Item_FiscalPeriod,BI$1101,GD_Item_Name,$B1109,GD_Update_Date,BI$1099)=0,"NR",SUMIFS(GD_Guidance_High,GD_Item_Name,$B1109,GD_Item_FiscalPeriod,BI$1101,GD_Update_Date,BI$1099)))</f>
        <v/>
      </c>
      <c r="BJ1109" s="563">
        <f>IF(ISBLANK(BJ$1101),"N/A",IF(COUNTIFS(GD_Item_FiscalPeriod,BJ$1101,GD_Item_Name,$B1109,GD_Update_Date,BJ$1099)=0,"NR",SUMIFS(GD_Guidance_High,GD_Item_Name,$B1109,GD_Item_FiscalPeriod,BJ$1101,GD_Update_Date,BJ$1099)))</f>
        <v/>
      </c>
      <c r="BK1109" s="563">
        <f>IF(ISBLANK(BK$1101),"N/A",IF(COUNTIFS(GD_Item_FiscalPeriod,BK$1101,GD_Item_Name,$B1109,GD_Update_Date,BK$1099)=0,"NR",SUMIFS(GD_Guidance_High,GD_Item_Name,$B1109,GD_Item_FiscalPeriod,BK$1101,GD_Update_Date,BK$1099)))</f>
        <v/>
      </c>
      <c r="BL1109" s="563">
        <f>IF(ISBLANK(BL$1101),"N/A",IF(COUNTIFS(GD_Item_FiscalPeriod,BL$1101,GD_Item_Name,$B1109,GD_Update_Date,BL$1099)=0,"NR",SUMIFS(GD_Guidance_High,GD_Item_Name,$B1109,GD_Item_FiscalPeriod,BL$1101,GD_Update_Date,BL$1099)))</f>
        <v/>
      </c>
      <c r="BM1109" s="563">
        <f>IF(ISBLANK(BM$1101),"N/A",IF(COUNTIFS(GD_Item_FiscalPeriod,BM$1101,GD_Item_Name,$B1109,GD_Update_Date,BM$1099)=0,"NR",SUMIFS(GD_Guidance_High,GD_Item_Name,$B1109,GD_Item_FiscalPeriod,BM$1101,GD_Update_Date,BM$1099)))</f>
        <v/>
      </c>
      <c r="BN1109" s="563">
        <f>IF(ISBLANK(BN$1101),"N/A",IF(COUNTIFS(GD_Item_FiscalPeriod,BN$1101,GD_Item_Name,$B1109,GD_Update_Date,BN$1099)=0,"NR",SUMIFS(GD_Guidance_High,GD_Item_Name,$B1109,GD_Item_FiscalPeriod,BN$1101,GD_Update_Date,BN$1099)))</f>
        <v/>
      </c>
      <c r="BO1109" s="563">
        <f>IF(ISBLANK(BO$1101),"N/A",IF(COUNTIFS(GD_Item_FiscalPeriod,BO$1101,GD_Item_Name,$B1109,GD_Update_Date,BO$1099)=0,"NR",SUMIFS(GD_Guidance_High,GD_Item_Name,$B1109,GD_Item_FiscalPeriod,BO$1101,GD_Update_Date,BO$1099)))</f>
        <v/>
      </c>
      <c r="BP1109" s="563">
        <f>IF(ISBLANK(BP$1101),"N/A",IF(COUNTIFS(GD_Item_FiscalPeriod,BP$1101,GD_Item_Name,$B1109,GD_Update_Date,BP$1099)=0,"NR",SUMIFS(GD_Guidance_High,GD_Item_Name,$B1109,GD_Item_FiscalPeriod,BP$1101,GD_Update_Date,BP$1099)))</f>
        <v/>
      </c>
      <c r="BQ1109" s="563">
        <f>IF(ISBLANK(BQ$1101),"N/A",IF(COUNTIFS(GD_Item_FiscalPeriod,BQ$1101,GD_Item_Name,$B1109,GD_Update_Date,BQ$1099)=0,"NR",SUMIFS(GD_Guidance_High,GD_Item_Name,$B1109,GD_Item_FiscalPeriod,BQ$1101,GD_Update_Date,BQ$1099)))</f>
        <v/>
      </c>
      <c r="BR1109" s="563">
        <f>IF(ISBLANK(BR$1101),"N/A",IF(COUNTIFS(GD_Item_FiscalPeriod,BR$1101,GD_Item_Name,$B1109,GD_Update_Date,BR$1099)=0,"NR",SUMIFS(GD_Guidance_High,GD_Item_Name,$B1109,GD_Item_FiscalPeriod,BR$1101,GD_Update_Date,BR$1099)))</f>
        <v/>
      </c>
      <c r="BS1109" s="563">
        <f>IF(ISBLANK(BS$1101),"N/A",IF(COUNTIFS(GD_Item_FiscalPeriod,BS$1101,GD_Item_Name,$B1109,GD_Update_Date,BS$1099)=0,"NR",SUMIFS(GD_Guidance_High,GD_Item_Name,$B1109,GD_Item_FiscalPeriod,BS$1101,GD_Update_Date,BS$1099)))</f>
        <v/>
      </c>
      <c r="BT1109" s="563">
        <f>IF(ISBLANK(BT$1101),"N/A",IF(COUNTIFS(GD_Item_FiscalPeriod,BT$1101,GD_Item_Name,$B1109,GD_Update_Date,BT$1099)=0,"NR",SUMIFS(GD_Guidance_High,GD_Item_Name,$B1109,GD_Item_FiscalPeriod,BT$1101,GD_Update_Date,BT$1099)))</f>
        <v/>
      </c>
      <c r="BU1109" s="563">
        <f>IF(ISBLANK(BU$1101),"N/A",IF(COUNTIFS(GD_Item_FiscalPeriod,BU$1101,GD_Item_Name,$B1109,GD_Update_Date,BU$1099)=0,"NR",SUMIFS(GD_Guidance_High,GD_Item_Name,$B1109,GD_Item_FiscalPeriod,BU$1101,GD_Update_Date,BU$1099)))</f>
        <v/>
      </c>
      <c r="BV1109" s="731">
        <f>IF(ISBLANK(BV$1101),"N/A",IF(COUNTIFS(GD_Item_FiscalPeriod,BV$1101,GD_Item_Name,$B1109,GD_Update_Date,BV$1099)=0,"NR",SUMIFS(GD_Guidance_High,GD_Item_Name,$B1109,GD_Item_FiscalPeriod,BV$1101,GD_Update_Date,BV$1099)))</f>
        <v/>
      </c>
      <c r="BW1109" s="563">
        <f>IF(ISBLANK(BW$1101),"N/A",IF(COUNTIFS(GD_Item_FiscalPeriod,BW$1101,GD_Item_Name,$B1109,GD_Update_Date,BW$1099)=0,"NR",SUMIFS(GD_Guidance_High,GD_Item_Name,$B1109,GD_Item_FiscalPeriod,BW$1101,GD_Update_Date,BW$1099)))</f>
        <v/>
      </c>
      <c r="BX1109" s="563">
        <f>IF(ISBLANK(BX$1101),"N/A",IF(COUNTIFS(GD_Item_FiscalPeriod,BX$1101,GD_Item_Name,$B1109,GD_Update_Date,BX$1099)=0,"NR",SUMIFS(GD_Guidance_High,GD_Item_Name,$B1109,GD_Item_FiscalPeriod,BX$1101,GD_Update_Date,BX$1099)))</f>
        <v/>
      </c>
      <c r="BY1109" s="563">
        <f>IF(ISBLANK(BY$1101),"N/A",IF(COUNTIFS(GD_Item_FiscalPeriod,BY$1101,GD_Item_Name,$B1109,GD_Update_Date,BY$1099)=0,"NR",SUMIFS(GD_Guidance_High,GD_Item_Name,$B1109,GD_Item_FiscalPeriod,BY$1101,GD_Update_Date,BY$1099)))</f>
        <v/>
      </c>
      <c r="BZ1109" s="563">
        <f>IF(ISBLANK(BZ$1101),"N/A",IF(COUNTIFS(GD_Item_FiscalPeriod,BZ$1101,GD_Item_Name,$B1109,GD_Update_Date,BZ$1099)=0,"NR",SUMIFS(GD_Guidance_High,GD_Item_Name,$B1109,GD_Item_FiscalPeriod,BZ$1101,GD_Update_Date,BZ$1099)))</f>
        <v/>
      </c>
      <c r="CA1109" s="563">
        <f>IF(ISBLANK(CA$1101),"N/A",IF(COUNTIFS(GD_Item_FiscalPeriod,CA$1101,GD_Item_Name,$B1109,GD_Update_Date,CA$1099)=0,"NR",SUMIFS(GD_Guidance_High,GD_Item_Name,$B1109,GD_Item_FiscalPeriod,CA$1101,GD_Update_Date,CA$1099)))</f>
        <v/>
      </c>
      <c r="CB1109" s="563">
        <f>IF(ISBLANK(CB$1101),"N/A",IF(COUNTIFS(GD_Item_FiscalPeriod,CB$1101,GD_Item_Name,$B1109,GD_Update_Date,CB$1099)=0,"NR",SUMIFS(GD_Guidance_High,GD_Item_Name,$B1109,GD_Item_FiscalPeriod,CB$1101,GD_Update_Date,CB$1099)))</f>
        <v/>
      </c>
      <c r="CC1109" s="563">
        <f>IF(ISBLANK(CC$1101),"N/A",IF(COUNTIFS(GD_Item_FiscalPeriod,CC$1101,GD_Item_Name,$B1109,GD_Update_Date,CC$1099)=0,"NR",SUMIFS(GD_Guidance_High,GD_Item_Name,$B1109,GD_Item_FiscalPeriod,CC$1101,GD_Update_Date,CC$1099)))</f>
        <v/>
      </c>
      <c r="CD1109" s="563">
        <f>IF(ISBLANK(CD$1101),"N/A",IF(COUNTIFS(GD_Item_FiscalPeriod,CD$1101,GD_Item_Name,$B1109,GD_Update_Date,CD$1099)=0,"NR",SUMIFS(GD_Guidance_High,GD_Item_Name,$B1109,GD_Item_FiscalPeriod,CD$1101,GD_Update_Date,CD$1099)))</f>
        <v/>
      </c>
      <c r="CE1109" s="563">
        <f>IF(ISBLANK(CE$1101),"N/A",IF(COUNTIFS(GD_Item_FiscalPeriod,CE$1101,GD_Item_Name,$B1109,GD_Update_Date,CE$1099)=0,"NR",SUMIFS(GD_Guidance_High,GD_Item_Name,$B1109,GD_Item_FiscalPeriod,CE$1101,GD_Update_Date,CE$1099)))</f>
        <v/>
      </c>
      <c r="CF1109" s="794">
        <f>IF(ISBLANK(CF$1101),"N/A",IF(COUNTIFS(GD_Item_FiscalPeriod,CF$1101,GD_Item_Name,$B1109,GD_Update_Date,CF$1099)=0,"NR",SUMIFS(GD_Guidance_High,GD_Item_Name,$B1109,GD_Item_FiscalPeriod,CF$1101,GD_Update_Date,CF$1099)))</f>
        <v/>
      </c>
      <c r="CG1109" s="155" t="n"/>
    </row>
    <row r="1110">
      <c r="A1110" s="793" t="inlineStr">
        <is>
          <t>Mid - Total Non-GAAP Operating Expenses, mm</t>
        </is>
      </c>
      <c r="B1110" s="1053" t="inlineStr">
        <is>
          <t>MO_OS_OPEX</t>
        </is>
      </c>
      <c r="C1110" s="1006" t="n"/>
      <c r="D1110" s="1006" t="n"/>
      <c r="E1110" s="563" t="n"/>
      <c r="F1110" s="563" t="n"/>
      <c r="G1110" s="563" t="n"/>
      <c r="H1110" s="563" t="n"/>
      <c r="I1110" s="563" t="n"/>
      <c r="J1110" s="563" t="n"/>
      <c r="K1110" s="563" t="n"/>
      <c r="L1110" s="563" t="n"/>
      <c r="M1110" s="563" t="n"/>
      <c r="N1110" s="563" t="n"/>
      <c r="O1110" s="563" t="n"/>
      <c r="P1110" s="563" t="n"/>
      <c r="Q1110" s="563" t="n"/>
      <c r="R1110" s="563" t="n"/>
      <c r="S1110" s="563" t="n"/>
      <c r="T1110" s="563" t="n"/>
      <c r="U1110" s="563" t="n"/>
      <c r="V1110" s="563" t="n"/>
      <c r="W1110" s="563" t="n"/>
      <c r="X1110" s="563" t="n"/>
      <c r="Y1110" s="563" t="n"/>
      <c r="Z1110" s="563" t="n"/>
      <c r="AA1110" s="563" t="n"/>
      <c r="AB1110" s="563" t="n"/>
      <c r="AC1110" s="563" t="n"/>
      <c r="AD1110" s="563" t="n"/>
      <c r="AE1110" s="563" t="n"/>
      <c r="AF1110" s="563" t="n"/>
      <c r="AG1110" s="563" t="n"/>
      <c r="AH1110" s="563">
        <f>IF(ISBLANK(AH$1101),"N/A",IF(COUNTIFS(GD_Item_FiscalPeriod,AH$1101,GD_Item_Name,$B1110,GD_Update_Date,AH$1099)=0,"NR",SUMIFS(GD_Guidance_Mid,GD_Item_Name,$B1110,GD_Item_FiscalPeriod,AH$1101,GD_Update_Date,AH$1099)))</f>
        <v/>
      </c>
      <c r="AI1110" s="563">
        <f>IF(ISBLANK(AI$1101),"N/A",IF(COUNTIFS(GD_Item_FiscalPeriod,AI$1101,GD_Item_Name,$B1110,GD_Update_Date,AI$1099)=0,"NR",SUMIFS(GD_Guidance_Mid,GD_Item_Name,$B1110,GD_Item_FiscalPeriod,AI$1101,GD_Update_Date,AI$1099)))</f>
        <v/>
      </c>
      <c r="AJ1110" s="563">
        <f>IF(ISBLANK(AJ$1101),"N/A",IF(COUNTIFS(GD_Item_FiscalPeriod,AJ$1101,GD_Item_Name,$B1110,GD_Update_Date,AJ$1099)=0,"NR",SUMIFS(GD_Guidance_Mid,GD_Item_Name,$B1110,GD_Item_FiscalPeriod,AJ$1101,GD_Update_Date,AJ$1099)))</f>
        <v/>
      </c>
      <c r="AK1110" s="563">
        <f>IF(ISBLANK(AK$1101),"N/A",IF(COUNTIFS(GD_Item_FiscalPeriod,AK$1101,GD_Item_Name,$B1110,GD_Update_Date,AK$1099)=0,"NR",SUMIFS(GD_Guidance_Mid,GD_Item_Name,$B1110,GD_Item_FiscalPeriod,AK$1101,GD_Update_Date,AK$1099)))</f>
        <v/>
      </c>
      <c r="AL1110" s="563">
        <f>IF(ISBLANK(AL$1101),"N/A",IF(COUNTIFS(GD_Item_FiscalPeriod,AL$1101,GD_Item_Name,$B1110,GD_Update_Date,AL$1099)=0,"NR",SUMIFS(GD_Guidance_Mid,GD_Item_Name,$B1110,GD_Item_FiscalPeriod,AL$1101,GD_Update_Date,AL$1099)))</f>
        <v/>
      </c>
      <c r="AM1110" s="563">
        <f>IF(ISBLANK(AM$1101),"N/A",IF(COUNTIFS(GD_Item_FiscalPeriod,AM$1101,GD_Item_Name,$B1110,GD_Update_Date,AM$1099)=0,"NR",SUMIFS(GD_Guidance_Mid,GD_Item_Name,$B1110,GD_Item_FiscalPeriod,AM$1101,GD_Update_Date,AM$1099)))</f>
        <v/>
      </c>
      <c r="AN1110" s="563">
        <f>IF(ISBLANK(AN$1101),"N/A",IF(COUNTIFS(GD_Item_FiscalPeriod,AN$1101,GD_Item_Name,$B1110,GD_Update_Date,AN$1099)=0,"NR",SUMIFS(GD_Guidance_Mid,GD_Item_Name,$B1110,GD_Item_FiscalPeriod,AN$1101,GD_Update_Date,AN$1099)))</f>
        <v/>
      </c>
      <c r="AO1110" s="563">
        <f>IF(ISBLANK(AO$1101),"N/A",IF(COUNTIFS(GD_Item_FiscalPeriod,AO$1101,GD_Item_Name,$B1110,GD_Update_Date,AO$1099)=0,"NR",SUMIFS(GD_Guidance_Mid,GD_Item_Name,$B1110,GD_Item_FiscalPeriod,AO$1101,GD_Update_Date,AO$1099)))</f>
        <v/>
      </c>
      <c r="AP1110" s="563">
        <f>IF(ISBLANK(AP$1101),"N/A",IF(COUNTIFS(GD_Item_FiscalPeriod,AP$1101,GD_Item_Name,$B1110,GD_Update_Date,AP$1099)=0,"NR",SUMIFS(GD_Guidance_Mid,GD_Item_Name,$B1110,GD_Item_FiscalPeriod,AP$1101,GD_Update_Date,AP$1099)))</f>
        <v/>
      </c>
      <c r="AQ1110" s="563">
        <f>IF(ISBLANK(AQ$1101),"N/A",IF(COUNTIFS(GD_Item_FiscalPeriod,AQ$1101,GD_Item_Name,$B1110,GD_Update_Date,AQ$1099)=0,"NR",SUMIFS(GD_Guidance_Mid,GD_Item_Name,$B1110,GD_Item_FiscalPeriod,AQ$1101,GD_Update_Date,AQ$1099)))</f>
        <v/>
      </c>
      <c r="AR1110" s="563">
        <f>IF(ISBLANK(AR$1101),"N/A",IF(COUNTIFS(GD_Item_FiscalPeriod,AR$1101,GD_Item_Name,$B1110,GD_Update_Date,AR$1099)=0,"NR",SUMIFS(GD_Guidance_Mid,GD_Item_Name,$B1110,GD_Item_FiscalPeriod,AR$1101,GD_Update_Date,AR$1099)))</f>
        <v/>
      </c>
      <c r="AS1110" s="563">
        <f>IF(ISBLANK(AS$1101),"N/A",IF(COUNTIFS(GD_Item_FiscalPeriod,AS$1101,GD_Item_Name,$B1110,GD_Update_Date,AS$1099)=0,"NR",SUMIFS(GD_Guidance_Mid,GD_Item_Name,$B1110,GD_Item_FiscalPeriod,AS$1101,GD_Update_Date,AS$1099)))</f>
        <v/>
      </c>
      <c r="AT1110" s="563">
        <f>IF(ISBLANK(AT$1101),"N/A",IF(COUNTIFS(GD_Item_FiscalPeriod,AT$1101,GD_Item_Name,$B1110,GD_Update_Date,AT$1099)=0,"NR",SUMIFS(GD_Guidance_Mid,GD_Item_Name,$B1110,GD_Item_FiscalPeriod,AT$1101,GD_Update_Date,AT$1099)))</f>
        <v/>
      </c>
      <c r="AU1110" s="563">
        <f>IF(ISBLANK(AU$1101),"N/A",IF(COUNTIFS(GD_Item_FiscalPeriod,AU$1101,GD_Item_Name,$B1110,GD_Update_Date,AU$1099)=0,"NR",SUMIFS(GD_Guidance_Mid,GD_Item_Name,$B1110,GD_Item_FiscalPeriod,AU$1101,GD_Update_Date,AU$1099)))</f>
        <v/>
      </c>
      <c r="AV1110" s="563">
        <f>IF(ISBLANK(AV$1101),"N/A",IF(COUNTIFS(GD_Item_FiscalPeriod,AV$1101,GD_Item_Name,$B1110,GD_Update_Date,AV$1099)=0,"NR",SUMIFS(GD_Guidance_Mid,GD_Item_Name,$B1110,GD_Item_FiscalPeriod,AV$1101,GD_Update_Date,AV$1099)))</f>
        <v/>
      </c>
      <c r="AW1110" s="563">
        <f>IF(ISBLANK(AW$1101),"N/A",IF(COUNTIFS(GD_Item_FiscalPeriod,AW$1101,GD_Item_Name,$B1110,GD_Update_Date,AW$1099)=0,"NR",SUMIFS(GD_Guidance_Mid,GD_Item_Name,$B1110,GD_Item_FiscalPeriod,AW$1101,GD_Update_Date,AW$1099)))</f>
        <v/>
      </c>
      <c r="AX1110" s="563">
        <f>IF(ISBLANK(AX$1101),"N/A",IF(COUNTIFS(GD_Item_FiscalPeriod,AX$1101,GD_Item_Name,$B1110,GD_Update_Date,AX$1099)=0,"NR",SUMIFS(GD_Guidance_Mid,GD_Item_Name,$B1110,GD_Item_FiscalPeriod,AX$1101,GD_Update_Date,AX$1099)))</f>
        <v/>
      </c>
      <c r="AY1110" s="563">
        <f>IF(ISBLANK(AY$1101),"N/A",IF(COUNTIFS(GD_Item_FiscalPeriod,AY$1101,GD_Item_Name,$B1110,GD_Update_Date,AY$1099)=0,"NR",SUMIFS(GD_Guidance_Mid,GD_Item_Name,$B1110,GD_Item_FiscalPeriod,AY$1101,GD_Update_Date,AY$1099)))</f>
        <v/>
      </c>
      <c r="AZ1110" s="563">
        <f>IF(ISBLANK(AZ$1101),"N/A",IF(COUNTIFS(GD_Item_FiscalPeriod,AZ$1101,GD_Item_Name,$B1110,GD_Update_Date,AZ$1099)=0,"NR",SUMIFS(GD_Guidance_Mid,GD_Item_Name,$B1110,GD_Item_FiscalPeriod,AZ$1101,GD_Update_Date,AZ$1099)))</f>
        <v/>
      </c>
      <c r="BA1110" s="563">
        <f>IF(ISBLANK(BA$1101),"N/A",IF(COUNTIFS(GD_Item_FiscalPeriod,BA$1101,GD_Item_Name,$B1110,GD_Update_Date,BA$1099)=0,"NR",SUMIFS(GD_Guidance_Mid,GD_Item_Name,$B1110,GD_Item_FiscalPeriod,BA$1101,GD_Update_Date,BA$1099)))</f>
        <v/>
      </c>
      <c r="BB1110" s="563">
        <f>IF(ISBLANK(BB$1101),"N/A",IF(COUNTIFS(GD_Item_FiscalPeriod,BB$1101,GD_Item_Name,$B1110,GD_Update_Date,BB$1099)=0,"NR",SUMIFS(GD_Guidance_Mid,GD_Item_Name,$B1110,GD_Item_FiscalPeriod,BB$1101,GD_Update_Date,BB$1099)))</f>
        <v/>
      </c>
      <c r="BC1110" s="563">
        <f>IF(ISBLANK(BC$1101),"N/A",IF(COUNTIFS(GD_Item_FiscalPeriod,BC$1101,GD_Item_Name,$B1110,GD_Update_Date,BC$1099)=0,"NR",SUMIFS(GD_Guidance_Mid,GD_Item_Name,$B1110,GD_Item_FiscalPeriod,BC$1101,GD_Update_Date,BC$1099)))</f>
        <v/>
      </c>
      <c r="BD1110" s="563">
        <f>IF(ISBLANK(BD$1101),"N/A",IF(COUNTIFS(GD_Item_FiscalPeriod,BD$1101,GD_Item_Name,$B1110,GD_Update_Date,BD$1099)=0,"NR",SUMIFS(GD_Guidance_Mid,GD_Item_Name,$B1110,GD_Item_FiscalPeriod,BD$1101,GD_Update_Date,BD$1099)))</f>
        <v/>
      </c>
      <c r="BE1110" s="563">
        <f>IF(ISBLANK(BE$1101),"N/A",IF(COUNTIFS(GD_Item_FiscalPeriod,BE$1101,GD_Item_Name,$B1110,GD_Update_Date,BE$1099)=0,"NR",SUMIFS(GD_Guidance_Mid,GD_Item_Name,$B1110,GD_Item_FiscalPeriod,BE$1101,GD_Update_Date,BE$1099)))</f>
        <v/>
      </c>
      <c r="BF1110" s="563">
        <f>IF(ISBLANK(BF$1101),"N/A",IF(COUNTIFS(GD_Item_FiscalPeriod,BF$1101,GD_Item_Name,$B1110,GD_Update_Date,BF$1099)=0,"NR",SUMIFS(GD_Guidance_Mid,GD_Item_Name,$B1110,GD_Item_FiscalPeriod,BF$1101,GD_Update_Date,BF$1099)))</f>
        <v/>
      </c>
      <c r="BG1110" s="563">
        <f>IF(ISBLANK(BG$1101),"N/A",IF(COUNTIFS(GD_Item_FiscalPeriod,BG$1101,GD_Item_Name,$B1110,GD_Update_Date,BG$1099)=0,"NR",SUMIFS(GD_Guidance_Mid,GD_Item_Name,$B1110,GD_Item_FiscalPeriod,BG$1101,GD_Update_Date,BG$1099)))</f>
        <v/>
      </c>
      <c r="BH1110" s="563">
        <f>IF(ISBLANK(BH$1101),"N/A",IF(COUNTIFS(GD_Item_FiscalPeriod,BH$1101,GD_Item_Name,$B1110,GD_Update_Date,BH$1099)=0,"NR",SUMIFS(GD_Guidance_Mid,GD_Item_Name,$B1110,GD_Item_FiscalPeriod,BH$1101,GD_Update_Date,BH$1099)))</f>
        <v/>
      </c>
      <c r="BI1110" s="563">
        <f>IF(ISBLANK(BI$1101),"N/A",IF(COUNTIFS(GD_Item_FiscalPeriod,BI$1101,GD_Item_Name,$B1110,GD_Update_Date,BI$1099)=0,"NR",SUMIFS(GD_Guidance_Mid,GD_Item_Name,$B1110,GD_Item_FiscalPeriod,BI$1101,GD_Update_Date,BI$1099)))</f>
        <v/>
      </c>
      <c r="BJ1110" s="563">
        <f>IF(ISBLANK(BJ$1101),"N/A",IF(COUNTIFS(GD_Item_FiscalPeriod,BJ$1101,GD_Item_Name,$B1110,GD_Update_Date,BJ$1099)=0,"NR",SUMIFS(GD_Guidance_Mid,GD_Item_Name,$B1110,GD_Item_FiscalPeriod,BJ$1101,GD_Update_Date,BJ$1099)))</f>
        <v/>
      </c>
      <c r="BK1110" s="563">
        <f>IF(ISBLANK(BK$1101),"N/A",IF(COUNTIFS(GD_Item_FiscalPeriod,BK$1101,GD_Item_Name,$B1110,GD_Update_Date,BK$1099)=0,"NR",SUMIFS(GD_Guidance_Mid,GD_Item_Name,$B1110,GD_Item_FiscalPeriod,BK$1101,GD_Update_Date,BK$1099)))</f>
        <v/>
      </c>
      <c r="BL1110" s="563">
        <f>IF(ISBLANK(BL$1101),"N/A",IF(COUNTIFS(GD_Item_FiscalPeriod,BL$1101,GD_Item_Name,$B1110,GD_Update_Date,BL$1099)=0,"NR",SUMIFS(GD_Guidance_Mid,GD_Item_Name,$B1110,GD_Item_FiscalPeriod,BL$1101,GD_Update_Date,BL$1099)))</f>
        <v/>
      </c>
      <c r="BM1110" s="563">
        <f>IF(ISBLANK(BM$1101),"N/A",IF(COUNTIFS(GD_Item_FiscalPeriod,BM$1101,GD_Item_Name,$B1110,GD_Update_Date,BM$1099)=0,"NR",SUMIFS(GD_Guidance_Mid,GD_Item_Name,$B1110,GD_Item_FiscalPeriod,BM$1101,GD_Update_Date,BM$1099)))</f>
        <v/>
      </c>
      <c r="BN1110" s="563">
        <f>IF(ISBLANK(BN$1101),"N/A",IF(COUNTIFS(GD_Item_FiscalPeriod,BN$1101,GD_Item_Name,$B1110,GD_Update_Date,BN$1099)=0,"NR",SUMIFS(GD_Guidance_Mid,GD_Item_Name,$B1110,GD_Item_FiscalPeriod,BN$1101,GD_Update_Date,BN$1099)))</f>
        <v/>
      </c>
      <c r="BO1110" s="563">
        <f>IF(ISBLANK(BO$1101),"N/A",IF(COUNTIFS(GD_Item_FiscalPeriod,BO$1101,GD_Item_Name,$B1110,GD_Update_Date,BO$1099)=0,"NR",SUMIFS(GD_Guidance_Mid,GD_Item_Name,$B1110,GD_Item_FiscalPeriod,BO$1101,GD_Update_Date,BO$1099)))</f>
        <v/>
      </c>
      <c r="BP1110" s="563">
        <f>IF(ISBLANK(BP$1101),"N/A",IF(COUNTIFS(GD_Item_FiscalPeriod,BP$1101,GD_Item_Name,$B1110,GD_Update_Date,BP$1099)=0,"NR",SUMIFS(GD_Guidance_Mid,GD_Item_Name,$B1110,GD_Item_FiscalPeriod,BP$1101,GD_Update_Date,BP$1099)))</f>
        <v/>
      </c>
      <c r="BQ1110" s="563">
        <f>IF(ISBLANK(BQ$1101),"N/A",IF(COUNTIFS(GD_Item_FiscalPeriod,BQ$1101,GD_Item_Name,$B1110,GD_Update_Date,BQ$1099)=0,"NR",SUMIFS(GD_Guidance_Mid,GD_Item_Name,$B1110,GD_Item_FiscalPeriod,BQ$1101,GD_Update_Date,BQ$1099)))</f>
        <v/>
      </c>
      <c r="BR1110" s="563">
        <f>IF(ISBLANK(BR$1101),"N/A",IF(COUNTIFS(GD_Item_FiscalPeriod,BR$1101,GD_Item_Name,$B1110,GD_Update_Date,BR$1099)=0,"NR",SUMIFS(GD_Guidance_Mid,GD_Item_Name,$B1110,GD_Item_FiscalPeriod,BR$1101,GD_Update_Date,BR$1099)))</f>
        <v/>
      </c>
      <c r="BS1110" s="563">
        <f>IF(ISBLANK(BS$1101),"N/A",IF(COUNTIFS(GD_Item_FiscalPeriod,BS$1101,GD_Item_Name,$B1110,GD_Update_Date,BS$1099)=0,"NR",SUMIFS(GD_Guidance_Mid,GD_Item_Name,$B1110,GD_Item_FiscalPeriod,BS$1101,GD_Update_Date,BS$1099)))</f>
        <v/>
      </c>
      <c r="BT1110" s="563">
        <f>IF(ISBLANK(BT$1101),"N/A",IF(COUNTIFS(GD_Item_FiscalPeriod,BT$1101,GD_Item_Name,$B1110,GD_Update_Date,BT$1099)=0,"NR",SUMIFS(GD_Guidance_Mid,GD_Item_Name,$B1110,GD_Item_FiscalPeriod,BT$1101,GD_Update_Date,BT$1099)))</f>
        <v/>
      </c>
      <c r="BU1110" s="563">
        <f>IF(ISBLANK(BU$1101),"N/A",IF(COUNTIFS(GD_Item_FiscalPeriod,BU$1101,GD_Item_Name,$B1110,GD_Update_Date,BU$1099)=0,"NR",SUMIFS(GD_Guidance_Mid,GD_Item_Name,$B1110,GD_Item_FiscalPeriod,BU$1101,GD_Update_Date,BU$1099)))</f>
        <v/>
      </c>
      <c r="BV1110" s="731">
        <f>IF(ISBLANK(BV$1101),"N/A",IF(COUNTIFS(GD_Item_FiscalPeriod,BV$1101,GD_Item_Name,$B1110,GD_Update_Date,BV$1099)=0,"NR",SUMIFS(GD_Guidance_Mid,GD_Item_Name,$B1110,GD_Item_FiscalPeriod,BV$1101,GD_Update_Date,BV$1099)))</f>
        <v/>
      </c>
      <c r="BW1110" s="563">
        <f>IF(ISBLANK(BW$1101),"N/A",IF(COUNTIFS(GD_Item_FiscalPeriod,BW$1101,GD_Item_Name,$B1110,GD_Update_Date,BW$1099)=0,"NR",SUMIFS(GD_Guidance_Mid,GD_Item_Name,$B1110,GD_Item_FiscalPeriod,BW$1101,GD_Update_Date,BW$1099)))</f>
        <v/>
      </c>
      <c r="BX1110" s="563">
        <f>IF(ISBLANK(BX$1101),"N/A",IF(COUNTIFS(GD_Item_FiscalPeriod,BX$1101,GD_Item_Name,$B1110,GD_Update_Date,BX$1099)=0,"NR",SUMIFS(GD_Guidance_Mid,GD_Item_Name,$B1110,GD_Item_FiscalPeriod,BX$1101,GD_Update_Date,BX$1099)))</f>
        <v/>
      </c>
      <c r="BY1110" s="563">
        <f>IF(ISBLANK(BY$1101),"N/A",IF(COUNTIFS(GD_Item_FiscalPeriod,BY$1101,GD_Item_Name,$B1110,GD_Update_Date,BY$1099)=0,"NR",SUMIFS(GD_Guidance_Mid,GD_Item_Name,$B1110,GD_Item_FiscalPeriod,BY$1101,GD_Update_Date,BY$1099)))</f>
        <v/>
      </c>
      <c r="BZ1110" s="563">
        <f>IF(ISBLANK(BZ$1101),"N/A",IF(COUNTIFS(GD_Item_FiscalPeriod,BZ$1101,GD_Item_Name,$B1110,GD_Update_Date,BZ$1099)=0,"NR",SUMIFS(GD_Guidance_Mid,GD_Item_Name,$B1110,GD_Item_FiscalPeriod,BZ$1101,GD_Update_Date,BZ$1099)))</f>
        <v/>
      </c>
      <c r="CA1110" s="563">
        <f>IF(ISBLANK(CA$1101),"N/A",IF(COUNTIFS(GD_Item_FiscalPeriod,CA$1101,GD_Item_Name,$B1110,GD_Update_Date,CA$1099)=0,"NR",SUMIFS(GD_Guidance_Mid,GD_Item_Name,$B1110,GD_Item_FiscalPeriod,CA$1101,GD_Update_Date,CA$1099)))</f>
        <v/>
      </c>
      <c r="CB1110" s="563">
        <f>IF(ISBLANK(CB$1101),"N/A",IF(COUNTIFS(GD_Item_FiscalPeriod,CB$1101,GD_Item_Name,$B1110,GD_Update_Date,CB$1099)=0,"NR",SUMIFS(GD_Guidance_Mid,GD_Item_Name,$B1110,GD_Item_FiscalPeriod,CB$1101,GD_Update_Date,CB$1099)))</f>
        <v/>
      </c>
      <c r="CC1110" s="563">
        <f>IF(ISBLANK(CC$1101),"N/A",IF(COUNTIFS(GD_Item_FiscalPeriod,CC$1101,GD_Item_Name,$B1110,GD_Update_Date,CC$1099)=0,"NR",SUMIFS(GD_Guidance_Mid,GD_Item_Name,$B1110,GD_Item_FiscalPeriod,CC$1101,GD_Update_Date,CC$1099)))</f>
        <v/>
      </c>
      <c r="CD1110" s="563">
        <f>IF(ISBLANK(CD$1101),"N/A",IF(COUNTIFS(GD_Item_FiscalPeriod,CD$1101,GD_Item_Name,$B1110,GD_Update_Date,CD$1099)=0,"NR",SUMIFS(GD_Guidance_Mid,GD_Item_Name,$B1110,GD_Item_FiscalPeriod,CD$1101,GD_Update_Date,CD$1099)))</f>
        <v/>
      </c>
      <c r="CE1110" s="563">
        <f>IF(ISBLANK(CE$1101),"N/A",IF(COUNTIFS(GD_Item_FiscalPeriod,CE$1101,GD_Item_Name,$B1110,GD_Update_Date,CE$1099)=0,"NR",SUMIFS(GD_Guidance_Mid,GD_Item_Name,$B1110,GD_Item_FiscalPeriod,CE$1101,GD_Update_Date,CE$1099)))</f>
        <v/>
      </c>
      <c r="CF1110" s="794">
        <f>IF(ISBLANK(CF$1101),"N/A",IF(COUNTIFS(GD_Item_FiscalPeriod,CF$1101,GD_Item_Name,$B1110,GD_Update_Date,CF$1099)=0,"NR",SUMIFS(GD_Guidance_Mid,GD_Item_Name,$B1110,GD_Item_FiscalPeriod,CF$1101,GD_Update_Date,CF$1099)))</f>
        <v/>
      </c>
      <c r="CG1110" s="155" t="n"/>
    </row>
    <row r="1111">
      <c r="A1111" s="793" t="inlineStr">
        <is>
          <t>Low - Capex, mm</t>
        </is>
      </c>
      <c r="B1111" s="1053" t="inlineStr">
        <is>
          <t>MO_CFSum_Capex</t>
        </is>
      </c>
      <c r="C1111" s="1006" t="n"/>
      <c r="D1111" s="1006" t="n"/>
      <c r="E1111" s="563" t="n"/>
      <c r="F1111" s="563" t="n"/>
      <c r="G1111" s="563" t="n"/>
      <c r="H1111" s="563" t="n"/>
      <c r="I1111" s="563" t="n"/>
      <c r="J1111" s="563" t="n"/>
      <c r="K1111" s="563" t="n"/>
      <c r="L1111" s="563" t="n"/>
      <c r="M1111" s="563" t="n"/>
      <c r="N1111" s="563" t="n"/>
      <c r="O1111" s="563" t="n"/>
      <c r="P1111" s="563" t="n"/>
      <c r="Q1111" s="563" t="n"/>
      <c r="R1111" s="563" t="n"/>
      <c r="S1111" s="563" t="n"/>
      <c r="T1111" s="563" t="n"/>
      <c r="U1111" s="563" t="n"/>
      <c r="V1111" s="563" t="n"/>
      <c r="W1111" s="563" t="n"/>
      <c r="X1111" s="563" t="n"/>
      <c r="Y1111" s="563" t="n"/>
      <c r="Z1111" s="563" t="n"/>
      <c r="AA1111" s="563" t="n"/>
      <c r="AB1111" s="563" t="n"/>
      <c r="AC1111" s="563" t="n"/>
      <c r="AD1111" s="563" t="n"/>
      <c r="AE1111" s="563" t="n"/>
      <c r="AF1111" s="563" t="n"/>
      <c r="AG1111" s="563" t="n"/>
      <c r="AH1111" s="563">
        <f>IF(ISBLANK(AH$1101),"N/A",IF(COUNTIFS(GD_Item_FiscalPeriod,AH$1101,GD_Item_Name,$B1111,GD_Update_Date,AH$1099)=0,"NR",SUMIFS(GD_Guidance_Low,GD_Item_Name,$B1111,GD_Item_FiscalPeriod,AH$1101,GD_Update_Date,AH$1099)))</f>
        <v/>
      </c>
      <c r="AI1111" s="563">
        <f>IF(ISBLANK(AI$1101),"N/A",IF(COUNTIFS(GD_Item_FiscalPeriod,AI$1101,GD_Item_Name,$B1111,GD_Update_Date,AI$1099)=0,"NR",SUMIFS(GD_Guidance_Low,GD_Item_Name,$B1111,GD_Item_FiscalPeriod,AI$1101,GD_Update_Date,AI$1099)))</f>
        <v/>
      </c>
      <c r="AJ1111" s="563">
        <f>IF(ISBLANK(AJ$1101),"N/A",IF(COUNTIFS(GD_Item_FiscalPeriod,AJ$1101,GD_Item_Name,$B1111,GD_Update_Date,AJ$1099)=0,"NR",SUMIFS(GD_Guidance_Low,GD_Item_Name,$B1111,GD_Item_FiscalPeriod,AJ$1101,GD_Update_Date,AJ$1099)))</f>
        <v/>
      </c>
      <c r="AK1111" s="563">
        <f>IF(ISBLANK(AK$1101),"N/A",IF(COUNTIFS(GD_Item_FiscalPeriod,AK$1101,GD_Item_Name,$B1111,GD_Update_Date,AK$1099)=0,"NR",SUMIFS(GD_Guidance_Low,GD_Item_Name,$B1111,GD_Item_FiscalPeriod,AK$1101,GD_Update_Date,AK$1099)))</f>
        <v/>
      </c>
      <c r="AL1111" s="563">
        <f>IF(ISBLANK(AL$1101),"N/A",IF(COUNTIFS(GD_Item_FiscalPeriod,AL$1101,GD_Item_Name,$B1111,GD_Update_Date,AL$1099)=0,"NR",SUMIFS(GD_Guidance_Low,GD_Item_Name,$B1111,GD_Item_FiscalPeriod,AL$1101,GD_Update_Date,AL$1099)))</f>
        <v/>
      </c>
      <c r="AM1111" s="563">
        <f>IF(ISBLANK(AM$1101),"N/A",IF(COUNTIFS(GD_Item_FiscalPeriod,AM$1101,GD_Item_Name,$B1111,GD_Update_Date,AM$1099)=0,"NR",SUMIFS(GD_Guidance_Low,GD_Item_Name,$B1111,GD_Item_FiscalPeriod,AM$1101,GD_Update_Date,AM$1099)))</f>
        <v/>
      </c>
      <c r="AN1111" s="563">
        <f>IF(ISBLANK(AN$1101),"N/A",IF(COUNTIFS(GD_Item_FiscalPeriod,AN$1101,GD_Item_Name,$B1111,GD_Update_Date,AN$1099)=0,"NR",SUMIFS(GD_Guidance_Low,GD_Item_Name,$B1111,GD_Item_FiscalPeriod,AN$1101,GD_Update_Date,AN$1099)))</f>
        <v/>
      </c>
      <c r="AO1111" s="563">
        <f>IF(ISBLANK(AO$1101),"N/A",IF(COUNTIFS(GD_Item_FiscalPeriod,AO$1101,GD_Item_Name,$B1111,GD_Update_Date,AO$1099)=0,"NR",SUMIFS(GD_Guidance_Low,GD_Item_Name,$B1111,GD_Item_FiscalPeriod,AO$1101,GD_Update_Date,AO$1099)))</f>
        <v/>
      </c>
      <c r="AP1111" s="563">
        <f>IF(ISBLANK(AP$1101),"N/A",IF(COUNTIFS(GD_Item_FiscalPeriod,AP$1101,GD_Item_Name,$B1111,GD_Update_Date,AP$1099)=0,"NR",SUMIFS(GD_Guidance_Low,GD_Item_Name,$B1111,GD_Item_FiscalPeriod,AP$1101,GD_Update_Date,AP$1099)))</f>
        <v/>
      </c>
      <c r="AQ1111" s="563">
        <f>IF(ISBLANK(AQ$1101),"N/A",IF(COUNTIFS(GD_Item_FiscalPeriod,AQ$1101,GD_Item_Name,$B1111,GD_Update_Date,AQ$1099)=0,"NR",SUMIFS(GD_Guidance_Low,GD_Item_Name,$B1111,GD_Item_FiscalPeriod,AQ$1101,GD_Update_Date,AQ$1099)))</f>
        <v/>
      </c>
      <c r="AR1111" s="563">
        <f>IF(ISBLANK(AR$1101),"N/A",IF(COUNTIFS(GD_Item_FiscalPeriod,AR$1101,GD_Item_Name,$B1111,GD_Update_Date,AR$1099)=0,"NR",SUMIFS(GD_Guidance_Low,GD_Item_Name,$B1111,GD_Item_FiscalPeriod,AR$1101,GD_Update_Date,AR$1099)))</f>
        <v/>
      </c>
      <c r="AS1111" s="563">
        <f>IF(ISBLANK(AS$1101),"N/A",IF(COUNTIFS(GD_Item_FiscalPeriod,AS$1101,GD_Item_Name,$B1111,GD_Update_Date,AS$1099)=0,"NR",SUMIFS(GD_Guidance_Low,GD_Item_Name,$B1111,GD_Item_FiscalPeriod,AS$1101,GD_Update_Date,AS$1099)))</f>
        <v/>
      </c>
      <c r="AT1111" s="563">
        <f>IF(ISBLANK(AT$1101),"N/A",IF(COUNTIFS(GD_Item_FiscalPeriod,AT$1101,GD_Item_Name,$B1111,GD_Update_Date,AT$1099)=0,"NR",SUMIFS(GD_Guidance_Low,GD_Item_Name,$B1111,GD_Item_FiscalPeriod,AT$1101,GD_Update_Date,AT$1099)))</f>
        <v/>
      </c>
      <c r="AU1111" s="563">
        <f>IF(ISBLANK(AU$1101),"N/A",IF(COUNTIFS(GD_Item_FiscalPeriod,AU$1101,GD_Item_Name,$B1111,GD_Update_Date,AU$1099)=0,"NR",SUMIFS(GD_Guidance_Low,GD_Item_Name,$B1111,GD_Item_FiscalPeriod,AU$1101,GD_Update_Date,AU$1099)))</f>
        <v/>
      </c>
      <c r="AV1111" s="563">
        <f>IF(ISBLANK(AV$1101),"N/A",IF(COUNTIFS(GD_Item_FiscalPeriod,AV$1101,GD_Item_Name,$B1111,GD_Update_Date,AV$1099)=0,"NR",SUMIFS(GD_Guidance_Low,GD_Item_Name,$B1111,GD_Item_FiscalPeriod,AV$1101,GD_Update_Date,AV$1099)))</f>
        <v/>
      </c>
      <c r="AW1111" s="563">
        <f>IF(ISBLANK(AW$1101),"N/A",IF(COUNTIFS(GD_Item_FiscalPeriod,AW$1101,GD_Item_Name,$B1111,GD_Update_Date,AW$1099)=0,"NR",SUMIFS(GD_Guidance_Low,GD_Item_Name,$B1111,GD_Item_FiscalPeriod,AW$1101,GD_Update_Date,AW$1099)))</f>
        <v/>
      </c>
      <c r="AX1111" s="563">
        <f>IF(ISBLANK(AX$1101),"N/A",IF(COUNTIFS(GD_Item_FiscalPeriod,AX$1101,GD_Item_Name,$B1111,GD_Update_Date,AX$1099)=0,"NR",SUMIFS(GD_Guidance_Low,GD_Item_Name,$B1111,GD_Item_FiscalPeriod,AX$1101,GD_Update_Date,AX$1099)))</f>
        <v/>
      </c>
      <c r="AY1111" s="563">
        <f>IF(ISBLANK(AY$1101),"N/A",IF(COUNTIFS(GD_Item_FiscalPeriod,AY$1101,GD_Item_Name,$B1111,GD_Update_Date,AY$1099)=0,"NR",SUMIFS(GD_Guidance_Low,GD_Item_Name,$B1111,GD_Item_FiscalPeriod,AY$1101,GD_Update_Date,AY$1099)))</f>
        <v/>
      </c>
      <c r="AZ1111" s="563">
        <f>IF(ISBLANK(AZ$1101),"N/A",IF(COUNTIFS(GD_Item_FiscalPeriod,AZ$1101,GD_Item_Name,$B1111,GD_Update_Date,AZ$1099)=0,"NR",SUMIFS(GD_Guidance_Low,GD_Item_Name,$B1111,GD_Item_FiscalPeriod,AZ$1101,GD_Update_Date,AZ$1099)))</f>
        <v/>
      </c>
      <c r="BA1111" s="563">
        <f>IF(ISBLANK(BA$1101),"N/A",IF(COUNTIFS(GD_Item_FiscalPeriod,BA$1101,GD_Item_Name,$B1111,GD_Update_Date,BA$1099)=0,"NR",SUMIFS(GD_Guidance_Low,GD_Item_Name,$B1111,GD_Item_FiscalPeriod,BA$1101,GD_Update_Date,BA$1099)))</f>
        <v/>
      </c>
      <c r="BB1111" s="563">
        <f>IF(ISBLANK(BB$1101),"N/A",IF(COUNTIFS(GD_Item_FiscalPeriod,BB$1101,GD_Item_Name,$B1111,GD_Update_Date,BB$1099)=0,"NR",SUMIFS(GD_Guidance_Low,GD_Item_Name,$B1111,GD_Item_FiscalPeriod,BB$1101,GD_Update_Date,BB$1099)))</f>
        <v/>
      </c>
      <c r="BC1111" s="563">
        <f>IF(ISBLANK(BC$1101),"N/A",IF(COUNTIFS(GD_Item_FiscalPeriod,BC$1101,GD_Item_Name,$B1111,GD_Update_Date,BC$1099)=0,"NR",SUMIFS(GD_Guidance_Low,GD_Item_Name,$B1111,GD_Item_FiscalPeriod,BC$1101,GD_Update_Date,BC$1099)))</f>
        <v/>
      </c>
      <c r="BD1111" s="563">
        <f>IF(ISBLANK(BD$1101),"N/A",IF(COUNTIFS(GD_Item_FiscalPeriod,BD$1101,GD_Item_Name,$B1111,GD_Update_Date,BD$1099)=0,"NR",SUMIFS(GD_Guidance_Low,GD_Item_Name,$B1111,GD_Item_FiscalPeriod,BD$1101,GD_Update_Date,BD$1099)))</f>
        <v/>
      </c>
      <c r="BE1111" s="563">
        <f>IF(ISBLANK(BE$1101),"N/A",IF(COUNTIFS(GD_Item_FiscalPeriod,BE$1101,GD_Item_Name,$B1111,GD_Update_Date,BE$1099)=0,"NR",SUMIFS(GD_Guidance_Low,GD_Item_Name,$B1111,GD_Item_FiscalPeriod,BE$1101,GD_Update_Date,BE$1099)))</f>
        <v/>
      </c>
      <c r="BF1111" s="563">
        <f>IF(ISBLANK(BF$1101),"N/A",IF(COUNTIFS(GD_Item_FiscalPeriod,BF$1101,GD_Item_Name,$B1111,GD_Update_Date,BF$1099)=0,"NR",SUMIFS(GD_Guidance_Low,GD_Item_Name,$B1111,GD_Item_FiscalPeriod,BF$1101,GD_Update_Date,BF$1099)))</f>
        <v/>
      </c>
      <c r="BG1111" s="563">
        <f>IF(ISBLANK(BG$1101),"N/A",IF(COUNTIFS(GD_Item_FiscalPeriod,BG$1101,GD_Item_Name,$B1111,GD_Update_Date,BG$1099)=0,"NR",SUMIFS(GD_Guidance_Low,GD_Item_Name,$B1111,GD_Item_FiscalPeriod,BG$1101,GD_Update_Date,BG$1099)))</f>
        <v/>
      </c>
      <c r="BH1111" s="563">
        <f>IF(ISBLANK(BH$1101),"N/A",IF(COUNTIFS(GD_Item_FiscalPeriod,BH$1101,GD_Item_Name,$B1111,GD_Update_Date,BH$1099)=0,"NR",SUMIFS(GD_Guidance_Low,GD_Item_Name,$B1111,GD_Item_FiscalPeriod,BH$1101,GD_Update_Date,BH$1099)))</f>
        <v/>
      </c>
      <c r="BI1111" s="563">
        <f>IF(ISBLANK(BI$1101),"N/A",IF(COUNTIFS(GD_Item_FiscalPeriod,BI$1101,GD_Item_Name,$B1111,GD_Update_Date,BI$1099)=0,"NR",SUMIFS(GD_Guidance_Low,GD_Item_Name,$B1111,GD_Item_FiscalPeriod,BI$1101,GD_Update_Date,BI$1099)))</f>
        <v/>
      </c>
      <c r="BJ1111" s="563">
        <f>IF(ISBLANK(BJ$1101),"N/A",IF(COUNTIFS(GD_Item_FiscalPeriod,BJ$1101,GD_Item_Name,$B1111,GD_Update_Date,BJ$1099)=0,"NR",SUMIFS(GD_Guidance_Low,GD_Item_Name,$B1111,GD_Item_FiscalPeriod,BJ$1101,GD_Update_Date,BJ$1099)))</f>
        <v/>
      </c>
      <c r="BK1111" s="563">
        <f>IF(ISBLANK(BK$1101),"N/A",IF(COUNTIFS(GD_Item_FiscalPeriod,BK$1101,GD_Item_Name,$B1111,GD_Update_Date,BK$1099)=0,"NR",SUMIFS(GD_Guidance_Low,GD_Item_Name,$B1111,GD_Item_FiscalPeriod,BK$1101,GD_Update_Date,BK$1099)))</f>
        <v/>
      </c>
      <c r="BL1111" s="563">
        <f>IF(ISBLANK(BL$1101),"N/A",IF(COUNTIFS(GD_Item_FiscalPeriod,BL$1101,GD_Item_Name,$B1111,GD_Update_Date,BL$1099)=0,"NR",SUMIFS(GD_Guidance_Low,GD_Item_Name,$B1111,GD_Item_FiscalPeriod,BL$1101,GD_Update_Date,BL$1099)))</f>
        <v/>
      </c>
      <c r="BM1111" s="563">
        <f>IF(ISBLANK(BM$1101),"N/A",IF(COUNTIFS(GD_Item_FiscalPeriod,BM$1101,GD_Item_Name,$B1111,GD_Update_Date,BM$1099)=0,"NR",SUMIFS(GD_Guidance_Low,GD_Item_Name,$B1111,GD_Item_FiscalPeriod,BM$1101,GD_Update_Date,BM$1099)))</f>
        <v/>
      </c>
      <c r="BN1111" s="563">
        <f>IF(ISBLANK(BN$1101),"N/A",IF(COUNTIFS(GD_Item_FiscalPeriod,BN$1101,GD_Item_Name,$B1111,GD_Update_Date,BN$1099)=0,"NR",SUMIFS(GD_Guidance_Low,GD_Item_Name,$B1111,GD_Item_FiscalPeriod,BN$1101,GD_Update_Date,BN$1099)))</f>
        <v/>
      </c>
      <c r="BO1111" s="563">
        <f>IF(ISBLANK(BO$1101),"N/A",IF(COUNTIFS(GD_Item_FiscalPeriod,BO$1101,GD_Item_Name,$B1111,GD_Update_Date,BO$1099)=0,"NR",SUMIFS(GD_Guidance_Low,GD_Item_Name,$B1111,GD_Item_FiscalPeriod,BO$1101,GD_Update_Date,BO$1099)))</f>
        <v/>
      </c>
      <c r="BP1111" s="563">
        <f>IF(ISBLANK(BP$1101),"N/A",IF(COUNTIFS(GD_Item_FiscalPeriod,BP$1101,GD_Item_Name,$B1111,GD_Update_Date,BP$1099)=0,"NR",SUMIFS(GD_Guidance_Low,GD_Item_Name,$B1111,GD_Item_FiscalPeriod,BP$1101,GD_Update_Date,BP$1099)))</f>
        <v/>
      </c>
      <c r="BQ1111" s="563">
        <f>IF(ISBLANK(BQ$1101),"N/A",IF(COUNTIFS(GD_Item_FiscalPeriod,BQ$1101,GD_Item_Name,$B1111,GD_Update_Date,BQ$1099)=0,"NR",SUMIFS(GD_Guidance_Low,GD_Item_Name,$B1111,GD_Item_FiscalPeriod,BQ$1101,GD_Update_Date,BQ$1099)))</f>
        <v/>
      </c>
      <c r="BR1111" s="563">
        <f>IF(ISBLANK(BR$1101),"N/A",IF(COUNTIFS(GD_Item_FiscalPeriod,BR$1101,GD_Item_Name,$B1111,GD_Update_Date,BR$1099)=0,"NR",SUMIFS(GD_Guidance_Low,GD_Item_Name,$B1111,GD_Item_FiscalPeriod,BR$1101,GD_Update_Date,BR$1099)))</f>
        <v/>
      </c>
      <c r="BS1111" s="563">
        <f>IF(ISBLANK(BS$1101),"N/A",IF(COUNTIFS(GD_Item_FiscalPeriod,BS$1101,GD_Item_Name,$B1111,GD_Update_Date,BS$1099)=0,"NR",SUMIFS(GD_Guidance_Low,GD_Item_Name,$B1111,GD_Item_FiscalPeriod,BS$1101,GD_Update_Date,BS$1099)))</f>
        <v/>
      </c>
      <c r="BT1111" s="563">
        <f>IF(ISBLANK(BT$1101),"N/A",IF(COUNTIFS(GD_Item_FiscalPeriod,BT$1101,GD_Item_Name,$B1111,GD_Update_Date,BT$1099)=0,"NR",SUMIFS(GD_Guidance_Low,GD_Item_Name,$B1111,GD_Item_FiscalPeriod,BT$1101,GD_Update_Date,BT$1099)))</f>
        <v/>
      </c>
      <c r="BU1111" s="563">
        <f>IF(ISBLANK(BU$1101),"N/A",IF(COUNTIFS(GD_Item_FiscalPeriod,BU$1101,GD_Item_Name,$B1111,GD_Update_Date,BU$1099)=0,"NR",SUMIFS(GD_Guidance_Low,GD_Item_Name,$B1111,GD_Item_FiscalPeriod,BU$1101,GD_Update_Date,BU$1099)))</f>
        <v/>
      </c>
      <c r="BV1111" s="731">
        <f>IF(ISBLANK(BV$1101),"N/A",IF(COUNTIFS(GD_Item_FiscalPeriod,BV$1101,GD_Item_Name,$B1111,GD_Update_Date,BV$1099)=0,"NR",SUMIFS(GD_Guidance_Low,GD_Item_Name,$B1111,GD_Item_FiscalPeriod,BV$1101,GD_Update_Date,BV$1099)))</f>
        <v/>
      </c>
      <c r="BW1111" s="563">
        <f>IF(ISBLANK(BW$1101),"N/A",IF(COUNTIFS(GD_Item_FiscalPeriod,BW$1101,GD_Item_Name,$B1111,GD_Update_Date,BW$1099)=0,"NR",SUMIFS(GD_Guidance_Low,GD_Item_Name,$B1111,GD_Item_FiscalPeriod,BW$1101,GD_Update_Date,BW$1099)))</f>
        <v/>
      </c>
      <c r="BX1111" s="563">
        <f>IF(ISBLANK(BX$1101),"N/A",IF(COUNTIFS(GD_Item_FiscalPeriod,BX$1101,GD_Item_Name,$B1111,GD_Update_Date,BX$1099)=0,"NR",SUMIFS(GD_Guidance_Low,GD_Item_Name,$B1111,GD_Item_FiscalPeriod,BX$1101,GD_Update_Date,BX$1099)))</f>
        <v/>
      </c>
      <c r="BY1111" s="563">
        <f>IF(ISBLANK(BY$1101),"N/A",IF(COUNTIFS(GD_Item_FiscalPeriod,BY$1101,GD_Item_Name,$B1111,GD_Update_Date,BY$1099)=0,"NR",SUMIFS(GD_Guidance_Low,GD_Item_Name,$B1111,GD_Item_FiscalPeriod,BY$1101,GD_Update_Date,BY$1099)))</f>
        <v/>
      </c>
      <c r="BZ1111" s="563">
        <f>IF(ISBLANK(BZ$1101),"N/A",IF(COUNTIFS(GD_Item_FiscalPeriod,BZ$1101,GD_Item_Name,$B1111,GD_Update_Date,BZ$1099)=0,"NR",SUMIFS(GD_Guidance_Low,GD_Item_Name,$B1111,GD_Item_FiscalPeriod,BZ$1101,GD_Update_Date,BZ$1099)))</f>
        <v/>
      </c>
      <c r="CA1111" s="563">
        <f>IF(ISBLANK(CA$1101),"N/A",IF(COUNTIFS(GD_Item_FiscalPeriod,CA$1101,GD_Item_Name,$B1111,GD_Update_Date,CA$1099)=0,"NR",SUMIFS(GD_Guidance_Low,GD_Item_Name,$B1111,GD_Item_FiscalPeriod,CA$1101,GD_Update_Date,CA$1099)))</f>
        <v/>
      </c>
      <c r="CB1111" s="563">
        <f>IF(ISBLANK(CB$1101),"N/A",IF(COUNTIFS(GD_Item_FiscalPeriod,CB$1101,GD_Item_Name,$B1111,GD_Update_Date,CB$1099)=0,"NR",SUMIFS(GD_Guidance_Low,GD_Item_Name,$B1111,GD_Item_FiscalPeriod,CB$1101,GD_Update_Date,CB$1099)))</f>
        <v/>
      </c>
      <c r="CC1111" s="563">
        <f>IF(ISBLANK(CC$1101),"N/A",IF(COUNTIFS(GD_Item_FiscalPeriod,CC$1101,GD_Item_Name,$B1111,GD_Update_Date,CC$1099)=0,"NR",SUMIFS(GD_Guidance_Low,GD_Item_Name,$B1111,GD_Item_FiscalPeriod,CC$1101,GD_Update_Date,CC$1099)))</f>
        <v/>
      </c>
      <c r="CD1111" s="563">
        <f>IF(ISBLANK(CD$1101),"N/A",IF(COUNTIFS(GD_Item_FiscalPeriod,CD$1101,GD_Item_Name,$B1111,GD_Update_Date,CD$1099)=0,"NR",SUMIFS(GD_Guidance_Low,GD_Item_Name,$B1111,GD_Item_FiscalPeriod,CD$1101,GD_Update_Date,CD$1099)))</f>
        <v/>
      </c>
      <c r="CE1111" s="563">
        <f>IF(ISBLANK(CE$1101),"N/A",IF(COUNTIFS(GD_Item_FiscalPeriod,CE$1101,GD_Item_Name,$B1111,GD_Update_Date,CE$1099)=0,"NR",SUMIFS(GD_Guidance_Low,GD_Item_Name,$B1111,GD_Item_FiscalPeriod,CE$1101,GD_Update_Date,CE$1099)))</f>
        <v/>
      </c>
      <c r="CF1111" s="794">
        <f>IF(ISBLANK(CF$1101),"N/A",IF(COUNTIFS(GD_Item_FiscalPeriod,CF$1101,GD_Item_Name,$B1111,GD_Update_Date,CF$1099)=0,"NR",SUMIFS(GD_Guidance_Low,GD_Item_Name,$B1111,GD_Item_FiscalPeriod,CF$1101,GD_Update_Date,CF$1099)))</f>
        <v/>
      </c>
      <c r="CG1111" s="155" t="n"/>
    </row>
    <row r="1112">
      <c r="A1112" s="793" t="inlineStr">
        <is>
          <t>High - Capex, mm</t>
        </is>
      </c>
      <c r="B1112" s="1053" t="inlineStr">
        <is>
          <t>MO_CFSum_Capex</t>
        </is>
      </c>
      <c r="C1112" s="1006" t="n"/>
      <c r="D1112" s="1006" t="n"/>
      <c r="E1112" s="563" t="n"/>
      <c r="F1112" s="563" t="n"/>
      <c r="G1112" s="563" t="n"/>
      <c r="H1112" s="563" t="n"/>
      <c r="I1112" s="563" t="n"/>
      <c r="J1112" s="563" t="n"/>
      <c r="K1112" s="563" t="n"/>
      <c r="L1112" s="563" t="n"/>
      <c r="M1112" s="563" t="n"/>
      <c r="N1112" s="563" t="n"/>
      <c r="O1112" s="563" t="n"/>
      <c r="P1112" s="563" t="n"/>
      <c r="Q1112" s="563" t="n"/>
      <c r="R1112" s="563" t="n"/>
      <c r="S1112" s="563" t="n"/>
      <c r="T1112" s="563" t="n"/>
      <c r="U1112" s="563" t="n"/>
      <c r="V1112" s="563" t="n"/>
      <c r="W1112" s="563" t="n"/>
      <c r="X1112" s="563" t="n"/>
      <c r="Y1112" s="563" t="n"/>
      <c r="Z1112" s="563" t="n"/>
      <c r="AA1112" s="563" t="n"/>
      <c r="AB1112" s="563" t="n"/>
      <c r="AC1112" s="563" t="n"/>
      <c r="AD1112" s="563" t="n"/>
      <c r="AE1112" s="563" t="n"/>
      <c r="AF1112" s="563" t="n"/>
      <c r="AG1112" s="563" t="n"/>
      <c r="AH1112" s="563">
        <f>IF(ISBLANK(AH$1101),"N/A",IF(COUNTIFS(GD_Item_FiscalPeriod,AH$1101,GD_Item_Name,$B1112,GD_Update_Date,AH$1099)=0,"NR",SUMIFS(GD_Guidance_High,GD_Item_Name,$B1112,GD_Item_FiscalPeriod,AH$1101,GD_Update_Date,AH$1099)))</f>
        <v/>
      </c>
      <c r="AI1112" s="563">
        <f>IF(ISBLANK(AI$1101),"N/A",IF(COUNTIFS(GD_Item_FiscalPeriod,AI$1101,GD_Item_Name,$B1112,GD_Update_Date,AI$1099)=0,"NR",SUMIFS(GD_Guidance_High,GD_Item_Name,$B1112,GD_Item_FiscalPeriod,AI$1101,GD_Update_Date,AI$1099)))</f>
        <v/>
      </c>
      <c r="AJ1112" s="563">
        <f>IF(ISBLANK(AJ$1101),"N/A",IF(COUNTIFS(GD_Item_FiscalPeriod,AJ$1101,GD_Item_Name,$B1112,GD_Update_Date,AJ$1099)=0,"NR",SUMIFS(GD_Guidance_High,GD_Item_Name,$B1112,GD_Item_FiscalPeriod,AJ$1101,GD_Update_Date,AJ$1099)))</f>
        <v/>
      </c>
      <c r="AK1112" s="563">
        <f>IF(ISBLANK(AK$1101),"N/A",IF(COUNTIFS(GD_Item_FiscalPeriod,AK$1101,GD_Item_Name,$B1112,GD_Update_Date,AK$1099)=0,"NR",SUMIFS(GD_Guidance_High,GD_Item_Name,$B1112,GD_Item_FiscalPeriod,AK$1101,GD_Update_Date,AK$1099)))</f>
        <v/>
      </c>
      <c r="AL1112" s="563">
        <f>IF(ISBLANK(AL$1101),"N/A",IF(COUNTIFS(GD_Item_FiscalPeriod,AL$1101,GD_Item_Name,$B1112,GD_Update_Date,AL$1099)=0,"NR",SUMIFS(GD_Guidance_High,GD_Item_Name,$B1112,GD_Item_FiscalPeriod,AL$1101,GD_Update_Date,AL$1099)))</f>
        <v/>
      </c>
      <c r="AM1112" s="563">
        <f>IF(ISBLANK(AM$1101),"N/A",IF(COUNTIFS(GD_Item_FiscalPeriod,AM$1101,GD_Item_Name,$B1112,GD_Update_Date,AM$1099)=0,"NR",SUMIFS(GD_Guidance_High,GD_Item_Name,$B1112,GD_Item_FiscalPeriod,AM$1101,GD_Update_Date,AM$1099)))</f>
        <v/>
      </c>
      <c r="AN1112" s="563">
        <f>IF(ISBLANK(AN$1101),"N/A",IF(COUNTIFS(GD_Item_FiscalPeriod,AN$1101,GD_Item_Name,$B1112,GD_Update_Date,AN$1099)=0,"NR",SUMIFS(GD_Guidance_High,GD_Item_Name,$B1112,GD_Item_FiscalPeriod,AN$1101,GD_Update_Date,AN$1099)))</f>
        <v/>
      </c>
      <c r="AO1112" s="563">
        <f>IF(ISBLANK(AO$1101),"N/A",IF(COUNTIFS(GD_Item_FiscalPeriod,AO$1101,GD_Item_Name,$B1112,GD_Update_Date,AO$1099)=0,"NR",SUMIFS(GD_Guidance_High,GD_Item_Name,$B1112,GD_Item_FiscalPeriod,AO$1101,GD_Update_Date,AO$1099)))</f>
        <v/>
      </c>
      <c r="AP1112" s="563">
        <f>IF(ISBLANK(AP$1101),"N/A",IF(COUNTIFS(GD_Item_FiscalPeriod,AP$1101,GD_Item_Name,$B1112,GD_Update_Date,AP$1099)=0,"NR",SUMIFS(GD_Guidance_High,GD_Item_Name,$B1112,GD_Item_FiscalPeriod,AP$1101,GD_Update_Date,AP$1099)))</f>
        <v/>
      </c>
      <c r="AQ1112" s="563">
        <f>IF(ISBLANK(AQ$1101),"N/A",IF(COUNTIFS(GD_Item_FiscalPeriod,AQ$1101,GD_Item_Name,$B1112,GD_Update_Date,AQ$1099)=0,"NR",SUMIFS(GD_Guidance_High,GD_Item_Name,$B1112,GD_Item_FiscalPeriod,AQ$1101,GD_Update_Date,AQ$1099)))</f>
        <v/>
      </c>
      <c r="AR1112" s="563">
        <f>IF(ISBLANK(AR$1101),"N/A",IF(COUNTIFS(GD_Item_FiscalPeriod,AR$1101,GD_Item_Name,$B1112,GD_Update_Date,AR$1099)=0,"NR",SUMIFS(GD_Guidance_High,GD_Item_Name,$B1112,GD_Item_FiscalPeriod,AR$1101,GD_Update_Date,AR$1099)))</f>
        <v/>
      </c>
      <c r="AS1112" s="563">
        <f>IF(ISBLANK(AS$1101),"N/A",IF(COUNTIFS(GD_Item_FiscalPeriod,AS$1101,GD_Item_Name,$B1112,GD_Update_Date,AS$1099)=0,"NR",SUMIFS(GD_Guidance_High,GD_Item_Name,$B1112,GD_Item_FiscalPeriod,AS$1101,GD_Update_Date,AS$1099)))</f>
        <v/>
      </c>
      <c r="AT1112" s="563">
        <f>IF(ISBLANK(AT$1101),"N/A",IF(COUNTIFS(GD_Item_FiscalPeriod,AT$1101,GD_Item_Name,$B1112,GD_Update_Date,AT$1099)=0,"NR",SUMIFS(GD_Guidance_High,GD_Item_Name,$B1112,GD_Item_FiscalPeriod,AT$1101,GD_Update_Date,AT$1099)))</f>
        <v/>
      </c>
      <c r="AU1112" s="563">
        <f>IF(ISBLANK(AU$1101),"N/A",IF(COUNTIFS(GD_Item_FiscalPeriod,AU$1101,GD_Item_Name,$B1112,GD_Update_Date,AU$1099)=0,"NR",SUMIFS(GD_Guidance_High,GD_Item_Name,$B1112,GD_Item_FiscalPeriod,AU$1101,GD_Update_Date,AU$1099)))</f>
        <v/>
      </c>
      <c r="AV1112" s="563">
        <f>IF(ISBLANK(AV$1101),"N/A",IF(COUNTIFS(GD_Item_FiscalPeriod,AV$1101,GD_Item_Name,$B1112,GD_Update_Date,AV$1099)=0,"NR",SUMIFS(GD_Guidance_High,GD_Item_Name,$B1112,GD_Item_FiscalPeriod,AV$1101,GD_Update_Date,AV$1099)))</f>
        <v/>
      </c>
      <c r="AW1112" s="563">
        <f>IF(ISBLANK(AW$1101),"N/A",IF(COUNTIFS(GD_Item_FiscalPeriod,AW$1101,GD_Item_Name,$B1112,GD_Update_Date,AW$1099)=0,"NR",SUMIFS(GD_Guidance_High,GD_Item_Name,$B1112,GD_Item_FiscalPeriod,AW$1101,GD_Update_Date,AW$1099)))</f>
        <v/>
      </c>
      <c r="AX1112" s="563">
        <f>IF(ISBLANK(AX$1101),"N/A",IF(COUNTIFS(GD_Item_FiscalPeriod,AX$1101,GD_Item_Name,$B1112,GD_Update_Date,AX$1099)=0,"NR",SUMIFS(GD_Guidance_High,GD_Item_Name,$B1112,GD_Item_FiscalPeriod,AX$1101,GD_Update_Date,AX$1099)))</f>
        <v/>
      </c>
      <c r="AY1112" s="563">
        <f>IF(ISBLANK(AY$1101),"N/A",IF(COUNTIFS(GD_Item_FiscalPeriod,AY$1101,GD_Item_Name,$B1112,GD_Update_Date,AY$1099)=0,"NR",SUMIFS(GD_Guidance_High,GD_Item_Name,$B1112,GD_Item_FiscalPeriod,AY$1101,GD_Update_Date,AY$1099)))</f>
        <v/>
      </c>
      <c r="AZ1112" s="563">
        <f>IF(ISBLANK(AZ$1101),"N/A",IF(COUNTIFS(GD_Item_FiscalPeriod,AZ$1101,GD_Item_Name,$B1112,GD_Update_Date,AZ$1099)=0,"NR",SUMIFS(GD_Guidance_High,GD_Item_Name,$B1112,GD_Item_FiscalPeriod,AZ$1101,GD_Update_Date,AZ$1099)))</f>
        <v/>
      </c>
      <c r="BA1112" s="563">
        <f>IF(ISBLANK(BA$1101),"N/A",IF(COUNTIFS(GD_Item_FiscalPeriod,BA$1101,GD_Item_Name,$B1112,GD_Update_Date,BA$1099)=0,"NR",SUMIFS(GD_Guidance_High,GD_Item_Name,$B1112,GD_Item_FiscalPeriod,BA$1101,GD_Update_Date,BA$1099)))</f>
        <v/>
      </c>
      <c r="BB1112" s="563">
        <f>IF(ISBLANK(BB$1101),"N/A",IF(COUNTIFS(GD_Item_FiscalPeriod,BB$1101,GD_Item_Name,$B1112,GD_Update_Date,BB$1099)=0,"NR",SUMIFS(GD_Guidance_High,GD_Item_Name,$B1112,GD_Item_FiscalPeriod,BB$1101,GD_Update_Date,BB$1099)))</f>
        <v/>
      </c>
      <c r="BC1112" s="563">
        <f>IF(ISBLANK(BC$1101),"N/A",IF(COUNTIFS(GD_Item_FiscalPeriod,BC$1101,GD_Item_Name,$B1112,GD_Update_Date,BC$1099)=0,"NR",SUMIFS(GD_Guidance_High,GD_Item_Name,$B1112,GD_Item_FiscalPeriod,BC$1101,GD_Update_Date,BC$1099)))</f>
        <v/>
      </c>
      <c r="BD1112" s="563">
        <f>IF(ISBLANK(BD$1101),"N/A",IF(COUNTIFS(GD_Item_FiscalPeriod,BD$1101,GD_Item_Name,$B1112,GD_Update_Date,BD$1099)=0,"NR",SUMIFS(GD_Guidance_High,GD_Item_Name,$B1112,GD_Item_FiscalPeriod,BD$1101,GD_Update_Date,BD$1099)))</f>
        <v/>
      </c>
      <c r="BE1112" s="563">
        <f>IF(ISBLANK(BE$1101),"N/A",IF(COUNTIFS(GD_Item_FiscalPeriod,BE$1101,GD_Item_Name,$B1112,GD_Update_Date,BE$1099)=0,"NR",SUMIFS(GD_Guidance_High,GD_Item_Name,$B1112,GD_Item_FiscalPeriod,BE$1101,GD_Update_Date,BE$1099)))</f>
        <v/>
      </c>
      <c r="BF1112" s="563">
        <f>IF(ISBLANK(BF$1101),"N/A",IF(COUNTIFS(GD_Item_FiscalPeriod,BF$1101,GD_Item_Name,$B1112,GD_Update_Date,BF$1099)=0,"NR",SUMIFS(GD_Guidance_High,GD_Item_Name,$B1112,GD_Item_FiscalPeriod,BF$1101,GD_Update_Date,BF$1099)))</f>
        <v/>
      </c>
      <c r="BG1112" s="563">
        <f>IF(ISBLANK(BG$1101),"N/A",IF(COUNTIFS(GD_Item_FiscalPeriod,BG$1101,GD_Item_Name,$B1112,GD_Update_Date,BG$1099)=0,"NR",SUMIFS(GD_Guidance_High,GD_Item_Name,$B1112,GD_Item_FiscalPeriod,BG$1101,GD_Update_Date,BG$1099)))</f>
        <v/>
      </c>
      <c r="BH1112" s="563">
        <f>IF(ISBLANK(BH$1101),"N/A",IF(COUNTIFS(GD_Item_FiscalPeriod,BH$1101,GD_Item_Name,$B1112,GD_Update_Date,BH$1099)=0,"NR",SUMIFS(GD_Guidance_High,GD_Item_Name,$B1112,GD_Item_FiscalPeriod,BH$1101,GD_Update_Date,BH$1099)))</f>
        <v/>
      </c>
      <c r="BI1112" s="563">
        <f>IF(ISBLANK(BI$1101),"N/A",IF(COUNTIFS(GD_Item_FiscalPeriod,BI$1101,GD_Item_Name,$B1112,GD_Update_Date,BI$1099)=0,"NR",SUMIFS(GD_Guidance_High,GD_Item_Name,$B1112,GD_Item_FiscalPeriod,BI$1101,GD_Update_Date,BI$1099)))</f>
        <v/>
      </c>
      <c r="BJ1112" s="563">
        <f>IF(ISBLANK(BJ$1101),"N/A",IF(COUNTIFS(GD_Item_FiscalPeriod,BJ$1101,GD_Item_Name,$B1112,GD_Update_Date,BJ$1099)=0,"NR",SUMIFS(GD_Guidance_High,GD_Item_Name,$B1112,GD_Item_FiscalPeriod,BJ$1101,GD_Update_Date,BJ$1099)))</f>
        <v/>
      </c>
      <c r="BK1112" s="563">
        <f>IF(ISBLANK(BK$1101),"N/A",IF(COUNTIFS(GD_Item_FiscalPeriod,BK$1101,GD_Item_Name,$B1112,GD_Update_Date,BK$1099)=0,"NR",SUMIFS(GD_Guidance_High,GD_Item_Name,$B1112,GD_Item_FiscalPeriod,BK$1101,GD_Update_Date,BK$1099)))</f>
        <v/>
      </c>
      <c r="BL1112" s="563">
        <f>IF(ISBLANK(BL$1101),"N/A",IF(COUNTIFS(GD_Item_FiscalPeriod,BL$1101,GD_Item_Name,$B1112,GD_Update_Date,BL$1099)=0,"NR",SUMIFS(GD_Guidance_High,GD_Item_Name,$B1112,GD_Item_FiscalPeriod,BL$1101,GD_Update_Date,BL$1099)))</f>
        <v/>
      </c>
      <c r="BM1112" s="563">
        <f>IF(ISBLANK(BM$1101),"N/A",IF(COUNTIFS(GD_Item_FiscalPeriod,BM$1101,GD_Item_Name,$B1112,GD_Update_Date,BM$1099)=0,"NR",SUMIFS(GD_Guidance_High,GD_Item_Name,$B1112,GD_Item_FiscalPeriod,BM$1101,GD_Update_Date,BM$1099)))</f>
        <v/>
      </c>
      <c r="BN1112" s="563">
        <f>IF(ISBLANK(BN$1101),"N/A",IF(COUNTIFS(GD_Item_FiscalPeriod,BN$1101,GD_Item_Name,$B1112,GD_Update_Date,BN$1099)=0,"NR",SUMIFS(GD_Guidance_High,GD_Item_Name,$B1112,GD_Item_FiscalPeriod,BN$1101,GD_Update_Date,BN$1099)))</f>
        <v/>
      </c>
      <c r="BO1112" s="563">
        <f>IF(ISBLANK(BO$1101),"N/A",IF(COUNTIFS(GD_Item_FiscalPeriod,BO$1101,GD_Item_Name,$B1112,GD_Update_Date,BO$1099)=0,"NR",SUMIFS(GD_Guidance_High,GD_Item_Name,$B1112,GD_Item_FiscalPeriod,BO$1101,GD_Update_Date,BO$1099)))</f>
        <v/>
      </c>
      <c r="BP1112" s="563">
        <f>IF(ISBLANK(BP$1101),"N/A",IF(COUNTIFS(GD_Item_FiscalPeriod,BP$1101,GD_Item_Name,$B1112,GD_Update_Date,BP$1099)=0,"NR",SUMIFS(GD_Guidance_High,GD_Item_Name,$B1112,GD_Item_FiscalPeriod,BP$1101,GD_Update_Date,BP$1099)))</f>
        <v/>
      </c>
      <c r="BQ1112" s="563">
        <f>IF(ISBLANK(BQ$1101),"N/A",IF(COUNTIFS(GD_Item_FiscalPeriod,BQ$1101,GD_Item_Name,$B1112,GD_Update_Date,BQ$1099)=0,"NR",SUMIFS(GD_Guidance_High,GD_Item_Name,$B1112,GD_Item_FiscalPeriod,BQ$1101,GD_Update_Date,BQ$1099)))</f>
        <v/>
      </c>
      <c r="BR1112" s="563">
        <f>IF(ISBLANK(BR$1101),"N/A",IF(COUNTIFS(GD_Item_FiscalPeriod,BR$1101,GD_Item_Name,$B1112,GD_Update_Date,BR$1099)=0,"NR",SUMIFS(GD_Guidance_High,GD_Item_Name,$B1112,GD_Item_FiscalPeriod,BR$1101,GD_Update_Date,BR$1099)))</f>
        <v/>
      </c>
      <c r="BS1112" s="563">
        <f>IF(ISBLANK(BS$1101),"N/A",IF(COUNTIFS(GD_Item_FiscalPeriod,BS$1101,GD_Item_Name,$B1112,GD_Update_Date,BS$1099)=0,"NR",SUMIFS(GD_Guidance_High,GD_Item_Name,$B1112,GD_Item_FiscalPeriod,BS$1101,GD_Update_Date,BS$1099)))</f>
        <v/>
      </c>
      <c r="BT1112" s="563">
        <f>IF(ISBLANK(BT$1101),"N/A",IF(COUNTIFS(GD_Item_FiscalPeriod,BT$1101,GD_Item_Name,$B1112,GD_Update_Date,BT$1099)=0,"NR",SUMIFS(GD_Guidance_High,GD_Item_Name,$B1112,GD_Item_FiscalPeriod,BT$1101,GD_Update_Date,BT$1099)))</f>
        <v/>
      </c>
      <c r="BU1112" s="563">
        <f>IF(ISBLANK(BU$1101),"N/A",IF(COUNTIFS(GD_Item_FiscalPeriod,BU$1101,GD_Item_Name,$B1112,GD_Update_Date,BU$1099)=0,"NR",SUMIFS(GD_Guidance_High,GD_Item_Name,$B1112,GD_Item_FiscalPeriod,BU$1101,GD_Update_Date,BU$1099)))</f>
        <v/>
      </c>
      <c r="BV1112" s="731">
        <f>IF(ISBLANK(BV$1101),"N/A",IF(COUNTIFS(GD_Item_FiscalPeriod,BV$1101,GD_Item_Name,$B1112,GD_Update_Date,BV$1099)=0,"NR",SUMIFS(GD_Guidance_High,GD_Item_Name,$B1112,GD_Item_FiscalPeriod,BV$1101,GD_Update_Date,BV$1099)))</f>
        <v/>
      </c>
      <c r="BW1112" s="563">
        <f>IF(ISBLANK(BW$1101),"N/A",IF(COUNTIFS(GD_Item_FiscalPeriod,BW$1101,GD_Item_Name,$B1112,GD_Update_Date,BW$1099)=0,"NR",SUMIFS(GD_Guidance_High,GD_Item_Name,$B1112,GD_Item_FiscalPeriod,BW$1101,GD_Update_Date,BW$1099)))</f>
        <v/>
      </c>
      <c r="BX1112" s="563">
        <f>IF(ISBLANK(BX$1101),"N/A",IF(COUNTIFS(GD_Item_FiscalPeriod,BX$1101,GD_Item_Name,$B1112,GD_Update_Date,BX$1099)=0,"NR",SUMIFS(GD_Guidance_High,GD_Item_Name,$B1112,GD_Item_FiscalPeriod,BX$1101,GD_Update_Date,BX$1099)))</f>
        <v/>
      </c>
      <c r="BY1112" s="563">
        <f>IF(ISBLANK(BY$1101),"N/A",IF(COUNTIFS(GD_Item_FiscalPeriod,BY$1101,GD_Item_Name,$B1112,GD_Update_Date,BY$1099)=0,"NR",SUMIFS(GD_Guidance_High,GD_Item_Name,$B1112,GD_Item_FiscalPeriod,BY$1101,GD_Update_Date,BY$1099)))</f>
        <v/>
      </c>
      <c r="BZ1112" s="563">
        <f>IF(ISBLANK(BZ$1101),"N/A",IF(COUNTIFS(GD_Item_FiscalPeriod,BZ$1101,GD_Item_Name,$B1112,GD_Update_Date,BZ$1099)=0,"NR",SUMIFS(GD_Guidance_High,GD_Item_Name,$B1112,GD_Item_FiscalPeriod,BZ$1101,GD_Update_Date,BZ$1099)))</f>
        <v/>
      </c>
      <c r="CA1112" s="563">
        <f>IF(ISBLANK(CA$1101),"N/A",IF(COUNTIFS(GD_Item_FiscalPeriod,CA$1101,GD_Item_Name,$B1112,GD_Update_Date,CA$1099)=0,"NR",SUMIFS(GD_Guidance_High,GD_Item_Name,$B1112,GD_Item_FiscalPeriod,CA$1101,GD_Update_Date,CA$1099)))</f>
        <v/>
      </c>
      <c r="CB1112" s="563">
        <f>IF(ISBLANK(CB$1101),"N/A",IF(COUNTIFS(GD_Item_FiscalPeriod,CB$1101,GD_Item_Name,$B1112,GD_Update_Date,CB$1099)=0,"NR",SUMIFS(GD_Guidance_High,GD_Item_Name,$B1112,GD_Item_FiscalPeriod,CB$1101,GD_Update_Date,CB$1099)))</f>
        <v/>
      </c>
      <c r="CC1112" s="563">
        <f>IF(ISBLANK(CC$1101),"N/A",IF(COUNTIFS(GD_Item_FiscalPeriod,CC$1101,GD_Item_Name,$B1112,GD_Update_Date,CC$1099)=0,"NR",SUMIFS(GD_Guidance_High,GD_Item_Name,$B1112,GD_Item_FiscalPeriod,CC$1101,GD_Update_Date,CC$1099)))</f>
        <v/>
      </c>
      <c r="CD1112" s="563">
        <f>IF(ISBLANK(CD$1101),"N/A",IF(COUNTIFS(GD_Item_FiscalPeriod,CD$1101,GD_Item_Name,$B1112,GD_Update_Date,CD$1099)=0,"NR",SUMIFS(GD_Guidance_High,GD_Item_Name,$B1112,GD_Item_FiscalPeriod,CD$1101,GD_Update_Date,CD$1099)))</f>
        <v/>
      </c>
      <c r="CE1112" s="563">
        <f>IF(ISBLANK(CE$1101),"N/A",IF(COUNTIFS(GD_Item_FiscalPeriod,CE$1101,GD_Item_Name,$B1112,GD_Update_Date,CE$1099)=0,"NR",SUMIFS(GD_Guidance_High,GD_Item_Name,$B1112,GD_Item_FiscalPeriod,CE$1101,GD_Update_Date,CE$1099)))</f>
        <v/>
      </c>
      <c r="CF1112" s="794">
        <f>IF(ISBLANK(CF$1101),"N/A",IF(COUNTIFS(GD_Item_FiscalPeriod,CF$1101,GD_Item_Name,$B1112,GD_Update_Date,CF$1099)=0,"NR",SUMIFS(GD_Guidance_High,GD_Item_Name,$B1112,GD_Item_FiscalPeriod,CF$1101,GD_Update_Date,CF$1099)))</f>
        <v/>
      </c>
      <c r="CG1112" s="155" t="n"/>
    </row>
    <row r="1113">
      <c r="A1113" s="793" t="inlineStr">
        <is>
          <t>Mid - Capex, mm</t>
        </is>
      </c>
      <c r="B1113" s="1053" t="inlineStr">
        <is>
          <t>MO_CFSum_Capex</t>
        </is>
      </c>
      <c r="C1113" s="1006" t="n"/>
      <c r="D1113" s="1006" t="n"/>
      <c r="E1113" s="563" t="n"/>
      <c r="F1113" s="563" t="n"/>
      <c r="G1113" s="563" t="n"/>
      <c r="H1113" s="563" t="n"/>
      <c r="I1113" s="563" t="n"/>
      <c r="J1113" s="563" t="n"/>
      <c r="K1113" s="563" t="n"/>
      <c r="L1113" s="563" t="n"/>
      <c r="M1113" s="563" t="n"/>
      <c r="N1113" s="563" t="n"/>
      <c r="O1113" s="563" t="n"/>
      <c r="P1113" s="563" t="n"/>
      <c r="Q1113" s="563" t="n"/>
      <c r="R1113" s="563" t="n"/>
      <c r="S1113" s="563" t="n"/>
      <c r="T1113" s="563" t="n"/>
      <c r="U1113" s="563" t="n"/>
      <c r="V1113" s="563" t="n"/>
      <c r="W1113" s="563" t="n"/>
      <c r="X1113" s="563" t="n"/>
      <c r="Y1113" s="563" t="n"/>
      <c r="Z1113" s="563" t="n"/>
      <c r="AA1113" s="563" t="n"/>
      <c r="AB1113" s="563" t="n"/>
      <c r="AC1113" s="563" t="n"/>
      <c r="AD1113" s="563" t="n"/>
      <c r="AE1113" s="563" t="n"/>
      <c r="AF1113" s="563" t="n"/>
      <c r="AG1113" s="563" t="n"/>
      <c r="AH1113" s="563">
        <f>IF(ISBLANK(AH$1101),"N/A",IF(COUNTIFS(GD_Item_FiscalPeriod,AH$1101,GD_Item_Name,$B1113,GD_Update_Date,AH$1099)=0,"NR",SUMIFS(GD_Guidance_Mid,GD_Item_Name,$B1113,GD_Item_FiscalPeriod,AH$1101,GD_Update_Date,AH$1099)))</f>
        <v/>
      </c>
      <c r="AI1113" s="563">
        <f>IF(ISBLANK(AI$1101),"N/A",IF(COUNTIFS(GD_Item_FiscalPeriod,AI$1101,GD_Item_Name,$B1113,GD_Update_Date,AI$1099)=0,"NR",SUMIFS(GD_Guidance_Mid,GD_Item_Name,$B1113,GD_Item_FiscalPeriod,AI$1101,GD_Update_Date,AI$1099)))</f>
        <v/>
      </c>
      <c r="AJ1113" s="563">
        <f>IF(ISBLANK(AJ$1101),"N/A",IF(COUNTIFS(GD_Item_FiscalPeriod,AJ$1101,GD_Item_Name,$B1113,GD_Update_Date,AJ$1099)=0,"NR",SUMIFS(GD_Guidance_Mid,GD_Item_Name,$B1113,GD_Item_FiscalPeriod,AJ$1101,GD_Update_Date,AJ$1099)))</f>
        <v/>
      </c>
      <c r="AK1113" s="563">
        <f>IF(ISBLANK(AK$1101),"N/A",IF(COUNTIFS(GD_Item_FiscalPeriod,AK$1101,GD_Item_Name,$B1113,GD_Update_Date,AK$1099)=0,"NR",SUMIFS(GD_Guidance_Mid,GD_Item_Name,$B1113,GD_Item_FiscalPeriod,AK$1101,GD_Update_Date,AK$1099)))</f>
        <v/>
      </c>
      <c r="AL1113" s="563">
        <f>IF(ISBLANK(AL$1101),"N/A",IF(COUNTIFS(GD_Item_FiscalPeriod,AL$1101,GD_Item_Name,$B1113,GD_Update_Date,AL$1099)=0,"NR",SUMIFS(GD_Guidance_Mid,GD_Item_Name,$B1113,GD_Item_FiscalPeriod,AL$1101,GD_Update_Date,AL$1099)))</f>
        <v/>
      </c>
      <c r="AM1113" s="563">
        <f>IF(ISBLANK(AM$1101),"N/A",IF(COUNTIFS(GD_Item_FiscalPeriod,AM$1101,GD_Item_Name,$B1113,GD_Update_Date,AM$1099)=0,"NR",SUMIFS(GD_Guidance_Mid,GD_Item_Name,$B1113,GD_Item_FiscalPeriod,AM$1101,GD_Update_Date,AM$1099)))</f>
        <v/>
      </c>
      <c r="AN1113" s="563">
        <f>IF(ISBLANK(AN$1101),"N/A",IF(COUNTIFS(GD_Item_FiscalPeriod,AN$1101,GD_Item_Name,$B1113,GD_Update_Date,AN$1099)=0,"NR",SUMIFS(GD_Guidance_Mid,GD_Item_Name,$B1113,GD_Item_FiscalPeriod,AN$1101,GD_Update_Date,AN$1099)))</f>
        <v/>
      </c>
      <c r="AO1113" s="563">
        <f>IF(ISBLANK(AO$1101),"N/A",IF(COUNTIFS(GD_Item_FiscalPeriod,AO$1101,GD_Item_Name,$B1113,GD_Update_Date,AO$1099)=0,"NR",SUMIFS(GD_Guidance_Mid,GD_Item_Name,$B1113,GD_Item_FiscalPeriod,AO$1101,GD_Update_Date,AO$1099)))</f>
        <v/>
      </c>
      <c r="AP1113" s="563">
        <f>IF(ISBLANK(AP$1101),"N/A",IF(COUNTIFS(GD_Item_FiscalPeriod,AP$1101,GD_Item_Name,$B1113,GD_Update_Date,AP$1099)=0,"NR",SUMIFS(GD_Guidance_Mid,GD_Item_Name,$B1113,GD_Item_FiscalPeriod,AP$1101,GD_Update_Date,AP$1099)))</f>
        <v/>
      </c>
      <c r="AQ1113" s="563">
        <f>IF(ISBLANK(AQ$1101),"N/A",IF(COUNTIFS(GD_Item_FiscalPeriod,AQ$1101,GD_Item_Name,$B1113,GD_Update_Date,AQ$1099)=0,"NR",SUMIFS(GD_Guidance_Mid,GD_Item_Name,$B1113,GD_Item_FiscalPeriod,AQ$1101,GD_Update_Date,AQ$1099)))</f>
        <v/>
      </c>
      <c r="AR1113" s="563">
        <f>IF(ISBLANK(AR$1101),"N/A",IF(COUNTIFS(GD_Item_FiscalPeriod,AR$1101,GD_Item_Name,$B1113,GD_Update_Date,AR$1099)=0,"NR",SUMIFS(GD_Guidance_Mid,GD_Item_Name,$B1113,GD_Item_FiscalPeriod,AR$1101,GD_Update_Date,AR$1099)))</f>
        <v/>
      </c>
      <c r="AS1113" s="563">
        <f>IF(ISBLANK(AS$1101),"N/A",IF(COUNTIFS(GD_Item_FiscalPeriod,AS$1101,GD_Item_Name,$B1113,GD_Update_Date,AS$1099)=0,"NR",SUMIFS(GD_Guidance_Mid,GD_Item_Name,$B1113,GD_Item_FiscalPeriod,AS$1101,GD_Update_Date,AS$1099)))</f>
        <v/>
      </c>
      <c r="AT1113" s="563">
        <f>IF(ISBLANK(AT$1101),"N/A",IF(COUNTIFS(GD_Item_FiscalPeriod,AT$1101,GD_Item_Name,$B1113,GD_Update_Date,AT$1099)=0,"NR",SUMIFS(GD_Guidance_Mid,GD_Item_Name,$B1113,GD_Item_FiscalPeriod,AT$1101,GD_Update_Date,AT$1099)))</f>
        <v/>
      </c>
      <c r="AU1113" s="563">
        <f>IF(ISBLANK(AU$1101),"N/A",IF(COUNTIFS(GD_Item_FiscalPeriod,AU$1101,GD_Item_Name,$B1113,GD_Update_Date,AU$1099)=0,"NR",SUMIFS(GD_Guidance_Mid,GD_Item_Name,$B1113,GD_Item_FiscalPeriod,AU$1101,GD_Update_Date,AU$1099)))</f>
        <v/>
      </c>
      <c r="AV1113" s="563">
        <f>IF(ISBLANK(AV$1101),"N/A",IF(COUNTIFS(GD_Item_FiscalPeriod,AV$1101,GD_Item_Name,$B1113,GD_Update_Date,AV$1099)=0,"NR",SUMIFS(GD_Guidance_Mid,GD_Item_Name,$B1113,GD_Item_FiscalPeriod,AV$1101,GD_Update_Date,AV$1099)))</f>
        <v/>
      </c>
      <c r="AW1113" s="563">
        <f>IF(ISBLANK(AW$1101),"N/A",IF(COUNTIFS(GD_Item_FiscalPeriod,AW$1101,GD_Item_Name,$B1113,GD_Update_Date,AW$1099)=0,"NR",SUMIFS(GD_Guidance_Mid,GD_Item_Name,$B1113,GD_Item_FiscalPeriod,AW$1101,GD_Update_Date,AW$1099)))</f>
        <v/>
      </c>
      <c r="AX1113" s="563">
        <f>IF(ISBLANK(AX$1101),"N/A",IF(COUNTIFS(GD_Item_FiscalPeriod,AX$1101,GD_Item_Name,$B1113,GD_Update_Date,AX$1099)=0,"NR",SUMIFS(GD_Guidance_Mid,GD_Item_Name,$B1113,GD_Item_FiscalPeriod,AX$1101,GD_Update_Date,AX$1099)))</f>
        <v/>
      </c>
      <c r="AY1113" s="563">
        <f>IF(ISBLANK(AY$1101),"N/A",IF(COUNTIFS(GD_Item_FiscalPeriod,AY$1101,GD_Item_Name,$B1113,GD_Update_Date,AY$1099)=0,"NR",SUMIFS(GD_Guidance_Mid,GD_Item_Name,$B1113,GD_Item_FiscalPeriod,AY$1101,GD_Update_Date,AY$1099)))</f>
        <v/>
      </c>
      <c r="AZ1113" s="563">
        <f>IF(ISBLANK(AZ$1101),"N/A",IF(COUNTIFS(GD_Item_FiscalPeriod,AZ$1101,GD_Item_Name,$B1113,GD_Update_Date,AZ$1099)=0,"NR",SUMIFS(GD_Guidance_Mid,GD_Item_Name,$B1113,GD_Item_FiscalPeriod,AZ$1101,GD_Update_Date,AZ$1099)))</f>
        <v/>
      </c>
      <c r="BA1113" s="563">
        <f>IF(ISBLANK(BA$1101),"N/A",IF(COUNTIFS(GD_Item_FiscalPeriod,BA$1101,GD_Item_Name,$B1113,GD_Update_Date,BA$1099)=0,"NR",SUMIFS(GD_Guidance_Mid,GD_Item_Name,$B1113,GD_Item_FiscalPeriod,BA$1101,GD_Update_Date,BA$1099)))</f>
        <v/>
      </c>
      <c r="BB1113" s="563">
        <f>IF(ISBLANK(BB$1101),"N/A",IF(COUNTIFS(GD_Item_FiscalPeriod,BB$1101,GD_Item_Name,$B1113,GD_Update_Date,BB$1099)=0,"NR",SUMIFS(GD_Guidance_Mid,GD_Item_Name,$B1113,GD_Item_FiscalPeriod,BB$1101,GD_Update_Date,BB$1099)))</f>
        <v/>
      </c>
      <c r="BC1113" s="563">
        <f>IF(ISBLANK(BC$1101),"N/A",IF(COUNTIFS(GD_Item_FiscalPeriod,BC$1101,GD_Item_Name,$B1113,GD_Update_Date,BC$1099)=0,"NR",SUMIFS(GD_Guidance_Mid,GD_Item_Name,$B1113,GD_Item_FiscalPeriod,BC$1101,GD_Update_Date,BC$1099)))</f>
        <v/>
      </c>
      <c r="BD1113" s="563">
        <f>IF(ISBLANK(BD$1101),"N/A",IF(COUNTIFS(GD_Item_FiscalPeriod,BD$1101,GD_Item_Name,$B1113,GD_Update_Date,BD$1099)=0,"NR",SUMIFS(GD_Guidance_Mid,GD_Item_Name,$B1113,GD_Item_FiscalPeriod,BD$1101,GD_Update_Date,BD$1099)))</f>
        <v/>
      </c>
      <c r="BE1113" s="563">
        <f>IF(ISBLANK(BE$1101),"N/A",IF(COUNTIFS(GD_Item_FiscalPeriod,BE$1101,GD_Item_Name,$B1113,GD_Update_Date,BE$1099)=0,"NR",SUMIFS(GD_Guidance_Mid,GD_Item_Name,$B1113,GD_Item_FiscalPeriod,BE$1101,GD_Update_Date,BE$1099)))</f>
        <v/>
      </c>
      <c r="BF1113" s="563">
        <f>IF(ISBLANK(BF$1101),"N/A",IF(COUNTIFS(GD_Item_FiscalPeriod,BF$1101,GD_Item_Name,$B1113,GD_Update_Date,BF$1099)=0,"NR",SUMIFS(GD_Guidance_Mid,GD_Item_Name,$B1113,GD_Item_FiscalPeriod,BF$1101,GD_Update_Date,BF$1099)))</f>
        <v/>
      </c>
      <c r="BG1113" s="563">
        <f>IF(ISBLANK(BG$1101),"N/A",IF(COUNTIFS(GD_Item_FiscalPeriod,BG$1101,GD_Item_Name,$B1113,GD_Update_Date,BG$1099)=0,"NR",SUMIFS(GD_Guidance_Mid,GD_Item_Name,$B1113,GD_Item_FiscalPeriod,BG$1101,GD_Update_Date,BG$1099)))</f>
        <v/>
      </c>
      <c r="BH1113" s="563">
        <f>IF(ISBLANK(BH$1101),"N/A",IF(COUNTIFS(GD_Item_FiscalPeriod,BH$1101,GD_Item_Name,$B1113,GD_Update_Date,BH$1099)=0,"NR",SUMIFS(GD_Guidance_Mid,GD_Item_Name,$B1113,GD_Item_FiscalPeriod,BH$1101,GD_Update_Date,BH$1099)))</f>
        <v/>
      </c>
      <c r="BI1113" s="563">
        <f>IF(ISBLANK(BI$1101),"N/A",IF(COUNTIFS(GD_Item_FiscalPeriod,BI$1101,GD_Item_Name,$B1113,GD_Update_Date,BI$1099)=0,"NR",SUMIFS(GD_Guidance_Mid,GD_Item_Name,$B1113,GD_Item_FiscalPeriod,BI$1101,GD_Update_Date,BI$1099)))</f>
        <v/>
      </c>
      <c r="BJ1113" s="563">
        <f>IF(ISBLANK(BJ$1101),"N/A",IF(COUNTIFS(GD_Item_FiscalPeriod,BJ$1101,GD_Item_Name,$B1113,GD_Update_Date,BJ$1099)=0,"NR",SUMIFS(GD_Guidance_Mid,GD_Item_Name,$B1113,GD_Item_FiscalPeriod,BJ$1101,GD_Update_Date,BJ$1099)))</f>
        <v/>
      </c>
      <c r="BK1113" s="563">
        <f>IF(ISBLANK(BK$1101),"N/A",IF(COUNTIFS(GD_Item_FiscalPeriod,BK$1101,GD_Item_Name,$B1113,GD_Update_Date,BK$1099)=0,"NR",SUMIFS(GD_Guidance_Mid,GD_Item_Name,$B1113,GD_Item_FiscalPeriod,BK$1101,GD_Update_Date,BK$1099)))</f>
        <v/>
      </c>
      <c r="BL1113" s="563">
        <f>IF(ISBLANK(BL$1101),"N/A",IF(COUNTIFS(GD_Item_FiscalPeriod,BL$1101,GD_Item_Name,$B1113,GD_Update_Date,BL$1099)=0,"NR",SUMIFS(GD_Guidance_Mid,GD_Item_Name,$B1113,GD_Item_FiscalPeriod,BL$1101,GD_Update_Date,BL$1099)))</f>
        <v/>
      </c>
      <c r="BM1113" s="563">
        <f>IF(ISBLANK(BM$1101),"N/A",IF(COUNTIFS(GD_Item_FiscalPeriod,BM$1101,GD_Item_Name,$B1113,GD_Update_Date,BM$1099)=0,"NR",SUMIFS(GD_Guidance_Mid,GD_Item_Name,$B1113,GD_Item_FiscalPeriod,BM$1101,GD_Update_Date,BM$1099)))</f>
        <v/>
      </c>
      <c r="BN1113" s="563">
        <f>IF(ISBLANK(BN$1101),"N/A",IF(COUNTIFS(GD_Item_FiscalPeriod,BN$1101,GD_Item_Name,$B1113,GD_Update_Date,BN$1099)=0,"NR",SUMIFS(GD_Guidance_Mid,GD_Item_Name,$B1113,GD_Item_FiscalPeriod,BN$1101,GD_Update_Date,BN$1099)))</f>
        <v/>
      </c>
      <c r="BO1113" s="563">
        <f>IF(ISBLANK(BO$1101),"N/A",IF(COUNTIFS(GD_Item_FiscalPeriod,BO$1101,GD_Item_Name,$B1113,GD_Update_Date,BO$1099)=0,"NR",SUMIFS(GD_Guidance_Mid,GD_Item_Name,$B1113,GD_Item_FiscalPeriod,BO$1101,GD_Update_Date,BO$1099)))</f>
        <v/>
      </c>
      <c r="BP1113" s="563">
        <f>IF(ISBLANK(BP$1101),"N/A",IF(COUNTIFS(GD_Item_FiscalPeriod,BP$1101,GD_Item_Name,$B1113,GD_Update_Date,BP$1099)=0,"NR",SUMIFS(GD_Guidance_Mid,GD_Item_Name,$B1113,GD_Item_FiscalPeriod,BP$1101,GD_Update_Date,BP$1099)))</f>
        <v/>
      </c>
      <c r="BQ1113" s="563">
        <f>IF(ISBLANK(BQ$1101),"N/A",IF(COUNTIFS(GD_Item_FiscalPeriod,BQ$1101,GD_Item_Name,$B1113,GD_Update_Date,BQ$1099)=0,"NR",SUMIFS(GD_Guidance_Mid,GD_Item_Name,$B1113,GD_Item_FiscalPeriod,BQ$1101,GD_Update_Date,BQ$1099)))</f>
        <v/>
      </c>
      <c r="BR1113" s="563">
        <f>IF(ISBLANK(BR$1101),"N/A",IF(COUNTIFS(GD_Item_FiscalPeriod,BR$1101,GD_Item_Name,$B1113,GD_Update_Date,BR$1099)=0,"NR",SUMIFS(GD_Guidance_Mid,GD_Item_Name,$B1113,GD_Item_FiscalPeriod,BR$1101,GD_Update_Date,BR$1099)))</f>
        <v/>
      </c>
      <c r="BS1113" s="563">
        <f>IF(ISBLANK(BS$1101),"N/A",IF(COUNTIFS(GD_Item_FiscalPeriod,BS$1101,GD_Item_Name,$B1113,GD_Update_Date,BS$1099)=0,"NR",SUMIFS(GD_Guidance_Mid,GD_Item_Name,$B1113,GD_Item_FiscalPeriod,BS$1101,GD_Update_Date,BS$1099)))</f>
        <v/>
      </c>
      <c r="BT1113" s="563">
        <f>IF(ISBLANK(BT$1101),"N/A",IF(COUNTIFS(GD_Item_FiscalPeriod,BT$1101,GD_Item_Name,$B1113,GD_Update_Date,BT$1099)=0,"NR",SUMIFS(GD_Guidance_Mid,GD_Item_Name,$B1113,GD_Item_FiscalPeriod,BT$1101,GD_Update_Date,BT$1099)))</f>
        <v/>
      </c>
      <c r="BU1113" s="563">
        <f>IF(ISBLANK(BU$1101),"N/A",IF(COUNTIFS(GD_Item_FiscalPeriod,BU$1101,GD_Item_Name,$B1113,GD_Update_Date,BU$1099)=0,"NR",SUMIFS(GD_Guidance_Mid,GD_Item_Name,$B1113,GD_Item_FiscalPeriod,BU$1101,GD_Update_Date,BU$1099)))</f>
        <v/>
      </c>
      <c r="BV1113" s="731">
        <f>IF(ISBLANK(BV$1101),"N/A",IF(COUNTIFS(GD_Item_FiscalPeriod,BV$1101,GD_Item_Name,$B1113,GD_Update_Date,BV$1099)=0,"NR",SUMIFS(GD_Guidance_Mid,GD_Item_Name,$B1113,GD_Item_FiscalPeriod,BV$1101,GD_Update_Date,BV$1099)))</f>
        <v/>
      </c>
      <c r="BW1113" s="563">
        <f>IF(ISBLANK(BW$1101),"N/A",IF(COUNTIFS(GD_Item_FiscalPeriod,BW$1101,GD_Item_Name,$B1113,GD_Update_Date,BW$1099)=0,"NR",SUMIFS(GD_Guidance_Mid,GD_Item_Name,$B1113,GD_Item_FiscalPeriod,BW$1101,GD_Update_Date,BW$1099)))</f>
        <v/>
      </c>
      <c r="BX1113" s="563">
        <f>IF(ISBLANK(BX$1101),"N/A",IF(COUNTIFS(GD_Item_FiscalPeriod,BX$1101,GD_Item_Name,$B1113,GD_Update_Date,BX$1099)=0,"NR",SUMIFS(GD_Guidance_Mid,GD_Item_Name,$B1113,GD_Item_FiscalPeriod,BX$1101,GD_Update_Date,BX$1099)))</f>
        <v/>
      </c>
      <c r="BY1113" s="563">
        <f>IF(ISBLANK(BY$1101),"N/A",IF(COUNTIFS(GD_Item_FiscalPeriod,BY$1101,GD_Item_Name,$B1113,GD_Update_Date,BY$1099)=0,"NR",SUMIFS(GD_Guidance_Mid,GD_Item_Name,$B1113,GD_Item_FiscalPeriod,BY$1101,GD_Update_Date,BY$1099)))</f>
        <v/>
      </c>
      <c r="BZ1113" s="563">
        <f>IF(ISBLANK(BZ$1101),"N/A",IF(COUNTIFS(GD_Item_FiscalPeriod,BZ$1101,GD_Item_Name,$B1113,GD_Update_Date,BZ$1099)=0,"NR",SUMIFS(GD_Guidance_Mid,GD_Item_Name,$B1113,GD_Item_FiscalPeriod,BZ$1101,GD_Update_Date,BZ$1099)))</f>
        <v/>
      </c>
      <c r="CA1113" s="563">
        <f>IF(ISBLANK(CA$1101),"N/A",IF(COUNTIFS(GD_Item_FiscalPeriod,CA$1101,GD_Item_Name,$B1113,GD_Update_Date,CA$1099)=0,"NR",SUMIFS(GD_Guidance_Mid,GD_Item_Name,$B1113,GD_Item_FiscalPeriod,CA$1101,GD_Update_Date,CA$1099)))</f>
        <v/>
      </c>
      <c r="CB1113" s="563">
        <f>IF(ISBLANK(CB$1101),"N/A",IF(COUNTIFS(GD_Item_FiscalPeriod,CB$1101,GD_Item_Name,$B1113,GD_Update_Date,CB$1099)=0,"NR",SUMIFS(GD_Guidance_Mid,GD_Item_Name,$B1113,GD_Item_FiscalPeriod,CB$1101,GD_Update_Date,CB$1099)))</f>
        <v/>
      </c>
      <c r="CC1113" s="563">
        <f>IF(ISBLANK(CC$1101),"N/A",IF(COUNTIFS(GD_Item_FiscalPeriod,CC$1101,GD_Item_Name,$B1113,GD_Update_Date,CC$1099)=0,"NR",SUMIFS(GD_Guidance_Mid,GD_Item_Name,$B1113,GD_Item_FiscalPeriod,CC$1101,GD_Update_Date,CC$1099)))</f>
        <v/>
      </c>
      <c r="CD1113" s="563">
        <f>IF(ISBLANK(CD$1101),"N/A",IF(COUNTIFS(GD_Item_FiscalPeriod,CD$1101,GD_Item_Name,$B1113,GD_Update_Date,CD$1099)=0,"NR",SUMIFS(GD_Guidance_Mid,GD_Item_Name,$B1113,GD_Item_FiscalPeriod,CD$1101,GD_Update_Date,CD$1099)))</f>
        <v/>
      </c>
      <c r="CE1113" s="563">
        <f>IF(ISBLANK(CE$1101),"N/A",IF(COUNTIFS(GD_Item_FiscalPeriod,CE$1101,GD_Item_Name,$B1113,GD_Update_Date,CE$1099)=0,"NR",SUMIFS(GD_Guidance_Mid,GD_Item_Name,$B1113,GD_Item_FiscalPeriod,CE$1101,GD_Update_Date,CE$1099)))</f>
        <v/>
      </c>
      <c r="CF1113" s="794">
        <f>IF(ISBLANK(CF$1101),"N/A",IF(COUNTIFS(GD_Item_FiscalPeriod,CF$1101,GD_Item_Name,$B1113,GD_Update_Date,CF$1099)=0,"NR",SUMIFS(GD_Guidance_Mid,GD_Item_Name,$B1113,GD_Item_FiscalPeriod,CF$1101,GD_Update_Date,CF$1099)))</f>
        <v/>
      </c>
      <c r="CG1113" s="155" t="n"/>
    </row>
    <row r="1114">
      <c r="A1114" s="744" t="n"/>
      <c r="B1114" s="109" t="n"/>
      <c r="C1114" s="740" t="n"/>
      <c r="D1114" s="740" t="n"/>
      <c r="E1114" s="109" t="n"/>
      <c r="F1114" s="109" t="n"/>
      <c r="G1114" s="109" t="n"/>
      <c r="H1114" s="109" t="n"/>
      <c r="I1114" s="109" t="n"/>
      <c r="J1114" s="109" t="n"/>
      <c r="K1114" s="109" t="n"/>
      <c r="L1114" s="109" t="n"/>
      <c r="M1114" s="109" t="n"/>
      <c r="N1114" s="109" t="n"/>
      <c r="O1114" s="109" t="n"/>
      <c r="P1114" s="109" t="n"/>
      <c r="Q1114" s="109" t="n"/>
      <c r="R1114" s="109" t="n"/>
      <c r="S1114" s="109" t="n"/>
      <c r="T1114" s="109" t="n"/>
      <c r="U1114" s="109" t="n"/>
      <c r="V1114" s="109" t="n"/>
      <c r="W1114" s="109" t="n"/>
      <c r="X1114" s="109" t="n"/>
      <c r="Y1114" s="109" t="n"/>
      <c r="Z1114" s="109" t="n"/>
      <c r="AA1114" s="109" t="n"/>
      <c r="AB1114" s="109" t="n"/>
      <c r="AC1114" s="109" t="n"/>
      <c r="AD1114" s="109" t="n"/>
      <c r="AE1114" s="109" t="n"/>
      <c r="AF1114" s="109" t="n"/>
      <c r="AG1114" s="109" t="n"/>
      <c r="AH1114" s="109" t="n"/>
      <c r="AI1114" s="109" t="n"/>
      <c r="AJ1114" s="109" t="n"/>
      <c r="AK1114" s="109" t="n"/>
      <c r="AL1114" s="109" t="n"/>
      <c r="AM1114" s="109" t="n"/>
      <c r="AN1114" s="109" t="n"/>
      <c r="AO1114" s="109" t="n"/>
      <c r="AP1114" s="109" t="n"/>
      <c r="AQ1114" s="109" t="n"/>
      <c r="AR1114" s="109" t="n"/>
      <c r="AS1114" s="109" t="n"/>
      <c r="AT1114" s="109" t="n"/>
      <c r="AU1114" s="109" t="n"/>
      <c r="AV1114" s="109" t="n"/>
      <c r="AW1114" s="109" t="n"/>
      <c r="AX1114" s="109" t="n"/>
      <c r="AY1114" s="109" t="n"/>
      <c r="AZ1114" s="109" t="n"/>
      <c r="BA1114" s="109" t="n"/>
      <c r="BB1114" s="109" t="n"/>
      <c r="BC1114" s="109" t="n"/>
      <c r="BD1114" s="109" t="n"/>
      <c r="BE1114" s="109" t="n"/>
      <c r="BF1114" s="109" t="n"/>
      <c r="BG1114" s="109" t="n"/>
      <c r="BH1114" s="109" t="n"/>
      <c r="BI1114" s="109" t="n"/>
      <c r="BJ1114" s="109" t="n"/>
      <c r="BK1114" s="109" t="n"/>
      <c r="BL1114" s="109" t="n"/>
      <c r="BM1114" s="109" t="n"/>
      <c r="BN1114" s="109" t="n"/>
      <c r="BO1114" s="109" t="n"/>
      <c r="BP1114" s="109" t="n"/>
      <c r="BQ1114" s="109" t="n"/>
      <c r="BR1114" s="109" t="n"/>
      <c r="BS1114" s="109" t="n"/>
      <c r="BT1114" s="109" t="n"/>
      <c r="BU1114" s="109" t="n"/>
      <c r="BV1114" s="730" t="n"/>
      <c r="BW1114" s="109" t="n"/>
      <c r="BX1114" s="109" t="n"/>
      <c r="BY1114" s="109" t="n"/>
      <c r="BZ1114" s="109" t="n"/>
      <c r="CA1114" s="109" t="n"/>
      <c r="CB1114" s="109" t="n"/>
      <c r="CC1114" s="109" t="n"/>
      <c r="CD1114" s="109" t="n"/>
      <c r="CE1114" s="109" t="n"/>
      <c r="CF1114" s="741" t="n"/>
      <c r="CG1114" s="155" t="n"/>
    </row>
    <row r="1115">
      <c r="A1115" s="253" t="n"/>
      <c r="B1115" s="68" t="n"/>
      <c r="C1115" s="1003" t="n"/>
      <c r="D1115" s="1003" t="n"/>
      <c r="E1115" s="68" t="n"/>
      <c r="F1115" s="68" t="n"/>
      <c r="G1115" s="68" t="n"/>
      <c r="H1115" s="68" t="n"/>
      <c r="I1115" s="68" t="n"/>
      <c r="J1115" s="68" t="n"/>
      <c r="K1115" s="68" t="n"/>
      <c r="L1115" s="68" t="n"/>
      <c r="M1115" s="68" t="n"/>
      <c r="N1115" s="68" t="n"/>
      <c r="O1115" s="68" t="n"/>
      <c r="P1115" s="68" t="n"/>
      <c r="Q1115" s="68" t="n"/>
      <c r="R1115" s="68" t="n"/>
      <c r="S1115" s="68" t="n"/>
      <c r="T1115" s="68" t="n"/>
      <c r="U1115" s="68" t="n"/>
      <c r="V1115" s="68" t="n"/>
      <c r="W1115" s="68" t="n"/>
      <c r="X1115" s="68" t="n"/>
      <c r="Y1115" s="68" t="n"/>
      <c r="Z1115" s="68" t="n"/>
      <c r="AA1115" s="68" t="n"/>
      <c r="AB1115" s="68" t="n"/>
      <c r="AC1115" s="68" t="n"/>
      <c r="AD1115" s="68" t="n"/>
      <c r="AE1115" s="68" t="n"/>
      <c r="AF1115" s="68" t="n"/>
      <c r="AG1115" s="68" t="n"/>
      <c r="AH1115" s="68" t="n"/>
      <c r="AI1115" s="68" t="n"/>
      <c r="AJ1115" s="68" t="n"/>
      <c r="AK1115" s="68" t="n"/>
      <c r="AL1115" s="68" t="n"/>
      <c r="AM1115" s="68" t="n"/>
      <c r="AN1115" s="68" t="n"/>
      <c r="AO1115" s="68" t="n"/>
      <c r="AP1115" s="68" t="n"/>
      <c r="AQ1115" s="68" t="n"/>
      <c r="AR1115" s="68" t="n"/>
      <c r="AS1115" s="68" t="n"/>
      <c r="AT1115" s="68" t="n"/>
      <c r="AU1115" s="68" t="n"/>
      <c r="AV1115" s="68" t="n"/>
      <c r="AW1115" s="68" t="n"/>
      <c r="AX1115" s="68" t="n"/>
      <c r="AY1115" s="68" t="n"/>
      <c r="AZ1115" s="68" t="n"/>
      <c r="BA1115" s="68" t="n"/>
      <c r="BB1115" s="68" t="n"/>
      <c r="BC1115" s="68" t="n"/>
      <c r="BD1115" s="68" t="n"/>
      <c r="BE1115" s="68" t="n"/>
      <c r="BF1115" s="68" t="n"/>
      <c r="BG1115" s="68" t="n"/>
      <c r="BH1115" s="68" t="n"/>
      <c r="BI1115" s="68" t="n"/>
      <c r="BJ1115" s="68" t="n"/>
      <c r="BK1115" s="68" t="n"/>
      <c r="BL1115" s="68" t="n"/>
      <c r="BM1115" s="68" t="n"/>
      <c r="BN1115" s="68" t="n"/>
      <c r="BO1115" s="68" t="n"/>
      <c r="BP1115" s="68" t="n"/>
      <c r="BQ1115" s="68" t="n"/>
      <c r="BR1115" s="68" t="n"/>
      <c r="BS1115" s="68" t="n"/>
      <c r="BT1115" s="68" t="n"/>
      <c r="BU1115" s="68" t="n"/>
      <c r="BV1115" s="588" t="n"/>
      <c r="BW1115" s="68" t="n"/>
      <c r="BX1115" s="68" t="n"/>
      <c r="BY1115" s="68" t="n"/>
      <c r="BZ1115" s="68" t="n"/>
      <c r="CA1115" s="68" t="n"/>
      <c r="CB1115" s="68" t="n"/>
      <c r="CC1115" s="68" t="n"/>
      <c r="CD1115" s="68" t="n"/>
      <c r="CE1115" s="68" t="n"/>
      <c r="CF1115" s="68" t="n"/>
      <c r="CG1115" s="155" t="n"/>
    </row>
    <row r="1116">
      <c r="A1116" s="1040" t="inlineStr">
        <is>
          <t>Consensus Estimate Table</t>
        </is>
      </c>
      <c r="B1116" s="351" t="n"/>
      <c r="C1116" s="351" t="n"/>
      <c r="D1116" s="351" t="n"/>
      <c r="E1116" s="351" t="n"/>
      <c r="F1116" s="351" t="n"/>
      <c r="G1116" s="351" t="n"/>
      <c r="H1116" s="351" t="n"/>
      <c r="I1116" s="351" t="n"/>
      <c r="J1116" s="351" t="n"/>
      <c r="K1116" s="351" t="n"/>
      <c r="L1116" s="351" t="n"/>
      <c r="M1116" s="351" t="n"/>
      <c r="N1116" s="351" t="n"/>
      <c r="O1116" s="351" t="n"/>
      <c r="P1116" s="351" t="n"/>
      <c r="Q1116" s="351" t="n"/>
      <c r="R1116" s="351" t="n"/>
      <c r="S1116" s="351" t="n"/>
      <c r="T1116" s="351" t="n"/>
      <c r="U1116" s="351" t="n"/>
      <c r="V1116" s="351" t="n"/>
      <c r="W1116" s="351" t="n"/>
      <c r="X1116" s="351" t="n"/>
      <c r="Y1116" s="351" t="n"/>
      <c r="Z1116" s="351" t="n"/>
      <c r="AA1116" s="351" t="n"/>
      <c r="AB1116" s="351" t="n"/>
      <c r="AC1116" s="351" t="n"/>
      <c r="AD1116" s="351" t="n"/>
      <c r="AE1116" s="351" t="n"/>
      <c r="AF1116" s="351" t="n"/>
      <c r="AG1116" s="351" t="n"/>
      <c r="AH1116" s="351" t="n"/>
      <c r="AI1116" s="351" t="n"/>
      <c r="AJ1116" s="351" t="n"/>
      <c r="AK1116" s="351" t="n"/>
      <c r="AL1116" s="351" t="n"/>
      <c r="AM1116" s="351" t="n"/>
      <c r="AN1116" s="351" t="n"/>
      <c r="AO1116" s="351" t="n"/>
      <c r="AP1116" s="351" t="n"/>
      <c r="AQ1116" s="351" t="n"/>
      <c r="AR1116" s="351" t="n"/>
      <c r="AS1116" s="351" t="n"/>
      <c r="AT1116" s="351" t="n"/>
      <c r="AU1116" s="351" t="n"/>
      <c r="AV1116" s="351" t="n"/>
      <c r="AW1116" s="351" t="n"/>
      <c r="AX1116" s="351" t="n"/>
      <c r="AY1116" s="351" t="n"/>
      <c r="AZ1116" s="351" t="n"/>
      <c r="BA1116" s="351" t="n"/>
      <c r="BB1116" s="351" t="n"/>
      <c r="BC1116" s="351" t="n"/>
      <c r="BD1116" s="351" t="n"/>
      <c r="BE1116" s="351" t="n"/>
      <c r="BF1116" s="351" t="n"/>
      <c r="BG1116" s="351" t="n"/>
      <c r="BH1116" s="351" t="n"/>
      <c r="BI1116" s="351" t="n"/>
      <c r="BJ1116" s="351" t="n"/>
      <c r="BK1116" s="351" t="n"/>
      <c r="BL1116" s="351" t="n"/>
      <c r="BM1116" s="351" t="n"/>
      <c r="BN1116" s="351" t="n"/>
      <c r="BO1116" s="351" t="n"/>
      <c r="BP1116" s="351" t="n"/>
      <c r="BQ1116" s="351" t="n"/>
      <c r="BR1116" s="351" t="n"/>
      <c r="BS1116" s="351" t="n"/>
      <c r="BT1116" s="351" t="n"/>
      <c r="BU1116" s="351" t="n"/>
      <c r="BV1116" s="1039" t="n"/>
      <c r="BW1116" s="351">
        <f>BW5</f>
        <v/>
      </c>
      <c r="BX1116" s="351">
        <f>BX5</f>
        <v/>
      </c>
      <c r="BY1116" s="351">
        <f>BY5</f>
        <v/>
      </c>
      <c r="BZ1116" s="351">
        <f>BZ5</f>
        <v/>
      </c>
      <c r="CA1116" s="351">
        <f>CA5</f>
        <v/>
      </c>
      <c r="CB1116" s="351">
        <f>CB5</f>
        <v/>
      </c>
      <c r="CC1116" s="351">
        <f>CC5</f>
        <v/>
      </c>
      <c r="CD1116" s="351">
        <f>CD5</f>
        <v/>
      </c>
      <c r="CE1116" s="351">
        <f>CE5</f>
        <v/>
      </c>
      <c r="CF1116" s="1041">
        <f>CF5</f>
        <v/>
      </c>
      <c r="CG1116" s="155" t="n"/>
    </row>
    <row r="1117">
      <c r="A1117" s="1042" t="inlineStr">
        <is>
          <t>FY or FQ</t>
        </is>
      </c>
      <c r="B1117" s="378" t="n"/>
      <c r="C1117" s="378" t="n"/>
      <c r="D1117" s="378" t="n"/>
      <c r="E1117" s="378" t="n"/>
      <c r="F1117" s="378" t="n"/>
      <c r="G1117" s="378" t="n"/>
      <c r="H1117" s="378" t="n"/>
      <c r="I1117" s="378" t="n"/>
      <c r="J1117" s="378" t="n"/>
      <c r="K1117" s="378" t="n"/>
      <c r="L1117" s="378" t="n"/>
      <c r="M1117" s="378" t="n"/>
      <c r="N1117" s="378" t="n"/>
      <c r="O1117" s="378" t="n"/>
      <c r="P1117" s="378" t="n"/>
      <c r="Q1117" s="378" t="n"/>
      <c r="R1117" s="378" t="n"/>
      <c r="S1117" s="378" t="n"/>
      <c r="T1117" s="378" t="n"/>
      <c r="U1117" s="378" t="n"/>
      <c r="V1117" s="378" t="n"/>
      <c r="W1117" s="378" t="n"/>
      <c r="X1117" s="378" t="n"/>
      <c r="Y1117" s="378" t="n"/>
      <c r="Z1117" s="378" t="n"/>
      <c r="AA1117" s="378" t="n"/>
      <c r="AB1117" s="378" t="n"/>
      <c r="AC1117" s="378" t="n"/>
      <c r="AD1117" s="378" t="n"/>
      <c r="AE1117" s="378" t="n"/>
      <c r="AF1117" s="378" t="n"/>
      <c r="AG1117" s="378" t="n"/>
      <c r="AH1117" s="378" t="n"/>
      <c r="AI1117" s="378" t="n"/>
      <c r="AJ1117" s="378" t="n"/>
      <c r="AK1117" s="378" t="n"/>
      <c r="AL1117" s="378" t="n"/>
      <c r="AM1117" s="378" t="n"/>
      <c r="AN1117" s="378" t="n"/>
      <c r="AO1117" s="378" t="n"/>
      <c r="AP1117" s="378" t="n"/>
      <c r="AQ1117" s="378" t="n"/>
      <c r="AR1117" s="378" t="n"/>
      <c r="AS1117" s="378" t="n"/>
      <c r="AT1117" s="378" t="n"/>
      <c r="AU1117" s="378" t="n"/>
      <c r="AV1117" s="378" t="n"/>
      <c r="AW1117" s="378" t="n"/>
      <c r="AX1117" s="378" t="n"/>
      <c r="AY1117" s="378" t="n"/>
      <c r="AZ1117" s="378" t="n"/>
      <c r="BA1117" s="378" t="n"/>
      <c r="BB1117" s="378" t="n"/>
      <c r="BC1117" s="378" t="n"/>
      <c r="BD1117" s="378" t="n"/>
      <c r="BE1117" s="378" t="n"/>
      <c r="BF1117" s="378" t="n"/>
      <c r="BG1117" s="378" t="n"/>
      <c r="BH1117" s="378" t="n"/>
      <c r="BI1117" s="378" t="n"/>
      <c r="BJ1117" s="378" t="n"/>
      <c r="BK1117" s="378" t="n"/>
      <c r="BL1117" s="378" t="n"/>
      <c r="BM1117" s="378" t="n"/>
      <c r="BN1117" s="378" t="n"/>
      <c r="BO1117" s="378" t="n"/>
      <c r="BP1117" s="378" t="n"/>
      <c r="BQ1117" s="378" t="n"/>
      <c r="BR1117" s="378" t="n"/>
      <c r="BS1117" s="378" t="n"/>
      <c r="BT1117" s="378" t="n"/>
      <c r="BU1117" s="378" t="n"/>
      <c r="BV1117" s="1037" t="n"/>
      <c r="BW1117" s="378">
        <f>IF(MO.DataSourceIndex=3,IF(LEFT(INDIRECT(ADDRESS(ROW()-1,COLUMN())),2)="FY","ANNUAL",IF(LEFT(INDIRECT(ADDRESS(ROW()-1,COLUMN())),1)="Q","QUARTERLY","")),IF(LEFT(INDIRECT(ADDRESS(ROW()-1,COLUMN())),2)="FY","FY",IF(LEFT(INDIRECT(ADDRESS(ROW()-1,COLUMN())),1)="Q","FQ","FS")))</f>
        <v/>
      </c>
      <c r="BX1117" s="378">
        <f>IF(MO.DataSourceIndex=3,IF(LEFT(INDIRECT(ADDRESS(ROW()-1,COLUMN())),2)="FY","ANNUAL",IF(LEFT(INDIRECT(ADDRESS(ROW()-1,COLUMN())),1)="Q","QUARTERLY","")),IF(LEFT(INDIRECT(ADDRESS(ROW()-1,COLUMN())),2)="FY","FY",IF(LEFT(INDIRECT(ADDRESS(ROW()-1,COLUMN())),1)="Q","FQ","FS")))</f>
        <v/>
      </c>
      <c r="BY1117" s="378">
        <f>IF(MO.DataSourceIndex=3,IF(LEFT(INDIRECT(ADDRESS(ROW()-1,COLUMN())),2)="FY","ANNUAL",IF(LEFT(INDIRECT(ADDRESS(ROW()-1,COLUMN())),1)="Q","QUARTERLY","")),IF(LEFT(INDIRECT(ADDRESS(ROW()-1,COLUMN())),2)="FY","FY",IF(LEFT(INDIRECT(ADDRESS(ROW()-1,COLUMN())),1)="Q","FQ","FS")))</f>
        <v/>
      </c>
      <c r="BZ1117" s="378">
        <f>IF(MO.DataSourceIndex=3,IF(LEFT(INDIRECT(ADDRESS(ROW()-1,COLUMN())),2)="FY","ANNUAL",IF(LEFT(INDIRECT(ADDRESS(ROW()-1,COLUMN())),1)="Q","QUARTERLY","")),IF(LEFT(INDIRECT(ADDRESS(ROW()-1,COLUMN())),2)="FY","FY",IF(LEFT(INDIRECT(ADDRESS(ROW()-1,COLUMN())),1)="Q","FQ","FS")))</f>
        <v/>
      </c>
      <c r="CA1117" s="378">
        <f>IF(MO.DataSourceIndex=3,IF(LEFT(INDIRECT(ADDRESS(ROW()-1,COLUMN())),2)="FY","ANNUAL",IF(LEFT(INDIRECT(ADDRESS(ROW()-1,COLUMN())),1)="Q","QUARTERLY","")),IF(LEFT(INDIRECT(ADDRESS(ROW()-1,COLUMN())),2)="FY","FY",IF(LEFT(INDIRECT(ADDRESS(ROW()-1,COLUMN())),1)="Q","FQ","FS")))</f>
        <v/>
      </c>
      <c r="CB1117" s="378">
        <f>IF(MO.DataSourceIndex=3,IF(LEFT(INDIRECT(ADDRESS(ROW()-1,COLUMN())),2)="FY","ANNUAL",IF(LEFT(INDIRECT(ADDRESS(ROW()-1,COLUMN())),1)="Q","QUARTERLY","")),IF(LEFT(INDIRECT(ADDRESS(ROW()-1,COLUMN())),2)="FY","FY",IF(LEFT(INDIRECT(ADDRESS(ROW()-1,COLUMN())),1)="Q","FQ","FS")))</f>
        <v/>
      </c>
      <c r="CC1117" s="378">
        <f>IF(MO.DataSourceIndex=3,IF(LEFT(INDIRECT(ADDRESS(ROW()-1,COLUMN())),2)="FY","ANNUAL",IF(LEFT(INDIRECT(ADDRESS(ROW()-1,COLUMN())),1)="Q","QUARTERLY","")),IF(LEFT(INDIRECT(ADDRESS(ROW()-1,COLUMN())),2)="FY","FY",IF(LEFT(INDIRECT(ADDRESS(ROW()-1,COLUMN())),1)="Q","FQ","FS")))</f>
        <v/>
      </c>
      <c r="CD1117" s="378">
        <f>IF(MO.DataSourceIndex=3,IF(LEFT(INDIRECT(ADDRESS(ROW()-1,COLUMN())),2)="FY","ANNUAL",IF(LEFT(INDIRECT(ADDRESS(ROW()-1,COLUMN())),1)="Q","QUARTERLY","")),IF(LEFT(INDIRECT(ADDRESS(ROW()-1,COLUMN())),2)="FY","FY",IF(LEFT(INDIRECT(ADDRESS(ROW()-1,COLUMN())),1)="Q","FQ","FS")))</f>
        <v/>
      </c>
      <c r="CE1117" s="378">
        <f>IF(MO.DataSourceIndex=3,IF(LEFT(INDIRECT(ADDRESS(ROW()-1,COLUMN())),2)="FY","ANNUAL",IF(LEFT(INDIRECT(ADDRESS(ROW()-1,COLUMN())),1)="Q","QUARTERLY","")),IF(LEFT(INDIRECT(ADDRESS(ROW()-1,COLUMN())),2)="FY","FY",IF(LEFT(INDIRECT(ADDRESS(ROW()-1,COLUMN())),1)="Q","FQ","FS")))</f>
        <v/>
      </c>
      <c r="CF1117" s="1043">
        <f>IF(MO.DataSourceIndex=3,IF(LEFT(INDIRECT(ADDRESS(ROW()-1,COLUMN())),2)="FY","ANNUAL",IF(LEFT(INDIRECT(ADDRESS(ROW()-1,COLUMN())),1)="Q","QUARTERLY","")),IF(LEFT(INDIRECT(ADDRESS(ROW()-1,COLUMN())),2)="FY","FY",IF(LEFT(INDIRECT(ADDRESS(ROW()-1,COLUMN())),1)="Q","FQ","FS")))</f>
        <v/>
      </c>
      <c r="CG1117" s="155" t="n"/>
    </row>
    <row r="1118">
      <c r="A1118" s="1042" t="inlineStr">
        <is>
          <t>Period</t>
        </is>
      </c>
      <c r="B1118" s="378" t="n"/>
      <c r="C1118" s="378" t="n"/>
      <c r="D1118" s="378" t="n"/>
      <c r="E1118" s="378" t="n"/>
      <c r="F1118" s="378" t="n"/>
      <c r="G1118" s="378" t="n"/>
      <c r="H1118" s="378" t="n"/>
      <c r="I1118" s="378" t="n"/>
      <c r="J1118" s="378" t="n"/>
      <c r="K1118" s="378" t="n"/>
      <c r="L1118" s="378" t="n"/>
      <c r="M1118" s="378" t="n"/>
      <c r="N1118" s="378" t="n"/>
      <c r="O1118" s="378" t="n"/>
      <c r="P1118" s="378" t="n"/>
      <c r="Q1118" s="378" t="n"/>
      <c r="R1118" s="378" t="n"/>
      <c r="S1118" s="378" t="n"/>
      <c r="T1118" s="378" t="n"/>
      <c r="U1118" s="378" t="n"/>
      <c r="V1118" s="378" t="n"/>
      <c r="W1118" s="378" t="n"/>
      <c r="X1118" s="378" t="n"/>
      <c r="Y1118" s="378" t="n"/>
      <c r="Z1118" s="378" t="n"/>
      <c r="AA1118" s="378" t="n"/>
      <c r="AB1118" s="378" t="n"/>
      <c r="AC1118" s="378" t="n"/>
      <c r="AD1118" s="378" t="n"/>
      <c r="AE1118" s="378" t="n"/>
      <c r="AF1118" s="378" t="n"/>
      <c r="AG1118" s="378" t="n"/>
      <c r="AH1118" s="378" t="n"/>
      <c r="AI1118" s="378" t="n"/>
      <c r="AJ1118" s="378" t="n"/>
      <c r="AK1118" s="378" t="n"/>
      <c r="AL1118" s="378" t="n"/>
      <c r="AM1118" s="378" t="n"/>
      <c r="AN1118" s="378" t="n"/>
      <c r="AO1118" s="378" t="n"/>
      <c r="AP1118" s="378" t="n"/>
      <c r="AQ1118" s="378" t="n"/>
      <c r="AR1118" s="378" t="n"/>
      <c r="AS1118" s="378" t="n"/>
      <c r="AT1118" s="378" t="n"/>
      <c r="AU1118" s="378" t="n"/>
      <c r="AV1118" s="378" t="n"/>
      <c r="AW1118" s="378" t="n"/>
      <c r="AX1118" s="378" t="n"/>
      <c r="AY1118" s="378" t="n"/>
      <c r="AZ1118" s="378" t="n"/>
      <c r="BA1118" s="378" t="n"/>
      <c r="BB1118" s="378" t="n"/>
      <c r="BC1118" s="378" t="n"/>
      <c r="BD1118" s="378" t="n"/>
      <c r="BE1118" s="378" t="n"/>
      <c r="BF1118" s="378" t="n"/>
      <c r="BG1118" s="378" t="n"/>
      <c r="BH1118" s="378" t="n"/>
      <c r="BI1118" s="378" t="n"/>
      <c r="BJ1118" s="378" t="n"/>
      <c r="BK1118" s="378" t="n"/>
      <c r="BL1118" s="378" t="n"/>
      <c r="BM1118" s="378" t="n"/>
      <c r="BN1118" s="378" t="n"/>
      <c r="BO1118" s="378" t="n"/>
      <c r="BP1118" s="378" t="n"/>
      <c r="BQ1118" s="378" t="n"/>
      <c r="BR1118" s="378" t="n"/>
      <c r="BS1118" s="378" t="n"/>
      <c r="BT1118" s="378" t="n"/>
      <c r="BU1118" s="378" t="n"/>
      <c r="BV1118" s="1037" t="n"/>
      <c r="BW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X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Y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Z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A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B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C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D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E1118" s="378">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F1118" s="1043">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G1118" s="155" t="n"/>
    </row>
    <row r="1119">
      <c r="A1119" s="549">
        <f>$A$279</f>
        <v/>
      </c>
      <c r="B1119" s="93" t="n"/>
      <c r="C1119" s="988" t="n"/>
      <c r="D1119" s="988" t="n"/>
      <c r="E1119" s="988" t="n"/>
      <c r="F1119" s="988" t="n"/>
      <c r="G1119" s="988" t="n"/>
      <c r="H1119" s="315" t="n"/>
      <c r="I1119" s="315" t="n"/>
      <c r="J1119" s="315" t="n"/>
      <c r="K1119" s="315" t="n"/>
      <c r="L1119" s="315" t="n"/>
      <c r="M1119" s="315" t="n"/>
      <c r="N1119" s="315" t="n"/>
      <c r="O1119" s="315" t="n"/>
      <c r="P1119" s="93" t="n"/>
      <c r="Q1119" s="93" t="n"/>
      <c r="R1119" s="93" t="n"/>
      <c r="S1119" s="93" t="n"/>
      <c r="T1119" s="93" t="n"/>
      <c r="U1119" s="93" t="n"/>
      <c r="V1119" s="93" t="n"/>
      <c r="W1119" s="93" t="n"/>
      <c r="X1119" s="93" t="n"/>
      <c r="Y1119" s="93" t="n"/>
      <c r="Z1119" s="93" t="n"/>
      <c r="AA1119" s="93" t="n"/>
      <c r="AB1119" s="93" t="n"/>
      <c r="AC1119" s="93" t="n"/>
      <c r="AD1119" s="93" t="n"/>
      <c r="AE1119" s="93" t="n"/>
      <c r="AF1119" s="93" t="n"/>
      <c r="AG1119" s="93" t="n"/>
      <c r="AH1119" s="93" t="n"/>
      <c r="AI1119" s="93" t="n"/>
      <c r="AJ1119" s="93" t="n"/>
      <c r="AK1119" s="93" t="n"/>
      <c r="AL1119" s="93" t="n"/>
      <c r="AM1119" s="93" t="n"/>
      <c r="AN1119" s="93" t="n"/>
      <c r="AO1119" s="93" t="n"/>
      <c r="AP1119" s="93" t="n"/>
      <c r="AQ1119" s="93" t="n"/>
      <c r="AR1119" s="93" t="n"/>
      <c r="AS1119" s="93" t="n"/>
      <c r="AT1119" s="93" t="n"/>
      <c r="AU1119" s="93" t="n"/>
      <c r="AV1119" s="93" t="n"/>
      <c r="AW1119" s="93" t="n"/>
      <c r="AX1119" s="93" t="n"/>
      <c r="AY1119" s="93" t="n"/>
      <c r="AZ1119" s="93" t="n"/>
      <c r="BA1119" s="93" t="n"/>
      <c r="BB1119" s="93" t="n"/>
      <c r="BC1119" s="93" t="n"/>
      <c r="BD1119" s="93" t="n"/>
      <c r="BE1119" s="93" t="n"/>
      <c r="BF1119" s="93" t="n"/>
      <c r="BG1119" s="93" t="n"/>
      <c r="BH1119" s="93" t="n"/>
      <c r="BI1119" s="93" t="n"/>
      <c r="BJ1119" s="93" t="n"/>
      <c r="BK1119" s="93" t="n"/>
      <c r="BL1119" s="93" t="n"/>
      <c r="BM1119" s="93" t="n"/>
      <c r="BN1119" s="93" t="n"/>
      <c r="BO1119" s="93" t="n"/>
      <c r="BP1119" s="93" t="n"/>
      <c r="BQ1119" s="93" t="n"/>
      <c r="BR1119" s="93" t="n"/>
      <c r="BS1119" s="93" t="n"/>
      <c r="BT1119" s="93" t="n"/>
      <c r="BU1119" s="93" t="n"/>
      <c r="BV1119" s="522" t="n"/>
      <c r="BW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BX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BY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BZ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CA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CB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CC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CD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CE111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CF1119" s="546">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
      </c>
      <c r="CG1119" s="155" t="n"/>
    </row>
    <row r="1120">
      <c r="A1120" s="549">
        <f>$A$363</f>
        <v/>
      </c>
      <c r="B1120" s="93" t="n"/>
      <c r="C1120" s="989" t="n"/>
      <c r="D1120" s="989" t="n"/>
      <c r="E1120" s="989" t="n"/>
      <c r="F1120" s="989" t="n"/>
      <c r="G1120" s="989" t="n"/>
      <c r="H1120" s="93" t="n"/>
      <c r="I1120" s="93" t="n"/>
      <c r="J1120" s="93" t="n"/>
      <c r="K1120" s="93" t="n"/>
      <c r="L1120" s="93" t="n"/>
      <c r="M1120" s="93" t="n"/>
      <c r="N1120" s="93" t="n"/>
      <c r="O1120" s="93" t="n"/>
      <c r="P1120" s="93" t="n"/>
      <c r="Q1120" s="93" t="n"/>
      <c r="R1120" s="93" t="n"/>
      <c r="S1120" s="93" t="n"/>
      <c r="T1120" s="93" t="n"/>
      <c r="U1120" s="93" t="n"/>
      <c r="V1120" s="93" t="n"/>
      <c r="W1120" s="93" t="n"/>
      <c r="X1120" s="93" t="n"/>
      <c r="Y1120" s="93" t="n"/>
      <c r="Z1120" s="93" t="n"/>
      <c r="AA1120" s="93" t="n"/>
      <c r="AB1120" s="93" t="n"/>
      <c r="AC1120" s="93" t="n"/>
      <c r="AD1120" s="93" t="n"/>
      <c r="AE1120" s="93" t="n"/>
      <c r="AF1120" s="93" t="n"/>
      <c r="AG1120" s="93" t="n"/>
      <c r="AH1120" s="93" t="n"/>
      <c r="AI1120" s="93" t="n"/>
      <c r="AJ1120" s="93" t="n"/>
      <c r="AK1120" s="93" t="n"/>
      <c r="AL1120" s="93" t="n"/>
      <c r="AM1120" s="93" t="n"/>
      <c r="AN1120" s="93" t="n"/>
      <c r="AO1120" s="93" t="n"/>
      <c r="AP1120" s="93" t="n"/>
      <c r="AQ1120" s="93" t="n"/>
      <c r="AR1120" s="93" t="n"/>
      <c r="AS1120" s="93" t="n"/>
      <c r="AT1120" s="93" t="n"/>
      <c r="AU1120" s="93" t="n"/>
      <c r="AV1120" s="93" t="n"/>
      <c r="AW1120" s="93" t="n"/>
      <c r="AX1120" s="93" t="n"/>
      <c r="AY1120" s="93" t="n"/>
      <c r="AZ1120" s="93" t="n"/>
      <c r="BA1120" s="93" t="n"/>
      <c r="BB1120" s="93" t="n"/>
      <c r="BC1120" s="93" t="n"/>
      <c r="BD1120" s="93" t="n"/>
      <c r="BE1120" s="93" t="n"/>
      <c r="BF1120" s="93" t="n"/>
      <c r="BG1120" s="93" t="n"/>
      <c r="BH1120" s="93" t="n"/>
      <c r="BI1120" s="93" t="n"/>
      <c r="BJ1120" s="93" t="n"/>
      <c r="BK1120" s="93" t="n"/>
      <c r="BL1120" s="93" t="n"/>
      <c r="BM1120" s="93" t="n"/>
      <c r="BN1120" s="93" t="n"/>
      <c r="BO1120" s="93" t="n"/>
      <c r="BP1120" s="93" t="n"/>
      <c r="BQ1120" s="93" t="n"/>
      <c r="BR1120" s="93" t="n"/>
      <c r="BS1120" s="93" t="n"/>
      <c r="BT1120" s="93" t="n"/>
      <c r="BU1120" s="93" t="n"/>
      <c r="BV1120" s="522" t="n"/>
      <c r="BW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X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Y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Z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A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B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C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D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E112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F1120" s="547">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G1120" s="155" t="n"/>
    </row>
    <row r="1121">
      <c r="A1121" s="549">
        <f>A393</f>
        <v/>
      </c>
      <c r="B1121" s="93" t="n"/>
      <c r="C1121" s="989" t="n"/>
      <c r="D1121" s="989" t="n"/>
      <c r="E1121" s="989" t="n"/>
      <c r="F1121" s="989" t="n"/>
      <c r="G1121" s="989" t="n"/>
      <c r="H1121" s="93" t="n"/>
      <c r="I1121" s="93" t="n"/>
      <c r="J1121" s="93" t="n"/>
      <c r="K1121" s="93" t="n"/>
      <c r="L1121" s="93" t="n"/>
      <c r="M1121" s="93" t="n"/>
      <c r="N1121" s="93" t="n"/>
      <c r="O1121" s="93" t="n"/>
      <c r="P1121" s="93" t="n"/>
      <c r="Q1121" s="93" t="n"/>
      <c r="R1121" s="93" t="n"/>
      <c r="S1121" s="93" t="n"/>
      <c r="T1121" s="93" t="n"/>
      <c r="U1121" s="93" t="n"/>
      <c r="V1121" s="93" t="n"/>
      <c r="W1121" s="93" t="n"/>
      <c r="X1121" s="93" t="n"/>
      <c r="Y1121" s="93" t="n"/>
      <c r="Z1121" s="93" t="n"/>
      <c r="AA1121" s="93" t="n"/>
      <c r="AB1121" s="93" t="n"/>
      <c r="AC1121" s="93" t="n"/>
      <c r="AD1121" s="93" t="n"/>
      <c r="AE1121" s="93" t="n"/>
      <c r="AF1121" s="93" t="n"/>
      <c r="AG1121" s="93" t="n"/>
      <c r="AH1121" s="93" t="n"/>
      <c r="AI1121" s="93" t="n"/>
      <c r="AJ1121" s="93" t="n"/>
      <c r="AK1121" s="93" t="n"/>
      <c r="AL1121" s="93" t="n"/>
      <c r="AM1121" s="93" t="n"/>
      <c r="AN1121" s="93" t="n"/>
      <c r="AO1121" s="93" t="n"/>
      <c r="AP1121" s="93" t="n"/>
      <c r="AQ1121" s="93" t="n"/>
      <c r="AR1121" s="93" t="n"/>
      <c r="AS1121" s="93" t="n"/>
      <c r="AT1121" s="93" t="n"/>
      <c r="AU1121" s="93" t="n"/>
      <c r="AV1121" s="93" t="n"/>
      <c r="AW1121" s="93" t="n"/>
      <c r="AX1121" s="93" t="n"/>
      <c r="AY1121" s="93" t="n"/>
      <c r="AZ1121" s="93" t="n"/>
      <c r="BA1121" s="93" t="n"/>
      <c r="BB1121" s="93" t="n"/>
      <c r="BC1121" s="93" t="n"/>
      <c r="BD1121" s="93" t="n"/>
      <c r="BE1121" s="93" t="n"/>
      <c r="BF1121" s="93" t="n"/>
      <c r="BG1121" s="93" t="n"/>
      <c r="BH1121" s="93" t="n"/>
      <c r="BI1121" s="93" t="n"/>
      <c r="BJ1121" s="93" t="n"/>
      <c r="BK1121" s="93" t="n"/>
      <c r="BL1121" s="93" t="n"/>
      <c r="BM1121" s="93" t="n"/>
      <c r="BN1121" s="93" t="n"/>
      <c r="BO1121" s="93" t="n"/>
      <c r="BP1121" s="93" t="n"/>
      <c r="BQ1121" s="93" t="n"/>
      <c r="BR1121" s="93" t="n"/>
      <c r="BS1121" s="93" t="n"/>
      <c r="BT1121" s="93" t="n"/>
      <c r="BU1121" s="93" t="n"/>
      <c r="BV1121" s="522" t="n"/>
      <c r="BW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X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Y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Z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A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B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C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D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E1121"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F1121" s="547">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G1121" s="155" t="n"/>
    </row>
    <row r="1122">
      <c r="A1122" s="549">
        <f>A389</f>
        <v/>
      </c>
      <c r="B1122" s="93" t="n"/>
      <c r="C1122" s="989" t="n"/>
      <c r="D1122" s="989" t="n"/>
      <c r="E1122" s="989" t="n"/>
      <c r="F1122" s="989" t="n"/>
      <c r="G1122" s="989" t="n"/>
      <c r="H1122" s="93" t="n"/>
      <c r="I1122" s="93" t="n"/>
      <c r="J1122" s="93" t="n"/>
      <c r="K1122" s="93" t="n"/>
      <c r="L1122" s="93" t="n"/>
      <c r="M1122" s="93" t="n"/>
      <c r="N1122" s="93" t="n"/>
      <c r="O1122" s="93" t="n"/>
      <c r="P1122" s="93" t="n"/>
      <c r="Q1122" s="93" t="n"/>
      <c r="R1122" s="93" t="n"/>
      <c r="S1122" s="93" t="n"/>
      <c r="T1122" s="93" t="n"/>
      <c r="U1122" s="93" t="n"/>
      <c r="V1122" s="93" t="n"/>
      <c r="W1122" s="93" t="n"/>
      <c r="X1122" s="93" t="n"/>
      <c r="Y1122" s="93" t="n"/>
      <c r="Z1122" s="93" t="n"/>
      <c r="AA1122" s="93" t="n"/>
      <c r="AB1122" s="93" t="n"/>
      <c r="AC1122" s="93" t="n"/>
      <c r="AD1122" s="93" t="n"/>
      <c r="AE1122" s="93" t="n"/>
      <c r="AF1122" s="93" t="n"/>
      <c r="AG1122" s="93" t="n"/>
      <c r="AH1122" s="93" t="n"/>
      <c r="AI1122" s="93" t="n"/>
      <c r="AJ1122" s="93" t="n"/>
      <c r="AK1122" s="93" t="n"/>
      <c r="AL1122" s="93" t="n"/>
      <c r="AM1122" s="93" t="n"/>
      <c r="AN1122" s="93" t="n"/>
      <c r="AO1122" s="93" t="n"/>
      <c r="AP1122" s="93" t="n"/>
      <c r="AQ1122" s="93" t="n"/>
      <c r="AR1122" s="93" t="n"/>
      <c r="AS1122" s="93" t="n"/>
      <c r="AT1122" s="93" t="n"/>
      <c r="AU1122" s="93" t="n"/>
      <c r="AV1122" s="93" t="n"/>
      <c r="AW1122" s="93" t="n"/>
      <c r="AX1122" s="93" t="n"/>
      <c r="AY1122" s="93" t="n"/>
      <c r="AZ1122" s="93" t="n"/>
      <c r="BA1122" s="93" t="n"/>
      <c r="BB1122" s="93" t="n"/>
      <c r="BC1122" s="93" t="n"/>
      <c r="BD1122" s="93" t="n"/>
      <c r="BE1122" s="93" t="n"/>
      <c r="BF1122" s="93" t="n"/>
      <c r="BG1122" s="93" t="n"/>
      <c r="BH1122" s="93" t="n"/>
      <c r="BI1122" s="93" t="n"/>
      <c r="BJ1122" s="93" t="n"/>
      <c r="BK1122" s="93" t="n"/>
      <c r="BL1122" s="93" t="n"/>
      <c r="BM1122" s="93" t="n"/>
      <c r="BN1122" s="93" t="n"/>
      <c r="BO1122" s="93" t="n"/>
      <c r="BP1122" s="93" t="n"/>
      <c r="BQ1122" s="93" t="n"/>
      <c r="BR1122" s="93" t="n"/>
      <c r="BS1122" s="93" t="n"/>
      <c r="BT1122" s="93" t="n"/>
      <c r="BU1122" s="93" t="n"/>
      <c r="BV1122" s="522" t="n"/>
      <c r="BW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BX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BY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BZ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CA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CB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CC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CD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CE1122" s="93">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CF1122" s="547">
        <f>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
      </c>
      <c r="CG1122" s="155" t="n"/>
    </row>
    <row r="1123">
      <c r="A1123" s="549">
        <f>$A$426</f>
        <v/>
      </c>
      <c r="B1123" s="93" t="n"/>
      <c r="C1123" s="316" t="n"/>
      <c r="D1123" s="316" t="n"/>
      <c r="E1123" s="316" t="n"/>
      <c r="F1123" s="316" t="n"/>
      <c r="G1123" s="316" t="n"/>
      <c r="H1123" s="93" t="n"/>
      <c r="I1123" s="93" t="n"/>
      <c r="J1123" s="93" t="n"/>
      <c r="K1123" s="93" t="n"/>
      <c r="L1123" s="93" t="n"/>
      <c r="M1123" s="93" t="n"/>
      <c r="N1123" s="93" t="n"/>
      <c r="O1123" s="93" t="n"/>
      <c r="P1123" s="93" t="n"/>
      <c r="Q1123" s="93" t="n"/>
      <c r="R1123" s="93" t="n"/>
      <c r="S1123" s="93" t="n"/>
      <c r="T1123" s="93" t="n"/>
      <c r="U1123" s="93" t="n"/>
      <c r="V1123" s="93" t="n"/>
      <c r="W1123" s="93" t="n"/>
      <c r="X1123" s="93" t="n"/>
      <c r="Y1123" s="93" t="n"/>
      <c r="Z1123" s="93" t="n"/>
      <c r="AA1123" s="93" t="n"/>
      <c r="AB1123" s="93" t="n"/>
      <c r="AC1123" s="93" t="n"/>
      <c r="AD1123" s="93" t="n"/>
      <c r="AE1123" s="93" t="n"/>
      <c r="AF1123" s="93" t="n"/>
      <c r="AG1123" s="93" t="n"/>
      <c r="AH1123" s="93" t="n"/>
      <c r="AI1123" s="93" t="n"/>
      <c r="AJ1123" s="93" t="n"/>
      <c r="AK1123" s="93" t="n"/>
      <c r="AL1123" s="93" t="n"/>
      <c r="AM1123" s="93" t="n"/>
      <c r="AN1123" s="93" t="n"/>
      <c r="AO1123" s="93" t="n"/>
      <c r="AP1123" s="93" t="n"/>
      <c r="AQ1123" s="93" t="n"/>
      <c r="AR1123" s="93" t="n"/>
      <c r="AS1123" s="93" t="n"/>
      <c r="AT1123" s="93" t="n"/>
      <c r="AU1123" s="93" t="n"/>
      <c r="AV1123" s="93" t="n"/>
      <c r="AW1123" s="93" t="n"/>
      <c r="AX1123" s="93" t="n"/>
      <c r="AY1123" s="93" t="n"/>
      <c r="AZ1123" s="93" t="n"/>
      <c r="BA1123" s="93" t="n"/>
      <c r="BB1123" s="93" t="n"/>
      <c r="BC1123" s="93" t="n"/>
      <c r="BD1123" s="93" t="n"/>
      <c r="BE1123" s="93" t="n"/>
      <c r="BF1123" s="93" t="n"/>
      <c r="BG1123" s="93" t="n"/>
      <c r="BH1123" s="93" t="n"/>
      <c r="BI1123" s="93" t="n"/>
      <c r="BJ1123" s="93" t="n"/>
      <c r="BK1123" s="93" t="n"/>
      <c r="BL1123" s="93" t="n"/>
      <c r="BM1123" s="93" t="n"/>
      <c r="BN1123" s="93" t="n"/>
      <c r="BO1123" s="93" t="n"/>
      <c r="BP1123" s="93" t="n"/>
      <c r="BQ1123" s="93" t="n"/>
      <c r="BR1123" s="93" t="n"/>
      <c r="BS1123" s="93" t="n"/>
      <c r="BT1123" s="93" t="n"/>
      <c r="BU1123" s="93" t="n"/>
      <c r="BV1123" s="522" t="n"/>
      <c r="BW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BX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BY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BZ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CA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CB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CC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CD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CE112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CF1123" s="547">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
      </c>
      <c r="CG1123" s="155" t="n"/>
    </row>
    <row r="1124">
      <c r="A1124" s="549">
        <f>$A$700</f>
        <v/>
      </c>
      <c r="B1124" s="93" t="n"/>
      <c r="C1124" s="316" t="n"/>
      <c r="D1124" s="316" t="n"/>
      <c r="E1124" s="316" t="n"/>
      <c r="F1124" s="316" t="n"/>
      <c r="G1124" s="316" t="n"/>
      <c r="H1124" s="93" t="n"/>
      <c r="I1124" s="93" t="n"/>
      <c r="J1124" s="93" t="n"/>
      <c r="K1124" s="93" t="n"/>
      <c r="L1124" s="93" t="n"/>
      <c r="M1124" s="93" t="n"/>
      <c r="N1124" s="93" t="n"/>
      <c r="O1124" s="93" t="n"/>
      <c r="P1124" s="93" t="n"/>
      <c r="Q1124" s="93" t="n"/>
      <c r="R1124" s="93" t="n"/>
      <c r="S1124" s="93" t="n"/>
      <c r="T1124" s="93" t="n"/>
      <c r="U1124" s="93" t="n"/>
      <c r="V1124" s="93" t="n"/>
      <c r="W1124" s="93" t="n"/>
      <c r="X1124" s="93" t="n"/>
      <c r="Y1124" s="93" t="n"/>
      <c r="Z1124" s="93" t="n"/>
      <c r="AA1124" s="93" t="n"/>
      <c r="AB1124" s="93" t="n"/>
      <c r="AC1124" s="93" t="n"/>
      <c r="AD1124" s="93" t="n"/>
      <c r="AE1124" s="93" t="n"/>
      <c r="AF1124" s="93" t="n"/>
      <c r="AG1124" s="93" t="n"/>
      <c r="AH1124" s="93" t="n"/>
      <c r="AI1124" s="93" t="n"/>
      <c r="AJ1124" s="93" t="n"/>
      <c r="AK1124" s="93" t="n"/>
      <c r="AL1124" s="93" t="n"/>
      <c r="AM1124" s="93" t="n"/>
      <c r="AN1124" s="93" t="n"/>
      <c r="AO1124" s="93" t="n"/>
      <c r="AP1124" s="93" t="n"/>
      <c r="AQ1124" s="93" t="n"/>
      <c r="AR1124" s="93" t="n"/>
      <c r="AS1124" s="93" t="n"/>
      <c r="AT1124" s="93" t="n"/>
      <c r="AU1124" s="93" t="n"/>
      <c r="AV1124" s="93" t="n"/>
      <c r="AW1124" s="93" t="n"/>
      <c r="AX1124" s="93" t="n"/>
      <c r="AY1124" s="93" t="n"/>
      <c r="AZ1124" s="93" t="n"/>
      <c r="BA1124" s="93" t="n"/>
      <c r="BB1124" s="93" t="n"/>
      <c r="BC1124" s="93" t="n"/>
      <c r="BD1124" s="93" t="n"/>
      <c r="BE1124" s="93" t="n"/>
      <c r="BF1124" s="93" t="n"/>
      <c r="BG1124" s="93" t="n"/>
      <c r="BH1124" s="93" t="n"/>
      <c r="BI1124" s="93" t="n"/>
      <c r="BJ1124" s="93" t="n"/>
      <c r="BK1124" s="93" t="n"/>
      <c r="BL1124" s="93" t="n"/>
      <c r="BM1124" s="93" t="n"/>
      <c r="BN1124" s="93" t="n"/>
      <c r="BO1124" s="93" t="n"/>
      <c r="BP1124" s="93" t="n"/>
      <c r="BQ1124" s="93" t="n"/>
      <c r="BR1124" s="93" t="n"/>
      <c r="BS1124" s="93" t="n"/>
      <c r="BT1124" s="93" t="n"/>
      <c r="BU1124" s="93" t="n"/>
      <c r="BV1124" s="522" t="n"/>
      <c r="BW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BX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BY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BZ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CA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CB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CC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CD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CE112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CF1124" s="547">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
      </c>
      <c r="CG1124" s="155" t="n"/>
    </row>
    <row r="1125">
      <c r="A1125" s="549">
        <f>A702</f>
        <v/>
      </c>
      <c r="B1125" s="93" t="n"/>
      <c r="C1125" s="989" t="n"/>
      <c r="D1125" s="989" t="n"/>
      <c r="E1125" s="989" t="n"/>
      <c r="F1125" s="989" t="n"/>
      <c r="G1125" s="989" t="n"/>
      <c r="H1125" s="93" t="n"/>
      <c r="I1125" s="93" t="n"/>
      <c r="J1125" s="93" t="n"/>
      <c r="K1125" s="93" t="n"/>
      <c r="L1125" s="93" t="n"/>
      <c r="M1125" s="93" t="n"/>
      <c r="N1125" s="93" t="n"/>
      <c r="O1125" s="93" t="n"/>
      <c r="P1125" s="93" t="n"/>
      <c r="Q1125" s="93" t="n"/>
      <c r="R1125" s="93" t="n"/>
      <c r="S1125" s="93" t="n"/>
      <c r="T1125" s="93" t="n"/>
      <c r="U1125" s="93" t="n"/>
      <c r="V1125" s="93" t="n"/>
      <c r="W1125" s="93" t="n"/>
      <c r="X1125" s="93" t="n"/>
      <c r="Y1125" s="93" t="n"/>
      <c r="Z1125" s="93" t="n"/>
      <c r="AA1125" s="93" t="n"/>
      <c r="AB1125" s="93" t="n"/>
      <c r="AC1125" s="93" t="n"/>
      <c r="AD1125" s="93" t="n"/>
      <c r="AE1125" s="93" t="n"/>
      <c r="AF1125" s="93" t="n"/>
      <c r="AG1125" s="93" t="n"/>
      <c r="AH1125" s="93" t="n"/>
      <c r="AI1125" s="93" t="n"/>
      <c r="AJ1125" s="93" t="n"/>
      <c r="AK1125" s="93" t="n"/>
      <c r="AL1125" s="93" t="n"/>
      <c r="AM1125" s="93" t="n"/>
      <c r="AN1125" s="93" t="n"/>
      <c r="AO1125" s="93" t="n"/>
      <c r="AP1125" s="93" t="n"/>
      <c r="AQ1125" s="93" t="n"/>
      <c r="AR1125" s="93" t="n"/>
      <c r="AS1125" s="93" t="n"/>
      <c r="AT1125" s="93" t="n"/>
      <c r="AU1125" s="93" t="n"/>
      <c r="AV1125" s="93" t="n"/>
      <c r="AW1125" s="93" t="n"/>
      <c r="AX1125" s="93" t="n"/>
      <c r="AY1125" s="93" t="n"/>
      <c r="AZ1125" s="93" t="n"/>
      <c r="BA1125" s="93" t="n"/>
      <c r="BB1125" s="93" t="n"/>
      <c r="BC1125" s="93" t="n"/>
      <c r="BD1125" s="93" t="n"/>
      <c r="BE1125" s="93" t="n"/>
      <c r="BF1125" s="93" t="n"/>
      <c r="BG1125" s="93" t="n"/>
      <c r="BH1125" s="93" t="n"/>
      <c r="BI1125" s="93" t="n"/>
      <c r="BJ1125" s="93" t="n"/>
      <c r="BK1125" s="93" t="n"/>
      <c r="BL1125" s="93" t="n"/>
      <c r="BM1125" s="93" t="n"/>
      <c r="BN1125" s="93" t="n"/>
      <c r="BO1125" s="93" t="n"/>
      <c r="BP1125" s="93" t="n"/>
      <c r="BQ1125" s="93" t="n"/>
      <c r="BR1125" s="93" t="n"/>
      <c r="BS1125" s="93" t="n"/>
      <c r="BT1125" s="93" t="n"/>
      <c r="BU1125" s="93" t="n"/>
      <c r="BV1125" s="522" t="n"/>
      <c r="BW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BX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BY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BZ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CA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CB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CC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CD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CE112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CF1125" s="547">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
      </c>
      <c r="CG1125" s="155" t="n"/>
    </row>
    <row r="1126">
      <c r="A1126" s="550" t="n"/>
      <c r="B1126" s="983" t="n"/>
      <c r="C1126" s="545" t="n"/>
      <c r="D1126" s="545" t="n"/>
      <c r="E1126" s="545" t="n"/>
      <c r="F1126" s="545" t="n"/>
      <c r="G1126" s="545" t="n"/>
      <c r="H1126" s="983" t="n"/>
      <c r="I1126" s="983" t="n"/>
      <c r="J1126" s="983" t="n"/>
      <c r="K1126" s="983" t="n"/>
      <c r="L1126" s="983" t="n"/>
      <c r="M1126" s="983" t="n"/>
      <c r="N1126" s="983" t="n"/>
      <c r="O1126" s="983" t="n"/>
      <c r="P1126" s="983" t="n"/>
      <c r="Q1126" s="983" t="n"/>
      <c r="R1126" s="983" t="n"/>
      <c r="S1126" s="983" t="n"/>
      <c r="T1126" s="983" t="n"/>
      <c r="U1126" s="983" t="n"/>
      <c r="V1126" s="983" t="n"/>
      <c r="W1126" s="983" t="n"/>
      <c r="X1126" s="983" t="n"/>
      <c r="Y1126" s="983" t="n"/>
      <c r="Z1126" s="983" t="n"/>
      <c r="AA1126" s="983" t="n"/>
      <c r="AB1126" s="983" t="n"/>
      <c r="AC1126" s="983" t="n"/>
      <c r="AD1126" s="983" t="n"/>
      <c r="AE1126" s="983" t="n"/>
      <c r="AF1126" s="983" t="n"/>
      <c r="AG1126" s="983" t="n"/>
      <c r="AH1126" s="983" t="n"/>
      <c r="AI1126" s="983" t="n"/>
      <c r="AJ1126" s="983" t="n"/>
      <c r="AK1126" s="983" t="n"/>
      <c r="AL1126" s="983" t="n"/>
      <c r="AM1126" s="983" t="n"/>
      <c r="AN1126" s="983" t="n"/>
      <c r="AO1126" s="983" t="n"/>
      <c r="AP1126" s="983" t="n"/>
      <c r="AQ1126" s="983" t="n"/>
      <c r="AR1126" s="983" t="n"/>
      <c r="AS1126" s="983" t="n"/>
      <c r="AT1126" s="983" t="n"/>
      <c r="AU1126" s="983" t="n"/>
      <c r="AV1126" s="983" t="n"/>
      <c r="AW1126" s="983" t="n"/>
      <c r="AX1126" s="983" t="n"/>
      <c r="AY1126" s="983" t="n"/>
      <c r="AZ1126" s="983" t="n"/>
      <c r="BA1126" s="983" t="n"/>
      <c r="BB1126" s="983" t="n"/>
      <c r="BC1126" s="983" t="n"/>
      <c r="BD1126" s="983" t="n"/>
      <c r="BE1126" s="983" t="n"/>
      <c r="BF1126" s="983" t="n"/>
      <c r="BG1126" s="983" t="n"/>
      <c r="BH1126" s="983" t="n"/>
      <c r="BI1126" s="983" t="n"/>
      <c r="BJ1126" s="983" t="n"/>
      <c r="BK1126" s="983" t="n"/>
      <c r="BL1126" s="983" t="n"/>
      <c r="BM1126" s="983" t="n"/>
      <c r="BN1126" s="983" t="n"/>
      <c r="BO1126" s="983" t="n"/>
      <c r="BP1126" s="983" t="n"/>
      <c r="BQ1126" s="983" t="n"/>
      <c r="BR1126" s="983" t="n"/>
      <c r="BS1126" s="983" t="n"/>
      <c r="BT1126" s="983" t="n"/>
      <c r="BU1126" s="983" t="n"/>
      <c r="BV1126" s="984" t="n"/>
      <c r="BW1126" s="983" t="n"/>
      <c r="BX1126" s="983" t="n"/>
      <c r="BY1126" s="983" t="n"/>
      <c r="BZ1126" s="983" t="n"/>
      <c r="CA1126" s="983" t="n"/>
      <c r="CB1126" s="983" t="n"/>
      <c r="CC1126" s="983" t="n"/>
      <c r="CD1126" s="983" t="n"/>
      <c r="CE1126" s="983" t="n"/>
      <c r="CF1126" s="548" t="n"/>
      <c r="CG1126" s="155" t="n"/>
    </row>
    <row r="1127">
      <c r="A1127" s="253" t="n"/>
      <c r="B1127" s="93" t="n"/>
      <c r="C1127" s="989" t="n"/>
      <c r="D1127" s="989" t="n"/>
      <c r="E1127" s="989" t="n"/>
      <c r="F1127" s="989" t="n"/>
      <c r="G1127" s="989" t="n"/>
      <c r="H1127" s="93" t="n"/>
      <c r="I1127" s="93" t="n"/>
      <c r="J1127" s="93" t="n"/>
      <c r="K1127" s="93" t="n"/>
      <c r="L1127" s="93" t="n"/>
      <c r="M1127" s="93" t="n"/>
      <c r="N1127" s="93" t="n"/>
      <c r="O1127" s="93" t="n"/>
      <c r="P1127" s="93" t="n"/>
      <c r="Q1127" s="93" t="n"/>
      <c r="R1127" s="93" t="n"/>
      <c r="S1127" s="93" t="n"/>
      <c r="T1127" s="93" t="n"/>
      <c r="U1127" s="93" t="n"/>
      <c r="V1127" s="93" t="n"/>
      <c r="W1127" s="93" t="n"/>
      <c r="X1127" s="93" t="n"/>
      <c r="Y1127" s="93" t="n"/>
      <c r="Z1127" s="93" t="n"/>
      <c r="AA1127" s="93" t="n"/>
      <c r="AB1127" s="93" t="n"/>
      <c r="AC1127" s="93" t="n"/>
      <c r="AD1127" s="93" t="n"/>
      <c r="AE1127" s="93" t="n"/>
      <c r="AF1127" s="93" t="n"/>
      <c r="AG1127" s="93" t="n"/>
      <c r="AH1127" s="93" t="n"/>
      <c r="AI1127" s="93" t="n"/>
      <c r="AJ1127" s="93" t="n"/>
      <c r="AK1127" s="93" t="n"/>
      <c r="AL1127" s="93" t="n"/>
      <c r="AM1127" s="93" t="n"/>
      <c r="AN1127" s="93" t="n"/>
      <c r="AO1127" s="93" t="n"/>
      <c r="AP1127" s="93" t="n"/>
      <c r="AQ1127" s="93" t="n"/>
      <c r="AR1127" s="93" t="n"/>
      <c r="AS1127" s="93" t="n"/>
      <c r="AT1127" s="93" t="n"/>
      <c r="AU1127" s="93" t="n"/>
      <c r="AV1127" s="93" t="n"/>
      <c r="AW1127" s="93" t="n"/>
      <c r="AX1127" s="93" t="n"/>
      <c r="AY1127" s="93" t="n"/>
      <c r="AZ1127" s="93" t="n"/>
      <c r="BA1127" s="93" t="n"/>
      <c r="BB1127" s="93" t="n"/>
      <c r="BC1127" s="93" t="n"/>
      <c r="BD1127" s="93" t="n"/>
      <c r="BE1127" s="93" t="n"/>
      <c r="BF1127" s="93" t="n"/>
      <c r="BG1127" s="93" t="n"/>
      <c r="BH1127" s="93" t="n"/>
      <c r="BI1127" s="93" t="n"/>
      <c r="BJ1127" s="93" t="n"/>
      <c r="BK1127" s="93" t="n"/>
      <c r="BL1127" s="93" t="n"/>
      <c r="BM1127" s="93" t="n"/>
      <c r="BN1127" s="93" t="n"/>
      <c r="BO1127" s="93" t="n"/>
      <c r="BP1127" s="93" t="n"/>
      <c r="BQ1127" s="93" t="n"/>
      <c r="BR1127" s="93" t="n"/>
      <c r="BS1127" s="93" t="n"/>
      <c r="BT1127" s="93" t="n"/>
      <c r="BU1127" s="93" t="n"/>
      <c r="BV1127" s="522" t="n"/>
      <c r="BW1127" s="93" t="n"/>
      <c r="BX1127" s="93" t="n"/>
      <c r="BY1127" s="93" t="n"/>
      <c r="BZ1127" s="93" t="n"/>
      <c r="CA1127" s="93" t="n"/>
      <c r="CB1127" s="93" t="n"/>
      <c r="CC1127" s="93" t="n"/>
      <c r="CD1127" s="93" t="n"/>
      <c r="CE1127" s="93" t="n"/>
      <c r="CF1127" s="93" t="n"/>
      <c r="CG1127" s="155" t="n"/>
    </row>
    <row r="1128">
      <c r="A1128" s="257" t="inlineStr">
        <is>
          <t>Stock Price Table</t>
        </is>
      </c>
      <c r="B1128" s="254" t="n"/>
      <c r="C1128" s="255" t="n"/>
      <c r="D1128" s="255" t="n"/>
      <c r="E1128" s="255" t="n"/>
      <c r="F1128" s="255" t="n"/>
      <c r="G1128" s="255" t="n"/>
      <c r="H1128" s="254" t="n"/>
      <c r="I1128" s="254" t="n"/>
      <c r="J1128" s="254" t="n"/>
      <c r="K1128" s="254" t="n"/>
      <c r="L1128" s="254" t="n"/>
      <c r="M1128" s="254" t="n"/>
      <c r="N1128" s="254" t="n"/>
      <c r="O1128" s="254" t="n"/>
      <c r="P1128" s="254" t="n"/>
      <c r="Q1128" s="254" t="n"/>
      <c r="R1128" s="254" t="n"/>
      <c r="S1128" s="254" t="n"/>
      <c r="T1128" s="254" t="n"/>
      <c r="U1128" s="254" t="n"/>
      <c r="V1128" s="254" t="n"/>
      <c r="W1128" s="254" t="n"/>
      <c r="X1128" s="254" t="n"/>
      <c r="Y1128" s="254" t="n"/>
      <c r="Z1128" s="254" t="n"/>
      <c r="AA1128" s="254" t="n"/>
      <c r="AB1128" s="254" t="n"/>
      <c r="AC1128" s="254" t="n"/>
      <c r="AD1128" s="254" t="n"/>
      <c r="AE1128" s="254" t="n"/>
      <c r="AF1128" s="254" t="n"/>
      <c r="AG1128" s="254" t="n"/>
      <c r="AH1128" s="254" t="n"/>
      <c r="AI1128" s="254" t="n"/>
      <c r="AJ1128" s="254" t="n"/>
      <c r="AK1128" s="254" t="n"/>
      <c r="AL1128" s="254" t="n"/>
      <c r="AM1128" s="254" t="n"/>
      <c r="AN1128" s="254" t="n"/>
      <c r="AO1128" s="254" t="n"/>
      <c r="AP1128" s="254" t="n"/>
      <c r="AQ1128" s="254" t="n"/>
      <c r="AR1128" s="254" t="n"/>
      <c r="AS1128" s="254" t="n"/>
      <c r="AT1128" s="254" t="n"/>
      <c r="AU1128" s="254" t="n"/>
      <c r="AV1128" s="254" t="n"/>
      <c r="AW1128" s="254" t="n"/>
      <c r="AX1128" s="254" t="n"/>
      <c r="AY1128" s="254" t="n"/>
      <c r="AZ1128" s="254" t="n"/>
      <c r="BA1128" s="254" t="n"/>
      <c r="BB1128" s="254" t="n"/>
      <c r="BC1128" s="254" t="n"/>
      <c r="BD1128" s="254" t="n"/>
      <c r="BE1128" s="254" t="n"/>
      <c r="BF1128" s="254" t="n"/>
      <c r="BG1128" s="254" t="n"/>
      <c r="BH1128" s="254" t="n"/>
      <c r="BI1128" s="254" t="n"/>
      <c r="BJ1128" s="254" t="n"/>
      <c r="BK1128" s="254" t="n"/>
      <c r="BL1128" s="254" t="n"/>
      <c r="BM1128" s="254" t="n"/>
      <c r="BN1128" s="254" t="n"/>
      <c r="BO1128" s="254" t="n"/>
      <c r="BP1128" s="254" t="n"/>
      <c r="BQ1128" s="254" t="n"/>
      <c r="BR1128" s="254" t="n"/>
      <c r="BS1128" s="254" t="n"/>
      <c r="BT1128" s="254" t="n"/>
      <c r="BU1128" s="254" t="n"/>
      <c r="BV1128" s="525" t="n"/>
      <c r="BW1128" s="254" t="n"/>
      <c r="BX1128" s="254" t="n"/>
      <c r="BY1128" s="254" t="n"/>
      <c r="BZ1128" s="254" t="n"/>
      <c r="CA1128" s="254" t="n"/>
      <c r="CB1128" s="254" t="n"/>
      <c r="CC1128" s="254" t="n"/>
      <c r="CD1128" s="254" t="n"/>
      <c r="CE1128" s="254" t="n"/>
      <c r="CF1128" s="256" t="n"/>
      <c r="CG1128" s="155" t="n"/>
    </row>
    <row r="1129">
      <c r="A1129" s="258" t="inlineStr">
        <is>
          <t>Fiscal Period Start Date</t>
        </is>
      </c>
      <c r="B1129" s="93" t="n"/>
      <c r="C1129" s="1008">
        <f>INDEX(MO_Common_QEndDate,0,COLUMN())-INDEX(MO_Common_FPDays,0,COLUMN())+1</f>
        <v/>
      </c>
      <c r="D1129" s="1008">
        <f>INDEX(MO_Common_QEndDate,0,COLUMN())-INDEX(MO_Common_FPDays,0,COLUMN())+1</f>
        <v/>
      </c>
      <c r="E1129" s="1008">
        <f>INDEX(MO_Common_QEndDate,0,COLUMN())-INDEX(MO_Common_FPDays,0,COLUMN())+1</f>
        <v/>
      </c>
      <c r="F1129" s="1008">
        <f>INDEX(MO_Common_QEndDate,0,COLUMN())-INDEX(MO_Common_FPDays,0,COLUMN())+1</f>
        <v/>
      </c>
      <c r="G1129" s="1008">
        <f>INDEX(MO_Common_QEndDate,0,COLUMN())-INDEX(MO_Common_FPDays,0,COLUMN())+1</f>
        <v/>
      </c>
      <c r="H1129" s="259">
        <f>INDEX(MO_Common_QEndDate,0,COLUMN())-INDEX(MO_Common_FPDays,0,COLUMN())+1</f>
        <v/>
      </c>
      <c r="I1129" s="259">
        <f>INDEX(MO_Common_QEndDate,0,COLUMN())-INDEX(MO_Common_FPDays,0,COLUMN())+1</f>
        <v/>
      </c>
      <c r="J1129" s="259">
        <f>INDEX(MO_Common_QEndDate,0,COLUMN())-INDEX(MO_Common_FPDays,0,COLUMN())+1</f>
        <v/>
      </c>
      <c r="K1129" s="259">
        <f>INDEX(MO_Common_QEndDate,0,COLUMN())-INDEX(MO_Common_FPDays,0,COLUMN())+1</f>
        <v/>
      </c>
      <c r="L1129" s="259">
        <f>INDEX(MO_Common_QEndDate,0,COLUMN())-INDEX(MO_Common_FPDays,0,COLUMN())+1</f>
        <v/>
      </c>
      <c r="M1129" s="259">
        <f>INDEX(MO_Common_QEndDate,0,COLUMN())-INDEX(MO_Common_FPDays,0,COLUMN())+1</f>
        <v/>
      </c>
      <c r="N1129" s="259">
        <f>INDEX(MO_Common_QEndDate,0,COLUMN())-INDEX(MO_Common_FPDays,0,COLUMN())+1</f>
        <v/>
      </c>
      <c r="O1129" s="259">
        <f>INDEX(MO_Common_QEndDate,0,COLUMN())-INDEX(MO_Common_FPDays,0,COLUMN())+1</f>
        <v/>
      </c>
      <c r="P1129" s="259">
        <f>INDEX(MO_Common_QEndDate,0,COLUMN())-INDEX(MO_Common_FPDays,0,COLUMN())+1</f>
        <v/>
      </c>
      <c r="Q1129" s="259">
        <f>INDEX(MO_Common_QEndDate,0,COLUMN())-INDEX(MO_Common_FPDays,0,COLUMN())+1</f>
        <v/>
      </c>
      <c r="R1129" s="259">
        <f>INDEX(MO_Common_QEndDate,0,COLUMN())-INDEX(MO_Common_FPDays,0,COLUMN())+1</f>
        <v/>
      </c>
      <c r="S1129" s="259">
        <f>INDEX(MO_Common_QEndDate,0,COLUMN())-INDEX(MO_Common_FPDays,0,COLUMN())+1</f>
        <v/>
      </c>
      <c r="T1129" s="259">
        <f>INDEX(MO_Common_QEndDate,0,COLUMN())-INDEX(MO_Common_FPDays,0,COLUMN())+1</f>
        <v/>
      </c>
      <c r="U1129" s="259">
        <f>INDEX(MO_Common_QEndDate,0,COLUMN())-INDEX(MO_Common_FPDays,0,COLUMN())+1</f>
        <v/>
      </c>
      <c r="V1129" s="259">
        <f>INDEX(MO_Common_QEndDate,0,COLUMN())-INDEX(MO_Common_FPDays,0,COLUMN())+1</f>
        <v/>
      </c>
      <c r="W1129" s="259">
        <f>INDEX(MO_Common_QEndDate,0,COLUMN())-INDEX(MO_Common_FPDays,0,COLUMN())+1</f>
        <v/>
      </c>
      <c r="X1129" s="259">
        <f>INDEX(MO_Common_QEndDate,0,COLUMN())-INDEX(MO_Common_FPDays,0,COLUMN())+1</f>
        <v/>
      </c>
      <c r="Y1129" s="259">
        <f>INDEX(MO_Common_QEndDate,0,COLUMN())-INDEX(MO_Common_FPDays,0,COLUMN())+1</f>
        <v/>
      </c>
      <c r="Z1129" s="259">
        <f>INDEX(MO_Common_QEndDate,0,COLUMN())-INDEX(MO_Common_FPDays,0,COLUMN())+1</f>
        <v/>
      </c>
      <c r="AA1129" s="259">
        <f>INDEX(MO_Common_QEndDate,0,COLUMN())-INDEX(MO_Common_FPDays,0,COLUMN())+1</f>
        <v/>
      </c>
      <c r="AB1129" s="259">
        <f>INDEX(MO_Common_QEndDate,0,COLUMN())-INDEX(MO_Common_FPDays,0,COLUMN())+1</f>
        <v/>
      </c>
      <c r="AC1129" s="259">
        <f>INDEX(MO_Common_QEndDate,0,COLUMN())-INDEX(MO_Common_FPDays,0,COLUMN())+1</f>
        <v/>
      </c>
      <c r="AD1129" s="259">
        <f>INDEX(MO_Common_QEndDate,0,COLUMN())-INDEX(MO_Common_FPDays,0,COLUMN())+1</f>
        <v/>
      </c>
      <c r="AE1129" s="259">
        <f>INDEX(MO_Common_QEndDate,0,COLUMN())-INDEX(MO_Common_FPDays,0,COLUMN())+1</f>
        <v/>
      </c>
      <c r="AF1129" s="259">
        <f>INDEX(MO_Common_QEndDate,0,COLUMN())-INDEX(MO_Common_FPDays,0,COLUMN())+1</f>
        <v/>
      </c>
      <c r="AG1129" s="259">
        <f>INDEX(MO_Common_QEndDate,0,COLUMN())-INDEX(MO_Common_FPDays,0,COLUMN())+1</f>
        <v/>
      </c>
      <c r="AH1129" s="259">
        <f>INDEX(MO_Common_QEndDate,0,COLUMN())-INDEX(MO_Common_FPDays,0,COLUMN())+1</f>
        <v/>
      </c>
      <c r="AI1129" s="259">
        <f>INDEX(MO_Common_QEndDate,0,COLUMN())-INDEX(MO_Common_FPDays,0,COLUMN())+1</f>
        <v/>
      </c>
      <c r="AJ1129" s="259">
        <f>INDEX(MO_Common_QEndDate,0,COLUMN())-INDEX(MO_Common_FPDays,0,COLUMN())+1</f>
        <v/>
      </c>
      <c r="AK1129" s="259">
        <f>INDEX(MO_Common_QEndDate,0,COLUMN())-INDEX(MO_Common_FPDays,0,COLUMN())+1</f>
        <v/>
      </c>
      <c r="AL1129" s="259">
        <f>INDEX(MO_Common_QEndDate,0,COLUMN())-INDEX(MO_Common_FPDays,0,COLUMN())+1</f>
        <v/>
      </c>
      <c r="AM1129" s="259">
        <f>INDEX(MO_Common_QEndDate,0,COLUMN())-INDEX(MO_Common_FPDays,0,COLUMN())+1</f>
        <v/>
      </c>
      <c r="AN1129" s="259">
        <f>INDEX(MO_Common_QEndDate,0,COLUMN())-INDEX(MO_Common_FPDays,0,COLUMN())+1</f>
        <v/>
      </c>
      <c r="AO1129" s="259">
        <f>INDEX(MO_Common_QEndDate,0,COLUMN())-INDEX(MO_Common_FPDays,0,COLUMN())+1</f>
        <v/>
      </c>
      <c r="AP1129" s="259">
        <f>INDEX(MO_Common_QEndDate,0,COLUMN())-INDEX(MO_Common_FPDays,0,COLUMN())+1</f>
        <v/>
      </c>
      <c r="AQ1129" s="259">
        <f>INDEX(MO_Common_QEndDate,0,COLUMN())-INDEX(MO_Common_FPDays,0,COLUMN())+1</f>
        <v/>
      </c>
      <c r="AR1129" s="259">
        <f>INDEX(MO_Common_QEndDate,0,COLUMN())-INDEX(MO_Common_FPDays,0,COLUMN())+1</f>
        <v/>
      </c>
      <c r="AS1129" s="259">
        <f>INDEX(MO_Common_QEndDate,0,COLUMN())-INDEX(MO_Common_FPDays,0,COLUMN())+1</f>
        <v/>
      </c>
      <c r="AT1129" s="259">
        <f>INDEX(MO_Common_QEndDate,0,COLUMN())-INDEX(MO_Common_FPDays,0,COLUMN())+1</f>
        <v/>
      </c>
      <c r="AU1129" s="259">
        <f>INDEX(MO_Common_QEndDate,0,COLUMN())-INDEX(MO_Common_FPDays,0,COLUMN())+1</f>
        <v/>
      </c>
      <c r="AV1129" s="259">
        <f>INDEX(MO_Common_QEndDate,0,COLUMN())-INDEX(MO_Common_FPDays,0,COLUMN())+1</f>
        <v/>
      </c>
      <c r="AW1129" s="259">
        <f>INDEX(MO_Common_QEndDate,0,COLUMN())-INDEX(MO_Common_FPDays,0,COLUMN())+1</f>
        <v/>
      </c>
      <c r="AX1129" s="259">
        <f>INDEX(MO_Common_QEndDate,0,COLUMN())-INDEX(MO_Common_FPDays,0,COLUMN())+1</f>
        <v/>
      </c>
      <c r="AY1129" s="259">
        <f>INDEX(MO_Common_QEndDate,0,COLUMN())-INDEX(MO_Common_FPDays,0,COLUMN())+1</f>
        <v/>
      </c>
      <c r="AZ1129" s="259">
        <f>INDEX(MO_Common_QEndDate,0,COLUMN())-INDEX(MO_Common_FPDays,0,COLUMN())+1</f>
        <v/>
      </c>
      <c r="BA1129" s="259">
        <f>INDEX(MO_Common_QEndDate,0,COLUMN())-INDEX(MO_Common_FPDays,0,COLUMN())+1</f>
        <v/>
      </c>
      <c r="BB1129" s="259">
        <f>INDEX(MO_Common_QEndDate,0,COLUMN())-INDEX(MO_Common_FPDays,0,COLUMN())+1</f>
        <v/>
      </c>
      <c r="BC1129" s="259">
        <f>INDEX(MO_Common_QEndDate,0,COLUMN())-INDEX(MO_Common_FPDays,0,COLUMN())+1</f>
        <v/>
      </c>
      <c r="BD1129" s="259">
        <f>INDEX(MO_Common_QEndDate,0,COLUMN())-INDEX(MO_Common_FPDays,0,COLUMN())+1</f>
        <v/>
      </c>
      <c r="BE1129" s="259">
        <f>INDEX(MO_Common_QEndDate,0,COLUMN())-INDEX(MO_Common_FPDays,0,COLUMN())+1</f>
        <v/>
      </c>
      <c r="BF1129" s="259">
        <f>INDEX(MO_Common_QEndDate,0,COLUMN())-INDEX(MO_Common_FPDays,0,COLUMN())+1</f>
        <v/>
      </c>
      <c r="BG1129" s="259">
        <f>INDEX(MO_Common_QEndDate,0,COLUMN())-INDEX(MO_Common_FPDays,0,COLUMN())+1</f>
        <v/>
      </c>
      <c r="BH1129" s="259">
        <f>INDEX(MO_Common_QEndDate,0,COLUMN())-INDEX(MO_Common_FPDays,0,COLUMN())+1</f>
        <v/>
      </c>
      <c r="BI1129" s="259">
        <f>INDEX(MO_Common_QEndDate,0,COLUMN())-INDEX(MO_Common_FPDays,0,COLUMN())+1</f>
        <v/>
      </c>
      <c r="BJ1129" s="259">
        <f>INDEX(MO_Common_QEndDate,0,COLUMN())-INDEX(MO_Common_FPDays,0,COLUMN())+1</f>
        <v/>
      </c>
      <c r="BK1129" s="259">
        <f>INDEX(MO_Common_QEndDate,0,COLUMN())-INDEX(MO_Common_FPDays,0,COLUMN())+1</f>
        <v/>
      </c>
      <c r="BL1129" s="259">
        <f>INDEX(MO_Common_QEndDate,0,COLUMN())-INDEX(MO_Common_FPDays,0,COLUMN())+1</f>
        <v/>
      </c>
      <c r="BM1129" s="259">
        <f>INDEX(MO_Common_QEndDate,0,COLUMN())-INDEX(MO_Common_FPDays,0,COLUMN())+1</f>
        <v/>
      </c>
      <c r="BN1129" s="259">
        <f>INDEX(MO_Common_QEndDate,0,COLUMN())-INDEX(MO_Common_FPDays,0,COLUMN())+1</f>
        <v/>
      </c>
      <c r="BO1129" s="259">
        <f>INDEX(MO_Common_QEndDate,0,COLUMN())-INDEX(MO_Common_FPDays,0,COLUMN())+1</f>
        <v/>
      </c>
      <c r="BP1129" s="259">
        <f>INDEX(MO_Common_QEndDate,0,COLUMN())-INDEX(MO_Common_FPDays,0,COLUMN())+1</f>
        <v/>
      </c>
      <c r="BQ1129" s="259">
        <f>INDEX(MO_Common_QEndDate,0,COLUMN())-INDEX(MO_Common_FPDays,0,COLUMN())+1</f>
        <v/>
      </c>
      <c r="BR1129" s="259">
        <f>INDEX(MO_Common_QEndDate,0,COLUMN())-INDEX(MO_Common_FPDays,0,COLUMN())+1</f>
        <v/>
      </c>
      <c r="BS1129" s="259">
        <f>INDEX(MO_Common_QEndDate,0,COLUMN())-INDEX(MO_Common_FPDays,0,COLUMN())+1</f>
        <v/>
      </c>
      <c r="BT1129" s="259">
        <f>INDEX(MO_Common_QEndDate,0,COLUMN())-INDEX(MO_Common_FPDays,0,COLUMN())+1</f>
        <v/>
      </c>
      <c r="BU1129" s="259">
        <f>INDEX(MO_Common_QEndDate,0,COLUMN())-INDEX(MO_Common_FPDays,0,COLUMN())+1</f>
        <v/>
      </c>
      <c r="BV1129" s="528">
        <f>INDEX(MO_Common_QEndDate,0,COLUMN())-INDEX(MO_Common_FPDays,0,COLUMN())+1</f>
        <v/>
      </c>
      <c r="BW1129" s="259">
        <f>INDEX(MO_Common_QEndDate,0,COLUMN())-INDEX(MO_Common_FPDays,0,COLUMN())+1</f>
        <v/>
      </c>
      <c r="BX1129" s="259">
        <f>INDEX(MO_Common_QEndDate,0,COLUMN())-INDEX(MO_Common_FPDays,0,COLUMN())+1</f>
        <v/>
      </c>
      <c r="BY1129" s="259">
        <f>INDEX(MO_Common_QEndDate,0,COLUMN())-INDEX(MO_Common_FPDays,0,COLUMN())+1</f>
        <v/>
      </c>
      <c r="BZ1129" s="259">
        <f>INDEX(MO_Common_QEndDate,0,COLUMN())-INDEX(MO_Common_FPDays,0,COLUMN())+1</f>
        <v/>
      </c>
      <c r="CA1129" s="259">
        <f>INDEX(MO_Common_QEndDate,0,COLUMN())-INDEX(MO_Common_FPDays,0,COLUMN())+1</f>
        <v/>
      </c>
      <c r="CB1129" s="259">
        <f>INDEX(MO_Common_QEndDate,0,COLUMN())-INDEX(MO_Common_FPDays,0,COLUMN())+1</f>
        <v/>
      </c>
      <c r="CC1129" s="259">
        <f>INDEX(MO_Common_QEndDate,0,COLUMN())-INDEX(MO_Common_FPDays,0,COLUMN())+1</f>
        <v/>
      </c>
      <c r="CD1129" s="259">
        <f>INDEX(MO_Common_QEndDate,0,COLUMN())-INDEX(MO_Common_FPDays,0,COLUMN())+1</f>
        <v/>
      </c>
      <c r="CE1129" s="259">
        <f>INDEX(MO_Common_QEndDate,0,COLUMN())-INDEX(MO_Common_FPDays,0,COLUMN())+1</f>
        <v/>
      </c>
      <c r="CF1129" s="260">
        <f>INDEX(MO_Common_QEndDate,0,COLUMN())-INDEX(MO_Common_FPDays,0,COLUMN())+1</f>
        <v/>
      </c>
      <c r="CG1129" s="155" t="n"/>
    </row>
    <row r="1130">
      <c r="A1130" s="258" t="inlineStr">
        <is>
          <t>Is Historical Period</t>
        </is>
      </c>
      <c r="B1130" s="93" t="n"/>
      <c r="C1130" s="1008">
        <f>TRUE</f>
        <v/>
      </c>
      <c r="D1130" s="1008">
        <f>TRUE</f>
        <v/>
      </c>
      <c r="E1130" s="1008">
        <f>TRUE</f>
        <v/>
      </c>
      <c r="F1130" s="1008">
        <f>TRUE</f>
        <v/>
      </c>
      <c r="G1130" s="1008">
        <f>TRUE</f>
        <v/>
      </c>
      <c r="H1130" s="259">
        <f>TRUE</f>
        <v/>
      </c>
      <c r="I1130" s="259">
        <f>TRUE</f>
        <v/>
      </c>
      <c r="J1130" s="259">
        <f>TRUE</f>
        <v/>
      </c>
      <c r="K1130" s="259">
        <f>TRUE</f>
        <v/>
      </c>
      <c r="L1130" s="259">
        <f>TRUE</f>
        <v/>
      </c>
      <c r="M1130" s="259">
        <f>TRUE</f>
        <v/>
      </c>
      <c r="N1130" s="259">
        <f>TRUE</f>
        <v/>
      </c>
      <c r="O1130" s="259">
        <f>TRUE</f>
        <v/>
      </c>
      <c r="P1130" s="259">
        <f>TRUE</f>
        <v/>
      </c>
      <c r="Q1130" s="259">
        <f>TRUE</f>
        <v/>
      </c>
      <c r="R1130" s="259">
        <f>TRUE</f>
        <v/>
      </c>
      <c r="S1130" s="259">
        <f>TRUE</f>
        <v/>
      </c>
      <c r="T1130" s="259">
        <f>TRUE</f>
        <v/>
      </c>
      <c r="U1130" s="259">
        <f>TRUE</f>
        <v/>
      </c>
      <c r="V1130" s="259">
        <f>TRUE</f>
        <v/>
      </c>
      <c r="W1130" s="259">
        <f>TRUE</f>
        <v/>
      </c>
      <c r="X1130" s="259">
        <f>TRUE</f>
        <v/>
      </c>
      <c r="Y1130" s="259">
        <f>TRUE</f>
        <v/>
      </c>
      <c r="Z1130" s="259">
        <f>TRUE</f>
        <v/>
      </c>
      <c r="AA1130" s="259">
        <f>TRUE</f>
        <v/>
      </c>
      <c r="AB1130" s="259">
        <f>TRUE</f>
        <v/>
      </c>
      <c r="AC1130" s="259">
        <f>TRUE</f>
        <v/>
      </c>
      <c r="AD1130" s="259">
        <f>TRUE</f>
        <v/>
      </c>
      <c r="AE1130" s="259">
        <f>TRUE</f>
        <v/>
      </c>
      <c r="AF1130" s="259">
        <f>TRUE</f>
        <v/>
      </c>
      <c r="AG1130" s="259">
        <f>TRUE</f>
        <v/>
      </c>
      <c r="AH1130" s="259">
        <f>TRUE</f>
        <v/>
      </c>
      <c r="AI1130" s="259">
        <f>TRUE</f>
        <v/>
      </c>
      <c r="AJ1130" s="259">
        <f>TRUE</f>
        <v/>
      </c>
      <c r="AK1130" s="259">
        <f>TRUE</f>
        <v/>
      </c>
      <c r="AL1130" s="259">
        <f>TRUE</f>
        <v/>
      </c>
      <c r="AM1130" s="259">
        <f>TRUE</f>
        <v/>
      </c>
      <c r="AN1130" s="259">
        <f>TRUE</f>
        <v/>
      </c>
      <c r="AO1130" s="259">
        <f>TRUE</f>
        <v/>
      </c>
      <c r="AP1130" s="259">
        <f>TRUE</f>
        <v/>
      </c>
      <c r="AQ1130" s="259">
        <f>TRUE</f>
        <v/>
      </c>
      <c r="AR1130" s="259">
        <f>TRUE</f>
        <v/>
      </c>
      <c r="AS1130" s="259">
        <f>TRUE</f>
        <v/>
      </c>
      <c r="AT1130" s="259">
        <f>TRUE</f>
        <v/>
      </c>
      <c r="AU1130" s="259">
        <f>TRUE</f>
        <v/>
      </c>
      <c r="AV1130" s="259">
        <f>TRUE</f>
        <v/>
      </c>
      <c r="AW1130" s="259">
        <f>TRUE</f>
        <v/>
      </c>
      <c r="AX1130" s="259">
        <f>TRUE</f>
        <v/>
      </c>
      <c r="AY1130" s="259">
        <f>TRUE</f>
        <v/>
      </c>
      <c r="AZ1130" s="259">
        <f>TRUE</f>
        <v/>
      </c>
      <c r="BA1130" s="259">
        <f>TRUE</f>
        <v/>
      </c>
      <c r="BB1130" s="259">
        <f>TRUE</f>
        <v/>
      </c>
      <c r="BC1130" s="259">
        <f>TRUE</f>
        <v/>
      </c>
      <c r="BD1130" s="259">
        <f>TRUE</f>
        <v/>
      </c>
      <c r="BE1130" s="259">
        <f>TRUE</f>
        <v/>
      </c>
      <c r="BF1130" s="259">
        <f>TRUE</f>
        <v/>
      </c>
      <c r="BG1130" s="259">
        <f>TRUE</f>
        <v/>
      </c>
      <c r="BH1130" s="259">
        <f>TRUE</f>
        <v/>
      </c>
      <c r="BI1130" s="259">
        <f>TRUE</f>
        <v/>
      </c>
      <c r="BJ1130" s="259">
        <f>TRUE</f>
        <v/>
      </c>
      <c r="BK1130" s="259">
        <f>TRUE</f>
        <v/>
      </c>
      <c r="BL1130" s="259">
        <f>TRUE</f>
        <v/>
      </c>
      <c r="BM1130" s="259">
        <f>TRUE</f>
        <v/>
      </c>
      <c r="BN1130" s="259">
        <f>TRUE</f>
        <v/>
      </c>
      <c r="BO1130" s="259">
        <f>TRUE</f>
        <v/>
      </c>
      <c r="BP1130" s="259">
        <f>TRUE</f>
        <v/>
      </c>
      <c r="BQ1130" s="259">
        <f>TRUE</f>
        <v/>
      </c>
      <c r="BR1130" s="259">
        <f>TRUE</f>
        <v/>
      </c>
      <c r="BS1130" s="259">
        <f>TRUE</f>
        <v/>
      </c>
      <c r="BT1130" s="259">
        <f>TRUE</f>
        <v/>
      </c>
      <c r="BU1130" s="259">
        <f>TRUE</f>
        <v/>
      </c>
      <c r="BV1130" s="528">
        <f>TRUE</f>
        <v/>
      </c>
      <c r="BW1130" s="259">
        <f>FALSE</f>
        <v/>
      </c>
      <c r="BX1130" s="259">
        <f>FALSE</f>
        <v/>
      </c>
      <c r="BY1130" s="259">
        <f>FALSE</f>
        <v/>
      </c>
      <c r="BZ1130" s="259">
        <f>FALSE</f>
        <v/>
      </c>
      <c r="CA1130" s="259">
        <f>FALSE</f>
        <v/>
      </c>
      <c r="CB1130" s="259">
        <f>FALSE</f>
        <v/>
      </c>
      <c r="CC1130" s="259">
        <f>FALSE</f>
        <v/>
      </c>
      <c r="CD1130" s="259">
        <f>FALSE</f>
        <v/>
      </c>
      <c r="CE1130" s="259">
        <f>FALSE</f>
        <v/>
      </c>
      <c r="CF1130" s="260">
        <f>FALSE</f>
        <v/>
      </c>
      <c r="CG1130" s="155" t="n"/>
    </row>
    <row r="1131">
      <c r="A1131" s="261">
        <f>"Stock High: "&amp;IF(OR(MO.RealTimeStockPriceToggle=FALSE,VLOOKUP(MO.DataSourceName,MO_SPT_StockHigh_Sources,COLUMN()+2,FALSE)="N/A"),"Real-Time Off Source",MO.DataSourceName)</f>
        <v/>
      </c>
      <c r="B1131" s="262" t="n"/>
      <c r="C1131" s="1009">
        <f>IF(OR(MO.RealTimeStockPriceToggle=FALSE,VLOOKUP(MO.DataSourceName,MO_SPT_StockHigh_Sources,COLUMN(),FALSE)="N/A"),VLOOKUP("Real-Time Off Source",MO_SPT_StockHigh_Sources,COLUMN(),FALSE),VLOOKUP(MO.DataSourceName,MO_SPT_StockHigh_Sources,COLUMN(),FALSE))</f>
        <v/>
      </c>
      <c r="D1131" s="1009">
        <f>IF(OR(MO.RealTimeStockPriceToggle=FALSE,VLOOKUP(MO.DataSourceName,MO_SPT_StockHigh_Sources,COLUMN(),FALSE)="N/A"),VLOOKUP("Real-Time Off Source",MO_SPT_StockHigh_Sources,COLUMN(),FALSE),VLOOKUP(MO.DataSourceName,MO_SPT_StockHigh_Sources,COLUMN(),FALSE))</f>
        <v/>
      </c>
      <c r="E1131" s="1009">
        <f>IF(OR(MO.RealTimeStockPriceToggle=FALSE,VLOOKUP(MO.DataSourceName,MO_SPT_StockHigh_Sources,COLUMN(),FALSE)="N/A"),VLOOKUP("Real-Time Off Source",MO_SPT_StockHigh_Sources,COLUMN(),FALSE),VLOOKUP(MO.DataSourceName,MO_SPT_StockHigh_Sources,COLUMN(),FALSE))</f>
        <v/>
      </c>
      <c r="F1131" s="1009">
        <f>IF(OR(MO.RealTimeStockPriceToggle=FALSE,VLOOKUP(MO.DataSourceName,MO_SPT_StockHigh_Sources,COLUMN(),FALSE)="N/A"),VLOOKUP("Real-Time Off Source",MO_SPT_StockHigh_Sources,COLUMN(),FALSE),VLOOKUP(MO.DataSourceName,MO_SPT_StockHigh_Sources,COLUMN(),FALSE))</f>
        <v/>
      </c>
      <c r="G1131" s="1009">
        <f>IF(OR(MO.RealTimeStockPriceToggle=FALSE,VLOOKUP(MO.DataSourceName,MO_SPT_StockHigh_Sources,COLUMN(),FALSE)="N/A"),VLOOKUP("Real-Time Off Source",MO_SPT_StockHigh_Sources,COLUMN(),FALSE),VLOOKUP(MO.DataSourceName,MO_SPT_StockHigh_Sources,COLUMN(),FALSE))</f>
        <v/>
      </c>
      <c r="H1131" s="262">
        <f>IF(OR(MO.RealTimeStockPriceToggle=FALSE,VLOOKUP(MO.DataSourceName,MO_SPT_StockHigh_Sources,COLUMN(),FALSE)="N/A"),VLOOKUP("Real-Time Off Source",MO_SPT_StockHigh_Sources,COLUMN(),FALSE),VLOOKUP(MO.DataSourceName,MO_SPT_StockHigh_Sources,COLUMN(),FALSE))</f>
        <v/>
      </c>
      <c r="I1131" s="262">
        <f>IF(OR(MO.RealTimeStockPriceToggle=FALSE,VLOOKUP(MO.DataSourceName,MO_SPT_StockHigh_Sources,COLUMN(),FALSE)="N/A"),VLOOKUP("Real-Time Off Source",MO_SPT_StockHigh_Sources,COLUMN(),FALSE),VLOOKUP(MO.DataSourceName,MO_SPT_StockHigh_Sources,COLUMN(),FALSE))</f>
        <v/>
      </c>
      <c r="J1131" s="262">
        <f>IF(OR(MO.RealTimeStockPriceToggle=FALSE,VLOOKUP(MO.DataSourceName,MO_SPT_StockHigh_Sources,COLUMN(),FALSE)="N/A"),VLOOKUP("Real-Time Off Source",MO_SPT_StockHigh_Sources,COLUMN(),FALSE),VLOOKUP(MO.DataSourceName,MO_SPT_StockHigh_Sources,COLUMN(),FALSE))</f>
        <v/>
      </c>
      <c r="K1131" s="262">
        <f>IF(OR(MO.RealTimeStockPriceToggle=FALSE,VLOOKUP(MO.DataSourceName,MO_SPT_StockHigh_Sources,COLUMN(),FALSE)="N/A"),VLOOKUP("Real-Time Off Source",MO_SPT_StockHigh_Sources,COLUMN(),FALSE),VLOOKUP(MO.DataSourceName,MO_SPT_StockHigh_Sources,COLUMN(),FALSE))</f>
        <v/>
      </c>
      <c r="L1131" s="262">
        <f>IF(OR(MO.RealTimeStockPriceToggle=FALSE,VLOOKUP(MO.DataSourceName,MO_SPT_StockHigh_Sources,COLUMN(),FALSE)="N/A"),VLOOKUP("Real-Time Off Source",MO_SPT_StockHigh_Sources,COLUMN(),FALSE),VLOOKUP(MO.DataSourceName,MO_SPT_StockHigh_Sources,COLUMN(),FALSE))</f>
        <v/>
      </c>
      <c r="M1131" s="262">
        <f>IF(OR(MO.RealTimeStockPriceToggle=FALSE,VLOOKUP(MO.DataSourceName,MO_SPT_StockHigh_Sources,COLUMN(),FALSE)="N/A"),VLOOKUP("Real-Time Off Source",MO_SPT_StockHigh_Sources,COLUMN(),FALSE),VLOOKUP(MO.DataSourceName,MO_SPT_StockHigh_Sources,COLUMN(),FALSE))</f>
        <v/>
      </c>
      <c r="N1131" s="262">
        <f>IF(OR(MO.RealTimeStockPriceToggle=FALSE,VLOOKUP(MO.DataSourceName,MO_SPT_StockHigh_Sources,COLUMN(),FALSE)="N/A"),VLOOKUP("Real-Time Off Source",MO_SPT_StockHigh_Sources,COLUMN(),FALSE),VLOOKUP(MO.DataSourceName,MO_SPT_StockHigh_Sources,COLUMN(),FALSE))</f>
        <v/>
      </c>
      <c r="O1131" s="262">
        <f>IF(OR(MO.RealTimeStockPriceToggle=FALSE,VLOOKUP(MO.DataSourceName,MO_SPT_StockHigh_Sources,COLUMN(),FALSE)="N/A"),VLOOKUP("Real-Time Off Source",MO_SPT_StockHigh_Sources,COLUMN(),FALSE),VLOOKUP(MO.DataSourceName,MO_SPT_StockHigh_Sources,COLUMN(),FALSE))</f>
        <v/>
      </c>
      <c r="P1131" s="262">
        <f>IF(OR(MO.RealTimeStockPriceToggle=FALSE,VLOOKUP(MO.DataSourceName,MO_SPT_StockHigh_Sources,COLUMN(),FALSE)="N/A"),VLOOKUP("Real-Time Off Source",MO_SPT_StockHigh_Sources,COLUMN(),FALSE),VLOOKUP(MO.DataSourceName,MO_SPT_StockHigh_Sources,COLUMN(),FALSE))</f>
        <v/>
      </c>
      <c r="Q1131" s="262">
        <f>IF(OR(MO.RealTimeStockPriceToggle=FALSE,VLOOKUP(MO.DataSourceName,MO_SPT_StockHigh_Sources,COLUMN(),FALSE)="N/A"),VLOOKUP("Real-Time Off Source",MO_SPT_StockHigh_Sources,COLUMN(),FALSE),VLOOKUP(MO.DataSourceName,MO_SPT_StockHigh_Sources,COLUMN(),FALSE))</f>
        <v/>
      </c>
      <c r="R1131" s="262">
        <f>IF(OR(MO.RealTimeStockPriceToggle=FALSE,VLOOKUP(MO.DataSourceName,MO_SPT_StockHigh_Sources,COLUMN(),FALSE)="N/A"),VLOOKUP("Real-Time Off Source",MO_SPT_StockHigh_Sources,COLUMN(),FALSE),VLOOKUP(MO.DataSourceName,MO_SPT_StockHigh_Sources,COLUMN(),FALSE))</f>
        <v/>
      </c>
      <c r="S1131" s="262">
        <f>IF(OR(MO.RealTimeStockPriceToggle=FALSE,VLOOKUP(MO.DataSourceName,MO_SPT_StockHigh_Sources,COLUMN(),FALSE)="N/A"),VLOOKUP("Real-Time Off Source",MO_SPT_StockHigh_Sources,COLUMN(),FALSE),VLOOKUP(MO.DataSourceName,MO_SPT_StockHigh_Sources,COLUMN(),FALSE))</f>
        <v/>
      </c>
      <c r="T1131" s="262">
        <f>IF(OR(MO.RealTimeStockPriceToggle=FALSE,VLOOKUP(MO.DataSourceName,MO_SPT_StockHigh_Sources,COLUMN(),FALSE)="N/A"),VLOOKUP("Real-Time Off Source",MO_SPT_StockHigh_Sources,COLUMN(),FALSE),VLOOKUP(MO.DataSourceName,MO_SPT_StockHigh_Sources,COLUMN(),FALSE))</f>
        <v/>
      </c>
      <c r="U1131" s="262">
        <f>IF(OR(MO.RealTimeStockPriceToggle=FALSE,VLOOKUP(MO.DataSourceName,MO_SPT_StockHigh_Sources,COLUMN(),FALSE)="N/A"),VLOOKUP("Real-Time Off Source",MO_SPT_StockHigh_Sources,COLUMN(),FALSE),VLOOKUP(MO.DataSourceName,MO_SPT_StockHigh_Sources,COLUMN(),FALSE))</f>
        <v/>
      </c>
      <c r="V1131" s="262">
        <f>IF(OR(MO.RealTimeStockPriceToggle=FALSE,VLOOKUP(MO.DataSourceName,MO_SPT_StockHigh_Sources,COLUMN(),FALSE)="N/A"),VLOOKUP("Real-Time Off Source",MO_SPT_StockHigh_Sources,COLUMN(),FALSE),VLOOKUP(MO.DataSourceName,MO_SPT_StockHigh_Sources,COLUMN(),FALSE))</f>
        <v/>
      </c>
      <c r="W1131" s="262">
        <f>IF(OR(MO.RealTimeStockPriceToggle=FALSE,VLOOKUP(MO.DataSourceName,MO_SPT_StockHigh_Sources,COLUMN(),FALSE)="N/A"),VLOOKUP("Real-Time Off Source",MO_SPT_StockHigh_Sources,COLUMN(),FALSE),VLOOKUP(MO.DataSourceName,MO_SPT_StockHigh_Sources,COLUMN(),FALSE))</f>
        <v/>
      </c>
      <c r="X1131" s="262">
        <f>IF(OR(MO.RealTimeStockPriceToggle=FALSE,VLOOKUP(MO.DataSourceName,MO_SPT_StockHigh_Sources,COLUMN(),FALSE)="N/A"),VLOOKUP("Real-Time Off Source",MO_SPT_StockHigh_Sources,COLUMN(),FALSE),VLOOKUP(MO.DataSourceName,MO_SPT_StockHigh_Sources,COLUMN(),FALSE))</f>
        <v/>
      </c>
      <c r="Y1131" s="262">
        <f>IF(OR(MO.RealTimeStockPriceToggle=FALSE,VLOOKUP(MO.DataSourceName,MO_SPT_StockHigh_Sources,COLUMN(),FALSE)="N/A"),VLOOKUP("Real-Time Off Source",MO_SPT_StockHigh_Sources,COLUMN(),FALSE),VLOOKUP(MO.DataSourceName,MO_SPT_StockHigh_Sources,COLUMN(),FALSE))</f>
        <v/>
      </c>
      <c r="Z1131" s="262">
        <f>IF(OR(MO.RealTimeStockPriceToggle=FALSE,VLOOKUP(MO.DataSourceName,MO_SPT_StockHigh_Sources,COLUMN(),FALSE)="N/A"),VLOOKUP("Real-Time Off Source",MO_SPT_StockHigh_Sources,COLUMN(),FALSE),VLOOKUP(MO.DataSourceName,MO_SPT_StockHigh_Sources,COLUMN(),FALSE))</f>
        <v/>
      </c>
      <c r="AA1131" s="262">
        <f>IF(OR(MO.RealTimeStockPriceToggle=FALSE,VLOOKUP(MO.DataSourceName,MO_SPT_StockHigh_Sources,COLUMN(),FALSE)="N/A"),VLOOKUP("Real-Time Off Source",MO_SPT_StockHigh_Sources,COLUMN(),FALSE),VLOOKUP(MO.DataSourceName,MO_SPT_StockHigh_Sources,COLUMN(),FALSE))</f>
        <v/>
      </c>
      <c r="AB1131" s="262">
        <f>IF(OR(MO.RealTimeStockPriceToggle=FALSE,VLOOKUP(MO.DataSourceName,MO_SPT_StockHigh_Sources,COLUMN(),FALSE)="N/A"),VLOOKUP("Real-Time Off Source",MO_SPT_StockHigh_Sources,COLUMN(),FALSE),VLOOKUP(MO.DataSourceName,MO_SPT_StockHigh_Sources,COLUMN(),FALSE))</f>
        <v/>
      </c>
      <c r="AC1131" s="262">
        <f>IF(OR(MO.RealTimeStockPriceToggle=FALSE,VLOOKUP(MO.DataSourceName,MO_SPT_StockHigh_Sources,COLUMN(),FALSE)="N/A"),VLOOKUP("Real-Time Off Source",MO_SPT_StockHigh_Sources,COLUMN(),FALSE),VLOOKUP(MO.DataSourceName,MO_SPT_StockHigh_Sources,COLUMN(),FALSE))</f>
        <v/>
      </c>
      <c r="AD1131" s="262">
        <f>IF(OR(MO.RealTimeStockPriceToggle=FALSE,VLOOKUP(MO.DataSourceName,MO_SPT_StockHigh_Sources,COLUMN(),FALSE)="N/A"),VLOOKUP("Real-Time Off Source",MO_SPT_StockHigh_Sources,COLUMN(),FALSE),VLOOKUP(MO.DataSourceName,MO_SPT_StockHigh_Sources,COLUMN(),FALSE))</f>
        <v/>
      </c>
      <c r="AE1131" s="262">
        <f>IF(OR(MO.RealTimeStockPriceToggle=FALSE,VLOOKUP(MO.DataSourceName,MO_SPT_StockHigh_Sources,COLUMN(),FALSE)="N/A"),VLOOKUP("Real-Time Off Source",MO_SPT_StockHigh_Sources,COLUMN(),FALSE),VLOOKUP(MO.DataSourceName,MO_SPT_StockHigh_Sources,COLUMN(),FALSE))</f>
        <v/>
      </c>
      <c r="AF1131" s="262">
        <f>IF(OR(MO.RealTimeStockPriceToggle=FALSE,VLOOKUP(MO.DataSourceName,MO_SPT_StockHigh_Sources,COLUMN(),FALSE)="N/A"),VLOOKUP("Real-Time Off Source",MO_SPT_StockHigh_Sources,COLUMN(),FALSE),VLOOKUP(MO.DataSourceName,MO_SPT_StockHigh_Sources,COLUMN(),FALSE))</f>
        <v/>
      </c>
      <c r="AG1131" s="262">
        <f>IF(OR(MO.RealTimeStockPriceToggle=FALSE,VLOOKUP(MO.DataSourceName,MO_SPT_StockHigh_Sources,COLUMN(),FALSE)="N/A"),VLOOKUP("Real-Time Off Source",MO_SPT_StockHigh_Sources,COLUMN(),FALSE),VLOOKUP(MO.DataSourceName,MO_SPT_StockHigh_Sources,COLUMN(),FALSE))</f>
        <v/>
      </c>
      <c r="AH1131" s="262">
        <f>IF(OR(MO.RealTimeStockPriceToggle=FALSE,VLOOKUP(MO.DataSourceName,MO_SPT_StockHigh_Sources,COLUMN(),FALSE)="N/A"),VLOOKUP("Real-Time Off Source",MO_SPT_StockHigh_Sources,COLUMN(),FALSE),VLOOKUP(MO.DataSourceName,MO_SPT_StockHigh_Sources,COLUMN(),FALSE))</f>
        <v/>
      </c>
      <c r="AI1131" s="262">
        <f>IF(OR(MO.RealTimeStockPriceToggle=FALSE,VLOOKUP(MO.DataSourceName,MO_SPT_StockHigh_Sources,COLUMN(),FALSE)="N/A"),VLOOKUP("Real-Time Off Source",MO_SPT_StockHigh_Sources,COLUMN(),FALSE),VLOOKUP(MO.DataSourceName,MO_SPT_StockHigh_Sources,COLUMN(),FALSE))</f>
        <v/>
      </c>
      <c r="AJ1131" s="262">
        <f>IF(OR(MO.RealTimeStockPriceToggle=FALSE,VLOOKUP(MO.DataSourceName,MO_SPT_StockHigh_Sources,COLUMN(),FALSE)="N/A"),VLOOKUP("Real-Time Off Source",MO_SPT_StockHigh_Sources,COLUMN(),FALSE),VLOOKUP(MO.DataSourceName,MO_SPT_StockHigh_Sources,COLUMN(),FALSE))</f>
        <v/>
      </c>
      <c r="AK1131" s="262">
        <f>IF(OR(MO.RealTimeStockPriceToggle=FALSE,VLOOKUP(MO.DataSourceName,MO_SPT_StockHigh_Sources,COLUMN(),FALSE)="N/A"),VLOOKUP("Real-Time Off Source",MO_SPT_StockHigh_Sources,COLUMN(),FALSE),VLOOKUP(MO.DataSourceName,MO_SPT_StockHigh_Sources,COLUMN(),FALSE))</f>
        <v/>
      </c>
      <c r="AL1131" s="262">
        <f>IF(OR(MO.RealTimeStockPriceToggle=FALSE,VLOOKUP(MO.DataSourceName,MO_SPT_StockHigh_Sources,COLUMN(),FALSE)="N/A"),VLOOKUP("Real-Time Off Source",MO_SPT_StockHigh_Sources,COLUMN(),FALSE),VLOOKUP(MO.DataSourceName,MO_SPT_StockHigh_Sources,COLUMN(),FALSE))</f>
        <v/>
      </c>
      <c r="AM1131" s="262">
        <f>IF(OR(MO.RealTimeStockPriceToggle=FALSE,VLOOKUP(MO.DataSourceName,MO_SPT_StockHigh_Sources,COLUMN(),FALSE)="N/A"),VLOOKUP("Real-Time Off Source",MO_SPT_StockHigh_Sources,COLUMN(),FALSE),VLOOKUP(MO.DataSourceName,MO_SPT_StockHigh_Sources,COLUMN(),FALSE))</f>
        <v/>
      </c>
      <c r="AN1131" s="262">
        <f>IF(OR(MO.RealTimeStockPriceToggle=FALSE,VLOOKUP(MO.DataSourceName,MO_SPT_StockHigh_Sources,COLUMN(),FALSE)="N/A"),VLOOKUP("Real-Time Off Source",MO_SPT_StockHigh_Sources,COLUMN(),FALSE),VLOOKUP(MO.DataSourceName,MO_SPT_StockHigh_Sources,COLUMN(),FALSE))</f>
        <v/>
      </c>
      <c r="AO1131" s="262">
        <f>IF(OR(MO.RealTimeStockPriceToggle=FALSE,VLOOKUP(MO.DataSourceName,MO_SPT_StockHigh_Sources,COLUMN(),FALSE)="N/A"),VLOOKUP("Real-Time Off Source",MO_SPT_StockHigh_Sources,COLUMN(),FALSE),VLOOKUP(MO.DataSourceName,MO_SPT_StockHigh_Sources,COLUMN(),FALSE))</f>
        <v/>
      </c>
      <c r="AP1131" s="262">
        <f>IF(OR(MO.RealTimeStockPriceToggle=FALSE,VLOOKUP(MO.DataSourceName,MO_SPT_StockHigh_Sources,COLUMN(),FALSE)="N/A"),VLOOKUP("Real-Time Off Source",MO_SPT_StockHigh_Sources,COLUMN(),FALSE),VLOOKUP(MO.DataSourceName,MO_SPT_StockHigh_Sources,COLUMN(),FALSE))</f>
        <v/>
      </c>
      <c r="AQ1131" s="262">
        <f>IF(OR(MO.RealTimeStockPriceToggle=FALSE,VLOOKUP(MO.DataSourceName,MO_SPT_StockHigh_Sources,COLUMN(),FALSE)="N/A"),VLOOKUP("Real-Time Off Source",MO_SPT_StockHigh_Sources,COLUMN(),FALSE),VLOOKUP(MO.DataSourceName,MO_SPT_StockHigh_Sources,COLUMN(),FALSE))</f>
        <v/>
      </c>
      <c r="AR1131" s="262">
        <f>IF(OR(MO.RealTimeStockPriceToggle=FALSE,VLOOKUP(MO.DataSourceName,MO_SPT_StockHigh_Sources,COLUMN(),FALSE)="N/A"),VLOOKUP("Real-Time Off Source",MO_SPT_StockHigh_Sources,COLUMN(),FALSE),VLOOKUP(MO.DataSourceName,MO_SPT_StockHigh_Sources,COLUMN(),FALSE))</f>
        <v/>
      </c>
      <c r="AS1131" s="262">
        <f>IF(OR(MO.RealTimeStockPriceToggle=FALSE,VLOOKUP(MO.DataSourceName,MO_SPT_StockHigh_Sources,COLUMN(),FALSE)="N/A"),VLOOKUP("Real-Time Off Source",MO_SPT_StockHigh_Sources,COLUMN(),FALSE),VLOOKUP(MO.DataSourceName,MO_SPT_StockHigh_Sources,COLUMN(),FALSE))</f>
        <v/>
      </c>
      <c r="AT1131" s="262">
        <f>IF(OR(MO.RealTimeStockPriceToggle=FALSE,VLOOKUP(MO.DataSourceName,MO_SPT_StockHigh_Sources,COLUMN(),FALSE)="N/A"),VLOOKUP("Real-Time Off Source",MO_SPT_StockHigh_Sources,COLUMN(),FALSE),VLOOKUP(MO.DataSourceName,MO_SPT_StockHigh_Sources,COLUMN(),FALSE))</f>
        <v/>
      </c>
      <c r="AU1131" s="262">
        <f>IF(OR(MO.RealTimeStockPriceToggle=FALSE,VLOOKUP(MO.DataSourceName,MO_SPT_StockHigh_Sources,COLUMN(),FALSE)="N/A"),VLOOKUP("Real-Time Off Source",MO_SPT_StockHigh_Sources,COLUMN(),FALSE),VLOOKUP(MO.DataSourceName,MO_SPT_StockHigh_Sources,COLUMN(),FALSE))</f>
        <v/>
      </c>
      <c r="AV1131" s="262">
        <f>IF(OR(MO.RealTimeStockPriceToggle=FALSE,VLOOKUP(MO.DataSourceName,MO_SPT_StockHigh_Sources,COLUMN(),FALSE)="N/A"),VLOOKUP("Real-Time Off Source",MO_SPT_StockHigh_Sources,COLUMN(),FALSE),VLOOKUP(MO.DataSourceName,MO_SPT_StockHigh_Sources,COLUMN(),FALSE))</f>
        <v/>
      </c>
      <c r="AW1131" s="262">
        <f>IF(OR(MO.RealTimeStockPriceToggle=FALSE,VLOOKUP(MO.DataSourceName,MO_SPT_StockHigh_Sources,COLUMN(),FALSE)="N/A"),VLOOKUP("Real-Time Off Source",MO_SPT_StockHigh_Sources,COLUMN(),FALSE),VLOOKUP(MO.DataSourceName,MO_SPT_StockHigh_Sources,COLUMN(),FALSE))</f>
        <v/>
      </c>
      <c r="AX1131" s="262">
        <f>IF(OR(MO.RealTimeStockPriceToggle=FALSE,VLOOKUP(MO.DataSourceName,MO_SPT_StockHigh_Sources,COLUMN(),FALSE)="N/A"),VLOOKUP("Real-Time Off Source",MO_SPT_StockHigh_Sources,COLUMN(),FALSE),VLOOKUP(MO.DataSourceName,MO_SPT_StockHigh_Sources,COLUMN(),FALSE))</f>
        <v/>
      </c>
      <c r="AY1131" s="262">
        <f>IF(OR(MO.RealTimeStockPriceToggle=FALSE,VLOOKUP(MO.DataSourceName,MO_SPT_StockHigh_Sources,COLUMN(),FALSE)="N/A"),VLOOKUP("Real-Time Off Source",MO_SPT_StockHigh_Sources,COLUMN(),FALSE),VLOOKUP(MO.DataSourceName,MO_SPT_StockHigh_Sources,COLUMN(),FALSE))</f>
        <v/>
      </c>
      <c r="AZ1131" s="262">
        <f>IF(OR(MO.RealTimeStockPriceToggle=FALSE,VLOOKUP(MO.DataSourceName,MO_SPT_StockHigh_Sources,COLUMN(),FALSE)="N/A"),VLOOKUP("Real-Time Off Source",MO_SPT_StockHigh_Sources,COLUMN(),FALSE),VLOOKUP(MO.DataSourceName,MO_SPT_StockHigh_Sources,COLUMN(),FALSE))</f>
        <v/>
      </c>
      <c r="BA1131" s="262">
        <f>IF(OR(MO.RealTimeStockPriceToggle=FALSE,VLOOKUP(MO.DataSourceName,MO_SPT_StockHigh_Sources,COLUMN(),FALSE)="N/A"),VLOOKUP("Real-Time Off Source",MO_SPT_StockHigh_Sources,COLUMN(),FALSE),VLOOKUP(MO.DataSourceName,MO_SPT_StockHigh_Sources,COLUMN(),FALSE))</f>
        <v/>
      </c>
      <c r="BB1131" s="262">
        <f>IF(OR(MO.RealTimeStockPriceToggle=FALSE,VLOOKUP(MO.DataSourceName,MO_SPT_StockHigh_Sources,COLUMN(),FALSE)="N/A"),VLOOKUP("Real-Time Off Source",MO_SPT_StockHigh_Sources,COLUMN(),FALSE),VLOOKUP(MO.DataSourceName,MO_SPT_StockHigh_Sources,COLUMN(),FALSE))</f>
        <v/>
      </c>
      <c r="BC1131" s="262">
        <f>IF(OR(MO.RealTimeStockPriceToggle=FALSE,VLOOKUP(MO.DataSourceName,MO_SPT_StockHigh_Sources,COLUMN(),FALSE)="N/A"),VLOOKUP("Real-Time Off Source",MO_SPT_StockHigh_Sources,COLUMN(),FALSE),VLOOKUP(MO.DataSourceName,MO_SPT_StockHigh_Sources,COLUMN(),FALSE))</f>
        <v/>
      </c>
      <c r="BD1131" s="262">
        <f>IF(OR(MO.RealTimeStockPriceToggle=FALSE,VLOOKUP(MO.DataSourceName,MO_SPT_StockHigh_Sources,COLUMN(),FALSE)="N/A"),VLOOKUP("Real-Time Off Source",MO_SPT_StockHigh_Sources,COLUMN(),FALSE),VLOOKUP(MO.DataSourceName,MO_SPT_StockHigh_Sources,COLUMN(),FALSE))</f>
        <v/>
      </c>
      <c r="BE1131" s="262">
        <f>IF(OR(MO.RealTimeStockPriceToggle=FALSE,VLOOKUP(MO.DataSourceName,MO_SPT_StockHigh_Sources,COLUMN(),FALSE)="N/A"),VLOOKUP("Real-Time Off Source",MO_SPT_StockHigh_Sources,COLUMN(),FALSE),VLOOKUP(MO.DataSourceName,MO_SPT_StockHigh_Sources,COLUMN(),FALSE))</f>
        <v/>
      </c>
      <c r="BF1131" s="262">
        <f>IF(OR(MO.RealTimeStockPriceToggle=FALSE,VLOOKUP(MO.DataSourceName,MO_SPT_StockHigh_Sources,COLUMN(),FALSE)="N/A"),VLOOKUP("Real-Time Off Source",MO_SPT_StockHigh_Sources,COLUMN(),FALSE),VLOOKUP(MO.DataSourceName,MO_SPT_StockHigh_Sources,COLUMN(),FALSE))</f>
        <v/>
      </c>
      <c r="BG1131" s="262">
        <f>IF(OR(MO.RealTimeStockPriceToggle=FALSE,VLOOKUP(MO.DataSourceName,MO_SPT_StockHigh_Sources,COLUMN(),FALSE)="N/A"),VLOOKUP("Real-Time Off Source",MO_SPT_StockHigh_Sources,COLUMN(),FALSE),VLOOKUP(MO.DataSourceName,MO_SPT_StockHigh_Sources,COLUMN(),FALSE))</f>
        <v/>
      </c>
      <c r="BH1131" s="262">
        <f>IF(OR(MO.RealTimeStockPriceToggle=FALSE,VLOOKUP(MO.DataSourceName,MO_SPT_StockHigh_Sources,COLUMN(),FALSE)="N/A"),VLOOKUP("Real-Time Off Source",MO_SPT_StockHigh_Sources,COLUMN(),FALSE),VLOOKUP(MO.DataSourceName,MO_SPT_StockHigh_Sources,COLUMN(),FALSE))</f>
        <v/>
      </c>
      <c r="BI1131" s="262">
        <f>IF(OR(MO.RealTimeStockPriceToggle=FALSE,VLOOKUP(MO.DataSourceName,MO_SPT_StockHigh_Sources,COLUMN(),FALSE)="N/A"),VLOOKUP("Real-Time Off Source",MO_SPT_StockHigh_Sources,COLUMN(),FALSE),VLOOKUP(MO.DataSourceName,MO_SPT_StockHigh_Sources,COLUMN(),FALSE))</f>
        <v/>
      </c>
      <c r="BJ1131" s="262">
        <f>IF(OR(MO.RealTimeStockPriceToggle=FALSE,VLOOKUP(MO.DataSourceName,MO_SPT_StockHigh_Sources,COLUMN(),FALSE)="N/A"),VLOOKUP("Real-Time Off Source",MO_SPT_StockHigh_Sources,COLUMN(),FALSE),VLOOKUP(MO.DataSourceName,MO_SPT_StockHigh_Sources,COLUMN(),FALSE))</f>
        <v/>
      </c>
      <c r="BK1131" s="262">
        <f>IF(OR(MO.RealTimeStockPriceToggle=FALSE,VLOOKUP(MO.DataSourceName,MO_SPT_StockHigh_Sources,COLUMN(),FALSE)="N/A"),VLOOKUP("Real-Time Off Source",MO_SPT_StockHigh_Sources,COLUMN(),FALSE),VLOOKUP(MO.DataSourceName,MO_SPT_StockHigh_Sources,COLUMN(),FALSE))</f>
        <v/>
      </c>
      <c r="BL1131" s="262">
        <f>IF(OR(MO.RealTimeStockPriceToggle=FALSE,VLOOKUP(MO.DataSourceName,MO_SPT_StockHigh_Sources,COLUMN(),FALSE)="N/A"),VLOOKUP("Real-Time Off Source",MO_SPT_StockHigh_Sources,COLUMN(),FALSE),VLOOKUP(MO.DataSourceName,MO_SPT_StockHigh_Sources,COLUMN(),FALSE))</f>
        <v/>
      </c>
      <c r="BM1131" s="262">
        <f>IF(OR(MO.RealTimeStockPriceToggle=FALSE,VLOOKUP(MO.DataSourceName,MO_SPT_StockHigh_Sources,COLUMN(),FALSE)="N/A"),VLOOKUP("Real-Time Off Source",MO_SPT_StockHigh_Sources,COLUMN(),FALSE),VLOOKUP(MO.DataSourceName,MO_SPT_StockHigh_Sources,COLUMN(),FALSE))</f>
        <v/>
      </c>
      <c r="BN1131" s="262">
        <f>IF(OR(MO.RealTimeStockPriceToggle=FALSE,VLOOKUP(MO.DataSourceName,MO_SPT_StockHigh_Sources,COLUMN(),FALSE)="N/A"),VLOOKUP("Real-Time Off Source",MO_SPT_StockHigh_Sources,COLUMN(),FALSE),VLOOKUP(MO.DataSourceName,MO_SPT_StockHigh_Sources,COLUMN(),FALSE))</f>
        <v/>
      </c>
      <c r="BO1131" s="262">
        <f>IF(OR(MO.RealTimeStockPriceToggle=FALSE,VLOOKUP(MO.DataSourceName,MO_SPT_StockHigh_Sources,COLUMN(),FALSE)="N/A"),VLOOKUP("Real-Time Off Source",MO_SPT_StockHigh_Sources,COLUMN(),FALSE),VLOOKUP(MO.DataSourceName,MO_SPT_StockHigh_Sources,COLUMN(),FALSE))</f>
        <v/>
      </c>
      <c r="BP1131" s="262">
        <f>IF(OR(MO.RealTimeStockPriceToggle=FALSE,VLOOKUP(MO.DataSourceName,MO_SPT_StockHigh_Sources,COLUMN(),FALSE)="N/A"),VLOOKUP("Real-Time Off Source",MO_SPT_StockHigh_Sources,COLUMN(),FALSE),VLOOKUP(MO.DataSourceName,MO_SPT_StockHigh_Sources,COLUMN(),FALSE))</f>
        <v/>
      </c>
      <c r="BQ1131" s="262">
        <f>IF(OR(MO.RealTimeStockPriceToggle=FALSE,VLOOKUP(MO.DataSourceName,MO_SPT_StockHigh_Sources,COLUMN(),FALSE)="N/A"),VLOOKUP("Real-Time Off Source",MO_SPT_StockHigh_Sources,COLUMN(),FALSE),VLOOKUP(MO.DataSourceName,MO_SPT_StockHigh_Sources,COLUMN(),FALSE))</f>
        <v/>
      </c>
      <c r="BR1131" s="262">
        <f>IF(OR(MO.RealTimeStockPriceToggle=FALSE,VLOOKUP(MO.DataSourceName,MO_SPT_StockHigh_Sources,COLUMN(),FALSE)="N/A"),VLOOKUP("Real-Time Off Source",MO_SPT_StockHigh_Sources,COLUMN(),FALSE),VLOOKUP(MO.DataSourceName,MO_SPT_StockHigh_Sources,COLUMN(),FALSE))</f>
        <v/>
      </c>
      <c r="BS1131" s="262">
        <f>IF(OR(MO.RealTimeStockPriceToggle=FALSE,VLOOKUP(MO.DataSourceName,MO_SPT_StockHigh_Sources,COLUMN(),FALSE)="N/A"),VLOOKUP("Real-Time Off Source",MO_SPT_StockHigh_Sources,COLUMN(),FALSE),VLOOKUP(MO.DataSourceName,MO_SPT_StockHigh_Sources,COLUMN(),FALSE))</f>
        <v/>
      </c>
      <c r="BT1131" s="262">
        <f>IF(OR(MO.RealTimeStockPriceToggle=FALSE,VLOOKUP(MO.DataSourceName,MO_SPT_StockHigh_Sources,COLUMN(),FALSE)="N/A"),VLOOKUP("Real-Time Off Source",MO_SPT_StockHigh_Sources,COLUMN(),FALSE),VLOOKUP(MO.DataSourceName,MO_SPT_StockHigh_Sources,COLUMN(),FALSE))</f>
        <v/>
      </c>
      <c r="BU1131" s="262">
        <f>IF(OR(MO.RealTimeStockPriceToggle=FALSE,VLOOKUP(MO.DataSourceName,MO_SPT_StockHigh_Sources,COLUMN(),FALSE)="N/A"),VLOOKUP("Real-Time Off Source",MO_SPT_StockHigh_Sources,COLUMN(),FALSE),VLOOKUP(MO.DataSourceName,MO_SPT_StockHigh_Sources,COLUMN(),FALSE))</f>
        <v/>
      </c>
      <c r="BV1131" s="531">
        <f>IF(OR(MO.RealTimeStockPriceToggle=FALSE,VLOOKUP(MO.DataSourceName,MO_SPT_StockHigh_Sources,COLUMN(),FALSE)="N/A"),VLOOKUP("Real-Time Off Source",MO_SPT_StockHigh_Sources,COLUMN(),FALSE),VLOOKUP(MO.DataSourceName,MO_SPT_StockHigh_Sources,COLUMN(),FALSE))</f>
        <v/>
      </c>
      <c r="BW1131" s="262">
        <f>IF(OR(MO.RealTimeStockPriceToggle=FALSE,VLOOKUP(MO.DataSourceName,MO_SPT_StockHigh_Sources,COLUMN(),FALSE)="N/A"),VLOOKUP("Real-Time Off Source",MO_SPT_StockHigh_Sources,COLUMN(),FALSE),VLOOKUP(MO.DataSourceName,MO_SPT_StockHigh_Sources,COLUMN(),FALSE))</f>
        <v/>
      </c>
      <c r="BX1131" s="262">
        <f>IF(OR(MO.RealTimeStockPriceToggle=FALSE,VLOOKUP(MO.DataSourceName,MO_SPT_StockHigh_Sources,COLUMN(),FALSE)="N/A"),VLOOKUP("Real-Time Off Source",MO_SPT_StockHigh_Sources,COLUMN(),FALSE),VLOOKUP(MO.DataSourceName,MO_SPT_StockHigh_Sources,COLUMN(),FALSE))</f>
        <v/>
      </c>
      <c r="BY1131" s="262">
        <f>IF(OR(MO.RealTimeStockPriceToggle=FALSE,VLOOKUP(MO.DataSourceName,MO_SPT_StockHigh_Sources,COLUMN(),FALSE)="N/A"),VLOOKUP("Real-Time Off Source",MO_SPT_StockHigh_Sources,COLUMN(),FALSE),VLOOKUP(MO.DataSourceName,MO_SPT_StockHigh_Sources,COLUMN(),FALSE))</f>
        <v/>
      </c>
      <c r="BZ1131" s="262">
        <f>IF(OR(MO.RealTimeStockPriceToggle=FALSE,VLOOKUP(MO.DataSourceName,MO_SPT_StockHigh_Sources,COLUMN(),FALSE)="N/A"),VLOOKUP("Real-Time Off Source",MO_SPT_StockHigh_Sources,COLUMN(),FALSE),VLOOKUP(MO.DataSourceName,MO_SPT_StockHigh_Sources,COLUMN(),FALSE))</f>
        <v/>
      </c>
      <c r="CA1131" s="262">
        <f>IF(OR(MO.RealTimeStockPriceToggle=FALSE,VLOOKUP(MO.DataSourceName,MO_SPT_StockHigh_Sources,COLUMN(),FALSE)="N/A"),VLOOKUP("Real-Time Off Source",MO_SPT_StockHigh_Sources,COLUMN(),FALSE),VLOOKUP(MO.DataSourceName,MO_SPT_StockHigh_Sources,COLUMN(),FALSE))</f>
        <v/>
      </c>
      <c r="CB1131" s="262">
        <f>IF(OR(MO.RealTimeStockPriceToggle=FALSE,VLOOKUP(MO.DataSourceName,MO_SPT_StockHigh_Sources,COLUMN(),FALSE)="N/A"),VLOOKUP("Real-Time Off Source",MO_SPT_StockHigh_Sources,COLUMN(),FALSE),VLOOKUP(MO.DataSourceName,MO_SPT_StockHigh_Sources,COLUMN(),FALSE))</f>
        <v/>
      </c>
      <c r="CC1131" s="262">
        <f>IF(OR(MO.RealTimeStockPriceToggle=FALSE,VLOOKUP(MO.DataSourceName,MO_SPT_StockHigh_Sources,COLUMN(),FALSE)="N/A"),VLOOKUP("Real-Time Off Source",MO_SPT_StockHigh_Sources,COLUMN(),FALSE),VLOOKUP(MO.DataSourceName,MO_SPT_StockHigh_Sources,COLUMN(),FALSE))</f>
        <v/>
      </c>
      <c r="CD1131" s="262">
        <f>IF(OR(MO.RealTimeStockPriceToggle=FALSE,VLOOKUP(MO.DataSourceName,MO_SPT_StockHigh_Sources,COLUMN(),FALSE)="N/A"),VLOOKUP("Real-Time Off Source",MO_SPT_StockHigh_Sources,COLUMN(),FALSE),VLOOKUP(MO.DataSourceName,MO_SPT_StockHigh_Sources,COLUMN(),FALSE))</f>
        <v/>
      </c>
      <c r="CE1131" s="262">
        <f>IF(OR(MO.RealTimeStockPriceToggle=FALSE,VLOOKUP(MO.DataSourceName,MO_SPT_StockHigh_Sources,COLUMN(),FALSE)="N/A"),VLOOKUP("Real-Time Off Source",MO_SPT_StockHigh_Sources,COLUMN(),FALSE),VLOOKUP(MO.DataSourceName,MO_SPT_StockHigh_Sources,COLUMN(),FALSE))</f>
        <v/>
      </c>
      <c r="CF1131" s="263">
        <f>IF(OR(MO.RealTimeStockPriceToggle=FALSE,VLOOKUP(MO.DataSourceName,MO_SPT_StockHigh_Sources,COLUMN(),FALSE)="N/A"),VLOOKUP("Real-Time Off Source",MO_SPT_StockHigh_Sources,COLUMN(),FALSE),VLOOKUP(MO.DataSourceName,MO_SPT_StockHigh_Sources,COLUMN(),FALSE))</f>
        <v/>
      </c>
      <c r="CG1131" s="155" t="n"/>
    </row>
    <row r="1132" hidden="1" outlineLevel="1">
      <c r="A1132" s="264" t="inlineStr">
        <is>
          <t>Real-Time Off Source</t>
        </is>
      </c>
      <c r="B1132" s="262" t="n"/>
      <c r="C1132" s="1093">
        <f>(27.59/(4))/(10)</f>
        <v/>
      </c>
      <c r="D1132" s="1093">
        <f>(18.96/(4))/(10)</f>
        <v/>
      </c>
      <c r="E1132" s="1093">
        <f>(25.05/(4))/(10)</f>
        <v/>
      </c>
      <c r="F1132" s="1093">
        <f>(26.17/(4))/(10)</f>
        <v/>
      </c>
      <c r="G1132" s="1093">
        <f>(16.9/(4))/(10)</f>
        <v/>
      </c>
      <c r="H1132" s="1094">
        <f>(13.9/(4))/(10)</f>
        <v/>
      </c>
      <c r="I1132" s="1094">
        <f>(15.22/(4))/(10)</f>
        <v/>
      </c>
      <c r="J1132" s="1094">
        <f>(13.19/(4))/(10)</f>
        <v/>
      </c>
      <c r="K1132" s="1094">
        <f>(16.9/(4))/(10)</f>
        <v/>
      </c>
      <c r="L1132" s="1094">
        <f>(13.5/(4))/(10)</f>
        <v/>
      </c>
      <c r="M1132" s="1094">
        <f>(15.48/(4))/(10)</f>
        <v/>
      </c>
      <c r="N1132" s="1094">
        <f>(16.1/(4))/(10)</f>
        <v/>
      </c>
      <c r="O1132" s="1094">
        <f>(16.44/(4))/(10)</f>
        <v/>
      </c>
      <c r="P1132" s="1094">
        <f>(16.44/(4))/(10)</f>
        <v/>
      </c>
      <c r="Q1132" s="1094">
        <f>(19.46/(4))/(10)</f>
        <v/>
      </c>
      <c r="R1132" s="1094">
        <f>(19.73/(4))/(10)</f>
        <v/>
      </c>
      <c r="S1132" s="1094">
        <f>(20.15/(4))/(10)</f>
        <v/>
      </c>
      <c r="T1132" s="1094">
        <f>(21.25/(4))/(10)</f>
        <v/>
      </c>
      <c r="U1132" s="1094">
        <f>(21.25/(4))/(10)</f>
        <v/>
      </c>
      <c r="V1132" s="1094">
        <f>(23.61/(4))/(10)</f>
        <v/>
      </c>
      <c r="W1132" s="1094">
        <f>(22.88/(4))/(10)</f>
        <v/>
      </c>
      <c r="X1132" s="1094">
        <f>(28.78/(4))/(10)</f>
        <v/>
      </c>
      <c r="Y1132" s="1094">
        <f>(33.94/(4))/(10)</f>
        <v/>
      </c>
      <c r="Z1132" s="1094">
        <f>(33.94/(4))/(10)</f>
        <v/>
      </c>
      <c r="AA1132" s="1094">
        <f>(37.46/(4))/(10)</f>
        <v/>
      </c>
      <c r="AB1132" s="1094">
        <f>(57.25/(4))/(10)</f>
        <v/>
      </c>
      <c r="AC1132" s="1094">
        <f>(72.95/(4))/(10)</f>
        <v/>
      </c>
      <c r="AD1132" s="1094">
        <f>(119.93/(4))/(10)</f>
        <v/>
      </c>
      <c r="AE1132" s="1094">
        <f>(119.93/(4))/(10)</f>
        <v/>
      </c>
      <c r="AF1132" s="1094">
        <f>(120.92/(4))/(10)</f>
        <v/>
      </c>
      <c r="AG1132" s="1094">
        <f>(169.93/(4))/(10)</f>
        <v/>
      </c>
      <c r="AH1132" s="1094">
        <f>(201.87/(4))/(10)</f>
        <v/>
      </c>
      <c r="AI1132" s="1094">
        <f>(243.34/(4))/(10)</f>
        <v/>
      </c>
      <c r="AJ1132" s="1094">
        <f>(243.34/(4))/(10)</f>
        <v/>
      </c>
      <c r="AK1132" s="1094">
        <f>(249.9381/(4))/(10)</f>
        <v/>
      </c>
      <c r="AL1132" s="1094">
        <f>(266.4972/(4))/(10)</f>
        <v/>
      </c>
      <c r="AM1132" s="1094">
        <f>(289.0706/(4))/(10)</f>
        <v/>
      </c>
      <c r="AN1132" s="1094">
        <f>(217.8919/(4))/(10)</f>
        <v/>
      </c>
      <c r="AO1132" s="1094">
        <f>(289.0706/(4))/(10)</f>
        <v/>
      </c>
      <c r="AP1132" s="1094">
        <f>(192.1/(4))/(10)</f>
        <v/>
      </c>
      <c r="AQ1132" s="1094">
        <f>(183.19/(4))/(10)</f>
        <v/>
      </c>
      <c r="AR1132" s="1094">
        <f>(206.79/(4))/(10)</f>
        <v/>
      </c>
      <c r="AS1132" s="1094">
        <f>(252.86/(4))/(10)</f>
        <v/>
      </c>
      <c r="AT1132" s="1094">
        <f>(252.86/(4))/(10)</f>
        <v/>
      </c>
      <c r="AU1132" s="1094">
        <f>(314.7/(4))/(10)</f>
        <v/>
      </c>
      <c r="AV1132" s="1094">
        <f>(424.59/(4))/(10)</f>
        <v/>
      </c>
      <c r="AW1132" s="1094">
        <f>(573.86/(4))/(10)</f>
        <v/>
      </c>
      <c r="AX1132" s="1094">
        <f>(582.48/(4))/(10)</f>
        <v/>
      </c>
      <c r="AY1132" s="1094">
        <f>(582.48/(4))/(10)</f>
        <v/>
      </c>
      <c r="AZ1132" s="1094">
        <f>(645.49/(4))/(10)</f>
        <v/>
      </c>
      <c r="BA1132" s="1094">
        <f>206.985/(10)</f>
        <v/>
      </c>
      <c r="BB1132" s="1094">
        <f>255.67/(10)</f>
        <v/>
      </c>
      <c r="BC1132" s="1094">
        <f>333.76/(10)</f>
        <v/>
      </c>
      <c r="BD1132" s="1094">
        <f>333.76/(10)</f>
        <v/>
      </c>
      <c r="BE1132" s="1094">
        <f>286.56/(10)</f>
        <v/>
      </c>
      <c r="BF1132" s="1094">
        <f>203.34/(10)</f>
        <v/>
      </c>
      <c r="BG1132" s="1094">
        <f>192.15/(10)</f>
        <v/>
      </c>
      <c r="BH1132" s="1094">
        <f>203.65/(10)</f>
        <v/>
      </c>
      <c r="BI1132" s="1094">
        <f>286.56/(10)</f>
        <v/>
      </c>
      <c r="BJ1132" s="1094">
        <f>279.65/(10)</f>
        <v/>
      </c>
      <c r="BK1132" s="1094">
        <f>474.94/(10)</f>
        <v/>
      </c>
      <c r="BL1132" s="1094">
        <f>493.55/(10)</f>
        <v/>
      </c>
      <c r="BM1132" s="1094">
        <f>616.17/(10)</f>
        <v/>
      </c>
      <c r="BN1132" s="1094">
        <f>616.17/(10)</f>
        <v/>
      </c>
      <c r="BO1132" s="1094">
        <f>950.02/(10)</f>
        <v/>
      </c>
      <c r="BP1132" s="1094" t="n">
        <v>135.58</v>
      </c>
      <c r="BQ1132" s="1094" t="n">
        <v>143.71</v>
      </c>
      <c r="BR1132" s="1094" t="n">
        <v>149.43</v>
      </c>
      <c r="BS1132" s="1094" t="n">
        <v>149.43</v>
      </c>
      <c r="BT1132" s="1094">
        <f>950.02/(10)</f>
        <v/>
      </c>
      <c r="BU1132" s="1094" t="n">
        <v>173.74</v>
      </c>
      <c r="BV1132" s="1095" t="n">
        <v>192.57</v>
      </c>
      <c r="BW1132" s="262" t="n"/>
      <c r="BX1132" s="262" t="n"/>
      <c r="BY1132" s="262" t="n"/>
      <c r="BZ1132" s="262" t="n"/>
      <c r="CA1132" s="262" t="n"/>
      <c r="CB1132" s="262" t="n"/>
      <c r="CC1132" s="262" t="n"/>
      <c r="CD1132" s="262" t="n"/>
      <c r="CE1132" s="262" t="n"/>
      <c r="CF1132" s="263" t="n"/>
      <c r="CG1132" s="155" t="n"/>
    </row>
    <row r="1133" hidden="1" outlineLevel="1">
      <c r="A1133" s="264" t="inlineStr">
        <is>
          <t>Bloomberg</t>
        </is>
      </c>
      <c r="B1133" s="262" t="n"/>
      <c r="C1133" s="1009">
        <f>IFERROR(_xll.BDP(MO.Ticker.Bloomberg&amp;" Equity","INTERVAL_HIGH","MARKET_DATA_OVERRIDE=PX_LAST","START_DATE_OVERRIDE",TEXT(INDEX(MO_SNA_FPStartDate,0,COLUMN()),"YYYYMMDD"),"END_DATE_OVERRIDE",TEXT(INDEX(MO_Common_QEndDate,0,COLUMN()),"YYYYMMDD")),"N/A")</f>
        <v/>
      </c>
      <c r="D1133" s="1009">
        <f>IFERROR(_xll.BDP(MO.Ticker.Bloomberg&amp;" Equity","INTERVAL_HIGH","MARKET_DATA_OVERRIDE=PX_LAST","START_DATE_OVERRIDE",TEXT(INDEX(MO_SNA_FPStartDate,0,COLUMN()),"YYYYMMDD"),"END_DATE_OVERRIDE",TEXT(INDEX(MO_Common_QEndDate,0,COLUMN()),"YYYYMMDD")),"N/A")</f>
        <v/>
      </c>
      <c r="E1133" s="1009">
        <f>IFERROR(_xll.BDP(MO.Ticker.Bloomberg&amp;" Equity","INTERVAL_HIGH","MARKET_DATA_OVERRIDE=PX_LAST","START_DATE_OVERRIDE",TEXT(INDEX(MO_SNA_FPStartDate,0,COLUMN()),"YYYYMMDD"),"END_DATE_OVERRIDE",TEXT(INDEX(MO_Common_QEndDate,0,COLUMN()),"YYYYMMDD")),"N/A")</f>
        <v/>
      </c>
      <c r="F1133" s="1009">
        <f>IFERROR(_xll.BDP(MO.Ticker.Bloomberg&amp;" Equity","INTERVAL_HIGH","MARKET_DATA_OVERRIDE=PX_LAST","START_DATE_OVERRIDE",TEXT(INDEX(MO_SNA_FPStartDate,0,COLUMN()),"YYYYMMDD"),"END_DATE_OVERRIDE",TEXT(INDEX(MO_Common_QEndDate,0,COLUMN()),"YYYYMMDD")),"N/A")</f>
        <v/>
      </c>
      <c r="G1133" s="1009">
        <f>IFERROR(_xll.BDP(MO.Ticker.Bloomberg&amp;" Equity","INTERVAL_HIGH","MARKET_DATA_OVERRIDE=PX_LAST","START_DATE_OVERRIDE",TEXT(INDEX(MO_SNA_FPStartDate,0,COLUMN()),"YYYYMMDD"),"END_DATE_OVERRIDE",TEXT(INDEX(MO_Common_QEndDate,0,COLUMN()),"YYYYMMDD")),"N/A")</f>
        <v/>
      </c>
      <c r="H1133" s="262">
        <f>IFERROR(_xll.BDP(MO.Ticker.Bloomberg&amp;" Equity","INTERVAL_HIGH","MARKET_DATA_OVERRIDE=PX_LAST","START_DATE_OVERRIDE",TEXT(INDEX(MO_SNA_FPStartDate,0,COLUMN()),"YYYYMMDD"),"END_DATE_OVERRIDE",TEXT(INDEX(MO_Common_QEndDate,0,COLUMN()),"YYYYMMDD")),"N/A")</f>
        <v/>
      </c>
      <c r="I1133" s="262">
        <f>IFERROR(_xll.BDP(MO.Ticker.Bloomberg&amp;" Equity","INTERVAL_HIGH","MARKET_DATA_OVERRIDE=PX_LAST","START_DATE_OVERRIDE",TEXT(INDEX(MO_SNA_FPStartDate,0,COLUMN()),"YYYYMMDD"),"END_DATE_OVERRIDE",TEXT(INDEX(MO_Common_QEndDate,0,COLUMN()),"YYYYMMDD")),"N/A")</f>
        <v/>
      </c>
      <c r="J1133" s="262">
        <f>IFERROR(_xll.BDP(MO.Ticker.Bloomberg&amp;" Equity","INTERVAL_HIGH","MARKET_DATA_OVERRIDE=PX_LAST","START_DATE_OVERRIDE",TEXT(INDEX(MO_SNA_FPStartDate,0,COLUMN()),"YYYYMMDD"),"END_DATE_OVERRIDE",TEXT(INDEX(MO_Common_QEndDate,0,COLUMN()),"YYYYMMDD")),"N/A")</f>
        <v/>
      </c>
      <c r="K1133" s="262">
        <f>IFERROR(_xll.BDP(MO.Ticker.Bloomberg&amp;" Equity","INTERVAL_HIGH","MARKET_DATA_OVERRIDE=PX_LAST","START_DATE_OVERRIDE",TEXT(INDEX(MO_SNA_FPStartDate,0,COLUMN()),"YYYYMMDD"),"END_DATE_OVERRIDE",TEXT(INDEX(MO_Common_QEndDate,0,COLUMN()),"YYYYMMDD")),"N/A")</f>
        <v/>
      </c>
      <c r="L1133" s="262">
        <f>IFERROR(_xll.BDP(MO.Ticker.Bloomberg&amp;" Equity","INTERVAL_HIGH","MARKET_DATA_OVERRIDE=PX_LAST","START_DATE_OVERRIDE",TEXT(INDEX(MO_SNA_FPStartDate,0,COLUMN()),"YYYYMMDD"),"END_DATE_OVERRIDE",TEXT(INDEX(MO_Common_QEndDate,0,COLUMN()),"YYYYMMDD")),"N/A")</f>
        <v/>
      </c>
      <c r="M1133" s="262">
        <f>IFERROR(_xll.BDP(MO.Ticker.Bloomberg&amp;" Equity","INTERVAL_HIGH","MARKET_DATA_OVERRIDE=PX_LAST","START_DATE_OVERRIDE",TEXT(INDEX(MO_SNA_FPStartDate,0,COLUMN()),"YYYYMMDD"),"END_DATE_OVERRIDE",TEXT(INDEX(MO_Common_QEndDate,0,COLUMN()),"YYYYMMDD")),"N/A")</f>
        <v/>
      </c>
      <c r="N1133" s="262">
        <f>IFERROR(_xll.BDP(MO.Ticker.Bloomberg&amp;" Equity","INTERVAL_HIGH","MARKET_DATA_OVERRIDE=PX_LAST","START_DATE_OVERRIDE",TEXT(INDEX(MO_SNA_FPStartDate,0,COLUMN()),"YYYYMMDD"),"END_DATE_OVERRIDE",TEXT(INDEX(MO_Common_QEndDate,0,COLUMN()),"YYYYMMDD")),"N/A")</f>
        <v/>
      </c>
      <c r="O1133" s="262">
        <f>IFERROR(_xll.BDP(MO.Ticker.Bloomberg&amp;" Equity","INTERVAL_HIGH","MARKET_DATA_OVERRIDE=PX_LAST","START_DATE_OVERRIDE",TEXT(INDEX(MO_SNA_FPStartDate,0,COLUMN()),"YYYYMMDD"),"END_DATE_OVERRIDE",TEXT(INDEX(MO_Common_QEndDate,0,COLUMN()),"YYYYMMDD")),"N/A")</f>
        <v/>
      </c>
      <c r="P1133" s="262">
        <f>IFERROR(_xll.BDP(MO.Ticker.Bloomberg&amp;" Equity","INTERVAL_HIGH","MARKET_DATA_OVERRIDE=PX_LAST","START_DATE_OVERRIDE",TEXT(INDEX(MO_SNA_FPStartDate,0,COLUMN()),"YYYYMMDD"),"END_DATE_OVERRIDE",TEXT(INDEX(MO_Common_QEndDate,0,COLUMN()),"YYYYMMDD")),"N/A")</f>
        <v/>
      </c>
      <c r="Q1133" s="262">
        <f>IFERROR(_xll.BDP(MO.Ticker.Bloomberg&amp;" Equity","INTERVAL_HIGH","MARKET_DATA_OVERRIDE=PX_LAST","START_DATE_OVERRIDE",TEXT(INDEX(MO_SNA_FPStartDate,0,COLUMN()),"YYYYMMDD"),"END_DATE_OVERRIDE",TEXT(INDEX(MO_Common_QEndDate,0,COLUMN()),"YYYYMMDD")),"N/A")</f>
        <v/>
      </c>
      <c r="R1133" s="262">
        <f>IFERROR(_xll.BDP(MO.Ticker.Bloomberg&amp;" Equity","INTERVAL_HIGH","MARKET_DATA_OVERRIDE=PX_LAST","START_DATE_OVERRIDE",TEXT(INDEX(MO_SNA_FPStartDate,0,COLUMN()),"YYYYMMDD"),"END_DATE_OVERRIDE",TEXT(INDEX(MO_Common_QEndDate,0,COLUMN()),"YYYYMMDD")),"N/A")</f>
        <v/>
      </c>
      <c r="S1133" s="262">
        <f>IFERROR(_xll.BDP(MO.Ticker.Bloomberg&amp;" Equity","INTERVAL_HIGH","MARKET_DATA_OVERRIDE=PX_LAST","START_DATE_OVERRIDE",TEXT(INDEX(MO_SNA_FPStartDate,0,COLUMN()),"YYYYMMDD"),"END_DATE_OVERRIDE",TEXT(INDEX(MO_Common_QEndDate,0,COLUMN()),"YYYYMMDD")),"N/A")</f>
        <v/>
      </c>
      <c r="T1133" s="262">
        <f>IFERROR(_xll.BDP(MO.Ticker.Bloomberg&amp;" Equity","INTERVAL_HIGH","MARKET_DATA_OVERRIDE=PX_LAST","START_DATE_OVERRIDE",TEXT(INDEX(MO_SNA_FPStartDate,0,COLUMN()),"YYYYMMDD"),"END_DATE_OVERRIDE",TEXT(INDEX(MO_Common_QEndDate,0,COLUMN()),"YYYYMMDD")),"N/A")</f>
        <v/>
      </c>
      <c r="U1133" s="262">
        <f>IFERROR(_xll.BDP(MO.Ticker.Bloomberg&amp;" Equity","INTERVAL_HIGH","MARKET_DATA_OVERRIDE=PX_LAST","START_DATE_OVERRIDE",TEXT(INDEX(MO_SNA_FPStartDate,0,COLUMN()),"YYYYMMDD"),"END_DATE_OVERRIDE",TEXT(INDEX(MO_Common_QEndDate,0,COLUMN()),"YYYYMMDD")),"N/A")</f>
        <v/>
      </c>
      <c r="V1133" s="262">
        <f>IFERROR(_xll.BDP(MO.Ticker.Bloomberg&amp;" Equity","INTERVAL_HIGH","MARKET_DATA_OVERRIDE=PX_LAST","START_DATE_OVERRIDE",TEXT(INDEX(MO_SNA_FPStartDate,0,COLUMN()),"YYYYMMDD"),"END_DATE_OVERRIDE",TEXT(INDEX(MO_Common_QEndDate,0,COLUMN()),"YYYYMMDD")),"N/A")</f>
        <v/>
      </c>
      <c r="W1133" s="262">
        <f>IFERROR(_xll.BDP(MO.Ticker.Bloomberg&amp;" Equity","INTERVAL_HIGH","MARKET_DATA_OVERRIDE=PX_LAST","START_DATE_OVERRIDE",TEXT(INDEX(MO_SNA_FPStartDate,0,COLUMN()),"YYYYMMDD"),"END_DATE_OVERRIDE",TEXT(INDEX(MO_Common_QEndDate,0,COLUMN()),"YYYYMMDD")),"N/A")</f>
        <v/>
      </c>
      <c r="X1133" s="262">
        <f>IFERROR(_xll.BDP(MO.Ticker.Bloomberg&amp;" Equity","INTERVAL_HIGH","MARKET_DATA_OVERRIDE=PX_LAST","START_DATE_OVERRIDE",TEXT(INDEX(MO_SNA_FPStartDate,0,COLUMN()),"YYYYMMDD"),"END_DATE_OVERRIDE",TEXT(INDEX(MO_Common_QEndDate,0,COLUMN()),"YYYYMMDD")),"N/A")</f>
        <v/>
      </c>
      <c r="Y1133" s="262">
        <f>IFERROR(_xll.BDP(MO.Ticker.Bloomberg&amp;" Equity","INTERVAL_HIGH","MARKET_DATA_OVERRIDE=PX_LAST","START_DATE_OVERRIDE",TEXT(INDEX(MO_SNA_FPStartDate,0,COLUMN()),"YYYYMMDD"),"END_DATE_OVERRIDE",TEXT(INDEX(MO_Common_QEndDate,0,COLUMN()),"YYYYMMDD")),"N/A")</f>
        <v/>
      </c>
      <c r="Z1133" s="262">
        <f>IFERROR(_xll.BDP(MO.Ticker.Bloomberg&amp;" Equity","INTERVAL_HIGH","MARKET_DATA_OVERRIDE=PX_LAST","START_DATE_OVERRIDE",TEXT(INDEX(MO_SNA_FPStartDate,0,COLUMN()),"YYYYMMDD"),"END_DATE_OVERRIDE",TEXT(INDEX(MO_Common_QEndDate,0,COLUMN()),"YYYYMMDD")),"N/A")</f>
        <v/>
      </c>
      <c r="AA1133" s="262">
        <f>IFERROR(_xll.BDP(MO.Ticker.Bloomberg&amp;" Equity","INTERVAL_HIGH","MARKET_DATA_OVERRIDE=PX_LAST","START_DATE_OVERRIDE",TEXT(INDEX(MO_SNA_FPStartDate,0,COLUMN()),"YYYYMMDD"),"END_DATE_OVERRIDE",TEXT(INDEX(MO_Common_QEndDate,0,COLUMN()),"YYYYMMDD")),"N/A")</f>
        <v/>
      </c>
      <c r="AB1133" s="262">
        <f>IFERROR(_xll.BDP(MO.Ticker.Bloomberg&amp;" Equity","INTERVAL_HIGH","MARKET_DATA_OVERRIDE=PX_LAST","START_DATE_OVERRIDE",TEXT(INDEX(MO_SNA_FPStartDate,0,COLUMN()),"YYYYMMDD"),"END_DATE_OVERRIDE",TEXT(INDEX(MO_Common_QEndDate,0,COLUMN()),"YYYYMMDD")),"N/A")</f>
        <v/>
      </c>
      <c r="AC1133" s="262">
        <f>IFERROR(_xll.BDP(MO.Ticker.Bloomberg&amp;" Equity","INTERVAL_HIGH","MARKET_DATA_OVERRIDE=PX_LAST","START_DATE_OVERRIDE",TEXT(INDEX(MO_SNA_FPStartDate,0,COLUMN()),"YYYYMMDD"),"END_DATE_OVERRIDE",TEXT(INDEX(MO_Common_QEndDate,0,COLUMN()),"YYYYMMDD")),"N/A")</f>
        <v/>
      </c>
      <c r="AD1133" s="262">
        <f>IFERROR(_xll.BDP(MO.Ticker.Bloomberg&amp;" Equity","INTERVAL_HIGH","MARKET_DATA_OVERRIDE=PX_LAST","START_DATE_OVERRIDE",TEXT(INDEX(MO_SNA_FPStartDate,0,COLUMN()),"YYYYMMDD"),"END_DATE_OVERRIDE",TEXT(INDEX(MO_Common_QEndDate,0,COLUMN()),"YYYYMMDD")),"N/A")</f>
        <v/>
      </c>
      <c r="AE1133" s="262">
        <f>IFERROR(_xll.BDP(MO.Ticker.Bloomberg&amp;" Equity","INTERVAL_HIGH","MARKET_DATA_OVERRIDE=PX_LAST","START_DATE_OVERRIDE",TEXT(INDEX(MO_SNA_FPStartDate,0,COLUMN()),"YYYYMMDD"),"END_DATE_OVERRIDE",TEXT(INDEX(MO_Common_QEndDate,0,COLUMN()),"YYYYMMDD")),"N/A")</f>
        <v/>
      </c>
      <c r="AF1133" s="262">
        <f>IFERROR(_xll.BDP(MO.Ticker.Bloomberg&amp;" Equity","INTERVAL_HIGH","MARKET_DATA_OVERRIDE=PX_LAST","START_DATE_OVERRIDE",TEXT(INDEX(MO_SNA_FPStartDate,0,COLUMN()),"YYYYMMDD"),"END_DATE_OVERRIDE",TEXT(INDEX(MO_Common_QEndDate,0,COLUMN()),"YYYYMMDD")),"N/A")</f>
        <v/>
      </c>
      <c r="AG1133" s="262">
        <f>IFERROR(_xll.BDP(MO.Ticker.Bloomberg&amp;" Equity","INTERVAL_HIGH","MARKET_DATA_OVERRIDE=PX_LAST","START_DATE_OVERRIDE",TEXT(INDEX(MO_SNA_FPStartDate,0,COLUMN()),"YYYYMMDD"),"END_DATE_OVERRIDE",TEXT(INDEX(MO_Common_QEndDate,0,COLUMN()),"YYYYMMDD")),"N/A")</f>
        <v/>
      </c>
      <c r="AH1133" s="262">
        <f>IFERROR(_xll.BDP(MO.Ticker.Bloomberg&amp;" Equity","INTERVAL_HIGH","MARKET_DATA_OVERRIDE=PX_LAST","START_DATE_OVERRIDE",TEXT(INDEX(MO_SNA_FPStartDate,0,COLUMN()),"YYYYMMDD"),"END_DATE_OVERRIDE",TEXT(INDEX(MO_Common_QEndDate,0,COLUMN()),"YYYYMMDD")),"N/A")</f>
        <v/>
      </c>
      <c r="AI1133" s="262">
        <f>IFERROR(_xll.BDP(MO.Ticker.Bloomberg&amp;" Equity","INTERVAL_HIGH","MARKET_DATA_OVERRIDE=PX_LAST","START_DATE_OVERRIDE",TEXT(INDEX(MO_SNA_FPStartDate,0,COLUMN()),"YYYYMMDD"),"END_DATE_OVERRIDE",TEXT(INDEX(MO_Common_QEndDate,0,COLUMN()),"YYYYMMDD")),"N/A")</f>
        <v/>
      </c>
      <c r="AJ1133" s="262">
        <f>IFERROR(_xll.BDP(MO.Ticker.Bloomberg&amp;" Equity","INTERVAL_HIGH","MARKET_DATA_OVERRIDE=PX_LAST","START_DATE_OVERRIDE",TEXT(INDEX(MO_SNA_FPStartDate,0,COLUMN()),"YYYYMMDD"),"END_DATE_OVERRIDE",TEXT(INDEX(MO_Common_QEndDate,0,COLUMN()),"YYYYMMDD")),"N/A")</f>
        <v/>
      </c>
      <c r="AK1133" s="262">
        <f>IFERROR(_xll.BDP(MO.Ticker.Bloomberg&amp;" Equity","INTERVAL_HIGH","MARKET_DATA_OVERRIDE=PX_LAST","START_DATE_OVERRIDE",TEXT(INDEX(MO_SNA_FPStartDate,0,COLUMN()),"YYYYMMDD"),"END_DATE_OVERRIDE",TEXT(INDEX(MO_Common_QEndDate,0,COLUMN()),"YYYYMMDD")),"N/A")</f>
        <v/>
      </c>
      <c r="AL1133" s="262">
        <f>IFERROR(_xll.BDP(MO.Ticker.Bloomberg&amp;" Equity","INTERVAL_HIGH","MARKET_DATA_OVERRIDE=PX_LAST","START_DATE_OVERRIDE",TEXT(INDEX(MO_SNA_FPStartDate,0,COLUMN()),"YYYYMMDD"),"END_DATE_OVERRIDE",TEXT(INDEX(MO_Common_QEndDate,0,COLUMN()),"YYYYMMDD")),"N/A")</f>
        <v/>
      </c>
      <c r="AM1133" s="262">
        <f>IFERROR(_xll.BDP(MO.Ticker.Bloomberg&amp;" Equity","INTERVAL_HIGH","MARKET_DATA_OVERRIDE=PX_LAST","START_DATE_OVERRIDE",TEXT(INDEX(MO_SNA_FPStartDate,0,COLUMN()),"YYYYMMDD"),"END_DATE_OVERRIDE",TEXT(INDEX(MO_Common_QEndDate,0,COLUMN()),"YYYYMMDD")),"N/A")</f>
        <v/>
      </c>
      <c r="AN1133" s="262">
        <f>IFERROR(_xll.BDP(MO.Ticker.Bloomberg&amp;" Equity","INTERVAL_HIGH","MARKET_DATA_OVERRIDE=PX_LAST","START_DATE_OVERRIDE",TEXT(INDEX(MO_SNA_FPStartDate,0,COLUMN()),"YYYYMMDD"),"END_DATE_OVERRIDE",TEXT(INDEX(MO_Common_QEndDate,0,COLUMN()),"YYYYMMDD")),"N/A")</f>
        <v/>
      </c>
      <c r="AO1133" s="262">
        <f>IFERROR(_xll.BDP(MO.Ticker.Bloomberg&amp;" Equity","INTERVAL_HIGH","MARKET_DATA_OVERRIDE=PX_LAST","START_DATE_OVERRIDE",TEXT(INDEX(MO_SNA_FPStartDate,0,COLUMN()),"YYYYMMDD"),"END_DATE_OVERRIDE",TEXT(INDEX(MO_Common_QEndDate,0,COLUMN()),"YYYYMMDD")),"N/A")</f>
        <v/>
      </c>
      <c r="AP1133" s="262">
        <f>IFERROR(_xll.BDP(MO.Ticker.Bloomberg&amp;" Equity","INTERVAL_HIGH","MARKET_DATA_OVERRIDE=PX_LAST","START_DATE_OVERRIDE",TEXT(INDEX(MO_SNA_FPStartDate,0,COLUMN()),"YYYYMMDD"),"END_DATE_OVERRIDE",TEXT(INDEX(MO_Common_QEndDate,0,COLUMN()),"YYYYMMDD")),"N/A")</f>
        <v/>
      </c>
      <c r="AQ1133" s="262">
        <f>IFERROR(_xll.BDP(MO.Ticker.Bloomberg&amp;" Equity","INTERVAL_HIGH","MARKET_DATA_OVERRIDE=PX_LAST","START_DATE_OVERRIDE",TEXT(INDEX(MO_SNA_FPStartDate,0,COLUMN()),"YYYYMMDD"),"END_DATE_OVERRIDE",TEXT(INDEX(MO_Common_QEndDate,0,COLUMN()),"YYYYMMDD")),"N/A")</f>
        <v/>
      </c>
      <c r="AR1133" s="262">
        <f>IFERROR(_xll.BDP(MO.Ticker.Bloomberg&amp;" Equity","INTERVAL_HIGH","MARKET_DATA_OVERRIDE=PX_LAST","START_DATE_OVERRIDE",TEXT(INDEX(MO_SNA_FPStartDate,0,COLUMN()),"YYYYMMDD"),"END_DATE_OVERRIDE",TEXT(INDEX(MO_Common_QEndDate,0,COLUMN()),"YYYYMMDD")),"N/A")</f>
        <v/>
      </c>
      <c r="AS1133" s="262">
        <f>IFERROR(_xll.BDP(MO.Ticker.Bloomberg&amp;" Equity","INTERVAL_HIGH","MARKET_DATA_OVERRIDE=PX_LAST","START_DATE_OVERRIDE",TEXT(INDEX(MO_SNA_FPStartDate,0,COLUMN()),"YYYYMMDD"),"END_DATE_OVERRIDE",TEXT(INDEX(MO_Common_QEndDate,0,COLUMN()),"YYYYMMDD")),"N/A")</f>
        <v/>
      </c>
      <c r="AT1133" s="262">
        <f>IFERROR(_xll.BDP(MO.Ticker.Bloomberg&amp;" Equity","INTERVAL_HIGH","MARKET_DATA_OVERRIDE=PX_LAST","START_DATE_OVERRIDE",TEXT(INDEX(MO_SNA_FPStartDate,0,COLUMN()),"YYYYMMDD"),"END_DATE_OVERRIDE",TEXT(INDEX(MO_Common_QEndDate,0,COLUMN()),"YYYYMMDD")),"N/A")</f>
        <v/>
      </c>
      <c r="AU1133" s="262">
        <f>IFERROR(_xll.BDP(MO.Ticker.Bloomberg&amp;" Equity","INTERVAL_HIGH","MARKET_DATA_OVERRIDE=PX_LAST","START_DATE_OVERRIDE",TEXT(INDEX(MO_SNA_FPStartDate,0,COLUMN()),"YYYYMMDD"),"END_DATE_OVERRIDE",TEXT(INDEX(MO_Common_QEndDate,0,COLUMN()),"YYYYMMDD")),"N/A")</f>
        <v/>
      </c>
      <c r="AV1133" s="262">
        <f>IFERROR(_xll.BDP(MO.Ticker.Bloomberg&amp;" Equity","INTERVAL_HIGH","MARKET_DATA_OVERRIDE=PX_LAST","START_DATE_OVERRIDE",TEXT(INDEX(MO_SNA_FPStartDate,0,COLUMN()),"YYYYMMDD"),"END_DATE_OVERRIDE",TEXT(INDEX(MO_Common_QEndDate,0,COLUMN()),"YYYYMMDD")),"N/A")</f>
        <v/>
      </c>
      <c r="AW1133" s="262">
        <f>IFERROR(_xll.BDP(MO.Ticker.Bloomberg&amp;" Equity","INTERVAL_HIGH","MARKET_DATA_OVERRIDE=PX_LAST","START_DATE_OVERRIDE",TEXT(INDEX(MO_SNA_FPStartDate,0,COLUMN()),"YYYYMMDD"),"END_DATE_OVERRIDE",TEXT(INDEX(MO_Common_QEndDate,0,COLUMN()),"YYYYMMDD")),"N/A")</f>
        <v/>
      </c>
      <c r="AX1133" s="262">
        <f>IFERROR(_xll.BDP(MO.Ticker.Bloomberg&amp;" Equity","INTERVAL_HIGH","MARKET_DATA_OVERRIDE=PX_LAST","START_DATE_OVERRIDE",TEXT(INDEX(MO_SNA_FPStartDate,0,COLUMN()),"YYYYMMDD"),"END_DATE_OVERRIDE",TEXT(INDEX(MO_Common_QEndDate,0,COLUMN()),"YYYYMMDD")),"N/A")</f>
        <v/>
      </c>
      <c r="AY1133" s="262">
        <f>IFERROR(_xll.BDP(MO.Ticker.Bloomberg&amp;" Equity","INTERVAL_HIGH","MARKET_DATA_OVERRIDE=PX_LAST","START_DATE_OVERRIDE",TEXT(INDEX(MO_SNA_FPStartDate,0,COLUMN()),"YYYYMMDD"),"END_DATE_OVERRIDE",TEXT(INDEX(MO_Common_QEndDate,0,COLUMN()),"YYYYMMDD")),"N/A")</f>
        <v/>
      </c>
      <c r="AZ1133" s="262">
        <f>IFERROR(_xll.BDP(MO.Ticker.Bloomberg&amp;" Equity","INTERVAL_HIGH","MARKET_DATA_OVERRIDE=PX_LAST","START_DATE_OVERRIDE",TEXT(INDEX(MO_SNA_FPStartDate,0,COLUMN()),"YYYYMMDD"),"END_DATE_OVERRIDE",TEXT(INDEX(MO_Common_QEndDate,0,COLUMN()),"YYYYMMDD")),"N/A")</f>
        <v/>
      </c>
      <c r="BA1133" s="262">
        <f>IFERROR(_xll.BDP(MO.Ticker.Bloomberg&amp;" Equity","INTERVAL_HIGH","MARKET_DATA_OVERRIDE=PX_LAST","START_DATE_OVERRIDE",TEXT(INDEX(MO_SNA_FPStartDate,0,COLUMN()),"YYYYMMDD"),"END_DATE_OVERRIDE",TEXT(INDEX(MO_Common_QEndDate,0,COLUMN()),"YYYYMMDD")),"N/A")</f>
        <v/>
      </c>
      <c r="BB1133" s="262">
        <f>IFERROR(_xll.BDP(MO.Ticker.Bloomberg&amp;" Equity","INTERVAL_HIGH","MARKET_DATA_OVERRIDE=PX_LAST","START_DATE_OVERRIDE",TEXT(INDEX(MO_SNA_FPStartDate,0,COLUMN()),"YYYYMMDD"),"END_DATE_OVERRIDE",TEXT(INDEX(MO_Common_QEndDate,0,COLUMN()),"YYYYMMDD")),"N/A")</f>
        <v/>
      </c>
      <c r="BC1133" s="262">
        <f>IFERROR(_xll.BDP(MO.Ticker.Bloomberg&amp;" Equity","INTERVAL_HIGH","MARKET_DATA_OVERRIDE=PX_LAST","START_DATE_OVERRIDE",TEXT(INDEX(MO_SNA_FPStartDate,0,COLUMN()),"YYYYMMDD"),"END_DATE_OVERRIDE",TEXT(INDEX(MO_Common_QEndDate,0,COLUMN()),"YYYYMMDD")),"N/A")</f>
        <v/>
      </c>
      <c r="BD1133" s="262">
        <f>IFERROR(_xll.BDP(MO.Ticker.Bloomberg&amp;" Equity","INTERVAL_HIGH","MARKET_DATA_OVERRIDE=PX_LAST","START_DATE_OVERRIDE",TEXT(INDEX(MO_SNA_FPStartDate,0,COLUMN()),"YYYYMMDD"),"END_DATE_OVERRIDE",TEXT(INDEX(MO_Common_QEndDate,0,COLUMN()),"YYYYMMDD")),"N/A")</f>
        <v/>
      </c>
      <c r="BE1133" s="262">
        <f>IFERROR(_xll.BDP(MO.Ticker.Bloomberg&amp;" Equity","INTERVAL_HIGH","MARKET_DATA_OVERRIDE=PX_LAST","START_DATE_OVERRIDE",TEXT(INDEX(MO_SNA_FPStartDate,0,COLUMN()),"YYYYMMDD"),"END_DATE_OVERRIDE",TEXT(INDEX(MO_Common_QEndDate,0,COLUMN()),"YYYYMMDD")),"N/A")</f>
        <v/>
      </c>
      <c r="BF1133" s="262">
        <f>IFERROR(_xll.BDP(MO.Ticker.Bloomberg&amp;" Equity","INTERVAL_HIGH","MARKET_DATA_OVERRIDE=PX_LAST","START_DATE_OVERRIDE",TEXT(INDEX(MO_SNA_FPStartDate,0,COLUMN()),"YYYYMMDD"),"END_DATE_OVERRIDE",TEXT(INDEX(MO_Common_QEndDate,0,COLUMN()),"YYYYMMDD")),"N/A")</f>
        <v/>
      </c>
      <c r="BG1133" s="262">
        <f>IFERROR(_xll.BDP(MO.Ticker.Bloomberg&amp;" Equity","INTERVAL_HIGH","MARKET_DATA_OVERRIDE=PX_LAST","START_DATE_OVERRIDE",TEXT(INDEX(MO_SNA_FPStartDate,0,COLUMN()),"YYYYMMDD"),"END_DATE_OVERRIDE",TEXT(INDEX(MO_Common_QEndDate,0,COLUMN()),"YYYYMMDD")),"N/A")</f>
        <v/>
      </c>
      <c r="BH1133" s="262">
        <f>IFERROR(_xll.BDP(MO.Ticker.Bloomberg&amp;" Equity","INTERVAL_HIGH","MARKET_DATA_OVERRIDE=PX_LAST","START_DATE_OVERRIDE",TEXT(INDEX(MO_SNA_FPStartDate,0,COLUMN()),"YYYYMMDD"),"END_DATE_OVERRIDE",TEXT(INDEX(MO_Common_QEndDate,0,COLUMN()),"YYYYMMDD")),"N/A")</f>
        <v/>
      </c>
      <c r="BI1133" s="262">
        <f>IFERROR(_xll.BDP(MO.Ticker.Bloomberg&amp;" Equity","INTERVAL_HIGH","MARKET_DATA_OVERRIDE=PX_LAST","START_DATE_OVERRIDE",TEXT(INDEX(MO_SNA_FPStartDate,0,COLUMN()),"YYYYMMDD"),"END_DATE_OVERRIDE",TEXT(INDEX(MO_Common_QEndDate,0,COLUMN()),"YYYYMMDD")),"N/A")</f>
        <v/>
      </c>
      <c r="BJ1133" s="262">
        <f>IFERROR(_xll.BDP(MO.Ticker.Bloomberg&amp;" Equity","INTERVAL_HIGH","MARKET_DATA_OVERRIDE=PX_LAST","START_DATE_OVERRIDE",TEXT(INDEX(MO_SNA_FPStartDate,0,COLUMN()),"YYYYMMDD"),"END_DATE_OVERRIDE",TEXT(INDEX(MO_Common_QEndDate,0,COLUMN()),"YYYYMMDD")),"N/A")</f>
        <v/>
      </c>
      <c r="BK1133" s="262">
        <f>IFERROR(_xll.BDP(MO.Ticker.Bloomberg&amp;" Equity","INTERVAL_HIGH","MARKET_DATA_OVERRIDE=PX_LAST","START_DATE_OVERRIDE",TEXT(INDEX(MO_SNA_FPStartDate,0,COLUMN()),"YYYYMMDD"),"END_DATE_OVERRIDE",TEXT(INDEX(MO_Common_QEndDate,0,COLUMN()),"YYYYMMDD")),"N/A")</f>
        <v/>
      </c>
      <c r="BL1133" s="262">
        <f>IFERROR(_xll.BDP(MO.Ticker.Bloomberg&amp;" Equity","INTERVAL_HIGH","MARKET_DATA_OVERRIDE=PX_LAST","START_DATE_OVERRIDE",TEXT(INDEX(MO_SNA_FPStartDate,0,COLUMN()),"YYYYMMDD"),"END_DATE_OVERRIDE",TEXT(INDEX(MO_Common_QEndDate,0,COLUMN()),"YYYYMMDD")),"N/A")</f>
        <v/>
      </c>
      <c r="BM1133" s="262">
        <f>IFERROR(_xll.BDP(MO.Ticker.Bloomberg&amp;" Equity","INTERVAL_HIGH","MARKET_DATA_OVERRIDE=PX_LAST","START_DATE_OVERRIDE",TEXT(INDEX(MO_SNA_FPStartDate,0,COLUMN()),"YYYYMMDD"),"END_DATE_OVERRIDE",TEXT(INDEX(MO_Common_QEndDate,0,COLUMN()),"YYYYMMDD")),"N/A")</f>
        <v/>
      </c>
      <c r="BN1133" s="262">
        <f>IFERROR(_xll.BDP(MO.Ticker.Bloomberg&amp;" Equity","INTERVAL_HIGH","MARKET_DATA_OVERRIDE=PX_LAST","START_DATE_OVERRIDE",TEXT(INDEX(MO_SNA_FPStartDate,0,COLUMN()),"YYYYMMDD"),"END_DATE_OVERRIDE",TEXT(INDEX(MO_Common_QEndDate,0,COLUMN()),"YYYYMMDD")),"N/A")</f>
        <v/>
      </c>
      <c r="BO1133" s="262">
        <f>IFERROR(_xll.BDP(MO.Ticker.Bloomberg&amp;" Equity","INTERVAL_HIGH","MARKET_DATA_OVERRIDE=PX_LAST","START_DATE_OVERRIDE",TEXT(INDEX(MO_SNA_FPStartDate,0,COLUMN()),"YYYYMMDD"),"END_DATE_OVERRIDE",TEXT(INDEX(MO_Common_QEndDate,0,COLUMN()),"YYYYMMDD")),"N/A")</f>
        <v/>
      </c>
      <c r="BP1133" s="262">
        <f>IFERROR(_xll.BDP(MO.Ticker.Bloomberg&amp;" Equity","INTERVAL_HIGH","MARKET_DATA_OVERRIDE=PX_LAST","START_DATE_OVERRIDE",TEXT(INDEX(MO_SNA_FPStartDate,0,COLUMN()),"YYYYMMDD"),"END_DATE_OVERRIDE",TEXT(INDEX(MO_Common_QEndDate,0,COLUMN()),"YYYYMMDD")),"N/A")</f>
        <v/>
      </c>
      <c r="BQ1133" s="262">
        <f>IFERROR(_xll.BDP(MO.Ticker.Bloomberg&amp;" Equity","INTERVAL_HIGH","MARKET_DATA_OVERRIDE=PX_LAST","START_DATE_OVERRIDE",TEXT(INDEX(MO_SNA_FPStartDate,0,COLUMN()),"YYYYMMDD"),"END_DATE_OVERRIDE",TEXT(INDEX(MO_Common_QEndDate,0,COLUMN()),"YYYYMMDD")),"N/A")</f>
        <v/>
      </c>
      <c r="BR1133" s="262">
        <f>IFERROR(_xll.BDP(MO.Ticker.Bloomberg&amp;" Equity","INTERVAL_HIGH","MARKET_DATA_OVERRIDE=PX_LAST","START_DATE_OVERRIDE",TEXT(INDEX(MO_SNA_FPStartDate,0,COLUMN()),"YYYYMMDD"),"END_DATE_OVERRIDE",TEXT(INDEX(MO_Common_QEndDate,0,COLUMN()),"YYYYMMDD")),"N/A")</f>
        <v/>
      </c>
      <c r="BS1133" s="262">
        <f>IFERROR(_xll.BDP(MO.Ticker.Bloomberg&amp;" Equity","INTERVAL_HIGH","MARKET_DATA_OVERRIDE=PX_LAST","START_DATE_OVERRIDE",TEXT(INDEX(MO_SNA_FPStartDate,0,COLUMN()),"YYYYMMDD"),"END_DATE_OVERRIDE",TEXT(INDEX(MO_Common_QEndDate,0,COLUMN()),"YYYYMMDD")),"N/A")</f>
        <v/>
      </c>
      <c r="BT1133" s="262">
        <f>IFERROR(_xll.BDP(MO.Ticker.Bloomberg&amp;" Equity","INTERVAL_HIGH","MARKET_DATA_OVERRIDE=PX_LAST","START_DATE_OVERRIDE",TEXT(INDEX(MO_SNA_FPStartDate,0,COLUMN()),"YYYYMMDD"),"END_DATE_OVERRIDE",TEXT(INDEX(MO_Common_QEndDate,0,COLUMN()),"YYYYMMDD")),"N/A")</f>
        <v/>
      </c>
      <c r="BU1133" s="262">
        <f>IFERROR(_xll.BDP(MO.Ticker.Bloomberg&amp;" Equity","INTERVAL_HIGH","MARKET_DATA_OVERRIDE=PX_LAST","START_DATE_OVERRIDE",TEXT(INDEX(MO_SNA_FPStartDate,0,COLUMN()),"YYYYMMDD"),"END_DATE_OVERRIDE",TEXT(INDEX(MO_Common_QEndDate,0,COLUMN()),"YYYYMMDD")),"N/A")</f>
        <v/>
      </c>
      <c r="BV1133" s="531">
        <f>IFERROR(_xll.BDP(MO.Ticker.Bloomberg&amp;" Equity","INTERVAL_HIGH","MARKET_DATA_OVERRIDE=PX_LAST","START_DATE_OVERRIDE",TEXT(INDEX(MO_SNA_FPStartDate,0,COLUMN()),"YYYYMMDD"),"END_DATE_OVERRIDE",TEXT(INDEX(MO_Common_QEndDate,0,COLUMN()),"YYYYMMDD")),"N/A")</f>
        <v/>
      </c>
      <c r="BW1133" s="262">
        <f>IFERROR(_xll.BDP(MO.Ticker.Bloomberg&amp;" Equity","INTERVAL_HIGH","MARKET_DATA_OVERRIDE=PX_LAST","START_DATE_OVERRIDE",TEXT(INDEX(MO_SNA_FPStartDate,0,COLUMN()),"YYYYMMDD"),"END_DATE_OVERRIDE",TEXT(INDEX(MO_Common_QEndDate,0,COLUMN()),"YYYYMMDD")),"N/A")</f>
        <v/>
      </c>
      <c r="BX1133" s="262">
        <f>IFERROR(_xll.BDP(MO.Ticker.Bloomberg&amp;" Equity","INTERVAL_HIGH","MARKET_DATA_OVERRIDE=PX_LAST","START_DATE_OVERRIDE",TEXT(INDEX(MO_SNA_FPStartDate,0,COLUMN()),"YYYYMMDD"),"END_DATE_OVERRIDE",TEXT(INDEX(MO_Common_QEndDate,0,COLUMN()),"YYYYMMDD")),"N/A")</f>
        <v/>
      </c>
      <c r="BY1133" s="262">
        <f>IFERROR(_xll.BDP(MO.Ticker.Bloomberg&amp;" Equity","INTERVAL_HIGH","MARKET_DATA_OVERRIDE=PX_LAST","START_DATE_OVERRIDE",TEXT(INDEX(MO_SNA_FPStartDate,0,COLUMN()),"YYYYMMDD"),"END_DATE_OVERRIDE",TEXT(INDEX(MO_Common_QEndDate,0,COLUMN()),"YYYYMMDD")),"N/A")</f>
        <v/>
      </c>
      <c r="BZ1133" s="262">
        <f>IFERROR(_xll.BDP(MO.Ticker.Bloomberg&amp;" Equity","INTERVAL_HIGH","MARKET_DATA_OVERRIDE=PX_LAST","START_DATE_OVERRIDE",TEXT(INDEX(MO_SNA_FPStartDate,0,COLUMN()),"YYYYMMDD"),"END_DATE_OVERRIDE",TEXT(INDEX(MO_Common_QEndDate,0,COLUMN()),"YYYYMMDD")),"N/A")</f>
        <v/>
      </c>
      <c r="CA1133" s="262">
        <f>IFERROR(_xll.BDP(MO.Ticker.Bloomberg&amp;" Equity","INTERVAL_HIGH","MARKET_DATA_OVERRIDE=PX_LAST","START_DATE_OVERRIDE",TEXT(INDEX(MO_SNA_FPStartDate,0,COLUMN()),"YYYYMMDD"),"END_DATE_OVERRIDE",TEXT(INDEX(MO_Common_QEndDate,0,COLUMN()),"YYYYMMDD")),"N/A")</f>
        <v/>
      </c>
      <c r="CB1133" s="262">
        <f>IFERROR(_xll.BDP(MO.Ticker.Bloomberg&amp;" Equity","INTERVAL_HIGH","MARKET_DATA_OVERRIDE=PX_LAST","START_DATE_OVERRIDE",TEXT(INDEX(MO_SNA_FPStartDate,0,COLUMN()),"YYYYMMDD"),"END_DATE_OVERRIDE",TEXT(INDEX(MO_Common_QEndDate,0,COLUMN()),"YYYYMMDD")),"N/A")</f>
        <v/>
      </c>
      <c r="CC1133" s="262">
        <f>IFERROR(_xll.BDP(MO.Ticker.Bloomberg&amp;" Equity","INTERVAL_HIGH","MARKET_DATA_OVERRIDE=PX_LAST","START_DATE_OVERRIDE",TEXT(INDEX(MO_SNA_FPStartDate,0,COLUMN()),"YYYYMMDD"),"END_DATE_OVERRIDE",TEXT(INDEX(MO_Common_QEndDate,0,COLUMN()),"YYYYMMDD")),"N/A")</f>
        <v/>
      </c>
      <c r="CD1133" s="262">
        <f>IFERROR(_xll.BDP(MO.Ticker.Bloomberg&amp;" Equity","INTERVAL_HIGH","MARKET_DATA_OVERRIDE=PX_LAST","START_DATE_OVERRIDE",TEXT(INDEX(MO_SNA_FPStartDate,0,COLUMN()),"YYYYMMDD"),"END_DATE_OVERRIDE",TEXT(INDEX(MO_Common_QEndDate,0,COLUMN()),"YYYYMMDD")),"N/A")</f>
        <v/>
      </c>
      <c r="CE1133" s="262">
        <f>IFERROR(_xll.BDP(MO.Ticker.Bloomberg&amp;" Equity","INTERVAL_HIGH","MARKET_DATA_OVERRIDE=PX_LAST","START_DATE_OVERRIDE",TEXT(INDEX(MO_SNA_FPStartDate,0,COLUMN()),"YYYYMMDD"),"END_DATE_OVERRIDE",TEXT(INDEX(MO_Common_QEndDate,0,COLUMN()),"YYYYMMDD")),"N/A")</f>
        <v/>
      </c>
      <c r="CF1133" s="263">
        <f>IFERROR(_xll.BDP(MO.Ticker.Bloomberg&amp;" Equity","INTERVAL_HIGH","MARKET_DATA_OVERRIDE=PX_LAST","START_DATE_OVERRIDE",TEXT(INDEX(MO_SNA_FPStartDate,0,COLUMN()),"YYYYMMDD"),"END_DATE_OVERRIDE",TEXT(INDEX(MO_Common_QEndDate,0,COLUMN()),"YYYYMMDD")),"N/A")</f>
        <v/>
      </c>
      <c r="CG1133" s="155" t="n"/>
    </row>
    <row r="1134" hidden="1" outlineLevel="1">
      <c r="A1134" s="264" t="inlineStr">
        <is>
          <t>Capital IQ</t>
        </is>
      </c>
      <c r="B1134" s="262" t="n"/>
      <c r="C1134" s="1009">
        <f>IFERROR(_xll.CIQHI(MO.Ticker.CapIQ,"IQ_LASTSALEPRICE",INDEX(MO_SNA_FPStartDate,0,COLUMN()),INDEX(MO_Common_QEndDate,0,COLUMN())),"N/A")</f>
        <v/>
      </c>
      <c r="D1134" s="1009">
        <f>IFERROR(_xll.CIQHI(MO.Ticker.CapIQ,"IQ_LASTSALEPRICE",INDEX(MO_SNA_FPStartDate,0,COLUMN()),INDEX(MO_Common_QEndDate,0,COLUMN())),"N/A")</f>
        <v/>
      </c>
      <c r="E1134" s="1009">
        <f>IFERROR(_xll.CIQHI(MO.Ticker.CapIQ,"IQ_LASTSALEPRICE",INDEX(MO_SNA_FPStartDate,0,COLUMN()),INDEX(MO_Common_QEndDate,0,COLUMN())),"N/A")</f>
        <v/>
      </c>
      <c r="F1134" s="1009">
        <f>IFERROR(_xll.CIQHI(MO.Ticker.CapIQ,"IQ_LASTSALEPRICE",INDEX(MO_SNA_FPStartDate,0,COLUMN()),INDEX(MO_Common_QEndDate,0,COLUMN())),"N/A")</f>
        <v/>
      </c>
      <c r="G1134" s="1009">
        <f>IFERROR(_xll.CIQHI(MO.Ticker.CapIQ,"IQ_LASTSALEPRICE",INDEX(MO_SNA_FPStartDate,0,COLUMN()),INDEX(MO_Common_QEndDate,0,COLUMN())),"N/A")</f>
        <v/>
      </c>
      <c r="H1134" s="262">
        <f>IFERROR(_xll.CIQHI(MO.Ticker.CapIQ,"IQ_LASTSALEPRICE",INDEX(MO_SNA_FPStartDate,0,COLUMN()),INDEX(MO_Common_QEndDate,0,COLUMN())),"N/A")</f>
        <v/>
      </c>
      <c r="I1134" s="262">
        <f>IFERROR(_xll.CIQHI(MO.Ticker.CapIQ,"IQ_LASTSALEPRICE",INDEX(MO_SNA_FPStartDate,0,COLUMN()),INDEX(MO_Common_QEndDate,0,COLUMN())),"N/A")</f>
        <v/>
      </c>
      <c r="J1134" s="262">
        <f>IFERROR(_xll.CIQHI(MO.Ticker.CapIQ,"IQ_LASTSALEPRICE",INDEX(MO_SNA_FPStartDate,0,COLUMN()),INDEX(MO_Common_QEndDate,0,COLUMN())),"N/A")</f>
        <v/>
      </c>
      <c r="K1134" s="262">
        <f>IFERROR(_xll.CIQHI(MO.Ticker.CapIQ,"IQ_LASTSALEPRICE",INDEX(MO_SNA_FPStartDate,0,COLUMN()),INDEX(MO_Common_QEndDate,0,COLUMN())),"N/A")</f>
        <v/>
      </c>
      <c r="L1134" s="262">
        <f>IFERROR(_xll.CIQHI(MO.Ticker.CapIQ,"IQ_LASTSALEPRICE",INDEX(MO_SNA_FPStartDate,0,COLUMN()),INDEX(MO_Common_QEndDate,0,COLUMN())),"N/A")</f>
        <v/>
      </c>
      <c r="M1134" s="262">
        <f>IFERROR(_xll.CIQHI(MO.Ticker.CapIQ,"IQ_LASTSALEPRICE",INDEX(MO_SNA_FPStartDate,0,COLUMN()),INDEX(MO_Common_QEndDate,0,COLUMN())),"N/A")</f>
        <v/>
      </c>
      <c r="N1134" s="262">
        <f>IFERROR(_xll.CIQHI(MO.Ticker.CapIQ,"IQ_LASTSALEPRICE",INDEX(MO_SNA_FPStartDate,0,COLUMN()),INDEX(MO_Common_QEndDate,0,COLUMN())),"N/A")</f>
        <v/>
      </c>
      <c r="O1134" s="262">
        <f>IFERROR(_xll.CIQHI(MO.Ticker.CapIQ,"IQ_LASTSALEPRICE",INDEX(MO_SNA_FPStartDate,0,COLUMN()),INDEX(MO_Common_QEndDate,0,COLUMN())),"N/A")</f>
        <v/>
      </c>
      <c r="P1134" s="262">
        <f>IFERROR(_xll.CIQHI(MO.Ticker.CapIQ,"IQ_LASTSALEPRICE",INDEX(MO_SNA_FPStartDate,0,COLUMN()),INDEX(MO_Common_QEndDate,0,COLUMN())),"N/A")</f>
        <v/>
      </c>
      <c r="Q1134" s="262">
        <f>IFERROR(_xll.CIQHI(MO.Ticker.CapIQ,"IQ_LASTSALEPRICE",INDEX(MO_SNA_FPStartDate,0,COLUMN()),INDEX(MO_Common_QEndDate,0,COLUMN())),"N/A")</f>
        <v/>
      </c>
      <c r="R1134" s="262">
        <f>IFERROR(_xll.CIQHI(MO.Ticker.CapIQ,"IQ_LASTSALEPRICE",INDEX(MO_SNA_FPStartDate,0,COLUMN()),INDEX(MO_Common_QEndDate,0,COLUMN())),"N/A")</f>
        <v/>
      </c>
      <c r="S1134" s="262">
        <f>IFERROR(_xll.CIQHI(MO.Ticker.CapIQ,"IQ_LASTSALEPRICE",INDEX(MO_SNA_FPStartDate,0,COLUMN()),INDEX(MO_Common_QEndDate,0,COLUMN())),"N/A")</f>
        <v/>
      </c>
      <c r="T1134" s="262">
        <f>IFERROR(_xll.CIQHI(MO.Ticker.CapIQ,"IQ_LASTSALEPRICE",INDEX(MO_SNA_FPStartDate,0,COLUMN()),INDEX(MO_Common_QEndDate,0,COLUMN())),"N/A")</f>
        <v/>
      </c>
      <c r="U1134" s="262">
        <f>IFERROR(_xll.CIQHI(MO.Ticker.CapIQ,"IQ_LASTSALEPRICE",INDEX(MO_SNA_FPStartDate,0,COLUMN()),INDEX(MO_Common_QEndDate,0,COLUMN())),"N/A")</f>
        <v/>
      </c>
      <c r="V1134" s="262">
        <f>IFERROR(_xll.CIQHI(MO.Ticker.CapIQ,"IQ_LASTSALEPRICE",INDEX(MO_SNA_FPStartDate,0,COLUMN()),INDEX(MO_Common_QEndDate,0,COLUMN())),"N/A")</f>
        <v/>
      </c>
      <c r="W1134" s="262">
        <f>IFERROR(_xll.CIQHI(MO.Ticker.CapIQ,"IQ_LASTSALEPRICE",INDEX(MO_SNA_FPStartDate,0,COLUMN()),INDEX(MO_Common_QEndDate,0,COLUMN())),"N/A")</f>
        <v/>
      </c>
      <c r="X1134" s="262">
        <f>IFERROR(_xll.CIQHI(MO.Ticker.CapIQ,"IQ_LASTSALEPRICE",INDEX(MO_SNA_FPStartDate,0,COLUMN()),INDEX(MO_Common_QEndDate,0,COLUMN())),"N/A")</f>
        <v/>
      </c>
      <c r="Y1134" s="262">
        <f>IFERROR(_xll.CIQHI(MO.Ticker.CapIQ,"IQ_LASTSALEPRICE",INDEX(MO_SNA_FPStartDate,0,COLUMN()),INDEX(MO_Common_QEndDate,0,COLUMN())),"N/A")</f>
        <v/>
      </c>
      <c r="Z1134" s="262">
        <f>IFERROR(_xll.CIQHI(MO.Ticker.CapIQ,"IQ_LASTSALEPRICE",INDEX(MO_SNA_FPStartDate,0,COLUMN()),INDEX(MO_Common_QEndDate,0,COLUMN())),"N/A")</f>
        <v/>
      </c>
      <c r="AA1134" s="262">
        <f>IFERROR(_xll.CIQHI(MO.Ticker.CapIQ,"IQ_LASTSALEPRICE",INDEX(MO_SNA_FPStartDate,0,COLUMN()),INDEX(MO_Common_QEndDate,0,COLUMN())),"N/A")</f>
        <v/>
      </c>
      <c r="AB1134" s="262">
        <f>IFERROR(_xll.CIQHI(MO.Ticker.CapIQ,"IQ_LASTSALEPRICE",INDEX(MO_SNA_FPStartDate,0,COLUMN()),INDEX(MO_Common_QEndDate,0,COLUMN())),"N/A")</f>
        <v/>
      </c>
      <c r="AC1134" s="262">
        <f>IFERROR(_xll.CIQHI(MO.Ticker.CapIQ,"IQ_LASTSALEPRICE",INDEX(MO_SNA_FPStartDate,0,COLUMN()),INDEX(MO_Common_QEndDate,0,COLUMN())),"N/A")</f>
        <v/>
      </c>
      <c r="AD1134" s="262">
        <f>IFERROR(_xll.CIQHI(MO.Ticker.CapIQ,"IQ_LASTSALEPRICE",INDEX(MO_SNA_FPStartDate,0,COLUMN()),INDEX(MO_Common_QEndDate,0,COLUMN())),"N/A")</f>
        <v/>
      </c>
      <c r="AE1134" s="262">
        <f>IFERROR(_xll.CIQHI(MO.Ticker.CapIQ,"IQ_LASTSALEPRICE",INDEX(MO_SNA_FPStartDate,0,COLUMN()),INDEX(MO_Common_QEndDate,0,COLUMN())),"N/A")</f>
        <v/>
      </c>
      <c r="AF1134" s="262">
        <f>IFERROR(_xll.CIQHI(MO.Ticker.CapIQ,"IQ_LASTSALEPRICE",INDEX(MO_SNA_FPStartDate,0,COLUMN()),INDEX(MO_Common_QEndDate,0,COLUMN())),"N/A")</f>
        <v/>
      </c>
      <c r="AG1134" s="262">
        <f>IFERROR(_xll.CIQHI(MO.Ticker.CapIQ,"IQ_LASTSALEPRICE",INDEX(MO_SNA_FPStartDate,0,COLUMN()),INDEX(MO_Common_QEndDate,0,COLUMN())),"N/A")</f>
        <v/>
      </c>
      <c r="AH1134" s="262">
        <f>IFERROR(_xll.CIQHI(MO.Ticker.CapIQ,"IQ_LASTSALEPRICE",INDEX(MO_SNA_FPStartDate,0,COLUMN()),INDEX(MO_Common_QEndDate,0,COLUMN())),"N/A")</f>
        <v/>
      </c>
      <c r="AI1134" s="262">
        <f>IFERROR(_xll.CIQHI(MO.Ticker.CapIQ,"IQ_LASTSALEPRICE",INDEX(MO_SNA_FPStartDate,0,COLUMN()),INDEX(MO_Common_QEndDate,0,COLUMN())),"N/A")</f>
        <v/>
      </c>
      <c r="AJ1134" s="262">
        <f>IFERROR(_xll.CIQHI(MO.Ticker.CapIQ,"IQ_LASTSALEPRICE",INDEX(MO_SNA_FPStartDate,0,COLUMN()),INDEX(MO_Common_QEndDate,0,COLUMN())),"N/A")</f>
        <v/>
      </c>
      <c r="AK1134" s="262">
        <f>IFERROR(_xll.CIQHI(MO.Ticker.CapIQ,"IQ_LASTSALEPRICE",INDEX(MO_SNA_FPStartDate,0,COLUMN()),INDEX(MO_Common_QEndDate,0,COLUMN())),"N/A")</f>
        <v/>
      </c>
      <c r="AL1134" s="262">
        <f>IFERROR(_xll.CIQHI(MO.Ticker.CapIQ,"IQ_LASTSALEPRICE",INDEX(MO_SNA_FPStartDate,0,COLUMN()),INDEX(MO_Common_QEndDate,0,COLUMN())),"N/A")</f>
        <v/>
      </c>
      <c r="AM1134" s="262">
        <f>IFERROR(_xll.CIQHI(MO.Ticker.CapIQ,"IQ_LASTSALEPRICE",INDEX(MO_SNA_FPStartDate,0,COLUMN()),INDEX(MO_Common_QEndDate,0,COLUMN())),"N/A")</f>
        <v/>
      </c>
      <c r="AN1134" s="262">
        <f>IFERROR(_xll.CIQHI(MO.Ticker.CapIQ,"IQ_LASTSALEPRICE",INDEX(MO_SNA_FPStartDate,0,COLUMN()),INDEX(MO_Common_QEndDate,0,COLUMN())),"N/A")</f>
        <v/>
      </c>
      <c r="AO1134" s="262">
        <f>IFERROR(_xll.CIQHI(MO.Ticker.CapIQ,"IQ_LASTSALEPRICE",INDEX(MO_SNA_FPStartDate,0,COLUMN()),INDEX(MO_Common_QEndDate,0,COLUMN())),"N/A")</f>
        <v/>
      </c>
      <c r="AP1134" s="262">
        <f>IFERROR(_xll.CIQHI(MO.Ticker.CapIQ,"IQ_LASTSALEPRICE",INDEX(MO_SNA_FPStartDate,0,COLUMN()),INDEX(MO_Common_QEndDate,0,COLUMN())),"N/A")</f>
        <v/>
      </c>
      <c r="AQ1134" s="262">
        <f>IFERROR(_xll.CIQHI(MO.Ticker.CapIQ,"IQ_LASTSALEPRICE",INDEX(MO_SNA_FPStartDate,0,COLUMN()),INDEX(MO_Common_QEndDate,0,COLUMN())),"N/A")</f>
        <v/>
      </c>
      <c r="AR1134" s="262">
        <f>IFERROR(_xll.CIQHI(MO.Ticker.CapIQ,"IQ_LASTSALEPRICE",INDEX(MO_SNA_FPStartDate,0,COLUMN()),INDEX(MO_Common_QEndDate,0,COLUMN())),"N/A")</f>
        <v/>
      </c>
      <c r="AS1134" s="262">
        <f>IFERROR(_xll.CIQHI(MO.Ticker.CapIQ,"IQ_LASTSALEPRICE",INDEX(MO_SNA_FPStartDate,0,COLUMN()),INDEX(MO_Common_QEndDate,0,COLUMN())),"N/A")</f>
        <v/>
      </c>
      <c r="AT1134" s="262">
        <f>IFERROR(_xll.CIQHI(MO.Ticker.CapIQ,"IQ_LASTSALEPRICE",INDEX(MO_SNA_FPStartDate,0,COLUMN()),INDEX(MO_Common_QEndDate,0,COLUMN())),"N/A")</f>
        <v/>
      </c>
      <c r="AU1134" s="262">
        <f>IFERROR(_xll.CIQHI(MO.Ticker.CapIQ,"IQ_LASTSALEPRICE",INDEX(MO_SNA_FPStartDate,0,COLUMN()),INDEX(MO_Common_QEndDate,0,COLUMN())),"N/A")</f>
        <v/>
      </c>
      <c r="AV1134" s="262">
        <f>IFERROR(_xll.CIQHI(MO.Ticker.CapIQ,"IQ_LASTSALEPRICE",INDEX(MO_SNA_FPStartDate,0,COLUMN()),INDEX(MO_Common_QEndDate,0,COLUMN())),"N/A")</f>
        <v/>
      </c>
      <c r="AW1134" s="262">
        <f>IFERROR(_xll.CIQHI(MO.Ticker.CapIQ,"IQ_LASTSALEPRICE",INDEX(MO_SNA_FPStartDate,0,COLUMN()),INDEX(MO_Common_QEndDate,0,COLUMN())),"N/A")</f>
        <v/>
      </c>
      <c r="AX1134" s="262">
        <f>IFERROR(_xll.CIQHI(MO.Ticker.CapIQ,"IQ_LASTSALEPRICE",INDEX(MO_SNA_FPStartDate,0,COLUMN()),INDEX(MO_Common_QEndDate,0,COLUMN())),"N/A")</f>
        <v/>
      </c>
      <c r="AY1134" s="262">
        <f>IFERROR(_xll.CIQHI(MO.Ticker.CapIQ,"IQ_LASTSALEPRICE",INDEX(MO_SNA_FPStartDate,0,COLUMN()),INDEX(MO_Common_QEndDate,0,COLUMN())),"N/A")</f>
        <v/>
      </c>
      <c r="AZ1134" s="262">
        <f>IFERROR(_xll.CIQHI(MO.Ticker.CapIQ,"IQ_LASTSALEPRICE",INDEX(MO_SNA_FPStartDate,0,COLUMN()),INDEX(MO_Common_QEndDate,0,COLUMN())),"N/A")</f>
        <v/>
      </c>
      <c r="BA1134" s="262">
        <f>IFERROR(_xll.CIQHI(MO.Ticker.CapIQ,"IQ_LASTSALEPRICE",INDEX(MO_SNA_FPStartDate,0,COLUMN()),INDEX(MO_Common_QEndDate,0,COLUMN())),"N/A")</f>
        <v/>
      </c>
      <c r="BB1134" s="262">
        <f>IFERROR(_xll.CIQHI(MO.Ticker.CapIQ,"IQ_LASTSALEPRICE",INDEX(MO_SNA_FPStartDate,0,COLUMN()),INDEX(MO_Common_QEndDate,0,COLUMN())),"N/A")</f>
        <v/>
      </c>
      <c r="BC1134" s="262">
        <f>IFERROR(_xll.CIQHI(MO.Ticker.CapIQ,"IQ_LASTSALEPRICE",INDEX(MO_SNA_FPStartDate,0,COLUMN()),INDEX(MO_Common_QEndDate,0,COLUMN())),"N/A")</f>
        <v/>
      </c>
      <c r="BD1134" s="262">
        <f>IFERROR(_xll.CIQHI(MO.Ticker.CapIQ,"IQ_LASTSALEPRICE",INDEX(MO_SNA_FPStartDate,0,COLUMN()),INDEX(MO_Common_QEndDate,0,COLUMN())),"N/A")</f>
        <v/>
      </c>
      <c r="BE1134" s="262">
        <f>IFERROR(_xll.CIQHI(MO.Ticker.CapIQ,"IQ_LASTSALEPRICE",INDEX(MO_SNA_FPStartDate,0,COLUMN()),INDEX(MO_Common_QEndDate,0,COLUMN())),"N/A")</f>
        <v/>
      </c>
      <c r="BF1134" s="262">
        <f>IFERROR(_xll.CIQHI(MO.Ticker.CapIQ,"IQ_LASTSALEPRICE",INDEX(MO_SNA_FPStartDate,0,COLUMN()),INDEX(MO_Common_QEndDate,0,COLUMN())),"N/A")</f>
        <v/>
      </c>
      <c r="BG1134" s="262">
        <f>IFERROR(_xll.CIQHI(MO.Ticker.CapIQ,"IQ_LASTSALEPRICE",INDEX(MO_SNA_FPStartDate,0,COLUMN()),INDEX(MO_Common_QEndDate,0,COLUMN())),"N/A")</f>
        <v/>
      </c>
      <c r="BH1134" s="262">
        <f>IFERROR(_xll.CIQHI(MO.Ticker.CapIQ,"IQ_LASTSALEPRICE",INDEX(MO_SNA_FPStartDate,0,COLUMN()),INDEX(MO_Common_QEndDate,0,COLUMN())),"N/A")</f>
        <v/>
      </c>
      <c r="BI1134" s="262">
        <f>IFERROR(_xll.CIQHI(MO.Ticker.CapIQ,"IQ_LASTSALEPRICE",INDEX(MO_SNA_FPStartDate,0,COLUMN()),INDEX(MO_Common_QEndDate,0,COLUMN())),"N/A")</f>
        <v/>
      </c>
      <c r="BJ1134" s="262">
        <f>IFERROR(_xll.CIQHI(MO.Ticker.CapIQ,"IQ_LASTSALEPRICE",INDEX(MO_SNA_FPStartDate,0,COLUMN()),INDEX(MO_Common_QEndDate,0,COLUMN())),"N/A")</f>
        <v/>
      </c>
      <c r="BK1134" s="262">
        <f>IFERROR(_xll.CIQHI(MO.Ticker.CapIQ,"IQ_LASTSALEPRICE",INDEX(MO_SNA_FPStartDate,0,COLUMN()),INDEX(MO_Common_QEndDate,0,COLUMN())),"N/A")</f>
        <v/>
      </c>
      <c r="BL1134" s="262">
        <f>IFERROR(_xll.CIQHI(MO.Ticker.CapIQ,"IQ_LASTSALEPRICE",INDEX(MO_SNA_FPStartDate,0,COLUMN()),INDEX(MO_Common_QEndDate,0,COLUMN())),"N/A")</f>
        <v/>
      </c>
      <c r="BM1134" s="262">
        <f>IFERROR(_xll.CIQHI(MO.Ticker.CapIQ,"IQ_LASTSALEPRICE",INDEX(MO_SNA_FPStartDate,0,COLUMN()),INDEX(MO_Common_QEndDate,0,COLUMN())),"N/A")</f>
        <v/>
      </c>
      <c r="BN1134" s="262">
        <f>IFERROR(_xll.CIQHI(MO.Ticker.CapIQ,"IQ_LASTSALEPRICE",INDEX(MO_SNA_FPStartDate,0,COLUMN()),INDEX(MO_Common_QEndDate,0,COLUMN())),"N/A")</f>
        <v/>
      </c>
      <c r="BO1134" s="262">
        <f>IFERROR(_xll.CIQHI(MO.Ticker.CapIQ,"IQ_LASTSALEPRICE",INDEX(MO_SNA_FPStartDate,0,COLUMN()),INDEX(MO_Common_QEndDate,0,COLUMN())),"N/A")</f>
        <v/>
      </c>
      <c r="BP1134" s="262">
        <f>IFERROR(_xll.CIQHI(MO.Ticker.CapIQ,"IQ_LASTSALEPRICE",INDEX(MO_SNA_FPStartDate,0,COLUMN()),INDEX(MO_Common_QEndDate,0,COLUMN())),"N/A")</f>
        <v/>
      </c>
      <c r="BQ1134" s="262">
        <f>IFERROR(_xll.CIQHI(MO.Ticker.CapIQ,"IQ_LASTSALEPRICE",INDEX(MO_SNA_FPStartDate,0,COLUMN()),INDEX(MO_Common_QEndDate,0,COLUMN())),"N/A")</f>
        <v/>
      </c>
      <c r="BR1134" s="262">
        <f>IFERROR(_xll.CIQHI(MO.Ticker.CapIQ,"IQ_LASTSALEPRICE",INDEX(MO_SNA_FPStartDate,0,COLUMN()),INDEX(MO_Common_QEndDate,0,COLUMN())),"N/A")</f>
        <v/>
      </c>
      <c r="BS1134" s="262">
        <f>IFERROR(_xll.CIQHI(MO.Ticker.CapIQ,"IQ_LASTSALEPRICE",INDEX(MO_SNA_FPStartDate,0,COLUMN()),INDEX(MO_Common_QEndDate,0,COLUMN())),"N/A")</f>
        <v/>
      </c>
      <c r="BT1134" s="262">
        <f>IFERROR(_xll.CIQHI(MO.Ticker.CapIQ,"IQ_LASTSALEPRICE",INDEX(MO_SNA_FPStartDate,0,COLUMN()),INDEX(MO_Common_QEndDate,0,COLUMN())),"N/A")</f>
        <v/>
      </c>
      <c r="BU1134" s="262">
        <f>IFERROR(_xll.CIQHI(MO.Ticker.CapIQ,"IQ_LASTSALEPRICE",INDEX(MO_SNA_FPStartDate,0,COLUMN()),INDEX(MO_Common_QEndDate,0,COLUMN())),"N/A")</f>
        <v/>
      </c>
      <c r="BV1134" s="531">
        <f>IFERROR(_xll.CIQHI(MO.Ticker.CapIQ,"IQ_LASTSALEPRICE",INDEX(MO_SNA_FPStartDate,0,COLUMN()),INDEX(MO_Common_QEndDate,0,COLUMN())),"N/A")</f>
        <v/>
      </c>
      <c r="BW1134" s="262">
        <f>IFERROR(_xll.CIQHI(MO.Ticker.CapIQ,"IQ_LASTSALEPRICE",INDEX(MO_SNA_FPStartDate,0,COLUMN()),INDEX(MO_Common_QEndDate,0,COLUMN())),"N/A")</f>
        <v/>
      </c>
      <c r="BX1134" s="262">
        <f>IFERROR(_xll.CIQHI(MO.Ticker.CapIQ,"IQ_LASTSALEPRICE",INDEX(MO_SNA_FPStartDate,0,COLUMN()),INDEX(MO_Common_QEndDate,0,COLUMN())),"N/A")</f>
        <v/>
      </c>
      <c r="BY1134" s="262">
        <f>IFERROR(_xll.CIQHI(MO.Ticker.CapIQ,"IQ_LASTSALEPRICE",INDEX(MO_SNA_FPStartDate,0,COLUMN()),INDEX(MO_Common_QEndDate,0,COLUMN())),"N/A")</f>
        <v/>
      </c>
      <c r="BZ1134" s="262">
        <f>IFERROR(_xll.CIQHI(MO.Ticker.CapIQ,"IQ_LASTSALEPRICE",INDEX(MO_SNA_FPStartDate,0,COLUMN()),INDEX(MO_Common_QEndDate,0,COLUMN())),"N/A")</f>
        <v/>
      </c>
      <c r="CA1134" s="262">
        <f>IFERROR(_xll.CIQHI(MO.Ticker.CapIQ,"IQ_LASTSALEPRICE",INDEX(MO_SNA_FPStartDate,0,COLUMN()),INDEX(MO_Common_QEndDate,0,COLUMN())),"N/A")</f>
        <v/>
      </c>
      <c r="CB1134" s="262">
        <f>IFERROR(_xll.CIQHI(MO.Ticker.CapIQ,"IQ_LASTSALEPRICE",INDEX(MO_SNA_FPStartDate,0,COLUMN()),INDEX(MO_Common_QEndDate,0,COLUMN())),"N/A")</f>
        <v/>
      </c>
      <c r="CC1134" s="262">
        <f>IFERROR(_xll.CIQHI(MO.Ticker.CapIQ,"IQ_LASTSALEPRICE",INDEX(MO_SNA_FPStartDate,0,COLUMN()),INDEX(MO_Common_QEndDate,0,COLUMN())),"N/A")</f>
        <v/>
      </c>
      <c r="CD1134" s="262">
        <f>IFERROR(_xll.CIQHI(MO.Ticker.CapIQ,"IQ_LASTSALEPRICE",INDEX(MO_SNA_FPStartDate,0,COLUMN()),INDEX(MO_Common_QEndDate,0,COLUMN())),"N/A")</f>
        <v/>
      </c>
      <c r="CE1134" s="262">
        <f>IFERROR(_xll.CIQHI(MO.Ticker.CapIQ,"IQ_LASTSALEPRICE",INDEX(MO_SNA_FPStartDate,0,COLUMN()),INDEX(MO_Common_QEndDate,0,COLUMN())),"N/A")</f>
        <v/>
      </c>
      <c r="CF1134" s="263">
        <f>IFERROR(_xll.CIQHI(MO.Ticker.CapIQ,"IQ_LASTSALEPRICE",INDEX(MO_SNA_FPStartDate,0,COLUMN()),INDEX(MO_Common_QEndDate,0,COLUMN())),"N/A")</f>
        <v/>
      </c>
      <c r="CG1134" s="155" t="n"/>
    </row>
    <row r="1135" hidden="1" outlineLevel="1">
      <c r="A1135" s="264" t="inlineStr">
        <is>
          <t>FactSet</t>
        </is>
      </c>
      <c r="B1135" s="262" t="n"/>
      <c r="C1135" s="1009">
        <f>IFERROR(_xll.FDS(MO.Ticker.FactSet,"P_PRICE_HIGH"&amp;"("&amp;INDEX(MO_SNA_FPStartDate,0,COLUMN())&amp;","&amp;INDEX(MO_Common_QEndDate,0,COLUMN())&amp;",,,,""PRICE"",""CLOSE"")"),"N/A")</f>
        <v/>
      </c>
      <c r="D1135" s="1009">
        <f>IFERROR(_xll.FDS(MO.Ticker.FactSet,"P_PRICE_HIGH"&amp;"("&amp;INDEX(MO_SNA_FPStartDate,0,COLUMN())&amp;","&amp;INDEX(MO_Common_QEndDate,0,COLUMN())&amp;",,,,""PRICE"",""CLOSE"")"),"N/A")</f>
        <v/>
      </c>
      <c r="E1135" s="1009">
        <f>IFERROR(_xll.FDS(MO.Ticker.FactSet,"P_PRICE_HIGH"&amp;"("&amp;INDEX(MO_SNA_FPStartDate,0,COLUMN())&amp;","&amp;INDEX(MO_Common_QEndDate,0,COLUMN())&amp;",,,,""PRICE"",""CLOSE"")"),"N/A")</f>
        <v/>
      </c>
      <c r="F1135" s="1009">
        <f>IFERROR(_xll.FDS(MO.Ticker.FactSet,"P_PRICE_HIGH"&amp;"("&amp;INDEX(MO_SNA_FPStartDate,0,COLUMN())&amp;","&amp;INDEX(MO_Common_QEndDate,0,COLUMN())&amp;",,,,""PRICE"",""CLOSE"")"),"N/A")</f>
        <v/>
      </c>
      <c r="G1135" s="1009">
        <f>IFERROR(_xll.FDS(MO.Ticker.FactSet,"P_PRICE_HIGH"&amp;"("&amp;INDEX(MO_SNA_FPStartDate,0,COLUMN())&amp;","&amp;INDEX(MO_Common_QEndDate,0,COLUMN())&amp;",,,,""PRICE"",""CLOSE"")"),"N/A")</f>
        <v/>
      </c>
      <c r="H1135" s="262">
        <f>IFERROR(_xll.FDS(MO.Ticker.FactSet,"P_PRICE_HIGH"&amp;"("&amp;INDEX(MO_SNA_FPStartDate,0,COLUMN())&amp;","&amp;INDEX(MO_Common_QEndDate,0,COLUMN())&amp;",,,,""PRICE"",""CLOSE"")"),"N/A")</f>
        <v/>
      </c>
      <c r="I1135" s="262">
        <f>IFERROR(_xll.FDS(MO.Ticker.FactSet,"P_PRICE_HIGH"&amp;"("&amp;INDEX(MO_SNA_FPStartDate,0,COLUMN())&amp;","&amp;INDEX(MO_Common_QEndDate,0,COLUMN())&amp;",,,,""PRICE"",""CLOSE"")"),"N/A")</f>
        <v/>
      </c>
      <c r="J1135" s="262">
        <f>IFERROR(_xll.FDS(MO.Ticker.FactSet,"P_PRICE_HIGH"&amp;"("&amp;INDEX(MO_SNA_FPStartDate,0,COLUMN())&amp;","&amp;INDEX(MO_Common_QEndDate,0,COLUMN())&amp;",,,,""PRICE"",""CLOSE"")"),"N/A")</f>
        <v/>
      </c>
      <c r="K1135" s="262">
        <f>IFERROR(_xll.FDS(MO.Ticker.FactSet,"P_PRICE_HIGH"&amp;"("&amp;INDEX(MO_SNA_FPStartDate,0,COLUMN())&amp;","&amp;INDEX(MO_Common_QEndDate,0,COLUMN())&amp;",,,,""PRICE"",""CLOSE"")"),"N/A")</f>
        <v/>
      </c>
      <c r="L1135" s="262">
        <f>IFERROR(_xll.FDS(MO.Ticker.FactSet,"P_PRICE_HIGH"&amp;"("&amp;INDEX(MO_SNA_FPStartDate,0,COLUMN())&amp;","&amp;INDEX(MO_Common_QEndDate,0,COLUMN())&amp;",,,,""PRICE"",""CLOSE"")"),"N/A")</f>
        <v/>
      </c>
      <c r="M1135" s="262">
        <f>IFERROR(_xll.FDS(MO.Ticker.FactSet,"P_PRICE_HIGH"&amp;"("&amp;INDEX(MO_SNA_FPStartDate,0,COLUMN())&amp;","&amp;INDEX(MO_Common_QEndDate,0,COLUMN())&amp;",,,,""PRICE"",""CLOSE"")"),"N/A")</f>
        <v/>
      </c>
      <c r="N1135" s="262">
        <f>IFERROR(_xll.FDS(MO.Ticker.FactSet,"P_PRICE_HIGH"&amp;"("&amp;INDEX(MO_SNA_FPStartDate,0,COLUMN())&amp;","&amp;INDEX(MO_Common_QEndDate,0,COLUMN())&amp;",,,,""PRICE"",""CLOSE"")"),"N/A")</f>
        <v/>
      </c>
      <c r="O1135" s="262">
        <f>IFERROR(_xll.FDS(MO.Ticker.FactSet,"P_PRICE_HIGH"&amp;"("&amp;INDEX(MO_SNA_FPStartDate,0,COLUMN())&amp;","&amp;INDEX(MO_Common_QEndDate,0,COLUMN())&amp;",,,,""PRICE"",""CLOSE"")"),"N/A")</f>
        <v/>
      </c>
      <c r="P1135" s="262">
        <f>IFERROR(_xll.FDS(MO.Ticker.FactSet,"P_PRICE_HIGH"&amp;"("&amp;INDEX(MO_SNA_FPStartDate,0,COLUMN())&amp;","&amp;INDEX(MO_Common_QEndDate,0,COLUMN())&amp;",,,,""PRICE"",""CLOSE"")"),"N/A")</f>
        <v/>
      </c>
      <c r="Q1135" s="262">
        <f>IFERROR(_xll.FDS(MO.Ticker.FactSet,"P_PRICE_HIGH"&amp;"("&amp;INDEX(MO_SNA_FPStartDate,0,COLUMN())&amp;","&amp;INDEX(MO_Common_QEndDate,0,COLUMN())&amp;",,,,""PRICE"",""CLOSE"")"),"N/A")</f>
        <v/>
      </c>
      <c r="R1135" s="262">
        <f>IFERROR(_xll.FDS(MO.Ticker.FactSet,"P_PRICE_HIGH"&amp;"("&amp;INDEX(MO_SNA_FPStartDate,0,COLUMN())&amp;","&amp;INDEX(MO_Common_QEndDate,0,COLUMN())&amp;",,,,""PRICE"",""CLOSE"")"),"N/A")</f>
        <v/>
      </c>
      <c r="S1135" s="262">
        <f>IFERROR(_xll.FDS(MO.Ticker.FactSet,"P_PRICE_HIGH"&amp;"("&amp;INDEX(MO_SNA_FPStartDate,0,COLUMN())&amp;","&amp;INDEX(MO_Common_QEndDate,0,COLUMN())&amp;",,,,""PRICE"",""CLOSE"")"),"N/A")</f>
        <v/>
      </c>
      <c r="T1135" s="262">
        <f>IFERROR(_xll.FDS(MO.Ticker.FactSet,"P_PRICE_HIGH"&amp;"("&amp;INDEX(MO_SNA_FPStartDate,0,COLUMN())&amp;","&amp;INDEX(MO_Common_QEndDate,0,COLUMN())&amp;",,,,""PRICE"",""CLOSE"")"),"N/A")</f>
        <v/>
      </c>
      <c r="U1135" s="262">
        <f>IFERROR(_xll.FDS(MO.Ticker.FactSet,"P_PRICE_HIGH"&amp;"("&amp;INDEX(MO_SNA_FPStartDate,0,COLUMN())&amp;","&amp;INDEX(MO_Common_QEndDate,0,COLUMN())&amp;",,,,""PRICE"",""CLOSE"")"),"N/A")</f>
        <v/>
      </c>
      <c r="V1135" s="262">
        <f>IFERROR(_xll.FDS(MO.Ticker.FactSet,"P_PRICE_HIGH"&amp;"("&amp;INDEX(MO_SNA_FPStartDate,0,COLUMN())&amp;","&amp;INDEX(MO_Common_QEndDate,0,COLUMN())&amp;",,,,""PRICE"",""CLOSE"")"),"N/A")</f>
        <v/>
      </c>
      <c r="W1135" s="262">
        <f>IFERROR(_xll.FDS(MO.Ticker.FactSet,"P_PRICE_HIGH"&amp;"("&amp;INDEX(MO_SNA_FPStartDate,0,COLUMN())&amp;","&amp;INDEX(MO_Common_QEndDate,0,COLUMN())&amp;",,,,""PRICE"",""CLOSE"")"),"N/A")</f>
        <v/>
      </c>
      <c r="X1135" s="262">
        <f>IFERROR(_xll.FDS(MO.Ticker.FactSet,"P_PRICE_HIGH"&amp;"("&amp;INDEX(MO_SNA_FPStartDate,0,COLUMN())&amp;","&amp;INDEX(MO_Common_QEndDate,0,COLUMN())&amp;",,,,""PRICE"",""CLOSE"")"),"N/A")</f>
        <v/>
      </c>
      <c r="Y1135" s="262">
        <f>IFERROR(_xll.FDS(MO.Ticker.FactSet,"P_PRICE_HIGH"&amp;"("&amp;INDEX(MO_SNA_FPStartDate,0,COLUMN())&amp;","&amp;INDEX(MO_Common_QEndDate,0,COLUMN())&amp;",,,,""PRICE"",""CLOSE"")"),"N/A")</f>
        <v/>
      </c>
      <c r="Z1135" s="262">
        <f>IFERROR(_xll.FDS(MO.Ticker.FactSet,"P_PRICE_HIGH"&amp;"("&amp;INDEX(MO_SNA_FPStartDate,0,COLUMN())&amp;","&amp;INDEX(MO_Common_QEndDate,0,COLUMN())&amp;",,,,""PRICE"",""CLOSE"")"),"N/A")</f>
        <v/>
      </c>
      <c r="AA1135" s="262">
        <f>IFERROR(_xll.FDS(MO.Ticker.FactSet,"P_PRICE_HIGH"&amp;"("&amp;INDEX(MO_SNA_FPStartDate,0,COLUMN())&amp;","&amp;INDEX(MO_Common_QEndDate,0,COLUMN())&amp;",,,,""PRICE"",""CLOSE"")"),"N/A")</f>
        <v/>
      </c>
      <c r="AB1135" s="262">
        <f>IFERROR(_xll.FDS(MO.Ticker.FactSet,"P_PRICE_HIGH"&amp;"("&amp;INDEX(MO_SNA_FPStartDate,0,COLUMN())&amp;","&amp;INDEX(MO_Common_QEndDate,0,COLUMN())&amp;",,,,""PRICE"",""CLOSE"")"),"N/A")</f>
        <v/>
      </c>
      <c r="AC1135" s="262">
        <f>IFERROR(_xll.FDS(MO.Ticker.FactSet,"P_PRICE_HIGH"&amp;"("&amp;INDEX(MO_SNA_FPStartDate,0,COLUMN())&amp;","&amp;INDEX(MO_Common_QEndDate,0,COLUMN())&amp;",,,,""PRICE"",""CLOSE"")"),"N/A")</f>
        <v/>
      </c>
      <c r="AD1135" s="262">
        <f>IFERROR(_xll.FDS(MO.Ticker.FactSet,"P_PRICE_HIGH"&amp;"("&amp;INDEX(MO_SNA_FPStartDate,0,COLUMN())&amp;","&amp;INDEX(MO_Common_QEndDate,0,COLUMN())&amp;",,,,""PRICE"",""CLOSE"")"),"N/A")</f>
        <v/>
      </c>
      <c r="AE1135" s="262">
        <f>IFERROR(_xll.FDS(MO.Ticker.FactSet,"P_PRICE_HIGH"&amp;"("&amp;INDEX(MO_SNA_FPStartDate,0,COLUMN())&amp;","&amp;INDEX(MO_Common_QEndDate,0,COLUMN())&amp;",,,,""PRICE"",""CLOSE"")"),"N/A")</f>
        <v/>
      </c>
      <c r="AF1135" s="262">
        <f>IFERROR(_xll.FDS(MO.Ticker.FactSet,"P_PRICE_HIGH"&amp;"("&amp;INDEX(MO_SNA_FPStartDate,0,COLUMN())&amp;","&amp;INDEX(MO_Common_QEndDate,0,COLUMN())&amp;",,,,""PRICE"",""CLOSE"")"),"N/A")</f>
        <v/>
      </c>
      <c r="AG1135" s="262">
        <f>IFERROR(_xll.FDS(MO.Ticker.FactSet,"P_PRICE_HIGH"&amp;"("&amp;INDEX(MO_SNA_FPStartDate,0,COLUMN())&amp;","&amp;INDEX(MO_Common_QEndDate,0,COLUMN())&amp;",,,,""PRICE"",""CLOSE"")"),"N/A")</f>
        <v/>
      </c>
      <c r="AH1135" s="262">
        <f>IFERROR(_xll.FDS(MO.Ticker.FactSet,"P_PRICE_HIGH"&amp;"("&amp;INDEX(MO_SNA_FPStartDate,0,COLUMN())&amp;","&amp;INDEX(MO_Common_QEndDate,0,COLUMN())&amp;",,,,""PRICE"",""CLOSE"")"),"N/A")</f>
        <v/>
      </c>
      <c r="AI1135" s="262">
        <f>IFERROR(_xll.FDS(MO.Ticker.FactSet,"P_PRICE_HIGH"&amp;"("&amp;INDEX(MO_SNA_FPStartDate,0,COLUMN())&amp;","&amp;INDEX(MO_Common_QEndDate,0,COLUMN())&amp;",,,,""PRICE"",""CLOSE"")"),"N/A")</f>
        <v/>
      </c>
      <c r="AJ1135" s="262">
        <f>IFERROR(_xll.FDS(MO.Ticker.FactSet,"P_PRICE_HIGH"&amp;"("&amp;INDEX(MO_SNA_FPStartDate,0,COLUMN())&amp;","&amp;INDEX(MO_Common_QEndDate,0,COLUMN())&amp;",,,,""PRICE"",""CLOSE"")"),"N/A")</f>
        <v/>
      </c>
      <c r="AK1135" s="262">
        <f>IFERROR(_xll.FDS(MO.Ticker.FactSet,"P_PRICE_HIGH"&amp;"("&amp;INDEX(MO_SNA_FPStartDate,0,COLUMN())&amp;","&amp;INDEX(MO_Common_QEndDate,0,COLUMN())&amp;",,,,""PRICE"",""CLOSE"")"),"N/A")</f>
        <v/>
      </c>
      <c r="AL1135" s="262">
        <f>IFERROR(_xll.FDS(MO.Ticker.FactSet,"P_PRICE_HIGH"&amp;"("&amp;INDEX(MO_SNA_FPStartDate,0,COLUMN())&amp;","&amp;INDEX(MO_Common_QEndDate,0,COLUMN())&amp;",,,,""PRICE"",""CLOSE"")"),"N/A")</f>
        <v/>
      </c>
      <c r="AM1135" s="262">
        <f>IFERROR(_xll.FDS(MO.Ticker.FactSet,"P_PRICE_HIGH"&amp;"("&amp;INDEX(MO_SNA_FPStartDate,0,COLUMN())&amp;","&amp;INDEX(MO_Common_QEndDate,0,COLUMN())&amp;",,,,""PRICE"",""CLOSE"")"),"N/A")</f>
        <v/>
      </c>
      <c r="AN1135" s="262">
        <f>IFERROR(_xll.FDS(MO.Ticker.FactSet,"P_PRICE_HIGH"&amp;"("&amp;INDEX(MO_SNA_FPStartDate,0,COLUMN())&amp;","&amp;INDEX(MO_Common_QEndDate,0,COLUMN())&amp;",,,,""PRICE"",""CLOSE"")"),"N/A")</f>
        <v/>
      </c>
      <c r="AO1135" s="262">
        <f>IFERROR(_xll.FDS(MO.Ticker.FactSet,"P_PRICE_HIGH"&amp;"("&amp;INDEX(MO_SNA_FPStartDate,0,COLUMN())&amp;","&amp;INDEX(MO_Common_QEndDate,0,COLUMN())&amp;",,,,""PRICE"",""CLOSE"")"),"N/A")</f>
        <v/>
      </c>
      <c r="AP1135" s="262">
        <f>IFERROR(_xll.FDS(MO.Ticker.FactSet,"P_PRICE_HIGH"&amp;"("&amp;INDEX(MO_SNA_FPStartDate,0,COLUMN())&amp;","&amp;INDEX(MO_Common_QEndDate,0,COLUMN())&amp;",,,,""PRICE"",""CLOSE"")"),"N/A")</f>
        <v/>
      </c>
      <c r="AQ1135" s="262">
        <f>IFERROR(_xll.FDS(MO.Ticker.FactSet,"P_PRICE_HIGH"&amp;"("&amp;INDEX(MO_SNA_FPStartDate,0,COLUMN())&amp;","&amp;INDEX(MO_Common_QEndDate,0,COLUMN())&amp;",,,,""PRICE"",""CLOSE"")"),"N/A")</f>
        <v/>
      </c>
      <c r="AR1135" s="262">
        <f>IFERROR(_xll.FDS(MO.Ticker.FactSet,"P_PRICE_HIGH"&amp;"("&amp;INDEX(MO_SNA_FPStartDate,0,COLUMN())&amp;","&amp;INDEX(MO_Common_QEndDate,0,COLUMN())&amp;",,,,""PRICE"",""CLOSE"")"),"N/A")</f>
        <v/>
      </c>
      <c r="AS1135" s="262">
        <f>IFERROR(_xll.FDS(MO.Ticker.FactSet,"P_PRICE_HIGH"&amp;"("&amp;INDEX(MO_SNA_FPStartDate,0,COLUMN())&amp;","&amp;INDEX(MO_Common_QEndDate,0,COLUMN())&amp;",,,,""PRICE"",""CLOSE"")"),"N/A")</f>
        <v/>
      </c>
      <c r="AT1135" s="262">
        <f>IFERROR(_xll.FDS(MO.Ticker.FactSet,"P_PRICE_HIGH"&amp;"("&amp;INDEX(MO_SNA_FPStartDate,0,COLUMN())&amp;","&amp;INDEX(MO_Common_QEndDate,0,COLUMN())&amp;",,,,""PRICE"",""CLOSE"")"),"N/A")</f>
        <v/>
      </c>
      <c r="AU1135" s="262">
        <f>IFERROR(_xll.FDS(MO.Ticker.FactSet,"P_PRICE_HIGH"&amp;"("&amp;INDEX(MO_SNA_FPStartDate,0,COLUMN())&amp;","&amp;INDEX(MO_Common_QEndDate,0,COLUMN())&amp;",,,,""PRICE"",""CLOSE"")"),"N/A")</f>
        <v/>
      </c>
      <c r="AV1135" s="262">
        <f>IFERROR(_xll.FDS(MO.Ticker.FactSet,"P_PRICE_HIGH"&amp;"("&amp;INDEX(MO_SNA_FPStartDate,0,COLUMN())&amp;","&amp;INDEX(MO_Common_QEndDate,0,COLUMN())&amp;",,,,""PRICE"",""CLOSE"")"),"N/A")</f>
        <v/>
      </c>
      <c r="AW1135" s="262">
        <f>IFERROR(_xll.FDS(MO.Ticker.FactSet,"P_PRICE_HIGH"&amp;"("&amp;INDEX(MO_SNA_FPStartDate,0,COLUMN())&amp;","&amp;INDEX(MO_Common_QEndDate,0,COLUMN())&amp;",,,,""PRICE"",""CLOSE"")"),"N/A")</f>
        <v/>
      </c>
      <c r="AX1135" s="262">
        <f>IFERROR(_xll.FDS(MO.Ticker.FactSet,"P_PRICE_HIGH"&amp;"("&amp;INDEX(MO_SNA_FPStartDate,0,COLUMN())&amp;","&amp;INDEX(MO_Common_QEndDate,0,COLUMN())&amp;",,,,""PRICE"",""CLOSE"")"),"N/A")</f>
        <v/>
      </c>
      <c r="AY1135" s="262">
        <f>IFERROR(_xll.FDS(MO.Ticker.FactSet,"P_PRICE_HIGH"&amp;"("&amp;INDEX(MO_SNA_FPStartDate,0,COLUMN())&amp;","&amp;INDEX(MO_Common_QEndDate,0,COLUMN())&amp;",,,,""PRICE"",""CLOSE"")"),"N/A")</f>
        <v/>
      </c>
      <c r="AZ1135" s="262">
        <f>IFERROR(_xll.FDS(MO.Ticker.FactSet,"P_PRICE_HIGH"&amp;"("&amp;INDEX(MO_SNA_FPStartDate,0,COLUMN())&amp;","&amp;INDEX(MO_Common_QEndDate,0,COLUMN())&amp;",,,,""PRICE"",""CLOSE"")"),"N/A")</f>
        <v/>
      </c>
      <c r="BA1135" s="262">
        <f>IFERROR(_xll.FDS(MO.Ticker.FactSet,"P_PRICE_HIGH"&amp;"("&amp;INDEX(MO_SNA_FPStartDate,0,COLUMN())&amp;","&amp;INDEX(MO_Common_QEndDate,0,COLUMN())&amp;",,,,""PRICE"",""CLOSE"")"),"N/A")</f>
        <v/>
      </c>
      <c r="BB1135" s="262">
        <f>IFERROR(_xll.FDS(MO.Ticker.FactSet,"P_PRICE_HIGH"&amp;"("&amp;INDEX(MO_SNA_FPStartDate,0,COLUMN())&amp;","&amp;INDEX(MO_Common_QEndDate,0,COLUMN())&amp;",,,,""PRICE"",""CLOSE"")"),"N/A")</f>
        <v/>
      </c>
      <c r="BC1135" s="262">
        <f>IFERROR(_xll.FDS(MO.Ticker.FactSet,"P_PRICE_HIGH"&amp;"("&amp;INDEX(MO_SNA_FPStartDate,0,COLUMN())&amp;","&amp;INDEX(MO_Common_QEndDate,0,COLUMN())&amp;",,,,""PRICE"",""CLOSE"")"),"N/A")</f>
        <v/>
      </c>
      <c r="BD1135" s="262">
        <f>IFERROR(_xll.FDS(MO.Ticker.FactSet,"P_PRICE_HIGH"&amp;"("&amp;INDEX(MO_SNA_FPStartDate,0,COLUMN())&amp;","&amp;INDEX(MO_Common_QEndDate,0,COLUMN())&amp;",,,,""PRICE"",""CLOSE"")"),"N/A")</f>
        <v/>
      </c>
      <c r="BE1135" s="262">
        <f>IFERROR(_xll.FDS(MO.Ticker.FactSet,"P_PRICE_HIGH"&amp;"("&amp;INDEX(MO_SNA_FPStartDate,0,COLUMN())&amp;","&amp;INDEX(MO_Common_QEndDate,0,COLUMN())&amp;",,,,""PRICE"",""CLOSE"")"),"N/A")</f>
        <v/>
      </c>
      <c r="BF1135" s="262">
        <f>IFERROR(_xll.FDS(MO.Ticker.FactSet,"P_PRICE_HIGH"&amp;"("&amp;INDEX(MO_SNA_FPStartDate,0,COLUMN())&amp;","&amp;INDEX(MO_Common_QEndDate,0,COLUMN())&amp;",,,,""PRICE"",""CLOSE"")"),"N/A")</f>
        <v/>
      </c>
      <c r="BG1135" s="262">
        <f>IFERROR(_xll.FDS(MO.Ticker.FactSet,"P_PRICE_HIGH"&amp;"("&amp;INDEX(MO_SNA_FPStartDate,0,COLUMN())&amp;","&amp;INDEX(MO_Common_QEndDate,0,COLUMN())&amp;",,,,""PRICE"",""CLOSE"")"),"N/A")</f>
        <v/>
      </c>
      <c r="BH1135" s="262">
        <f>IFERROR(_xll.FDS(MO.Ticker.FactSet,"P_PRICE_HIGH"&amp;"("&amp;INDEX(MO_SNA_FPStartDate,0,COLUMN())&amp;","&amp;INDEX(MO_Common_QEndDate,0,COLUMN())&amp;",,,,""PRICE"",""CLOSE"")"),"N/A")</f>
        <v/>
      </c>
      <c r="BI1135" s="262">
        <f>IFERROR(_xll.FDS(MO.Ticker.FactSet,"P_PRICE_HIGH"&amp;"("&amp;INDEX(MO_SNA_FPStartDate,0,COLUMN())&amp;","&amp;INDEX(MO_Common_QEndDate,0,COLUMN())&amp;",,,,""PRICE"",""CLOSE"")"),"N/A")</f>
        <v/>
      </c>
      <c r="BJ1135" s="262">
        <f>IFERROR(_xll.FDS(MO.Ticker.FactSet,"P_PRICE_HIGH"&amp;"("&amp;INDEX(MO_SNA_FPStartDate,0,COLUMN())&amp;","&amp;INDEX(MO_Common_QEndDate,0,COLUMN())&amp;",,,,""PRICE"",""CLOSE"")"),"N/A")</f>
        <v/>
      </c>
      <c r="BK1135" s="262">
        <f>IFERROR(_xll.FDS(MO.Ticker.FactSet,"P_PRICE_HIGH"&amp;"("&amp;INDEX(MO_SNA_FPStartDate,0,COLUMN())&amp;","&amp;INDEX(MO_Common_QEndDate,0,COLUMN())&amp;",,,,""PRICE"",""CLOSE"")"),"N/A")</f>
        <v/>
      </c>
      <c r="BL1135" s="262">
        <f>IFERROR(_xll.FDS(MO.Ticker.FactSet,"P_PRICE_HIGH"&amp;"("&amp;INDEX(MO_SNA_FPStartDate,0,COLUMN())&amp;","&amp;INDEX(MO_Common_QEndDate,0,COLUMN())&amp;",,,,""PRICE"",""CLOSE"")"),"N/A")</f>
        <v/>
      </c>
      <c r="BM1135" s="262">
        <f>IFERROR(_xll.FDS(MO.Ticker.FactSet,"P_PRICE_HIGH"&amp;"("&amp;INDEX(MO_SNA_FPStartDate,0,COLUMN())&amp;","&amp;INDEX(MO_Common_QEndDate,0,COLUMN())&amp;",,,,""PRICE"",""CLOSE"")"),"N/A")</f>
        <v/>
      </c>
      <c r="BN1135" s="262">
        <f>IFERROR(_xll.FDS(MO.Ticker.FactSet,"P_PRICE_HIGH"&amp;"("&amp;INDEX(MO_SNA_FPStartDate,0,COLUMN())&amp;","&amp;INDEX(MO_Common_QEndDate,0,COLUMN())&amp;",,,,""PRICE"",""CLOSE"")"),"N/A")</f>
        <v/>
      </c>
      <c r="BO1135" s="262">
        <f>IFERROR(_xll.FDS(MO.Ticker.FactSet,"P_PRICE_HIGH"&amp;"("&amp;INDEX(MO_SNA_FPStartDate,0,COLUMN())&amp;","&amp;INDEX(MO_Common_QEndDate,0,COLUMN())&amp;",,,,""PRICE"",""CLOSE"")"),"N/A")</f>
        <v/>
      </c>
      <c r="BP1135" s="262">
        <f>IFERROR(_xll.FDS(MO.Ticker.FactSet,"P_PRICE_HIGH"&amp;"("&amp;INDEX(MO_SNA_FPStartDate,0,COLUMN())&amp;","&amp;INDEX(MO_Common_QEndDate,0,COLUMN())&amp;",,,,""PRICE"",""CLOSE"")"),"N/A")</f>
        <v/>
      </c>
      <c r="BQ1135" s="262">
        <f>IFERROR(_xll.FDS(MO.Ticker.FactSet,"P_PRICE_HIGH"&amp;"("&amp;INDEX(MO_SNA_FPStartDate,0,COLUMN())&amp;","&amp;INDEX(MO_Common_QEndDate,0,COLUMN())&amp;",,,,""PRICE"",""CLOSE"")"),"N/A")</f>
        <v/>
      </c>
      <c r="BR1135" s="262">
        <f>IFERROR(_xll.FDS(MO.Ticker.FactSet,"P_PRICE_HIGH"&amp;"("&amp;INDEX(MO_SNA_FPStartDate,0,COLUMN())&amp;","&amp;INDEX(MO_Common_QEndDate,0,COLUMN())&amp;",,,,""PRICE"",""CLOSE"")"),"N/A")</f>
        <v/>
      </c>
      <c r="BS1135" s="262">
        <f>IFERROR(_xll.FDS(MO.Ticker.FactSet,"P_PRICE_HIGH"&amp;"("&amp;INDEX(MO_SNA_FPStartDate,0,COLUMN())&amp;","&amp;INDEX(MO_Common_QEndDate,0,COLUMN())&amp;",,,,""PRICE"",""CLOSE"")"),"N/A")</f>
        <v/>
      </c>
      <c r="BT1135" s="262">
        <f>IFERROR(_xll.FDS(MO.Ticker.FactSet,"P_PRICE_HIGH"&amp;"("&amp;INDEX(MO_SNA_FPStartDate,0,COLUMN())&amp;","&amp;INDEX(MO_Common_QEndDate,0,COLUMN())&amp;",,,,""PRICE"",""CLOSE"")"),"N/A")</f>
        <v/>
      </c>
      <c r="BU1135" s="262">
        <f>IFERROR(_xll.FDS(MO.Ticker.FactSet,"P_PRICE_HIGH"&amp;"("&amp;INDEX(MO_SNA_FPStartDate,0,COLUMN())&amp;","&amp;INDEX(MO_Common_QEndDate,0,COLUMN())&amp;",,,,""PRICE"",""CLOSE"")"),"N/A")</f>
        <v/>
      </c>
      <c r="BV1135" s="531">
        <f>IFERROR(_xll.FDS(MO.Ticker.FactSet,"P_PRICE_HIGH"&amp;"("&amp;INDEX(MO_SNA_FPStartDate,0,COLUMN())&amp;","&amp;INDEX(MO_Common_QEndDate,0,COLUMN())&amp;",,,,""PRICE"",""CLOSE"")"),"N/A")</f>
        <v/>
      </c>
      <c r="BW1135" s="262">
        <f>IFERROR(_xll.FDS(MO.Ticker.FactSet,"P_PRICE_HIGH"&amp;"("&amp;INDEX(MO_SNA_FPStartDate,0,COLUMN())&amp;","&amp;INDEX(MO_Common_QEndDate,0,COLUMN())&amp;",,,,""PRICE"",""CLOSE"")"),"N/A")</f>
        <v/>
      </c>
      <c r="BX1135" s="262">
        <f>IFERROR(_xll.FDS(MO.Ticker.FactSet,"P_PRICE_HIGH"&amp;"("&amp;INDEX(MO_SNA_FPStartDate,0,COLUMN())&amp;","&amp;INDEX(MO_Common_QEndDate,0,COLUMN())&amp;",,,,""PRICE"",""CLOSE"")"),"N/A")</f>
        <v/>
      </c>
      <c r="BY1135" s="262">
        <f>IFERROR(_xll.FDS(MO.Ticker.FactSet,"P_PRICE_HIGH"&amp;"("&amp;INDEX(MO_SNA_FPStartDate,0,COLUMN())&amp;","&amp;INDEX(MO_Common_QEndDate,0,COLUMN())&amp;",,,,""PRICE"",""CLOSE"")"),"N/A")</f>
        <v/>
      </c>
      <c r="BZ1135" s="262">
        <f>IFERROR(_xll.FDS(MO.Ticker.FactSet,"P_PRICE_HIGH"&amp;"("&amp;INDEX(MO_SNA_FPStartDate,0,COLUMN())&amp;","&amp;INDEX(MO_Common_QEndDate,0,COLUMN())&amp;",,,,""PRICE"",""CLOSE"")"),"N/A")</f>
        <v/>
      </c>
      <c r="CA1135" s="262">
        <f>IFERROR(_xll.FDS(MO.Ticker.FactSet,"P_PRICE_HIGH"&amp;"("&amp;INDEX(MO_SNA_FPStartDate,0,COLUMN())&amp;","&amp;INDEX(MO_Common_QEndDate,0,COLUMN())&amp;",,,,""PRICE"",""CLOSE"")"),"N/A")</f>
        <v/>
      </c>
      <c r="CB1135" s="262">
        <f>IFERROR(_xll.FDS(MO.Ticker.FactSet,"P_PRICE_HIGH"&amp;"("&amp;INDEX(MO_SNA_FPStartDate,0,COLUMN())&amp;","&amp;INDEX(MO_Common_QEndDate,0,COLUMN())&amp;",,,,""PRICE"",""CLOSE"")"),"N/A")</f>
        <v/>
      </c>
      <c r="CC1135" s="262">
        <f>IFERROR(_xll.FDS(MO.Ticker.FactSet,"P_PRICE_HIGH"&amp;"("&amp;INDEX(MO_SNA_FPStartDate,0,COLUMN())&amp;","&amp;INDEX(MO_Common_QEndDate,0,COLUMN())&amp;",,,,""PRICE"",""CLOSE"")"),"N/A")</f>
        <v/>
      </c>
      <c r="CD1135" s="262">
        <f>IFERROR(_xll.FDS(MO.Ticker.FactSet,"P_PRICE_HIGH"&amp;"("&amp;INDEX(MO_SNA_FPStartDate,0,COLUMN())&amp;","&amp;INDEX(MO_Common_QEndDate,0,COLUMN())&amp;",,,,""PRICE"",""CLOSE"")"),"N/A")</f>
        <v/>
      </c>
      <c r="CE1135" s="262">
        <f>IFERROR(_xll.FDS(MO.Ticker.FactSet,"P_PRICE_HIGH"&amp;"("&amp;INDEX(MO_SNA_FPStartDate,0,COLUMN())&amp;","&amp;INDEX(MO_Common_QEndDate,0,COLUMN())&amp;",,,,""PRICE"",""CLOSE"")"),"N/A")</f>
        <v/>
      </c>
      <c r="CF1135" s="263">
        <f>IFERROR(_xll.FDS(MO.Ticker.FactSet,"P_PRICE_HIGH"&amp;"("&amp;INDEX(MO_SNA_FPStartDate,0,COLUMN())&amp;","&amp;INDEX(MO_Common_QEndDate,0,COLUMN())&amp;",,,,""PRICE"",""CLOSE"")"),"N/A")</f>
        <v/>
      </c>
      <c r="CG1135" s="155" t="n"/>
    </row>
    <row r="1136" hidden="1" outlineLevel="1">
      <c r="A1136" s="264" t="inlineStr">
        <is>
          <t>Refinitiv</t>
        </is>
      </c>
      <c r="B1136" s="262" t="n"/>
      <c r="C1136" s="1009">
        <f>IFERROR(_xll.TR(MO.Ticker.Thomson,"MAX(TR.Pricehigh)","sdate:#1 edate:#2",,INDEX(MO_SNA_FPStartDate,0,COLUMN()),INDEX(MO_Common_QEndDate,0,COLUMN())),"N/A")</f>
        <v/>
      </c>
      <c r="D1136" s="1009">
        <f>IFERROR(_xll.TR(MO.Ticker.Thomson,"MAX(TR.Pricehigh)","sdate:#1 edate:#2",,INDEX(MO_SNA_FPStartDate,0,COLUMN()),INDEX(MO_Common_QEndDate,0,COLUMN())),"N/A")</f>
        <v/>
      </c>
      <c r="E1136" s="1009">
        <f>IFERROR(_xll.TR(MO.Ticker.Thomson,"MAX(TR.Pricehigh)","sdate:#1 edate:#2",,INDEX(MO_SNA_FPStartDate,0,COLUMN()),INDEX(MO_Common_QEndDate,0,COLUMN())),"N/A")</f>
        <v/>
      </c>
      <c r="F1136" s="1009">
        <f>IFERROR(_xll.TR(MO.Ticker.Thomson,"MAX(TR.Pricehigh)","sdate:#1 edate:#2",,INDEX(MO_SNA_FPStartDate,0,COLUMN()),INDEX(MO_Common_QEndDate,0,COLUMN())),"N/A")</f>
        <v/>
      </c>
      <c r="G1136" s="1009">
        <f>IFERROR(_xll.TR(MO.Ticker.Thomson,"MAX(TR.Pricehigh)","sdate:#1 edate:#2",,INDEX(MO_SNA_FPStartDate,0,COLUMN()),INDEX(MO_Common_QEndDate,0,COLUMN())),"N/A")</f>
        <v/>
      </c>
      <c r="H1136" s="262">
        <f>IFERROR(_xll.TR(MO.Ticker.Thomson,"MAX(TR.Pricehigh)","sdate:#1 edate:#2",,INDEX(MO_SNA_FPStartDate,0,COLUMN()),INDEX(MO_Common_QEndDate,0,COLUMN())),"N/A")</f>
        <v/>
      </c>
      <c r="I1136" s="262">
        <f>IFERROR(_xll.TR(MO.Ticker.Thomson,"MAX(TR.Pricehigh)","sdate:#1 edate:#2",,INDEX(MO_SNA_FPStartDate,0,COLUMN()),INDEX(MO_Common_QEndDate,0,COLUMN())),"N/A")</f>
        <v/>
      </c>
      <c r="J1136" s="262">
        <f>IFERROR(_xll.TR(MO.Ticker.Thomson,"MAX(TR.Pricehigh)","sdate:#1 edate:#2",,INDEX(MO_SNA_FPStartDate,0,COLUMN()),INDEX(MO_Common_QEndDate,0,COLUMN())),"N/A")</f>
        <v/>
      </c>
      <c r="K1136" s="262">
        <f>IFERROR(_xll.TR(MO.Ticker.Thomson,"MAX(TR.Pricehigh)","sdate:#1 edate:#2",,INDEX(MO_SNA_FPStartDate,0,COLUMN()),INDEX(MO_Common_QEndDate,0,COLUMN())),"N/A")</f>
        <v/>
      </c>
      <c r="L1136" s="262">
        <f>IFERROR(_xll.TR(MO.Ticker.Thomson,"MAX(TR.Pricehigh)","sdate:#1 edate:#2",,INDEX(MO_SNA_FPStartDate,0,COLUMN()),INDEX(MO_Common_QEndDate,0,COLUMN())),"N/A")</f>
        <v/>
      </c>
      <c r="M1136" s="262">
        <f>IFERROR(_xll.TR(MO.Ticker.Thomson,"MAX(TR.Pricehigh)","sdate:#1 edate:#2",,INDEX(MO_SNA_FPStartDate,0,COLUMN()),INDEX(MO_Common_QEndDate,0,COLUMN())),"N/A")</f>
        <v/>
      </c>
      <c r="N1136" s="262">
        <f>IFERROR(_xll.TR(MO.Ticker.Thomson,"MAX(TR.Pricehigh)","sdate:#1 edate:#2",,INDEX(MO_SNA_FPStartDate,0,COLUMN()),INDEX(MO_Common_QEndDate,0,COLUMN())),"N/A")</f>
        <v/>
      </c>
      <c r="O1136" s="262">
        <f>IFERROR(_xll.TR(MO.Ticker.Thomson,"MAX(TR.Pricehigh)","sdate:#1 edate:#2",,INDEX(MO_SNA_FPStartDate,0,COLUMN()),INDEX(MO_Common_QEndDate,0,COLUMN())),"N/A")</f>
        <v/>
      </c>
      <c r="P1136" s="262">
        <f>IFERROR(_xll.TR(MO.Ticker.Thomson,"MAX(TR.Pricehigh)","sdate:#1 edate:#2",,INDEX(MO_SNA_FPStartDate,0,COLUMN()),INDEX(MO_Common_QEndDate,0,COLUMN())),"N/A")</f>
        <v/>
      </c>
      <c r="Q1136" s="262">
        <f>IFERROR(_xll.TR(MO.Ticker.Thomson,"MAX(TR.Pricehigh)","sdate:#1 edate:#2",,INDEX(MO_SNA_FPStartDate,0,COLUMN()),INDEX(MO_Common_QEndDate,0,COLUMN())),"N/A")</f>
        <v/>
      </c>
      <c r="R1136" s="262">
        <f>IFERROR(_xll.TR(MO.Ticker.Thomson,"MAX(TR.Pricehigh)","sdate:#1 edate:#2",,INDEX(MO_SNA_FPStartDate,0,COLUMN()),INDEX(MO_Common_QEndDate,0,COLUMN())),"N/A")</f>
        <v/>
      </c>
      <c r="S1136" s="262">
        <f>IFERROR(_xll.TR(MO.Ticker.Thomson,"MAX(TR.Pricehigh)","sdate:#1 edate:#2",,INDEX(MO_SNA_FPStartDate,0,COLUMN()),INDEX(MO_Common_QEndDate,0,COLUMN())),"N/A")</f>
        <v/>
      </c>
      <c r="T1136" s="262">
        <f>IFERROR(_xll.TR(MO.Ticker.Thomson,"MAX(TR.Pricehigh)","sdate:#1 edate:#2",,INDEX(MO_SNA_FPStartDate,0,COLUMN()),INDEX(MO_Common_QEndDate,0,COLUMN())),"N/A")</f>
        <v/>
      </c>
      <c r="U1136" s="262">
        <f>IFERROR(_xll.TR(MO.Ticker.Thomson,"MAX(TR.Pricehigh)","sdate:#1 edate:#2",,INDEX(MO_SNA_FPStartDate,0,COLUMN()),INDEX(MO_Common_QEndDate,0,COLUMN())),"N/A")</f>
        <v/>
      </c>
      <c r="V1136" s="262">
        <f>IFERROR(_xll.TR(MO.Ticker.Thomson,"MAX(TR.Pricehigh)","sdate:#1 edate:#2",,INDEX(MO_SNA_FPStartDate,0,COLUMN()),INDEX(MO_Common_QEndDate,0,COLUMN())),"N/A")</f>
        <v/>
      </c>
      <c r="W1136" s="262">
        <f>IFERROR(_xll.TR(MO.Ticker.Thomson,"MAX(TR.Pricehigh)","sdate:#1 edate:#2",,INDEX(MO_SNA_FPStartDate,0,COLUMN()),INDEX(MO_Common_QEndDate,0,COLUMN())),"N/A")</f>
        <v/>
      </c>
      <c r="X1136" s="262">
        <f>IFERROR(_xll.TR(MO.Ticker.Thomson,"MAX(TR.Pricehigh)","sdate:#1 edate:#2",,INDEX(MO_SNA_FPStartDate,0,COLUMN()),INDEX(MO_Common_QEndDate,0,COLUMN())),"N/A")</f>
        <v/>
      </c>
      <c r="Y1136" s="262">
        <f>IFERROR(_xll.TR(MO.Ticker.Thomson,"MAX(TR.Pricehigh)","sdate:#1 edate:#2",,INDEX(MO_SNA_FPStartDate,0,COLUMN()),INDEX(MO_Common_QEndDate,0,COLUMN())),"N/A")</f>
        <v/>
      </c>
      <c r="Z1136" s="262">
        <f>IFERROR(_xll.TR(MO.Ticker.Thomson,"MAX(TR.Pricehigh)","sdate:#1 edate:#2",,INDEX(MO_SNA_FPStartDate,0,COLUMN()),INDEX(MO_Common_QEndDate,0,COLUMN())),"N/A")</f>
        <v/>
      </c>
      <c r="AA1136" s="262">
        <f>IFERROR(_xll.TR(MO.Ticker.Thomson,"MAX(TR.Pricehigh)","sdate:#1 edate:#2",,INDEX(MO_SNA_FPStartDate,0,COLUMN()),INDEX(MO_Common_QEndDate,0,COLUMN())),"N/A")</f>
        <v/>
      </c>
      <c r="AB1136" s="262">
        <f>IFERROR(_xll.TR(MO.Ticker.Thomson,"MAX(TR.Pricehigh)","sdate:#1 edate:#2",,INDEX(MO_SNA_FPStartDate,0,COLUMN()),INDEX(MO_Common_QEndDate,0,COLUMN())),"N/A")</f>
        <v/>
      </c>
      <c r="AC1136" s="262">
        <f>IFERROR(_xll.TR(MO.Ticker.Thomson,"MAX(TR.Pricehigh)","sdate:#1 edate:#2",,INDEX(MO_SNA_FPStartDate,0,COLUMN()),INDEX(MO_Common_QEndDate,0,COLUMN())),"N/A")</f>
        <v/>
      </c>
      <c r="AD1136" s="262">
        <f>IFERROR(_xll.TR(MO.Ticker.Thomson,"MAX(TR.Pricehigh)","sdate:#1 edate:#2",,INDEX(MO_SNA_FPStartDate,0,COLUMN()),INDEX(MO_Common_QEndDate,0,COLUMN())),"N/A")</f>
        <v/>
      </c>
      <c r="AE1136" s="262">
        <f>IFERROR(_xll.TR(MO.Ticker.Thomson,"MAX(TR.Pricehigh)","sdate:#1 edate:#2",,INDEX(MO_SNA_FPStartDate,0,COLUMN()),INDEX(MO_Common_QEndDate,0,COLUMN())),"N/A")</f>
        <v/>
      </c>
      <c r="AF1136" s="262">
        <f>IFERROR(_xll.TR(MO.Ticker.Thomson,"MAX(TR.Pricehigh)","sdate:#1 edate:#2",,INDEX(MO_SNA_FPStartDate,0,COLUMN()),INDEX(MO_Common_QEndDate,0,COLUMN())),"N/A")</f>
        <v/>
      </c>
      <c r="AG1136" s="262">
        <f>IFERROR(_xll.TR(MO.Ticker.Thomson,"MAX(TR.Pricehigh)","sdate:#1 edate:#2",,INDEX(MO_SNA_FPStartDate,0,COLUMN()),INDEX(MO_Common_QEndDate,0,COLUMN())),"N/A")</f>
        <v/>
      </c>
      <c r="AH1136" s="262">
        <f>IFERROR(_xll.TR(MO.Ticker.Thomson,"MAX(TR.Pricehigh)","sdate:#1 edate:#2",,INDEX(MO_SNA_FPStartDate,0,COLUMN()),INDEX(MO_Common_QEndDate,0,COLUMN())),"N/A")</f>
        <v/>
      </c>
      <c r="AI1136" s="262">
        <f>IFERROR(_xll.TR(MO.Ticker.Thomson,"MAX(TR.Pricehigh)","sdate:#1 edate:#2",,INDEX(MO_SNA_FPStartDate,0,COLUMN()),INDEX(MO_Common_QEndDate,0,COLUMN())),"N/A")</f>
        <v/>
      </c>
      <c r="AJ1136" s="262">
        <f>IFERROR(_xll.TR(MO.Ticker.Thomson,"MAX(TR.Pricehigh)","sdate:#1 edate:#2",,INDEX(MO_SNA_FPStartDate,0,COLUMN()),INDEX(MO_Common_QEndDate,0,COLUMN())),"N/A")</f>
        <v/>
      </c>
      <c r="AK1136" s="262">
        <f>IFERROR(_xll.TR(MO.Ticker.Thomson,"MAX(TR.Pricehigh)","sdate:#1 edate:#2",,INDEX(MO_SNA_FPStartDate,0,COLUMN()),INDEX(MO_Common_QEndDate,0,COLUMN())),"N/A")</f>
        <v/>
      </c>
      <c r="AL1136" s="262">
        <f>IFERROR(_xll.TR(MO.Ticker.Thomson,"MAX(TR.Pricehigh)","sdate:#1 edate:#2",,INDEX(MO_SNA_FPStartDate,0,COLUMN()),INDEX(MO_Common_QEndDate,0,COLUMN())),"N/A")</f>
        <v/>
      </c>
      <c r="AM1136" s="262">
        <f>IFERROR(_xll.TR(MO.Ticker.Thomson,"MAX(TR.Pricehigh)","sdate:#1 edate:#2",,INDEX(MO_SNA_FPStartDate,0,COLUMN()),INDEX(MO_Common_QEndDate,0,COLUMN())),"N/A")</f>
        <v/>
      </c>
      <c r="AN1136" s="262">
        <f>IFERROR(_xll.TR(MO.Ticker.Thomson,"MAX(TR.Pricehigh)","sdate:#1 edate:#2",,INDEX(MO_SNA_FPStartDate,0,COLUMN()),INDEX(MO_Common_QEndDate,0,COLUMN())),"N/A")</f>
        <v/>
      </c>
      <c r="AO1136" s="262">
        <f>IFERROR(_xll.TR(MO.Ticker.Thomson,"MAX(TR.Pricehigh)","sdate:#1 edate:#2",,INDEX(MO_SNA_FPStartDate,0,COLUMN()),INDEX(MO_Common_QEndDate,0,COLUMN())),"N/A")</f>
        <v/>
      </c>
      <c r="AP1136" s="262">
        <f>IFERROR(_xll.TR(MO.Ticker.Thomson,"MAX(TR.Pricehigh)","sdate:#1 edate:#2",,INDEX(MO_SNA_FPStartDate,0,COLUMN()),INDEX(MO_Common_QEndDate,0,COLUMN())),"N/A")</f>
        <v/>
      </c>
      <c r="AQ1136" s="262">
        <f>IFERROR(_xll.TR(MO.Ticker.Thomson,"MAX(TR.Pricehigh)","sdate:#1 edate:#2",,INDEX(MO_SNA_FPStartDate,0,COLUMN()),INDEX(MO_Common_QEndDate,0,COLUMN())),"N/A")</f>
        <v/>
      </c>
      <c r="AR1136" s="262">
        <f>IFERROR(_xll.TR(MO.Ticker.Thomson,"MAX(TR.Pricehigh)","sdate:#1 edate:#2",,INDEX(MO_SNA_FPStartDate,0,COLUMN()),INDEX(MO_Common_QEndDate,0,COLUMN())),"N/A")</f>
        <v/>
      </c>
      <c r="AS1136" s="262">
        <f>IFERROR(_xll.TR(MO.Ticker.Thomson,"MAX(TR.Pricehigh)","sdate:#1 edate:#2",,INDEX(MO_SNA_FPStartDate,0,COLUMN()),INDEX(MO_Common_QEndDate,0,COLUMN())),"N/A")</f>
        <v/>
      </c>
      <c r="AT1136" s="262">
        <f>IFERROR(_xll.TR(MO.Ticker.Thomson,"MAX(TR.Pricehigh)","sdate:#1 edate:#2",,INDEX(MO_SNA_FPStartDate,0,COLUMN()),INDEX(MO_Common_QEndDate,0,COLUMN())),"N/A")</f>
        <v/>
      </c>
      <c r="AU1136" s="262">
        <f>IFERROR(_xll.TR(MO.Ticker.Thomson,"MAX(TR.Pricehigh)","sdate:#1 edate:#2",,INDEX(MO_SNA_FPStartDate,0,COLUMN()),INDEX(MO_Common_QEndDate,0,COLUMN())),"N/A")</f>
        <v/>
      </c>
      <c r="AV1136" s="262">
        <f>IFERROR(_xll.TR(MO.Ticker.Thomson,"MAX(TR.Pricehigh)","sdate:#1 edate:#2",,INDEX(MO_SNA_FPStartDate,0,COLUMN()),INDEX(MO_Common_QEndDate,0,COLUMN())),"N/A")</f>
        <v/>
      </c>
      <c r="AW1136" s="262">
        <f>IFERROR(_xll.TR(MO.Ticker.Thomson,"MAX(TR.Pricehigh)","sdate:#1 edate:#2",,INDEX(MO_SNA_FPStartDate,0,COLUMN()),INDEX(MO_Common_QEndDate,0,COLUMN())),"N/A")</f>
        <v/>
      </c>
      <c r="AX1136" s="262">
        <f>IFERROR(_xll.TR(MO.Ticker.Thomson,"MAX(TR.Pricehigh)","sdate:#1 edate:#2",,INDEX(MO_SNA_FPStartDate,0,COLUMN()),INDEX(MO_Common_QEndDate,0,COLUMN())),"N/A")</f>
        <v/>
      </c>
      <c r="AY1136" s="262">
        <f>IFERROR(_xll.TR(MO.Ticker.Thomson,"MAX(TR.Pricehigh)","sdate:#1 edate:#2",,INDEX(MO_SNA_FPStartDate,0,COLUMN()),INDEX(MO_Common_QEndDate,0,COLUMN())),"N/A")</f>
        <v/>
      </c>
      <c r="AZ1136" s="262">
        <f>IFERROR(_xll.TR(MO.Ticker.Thomson,"MAX(TR.Pricehigh)","sdate:#1 edate:#2",,INDEX(MO_SNA_FPStartDate,0,COLUMN()),INDEX(MO_Common_QEndDate,0,COLUMN())),"N/A")</f>
        <v/>
      </c>
      <c r="BA1136" s="262">
        <f>IFERROR(_xll.TR(MO.Ticker.Thomson,"MAX(TR.Pricehigh)","sdate:#1 edate:#2",,INDEX(MO_SNA_FPStartDate,0,COLUMN()),INDEX(MO_Common_QEndDate,0,COLUMN())),"N/A")</f>
        <v/>
      </c>
      <c r="BB1136" s="262">
        <f>IFERROR(_xll.TR(MO.Ticker.Thomson,"MAX(TR.Pricehigh)","sdate:#1 edate:#2",,INDEX(MO_SNA_FPStartDate,0,COLUMN()),INDEX(MO_Common_QEndDate,0,COLUMN())),"N/A")</f>
        <v/>
      </c>
      <c r="BC1136" s="262">
        <f>IFERROR(_xll.TR(MO.Ticker.Thomson,"MAX(TR.Pricehigh)","sdate:#1 edate:#2",,INDEX(MO_SNA_FPStartDate,0,COLUMN()),INDEX(MO_Common_QEndDate,0,COLUMN())),"N/A")</f>
        <v/>
      </c>
      <c r="BD1136" s="262">
        <f>IFERROR(_xll.TR(MO.Ticker.Thomson,"MAX(TR.Pricehigh)","sdate:#1 edate:#2",,INDEX(MO_SNA_FPStartDate,0,COLUMN()),INDEX(MO_Common_QEndDate,0,COLUMN())),"N/A")</f>
        <v/>
      </c>
      <c r="BE1136" s="262">
        <f>IFERROR(_xll.TR(MO.Ticker.Thomson,"MAX(TR.Pricehigh)","sdate:#1 edate:#2",,INDEX(MO_SNA_FPStartDate,0,COLUMN()),INDEX(MO_Common_QEndDate,0,COLUMN())),"N/A")</f>
        <v/>
      </c>
      <c r="BF1136" s="262">
        <f>IFERROR(_xll.TR(MO.Ticker.Thomson,"MAX(TR.Pricehigh)","sdate:#1 edate:#2",,INDEX(MO_SNA_FPStartDate,0,COLUMN()),INDEX(MO_Common_QEndDate,0,COLUMN())),"N/A")</f>
        <v/>
      </c>
      <c r="BG1136" s="262">
        <f>IFERROR(_xll.TR(MO.Ticker.Thomson,"MAX(TR.Pricehigh)","sdate:#1 edate:#2",,INDEX(MO_SNA_FPStartDate,0,COLUMN()),INDEX(MO_Common_QEndDate,0,COLUMN())),"N/A")</f>
        <v/>
      </c>
      <c r="BH1136" s="262">
        <f>IFERROR(_xll.TR(MO.Ticker.Thomson,"MAX(TR.Pricehigh)","sdate:#1 edate:#2",,INDEX(MO_SNA_FPStartDate,0,COLUMN()),INDEX(MO_Common_QEndDate,0,COLUMN())),"N/A")</f>
        <v/>
      </c>
      <c r="BI1136" s="262">
        <f>IFERROR(_xll.TR(MO.Ticker.Thomson,"MAX(TR.Pricehigh)","sdate:#1 edate:#2",,INDEX(MO_SNA_FPStartDate,0,COLUMN()),INDEX(MO_Common_QEndDate,0,COLUMN())),"N/A")</f>
        <v/>
      </c>
      <c r="BJ1136" s="262">
        <f>IFERROR(_xll.TR(MO.Ticker.Thomson,"MAX(TR.Pricehigh)","sdate:#1 edate:#2",,INDEX(MO_SNA_FPStartDate,0,COLUMN()),INDEX(MO_Common_QEndDate,0,COLUMN())),"N/A")</f>
        <v/>
      </c>
      <c r="BK1136" s="262">
        <f>IFERROR(_xll.TR(MO.Ticker.Thomson,"MAX(TR.Pricehigh)","sdate:#1 edate:#2",,INDEX(MO_SNA_FPStartDate,0,COLUMN()),INDEX(MO_Common_QEndDate,0,COLUMN())),"N/A")</f>
        <v/>
      </c>
      <c r="BL1136" s="262">
        <f>IFERROR(_xll.TR(MO.Ticker.Thomson,"MAX(TR.Pricehigh)","sdate:#1 edate:#2",,INDEX(MO_SNA_FPStartDate,0,COLUMN()),INDEX(MO_Common_QEndDate,0,COLUMN())),"N/A")</f>
        <v/>
      </c>
      <c r="BM1136" s="262">
        <f>IFERROR(_xll.TR(MO.Ticker.Thomson,"MAX(TR.Pricehigh)","sdate:#1 edate:#2",,INDEX(MO_SNA_FPStartDate,0,COLUMN()),INDEX(MO_Common_QEndDate,0,COLUMN())),"N/A")</f>
        <v/>
      </c>
      <c r="BN1136" s="262">
        <f>IFERROR(_xll.TR(MO.Ticker.Thomson,"MAX(TR.Pricehigh)","sdate:#1 edate:#2",,INDEX(MO_SNA_FPStartDate,0,COLUMN()),INDEX(MO_Common_QEndDate,0,COLUMN())),"N/A")</f>
        <v/>
      </c>
      <c r="BO1136" s="262">
        <f>IFERROR(_xll.TR(MO.Ticker.Thomson,"MAX(TR.Pricehigh)","sdate:#1 edate:#2",,INDEX(MO_SNA_FPStartDate,0,COLUMN()),INDEX(MO_Common_QEndDate,0,COLUMN())),"N/A")</f>
        <v/>
      </c>
      <c r="BP1136" s="262">
        <f>IFERROR(_xll.TR(MO.Ticker.Thomson,"MAX(TR.Pricehigh)","sdate:#1 edate:#2",,INDEX(MO_SNA_FPStartDate,0,COLUMN()),INDEX(MO_Common_QEndDate,0,COLUMN())),"N/A")</f>
        <v/>
      </c>
      <c r="BQ1136" s="262">
        <f>IFERROR(_xll.TR(MO.Ticker.Thomson,"MAX(TR.Pricehigh)","sdate:#1 edate:#2",,INDEX(MO_SNA_FPStartDate,0,COLUMN()),INDEX(MO_Common_QEndDate,0,COLUMN())),"N/A")</f>
        <v/>
      </c>
      <c r="BR1136" s="262">
        <f>IFERROR(_xll.TR(MO.Ticker.Thomson,"MAX(TR.Pricehigh)","sdate:#1 edate:#2",,INDEX(MO_SNA_FPStartDate,0,COLUMN()),INDEX(MO_Common_QEndDate,0,COLUMN())),"N/A")</f>
        <v/>
      </c>
      <c r="BS1136" s="262">
        <f>IFERROR(_xll.TR(MO.Ticker.Thomson,"MAX(TR.Pricehigh)","sdate:#1 edate:#2",,INDEX(MO_SNA_FPStartDate,0,COLUMN()),INDEX(MO_Common_QEndDate,0,COLUMN())),"N/A")</f>
        <v/>
      </c>
      <c r="BT1136" s="262">
        <f>IFERROR(_xll.TR(MO.Ticker.Thomson,"MAX(TR.Pricehigh)","sdate:#1 edate:#2",,INDEX(MO_SNA_FPStartDate,0,COLUMN()),INDEX(MO_Common_QEndDate,0,COLUMN())),"N/A")</f>
        <v/>
      </c>
      <c r="BU1136" s="262">
        <f>IFERROR(_xll.TR(MO.Ticker.Thomson,"MAX(TR.Pricehigh)","sdate:#1 edate:#2",,INDEX(MO_SNA_FPStartDate,0,COLUMN()),INDEX(MO_Common_QEndDate,0,COLUMN())),"N/A")</f>
        <v/>
      </c>
      <c r="BV1136" s="531">
        <f>IFERROR(_xll.TR(MO.Ticker.Thomson,"MAX(TR.Pricehigh)","sdate:#1 edate:#2",,INDEX(MO_SNA_FPStartDate,0,COLUMN()),INDEX(MO_Common_QEndDate,0,COLUMN())),"N/A")</f>
        <v/>
      </c>
      <c r="BW1136" s="262">
        <f>IFERROR(_xll.TR(MO.Ticker.Thomson,"MAX(TR.Pricehigh)","sdate:#1 edate:#2",,INDEX(MO_SNA_FPStartDate,0,COLUMN()),INDEX(MO_Common_QEndDate,0,COLUMN())),"N/A")</f>
        <v/>
      </c>
      <c r="BX1136" s="262">
        <f>IFERROR(_xll.TR(MO.Ticker.Thomson,"MAX(TR.Pricehigh)","sdate:#1 edate:#2",,INDEX(MO_SNA_FPStartDate,0,COLUMN()),INDEX(MO_Common_QEndDate,0,COLUMN())),"N/A")</f>
        <v/>
      </c>
      <c r="BY1136" s="262">
        <f>IFERROR(_xll.TR(MO.Ticker.Thomson,"MAX(TR.Pricehigh)","sdate:#1 edate:#2",,INDEX(MO_SNA_FPStartDate,0,COLUMN()),INDEX(MO_Common_QEndDate,0,COLUMN())),"N/A")</f>
        <v/>
      </c>
      <c r="BZ1136" s="262">
        <f>IFERROR(_xll.TR(MO.Ticker.Thomson,"MAX(TR.Pricehigh)","sdate:#1 edate:#2",,INDEX(MO_SNA_FPStartDate,0,COLUMN()),INDEX(MO_Common_QEndDate,0,COLUMN())),"N/A")</f>
        <v/>
      </c>
      <c r="CA1136" s="262">
        <f>IFERROR(_xll.TR(MO.Ticker.Thomson,"MAX(TR.Pricehigh)","sdate:#1 edate:#2",,INDEX(MO_SNA_FPStartDate,0,COLUMN()),INDEX(MO_Common_QEndDate,0,COLUMN())),"N/A")</f>
        <v/>
      </c>
      <c r="CB1136" s="262">
        <f>IFERROR(_xll.TR(MO.Ticker.Thomson,"MAX(TR.Pricehigh)","sdate:#1 edate:#2",,INDEX(MO_SNA_FPStartDate,0,COLUMN()),INDEX(MO_Common_QEndDate,0,COLUMN())),"N/A")</f>
        <v/>
      </c>
      <c r="CC1136" s="262">
        <f>IFERROR(_xll.TR(MO.Ticker.Thomson,"MAX(TR.Pricehigh)","sdate:#1 edate:#2",,INDEX(MO_SNA_FPStartDate,0,COLUMN()),INDEX(MO_Common_QEndDate,0,COLUMN())),"N/A")</f>
        <v/>
      </c>
      <c r="CD1136" s="262">
        <f>IFERROR(_xll.TR(MO.Ticker.Thomson,"MAX(TR.Pricehigh)","sdate:#1 edate:#2",,INDEX(MO_SNA_FPStartDate,0,COLUMN()),INDEX(MO_Common_QEndDate,0,COLUMN())),"N/A")</f>
        <v/>
      </c>
      <c r="CE1136" s="262">
        <f>IFERROR(_xll.TR(MO.Ticker.Thomson,"MAX(TR.Pricehigh)","sdate:#1 edate:#2",,INDEX(MO_SNA_FPStartDate,0,COLUMN()),INDEX(MO_Common_QEndDate,0,COLUMN())),"N/A")</f>
        <v/>
      </c>
      <c r="CF1136" s="263">
        <f>IFERROR(_xll.TR(MO.Ticker.Thomson,"MAX(TR.Pricehigh)","sdate:#1 edate:#2",,INDEX(MO_SNA_FPStartDate,0,COLUMN()),INDEX(MO_Common_QEndDate,0,COLUMN())),"N/A")</f>
        <v/>
      </c>
      <c r="CG1136" s="155" t="n"/>
    </row>
    <row r="1137" hidden="1" outlineLevel="1">
      <c r="A1137" s="166" t="n"/>
      <c r="B1137" s="93" t="n"/>
      <c r="C1137" s="989" t="n"/>
      <c r="D1137" s="989" t="n"/>
      <c r="E1137" s="989" t="n"/>
      <c r="F1137" s="989" t="n"/>
      <c r="G1137" s="989" t="n"/>
      <c r="H1137" s="93" t="n"/>
      <c r="I1137" s="93" t="n"/>
      <c r="J1137" s="93" t="n"/>
      <c r="K1137" s="93" t="n"/>
      <c r="L1137" s="93" t="n"/>
      <c r="M1137" s="93" t="n"/>
      <c r="N1137" s="93" t="n"/>
      <c r="O1137" s="93" t="n"/>
      <c r="P1137" s="93" t="n"/>
      <c r="Q1137" s="93" t="n"/>
      <c r="R1137" s="93" t="n"/>
      <c r="S1137" s="93" t="n"/>
      <c r="T1137" s="93" t="n"/>
      <c r="U1137" s="93" t="n"/>
      <c r="V1137" s="93" t="n"/>
      <c r="W1137" s="93" t="n"/>
      <c r="X1137" s="93" t="n"/>
      <c r="Y1137" s="93" t="n"/>
      <c r="Z1137" s="93" t="n"/>
      <c r="AA1137" s="93" t="n"/>
      <c r="AB1137" s="93" t="n"/>
      <c r="AC1137" s="93" t="n"/>
      <c r="AD1137" s="93" t="n"/>
      <c r="AE1137" s="93" t="n"/>
      <c r="AF1137" s="93" t="n"/>
      <c r="AG1137" s="93" t="n"/>
      <c r="AH1137" s="93" t="n"/>
      <c r="AI1137" s="93" t="n"/>
      <c r="AJ1137" s="93" t="n"/>
      <c r="AK1137" s="93" t="n"/>
      <c r="AL1137" s="93" t="n"/>
      <c r="AM1137" s="93" t="n"/>
      <c r="AN1137" s="93" t="n"/>
      <c r="AO1137" s="93" t="n"/>
      <c r="AP1137" s="93" t="n"/>
      <c r="AQ1137" s="93" t="n"/>
      <c r="AR1137" s="93" t="n"/>
      <c r="AS1137" s="93" t="n"/>
      <c r="AT1137" s="93" t="n"/>
      <c r="AU1137" s="93" t="n"/>
      <c r="AV1137" s="93" t="n"/>
      <c r="AW1137" s="93" t="n"/>
      <c r="AX1137" s="93" t="n"/>
      <c r="AY1137" s="93" t="n"/>
      <c r="AZ1137" s="93" t="n"/>
      <c r="BA1137" s="93" t="n"/>
      <c r="BB1137" s="93" t="n"/>
      <c r="BC1137" s="93" t="n"/>
      <c r="BD1137" s="93" t="n"/>
      <c r="BE1137" s="93" t="n"/>
      <c r="BF1137" s="93" t="n"/>
      <c r="BG1137" s="93" t="n"/>
      <c r="BH1137" s="93" t="n"/>
      <c r="BI1137" s="93" t="n"/>
      <c r="BJ1137" s="93" t="n"/>
      <c r="BK1137" s="93" t="n"/>
      <c r="BL1137" s="93" t="n"/>
      <c r="BM1137" s="93" t="n"/>
      <c r="BN1137" s="93" t="n"/>
      <c r="BO1137" s="93" t="n"/>
      <c r="BP1137" s="93" t="n"/>
      <c r="BQ1137" s="93" t="n"/>
      <c r="BR1137" s="93" t="n"/>
      <c r="BS1137" s="93" t="n"/>
      <c r="BT1137" s="93" t="n"/>
      <c r="BU1137" s="93" t="n"/>
      <c r="BV1137" s="522" t="n"/>
      <c r="BW1137" s="93" t="n"/>
      <c r="BX1137" s="93" t="n"/>
      <c r="BY1137" s="93" t="n"/>
      <c r="BZ1137" s="93" t="n"/>
      <c r="CA1137" s="93" t="n"/>
      <c r="CB1137" s="93" t="n"/>
      <c r="CC1137" s="93" t="n"/>
      <c r="CD1137" s="93" t="n"/>
      <c r="CE1137" s="93" t="n"/>
      <c r="CF1137" s="162" t="n"/>
      <c r="CG1137" s="155" t="n"/>
    </row>
    <row r="1138" collapsed="1">
      <c r="A1138" s="261">
        <f>"Stock Low: "&amp;IF(OR(MO.RealTimeStockPriceToggle=FALSE,VLOOKUP(MO.DataSourceName,MO_SPT_StockLow_Sources,COLUMN()+2,FALSE)="N/A"),"Real-Time Off Source",MO.DataSourceName)</f>
        <v/>
      </c>
      <c r="B1138" s="262" t="n"/>
      <c r="C1138" s="1009">
        <f>IF(OR(MO.RealTimeStockPriceToggle=FALSE,VLOOKUP(MO.DataSourceName,MO_SPT_StockLow_Sources,COLUMN(),FALSE)="N/A"),VLOOKUP("Real-Time Off Source",MO_SPT_StockLow_Sources,COLUMN(),FALSE),VLOOKUP(MO.DataSourceName,MO_SPT_StockLow_Sources,COLUMN(),FALSE))</f>
        <v/>
      </c>
      <c r="D1138" s="1009">
        <f>IF(OR(MO.RealTimeStockPriceToggle=FALSE,VLOOKUP(MO.DataSourceName,MO_SPT_StockLow_Sources,COLUMN(),FALSE)="N/A"),VLOOKUP("Real-Time Off Source",MO_SPT_StockLow_Sources,COLUMN(),FALSE),VLOOKUP(MO.DataSourceName,MO_SPT_StockLow_Sources,COLUMN(),FALSE))</f>
        <v/>
      </c>
      <c r="E1138" s="1009">
        <f>IF(OR(MO.RealTimeStockPriceToggle=FALSE,VLOOKUP(MO.DataSourceName,MO_SPT_StockLow_Sources,COLUMN(),FALSE)="N/A"),VLOOKUP("Real-Time Off Source",MO_SPT_StockLow_Sources,COLUMN(),FALSE),VLOOKUP(MO.DataSourceName,MO_SPT_StockLow_Sources,COLUMN(),FALSE))</f>
        <v/>
      </c>
      <c r="F1138" s="1009">
        <f>IF(OR(MO.RealTimeStockPriceToggle=FALSE,VLOOKUP(MO.DataSourceName,MO_SPT_StockLow_Sources,COLUMN(),FALSE)="N/A"),VLOOKUP("Real-Time Off Source",MO_SPT_StockLow_Sources,COLUMN(),FALSE),VLOOKUP(MO.DataSourceName,MO_SPT_StockLow_Sources,COLUMN(),FALSE))</f>
        <v/>
      </c>
      <c r="G1138" s="1009">
        <f>IF(OR(MO.RealTimeStockPriceToggle=FALSE,VLOOKUP(MO.DataSourceName,MO_SPT_StockLow_Sources,COLUMN(),FALSE)="N/A"),VLOOKUP("Real-Time Off Source",MO_SPT_StockLow_Sources,COLUMN(),FALSE),VLOOKUP(MO.DataSourceName,MO_SPT_StockLow_Sources,COLUMN(),FALSE))</f>
        <v/>
      </c>
      <c r="H1138" s="262">
        <f>IF(OR(MO.RealTimeStockPriceToggle=FALSE,VLOOKUP(MO.DataSourceName,MO_SPT_StockLow_Sources,COLUMN(),FALSE)="N/A"),VLOOKUP("Real-Time Off Source",MO_SPT_StockLow_Sources,COLUMN(),FALSE),VLOOKUP(MO.DataSourceName,MO_SPT_StockLow_Sources,COLUMN(),FALSE))</f>
        <v/>
      </c>
      <c r="I1138" s="262">
        <f>IF(OR(MO.RealTimeStockPriceToggle=FALSE,VLOOKUP(MO.DataSourceName,MO_SPT_StockLow_Sources,COLUMN(),FALSE)="N/A"),VLOOKUP("Real-Time Off Source",MO_SPT_StockLow_Sources,COLUMN(),FALSE),VLOOKUP(MO.DataSourceName,MO_SPT_StockLow_Sources,COLUMN(),FALSE))</f>
        <v/>
      </c>
      <c r="J1138" s="262">
        <f>IF(OR(MO.RealTimeStockPriceToggle=FALSE,VLOOKUP(MO.DataSourceName,MO_SPT_StockLow_Sources,COLUMN(),FALSE)="N/A"),VLOOKUP("Real-Time Off Source",MO_SPT_StockLow_Sources,COLUMN(),FALSE),VLOOKUP(MO.DataSourceName,MO_SPT_StockLow_Sources,COLUMN(),FALSE))</f>
        <v/>
      </c>
      <c r="K1138" s="262">
        <f>IF(OR(MO.RealTimeStockPriceToggle=FALSE,VLOOKUP(MO.DataSourceName,MO_SPT_StockLow_Sources,COLUMN(),FALSE)="N/A"),VLOOKUP("Real-Time Off Source",MO_SPT_StockLow_Sources,COLUMN(),FALSE),VLOOKUP(MO.DataSourceName,MO_SPT_StockLow_Sources,COLUMN(),FALSE))</f>
        <v/>
      </c>
      <c r="L1138" s="262">
        <f>IF(OR(MO.RealTimeStockPriceToggle=FALSE,VLOOKUP(MO.DataSourceName,MO_SPT_StockLow_Sources,COLUMN(),FALSE)="N/A"),VLOOKUP("Real-Time Off Source",MO_SPT_StockLow_Sources,COLUMN(),FALSE),VLOOKUP(MO.DataSourceName,MO_SPT_StockLow_Sources,COLUMN(),FALSE))</f>
        <v/>
      </c>
      <c r="M1138" s="262">
        <f>IF(OR(MO.RealTimeStockPriceToggle=FALSE,VLOOKUP(MO.DataSourceName,MO_SPT_StockLow_Sources,COLUMN(),FALSE)="N/A"),VLOOKUP("Real-Time Off Source",MO_SPT_StockLow_Sources,COLUMN(),FALSE),VLOOKUP(MO.DataSourceName,MO_SPT_StockLow_Sources,COLUMN(),FALSE))</f>
        <v/>
      </c>
      <c r="N1138" s="262">
        <f>IF(OR(MO.RealTimeStockPriceToggle=FALSE,VLOOKUP(MO.DataSourceName,MO_SPT_StockLow_Sources,COLUMN(),FALSE)="N/A"),VLOOKUP("Real-Time Off Source",MO_SPT_StockLow_Sources,COLUMN(),FALSE),VLOOKUP(MO.DataSourceName,MO_SPT_StockLow_Sources,COLUMN(),FALSE))</f>
        <v/>
      </c>
      <c r="O1138" s="262">
        <f>IF(OR(MO.RealTimeStockPriceToggle=FALSE,VLOOKUP(MO.DataSourceName,MO_SPT_StockLow_Sources,COLUMN(),FALSE)="N/A"),VLOOKUP("Real-Time Off Source",MO_SPT_StockLow_Sources,COLUMN(),FALSE),VLOOKUP(MO.DataSourceName,MO_SPT_StockLow_Sources,COLUMN(),FALSE))</f>
        <v/>
      </c>
      <c r="P1138" s="262">
        <f>IF(OR(MO.RealTimeStockPriceToggle=FALSE,VLOOKUP(MO.DataSourceName,MO_SPT_StockLow_Sources,COLUMN(),FALSE)="N/A"),VLOOKUP("Real-Time Off Source",MO_SPT_StockLow_Sources,COLUMN(),FALSE),VLOOKUP(MO.DataSourceName,MO_SPT_StockLow_Sources,COLUMN(),FALSE))</f>
        <v/>
      </c>
      <c r="Q1138" s="262">
        <f>IF(OR(MO.RealTimeStockPriceToggle=FALSE,VLOOKUP(MO.DataSourceName,MO_SPT_StockLow_Sources,COLUMN(),FALSE)="N/A"),VLOOKUP("Real-Time Off Source",MO_SPT_StockLow_Sources,COLUMN(),FALSE),VLOOKUP(MO.DataSourceName,MO_SPT_StockLow_Sources,COLUMN(),FALSE))</f>
        <v/>
      </c>
      <c r="R1138" s="262">
        <f>IF(OR(MO.RealTimeStockPriceToggle=FALSE,VLOOKUP(MO.DataSourceName,MO_SPT_StockLow_Sources,COLUMN(),FALSE)="N/A"),VLOOKUP("Real-Time Off Source",MO_SPT_StockLow_Sources,COLUMN(),FALSE),VLOOKUP(MO.DataSourceName,MO_SPT_StockLow_Sources,COLUMN(),FALSE))</f>
        <v/>
      </c>
      <c r="S1138" s="262">
        <f>IF(OR(MO.RealTimeStockPriceToggle=FALSE,VLOOKUP(MO.DataSourceName,MO_SPT_StockLow_Sources,COLUMN(),FALSE)="N/A"),VLOOKUP("Real-Time Off Source",MO_SPT_StockLow_Sources,COLUMN(),FALSE),VLOOKUP(MO.DataSourceName,MO_SPT_StockLow_Sources,COLUMN(),FALSE))</f>
        <v/>
      </c>
      <c r="T1138" s="262">
        <f>IF(OR(MO.RealTimeStockPriceToggle=FALSE,VLOOKUP(MO.DataSourceName,MO_SPT_StockLow_Sources,COLUMN(),FALSE)="N/A"),VLOOKUP("Real-Time Off Source",MO_SPT_StockLow_Sources,COLUMN(),FALSE),VLOOKUP(MO.DataSourceName,MO_SPT_StockLow_Sources,COLUMN(),FALSE))</f>
        <v/>
      </c>
      <c r="U1138" s="262">
        <f>IF(OR(MO.RealTimeStockPriceToggle=FALSE,VLOOKUP(MO.DataSourceName,MO_SPT_StockLow_Sources,COLUMN(),FALSE)="N/A"),VLOOKUP("Real-Time Off Source",MO_SPT_StockLow_Sources,COLUMN(),FALSE),VLOOKUP(MO.DataSourceName,MO_SPT_StockLow_Sources,COLUMN(),FALSE))</f>
        <v/>
      </c>
      <c r="V1138" s="262">
        <f>IF(OR(MO.RealTimeStockPriceToggle=FALSE,VLOOKUP(MO.DataSourceName,MO_SPT_StockLow_Sources,COLUMN(),FALSE)="N/A"),VLOOKUP("Real-Time Off Source",MO_SPT_StockLow_Sources,COLUMN(),FALSE),VLOOKUP(MO.DataSourceName,MO_SPT_StockLow_Sources,COLUMN(),FALSE))</f>
        <v/>
      </c>
      <c r="W1138" s="262">
        <f>IF(OR(MO.RealTimeStockPriceToggle=FALSE,VLOOKUP(MO.DataSourceName,MO_SPT_StockLow_Sources,COLUMN(),FALSE)="N/A"),VLOOKUP("Real-Time Off Source",MO_SPT_StockLow_Sources,COLUMN(),FALSE),VLOOKUP(MO.DataSourceName,MO_SPT_StockLow_Sources,COLUMN(),FALSE))</f>
        <v/>
      </c>
      <c r="X1138" s="262">
        <f>IF(OR(MO.RealTimeStockPriceToggle=FALSE,VLOOKUP(MO.DataSourceName,MO_SPT_StockLow_Sources,COLUMN(),FALSE)="N/A"),VLOOKUP("Real-Time Off Source",MO_SPT_StockLow_Sources,COLUMN(),FALSE),VLOOKUP(MO.DataSourceName,MO_SPT_StockLow_Sources,COLUMN(),FALSE))</f>
        <v/>
      </c>
      <c r="Y1138" s="262">
        <f>IF(OR(MO.RealTimeStockPriceToggle=FALSE,VLOOKUP(MO.DataSourceName,MO_SPT_StockLow_Sources,COLUMN(),FALSE)="N/A"),VLOOKUP("Real-Time Off Source",MO_SPT_StockLow_Sources,COLUMN(),FALSE),VLOOKUP(MO.DataSourceName,MO_SPT_StockLow_Sources,COLUMN(),FALSE))</f>
        <v/>
      </c>
      <c r="Z1138" s="262">
        <f>IF(OR(MO.RealTimeStockPriceToggle=FALSE,VLOOKUP(MO.DataSourceName,MO_SPT_StockLow_Sources,COLUMN(),FALSE)="N/A"),VLOOKUP("Real-Time Off Source",MO_SPT_StockLow_Sources,COLUMN(),FALSE),VLOOKUP(MO.DataSourceName,MO_SPT_StockLow_Sources,COLUMN(),FALSE))</f>
        <v/>
      </c>
      <c r="AA1138" s="262">
        <f>IF(OR(MO.RealTimeStockPriceToggle=FALSE,VLOOKUP(MO.DataSourceName,MO_SPT_StockLow_Sources,COLUMN(),FALSE)="N/A"),VLOOKUP("Real-Time Off Source",MO_SPT_StockLow_Sources,COLUMN(),FALSE),VLOOKUP(MO.DataSourceName,MO_SPT_StockLow_Sources,COLUMN(),FALSE))</f>
        <v/>
      </c>
      <c r="AB1138" s="262">
        <f>IF(OR(MO.RealTimeStockPriceToggle=FALSE,VLOOKUP(MO.DataSourceName,MO_SPT_StockLow_Sources,COLUMN(),FALSE)="N/A"),VLOOKUP("Real-Time Off Source",MO_SPT_StockLow_Sources,COLUMN(),FALSE),VLOOKUP(MO.DataSourceName,MO_SPT_StockLow_Sources,COLUMN(),FALSE))</f>
        <v/>
      </c>
      <c r="AC1138" s="262">
        <f>IF(OR(MO.RealTimeStockPriceToggle=FALSE,VLOOKUP(MO.DataSourceName,MO_SPT_StockLow_Sources,COLUMN(),FALSE)="N/A"),VLOOKUP("Real-Time Off Source",MO_SPT_StockLow_Sources,COLUMN(),FALSE),VLOOKUP(MO.DataSourceName,MO_SPT_StockLow_Sources,COLUMN(),FALSE))</f>
        <v/>
      </c>
      <c r="AD1138" s="262">
        <f>IF(OR(MO.RealTimeStockPriceToggle=FALSE,VLOOKUP(MO.DataSourceName,MO_SPT_StockLow_Sources,COLUMN(),FALSE)="N/A"),VLOOKUP("Real-Time Off Source",MO_SPT_StockLow_Sources,COLUMN(),FALSE),VLOOKUP(MO.DataSourceName,MO_SPT_StockLow_Sources,COLUMN(),FALSE))</f>
        <v/>
      </c>
      <c r="AE1138" s="262">
        <f>IF(OR(MO.RealTimeStockPriceToggle=FALSE,VLOOKUP(MO.DataSourceName,MO_SPT_StockLow_Sources,COLUMN(),FALSE)="N/A"),VLOOKUP("Real-Time Off Source",MO_SPT_StockLow_Sources,COLUMN(),FALSE),VLOOKUP(MO.DataSourceName,MO_SPT_StockLow_Sources,COLUMN(),FALSE))</f>
        <v/>
      </c>
      <c r="AF1138" s="262">
        <f>IF(OR(MO.RealTimeStockPriceToggle=FALSE,VLOOKUP(MO.DataSourceName,MO_SPT_StockLow_Sources,COLUMN(),FALSE)="N/A"),VLOOKUP("Real-Time Off Source",MO_SPT_StockLow_Sources,COLUMN(),FALSE),VLOOKUP(MO.DataSourceName,MO_SPT_StockLow_Sources,COLUMN(),FALSE))</f>
        <v/>
      </c>
      <c r="AG1138" s="262">
        <f>IF(OR(MO.RealTimeStockPriceToggle=FALSE,VLOOKUP(MO.DataSourceName,MO_SPT_StockLow_Sources,COLUMN(),FALSE)="N/A"),VLOOKUP("Real-Time Off Source",MO_SPT_StockLow_Sources,COLUMN(),FALSE),VLOOKUP(MO.DataSourceName,MO_SPT_StockLow_Sources,COLUMN(),FALSE))</f>
        <v/>
      </c>
      <c r="AH1138" s="262">
        <f>IF(OR(MO.RealTimeStockPriceToggle=FALSE,VLOOKUP(MO.DataSourceName,MO_SPT_StockLow_Sources,COLUMN(),FALSE)="N/A"),VLOOKUP("Real-Time Off Source",MO_SPT_StockLow_Sources,COLUMN(),FALSE),VLOOKUP(MO.DataSourceName,MO_SPT_StockLow_Sources,COLUMN(),FALSE))</f>
        <v/>
      </c>
      <c r="AI1138" s="262">
        <f>IF(OR(MO.RealTimeStockPriceToggle=FALSE,VLOOKUP(MO.DataSourceName,MO_SPT_StockLow_Sources,COLUMN(),FALSE)="N/A"),VLOOKUP("Real-Time Off Source",MO_SPT_StockLow_Sources,COLUMN(),FALSE),VLOOKUP(MO.DataSourceName,MO_SPT_StockLow_Sources,COLUMN(),FALSE))</f>
        <v/>
      </c>
      <c r="AJ1138" s="262">
        <f>IF(OR(MO.RealTimeStockPriceToggle=FALSE,VLOOKUP(MO.DataSourceName,MO_SPT_StockLow_Sources,COLUMN(),FALSE)="N/A"),VLOOKUP("Real-Time Off Source",MO_SPT_StockLow_Sources,COLUMN(),FALSE),VLOOKUP(MO.DataSourceName,MO_SPT_StockLow_Sources,COLUMN(),FALSE))</f>
        <v/>
      </c>
      <c r="AK1138" s="262">
        <f>IF(OR(MO.RealTimeStockPriceToggle=FALSE,VLOOKUP(MO.DataSourceName,MO_SPT_StockLow_Sources,COLUMN(),FALSE)="N/A"),VLOOKUP("Real-Time Off Source",MO_SPT_StockLow_Sources,COLUMN(),FALSE),VLOOKUP(MO.DataSourceName,MO_SPT_StockLow_Sources,COLUMN(),FALSE))</f>
        <v/>
      </c>
      <c r="AL1138" s="262">
        <f>IF(OR(MO.RealTimeStockPriceToggle=FALSE,VLOOKUP(MO.DataSourceName,MO_SPT_StockLow_Sources,COLUMN(),FALSE)="N/A"),VLOOKUP("Real-Time Off Source",MO_SPT_StockLow_Sources,COLUMN(),FALSE),VLOOKUP(MO.DataSourceName,MO_SPT_StockLow_Sources,COLUMN(),FALSE))</f>
        <v/>
      </c>
      <c r="AM1138" s="262">
        <f>IF(OR(MO.RealTimeStockPriceToggle=FALSE,VLOOKUP(MO.DataSourceName,MO_SPT_StockLow_Sources,COLUMN(),FALSE)="N/A"),VLOOKUP("Real-Time Off Source",MO_SPT_StockLow_Sources,COLUMN(),FALSE),VLOOKUP(MO.DataSourceName,MO_SPT_StockLow_Sources,COLUMN(),FALSE))</f>
        <v/>
      </c>
      <c r="AN1138" s="262">
        <f>IF(OR(MO.RealTimeStockPriceToggle=FALSE,VLOOKUP(MO.DataSourceName,MO_SPT_StockLow_Sources,COLUMN(),FALSE)="N/A"),VLOOKUP("Real-Time Off Source",MO_SPT_StockLow_Sources,COLUMN(),FALSE),VLOOKUP(MO.DataSourceName,MO_SPT_StockLow_Sources,COLUMN(),FALSE))</f>
        <v/>
      </c>
      <c r="AO1138" s="262">
        <f>IF(OR(MO.RealTimeStockPriceToggle=FALSE,VLOOKUP(MO.DataSourceName,MO_SPT_StockLow_Sources,COLUMN(),FALSE)="N/A"),VLOOKUP("Real-Time Off Source",MO_SPT_StockLow_Sources,COLUMN(),FALSE),VLOOKUP(MO.DataSourceName,MO_SPT_StockLow_Sources,COLUMN(),FALSE))</f>
        <v/>
      </c>
      <c r="AP1138" s="262">
        <f>IF(OR(MO.RealTimeStockPriceToggle=FALSE,VLOOKUP(MO.DataSourceName,MO_SPT_StockLow_Sources,COLUMN(),FALSE)="N/A"),VLOOKUP("Real-Time Off Source",MO_SPT_StockLow_Sources,COLUMN(),FALSE),VLOOKUP(MO.DataSourceName,MO_SPT_StockLow_Sources,COLUMN(),FALSE))</f>
        <v/>
      </c>
      <c r="AQ1138" s="262">
        <f>IF(OR(MO.RealTimeStockPriceToggle=FALSE,VLOOKUP(MO.DataSourceName,MO_SPT_StockLow_Sources,COLUMN(),FALSE)="N/A"),VLOOKUP("Real-Time Off Source",MO_SPT_StockLow_Sources,COLUMN(),FALSE),VLOOKUP(MO.DataSourceName,MO_SPT_StockLow_Sources,COLUMN(),FALSE))</f>
        <v/>
      </c>
      <c r="AR1138" s="262">
        <f>IF(OR(MO.RealTimeStockPriceToggle=FALSE,VLOOKUP(MO.DataSourceName,MO_SPT_StockLow_Sources,COLUMN(),FALSE)="N/A"),VLOOKUP("Real-Time Off Source",MO_SPT_StockLow_Sources,COLUMN(),FALSE),VLOOKUP(MO.DataSourceName,MO_SPT_StockLow_Sources,COLUMN(),FALSE))</f>
        <v/>
      </c>
      <c r="AS1138" s="262">
        <f>IF(OR(MO.RealTimeStockPriceToggle=FALSE,VLOOKUP(MO.DataSourceName,MO_SPT_StockLow_Sources,COLUMN(),FALSE)="N/A"),VLOOKUP("Real-Time Off Source",MO_SPT_StockLow_Sources,COLUMN(),FALSE),VLOOKUP(MO.DataSourceName,MO_SPT_StockLow_Sources,COLUMN(),FALSE))</f>
        <v/>
      </c>
      <c r="AT1138" s="262">
        <f>IF(OR(MO.RealTimeStockPriceToggle=FALSE,VLOOKUP(MO.DataSourceName,MO_SPT_StockLow_Sources,COLUMN(),FALSE)="N/A"),VLOOKUP("Real-Time Off Source",MO_SPT_StockLow_Sources,COLUMN(),FALSE),VLOOKUP(MO.DataSourceName,MO_SPT_StockLow_Sources,COLUMN(),FALSE))</f>
        <v/>
      </c>
      <c r="AU1138" s="262">
        <f>IF(OR(MO.RealTimeStockPriceToggle=FALSE,VLOOKUP(MO.DataSourceName,MO_SPT_StockLow_Sources,COLUMN(),FALSE)="N/A"),VLOOKUP("Real-Time Off Source",MO_SPT_StockLow_Sources,COLUMN(),FALSE),VLOOKUP(MO.DataSourceName,MO_SPT_StockLow_Sources,COLUMN(),FALSE))</f>
        <v/>
      </c>
      <c r="AV1138" s="262">
        <f>IF(OR(MO.RealTimeStockPriceToggle=FALSE,VLOOKUP(MO.DataSourceName,MO_SPT_StockLow_Sources,COLUMN(),FALSE)="N/A"),VLOOKUP("Real-Time Off Source",MO_SPT_StockLow_Sources,COLUMN(),FALSE),VLOOKUP(MO.DataSourceName,MO_SPT_StockLow_Sources,COLUMN(),FALSE))</f>
        <v/>
      </c>
      <c r="AW1138" s="262">
        <f>IF(OR(MO.RealTimeStockPriceToggle=FALSE,VLOOKUP(MO.DataSourceName,MO_SPT_StockLow_Sources,COLUMN(),FALSE)="N/A"),VLOOKUP("Real-Time Off Source",MO_SPT_StockLow_Sources,COLUMN(),FALSE),VLOOKUP(MO.DataSourceName,MO_SPT_StockLow_Sources,COLUMN(),FALSE))</f>
        <v/>
      </c>
      <c r="AX1138" s="262">
        <f>IF(OR(MO.RealTimeStockPriceToggle=FALSE,VLOOKUP(MO.DataSourceName,MO_SPT_StockLow_Sources,COLUMN(),FALSE)="N/A"),VLOOKUP("Real-Time Off Source",MO_SPT_StockLow_Sources,COLUMN(),FALSE),VLOOKUP(MO.DataSourceName,MO_SPT_StockLow_Sources,COLUMN(),FALSE))</f>
        <v/>
      </c>
      <c r="AY1138" s="262">
        <f>IF(OR(MO.RealTimeStockPriceToggle=FALSE,VLOOKUP(MO.DataSourceName,MO_SPT_StockLow_Sources,COLUMN(),FALSE)="N/A"),VLOOKUP("Real-Time Off Source",MO_SPT_StockLow_Sources,COLUMN(),FALSE),VLOOKUP(MO.DataSourceName,MO_SPT_StockLow_Sources,COLUMN(),FALSE))</f>
        <v/>
      </c>
      <c r="AZ1138" s="262">
        <f>IF(OR(MO.RealTimeStockPriceToggle=FALSE,VLOOKUP(MO.DataSourceName,MO_SPT_StockLow_Sources,COLUMN(),FALSE)="N/A"),VLOOKUP("Real-Time Off Source",MO_SPT_StockLow_Sources,COLUMN(),FALSE),VLOOKUP(MO.DataSourceName,MO_SPT_StockLow_Sources,COLUMN(),FALSE))</f>
        <v/>
      </c>
      <c r="BA1138" s="262">
        <f>IF(OR(MO.RealTimeStockPriceToggle=FALSE,VLOOKUP(MO.DataSourceName,MO_SPT_StockLow_Sources,COLUMN(),FALSE)="N/A"),VLOOKUP("Real-Time Off Source",MO_SPT_StockLow_Sources,COLUMN(),FALSE),VLOOKUP(MO.DataSourceName,MO_SPT_StockLow_Sources,COLUMN(),FALSE))</f>
        <v/>
      </c>
      <c r="BB1138" s="262">
        <f>IF(OR(MO.RealTimeStockPriceToggle=FALSE,VLOOKUP(MO.DataSourceName,MO_SPT_StockLow_Sources,COLUMN(),FALSE)="N/A"),VLOOKUP("Real-Time Off Source",MO_SPT_StockLow_Sources,COLUMN(),FALSE),VLOOKUP(MO.DataSourceName,MO_SPT_StockLow_Sources,COLUMN(),FALSE))</f>
        <v/>
      </c>
      <c r="BC1138" s="262">
        <f>IF(OR(MO.RealTimeStockPriceToggle=FALSE,VLOOKUP(MO.DataSourceName,MO_SPT_StockLow_Sources,COLUMN(),FALSE)="N/A"),VLOOKUP("Real-Time Off Source",MO_SPT_StockLow_Sources,COLUMN(),FALSE),VLOOKUP(MO.DataSourceName,MO_SPT_StockLow_Sources,COLUMN(),FALSE))</f>
        <v/>
      </c>
      <c r="BD1138" s="262">
        <f>IF(OR(MO.RealTimeStockPriceToggle=FALSE,VLOOKUP(MO.DataSourceName,MO_SPT_StockLow_Sources,COLUMN(),FALSE)="N/A"),VLOOKUP("Real-Time Off Source",MO_SPT_StockLow_Sources,COLUMN(),FALSE),VLOOKUP(MO.DataSourceName,MO_SPT_StockLow_Sources,COLUMN(),FALSE))</f>
        <v/>
      </c>
      <c r="BE1138" s="262">
        <f>IF(OR(MO.RealTimeStockPriceToggle=FALSE,VLOOKUP(MO.DataSourceName,MO_SPT_StockLow_Sources,COLUMN(),FALSE)="N/A"),VLOOKUP("Real-Time Off Source",MO_SPT_StockLow_Sources,COLUMN(),FALSE),VLOOKUP(MO.DataSourceName,MO_SPT_StockLow_Sources,COLUMN(),FALSE))</f>
        <v/>
      </c>
      <c r="BF1138" s="262">
        <f>IF(OR(MO.RealTimeStockPriceToggle=FALSE,VLOOKUP(MO.DataSourceName,MO_SPT_StockLow_Sources,COLUMN(),FALSE)="N/A"),VLOOKUP("Real-Time Off Source",MO_SPT_StockLow_Sources,COLUMN(),FALSE),VLOOKUP(MO.DataSourceName,MO_SPT_StockLow_Sources,COLUMN(),FALSE))</f>
        <v/>
      </c>
      <c r="BG1138" s="262">
        <f>IF(OR(MO.RealTimeStockPriceToggle=FALSE,VLOOKUP(MO.DataSourceName,MO_SPT_StockLow_Sources,COLUMN(),FALSE)="N/A"),VLOOKUP("Real-Time Off Source",MO_SPT_StockLow_Sources,COLUMN(),FALSE),VLOOKUP(MO.DataSourceName,MO_SPT_StockLow_Sources,COLUMN(),FALSE))</f>
        <v/>
      </c>
      <c r="BH1138" s="262">
        <f>IF(OR(MO.RealTimeStockPriceToggle=FALSE,VLOOKUP(MO.DataSourceName,MO_SPT_StockLow_Sources,COLUMN(),FALSE)="N/A"),VLOOKUP("Real-Time Off Source",MO_SPT_StockLow_Sources,COLUMN(),FALSE),VLOOKUP(MO.DataSourceName,MO_SPT_StockLow_Sources,COLUMN(),FALSE))</f>
        <v/>
      </c>
      <c r="BI1138" s="262">
        <f>IF(OR(MO.RealTimeStockPriceToggle=FALSE,VLOOKUP(MO.DataSourceName,MO_SPT_StockLow_Sources,COLUMN(),FALSE)="N/A"),VLOOKUP("Real-Time Off Source",MO_SPT_StockLow_Sources,COLUMN(),FALSE),VLOOKUP(MO.DataSourceName,MO_SPT_StockLow_Sources,COLUMN(),FALSE))</f>
        <v/>
      </c>
      <c r="BJ1138" s="262">
        <f>IF(OR(MO.RealTimeStockPriceToggle=FALSE,VLOOKUP(MO.DataSourceName,MO_SPT_StockLow_Sources,COLUMN(),FALSE)="N/A"),VLOOKUP("Real-Time Off Source",MO_SPT_StockLow_Sources,COLUMN(),FALSE),VLOOKUP(MO.DataSourceName,MO_SPT_StockLow_Sources,COLUMN(),FALSE))</f>
        <v/>
      </c>
      <c r="BK1138" s="262">
        <f>IF(OR(MO.RealTimeStockPriceToggle=FALSE,VLOOKUP(MO.DataSourceName,MO_SPT_StockLow_Sources,COLUMN(),FALSE)="N/A"),VLOOKUP("Real-Time Off Source",MO_SPT_StockLow_Sources,COLUMN(),FALSE),VLOOKUP(MO.DataSourceName,MO_SPT_StockLow_Sources,COLUMN(),FALSE))</f>
        <v/>
      </c>
      <c r="BL1138" s="262">
        <f>IF(OR(MO.RealTimeStockPriceToggle=FALSE,VLOOKUP(MO.DataSourceName,MO_SPT_StockLow_Sources,COLUMN(),FALSE)="N/A"),VLOOKUP("Real-Time Off Source",MO_SPT_StockLow_Sources,COLUMN(),FALSE),VLOOKUP(MO.DataSourceName,MO_SPT_StockLow_Sources,COLUMN(),FALSE))</f>
        <v/>
      </c>
      <c r="BM1138" s="262">
        <f>IF(OR(MO.RealTimeStockPriceToggle=FALSE,VLOOKUP(MO.DataSourceName,MO_SPT_StockLow_Sources,COLUMN(),FALSE)="N/A"),VLOOKUP("Real-Time Off Source",MO_SPT_StockLow_Sources,COLUMN(),FALSE),VLOOKUP(MO.DataSourceName,MO_SPT_StockLow_Sources,COLUMN(),FALSE))</f>
        <v/>
      </c>
      <c r="BN1138" s="262">
        <f>IF(OR(MO.RealTimeStockPriceToggle=FALSE,VLOOKUP(MO.DataSourceName,MO_SPT_StockLow_Sources,COLUMN(),FALSE)="N/A"),VLOOKUP("Real-Time Off Source",MO_SPT_StockLow_Sources,COLUMN(),FALSE),VLOOKUP(MO.DataSourceName,MO_SPT_StockLow_Sources,COLUMN(),FALSE))</f>
        <v/>
      </c>
      <c r="BO1138" s="262">
        <f>IF(OR(MO.RealTimeStockPriceToggle=FALSE,VLOOKUP(MO.DataSourceName,MO_SPT_StockLow_Sources,COLUMN(),FALSE)="N/A"),VLOOKUP("Real-Time Off Source",MO_SPT_StockLow_Sources,COLUMN(),FALSE),VLOOKUP(MO.DataSourceName,MO_SPT_StockLow_Sources,COLUMN(),FALSE))</f>
        <v/>
      </c>
      <c r="BP1138" s="262">
        <f>IF(OR(MO.RealTimeStockPriceToggle=FALSE,VLOOKUP(MO.DataSourceName,MO_SPT_StockLow_Sources,COLUMN(),FALSE)="N/A"),VLOOKUP("Real-Time Off Source",MO_SPT_StockLow_Sources,COLUMN(),FALSE),VLOOKUP(MO.DataSourceName,MO_SPT_StockLow_Sources,COLUMN(),FALSE))</f>
        <v/>
      </c>
      <c r="BQ1138" s="262">
        <f>IF(OR(MO.RealTimeStockPriceToggle=FALSE,VLOOKUP(MO.DataSourceName,MO_SPT_StockLow_Sources,COLUMN(),FALSE)="N/A"),VLOOKUP("Real-Time Off Source",MO_SPT_StockLow_Sources,COLUMN(),FALSE),VLOOKUP(MO.DataSourceName,MO_SPT_StockLow_Sources,COLUMN(),FALSE))</f>
        <v/>
      </c>
      <c r="BR1138" s="262">
        <f>IF(OR(MO.RealTimeStockPriceToggle=FALSE,VLOOKUP(MO.DataSourceName,MO_SPT_StockLow_Sources,COLUMN(),FALSE)="N/A"),VLOOKUP("Real-Time Off Source",MO_SPT_StockLow_Sources,COLUMN(),FALSE),VLOOKUP(MO.DataSourceName,MO_SPT_StockLow_Sources,COLUMN(),FALSE))</f>
        <v/>
      </c>
      <c r="BS1138" s="262">
        <f>IF(OR(MO.RealTimeStockPriceToggle=FALSE,VLOOKUP(MO.DataSourceName,MO_SPT_StockLow_Sources,COLUMN(),FALSE)="N/A"),VLOOKUP("Real-Time Off Source",MO_SPT_StockLow_Sources,COLUMN(),FALSE),VLOOKUP(MO.DataSourceName,MO_SPT_StockLow_Sources,COLUMN(),FALSE))</f>
        <v/>
      </c>
      <c r="BT1138" s="262">
        <f>IF(OR(MO.RealTimeStockPriceToggle=FALSE,VLOOKUP(MO.DataSourceName,MO_SPT_StockLow_Sources,COLUMN(),FALSE)="N/A"),VLOOKUP("Real-Time Off Source",MO_SPT_StockLow_Sources,COLUMN(),FALSE),VLOOKUP(MO.DataSourceName,MO_SPT_StockLow_Sources,COLUMN(),FALSE))</f>
        <v/>
      </c>
      <c r="BU1138" s="262">
        <f>IF(OR(MO.RealTimeStockPriceToggle=FALSE,VLOOKUP(MO.DataSourceName,MO_SPT_StockLow_Sources,COLUMN(),FALSE)="N/A"),VLOOKUP("Real-Time Off Source",MO_SPT_StockLow_Sources,COLUMN(),FALSE),VLOOKUP(MO.DataSourceName,MO_SPT_StockLow_Sources,COLUMN(),FALSE))</f>
        <v/>
      </c>
      <c r="BV1138" s="531">
        <f>IF(OR(MO.RealTimeStockPriceToggle=FALSE,VLOOKUP(MO.DataSourceName,MO_SPT_StockLow_Sources,COLUMN(),FALSE)="N/A"),VLOOKUP("Real-Time Off Source",MO_SPT_StockLow_Sources,COLUMN(),FALSE),VLOOKUP(MO.DataSourceName,MO_SPT_StockLow_Sources,COLUMN(),FALSE))</f>
        <v/>
      </c>
      <c r="BW1138" s="262">
        <f>IF(OR(MO.RealTimeStockPriceToggle=FALSE,VLOOKUP(MO.DataSourceName,MO_SPT_StockLow_Sources,COLUMN(),FALSE)="N/A"),VLOOKUP("Real-Time Off Source",MO_SPT_StockLow_Sources,COLUMN(),FALSE),VLOOKUP(MO.DataSourceName,MO_SPT_StockLow_Sources,COLUMN(),FALSE))</f>
        <v/>
      </c>
      <c r="BX1138" s="262">
        <f>IF(OR(MO.RealTimeStockPriceToggle=FALSE,VLOOKUP(MO.DataSourceName,MO_SPT_StockLow_Sources,COLUMN(),FALSE)="N/A"),VLOOKUP("Real-Time Off Source",MO_SPT_StockLow_Sources,COLUMN(),FALSE),VLOOKUP(MO.DataSourceName,MO_SPT_StockLow_Sources,COLUMN(),FALSE))</f>
        <v/>
      </c>
      <c r="BY1138" s="262">
        <f>IF(OR(MO.RealTimeStockPriceToggle=FALSE,VLOOKUP(MO.DataSourceName,MO_SPT_StockLow_Sources,COLUMN(),FALSE)="N/A"),VLOOKUP("Real-Time Off Source",MO_SPT_StockLow_Sources,COLUMN(),FALSE),VLOOKUP(MO.DataSourceName,MO_SPT_StockLow_Sources,COLUMN(),FALSE))</f>
        <v/>
      </c>
      <c r="BZ1138" s="262">
        <f>IF(OR(MO.RealTimeStockPriceToggle=FALSE,VLOOKUP(MO.DataSourceName,MO_SPT_StockLow_Sources,COLUMN(),FALSE)="N/A"),VLOOKUP("Real-Time Off Source",MO_SPT_StockLow_Sources,COLUMN(),FALSE),VLOOKUP(MO.DataSourceName,MO_SPT_StockLow_Sources,COLUMN(),FALSE))</f>
        <v/>
      </c>
      <c r="CA1138" s="262">
        <f>IF(OR(MO.RealTimeStockPriceToggle=FALSE,VLOOKUP(MO.DataSourceName,MO_SPT_StockLow_Sources,COLUMN(),FALSE)="N/A"),VLOOKUP("Real-Time Off Source",MO_SPT_StockLow_Sources,COLUMN(),FALSE),VLOOKUP(MO.DataSourceName,MO_SPT_StockLow_Sources,COLUMN(),FALSE))</f>
        <v/>
      </c>
      <c r="CB1138" s="262">
        <f>IF(OR(MO.RealTimeStockPriceToggle=FALSE,VLOOKUP(MO.DataSourceName,MO_SPT_StockLow_Sources,COLUMN(),FALSE)="N/A"),VLOOKUP("Real-Time Off Source",MO_SPT_StockLow_Sources,COLUMN(),FALSE),VLOOKUP(MO.DataSourceName,MO_SPT_StockLow_Sources,COLUMN(),FALSE))</f>
        <v/>
      </c>
      <c r="CC1138" s="262">
        <f>IF(OR(MO.RealTimeStockPriceToggle=FALSE,VLOOKUP(MO.DataSourceName,MO_SPT_StockLow_Sources,COLUMN(),FALSE)="N/A"),VLOOKUP("Real-Time Off Source",MO_SPT_StockLow_Sources,COLUMN(),FALSE),VLOOKUP(MO.DataSourceName,MO_SPT_StockLow_Sources,COLUMN(),FALSE))</f>
        <v/>
      </c>
      <c r="CD1138" s="262">
        <f>IF(OR(MO.RealTimeStockPriceToggle=FALSE,VLOOKUP(MO.DataSourceName,MO_SPT_StockLow_Sources,COLUMN(),FALSE)="N/A"),VLOOKUP("Real-Time Off Source",MO_SPT_StockLow_Sources,COLUMN(),FALSE),VLOOKUP(MO.DataSourceName,MO_SPT_StockLow_Sources,COLUMN(),FALSE))</f>
        <v/>
      </c>
      <c r="CE1138" s="262">
        <f>IF(OR(MO.RealTimeStockPriceToggle=FALSE,VLOOKUP(MO.DataSourceName,MO_SPT_StockLow_Sources,COLUMN(),FALSE)="N/A"),VLOOKUP("Real-Time Off Source",MO_SPT_StockLow_Sources,COLUMN(),FALSE),VLOOKUP(MO.DataSourceName,MO_SPT_StockLow_Sources,COLUMN(),FALSE))</f>
        <v/>
      </c>
      <c r="CF1138" s="263">
        <f>IF(OR(MO.RealTimeStockPriceToggle=FALSE,VLOOKUP(MO.DataSourceName,MO_SPT_StockLow_Sources,COLUMN(),FALSE)="N/A"),VLOOKUP("Real-Time Off Source",MO_SPT_StockLow_Sources,COLUMN(),FALSE),VLOOKUP(MO.DataSourceName,MO_SPT_StockLow_Sources,COLUMN(),FALSE))</f>
        <v/>
      </c>
      <c r="CG1138" s="155" t="n"/>
    </row>
    <row r="1139" hidden="1" outlineLevel="1">
      <c r="A1139" s="264" t="inlineStr">
        <is>
          <t>Real-Time Off Source</t>
        </is>
      </c>
      <c r="B1139" s="262" t="n"/>
      <c r="C1139" s="1093">
        <f>(5.75/(4))/(10)</f>
        <v/>
      </c>
      <c r="D1139" s="1093">
        <f>(7.21/(4))/(10)</f>
        <v/>
      </c>
      <c r="E1139" s="1093">
        <f>(8.65/(4))/(10)</f>
        <v/>
      </c>
      <c r="F1139" s="1093">
        <f>(11.47/(4))/(10)</f>
        <v/>
      </c>
      <c r="G1139" s="1093">
        <f>(12.75/(4))/(10)</f>
        <v/>
      </c>
      <c r="H1139" s="1094">
        <f>(11.63/(4))/(10)</f>
        <v/>
      </c>
      <c r="I1139" s="1094">
        <f>(11.83/(4))/(10)</f>
        <v/>
      </c>
      <c r="J1139" s="1094">
        <f>(11.15/(4))/(10)</f>
        <v/>
      </c>
      <c r="K1139" s="1094">
        <f>(11.15/(4))/(10)</f>
        <v/>
      </c>
      <c r="L1139" s="1094">
        <f>(12.04/(4))/(10)</f>
        <v/>
      </c>
      <c r="M1139" s="1094">
        <f>(13.37/(4))/(10)</f>
        <v/>
      </c>
      <c r="N1139" s="1094">
        <f>(13.11/(4))/(10)</f>
        <v/>
      </c>
      <c r="O1139" s="1094">
        <f>(14.52/(4))/(10)</f>
        <v/>
      </c>
      <c r="P1139" s="1094">
        <f>(12.04/(4))/(10)</f>
        <v/>
      </c>
      <c r="Q1139" s="1094">
        <f>(15.32/(4))/(10)</f>
        <v/>
      </c>
      <c r="R1139" s="1094">
        <f>(17.71/(4))/(10)</f>
        <v/>
      </c>
      <c r="S1139" s="1094">
        <f>(16.77/(4))/(10)</f>
        <v/>
      </c>
      <c r="T1139" s="1094">
        <f>(18.27/(4))/(10)</f>
        <v/>
      </c>
      <c r="U1139" s="1094">
        <f>(15.32/(4))/(10)</f>
        <v/>
      </c>
      <c r="V1139" s="1094">
        <f>(18.94/(4))/(10)</f>
        <v/>
      </c>
      <c r="W1139" s="1094">
        <f>(19.16/(4))/(10)</f>
        <v/>
      </c>
      <c r="X1139" s="1094">
        <f>(19.09/(4))/(10)</f>
        <v/>
      </c>
      <c r="Y1139" s="1094">
        <f>(26.45/(4))/(10)</f>
        <v/>
      </c>
      <c r="Z1139" s="1094">
        <f>(18.94/(4))/(10)</f>
        <v/>
      </c>
      <c r="AA1139" s="1094">
        <f>(24.75/(4))/(10)</f>
        <v/>
      </c>
      <c r="AB1139" s="1094">
        <f>(34.4/(4))/(10)</f>
        <v/>
      </c>
      <c r="AC1139" s="1094">
        <f>(55.5/(4))/(10)</f>
        <v/>
      </c>
      <c r="AD1139" s="1094">
        <f>(66.58/(4))/(10)</f>
        <v/>
      </c>
      <c r="AE1139" s="1094">
        <f>(24.75/(4))/(10)</f>
        <v/>
      </c>
      <c r="AF1139" s="1094">
        <f>(95.17/(4))/(10)</f>
        <v/>
      </c>
      <c r="AG1139" s="1094">
        <f>(102.31/(4))/(10)</f>
        <v/>
      </c>
      <c r="AH1139" s="1094">
        <f>(153.91/(4))/(10)</f>
        <v/>
      </c>
      <c r="AI1139" s="1094">
        <f>(180.58/(4))/(10)</f>
        <v/>
      </c>
      <c r="AJ1139" s="1094">
        <f>(95.17/(4))/(10)</f>
        <v/>
      </c>
      <c r="AK1139" s="1094">
        <f>(213.1052/(4))/(10)</f>
        <v/>
      </c>
      <c r="AL1139" s="1094">
        <f>(225.8204/(4))/(10)</f>
        <v/>
      </c>
      <c r="AM1139" s="1094">
        <f>(185.4344/(4))/(10)</f>
        <v/>
      </c>
      <c r="AN1139" s="1094">
        <f>(127.08/(4))/(10)</f>
        <v/>
      </c>
      <c r="AO1139" s="1094">
        <f>(127.08/(4))/(10)</f>
        <v/>
      </c>
      <c r="AP1139" s="1094">
        <f>(144.73/(4))/(10)</f>
        <v/>
      </c>
      <c r="AQ1139" s="1094">
        <f>(133.78/(4))/(10)</f>
        <v/>
      </c>
      <c r="AR1139" s="1094">
        <f>(148.77/(4))/(10)</f>
        <v/>
      </c>
      <c r="AS1139" s="1094">
        <f>(202.59/(4))/(10)</f>
        <v/>
      </c>
      <c r="AT1139" s="1094">
        <f>(133.78/(4))/(10)</f>
        <v/>
      </c>
      <c r="AU1139" s="1094">
        <f>(196.4/(4))/(10)</f>
        <v/>
      </c>
      <c r="AV1139" s="1094">
        <f>(282.78/(4))/(10)</f>
        <v/>
      </c>
      <c r="AW1139" s="1094">
        <f>(434/(4))/(10)</f>
        <v/>
      </c>
      <c r="AX1139" s="1094">
        <f>(503.23/(4))/(10)</f>
        <v/>
      </c>
      <c r="AY1139" s="1094">
        <f>(196.4/(4))/(10)</f>
        <v/>
      </c>
      <c r="AZ1139" s="1094">
        <f>(463.73/(4))/(10)</f>
        <v/>
      </c>
      <c r="BA1139" s="1094">
        <f>136.6525/(10)</f>
        <v/>
      </c>
      <c r="BB1139" s="1094">
        <f>190.4/(10)</f>
        <v/>
      </c>
      <c r="BC1139" s="1094">
        <f>219.44/(10)</f>
        <v/>
      </c>
      <c r="BD1139" s="1094">
        <f>115.9325/(10)</f>
        <v/>
      </c>
      <c r="BE1139" s="1094">
        <f>184.15/(10)</f>
        <v/>
      </c>
      <c r="BF1139" s="1094">
        <f>145.23/(10)</f>
        <v/>
      </c>
      <c r="BG1139" s="1094">
        <f>112.27/(10)</f>
        <v/>
      </c>
      <c r="BH1139" s="1094">
        <f>132.19/(10)</f>
        <v/>
      </c>
      <c r="BI1139" s="1094">
        <f>112.27/(10)</f>
        <v/>
      </c>
      <c r="BJ1139" s="1094">
        <f>206.55/(10)</f>
        <v/>
      </c>
      <c r="BK1139" s="1094">
        <f>275.62/(10)</f>
        <v/>
      </c>
      <c r="BL1139" s="1094">
        <f>403.26/(10)</f>
        <v/>
      </c>
      <c r="BM1139" s="1094">
        <f>407.8/(10)</f>
        <v/>
      </c>
      <c r="BN1139" s="1094">
        <f>191.62/(10)</f>
        <v/>
      </c>
      <c r="BO1139" s="1094">
        <f>615.27/(10)</f>
        <v/>
      </c>
      <c r="BP1139" s="1094" t="n">
        <v>83.041</v>
      </c>
      <c r="BQ1139" s="1094" t="n">
        <v>98.91</v>
      </c>
      <c r="BR1139" s="1094" t="n">
        <v>128.91</v>
      </c>
      <c r="BS1139" s="1094" t="n">
        <v>61.527</v>
      </c>
      <c r="BT1139" s="1094">
        <f>615.27/(10)</f>
        <v/>
      </c>
      <c r="BU1139" s="1094" t="n">
        <v>108.73</v>
      </c>
      <c r="BV1139" s="1095" t="n">
        <v>167.02</v>
      </c>
      <c r="BW1139" s="262" t="n"/>
      <c r="BX1139" s="262" t="n"/>
      <c r="BY1139" s="262" t="n"/>
      <c r="BZ1139" s="262" t="n"/>
      <c r="CA1139" s="262" t="n"/>
      <c r="CB1139" s="262" t="n"/>
      <c r="CC1139" s="262" t="n"/>
      <c r="CD1139" s="262" t="n"/>
      <c r="CE1139" s="262" t="n"/>
      <c r="CF1139" s="263" t="n"/>
      <c r="CG1139" s="155" t="n"/>
    </row>
    <row r="1140" hidden="1" outlineLevel="1">
      <c r="A1140" s="264" t="inlineStr">
        <is>
          <t>Bloomberg</t>
        </is>
      </c>
      <c r="B1140" s="262" t="n"/>
      <c r="C1140" s="1009">
        <f>IFERROR(_xll.BDP(MO.Ticker.Bloomberg&amp;" Equity","INTERVAL_LOW","MARKET_DATA_OVERRIDE=PX_LAST","START_DATE_OVERRIDE",TEXT(INDEX(MO_SNA_FPStartDate,0,COLUMN()),"YYYYMMDD"),"END_DATE_OVERRIDE",TEXT(INDEX(MO_Common_QEndDate,0,COLUMN()),"YYYYMMDD")),"N/A")</f>
        <v/>
      </c>
      <c r="D1140" s="1009">
        <f>IFERROR(_xll.BDP(MO.Ticker.Bloomberg&amp;" Equity","INTERVAL_LOW","MARKET_DATA_OVERRIDE=PX_LAST","START_DATE_OVERRIDE",TEXT(INDEX(MO_SNA_FPStartDate,0,COLUMN()),"YYYYMMDD"),"END_DATE_OVERRIDE",TEXT(INDEX(MO_Common_QEndDate,0,COLUMN()),"YYYYMMDD")),"N/A")</f>
        <v/>
      </c>
      <c r="E1140" s="1009">
        <f>IFERROR(_xll.BDP(MO.Ticker.Bloomberg&amp;" Equity","INTERVAL_LOW","MARKET_DATA_OVERRIDE=PX_LAST","START_DATE_OVERRIDE",TEXT(INDEX(MO_SNA_FPStartDate,0,COLUMN()),"YYYYMMDD"),"END_DATE_OVERRIDE",TEXT(INDEX(MO_Common_QEndDate,0,COLUMN()),"YYYYMMDD")),"N/A")</f>
        <v/>
      </c>
      <c r="F1140" s="1009">
        <f>IFERROR(_xll.BDP(MO.Ticker.Bloomberg&amp;" Equity","INTERVAL_LOW","MARKET_DATA_OVERRIDE=PX_LAST","START_DATE_OVERRIDE",TEXT(INDEX(MO_SNA_FPStartDate,0,COLUMN()),"YYYYMMDD"),"END_DATE_OVERRIDE",TEXT(INDEX(MO_Common_QEndDate,0,COLUMN()),"YYYYMMDD")),"N/A")</f>
        <v/>
      </c>
      <c r="G1140" s="1009">
        <f>IFERROR(_xll.BDP(MO.Ticker.Bloomberg&amp;" Equity","INTERVAL_LOW","MARKET_DATA_OVERRIDE=PX_LAST","START_DATE_OVERRIDE",TEXT(INDEX(MO_SNA_FPStartDate,0,COLUMN()),"YYYYMMDD"),"END_DATE_OVERRIDE",TEXT(INDEX(MO_Common_QEndDate,0,COLUMN()),"YYYYMMDD")),"N/A")</f>
        <v/>
      </c>
      <c r="H1140" s="262">
        <f>IFERROR(_xll.BDP(MO.Ticker.Bloomberg&amp;" Equity","INTERVAL_LOW","MARKET_DATA_OVERRIDE=PX_LAST","START_DATE_OVERRIDE",TEXT(INDEX(MO_SNA_FPStartDate,0,COLUMN()),"YYYYMMDD"),"END_DATE_OVERRIDE",TEXT(INDEX(MO_Common_QEndDate,0,COLUMN()),"YYYYMMDD")),"N/A")</f>
        <v/>
      </c>
      <c r="I1140" s="262">
        <f>IFERROR(_xll.BDP(MO.Ticker.Bloomberg&amp;" Equity","INTERVAL_LOW","MARKET_DATA_OVERRIDE=PX_LAST","START_DATE_OVERRIDE",TEXT(INDEX(MO_SNA_FPStartDate,0,COLUMN()),"YYYYMMDD"),"END_DATE_OVERRIDE",TEXT(INDEX(MO_Common_QEndDate,0,COLUMN()),"YYYYMMDD")),"N/A")</f>
        <v/>
      </c>
      <c r="J1140" s="262">
        <f>IFERROR(_xll.BDP(MO.Ticker.Bloomberg&amp;" Equity","INTERVAL_LOW","MARKET_DATA_OVERRIDE=PX_LAST","START_DATE_OVERRIDE",TEXT(INDEX(MO_SNA_FPStartDate,0,COLUMN()),"YYYYMMDD"),"END_DATE_OVERRIDE",TEXT(INDEX(MO_Common_QEndDate,0,COLUMN()),"YYYYMMDD")),"N/A")</f>
        <v/>
      </c>
      <c r="K1140" s="262">
        <f>IFERROR(_xll.BDP(MO.Ticker.Bloomberg&amp;" Equity","INTERVAL_LOW","MARKET_DATA_OVERRIDE=PX_LAST","START_DATE_OVERRIDE",TEXT(INDEX(MO_SNA_FPStartDate,0,COLUMN()),"YYYYMMDD"),"END_DATE_OVERRIDE",TEXT(INDEX(MO_Common_QEndDate,0,COLUMN()),"YYYYMMDD")),"N/A")</f>
        <v/>
      </c>
      <c r="L1140" s="262">
        <f>IFERROR(_xll.BDP(MO.Ticker.Bloomberg&amp;" Equity","INTERVAL_LOW","MARKET_DATA_OVERRIDE=PX_LAST","START_DATE_OVERRIDE",TEXT(INDEX(MO_SNA_FPStartDate,0,COLUMN()),"YYYYMMDD"),"END_DATE_OVERRIDE",TEXT(INDEX(MO_Common_QEndDate,0,COLUMN()),"YYYYMMDD")),"N/A")</f>
        <v/>
      </c>
      <c r="M1140" s="262">
        <f>IFERROR(_xll.BDP(MO.Ticker.Bloomberg&amp;" Equity","INTERVAL_LOW","MARKET_DATA_OVERRIDE=PX_LAST","START_DATE_OVERRIDE",TEXT(INDEX(MO_SNA_FPStartDate,0,COLUMN()),"YYYYMMDD"),"END_DATE_OVERRIDE",TEXT(INDEX(MO_Common_QEndDate,0,COLUMN()),"YYYYMMDD")),"N/A")</f>
        <v/>
      </c>
      <c r="N1140" s="262">
        <f>IFERROR(_xll.BDP(MO.Ticker.Bloomberg&amp;" Equity","INTERVAL_LOW","MARKET_DATA_OVERRIDE=PX_LAST","START_DATE_OVERRIDE",TEXT(INDEX(MO_SNA_FPStartDate,0,COLUMN()),"YYYYMMDD"),"END_DATE_OVERRIDE",TEXT(INDEX(MO_Common_QEndDate,0,COLUMN()),"YYYYMMDD")),"N/A")</f>
        <v/>
      </c>
      <c r="O1140" s="262">
        <f>IFERROR(_xll.BDP(MO.Ticker.Bloomberg&amp;" Equity","INTERVAL_LOW","MARKET_DATA_OVERRIDE=PX_LAST","START_DATE_OVERRIDE",TEXT(INDEX(MO_SNA_FPStartDate,0,COLUMN()),"YYYYMMDD"),"END_DATE_OVERRIDE",TEXT(INDEX(MO_Common_QEndDate,0,COLUMN()),"YYYYMMDD")),"N/A")</f>
        <v/>
      </c>
      <c r="P1140" s="262">
        <f>IFERROR(_xll.BDP(MO.Ticker.Bloomberg&amp;" Equity","INTERVAL_LOW","MARKET_DATA_OVERRIDE=PX_LAST","START_DATE_OVERRIDE",TEXT(INDEX(MO_SNA_FPStartDate,0,COLUMN()),"YYYYMMDD"),"END_DATE_OVERRIDE",TEXT(INDEX(MO_Common_QEndDate,0,COLUMN()),"YYYYMMDD")),"N/A")</f>
        <v/>
      </c>
      <c r="Q1140" s="262">
        <f>IFERROR(_xll.BDP(MO.Ticker.Bloomberg&amp;" Equity","INTERVAL_LOW","MARKET_DATA_OVERRIDE=PX_LAST","START_DATE_OVERRIDE",TEXT(INDEX(MO_SNA_FPStartDate,0,COLUMN()),"YYYYMMDD"),"END_DATE_OVERRIDE",TEXT(INDEX(MO_Common_QEndDate,0,COLUMN()),"YYYYMMDD")),"N/A")</f>
        <v/>
      </c>
      <c r="R1140" s="262">
        <f>IFERROR(_xll.BDP(MO.Ticker.Bloomberg&amp;" Equity","INTERVAL_LOW","MARKET_DATA_OVERRIDE=PX_LAST","START_DATE_OVERRIDE",TEXT(INDEX(MO_SNA_FPStartDate,0,COLUMN()),"YYYYMMDD"),"END_DATE_OVERRIDE",TEXT(INDEX(MO_Common_QEndDate,0,COLUMN()),"YYYYMMDD")),"N/A")</f>
        <v/>
      </c>
      <c r="S1140" s="262">
        <f>IFERROR(_xll.BDP(MO.Ticker.Bloomberg&amp;" Equity","INTERVAL_LOW","MARKET_DATA_OVERRIDE=PX_LAST","START_DATE_OVERRIDE",TEXT(INDEX(MO_SNA_FPStartDate,0,COLUMN()),"YYYYMMDD"),"END_DATE_OVERRIDE",TEXT(INDEX(MO_Common_QEndDate,0,COLUMN()),"YYYYMMDD")),"N/A")</f>
        <v/>
      </c>
      <c r="T1140" s="262">
        <f>IFERROR(_xll.BDP(MO.Ticker.Bloomberg&amp;" Equity","INTERVAL_LOW","MARKET_DATA_OVERRIDE=PX_LAST","START_DATE_OVERRIDE",TEXT(INDEX(MO_SNA_FPStartDate,0,COLUMN()),"YYYYMMDD"),"END_DATE_OVERRIDE",TEXT(INDEX(MO_Common_QEndDate,0,COLUMN()),"YYYYMMDD")),"N/A")</f>
        <v/>
      </c>
      <c r="U1140" s="262">
        <f>IFERROR(_xll.BDP(MO.Ticker.Bloomberg&amp;" Equity","INTERVAL_LOW","MARKET_DATA_OVERRIDE=PX_LAST","START_DATE_OVERRIDE",TEXT(INDEX(MO_SNA_FPStartDate,0,COLUMN()),"YYYYMMDD"),"END_DATE_OVERRIDE",TEXT(INDEX(MO_Common_QEndDate,0,COLUMN()),"YYYYMMDD")),"N/A")</f>
        <v/>
      </c>
      <c r="V1140" s="262">
        <f>IFERROR(_xll.BDP(MO.Ticker.Bloomberg&amp;" Equity","INTERVAL_LOW","MARKET_DATA_OVERRIDE=PX_LAST","START_DATE_OVERRIDE",TEXT(INDEX(MO_SNA_FPStartDate,0,COLUMN()),"YYYYMMDD"),"END_DATE_OVERRIDE",TEXT(INDEX(MO_Common_QEndDate,0,COLUMN()),"YYYYMMDD")),"N/A")</f>
        <v/>
      </c>
      <c r="W1140" s="262">
        <f>IFERROR(_xll.BDP(MO.Ticker.Bloomberg&amp;" Equity","INTERVAL_LOW","MARKET_DATA_OVERRIDE=PX_LAST","START_DATE_OVERRIDE",TEXT(INDEX(MO_SNA_FPStartDate,0,COLUMN()),"YYYYMMDD"),"END_DATE_OVERRIDE",TEXT(INDEX(MO_Common_QEndDate,0,COLUMN()),"YYYYMMDD")),"N/A")</f>
        <v/>
      </c>
      <c r="X1140" s="262">
        <f>IFERROR(_xll.BDP(MO.Ticker.Bloomberg&amp;" Equity","INTERVAL_LOW","MARKET_DATA_OVERRIDE=PX_LAST","START_DATE_OVERRIDE",TEXT(INDEX(MO_SNA_FPStartDate,0,COLUMN()),"YYYYMMDD"),"END_DATE_OVERRIDE",TEXT(INDEX(MO_Common_QEndDate,0,COLUMN()),"YYYYMMDD")),"N/A")</f>
        <v/>
      </c>
      <c r="Y1140" s="262">
        <f>IFERROR(_xll.BDP(MO.Ticker.Bloomberg&amp;" Equity","INTERVAL_LOW","MARKET_DATA_OVERRIDE=PX_LAST","START_DATE_OVERRIDE",TEXT(INDEX(MO_SNA_FPStartDate,0,COLUMN()),"YYYYMMDD"),"END_DATE_OVERRIDE",TEXT(INDEX(MO_Common_QEndDate,0,COLUMN()),"YYYYMMDD")),"N/A")</f>
        <v/>
      </c>
      <c r="Z1140" s="262">
        <f>IFERROR(_xll.BDP(MO.Ticker.Bloomberg&amp;" Equity","INTERVAL_LOW","MARKET_DATA_OVERRIDE=PX_LAST","START_DATE_OVERRIDE",TEXT(INDEX(MO_SNA_FPStartDate,0,COLUMN()),"YYYYMMDD"),"END_DATE_OVERRIDE",TEXT(INDEX(MO_Common_QEndDate,0,COLUMN()),"YYYYMMDD")),"N/A")</f>
        <v/>
      </c>
      <c r="AA1140" s="262">
        <f>IFERROR(_xll.BDP(MO.Ticker.Bloomberg&amp;" Equity","INTERVAL_LOW","MARKET_DATA_OVERRIDE=PX_LAST","START_DATE_OVERRIDE",TEXT(INDEX(MO_SNA_FPStartDate,0,COLUMN()),"YYYYMMDD"),"END_DATE_OVERRIDE",TEXT(INDEX(MO_Common_QEndDate,0,COLUMN()),"YYYYMMDD")),"N/A")</f>
        <v/>
      </c>
      <c r="AB1140" s="262">
        <f>IFERROR(_xll.BDP(MO.Ticker.Bloomberg&amp;" Equity","INTERVAL_LOW","MARKET_DATA_OVERRIDE=PX_LAST","START_DATE_OVERRIDE",TEXT(INDEX(MO_SNA_FPStartDate,0,COLUMN()),"YYYYMMDD"),"END_DATE_OVERRIDE",TEXT(INDEX(MO_Common_QEndDate,0,COLUMN()),"YYYYMMDD")),"N/A")</f>
        <v/>
      </c>
      <c r="AC1140" s="262">
        <f>IFERROR(_xll.BDP(MO.Ticker.Bloomberg&amp;" Equity","INTERVAL_LOW","MARKET_DATA_OVERRIDE=PX_LAST","START_DATE_OVERRIDE",TEXT(INDEX(MO_SNA_FPStartDate,0,COLUMN()),"YYYYMMDD"),"END_DATE_OVERRIDE",TEXT(INDEX(MO_Common_QEndDate,0,COLUMN()),"YYYYMMDD")),"N/A")</f>
        <v/>
      </c>
      <c r="AD1140" s="262">
        <f>IFERROR(_xll.BDP(MO.Ticker.Bloomberg&amp;" Equity","INTERVAL_LOW","MARKET_DATA_OVERRIDE=PX_LAST","START_DATE_OVERRIDE",TEXT(INDEX(MO_SNA_FPStartDate,0,COLUMN()),"YYYYMMDD"),"END_DATE_OVERRIDE",TEXT(INDEX(MO_Common_QEndDate,0,COLUMN()),"YYYYMMDD")),"N/A")</f>
        <v/>
      </c>
      <c r="AE1140" s="262">
        <f>IFERROR(_xll.BDP(MO.Ticker.Bloomberg&amp;" Equity","INTERVAL_LOW","MARKET_DATA_OVERRIDE=PX_LAST","START_DATE_OVERRIDE",TEXT(INDEX(MO_SNA_FPStartDate,0,COLUMN()),"YYYYMMDD"),"END_DATE_OVERRIDE",TEXT(INDEX(MO_Common_QEndDate,0,COLUMN()),"YYYYMMDD")),"N/A")</f>
        <v/>
      </c>
      <c r="AF1140" s="262">
        <f>IFERROR(_xll.BDP(MO.Ticker.Bloomberg&amp;" Equity","INTERVAL_LOW","MARKET_DATA_OVERRIDE=PX_LAST","START_DATE_OVERRIDE",TEXT(INDEX(MO_SNA_FPStartDate,0,COLUMN()),"YYYYMMDD"),"END_DATE_OVERRIDE",TEXT(INDEX(MO_Common_QEndDate,0,COLUMN()),"YYYYMMDD")),"N/A")</f>
        <v/>
      </c>
      <c r="AG1140" s="262">
        <f>IFERROR(_xll.BDP(MO.Ticker.Bloomberg&amp;" Equity","INTERVAL_LOW","MARKET_DATA_OVERRIDE=PX_LAST","START_DATE_OVERRIDE",TEXT(INDEX(MO_SNA_FPStartDate,0,COLUMN()),"YYYYMMDD"),"END_DATE_OVERRIDE",TEXT(INDEX(MO_Common_QEndDate,0,COLUMN()),"YYYYMMDD")),"N/A")</f>
        <v/>
      </c>
      <c r="AH1140" s="262">
        <f>IFERROR(_xll.BDP(MO.Ticker.Bloomberg&amp;" Equity","INTERVAL_LOW","MARKET_DATA_OVERRIDE=PX_LAST","START_DATE_OVERRIDE",TEXT(INDEX(MO_SNA_FPStartDate,0,COLUMN()),"YYYYMMDD"),"END_DATE_OVERRIDE",TEXT(INDEX(MO_Common_QEndDate,0,COLUMN()),"YYYYMMDD")),"N/A")</f>
        <v/>
      </c>
      <c r="AI1140" s="262">
        <f>IFERROR(_xll.BDP(MO.Ticker.Bloomberg&amp;" Equity","INTERVAL_LOW","MARKET_DATA_OVERRIDE=PX_LAST","START_DATE_OVERRIDE",TEXT(INDEX(MO_SNA_FPStartDate,0,COLUMN()),"YYYYMMDD"),"END_DATE_OVERRIDE",TEXT(INDEX(MO_Common_QEndDate,0,COLUMN()),"YYYYMMDD")),"N/A")</f>
        <v/>
      </c>
      <c r="AJ1140" s="262">
        <f>IFERROR(_xll.BDP(MO.Ticker.Bloomberg&amp;" Equity","INTERVAL_LOW","MARKET_DATA_OVERRIDE=PX_LAST","START_DATE_OVERRIDE",TEXT(INDEX(MO_SNA_FPStartDate,0,COLUMN()),"YYYYMMDD"),"END_DATE_OVERRIDE",TEXT(INDEX(MO_Common_QEndDate,0,COLUMN()),"YYYYMMDD")),"N/A")</f>
        <v/>
      </c>
      <c r="AK1140" s="262">
        <f>IFERROR(_xll.BDP(MO.Ticker.Bloomberg&amp;" Equity","INTERVAL_LOW","MARKET_DATA_OVERRIDE=PX_LAST","START_DATE_OVERRIDE",TEXT(INDEX(MO_SNA_FPStartDate,0,COLUMN()),"YYYYMMDD"),"END_DATE_OVERRIDE",TEXT(INDEX(MO_Common_QEndDate,0,COLUMN()),"YYYYMMDD")),"N/A")</f>
        <v/>
      </c>
      <c r="AL1140" s="262">
        <f>IFERROR(_xll.BDP(MO.Ticker.Bloomberg&amp;" Equity","INTERVAL_LOW","MARKET_DATA_OVERRIDE=PX_LAST","START_DATE_OVERRIDE",TEXT(INDEX(MO_SNA_FPStartDate,0,COLUMN()),"YYYYMMDD"),"END_DATE_OVERRIDE",TEXT(INDEX(MO_Common_QEndDate,0,COLUMN()),"YYYYMMDD")),"N/A")</f>
        <v/>
      </c>
      <c r="AM1140" s="262">
        <f>IFERROR(_xll.BDP(MO.Ticker.Bloomberg&amp;" Equity","INTERVAL_LOW","MARKET_DATA_OVERRIDE=PX_LAST","START_DATE_OVERRIDE",TEXT(INDEX(MO_SNA_FPStartDate,0,COLUMN()),"YYYYMMDD"),"END_DATE_OVERRIDE",TEXT(INDEX(MO_Common_QEndDate,0,COLUMN()),"YYYYMMDD")),"N/A")</f>
        <v/>
      </c>
      <c r="AN1140" s="262">
        <f>IFERROR(_xll.BDP(MO.Ticker.Bloomberg&amp;" Equity","INTERVAL_LOW","MARKET_DATA_OVERRIDE=PX_LAST","START_DATE_OVERRIDE",TEXT(INDEX(MO_SNA_FPStartDate,0,COLUMN()),"YYYYMMDD"),"END_DATE_OVERRIDE",TEXT(INDEX(MO_Common_QEndDate,0,COLUMN()),"YYYYMMDD")),"N/A")</f>
        <v/>
      </c>
      <c r="AO1140" s="262">
        <f>IFERROR(_xll.BDP(MO.Ticker.Bloomberg&amp;" Equity","INTERVAL_LOW","MARKET_DATA_OVERRIDE=PX_LAST","START_DATE_OVERRIDE",TEXT(INDEX(MO_SNA_FPStartDate,0,COLUMN()),"YYYYMMDD"),"END_DATE_OVERRIDE",TEXT(INDEX(MO_Common_QEndDate,0,COLUMN()),"YYYYMMDD")),"N/A")</f>
        <v/>
      </c>
      <c r="AP1140" s="262">
        <f>IFERROR(_xll.BDP(MO.Ticker.Bloomberg&amp;" Equity","INTERVAL_LOW","MARKET_DATA_OVERRIDE=PX_LAST","START_DATE_OVERRIDE",TEXT(INDEX(MO_SNA_FPStartDate,0,COLUMN()),"YYYYMMDD"),"END_DATE_OVERRIDE",TEXT(INDEX(MO_Common_QEndDate,0,COLUMN()),"YYYYMMDD")),"N/A")</f>
        <v/>
      </c>
      <c r="AQ1140" s="262">
        <f>IFERROR(_xll.BDP(MO.Ticker.Bloomberg&amp;" Equity","INTERVAL_LOW","MARKET_DATA_OVERRIDE=PX_LAST","START_DATE_OVERRIDE",TEXT(INDEX(MO_SNA_FPStartDate,0,COLUMN()),"YYYYMMDD"),"END_DATE_OVERRIDE",TEXT(INDEX(MO_Common_QEndDate,0,COLUMN()),"YYYYMMDD")),"N/A")</f>
        <v/>
      </c>
      <c r="AR1140" s="262">
        <f>IFERROR(_xll.BDP(MO.Ticker.Bloomberg&amp;" Equity","INTERVAL_LOW","MARKET_DATA_OVERRIDE=PX_LAST","START_DATE_OVERRIDE",TEXT(INDEX(MO_SNA_FPStartDate,0,COLUMN()),"YYYYMMDD"),"END_DATE_OVERRIDE",TEXT(INDEX(MO_Common_QEndDate,0,COLUMN()),"YYYYMMDD")),"N/A")</f>
        <v/>
      </c>
      <c r="AS1140" s="262">
        <f>IFERROR(_xll.BDP(MO.Ticker.Bloomberg&amp;" Equity","INTERVAL_LOW","MARKET_DATA_OVERRIDE=PX_LAST","START_DATE_OVERRIDE",TEXT(INDEX(MO_SNA_FPStartDate,0,COLUMN()),"YYYYMMDD"),"END_DATE_OVERRIDE",TEXT(INDEX(MO_Common_QEndDate,0,COLUMN()),"YYYYMMDD")),"N/A")</f>
        <v/>
      </c>
      <c r="AT1140" s="262">
        <f>IFERROR(_xll.BDP(MO.Ticker.Bloomberg&amp;" Equity","INTERVAL_LOW","MARKET_DATA_OVERRIDE=PX_LAST","START_DATE_OVERRIDE",TEXT(INDEX(MO_SNA_FPStartDate,0,COLUMN()),"YYYYMMDD"),"END_DATE_OVERRIDE",TEXT(INDEX(MO_Common_QEndDate,0,COLUMN()),"YYYYMMDD")),"N/A")</f>
        <v/>
      </c>
      <c r="AU1140" s="262">
        <f>IFERROR(_xll.BDP(MO.Ticker.Bloomberg&amp;" Equity","INTERVAL_LOW","MARKET_DATA_OVERRIDE=PX_LAST","START_DATE_OVERRIDE",TEXT(INDEX(MO_SNA_FPStartDate,0,COLUMN()),"YYYYMMDD"),"END_DATE_OVERRIDE",TEXT(INDEX(MO_Common_QEndDate,0,COLUMN()),"YYYYMMDD")),"N/A")</f>
        <v/>
      </c>
      <c r="AV1140" s="262">
        <f>IFERROR(_xll.BDP(MO.Ticker.Bloomberg&amp;" Equity","INTERVAL_LOW","MARKET_DATA_OVERRIDE=PX_LAST","START_DATE_OVERRIDE",TEXT(INDEX(MO_SNA_FPStartDate,0,COLUMN()),"YYYYMMDD"),"END_DATE_OVERRIDE",TEXT(INDEX(MO_Common_QEndDate,0,COLUMN()),"YYYYMMDD")),"N/A")</f>
        <v/>
      </c>
      <c r="AW1140" s="262">
        <f>IFERROR(_xll.BDP(MO.Ticker.Bloomberg&amp;" Equity","INTERVAL_LOW","MARKET_DATA_OVERRIDE=PX_LAST","START_DATE_OVERRIDE",TEXT(INDEX(MO_SNA_FPStartDate,0,COLUMN()),"YYYYMMDD"),"END_DATE_OVERRIDE",TEXT(INDEX(MO_Common_QEndDate,0,COLUMN()),"YYYYMMDD")),"N/A")</f>
        <v/>
      </c>
      <c r="AX1140" s="262">
        <f>IFERROR(_xll.BDP(MO.Ticker.Bloomberg&amp;" Equity","INTERVAL_LOW","MARKET_DATA_OVERRIDE=PX_LAST","START_DATE_OVERRIDE",TEXT(INDEX(MO_SNA_FPStartDate,0,COLUMN()),"YYYYMMDD"),"END_DATE_OVERRIDE",TEXT(INDEX(MO_Common_QEndDate,0,COLUMN()),"YYYYMMDD")),"N/A")</f>
        <v/>
      </c>
      <c r="AY1140" s="262">
        <f>IFERROR(_xll.BDP(MO.Ticker.Bloomberg&amp;" Equity","INTERVAL_LOW","MARKET_DATA_OVERRIDE=PX_LAST","START_DATE_OVERRIDE",TEXT(INDEX(MO_SNA_FPStartDate,0,COLUMN()),"YYYYMMDD"),"END_DATE_OVERRIDE",TEXT(INDEX(MO_Common_QEndDate,0,COLUMN()),"YYYYMMDD")),"N/A")</f>
        <v/>
      </c>
      <c r="AZ1140" s="262">
        <f>IFERROR(_xll.BDP(MO.Ticker.Bloomberg&amp;" Equity","INTERVAL_LOW","MARKET_DATA_OVERRIDE=PX_LAST","START_DATE_OVERRIDE",TEXT(INDEX(MO_SNA_FPStartDate,0,COLUMN()),"YYYYMMDD"),"END_DATE_OVERRIDE",TEXT(INDEX(MO_Common_QEndDate,0,COLUMN()),"YYYYMMDD")),"N/A")</f>
        <v/>
      </c>
      <c r="BA1140" s="262">
        <f>IFERROR(_xll.BDP(MO.Ticker.Bloomberg&amp;" Equity","INTERVAL_LOW","MARKET_DATA_OVERRIDE=PX_LAST","START_DATE_OVERRIDE",TEXT(INDEX(MO_SNA_FPStartDate,0,COLUMN()),"YYYYMMDD"),"END_DATE_OVERRIDE",TEXT(INDEX(MO_Common_QEndDate,0,COLUMN()),"YYYYMMDD")),"N/A")</f>
        <v/>
      </c>
      <c r="BB1140" s="262">
        <f>IFERROR(_xll.BDP(MO.Ticker.Bloomberg&amp;" Equity","INTERVAL_LOW","MARKET_DATA_OVERRIDE=PX_LAST","START_DATE_OVERRIDE",TEXT(INDEX(MO_SNA_FPStartDate,0,COLUMN()),"YYYYMMDD"),"END_DATE_OVERRIDE",TEXT(INDEX(MO_Common_QEndDate,0,COLUMN()),"YYYYMMDD")),"N/A")</f>
        <v/>
      </c>
      <c r="BC1140" s="262">
        <f>IFERROR(_xll.BDP(MO.Ticker.Bloomberg&amp;" Equity","INTERVAL_LOW","MARKET_DATA_OVERRIDE=PX_LAST","START_DATE_OVERRIDE",TEXT(INDEX(MO_SNA_FPStartDate,0,COLUMN()),"YYYYMMDD"),"END_DATE_OVERRIDE",TEXT(INDEX(MO_Common_QEndDate,0,COLUMN()),"YYYYMMDD")),"N/A")</f>
        <v/>
      </c>
      <c r="BD1140" s="262">
        <f>IFERROR(_xll.BDP(MO.Ticker.Bloomberg&amp;" Equity","INTERVAL_LOW","MARKET_DATA_OVERRIDE=PX_LAST","START_DATE_OVERRIDE",TEXT(INDEX(MO_SNA_FPStartDate,0,COLUMN()),"YYYYMMDD"),"END_DATE_OVERRIDE",TEXT(INDEX(MO_Common_QEndDate,0,COLUMN()),"YYYYMMDD")),"N/A")</f>
        <v/>
      </c>
      <c r="BE1140" s="262">
        <f>IFERROR(_xll.BDP(MO.Ticker.Bloomberg&amp;" Equity","INTERVAL_LOW","MARKET_DATA_OVERRIDE=PX_LAST","START_DATE_OVERRIDE",TEXT(INDEX(MO_SNA_FPStartDate,0,COLUMN()),"YYYYMMDD"),"END_DATE_OVERRIDE",TEXT(INDEX(MO_Common_QEndDate,0,COLUMN()),"YYYYMMDD")),"N/A")</f>
        <v/>
      </c>
      <c r="BF1140" s="262">
        <f>IFERROR(_xll.BDP(MO.Ticker.Bloomberg&amp;" Equity","INTERVAL_LOW","MARKET_DATA_OVERRIDE=PX_LAST","START_DATE_OVERRIDE",TEXT(INDEX(MO_SNA_FPStartDate,0,COLUMN()),"YYYYMMDD"),"END_DATE_OVERRIDE",TEXT(INDEX(MO_Common_QEndDate,0,COLUMN()),"YYYYMMDD")),"N/A")</f>
        <v/>
      </c>
      <c r="BG1140" s="262">
        <f>IFERROR(_xll.BDP(MO.Ticker.Bloomberg&amp;" Equity","INTERVAL_LOW","MARKET_DATA_OVERRIDE=PX_LAST","START_DATE_OVERRIDE",TEXT(INDEX(MO_SNA_FPStartDate,0,COLUMN()),"YYYYMMDD"),"END_DATE_OVERRIDE",TEXT(INDEX(MO_Common_QEndDate,0,COLUMN()),"YYYYMMDD")),"N/A")</f>
        <v/>
      </c>
      <c r="BH1140" s="262">
        <f>IFERROR(_xll.BDP(MO.Ticker.Bloomberg&amp;" Equity","INTERVAL_LOW","MARKET_DATA_OVERRIDE=PX_LAST","START_DATE_OVERRIDE",TEXT(INDEX(MO_SNA_FPStartDate,0,COLUMN()),"YYYYMMDD"),"END_DATE_OVERRIDE",TEXT(INDEX(MO_Common_QEndDate,0,COLUMN()),"YYYYMMDD")),"N/A")</f>
        <v/>
      </c>
      <c r="BI1140" s="262">
        <f>IFERROR(_xll.BDP(MO.Ticker.Bloomberg&amp;" Equity","INTERVAL_LOW","MARKET_DATA_OVERRIDE=PX_LAST","START_DATE_OVERRIDE",TEXT(INDEX(MO_SNA_FPStartDate,0,COLUMN()),"YYYYMMDD"),"END_DATE_OVERRIDE",TEXT(INDEX(MO_Common_QEndDate,0,COLUMN()),"YYYYMMDD")),"N/A")</f>
        <v/>
      </c>
      <c r="BJ1140" s="262">
        <f>IFERROR(_xll.BDP(MO.Ticker.Bloomberg&amp;" Equity","INTERVAL_LOW","MARKET_DATA_OVERRIDE=PX_LAST","START_DATE_OVERRIDE",TEXT(INDEX(MO_SNA_FPStartDate,0,COLUMN()),"YYYYMMDD"),"END_DATE_OVERRIDE",TEXT(INDEX(MO_Common_QEndDate,0,COLUMN()),"YYYYMMDD")),"N/A")</f>
        <v/>
      </c>
      <c r="BK1140" s="262">
        <f>IFERROR(_xll.BDP(MO.Ticker.Bloomberg&amp;" Equity","INTERVAL_LOW","MARKET_DATA_OVERRIDE=PX_LAST","START_DATE_OVERRIDE",TEXT(INDEX(MO_SNA_FPStartDate,0,COLUMN()),"YYYYMMDD"),"END_DATE_OVERRIDE",TEXT(INDEX(MO_Common_QEndDate,0,COLUMN()),"YYYYMMDD")),"N/A")</f>
        <v/>
      </c>
      <c r="BL1140" s="262">
        <f>IFERROR(_xll.BDP(MO.Ticker.Bloomberg&amp;" Equity","INTERVAL_LOW","MARKET_DATA_OVERRIDE=PX_LAST","START_DATE_OVERRIDE",TEXT(INDEX(MO_SNA_FPStartDate,0,COLUMN()),"YYYYMMDD"),"END_DATE_OVERRIDE",TEXT(INDEX(MO_Common_QEndDate,0,COLUMN()),"YYYYMMDD")),"N/A")</f>
        <v/>
      </c>
      <c r="BM1140" s="262">
        <f>IFERROR(_xll.BDP(MO.Ticker.Bloomberg&amp;" Equity","INTERVAL_LOW","MARKET_DATA_OVERRIDE=PX_LAST","START_DATE_OVERRIDE",TEXT(INDEX(MO_SNA_FPStartDate,0,COLUMN()),"YYYYMMDD"),"END_DATE_OVERRIDE",TEXT(INDEX(MO_Common_QEndDate,0,COLUMN()),"YYYYMMDD")),"N/A")</f>
        <v/>
      </c>
      <c r="BN1140" s="262">
        <f>IFERROR(_xll.BDP(MO.Ticker.Bloomberg&amp;" Equity","INTERVAL_LOW","MARKET_DATA_OVERRIDE=PX_LAST","START_DATE_OVERRIDE",TEXT(INDEX(MO_SNA_FPStartDate,0,COLUMN()),"YYYYMMDD"),"END_DATE_OVERRIDE",TEXT(INDEX(MO_Common_QEndDate,0,COLUMN()),"YYYYMMDD")),"N/A")</f>
        <v/>
      </c>
      <c r="BO1140" s="262">
        <f>IFERROR(_xll.BDP(MO.Ticker.Bloomberg&amp;" Equity","INTERVAL_LOW","MARKET_DATA_OVERRIDE=PX_LAST","START_DATE_OVERRIDE",TEXT(INDEX(MO_SNA_FPStartDate,0,COLUMN()),"YYYYMMDD"),"END_DATE_OVERRIDE",TEXT(INDEX(MO_Common_QEndDate,0,COLUMN()),"YYYYMMDD")),"N/A")</f>
        <v/>
      </c>
      <c r="BP1140" s="262">
        <f>IFERROR(_xll.BDP(MO.Ticker.Bloomberg&amp;" Equity","INTERVAL_LOW","MARKET_DATA_OVERRIDE=PX_LAST","START_DATE_OVERRIDE",TEXT(INDEX(MO_SNA_FPStartDate,0,COLUMN()),"YYYYMMDD"),"END_DATE_OVERRIDE",TEXT(INDEX(MO_Common_QEndDate,0,COLUMN()),"YYYYMMDD")),"N/A")</f>
        <v/>
      </c>
      <c r="BQ1140" s="262">
        <f>IFERROR(_xll.BDP(MO.Ticker.Bloomberg&amp;" Equity","INTERVAL_LOW","MARKET_DATA_OVERRIDE=PX_LAST","START_DATE_OVERRIDE",TEXT(INDEX(MO_SNA_FPStartDate,0,COLUMN()),"YYYYMMDD"),"END_DATE_OVERRIDE",TEXT(INDEX(MO_Common_QEndDate,0,COLUMN()),"YYYYMMDD")),"N/A")</f>
        <v/>
      </c>
      <c r="BR1140" s="262">
        <f>IFERROR(_xll.BDP(MO.Ticker.Bloomberg&amp;" Equity","INTERVAL_LOW","MARKET_DATA_OVERRIDE=PX_LAST","START_DATE_OVERRIDE",TEXT(INDEX(MO_SNA_FPStartDate,0,COLUMN()),"YYYYMMDD"),"END_DATE_OVERRIDE",TEXT(INDEX(MO_Common_QEndDate,0,COLUMN()),"YYYYMMDD")),"N/A")</f>
        <v/>
      </c>
      <c r="BS1140" s="262">
        <f>IFERROR(_xll.BDP(MO.Ticker.Bloomberg&amp;" Equity","INTERVAL_LOW","MARKET_DATA_OVERRIDE=PX_LAST","START_DATE_OVERRIDE",TEXT(INDEX(MO_SNA_FPStartDate,0,COLUMN()),"YYYYMMDD"),"END_DATE_OVERRIDE",TEXT(INDEX(MO_Common_QEndDate,0,COLUMN()),"YYYYMMDD")),"N/A")</f>
        <v/>
      </c>
      <c r="BT1140" s="262">
        <f>IFERROR(_xll.BDP(MO.Ticker.Bloomberg&amp;" Equity","INTERVAL_LOW","MARKET_DATA_OVERRIDE=PX_LAST","START_DATE_OVERRIDE",TEXT(INDEX(MO_SNA_FPStartDate,0,COLUMN()),"YYYYMMDD"),"END_DATE_OVERRIDE",TEXT(INDEX(MO_Common_QEndDate,0,COLUMN()),"YYYYMMDD")),"N/A")</f>
        <v/>
      </c>
      <c r="BU1140" s="262">
        <f>IFERROR(_xll.BDP(MO.Ticker.Bloomberg&amp;" Equity","INTERVAL_LOW","MARKET_DATA_OVERRIDE=PX_LAST","START_DATE_OVERRIDE",TEXT(INDEX(MO_SNA_FPStartDate,0,COLUMN()),"YYYYMMDD"),"END_DATE_OVERRIDE",TEXT(INDEX(MO_Common_QEndDate,0,COLUMN()),"YYYYMMDD")),"N/A")</f>
        <v/>
      </c>
      <c r="BV1140" s="531">
        <f>IFERROR(_xll.BDP(MO.Ticker.Bloomberg&amp;" Equity","INTERVAL_LOW","MARKET_DATA_OVERRIDE=PX_LAST","START_DATE_OVERRIDE",TEXT(INDEX(MO_SNA_FPStartDate,0,COLUMN()),"YYYYMMDD"),"END_DATE_OVERRIDE",TEXT(INDEX(MO_Common_QEndDate,0,COLUMN()),"YYYYMMDD")),"N/A")</f>
        <v/>
      </c>
      <c r="BW1140" s="262">
        <f>IFERROR(_xll.BDP(MO.Ticker.Bloomberg&amp;" Equity","INTERVAL_LOW","MARKET_DATA_OVERRIDE=PX_LAST","START_DATE_OVERRIDE",TEXT(INDEX(MO_SNA_FPStartDate,0,COLUMN()),"YYYYMMDD"),"END_DATE_OVERRIDE",TEXT(INDEX(MO_Common_QEndDate,0,COLUMN()),"YYYYMMDD")),"N/A")</f>
        <v/>
      </c>
      <c r="BX1140" s="262">
        <f>IFERROR(_xll.BDP(MO.Ticker.Bloomberg&amp;" Equity","INTERVAL_LOW","MARKET_DATA_OVERRIDE=PX_LAST","START_DATE_OVERRIDE",TEXT(INDEX(MO_SNA_FPStartDate,0,COLUMN()),"YYYYMMDD"),"END_DATE_OVERRIDE",TEXT(INDEX(MO_Common_QEndDate,0,COLUMN()),"YYYYMMDD")),"N/A")</f>
        <v/>
      </c>
      <c r="BY1140" s="262">
        <f>IFERROR(_xll.BDP(MO.Ticker.Bloomberg&amp;" Equity","INTERVAL_LOW","MARKET_DATA_OVERRIDE=PX_LAST","START_DATE_OVERRIDE",TEXT(INDEX(MO_SNA_FPStartDate,0,COLUMN()),"YYYYMMDD"),"END_DATE_OVERRIDE",TEXT(INDEX(MO_Common_QEndDate,0,COLUMN()),"YYYYMMDD")),"N/A")</f>
        <v/>
      </c>
      <c r="BZ1140" s="262">
        <f>IFERROR(_xll.BDP(MO.Ticker.Bloomberg&amp;" Equity","INTERVAL_LOW","MARKET_DATA_OVERRIDE=PX_LAST","START_DATE_OVERRIDE",TEXT(INDEX(MO_SNA_FPStartDate,0,COLUMN()),"YYYYMMDD"),"END_DATE_OVERRIDE",TEXT(INDEX(MO_Common_QEndDate,0,COLUMN()),"YYYYMMDD")),"N/A")</f>
        <v/>
      </c>
      <c r="CA1140" s="262">
        <f>IFERROR(_xll.BDP(MO.Ticker.Bloomberg&amp;" Equity","INTERVAL_LOW","MARKET_DATA_OVERRIDE=PX_LAST","START_DATE_OVERRIDE",TEXT(INDEX(MO_SNA_FPStartDate,0,COLUMN()),"YYYYMMDD"),"END_DATE_OVERRIDE",TEXT(INDEX(MO_Common_QEndDate,0,COLUMN()),"YYYYMMDD")),"N/A")</f>
        <v/>
      </c>
      <c r="CB1140" s="262">
        <f>IFERROR(_xll.BDP(MO.Ticker.Bloomberg&amp;" Equity","INTERVAL_LOW","MARKET_DATA_OVERRIDE=PX_LAST","START_DATE_OVERRIDE",TEXT(INDEX(MO_SNA_FPStartDate,0,COLUMN()),"YYYYMMDD"),"END_DATE_OVERRIDE",TEXT(INDEX(MO_Common_QEndDate,0,COLUMN()),"YYYYMMDD")),"N/A")</f>
        <v/>
      </c>
      <c r="CC1140" s="262">
        <f>IFERROR(_xll.BDP(MO.Ticker.Bloomberg&amp;" Equity","INTERVAL_LOW","MARKET_DATA_OVERRIDE=PX_LAST","START_DATE_OVERRIDE",TEXT(INDEX(MO_SNA_FPStartDate,0,COLUMN()),"YYYYMMDD"),"END_DATE_OVERRIDE",TEXT(INDEX(MO_Common_QEndDate,0,COLUMN()),"YYYYMMDD")),"N/A")</f>
        <v/>
      </c>
      <c r="CD1140" s="262">
        <f>IFERROR(_xll.BDP(MO.Ticker.Bloomberg&amp;" Equity","INTERVAL_LOW","MARKET_DATA_OVERRIDE=PX_LAST","START_DATE_OVERRIDE",TEXT(INDEX(MO_SNA_FPStartDate,0,COLUMN()),"YYYYMMDD"),"END_DATE_OVERRIDE",TEXT(INDEX(MO_Common_QEndDate,0,COLUMN()),"YYYYMMDD")),"N/A")</f>
        <v/>
      </c>
      <c r="CE1140" s="262">
        <f>IFERROR(_xll.BDP(MO.Ticker.Bloomberg&amp;" Equity","INTERVAL_LOW","MARKET_DATA_OVERRIDE=PX_LAST","START_DATE_OVERRIDE",TEXT(INDEX(MO_SNA_FPStartDate,0,COLUMN()),"YYYYMMDD"),"END_DATE_OVERRIDE",TEXT(INDEX(MO_Common_QEndDate,0,COLUMN()),"YYYYMMDD")),"N/A")</f>
        <v/>
      </c>
      <c r="CF1140" s="263">
        <f>IFERROR(_xll.BDP(MO.Ticker.Bloomberg&amp;" Equity","INTERVAL_LOW","MARKET_DATA_OVERRIDE=PX_LAST","START_DATE_OVERRIDE",TEXT(INDEX(MO_SNA_FPStartDate,0,COLUMN()),"YYYYMMDD"),"END_DATE_OVERRIDE",TEXT(INDEX(MO_Common_QEndDate,0,COLUMN()),"YYYYMMDD")),"N/A")</f>
        <v/>
      </c>
      <c r="CG1140" s="155" t="n"/>
    </row>
    <row r="1141" hidden="1" outlineLevel="1">
      <c r="A1141" s="264" t="inlineStr">
        <is>
          <t>Capital IQ</t>
        </is>
      </c>
      <c r="B1141" s="262" t="n"/>
      <c r="C1141" s="1009">
        <f>IFERROR(CIQLO(MO.Ticker.CapIQ,"IQ_LASTSALEPRICE",INDEX(MO_SNA_FPStartDate,0,COLUMN()),INDEX(MO_Common_QEndDate,0,COLUMN())),"N/A")</f>
        <v/>
      </c>
      <c r="D1141" s="1009">
        <f>IFERROR(CIQLO(MO.Ticker.CapIQ,"IQ_LASTSALEPRICE",INDEX(MO_SNA_FPStartDate,0,COLUMN()),INDEX(MO_Common_QEndDate,0,COLUMN())),"N/A")</f>
        <v/>
      </c>
      <c r="E1141" s="1009">
        <f>IFERROR(CIQLO(MO.Ticker.CapIQ,"IQ_LASTSALEPRICE",INDEX(MO_SNA_FPStartDate,0,COLUMN()),INDEX(MO_Common_QEndDate,0,COLUMN())),"N/A")</f>
        <v/>
      </c>
      <c r="F1141" s="1009">
        <f>IFERROR(CIQLO(MO.Ticker.CapIQ,"IQ_LASTSALEPRICE",INDEX(MO_SNA_FPStartDate,0,COLUMN()),INDEX(MO_Common_QEndDate,0,COLUMN())),"N/A")</f>
        <v/>
      </c>
      <c r="G1141" s="1009">
        <f>IFERROR(CIQLO(MO.Ticker.CapIQ,"IQ_LASTSALEPRICE",INDEX(MO_SNA_FPStartDate,0,COLUMN()),INDEX(MO_Common_QEndDate,0,COLUMN())),"N/A")</f>
        <v/>
      </c>
      <c r="H1141" s="262">
        <f>IFERROR(CIQLO(MO.Ticker.CapIQ,"IQ_LASTSALEPRICE",INDEX(MO_SNA_FPStartDate,0,COLUMN()),INDEX(MO_Common_QEndDate,0,COLUMN())),"N/A")</f>
        <v/>
      </c>
      <c r="I1141" s="262">
        <f>IFERROR(CIQLO(MO.Ticker.CapIQ,"IQ_LASTSALEPRICE",INDEX(MO_SNA_FPStartDate,0,COLUMN()),INDEX(MO_Common_QEndDate,0,COLUMN())),"N/A")</f>
        <v/>
      </c>
      <c r="J1141" s="262">
        <f>IFERROR(CIQLO(MO.Ticker.CapIQ,"IQ_LASTSALEPRICE",INDEX(MO_SNA_FPStartDate,0,COLUMN()),INDEX(MO_Common_QEndDate,0,COLUMN())),"N/A")</f>
        <v/>
      </c>
      <c r="K1141" s="262">
        <f>IFERROR(CIQLO(MO.Ticker.CapIQ,"IQ_LASTSALEPRICE",INDEX(MO_SNA_FPStartDate,0,COLUMN()),INDEX(MO_Common_QEndDate,0,COLUMN())),"N/A")</f>
        <v/>
      </c>
      <c r="L1141" s="262">
        <f>IFERROR(CIQLO(MO.Ticker.CapIQ,"IQ_LASTSALEPRICE",INDEX(MO_SNA_FPStartDate,0,COLUMN()),INDEX(MO_Common_QEndDate,0,COLUMN())),"N/A")</f>
        <v/>
      </c>
      <c r="M1141" s="262">
        <f>IFERROR(CIQLO(MO.Ticker.CapIQ,"IQ_LASTSALEPRICE",INDEX(MO_SNA_FPStartDate,0,COLUMN()),INDEX(MO_Common_QEndDate,0,COLUMN())),"N/A")</f>
        <v/>
      </c>
      <c r="N1141" s="262">
        <f>IFERROR(CIQLO(MO.Ticker.CapIQ,"IQ_LASTSALEPRICE",INDEX(MO_SNA_FPStartDate,0,COLUMN()),INDEX(MO_Common_QEndDate,0,COLUMN())),"N/A")</f>
        <v/>
      </c>
      <c r="O1141" s="262">
        <f>IFERROR(CIQLO(MO.Ticker.CapIQ,"IQ_LASTSALEPRICE",INDEX(MO_SNA_FPStartDate,0,COLUMN()),INDEX(MO_Common_QEndDate,0,COLUMN())),"N/A")</f>
        <v/>
      </c>
      <c r="P1141" s="262">
        <f>IFERROR(CIQLO(MO.Ticker.CapIQ,"IQ_LASTSALEPRICE",INDEX(MO_SNA_FPStartDate,0,COLUMN()),INDEX(MO_Common_QEndDate,0,COLUMN())),"N/A")</f>
        <v/>
      </c>
      <c r="Q1141" s="262">
        <f>IFERROR(CIQLO(MO.Ticker.CapIQ,"IQ_LASTSALEPRICE",INDEX(MO_SNA_FPStartDate,0,COLUMN()),INDEX(MO_Common_QEndDate,0,COLUMN())),"N/A")</f>
        <v/>
      </c>
      <c r="R1141" s="262">
        <f>IFERROR(CIQLO(MO.Ticker.CapIQ,"IQ_LASTSALEPRICE",INDEX(MO_SNA_FPStartDate,0,COLUMN()),INDEX(MO_Common_QEndDate,0,COLUMN())),"N/A")</f>
        <v/>
      </c>
      <c r="S1141" s="262">
        <f>IFERROR(CIQLO(MO.Ticker.CapIQ,"IQ_LASTSALEPRICE",INDEX(MO_SNA_FPStartDate,0,COLUMN()),INDEX(MO_Common_QEndDate,0,COLUMN())),"N/A")</f>
        <v/>
      </c>
      <c r="T1141" s="262">
        <f>IFERROR(CIQLO(MO.Ticker.CapIQ,"IQ_LASTSALEPRICE",INDEX(MO_SNA_FPStartDate,0,COLUMN()),INDEX(MO_Common_QEndDate,0,COLUMN())),"N/A")</f>
        <v/>
      </c>
      <c r="U1141" s="262">
        <f>IFERROR(CIQLO(MO.Ticker.CapIQ,"IQ_LASTSALEPRICE",INDEX(MO_SNA_FPStartDate,0,COLUMN()),INDEX(MO_Common_QEndDate,0,COLUMN())),"N/A")</f>
        <v/>
      </c>
      <c r="V1141" s="262">
        <f>IFERROR(CIQLO(MO.Ticker.CapIQ,"IQ_LASTSALEPRICE",INDEX(MO_SNA_FPStartDate,0,COLUMN()),INDEX(MO_Common_QEndDate,0,COLUMN())),"N/A")</f>
        <v/>
      </c>
      <c r="W1141" s="262">
        <f>IFERROR(CIQLO(MO.Ticker.CapIQ,"IQ_LASTSALEPRICE",INDEX(MO_SNA_FPStartDate,0,COLUMN()),INDEX(MO_Common_QEndDate,0,COLUMN())),"N/A")</f>
        <v/>
      </c>
      <c r="X1141" s="262">
        <f>IFERROR(CIQLO(MO.Ticker.CapIQ,"IQ_LASTSALEPRICE",INDEX(MO_SNA_FPStartDate,0,COLUMN()),INDEX(MO_Common_QEndDate,0,COLUMN())),"N/A")</f>
        <v/>
      </c>
      <c r="Y1141" s="262">
        <f>IFERROR(CIQLO(MO.Ticker.CapIQ,"IQ_LASTSALEPRICE",INDEX(MO_SNA_FPStartDate,0,COLUMN()),INDEX(MO_Common_QEndDate,0,COLUMN())),"N/A")</f>
        <v/>
      </c>
      <c r="Z1141" s="262">
        <f>IFERROR(CIQLO(MO.Ticker.CapIQ,"IQ_LASTSALEPRICE",INDEX(MO_SNA_FPStartDate,0,COLUMN()),INDEX(MO_Common_QEndDate,0,COLUMN())),"N/A")</f>
        <v/>
      </c>
      <c r="AA1141" s="262">
        <f>IFERROR(CIQLO(MO.Ticker.CapIQ,"IQ_LASTSALEPRICE",INDEX(MO_SNA_FPStartDate,0,COLUMN()),INDEX(MO_Common_QEndDate,0,COLUMN())),"N/A")</f>
        <v/>
      </c>
      <c r="AB1141" s="262">
        <f>IFERROR(CIQLO(MO.Ticker.CapIQ,"IQ_LASTSALEPRICE",INDEX(MO_SNA_FPStartDate,0,COLUMN()),INDEX(MO_Common_QEndDate,0,COLUMN())),"N/A")</f>
        <v/>
      </c>
      <c r="AC1141" s="262">
        <f>IFERROR(CIQLO(MO.Ticker.CapIQ,"IQ_LASTSALEPRICE",INDEX(MO_SNA_FPStartDate,0,COLUMN()),INDEX(MO_Common_QEndDate,0,COLUMN())),"N/A")</f>
        <v/>
      </c>
      <c r="AD1141" s="262">
        <f>IFERROR(CIQLO(MO.Ticker.CapIQ,"IQ_LASTSALEPRICE",INDEX(MO_SNA_FPStartDate,0,COLUMN()),INDEX(MO_Common_QEndDate,0,COLUMN())),"N/A")</f>
        <v/>
      </c>
      <c r="AE1141" s="262">
        <f>IFERROR(CIQLO(MO.Ticker.CapIQ,"IQ_LASTSALEPRICE",INDEX(MO_SNA_FPStartDate,0,COLUMN()),INDEX(MO_Common_QEndDate,0,COLUMN())),"N/A")</f>
        <v/>
      </c>
      <c r="AF1141" s="262">
        <f>IFERROR(CIQLO(MO.Ticker.CapIQ,"IQ_LASTSALEPRICE",INDEX(MO_SNA_FPStartDate,0,COLUMN()),INDEX(MO_Common_QEndDate,0,COLUMN())),"N/A")</f>
        <v/>
      </c>
      <c r="AG1141" s="262">
        <f>IFERROR(CIQLO(MO.Ticker.CapIQ,"IQ_LASTSALEPRICE",INDEX(MO_SNA_FPStartDate,0,COLUMN()),INDEX(MO_Common_QEndDate,0,COLUMN())),"N/A")</f>
        <v/>
      </c>
      <c r="AH1141" s="262">
        <f>IFERROR(CIQLO(MO.Ticker.CapIQ,"IQ_LASTSALEPRICE",INDEX(MO_SNA_FPStartDate,0,COLUMN()),INDEX(MO_Common_QEndDate,0,COLUMN())),"N/A")</f>
        <v/>
      </c>
      <c r="AI1141" s="262">
        <f>IFERROR(CIQLO(MO.Ticker.CapIQ,"IQ_LASTSALEPRICE",INDEX(MO_SNA_FPStartDate,0,COLUMN()),INDEX(MO_Common_QEndDate,0,COLUMN())),"N/A")</f>
        <v/>
      </c>
      <c r="AJ1141" s="262">
        <f>IFERROR(CIQLO(MO.Ticker.CapIQ,"IQ_LASTSALEPRICE",INDEX(MO_SNA_FPStartDate,0,COLUMN()),INDEX(MO_Common_QEndDate,0,COLUMN())),"N/A")</f>
        <v/>
      </c>
      <c r="AK1141" s="262">
        <f>IFERROR(CIQLO(MO.Ticker.CapIQ,"IQ_LASTSALEPRICE",INDEX(MO_SNA_FPStartDate,0,COLUMN()),INDEX(MO_Common_QEndDate,0,COLUMN())),"N/A")</f>
        <v/>
      </c>
      <c r="AL1141" s="262">
        <f>IFERROR(CIQLO(MO.Ticker.CapIQ,"IQ_LASTSALEPRICE",INDEX(MO_SNA_FPStartDate,0,COLUMN()),INDEX(MO_Common_QEndDate,0,COLUMN())),"N/A")</f>
        <v/>
      </c>
      <c r="AM1141" s="262">
        <f>IFERROR(CIQLO(MO.Ticker.CapIQ,"IQ_LASTSALEPRICE",INDEX(MO_SNA_FPStartDate,0,COLUMN()),INDEX(MO_Common_QEndDate,0,COLUMN())),"N/A")</f>
        <v/>
      </c>
      <c r="AN1141" s="262">
        <f>IFERROR(CIQLO(MO.Ticker.CapIQ,"IQ_LASTSALEPRICE",INDEX(MO_SNA_FPStartDate,0,COLUMN()),INDEX(MO_Common_QEndDate,0,COLUMN())),"N/A")</f>
        <v/>
      </c>
      <c r="AO1141" s="262">
        <f>IFERROR(CIQLO(MO.Ticker.CapIQ,"IQ_LASTSALEPRICE",INDEX(MO_SNA_FPStartDate,0,COLUMN()),INDEX(MO_Common_QEndDate,0,COLUMN())),"N/A")</f>
        <v/>
      </c>
      <c r="AP1141" s="262">
        <f>IFERROR(CIQLO(MO.Ticker.CapIQ,"IQ_LASTSALEPRICE",INDEX(MO_SNA_FPStartDate,0,COLUMN()),INDEX(MO_Common_QEndDate,0,COLUMN())),"N/A")</f>
        <v/>
      </c>
      <c r="AQ1141" s="262">
        <f>IFERROR(CIQLO(MO.Ticker.CapIQ,"IQ_LASTSALEPRICE",INDEX(MO_SNA_FPStartDate,0,COLUMN()),INDEX(MO_Common_QEndDate,0,COLUMN())),"N/A")</f>
        <v/>
      </c>
      <c r="AR1141" s="262">
        <f>IFERROR(CIQLO(MO.Ticker.CapIQ,"IQ_LASTSALEPRICE",INDEX(MO_SNA_FPStartDate,0,COLUMN()),INDEX(MO_Common_QEndDate,0,COLUMN())),"N/A")</f>
        <v/>
      </c>
      <c r="AS1141" s="262">
        <f>IFERROR(CIQLO(MO.Ticker.CapIQ,"IQ_LASTSALEPRICE",INDEX(MO_SNA_FPStartDate,0,COLUMN()),INDEX(MO_Common_QEndDate,0,COLUMN())),"N/A")</f>
        <v/>
      </c>
      <c r="AT1141" s="262">
        <f>IFERROR(CIQLO(MO.Ticker.CapIQ,"IQ_LASTSALEPRICE",INDEX(MO_SNA_FPStartDate,0,COLUMN()),INDEX(MO_Common_QEndDate,0,COLUMN())),"N/A")</f>
        <v/>
      </c>
      <c r="AU1141" s="262">
        <f>IFERROR(CIQLO(MO.Ticker.CapIQ,"IQ_LASTSALEPRICE",INDEX(MO_SNA_FPStartDate,0,COLUMN()),INDEX(MO_Common_QEndDate,0,COLUMN())),"N/A")</f>
        <v/>
      </c>
      <c r="AV1141" s="262">
        <f>IFERROR(CIQLO(MO.Ticker.CapIQ,"IQ_LASTSALEPRICE",INDEX(MO_SNA_FPStartDate,0,COLUMN()),INDEX(MO_Common_QEndDate,0,COLUMN())),"N/A")</f>
        <v/>
      </c>
      <c r="AW1141" s="262">
        <f>IFERROR(CIQLO(MO.Ticker.CapIQ,"IQ_LASTSALEPRICE",INDEX(MO_SNA_FPStartDate,0,COLUMN()),INDEX(MO_Common_QEndDate,0,COLUMN())),"N/A")</f>
        <v/>
      </c>
      <c r="AX1141" s="262">
        <f>IFERROR(CIQLO(MO.Ticker.CapIQ,"IQ_LASTSALEPRICE",INDEX(MO_SNA_FPStartDate,0,COLUMN()),INDEX(MO_Common_QEndDate,0,COLUMN())),"N/A")</f>
        <v/>
      </c>
      <c r="AY1141" s="262">
        <f>IFERROR(CIQLO(MO.Ticker.CapIQ,"IQ_LASTSALEPRICE",INDEX(MO_SNA_FPStartDate,0,COLUMN()),INDEX(MO_Common_QEndDate,0,COLUMN())),"N/A")</f>
        <v/>
      </c>
      <c r="AZ1141" s="262">
        <f>IFERROR(CIQLO(MO.Ticker.CapIQ,"IQ_LASTSALEPRICE",INDEX(MO_SNA_FPStartDate,0,COLUMN()),INDEX(MO_Common_QEndDate,0,COLUMN())),"N/A")</f>
        <v/>
      </c>
      <c r="BA1141" s="262">
        <f>IFERROR(CIQLO(MO.Ticker.CapIQ,"IQ_LASTSALEPRICE",INDEX(MO_SNA_FPStartDate,0,COLUMN()),INDEX(MO_Common_QEndDate,0,COLUMN())),"N/A")</f>
        <v/>
      </c>
      <c r="BB1141" s="262">
        <f>IFERROR(CIQLO(MO.Ticker.CapIQ,"IQ_LASTSALEPRICE",INDEX(MO_SNA_FPStartDate,0,COLUMN()),INDEX(MO_Common_QEndDate,0,COLUMN())),"N/A")</f>
        <v/>
      </c>
      <c r="BC1141" s="262">
        <f>IFERROR(CIQLO(MO.Ticker.CapIQ,"IQ_LASTSALEPRICE",INDEX(MO_SNA_FPStartDate,0,COLUMN()),INDEX(MO_Common_QEndDate,0,COLUMN())),"N/A")</f>
        <v/>
      </c>
      <c r="BD1141" s="262">
        <f>IFERROR(CIQLO(MO.Ticker.CapIQ,"IQ_LASTSALEPRICE",INDEX(MO_SNA_FPStartDate,0,COLUMN()),INDEX(MO_Common_QEndDate,0,COLUMN())),"N/A")</f>
        <v/>
      </c>
      <c r="BE1141" s="262">
        <f>IFERROR(CIQLO(MO.Ticker.CapIQ,"IQ_LASTSALEPRICE",INDEX(MO_SNA_FPStartDate,0,COLUMN()),INDEX(MO_Common_QEndDate,0,COLUMN())),"N/A")</f>
        <v/>
      </c>
      <c r="BF1141" s="262">
        <f>IFERROR(CIQLO(MO.Ticker.CapIQ,"IQ_LASTSALEPRICE",INDEX(MO_SNA_FPStartDate,0,COLUMN()),INDEX(MO_Common_QEndDate,0,COLUMN())),"N/A")</f>
        <v/>
      </c>
      <c r="BG1141" s="262">
        <f>IFERROR(CIQLO(MO.Ticker.CapIQ,"IQ_LASTSALEPRICE",INDEX(MO_SNA_FPStartDate,0,COLUMN()),INDEX(MO_Common_QEndDate,0,COLUMN())),"N/A")</f>
        <v/>
      </c>
      <c r="BH1141" s="262">
        <f>IFERROR(CIQLO(MO.Ticker.CapIQ,"IQ_LASTSALEPRICE",INDEX(MO_SNA_FPStartDate,0,COLUMN()),INDEX(MO_Common_QEndDate,0,COLUMN())),"N/A")</f>
        <v/>
      </c>
      <c r="BI1141" s="262">
        <f>IFERROR(CIQLO(MO.Ticker.CapIQ,"IQ_LASTSALEPRICE",INDEX(MO_SNA_FPStartDate,0,COLUMN()),INDEX(MO_Common_QEndDate,0,COLUMN())),"N/A")</f>
        <v/>
      </c>
      <c r="BJ1141" s="262">
        <f>IFERROR(CIQLO(MO.Ticker.CapIQ,"IQ_LASTSALEPRICE",INDEX(MO_SNA_FPStartDate,0,COLUMN()),INDEX(MO_Common_QEndDate,0,COLUMN())),"N/A")</f>
        <v/>
      </c>
      <c r="BK1141" s="262">
        <f>IFERROR(CIQLO(MO.Ticker.CapIQ,"IQ_LASTSALEPRICE",INDEX(MO_SNA_FPStartDate,0,COLUMN()),INDEX(MO_Common_QEndDate,0,COLUMN())),"N/A")</f>
        <v/>
      </c>
      <c r="BL1141" s="262">
        <f>IFERROR(CIQLO(MO.Ticker.CapIQ,"IQ_LASTSALEPRICE",INDEX(MO_SNA_FPStartDate,0,COLUMN()),INDEX(MO_Common_QEndDate,0,COLUMN())),"N/A")</f>
        <v/>
      </c>
      <c r="BM1141" s="262">
        <f>IFERROR(CIQLO(MO.Ticker.CapIQ,"IQ_LASTSALEPRICE",INDEX(MO_SNA_FPStartDate,0,COLUMN()),INDEX(MO_Common_QEndDate,0,COLUMN())),"N/A")</f>
        <v/>
      </c>
      <c r="BN1141" s="262">
        <f>IFERROR(CIQLO(MO.Ticker.CapIQ,"IQ_LASTSALEPRICE",INDEX(MO_SNA_FPStartDate,0,COLUMN()),INDEX(MO_Common_QEndDate,0,COLUMN())),"N/A")</f>
        <v/>
      </c>
      <c r="BO1141" s="262">
        <f>IFERROR(CIQLO(MO.Ticker.CapIQ,"IQ_LASTSALEPRICE",INDEX(MO_SNA_FPStartDate,0,COLUMN()),INDEX(MO_Common_QEndDate,0,COLUMN())),"N/A")</f>
        <v/>
      </c>
      <c r="BP1141" s="262">
        <f>IFERROR(CIQLO(MO.Ticker.CapIQ,"IQ_LASTSALEPRICE",INDEX(MO_SNA_FPStartDate,0,COLUMN()),INDEX(MO_Common_QEndDate,0,COLUMN())),"N/A")</f>
        <v/>
      </c>
      <c r="BQ1141" s="262">
        <f>IFERROR(CIQLO(MO.Ticker.CapIQ,"IQ_LASTSALEPRICE",INDEX(MO_SNA_FPStartDate,0,COLUMN()),INDEX(MO_Common_QEndDate,0,COLUMN())),"N/A")</f>
        <v/>
      </c>
      <c r="BR1141" s="262">
        <f>IFERROR(CIQLO(MO.Ticker.CapIQ,"IQ_LASTSALEPRICE",INDEX(MO_SNA_FPStartDate,0,COLUMN()),INDEX(MO_Common_QEndDate,0,COLUMN())),"N/A")</f>
        <v/>
      </c>
      <c r="BS1141" s="262">
        <f>IFERROR(CIQLO(MO.Ticker.CapIQ,"IQ_LASTSALEPRICE",INDEX(MO_SNA_FPStartDate,0,COLUMN()),INDEX(MO_Common_QEndDate,0,COLUMN())),"N/A")</f>
        <v/>
      </c>
      <c r="BT1141" s="262">
        <f>IFERROR(CIQLO(MO.Ticker.CapIQ,"IQ_LASTSALEPRICE",INDEX(MO_SNA_FPStartDate,0,COLUMN()),INDEX(MO_Common_QEndDate,0,COLUMN())),"N/A")</f>
        <v/>
      </c>
      <c r="BU1141" s="262">
        <f>IFERROR(CIQLO(MO.Ticker.CapIQ,"IQ_LASTSALEPRICE",INDEX(MO_SNA_FPStartDate,0,COLUMN()),INDEX(MO_Common_QEndDate,0,COLUMN())),"N/A")</f>
        <v/>
      </c>
      <c r="BV1141" s="531">
        <f>IFERROR(CIQLO(MO.Ticker.CapIQ,"IQ_LASTSALEPRICE",INDEX(MO_SNA_FPStartDate,0,COLUMN()),INDEX(MO_Common_QEndDate,0,COLUMN())),"N/A")</f>
        <v/>
      </c>
      <c r="BW1141" s="262">
        <f>IFERROR(CIQLO(MO.Ticker.CapIQ,"IQ_LASTSALEPRICE",INDEX(MO_SNA_FPStartDate,0,COLUMN()),INDEX(MO_Common_QEndDate,0,COLUMN())),"N/A")</f>
        <v/>
      </c>
      <c r="BX1141" s="262">
        <f>IFERROR(CIQLO(MO.Ticker.CapIQ,"IQ_LASTSALEPRICE",INDEX(MO_SNA_FPStartDate,0,COLUMN()),INDEX(MO_Common_QEndDate,0,COLUMN())),"N/A")</f>
        <v/>
      </c>
      <c r="BY1141" s="262">
        <f>IFERROR(CIQLO(MO.Ticker.CapIQ,"IQ_LASTSALEPRICE",INDEX(MO_SNA_FPStartDate,0,COLUMN()),INDEX(MO_Common_QEndDate,0,COLUMN())),"N/A")</f>
        <v/>
      </c>
      <c r="BZ1141" s="262">
        <f>IFERROR(CIQLO(MO.Ticker.CapIQ,"IQ_LASTSALEPRICE",INDEX(MO_SNA_FPStartDate,0,COLUMN()),INDEX(MO_Common_QEndDate,0,COLUMN())),"N/A")</f>
        <v/>
      </c>
      <c r="CA1141" s="262">
        <f>IFERROR(CIQLO(MO.Ticker.CapIQ,"IQ_LASTSALEPRICE",INDEX(MO_SNA_FPStartDate,0,COLUMN()),INDEX(MO_Common_QEndDate,0,COLUMN())),"N/A")</f>
        <v/>
      </c>
      <c r="CB1141" s="262">
        <f>IFERROR(CIQLO(MO.Ticker.CapIQ,"IQ_LASTSALEPRICE",INDEX(MO_SNA_FPStartDate,0,COLUMN()),INDEX(MO_Common_QEndDate,0,COLUMN())),"N/A")</f>
        <v/>
      </c>
      <c r="CC1141" s="262">
        <f>IFERROR(CIQLO(MO.Ticker.CapIQ,"IQ_LASTSALEPRICE",INDEX(MO_SNA_FPStartDate,0,COLUMN()),INDEX(MO_Common_QEndDate,0,COLUMN())),"N/A")</f>
        <v/>
      </c>
      <c r="CD1141" s="262">
        <f>IFERROR(CIQLO(MO.Ticker.CapIQ,"IQ_LASTSALEPRICE",INDEX(MO_SNA_FPStartDate,0,COLUMN()),INDEX(MO_Common_QEndDate,0,COLUMN())),"N/A")</f>
        <v/>
      </c>
      <c r="CE1141" s="262">
        <f>IFERROR(CIQLO(MO.Ticker.CapIQ,"IQ_LASTSALEPRICE",INDEX(MO_SNA_FPStartDate,0,COLUMN()),INDEX(MO_Common_QEndDate,0,COLUMN())),"N/A")</f>
        <v/>
      </c>
      <c r="CF1141" s="263">
        <f>IFERROR(CIQLO(MO.Ticker.CapIQ,"IQ_LASTSALEPRICE",INDEX(MO_SNA_FPStartDate,0,COLUMN()),INDEX(MO_Common_QEndDate,0,COLUMN())),"N/A")</f>
        <v/>
      </c>
      <c r="CG1141" s="155" t="n"/>
    </row>
    <row r="1142" hidden="1" outlineLevel="1">
      <c r="A1142" s="264" t="inlineStr">
        <is>
          <t>FactSet</t>
        </is>
      </c>
      <c r="B1142" s="262" t="n"/>
      <c r="C1142" s="1009">
        <f>IFERROR(_xll.FDS(MO.Ticker.FactSet,"P_PRICE_LOW"&amp;"("&amp;INDEX(MO_SNA_FPStartDate,0,COLUMN())&amp;","&amp;INDEX(MO_Common_QEndDate,0,COLUMN())&amp;",,,,""PRICE"",""CLOSE"")"),"N/A")</f>
        <v/>
      </c>
      <c r="D1142" s="1009">
        <f>IFERROR(_xll.FDS(MO.Ticker.FactSet,"P_PRICE_LOW"&amp;"("&amp;INDEX(MO_SNA_FPStartDate,0,COLUMN())&amp;","&amp;INDEX(MO_Common_QEndDate,0,COLUMN())&amp;",,,,""PRICE"",""CLOSE"")"),"N/A")</f>
        <v/>
      </c>
      <c r="E1142" s="1009">
        <f>IFERROR(_xll.FDS(MO.Ticker.FactSet,"P_PRICE_LOW"&amp;"("&amp;INDEX(MO_SNA_FPStartDate,0,COLUMN())&amp;","&amp;INDEX(MO_Common_QEndDate,0,COLUMN())&amp;",,,,""PRICE"",""CLOSE"")"),"N/A")</f>
        <v/>
      </c>
      <c r="F1142" s="1009">
        <f>IFERROR(_xll.FDS(MO.Ticker.FactSet,"P_PRICE_LOW"&amp;"("&amp;INDEX(MO_SNA_FPStartDate,0,COLUMN())&amp;","&amp;INDEX(MO_Common_QEndDate,0,COLUMN())&amp;",,,,""PRICE"",""CLOSE"")"),"N/A")</f>
        <v/>
      </c>
      <c r="G1142" s="1009">
        <f>IFERROR(_xll.FDS(MO.Ticker.FactSet,"P_PRICE_LOW"&amp;"("&amp;INDEX(MO_SNA_FPStartDate,0,COLUMN())&amp;","&amp;INDEX(MO_Common_QEndDate,0,COLUMN())&amp;",,,,""PRICE"",""CLOSE"")"),"N/A")</f>
        <v/>
      </c>
      <c r="H1142" s="262">
        <f>IFERROR(_xll.FDS(MO.Ticker.FactSet,"P_PRICE_LOW"&amp;"("&amp;INDEX(MO_SNA_FPStartDate,0,COLUMN())&amp;","&amp;INDEX(MO_Common_QEndDate,0,COLUMN())&amp;",,,,""PRICE"",""CLOSE"")"),"N/A")</f>
        <v/>
      </c>
      <c r="I1142" s="262">
        <f>IFERROR(_xll.FDS(MO.Ticker.FactSet,"P_PRICE_LOW"&amp;"("&amp;INDEX(MO_SNA_FPStartDate,0,COLUMN())&amp;","&amp;INDEX(MO_Common_QEndDate,0,COLUMN())&amp;",,,,""PRICE"",""CLOSE"")"),"N/A")</f>
        <v/>
      </c>
      <c r="J1142" s="262">
        <f>IFERROR(_xll.FDS(MO.Ticker.FactSet,"P_PRICE_LOW"&amp;"("&amp;INDEX(MO_SNA_FPStartDate,0,COLUMN())&amp;","&amp;INDEX(MO_Common_QEndDate,0,COLUMN())&amp;",,,,""PRICE"",""CLOSE"")"),"N/A")</f>
        <v/>
      </c>
      <c r="K1142" s="262">
        <f>IFERROR(_xll.FDS(MO.Ticker.FactSet,"P_PRICE_LOW"&amp;"("&amp;INDEX(MO_SNA_FPStartDate,0,COLUMN())&amp;","&amp;INDEX(MO_Common_QEndDate,0,COLUMN())&amp;",,,,""PRICE"",""CLOSE"")"),"N/A")</f>
        <v/>
      </c>
      <c r="L1142" s="262">
        <f>IFERROR(_xll.FDS(MO.Ticker.FactSet,"P_PRICE_LOW"&amp;"("&amp;INDEX(MO_SNA_FPStartDate,0,COLUMN())&amp;","&amp;INDEX(MO_Common_QEndDate,0,COLUMN())&amp;",,,,""PRICE"",""CLOSE"")"),"N/A")</f>
        <v/>
      </c>
      <c r="M1142" s="262">
        <f>IFERROR(_xll.FDS(MO.Ticker.FactSet,"P_PRICE_LOW"&amp;"("&amp;INDEX(MO_SNA_FPStartDate,0,COLUMN())&amp;","&amp;INDEX(MO_Common_QEndDate,0,COLUMN())&amp;",,,,""PRICE"",""CLOSE"")"),"N/A")</f>
        <v/>
      </c>
      <c r="N1142" s="262">
        <f>IFERROR(_xll.FDS(MO.Ticker.FactSet,"P_PRICE_LOW"&amp;"("&amp;INDEX(MO_SNA_FPStartDate,0,COLUMN())&amp;","&amp;INDEX(MO_Common_QEndDate,0,COLUMN())&amp;",,,,""PRICE"",""CLOSE"")"),"N/A")</f>
        <v/>
      </c>
      <c r="O1142" s="262">
        <f>IFERROR(_xll.FDS(MO.Ticker.FactSet,"P_PRICE_LOW"&amp;"("&amp;INDEX(MO_SNA_FPStartDate,0,COLUMN())&amp;","&amp;INDEX(MO_Common_QEndDate,0,COLUMN())&amp;",,,,""PRICE"",""CLOSE"")"),"N/A")</f>
        <v/>
      </c>
      <c r="P1142" s="262">
        <f>IFERROR(_xll.FDS(MO.Ticker.FactSet,"P_PRICE_LOW"&amp;"("&amp;INDEX(MO_SNA_FPStartDate,0,COLUMN())&amp;","&amp;INDEX(MO_Common_QEndDate,0,COLUMN())&amp;",,,,""PRICE"",""CLOSE"")"),"N/A")</f>
        <v/>
      </c>
      <c r="Q1142" s="262">
        <f>IFERROR(_xll.FDS(MO.Ticker.FactSet,"P_PRICE_LOW"&amp;"("&amp;INDEX(MO_SNA_FPStartDate,0,COLUMN())&amp;","&amp;INDEX(MO_Common_QEndDate,0,COLUMN())&amp;",,,,""PRICE"",""CLOSE"")"),"N/A")</f>
        <v/>
      </c>
      <c r="R1142" s="262">
        <f>IFERROR(_xll.FDS(MO.Ticker.FactSet,"P_PRICE_LOW"&amp;"("&amp;INDEX(MO_SNA_FPStartDate,0,COLUMN())&amp;","&amp;INDEX(MO_Common_QEndDate,0,COLUMN())&amp;",,,,""PRICE"",""CLOSE"")"),"N/A")</f>
        <v/>
      </c>
      <c r="S1142" s="262">
        <f>IFERROR(_xll.FDS(MO.Ticker.FactSet,"P_PRICE_LOW"&amp;"("&amp;INDEX(MO_SNA_FPStartDate,0,COLUMN())&amp;","&amp;INDEX(MO_Common_QEndDate,0,COLUMN())&amp;",,,,""PRICE"",""CLOSE"")"),"N/A")</f>
        <v/>
      </c>
      <c r="T1142" s="262">
        <f>IFERROR(_xll.FDS(MO.Ticker.FactSet,"P_PRICE_LOW"&amp;"("&amp;INDEX(MO_SNA_FPStartDate,0,COLUMN())&amp;","&amp;INDEX(MO_Common_QEndDate,0,COLUMN())&amp;",,,,""PRICE"",""CLOSE"")"),"N/A")</f>
        <v/>
      </c>
      <c r="U1142" s="262">
        <f>IFERROR(_xll.FDS(MO.Ticker.FactSet,"P_PRICE_LOW"&amp;"("&amp;INDEX(MO_SNA_FPStartDate,0,COLUMN())&amp;","&amp;INDEX(MO_Common_QEndDate,0,COLUMN())&amp;",,,,""PRICE"",""CLOSE"")"),"N/A")</f>
        <v/>
      </c>
      <c r="V1142" s="262">
        <f>IFERROR(_xll.FDS(MO.Ticker.FactSet,"P_PRICE_LOW"&amp;"("&amp;INDEX(MO_SNA_FPStartDate,0,COLUMN())&amp;","&amp;INDEX(MO_Common_QEndDate,0,COLUMN())&amp;",,,,""PRICE"",""CLOSE"")"),"N/A")</f>
        <v/>
      </c>
      <c r="W1142" s="262">
        <f>IFERROR(_xll.FDS(MO.Ticker.FactSet,"P_PRICE_LOW"&amp;"("&amp;INDEX(MO_SNA_FPStartDate,0,COLUMN())&amp;","&amp;INDEX(MO_Common_QEndDate,0,COLUMN())&amp;",,,,""PRICE"",""CLOSE"")"),"N/A")</f>
        <v/>
      </c>
      <c r="X1142" s="262">
        <f>IFERROR(_xll.FDS(MO.Ticker.FactSet,"P_PRICE_LOW"&amp;"("&amp;INDEX(MO_SNA_FPStartDate,0,COLUMN())&amp;","&amp;INDEX(MO_Common_QEndDate,0,COLUMN())&amp;",,,,""PRICE"",""CLOSE"")"),"N/A")</f>
        <v/>
      </c>
      <c r="Y1142" s="262">
        <f>IFERROR(_xll.FDS(MO.Ticker.FactSet,"P_PRICE_LOW"&amp;"("&amp;INDEX(MO_SNA_FPStartDate,0,COLUMN())&amp;","&amp;INDEX(MO_Common_QEndDate,0,COLUMN())&amp;",,,,""PRICE"",""CLOSE"")"),"N/A")</f>
        <v/>
      </c>
      <c r="Z1142" s="262">
        <f>IFERROR(_xll.FDS(MO.Ticker.FactSet,"P_PRICE_LOW"&amp;"("&amp;INDEX(MO_SNA_FPStartDate,0,COLUMN())&amp;","&amp;INDEX(MO_Common_QEndDate,0,COLUMN())&amp;",,,,""PRICE"",""CLOSE"")"),"N/A")</f>
        <v/>
      </c>
      <c r="AA1142" s="262">
        <f>IFERROR(_xll.FDS(MO.Ticker.FactSet,"P_PRICE_LOW"&amp;"("&amp;INDEX(MO_SNA_FPStartDate,0,COLUMN())&amp;","&amp;INDEX(MO_Common_QEndDate,0,COLUMN())&amp;",,,,""PRICE"",""CLOSE"")"),"N/A")</f>
        <v/>
      </c>
      <c r="AB1142" s="262">
        <f>IFERROR(_xll.FDS(MO.Ticker.FactSet,"P_PRICE_LOW"&amp;"("&amp;INDEX(MO_SNA_FPStartDate,0,COLUMN())&amp;","&amp;INDEX(MO_Common_QEndDate,0,COLUMN())&amp;",,,,""PRICE"",""CLOSE"")"),"N/A")</f>
        <v/>
      </c>
      <c r="AC1142" s="262">
        <f>IFERROR(_xll.FDS(MO.Ticker.FactSet,"P_PRICE_LOW"&amp;"("&amp;INDEX(MO_SNA_FPStartDate,0,COLUMN())&amp;","&amp;INDEX(MO_Common_QEndDate,0,COLUMN())&amp;",,,,""PRICE"",""CLOSE"")"),"N/A")</f>
        <v/>
      </c>
      <c r="AD1142" s="262">
        <f>IFERROR(_xll.FDS(MO.Ticker.FactSet,"P_PRICE_LOW"&amp;"("&amp;INDEX(MO_SNA_FPStartDate,0,COLUMN())&amp;","&amp;INDEX(MO_Common_QEndDate,0,COLUMN())&amp;",,,,""PRICE"",""CLOSE"")"),"N/A")</f>
        <v/>
      </c>
      <c r="AE1142" s="262">
        <f>IFERROR(_xll.FDS(MO.Ticker.FactSet,"P_PRICE_LOW"&amp;"("&amp;INDEX(MO_SNA_FPStartDate,0,COLUMN())&amp;","&amp;INDEX(MO_Common_QEndDate,0,COLUMN())&amp;",,,,""PRICE"",""CLOSE"")"),"N/A")</f>
        <v/>
      </c>
      <c r="AF1142" s="262">
        <f>IFERROR(_xll.FDS(MO.Ticker.FactSet,"P_PRICE_LOW"&amp;"("&amp;INDEX(MO_SNA_FPStartDate,0,COLUMN())&amp;","&amp;INDEX(MO_Common_QEndDate,0,COLUMN())&amp;",,,,""PRICE"",""CLOSE"")"),"N/A")</f>
        <v/>
      </c>
      <c r="AG1142" s="262">
        <f>IFERROR(_xll.FDS(MO.Ticker.FactSet,"P_PRICE_LOW"&amp;"("&amp;INDEX(MO_SNA_FPStartDate,0,COLUMN())&amp;","&amp;INDEX(MO_Common_QEndDate,0,COLUMN())&amp;",,,,""PRICE"",""CLOSE"")"),"N/A")</f>
        <v/>
      </c>
      <c r="AH1142" s="262">
        <f>IFERROR(_xll.FDS(MO.Ticker.FactSet,"P_PRICE_LOW"&amp;"("&amp;INDEX(MO_SNA_FPStartDate,0,COLUMN())&amp;","&amp;INDEX(MO_Common_QEndDate,0,COLUMN())&amp;",,,,""PRICE"",""CLOSE"")"),"N/A")</f>
        <v/>
      </c>
      <c r="AI1142" s="262">
        <f>IFERROR(_xll.FDS(MO.Ticker.FactSet,"P_PRICE_LOW"&amp;"("&amp;INDEX(MO_SNA_FPStartDate,0,COLUMN())&amp;","&amp;INDEX(MO_Common_QEndDate,0,COLUMN())&amp;",,,,""PRICE"",""CLOSE"")"),"N/A")</f>
        <v/>
      </c>
      <c r="AJ1142" s="262">
        <f>IFERROR(_xll.FDS(MO.Ticker.FactSet,"P_PRICE_LOW"&amp;"("&amp;INDEX(MO_SNA_FPStartDate,0,COLUMN())&amp;","&amp;INDEX(MO_Common_QEndDate,0,COLUMN())&amp;",,,,""PRICE"",""CLOSE"")"),"N/A")</f>
        <v/>
      </c>
      <c r="AK1142" s="262">
        <f>IFERROR(_xll.FDS(MO.Ticker.FactSet,"P_PRICE_LOW"&amp;"("&amp;INDEX(MO_SNA_FPStartDate,0,COLUMN())&amp;","&amp;INDEX(MO_Common_QEndDate,0,COLUMN())&amp;",,,,""PRICE"",""CLOSE"")"),"N/A")</f>
        <v/>
      </c>
      <c r="AL1142" s="262">
        <f>IFERROR(_xll.FDS(MO.Ticker.FactSet,"P_PRICE_LOW"&amp;"("&amp;INDEX(MO_SNA_FPStartDate,0,COLUMN())&amp;","&amp;INDEX(MO_Common_QEndDate,0,COLUMN())&amp;",,,,""PRICE"",""CLOSE"")"),"N/A")</f>
        <v/>
      </c>
      <c r="AM1142" s="262">
        <f>IFERROR(_xll.FDS(MO.Ticker.FactSet,"P_PRICE_LOW"&amp;"("&amp;INDEX(MO_SNA_FPStartDate,0,COLUMN())&amp;","&amp;INDEX(MO_Common_QEndDate,0,COLUMN())&amp;",,,,""PRICE"",""CLOSE"")"),"N/A")</f>
        <v/>
      </c>
      <c r="AN1142" s="262">
        <f>IFERROR(_xll.FDS(MO.Ticker.FactSet,"P_PRICE_LOW"&amp;"("&amp;INDEX(MO_SNA_FPStartDate,0,COLUMN())&amp;","&amp;INDEX(MO_Common_QEndDate,0,COLUMN())&amp;",,,,""PRICE"",""CLOSE"")"),"N/A")</f>
        <v/>
      </c>
      <c r="AO1142" s="262">
        <f>IFERROR(_xll.FDS(MO.Ticker.FactSet,"P_PRICE_LOW"&amp;"("&amp;INDEX(MO_SNA_FPStartDate,0,COLUMN())&amp;","&amp;INDEX(MO_Common_QEndDate,0,COLUMN())&amp;",,,,""PRICE"",""CLOSE"")"),"N/A")</f>
        <v/>
      </c>
      <c r="AP1142" s="262">
        <f>IFERROR(_xll.FDS(MO.Ticker.FactSet,"P_PRICE_LOW"&amp;"("&amp;INDEX(MO_SNA_FPStartDate,0,COLUMN())&amp;","&amp;INDEX(MO_Common_QEndDate,0,COLUMN())&amp;",,,,""PRICE"",""CLOSE"")"),"N/A")</f>
        <v/>
      </c>
      <c r="AQ1142" s="262">
        <f>IFERROR(_xll.FDS(MO.Ticker.FactSet,"P_PRICE_LOW"&amp;"("&amp;INDEX(MO_SNA_FPStartDate,0,COLUMN())&amp;","&amp;INDEX(MO_Common_QEndDate,0,COLUMN())&amp;",,,,""PRICE"",""CLOSE"")"),"N/A")</f>
        <v/>
      </c>
      <c r="AR1142" s="262">
        <f>IFERROR(_xll.FDS(MO.Ticker.FactSet,"P_PRICE_LOW"&amp;"("&amp;INDEX(MO_SNA_FPStartDate,0,COLUMN())&amp;","&amp;INDEX(MO_Common_QEndDate,0,COLUMN())&amp;",,,,""PRICE"",""CLOSE"")"),"N/A")</f>
        <v/>
      </c>
      <c r="AS1142" s="262">
        <f>IFERROR(_xll.FDS(MO.Ticker.FactSet,"P_PRICE_LOW"&amp;"("&amp;INDEX(MO_SNA_FPStartDate,0,COLUMN())&amp;","&amp;INDEX(MO_Common_QEndDate,0,COLUMN())&amp;",,,,""PRICE"",""CLOSE"")"),"N/A")</f>
        <v/>
      </c>
      <c r="AT1142" s="262">
        <f>IFERROR(_xll.FDS(MO.Ticker.FactSet,"P_PRICE_LOW"&amp;"("&amp;INDEX(MO_SNA_FPStartDate,0,COLUMN())&amp;","&amp;INDEX(MO_Common_QEndDate,0,COLUMN())&amp;",,,,""PRICE"",""CLOSE"")"),"N/A")</f>
        <v/>
      </c>
      <c r="AU1142" s="262">
        <f>IFERROR(_xll.FDS(MO.Ticker.FactSet,"P_PRICE_LOW"&amp;"("&amp;INDEX(MO_SNA_FPStartDate,0,COLUMN())&amp;","&amp;INDEX(MO_Common_QEndDate,0,COLUMN())&amp;",,,,""PRICE"",""CLOSE"")"),"N/A")</f>
        <v/>
      </c>
      <c r="AV1142" s="262">
        <f>IFERROR(_xll.FDS(MO.Ticker.FactSet,"P_PRICE_LOW"&amp;"("&amp;INDEX(MO_SNA_FPStartDate,0,COLUMN())&amp;","&amp;INDEX(MO_Common_QEndDate,0,COLUMN())&amp;",,,,""PRICE"",""CLOSE"")"),"N/A")</f>
        <v/>
      </c>
      <c r="AW1142" s="262">
        <f>IFERROR(_xll.FDS(MO.Ticker.FactSet,"P_PRICE_LOW"&amp;"("&amp;INDEX(MO_SNA_FPStartDate,0,COLUMN())&amp;","&amp;INDEX(MO_Common_QEndDate,0,COLUMN())&amp;",,,,""PRICE"",""CLOSE"")"),"N/A")</f>
        <v/>
      </c>
      <c r="AX1142" s="262">
        <f>IFERROR(_xll.FDS(MO.Ticker.FactSet,"P_PRICE_LOW"&amp;"("&amp;INDEX(MO_SNA_FPStartDate,0,COLUMN())&amp;","&amp;INDEX(MO_Common_QEndDate,0,COLUMN())&amp;",,,,""PRICE"",""CLOSE"")"),"N/A")</f>
        <v/>
      </c>
      <c r="AY1142" s="262">
        <f>IFERROR(_xll.FDS(MO.Ticker.FactSet,"P_PRICE_LOW"&amp;"("&amp;INDEX(MO_SNA_FPStartDate,0,COLUMN())&amp;","&amp;INDEX(MO_Common_QEndDate,0,COLUMN())&amp;",,,,""PRICE"",""CLOSE"")"),"N/A")</f>
        <v/>
      </c>
      <c r="AZ1142" s="262">
        <f>IFERROR(_xll.FDS(MO.Ticker.FactSet,"P_PRICE_LOW"&amp;"("&amp;INDEX(MO_SNA_FPStartDate,0,COLUMN())&amp;","&amp;INDEX(MO_Common_QEndDate,0,COLUMN())&amp;",,,,""PRICE"",""CLOSE"")"),"N/A")</f>
        <v/>
      </c>
      <c r="BA1142" s="262">
        <f>IFERROR(_xll.FDS(MO.Ticker.FactSet,"P_PRICE_LOW"&amp;"("&amp;INDEX(MO_SNA_FPStartDate,0,COLUMN())&amp;","&amp;INDEX(MO_Common_QEndDate,0,COLUMN())&amp;",,,,""PRICE"",""CLOSE"")"),"N/A")</f>
        <v/>
      </c>
      <c r="BB1142" s="262">
        <f>IFERROR(_xll.FDS(MO.Ticker.FactSet,"P_PRICE_LOW"&amp;"("&amp;INDEX(MO_SNA_FPStartDate,0,COLUMN())&amp;","&amp;INDEX(MO_Common_QEndDate,0,COLUMN())&amp;",,,,""PRICE"",""CLOSE"")"),"N/A")</f>
        <v/>
      </c>
      <c r="BC1142" s="262">
        <f>IFERROR(_xll.FDS(MO.Ticker.FactSet,"P_PRICE_LOW"&amp;"("&amp;INDEX(MO_SNA_FPStartDate,0,COLUMN())&amp;","&amp;INDEX(MO_Common_QEndDate,0,COLUMN())&amp;",,,,""PRICE"",""CLOSE"")"),"N/A")</f>
        <v/>
      </c>
      <c r="BD1142" s="262">
        <f>IFERROR(_xll.FDS(MO.Ticker.FactSet,"P_PRICE_LOW"&amp;"("&amp;INDEX(MO_SNA_FPStartDate,0,COLUMN())&amp;","&amp;INDEX(MO_Common_QEndDate,0,COLUMN())&amp;",,,,""PRICE"",""CLOSE"")"),"N/A")</f>
        <v/>
      </c>
      <c r="BE1142" s="262">
        <f>IFERROR(_xll.FDS(MO.Ticker.FactSet,"P_PRICE_LOW"&amp;"("&amp;INDEX(MO_SNA_FPStartDate,0,COLUMN())&amp;","&amp;INDEX(MO_Common_QEndDate,0,COLUMN())&amp;",,,,""PRICE"",""CLOSE"")"),"N/A")</f>
        <v/>
      </c>
      <c r="BF1142" s="262">
        <f>IFERROR(_xll.FDS(MO.Ticker.FactSet,"P_PRICE_LOW"&amp;"("&amp;INDEX(MO_SNA_FPStartDate,0,COLUMN())&amp;","&amp;INDEX(MO_Common_QEndDate,0,COLUMN())&amp;",,,,""PRICE"",""CLOSE"")"),"N/A")</f>
        <v/>
      </c>
      <c r="BG1142" s="262">
        <f>IFERROR(_xll.FDS(MO.Ticker.FactSet,"P_PRICE_LOW"&amp;"("&amp;INDEX(MO_SNA_FPStartDate,0,COLUMN())&amp;","&amp;INDEX(MO_Common_QEndDate,0,COLUMN())&amp;",,,,""PRICE"",""CLOSE"")"),"N/A")</f>
        <v/>
      </c>
      <c r="BH1142" s="262">
        <f>IFERROR(_xll.FDS(MO.Ticker.FactSet,"P_PRICE_LOW"&amp;"("&amp;INDEX(MO_SNA_FPStartDate,0,COLUMN())&amp;","&amp;INDEX(MO_Common_QEndDate,0,COLUMN())&amp;",,,,""PRICE"",""CLOSE"")"),"N/A")</f>
        <v/>
      </c>
      <c r="BI1142" s="262">
        <f>IFERROR(_xll.FDS(MO.Ticker.FactSet,"P_PRICE_LOW"&amp;"("&amp;INDEX(MO_SNA_FPStartDate,0,COLUMN())&amp;","&amp;INDEX(MO_Common_QEndDate,0,COLUMN())&amp;",,,,""PRICE"",""CLOSE"")"),"N/A")</f>
        <v/>
      </c>
      <c r="BJ1142" s="262">
        <f>IFERROR(_xll.FDS(MO.Ticker.FactSet,"P_PRICE_LOW"&amp;"("&amp;INDEX(MO_SNA_FPStartDate,0,COLUMN())&amp;","&amp;INDEX(MO_Common_QEndDate,0,COLUMN())&amp;",,,,""PRICE"",""CLOSE"")"),"N/A")</f>
        <v/>
      </c>
      <c r="BK1142" s="262">
        <f>IFERROR(_xll.FDS(MO.Ticker.FactSet,"P_PRICE_LOW"&amp;"("&amp;INDEX(MO_SNA_FPStartDate,0,COLUMN())&amp;","&amp;INDEX(MO_Common_QEndDate,0,COLUMN())&amp;",,,,""PRICE"",""CLOSE"")"),"N/A")</f>
        <v/>
      </c>
      <c r="BL1142" s="262">
        <f>IFERROR(_xll.FDS(MO.Ticker.FactSet,"P_PRICE_LOW"&amp;"("&amp;INDEX(MO_SNA_FPStartDate,0,COLUMN())&amp;","&amp;INDEX(MO_Common_QEndDate,0,COLUMN())&amp;",,,,""PRICE"",""CLOSE"")"),"N/A")</f>
        <v/>
      </c>
      <c r="BM1142" s="262">
        <f>IFERROR(_xll.FDS(MO.Ticker.FactSet,"P_PRICE_LOW"&amp;"("&amp;INDEX(MO_SNA_FPStartDate,0,COLUMN())&amp;","&amp;INDEX(MO_Common_QEndDate,0,COLUMN())&amp;",,,,""PRICE"",""CLOSE"")"),"N/A")</f>
        <v/>
      </c>
      <c r="BN1142" s="262">
        <f>IFERROR(_xll.FDS(MO.Ticker.FactSet,"P_PRICE_LOW"&amp;"("&amp;INDEX(MO_SNA_FPStartDate,0,COLUMN())&amp;","&amp;INDEX(MO_Common_QEndDate,0,COLUMN())&amp;",,,,""PRICE"",""CLOSE"")"),"N/A")</f>
        <v/>
      </c>
      <c r="BO1142" s="262">
        <f>IFERROR(_xll.FDS(MO.Ticker.FactSet,"P_PRICE_LOW"&amp;"("&amp;INDEX(MO_SNA_FPStartDate,0,COLUMN())&amp;","&amp;INDEX(MO_Common_QEndDate,0,COLUMN())&amp;",,,,""PRICE"",""CLOSE"")"),"N/A")</f>
        <v/>
      </c>
      <c r="BP1142" s="262">
        <f>IFERROR(_xll.FDS(MO.Ticker.FactSet,"P_PRICE_LOW"&amp;"("&amp;INDEX(MO_SNA_FPStartDate,0,COLUMN())&amp;","&amp;INDEX(MO_Common_QEndDate,0,COLUMN())&amp;",,,,""PRICE"",""CLOSE"")"),"N/A")</f>
        <v/>
      </c>
      <c r="BQ1142" s="262">
        <f>IFERROR(_xll.FDS(MO.Ticker.FactSet,"P_PRICE_LOW"&amp;"("&amp;INDEX(MO_SNA_FPStartDate,0,COLUMN())&amp;","&amp;INDEX(MO_Common_QEndDate,0,COLUMN())&amp;",,,,""PRICE"",""CLOSE"")"),"N/A")</f>
        <v/>
      </c>
      <c r="BR1142" s="262">
        <f>IFERROR(_xll.FDS(MO.Ticker.FactSet,"P_PRICE_LOW"&amp;"("&amp;INDEX(MO_SNA_FPStartDate,0,COLUMN())&amp;","&amp;INDEX(MO_Common_QEndDate,0,COLUMN())&amp;",,,,""PRICE"",""CLOSE"")"),"N/A")</f>
        <v/>
      </c>
      <c r="BS1142" s="262">
        <f>IFERROR(_xll.FDS(MO.Ticker.FactSet,"P_PRICE_LOW"&amp;"("&amp;INDEX(MO_SNA_FPStartDate,0,COLUMN())&amp;","&amp;INDEX(MO_Common_QEndDate,0,COLUMN())&amp;",,,,""PRICE"",""CLOSE"")"),"N/A")</f>
        <v/>
      </c>
      <c r="BT1142" s="262">
        <f>IFERROR(_xll.FDS(MO.Ticker.FactSet,"P_PRICE_LOW"&amp;"("&amp;INDEX(MO_SNA_FPStartDate,0,COLUMN())&amp;","&amp;INDEX(MO_Common_QEndDate,0,COLUMN())&amp;",,,,""PRICE"",""CLOSE"")"),"N/A")</f>
        <v/>
      </c>
      <c r="BU1142" s="262">
        <f>IFERROR(_xll.FDS(MO.Ticker.FactSet,"P_PRICE_LOW"&amp;"("&amp;INDEX(MO_SNA_FPStartDate,0,COLUMN())&amp;","&amp;INDEX(MO_Common_QEndDate,0,COLUMN())&amp;",,,,""PRICE"",""CLOSE"")"),"N/A")</f>
        <v/>
      </c>
      <c r="BV1142" s="531">
        <f>IFERROR(_xll.FDS(MO.Ticker.FactSet,"P_PRICE_LOW"&amp;"("&amp;INDEX(MO_SNA_FPStartDate,0,COLUMN())&amp;","&amp;INDEX(MO_Common_QEndDate,0,COLUMN())&amp;",,,,""PRICE"",""CLOSE"")"),"N/A")</f>
        <v/>
      </c>
      <c r="BW1142" s="262">
        <f>IFERROR(_xll.FDS(MO.Ticker.FactSet,"P_PRICE_LOW"&amp;"("&amp;INDEX(MO_SNA_FPStartDate,0,COLUMN())&amp;","&amp;INDEX(MO_Common_QEndDate,0,COLUMN())&amp;",,,,""PRICE"",""CLOSE"")"),"N/A")</f>
        <v/>
      </c>
      <c r="BX1142" s="262">
        <f>IFERROR(_xll.FDS(MO.Ticker.FactSet,"P_PRICE_LOW"&amp;"("&amp;INDEX(MO_SNA_FPStartDate,0,COLUMN())&amp;","&amp;INDEX(MO_Common_QEndDate,0,COLUMN())&amp;",,,,""PRICE"",""CLOSE"")"),"N/A")</f>
        <v/>
      </c>
      <c r="BY1142" s="262">
        <f>IFERROR(_xll.FDS(MO.Ticker.FactSet,"P_PRICE_LOW"&amp;"("&amp;INDEX(MO_SNA_FPStartDate,0,COLUMN())&amp;","&amp;INDEX(MO_Common_QEndDate,0,COLUMN())&amp;",,,,""PRICE"",""CLOSE"")"),"N/A")</f>
        <v/>
      </c>
      <c r="BZ1142" s="262">
        <f>IFERROR(_xll.FDS(MO.Ticker.FactSet,"P_PRICE_LOW"&amp;"("&amp;INDEX(MO_SNA_FPStartDate,0,COLUMN())&amp;","&amp;INDEX(MO_Common_QEndDate,0,COLUMN())&amp;",,,,""PRICE"",""CLOSE"")"),"N/A")</f>
        <v/>
      </c>
      <c r="CA1142" s="262">
        <f>IFERROR(_xll.FDS(MO.Ticker.FactSet,"P_PRICE_LOW"&amp;"("&amp;INDEX(MO_SNA_FPStartDate,0,COLUMN())&amp;","&amp;INDEX(MO_Common_QEndDate,0,COLUMN())&amp;",,,,""PRICE"",""CLOSE"")"),"N/A")</f>
        <v/>
      </c>
      <c r="CB1142" s="262">
        <f>IFERROR(_xll.FDS(MO.Ticker.FactSet,"P_PRICE_LOW"&amp;"("&amp;INDEX(MO_SNA_FPStartDate,0,COLUMN())&amp;","&amp;INDEX(MO_Common_QEndDate,0,COLUMN())&amp;",,,,""PRICE"",""CLOSE"")"),"N/A")</f>
        <v/>
      </c>
      <c r="CC1142" s="262">
        <f>IFERROR(_xll.FDS(MO.Ticker.FactSet,"P_PRICE_LOW"&amp;"("&amp;INDEX(MO_SNA_FPStartDate,0,COLUMN())&amp;","&amp;INDEX(MO_Common_QEndDate,0,COLUMN())&amp;",,,,""PRICE"",""CLOSE"")"),"N/A")</f>
        <v/>
      </c>
      <c r="CD1142" s="262">
        <f>IFERROR(_xll.FDS(MO.Ticker.FactSet,"P_PRICE_LOW"&amp;"("&amp;INDEX(MO_SNA_FPStartDate,0,COLUMN())&amp;","&amp;INDEX(MO_Common_QEndDate,0,COLUMN())&amp;",,,,""PRICE"",""CLOSE"")"),"N/A")</f>
        <v/>
      </c>
      <c r="CE1142" s="262">
        <f>IFERROR(_xll.FDS(MO.Ticker.FactSet,"P_PRICE_LOW"&amp;"("&amp;INDEX(MO_SNA_FPStartDate,0,COLUMN())&amp;","&amp;INDEX(MO_Common_QEndDate,0,COLUMN())&amp;",,,,""PRICE"",""CLOSE"")"),"N/A")</f>
        <v/>
      </c>
      <c r="CF1142" s="263">
        <f>IFERROR(_xll.FDS(MO.Ticker.FactSet,"P_PRICE_LOW"&amp;"("&amp;INDEX(MO_SNA_FPStartDate,0,COLUMN())&amp;","&amp;INDEX(MO_Common_QEndDate,0,COLUMN())&amp;",,,,""PRICE"",""CLOSE"")"),"N/A")</f>
        <v/>
      </c>
      <c r="CG1142" s="155" t="n"/>
    </row>
    <row r="1143" hidden="1" outlineLevel="1">
      <c r="A1143" s="264" t="inlineStr">
        <is>
          <t>Refinitiv</t>
        </is>
      </c>
      <c r="B1143" s="262" t="n"/>
      <c r="C1143" s="1009">
        <f>IFERROR(_xll.TR(MO.Ticker.Thomson,"Min(TR.PriceLow)","sdate:#1 edate:#2",,INDEX(MO_SNA_FPStartDate,0,COLUMN()),INDEX(MO_Common_QEndDate,0,COLUMN())),"N/A")</f>
        <v/>
      </c>
      <c r="D1143" s="1009">
        <f>IFERROR(_xll.TR(MO.Ticker.Thomson,"Min(TR.PriceLow)","sdate:#1 edate:#2",,INDEX(MO_SNA_FPStartDate,0,COLUMN()),INDEX(MO_Common_QEndDate,0,COLUMN())),"N/A")</f>
        <v/>
      </c>
      <c r="E1143" s="1009">
        <f>IFERROR(_xll.TR(MO.Ticker.Thomson,"Min(TR.PriceLow)","sdate:#1 edate:#2",,INDEX(MO_SNA_FPStartDate,0,COLUMN()),INDEX(MO_Common_QEndDate,0,COLUMN())),"N/A")</f>
        <v/>
      </c>
      <c r="F1143" s="1009">
        <f>IFERROR(_xll.TR(MO.Ticker.Thomson,"Min(TR.PriceLow)","sdate:#1 edate:#2",,INDEX(MO_SNA_FPStartDate,0,COLUMN()),INDEX(MO_Common_QEndDate,0,COLUMN())),"N/A")</f>
        <v/>
      </c>
      <c r="G1143" s="1009">
        <f>IFERROR(_xll.TR(MO.Ticker.Thomson,"Min(TR.PriceLow)","sdate:#1 edate:#2",,INDEX(MO_SNA_FPStartDate,0,COLUMN()),INDEX(MO_Common_QEndDate,0,COLUMN())),"N/A")</f>
        <v/>
      </c>
      <c r="H1143" s="262">
        <f>IFERROR(_xll.TR(MO.Ticker.Thomson,"Min(TR.PriceLow)","sdate:#1 edate:#2",,INDEX(MO_SNA_FPStartDate,0,COLUMN()),INDEX(MO_Common_QEndDate,0,COLUMN())),"N/A")</f>
        <v/>
      </c>
      <c r="I1143" s="262">
        <f>IFERROR(_xll.TR(MO.Ticker.Thomson,"Min(TR.PriceLow)","sdate:#1 edate:#2",,INDEX(MO_SNA_FPStartDate,0,COLUMN()),INDEX(MO_Common_QEndDate,0,COLUMN())),"N/A")</f>
        <v/>
      </c>
      <c r="J1143" s="262">
        <f>IFERROR(_xll.TR(MO.Ticker.Thomson,"Min(TR.PriceLow)","sdate:#1 edate:#2",,INDEX(MO_SNA_FPStartDate,0,COLUMN()),INDEX(MO_Common_QEndDate,0,COLUMN())),"N/A")</f>
        <v/>
      </c>
      <c r="K1143" s="262">
        <f>IFERROR(_xll.TR(MO.Ticker.Thomson,"Min(TR.PriceLow)","sdate:#1 edate:#2",,INDEX(MO_SNA_FPStartDate,0,COLUMN()),INDEX(MO_Common_QEndDate,0,COLUMN())),"N/A")</f>
        <v/>
      </c>
      <c r="L1143" s="262">
        <f>IFERROR(_xll.TR(MO.Ticker.Thomson,"Min(TR.PriceLow)","sdate:#1 edate:#2",,INDEX(MO_SNA_FPStartDate,0,COLUMN()),INDEX(MO_Common_QEndDate,0,COLUMN())),"N/A")</f>
        <v/>
      </c>
      <c r="M1143" s="262">
        <f>IFERROR(_xll.TR(MO.Ticker.Thomson,"Min(TR.PriceLow)","sdate:#1 edate:#2",,INDEX(MO_SNA_FPStartDate,0,COLUMN()),INDEX(MO_Common_QEndDate,0,COLUMN())),"N/A")</f>
        <v/>
      </c>
      <c r="N1143" s="262">
        <f>IFERROR(_xll.TR(MO.Ticker.Thomson,"Min(TR.PriceLow)","sdate:#1 edate:#2",,INDEX(MO_SNA_FPStartDate,0,COLUMN()),INDEX(MO_Common_QEndDate,0,COLUMN())),"N/A")</f>
        <v/>
      </c>
      <c r="O1143" s="262">
        <f>IFERROR(_xll.TR(MO.Ticker.Thomson,"Min(TR.PriceLow)","sdate:#1 edate:#2",,INDEX(MO_SNA_FPStartDate,0,COLUMN()),INDEX(MO_Common_QEndDate,0,COLUMN())),"N/A")</f>
        <v/>
      </c>
      <c r="P1143" s="262">
        <f>IFERROR(_xll.TR(MO.Ticker.Thomson,"Min(TR.PriceLow)","sdate:#1 edate:#2",,INDEX(MO_SNA_FPStartDate,0,COLUMN()),INDEX(MO_Common_QEndDate,0,COLUMN())),"N/A")</f>
        <v/>
      </c>
      <c r="Q1143" s="262">
        <f>IFERROR(_xll.TR(MO.Ticker.Thomson,"Min(TR.PriceLow)","sdate:#1 edate:#2",,INDEX(MO_SNA_FPStartDate,0,COLUMN()),INDEX(MO_Common_QEndDate,0,COLUMN())),"N/A")</f>
        <v/>
      </c>
      <c r="R1143" s="262">
        <f>IFERROR(_xll.TR(MO.Ticker.Thomson,"Min(TR.PriceLow)","sdate:#1 edate:#2",,INDEX(MO_SNA_FPStartDate,0,COLUMN()),INDEX(MO_Common_QEndDate,0,COLUMN())),"N/A")</f>
        <v/>
      </c>
      <c r="S1143" s="262">
        <f>IFERROR(_xll.TR(MO.Ticker.Thomson,"Min(TR.PriceLow)","sdate:#1 edate:#2",,INDEX(MO_SNA_FPStartDate,0,COLUMN()),INDEX(MO_Common_QEndDate,0,COLUMN())),"N/A")</f>
        <v/>
      </c>
      <c r="T1143" s="262">
        <f>IFERROR(_xll.TR(MO.Ticker.Thomson,"Min(TR.PriceLow)","sdate:#1 edate:#2",,INDEX(MO_SNA_FPStartDate,0,COLUMN()),INDEX(MO_Common_QEndDate,0,COLUMN())),"N/A")</f>
        <v/>
      </c>
      <c r="U1143" s="262">
        <f>IFERROR(_xll.TR(MO.Ticker.Thomson,"Min(TR.PriceLow)","sdate:#1 edate:#2",,INDEX(MO_SNA_FPStartDate,0,COLUMN()),INDEX(MO_Common_QEndDate,0,COLUMN())),"N/A")</f>
        <v/>
      </c>
      <c r="V1143" s="262">
        <f>IFERROR(_xll.TR(MO.Ticker.Thomson,"Min(TR.PriceLow)","sdate:#1 edate:#2",,INDEX(MO_SNA_FPStartDate,0,COLUMN()),INDEX(MO_Common_QEndDate,0,COLUMN())),"N/A")</f>
        <v/>
      </c>
      <c r="W1143" s="262">
        <f>IFERROR(_xll.TR(MO.Ticker.Thomson,"Min(TR.PriceLow)","sdate:#1 edate:#2",,INDEX(MO_SNA_FPStartDate,0,COLUMN()),INDEX(MO_Common_QEndDate,0,COLUMN())),"N/A")</f>
        <v/>
      </c>
      <c r="X1143" s="262">
        <f>IFERROR(_xll.TR(MO.Ticker.Thomson,"Min(TR.PriceLow)","sdate:#1 edate:#2",,INDEX(MO_SNA_FPStartDate,0,COLUMN()),INDEX(MO_Common_QEndDate,0,COLUMN())),"N/A")</f>
        <v/>
      </c>
      <c r="Y1143" s="262">
        <f>IFERROR(_xll.TR(MO.Ticker.Thomson,"Min(TR.PriceLow)","sdate:#1 edate:#2",,INDEX(MO_SNA_FPStartDate,0,COLUMN()),INDEX(MO_Common_QEndDate,0,COLUMN())),"N/A")</f>
        <v/>
      </c>
      <c r="Z1143" s="262">
        <f>IFERROR(_xll.TR(MO.Ticker.Thomson,"Min(TR.PriceLow)","sdate:#1 edate:#2",,INDEX(MO_SNA_FPStartDate,0,COLUMN()),INDEX(MO_Common_QEndDate,0,COLUMN())),"N/A")</f>
        <v/>
      </c>
      <c r="AA1143" s="262">
        <f>IFERROR(_xll.TR(MO.Ticker.Thomson,"Min(TR.PriceLow)","sdate:#1 edate:#2",,INDEX(MO_SNA_FPStartDate,0,COLUMN()),INDEX(MO_Common_QEndDate,0,COLUMN())),"N/A")</f>
        <v/>
      </c>
      <c r="AB1143" s="262">
        <f>IFERROR(_xll.TR(MO.Ticker.Thomson,"Min(TR.PriceLow)","sdate:#1 edate:#2",,INDEX(MO_SNA_FPStartDate,0,COLUMN()),INDEX(MO_Common_QEndDate,0,COLUMN())),"N/A")</f>
        <v/>
      </c>
      <c r="AC1143" s="262">
        <f>IFERROR(_xll.TR(MO.Ticker.Thomson,"Min(TR.PriceLow)","sdate:#1 edate:#2",,INDEX(MO_SNA_FPStartDate,0,COLUMN()),INDEX(MO_Common_QEndDate,0,COLUMN())),"N/A")</f>
        <v/>
      </c>
      <c r="AD1143" s="262">
        <f>IFERROR(_xll.TR(MO.Ticker.Thomson,"Min(TR.PriceLow)","sdate:#1 edate:#2",,INDEX(MO_SNA_FPStartDate,0,COLUMN()),INDEX(MO_Common_QEndDate,0,COLUMN())),"N/A")</f>
        <v/>
      </c>
      <c r="AE1143" s="262">
        <f>IFERROR(_xll.TR(MO.Ticker.Thomson,"Min(TR.PriceLow)","sdate:#1 edate:#2",,INDEX(MO_SNA_FPStartDate,0,COLUMN()),INDEX(MO_Common_QEndDate,0,COLUMN())),"N/A")</f>
        <v/>
      </c>
      <c r="AF1143" s="262">
        <f>IFERROR(_xll.TR(MO.Ticker.Thomson,"Min(TR.PriceLow)","sdate:#1 edate:#2",,INDEX(MO_SNA_FPStartDate,0,COLUMN()),INDEX(MO_Common_QEndDate,0,COLUMN())),"N/A")</f>
        <v/>
      </c>
      <c r="AG1143" s="262">
        <f>IFERROR(_xll.TR(MO.Ticker.Thomson,"Min(TR.PriceLow)","sdate:#1 edate:#2",,INDEX(MO_SNA_FPStartDate,0,COLUMN()),INDEX(MO_Common_QEndDate,0,COLUMN())),"N/A")</f>
        <v/>
      </c>
      <c r="AH1143" s="262">
        <f>IFERROR(_xll.TR(MO.Ticker.Thomson,"Min(TR.PriceLow)","sdate:#1 edate:#2",,INDEX(MO_SNA_FPStartDate,0,COLUMN()),INDEX(MO_Common_QEndDate,0,COLUMN())),"N/A")</f>
        <v/>
      </c>
      <c r="AI1143" s="262">
        <f>IFERROR(_xll.TR(MO.Ticker.Thomson,"Min(TR.PriceLow)","sdate:#1 edate:#2",,INDEX(MO_SNA_FPStartDate,0,COLUMN()),INDEX(MO_Common_QEndDate,0,COLUMN())),"N/A")</f>
        <v/>
      </c>
      <c r="AJ1143" s="262">
        <f>IFERROR(_xll.TR(MO.Ticker.Thomson,"Min(TR.PriceLow)","sdate:#1 edate:#2",,INDEX(MO_SNA_FPStartDate,0,COLUMN()),INDEX(MO_Common_QEndDate,0,COLUMN())),"N/A")</f>
        <v/>
      </c>
      <c r="AK1143" s="262">
        <f>IFERROR(_xll.TR(MO.Ticker.Thomson,"Min(TR.PriceLow)","sdate:#1 edate:#2",,INDEX(MO_SNA_FPStartDate,0,COLUMN()),INDEX(MO_Common_QEndDate,0,COLUMN())),"N/A")</f>
        <v/>
      </c>
      <c r="AL1143" s="262">
        <f>IFERROR(_xll.TR(MO.Ticker.Thomson,"Min(TR.PriceLow)","sdate:#1 edate:#2",,INDEX(MO_SNA_FPStartDate,0,COLUMN()),INDEX(MO_Common_QEndDate,0,COLUMN())),"N/A")</f>
        <v/>
      </c>
      <c r="AM1143" s="262">
        <f>IFERROR(_xll.TR(MO.Ticker.Thomson,"Min(TR.PriceLow)","sdate:#1 edate:#2",,INDEX(MO_SNA_FPStartDate,0,COLUMN()),INDEX(MO_Common_QEndDate,0,COLUMN())),"N/A")</f>
        <v/>
      </c>
      <c r="AN1143" s="262">
        <f>IFERROR(_xll.TR(MO.Ticker.Thomson,"Min(TR.PriceLow)","sdate:#1 edate:#2",,INDEX(MO_SNA_FPStartDate,0,COLUMN()),INDEX(MO_Common_QEndDate,0,COLUMN())),"N/A")</f>
        <v/>
      </c>
      <c r="AO1143" s="262">
        <f>IFERROR(_xll.TR(MO.Ticker.Thomson,"Min(TR.PriceLow)","sdate:#1 edate:#2",,INDEX(MO_SNA_FPStartDate,0,COLUMN()),INDEX(MO_Common_QEndDate,0,COLUMN())),"N/A")</f>
        <v/>
      </c>
      <c r="AP1143" s="262">
        <f>IFERROR(_xll.TR(MO.Ticker.Thomson,"Min(TR.PriceLow)","sdate:#1 edate:#2",,INDEX(MO_SNA_FPStartDate,0,COLUMN()),INDEX(MO_Common_QEndDate,0,COLUMN())),"N/A")</f>
        <v/>
      </c>
      <c r="AQ1143" s="262">
        <f>IFERROR(_xll.TR(MO.Ticker.Thomson,"Min(TR.PriceLow)","sdate:#1 edate:#2",,INDEX(MO_SNA_FPStartDate,0,COLUMN()),INDEX(MO_Common_QEndDate,0,COLUMN())),"N/A")</f>
        <v/>
      </c>
      <c r="AR1143" s="262">
        <f>IFERROR(_xll.TR(MO.Ticker.Thomson,"Min(TR.PriceLow)","sdate:#1 edate:#2",,INDEX(MO_SNA_FPStartDate,0,COLUMN()),INDEX(MO_Common_QEndDate,0,COLUMN())),"N/A")</f>
        <v/>
      </c>
      <c r="AS1143" s="262">
        <f>IFERROR(_xll.TR(MO.Ticker.Thomson,"Min(TR.PriceLow)","sdate:#1 edate:#2",,INDEX(MO_SNA_FPStartDate,0,COLUMN()),INDEX(MO_Common_QEndDate,0,COLUMN())),"N/A")</f>
        <v/>
      </c>
      <c r="AT1143" s="262">
        <f>IFERROR(_xll.TR(MO.Ticker.Thomson,"Min(TR.PriceLow)","sdate:#1 edate:#2",,INDEX(MO_SNA_FPStartDate,0,COLUMN()),INDEX(MO_Common_QEndDate,0,COLUMN())),"N/A")</f>
        <v/>
      </c>
      <c r="AU1143" s="262">
        <f>IFERROR(_xll.TR(MO.Ticker.Thomson,"Min(TR.PriceLow)","sdate:#1 edate:#2",,INDEX(MO_SNA_FPStartDate,0,COLUMN()),INDEX(MO_Common_QEndDate,0,COLUMN())),"N/A")</f>
        <v/>
      </c>
      <c r="AV1143" s="262">
        <f>IFERROR(_xll.TR(MO.Ticker.Thomson,"Min(TR.PriceLow)","sdate:#1 edate:#2",,INDEX(MO_SNA_FPStartDate,0,COLUMN()),INDEX(MO_Common_QEndDate,0,COLUMN())),"N/A")</f>
        <v/>
      </c>
      <c r="AW1143" s="262">
        <f>IFERROR(_xll.TR(MO.Ticker.Thomson,"Min(TR.PriceLow)","sdate:#1 edate:#2",,INDEX(MO_SNA_FPStartDate,0,COLUMN()),INDEX(MO_Common_QEndDate,0,COLUMN())),"N/A")</f>
        <v/>
      </c>
      <c r="AX1143" s="262">
        <f>IFERROR(_xll.TR(MO.Ticker.Thomson,"Min(TR.PriceLow)","sdate:#1 edate:#2",,INDEX(MO_SNA_FPStartDate,0,COLUMN()),INDEX(MO_Common_QEndDate,0,COLUMN())),"N/A")</f>
        <v/>
      </c>
      <c r="AY1143" s="262">
        <f>IFERROR(_xll.TR(MO.Ticker.Thomson,"Min(TR.PriceLow)","sdate:#1 edate:#2",,INDEX(MO_SNA_FPStartDate,0,COLUMN()),INDEX(MO_Common_QEndDate,0,COLUMN())),"N/A")</f>
        <v/>
      </c>
      <c r="AZ1143" s="262">
        <f>IFERROR(_xll.TR(MO.Ticker.Thomson,"Min(TR.PriceLow)","sdate:#1 edate:#2",,INDEX(MO_SNA_FPStartDate,0,COLUMN()),INDEX(MO_Common_QEndDate,0,COLUMN())),"N/A")</f>
        <v/>
      </c>
      <c r="BA1143" s="262">
        <f>IFERROR(_xll.TR(MO.Ticker.Thomson,"Min(TR.PriceLow)","sdate:#1 edate:#2",,INDEX(MO_SNA_FPStartDate,0,COLUMN()),INDEX(MO_Common_QEndDate,0,COLUMN())),"N/A")</f>
        <v/>
      </c>
      <c r="BB1143" s="262">
        <f>IFERROR(_xll.TR(MO.Ticker.Thomson,"Min(TR.PriceLow)","sdate:#1 edate:#2",,INDEX(MO_SNA_FPStartDate,0,COLUMN()),INDEX(MO_Common_QEndDate,0,COLUMN())),"N/A")</f>
        <v/>
      </c>
      <c r="BC1143" s="262">
        <f>IFERROR(_xll.TR(MO.Ticker.Thomson,"Min(TR.PriceLow)","sdate:#1 edate:#2",,INDEX(MO_SNA_FPStartDate,0,COLUMN()),INDEX(MO_Common_QEndDate,0,COLUMN())),"N/A")</f>
        <v/>
      </c>
      <c r="BD1143" s="262">
        <f>IFERROR(_xll.TR(MO.Ticker.Thomson,"Min(TR.PriceLow)","sdate:#1 edate:#2",,INDEX(MO_SNA_FPStartDate,0,COLUMN()),INDEX(MO_Common_QEndDate,0,COLUMN())),"N/A")</f>
        <v/>
      </c>
      <c r="BE1143" s="262">
        <f>IFERROR(_xll.TR(MO.Ticker.Thomson,"Min(TR.PriceLow)","sdate:#1 edate:#2",,INDEX(MO_SNA_FPStartDate,0,COLUMN()),INDEX(MO_Common_QEndDate,0,COLUMN())),"N/A")</f>
        <v/>
      </c>
      <c r="BF1143" s="262">
        <f>IFERROR(_xll.TR(MO.Ticker.Thomson,"Min(TR.PriceLow)","sdate:#1 edate:#2",,INDEX(MO_SNA_FPStartDate,0,COLUMN()),INDEX(MO_Common_QEndDate,0,COLUMN())),"N/A")</f>
        <v/>
      </c>
      <c r="BG1143" s="262">
        <f>IFERROR(_xll.TR(MO.Ticker.Thomson,"Min(TR.PriceLow)","sdate:#1 edate:#2",,INDEX(MO_SNA_FPStartDate,0,COLUMN()),INDEX(MO_Common_QEndDate,0,COLUMN())),"N/A")</f>
        <v/>
      </c>
      <c r="BH1143" s="262">
        <f>IFERROR(_xll.TR(MO.Ticker.Thomson,"Min(TR.PriceLow)","sdate:#1 edate:#2",,INDEX(MO_SNA_FPStartDate,0,COLUMN()),INDEX(MO_Common_QEndDate,0,COLUMN())),"N/A")</f>
        <v/>
      </c>
      <c r="BI1143" s="262">
        <f>IFERROR(_xll.TR(MO.Ticker.Thomson,"Min(TR.PriceLow)","sdate:#1 edate:#2",,INDEX(MO_SNA_FPStartDate,0,COLUMN()),INDEX(MO_Common_QEndDate,0,COLUMN())),"N/A")</f>
        <v/>
      </c>
      <c r="BJ1143" s="262">
        <f>IFERROR(_xll.TR(MO.Ticker.Thomson,"Min(TR.PriceLow)","sdate:#1 edate:#2",,INDEX(MO_SNA_FPStartDate,0,COLUMN()),INDEX(MO_Common_QEndDate,0,COLUMN())),"N/A")</f>
        <v/>
      </c>
      <c r="BK1143" s="262">
        <f>IFERROR(_xll.TR(MO.Ticker.Thomson,"Min(TR.PriceLow)","sdate:#1 edate:#2",,INDEX(MO_SNA_FPStartDate,0,COLUMN()),INDEX(MO_Common_QEndDate,0,COLUMN())),"N/A")</f>
        <v/>
      </c>
      <c r="BL1143" s="262">
        <f>IFERROR(_xll.TR(MO.Ticker.Thomson,"Min(TR.PriceLow)","sdate:#1 edate:#2",,INDEX(MO_SNA_FPStartDate,0,COLUMN()),INDEX(MO_Common_QEndDate,0,COLUMN())),"N/A")</f>
        <v/>
      </c>
      <c r="BM1143" s="262">
        <f>IFERROR(_xll.TR(MO.Ticker.Thomson,"Min(TR.PriceLow)","sdate:#1 edate:#2",,INDEX(MO_SNA_FPStartDate,0,COLUMN()),INDEX(MO_Common_QEndDate,0,COLUMN())),"N/A")</f>
        <v/>
      </c>
      <c r="BN1143" s="262">
        <f>IFERROR(_xll.TR(MO.Ticker.Thomson,"Min(TR.PriceLow)","sdate:#1 edate:#2",,INDEX(MO_SNA_FPStartDate,0,COLUMN()),INDEX(MO_Common_QEndDate,0,COLUMN())),"N/A")</f>
        <v/>
      </c>
      <c r="BO1143" s="262">
        <f>IFERROR(_xll.TR(MO.Ticker.Thomson,"Min(TR.PriceLow)","sdate:#1 edate:#2",,INDEX(MO_SNA_FPStartDate,0,COLUMN()),INDEX(MO_Common_QEndDate,0,COLUMN())),"N/A")</f>
        <v/>
      </c>
      <c r="BP1143" s="262">
        <f>IFERROR(_xll.TR(MO.Ticker.Thomson,"Min(TR.PriceLow)","sdate:#1 edate:#2",,INDEX(MO_SNA_FPStartDate,0,COLUMN()),INDEX(MO_Common_QEndDate,0,COLUMN())),"N/A")</f>
        <v/>
      </c>
      <c r="BQ1143" s="262">
        <f>IFERROR(_xll.TR(MO.Ticker.Thomson,"Min(TR.PriceLow)","sdate:#1 edate:#2",,INDEX(MO_SNA_FPStartDate,0,COLUMN()),INDEX(MO_Common_QEndDate,0,COLUMN())),"N/A")</f>
        <v/>
      </c>
      <c r="BR1143" s="262">
        <f>IFERROR(_xll.TR(MO.Ticker.Thomson,"Min(TR.PriceLow)","sdate:#1 edate:#2",,INDEX(MO_SNA_FPStartDate,0,COLUMN()),INDEX(MO_Common_QEndDate,0,COLUMN())),"N/A")</f>
        <v/>
      </c>
      <c r="BS1143" s="262">
        <f>IFERROR(_xll.TR(MO.Ticker.Thomson,"Min(TR.PriceLow)","sdate:#1 edate:#2",,INDEX(MO_SNA_FPStartDate,0,COLUMN()),INDEX(MO_Common_QEndDate,0,COLUMN())),"N/A")</f>
        <v/>
      </c>
      <c r="BT1143" s="262">
        <f>IFERROR(_xll.TR(MO.Ticker.Thomson,"Min(TR.PriceLow)","sdate:#1 edate:#2",,INDEX(MO_SNA_FPStartDate,0,COLUMN()),INDEX(MO_Common_QEndDate,0,COLUMN())),"N/A")</f>
        <v/>
      </c>
      <c r="BU1143" s="262">
        <f>IFERROR(_xll.TR(MO.Ticker.Thomson,"Min(TR.PriceLow)","sdate:#1 edate:#2",,INDEX(MO_SNA_FPStartDate,0,COLUMN()),INDEX(MO_Common_QEndDate,0,COLUMN())),"N/A")</f>
        <v/>
      </c>
      <c r="BV1143" s="531">
        <f>IFERROR(_xll.TR(MO.Ticker.Thomson,"Min(TR.PriceLow)","sdate:#1 edate:#2",,INDEX(MO_SNA_FPStartDate,0,COLUMN()),INDEX(MO_Common_QEndDate,0,COLUMN())),"N/A")</f>
        <v/>
      </c>
      <c r="BW1143" s="262">
        <f>IFERROR(_xll.TR(MO.Ticker.Thomson,"Min(TR.PriceLow)","sdate:#1 edate:#2",,INDEX(MO_SNA_FPStartDate,0,COLUMN()),INDEX(MO_Common_QEndDate,0,COLUMN())),"N/A")</f>
        <v/>
      </c>
      <c r="BX1143" s="262">
        <f>IFERROR(_xll.TR(MO.Ticker.Thomson,"Min(TR.PriceLow)","sdate:#1 edate:#2",,INDEX(MO_SNA_FPStartDate,0,COLUMN()),INDEX(MO_Common_QEndDate,0,COLUMN())),"N/A")</f>
        <v/>
      </c>
      <c r="BY1143" s="262">
        <f>IFERROR(_xll.TR(MO.Ticker.Thomson,"Min(TR.PriceLow)","sdate:#1 edate:#2",,INDEX(MO_SNA_FPStartDate,0,COLUMN()),INDEX(MO_Common_QEndDate,0,COLUMN())),"N/A")</f>
        <v/>
      </c>
      <c r="BZ1143" s="262">
        <f>IFERROR(_xll.TR(MO.Ticker.Thomson,"Min(TR.PriceLow)","sdate:#1 edate:#2",,INDEX(MO_SNA_FPStartDate,0,COLUMN()),INDEX(MO_Common_QEndDate,0,COLUMN())),"N/A")</f>
        <v/>
      </c>
      <c r="CA1143" s="262">
        <f>IFERROR(_xll.TR(MO.Ticker.Thomson,"Min(TR.PriceLow)","sdate:#1 edate:#2",,INDEX(MO_SNA_FPStartDate,0,COLUMN()),INDEX(MO_Common_QEndDate,0,COLUMN())),"N/A")</f>
        <v/>
      </c>
      <c r="CB1143" s="262">
        <f>IFERROR(_xll.TR(MO.Ticker.Thomson,"Min(TR.PriceLow)","sdate:#1 edate:#2",,INDEX(MO_SNA_FPStartDate,0,COLUMN()),INDEX(MO_Common_QEndDate,0,COLUMN())),"N/A")</f>
        <v/>
      </c>
      <c r="CC1143" s="262">
        <f>IFERROR(_xll.TR(MO.Ticker.Thomson,"Min(TR.PriceLow)","sdate:#1 edate:#2",,INDEX(MO_SNA_FPStartDate,0,COLUMN()),INDEX(MO_Common_QEndDate,0,COLUMN())),"N/A")</f>
        <v/>
      </c>
      <c r="CD1143" s="262">
        <f>IFERROR(_xll.TR(MO.Ticker.Thomson,"Min(TR.PriceLow)","sdate:#1 edate:#2",,INDEX(MO_SNA_FPStartDate,0,COLUMN()),INDEX(MO_Common_QEndDate,0,COLUMN())),"N/A")</f>
        <v/>
      </c>
      <c r="CE1143" s="262">
        <f>IFERROR(_xll.TR(MO.Ticker.Thomson,"Min(TR.PriceLow)","sdate:#1 edate:#2",,INDEX(MO_SNA_FPStartDate,0,COLUMN()),INDEX(MO_Common_QEndDate,0,COLUMN())),"N/A")</f>
        <v/>
      </c>
      <c r="CF1143" s="263">
        <f>IFERROR(_xll.TR(MO.Ticker.Thomson,"Min(TR.PriceLow)","sdate:#1 edate:#2",,INDEX(MO_SNA_FPStartDate,0,COLUMN()),INDEX(MO_Common_QEndDate,0,COLUMN())),"N/A")</f>
        <v/>
      </c>
      <c r="CG1143" s="155" t="n"/>
    </row>
    <row r="1144" hidden="1" outlineLevel="1">
      <c r="A1144" s="166" t="n"/>
      <c r="B1144" s="93" t="n"/>
      <c r="C1144" s="989" t="n"/>
      <c r="D1144" s="989" t="n"/>
      <c r="E1144" s="989" t="n"/>
      <c r="F1144" s="989" t="n"/>
      <c r="G1144" s="989" t="n"/>
      <c r="H1144" s="93" t="n"/>
      <c r="I1144" s="93" t="n"/>
      <c r="J1144" s="93" t="n"/>
      <c r="K1144" s="93" t="n"/>
      <c r="L1144" s="93" t="n"/>
      <c r="M1144" s="93" t="n"/>
      <c r="N1144" s="93" t="n"/>
      <c r="O1144" s="93" t="n"/>
      <c r="P1144" s="93" t="n"/>
      <c r="Q1144" s="93" t="n"/>
      <c r="R1144" s="93" t="n"/>
      <c r="S1144" s="93" t="n"/>
      <c r="T1144" s="93" t="n"/>
      <c r="U1144" s="93" t="n"/>
      <c r="V1144" s="93" t="n"/>
      <c r="W1144" s="93" t="n"/>
      <c r="X1144" s="93" t="n"/>
      <c r="Y1144" s="93" t="n"/>
      <c r="Z1144" s="93" t="n"/>
      <c r="AA1144" s="93" t="n"/>
      <c r="AB1144" s="93" t="n"/>
      <c r="AC1144" s="93" t="n"/>
      <c r="AD1144" s="93" t="n"/>
      <c r="AE1144" s="93" t="n"/>
      <c r="AF1144" s="93" t="n"/>
      <c r="AG1144" s="93" t="n"/>
      <c r="AH1144" s="93" t="n"/>
      <c r="AI1144" s="93" t="n"/>
      <c r="AJ1144" s="93" t="n"/>
      <c r="AK1144" s="93" t="n"/>
      <c r="AL1144" s="93" t="n"/>
      <c r="AM1144" s="93" t="n"/>
      <c r="AN1144" s="93" t="n"/>
      <c r="AO1144" s="93" t="n"/>
      <c r="AP1144" s="93" t="n"/>
      <c r="AQ1144" s="93" t="n"/>
      <c r="AR1144" s="93" t="n"/>
      <c r="AS1144" s="93" t="n"/>
      <c r="AT1144" s="93" t="n"/>
      <c r="AU1144" s="93" t="n"/>
      <c r="AV1144" s="93" t="n"/>
      <c r="AW1144" s="93" t="n"/>
      <c r="AX1144" s="93" t="n"/>
      <c r="AY1144" s="93" t="n"/>
      <c r="AZ1144" s="93" t="n"/>
      <c r="BA1144" s="93" t="n"/>
      <c r="BB1144" s="93" t="n"/>
      <c r="BC1144" s="93" t="n"/>
      <c r="BD1144" s="93" t="n"/>
      <c r="BE1144" s="93" t="n"/>
      <c r="BF1144" s="93" t="n"/>
      <c r="BG1144" s="93" t="n"/>
      <c r="BH1144" s="93" t="n"/>
      <c r="BI1144" s="93" t="n"/>
      <c r="BJ1144" s="93" t="n"/>
      <c r="BK1144" s="93" t="n"/>
      <c r="BL1144" s="93" t="n"/>
      <c r="BM1144" s="93" t="n"/>
      <c r="BN1144" s="93" t="n"/>
      <c r="BO1144" s="93" t="n"/>
      <c r="BP1144" s="93" t="n"/>
      <c r="BQ1144" s="93" t="n"/>
      <c r="BR1144" s="93" t="n"/>
      <c r="BS1144" s="93" t="n"/>
      <c r="BT1144" s="93" t="n"/>
      <c r="BU1144" s="93" t="n"/>
      <c r="BV1144" s="522" t="n"/>
      <c r="BW1144" s="93" t="n"/>
      <c r="BX1144" s="93" t="n"/>
      <c r="BY1144" s="93" t="n"/>
      <c r="BZ1144" s="93" t="n"/>
      <c r="CA1144" s="93" t="n"/>
      <c r="CB1144" s="93" t="n"/>
      <c r="CC1144" s="93" t="n"/>
      <c r="CD1144" s="93" t="n"/>
      <c r="CE1144" s="93" t="n"/>
      <c r="CF1144" s="162" t="n"/>
      <c r="CG1144" s="155" t="n"/>
    </row>
    <row r="1145" collapsed="1">
      <c r="A1145" s="261">
        <f>"Stock Average: "&amp;IF(OR(MO.RealTimeStockPriceToggle=FALSE,VLOOKUP(MO.DataSourceName,MO_SPT_StockAverage_Sources,COLUMN()+2,FALSE)="N/A"),"Real-Time Off Source",MO.DataSourceName)</f>
        <v/>
      </c>
      <c r="B1145" s="262" t="n"/>
      <c r="C1145" s="1009">
        <f>IF(OR(MO.RealTimeStockPriceToggle=FALSE,VLOOKUP(MO.DataSourceName,MO_SPT_StockAverage_Sources,COLUMN(),FALSE)="N/A"),VLOOKUP("Real-Time Off Source",MO_SPT_StockAverage_Sources,COLUMN(),FALSE),VLOOKUP(MO.DataSourceName,MO_SPT_StockAverage_Sources,COLUMN(),FALSE))</f>
        <v/>
      </c>
      <c r="D1145" s="1009">
        <f>IF(OR(MO.RealTimeStockPriceToggle=FALSE,VLOOKUP(MO.DataSourceName,MO_SPT_StockAverage_Sources,COLUMN(),FALSE)="N/A"),VLOOKUP("Real-Time Off Source",MO_SPT_StockAverage_Sources,COLUMN(),FALSE),VLOOKUP(MO.DataSourceName,MO_SPT_StockAverage_Sources,COLUMN(),FALSE))</f>
        <v/>
      </c>
      <c r="E1145" s="1009">
        <f>IF(OR(MO.RealTimeStockPriceToggle=FALSE,VLOOKUP(MO.DataSourceName,MO_SPT_StockAverage_Sources,COLUMN(),FALSE)="N/A"),VLOOKUP("Real-Time Off Source",MO_SPT_StockAverage_Sources,COLUMN(),FALSE),VLOOKUP(MO.DataSourceName,MO_SPT_StockAverage_Sources,COLUMN(),FALSE))</f>
        <v/>
      </c>
      <c r="F1145" s="1009">
        <f>IF(OR(MO.RealTimeStockPriceToggle=FALSE,VLOOKUP(MO.DataSourceName,MO_SPT_StockAverage_Sources,COLUMN(),FALSE)="N/A"),VLOOKUP("Real-Time Off Source",MO_SPT_StockAverage_Sources,COLUMN(),FALSE),VLOOKUP(MO.DataSourceName,MO_SPT_StockAverage_Sources,COLUMN(),FALSE))</f>
        <v/>
      </c>
      <c r="G1145" s="1009">
        <f>IF(OR(MO.RealTimeStockPriceToggle=FALSE,VLOOKUP(MO.DataSourceName,MO_SPT_StockAverage_Sources,COLUMN(),FALSE)="N/A"),VLOOKUP("Real-Time Off Source",MO_SPT_StockAverage_Sources,COLUMN(),FALSE),VLOOKUP(MO.DataSourceName,MO_SPT_StockAverage_Sources,COLUMN(),FALSE))</f>
        <v/>
      </c>
      <c r="H1145" s="262">
        <f>IF(OR(MO.RealTimeStockPriceToggle=FALSE,VLOOKUP(MO.DataSourceName,MO_SPT_StockAverage_Sources,COLUMN(),FALSE)="N/A"),VLOOKUP("Real-Time Off Source",MO_SPT_StockAverage_Sources,COLUMN(),FALSE),VLOOKUP(MO.DataSourceName,MO_SPT_StockAverage_Sources,COLUMN(),FALSE))</f>
        <v/>
      </c>
      <c r="I1145" s="262">
        <f>IF(OR(MO.RealTimeStockPriceToggle=FALSE,VLOOKUP(MO.DataSourceName,MO_SPT_StockAverage_Sources,COLUMN(),FALSE)="N/A"),VLOOKUP("Real-Time Off Source",MO_SPT_StockAverage_Sources,COLUMN(),FALSE),VLOOKUP(MO.DataSourceName,MO_SPT_StockAverage_Sources,COLUMN(),FALSE))</f>
        <v/>
      </c>
      <c r="J1145" s="262">
        <f>IF(OR(MO.RealTimeStockPriceToggle=FALSE,VLOOKUP(MO.DataSourceName,MO_SPT_StockAverage_Sources,COLUMN(),FALSE)="N/A"),VLOOKUP("Real-Time Off Source",MO_SPT_StockAverage_Sources,COLUMN(),FALSE),VLOOKUP(MO.DataSourceName,MO_SPT_StockAverage_Sources,COLUMN(),FALSE))</f>
        <v/>
      </c>
      <c r="K1145" s="262">
        <f>IF(OR(MO.RealTimeStockPriceToggle=FALSE,VLOOKUP(MO.DataSourceName,MO_SPT_StockAverage_Sources,COLUMN(),FALSE)="N/A"),VLOOKUP("Real-Time Off Source",MO_SPT_StockAverage_Sources,COLUMN(),FALSE),VLOOKUP(MO.DataSourceName,MO_SPT_StockAverage_Sources,COLUMN(),FALSE))</f>
        <v/>
      </c>
      <c r="L1145" s="262">
        <f>IF(OR(MO.RealTimeStockPriceToggle=FALSE,VLOOKUP(MO.DataSourceName,MO_SPT_StockAverage_Sources,COLUMN(),FALSE)="N/A"),VLOOKUP("Real-Time Off Source",MO_SPT_StockAverage_Sources,COLUMN(),FALSE),VLOOKUP(MO.DataSourceName,MO_SPT_StockAverage_Sources,COLUMN(),FALSE))</f>
        <v/>
      </c>
      <c r="M1145" s="262">
        <f>IF(OR(MO.RealTimeStockPriceToggle=FALSE,VLOOKUP(MO.DataSourceName,MO_SPT_StockAverage_Sources,COLUMN(),FALSE)="N/A"),VLOOKUP("Real-Time Off Source",MO_SPT_StockAverage_Sources,COLUMN(),FALSE),VLOOKUP(MO.DataSourceName,MO_SPT_StockAverage_Sources,COLUMN(),FALSE))</f>
        <v/>
      </c>
      <c r="N1145" s="262">
        <f>IF(OR(MO.RealTimeStockPriceToggle=FALSE,VLOOKUP(MO.DataSourceName,MO_SPT_StockAverage_Sources,COLUMN(),FALSE)="N/A"),VLOOKUP("Real-Time Off Source",MO_SPT_StockAverage_Sources,COLUMN(),FALSE),VLOOKUP(MO.DataSourceName,MO_SPT_StockAverage_Sources,COLUMN(),FALSE))</f>
        <v/>
      </c>
      <c r="O1145" s="262">
        <f>IF(OR(MO.RealTimeStockPriceToggle=FALSE,VLOOKUP(MO.DataSourceName,MO_SPT_StockAverage_Sources,COLUMN(),FALSE)="N/A"),VLOOKUP("Real-Time Off Source",MO_SPT_StockAverage_Sources,COLUMN(),FALSE),VLOOKUP(MO.DataSourceName,MO_SPT_StockAverage_Sources,COLUMN(),FALSE))</f>
        <v/>
      </c>
      <c r="P1145" s="262">
        <f>IF(OR(MO.RealTimeStockPriceToggle=FALSE,VLOOKUP(MO.DataSourceName,MO_SPT_StockAverage_Sources,COLUMN(),FALSE)="N/A"),VLOOKUP("Real-Time Off Source",MO_SPT_StockAverage_Sources,COLUMN(),FALSE),VLOOKUP(MO.DataSourceName,MO_SPT_StockAverage_Sources,COLUMN(),FALSE))</f>
        <v/>
      </c>
      <c r="Q1145" s="262">
        <f>IF(OR(MO.RealTimeStockPriceToggle=FALSE,VLOOKUP(MO.DataSourceName,MO_SPT_StockAverage_Sources,COLUMN(),FALSE)="N/A"),VLOOKUP("Real-Time Off Source",MO_SPT_StockAverage_Sources,COLUMN(),FALSE),VLOOKUP(MO.DataSourceName,MO_SPT_StockAverage_Sources,COLUMN(),FALSE))</f>
        <v/>
      </c>
      <c r="R1145" s="262">
        <f>IF(OR(MO.RealTimeStockPriceToggle=FALSE,VLOOKUP(MO.DataSourceName,MO_SPT_StockAverage_Sources,COLUMN(),FALSE)="N/A"),VLOOKUP("Real-Time Off Source",MO_SPT_StockAverage_Sources,COLUMN(),FALSE),VLOOKUP(MO.DataSourceName,MO_SPT_StockAverage_Sources,COLUMN(),FALSE))</f>
        <v/>
      </c>
      <c r="S1145" s="262">
        <f>IF(OR(MO.RealTimeStockPriceToggle=FALSE,VLOOKUP(MO.DataSourceName,MO_SPT_StockAverage_Sources,COLUMN(),FALSE)="N/A"),VLOOKUP("Real-Time Off Source",MO_SPT_StockAverage_Sources,COLUMN(),FALSE),VLOOKUP(MO.DataSourceName,MO_SPT_StockAverage_Sources,COLUMN(),FALSE))</f>
        <v/>
      </c>
      <c r="T1145" s="262">
        <f>IF(OR(MO.RealTimeStockPriceToggle=FALSE,VLOOKUP(MO.DataSourceName,MO_SPT_StockAverage_Sources,COLUMN(),FALSE)="N/A"),VLOOKUP("Real-Time Off Source",MO_SPT_StockAverage_Sources,COLUMN(),FALSE),VLOOKUP(MO.DataSourceName,MO_SPT_StockAverage_Sources,COLUMN(),FALSE))</f>
        <v/>
      </c>
      <c r="U1145" s="262">
        <f>IF(OR(MO.RealTimeStockPriceToggle=FALSE,VLOOKUP(MO.DataSourceName,MO_SPT_StockAverage_Sources,COLUMN(),FALSE)="N/A"),VLOOKUP("Real-Time Off Source",MO_SPT_StockAverage_Sources,COLUMN(),FALSE),VLOOKUP(MO.DataSourceName,MO_SPT_StockAverage_Sources,COLUMN(),FALSE))</f>
        <v/>
      </c>
      <c r="V1145" s="262">
        <f>IF(OR(MO.RealTimeStockPriceToggle=FALSE,VLOOKUP(MO.DataSourceName,MO_SPT_StockAverage_Sources,COLUMN(),FALSE)="N/A"),VLOOKUP("Real-Time Off Source",MO_SPT_StockAverage_Sources,COLUMN(),FALSE),VLOOKUP(MO.DataSourceName,MO_SPT_StockAverage_Sources,COLUMN(),FALSE))</f>
        <v/>
      </c>
      <c r="W1145" s="262">
        <f>IF(OR(MO.RealTimeStockPriceToggle=FALSE,VLOOKUP(MO.DataSourceName,MO_SPT_StockAverage_Sources,COLUMN(),FALSE)="N/A"),VLOOKUP("Real-Time Off Source",MO_SPT_StockAverage_Sources,COLUMN(),FALSE),VLOOKUP(MO.DataSourceName,MO_SPT_StockAverage_Sources,COLUMN(),FALSE))</f>
        <v/>
      </c>
      <c r="X1145" s="262">
        <f>IF(OR(MO.RealTimeStockPriceToggle=FALSE,VLOOKUP(MO.DataSourceName,MO_SPT_StockAverage_Sources,COLUMN(),FALSE)="N/A"),VLOOKUP("Real-Time Off Source",MO_SPT_StockAverage_Sources,COLUMN(),FALSE),VLOOKUP(MO.DataSourceName,MO_SPT_StockAverage_Sources,COLUMN(),FALSE))</f>
        <v/>
      </c>
      <c r="Y1145" s="262">
        <f>IF(OR(MO.RealTimeStockPriceToggle=FALSE,VLOOKUP(MO.DataSourceName,MO_SPT_StockAverage_Sources,COLUMN(),FALSE)="N/A"),VLOOKUP("Real-Time Off Source",MO_SPT_StockAverage_Sources,COLUMN(),FALSE),VLOOKUP(MO.DataSourceName,MO_SPT_StockAverage_Sources,COLUMN(),FALSE))</f>
        <v/>
      </c>
      <c r="Z1145" s="262">
        <f>IF(OR(MO.RealTimeStockPriceToggle=FALSE,VLOOKUP(MO.DataSourceName,MO_SPT_StockAverage_Sources,COLUMN(),FALSE)="N/A"),VLOOKUP("Real-Time Off Source",MO_SPT_StockAverage_Sources,COLUMN(),FALSE),VLOOKUP(MO.DataSourceName,MO_SPT_StockAverage_Sources,COLUMN(),FALSE))</f>
        <v/>
      </c>
      <c r="AA1145" s="262">
        <f>IF(OR(MO.RealTimeStockPriceToggle=FALSE,VLOOKUP(MO.DataSourceName,MO_SPT_StockAverage_Sources,COLUMN(),FALSE)="N/A"),VLOOKUP("Real-Time Off Source",MO_SPT_StockAverage_Sources,COLUMN(),FALSE),VLOOKUP(MO.DataSourceName,MO_SPT_StockAverage_Sources,COLUMN(),FALSE))</f>
        <v/>
      </c>
      <c r="AB1145" s="262">
        <f>IF(OR(MO.RealTimeStockPriceToggle=FALSE,VLOOKUP(MO.DataSourceName,MO_SPT_StockAverage_Sources,COLUMN(),FALSE)="N/A"),VLOOKUP("Real-Time Off Source",MO_SPT_StockAverage_Sources,COLUMN(),FALSE),VLOOKUP(MO.DataSourceName,MO_SPT_StockAverage_Sources,COLUMN(),FALSE))</f>
        <v/>
      </c>
      <c r="AC1145" s="262">
        <f>IF(OR(MO.RealTimeStockPriceToggle=FALSE,VLOOKUP(MO.DataSourceName,MO_SPT_StockAverage_Sources,COLUMN(),FALSE)="N/A"),VLOOKUP("Real-Time Off Source",MO_SPT_StockAverage_Sources,COLUMN(),FALSE),VLOOKUP(MO.DataSourceName,MO_SPT_StockAverage_Sources,COLUMN(),FALSE))</f>
        <v/>
      </c>
      <c r="AD1145" s="262">
        <f>IF(OR(MO.RealTimeStockPriceToggle=FALSE,VLOOKUP(MO.DataSourceName,MO_SPT_StockAverage_Sources,COLUMN(),FALSE)="N/A"),VLOOKUP("Real-Time Off Source",MO_SPT_StockAverage_Sources,COLUMN(),FALSE),VLOOKUP(MO.DataSourceName,MO_SPT_StockAverage_Sources,COLUMN(),FALSE))</f>
        <v/>
      </c>
      <c r="AE1145" s="262">
        <f>IF(OR(MO.RealTimeStockPriceToggle=FALSE,VLOOKUP(MO.DataSourceName,MO_SPT_StockAverage_Sources,COLUMN(),FALSE)="N/A"),VLOOKUP("Real-Time Off Source",MO_SPT_StockAverage_Sources,COLUMN(),FALSE),VLOOKUP(MO.DataSourceName,MO_SPT_StockAverage_Sources,COLUMN(),FALSE))</f>
        <v/>
      </c>
      <c r="AF1145" s="262">
        <f>IF(OR(MO.RealTimeStockPriceToggle=FALSE,VLOOKUP(MO.DataSourceName,MO_SPT_StockAverage_Sources,COLUMN(),FALSE)="N/A"),VLOOKUP("Real-Time Off Source",MO_SPT_StockAverage_Sources,COLUMN(),FALSE),VLOOKUP(MO.DataSourceName,MO_SPT_StockAverage_Sources,COLUMN(),FALSE))</f>
        <v/>
      </c>
      <c r="AG1145" s="262">
        <f>IF(OR(MO.RealTimeStockPriceToggle=FALSE,VLOOKUP(MO.DataSourceName,MO_SPT_StockAverage_Sources,COLUMN(),FALSE)="N/A"),VLOOKUP("Real-Time Off Source",MO_SPT_StockAverage_Sources,COLUMN(),FALSE),VLOOKUP(MO.DataSourceName,MO_SPT_StockAverage_Sources,COLUMN(),FALSE))</f>
        <v/>
      </c>
      <c r="AH1145" s="262">
        <f>IF(OR(MO.RealTimeStockPriceToggle=FALSE,VLOOKUP(MO.DataSourceName,MO_SPT_StockAverage_Sources,COLUMN(),FALSE)="N/A"),VLOOKUP("Real-Time Off Source",MO_SPT_StockAverage_Sources,COLUMN(),FALSE),VLOOKUP(MO.DataSourceName,MO_SPT_StockAverage_Sources,COLUMN(),FALSE))</f>
        <v/>
      </c>
      <c r="AI1145" s="262">
        <f>IF(OR(MO.RealTimeStockPriceToggle=FALSE,VLOOKUP(MO.DataSourceName,MO_SPT_StockAverage_Sources,COLUMN(),FALSE)="N/A"),VLOOKUP("Real-Time Off Source",MO_SPT_StockAverage_Sources,COLUMN(),FALSE),VLOOKUP(MO.DataSourceName,MO_SPT_StockAverage_Sources,COLUMN(),FALSE))</f>
        <v/>
      </c>
      <c r="AJ1145" s="262">
        <f>IF(OR(MO.RealTimeStockPriceToggle=FALSE,VLOOKUP(MO.DataSourceName,MO_SPT_StockAverage_Sources,COLUMN(),FALSE)="N/A"),VLOOKUP("Real-Time Off Source",MO_SPT_StockAverage_Sources,COLUMN(),FALSE),VLOOKUP(MO.DataSourceName,MO_SPT_StockAverage_Sources,COLUMN(),FALSE))</f>
        <v/>
      </c>
      <c r="AK1145" s="262">
        <f>IF(OR(MO.RealTimeStockPriceToggle=FALSE,VLOOKUP(MO.DataSourceName,MO_SPT_StockAverage_Sources,COLUMN(),FALSE)="N/A"),VLOOKUP("Real-Time Off Source",MO_SPT_StockAverage_Sources,COLUMN(),FALSE),VLOOKUP(MO.DataSourceName,MO_SPT_StockAverage_Sources,COLUMN(),FALSE))</f>
        <v/>
      </c>
      <c r="AL1145" s="262">
        <f>IF(OR(MO.RealTimeStockPriceToggle=FALSE,VLOOKUP(MO.DataSourceName,MO_SPT_StockAverage_Sources,COLUMN(),FALSE)="N/A"),VLOOKUP("Real-Time Off Source",MO_SPT_StockAverage_Sources,COLUMN(),FALSE),VLOOKUP(MO.DataSourceName,MO_SPT_StockAverage_Sources,COLUMN(),FALSE))</f>
        <v/>
      </c>
      <c r="AM1145" s="262">
        <f>IF(OR(MO.RealTimeStockPriceToggle=FALSE,VLOOKUP(MO.DataSourceName,MO_SPT_StockAverage_Sources,COLUMN(),FALSE)="N/A"),VLOOKUP("Real-Time Off Source",MO_SPT_StockAverage_Sources,COLUMN(),FALSE),VLOOKUP(MO.DataSourceName,MO_SPT_StockAverage_Sources,COLUMN(),FALSE))</f>
        <v/>
      </c>
      <c r="AN1145" s="262">
        <f>IF(OR(MO.RealTimeStockPriceToggle=FALSE,VLOOKUP(MO.DataSourceName,MO_SPT_StockAverage_Sources,COLUMN(),FALSE)="N/A"),VLOOKUP("Real-Time Off Source",MO_SPT_StockAverage_Sources,COLUMN(),FALSE),VLOOKUP(MO.DataSourceName,MO_SPT_StockAverage_Sources,COLUMN(),FALSE))</f>
        <v/>
      </c>
      <c r="AO1145" s="262">
        <f>IF(OR(MO.RealTimeStockPriceToggle=FALSE,VLOOKUP(MO.DataSourceName,MO_SPT_StockAverage_Sources,COLUMN(),FALSE)="N/A"),VLOOKUP("Real-Time Off Source",MO_SPT_StockAverage_Sources,COLUMN(),FALSE),VLOOKUP(MO.DataSourceName,MO_SPT_StockAverage_Sources,COLUMN(),FALSE))</f>
        <v/>
      </c>
      <c r="AP1145" s="262">
        <f>IF(OR(MO.RealTimeStockPriceToggle=FALSE,VLOOKUP(MO.DataSourceName,MO_SPT_StockAverage_Sources,COLUMN(),FALSE)="N/A"),VLOOKUP("Real-Time Off Source",MO_SPT_StockAverage_Sources,COLUMN(),FALSE),VLOOKUP(MO.DataSourceName,MO_SPT_StockAverage_Sources,COLUMN(),FALSE))</f>
        <v/>
      </c>
      <c r="AQ1145" s="262">
        <f>IF(OR(MO.RealTimeStockPriceToggle=FALSE,VLOOKUP(MO.DataSourceName,MO_SPT_StockAverage_Sources,COLUMN(),FALSE)="N/A"),VLOOKUP("Real-Time Off Source",MO_SPT_StockAverage_Sources,COLUMN(),FALSE),VLOOKUP(MO.DataSourceName,MO_SPT_StockAverage_Sources,COLUMN(),FALSE))</f>
        <v/>
      </c>
      <c r="AR1145" s="262">
        <f>IF(OR(MO.RealTimeStockPriceToggle=FALSE,VLOOKUP(MO.DataSourceName,MO_SPT_StockAverage_Sources,COLUMN(),FALSE)="N/A"),VLOOKUP("Real-Time Off Source",MO_SPT_StockAverage_Sources,COLUMN(),FALSE),VLOOKUP(MO.DataSourceName,MO_SPT_StockAverage_Sources,COLUMN(),FALSE))</f>
        <v/>
      </c>
      <c r="AS1145" s="262">
        <f>IF(OR(MO.RealTimeStockPriceToggle=FALSE,VLOOKUP(MO.DataSourceName,MO_SPT_StockAverage_Sources,COLUMN(),FALSE)="N/A"),VLOOKUP("Real-Time Off Source",MO_SPT_StockAverage_Sources,COLUMN(),FALSE),VLOOKUP(MO.DataSourceName,MO_SPT_StockAverage_Sources,COLUMN(),FALSE))</f>
        <v/>
      </c>
      <c r="AT1145" s="262">
        <f>IF(OR(MO.RealTimeStockPriceToggle=FALSE,VLOOKUP(MO.DataSourceName,MO_SPT_StockAverage_Sources,COLUMN(),FALSE)="N/A"),VLOOKUP("Real-Time Off Source",MO_SPT_StockAverage_Sources,COLUMN(),FALSE),VLOOKUP(MO.DataSourceName,MO_SPT_StockAverage_Sources,COLUMN(),FALSE))</f>
        <v/>
      </c>
      <c r="AU1145" s="262">
        <f>IF(OR(MO.RealTimeStockPriceToggle=FALSE,VLOOKUP(MO.DataSourceName,MO_SPT_StockAverage_Sources,COLUMN(),FALSE)="N/A"),VLOOKUP("Real-Time Off Source",MO_SPT_StockAverage_Sources,COLUMN(),FALSE),VLOOKUP(MO.DataSourceName,MO_SPT_StockAverage_Sources,COLUMN(),FALSE))</f>
        <v/>
      </c>
      <c r="AV1145" s="262">
        <f>IF(OR(MO.RealTimeStockPriceToggle=FALSE,VLOOKUP(MO.DataSourceName,MO_SPT_StockAverage_Sources,COLUMN(),FALSE)="N/A"),VLOOKUP("Real-Time Off Source",MO_SPT_StockAverage_Sources,COLUMN(),FALSE),VLOOKUP(MO.DataSourceName,MO_SPT_StockAverage_Sources,COLUMN(),FALSE))</f>
        <v/>
      </c>
      <c r="AW1145" s="262">
        <f>IF(OR(MO.RealTimeStockPriceToggle=FALSE,VLOOKUP(MO.DataSourceName,MO_SPT_StockAverage_Sources,COLUMN(),FALSE)="N/A"),VLOOKUP("Real-Time Off Source",MO_SPT_StockAverage_Sources,COLUMN(),FALSE),VLOOKUP(MO.DataSourceName,MO_SPT_StockAverage_Sources,COLUMN(),FALSE))</f>
        <v/>
      </c>
      <c r="AX1145" s="262">
        <f>IF(OR(MO.RealTimeStockPriceToggle=FALSE,VLOOKUP(MO.DataSourceName,MO_SPT_StockAverage_Sources,COLUMN(),FALSE)="N/A"),VLOOKUP("Real-Time Off Source",MO_SPT_StockAverage_Sources,COLUMN(),FALSE),VLOOKUP(MO.DataSourceName,MO_SPT_StockAverage_Sources,COLUMN(),FALSE))</f>
        <v/>
      </c>
      <c r="AY1145" s="262">
        <f>IF(OR(MO.RealTimeStockPriceToggle=FALSE,VLOOKUP(MO.DataSourceName,MO_SPT_StockAverage_Sources,COLUMN(),FALSE)="N/A"),VLOOKUP("Real-Time Off Source",MO_SPT_StockAverage_Sources,COLUMN(),FALSE),VLOOKUP(MO.DataSourceName,MO_SPT_StockAverage_Sources,COLUMN(),FALSE))</f>
        <v/>
      </c>
      <c r="AZ1145" s="262">
        <f>IF(OR(MO.RealTimeStockPriceToggle=FALSE,VLOOKUP(MO.DataSourceName,MO_SPT_StockAverage_Sources,COLUMN(),FALSE)="N/A"),VLOOKUP("Real-Time Off Source",MO_SPT_StockAverage_Sources,COLUMN(),FALSE),VLOOKUP(MO.DataSourceName,MO_SPT_StockAverage_Sources,COLUMN(),FALSE))</f>
        <v/>
      </c>
      <c r="BA1145" s="262">
        <f>IF(OR(MO.RealTimeStockPriceToggle=FALSE,VLOOKUP(MO.DataSourceName,MO_SPT_StockAverage_Sources,COLUMN(),FALSE)="N/A"),VLOOKUP("Real-Time Off Source",MO_SPT_StockAverage_Sources,COLUMN(),FALSE),VLOOKUP(MO.DataSourceName,MO_SPT_StockAverage_Sources,COLUMN(),FALSE))</f>
        <v/>
      </c>
      <c r="BB1145" s="262">
        <f>IF(OR(MO.RealTimeStockPriceToggle=FALSE,VLOOKUP(MO.DataSourceName,MO_SPT_StockAverage_Sources,COLUMN(),FALSE)="N/A"),VLOOKUP("Real-Time Off Source",MO_SPT_StockAverage_Sources,COLUMN(),FALSE),VLOOKUP(MO.DataSourceName,MO_SPT_StockAverage_Sources,COLUMN(),FALSE))</f>
        <v/>
      </c>
      <c r="BC1145" s="262">
        <f>IF(OR(MO.RealTimeStockPriceToggle=FALSE,VLOOKUP(MO.DataSourceName,MO_SPT_StockAverage_Sources,COLUMN(),FALSE)="N/A"),VLOOKUP("Real-Time Off Source",MO_SPT_StockAverage_Sources,COLUMN(),FALSE),VLOOKUP(MO.DataSourceName,MO_SPT_StockAverage_Sources,COLUMN(),FALSE))</f>
        <v/>
      </c>
      <c r="BD1145" s="262">
        <f>IF(OR(MO.RealTimeStockPriceToggle=FALSE,VLOOKUP(MO.DataSourceName,MO_SPT_StockAverage_Sources,COLUMN(),FALSE)="N/A"),VLOOKUP("Real-Time Off Source",MO_SPT_StockAverage_Sources,COLUMN(),FALSE),VLOOKUP(MO.DataSourceName,MO_SPT_StockAverage_Sources,COLUMN(),FALSE))</f>
        <v/>
      </c>
      <c r="BE1145" s="262">
        <f>IF(OR(MO.RealTimeStockPriceToggle=FALSE,VLOOKUP(MO.DataSourceName,MO_SPT_StockAverage_Sources,COLUMN(),FALSE)="N/A"),VLOOKUP("Real-Time Off Source",MO_SPT_StockAverage_Sources,COLUMN(),FALSE),VLOOKUP(MO.DataSourceName,MO_SPT_StockAverage_Sources,COLUMN(),FALSE))</f>
        <v/>
      </c>
      <c r="BF1145" s="262">
        <f>IF(OR(MO.RealTimeStockPriceToggle=FALSE,VLOOKUP(MO.DataSourceName,MO_SPT_StockAverage_Sources,COLUMN(),FALSE)="N/A"),VLOOKUP("Real-Time Off Source",MO_SPT_StockAverage_Sources,COLUMN(),FALSE),VLOOKUP(MO.DataSourceName,MO_SPT_StockAverage_Sources,COLUMN(),FALSE))</f>
        <v/>
      </c>
      <c r="BG1145" s="262">
        <f>IF(OR(MO.RealTimeStockPriceToggle=FALSE,VLOOKUP(MO.DataSourceName,MO_SPT_StockAverage_Sources,COLUMN(),FALSE)="N/A"),VLOOKUP("Real-Time Off Source",MO_SPT_StockAverage_Sources,COLUMN(),FALSE),VLOOKUP(MO.DataSourceName,MO_SPT_StockAverage_Sources,COLUMN(),FALSE))</f>
        <v/>
      </c>
      <c r="BH1145" s="262">
        <f>IF(OR(MO.RealTimeStockPriceToggle=FALSE,VLOOKUP(MO.DataSourceName,MO_SPT_StockAverage_Sources,COLUMN(),FALSE)="N/A"),VLOOKUP("Real-Time Off Source",MO_SPT_StockAverage_Sources,COLUMN(),FALSE),VLOOKUP(MO.DataSourceName,MO_SPT_StockAverage_Sources,COLUMN(),FALSE))</f>
        <v/>
      </c>
      <c r="BI1145" s="262">
        <f>IF(OR(MO.RealTimeStockPriceToggle=FALSE,VLOOKUP(MO.DataSourceName,MO_SPT_StockAverage_Sources,COLUMN(),FALSE)="N/A"),VLOOKUP("Real-Time Off Source",MO_SPT_StockAverage_Sources,COLUMN(),FALSE),VLOOKUP(MO.DataSourceName,MO_SPT_StockAverage_Sources,COLUMN(),FALSE))</f>
        <v/>
      </c>
      <c r="BJ1145" s="262">
        <f>IF(OR(MO.RealTimeStockPriceToggle=FALSE,VLOOKUP(MO.DataSourceName,MO_SPT_StockAverage_Sources,COLUMN(),FALSE)="N/A"),VLOOKUP("Real-Time Off Source",MO_SPT_StockAverage_Sources,COLUMN(),FALSE),VLOOKUP(MO.DataSourceName,MO_SPT_StockAverage_Sources,COLUMN(),FALSE))</f>
        <v/>
      </c>
      <c r="BK1145" s="262">
        <f>IF(OR(MO.RealTimeStockPriceToggle=FALSE,VLOOKUP(MO.DataSourceName,MO_SPT_StockAverage_Sources,COLUMN(),FALSE)="N/A"),VLOOKUP("Real-Time Off Source",MO_SPT_StockAverage_Sources,COLUMN(),FALSE),VLOOKUP(MO.DataSourceName,MO_SPT_StockAverage_Sources,COLUMN(),FALSE))</f>
        <v/>
      </c>
      <c r="BL1145" s="262">
        <f>IF(OR(MO.RealTimeStockPriceToggle=FALSE,VLOOKUP(MO.DataSourceName,MO_SPT_StockAverage_Sources,COLUMN(),FALSE)="N/A"),VLOOKUP("Real-Time Off Source",MO_SPT_StockAverage_Sources,COLUMN(),FALSE),VLOOKUP(MO.DataSourceName,MO_SPT_StockAverage_Sources,COLUMN(),FALSE))</f>
        <v/>
      </c>
      <c r="BM1145" s="262">
        <f>IF(OR(MO.RealTimeStockPriceToggle=FALSE,VLOOKUP(MO.DataSourceName,MO_SPT_StockAverage_Sources,COLUMN(),FALSE)="N/A"),VLOOKUP("Real-Time Off Source",MO_SPT_StockAverage_Sources,COLUMN(),FALSE),VLOOKUP(MO.DataSourceName,MO_SPT_StockAverage_Sources,COLUMN(),FALSE))</f>
        <v/>
      </c>
      <c r="BN1145" s="262">
        <f>IF(OR(MO.RealTimeStockPriceToggle=FALSE,VLOOKUP(MO.DataSourceName,MO_SPT_StockAverage_Sources,COLUMN(),FALSE)="N/A"),VLOOKUP("Real-Time Off Source",MO_SPT_StockAverage_Sources,COLUMN(),FALSE),VLOOKUP(MO.DataSourceName,MO_SPT_StockAverage_Sources,COLUMN(),FALSE))</f>
        <v/>
      </c>
      <c r="BO1145" s="262">
        <f>IF(OR(MO.RealTimeStockPriceToggle=FALSE,VLOOKUP(MO.DataSourceName,MO_SPT_StockAverage_Sources,COLUMN(),FALSE)="N/A"),VLOOKUP("Real-Time Off Source",MO_SPT_StockAverage_Sources,COLUMN(),FALSE),VLOOKUP(MO.DataSourceName,MO_SPT_StockAverage_Sources,COLUMN(),FALSE))</f>
        <v/>
      </c>
      <c r="BP1145" s="262">
        <f>IF(OR(MO.RealTimeStockPriceToggle=FALSE,VLOOKUP(MO.DataSourceName,MO_SPT_StockAverage_Sources,COLUMN(),FALSE)="N/A"),VLOOKUP("Real-Time Off Source",MO_SPT_StockAverage_Sources,COLUMN(),FALSE),VLOOKUP(MO.DataSourceName,MO_SPT_StockAverage_Sources,COLUMN(),FALSE))</f>
        <v/>
      </c>
      <c r="BQ1145" s="262">
        <f>IF(OR(MO.RealTimeStockPriceToggle=FALSE,VLOOKUP(MO.DataSourceName,MO_SPT_StockAverage_Sources,COLUMN(),FALSE)="N/A"),VLOOKUP("Real-Time Off Source",MO_SPT_StockAverage_Sources,COLUMN(),FALSE),VLOOKUP(MO.DataSourceName,MO_SPT_StockAverage_Sources,COLUMN(),FALSE))</f>
        <v/>
      </c>
      <c r="BR1145" s="262">
        <f>IF(OR(MO.RealTimeStockPriceToggle=FALSE,VLOOKUP(MO.DataSourceName,MO_SPT_StockAverage_Sources,COLUMN(),FALSE)="N/A"),VLOOKUP("Real-Time Off Source",MO_SPT_StockAverage_Sources,COLUMN(),FALSE),VLOOKUP(MO.DataSourceName,MO_SPT_StockAverage_Sources,COLUMN(),FALSE))</f>
        <v/>
      </c>
      <c r="BS1145" s="262">
        <f>IF(OR(MO.RealTimeStockPriceToggle=FALSE,VLOOKUP(MO.DataSourceName,MO_SPT_StockAverage_Sources,COLUMN(),FALSE)="N/A"),VLOOKUP("Real-Time Off Source",MO_SPT_StockAverage_Sources,COLUMN(),FALSE),VLOOKUP(MO.DataSourceName,MO_SPT_StockAverage_Sources,COLUMN(),FALSE))</f>
        <v/>
      </c>
      <c r="BT1145" s="262">
        <f>IF(OR(MO.RealTimeStockPriceToggle=FALSE,VLOOKUP(MO.DataSourceName,MO_SPT_StockAverage_Sources,COLUMN(),FALSE)="N/A"),VLOOKUP("Real-Time Off Source",MO_SPT_StockAverage_Sources,COLUMN(),FALSE),VLOOKUP(MO.DataSourceName,MO_SPT_StockAverage_Sources,COLUMN(),FALSE))</f>
        <v/>
      </c>
      <c r="BU1145" s="262">
        <f>IF(OR(MO.RealTimeStockPriceToggle=FALSE,VLOOKUP(MO.DataSourceName,MO_SPT_StockAverage_Sources,COLUMN(),FALSE)="N/A"),VLOOKUP("Real-Time Off Source",MO_SPT_StockAverage_Sources,COLUMN(),FALSE),VLOOKUP(MO.DataSourceName,MO_SPT_StockAverage_Sources,COLUMN(),FALSE))</f>
        <v/>
      </c>
      <c r="BV1145" s="531">
        <f>IF(OR(MO.RealTimeStockPriceToggle=FALSE,VLOOKUP(MO.DataSourceName,MO_SPT_StockAverage_Sources,COLUMN(),FALSE)="N/A"),VLOOKUP("Real-Time Off Source",MO_SPT_StockAverage_Sources,COLUMN(),FALSE),VLOOKUP(MO.DataSourceName,MO_SPT_StockAverage_Sources,COLUMN(),FALSE))</f>
        <v/>
      </c>
      <c r="BW1145" s="262">
        <f>IF(OR(MO.RealTimeStockPriceToggle=FALSE,VLOOKUP(MO.DataSourceName,MO_SPT_StockAverage_Sources,COLUMN(),FALSE)="N/A"),VLOOKUP("Real-Time Off Source",MO_SPT_StockAverage_Sources,COLUMN(),FALSE),VLOOKUP(MO.DataSourceName,MO_SPT_StockAverage_Sources,COLUMN(),FALSE))</f>
        <v/>
      </c>
      <c r="BX1145" s="262">
        <f>IF(OR(MO.RealTimeStockPriceToggle=FALSE,VLOOKUP(MO.DataSourceName,MO_SPT_StockAverage_Sources,COLUMN(),FALSE)="N/A"),VLOOKUP("Real-Time Off Source",MO_SPT_StockAverage_Sources,COLUMN(),FALSE),VLOOKUP(MO.DataSourceName,MO_SPT_StockAverage_Sources,COLUMN(),FALSE))</f>
        <v/>
      </c>
      <c r="BY1145" s="262">
        <f>IF(OR(MO.RealTimeStockPriceToggle=FALSE,VLOOKUP(MO.DataSourceName,MO_SPT_StockAverage_Sources,COLUMN(),FALSE)="N/A"),VLOOKUP("Real-Time Off Source",MO_SPT_StockAverage_Sources,COLUMN(),FALSE),VLOOKUP(MO.DataSourceName,MO_SPT_StockAverage_Sources,COLUMN(),FALSE))</f>
        <v/>
      </c>
      <c r="BZ1145" s="262">
        <f>IF(OR(MO.RealTimeStockPriceToggle=FALSE,VLOOKUP(MO.DataSourceName,MO_SPT_StockAverage_Sources,COLUMN(),FALSE)="N/A"),VLOOKUP("Real-Time Off Source",MO_SPT_StockAverage_Sources,COLUMN(),FALSE),VLOOKUP(MO.DataSourceName,MO_SPT_StockAverage_Sources,COLUMN(),FALSE))</f>
        <v/>
      </c>
      <c r="CA1145" s="262">
        <f>IF(OR(MO.RealTimeStockPriceToggle=FALSE,VLOOKUP(MO.DataSourceName,MO_SPT_StockAverage_Sources,COLUMN(),FALSE)="N/A"),VLOOKUP("Real-Time Off Source",MO_SPT_StockAverage_Sources,COLUMN(),FALSE),VLOOKUP(MO.DataSourceName,MO_SPT_StockAverage_Sources,COLUMN(),FALSE))</f>
        <v/>
      </c>
      <c r="CB1145" s="262">
        <f>IF(OR(MO.RealTimeStockPriceToggle=FALSE,VLOOKUP(MO.DataSourceName,MO_SPT_StockAverage_Sources,COLUMN(),FALSE)="N/A"),VLOOKUP("Real-Time Off Source",MO_SPT_StockAverage_Sources,COLUMN(),FALSE),VLOOKUP(MO.DataSourceName,MO_SPT_StockAverage_Sources,COLUMN(),FALSE))</f>
        <v/>
      </c>
      <c r="CC1145" s="262">
        <f>IF(OR(MO.RealTimeStockPriceToggle=FALSE,VLOOKUP(MO.DataSourceName,MO_SPT_StockAverage_Sources,COLUMN(),FALSE)="N/A"),VLOOKUP("Real-Time Off Source",MO_SPT_StockAverage_Sources,COLUMN(),FALSE),VLOOKUP(MO.DataSourceName,MO_SPT_StockAverage_Sources,COLUMN(),FALSE))</f>
        <v/>
      </c>
      <c r="CD1145" s="262">
        <f>IF(OR(MO.RealTimeStockPriceToggle=FALSE,VLOOKUP(MO.DataSourceName,MO_SPT_StockAverage_Sources,COLUMN(),FALSE)="N/A"),VLOOKUP("Real-Time Off Source",MO_SPT_StockAverage_Sources,COLUMN(),FALSE),VLOOKUP(MO.DataSourceName,MO_SPT_StockAverage_Sources,COLUMN(),FALSE))</f>
        <v/>
      </c>
      <c r="CE1145" s="262">
        <f>IF(OR(MO.RealTimeStockPriceToggle=FALSE,VLOOKUP(MO.DataSourceName,MO_SPT_StockAverage_Sources,COLUMN(),FALSE)="N/A"),VLOOKUP("Real-Time Off Source",MO_SPT_StockAverage_Sources,COLUMN(),FALSE),VLOOKUP(MO.DataSourceName,MO_SPT_StockAverage_Sources,COLUMN(),FALSE))</f>
        <v/>
      </c>
      <c r="CF1145" s="263">
        <f>IF(OR(MO.RealTimeStockPriceToggle=FALSE,VLOOKUP(MO.DataSourceName,MO_SPT_StockAverage_Sources,COLUMN(),FALSE)="N/A"),VLOOKUP("Real-Time Off Source",MO_SPT_StockAverage_Sources,COLUMN(),FALSE),VLOOKUP(MO.DataSourceName,MO_SPT_StockAverage_Sources,COLUMN(),FALSE))</f>
        <v/>
      </c>
      <c r="CG1145" s="155" t="n"/>
    </row>
    <row r="1146" hidden="1" outlineLevel="1">
      <c r="A1146" s="264" t="inlineStr">
        <is>
          <t>Real-Time Off Source</t>
        </is>
      </c>
      <c r="B1146" s="262" t="n"/>
      <c r="C1146" s="1093">
        <f>(14.53/(4))/(10)</f>
        <v/>
      </c>
      <c r="D1146" s="1093">
        <f>(12.5425/(4))/(10)</f>
        <v/>
      </c>
      <c r="E1146" s="1093">
        <f>(14.5575/(4))/(10)</f>
        <v/>
      </c>
      <c r="F1146" s="1093">
        <f>(16.73/(4))/(10)</f>
        <v/>
      </c>
      <c r="G1146" s="1093">
        <f>(14.825/(4))/(10)</f>
        <v/>
      </c>
      <c r="H1146" s="1094">
        <f>(12.765/(4))/(10)</f>
        <v/>
      </c>
      <c r="I1146" s="1094">
        <f>(13.525/(4))/(10)</f>
        <v/>
      </c>
      <c r="J1146" s="1094">
        <f>(12.17/(4))/(10)</f>
        <v/>
      </c>
      <c r="K1146" s="1094">
        <f>(13.32125/(4))/(10)</f>
        <v/>
      </c>
      <c r="L1146" s="1094">
        <f>(12.77/(4))/(10)</f>
        <v/>
      </c>
      <c r="M1146" s="1094">
        <f>(14.425/(4))/(10)</f>
        <v/>
      </c>
      <c r="N1146" s="1094">
        <f>(14.605/(4))/(10)</f>
        <v/>
      </c>
      <c r="O1146" s="1094">
        <f>(15.48/(4))/(10)</f>
        <v/>
      </c>
      <c r="P1146" s="1094">
        <f>(14.32/(4))/(10)</f>
        <v/>
      </c>
      <c r="Q1146" s="1094">
        <f>(17.39/(4))/(10)</f>
        <v/>
      </c>
      <c r="R1146" s="1094">
        <f>(18.72/(4))/(10)</f>
        <v/>
      </c>
      <c r="S1146" s="1094">
        <f>(18.46/(4))/(10)</f>
        <v/>
      </c>
      <c r="T1146" s="1094">
        <f>(19.76/(4))/(10)</f>
        <v/>
      </c>
      <c r="U1146" s="1094">
        <f>(18.5825/(4))/(10)</f>
        <v/>
      </c>
      <c r="V1146" s="1094">
        <f>(21.275/(4))/(10)</f>
        <v/>
      </c>
      <c r="W1146" s="1094">
        <f>(21.02/(4))/(10)</f>
        <v/>
      </c>
      <c r="X1146" s="1094">
        <f>(23.935/(4))/(10)</f>
        <v/>
      </c>
      <c r="Y1146" s="1094">
        <f>(30.195/(4))/(10)</f>
        <v/>
      </c>
      <c r="Z1146" s="1094">
        <f>(24.10625/(4))/(10)</f>
        <v/>
      </c>
      <c r="AA1146" s="1094">
        <f>(31.105/(4))/(10)</f>
        <v/>
      </c>
      <c r="AB1146" s="1094">
        <f>(45.825/(4))/(10)</f>
        <v/>
      </c>
      <c r="AC1146" s="1094">
        <f>(64.225/(4))/(10)</f>
        <v/>
      </c>
      <c r="AD1146" s="1094">
        <f>(93.255/(4))/(10)</f>
        <v/>
      </c>
      <c r="AE1146" s="1094">
        <f>(58.6025/(4))/(10)</f>
        <v/>
      </c>
      <c r="AF1146" s="1094">
        <f>(108.045/(4))/(10)</f>
        <v/>
      </c>
      <c r="AG1146" s="1094">
        <f>(136.12/(4))/(10)</f>
        <v/>
      </c>
      <c r="AH1146" s="1094">
        <f>(177.89/(4))/(10)</f>
        <v/>
      </c>
      <c r="AI1146" s="1094">
        <f>(211.96/(4))/(10)</f>
        <v/>
      </c>
      <c r="AJ1146" s="1094">
        <f>(158.50375/(4))/(10)</f>
        <v/>
      </c>
      <c r="AK1146" s="1094">
        <f>(233.894619672131/(4))/(10)</f>
        <v/>
      </c>
      <c r="AL1146" s="1094">
        <f>(250.02409375/(4))/(10)</f>
        <v/>
      </c>
      <c r="AM1146" s="1094">
        <f>(256.407127692308/(4))/(10)</f>
        <v/>
      </c>
      <c r="AN1146" s="1094">
        <f>(156.987303278689/(4))/(10)</f>
        <v/>
      </c>
      <c r="AO1146" s="1094">
        <f>(225.146623904383/(4))/(10)</f>
        <v/>
      </c>
      <c r="AP1146" s="1094">
        <f>(169.740819672131/(4))/(10)</f>
        <v/>
      </c>
      <c r="AQ1146" s="1094">
        <f>(159.50078125/(4))/(10)</f>
        <v/>
      </c>
      <c r="AR1146" s="1094">
        <f>(176.289230769231/(4))/(10)</f>
        <v/>
      </c>
      <c r="AS1146" s="1094">
        <f>(226.954838709677/(4))/(10)</f>
        <v/>
      </c>
      <c r="AT1146" s="1094">
        <f>(182.905714285714/(4))/(10)</f>
        <v/>
      </c>
      <c r="AU1146" s="1094">
        <f>(263.271048387097/(4))/(10)</f>
        <v/>
      </c>
      <c r="AV1146" s="1094">
        <f>(368.253984375/(4))/(10)</f>
        <v/>
      </c>
      <c r="AW1146" s="1094">
        <f>(511.264375/(4))/(10)</f>
        <v/>
      </c>
      <c r="AX1146" s="1094">
        <f>(531.798032786885/(4))/(10)</f>
        <v/>
      </c>
      <c r="AY1146" s="1094">
        <f>(418.532509960159/(4))/(10)</f>
        <v/>
      </c>
      <c r="AZ1146" s="1094">
        <f>(560.403174603175/(4))/(10)</f>
        <v/>
      </c>
      <c r="BA1146" s="1094">
        <f>175.737777777778/(10)</f>
        <v/>
      </c>
      <c r="BB1146" s="1094">
        <f>215.72734375/(10)</f>
        <v/>
      </c>
      <c r="BC1146" s="1094">
        <f>287.625396825397/(10)</f>
        <v/>
      </c>
      <c r="BD1146" s="1094">
        <f>204.841027667984/(10)</f>
        <v/>
      </c>
      <c r="BE1146" s="1094">
        <f>238.508387096774/(10)</f>
        <v/>
      </c>
      <c r="BF1146" s="1094">
        <f>170.571612903226/(10)</f>
        <v/>
      </c>
      <c r="BG1146" s="1094">
        <f>145.701692307692/(10)</f>
        <v/>
      </c>
      <c r="BH1146" s="1094">
        <f>162.501935483871/(10)</f>
        <v/>
      </c>
      <c r="BI1146" s="1094">
        <f>178.919083665339/(10)</f>
        <v/>
      </c>
      <c r="BJ1146" s="1094">
        <f>247.888196721311/(10)</f>
        <v/>
      </c>
      <c r="BK1146" s="1094">
        <f>386.961746031746/(10)</f>
        <v/>
      </c>
      <c r="BL1146" s="1094">
        <f>445.63875/(10)</f>
        <v/>
      </c>
      <c r="BM1146" s="1094">
        <f>497.735901639344/(10)</f>
        <v/>
      </c>
      <c r="BN1146" s="1094">
        <f>393.20896/(10)</f>
        <v/>
      </c>
      <c r="BO1146" s="1094">
        <f>815.548015873016/(10)</f>
        <v/>
      </c>
      <c r="BP1146" s="1094" t="n">
        <v>113.031225806452</v>
      </c>
      <c r="BQ1146" s="1094" t="n">
        <v>121.0271875</v>
      </c>
      <c r="BR1146" s="1094" t="n">
        <v>139.73875</v>
      </c>
      <c r="BS1146" s="1094" t="n">
        <v>113.558046184739</v>
      </c>
      <c r="BT1146" s="1094">
        <f>815.548015873016/(10)</f>
        <v/>
      </c>
      <c r="BU1146" s="1094" t="n">
        <v>143.582741935484</v>
      </c>
      <c r="BV1146" s="1095" t="n">
        <v>179.571875</v>
      </c>
      <c r="BW1146" s="262" t="n"/>
      <c r="BX1146" s="262" t="n"/>
      <c r="BY1146" s="262" t="n"/>
      <c r="BZ1146" s="262" t="n"/>
      <c r="CA1146" s="262" t="n"/>
      <c r="CB1146" s="262" t="n"/>
      <c r="CC1146" s="262" t="n"/>
      <c r="CD1146" s="262" t="n"/>
      <c r="CE1146" s="262" t="n"/>
      <c r="CF1146" s="263" t="n"/>
      <c r="CG1146" s="155" t="n"/>
    </row>
    <row r="1147" hidden="1" outlineLevel="1">
      <c r="A1147" s="264" t="inlineStr">
        <is>
          <t>Bloomberg</t>
        </is>
      </c>
      <c r="B1147" s="262" t="n"/>
      <c r="C1147" s="1009">
        <f>IFERROR(_xll.BDP(MO.Ticker.Bloomberg&amp;" Equity","INTERVAL_AVG","MARKET_DATA_OVERRIDE=PX_LAST","START_DATE_OVERRIDE",TEXT(INDEX(MO_SNA_FPStartDate,0,COLUMN()),"YYYYMMDD"),"END_DATE_OVERRIDE",TEXT(INDEX(MO_Common_QEndDate,0,COLUMN()),"YYYYMMDD")),"N/A")</f>
        <v/>
      </c>
      <c r="D1147" s="1009">
        <f>IFERROR(_xll.BDP(MO.Ticker.Bloomberg&amp;" Equity","INTERVAL_AVG","MARKET_DATA_OVERRIDE=PX_LAST","START_DATE_OVERRIDE",TEXT(INDEX(MO_SNA_FPStartDate,0,COLUMN()),"YYYYMMDD"),"END_DATE_OVERRIDE",TEXT(INDEX(MO_Common_QEndDate,0,COLUMN()),"YYYYMMDD")),"N/A")</f>
        <v/>
      </c>
      <c r="E1147" s="1009">
        <f>IFERROR(_xll.BDP(MO.Ticker.Bloomberg&amp;" Equity","INTERVAL_AVG","MARKET_DATA_OVERRIDE=PX_LAST","START_DATE_OVERRIDE",TEXT(INDEX(MO_SNA_FPStartDate,0,COLUMN()),"YYYYMMDD"),"END_DATE_OVERRIDE",TEXT(INDEX(MO_Common_QEndDate,0,COLUMN()),"YYYYMMDD")),"N/A")</f>
        <v/>
      </c>
      <c r="F1147" s="1009">
        <f>IFERROR(_xll.BDP(MO.Ticker.Bloomberg&amp;" Equity","INTERVAL_AVG","MARKET_DATA_OVERRIDE=PX_LAST","START_DATE_OVERRIDE",TEXT(INDEX(MO_SNA_FPStartDate,0,COLUMN()),"YYYYMMDD"),"END_DATE_OVERRIDE",TEXT(INDEX(MO_Common_QEndDate,0,COLUMN()),"YYYYMMDD")),"N/A")</f>
        <v/>
      </c>
      <c r="G1147" s="1009">
        <f>IFERROR(_xll.BDP(MO.Ticker.Bloomberg&amp;" Equity","INTERVAL_AVG","MARKET_DATA_OVERRIDE=PX_LAST","START_DATE_OVERRIDE",TEXT(INDEX(MO_SNA_FPStartDate,0,COLUMN()),"YYYYMMDD"),"END_DATE_OVERRIDE",TEXT(INDEX(MO_Common_QEndDate,0,COLUMN()),"YYYYMMDD")),"N/A")</f>
        <v/>
      </c>
      <c r="H1147" s="262">
        <f>IFERROR(_xll.BDP(MO.Ticker.Bloomberg&amp;" Equity","INTERVAL_AVG","MARKET_DATA_OVERRIDE=PX_LAST","START_DATE_OVERRIDE",TEXT(INDEX(MO_SNA_FPStartDate,0,COLUMN()),"YYYYMMDD"),"END_DATE_OVERRIDE",TEXT(INDEX(MO_Common_QEndDate,0,COLUMN()),"YYYYMMDD")),"N/A")</f>
        <v/>
      </c>
      <c r="I1147" s="262">
        <f>IFERROR(_xll.BDP(MO.Ticker.Bloomberg&amp;" Equity","INTERVAL_AVG","MARKET_DATA_OVERRIDE=PX_LAST","START_DATE_OVERRIDE",TEXT(INDEX(MO_SNA_FPStartDate,0,COLUMN()),"YYYYMMDD"),"END_DATE_OVERRIDE",TEXT(INDEX(MO_Common_QEndDate,0,COLUMN()),"YYYYMMDD")),"N/A")</f>
        <v/>
      </c>
      <c r="J1147" s="262">
        <f>IFERROR(_xll.BDP(MO.Ticker.Bloomberg&amp;" Equity","INTERVAL_AVG","MARKET_DATA_OVERRIDE=PX_LAST","START_DATE_OVERRIDE",TEXT(INDEX(MO_SNA_FPStartDate,0,COLUMN()),"YYYYMMDD"),"END_DATE_OVERRIDE",TEXT(INDEX(MO_Common_QEndDate,0,COLUMN()),"YYYYMMDD")),"N/A")</f>
        <v/>
      </c>
      <c r="K1147" s="262">
        <f>IFERROR(_xll.BDP(MO.Ticker.Bloomberg&amp;" Equity","INTERVAL_AVG","MARKET_DATA_OVERRIDE=PX_LAST","START_DATE_OVERRIDE",TEXT(INDEX(MO_SNA_FPStartDate,0,COLUMN()),"YYYYMMDD"),"END_DATE_OVERRIDE",TEXT(INDEX(MO_Common_QEndDate,0,COLUMN()),"YYYYMMDD")),"N/A")</f>
        <v/>
      </c>
      <c r="L1147" s="262">
        <f>IFERROR(_xll.BDP(MO.Ticker.Bloomberg&amp;" Equity","INTERVAL_AVG","MARKET_DATA_OVERRIDE=PX_LAST","START_DATE_OVERRIDE",TEXT(INDEX(MO_SNA_FPStartDate,0,COLUMN()),"YYYYMMDD"),"END_DATE_OVERRIDE",TEXT(INDEX(MO_Common_QEndDate,0,COLUMN()),"YYYYMMDD")),"N/A")</f>
        <v/>
      </c>
      <c r="M1147" s="262">
        <f>IFERROR(_xll.BDP(MO.Ticker.Bloomberg&amp;" Equity","INTERVAL_AVG","MARKET_DATA_OVERRIDE=PX_LAST","START_DATE_OVERRIDE",TEXT(INDEX(MO_SNA_FPStartDate,0,COLUMN()),"YYYYMMDD"),"END_DATE_OVERRIDE",TEXT(INDEX(MO_Common_QEndDate,0,COLUMN()),"YYYYMMDD")),"N/A")</f>
        <v/>
      </c>
      <c r="N1147" s="262">
        <f>IFERROR(_xll.BDP(MO.Ticker.Bloomberg&amp;" Equity","INTERVAL_AVG","MARKET_DATA_OVERRIDE=PX_LAST","START_DATE_OVERRIDE",TEXT(INDEX(MO_SNA_FPStartDate,0,COLUMN()),"YYYYMMDD"),"END_DATE_OVERRIDE",TEXT(INDEX(MO_Common_QEndDate,0,COLUMN()),"YYYYMMDD")),"N/A")</f>
        <v/>
      </c>
      <c r="O1147" s="262">
        <f>IFERROR(_xll.BDP(MO.Ticker.Bloomberg&amp;" Equity","INTERVAL_AVG","MARKET_DATA_OVERRIDE=PX_LAST","START_DATE_OVERRIDE",TEXT(INDEX(MO_SNA_FPStartDate,0,COLUMN()),"YYYYMMDD"),"END_DATE_OVERRIDE",TEXT(INDEX(MO_Common_QEndDate,0,COLUMN()),"YYYYMMDD")),"N/A")</f>
        <v/>
      </c>
      <c r="P1147" s="262">
        <f>IFERROR(_xll.BDP(MO.Ticker.Bloomberg&amp;" Equity","INTERVAL_AVG","MARKET_DATA_OVERRIDE=PX_LAST","START_DATE_OVERRIDE",TEXT(INDEX(MO_SNA_FPStartDate,0,COLUMN()),"YYYYMMDD"),"END_DATE_OVERRIDE",TEXT(INDEX(MO_Common_QEndDate,0,COLUMN()),"YYYYMMDD")),"N/A")</f>
        <v/>
      </c>
      <c r="Q1147" s="262">
        <f>IFERROR(_xll.BDP(MO.Ticker.Bloomberg&amp;" Equity","INTERVAL_AVG","MARKET_DATA_OVERRIDE=PX_LAST","START_DATE_OVERRIDE",TEXT(INDEX(MO_SNA_FPStartDate,0,COLUMN()),"YYYYMMDD"),"END_DATE_OVERRIDE",TEXT(INDEX(MO_Common_QEndDate,0,COLUMN()),"YYYYMMDD")),"N/A")</f>
        <v/>
      </c>
      <c r="R1147" s="262">
        <f>IFERROR(_xll.BDP(MO.Ticker.Bloomberg&amp;" Equity","INTERVAL_AVG","MARKET_DATA_OVERRIDE=PX_LAST","START_DATE_OVERRIDE",TEXT(INDEX(MO_SNA_FPStartDate,0,COLUMN()),"YYYYMMDD"),"END_DATE_OVERRIDE",TEXT(INDEX(MO_Common_QEndDate,0,COLUMN()),"YYYYMMDD")),"N/A")</f>
        <v/>
      </c>
      <c r="S1147" s="262">
        <f>IFERROR(_xll.BDP(MO.Ticker.Bloomberg&amp;" Equity","INTERVAL_AVG","MARKET_DATA_OVERRIDE=PX_LAST","START_DATE_OVERRIDE",TEXT(INDEX(MO_SNA_FPStartDate,0,COLUMN()),"YYYYMMDD"),"END_DATE_OVERRIDE",TEXT(INDEX(MO_Common_QEndDate,0,COLUMN()),"YYYYMMDD")),"N/A")</f>
        <v/>
      </c>
      <c r="T1147" s="262">
        <f>IFERROR(_xll.BDP(MO.Ticker.Bloomberg&amp;" Equity","INTERVAL_AVG","MARKET_DATA_OVERRIDE=PX_LAST","START_DATE_OVERRIDE",TEXT(INDEX(MO_SNA_FPStartDate,0,COLUMN()),"YYYYMMDD"),"END_DATE_OVERRIDE",TEXT(INDEX(MO_Common_QEndDate,0,COLUMN()),"YYYYMMDD")),"N/A")</f>
        <v/>
      </c>
      <c r="U1147" s="262">
        <f>IFERROR(_xll.BDP(MO.Ticker.Bloomberg&amp;" Equity","INTERVAL_AVG","MARKET_DATA_OVERRIDE=PX_LAST","START_DATE_OVERRIDE",TEXT(INDEX(MO_SNA_FPStartDate,0,COLUMN()),"YYYYMMDD"),"END_DATE_OVERRIDE",TEXT(INDEX(MO_Common_QEndDate,0,COLUMN()),"YYYYMMDD")),"N/A")</f>
        <v/>
      </c>
      <c r="V1147" s="262">
        <f>IFERROR(_xll.BDP(MO.Ticker.Bloomberg&amp;" Equity","INTERVAL_AVG","MARKET_DATA_OVERRIDE=PX_LAST","START_DATE_OVERRIDE",TEXT(INDEX(MO_SNA_FPStartDate,0,COLUMN()),"YYYYMMDD"),"END_DATE_OVERRIDE",TEXT(INDEX(MO_Common_QEndDate,0,COLUMN()),"YYYYMMDD")),"N/A")</f>
        <v/>
      </c>
      <c r="W1147" s="262">
        <f>IFERROR(_xll.BDP(MO.Ticker.Bloomberg&amp;" Equity","INTERVAL_AVG","MARKET_DATA_OVERRIDE=PX_LAST","START_DATE_OVERRIDE",TEXT(INDEX(MO_SNA_FPStartDate,0,COLUMN()),"YYYYMMDD"),"END_DATE_OVERRIDE",TEXT(INDEX(MO_Common_QEndDate,0,COLUMN()),"YYYYMMDD")),"N/A")</f>
        <v/>
      </c>
      <c r="X1147" s="262">
        <f>IFERROR(_xll.BDP(MO.Ticker.Bloomberg&amp;" Equity","INTERVAL_AVG","MARKET_DATA_OVERRIDE=PX_LAST","START_DATE_OVERRIDE",TEXT(INDEX(MO_SNA_FPStartDate,0,COLUMN()),"YYYYMMDD"),"END_DATE_OVERRIDE",TEXT(INDEX(MO_Common_QEndDate,0,COLUMN()),"YYYYMMDD")),"N/A")</f>
        <v/>
      </c>
      <c r="Y1147" s="262">
        <f>IFERROR(_xll.BDP(MO.Ticker.Bloomberg&amp;" Equity","INTERVAL_AVG","MARKET_DATA_OVERRIDE=PX_LAST","START_DATE_OVERRIDE",TEXT(INDEX(MO_SNA_FPStartDate,0,COLUMN()),"YYYYMMDD"),"END_DATE_OVERRIDE",TEXT(INDEX(MO_Common_QEndDate,0,COLUMN()),"YYYYMMDD")),"N/A")</f>
        <v/>
      </c>
      <c r="Z1147" s="262">
        <f>IFERROR(_xll.BDP(MO.Ticker.Bloomberg&amp;" Equity","INTERVAL_AVG","MARKET_DATA_OVERRIDE=PX_LAST","START_DATE_OVERRIDE",TEXT(INDEX(MO_SNA_FPStartDate,0,COLUMN()),"YYYYMMDD"),"END_DATE_OVERRIDE",TEXT(INDEX(MO_Common_QEndDate,0,COLUMN()),"YYYYMMDD")),"N/A")</f>
        <v/>
      </c>
      <c r="AA1147" s="262">
        <f>IFERROR(_xll.BDP(MO.Ticker.Bloomberg&amp;" Equity","INTERVAL_AVG","MARKET_DATA_OVERRIDE=PX_LAST","START_DATE_OVERRIDE",TEXT(INDEX(MO_SNA_FPStartDate,0,COLUMN()),"YYYYMMDD"),"END_DATE_OVERRIDE",TEXT(INDEX(MO_Common_QEndDate,0,COLUMN()),"YYYYMMDD")),"N/A")</f>
        <v/>
      </c>
      <c r="AB1147" s="262">
        <f>IFERROR(_xll.BDP(MO.Ticker.Bloomberg&amp;" Equity","INTERVAL_AVG","MARKET_DATA_OVERRIDE=PX_LAST","START_DATE_OVERRIDE",TEXT(INDEX(MO_SNA_FPStartDate,0,COLUMN()),"YYYYMMDD"),"END_DATE_OVERRIDE",TEXT(INDEX(MO_Common_QEndDate,0,COLUMN()),"YYYYMMDD")),"N/A")</f>
        <v/>
      </c>
      <c r="AC1147" s="262">
        <f>IFERROR(_xll.BDP(MO.Ticker.Bloomberg&amp;" Equity","INTERVAL_AVG","MARKET_DATA_OVERRIDE=PX_LAST","START_DATE_OVERRIDE",TEXT(INDEX(MO_SNA_FPStartDate,0,COLUMN()),"YYYYMMDD"),"END_DATE_OVERRIDE",TEXT(INDEX(MO_Common_QEndDate,0,COLUMN()),"YYYYMMDD")),"N/A")</f>
        <v/>
      </c>
      <c r="AD1147" s="262">
        <f>IFERROR(_xll.BDP(MO.Ticker.Bloomberg&amp;" Equity","INTERVAL_AVG","MARKET_DATA_OVERRIDE=PX_LAST","START_DATE_OVERRIDE",TEXT(INDEX(MO_SNA_FPStartDate,0,COLUMN()),"YYYYMMDD"),"END_DATE_OVERRIDE",TEXT(INDEX(MO_Common_QEndDate,0,COLUMN()),"YYYYMMDD")),"N/A")</f>
        <v/>
      </c>
      <c r="AE1147" s="262">
        <f>IFERROR(_xll.BDP(MO.Ticker.Bloomberg&amp;" Equity","INTERVAL_AVG","MARKET_DATA_OVERRIDE=PX_LAST","START_DATE_OVERRIDE",TEXT(INDEX(MO_SNA_FPStartDate,0,COLUMN()),"YYYYMMDD"),"END_DATE_OVERRIDE",TEXT(INDEX(MO_Common_QEndDate,0,COLUMN()),"YYYYMMDD")),"N/A")</f>
        <v/>
      </c>
      <c r="AF1147" s="262">
        <f>IFERROR(_xll.BDP(MO.Ticker.Bloomberg&amp;" Equity","INTERVAL_AVG","MARKET_DATA_OVERRIDE=PX_LAST","START_DATE_OVERRIDE",TEXT(INDEX(MO_SNA_FPStartDate,0,COLUMN()),"YYYYMMDD"),"END_DATE_OVERRIDE",TEXT(INDEX(MO_Common_QEndDate,0,COLUMN()),"YYYYMMDD")),"N/A")</f>
        <v/>
      </c>
      <c r="AG1147" s="262">
        <f>IFERROR(_xll.BDP(MO.Ticker.Bloomberg&amp;" Equity","INTERVAL_AVG","MARKET_DATA_OVERRIDE=PX_LAST","START_DATE_OVERRIDE",TEXT(INDEX(MO_SNA_FPStartDate,0,COLUMN()),"YYYYMMDD"),"END_DATE_OVERRIDE",TEXT(INDEX(MO_Common_QEndDate,0,COLUMN()),"YYYYMMDD")),"N/A")</f>
        <v/>
      </c>
      <c r="AH1147" s="262">
        <f>IFERROR(_xll.BDP(MO.Ticker.Bloomberg&amp;" Equity","INTERVAL_AVG","MARKET_DATA_OVERRIDE=PX_LAST","START_DATE_OVERRIDE",TEXT(INDEX(MO_SNA_FPStartDate,0,COLUMN()),"YYYYMMDD"),"END_DATE_OVERRIDE",TEXT(INDEX(MO_Common_QEndDate,0,COLUMN()),"YYYYMMDD")),"N/A")</f>
        <v/>
      </c>
      <c r="AI1147" s="262">
        <f>IFERROR(_xll.BDP(MO.Ticker.Bloomberg&amp;" Equity","INTERVAL_AVG","MARKET_DATA_OVERRIDE=PX_LAST","START_DATE_OVERRIDE",TEXT(INDEX(MO_SNA_FPStartDate,0,COLUMN()),"YYYYMMDD"),"END_DATE_OVERRIDE",TEXT(INDEX(MO_Common_QEndDate,0,COLUMN()),"YYYYMMDD")),"N/A")</f>
        <v/>
      </c>
      <c r="AJ1147" s="262">
        <f>IFERROR(_xll.BDP(MO.Ticker.Bloomberg&amp;" Equity","INTERVAL_AVG","MARKET_DATA_OVERRIDE=PX_LAST","START_DATE_OVERRIDE",TEXT(INDEX(MO_SNA_FPStartDate,0,COLUMN()),"YYYYMMDD"),"END_DATE_OVERRIDE",TEXT(INDEX(MO_Common_QEndDate,0,COLUMN()),"YYYYMMDD")),"N/A")</f>
        <v/>
      </c>
      <c r="AK1147" s="262">
        <f>IFERROR(_xll.BDP(MO.Ticker.Bloomberg&amp;" Equity","INTERVAL_AVG","MARKET_DATA_OVERRIDE=PX_LAST","START_DATE_OVERRIDE",TEXT(INDEX(MO_SNA_FPStartDate,0,COLUMN()),"YYYYMMDD"),"END_DATE_OVERRIDE",TEXT(INDEX(MO_Common_QEndDate,0,COLUMN()),"YYYYMMDD")),"N/A")</f>
        <v/>
      </c>
      <c r="AL1147" s="262">
        <f>IFERROR(_xll.BDP(MO.Ticker.Bloomberg&amp;" Equity","INTERVAL_AVG","MARKET_DATA_OVERRIDE=PX_LAST","START_DATE_OVERRIDE",TEXT(INDEX(MO_SNA_FPStartDate,0,COLUMN()),"YYYYMMDD"),"END_DATE_OVERRIDE",TEXT(INDEX(MO_Common_QEndDate,0,COLUMN()),"YYYYMMDD")),"N/A")</f>
        <v/>
      </c>
      <c r="AM1147" s="262">
        <f>IFERROR(_xll.BDP(MO.Ticker.Bloomberg&amp;" Equity","INTERVAL_AVG","MARKET_DATA_OVERRIDE=PX_LAST","START_DATE_OVERRIDE",TEXT(INDEX(MO_SNA_FPStartDate,0,COLUMN()),"YYYYMMDD"),"END_DATE_OVERRIDE",TEXT(INDEX(MO_Common_QEndDate,0,COLUMN()),"YYYYMMDD")),"N/A")</f>
        <v/>
      </c>
      <c r="AN1147" s="262">
        <f>IFERROR(_xll.BDP(MO.Ticker.Bloomberg&amp;" Equity","INTERVAL_AVG","MARKET_DATA_OVERRIDE=PX_LAST","START_DATE_OVERRIDE",TEXT(INDEX(MO_SNA_FPStartDate,0,COLUMN()),"YYYYMMDD"),"END_DATE_OVERRIDE",TEXT(INDEX(MO_Common_QEndDate,0,COLUMN()),"YYYYMMDD")),"N/A")</f>
        <v/>
      </c>
      <c r="AO1147" s="262">
        <f>IFERROR(_xll.BDP(MO.Ticker.Bloomberg&amp;" Equity","INTERVAL_AVG","MARKET_DATA_OVERRIDE=PX_LAST","START_DATE_OVERRIDE",TEXT(INDEX(MO_SNA_FPStartDate,0,COLUMN()),"YYYYMMDD"),"END_DATE_OVERRIDE",TEXT(INDEX(MO_Common_QEndDate,0,COLUMN()),"YYYYMMDD")),"N/A")</f>
        <v/>
      </c>
      <c r="AP1147" s="262">
        <f>IFERROR(_xll.BDP(MO.Ticker.Bloomberg&amp;" Equity","INTERVAL_AVG","MARKET_DATA_OVERRIDE=PX_LAST","START_DATE_OVERRIDE",TEXT(INDEX(MO_SNA_FPStartDate,0,COLUMN()),"YYYYMMDD"),"END_DATE_OVERRIDE",TEXT(INDEX(MO_Common_QEndDate,0,COLUMN()),"YYYYMMDD")),"N/A")</f>
        <v/>
      </c>
      <c r="AQ1147" s="262">
        <f>IFERROR(_xll.BDP(MO.Ticker.Bloomberg&amp;" Equity","INTERVAL_AVG","MARKET_DATA_OVERRIDE=PX_LAST","START_DATE_OVERRIDE",TEXT(INDEX(MO_SNA_FPStartDate,0,COLUMN()),"YYYYMMDD"),"END_DATE_OVERRIDE",TEXT(INDEX(MO_Common_QEndDate,0,COLUMN()),"YYYYMMDD")),"N/A")</f>
        <v/>
      </c>
      <c r="AR1147" s="262">
        <f>IFERROR(_xll.BDP(MO.Ticker.Bloomberg&amp;" Equity","INTERVAL_AVG","MARKET_DATA_OVERRIDE=PX_LAST","START_DATE_OVERRIDE",TEXT(INDEX(MO_SNA_FPStartDate,0,COLUMN()),"YYYYMMDD"),"END_DATE_OVERRIDE",TEXT(INDEX(MO_Common_QEndDate,0,COLUMN()),"YYYYMMDD")),"N/A")</f>
        <v/>
      </c>
      <c r="AS1147" s="262">
        <f>IFERROR(_xll.BDP(MO.Ticker.Bloomberg&amp;" Equity","INTERVAL_AVG","MARKET_DATA_OVERRIDE=PX_LAST","START_DATE_OVERRIDE",TEXT(INDEX(MO_SNA_FPStartDate,0,COLUMN()),"YYYYMMDD"),"END_DATE_OVERRIDE",TEXT(INDEX(MO_Common_QEndDate,0,COLUMN()),"YYYYMMDD")),"N/A")</f>
        <v/>
      </c>
      <c r="AT1147" s="262">
        <f>IFERROR(_xll.BDP(MO.Ticker.Bloomberg&amp;" Equity","INTERVAL_AVG","MARKET_DATA_OVERRIDE=PX_LAST","START_DATE_OVERRIDE",TEXT(INDEX(MO_SNA_FPStartDate,0,COLUMN()),"YYYYMMDD"),"END_DATE_OVERRIDE",TEXT(INDEX(MO_Common_QEndDate,0,COLUMN()),"YYYYMMDD")),"N/A")</f>
        <v/>
      </c>
      <c r="AU1147" s="262">
        <f>IFERROR(_xll.BDP(MO.Ticker.Bloomberg&amp;" Equity","INTERVAL_AVG","MARKET_DATA_OVERRIDE=PX_LAST","START_DATE_OVERRIDE",TEXT(INDEX(MO_SNA_FPStartDate,0,COLUMN()),"YYYYMMDD"),"END_DATE_OVERRIDE",TEXT(INDEX(MO_Common_QEndDate,0,COLUMN()),"YYYYMMDD")),"N/A")</f>
        <v/>
      </c>
      <c r="AV1147" s="262">
        <f>IFERROR(_xll.BDP(MO.Ticker.Bloomberg&amp;" Equity","INTERVAL_AVG","MARKET_DATA_OVERRIDE=PX_LAST","START_DATE_OVERRIDE",TEXT(INDEX(MO_SNA_FPStartDate,0,COLUMN()),"YYYYMMDD"),"END_DATE_OVERRIDE",TEXT(INDEX(MO_Common_QEndDate,0,COLUMN()),"YYYYMMDD")),"N/A")</f>
        <v/>
      </c>
      <c r="AW1147" s="262">
        <f>IFERROR(_xll.BDP(MO.Ticker.Bloomberg&amp;" Equity","INTERVAL_AVG","MARKET_DATA_OVERRIDE=PX_LAST","START_DATE_OVERRIDE",TEXT(INDEX(MO_SNA_FPStartDate,0,COLUMN()),"YYYYMMDD"),"END_DATE_OVERRIDE",TEXT(INDEX(MO_Common_QEndDate,0,COLUMN()),"YYYYMMDD")),"N/A")</f>
        <v/>
      </c>
      <c r="AX1147" s="262">
        <f>IFERROR(_xll.BDP(MO.Ticker.Bloomberg&amp;" Equity","INTERVAL_AVG","MARKET_DATA_OVERRIDE=PX_LAST","START_DATE_OVERRIDE",TEXT(INDEX(MO_SNA_FPStartDate,0,COLUMN()),"YYYYMMDD"),"END_DATE_OVERRIDE",TEXT(INDEX(MO_Common_QEndDate,0,COLUMN()),"YYYYMMDD")),"N/A")</f>
        <v/>
      </c>
      <c r="AY1147" s="262">
        <f>IFERROR(_xll.BDP(MO.Ticker.Bloomberg&amp;" Equity","INTERVAL_AVG","MARKET_DATA_OVERRIDE=PX_LAST","START_DATE_OVERRIDE",TEXT(INDEX(MO_SNA_FPStartDate,0,COLUMN()),"YYYYMMDD"),"END_DATE_OVERRIDE",TEXT(INDEX(MO_Common_QEndDate,0,COLUMN()),"YYYYMMDD")),"N/A")</f>
        <v/>
      </c>
      <c r="AZ1147" s="262">
        <f>IFERROR(_xll.BDP(MO.Ticker.Bloomberg&amp;" Equity","INTERVAL_AVG","MARKET_DATA_OVERRIDE=PX_LAST","START_DATE_OVERRIDE",TEXT(INDEX(MO_SNA_FPStartDate,0,COLUMN()),"YYYYMMDD"),"END_DATE_OVERRIDE",TEXT(INDEX(MO_Common_QEndDate,0,COLUMN()),"YYYYMMDD")),"N/A")</f>
        <v/>
      </c>
      <c r="BA1147" s="262">
        <f>IFERROR(_xll.BDP(MO.Ticker.Bloomberg&amp;" Equity","INTERVAL_AVG","MARKET_DATA_OVERRIDE=PX_LAST","START_DATE_OVERRIDE",TEXT(INDEX(MO_SNA_FPStartDate,0,COLUMN()),"YYYYMMDD"),"END_DATE_OVERRIDE",TEXT(INDEX(MO_Common_QEndDate,0,COLUMN()),"YYYYMMDD")),"N/A")</f>
        <v/>
      </c>
      <c r="BB1147" s="262">
        <f>IFERROR(_xll.BDP(MO.Ticker.Bloomberg&amp;" Equity","INTERVAL_AVG","MARKET_DATA_OVERRIDE=PX_LAST","START_DATE_OVERRIDE",TEXT(INDEX(MO_SNA_FPStartDate,0,COLUMN()),"YYYYMMDD"),"END_DATE_OVERRIDE",TEXT(INDEX(MO_Common_QEndDate,0,COLUMN()),"YYYYMMDD")),"N/A")</f>
        <v/>
      </c>
      <c r="BC1147" s="262">
        <f>IFERROR(_xll.BDP(MO.Ticker.Bloomberg&amp;" Equity","INTERVAL_AVG","MARKET_DATA_OVERRIDE=PX_LAST","START_DATE_OVERRIDE",TEXT(INDEX(MO_SNA_FPStartDate,0,COLUMN()),"YYYYMMDD"),"END_DATE_OVERRIDE",TEXT(INDEX(MO_Common_QEndDate,0,COLUMN()),"YYYYMMDD")),"N/A")</f>
        <v/>
      </c>
      <c r="BD1147" s="262">
        <f>IFERROR(_xll.BDP(MO.Ticker.Bloomberg&amp;" Equity","INTERVAL_AVG","MARKET_DATA_OVERRIDE=PX_LAST","START_DATE_OVERRIDE",TEXT(INDEX(MO_SNA_FPStartDate,0,COLUMN()),"YYYYMMDD"),"END_DATE_OVERRIDE",TEXT(INDEX(MO_Common_QEndDate,0,COLUMN()),"YYYYMMDD")),"N/A")</f>
        <v/>
      </c>
      <c r="BE1147" s="262">
        <f>IFERROR(_xll.BDP(MO.Ticker.Bloomberg&amp;" Equity","INTERVAL_AVG","MARKET_DATA_OVERRIDE=PX_LAST","START_DATE_OVERRIDE",TEXT(INDEX(MO_SNA_FPStartDate,0,COLUMN()),"YYYYMMDD"),"END_DATE_OVERRIDE",TEXT(INDEX(MO_Common_QEndDate,0,COLUMN()),"YYYYMMDD")),"N/A")</f>
        <v/>
      </c>
      <c r="BF1147" s="262">
        <f>IFERROR(_xll.BDP(MO.Ticker.Bloomberg&amp;" Equity","INTERVAL_AVG","MARKET_DATA_OVERRIDE=PX_LAST","START_DATE_OVERRIDE",TEXT(INDEX(MO_SNA_FPStartDate,0,COLUMN()),"YYYYMMDD"),"END_DATE_OVERRIDE",TEXT(INDEX(MO_Common_QEndDate,0,COLUMN()),"YYYYMMDD")),"N/A")</f>
        <v/>
      </c>
      <c r="BG1147" s="262">
        <f>IFERROR(_xll.BDP(MO.Ticker.Bloomberg&amp;" Equity","INTERVAL_AVG","MARKET_DATA_OVERRIDE=PX_LAST","START_DATE_OVERRIDE",TEXT(INDEX(MO_SNA_FPStartDate,0,COLUMN()),"YYYYMMDD"),"END_DATE_OVERRIDE",TEXT(INDEX(MO_Common_QEndDate,0,COLUMN()),"YYYYMMDD")),"N/A")</f>
        <v/>
      </c>
      <c r="BH1147" s="262">
        <f>IFERROR(_xll.BDP(MO.Ticker.Bloomberg&amp;" Equity","INTERVAL_AVG","MARKET_DATA_OVERRIDE=PX_LAST","START_DATE_OVERRIDE",TEXT(INDEX(MO_SNA_FPStartDate,0,COLUMN()),"YYYYMMDD"),"END_DATE_OVERRIDE",TEXT(INDEX(MO_Common_QEndDate,0,COLUMN()),"YYYYMMDD")),"N/A")</f>
        <v/>
      </c>
      <c r="BI1147" s="262">
        <f>IFERROR(_xll.BDP(MO.Ticker.Bloomberg&amp;" Equity","INTERVAL_AVG","MARKET_DATA_OVERRIDE=PX_LAST","START_DATE_OVERRIDE",TEXT(INDEX(MO_SNA_FPStartDate,0,COLUMN()),"YYYYMMDD"),"END_DATE_OVERRIDE",TEXT(INDEX(MO_Common_QEndDate,0,COLUMN()),"YYYYMMDD")),"N/A")</f>
        <v/>
      </c>
      <c r="BJ1147" s="262">
        <f>IFERROR(_xll.BDP(MO.Ticker.Bloomberg&amp;" Equity","INTERVAL_AVG","MARKET_DATA_OVERRIDE=PX_LAST","START_DATE_OVERRIDE",TEXT(INDEX(MO_SNA_FPStartDate,0,COLUMN()),"YYYYMMDD"),"END_DATE_OVERRIDE",TEXT(INDEX(MO_Common_QEndDate,0,COLUMN()),"YYYYMMDD")),"N/A")</f>
        <v/>
      </c>
      <c r="BK1147" s="262">
        <f>IFERROR(_xll.BDP(MO.Ticker.Bloomberg&amp;" Equity","INTERVAL_AVG","MARKET_DATA_OVERRIDE=PX_LAST","START_DATE_OVERRIDE",TEXT(INDEX(MO_SNA_FPStartDate,0,COLUMN()),"YYYYMMDD"),"END_DATE_OVERRIDE",TEXT(INDEX(MO_Common_QEndDate,0,COLUMN()),"YYYYMMDD")),"N/A")</f>
        <v/>
      </c>
      <c r="BL1147" s="262">
        <f>IFERROR(_xll.BDP(MO.Ticker.Bloomberg&amp;" Equity","INTERVAL_AVG","MARKET_DATA_OVERRIDE=PX_LAST","START_DATE_OVERRIDE",TEXT(INDEX(MO_SNA_FPStartDate,0,COLUMN()),"YYYYMMDD"),"END_DATE_OVERRIDE",TEXT(INDEX(MO_Common_QEndDate,0,COLUMN()),"YYYYMMDD")),"N/A")</f>
        <v/>
      </c>
      <c r="BM1147" s="262">
        <f>IFERROR(_xll.BDP(MO.Ticker.Bloomberg&amp;" Equity","INTERVAL_AVG","MARKET_DATA_OVERRIDE=PX_LAST","START_DATE_OVERRIDE",TEXT(INDEX(MO_SNA_FPStartDate,0,COLUMN()),"YYYYMMDD"),"END_DATE_OVERRIDE",TEXT(INDEX(MO_Common_QEndDate,0,COLUMN()),"YYYYMMDD")),"N/A")</f>
        <v/>
      </c>
      <c r="BN1147" s="262">
        <f>IFERROR(_xll.BDP(MO.Ticker.Bloomberg&amp;" Equity","INTERVAL_AVG","MARKET_DATA_OVERRIDE=PX_LAST","START_DATE_OVERRIDE",TEXT(INDEX(MO_SNA_FPStartDate,0,COLUMN()),"YYYYMMDD"),"END_DATE_OVERRIDE",TEXT(INDEX(MO_Common_QEndDate,0,COLUMN()),"YYYYMMDD")),"N/A")</f>
        <v/>
      </c>
      <c r="BO1147" s="262">
        <f>IFERROR(_xll.BDP(MO.Ticker.Bloomberg&amp;" Equity","INTERVAL_AVG","MARKET_DATA_OVERRIDE=PX_LAST","START_DATE_OVERRIDE",TEXT(INDEX(MO_SNA_FPStartDate,0,COLUMN()),"YYYYMMDD"),"END_DATE_OVERRIDE",TEXT(INDEX(MO_Common_QEndDate,0,COLUMN()),"YYYYMMDD")),"N/A")</f>
        <v/>
      </c>
      <c r="BP1147" s="262">
        <f>IFERROR(_xll.BDP(MO.Ticker.Bloomberg&amp;" Equity","INTERVAL_AVG","MARKET_DATA_OVERRIDE=PX_LAST","START_DATE_OVERRIDE",TEXT(INDEX(MO_SNA_FPStartDate,0,COLUMN()),"YYYYMMDD"),"END_DATE_OVERRIDE",TEXT(INDEX(MO_Common_QEndDate,0,COLUMN()),"YYYYMMDD")),"N/A")</f>
        <v/>
      </c>
      <c r="BQ1147" s="262">
        <f>IFERROR(_xll.BDP(MO.Ticker.Bloomberg&amp;" Equity","INTERVAL_AVG","MARKET_DATA_OVERRIDE=PX_LAST","START_DATE_OVERRIDE",TEXT(INDEX(MO_SNA_FPStartDate,0,COLUMN()),"YYYYMMDD"),"END_DATE_OVERRIDE",TEXT(INDEX(MO_Common_QEndDate,0,COLUMN()),"YYYYMMDD")),"N/A")</f>
        <v/>
      </c>
      <c r="BR1147" s="262">
        <f>IFERROR(_xll.BDP(MO.Ticker.Bloomberg&amp;" Equity","INTERVAL_AVG","MARKET_DATA_OVERRIDE=PX_LAST","START_DATE_OVERRIDE",TEXT(INDEX(MO_SNA_FPStartDate,0,COLUMN()),"YYYYMMDD"),"END_DATE_OVERRIDE",TEXT(INDEX(MO_Common_QEndDate,0,COLUMN()),"YYYYMMDD")),"N/A")</f>
        <v/>
      </c>
      <c r="BS1147" s="262">
        <f>IFERROR(_xll.BDP(MO.Ticker.Bloomberg&amp;" Equity","INTERVAL_AVG","MARKET_DATA_OVERRIDE=PX_LAST","START_DATE_OVERRIDE",TEXT(INDEX(MO_SNA_FPStartDate,0,COLUMN()),"YYYYMMDD"),"END_DATE_OVERRIDE",TEXT(INDEX(MO_Common_QEndDate,0,COLUMN()),"YYYYMMDD")),"N/A")</f>
        <v/>
      </c>
      <c r="BT1147" s="262">
        <f>IFERROR(_xll.BDP(MO.Ticker.Bloomberg&amp;" Equity","INTERVAL_AVG","MARKET_DATA_OVERRIDE=PX_LAST","START_DATE_OVERRIDE",TEXT(INDEX(MO_SNA_FPStartDate,0,COLUMN()),"YYYYMMDD"),"END_DATE_OVERRIDE",TEXT(INDEX(MO_Common_QEndDate,0,COLUMN()),"YYYYMMDD")),"N/A")</f>
        <v/>
      </c>
      <c r="BU1147" s="262">
        <f>IFERROR(_xll.BDP(MO.Ticker.Bloomberg&amp;" Equity","INTERVAL_AVG","MARKET_DATA_OVERRIDE=PX_LAST","START_DATE_OVERRIDE",TEXT(INDEX(MO_SNA_FPStartDate,0,COLUMN()),"YYYYMMDD"),"END_DATE_OVERRIDE",TEXT(INDEX(MO_Common_QEndDate,0,COLUMN()),"YYYYMMDD")),"N/A")</f>
        <v/>
      </c>
      <c r="BV1147" s="531">
        <f>IFERROR(_xll.BDP(MO.Ticker.Bloomberg&amp;" Equity","INTERVAL_AVG","MARKET_DATA_OVERRIDE=PX_LAST","START_DATE_OVERRIDE",TEXT(INDEX(MO_SNA_FPStartDate,0,COLUMN()),"YYYYMMDD"),"END_DATE_OVERRIDE",TEXT(INDEX(MO_Common_QEndDate,0,COLUMN()),"YYYYMMDD")),"N/A")</f>
        <v/>
      </c>
      <c r="BW1147" s="262">
        <f>IFERROR(_xll.BDP(MO.Ticker.Bloomberg&amp;" Equity","INTERVAL_AVG","MARKET_DATA_OVERRIDE=PX_LAST","START_DATE_OVERRIDE",TEXT(INDEX(MO_SNA_FPStartDate,0,COLUMN()),"YYYYMMDD"),"END_DATE_OVERRIDE",TEXT(INDEX(MO_Common_QEndDate,0,COLUMN()),"YYYYMMDD")),"N/A")</f>
        <v/>
      </c>
      <c r="BX1147" s="262">
        <f>IFERROR(_xll.BDP(MO.Ticker.Bloomberg&amp;" Equity","INTERVAL_AVG","MARKET_DATA_OVERRIDE=PX_LAST","START_DATE_OVERRIDE",TEXT(INDEX(MO_SNA_FPStartDate,0,COLUMN()),"YYYYMMDD"),"END_DATE_OVERRIDE",TEXT(INDEX(MO_Common_QEndDate,0,COLUMN()),"YYYYMMDD")),"N/A")</f>
        <v/>
      </c>
      <c r="BY1147" s="262">
        <f>IFERROR(_xll.BDP(MO.Ticker.Bloomberg&amp;" Equity","INTERVAL_AVG","MARKET_DATA_OVERRIDE=PX_LAST","START_DATE_OVERRIDE",TEXT(INDEX(MO_SNA_FPStartDate,0,COLUMN()),"YYYYMMDD"),"END_DATE_OVERRIDE",TEXT(INDEX(MO_Common_QEndDate,0,COLUMN()),"YYYYMMDD")),"N/A")</f>
        <v/>
      </c>
      <c r="BZ1147" s="262">
        <f>IFERROR(_xll.BDP(MO.Ticker.Bloomberg&amp;" Equity","INTERVAL_AVG","MARKET_DATA_OVERRIDE=PX_LAST","START_DATE_OVERRIDE",TEXT(INDEX(MO_SNA_FPStartDate,0,COLUMN()),"YYYYMMDD"),"END_DATE_OVERRIDE",TEXT(INDEX(MO_Common_QEndDate,0,COLUMN()),"YYYYMMDD")),"N/A")</f>
        <v/>
      </c>
      <c r="CA1147" s="262">
        <f>IFERROR(_xll.BDP(MO.Ticker.Bloomberg&amp;" Equity","INTERVAL_AVG","MARKET_DATA_OVERRIDE=PX_LAST","START_DATE_OVERRIDE",TEXT(INDEX(MO_SNA_FPStartDate,0,COLUMN()),"YYYYMMDD"),"END_DATE_OVERRIDE",TEXT(INDEX(MO_Common_QEndDate,0,COLUMN()),"YYYYMMDD")),"N/A")</f>
        <v/>
      </c>
      <c r="CB1147" s="262">
        <f>IFERROR(_xll.BDP(MO.Ticker.Bloomberg&amp;" Equity","INTERVAL_AVG","MARKET_DATA_OVERRIDE=PX_LAST","START_DATE_OVERRIDE",TEXT(INDEX(MO_SNA_FPStartDate,0,COLUMN()),"YYYYMMDD"),"END_DATE_OVERRIDE",TEXT(INDEX(MO_Common_QEndDate,0,COLUMN()),"YYYYMMDD")),"N/A")</f>
        <v/>
      </c>
      <c r="CC1147" s="262">
        <f>IFERROR(_xll.BDP(MO.Ticker.Bloomberg&amp;" Equity","INTERVAL_AVG","MARKET_DATA_OVERRIDE=PX_LAST","START_DATE_OVERRIDE",TEXT(INDEX(MO_SNA_FPStartDate,0,COLUMN()),"YYYYMMDD"),"END_DATE_OVERRIDE",TEXT(INDEX(MO_Common_QEndDate,0,COLUMN()),"YYYYMMDD")),"N/A")</f>
        <v/>
      </c>
      <c r="CD1147" s="262">
        <f>IFERROR(_xll.BDP(MO.Ticker.Bloomberg&amp;" Equity","INTERVAL_AVG","MARKET_DATA_OVERRIDE=PX_LAST","START_DATE_OVERRIDE",TEXT(INDEX(MO_SNA_FPStartDate,0,COLUMN()),"YYYYMMDD"),"END_DATE_OVERRIDE",TEXT(INDEX(MO_Common_QEndDate,0,COLUMN()),"YYYYMMDD")),"N/A")</f>
        <v/>
      </c>
      <c r="CE1147" s="262">
        <f>IFERROR(_xll.BDP(MO.Ticker.Bloomberg&amp;" Equity","INTERVAL_AVG","MARKET_DATA_OVERRIDE=PX_LAST","START_DATE_OVERRIDE",TEXT(INDEX(MO_SNA_FPStartDate,0,COLUMN()),"YYYYMMDD"),"END_DATE_OVERRIDE",TEXT(INDEX(MO_Common_QEndDate,0,COLUMN()),"YYYYMMDD")),"N/A")</f>
        <v/>
      </c>
      <c r="CF1147" s="263">
        <f>IFERROR(_xll.BDP(MO.Ticker.Bloomberg&amp;" Equity","INTERVAL_AVG","MARKET_DATA_OVERRIDE=PX_LAST","START_DATE_OVERRIDE",TEXT(INDEX(MO_SNA_FPStartDate,0,COLUMN()),"YYYYMMDD"),"END_DATE_OVERRIDE",TEXT(INDEX(MO_Common_QEndDate,0,COLUMN()),"YYYYMMDD")),"N/A")</f>
        <v/>
      </c>
      <c r="CG1147" s="155" t="n"/>
    </row>
    <row r="1148" hidden="1" outlineLevel="1">
      <c r="A1148" s="264" t="inlineStr">
        <is>
          <t>Capital IQ</t>
        </is>
      </c>
      <c r="B1148" s="262" t="n"/>
      <c r="C1148" s="1009">
        <f>IFERROR(_xll.CIQAVG(MO.Ticker.CapIQ,"IQ_LASTSALEPRICE",INDEX(MO_SNA_FPStartDate,0,COLUMN()),INDEX(MO_Common_QEndDate,0,COLUMN())),"N/A")</f>
        <v/>
      </c>
      <c r="D1148" s="1009">
        <f>IFERROR(_xll.CIQAVG(MO.Ticker.CapIQ,"IQ_LASTSALEPRICE",INDEX(MO_SNA_FPStartDate,0,COLUMN()),INDEX(MO_Common_QEndDate,0,COLUMN())),"N/A")</f>
        <v/>
      </c>
      <c r="E1148" s="1009">
        <f>IFERROR(_xll.CIQAVG(MO.Ticker.CapIQ,"IQ_LASTSALEPRICE",INDEX(MO_SNA_FPStartDate,0,COLUMN()),INDEX(MO_Common_QEndDate,0,COLUMN())),"N/A")</f>
        <v/>
      </c>
      <c r="F1148" s="1009">
        <f>IFERROR(_xll.CIQAVG(MO.Ticker.CapIQ,"IQ_LASTSALEPRICE",INDEX(MO_SNA_FPStartDate,0,COLUMN()),INDEX(MO_Common_QEndDate,0,COLUMN())),"N/A")</f>
        <v/>
      </c>
      <c r="G1148" s="1009">
        <f>IFERROR(_xll.CIQAVG(MO.Ticker.CapIQ,"IQ_LASTSALEPRICE",INDEX(MO_SNA_FPStartDate,0,COLUMN()),INDEX(MO_Common_QEndDate,0,COLUMN())),"N/A")</f>
        <v/>
      </c>
      <c r="H1148" s="262">
        <f>IFERROR(_xll.CIQAVG(MO.Ticker.CapIQ,"IQ_LASTSALEPRICE",INDEX(MO_SNA_FPStartDate,0,COLUMN()),INDEX(MO_Common_QEndDate,0,COLUMN())),"N/A")</f>
        <v/>
      </c>
      <c r="I1148" s="262">
        <f>IFERROR(_xll.CIQAVG(MO.Ticker.CapIQ,"IQ_LASTSALEPRICE",INDEX(MO_SNA_FPStartDate,0,COLUMN()),INDEX(MO_Common_QEndDate,0,COLUMN())),"N/A")</f>
        <v/>
      </c>
      <c r="J1148" s="262">
        <f>IFERROR(_xll.CIQAVG(MO.Ticker.CapIQ,"IQ_LASTSALEPRICE",INDEX(MO_SNA_FPStartDate,0,COLUMN()),INDEX(MO_Common_QEndDate,0,COLUMN())),"N/A")</f>
        <v/>
      </c>
      <c r="K1148" s="262">
        <f>IFERROR(_xll.CIQAVG(MO.Ticker.CapIQ,"IQ_LASTSALEPRICE",INDEX(MO_SNA_FPStartDate,0,COLUMN()),INDEX(MO_Common_QEndDate,0,COLUMN())),"N/A")</f>
        <v/>
      </c>
      <c r="L1148" s="262">
        <f>IFERROR(_xll.CIQAVG(MO.Ticker.CapIQ,"IQ_LASTSALEPRICE",INDEX(MO_SNA_FPStartDate,0,COLUMN()),INDEX(MO_Common_QEndDate,0,COLUMN())),"N/A")</f>
        <v/>
      </c>
      <c r="M1148" s="262">
        <f>IFERROR(_xll.CIQAVG(MO.Ticker.CapIQ,"IQ_LASTSALEPRICE",INDEX(MO_SNA_FPStartDate,0,COLUMN()),INDEX(MO_Common_QEndDate,0,COLUMN())),"N/A")</f>
        <v/>
      </c>
      <c r="N1148" s="262">
        <f>IFERROR(_xll.CIQAVG(MO.Ticker.CapIQ,"IQ_LASTSALEPRICE",INDEX(MO_SNA_FPStartDate,0,COLUMN()),INDEX(MO_Common_QEndDate,0,COLUMN())),"N/A")</f>
        <v/>
      </c>
      <c r="O1148" s="262">
        <f>IFERROR(_xll.CIQAVG(MO.Ticker.CapIQ,"IQ_LASTSALEPRICE",INDEX(MO_SNA_FPStartDate,0,COLUMN()),INDEX(MO_Common_QEndDate,0,COLUMN())),"N/A")</f>
        <v/>
      </c>
      <c r="P1148" s="262">
        <f>IFERROR(_xll.CIQAVG(MO.Ticker.CapIQ,"IQ_LASTSALEPRICE",INDEX(MO_SNA_FPStartDate,0,COLUMN()),INDEX(MO_Common_QEndDate,0,COLUMN())),"N/A")</f>
        <v/>
      </c>
      <c r="Q1148" s="262">
        <f>IFERROR(_xll.CIQAVG(MO.Ticker.CapIQ,"IQ_LASTSALEPRICE",INDEX(MO_SNA_FPStartDate,0,COLUMN()),INDEX(MO_Common_QEndDate,0,COLUMN())),"N/A")</f>
        <v/>
      </c>
      <c r="R1148" s="262">
        <f>IFERROR(_xll.CIQAVG(MO.Ticker.CapIQ,"IQ_LASTSALEPRICE",INDEX(MO_SNA_FPStartDate,0,COLUMN()),INDEX(MO_Common_QEndDate,0,COLUMN())),"N/A")</f>
        <v/>
      </c>
      <c r="S1148" s="262">
        <f>IFERROR(_xll.CIQAVG(MO.Ticker.CapIQ,"IQ_LASTSALEPRICE",INDEX(MO_SNA_FPStartDate,0,COLUMN()),INDEX(MO_Common_QEndDate,0,COLUMN())),"N/A")</f>
        <v/>
      </c>
      <c r="T1148" s="262">
        <f>IFERROR(_xll.CIQAVG(MO.Ticker.CapIQ,"IQ_LASTSALEPRICE",INDEX(MO_SNA_FPStartDate,0,COLUMN()),INDEX(MO_Common_QEndDate,0,COLUMN())),"N/A")</f>
        <v/>
      </c>
      <c r="U1148" s="262">
        <f>IFERROR(_xll.CIQAVG(MO.Ticker.CapIQ,"IQ_LASTSALEPRICE",INDEX(MO_SNA_FPStartDate,0,COLUMN()),INDEX(MO_Common_QEndDate,0,COLUMN())),"N/A")</f>
        <v/>
      </c>
      <c r="V1148" s="262">
        <f>IFERROR(_xll.CIQAVG(MO.Ticker.CapIQ,"IQ_LASTSALEPRICE",INDEX(MO_SNA_FPStartDate,0,COLUMN()),INDEX(MO_Common_QEndDate,0,COLUMN())),"N/A")</f>
        <v/>
      </c>
      <c r="W1148" s="262">
        <f>IFERROR(_xll.CIQAVG(MO.Ticker.CapIQ,"IQ_LASTSALEPRICE",INDEX(MO_SNA_FPStartDate,0,COLUMN()),INDEX(MO_Common_QEndDate,0,COLUMN())),"N/A")</f>
        <v/>
      </c>
      <c r="X1148" s="262">
        <f>IFERROR(_xll.CIQAVG(MO.Ticker.CapIQ,"IQ_LASTSALEPRICE",INDEX(MO_SNA_FPStartDate,0,COLUMN()),INDEX(MO_Common_QEndDate,0,COLUMN())),"N/A")</f>
        <v/>
      </c>
      <c r="Y1148" s="262">
        <f>IFERROR(_xll.CIQAVG(MO.Ticker.CapIQ,"IQ_LASTSALEPRICE",INDEX(MO_SNA_FPStartDate,0,COLUMN()),INDEX(MO_Common_QEndDate,0,COLUMN())),"N/A")</f>
        <v/>
      </c>
      <c r="Z1148" s="262">
        <f>IFERROR(_xll.CIQAVG(MO.Ticker.CapIQ,"IQ_LASTSALEPRICE",INDEX(MO_SNA_FPStartDate,0,COLUMN()),INDEX(MO_Common_QEndDate,0,COLUMN())),"N/A")</f>
        <v/>
      </c>
      <c r="AA1148" s="262">
        <f>IFERROR(_xll.CIQAVG(MO.Ticker.CapIQ,"IQ_LASTSALEPRICE",INDEX(MO_SNA_FPStartDate,0,COLUMN()),INDEX(MO_Common_QEndDate,0,COLUMN())),"N/A")</f>
        <v/>
      </c>
      <c r="AB1148" s="262">
        <f>IFERROR(_xll.CIQAVG(MO.Ticker.CapIQ,"IQ_LASTSALEPRICE",INDEX(MO_SNA_FPStartDate,0,COLUMN()),INDEX(MO_Common_QEndDate,0,COLUMN())),"N/A")</f>
        <v/>
      </c>
      <c r="AC1148" s="262">
        <f>IFERROR(_xll.CIQAVG(MO.Ticker.CapIQ,"IQ_LASTSALEPRICE",INDEX(MO_SNA_FPStartDate,0,COLUMN()),INDEX(MO_Common_QEndDate,0,COLUMN())),"N/A")</f>
        <v/>
      </c>
      <c r="AD1148" s="262">
        <f>IFERROR(_xll.CIQAVG(MO.Ticker.CapIQ,"IQ_LASTSALEPRICE",INDEX(MO_SNA_FPStartDate,0,COLUMN()),INDEX(MO_Common_QEndDate,0,COLUMN())),"N/A")</f>
        <v/>
      </c>
      <c r="AE1148" s="262">
        <f>IFERROR(_xll.CIQAVG(MO.Ticker.CapIQ,"IQ_LASTSALEPRICE",INDEX(MO_SNA_FPStartDate,0,COLUMN()),INDEX(MO_Common_QEndDate,0,COLUMN())),"N/A")</f>
        <v/>
      </c>
      <c r="AF1148" s="262">
        <f>IFERROR(_xll.CIQAVG(MO.Ticker.CapIQ,"IQ_LASTSALEPRICE",INDEX(MO_SNA_FPStartDate,0,COLUMN()),INDEX(MO_Common_QEndDate,0,COLUMN())),"N/A")</f>
        <v/>
      </c>
      <c r="AG1148" s="262">
        <f>IFERROR(_xll.CIQAVG(MO.Ticker.CapIQ,"IQ_LASTSALEPRICE",INDEX(MO_SNA_FPStartDate,0,COLUMN()),INDEX(MO_Common_QEndDate,0,COLUMN())),"N/A")</f>
        <v/>
      </c>
      <c r="AH1148" s="262">
        <f>IFERROR(_xll.CIQAVG(MO.Ticker.CapIQ,"IQ_LASTSALEPRICE",INDEX(MO_SNA_FPStartDate,0,COLUMN()),INDEX(MO_Common_QEndDate,0,COLUMN())),"N/A")</f>
        <v/>
      </c>
      <c r="AI1148" s="262">
        <f>IFERROR(_xll.CIQAVG(MO.Ticker.CapIQ,"IQ_LASTSALEPRICE",INDEX(MO_SNA_FPStartDate,0,COLUMN()),INDEX(MO_Common_QEndDate,0,COLUMN())),"N/A")</f>
        <v/>
      </c>
      <c r="AJ1148" s="262">
        <f>IFERROR(_xll.CIQAVG(MO.Ticker.CapIQ,"IQ_LASTSALEPRICE",INDEX(MO_SNA_FPStartDate,0,COLUMN()),INDEX(MO_Common_QEndDate,0,COLUMN())),"N/A")</f>
        <v/>
      </c>
      <c r="AK1148" s="262">
        <f>IFERROR(_xll.CIQAVG(MO.Ticker.CapIQ,"IQ_LASTSALEPRICE",INDEX(MO_SNA_FPStartDate,0,COLUMN()),INDEX(MO_Common_QEndDate,0,COLUMN())),"N/A")</f>
        <v/>
      </c>
      <c r="AL1148" s="262">
        <f>IFERROR(_xll.CIQAVG(MO.Ticker.CapIQ,"IQ_LASTSALEPRICE",INDEX(MO_SNA_FPStartDate,0,COLUMN()),INDEX(MO_Common_QEndDate,0,COLUMN())),"N/A")</f>
        <v/>
      </c>
      <c r="AM1148" s="262">
        <f>IFERROR(_xll.CIQAVG(MO.Ticker.CapIQ,"IQ_LASTSALEPRICE",INDEX(MO_SNA_FPStartDate,0,COLUMN()),INDEX(MO_Common_QEndDate,0,COLUMN())),"N/A")</f>
        <v/>
      </c>
      <c r="AN1148" s="262">
        <f>IFERROR(_xll.CIQAVG(MO.Ticker.CapIQ,"IQ_LASTSALEPRICE",INDEX(MO_SNA_FPStartDate,0,COLUMN()),INDEX(MO_Common_QEndDate,0,COLUMN())),"N/A")</f>
        <v/>
      </c>
      <c r="AO1148" s="262">
        <f>IFERROR(_xll.CIQAVG(MO.Ticker.CapIQ,"IQ_LASTSALEPRICE",INDEX(MO_SNA_FPStartDate,0,COLUMN()),INDEX(MO_Common_QEndDate,0,COLUMN())),"N/A")</f>
        <v/>
      </c>
      <c r="AP1148" s="262">
        <f>IFERROR(_xll.CIQAVG(MO.Ticker.CapIQ,"IQ_LASTSALEPRICE",INDEX(MO_SNA_FPStartDate,0,COLUMN()),INDEX(MO_Common_QEndDate,0,COLUMN())),"N/A")</f>
        <v/>
      </c>
      <c r="AQ1148" s="262">
        <f>IFERROR(_xll.CIQAVG(MO.Ticker.CapIQ,"IQ_LASTSALEPRICE",INDEX(MO_SNA_FPStartDate,0,COLUMN()),INDEX(MO_Common_QEndDate,0,COLUMN())),"N/A")</f>
        <v/>
      </c>
      <c r="AR1148" s="262">
        <f>IFERROR(_xll.CIQAVG(MO.Ticker.CapIQ,"IQ_LASTSALEPRICE",INDEX(MO_SNA_FPStartDate,0,COLUMN()),INDEX(MO_Common_QEndDate,0,COLUMN())),"N/A")</f>
        <v/>
      </c>
      <c r="AS1148" s="262">
        <f>IFERROR(_xll.CIQAVG(MO.Ticker.CapIQ,"IQ_LASTSALEPRICE",INDEX(MO_SNA_FPStartDate,0,COLUMN()),INDEX(MO_Common_QEndDate,0,COLUMN())),"N/A")</f>
        <v/>
      </c>
      <c r="AT1148" s="262">
        <f>IFERROR(_xll.CIQAVG(MO.Ticker.CapIQ,"IQ_LASTSALEPRICE",INDEX(MO_SNA_FPStartDate,0,COLUMN()),INDEX(MO_Common_QEndDate,0,COLUMN())),"N/A")</f>
        <v/>
      </c>
      <c r="AU1148" s="262">
        <f>IFERROR(_xll.CIQAVG(MO.Ticker.CapIQ,"IQ_LASTSALEPRICE",INDEX(MO_SNA_FPStartDate,0,COLUMN()),INDEX(MO_Common_QEndDate,0,COLUMN())),"N/A")</f>
        <v/>
      </c>
      <c r="AV1148" s="262">
        <f>IFERROR(_xll.CIQAVG(MO.Ticker.CapIQ,"IQ_LASTSALEPRICE",INDEX(MO_SNA_FPStartDate,0,COLUMN()),INDEX(MO_Common_QEndDate,0,COLUMN())),"N/A")</f>
        <v/>
      </c>
      <c r="AW1148" s="262">
        <f>IFERROR(_xll.CIQAVG(MO.Ticker.CapIQ,"IQ_LASTSALEPRICE",INDEX(MO_SNA_FPStartDate,0,COLUMN()),INDEX(MO_Common_QEndDate,0,COLUMN())),"N/A")</f>
        <v/>
      </c>
      <c r="AX1148" s="262">
        <f>IFERROR(_xll.CIQAVG(MO.Ticker.CapIQ,"IQ_LASTSALEPRICE",INDEX(MO_SNA_FPStartDate,0,COLUMN()),INDEX(MO_Common_QEndDate,0,COLUMN())),"N/A")</f>
        <v/>
      </c>
      <c r="AY1148" s="262">
        <f>IFERROR(_xll.CIQAVG(MO.Ticker.CapIQ,"IQ_LASTSALEPRICE",INDEX(MO_SNA_FPStartDate,0,COLUMN()),INDEX(MO_Common_QEndDate,0,COLUMN())),"N/A")</f>
        <v/>
      </c>
      <c r="AZ1148" s="262">
        <f>IFERROR(_xll.CIQAVG(MO.Ticker.CapIQ,"IQ_LASTSALEPRICE",INDEX(MO_SNA_FPStartDate,0,COLUMN()),INDEX(MO_Common_QEndDate,0,COLUMN())),"N/A")</f>
        <v/>
      </c>
      <c r="BA1148" s="262">
        <f>IFERROR(_xll.CIQAVG(MO.Ticker.CapIQ,"IQ_LASTSALEPRICE",INDEX(MO_SNA_FPStartDate,0,COLUMN()),INDEX(MO_Common_QEndDate,0,COLUMN())),"N/A")</f>
        <v/>
      </c>
      <c r="BB1148" s="262">
        <f>IFERROR(_xll.CIQAVG(MO.Ticker.CapIQ,"IQ_LASTSALEPRICE",INDEX(MO_SNA_FPStartDate,0,COLUMN()),INDEX(MO_Common_QEndDate,0,COLUMN())),"N/A")</f>
        <v/>
      </c>
      <c r="BC1148" s="262">
        <f>IFERROR(_xll.CIQAVG(MO.Ticker.CapIQ,"IQ_LASTSALEPRICE",INDEX(MO_SNA_FPStartDate,0,COLUMN()),INDEX(MO_Common_QEndDate,0,COLUMN())),"N/A")</f>
        <v/>
      </c>
      <c r="BD1148" s="262">
        <f>IFERROR(_xll.CIQAVG(MO.Ticker.CapIQ,"IQ_LASTSALEPRICE",INDEX(MO_SNA_FPStartDate,0,COLUMN()),INDEX(MO_Common_QEndDate,0,COLUMN())),"N/A")</f>
        <v/>
      </c>
      <c r="BE1148" s="262">
        <f>IFERROR(_xll.CIQAVG(MO.Ticker.CapIQ,"IQ_LASTSALEPRICE",INDEX(MO_SNA_FPStartDate,0,COLUMN()),INDEX(MO_Common_QEndDate,0,COLUMN())),"N/A")</f>
        <v/>
      </c>
      <c r="BF1148" s="262">
        <f>IFERROR(_xll.CIQAVG(MO.Ticker.CapIQ,"IQ_LASTSALEPRICE",INDEX(MO_SNA_FPStartDate,0,COLUMN()),INDEX(MO_Common_QEndDate,0,COLUMN())),"N/A")</f>
        <v/>
      </c>
      <c r="BG1148" s="262">
        <f>IFERROR(_xll.CIQAVG(MO.Ticker.CapIQ,"IQ_LASTSALEPRICE",INDEX(MO_SNA_FPStartDate,0,COLUMN()),INDEX(MO_Common_QEndDate,0,COLUMN())),"N/A")</f>
        <v/>
      </c>
      <c r="BH1148" s="262">
        <f>IFERROR(_xll.CIQAVG(MO.Ticker.CapIQ,"IQ_LASTSALEPRICE",INDEX(MO_SNA_FPStartDate,0,COLUMN()),INDEX(MO_Common_QEndDate,0,COLUMN())),"N/A")</f>
        <v/>
      </c>
      <c r="BI1148" s="262">
        <f>IFERROR(_xll.CIQAVG(MO.Ticker.CapIQ,"IQ_LASTSALEPRICE",INDEX(MO_SNA_FPStartDate,0,COLUMN()),INDEX(MO_Common_QEndDate,0,COLUMN())),"N/A")</f>
        <v/>
      </c>
      <c r="BJ1148" s="262">
        <f>IFERROR(_xll.CIQAVG(MO.Ticker.CapIQ,"IQ_LASTSALEPRICE",INDEX(MO_SNA_FPStartDate,0,COLUMN()),INDEX(MO_Common_QEndDate,0,COLUMN())),"N/A")</f>
        <v/>
      </c>
      <c r="BK1148" s="262">
        <f>IFERROR(_xll.CIQAVG(MO.Ticker.CapIQ,"IQ_LASTSALEPRICE",INDEX(MO_SNA_FPStartDate,0,COLUMN()),INDEX(MO_Common_QEndDate,0,COLUMN())),"N/A")</f>
        <v/>
      </c>
      <c r="BL1148" s="262">
        <f>IFERROR(_xll.CIQAVG(MO.Ticker.CapIQ,"IQ_LASTSALEPRICE",INDEX(MO_SNA_FPStartDate,0,COLUMN()),INDEX(MO_Common_QEndDate,0,COLUMN())),"N/A")</f>
        <v/>
      </c>
      <c r="BM1148" s="262">
        <f>IFERROR(_xll.CIQAVG(MO.Ticker.CapIQ,"IQ_LASTSALEPRICE",INDEX(MO_SNA_FPStartDate,0,COLUMN()),INDEX(MO_Common_QEndDate,0,COLUMN())),"N/A")</f>
        <v/>
      </c>
      <c r="BN1148" s="262">
        <f>IFERROR(_xll.CIQAVG(MO.Ticker.CapIQ,"IQ_LASTSALEPRICE",INDEX(MO_SNA_FPStartDate,0,COLUMN()),INDEX(MO_Common_QEndDate,0,COLUMN())),"N/A")</f>
        <v/>
      </c>
      <c r="BO1148" s="262">
        <f>IFERROR(_xll.CIQAVG(MO.Ticker.CapIQ,"IQ_LASTSALEPRICE",INDEX(MO_SNA_FPStartDate,0,COLUMN()),INDEX(MO_Common_QEndDate,0,COLUMN())),"N/A")</f>
        <v/>
      </c>
      <c r="BP1148" s="262">
        <f>IFERROR(_xll.CIQAVG(MO.Ticker.CapIQ,"IQ_LASTSALEPRICE",INDEX(MO_SNA_FPStartDate,0,COLUMN()),INDEX(MO_Common_QEndDate,0,COLUMN())),"N/A")</f>
        <v/>
      </c>
      <c r="BQ1148" s="262">
        <f>IFERROR(_xll.CIQAVG(MO.Ticker.CapIQ,"IQ_LASTSALEPRICE",INDEX(MO_SNA_FPStartDate,0,COLUMN()),INDEX(MO_Common_QEndDate,0,COLUMN())),"N/A")</f>
        <v/>
      </c>
      <c r="BR1148" s="262">
        <f>IFERROR(_xll.CIQAVG(MO.Ticker.CapIQ,"IQ_LASTSALEPRICE",INDEX(MO_SNA_FPStartDate,0,COLUMN()),INDEX(MO_Common_QEndDate,0,COLUMN())),"N/A")</f>
        <v/>
      </c>
      <c r="BS1148" s="262">
        <f>IFERROR(_xll.CIQAVG(MO.Ticker.CapIQ,"IQ_LASTSALEPRICE",INDEX(MO_SNA_FPStartDate,0,COLUMN()),INDEX(MO_Common_QEndDate,0,COLUMN())),"N/A")</f>
        <v/>
      </c>
      <c r="BT1148" s="262">
        <f>IFERROR(_xll.CIQAVG(MO.Ticker.CapIQ,"IQ_LASTSALEPRICE",INDEX(MO_SNA_FPStartDate,0,COLUMN()),INDEX(MO_Common_QEndDate,0,COLUMN())),"N/A")</f>
        <v/>
      </c>
      <c r="BU1148" s="262">
        <f>IFERROR(_xll.CIQAVG(MO.Ticker.CapIQ,"IQ_LASTSALEPRICE",INDEX(MO_SNA_FPStartDate,0,COLUMN()),INDEX(MO_Common_QEndDate,0,COLUMN())),"N/A")</f>
        <v/>
      </c>
      <c r="BV1148" s="531">
        <f>IFERROR(_xll.CIQAVG(MO.Ticker.CapIQ,"IQ_LASTSALEPRICE",INDEX(MO_SNA_FPStartDate,0,COLUMN()),INDEX(MO_Common_QEndDate,0,COLUMN())),"N/A")</f>
        <v/>
      </c>
      <c r="BW1148" s="262">
        <f>IFERROR(_xll.CIQAVG(MO.Ticker.CapIQ,"IQ_LASTSALEPRICE",INDEX(MO_SNA_FPStartDate,0,COLUMN()),INDEX(MO_Common_QEndDate,0,COLUMN())),"N/A")</f>
        <v/>
      </c>
      <c r="BX1148" s="262">
        <f>IFERROR(_xll.CIQAVG(MO.Ticker.CapIQ,"IQ_LASTSALEPRICE",INDEX(MO_SNA_FPStartDate,0,COLUMN()),INDEX(MO_Common_QEndDate,0,COLUMN())),"N/A")</f>
        <v/>
      </c>
      <c r="BY1148" s="262">
        <f>IFERROR(_xll.CIQAVG(MO.Ticker.CapIQ,"IQ_LASTSALEPRICE",INDEX(MO_SNA_FPStartDate,0,COLUMN()),INDEX(MO_Common_QEndDate,0,COLUMN())),"N/A")</f>
        <v/>
      </c>
      <c r="BZ1148" s="262">
        <f>IFERROR(_xll.CIQAVG(MO.Ticker.CapIQ,"IQ_LASTSALEPRICE",INDEX(MO_SNA_FPStartDate,0,COLUMN()),INDEX(MO_Common_QEndDate,0,COLUMN())),"N/A")</f>
        <v/>
      </c>
      <c r="CA1148" s="262">
        <f>IFERROR(_xll.CIQAVG(MO.Ticker.CapIQ,"IQ_LASTSALEPRICE",INDEX(MO_SNA_FPStartDate,0,COLUMN()),INDEX(MO_Common_QEndDate,0,COLUMN())),"N/A")</f>
        <v/>
      </c>
      <c r="CB1148" s="262">
        <f>IFERROR(_xll.CIQAVG(MO.Ticker.CapIQ,"IQ_LASTSALEPRICE",INDEX(MO_SNA_FPStartDate,0,COLUMN()),INDEX(MO_Common_QEndDate,0,COLUMN())),"N/A")</f>
        <v/>
      </c>
      <c r="CC1148" s="262">
        <f>IFERROR(_xll.CIQAVG(MO.Ticker.CapIQ,"IQ_LASTSALEPRICE",INDEX(MO_SNA_FPStartDate,0,COLUMN()),INDEX(MO_Common_QEndDate,0,COLUMN())),"N/A")</f>
        <v/>
      </c>
      <c r="CD1148" s="262">
        <f>IFERROR(_xll.CIQAVG(MO.Ticker.CapIQ,"IQ_LASTSALEPRICE",INDEX(MO_SNA_FPStartDate,0,COLUMN()),INDEX(MO_Common_QEndDate,0,COLUMN())),"N/A")</f>
        <v/>
      </c>
      <c r="CE1148" s="262">
        <f>IFERROR(_xll.CIQAVG(MO.Ticker.CapIQ,"IQ_LASTSALEPRICE",INDEX(MO_SNA_FPStartDate,0,COLUMN()),INDEX(MO_Common_QEndDate,0,COLUMN())),"N/A")</f>
        <v/>
      </c>
      <c r="CF1148" s="263">
        <f>IFERROR(_xll.CIQAVG(MO.Ticker.CapIQ,"IQ_LASTSALEPRICE",INDEX(MO_SNA_FPStartDate,0,COLUMN()),INDEX(MO_Common_QEndDate,0,COLUMN())),"N/A")</f>
        <v/>
      </c>
      <c r="CG1148" s="155" t="n"/>
    </row>
    <row r="1149" hidden="1" outlineLevel="1">
      <c r="A1149" s="264" t="inlineStr">
        <is>
          <t>FactSet</t>
        </is>
      </c>
      <c r="B1149" s="262" t="n"/>
      <c r="C1149" s="1009">
        <f>IFERROR(_xll.FDS(MO.Ticker.FactSet,"P_PRICE_AVG"&amp;"("&amp;INDEX(MO_SNA_FPStartDate,0,COLUMN())&amp;","&amp;INDEX(MO_Common_QEndDate,0,COLUMN())&amp;",,,,""PRICE"",""CLOSE"")"),"N/A")</f>
        <v/>
      </c>
      <c r="D1149" s="1009">
        <f>IFERROR(_xll.FDS(MO.Ticker.FactSet,"P_PRICE_AVG"&amp;"("&amp;INDEX(MO_SNA_FPStartDate,0,COLUMN())&amp;","&amp;INDEX(MO_Common_QEndDate,0,COLUMN())&amp;",,,,""PRICE"",""CLOSE"")"),"N/A")</f>
        <v/>
      </c>
      <c r="E1149" s="1009">
        <f>IFERROR(_xll.FDS(MO.Ticker.FactSet,"P_PRICE_AVG"&amp;"("&amp;INDEX(MO_SNA_FPStartDate,0,COLUMN())&amp;","&amp;INDEX(MO_Common_QEndDate,0,COLUMN())&amp;",,,,""PRICE"",""CLOSE"")"),"N/A")</f>
        <v/>
      </c>
      <c r="F1149" s="1009">
        <f>IFERROR(_xll.FDS(MO.Ticker.FactSet,"P_PRICE_AVG"&amp;"("&amp;INDEX(MO_SNA_FPStartDate,0,COLUMN())&amp;","&amp;INDEX(MO_Common_QEndDate,0,COLUMN())&amp;",,,,""PRICE"",""CLOSE"")"),"N/A")</f>
        <v/>
      </c>
      <c r="G1149" s="1009">
        <f>IFERROR(_xll.FDS(MO.Ticker.FactSet,"P_PRICE_AVG"&amp;"("&amp;INDEX(MO_SNA_FPStartDate,0,COLUMN())&amp;","&amp;INDEX(MO_Common_QEndDate,0,COLUMN())&amp;",,,,""PRICE"",""CLOSE"")"),"N/A")</f>
        <v/>
      </c>
      <c r="H1149" s="262">
        <f>IFERROR(_xll.FDS(MO.Ticker.FactSet,"P_PRICE_AVG"&amp;"("&amp;INDEX(MO_SNA_FPStartDate,0,COLUMN())&amp;","&amp;INDEX(MO_Common_QEndDate,0,COLUMN())&amp;",,,,""PRICE"",""CLOSE"")"),"N/A")</f>
        <v/>
      </c>
      <c r="I1149" s="262">
        <f>IFERROR(_xll.FDS(MO.Ticker.FactSet,"P_PRICE_AVG"&amp;"("&amp;INDEX(MO_SNA_FPStartDate,0,COLUMN())&amp;","&amp;INDEX(MO_Common_QEndDate,0,COLUMN())&amp;",,,,""PRICE"",""CLOSE"")"),"N/A")</f>
        <v/>
      </c>
      <c r="J1149" s="262">
        <f>IFERROR(_xll.FDS(MO.Ticker.FactSet,"P_PRICE_AVG"&amp;"("&amp;INDEX(MO_SNA_FPStartDate,0,COLUMN())&amp;","&amp;INDEX(MO_Common_QEndDate,0,COLUMN())&amp;",,,,""PRICE"",""CLOSE"")"),"N/A")</f>
        <v/>
      </c>
      <c r="K1149" s="262">
        <f>IFERROR(_xll.FDS(MO.Ticker.FactSet,"P_PRICE_AVG"&amp;"("&amp;INDEX(MO_SNA_FPStartDate,0,COLUMN())&amp;","&amp;INDEX(MO_Common_QEndDate,0,COLUMN())&amp;",,,,""PRICE"",""CLOSE"")"),"N/A")</f>
        <v/>
      </c>
      <c r="L1149" s="262">
        <f>IFERROR(_xll.FDS(MO.Ticker.FactSet,"P_PRICE_AVG"&amp;"("&amp;INDEX(MO_SNA_FPStartDate,0,COLUMN())&amp;","&amp;INDEX(MO_Common_QEndDate,0,COLUMN())&amp;",,,,""PRICE"",""CLOSE"")"),"N/A")</f>
        <v/>
      </c>
      <c r="M1149" s="262">
        <f>IFERROR(_xll.FDS(MO.Ticker.FactSet,"P_PRICE_AVG"&amp;"("&amp;INDEX(MO_SNA_FPStartDate,0,COLUMN())&amp;","&amp;INDEX(MO_Common_QEndDate,0,COLUMN())&amp;",,,,""PRICE"",""CLOSE"")"),"N/A")</f>
        <v/>
      </c>
      <c r="N1149" s="262">
        <f>IFERROR(_xll.FDS(MO.Ticker.FactSet,"P_PRICE_AVG"&amp;"("&amp;INDEX(MO_SNA_FPStartDate,0,COLUMN())&amp;","&amp;INDEX(MO_Common_QEndDate,0,COLUMN())&amp;",,,,""PRICE"",""CLOSE"")"),"N/A")</f>
        <v/>
      </c>
      <c r="O1149" s="262">
        <f>IFERROR(_xll.FDS(MO.Ticker.FactSet,"P_PRICE_AVG"&amp;"("&amp;INDEX(MO_SNA_FPStartDate,0,COLUMN())&amp;","&amp;INDEX(MO_Common_QEndDate,0,COLUMN())&amp;",,,,""PRICE"",""CLOSE"")"),"N/A")</f>
        <v/>
      </c>
      <c r="P1149" s="262">
        <f>IFERROR(_xll.FDS(MO.Ticker.FactSet,"P_PRICE_AVG"&amp;"("&amp;INDEX(MO_SNA_FPStartDate,0,COLUMN())&amp;","&amp;INDEX(MO_Common_QEndDate,0,COLUMN())&amp;",,,,""PRICE"",""CLOSE"")"),"N/A")</f>
        <v/>
      </c>
      <c r="Q1149" s="262">
        <f>IFERROR(_xll.FDS(MO.Ticker.FactSet,"P_PRICE_AVG"&amp;"("&amp;INDEX(MO_SNA_FPStartDate,0,COLUMN())&amp;","&amp;INDEX(MO_Common_QEndDate,0,COLUMN())&amp;",,,,""PRICE"",""CLOSE"")"),"N/A")</f>
        <v/>
      </c>
      <c r="R1149" s="262">
        <f>IFERROR(_xll.FDS(MO.Ticker.FactSet,"P_PRICE_AVG"&amp;"("&amp;INDEX(MO_SNA_FPStartDate,0,COLUMN())&amp;","&amp;INDEX(MO_Common_QEndDate,0,COLUMN())&amp;",,,,""PRICE"",""CLOSE"")"),"N/A")</f>
        <v/>
      </c>
      <c r="S1149" s="262">
        <f>IFERROR(_xll.FDS(MO.Ticker.FactSet,"P_PRICE_AVG"&amp;"("&amp;INDEX(MO_SNA_FPStartDate,0,COLUMN())&amp;","&amp;INDEX(MO_Common_QEndDate,0,COLUMN())&amp;",,,,""PRICE"",""CLOSE"")"),"N/A")</f>
        <v/>
      </c>
      <c r="T1149" s="262">
        <f>IFERROR(_xll.FDS(MO.Ticker.FactSet,"P_PRICE_AVG"&amp;"("&amp;INDEX(MO_SNA_FPStartDate,0,COLUMN())&amp;","&amp;INDEX(MO_Common_QEndDate,0,COLUMN())&amp;",,,,""PRICE"",""CLOSE"")"),"N/A")</f>
        <v/>
      </c>
      <c r="U1149" s="262">
        <f>IFERROR(_xll.FDS(MO.Ticker.FactSet,"P_PRICE_AVG"&amp;"("&amp;INDEX(MO_SNA_FPStartDate,0,COLUMN())&amp;","&amp;INDEX(MO_Common_QEndDate,0,COLUMN())&amp;",,,,""PRICE"",""CLOSE"")"),"N/A")</f>
        <v/>
      </c>
      <c r="V1149" s="262">
        <f>IFERROR(_xll.FDS(MO.Ticker.FactSet,"P_PRICE_AVG"&amp;"("&amp;INDEX(MO_SNA_FPStartDate,0,COLUMN())&amp;","&amp;INDEX(MO_Common_QEndDate,0,COLUMN())&amp;",,,,""PRICE"",""CLOSE"")"),"N/A")</f>
        <v/>
      </c>
      <c r="W1149" s="262">
        <f>IFERROR(_xll.FDS(MO.Ticker.FactSet,"P_PRICE_AVG"&amp;"("&amp;INDEX(MO_SNA_FPStartDate,0,COLUMN())&amp;","&amp;INDEX(MO_Common_QEndDate,0,COLUMN())&amp;",,,,""PRICE"",""CLOSE"")"),"N/A")</f>
        <v/>
      </c>
      <c r="X1149" s="262">
        <f>IFERROR(_xll.FDS(MO.Ticker.FactSet,"P_PRICE_AVG"&amp;"("&amp;INDEX(MO_SNA_FPStartDate,0,COLUMN())&amp;","&amp;INDEX(MO_Common_QEndDate,0,COLUMN())&amp;",,,,""PRICE"",""CLOSE"")"),"N/A")</f>
        <v/>
      </c>
      <c r="Y1149" s="262">
        <f>IFERROR(_xll.FDS(MO.Ticker.FactSet,"P_PRICE_AVG"&amp;"("&amp;INDEX(MO_SNA_FPStartDate,0,COLUMN())&amp;","&amp;INDEX(MO_Common_QEndDate,0,COLUMN())&amp;",,,,""PRICE"",""CLOSE"")"),"N/A")</f>
        <v/>
      </c>
      <c r="Z1149" s="262">
        <f>IFERROR(_xll.FDS(MO.Ticker.FactSet,"P_PRICE_AVG"&amp;"("&amp;INDEX(MO_SNA_FPStartDate,0,COLUMN())&amp;","&amp;INDEX(MO_Common_QEndDate,0,COLUMN())&amp;",,,,""PRICE"",""CLOSE"")"),"N/A")</f>
        <v/>
      </c>
      <c r="AA1149" s="262">
        <f>IFERROR(_xll.FDS(MO.Ticker.FactSet,"P_PRICE_AVG"&amp;"("&amp;INDEX(MO_SNA_FPStartDate,0,COLUMN())&amp;","&amp;INDEX(MO_Common_QEndDate,0,COLUMN())&amp;",,,,""PRICE"",""CLOSE"")"),"N/A")</f>
        <v/>
      </c>
      <c r="AB1149" s="262">
        <f>IFERROR(_xll.FDS(MO.Ticker.FactSet,"P_PRICE_AVG"&amp;"("&amp;INDEX(MO_SNA_FPStartDate,0,COLUMN())&amp;","&amp;INDEX(MO_Common_QEndDate,0,COLUMN())&amp;",,,,""PRICE"",""CLOSE"")"),"N/A")</f>
        <v/>
      </c>
      <c r="AC1149" s="262">
        <f>IFERROR(_xll.FDS(MO.Ticker.FactSet,"P_PRICE_AVG"&amp;"("&amp;INDEX(MO_SNA_FPStartDate,0,COLUMN())&amp;","&amp;INDEX(MO_Common_QEndDate,0,COLUMN())&amp;",,,,""PRICE"",""CLOSE"")"),"N/A")</f>
        <v/>
      </c>
      <c r="AD1149" s="262">
        <f>IFERROR(_xll.FDS(MO.Ticker.FactSet,"P_PRICE_AVG"&amp;"("&amp;INDEX(MO_SNA_FPStartDate,0,COLUMN())&amp;","&amp;INDEX(MO_Common_QEndDate,0,COLUMN())&amp;",,,,""PRICE"",""CLOSE"")"),"N/A")</f>
        <v/>
      </c>
      <c r="AE1149" s="262">
        <f>IFERROR(_xll.FDS(MO.Ticker.FactSet,"P_PRICE_AVG"&amp;"("&amp;INDEX(MO_SNA_FPStartDate,0,COLUMN())&amp;","&amp;INDEX(MO_Common_QEndDate,0,COLUMN())&amp;",,,,""PRICE"",""CLOSE"")"),"N/A")</f>
        <v/>
      </c>
      <c r="AF1149" s="262">
        <f>IFERROR(_xll.FDS(MO.Ticker.FactSet,"P_PRICE_AVG"&amp;"("&amp;INDEX(MO_SNA_FPStartDate,0,COLUMN())&amp;","&amp;INDEX(MO_Common_QEndDate,0,COLUMN())&amp;",,,,""PRICE"",""CLOSE"")"),"N/A")</f>
        <v/>
      </c>
      <c r="AG1149" s="262">
        <f>IFERROR(_xll.FDS(MO.Ticker.FactSet,"P_PRICE_AVG"&amp;"("&amp;INDEX(MO_SNA_FPStartDate,0,COLUMN())&amp;","&amp;INDEX(MO_Common_QEndDate,0,COLUMN())&amp;",,,,""PRICE"",""CLOSE"")"),"N/A")</f>
        <v/>
      </c>
      <c r="AH1149" s="262">
        <f>IFERROR(_xll.FDS(MO.Ticker.FactSet,"P_PRICE_AVG"&amp;"("&amp;INDEX(MO_SNA_FPStartDate,0,COLUMN())&amp;","&amp;INDEX(MO_Common_QEndDate,0,COLUMN())&amp;",,,,""PRICE"",""CLOSE"")"),"N/A")</f>
        <v/>
      </c>
      <c r="AI1149" s="262">
        <f>IFERROR(_xll.FDS(MO.Ticker.FactSet,"P_PRICE_AVG"&amp;"("&amp;INDEX(MO_SNA_FPStartDate,0,COLUMN())&amp;","&amp;INDEX(MO_Common_QEndDate,0,COLUMN())&amp;",,,,""PRICE"",""CLOSE"")"),"N/A")</f>
        <v/>
      </c>
      <c r="AJ1149" s="262">
        <f>IFERROR(_xll.FDS(MO.Ticker.FactSet,"P_PRICE_AVG"&amp;"("&amp;INDEX(MO_SNA_FPStartDate,0,COLUMN())&amp;","&amp;INDEX(MO_Common_QEndDate,0,COLUMN())&amp;",,,,""PRICE"",""CLOSE"")"),"N/A")</f>
        <v/>
      </c>
      <c r="AK1149" s="262">
        <f>IFERROR(_xll.FDS(MO.Ticker.FactSet,"P_PRICE_AVG"&amp;"("&amp;INDEX(MO_SNA_FPStartDate,0,COLUMN())&amp;","&amp;INDEX(MO_Common_QEndDate,0,COLUMN())&amp;",,,,""PRICE"",""CLOSE"")"),"N/A")</f>
        <v/>
      </c>
      <c r="AL1149" s="262">
        <f>IFERROR(_xll.FDS(MO.Ticker.FactSet,"P_PRICE_AVG"&amp;"("&amp;INDEX(MO_SNA_FPStartDate,0,COLUMN())&amp;","&amp;INDEX(MO_Common_QEndDate,0,COLUMN())&amp;",,,,""PRICE"",""CLOSE"")"),"N/A")</f>
        <v/>
      </c>
      <c r="AM1149" s="262">
        <f>IFERROR(_xll.FDS(MO.Ticker.FactSet,"P_PRICE_AVG"&amp;"("&amp;INDEX(MO_SNA_FPStartDate,0,COLUMN())&amp;","&amp;INDEX(MO_Common_QEndDate,0,COLUMN())&amp;",,,,""PRICE"",""CLOSE"")"),"N/A")</f>
        <v/>
      </c>
      <c r="AN1149" s="262">
        <f>IFERROR(_xll.FDS(MO.Ticker.FactSet,"P_PRICE_AVG"&amp;"("&amp;INDEX(MO_SNA_FPStartDate,0,COLUMN())&amp;","&amp;INDEX(MO_Common_QEndDate,0,COLUMN())&amp;",,,,""PRICE"",""CLOSE"")"),"N/A")</f>
        <v/>
      </c>
      <c r="AO1149" s="262">
        <f>IFERROR(_xll.FDS(MO.Ticker.FactSet,"P_PRICE_AVG"&amp;"("&amp;INDEX(MO_SNA_FPStartDate,0,COLUMN())&amp;","&amp;INDEX(MO_Common_QEndDate,0,COLUMN())&amp;",,,,""PRICE"",""CLOSE"")"),"N/A")</f>
        <v/>
      </c>
      <c r="AP1149" s="262">
        <f>IFERROR(_xll.FDS(MO.Ticker.FactSet,"P_PRICE_AVG"&amp;"("&amp;INDEX(MO_SNA_FPStartDate,0,COLUMN())&amp;","&amp;INDEX(MO_Common_QEndDate,0,COLUMN())&amp;",,,,""PRICE"",""CLOSE"")"),"N/A")</f>
        <v/>
      </c>
      <c r="AQ1149" s="262">
        <f>IFERROR(_xll.FDS(MO.Ticker.FactSet,"P_PRICE_AVG"&amp;"("&amp;INDEX(MO_SNA_FPStartDate,0,COLUMN())&amp;","&amp;INDEX(MO_Common_QEndDate,0,COLUMN())&amp;",,,,""PRICE"",""CLOSE"")"),"N/A")</f>
        <v/>
      </c>
      <c r="AR1149" s="262">
        <f>IFERROR(_xll.FDS(MO.Ticker.FactSet,"P_PRICE_AVG"&amp;"("&amp;INDEX(MO_SNA_FPStartDate,0,COLUMN())&amp;","&amp;INDEX(MO_Common_QEndDate,0,COLUMN())&amp;",,,,""PRICE"",""CLOSE"")"),"N/A")</f>
        <v/>
      </c>
      <c r="AS1149" s="262">
        <f>IFERROR(_xll.FDS(MO.Ticker.FactSet,"P_PRICE_AVG"&amp;"("&amp;INDEX(MO_SNA_FPStartDate,0,COLUMN())&amp;","&amp;INDEX(MO_Common_QEndDate,0,COLUMN())&amp;",,,,""PRICE"",""CLOSE"")"),"N/A")</f>
        <v/>
      </c>
      <c r="AT1149" s="262">
        <f>IFERROR(_xll.FDS(MO.Ticker.FactSet,"P_PRICE_AVG"&amp;"("&amp;INDEX(MO_SNA_FPStartDate,0,COLUMN())&amp;","&amp;INDEX(MO_Common_QEndDate,0,COLUMN())&amp;",,,,""PRICE"",""CLOSE"")"),"N/A")</f>
        <v/>
      </c>
      <c r="AU1149" s="262">
        <f>IFERROR(_xll.FDS(MO.Ticker.FactSet,"P_PRICE_AVG"&amp;"("&amp;INDEX(MO_SNA_FPStartDate,0,COLUMN())&amp;","&amp;INDEX(MO_Common_QEndDate,0,COLUMN())&amp;",,,,""PRICE"",""CLOSE"")"),"N/A")</f>
        <v/>
      </c>
      <c r="AV1149" s="262">
        <f>IFERROR(_xll.FDS(MO.Ticker.FactSet,"P_PRICE_AVG"&amp;"("&amp;INDEX(MO_SNA_FPStartDate,0,COLUMN())&amp;","&amp;INDEX(MO_Common_QEndDate,0,COLUMN())&amp;",,,,""PRICE"",""CLOSE"")"),"N/A")</f>
        <v/>
      </c>
      <c r="AW1149" s="262">
        <f>IFERROR(_xll.FDS(MO.Ticker.FactSet,"P_PRICE_AVG"&amp;"("&amp;INDEX(MO_SNA_FPStartDate,0,COLUMN())&amp;","&amp;INDEX(MO_Common_QEndDate,0,COLUMN())&amp;",,,,""PRICE"",""CLOSE"")"),"N/A")</f>
        <v/>
      </c>
      <c r="AX1149" s="262">
        <f>IFERROR(_xll.FDS(MO.Ticker.FactSet,"P_PRICE_AVG"&amp;"("&amp;INDEX(MO_SNA_FPStartDate,0,COLUMN())&amp;","&amp;INDEX(MO_Common_QEndDate,0,COLUMN())&amp;",,,,""PRICE"",""CLOSE"")"),"N/A")</f>
        <v/>
      </c>
      <c r="AY1149" s="262">
        <f>IFERROR(_xll.FDS(MO.Ticker.FactSet,"P_PRICE_AVG"&amp;"("&amp;INDEX(MO_SNA_FPStartDate,0,COLUMN())&amp;","&amp;INDEX(MO_Common_QEndDate,0,COLUMN())&amp;",,,,""PRICE"",""CLOSE"")"),"N/A")</f>
        <v/>
      </c>
      <c r="AZ1149" s="262">
        <f>IFERROR(_xll.FDS(MO.Ticker.FactSet,"P_PRICE_AVG"&amp;"("&amp;INDEX(MO_SNA_FPStartDate,0,COLUMN())&amp;","&amp;INDEX(MO_Common_QEndDate,0,COLUMN())&amp;",,,,""PRICE"",""CLOSE"")"),"N/A")</f>
        <v/>
      </c>
      <c r="BA1149" s="262">
        <f>IFERROR(_xll.FDS(MO.Ticker.FactSet,"P_PRICE_AVG"&amp;"("&amp;INDEX(MO_SNA_FPStartDate,0,COLUMN())&amp;","&amp;INDEX(MO_Common_QEndDate,0,COLUMN())&amp;",,,,""PRICE"",""CLOSE"")"),"N/A")</f>
        <v/>
      </c>
      <c r="BB1149" s="262">
        <f>IFERROR(_xll.FDS(MO.Ticker.FactSet,"P_PRICE_AVG"&amp;"("&amp;INDEX(MO_SNA_FPStartDate,0,COLUMN())&amp;","&amp;INDEX(MO_Common_QEndDate,0,COLUMN())&amp;",,,,""PRICE"",""CLOSE"")"),"N/A")</f>
        <v/>
      </c>
      <c r="BC1149" s="262">
        <f>IFERROR(_xll.FDS(MO.Ticker.FactSet,"P_PRICE_AVG"&amp;"("&amp;INDEX(MO_SNA_FPStartDate,0,COLUMN())&amp;","&amp;INDEX(MO_Common_QEndDate,0,COLUMN())&amp;",,,,""PRICE"",""CLOSE"")"),"N/A")</f>
        <v/>
      </c>
      <c r="BD1149" s="262">
        <f>IFERROR(_xll.FDS(MO.Ticker.FactSet,"P_PRICE_AVG"&amp;"("&amp;INDEX(MO_SNA_FPStartDate,0,COLUMN())&amp;","&amp;INDEX(MO_Common_QEndDate,0,COLUMN())&amp;",,,,""PRICE"",""CLOSE"")"),"N/A")</f>
        <v/>
      </c>
      <c r="BE1149" s="262">
        <f>IFERROR(_xll.FDS(MO.Ticker.FactSet,"P_PRICE_AVG"&amp;"("&amp;INDEX(MO_SNA_FPStartDate,0,COLUMN())&amp;","&amp;INDEX(MO_Common_QEndDate,0,COLUMN())&amp;",,,,""PRICE"",""CLOSE"")"),"N/A")</f>
        <v/>
      </c>
      <c r="BF1149" s="262">
        <f>IFERROR(_xll.FDS(MO.Ticker.FactSet,"P_PRICE_AVG"&amp;"("&amp;INDEX(MO_SNA_FPStartDate,0,COLUMN())&amp;","&amp;INDEX(MO_Common_QEndDate,0,COLUMN())&amp;",,,,""PRICE"",""CLOSE"")"),"N/A")</f>
        <v/>
      </c>
      <c r="BG1149" s="262">
        <f>IFERROR(_xll.FDS(MO.Ticker.FactSet,"P_PRICE_AVG"&amp;"("&amp;INDEX(MO_SNA_FPStartDate,0,COLUMN())&amp;","&amp;INDEX(MO_Common_QEndDate,0,COLUMN())&amp;",,,,""PRICE"",""CLOSE"")"),"N/A")</f>
        <v/>
      </c>
      <c r="BH1149" s="262">
        <f>IFERROR(_xll.FDS(MO.Ticker.FactSet,"P_PRICE_AVG"&amp;"("&amp;INDEX(MO_SNA_FPStartDate,0,COLUMN())&amp;","&amp;INDEX(MO_Common_QEndDate,0,COLUMN())&amp;",,,,""PRICE"",""CLOSE"")"),"N/A")</f>
        <v/>
      </c>
      <c r="BI1149" s="262">
        <f>IFERROR(_xll.FDS(MO.Ticker.FactSet,"P_PRICE_AVG"&amp;"("&amp;INDEX(MO_SNA_FPStartDate,0,COLUMN())&amp;","&amp;INDEX(MO_Common_QEndDate,0,COLUMN())&amp;",,,,""PRICE"",""CLOSE"")"),"N/A")</f>
        <v/>
      </c>
      <c r="BJ1149" s="262">
        <f>IFERROR(_xll.FDS(MO.Ticker.FactSet,"P_PRICE_AVG"&amp;"("&amp;INDEX(MO_SNA_FPStartDate,0,COLUMN())&amp;","&amp;INDEX(MO_Common_QEndDate,0,COLUMN())&amp;",,,,""PRICE"",""CLOSE"")"),"N/A")</f>
        <v/>
      </c>
      <c r="BK1149" s="262">
        <f>IFERROR(_xll.FDS(MO.Ticker.FactSet,"P_PRICE_AVG"&amp;"("&amp;INDEX(MO_SNA_FPStartDate,0,COLUMN())&amp;","&amp;INDEX(MO_Common_QEndDate,0,COLUMN())&amp;",,,,""PRICE"",""CLOSE"")"),"N/A")</f>
        <v/>
      </c>
      <c r="BL1149" s="262">
        <f>IFERROR(_xll.FDS(MO.Ticker.FactSet,"P_PRICE_AVG"&amp;"("&amp;INDEX(MO_SNA_FPStartDate,0,COLUMN())&amp;","&amp;INDEX(MO_Common_QEndDate,0,COLUMN())&amp;",,,,""PRICE"",""CLOSE"")"),"N/A")</f>
        <v/>
      </c>
      <c r="BM1149" s="262">
        <f>IFERROR(_xll.FDS(MO.Ticker.FactSet,"P_PRICE_AVG"&amp;"("&amp;INDEX(MO_SNA_FPStartDate,0,COLUMN())&amp;","&amp;INDEX(MO_Common_QEndDate,0,COLUMN())&amp;",,,,""PRICE"",""CLOSE"")"),"N/A")</f>
        <v/>
      </c>
      <c r="BN1149" s="262">
        <f>IFERROR(_xll.FDS(MO.Ticker.FactSet,"P_PRICE_AVG"&amp;"("&amp;INDEX(MO_SNA_FPStartDate,0,COLUMN())&amp;","&amp;INDEX(MO_Common_QEndDate,0,COLUMN())&amp;",,,,""PRICE"",""CLOSE"")"),"N/A")</f>
        <v/>
      </c>
      <c r="BO1149" s="262">
        <f>IFERROR(_xll.FDS(MO.Ticker.FactSet,"P_PRICE_AVG"&amp;"("&amp;INDEX(MO_SNA_FPStartDate,0,COLUMN())&amp;","&amp;INDEX(MO_Common_QEndDate,0,COLUMN())&amp;",,,,""PRICE"",""CLOSE"")"),"N/A")</f>
        <v/>
      </c>
      <c r="BP1149" s="262">
        <f>IFERROR(_xll.FDS(MO.Ticker.FactSet,"P_PRICE_AVG"&amp;"("&amp;INDEX(MO_SNA_FPStartDate,0,COLUMN())&amp;","&amp;INDEX(MO_Common_QEndDate,0,COLUMN())&amp;",,,,""PRICE"",""CLOSE"")"),"N/A")</f>
        <v/>
      </c>
      <c r="BQ1149" s="262">
        <f>IFERROR(_xll.FDS(MO.Ticker.FactSet,"P_PRICE_AVG"&amp;"("&amp;INDEX(MO_SNA_FPStartDate,0,COLUMN())&amp;","&amp;INDEX(MO_Common_QEndDate,0,COLUMN())&amp;",,,,""PRICE"",""CLOSE"")"),"N/A")</f>
        <v/>
      </c>
      <c r="BR1149" s="262">
        <f>IFERROR(_xll.FDS(MO.Ticker.FactSet,"P_PRICE_AVG"&amp;"("&amp;INDEX(MO_SNA_FPStartDate,0,COLUMN())&amp;","&amp;INDEX(MO_Common_QEndDate,0,COLUMN())&amp;",,,,""PRICE"",""CLOSE"")"),"N/A")</f>
        <v/>
      </c>
      <c r="BS1149" s="262">
        <f>IFERROR(_xll.FDS(MO.Ticker.FactSet,"P_PRICE_AVG"&amp;"("&amp;INDEX(MO_SNA_FPStartDate,0,COLUMN())&amp;","&amp;INDEX(MO_Common_QEndDate,0,COLUMN())&amp;",,,,""PRICE"",""CLOSE"")"),"N/A")</f>
        <v/>
      </c>
      <c r="BT1149" s="262">
        <f>IFERROR(_xll.FDS(MO.Ticker.FactSet,"P_PRICE_AVG"&amp;"("&amp;INDEX(MO_SNA_FPStartDate,0,COLUMN())&amp;","&amp;INDEX(MO_Common_QEndDate,0,COLUMN())&amp;",,,,""PRICE"",""CLOSE"")"),"N/A")</f>
        <v/>
      </c>
      <c r="BU1149" s="262">
        <f>IFERROR(_xll.FDS(MO.Ticker.FactSet,"P_PRICE_AVG"&amp;"("&amp;INDEX(MO_SNA_FPStartDate,0,COLUMN())&amp;","&amp;INDEX(MO_Common_QEndDate,0,COLUMN())&amp;",,,,""PRICE"",""CLOSE"")"),"N/A")</f>
        <v/>
      </c>
      <c r="BV1149" s="531">
        <f>IFERROR(_xll.FDS(MO.Ticker.FactSet,"P_PRICE_AVG"&amp;"("&amp;INDEX(MO_SNA_FPStartDate,0,COLUMN())&amp;","&amp;INDEX(MO_Common_QEndDate,0,COLUMN())&amp;",,,,""PRICE"",""CLOSE"")"),"N/A")</f>
        <v/>
      </c>
      <c r="BW1149" s="262">
        <f>IFERROR(_xll.FDS(MO.Ticker.FactSet,"P_PRICE_AVG"&amp;"("&amp;INDEX(MO_SNA_FPStartDate,0,COLUMN())&amp;","&amp;INDEX(MO_Common_QEndDate,0,COLUMN())&amp;",,,,""PRICE"",""CLOSE"")"),"N/A")</f>
        <v/>
      </c>
      <c r="BX1149" s="262">
        <f>IFERROR(_xll.FDS(MO.Ticker.FactSet,"P_PRICE_AVG"&amp;"("&amp;INDEX(MO_SNA_FPStartDate,0,COLUMN())&amp;","&amp;INDEX(MO_Common_QEndDate,0,COLUMN())&amp;",,,,""PRICE"",""CLOSE"")"),"N/A")</f>
        <v/>
      </c>
      <c r="BY1149" s="262">
        <f>IFERROR(_xll.FDS(MO.Ticker.FactSet,"P_PRICE_AVG"&amp;"("&amp;INDEX(MO_SNA_FPStartDate,0,COLUMN())&amp;","&amp;INDEX(MO_Common_QEndDate,0,COLUMN())&amp;",,,,""PRICE"",""CLOSE"")"),"N/A")</f>
        <v/>
      </c>
      <c r="BZ1149" s="262">
        <f>IFERROR(_xll.FDS(MO.Ticker.FactSet,"P_PRICE_AVG"&amp;"("&amp;INDEX(MO_SNA_FPStartDate,0,COLUMN())&amp;","&amp;INDEX(MO_Common_QEndDate,0,COLUMN())&amp;",,,,""PRICE"",""CLOSE"")"),"N/A")</f>
        <v/>
      </c>
      <c r="CA1149" s="262">
        <f>IFERROR(_xll.FDS(MO.Ticker.FactSet,"P_PRICE_AVG"&amp;"("&amp;INDEX(MO_SNA_FPStartDate,0,COLUMN())&amp;","&amp;INDEX(MO_Common_QEndDate,0,COLUMN())&amp;",,,,""PRICE"",""CLOSE"")"),"N/A")</f>
        <v/>
      </c>
      <c r="CB1149" s="262">
        <f>IFERROR(_xll.FDS(MO.Ticker.FactSet,"P_PRICE_AVG"&amp;"("&amp;INDEX(MO_SNA_FPStartDate,0,COLUMN())&amp;","&amp;INDEX(MO_Common_QEndDate,0,COLUMN())&amp;",,,,""PRICE"",""CLOSE"")"),"N/A")</f>
        <v/>
      </c>
      <c r="CC1149" s="262">
        <f>IFERROR(_xll.FDS(MO.Ticker.FactSet,"P_PRICE_AVG"&amp;"("&amp;INDEX(MO_SNA_FPStartDate,0,COLUMN())&amp;","&amp;INDEX(MO_Common_QEndDate,0,COLUMN())&amp;",,,,""PRICE"",""CLOSE"")"),"N/A")</f>
        <v/>
      </c>
      <c r="CD1149" s="262">
        <f>IFERROR(_xll.FDS(MO.Ticker.FactSet,"P_PRICE_AVG"&amp;"("&amp;INDEX(MO_SNA_FPStartDate,0,COLUMN())&amp;","&amp;INDEX(MO_Common_QEndDate,0,COLUMN())&amp;",,,,""PRICE"",""CLOSE"")"),"N/A")</f>
        <v/>
      </c>
      <c r="CE1149" s="262">
        <f>IFERROR(_xll.FDS(MO.Ticker.FactSet,"P_PRICE_AVG"&amp;"("&amp;INDEX(MO_SNA_FPStartDate,0,COLUMN())&amp;","&amp;INDEX(MO_Common_QEndDate,0,COLUMN())&amp;",,,,""PRICE"",""CLOSE"")"),"N/A")</f>
        <v/>
      </c>
      <c r="CF1149" s="263">
        <f>IFERROR(_xll.FDS(MO.Ticker.FactSet,"P_PRICE_AVG"&amp;"("&amp;INDEX(MO_SNA_FPStartDate,0,COLUMN())&amp;","&amp;INDEX(MO_Common_QEndDate,0,COLUMN())&amp;",,,,""PRICE"",""CLOSE"")"),"N/A")</f>
        <v/>
      </c>
      <c r="CG1149" s="155" t="n"/>
    </row>
    <row r="1150" hidden="1" outlineLevel="1">
      <c r="A1150" s="264" t="inlineStr">
        <is>
          <t>Refinitiv</t>
        </is>
      </c>
      <c r="B1150" s="262" t="n"/>
      <c r="C1150" s="1009">
        <f>IFERROR(_xll.TR(MO.Ticker.Thomson,"AVG(TR.Priceclose)","sdate:#1 edate:#2",,INDEX(MO_SNA_FPStartDate,0,COLUMN()),INDEX(MO_Common_QEndDate,0,COLUMN())),"N/A")</f>
        <v/>
      </c>
      <c r="D1150" s="1009">
        <f>IFERROR(_xll.TR(MO.Ticker.Thomson,"AVG(TR.Priceclose)","sdate:#1 edate:#2",,INDEX(MO_SNA_FPStartDate,0,COLUMN()),INDEX(MO_Common_QEndDate,0,COLUMN())),"N/A")</f>
        <v/>
      </c>
      <c r="E1150" s="1009">
        <f>IFERROR(_xll.TR(MO.Ticker.Thomson,"AVG(TR.Priceclose)","sdate:#1 edate:#2",,INDEX(MO_SNA_FPStartDate,0,COLUMN()),INDEX(MO_Common_QEndDate,0,COLUMN())),"N/A")</f>
        <v/>
      </c>
      <c r="F1150" s="1009">
        <f>IFERROR(_xll.TR(MO.Ticker.Thomson,"AVG(TR.Priceclose)","sdate:#1 edate:#2",,INDEX(MO_SNA_FPStartDate,0,COLUMN()),INDEX(MO_Common_QEndDate,0,COLUMN())),"N/A")</f>
        <v/>
      </c>
      <c r="G1150" s="1009">
        <f>IFERROR(_xll.TR(MO.Ticker.Thomson,"AVG(TR.Priceclose)","sdate:#1 edate:#2",,INDEX(MO_SNA_FPStartDate,0,COLUMN()),INDEX(MO_Common_QEndDate,0,COLUMN())),"N/A")</f>
        <v/>
      </c>
      <c r="H1150" s="262">
        <f>IFERROR(_xll.TR(MO.Ticker.Thomson,"AVG(TR.Priceclose)","sdate:#1 edate:#2",,INDEX(MO_SNA_FPStartDate,0,COLUMN()),INDEX(MO_Common_QEndDate,0,COLUMN())),"N/A")</f>
        <v/>
      </c>
      <c r="I1150" s="262">
        <f>IFERROR(_xll.TR(MO.Ticker.Thomson,"AVG(TR.Priceclose)","sdate:#1 edate:#2",,INDEX(MO_SNA_FPStartDate,0,COLUMN()),INDEX(MO_Common_QEndDate,0,COLUMN())),"N/A")</f>
        <v/>
      </c>
      <c r="J1150" s="262">
        <f>IFERROR(_xll.TR(MO.Ticker.Thomson,"AVG(TR.Priceclose)","sdate:#1 edate:#2",,INDEX(MO_SNA_FPStartDate,0,COLUMN()),INDEX(MO_Common_QEndDate,0,COLUMN())),"N/A")</f>
        <v/>
      </c>
      <c r="K1150" s="262">
        <f>IFERROR(_xll.TR(MO.Ticker.Thomson,"AVG(TR.Priceclose)","sdate:#1 edate:#2",,INDEX(MO_SNA_FPStartDate,0,COLUMN()),INDEX(MO_Common_QEndDate,0,COLUMN())),"N/A")</f>
        <v/>
      </c>
      <c r="L1150" s="262">
        <f>IFERROR(_xll.TR(MO.Ticker.Thomson,"AVG(TR.Priceclose)","sdate:#1 edate:#2",,INDEX(MO_SNA_FPStartDate,0,COLUMN()),INDEX(MO_Common_QEndDate,0,COLUMN())),"N/A")</f>
        <v/>
      </c>
      <c r="M1150" s="262">
        <f>IFERROR(_xll.TR(MO.Ticker.Thomson,"AVG(TR.Priceclose)","sdate:#1 edate:#2",,INDEX(MO_SNA_FPStartDate,0,COLUMN()),INDEX(MO_Common_QEndDate,0,COLUMN())),"N/A")</f>
        <v/>
      </c>
      <c r="N1150" s="262">
        <f>IFERROR(_xll.TR(MO.Ticker.Thomson,"AVG(TR.Priceclose)","sdate:#1 edate:#2",,INDEX(MO_SNA_FPStartDate,0,COLUMN()),INDEX(MO_Common_QEndDate,0,COLUMN())),"N/A")</f>
        <v/>
      </c>
      <c r="O1150" s="262">
        <f>IFERROR(_xll.TR(MO.Ticker.Thomson,"AVG(TR.Priceclose)","sdate:#1 edate:#2",,INDEX(MO_SNA_FPStartDate,0,COLUMN()),INDEX(MO_Common_QEndDate,0,COLUMN())),"N/A")</f>
        <v/>
      </c>
      <c r="P1150" s="262">
        <f>IFERROR(_xll.TR(MO.Ticker.Thomson,"AVG(TR.Priceclose)","sdate:#1 edate:#2",,INDEX(MO_SNA_FPStartDate,0,COLUMN()),INDEX(MO_Common_QEndDate,0,COLUMN())),"N/A")</f>
        <v/>
      </c>
      <c r="Q1150" s="262">
        <f>IFERROR(_xll.TR(MO.Ticker.Thomson,"AVG(TR.Priceclose)","sdate:#1 edate:#2",,INDEX(MO_SNA_FPStartDate,0,COLUMN()),INDEX(MO_Common_QEndDate,0,COLUMN())),"N/A")</f>
        <v/>
      </c>
      <c r="R1150" s="262">
        <f>IFERROR(_xll.TR(MO.Ticker.Thomson,"AVG(TR.Priceclose)","sdate:#1 edate:#2",,INDEX(MO_SNA_FPStartDate,0,COLUMN()),INDEX(MO_Common_QEndDate,0,COLUMN())),"N/A")</f>
        <v/>
      </c>
      <c r="S1150" s="262">
        <f>IFERROR(_xll.TR(MO.Ticker.Thomson,"AVG(TR.Priceclose)","sdate:#1 edate:#2",,INDEX(MO_SNA_FPStartDate,0,COLUMN()),INDEX(MO_Common_QEndDate,0,COLUMN())),"N/A")</f>
        <v/>
      </c>
      <c r="T1150" s="262">
        <f>IFERROR(_xll.TR(MO.Ticker.Thomson,"AVG(TR.Priceclose)","sdate:#1 edate:#2",,INDEX(MO_SNA_FPStartDate,0,COLUMN()),INDEX(MO_Common_QEndDate,0,COLUMN())),"N/A")</f>
        <v/>
      </c>
      <c r="U1150" s="262">
        <f>IFERROR(_xll.TR(MO.Ticker.Thomson,"AVG(TR.Priceclose)","sdate:#1 edate:#2",,INDEX(MO_SNA_FPStartDate,0,COLUMN()),INDEX(MO_Common_QEndDate,0,COLUMN())),"N/A")</f>
        <v/>
      </c>
      <c r="V1150" s="262">
        <f>IFERROR(_xll.TR(MO.Ticker.Thomson,"AVG(TR.Priceclose)","sdate:#1 edate:#2",,INDEX(MO_SNA_FPStartDate,0,COLUMN()),INDEX(MO_Common_QEndDate,0,COLUMN())),"N/A")</f>
        <v/>
      </c>
      <c r="W1150" s="262">
        <f>IFERROR(_xll.TR(MO.Ticker.Thomson,"AVG(TR.Priceclose)","sdate:#1 edate:#2",,INDEX(MO_SNA_FPStartDate,0,COLUMN()),INDEX(MO_Common_QEndDate,0,COLUMN())),"N/A")</f>
        <v/>
      </c>
      <c r="X1150" s="262">
        <f>IFERROR(_xll.TR(MO.Ticker.Thomson,"AVG(TR.Priceclose)","sdate:#1 edate:#2",,INDEX(MO_SNA_FPStartDate,0,COLUMN()),INDEX(MO_Common_QEndDate,0,COLUMN())),"N/A")</f>
        <v/>
      </c>
      <c r="Y1150" s="262">
        <f>IFERROR(_xll.TR(MO.Ticker.Thomson,"AVG(TR.Priceclose)","sdate:#1 edate:#2",,INDEX(MO_SNA_FPStartDate,0,COLUMN()),INDEX(MO_Common_QEndDate,0,COLUMN())),"N/A")</f>
        <v/>
      </c>
      <c r="Z1150" s="262">
        <f>IFERROR(_xll.TR(MO.Ticker.Thomson,"AVG(TR.Priceclose)","sdate:#1 edate:#2",,INDEX(MO_SNA_FPStartDate,0,COLUMN()),INDEX(MO_Common_QEndDate,0,COLUMN())),"N/A")</f>
        <v/>
      </c>
      <c r="AA1150" s="262">
        <f>IFERROR(_xll.TR(MO.Ticker.Thomson,"AVG(TR.Priceclose)","sdate:#1 edate:#2",,INDEX(MO_SNA_FPStartDate,0,COLUMN()),INDEX(MO_Common_QEndDate,0,COLUMN())),"N/A")</f>
        <v/>
      </c>
      <c r="AB1150" s="262">
        <f>IFERROR(_xll.TR(MO.Ticker.Thomson,"AVG(TR.Priceclose)","sdate:#1 edate:#2",,INDEX(MO_SNA_FPStartDate,0,COLUMN()),INDEX(MO_Common_QEndDate,0,COLUMN())),"N/A")</f>
        <v/>
      </c>
      <c r="AC1150" s="262">
        <f>IFERROR(_xll.TR(MO.Ticker.Thomson,"AVG(TR.Priceclose)","sdate:#1 edate:#2",,INDEX(MO_SNA_FPStartDate,0,COLUMN()),INDEX(MO_Common_QEndDate,0,COLUMN())),"N/A")</f>
        <v/>
      </c>
      <c r="AD1150" s="262">
        <f>IFERROR(_xll.TR(MO.Ticker.Thomson,"AVG(TR.Priceclose)","sdate:#1 edate:#2",,INDEX(MO_SNA_FPStartDate,0,COLUMN()),INDEX(MO_Common_QEndDate,0,COLUMN())),"N/A")</f>
        <v/>
      </c>
      <c r="AE1150" s="262">
        <f>IFERROR(_xll.TR(MO.Ticker.Thomson,"AVG(TR.Priceclose)","sdate:#1 edate:#2",,INDEX(MO_SNA_FPStartDate,0,COLUMN()),INDEX(MO_Common_QEndDate,0,COLUMN())),"N/A")</f>
        <v/>
      </c>
      <c r="AF1150" s="262">
        <f>IFERROR(_xll.TR(MO.Ticker.Thomson,"AVG(TR.Priceclose)","sdate:#1 edate:#2",,INDEX(MO_SNA_FPStartDate,0,COLUMN()),INDEX(MO_Common_QEndDate,0,COLUMN())),"N/A")</f>
        <v/>
      </c>
      <c r="AG1150" s="262">
        <f>IFERROR(_xll.TR(MO.Ticker.Thomson,"AVG(TR.Priceclose)","sdate:#1 edate:#2",,INDEX(MO_SNA_FPStartDate,0,COLUMN()),INDEX(MO_Common_QEndDate,0,COLUMN())),"N/A")</f>
        <v/>
      </c>
      <c r="AH1150" s="262">
        <f>IFERROR(_xll.TR(MO.Ticker.Thomson,"AVG(TR.Priceclose)","sdate:#1 edate:#2",,INDEX(MO_SNA_FPStartDate,0,COLUMN()),INDEX(MO_Common_QEndDate,0,COLUMN())),"N/A")</f>
        <v/>
      </c>
      <c r="AI1150" s="262">
        <f>IFERROR(_xll.TR(MO.Ticker.Thomson,"AVG(TR.Priceclose)","sdate:#1 edate:#2",,INDEX(MO_SNA_FPStartDate,0,COLUMN()),INDEX(MO_Common_QEndDate,0,COLUMN())),"N/A")</f>
        <v/>
      </c>
      <c r="AJ1150" s="262">
        <f>IFERROR(_xll.TR(MO.Ticker.Thomson,"AVG(TR.Priceclose)","sdate:#1 edate:#2",,INDEX(MO_SNA_FPStartDate,0,COLUMN()),INDEX(MO_Common_QEndDate,0,COLUMN())),"N/A")</f>
        <v/>
      </c>
      <c r="AK1150" s="262">
        <f>IFERROR(_xll.TR(MO.Ticker.Thomson,"AVG(TR.Priceclose)","sdate:#1 edate:#2",,INDEX(MO_SNA_FPStartDate,0,COLUMN()),INDEX(MO_Common_QEndDate,0,COLUMN())),"N/A")</f>
        <v/>
      </c>
      <c r="AL1150" s="262">
        <f>IFERROR(_xll.TR(MO.Ticker.Thomson,"AVG(TR.Priceclose)","sdate:#1 edate:#2",,INDEX(MO_SNA_FPStartDate,0,COLUMN()),INDEX(MO_Common_QEndDate,0,COLUMN())),"N/A")</f>
        <v/>
      </c>
      <c r="AM1150" s="262">
        <f>IFERROR(_xll.TR(MO.Ticker.Thomson,"AVG(TR.Priceclose)","sdate:#1 edate:#2",,INDEX(MO_SNA_FPStartDate,0,COLUMN()),INDEX(MO_Common_QEndDate,0,COLUMN())),"N/A")</f>
        <v/>
      </c>
      <c r="AN1150" s="262">
        <f>IFERROR(_xll.TR(MO.Ticker.Thomson,"AVG(TR.Priceclose)","sdate:#1 edate:#2",,INDEX(MO_SNA_FPStartDate,0,COLUMN()),INDEX(MO_Common_QEndDate,0,COLUMN())),"N/A")</f>
        <v/>
      </c>
      <c r="AO1150" s="262">
        <f>IFERROR(_xll.TR(MO.Ticker.Thomson,"AVG(TR.Priceclose)","sdate:#1 edate:#2",,INDEX(MO_SNA_FPStartDate,0,COLUMN()),INDEX(MO_Common_QEndDate,0,COLUMN())),"N/A")</f>
        <v/>
      </c>
      <c r="AP1150" s="262">
        <f>IFERROR(_xll.TR(MO.Ticker.Thomson,"AVG(TR.Priceclose)","sdate:#1 edate:#2",,INDEX(MO_SNA_FPStartDate,0,COLUMN()),INDEX(MO_Common_QEndDate,0,COLUMN())),"N/A")</f>
        <v/>
      </c>
      <c r="AQ1150" s="262">
        <f>IFERROR(_xll.TR(MO.Ticker.Thomson,"AVG(TR.Priceclose)","sdate:#1 edate:#2",,INDEX(MO_SNA_FPStartDate,0,COLUMN()),INDEX(MO_Common_QEndDate,0,COLUMN())),"N/A")</f>
        <v/>
      </c>
      <c r="AR1150" s="262">
        <f>IFERROR(_xll.TR(MO.Ticker.Thomson,"AVG(TR.Priceclose)","sdate:#1 edate:#2",,INDEX(MO_SNA_FPStartDate,0,COLUMN()),INDEX(MO_Common_QEndDate,0,COLUMN())),"N/A")</f>
        <v/>
      </c>
      <c r="AS1150" s="262">
        <f>IFERROR(_xll.TR(MO.Ticker.Thomson,"AVG(TR.Priceclose)","sdate:#1 edate:#2",,INDEX(MO_SNA_FPStartDate,0,COLUMN()),INDEX(MO_Common_QEndDate,0,COLUMN())),"N/A")</f>
        <v/>
      </c>
      <c r="AT1150" s="262">
        <f>IFERROR(_xll.TR(MO.Ticker.Thomson,"AVG(TR.Priceclose)","sdate:#1 edate:#2",,INDEX(MO_SNA_FPStartDate,0,COLUMN()),INDEX(MO_Common_QEndDate,0,COLUMN())),"N/A")</f>
        <v/>
      </c>
      <c r="AU1150" s="262">
        <f>IFERROR(_xll.TR(MO.Ticker.Thomson,"AVG(TR.Priceclose)","sdate:#1 edate:#2",,INDEX(MO_SNA_FPStartDate,0,COLUMN()),INDEX(MO_Common_QEndDate,0,COLUMN())),"N/A")</f>
        <v/>
      </c>
      <c r="AV1150" s="262">
        <f>IFERROR(_xll.TR(MO.Ticker.Thomson,"AVG(TR.Priceclose)","sdate:#1 edate:#2",,INDEX(MO_SNA_FPStartDate,0,COLUMN()),INDEX(MO_Common_QEndDate,0,COLUMN())),"N/A")</f>
        <v/>
      </c>
      <c r="AW1150" s="262">
        <f>IFERROR(_xll.TR(MO.Ticker.Thomson,"AVG(TR.Priceclose)","sdate:#1 edate:#2",,INDEX(MO_SNA_FPStartDate,0,COLUMN()),INDEX(MO_Common_QEndDate,0,COLUMN())),"N/A")</f>
        <v/>
      </c>
      <c r="AX1150" s="262">
        <f>IFERROR(_xll.TR(MO.Ticker.Thomson,"AVG(TR.Priceclose)","sdate:#1 edate:#2",,INDEX(MO_SNA_FPStartDate,0,COLUMN()),INDEX(MO_Common_QEndDate,0,COLUMN())),"N/A")</f>
        <v/>
      </c>
      <c r="AY1150" s="262">
        <f>IFERROR(_xll.TR(MO.Ticker.Thomson,"AVG(TR.Priceclose)","sdate:#1 edate:#2",,INDEX(MO_SNA_FPStartDate,0,COLUMN()),INDEX(MO_Common_QEndDate,0,COLUMN())),"N/A")</f>
        <v/>
      </c>
      <c r="AZ1150" s="262">
        <f>IFERROR(_xll.TR(MO.Ticker.Thomson,"AVG(TR.Priceclose)","sdate:#1 edate:#2",,INDEX(MO_SNA_FPStartDate,0,COLUMN()),INDEX(MO_Common_QEndDate,0,COLUMN())),"N/A")</f>
        <v/>
      </c>
      <c r="BA1150" s="262">
        <f>IFERROR(_xll.TR(MO.Ticker.Thomson,"AVG(TR.Priceclose)","sdate:#1 edate:#2",,INDEX(MO_SNA_FPStartDate,0,COLUMN()),INDEX(MO_Common_QEndDate,0,COLUMN())),"N/A")</f>
        <v/>
      </c>
      <c r="BB1150" s="262">
        <f>IFERROR(_xll.TR(MO.Ticker.Thomson,"AVG(TR.Priceclose)","sdate:#1 edate:#2",,INDEX(MO_SNA_FPStartDate,0,COLUMN()),INDEX(MO_Common_QEndDate,0,COLUMN())),"N/A")</f>
        <v/>
      </c>
      <c r="BC1150" s="262">
        <f>IFERROR(_xll.TR(MO.Ticker.Thomson,"AVG(TR.Priceclose)","sdate:#1 edate:#2",,INDEX(MO_SNA_FPStartDate,0,COLUMN()),INDEX(MO_Common_QEndDate,0,COLUMN())),"N/A")</f>
        <v/>
      </c>
      <c r="BD1150" s="262">
        <f>IFERROR(_xll.TR(MO.Ticker.Thomson,"AVG(TR.Priceclose)","sdate:#1 edate:#2",,INDEX(MO_SNA_FPStartDate,0,COLUMN()),INDEX(MO_Common_QEndDate,0,COLUMN())),"N/A")</f>
        <v/>
      </c>
      <c r="BE1150" s="262">
        <f>IFERROR(_xll.TR(MO.Ticker.Thomson,"AVG(TR.Priceclose)","sdate:#1 edate:#2",,INDEX(MO_SNA_FPStartDate,0,COLUMN()),INDEX(MO_Common_QEndDate,0,COLUMN())),"N/A")</f>
        <v/>
      </c>
      <c r="BF1150" s="262">
        <f>IFERROR(_xll.TR(MO.Ticker.Thomson,"AVG(TR.Priceclose)","sdate:#1 edate:#2",,INDEX(MO_SNA_FPStartDate,0,COLUMN()),INDEX(MO_Common_QEndDate,0,COLUMN())),"N/A")</f>
        <v/>
      </c>
      <c r="BG1150" s="262">
        <f>IFERROR(_xll.TR(MO.Ticker.Thomson,"AVG(TR.Priceclose)","sdate:#1 edate:#2",,INDEX(MO_SNA_FPStartDate,0,COLUMN()),INDEX(MO_Common_QEndDate,0,COLUMN())),"N/A")</f>
        <v/>
      </c>
      <c r="BH1150" s="262">
        <f>IFERROR(_xll.TR(MO.Ticker.Thomson,"AVG(TR.Priceclose)","sdate:#1 edate:#2",,INDEX(MO_SNA_FPStartDate,0,COLUMN()),INDEX(MO_Common_QEndDate,0,COLUMN())),"N/A")</f>
        <v/>
      </c>
      <c r="BI1150" s="262">
        <f>IFERROR(_xll.TR(MO.Ticker.Thomson,"AVG(TR.Priceclose)","sdate:#1 edate:#2",,INDEX(MO_SNA_FPStartDate,0,COLUMN()),INDEX(MO_Common_QEndDate,0,COLUMN())),"N/A")</f>
        <v/>
      </c>
      <c r="BJ1150" s="262">
        <f>IFERROR(_xll.TR(MO.Ticker.Thomson,"AVG(TR.Priceclose)","sdate:#1 edate:#2",,INDEX(MO_SNA_FPStartDate,0,COLUMN()),INDEX(MO_Common_QEndDate,0,COLUMN())),"N/A")</f>
        <v/>
      </c>
      <c r="BK1150" s="262">
        <f>IFERROR(_xll.TR(MO.Ticker.Thomson,"AVG(TR.Priceclose)","sdate:#1 edate:#2",,INDEX(MO_SNA_FPStartDate,0,COLUMN()),INDEX(MO_Common_QEndDate,0,COLUMN())),"N/A")</f>
        <v/>
      </c>
      <c r="BL1150" s="262">
        <f>IFERROR(_xll.TR(MO.Ticker.Thomson,"AVG(TR.Priceclose)","sdate:#1 edate:#2",,INDEX(MO_SNA_FPStartDate,0,COLUMN()),INDEX(MO_Common_QEndDate,0,COLUMN())),"N/A")</f>
        <v/>
      </c>
      <c r="BM1150" s="262">
        <f>IFERROR(_xll.TR(MO.Ticker.Thomson,"AVG(TR.Priceclose)","sdate:#1 edate:#2",,INDEX(MO_SNA_FPStartDate,0,COLUMN()),INDEX(MO_Common_QEndDate,0,COLUMN())),"N/A")</f>
        <v/>
      </c>
      <c r="BN1150" s="262">
        <f>IFERROR(_xll.TR(MO.Ticker.Thomson,"AVG(TR.Priceclose)","sdate:#1 edate:#2",,INDEX(MO_SNA_FPStartDate,0,COLUMN()),INDEX(MO_Common_QEndDate,0,COLUMN())),"N/A")</f>
        <v/>
      </c>
      <c r="BO1150" s="262">
        <f>IFERROR(_xll.TR(MO.Ticker.Thomson,"AVG(TR.Priceclose)","sdate:#1 edate:#2",,INDEX(MO_SNA_FPStartDate,0,COLUMN()),INDEX(MO_Common_QEndDate,0,COLUMN())),"N/A")</f>
        <v/>
      </c>
      <c r="BP1150" s="262">
        <f>IFERROR(_xll.TR(MO.Ticker.Thomson,"AVG(TR.Priceclose)","sdate:#1 edate:#2",,INDEX(MO_SNA_FPStartDate,0,COLUMN()),INDEX(MO_Common_QEndDate,0,COLUMN())),"N/A")</f>
        <v/>
      </c>
      <c r="BQ1150" s="262">
        <f>IFERROR(_xll.TR(MO.Ticker.Thomson,"AVG(TR.Priceclose)","sdate:#1 edate:#2",,INDEX(MO_SNA_FPStartDate,0,COLUMN()),INDEX(MO_Common_QEndDate,0,COLUMN())),"N/A")</f>
        <v/>
      </c>
      <c r="BR1150" s="262">
        <f>IFERROR(_xll.TR(MO.Ticker.Thomson,"AVG(TR.Priceclose)","sdate:#1 edate:#2",,INDEX(MO_SNA_FPStartDate,0,COLUMN()),INDEX(MO_Common_QEndDate,0,COLUMN())),"N/A")</f>
        <v/>
      </c>
      <c r="BS1150" s="262">
        <f>IFERROR(_xll.TR(MO.Ticker.Thomson,"AVG(TR.Priceclose)","sdate:#1 edate:#2",,INDEX(MO_SNA_FPStartDate,0,COLUMN()),INDEX(MO_Common_QEndDate,0,COLUMN())),"N/A")</f>
        <v/>
      </c>
      <c r="BT1150" s="262">
        <f>IFERROR(_xll.TR(MO.Ticker.Thomson,"AVG(TR.Priceclose)","sdate:#1 edate:#2",,INDEX(MO_SNA_FPStartDate,0,COLUMN()),INDEX(MO_Common_QEndDate,0,COLUMN())),"N/A")</f>
        <v/>
      </c>
      <c r="BU1150" s="262">
        <f>IFERROR(_xll.TR(MO.Ticker.Thomson,"AVG(TR.Priceclose)","sdate:#1 edate:#2",,INDEX(MO_SNA_FPStartDate,0,COLUMN()),INDEX(MO_Common_QEndDate,0,COLUMN())),"N/A")</f>
        <v/>
      </c>
      <c r="BV1150" s="531">
        <f>IFERROR(_xll.TR(MO.Ticker.Thomson,"AVG(TR.Priceclose)","sdate:#1 edate:#2",,INDEX(MO_SNA_FPStartDate,0,COLUMN()),INDEX(MO_Common_QEndDate,0,COLUMN())),"N/A")</f>
        <v/>
      </c>
      <c r="BW1150" s="262">
        <f>IFERROR(_xll.TR(MO.Ticker.Thomson,"AVG(TR.Priceclose)","sdate:#1 edate:#2",,INDEX(MO_SNA_FPStartDate,0,COLUMN()),INDEX(MO_Common_QEndDate,0,COLUMN())),"N/A")</f>
        <v/>
      </c>
      <c r="BX1150" s="262">
        <f>IFERROR(_xll.TR(MO.Ticker.Thomson,"AVG(TR.Priceclose)","sdate:#1 edate:#2",,INDEX(MO_SNA_FPStartDate,0,COLUMN()),INDEX(MO_Common_QEndDate,0,COLUMN())),"N/A")</f>
        <v/>
      </c>
      <c r="BY1150" s="262">
        <f>IFERROR(_xll.TR(MO.Ticker.Thomson,"AVG(TR.Priceclose)","sdate:#1 edate:#2",,INDEX(MO_SNA_FPStartDate,0,COLUMN()),INDEX(MO_Common_QEndDate,0,COLUMN())),"N/A")</f>
        <v/>
      </c>
      <c r="BZ1150" s="262">
        <f>IFERROR(_xll.TR(MO.Ticker.Thomson,"AVG(TR.Priceclose)","sdate:#1 edate:#2",,INDEX(MO_SNA_FPStartDate,0,COLUMN()),INDEX(MO_Common_QEndDate,0,COLUMN())),"N/A")</f>
        <v/>
      </c>
      <c r="CA1150" s="262">
        <f>IFERROR(_xll.TR(MO.Ticker.Thomson,"AVG(TR.Priceclose)","sdate:#1 edate:#2",,INDEX(MO_SNA_FPStartDate,0,COLUMN()),INDEX(MO_Common_QEndDate,0,COLUMN())),"N/A")</f>
        <v/>
      </c>
      <c r="CB1150" s="262">
        <f>IFERROR(_xll.TR(MO.Ticker.Thomson,"AVG(TR.Priceclose)","sdate:#1 edate:#2",,INDEX(MO_SNA_FPStartDate,0,COLUMN()),INDEX(MO_Common_QEndDate,0,COLUMN())),"N/A")</f>
        <v/>
      </c>
      <c r="CC1150" s="262">
        <f>IFERROR(_xll.TR(MO.Ticker.Thomson,"AVG(TR.Priceclose)","sdate:#1 edate:#2",,INDEX(MO_SNA_FPStartDate,0,COLUMN()),INDEX(MO_Common_QEndDate,0,COLUMN())),"N/A")</f>
        <v/>
      </c>
      <c r="CD1150" s="262">
        <f>IFERROR(_xll.TR(MO.Ticker.Thomson,"AVG(TR.Priceclose)","sdate:#1 edate:#2",,INDEX(MO_SNA_FPStartDate,0,COLUMN()),INDEX(MO_Common_QEndDate,0,COLUMN())),"N/A")</f>
        <v/>
      </c>
      <c r="CE1150" s="262">
        <f>IFERROR(_xll.TR(MO.Ticker.Thomson,"AVG(TR.Priceclose)","sdate:#1 edate:#2",,INDEX(MO_SNA_FPStartDate,0,COLUMN()),INDEX(MO_Common_QEndDate,0,COLUMN())),"N/A")</f>
        <v/>
      </c>
      <c r="CF1150" s="263">
        <f>IFERROR(_xll.TR(MO.Ticker.Thomson,"AVG(TR.Priceclose)","sdate:#1 edate:#2",,INDEX(MO_SNA_FPStartDate,0,COLUMN()),INDEX(MO_Common_QEndDate,0,COLUMN())),"N/A")</f>
        <v/>
      </c>
      <c r="CG1150" s="155" t="n"/>
    </row>
    <row r="1151" hidden="1" outlineLevel="1">
      <c r="A1151" s="166" t="n"/>
      <c r="B1151" s="93" t="n"/>
      <c r="C1151" s="989" t="n"/>
      <c r="D1151" s="989" t="n"/>
      <c r="E1151" s="989" t="n"/>
      <c r="F1151" s="989" t="n"/>
      <c r="G1151" s="989" t="n"/>
      <c r="H1151" s="93" t="n"/>
      <c r="I1151" s="93" t="n"/>
      <c r="J1151" s="93" t="n"/>
      <c r="K1151" s="93" t="n"/>
      <c r="L1151" s="93" t="n"/>
      <c r="M1151" s="93" t="n"/>
      <c r="N1151" s="93" t="n"/>
      <c r="O1151" s="93" t="n"/>
      <c r="P1151" s="93" t="n"/>
      <c r="Q1151" s="93" t="n"/>
      <c r="R1151" s="93" t="n"/>
      <c r="S1151" s="93" t="n"/>
      <c r="T1151" s="93" t="n"/>
      <c r="U1151" s="93" t="n"/>
      <c r="V1151" s="93" t="n"/>
      <c r="W1151" s="93" t="n"/>
      <c r="X1151" s="93" t="n"/>
      <c r="Y1151" s="93" t="n"/>
      <c r="Z1151" s="93" t="n"/>
      <c r="AA1151" s="93" t="n"/>
      <c r="AB1151" s="93" t="n"/>
      <c r="AC1151" s="93" t="n"/>
      <c r="AD1151" s="93" t="n"/>
      <c r="AE1151" s="93" t="n"/>
      <c r="AF1151" s="93" t="n"/>
      <c r="AG1151" s="93" t="n"/>
      <c r="AH1151" s="93" t="n"/>
      <c r="AI1151" s="93" t="n"/>
      <c r="AJ1151" s="93" t="n"/>
      <c r="AK1151" s="93" t="n"/>
      <c r="AL1151" s="93" t="n"/>
      <c r="AM1151" s="93" t="n"/>
      <c r="AN1151" s="93" t="n"/>
      <c r="AO1151" s="93" t="n"/>
      <c r="AP1151" s="93" t="n"/>
      <c r="AQ1151" s="93" t="n"/>
      <c r="AR1151" s="93" t="n"/>
      <c r="AS1151" s="93" t="n"/>
      <c r="AT1151" s="93" t="n"/>
      <c r="AU1151" s="93" t="n"/>
      <c r="AV1151" s="93" t="n"/>
      <c r="AW1151" s="93" t="n"/>
      <c r="AX1151" s="93" t="n"/>
      <c r="AY1151" s="93" t="n"/>
      <c r="AZ1151" s="93" t="n"/>
      <c r="BA1151" s="93" t="n"/>
      <c r="BB1151" s="93" t="n"/>
      <c r="BC1151" s="93" t="n"/>
      <c r="BD1151" s="93" t="n"/>
      <c r="BE1151" s="93" t="n"/>
      <c r="BF1151" s="93" t="n"/>
      <c r="BG1151" s="93" t="n"/>
      <c r="BH1151" s="93" t="n"/>
      <c r="BI1151" s="93" t="n"/>
      <c r="BJ1151" s="93" t="n"/>
      <c r="BK1151" s="93" t="n"/>
      <c r="BL1151" s="93" t="n"/>
      <c r="BM1151" s="93" t="n"/>
      <c r="BN1151" s="93" t="n"/>
      <c r="BO1151" s="93" t="n"/>
      <c r="BP1151" s="93" t="n"/>
      <c r="BQ1151" s="93" t="n"/>
      <c r="BR1151" s="93" t="n"/>
      <c r="BS1151" s="93" t="n"/>
      <c r="BT1151" s="93" t="n"/>
      <c r="BU1151" s="93" t="n"/>
      <c r="BV1151" s="522" t="n"/>
      <c r="BW1151" s="93" t="n"/>
      <c r="BX1151" s="93" t="n"/>
      <c r="BY1151" s="93" t="n"/>
      <c r="BZ1151" s="93" t="n"/>
      <c r="CA1151" s="93" t="n"/>
      <c r="CB1151" s="93" t="n"/>
      <c r="CC1151" s="93" t="n"/>
      <c r="CD1151" s="93" t="n"/>
      <c r="CE1151" s="93" t="n"/>
      <c r="CF1151" s="162" t="n"/>
      <c r="CG1151" s="155" t="n"/>
    </row>
    <row r="1152" collapsed="1">
      <c r="A1152" s="265">
        <f>"FX Average: "&amp;IF(OR(MO.RealTimeStockPriceToggle=FALSE,VLOOKUP(MO.DataSourceName,MO_SPT_FXAverage_Sources,COLUMN()+2,FALSE)="N/A"),"Real-Time Off Source",MO.DataSourceName)</f>
        <v/>
      </c>
      <c r="B1152" s="266" t="n"/>
      <c r="C1152" s="101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D1152" s="101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E1152" s="101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F1152" s="101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G1152" s="101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H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I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J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K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L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M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N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O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P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Q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R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S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T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U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V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W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X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Y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Z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A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B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C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D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E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F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G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H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I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J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K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L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M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N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O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P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Q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R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S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T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U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V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W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X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Y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Z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A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B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C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D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E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F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G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H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I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J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K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L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M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N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O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P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Q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R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S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T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U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V1152" s="53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W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X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Y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Z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A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B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C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D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E1152"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F1152" s="267">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G1152" s="155" t="n"/>
    </row>
    <row r="1153" hidden="1" outlineLevel="1">
      <c r="A1153" s="268" t="inlineStr">
        <is>
          <t>Real-Time Off Source</t>
        </is>
      </c>
      <c r="B1153" s="266" t="n"/>
      <c r="C1153" s="1096" t="n">
        <v>1</v>
      </c>
      <c r="D1153" s="1096" t="n">
        <v>1</v>
      </c>
      <c r="E1153" s="1096" t="n">
        <v>1</v>
      </c>
      <c r="F1153" s="1096" t="n">
        <v>1</v>
      </c>
      <c r="G1153" s="1096" t="n">
        <v>1</v>
      </c>
      <c r="H1153" s="1097" t="n">
        <v>1</v>
      </c>
      <c r="I1153" s="1097" t="n">
        <v>1</v>
      </c>
      <c r="J1153" s="1097" t="n">
        <v>1</v>
      </c>
      <c r="K1153" s="1097" t="n">
        <v>1</v>
      </c>
      <c r="L1153" s="1097" t="n">
        <v>1</v>
      </c>
      <c r="M1153" s="1097" t="n">
        <v>1</v>
      </c>
      <c r="N1153" s="1097" t="n">
        <v>1</v>
      </c>
      <c r="O1153" s="1097" t="n">
        <v>1</v>
      </c>
      <c r="P1153" s="1097" t="n">
        <v>1</v>
      </c>
      <c r="Q1153" s="1097" t="n">
        <v>1</v>
      </c>
      <c r="R1153" s="1097" t="n">
        <v>1</v>
      </c>
      <c r="S1153" s="1097" t="n">
        <v>1</v>
      </c>
      <c r="T1153" s="1097" t="n">
        <v>1</v>
      </c>
      <c r="U1153" s="1097" t="n">
        <v>1</v>
      </c>
      <c r="V1153" s="1097" t="n">
        <v>1</v>
      </c>
      <c r="W1153" s="1097" t="n">
        <v>1</v>
      </c>
      <c r="X1153" s="1097" t="n">
        <v>1</v>
      </c>
      <c r="Y1153" s="1097" t="n">
        <v>1</v>
      </c>
      <c r="Z1153" s="1097" t="n">
        <v>1</v>
      </c>
      <c r="AA1153" s="1097" t="n">
        <v>1</v>
      </c>
      <c r="AB1153" s="1097" t="n">
        <v>1</v>
      </c>
      <c r="AC1153" s="1097" t="n">
        <v>1</v>
      </c>
      <c r="AD1153" s="1097" t="n">
        <v>1</v>
      </c>
      <c r="AE1153" s="1097" t="n">
        <v>1</v>
      </c>
      <c r="AF1153" s="1097" t="n">
        <v>1</v>
      </c>
      <c r="AG1153" s="1097" t="n">
        <v>1</v>
      </c>
      <c r="AH1153" s="1097" t="n">
        <v>1</v>
      </c>
      <c r="AI1153" s="1097" t="n">
        <v>1</v>
      </c>
      <c r="AJ1153" s="1097" t="n">
        <v>1</v>
      </c>
      <c r="AK1153" s="1097" t="n">
        <v>1</v>
      </c>
      <c r="AL1153" s="1097" t="n">
        <v>1</v>
      </c>
      <c r="AM1153" s="1097" t="n">
        <v>1</v>
      </c>
      <c r="AN1153" s="1097" t="n">
        <v>1</v>
      </c>
      <c r="AO1153" s="1097" t="n">
        <v>1</v>
      </c>
      <c r="AP1153" s="1097" t="n">
        <v>1</v>
      </c>
      <c r="AQ1153" s="1097" t="n">
        <v>1</v>
      </c>
      <c r="AR1153" s="1097" t="n">
        <v>1</v>
      </c>
      <c r="AS1153" s="1097" t="n">
        <v>1</v>
      </c>
      <c r="AT1153" s="1097" t="n">
        <v>1</v>
      </c>
      <c r="AU1153" s="1097" t="n">
        <v>1</v>
      </c>
      <c r="AV1153" s="1097" t="n">
        <v>1</v>
      </c>
      <c r="AW1153" s="1097" t="n">
        <v>1</v>
      </c>
      <c r="AX1153" s="1097" t="n">
        <v>1</v>
      </c>
      <c r="AY1153" s="1097" t="n">
        <v>1</v>
      </c>
      <c r="AZ1153" s="1097" t="n">
        <v>1</v>
      </c>
      <c r="BA1153" s="1097" t="n">
        <v>1</v>
      </c>
      <c r="BB1153" s="1097" t="n">
        <v>1</v>
      </c>
      <c r="BC1153" s="1097" t="n">
        <v>1</v>
      </c>
      <c r="BD1153" s="1097" t="n">
        <v>1</v>
      </c>
      <c r="BE1153" s="1097" t="n">
        <v>1</v>
      </c>
      <c r="BF1153" s="1097" t="n">
        <v>1</v>
      </c>
      <c r="BG1153" s="1097" t="n">
        <v>1</v>
      </c>
      <c r="BH1153" s="1097" t="n">
        <v>1</v>
      </c>
      <c r="BI1153" s="1097" t="n">
        <v>1</v>
      </c>
      <c r="BJ1153" s="1097" t="n">
        <v>1</v>
      </c>
      <c r="BK1153" s="1097" t="n">
        <v>1</v>
      </c>
      <c r="BL1153" s="1097" t="n">
        <v>1</v>
      </c>
      <c r="BM1153" s="1097" t="n">
        <v>1</v>
      </c>
      <c r="BN1153" s="1097" t="n">
        <v>1</v>
      </c>
      <c r="BO1153" s="1097" t="n">
        <v>1</v>
      </c>
      <c r="BP1153" s="1097" t="n">
        <v>1</v>
      </c>
      <c r="BQ1153" s="1097" t="n">
        <v>1</v>
      </c>
      <c r="BR1153" s="1097" t="n">
        <v>1</v>
      </c>
      <c r="BS1153" s="1097" t="n">
        <v>1</v>
      </c>
      <c r="BT1153" s="1097" t="n">
        <v>1</v>
      </c>
      <c r="BU1153" s="1097" t="n">
        <v>1</v>
      </c>
      <c r="BV1153" s="1098" t="n">
        <v>1</v>
      </c>
      <c r="BW1153" s="266">
        <f>MO.MRFX.Hardcoded</f>
        <v/>
      </c>
      <c r="BX1153" s="266">
        <f>MO.MRFX.Hardcoded</f>
        <v/>
      </c>
      <c r="BY1153" s="266">
        <f>MO.MRFX.Hardcoded</f>
        <v/>
      </c>
      <c r="BZ1153" s="266">
        <f>MO.MRFX.Hardcoded</f>
        <v/>
      </c>
      <c r="CA1153" s="266">
        <f>MO.MRFX.Hardcoded</f>
        <v/>
      </c>
      <c r="CB1153" s="266">
        <f>MO.MRFX.Hardcoded</f>
        <v/>
      </c>
      <c r="CC1153" s="266">
        <f>MO.MRFX.Hardcoded</f>
        <v/>
      </c>
      <c r="CD1153" s="266">
        <f>MO.MRFX.Hardcoded</f>
        <v/>
      </c>
      <c r="CE1153" s="266">
        <f>MO.MRFX.Hardcoded</f>
        <v/>
      </c>
      <c r="CF1153" s="267">
        <f>MO.MRFX.Hardcoded</f>
        <v/>
      </c>
      <c r="CG1153" s="155" t="n"/>
    </row>
    <row r="1154" hidden="1" outlineLevel="1">
      <c r="A1154" s="268" t="inlineStr">
        <is>
          <t>Bloomberg</t>
        </is>
      </c>
      <c r="B1154" s="266" t="n"/>
      <c r="C1154" s="1010">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D1154" s="1010">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E1154" s="1010">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F1154" s="1010">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G1154" s="1010">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H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I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J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K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L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M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N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O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P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Q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R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S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T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U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V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W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X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Y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Z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A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B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C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D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E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F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G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H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I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J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K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L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M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N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O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P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Q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R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S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T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U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V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W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X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Y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Z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A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B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C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D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E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F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G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H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I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J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K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L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M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N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O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P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Q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R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S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T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U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V1154" s="535">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W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X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Y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BZ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CA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CB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CC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CD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CE115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CF1154" s="267">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CG1154" s="155" t="n"/>
    </row>
    <row r="1155" hidden="1" outlineLevel="1">
      <c r="A1155" s="268" t="inlineStr">
        <is>
          <t>Capital IQ</t>
        </is>
      </c>
      <c r="B1155" s="266" t="n"/>
      <c r="C1155" s="1010">
        <f>IFERROR(IF(INDEX(MO_Common_QEndDate,0,COLUMN())&gt;TODAY(),_xll.CIQ("$"&amp;HP.TradeCurrency&amp;MO.ReportCurrency,"IQ_LASTSALEPRICE"),_xll.CIQAVG("$"&amp;HP.TradeCurrency&amp;MO.ReportCurrency,"IQ_LASTSALEPRICE",INDEX(MO_SNA_FPStartDate,0,COLUMN()),INDEX(MO_Common_QEndDate,0,COLUMN()))),"N/A")</f>
        <v/>
      </c>
      <c r="D1155" s="1010">
        <f>IFERROR(IF(INDEX(MO_Common_QEndDate,0,COLUMN())&gt;TODAY(),_xll.CIQ("$"&amp;HP.TradeCurrency&amp;MO.ReportCurrency,"IQ_LASTSALEPRICE"),_xll.CIQAVG("$"&amp;HP.TradeCurrency&amp;MO.ReportCurrency,"IQ_LASTSALEPRICE",INDEX(MO_SNA_FPStartDate,0,COLUMN()),INDEX(MO_Common_QEndDate,0,COLUMN()))),"N/A")</f>
        <v/>
      </c>
      <c r="E1155" s="1010">
        <f>IFERROR(IF(INDEX(MO_Common_QEndDate,0,COLUMN())&gt;TODAY(),_xll.CIQ("$"&amp;HP.TradeCurrency&amp;MO.ReportCurrency,"IQ_LASTSALEPRICE"),_xll.CIQAVG("$"&amp;HP.TradeCurrency&amp;MO.ReportCurrency,"IQ_LASTSALEPRICE",INDEX(MO_SNA_FPStartDate,0,COLUMN()),INDEX(MO_Common_QEndDate,0,COLUMN()))),"N/A")</f>
        <v/>
      </c>
      <c r="F1155" s="1010">
        <f>IFERROR(IF(INDEX(MO_Common_QEndDate,0,COLUMN())&gt;TODAY(),_xll.CIQ("$"&amp;HP.TradeCurrency&amp;MO.ReportCurrency,"IQ_LASTSALEPRICE"),_xll.CIQAVG("$"&amp;HP.TradeCurrency&amp;MO.ReportCurrency,"IQ_LASTSALEPRICE",INDEX(MO_SNA_FPStartDate,0,COLUMN()),INDEX(MO_Common_QEndDate,0,COLUMN()))),"N/A")</f>
        <v/>
      </c>
      <c r="G1155" s="1010">
        <f>IFERROR(IF(INDEX(MO_Common_QEndDate,0,COLUMN())&gt;TODAY(),_xll.CIQ("$"&amp;HP.TradeCurrency&amp;MO.ReportCurrency,"IQ_LASTSALEPRICE"),_xll.CIQAVG("$"&amp;HP.TradeCurrency&amp;MO.ReportCurrency,"IQ_LASTSALEPRICE",INDEX(MO_SNA_FPStartDate,0,COLUMN()),INDEX(MO_Common_QEndDate,0,COLUMN()))),"N/A")</f>
        <v/>
      </c>
      <c r="H1155" s="266">
        <f>IFERROR(IF(INDEX(MO_Common_QEndDate,0,COLUMN())&gt;TODAY(),_xll.CIQ("$"&amp;HP.TradeCurrency&amp;MO.ReportCurrency,"IQ_LASTSALEPRICE"),_xll.CIQAVG("$"&amp;HP.TradeCurrency&amp;MO.ReportCurrency,"IQ_LASTSALEPRICE",INDEX(MO_SNA_FPStartDate,0,COLUMN()),INDEX(MO_Common_QEndDate,0,COLUMN()))),"N/A")</f>
        <v/>
      </c>
      <c r="I1155" s="266">
        <f>IFERROR(IF(INDEX(MO_Common_QEndDate,0,COLUMN())&gt;TODAY(),_xll.CIQ("$"&amp;HP.TradeCurrency&amp;MO.ReportCurrency,"IQ_LASTSALEPRICE"),_xll.CIQAVG("$"&amp;HP.TradeCurrency&amp;MO.ReportCurrency,"IQ_LASTSALEPRICE",INDEX(MO_SNA_FPStartDate,0,COLUMN()),INDEX(MO_Common_QEndDate,0,COLUMN()))),"N/A")</f>
        <v/>
      </c>
      <c r="J1155" s="266">
        <f>IFERROR(IF(INDEX(MO_Common_QEndDate,0,COLUMN())&gt;TODAY(),_xll.CIQ("$"&amp;HP.TradeCurrency&amp;MO.ReportCurrency,"IQ_LASTSALEPRICE"),_xll.CIQAVG("$"&amp;HP.TradeCurrency&amp;MO.ReportCurrency,"IQ_LASTSALEPRICE",INDEX(MO_SNA_FPStartDate,0,COLUMN()),INDEX(MO_Common_QEndDate,0,COLUMN()))),"N/A")</f>
        <v/>
      </c>
      <c r="K1155" s="266">
        <f>IFERROR(IF(INDEX(MO_Common_QEndDate,0,COLUMN())&gt;TODAY(),_xll.CIQ("$"&amp;HP.TradeCurrency&amp;MO.ReportCurrency,"IQ_LASTSALEPRICE"),_xll.CIQAVG("$"&amp;HP.TradeCurrency&amp;MO.ReportCurrency,"IQ_LASTSALEPRICE",INDEX(MO_SNA_FPStartDate,0,COLUMN()),INDEX(MO_Common_QEndDate,0,COLUMN()))),"N/A")</f>
        <v/>
      </c>
      <c r="L1155" s="266">
        <f>IFERROR(IF(INDEX(MO_Common_QEndDate,0,COLUMN())&gt;TODAY(),_xll.CIQ("$"&amp;HP.TradeCurrency&amp;MO.ReportCurrency,"IQ_LASTSALEPRICE"),_xll.CIQAVG("$"&amp;HP.TradeCurrency&amp;MO.ReportCurrency,"IQ_LASTSALEPRICE",INDEX(MO_SNA_FPStartDate,0,COLUMN()),INDEX(MO_Common_QEndDate,0,COLUMN()))),"N/A")</f>
        <v/>
      </c>
      <c r="M1155" s="266">
        <f>IFERROR(IF(INDEX(MO_Common_QEndDate,0,COLUMN())&gt;TODAY(),_xll.CIQ("$"&amp;HP.TradeCurrency&amp;MO.ReportCurrency,"IQ_LASTSALEPRICE"),_xll.CIQAVG("$"&amp;HP.TradeCurrency&amp;MO.ReportCurrency,"IQ_LASTSALEPRICE",INDEX(MO_SNA_FPStartDate,0,COLUMN()),INDEX(MO_Common_QEndDate,0,COLUMN()))),"N/A")</f>
        <v/>
      </c>
      <c r="N1155" s="266">
        <f>IFERROR(IF(INDEX(MO_Common_QEndDate,0,COLUMN())&gt;TODAY(),_xll.CIQ("$"&amp;HP.TradeCurrency&amp;MO.ReportCurrency,"IQ_LASTSALEPRICE"),_xll.CIQAVG("$"&amp;HP.TradeCurrency&amp;MO.ReportCurrency,"IQ_LASTSALEPRICE",INDEX(MO_SNA_FPStartDate,0,COLUMN()),INDEX(MO_Common_QEndDate,0,COLUMN()))),"N/A")</f>
        <v/>
      </c>
      <c r="O1155" s="266">
        <f>IFERROR(IF(INDEX(MO_Common_QEndDate,0,COLUMN())&gt;TODAY(),_xll.CIQ("$"&amp;HP.TradeCurrency&amp;MO.ReportCurrency,"IQ_LASTSALEPRICE"),_xll.CIQAVG("$"&amp;HP.TradeCurrency&amp;MO.ReportCurrency,"IQ_LASTSALEPRICE",INDEX(MO_SNA_FPStartDate,0,COLUMN()),INDEX(MO_Common_QEndDate,0,COLUMN()))),"N/A")</f>
        <v/>
      </c>
      <c r="P1155" s="266">
        <f>IFERROR(IF(INDEX(MO_Common_QEndDate,0,COLUMN())&gt;TODAY(),_xll.CIQ("$"&amp;HP.TradeCurrency&amp;MO.ReportCurrency,"IQ_LASTSALEPRICE"),_xll.CIQAVG("$"&amp;HP.TradeCurrency&amp;MO.ReportCurrency,"IQ_LASTSALEPRICE",INDEX(MO_SNA_FPStartDate,0,COLUMN()),INDEX(MO_Common_QEndDate,0,COLUMN()))),"N/A")</f>
        <v/>
      </c>
      <c r="Q1155" s="266">
        <f>IFERROR(IF(INDEX(MO_Common_QEndDate,0,COLUMN())&gt;TODAY(),_xll.CIQ("$"&amp;HP.TradeCurrency&amp;MO.ReportCurrency,"IQ_LASTSALEPRICE"),_xll.CIQAVG("$"&amp;HP.TradeCurrency&amp;MO.ReportCurrency,"IQ_LASTSALEPRICE",INDEX(MO_SNA_FPStartDate,0,COLUMN()),INDEX(MO_Common_QEndDate,0,COLUMN()))),"N/A")</f>
        <v/>
      </c>
      <c r="R1155" s="266">
        <f>IFERROR(IF(INDEX(MO_Common_QEndDate,0,COLUMN())&gt;TODAY(),_xll.CIQ("$"&amp;HP.TradeCurrency&amp;MO.ReportCurrency,"IQ_LASTSALEPRICE"),_xll.CIQAVG("$"&amp;HP.TradeCurrency&amp;MO.ReportCurrency,"IQ_LASTSALEPRICE",INDEX(MO_SNA_FPStartDate,0,COLUMN()),INDEX(MO_Common_QEndDate,0,COLUMN()))),"N/A")</f>
        <v/>
      </c>
      <c r="S1155" s="266">
        <f>IFERROR(IF(INDEX(MO_Common_QEndDate,0,COLUMN())&gt;TODAY(),_xll.CIQ("$"&amp;HP.TradeCurrency&amp;MO.ReportCurrency,"IQ_LASTSALEPRICE"),_xll.CIQAVG("$"&amp;HP.TradeCurrency&amp;MO.ReportCurrency,"IQ_LASTSALEPRICE",INDEX(MO_SNA_FPStartDate,0,COLUMN()),INDEX(MO_Common_QEndDate,0,COLUMN()))),"N/A")</f>
        <v/>
      </c>
      <c r="T1155" s="266">
        <f>IFERROR(IF(INDEX(MO_Common_QEndDate,0,COLUMN())&gt;TODAY(),_xll.CIQ("$"&amp;HP.TradeCurrency&amp;MO.ReportCurrency,"IQ_LASTSALEPRICE"),_xll.CIQAVG("$"&amp;HP.TradeCurrency&amp;MO.ReportCurrency,"IQ_LASTSALEPRICE",INDEX(MO_SNA_FPStartDate,0,COLUMN()),INDEX(MO_Common_QEndDate,0,COLUMN()))),"N/A")</f>
        <v/>
      </c>
      <c r="U1155" s="266">
        <f>IFERROR(IF(INDEX(MO_Common_QEndDate,0,COLUMN())&gt;TODAY(),_xll.CIQ("$"&amp;HP.TradeCurrency&amp;MO.ReportCurrency,"IQ_LASTSALEPRICE"),_xll.CIQAVG("$"&amp;HP.TradeCurrency&amp;MO.ReportCurrency,"IQ_LASTSALEPRICE",INDEX(MO_SNA_FPStartDate,0,COLUMN()),INDEX(MO_Common_QEndDate,0,COLUMN()))),"N/A")</f>
        <v/>
      </c>
      <c r="V1155" s="266">
        <f>IFERROR(IF(INDEX(MO_Common_QEndDate,0,COLUMN())&gt;TODAY(),_xll.CIQ("$"&amp;HP.TradeCurrency&amp;MO.ReportCurrency,"IQ_LASTSALEPRICE"),_xll.CIQAVG("$"&amp;HP.TradeCurrency&amp;MO.ReportCurrency,"IQ_LASTSALEPRICE",INDEX(MO_SNA_FPStartDate,0,COLUMN()),INDEX(MO_Common_QEndDate,0,COLUMN()))),"N/A")</f>
        <v/>
      </c>
      <c r="W1155" s="266">
        <f>IFERROR(IF(INDEX(MO_Common_QEndDate,0,COLUMN())&gt;TODAY(),_xll.CIQ("$"&amp;HP.TradeCurrency&amp;MO.ReportCurrency,"IQ_LASTSALEPRICE"),_xll.CIQAVG("$"&amp;HP.TradeCurrency&amp;MO.ReportCurrency,"IQ_LASTSALEPRICE",INDEX(MO_SNA_FPStartDate,0,COLUMN()),INDEX(MO_Common_QEndDate,0,COLUMN()))),"N/A")</f>
        <v/>
      </c>
      <c r="X1155" s="266">
        <f>IFERROR(IF(INDEX(MO_Common_QEndDate,0,COLUMN())&gt;TODAY(),_xll.CIQ("$"&amp;HP.TradeCurrency&amp;MO.ReportCurrency,"IQ_LASTSALEPRICE"),_xll.CIQAVG("$"&amp;HP.TradeCurrency&amp;MO.ReportCurrency,"IQ_LASTSALEPRICE",INDEX(MO_SNA_FPStartDate,0,COLUMN()),INDEX(MO_Common_QEndDate,0,COLUMN()))),"N/A")</f>
        <v/>
      </c>
      <c r="Y1155" s="266">
        <f>IFERROR(IF(INDEX(MO_Common_QEndDate,0,COLUMN())&gt;TODAY(),_xll.CIQ("$"&amp;HP.TradeCurrency&amp;MO.ReportCurrency,"IQ_LASTSALEPRICE"),_xll.CIQAVG("$"&amp;HP.TradeCurrency&amp;MO.ReportCurrency,"IQ_LASTSALEPRICE",INDEX(MO_SNA_FPStartDate,0,COLUMN()),INDEX(MO_Common_QEndDate,0,COLUMN()))),"N/A")</f>
        <v/>
      </c>
      <c r="Z1155" s="266">
        <f>IFERROR(IF(INDEX(MO_Common_QEndDate,0,COLUMN())&gt;TODAY(),_xll.CIQ("$"&amp;HP.TradeCurrency&amp;MO.ReportCurrency,"IQ_LASTSALEPRICE"),_xll.CIQAVG("$"&amp;HP.TradeCurrency&amp;MO.ReportCurrency,"IQ_LASTSALEPRICE",INDEX(MO_SNA_FPStartDate,0,COLUMN()),INDEX(MO_Common_QEndDate,0,COLUMN()))),"N/A")</f>
        <v/>
      </c>
      <c r="AA1155" s="266">
        <f>IFERROR(IF(INDEX(MO_Common_QEndDate,0,COLUMN())&gt;TODAY(),_xll.CIQ("$"&amp;HP.TradeCurrency&amp;MO.ReportCurrency,"IQ_LASTSALEPRICE"),_xll.CIQAVG("$"&amp;HP.TradeCurrency&amp;MO.ReportCurrency,"IQ_LASTSALEPRICE",INDEX(MO_SNA_FPStartDate,0,COLUMN()),INDEX(MO_Common_QEndDate,0,COLUMN()))),"N/A")</f>
        <v/>
      </c>
      <c r="AB1155" s="266">
        <f>IFERROR(IF(INDEX(MO_Common_QEndDate,0,COLUMN())&gt;TODAY(),_xll.CIQ("$"&amp;HP.TradeCurrency&amp;MO.ReportCurrency,"IQ_LASTSALEPRICE"),_xll.CIQAVG("$"&amp;HP.TradeCurrency&amp;MO.ReportCurrency,"IQ_LASTSALEPRICE",INDEX(MO_SNA_FPStartDate,0,COLUMN()),INDEX(MO_Common_QEndDate,0,COLUMN()))),"N/A")</f>
        <v/>
      </c>
      <c r="AC1155" s="266">
        <f>IFERROR(IF(INDEX(MO_Common_QEndDate,0,COLUMN())&gt;TODAY(),_xll.CIQ("$"&amp;HP.TradeCurrency&amp;MO.ReportCurrency,"IQ_LASTSALEPRICE"),_xll.CIQAVG("$"&amp;HP.TradeCurrency&amp;MO.ReportCurrency,"IQ_LASTSALEPRICE",INDEX(MO_SNA_FPStartDate,0,COLUMN()),INDEX(MO_Common_QEndDate,0,COLUMN()))),"N/A")</f>
        <v/>
      </c>
      <c r="AD1155" s="266">
        <f>IFERROR(IF(INDEX(MO_Common_QEndDate,0,COLUMN())&gt;TODAY(),_xll.CIQ("$"&amp;HP.TradeCurrency&amp;MO.ReportCurrency,"IQ_LASTSALEPRICE"),_xll.CIQAVG("$"&amp;HP.TradeCurrency&amp;MO.ReportCurrency,"IQ_LASTSALEPRICE",INDEX(MO_SNA_FPStartDate,0,COLUMN()),INDEX(MO_Common_QEndDate,0,COLUMN()))),"N/A")</f>
        <v/>
      </c>
      <c r="AE1155" s="266">
        <f>IFERROR(IF(INDEX(MO_Common_QEndDate,0,COLUMN())&gt;TODAY(),_xll.CIQ("$"&amp;HP.TradeCurrency&amp;MO.ReportCurrency,"IQ_LASTSALEPRICE"),_xll.CIQAVG("$"&amp;HP.TradeCurrency&amp;MO.ReportCurrency,"IQ_LASTSALEPRICE",INDEX(MO_SNA_FPStartDate,0,COLUMN()),INDEX(MO_Common_QEndDate,0,COLUMN()))),"N/A")</f>
        <v/>
      </c>
      <c r="AF1155" s="266">
        <f>IFERROR(IF(INDEX(MO_Common_QEndDate,0,COLUMN())&gt;TODAY(),_xll.CIQ("$"&amp;HP.TradeCurrency&amp;MO.ReportCurrency,"IQ_LASTSALEPRICE"),_xll.CIQAVG("$"&amp;HP.TradeCurrency&amp;MO.ReportCurrency,"IQ_LASTSALEPRICE",INDEX(MO_SNA_FPStartDate,0,COLUMN()),INDEX(MO_Common_QEndDate,0,COLUMN()))),"N/A")</f>
        <v/>
      </c>
      <c r="AG1155" s="266">
        <f>IFERROR(IF(INDEX(MO_Common_QEndDate,0,COLUMN())&gt;TODAY(),_xll.CIQ("$"&amp;HP.TradeCurrency&amp;MO.ReportCurrency,"IQ_LASTSALEPRICE"),_xll.CIQAVG("$"&amp;HP.TradeCurrency&amp;MO.ReportCurrency,"IQ_LASTSALEPRICE",INDEX(MO_SNA_FPStartDate,0,COLUMN()),INDEX(MO_Common_QEndDate,0,COLUMN()))),"N/A")</f>
        <v/>
      </c>
      <c r="AH1155" s="266">
        <f>IFERROR(IF(INDEX(MO_Common_QEndDate,0,COLUMN())&gt;TODAY(),_xll.CIQ("$"&amp;HP.TradeCurrency&amp;MO.ReportCurrency,"IQ_LASTSALEPRICE"),_xll.CIQAVG("$"&amp;HP.TradeCurrency&amp;MO.ReportCurrency,"IQ_LASTSALEPRICE",INDEX(MO_SNA_FPStartDate,0,COLUMN()),INDEX(MO_Common_QEndDate,0,COLUMN()))),"N/A")</f>
        <v/>
      </c>
      <c r="AI1155" s="266">
        <f>IFERROR(IF(INDEX(MO_Common_QEndDate,0,COLUMN())&gt;TODAY(),_xll.CIQ("$"&amp;HP.TradeCurrency&amp;MO.ReportCurrency,"IQ_LASTSALEPRICE"),_xll.CIQAVG("$"&amp;HP.TradeCurrency&amp;MO.ReportCurrency,"IQ_LASTSALEPRICE",INDEX(MO_SNA_FPStartDate,0,COLUMN()),INDEX(MO_Common_QEndDate,0,COLUMN()))),"N/A")</f>
        <v/>
      </c>
      <c r="AJ1155" s="266">
        <f>IFERROR(IF(INDEX(MO_Common_QEndDate,0,COLUMN())&gt;TODAY(),_xll.CIQ("$"&amp;HP.TradeCurrency&amp;MO.ReportCurrency,"IQ_LASTSALEPRICE"),_xll.CIQAVG("$"&amp;HP.TradeCurrency&amp;MO.ReportCurrency,"IQ_LASTSALEPRICE",INDEX(MO_SNA_FPStartDate,0,COLUMN()),INDEX(MO_Common_QEndDate,0,COLUMN()))),"N/A")</f>
        <v/>
      </c>
      <c r="AK1155" s="266">
        <f>IFERROR(IF(INDEX(MO_Common_QEndDate,0,COLUMN())&gt;TODAY(),_xll.CIQ("$"&amp;HP.TradeCurrency&amp;MO.ReportCurrency,"IQ_LASTSALEPRICE"),_xll.CIQAVG("$"&amp;HP.TradeCurrency&amp;MO.ReportCurrency,"IQ_LASTSALEPRICE",INDEX(MO_SNA_FPStartDate,0,COLUMN()),INDEX(MO_Common_QEndDate,0,COLUMN()))),"N/A")</f>
        <v/>
      </c>
      <c r="AL1155" s="266">
        <f>IFERROR(IF(INDEX(MO_Common_QEndDate,0,COLUMN())&gt;TODAY(),_xll.CIQ("$"&amp;HP.TradeCurrency&amp;MO.ReportCurrency,"IQ_LASTSALEPRICE"),_xll.CIQAVG("$"&amp;HP.TradeCurrency&amp;MO.ReportCurrency,"IQ_LASTSALEPRICE",INDEX(MO_SNA_FPStartDate,0,COLUMN()),INDEX(MO_Common_QEndDate,0,COLUMN()))),"N/A")</f>
        <v/>
      </c>
      <c r="AM1155" s="266">
        <f>IFERROR(IF(INDEX(MO_Common_QEndDate,0,COLUMN())&gt;TODAY(),_xll.CIQ("$"&amp;HP.TradeCurrency&amp;MO.ReportCurrency,"IQ_LASTSALEPRICE"),_xll.CIQAVG("$"&amp;HP.TradeCurrency&amp;MO.ReportCurrency,"IQ_LASTSALEPRICE",INDEX(MO_SNA_FPStartDate,0,COLUMN()),INDEX(MO_Common_QEndDate,0,COLUMN()))),"N/A")</f>
        <v/>
      </c>
      <c r="AN1155" s="266">
        <f>IFERROR(IF(INDEX(MO_Common_QEndDate,0,COLUMN())&gt;TODAY(),_xll.CIQ("$"&amp;HP.TradeCurrency&amp;MO.ReportCurrency,"IQ_LASTSALEPRICE"),_xll.CIQAVG("$"&amp;HP.TradeCurrency&amp;MO.ReportCurrency,"IQ_LASTSALEPRICE",INDEX(MO_SNA_FPStartDate,0,COLUMN()),INDEX(MO_Common_QEndDate,0,COLUMN()))),"N/A")</f>
        <v/>
      </c>
      <c r="AO1155" s="266">
        <f>IFERROR(IF(INDEX(MO_Common_QEndDate,0,COLUMN())&gt;TODAY(),_xll.CIQ("$"&amp;HP.TradeCurrency&amp;MO.ReportCurrency,"IQ_LASTSALEPRICE"),_xll.CIQAVG("$"&amp;HP.TradeCurrency&amp;MO.ReportCurrency,"IQ_LASTSALEPRICE",INDEX(MO_SNA_FPStartDate,0,COLUMN()),INDEX(MO_Common_QEndDate,0,COLUMN()))),"N/A")</f>
        <v/>
      </c>
      <c r="AP1155" s="266">
        <f>IFERROR(IF(INDEX(MO_Common_QEndDate,0,COLUMN())&gt;TODAY(),_xll.CIQ("$"&amp;HP.TradeCurrency&amp;MO.ReportCurrency,"IQ_LASTSALEPRICE"),_xll.CIQAVG("$"&amp;HP.TradeCurrency&amp;MO.ReportCurrency,"IQ_LASTSALEPRICE",INDEX(MO_SNA_FPStartDate,0,COLUMN()),INDEX(MO_Common_QEndDate,0,COLUMN()))),"N/A")</f>
        <v/>
      </c>
      <c r="AQ1155" s="266">
        <f>IFERROR(IF(INDEX(MO_Common_QEndDate,0,COLUMN())&gt;TODAY(),_xll.CIQ("$"&amp;HP.TradeCurrency&amp;MO.ReportCurrency,"IQ_LASTSALEPRICE"),_xll.CIQAVG("$"&amp;HP.TradeCurrency&amp;MO.ReportCurrency,"IQ_LASTSALEPRICE",INDEX(MO_SNA_FPStartDate,0,COLUMN()),INDEX(MO_Common_QEndDate,0,COLUMN()))),"N/A")</f>
        <v/>
      </c>
      <c r="AR1155" s="266">
        <f>IFERROR(IF(INDEX(MO_Common_QEndDate,0,COLUMN())&gt;TODAY(),_xll.CIQ("$"&amp;HP.TradeCurrency&amp;MO.ReportCurrency,"IQ_LASTSALEPRICE"),_xll.CIQAVG("$"&amp;HP.TradeCurrency&amp;MO.ReportCurrency,"IQ_LASTSALEPRICE",INDEX(MO_SNA_FPStartDate,0,COLUMN()),INDEX(MO_Common_QEndDate,0,COLUMN()))),"N/A")</f>
        <v/>
      </c>
      <c r="AS1155" s="266">
        <f>IFERROR(IF(INDEX(MO_Common_QEndDate,0,COLUMN())&gt;TODAY(),_xll.CIQ("$"&amp;HP.TradeCurrency&amp;MO.ReportCurrency,"IQ_LASTSALEPRICE"),_xll.CIQAVG("$"&amp;HP.TradeCurrency&amp;MO.ReportCurrency,"IQ_LASTSALEPRICE",INDEX(MO_SNA_FPStartDate,0,COLUMN()),INDEX(MO_Common_QEndDate,0,COLUMN()))),"N/A")</f>
        <v/>
      </c>
      <c r="AT1155" s="266">
        <f>IFERROR(IF(INDEX(MO_Common_QEndDate,0,COLUMN())&gt;TODAY(),_xll.CIQ("$"&amp;HP.TradeCurrency&amp;MO.ReportCurrency,"IQ_LASTSALEPRICE"),_xll.CIQAVG("$"&amp;HP.TradeCurrency&amp;MO.ReportCurrency,"IQ_LASTSALEPRICE",INDEX(MO_SNA_FPStartDate,0,COLUMN()),INDEX(MO_Common_QEndDate,0,COLUMN()))),"N/A")</f>
        <v/>
      </c>
      <c r="AU1155" s="266">
        <f>IFERROR(IF(INDEX(MO_Common_QEndDate,0,COLUMN())&gt;TODAY(),_xll.CIQ("$"&amp;HP.TradeCurrency&amp;MO.ReportCurrency,"IQ_LASTSALEPRICE"),_xll.CIQAVG("$"&amp;HP.TradeCurrency&amp;MO.ReportCurrency,"IQ_LASTSALEPRICE",INDEX(MO_SNA_FPStartDate,0,COLUMN()),INDEX(MO_Common_QEndDate,0,COLUMN()))),"N/A")</f>
        <v/>
      </c>
      <c r="AV1155" s="266">
        <f>IFERROR(IF(INDEX(MO_Common_QEndDate,0,COLUMN())&gt;TODAY(),_xll.CIQ("$"&amp;HP.TradeCurrency&amp;MO.ReportCurrency,"IQ_LASTSALEPRICE"),_xll.CIQAVG("$"&amp;HP.TradeCurrency&amp;MO.ReportCurrency,"IQ_LASTSALEPRICE",INDEX(MO_SNA_FPStartDate,0,COLUMN()),INDEX(MO_Common_QEndDate,0,COLUMN()))),"N/A")</f>
        <v/>
      </c>
      <c r="AW1155" s="266">
        <f>IFERROR(IF(INDEX(MO_Common_QEndDate,0,COLUMN())&gt;TODAY(),_xll.CIQ("$"&amp;HP.TradeCurrency&amp;MO.ReportCurrency,"IQ_LASTSALEPRICE"),_xll.CIQAVG("$"&amp;HP.TradeCurrency&amp;MO.ReportCurrency,"IQ_LASTSALEPRICE",INDEX(MO_SNA_FPStartDate,0,COLUMN()),INDEX(MO_Common_QEndDate,0,COLUMN()))),"N/A")</f>
        <v/>
      </c>
      <c r="AX1155" s="266">
        <f>IFERROR(IF(INDEX(MO_Common_QEndDate,0,COLUMN())&gt;TODAY(),_xll.CIQ("$"&amp;HP.TradeCurrency&amp;MO.ReportCurrency,"IQ_LASTSALEPRICE"),_xll.CIQAVG("$"&amp;HP.TradeCurrency&amp;MO.ReportCurrency,"IQ_LASTSALEPRICE",INDEX(MO_SNA_FPStartDate,0,COLUMN()),INDEX(MO_Common_QEndDate,0,COLUMN()))),"N/A")</f>
        <v/>
      </c>
      <c r="AY1155" s="266">
        <f>IFERROR(IF(INDEX(MO_Common_QEndDate,0,COLUMN())&gt;TODAY(),_xll.CIQ("$"&amp;HP.TradeCurrency&amp;MO.ReportCurrency,"IQ_LASTSALEPRICE"),_xll.CIQAVG("$"&amp;HP.TradeCurrency&amp;MO.ReportCurrency,"IQ_LASTSALEPRICE",INDEX(MO_SNA_FPStartDate,0,COLUMN()),INDEX(MO_Common_QEndDate,0,COLUMN()))),"N/A")</f>
        <v/>
      </c>
      <c r="AZ1155" s="266">
        <f>IFERROR(IF(INDEX(MO_Common_QEndDate,0,COLUMN())&gt;TODAY(),_xll.CIQ("$"&amp;HP.TradeCurrency&amp;MO.ReportCurrency,"IQ_LASTSALEPRICE"),_xll.CIQAVG("$"&amp;HP.TradeCurrency&amp;MO.ReportCurrency,"IQ_LASTSALEPRICE",INDEX(MO_SNA_FPStartDate,0,COLUMN()),INDEX(MO_Common_QEndDate,0,COLUMN()))),"N/A")</f>
        <v/>
      </c>
      <c r="BA1155" s="266">
        <f>IFERROR(IF(INDEX(MO_Common_QEndDate,0,COLUMN())&gt;TODAY(),_xll.CIQ("$"&amp;HP.TradeCurrency&amp;MO.ReportCurrency,"IQ_LASTSALEPRICE"),_xll.CIQAVG("$"&amp;HP.TradeCurrency&amp;MO.ReportCurrency,"IQ_LASTSALEPRICE",INDEX(MO_SNA_FPStartDate,0,COLUMN()),INDEX(MO_Common_QEndDate,0,COLUMN()))),"N/A")</f>
        <v/>
      </c>
      <c r="BB1155" s="266">
        <f>IFERROR(IF(INDEX(MO_Common_QEndDate,0,COLUMN())&gt;TODAY(),_xll.CIQ("$"&amp;HP.TradeCurrency&amp;MO.ReportCurrency,"IQ_LASTSALEPRICE"),_xll.CIQAVG("$"&amp;HP.TradeCurrency&amp;MO.ReportCurrency,"IQ_LASTSALEPRICE",INDEX(MO_SNA_FPStartDate,0,COLUMN()),INDEX(MO_Common_QEndDate,0,COLUMN()))),"N/A")</f>
        <v/>
      </c>
      <c r="BC1155" s="266">
        <f>IFERROR(IF(INDEX(MO_Common_QEndDate,0,COLUMN())&gt;TODAY(),_xll.CIQ("$"&amp;HP.TradeCurrency&amp;MO.ReportCurrency,"IQ_LASTSALEPRICE"),_xll.CIQAVG("$"&amp;HP.TradeCurrency&amp;MO.ReportCurrency,"IQ_LASTSALEPRICE",INDEX(MO_SNA_FPStartDate,0,COLUMN()),INDEX(MO_Common_QEndDate,0,COLUMN()))),"N/A")</f>
        <v/>
      </c>
      <c r="BD1155" s="266">
        <f>IFERROR(IF(INDEX(MO_Common_QEndDate,0,COLUMN())&gt;TODAY(),_xll.CIQ("$"&amp;HP.TradeCurrency&amp;MO.ReportCurrency,"IQ_LASTSALEPRICE"),_xll.CIQAVG("$"&amp;HP.TradeCurrency&amp;MO.ReportCurrency,"IQ_LASTSALEPRICE",INDEX(MO_SNA_FPStartDate,0,COLUMN()),INDEX(MO_Common_QEndDate,0,COLUMN()))),"N/A")</f>
        <v/>
      </c>
      <c r="BE1155" s="266">
        <f>IFERROR(IF(INDEX(MO_Common_QEndDate,0,COLUMN())&gt;TODAY(),_xll.CIQ("$"&amp;HP.TradeCurrency&amp;MO.ReportCurrency,"IQ_LASTSALEPRICE"),_xll.CIQAVG("$"&amp;HP.TradeCurrency&amp;MO.ReportCurrency,"IQ_LASTSALEPRICE",INDEX(MO_SNA_FPStartDate,0,COLUMN()),INDEX(MO_Common_QEndDate,0,COLUMN()))),"N/A")</f>
        <v/>
      </c>
      <c r="BF1155" s="266">
        <f>IFERROR(IF(INDEX(MO_Common_QEndDate,0,COLUMN())&gt;TODAY(),_xll.CIQ("$"&amp;HP.TradeCurrency&amp;MO.ReportCurrency,"IQ_LASTSALEPRICE"),_xll.CIQAVG("$"&amp;HP.TradeCurrency&amp;MO.ReportCurrency,"IQ_LASTSALEPRICE",INDEX(MO_SNA_FPStartDate,0,COLUMN()),INDEX(MO_Common_QEndDate,0,COLUMN()))),"N/A")</f>
        <v/>
      </c>
      <c r="BG1155" s="266">
        <f>IFERROR(IF(INDEX(MO_Common_QEndDate,0,COLUMN())&gt;TODAY(),_xll.CIQ("$"&amp;HP.TradeCurrency&amp;MO.ReportCurrency,"IQ_LASTSALEPRICE"),_xll.CIQAVG("$"&amp;HP.TradeCurrency&amp;MO.ReportCurrency,"IQ_LASTSALEPRICE",INDEX(MO_SNA_FPStartDate,0,COLUMN()),INDEX(MO_Common_QEndDate,0,COLUMN()))),"N/A")</f>
        <v/>
      </c>
      <c r="BH1155" s="266">
        <f>IFERROR(IF(INDEX(MO_Common_QEndDate,0,COLUMN())&gt;TODAY(),_xll.CIQ("$"&amp;HP.TradeCurrency&amp;MO.ReportCurrency,"IQ_LASTSALEPRICE"),_xll.CIQAVG("$"&amp;HP.TradeCurrency&amp;MO.ReportCurrency,"IQ_LASTSALEPRICE",INDEX(MO_SNA_FPStartDate,0,COLUMN()),INDEX(MO_Common_QEndDate,0,COLUMN()))),"N/A")</f>
        <v/>
      </c>
      <c r="BI1155" s="266">
        <f>IFERROR(IF(INDEX(MO_Common_QEndDate,0,COLUMN())&gt;TODAY(),_xll.CIQ("$"&amp;HP.TradeCurrency&amp;MO.ReportCurrency,"IQ_LASTSALEPRICE"),_xll.CIQAVG("$"&amp;HP.TradeCurrency&amp;MO.ReportCurrency,"IQ_LASTSALEPRICE",INDEX(MO_SNA_FPStartDate,0,COLUMN()),INDEX(MO_Common_QEndDate,0,COLUMN()))),"N/A")</f>
        <v/>
      </c>
      <c r="BJ1155" s="266">
        <f>IFERROR(IF(INDEX(MO_Common_QEndDate,0,COLUMN())&gt;TODAY(),_xll.CIQ("$"&amp;HP.TradeCurrency&amp;MO.ReportCurrency,"IQ_LASTSALEPRICE"),_xll.CIQAVG("$"&amp;HP.TradeCurrency&amp;MO.ReportCurrency,"IQ_LASTSALEPRICE",INDEX(MO_SNA_FPStartDate,0,COLUMN()),INDEX(MO_Common_QEndDate,0,COLUMN()))),"N/A")</f>
        <v/>
      </c>
      <c r="BK1155" s="266">
        <f>IFERROR(IF(INDEX(MO_Common_QEndDate,0,COLUMN())&gt;TODAY(),_xll.CIQ("$"&amp;HP.TradeCurrency&amp;MO.ReportCurrency,"IQ_LASTSALEPRICE"),_xll.CIQAVG("$"&amp;HP.TradeCurrency&amp;MO.ReportCurrency,"IQ_LASTSALEPRICE",INDEX(MO_SNA_FPStartDate,0,COLUMN()),INDEX(MO_Common_QEndDate,0,COLUMN()))),"N/A")</f>
        <v/>
      </c>
      <c r="BL1155" s="266">
        <f>IFERROR(IF(INDEX(MO_Common_QEndDate,0,COLUMN())&gt;TODAY(),_xll.CIQ("$"&amp;HP.TradeCurrency&amp;MO.ReportCurrency,"IQ_LASTSALEPRICE"),_xll.CIQAVG("$"&amp;HP.TradeCurrency&amp;MO.ReportCurrency,"IQ_LASTSALEPRICE",INDEX(MO_SNA_FPStartDate,0,COLUMN()),INDEX(MO_Common_QEndDate,0,COLUMN()))),"N/A")</f>
        <v/>
      </c>
      <c r="BM1155" s="266">
        <f>IFERROR(IF(INDEX(MO_Common_QEndDate,0,COLUMN())&gt;TODAY(),_xll.CIQ("$"&amp;HP.TradeCurrency&amp;MO.ReportCurrency,"IQ_LASTSALEPRICE"),_xll.CIQAVG("$"&amp;HP.TradeCurrency&amp;MO.ReportCurrency,"IQ_LASTSALEPRICE",INDEX(MO_SNA_FPStartDate,0,COLUMN()),INDEX(MO_Common_QEndDate,0,COLUMN()))),"N/A")</f>
        <v/>
      </c>
      <c r="BN1155" s="266">
        <f>IFERROR(IF(INDEX(MO_Common_QEndDate,0,COLUMN())&gt;TODAY(),_xll.CIQ("$"&amp;HP.TradeCurrency&amp;MO.ReportCurrency,"IQ_LASTSALEPRICE"),_xll.CIQAVG("$"&amp;HP.TradeCurrency&amp;MO.ReportCurrency,"IQ_LASTSALEPRICE",INDEX(MO_SNA_FPStartDate,0,COLUMN()),INDEX(MO_Common_QEndDate,0,COLUMN()))),"N/A")</f>
        <v/>
      </c>
      <c r="BO1155" s="266">
        <f>IFERROR(IF(INDEX(MO_Common_QEndDate,0,COLUMN())&gt;TODAY(),_xll.CIQ("$"&amp;HP.TradeCurrency&amp;MO.ReportCurrency,"IQ_LASTSALEPRICE"),_xll.CIQAVG("$"&amp;HP.TradeCurrency&amp;MO.ReportCurrency,"IQ_LASTSALEPRICE",INDEX(MO_SNA_FPStartDate,0,COLUMN()),INDEX(MO_Common_QEndDate,0,COLUMN()))),"N/A")</f>
        <v/>
      </c>
      <c r="BP1155" s="266">
        <f>IFERROR(IF(INDEX(MO_Common_QEndDate,0,COLUMN())&gt;TODAY(),_xll.CIQ("$"&amp;HP.TradeCurrency&amp;MO.ReportCurrency,"IQ_LASTSALEPRICE"),_xll.CIQAVG("$"&amp;HP.TradeCurrency&amp;MO.ReportCurrency,"IQ_LASTSALEPRICE",INDEX(MO_SNA_FPStartDate,0,COLUMN()),INDEX(MO_Common_QEndDate,0,COLUMN()))),"N/A")</f>
        <v/>
      </c>
      <c r="BQ1155" s="266">
        <f>IFERROR(IF(INDEX(MO_Common_QEndDate,0,COLUMN())&gt;TODAY(),_xll.CIQ("$"&amp;HP.TradeCurrency&amp;MO.ReportCurrency,"IQ_LASTSALEPRICE"),_xll.CIQAVG("$"&amp;HP.TradeCurrency&amp;MO.ReportCurrency,"IQ_LASTSALEPRICE",INDEX(MO_SNA_FPStartDate,0,COLUMN()),INDEX(MO_Common_QEndDate,0,COLUMN()))),"N/A")</f>
        <v/>
      </c>
      <c r="BR1155" s="266">
        <f>IFERROR(IF(INDEX(MO_Common_QEndDate,0,COLUMN())&gt;TODAY(),_xll.CIQ("$"&amp;HP.TradeCurrency&amp;MO.ReportCurrency,"IQ_LASTSALEPRICE"),_xll.CIQAVG("$"&amp;HP.TradeCurrency&amp;MO.ReportCurrency,"IQ_LASTSALEPRICE",INDEX(MO_SNA_FPStartDate,0,COLUMN()),INDEX(MO_Common_QEndDate,0,COLUMN()))),"N/A")</f>
        <v/>
      </c>
      <c r="BS1155" s="266">
        <f>IFERROR(IF(INDEX(MO_Common_QEndDate,0,COLUMN())&gt;TODAY(),_xll.CIQ("$"&amp;HP.TradeCurrency&amp;MO.ReportCurrency,"IQ_LASTSALEPRICE"),_xll.CIQAVG("$"&amp;HP.TradeCurrency&amp;MO.ReportCurrency,"IQ_LASTSALEPRICE",INDEX(MO_SNA_FPStartDate,0,COLUMN()),INDEX(MO_Common_QEndDate,0,COLUMN()))),"N/A")</f>
        <v/>
      </c>
      <c r="BT1155" s="266">
        <f>IFERROR(IF(INDEX(MO_Common_QEndDate,0,COLUMN())&gt;TODAY(),_xll.CIQ("$"&amp;HP.TradeCurrency&amp;MO.ReportCurrency,"IQ_LASTSALEPRICE"),_xll.CIQAVG("$"&amp;HP.TradeCurrency&amp;MO.ReportCurrency,"IQ_LASTSALEPRICE",INDEX(MO_SNA_FPStartDate,0,COLUMN()),INDEX(MO_Common_QEndDate,0,COLUMN()))),"N/A")</f>
        <v/>
      </c>
      <c r="BU1155" s="266">
        <f>IFERROR(IF(INDEX(MO_Common_QEndDate,0,COLUMN())&gt;TODAY(),_xll.CIQ("$"&amp;HP.TradeCurrency&amp;MO.ReportCurrency,"IQ_LASTSALEPRICE"),_xll.CIQAVG("$"&amp;HP.TradeCurrency&amp;MO.ReportCurrency,"IQ_LASTSALEPRICE",INDEX(MO_SNA_FPStartDate,0,COLUMN()),INDEX(MO_Common_QEndDate,0,COLUMN()))),"N/A")</f>
        <v/>
      </c>
      <c r="BV1155" s="535">
        <f>IFERROR(IF(INDEX(MO_Common_QEndDate,0,COLUMN())&gt;TODAY(),_xll.CIQ("$"&amp;HP.TradeCurrency&amp;MO.ReportCurrency,"IQ_LASTSALEPRICE"),_xll.CIQAVG("$"&amp;HP.TradeCurrency&amp;MO.ReportCurrency,"IQ_LASTSALEPRICE",INDEX(MO_SNA_FPStartDate,0,COLUMN()),INDEX(MO_Common_QEndDate,0,COLUMN()))),"N/A")</f>
        <v/>
      </c>
      <c r="BW1155" s="266">
        <f>IFERROR(IF(INDEX(MO_Common_QEndDate,0,COLUMN())&gt;TODAY(),_xll.CIQ("$"&amp;HP.TradeCurrency&amp;MO.ReportCurrency,"IQ_LASTSALEPRICE"),_xll.CIQAVG("$"&amp;HP.TradeCurrency&amp;MO.ReportCurrency,"IQ_LASTSALEPRICE",INDEX(MO_SNA_FPStartDate,0,COLUMN()),INDEX(MO_Common_QEndDate,0,COLUMN()))),"N/A")</f>
        <v/>
      </c>
      <c r="BX1155" s="266">
        <f>IFERROR(IF(INDEX(MO_Common_QEndDate,0,COLUMN())&gt;TODAY(),_xll.CIQ("$"&amp;HP.TradeCurrency&amp;MO.ReportCurrency,"IQ_LASTSALEPRICE"),_xll.CIQAVG("$"&amp;HP.TradeCurrency&amp;MO.ReportCurrency,"IQ_LASTSALEPRICE",INDEX(MO_SNA_FPStartDate,0,COLUMN()),INDEX(MO_Common_QEndDate,0,COLUMN()))),"N/A")</f>
        <v/>
      </c>
      <c r="BY1155" s="266">
        <f>IFERROR(IF(INDEX(MO_Common_QEndDate,0,COLUMN())&gt;TODAY(),_xll.CIQ("$"&amp;HP.TradeCurrency&amp;MO.ReportCurrency,"IQ_LASTSALEPRICE"),_xll.CIQAVG("$"&amp;HP.TradeCurrency&amp;MO.ReportCurrency,"IQ_LASTSALEPRICE",INDEX(MO_SNA_FPStartDate,0,COLUMN()),INDEX(MO_Common_QEndDate,0,COLUMN()))),"N/A")</f>
        <v/>
      </c>
      <c r="BZ1155" s="266">
        <f>IFERROR(IF(INDEX(MO_Common_QEndDate,0,COLUMN())&gt;TODAY(),_xll.CIQ("$"&amp;HP.TradeCurrency&amp;MO.ReportCurrency,"IQ_LASTSALEPRICE"),_xll.CIQAVG("$"&amp;HP.TradeCurrency&amp;MO.ReportCurrency,"IQ_LASTSALEPRICE",INDEX(MO_SNA_FPStartDate,0,COLUMN()),INDEX(MO_Common_QEndDate,0,COLUMN()))),"N/A")</f>
        <v/>
      </c>
      <c r="CA1155" s="266">
        <f>IFERROR(IF(INDEX(MO_Common_QEndDate,0,COLUMN())&gt;TODAY(),_xll.CIQ("$"&amp;HP.TradeCurrency&amp;MO.ReportCurrency,"IQ_LASTSALEPRICE"),_xll.CIQAVG("$"&amp;HP.TradeCurrency&amp;MO.ReportCurrency,"IQ_LASTSALEPRICE",INDEX(MO_SNA_FPStartDate,0,COLUMN()),INDEX(MO_Common_QEndDate,0,COLUMN()))),"N/A")</f>
        <v/>
      </c>
      <c r="CB1155" s="266">
        <f>IFERROR(IF(INDEX(MO_Common_QEndDate,0,COLUMN())&gt;TODAY(),_xll.CIQ("$"&amp;HP.TradeCurrency&amp;MO.ReportCurrency,"IQ_LASTSALEPRICE"),_xll.CIQAVG("$"&amp;HP.TradeCurrency&amp;MO.ReportCurrency,"IQ_LASTSALEPRICE",INDEX(MO_SNA_FPStartDate,0,COLUMN()),INDEX(MO_Common_QEndDate,0,COLUMN()))),"N/A")</f>
        <v/>
      </c>
      <c r="CC1155" s="266">
        <f>IFERROR(IF(INDEX(MO_Common_QEndDate,0,COLUMN())&gt;TODAY(),_xll.CIQ("$"&amp;HP.TradeCurrency&amp;MO.ReportCurrency,"IQ_LASTSALEPRICE"),_xll.CIQAVG("$"&amp;HP.TradeCurrency&amp;MO.ReportCurrency,"IQ_LASTSALEPRICE",INDEX(MO_SNA_FPStartDate,0,COLUMN()),INDEX(MO_Common_QEndDate,0,COLUMN()))),"N/A")</f>
        <v/>
      </c>
      <c r="CD1155" s="266">
        <f>IFERROR(IF(INDEX(MO_Common_QEndDate,0,COLUMN())&gt;TODAY(),_xll.CIQ("$"&amp;HP.TradeCurrency&amp;MO.ReportCurrency,"IQ_LASTSALEPRICE"),_xll.CIQAVG("$"&amp;HP.TradeCurrency&amp;MO.ReportCurrency,"IQ_LASTSALEPRICE",INDEX(MO_SNA_FPStartDate,0,COLUMN()),INDEX(MO_Common_QEndDate,0,COLUMN()))),"N/A")</f>
        <v/>
      </c>
      <c r="CE1155" s="266">
        <f>IFERROR(IF(INDEX(MO_Common_QEndDate,0,COLUMN())&gt;TODAY(),_xll.CIQ("$"&amp;HP.TradeCurrency&amp;MO.ReportCurrency,"IQ_LASTSALEPRICE"),_xll.CIQAVG("$"&amp;HP.TradeCurrency&amp;MO.ReportCurrency,"IQ_LASTSALEPRICE",INDEX(MO_SNA_FPStartDate,0,COLUMN()),INDEX(MO_Common_QEndDate,0,COLUMN()))),"N/A")</f>
        <v/>
      </c>
      <c r="CF1155" s="267">
        <f>IFERROR(IF(INDEX(MO_Common_QEndDate,0,COLUMN())&gt;TODAY(),_xll.CIQ("$"&amp;HP.TradeCurrency&amp;MO.ReportCurrency,"IQ_LASTSALEPRICE"),_xll.CIQAVG("$"&amp;HP.TradeCurrency&amp;MO.ReportCurrency,"IQ_LASTSALEPRICE",INDEX(MO_SNA_FPStartDate,0,COLUMN()),INDEX(MO_Common_QEndDate,0,COLUMN()))),"N/A")</f>
        <v/>
      </c>
      <c r="CG1155" s="155" t="n"/>
    </row>
    <row r="1156" hidden="1" outlineLevel="1">
      <c r="A1156" s="268" t="inlineStr">
        <is>
          <t>FactSet</t>
        </is>
      </c>
      <c r="B1156" s="266" t="n"/>
      <c r="C1156" s="1010">
        <f>IFERROR(IF(INDEX(MO_Common_QEndDate,0,COLUMN())&gt;TODAY(),_xll.FDS(MO.ReportCurrency&amp;HP.TradeCurrency,"FG_PRICE(NOW)"),_xll.FDS(MO.ReportCurrency&amp;HP.TradeCurrency,"P_PRICE_AVG("&amp;INDEX(MO_SNA_FPStartDate,0,COLUMN())&amp;","&amp;INDEX(MO_Common_QEndDate,0,COLUMN())&amp;",,,,0)")),"N/A")</f>
        <v/>
      </c>
      <c r="D1156" s="1010">
        <f>IFERROR(IF(INDEX(MO_Common_QEndDate,0,COLUMN())&gt;TODAY(),_xll.FDS(MO.ReportCurrency&amp;HP.TradeCurrency,"FG_PRICE(NOW)"),_xll.FDS(MO.ReportCurrency&amp;HP.TradeCurrency,"P_PRICE_AVG("&amp;INDEX(MO_SNA_FPStartDate,0,COLUMN())&amp;","&amp;INDEX(MO_Common_QEndDate,0,COLUMN())&amp;",,,,0)")),"N/A")</f>
        <v/>
      </c>
      <c r="E1156" s="1010">
        <f>IFERROR(IF(INDEX(MO_Common_QEndDate,0,COLUMN())&gt;TODAY(),_xll.FDS(MO.ReportCurrency&amp;HP.TradeCurrency,"FG_PRICE(NOW)"),_xll.FDS(MO.ReportCurrency&amp;HP.TradeCurrency,"P_PRICE_AVG("&amp;INDEX(MO_SNA_FPStartDate,0,COLUMN())&amp;","&amp;INDEX(MO_Common_QEndDate,0,COLUMN())&amp;",,,,0)")),"N/A")</f>
        <v/>
      </c>
      <c r="F1156" s="1010">
        <f>IFERROR(IF(INDEX(MO_Common_QEndDate,0,COLUMN())&gt;TODAY(),_xll.FDS(MO.ReportCurrency&amp;HP.TradeCurrency,"FG_PRICE(NOW)"),_xll.FDS(MO.ReportCurrency&amp;HP.TradeCurrency,"P_PRICE_AVG("&amp;INDEX(MO_SNA_FPStartDate,0,COLUMN())&amp;","&amp;INDEX(MO_Common_QEndDate,0,COLUMN())&amp;",,,,0)")),"N/A")</f>
        <v/>
      </c>
      <c r="G1156" s="1010">
        <f>IFERROR(IF(INDEX(MO_Common_QEndDate,0,COLUMN())&gt;TODAY(),_xll.FDS(MO.ReportCurrency&amp;HP.TradeCurrency,"FG_PRICE(NOW)"),_xll.FDS(MO.ReportCurrency&amp;HP.TradeCurrency,"P_PRICE_AVG("&amp;INDEX(MO_SNA_FPStartDate,0,COLUMN())&amp;","&amp;INDEX(MO_Common_QEndDate,0,COLUMN())&amp;",,,,0)")),"N/A")</f>
        <v/>
      </c>
      <c r="H1156" s="266">
        <f>IFERROR(IF(INDEX(MO_Common_QEndDate,0,COLUMN())&gt;TODAY(),_xll.FDS(MO.ReportCurrency&amp;HP.TradeCurrency,"FG_PRICE(NOW)"),_xll.FDS(MO.ReportCurrency&amp;HP.TradeCurrency,"P_PRICE_AVG("&amp;INDEX(MO_SNA_FPStartDate,0,COLUMN())&amp;","&amp;INDEX(MO_Common_QEndDate,0,COLUMN())&amp;",,,,0)")),"N/A")</f>
        <v/>
      </c>
      <c r="I1156" s="266">
        <f>IFERROR(IF(INDEX(MO_Common_QEndDate,0,COLUMN())&gt;TODAY(),_xll.FDS(MO.ReportCurrency&amp;HP.TradeCurrency,"FG_PRICE(NOW)"),_xll.FDS(MO.ReportCurrency&amp;HP.TradeCurrency,"P_PRICE_AVG("&amp;INDEX(MO_SNA_FPStartDate,0,COLUMN())&amp;","&amp;INDEX(MO_Common_QEndDate,0,COLUMN())&amp;",,,,0)")),"N/A")</f>
        <v/>
      </c>
      <c r="J1156" s="266">
        <f>IFERROR(IF(INDEX(MO_Common_QEndDate,0,COLUMN())&gt;TODAY(),_xll.FDS(MO.ReportCurrency&amp;HP.TradeCurrency,"FG_PRICE(NOW)"),_xll.FDS(MO.ReportCurrency&amp;HP.TradeCurrency,"P_PRICE_AVG("&amp;INDEX(MO_SNA_FPStartDate,0,COLUMN())&amp;","&amp;INDEX(MO_Common_QEndDate,0,COLUMN())&amp;",,,,0)")),"N/A")</f>
        <v/>
      </c>
      <c r="K1156" s="266">
        <f>IFERROR(IF(INDEX(MO_Common_QEndDate,0,COLUMN())&gt;TODAY(),_xll.FDS(MO.ReportCurrency&amp;HP.TradeCurrency,"FG_PRICE(NOW)"),_xll.FDS(MO.ReportCurrency&amp;HP.TradeCurrency,"P_PRICE_AVG("&amp;INDEX(MO_SNA_FPStartDate,0,COLUMN())&amp;","&amp;INDEX(MO_Common_QEndDate,0,COLUMN())&amp;",,,,0)")),"N/A")</f>
        <v/>
      </c>
      <c r="L1156" s="266">
        <f>IFERROR(IF(INDEX(MO_Common_QEndDate,0,COLUMN())&gt;TODAY(),_xll.FDS(MO.ReportCurrency&amp;HP.TradeCurrency,"FG_PRICE(NOW)"),_xll.FDS(MO.ReportCurrency&amp;HP.TradeCurrency,"P_PRICE_AVG("&amp;INDEX(MO_SNA_FPStartDate,0,COLUMN())&amp;","&amp;INDEX(MO_Common_QEndDate,0,COLUMN())&amp;",,,,0)")),"N/A")</f>
        <v/>
      </c>
      <c r="M1156" s="266">
        <f>IFERROR(IF(INDEX(MO_Common_QEndDate,0,COLUMN())&gt;TODAY(),_xll.FDS(MO.ReportCurrency&amp;HP.TradeCurrency,"FG_PRICE(NOW)"),_xll.FDS(MO.ReportCurrency&amp;HP.TradeCurrency,"P_PRICE_AVG("&amp;INDEX(MO_SNA_FPStartDate,0,COLUMN())&amp;","&amp;INDEX(MO_Common_QEndDate,0,COLUMN())&amp;",,,,0)")),"N/A")</f>
        <v/>
      </c>
      <c r="N1156" s="266">
        <f>IFERROR(IF(INDEX(MO_Common_QEndDate,0,COLUMN())&gt;TODAY(),_xll.FDS(MO.ReportCurrency&amp;HP.TradeCurrency,"FG_PRICE(NOW)"),_xll.FDS(MO.ReportCurrency&amp;HP.TradeCurrency,"P_PRICE_AVG("&amp;INDEX(MO_SNA_FPStartDate,0,COLUMN())&amp;","&amp;INDEX(MO_Common_QEndDate,0,COLUMN())&amp;",,,,0)")),"N/A")</f>
        <v/>
      </c>
      <c r="O1156" s="266">
        <f>IFERROR(IF(INDEX(MO_Common_QEndDate,0,COLUMN())&gt;TODAY(),_xll.FDS(MO.ReportCurrency&amp;HP.TradeCurrency,"FG_PRICE(NOW)"),_xll.FDS(MO.ReportCurrency&amp;HP.TradeCurrency,"P_PRICE_AVG("&amp;INDEX(MO_SNA_FPStartDate,0,COLUMN())&amp;","&amp;INDEX(MO_Common_QEndDate,0,COLUMN())&amp;",,,,0)")),"N/A")</f>
        <v/>
      </c>
      <c r="P1156" s="266">
        <f>IFERROR(IF(INDEX(MO_Common_QEndDate,0,COLUMN())&gt;TODAY(),_xll.FDS(MO.ReportCurrency&amp;HP.TradeCurrency,"FG_PRICE(NOW)"),_xll.FDS(MO.ReportCurrency&amp;HP.TradeCurrency,"P_PRICE_AVG("&amp;INDEX(MO_SNA_FPStartDate,0,COLUMN())&amp;","&amp;INDEX(MO_Common_QEndDate,0,COLUMN())&amp;",,,,0)")),"N/A")</f>
        <v/>
      </c>
      <c r="Q1156" s="266">
        <f>IFERROR(IF(INDEX(MO_Common_QEndDate,0,COLUMN())&gt;TODAY(),_xll.FDS(MO.ReportCurrency&amp;HP.TradeCurrency,"FG_PRICE(NOW)"),_xll.FDS(MO.ReportCurrency&amp;HP.TradeCurrency,"P_PRICE_AVG("&amp;INDEX(MO_SNA_FPStartDate,0,COLUMN())&amp;","&amp;INDEX(MO_Common_QEndDate,0,COLUMN())&amp;",,,,0)")),"N/A")</f>
        <v/>
      </c>
      <c r="R1156" s="266">
        <f>IFERROR(IF(INDEX(MO_Common_QEndDate,0,COLUMN())&gt;TODAY(),_xll.FDS(MO.ReportCurrency&amp;HP.TradeCurrency,"FG_PRICE(NOW)"),_xll.FDS(MO.ReportCurrency&amp;HP.TradeCurrency,"P_PRICE_AVG("&amp;INDEX(MO_SNA_FPStartDate,0,COLUMN())&amp;","&amp;INDEX(MO_Common_QEndDate,0,COLUMN())&amp;",,,,0)")),"N/A")</f>
        <v/>
      </c>
      <c r="S1156" s="266">
        <f>IFERROR(IF(INDEX(MO_Common_QEndDate,0,COLUMN())&gt;TODAY(),_xll.FDS(MO.ReportCurrency&amp;HP.TradeCurrency,"FG_PRICE(NOW)"),_xll.FDS(MO.ReportCurrency&amp;HP.TradeCurrency,"P_PRICE_AVG("&amp;INDEX(MO_SNA_FPStartDate,0,COLUMN())&amp;","&amp;INDEX(MO_Common_QEndDate,0,COLUMN())&amp;",,,,0)")),"N/A")</f>
        <v/>
      </c>
      <c r="T1156" s="266">
        <f>IFERROR(IF(INDEX(MO_Common_QEndDate,0,COLUMN())&gt;TODAY(),_xll.FDS(MO.ReportCurrency&amp;HP.TradeCurrency,"FG_PRICE(NOW)"),_xll.FDS(MO.ReportCurrency&amp;HP.TradeCurrency,"P_PRICE_AVG("&amp;INDEX(MO_SNA_FPStartDate,0,COLUMN())&amp;","&amp;INDEX(MO_Common_QEndDate,0,COLUMN())&amp;",,,,0)")),"N/A")</f>
        <v/>
      </c>
      <c r="U1156" s="266">
        <f>IFERROR(IF(INDEX(MO_Common_QEndDate,0,COLUMN())&gt;TODAY(),_xll.FDS(MO.ReportCurrency&amp;HP.TradeCurrency,"FG_PRICE(NOW)"),_xll.FDS(MO.ReportCurrency&amp;HP.TradeCurrency,"P_PRICE_AVG("&amp;INDEX(MO_SNA_FPStartDate,0,COLUMN())&amp;","&amp;INDEX(MO_Common_QEndDate,0,COLUMN())&amp;",,,,0)")),"N/A")</f>
        <v/>
      </c>
      <c r="V1156" s="266">
        <f>IFERROR(IF(INDEX(MO_Common_QEndDate,0,COLUMN())&gt;TODAY(),_xll.FDS(MO.ReportCurrency&amp;HP.TradeCurrency,"FG_PRICE(NOW)"),_xll.FDS(MO.ReportCurrency&amp;HP.TradeCurrency,"P_PRICE_AVG("&amp;INDEX(MO_SNA_FPStartDate,0,COLUMN())&amp;","&amp;INDEX(MO_Common_QEndDate,0,COLUMN())&amp;",,,,0)")),"N/A")</f>
        <v/>
      </c>
      <c r="W1156" s="266">
        <f>IFERROR(IF(INDEX(MO_Common_QEndDate,0,COLUMN())&gt;TODAY(),_xll.FDS(MO.ReportCurrency&amp;HP.TradeCurrency,"FG_PRICE(NOW)"),_xll.FDS(MO.ReportCurrency&amp;HP.TradeCurrency,"P_PRICE_AVG("&amp;INDEX(MO_SNA_FPStartDate,0,COLUMN())&amp;","&amp;INDEX(MO_Common_QEndDate,0,COLUMN())&amp;",,,,0)")),"N/A")</f>
        <v/>
      </c>
      <c r="X1156" s="266">
        <f>IFERROR(IF(INDEX(MO_Common_QEndDate,0,COLUMN())&gt;TODAY(),_xll.FDS(MO.ReportCurrency&amp;HP.TradeCurrency,"FG_PRICE(NOW)"),_xll.FDS(MO.ReportCurrency&amp;HP.TradeCurrency,"P_PRICE_AVG("&amp;INDEX(MO_SNA_FPStartDate,0,COLUMN())&amp;","&amp;INDEX(MO_Common_QEndDate,0,COLUMN())&amp;",,,,0)")),"N/A")</f>
        <v/>
      </c>
      <c r="Y1156" s="266">
        <f>IFERROR(IF(INDEX(MO_Common_QEndDate,0,COLUMN())&gt;TODAY(),_xll.FDS(MO.ReportCurrency&amp;HP.TradeCurrency,"FG_PRICE(NOW)"),_xll.FDS(MO.ReportCurrency&amp;HP.TradeCurrency,"P_PRICE_AVG("&amp;INDEX(MO_SNA_FPStartDate,0,COLUMN())&amp;","&amp;INDEX(MO_Common_QEndDate,0,COLUMN())&amp;",,,,0)")),"N/A")</f>
        <v/>
      </c>
      <c r="Z1156" s="266">
        <f>IFERROR(IF(INDEX(MO_Common_QEndDate,0,COLUMN())&gt;TODAY(),_xll.FDS(MO.ReportCurrency&amp;HP.TradeCurrency,"FG_PRICE(NOW)"),_xll.FDS(MO.ReportCurrency&amp;HP.TradeCurrency,"P_PRICE_AVG("&amp;INDEX(MO_SNA_FPStartDate,0,COLUMN())&amp;","&amp;INDEX(MO_Common_QEndDate,0,COLUMN())&amp;",,,,0)")),"N/A")</f>
        <v/>
      </c>
      <c r="AA1156" s="266">
        <f>IFERROR(IF(INDEX(MO_Common_QEndDate,0,COLUMN())&gt;TODAY(),_xll.FDS(MO.ReportCurrency&amp;HP.TradeCurrency,"FG_PRICE(NOW)"),_xll.FDS(MO.ReportCurrency&amp;HP.TradeCurrency,"P_PRICE_AVG("&amp;INDEX(MO_SNA_FPStartDate,0,COLUMN())&amp;","&amp;INDEX(MO_Common_QEndDate,0,COLUMN())&amp;",,,,0)")),"N/A")</f>
        <v/>
      </c>
      <c r="AB1156" s="266">
        <f>IFERROR(IF(INDEX(MO_Common_QEndDate,0,COLUMN())&gt;TODAY(),_xll.FDS(MO.ReportCurrency&amp;HP.TradeCurrency,"FG_PRICE(NOW)"),_xll.FDS(MO.ReportCurrency&amp;HP.TradeCurrency,"P_PRICE_AVG("&amp;INDEX(MO_SNA_FPStartDate,0,COLUMN())&amp;","&amp;INDEX(MO_Common_QEndDate,0,COLUMN())&amp;",,,,0)")),"N/A")</f>
        <v/>
      </c>
      <c r="AC1156" s="266">
        <f>IFERROR(IF(INDEX(MO_Common_QEndDate,0,COLUMN())&gt;TODAY(),_xll.FDS(MO.ReportCurrency&amp;HP.TradeCurrency,"FG_PRICE(NOW)"),_xll.FDS(MO.ReportCurrency&amp;HP.TradeCurrency,"P_PRICE_AVG("&amp;INDEX(MO_SNA_FPStartDate,0,COLUMN())&amp;","&amp;INDEX(MO_Common_QEndDate,0,COLUMN())&amp;",,,,0)")),"N/A")</f>
        <v/>
      </c>
      <c r="AD1156" s="266">
        <f>IFERROR(IF(INDEX(MO_Common_QEndDate,0,COLUMN())&gt;TODAY(),_xll.FDS(MO.ReportCurrency&amp;HP.TradeCurrency,"FG_PRICE(NOW)"),_xll.FDS(MO.ReportCurrency&amp;HP.TradeCurrency,"P_PRICE_AVG("&amp;INDEX(MO_SNA_FPStartDate,0,COLUMN())&amp;","&amp;INDEX(MO_Common_QEndDate,0,COLUMN())&amp;",,,,0)")),"N/A")</f>
        <v/>
      </c>
      <c r="AE1156" s="266">
        <f>IFERROR(IF(INDEX(MO_Common_QEndDate,0,COLUMN())&gt;TODAY(),_xll.FDS(MO.ReportCurrency&amp;HP.TradeCurrency,"FG_PRICE(NOW)"),_xll.FDS(MO.ReportCurrency&amp;HP.TradeCurrency,"P_PRICE_AVG("&amp;INDEX(MO_SNA_FPStartDate,0,COLUMN())&amp;","&amp;INDEX(MO_Common_QEndDate,0,COLUMN())&amp;",,,,0)")),"N/A")</f>
        <v/>
      </c>
      <c r="AF1156" s="266">
        <f>IFERROR(IF(INDEX(MO_Common_QEndDate,0,COLUMN())&gt;TODAY(),_xll.FDS(MO.ReportCurrency&amp;HP.TradeCurrency,"FG_PRICE(NOW)"),_xll.FDS(MO.ReportCurrency&amp;HP.TradeCurrency,"P_PRICE_AVG("&amp;INDEX(MO_SNA_FPStartDate,0,COLUMN())&amp;","&amp;INDEX(MO_Common_QEndDate,0,COLUMN())&amp;",,,,0)")),"N/A")</f>
        <v/>
      </c>
      <c r="AG1156" s="266">
        <f>IFERROR(IF(INDEX(MO_Common_QEndDate,0,COLUMN())&gt;TODAY(),_xll.FDS(MO.ReportCurrency&amp;HP.TradeCurrency,"FG_PRICE(NOW)"),_xll.FDS(MO.ReportCurrency&amp;HP.TradeCurrency,"P_PRICE_AVG("&amp;INDEX(MO_SNA_FPStartDate,0,COLUMN())&amp;","&amp;INDEX(MO_Common_QEndDate,0,COLUMN())&amp;",,,,0)")),"N/A")</f>
        <v/>
      </c>
      <c r="AH1156" s="266">
        <f>IFERROR(IF(INDEX(MO_Common_QEndDate,0,COLUMN())&gt;TODAY(),_xll.FDS(MO.ReportCurrency&amp;HP.TradeCurrency,"FG_PRICE(NOW)"),_xll.FDS(MO.ReportCurrency&amp;HP.TradeCurrency,"P_PRICE_AVG("&amp;INDEX(MO_SNA_FPStartDate,0,COLUMN())&amp;","&amp;INDEX(MO_Common_QEndDate,0,COLUMN())&amp;",,,,0)")),"N/A")</f>
        <v/>
      </c>
      <c r="AI1156" s="266">
        <f>IFERROR(IF(INDEX(MO_Common_QEndDate,0,COLUMN())&gt;TODAY(),_xll.FDS(MO.ReportCurrency&amp;HP.TradeCurrency,"FG_PRICE(NOW)"),_xll.FDS(MO.ReportCurrency&amp;HP.TradeCurrency,"P_PRICE_AVG("&amp;INDEX(MO_SNA_FPStartDate,0,COLUMN())&amp;","&amp;INDEX(MO_Common_QEndDate,0,COLUMN())&amp;",,,,0)")),"N/A")</f>
        <v/>
      </c>
      <c r="AJ1156" s="266">
        <f>IFERROR(IF(INDEX(MO_Common_QEndDate,0,COLUMN())&gt;TODAY(),_xll.FDS(MO.ReportCurrency&amp;HP.TradeCurrency,"FG_PRICE(NOW)"),_xll.FDS(MO.ReportCurrency&amp;HP.TradeCurrency,"P_PRICE_AVG("&amp;INDEX(MO_SNA_FPStartDate,0,COLUMN())&amp;","&amp;INDEX(MO_Common_QEndDate,0,COLUMN())&amp;",,,,0)")),"N/A")</f>
        <v/>
      </c>
      <c r="AK1156" s="266">
        <f>IFERROR(IF(INDEX(MO_Common_QEndDate,0,COLUMN())&gt;TODAY(),_xll.FDS(MO.ReportCurrency&amp;HP.TradeCurrency,"FG_PRICE(NOW)"),_xll.FDS(MO.ReportCurrency&amp;HP.TradeCurrency,"P_PRICE_AVG("&amp;INDEX(MO_SNA_FPStartDate,0,COLUMN())&amp;","&amp;INDEX(MO_Common_QEndDate,0,COLUMN())&amp;",,,,0)")),"N/A")</f>
        <v/>
      </c>
      <c r="AL1156" s="266">
        <f>IFERROR(IF(INDEX(MO_Common_QEndDate,0,COLUMN())&gt;TODAY(),_xll.FDS(MO.ReportCurrency&amp;HP.TradeCurrency,"FG_PRICE(NOW)"),_xll.FDS(MO.ReportCurrency&amp;HP.TradeCurrency,"P_PRICE_AVG("&amp;INDEX(MO_SNA_FPStartDate,0,COLUMN())&amp;","&amp;INDEX(MO_Common_QEndDate,0,COLUMN())&amp;",,,,0)")),"N/A")</f>
        <v/>
      </c>
      <c r="AM1156" s="266">
        <f>IFERROR(IF(INDEX(MO_Common_QEndDate,0,COLUMN())&gt;TODAY(),_xll.FDS(MO.ReportCurrency&amp;HP.TradeCurrency,"FG_PRICE(NOW)"),_xll.FDS(MO.ReportCurrency&amp;HP.TradeCurrency,"P_PRICE_AVG("&amp;INDEX(MO_SNA_FPStartDate,0,COLUMN())&amp;","&amp;INDEX(MO_Common_QEndDate,0,COLUMN())&amp;",,,,0)")),"N/A")</f>
        <v/>
      </c>
      <c r="AN1156" s="266">
        <f>IFERROR(IF(INDEX(MO_Common_QEndDate,0,COLUMN())&gt;TODAY(),_xll.FDS(MO.ReportCurrency&amp;HP.TradeCurrency,"FG_PRICE(NOW)"),_xll.FDS(MO.ReportCurrency&amp;HP.TradeCurrency,"P_PRICE_AVG("&amp;INDEX(MO_SNA_FPStartDate,0,COLUMN())&amp;","&amp;INDEX(MO_Common_QEndDate,0,COLUMN())&amp;",,,,0)")),"N/A")</f>
        <v/>
      </c>
      <c r="AO1156" s="266">
        <f>IFERROR(IF(INDEX(MO_Common_QEndDate,0,COLUMN())&gt;TODAY(),_xll.FDS(MO.ReportCurrency&amp;HP.TradeCurrency,"FG_PRICE(NOW)"),_xll.FDS(MO.ReportCurrency&amp;HP.TradeCurrency,"P_PRICE_AVG("&amp;INDEX(MO_SNA_FPStartDate,0,COLUMN())&amp;","&amp;INDEX(MO_Common_QEndDate,0,COLUMN())&amp;",,,,0)")),"N/A")</f>
        <v/>
      </c>
      <c r="AP1156" s="266">
        <f>IFERROR(IF(INDEX(MO_Common_QEndDate,0,COLUMN())&gt;TODAY(),_xll.FDS(MO.ReportCurrency&amp;HP.TradeCurrency,"FG_PRICE(NOW)"),_xll.FDS(MO.ReportCurrency&amp;HP.TradeCurrency,"P_PRICE_AVG("&amp;INDEX(MO_SNA_FPStartDate,0,COLUMN())&amp;","&amp;INDEX(MO_Common_QEndDate,0,COLUMN())&amp;",,,,0)")),"N/A")</f>
        <v/>
      </c>
      <c r="AQ1156" s="266">
        <f>IFERROR(IF(INDEX(MO_Common_QEndDate,0,COLUMN())&gt;TODAY(),_xll.FDS(MO.ReportCurrency&amp;HP.TradeCurrency,"FG_PRICE(NOW)"),_xll.FDS(MO.ReportCurrency&amp;HP.TradeCurrency,"P_PRICE_AVG("&amp;INDEX(MO_SNA_FPStartDate,0,COLUMN())&amp;","&amp;INDEX(MO_Common_QEndDate,0,COLUMN())&amp;",,,,0)")),"N/A")</f>
        <v/>
      </c>
      <c r="AR1156" s="266">
        <f>IFERROR(IF(INDEX(MO_Common_QEndDate,0,COLUMN())&gt;TODAY(),_xll.FDS(MO.ReportCurrency&amp;HP.TradeCurrency,"FG_PRICE(NOW)"),_xll.FDS(MO.ReportCurrency&amp;HP.TradeCurrency,"P_PRICE_AVG("&amp;INDEX(MO_SNA_FPStartDate,0,COLUMN())&amp;","&amp;INDEX(MO_Common_QEndDate,0,COLUMN())&amp;",,,,0)")),"N/A")</f>
        <v/>
      </c>
      <c r="AS1156" s="266">
        <f>IFERROR(IF(INDEX(MO_Common_QEndDate,0,COLUMN())&gt;TODAY(),_xll.FDS(MO.ReportCurrency&amp;HP.TradeCurrency,"FG_PRICE(NOW)"),_xll.FDS(MO.ReportCurrency&amp;HP.TradeCurrency,"P_PRICE_AVG("&amp;INDEX(MO_SNA_FPStartDate,0,COLUMN())&amp;","&amp;INDEX(MO_Common_QEndDate,0,COLUMN())&amp;",,,,0)")),"N/A")</f>
        <v/>
      </c>
      <c r="AT1156" s="266">
        <f>IFERROR(IF(INDEX(MO_Common_QEndDate,0,COLUMN())&gt;TODAY(),_xll.FDS(MO.ReportCurrency&amp;HP.TradeCurrency,"FG_PRICE(NOW)"),_xll.FDS(MO.ReportCurrency&amp;HP.TradeCurrency,"P_PRICE_AVG("&amp;INDEX(MO_SNA_FPStartDate,0,COLUMN())&amp;","&amp;INDEX(MO_Common_QEndDate,0,COLUMN())&amp;",,,,0)")),"N/A")</f>
        <v/>
      </c>
      <c r="AU1156" s="266">
        <f>IFERROR(IF(INDEX(MO_Common_QEndDate,0,COLUMN())&gt;TODAY(),_xll.FDS(MO.ReportCurrency&amp;HP.TradeCurrency,"FG_PRICE(NOW)"),_xll.FDS(MO.ReportCurrency&amp;HP.TradeCurrency,"P_PRICE_AVG("&amp;INDEX(MO_SNA_FPStartDate,0,COLUMN())&amp;","&amp;INDEX(MO_Common_QEndDate,0,COLUMN())&amp;",,,,0)")),"N/A")</f>
        <v/>
      </c>
      <c r="AV1156" s="266">
        <f>IFERROR(IF(INDEX(MO_Common_QEndDate,0,COLUMN())&gt;TODAY(),_xll.FDS(MO.ReportCurrency&amp;HP.TradeCurrency,"FG_PRICE(NOW)"),_xll.FDS(MO.ReportCurrency&amp;HP.TradeCurrency,"P_PRICE_AVG("&amp;INDEX(MO_SNA_FPStartDate,0,COLUMN())&amp;","&amp;INDEX(MO_Common_QEndDate,0,COLUMN())&amp;",,,,0)")),"N/A")</f>
        <v/>
      </c>
      <c r="AW1156" s="266">
        <f>IFERROR(IF(INDEX(MO_Common_QEndDate,0,COLUMN())&gt;TODAY(),_xll.FDS(MO.ReportCurrency&amp;HP.TradeCurrency,"FG_PRICE(NOW)"),_xll.FDS(MO.ReportCurrency&amp;HP.TradeCurrency,"P_PRICE_AVG("&amp;INDEX(MO_SNA_FPStartDate,0,COLUMN())&amp;","&amp;INDEX(MO_Common_QEndDate,0,COLUMN())&amp;",,,,0)")),"N/A")</f>
        <v/>
      </c>
      <c r="AX1156" s="266">
        <f>IFERROR(IF(INDEX(MO_Common_QEndDate,0,COLUMN())&gt;TODAY(),_xll.FDS(MO.ReportCurrency&amp;HP.TradeCurrency,"FG_PRICE(NOW)"),_xll.FDS(MO.ReportCurrency&amp;HP.TradeCurrency,"P_PRICE_AVG("&amp;INDEX(MO_SNA_FPStartDate,0,COLUMN())&amp;","&amp;INDEX(MO_Common_QEndDate,0,COLUMN())&amp;",,,,0)")),"N/A")</f>
        <v/>
      </c>
      <c r="AY1156" s="266">
        <f>IFERROR(IF(INDEX(MO_Common_QEndDate,0,COLUMN())&gt;TODAY(),_xll.FDS(MO.ReportCurrency&amp;HP.TradeCurrency,"FG_PRICE(NOW)"),_xll.FDS(MO.ReportCurrency&amp;HP.TradeCurrency,"P_PRICE_AVG("&amp;INDEX(MO_SNA_FPStartDate,0,COLUMN())&amp;","&amp;INDEX(MO_Common_QEndDate,0,COLUMN())&amp;",,,,0)")),"N/A")</f>
        <v/>
      </c>
      <c r="AZ1156" s="266">
        <f>IFERROR(IF(INDEX(MO_Common_QEndDate,0,COLUMN())&gt;TODAY(),_xll.FDS(MO.ReportCurrency&amp;HP.TradeCurrency,"FG_PRICE(NOW)"),_xll.FDS(MO.ReportCurrency&amp;HP.TradeCurrency,"P_PRICE_AVG("&amp;INDEX(MO_SNA_FPStartDate,0,COLUMN())&amp;","&amp;INDEX(MO_Common_QEndDate,0,COLUMN())&amp;",,,,0)")),"N/A")</f>
        <v/>
      </c>
      <c r="BA1156" s="266">
        <f>IFERROR(IF(INDEX(MO_Common_QEndDate,0,COLUMN())&gt;TODAY(),_xll.FDS(MO.ReportCurrency&amp;HP.TradeCurrency,"FG_PRICE(NOW)"),_xll.FDS(MO.ReportCurrency&amp;HP.TradeCurrency,"P_PRICE_AVG("&amp;INDEX(MO_SNA_FPStartDate,0,COLUMN())&amp;","&amp;INDEX(MO_Common_QEndDate,0,COLUMN())&amp;",,,,0)")),"N/A")</f>
        <v/>
      </c>
      <c r="BB1156" s="266">
        <f>IFERROR(IF(INDEX(MO_Common_QEndDate,0,COLUMN())&gt;TODAY(),_xll.FDS(MO.ReportCurrency&amp;HP.TradeCurrency,"FG_PRICE(NOW)"),_xll.FDS(MO.ReportCurrency&amp;HP.TradeCurrency,"P_PRICE_AVG("&amp;INDEX(MO_SNA_FPStartDate,0,COLUMN())&amp;","&amp;INDEX(MO_Common_QEndDate,0,COLUMN())&amp;",,,,0)")),"N/A")</f>
        <v/>
      </c>
      <c r="BC1156" s="266">
        <f>IFERROR(IF(INDEX(MO_Common_QEndDate,0,COLUMN())&gt;TODAY(),_xll.FDS(MO.ReportCurrency&amp;HP.TradeCurrency,"FG_PRICE(NOW)"),_xll.FDS(MO.ReportCurrency&amp;HP.TradeCurrency,"P_PRICE_AVG("&amp;INDEX(MO_SNA_FPStartDate,0,COLUMN())&amp;","&amp;INDEX(MO_Common_QEndDate,0,COLUMN())&amp;",,,,0)")),"N/A")</f>
        <v/>
      </c>
      <c r="BD1156" s="266">
        <f>IFERROR(IF(INDEX(MO_Common_QEndDate,0,COLUMN())&gt;TODAY(),_xll.FDS(MO.ReportCurrency&amp;HP.TradeCurrency,"FG_PRICE(NOW)"),_xll.FDS(MO.ReportCurrency&amp;HP.TradeCurrency,"P_PRICE_AVG("&amp;INDEX(MO_SNA_FPStartDate,0,COLUMN())&amp;","&amp;INDEX(MO_Common_QEndDate,0,COLUMN())&amp;",,,,0)")),"N/A")</f>
        <v/>
      </c>
      <c r="BE1156" s="266">
        <f>IFERROR(IF(INDEX(MO_Common_QEndDate,0,COLUMN())&gt;TODAY(),_xll.FDS(MO.ReportCurrency&amp;HP.TradeCurrency,"FG_PRICE(NOW)"),_xll.FDS(MO.ReportCurrency&amp;HP.TradeCurrency,"P_PRICE_AVG("&amp;INDEX(MO_SNA_FPStartDate,0,COLUMN())&amp;","&amp;INDEX(MO_Common_QEndDate,0,COLUMN())&amp;",,,,0)")),"N/A")</f>
        <v/>
      </c>
      <c r="BF1156" s="266">
        <f>IFERROR(IF(INDEX(MO_Common_QEndDate,0,COLUMN())&gt;TODAY(),_xll.FDS(MO.ReportCurrency&amp;HP.TradeCurrency,"FG_PRICE(NOW)"),_xll.FDS(MO.ReportCurrency&amp;HP.TradeCurrency,"P_PRICE_AVG("&amp;INDEX(MO_SNA_FPStartDate,0,COLUMN())&amp;","&amp;INDEX(MO_Common_QEndDate,0,COLUMN())&amp;",,,,0)")),"N/A")</f>
        <v/>
      </c>
      <c r="BG1156" s="266">
        <f>IFERROR(IF(INDEX(MO_Common_QEndDate,0,COLUMN())&gt;TODAY(),_xll.FDS(MO.ReportCurrency&amp;HP.TradeCurrency,"FG_PRICE(NOW)"),_xll.FDS(MO.ReportCurrency&amp;HP.TradeCurrency,"P_PRICE_AVG("&amp;INDEX(MO_SNA_FPStartDate,0,COLUMN())&amp;","&amp;INDEX(MO_Common_QEndDate,0,COLUMN())&amp;",,,,0)")),"N/A")</f>
        <v/>
      </c>
      <c r="BH1156" s="266">
        <f>IFERROR(IF(INDEX(MO_Common_QEndDate,0,COLUMN())&gt;TODAY(),_xll.FDS(MO.ReportCurrency&amp;HP.TradeCurrency,"FG_PRICE(NOW)"),_xll.FDS(MO.ReportCurrency&amp;HP.TradeCurrency,"P_PRICE_AVG("&amp;INDEX(MO_SNA_FPStartDate,0,COLUMN())&amp;","&amp;INDEX(MO_Common_QEndDate,0,COLUMN())&amp;",,,,0)")),"N/A")</f>
        <v/>
      </c>
      <c r="BI1156" s="266">
        <f>IFERROR(IF(INDEX(MO_Common_QEndDate,0,COLUMN())&gt;TODAY(),_xll.FDS(MO.ReportCurrency&amp;HP.TradeCurrency,"FG_PRICE(NOW)"),_xll.FDS(MO.ReportCurrency&amp;HP.TradeCurrency,"P_PRICE_AVG("&amp;INDEX(MO_SNA_FPStartDate,0,COLUMN())&amp;","&amp;INDEX(MO_Common_QEndDate,0,COLUMN())&amp;",,,,0)")),"N/A")</f>
        <v/>
      </c>
      <c r="BJ1156" s="266">
        <f>IFERROR(IF(INDEX(MO_Common_QEndDate,0,COLUMN())&gt;TODAY(),_xll.FDS(MO.ReportCurrency&amp;HP.TradeCurrency,"FG_PRICE(NOW)"),_xll.FDS(MO.ReportCurrency&amp;HP.TradeCurrency,"P_PRICE_AVG("&amp;INDEX(MO_SNA_FPStartDate,0,COLUMN())&amp;","&amp;INDEX(MO_Common_QEndDate,0,COLUMN())&amp;",,,,0)")),"N/A")</f>
        <v/>
      </c>
      <c r="BK1156" s="266">
        <f>IFERROR(IF(INDEX(MO_Common_QEndDate,0,COLUMN())&gt;TODAY(),_xll.FDS(MO.ReportCurrency&amp;HP.TradeCurrency,"FG_PRICE(NOW)"),_xll.FDS(MO.ReportCurrency&amp;HP.TradeCurrency,"P_PRICE_AVG("&amp;INDEX(MO_SNA_FPStartDate,0,COLUMN())&amp;","&amp;INDEX(MO_Common_QEndDate,0,COLUMN())&amp;",,,,0)")),"N/A")</f>
        <v/>
      </c>
      <c r="BL1156" s="266">
        <f>IFERROR(IF(INDEX(MO_Common_QEndDate,0,COLUMN())&gt;TODAY(),_xll.FDS(MO.ReportCurrency&amp;HP.TradeCurrency,"FG_PRICE(NOW)"),_xll.FDS(MO.ReportCurrency&amp;HP.TradeCurrency,"P_PRICE_AVG("&amp;INDEX(MO_SNA_FPStartDate,0,COLUMN())&amp;","&amp;INDEX(MO_Common_QEndDate,0,COLUMN())&amp;",,,,0)")),"N/A")</f>
        <v/>
      </c>
      <c r="BM1156" s="266">
        <f>IFERROR(IF(INDEX(MO_Common_QEndDate,0,COLUMN())&gt;TODAY(),_xll.FDS(MO.ReportCurrency&amp;HP.TradeCurrency,"FG_PRICE(NOW)"),_xll.FDS(MO.ReportCurrency&amp;HP.TradeCurrency,"P_PRICE_AVG("&amp;INDEX(MO_SNA_FPStartDate,0,COLUMN())&amp;","&amp;INDEX(MO_Common_QEndDate,0,COLUMN())&amp;",,,,0)")),"N/A")</f>
        <v/>
      </c>
      <c r="BN1156" s="266">
        <f>IFERROR(IF(INDEX(MO_Common_QEndDate,0,COLUMN())&gt;TODAY(),_xll.FDS(MO.ReportCurrency&amp;HP.TradeCurrency,"FG_PRICE(NOW)"),_xll.FDS(MO.ReportCurrency&amp;HP.TradeCurrency,"P_PRICE_AVG("&amp;INDEX(MO_SNA_FPStartDate,0,COLUMN())&amp;","&amp;INDEX(MO_Common_QEndDate,0,COLUMN())&amp;",,,,0)")),"N/A")</f>
        <v/>
      </c>
      <c r="BO1156" s="266">
        <f>IFERROR(IF(INDEX(MO_Common_QEndDate,0,COLUMN())&gt;TODAY(),_xll.FDS(MO.ReportCurrency&amp;HP.TradeCurrency,"FG_PRICE(NOW)"),_xll.FDS(MO.ReportCurrency&amp;HP.TradeCurrency,"P_PRICE_AVG("&amp;INDEX(MO_SNA_FPStartDate,0,COLUMN())&amp;","&amp;INDEX(MO_Common_QEndDate,0,COLUMN())&amp;",,,,0)")),"N/A")</f>
        <v/>
      </c>
      <c r="BP1156" s="266">
        <f>IFERROR(IF(INDEX(MO_Common_QEndDate,0,COLUMN())&gt;TODAY(),_xll.FDS(MO.ReportCurrency&amp;HP.TradeCurrency,"FG_PRICE(NOW)"),_xll.FDS(MO.ReportCurrency&amp;HP.TradeCurrency,"P_PRICE_AVG("&amp;INDEX(MO_SNA_FPStartDate,0,COLUMN())&amp;","&amp;INDEX(MO_Common_QEndDate,0,COLUMN())&amp;",,,,0)")),"N/A")</f>
        <v/>
      </c>
      <c r="BQ1156" s="266">
        <f>IFERROR(IF(INDEX(MO_Common_QEndDate,0,COLUMN())&gt;TODAY(),_xll.FDS(MO.ReportCurrency&amp;HP.TradeCurrency,"FG_PRICE(NOW)"),_xll.FDS(MO.ReportCurrency&amp;HP.TradeCurrency,"P_PRICE_AVG("&amp;INDEX(MO_SNA_FPStartDate,0,COLUMN())&amp;","&amp;INDEX(MO_Common_QEndDate,0,COLUMN())&amp;",,,,0)")),"N/A")</f>
        <v/>
      </c>
      <c r="BR1156" s="266">
        <f>IFERROR(IF(INDEX(MO_Common_QEndDate,0,COLUMN())&gt;TODAY(),_xll.FDS(MO.ReportCurrency&amp;HP.TradeCurrency,"FG_PRICE(NOW)"),_xll.FDS(MO.ReportCurrency&amp;HP.TradeCurrency,"P_PRICE_AVG("&amp;INDEX(MO_SNA_FPStartDate,0,COLUMN())&amp;","&amp;INDEX(MO_Common_QEndDate,0,COLUMN())&amp;",,,,0)")),"N/A")</f>
        <v/>
      </c>
      <c r="BS1156" s="266">
        <f>IFERROR(IF(INDEX(MO_Common_QEndDate,0,COLUMN())&gt;TODAY(),_xll.FDS(MO.ReportCurrency&amp;HP.TradeCurrency,"FG_PRICE(NOW)"),_xll.FDS(MO.ReportCurrency&amp;HP.TradeCurrency,"P_PRICE_AVG("&amp;INDEX(MO_SNA_FPStartDate,0,COLUMN())&amp;","&amp;INDEX(MO_Common_QEndDate,0,COLUMN())&amp;",,,,0)")),"N/A")</f>
        <v/>
      </c>
      <c r="BT1156" s="266">
        <f>IFERROR(IF(INDEX(MO_Common_QEndDate,0,COLUMN())&gt;TODAY(),_xll.FDS(MO.ReportCurrency&amp;HP.TradeCurrency,"FG_PRICE(NOW)"),_xll.FDS(MO.ReportCurrency&amp;HP.TradeCurrency,"P_PRICE_AVG("&amp;INDEX(MO_SNA_FPStartDate,0,COLUMN())&amp;","&amp;INDEX(MO_Common_QEndDate,0,COLUMN())&amp;",,,,0)")),"N/A")</f>
        <v/>
      </c>
      <c r="BU1156" s="266">
        <f>IFERROR(IF(INDEX(MO_Common_QEndDate,0,COLUMN())&gt;TODAY(),_xll.FDS(MO.ReportCurrency&amp;HP.TradeCurrency,"FG_PRICE(NOW)"),_xll.FDS(MO.ReportCurrency&amp;HP.TradeCurrency,"P_PRICE_AVG("&amp;INDEX(MO_SNA_FPStartDate,0,COLUMN())&amp;","&amp;INDEX(MO_Common_QEndDate,0,COLUMN())&amp;",,,,0)")),"N/A")</f>
        <v/>
      </c>
      <c r="BV1156" s="535">
        <f>IFERROR(IF(INDEX(MO_Common_QEndDate,0,COLUMN())&gt;TODAY(),_xll.FDS(MO.ReportCurrency&amp;HP.TradeCurrency,"FG_PRICE(NOW)"),_xll.FDS(MO.ReportCurrency&amp;HP.TradeCurrency,"P_PRICE_AVG("&amp;INDEX(MO_SNA_FPStartDate,0,COLUMN())&amp;","&amp;INDEX(MO_Common_QEndDate,0,COLUMN())&amp;",,,,0)")),"N/A")</f>
        <v/>
      </c>
      <c r="BW1156" s="266">
        <f>IFERROR(IF(INDEX(MO_Common_QEndDate,0,COLUMN())&gt;TODAY(),_xll.FDS(MO.ReportCurrency&amp;HP.TradeCurrency,"FG_PRICE(NOW)"),_xll.FDS(MO.ReportCurrency&amp;HP.TradeCurrency,"P_PRICE_AVG("&amp;INDEX(MO_SNA_FPStartDate,0,COLUMN())&amp;","&amp;INDEX(MO_Common_QEndDate,0,COLUMN())&amp;",,,,0)")),"N/A")</f>
        <v/>
      </c>
      <c r="BX1156" s="266">
        <f>IFERROR(IF(INDEX(MO_Common_QEndDate,0,COLUMN())&gt;TODAY(),_xll.FDS(MO.ReportCurrency&amp;HP.TradeCurrency,"FG_PRICE(NOW)"),_xll.FDS(MO.ReportCurrency&amp;HP.TradeCurrency,"P_PRICE_AVG("&amp;INDEX(MO_SNA_FPStartDate,0,COLUMN())&amp;","&amp;INDEX(MO_Common_QEndDate,0,COLUMN())&amp;",,,,0)")),"N/A")</f>
        <v/>
      </c>
      <c r="BY1156" s="266">
        <f>IFERROR(IF(INDEX(MO_Common_QEndDate,0,COLUMN())&gt;TODAY(),_xll.FDS(MO.ReportCurrency&amp;HP.TradeCurrency,"FG_PRICE(NOW)"),_xll.FDS(MO.ReportCurrency&amp;HP.TradeCurrency,"P_PRICE_AVG("&amp;INDEX(MO_SNA_FPStartDate,0,COLUMN())&amp;","&amp;INDEX(MO_Common_QEndDate,0,COLUMN())&amp;",,,,0)")),"N/A")</f>
        <v/>
      </c>
      <c r="BZ1156" s="266">
        <f>IFERROR(IF(INDEX(MO_Common_QEndDate,0,COLUMN())&gt;TODAY(),_xll.FDS(MO.ReportCurrency&amp;HP.TradeCurrency,"FG_PRICE(NOW)"),_xll.FDS(MO.ReportCurrency&amp;HP.TradeCurrency,"P_PRICE_AVG("&amp;INDEX(MO_SNA_FPStartDate,0,COLUMN())&amp;","&amp;INDEX(MO_Common_QEndDate,0,COLUMN())&amp;",,,,0)")),"N/A")</f>
        <v/>
      </c>
      <c r="CA1156" s="266">
        <f>IFERROR(IF(INDEX(MO_Common_QEndDate,0,COLUMN())&gt;TODAY(),_xll.FDS(MO.ReportCurrency&amp;HP.TradeCurrency,"FG_PRICE(NOW)"),_xll.FDS(MO.ReportCurrency&amp;HP.TradeCurrency,"P_PRICE_AVG("&amp;INDEX(MO_SNA_FPStartDate,0,COLUMN())&amp;","&amp;INDEX(MO_Common_QEndDate,0,COLUMN())&amp;",,,,0)")),"N/A")</f>
        <v/>
      </c>
      <c r="CB1156" s="266">
        <f>IFERROR(IF(INDEX(MO_Common_QEndDate,0,COLUMN())&gt;TODAY(),_xll.FDS(MO.ReportCurrency&amp;HP.TradeCurrency,"FG_PRICE(NOW)"),_xll.FDS(MO.ReportCurrency&amp;HP.TradeCurrency,"P_PRICE_AVG("&amp;INDEX(MO_SNA_FPStartDate,0,COLUMN())&amp;","&amp;INDEX(MO_Common_QEndDate,0,COLUMN())&amp;",,,,0)")),"N/A")</f>
        <v/>
      </c>
      <c r="CC1156" s="266">
        <f>IFERROR(IF(INDEX(MO_Common_QEndDate,0,COLUMN())&gt;TODAY(),_xll.FDS(MO.ReportCurrency&amp;HP.TradeCurrency,"FG_PRICE(NOW)"),_xll.FDS(MO.ReportCurrency&amp;HP.TradeCurrency,"P_PRICE_AVG("&amp;INDEX(MO_SNA_FPStartDate,0,COLUMN())&amp;","&amp;INDEX(MO_Common_QEndDate,0,COLUMN())&amp;",,,,0)")),"N/A")</f>
        <v/>
      </c>
      <c r="CD1156" s="266">
        <f>IFERROR(IF(INDEX(MO_Common_QEndDate,0,COLUMN())&gt;TODAY(),_xll.FDS(MO.ReportCurrency&amp;HP.TradeCurrency,"FG_PRICE(NOW)"),_xll.FDS(MO.ReportCurrency&amp;HP.TradeCurrency,"P_PRICE_AVG("&amp;INDEX(MO_SNA_FPStartDate,0,COLUMN())&amp;","&amp;INDEX(MO_Common_QEndDate,0,COLUMN())&amp;",,,,0)")),"N/A")</f>
        <v/>
      </c>
      <c r="CE1156" s="266">
        <f>IFERROR(IF(INDEX(MO_Common_QEndDate,0,COLUMN())&gt;TODAY(),_xll.FDS(MO.ReportCurrency&amp;HP.TradeCurrency,"FG_PRICE(NOW)"),_xll.FDS(MO.ReportCurrency&amp;HP.TradeCurrency,"P_PRICE_AVG("&amp;INDEX(MO_SNA_FPStartDate,0,COLUMN())&amp;","&amp;INDEX(MO_Common_QEndDate,0,COLUMN())&amp;",,,,0)")),"N/A")</f>
        <v/>
      </c>
      <c r="CF1156" s="267">
        <f>IFERROR(IF(INDEX(MO_Common_QEndDate,0,COLUMN())&gt;TODAY(),_xll.FDS(MO.ReportCurrency&amp;HP.TradeCurrency,"FG_PRICE(NOW)"),_xll.FDS(MO.ReportCurrency&amp;HP.TradeCurrency,"P_PRICE_AVG("&amp;INDEX(MO_SNA_FPStartDate,0,COLUMN())&amp;","&amp;INDEX(MO_Common_QEndDate,0,COLUMN())&amp;",,,,0)")),"N/A")</f>
        <v/>
      </c>
      <c r="CG1156" s="155" t="n"/>
    </row>
    <row r="1157" hidden="1" outlineLevel="1">
      <c r="A1157" s="268" t="inlineStr">
        <is>
          <t>Refinitiv</t>
        </is>
      </c>
      <c r="B1157" s="266" t="n"/>
      <c r="C1157" s="1010">
        <f>"N/A"</f>
        <v/>
      </c>
      <c r="D1157" s="1010">
        <f>"N/A"</f>
        <v/>
      </c>
      <c r="E1157" s="1010">
        <f>"N/A"</f>
        <v/>
      </c>
      <c r="F1157" s="1010">
        <f>"N/A"</f>
        <v/>
      </c>
      <c r="G1157" s="1010">
        <f>"N/A"</f>
        <v/>
      </c>
      <c r="H1157" s="266">
        <f>"N/A"</f>
        <v/>
      </c>
      <c r="I1157" s="266">
        <f>"N/A"</f>
        <v/>
      </c>
      <c r="J1157" s="266">
        <f>"N/A"</f>
        <v/>
      </c>
      <c r="K1157" s="266">
        <f>"N/A"</f>
        <v/>
      </c>
      <c r="L1157" s="266">
        <f>"N/A"</f>
        <v/>
      </c>
      <c r="M1157" s="266">
        <f>"N/A"</f>
        <v/>
      </c>
      <c r="N1157" s="266">
        <f>"N/A"</f>
        <v/>
      </c>
      <c r="O1157" s="266">
        <f>"N/A"</f>
        <v/>
      </c>
      <c r="P1157" s="266">
        <f>"N/A"</f>
        <v/>
      </c>
      <c r="Q1157" s="266">
        <f>"N/A"</f>
        <v/>
      </c>
      <c r="R1157" s="266">
        <f>"N/A"</f>
        <v/>
      </c>
      <c r="S1157" s="266">
        <f>"N/A"</f>
        <v/>
      </c>
      <c r="T1157" s="266">
        <f>"N/A"</f>
        <v/>
      </c>
      <c r="U1157" s="266">
        <f>"N/A"</f>
        <v/>
      </c>
      <c r="V1157" s="266">
        <f>"N/A"</f>
        <v/>
      </c>
      <c r="W1157" s="266">
        <f>"N/A"</f>
        <v/>
      </c>
      <c r="X1157" s="266">
        <f>"N/A"</f>
        <v/>
      </c>
      <c r="Y1157" s="266">
        <f>"N/A"</f>
        <v/>
      </c>
      <c r="Z1157" s="266">
        <f>"N/A"</f>
        <v/>
      </c>
      <c r="AA1157" s="266">
        <f>"N/A"</f>
        <v/>
      </c>
      <c r="AB1157" s="266">
        <f>"N/A"</f>
        <v/>
      </c>
      <c r="AC1157" s="266">
        <f>"N/A"</f>
        <v/>
      </c>
      <c r="AD1157" s="266">
        <f>"N/A"</f>
        <v/>
      </c>
      <c r="AE1157" s="266">
        <f>"N/A"</f>
        <v/>
      </c>
      <c r="AF1157" s="266">
        <f>"N/A"</f>
        <v/>
      </c>
      <c r="AG1157" s="266">
        <f>"N/A"</f>
        <v/>
      </c>
      <c r="AH1157" s="266">
        <f>"N/A"</f>
        <v/>
      </c>
      <c r="AI1157" s="266">
        <f>"N/A"</f>
        <v/>
      </c>
      <c r="AJ1157" s="266">
        <f>"N/A"</f>
        <v/>
      </c>
      <c r="AK1157" s="266">
        <f>"N/A"</f>
        <v/>
      </c>
      <c r="AL1157" s="266">
        <f>"N/A"</f>
        <v/>
      </c>
      <c r="AM1157" s="266">
        <f>"N/A"</f>
        <v/>
      </c>
      <c r="AN1157" s="266">
        <f>"N/A"</f>
        <v/>
      </c>
      <c r="AO1157" s="266">
        <f>"N/A"</f>
        <v/>
      </c>
      <c r="AP1157" s="266">
        <f>"N/A"</f>
        <v/>
      </c>
      <c r="AQ1157" s="266">
        <f>"N/A"</f>
        <v/>
      </c>
      <c r="AR1157" s="266">
        <f>"N/A"</f>
        <v/>
      </c>
      <c r="AS1157" s="266">
        <f>"N/A"</f>
        <v/>
      </c>
      <c r="AT1157" s="266">
        <f>"N/A"</f>
        <v/>
      </c>
      <c r="AU1157" s="266">
        <f>"N/A"</f>
        <v/>
      </c>
      <c r="AV1157" s="266">
        <f>"N/A"</f>
        <v/>
      </c>
      <c r="AW1157" s="266">
        <f>"N/A"</f>
        <v/>
      </c>
      <c r="AX1157" s="266">
        <f>"N/A"</f>
        <v/>
      </c>
      <c r="AY1157" s="266">
        <f>"N/A"</f>
        <v/>
      </c>
      <c r="AZ1157" s="266">
        <f>"N/A"</f>
        <v/>
      </c>
      <c r="BA1157" s="266">
        <f>"N/A"</f>
        <v/>
      </c>
      <c r="BB1157" s="266">
        <f>"N/A"</f>
        <v/>
      </c>
      <c r="BC1157" s="266">
        <f>"N/A"</f>
        <v/>
      </c>
      <c r="BD1157" s="266">
        <f>"N/A"</f>
        <v/>
      </c>
      <c r="BE1157" s="266">
        <f>"N/A"</f>
        <v/>
      </c>
      <c r="BF1157" s="266">
        <f>"N/A"</f>
        <v/>
      </c>
      <c r="BG1157" s="266">
        <f>"N/A"</f>
        <v/>
      </c>
      <c r="BH1157" s="266">
        <f>"N/A"</f>
        <v/>
      </c>
      <c r="BI1157" s="266">
        <f>"N/A"</f>
        <v/>
      </c>
      <c r="BJ1157" s="266">
        <f>"N/A"</f>
        <v/>
      </c>
      <c r="BK1157" s="266">
        <f>"N/A"</f>
        <v/>
      </c>
      <c r="BL1157" s="266">
        <f>"N/A"</f>
        <v/>
      </c>
      <c r="BM1157" s="266">
        <f>"N/A"</f>
        <v/>
      </c>
      <c r="BN1157" s="266">
        <f>"N/A"</f>
        <v/>
      </c>
      <c r="BO1157" s="266">
        <f>"N/A"</f>
        <v/>
      </c>
      <c r="BP1157" s="266">
        <f>"N/A"</f>
        <v/>
      </c>
      <c r="BQ1157" s="266">
        <f>"N/A"</f>
        <v/>
      </c>
      <c r="BR1157" s="266">
        <f>"N/A"</f>
        <v/>
      </c>
      <c r="BS1157" s="266">
        <f>"N/A"</f>
        <v/>
      </c>
      <c r="BT1157" s="266">
        <f>"N/A"</f>
        <v/>
      </c>
      <c r="BU1157" s="266">
        <f>"N/A"</f>
        <v/>
      </c>
      <c r="BV1157" s="535">
        <f>"N/A"</f>
        <v/>
      </c>
      <c r="BW1157" s="266">
        <f>"N/A"</f>
        <v/>
      </c>
      <c r="BX1157" s="266">
        <f>"N/A"</f>
        <v/>
      </c>
      <c r="BY1157" s="266">
        <f>"N/A"</f>
        <v/>
      </c>
      <c r="BZ1157" s="266">
        <f>"N/A"</f>
        <v/>
      </c>
      <c r="CA1157" s="266">
        <f>"N/A"</f>
        <v/>
      </c>
      <c r="CB1157" s="266">
        <f>"N/A"</f>
        <v/>
      </c>
      <c r="CC1157" s="266">
        <f>"N/A"</f>
        <v/>
      </c>
      <c r="CD1157" s="266">
        <f>"N/A"</f>
        <v/>
      </c>
      <c r="CE1157" s="266">
        <f>"N/A"</f>
        <v/>
      </c>
      <c r="CF1157" s="267">
        <f>"N/A"</f>
        <v/>
      </c>
      <c r="CG1157" s="155" t="n"/>
    </row>
    <row r="1158" hidden="1" outlineLevel="1">
      <c r="A1158" s="166" t="n"/>
      <c r="B1158" s="93" t="n"/>
      <c r="C1158" s="989" t="n"/>
      <c r="D1158" s="989" t="n"/>
      <c r="E1158" s="989" t="n"/>
      <c r="F1158" s="989" t="n"/>
      <c r="G1158" s="989" t="n"/>
      <c r="H1158" s="93" t="n"/>
      <c r="I1158" s="93" t="n"/>
      <c r="J1158" s="93" t="n"/>
      <c r="K1158" s="93" t="n"/>
      <c r="L1158" s="93" t="n"/>
      <c r="M1158" s="93" t="n"/>
      <c r="N1158" s="93" t="n"/>
      <c r="O1158" s="93" t="n"/>
      <c r="P1158" s="93" t="n"/>
      <c r="Q1158" s="93" t="n"/>
      <c r="R1158" s="93" t="n"/>
      <c r="S1158" s="93" t="n"/>
      <c r="T1158" s="93" t="n"/>
      <c r="U1158" s="93" t="n"/>
      <c r="V1158" s="93" t="n"/>
      <c r="W1158" s="93" t="n"/>
      <c r="X1158" s="93" t="n"/>
      <c r="Y1158" s="93" t="n"/>
      <c r="Z1158" s="93" t="n"/>
      <c r="AA1158" s="93" t="n"/>
      <c r="AB1158" s="93" t="n"/>
      <c r="AC1158" s="93" t="n"/>
      <c r="AD1158" s="93" t="n"/>
      <c r="AE1158" s="93" t="n"/>
      <c r="AF1158" s="93" t="n"/>
      <c r="AG1158" s="93" t="n"/>
      <c r="AH1158" s="93" t="n"/>
      <c r="AI1158" s="93" t="n"/>
      <c r="AJ1158" s="93" t="n"/>
      <c r="AK1158" s="93" t="n"/>
      <c r="AL1158" s="93" t="n"/>
      <c r="AM1158" s="93" t="n"/>
      <c r="AN1158" s="93" t="n"/>
      <c r="AO1158" s="93" t="n"/>
      <c r="AP1158" s="93" t="n"/>
      <c r="AQ1158" s="93" t="n"/>
      <c r="AR1158" s="93" t="n"/>
      <c r="AS1158" s="93" t="n"/>
      <c r="AT1158" s="93" t="n"/>
      <c r="AU1158" s="93" t="n"/>
      <c r="AV1158" s="93" t="n"/>
      <c r="AW1158" s="93" t="n"/>
      <c r="AX1158" s="93" t="n"/>
      <c r="AY1158" s="93" t="n"/>
      <c r="AZ1158" s="93" t="n"/>
      <c r="BA1158" s="93" t="n"/>
      <c r="BB1158" s="93" t="n"/>
      <c r="BC1158" s="93" t="n"/>
      <c r="BD1158" s="93" t="n"/>
      <c r="BE1158" s="93" t="n"/>
      <c r="BF1158" s="93" t="n"/>
      <c r="BG1158" s="93" t="n"/>
      <c r="BH1158" s="93" t="n"/>
      <c r="BI1158" s="93" t="n"/>
      <c r="BJ1158" s="93" t="n"/>
      <c r="BK1158" s="93" t="n"/>
      <c r="BL1158" s="93" t="n"/>
      <c r="BM1158" s="93" t="n"/>
      <c r="BN1158" s="93" t="n"/>
      <c r="BO1158" s="93" t="n"/>
      <c r="BP1158" s="93" t="n"/>
      <c r="BQ1158" s="93" t="n"/>
      <c r="BR1158" s="93" t="n"/>
      <c r="BS1158" s="93" t="n"/>
      <c r="BT1158" s="93" t="n"/>
      <c r="BU1158" s="93" t="n"/>
      <c r="BV1158" s="522" t="n"/>
      <c r="BW1158" s="93" t="n"/>
      <c r="BX1158" s="93" t="n"/>
      <c r="BY1158" s="93" t="n"/>
      <c r="BZ1158" s="93" t="n"/>
      <c r="CA1158" s="93" t="n"/>
      <c r="CB1158" s="93" t="n"/>
      <c r="CC1158" s="93" t="n"/>
      <c r="CD1158" s="93" t="n"/>
      <c r="CE1158" s="93" t="n"/>
      <c r="CF1158" s="162" t="n"/>
      <c r="CG1158" s="155" t="n"/>
    </row>
    <row r="1159" collapsed="1">
      <c r="A1159" s="166" t="inlineStr">
        <is>
          <t>Last Working Day In Period</t>
        </is>
      </c>
      <c r="B1159" s="93" t="n"/>
      <c r="C1159" s="1008">
        <f>WORKDAY(INDEX(MO_Common_QEndDate,0,COLUMN()),-1)</f>
        <v/>
      </c>
      <c r="D1159" s="1008">
        <f>WORKDAY(INDEX(MO_Common_QEndDate,0,COLUMN()),-1)</f>
        <v/>
      </c>
      <c r="E1159" s="1008">
        <f>WORKDAY(INDEX(MO_Common_QEndDate,0,COLUMN()),-1)</f>
        <v/>
      </c>
      <c r="F1159" s="1008">
        <f>WORKDAY(INDEX(MO_Common_QEndDate,0,COLUMN()),-1)</f>
        <v/>
      </c>
      <c r="G1159" s="1008">
        <f>WORKDAY(INDEX(MO_Common_QEndDate,0,COLUMN()),-1)</f>
        <v/>
      </c>
      <c r="H1159" s="259">
        <f>WORKDAY(INDEX(MO_Common_QEndDate,0,COLUMN()),-1)</f>
        <v/>
      </c>
      <c r="I1159" s="259">
        <f>WORKDAY(INDEX(MO_Common_QEndDate,0,COLUMN()),-1)</f>
        <v/>
      </c>
      <c r="J1159" s="259">
        <f>WORKDAY(INDEX(MO_Common_QEndDate,0,COLUMN()),-1)</f>
        <v/>
      </c>
      <c r="K1159" s="259">
        <f>WORKDAY(INDEX(MO_Common_QEndDate,0,COLUMN()),-1)</f>
        <v/>
      </c>
      <c r="L1159" s="259">
        <f>WORKDAY(INDEX(MO_Common_QEndDate,0,COLUMN()),-1)</f>
        <v/>
      </c>
      <c r="M1159" s="259">
        <f>WORKDAY(INDEX(MO_Common_QEndDate,0,COLUMN()),-1)</f>
        <v/>
      </c>
      <c r="N1159" s="259">
        <f>WORKDAY(INDEX(MO_Common_QEndDate,0,COLUMN()),-1)</f>
        <v/>
      </c>
      <c r="O1159" s="259">
        <f>WORKDAY(INDEX(MO_Common_QEndDate,0,COLUMN()),-1)</f>
        <v/>
      </c>
      <c r="P1159" s="259">
        <f>WORKDAY(INDEX(MO_Common_QEndDate,0,COLUMN()),-1)</f>
        <v/>
      </c>
      <c r="Q1159" s="259">
        <f>WORKDAY(INDEX(MO_Common_QEndDate,0,COLUMN()),-1)</f>
        <v/>
      </c>
      <c r="R1159" s="259">
        <f>WORKDAY(INDEX(MO_Common_QEndDate,0,COLUMN()),-1)</f>
        <v/>
      </c>
      <c r="S1159" s="259">
        <f>WORKDAY(INDEX(MO_Common_QEndDate,0,COLUMN()),-1)</f>
        <v/>
      </c>
      <c r="T1159" s="259">
        <f>WORKDAY(INDEX(MO_Common_QEndDate,0,COLUMN()),-1)</f>
        <v/>
      </c>
      <c r="U1159" s="259">
        <f>WORKDAY(INDEX(MO_Common_QEndDate,0,COLUMN()),-1)</f>
        <v/>
      </c>
      <c r="V1159" s="259">
        <f>WORKDAY(INDEX(MO_Common_QEndDate,0,COLUMN()),-1)</f>
        <v/>
      </c>
      <c r="W1159" s="259">
        <f>WORKDAY(INDEX(MO_Common_QEndDate,0,COLUMN()),-1)</f>
        <v/>
      </c>
      <c r="X1159" s="259">
        <f>WORKDAY(INDEX(MO_Common_QEndDate,0,COLUMN()),-1)</f>
        <v/>
      </c>
      <c r="Y1159" s="259">
        <f>WORKDAY(INDEX(MO_Common_QEndDate,0,COLUMN()),-1)</f>
        <v/>
      </c>
      <c r="Z1159" s="259">
        <f>WORKDAY(INDEX(MO_Common_QEndDate,0,COLUMN()),-1)</f>
        <v/>
      </c>
      <c r="AA1159" s="259">
        <f>WORKDAY(INDEX(MO_Common_QEndDate,0,COLUMN()),-1)</f>
        <v/>
      </c>
      <c r="AB1159" s="259">
        <f>WORKDAY(INDEX(MO_Common_QEndDate,0,COLUMN()),-1)</f>
        <v/>
      </c>
      <c r="AC1159" s="259">
        <f>WORKDAY(INDEX(MO_Common_QEndDate,0,COLUMN()),-1)</f>
        <v/>
      </c>
      <c r="AD1159" s="259">
        <f>WORKDAY(INDEX(MO_Common_QEndDate,0,COLUMN()),-1)</f>
        <v/>
      </c>
      <c r="AE1159" s="259">
        <f>WORKDAY(INDEX(MO_Common_QEndDate,0,COLUMN()),-1)</f>
        <v/>
      </c>
      <c r="AF1159" s="259">
        <f>WORKDAY(INDEX(MO_Common_QEndDate,0,COLUMN()),-1)</f>
        <v/>
      </c>
      <c r="AG1159" s="259">
        <f>WORKDAY(INDEX(MO_Common_QEndDate,0,COLUMN()),-1)</f>
        <v/>
      </c>
      <c r="AH1159" s="259">
        <f>WORKDAY(INDEX(MO_Common_QEndDate,0,COLUMN()),-1)</f>
        <v/>
      </c>
      <c r="AI1159" s="259">
        <f>WORKDAY(INDEX(MO_Common_QEndDate,0,COLUMN()),-1)</f>
        <v/>
      </c>
      <c r="AJ1159" s="259">
        <f>WORKDAY(INDEX(MO_Common_QEndDate,0,COLUMN()),-1)</f>
        <v/>
      </c>
      <c r="AK1159" s="259">
        <f>WORKDAY(INDEX(MO_Common_QEndDate,0,COLUMN()),-1)</f>
        <v/>
      </c>
      <c r="AL1159" s="259">
        <f>WORKDAY(INDEX(MO_Common_QEndDate,0,COLUMN()),-1)</f>
        <v/>
      </c>
      <c r="AM1159" s="259">
        <f>WORKDAY(INDEX(MO_Common_QEndDate,0,COLUMN()),-1)</f>
        <v/>
      </c>
      <c r="AN1159" s="259">
        <f>WORKDAY(INDEX(MO_Common_QEndDate,0,COLUMN()),-1)</f>
        <v/>
      </c>
      <c r="AO1159" s="259">
        <f>WORKDAY(INDEX(MO_Common_QEndDate,0,COLUMN()),-1)</f>
        <v/>
      </c>
      <c r="AP1159" s="259">
        <f>WORKDAY(INDEX(MO_Common_QEndDate,0,COLUMN()),-1)</f>
        <v/>
      </c>
      <c r="AQ1159" s="259">
        <f>WORKDAY(INDEX(MO_Common_QEndDate,0,COLUMN()),-1)</f>
        <v/>
      </c>
      <c r="AR1159" s="259">
        <f>WORKDAY(INDEX(MO_Common_QEndDate,0,COLUMN()),-1)</f>
        <v/>
      </c>
      <c r="AS1159" s="259">
        <f>WORKDAY(INDEX(MO_Common_QEndDate,0,COLUMN()),-1)</f>
        <v/>
      </c>
      <c r="AT1159" s="259">
        <f>WORKDAY(INDEX(MO_Common_QEndDate,0,COLUMN()),-1)</f>
        <v/>
      </c>
      <c r="AU1159" s="259">
        <f>WORKDAY(INDEX(MO_Common_QEndDate,0,COLUMN()),-1)</f>
        <v/>
      </c>
      <c r="AV1159" s="259">
        <f>WORKDAY(INDEX(MO_Common_QEndDate,0,COLUMN()),-1)</f>
        <v/>
      </c>
      <c r="AW1159" s="259">
        <f>WORKDAY(INDEX(MO_Common_QEndDate,0,COLUMN()),-1)</f>
        <v/>
      </c>
      <c r="AX1159" s="259">
        <f>WORKDAY(INDEX(MO_Common_QEndDate,0,COLUMN()),-1)</f>
        <v/>
      </c>
      <c r="AY1159" s="259">
        <f>WORKDAY(INDEX(MO_Common_QEndDate,0,COLUMN()),-1)</f>
        <v/>
      </c>
      <c r="AZ1159" s="259">
        <f>WORKDAY(INDEX(MO_Common_QEndDate,0,COLUMN()),-1)</f>
        <v/>
      </c>
      <c r="BA1159" s="259">
        <f>WORKDAY(INDEX(MO_Common_QEndDate,0,COLUMN()),-1)</f>
        <v/>
      </c>
      <c r="BB1159" s="259">
        <f>WORKDAY(INDEX(MO_Common_QEndDate,0,COLUMN()),-1)</f>
        <v/>
      </c>
      <c r="BC1159" s="259">
        <f>WORKDAY(INDEX(MO_Common_QEndDate,0,COLUMN()),-1)</f>
        <v/>
      </c>
      <c r="BD1159" s="259">
        <f>WORKDAY(INDEX(MO_Common_QEndDate,0,COLUMN()),-1)</f>
        <v/>
      </c>
      <c r="BE1159" s="259">
        <f>WORKDAY(INDEX(MO_Common_QEndDate,0,COLUMN()),-1)</f>
        <v/>
      </c>
      <c r="BF1159" s="259">
        <f>WORKDAY(INDEX(MO_Common_QEndDate,0,COLUMN()),-1)</f>
        <v/>
      </c>
      <c r="BG1159" s="259">
        <f>WORKDAY(INDEX(MO_Common_QEndDate,0,COLUMN()),-1)</f>
        <v/>
      </c>
      <c r="BH1159" s="259">
        <f>WORKDAY(INDEX(MO_Common_QEndDate,0,COLUMN()),-1)</f>
        <v/>
      </c>
      <c r="BI1159" s="259">
        <f>WORKDAY(INDEX(MO_Common_QEndDate,0,COLUMN()),-1)</f>
        <v/>
      </c>
      <c r="BJ1159" s="259">
        <f>WORKDAY(INDEX(MO_Common_QEndDate,0,COLUMN()),-1)</f>
        <v/>
      </c>
      <c r="BK1159" s="259">
        <f>WORKDAY(INDEX(MO_Common_QEndDate,0,COLUMN()),-1)</f>
        <v/>
      </c>
      <c r="BL1159" s="259">
        <f>WORKDAY(INDEX(MO_Common_QEndDate,0,COLUMN()),-1)</f>
        <v/>
      </c>
      <c r="BM1159" s="259">
        <f>WORKDAY(INDEX(MO_Common_QEndDate,0,COLUMN()),-1)</f>
        <v/>
      </c>
      <c r="BN1159" s="259">
        <f>WORKDAY(INDEX(MO_Common_QEndDate,0,COLUMN()),-1)</f>
        <v/>
      </c>
      <c r="BO1159" s="259">
        <f>WORKDAY(INDEX(MO_Common_QEndDate,0,COLUMN()),-1)</f>
        <v/>
      </c>
      <c r="BP1159" s="259">
        <f>WORKDAY(INDEX(MO_Common_QEndDate,0,COLUMN()),-1)</f>
        <v/>
      </c>
      <c r="BQ1159" s="259">
        <f>WORKDAY(INDEX(MO_Common_QEndDate,0,COLUMN()),-1)</f>
        <v/>
      </c>
      <c r="BR1159" s="259">
        <f>WORKDAY(INDEX(MO_Common_QEndDate,0,COLUMN()),-1)</f>
        <v/>
      </c>
      <c r="BS1159" s="259">
        <f>WORKDAY(INDEX(MO_Common_QEndDate,0,COLUMN()),-1)</f>
        <v/>
      </c>
      <c r="BT1159" s="259">
        <f>WORKDAY(INDEX(MO_Common_QEndDate,0,COLUMN()),-1)</f>
        <v/>
      </c>
      <c r="BU1159" s="259">
        <f>WORKDAY(INDEX(MO_Common_QEndDate,0,COLUMN()),-1)</f>
        <v/>
      </c>
      <c r="BV1159" s="528">
        <f>WORKDAY(INDEX(MO_Common_QEndDate,0,COLUMN()),-1)</f>
        <v/>
      </c>
      <c r="BW1159" s="259">
        <f>WORKDAY(INDEX(MO_Common_QEndDate,0,COLUMN()),-1)</f>
        <v/>
      </c>
      <c r="BX1159" s="259">
        <f>WORKDAY(INDEX(MO_Common_QEndDate,0,COLUMN()),-1)</f>
        <v/>
      </c>
      <c r="BY1159" s="259">
        <f>WORKDAY(INDEX(MO_Common_QEndDate,0,COLUMN()),-1)</f>
        <v/>
      </c>
      <c r="BZ1159" s="259">
        <f>WORKDAY(INDEX(MO_Common_QEndDate,0,COLUMN()),-1)</f>
        <v/>
      </c>
      <c r="CA1159" s="259">
        <f>WORKDAY(INDEX(MO_Common_QEndDate,0,COLUMN()),-1)</f>
        <v/>
      </c>
      <c r="CB1159" s="259">
        <f>WORKDAY(INDEX(MO_Common_QEndDate,0,COLUMN()),-1)</f>
        <v/>
      </c>
      <c r="CC1159" s="259">
        <f>WORKDAY(INDEX(MO_Common_QEndDate,0,COLUMN()),-1)</f>
        <v/>
      </c>
      <c r="CD1159" s="259">
        <f>WORKDAY(INDEX(MO_Common_QEndDate,0,COLUMN()),-1)</f>
        <v/>
      </c>
      <c r="CE1159" s="259">
        <f>WORKDAY(INDEX(MO_Common_QEndDate,0,COLUMN()),-1)</f>
        <v/>
      </c>
      <c r="CF1159" s="260">
        <f>WORKDAY(INDEX(MO_Common_QEndDate,0,COLUMN()),-1)</f>
        <v/>
      </c>
      <c r="CG1159" s="155" t="n"/>
    </row>
    <row r="1160">
      <c r="A1160" s="166" t="inlineStr">
        <is>
          <t>Stock Price EoP</t>
        </is>
      </c>
      <c r="B1160" s="93" t="n"/>
      <c r="C1160" s="1439">
        <f>1.9875/(10)</f>
        <v/>
      </c>
      <c r="D1160" s="1439">
        <f>3.8475/(10)</f>
        <v/>
      </c>
      <c r="E1160" s="1439">
        <f>5.94/(10)</f>
        <v/>
      </c>
      <c r="F1160" s="1439">
        <f>3.7/(10)</f>
        <v/>
      </c>
      <c r="G1160" s="1439">
        <f>3.245/(10)</f>
        <v/>
      </c>
      <c r="H1160" s="1440">
        <f>3.3325/(10)</f>
        <v/>
      </c>
      <c r="I1160" s="1440">
        <f>3.0125/(10)</f>
        <v/>
      </c>
      <c r="J1160" s="1440">
        <f>3.08/(10)</f>
        <v/>
      </c>
      <c r="K1160" s="1440">
        <f>3.08/(10)</f>
        <v/>
      </c>
      <c r="L1160" s="1440">
        <f>3.3925/(10)</f>
        <v/>
      </c>
      <c r="M1160" s="1440">
        <f>3.6025/(10)</f>
        <v/>
      </c>
      <c r="N1160" s="1440">
        <f>3.805/(10)</f>
        <v/>
      </c>
      <c r="O1160" s="1440">
        <f>3.93/(10)</f>
        <v/>
      </c>
      <c r="P1160" s="1440">
        <f>3.93/(10)</f>
        <v/>
      </c>
      <c r="Q1160" s="1440">
        <f>4.6725/(10)</f>
        <v/>
      </c>
      <c r="R1160" s="1440">
        <f>4.52/(10)</f>
        <v/>
      </c>
      <c r="S1160" s="1440">
        <f>4.6725/(10)</f>
        <v/>
      </c>
      <c r="T1160" s="1440">
        <f>4.8012/(10)</f>
        <v/>
      </c>
      <c r="U1160" s="1440">
        <f>4.8012/(10)</f>
        <v/>
      </c>
      <c r="V1160" s="1440">
        <f>5.535/(10)</f>
        <v/>
      </c>
      <c r="W1160" s="1440">
        <f>5.005/(10)</f>
        <v/>
      </c>
      <c r="X1160" s="1440">
        <f>7.0925/(10)</f>
        <v/>
      </c>
      <c r="Y1160" s="1440">
        <f>7.3225/(10)</f>
        <v/>
      </c>
      <c r="Z1160" s="1440">
        <f>7.3225/(10)</f>
        <v/>
      </c>
      <c r="AA1160" s="1440">
        <f>8.8825/(10)</f>
        <v/>
      </c>
      <c r="AB1160" s="1440">
        <f>14.275/(10)</f>
        <v/>
      </c>
      <c r="AC1160" s="1440">
        <f>17.64/(10)</f>
        <v/>
      </c>
      <c r="AD1160" s="1440">
        <f>27.505/(10)</f>
        <v/>
      </c>
      <c r="AE1160" s="1440">
        <f>27.505/(10)</f>
        <v/>
      </c>
      <c r="AF1160" s="1440">
        <f>26.075/(10)</f>
        <v/>
      </c>
      <c r="AG1160" s="1440">
        <f>41.0975/(10)</f>
        <v/>
      </c>
      <c r="AH1160" s="1440">
        <f>50.96/(10)</f>
        <v/>
      </c>
      <c r="AI1160" s="1440">
        <f>60.68/(10)</f>
        <v/>
      </c>
      <c r="AJ1160" s="1440">
        <f>60.68/(10)</f>
        <v/>
      </c>
      <c r="AK1160" s="1440">
        <f>56.5825/(10)</f>
        <v/>
      </c>
      <c r="AL1160" s="1440">
        <f>61.0325/(10)</f>
        <v/>
      </c>
      <c r="AM1160" s="1440">
        <f>50.75/(10)</f>
        <v/>
      </c>
      <c r="AN1160" s="1440">
        <f>34.3475/(10)</f>
        <v/>
      </c>
      <c r="AO1160" s="1440">
        <f>34.3475/(10)</f>
        <v/>
      </c>
      <c r="AP1160" s="1440">
        <f>44.8325/(10)</f>
        <v/>
      </c>
      <c r="AQ1160" s="1440">
        <f>43.8625/(10)</f>
        <v/>
      </c>
      <c r="AR1160" s="1440">
        <f>50.75/(10)</f>
        <v/>
      </c>
      <c r="AS1160" s="1440">
        <f>61.4525/(10)</f>
        <v/>
      </c>
      <c r="AT1160" s="1440">
        <f>61.4525/(10)</f>
        <v/>
      </c>
      <c r="AU1160" s="1440">
        <f>74.615/(10)</f>
        <v/>
      </c>
      <c r="AV1160" s="1440">
        <f>106.14/(10)</f>
        <v/>
      </c>
      <c r="AW1160" s="1440">
        <f>125.34/(10)</f>
        <v/>
      </c>
      <c r="AX1160" s="1440">
        <f>129.8975/(10)</f>
        <v/>
      </c>
      <c r="AY1160" s="1440">
        <f>129.8975/(10)</f>
        <v/>
      </c>
      <c r="AZ1160" s="1440">
        <f>153.2475/(10)</f>
        <v/>
      </c>
      <c r="BA1160" s="1440">
        <f>194.99/(10)</f>
        <v/>
      </c>
      <c r="BB1160" s="1440">
        <f>255.67/(10)</f>
        <v/>
      </c>
      <c r="BC1160" s="1440">
        <f>228.4/(10)</f>
        <v/>
      </c>
      <c r="BD1160" s="1440">
        <f>228.4/(10)</f>
        <v/>
      </c>
      <c r="BE1160" s="1440">
        <f>185.47/(10)</f>
        <v/>
      </c>
      <c r="BF1160" s="1440">
        <f>181.63/(10)</f>
        <v/>
      </c>
      <c r="BG1160" s="1440">
        <f>138.34/(10)</f>
        <v/>
      </c>
      <c r="BH1160" s="1440">
        <f>191.62/(10)</f>
        <v/>
      </c>
      <c r="BI1160" s="1440">
        <f>191.62/(10)</f>
        <v/>
      </c>
      <c r="BJ1160" s="1440">
        <f>277.49/(10)</f>
        <v/>
      </c>
      <c r="BK1160" s="1440">
        <f>467.5/(10)</f>
        <v/>
      </c>
      <c r="BL1160" s="1440">
        <f>405/(10)</f>
        <v/>
      </c>
      <c r="BM1160" s="1440">
        <f>610.31/(10)</f>
        <v/>
      </c>
      <c r="BN1160" s="1440">
        <f>610.31/(10)</f>
        <v/>
      </c>
      <c r="BO1160" s="1440">
        <f>877.35/(10)</f>
        <v/>
      </c>
      <c r="BP1160" s="1440" t="n">
        <v>113.06</v>
      </c>
      <c r="BQ1160" s="1440" t="n">
        <v>141.54</v>
      </c>
      <c r="BR1160" s="1440" t="n">
        <v>142.62</v>
      </c>
      <c r="BS1160" s="1440" t="n">
        <v>142.62</v>
      </c>
      <c r="BT1160" s="1440">
        <f>877.35/(10)</f>
        <v/>
      </c>
      <c r="BU1160" s="1440" t="n">
        <v>173.5</v>
      </c>
      <c r="BV1160" s="1441" t="n">
        <v>186.26</v>
      </c>
      <c r="BW1160" s="1442" t="n"/>
      <c r="BX1160" s="1442" t="n"/>
      <c r="BY1160" s="1442" t="n"/>
      <c r="BZ1160" s="1442" t="n"/>
      <c r="CA1160" s="1442" t="n"/>
      <c r="CB1160" s="1442" t="n"/>
      <c r="CC1160" s="1442" t="n"/>
      <c r="CD1160" s="1442" t="n"/>
      <c r="CE1160" s="1442" t="n"/>
      <c r="CF1160" s="1443" t="n"/>
      <c r="CG1160" s="155" t="n"/>
    </row>
    <row r="1161">
      <c r="A1161" s="166" t="inlineStr">
        <is>
          <t>FX EoP</t>
        </is>
      </c>
      <c r="B1161" s="93" t="n"/>
      <c r="C1161" s="1096" t="n">
        <v>1</v>
      </c>
      <c r="D1161" s="1096" t="n">
        <v>1</v>
      </c>
      <c r="E1161" s="1096" t="n">
        <v>1</v>
      </c>
      <c r="F1161" s="1096" t="n">
        <v>1</v>
      </c>
      <c r="G1161" s="1096" t="n">
        <v>1</v>
      </c>
      <c r="H1161" s="1097" t="n">
        <v>1</v>
      </c>
      <c r="I1161" s="1097" t="n">
        <v>1</v>
      </c>
      <c r="J1161" s="1097" t="n">
        <v>1</v>
      </c>
      <c r="K1161" s="1097" t="n">
        <v>1</v>
      </c>
      <c r="L1161" s="1097" t="n">
        <v>1</v>
      </c>
      <c r="M1161" s="1097" t="n">
        <v>1</v>
      </c>
      <c r="N1161" s="1097" t="n">
        <v>1</v>
      </c>
      <c r="O1161" s="1097" t="n">
        <v>1</v>
      </c>
      <c r="P1161" s="1097" t="n">
        <v>1</v>
      </c>
      <c r="Q1161" s="1097" t="n">
        <v>1</v>
      </c>
      <c r="R1161" s="1097" t="n">
        <v>1</v>
      </c>
      <c r="S1161" s="1097" t="n">
        <v>1</v>
      </c>
      <c r="T1161" s="1097" t="n">
        <v>1</v>
      </c>
      <c r="U1161" s="1097" t="n">
        <v>1</v>
      </c>
      <c r="V1161" s="1097" t="n">
        <v>1</v>
      </c>
      <c r="W1161" s="1097" t="n">
        <v>1</v>
      </c>
      <c r="X1161" s="1097" t="n">
        <v>1</v>
      </c>
      <c r="Y1161" s="1097" t="n">
        <v>1</v>
      </c>
      <c r="Z1161" s="1097" t="n">
        <v>1</v>
      </c>
      <c r="AA1161" s="1097" t="n">
        <v>1</v>
      </c>
      <c r="AB1161" s="1097" t="n">
        <v>1</v>
      </c>
      <c r="AC1161" s="1097" t="n">
        <v>1</v>
      </c>
      <c r="AD1161" s="1097" t="n">
        <v>1</v>
      </c>
      <c r="AE1161" s="1097" t="n">
        <v>1</v>
      </c>
      <c r="AF1161" s="1097" t="n">
        <v>1</v>
      </c>
      <c r="AG1161" s="1097" t="n">
        <v>1</v>
      </c>
      <c r="AH1161" s="1097" t="n">
        <v>1</v>
      </c>
      <c r="AI1161" s="1097" t="n">
        <v>1</v>
      </c>
      <c r="AJ1161" s="1097" t="n">
        <v>1</v>
      </c>
      <c r="AK1161" s="1097" t="n">
        <v>1</v>
      </c>
      <c r="AL1161" s="1097" t="n">
        <v>1</v>
      </c>
      <c r="AM1161" s="1097" t="n">
        <v>1</v>
      </c>
      <c r="AN1161" s="1097" t="n">
        <v>1</v>
      </c>
      <c r="AO1161" s="1097" t="n">
        <v>1</v>
      </c>
      <c r="AP1161" s="1097" t="n">
        <v>1</v>
      </c>
      <c r="AQ1161" s="1097" t="n">
        <v>1</v>
      </c>
      <c r="AR1161" s="1097" t="n">
        <v>1</v>
      </c>
      <c r="AS1161" s="1097" t="n">
        <v>1</v>
      </c>
      <c r="AT1161" s="1097" t="n">
        <v>1</v>
      </c>
      <c r="AU1161" s="1097" t="n">
        <v>1</v>
      </c>
      <c r="AV1161" s="1097" t="n">
        <v>1</v>
      </c>
      <c r="AW1161" s="1097" t="n">
        <v>1</v>
      </c>
      <c r="AX1161" s="1097" t="n">
        <v>1</v>
      </c>
      <c r="AY1161" s="1097" t="n">
        <v>1</v>
      </c>
      <c r="AZ1161" s="1097" t="n">
        <v>1</v>
      </c>
      <c r="BA1161" s="1097" t="n">
        <v>1</v>
      </c>
      <c r="BB1161" s="1097" t="n">
        <v>1</v>
      </c>
      <c r="BC1161" s="1097" t="n">
        <v>1</v>
      </c>
      <c r="BD1161" s="1097" t="n">
        <v>1</v>
      </c>
      <c r="BE1161" s="1097" t="n">
        <v>1</v>
      </c>
      <c r="BF1161" s="1097" t="n">
        <v>1</v>
      </c>
      <c r="BG1161" s="1097" t="n">
        <v>1</v>
      </c>
      <c r="BH1161" s="1097" t="n">
        <v>1</v>
      </c>
      <c r="BI1161" s="1097" t="n">
        <v>1</v>
      </c>
      <c r="BJ1161" s="1097" t="n">
        <v>1</v>
      </c>
      <c r="BK1161" s="1097" t="n">
        <v>1</v>
      </c>
      <c r="BL1161" s="1097" t="n">
        <v>1</v>
      </c>
      <c r="BM1161" s="1097" t="n">
        <v>1</v>
      </c>
      <c r="BN1161" s="1097" t="n">
        <v>1</v>
      </c>
      <c r="BO1161" s="1097" t="n">
        <v>1</v>
      </c>
      <c r="BP1161" s="1097" t="n">
        <v>1</v>
      </c>
      <c r="BQ1161" s="1097" t="n">
        <v>1</v>
      </c>
      <c r="BR1161" s="1097" t="n">
        <v>1</v>
      </c>
      <c r="BS1161" s="1097" t="n">
        <v>1</v>
      </c>
      <c r="BT1161" s="1097" t="n">
        <v>1</v>
      </c>
      <c r="BU1161" s="1097" t="n">
        <v>1</v>
      </c>
      <c r="BV1161" s="1098" t="n">
        <v>1</v>
      </c>
      <c r="BW1161" s="266" t="n"/>
      <c r="BX1161" s="266" t="n"/>
      <c r="BY1161" s="266" t="n"/>
      <c r="BZ1161" s="266" t="n"/>
      <c r="CA1161" s="266" t="n"/>
      <c r="CB1161" s="266" t="n"/>
      <c r="CC1161" s="266" t="n"/>
      <c r="CD1161" s="266" t="n"/>
      <c r="CE1161" s="266" t="n"/>
      <c r="CF1161" s="267" t="n"/>
      <c r="CG1161" s="155" t="n"/>
    </row>
    <row r="1162">
      <c r="A1162" s="691" t="n"/>
      <c r="B1162" s="983" t="n"/>
      <c r="C1162" s="692" t="n"/>
      <c r="D1162" s="692" t="n"/>
      <c r="E1162" s="692" t="n"/>
      <c r="F1162" s="692" t="n"/>
      <c r="G1162" s="692" t="n"/>
      <c r="H1162" s="693" t="n"/>
      <c r="I1162" s="693" t="n"/>
      <c r="J1162" s="693" t="n"/>
      <c r="K1162" s="693" t="n"/>
      <c r="L1162" s="693" t="n"/>
      <c r="M1162" s="693" t="n"/>
      <c r="N1162" s="693" t="n"/>
      <c r="O1162" s="693" t="n"/>
      <c r="P1162" s="693" t="n"/>
      <c r="Q1162" s="693" t="n"/>
      <c r="R1162" s="693" t="n"/>
      <c r="S1162" s="693" t="n"/>
      <c r="T1162" s="693" t="n"/>
      <c r="U1162" s="693" t="n"/>
      <c r="V1162" s="693" t="n"/>
      <c r="W1162" s="693" t="n"/>
      <c r="X1162" s="693" t="n"/>
      <c r="Y1162" s="693" t="n"/>
      <c r="Z1162" s="693" t="n"/>
      <c r="AA1162" s="693" t="n"/>
      <c r="AB1162" s="693" t="n"/>
      <c r="AC1162" s="693" t="n"/>
      <c r="AD1162" s="693" t="n"/>
      <c r="AE1162" s="693" t="n"/>
      <c r="AF1162" s="693" t="n"/>
      <c r="AG1162" s="693" t="n"/>
      <c r="AH1162" s="693" t="n"/>
      <c r="AI1162" s="693" t="n"/>
      <c r="AJ1162" s="693" t="n"/>
      <c r="AK1162" s="693" t="n"/>
      <c r="AL1162" s="693" t="n"/>
      <c r="AM1162" s="693" t="n"/>
      <c r="AN1162" s="693" t="n"/>
      <c r="AO1162" s="693" t="n"/>
      <c r="AP1162" s="693" t="n"/>
      <c r="AQ1162" s="693" t="n"/>
      <c r="AR1162" s="693" t="n"/>
      <c r="AS1162" s="693" t="n"/>
      <c r="AT1162" s="693" t="n"/>
      <c r="AU1162" s="693" t="n"/>
      <c r="AV1162" s="693" t="n"/>
      <c r="AW1162" s="693" t="n"/>
      <c r="AX1162" s="693" t="n"/>
      <c r="AY1162" s="693" t="n"/>
      <c r="AZ1162" s="693" t="n"/>
      <c r="BA1162" s="693" t="n"/>
      <c r="BB1162" s="693" t="n"/>
      <c r="BC1162" s="693" t="n"/>
      <c r="BD1162" s="693" t="n"/>
      <c r="BE1162" s="693" t="n"/>
      <c r="BF1162" s="693" t="n"/>
      <c r="BG1162" s="693" t="n"/>
      <c r="BH1162" s="693" t="n"/>
      <c r="BI1162" s="693" t="n"/>
      <c r="BJ1162" s="693" t="n"/>
      <c r="BK1162" s="693" t="n"/>
      <c r="BL1162" s="693" t="n"/>
      <c r="BM1162" s="693" t="n"/>
      <c r="BN1162" s="693" t="n"/>
      <c r="BO1162" s="693" t="n"/>
      <c r="BP1162" s="693" t="n"/>
      <c r="BQ1162" s="693" t="n"/>
      <c r="BR1162" s="693" t="n"/>
      <c r="BS1162" s="693" t="n"/>
      <c r="BT1162" s="693" t="n"/>
      <c r="BU1162" s="693" t="n"/>
      <c r="BV1162" s="694" t="n"/>
      <c r="BW1162" s="693" t="n"/>
      <c r="BX1162" s="693" t="n"/>
      <c r="BY1162" s="693" t="n"/>
      <c r="BZ1162" s="693" t="n"/>
      <c r="CA1162" s="693" t="n"/>
      <c r="CB1162" s="693" t="n"/>
      <c r="CC1162" s="693" t="n"/>
      <c r="CD1162" s="693" t="n"/>
      <c r="CE1162" s="693" t="n"/>
      <c r="CF1162" s="695" t="n"/>
      <c r="CG1162" s="155" t="n"/>
    </row>
    <row r="1163">
      <c r="A1163" s="253" t="n"/>
      <c r="B1163" s="93" t="n"/>
      <c r="C1163" s="989" t="n"/>
      <c r="D1163" s="989" t="n"/>
      <c r="E1163" s="93" t="n"/>
      <c r="F1163" s="93" t="n"/>
      <c r="G1163" s="93" t="n"/>
      <c r="H1163" s="93" t="n"/>
      <c r="I1163" s="93" t="n"/>
      <c r="J1163" s="93" t="n"/>
      <c r="K1163" s="93" t="n"/>
      <c r="L1163" s="93" t="n"/>
      <c r="M1163" s="93" t="n"/>
      <c r="N1163" s="93" t="n"/>
      <c r="O1163" s="93" t="n"/>
      <c r="P1163" s="93" t="n"/>
      <c r="Q1163" s="93" t="n"/>
      <c r="R1163" s="93" t="n"/>
      <c r="S1163" s="93" t="n"/>
      <c r="T1163" s="93" t="n"/>
      <c r="U1163" s="93" t="n"/>
      <c r="V1163" s="93" t="n"/>
      <c r="W1163" s="93" t="n"/>
      <c r="X1163" s="93" t="n"/>
      <c r="Y1163" s="93" t="n"/>
      <c r="Z1163" s="93" t="n"/>
      <c r="AA1163" s="93" t="n"/>
      <c r="AB1163" s="93" t="n"/>
      <c r="AC1163" s="93" t="n"/>
      <c r="AD1163" s="93" t="n"/>
      <c r="AE1163" s="93" t="n"/>
      <c r="AF1163" s="93" t="n"/>
      <c r="AG1163" s="93" t="n"/>
      <c r="AH1163" s="93" t="n"/>
      <c r="AI1163" s="93" t="n"/>
      <c r="AJ1163" s="93" t="n"/>
      <c r="AK1163" s="93" t="n"/>
      <c r="AL1163" s="93" t="n"/>
      <c r="AM1163" s="93" t="n"/>
      <c r="AN1163" s="93" t="n"/>
      <c r="AO1163" s="93" t="n"/>
      <c r="AP1163" s="93" t="n"/>
      <c r="AQ1163" s="93" t="n"/>
      <c r="AR1163" s="93" t="n"/>
      <c r="AS1163" s="93" t="n"/>
      <c r="AT1163" s="93" t="n"/>
      <c r="AU1163" s="93" t="n"/>
      <c r="AV1163" s="93" t="n"/>
      <c r="AW1163" s="93" t="n"/>
      <c r="AX1163" s="93" t="n"/>
      <c r="AY1163" s="93" t="n"/>
      <c r="AZ1163" s="93" t="n"/>
      <c r="BA1163" s="93" t="n"/>
      <c r="BB1163" s="93" t="n"/>
      <c r="BC1163" s="93" t="n"/>
      <c r="BD1163" s="93" t="n"/>
      <c r="BE1163" s="93" t="n"/>
      <c r="BF1163" s="93" t="n"/>
      <c r="BG1163" s="93" t="n"/>
      <c r="BH1163" s="93" t="n"/>
      <c r="BI1163" s="93" t="n"/>
      <c r="BJ1163" s="93" t="n"/>
      <c r="BK1163" s="93" t="n"/>
      <c r="BL1163" s="93" t="n"/>
      <c r="BM1163" s="93" t="n"/>
      <c r="BN1163" s="93" t="n"/>
      <c r="BO1163" s="93" t="n"/>
      <c r="BP1163" s="93" t="n"/>
      <c r="BQ1163" s="93" t="n"/>
      <c r="BR1163" s="93" t="n"/>
      <c r="BS1163" s="93" t="n"/>
      <c r="BT1163" s="93" t="n"/>
      <c r="BU1163" s="93" t="n"/>
      <c r="BV1163" s="522" t="n"/>
      <c r="BW1163" s="93" t="n"/>
      <c r="BX1163" s="93" t="n"/>
      <c r="BY1163" s="93" t="n"/>
      <c r="BZ1163" s="93" t="n"/>
      <c r="CA1163" s="93" t="n"/>
      <c r="CB1163" s="93" t="n"/>
      <c r="CC1163" s="93" t="n"/>
      <c r="CD1163" s="93" t="n"/>
      <c r="CE1163" s="93" t="n"/>
      <c r="CF1163" s="93" t="n"/>
      <c r="CG1163" s="155" t="n"/>
    </row>
    <row r="1164">
      <c r="A1164" s="225" t="inlineStr">
        <is>
          <t>General Table</t>
        </is>
      </c>
      <c r="B1164" s="254" t="n"/>
      <c r="C1164" s="93" t="n"/>
      <c r="D1164" s="93" t="n"/>
      <c r="E1164" s="93" t="n"/>
      <c r="F1164" s="93" t="n"/>
      <c r="G1164" s="93" t="n"/>
      <c r="H1164" s="93" t="n"/>
      <c r="I1164" s="93" t="n"/>
      <c r="J1164" s="93" t="n"/>
      <c r="K1164" s="93" t="n"/>
      <c r="L1164" s="93" t="n"/>
      <c r="M1164" s="93" t="n"/>
      <c r="N1164" s="93" t="n"/>
      <c r="O1164" s="93" t="n"/>
      <c r="P1164" s="93" t="n"/>
      <c r="Q1164" s="93" t="n"/>
      <c r="R1164" s="93" t="n"/>
      <c r="S1164" s="93" t="n"/>
      <c r="T1164" s="93" t="n"/>
      <c r="U1164" s="93" t="n"/>
      <c r="V1164" s="93" t="n"/>
      <c r="W1164" s="93" t="n"/>
      <c r="X1164" s="93" t="n"/>
      <c r="Y1164" s="93" t="n"/>
      <c r="Z1164" s="93" t="n"/>
      <c r="AA1164" s="93" t="n"/>
      <c r="AB1164" s="93" t="n"/>
      <c r="AC1164" s="93" t="n"/>
      <c r="AD1164" s="93" t="n"/>
      <c r="AE1164" s="93" t="n"/>
      <c r="AF1164" s="93" t="n"/>
      <c r="AG1164" s="93" t="n"/>
      <c r="AH1164" s="93" t="n"/>
      <c r="AI1164" s="93" t="n"/>
      <c r="AJ1164" s="93" t="n"/>
      <c r="AK1164" s="93" t="n"/>
      <c r="AL1164" s="93" t="n"/>
      <c r="AM1164" s="93" t="n"/>
      <c r="AN1164" s="93" t="n"/>
      <c r="AO1164" s="93" t="n"/>
      <c r="AP1164" s="93" t="n"/>
      <c r="AQ1164" s="93" t="n"/>
      <c r="AR1164" s="93" t="n"/>
      <c r="AS1164" s="93" t="n"/>
      <c r="AT1164" s="93" t="n"/>
      <c r="AU1164" s="93" t="n"/>
      <c r="AV1164" s="93" t="n"/>
      <c r="AW1164" s="93" t="n"/>
      <c r="AX1164" s="93" t="n"/>
      <c r="AY1164" s="93" t="n"/>
      <c r="AZ1164" s="93" t="n"/>
      <c r="BA1164" s="93" t="n"/>
      <c r="BB1164" s="93" t="n"/>
      <c r="BC1164" s="93" t="n"/>
      <c r="BD1164" s="93" t="n"/>
      <c r="BE1164" s="93" t="n"/>
      <c r="BF1164" s="93" t="n"/>
      <c r="BG1164" s="93" t="n"/>
      <c r="BH1164" s="93" t="n"/>
      <c r="BI1164" s="93" t="n"/>
      <c r="BJ1164" s="93" t="n"/>
      <c r="BK1164" s="93" t="n"/>
      <c r="BL1164" s="93" t="n"/>
      <c r="BM1164" s="93" t="n"/>
      <c r="BN1164" s="93" t="n"/>
      <c r="BO1164" s="93" t="n"/>
      <c r="BP1164" s="93" t="n"/>
      <c r="BQ1164" s="93" t="n"/>
      <c r="BR1164" s="93" t="n"/>
      <c r="BS1164" s="93" t="n"/>
      <c r="BT1164" s="93" t="n"/>
      <c r="BU1164" s="93" t="n"/>
      <c r="BV1164" s="522" t="n"/>
      <c r="BW1164" s="93" t="n"/>
      <c r="BX1164" s="93" t="n"/>
      <c r="BY1164" s="93" t="n"/>
      <c r="BZ1164" s="93" t="n"/>
      <c r="CA1164" s="93" t="n"/>
      <c r="CB1164" s="93" t="n"/>
      <c r="CC1164" s="93" t="n"/>
      <c r="CD1164" s="93" t="n"/>
      <c r="CE1164" s="93" t="n"/>
      <c r="CF1164" s="93" t="n"/>
      <c r="CG1164" s="155" t="n"/>
    </row>
    <row r="1165">
      <c r="A1165" s="230" t="inlineStr">
        <is>
          <t>Last Price</t>
        </is>
      </c>
      <c r="B1165" s="262">
        <f>FP.LastPrice</f>
        <v/>
      </c>
      <c r="C1165" s="262" t="n"/>
      <c r="D1165" s="262" t="n"/>
      <c r="E1165" s="262" t="n"/>
      <c r="F1165" s="262" t="n"/>
      <c r="G1165" s="262" t="n"/>
      <c r="H1165" s="262" t="n"/>
      <c r="I1165" s="262" t="n"/>
      <c r="J1165" s="262" t="n"/>
      <c r="K1165" s="262" t="n"/>
      <c r="L1165" s="262" t="n"/>
      <c r="M1165" s="262" t="n"/>
      <c r="N1165" s="262" t="n"/>
      <c r="O1165" s="262" t="n"/>
      <c r="P1165" s="262" t="n"/>
      <c r="Q1165" s="262" t="n"/>
      <c r="R1165" s="262" t="n"/>
      <c r="S1165" s="262" t="n"/>
      <c r="T1165" s="262" t="n"/>
      <c r="U1165" s="262" t="n"/>
      <c r="V1165" s="262" t="n"/>
      <c r="W1165" s="262" t="n"/>
      <c r="X1165" s="262" t="n"/>
      <c r="Y1165" s="262" t="n"/>
      <c r="Z1165" s="262" t="n"/>
      <c r="AA1165" s="262" t="n"/>
      <c r="AB1165" s="262" t="n"/>
      <c r="AC1165" s="262" t="n"/>
      <c r="AD1165" s="262" t="n"/>
      <c r="AE1165" s="262" t="n"/>
      <c r="AF1165" s="262" t="n"/>
      <c r="AG1165" s="262" t="n"/>
      <c r="AH1165" s="262" t="n"/>
      <c r="AI1165" s="262" t="n"/>
      <c r="AJ1165" s="262" t="n"/>
      <c r="AK1165" s="262" t="n"/>
      <c r="AL1165" s="262" t="n"/>
      <c r="AM1165" s="262" t="n"/>
      <c r="AN1165" s="262" t="n"/>
      <c r="AO1165" s="262" t="n"/>
      <c r="AP1165" s="262" t="n"/>
      <c r="AQ1165" s="262" t="n"/>
      <c r="AR1165" s="262" t="n"/>
      <c r="AS1165" s="262" t="n"/>
      <c r="AT1165" s="262" t="n"/>
      <c r="AU1165" s="262" t="n"/>
      <c r="AV1165" s="262" t="n"/>
      <c r="AW1165" s="262" t="n"/>
      <c r="AX1165" s="262" t="n"/>
      <c r="AY1165" s="262" t="n"/>
      <c r="AZ1165" s="262" t="n"/>
      <c r="BA1165" s="262" t="n"/>
      <c r="BB1165" s="262" t="n"/>
      <c r="BC1165" s="262" t="n"/>
      <c r="BD1165" s="262" t="n"/>
      <c r="BE1165" s="262" t="n"/>
      <c r="BF1165" s="262" t="n"/>
      <c r="BG1165" s="262" t="n"/>
      <c r="BH1165" s="262" t="n"/>
      <c r="BI1165" s="262" t="n"/>
      <c r="BJ1165" s="262" t="n"/>
      <c r="BK1165" s="262" t="n"/>
      <c r="BL1165" s="262" t="n"/>
      <c r="BM1165" s="262" t="n"/>
      <c r="BN1165" s="262" t="n"/>
      <c r="BO1165" s="262" t="n"/>
      <c r="BP1165" s="262" t="n"/>
      <c r="BQ1165" s="262" t="n"/>
      <c r="BR1165" s="262" t="n"/>
      <c r="BS1165" s="262" t="n"/>
      <c r="BT1165" s="262" t="n"/>
      <c r="BU1165" s="262" t="n"/>
      <c r="BV1165" s="531" t="n"/>
      <c r="BW1165" s="262" t="n"/>
      <c r="BX1165" s="262" t="n"/>
      <c r="BY1165" s="262" t="n"/>
      <c r="BZ1165" s="262" t="n"/>
      <c r="CA1165" s="262" t="n"/>
      <c r="CB1165" s="262" t="n"/>
      <c r="CC1165" s="262" t="n"/>
      <c r="CD1165" s="262" t="n"/>
      <c r="CE1165" s="262" t="n"/>
      <c r="CF1165" s="262" t="n"/>
      <c r="CG1165" s="155" t="n"/>
    </row>
    <row r="1166">
      <c r="A1166" s="36" t="inlineStr">
        <is>
          <t>Last Price Date</t>
        </is>
      </c>
      <c r="B1166" s="1444">
        <f>FP.LastPriceDate</f>
        <v/>
      </c>
      <c r="C1166" s="596" t="n"/>
      <c r="D1166" s="596" t="n"/>
      <c r="E1166" s="596" t="n"/>
      <c r="F1166" s="596" t="n"/>
      <c r="G1166" s="596" t="n"/>
      <c r="H1166" s="596" t="n"/>
      <c r="I1166" s="596" t="n"/>
      <c r="J1166" s="596" t="n"/>
      <c r="K1166" s="596" t="n"/>
      <c r="L1166" s="596" t="n"/>
      <c r="M1166" s="596" t="n"/>
      <c r="N1166" s="596" t="n"/>
      <c r="O1166" s="596" t="n"/>
      <c r="P1166" s="596" t="n"/>
      <c r="Q1166" s="596" t="n"/>
      <c r="R1166" s="596" t="n"/>
      <c r="S1166" s="596" t="n"/>
      <c r="T1166" s="596" t="n"/>
      <c r="U1166" s="596" t="n"/>
      <c r="V1166" s="596" t="n"/>
      <c r="W1166" s="596" t="n"/>
      <c r="X1166" s="596" t="n"/>
      <c r="Y1166" s="596" t="n"/>
      <c r="Z1166" s="596" t="n"/>
      <c r="AA1166" s="596" t="n"/>
      <c r="AB1166" s="596" t="n"/>
      <c r="AC1166" s="596" t="n"/>
      <c r="AD1166" s="596" t="n"/>
      <c r="AE1166" s="596" t="n"/>
      <c r="AF1166" s="596" t="n"/>
      <c r="AG1166" s="596" t="n"/>
      <c r="AH1166" s="596" t="n"/>
      <c r="AI1166" s="596" t="n"/>
      <c r="AJ1166" s="596" t="n"/>
      <c r="AK1166" s="596" t="n"/>
      <c r="AL1166" s="596" t="n"/>
      <c r="AM1166" s="596" t="n"/>
      <c r="AN1166" s="596" t="n"/>
      <c r="AO1166" s="596" t="n"/>
      <c r="AP1166" s="596" t="n"/>
      <c r="AQ1166" s="596" t="n"/>
      <c r="AR1166" s="596" t="n"/>
      <c r="AS1166" s="596" t="n"/>
      <c r="AT1166" s="596" t="n"/>
      <c r="AU1166" s="596" t="n"/>
      <c r="AV1166" s="596" t="n"/>
      <c r="AW1166" s="596" t="n"/>
      <c r="AX1166" s="596" t="n"/>
      <c r="AY1166" s="596" t="n"/>
      <c r="AZ1166" s="596" t="n"/>
      <c r="BA1166" s="596" t="n"/>
      <c r="BB1166" s="596" t="n"/>
      <c r="BC1166" s="596" t="n"/>
      <c r="BD1166" s="596" t="n"/>
      <c r="BE1166" s="596" t="n"/>
      <c r="BF1166" s="596" t="n"/>
      <c r="BG1166" s="596" t="n"/>
      <c r="BH1166" s="596" t="n"/>
      <c r="BI1166" s="596" t="n"/>
      <c r="BJ1166" s="596" t="n"/>
      <c r="BK1166" s="596" t="n"/>
      <c r="BL1166" s="596" t="n"/>
      <c r="BM1166" s="596" t="n"/>
      <c r="BN1166" s="596" t="n"/>
      <c r="BO1166" s="596" t="n"/>
      <c r="BP1166" s="596" t="n"/>
      <c r="BQ1166" s="596" t="n"/>
      <c r="BR1166" s="596" t="n"/>
      <c r="BS1166" s="596" t="n"/>
      <c r="BT1166" s="596" t="n"/>
      <c r="BU1166" s="596" t="n"/>
      <c r="BV1166" s="630" t="n"/>
      <c r="BW1166" s="596" t="n"/>
      <c r="BX1166" s="596" t="n"/>
      <c r="BY1166" s="596" t="n"/>
      <c r="BZ1166" s="596" t="n"/>
      <c r="CA1166" s="596" t="n"/>
      <c r="CB1166" s="596" t="n"/>
      <c r="CC1166" s="596" t="n"/>
      <c r="CD1166" s="596" t="n"/>
      <c r="CE1166" s="596" t="n"/>
      <c r="CF1166" s="596" t="n"/>
      <c r="CG1166" s="155" t="n"/>
    </row>
    <row r="1167">
      <c r="A1167" s="36" t="inlineStr">
        <is>
          <t>Real-Time Stock Price</t>
        </is>
      </c>
      <c r="B1167" s="155">
        <f>IF(FP.RealTimeToggle="ON",TRUE,FALSE)</f>
        <v/>
      </c>
      <c r="C1167" s="596" t="n"/>
      <c r="D1167" s="596" t="n"/>
      <c r="E1167" s="596" t="n"/>
      <c r="F1167" s="596" t="n"/>
      <c r="G1167" s="596" t="n"/>
      <c r="H1167" s="596" t="n"/>
      <c r="I1167" s="596" t="n"/>
      <c r="J1167" s="596" t="n"/>
      <c r="K1167" s="596" t="n"/>
      <c r="L1167" s="596" t="n"/>
      <c r="M1167" s="596" t="n"/>
      <c r="N1167" s="596" t="n"/>
      <c r="O1167" s="596" t="n"/>
      <c r="P1167" s="596" t="n"/>
      <c r="Q1167" s="596" t="n"/>
      <c r="R1167" s="596" t="n"/>
      <c r="S1167" s="596" t="n"/>
      <c r="T1167" s="596" t="n"/>
      <c r="U1167" s="596" t="n"/>
      <c r="V1167" s="596" t="n"/>
      <c r="W1167" s="596" t="n"/>
      <c r="X1167" s="596" t="n"/>
      <c r="Y1167" s="596" t="n"/>
      <c r="Z1167" s="596" t="n"/>
      <c r="AA1167" s="596" t="n"/>
      <c r="AB1167" s="596" t="n"/>
      <c r="AC1167" s="596" t="n"/>
      <c r="AD1167" s="596" t="n"/>
      <c r="AE1167" s="596" t="n"/>
      <c r="AF1167" s="596" t="n"/>
      <c r="AG1167" s="596" t="n"/>
      <c r="AH1167" s="596" t="n"/>
      <c r="AI1167" s="596" t="n"/>
      <c r="AJ1167" s="596" t="n"/>
      <c r="AK1167" s="596" t="n"/>
      <c r="AL1167" s="596" t="n"/>
      <c r="AM1167" s="596" t="n"/>
      <c r="AN1167" s="596" t="n"/>
      <c r="AO1167" s="596" t="n"/>
      <c r="AP1167" s="596" t="n"/>
      <c r="AQ1167" s="596" t="n"/>
      <c r="AR1167" s="596" t="n"/>
      <c r="AS1167" s="596" t="n"/>
      <c r="AT1167" s="596" t="n"/>
      <c r="AU1167" s="596" t="n"/>
      <c r="AV1167" s="596" t="n"/>
      <c r="AW1167" s="596" t="n"/>
      <c r="AX1167" s="596" t="n"/>
      <c r="AY1167" s="596" t="n"/>
      <c r="AZ1167" s="596" t="n"/>
      <c r="BA1167" s="596" t="n"/>
      <c r="BB1167" s="596" t="n"/>
      <c r="BC1167" s="596" t="n"/>
      <c r="BD1167" s="596" t="n"/>
      <c r="BE1167" s="596" t="n"/>
      <c r="BF1167" s="596" t="n"/>
      <c r="BG1167" s="596" t="n"/>
      <c r="BH1167" s="596" t="n"/>
      <c r="BI1167" s="596" t="n"/>
      <c r="BJ1167" s="596" t="n"/>
      <c r="BK1167" s="596" t="n"/>
      <c r="BL1167" s="596" t="n"/>
      <c r="BM1167" s="596" t="n"/>
      <c r="BN1167" s="596" t="n"/>
      <c r="BO1167" s="596" t="n"/>
      <c r="BP1167" s="596" t="n"/>
      <c r="BQ1167" s="596" t="n"/>
      <c r="BR1167" s="596" t="n"/>
      <c r="BS1167" s="596" t="n"/>
      <c r="BT1167" s="596" t="n"/>
      <c r="BU1167" s="596" t="n"/>
      <c r="BV1167" s="630" t="n"/>
      <c r="BW1167" s="596" t="n"/>
      <c r="BX1167" s="596" t="n"/>
      <c r="BY1167" s="596" t="n"/>
      <c r="BZ1167" s="596" t="n"/>
      <c r="CA1167" s="596" t="n"/>
      <c r="CB1167" s="596" t="n"/>
      <c r="CC1167" s="596" t="n"/>
      <c r="CD1167" s="596" t="n"/>
      <c r="CE1167" s="596" t="n"/>
      <c r="CF1167" s="596" t="n"/>
      <c r="CG1167" s="155" t="n"/>
    </row>
    <row r="1168">
      <c r="A1168" s="230" t="inlineStr">
        <is>
          <t>Last Price Formula</t>
        </is>
      </c>
      <c r="B1168" s="232">
        <f>IFERROR(CHOOSE(MO.DataSourceIndex,_xll.BDP(MO.Ticker.Bloomberg&amp;" EQUITY","PX_LAST"),_xll.CIQ(MO.Ticker.CapIQ,"IQ_LASTSALEPRICE"),_xll.FDS(MO.Ticker.FactSet,"FG_PRICE(NOW)"),_xll.TR(MO.Ticker.Thomson,"TRDPRC_1")),"N/A")</f>
        <v/>
      </c>
      <c r="C1168" s="262" t="n"/>
      <c r="D1168" s="262" t="n"/>
      <c r="E1168" s="262" t="n"/>
      <c r="F1168" s="262" t="n"/>
      <c r="G1168" s="262" t="n"/>
      <c r="H1168" s="262" t="n"/>
      <c r="I1168" s="262" t="n"/>
      <c r="J1168" s="262" t="n"/>
      <c r="K1168" s="262" t="n"/>
      <c r="L1168" s="262" t="n"/>
      <c r="M1168" s="262" t="n"/>
      <c r="N1168" s="262" t="n"/>
      <c r="O1168" s="262" t="n"/>
      <c r="P1168" s="262" t="n"/>
      <c r="Q1168" s="262" t="n"/>
      <c r="R1168" s="262" t="n"/>
      <c r="S1168" s="262" t="n"/>
      <c r="T1168" s="262" t="n"/>
      <c r="U1168" s="262" t="n"/>
      <c r="V1168" s="262" t="n"/>
      <c r="W1168" s="262" t="n"/>
      <c r="X1168" s="262" t="n"/>
      <c r="Y1168" s="262" t="n"/>
      <c r="Z1168" s="262" t="n"/>
      <c r="AA1168" s="262" t="n"/>
      <c r="AB1168" s="262" t="n"/>
      <c r="AC1168" s="262" t="n"/>
      <c r="AD1168" s="262" t="n"/>
      <c r="AE1168" s="262" t="n"/>
      <c r="AF1168" s="262" t="n"/>
      <c r="AG1168" s="262" t="n"/>
      <c r="AH1168" s="262" t="n"/>
      <c r="AI1168" s="262" t="n"/>
      <c r="AJ1168" s="262" t="n"/>
      <c r="AK1168" s="262" t="n"/>
      <c r="AL1168" s="262" t="n"/>
      <c r="AM1168" s="262" t="n"/>
      <c r="AN1168" s="262" t="n"/>
      <c r="AO1168" s="262" t="n"/>
      <c r="AP1168" s="262" t="n"/>
      <c r="AQ1168" s="262" t="n"/>
      <c r="AR1168" s="262" t="n"/>
      <c r="AS1168" s="262" t="n"/>
      <c r="AT1168" s="262" t="n"/>
      <c r="AU1168" s="262" t="n"/>
      <c r="AV1168" s="262" t="n"/>
      <c r="AW1168" s="262" t="n"/>
      <c r="AX1168" s="262" t="n"/>
      <c r="AY1168" s="262" t="n"/>
      <c r="AZ1168" s="262" t="n"/>
      <c r="BA1168" s="262" t="n"/>
      <c r="BB1168" s="262" t="n"/>
      <c r="BC1168" s="262" t="n"/>
      <c r="BD1168" s="262" t="n"/>
      <c r="BE1168" s="262" t="n"/>
      <c r="BF1168" s="262" t="n"/>
      <c r="BG1168" s="262" t="n"/>
      <c r="BH1168" s="262" t="n"/>
      <c r="BI1168" s="262" t="n"/>
      <c r="BJ1168" s="262" t="n"/>
      <c r="BK1168" s="262" t="n"/>
      <c r="BL1168" s="262" t="n"/>
      <c r="BM1168" s="262" t="n"/>
      <c r="BN1168" s="262" t="n"/>
      <c r="BO1168" s="262" t="n"/>
      <c r="BP1168" s="262" t="n"/>
      <c r="BQ1168" s="262" t="n"/>
      <c r="BR1168" s="262" t="n"/>
      <c r="BS1168" s="262" t="n"/>
      <c r="BT1168" s="262" t="n"/>
      <c r="BU1168" s="262" t="n"/>
      <c r="BV1168" s="531" t="n"/>
      <c r="BW1168" s="262" t="n"/>
      <c r="BX1168" s="262" t="n"/>
      <c r="BY1168" s="262" t="n"/>
      <c r="BZ1168" s="262" t="n"/>
      <c r="CA1168" s="262" t="n"/>
      <c r="CB1168" s="262" t="n"/>
      <c r="CC1168" s="262" t="n"/>
      <c r="CD1168" s="262" t="n"/>
      <c r="CE1168" s="262" t="n"/>
      <c r="CF1168" s="262" t="n"/>
      <c r="CG1168" s="155" t="n"/>
    </row>
    <row r="1169">
      <c r="A1169" s="230" t="inlineStr">
        <is>
          <t>Apply Trade Currency Scaling</t>
        </is>
      </c>
      <c r="B1169" s="232">
        <f>OR(AND(OR(EXACT(HP.TradeCurrency.HardCoded,"GBp"),EXACT(HP.TradeCurrency.HardCoded,"GBX")),EXACT(HP.ReportCurrency,"GBP")),AND(OR(EXACT(HP.TradeCurrency.HardCoded,"ZAc"),EXACT(HP.TradeCurrency.HardCoded,"ZAC")),EXACT(HP.ReportCurrency,"ZAR")))</f>
        <v/>
      </c>
      <c r="C1169" s="262" t="n"/>
      <c r="D1169" s="262" t="n"/>
      <c r="E1169" s="262" t="n"/>
      <c r="F1169" s="262" t="n"/>
      <c r="G1169" s="262" t="n"/>
      <c r="H1169" s="262" t="n"/>
      <c r="I1169" s="262" t="n"/>
      <c r="J1169" s="262" t="n"/>
      <c r="K1169" s="262" t="n"/>
      <c r="L1169" s="262" t="n"/>
      <c r="M1169" s="262" t="n"/>
      <c r="N1169" s="262" t="n"/>
      <c r="O1169" s="262" t="n"/>
      <c r="P1169" s="262" t="n"/>
      <c r="Q1169" s="262" t="n"/>
      <c r="R1169" s="262" t="n"/>
      <c r="S1169" s="262" t="n"/>
      <c r="T1169" s="262" t="n"/>
      <c r="U1169" s="262" t="n"/>
      <c r="V1169" s="262" t="n"/>
      <c r="W1169" s="262" t="n"/>
      <c r="X1169" s="262" t="n"/>
      <c r="Y1169" s="262" t="n"/>
      <c r="Z1169" s="262" t="n"/>
      <c r="AA1169" s="262" t="n"/>
      <c r="AB1169" s="262" t="n"/>
      <c r="AC1169" s="262" t="n"/>
      <c r="AD1169" s="262" t="n"/>
      <c r="AE1169" s="262" t="n"/>
      <c r="AF1169" s="262" t="n"/>
      <c r="AG1169" s="262" t="n"/>
      <c r="AH1169" s="262" t="n"/>
      <c r="AI1169" s="262" t="n"/>
      <c r="AJ1169" s="262" t="n"/>
      <c r="AK1169" s="262" t="n"/>
      <c r="AL1169" s="262" t="n"/>
      <c r="AM1169" s="262" t="n"/>
      <c r="AN1169" s="262" t="n"/>
      <c r="AO1169" s="262" t="n"/>
      <c r="AP1169" s="262" t="n"/>
      <c r="AQ1169" s="262" t="n"/>
      <c r="AR1169" s="262" t="n"/>
      <c r="AS1169" s="262" t="n"/>
      <c r="AT1169" s="262" t="n"/>
      <c r="AU1169" s="262" t="n"/>
      <c r="AV1169" s="262" t="n"/>
      <c r="AW1169" s="262" t="n"/>
      <c r="AX1169" s="262" t="n"/>
      <c r="AY1169" s="262" t="n"/>
      <c r="AZ1169" s="262" t="n"/>
      <c r="BA1169" s="262" t="n"/>
      <c r="BB1169" s="262" t="n"/>
      <c r="BC1169" s="262" t="n"/>
      <c r="BD1169" s="262" t="n"/>
      <c r="BE1169" s="262" t="n"/>
      <c r="BF1169" s="262" t="n"/>
      <c r="BG1169" s="262" t="n"/>
      <c r="BH1169" s="262" t="n"/>
      <c r="BI1169" s="262" t="n"/>
      <c r="BJ1169" s="262" t="n"/>
      <c r="BK1169" s="262" t="n"/>
      <c r="BL1169" s="262" t="n"/>
      <c r="BM1169" s="262" t="n"/>
      <c r="BN1169" s="262" t="n"/>
      <c r="BO1169" s="262" t="n"/>
      <c r="BP1169" s="262" t="n"/>
      <c r="BQ1169" s="262" t="n"/>
      <c r="BR1169" s="262" t="n"/>
      <c r="BS1169" s="262" t="n"/>
      <c r="BT1169" s="262" t="n"/>
      <c r="BU1169" s="262" t="n"/>
      <c r="BV1169" s="531" t="n"/>
      <c r="BW1169" s="262" t="n"/>
      <c r="BX1169" s="262" t="n"/>
      <c r="BY1169" s="262" t="n"/>
      <c r="BZ1169" s="262" t="n"/>
      <c r="CA1169" s="262" t="n"/>
      <c r="CB1169" s="262" t="n"/>
      <c r="CC1169" s="262" t="n"/>
      <c r="CD1169" s="262" t="n"/>
      <c r="CE1169" s="262" t="n"/>
      <c r="CF1169" s="262" t="n"/>
      <c r="CG1169" s="155" t="n"/>
    </row>
    <row r="1170">
      <c r="A1170" s="230" t="inlineStr">
        <is>
          <t>Trade Currency</t>
        </is>
      </c>
      <c r="B1170" s="232">
        <f>IFERROR(CHOOSE(MO.DataSourceIndex,_xll.BDP(HP.Ticker&amp;" Equity","CRNCY"),_xll.CIQ(HP.Ticker,"IQ_TRADING_CURRENCY"),_xll.FDS(HP.Ticker,"P_CURRENCY(""ISO"")"),_xll.TR(HP.Ticker,"Currency")),HP.TradeCurrency.HardCoded)</f>
        <v/>
      </c>
      <c r="C1170" s="262" t="n"/>
      <c r="D1170" s="262" t="n"/>
      <c r="E1170" s="262" t="n"/>
      <c r="F1170" s="262" t="n"/>
      <c r="G1170" s="262" t="n"/>
      <c r="H1170" s="262" t="n"/>
      <c r="I1170" s="262" t="n"/>
      <c r="J1170" s="262" t="n"/>
      <c r="K1170" s="262" t="n"/>
      <c r="L1170" s="262" t="n"/>
      <c r="M1170" s="262" t="n"/>
      <c r="N1170" s="262" t="n"/>
      <c r="O1170" s="262" t="n"/>
      <c r="P1170" s="262" t="n"/>
      <c r="Q1170" s="262" t="n"/>
      <c r="R1170" s="262" t="n"/>
      <c r="S1170" s="262" t="n"/>
      <c r="T1170" s="262" t="n"/>
      <c r="U1170" s="262" t="n"/>
      <c r="V1170" s="262" t="n"/>
      <c r="W1170" s="262" t="n"/>
      <c r="X1170" s="262" t="n"/>
      <c r="Y1170" s="262" t="n"/>
      <c r="Z1170" s="262" t="n"/>
      <c r="AA1170" s="262" t="n"/>
      <c r="AB1170" s="262" t="n"/>
      <c r="AC1170" s="262" t="n"/>
      <c r="AD1170" s="262" t="n"/>
      <c r="AE1170" s="262" t="n"/>
      <c r="AF1170" s="262" t="n"/>
      <c r="AG1170" s="262" t="n"/>
      <c r="AH1170" s="262" t="n"/>
      <c r="AI1170" s="262" t="n"/>
      <c r="AJ1170" s="262" t="n"/>
      <c r="AK1170" s="262" t="n"/>
      <c r="AL1170" s="262" t="n"/>
      <c r="AM1170" s="262" t="n"/>
      <c r="AN1170" s="262" t="n"/>
      <c r="AO1170" s="262" t="n"/>
      <c r="AP1170" s="262" t="n"/>
      <c r="AQ1170" s="262" t="n"/>
      <c r="AR1170" s="262" t="n"/>
      <c r="AS1170" s="262" t="n"/>
      <c r="AT1170" s="262" t="n"/>
      <c r="AU1170" s="262" t="n"/>
      <c r="AV1170" s="262" t="n"/>
      <c r="AW1170" s="262" t="n"/>
      <c r="AX1170" s="262" t="n"/>
      <c r="AY1170" s="262" t="n"/>
      <c r="AZ1170" s="262" t="n"/>
      <c r="BA1170" s="262" t="n"/>
      <c r="BB1170" s="262" t="n"/>
      <c r="BC1170" s="262" t="n"/>
      <c r="BD1170" s="262" t="n"/>
      <c r="BE1170" s="262" t="n"/>
      <c r="BF1170" s="262" t="n"/>
      <c r="BG1170" s="262" t="n"/>
      <c r="BH1170" s="262" t="n"/>
      <c r="BI1170" s="262" t="n"/>
      <c r="BJ1170" s="262" t="n"/>
      <c r="BK1170" s="262" t="n"/>
      <c r="BL1170" s="262" t="n"/>
      <c r="BM1170" s="262" t="n"/>
      <c r="BN1170" s="262" t="n"/>
      <c r="BO1170" s="262" t="n"/>
      <c r="BP1170" s="262" t="n"/>
      <c r="BQ1170" s="262" t="n"/>
      <c r="BR1170" s="262" t="n"/>
      <c r="BS1170" s="262" t="n"/>
      <c r="BT1170" s="262" t="n"/>
      <c r="BU1170" s="262" t="n"/>
      <c r="BV1170" s="531" t="n"/>
      <c r="BW1170" s="262" t="n"/>
      <c r="BX1170" s="262" t="n"/>
      <c r="BY1170" s="262" t="n"/>
      <c r="BZ1170" s="262" t="n"/>
      <c r="CA1170" s="262" t="n"/>
      <c r="CB1170" s="262" t="n"/>
      <c r="CC1170" s="262" t="n"/>
      <c r="CD1170" s="262" t="n"/>
      <c r="CE1170" s="262" t="n"/>
      <c r="CF1170" s="262" t="n"/>
      <c r="CG1170" s="155" t="n"/>
    </row>
    <row r="1171">
      <c r="A1171" s="230" t="inlineStr">
        <is>
          <t>Trade Currency Hardcoded</t>
        </is>
      </c>
      <c r="B1171" s="1094" t="inlineStr">
        <is>
          <t>USD</t>
        </is>
      </c>
      <c r="C1171" s="262" t="n"/>
      <c r="D1171" s="262" t="n"/>
      <c r="E1171" s="262" t="n"/>
      <c r="F1171" s="262" t="n"/>
      <c r="G1171" s="262" t="n"/>
      <c r="H1171" s="262" t="n"/>
      <c r="I1171" s="262" t="n"/>
      <c r="J1171" s="262" t="n"/>
      <c r="K1171" s="262" t="n"/>
      <c r="L1171" s="262" t="n"/>
      <c r="M1171" s="262" t="n"/>
      <c r="N1171" s="262" t="n"/>
      <c r="O1171" s="262" t="n"/>
      <c r="P1171" s="262" t="n"/>
      <c r="Q1171" s="262" t="n"/>
      <c r="R1171" s="262" t="n"/>
      <c r="S1171" s="262" t="n"/>
      <c r="T1171" s="262" t="n"/>
      <c r="U1171" s="262" t="n"/>
      <c r="V1171" s="262" t="n"/>
      <c r="W1171" s="262" t="n"/>
      <c r="X1171" s="262" t="n"/>
      <c r="Y1171" s="262" t="n"/>
      <c r="Z1171" s="262" t="n"/>
      <c r="AA1171" s="262" t="n"/>
      <c r="AB1171" s="262" t="n"/>
      <c r="AC1171" s="262" t="n"/>
      <c r="AD1171" s="262" t="n"/>
      <c r="AE1171" s="262" t="n"/>
      <c r="AF1171" s="262" t="n"/>
      <c r="AG1171" s="262" t="n"/>
      <c r="AH1171" s="262" t="n"/>
      <c r="AI1171" s="262" t="n"/>
      <c r="AJ1171" s="262" t="n"/>
      <c r="AK1171" s="262" t="n"/>
      <c r="AL1171" s="262" t="n"/>
      <c r="AM1171" s="262" t="n"/>
      <c r="AN1171" s="262" t="n"/>
      <c r="AO1171" s="262" t="n"/>
      <c r="AP1171" s="262" t="n"/>
      <c r="AQ1171" s="262" t="n"/>
      <c r="AR1171" s="262" t="n"/>
      <c r="AS1171" s="262" t="n"/>
      <c r="AT1171" s="262" t="n"/>
      <c r="AU1171" s="262" t="n"/>
      <c r="AV1171" s="262" t="n"/>
      <c r="AW1171" s="262" t="n"/>
      <c r="AX1171" s="262" t="n"/>
      <c r="AY1171" s="262" t="n"/>
      <c r="AZ1171" s="262" t="n"/>
      <c r="BA1171" s="262" t="n"/>
      <c r="BB1171" s="262" t="n"/>
      <c r="BC1171" s="262" t="n"/>
      <c r="BD1171" s="262" t="n"/>
      <c r="BE1171" s="262" t="n"/>
      <c r="BF1171" s="262" t="n"/>
      <c r="BG1171" s="262" t="n"/>
      <c r="BH1171" s="262" t="n"/>
      <c r="BI1171" s="262" t="n"/>
      <c r="BJ1171" s="262" t="n"/>
      <c r="BK1171" s="262" t="n"/>
      <c r="BL1171" s="262" t="n"/>
      <c r="BM1171" s="262" t="n"/>
      <c r="BN1171" s="262" t="n"/>
      <c r="BO1171" s="262" t="n"/>
      <c r="BP1171" s="262" t="n"/>
      <c r="BQ1171" s="262" t="n"/>
      <c r="BR1171" s="262" t="n"/>
      <c r="BS1171" s="262" t="n"/>
      <c r="BT1171" s="262" t="n"/>
      <c r="BU1171" s="262" t="n"/>
      <c r="BV1171" s="531" t="n"/>
      <c r="BW1171" s="262" t="n"/>
      <c r="BX1171" s="262" t="n"/>
      <c r="BY1171" s="262" t="n"/>
      <c r="BZ1171" s="262" t="n"/>
      <c r="CA1171" s="262" t="n"/>
      <c r="CB1171" s="262" t="n"/>
      <c r="CC1171" s="262" t="n"/>
      <c r="CD1171" s="262" t="n"/>
      <c r="CE1171" s="262" t="n"/>
      <c r="CF1171" s="262" t="n"/>
      <c r="CG1171" s="155" t="n"/>
    </row>
    <row r="1172">
      <c r="A1172" s="230" t="inlineStr">
        <is>
          <t>Model Sheet Currency Hardcoded</t>
        </is>
      </c>
      <c r="B1172" s="1094" t="inlineStr">
        <is>
          <t>USD</t>
        </is>
      </c>
      <c r="C1172" s="262" t="n"/>
      <c r="D1172" s="262" t="n"/>
      <c r="E1172" s="262" t="n"/>
      <c r="F1172" s="262" t="n"/>
      <c r="G1172" s="262" t="n"/>
      <c r="H1172" s="262" t="n"/>
      <c r="I1172" s="262" t="n"/>
      <c r="J1172" s="262" t="n"/>
      <c r="K1172" s="262" t="n"/>
      <c r="L1172" s="262" t="n"/>
      <c r="M1172" s="262" t="n"/>
      <c r="N1172" s="262" t="n"/>
      <c r="O1172" s="262" t="n"/>
      <c r="P1172" s="262" t="n"/>
      <c r="Q1172" s="262" t="n"/>
      <c r="R1172" s="262" t="n"/>
      <c r="S1172" s="262" t="n"/>
      <c r="T1172" s="262" t="n"/>
      <c r="U1172" s="262" t="n"/>
      <c r="V1172" s="262" t="n"/>
      <c r="W1172" s="262" t="n"/>
      <c r="X1172" s="262" t="n"/>
      <c r="Y1172" s="262" t="n"/>
      <c r="Z1172" s="262" t="n"/>
      <c r="AA1172" s="262" t="n"/>
      <c r="AB1172" s="262" t="n"/>
      <c r="AC1172" s="262" t="n"/>
      <c r="AD1172" s="262" t="n"/>
      <c r="AE1172" s="262" t="n"/>
      <c r="AF1172" s="262" t="n"/>
      <c r="AG1172" s="262" t="n"/>
      <c r="AH1172" s="262" t="n"/>
      <c r="AI1172" s="262" t="n"/>
      <c r="AJ1172" s="262" t="n"/>
      <c r="AK1172" s="262" t="n"/>
      <c r="AL1172" s="262" t="n"/>
      <c r="AM1172" s="262" t="n"/>
      <c r="AN1172" s="262" t="n"/>
      <c r="AO1172" s="262" t="n"/>
      <c r="AP1172" s="262" t="n"/>
      <c r="AQ1172" s="262" t="n"/>
      <c r="AR1172" s="262" t="n"/>
      <c r="AS1172" s="262" t="n"/>
      <c r="AT1172" s="262" t="n"/>
      <c r="AU1172" s="262" t="n"/>
      <c r="AV1172" s="262" t="n"/>
      <c r="AW1172" s="262" t="n"/>
      <c r="AX1172" s="262" t="n"/>
      <c r="AY1172" s="262" t="n"/>
      <c r="AZ1172" s="262" t="n"/>
      <c r="BA1172" s="262" t="n"/>
      <c r="BB1172" s="262" t="n"/>
      <c r="BC1172" s="262" t="n"/>
      <c r="BD1172" s="262" t="n"/>
      <c r="BE1172" s="262" t="n"/>
      <c r="BF1172" s="262" t="n"/>
      <c r="BG1172" s="262" t="n"/>
      <c r="BH1172" s="262" t="n"/>
      <c r="BI1172" s="262" t="n"/>
      <c r="BJ1172" s="262" t="n"/>
      <c r="BK1172" s="262" t="n"/>
      <c r="BL1172" s="262" t="n"/>
      <c r="BM1172" s="262" t="n"/>
      <c r="BN1172" s="262" t="n"/>
      <c r="BO1172" s="262" t="n"/>
      <c r="BP1172" s="262" t="n"/>
      <c r="BQ1172" s="262" t="n"/>
      <c r="BR1172" s="262" t="n"/>
      <c r="BS1172" s="262" t="n"/>
      <c r="BT1172" s="262" t="n"/>
      <c r="BU1172" s="262" t="n"/>
      <c r="BV1172" s="531" t="n"/>
      <c r="BW1172" s="262" t="n"/>
      <c r="BX1172" s="262" t="n"/>
      <c r="BY1172" s="262" t="n"/>
      <c r="BZ1172" s="262" t="n"/>
      <c r="CA1172" s="262" t="n"/>
      <c r="CB1172" s="262" t="n"/>
      <c r="CC1172" s="262" t="n"/>
      <c r="CD1172" s="262" t="n"/>
      <c r="CE1172" s="262" t="n"/>
      <c r="CF1172" s="262" t="n"/>
      <c r="CG1172" s="155" t="n"/>
    </row>
    <row r="1173">
      <c r="A1173" s="230" t="inlineStr">
        <is>
          <t>Most Recent FX</t>
        </is>
      </c>
      <c r="B1173" s="251">
        <f>IF(EXACT(MO.ReportFX,HP.TradeCurrency),1,IF(OR(INDEX(MO_SPT_FXAverage,1,MO.MRFPColumnNumber+1)="N/A",ISERROR(INDEX(MO_SPT_FXAverage,1,MO.MRFPColumnNumber+1))),MO.MRFX.Hardcoded,INDEX(MO_SPT_FXAverage,1,MO.MRFPColumnNumber+1)))</f>
        <v/>
      </c>
      <c r="C1173" s="262" t="n"/>
      <c r="D1173" s="262" t="n"/>
      <c r="E1173" s="262" t="n"/>
      <c r="F1173" s="262" t="n"/>
      <c r="G1173" s="262" t="n"/>
      <c r="H1173" s="262" t="n"/>
      <c r="I1173" s="262" t="n"/>
      <c r="J1173" s="262" t="n"/>
      <c r="K1173" s="262" t="n"/>
      <c r="L1173" s="262" t="n"/>
      <c r="M1173" s="262" t="n"/>
      <c r="N1173" s="262" t="n"/>
      <c r="O1173" s="262" t="n"/>
      <c r="P1173" s="262" t="n"/>
      <c r="Q1173" s="262" t="n"/>
      <c r="R1173" s="262" t="n"/>
      <c r="S1173" s="262" t="n"/>
      <c r="T1173" s="262" t="n"/>
      <c r="U1173" s="262" t="n"/>
      <c r="V1173" s="262" t="n"/>
      <c r="W1173" s="262" t="n"/>
      <c r="X1173" s="262" t="n"/>
      <c r="Y1173" s="262" t="n"/>
      <c r="Z1173" s="262" t="n"/>
      <c r="AA1173" s="262" t="n"/>
      <c r="AB1173" s="262" t="n"/>
      <c r="AC1173" s="262" t="n"/>
      <c r="AD1173" s="262" t="n"/>
      <c r="AE1173" s="262" t="n"/>
      <c r="AF1173" s="262" t="n"/>
      <c r="AG1173" s="262" t="n"/>
      <c r="AH1173" s="262" t="n"/>
      <c r="AI1173" s="262" t="n"/>
      <c r="AJ1173" s="262" t="n"/>
      <c r="AK1173" s="262" t="n"/>
      <c r="AL1173" s="262" t="n"/>
      <c r="AM1173" s="262" t="n"/>
      <c r="AN1173" s="262" t="n"/>
      <c r="AO1173" s="262" t="n"/>
      <c r="AP1173" s="262" t="n"/>
      <c r="AQ1173" s="262" t="n"/>
      <c r="AR1173" s="262" t="n"/>
      <c r="AS1173" s="262" t="n"/>
      <c r="AT1173" s="262" t="n"/>
      <c r="AU1173" s="262" t="n"/>
      <c r="AV1173" s="262" t="n"/>
      <c r="AW1173" s="262" t="n"/>
      <c r="AX1173" s="262" t="n"/>
      <c r="AY1173" s="262" t="n"/>
      <c r="AZ1173" s="262" t="n"/>
      <c r="BA1173" s="262" t="n"/>
      <c r="BB1173" s="262" t="n"/>
      <c r="BC1173" s="262" t="n"/>
      <c r="BD1173" s="262" t="n"/>
      <c r="BE1173" s="262" t="n"/>
      <c r="BF1173" s="262" t="n"/>
      <c r="BG1173" s="262" t="n"/>
      <c r="BH1173" s="262" t="n"/>
      <c r="BI1173" s="262" t="n"/>
      <c r="BJ1173" s="262" t="n"/>
      <c r="BK1173" s="262" t="n"/>
      <c r="BL1173" s="262" t="n"/>
      <c r="BM1173" s="262" t="n"/>
      <c r="BN1173" s="262" t="n"/>
      <c r="BO1173" s="262" t="n"/>
      <c r="BP1173" s="262" t="n"/>
      <c r="BQ1173" s="262" t="n"/>
      <c r="BR1173" s="262" t="n"/>
      <c r="BS1173" s="262" t="n"/>
      <c r="BT1173" s="262" t="n"/>
      <c r="BU1173" s="262" t="n"/>
      <c r="BV1173" s="531" t="n"/>
      <c r="BW1173" s="262" t="n"/>
      <c r="BX1173" s="262" t="n"/>
      <c r="BY1173" s="262" t="n"/>
      <c r="BZ1173" s="262" t="n"/>
      <c r="CA1173" s="262" t="n"/>
      <c r="CB1173" s="262" t="n"/>
      <c r="CC1173" s="262" t="n"/>
      <c r="CD1173" s="262" t="n"/>
      <c r="CE1173" s="262" t="n"/>
      <c r="CF1173" s="262" t="n"/>
      <c r="CG1173" s="155" t="n"/>
    </row>
    <row r="1174">
      <c r="A1174" s="230" t="inlineStr">
        <is>
          <t>Most Recent FX Hardcoded</t>
        </is>
      </c>
      <c r="B1174" s="1097" t="n">
        <v>1</v>
      </c>
      <c r="C1174" s="262" t="n"/>
      <c r="D1174" s="262" t="n"/>
      <c r="E1174" s="262" t="n"/>
      <c r="F1174" s="262" t="n"/>
      <c r="G1174" s="262" t="n"/>
      <c r="H1174" s="262" t="n"/>
      <c r="I1174" s="262" t="n"/>
      <c r="J1174" s="262" t="n"/>
      <c r="K1174" s="262" t="n"/>
      <c r="L1174" s="262" t="n"/>
      <c r="M1174" s="262" t="n"/>
      <c r="N1174" s="262" t="n"/>
      <c r="O1174" s="262" t="n"/>
      <c r="P1174" s="262" t="n"/>
      <c r="Q1174" s="262" t="n"/>
      <c r="R1174" s="262" t="n"/>
      <c r="S1174" s="262" t="n"/>
      <c r="T1174" s="262" t="n"/>
      <c r="U1174" s="262" t="n"/>
      <c r="V1174" s="262" t="n"/>
      <c r="W1174" s="262" t="n"/>
      <c r="X1174" s="262" t="n"/>
      <c r="Y1174" s="262" t="n"/>
      <c r="Z1174" s="262" t="n"/>
      <c r="AA1174" s="262" t="n"/>
      <c r="AB1174" s="262" t="n"/>
      <c r="AC1174" s="262" t="n"/>
      <c r="AD1174" s="262" t="n"/>
      <c r="AE1174" s="262" t="n"/>
      <c r="AF1174" s="262" t="n"/>
      <c r="AG1174" s="262" t="n"/>
      <c r="AH1174" s="262" t="n"/>
      <c r="AI1174" s="262" t="n"/>
      <c r="AJ1174" s="262" t="n"/>
      <c r="AK1174" s="262" t="n"/>
      <c r="AL1174" s="262" t="n"/>
      <c r="AM1174" s="262" t="n"/>
      <c r="AN1174" s="262" t="n"/>
      <c r="AO1174" s="262" t="n"/>
      <c r="AP1174" s="262" t="n"/>
      <c r="AQ1174" s="262" t="n"/>
      <c r="AR1174" s="262" t="n"/>
      <c r="AS1174" s="262" t="n"/>
      <c r="AT1174" s="262" t="n"/>
      <c r="AU1174" s="262" t="n"/>
      <c r="AV1174" s="262" t="n"/>
      <c r="AW1174" s="262" t="n"/>
      <c r="AX1174" s="262" t="n"/>
      <c r="AY1174" s="262" t="n"/>
      <c r="AZ1174" s="262" t="n"/>
      <c r="BA1174" s="262" t="n"/>
      <c r="BB1174" s="262" t="n"/>
      <c r="BC1174" s="262" t="n"/>
      <c r="BD1174" s="262" t="n"/>
      <c r="BE1174" s="262" t="n"/>
      <c r="BF1174" s="262" t="n"/>
      <c r="BG1174" s="262" t="n"/>
      <c r="BH1174" s="262" t="n"/>
      <c r="BI1174" s="262" t="n"/>
      <c r="BJ1174" s="262" t="n"/>
      <c r="BK1174" s="262" t="n"/>
      <c r="BL1174" s="262" t="n"/>
      <c r="BM1174" s="262" t="n"/>
      <c r="BN1174" s="262" t="n"/>
      <c r="BO1174" s="262" t="n"/>
      <c r="BP1174" s="262" t="n"/>
      <c r="BQ1174" s="262" t="n"/>
      <c r="BR1174" s="262" t="n"/>
      <c r="BS1174" s="262" t="n"/>
      <c r="BT1174" s="262" t="n"/>
      <c r="BU1174" s="262" t="n"/>
      <c r="BV1174" s="531" t="n"/>
      <c r="BW1174" s="262" t="n"/>
      <c r="BX1174" s="262" t="n"/>
      <c r="BY1174" s="262" t="n"/>
      <c r="BZ1174" s="262" t="n"/>
      <c r="CA1174" s="262" t="n"/>
      <c r="CB1174" s="262" t="n"/>
      <c r="CC1174" s="262" t="n"/>
      <c r="CD1174" s="262" t="n"/>
      <c r="CE1174" s="262" t="n"/>
      <c r="CF1174" s="262" t="n"/>
      <c r="CG1174" s="155" t="n"/>
    </row>
    <row r="1175">
      <c r="A1175" s="67" t="inlineStr">
        <is>
          <t>MRFP Column Number</t>
        </is>
      </c>
      <c r="B1175" s="27">
        <f>MATCH(MO.MRFP,MO_Common_ColumnHeader,0)</f>
        <v/>
      </c>
      <c r="C1175" s="68" t="n"/>
      <c r="D1175" s="68" t="n"/>
      <c r="E1175" s="68" t="n"/>
      <c r="F1175" s="68" t="n"/>
      <c r="G1175" s="68" t="n"/>
      <c r="H1175" s="68" t="n"/>
      <c r="I1175" s="68" t="n"/>
      <c r="J1175" s="68" t="n"/>
      <c r="K1175" s="68" t="n"/>
      <c r="L1175" s="68" t="n"/>
      <c r="M1175" s="68" t="n"/>
      <c r="N1175" s="68" t="n"/>
      <c r="O1175" s="68" t="n"/>
      <c r="P1175" s="68" t="n"/>
      <c r="Q1175" s="68" t="n"/>
      <c r="R1175" s="68" t="n"/>
      <c r="S1175" s="68" t="n"/>
      <c r="T1175" s="68" t="n"/>
      <c r="U1175" s="68" t="n"/>
      <c r="V1175" s="68" t="n"/>
      <c r="W1175" s="68" t="n"/>
      <c r="X1175" s="68" t="n"/>
      <c r="Y1175" s="68" t="n"/>
      <c r="Z1175" s="68" t="n"/>
      <c r="AA1175" s="68" t="n"/>
      <c r="AB1175" s="68" t="n"/>
      <c r="AC1175" s="68" t="n"/>
      <c r="AD1175" s="68" t="n"/>
      <c r="AE1175" s="68" t="n"/>
      <c r="AF1175" s="68" t="n"/>
      <c r="AG1175" s="68" t="n"/>
      <c r="AH1175" s="68" t="n"/>
      <c r="AI1175" s="68" t="n"/>
      <c r="AJ1175" s="68" t="n"/>
      <c r="AK1175" s="68" t="n"/>
      <c r="AL1175" s="68" t="n"/>
      <c r="AM1175" s="68" t="n"/>
      <c r="AN1175" s="68" t="n"/>
      <c r="AO1175" s="68" t="n"/>
      <c r="AP1175" s="68" t="n"/>
      <c r="AQ1175" s="68" t="n"/>
      <c r="AR1175" s="68" t="n"/>
      <c r="AS1175" s="68" t="n"/>
      <c r="AT1175" s="68" t="n"/>
      <c r="AU1175" s="68" t="n"/>
      <c r="AV1175" s="68" t="n"/>
      <c r="AW1175" s="68" t="n"/>
      <c r="AX1175" s="68" t="n"/>
      <c r="AY1175" s="68" t="n"/>
      <c r="AZ1175" s="68" t="n"/>
      <c r="BA1175" s="68" t="n"/>
      <c r="BB1175" s="68" t="n"/>
      <c r="BC1175" s="68" t="n"/>
      <c r="BD1175" s="68" t="n"/>
      <c r="BE1175" s="68" t="n"/>
      <c r="BF1175" s="68" t="n"/>
      <c r="BG1175" s="68" t="n"/>
      <c r="BH1175" s="68" t="n"/>
      <c r="BI1175" s="68" t="n"/>
      <c r="BJ1175" s="68" t="n"/>
      <c r="BK1175" s="68" t="n"/>
      <c r="BL1175" s="68" t="n"/>
      <c r="BM1175" s="68" t="n"/>
      <c r="BN1175" s="68" t="n"/>
      <c r="BO1175" s="68" t="n"/>
      <c r="BP1175" s="68" t="n"/>
      <c r="BQ1175" s="68" t="n"/>
      <c r="BR1175" s="68" t="n"/>
      <c r="BS1175" s="68" t="n"/>
      <c r="BT1175" s="68" t="n"/>
      <c r="BU1175" s="68" t="n"/>
      <c r="BV1175" s="588" t="n"/>
      <c r="BW1175" s="68" t="n"/>
      <c r="BX1175" s="68" t="n"/>
      <c r="BY1175" s="68" t="n"/>
      <c r="BZ1175" s="68" t="n"/>
      <c r="CA1175" s="68" t="n"/>
      <c r="CB1175" s="68" t="n"/>
      <c r="CC1175" s="68" t="n"/>
      <c r="CD1175" s="68" t="n"/>
      <c r="CE1175" s="68" t="n"/>
      <c r="CF1175" s="68" t="n"/>
      <c r="CG1175" s="155" t="n"/>
    </row>
    <row r="1176">
      <c r="A1176" s="67" t="inlineStr">
        <is>
          <t>Most Recent Fiscal Period (MRFP)</t>
        </is>
      </c>
      <c r="B1176" s="1053" t="inlineStr">
        <is>
          <t>Q3-2026</t>
        </is>
      </c>
      <c r="C1176" s="68" t="n"/>
      <c r="D1176" s="68" t="n"/>
      <c r="E1176" s="68" t="n"/>
      <c r="F1176" s="68" t="n"/>
      <c r="G1176" s="68" t="n"/>
      <c r="H1176" s="68" t="n"/>
      <c r="I1176" s="68" t="n"/>
      <c r="J1176" s="68" t="n"/>
      <c r="K1176" s="68" t="n"/>
      <c r="L1176" s="68" t="n"/>
      <c r="M1176" s="68" t="n"/>
      <c r="N1176" s="68" t="n"/>
      <c r="O1176" s="68" t="n"/>
      <c r="P1176" s="68" t="n"/>
      <c r="Q1176" s="68" t="n"/>
      <c r="R1176" s="68" t="n"/>
      <c r="S1176" s="68" t="n"/>
      <c r="T1176" s="68" t="n"/>
      <c r="U1176" s="68" t="n"/>
      <c r="V1176" s="68" t="n"/>
      <c r="W1176" s="68" t="n"/>
      <c r="X1176" s="68" t="n"/>
      <c r="Y1176" s="68" t="n"/>
      <c r="Z1176" s="68" t="n"/>
      <c r="AA1176" s="68" t="n"/>
      <c r="AB1176" s="68" t="n"/>
      <c r="AC1176" s="68" t="n"/>
      <c r="AD1176" s="68" t="n"/>
      <c r="AE1176" s="68" t="n"/>
      <c r="AF1176" s="68" t="n"/>
      <c r="AG1176" s="68" t="n"/>
      <c r="AH1176" s="68" t="n"/>
      <c r="AI1176" s="68" t="n"/>
      <c r="AJ1176" s="68" t="n"/>
      <c r="AK1176" s="68" t="n"/>
      <c r="AL1176" s="68" t="n"/>
      <c r="AM1176" s="68" t="n"/>
      <c r="AN1176" s="68" t="n"/>
      <c r="AO1176" s="68" t="n"/>
      <c r="AP1176" s="68" t="n"/>
      <c r="AQ1176" s="68" t="n"/>
      <c r="AR1176" s="68" t="n"/>
      <c r="AS1176" s="68" t="n"/>
      <c r="AT1176" s="68" t="n"/>
      <c r="AU1176" s="68" t="n"/>
      <c r="AV1176" s="68" t="n"/>
      <c r="AW1176" s="68" t="n"/>
      <c r="AX1176" s="68" t="n"/>
      <c r="AY1176" s="68" t="n"/>
      <c r="AZ1176" s="68" t="n"/>
      <c r="BA1176" s="68" t="n"/>
      <c r="BB1176" s="68" t="n"/>
      <c r="BC1176" s="68" t="n"/>
      <c r="BD1176" s="68" t="n"/>
      <c r="BE1176" s="68" t="n"/>
      <c r="BF1176" s="68" t="n"/>
      <c r="BG1176" s="68" t="n"/>
      <c r="BH1176" s="68" t="n"/>
      <c r="BI1176" s="68" t="n"/>
      <c r="BJ1176" s="68" t="n"/>
      <c r="BK1176" s="68" t="n"/>
      <c r="BL1176" s="68" t="n"/>
      <c r="BM1176" s="68" t="n"/>
      <c r="BN1176" s="68" t="n"/>
      <c r="BO1176" s="68" t="n"/>
      <c r="BP1176" s="68" t="n"/>
      <c r="BQ1176" s="68" t="n"/>
      <c r="BR1176" s="68" t="n"/>
      <c r="BS1176" s="68" t="n"/>
      <c r="BT1176" s="68" t="n"/>
      <c r="BU1176" s="68" t="n"/>
      <c r="BV1176" s="588" t="n"/>
      <c r="BW1176" s="68" t="n"/>
      <c r="BX1176" s="68" t="n"/>
      <c r="BY1176" s="68" t="n"/>
      <c r="BZ1176" s="68" t="n"/>
      <c r="CA1176" s="68" t="n"/>
      <c r="CB1176" s="68" t="n"/>
      <c r="CC1176" s="68" t="n"/>
      <c r="CD1176" s="68" t="n"/>
      <c r="CE1176" s="68" t="n"/>
      <c r="CF1176" s="68" t="n"/>
      <c r="CG1176" s="155" t="n"/>
    </row>
    <row r="1177">
      <c r="A1177" s="67" t="inlineStr">
        <is>
          <t>Current Fiscal Year</t>
        </is>
      </c>
      <c r="B1177" s="27">
        <f>"FY"&amp;RIGHT(MO.MRFP,4)</f>
        <v/>
      </c>
      <c r="C1177" s="68" t="n"/>
      <c r="D1177" s="68" t="n"/>
      <c r="E1177" s="68" t="n"/>
      <c r="F1177" s="68" t="n"/>
      <c r="G1177" s="68" t="n"/>
      <c r="H1177" s="68" t="n"/>
      <c r="I1177" s="68" t="n"/>
      <c r="J1177" s="68" t="n"/>
      <c r="K1177" s="68" t="n"/>
      <c r="L1177" s="68" t="n"/>
      <c r="M1177" s="68" t="n"/>
      <c r="N1177" s="68" t="n"/>
      <c r="O1177" s="68" t="n"/>
      <c r="P1177" s="68" t="n"/>
      <c r="Q1177" s="68" t="n"/>
      <c r="R1177" s="68" t="n"/>
      <c r="S1177" s="68" t="n"/>
      <c r="T1177" s="68" t="n"/>
      <c r="U1177" s="68" t="n"/>
      <c r="V1177" s="68" t="n"/>
      <c r="W1177" s="68" t="n"/>
      <c r="X1177" s="68" t="n"/>
      <c r="Y1177" s="68" t="n"/>
      <c r="Z1177" s="68" t="n"/>
      <c r="AA1177" s="68" t="n"/>
      <c r="AB1177" s="68" t="n"/>
      <c r="AC1177" s="68" t="n"/>
      <c r="AD1177" s="68" t="n"/>
      <c r="AE1177" s="68" t="n"/>
      <c r="AF1177" s="68" t="n"/>
      <c r="AG1177" s="68" t="n"/>
      <c r="AH1177" s="68" t="n"/>
      <c r="AI1177" s="68" t="n"/>
      <c r="AJ1177" s="68" t="n"/>
      <c r="AK1177" s="68" t="n"/>
      <c r="AL1177" s="68" t="n"/>
      <c r="AM1177" s="68" t="n"/>
      <c r="AN1177" s="68" t="n"/>
      <c r="AO1177" s="68" t="n"/>
      <c r="AP1177" s="68" t="n"/>
      <c r="AQ1177" s="68" t="n"/>
      <c r="AR1177" s="68" t="n"/>
      <c r="AS1177" s="68" t="n"/>
      <c r="AT1177" s="68" t="n"/>
      <c r="AU1177" s="68" t="n"/>
      <c r="AV1177" s="68" t="n"/>
      <c r="AW1177" s="68" t="n"/>
      <c r="AX1177" s="68" t="n"/>
      <c r="AY1177" s="68" t="n"/>
      <c r="AZ1177" s="68" t="n"/>
      <c r="BA1177" s="68" t="n"/>
      <c r="BB1177" s="68" t="n"/>
      <c r="BC1177" s="68" t="n"/>
      <c r="BD1177" s="68" t="n"/>
      <c r="BE1177" s="68" t="n"/>
      <c r="BF1177" s="68" t="n"/>
      <c r="BG1177" s="68" t="n"/>
      <c r="BH1177" s="68" t="n"/>
      <c r="BI1177" s="68" t="n"/>
      <c r="BJ1177" s="68" t="n"/>
      <c r="BK1177" s="68" t="n"/>
      <c r="BL1177" s="68" t="n"/>
      <c r="BM1177" s="68" t="n"/>
      <c r="BN1177" s="68" t="n"/>
      <c r="BO1177" s="68" t="n"/>
      <c r="BP1177" s="68" t="n"/>
      <c r="BQ1177" s="68" t="n"/>
      <c r="BR1177" s="68" t="n"/>
      <c r="BS1177" s="68" t="n"/>
      <c r="BT1177" s="68" t="n"/>
      <c r="BU1177" s="68" t="n"/>
      <c r="BV1177" s="588" t="n"/>
      <c r="BW1177" s="68" t="n"/>
      <c r="BX1177" s="68" t="n"/>
      <c r="BY1177" s="68" t="n"/>
      <c r="BZ1177" s="68" t="n"/>
      <c r="CA1177" s="68" t="n"/>
      <c r="CB1177" s="68" t="n"/>
      <c r="CC1177" s="68" t="n"/>
      <c r="CD1177" s="68" t="n"/>
      <c r="CE1177" s="68" t="n"/>
      <c r="CF1177" s="68" t="n"/>
      <c r="CG1177" s="155" t="n"/>
    </row>
    <row r="1178">
      <c r="A1178" s="67" t="inlineStr">
        <is>
          <t>First Forecast Fiscal Year</t>
        </is>
      </c>
      <c r="B1178" s="27">
        <f>"FY"&amp;RIGHT(MO.MRFP,4)+IF(LEFT(MO.MRFP,2)="FY",1,0)</f>
        <v/>
      </c>
      <c r="C1178" s="68" t="n"/>
      <c r="D1178" s="68" t="n"/>
      <c r="E1178" s="68" t="n"/>
      <c r="F1178" s="68" t="n"/>
      <c r="G1178" s="68" t="n"/>
      <c r="H1178" s="68" t="n"/>
      <c r="I1178" s="68" t="n"/>
      <c r="J1178" s="68" t="n"/>
      <c r="K1178" s="68" t="n"/>
      <c r="L1178" s="68" t="n"/>
      <c r="M1178" s="68" t="n"/>
      <c r="N1178" s="68" t="n"/>
      <c r="O1178" s="68" t="n"/>
      <c r="P1178" s="68" t="n"/>
      <c r="Q1178" s="68" t="n"/>
      <c r="R1178" s="68" t="n"/>
      <c r="S1178" s="68" t="n"/>
      <c r="T1178" s="68" t="n"/>
      <c r="U1178" s="68" t="n"/>
      <c r="V1178" s="68" t="n"/>
      <c r="W1178" s="68" t="n"/>
      <c r="X1178" s="68" t="n"/>
      <c r="Y1178" s="68" t="n"/>
      <c r="Z1178" s="68" t="n"/>
      <c r="AA1178" s="68" t="n"/>
      <c r="AB1178" s="68" t="n"/>
      <c r="AC1178" s="68" t="n"/>
      <c r="AD1178" s="68" t="n"/>
      <c r="AE1178" s="68" t="n"/>
      <c r="AF1178" s="68" t="n"/>
      <c r="AG1178" s="68" t="n"/>
      <c r="AH1178" s="68" t="n"/>
      <c r="AI1178" s="68" t="n"/>
      <c r="AJ1178" s="68" t="n"/>
      <c r="AK1178" s="68" t="n"/>
      <c r="AL1178" s="68" t="n"/>
      <c r="AM1178" s="68" t="n"/>
      <c r="AN1178" s="68" t="n"/>
      <c r="AO1178" s="68" t="n"/>
      <c r="AP1178" s="68" t="n"/>
      <c r="AQ1178" s="68" t="n"/>
      <c r="AR1178" s="68" t="n"/>
      <c r="AS1178" s="68" t="n"/>
      <c r="AT1178" s="68" t="n"/>
      <c r="AU1178" s="68" t="n"/>
      <c r="AV1178" s="68" t="n"/>
      <c r="AW1178" s="68" t="n"/>
      <c r="AX1178" s="68" t="n"/>
      <c r="AY1178" s="68" t="n"/>
      <c r="AZ1178" s="68" t="n"/>
      <c r="BA1178" s="68" t="n"/>
      <c r="BB1178" s="68" t="n"/>
      <c r="BC1178" s="68" t="n"/>
      <c r="BD1178" s="68" t="n"/>
      <c r="BE1178" s="68" t="n"/>
      <c r="BF1178" s="68" t="n"/>
      <c r="BG1178" s="68" t="n"/>
      <c r="BH1178" s="68" t="n"/>
      <c r="BI1178" s="68" t="n"/>
      <c r="BJ1178" s="68" t="n"/>
      <c r="BK1178" s="68" t="n"/>
      <c r="BL1178" s="68" t="n"/>
      <c r="BM1178" s="68" t="n"/>
      <c r="BN1178" s="68" t="n"/>
      <c r="BO1178" s="68" t="n"/>
      <c r="BP1178" s="68" t="n"/>
      <c r="BQ1178" s="68" t="n"/>
      <c r="BR1178" s="68" t="n"/>
      <c r="BS1178" s="68" t="n"/>
      <c r="BT1178" s="68" t="n"/>
      <c r="BU1178" s="68" t="n"/>
      <c r="BV1178" s="588" t="n"/>
      <c r="BW1178" s="68" t="n"/>
      <c r="BX1178" s="68" t="n"/>
      <c r="BY1178" s="68" t="n"/>
      <c r="BZ1178" s="68" t="n"/>
      <c r="CA1178" s="68" t="n"/>
      <c r="CB1178" s="68" t="n"/>
      <c r="CC1178" s="68" t="n"/>
      <c r="CD1178" s="68" t="n"/>
      <c r="CE1178" s="68" t="n"/>
      <c r="CF1178" s="68" t="n"/>
      <c r="CG1178" s="155" t="n"/>
    </row>
    <row r="1179">
      <c r="A1179" s="67" t="inlineStr">
        <is>
          <t>KPI Count</t>
        </is>
      </c>
      <c r="B1179" s="27">
        <f>COUNTA(tb_KPIs)-1</f>
        <v/>
      </c>
      <c r="C1179" s="68" t="n"/>
      <c r="D1179" s="68" t="n"/>
      <c r="E1179" s="68" t="n"/>
      <c r="F1179" s="68" t="n"/>
      <c r="G1179" s="68" t="n"/>
      <c r="H1179" s="68" t="n"/>
      <c r="I1179" s="68" t="n"/>
      <c r="J1179" s="68" t="n"/>
      <c r="K1179" s="68" t="n"/>
      <c r="L1179" s="68" t="n"/>
      <c r="M1179" s="68" t="n"/>
      <c r="N1179" s="68" t="n"/>
      <c r="O1179" s="68" t="n"/>
      <c r="P1179" s="68" t="n"/>
      <c r="Q1179" s="68" t="n"/>
      <c r="R1179" s="68" t="n"/>
      <c r="S1179" s="68" t="n"/>
      <c r="T1179" s="68" t="n"/>
      <c r="U1179" s="68" t="n"/>
      <c r="V1179" s="68" t="n"/>
      <c r="W1179" s="68" t="n"/>
      <c r="X1179" s="68" t="n"/>
      <c r="Y1179" s="68" t="n"/>
      <c r="Z1179" s="68" t="n"/>
      <c r="AA1179" s="68" t="n"/>
      <c r="AB1179" s="68" t="n"/>
      <c r="AC1179" s="68" t="n"/>
      <c r="AD1179" s="68" t="n"/>
      <c r="AE1179" s="68" t="n"/>
      <c r="AF1179" s="68" t="n"/>
      <c r="AG1179" s="68" t="n"/>
      <c r="AH1179" s="68" t="n"/>
      <c r="AI1179" s="68" t="n"/>
      <c r="AJ1179" s="68" t="n"/>
      <c r="AK1179" s="68" t="n"/>
      <c r="AL1179" s="68" t="n"/>
      <c r="AM1179" s="68" t="n"/>
      <c r="AN1179" s="68" t="n"/>
      <c r="AO1179" s="68" t="n"/>
      <c r="AP1179" s="68" t="n"/>
      <c r="AQ1179" s="68" t="n"/>
      <c r="AR1179" s="68" t="n"/>
      <c r="AS1179" s="68" t="n"/>
      <c r="AT1179" s="68" t="n"/>
      <c r="AU1179" s="68" t="n"/>
      <c r="AV1179" s="68" t="n"/>
      <c r="AW1179" s="68" t="n"/>
      <c r="AX1179" s="68" t="n"/>
      <c r="AY1179" s="68" t="n"/>
      <c r="AZ1179" s="68" t="n"/>
      <c r="BA1179" s="68" t="n"/>
      <c r="BB1179" s="68" t="n"/>
      <c r="BC1179" s="68" t="n"/>
      <c r="BD1179" s="68" t="n"/>
      <c r="BE1179" s="68" t="n"/>
      <c r="BF1179" s="68" t="n"/>
      <c r="BG1179" s="68" t="n"/>
      <c r="BH1179" s="68" t="n"/>
      <c r="BI1179" s="68" t="n"/>
      <c r="BJ1179" s="68" t="n"/>
      <c r="BK1179" s="68" t="n"/>
      <c r="BL1179" s="68" t="n"/>
      <c r="BM1179" s="68" t="n"/>
      <c r="BN1179" s="68" t="n"/>
      <c r="BO1179" s="68" t="n"/>
      <c r="BP1179" s="68" t="n"/>
      <c r="BQ1179" s="68" t="n"/>
      <c r="BR1179" s="68" t="n"/>
      <c r="BS1179" s="68" t="n"/>
      <c r="BT1179" s="68" t="n"/>
      <c r="BU1179" s="68" t="n"/>
      <c r="BV1179" s="588" t="n"/>
      <c r="BW1179" s="68" t="n"/>
      <c r="BX1179" s="68" t="n"/>
      <c r="BY1179" s="68" t="n"/>
      <c r="BZ1179" s="68" t="n"/>
      <c r="CA1179" s="68" t="n"/>
      <c r="CB1179" s="68" t="n"/>
      <c r="CC1179" s="68" t="n"/>
      <c r="CD1179" s="68" t="n"/>
      <c r="CE1179" s="68" t="n"/>
      <c r="CF1179" s="68" t="n"/>
      <c r="CG1179" s="155" t="n"/>
    </row>
    <row r="1180">
      <c r="A1180" s="234" t="inlineStr">
        <is>
          <t>Data Source Index</t>
        </is>
      </c>
      <c r="B1180" s="235">
        <f>IF(MO.DataSourceName="Bloomberg",1,IF(MO.DataSourceName="Capital IQ",2,IF(MO.DataSourceName="FactSet",3,IF(MO.DataSourceName="Refinitiv",4,1))))</f>
        <v/>
      </c>
      <c r="C1180" s="68" t="n"/>
      <c r="D1180" s="68" t="n"/>
      <c r="E1180" s="68" t="n"/>
      <c r="F1180" s="68" t="n"/>
      <c r="G1180" s="68" t="n"/>
      <c r="H1180" s="68" t="n"/>
      <c r="I1180" s="68" t="n"/>
      <c r="J1180" s="68" t="n"/>
      <c r="K1180" s="68" t="n"/>
      <c r="L1180" s="68" t="n"/>
      <c r="M1180" s="68" t="n"/>
      <c r="N1180" s="68" t="n"/>
      <c r="O1180" s="68" t="n"/>
      <c r="P1180" s="68" t="n"/>
      <c r="Q1180" s="68" t="n"/>
      <c r="R1180" s="68" t="n"/>
      <c r="S1180" s="68" t="n"/>
      <c r="T1180" s="68" t="n"/>
      <c r="U1180" s="68" t="n"/>
      <c r="V1180" s="68" t="n"/>
      <c r="W1180" s="68" t="n"/>
      <c r="X1180" s="68" t="n"/>
      <c r="Y1180" s="68" t="n"/>
      <c r="Z1180" s="68" t="n"/>
      <c r="AA1180" s="68" t="n"/>
      <c r="AB1180" s="68" t="n"/>
      <c r="AC1180" s="68" t="n"/>
      <c r="AD1180" s="68" t="n"/>
      <c r="AE1180" s="68" t="n"/>
      <c r="AF1180" s="68" t="n"/>
      <c r="AG1180" s="68" t="n"/>
      <c r="AH1180" s="68" t="n"/>
      <c r="AI1180" s="68" t="n"/>
      <c r="AJ1180" s="68" t="n"/>
      <c r="AK1180" s="68" t="n"/>
      <c r="AL1180" s="68" t="n"/>
      <c r="AM1180" s="68" t="n"/>
      <c r="AN1180" s="68" t="n"/>
      <c r="AO1180" s="68" t="n"/>
      <c r="AP1180" s="68" t="n"/>
      <c r="AQ1180" s="68" t="n"/>
      <c r="AR1180" s="68" t="n"/>
      <c r="AS1180" s="68" t="n"/>
      <c r="AT1180" s="68" t="n"/>
      <c r="AU1180" s="68" t="n"/>
      <c r="AV1180" s="68" t="n"/>
      <c r="AW1180" s="68" t="n"/>
      <c r="AX1180" s="68" t="n"/>
      <c r="AY1180" s="68" t="n"/>
      <c r="AZ1180" s="68" t="n"/>
      <c r="BA1180" s="68" t="n"/>
      <c r="BB1180" s="68" t="n"/>
      <c r="BC1180" s="68" t="n"/>
      <c r="BD1180" s="68" t="n"/>
      <c r="BE1180" s="68" t="n"/>
      <c r="BF1180" s="68" t="n"/>
      <c r="BG1180" s="68" t="n"/>
      <c r="BH1180" s="68" t="n"/>
      <c r="BI1180" s="68" t="n"/>
      <c r="BJ1180" s="68" t="n"/>
      <c r="BK1180" s="68" t="n"/>
      <c r="BL1180" s="68" t="n"/>
      <c r="BM1180" s="68" t="n"/>
      <c r="BN1180" s="68" t="n"/>
      <c r="BO1180" s="68" t="n"/>
      <c r="BP1180" s="68" t="n"/>
      <c r="BQ1180" s="68" t="n"/>
      <c r="BR1180" s="68" t="n"/>
      <c r="BS1180" s="68" t="n"/>
      <c r="BT1180" s="68" t="n"/>
      <c r="BU1180" s="68" t="n"/>
      <c r="BV1180" s="588" t="n"/>
      <c r="BW1180" s="68" t="n"/>
      <c r="BX1180" s="68" t="n"/>
      <c r="BY1180" s="68" t="n"/>
      <c r="BZ1180" s="68" t="n"/>
      <c r="CA1180" s="68" t="n"/>
      <c r="CB1180" s="68" t="n"/>
      <c r="CC1180" s="68" t="n"/>
      <c r="CD1180" s="68" t="n"/>
      <c r="CE1180" s="68" t="n"/>
      <c r="CF1180" s="68" t="n"/>
      <c r="CG1180" s="155" t="n"/>
    </row>
    <row r="1181">
      <c r="A1181" s="596" t="n"/>
      <c r="B1181" s="596" t="n"/>
      <c r="C1181" s="596" t="n"/>
      <c r="D1181" s="596" t="n"/>
      <c r="E1181" s="596" t="n"/>
      <c r="F1181" s="596" t="n"/>
      <c r="G1181" s="596" t="n"/>
      <c r="H1181" s="596" t="n"/>
      <c r="I1181" s="596" t="n"/>
      <c r="J1181" s="596" t="n"/>
      <c r="K1181" s="596" t="n"/>
      <c r="L1181" s="596" t="n"/>
      <c r="M1181" s="596" t="n"/>
      <c r="N1181" s="596" t="n"/>
      <c r="O1181" s="596" t="n"/>
      <c r="P1181" s="596" t="n"/>
      <c r="Q1181" s="596" t="n"/>
      <c r="R1181" s="596" t="n"/>
      <c r="S1181" s="596" t="n"/>
      <c r="T1181" s="596" t="n"/>
      <c r="U1181" s="596" t="n"/>
      <c r="V1181" s="596" t="n"/>
      <c r="W1181" s="596" t="n"/>
      <c r="X1181" s="596" t="n"/>
      <c r="Y1181" s="596" t="n"/>
      <c r="Z1181" s="596" t="n"/>
      <c r="AA1181" s="596" t="n"/>
      <c r="AB1181" s="596" t="n"/>
      <c r="AC1181" s="596" t="n"/>
      <c r="AD1181" s="596" t="n"/>
      <c r="AE1181" s="596" t="n"/>
      <c r="AF1181" s="596" t="n"/>
      <c r="AG1181" s="596" t="n"/>
      <c r="AH1181" s="596" t="n"/>
      <c r="AI1181" s="596" t="n"/>
      <c r="AJ1181" s="596" t="n"/>
      <c r="AK1181" s="596" t="n"/>
      <c r="AL1181" s="596" t="n"/>
      <c r="AM1181" s="596" t="n"/>
      <c r="AN1181" s="596" t="n"/>
      <c r="AO1181" s="596" t="n"/>
      <c r="AP1181" s="596" t="n"/>
      <c r="AQ1181" s="596" t="n"/>
      <c r="AR1181" s="596" t="n"/>
      <c r="AS1181" s="596" t="n"/>
      <c r="AT1181" s="596" t="n"/>
      <c r="AU1181" s="596" t="n"/>
      <c r="AV1181" s="596" t="n"/>
      <c r="AW1181" s="596" t="n"/>
      <c r="AX1181" s="596" t="n"/>
      <c r="AY1181" s="596" t="n"/>
      <c r="AZ1181" s="596" t="n"/>
      <c r="BA1181" s="596" t="n"/>
      <c r="BB1181" s="596" t="n"/>
      <c r="BC1181" s="596" t="n"/>
      <c r="BD1181" s="596" t="n"/>
      <c r="BE1181" s="596" t="n"/>
      <c r="BF1181" s="596" t="n"/>
      <c r="BG1181" s="596" t="n"/>
      <c r="BH1181" s="596" t="n"/>
      <c r="BI1181" s="596" t="n"/>
      <c r="BJ1181" s="596" t="n"/>
      <c r="BK1181" s="596" t="n"/>
      <c r="BL1181" s="596" t="n"/>
      <c r="BM1181" s="596" t="n"/>
      <c r="BN1181" s="596" t="n"/>
      <c r="BO1181" s="596" t="n"/>
      <c r="BP1181" s="596" t="n"/>
      <c r="BQ1181" s="596" t="n"/>
      <c r="BR1181" s="596" t="n"/>
      <c r="BS1181" s="596" t="n"/>
      <c r="BT1181" s="596" t="n"/>
      <c r="BU1181" s="596" t="n"/>
      <c r="BV1181" s="630" t="n"/>
      <c r="BW1181" s="596" t="n"/>
      <c r="BX1181" s="596" t="n"/>
      <c r="BY1181" s="596" t="n"/>
      <c r="BZ1181" s="596" t="n"/>
      <c r="CA1181" s="596" t="n"/>
      <c r="CB1181" s="596" t="n"/>
      <c r="CC1181" s="596" t="n"/>
      <c r="CD1181" s="596" t="n"/>
      <c r="CE1181" s="596" t="n"/>
      <c r="CF1181" s="596" t="n"/>
      <c r="CG1181" s="155" t="n"/>
    </row>
    <row r="1182">
      <c r="A1182" s="286" t="inlineStr">
        <is>
          <t>Tegus</t>
        </is>
      </c>
      <c r="B1182" s="236" t="n"/>
      <c r="C1182" s="236" t="n"/>
      <c r="D1182" s="236" t="n"/>
      <c r="E1182" s="236" t="n"/>
      <c r="F1182" s="236" t="n"/>
      <c r="G1182" s="236" t="n"/>
      <c r="H1182" s="236" t="n"/>
      <c r="I1182" s="236" t="n"/>
      <c r="J1182" s="236" t="n"/>
      <c r="K1182" s="236" t="n"/>
      <c r="L1182" s="236" t="n"/>
      <c r="M1182" s="236" t="n"/>
      <c r="N1182" s="236" t="n"/>
      <c r="O1182" s="236" t="n"/>
      <c r="P1182" s="236" t="n"/>
      <c r="Q1182" s="236" t="n"/>
      <c r="R1182" s="236" t="n"/>
      <c r="S1182" s="236" t="n"/>
      <c r="T1182" s="236" t="n"/>
      <c r="U1182" s="236" t="n"/>
      <c r="V1182" s="236" t="n"/>
      <c r="W1182" s="236" t="n"/>
      <c r="X1182" s="236" t="n"/>
      <c r="Y1182" s="236" t="n"/>
      <c r="Z1182" s="236" t="n"/>
      <c r="AA1182" s="236" t="n"/>
      <c r="AB1182" s="236" t="n"/>
      <c r="AC1182" s="236" t="n"/>
      <c r="AD1182" s="236" t="n"/>
      <c r="AE1182" s="236" t="n"/>
      <c r="AF1182" s="236" t="n"/>
      <c r="AG1182" s="236" t="n"/>
      <c r="AH1182" s="236" t="n"/>
      <c r="AI1182" s="236" t="n"/>
      <c r="AJ1182" s="236" t="n"/>
      <c r="AK1182" s="236" t="n"/>
      <c r="AL1182" s="236" t="n"/>
      <c r="AM1182" s="236" t="n"/>
      <c r="AN1182" s="236" t="n"/>
      <c r="AO1182" s="236" t="n"/>
      <c r="AP1182" s="236" t="n"/>
      <c r="AQ1182" s="236" t="n"/>
      <c r="AR1182" s="236" t="n"/>
      <c r="AS1182" s="236" t="n"/>
      <c r="AT1182" s="236" t="n"/>
      <c r="AU1182" s="236" t="n"/>
      <c r="AV1182" s="236" t="n"/>
      <c r="AW1182" s="236" t="n"/>
      <c r="AX1182" s="236" t="n"/>
      <c r="AY1182" s="236" t="n"/>
      <c r="AZ1182" s="236" t="n"/>
      <c r="BA1182" s="236" t="n"/>
      <c r="BB1182" s="236" t="n"/>
      <c r="BC1182" s="236" t="n"/>
      <c r="BD1182" s="236" t="n"/>
      <c r="BE1182" s="236" t="n"/>
      <c r="BF1182" s="236" t="n"/>
      <c r="BG1182" s="236" t="n"/>
      <c r="BH1182" s="236" t="n"/>
      <c r="BI1182" s="236" t="n"/>
      <c r="BJ1182" s="236" t="n"/>
      <c r="BK1182" s="236" t="n"/>
      <c r="BL1182" s="236" t="n"/>
      <c r="BM1182" s="236" t="n"/>
      <c r="BN1182" s="236" t="n"/>
      <c r="BO1182" s="236" t="n"/>
      <c r="BP1182" s="236" t="n"/>
      <c r="BQ1182" s="236" t="n"/>
      <c r="BR1182" s="236" t="n"/>
      <c r="BS1182" s="236" t="n"/>
      <c r="BT1182" s="236" t="n"/>
      <c r="BU1182" s="236" t="n"/>
      <c r="BV1182" s="236" t="n"/>
      <c r="BW1182" s="236" t="n"/>
      <c r="BX1182" s="236" t="n"/>
      <c r="BY1182" s="236" t="n"/>
      <c r="BZ1182" s="236" t="n"/>
      <c r="CA1182" s="236" t="n"/>
      <c r="CB1182" s="236" t="n"/>
      <c r="CC1182" s="236" t="n"/>
      <c r="CD1182" s="236" t="n"/>
      <c r="CE1182" s="236" t="n"/>
      <c r="CF1182" s="236" t="n"/>
      <c r="CG1182" s="155" t="n"/>
    </row>
    <row r="1183">
      <c r="A1183" s="155" t="n"/>
      <c r="B1183" s="155" t="n"/>
      <c r="C1183" s="155" t="n"/>
      <c r="D1183" s="155" t="n"/>
      <c r="E1183" s="155" t="n"/>
      <c r="F1183" s="155" t="n"/>
      <c r="G1183" s="155" t="n"/>
      <c r="H1183" s="155" t="n"/>
      <c r="I1183" s="155" t="n"/>
      <c r="J1183" s="155" t="n"/>
      <c r="K1183" s="155" t="n"/>
      <c r="L1183" s="155" t="n"/>
      <c r="M1183" s="155" t="n"/>
      <c r="N1183" s="155" t="n"/>
      <c r="O1183" s="155" t="n"/>
      <c r="P1183" s="155" t="n"/>
      <c r="Q1183" s="155" t="n"/>
      <c r="R1183" s="155" t="n"/>
      <c r="S1183" s="155" t="n"/>
      <c r="T1183" s="155" t="n"/>
      <c r="U1183" s="155" t="n"/>
      <c r="V1183" s="155" t="n"/>
      <c r="W1183" s="155" t="n"/>
      <c r="X1183" s="155" t="n"/>
      <c r="Y1183" s="155" t="n"/>
      <c r="Z1183" s="155" t="n"/>
      <c r="AA1183" s="155" t="n"/>
      <c r="AB1183" s="155" t="n"/>
      <c r="AC1183" s="155" t="n"/>
      <c r="AD1183" s="155" t="n"/>
      <c r="AE1183" s="155" t="n"/>
      <c r="AF1183" s="155" t="n"/>
      <c r="AG1183" s="155" t="n"/>
      <c r="AH1183" s="155" t="n"/>
      <c r="AI1183" s="155" t="n"/>
      <c r="AJ1183" s="155" t="n"/>
      <c r="AK1183" s="155" t="n"/>
      <c r="AL1183" s="155" t="n"/>
      <c r="AM1183" s="155" t="n"/>
      <c r="AN1183" s="155" t="n"/>
      <c r="AO1183" s="155" t="n"/>
      <c r="AP1183" s="155" t="n"/>
      <c r="AQ1183" s="155" t="n"/>
      <c r="AR1183" s="155" t="n"/>
      <c r="AS1183" s="155" t="n"/>
      <c r="AT1183" s="155" t="n"/>
      <c r="AU1183" s="155" t="n"/>
      <c r="AV1183" s="155" t="n"/>
      <c r="AW1183" s="155" t="n"/>
      <c r="AX1183" s="155" t="n"/>
      <c r="AY1183" s="155" t="n"/>
      <c r="AZ1183" s="155" t="n"/>
      <c r="BA1183" s="155" t="n"/>
      <c r="BB1183" s="155" t="n"/>
      <c r="BC1183" s="155" t="n"/>
      <c r="BD1183" s="155" t="n"/>
      <c r="BE1183" s="155" t="n"/>
      <c r="BF1183" s="155" t="n"/>
      <c r="BG1183" s="155" t="n"/>
      <c r="BH1183" s="155" t="n"/>
      <c r="BI1183" s="155" t="n"/>
      <c r="BJ1183" s="155" t="n"/>
      <c r="BK1183" s="155" t="n"/>
      <c r="BL1183" s="155" t="n"/>
      <c r="BM1183" s="155" t="n"/>
      <c r="BN1183" s="155" t="n"/>
      <c r="BO1183" s="155" t="n"/>
      <c r="BP1183" s="155" t="n"/>
      <c r="BQ1183" s="155" t="n"/>
      <c r="BR1183" s="155" t="n"/>
      <c r="BS1183" s="155" t="n"/>
      <c r="BT1183" s="155" t="n"/>
      <c r="BU1183" s="155" t="n"/>
      <c r="BV1183" s="155" t="n"/>
      <c r="BW1183" s="155" t="n"/>
      <c r="BX1183" s="155" t="n"/>
      <c r="BY1183" s="155" t="n"/>
      <c r="BZ1183" s="155" t="n"/>
      <c r="CA1183" s="155" t="n"/>
      <c r="CB1183" s="155" t="n"/>
      <c r="CC1183" s="155" t="n"/>
      <c r="CD1183" s="155" t="n"/>
      <c r="CE1183" s="155" t="n"/>
      <c r="CF1183" s="155" t="n"/>
      <c r="CG1183" s="155" t="n"/>
    </row>
  </sheetData>
  <conditionalFormatting sqref="C913:P913 U913:BJ913 BL913:CF913">
    <cfRule type="cellIs" priority="1554" operator="notEqual" dxfId="0">
      <formula>0</formula>
    </cfRule>
    <cfRule type="cellIs" priority="1555" operator="equal" dxfId="1">
      <formula>0</formula>
    </cfRule>
  </conditionalFormatting>
  <conditionalFormatting sqref="C309:R309 U309:X309 Z309:AB309 AE309:AF309 AJ309:AM309 AO309:AP309 AT309:AZ309 BB309:BJ309 BL309:CF309">
    <cfRule type="cellIs" priority="1556" operator="notEqual" dxfId="0">
      <formula>0</formula>
    </cfRule>
    <cfRule type="cellIs" priority="1557" operator="equal" dxfId="1">
      <formula>0</formula>
    </cfRule>
  </conditionalFormatting>
  <conditionalFormatting sqref="C1011:CF1011">
    <cfRule type="cellIs" priority="1552" operator="notEqual" dxfId="0">
      <formula>0</formula>
    </cfRule>
    <cfRule type="cellIs" priority="1553" operator="equal" dxfId="1">
      <formula>0</formula>
    </cfRule>
  </conditionalFormatting>
  <conditionalFormatting sqref="C1014:P1015 C1016:CF1017 C1018:O1019 C1020:CF1025 C1026:T1026 C1027:CF1028 C1029:T1030 C1031:CF1035 Q1018:CF1019 R1014:R1015 T1015 V1014:X1014 V1015:Y1015 V1026:AD1026 V1029:Y1029 V1030:AD1030 AA1014:AB1014 AA1015:CF1015 AA1029:AI1029 AE1014:AF1014 AF1026:AN1026 AF1030:AN1030 AJ1014:AM1014 AK1029:AN1029 AO1014:AP1014 AP1026:BH1026 AP1029:AS1029 AP1030:BH1030 AT1014:AZ1014 AU1029:BC1029 BB1014:BJ1014 BE1029:BM1029 BJ1026:BR1026 BJ1030:BR1030 BL1014:CF1014 BO1029:CF1029 BT1026:CF1026 BT1030:CF1030">
    <cfRule type="cellIs" priority="1550" operator="notEqual" dxfId="0">
      <formula>0</formula>
    </cfRule>
    <cfRule type="cellIs" priority="1551" operator="equal" dxfId="1">
      <formula>0</formula>
    </cfRule>
  </conditionalFormatting>
  <dataValidations count="1">
    <dataValidation sqref="B745" showDropDown="0" showInputMessage="1" showErrorMessage="1" allowBlank="1" type="list">
      <formula1>OFFSET(tb_ValuationToggle,1,0,4,1)</formula1>
    </dataValidation>
  </dataValidations>
  <hyperlinks>
    <hyperlink xmlns:r="http://schemas.openxmlformats.org/officeDocument/2006/relationships" ref="A1" r:id="rId1"/>
  </hyperlinks>
  <pageMargins left="0" right="0" top="0.393700787401575" bottom="0" header="0.196850393700787" footer="0"/>
  <pageSetup orientation="landscape" fitToHeight="0"/>
  <headerFooter>
    <oddHeader>&amp;CNVIDIA Corporation&amp;RPage &amp;P</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G130"/>
  <sheetViews>
    <sheetView zoomScale="85" zoomScaleNormal="85" workbookViewId="0">
      <pane xSplit="2" ySplit="5" topLeftCell="C6" activePane="bottomRight" state="frozenSplit"/>
      <selection pane="topRight" activeCell="C1" sqref="C1"/>
      <selection pane="bottomLeft" activeCell="A6" sqref="A6"/>
      <selection pane="bottomRight" activeCell="A1" sqref="A1"/>
    </sheetView>
  </sheetViews>
  <sheetFormatPr baseColWidth="10" defaultColWidth="8.83203125" defaultRowHeight="14.5" customHeight="1" outlineLevelRow="1"/>
  <cols>
    <col width="59" customWidth="1" style="963" min="1" max="1"/>
    <col width="9.6640625" customWidth="1" style="963" min="2" max="2"/>
    <col hidden="1" outlineLevel="1" width="10.33203125" customWidth="1" style="963" min="3" max="3"/>
    <col hidden="1" outlineLevel="1" width="8.83203125" customWidth="1" style="963" min="4" max="6"/>
    <col hidden="1" outlineLevel="1" width="8.83203125" customWidth="1" min="7" max="10"/>
    <col hidden="1" outlineLevel="1" width="8.83203125" customWidth="1" style="963" min="11" max="11"/>
    <col hidden="1" outlineLevel="1" width="8.83203125" customWidth="1" min="12" max="15"/>
    <col hidden="1" outlineLevel="1" width="8.83203125" customWidth="1" style="963" min="16" max="16"/>
    <col hidden="1" outlineLevel="1" width="8.83203125" customWidth="1" min="17" max="20"/>
    <col hidden="1" outlineLevel="1" width="8.83203125" customWidth="1" style="963" min="21" max="21"/>
    <col hidden="1" outlineLevel="1" width="8.83203125" customWidth="1" min="22" max="25"/>
    <col hidden="1" outlineLevel="1" width="8.83203125" customWidth="1" style="963" min="26" max="26"/>
    <col hidden="1" outlineLevel="1" width="8.83203125" customWidth="1" min="27" max="30"/>
    <col hidden="1" outlineLevel="1" width="8.83203125" customWidth="1" style="963" min="31" max="31"/>
    <col hidden="1" outlineLevel="1" width="8.83203125" customWidth="1" min="32" max="35"/>
    <col hidden="1" outlineLevel="1" width="8.83203125" customWidth="1" style="963" min="36" max="36"/>
    <col hidden="1" outlineLevel="1" width="8.83203125" customWidth="1" min="37" max="40"/>
    <col hidden="1" outlineLevel="1" width="8.83203125" customWidth="1" style="963" min="41" max="41"/>
    <col hidden="1" outlineLevel="1" width="8.83203125" customWidth="1" min="42" max="45"/>
    <col collapsed="1" width="10.33203125" customWidth="1" style="963" min="46" max="46"/>
    <col hidden="1" outlineLevel="1" width="10.33203125" customWidth="1" min="47" max="50"/>
    <col collapsed="1" width="10.33203125" customWidth="1" style="963" min="51" max="51"/>
    <col hidden="1" outlineLevel="1" width="10.33203125" customWidth="1" min="52" max="55"/>
    <col collapsed="1" width="10.33203125" customWidth="1" style="963" min="56" max="56"/>
    <col hidden="1" outlineLevel="1" width="10.33203125" customWidth="1" min="57" max="60"/>
    <col collapsed="1" width="10.33203125" customWidth="1" style="963" min="61" max="61"/>
    <col hidden="1" outlineLevel="1" width="10.33203125" customWidth="1" min="62" max="65"/>
    <col collapsed="1" width="10.33203125" customWidth="1" style="963" min="66" max="66"/>
    <col outlineLevel="1" width="10.33203125" customWidth="1" min="67" max="70"/>
    <col width="10.33203125" customWidth="1" style="963" min="71" max="71"/>
    <col outlineLevel="1" width="10.33203125" customWidth="1" min="72" max="75"/>
    <col width="10.33203125" customWidth="1" style="963" min="76" max="76"/>
    <col outlineLevel="1" width="10.33203125" customWidth="1" style="963" min="77" max="80"/>
    <col width="10.33203125" customWidth="1" style="963" min="81" max="84"/>
    <col width="8.83203125" customWidth="1" style="963" min="85" max="86"/>
    <col width="8.83203125" customWidth="1" style="963" min="87" max="16384"/>
  </cols>
  <sheetData>
    <row r="1" ht="28.5" customFormat="1" customHeight="1" s="974">
      <c r="A1" s="838">
        <f>MO.CompanyName</f>
        <v/>
      </c>
      <c r="B1" s="194" t="n"/>
      <c r="C1" s="1013" t="n"/>
      <c r="D1" s="1013" t="n"/>
      <c r="E1" s="1013" t="n"/>
      <c r="F1" s="1013" t="n"/>
      <c r="G1" s="1013" t="n"/>
      <c r="H1" s="1013" t="n"/>
      <c r="I1" s="1013" t="n"/>
      <c r="J1" s="1013" t="n"/>
      <c r="K1" s="1013" t="n"/>
      <c r="L1" s="1013" t="n"/>
      <c r="M1" s="1013" t="n"/>
      <c r="N1" s="1013" t="n"/>
      <c r="O1" s="1013" t="n"/>
      <c r="P1" s="1013" t="n"/>
      <c r="Q1" s="1013" t="n"/>
      <c r="R1" s="1013" t="n"/>
      <c r="S1" s="1013" t="n"/>
      <c r="T1" s="1013" t="n"/>
      <c r="U1" s="1013" t="n"/>
      <c r="V1" s="1013" t="n"/>
      <c r="W1" s="1013" t="n"/>
      <c r="X1" s="1013" t="n"/>
      <c r="Y1" s="1013" t="n"/>
      <c r="Z1" s="1013" t="n"/>
      <c r="AA1" s="1013" t="n"/>
      <c r="AB1" s="1013" t="n"/>
      <c r="AC1" s="1013" t="n"/>
      <c r="AD1" s="1013" t="n"/>
      <c r="AE1" s="1013" t="n"/>
      <c r="AF1" s="1013" t="n"/>
      <c r="AG1" s="1013" t="n"/>
      <c r="AH1" s="1013" t="n"/>
      <c r="AI1" s="1013" t="n"/>
      <c r="AJ1" s="1013" t="n"/>
      <c r="AK1" s="1013" t="n"/>
      <c r="AL1" s="1013" t="n"/>
      <c r="AM1" s="1013" t="n"/>
      <c r="AN1" s="1013" t="n"/>
      <c r="AO1" s="1013" t="n"/>
      <c r="AP1" s="1013" t="n"/>
      <c r="AQ1" s="1013" t="n"/>
      <c r="AR1" s="1013" t="n"/>
      <c r="AS1" s="1013" t="n"/>
      <c r="AT1" s="1013" t="n"/>
      <c r="AU1" s="1013" t="n"/>
      <c r="AV1" s="1013" t="n"/>
      <c r="AW1" s="1013" t="n"/>
      <c r="AX1" s="1013" t="n"/>
      <c r="AY1" s="1013" t="n"/>
      <c r="AZ1" s="1013" t="n"/>
      <c r="BA1" s="1013" t="n"/>
      <c r="BB1" s="1013" t="n"/>
      <c r="BC1" s="1013" t="n"/>
      <c r="BD1" s="1013" t="n"/>
      <c r="BE1" s="1013" t="n"/>
      <c r="BF1" s="1013" t="n"/>
      <c r="BG1" s="1013" t="n"/>
      <c r="BH1" s="1013" t="n"/>
      <c r="BI1" s="1013" t="n"/>
      <c r="BJ1" s="1013" t="n"/>
      <c r="BK1" s="1013" t="n"/>
      <c r="BL1" s="1013" t="n"/>
      <c r="BM1" s="1013" t="n"/>
      <c r="BN1" s="1013" t="n"/>
      <c r="BO1" s="1013" t="n"/>
      <c r="BP1" s="1013" t="n"/>
      <c r="BQ1" s="1013" t="n"/>
      <c r="BR1" s="1013" t="n"/>
      <c r="BS1" s="1013" t="n"/>
      <c r="BT1" s="1013" t="n"/>
      <c r="BU1" s="1013" t="n"/>
      <c r="BV1" s="1014" t="n"/>
      <c r="BW1" s="1013" t="n"/>
      <c r="BX1" s="1013" t="n"/>
      <c r="BY1" s="1013" t="n"/>
      <c r="BZ1" s="1013" t="n"/>
      <c r="CA1" s="1013" t="n"/>
      <c r="CB1" s="1013" t="n"/>
      <c r="CC1" s="1013" t="n"/>
      <c r="CD1" s="1013" t="n"/>
      <c r="CE1" s="1013" t="n"/>
      <c r="CF1" s="1013" t="n"/>
      <c r="CG1" s="827" t="n"/>
    </row>
    <row r="2" ht="15" customFormat="1" customHeight="1" s="974">
      <c r="A2" s="839">
        <f>MO.Ticker</f>
        <v/>
      </c>
      <c r="B2" s="840" t="n"/>
      <c r="C2" s="1445">
        <f>Model!C2</f>
        <v/>
      </c>
      <c r="D2" s="1445">
        <f>Model!D2</f>
        <v/>
      </c>
      <c r="E2" s="1445">
        <f>Model!E2</f>
        <v/>
      </c>
      <c r="F2" s="1445">
        <f>Model!F2</f>
        <v/>
      </c>
      <c r="G2" s="1445">
        <f>Model!G2</f>
        <v/>
      </c>
      <c r="H2" s="1445">
        <f>Model!H2</f>
        <v/>
      </c>
      <c r="I2" s="1445">
        <f>Model!I2</f>
        <v/>
      </c>
      <c r="J2" s="1445">
        <f>Model!J2</f>
        <v/>
      </c>
      <c r="K2" s="1445">
        <f>Model!K2</f>
        <v/>
      </c>
      <c r="L2" s="1445">
        <f>Model!L2</f>
        <v/>
      </c>
      <c r="M2" s="1445">
        <f>Model!M2</f>
        <v/>
      </c>
      <c r="N2" s="1445">
        <f>Model!N2</f>
        <v/>
      </c>
      <c r="O2" s="1445">
        <f>Model!O2</f>
        <v/>
      </c>
      <c r="P2" s="1445">
        <f>Model!P2</f>
        <v/>
      </c>
      <c r="Q2" s="1445">
        <f>Model!Q2</f>
        <v/>
      </c>
      <c r="R2" s="1445">
        <f>Model!R2</f>
        <v/>
      </c>
      <c r="S2" s="1445">
        <f>Model!S2</f>
        <v/>
      </c>
      <c r="T2" s="1445">
        <f>Model!T2</f>
        <v/>
      </c>
      <c r="U2" s="1445">
        <f>Model!U2</f>
        <v/>
      </c>
      <c r="V2" s="1445">
        <f>Model!V2</f>
        <v/>
      </c>
      <c r="W2" s="1445">
        <f>Model!W2</f>
        <v/>
      </c>
      <c r="X2" s="1445">
        <f>Model!X2</f>
        <v/>
      </c>
      <c r="Y2" s="1445">
        <f>Model!Y2</f>
        <v/>
      </c>
      <c r="Z2" s="1445">
        <f>Model!Z2</f>
        <v/>
      </c>
      <c r="AA2" s="1445">
        <f>Model!AA2</f>
        <v/>
      </c>
      <c r="AB2" s="1445">
        <f>Model!AB2</f>
        <v/>
      </c>
      <c r="AC2" s="1445">
        <f>Model!AC2</f>
        <v/>
      </c>
      <c r="AD2" s="1445">
        <f>Model!AD2</f>
        <v/>
      </c>
      <c r="AE2" s="1445">
        <f>Model!AE2</f>
        <v/>
      </c>
      <c r="AF2" s="1445">
        <f>Model!AF2</f>
        <v/>
      </c>
      <c r="AG2" s="1445">
        <f>Model!AG2</f>
        <v/>
      </c>
      <c r="AH2" s="1445">
        <f>Model!AH2</f>
        <v/>
      </c>
      <c r="AI2" s="1445">
        <f>Model!AI2</f>
        <v/>
      </c>
      <c r="AJ2" s="1445">
        <f>Model!AJ2</f>
        <v/>
      </c>
      <c r="AK2" s="1445">
        <f>Model!AK2</f>
        <v/>
      </c>
      <c r="AL2" s="1445">
        <f>Model!AL2</f>
        <v/>
      </c>
      <c r="AM2" s="1445">
        <f>Model!AM2</f>
        <v/>
      </c>
      <c r="AN2" s="1445">
        <f>Model!AN2</f>
        <v/>
      </c>
      <c r="AO2" s="1445">
        <f>Model!AO2</f>
        <v/>
      </c>
      <c r="AP2" s="1445">
        <f>Model!AP2</f>
        <v/>
      </c>
      <c r="AQ2" s="1445">
        <f>Model!AQ2</f>
        <v/>
      </c>
      <c r="AR2" s="1445">
        <f>Model!AR2</f>
        <v/>
      </c>
      <c r="AS2" s="1445">
        <f>Model!AS2</f>
        <v/>
      </c>
      <c r="AT2" s="1445">
        <f>Model!AT2</f>
        <v/>
      </c>
      <c r="AU2" s="1445">
        <f>Model!AU2</f>
        <v/>
      </c>
      <c r="AV2" s="1445">
        <f>Model!AV2</f>
        <v/>
      </c>
      <c r="AW2" s="1445">
        <f>Model!AW2</f>
        <v/>
      </c>
      <c r="AX2" s="1445">
        <f>Model!AX2</f>
        <v/>
      </c>
      <c r="AY2" s="1445">
        <f>Model!AY2</f>
        <v/>
      </c>
      <c r="AZ2" s="1445">
        <f>Model!AZ2</f>
        <v/>
      </c>
      <c r="BA2" s="1445">
        <f>Model!BA2</f>
        <v/>
      </c>
      <c r="BB2" s="1445">
        <f>Model!BB2</f>
        <v/>
      </c>
      <c r="BC2" s="1445">
        <f>Model!BC2</f>
        <v/>
      </c>
      <c r="BD2" s="1445">
        <f>Model!BD2</f>
        <v/>
      </c>
      <c r="BE2" s="1445">
        <f>Model!BE2</f>
        <v/>
      </c>
      <c r="BF2" s="1445">
        <f>Model!BF2</f>
        <v/>
      </c>
      <c r="BG2" s="1445">
        <f>Model!BG2</f>
        <v/>
      </c>
      <c r="BH2" s="1445">
        <f>Model!BH2</f>
        <v/>
      </c>
      <c r="BI2" s="1445">
        <f>Model!BI2</f>
        <v/>
      </c>
      <c r="BJ2" s="1445">
        <f>Model!BJ2</f>
        <v/>
      </c>
      <c r="BK2" s="1445">
        <f>Model!BK2</f>
        <v/>
      </c>
      <c r="BL2" s="1445">
        <f>Model!BL2</f>
        <v/>
      </c>
      <c r="BM2" s="1445">
        <f>Model!BM2</f>
        <v/>
      </c>
      <c r="BN2" s="1445">
        <f>Model!BN2</f>
        <v/>
      </c>
      <c r="BO2" s="1445">
        <f>Model!BO2</f>
        <v/>
      </c>
      <c r="BP2" s="1445">
        <f>Model!BP2</f>
        <v/>
      </c>
      <c r="BQ2" s="1445">
        <f>Model!BQ2</f>
        <v/>
      </c>
      <c r="BR2" s="1445">
        <f>Model!BR2</f>
        <v/>
      </c>
      <c r="BS2" s="1445">
        <f>Model!BS2</f>
        <v/>
      </c>
      <c r="BT2" s="1445">
        <f>Model!BT2</f>
        <v/>
      </c>
      <c r="BU2" s="1445">
        <f>Model!BU2</f>
        <v/>
      </c>
      <c r="BV2" s="1446">
        <f>Model!BV2</f>
        <v/>
      </c>
      <c r="BW2" s="1447">
        <f>Model!BW2</f>
        <v/>
      </c>
      <c r="BX2" s="1445">
        <f>Model!BX2</f>
        <v/>
      </c>
      <c r="BY2" s="1447">
        <f>Model!BY2</f>
        <v/>
      </c>
      <c r="BZ2" s="1447">
        <f>Model!BZ2</f>
        <v/>
      </c>
      <c r="CA2" s="1447">
        <f>Model!CA2</f>
        <v/>
      </c>
      <c r="CB2" s="1447">
        <f>Model!CB2</f>
        <v/>
      </c>
      <c r="CC2" s="1447">
        <f>Model!CC2</f>
        <v/>
      </c>
      <c r="CD2" s="1447">
        <f>Model!CD2</f>
        <v/>
      </c>
      <c r="CE2" s="1447">
        <f>Model!CE2</f>
        <v/>
      </c>
      <c r="CF2" s="1447">
        <f>Model!CF2</f>
        <v/>
      </c>
      <c r="CG2" s="827" t="n"/>
    </row>
    <row r="3" ht="15" customFormat="1" customHeight="1" s="974">
      <c r="A3" s="842">
        <f>MO.TradingCurrency</f>
        <v/>
      </c>
      <c r="B3" s="843">
        <f>MO.LastPrice</f>
        <v/>
      </c>
      <c r="C3" s="1259">
        <f>INDEX(MO_Common_FPDays,0,MATCH(C$5,MO_Common_ColumnHeader,0))</f>
        <v/>
      </c>
      <c r="D3" s="1259">
        <f>INDEX(MO_Common_FPDays,0,MATCH(D$5,MO_Common_ColumnHeader,0))</f>
        <v/>
      </c>
      <c r="E3" s="1259">
        <f>INDEX(MO_Common_FPDays,0,MATCH(E$5,MO_Common_ColumnHeader,0))</f>
        <v/>
      </c>
      <c r="F3" s="1259">
        <f>INDEX(MO_Common_FPDays,0,MATCH(F$5,MO_Common_ColumnHeader,0))</f>
        <v/>
      </c>
      <c r="G3" s="835">
        <f>INDEX(MO_Common_FPDays,0,MATCH(G$5,MO_Common_ColumnHeader,0))</f>
        <v/>
      </c>
      <c r="H3" s="835">
        <f>INDEX(MO_Common_FPDays,0,MATCH(H$5,MO_Common_ColumnHeader,0))</f>
        <v/>
      </c>
      <c r="I3" s="835">
        <f>INDEX(MO_Common_FPDays,0,MATCH(I$5,MO_Common_ColumnHeader,0))</f>
        <v/>
      </c>
      <c r="J3" s="835">
        <f>INDEX(MO_Common_FPDays,0,MATCH(J$5,MO_Common_ColumnHeader,0))</f>
        <v/>
      </c>
      <c r="K3" s="1259">
        <f>INDEX(MO_Common_FPDays,0,MATCH(K$5,MO_Common_ColumnHeader,0))</f>
        <v/>
      </c>
      <c r="L3" s="835">
        <f>INDEX(MO_Common_FPDays,0,MATCH(L$5,MO_Common_ColumnHeader,0))</f>
        <v/>
      </c>
      <c r="M3" s="835">
        <f>INDEX(MO_Common_FPDays,0,MATCH(M$5,MO_Common_ColumnHeader,0))</f>
        <v/>
      </c>
      <c r="N3" s="835">
        <f>INDEX(MO_Common_FPDays,0,MATCH(N$5,MO_Common_ColumnHeader,0))</f>
        <v/>
      </c>
      <c r="O3" s="835">
        <f>INDEX(MO_Common_FPDays,0,MATCH(O$5,MO_Common_ColumnHeader,0))</f>
        <v/>
      </c>
      <c r="P3" s="1259">
        <f>INDEX(MO_Common_FPDays,0,MATCH(P$5,MO_Common_ColumnHeader,0))</f>
        <v/>
      </c>
      <c r="Q3" s="835">
        <f>INDEX(MO_Common_FPDays,0,MATCH(Q$5,MO_Common_ColumnHeader,0))</f>
        <v/>
      </c>
      <c r="R3" s="835">
        <f>INDEX(MO_Common_FPDays,0,MATCH(R$5,MO_Common_ColumnHeader,0))</f>
        <v/>
      </c>
      <c r="S3" s="835">
        <f>INDEX(MO_Common_FPDays,0,MATCH(S$5,MO_Common_ColumnHeader,0))</f>
        <v/>
      </c>
      <c r="T3" s="835">
        <f>INDEX(MO_Common_FPDays,0,MATCH(T$5,MO_Common_ColumnHeader,0))</f>
        <v/>
      </c>
      <c r="U3" s="1259">
        <f>INDEX(MO_Common_FPDays,0,MATCH(U$5,MO_Common_ColumnHeader,0))</f>
        <v/>
      </c>
      <c r="V3" s="835">
        <f>INDEX(MO_Common_FPDays,0,MATCH(V$5,MO_Common_ColumnHeader,0))</f>
        <v/>
      </c>
      <c r="W3" s="835">
        <f>INDEX(MO_Common_FPDays,0,MATCH(W$5,MO_Common_ColumnHeader,0))</f>
        <v/>
      </c>
      <c r="X3" s="835">
        <f>INDEX(MO_Common_FPDays,0,MATCH(X$5,MO_Common_ColumnHeader,0))</f>
        <v/>
      </c>
      <c r="Y3" s="835">
        <f>INDEX(MO_Common_FPDays,0,MATCH(Y$5,MO_Common_ColumnHeader,0))</f>
        <v/>
      </c>
      <c r="Z3" s="1259">
        <f>INDEX(MO_Common_FPDays,0,MATCH(Z$5,MO_Common_ColumnHeader,0))</f>
        <v/>
      </c>
      <c r="AA3" s="835">
        <f>INDEX(MO_Common_FPDays,0,MATCH(AA$5,MO_Common_ColumnHeader,0))</f>
        <v/>
      </c>
      <c r="AB3" s="835">
        <f>INDEX(MO_Common_FPDays,0,MATCH(AB$5,MO_Common_ColumnHeader,0))</f>
        <v/>
      </c>
      <c r="AC3" s="835">
        <f>INDEX(MO_Common_FPDays,0,MATCH(AC$5,MO_Common_ColumnHeader,0))</f>
        <v/>
      </c>
      <c r="AD3" s="835">
        <f>INDEX(MO_Common_FPDays,0,MATCH(AD$5,MO_Common_ColumnHeader,0))</f>
        <v/>
      </c>
      <c r="AE3" s="1259">
        <f>INDEX(MO_Common_FPDays,0,MATCH(AE$5,MO_Common_ColumnHeader,0))</f>
        <v/>
      </c>
      <c r="AF3" s="835">
        <f>INDEX(MO_Common_FPDays,0,MATCH(AF$5,MO_Common_ColumnHeader,0))</f>
        <v/>
      </c>
      <c r="AG3" s="835">
        <f>INDEX(MO_Common_FPDays,0,MATCH(AG$5,MO_Common_ColumnHeader,0))</f>
        <v/>
      </c>
      <c r="AH3" s="835">
        <f>INDEX(MO_Common_FPDays,0,MATCH(AH$5,MO_Common_ColumnHeader,0))</f>
        <v/>
      </c>
      <c r="AI3" s="835">
        <f>INDEX(MO_Common_FPDays,0,MATCH(AI$5,MO_Common_ColumnHeader,0))</f>
        <v/>
      </c>
      <c r="AJ3" s="1259">
        <f>INDEX(MO_Common_FPDays,0,MATCH(AJ$5,MO_Common_ColumnHeader,0))</f>
        <v/>
      </c>
      <c r="AK3" s="835">
        <f>INDEX(MO_Common_FPDays,0,MATCH(AK$5,MO_Common_ColumnHeader,0))</f>
        <v/>
      </c>
      <c r="AL3" s="835">
        <f>INDEX(MO_Common_FPDays,0,MATCH(AL$5,MO_Common_ColumnHeader,0))</f>
        <v/>
      </c>
      <c r="AM3" s="835">
        <f>INDEX(MO_Common_FPDays,0,MATCH(AM$5,MO_Common_ColumnHeader,0))</f>
        <v/>
      </c>
      <c r="AN3" s="835">
        <f>INDEX(MO_Common_FPDays,0,MATCH(AN$5,MO_Common_ColumnHeader,0))</f>
        <v/>
      </c>
      <c r="AO3" s="1259">
        <f>INDEX(MO_Common_FPDays,0,MATCH(AO$5,MO_Common_ColumnHeader,0))</f>
        <v/>
      </c>
      <c r="AP3" s="835">
        <f>INDEX(MO_Common_FPDays,0,MATCH(AP$5,MO_Common_ColumnHeader,0))</f>
        <v/>
      </c>
      <c r="AQ3" s="835">
        <f>INDEX(MO_Common_FPDays,0,MATCH(AQ$5,MO_Common_ColumnHeader,0))</f>
        <v/>
      </c>
      <c r="AR3" s="835">
        <f>INDEX(MO_Common_FPDays,0,MATCH(AR$5,MO_Common_ColumnHeader,0))</f>
        <v/>
      </c>
      <c r="AS3" s="835">
        <f>INDEX(MO_Common_FPDays,0,MATCH(AS$5,MO_Common_ColumnHeader,0))</f>
        <v/>
      </c>
      <c r="AT3" s="1259">
        <f>INDEX(MO_Common_FPDays,0,MATCH(AT$5,MO_Common_ColumnHeader,0))</f>
        <v/>
      </c>
      <c r="AU3" s="835">
        <f>INDEX(MO_Common_FPDays,0,MATCH(AU$5,MO_Common_ColumnHeader,0))</f>
        <v/>
      </c>
      <c r="AV3" s="835">
        <f>INDEX(MO_Common_FPDays,0,MATCH(AV$5,MO_Common_ColumnHeader,0))</f>
        <v/>
      </c>
      <c r="AW3" s="835">
        <f>INDEX(MO_Common_FPDays,0,MATCH(AW$5,MO_Common_ColumnHeader,0))</f>
        <v/>
      </c>
      <c r="AX3" s="835">
        <f>INDEX(MO_Common_FPDays,0,MATCH(AX$5,MO_Common_ColumnHeader,0))</f>
        <v/>
      </c>
      <c r="AY3" s="1259">
        <f>INDEX(MO_Common_FPDays,0,MATCH(AY$5,MO_Common_ColumnHeader,0))</f>
        <v/>
      </c>
      <c r="AZ3" s="835">
        <f>INDEX(MO_Common_FPDays,0,MATCH(AZ$5,MO_Common_ColumnHeader,0))</f>
        <v/>
      </c>
      <c r="BA3" s="835">
        <f>INDEX(MO_Common_FPDays,0,MATCH(BA$5,MO_Common_ColumnHeader,0))</f>
        <v/>
      </c>
      <c r="BB3" s="835">
        <f>INDEX(MO_Common_FPDays,0,MATCH(BB$5,MO_Common_ColumnHeader,0))</f>
        <v/>
      </c>
      <c r="BC3" s="835">
        <f>INDEX(MO_Common_FPDays,0,MATCH(BC$5,MO_Common_ColumnHeader,0))</f>
        <v/>
      </c>
      <c r="BD3" s="1259">
        <f>INDEX(MO_Common_FPDays,0,MATCH(BD$5,MO_Common_ColumnHeader,0))</f>
        <v/>
      </c>
      <c r="BE3" s="835">
        <f>INDEX(MO_Common_FPDays,0,MATCH(BE$5,MO_Common_ColumnHeader,0))</f>
        <v/>
      </c>
      <c r="BF3" s="835">
        <f>INDEX(MO_Common_FPDays,0,MATCH(BF$5,MO_Common_ColumnHeader,0))</f>
        <v/>
      </c>
      <c r="BG3" s="835">
        <f>INDEX(MO_Common_FPDays,0,MATCH(BG$5,MO_Common_ColumnHeader,0))</f>
        <v/>
      </c>
      <c r="BH3" s="835">
        <f>INDEX(MO_Common_FPDays,0,MATCH(BH$5,MO_Common_ColumnHeader,0))</f>
        <v/>
      </c>
      <c r="BI3" s="1259">
        <f>INDEX(MO_Common_FPDays,0,MATCH(BI$5,MO_Common_ColumnHeader,0))</f>
        <v/>
      </c>
      <c r="BJ3" s="835">
        <f>INDEX(MO_Common_FPDays,0,MATCH(BJ$5,MO_Common_ColumnHeader,0))</f>
        <v/>
      </c>
      <c r="BK3" s="835">
        <f>INDEX(MO_Common_FPDays,0,MATCH(BK$5,MO_Common_ColumnHeader,0))</f>
        <v/>
      </c>
      <c r="BL3" s="835">
        <f>INDEX(MO_Common_FPDays,0,MATCH(BL$5,MO_Common_ColumnHeader,0))</f>
        <v/>
      </c>
      <c r="BM3" s="835">
        <f>INDEX(MO_Common_FPDays,0,MATCH(BM$5,MO_Common_ColumnHeader,0))</f>
        <v/>
      </c>
      <c r="BN3" s="1259">
        <f>INDEX(MO_Common_FPDays,0,MATCH(BN$5,MO_Common_ColumnHeader,0))</f>
        <v/>
      </c>
      <c r="BO3" s="835">
        <f>INDEX(MO_Common_FPDays,0,MATCH(BO$5,MO_Common_ColumnHeader,0))</f>
        <v/>
      </c>
      <c r="BP3" s="835">
        <f>INDEX(MO_Common_FPDays,0,MATCH(BP$5,MO_Common_ColumnHeader,0))</f>
        <v/>
      </c>
      <c r="BQ3" s="835">
        <f>INDEX(MO_Common_FPDays,0,MATCH(BQ$5,MO_Common_ColumnHeader,0))</f>
        <v/>
      </c>
      <c r="BR3" s="835">
        <f>INDEX(MO_Common_FPDays,0,MATCH(BR$5,MO_Common_ColumnHeader,0))</f>
        <v/>
      </c>
      <c r="BS3" s="1259">
        <f>INDEX(MO_Common_FPDays,0,MATCH(BS$5,MO_Common_ColumnHeader,0))</f>
        <v/>
      </c>
      <c r="BT3" s="835">
        <f>INDEX(MO_Common_FPDays,0,MATCH(BT$5,MO_Common_ColumnHeader,0))</f>
        <v/>
      </c>
      <c r="BU3" s="835">
        <f>INDEX(MO_Common_FPDays,0,MATCH(BU$5,MO_Common_ColumnHeader,0))</f>
        <v/>
      </c>
      <c r="BV3" s="932">
        <f>INDEX(MO_Common_FPDays,0,MATCH(BV$5,MO_Common_ColumnHeader,0))</f>
        <v/>
      </c>
      <c r="BW3" s="874">
        <f>INDEX(MO_Common_FPDays,0,MATCH(BW$5,MO_Common_ColumnHeader,0))</f>
        <v/>
      </c>
      <c r="BX3" s="1259">
        <f>INDEX(MO_Common_FPDays,0,MATCH(BX$5,MO_Common_ColumnHeader,0))</f>
        <v/>
      </c>
      <c r="BY3" s="874">
        <f>INDEX(MO_Common_FPDays,0,MATCH(BY$5,MO_Common_ColumnHeader,0))</f>
        <v/>
      </c>
      <c r="BZ3" s="874">
        <f>INDEX(MO_Common_FPDays,0,MATCH(BZ$5,MO_Common_ColumnHeader,0))</f>
        <v/>
      </c>
      <c r="CA3" s="874">
        <f>INDEX(MO_Common_FPDays,0,MATCH(CA$5,MO_Common_ColumnHeader,0))</f>
        <v/>
      </c>
      <c r="CB3" s="874">
        <f>INDEX(MO_Common_FPDays,0,MATCH(CB$5,MO_Common_ColumnHeader,0))</f>
        <v/>
      </c>
      <c r="CC3" s="1260">
        <f>INDEX(MO_Common_FPDays,0,MATCH(CC$5,MO_Common_ColumnHeader,0))</f>
        <v/>
      </c>
      <c r="CD3" s="1260">
        <f>INDEX(MO_Common_FPDays,0,MATCH(CD$5,MO_Common_ColumnHeader,0))</f>
        <v/>
      </c>
      <c r="CE3" s="1260">
        <f>INDEX(MO_Common_FPDays,0,MATCH(CE$5,MO_Common_ColumnHeader,0))</f>
        <v/>
      </c>
      <c r="CF3" s="1260">
        <f>INDEX(MO_Common_FPDays,0,MATCH(CF$5,MO_Common_ColumnHeader,0))</f>
        <v/>
      </c>
      <c r="CG3" s="827" t="n"/>
    </row>
    <row r="4" ht="15" customFormat="1" customHeight="1" s="974">
      <c r="A4" s="844">
        <f>MO.DataSourceName</f>
        <v/>
      </c>
      <c r="B4" s="835">
        <f>MO.RealTime</f>
        <v/>
      </c>
      <c r="C4" s="1261">
        <f>INDEX(MO_Common_QEndDate,0,MATCH(C$5,MO_Common_ColumnHeader,0))</f>
        <v/>
      </c>
      <c r="D4" s="1261">
        <f>INDEX(MO_Common_QEndDate,0,MATCH(D$5,MO_Common_ColumnHeader,0))</f>
        <v/>
      </c>
      <c r="E4" s="1261">
        <f>INDEX(MO_Common_QEndDate,0,MATCH(E$5,MO_Common_ColumnHeader,0))</f>
        <v/>
      </c>
      <c r="F4" s="1261">
        <f>INDEX(MO_Common_QEndDate,0,MATCH(F$5,MO_Common_ColumnHeader,0))</f>
        <v/>
      </c>
      <c r="G4" s="1019">
        <f>INDEX(MO_Common_QEndDate,0,MATCH(G$5,MO_Common_ColumnHeader,0))</f>
        <v/>
      </c>
      <c r="H4" s="1019">
        <f>INDEX(MO_Common_QEndDate,0,MATCH(H$5,MO_Common_ColumnHeader,0))</f>
        <v/>
      </c>
      <c r="I4" s="1019">
        <f>INDEX(MO_Common_QEndDate,0,MATCH(I$5,MO_Common_ColumnHeader,0))</f>
        <v/>
      </c>
      <c r="J4" s="1019">
        <f>INDEX(MO_Common_QEndDate,0,MATCH(J$5,MO_Common_ColumnHeader,0))</f>
        <v/>
      </c>
      <c r="K4" s="1261">
        <f>INDEX(MO_Common_QEndDate,0,MATCH(K$5,MO_Common_ColumnHeader,0))</f>
        <v/>
      </c>
      <c r="L4" s="1019">
        <f>INDEX(MO_Common_QEndDate,0,MATCH(L$5,MO_Common_ColumnHeader,0))</f>
        <v/>
      </c>
      <c r="M4" s="1019">
        <f>INDEX(MO_Common_QEndDate,0,MATCH(M$5,MO_Common_ColumnHeader,0))</f>
        <v/>
      </c>
      <c r="N4" s="1019">
        <f>INDEX(MO_Common_QEndDate,0,MATCH(N$5,MO_Common_ColumnHeader,0))</f>
        <v/>
      </c>
      <c r="O4" s="1019">
        <f>INDEX(MO_Common_QEndDate,0,MATCH(O$5,MO_Common_ColumnHeader,0))</f>
        <v/>
      </c>
      <c r="P4" s="1261">
        <f>INDEX(MO_Common_QEndDate,0,MATCH(P$5,MO_Common_ColumnHeader,0))</f>
        <v/>
      </c>
      <c r="Q4" s="1019">
        <f>INDEX(MO_Common_QEndDate,0,MATCH(Q$5,MO_Common_ColumnHeader,0))</f>
        <v/>
      </c>
      <c r="R4" s="1019">
        <f>INDEX(MO_Common_QEndDate,0,MATCH(R$5,MO_Common_ColumnHeader,0))</f>
        <v/>
      </c>
      <c r="S4" s="1019">
        <f>INDEX(MO_Common_QEndDate,0,MATCH(S$5,MO_Common_ColumnHeader,0))</f>
        <v/>
      </c>
      <c r="T4" s="1019">
        <f>INDEX(MO_Common_QEndDate,0,MATCH(T$5,MO_Common_ColumnHeader,0))</f>
        <v/>
      </c>
      <c r="U4" s="1261">
        <f>INDEX(MO_Common_QEndDate,0,MATCH(U$5,MO_Common_ColumnHeader,0))</f>
        <v/>
      </c>
      <c r="V4" s="1019">
        <f>INDEX(MO_Common_QEndDate,0,MATCH(V$5,MO_Common_ColumnHeader,0))</f>
        <v/>
      </c>
      <c r="W4" s="1019">
        <f>INDEX(MO_Common_QEndDate,0,MATCH(W$5,MO_Common_ColumnHeader,0))</f>
        <v/>
      </c>
      <c r="X4" s="1019">
        <f>INDEX(MO_Common_QEndDate,0,MATCH(X$5,MO_Common_ColumnHeader,0))</f>
        <v/>
      </c>
      <c r="Y4" s="1019">
        <f>INDEX(MO_Common_QEndDate,0,MATCH(Y$5,MO_Common_ColumnHeader,0))</f>
        <v/>
      </c>
      <c r="Z4" s="1261">
        <f>INDEX(MO_Common_QEndDate,0,MATCH(Z$5,MO_Common_ColumnHeader,0))</f>
        <v/>
      </c>
      <c r="AA4" s="1019">
        <f>INDEX(MO_Common_QEndDate,0,MATCH(AA$5,MO_Common_ColumnHeader,0))</f>
        <v/>
      </c>
      <c r="AB4" s="1019">
        <f>INDEX(MO_Common_QEndDate,0,MATCH(AB$5,MO_Common_ColumnHeader,0))</f>
        <v/>
      </c>
      <c r="AC4" s="1019">
        <f>INDEX(MO_Common_QEndDate,0,MATCH(AC$5,MO_Common_ColumnHeader,0))</f>
        <v/>
      </c>
      <c r="AD4" s="1019">
        <f>INDEX(MO_Common_QEndDate,0,MATCH(AD$5,MO_Common_ColumnHeader,0))</f>
        <v/>
      </c>
      <c r="AE4" s="1261">
        <f>INDEX(MO_Common_QEndDate,0,MATCH(AE$5,MO_Common_ColumnHeader,0))</f>
        <v/>
      </c>
      <c r="AF4" s="1019">
        <f>INDEX(MO_Common_QEndDate,0,MATCH(AF$5,MO_Common_ColumnHeader,0))</f>
        <v/>
      </c>
      <c r="AG4" s="1019">
        <f>INDEX(MO_Common_QEndDate,0,MATCH(AG$5,MO_Common_ColumnHeader,0))</f>
        <v/>
      </c>
      <c r="AH4" s="1019">
        <f>INDEX(MO_Common_QEndDate,0,MATCH(AH$5,MO_Common_ColumnHeader,0))</f>
        <v/>
      </c>
      <c r="AI4" s="1019">
        <f>INDEX(MO_Common_QEndDate,0,MATCH(AI$5,MO_Common_ColumnHeader,0))</f>
        <v/>
      </c>
      <c r="AJ4" s="1261">
        <f>INDEX(MO_Common_QEndDate,0,MATCH(AJ$5,MO_Common_ColumnHeader,0))</f>
        <v/>
      </c>
      <c r="AK4" s="1019">
        <f>INDEX(MO_Common_QEndDate,0,MATCH(AK$5,MO_Common_ColumnHeader,0))</f>
        <v/>
      </c>
      <c r="AL4" s="1019">
        <f>INDEX(MO_Common_QEndDate,0,MATCH(AL$5,MO_Common_ColumnHeader,0))</f>
        <v/>
      </c>
      <c r="AM4" s="1019">
        <f>INDEX(MO_Common_QEndDate,0,MATCH(AM$5,MO_Common_ColumnHeader,0))</f>
        <v/>
      </c>
      <c r="AN4" s="1019">
        <f>INDEX(MO_Common_QEndDate,0,MATCH(AN$5,MO_Common_ColumnHeader,0))</f>
        <v/>
      </c>
      <c r="AO4" s="1261">
        <f>INDEX(MO_Common_QEndDate,0,MATCH(AO$5,MO_Common_ColumnHeader,0))</f>
        <v/>
      </c>
      <c r="AP4" s="1019">
        <f>INDEX(MO_Common_QEndDate,0,MATCH(AP$5,MO_Common_ColumnHeader,0))</f>
        <v/>
      </c>
      <c r="AQ4" s="1019">
        <f>INDEX(MO_Common_QEndDate,0,MATCH(AQ$5,MO_Common_ColumnHeader,0))</f>
        <v/>
      </c>
      <c r="AR4" s="1019">
        <f>INDEX(MO_Common_QEndDate,0,MATCH(AR$5,MO_Common_ColumnHeader,0))</f>
        <v/>
      </c>
      <c r="AS4" s="1019">
        <f>INDEX(MO_Common_QEndDate,0,MATCH(AS$5,MO_Common_ColumnHeader,0))</f>
        <v/>
      </c>
      <c r="AT4" s="1261">
        <f>INDEX(MO_Common_QEndDate,0,MATCH(AT$5,MO_Common_ColumnHeader,0))</f>
        <v/>
      </c>
      <c r="AU4" s="1019">
        <f>INDEX(MO_Common_QEndDate,0,MATCH(AU$5,MO_Common_ColumnHeader,0))</f>
        <v/>
      </c>
      <c r="AV4" s="1019">
        <f>INDEX(MO_Common_QEndDate,0,MATCH(AV$5,MO_Common_ColumnHeader,0))</f>
        <v/>
      </c>
      <c r="AW4" s="1019">
        <f>INDEX(MO_Common_QEndDate,0,MATCH(AW$5,MO_Common_ColumnHeader,0))</f>
        <v/>
      </c>
      <c r="AX4" s="1019">
        <f>INDEX(MO_Common_QEndDate,0,MATCH(AX$5,MO_Common_ColumnHeader,0))</f>
        <v/>
      </c>
      <c r="AY4" s="1261">
        <f>INDEX(MO_Common_QEndDate,0,MATCH(AY$5,MO_Common_ColumnHeader,0))</f>
        <v/>
      </c>
      <c r="AZ4" s="1019">
        <f>INDEX(MO_Common_QEndDate,0,MATCH(AZ$5,MO_Common_ColumnHeader,0))</f>
        <v/>
      </c>
      <c r="BA4" s="1019">
        <f>INDEX(MO_Common_QEndDate,0,MATCH(BA$5,MO_Common_ColumnHeader,0))</f>
        <v/>
      </c>
      <c r="BB4" s="1019">
        <f>INDEX(MO_Common_QEndDate,0,MATCH(BB$5,MO_Common_ColumnHeader,0))</f>
        <v/>
      </c>
      <c r="BC4" s="1019">
        <f>INDEX(MO_Common_QEndDate,0,MATCH(BC$5,MO_Common_ColumnHeader,0))</f>
        <v/>
      </c>
      <c r="BD4" s="1261">
        <f>INDEX(MO_Common_QEndDate,0,MATCH(BD$5,MO_Common_ColumnHeader,0))</f>
        <v/>
      </c>
      <c r="BE4" s="1019">
        <f>INDEX(MO_Common_QEndDate,0,MATCH(BE$5,MO_Common_ColumnHeader,0))</f>
        <v/>
      </c>
      <c r="BF4" s="1019">
        <f>INDEX(MO_Common_QEndDate,0,MATCH(BF$5,MO_Common_ColumnHeader,0))</f>
        <v/>
      </c>
      <c r="BG4" s="1019">
        <f>INDEX(MO_Common_QEndDate,0,MATCH(BG$5,MO_Common_ColumnHeader,0))</f>
        <v/>
      </c>
      <c r="BH4" s="1019">
        <f>INDEX(MO_Common_QEndDate,0,MATCH(BH$5,MO_Common_ColumnHeader,0))</f>
        <v/>
      </c>
      <c r="BI4" s="1261">
        <f>INDEX(MO_Common_QEndDate,0,MATCH(BI$5,MO_Common_ColumnHeader,0))</f>
        <v/>
      </c>
      <c r="BJ4" s="1019">
        <f>INDEX(MO_Common_QEndDate,0,MATCH(BJ$5,MO_Common_ColumnHeader,0))</f>
        <v/>
      </c>
      <c r="BK4" s="1019">
        <f>INDEX(MO_Common_QEndDate,0,MATCH(BK$5,MO_Common_ColumnHeader,0))</f>
        <v/>
      </c>
      <c r="BL4" s="1019">
        <f>INDEX(MO_Common_QEndDate,0,MATCH(BL$5,MO_Common_ColumnHeader,0))</f>
        <v/>
      </c>
      <c r="BM4" s="1019">
        <f>INDEX(MO_Common_QEndDate,0,MATCH(BM$5,MO_Common_ColumnHeader,0))</f>
        <v/>
      </c>
      <c r="BN4" s="1261">
        <f>INDEX(MO_Common_QEndDate,0,MATCH(BN$5,MO_Common_ColumnHeader,0))</f>
        <v/>
      </c>
      <c r="BO4" s="1019">
        <f>INDEX(MO_Common_QEndDate,0,MATCH(BO$5,MO_Common_ColumnHeader,0))</f>
        <v/>
      </c>
      <c r="BP4" s="1019">
        <f>INDEX(MO_Common_QEndDate,0,MATCH(BP$5,MO_Common_ColumnHeader,0))</f>
        <v/>
      </c>
      <c r="BQ4" s="1019">
        <f>INDEX(MO_Common_QEndDate,0,MATCH(BQ$5,MO_Common_ColumnHeader,0))</f>
        <v/>
      </c>
      <c r="BR4" s="1019">
        <f>INDEX(MO_Common_QEndDate,0,MATCH(BR$5,MO_Common_ColumnHeader,0))</f>
        <v/>
      </c>
      <c r="BS4" s="1261">
        <f>INDEX(MO_Common_QEndDate,0,MATCH(BS$5,MO_Common_ColumnHeader,0))</f>
        <v/>
      </c>
      <c r="BT4" s="1019">
        <f>INDEX(MO_Common_QEndDate,0,MATCH(BT$5,MO_Common_ColumnHeader,0))</f>
        <v/>
      </c>
      <c r="BU4" s="1019">
        <f>INDEX(MO_Common_QEndDate,0,MATCH(BU$5,MO_Common_ColumnHeader,0))</f>
        <v/>
      </c>
      <c r="BV4" s="933">
        <f>INDEX(MO_Common_QEndDate,0,MATCH(BV$5,MO_Common_ColumnHeader,0))</f>
        <v/>
      </c>
      <c r="BW4" s="875">
        <f>INDEX(MO_Common_QEndDate,0,MATCH(BW$5,MO_Common_ColumnHeader,0))</f>
        <v/>
      </c>
      <c r="BX4" s="1261">
        <f>INDEX(MO_Common_QEndDate,0,MATCH(BX$5,MO_Common_ColumnHeader,0))</f>
        <v/>
      </c>
      <c r="BY4" s="875">
        <f>INDEX(MO_Common_QEndDate,0,MATCH(BY$5,MO_Common_ColumnHeader,0))</f>
        <v/>
      </c>
      <c r="BZ4" s="875">
        <f>INDEX(MO_Common_QEndDate,0,MATCH(BZ$5,MO_Common_ColumnHeader,0))</f>
        <v/>
      </c>
      <c r="CA4" s="875">
        <f>INDEX(MO_Common_QEndDate,0,MATCH(CA$5,MO_Common_ColumnHeader,0))</f>
        <v/>
      </c>
      <c r="CB4" s="875">
        <f>INDEX(MO_Common_QEndDate,0,MATCH(CB$5,MO_Common_ColumnHeader,0))</f>
        <v/>
      </c>
      <c r="CC4" s="1262">
        <f>INDEX(MO_Common_QEndDate,0,MATCH(CC$5,MO_Common_ColumnHeader,0))</f>
        <v/>
      </c>
      <c r="CD4" s="1262">
        <f>INDEX(MO_Common_QEndDate,0,MATCH(CD$5,MO_Common_ColumnHeader,0))</f>
        <v/>
      </c>
      <c r="CE4" s="1262">
        <f>INDEX(MO_Common_QEndDate,0,MATCH(CE$5,MO_Common_ColumnHeader,0))</f>
        <v/>
      </c>
      <c r="CF4" s="1262">
        <f>INDEX(MO_Common_QEndDate,0,MATCH(CF$5,MO_Common_ColumnHeader,0))</f>
        <v/>
      </c>
      <c r="CG4" s="827" t="n"/>
    </row>
    <row r="5" ht="15" customFormat="1" customHeight="1" s="974">
      <c r="A5" s="837">
        <f>MO.ReportFX</f>
        <v/>
      </c>
      <c r="B5" s="836" t="n"/>
      <c r="C5" s="1263">
        <f>Model!C5</f>
        <v/>
      </c>
      <c r="D5" s="1263">
        <f>Model!D5</f>
        <v/>
      </c>
      <c r="E5" s="1263">
        <f>Model!E5</f>
        <v/>
      </c>
      <c r="F5" s="1263">
        <f>Model!F5</f>
        <v/>
      </c>
      <c r="G5" s="1255">
        <f>Model!G5</f>
        <v/>
      </c>
      <c r="H5" s="1255">
        <f>Model!H5</f>
        <v/>
      </c>
      <c r="I5" s="1255">
        <f>Model!I5</f>
        <v/>
      </c>
      <c r="J5" s="1255">
        <f>Model!J5</f>
        <v/>
      </c>
      <c r="K5" s="1263">
        <f>Model!K5</f>
        <v/>
      </c>
      <c r="L5" s="1255">
        <f>Model!L5</f>
        <v/>
      </c>
      <c r="M5" s="1255">
        <f>Model!M5</f>
        <v/>
      </c>
      <c r="N5" s="1255">
        <f>Model!N5</f>
        <v/>
      </c>
      <c r="O5" s="1255">
        <f>Model!O5</f>
        <v/>
      </c>
      <c r="P5" s="1263">
        <f>Model!P5</f>
        <v/>
      </c>
      <c r="Q5" s="1255">
        <f>Model!Q5</f>
        <v/>
      </c>
      <c r="R5" s="1255">
        <f>Model!R5</f>
        <v/>
      </c>
      <c r="S5" s="1255">
        <f>Model!S5</f>
        <v/>
      </c>
      <c r="T5" s="1255">
        <f>Model!T5</f>
        <v/>
      </c>
      <c r="U5" s="1263">
        <f>Model!U5</f>
        <v/>
      </c>
      <c r="V5" s="1255">
        <f>Model!V5</f>
        <v/>
      </c>
      <c r="W5" s="1255">
        <f>Model!W5</f>
        <v/>
      </c>
      <c r="X5" s="1255">
        <f>Model!X5</f>
        <v/>
      </c>
      <c r="Y5" s="1255">
        <f>Model!Y5</f>
        <v/>
      </c>
      <c r="Z5" s="1263">
        <f>Model!Z5</f>
        <v/>
      </c>
      <c r="AA5" s="1255">
        <f>Model!AA5</f>
        <v/>
      </c>
      <c r="AB5" s="1255">
        <f>Model!AB5</f>
        <v/>
      </c>
      <c r="AC5" s="1255">
        <f>Model!AC5</f>
        <v/>
      </c>
      <c r="AD5" s="1255">
        <f>Model!AD5</f>
        <v/>
      </c>
      <c r="AE5" s="1263">
        <f>Model!AE5</f>
        <v/>
      </c>
      <c r="AF5" s="1255">
        <f>Model!AF5</f>
        <v/>
      </c>
      <c r="AG5" s="1255">
        <f>Model!AG5</f>
        <v/>
      </c>
      <c r="AH5" s="1255">
        <f>Model!AH5</f>
        <v/>
      </c>
      <c r="AI5" s="1255">
        <f>Model!AI5</f>
        <v/>
      </c>
      <c r="AJ5" s="1263">
        <f>Model!AJ5</f>
        <v/>
      </c>
      <c r="AK5" s="1255">
        <f>Model!AK5</f>
        <v/>
      </c>
      <c r="AL5" s="1255">
        <f>Model!AL5</f>
        <v/>
      </c>
      <c r="AM5" s="1255">
        <f>Model!AM5</f>
        <v/>
      </c>
      <c r="AN5" s="1255">
        <f>Model!AN5</f>
        <v/>
      </c>
      <c r="AO5" s="1263">
        <f>Model!AO5</f>
        <v/>
      </c>
      <c r="AP5" s="1255">
        <f>Model!AP5</f>
        <v/>
      </c>
      <c r="AQ5" s="1255">
        <f>Model!AQ5</f>
        <v/>
      </c>
      <c r="AR5" s="1255">
        <f>Model!AR5</f>
        <v/>
      </c>
      <c r="AS5" s="1255">
        <f>Model!AS5</f>
        <v/>
      </c>
      <c r="AT5" s="1263">
        <f>Model!AT5</f>
        <v/>
      </c>
      <c r="AU5" s="1255">
        <f>Model!AU5</f>
        <v/>
      </c>
      <c r="AV5" s="1255">
        <f>Model!AV5</f>
        <v/>
      </c>
      <c r="AW5" s="1255">
        <f>Model!AW5</f>
        <v/>
      </c>
      <c r="AX5" s="1255">
        <f>Model!AX5</f>
        <v/>
      </c>
      <c r="AY5" s="1263">
        <f>Model!AY5</f>
        <v/>
      </c>
      <c r="AZ5" s="1255">
        <f>Model!AZ5</f>
        <v/>
      </c>
      <c r="BA5" s="1255">
        <f>Model!BA5</f>
        <v/>
      </c>
      <c r="BB5" s="1255">
        <f>Model!BB5</f>
        <v/>
      </c>
      <c r="BC5" s="1255">
        <f>Model!BC5</f>
        <v/>
      </c>
      <c r="BD5" s="1263">
        <f>Model!BD5</f>
        <v/>
      </c>
      <c r="BE5" s="1255">
        <f>Model!BE5</f>
        <v/>
      </c>
      <c r="BF5" s="1255">
        <f>Model!BF5</f>
        <v/>
      </c>
      <c r="BG5" s="1255">
        <f>Model!BG5</f>
        <v/>
      </c>
      <c r="BH5" s="1255">
        <f>Model!BH5</f>
        <v/>
      </c>
      <c r="BI5" s="1263">
        <f>Model!BI5</f>
        <v/>
      </c>
      <c r="BJ5" s="1255">
        <f>Model!BJ5</f>
        <v/>
      </c>
      <c r="BK5" s="1255">
        <f>Model!BK5</f>
        <v/>
      </c>
      <c r="BL5" s="1255">
        <f>Model!BL5</f>
        <v/>
      </c>
      <c r="BM5" s="1255">
        <f>Model!BM5</f>
        <v/>
      </c>
      <c r="BN5" s="1263">
        <f>Model!BN5</f>
        <v/>
      </c>
      <c r="BO5" s="1255">
        <f>Model!BO5</f>
        <v/>
      </c>
      <c r="BP5" s="1255">
        <f>Model!BP5</f>
        <v/>
      </c>
      <c r="BQ5" s="1255">
        <f>Model!BQ5</f>
        <v/>
      </c>
      <c r="BR5" s="1255">
        <f>Model!BR5</f>
        <v/>
      </c>
      <c r="BS5" s="1263">
        <f>Model!BS5</f>
        <v/>
      </c>
      <c r="BT5" s="1255">
        <f>Model!BT5</f>
        <v/>
      </c>
      <c r="BU5" s="1255">
        <f>Model!BU5</f>
        <v/>
      </c>
      <c r="BV5" s="1256">
        <f>Model!BV5</f>
        <v/>
      </c>
      <c r="BW5" s="1255">
        <f>Model!BW5</f>
        <v/>
      </c>
      <c r="BX5" s="1263">
        <f>Model!BX5</f>
        <v/>
      </c>
      <c r="BY5" s="1255">
        <f>Model!BY5</f>
        <v/>
      </c>
      <c r="BZ5" s="1255">
        <f>Model!BZ5</f>
        <v/>
      </c>
      <c r="CA5" s="1255">
        <f>Model!CA5</f>
        <v/>
      </c>
      <c r="CB5" s="1255">
        <f>Model!CB5</f>
        <v/>
      </c>
      <c r="CC5" s="1263">
        <f>Model!CC5</f>
        <v/>
      </c>
      <c r="CD5" s="1263">
        <f>Model!CD5</f>
        <v/>
      </c>
      <c r="CE5" s="1263">
        <f>Model!CE5</f>
        <v/>
      </c>
      <c r="CF5" s="1263">
        <f>Model!CF5</f>
        <v/>
      </c>
      <c r="CG5" s="827" t="n"/>
    </row>
    <row r="6" ht="15" customFormat="1" customHeight="1" s="975">
      <c r="A6" s="1017" t="inlineStr">
        <is>
          <t>Executive Compensation</t>
        </is>
      </c>
      <c r="B6" s="1017" t="n"/>
      <c r="C6" s="1017" t="n"/>
      <c r="D6" s="1017" t="n"/>
      <c r="E6" s="1017" t="n"/>
      <c r="F6" s="1017" t="n"/>
      <c r="G6" s="1017" t="n"/>
      <c r="H6" s="1017" t="n"/>
      <c r="I6" s="1017" t="n"/>
      <c r="J6" s="1017" t="n"/>
      <c r="K6" s="1017" t="n"/>
      <c r="L6" s="1017" t="n"/>
      <c r="M6" s="1017" t="n"/>
      <c r="N6" s="1017" t="n"/>
      <c r="O6" s="1017" t="n"/>
      <c r="P6" s="1017" t="n"/>
      <c r="Q6" s="1017" t="n"/>
      <c r="R6" s="1017" t="n"/>
      <c r="S6" s="1017" t="n"/>
      <c r="T6" s="1017" t="n"/>
      <c r="U6" s="1017" t="n"/>
      <c r="V6" s="1017" t="n"/>
      <c r="W6" s="1017" t="n"/>
      <c r="X6" s="1017" t="n"/>
      <c r="Y6" s="1017" t="n"/>
      <c r="Z6" s="1017" t="n"/>
      <c r="AA6" s="1017" t="n"/>
      <c r="AB6" s="1017" t="n"/>
      <c r="AC6" s="1017" t="n"/>
      <c r="AD6" s="1017" t="n"/>
      <c r="AE6" s="1017" t="n"/>
      <c r="AF6" s="1017" t="n"/>
      <c r="AG6" s="1017" t="n"/>
      <c r="AH6" s="1017" t="n"/>
      <c r="AI6" s="1017" t="n"/>
      <c r="AJ6" s="1017" t="n"/>
      <c r="AK6" s="1017" t="n"/>
      <c r="AL6" s="1017" t="n"/>
      <c r="AM6" s="1017" t="n"/>
      <c r="AN6" s="1017" t="n"/>
      <c r="AO6" s="1017" t="n"/>
      <c r="AP6" s="1017" t="n"/>
      <c r="AQ6" s="1017" t="n"/>
      <c r="AR6" s="1017" t="n"/>
      <c r="AS6" s="1017" t="n"/>
      <c r="AT6" s="1017" t="n"/>
      <c r="AU6" s="1017" t="n"/>
      <c r="AV6" s="1017" t="n"/>
      <c r="AW6" s="1017" t="n"/>
      <c r="AX6" s="1017" t="n"/>
      <c r="AY6" s="1017" t="n"/>
      <c r="AZ6" s="1017" t="n"/>
      <c r="BA6" s="1017" t="n"/>
      <c r="BB6" s="1017" t="n"/>
      <c r="BC6" s="1017" t="n"/>
      <c r="BD6" s="1017" t="n"/>
      <c r="BE6" s="1017" t="n"/>
      <c r="BF6" s="1017" t="n"/>
      <c r="BG6" s="1017" t="n"/>
      <c r="BH6" s="1017" t="n"/>
      <c r="BI6" s="1017" t="n"/>
      <c r="BJ6" s="1017" t="n"/>
      <c r="BK6" s="1017" t="n"/>
      <c r="BL6" s="1017" t="n"/>
      <c r="BM6" s="1017" t="n"/>
      <c r="BN6" s="1017" t="n"/>
      <c r="BO6" s="1017" t="n"/>
      <c r="BP6" s="1017" t="n"/>
      <c r="BQ6" s="1017" t="n"/>
      <c r="BR6" s="1017" t="n"/>
      <c r="BS6" s="1017" t="n"/>
      <c r="BT6" s="1017" t="n"/>
      <c r="BU6" s="1017" t="n"/>
      <c r="BV6" s="1018" t="n"/>
      <c r="BW6" s="1017" t="n"/>
      <c r="BX6" s="1017" t="n"/>
      <c r="BY6" s="1017" t="n"/>
      <c r="BZ6" s="1017" t="n"/>
      <c r="CA6" s="1017" t="n"/>
      <c r="CB6" s="1017" t="n"/>
      <c r="CC6" s="1017" t="n"/>
      <c r="CD6" s="1017" t="n"/>
      <c r="CE6" s="1017" t="n"/>
      <c r="CF6" s="1017" t="n"/>
      <c r="CG6" s="828" t="n"/>
    </row>
    <row r="7" ht="15" customFormat="1" customHeight="1" s="971">
      <c r="A7" s="197" t="inlineStr">
        <is>
          <t>CEO - Base Pay, 000s</t>
        </is>
      </c>
      <c r="B7" s="208" t="n"/>
      <c r="C7" s="183" t="n"/>
      <c r="D7" s="183" t="n"/>
      <c r="E7" s="183" t="n"/>
      <c r="F7" s="183" t="n"/>
      <c r="G7" s="1013" t="n"/>
      <c r="H7" s="1013" t="n"/>
      <c r="I7" s="1013" t="n"/>
      <c r="J7" s="1013" t="n"/>
      <c r="K7" s="183" t="n"/>
      <c r="L7" s="1013" t="n"/>
      <c r="M7" s="1013" t="n"/>
      <c r="N7" s="1013" t="n"/>
      <c r="O7" s="1013" t="n"/>
      <c r="P7" s="183" t="n"/>
      <c r="Q7" s="1013" t="n"/>
      <c r="R7" s="1013" t="n"/>
      <c r="S7" s="1013" t="n"/>
      <c r="T7" s="1013" t="n"/>
      <c r="U7" s="183" t="n"/>
      <c r="V7" s="1013" t="n"/>
      <c r="W7" s="1013" t="n"/>
      <c r="X7" s="1013" t="n"/>
      <c r="Y7" s="1013" t="n"/>
      <c r="Z7" s="183" t="n"/>
      <c r="AA7" s="1013" t="n"/>
      <c r="AB7" s="1013" t="n"/>
      <c r="AC7" s="1013" t="n"/>
      <c r="AD7" s="1013" t="n"/>
      <c r="AE7" s="183" t="n"/>
      <c r="AF7" s="1013" t="n"/>
      <c r="AG7" s="1013" t="n"/>
      <c r="AH7" s="1013" t="n"/>
      <c r="AI7" s="1013" t="n"/>
      <c r="AJ7" s="183" t="n"/>
      <c r="AK7" s="1013" t="n"/>
      <c r="AL7" s="1013" t="n"/>
      <c r="AM7" s="1013" t="n"/>
      <c r="AN7" s="1013" t="n"/>
      <c r="AO7" s="183" t="n"/>
      <c r="AP7" s="1013" t="n"/>
      <c r="AQ7" s="1013" t="n"/>
      <c r="AR7" s="1013" t="n"/>
      <c r="AS7" s="1013" t="n"/>
      <c r="AT7" s="1264" t="n">
        <v>996.514</v>
      </c>
      <c r="AU7" s="1013" t="n"/>
      <c r="AV7" s="1013" t="n"/>
      <c r="AW7" s="1013" t="n"/>
      <c r="AX7" s="1013" t="n"/>
      <c r="AY7" s="1264" t="n">
        <v>1017.355</v>
      </c>
      <c r="AZ7" s="1013" t="n"/>
      <c r="BA7" s="1013" t="n"/>
      <c r="BB7" s="1013" t="n"/>
      <c r="BC7" s="1013" t="n"/>
      <c r="BD7" s="1264" t="n">
        <v>996.216</v>
      </c>
      <c r="BE7" s="1013" t="n"/>
      <c r="BF7" s="1013" t="n"/>
      <c r="BG7" s="1013" t="n"/>
      <c r="BH7" s="1013" t="n"/>
      <c r="BI7" s="1264" t="n">
        <v>996.832</v>
      </c>
      <c r="BJ7" s="1013" t="n"/>
      <c r="BK7" s="1013" t="n"/>
      <c r="BL7" s="1013" t="n"/>
      <c r="BM7" s="1013" t="n"/>
      <c r="BN7" s="1264" t="n">
        <v>996.514</v>
      </c>
      <c r="BO7" s="1013" t="n"/>
      <c r="BP7" s="1013" t="n"/>
      <c r="BQ7" s="1013" t="n"/>
      <c r="BR7" s="1013" t="n"/>
      <c r="BS7" s="183" t="n"/>
      <c r="BT7" s="1013" t="n"/>
      <c r="BU7" s="1013" t="n"/>
      <c r="BV7" s="1014" t="n"/>
      <c r="BW7" s="1013" t="n"/>
      <c r="BX7" s="183" t="n"/>
      <c r="BY7" s="1013" t="n"/>
      <c r="BZ7" s="1013" t="n"/>
      <c r="CA7" s="1013" t="n"/>
      <c r="CB7" s="1013" t="n"/>
      <c r="CC7" s="183" t="n"/>
      <c r="CD7" s="183" t="n"/>
      <c r="CE7" s="183" t="n"/>
      <c r="CF7" s="183" t="n"/>
      <c r="CG7" s="861" t="n"/>
    </row>
    <row r="8" ht="15" customFormat="1" customHeight="1" s="971">
      <c r="A8" s="197" t="inlineStr">
        <is>
          <t>CEO - Stock Awards, 000s</t>
        </is>
      </c>
      <c r="B8" s="208" t="n"/>
      <c r="C8" s="183" t="n"/>
      <c r="D8" s="183" t="n"/>
      <c r="E8" s="183" t="n"/>
      <c r="F8" s="183" t="n"/>
      <c r="G8" s="1013" t="n"/>
      <c r="H8" s="1013" t="n"/>
      <c r="I8" s="1013" t="n"/>
      <c r="J8" s="1013" t="n"/>
      <c r="K8" s="183" t="n"/>
      <c r="L8" s="1013" t="n"/>
      <c r="M8" s="1013" t="n"/>
      <c r="N8" s="1013" t="n"/>
      <c r="O8" s="1013" t="n"/>
      <c r="P8" s="183" t="n"/>
      <c r="Q8" s="1013" t="n"/>
      <c r="R8" s="1013" t="n"/>
      <c r="S8" s="1013" t="n"/>
      <c r="T8" s="1013" t="n"/>
      <c r="U8" s="183" t="n"/>
      <c r="V8" s="1013" t="n"/>
      <c r="W8" s="1013" t="n"/>
      <c r="X8" s="1013" t="n"/>
      <c r="Y8" s="1013" t="n"/>
      <c r="Z8" s="183" t="n"/>
      <c r="AA8" s="1013" t="n"/>
      <c r="AB8" s="1013" t="n"/>
      <c r="AC8" s="1013" t="n"/>
      <c r="AD8" s="1013" t="n"/>
      <c r="AE8" s="183" t="n"/>
      <c r="AF8" s="1013" t="n"/>
      <c r="AG8" s="1013" t="n"/>
      <c r="AH8" s="1013" t="n"/>
      <c r="AI8" s="1013" t="n"/>
      <c r="AJ8" s="183" t="n"/>
      <c r="AK8" s="1013" t="n"/>
      <c r="AL8" s="1013" t="n"/>
      <c r="AM8" s="1013" t="n"/>
      <c r="AN8" s="1013" t="n"/>
      <c r="AO8" s="183" t="n"/>
      <c r="AP8" s="1013" t="n"/>
      <c r="AQ8" s="1013" t="n"/>
      <c r="AR8" s="1013" t="n"/>
      <c r="AS8" s="1013" t="n"/>
      <c r="AT8" s="1264" t="n">
        <v>9676.92</v>
      </c>
      <c r="AU8" s="1013" t="n"/>
      <c r="AV8" s="1013" t="n"/>
      <c r="AW8" s="1013" t="n"/>
      <c r="AX8" s="1013" t="n"/>
      <c r="AY8" s="1264" t="n">
        <v>15279.78</v>
      </c>
      <c r="AZ8" s="1013" t="n"/>
      <c r="BA8" s="1013" t="n"/>
      <c r="BB8" s="1013" t="n"/>
      <c r="BC8" s="1013" t="n"/>
      <c r="BD8" s="1264" t="n">
        <v>18660.407</v>
      </c>
      <c r="BE8" s="1013" t="n"/>
      <c r="BF8" s="1013" t="n"/>
      <c r="BG8" s="1013" t="n"/>
      <c r="BH8" s="1013" t="n"/>
      <c r="BI8" s="1264" t="n">
        <v>19666.382</v>
      </c>
      <c r="BJ8" s="1013" t="n"/>
      <c r="BK8" s="1013" t="n"/>
      <c r="BL8" s="1013" t="n"/>
      <c r="BM8" s="1013" t="n"/>
      <c r="BN8" s="1264" t="n">
        <v>26676.415</v>
      </c>
      <c r="BO8" s="1013" t="n"/>
      <c r="BP8" s="1013" t="n"/>
      <c r="BQ8" s="1013" t="n"/>
      <c r="BR8" s="1013" t="n"/>
      <c r="BS8" s="183" t="n"/>
      <c r="BT8" s="1013" t="n"/>
      <c r="BU8" s="1013" t="n"/>
      <c r="BV8" s="1014" t="n"/>
      <c r="BW8" s="1013" t="n"/>
      <c r="BX8" s="183" t="n"/>
      <c r="BY8" s="1013" t="n"/>
      <c r="BZ8" s="1013" t="n"/>
      <c r="CA8" s="1013" t="n"/>
      <c r="CB8" s="1013" t="n"/>
      <c r="CC8" s="183" t="n"/>
      <c r="CD8" s="183" t="n"/>
      <c r="CE8" s="183" t="n"/>
      <c r="CF8" s="183" t="n"/>
      <c r="CG8" s="861" t="n"/>
    </row>
    <row r="9" ht="15" customFormat="1" customHeight="1" s="971">
      <c r="A9" s="197" t="inlineStr">
        <is>
          <t>CEO - Non-equity incentive plans, 000s</t>
        </is>
      </c>
      <c r="B9" s="208" t="n"/>
      <c r="C9" s="183" t="n"/>
      <c r="D9" s="183" t="n"/>
      <c r="E9" s="183" t="n"/>
      <c r="F9" s="183" t="n"/>
      <c r="G9" s="1013" t="n"/>
      <c r="H9" s="1013" t="n"/>
      <c r="I9" s="1013" t="n"/>
      <c r="J9" s="1013" t="n"/>
      <c r="K9" s="183" t="n"/>
      <c r="L9" s="1013" t="n"/>
      <c r="M9" s="1013" t="n"/>
      <c r="N9" s="1013" t="n"/>
      <c r="O9" s="1013" t="n"/>
      <c r="P9" s="183" t="n"/>
      <c r="Q9" s="1013" t="n"/>
      <c r="R9" s="1013" t="n"/>
      <c r="S9" s="1013" t="n"/>
      <c r="T9" s="1013" t="n"/>
      <c r="U9" s="183" t="n"/>
      <c r="V9" s="1013" t="n"/>
      <c r="W9" s="1013" t="n"/>
      <c r="X9" s="1013" t="n"/>
      <c r="Y9" s="1013" t="n"/>
      <c r="Z9" s="183" t="n"/>
      <c r="AA9" s="1013" t="n"/>
      <c r="AB9" s="1013" t="n"/>
      <c r="AC9" s="1013" t="n"/>
      <c r="AD9" s="1013" t="n"/>
      <c r="AE9" s="183" t="n"/>
      <c r="AF9" s="1013" t="n"/>
      <c r="AG9" s="1013" t="n"/>
      <c r="AH9" s="1013" t="n"/>
      <c r="AI9" s="1013" t="n"/>
      <c r="AJ9" s="183" t="n"/>
      <c r="AK9" s="1013" t="n"/>
      <c r="AL9" s="1013" t="n"/>
      <c r="AM9" s="1013" t="n"/>
      <c r="AN9" s="1013" t="n"/>
      <c r="AO9" s="183" t="n"/>
      <c r="AP9" s="1013" t="n"/>
      <c r="AQ9" s="1013" t="n"/>
      <c r="AR9" s="1013" t="n"/>
      <c r="AS9" s="1013" t="n"/>
      <c r="AT9" s="1264" t="n">
        <v>805.444</v>
      </c>
      <c r="AU9" s="1013" t="n"/>
      <c r="AV9" s="1013" t="n"/>
      <c r="AW9" s="1013" t="n"/>
      <c r="AX9" s="1013" t="n"/>
      <c r="AY9" s="1264" t="n">
        <v>3000</v>
      </c>
      <c r="AZ9" s="1013" t="n"/>
      <c r="BA9" s="1013" t="n"/>
      <c r="BB9" s="1013" t="n"/>
      <c r="BC9" s="1013" t="n"/>
      <c r="BD9" s="1264" t="n">
        <v>4000</v>
      </c>
      <c r="BE9" s="1013" t="n"/>
      <c r="BF9" s="1013" t="n"/>
      <c r="BG9" s="1013" t="n"/>
      <c r="BH9" s="1013" t="n"/>
      <c r="BI9" s="1264" t="n">
        <v>0</v>
      </c>
      <c r="BJ9" s="1013" t="n"/>
      <c r="BK9" s="1013" t="n"/>
      <c r="BL9" s="1013" t="n"/>
      <c r="BM9" s="1013" t="n"/>
      <c r="BN9" s="1264" t="n">
        <v>4000</v>
      </c>
      <c r="BO9" s="1013" t="n"/>
      <c r="BP9" s="1013" t="n"/>
      <c r="BQ9" s="1013" t="n"/>
      <c r="BR9" s="1013" t="n"/>
      <c r="BS9" s="183" t="n"/>
      <c r="BT9" s="1013" t="n"/>
      <c r="BU9" s="1013" t="n"/>
      <c r="BV9" s="1014" t="n"/>
      <c r="BW9" s="1013" t="n"/>
      <c r="BX9" s="183" t="n"/>
      <c r="BY9" s="1013" t="n"/>
      <c r="BZ9" s="1013" t="n"/>
      <c r="CA9" s="1013" t="n"/>
      <c r="CB9" s="1013" t="n"/>
      <c r="CC9" s="183" t="n"/>
      <c r="CD9" s="183" t="n"/>
      <c r="CE9" s="183" t="n"/>
      <c r="CF9" s="183" t="n"/>
      <c r="CG9" s="861" t="n"/>
    </row>
    <row r="10" ht="15" customFormat="1" customHeight="1" s="971">
      <c r="A10" s="832" t="inlineStr">
        <is>
          <t>CEO - All other compensation, 000s</t>
        </is>
      </c>
      <c r="B10" s="862" t="n"/>
      <c r="C10" s="1265" t="n"/>
      <c r="D10" s="1265" t="n"/>
      <c r="E10" s="1265" t="n"/>
      <c r="F10" s="1265" t="n"/>
      <c r="G10" s="1049" t="n"/>
      <c r="H10" s="1049" t="n"/>
      <c r="I10" s="1049" t="n"/>
      <c r="J10" s="1049" t="n"/>
      <c r="K10" s="1265" t="n"/>
      <c r="L10" s="1049" t="n"/>
      <c r="M10" s="1049" t="n"/>
      <c r="N10" s="1049" t="n"/>
      <c r="O10" s="1049" t="n"/>
      <c r="P10" s="1265" t="n"/>
      <c r="Q10" s="1049" t="n"/>
      <c r="R10" s="1049" t="n"/>
      <c r="S10" s="1049" t="n"/>
      <c r="T10" s="1049" t="n"/>
      <c r="U10" s="1265" t="n"/>
      <c r="V10" s="1049" t="n"/>
      <c r="W10" s="1049" t="n"/>
      <c r="X10" s="1049" t="n"/>
      <c r="Y10" s="1049" t="n"/>
      <c r="Z10" s="1265" t="n"/>
      <c r="AA10" s="1049" t="n"/>
      <c r="AB10" s="1049" t="n"/>
      <c r="AC10" s="1049" t="n"/>
      <c r="AD10" s="1049" t="n"/>
      <c r="AE10" s="1265" t="n"/>
      <c r="AF10" s="1049" t="n"/>
      <c r="AG10" s="1049" t="n"/>
      <c r="AH10" s="1049" t="n"/>
      <c r="AI10" s="1049" t="n"/>
      <c r="AJ10" s="1265" t="n"/>
      <c r="AK10" s="1049" t="n"/>
      <c r="AL10" s="1049" t="n"/>
      <c r="AM10" s="1049" t="n"/>
      <c r="AN10" s="1049" t="n"/>
      <c r="AO10" s="1265" t="n"/>
      <c r="AP10" s="1049" t="n"/>
      <c r="AQ10" s="1049" t="n"/>
      <c r="AR10" s="1049" t="n"/>
      <c r="AS10" s="1049" t="n"/>
      <c r="AT10" s="1266" t="n">
        <v>13.402</v>
      </c>
      <c r="AU10" s="1049" t="n"/>
      <c r="AV10" s="1049" t="n"/>
      <c r="AW10" s="1049" t="n"/>
      <c r="AX10" s="1049" t="n"/>
      <c r="AY10" s="1266" t="n">
        <v>19.266</v>
      </c>
      <c r="AZ10" s="1049" t="n"/>
      <c r="BA10" s="1049" t="n"/>
      <c r="BB10" s="1049" t="n"/>
      <c r="BC10" s="1049" t="n"/>
      <c r="BD10" s="1266" t="n">
        <v>81.038</v>
      </c>
      <c r="BE10" s="1049" t="n"/>
      <c r="BF10" s="1049" t="n"/>
      <c r="BG10" s="1049" t="n"/>
      <c r="BH10" s="1049" t="n"/>
      <c r="BI10" s="1266" t="n">
        <v>693.71</v>
      </c>
      <c r="BJ10" s="1049" t="n"/>
      <c r="BK10" s="1049" t="n"/>
      <c r="BL10" s="1049" t="n"/>
      <c r="BM10" s="1049" t="n"/>
      <c r="BN10" s="1266" t="n">
        <v>2494.973</v>
      </c>
      <c r="BO10" s="1049" t="n"/>
      <c r="BP10" s="1049" t="n"/>
      <c r="BQ10" s="1049" t="n"/>
      <c r="BR10" s="1049" t="n"/>
      <c r="BS10" s="1265" t="n"/>
      <c r="BT10" s="1049" t="n"/>
      <c r="BU10" s="1049" t="n"/>
      <c r="BV10" s="1050" t="n"/>
      <c r="BW10" s="1049" t="n"/>
      <c r="BX10" s="1265" t="n"/>
      <c r="BY10" s="1049" t="n"/>
      <c r="BZ10" s="1049" t="n"/>
      <c r="CA10" s="1049" t="n"/>
      <c r="CB10" s="1049" t="n"/>
      <c r="CC10" s="1265" t="n"/>
      <c r="CD10" s="1265" t="n"/>
      <c r="CE10" s="1265" t="n"/>
      <c r="CF10" s="1265" t="n"/>
      <c r="CG10" s="861" t="n"/>
    </row>
    <row r="11" ht="15" customFormat="1" customHeight="1" s="975">
      <c r="A11" s="196" t="inlineStr">
        <is>
          <t>CEO - Total Comp, 000s</t>
        </is>
      </c>
      <c r="B11" s="848" t="n"/>
      <c r="C11" s="1244" t="n"/>
      <c r="D11" s="1244" t="n"/>
      <c r="E11" s="1244" t="n"/>
      <c r="F11" s="1244" t="n"/>
      <c r="G11" s="1011" t="n"/>
      <c r="H11" s="1011" t="n"/>
      <c r="I11" s="1011" t="n"/>
      <c r="J11" s="1011" t="n"/>
      <c r="K11" s="1244" t="n"/>
      <c r="L11" s="1011" t="n"/>
      <c r="M11" s="1011" t="n"/>
      <c r="N11" s="1011" t="n"/>
      <c r="O11" s="1011" t="n"/>
      <c r="P11" s="1244" t="n"/>
      <c r="Q11" s="1011" t="n"/>
      <c r="R11" s="1011" t="n"/>
      <c r="S11" s="1011" t="n"/>
      <c r="T11" s="1011" t="n"/>
      <c r="U11" s="1244" t="n"/>
      <c r="V11" s="1011" t="n"/>
      <c r="W11" s="1011" t="n"/>
      <c r="X11" s="1011" t="n"/>
      <c r="Y11" s="1011" t="n"/>
      <c r="Z11" s="1244" t="n"/>
      <c r="AA11" s="1011" t="n"/>
      <c r="AB11" s="1011" t="n"/>
      <c r="AC11" s="1011" t="n"/>
      <c r="AD11" s="1011" t="n"/>
      <c r="AE11" s="1244" t="n"/>
      <c r="AF11" s="1011" t="n"/>
      <c r="AG11" s="1011" t="n"/>
      <c r="AH11" s="1011" t="n"/>
      <c r="AI11" s="1011" t="n"/>
      <c r="AJ11" s="1244" t="n"/>
      <c r="AK11" s="1011" t="n"/>
      <c r="AL11" s="1011" t="n"/>
      <c r="AM11" s="1011" t="n"/>
      <c r="AN11" s="1011" t="n"/>
      <c r="AO11" s="1244" t="n"/>
      <c r="AP11" s="1011" t="n"/>
      <c r="AQ11" s="1011" t="n"/>
      <c r="AR11" s="1011" t="n"/>
      <c r="AS11" s="1011" t="n"/>
      <c r="AT11" s="1244">
        <f>SUM(AT7:AT10)</f>
        <v/>
      </c>
      <c r="AU11" s="1011" t="n"/>
      <c r="AV11" s="1011" t="n"/>
      <c r="AW11" s="1011" t="n"/>
      <c r="AX11" s="1011" t="n"/>
      <c r="AY11" s="1244">
        <f>SUM(AY7:AY10)</f>
        <v/>
      </c>
      <c r="AZ11" s="1011" t="n"/>
      <c r="BA11" s="1011" t="n"/>
      <c r="BB11" s="1011" t="n"/>
      <c r="BC11" s="1011" t="n"/>
      <c r="BD11" s="1244">
        <f>SUM(BD7:BD10)</f>
        <v/>
      </c>
      <c r="BE11" s="1011" t="n"/>
      <c r="BF11" s="1011" t="n"/>
      <c r="BG11" s="1011" t="n"/>
      <c r="BH11" s="1011" t="n"/>
      <c r="BI11" s="1244">
        <f>SUM(BI7:BI10)</f>
        <v/>
      </c>
      <c r="BJ11" s="1011" t="n"/>
      <c r="BK11" s="1011" t="n"/>
      <c r="BL11" s="1011" t="n"/>
      <c r="BM11" s="1011" t="n"/>
      <c r="BN11" s="1244">
        <f>SUM(BN7:BN10)</f>
        <v/>
      </c>
      <c r="BO11" s="1011" t="n"/>
      <c r="BP11" s="1011" t="n"/>
      <c r="BQ11" s="1011" t="n"/>
      <c r="BR11" s="1011" t="n"/>
      <c r="BS11" s="1244" t="n"/>
      <c r="BT11" s="1011" t="n"/>
      <c r="BU11" s="1011" t="n"/>
      <c r="BV11" s="1047" t="n"/>
      <c r="BW11" s="1011" t="n"/>
      <c r="BX11" s="1244" t="n"/>
      <c r="BY11" s="1011" t="n"/>
      <c r="BZ11" s="1011" t="n"/>
      <c r="CA11" s="1011" t="n"/>
      <c r="CB11" s="1011" t="n"/>
      <c r="CC11" s="1244" t="n"/>
      <c r="CD11" s="1244" t="n"/>
      <c r="CE11" s="1244" t="n"/>
      <c r="CF11" s="1244" t="n"/>
      <c r="CG11" s="828" t="n"/>
    </row>
    <row r="12" ht="15" customFormat="1" customHeight="1" s="966">
      <c r="A12" s="201" t="inlineStr">
        <is>
          <t>CEO - comp tied to equity, %</t>
        </is>
      </c>
      <c r="B12" s="203" t="n"/>
      <c r="C12" s="185" t="n"/>
      <c r="D12" s="185" t="n"/>
      <c r="E12" s="185" t="n"/>
      <c r="F12" s="185" t="n"/>
      <c r="G12" s="130" t="n"/>
      <c r="H12" s="130" t="n"/>
      <c r="I12" s="130" t="n"/>
      <c r="J12" s="130" t="n"/>
      <c r="K12" s="185" t="n"/>
      <c r="L12" s="130" t="n"/>
      <c r="M12" s="130" t="n"/>
      <c r="N12" s="130" t="n"/>
      <c r="O12" s="130" t="n"/>
      <c r="P12" s="185" t="n"/>
      <c r="Q12" s="130" t="n"/>
      <c r="R12" s="130" t="n"/>
      <c r="S12" s="130" t="n"/>
      <c r="T12" s="130" t="n"/>
      <c r="U12" s="185" t="n"/>
      <c r="V12" s="130" t="n"/>
      <c r="W12" s="130" t="n"/>
      <c r="X12" s="130" t="n"/>
      <c r="Y12" s="130" t="n"/>
      <c r="Z12" s="185" t="n"/>
      <c r="AA12" s="130" t="n"/>
      <c r="AB12" s="130" t="n"/>
      <c r="AC12" s="130" t="n"/>
      <c r="AD12" s="130" t="n"/>
      <c r="AE12" s="185" t="n"/>
      <c r="AF12" s="130" t="n"/>
      <c r="AG12" s="130" t="n"/>
      <c r="AH12" s="130" t="n"/>
      <c r="AI12" s="130" t="n"/>
      <c r="AJ12" s="185" t="n"/>
      <c r="AK12" s="130" t="n"/>
      <c r="AL12" s="130" t="n"/>
      <c r="AM12" s="130" t="n"/>
      <c r="AN12" s="130" t="n"/>
      <c r="AO12" s="185" t="n"/>
      <c r="AP12" s="130" t="n"/>
      <c r="AQ12" s="130" t="n"/>
      <c r="AR12" s="130" t="n"/>
      <c r="AS12" s="130" t="n"/>
      <c r="AT12" s="185">
        <f>SUM(AT8)/AT11</f>
        <v/>
      </c>
      <c r="AU12" s="130" t="n"/>
      <c r="AV12" s="130" t="n"/>
      <c r="AW12" s="130" t="n"/>
      <c r="AX12" s="130" t="n"/>
      <c r="AY12" s="185">
        <f>SUM(AY8)/AY11</f>
        <v/>
      </c>
      <c r="AZ12" s="130" t="n"/>
      <c r="BA12" s="130" t="n"/>
      <c r="BB12" s="130" t="n"/>
      <c r="BC12" s="130" t="n"/>
      <c r="BD12" s="185">
        <f>SUM(BD8)/BD11</f>
        <v/>
      </c>
      <c r="BE12" s="130" t="n"/>
      <c r="BF12" s="130" t="n"/>
      <c r="BG12" s="130" t="n"/>
      <c r="BH12" s="130" t="n"/>
      <c r="BI12" s="185">
        <f>SUM(BI8)/BI11</f>
        <v/>
      </c>
      <c r="BJ12" s="130" t="n"/>
      <c r="BK12" s="130" t="n"/>
      <c r="BL12" s="130" t="n"/>
      <c r="BM12" s="130" t="n"/>
      <c r="BN12" s="185">
        <f>SUM(BN8)/BN11</f>
        <v/>
      </c>
      <c r="BO12" s="130" t="n"/>
      <c r="BP12" s="130" t="n"/>
      <c r="BQ12" s="130" t="n"/>
      <c r="BR12" s="130" t="n"/>
      <c r="BS12" s="185" t="n"/>
      <c r="BT12" s="130" t="n"/>
      <c r="BU12" s="130" t="n"/>
      <c r="BV12" s="934" t="n"/>
      <c r="BW12" s="130" t="n"/>
      <c r="BX12" s="185" t="n"/>
      <c r="BY12" s="130" t="n"/>
      <c r="BZ12" s="130" t="n"/>
      <c r="CA12" s="130" t="n"/>
      <c r="CB12" s="130" t="n"/>
      <c r="CC12" s="185" t="n"/>
      <c r="CD12" s="185" t="n"/>
      <c r="CE12" s="185" t="n"/>
      <c r="CF12" s="185" t="n"/>
      <c r="CG12" s="860" t="n"/>
    </row>
    <row r="13" ht="15" customFormat="1" customHeight="1" s="974">
      <c r="A13" s="676" t="inlineStr">
        <is>
          <t>Market Cap - EoP, mm</t>
        </is>
      </c>
      <c r="B13" s="677" t="n"/>
      <c r="C13" s="1242" t="n"/>
      <c r="D13" s="1242" t="n"/>
      <c r="E13" s="1242" t="n"/>
      <c r="F13" s="1242" t="n"/>
      <c r="G13" s="678" t="n"/>
      <c r="H13" s="678" t="n"/>
      <c r="I13" s="678" t="n"/>
      <c r="J13" s="678" t="n"/>
      <c r="K13" s="1242" t="n"/>
      <c r="L13" s="678" t="n"/>
      <c r="M13" s="678" t="n"/>
      <c r="N13" s="678" t="n"/>
      <c r="O13" s="678" t="n"/>
      <c r="P13" s="1242" t="n"/>
      <c r="Q13" s="678" t="n"/>
      <c r="R13" s="678" t="n"/>
      <c r="S13" s="678" t="n"/>
      <c r="T13" s="678" t="n"/>
      <c r="U13" s="1242" t="n"/>
      <c r="V13" s="678" t="n"/>
      <c r="W13" s="678" t="n"/>
      <c r="X13" s="678" t="n"/>
      <c r="Y13" s="678" t="n"/>
      <c r="Z13" s="1242" t="n"/>
      <c r="AA13" s="678" t="n"/>
      <c r="AB13" s="678" t="n"/>
      <c r="AC13" s="678" t="n"/>
      <c r="AD13" s="678" t="n"/>
      <c r="AE13" s="1242" t="n"/>
      <c r="AF13" s="678" t="n"/>
      <c r="AG13" s="678" t="n"/>
      <c r="AH13" s="678" t="n"/>
      <c r="AI13" s="678" t="n"/>
      <c r="AJ13" s="1242" t="n"/>
      <c r="AK13" s="678" t="n"/>
      <c r="AL13" s="678" t="n"/>
      <c r="AM13" s="678" t="n"/>
      <c r="AN13" s="678" t="n"/>
      <c r="AO13" s="1242" t="n"/>
      <c r="AP13" s="678" t="n"/>
      <c r="AQ13" s="678" t="n"/>
      <c r="AR13" s="678" t="n"/>
      <c r="AS13" s="678" t="n"/>
      <c r="AT13" s="1267">
        <f>Model!AT746</f>
        <v/>
      </c>
      <c r="AU13" s="1257">
        <f>Model!AU746</f>
        <v/>
      </c>
      <c r="AV13" s="1257">
        <f>Model!AV746</f>
        <v/>
      </c>
      <c r="AW13" s="1257">
        <f>Model!AW746</f>
        <v/>
      </c>
      <c r="AX13" s="1257">
        <f>Model!AX746</f>
        <v/>
      </c>
      <c r="AY13" s="1267">
        <f>Model!AY746</f>
        <v/>
      </c>
      <c r="AZ13" s="1257">
        <f>Model!AZ746</f>
        <v/>
      </c>
      <c r="BA13" s="1257">
        <f>Model!BA746</f>
        <v/>
      </c>
      <c r="BB13" s="1257">
        <f>Model!BB746</f>
        <v/>
      </c>
      <c r="BC13" s="1257">
        <f>Model!BC746</f>
        <v/>
      </c>
      <c r="BD13" s="1267">
        <f>Model!BD746</f>
        <v/>
      </c>
      <c r="BE13" s="1257">
        <f>Model!BE746</f>
        <v/>
      </c>
      <c r="BF13" s="1257">
        <f>Model!BF746</f>
        <v/>
      </c>
      <c r="BG13" s="1257">
        <f>Model!BG746</f>
        <v/>
      </c>
      <c r="BH13" s="1257">
        <f>Model!BH746</f>
        <v/>
      </c>
      <c r="BI13" s="1267">
        <f>Model!BI746</f>
        <v/>
      </c>
      <c r="BJ13" s="1257">
        <f>Model!BJ746</f>
        <v/>
      </c>
      <c r="BK13" s="1257">
        <f>Model!BK746</f>
        <v/>
      </c>
      <c r="BL13" s="1257">
        <f>Model!BL746</f>
        <v/>
      </c>
      <c r="BM13" s="1257">
        <f>Model!BM746</f>
        <v/>
      </c>
      <c r="BN13" s="1267">
        <f>Model!BN746</f>
        <v/>
      </c>
      <c r="BO13" s="1257">
        <f>Model!BO746</f>
        <v/>
      </c>
      <c r="BP13" s="1257">
        <f>Model!BP746</f>
        <v/>
      </c>
      <c r="BQ13" s="1257">
        <f>Model!BQ746</f>
        <v/>
      </c>
      <c r="BR13" s="1257">
        <f>Model!BR746</f>
        <v/>
      </c>
      <c r="BS13" s="1267">
        <f>Model!BS746</f>
        <v/>
      </c>
      <c r="BT13" s="1257">
        <f>Model!BT746</f>
        <v/>
      </c>
      <c r="BU13" s="1257">
        <f>Model!BU746</f>
        <v/>
      </c>
      <c r="BV13" s="1258">
        <f>Model!BV746</f>
        <v/>
      </c>
      <c r="BW13" s="678" t="n"/>
      <c r="BX13" s="1242" t="n"/>
      <c r="BY13" s="678" t="n"/>
      <c r="BZ13" s="678" t="n"/>
      <c r="CA13" s="678" t="n"/>
      <c r="CB13" s="678" t="n"/>
      <c r="CC13" s="1242" t="n"/>
      <c r="CD13" s="1242" t="n"/>
      <c r="CE13" s="1242" t="n"/>
      <c r="CF13" s="1242" t="n"/>
      <c r="CG13" s="827" t="n"/>
    </row>
    <row r="14" ht="15" customFormat="1" customHeight="1" s="973">
      <c r="A14" s="676" t="n"/>
      <c r="B14" s="683" t="n"/>
      <c r="C14" s="1241" t="n"/>
      <c r="D14" s="1241" t="n"/>
      <c r="E14" s="1241" t="n"/>
      <c r="F14" s="1241" t="n"/>
      <c r="G14" s="574" t="n"/>
      <c r="H14" s="574" t="n"/>
      <c r="I14" s="574" t="n"/>
      <c r="J14" s="574" t="n"/>
      <c r="K14" s="1241" t="n"/>
      <c r="L14" s="574" t="n"/>
      <c r="M14" s="574" t="n"/>
      <c r="N14" s="574" t="n"/>
      <c r="O14" s="574" t="n"/>
      <c r="P14" s="1241" t="n"/>
      <c r="Q14" s="574" t="n"/>
      <c r="R14" s="574" t="n"/>
      <c r="S14" s="574" t="n"/>
      <c r="T14" s="574" t="n"/>
      <c r="U14" s="1241" t="n"/>
      <c r="V14" s="574" t="n"/>
      <c r="W14" s="574" t="n"/>
      <c r="X14" s="574" t="n"/>
      <c r="Y14" s="574" t="n"/>
      <c r="Z14" s="1241" t="n"/>
      <c r="AA14" s="574" t="n"/>
      <c r="AB14" s="574" t="n"/>
      <c r="AC14" s="574" t="n"/>
      <c r="AD14" s="574" t="n"/>
      <c r="AE14" s="1241" t="n"/>
      <c r="AF14" s="574" t="n"/>
      <c r="AG14" s="574" t="n"/>
      <c r="AH14" s="574" t="n"/>
      <c r="AI14" s="574" t="n"/>
      <c r="AJ14" s="1241" t="n"/>
      <c r="AK14" s="574" t="n"/>
      <c r="AL14" s="574" t="n"/>
      <c r="AM14" s="574" t="n"/>
      <c r="AN14" s="574" t="n"/>
      <c r="AO14" s="1241" t="n"/>
      <c r="AP14" s="574" t="n"/>
      <c r="AQ14" s="574" t="n"/>
      <c r="AR14" s="574" t="n"/>
      <c r="AS14" s="574" t="n"/>
      <c r="AT14" s="1242" t="n"/>
      <c r="AU14" s="678" t="n"/>
      <c r="AV14" s="678" t="n"/>
      <c r="AW14" s="678" t="n"/>
      <c r="AX14" s="678" t="n"/>
      <c r="AY14" s="1242" t="n"/>
      <c r="AZ14" s="678" t="n"/>
      <c r="BA14" s="678" t="n"/>
      <c r="BB14" s="678" t="n"/>
      <c r="BC14" s="678" t="n"/>
      <c r="BD14" s="1242" t="n"/>
      <c r="BE14" s="678" t="n"/>
      <c r="BF14" s="678" t="n"/>
      <c r="BG14" s="678" t="n"/>
      <c r="BH14" s="678" t="n"/>
      <c r="BI14" s="1242" t="n"/>
      <c r="BJ14" s="574" t="n"/>
      <c r="BK14" s="574" t="n"/>
      <c r="BL14" s="574" t="n"/>
      <c r="BM14" s="574" t="n"/>
      <c r="BN14" s="1241" t="n"/>
      <c r="BO14" s="574" t="n"/>
      <c r="BP14" s="574" t="n"/>
      <c r="BQ14" s="574" t="n"/>
      <c r="BR14" s="574" t="n"/>
      <c r="BS14" s="1241" t="n"/>
      <c r="BT14" s="574" t="n"/>
      <c r="BU14" s="574" t="n"/>
      <c r="BV14" s="936" t="n"/>
      <c r="BW14" s="574" t="n"/>
      <c r="BX14" s="1241" t="n"/>
      <c r="BY14" s="574" t="n"/>
      <c r="BZ14" s="574" t="n"/>
      <c r="CA14" s="574" t="n"/>
      <c r="CB14" s="574" t="n"/>
      <c r="CC14" s="1241" t="n"/>
      <c r="CD14" s="1241" t="n"/>
      <c r="CE14" s="1241" t="n"/>
      <c r="CF14" s="1241" t="n"/>
      <c r="CG14" s="829" t="n"/>
    </row>
    <row r="15" ht="15" customFormat="1" customHeight="1" s="973">
      <c r="A15" s="425" t="inlineStr">
        <is>
          <t>CEO - Options 09/14/2020 # of unexercised exercisable options, 000s</t>
        </is>
      </c>
      <c r="B15" s="683" t="n"/>
      <c r="C15" s="1241" t="n"/>
      <c r="D15" s="1241" t="n"/>
      <c r="E15" s="1241" t="n"/>
      <c r="F15" s="1241" t="n"/>
      <c r="G15" s="574" t="n"/>
      <c r="H15" s="574" t="n"/>
      <c r="I15" s="574" t="n"/>
      <c r="J15" s="574" t="n"/>
      <c r="K15" s="1241" t="n"/>
      <c r="L15" s="574" t="n"/>
      <c r="M15" s="574" t="n"/>
      <c r="N15" s="574" t="n"/>
      <c r="O15" s="574" t="n"/>
      <c r="P15" s="1241" t="n"/>
      <c r="Q15" s="574" t="n"/>
      <c r="R15" s="574" t="n"/>
      <c r="S15" s="574" t="n"/>
      <c r="T15" s="574" t="n"/>
      <c r="U15" s="1241" t="n"/>
      <c r="V15" s="574" t="n"/>
      <c r="W15" s="574" t="n"/>
      <c r="X15" s="574" t="n"/>
      <c r="Y15" s="574" t="n"/>
      <c r="Z15" s="1241" t="n"/>
      <c r="AA15" s="574" t="n"/>
      <c r="AB15" s="574" t="n"/>
      <c r="AC15" s="574" t="n"/>
      <c r="AD15" s="574" t="n"/>
      <c r="AE15" s="1241" t="n"/>
      <c r="AF15" s="574" t="n"/>
      <c r="AG15" s="574" t="n"/>
      <c r="AH15" s="574" t="n"/>
      <c r="AI15" s="574" t="n"/>
      <c r="AJ15" s="1241" t="n"/>
      <c r="AK15" s="574" t="n"/>
      <c r="AL15" s="574" t="n"/>
      <c r="AM15" s="574" t="n"/>
      <c r="AN15" s="574" t="n"/>
      <c r="AO15" s="1241" t="n"/>
      <c r="AP15" s="574" t="n"/>
      <c r="AQ15" s="574" t="n"/>
      <c r="AR15" s="574" t="n"/>
      <c r="AS15" s="574" t="n"/>
      <c r="AT15" s="1268" t="n">
        <v>250</v>
      </c>
      <c r="AU15" s="678" t="n"/>
      <c r="AV15" s="678" t="n"/>
      <c r="AW15" s="678" t="n"/>
      <c r="AX15" s="678" t="n"/>
      <c r="AY15" s="1242" t="n"/>
      <c r="AZ15" s="678" t="n"/>
      <c r="BA15" s="678" t="n"/>
      <c r="BB15" s="678" t="n"/>
      <c r="BC15" s="678" t="n"/>
      <c r="BD15" s="1242" t="n"/>
      <c r="BE15" s="678" t="n"/>
      <c r="BF15" s="678" t="n"/>
      <c r="BG15" s="678" t="n"/>
      <c r="BH15" s="678" t="n"/>
      <c r="BI15" s="1242" t="n"/>
      <c r="BJ15" s="574" t="n"/>
      <c r="BK15" s="574" t="n"/>
      <c r="BL15" s="574" t="n"/>
      <c r="BM15" s="574" t="n"/>
      <c r="BN15" s="1241" t="n"/>
      <c r="BO15" s="574" t="n"/>
      <c r="BP15" s="574" t="n"/>
      <c r="BQ15" s="574" t="n"/>
      <c r="BR15" s="574" t="n"/>
      <c r="BS15" s="1241" t="n"/>
      <c r="BT15" s="574" t="n"/>
      <c r="BU15" s="574" t="n"/>
      <c r="BV15" s="936" t="n"/>
      <c r="BW15" s="574" t="n"/>
      <c r="BX15" s="1241" t="n"/>
      <c r="BY15" s="574" t="n"/>
      <c r="BZ15" s="574" t="n"/>
      <c r="CA15" s="574" t="n"/>
      <c r="CB15" s="574" t="n"/>
      <c r="CC15" s="1241" t="n"/>
      <c r="CD15" s="1241" t="n"/>
      <c r="CE15" s="1241" t="n"/>
      <c r="CF15" s="1241" t="n"/>
      <c r="CG15" s="829" t="n"/>
    </row>
    <row r="16" ht="15" customFormat="1" customHeight="1" s="1448">
      <c r="A16" s="1449" t="inlineStr">
        <is>
          <t>CEO - Options 09/14/2020 exercise price, $</t>
        </is>
      </c>
      <c r="B16" s="1450" t="n"/>
      <c r="C16" s="1451" t="n"/>
      <c r="D16" s="1451" t="n"/>
      <c r="E16" s="1451" t="n"/>
      <c r="F16" s="1451" t="n"/>
      <c r="G16" s="1452" t="n"/>
      <c r="H16" s="1452" t="n"/>
      <c r="I16" s="1452" t="n"/>
      <c r="J16" s="1452" t="n"/>
      <c r="K16" s="1451" t="n"/>
      <c r="L16" s="1452" t="n"/>
      <c r="M16" s="1452" t="n"/>
      <c r="N16" s="1452" t="n"/>
      <c r="O16" s="1452" t="n"/>
      <c r="P16" s="1451" t="n"/>
      <c r="Q16" s="1452" t="n"/>
      <c r="R16" s="1452" t="n"/>
      <c r="S16" s="1452" t="n"/>
      <c r="T16" s="1452" t="n"/>
      <c r="U16" s="1451" t="n"/>
      <c r="V16" s="1452" t="n"/>
      <c r="W16" s="1452" t="n"/>
      <c r="X16" s="1452" t="n"/>
      <c r="Y16" s="1452" t="n"/>
      <c r="Z16" s="1451" t="n"/>
      <c r="AA16" s="1452" t="n"/>
      <c r="AB16" s="1452" t="n"/>
      <c r="AC16" s="1452" t="n"/>
      <c r="AD16" s="1452" t="n"/>
      <c r="AE16" s="1451" t="n"/>
      <c r="AF16" s="1452" t="n"/>
      <c r="AG16" s="1452" t="n"/>
      <c r="AH16" s="1452" t="n"/>
      <c r="AI16" s="1452" t="n"/>
      <c r="AJ16" s="1451" t="n"/>
      <c r="AK16" s="1452" t="n"/>
      <c r="AL16" s="1452" t="n"/>
      <c r="AM16" s="1452" t="n"/>
      <c r="AN16" s="1452" t="n"/>
      <c r="AO16" s="1451" t="n"/>
      <c r="AP16" s="1452" t="n"/>
      <c r="AQ16" s="1452" t="n"/>
      <c r="AR16" s="1452" t="n"/>
      <c r="AS16" s="1452" t="n"/>
      <c r="AT16" s="1453" t="n">
        <v>10.56</v>
      </c>
      <c r="AU16" s="1454" t="n"/>
      <c r="AV16" s="1454" t="n"/>
      <c r="AW16" s="1454" t="n"/>
      <c r="AX16" s="1454" t="n"/>
      <c r="AY16" s="1455" t="n"/>
      <c r="AZ16" s="1454" t="n"/>
      <c r="BA16" s="1454" t="n"/>
      <c r="BB16" s="1454" t="n"/>
      <c r="BC16" s="1454" t="n"/>
      <c r="BD16" s="1455" t="n"/>
      <c r="BE16" s="1454" t="n"/>
      <c r="BF16" s="1454" t="n"/>
      <c r="BG16" s="1454" t="n"/>
      <c r="BH16" s="1454" t="n"/>
      <c r="BI16" s="1455" t="n"/>
      <c r="BJ16" s="1452" t="n"/>
      <c r="BK16" s="1452" t="n"/>
      <c r="BL16" s="1452" t="n"/>
      <c r="BM16" s="1452" t="n"/>
      <c r="BN16" s="1451" t="n"/>
      <c r="BO16" s="1452" t="n"/>
      <c r="BP16" s="1452" t="n"/>
      <c r="BQ16" s="1452" t="n"/>
      <c r="BR16" s="1452" t="n"/>
      <c r="BS16" s="1451" t="n"/>
      <c r="BT16" s="1452" t="n"/>
      <c r="BU16" s="1452" t="n"/>
      <c r="BV16" s="1456" t="n"/>
      <c r="BW16" s="1452" t="n"/>
      <c r="BX16" s="1451" t="n"/>
      <c r="BY16" s="1452" t="n"/>
      <c r="BZ16" s="1452" t="n"/>
      <c r="CA16" s="1452" t="n"/>
      <c r="CB16" s="1452" t="n"/>
      <c r="CC16" s="1451" t="n"/>
      <c r="CD16" s="1451" t="n"/>
      <c r="CE16" s="1451" t="n"/>
      <c r="CF16" s="1451" t="n"/>
      <c r="CG16" s="1457" t="n"/>
    </row>
    <row r="17" ht="15" customFormat="1" customHeight="1" s="973">
      <c r="A17" s="1449" t="n"/>
      <c r="B17" s="683" t="n"/>
      <c r="C17" s="1241" t="n"/>
      <c r="D17" s="1241" t="n"/>
      <c r="E17" s="1241" t="n"/>
      <c r="F17" s="1241" t="n"/>
      <c r="G17" s="574" t="n"/>
      <c r="H17" s="574" t="n"/>
      <c r="I17" s="574" t="n"/>
      <c r="J17" s="574" t="n"/>
      <c r="K17" s="1241" t="n"/>
      <c r="L17" s="574" t="n"/>
      <c r="M17" s="574" t="n"/>
      <c r="N17" s="574" t="n"/>
      <c r="O17" s="574" t="n"/>
      <c r="P17" s="1241" t="n"/>
      <c r="Q17" s="574" t="n"/>
      <c r="R17" s="574" t="n"/>
      <c r="S17" s="574" t="n"/>
      <c r="T17" s="574" t="n"/>
      <c r="U17" s="1241" t="n"/>
      <c r="V17" s="574" t="n"/>
      <c r="W17" s="574" t="n"/>
      <c r="X17" s="574" t="n"/>
      <c r="Y17" s="574" t="n"/>
      <c r="Z17" s="1241" t="n"/>
      <c r="AA17" s="574" t="n"/>
      <c r="AB17" s="574" t="n"/>
      <c r="AC17" s="574" t="n"/>
      <c r="AD17" s="574" t="n"/>
      <c r="AE17" s="1241" t="n"/>
      <c r="AF17" s="574" t="n"/>
      <c r="AG17" s="574" t="n"/>
      <c r="AH17" s="574" t="n"/>
      <c r="AI17" s="574" t="n"/>
      <c r="AJ17" s="1241" t="n"/>
      <c r="AK17" s="574" t="n"/>
      <c r="AL17" s="574" t="n"/>
      <c r="AM17" s="574" t="n"/>
      <c r="AN17" s="574" t="n"/>
      <c r="AO17" s="1241" t="n"/>
      <c r="AP17" s="574" t="n"/>
      <c r="AQ17" s="574" t="n"/>
      <c r="AR17" s="574" t="n"/>
      <c r="AS17" s="574" t="n"/>
      <c r="AT17" s="1242" t="n"/>
      <c r="AU17" s="678" t="n"/>
      <c r="AV17" s="678" t="n"/>
      <c r="AW17" s="678" t="n"/>
      <c r="AX17" s="678" t="n"/>
      <c r="AY17" s="1242" t="n"/>
      <c r="AZ17" s="678" t="n"/>
      <c r="BA17" s="678" t="n"/>
      <c r="BB17" s="678" t="n"/>
      <c r="BC17" s="678" t="n"/>
      <c r="BD17" s="1242" t="n"/>
      <c r="BE17" s="678" t="n"/>
      <c r="BF17" s="678" t="n"/>
      <c r="BG17" s="678" t="n"/>
      <c r="BH17" s="678" t="n"/>
      <c r="BI17" s="1242" t="n"/>
      <c r="BJ17" s="574" t="n"/>
      <c r="BK17" s="574" t="n"/>
      <c r="BL17" s="574" t="n"/>
      <c r="BM17" s="574" t="n"/>
      <c r="BN17" s="1241" t="n"/>
      <c r="BO17" s="574" t="n"/>
      <c r="BP17" s="574" t="n"/>
      <c r="BQ17" s="574" t="n"/>
      <c r="BR17" s="574" t="n"/>
      <c r="BS17" s="1241" t="n"/>
      <c r="BT17" s="574" t="n"/>
      <c r="BU17" s="574" t="n"/>
      <c r="BV17" s="936" t="n"/>
      <c r="BW17" s="574" t="n"/>
      <c r="BX17" s="1241" t="n"/>
      <c r="BY17" s="574" t="n"/>
      <c r="BZ17" s="574" t="n"/>
      <c r="CA17" s="574" t="n"/>
      <c r="CB17" s="574" t="n"/>
      <c r="CC17" s="1241" t="n"/>
      <c r="CD17" s="1241" t="n"/>
      <c r="CE17" s="1241" t="n"/>
      <c r="CF17" s="1241" t="n"/>
      <c r="CG17" s="829" t="n"/>
    </row>
    <row r="18" ht="15" customFormat="1" customHeight="1" s="973">
      <c r="A18" s="425" t="inlineStr">
        <is>
          <t>CEO - Options 03/17/2021 # of unexercised exercisable options, 000s</t>
        </is>
      </c>
      <c r="B18" s="683" t="n"/>
      <c r="C18" s="1241" t="n"/>
      <c r="D18" s="1241" t="n"/>
      <c r="E18" s="1241" t="n"/>
      <c r="F18" s="1241" t="n"/>
      <c r="G18" s="574" t="n"/>
      <c r="H18" s="574" t="n"/>
      <c r="I18" s="574" t="n"/>
      <c r="J18" s="574" t="n"/>
      <c r="K18" s="1241" t="n"/>
      <c r="L18" s="574" t="n"/>
      <c r="M18" s="574" t="n"/>
      <c r="N18" s="574" t="n"/>
      <c r="O18" s="574" t="n"/>
      <c r="P18" s="1241" t="n"/>
      <c r="Q18" s="574" t="n"/>
      <c r="R18" s="574" t="n"/>
      <c r="S18" s="574" t="n"/>
      <c r="T18" s="574" t="n"/>
      <c r="U18" s="1241" t="n"/>
      <c r="V18" s="574" t="n"/>
      <c r="W18" s="574" t="n"/>
      <c r="X18" s="574" t="n"/>
      <c r="Y18" s="574" t="n"/>
      <c r="Z18" s="1241" t="n"/>
      <c r="AA18" s="574" t="n"/>
      <c r="AB18" s="574" t="n"/>
      <c r="AC18" s="574" t="n"/>
      <c r="AD18" s="574" t="n"/>
      <c r="AE18" s="1241" t="n"/>
      <c r="AF18" s="574" t="n"/>
      <c r="AG18" s="574" t="n"/>
      <c r="AH18" s="574" t="n"/>
      <c r="AI18" s="574" t="n"/>
      <c r="AJ18" s="1241" t="n"/>
      <c r="AK18" s="574" t="n"/>
      <c r="AL18" s="574" t="n"/>
      <c r="AM18" s="574" t="n"/>
      <c r="AN18" s="574" t="n"/>
      <c r="AO18" s="1241" t="n"/>
      <c r="AP18" s="574" t="n"/>
      <c r="AQ18" s="574" t="n"/>
      <c r="AR18" s="574" t="n"/>
      <c r="AS18" s="574" t="n"/>
      <c r="AT18" s="1268" t="n">
        <v>250</v>
      </c>
      <c r="AU18" s="678" t="n"/>
      <c r="AV18" s="678" t="n"/>
      <c r="AW18" s="678" t="n"/>
      <c r="AX18" s="678" t="n"/>
      <c r="AY18" s="1268" t="n">
        <v>50</v>
      </c>
      <c r="AZ18" s="678" t="n"/>
      <c r="BA18" s="678" t="n"/>
      <c r="BB18" s="678" t="n"/>
      <c r="BC18" s="678" t="n"/>
      <c r="BD18" s="1242" t="n"/>
      <c r="BE18" s="678" t="n"/>
      <c r="BF18" s="678" t="n"/>
      <c r="BG18" s="678" t="n"/>
      <c r="BH18" s="678" t="n"/>
      <c r="BI18" s="1242" t="n"/>
      <c r="BJ18" s="574" t="n"/>
      <c r="BK18" s="574" t="n"/>
      <c r="BL18" s="574" t="n"/>
      <c r="BM18" s="574" t="n"/>
      <c r="BN18" s="1241" t="n"/>
      <c r="BO18" s="574" t="n"/>
      <c r="BP18" s="574" t="n"/>
      <c r="BQ18" s="574" t="n"/>
      <c r="BR18" s="574" t="n"/>
      <c r="BS18" s="1241" t="n"/>
      <c r="BT18" s="574" t="n"/>
      <c r="BU18" s="574" t="n"/>
      <c r="BV18" s="936" t="n"/>
      <c r="BW18" s="574" t="n"/>
      <c r="BX18" s="1241" t="n"/>
      <c r="BY18" s="574" t="n"/>
      <c r="BZ18" s="574" t="n"/>
      <c r="CA18" s="574" t="n"/>
      <c r="CB18" s="574" t="n"/>
      <c r="CC18" s="1241" t="n"/>
      <c r="CD18" s="1241" t="n"/>
      <c r="CE18" s="1241" t="n"/>
      <c r="CF18" s="1241" t="n"/>
      <c r="CG18" s="829" t="n"/>
    </row>
    <row r="19" ht="15" customFormat="1" customHeight="1" s="1448">
      <c r="A19" s="1449" t="inlineStr">
        <is>
          <t>CEO - Options 03/17/2021 exercise price, $</t>
        </is>
      </c>
      <c r="B19" s="1450" t="n"/>
      <c r="C19" s="1451" t="n"/>
      <c r="D19" s="1451" t="n"/>
      <c r="E19" s="1451" t="n"/>
      <c r="F19" s="1451" t="n"/>
      <c r="G19" s="1452" t="n"/>
      <c r="H19" s="1452" t="n"/>
      <c r="I19" s="1452" t="n"/>
      <c r="J19" s="1452" t="n"/>
      <c r="K19" s="1451" t="n"/>
      <c r="L19" s="1452" t="n"/>
      <c r="M19" s="1452" t="n"/>
      <c r="N19" s="1452" t="n"/>
      <c r="O19" s="1452" t="n"/>
      <c r="P19" s="1451" t="n"/>
      <c r="Q19" s="1452" t="n"/>
      <c r="R19" s="1452" t="n"/>
      <c r="S19" s="1452" t="n"/>
      <c r="T19" s="1452" t="n"/>
      <c r="U19" s="1451" t="n"/>
      <c r="V19" s="1452" t="n"/>
      <c r="W19" s="1452" t="n"/>
      <c r="X19" s="1452" t="n"/>
      <c r="Y19" s="1452" t="n"/>
      <c r="Z19" s="1451" t="n"/>
      <c r="AA19" s="1452" t="n"/>
      <c r="AB19" s="1452" t="n"/>
      <c r="AC19" s="1452" t="n"/>
      <c r="AD19" s="1452" t="n"/>
      <c r="AE19" s="1451" t="n"/>
      <c r="AF19" s="1452" t="n"/>
      <c r="AG19" s="1452" t="n"/>
      <c r="AH19" s="1452" t="n"/>
      <c r="AI19" s="1452" t="n"/>
      <c r="AJ19" s="1451" t="n"/>
      <c r="AK19" s="1452" t="n"/>
      <c r="AL19" s="1452" t="n"/>
      <c r="AM19" s="1452" t="n"/>
      <c r="AN19" s="1452" t="n"/>
      <c r="AO19" s="1451" t="n"/>
      <c r="AP19" s="1452" t="n"/>
      <c r="AQ19" s="1452" t="n"/>
      <c r="AR19" s="1452" t="n"/>
      <c r="AS19" s="1452" t="n"/>
      <c r="AT19" s="1453" t="n">
        <v>17.62</v>
      </c>
      <c r="AU19" s="1454" t="n"/>
      <c r="AV19" s="1454" t="n"/>
      <c r="AW19" s="1454" t="n"/>
      <c r="AX19" s="1454" t="n"/>
      <c r="AY19" s="1453" t="n">
        <v>17.62</v>
      </c>
      <c r="AZ19" s="1454" t="n"/>
      <c r="BA19" s="1454" t="n"/>
      <c r="BB19" s="1454" t="n"/>
      <c r="BC19" s="1454" t="n"/>
      <c r="BD19" s="1455" t="n"/>
      <c r="BE19" s="1454" t="n"/>
      <c r="BF19" s="1454" t="n"/>
      <c r="BG19" s="1454" t="n"/>
      <c r="BH19" s="1454" t="n"/>
      <c r="BI19" s="1455" t="n"/>
      <c r="BJ19" s="1452" t="n"/>
      <c r="BK19" s="1452" t="n"/>
      <c r="BL19" s="1452" t="n"/>
      <c r="BM19" s="1452" t="n"/>
      <c r="BN19" s="1451" t="n"/>
      <c r="BO19" s="1452" t="n"/>
      <c r="BP19" s="1452" t="n"/>
      <c r="BQ19" s="1452" t="n"/>
      <c r="BR19" s="1452" t="n"/>
      <c r="BS19" s="1451" t="n"/>
      <c r="BT19" s="1452" t="n"/>
      <c r="BU19" s="1452" t="n"/>
      <c r="BV19" s="1456" t="n"/>
      <c r="BW19" s="1452" t="n"/>
      <c r="BX19" s="1451" t="n"/>
      <c r="BY19" s="1452" t="n"/>
      <c r="BZ19" s="1452" t="n"/>
      <c r="CA19" s="1452" t="n"/>
      <c r="CB19" s="1452" t="n"/>
      <c r="CC19" s="1451" t="n"/>
      <c r="CD19" s="1451" t="n"/>
      <c r="CE19" s="1451" t="n"/>
      <c r="CF19" s="1451" t="n"/>
      <c r="CG19" s="1457" t="n"/>
    </row>
    <row r="20" ht="15" customFormat="1" customHeight="1" s="973">
      <c r="A20" s="676" t="n"/>
      <c r="B20" s="683" t="n"/>
      <c r="C20" s="1241" t="n"/>
      <c r="D20" s="1241" t="n"/>
      <c r="E20" s="1241" t="n"/>
      <c r="F20" s="1241" t="n"/>
      <c r="G20" s="574" t="n"/>
      <c r="H20" s="574" t="n"/>
      <c r="I20" s="574" t="n"/>
      <c r="J20" s="574" t="n"/>
      <c r="K20" s="1241" t="n"/>
      <c r="L20" s="574" t="n"/>
      <c r="M20" s="574" t="n"/>
      <c r="N20" s="574" t="n"/>
      <c r="O20" s="574" t="n"/>
      <c r="P20" s="1241" t="n"/>
      <c r="Q20" s="574" t="n"/>
      <c r="R20" s="574" t="n"/>
      <c r="S20" s="574" t="n"/>
      <c r="T20" s="574" t="n"/>
      <c r="U20" s="1241" t="n"/>
      <c r="V20" s="574" t="n"/>
      <c r="W20" s="574" t="n"/>
      <c r="X20" s="574" t="n"/>
      <c r="Y20" s="574" t="n"/>
      <c r="Z20" s="1241" t="n"/>
      <c r="AA20" s="574" t="n"/>
      <c r="AB20" s="574" t="n"/>
      <c r="AC20" s="574" t="n"/>
      <c r="AD20" s="574" t="n"/>
      <c r="AE20" s="1241" t="n"/>
      <c r="AF20" s="574" t="n"/>
      <c r="AG20" s="574" t="n"/>
      <c r="AH20" s="574" t="n"/>
      <c r="AI20" s="574" t="n"/>
      <c r="AJ20" s="1241" t="n"/>
      <c r="AK20" s="574" t="n"/>
      <c r="AL20" s="574" t="n"/>
      <c r="AM20" s="574" t="n"/>
      <c r="AN20" s="574" t="n"/>
      <c r="AO20" s="1241" t="n"/>
      <c r="AP20" s="574" t="n"/>
      <c r="AQ20" s="574" t="n"/>
      <c r="AR20" s="574" t="n"/>
      <c r="AS20" s="574" t="n"/>
      <c r="AT20" s="1242" t="n"/>
      <c r="AU20" s="678" t="n"/>
      <c r="AV20" s="678" t="n"/>
      <c r="AW20" s="678" t="n"/>
      <c r="AX20" s="678" t="n"/>
      <c r="AY20" s="1242" t="n"/>
      <c r="AZ20" s="678" t="n"/>
      <c r="BA20" s="678" t="n"/>
      <c r="BB20" s="678" t="n"/>
      <c r="BC20" s="678" t="n"/>
      <c r="BD20" s="1242" t="n"/>
      <c r="BE20" s="678" t="n"/>
      <c r="BF20" s="678" t="n"/>
      <c r="BG20" s="678" t="n"/>
      <c r="BH20" s="678" t="n"/>
      <c r="BI20" s="1242" t="n"/>
      <c r="BJ20" s="574" t="n"/>
      <c r="BK20" s="574" t="n"/>
      <c r="BL20" s="574" t="n"/>
      <c r="BM20" s="574" t="n"/>
      <c r="BN20" s="1241" t="n"/>
      <c r="BO20" s="574" t="n"/>
      <c r="BP20" s="574" t="n"/>
      <c r="BQ20" s="574" t="n"/>
      <c r="BR20" s="574" t="n"/>
      <c r="BS20" s="1241" t="n"/>
      <c r="BT20" s="574" t="n"/>
      <c r="BU20" s="574" t="n"/>
      <c r="BV20" s="936" t="n"/>
      <c r="BW20" s="574" t="n"/>
      <c r="BX20" s="1241" t="n"/>
      <c r="BY20" s="574" t="n"/>
      <c r="BZ20" s="574" t="n"/>
      <c r="CA20" s="574" t="n"/>
      <c r="CB20" s="574" t="n"/>
      <c r="CC20" s="1241" t="n"/>
      <c r="CD20" s="1241" t="n"/>
      <c r="CE20" s="1241" t="n"/>
      <c r="CF20" s="1241" t="n"/>
      <c r="CG20" s="829" t="n"/>
    </row>
    <row r="21" ht="15" customFormat="1" customHeight="1" s="973">
      <c r="A21" s="425" t="inlineStr">
        <is>
          <t>CEO - Options 09/20/2021 # of unexercised exercisable options, 000s</t>
        </is>
      </c>
      <c r="B21" s="683" t="n"/>
      <c r="C21" s="1241" t="n"/>
      <c r="D21" s="1241" t="n"/>
      <c r="E21" s="1241" t="n"/>
      <c r="F21" s="1241" t="n"/>
      <c r="G21" s="574" t="n"/>
      <c r="H21" s="574" t="n"/>
      <c r="I21" s="574" t="n"/>
      <c r="J21" s="574" t="n"/>
      <c r="K21" s="1241" t="n"/>
      <c r="L21" s="574" t="n"/>
      <c r="M21" s="574" t="n"/>
      <c r="N21" s="574" t="n"/>
      <c r="O21" s="574" t="n"/>
      <c r="P21" s="1241" t="n"/>
      <c r="Q21" s="574" t="n"/>
      <c r="R21" s="574" t="n"/>
      <c r="S21" s="574" t="n"/>
      <c r="T21" s="574" t="n"/>
      <c r="U21" s="1241" t="n"/>
      <c r="V21" s="574" t="n"/>
      <c r="W21" s="574" t="n"/>
      <c r="X21" s="574" t="n"/>
      <c r="Y21" s="574" t="n"/>
      <c r="Z21" s="1241" t="n"/>
      <c r="AA21" s="574" t="n"/>
      <c r="AB21" s="574" t="n"/>
      <c r="AC21" s="574" t="n"/>
      <c r="AD21" s="574" t="n"/>
      <c r="AE21" s="1241" t="n"/>
      <c r="AF21" s="574" t="n"/>
      <c r="AG21" s="574" t="n"/>
      <c r="AH21" s="574" t="n"/>
      <c r="AI21" s="574" t="n"/>
      <c r="AJ21" s="1241" t="n"/>
      <c r="AK21" s="574" t="n"/>
      <c r="AL21" s="574" t="n"/>
      <c r="AM21" s="574" t="n"/>
      <c r="AN21" s="574" t="n"/>
      <c r="AO21" s="1241" t="n"/>
      <c r="AP21" s="574" t="n"/>
      <c r="AQ21" s="574" t="n"/>
      <c r="AR21" s="574" t="n"/>
      <c r="AS21" s="574" t="n"/>
      <c r="AT21" s="1268" t="n">
        <v>250</v>
      </c>
      <c r="AU21" s="678" t="n"/>
      <c r="AV21" s="678" t="n"/>
      <c r="AW21" s="678" t="n"/>
      <c r="AX21" s="678" t="n"/>
      <c r="AY21" s="1268" t="n">
        <v>250</v>
      </c>
      <c r="AZ21" s="678" t="n"/>
      <c r="BA21" s="678" t="n"/>
      <c r="BB21" s="678" t="n"/>
      <c r="BC21" s="678" t="n"/>
      <c r="BD21" s="1242" t="n"/>
      <c r="BE21" s="678" t="n"/>
      <c r="BF21" s="678" t="n"/>
      <c r="BG21" s="678" t="n"/>
      <c r="BH21" s="678" t="n"/>
      <c r="BI21" s="1242" t="n"/>
      <c r="BJ21" s="574" t="n"/>
      <c r="BK21" s="574" t="n"/>
      <c r="BL21" s="574" t="n"/>
      <c r="BM21" s="574" t="n"/>
      <c r="BN21" s="1241" t="n"/>
      <c r="BO21" s="574" t="n"/>
      <c r="BP21" s="574" t="n"/>
      <c r="BQ21" s="574" t="n"/>
      <c r="BR21" s="574" t="n"/>
      <c r="BS21" s="1241" t="n"/>
      <c r="BT21" s="574" t="n"/>
      <c r="BU21" s="574" t="n"/>
      <c r="BV21" s="936" t="n"/>
      <c r="BW21" s="574" t="n"/>
      <c r="BX21" s="1241" t="n"/>
      <c r="BY21" s="574" t="n"/>
      <c r="BZ21" s="574" t="n"/>
      <c r="CA21" s="574" t="n"/>
      <c r="CB21" s="574" t="n"/>
      <c r="CC21" s="1241" t="n"/>
      <c r="CD21" s="1241" t="n"/>
      <c r="CE21" s="1241" t="n"/>
      <c r="CF21" s="1241" t="n"/>
      <c r="CG21" s="829" t="n"/>
    </row>
    <row r="22" ht="15" customFormat="1" customHeight="1" s="1448">
      <c r="A22" s="1449" t="inlineStr">
        <is>
          <t>CEO - Options 09/20/2021 exercise price, $</t>
        </is>
      </c>
      <c r="B22" s="1450" t="n"/>
      <c r="C22" s="1451" t="n"/>
      <c r="D22" s="1451" t="n"/>
      <c r="E22" s="1451" t="n"/>
      <c r="F22" s="1451" t="n"/>
      <c r="G22" s="1452" t="n"/>
      <c r="H22" s="1452" t="n"/>
      <c r="I22" s="1452" t="n"/>
      <c r="J22" s="1452" t="n"/>
      <c r="K22" s="1451" t="n"/>
      <c r="L22" s="1452" t="n"/>
      <c r="M22" s="1452" t="n"/>
      <c r="N22" s="1452" t="n"/>
      <c r="O22" s="1452" t="n"/>
      <c r="P22" s="1451" t="n"/>
      <c r="Q22" s="1452" t="n"/>
      <c r="R22" s="1452" t="n"/>
      <c r="S22" s="1452" t="n"/>
      <c r="T22" s="1452" t="n"/>
      <c r="U22" s="1451" t="n"/>
      <c r="V22" s="1452" t="n"/>
      <c r="W22" s="1452" t="n"/>
      <c r="X22" s="1452" t="n"/>
      <c r="Y22" s="1452" t="n"/>
      <c r="Z22" s="1451" t="n"/>
      <c r="AA22" s="1452" t="n"/>
      <c r="AB22" s="1452" t="n"/>
      <c r="AC22" s="1452" t="n"/>
      <c r="AD22" s="1452" t="n"/>
      <c r="AE22" s="1451" t="n"/>
      <c r="AF22" s="1452" t="n"/>
      <c r="AG22" s="1452" t="n"/>
      <c r="AH22" s="1452" t="n"/>
      <c r="AI22" s="1452" t="n"/>
      <c r="AJ22" s="1451" t="n"/>
      <c r="AK22" s="1452" t="n"/>
      <c r="AL22" s="1452" t="n"/>
      <c r="AM22" s="1452" t="n"/>
      <c r="AN22" s="1452" t="n"/>
      <c r="AO22" s="1451" t="n"/>
      <c r="AP22" s="1452" t="n"/>
      <c r="AQ22" s="1452" t="n"/>
      <c r="AR22" s="1452" t="n"/>
      <c r="AS22" s="1452" t="n"/>
      <c r="AT22" s="1453" t="n">
        <v>14.465</v>
      </c>
      <c r="AU22" s="1454" t="n"/>
      <c r="AV22" s="1454" t="n"/>
      <c r="AW22" s="1454" t="n"/>
      <c r="AX22" s="1454" t="n"/>
      <c r="AY22" s="1453" t="n">
        <v>14.465</v>
      </c>
      <c r="AZ22" s="1454" t="n"/>
      <c r="BA22" s="1454" t="n"/>
      <c r="BB22" s="1454" t="n"/>
      <c r="BC22" s="1454" t="n"/>
      <c r="BD22" s="1455" t="n"/>
      <c r="BE22" s="1454" t="n"/>
      <c r="BF22" s="1454" t="n"/>
      <c r="BG22" s="1454" t="n"/>
      <c r="BH22" s="1454" t="n"/>
      <c r="BI22" s="1455" t="n"/>
      <c r="BJ22" s="1452" t="n"/>
      <c r="BK22" s="1452" t="n"/>
      <c r="BL22" s="1452" t="n"/>
      <c r="BM22" s="1452" t="n"/>
      <c r="BN22" s="1451" t="n"/>
      <c r="BO22" s="1452" t="n"/>
      <c r="BP22" s="1452" t="n"/>
      <c r="BQ22" s="1452" t="n"/>
      <c r="BR22" s="1452" t="n"/>
      <c r="BS22" s="1451" t="n"/>
      <c r="BT22" s="1452" t="n"/>
      <c r="BU22" s="1452" t="n"/>
      <c r="BV22" s="1456" t="n"/>
      <c r="BW22" s="1452" t="n"/>
      <c r="BX22" s="1451" t="n"/>
      <c r="BY22" s="1452" t="n"/>
      <c r="BZ22" s="1452" t="n"/>
      <c r="CA22" s="1452" t="n"/>
      <c r="CB22" s="1452" t="n"/>
      <c r="CC22" s="1451" t="n"/>
      <c r="CD22" s="1451" t="n"/>
      <c r="CE22" s="1451" t="n"/>
      <c r="CF22" s="1451" t="n"/>
      <c r="CG22" s="1457" t="n"/>
    </row>
    <row r="23" ht="15" customFormat="1" customHeight="1" s="973">
      <c r="A23" s="1449" t="n"/>
      <c r="B23" s="683" t="n"/>
      <c r="C23" s="1241" t="n"/>
      <c r="D23" s="1241" t="n"/>
      <c r="E23" s="1241" t="n"/>
      <c r="F23" s="1241" t="n"/>
      <c r="G23" s="574" t="n"/>
      <c r="H23" s="574" t="n"/>
      <c r="I23" s="574" t="n"/>
      <c r="J23" s="574" t="n"/>
      <c r="K23" s="1241" t="n"/>
      <c r="L23" s="574" t="n"/>
      <c r="M23" s="574" t="n"/>
      <c r="N23" s="574" t="n"/>
      <c r="O23" s="574" t="n"/>
      <c r="P23" s="1241" t="n"/>
      <c r="Q23" s="574" t="n"/>
      <c r="R23" s="574" t="n"/>
      <c r="S23" s="574" t="n"/>
      <c r="T23" s="574" t="n"/>
      <c r="U23" s="1241" t="n"/>
      <c r="V23" s="574" t="n"/>
      <c r="W23" s="574" t="n"/>
      <c r="X23" s="574" t="n"/>
      <c r="Y23" s="574" t="n"/>
      <c r="Z23" s="1241" t="n"/>
      <c r="AA23" s="574" t="n"/>
      <c r="AB23" s="574" t="n"/>
      <c r="AC23" s="574" t="n"/>
      <c r="AD23" s="574" t="n"/>
      <c r="AE23" s="1241" t="n"/>
      <c r="AF23" s="574" t="n"/>
      <c r="AG23" s="574" t="n"/>
      <c r="AH23" s="574" t="n"/>
      <c r="AI23" s="574" t="n"/>
      <c r="AJ23" s="1241" t="n"/>
      <c r="AK23" s="574" t="n"/>
      <c r="AL23" s="574" t="n"/>
      <c r="AM23" s="574" t="n"/>
      <c r="AN23" s="574" t="n"/>
      <c r="AO23" s="1241" t="n"/>
      <c r="AP23" s="574" t="n"/>
      <c r="AQ23" s="574" t="n"/>
      <c r="AR23" s="574" t="n"/>
      <c r="AS23" s="574" t="n"/>
      <c r="AT23" s="1242" t="n"/>
      <c r="AU23" s="678" t="n"/>
      <c r="AV23" s="678" t="n"/>
      <c r="AW23" s="678" t="n"/>
      <c r="AX23" s="678" t="n"/>
      <c r="AY23" s="1242" t="n"/>
      <c r="AZ23" s="678" t="n"/>
      <c r="BA23" s="678" t="n"/>
      <c r="BB23" s="678" t="n"/>
      <c r="BC23" s="678" t="n"/>
      <c r="BD23" s="1242" t="n"/>
      <c r="BE23" s="678" t="n"/>
      <c r="BF23" s="678" t="n"/>
      <c r="BG23" s="678" t="n"/>
      <c r="BH23" s="678" t="n"/>
      <c r="BI23" s="1242" t="n"/>
      <c r="BJ23" s="574" t="n"/>
      <c r="BK23" s="574" t="n"/>
      <c r="BL23" s="574" t="n"/>
      <c r="BM23" s="574" t="n"/>
      <c r="BN23" s="1241" t="n"/>
      <c r="BO23" s="574" t="n"/>
      <c r="BP23" s="574" t="n"/>
      <c r="BQ23" s="574" t="n"/>
      <c r="BR23" s="574" t="n"/>
      <c r="BS23" s="1241" t="n"/>
      <c r="BT23" s="574" t="n"/>
      <c r="BU23" s="574" t="n"/>
      <c r="BV23" s="936" t="n"/>
      <c r="BW23" s="574" t="n"/>
      <c r="BX23" s="1241" t="n"/>
      <c r="BY23" s="574" t="n"/>
      <c r="BZ23" s="574" t="n"/>
      <c r="CA23" s="574" t="n"/>
      <c r="CB23" s="574" t="n"/>
      <c r="CC23" s="1241" t="n"/>
      <c r="CD23" s="1241" t="n"/>
      <c r="CE23" s="1241" t="n"/>
      <c r="CF23" s="1241" t="n"/>
      <c r="CG23" s="829" t="n"/>
    </row>
    <row r="24" ht="15" customFormat="1" customHeight="1" s="973">
      <c r="A24" s="425" t="inlineStr">
        <is>
          <t>CEO - Options 03/20/2022 # of unexercised exercisable options, 000s</t>
        </is>
      </c>
      <c r="B24" s="683" t="n"/>
      <c r="C24" s="1241" t="n"/>
      <c r="D24" s="1241" t="n"/>
      <c r="E24" s="1241" t="n"/>
      <c r="F24" s="1241" t="n"/>
      <c r="G24" s="574" t="n"/>
      <c r="H24" s="574" t="n"/>
      <c r="I24" s="574" t="n"/>
      <c r="J24" s="574" t="n"/>
      <c r="K24" s="1241" t="n"/>
      <c r="L24" s="574" t="n"/>
      <c r="M24" s="574" t="n"/>
      <c r="N24" s="574" t="n"/>
      <c r="O24" s="574" t="n"/>
      <c r="P24" s="1241" t="n"/>
      <c r="Q24" s="574" t="n"/>
      <c r="R24" s="574" t="n"/>
      <c r="S24" s="574" t="n"/>
      <c r="T24" s="574" t="n"/>
      <c r="U24" s="1241" t="n"/>
      <c r="V24" s="574" t="n"/>
      <c r="W24" s="574" t="n"/>
      <c r="X24" s="574" t="n"/>
      <c r="Y24" s="574" t="n"/>
      <c r="Z24" s="1241" t="n"/>
      <c r="AA24" s="574" t="n"/>
      <c r="AB24" s="574" t="n"/>
      <c r="AC24" s="574" t="n"/>
      <c r="AD24" s="574" t="n"/>
      <c r="AE24" s="1241" t="n"/>
      <c r="AF24" s="574" t="n"/>
      <c r="AG24" s="574" t="n"/>
      <c r="AH24" s="574" t="n"/>
      <c r="AI24" s="574" t="n"/>
      <c r="AJ24" s="1241" t="n"/>
      <c r="AK24" s="574" t="n"/>
      <c r="AL24" s="574" t="n"/>
      <c r="AM24" s="574" t="n"/>
      <c r="AN24" s="574" t="n"/>
      <c r="AO24" s="1241" t="n"/>
      <c r="AP24" s="574" t="n"/>
      <c r="AQ24" s="574" t="n"/>
      <c r="AR24" s="574" t="n"/>
      <c r="AS24" s="574" t="n"/>
      <c r="AT24" s="1268" t="n">
        <v>300</v>
      </c>
      <c r="AU24" s="678" t="n"/>
      <c r="AV24" s="678" t="n"/>
      <c r="AW24" s="678" t="n"/>
      <c r="AX24" s="678" t="n"/>
      <c r="AY24" s="1268" t="n">
        <v>300</v>
      </c>
      <c r="AZ24" s="678" t="n"/>
      <c r="BA24" s="678" t="n"/>
      <c r="BB24" s="678" t="n"/>
      <c r="BC24" s="678" t="n"/>
      <c r="BD24" s="1268" t="n">
        <v>292.34</v>
      </c>
      <c r="BE24" s="678" t="n"/>
      <c r="BF24" s="678" t="n"/>
      <c r="BG24" s="678" t="n"/>
      <c r="BH24" s="678" t="n"/>
      <c r="BI24" s="1242" t="n"/>
      <c r="BJ24" s="574" t="n"/>
      <c r="BK24" s="574" t="n"/>
      <c r="BL24" s="574" t="n"/>
      <c r="BM24" s="574" t="n"/>
      <c r="BN24" s="1241" t="n"/>
      <c r="BO24" s="574" t="n"/>
      <c r="BP24" s="574" t="n"/>
      <c r="BQ24" s="574" t="n"/>
      <c r="BR24" s="574" t="n"/>
      <c r="BS24" s="1241" t="n"/>
      <c r="BT24" s="574" t="n"/>
      <c r="BU24" s="574" t="n"/>
      <c r="BV24" s="936" t="n"/>
      <c r="BW24" s="574" t="n"/>
      <c r="BX24" s="1241" t="n"/>
      <c r="BY24" s="574" t="n"/>
      <c r="BZ24" s="574" t="n"/>
      <c r="CA24" s="574" t="n"/>
      <c r="CB24" s="574" t="n"/>
      <c r="CC24" s="1241" t="n"/>
      <c r="CD24" s="1241" t="n"/>
      <c r="CE24" s="1241" t="n"/>
      <c r="CF24" s="1241" t="n"/>
      <c r="CG24" s="829" t="n"/>
    </row>
    <row r="25" ht="15" customFormat="1" customHeight="1" s="1448">
      <c r="A25" s="1449" t="inlineStr">
        <is>
          <t>CEO - Options 03/20/2022 exercise price, $</t>
        </is>
      </c>
      <c r="B25" s="1450" t="n"/>
      <c r="C25" s="1451" t="n"/>
      <c r="D25" s="1451" t="n"/>
      <c r="E25" s="1451" t="n"/>
      <c r="F25" s="1451" t="n"/>
      <c r="G25" s="1452" t="n"/>
      <c r="H25" s="1452" t="n"/>
      <c r="I25" s="1452" t="n"/>
      <c r="J25" s="1452" t="n"/>
      <c r="K25" s="1451" t="n"/>
      <c r="L25" s="1452" t="n"/>
      <c r="M25" s="1452" t="n"/>
      <c r="N25" s="1452" t="n"/>
      <c r="O25" s="1452" t="n"/>
      <c r="P25" s="1451" t="n"/>
      <c r="Q25" s="1452" t="n"/>
      <c r="R25" s="1452" t="n"/>
      <c r="S25" s="1452" t="n"/>
      <c r="T25" s="1452" t="n"/>
      <c r="U25" s="1451" t="n"/>
      <c r="V25" s="1452" t="n"/>
      <c r="W25" s="1452" t="n"/>
      <c r="X25" s="1452" t="n"/>
      <c r="Y25" s="1452" t="n"/>
      <c r="Z25" s="1451" t="n"/>
      <c r="AA25" s="1452" t="n"/>
      <c r="AB25" s="1452" t="n"/>
      <c r="AC25" s="1452" t="n"/>
      <c r="AD25" s="1452" t="n"/>
      <c r="AE25" s="1451" t="n"/>
      <c r="AF25" s="1452" t="n"/>
      <c r="AG25" s="1452" t="n"/>
      <c r="AH25" s="1452" t="n"/>
      <c r="AI25" s="1452" t="n"/>
      <c r="AJ25" s="1451" t="n"/>
      <c r="AK25" s="1452" t="n"/>
      <c r="AL25" s="1452" t="n"/>
      <c r="AM25" s="1452" t="n"/>
      <c r="AN25" s="1452" t="n"/>
      <c r="AO25" s="1451" t="n"/>
      <c r="AP25" s="1452" t="n"/>
      <c r="AQ25" s="1452" t="n"/>
      <c r="AR25" s="1452" t="n"/>
      <c r="AS25" s="1452" t="n"/>
      <c r="AT25" s="1453" t="n">
        <v>14.46</v>
      </c>
      <c r="AU25" s="1454" t="n"/>
      <c r="AV25" s="1454" t="n"/>
      <c r="AW25" s="1454" t="n"/>
      <c r="AX25" s="1454" t="n"/>
      <c r="AY25" s="1453" t="n">
        <v>14.46</v>
      </c>
      <c r="AZ25" s="1454" t="n"/>
      <c r="BA25" s="1454" t="n"/>
      <c r="BB25" s="1454" t="n"/>
      <c r="BC25" s="1454" t="n"/>
      <c r="BD25" s="1453" t="n">
        <v>3.615</v>
      </c>
      <c r="BE25" s="1454" t="n"/>
      <c r="BF25" s="1454" t="n"/>
      <c r="BG25" s="1454" t="n"/>
      <c r="BH25" s="1454" t="n"/>
      <c r="BI25" s="1455" t="n"/>
      <c r="BJ25" s="1452" t="n"/>
      <c r="BK25" s="1452" t="n"/>
      <c r="BL25" s="1452" t="n"/>
      <c r="BM25" s="1452" t="n"/>
      <c r="BN25" s="1451" t="n"/>
      <c r="BO25" s="1452" t="n"/>
      <c r="BP25" s="1452" t="n"/>
      <c r="BQ25" s="1452" t="n"/>
      <c r="BR25" s="1452" t="n"/>
      <c r="BS25" s="1451" t="n"/>
      <c r="BT25" s="1452" t="n"/>
      <c r="BU25" s="1452" t="n"/>
      <c r="BV25" s="1456" t="n"/>
      <c r="BW25" s="1452" t="n"/>
      <c r="BX25" s="1451" t="n"/>
      <c r="BY25" s="1452" t="n"/>
      <c r="BZ25" s="1452" t="n"/>
      <c r="CA25" s="1452" t="n"/>
      <c r="CB25" s="1452" t="n"/>
      <c r="CC25" s="1451" t="n"/>
      <c r="CD25" s="1451" t="n"/>
      <c r="CE25" s="1451" t="n"/>
      <c r="CF25" s="1451" t="n"/>
      <c r="CG25" s="1457" t="n"/>
    </row>
    <row r="26" ht="15" customFormat="1" customHeight="1" s="973">
      <c r="A26" s="676" t="n"/>
      <c r="B26" s="683" t="n"/>
      <c r="C26" s="1241" t="n"/>
      <c r="D26" s="1241" t="n"/>
      <c r="E26" s="1241" t="n"/>
      <c r="F26" s="1241" t="n"/>
      <c r="G26" s="574" t="n"/>
      <c r="H26" s="574" t="n"/>
      <c r="I26" s="574" t="n"/>
      <c r="J26" s="574" t="n"/>
      <c r="K26" s="1241" t="n"/>
      <c r="L26" s="574" t="n"/>
      <c r="M26" s="574" t="n"/>
      <c r="N26" s="574" t="n"/>
      <c r="O26" s="574" t="n"/>
      <c r="P26" s="1241" t="n"/>
      <c r="Q26" s="574" t="n"/>
      <c r="R26" s="574" t="n"/>
      <c r="S26" s="574" t="n"/>
      <c r="T26" s="574" t="n"/>
      <c r="U26" s="1241" t="n"/>
      <c r="V26" s="574" t="n"/>
      <c r="W26" s="574" t="n"/>
      <c r="X26" s="574" t="n"/>
      <c r="Y26" s="574" t="n"/>
      <c r="Z26" s="1241" t="n"/>
      <c r="AA26" s="574" t="n"/>
      <c r="AB26" s="574" t="n"/>
      <c r="AC26" s="574" t="n"/>
      <c r="AD26" s="574" t="n"/>
      <c r="AE26" s="1241" t="n"/>
      <c r="AF26" s="574" t="n"/>
      <c r="AG26" s="574" t="n"/>
      <c r="AH26" s="574" t="n"/>
      <c r="AI26" s="574" t="n"/>
      <c r="AJ26" s="1241" t="n"/>
      <c r="AK26" s="574" t="n"/>
      <c r="AL26" s="574" t="n"/>
      <c r="AM26" s="574" t="n"/>
      <c r="AN26" s="574" t="n"/>
      <c r="AO26" s="1241" t="n"/>
      <c r="AP26" s="574" t="n"/>
      <c r="AQ26" s="574" t="n"/>
      <c r="AR26" s="574" t="n"/>
      <c r="AS26" s="574" t="n"/>
      <c r="AT26" s="1242" t="n"/>
      <c r="AU26" s="678" t="n"/>
      <c r="AV26" s="678" t="n"/>
      <c r="AW26" s="678" t="n"/>
      <c r="AX26" s="678" t="n"/>
      <c r="AY26" s="1242" t="n"/>
      <c r="AZ26" s="678" t="n"/>
      <c r="BA26" s="678" t="n"/>
      <c r="BB26" s="678" t="n"/>
      <c r="BC26" s="678" t="n"/>
      <c r="BD26" s="1242" t="n"/>
      <c r="BE26" s="678" t="n"/>
      <c r="BF26" s="678" t="n"/>
      <c r="BG26" s="678" t="n"/>
      <c r="BH26" s="678" t="n"/>
      <c r="BI26" s="1242" t="n"/>
      <c r="BJ26" s="574" t="n"/>
      <c r="BK26" s="574" t="n"/>
      <c r="BL26" s="574" t="n"/>
      <c r="BM26" s="574" t="n"/>
      <c r="BN26" s="1241" t="n"/>
      <c r="BO26" s="574" t="n"/>
      <c r="BP26" s="574" t="n"/>
      <c r="BQ26" s="574" t="n"/>
      <c r="BR26" s="574" t="n"/>
      <c r="BS26" s="1241" t="n"/>
      <c r="BT26" s="574" t="n"/>
      <c r="BU26" s="574" t="n"/>
      <c r="BV26" s="936" t="n"/>
      <c r="BW26" s="574" t="n"/>
      <c r="BX26" s="1241" t="n"/>
      <c r="BY26" s="574" t="n"/>
      <c r="BZ26" s="574" t="n"/>
      <c r="CA26" s="574" t="n"/>
      <c r="CB26" s="574" t="n"/>
      <c r="CC26" s="1241" t="n"/>
      <c r="CD26" s="1241" t="n"/>
      <c r="CE26" s="1241" t="n"/>
      <c r="CF26" s="1241" t="n"/>
      <c r="CG26" s="829" t="n"/>
    </row>
    <row r="27" ht="15" customFormat="1" customHeight="1" s="973">
      <c r="A27" s="425" t="inlineStr">
        <is>
          <t>CEO - Options 09/18/2022 # of unexercised exercisable options, 000s</t>
        </is>
      </c>
      <c r="B27" s="683" t="n"/>
      <c r="C27" s="1241" t="n"/>
      <c r="D27" s="1241" t="n"/>
      <c r="E27" s="1241" t="n"/>
      <c r="F27" s="1241" t="n"/>
      <c r="G27" s="574" t="n"/>
      <c r="H27" s="574" t="n"/>
      <c r="I27" s="574" t="n"/>
      <c r="J27" s="574" t="n"/>
      <c r="K27" s="1241" t="n"/>
      <c r="L27" s="574" t="n"/>
      <c r="M27" s="574" t="n"/>
      <c r="N27" s="574" t="n"/>
      <c r="O27" s="574" t="n"/>
      <c r="P27" s="1241" t="n"/>
      <c r="Q27" s="574" t="n"/>
      <c r="R27" s="574" t="n"/>
      <c r="S27" s="574" t="n"/>
      <c r="T27" s="574" t="n"/>
      <c r="U27" s="1241" t="n"/>
      <c r="V27" s="574" t="n"/>
      <c r="W27" s="574" t="n"/>
      <c r="X27" s="574" t="n"/>
      <c r="Y27" s="574" t="n"/>
      <c r="Z27" s="1241" t="n"/>
      <c r="AA27" s="574" t="n"/>
      <c r="AB27" s="574" t="n"/>
      <c r="AC27" s="574" t="n"/>
      <c r="AD27" s="574" t="n"/>
      <c r="AE27" s="1241" t="n"/>
      <c r="AF27" s="574" t="n"/>
      <c r="AG27" s="574" t="n"/>
      <c r="AH27" s="574" t="n"/>
      <c r="AI27" s="574" t="n"/>
      <c r="AJ27" s="1241" t="n"/>
      <c r="AK27" s="574" t="n"/>
      <c r="AL27" s="574" t="n"/>
      <c r="AM27" s="574" t="n"/>
      <c r="AN27" s="574" t="n"/>
      <c r="AO27" s="1241" t="n"/>
      <c r="AP27" s="574" t="n"/>
      <c r="AQ27" s="574" t="n"/>
      <c r="AR27" s="574" t="n"/>
      <c r="AS27" s="574" t="n"/>
      <c r="AT27" s="1268" t="n">
        <v>300</v>
      </c>
      <c r="AU27" s="678" t="n"/>
      <c r="AV27" s="678" t="n"/>
      <c r="AW27" s="678" t="n"/>
      <c r="AX27" s="678" t="n"/>
      <c r="AY27" s="1268" t="n">
        <v>300</v>
      </c>
      <c r="AZ27" s="678" t="n"/>
      <c r="BA27" s="678" t="n"/>
      <c r="BB27" s="678" t="n"/>
      <c r="BC27" s="678" t="n"/>
      <c r="BD27" s="1268" t="n">
        <v>1200</v>
      </c>
      <c r="BE27" s="678" t="n"/>
      <c r="BF27" s="678" t="n"/>
      <c r="BG27" s="678" t="n"/>
      <c r="BH27" s="678" t="n"/>
      <c r="BI27" s="1242" t="n"/>
      <c r="BJ27" s="574" t="n"/>
      <c r="BK27" s="574" t="n"/>
      <c r="BL27" s="574" t="n"/>
      <c r="BM27" s="574" t="n"/>
      <c r="BN27" s="1241" t="n"/>
      <c r="BO27" s="574" t="n"/>
      <c r="BP27" s="574" t="n"/>
      <c r="BQ27" s="574" t="n"/>
      <c r="BR27" s="574" t="n"/>
      <c r="BS27" s="1241" t="n"/>
      <c r="BT27" s="574" t="n"/>
      <c r="BU27" s="574" t="n"/>
      <c r="BV27" s="936" t="n"/>
      <c r="BW27" s="574" t="n"/>
      <c r="BX27" s="1241" t="n"/>
      <c r="BY27" s="574" t="n"/>
      <c r="BZ27" s="574" t="n"/>
      <c r="CA27" s="574" t="n"/>
      <c r="CB27" s="574" t="n"/>
      <c r="CC27" s="1241" t="n"/>
      <c r="CD27" s="1241" t="n"/>
      <c r="CE27" s="1241" t="n"/>
      <c r="CF27" s="1241" t="n"/>
      <c r="CG27" s="829" t="n"/>
    </row>
    <row r="28" ht="15" customFormat="1" customHeight="1" s="1448">
      <c r="A28" s="1449" t="inlineStr">
        <is>
          <t>CEO - Options 09/18/2022 exercise price, $</t>
        </is>
      </c>
      <c r="B28" s="1450" t="n"/>
      <c r="C28" s="1451" t="n"/>
      <c r="D28" s="1451" t="n"/>
      <c r="E28" s="1451" t="n"/>
      <c r="F28" s="1451" t="n"/>
      <c r="G28" s="1452" t="n"/>
      <c r="H28" s="1452" t="n"/>
      <c r="I28" s="1452" t="n"/>
      <c r="J28" s="1452" t="n"/>
      <c r="K28" s="1451" t="n"/>
      <c r="L28" s="1452" t="n"/>
      <c r="M28" s="1452" t="n"/>
      <c r="N28" s="1452" t="n"/>
      <c r="O28" s="1452" t="n"/>
      <c r="P28" s="1451" t="n"/>
      <c r="Q28" s="1452" t="n"/>
      <c r="R28" s="1452" t="n"/>
      <c r="S28" s="1452" t="n"/>
      <c r="T28" s="1452" t="n"/>
      <c r="U28" s="1451" t="n"/>
      <c r="V28" s="1452" t="n"/>
      <c r="W28" s="1452" t="n"/>
      <c r="X28" s="1452" t="n"/>
      <c r="Y28" s="1452" t="n"/>
      <c r="Z28" s="1451" t="n"/>
      <c r="AA28" s="1452" t="n"/>
      <c r="AB28" s="1452" t="n"/>
      <c r="AC28" s="1452" t="n"/>
      <c r="AD28" s="1452" t="n"/>
      <c r="AE28" s="1451" t="n"/>
      <c r="AF28" s="1452" t="n"/>
      <c r="AG28" s="1452" t="n"/>
      <c r="AH28" s="1452" t="n"/>
      <c r="AI28" s="1452" t="n"/>
      <c r="AJ28" s="1451" t="n"/>
      <c r="AK28" s="1452" t="n"/>
      <c r="AL28" s="1452" t="n"/>
      <c r="AM28" s="1452" t="n"/>
      <c r="AN28" s="1452" t="n"/>
      <c r="AO28" s="1451" t="n"/>
      <c r="AP28" s="1452" t="n"/>
      <c r="AQ28" s="1452" t="n"/>
      <c r="AR28" s="1452" t="n"/>
      <c r="AS28" s="1452" t="n"/>
      <c r="AT28" s="1453" t="n">
        <v>13.71</v>
      </c>
      <c r="AU28" s="1454" t="n"/>
      <c r="AV28" s="1454" t="n"/>
      <c r="AW28" s="1454" t="n"/>
      <c r="AX28" s="1454" t="n"/>
      <c r="AY28" s="1453" t="n">
        <v>13.71</v>
      </c>
      <c r="AZ28" s="1454" t="n"/>
      <c r="BA28" s="1454" t="n"/>
      <c r="BB28" s="1454" t="n"/>
      <c r="BC28" s="1454" t="n"/>
      <c r="BD28" s="1453" t="n">
        <v>3.4275</v>
      </c>
      <c r="BE28" s="1454" t="n"/>
      <c r="BF28" s="1454" t="n"/>
      <c r="BG28" s="1454" t="n"/>
      <c r="BH28" s="1454" t="n"/>
      <c r="BI28" s="1455" t="n"/>
      <c r="BJ28" s="1452" t="n"/>
      <c r="BK28" s="1452" t="n"/>
      <c r="BL28" s="1452" t="n"/>
      <c r="BM28" s="1452" t="n"/>
      <c r="BN28" s="1451" t="n"/>
      <c r="BO28" s="1452" t="n"/>
      <c r="BP28" s="1452" t="n"/>
      <c r="BQ28" s="1452" t="n"/>
      <c r="BR28" s="1452" t="n"/>
      <c r="BS28" s="1451" t="n"/>
      <c r="BT28" s="1452" t="n"/>
      <c r="BU28" s="1452" t="n"/>
      <c r="BV28" s="1456" t="n"/>
      <c r="BW28" s="1452" t="n"/>
      <c r="BX28" s="1451" t="n"/>
      <c r="BY28" s="1452" t="n"/>
      <c r="BZ28" s="1452" t="n"/>
      <c r="CA28" s="1452" t="n"/>
      <c r="CB28" s="1452" t="n"/>
      <c r="CC28" s="1451" t="n"/>
      <c r="CD28" s="1451" t="n"/>
      <c r="CE28" s="1451" t="n"/>
      <c r="CF28" s="1451" t="n"/>
      <c r="CG28" s="1457" t="n"/>
    </row>
    <row r="29" ht="15" customFormat="1" customHeight="1" s="973">
      <c r="A29" s="676" t="n"/>
      <c r="B29" s="683" t="n"/>
      <c r="C29" s="1241" t="n"/>
      <c r="D29" s="1241" t="n"/>
      <c r="E29" s="1241" t="n"/>
      <c r="F29" s="1241" t="n"/>
      <c r="G29" s="574" t="n"/>
      <c r="H29" s="574" t="n"/>
      <c r="I29" s="574" t="n"/>
      <c r="J29" s="574" t="n"/>
      <c r="K29" s="1241" t="n"/>
      <c r="L29" s="574" t="n"/>
      <c r="M29" s="574" t="n"/>
      <c r="N29" s="574" t="n"/>
      <c r="O29" s="574" t="n"/>
      <c r="P29" s="1241" t="n"/>
      <c r="Q29" s="574" t="n"/>
      <c r="R29" s="574" t="n"/>
      <c r="S29" s="574" t="n"/>
      <c r="T29" s="574" t="n"/>
      <c r="U29" s="1241" t="n"/>
      <c r="V29" s="574" t="n"/>
      <c r="W29" s="574" t="n"/>
      <c r="X29" s="574" t="n"/>
      <c r="Y29" s="574" t="n"/>
      <c r="Z29" s="1241" t="n"/>
      <c r="AA29" s="574" t="n"/>
      <c r="AB29" s="574" t="n"/>
      <c r="AC29" s="574" t="n"/>
      <c r="AD29" s="574" t="n"/>
      <c r="AE29" s="1241" t="n"/>
      <c r="AF29" s="574" t="n"/>
      <c r="AG29" s="574" t="n"/>
      <c r="AH29" s="574" t="n"/>
      <c r="AI29" s="574" t="n"/>
      <c r="AJ29" s="1241" t="n"/>
      <c r="AK29" s="574" t="n"/>
      <c r="AL29" s="574" t="n"/>
      <c r="AM29" s="574" t="n"/>
      <c r="AN29" s="574" t="n"/>
      <c r="AO29" s="1241" t="n"/>
      <c r="AP29" s="574" t="n"/>
      <c r="AQ29" s="574" t="n"/>
      <c r="AR29" s="574" t="n"/>
      <c r="AS29" s="574" t="n"/>
      <c r="AT29" s="1242" t="n"/>
      <c r="AU29" s="678" t="n"/>
      <c r="AV29" s="678" t="n"/>
      <c r="AW29" s="678" t="n"/>
      <c r="AX29" s="678" t="n"/>
      <c r="AY29" s="1242" t="n"/>
      <c r="AZ29" s="678" t="n"/>
      <c r="BA29" s="678" t="n"/>
      <c r="BB29" s="678" t="n"/>
      <c r="BC29" s="678" t="n"/>
      <c r="BD29" s="1242" t="n"/>
      <c r="BE29" s="678" t="n"/>
      <c r="BF29" s="678" t="n"/>
      <c r="BG29" s="678" t="n"/>
      <c r="BH29" s="678" t="n"/>
      <c r="BI29" s="1242" t="n"/>
      <c r="BJ29" s="574" t="n"/>
      <c r="BK29" s="574" t="n"/>
      <c r="BL29" s="574" t="n"/>
      <c r="BM29" s="574" t="n"/>
      <c r="BN29" s="1241" t="n"/>
      <c r="BO29" s="574" t="n"/>
      <c r="BP29" s="574" t="n"/>
      <c r="BQ29" s="574" t="n"/>
      <c r="BR29" s="574" t="n"/>
      <c r="BS29" s="1241" t="n"/>
      <c r="BT29" s="574" t="n"/>
      <c r="BU29" s="574" t="n"/>
      <c r="BV29" s="936" t="n"/>
      <c r="BW29" s="574" t="n"/>
      <c r="BX29" s="1241" t="n"/>
      <c r="BY29" s="574" t="n"/>
      <c r="BZ29" s="574" t="n"/>
      <c r="CA29" s="574" t="n"/>
      <c r="CB29" s="574" t="n"/>
      <c r="CC29" s="1241" t="n"/>
      <c r="CD29" s="1241" t="n"/>
      <c r="CE29" s="1241" t="n"/>
      <c r="CF29" s="1241" t="n"/>
      <c r="CG29" s="829" t="n"/>
    </row>
    <row r="30" ht="15" customFormat="1" customHeight="1" s="973">
      <c r="A30" s="425" t="inlineStr">
        <is>
          <t>CEO - Options 03/19/2023 # of unexercised exercisable options, 000s</t>
        </is>
      </c>
      <c r="B30" s="683" t="n"/>
      <c r="C30" s="1241" t="n"/>
      <c r="D30" s="1241" t="n"/>
      <c r="E30" s="1241" t="n"/>
      <c r="F30" s="1241" t="n"/>
      <c r="G30" s="574" t="n"/>
      <c r="H30" s="574" t="n"/>
      <c r="I30" s="574" t="n"/>
      <c r="J30" s="574" t="n"/>
      <c r="K30" s="1241" t="n"/>
      <c r="L30" s="574" t="n"/>
      <c r="M30" s="574" t="n"/>
      <c r="N30" s="574" t="n"/>
      <c r="O30" s="574" t="n"/>
      <c r="P30" s="1241" t="n"/>
      <c r="Q30" s="574" t="n"/>
      <c r="R30" s="574" t="n"/>
      <c r="S30" s="574" t="n"/>
      <c r="T30" s="574" t="n"/>
      <c r="U30" s="1241" t="n"/>
      <c r="V30" s="574" t="n"/>
      <c r="W30" s="574" t="n"/>
      <c r="X30" s="574" t="n"/>
      <c r="Y30" s="574" t="n"/>
      <c r="Z30" s="1241" t="n"/>
      <c r="AA30" s="574" t="n"/>
      <c r="AB30" s="574" t="n"/>
      <c r="AC30" s="574" t="n"/>
      <c r="AD30" s="574" t="n"/>
      <c r="AE30" s="1241" t="n"/>
      <c r="AF30" s="574" t="n"/>
      <c r="AG30" s="574" t="n"/>
      <c r="AH30" s="574" t="n"/>
      <c r="AI30" s="574" t="n"/>
      <c r="AJ30" s="1241" t="n"/>
      <c r="AK30" s="574" t="n"/>
      <c r="AL30" s="574" t="n"/>
      <c r="AM30" s="574" t="n"/>
      <c r="AN30" s="574" t="n"/>
      <c r="AO30" s="1241" t="n"/>
      <c r="AP30" s="574" t="n"/>
      <c r="AQ30" s="574" t="n"/>
      <c r="AR30" s="574" t="n"/>
      <c r="AS30" s="574" t="n"/>
      <c r="AT30" s="1268" t="n">
        <v>237.5</v>
      </c>
      <c r="AU30" s="678" t="n"/>
      <c r="AV30" s="678" t="n"/>
      <c r="AW30" s="678" t="n"/>
      <c r="AX30" s="678" t="n"/>
      <c r="AY30" s="1268" t="n">
        <v>237.5</v>
      </c>
      <c r="AZ30" s="678" t="n"/>
      <c r="BA30" s="678" t="n"/>
      <c r="BB30" s="678" t="n"/>
      <c r="BC30" s="678" t="n"/>
      <c r="BD30" s="1268" t="n">
        <v>950</v>
      </c>
      <c r="BE30" s="678" t="n"/>
      <c r="BF30" s="678" t="n"/>
      <c r="BG30" s="678" t="n"/>
      <c r="BH30" s="678" t="n"/>
      <c r="BI30" s="1242" t="n"/>
      <c r="BJ30" s="574" t="n"/>
      <c r="BK30" s="574" t="n"/>
      <c r="BL30" s="574" t="n"/>
      <c r="BM30" s="574" t="n"/>
      <c r="BN30" s="1241" t="n"/>
      <c r="BO30" s="574" t="n"/>
      <c r="BP30" s="574" t="n"/>
      <c r="BQ30" s="574" t="n"/>
      <c r="BR30" s="574" t="n"/>
      <c r="BS30" s="1241" t="n"/>
      <c r="BT30" s="574" t="n"/>
      <c r="BU30" s="574" t="n"/>
      <c r="BV30" s="936" t="n"/>
      <c r="BW30" s="574" t="n"/>
      <c r="BX30" s="1241" t="n"/>
      <c r="BY30" s="574" t="n"/>
      <c r="BZ30" s="574" t="n"/>
      <c r="CA30" s="574" t="n"/>
      <c r="CB30" s="574" t="n"/>
      <c r="CC30" s="1241" t="n"/>
      <c r="CD30" s="1241" t="n"/>
      <c r="CE30" s="1241" t="n"/>
      <c r="CF30" s="1241" t="n"/>
      <c r="CG30" s="829" t="n"/>
    </row>
    <row r="31" ht="15" customFormat="1" customHeight="1" s="1448">
      <c r="A31" s="1449" t="inlineStr">
        <is>
          <t>CEO - Options 03/19/2023 exercise price, $</t>
        </is>
      </c>
      <c r="B31" s="1450" t="n"/>
      <c r="C31" s="1451" t="n"/>
      <c r="D31" s="1451" t="n"/>
      <c r="E31" s="1451" t="n"/>
      <c r="F31" s="1451" t="n"/>
      <c r="G31" s="1452" t="n"/>
      <c r="H31" s="1452" t="n"/>
      <c r="I31" s="1452" t="n"/>
      <c r="J31" s="1452" t="n"/>
      <c r="K31" s="1451" t="n"/>
      <c r="L31" s="1452" t="n"/>
      <c r="M31" s="1452" t="n"/>
      <c r="N31" s="1452" t="n"/>
      <c r="O31" s="1452" t="n"/>
      <c r="P31" s="1451" t="n"/>
      <c r="Q31" s="1452" t="n"/>
      <c r="R31" s="1452" t="n"/>
      <c r="S31" s="1452" t="n"/>
      <c r="T31" s="1452" t="n"/>
      <c r="U31" s="1451" t="n"/>
      <c r="V31" s="1452" t="n"/>
      <c r="W31" s="1452" t="n"/>
      <c r="X31" s="1452" t="n"/>
      <c r="Y31" s="1452" t="n"/>
      <c r="Z31" s="1451" t="n"/>
      <c r="AA31" s="1452" t="n"/>
      <c r="AB31" s="1452" t="n"/>
      <c r="AC31" s="1452" t="n"/>
      <c r="AD31" s="1452" t="n"/>
      <c r="AE31" s="1451" t="n"/>
      <c r="AF31" s="1452" t="n"/>
      <c r="AG31" s="1452" t="n"/>
      <c r="AH31" s="1452" t="n"/>
      <c r="AI31" s="1452" t="n"/>
      <c r="AJ31" s="1451" t="n"/>
      <c r="AK31" s="1452" t="n"/>
      <c r="AL31" s="1452" t="n"/>
      <c r="AM31" s="1452" t="n"/>
      <c r="AN31" s="1452" t="n"/>
      <c r="AO31" s="1451" t="n"/>
      <c r="AP31" s="1452" t="n"/>
      <c r="AQ31" s="1452" t="n"/>
      <c r="AR31" s="1452" t="n"/>
      <c r="AS31" s="1452" t="n"/>
      <c r="AT31" s="1453" t="n">
        <v>12.62</v>
      </c>
      <c r="AU31" s="1454" t="n"/>
      <c r="AV31" s="1454" t="n"/>
      <c r="AW31" s="1454" t="n"/>
      <c r="AX31" s="1454" t="n"/>
      <c r="AY31" s="1453" t="n">
        <v>12.62</v>
      </c>
      <c r="AZ31" s="1454" t="n"/>
      <c r="BA31" s="1454" t="n"/>
      <c r="BB31" s="1454" t="n"/>
      <c r="BC31" s="1454" t="n"/>
      <c r="BD31" s="1453" t="n">
        <v>3.155</v>
      </c>
      <c r="BE31" s="1454" t="n"/>
      <c r="BF31" s="1454" t="n"/>
      <c r="BG31" s="1454" t="n"/>
      <c r="BH31" s="1454" t="n"/>
      <c r="BI31" s="1455" t="n"/>
      <c r="BJ31" s="1452" t="n"/>
      <c r="BK31" s="1452" t="n"/>
      <c r="BL31" s="1452" t="n"/>
      <c r="BM31" s="1452" t="n"/>
      <c r="BN31" s="1451" t="n"/>
      <c r="BO31" s="1452" t="n"/>
      <c r="BP31" s="1452" t="n"/>
      <c r="BQ31" s="1452" t="n"/>
      <c r="BR31" s="1452" t="n"/>
      <c r="BS31" s="1451" t="n"/>
      <c r="BT31" s="1452" t="n"/>
      <c r="BU31" s="1452" t="n"/>
      <c r="BV31" s="1456" t="n"/>
      <c r="BW31" s="1452" t="n"/>
      <c r="BX31" s="1451" t="n"/>
      <c r="BY31" s="1452" t="n"/>
      <c r="BZ31" s="1452" t="n"/>
      <c r="CA31" s="1452" t="n"/>
      <c r="CB31" s="1452" t="n"/>
      <c r="CC31" s="1451" t="n"/>
      <c r="CD31" s="1451" t="n"/>
      <c r="CE31" s="1451" t="n"/>
      <c r="CF31" s="1451" t="n"/>
      <c r="CG31" s="1457" t="n"/>
    </row>
    <row r="32" ht="15" customFormat="1" customHeight="1" s="973">
      <c r="A32" s="676" t="n"/>
      <c r="B32" s="683" t="n"/>
      <c r="C32" s="1241" t="n"/>
      <c r="D32" s="1241" t="n"/>
      <c r="E32" s="1241" t="n"/>
      <c r="F32" s="1241" t="n"/>
      <c r="G32" s="574" t="n"/>
      <c r="H32" s="574" t="n"/>
      <c r="I32" s="574" t="n"/>
      <c r="J32" s="574" t="n"/>
      <c r="K32" s="1241" t="n"/>
      <c r="L32" s="574" t="n"/>
      <c r="M32" s="574" t="n"/>
      <c r="N32" s="574" t="n"/>
      <c r="O32" s="574" t="n"/>
      <c r="P32" s="1241" t="n"/>
      <c r="Q32" s="574" t="n"/>
      <c r="R32" s="574" t="n"/>
      <c r="S32" s="574" t="n"/>
      <c r="T32" s="574" t="n"/>
      <c r="U32" s="1241" t="n"/>
      <c r="V32" s="574" t="n"/>
      <c r="W32" s="574" t="n"/>
      <c r="X32" s="574" t="n"/>
      <c r="Y32" s="574" t="n"/>
      <c r="Z32" s="1241" t="n"/>
      <c r="AA32" s="574" t="n"/>
      <c r="AB32" s="574" t="n"/>
      <c r="AC32" s="574" t="n"/>
      <c r="AD32" s="574" t="n"/>
      <c r="AE32" s="1241" t="n"/>
      <c r="AF32" s="574" t="n"/>
      <c r="AG32" s="574" t="n"/>
      <c r="AH32" s="574" t="n"/>
      <c r="AI32" s="574" t="n"/>
      <c r="AJ32" s="1241" t="n"/>
      <c r="AK32" s="574" t="n"/>
      <c r="AL32" s="574" t="n"/>
      <c r="AM32" s="574" t="n"/>
      <c r="AN32" s="574" t="n"/>
      <c r="AO32" s="1241" t="n"/>
      <c r="AP32" s="574" t="n"/>
      <c r="AQ32" s="574" t="n"/>
      <c r="AR32" s="574" t="n"/>
      <c r="AS32" s="574" t="n"/>
      <c r="AT32" s="1242" t="n"/>
      <c r="AU32" s="678" t="n"/>
      <c r="AV32" s="678" t="n"/>
      <c r="AW32" s="678" t="n"/>
      <c r="AX32" s="678" t="n"/>
      <c r="AY32" s="1242" t="n"/>
      <c r="AZ32" s="678" t="n"/>
      <c r="BA32" s="678" t="n"/>
      <c r="BB32" s="678" t="n"/>
      <c r="BC32" s="678" t="n"/>
      <c r="BD32" s="1242" t="n"/>
      <c r="BE32" s="678" t="n"/>
      <c r="BF32" s="678" t="n"/>
      <c r="BG32" s="678" t="n"/>
      <c r="BH32" s="678" t="n"/>
      <c r="BI32" s="1242" t="n"/>
      <c r="BJ32" s="574" t="n"/>
      <c r="BK32" s="574" t="n"/>
      <c r="BL32" s="574" t="n"/>
      <c r="BM32" s="574" t="n"/>
      <c r="BN32" s="1241" t="n"/>
      <c r="BO32" s="574" t="n"/>
      <c r="BP32" s="574" t="n"/>
      <c r="BQ32" s="574" t="n"/>
      <c r="BR32" s="574" t="n"/>
      <c r="BS32" s="1241" t="n"/>
      <c r="BT32" s="574" t="n"/>
      <c r="BU32" s="574" t="n"/>
      <c r="BV32" s="936" t="n"/>
      <c r="BW32" s="574" t="n"/>
      <c r="BX32" s="1241" t="n"/>
      <c r="BY32" s="574" t="n"/>
      <c r="BZ32" s="574" t="n"/>
      <c r="CA32" s="574" t="n"/>
      <c r="CB32" s="574" t="n"/>
      <c r="CC32" s="1241" t="n"/>
      <c r="CD32" s="1241" t="n"/>
      <c r="CE32" s="1241" t="n"/>
      <c r="CF32" s="1241" t="n"/>
      <c r="CG32" s="829" t="n"/>
    </row>
    <row r="33" ht="15" customFormat="1" customHeight="1" s="973">
      <c r="A33" s="425" t="inlineStr">
        <is>
          <t>CEO - Options 09/17/2023 # of unexercised excercisable options, 000s</t>
        </is>
      </c>
      <c r="B33" s="683" t="n"/>
      <c r="C33" s="1241" t="n"/>
      <c r="D33" s="1241" t="n"/>
      <c r="E33" s="1241" t="n"/>
      <c r="F33" s="1241" t="n"/>
      <c r="G33" s="574" t="n"/>
      <c r="H33" s="574" t="n"/>
      <c r="I33" s="574" t="n"/>
      <c r="J33" s="574" t="n"/>
      <c r="K33" s="1241" t="n"/>
      <c r="L33" s="574" t="n"/>
      <c r="M33" s="574" t="n"/>
      <c r="N33" s="574" t="n"/>
      <c r="O33" s="574" t="n"/>
      <c r="P33" s="1241" t="n"/>
      <c r="Q33" s="574" t="n"/>
      <c r="R33" s="574" t="n"/>
      <c r="S33" s="574" t="n"/>
      <c r="T33" s="574" t="n"/>
      <c r="U33" s="1241" t="n"/>
      <c r="V33" s="574" t="n"/>
      <c r="W33" s="574" t="n"/>
      <c r="X33" s="574" t="n"/>
      <c r="Y33" s="574" t="n"/>
      <c r="Z33" s="1241" t="n"/>
      <c r="AA33" s="574" t="n"/>
      <c r="AB33" s="574" t="n"/>
      <c r="AC33" s="574" t="n"/>
      <c r="AD33" s="574" t="n"/>
      <c r="AE33" s="1241" t="n"/>
      <c r="AF33" s="574" t="n"/>
      <c r="AG33" s="574" t="n"/>
      <c r="AH33" s="574" t="n"/>
      <c r="AI33" s="574" t="n"/>
      <c r="AJ33" s="1241" t="n"/>
      <c r="AK33" s="574" t="n"/>
      <c r="AL33" s="574" t="n"/>
      <c r="AM33" s="574" t="n"/>
      <c r="AN33" s="574" t="n"/>
      <c r="AO33" s="1241" t="n"/>
      <c r="AP33" s="574" t="n"/>
      <c r="AQ33" s="574" t="n"/>
      <c r="AR33" s="574" t="n"/>
      <c r="AS33" s="574" t="n"/>
      <c r="AT33" s="1268" t="n">
        <v>237.5</v>
      </c>
      <c r="AU33" s="678" t="n"/>
      <c r="AV33" s="678" t="n"/>
      <c r="AW33" s="678" t="n"/>
      <c r="AX33" s="678" t="n"/>
      <c r="AY33" s="1268" t="n">
        <v>237.5</v>
      </c>
      <c r="AZ33" s="678" t="n"/>
      <c r="BA33" s="678" t="n"/>
      <c r="BB33" s="678" t="n"/>
      <c r="BC33" s="678" t="n"/>
      <c r="BD33" s="1268" t="n">
        <v>950</v>
      </c>
      <c r="BE33" s="678" t="n"/>
      <c r="BF33" s="678" t="n"/>
      <c r="BG33" s="678" t="n"/>
      <c r="BH33" s="678" t="n"/>
      <c r="BI33" s="1268" t="n">
        <v>475</v>
      </c>
      <c r="BJ33" s="574" t="n"/>
      <c r="BK33" s="574" t="n"/>
      <c r="BL33" s="574" t="n"/>
      <c r="BM33" s="574" t="n"/>
      <c r="BN33" s="1241" t="n"/>
      <c r="BO33" s="574" t="n"/>
      <c r="BP33" s="574" t="n"/>
      <c r="BQ33" s="574" t="n"/>
      <c r="BR33" s="574" t="n"/>
      <c r="BS33" s="1241" t="n"/>
      <c r="BT33" s="574" t="n"/>
      <c r="BU33" s="574" t="n"/>
      <c r="BV33" s="936" t="n"/>
      <c r="BW33" s="574" t="n"/>
      <c r="BX33" s="1241" t="n"/>
      <c r="BY33" s="574" t="n"/>
      <c r="BZ33" s="574" t="n"/>
      <c r="CA33" s="574" t="n"/>
      <c r="CB33" s="574" t="n"/>
      <c r="CC33" s="1241" t="n"/>
      <c r="CD33" s="1241" t="n"/>
      <c r="CE33" s="1241" t="n"/>
      <c r="CF33" s="1241" t="n"/>
      <c r="CG33" s="829" t="n"/>
    </row>
    <row r="34" ht="15" customFormat="1" customHeight="1" s="1448">
      <c r="A34" s="1449" t="inlineStr">
        <is>
          <t>CEO - Options 09/17/2023 exercise price, $</t>
        </is>
      </c>
      <c r="B34" s="1450" t="n"/>
      <c r="C34" s="1451" t="n"/>
      <c r="D34" s="1451" t="n"/>
      <c r="E34" s="1451" t="n"/>
      <c r="F34" s="1451" t="n"/>
      <c r="G34" s="1452" t="n"/>
      <c r="H34" s="1452" t="n"/>
      <c r="I34" s="1452" t="n"/>
      <c r="J34" s="1452" t="n"/>
      <c r="K34" s="1451" t="n"/>
      <c r="L34" s="1452" t="n"/>
      <c r="M34" s="1452" t="n"/>
      <c r="N34" s="1452" t="n"/>
      <c r="O34" s="1452" t="n"/>
      <c r="P34" s="1451" t="n"/>
      <c r="Q34" s="1452" t="n"/>
      <c r="R34" s="1452" t="n"/>
      <c r="S34" s="1452" t="n"/>
      <c r="T34" s="1452" t="n"/>
      <c r="U34" s="1451" t="n"/>
      <c r="V34" s="1452" t="n"/>
      <c r="W34" s="1452" t="n"/>
      <c r="X34" s="1452" t="n"/>
      <c r="Y34" s="1452" t="n"/>
      <c r="Z34" s="1451" t="n"/>
      <c r="AA34" s="1452" t="n"/>
      <c r="AB34" s="1452" t="n"/>
      <c r="AC34" s="1452" t="n"/>
      <c r="AD34" s="1452" t="n"/>
      <c r="AE34" s="1451" t="n"/>
      <c r="AF34" s="1452" t="n"/>
      <c r="AG34" s="1452" t="n"/>
      <c r="AH34" s="1452" t="n"/>
      <c r="AI34" s="1452" t="n"/>
      <c r="AJ34" s="1451" t="n"/>
      <c r="AK34" s="1452" t="n"/>
      <c r="AL34" s="1452" t="n"/>
      <c r="AM34" s="1452" t="n"/>
      <c r="AN34" s="1452" t="n"/>
      <c r="AO34" s="1451" t="n"/>
      <c r="AP34" s="1452" t="n"/>
      <c r="AQ34" s="1452" t="n"/>
      <c r="AR34" s="1452" t="n"/>
      <c r="AS34" s="1452" t="n"/>
      <c r="AT34" s="1453" t="n">
        <v>16</v>
      </c>
      <c r="AU34" s="1454" t="n"/>
      <c r="AV34" s="1454" t="n"/>
      <c r="AW34" s="1454" t="n"/>
      <c r="AX34" s="1454" t="n"/>
      <c r="AY34" s="1453" t="n">
        <v>16</v>
      </c>
      <c r="AZ34" s="1454" t="n"/>
      <c r="BA34" s="1454" t="n"/>
      <c r="BB34" s="1454" t="n"/>
      <c r="BC34" s="1454" t="n"/>
      <c r="BD34" s="1453" t="n">
        <v>4</v>
      </c>
      <c r="BE34" s="1454" t="n"/>
      <c r="BF34" s="1454" t="n"/>
      <c r="BG34" s="1454" t="n"/>
      <c r="BH34" s="1454" t="n"/>
      <c r="BI34" s="1453" t="n">
        <v>4</v>
      </c>
      <c r="BJ34" s="1452" t="n"/>
      <c r="BK34" s="1452" t="n"/>
      <c r="BL34" s="1452" t="n"/>
      <c r="BM34" s="1452" t="n"/>
      <c r="BN34" s="1451" t="n"/>
      <c r="BO34" s="1452" t="n"/>
      <c r="BP34" s="1452" t="n"/>
      <c r="BQ34" s="1452" t="n"/>
      <c r="BR34" s="1452" t="n"/>
      <c r="BS34" s="1451" t="n"/>
      <c r="BT34" s="1452" t="n"/>
      <c r="BU34" s="1452" t="n"/>
      <c r="BV34" s="1456" t="n"/>
      <c r="BW34" s="1452" t="n"/>
      <c r="BX34" s="1451" t="n"/>
      <c r="BY34" s="1452" t="n"/>
      <c r="BZ34" s="1452" t="n"/>
      <c r="CA34" s="1452" t="n"/>
      <c r="CB34" s="1452" t="n"/>
      <c r="CC34" s="1451" t="n"/>
      <c r="CD34" s="1451" t="n"/>
      <c r="CE34" s="1451" t="n"/>
      <c r="CF34" s="1451" t="n"/>
      <c r="CG34" s="1457" t="n"/>
    </row>
    <row r="35" ht="15" customFormat="1" customHeight="1" s="973">
      <c r="A35" s="705" t="n"/>
      <c r="B35" s="683" t="n"/>
      <c r="C35" s="1241" t="n"/>
      <c r="D35" s="1241" t="n"/>
      <c r="E35" s="1241" t="n"/>
      <c r="F35" s="1241" t="n"/>
      <c r="G35" s="574" t="n"/>
      <c r="H35" s="574" t="n"/>
      <c r="I35" s="574" t="n"/>
      <c r="J35" s="574" t="n"/>
      <c r="K35" s="1241" t="n"/>
      <c r="L35" s="574" t="n"/>
      <c r="M35" s="574" t="n"/>
      <c r="N35" s="574" t="n"/>
      <c r="O35" s="574" t="n"/>
      <c r="P35" s="1241" t="n"/>
      <c r="Q35" s="574" t="n"/>
      <c r="R35" s="574" t="n"/>
      <c r="S35" s="574" t="n"/>
      <c r="T35" s="574" t="n"/>
      <c r="U35" s="1241" t="n"/>
      <c r="V35" s="574" t="n"/>
      <c r="W35" s="574" t="n"/>
      <c r="X35" s="574" t="n"/>
      <c r="Y35" s="574" t="n"/>
      <c r="Z35" s="1241" t="n"/>
      <c r="AA35" s="574" t="n"/>
      <c r="AB35" s="574" t="n"/>
      <c r="AC35" s="574" t="n"/>
      <c r="AD35" s="574" t="n"/>
      <c r="AE35" s="1241" t="n"/>
      <c r="AF35" s="574" t="n"/>
      <c r="AG35" s="574" t="n"/>
      <c r="AH35" s="574" t="n"/>
      <c r="AI35" s="574" t="n"/>
      <c r="AJ35" s="1241" t="n"/>
      <c r="AK35" s="574" t="n"/>
      <c r="AL35" s="574" t="n"/>
      <c r="AM35" s="574" t="n"/>
      <c r="AN35" s="574" t="n"/>
      <c r="AO35" s="1241" t="n"/>
      <c r="AP35" s="574" t="n"/>
      <c r="AQ35" s="574" t="n"/>
      <c r="AR35" s="574" t="n"/>
      <c r="AS35" s="574" t="n"/>
      <c r="AT35" s="1242" t="n"/>
      <c r="AU35" s="678" t="n"/>
      <c r="AV35" s="678" t="n"/>
      <c r="AW35" s="678" t="n"/>
      <c r="AX35" s="678" t="n"/>
      <c r="AY35" s="1242" t="n"/>
      <c r="AZ35" s="678" t="n"/>
      <c r="BA35" s="678" t="n"/>
      <c r="BB35" s="678" t="n"/>
      <c r="BC35" s="678" t="n"/>
      <c r="BD35" s="1242" t="n"/>
      <c r="BE35" s="678" t="n"/>
      <c r="BF35" s="678" t="n"/>
      <c r="BG35" s="678" t="n"/>
      <c r="BH35" s="678" t="n"/>
      <c r="BI35" s="1242" t="n"/>
      <c r="BJ35" s="574" t="n"/>
      <c r="BK35" s="574" t="n"/>
      <c r="BL35" s="574" t="n"/>
      <c r="BM35" s="574" t="n"/>
      <c r="BN35" s="1241" t="n"/>
      <c r="BO35" s="574" t="n"/>
      <c r="BP35" s="574" t="n"/>
      <c r="BQ35" s="574" t="n"/>
      <c r="BR35" s="574" t="n"/>
      <c r="BS35" s="1241" t="n"/>
      <c r="BT35" s="574" t="n"/>
      <c r="BU35" s="574" t="n"/>
      <c r="BV35" s="936" t="n"/>
      <c r="BW35" s="574" t="n"/>
      <c r="BX35" s="1241" t="n"/>
      <c r="BY35" s="574" t="n"/>
      <c r="BZ35" s="574" t="n"/>
      <c r="CA35" s="574" t="n"/>
      <c r="CB35" s="574" t="n"/>
      <c r="CC35" s="1241" t="n"/>
      <c r="CD35" s="1241" t="n"/>
      <c r="CE35" s="1241" t="n"/>
      <c r="CF35" s="1241" t="n"/>
      <c r="CG35" s="829" t="n"/>
    </row>
    <row r="36" ht="15" customFormat="1" customHeight="1" s="974">
      <c r="A36" s="197" t="inlineStr">
        <is>
          <t>CEO - EoP shares owned, 000s</t>
        </is>
      </c>
      <c r="B36" s="677" t="n"/>
      <c r="C36" s="1242" t="n"/>
      <c r="D36" s="1242" t="n"/>
      <c r="E36" s="1242" t="n"/>
      <c r="F36" s="1242" t="n"/>
      <c r="G36" s="678" t="n"/>
      <c r="H36" s="678" t="n"/>
      <c r="I36" s="678" t="n"/>
      <c r="J36" s="678" t="n"/>
      <c r="K36" s="1242" t="n"/>
      <c r="L36" s="678" t="n"/>
      <c r="M36" s="678" t="n"/>
      <c r="N36" s="678" t="n"/>
      <c r="O36" s="678" t="n"/>
      <c r="P36" s="1242" t="n"/>
      <c r="Q36" s="678" t="n"/>
      <c r="R36" s="678" t="n"/>
      <c r="S36" s="678" t="n"/>
      <c r="T36" s="678" t="n"/>
      <c r="U36" s="1242" t="n"/>
      <c r="V36" s="678" t="n"/>
      <c r="W36" s="678" t="n"/>
      <c r="X36" s="678" t="n"/>
      <c r="Y36" s="678" t="n"/>
      <c r="Z36" s="1242" t="n"/>
      <c r="AA36" s="678" t="n"/>
      <c r="AB36" s="678" t="n"/>
      <c r="AC36" s="678" t="n"/>
      <c r="AD36" s="678" t="n"/>
      <c r="AE36" s="1242" t="n"/>
      <c r="AF36" s="678" t="n"/>
      <c r="AG36" s="678" t="n"/>
      <c r="AH36" s="678" t="n"/>
      <c r="AI36" s="678" t="n"/>
      <c r="AJ36" s="1242" t="n"/>
      <c r="AK36" s="678" t="n"/>
      <c r="AL36" s="678" t="n"/>
      <c r="AM36" s="678" t="n"/>
      <c r="AN36" s="678" t="n"/>
      <c r="AO36" s="1242" t="n"/>
      <c r="AP36" s="678" t="n"/>
      <c r="AQ36" s="678" t="n"/>
      <c r="AR36" s="678" t="n"/>
      <c r="AS36" s="678" t="n"/>
      <c r="AT36" s="1268">
        <f>(21462.889*(10))*(4)</f>
        <v/>
      </c>
      <c r="AU36" s="678" t="n"/>
      <c r="AV36" s="678" t="n"/>
      <c r="AW36" s="678" t="n"/>
      <c r="AX36" s="678" t="n"/>
      <c r="AY36" s="1268">
        <f>(21375.455*(10))*(4)</f>
        <v/>
      </c>
      <c r="AZ36" s="678" t="n"/>
      <c r="BA36" s="678" t="n"/>
      <c r="BB36" s="678" t="n"/>
      <c r="BC36" s="678" t="n"/>
      <c r="BD36" s="1268">
        <f>84421.722*(10)</f>
        <v/>
      </c>
      <c r="BE36" s="678" t="n"/>
      <c r="BF36" s="678" t="n"/>
      <c r="BG36" s="678" t="n"/>
      <c r="BH36" s="678" t="n"/>
      <c r="BI36" s="1268">
        <f>86403.193*(10)</f>
        <v/>
      </c>
      <c r="BJ36" s="678" t="n"/>
      <c r="BK36" s="678" t="n"/>
      <c r="BL36" s="678" t="n"/>
      <c r="BM36" s="678" t="n"/>
      <c r="BN36" s="1268">
        <f>93463.791*(10)</f>
        <v/>
      </c>
      <c r="BO36" s="678" t="n"/>
      <c r="BP36" s="678" t="n"/>
      <c r="BQ36" s="678" t="n"/>
      <c r="BR36" s="678" t="n"/>
      <c r="BS36" s="1242" t="n"/>
      <c r="BT36" s="678" t="n"/>
      <c r="BU36" s="678" t="n"/>
      <c r="BV36" s="935" t="n"/>
      <c r="BW36" s="678" t="n"/>
      <c r="BX36" s="1242" t="n"/>
      <c r="BY36" s="678" t="n"/>
      <c r="BZ36" s="678" t="n"/>
      <c r="CA36" s="678" t="n"/>
      <c r="CB36" s="678" t="n"/>
      <c r="CC36" s="1242" t="n"/>
      <c r="CD36" s="1242" t="n"/>
      <c r="CE36" s="1242" t="n"/>
      <c r="CF36" s="1242" t="n"/>
      <c r="CG36" s="827" t="n"/>
    </row>
    <row r="37" ht="15" customFormat="1" customHeight="1" s="973">
      <c r="A37" s="832" t="inlineStr">
        <is>
          <t>CEO - EoP Shares Issuable Within 60 days, 000s</t>
        </is>
      </c>
      <c r="B37" s="846" t="n"/>
      <c r="C37" s="1272" t="n"/>
      <c r="D37" s="1272" t="n"/>
      <c r="E37" s="1272" t="n"/>
      <c r="F37" s="1272" t="n"/>
      <c r="G37" s="847" t="n"/>
      <c r="H37" s="847" t="n"/>
      <c r="I37" s="847" t="n"/>
      <c r="J37" s="847" t="n"/>
      <c r="K37" s="1272" t="n"/>
      <c r="L37" s="847" t="n"/>
      <c r="M37" s="847" t="n"/>
      <c r="N37" s="847" t="n"/>
      <c r="O37" s="847" t="n"/>
      <c r="P37" s="1272" t="n"/>
      <c r="Q37" s="847" t="n"/>
      <c r="R37" s="847" t="n"/>
      <c r="S37" s="847" t="n"/>
      <c r="T37" s="847" t="n"/>
      <c r="U37" s="1272" t="n"/>
      <c r="V37" s="847" t="n"/>
      <c r="W37" s="847" t="n"/>
      <c r="X37" s="847" t="n"/>
      <c r="Y37" s="847" t="n"/>
      <c r="Z37" s="1272" t="n"/>
      <c r="AA37" s="847" t="n"/>
      <c r="AB37" s="847" t="n"/>
      <c r="AC37" s="847" t="n"/>
      <c r="AD37" s="847" t="n"/>
      <c r="AE37" s="1272" t="n"/>
      <c r="AF37" s="847" t="n"/>
      <c r="AG37" s="847" t="n"/>
      <c r="AH37" s="847" t="n"/>
      <c r="AI37" s="847" t="n"/>
      <c r="AJ37" s="1272" t="n"/>
      <c r="AK37" s="847" t="n"/>
      <c r="AL37" s="847" t="n"/>
      <c r="AM37" s="847" t="n"/>
      <c r="AN37" s="847" t="n"/>
      <c r="AO37" s="1272" t="n"/>
      <c r="AP37" s="847" t="n"/>
      <c r="AQ37" s="847" t="n"/>
      <c r="AR37" s="847" t="n"/>
      <c r="AS37" s="847" t="n"/>
      <c r="AT37" s="1268">
        <f>(1825*(10))*(4)</f>
        <v/>
      </c>
      <c r="AU37" s="678" t="n"/>
      <c r="AV37" s="678" t="n"/>
      <c r="AW37" s="678" t="n"/>
      <c r="AX37" s="678" t="n"/>
      <c r="AY37" s="1268">
        <f>(1325*(10))*(4)</f>
        <v/>
      </c>
      <c r="AZ37" s="678" t="n"/>
      <c r="BA37" s="678" t="n"/>
      <c r="BB37" s="678" t="n"/>
      <c r="BC37" s="678" t="n"/>
      <c r="BD37" s="1268">
        <f>3100*(10)</f>
        <v/>
      </c>
      <c r="BE37" s="678" t="n"/>
      <c r="BF37" s="678" t="n"/>
      <c r="BG37" s="678" t="n"/>
      <c r="BH37" s="678" t="n"/>
      <c r="BI37" s="1268">
        <f>475*(10)</f>
        <v/>
      </c>
      <c r="BJ37" s="847" t="n"/>
      <c r="BK37" s="847" t="n"/>
      <c r="BL37" s="847" t="n"/>
      <c r="BM37" s="847" t="n"/>
      <c r="BN37" s="1272" t="n"/>
      <c r="BO37" s="847" t="n"/>
      <c r="BP37" s="847" t="n"/>
      <c r="BQ37" s="847" t="n"/>
      <c r="BR37" s="847" t="n"/>
      <c r="BS37" s="1272" t="n"/>
      <c r="BT37" s="847" t="n"/>
      <c r="BU37" s="847" t="n"/>
      <c r="BV37" s="938" t="n"/>
      <c r="BW37" s="847" t="n"/>
      <c r="BX37" s="1272" t="n"/>
      <c r="BY37" s="847" t="n"/>
      <c r="BZ37" s="847" t="n"/>
      <c r="CA37" s="847" t="n"/>
      <c r="CB37" s="847" t="n"/>
      <c r="CC37" s="1272" t="n"/>
      <c r="CD37" s="1272" t="n"/>
      <c r="CE37" s="1272" t="n"/>
      <c r="CF37" s="1272" t="n"/>
      <c r="CG37" s="829" t="n"/>
    </row>
    <row r="38" ht="15" customFormat="1" customHeight="1" s="973">
      <c r="A38" s="196" t="inlineStr">
        <is>
          <t>CEO - EoP shares beneficially owned, 000s</t>
        </is>
      </c>
      <c r="B38" s="683" t="n"/>
      <c r="C38" s="1241" t="n"/>
      <c r="D38" s="1241" t="n"/>
      <c r="E38" s="1241" t="n"/>
      <c r="F38" s="1241" t="n"/>
      <c r="G38" s="574" t="n"/>
      <c r="H38" s="574" t="n"/>
      <c r="I38" s="574" t="n"/>
      <c r="J38" s="574" t="n"/>
      <c r="K38" s="1241" t="n"/>
      <c r="L38" s="574" t="n"/>
      <c r="M38" s="574" t="n"/>
      <c r="N38" s="574" t="n"/>
      <c r="O38" s="574" t="n"/>
      <c r="P38" s="1241" t="n"/>
      <c r="Q38" s="574" t="n"/>
      <c r="R38" s="574" t="n"/>
      <c r="S38" s="574" t="n"/>
      <c r="T38" s="574" t="n"/>
      <c r="U38" s="1241" t="n"/>
      <c r="V38" s="574" t="n"/>
      <c r="W38" s="574" t="n"/>
      <c r="X38" s="574" t="n"/>
      <c r="Y38" s="574" t="n"/>
      <c r="Z38" s="1241" t="n"/>
      <c r="AA38" s="574" t="n"/>
      <c r="AB38" s="574" t="n"/>
      <c r="AC38" s="574" t="n"/>
      <c r="AD38" s="574" t="n"/>
      <c r="AE38" s="1241" t="n"/>
      <c r="AF38" s="574" t="n"/>
      <c r="AG38" s="574" t="n"/>
      <c r="AH38" s="574" t="n"/>
      <c r="AI38" s="574" t="n"/>
      <c r="AJ38" s="1241" t="n"/>
      <c r="AK38" s="574" t="n"/>
      <c r="AL38" s="574" t="n"/>
      <c r="AM38" s="574" t="n"/>
      <c r="AN38" s="574" t="n"/>
      <c r="AO38" s="1241" t="n"/>
      <c r="AP38" s="574" t="n"/>
      <c r="AQ38" s="574" t="n"/>
      <c r="AR38" s="574" t="n"/>
      <c r="AS38" s="574" t="n"/>
      <c r="AT38" s="1273">
        <f>SUM(AT36:AT37)</f>
        <v/>
      </c>
      <c r="AU38" s="854" t="n"/>
      <c r="AV38" s="854" t="n"/>
      <c r="AW38" s="854" t="n"/>
      <c r="AX38" s="854" t="n"/>
      <c r="AY38" s="1273">
        <f>SUM(AY36:AY37)</f>
        <v/>
      </c>
      <c r="AZ38" s="854" t="n"/>
      <c r="BA38" s="854" t="n"/>
      <c r="BB38" s="854" t="n"/>
      <c r="BC38" s="854" t="n"/>
      <c r="BD38" s="1273">
        <f>SUM(BD36:BD37)</f>
        <v/>
      </c>
      <c r="BE38" s="854" t="n"/>
      <c r="BF38" s="854" t="n"/>
      <c r="BG38" s="854" t="n"/>
      <c r="BH38" s="854" t="n"/>
      <c r="BI38" s="1273">
        <f>SUM(BI36:BI37)</f>
        <v/>
      </c>
      <c r="BJ38" s="574" t="n"/>
      <c r="BK38" s="574" t="n"/>
      <c r="BL38" s="574" t="n"/>
      <c r="BM38" s="574" t="n"/>
      <c r="BN38" s="1241">
        <f>SUM(BN36:BN37)</f>
        <v/>
      </c>
      <c r="BO38" s="574" t="n"/>
      <c r="BP38" s="574" t="n"/>
      <c r="BQ38" s="574" t="n"/>
      <c r="BR38" s="574" t="n"/>
      <c r="BS38" s="1241" t="n"/>
      <c r="BT38" s="574" t="n"/>
      <c r="BU38" s="574" t="n"/>
      <c r="BV38" s="936" t="n"/>
      <c r="BW38" s="574" t="n"/>
      <c r="BX38" s="1241" t="n"/>
      <c r="BY38" s="574" t="n"/>
      <c r="BZ38" s="574" t="n"/>
      <c r="CA38" s="574" t="n"/>
      <c r="CB38" s="574" t="n"/>
      <c r="CC38" s="1241" t="n"/>
      <c r="CD38" s="1241" t="n"/>
      <c r="CE38" s="1241" t="n"/>
      <c r="CF38" s="1241" t="n"/>
      <c r="CG38" s="829" t="n"/>
    </row>
    <row r="39" ht="15" customFormat="1" customHeight="1" s="973">
      <c r="A39" s="682" t="n"/>
      <c r="B39" s="683" t="n"/>
      <c r="C39" s="1241" t="n"/>
      <c r="D39" s="1241" t="n"/>
      <c r="E39" s="1241" t="n"/>
      <c r="F39" s="1241" t="n"/>
      <c r="G39" s="574" t="n"/>
      <c r="H39" s="574" t="n"/>
      <c r="I39" s="574" t="n"/>
      <c r="J39" s="574" t="n"/>
      <c r="K39" s="1241" t="n"/>
      <c r="L39" s="574" t="n"/>
      <c r="M39" s="574" t="n"/>
      <c r="N39" s="574" t="n"/>
      <c r="O39" s="574" t="n"/>
      <c r="P39" s="1241" t="n"/>
      <c r="Q39" s="574" t="n"/>
      <c r="R39" s="574" t="n"/>
      <c r="S39" s="574" t="n"/>
      <c r="T39" s="574" t="n"/>
      <c r="U39" s="1241" t="n"/>
      <c r="V39" s="574" t="n"/>
      <c r="W39" s="574" t="n"/>
      <c r="X39" s="574" t="n"/>
      <c r="Y39" s="574" t="n"/>
      <c r="Z39" s="1241" t="n"/>
      <c r="AA39" s="574" t="n"/>
      <c r="AB39" s="574" t="n"/>
      <c r="AC39" s="574" t="n"/>
      <c r="AD39" s="574" t="n"/>
      <c r="AE39" s="1241" t="n"/>
      <c r="AF39" s="574" t="n"/>
      <c r="AG39" s="574" t="n"/>
      <c r="AH39" s="574" t="n"/>
      <c r="AI39" s="574" t="n"/>
      <c r="AJ39" s="1241" t="n"/>
      <c r="AK39" s="574" t="n"/>
      <c r="AL39" s="574" t="n"/>
      <c r="AM39" s="574" t="n"/>
      <c r="AN39" s="574" t="n"/>
      <c r="AO39" s="1241" t="n"/>
      <c r="AP39" s="574" t="n"/>
      <c r="AQ39" s="574" t="n"/>
      <c r="AR39" s="574" t="n"/>
      <c r="AS39" s="574" t="n"/>
      <c r="AT39" s="1241" t="n"/>
      <c r="AU39" s="574" t="n"/>
      <c r="AV39" s="574" t="n"/>
      <c r="AW39" s="574" t="n"/>
      <c r="AX39" s="574" t="n"/>
      <c r="AY39" s="1241" t="n"/>
      <c r="AZ39" s="574" t="n"/>
      <c r="BA39" s="574" t="n"/>
      <c r="BB39" s="574" t="n"/>
      <c r="BC39" s="574" t="n"/>
      <c r="BD39" s="1241" t="n"/>
      <c r="BE39" s="574" t="n"/>
      <c r="BF39" s="574" t="n"/>
      <c r="BG39" s="574" t="n"/>
      <c r="BH39" s="574" t="n"/>
      <c r="BI39" s="1241" t="n"/>
      <c r="BJ39" s="574" t="n"/>
      <c r="BK39" s="574" t="n"/>
      <c r="BL39" s="574" t="n"/>
      <c r="BM39" s="574" t="n"/>
      <c r="BN39" s="1241" t="n"/>
      <c r="BO39" s="574" t="n"/>
      <c r="BP39" s="574" t="n"/>
      <c r="BQ39" s="574" t="n"/>
      <c r="BR39" s="574" t="n"/>
      <c r="BS39" s="1241" t="n"/>
      <c r="BT39" s="574" t="n"/>
      <c r="BU39" s="574" t="n"/>
      <c r="BV39" s="936" t="n"/>
      <c r="BW39" s="574" t="n"/>
      <c r="BX39" s="1241" t="n"/>
      <c r="BY39" s="574" t="n"/>
      <c r="BZ39" s="574" t="n"/>
      <c r="CA39" s="574" t="n"/>
      <c r="CB39" s="574" t="n"/>
      <c r="CC39" s="1241" t="n"/>
      <c r="CD39" s="1241" t="n"/>
      <c r="CE39" s="1241" t="n"/>
      <c r="CF39" s="1241" t="n"/>
      <c r="CG39" s="829" t="n"/>
    </row>
    <row r="40" ht="15" customFormat="1" customHeight="1" s="974">
      <c r="A40" s="197" t="inlineStr">
        <is>
          <t>CFO - Base Pay, 000s</t>
        </is>
      </c>
      <c r="B40" s="677" t="n"/>
      <c r="C40" s="1242" t="n"/>
      <c r="D40" s="1242" t="n"/>
      <c r="E40" s="1242" t="n"/>
      <c r="F40" s="1242" t="n"/>
      <c r="G40" s="678" t="n"/>
      <c r="H40" s="678" t="n"/>
      <c r="I40" s="678" t="n"/>
      <c r="J40" s="678" t="n"/>
      <c r="K40" s="1242" t="n"/>
      <c r="L40" s="678" t="n"/>
      <c r="M40" s="678" t="n"/>
      <c r="N40" s="678" t="n"/>
      <c r="O40" s="678" t="n"/>
      <c r="P40" s="1242" t="n"/>
      <c r="Q40" s="678" t="n"/>
      <c r="R40" s="678" t="n"/>
      <c r="S40" s="678" t="n"/>
      <c r="T40" s="678" t="n"/>
      <c r="U40" s="1242" t="n"/>
      <c r="V40" s="678" t="n"/>
      <c r="W40" s="678" t="n"/>
      <c r="X40" s="678" t="n"/>
      <c r="Y40" s="678" t="n"/>
      <c r="Z40" s="1242" t="n"/>
      <c r="AA40" s="678" t="n"/>
      <c r="AB40" s="678" t="n"/>
      <c r="AC40" s="678" t="n"/>
      <c r="AD40" s="678" t="n"/>
      <c r="AE40" s="1242" t="n"/>
      <c r="AF40" s="678" t="n"/>
      <c r="AG40" s="678" t="n"/>
      <c r="AH40" s="678" t="n"/>
      <c r="AI40" s="678" t="n"/>
      <c r="AJ40" s="1242" t="n"/>
      <c r="AK40" s="678" t="n"/>
      <c r="AL40" s="678" t="n"/>
      <c r="AM40" s="678" t="n"/>
      <c r="AN40" s="678" t="n"/>
      <c r="AO40" s="1242" t="n"/>
      <c r="AP40" s="678" t="n"/>
      <c r="AQ40" s="678" t="n"/>
      <c r="AR40" s="678" t="n"/>
      <c r="AS40" s="678" t="n"/>
      <c r="AT40" s="1268" t="n">
        <v>896.8630000000001</v>
      </c>
      <c r="AU40" s="678" t="n"/>
      <c r="AV40" s="678" t="n"/>
      <c r="AW40" s="678" t="n"/>
      <c r="AX40" s="678" t="n"/>
      <c r="AY40" s="1268" t="n">
        <v>915.62</v>
      </c>
      <c r="AZ40" s="678" t="n"/>
      <c r="BA40" s="678" t="n"/>
      <c r="BB40" s="678" t="n"/>
      <c r="BC40" s="678" t="n"/>
      <c r="BD40" s="1268" t="n">
        <v>896.595</v>
      </c>
      <c r="BE40" s="678" t="n"/>
      <c r="BF40" s="678" t="n"/>
      <c r="BG40" s="678" t="n"/>
      <c r="BH40" s="678" t="n"/>
      <c r="BI40" s="1268" t="n">
        <v>897.149</v>
      </c>
      <c r="BJ40" s="678" t="n"/>
      <c r="BK40" s="678" t="n"/>
      <c r="BL40" s="678" t="n"/>
      <c r="BM40" s="678" t="n"/>
      <c r="BN40" s="1268" t="n">
        <v>896.8630000000001</v>
      </c>
      <c r="BO40" s="678" t="n"/>
      <c r="BP40" s="678" t="n"/>
      <c r="BQ40" s="678" t="n"/>
      <c r="BR40" s="678" t="n"/>
      <c r="BS40" s="1242" t="n"/>
      <c r="BT40" s="678" t="n"/>
      <c r="BU40" s="678" t="n"/>
      <c r="BV40" s="935" t="n"/>
      <c r="BW40" s="678" t="n"/>
      <c r="BX40" s="1242" t="n"/>
      <c r="BY40" s="678" t="n"/>
      <c r="BZ40" s="678" t="n"/>
      <c r="CA40" s="678" t="n"/>
      <c r="CB40" s="678" t="n"/>
      <c r="CC40" s="1242" t="n"/>
      <c r="CD40" s="1242" t="n"/>
      <c r="CE40" s="1242" t="n"/>
      <c r="CF40" s="1242" t="n"/>
      <c r="CG40" s="827" t="n"/>
    </row>
    <row r="41" ht="15" customFormat="1" customHeight="1" s="974">
      <c r="A41" s="197" t="inlineStr">
        <is>
          <t>CFO - Stock Awards, 000s</t>
        </is>
      </c>
      <c r="B41" s="677" t="n"/>
      <c r="C41" s="1242" t="n"/>
      <c r="D41" s="1242" t="n"/>
      <c r="E41" s="1242" t="n"/>
      <c r="F41" s="1242" t="n"/>
      <c r="G41" s="678" t="n"/>
      <c r="H41" s="678" t="n"/>
      <c r="I41" s="678" t="n"/>
      <c r="J41" s="678" t="n"/>
      <c r="K41" s="1242" t="n"/>
      <c r="L41" s="678" t="n"/>
      <c r="M41" s="678" t="n"/>
      <c r="N41" s="678" t="n"/>
      <c r="O41" s="678" t="n"/>
      <c r="P41" s="1242" t="n"/>
      <c r="Q41" s="678" t="n"/>
      <c r="R41" s="678" t="n"/>
      <c r="S41" s="678" t="n"/>
      <c r="T41" s="678" t="n"/>
      <c r="U41" s="1242" t="n"/>
      <c r="V41" s="678" t="n"/>
      <c r="W41" s="678" t="n"/>
      <c r="X41" s="678" t="n"/>
      <c r="Y41" s="678" t="n"/>
      <c r="Z41" s="1242" t="n"/>
      <c r="AA41" s="678" t="n"/>
      <c r="AB41" s="678" t="n"/>
      <c r="AC41" s="678" t="n"/>
      <c r="AD41" s="678" t="n"/>
      <c r="AE41" s="1242" t="n"/>
      <c r="AF41" s="678" t="n"/>
      <c r="AG41" s="678" t="n"/>
      <c r="AH41" s="678" t="n"/>
      <c r="AI41" s="678" t="n"/>
      <c r="AJ41" s="1242" t="n"/>
      <c r="AK41" s="678" t="n"/>
      <c r="AL41" s="678" t="n"/>
      <c r="AM41" s="678" t="n"/>
      <c r="AN41" s="678" t="n"/>
      <c r="AO41" s="1242" t="n"/>
      <c r="AP41" s="678" t="n"/>
      <c r="AQ41" s="678" t="n"/>
      <c r="AR41" s="678" t="n"/>
      <c r="AS41" s="678" t="n"/>
      <c r="AT41" s="1268" t="n">
        <v>3307.188</v>
      </c>
      <c r="AU41" s="678" t="n"/>
      <c r="AV41" s="678" t="n"/>
      <c r="AW41" s="678" t="n"/>
      <c r="AX41" s="678" t="n"/>
      <c r="AY41" s="1268" t="n">
        <v>6595.691</v>
      </c>
      <c r="AZ41" s="678" t="n"/>
      <c r="BA41" s="678" t="n"/>
      <c r="BB41" s="678" t="n"/>
      <c r="BC41" s="678" t="n"/>
      <c r="BD41" s="1268" t="n">
        <v>8269.02</v>
      </c>
      <c r="BE41" s="678" t="n"/>
      <c r="BF41" s="678" t="n"/>
      <c r="BG41" s="678" t="n"/>
      <c r="BH41" s="678" t="n"/>
      <c r="BI41" s="1268" t="n">
        <v>10004.677</v>
      </c>
      <c r="BJ41" s="678" t="n"/>
      <c r="BK41" s="678" t="n"/>
      <c r="BL41" s="678" t="n"/>
      <c r="BM41" s="678" t="n"/>
      <c r="BN41" s="1268" t="n">
        <v>11756.027</v>
      </c>
      <c r="BO41" s="678" t="n"/>
      <c r="BP41" s="678" t="n"/>
      <c r="BQ41" s="678" t="n"/>
      <c r="BR41" s="678" t="n"/>
      <c r="BS41" s="1242" t="n"/>
      <c r="BT41" s="678" t="n"/>
      <c r="BU41" s="678" t="n"/>
      <c r="BV41" s="935" t="n"/>
      <c r="BW41" s="678" t="n"/>
      <c r="BX41" s="1242" t="n"/>
      <c r="BY41" s="678" t="n"/>
      <c r="BZ41" s="678" t="n"/>
      <c r="CA41" s="678" t="n"/>
      <c r="CB41" s="678" t="n"/>
      <c r="CC41" s="1242" t="n"/>
      <c r="CD41" s="1242" t="n"/>
      <c r="CE41" s="1242" t="n"/>
      <c r="CF41" s="1242" t="n"/>
      <c r="CG41" s="827" t="n"/>
    </row>
    <row r="42" ht="15" customFormat="1" customHeight="1" s="974">
      <c r="A42" s="197" t="inlineStr">
        <is>
          <t>CFO - Non-equity incentive plans, 000s</t>
        </is>
      </c>
      <c r="B42" s="677" t="n"/>
      <c r="C42" s="1242" t="n"/>
      <c r="D42" s="1242" t="n"/>
      <c r="E42" s="1242" t="n"/>
      <c r="F42" s="1242" t="n"/>
      <c r="G42" s="678" t="n"/>
      <c r="H42" s="678" t="n"/>
      <c r="I42" s="678" t="n"/>
      <c r="J42" s="678" t="n"/>
      <c r="K42" s="1242" t="n"/>
      <c r="L42" s="678" t="n"/>
      <c r="M42" s="678" t="n"/>
      <c r="N42" s="678" t="n"/>
      <c r="O42" s="678" t="n"/>
      <c r="P42" s="1242" t="n"/>
      <c r="Q42" s="678" t="n"/>
      <c r="R42" s="678" t="n"/>
      <c r="S42" s="678" t="n"/>
      <c r="T42" s="678" t="n"/>
      <c r="U42" s="1242" t="n"/>
      <c r="V42" s="678" t="n"/>
      <c r="W42" s="678" t="n"/>
      <c r="X42" s="678" t="n"/>
      <c r="Y42" s="678" t="n"/>
      <c r="Z42" s="1242" t="n"/>
      <c r="AA42" s="678" t="n"/>
      <c r="AB42" s="678" t="n"/>
      <c r="AC42" s="678" t="n"/>
      <c r="AD42" s="678" t="n"/>
      <c r="AE42" s="1242" t="n"/>
      <c r="AF42" s="678" t="n"/>
      <c r="AG42" s="678" t="n"/>
      <c r="AH42" s="678" t="n"/>
      <c r="AI42" s="678" t="n"/>
      <c r="AJ42" s="1242" t="n"/>
      <c r="AK42" s="678" t="n"/>
      <c r="AL42" s="678" t="n"/>
      <c r="AM42" s="678" t="n"/>
      <c r="AN42" s="678" t="n"/>
      <c r="AO42" s="1242" t="n"/>
      <c r="AP42" s="678" t="n"/>
      <c r="AQ42" s="678" t="n"/>
      <c r="AR42" s="678" t="n"/>
      <c r="AS42" s="678" t="n"/>
      <c r="AT42" s="1268" t="n">
        <v>219.667</v>
      </c>
      <c r="AU42" s="678" t="n"/>
      <c r="AV42" s="678" t="n"/>
      <c r="AW42" s="678" t="n"/>
      <c r="AX42" s="678" t="n"/>
      <c r="AY42" s="1268" t="n">
        <v>600</v>
      </c>
      <c r="AZ42" s="678" t="n"/>
      <c r="BA42" s="678" t="n"/>
      <c r="BB42" s="678" t="n"/>
      <c r="BC42" s="678" t="n"/>
      <c r="BD42" s="1268" t="n">
        <v>600</v>
      </c>
      <c r="BE42" s="678" t="n"/>
      <c r="BF42" s="678" t="n"/>
      <c r="BG42" s="678" t="n"/>
      <c r="BH42" s="678" t="n"/>
      <c r="BI42" s="1268" t="n">
        <v>0</v>
      </c>
      <c r="BJ42" s="678" t="n"/>
      <c r="BK42" s="678" t="n"/>
      <c r="BL42" s="678" t="n"/>
      <c r="BM42" s="678" t="n"/>
      <c r="BN42" s="1268" t="n">
        <v>600</v>
      </c>
      <c r="BO42" s="678" t="n"/>
      <c r="BP42" s="678" t="n"/>
      <c r="BQ42" s="678" t="n"/>
      <c r="BR42" s="678" t="n"/>
      <c r="BS42" s="1242" t="n"/>
      <c r="BT42" s="678" t="n"/>
      <c r="BU42" s="678" t="n"/>
      <c r="BV42" s="935" t="n"/>
      <c r="BW42" s="678" t="n"/>
      <c r="BX42" s="1242" t="n"/>
      <c r="BY42" s="678" t="n"/>
      <c r="BZ42" s="678" t="n"/>
      <c r="CA42" s="678" t="n"/>
      <c r="CB42" s="678" t="n"/>
      <c r="CC42" s="1242" t="n"/>
      <c r="CD42" s="1242" t="n"/>
      <c r="CE42" s="1242" t="n"/>
      <c r="CF42" s="1242" t="n"/>
      <c r="CG42" s="827" t="n"/>
    </row>
    <row r="43" ht="15" customFormat="1" customHeight="1" s="974">
      <c r="A43" s="832" t="inlineStr">
        <is>
          <t>CFO - All other compensation, 000s</t>
        </is>
      </c>
      <c r="B43" s="863" t="n"/>
      <c r="C43" s="1248" t="n"/>
      <c r="D43" s="1248" t="n"/>
      <c r="E43" s="1248" t="n"/>
      <c r="F43" s="1248" t="n"/>
      <c r="G43" s="681" t="n"/>
      <c r="H43" s="681" t="n"/>
      <c r="I43" s="681" t="n"/>
      <c r="J43" s="681" t="n"/>
      <c r="K43" s="1248" t="n"/>
      <c r="L43" s="681" t="n"/>
      <c r="M43" s="681" t="n"/>
      <c r="N43" s="681" t="n"/>
      <c r="O43" s="681" t="n"/>
      <c r="P43" s="1248" t="n"/>
      <c r="Q43" s="681" t="n"/>
      <c r="R43" s="681" t="n"/>
      <c r="S43" s="681" t="n"/>
      <c r="T43" s="681" t="n"/>
      <c r="U43" s="1248" t="n"/>
      <c r="V43" s="681" t="n"/>
      <c r="W43" s="681" t="n"/>
      <c r="X43" s="681" t="n"/>
      <c r="Y43" s="681" t="n"/>
      <c r="Z43" s="1248" t="n"/>
      <c r="AA43" s="681" t="n"/>
      <c r="AB43" s="681" t="n"/>
      <c r="AC43" s="681" t="n"/>
      <c r="AD43" s="681" t="n"/>
      <c r="AE43" s="1248" t="n"/>
      <c r="AF43" s="681" t="n"/>
      <c r="AG43" s="681" t="n"/>
      <c r="AH43" s="681" t="n"/>
      <c r="AI43" s="681" t="n"/>
      <c r="AJ43" s="1248" t="n"/>
      <c r="AK43" s="681" t="n"/>
      <c r="AL43" s="681" t="n"/>
      <c r="AM43" s="681" t="n"/>
      <c r="AN43" s="681" t="n"/>
      <c r="AO43" s="1248" t="n"/>
      <c r="AP43" s="681" t="n"/>
      <c r="AQ43" s="681" t="n"/>
      <c r="AR43" s="681" t="n"/>
      <c r="AS43" s="681" t="n"/>
      <c r="AT43" s="1274" t="n">
        <v>9.122</v>
      </c>
      <c r="AU43" s="681" t="n"/>
      <c r="AV43" s="681" t="n"/>
      <c r="AW43" s="681" t="n"/>
      <c r="AX43" s="681" t="n"/>
      <c r="AY43" s="1274" t="n">
        <v>9.731</v>
      </c>
      <c r="AZ43" s="681" t="n"/>
      <c r="BA43" s="681" t="n"/>
      <c r="BB43" s="681" t="n"/>
      <c r="BC43" s="681" t="n"/>
      <c r="BD43" s="1274" t="n">
        <v>10.312</v>
      </c>
      <c r="BE43" s="681" t="n"/>
      <c r="BF43" s="681" t="n"/>
      <c r="BG43" s="681" t="n"/>
      <c r="BH43" s="681" t="n"/>
      <c r="BI43" s="1268" t="n">
        <v>15.402</v>
      </c>
      <c r="BJ43" s="681" t="n"/>
      <c r="BK43" s="681" t="n"/>
      <c r="BL43" s="681" t="n"/>
      <c r="BM43" s="681" t="n"/>
      <c r="BN43" s="1274" t="n">
        <v>13.902</v>
      </c>
      <c r="BO43" s="681" t="n"/>
      <c r="BP43" s="681" t="n"/>
      <c r="BQ43" s="681" t="n"/>
      <c r="BR43" s="681" t="n"/>
      <c r="BS43" s="1248" t="n"/>
      <c r="BT43" s="681" t="n"/>
      <c r="BU43" s="681" t="n"/>
      <c r="BV43" s="939" t="n"/>
      <c r="BW43" s="681" t="n"/>
      <c r="BX43" s="1248" t="n"/>
      <c r="BY43" s="681" t="n"/>
      <c r="BZ43" s="681" t="n"/>
      <c r="CA43" s="681" t="n"/>
      <c r="CB43" s="681" t="n"/>
      <c r="CC43" s="1248" t="n"/>
      <c r="CD43" s="1248" t="n"/>
      <c r="CE43" s="1248" t="n"/>
      <c r="CF43" s="1248" t="n"/>
      <c r="CG43" s="827" t="n"/>
    </row>
    <row r="44" ht="15" customFormat="1" customHeight="1" s="973">
      <c r="A44" s="196" t="inlineStr">
        <is>
          <t>CFO - Total Comp, 000s</t>
        </is>
      </c>
      <c r="B44" s="683" t="n"/>
      <c r="C44" s="1241" t="n"/>
      <c r="D44" s="1241" t="n"/>
      <c r="E44" s="1241" t="n"/>
      <c r="F44" s="1241" t="n"/>
      <c r="G44" s="574" t="n"/>
      <c r="H44" s="574" t="n"/>
      <c r="I44" s="574" t="n"/>
      <c r="J44" s="574" t="n"/>
      <c r="K44" s="1241" t="n"/>
      <c r="L44" s="574" t="n"/>
      <c r="M44" s="574" t="n"/>
      <c r="N44" s="574" t="n"/>
      <c r="O44" s="574" t="n"/>
      <c r="P44" s="1241" t="n"/>
      <c r="Q44" s="574" t="n"/>
      <c r="R44" s="574" t="n"/>
      <c r="S44" s="574" t="n"/>
      <c r="T44" s="574" t="n"/>
      <c r="U44" s="1241" t="n"/>
      <c r="V44" s="574" t="n"/>
      <c r="W44" s="574" t="n"/>
      <c r="X44" s="574" t="n"/>
      <c r="Y44" s="574" t="n"/>
      <c r="Z44" s="1241" t="n"/>
      <c r="AA44" s="574" t="n"/>
      <c r="AB44" s="574" t="n"/>
      <c r="AC44" s="574" t="n"/>
      <c r="AD44" s="574" t="n"/>
      <c r="AE44" s="1241" t="n"/>
      <c r="AF44" s="574" t="n"/>
      <c r="AG44" s="574" t="n"/>
      <c r="AH44" s="574" t="n"/>
      <c r="AI44" s="574" t="n"/>
      <c r="AJ44" s="1241" t="n"/>
      <c r="AK44" s="574" t="n"/>
      <c r="AL44" s="574" t="n"/>
      <c r="AM44" s="574" t="n"/>
      <c r="AN44" s="574" t="n"/>
      <c r="AO44" s="1241" t="n"/>
      <c r="AP44" s="574" t="n"/>
      <c r="AQ44" s="574" t="n"/>
      <c r="AR44" s="574" t="n"/>
      <c r="AS44" s="574" t="n"/>
      <c r="AT44" s="1241">
        <f>SUM(AT40:AT43)</f>
        <v/>
      </c>
      <c r="AU44" s="574" t="n"/>
      <c r="AV44" s="574" t="n"/>
      <c r="AW44" s="574" t="n"/>
      <c r="AX44" s="574" t="n"/>
      <c r="AY44" s="1241">
        <f>SUM(AY40:AY43)</f>
        <v/>
      </c>
      <c r="AZ44" s="574" t="n"/>
      <c r="BA44" s="574" t="n"/>
      <c r="BB44" s="574" t="n"/>
      <c r="BC44" s="574" t="n"/>
      <c r="BD44" s="1241">
        <f>SUM(BD40:BD43)</f>
        <v/>
      </c>
      <c r="BE44" s="574" t="n"/>
      <c r="BF44" s="574" t="n"/>
      <c r="BG44" s="574" t="n"/>
      <c r="BH44" s="574" t="n"/>
      <c r="BI44" s="1273">
        <f>SUM(BI40:BI43)</f>
        <v/>
      </c>
      <c r="BJ44" s="574" t="n"/>
      <c r="BK44" s="574" t="n"/>
      <c r="BL44" s="574" t="n"/>
      <c r="BM44" s="574" t="n"/>
      <c r="BN44" s="1241">
        <f>SUM(BN40:BN43)</f>
        <v/>
      </c>
      <c r="BO44" s="574" t="n"/>
      <c r="BP44" s="574" t="n"/>
      <c r="BQ44" s="574" t="n"/>
      <c r="BR44" s="574" t="n"/>
      <c r="BS44" s="1241" t="n"/>
      <c r="BT44" s="574" t="n"/>
      <c r="BU44" s="574" t="n"/>
      <c r="BV44" s="936" t="n"/>
      <c r="BW44" s="574" t="n"/>
      <c r="BX44" s="1241" t="n"/>
      <c r="BY44" s="574" t="n"/>
      <c r="BZ44" s="574" t="n"/>
      <c r="CA44" s="574" t="n"/>
      <c r="CB44" s="574" t="n"/>
      <c r="CC44" s="1241" t="n"/>
      <c r="CD44" s="1241" t="n"/>
      <c r="CE44" s="1241" t="n"/>
      <c r="CF44" s="1241" t="n"/>
      <c r="CG44" s="829" t="n"/>
    </row>
    <row r="45" ht="15" customFormat="1" customHeight="1" s="966">
      <c r="A45" s="201" t="inlineStr">
        <is>
          <t>CFO - comp tied to equity, %</t>
        </is>
      </c>
      <c r="B45" s="203" t="n"/>
      <c r="C45" s="185" t="n"/>
      <c r="D45" s="185" t="n"/>
      <c r="E45" s="185" t="n"/>
      <c r="F45" s="185" t="n"/>
      <c r="G45" s="130" t="n"/>
      <c r="H45" s="130" t="n"/>
      <c r="I45" s="130" t="n"/>
      <c r="J45" s="130" t="n"/>
      <c r="K45" s="185" t="n"/>
      <c r="L45" s="130" t="n"/>
      <c r="M45" s="130" t="n"/>
      <c r="N45" s="130" t="n"/>
      <c r="O45" s="130" t="n"/>
      <c r="P45" s="185" t="n"/>
      <c r="Q45" s="130" t="n"/>
      <c r="R45" s="130" t="n"/>
      <c r="S45" s="130" t="n"/>
      <c r="T45" s="130" t="n"/>
      <c r="U45" s="185" t="n"/>
      <c r="V45" s="130" t="n"/>
      <c r="W45" s="130" t="n"/>
      <c r="X45" s="130" t="n"/>
      <c r="Y45" s="130" t="n"/>
      <c r="Z45" s="185" t="n"/>
      <c r="AA45" s="130" t="n"/>
      <c r="AB45" s="130" t="n"/>
      <c r="AC45" s="130" t="n"/>
      <c r="AD45" s="130" t="n"/>
      <c r="AE45" s="185" t="n"/>
      <c r="AF45" s="130" t="n"/>
      <c r="AG45" s="130" t="n"/>
      <c r="AH45" s="130" t="n"/>
      <c r="AI45" s="130" t="n"/>
      <c r="AJ45" s="185" t="n"/>
      <c r="AK45" s="130" t="n"/>
      <c r="AL45" s="130" t="n"/>
      <c r="AM45" s="130" t="n"/>
      <c r="AN45" s="130" t="n"/>
      <c r="AO45" s="185" t="n"/>
      <c r="AP45" s="130" t="n"/>
      <c r="AQ45" s="130" t="n"/>
      <c r="AR45" s="130" t="n"/>
      <c r="AS45" s="130" t="n"/>
      <c r="AT45" s="185">
        <f>SUM(AT41)/AT44</f>
        <v/>
      </c>
      <c r="AU45" s="130" t="n"/>
      <c r="AV45" s="130" t="n"/>
      <c r="AW45" s="130" t="n"/>
      <c r="AX45" s="130" t="n"/>
      <c r="AY45" s="185">
        <f>SUM(AY41)/AY44</f>
        <v/>
      </c>
      <c r="AZ45" s="130" t="n"/>
      <c r="BA45" s="130" t="n"/>
      <c r="BB45" s="130" t="n"/>
      <c r="BC45" s="130" t="n"/>
      <c r="BD45" s="185">
        <f>SUM(BD41)/BD44</f>
        <v/>
      </c>
      <c r="BE45" s="130" t="n"/>
      <c r="BF45" s="130" t="n"/>
      <c r="BG45" s="130" t="n"/>
      <c r="BH45" s="130" t="n"/>
      <c r="BI45" s="185">
        <f>SUM(BI41)/BI44</f>
        <v/>
      </c>
      <c r="BJ45" s="130" t="n"/>
      <c r="BK45" s="130" t="n"/>
      <c r="BL45" s="130" t="n"/>
      <c r="BM45" s="130" t="n"/>
      <c r="BN45" s="185">
        <f>SUM(BN41)/BN44</f>
        <v/>
      </c>
      <c r="BO45" s="130" t="n"/>
      <c r="BP45" s="130" t="n"/>
      <c r="BQ45" s="130" t="n"/>
      <c r="BR45" s="130" t="n"/>
      <c r="BS45" s="185" t="n"/>
      <c r="BT45" s="130" t="n"/>
      <c r="BU45" s="130" t="n"/>
      <c r="BV45" s="934" t="n"/>
      <c r="BW45" s="130" t="n"/>
      <c r="BX45" s="185" t="n"/>
      <c r="BY45" s="130" t="n"/>
      <c r="BZ45" s="130" t="n"/>
      <c r="CA45" s="130" t="n"/>
      <c r="CB45" s="130" t="n"/>
      <c r="CC45" s="185" t="n"/>
      <c r="CD45" s="185" t="n"/>
      <c r="CE45" s="185" t="n"/>
      <c r="CF45" s="185" t="n"/>
      <c r="CG45" s="860" t="n"/>
    </row>
    <row r="46" ht="15" customFormat="1" customHeight="1" s="973">
      <c r="A46" s="682" t="n"/>
      <c r="B46" s="683" t="n"/>
      <c r="C46" s="1241" t="n"/>
      <c r="D46" s="1241" t="n"/>
      <c r="E46" s="1241" t="n"/>
      <c r="F46" s="1241" t="n"/>
      <c r="G46" s="574" t="n"/>
      <c r="H46" s="574" t="n"/>
      <c r="I46" s="574" t="n"/>
      <c r="J46" s="574" t="n"/>
      <c r="K46" s="1241" t="n"/>
      <c r="L46" s="574" t="n"/>
      <c r="M46" s="574" t="n"/>
      <c r="N46" s="574" t="n"/>
      <c r="O46" s="574" t="n"/>
      <c r="P46" s="1241" t="n"/>
      <c r="Q46" s="574" t="n"/>
      <c r="R46" s="574" t="n"/>
      <c r="S46" s="574" t="n"/>
      <c r="T46" s="574" t="n"/>
      <c r="U46" s="1241" t="n"/>
      <c r="V46" s="574" t="n"/>
      <c r="W46" s="574" t="n"/>
      <c r="X46" s="574" t="n"/>
      <c r="Y46" s="574" t="n"/>
      <c r="Z46" s="1241" t="n"/>
      <c r="AA46" s="574" t="n"/>
      <c r="AB46" s="574" t="n"/>
      <c r="AC46" s="574" t="n"/>
      <c r="AD46" s="574" t="n"/>
      <c r="AE46" s="1241" t="n"/>
      <c r="AF46" s="574" t="n"/>
      <c r="AG46" s="574" t="n"/>
      <c r="AH46" s="574" t="n"/>
      <c r="AI46" s="574" t="n"/>
      <c r="AJ46" s="1241" t="n"/>
      <c r="AK46" s="574" t="n"/>
      <c r="AL46" s="574" t="n"/>
      <c r="AM46" s="574" t="n"/>
      <c r="AN46" s="574" t="n"/>
      <c r="AO46" s="1241" t="n"/>
      <c r="AP46" s="574" t="n"/>
      <c r="AQ46" s="574" t="n"/>
      <c r="AR46" s="574" t="n"/>
      <c r="AS46" s="574" t="n"/>
      <c r="AT46" s="1241" t="n"/>
      <c r="AU46" s="574" t="n"/>
      <c r="AV46" s="574" t="n"/>
      <c r="AW46" s="574" t="n"/>
      <c r="AX46" s="574" t="n"/>
      <c r="AY46" s="1241" t="n"/>
      <c r="AZ46" s="574" t="n"/>
      <c r="BA46" s="574" t="n"/>
      <c r="BB46" s="574" t="n"/>
      <c r="BC46" s="574" t="n"/>
      <c r="BD46" s="1241" t="n"/>
      <c r="BE46" s="574" t="n"/>
      <c r="BF46" s="574" t="n"/>
      <c r="BG46" s="574" t="n"/>
      <c r="BH46" s="574" t="n"/>
      <c r="BI46" s="1241" t="n"/>
      <c r="BJ46" s="574" t="n"/>
      <c r="BK46" s="574" t="n"/>
      <c r="BL46" s="574" t="n"/>
      <c r="BM46" s="574" t="n"/>
      <c r="BN46" s="1241" t="n"/>
      <c r="BO46" s="574" t="n"/>
      <c r="BP46" s="574" t="n"/>
      <c r="BQ46" s="574" t="n"/>
      <c r="BR46" s="574" t="n"/>
      <c r="BS46" s="1241" t="n"/>
      <c r="BT46" s="574" t="n"/>
      <c r="BU46" s="574" t="n"/>
      <c r="BV46" s="936" t="n"/>
      <c r="BW46" s="574" t="n"/>
      <c r="BX46" s="1241" t="n"/>
      <c r="BY46" s="574" t="n"/>
      <c r="BZ46" s="574" t="n"/>
      <c r="CA46" s="574" t="n"/>
      <c r="CB46" s="574" t="n"/>
      <c r="CC46" s="1241" t="n"/>
      <c r="CD46" s="1241" t="n"/>
      <c r="CE46" s="1241" t="n"/>
      <c r="CF46" s="1241" t="n"/>
      <c r="CG46" s="829" t="n"/>
    </row>
    <row r="47" ht="15" customFormat="1" customHeight="1" s="974">
      <c r="A47" s="197" t="inlineStr">
        <is>
          <t>CFO - EoP shares owned, 000s</t>
        </is>
      </c>
      <c r="B47" s="677" t="n"/>
      <c r="C47" s="1242" t="n"/>
      <c r="D47" s="1242" t="n"/>
      <c r="E47" s="1242" t="n"/>
      <c r="F47" s="1242" t="n"/>
      <c r="G47" s="678" t="n"/>
      <c r="H47" s="678" t="n"/>
      <c r="I47" s="678" t="n"/>
      <c r="J47" s="678" t="n"/>
      <c r="K47" s="1242" t="n"/>
      <c r="L47" s="678" t="n"/>
      <c r="M47" s="678" t="n"/>
      <c r="N47" s="678" t="n"/>
      <c r="O47" s="678" t="n"/>
      <c r="P47" s="1242" t="n"/>
      <c r="Q47" s="678" t="n"/>
      <c r="R47" s="678" t="n"/>
      <c r="S47" s="678" t="n"/>
      <c r="T47" s="678" t="n"/>
      <c r="U47" s="1242" t="n"/>
      <c r="V47" s="678" t="n"/>
      <c r="W47" s="678" t="n"/>
      <c r="X47" s="678" t="n"/>
      <c r="Y47" s="678" t="n"/>
      <c r="Z47" s="1242" t="n"/>
      <c r="AA47" s="678" t="n"/>
      <c r="AB47" s="678" t="n"/>
      <c r="AC47" s="678" t="n"/>
      <c r="AD47" s="678" t="n"/>
      <c r="AE47" s="1242" t="n"/>
      <c r="AF47" s="678" t="n"/>
      <c r="AG47" s="678" t="n"/>
      <c r="AH47" s="678" t="n"/>
      <c r="AI47" s="678" t="n"/>
      <c r="AJ47" s="1242" t="n"/>
      <c r="AK47" s="678" t="n"/>
      <c r="AL47" s="678" t="n"/>
      <c r="AM47" s="678" t="n"/>
      <c r="AN47" s="678" t="n"/>
      <c r="AO47" s="1242" t="n"/>
      <c r="AP47" s="678" t="n"/>
      <c r="AQ47" s="678" t="n"/>
      <c r="AR47" s="678" t="n"/>
      <c r="AS47" s="678" t="n"/>
      <c r="AT47" s="1268" t="n">
        <v>81.792</v>
      </c>
      <c r="AU47" s="678" t="n"/>
      <c r="AV47" s="678" t="n"/>
      <c r="AW47" s="678" t="n"/>
      <c r="AX47" s="678" t="n"/>
      <c r="AY47" s="1268" t="n">
        <v>98.873</v>
      </c>
      <c r="AZ47" s="678" t="n"/>
      <c r="BA47" s="678" t="n"/>
      <c r="BB47" s="678" t="n"/>
      <c r="BC47" s="678" t="n"/>
      <c r="BD47" s="1268" t="n">
        <v>447.471</v>
      </c>
      <c r="BE47" s="678" t="n"/>
      <c r="BF47" s="678" t="n"/>
      <c r="BG47" s="678" t="n"/>
      <c r="BH47" s="678" t="n"/>
      <c r="BI47" s="1268" t="n">
        <v>478.297</v>
      </c>
      <c r="BJ47" s="678" t="n"/>
      <c r="BK47" s="678" t="n"/>
      <c r="BL47" s="678" t="n"/>
      <c r="BM47" s="678" t="n"/>
      <c r="BN47" s="1268" t="n">
        <v>515.421</v>
      </c>
      <c r="BO47" s="678" t="n"/>
      <c r="BP47" s="678" t="n"/>
      <c r="BQ47" s="678" t="n"/>
      <c r="BR47" s="678" t="n"/>
      <c r="BS47" s="1242" t="n"/>
      <c r="BT47" s="678" t="n"/>
      <c r="BU47" s="678" t="n"/>
      <c r="BV47" s="935" t="n"/>
      <c r="BW47" s="678" t="n"/>
      <c r="BX47" s="1242" t="n"/>
      <c r="BY47" s="678" t="n"/>
      <c r="BZ47" s="678" t="n"/>
      <c r="CA47" s="678" t="n"/>
      <c r="CB47" s="678" t="n"/>
      <c r="CC47" s="1242" t="n"/>
      <c r="CD47" s="1242" t="n"/>
      <c r="CE47" s="1242" t="n"/>
      <c r="CF47" s="1242" t="n"/>
      <c r="CG47" s="827" t="n"/>
    </row>
    <row r="48" ht="15" customFormat="1" customHeight="1" s="973">
      <c r="A48" s="832" t="inlineStr">
        <is>
          <t>CFO - EoP Shares Issuable Within 60 days, 000s</t>
        </is>
      </c>
      <c r="B48" s="846" t="n"/>
      <c r="C48" s="1272" t="n"/>
      <c r="D48" s="1272" t="n"/>
      <c r="E48" s="1272" t="n"/>
      <c r="F48" s="1272" t="n"/>
      <c r="G48" s="847" t="n"/>
      <c r="H48" s="847" t="n"/>
      <c r="I48" s="847" t="n"/>
      <c r="J48" s="847" t="n"/>
      <c r="K48" s="1272" t="n"/>
      <c r="L48" s="847" t="n"/>
      <c r="M48" s="847" t="n"/>
      <c r="N48" s="847" t="n"/>
      <c r="O48" s="847" t="n"/>
      <c r="P48" s="1272" t="n"/>
      <c r="Q48" s="847" t="n"/>
      <c r="R48" s="847" t="n"/>
      <c r="S48" s="847" t="n"/>
      <c r="T48" s="847" t="n"/>
      <c r="U48" s="1272" t="n"/>
      <c r="V48" s="847" t="n"/>
      <c r="W48" s="847" t="n"/>
      <c r="X48" s="847" t="n"/>
      <c r="Y48" s="847" t="n"/>
      <c r="Z48" s="1272" t="n"/>
      <c r="AA48" s="847" t="n"/>
      <c r="AB48" s="847" t="n"/>
      <c r="AC48" s="847" t="n"/>
      <c r="AD48" s="847" t="n"/>
      <c r="AE48" s="1272" t="n"/>
      <c r="AF48" s="847" t="n"/>
      <c r="AG48" s="847" t="n"/>
      <c r="AH48" s="847" t="n"/>
      <c r="AI48" s="847" t="n"/>
      <c r="AJ48" s="1272" t="n"/>
      <c r="AK48" s="847" t="n"/>
      <c r="AL48" s="847" t="n"/>
      <c r="AM48" s="847" t="n"/>
      <c r="AN48" s="847" t="n"/>
      <c r="AO48" s="1272" t="n"/>
      <c r="AP48" s="847" t="n"/>
      <c r="AQ48" s="847" t="n"/>
      <c r="AR48" s="847" t="n"/>
      <c r="AS48" s="847" t="n"/>
      <c r="AT48" s="1242" t="n"/>
      <c r="AU48" s="678" t="n"/>
      <c r="AV48" s="678" t="n"/>
      <c r="AW48" s="678" t="n"/>
      <c r="AX48" s="678" t="n"/>
      <c r="AY48" s="1242" t="n"/>
      <c r="AZ48" s="678" t="n"/>
      <c r="BA48" s="678" t="n"/>
      <c r="BB48" s="678" t="n"/>
      <c r="BC48" s="678" t="n"/>
      <c r="BD48" s="1242" t="n"/>
      <c r="BE48" s="678" t="n"/>
      <c r="BF48" s="678" t="n"/>
      <c r="BG48" s="678" t="n"/>
      <c r="BH48" s="678" t="n"/>
      <c r="BI48" s="1242" t="n"/>
      <c r="BJ48" s="847" t="n"/>
      <c r="BK48" s="847" t="n"/>
      <c r="BL48" s="847" t="n"/>
      <c r="BM48" s="847" t="n"/>
      <c r="BN48" s="1272" t="n"/>
      <c r="BO48" s="847" t="n"/>
      <c r="BP48" s="847" t="n"/>
      <c r="BQ48" s="847" t="n"/>
      <c r="BR48" s="847" t="n"/>
      <c r="BS48" s="1272" t="n"/>
      <c r="BT48" s="847" t="n"/>
      <c r="BU48" s="847" t="n"/>
      <c r="BV48" s="938" t="n"/>
      <c r="BW48" s="847" t="n"/>
      <c r="BX48" s="1272" t="n"/>
      <c r="BY48" s="847" t="n"/>
      <c r="BZ48" s="847" t="n"/>
      <c r="CA48" s="847" t="n"/>
      <c r="CB48" s="847" t="n"/>
      <c r="CC48" s="1272" t="n"/>
      <c r="CD48" s="1272" t="n"/>
      <c r="CE48" s="1272" t="n"/>
      <c r="CF48" s="1272" t="n"/>
      <c r="CG48" s="829" t="n"/>
    </row>
    <row r="49" ht="15" customFormat="1" customHeight="1" s="973">
      <c r="A49" s="196" t="inlineStr">
        <is>
          <t>CFO - EoP shares beneficially owned, 000s</t>
        </is>
      </c>
      <c r="B49" s="683" t="n"/>
      <c r="C49" s="1241" t="n"/>
      <c r="D49" s="1241" t="n"/>
      <c r="E49" s="1241" t="n"/>
      <c r="F49" s="1241" t="n"/>
      <c r="G49" s="574" t="n"/>
      <c r="H49" s="574" t="n"/>
      <c r="I49" s="574" t="n"/>
      <c r="J49" s="574" t="n"/>
      <c r="K49" s="1241" t="n"/>
      <c r="L49" s="574" t="n"/>
      <c r="M49" s="574" t="n"/>
      <c r="N49" s="574" t="n"/>
      <c r="O49" s="574" t="n"/>
      <c r="P49" s="1241" t="n"/>
      <c r="Q49" s="574" t="n"/>
      <c r="R49" s="574" t="n"/>
      <c r="S49" s="574" t="n"/>
      <c r="T49" s="574" t="n"/>
      <c r="U49" s="1241" t="n"/>
      <c r="V49" s="574" t="n"/>
      <c r="W49" s="574" t="n"/>
      <c r="X49" s="574" t="n"/>
      <c r="Y49" s="574" t="n"/>
      <c r="Z49" s="1241" t="n"/>
      <c r="AA49" s="574" t="n"/>
      <c r="AB49" s="574" t="n"/>
      <c r="AC49" s="574" t="n"/>
      <c r="AD49" s="574" t="n"/>
      <c r="AE49" s="1241" t="n"/>
      <c r="AF49" s="574" t="n"/>
      <c r="AG49" s="574" t="n"/>
      <c r="AH49" s="574" t="n"/>
      <c r="AI49" s="574" t="n"/>
      <c r="AJ49" s="1241" t="n"/>
      <c r="AK49" s="574" t="n"/>
      <c r="AL49" s="574" t="n"/>
      <c r="AM49" s="574" t="n"/>
      <c r="AN49" s="574" t="n"/>
      <c r="AO49" s="1241" t="n"/>
      <c r="AP49" s="574" t="n"/>
      <c r="AQ49" s="574" t="n"/>
      <c r="AR49" s="574" t="n"/>
      <c r="AS49" s="574" t="n"/>
      <c r="AT49" s="1273">
        <f>SUM(AT47:AT47)</f>
        <v/>
      </c>
      <c r="AU49" s="854" t="n"/>
      <c r="AV49" s="854" t="n"/>
      <c r="AW49" s="854" t="n"/>
      <c r="AX49" s="854" t="n"/>
      <c r="AY49" s="1273">
        <f>SUM(AY47:AY47)</f>
        <v/>
      </c>
      <c r="AZ49" s="854" t="n"/>
      <c r="BA49" s="854" t="n"/>
      <c r="BB49" s="854" t="n"/>
      <c r="BC49" s="854" t="n"/>
      <c r="BD49" s="1273">
        <f>SUM(BD47:BD47)</f>
        <v/>
      </c>
      <c r="BE49" s="854" t="n"/>
      <c r="BF49" s="854" t="n"/>
      <c r="BG49" s="854" t="n"/>
      <c r="BH49" s="854" t="n"/>
      <c r="BI49" s="1273">
        <f>SUM(BI47:BI47)</f>
        <v/>
      </c>
      <c r="BJ49" s="574" t="n"/>
      <c r="BK49" s="574" t="n"/>
      <c r="BL49" s="574" t="n"/>
      <c r="BM49" s="574" t="n"/>
      <c r="BN49" s="1241">
        <f>SUM(BN47:BN48)</f>
        <v/>
      </c>
      <c r="BO49" s="574" t="n"/>
      <c r="BP49" s="574" t="n"/>
      <c r="BQ49" s="574" t="n"/>
      <c r="BR49" s="574" t="n"/>
      <c r="BS49" s="1241" t="n"/>
      <c r="BT49" s="574" t="n"/>
      <c r="BU49" s="574" t="n"/>
      <c r="BV49" s="936" t="n"/>
      <c r="BW49" s="574" t="n"/>
      <c r="BX49" s="1241" t="n"/>
      <c r="BY49" s="574" t="n"/>
      <c r="BZ49" s="574" t="n"/>
      <c r="CA49" s="574" t="n"/>
      <c r="CB49" s="574" t="n"/>
      <c r="CC49" s="1241" t="n"/>
      <c r="CD49" s="1241" t="n"/>
      <c r="CE49" s="1241" t="n"/>
      <c r="CF49" s="1241" t="n"/>
      <c r="CG49" s="829" t="n"/>
    </row>
    <row r="50" ht="15" customFormat="1" customHeight="1" s="973">
      <c r="A50" s="682" t="n"/>
      <c r="B50" s="683" t="n"/>
      <c r="C50" s="1241" t="n"/>
      <c r="D50" s="1241" t="n"/>
      <c r="E50" s="1241" t="n"/>
      <c r="F50" s="1241" t="n"/>
      <c r="G50" s="574" t="n"/>
      <c r="H50" s="574" t="n"/>
      <c r="I50" s="574" t="n"/>
      <c r="J50" s="574" t="n"/>
      <c r="K50" s="1241" t="n"/>
      <c r="L50" s="574" t="n"/>
      <c r="M50" s="574" t="n"/>
      <c r="N50" s="574" t="n"/>
      <c r="O50" s="574" t="n"/>
      <c r="P50" s="1241" t="n"/>
      <c r="Q50" s="574" t="n"/>
      <c r="R50" s="574" t="n"/>
      <c r="S50" s="574" t="n"/>
      <c r="T50" s="574" t="n"/>
      <c r="U50" s="1241" t="n"/>
      <c r="V50" s="574" t="n"/>
      <c r="W50" s="574" t="n"/>
      <c r="X50" s="574" t="n"/>
      <c r="Y50" s="574" t="n"/>
      <c r="Z50" s="1241" t="n"/>
      <c r="AA50" s="574" t="n"/>
      <c r="AB50" s="574" t="n"/>
      <c r="AC50" s="574" t="n"/>
      <c r="AD50" s="574" t="n"/>
      <c r="AE50" s="1241" t="n"/>
      <c r="AF50" s="574" t="n"/>
      <c r="AG50" s="574" t="n"/>
      <c r="AH50" s="574" t="n"/>
      <c r="AI50" s="574" t="n"/>
      <c r="AJ50" s="1241" t="n"/>
      <c r="AK50" s="574" t="n"/>
      <c r="AL50" s="574" t="n"/>
      <c r="AM50" s="574" t="n"/>
      <c r="AN50" s="574" t="n"/>
      <c r="AO50" s="1241" t="n"/>
      <c r="AP50" s="574" t="n"/>
      <c r="AQ50" s="574" t="n"/>
      <c r="AR50" s="574" t="n"/>
      <c r="AS50" s="574" t="n"/>
      <c r="AT50" s="1241" t="n"/>
      <c r="AU50" s="574" t="n"/>
      <c r="AV50" s="574" t="n"/>
      <c r="AW50" s="574" t="n"/>
      <c r="AX50" s="574" t="n"/>
      <c r="AY50" s="1241" t="n"/>
      <c r="AZ50" s="574" t="n"/>
      <c r="BA50" s="574" t="n"/>
      <c r="BB50" s="574" t="n"/>
      <c r="BC50" s="574" t="n"/>
      <c r="BD50" s="1241" t="n"/>
      <c r="BE50" s="574" t="n"/>
      <c r="BF50" s="574" t="n"/>
      <c r="BG50" s="574" t="n"/>
      <c r="BH50" s="574" t="n"/>
      <c r="BI50" s="1241" t="n"/>
      <c r="BJ50" s="574" t="n"/>
      <c r="BK50" s="574" t="n"/>
      <c r="BL50" s="574" t="n"/>
      <c r="BM50" s="574" t="n"/>
      <c r="BN50" s="1241" t="n"/>
      <c r="BO50" s="574" t="n"/>
      <c r="BP50" s="574" t="n"/>
      <c r="BQ50" s="574" t="n"/>
      <c r="BR50" s="574" t="n"/>
      <c r="BS50" s="1241" t="n"/>
      <c r="BT50" s="574" t="n"/>
      <c r="BU50" s="574" t="n"/>
      <c r="BV50" s="936" t="n"/>
      <c r="BW50" s="574" t="n"/>
      <c r="BX50" s="1241" t="n"/>
      <c r="BY50" s="574" t="n"/>
      <c r="BZ50" s="574" t="n"/>
      <c r="CA50" s="574" t="n"/>
      <c r="CB50" s="574" t="n"/>
      <c r="CC50" s="1241" t="n"/>
      <c r="CD50" s="1241" t="n"/>
      <c r="CE50" s="1241" t="n"/>
      <c r="CF50" s="1241" t="n"/>
      <c r="CG50" s="829" t="n"/>
    </row>
    <row r="51" ht="15" customFormat="1" customHeight="1" s="973">
      <c r="A51" s="1017" t="inlineStr">
        <is>
          <t>Board Diversity</t>
        </is>
      </c>
      <c r="B51" s="1017" t="n"/>
      <c r="C51" s="1017" t="n"/>
      <c r="D51" s="1017" t="n"/>
      <c r="E51" s="1017" t="n"/>
      <c r="F51" s="1017" t="n"/>
      <c r="G51" s="1017" t="n"/>
      <c r="H51" s="1017" t="n"/>
      <c r="I51" s="1017" t="n"/>
      <c r="J51" s="1017" t="n"/>
      <c r="K51" s="1017" t="n"/>
      <c r="L51" s="1017" t="n"/>
      <c r="M51" s="1017" t="n"/>
      <c r="N51" s="1017" t="n"/>
      <c r="O51" s="1017" t="n"/>
      <c r="P51" s="1017" t="n"/>
      <c r="Q51" s="1017" t="n"/>
      <c r="R51" s="1017" t="n"/>
      <c r="S51" s="1017" t="n"/>
      <c r="T51" s="1017" t="n"/>
      <c r="U51" s="1017" t="n"/>
      <c r="V51" s="1017" t="n"/>
      <c r="W51" s="1017" t="n"/>
      <c r="X51" s="1017" t="n"/>
      <c r="Y51" s="1017" t="n"/>
      <c r="Z51" s="1017" t="n"/>
      <c r="AA51" s="1017" t="n"/>
      <c r="AB51" s="1017" t="n"/>
      <c r="AC51" s="1017" t="n"/>
      <c r="AD51" s="1017" t="n"/>
      <c r="AE51" s="1017" t="n"/>
      <c r="AF51" s="1017" t="n"/>
      <c r="AG51" s="1017" t="n"/>
      <c r="AH51" s="1017" t="n"/>
      <c r="AI51" s="1017" t="n"/>
      <c r="AJ51" s="1017" t="n"/>
      <c r="AK51" s="1017" t="n"/>
      <c r="AL51" s="1017" t="n"/>
      <c r="AM51" s="1017" t="n"/>
      <c r="AN51" s="1017" t="n"/>
      <c r="AO51" s="1017" t="n"/>
      <c r="AP51" s="1017" t="n"/>
      <c r="AQ51" s="1017" t="n"/>
      <c r="AR51" s="1017" t="n"/>
      <c r="AS51" s="1017" t="n"/>
      <c r="AT51" s="1017" t="n"/>
      <c r="AU51" s="1017" t="n"/>
      <c r="AV51" s="1017" t="n"/>
      <c r="AW51" s="1017" t="n"/>
      <c r="AX51" s="1017" t="n"/>
      <c r="AY51" s="1017" t="n"/>
      <c r="AZ51" s="1017" t="n"/>
      <c r="BA51" s="1017" t="n"/>
      <c r="BB51" s="1017" t="n"/>
      <c r="BC51" s="1017" t="n"/>
      <c r="BD51" s="1017" t="n"/>
      <c r="BE51" s="1017" t="n"/>
      <c r="BF51" s="1017" t="n"/>
      <c r="BG51" s="1017" t="n"/>
      <c r="BH51" s="1017" t="n"/>
      <c r="BI51" s="1017" t="n"/>
      <c r="BJ51" s="1017" t="n"/>
      <c r="BK51" s="1017" t="n"/>
      <c r="BL51" s="1017" t="n"/>
      <c r="BM51" s="1017" t="n"/>
      <c r="BN51" s="1017" t="n"/>
      <c r="BO51" s="1017" t="n"/>
      <c r="BP51" s="1017" t="n"/>
      <c r="BQ51" s="1017" t="n"/>
      <c r="BR51" s="1017" t="n"/>
      <c r="BS51" s="1017" t="n"/>
      <c r="BT51" s="1017" t="n"/>
      <c r="BU51" s="1017" t="n"/>
      <c r="BV51" s="1018" t="n"/>
      <c r="BW51" s="1017" t="n"/>
      <c r="BX51" s="1017" t="n"/>
      <c r="BY51" s="1017" t="n"/>
      <c r="BZ51" s="1017" t="n"/>
      <c r="CA51" s="1017" t="n"/>
      <c r="CB51" s="1017" t="n"/>
      <c r="CC51" s="1017" t="n"/>
      <c r="CD51" s="1017" t="n"/>
      <c r="CE51" s="1017" t="n"/>
      <c r="CF51" s="1017" t="n"/>
      <c r="CG51" s="829" t="n"/>
    </row>
    <row r="52" ht="15" customFormat="1" customHeight="1" s="974">
      <c r="A52" s="705" t="inlineStr">
        <is>
          <t>Total # of current directors</t>
        </is>
      </c>
      <c r="B52" s="677" t="n"/>
      <c r="C52" s="1242" t="n"/>
      <c r="D52" s="1242" t="n"/>
      <c r="E52" s="1242" t="n"/>
      <c r="F52" s="1242" t="n"/>
      <c r="G52" s="678" t="n"/>
      <c r="H52" s="678" t="n"/>
      <c r="I52" s="678" t="n"/>
      <c r="J52" s="678" t="n"/>
      <c r="K52" s="1242" t="n"/>
      <c r="L52" s="678" t="n"/>
      <c r="M52" s="678" t="n"/>
      <c r="N52" s="678" t="n"/>
      <c r="O52" s="678" t="n"/>
      <c r="P52" s="1242" t="n"/>
      <c r="Q52" s="678" t="n"/>
      <c r="R52" s="678" t="n"/>
      <c r="S52" s="678" t="n"/>
      <c r="T52" s="678" t="n"/>
      <c r="U52" s="1242" t="n"/>
      <c r="V52" s="678" t="n"/>
      <c r="W52" s="678" t="n"/>
      <c r="X52" s="678" t="n"/>
      <c r="Y52" s="678" t="n"/>
      <c r="Z52" s="1242" t="n"/>
      <c r="AA52" s="678" t="n"/>
      <c r="AB52" s="678" t="n"/>
      <c r="AC52" s="678" t="n"/>
      <c r="AD52" s="678" t="n"/>
      <c r="AE52" s="1242" t="n"/>
      <c r="AF52" s="678" t="n"/>
      <c r="AG52" s="678" t="n"/>
      <c r="AH52" s="678" t="n"/>
      <c r="AI52" s="678" t="n"/>
      <c r="AJ52" s="1242" t="n"/>
      <c r="AK52" s="678" t="n"/>
      <c r="AL52" s="678" t="n"/>
      <c r="AM52" s="678" t="n"/>
      <c r="AN52" s="678" t="n"/>
      <c r="AO52" s="1242" t="n"/>
      <c r="AP52" s="678" t="n"/>
      <c r="AQ52" s="678" t="n"/>
      <c r="AR52" s="678" t="n"/>
      <c r="AS52" s="678" t="n"/>
      <c r="AT52" s="1268" t="n">
        <v>11</v>
      </c>
      <c r="AU52" s="678" t="n"/>
      <c r="AV52" s="678" t="n"/>
      <c r="AW52" s="678" t="n"/>
      <c r="AX52" s="678" t="n"/>
      <c r="AY52" s="1268" t="n">
        <v>13</v>
      </c>
      <c r="AZ52" s="678" t="n"/>
      <c r="BA52" s="678" t="n"/>
      <c r="BB52" s="678" t="n"/>
      <c r="BC52" s="678" t="n"/>
      <c r="BD52" s="1268" t="n">
        <v>13</v>
      </c>
      <c r="BE52" s="678" t="n"/>
      <c r="BF52" s="678" t="n"/>
      <c r="BG52" s="678" t="n"/>
      <c r="BH52" s="678" t="n"/>
      <c r="BI52" s="1268" t="n">
        <v>13</v>
      </c>
      <c r="BJ52" s="678" t="n"/>
      <c r="BK52" s="678" t="n"/>
      <c r="BL52" s="678" t="n"/>
      <c r="BM52" s="678" t="n"/>
      <c r="BN52" s="1268" t="n">
        <v>14</v>
      </c>
      <c r="BO52" s="678" t="n"/>
      <c r="BP52" s="678" t="n"/>
      <c r="BQ52" s="678" t="n"/>
      <c r="BR52" s="678" t="n"/>
      <c r="BS52" s="1242" t="n"/>
      <c r="BT52" s="678" t="n"/>
      <c r="BU52" s="678" t="n"/>
      <c r="BV52" s="935" t="n"/>
      <c r="BW52" s="678" t="n"/>
      <c r="BX52" s="1242" t="n"/>
      <c r="BY52" s="678" t="n"/>
      <c r="BZ52" s="678" t="n"/>
      <c r="CA52" s="678" t="n"/>
      <c r="CB52" s="678" t="n"/>
      <c r="CC52" s="1242" t="n"/>
      <c r="CD52" s="1242" t="n"/>
      <c r="CE52" s="1242" t="n"/>
      <c r="CF52" s="1242" t="n"/>
      <c r="CG52" s="827" t="n"/>
    </row>
    <row r="53" ht="15" customFormat="1" customHeight="1" s="974">
      <c r="A53" s="705" t="inlineStr">
        <is>
          <t>Total # of independent current directors</t>
        </is>
      </c>
      <c r="B53" s="677" t="n"/>
      <c r="C53" s="1242" t="n"/>
      <c r="D53" s="1242" t="n"/>
      <c r="E53" s="1242" t="n"/>
      <c r="F53" s="1242" t="n"/>
      <c r="G53" s="678" t="n"/>
      <c r="H53" s="678" t="n"/>
      <c r="I53" s="678" t="n"/>
      <c r="J53" s="678" t="n"/>
      <c r="K53" s="1242" t="n"/>
      <c r="L53" s="678" t="n"/>
      <c r="M53" s="678" t="n"/>
      <c r="N53" s="678" t="n"/>
      <c r="O53" s="678" t="n"/>
      <c r="P53" s="1242" t="n"/>
      <c r="Q53" s="678" t="n"/>
      <c r="R53" s="678" t="n"/>
      <c r="S53" s="678" t="n"/>
      <c r="T53" s="678" t="n"/>
      <c r="U53" s="1242" t="n"/>
      <c r="V53" s="678" t="n"/>
      <c r="W53" s="678" t="n"/>
      <c r="X53" s="678" t="n"/>
      <c r="Y53" s="678" t="n"/>
      <c r="Z53" s="1242" t="n"/>
      <c r="AA53" s="678" t="n"/>
      <c r="AB53" s="678" t="n"/>
      <c r="AC53" s="678" t="n"/>
      <c r="AD53" s="678" t="n"/>
      <c r="AE53" s="1242" t="n"/>
      <c r="AF53" s="678" t="n"/>
      <c r="AG53" s="678" t="n"/>
      <c r="AH53" s="678" t="n"/>
      <c r="AI53" s="678" t="n"/>
      <c r="AJ53" s="1242" t="n"/>
      <c r="AK53" s="678" t="n"/>
      <c r="AL53" s="678" t="n"/>
      <c r="AM53" s="678" t="n"/>
      <c r="AN53" s="678" t="n"/>
      <c r="AO53" s="1242" t="n"/>
      <c r="AP53" s="678" t="n"/>
      <c r="AQ53" s="678" t="n"/>
      <c r="AR53" s="678" t="n"/>
      <c r="AS53" s="678" t="n"/>
      <c r="AT53" s="1268" t="n">
        <v>10</v>
      </c>
      <c r="AU53" s="678" t="n"/>
      <c r="AV53" s="678" t="n"/>
      <c r="AW53" s="678" t="n"/>
      <c r="AX53" s="678" t="n"/>
      <c r="AY53" s="1268" t="n">
        <v>12</v>
      </c>
      <c r="AZ53" s="678" t="n"/>
      <c r="BA53" s="678" t="n"/>
      <c r="BB53" s="678" t="n"/>
      <c r="BC53" s="678" t="n"/>
      <c r="BD53" s="1268" t="n">
        <v>12</v>
      </c>
      <c r="BE53" s="678" t="n"/>
      <c r="BF53" s="678" t="n"/>
      <c r="BG53" s="678" t="n"/>
      <c r="BH53" s="678" t="n"/>
      <c r="BI53" s="1268" t="n">
        <v>12</v>
      </c>
      <c r="BJ53" s="678" t="n"/>
      <c r="BK53" s="678" t="n"/>
      <c r="BL53" s="678" t="n"/>
      <c r="BM53" s="678" t="n"/>
      <c r="BN53" s="1268" t="n">
        <v>13</v>
      </c>
      <c r="BO53" s="678" t="n"/>
      <c r="BP53" s="678" t="n"/>
      <c r="BQ53" s="678" t="n"/>
      <c r="BR53" s="678" t="n"/>
      <c r="BS53" s="1242" t="n"/>
      <c r="BT53" s="678" t="n"/>
      <c r="BU53" s="678" t="n"/>
      <c r="BV53" s="935" t="n"/>
      <c r="BW53" s="678" t="n"/>
      <c r="BX53" s="1242" t="n"/>
      <c r="BY53" s="678" t="n"/>
      <c r="BZ53" s="678" t="n"/>
      <c r="CA53" s="678" t="n"/>
      <c r="CB53" s="678" t="n"/>
      <c r="CC53" s="1242" t="n"/>
      <c r="CD53" s="1242" t="n"/>
      <c r="CE53" s="1242" t="n"/>
      <c r="CF53" s="1242" t="n"/>
      <c r="CG53" s="827" t="n"/>
    </row>
    <row r="54" ht="15" customFormat="1" customHeight="1" s="974">
      <c r="A54" s="705" t="inlineStr">
        <is>
          <t>Total # of female current directors</t>
        </is>
      </c>
      <c r="B54" s="677" t="n"/>
      <c r="C54" s="1242" t="n"/>
      <c r="D54" s="1242" t="n"/>
      <c r="E54" s="1242" t="n"/>
      <c r="F54" s="1242" t="n"/>
      <c r="G54" s="678" t="n"/>
      <c r="H54" s="678" t="n"/>
      <c r="I54" s="678" t="n"/>
      <c r="J54" s="678" t="n"/>
      <c r="K54" s="1242" t="n"/>
      <c r="L54" s="678" t="n"/>
      <c r="M54" s="678" t="n"/>
      <c r="N54" s="678" t="n"/>
      <c r="O54" s="678" t="n"/>
      <c r="P54" s="1242" t="n"/>
      <c r="Q54" s="678" t="n"/>
      <c r="R54" s="678" t="n"/>
      <c r="S54" s="678" t="n"/>
      <c r="T54" s="678" t="n"/>
      <c r="U54" s="1242" t="n"/>
      <c r="V54" s="678" t="n"/>
      <c r="W54" s="678" t="n"/>
      <c r="X54" s="678" t="n"/>
      <c r="Y54" s="678" t="n"/>
      <c r="Z54" s="1242" t="n"/>
      <c r="AA54" s="678" t="n"/>
      <c r="AB54" s="678" t="n"/>
      <c r="AC54" s="678" t="n"/>
      <c r="AD54" s="678" t="n"/>
      <c r="AE54" s="1242" t="n"/>
      <c r="AF54" s="678" t="n"/>
      <c r="AG54" s="678" t="n"/>
      <c r="AH54" s="678" t="n"/>
      <c r="AI54" s="678" t="n"/>
      <c r="AJ54" s="1242" t="n"/>
      <c r="AK54" s="678" t="n"/>
      <c r="AL54" s="678" t="n"/>
      <c r="AM54" s="678" t="n"/>
      <c r="AN54" s="678" t="n"/>
      <c r="AO54" s="1242" t="n"/>
      <c r="AP54" s="678" t="n"/>
      <c r="AQ54" s="678" t="n"/>
      <c r="AR54" s="678" t="n"/>
      <c r="AS54" s="678" t="n"/>
      <c r="AT54" s="1242" t="n"/>
      <c r="AU54" s="678" t="n"/>
      <c r="AV54" s="678" t="n"/>
      <c r="AW54" s="678" t="n"/>
      <c r="AX54" s="678" t="n"/>
      <c r="AY54" s="1268" t="n">
        <v>3</v>
      </c>
      <c r="AZ54" s="678" t="n"/>
      <c r="BA54" s="678" t="n"/>
      <c r="BB54" s="678" t="n"/>
      <c r="BC54" s="678" t="n"/>
      <c r="BD54" s="1268" t="n">
        <v>3</v>
      </c>
      <c r="BE54" s="678" t="n"/>
      <c r="BF54" s="678" t="n"/>
      <c r="BG54" s="678" t="n"/>
      <c r="BH54" s="678" t="n"/>
      <c r="BI54" s="1268" t="n">
        <v>3</v>
      </c>
      <c r="BJ54" s="678" t="n"/>
      <c r="BK54" s="678" t="n"/>
      <c r="BL54" s="678" t="n"/>
      <c r="BM54" s="678" t="n"/>
      <c r="BN54" s="1268" t="n">
        <v>4</v>
      </c>
      <c r="BO54" s="678" t="n"/>
      <c r="BP54" s="678" t="n"/>
      <c r="BQ54" s="678" t="n"/>
      <c r="BR54" s="678" t="n"/>
      <c r="BS54" s="1242" t="n"/>
      <c r="BT54" s="678" t="n"/>
      <c r="BU54" s="678" t="n"/>
      <c r="BV54" s="935" t="n"/>
      <c r="BW54" s="678" t="n"/>
      <c r="BX54" s="1242" t="n"/>
      <c r="BY54" s="678" t="n"/>
      <c r="BZ54" s="678" t="n"/>
      <c r="CA54" s="678" t="n"/>
      <c r="CB54" s="678" t="n"/>
      <c r="CC54" s="1242" t="n"/>
      <c r="CD54" s="1242" t="n"/>
      <c r="CE54" s="1242" t="n"/>
      <c r="CF54" s="1242" t="n"/>
      <c r="CG54" s="827" t="n"/>
    </row>
    <row r="55" ht="15" customFormat="1" customHeight="1" s="974">
      <c r="A55" s="705" t="inlineStr">
        <is>
          <t>Total # of racially/ethnically diverse current directors</t>
        </is>
      </c>
      <c r="B55" s="677" t="n"/>
      <c r="C55" s="1242" t="n"/>
      <c r="D55" s="1242" t="n"/>
      <c r="E55" s="1242" t="n"/>
      <c r="F55" s="1242" t="n"/>
      <c r="G55" s="678" t="n"/>
      <c r="H55" s="678" t="n"/>
      <c r="I55" s="678" t="n"/>
      <c r="J55" s="678" t="n"/>
      <c r="K55" s="1242" t="n"/>
      <c r="L55" s="678" t="n"/>
      <c r="M55" s="678" t="n"/>
      <c r="N55" s="678" t="n"/>
      <c r="O55" s="678" t="n"/>
      <c r="P55" s="1242" t="n"/>
      <c r="Q55" s="678" t="n"/>
      <c r="R55" s="678" t="n"/>
      <c r="S55" s="678" t="n"/>
      <c r="T55" s="678" t="n"/>
      <c r="U55" s="1242" t="n"/>
      <c r="V55" s="678" t="n"/>
      <c r="W55" s="678" t="n"/>
      <c r="X55" s="678" t="n"/>
      <c r="Y55" s="678" t="n"/>
      <c r="Z55" s="1242" t="n"/>
      <c r="AA55" s="678" t="n"/>
      <c r="AB55" s="678" t="n"/>
      <c r="AC55" s="678" t="n"/>
      <c r="AD55" s="678" t="n"/>
      <c r="AE55" s="1242" t="n"/>
      <c r="AF55" s="678" t="n"/>
      <c r="AG55" s="678" t="n"/>
      <c r="AH55" s="678" t="n"/>
      <c r="AI55" s="678" t="n"/>
      <c r="AJ55" s="1242" t="n"/>
      <c r="AK55" s="678" t="n"/>
      <c r="AL55" s="678" t="n"/>
      <c r="AM55" s="678" t="n"/>
      <c r="AN55" s="678" t="n"/>
      <c r="AO55" s="1242" t="n"/>
      <c r="AP55" s="678" t="n"/>
      <c r="AQ55" s="678" t="n"/>
      <c r="AR55" s="678" t="n"/>
      <c r="AS55" s="678" t="n"/>
      <c r="AT55" s="1242" t="n"/>
      <c r="AU55" s="678" t="n"/>
      <c r="AV55" s="678" t="n"/>
      <c r="AW55" s="678" t="n"/>
      <c r="AX55" s="678" t="n"/>
      <c r="AY55" s="1268" t="n">
        <v>3</v>
      </c>
      <c r="AZ55" s="678" t="n"/>
      <c r="BA55" s="678" t="n"/>
      <c r="BB55" s="678" t="n"/>
      <c r="BC55" s="678" t="n"/>
      <c r="BD55" s="1268" t="n">
        <v>3</v>
      </c>
      <c r="BE55" s="678" t="n"/>
      <c r="BF55" s="678" t="n"/>
      <c r="BG55" s="678" t="n"/>
      <c r="BH55" s="678" t="n"/>
      <c r="BI55" s="1268" t="n">
        <v>3</v>
      </c>
      <c r="BJ55" s="678" t="n"/>
      <c r="BK55" s="678" t="n"/>
      <c r="BL55" s="678" t="n"/>
      <c r="BM55" s="678" t="n"/>
      <c r="BN55" s="1268" t="n">
        <v>3</v>
      </c>
      <c r="BO55" s="678" t="n"/>
      <c r="BP55" s="678" t="n"/>
      <c r="BQ55" s="678" t="n"/>
      <c r="BR55" s="678" t="n"/>
      <c r="BS55" s="1242" t="n"/>
      <c r="BT55" s="678" t="n"/>
      <c r="BU55" s="678" t="n"/>
      <c r="BV55" s="935" t="n"/>
      <c r="BW55" s="678" t="n"/>
      <c r="BX55" s="1242" t="n"/>
      <c r="BY55" s="678" t="n"/>
      <c r="BZ55" s="678" t="n"/>
      <c r="CA55" s="678" t="n"/>
      <c r="CB55" s="678" t="n"/>
      <c r="CC55" s="1242" t="n"/>
      <c r="CD55" s="1242" t="n"/>
      <c r="CE55" s="1242" t="n"/>
      <c r="CF55" s="1242" t="n"/>
      <c r="CG55" s="827" t="n"/>
    </row>
    <row r="56" ht="15" customFormat="1" customHeight="1" s="974">
      <c r="A56" s="705" t="n"/>
      <c r="B56" s="677" t="n"/>
      <c r="C56" s="1242" t="n"/>
      <c r="D56" s="1242" t="n"/>
      <c r="E56" s="1242" t="n"/>
      <c r="F56" s="1242" t="n"/>
      <c r="G56" s="678" t="n"/>
      <c r="H56" s="678" t="n"/>
      <c r="I56" s="678" t="n"/>
      <c r="J56" s="678" t="n"/>
      <c r="K56" s="1242" t="n"/>
      <c r="L56" s="678" t="n"/>
      <c r="M56" s="678" t="n"/>
      <c r="N56" s="678" t="n"/>
      <c r="O56" s="678" t="n"/>
      <c r="P56" s="1242" t="n"/>
      <c r="Q56" s="678" t="n"/>
      <c r="R56" s="678" t="n"/>
      <c r="S56" s="678" t="n"/>
      <c r="T56" s="678" t="n"/>
      <c r="U56" s="1242" t="n"/>
      <c r="V56" s="678" t="n"/>
      <c r="W56" s="678" t="n"/>
      <c r="X56" s="678" t="n"/>
      <c r="Y56" s="678" t="n"/>
      <c r="Z56" s="1242" t="n"/>
      <c r="AA56" s="678" t="n"/>
      <c r="AB56" s="678" t="n"/>
      <c r="AC56" s="678" t="n"/>
      <c r="AD56" s="678" t="n"/>
      <c r="AE56" s="1242" t="n"/>
      <c r="AF56" s="678" t="n"/>
      <c r="AG56" s="678" t="n"/>
      <c r="AH56" s="678" t="n"/>
      <c r="AI56" s="678" t="n"/>
      <c r="AJ56" s="1242" t="n"/>
      <c r="AK56" s="678" t="n"/>
      <c r="AL56" s="678" t="n"/>
      <c r="AM56" s="678" t="n"/>
      <c r="AN56" s="678" t="n"/>
      <c r="AO56" s="1242" t="n"/>
      <c r="AP56" s="678" t="n"/>
      <c r="AQ56" s="678" t="n"/>
      <c r="AR56" s="678" t="n"/>
      <c r="AS56" s="678" t="n"/>
      <c r="AT56" s="1242" t="n"/>
      <c r="AU56" s="678" t="n"/>
      <c r="AV56" s="678" t="n"/>
      <c r="AW56" s="678" t="n"/>
      <c r="AX56" s="678" t="n"/>
      <c r="AY56" s="1242" t="n"/>
      <c r="AZ56" s="678" t="n"/>
      <c r="BA56" s="678" t="n"/>
      <c r="BB56" s="678" t="n"/>
      <c r="BC56" s="678" t="n"/>
      <c r="BD56" s="1242" t="n"/>
      <c r="BE56" s="678" t="n"/>
      <c r="BF56" s="678" t="n"/>
      <c r="BG56" s="678" t="n"/>
      <c r="BH56" s="678" t="n"/>
      <c r="BI56" s="1242" t="n"/>
      <c r="BJ56" s="678" t="n"/>
      <c r="BK56" s="678" t="n"/>
      <c r="BL56" s="678" t="n"/>
      <c r="BM56" s="678" t="n"/>
      <c r="BN56" s="1242" t="n"/>
      <c r="BO56" s="678" t="n"/>
      <c r="BP56" s="678" t="n"/>
      <c r="BQ56" s="678" t="n"/>
      <c r="BR56" s="678" t="n"/>
      <c r="BS56" s="1242" t="n"/>
      <c r="BT56" s="678" t="n"/>
      <c r="BU56" s="678" t="n"/>
      <c r="BV56" s="935" t="n"/>
      <c r="BW56" s="678" t="n"/>
      <c r="BX56" s="1242" t="n"/>
      <c r="BY56" s="678" t="n"/>
      <c r="BZ56" s="678" t="n"/>
      <c r="CA56" s="678" t="n"/>
      <c r="CB56" s="678" t="n"/>
      <c r="CC56" s="1242" t="n"/>
      <c r="CD56" s="1242" t="n"/>
      <c r="CE56" s="1242" t="n"/>
      <c r="CF56" s="1242" t="n"/>
      <c r="CG56" s="827" t="n"/>
    </row>
    <row r="57" ht="15" customFormat="1" customHeight="1" s="974">
      <c r="A57" s="705" t="inlineStr">
        <is>
          <t>Total # of director nominees</t>
        </is>
      </c>
      <c r="B57" s="677" t="n"/>
      <c r="C57" s="1242" t="n"/>
      <c r="D57" s="1242" t="n"/>
      <c r="E57" s="1242" t="n"/>
      <c r="F57" s="1242" t="n"/>
      <c r="G57" s="678" t="n"/>
      <c r="H57" s="678" t="n"/>
      <c r="I57" s="678" t="n"/>
      <c r="J57" s="678" t="n"/>
      <c r="K57" s="1242" t="n"/>
      <c r="L57" s="678" t="n"/>
      <c r="M57" s="678" t="n"/>
      <c r="N57" s="678" t="n"/>
      <c r="O57" s="678" t="n"/>
      <c r="P57" s="1242" t="n"/>
      <c r="Q57" s="678" t="n"/>
      <c r="R57" s="678" t="n"/>
      <c r="S57" s="678" t="n"/>
      <c r="T57" s="678" t="n"/>
      <c r="U57" s="1242" t="n"/>
      <c r="V57" s="678" t="n"/>
      <c r="W57" s="678" t="n"/>
      <c r="X57" s="678" t="n"/>
      <c r="Y57" s="678" t="n"/>
      <c r="Z57" s="1242" t="n"/>
      <c r="AA57" s="678" t="n"/>
      <c r="AB57" s="678" t="n"/>
      <c r="AC57" s="678" t="n"/>
      <c r="AD57" s="678" t="n"/>
      <c r="AE57" s="1242" t="n"/>
      <c r="AF57" s="678" t="n"/>
      <c r="AG57" s="678" t="n"/>
      <c r="AH57" s="678" t="n"/>
      <c r="AI57" s="678" t="n"/>
      <c r="AJ57" s="1242" t="n"/>
      <c r="AK57" s="678" t="n"/>
      <c r="AL57" s="678" t="n"/>
      <c r="AM57" s="678" t="n"/>
      <c r="AN57" s="678" t="n"/>
      <c r="AO57" s="1242" t="n"/>
      <c r="AP57" s="678" t="n"/>
      <c r="AQ57" s="678" t="n"/>
      <c r="AR57" s="678" t="n"/>
      <c r="AS57" s="678" t="n"/>
      <c r="AT57" s="1268" t="n">
        <v>11</v>
      </c>
      <c r="AU57" s="678" t="n"/>
      <c r="AV57" s="678" t="n"/>
      <c r="AW57" s="678" t="n"/>
      <c r="AX57" s="678" t="n"/>
      <c r="AY57" s="1268" t="n">
        <v>13</v>
      </c>
      <c r="AZ57" s="678" t="n"/>
      <c r="BA57" s="678" t="n"/>
      <c r="BB57" s="678" t="n"/>
      <c r="BC57" s="678" t="n"/>
      <c r="BD57" s="1268" t="n">
        <v>13</v>
      </c>
      <c r="BE57" s="678" t="n"/>
      <c r="BF57" s="678" t="n"/>
      <c r="BG57" s="678" t="n"/>
      <c r="BH57" s="678" t="n"/>
      <c r="BI57" s="1268" t="n">
        <v>13</v>
      </c>
      <c r="BJ57" s="678" t="n"/>
      <c r="BK57" s="678" t="n"/>
      <c r="BL57" s="678" t="n"/>
      <c r="BM57" s="678" t="n"/>
      <c r="BN57" s="1268" t="n">
        <v>12</v>
      </c>
      <c r="BO57" s="678" t="n"/>
      <c r="BP57" s="678" t="n"/>
      <c r="BQ57" s="678" t="n"/>
      <c r="BR57" s="678" t="n"/>
      <c r="BS57" s="1242" t="n"/>
      <c r="BT57" s="678" t="n"/>
      <c r="BU57" s="678" t="n"/>
      <c r="BV57" s="935" t="n"/>
      <c r="BW57" s="678" t="n"/>
      <c r="BX57" s="1242" t="n"/>
      <c r="BY57" s="678" t="n"/>
      <c r="BZ57" s="678" t="n"/>
      <c r="CA57" s="678" t="n"/>
      <c r="CB57" s="678" t="n"/>
      <c r="CC57" s="1242" t="n"/>
      <c r="CD57" s="1242" t="n"/>
      <c r="CE57" s="1242" t="n"/>
      <c r="CF57" s="1242" t="n"/>
      <c r="CG57" s="827" t="n"/>
    </row>
    <row r="58" ht="15" customFormat="1" customHeight="1" s="974">
      <c r="A58" s="705" t="inlineStr">
        <is>
          <t>Total # of independent director nominees</t>
        </is>
      </c>
      <c r="B58" s="677" t="n"/>
      <c r="C58" s="1242" t="n"/>
      <c r="D58" s="1242" t="n"/>
      <c r="E58" s="1242" t="n"/>
      <c r="F58" s="1242" t="n"/>
      <c r="G58" s="678" t="n"/>
      <c r="H58" s="678" t="n"/>
      <c r="I58" s="678" t="n"/>
      <c r="J58" s="678" t="n"/>
      <c r="K58" s="1242" t="n"/>
      <c r="L58" s="678" t="n"/>
      <c r="M58" s="678" t="n"/>
      <c r="N58" s="678" t="n"/>
      <c r="O58" s="678" t="n"/>
      <c r="P58" s="1242" t="n"/>
      <c r="Q58" s="678" t="n"/>
      <c r="R58" s="678" t="n"/>
      <c r="S58" s="678" t="n"/>
      <c r="T58" s="678" t="n"/>
      <c r="U58" s="1242" t="n"/>
      <c r="V58" s="678" t="n"/>
      <c r="W58" s="678" t="n"/>
      <c r="X58" s="678" t="n"/>
      <c r="Y58" s="678" t="n"/>
      <c r="Z58" s="1242" t="n"/>
      <c r="AA58" s="678" t="n"/>
      <c r="AB58" s="678" t="n"/>
      <c r="AC58" s="678" t="n"/>
      <c r="AD58" s="678" t="n"/>
      <c r="AE58" s="1242" t="n"/>
      <c r="AF58" s="678" t="n"/>
      <c r="AG58" s="678" t="n"/>
      <c r="AH58" s="678" t="n"/>
      <c r="AI58" s="678" t="n"/>
      <c r="AJ58" s="1242" t="n"/>
      <c r="AK58" s="678" t="n"/>
      <c r="AL58" s="678" t="n"/>
      <c r="AM58" s="678" t="n"/>
      <c r="AN58" s="678" t="n"/>
      <c r="AO58" s="1242" t="n"/>
      <c r="AP58" s="678" t="n"/>
      <c r="AQ58" s="678" t="n"/>
      <c r="AR58" s="678" t="n"/>
      <c r="AS58" s="678" t="n"/>
      <c r="AT58" s="1268" t="n">
        <v>10</v>
      </c>
      <c r="AU58" s="678" t="n"/>
      <c r="AV58" s="678" t="n"/>
      <c r="AW58" s="678" t="n"/>
      <c r="AX58" s="678" t="n"/>
      <c r="AY58" s="1268" t="n">
        <v>12</v>
      </c>
      <c r="AZ58" s="678" t="n"/>
      <c r="BA58" s="678" t="n"/>
      <c r="BB58" s="678" t="n"/>
      <c r="BC58" s="678" t="n"/>
      <c r="BD58" s="1268" t="n">
        <v>12</v>
      </c>
      <c r="BE58" s="678" t="n"/>
      <c r="BF58" s="678" t="n"/>
      <c r="BG58" s="678" t="n"/>
      <c r="BH58" s="678" t="n"/>
      <c r="BI58" s="1268" t="n">
        <v>12</v>
      </c>
      <c r="BJ58" s="678" t="n"/>
      <c r="BK58" s="678" t="n"/>
      <c r="BL58" s="678" t="n"/>
      <c r="BM58" s="678" t="n"/>
      <c r="BN58" s="1268" t="n">
        <v>11</v>
      </c>
      <c r="BO58" s="678" t="n"/>
      <c r="BP58" s="678" t="n"/>
      <c r="BQ58" s="678" t="n"/>
      <c r="BR58" s="678" t="n"/>
      <c r="BS58" s="1242" t="n"/>
      <c r="BT58" s="678" t="n"/>
      <c r="BU58" s="678" t="n"/>
      <c r="BV58" s="935" t="n"/>
      <c r="BW58" s="678" t="n"/>
      <c r="BX58" s="1242" t="n"/>
      <c r="BY58" s="678" t="n"/>
      <c r="BZ58" s="678" t="n"/>
      <c r="CA58" s="678" t="n"/>
      <c r="CB58" s="678" t="n"/>
      <c r="CC58" s="1242" t="n"/>
      <c r="CD58" s="1242" t="n"/>
      <c r="CE58" s="1242" t="n"/>
      <c r="CF58" s="1242" t="n"/>
      <c r="CG58" s="827" t="n"/>
    </row>
    <row r="59" ht="15" customFormat="1" customHeight="1" s="973">
      <c r="A59" s="682" t="n"/>
      <c r="B59" s="683" t="n"/>
      <c r="C59" s="1241" t="n"/>
      <c r="D59" s="1241" t="n"/>
      <c r="E59" s="1241" t="n"/>
      <c r="F59" s="1241" t="n"/>
      <c r="G59" s="574" t="n"/>
      <c r="H59" s="574" t="n"/>
      <c r="I59" s="574" t="n"/>
      <c r="J59" s="574" t="n"/>
      <c r="K59" s="1241" t="n"/>
      <c r="L59" s="574" t="n"/>
      <c r="M59" s="574" t="n"/>
      <c r="N59" s="574" t="n"/>
      <c r="O59" s="574" t="n"/>
      <c r="P59" s="1241" t="n"/>
      <c r="Q59" s="574" t="n"/>
      <c r="R59" s="574" t="n"/>
      <c r="S59" s="574" t="n"/>
      <c r="T59" s="574" t="n"/>
      <c r="U59" s="1241" t="n"/>
      <c r="V59" s="574" t="n"/>
      <c r="W59" s="574" t="n"/>
      <c r="X59" s="574" t="n"/>
      <c r="Y59" s="574" t="n"/>
      <c r="Z59" s="1241" t="n"/>
      <c r="AA59" s="574" t="n"/>
      <c r="AB59" s="574" t="n"/>
      <c r="AC59" s="574" t="n"/>
      <c r="AD59" s="574" t="n"/>
      <c r="AE59" s="1241" t="n"/>
      <c r="AF59" s="574" t="n"/>
      <c r="AG59" s="574" t="n"/>
      <c r="AH59" s="574" t="n"/>
      <c r="AI59" s="574" t="n"/>
      <c r="AJ59" s="1241" t="n"/>
      <c r="AK59" s="574" t="n"/>
      <c r="AL59" s="574" t="n"/>
      <c r="AM59" s="574" t="n"/>
      <c r="AN59" s="574" t="n"/>
      <c r="AO59" s="1241" t="n"/>
      <c r="AP59" s="574" t="n"/>
      <c r="AQ59" s="574" t="n"/>
      <c r="AR59" s="574" t="n"/>
      <c r="AS59" s="574" t="n"/>
      <c r="AT59" s="1241" t="n"/>
      <c r="AU59" s="574" t="n"/>
      <c r="AV59" s="574" t="n"/>
      <c r="AW59" s="574" t="n"/>
      <c r="AX59" s="574" t="n"/>
      <c r="AY59" s="1241" t="n"/>
      <c r="AZ59" s="574" t="n"/>
      <c r="BA59" s="574" t="n"/>
      <c r="BB59" s="574" t="n"/>
      <c r="BC59" s="574" t="n"/>
      <c r="BD59" s="1241" t="n"/>
      <c r="BE59" s="574" t="n"/>
      <c r="BF59" s="574" t="n"/>
      <c r="BG59" s="574" t="n"/>
      <c r="BH59" s="574" t="n"/>
      <c r="BI59" s="1241" t="n"/>
      <c r="BJ59" s="574" t="n"/>
      <c r="BK59" s="574" t="n"/>
      <c r="BL59" s="574" t="n"/>
      <c r="BM59" s="574" t="n"/>
      <c r="BN59" s="1241" t="n"/>
      <c r="BO59" s="574" t="n"/>
      <c r="BP59" s="574" t="n"/>
      <c r="BQ59" s="574" t="n"/>
      <c r="BR59" s="574" t="n"/>
      <c r="BS59" s="1241" t="n"/>
      <c r="BT59" s="574" t="n"/>
      <c r="BU59" s="574" t="n"/>
      <c r="BV59" s="936" t="n"/>
      <c r="BW59" s="574" t="n"/>
      <c r="BX59" s="1241" t="n"/>
      <c r="BY59" s="574" t="n"/>
      <c r="BZ59" s="574" t="n"/>
      <c r="CA59" s="574" t="n"/>
      <c r="CB59" s="574" t="n"/>
      <c r="CC59" s="1241" t="n"/>
      <c r="CD59" s="1241" t="n"/>
      <c r="CE59" s="1241" t="n"/>
      <c r="CF59" s="1241" t="n"/>
      <c r="CG59" s="829" t="n"/>
    </row>
    <row r="60" ht="15" customFormat="1" customHeight="1" s="973">
      <c r="A60" s="1017" t="inlineStr">
        <is>
          <t>Director Compensation</t>
        </is>
      </c>
      <c r="B60" s="1017" t="n"/>
      <c r="C60" s="1017" t="n"/>
      <c r="D60" s="1017" t="n"/>
      <c r="E60" s="1017" t="n"/>
      <c r="F60" s="1017" t="n"/>
      <c r="G60" s="1017" t="n"/>
      <c r="H60" s="1017" t="n"/>
      <c r="I60" s="1017" t="n"/>
      <c r="J60" s="1017" t="n"/>
      <c r="K60" s="1017" t="n"/>
      <c r="L60" s="1017" t="n"/>
      <c r="M60" s="1017" t="n"/>
      <c r="N60" s="1017" t="n"/>
      <c r="O60" s="1017" t="n"/>
      <c r="P60" s="1017" t="n"/>
      <c r="Q60" s="1017" t="n"/>
      <c r="R60" s="1017" t="n"/>
      <c r="S60" s="1017" t="n"/>
      <c r="T60" s="1017" t="n"/>
      <c r="U60" s="1017" t="n"/>
      <c r="V60" s="1017" t="n"/>
      <c r="W60" s="1017" t="n"/>
      <c r="X60" s="1017" t="n"/>
      <c r="Y60" s="1017" t="n"/>
      <c r="Z60" s="1017" t="n"/>
      <c r="AA60" s="1017" t="n"/>
      <c r="AB60" s="1017" t="n"/>
      <c r="AC60" s="1017" t="n"/>
      <c r="AD60" s="1017" t="n"/>
      <c r="AE60" s="1017" t="n"/>
      <c r="AF60" s="1017" t="n"/>
      <c r="AG60" s="1017" t="n"/>
      <c r="AH60" s="1017" t="n"/>
      <c r="AI60" s="1017" t="n"/>
      <c r="AJ60" s="1017" t="n"/>
      <c r="AK60" s="1017" t="n"/>
      <c r="AL60" s="1017" t="n"/>
      <c r="AM60" s="1017" t="n"/>
      <c r="AN60" s="1017" t="n"/>
      <c r="AO60" s="1017" t="n"/>
      <c r="AP60" s="1017" t="n"/>
      <c r="AQ60" s="1017" t="n"/>
      <c r="AR60" s="1017" t="n"/>
      <c r="AS60" s="1017" t="n"/>
      <c r="AT60" s="1017" t="n"/>
      <c r="AU60" s="1017" t="n"/>
      <c r="AV60" s="1017" t="n"/>
      <c r="AW60" s="1017" t="n"/>
      <c r="AX60" s="1017" t="n"/>
      <c r="AY60" s="1017" t="n"/>
      <c r="AZ60" s="1017" t="n"/>
      <c r="BA60" s="1017" t="n"/>
      <c r="BB60" s="1017" t="n"/>
      <c r="BC60" s="1017" t="n"/>
      <c r="BD60" s="1017" t="n"/>
      <c r="BE60" s="1017" t="n"/>
      <c r="BF60" s="1017" t="n"/>
      <c r="BG60" s="1017" t="n"/>
      <c r="BH60" s="1017" t="n"/>
      <c r="BI60" s="1017" t="n"/>
      <c r="BJ60" s="1017" t="n"/>
      <c r="BK60" s="1017" t="n"/>
      <c r="BL60" s="1017" t="n"/>
      <c r="BM60" s="1017" t="n"/>
      <c r="BN60" s="1017" t="n"/>
      <c r="BO60" s="1017" t="n"/>
      <c r="BP60" s="1017" t="n"/>
      <c r="BQ60" s="1017" t="n"/>
      <c r="BR60" s="1017" t="n"/>
      <c r="BS60" s="1017" t="n"/>
      <c r="BT60" s="1017" t="n"/>
      <c r="BU60" s="1017" t="n"/>
      <c r="BV60" s="1018" t="n"/>
      <c r="BW60" s="1017" t="n"/>
      <c r="BX60" s="1017" t="n"/>
      <c r="BY60" s="1017" t="n"/>
      <c r="BZ60" s="1017" t="n"/>
      <c r="CA60" s="1017" t="n"/>
      <c r="CB60" s="1017" t="n"/>
      <c r="CC60" s="1017" t="n"/>
      <c r="CD60" s="1017" t="n"/>
      <c r="CE60" s="1017" t="n"/>
      <c r="CF60" s="1017" t="n"/>
      <c r="CG60" s="829" t="n"/>
    </row>
    <row r="61" hidden="1" outlineLevel="1" ht="15" customFormat="1" customHeight="1" s="974">
      <c r="A61" s="394" t="inlineStr">
        <is>
          <t>Director 1 cash comp, 000s</t>
        </is>
      </c>
      <c r="B61" s="677" t="n"/>
      <c r="C61" s="1242" t="n"/>
      <c r="D61" s="1242" t="n"/>
      <c r="E61" s="1242" t="n"/>
      <c r="F61" s="1242" t="n"/>
      <c r="G61" s="678" t="n"/>
      <c r="H61" s="678" t="n"/>
      <c r="I61" s="678" t="n"/>
      <c r="J61" s="678" t="n"/>
      <c r="K61" s="1242" t="n"/>
      <c r="L61" s="678" t="n"/>
      <c r="M61" s="678" t="n"/>
      <c r="N61" s="678" t="n"/>
      <c r="O61" s="678" t="n"/>
      <c r="P61" s="1242" t="n"/>
      <c r="Q61" s="678" t="n"/>
      <c r="R61" s="678" t="n"/>
      <c r="S61" s="678" t="n"/>
      <c r="T61" s="678" t="n"/>
      <c r="U61" s="1242" t="n"/>
      <c r="V61" s="678" t="n"/>
      <c r="W61" s="678" t="n"/>
      <c r="X61" s="678" t="n"/>
      <c r="Y61" s="678" t="n"/>
      <c r="Z61" s="1242" t="n"/>
      <c r="AA61" s="678" t="n"/>
      <c r="AB61" s="678" t="n"/>
      <c r="AC61" s="678" t="n"/>
      <c r="AD61" s="678" t="n"/>
      <c r="AE61" s="1242" t="n"/>
      <c r="AF61" s="678" t="n"/>
      <c r="AG61" s="678" t="n"/>
      <c r="AH61" s="678" t="n"/>
      <c r="AI61" s="678" t="n"/>
      <c r="AJ61" s="1242" t="n"/>
      <c r="AK61" s="678" t="n"/>
      <c r="AL61" s="678" t="n"/>
      <c r="AM61" s="678" t="n"/>
      <c r="AN61" s="678" t="n"/>
      <c r="AO61" s="1242" t="n"/>
      <c r="AP61" s="678" t="n"/>
      <c r="AQ61" s="678" t="n"/>
      <c r="AR61" s="678" t="n"/>
      <c r="AS61" s="678" t="n"/>
      <c r="AT61" s="1268" t="n">
        <v>75</v>
      </c>
      <c r="AU61" s="678" t="n"/>
      <c r="AV61" s="678" t="n"/>
      <c r="AW61" s="678" t="n"/>
      <c r="AX61" s="678" t="n"/>
      <c r="AY61" s="1268" t="n">
        <v>75</v>
      </c>
      <c r="AZ61" s="678" t="n"/>
      <c r="BA61" s="678" t="n"/>
      <c r="BB61" s="678" t="n"/>
      <c r="BC61" s="678" t="n"/>
      <c r="BD61" s="1268" t="n">
        <v>82.5</v>
      </c>
      <c r="BE61" s="678" t="n"/>
      <c r="BF61" s="678" t="n"/>
      <c r="BG61" s="678" t="n"/>
      <c r="BH61" s="678" t="n"/>
      <c r="BI61" s="1268" t="n">
        <v>85</v>
      </c>
      <c r="BJ61" s="678" t="n"/>
      <c r="BK61" s="678" t="n"/>
      <c r="BL61" s="678" t="n"/>
      <c r="BM61" s="678" t="n"/>
      <c r="BN61" s="1268" t="n">
        <v>85</v>
      </c>
      <c r="BO61" s="678" t="n"/>
      <c r="BP61" s="678" t="n"/>
      <c r="BQ61" s="678" t="n"/>
      <c r="BR61" s="678" t="n"/>
      <c r="BS61" s="1242" t="n"/>
      <c r="BT61" s="678" t="n"/>
      <c r="BU61" s="678" t="n"/>
      <c r="BV61" s="935" t="n"/>
      <c r="BW61" s="678" t="n"/>
      <c r="BX61" s="1242" t="n"/>
      <c r="BY61" s="678" t="n"/>
      <c r="BZ61" s="678" t="n"/>
      <c r="CA61" s="678" t="n"/>
      <c r="CB61" s="678" t="n"/>
      <c r="CC61" s="1242" t="n"/>
      <c r="CD61" s="1242" t="n"/>
      <c r="CE61" s="1242" t="n"/>
      <c r="CF61" s="1242" t="n"/>
      <c r="CG61" s="827" t="n"/>
    </row>
    <row r="62" hidden="1" outlineLevel="1" ht="15" customFormat="1" customHeight="1" s="974">
      <c r="A62" s="394" t="inlineStr">
        <is>
          <t>Director 2 cash comp, 000s</t>
        </is>
      </c>
      <c r="B62" s="677" t="n"/>
      <c r="C62" s="1242" t="n"/>
      <c r="D62" s="1242" t="n"/>
      <c r="E62" s="1242" t="n"/>
      <c r="F62" s="1242" t="n"/>
      <c r="G62" s="678" t="n"/>
      <c r="H62" s="678" t="n"/>
      <c r="I62" s="678" t="n"/>
      <c r="J62" s="678" t="n"/>
      <c r="K62" s="1242" t="n"/>
      <c r="L62" s="678" t="n"/>
      <c r="M62" s="678" t="n"/>
      <c r="N62" s="678" t="n"/>
      <c r="O62" s="678" t="n"/>
      <c r="P62" s="1242" t="n"/>
      <c r="Q62" s="678" t="n"/>
      <c r="R62" s="678" t="n"/>
      <c r="S62" s="678" t="n"/>
      <c r="T62" s="678" t="n"/>
      <c r="U62" s="1242" t="n"/>
      <c r="V62" s="678" t="n"/>
      <c r="W62" s="678" t="n"/>
      <c r="X62" s="678" t="n"/>
      <c r="Y62" s="678" t="n"/>
      <c r="Z62" s="1242" t="n"/>
      <c r="AA62" s="678" t="n"/>
      <c r="AB62" s="678" t="n"/>
      <c r="AC62" s="678" t="n"/>
      <c r="AD62" s="678" t="n"/>
      <c r="AE62" s="1242" t="n"/>
      <c r="AF62" s="678" t="n"/>
      <c r="AG62" s="678" t="n"/>
      <c r="AH62" s="678" t="n"/>
      <c r="AI62" s="678" t="n"/>
      <c r="AJ62" s="1242" t="n"/>
      <c r="AK62" s="678" t="n"/>
      <c r="AL62" s="678" t="n"/>
      <c r="AM62" s="678" t="n"/>
      <c r="AN62" s="678" t="n"/>
      <c r="AO62" s="1242" t="n"/>
      <c r="AP62" s="678" t="n"/>
      <c r="AQ62" s="678" t="n"/>
      <c r="AR62" s="678" t="n"/>
      <c r="AS62" s="678" t="n"/>
      <c r="AT62" s="1268" t="n">
        <v>75</v>
      </c>
      <c r="AU62" s="678" t="n"/>
      <c r="AV62" s="678" t="n"/>
      <c r="AW62" s="678" t="n"/>
      <c r="AX62" s="678" t="n"/>
      <c r="AY62" s="1268" t="n">
        <v>75</v>
      </c>
      <c r="AZ62" s="678" t="n"/>
      <c r="BA62" s="678" t="n"/>
      <c r="BB62" s="678" t="n"/>
      <c r="BC62" s="678" t="n"/>
      <c r="BD62" s="1268" t="n">
        <v>82.5</v>
      </c>
      <c r="BE62" s="678" t="n"/>
      <c r="BF62" s="678" t="n"/>
      <c r="BG62" s="678" t="n"/>
      <c r="BH62" s="678" t="n"/>
      <c r="BI62" s="1268" t="n">
        <v>85</v>
      </c>
      <c r="BJ62" s="678" t="n"/>
      <c r="BK62" s="678" t="n"/>
      <c r="BL62" s="678" t="n"/>
      <c r="BM62" s="678" t="n"/>
      <c r="BN62" s="1268" t="n">
        <v>85</v>
      </c>
      <c r="BO62" s="678" t="n"/>
      <c r="BP62" s="678" t="n"/>
      <c r="BQ62" s="678" t="n"/>
      <c r="BR62" s="678" t="n"/>
      <c r="BS62" s="1242" t="n"/>
      <c r="BT62" s="678" t="n"/>
      <c r="BU62" s="678" t="n"/>
      <c r="BV62" s="935" t="n"/>
      <c r="BW62" s="678" t="n"/>
      <c r="BX62" s="1242" t="n"/>
      <c r="BY62" s="678" t="n"/>
      <c r="BZ62" s="678" t="n"/>
      <c r="CA62" s="678" t="n"/>
      <c r="CB62" s="678" t="n"/>
      <c r="CC62" s="1242" t="n"/>
      <c r="CD62" s="1242" t="n"/>
      <c r="CE62" s="1242" t="n"/>
      <c r="CF62" s="1242" t="n"/>
      <c r="CG62" s="827" t="n"/>
    </row>
    <row r="63" hidden="1" outlineLevel="1" ht="15" customFormat="1" customHeight="1" s="974">
      <c r="A63" s="394" t="inlineStr">
        <is>
          <t>Director 3 cash comp, 000s</t>
        </is>
      </c>
      <c r="B63" s="677" t="n"/>
      <c r="C63" s="1242" t="n"/>
      <c r="D63" s="1242" t="n"/>
      <c r="E63" s="1242" t="n"/>
      <c r="F63" s="1242" t="n"/>
      <c r="G63" s="678" t="n"/>
      <c r="H63" s="678" t="n"/>
      <c r="I63" s="678" t="n"/>
      <c r="J63" s="678" t="n"/>
      <c r="K63" s="1242" t="n"/>
      <c r="L63" s="678" t="n"/>
      <c r="M63" s="678" t="n"/>
      <c r="N63" s="678" t="n"/>
      <c r="O63" s="678" t="n"/>
      <c r="P63" s="1242" t="n"/>
      <c r="Q63" s="678" t="n"/>
      <c r="R63" s="678" t="n"/>
      <c r="S63" s="678" t="n"/>
      <c r="T63" s="678" t="n"/>
      <c r="U63" s="1242" t="n"/>
      <c r="V63" s="678" t="n"/>
      <c r="W63" s="678" t="n"/>
      <c r="X63" s="678" t="n"/>
      <c r="Y63" s="678" t="n"/>
      <c r="Z63" s="1242" t="n"/>
      <c r="AA63" s="678" t="n"/>
      <c r="AB63" s="678" t="n"/>
      <c r="AC63" s="678" t="n"/>
      <c r="AD63" s="678" t="n"/>
      <c r="AE63" s="1242" t="n"/>
      <c r="AF63" s="678" t="n"/>
      <c r="AG63" s="678" t="n"/>
      <c r="AH63" s="678" t="n"/>
      <c r="AI63" s="678" t="n"/>
      <c r="AJ63" s="1242" t="n"/>
      <c r="AK63" s="678" t="n"/>
      <c r="AL63" s="678" t="n"/>
      <c r="AM63" s="678" t="n"/>
      <c r="AN63" s="678" t="n"/>
      <c r="AO63" s="1242" t="n"/>
      <c r="AP63" s="678" t="n"/>
      <c r="AQ63" s="678" t="n"/>
      <c r="AR63" s="678" t="n"/>
      <c r="AS63" s="678" t="n"/>
      <c r="AT63" s="1268" t="n">
        <v>75</v>
      </c>
      <c r="AU63" s="678" t="n"/>
      <c r="AV63" s="678" t="n"/>
      <c r="AW63" s="678" t="n"/>
      <c r="AX63" s="678" t="n"/>
      <c r="AY63" s="1268" t="n">
        <v>48.03</v>
      </c>
      <c r="AZ63" s="678" t="n"/>
      <c r="BA63" s="678" t="n"/>
      <c r="BB63" s="678" t="n"/>
      <c r="BC63" s="678" t="n"/>
      <c r="BD63" s="1268" t="n">
        <v>82.5</v>
      </c>
      <c r="BE63" s="678" t="n"/>
      <c r="BF63" s="678" t="n"/>
      <c r="BG63" s="678" t="n"/>
      <c r="BH63" s="678" t="n"/>
      <c r="BI63" s="1268" t="n">
        <v>85</v>
      </c>
      <c r="BJ63" s="678" t="n"/>
      <c r="BK63" s="678" t="n"/>
      <c r="BL63" s="678" t="n"/>
      <c r="BM63" s="678" t="n"/>
      <c r="BN63" s="1268" t="n">
        <v>85</v>
      </c>
      <c r="BO63" s="678" t="n"/>
      <c r="BP63" s="678" t="n"/>
      <c r="BQ63" s="678" t="n"/>
      <c r="BR63" s="678" t="n"/>
      <c r="BS63" s="1242" t="n"/>
      <c r="BT63" s="678" t="n"/>
      <c r="BU63" s="678" t="n"/>
      <c r="BV63" s="935" t="n"/>
      <c r="BW63" s="678" t="n"/>
      <c r="BX63" s="1242" t="n"/>
      <c r="BY63" s="678" t="n"/>
      <c r="BZ63" s="678" t="n"/>
      <c r="CA63" s="678" t="n"/>
      <c r="CB63" s="678" t="n"/>
      <c r="CC63" s="1242" t="n"/>
      <c r="CD63" s="1242" t="n"/>
      <c r="CE63" s="1242" t="n"/>
      <c r="CF63" s="1242" t="n"/>
      <c r="CG63" s="827" t="n"/>
    </row>
    <row r="64" hidden="1" outlineLevel="1" ht="15" customFormat="1" customHeight="1" s="974">
      <c r="A64" s="394" t="inlineStr">
        <is>
          <t>Director 4 cash comp, 000s</t>
        </is>
      </c>
      <c r="B64" s="677" t="n"/>
      <c r="C64" s="1242" t="n"/>
      <c r="D64" s="1242" t="n"/>
      <c r="E64" s="1242" t="n"/>
      <c r="F64" s="1242" t="n"/>
      <c r="G64" s="678" t="n"/>
      <c r="H64" s="678" t="n"/>
      <c r="I64" s="678" t="n"/>
      <c r="J64" s="678" t="n"/>
      <c r="K64" s="1242" t="n"/>
      <c r="L64" s="678" t="n"/>
      <c r="M64" s="678" t="n"/>
      <c r="N64" s="678" t="n"/>
      <c r="O64" s="678" t="n"/>
      <c r="P64" s="1242" t="n"/>
      <c r="Q64" s="678" t="n"/>
      <c r="R64" s="678" t="n"/>
      <c r="S64" s="678" t="n"/>
      <c r="T64" s="678" t="n"/>
      <c r="U64" s="1242" t="n"/>
      <c r="V64" s="678" t="n"/>
      <c r="W64" s="678" t="n"/>
      <c r="X64" s="678" t="n"/>
      <c r="Y64" s="678" t="n"/>
      <c r="Z64" s="1242" t="n"/>
      <c r="AA64" s="678" t="n"/>
      <c r="AB64" s="678" t="n"/>
      <c r="AC64" s="678" t="n"/>
      <c r="AD64" s="678" t="n"/>
      <c r="AE64" s="1242" t="n"/>
      <c r="AF64" s="678" t="n"/>
      <c r="AG64" s="678" t="n"/>
      <c r="AH64" s="678" t="n"/>
      <c r="AI64" s="678" t="n"/>
      <c r="AJ64" s="1242" t="n"/>
      <c r="AK64" s="678" t="n"/>
      <c r="AL64" s="678" t="n"/>
      <c r="AM64" s="678" t="n"/>
      <c r="AN64" s="678" t="n"/>
      <c r="AO64" s="1242" t="n"/>
      <c r="AP64" s="678" t="n"/>
      <c r="AQ64" s="678" t="n"/>
      <c r="AR64" s="678" t="n"/>
      <c r="AS64" s="678" t="n"/>
      <c r="AT64" s="1268" t="n">
        <v>75</v>
      </c>
      <c r="AU64" s="678" t="n"/>
      <c r="AV64" s="678" t="n"/>
      <c r="AW64" s="678" t="n"/>
      <c r="AX64" s="678" t="n"/>
      <c r="AY64" s="1268" t="n">
        <v>75</v>
      </c>
      <c r="AZ64" s="678" t="n"/>
      <c r="BA64" s="678" t="n"/>
      <c r="BB64" s="678" t="n"/>
      <c r="BC64" s="678" t="n"/>
      <c r="BD64" s="1268" t="n">
        <v>82.5</v>
      </c>
      <c r="BE64" s="678" t="n"/>
      <c r="BF64" s="678" t="n"/>
      <c r="BG64" s="678" t="n"/>
      <c r="BH64" s="678" t="n"/>
      <c r="BI64" s="1268" t="n">
        <v>85</v>
      </c>
      <c r="BJ64" s="678" t="n"/>
      <c r="BK64" s="678" t="n"/>
      <c r="BL64" s="678" t="n"/>
      <c r="BM64" s="678" t="n"/>
      <c r="BN64" s="1268" t="n">
        <v>85</v>
      </c>
      <c r="BO64" s="678" t="n"/>
      <c r="BP64" s="678" t="n"/>
      <c r="BQ64" s="678" t="n"/>
      <c r="BR64" s="678" t="n"/>
      <c r="BS64" s="1242" t="n"/>
      <c r="BT64" s="678" t="n"/>
      <c r="BU64" s="678" t="n"/>
      <c r="BV64" s="935" t="n"/>
      <c r="BW64" s="678" t="n"/>
      <c r="BX64" s="1242" t="n"/>
      <c r="BY64" s="678" t="n"/>
      <c r="BZ64" s="678" t="n"/>
      <c r="CA64" s="678" t="n"/>
      <c r="CB64" s="678" t="n"/>
      <c r="CC64" s="1242" t="n"/>
      <c r="CD64" s="1242" t="n"/>
      <c r="CE64" s="1242" t="n"/>
      <c r="CF64" s="1242" t="n"/>
      <c r="CG64" s="827" t="n"/>
    </row>
    <row r="65" hidden="1" outlineLevel="1" ht="15" customFormat="1" customHeight="1" s="974">
      <c r="A65" s="394" t="inlineStr">
        <is>
          <t>Director 5 cash comp, 000s</t>
        </is>
      </c>
      <c r="B65" s="677" t="n"/>
      <c r="C65" s="1242" t="n"/>
      <c r="D65" s="1242" t="n"/>
      <c r="E65" s="1242" t="n"/>
      <c r="F65" s="1242" t="n"/>
      <c r="G65" s="678" t="n"/>
      <c r="H65" s="678" t="n"/>
      <c r="I65" s="678" t="n"/>
      <c r="J65" s="678" t="n"/>
      <c r="K65" s="1242" t="n"/>
      <c r="L65" s="678" t="n"/>
      <c r="M65" s="678" t="n"/>
      <c r="N65" s="678" t="n"/>
      <c r="O65" s="678" t="n"/>
      <c r="P65" s="1242" t="n"/>
      <c r="Q65" s="678" t="n"/>
      <c r="R65" s="678" t="n"/>
      <c r="S65" s="678" t="n"/>
      <c r="T65" s="678" t="n"/>
      <c r="U65" s="1242" t="n"/>
      <c r="V65" s="678" t="n"/>
      <c r="W65" s="678" t="n"/>
      <c r="X65" s="678" t="n"/>
      <c r="Y65" s="678" t="n"/>
      <c r="Z65" s="1242" t="n"/>
      <c r="AA65" s="678" t="n"/>
      <c r="AB65" s="678" t="n"/>
      <c r="AC65" s="678" t="n"/>
      <c r="AD65" s="678" t="n"/>
      <c r="AE65" s="1242" t="n"/>
      <c r="AF65" s="678" t="n"/>
      <c r="AG65" s="678" t="n"/>
      <c r="AH65" s="678" t="n"/>
      <c r="AI65" s="678" t="n"/>
      <c r="AJ65" s="1242" t="n"/>
      <c r="AK65" s="678" t="n"/>
      <c r="AL65" s="678" t="n"/>
      <c r="AM65" s="678" t="n"/>
      <c r="AN65" s="678" t="n"/>
      <c r="AO65" s="1242" t="n"/>
      <c r="AP65" s="678" t="n"/>
      <c r="AQ65" s="678" t="n"/>
      <c r="AR65" s="678" t="n"/>
      <c r="AS65" s="678" t="n"/>
      <c r="AT65" s="1268" t="n">
        <v>75</v>
      </c>
      <c r="AU65" s="678" t="n"/>
      <c r="AV65" s="678" t="n"/>
      <c r="AW65" s="678" t="n"/>
      <c r="AX65" s="678" t="n"/>
      <c r="AY65" s="1268" t="n">
        <v>37.5</v>
      </c>
      <c r="AZ65" s="678" t="n"/>
      <c r="BA65" s="678" t="n"/>
      <c r="BB65" s="678" t="n"/>
      <c r="BC65" s="678" t="n"/>
      <c r="BD65" s="1268" t="n">
        <v>82.5</v>
      </c>
      <c r="BE65" s="678" t="n"/>
      <c r="BF65" s="678" t="n"/>
      <c r="BG65" s="678" t="n"/>
      <c r="BH65" s="678" t="n"/>
      <c r="BI65" s="1268" t="n">
        <v>85</v>
      </c>
      <c r="BJ65" s="678" t="n"/>
      <c r="BK65" s="678" t="n"/>
      <c r="BL65" s="678" t="n"/>
      <c r="BM65" s="678" t="n"/>
      <c r="BN65" s="1268" t="n">
        <v>85</v>
      </c>
      <c r="BO65" s="678" t="n"/>
      <c r="BP65" s="678" t="n"/>
      <c r="BQ65" s="678" t="n"/>
      <c r="BR65" s="678" t="n"/>
      <c r="BS65" s="1242" t="n"/>
      <c r="BT65" s="678" t="n"/>
      <c r="BU65" s="678" t="n"/>
      <c r="BV65" s="935" t="n"/>
      <c r="BW65" s="678" t="n"/>
      <c r="BX65" s="1242" t="n"/>
      <c r="BY65" s="678" t="n"/>
      <c r="BZ65" s="678" t="n"/>
      <c r="CA65" s="678" t="n"/>
      <c r="CB65" s="678" t="n"/>
      <c r="CC65" s="1242" t="n"/>
      <c r="CD65" s="1242" t="n"/>
      <c r="CE65" s="1242" t="n"/>
      <c r="CF65" s="1242" t="n"/>
      <c r="CG65" s="827" t="n"/>
    </row>
    <row r="66" hidden="1" outlineLevel="1" ht="15" customFormat="1" customHeight="1" s="974">
      <c r="A66" s="394" t="inlineStr">
        <is>
          <t>Director 6 cash comp, 000s</t>
        </is>
      </c>
      <c r="B66" s="677" t="n"/>
      <c r="C66" s="1242" t="n"/>
      <c r="D66" s="1242" t="n"/>
      <c r="E66" s="1242" t="n"/>
      <c r="F66" s="1242" t="n"/>
      <c r="G66" s="678" t="n"/>
      <c r="H66" s="678" t="n"/>
      <c r="I66" s="678" t="n"/>
      <c r="J66" s="678" t="n"/>
      <c r="K66" s="1242" t="n"/>
      <c r="L66" s="678" t="n"/>
      <c r="M66" s="678" t="n"/>
      <c r="N66" s="678" t="n"/>
      <c r="O66" s="678" t="n"/>
      <c r="P66" s="1242" t="n"/>
      <c r="Q66" s="678" t="n"/>
      <c r="R66" s="678" t="n"/>
      <c r="S66" s="678" t="n"/>
      <c r="T66" s="678" t="n"/>
      <c r="U66" s="1242" t="n"/>
      <c r="V66" s="678" t="n"/>
      <c r="W66" s="678" t="n"/>
      <c r="X66" s="678" t="n"/>
      <c r="Y66" s="678" t="n"/>
      <c r="Z66" s="1242" t="n"/>
      <c r="AA66" s="678" t="n"/>
      <c r="AB66" s="678" t="n"/>
      <c r="AC66" s="678" t="n"/>
      <c r="AD66" s="678" t="n"/>
      <c r="AE66" s="1242" t="n"/>
      <c r="AF66" s="678" t="n"/>
      <c r="AG66" s="678" t="n"/>
      <c r="AH66" s="678" t="n"/>
      <c r="AI66" s="678" t="n"/>
      <c r="AJ66" s="1242" t="n"/>
      <c r="AK66" s="678" t="n"/>
      <c r="AL66" s="678" t="n"/>
      <c r="AM66" s="678" t="n"/>
      <c r="AN66" s="678" t="n"/>
      <c r="AO66" s="1242" t="n"/>
      <c r="AP66" s="678" t="n"/>
      <c r="AQ66" s="678" t="n"/>
      <c r="AR66" s="678" t="n"/>
      <c r="AS66" s="678" t="n"/>
      <c r="AT66" s="1268" t="n">
        <v>75</v>
      </c>
      <c r="AU66" s="678" t="n"/>
      <c r="AV66" s="678" t="n"/>
      <c r="AW66" s="678" t="n"/>
      <c r="AX66" s="678" t="n"/>
      <c r="AY66" s="1268" t="n">
        <v>75</v>
      </c>
      <c r="AZ66" s="678" t="n"/>
      <c r="BA66" s="678" t="n"/>
      <c r="BB66" s="678" t="n"/>
      <c r="BC66" s="678" t="n"/>
      <c r="BD66" s="1268" t="n">
        <v>82.5</v>
      </c>
      <c r="BE66" s="678" t="n"/>
      <c r="BF66" s="678" t="n"/>
      <c r="BG66" s="678" t="n"/>
      <c r="BH66" s="678" t="n"/>
      <c r="BI66" s="1268" t="n">
        <v>85</v>
      </c>
      <c r="BJ66" s="678" t="n"/>
      <c r="BK66" s="678" t="n"/>
      <c r="BL66" s="678" t="n"/>
      <c r="BM66" s="678" t="n"/>
      <c r="BN66" s="1268" t="n">
        <v>85</v>
      </c>
      <c r="BO66" s="678" t="n"/>
      <c r="BP66" s="678" t="n"/>
      <c r="BQ66" s="678" t="n"/>
      <c r="BR66" s="678" t="n"/>
      <c r="BS66" s="1242" t="n"/>
      <c r="BT66" s="678" t="n"/>
      <c r="BU66" s="678" t="n"/>
      <c r="BV66" s="935" t="n"/>
      <c r="BW66" s="678" t="n"/>
      <c r="BX66" s="1242" t="n"/>
      <c r="BY66" s="678" t="n"/>
      <c r="BZ66" s="678" t="n"/>
      <c r="CA66" s="678" t="n"/>
      <c r="CB66" s="678" t="n"/>
      <c r="CC66" s="1242" t="n"/>
      <c r="CD66" s="1242" t="n"/>
      <c r="CE66" s="1242" t="n"/>
      <c r="CF66" s="1242" t="n"/>
      <c r="CG66" s="827" t="n"/>
    </row>
    <row r="67" hidden="1" outlineLevel="1" ht="15" customFormat="1" customHeight="1" s="974">
      <c r="A67" s="394" t="inlineStr">
        <is>
          <t>Director 7 cash comp, 000s</t>
        </is>
      </c>
      <c r="B67" s="677" t="n"/>
      <c r="C67" s="1242" t="n"/>
      <c r="D67" s="1242" t="n"/>
      <c r="E67" s="1242" t="n"/>
      <c r="F67" s="1242" t="n"/>
      <c r="G67" s="678" t="n"/>
      <c r="H67" s="678" t="n"/>
      <c r="I67" s="678" t="n"/>
      <c r="J67" s="678" t="n"/>
      <c r="K67" s="1242" t="n"/>
      <c r="L67" s="678" t="n"/>
      <c r="M67" s="678" t="n"/>
      <c r="N67" s="678" t="n"/>
      <c r="O67" s="678" t="n"/>
      <c r="P67" s="1242" t="n"/>
      <c r="Q67" s="678" t="n"/>
      <c r="R67" s="678" t="n"/>
      <c r="S67" s="678" t="n"/>
      <c r="T67" s="678" t="n"/>
      <c r="U67" s="1242" t="n"/>
      <c r="V67" s="678" t="n"/>
      <c r="W67" s="678" t="n"/>
      <c r="X67" s="678" t="n"/>
      <c r="Y67" s="678" t="n"/>
      <c r="Z67" s="1242" t="n"/>
      <c r="AA67" s="678" t="n"/>
      <c r="AB67" s="678" t="n"/>
      <c r="AC67" s="678" t="n"/>
      <c r="AD67" s="678" t="n"/>
      <c r="AE67" s="1242" t="n"/>
      <c r="AF67" s="678" t="n"/>
      <c r="AG67" s="678" t="n"/>
      <c r="AH67" s="678" t="n"/>
      <c r="AI67" s="678" t="n"/>
      <c r="AJ67" s="1242" t="n"/>
      <c r="AK67" s="678" t="n"/>
      <c r="AL67" s="678" t="n"/>
      <c r="AM67" s="678" t="n"/>
      <c r="AN67" s="678" t="n"/>
      <c r="AO67" s="1242" t="n"/>
      <c r="AP67" s="678" t="n"/>
      <c r="AQ67" s="678" t="n"/>
      <c r="AR67" s="678" t="n"/>
      <c r="AS67" s="678" t="n"/>
      <c r="AT67" s="1268" t="n">
        <v>75</v>
      </c>
      <c r="AU67" s="678" t="n"/>
      <c r="AV67" s="678" t="n"/>
      <c r="AW67" s="678" t="n"/>
      <c r="AX67" s="678" t="n"/>
      <c r="AY67" s="1268" t="n">
        <v>75</v>
      </c>
      <c r="AZ67" s="678" t="n"/>
      <c r="BA67" s="678" t="n"/>
      <c r="BB67" s="678" t="n"/>
      <c r="BC67" s="678" t="n"/>
      <c r="BD67" s="1268" t="n">
        <v>82.5</v>
      </c>
      <c r="BE67" s="678" t="n"/>
      <c r="BF67" s="678" t="n"/>
      <c r="BG67" s="678" t="n"/>
      <c r="BH67" s="678" t="n"/>
      <c r="BI67" s="1268" t="n">
        <v>85</v>
      </c>
      <c r="BJ67" s="678" t="n"/>
      <c r="BK67" s="678" t="n"/>
      <c r="BL67" s="678" t="n"/>
      <c r="BM67" s="678" t="n"/>
      <c r="BN67" s="1268" t="n">
        <v>56</v>
      </c>
      <c r="BO67" s="678" t="n"/>
      <c r="BP67" s="678" t="n"/>
      <c r="BQ67" s="678" t="n"/>
      <c r="BR67" s="678" t="n"/>
      <c r="BS67" s="1242" t="n"/>
      <c r="BT67" s="678" t="n"/>
      <c r="BU67" s="678" t="n"/>
      <c r="BV67" s="935" t="n"/>
      <c r="BW67" s="678" t="n"/>
      <c r="BX67" s="1242" t="n"/>
      <c r="BY67" s="678" t="n"/>
      <c r="BZ67" s="678" t="n"/>
      <c r="CA67" s="678" t="n"/>
      <c r="CB67" s="678" t="n"/>
      <c r="CC67" s="1242" t="n"/>
      <c r="CD67" s="1242" t="n"/>
      <c r="CE67" s="1242" t="n"/>
      <c r="CF67" s="1242" t="n"/>
      <c r="CG67" s="827" t="n"/>
    </row>
    <row r="68" hidden="1" outlineLevel="1" ht="15" customFormat="1" customHeight="1" s="974">
      <c r="A68" s="394" t="inlineStr">
        <is>
          <t>Director 8 cash comp, 000s</t>
        </is>
      </c>
      <c r="B68" s="677" t="n"/>
      <c r="C68" s="1242" t="n"/>
      <c r="D68" s="1242" t="n"/>
      <c r="E68" s="1242" t="n"/>
      <c r="F68" s="1242" t="n"/>
      <c r="G68" s="678" t="n"/>
      <c r="H68" s="678" t="n"/>
      <c r="I68" s="678" t="n"/>
      <c r="J68" s="678" t="n"/>
      <c r="K68" s="1242" t="n"/>
      <c r="L68" s="678" t="n"/>
      <c r="M68" s="678" t="n"/>
      <c r="N68" s="678" t="n"/>
      <c r="O68" s="678" t="n"/>
      <c r="P68" s="1242" t="n"/>
      <c r="Q68" s="678" t="n"/>
      <c r="R68" s="678" t="n"/>
      <c r="S68" s="678" t="n"/>
      <c r="T68" s="678" t="n"/>
      <c r="U68" s="1242" t="n"/>
      <c r="V68" s="678" t="n"/>
      <c r="W68" s="678" t="n"/>
      <c r="X68" s="678" t="n"/>
      <c r="Y68" s="678" t="n"/>
      <c r="Z68" s="1242" t="n"/>
      <c r="AA68" s="678" t="n"/>
      <c r="AB68" s="678" t="n"/>
      <c r="AC68" s="678" t="n"/>
      <c r="AD68" s="678" t="n"/>
      <c r="AE68" s="1242" t="n"/>
      <c r="AF68" s="678" t="n"/>
      <c r="AG68" s="678" t="n"/>
      <c r="AH68" s="678" t="n"/>
      <c r="AI68" s="678" t="n"/>
      <c r="AJ68" s="1242" t="n"/>
      <c r="AK68" s="678" t="n"/>
      <c r="AL68" s="678" t="n"/>
      <c r="AM68" s="678" t="n"/>
      <c r="AN68" s="678" t="n"/>
      <c r="AO68" s="1242" t="n"/>
      <c r="AP68" s="678" t="n"/>
      <c r="AQ68" s="678" t="n"/>
      <c r="AR68" s="678" t="n"/>
      <c r="AS68" s="678" t="n"/>
      <c r="AT68" s="1268" t="n">
        <v>67.14</v>
      </c>
      <c r="AU68" s="678" t="n"/>
      <c r="AV68" s="678" t="n"/>
      <c r="AW68" s="678" t="n"/>
      <c r="AX68" s="678" t="n"/>
      <c r="AY68" s="1268" t="n">
        <v>75</v>
      </c>
      <c r="AZ68" s="678" t="n"/>
      <c r="BA68" s="678" t="n"/>
      <c r="BB68" s="678" t="n"/>
      <c r="BC68" s="678" t="n"/>
      <c r="BD68" s="1268" t="n">
        <v>82.5</v>
      </c>
      <c r="BE68" s="678" t="n"/>
      <c r="BF68" s="678" t="n"/>
      <c r="BG68" s="678" t="n"/>
      <c r="BH68" s="678" t="n"/>
      <c r="BI68" s="1268" t="n">
        <v>85</v>
      </c>
      <c r="BJ68" s="678" t="n"/>
      <c r="BK68" s="678" t="n"/>
      <c r="BL68" s="678" t="n"/>
      <c r="BM68" s="678" t="n"/>
      <c r="BN68" s="1268" t="n">
        <v>85</v>
      </c>
      <c r="BO68" s="678" t="n"/>
      <c r="BP68" s="678" t="n"/>
      <c r="BQ68" s="678" t="n"/>
      <c r="BR68" s="678" t="n"/>
      <c r="BS68" s="1242" t="n"/>
      <c r="BT68" s="678" t="n"/>
      <c r="BU68" s="678" t="n"/>
      <c r="BV68" s="935" t="n"/>
      <c r="BW68" s="678" t="n"/>
      <c r="BX68" s="1242" t="n"/>
      <c r="BY68" s="678" t="n"/>
      <c r="BZ68" s="678" t="n"/>
      <c r="CA68" s="678" t="n"/>
      <c r="CB68" s="678" t="n"/>
      <c r="CC68" s="1242" t="n"/>
      <c r="CD68" s="1242" t="n"/>
      <c r="CE68" s="1242" t="n"/>
      <c r="CF68" s="1242" t="n"/>
      <c r="CG68" s="827" t="n"/>
    </row>
    <row r="69" hidden="1" outlineLevel="1" ht="15" customFormat="1" customHeight="1" s="974">
      <c r="A69" s="394" t="inlineStr">
        <is>
          <t>Director 9 cash comp, 000s</t>
        </is>
      </c>
      <c r="B69" s="677" t="n"/>
      <c r="C69" s="1242" t="n"/>
      <c r="D69" s="1242" t="n"/>
      <c r="E69" s="1242" t="n"/>
      <c r="F69" s="1242" t="n"/>
      <c r="G69" s="678" t="n"/>
      <c r="H69" s="678" t="n"/>
      <c r="I69" s="678" t="n"/>
      <c r="J69" s="678" t="n"/>
      <c r="K69" s="1242" t="n"/>
      <c r="L69" s="678" t="n"/>
      <c r="M69" s="678" t="n"/>
      <c r="N69" s="678" t="n"/>
      <c r="O69" s="678" t="n"/>
      <c r="P69" s="1242" t="n"/>
      <c r="Q69" s="678" t="n"/>
      <c r="R69" s="678" t="n"/>
      <c r="S69" s="678" t="n"/>
      <c r="T69" s="678" t="n"/>
      <c r="U69" s="1242" t="n"/>
      <c r="V69" s="678" t="n"/>
      <c r="W69" s="678" t="n"/>
      <c r="X69" s="678" t="n"/>
      <c r="Y69" s="678" t="n"/>
      <c r="Z69" s="1242" t="n"/>
      <c r="AA69" s="678" t="n"/>
      <c r="AB69" s="678" t="n"/>
      <c r="AC69" s="678" t="n"/>
      <c r="AD69" s="678" t="n"/>
      <c r="AE69" s="1242" t="n"/>
      <c r="AF69" s="678" t="n"/>
      <c r="AG69" s="678" t="n"/>
      <c r="AH69" s="678" t="n"/>
      <c r="AI69" s="678" t="n"/>
      <c r="AJ69" s="1242" t="n"/>
      <c r="AK69" s="678" t="n"/>
      <c r="AL69" s="678" t="n"/>
      <c r="AM69" s="678" t="n"/>
      <c r="AN69" s="678" t="n"/>
      <c r="AO69" s="1242" t="n"/>
      <c r="AP69" s="678" t="n"/>
      <c r="AQ69" s="678" t="n"/>
      <c r="AR69" s="678" t="n"/>
      <c r="AS69" s="678" t="n"/>
      <c r="AT69" s="1268" t="n">
        <v>75</v>
      </c>
      <c r="AU69" s="678" t="n"/>
      <c r="AV69" s="678" t="n"/>
      <c r="AW69" s="678" t="n"/>
      <c r="AX69" s="678" t="n"/>
      <c r="AY69" s="1268" t="n">
        <v>75</v>
      </c>
      <c r="AZ69" s="678" t="n"/>
      <c r="BA69" s="678" t="n"/>
      <c r="BB69" s="678" t="n"/>
      <c r="BC69" s="678" t="n"/>
      <c r="BD69" s="1268" t="n">
        <v>82.5</v>
      </c>
      <c r="BE69" s="678" t="n"/>
      <c r="BF69" s="678" t="n"/>
      <c r="BG69" s="678" t="n"/>
      <c r="BH69" s="678" t="n"/>
      <c r="BI69" s="1268" t="n">
        <v>85</v>
      </c>
      <c r="BJ69" s="678" t="n"/>
      <c r="BK69" s="678" t="n"/>
      <c r="BL69" s="678" t="n"/>
      <c r="BM69" s="678" t="n"/>
      <c r="BN69" s="1268" t="n">
        <v>85</v>
      </c>
      <c r="BO69" s="678" t="n"/>
      <c r="BP69" s="678" t="n"/>
      <c r="BQ69" s="678" t="n"/>
      <c r="BR69" s="678" t="n"/>
      <c r="BS69" s="1242" t="n"/>
      <c r="BT69" s="678" t="n"/>
      <c r="BU69" s="678" t="n"/>
      <c r="BV69" s="935" t="n"/>
      <c r="BW69" s="678" t="n"/>
      <c r="BX69" s="1242" t="n"/>
      <c r="BY69" s="678" t="n"/>
      <c r="BZ69" s="678" t="n"/>
      <c r="CA69" s="678" t="n"/>
      <c r="CB69" s="678" t="n"/>
      <c r="CC69" s="1242" t="n"/>
      <c r="CD69" s="1242" t="n"/>
      <c r="CE69" s="1242" t="n"/>
      <c r="CF69" s="1242" t="n"/>
      <c r="CG69" s="827" t="n"/>
    </row>
    <row r="70" hidden="1" outlineLevel="1" ht="15" customFormat="1" customHeight="1" s="974">
      <c r="A70" s="394" t="inlineStr">
        <is>
          <t>Director 10 cash comp, 000s</t>
        </is>
      </c>
      <c r="B70" s="677" t="n"/>
      <c r="C70" s="1242" t="n"/>
      <c r="D70" s="1242" t="n"/>
      <c r="E70" s="1242" t="n"/>
      <c r="F70" s="1242" t="n"/>
      <c r="G70" s="678" t="n"/>
      <c r="H70" s="678" t="n"/>
      <c r="I70" s="678" t="n"/>
      <c r="J70" s="678" t="n"/>
      <c r="K70" s="1242" t="n"/>
      <c r="L70" s="678" t="n"/>
      <c r="M70" s="678" t="n"/>
      <c r="N70" s="678" t="n"/>
      <c r="O70" s="678" t="n"/>
      <c r="P70" s="1242" t="n"/>
      <c r="Q70" s="678" t="n"/>
      <c r="R70" s="678" t="n"/>
      <c r="S70" s="678" t="n"/>
      <c r="T70" s="678" t="n"/>
      <c r="U70" s="1242" t="n"/>
      <c r="V70" s="678" t="n"/>
      <c r="W70" s="678" t="n"/>
      <c r="X70" s="678" t="n"/>
      <c r="Y70" s="678" t="n"/>
      <c r="Z70" s="1242" t="n"/>
      <c r="AA70" s="678" t="n"/>
      <c r="AB70" s="678" t="n"/>
      <c r="AC70" s="678" t="n"/>
      <c r="AD70" s="678" t="n"/>
      <c r="AE70" s="1242" t="n"/>
      <c r="AF70" s="678" t="n"/>
      <c r="AG70" s="678" t="n"/>
      <c r="AH70" s="678" t="n"/>
      <c r="AI70" s="678" t="n"/>
      <c r="AJ70" s="1242" t="n"/>
      <c r="AK70" s="678" t="n"/>
      <c r="AL70" s="678" t="n"/>
      <c r="AM70" s="678" t="n"/>
      <c r="AN70" s="678" t="n"/>
      <c r="AO70" s="1242" t="n"/>
      <c r="AP70" s="678" t="n"/>
      <c r="AQ70" s="678" t="n"/>
      <c r="AR70" s="678" t="n"/>
      <c r="AS70" s="678" t="n"/>
      <c r="AT70" s="1268" t="n">
        <v>75</v>
      </c>
      <c r="AU70" s="678" t="n"/>
      <c r="AV70" s="678" t="n"/>
      <c r="AW70" s="678" t="n"/>
      <c r="AX70" s="678" t="n"/>
      <c r="AY70" s="1268" t="n">
        <v>75</v>
      </c>
      <c r="AZ70" s="678" t="n"/>
      <c r="BA70" s="678" t="n"/>
      <c r="BB70" s="678" t="n"/>
      <c r="BC70" s="678" t="n"/>
      <c r="BD70" s="1268" t="n">
        <v>82.5</v>
      </c>
      <c r="BE70" s="678" t="n"/>
      <c r="BF70" s="678" t="n"/>
      <c r="BG70" s="678" t="n"/>
      <c r="BH70" s="678" t="n"/>
      <c r="BI70" s="1268" t="n">
        <v>85</v>
      </c>
      <c r="BJ70" s="678" t="n"/>
      <c r="BK70" s="678" t="n"/>
      <c r="BL70" s="678" t="n"/>
      <c r="BM70" s="678" t="n"/>
      <c r="BN70" s="1268" t="n">
        <v>85</v>
      </c>
      <c r="BO70" s="678" t="n"/>
      <c r="BP70" s="678" t="n"/>
      <c r="BQ70" s="678" t="n"/>
      <c r="BR70" s="678" t="n"/>
      <c r="BS70" s="1242" t="n"/>
      <c r="BT70" s="678" t="n"/>
      <c r="BU70" s="678" t="n"/>
      <c r="BV70" s="935" t="n"/>
      <c r="BW70" s="678" t="n"/>
      <c r="BX70" s="1242" t="n"/>
      <c r="BY70" s="678" t="n"/>
      <c r="BZ70" s="678" t="n"/>
      <c r="CA70" s="678" t="n"/>
      <c r="CB70" s="678" t="n"/>
      <c r="CC70" s="1242" t="n"/>
      <c r="CD70" s="1242" t="n"/>
      <c r="CE70" s="1242" t="n"/>
      <c r="CF70" s="1242" t="n"/>
      <c r="CG70" s="827" t="n"/>
    </row>
    <row r="71" hidden="1" outlineLevel="1" ht="15" customFormat="1" customHeight="1" s="974">
      <c r="A71" s="394" t="inlineStr">
        <is>
          <t>Director 11 cash comp, 000s</t>
        </is>
      </c>
      <c r="B71" s="677" t="n"/>
      <c r="C71" s="1242" t="n"/>
      <c r="D71" s="1242" t="n"/>
      <c r="E71" s="1242" t="n"/>
      <c r="F71" s="1242" t="n"/>
      <c r="G71" s="678" t="n"/>
      <c r="H71" s="678" t="n"/>
      <c r="I71" s="678" t="n"/>
      <c r="J71" s="678" t="n"/>
      <c r="K71" s="1242" t="n"/>
      <c r="L71" s="678" t="n"/>
      <c r="M71" s="678" t="n"/>
      <c r="N71" s="678" t="n"/>
      <c r="O71" s="678" t="n"/>
      <c r="P71" s="1242" t="n"/>
      <c r="Q71" s="678" t="n"/>
      <c r="R71" s="678" t="n"/>
      <c r="S71" s="678" t="n"/>
      <c r="T71" s="678" t="n"/>
      <c r="U71" s="1242" t="n"/>
      <c r="V71" s="678" t="n"/>
      <c r="W71" s="678" t="n"/>
      <c r="X71" s="678" t="n"/>
      <c r="Y71" s="678" t="n"/>
      <c r="Z71" s="1242" t="n"/>
      <c r="AA71" s="678" t="n"/>
      <c r="AB71" s="678" t="n"/>
      <c r="AC71" s="678" t="n"/>
      <c r="AD71" s="678" t="n"/>
      <c r="AE71" s="1242" t="n"/>
      <c r="AF71" s="678" t="n"/>
      <c r="AG71" s="678" t="n"/>
      <c r="AH71" s="678" t="n"/>
      <c r="AI71" s="678" t="n"/>
      <c r="AJ71" s="1242" t="n"/>
      <c r="AK71" s="678" t="n"/>
      <c r="AL71" s="678" t="n"/>
      <c r="AM71" s="678" t="n"/>
      <c r="AN71" s="678" t="n"/>
      <c r="AO71" s="1242" t="n"/>
      <c r="AP71" s="678" t="n"/>
      <c r="AQ71" s="678" t="n"/>
      <c r="AR71" s="678" t="n"/>
      <c r="AS71" s="678" t="n"/>
      <c r="AT71" s="1268" t="n">
        <v>75</v>
      </c>
      <c r="AU71" s="678" t="n"/>
      <c r="AV71" s="678" t="n"/>
      <c r="AW71" s="678" t="n"/>
      <c r="AX71" s="678" t="n"/>
      <c r="AY71" s="1268" t="n">
        <v>75</v>
      </c>
      <c r="AZ71" s="678" t="n"/>
      <c r="BA71" s="678" t="n"/>
      <c r="BB71" s="678" t="n"/>
      <c r="BC71" s="678" t="n"/>
      <c r="BD71" s="1268" t="n">
        <v>82.5</v>
      </c>
      <c r="BE71" s="678" t="n"/>
      <c r="BF71" s="678" t="n"/>
      <c r="BG71" s="678" t="n"/>
      <c r="BH71" s="678" t="n"/>
      <c r="BI71" s="1268" t="n">
        <v>85</v>
      </c>
      <c r="BJ71" s="678" t="n"/>
      <c r="BK71" s="678" t="n"/>
      <c r="BL71" s="678" t="n"/>
      <c r="BM71" s="678" t="n"/>
      <c r="BN71" s="1268" t="n">
        <v>85</v>
      </c>
      <c r="BO71" s="678" t="n"/>
      <c r="BP71" s="678" t="n"/>
      <c r="BQ71" s="678" t="n"/>
      <c r="BR71" s="678" t="n"/>
      <c r="BS71" s="1242" t="n"/>
      <c r="BT71" s="678" t="n"/>
      <c r="BU71" s="678" t="n"/>
      <c r="BV71" s="935" t="n"/>
      <c r="BW71" s="678" t="n"/>
      <c r="BX71" s="1242" t="n"/>
      <c r="BY71" s="678" t="n"/>
      <c r="BZ71" s="678" t="n"/>
      <c r="CA71" s="678" t="n"/>
      <c r="CB71" s="678" t="n"/>
      <c r="CC71" s="1242" t="n"/>
      <c r="CD71" s="1242" t="n"/>
      <c r="CE71" s="1242" t="n"/>
      <c r="CF71" s="1242" t="n"/>
      <c r="CG71" s="827" t="n"/>
    </row>
    <row r="72" hidden="1" outlineLevel="1" ht="15" customFormat="1" customHeight="1" s="974">
      <c r="A72" s="394" t="inlineStr">
        <is>
          <t>Director 12 cash comp, 000s</t>
        </is>
      </c>
      <c r="B72" s="677" t="n"/>
      <c r="C72" s="1242" t="n"/>
      <c r="D72" s="1242" t="n"/>
      <c r="E72" s="1242" t="n"/>
      <c r="F72" s="1242" t="n"/>
      <c r="G72" s="678" t="n"/>
      <c r="H72" s="678" t="n"/>
      <c r="I72" s="678" t="n"/>
      <c r="J72" s="678" t="n"/>
      <c r="K72" s="1242" t="n"/>
      <c r="L72" s="678" t="n"/>
      <c r="M72" s="678" t="n"/>
      <c r="N72" s="678" t="n"/>
      <c r="O72" s="678" t="n"/>
      <c r="P72" s="1242" t="n"/>
      <c r="Q72" s="678" t="n"/>
      <c r="R72" s="678" t="n"/>
      <c r="S72" s="678" t="n"/>
      <c r="T72" s="678" t="n"/>
      <c r="U72" s="1242" t="n"/>
      <c r="V72" s="678" t="n"/>
      <c r="W72" s="678" t="n"/>
      <c r="X72" s="678" t="n"/>
      <c r="Y72" s="678" t="n"/>
      <c r="Z72" s="1242" t="n"/>
      <c r="AA72" s="678" t="n"/>
      <c r="AB72" s="678" t="n"/>
      <c r="AC72" s="678" t="n"/>
      <c r="AD72" s="678" t="n"/>
      <c r="AE72" s="1242" t="n"/>
      <c r="AF72" s="678" t="n"/>
      <c r="AG72" s="678" t="n"/>
      <c r="AH72" s="678" t="n"/>
      <c r="AI72" s="678" t="n"/>
      <c r="AJ72" s="1242" t="n"/>
      <c r="AK72" s="678" t="n"/>
      <c r="AL72" s="678" t="n"/>
      <c r="AM72" s="678" t="n"/>
      <c r="AN72" s="678" t="n"/>
      <c r="AO72" s="1242" t="n"/>
      <c r="AP72" s="678" t="n"/>
      <c r="AQ72" s="678" t="n"/>
      <c r="AR72" s="678" t="n"/>
      <c r="AS72" s="678" t="n"/>
      <c r="AT72" s="1242" t="n"/>
      <c r="AU72" s="678" t="n"/>
      <c r="AV72" s="678" t="n"/>
      <c r="AW72" s="678" t="n"/>
      <c r="AX72" s="678" t="n"/>
      <c r="AY72" s="1268" t="n">
        <v>23.55</v>
      </c>
      <c r="AZ72" s="678" t="n"/>
      <c r="BA72" s="678" t="n"/>
      <c r="BB72" s="678" t="n"/>
      <c r="BC72" s="678" t="n"/>
      <c r="BD72" s="1268" t="n">
        <v>82.5</v>
      </c>
      <c r="BE72" s="678" t="n"/>
      <c r="BF72" s="678" t="n"/>
      <c r="BG72" s="678" t="n"/>
      <c r="BH72" s="678" t="n"/>
      <c r="BI72" s="1268" t="n">
        <v>85</v>
      </c>
      <c r="BJ72" s="678" t="n"/>
      <c r="BK72" s="678" t="n"/>
      <c r="BL72" s="678" t="n"/>
      <c r="BM72" s="678" t="n"/>
      <c r="BN72" s="1268" t="n">
        <v>85</v>
      </c>
      <c r="BO72" s="678" t="n"/>
      <c r="BP72" s="678" t="n"/>
      <c r="BQ72" s="678" t="n"/>
      <c r="BR72" s="678" t="n"/>
      <c r="BS72" s="1242" t="n"/>
      <c r="BT72" s="678" t="n"/>
      <c r="BU72" s="678" t="n"/>
      <c r="BV72" s="935" t="n"/>
      <c r="BW72" s="678" t="n"/>
      <c r="BX72" s="1242" t="n"/>
      <c r="BY72" s="678" t="n"/>
      <c r="BZ72" s="678" t="n"/>
      <c r="CA72" s="678" t="n"/>
      <c r="CB72" s="678" t="n"/>
      <c r="CC72" s="1242" t="n"/>
      <c r="CD72" s="1242" t="n"/>
      <c r="CE72" s="1242" t="n"/>
      <c r="CF72" s="1242" t="n"/>
      <c r="CG72" s="827" t="n"/>
    </row>
    <row r="73" hidden="1" outlineLevel="1" ht="15" customFormat="1" customHeight="1" s="974">
      <c r="A73" s="833" t="inlineStr">
        <is>
          <t>Director 13 cash comp, 000s</t>
        </is>
      </c>
      <c r="B73" s="863" t="n"/>
      <c r="C73" s="1248" t="n"/>
      <c r="D73" s="1248" t="n"/>
      <c r="E73" s="1248" t="n"/>
      <c r="F73" s="1248" t="n"/>
      <c r="G73" s="681" t="n"/>
      <c r="H73" s="681" t="n"/>
      <c r="I73" s="681" t="n"/>
      <c r="J73" s="681" t="n"/>
      <c r="K73" s="1248" t="n"/>
      <c r="L73" s="681" t="n"/>
      <c r="M73" s="681" t="n"/>
      <c r="N73" s="681" t="n"/>
      <c r="O73" s="681" t="n"/>
      <c r="P73" s="1248" t="n"/>
      <c r="Q73" s="681" t="n"/>
      <c r="R73" s="681" t="n"/>
      <c r="S73" s="681" t="n"/>
      <c r="T73" s="681" t="n"/>
      <c r="U73" s="1248" t="n"/>
      <c r="V73" s="681" t="n"/>
      <c r="W73" s="681" t="n"/>
      <c r="X73" s="681" t="n"/>
      <c r="Y73" s="681" t="n"/>
      <c r="Z73" s="1248" t="n"/>
      <c r="AA73" s="681" t="n"/>
      <c r="AB73" s="681" t="n"/>
      <c r="AC73" s="681" t="n"/>
      <c r="AD73" s="681" t="n"/>
      <c r="AE73" s="1248" t="n"/>
      <c r="AF73" s="681" t="n"/>
      <c r="AG73" s="681" t="n"/>
      <c r="AH73" s="681" t="n"/>
      <c r="AI73" s="681" t="n"/>
      <c r="AJ73" s="1248" t="n"/>
      <c r="AK73" s="681" t="n"/>
      <c r="AL73" s="681" t="n"/>
      <c r="AM73" s="681" t="n"/>
      <c r="AN73" s="681" t="n"/>
      <c r="AO73" s="1248" t="n"/>
      <c r="AP73" s="681" t="n"/>
      <c r="AQ73" s="681" t="n"/>
      <c r="AR73" s="681" t="n"/>
      <c r="AS73" s="681" t="n"/>
      <c r="AT73" s="1248" t="n"/>
      <c r="AU73" s="681" t="n"/>
      <c r="AV73" s="681" t="n"/>
      <c r="AW73" s="681" t="n"/>
      <c r="AX73" s="681" t="n"/>
      <c r="AY73" s="1274" t="n">
        <v>75</v>
      </c>
      <c r="AZ73" s="681" t="n"/>
      <c r="BA73" s="681" t="n"/>
      <c r="BB73" s="681" t="n"/>
      <c r="BC73" s="681" t="n"/>
      <c r="BD73" s="1242" t="n"/>
      <c r="BE73" s="681" t="n"/>
      <c r="BF73" s="681" t="n"/>
      <c r="BG73" s="681" t="n"/>
      <c r="BH73" s="681" t="n"/>
      <c r="BI73" s="1242" t="n"/>
      <c r="BJ73" s="681" t="n"/>
      <c r="BK73" s="681" t="n"/>
      <c r="BL73" s="681" t="n"/>
      <c r="BM73" s="681" t="n"/>
      <c r="BN73" s="1274" t="n">
        <v>85</v>
      </c>
      <c r="BO73" s="681" t="n"/>
      <c r="BP73" s="681" t="n"/>
      <c r="BQ73" s="681" t="n"/>
      <c r="BR73" s="681" t="n"/>
      <c r="BS73" s="1248" t="n"/>
      <c r="BT73" s="681" t="n"/>
      <c r="BU73" s="681" t="n"/>
      <c r="BV73" s="939" t="n"/>
      <c r="BW73" s="681" t="n"/>
      <c r="BX73" s="1248" t="n"/>
      <c r="BY73" s="681" t="n"/>
      <c r="BZ73" s="681" t="n"/>
      <c r="CA73" s="681" t="n"/>
      <c r="CB73" s="681" t="n"/>
      <c r="CC73" s="1248" t="n"/>
      <c r="CD73" s="1248" t="n"/>
      <c r="CE73" s="1248" t="n"/>
      <c r="CF73" s="1248" t="n"/>
      <c r="CG73" s="827" t="n"/>
    </row>
    <row r="74" collapsed="1" ht="15" customFormat="1" customHeight="1" s="974">
      <c r="A74" s="197" t="inlineStr">
        <is>
          <t>Total director cash comp, 000s</t>
        </is>
      </c>
      <c r="B74" s="677" t="n"/>
      <c r="C74" s="1242" t="n"/>
      <c r="D74" s="1242" t="n"/>
      <c r="E74" s="1242" t="n"/>
      <c r="F74" s="1242" t="n"/>
      <c r="G74" s="678" t="n"/>
      <c r="H74" s="678" t="n"/>
      <c r="I74" s="678" t="n"/>
      <c r="J74" s="678" t="n"/>
      <c r="K74" s="1242" t="n"/>
      <c r="L74" s="678" t="n"/>
      <c r="M74" s="678" t="n"/>
      <c r="N74" s="678" t="n"/>
      <c r="O74" s="678" t="n"/>
      <c r="P74" s="1242" t="n"/>
      <c r="Q74" s="678" t="n"/>
      <c r="R74" s="678" t="n"/>
      <c r="S74" s="678" t="n"/>
      <c r="T74" s="678" t="n"/>
      <c r="U74" s="1242" t="n"/>
      <c r="V74" s="678" t="n"/>
      <c r="W74" s="678" t="n"/>
      <c r="X74" s="678" t="n"/>
      <c r="Y74" s="678" t="n"/>
      <c r="Z74" s="1242" t="n"/>
      <c r="AA74" s="678" t="n"/>
      <c r="AB74" s="678" t="n"/>
      <c r="AC74" s="678" t="n"/>
      <c r="AD74" s="678" t="n"/>
      <c r="AE74" s="1242" t="n"/>
      <c r="AF74" s="678" t="n"/>
      <c r="AG74" s="678" t="n"/>
      <c r="AH74" s="678" t="n"/>
      <c r="AI74" s="678" t="n"/>
      <c r="AJ74" s="1242" t="n"/>
      <c r="AK74" s="678" t="n"/>
      <c r="AL74" s="678" t="n"/>
      <c r="AM74" s="678" t="n"/>
      <c r="AN74" s="678" t="n"/>
      <c r="AO74" s="1242" t="n"/>
      <c r="AP74" s="678" t="n"/>
      <c r="AQ74" s="678" t="n"/>
      <c r="AR74" s="678" t="n"/>
      <c r="AS74" s="678" t="n"/>
      <c r="AT74" s="1242">
        <f>SUM(AT61:AT73)</f>
        <v/>
      </c>
      <c r="AU74" s="678" t="n"/>
      <c r="AV74" s="678" t="n"/>
      <c r="AW74" s="678" t="n"/>
      <c r="AX74" s="678" t="n"/>
      <c r="AY74" s="1242">
        <f>SUM(AY61:AY73)</f>
        <v/>
      </c>
      <c r="AZ74" s="678" t="n"/>
      <c r="BA74" s="678" t="n"/>
      <c r="BB74" s="678" t="n"/>
      <c r="BC74" s="678" t="n"/>
      <c r="BD74" s="1275">
        <f>SUM(BD61:BD73)</f>
        <v/>
      </c>
      <c r="BE74" s="678" t="n"/>
      <c r="BF74" s="678" t="n"/>
      <c r="BG74" s="678" t="n"/>
      <c r="BH74" s="678" t="n"/>
      <c r="BI74" s="1275">
        <f>SUM(BI61:BI73)</f>
        <v/>
      </c>
      <c r="BJ74" s="678" t="n"/>
      <c r="BK74" s="678" t="n"/>
      <c r="BL74" s="678" t="n"/>
      <c r="BM74" s="678" t="n"/>
      <c r="BN74" s="1242">
        <f>SUM(BN61:BN73)</f>
        <v/>
      </c>
      <c r="BO74" s="678" t="n"/>
      <c r="BP74" s="678" t="n"/>
      <c r="BQ74" s="678" t="n"/>
      <c r="BR74" s="678" t="n"/>
      <c r="BS74" s="1242" t="n"/>
      <c r="BT74" s="678" t="n"/>
      <c r="BU74" s="678" t="n"/>
      <c r="BV74" s="935" t="n"/>
      <c r="BW74" s="678" t="n"/>
      <c r="BX74" s="1242" t="n"/>
      <c r="BY74" s="678" t="n"/>
      <c r="BZ74" s="678" t="n"/>
      <c r="CA74" s="678" t="n"/>
      <c r="CB74" s="678" t="n"/>
      <c r="CC74" s="1242" t="n"/>
      <c r="CD74" s="1242" t="n"/>
      <c r="CE74" s="1242" t="n"/>
      <c r="CF74" s="1242" t="n"/>
      <c r="CG74" s="827" t="n"/>
    </row>
    <row r="75" hidden="1" outlineLevel="1" ht="15" customFormat="1" customHeight="1" s="974">
      <c r="A75" s="394" t="inlineStr">
        <is>
          <t>Director 1 stock award comp, 000s</t>
        </is>
      </c>
      <c r="B75" s="677" t="n"/>
      <c r="C75" s="1242" t="n"/>
      <c r="D75" s="1242" t="n"/>
      <c r="E75" s="1242" t="n"/>
      <c r="F75" s="1242" t="n"/>
      <c r="G75" s="678" t="n"/>
      <c r="H75" s="678" t="n"/>
      <c r="I75" s="678" t="n"/>
      <c r="J75" s="678" t="n"/>
      <c r="K75" s="1242" t="n"/>
      <c r="L75" s="678" t="n"/>
      <c r="M75" s="678" t="n"/>
      <c r="N75" s="678" t="n"/>
      <c r="O75" s="678" t="n"/>
      <c r="P75" s="1242" t="n"/>
      <c r="Q75" s="678" t="n"/>
      <c r="R75" s="678" t="n"/>
      <c r="S75" s="678" t="n"/>
      <c r="T75" s="678" t="n"/>
      <c r="U75" s="1242" t="n"/>
      <c r="V75" s="678" t="n"/>
      <c r="W75" s="678" t="n"/>
      <c r="X75" s="678" t="n"/>
      <c r="Y75" s="678" t="n"/>
      <c r="Z75" s="1242" t="n"/>
      <c r="AA75" s="678" t="n"/>
      <c r="AB75" s="678" t="n"/>
      <c r="AC75" s="678" t="n"/>
      <c r="AD75" s="678" t="n"/>
      <c r="AE75" s="1242" t="n"/>
      <c r="AF75" s="678" t="n"/>
      <c r="AG75" s="678" t="n"/>
      <c r="AH75" s="678" t="n"/>
      <c r="AI75" s="678" t="n"/>
      <c r="AJ75" s="1242" t="n"/>
      <c r="AK75" s="678" t="n"/>
      <c r="AL75" s="678" t="n"/>
      <c r="AM75" s="678" t="n"/>
      <c r="AN75" s="678" t="n"/>
      <c r="AO75" s="1242" t="n"/>
      <c r="AP75" s="678" t="n"/>
      <c r="AQ75" s="678" t="n"/>
      <c r="AR75" s="678" t="n"/>
      <c r="AS75" s="678" t="n"/>
      <c r="AT75" s="1268" t="n">
        <v>184.536</v>
      </c>
      <c r="AU75" s="678" t="n"/>
      <c r="AV75" s="678" t="n"/>
      <c r="AW75" s="678" t="n"/>
      <c r="AX75" s="678" t="n"/>
      <c r="AY75" s="1268" t="n">
        <v>266.338</v>
      </c>
      <c r="AZ75" s="678" t="n"/>
      <c r="BA75" s="678" t="n"/>
      <c r="BB75" s="678" t="n"/>
      <c r="BC75" s="678" t="n"/>
      <c r="BD75" s="1268" t="n">
        <v>301.381</v>
      </c>
      <c r="BE75" s="678" t="n"/>
      <c r="BF75" s="678" t="n"/>
      <c r="BG75" s="678" t="n"/>
      <c r="BH75" s="678" t="n"/>
      <c r="BI75" s="1268" t="n">
        <v>268.978</v>
      </c>
      <c r="BJ75" s="678" t="n"/>
      <c r="BK75" s="678" t="n"/>
      <c r="BL75" s="678" t="n"/>
      <c r="BM75" s="678" t="n"/>
      <c r="BN75" s="1268" t="n">
        <v>274.268</v>
      </c>
      <c r="BO75" s="678" t="n"/>
      <c r="BP75" s="678" t="n"/>
      <c r="BQ75" s="678" t="n"/>
      <c r="BR75" s="678" t="n"/>
      <c r="BS75" s="1242" t="n"/>
      <c r="BT75" s="678" t="n"/>
      <c r="BU75" s="678" t="n"/>
      <c r="BV75" s="935" t="n"/>
      <c r="BW75" s="678" t="n"/>
      <c r="BX75" s="1242" t="n"/>
      <c r="BY75" s="678" t="n"/>
      <c r="BZ75" s="678" t="n"/>
      <c r="CA75" s="678" t="n"/>
      <c r="CB75" s="678" t="n"/>
      <c r="CC75" s="1242" t="n"/>
      <c r="CD75" s="1242" t="n"/>
      <c r="CE75" s="1242" t="n"/>
      <c r="CF75" s="1242" t="n"/>
      <c r="CG75" s="827" t="n"/>
    </row>
    <row r="76" hidden="1" outlineLevel="1" ht="15" customFormat="1" customHeight="1" s="974">
      <c r="A76" s="394" t="inlineStr">
        <is>
          <t>Director 2 stock award comp, 000s</t>
        </is>
      </c>
      <c r="B76" s="677" t="n"/>
      <c r="C76" s="1242" t="n"/>
      <c r="D76" s="1242" t="n"/>
      <c r="E76" s="1242" t="n"/>
      <c r="F76" s="1242" t="n"/>
      <c r="G76" s="678" t="n"/>
      <c r="H76" s="678" t="n"/>
      <c r="I76" s="678" t="n"/>
      <c r="J76" s="678" t="n"/>
      <c r="K76" s="1242" t="n"/>
      <c r="L76" s="678" t="n"/>
      <c r="M76" s="678" t="n"/>
      <c r="N76" s="678" t="n"/>
      <c r="O76" s="678" t="n"/>
      <c r="P76" s="1242" t="n"/>
      <c r="Q76" s="678" t="n"/>
      <c r="R76" s="678" t="n"/>
      <c r="S76" s="678" t="n"/>
      <c r="T76" s="678" t="n"/>
      <c r="U76" s="1242" t="n"/>
      <c r="V76" s="678" t="n"/>
      <c r="W76" s="678" t="n"/>
      <c r="X76" s="678" t="n"/>
      <c r="Y76" s="678" t="n"/>
      <c r="Z76" s="1242" t="n"/>
      <c r="AA76" s="678" t="n"/>
      <c r="AB76" s="678" t="n"/>
      <c r="AC76" s="678" t="n"/>
      <c r="AD76" s="678" t="n"/>
      <c r="AE76" s="1242" t="n"/>
      <c r="AF76" s="678" t="n"/>
      <c r="AG76" s="678" t="n"/>
      <c r="AH76" s="678" t="n"/>
      <c r="AI76" s="678" t="n"/>
      <c r="AJ76" s="1242" t="n"/>
      <c r="AK76" s="678" t="n"/>
      <c r="AL76" s="678" t="n"/>
      <c r="AM76" s="678" t="n"/>
      <c r="AN76" s="678" t="n"/>
      <c r="AO76" s="1242" t="n"/>
      <c r="AP76" s="678" t="n"/>
      <c r="AQ76" s="678" t="n"/>
      <c r="AR76" s="678" t="n"/>
      <c r="AS76" s="678" t="n"/>
      <c r="AT76" s="1268" t="n">
        <v>184.536</v>
      </c>
      <c r="AU76" s="678" t="n"/>
      <c r="AV76" s="678" t="n"/>
      <c r="AW76" s="678" t="n"/>
      <c r="AX76" s="678" t="n"/>
      <c r="AY76" s="1268" t="n">
        <v>266.338</v>
      </c>
      <c r="AZ76" s="678" t="n"/>
      <c r="BA76" s="678" t="n"/>
      <c r="BB76" s="678" t="n"/>
      <c r="BC76" s="678" t="n"/>
      <c r="BD76" s="1268" t="n">
        <v>301.381</v>
      </c>
      <c r="BE76" s="678" t="n"/>
      <c r="BF76" s="678" t="n"/>
      <c r="BG76" s="678" t="n"/>
      <c r="BH76" s="678" t="n"/>
      <c r="BI76" s="1268" t="n">
        <v>268.978</v>
      </c>
      <c r="BJ76" s="678" t="n"/>
      <c r="BK76" s="678" t="n"/>
      <c r="BL76" s="678" t="n"/>
      <c r="BM76" s="678" t="n"/>
      <c r="BN76" s="1268" t="n">
        <v>274.268</v>
      </c>
      <c r="BO76" s="678" t="n"/>
      <c r="BP76" s="678" t="n"/>
      <c r="BQ76" s="678" t="n"/>
      <c r="BR76" s="678" t="n"/>
      <c r="BS76" s="1242" t="n"/>
      <c r="BT76" s="678" t="n"/>
      <c r="BU76" s="678" t="n"/>
      <c r="BV76" s="935" t="n"/>
      <c r="BW76" s="678" t="n"/>
      <c r="BX76" s="1242" t="n"/>
      <c r="BY76" s="678" t="n"/>
      <c r="BZ76" s="678" t="n"/>
      <c r="CA76" s="678" t="n"/>
      <c r="CB76" s="678" t="n"/>
      <c r="CC76" s="1242" t="n"/>
      <c r="CD76" s="1242" t="n"/>
      <c r="CE76" s="1242" t="n"/>
      <c r="CF76" s="1242" t="n"/>
      <c r="CG76" s="827" t="n"/>
    </row>
    <row r="77" hidden="1" outlineLevel="1" ht="15" customFormat="1" customHeight="1" s="974">
      <c r="A77" s="394" t="inlineStr">
        <is>
          <t>Director 3 stock award comp, 000s</t>
        </is>
      </c>
      <c r="B77" s="677" t="n"/>
      <c r="C77" s="1242" t="n"/>
      <c r="D77" s="1242" t="n"/>
      <c r="E77" s="1242" t="n"/>
      <c r="F77" s="1242" t="n"/>
      <c r="G77" s="678" t="n"/>
      <c r="H77" s="678" t="n"/>
      <c r="I77" s="678" t="n"/>
      <c r="J77" s="678" t="n"/>
      <c r="K77" s="1242" t="n"/>
      <c r="L77" s="678" t="n"/>
      <c r="M77" s="678" t="n"/>
      <c r="N77" s="678" t="n"/>
      <c r="O77" s="678" t="n"/>
      <c r="P77" s="1242" t="n"/>
      <c r="Q77" s="678" t="n"/>
      <c r="R77" s="678" t="n"/>
      <c r="S77" s="678" t="n"/>
      <c r="T77" s="678" t="n"/>
      <c r="U77" s="1242" t="n"/>
      <c r="V77" s="678" t="n"/>
      <c r="W77" s="678" t="n"/>
      <c r="X77" s="678" t="n"/>
      <c r="Y77" s="678" t="n"/>
      <c r="Z77" s="1242" t="n"/>
      <c r="AA77" s="678" t="n"/>
      <c r="AB77" s="678" t="n"/>
      <c r="AC77" s="678" t="n"/>
      <c r="AD77" s="678" t="n"/>
      <c r="AE77" s="1242" t="n"/>
      <c r="AF77" s="678" t="n"/>
      <c r="AG77" s="678" t="n"/>
      <c r="AH77" s="678" t="n"/>
      <c r="AI77" s="678" t="n"/>
      <c r="AJ77" s="1242" t="n"/>
      <c r="AK77" s="678" t="n"/>
      <c r="AL77" s="678" t="n"/>
      <c r="AM77" s="678" t="n"/>
      <c r="AN77" s="678" t="n"/>
      <c r="AO77" s="1242" t="n"/>
      <c r="AP77" s="678" t="n"/>
      <c r="AQ77" s="678" t="n"/>
      <c r="AR77" s="678" t="n"/>
      <c r="AS77" s="678" t="n"/>
      <c r="AT77" s="1268" t="n">
        <v>184.536</v>
      </c>
      <c r="AU77" s="678" t="n"/>
      <c r="AV77" s="678" t="n"/>
      <c r="AW77" s="678" t="n"/>
      <c r="AX77" s="678" t="n"/>
      <c r="AY77" s="1268" t="n">
        <v>558.145</v>
      </c>
      <c r="AZ77" s="678" t="n"/>
      <c r="BA77" s="678" t="n"/>
      <c r="BB77" s="678" t="n"/>
      <c r="BC77" s="678" t="n"/>
      <c r="BD77" s="1268" t="n">
        <v>301.381</v>
      </c>
      <c r="BE77" s="678" t="n"/>
      <c r="BF77" s="678" t="n"/>
      <c r="BG77" s="678" t="n"/>
      <c r="BH77" s="678" t="n"/>
      <c r="BI77" s="1268" t="n">
        <v>268.978</v>
      </c>
      <c r="BJ77" s="678" t="n"/>
      <c r="BK77" s="678" t="n"/>
      <c r="BL77" s="678" t="n"/>
      <c r="BM77" s="678" t="n"/>
      <c r="BN77" s="1268" t="n">
        <v>274.268</v>
      </c>
      <c r="BO77" s="678" t="n"/>
      <c r="BP77" s="678" t="n"/>
      <c r="BQ77" s="678" t="n"/>
      <c r="BR77" s="678" t="n"/>
      <c r="BS77" s="1242" t="n"/>
      <c r="BT77" s="678" t="n"/>
      <c r="BU77" s="678" t="n"/>
      <c r="BV77" s="935" t="n"/>
      <c r="BW77" s="678" t="n"/>
      <c r="BX77" s="1242" t="n"/>
      <c r="BY77" s="678" t="n"/>
      <c r="BZ77" s="678" t="n"/>
      <c r="CA77" s="678" t="n"/>
      <c r="CB77" s="678" t="n"/>
      <c r="CC77" s="1242" t="n"/>
      <c r="CD77" s="1242" t="n"/>
      <c r="CE77" s="1242" t="n"/>
      <c r="CF77" s="1242" t="n"/>
      <c r="CG77" s="827" t="n"/>
    </row>
    <row r="78" hidden="1" outlineLevel="1" ht="15" customFormat="1" customHeight="1" s="974">
      <c r="A78" s="394" t="inlineStr">
        <is>
          <t>Director 4 stock award comp, 000s</t>
        </is>
      </c>
      <c r="B78" s="677" t="n"/>
      <c r="C78" s="1242" t="n"/>
      <c r="D78" s="1242" t="n"/>
      <c r="E78" s="1242" t="n"/>
      <c r="F78" s="1242" t="n"/>
      <c r="G78" s="678" t="n"/>
      <c r="H78" s="678" t="n"/>
      <c r="I78" s="678" t="n"/>
      <c r="J78" s="678" t="n"/>
      <c r="K78" s="1242" t="n"/>
      <c r="L78" s="678" t="n"/>
      <c r="M78" s="678" t="n"/>
      <c r="N78" s="678" t="n"/>
      <c r="O78" s="678" t="n"/>
      <c r="P78" s="1242" t="n"/>
      <c r="Q78" s="678" t="n"/>
      <c r="R78" s="678" t="n"/>
      <c r="S78" s="678" t="n"/>
      <c r="T78" s="678" t="n"/>
      <c r="U78" s="1242" t="n"/>
      <c r="V78" s="678" t="n"/>
      <c r="W78" s="678" t="n"/>
      <c r="X78" s="678" t="n"/>
      <c r="Y78" s="678" t="n"/>
      <c r="Z78" s="1242" t="n"/>
      <c r="AA78" s="678" t="n"/>
      <c r="AB78" s="678" t="n"/>
      <c r="AC78" s="678" t="n"/>
      <c r="AD78" s="678" t="n"/>
      <c r="AE78" s="1242" t="n"/>
      <c r="AF78" s="678" t="n"/>
      <c r="AG78" s="678" t="n"/>
      <c r="AH78" s="678" t="n"/>
      <c r="AI78" s="678" t="n"/>
      <c r="AJ78" s="1242" t="n"/>
      <c r="AK78" s="678" t="n"/>
      <c r="AL78" s="678" t="n"/>
      <c r="AM78" s="678" t="n"/>
      <c r="AN78" s="678" t="n"/>
      <c r="AO78" s="1242" t="n"/>
      <c r="AP78" s="678" t="n"/>
      <c r="AQ78" s="678" t="n"/>
      <c r="AR78" s="678" t="n"/>
      <c r="AS78" s="678" t="n"/>
      <c r="AT78" s="1268" t="n">
        <v>184.536</v>
      </c>
      <c r="AU78" s="678" t="n"/>
      <c r="AV78" s="678" t="n"/>
      <c r="AW78" s="678" t="n"/>
      <c r="AX78" s="678" t="n"/>
      <c r="AY78" s="1268" t="n">
        <v>266.338</v>
      </c>
      <c r="AZ78" s="678" t="n"/>
      <c r="BA78" s="678" t="n"/>
      <c r="BB78" s="678" t="n"/>
      <c r="BC78" s="678" t="n"/>
      <c r="BD78" s="1268" t="n">
        <v>301.381</v>
      </c>
      <c r="BE78" s="678" t="n"/>
      <c r="BF78" s="678" t="n"/>
      <c r="BG78" s="678" t="n"/>
      <c r="BH78" s="678" t="n"/>
      <c r="BI78" s="1268" t="n">
        <v>268.978</v>
      </c>
      <c r="BJ78" s="678" t="n"/>
      <c r="BK78" s="678" t="n"/>
      <c r="BL78" s="678" t="n"/>
      <c r="BM78" s="678" t="n"/>
      <c r="BN78" s="1268" t="n">
        <v>274.268</v>
      </c>
      <c r="BO78" s="678" t="n"/>
      <c r="BP78" s="678" t="n"/>
      <c r="BQ78" s="678" t="n"/>
      <c r="BR78" s="678" t="n"/>
      <c r="BS78" s="1242" t="n"/>
      <c r="BT78" s="678" t="n"/>
      <c r="BU78" s="678" t="n"/>
      <c r="BV78" s="935" t="n"/>
      <c r="BW78" s="678" t="n"/>
      <c r="BX78" s="1242" t="n"/>
      <c r="BY78" s="678" t="n"/>
      <c r="BZ78" s="678" t="n"/>
      <c r="CA78" s="678" t="n"/>
      <c r="CB78" s="678" t="n"/>
      <c r="CC78" s="1242" t="n"/>
      <c r="CD78" s="1242" t="n"/>
      <c r="CE78" s="1242" t="n"/>
      <c r="CF78" s="1242" t="n"/>
      <c r="CG78" s="827" t="n"/>
    </row>
    <row r="79" hidden="1" outlineLevel="1" ht="15" customFormat="1" customHeight="1" s="974">
      <c r="A79" s="394" t="inlineStr">
        <is>
          <t>Director 5 stock award comp, 000s</t>
        </is>
      </c>
      <c r="B79" s="677" t="n"/>
      <c r="C79" s="1242" t="n"/>
      <c r="D79" s="1242" t="n"/>
      <c r="E79" s="1242" t="n"/>
      <c r="F79" s="1242" t="n"/>
      <c r="G79" s="678" t="n"/>
      <c r="H79" s="678" t="n"/>
      <c r="I79" s="678" t="n"/>
      <c r="J79" s="678" t="n"/>
      <c r="K79" s="1242" t="n"/>
      <c r="L79" s="678" t="n"/>
      <c r="M79" s="678" t="n"/>
      <c r="N79" s="678" t="n"/>
      <c r="O79" s="678" t="n"/>
      <c r="P79" s="1242" t="n"/>
      <c r="Q79" s="678" t="n"/>
      <c r="R79" s="678" t="n"/>
      <c r="S79" s="678" t="n"/>
      <c r="T79" s="678" t="n"/>
      <c r="U79" s="1242" t="n"/>
      <c r="V79" s="678" t="n"/>
      <c r="W79" s="678" t="n"/>
      <c r="X79" s="678" t="n"/>
      <c r="Y79" s="678" t="n"/>
      <c r="Z79" s="1242" t="n"/>
      <c r="AA79" s="678" t="n"/>
      <c r="AB79" s="678" t="n"/>
      <c r="AC79" s="678" t="n"/>
      <c r="AD79" s="678" t="n"/>
      <c r="AE79" s="1242" t="n"/>
      <c r="AF79" s="678" t="n"/>
      <c r="AG79" s="678" t="n"/>
      <c r="AH79" s="678" t="n"/>
      <c r="AI79" s="678" t="n"/>
      <c r="AJ79" s="1242" t="n"/>
      <c r="AK79" s="678" t="n"/>
      <c r="AL79" s="678" t="n"/>
      <c r="AM79" s="678" t="n"/>
      <c r="AN79" s="678" t="n"/>
      <c r="AO79" s="1242" t="n"/>
      <c r="AP79" s="678" t="n"/>
      <c r="AQ79" s="678" t="n"/>
      <c r="AR79" s="678" t="n"/>
      <c r="AS79" s="678" t="n"/>
      <c r="AT79" s="1268" t="n">
        <v>184.536</v>
      </c>
      <c r="AU79" s="678" t="n"/>
      <c r="AV79" s="678" t="n"/>
      <c r="AW79" s="678" t="n"/>
      <c r="AX79" s="678" t="n"/>
      <c r="AY79" s="1268" t="n">
        <v>0</v>
      </c>
      <c r="AZ79" s="678" t="n"/>
      <c r="BA79" s="678" t="n"/>
      <c r="BB79" s="678" t="n"/>
      <c r="BC79" s="678" t="n"/>
      <c r="BD79" s="1268" t="n">
        <v>301.381</v>
      </c>
      <c r="BE79" s="678" t="n"/>
      <c r="BF79" s="678" t="n"/>
      <c r="BG79" s="678" t="n"/>
      <c r="BH79" s="678" t="n"/>
      <c r="BI79" s="1268" t="n">
        <v>268.978</v>
      </c>
      <c r="BJ79" s="678" t="n"/>
      <c r="BK79" s="678" t="n"/>
      <c r="BL79" s="678" t="n"/>
      <c r="BM79" s="678" t="n"/>
      <c r="BN79" s="1268" t="n">
        <v>274.268</v>
      </c>
      <c r="BO79" s="678" t="n"/>
      <c r="BP79" s="678" t="n"/>
      <c r="BQ79" s="678" t="n"/>
      <c r="BR79" s="678" t="n"/>
      <c r="BS79" s="1242" t="n"/>
      <c r="BT79" s="678" t="n"/>
      <c r="BU79" s="678" t="n"/>
      <c r="BV79" s="935" t="n"/>
      <c r="BW79" s="678" t="n"/>
      <c r="BX79" s="1242" t="n"/>
      <c r="BY79" s="678" t="n"/>
      <c r="BZ79" s="678" t="n"/>
      <c r="CA79" s="678" t="n"/>
      <c r="CB79" s="678" t="n"/>
      <c r="CC79" s="1242" t="n"/>
      <c r="CD79" s="1242" t="n"/>
      <c r="CE79" s="1242" t="n"/>
      <c r="CF79" s="1242" t="n"/>
      <c r="CG79" s="827" t="n"/>
    </row>
    <row r="80" hidden="1" outlineLevel="1" ht="15" customFormat="1" customHeight="1" s="974">
      <c r="A80" s="394" t="inlineStr">
        <is>
          <t>Director 6 stock award comp, 000s</t>
        </is>
      </c>
      <c r="B80" s="677" t="n"/>
      <c r="C80" s="1242" t="n"/>
      <c r="D80" s="1242" t="n"/>
      <c r="E80" s="1242" t="n"/>
      <c r="F80" s="1242" t="n"/>
      <c r="G80" s="678" t="n"/>
      <c r="H80" s="678" t="n"/>
      <c r="I80" s="678" t="n"/>
      <c r="J80" s="678" t="n"/>
      <c r="K80" s="1242" t="n"/>
      <c r="L80" s="678" t="n"/>
      <c r="M80" s="678" t="n"/>
      <c r="N80" s="678" t="n"/>
      <c r="O80" s="678" t="n"/>
      <c r="P80" s="1242" t="n"/>
      <c r="Q80" s="678" t="n"/>
      <c r="R80" s="678" t="n"/>
      <c r="S80" s="678" t="n"/>
      <c r="T80" s="678" t="n"/>
      <c r="U80" s="1242" t="n"/>
      <c r="V80" s="678" t="n"/>
      <c r="W80" s="678" t="n"/>
      <c r="X80" s="678" t="n"/>
      <c r="Y80" s="678" t="n"/>
      <c r="Z80" s="1242" t="n"/>
      <c r="AA80" s="678" t="n"/>
      <c r="AB80" s="678" t="n"/>
      <c r="AC80" s="678" t="n"/>
      <c r="AD80" s="678" t="n"/>
      <c r="AE80" s="1242" t="n"/>
      <c r="AF80" s="678" t="n"/>
      <c r="AG80" s="678" t="n"/>
      <c r="AH80" s="678" t="n"/>
      <c r="AI80" s="678" t="n"/>
      <c r="AJ80" s="1242" t="n"/>
      <c r="AK80" s="678" t="n"/>
      <c r="AL80" s="678" t="n"/>
      <c r="AM80" s="678" t="n"/>
      <c r="AN80" s="678" t="n"/>
      <c r="AO80" s="1242" t="n"/>
      <c r="AP80" s="678" t="n"/>
      <c r="AQ80" s="678" t="n"/>
      <c r="AR80" s="678" t="n"/>
      <c r="AS80" s="678" t="n"/>
      <c r="AT80" s="1268" t="n">
        <v>184.536</v>
      </c>
      <c r="AU80" s="678" t="n"/>
      <c r="AV80" s="678" t="n"/>
      <c r="AW80" s="678" t="n"/>
      <c r="AX80" s="678" t="n"/>
      <c r="AY80" s="1268" t="n">
        <v>266.338</v>
      </c>
      <c r="AZ80" s="678" t="n"/>
      <c r="BA80" s="678" t="n"/>
      <c r="BB80" s="678" t="n"/>
      <c r="BC80" s="678" t="n"/>
      <c r="BD80" s="1268" t="n">
        <v>301.381</v>
      </c>
      <c r="BE80" s="678" t="n"/>
      <c r="BF80" s="678" t="n"/>
      <c r="BG80" s="678" t="n"/>
      <c r="BH80" s="678" t="n"/>
      <c r="BI80" s="1268" t="n">
        <v>268.978</v>
      </c>
      <c r="BJ80" s="678" t="n"/>
      <c r="BK80" s="678" t="n"/>
      <c r="BL80" s="678" t="n"/>
      <c r="BM80" s="678" t="n"/>
      <c r="BN80" s="1268" t="n">
        <v>274.268</v>
      </c>
      <c r="BO80" s="678" t="n"/>
      <c r="BP80" s="678" t="n"/>
      <c r="BQ80" s="678" t="n"/>
      <c r="BR80" s="678" t="n"/>
      <c r="BS80" s="1242" t="n"/>
      <c r="BT80" s="678" t="n"/>
      <c r="BU80" s="678" t="n"/>
      <c r="BV80" s="935" t="n"/>
      <c r="BW80" s="678" t="n"/>
      <c r="BX80" s="1242" t="n"/>
      <c r="BY80" s="678" t="n"/>
      <c r="BZ80" s="678" t="n"/>
      <c r="CA80" s="678" t="n"/>
      <c r="CB80" s="678" t="n"/>
      <c r="CC80" s="1242" t="n"/>
      <c r="CD80" s="1242" t="n"/>
      <c r="CE80" s="1242" t="n"/>
      <c r="CF80" s="1242" t="n"/>
      <c r="CG80" s="827" t="n"/>
    </row>
    <row r="81" hidden="1" outlineLevel="1" ht="15" customFormat="1" customHeight="1" s="974">
      <c r="A81" s="394" t="inlineStr">
        <is>
          <t>Director 7 stock award comp, 000s</t>
        </is>
      </c>
      <c r="B81" s="677" t="n"/>
      <c r="C81" s="1242" t="n"/>
      <c r="D81" s="1242" t="n"/>
      <c r="E81" s="1242" t="n"/>
      <c r="F81" s="1242" t="n"/>
      <c r="G81" s="678" t="n"/>
      <c r="H81" s="678" t="n"/>
      <c r="I81" s="678" t="n"/>
      <c r="J81" s="678" t="n"/>
      <c r="K81" s="1242" t="n"/>
      <c r="L81" s="678" t="n"/>
      <c r="M81" s="678" t="n"/>
      <c r="N81" s="678" t="n"/>
      <c r="O81" s="678" t="n"/>
      <c r="P81" s="1242" t="n"/>
      <c r="Q81" s="678" t="n"/>
      <c r="R81" s="678" t="n"/>
      <c r="S81" s="678" t="n"/>
      <c r="T81" s="678" t="n"/>
      <c r="U81" s="1242" t="n"/>
      <c r="V81" s="678" t="n"/>
      <c r="W81" s="678" t="n"/>
      <c r="X81" s="678" t="n"/>
      <c r="Y81" s="678" t="n"/>
      <c r="Z81" s="1242" t="n"/>
      <c r="AA81" s="678" t="n"/>
      <c r="AB81" s="678" t="n"/>
      <c r="AC81" s="678" t="n"/>
      <c r="AD81" s="678" t="n"/>
      <c r="AE81" s="1242" t="n"/>
      <c r="AF81" s="678" t="n"/>
      <c r="AG81" s="678" t="n"/>
      <c r="AH81" s="678" t="n"/>
      <c r="AI81" s="678" t="n"/>
      <c r="AJ81" s="1242" t="n"/>
      <c r="AK81" s="678" t="n"/>
      <c r="AL81" s="678" t="n"/>
      <c r="AM81" s="678" t="n"/>
      <c r="AN81" s="678" t="n"/>
      <c r="AO81" s="1242" t="n"/>
      <c r="AP81" s="678" t="n"/>
      <c r="AQ81" s="678" t="n"/>
      <c r="AR81" s="678" t="n"/>
      <c r="AS81" s="678" t="n"/>
      <c r="AT81" s="1268" t="n">
        <v>184.536</v>
      </c>
      <c r="AU81" s="678" t="n"/>
      <c r="AV81" s="678" t="n"/>
      <c r="AW81" s="678" t="n"/>
      <c r="AX81" s="678" t="n"/>
      <c r="AY81" s="1268" t="n">
        <v>266.338</v>
      </c>
      <c r="AZ81" s="678" t="n"/>
      <c r="BA81" s="678" t="n"/>
      <c r="BB81" s="678" t="n"/>
      <c r="BC81" s="678" t="n"/>
      <c r="BD81" s="1268" t="n">
        <v>301.381</v>
      </c>
      <c r="BE81" s="678" t="n"/>
      <c r="BF81" s="678" t="n"/>
      <c r="BG81" s="678" t="n"/>
      <c r="BH81" s="678" t="n"/>
      <c r="BI81" s="1268" t="n">
        <v>268.978</v>
      </c>
      <c r="BJ81" s="678" t="n"/>
      <c r="BK81" s="678" t="n"/>
      <c r="BL81" s="678" t="n"/>
      <c r="BM81" s="678" t="n"/>
      <c r="BN81" s="1268" t="n">
        <v>525.372</v>
      </c>
      <c r="BO81" s="678" t="n"/>
      <c r="BP81" s="678" t="n"/>
      <c r="BQ81" s="678" t="n"/>
      <c r="BR81" s="678" t="n"/>
      <c r="BS81" s="1242" t="n"/>
      <c r="BT81" s="678" t="n"/>
      <c r="BU81" s="678" t="n"/>
      <c r="BV81" s="935" t="n"/>
      <c r="BW81" s="678" t="n"/>
      <c r="BX81" s="1242" t="n"/>
      <c r="BY81" s="678" t="n"/>
      <c r="BZ81" s="678" t="n"/>
      <c r="CA81" s="678" t="n"/>
      <c r="CB81" s="678" t="n"/>
      <c r="CC81" s="1242" t="n"/>
      <c r="CD81" s="1242" t="n"/>
      <c r="CE81" s="1242" t="n"/>
      <c r="CF81" s="1242" t="n"/>
      <c r="CG81" s="827" t="n"/>
    </row>
    <row r="82" hidden="1" outlineLevel="1" ht="15" customFormat="1" customHeight="1" s="974">
      <c r="A82" s="394" t="inlineStr">
        <is>
          <t>Director 8 stock award comp, 000s</t>
        </is>
      </c>
      <c r="B82" s="677" t="n"/>
      <c r="C82" s="1242" t="n"/>
      <c r="D82" s="1242" t="n"/>
      <c r="E82" s="1242" t="n"/>
      <c r="F82" s="1242" t="n"/>
      <c r="G82" s="678" t="n"/>
      <c r="H82" s="678" t="n"/>
      <c r="I82" s="678" t="n"/>
      <c r="J82" s="678" t="n"/>
      <c r="K82" s="1242" t="n"/>
      <c r="L82" s="678" t="n"/>
      <c r="M82" s="678" t="n"/>
      <c r="N82" s="678" t="n"/>
      <c r="O82" s="678" t="n"/>
      <c r="P82" s="1242" t="n"/>
      <c r="Q82" s="678" t="n"/>
      <c r="R82" s="678" t="n"/>
      <c r="S82" s="678" t="n"/>
      <c r="T82" s="678" t="n"/>
      <c r="U82" s="1242" t="n"/>
      <c r="V82" s="678" t="n"/>
      <c r="W82" s="678" t="n"/>
      <c r="X82" s="678" t="n"/>
      <c r="Y82" s="678" t="n"/>
      <c r="Z82" s="1242" t="n"/>
      <c r="AA82" s="678" t="n"/>
      <c r="AB82" s="678" t="n"/>
      <c r="AC82" s="678" t="n"/>
      <c r="AD82" s="678" t="n"/>
      <c r="AE82" s="1242" t="n"/>
      <c r="AF82" s="678" t="n"/>
      <c r="AG82" s="678" t="n"/>
      <c r="AH82" s="678" t="n"/>
      <c r="AI82" s="678" t="n"/>
      <c r="AJ82" s="1242" t="n"/>
      <c r="AK82" s="678" t="n"/>
      <c r="AL82" s="678" t="n"/>
      <c r="AM82" s="678" t="n"/>
      <c r="AN82" s="678" t="n"/>
      <c r="AO82" s="1242" t="n"/>
      <c r="AP82" s="678" t="n"/>
      <c r="AQ82" s="678" t="n"/>
      <c r="AR82" s="678" t="n"/>
      <c r="AS82" s="678" t="n"/>
      <c r="AT82" s="1268" t="n">
        <v>480.776</v>
      </c>
      <c r="AU82" s="678" t="n"/>
      <c r="AV82" s="678" t="n"/>
      <c r="AW82" s="678" t="n"/>
      <c r="AX82" s="678" t="n"/>
      <c r="AY82" s="1268" t="n">
        <v>266.338</v>
      </c>
      <c r="AZ82" s="678" t="n"/>
      <c r="BA82" s="678" t="n"/>
      <c r="BB82" s="678" t="n"/>
      <c r="BC82" s="678" t="n"/>
      <c r="BD82" s="1268" t="n">
        <v>301.381</v>
      </c>
      <c r="BE82" s="678" t="n"/>
      <c r="BF82" s="678" t="n"/>
      <c r="BG82" s="678" t="n"/>
      <c r="BH82" s="678" t="n"/>
      <c r="BI82" s="1268" t="n">
        <v>268.978</v>
      </c>
      <c r="BJ82" s="678" t="n"/>
      <c r="BK82" s="678" t="n"/>
      <c r="BL82" s="678" t="n"/>
      <c r="BM82" s="678" t="n"/>
      <c r="BN82" s="1268" t="n">
        <v>274.268</v>
      </c>
      <c r="BO82" s="678" t="n"/>
      <c r="BP82" s="678" t="n"/>
      <c r="BQ82" s="678" t="n"/>
      <c r="BR82" s="678" t="n"/>
      <c r="BS82" s="1242" t="n"/>
      <c r="BT82" s="678" t="n"/>
      <c r="BU82" s="678" t="n"/>
      <c r="BV82" s="935" t="n"/>
      <c r="BW82" s="678" t="n"/>
      <c r="BX82" s="1242" t="n"/>
      <c r="BY82" s="678" t="n"/>
      <c r="BZ82" s="678" t="n"/>
      <c r="CA82" s="678" t="n"/>
      <c r="CB82" s="678" t="n"/>
      <c r="CC82" s="1242" t="n"/>
      <c r="CD82" s="1242" t="n"/>
      <c r="CE82" s="1242" t="n"/>
      <c r="CF82" s="1242" t="n"/>
      <c r="CG82" s="827" t="n"/>
    </row>
    <row r="83" hidden="1" outlineLevel="1" ht="15" customFormat="1" customHeight="1" s="974">
      <c r="A83" s="394" t="inlineStr">
        <is>
          <t>Director 9 stock award comp, 000s</t>
        </is>
      </c>
      <c r="B83" s="677" t="n"/>
      <c r="C83" s="1242" t="n"/>
      <c r="D83" s="1242" t="n"/>
      <c r="E83" s="1242" t="n"/>
      <c r="F83" s="1242" t="n"/>
      <c r="G83" s="678" t="n"/>
      <c r="H83" s="678" t="n"/>
      <c r="I83" s="678" t="n"/>
      <c r="J83" s="678" t="n"/>
      <c r="K83" s="1242" t="n"/>
      <c r="L83" s="678" t="n"/>
      <c r="M83" s="678" t="n"/>
      <c r="N83" s="678" t="n"/>
      <c r="O83" s="678" t="n"/>
      <c r="P83" s="1242" t="n"/>
      <c r="Q83" s="678" t="n"/>
      <c r="R83" s="678" t="n"/>
      <c r="S83" s="678" t="n"/>
      <c r="T83" s="678" t="n"/>
      <c r="U83" s="1242" t="n"/>
      <c r="V83" s="678" t="n"/>
      <c r="W83" s="678" t="n"/>
      <c r="X83" s="678" t="n"/>
      <c r="Y83" s="678" t="n"/>
      <c r="Z83" s="1242" t="n"/>
      <c r="AA83" s="678" t="n"/>
      <c r="AB83" s="678" t="n"/>
      <c r="AC83" s="678" t="n"/>
      <c r="AD83" s="678" t="n"/>
      <c r="AE83" s="1242" t="n"/>
      <c r="AF83" s="678" t="n"/>
      <c r="AG83" s="678" t="n"/>
      <c r="AH83" s="678" t="n"/>
      <c r="AI83" s="678" t="n"/>
      <c r="AJ83" s="1242" t="n"/>
      <c r="AK83" s="678" t="n"/>
      <c r="AL83" s="678" t="n"/>
      <c r="AM83" s="678" t="n"/>
      <c r="AN83" s="678" t="n"/>
      <c r="AO83" s="1242" t="n"/>
      <c r="AP83" s="678" t="n"/>
      <c r="AQ83" s="678" t="n"/>
      <c r="AR83" s="678" t="n"/>
      <c r="AS83" s="678" t="n"/>
      <c r="AT83" s="1268" t="n">
        <v>184.536</v>
      </c>
      <c r="AU83" s="678" t="n"/>
      <c r="AV83" s="678" t="n"/>
      <c r="AW83" s="678" t="n"/>
      <c r="AX83" s="678" t="n"/>
      <c r="AY83" s="1268" t="n">
        <v>266.338</v>
      </c>
      <c r="AZ83" s="678" t="n"/>
      <c r="BA83" s="678" t="n"/>
      <c r="BB83" s="678" t="n"/>
      <c r="BC83" s="678" t="n"/>
      <c r="BD83" s="1268" t="n">
        <v>301.381</v>
      </c>
      <c r="BE83" s="678" t="n"/>
      <c r="BF83" s="678" t="n"/>
      <c r="BG83" s="678" t="n"/>
      <c r="BH83" s="678" t="n"/>
      <c r="BI83" s="1268" t="n">
        <v>268.978</v>
      </c>
      <c r="BJ83" s="678" t="n"/>
      <c r="BK83" s="678" t="n"/>
      <c r="BL83" s="678" t="n"/>
      <c r="BM83" s="678" t="n"/>
      <c r="BN83" s="1268" t="n">
        <v>274.268</v>
      </c>
      <c r="BO83" s="678" t="n"/>
      <c r="BP83" s="678" t="n"/>
      <c r="BQ83" s="678" t="n"/>
      <c r="BR83" s="678" t="n"/>
      <c r="BS83" s="1242" t="n"/>
      <c r="BT83" s="678" t="n"/>
      <c r="BU83" s="678" t="n"/>
      <c r="BV83" s="935" t="n"/>
      <c r="BW83" s="678" t="n"/>
      <c r="BX83" s="1242" t="n"/>
      <c r="BY83" s="678" t="n"/>
      <c r="BZ83" s="678" t="n"/>
      <c r="CA83" s="678" t="n"/>
      <c r="CB83" s="678" t="n"/>
      <c r="CC83" s="1242" t="n"/>
      <c r="CD83" s="1242" t="n"/>
      <c r="CE83" s="1242" t="n"/>
      <c r="CF83" s="1242" t="n"/>
      <c r="CG83" s="827" t="n"/>
    </row>
    <row r="84" hidden="1" outlineLevel="1" ht="15" customFormat="1" customHeight="1" s="974">
      <c r="A84" s="394" t="inlineStr">
        <is>
          <t>Director 10 stock award comp, 000s</t>
        </is>
      </c>
      <c r="B84" s="677" t="n"/>
      <c r="C84" s="1242" t="n"/>
      <c r="D84" s="1242" t="n"/>
      <c r="E84" s="1242" t="n"/>
      <c r="F84" s="1242" t="n"/>
      <c r="G84" s="678" t="n"/>
      <c r="H84" s="678" t="n"/>
      <c r="I84" s="678" t="n"/>
      <c r="J84" s="678" t="n"/>
      <c r="K84" s="1242" t="n"/>
      <c r="L84" s="678" t="n"/>
      <c r="M84" s="678" t="n"/>
      <c r="N84" s="678" t="n"/>
      <c r="O84" s="678" t="n"/>
      <c r="P84" s="1242" t="n"/>
      <c r="Q84" s="678" t="n"/>
      <c r="R84" s="678" t="n"/>
      <c r="S84" s="678" t="n"/>
      <c r="T84" s="678" t="n"/>
      <c r="U84" s="1242" t="n"/>
      <c r="V84" s="678" t="n"/>
      <c r="W84" s="678" t="n"/>
      <c r="X84" s="678" t="n"/>
      <c r="Y84" s="678" t="n"/>
      <c r="Z84" s="1242" t="n"/>
      <c r="AA84" s="678" t="n"/>
      <c r="AB84" s="678" t="n"/>
      <c r="AC84" s="678" t="n"/>
      <c r="AD84" s="678" t="n"/>
      <c r="AE84" s="1242" t="n"/>
      <c r="AF84" s="678" t="n"/>
      <c r="AG84" s="678" t="n"/>
      <c r="AH84" s="678" t="n"/>
      <c r="AI84" s="678" t="n"/>
      <c r="AJ84" s="1242" t="n"/>
      <c r="AK84" s="678" t="n"/>
      <c r="AL84" s="678" t="n"/>
      <c r="AM84" s="678" t="n"/>
      <c r="AN84" s="678" t="n"/>
      <c r="AO84" s="1242" t="n"/>
      <c r="AP84" s="678" t="n"/>
      <c r="AQ84" s="678" t="n"/>
      <c r="AR84" s="678" t="n"/>
      <c r="AS84" s="678" t="n"/>
      <c r="AT84" s="1268" t="n">
        <v>184.536</v>
      </c>
      <c r="AU84" s="678" t="n"/>
      <c r="AV84" s="678" t="n"/>
      <c r="AW84" s="678" t="n"/>
      <c r="AX84" s="678" t="n"/>
      <c r="AY84" s="1268" t="n">
        <v>266.338</v>
      </c>
      <c r="AZ84" s="678" t="n"/>
      <c r="BA84" s="678" t="n"/>
      <c r="BB84" s="678" t="n"/>
      <c r="BC84" s="678" t="n"/>
      <c r="BD84" s="1268" t="n">
        <v>301.381</v>
      </c>
      <c r="BE84" s="678" t="n"/>
      <c r="BF84" s="678" t="n"/>
      <c r="BG84" s="678" t="n"/>
      <c r="BH84" s="678" t="n"/>
      <c r="BI84" s="1268" t="n">
        <v>268.978</v>
      </c>
      <c r="BJ84" s="678" t="n"/>
      <c r="BK84" s="678" t="n"/>
      <c r="BL84" s="678" t="n"/>
      <c r="BM84" s="678" t="n"/>
      <c r="BN84" s="1268" t="n">
        <v>274.268</v>
      </c>
      <c r="BO84" s="678" t="n"/>
      <c r="BP84" s="678" t="n"/>
      <c r="BQ84" s="678" t="n"/>
      <c r="BR84" s="678" t="n"/>
      <c r="BS84" s="1242" t="n"/>
      <c r="BT84" s="678" t="n"/>
      <c r="BU84" s="678" t="n"/>
      <c r="BV84" s="935" t="n"/>
      <c r="BW84" s="678" t="n"/>
      <c r="BX84" s="1242" t="n"/>
      <c r="BY84" s="678" t="n"/>
      <c r="BZ84" s="678" t="n"/>
      <c r="CA84" s="678" t="n"/>
      <c r="CB84" s="678" t="n"/>
      <c r="CC84" s="1242" t="n"/>
      <c r="CD84" s="1242" t="n"/>
      <c r="CE84" s="1242" t="n"/>
      <c r="CF84" s="1242" t="n"/>
      <c r="CG84" s="827" t="n"/>
    </row>
    <row r="85" hidden="1" outlineLevel="1" ht="15" customFormat="1" customHeight="1" s="974">
      <c r="A85" s="394" t="inlineStr">
        <is>
          <t>Director 11 stock award comp, 000s</t>
        </is>
      </c>
      <c r="B85" s="677" t="n"/>
      <c r="C85" s="1242" t="n"/>
      <c r="D85" s="1242" t="n"/>
      <c r="E85" s="1242" t="n"/>
      <c r="F85" s="1242" t="n"/>
      <c r="G85" s="678" t="n"/>
      <c r="H85" s="678" t="n"/>
      <c r="I85" s="678" t="n"/>
      <c r="J85" s="678" t="n"/>
      <c r="K85" s="1242" t="n"/>
      <c r="L85" s="678" t="n"/>
      <c r="M85" s="678" t="n"/>
      <c r="N85" s="678" t="n"/>
      <c r="O85" s="678" t="n"/>
      <c r="P85" s="1242" t="n"/>
      <c r="Q85" s="678" t="n"/>
      <c r="R85" s="678" t="n"/>
      <c r="S85" s="678" t="n"/>
      <c r="T85" s="678" t="n"/>
      <c r="U85" s="1242" t="n"/>
      <c r="V85" s="678" t="n"/>
      <c r="W85" s="678" t="n"/>
      <c r="X85" s="678" t="n"/>
      <c r="Y85" s="678" t="n"/>
      <c r="Z85" s="1242" t="n"/>
      <c r="AA85" s="678" t="n"/>
      <c r="AB85" s="678" t="n"/>
      <c r="AC85" s="678" t="n"/>
      <c r="AD85" s="678" t="n"/>
      <c r="AE85" s="1242" t="n"/>
      <c r="AF85" s="678" t="n"/>
      <c r="AG85" s="678" t="n"/>
      <c r="AH85" s="678" t="n"/>
      <c r="AI85" s="678" t="n"/>
      <c r="AJ85" s="1242" t="n"/>
      <c r="AK85" s="678" t="n"/>
      <c r="AL85" s="678" t="n"/>
      <c r="AM85" s="678" t="n"/>
      <c r="AN85" s="678" t="n"/>
      <c r="AO85" s="1242" t="n"/>
      <c r="AP85" s="678" t="n"/>
      <c r="AQ85" s="678" t="n"/>
      <c r="AR85" s="678" t="n"/>
      <c r="AS85" s="678" t="n"/>
      <c r="AT85" s="1268" t="n">
        <v>184.536</v>
      </c>
      <c r="AU85" s="678" t="n"/>
      <c r="AV85" s="678" t="n"/>
      <c r="AW85" s="678" t="n"/>
      <c r="AX85" s="678" t="n"/>
      <c r="AY85" s="1268" t="n">
        <v>266.338</v>
      </c>
      <c r="AZ85" s="678" t="n"/>
      <c r="BA85" s="678" t="n"/>
      <c r="BB85" s="678" t="n"/>
      <c r="BC85" s="678" t="n"/>
      <c r="BD85" s="1268" t="n">
        <v>301.381</v>
      </c>
      <c r="BE85" s="678" t="n"/>
      <c r="BF85" s="678" t="n"/>
      <c r="BG85" s="678" t="n"/>
      <c r="BH85" s="678" t="n"/>
      <c r="BI85" s="1268" t="n">
        <v>268.978</v>
      </c>
      <c r="BJ85" s="678" t="n"/>
      <c r="BK85" s="678" t="n"/>
      <c r="BL85" s="678" t="n"/>
      <c r="BM85" s="678" t="n"/>
      <c r="BN85" s="1268" t="n">
        <v>274.268</v>
      </c>
      <c r="BO85" s="678" t="n"/>
      <c r="BP85" s="678" t="n"/>
      <c r="BQ85" s="678" t="n"/>
      <c r="BR85" s="678" t="n"/>
      <c r="BS85" s="1242" t="n"/>
      <c r="BT85" s="678" t="n"/>
      <c r="BU85" s="678" t="n"/>
      <c r="BV85" s="935" t="n"/>
      <c r="BW85" s="678" t="n"/>
      <c r="BX85" s="1242" t="n"/>
      <c r="BY85" s="678" t="n"/>
      <c r="BZ85" s="678" t="n"/>
      <c r="CA85" s="678" t="n"/>
      <c r="CB85" s="678" t="n"/>
      <c r="CC85" s="1242" t="n"/>
      <c r="CD85" s="1242" t="n"/>
      <c r="CE85" s="1242" t="n"/>
      <c r="CF85" s="1242" t="n"/>
      <c r="CG85" s="827" t="n"/>
    </row>
    <row r="86" hidden="1" outlineLevel="1" ht="15" customFormat="1" customHeight="1" s="974">
      <c r="A86" s="394" t="inlineStr">
        <is>
          <t>Director 12 stock award comp, 000s</t>
        </is>
      </c>
      <c r="B86" s="677" t="n"/>
      <c r="C86" s="1242" t="n"/>
      <c r="D86" s="1242" t="n"/>
      <c r="E86" s="1242" t="n"/>
      <c r="F86" s="1242" t="n"/>
      <c r="G86" s="678" t="n"/>
      <c r="H86" s="678" t="n"/>
      <c r="I86" s="678" t="n"/>
      <c r="J86" s="678" t="n"/>
      <c r="K86" s="1242" t="n"/>
      <c r="L86" s="678" t="n"/>
      <c r="M86" s="678" t="n"/>
      <c r="N86" s="678" t="n"/>
      <c r="O86" s="678" t="n"/>
      <c r="P86" s="1242" t="n"/>
      <c r="Q86" s="678" t="n"/>
      <c r="R86" s="678" t="n"/>
      <c r="S86" s="678" t="n"/>
      <c r="T86" s="678" t="n"/>
      <c r="U86" s="1242" t="n"/>
      <c r="V86" s="678" t="n"/>
      <c r="W86" s="678" t="n"/>
      <c r="X86" s="678" t="n"/>
      <c r="Y86" s="678" t="n"/>
      <c r="Z86" s="1242" t="n"/>
      <c r="AA86" s="678" t="n"/>
      <c r="AB86" s="678" t="n"/>
      <c r="AC86" s="678" t="n"/>
      <c r="AD86" s="678" t="n"/>
      <c r="AE86" s="1242" t="n"/>
      <c r="AF86" s="678" t="n"/>
      <c r="AG86" s="678" t="n"/>
      <c r="AH86" s="678" t="n"/>
      <c r="AI86" s="678" t="n"/>
      <c r="AJ86" s="1242" t="n"/>
      <c r="AK86" s="678" t="n"/>
      <c r="AL86" s="678" t="n"/>
      <c r="AM86" s="678" t="n"/>
      <c r="AN86" s="678" t="n"/>
      <c r="AO86" s="1242" t="n"/>
      <c r="AP86" s="678" t="n"/>
      <c r="AQ86" s="678" t="n"/>
      <c r="AR86" s="678" t="n"/>
      <c r="AS86" s="678" t="n"/>
      <c r="AT86" s="1242" t="n"/>
      <c r="AU86" s="678" t="n"/>
      <c r="AV86" s="678" t="n"/>
      <c r="AW86" s="678" t="n"/>
      <c r="AX86" s="678" t="n"/>
      <c r="AY86" s="1268" t="n">
        <v>440.668</v>
      </c>
      <c r="AZ86" s="678" t="n"/>
      <c r="BA86" s="678" t="n"/>
      <c r="BB86" s="678" t="n"/>
      <c r="BC86" s="678" t="n"/>
      <c r="BD86" s="1268" t="n">
        <v>301.381</v>
      </c>
      <c r="BE86" s="678" t="n"/>
      <c r="BF86" s="678" t="n"/>
      <c r="BG86" s="678" t="n"/>
      <c r="BH86" s="678" t="n"/>
      <c r="BI86" s="1268" t="n">
        <v>268.978</v>
      </c>
      <c r="BJ86" s="678" t="n"/>
      <c r="BK86" s="678" t="n"/>
      <c r="BL86" s="678" t="n"/>
      <c r="BM86" s="678" t="n"/>
      <c r="BN86" s="1268" t="n">
        <v>274.268</v>
      </c>
      <c r="BO86" s="678" t="n"/>
      <c r="BP86" s="678" t="n"/>
      <c r="BQ86" s="678" t="n"/>
      <c r="BR86" s="678" t="n"/>
      <c r="BS86" s="1242" t="n"/>
      <c r="BT86" s="678" t="n"/>
      <c r="BU86" s="678" t="n"/>
      <c r="BV86" s="935" t="n"/>
      <c r="BW86" s="678" t="n"/>
      <c r="BX86" s="1242" t="n"/>
      <c r="BY86" s="678" t="n"/>
      <c r="BZ86" s="678" t="n"/>
      <c r="CA86" s="678" t="n"/>
      <c r="CB86" s="678" t="n"/>
      <c r="CC86" s="1242" t="n"/>
      <c r="CD86" s="1242" t="n"/>
      <c r="CE86" s="1242" t="n"/>
      <c r="CF86" s="1242" t="n"/>
      <c r="CG86" s="827" t="n"/>
    </row>
    <row r="87" hidden="1" outlineLevel="1" ht="15" customFormat="1" customHeight="1" s="974">
      <c r="A87" s="833" t="inlineStr">
        <is>
          <t>Director 13 stock award comp, 000s</t>
        </is>
      </c>
      <c r="B87" s="863" t="n"/>
      <c r="C87" s="1248" t="n"/>
      <c r="D87" s="1248" t="n"/>
      <c r="E87" s="1248" t="n"/>
      <c r="F87" s="1248" t="n"/>
      <c r="G87" s="681" t="n"/>
      <c r="H87" s="681" t="n"/>
      <c r="I87" s="681" t="n"/>
      <c r="J87" s="681" t="n"/>
      <c r="K87" s="1248" t="n"/>
      <c r="L87" s="681" t="n"/>
      <c r="M87" s="681" t="n"/>
      <c r="N87" s="681" t="n"/>
      <c r="O87" s="681" t="n"/>
      <c r="P87" s="1248" t="n"/>
      <c r="Q87" s="681" t="n"/>
      <c r="R87" s="681" t="n"/>
      <c r="S87" s="681" t="n"/>
      <c r="T87" s="681" t="n"/>
      <c r="U87" s="1248" t="n"/>
      <c r="V87" s="681" t="n"/>
      <c r="W87" s="681" t="n"/>
      <c r="X87" s="681" t="n"/>
      <c r="Y87" s="681" t="n"/>
      <c r="Z87" s="1248" t="n"/>
      <c r="AA87" s="681" t="n"/>
      <c r="AB87" s="681" t="n"/>
      <c r="AC87" s="681" t="n"/>
      <c r="AD87" s="681" t="n"/>
      <c r="AE87" s="1248" t="n"/>
      <c r="AF87" s="681" t="n"/>
      <c r="AG87" s="681" t="n"/>
      <c r="AH87" s="681" t="n"/>
      <c r="AI87" s="681" t="n"/>
      <c r="AJ87" s="1248" t="n"/>
      <c r="AK87" s="681" t="n"/>
      <c r="AL87" s="681" t="n"/>
      <c r="AM87" s="681" t="n"/>
      <c r="AN87" s="681" t="n"/>
      <c r="AO87" s="1248" t="n"/>
      <c r="AP87" s="681" t="n"/>
      <c r="AQ87" s="681" t="n"/>
      <c r="AR87" s="681" t="n"/>
      <c r="AS87" s="681" t="n"/>
      <c r="AT87" s="1248" t="n"/>
      <c r="AU87" s="681" t="n"/>
      <c r="AV87" s="681" t="n"/>
      <c r="AW87" s="681" t="n"/>
      <c r="AX87" s="681" t="n"/>
      <c r="AY87" s="1274" t="n">
        <v>266.338</v>
      </c>
      <c r="AZ87" s="681" t="n"/>
      <c r="BA87" s="681" t="n"/>
      <c r="BB87" s="681" t="n"/>
      <c r="BC87" s="681" t="n"/>
      <c r="BD87" s="1248" t="n"/>
      <c r="BE87" s="681" t="n"/>
      <c r="BF87" s="681" t="n"/>
      <c r="BG87" s="681" t="n"/>
      <c r="BH87" s="681" t="n"/>
      <c r="BI87" s="1248" t="n"/>
      <c r="BJ87" s="681" t="n"/>
      <c r="BK87" s="681" t="n"/>
      <c r="BL87" s="681" t="n"/>
      <c r="BM87" s="681" t="n"/>
      <c r="BN87" s="1274" t="n">
        <v>274.268</v>
      </c>
      <c r="BO87" s="681" t="n"/>
      <c r="BP87" s="681" t="n"/>
      <c r="BQ87" s="681" t="n"/>
      <c r="BR87" s="681" t="n"/>
      <c r="BS87" s="1248" t="n"/>
      <c r="BT87" s="681" t="n"/>
      <c r="BU87" s="681" t="n"/>
      <c r="BV87" s="939" t="n"/>
      <c r="BW87" s="681" t="n"/>
      <c r="BX87" s="1248" t="n"/>
      <c r="BY87" s="681" t="n"/>
      <c r="BZ87" s="681" t="n"/>
      <c r="CA87" s="681" t="n"/>
      <c r="CB87" s="681" t="n"/>
      <c r="CC87" s="1248" t="n"/>
      <c r="CD87" s="1248" t="n"/>
      <c r="CE87" s="1248" t="n"/>
      <c r="CF87" s="1248" t="n"/>
      <c r="CG87" s="827" t="n"/>
    </row>
    <row r="88" collapsed="1" ht="15" customFormat="1" customHeight="1" s="974">
      <c r="A88" s="197" t="inlineStr">
        <is>
          <t>Total director stock award comp, 000s</t>
        </is>
      </c>
      <c r="B88" s="677" t="n"/>
      <c r="C88" s="1242" t="n"/>
      <c r="D88" s="1242" t="n"/>
      <c r="E88" s="1242" t="n"/>
      <c r="F88" s="1242" t="n"/>
      <c r="G88" s="678" t="n"/>
      <c r="H88" s="678" t="n"/>
      <c r="I88" s="678" t="n"/>
      <c r="J88" s="678" t="n"/>
      <c r="K88" s="1242" t="n"/>
      <c r="L88" s="678" t="n"/>
      <c r="M88" s="678" t="n"/>
      <c r="N88" s="678" t="n"/>
      <c r="O88" s="678" t="n"/>
      <c r="P88" s="1242" t="n"/>
      <c r="Q88" s="678" t="n"/>
      <c r="R88" s="678" t="n"/>
      <c r="S88" s="678" t="n"/>
      <c r="T88" s="678" t="n"/>
      <c r="U88" s="1242" t="n"/>
      <c r="V88" s="678" t="n"/>
      <c r="W88" s="678" t="n"/>
      <c r="X88" s="678" t="n"/>
      <c r="Y88" s="678" t="n"/>
      <c r="Z88" s="1242" t="n"/>
      <c r="AA88" s="678" t="n"/>
      <c r="AB88" s="678" t="n"/>
      <c r="AC88" s="678" t="n"/>
      <c r="AD88" s="678" t="n"/>
      <c r="AE88" s="1242" t="n"/>
      <c r="AF88" s="678" t="n"/>
      <c r="AG88" s="678" t="n"/>
      <c r="AH88" s="678" t="n"/>
      <c r="AI88" s="678" t="n"/>
      <c r="AJ88" s="1242" t="n"/>
      <c r="AK88" s="678" t="n"/>
      <c r="AL88" s="678" t="n"/>
      <c r="AM88" s="678" t="n"/>
      <c r="AN88" s="678" t="n"/>
      <c r="AO88" s="1242" t="n"/>
      <c r="AP88" s="678" t="n"/>
      <c r="AQ88" s="678" t="n"/>
      <c r="AR88" s="678" t="n"/>
      <c r="AS88" s="678" t="n"/>
      <c r="AT88" s="1242">
        <f>SUM(AT75:AT87)</f>
        <v/>
      </c>
      <c r="AU88" s="678" t="n"/>
      <c r="AV88" s="678" t="n"/>
      <c r="AW88" s="678" t="n"/>
      <c r="AX88" s="678" t="n"/>
      <c r="AY88" s="1242">
        <f>SUM(AY75:AY87)</f>
        <v/>
      </c>
      <c r="AZ88" s="678" t="n"/>
      <c r="BA88" s="678" t="n"/>
      <c r="BB88" s="678" t="n"/>
      <c r="BC88" s="678" t="n"/>
      <c r="BD88" s="1242">
        <f>SUM(BD75:BD87)</f>
        <v/>
      </c>
      <c r="BE88" s="678" t="n"/>
      <c r="BF88" s="678" t="n"/>
      <c r="BG88" s="678" t="n"/>
      <c r="BH88" s="678" t="n"/>
      <c r="BI88" s="1242">
        <f>SUM(BI75:BI87)</f>
        <v/>
      </c>
      <c r="BJ88" s="678" t="n"/>
      <c r="BK88" s="678" t="n"/>
      <c r="BL88" s="678" t="n"/>
      <c r="BM88" s="678" t="n"/>
      <c r="BN88" s="1242">
        <f>SUM(BN75:BN87)</f>
        <v/>
      </c>
      <c r="BO88" s="678" t="n"/>
      <c r="BP88" s="678" t="n"/>
      <c r="BQ88" s="678" t="n"/>
      <c r="BR88" s="678" t="n"/>
      <c r="BS88" s="1242" t="n"/>
      <c r="BT88" s="678" t="n"/>
      <c r="BU88" s="678" t="n"/>
      <c r="BV88" s="935" t="n"/>
      <c r="BW88" s="678" t="n"/>
      <c r="BX88" s="1242" t="n"/>
      <c r="BY88" s="678" t="n"/>
      <c r="BZ88" s="678" t="n"/>
      <c r="CA88" s="678" t="n"/>
      <c r="CB88" s="678" t="n"/>
      <c r="CC88" s="1242" t="n"/>
      <c r="CD88" s="1242" t="n"/>
      <c r="CE88" s="1242" t="n"/>
      <c r="CF88" s="1242" t="n"/>
      <c r="CG88" s="827" t="n"/>
    </row>
    <row r="89" hidden="1" outlineLevel="1" ht="15" customFormat="1" customHeight="1" s="973">
      <c r="A89" s="394" t="inlineStr">
        <is>
          <t>Director 1 all other comp, 000s</t>
        </is>
      </c>
      <c r="B89" s="683" t="n"/>
      <c r="C89" s="1241" t="n"/>
      <c r="D89" s="1241" t="n"/>
      <c r="E89" s="1241" t="n"/>
      <c r="F89" s="1241" t="n"/>
      <c r="G89" s="574" t="n"/>
      <c r="H89" s="574" t="n"/>
      <c r="I89" s="574" t="n"/>
      <c r="J89" s="574" t="n"/>
      <c r="K89" s="1241" t="n"/>
      <c r="L89" s="574" t="n"/>
      <c r="M89" s="574" t="n"/>
      <c r="N89" s="574" t="n"/>
      <c r="O89" s="574" t="n"/>
      <c r="P89" s="1241" t="n"/>
      <c r="Q89" s="574" t="n"/>
      <c r="R89" s="574" t="n"/>
      <c r="S89" s="574" t="n"/>
      <c r="T89" s="574" t="n"/>
      <c r="U89" s="1241" t="n"/>
      <c r="V89" s="574" t="n"/>
      <c r="W89" s="574" t="n"/>
      <c r="X89" s="574" t="n"/>
      <c r="Y89" s="574" t="n"/>
      <c r="Z89" s="1241" t="n"/>
      <c r="AA89" s="574" t="n"/>
      <c r="AB89" s="574" t="n"/>
      <c r="AC89" s="574" t="n"/>
      <c r="AD89" s="574" t="n"/>
      <c r="AE89" s="1241" t="n"/>
      <c r="AF89" s="574" t="n"/>
      <c r="AG89" s="574" t="n"/>
      <c r="AH89" s="574" t="n"/>
      <c r="AI89" s="574" t="n"/>
      <c r="AJ89" s="1241" t="n"/>
      <c r="AK89" s="574" t="n"/>
      <c r="AL89" s="574" t="n"/>
      <c r="AM89" s="574" t="n"/>
      <c r="AN89" s="574" t="n"/>
      <c r="AO89" s="1241" t="n"/>
      <c r="AP89" s="574" t="n"/>
      <c r="AQ89" s="574" t="n"/>
      <c r="AR89" s="574" t="n"/>
      <c r="AS89" s="574" t="n"/>
      <c r="AT89" s="1242" t="n"/>
      <c r="AU89" s="678" t="n"/>
      <c r="AV89" s="678" t="n"/>
      <c r="AW89" s="678" t="n"/>
      <c r="AX89" s="678" t="n"/>
      <c r="AY89" s="1242" t="n"/>
      <c r="AZ89" s="678" t="n"/>
      <c r="BA89" s="678" t="n"/>
      <c r="BB89" s="678" t="n"/>
      <c r="BC89" s="678" t="n"/>
      <c r="BD89" s="1242" t="n"/>
      <c r="BE89" s="678" t="n"/>
      <c r="BF89" s="678" t="n"/>
      <c r="BG89" s="678" t="n"/>
      <c r="BH89" s="678" t="n"/>
      <c r="BI89" s="1242" t="n"/>
      <c r="BJ89" s="574" t="n"/>
      <c r="BK89" s="574" t="n"/>
      <c r="BL89" s="574" t="n"/>
      <c r="BM89" s="574" t="n"/>
      <c r="BN89" s="1241" t="n"/>
      <c r="BO89" s="574" t="n"/>
      <c r="BP89" s="574" t="n"/>
      <c r="BQ89" s="574" t="n"/>
      <c r="BR89" s="574" t="n"/>
      <c r="BS89" s="1241" t="n"/>
      <c r="BT89" s="574" t="n"/>
      <c r="BU89" s="574" t="n"/>
      <c r="BV89" s="936" t="n"/>
      <c r="BW89" s="574" t="n"/>
      <c r="BX89" s="1241" t="n"/>
      <c r="BY89" s="574" t="n"/>
      <c r="BZ89" s="574" t="n"/>
      <c r="CA89" s="574" t="n"/>
      <c r="CB89" s="574" t="n"/>
      <c r="CC89" s="1241" t="n"/>
      <c r="CD89" s="1241" t="n"/>
      <c r="CE89" s="1241" t="n"/>
      <c r="CF89" s="1241" t="n"/>
      <c r="CG89" s="829" t="n"/>
    </row>
    <row r="90" hidden="1" outlineLevel="1" ht="15" customFormat="1" customHeight="1" s="973">
      <c r="A90" s="394" t="inlineStr">
        <is>
          <t>Director 2 all other comp, 000s</t>
        </is>
      </c>
      <c r="B90" s="683" t="n"/>
      <c r="C90" s="1241" t="n"/>
      <c r="D90" s="1241" t="n"/>
      <c r="E90" s="1241" t="n"/>
      <c r="F90" s="1241" t="n"/>
      <c r="G90" s="574" t="n"/>
      <c r="H90" s="574" t="n"/>
      <c r="I90" s="574" t="n"/>
      <c r="J90" s="574" t="n"/>
      <c r="K90" s="1241" t="n"/>
      <c r="L90" s="574" t="n"/>
      <c r="M90" s="574" t="n"/>
      <c r="N90" s="574" t="n"/>
      <c r="O90" s="574" t="n"/>
      <c r="P90" s="1241" t="n"/>
      <c r="Q90" s="574" t="n"/>
      <c r="R90" s="574" t="n"/>
      <c r="S90" s="574" t="n"/>
      <c r="T90" s="574" t="n"/>
      <c r="U90" s="1241" t="n"/>
      <c r="V90" s="574" t="n"/>
      <c r="W90" s="574" t="n"/>
      <c r="X90" s="574" t="n"/>
      <c r="Y90" s="574" t="n"/>
      <c r="Z90" s="1241" t="n"/>
      <c r="AA90" s="574" t="n"/>
      <c r="AB90" s="574" t="n"/>
      <c r="AC90" s="574" t="n"/>
      <c r="AD90" s="574" t="n"/>
      <c r="AE90" s="1241" t="n"/>
      <c r="AF90" s="574" t="n"/>
      <c r="AG90" s="574" t="n"/>
      <c r="AH90" s="574" t="n"/>
      <c r="AI90" s="574" t="n"/>
      <c r="AJ90" s="1241" t="n"/>
      <c r="AK90" s="574" t="n"/>
      <c r="AL90" s="574" t="n"/>
      <c r="AM90" s="574" t="n"/>
      <c r="AN90" s="574" t="n"/>
      <c r="AO90" s="1241" t="n"/>
      <c r="AP90" s="574" t="n"/>
      <c r="AQ90" s="574" t="n"/>
      <c r="AR90" s="574" t="n"/>
      <c r="AS90" s="574" t="n"/>
      <c r="AT90" s="1242" t="n"/>
      <c r="AU90" s="678" t="n"/>
      <c r="AV90" s="678" t="n"/>
      <c r="AW90" s="678" t="n"/>
      <c r="AX90" s="678" t="n"/>
      <c r="AY90" s="1242" t="n"/>
      <c r="AZ90" s="678" t="n"/>
      <c r="BA90" s="678" t="n"/>
      <c r="BB90" s="678" t="n"/>
      <c r="BC90" s="678" t="n"/>
      <c r="BD90" s="1242" t="n"/>
      <c r="BE90" s="678" t="n"/>
      <c r="BF90" s="678" t="n"/>
      <c r="BG90" s="678" t="n"/>
      <c r="BH90" s="678" t="n"/>
      <c r="BI90" s="1242" t="n"/>
      <c r="BJ90" s="574" t="n"/>
      <c r="BK90" s="574" t="n"/>
      <c r="BL90" s="574" t="n"/>
      <c r="BM90" s="574" t="n"/>
      <c r="BN90" s="1241" t="n"/>
      <c r="BO90" s="574" t="n"/>
      <c r="BP90" s="574" t="n"/>
      <c r="BQ90" s="574" t="n"/>
      <c r="BR90" s="574" t="n"/>
      <c r="BS90" s="1241" t="n"/>
      <c r="BT90" s="574" t="n"/>
      <c r="BU90" s="574" t="n"/>
      <c r="BV90" s="936" t="n"/>
      <c r="BW90" s="574" t="n"/>
      <c r="BX90" s="1241" t="n"/>
      <c r="BY90" s="574" t="n"/>
      <c r="BZ90" s="574" t="n"/>
      <c r="CA90" s="574" t="n"/>
      <c r="CB90" s="574" t="n"/>
      <c r="CC90" s="1241" t="n"/>
      <c r="CD90" s="1241" t="n"/>
      <c r="CE90" s="1241" t="n"/>
      <c r="CF90" s="1241" t="n"/>
      <c r="CG90" s="829" t="n"/>
    </row>
    <row r="91" hidden="1" outlineLevel="1" ht="15" customFormat="1" customHeight="1" s="973">
      <c r="A91" s="394" t="inlineStr">
        <is>
          <t>Director 3 all other comp, 000s</t>
        </is>
      </c>
      <c r="B91" s="683" t="n"/>
      <c r="C91" s="1241" t="n"/>
      <c r="D91" s="1241" t="n"/>
      <c r="E91" s="1241" t="n"/>
      <c r="F91" s="1241" t="n"/>
      <c r="G91" s="574" t="n"/>
      <c r="H91" s="574" t="n"/>
      <c r="I91" s="574" t="n"/>
      <c r="J91" s="574" t="n"/>
      <c r="K91" s="1241" t="n"/>
      <c r="L91" s="574" t="n"/>
      <c r="M91" s="574" t="n"/>
      <c r="N91" s="574" t="n"/>
      <c r="O91" s="574" t="n"/>
      <c r="P91" s="1241" t="n"/>
      <c r="Q91" s="574" t="n"/>
      <c r="R91" s="574" t="n"/>
      <c r="S91" s="574" t="n"/>
      <c r="T91" s="574" t="n"/>
      <c r="U91" s="1241" t="n"/>
      <c r="V91" s="574" t="n"/>
      <c r="W91" s="574" t="n"/>
      <c r="X91" s="574" t="n"/>
      <c r="Y91" s="574" t="n"/>
      <c r="Z91" s="1241" t="n"/>
      <c r="AA91" s="574" t="n"/>
      <c r="AB91" s="574" t="n"/>
      <c r="AC91" s="574" t="n"/>
      <c r="AD91" s="574" t="n"/>
      <c r="AE91" s="1241" t="n"/>
      <c r="AF91" s="574" t="n"/>
      <c r="AG91" s="574" t="n"/>
      <c r="AH91" s="574" t="n"/>
      <c r="AI91" s="574" t="n"/>
      <c r="AJ91" s="1241" t="n"/>
      <c r="AK91" s="574" t="n"/>
      <c r="AL91" s="574" t="n"/>
      <c r="AM91" s="574" t="n"/>
      <c r="AN91" s="574" t="n"/>
      <c r="AO91" s="1241" t="n"/>
      <c r="AP91" s="574" t="n"/>
      <c r="AQ91" s="574" t="n"/>
      <c r="AR91" s="574" t="n"/>
      <c r="AS91" s="574" t="n"/>
      <c r="AT91" s="1242" t="n"/>
      <c r="AU91" s="678" t="n"/>
      <c r="AV91" s="678" t="n"/>
      <c r="AW91" s="678" t="n"/>
      <c r="AX91" s="678" t="n"/>
      <c r="AY91" s="1242" t="n"/>
      <c r="AZ91" s="678" t="n"/>
      <c r="BA91" s="678" t="n"/>
      <c r="BB91" s="678" t="n"/>
      <c r="BC91" s="678" t="n"/>
      <c r="BD91" s="1242" t="n"/>
      <c r="BE91" s="678" t="n"/>
      <c r="BF91" s="678" t="n"/>
      <c r="BG91" s="678" t="n"/>
      <c r="BH91" s="678" t="n"/>
      <c r="BI91" s="1242" t="n"/>
      <c r="BJ91" s="574" t="n"/>
      <c r="BK91" s="574" t="n"/>
      <c r="BL91" s="574" t="n"/>
      <c r="BM91" s="574" t="n"/>
      <c r="BN91" s="1241" t="n"/>
      <c r="BO91" s="574" t="n"/>
      <c r="BP91" s="574" t="n"/>
      <c r="BQ91" s="574" t="n"/>
      <c r="BR91" s="574" t="n"/>
      <c r="BS91" s="1241" t="n"/>
      <c r="BT91" s="574" t="n"/>
      <c r="BU91" s="574" t="n"/>
      <c r="BV91" s="936" t="n"/>
      <c r="BW91" s="574" t="n"/>
      <c r="BX91" s="1241" t="n"/>
      <c r="BY91" s="574" t="n"/>
      <c r="BZ91" s="574" t="n"/>
      <c r="CA91" s="574" t="n"/>
      <c r="CB91" s="574" t="n"/>
      <c r="CC91" s="1241" t="n"/>
      <c r="CD91" s="1241" t="n"/>
      <c r="CE91" s="1241" t="n"/>
      <c r="CF91" s="1241" t="n"/>
      <c r="CG91" s="829" t="n"/>
    </row>
    <row r="92" hidden="1" outlineLevel="1" ht="15" customFormat="1" customHeight="1" s="973">
      <c r="A92" s="394" t="inlineStr">
        <is>
          <t>Director 4 all other comp, 000s</t>
        </is>
      </c>
      <c r="B92" s="683" t="n"/>
      <c r="C92" s="1241" t="n"/>
      <c r="D92" s="1241" t="n"/>
      <c r="E92" s="1241" t="n"/>
      <c r="F92" s="1241" t="n"/>
      <c r="G92" s="574" t="n"/>
      <c r="H92" s="574" t="n"/>
      <c r="I92" s="574" t="n"/>
      <c r="J92" s="574" t="n"/>
      <c r="K92" s="1241" t="n"/>
      <c r="L92" s="574" t="n"/>
      <c r="M92" s="574" t="n"/>
      <c r="N92" s="574" t="n"/>
      <c r="O92" s="574" t="n"/>
      <c r="P92" s="1241" t="n"/>
      <c r="Q92" s="574" t="n"/>
      <c r="R92" s="574" t="n"/>
      <c r="S92" s="574" t="n"/>
      <c r="T92" s="574" t="n"/>
      <c r="U92" s="1241" t="n"/>
      <c r="V92" s="574" t="n"/>
      <c r="W92" s="574" t="n"/>
      <c r="X92" s="574" t="n"/>
      <c r="Y92" s="574" t="n"/>
      <c r="Z92" s="1241" t="n"/>
      <c r="AA92" s="574" t="n"/>
      <c r="AB92" s="574" t="n"/>
      <c r="AC92" s="574" t="n"/>
      <c r="AD92" s="574" t="n"/>
      <c r="AE92" s="1241" t="n"/>
      <c r="AF92" s="574" t="n"/>
      <c r="AG92" s="574" t="n"/>
      <c r="AH92" s="574" t="n"/>
      <c r="AI92" s="574" t="n"/>
      <c r="AJ92" s="1241" t="n"/>
      <c r="AK92" s="574" t="n"/>
      <c r="AL92" s="574" t="n"/>
      <c r="AM92" s="574" t="n"/>
      <c r="AN92" s="574" t="n"/>
      <c r="AO92" s="1241" t="n"/>
      <c r="AP92" s="574" t="n"/>
      <c r="AQ92" s="574" t="n"/>
      <c r="AR92" s="574" t="n"/>
      <c r="AS92" s="574" t="n"/>
      <c r="AT92" s="1242" t="n"/>
      <c r="AU92" s="678" t="n"/>
      <c r="AV92" s="678" t="n"/>
      <c r="AW92" s="678" t="n"/>
      <c r="AX92" s="678" t="n"/>
      <c r="AY92" s="1242" t="n"/>
      <c r="AZ92" s="678" t="n"/>
      <c r="BA92" s="678" t="n"/>
      <c r="BB92" s="678" t="n"/>
      <c r="BC92" s="678" t="n"/>
      <c r="BD92" s="1242" t="n"/>
      <c r="BE92" s="678" t="n"/>
      <c r="BF92" s="678" t="n"/>
      <c r="BG92" s="678" t="n"/>
      <c r="BH92" s="678" t="n"/>
      <c r="BI92" s="1242" t="n"/>
      <c r="BJ92" s="574" t="n"/>
      <c r="BK92" s="574" t="n"/>
      <c r="BL92" s="574" t="n"/>
      <c r="BM92" s="574" t="n"/>
      <c r="BN92" s="1241" t="n"/>
      <c r="BO92" s="574" t="n"/>
      <c r="BP92" s="574" t="n"/>
      <c r="BQ92" s="574" t="n"/>
      <c r="BR92" s="574" t="n"/>
      <c r="BS92" s="1241" t="n"/>
      <c r="BT92" s="574" t="n"/>
      <c r="BU92" s="574" t="n"/>
      <c r="BV92" s="936" t="n"/>
      <c r="BW92" s="574" t="n"/>
      <c r="BX92" s="1241" t="n"/>
      <c r="BY92" s="574" t="n"/>
      <c r="BZ92" s="574" t="n"/>
      <c r="CA92" s="574" t="n"/>
      <c r="CB92" s="574" t="n"/>
      <c r="CC92" s="1241" t="n"/>
      <c r="CD92" s="1241" t="n"/>
      <c r="CE92" s="1241" t="n"/>
      <c r="CF92" s="1241" t="n"/>
      <c r="CG92" s="829" t="n"/>
    </row>
    <row r="93" hidden="1" outlineLevel="1" ht="15" customFormat="1" customHeight="1" s="973">
      <c r="A93" s="394" t="inlineStr">
        <is>
          <t>Director 5 all other comp, 000s</t>
        </is>
      </c>
      <c r="B93" s="683" t="n"/>
      <c r="C93" s="1241" t="n"/>
      <c r="D93" s="1241" t="n"/>
      <c r="E93" s="1241" t="n"/>
      <c r="F93" s="1241" t="n"/>
      <c r="G93" s="574" t="n"/>
      <c r="H93" s="574" t="n"/>
      <c r="I93" s="574" t="n"/>
      <c r="J93" s="574" t="n"/>
      <c r="K93" s="1241" t="n"/>
      <c r="L93" s="574" t="n"/>
      <c r="M93" s="574" t="n"/>
      <c r="N93" s="574" t="n"/>
      <c r="O93" s="574" t="n"/>
      <c r="P93" s="1241" t="n"/>
      <c r="Q93" s="574" t="n"/>
      <c r="R93" s="574" t="n"/>
      <c r="S93" s="574" t="n"/>
      <c r="T93" s="574" t="n"/>
      <c r="U93" s="1241" t="n"/>
      <c r="V93" s="574" t="n"/>
      <c r="W93" s="574" t="n"/>
      <c r="X93" s="574" t="n"/>
      <c r="Y93" s="574" t="n"/>
      <c r="Z93" s="1241" t="n"/>
      <c r="AA93" s="574" t="n"/>
      <c r="AB93" s="574" t="n"/>
      <c r="AC93" s="574" t="n"/>
      <c r="AD93" s="574" t="n"/>
      <c r="AE93" s="1241" t="n"/>
      <c r="AF93" s="574" t="n"/>
      <c r="AG93" s="574" t="n"/>
      <c r="AH93" s="574" t="n"/>
      <c r="AI93" s="574" t="n"/>
      <c r="AJ93" s="1241" t="n"/>
      <c r="AK93" s="574" t="n"/>
      <c r="AL93" s="574" t="n"/>
      <c r="AM93" s="574" t="n"/>
      <c r="AN93" s="574" t="n"/>
      <c r="AO93" s="1241" t="n"/>
      <c r="AP93" s="574" t="n"/>
      <c r="AQ93" s="574" t="n"/>
      <c r="AR93" s="574" t="n"/>
      <c r="AS93" s="574" t="n"/>
      <c r="AT93" s="1242" t="n"/>
      <c r="AU93" s="678" t="n"/>
      <c r="AV93" s="678" t="n"/>
      <c r="AW93" s="678" t="n"/>
      <c r="AX93" s="678" t="n"/>
      <c r="AY93" s="1242" t="n"/>
      <c r="AZ93" s="678" t="n"/>
      <c r="BA93" s="678" t="n"/>
      <c r="BB93" s="678" t="n"/>
      <c r="BC93" s="678" t="n"/>
      <c r="BD93" s="1242" t="n"/>
      <c r="BE93" s="678" t="n"/>
      <c r="BF93" s="678" t="n"/>
      <c r="BG93" s="678" t="n"/>
      <c r="BH93" s="678" t="n"/>
      <c r="BI93" s="1242" t="n"/>
      <c r="BJ93" s="574" t="n"/>
      <c r="BK93" s="574" t="n"/>
      <c r="BL93" s="574" t="n"/>
      <c r="BM93" s="574" t="n"/>
      <c r="BN93" s="1241" t="n"/>
      <c r="BO93" s="574" t="n"/>
      <c r="BP93" s="574" t="n"/>
      <c r="BQ93" s="574" t="n"/>
      <c r="BR93" s="574" t="n"/>
      <c r="BS93" s="1241" t="n"/>
      <c r="BT93" s="574" t="n"/>
      <c r="BU93" s="574" t="n"/>
      <c r="BV93" s="936" t="n"/>
      <c r="BW93" s="574" t="n"/>
      <c r="BX93" s="1241" t="n"/>
      <c r="BY93" s="574" t="n"/>
      <c r="BZ93" s="574" t="n"/>
      <c r="CA93" s="574" t="n"/>
      <c r="CB93" s="574" t="n"/>
      <c r="CC93" s="1241" t="n"/>
      <c r="CD93" s="1241" t="n"/>
      <c r="CE93" s="1241" t="n"/>
      <c r="CF93" s="1241" t="n"/>
      <c r="CG93" s="829" t="n"/>
    </row>
    <row r="94" hidden="1" outlineLevel="1" ht="15" customFormat="1" customHeight="1" s="973">
      <c r="A94" s="394" t="inlineStr">
        <is>
          <t>Director 6 all other comp, 000s</t>
        </is>
      </c>
      <c r="B94" s="683" t="n"/>
      <c r="C94" s="1241" t="n"/>
      <c r="D94" s="1241" t="n"/>
      <c r="E94" s="1241" t="n"/>
      <c r="F94" s="1241" t="n"/>
      <c r="G94" s="574" t="n"/>
      <c r="H94" s="574" t="n"/>
      <c r="I94" s="574" t="n"/>
      <c r="J94" s="574" t="n"/>
      <c r="K94" s="1241" t="n"/>
      <c r="L94" s="574" t="n"/>
      <c r="M94" s="574" t="n"/>
      <c r="N94" s="574" t="n"/>
      <c r="O94" s="574" t="n"/>
      <c r="P94" s="1241" t="n"/>
      <c r="Q94" s="574" t="n"/>
      <c r="R94" s="574" t="n"/>
      <c r="S94" s="574" t="n"/>
      <c r="T94" s="574" t="n"/>
      <c r="U94" s="1241" t="n"/>
      <c r="V94" s="574" t="n"/>
      <c r="W94" s="574" t="n"/>
      <c r="X94" s="574" t="n"/>
      <c r="Y94" s="574" t="n"/>
      <c r="Z94" s="1241" t="n"/>
      <c r="AA94" s="574" t="n"/>
      <c r="AB94" s="574" t="n"/>
      <c r="AC94" s="574" t="n"/>
      <c r="AD94" s="574" t="n"/>
      <c r="AE94" s="1241" t="n"/>
      <c r="AF94" s="574" t="n"/>
      <c r="AG94" s="574" t="n"/>
      <c r="AH94" s="574" t="n"/>
      <c r="AI94" s="574" t="n"/>
      <c r="AJ94" s="1241" t="n"/>
      <c r="AK94" s="574" t="n"/>
      <c r="AL94" s="574" t="n"/>
      <c r="AM94" s="574" t="n"/>
      <c r="AN94" s="574" t="n"/>
      <c r="AO94" s="1241" t="n"/>
      <c r="AP94" s="574" t="n"/>
      <c r="AQ94" s="574" t="n"/>
      <c r="AR94" s="574" t="n"/>
      <c r="AS94" s="574" t="n"/>
      <c r="AT94" s="1242" t="n"/>
      <c r="AU94" s="678" t="n"/>
      <c r="AV94" s="678" t="n"/>
      <c r="AW94" s="678" t="n"/>
      <c r="AX94" s="678" t="n"/>
      <c r="AY94" s="1242" t="n"/>
      <c r="AZ94" s="678" t="n"/>
      <c r="BA94" s="678" t="n"/>
      <c r="BB94" s="678" t="n"/>
      <c r="BC94" s="678" t="n"/>
      <c r="BD94" s="1242" t="n"/>
      <c r="BE94" s="678" t="n"/>
      <c r="BF94" s="678" t="n"/>
      <c r="BG94" s="678" t="n"/>
      <c r="BH94" s="678" t="n"/>
      <c r="BI94" s="1242" t="n"/>
      <c r="BJ94" s="574" t="n"/>
      <c r="BK94" s="574" t="n"/>
      <c r="BL94" s="574" t="n"/>
      <c r="BM94" s="574" t="n"/>
      <c r="BN94" s="1241" t="n"/>
      <c r="BO94" s="574" t="n"/>
      <c r="BP94" s="574" t="n"/>
      <c r="BQ94" s="574" t="n"/>
      <c r="BR94" s="574" t="n"/>
      <c r="BS94" s="1241" t="n"/>
      <c r="BT94" s="574" t="n"/>
      <c r="BU94" s="574" t="n"/>
      <c r="BV94" s="936" t="n"/>
      <c r="BW94" s="574" t="n"/>
      <c r="BX94" s="1241" t="n"/>
      <c r="BY94" s="574" t="n"/>
      <c r="BZ94" s="574" t="n"/>
      <c r="CA94" s="574" t="n"/>
      <c r="CB94" s="574" t="n"/>
      <c r="CC94" s="1241" t="n"/>
      <c r="CD94" s="1241" t="n"/>
      <c r="CE94" s="1241" t="n"/>
      <c r="CF94" s="1241" t="n"/>
      <c r="CG94" s="829" t="n"/>
    </row>
    <row r="95" hidden="1" outlineLevel="1" ht="15" customFormat="1" customHeight="1" s="973">
      <c r="A95" s="394" t="inlineStr">
        <is>
          <t>Director 7 all other comp, 000s</t>
        </is>
      </c>
      <c r="B95" s="683" t="n"/>
      <c r="C95" s="1241" t="n"/>
      <c r="D95" s="1241" t="n"/>
      <c r="E95" s="1241" t="n"/>
      <c r="F95" s="1241" t="n"/>
      <c r="G95" s="574" t="n"/>
      <c r="H95" s="574" t="n"/>
      <c r="I95" s="574" t="n"/>
      <c r="J95" s="574" t="n"/>
      <c r="K95" s="1241" t="n"/>
      <c r="L95" s="574" t="n"/>
      <c r="M95" s="574" t="n"/>
      <c r="N95" s="574" t="n"/>
      <c r="O95" s="574" t="n"/>
      <c r="P95" s="1241" t="n"/>
      <c r="Q95" s="574" t="n"/>
      <c r="R95" s="574" t="n"/>
      <c r="S95" s="574" t="n"/>
      <c r="T95" s="574" t="n"/>
      <c r="U95" s="1241" t="n"/>
      <c r="V95" s="574" t="n"/>
      <c r="W95" s="574" t="n"/>
      <c r="X95" s="574" t="n"/>
      <c r="Y95" s="574" t="n"/>
      <c r="Z95" s="1241" t="n"/>
      <c r="AA95" s="574" t="n"/>
      <c r="AB95" s="574" t="n"/>
      <c r="AC95" s="574" t="n"/>
      <c r="AD95" s="574" t="n"/>
      <c r="AE95" s="1241" t="n"/>
      <c r="AF95" s="574" t="n"/>
      <c r="AG95" s="574" t="n"/>
      <c r="AH95" s="574" t="n"/>
      <c r="AI95" s="574" t="n"/>
      <c r="AJ95" s="1241" t="n"/>
      <c r="AK95" s="574" t="n"/>
      <c r="AL95" s="574" t="n"/>
      <c r="AM95" s="574" t="n"/>
      <c r="AN95" s="574" t="n"/>
      <c r="AO95" s="1241" t="n"/>
      <c r="AP95" s="574" t="n"/>
      <c r="AQ95" s="574" t="n"/>
      <c r="AR95" s="574" t="n"/>
      <c r="AS95" s="574" t="n"/>
      <c r="AT95" s="1242" t="n"/>
      <c r="AU95" s="678" t="n"/>
      <c r="AV95" s="678" t="n"/>
      <c r="AW95" s="678" t="n"/>
      <c r="AX95" s="678" t="n"/>
      <c r="AY95" s="1242" t="n"/>
      <c r="AZ95" s="678" t="n"/>
      <c r="BA95" s="678" t="n"/>
      <c r="BB95" s="678" t="n"/>
      <c r="BC95" s="678" t="n"/>
      <c r="BD95" s="1242" t="n"/>
      <c r="BE95" s="678" t="n"/>
      <c r="BF95" s="678" t="n"/>
      <c r="BG95" s="678" t="n"/>
      <c r="BH95" s="678" t="n"/>
      <c r="BI95" s="1242" t="n"/>
      <c r="BJ95" s="574" t="n"/>
      <c r="BK95" s="574" t="n"/>
      <c r="BL95" s="574" t="n"/>
      <c r="BM95" s="574" t="n"/>
      <c r="BN95" s="1241" t="n"/>
      <c r="BO95" s="574" t="n"/>
      <c r="BP95" s="574" t="n"/>
      <c r="BQ95" s="574" t="n"/>
      <c r="BR95" s="574" t="n"/>
      <c r="BS95" s="1241" t="n"/>
      <c r="BT95" s="574" t="n"/>
      <c r="BU95" s="574" t="n"/>
      <c r="BV95" s="936" t="n"/>
      <c r="BW95" s="574" t="n"/>
      <c r="BX95" s="1241" t="n"/>
      <c r="BY95" s="574" t="n"/>
      <c r="BZ95" s="574" t="n"/>
      <c r="CA95" s="574" t="n"/>
      <c r="CB95" s="574" t="n"/>
      <c r="CC95" s="1241" t="n"/>
      <c r="CD95" s="1241" t="n"/>
      <c r="CE95" s="1241" t="n"/>
      <c r="CF95" s="1241" t="n"/>
      <c r="CG95" s="829" t="n"/>
    </row>
    <row r="96" hidden="1" outlineLevel="1" ht="15" customFormat="1" customHeight="1" s="973">
      <c r="A96" s="394" t="inlineStr">
        <is>
          <t>Director 8 all other comp, 000s</t>
        </is>
      </c>
      <c r="B96" s="683" t="n"/>
      <c r="C96" s="1241" t="n"/>
      <c r="D96" s="1241" t="n"/>
      <c r="E96" s="1241" t="n"/>
      <c r="F96" s="1241" t="n"/>
      <c r="G96" s="574" t="n"/>
      <c r="H96" s="574" t="n"/>
      <c r="I96" s="574" t="n"/>
      <c r="J96" s="574" t="n"/>
      <c r="K96" s="1241" t="n"/>
      <c r="L96" s="574" t="n"/>
      <c r="M96" s="574" t="n"/>
      <c r="N96" s="574" t="n"/>
      <c r="O96" s="574" t="n"/>
      <c r="P96" s="1241" t="n"/>
      <c r="Q96" s="574" t="n"/>
      <c r="R96" s="574" t="n"/>
      <c r="S96" s="574" t="n"/>
      <c r="T96" s="574" t="n"/>
      <c r="U96" s="1241" t="n"/>
      <c r="V96" s="574" t="n"/>
      <c r="W96" s="574" t="n"/>
      <c r="X96" s="574" t="n"/>
      <c r="Y96" s="574" t="n"/>
      <c r="Z96" s="1241" t="n"/>
      <c r="AA96" s="574" t="n"/>
      <c r="AB96" s="574" t="n"/>
      <c r="AC96" s="574" t="n"/>
      <c r="AD96" s="574" t="n"/>
      <c r="AE96" s="1241" t="n"/>
      <c r="AF96" s="574" t="n"/>
      <c r="AG96" s="574" t="n"/>
      <c r="AH96" s="574" t="n"/>
      <c r="AI96" s="574" t="n"/>
      <c r="AJ96" s="1241" t="n"/>
      <c r="AK96" s="574" t="n"/>
      <c r="AL96" s="574" t="n"/>
      <c r="AM96" s="574" t="n"/>
      <c r="AN96" s="574" t="n"/>
      <c r="AO96" s="1241" t="n"/>
      <c r="AP96" s="574" t="n"/>
      <c r="AQ96" s="574" t="n"/>
      <c r="AR96" s="574" t="n"/>
      <c r="AS96" s="574" t="n"/>
      <c r="AT96" s="1242" t="n"/>
      <c r="AU96" s="678" t="n"/>
      <c r="AV96" s="678" t="n"/>
      <c r="AW96" s="678" t="n"/>
      <c r="AX96" s="678" t="n"/>
      <c r="AY96" s="1242" t="n"/>
      <c r="AZ96" s="678" t="n"/>
      <c r="BA96" s="678" t="n"/>
      <c r="BB96" s="678" t="n"/>
      <c r="BC96" s="678" t="n"/>
      <c r="BD96" s="1242" t="n"/>
      <c r="BE96" s="678" t="n"/>
      <c r="BF96" s="678" t="n"/>
      <c r="BG96" s="678" t="n"/>
      <c r="BH96" s="678" t="n"/>
      <c r="BI96" s="1242" t="n"/>
      <c r="BJ96" s="574" t="n"/>
      <c r="BK96" s="574" t="n"/>
      <c r="BL96" s="574" t="n"/>
      <c r="BM96" s="574" t="n"/>
      <c r="BN96" s="1241" t="n"/>
      <c r="BO96" s="574" t="n"/>
      <c r="BP96" s="574" t="n"/>
      <c r="BQ96" s="574" t="n"/>
      <c r="BR96" s="574" t="n"/>
      <c r="BS96" s="1241" t="n"/>
      <c r="BT96" s="574" t="n"/>
      <c r="BU96" s="574" t="n"/>
      <c r="BV96" s="936" t="n"/>
      <c r="BW96" s="574" t="n"/>
      <c r="BX96" s="1241" t="n"/>
      <c r="BY96" s="574" t="n"/>
      <c r="BZ96" s="574" t="n"/>
      <c r="CA96" s="574" t="n"/>
      <c r="CB96" s="574" t="n"/>
      <c r="CC96" s="1241" t="n"/>
      <c r="CD96" s="1241" t="n"/>
      <c r="CE96" s="1241" t="n"/>
      <c r="CF96" s="1241" t="n"/>
      <c r="CG96" s="829" t="n"/>
    </row>
    <row r="97" hidden="1" outlineLevel="1" ht="15" customFormat="1" customHeight="1" s="973">
      <c r="A97" s="394" t="inlineStr">
        <is>
          <t>Director 9 all other comp, 000s</t>
        </is>
      </c>
      <c r="B97" s="683" t="n"/>
      <c r="C97" s="1241" t="n"/>
      <c r="D97" s="1241" t="n"/>
      <c r="E97" s="1241" t="n"/>
      <c r="F97" s="1241" t="n"/>
      <c r="G97" s="574" t="n"/>
      <c r="H97" s="574" t="n"/>
      <c r="I97" s="574" t="n"/>
      <c r="J97" s="574" t="n"/>
      <c r="K97" s="1241" t="n"/>
      <c r="L97" s="574" t="n"/>
      <c r="M97" s="574" t="n"/>
      <c r="N97" s="574" t="n"/>
      <c r="O97" s="574" t="n"/>
      <c r="P97" s="1241" t="n"/>
      <c r="Q97" s="574" t="n"/>
      <c r="R97" s="574" t="n"/>
      <c r="S97" s="574" t="n"/>
      <c r="T97" s="574" t="n"/>
      <c r="U97" s="1241" t="n"/>
      <c r="V97" s="574" t="n"/>
      <c r="W97" s="574" t="n"/>
      <c r="X97" s="574" t="n"/>
      <c r="Y97" s="574" t="n"/>
      <c r="Z97" s="1241" t="n"/>
      <c r="AA97" s="574" t="n"/>
      <c r="AB97" s="574" t="n"/>
      <c r="AC97" s="574" t="n"/>
      <c r="AD97" s="574" t="n"/>
      <c r="AE97" s="1241" t="n"/>
      <c r="AF97" s="574" t="n"/>
      <c r="AG97" s="574" t="n"/>
      <c r="AH97" s="574" t="n"/>
      <c r="AI97" s="574" t="n"/>
      <c r="AJ97" s="1241" t="n"/>
      <c r="AK97" s="574" t="n"/>
      <c r="AL97" s="574" t="n"/>
      <c r="AM97" s="574" t="n"/>
      <c r="AN97" s="574" t="n"/>
      <c r="AO97" s="1241" t="n"/>
      <c r="AP97" s="574" t="n"/>
      <c r="AQ97" s="574" t="n"/>
      <c r="AR97" s="574" t="n"/>
      <c r="AS97" s="574" t="n"/>
      <c r="AT97" s="1242" t="n"/>
      <c r="AU97" s="678" t="n"/>
      <c r="AV97" s="678" t="n"/>
      <c r="AW97" s="678" t="n"/>
      <c r="AX97" s="678" t="n"/>
      <c r="AY97" s="1242" t="n"/>
      <c r="AZ97" s="678" t="n"/>
      <c r="BA97" s="678" t="n"/>
      <c r="BB97" s="678" t="n"/>
      <c r="BC97" s="678" t="n"/>
      <c r="BD97" s="1242" t="n"/>
      <c r="BE97" s="678" t="n"/>
      <c r="BF97" s="678" t="n"/>
      <c r="BG97" s="678" t="n"/>
      <c r="BH97" s="678" t="n"/>
      <c r="BI97" s="1242" t="n"/>
      <c r="BJ97" s="574" t="n"/>
      <c r="BK97" s="574" t="n"/>
      <c r="BL97" s="574" t="n"/>
      <c r="BM97" s="574" t="n"/>
      <c r="BN97" s="1241" t="n"/>
      <c r="BO97" s="574" t="n"/>
      <c r="BP97" s="574" t="n"/>
      <c r="BQ97" s="574" t="n"/>
      <c r="BR97" s="574" t="n"/>
      <c r="BS97" s="1241" t="n"/>
      <c r="BT97" s="574" t="n"/>
      <c r="BU97" s="574" t="n"/>
      <c r="BV97" s="936" t="n"/>
      <c r="BW97" s="574" t="n"/>
      <c r="BX97" s="1241" t="n"/>
      <c r="BY97" s="574" t="n"/>
      <c r="BZ97" s="574" t="n"/>
      <c r="CA97" s="574" t="n"/>
      <c r="CB97" s="574" t="n"/>
      <c r="CC97" s="1241" t="n"/>
      <c r="CD97" s="1241" t="n"/>
      <c r="CE97" s="1241" t="n"/>
      <c r="CF97" s="1241" t="n"/>
      <c r="CG97" s="829" t="n"/>
    </row>
    <row r="98" hidden="1" outlineLevel="1" ht="15" customFormat="1" customHeight="1" s="973">
      <c r="A98" s="394" t="inlineStr">
        <is>
          <t>Director 10 all other comp, 000s</t>
        </is>
      </c>
      <c r="B98" s="683" t="n"/>
      <c r="C98" s="1241" t="n"/>
      <c r="D98" s="1241" t="n"/>
      <c r="E98" s="1241" t="n"/>
      <c r="F98" s="1241" t="n"/>
      <c r="G98" s="574" t="n"/>
      <c r="H98" s="574" t="n"/>
      <c r="I98" s="574" t="n"/>
      <c r="J98" s="574" t="n"/>
      <c r="K98" s="1241" t="n"/>
      <c r="L98" s="574" t="n"/>
      <c r="M98" s="574" t="n"/>
      <c r="N98" s="574" t="n"/>
      <c r="O98" s="574" t="n"/>
      <c r="P98" s="1241" t="n"/>
      <c r="Q98" s="574" t="n"/>
      <c r="R98" s="574" t="n"/>
      <c r="S98" s="574" t="n"/>
      <c r="T98" s="574" t="n"/>
      <c r="U98" s="1241" t="n"/>
      <c r="V98" s="574" t="n"/>
      <c r="W98" s="574" t="n"/>
      <c r="X98" s="574" t="n"/>
      <c r="Y98" s="574" t="n"/>
      <c r="Z98" s="1241" t="n"/>
      <c r="AA98" s="574" t="n"/>
      <c r="AB98" s="574" t="n"/>
      <c r="AC98" s="574" t="n"/>
      <c r="AD98" s="574" t="n"/>
      <c r="AE98" s="1241" t="n"/>
      <c r="AF98" s="574" t="n"/>
      <c r="AG98" s="574" t="n"/>
      <c r="AH98" s="574" t="n"/>
      <c r="AI98" s="574" t="n"/>
      <c r="AJ98" s="1241" t="n"/>
      <c r="AK98" s="574" t="n"/>
      <c r="AL98" s="574" t="n"/>
      <c r="AM98" s="574" t="n"/>
      <c r="AN98" s="574" t="n"/>
      <c r="AO98" s="1241" t="n"/>
      <c r="AP98" s="574" t="n"/>
      <c r="AQ98" s="574" t="n"/>
      <c r="AR98" s="574" t="n"/>
      <c r="AS98" s="574" t="n"/>
      <c r="AT98" s="1242" t="n"/>
      <c r="AU98" s="678" t="n"/>
      <c r="AV98" s="678" t="n"/>
      <c r="AW98" s="678" t="n"/>
      <c r="AX98" s="678" t="n"/>
      <c r="AY98" s="1242" t="n"/>
      <c r="AZ98" s="678" t="n"/>
      <c r="BA98" s="678" t="n"/>
      <c r="BB98" s="678" t="n"/>
      <c r="BC98" s="678" t="n"/>
      <c r="BD98" s="1242" t="n"/>
      <c r="BE98" s="678" t="n"/>
      <c r="BF98" s="678" t="n"/>
      <c r="BG98" s="678" t="n"/>
      <c r="BH98" s="678" t="n"/>
      <c r="BI98" s="1242" t="n"/>
      <c r="BJ98" s="574" t="n"/>
      <c r="BK98" s="574" t="n"/>
      <c r="BL98" s="574" t="n"/>
      <c r="BM98" s="574" t="n"/>
      <c r="BN98" s="1241" t="n"/>
      <c r="BO98" s="574" t="n"/>
      <c r="BP98" s="574" t="n"/>
      <c r="BQ98" s="574" t="n"/>
      <c r="BR98" s="574" t="n"/>
      <c r="BS98" s="1241" t="n"/>
      <c r="BT98" s="574" t="n"/>
      <c r="BU98" s="574" t="n"/>
      <c r="BV98" s="936" t="n"/>
      <c r="BW98" s="574" t="n"/>
      <c r="BX98" s="1241" t="n"/>
      <c r="BY98" s="574" t="n"/>
      <c r="BZ98" s="574" t="n"/>
      <c r="CA98" s="574" t="n"/>
      <c r="CB98" s="574" t="n"/>
      <c r="CC98" s="1241" t="n"/>
      <c r="CD98" s="1241" t="n"/>
      <c r="CE98" s="1241" t="n"/>
      <c r="CF98" s="1241" t="n"/>
      <c r="CG98" s="829" t="n"/>
    </row>
    <row r="99" hidden="1" outlineLevel="1" ht="15" customFormat="1" customHeight="1" s="973">
      <c r="A99" s="394" t="inlineStr">
        <is>
          <t>Director 11 all other comp, 000s</t>
        </is>
      </c>
      <c r="B99" s="683" t="n"/>
      <c r="C99" s="1241" t="n"/>
      <c r="D99" s="1241" t="n"/>
      <c r="E99" s="1241" t="n"/>
      <c r="F99" s="1241" t="n"/>
      <c r="G99" s="574" t="n"/>
      <c r="H99" s="574" t="n"/>
      <c r="I99" s="574" t="n"/>
      <c r="J99" s="574" t="n"/>
      <c r="K99" s="1241" t="n"/>
      <c r="L99" s="574" t="n"/>
      <c r="M99" s="574" t="n"/>
      <c r="N99" s="574" t="n"/>
      <c r="O99" s="574" t="n"/>
      <c r="P99" s="1241" t="n"/>
      <c r="Q99" s="574" t="n"/>
      <c r="R99" s="574" t="n"/>
      <c r="S99" s="574" t="n"/>
      <c r="T99" s="574" t="n"/>
      <c r="U99" s="1241" t="n"/>
      <c r="V99" s="574" t="n"/>
      <c r="W99" s="574" t="n"/>
      <c r="X99" s="574" t="n"/>
      <c r="Y99" s="574" t="n"/>
      <c r="Z99" s="1241" t="n"/>
      <c r="AA99" s="574" t="n"/>
      <c r="AB99" s="574" t="n"/>
      <c r="AC99" s="574" t="n"/>
      <c r="AD99" s="574" t="n"/>
      <c r="AE99" s="1241" t="n"/>
      <c r="AF99" s="574" t="n"/>
      <c r="AG99" s="574" t="n"/>
      <c r="AH99" s="574" t="n"/>
      <c r="AI99" s="574" t="n"/>
      <c r="AJ99" s="1241" t="n"/>
      <c r="AK99" s="574" t="n"/>
      <c r="AL99" s="574" t="n"/>
      <c r="AM99" s="574" t="n"/>
      <c r="AN99" s="574" t="n"/>
      <c r="AO99" s="1241" t="n"/>
      <c r="AP99" s="574" t="n"/>
      <c r="AQ99" s="574" t="n"/>
      <c r="AR99" s="574" t="n"/>
      <c r="AS99" s="574" t="n"/>
      <c r="AT99" s="1242" t="n"/>
      <c r="AU99" s="678" t="n"/>
      <c r="AV99" s="678" t="n"/>
      <c r="AW99" s="678" t="n"/>
      <c r="AX99" s="678" t="n"/>
      <c r="AY99" s="1242" t="n"/>
      <c r="AZ99" s="678" t="n"/>
      <c r="BA99" s="678" t="n"/>
      <c r="BB99" s="678" t="n"/>
      <c r="BC99" s="678" t="n"/>
      <c r="BD99" s="1242" t="n"/>
      <c r="BE99" s="678" t="n"/>
      <c r="BF99" s="678" t="n"/>
      <c r="BG99" s="678" t="n"/>
      <c r="BH99" s="678" t="n"/>
      <c r="BI99" s="1242" t="n"/>
      <c r="BJ99" s="574" t="n"/>
      <c r="BK99" s="574" t="n"/>
      <c r="BL99" s="574" t="n"/>
      <c r="BM99" s="574" t="n"/>
      <c r="BN99" s="1241" t="n"/>
      <c r="BO99" s="574" t="n"/>
      <c r="BP99" s="574" t="n"/>
      <c r="BQ99" s="574" t="n"/>
      <c r="BR99" s="574" t="n"/>
      <c r="BS99" s="1241" t="n"/>
      <c r="BT99" s="574" t="n"/>
      <c r="BU99" s="574" t="n"/>
      <c r="BV99" s="936" t="n"/>
      <c r="BW99" s="574" t="n"/>
      <c r="BX99" s="1241" t="n"/>
      <c r="BY99" s="574" t="n"/>
      <c r="BZ99" s="574" t="n"/>
      <c r="CA99" s="574" t="n"/>
      <c r="CB99" s="574" t="n"/>
      <c r="CC99" s="1241" t="n"/>
      <c r="CD99" s="1241" t="n"/>
      <c r="CE99" s="1241" t="n"/>
      <c r="CF99" s="1241" t="n"/>
      <c r="CG99" s="829" t="n"/>
    </row>
    <row r="100" hidden="1" outlineLevel="1" ht="15" customFormat="1" customHeight="1" s="973">
      <c r="A100" s="394" t="inlineStr">
        <is>
          <t>Director 12 all other comp, 000s</t>
        </is>
      </c>
      <c r="B100" s="683" t="n"/>
      <c r="C100" s="1241" t="n"/>
      <c r="D100" s="1241" t="n"/>
      <c r="E100" s="1241" t="n"/>
      <c r="F100" s="1241" t="n"/>
      <c r="G100" s="574" t="n"/>
      <c r="H100" s="574" t="n"/>
      <c r="I100" s="574" t="n"/>
      <c r="J100" s="574" t="n"/>
      <c r="K100" s="1241" t="n"/>
      <c r="L100" s="574" t="n"/>
      <c r="M100" s="574" t="n"/>
      <c r="N100" s="574" t="n"/>
      <c r="O100" s="574" t="n"/>
      <c r="P100" s="1241" t="n"/>
      <c r="Q100" s="574" t="n"/>
      <c r="R100" s="574" t="n"/>
      <c r="S100" s="574" t="n"/>
      <c r="T100" s="574" t="n"/>
      <c r="U100" s="1241" t="n"/>
      <c r="V100" s="574" t="n"/>
      <c r="W100" s="574" t="n"/>
      <c r="X100" s="574" t="n"/>
      <c r="Y100" s="574" t="n"/>
      <c r="Z100" s="1241" t="n"/>
      <c r="AA100" s="574" t="n"/>
      <c r="AB100" s="574" t="n"/>
      <c r="AC100" s="574" t="n"/>
      <c r="AD100" s="574" t="n"/>
      <c r="AE100" s="1241" t="n"/>
      <c r="AF100" s="574" t="n"/>
      <c r="AG100" s="574" t="n"/>
      <c r="AH100" s="574" t="n"/>
      <c r="AI100" s="574" t="n"/>
      <c r="AJ100" s="1241" t="n"/>
      <c r="AK100" s="574" t="n"/>
      <c r="AL100" s="574" t="n"/>
      <c r="AM100" s="574" t="n"/>
      <c r="AN100" s="574" t="n"/>
      <c r="AO100" s="1241" t="n"/>
      <c r="AP100" s="574" t="n"/>
      <c r="AQ100" s="574" t="n"/>
      <c r="AR100" s="574" t="n"/>
      <c r="AS100" s="574" t="n"/>
      <c r="AT100" s="1242" t="n"/>
      <c r="AU100" s="678" t="n"/>
      <c r="AV100" s="678" t="n"/>
      <c r="AW100" s="678" t="n"/>
      <c r="AX100" s="678" t="n"/>
      <c r="AY100" s="1242" t="n"/>
      <c r="AZ100" s="678" t="n"/>
      <c r="BA100" s="678" t="n"/>
      <c r="BB100" s="678" t="n"/>
      <c r="BC100" s="678" t="n"/>
      <c r="BD100" s="1242" t="n"/>
      <c r="BE100" s="678" t="n"/>
      <c r="BF100" s="678" t="n"/>
      <c r="BG100" s="678" t="n"/>
      <c r="BH100" s="678" t="n"/>
      <c r="BI100" s="1242" t="n"/>
      <c r="BJ100" s="574" t="n"/>
      <c r="BK100" s="574" t="n"/>
      <c r="BL100" s="574" t="n"/>
      <c r="BM100" s="574" t="n"/>
      <c r="BN100" s="1241" t="n"/>
      <c r="BO100" s="574" t="n"/>
      <c r="BP100" s="574" t="n"/>
      <c r="BQ100" s="574" t="n"/>
      <c r="BR100" s="574" t="n"/>
      <c r="BS100" s="1241" t="n"/>
      <c r="BT100" s="574" t="n"/>
      <c r="BU100" s="574" t="n"/>
      <c r="BV100" s="936" t="n"/>
      <c r="BW100" s="574" t="n"/>
      <c r="BX100" s="1241" t="n"/>
      <c r="BY100" s="574" t="n"/>
      <c r="BZ100" s="574" t="n"/>
      <c r="CA100" s="574" t="n"/>
      <c r="CB100" s="574" t="n"/>
      <c r="CC100" s="1241" t="n"/>
      <c r="CD100" s="1241" t="n"/>
      <c r="CE100" s="1241" t="n"/>
      <c r="CF100" s="1241" t="n"/>
      <c r="CG100" s="829" t="n"/>
    </row>
    <row r="101" hidden="1" outlineLevel="1" ht="15" customFormat="1" customHeight="1" s="973">
      <c r="A101" s="833" t="inlineStr">
        <is>
          <t>Director 13 all other comp, 000s</t>
        </is>
      </c>
      <c r="B101" s="846" t="n"/>
      <c r="C101" s="1272" t="n"/>
      <c r="D101" s="1272" t="n"/>
      <c r="E101" s="1272" t="n"/>
      <c r="F101" s="1272" t="n"/>
      <c r="G101" s="847" t="n"/>
      <c r="H101" s="847" t="n"/>
      <c r="I101" s="847" t="n"/>
      <c r="J101" s="847" t="n"/>
      <c r="K101" s="1272" t="n"/>
      <c r="L101" s="847" t="n"/>
      <c r="M101" s="847" t="n"/>
      <c r="N101" s="847" t="n"/>
      <c r="O101" s="847" t="n"/>
      <c r="P101" s="1272" t="n"/>
      <c r="Q101" s="847" t="n"/>
      <c r="R101" s="847" t="n"/>
      <c r="S101" s="847" t="n"/>
      <c r="T101" s="847" t="n"/>
      <c r="U101" s="1272" t="n"/>
      <c r="V101" s="847" t="n"/>
      <c r="W101" s="847" t="n"/>
      <c r="X101" s="847" t="n"/>
      <c r="Y101" s="847" t="n"/>
      <c r="Z101" s="1272" t="n"/>
      <c r="AA101" s="847" t="n"/>
      <c r="AB101" s="847" t="n"/>
      <c r="AC101" s="847" t="n"/>
      <c r="AD101" s="847" t="n"/>
      <c r="AE101" s="1272" t="n"/>
      <c r="AF101" s="847" t="n"/>
      <c r="AG101" s="847" t="n"/>
      <c r="AH101" s="847" t="n"/>
      <c r="AI101" s="847" t="n"/>
      <c r="AJ101" s="1272" t="n"/>
      <c r="AK101" s="847" t="n"/>
      <c r="AL101" s="847" t="n"/>
      <c r="AM101" s="847" t="n"/>
      <c r="AN101" s="847" t="n"/>
      <c r="AO101" s="1272" t="n"/>
      <c r="AP101" s="847" t="n"/>
      <c r="AQ101" s="847" t="n"/>
      <c r="AR101" s="847" t="n"/>
      <c r="AS101" s="847" t="n"/>
      <c r="AT101" s="1248" t="n"/>
      <c r="AU101" s="681" t="n"/>
      <c r="AV101" s="681" t="n"/>
      <c r="AW101" s="681" t="n"/>
      <c r="AX101" s="681" t="n"/>
      <c r="AY101" s="1248" t="n"/>
      <c r="AZ101" s="681" t="n"/>
      <c r="BA101" s="681" t="n"/>
      <c r="BB101" s="681" t="n"/>
      <c r="BC101" s="681" t="n"/>
      <c r="BD101" s="1248" t="n"/>
      <c r="BE101" s="681" t="n"/>
      <c r="BF101" s="681" t="n"/>
      <c r="BG101" s="681" t="n"/>
      <c r="BH101" s="681" t="n"/>
      <c r="BI101" s="1248" t="n"/>
      <c r="BJ101" s="847" t="n"/>
      <c r="BK101" s="847" t="n"/>
      <c r="BL101" s="847" t="n"/>
      <c r="BM101" s="847" t="n"/>
      <c r="BN101" s="1272" t="n"/>
      <c r="BO101" s="847" t="n"/>
      <c r="BP101" s="847" t="n"/>
      <c r="BQ101" s="847" t="n"/>
      <c r="BR101" s="847" t="n"/>
      <c r="BS101" s="1272" t="n"/>
      <c r="BT101" s="847" t="n"/>
      <c r="BU101" s="847" t="n"/>
      <c r="BV101" s="938" t="n"/>
      <c r="BW101" s="847" t="n"/>
      <c r="BX101" s="1272" t="n"/>
      <c r="BY101" s="847" t="n"/>
      <c r="BZ101" s="847" t="n"/>
      <c r="CA101" s="847" t="n"/>
      <c r="CB101" s="847" t="n"/>
      <c r="CC101" s="1272" t="n"/>
      <c r="CD101" s="1272" t="n"/>
      <c r="CE101" s="1272" t="n"/>
      <c r="CF101" s="1272" t="n"/>
      <c r="CG101" s="829" t="n"/>
    </row>
    <row r="102" collapsed="1" ht="15" customFormat="1" customHeight="1" s="973">
      <c r="A102" s="832" t="inlineStr">
        <is>
          <t>Total director all other comp, 000s</t>
        </is>
      </c>
      <c r="B102" s="863" t="n"/>
      <c r="C102" s="1248" t="n"/>
      <c r="D102" s="1248" t="n"/>
      <c r="E102" s="1248" t="n"/>
      <c r="F102" s="1248" t="n"/>
      <c r="G102" s="681" t="n"/>
      <c r="H102" s="681" t="n"/>
      <c r="I102" s="681" t="n"/>
      <c r="J102" s="681" t="n"/>
      <c r="K102" s="1248" t="n"/>
      <c r="L102" s="681" t="n"/>
      <c r="M102" s="681" t="n"/>
      <c r="N102" s="681" t="n"/>
      <c r="O102" s="681" t="n"/>
      <c r="P102" s="1248" t="n"/>
      <c r="Q102" s="681" t="n"/>
      <c r="R102" s="681" t="n"/>
      <c r="S102" s="681" t="n"/>
      <c r="T102" s="681" t="n"/>
      <c r="U102" s="1248" t="n"/>
      <c r="V102" s="681" t="n"/>
      <c r="W102" s="681" t="n"/>
      <c r="X102" s="681" t="n"/>
      <c r="Y102" s="681" t="n"/>
      <c r="Z102" s="1248" t="n"/>
      <c r="AA102" s="681" t="n"/>
      <c r="AB102" s="681" t="n"/>
      <c r="AC102" s="681" t="n"/>
      <c r="AD102" s="681" t="n"/>
      <c r="AE102" s="1248" t="n"/>
      <c r="AF102" s="681" t="n"/>
      <c r="AG102" s="681" t="n"/>
      <c r="AH102" s="681" t="n"/>
      <c r="AI102" s="681" t="n"/>
      <c r="AJ102" s="1248" t="n"/>
      <c r="AK102" s="681" t="n"/>
      <c r="AL102" s="681" t="n"/>
      <c r="AM102" s="681" t="n"/>
      <c r="AN102" s="681" t="n"/>
      <c r="AO102" s="1248" t="n"/>
      <c r="AP102" s="681" t="n"/>
      <c r="AQ102" s="681" t="n"/>
      <c r="AR102" s="681" t="n"/>
      <c r="AS102" s="681" t="n"/>
      <c r="AT102" s="1248">
        <f>SUM(AT89:AT101)</f>
        <v/>
      </c>
      <c r="AU102" s="681" t="n"/>
      <c r="AV102" s="681" t="n"/>
      <c r="AW102" s="681" t="n"/>
      <c r="AX102" s="681" t="n"/>
      <c r="AY102" s="1248">
        <f>SUM(AY89:AY101)</f>
        <v/>
      </c>
      <c r="AZ102" s="681" t="n"/>
      <c r="BA102" s="681" t="n"/>
      <c r="BB102" s="681" t="n"/>
      <c r="BC102" s="681" t="n"/>
      <c r="BD102" s="1248">
        <f>SUM(BD89:BD101)</f>
        <v/>
      </c>
      <c r="BE102" s="681" t="n"/>
      <c r="BF102" s="681" t="n"/>
      <c r="BG102" s="681" t="n"/>
      <c r="BH102" s="681" t="n"/>
      <c r="BI102" s="1248">
        <f>SUM(BI89:BI101)</f>
        <v/>
      </c>
      <c r="BJ102" s="681" t="n"/>
      <c r="BK102" s="681" t="n"/>
      <c r="BL102" s="681" t="n"/>
      <c r="BM102" s="681" t="n"/>
      <c r="BN102" s="1248">
        <f>SUM(BN89:BN101)</f>
        <v/>
      </c>
      <c r="BO102" s="681" t="n"/>
      <c r="BP102" s="681" t="n"/>
      <c r="BQ102" s="681" t="n"/>
      <c r="BR102" s="681" t="n"/>
      <c r="BS102" s="1248" t="n"/>
      <c r="BT102" s="681" t="n"/>
      <c r="BU102" s="681" t="n"/>
      <c r="BV102" s="939" t="n"/>
      <c r="BW102" s="681" t="n"/>
      <c r="BX102" s="1248" t="n"/>
      <c r="BY102" s="681" t="n"/>
      <c r="BZ102" s="681" t="n"/>
      <c r="CA102" s="681" t="n"/>
      <c r="CB102" s="681" t="n"/>
      <c r="CC102" s="1248" t="n"/>
      <c r="CD102" s="1248" t="n"/>
      <c r="CE102" s="1248" t="n"/>
      <c r="CF102" s="1248" t="n"/>
      <c r="CG102" s="829" t="n"/>
    </row>
    <row r="103" ht="15" customFormat="1" customHeight="1" s="973">
      <c r="A103" s="682" t="inlineStr">
        <is>
          <t>Total director compensation, 000s</t>
        </is>
      </c>
      <c r="B103" s="683" t="n"/>
      <c r="C103" s="1241" t="n"/>
      <c r="D103" s="1241" t="n"/>
      <c r="E103" s="1241" t="n"/>
      <c r="F103" s="1241" t="n"/>
      <c r="G103" s="574" t="n"/>
      <c r="H103" s="574" t="n"/>
      <c r="I103" s="574" t="n"/>
      <c r="J103" s="574" t="n"/>
      <c r="K103" s="1241" t="n"/>
      <c r="L103" s="574" t="n"/>
      <c r="M103" s="574" t="n"/>
      <c r="N103" s="574" t="n"/>
      <c r="O103" s="574" t="n"/>
      <c r="P103" s="1241" t="n"/>
      <c r="Q103" s="574" t="n"/>
      <c r="R103" s="574" t="n"/>
      <c r="S103" s="574" t="n"/>
      <c r="T103" s="574" t="n"/>
      <c r="U103" s="1241" t="n"/>
      <c r="V103" s="574" t="n"/>
      <c r="W103" s="574" t="n"/>
      <c r="X103" s="574" t="n"/>
      <c r="Y103" s="574" t="n"/>
      <c r="Z103" s="1241" t="n"/>
      <c r="AA103" s="574" t="n"/>
      <c r="AB103" s="574" t="n"/>
      <c r="AC103" s="574" t="n"/>
      <c r="AD103" s="574" t="n"/>
      <c r="AE103" s="1241" t="n"/>
      <c r="AF103" s="574" t="n"/>
      <c r="AG103" s="574" t="n"/>
      <c r="AH103" s="574" t="n"/>
      <c r="AI103" s="574" t="n"/>
      <c r="AJ103" s="1241" t="n"/>
      <c r="AK103" s="574" t="n"/>
      <c r="AL103" s="574" t="n"/>
      <c r="AM103" s="574" t="n"/>
      <c r="AN103" s="574" t="n"/>
      <c r="AO103" s="1241" t="n"/>
      <c r="AP103" s="574" t="n"/>
      <c r="AQ103" s="574" t="n"/>
      <c r="AR103" s="574" t="n"/>
      <c r="AS103" s="574" t="n"/>
      <c r="AT103" s="1241">
        <f>AT74+AT88+AT102</f>
        <v/>
      </c>
      <c r="AU103" s="574" t="n"/>
      <c r="AV103" s="574" t="n"/>
      <c r="AW103" s="574" t="n"/>
      <c r="AX103" s="574" t="n"/>
      <c r="AY103" s="1241">
        <f>AY74+AY88+AY102</f>
        <v/>
      </c>
      <c r="AZ103" s="574" t="n"/>
      <c r="BA103" s="574" t="n"/>
      <c r="BB103" s="574" t="n"/>
      <c r="BC103" s="574" t="n"/>
      <c r="BD103" s="1241">
        <f>BD74+BD88+BD102</f>
        <v/>
      </c>
      <c r="BE103" s="574" t="n"/>
      <c r="BF103" s="574" t="n"/>
      <c r="BG103" s="574" t="n"/>
      <c r="BH103" s="574" t="n"/>
      <c r="BI103" s="1241">
        <f>BI74+BI88+BI102</f>
        <v/>
      </c>
      <c r="BJ103" s="574" t="n"/>
      <c r="BK103" s="574" t="n"/>
      <c r="BL103" s="574" t="n"/>
      <c r="BM103" s="574" t="n"/>
      <c r="BN103" s="1241">
        <f>BN74+BN88+BN102</f>
        <v/>
      </c>
      <c r="BO103" s="574" t="n"/>
      <c r="BP103" s="574" t="n"/>
      <c r="BQ103" s="574" t="n"/>
      <c r="BR103" s="574" t="n"/>
      <c r="BS103" s="1241" t="n"/>
      <c r="BT103" s="574" t="n"/>
      <c r="BU103" s="574" t="n"/>
      <c r="BV103" s="936" t="n"/>
      <c r="BW103" s="574" t="n"/>
      <c r="BX103" s="1241" t="n"/>
      <c r="BY103" s="574" t="n"/>
      <c r="BZ103" s="574" t="n"/>
      <c r="CA103" s="574" t="n"/>
      <c r="CB103" s="574" t="n"/>
      <c r="CC103" s="1241" t="n"/>
      <c r="CD103" s="1241" t="n"/>
      <c r="CE103" s="1241" t="n"/>
      <c r="CF103" s="1241" t="n"/>
      <c r="CG103" s="829" t="n"/>
    </row>
    <row r="104" ht="15" customFormat="1" customHeight="1" s="974">
      <c r="A104" s="676" t="inlineStr">
        <is>
          <t>Market Cap - EoP, mm</t>
        </is>
      </c>
      <c r="B104" s="677" t="n"/>
      <c r="C104" s="1242" t="n"/>
      <c r="D104" s="1242" t="n"/>
      <c r="E104" s="1242" t="n"/>
      <c r="F104" s="1242" t="n"/>
      <c r="G104" s="678" t="n"/>
      <c r="H104" s="678" t="n"/>
      <c r="I104" s="678" t="n"/>
      <c r="J104" s="678" t="n"/>
      <c r="K104" s="1242" t="n"/>
      <c r="L104" s="678" t="n"/>
      <c r="M104" s="678" t="n"/>
      <c r="N104" s="678" t="n"/>
      <c r="O104" s="678" t="n"/>
      <c r="P104" s="1242" t="n"/>
      <c r="Q104" s="678" t="n"/>
      <c r="R104" s="678" t="n"/>
      <c r="S104" s="678" t="n"/>
      <c r="T104" s="678" t="n"/>
      <c r="U104" s="1242" t="n"/>
      <c r="V104" s="678" t="n"/>
      <c r="W104" s="678" t="n"/>
      <c r="X104" s="678" t="n"/>
      <c r="Y104" s="678" t="n"/>
      <c r="Z104" s="1242" t="n"/>
      <c r="AA104" s="678" t="n"/>
      <c r="AB104" s="678" t="n"/>
      <c r="AC104" s="678" t="n"/>
      <c r="AD104" s="678" t="n"/>
      <c r="AE104" s="1242" t="n"/>
      <c r="AF104" s="678" t="n"/>
      <c r="AG104" s="678" t="n"/>
      <c r="AH104" s="678" t="n"/>
      <c r="AI104" s="678" t="n"/>
      <c r="AJ104" s="1242" t="n"/>
      <c r="AK104" s="678" t="n"/>
      <c r="AL104" s="678" t="n"/>
      <c r="AM104" s="678" t="n"/>
      <c r="AN104" s="678" t="n"/>
      <c r="AO104" s="1242" t="n"/>
      <c r="AP104" s="678" t="n"/>
      <c r="AQ104" s="678" t="n"/>
      <c r="AR104" s="678" t="n"/>
      <c r="AS104" s="678" t="n"/>
      <c r="AT104" s="1242">
        <f>AT13</f>
        <v/>
      </c>
      <c r="AU104" s="678">
        <f>AU13</f>
        <v/>
      </c>
      <c r="AV104" s="678">
        <f>AV13</f>
        <v/>
      </c>
      <c r="AW104" s="678">
        <f>AW13</f>
        <v/>
      </c>
      <c r="AX104" s="678">
        <f>AX13</f>
        <v/>
      </c>
      <c r="AY104" s="1242">
        <f>AY13</f>
        <v/>
      </c>
      <c r="AZ104" s="678">
        <f>AZ13</f>
        <v/>
      </c>
      <c r="BA104" s="678">
        <f>BA13</f>
        <v/>
      </c>
      <c r="BB104" s="678">
        <f>BB13</f>
        <v/>
      </c>
      <c r="BC104" s="678">
        <f>BC13</f>
        <v/>
      </c>
      <c r="BD104" s="1242">
        <f>BD13</f>
        <v/>
      </c>
      <c r="BE104" s="678">
        <f>BE13</f>
        <v/>
      </c>
      <c r="BF104" s="678">
        <f>BF13</f>
        <v/>
      </c>
      <c r="BG104" s="678">
        <f>BG13</f>
        <v/>
      </c>
      <c r="BH104" s="678">
        <f>BH13</f>
        <v/>
      </c>
      <c r="BI104" s="1242">
        <f>BI13</f>
        <v/>
      </c>
      <c r="BJ104" s="678">
        <f>BJ13</f>
        <v/>
      </c>
      <c r="BK104" s="678">
        <f>BK13</f>
        <v/>
      </c>
      <c r="BL104" s="678">
        <f>BL13</f>
        <v/>
      </c>
      <c r="BM104" s="678">
        <f>BM13</f>
        <v/>
      </c>
      <c r="BN104" s="1242">
        <f>BN13</f>
        <v/>
      </c>
      <c r="BO104" s="678">
        <f>BO13</f>
        <v/>
      </c>
      <c r="BP104" s="678">
        <f>BP13</f>
        <v/>
      </c>
      <c r="BQ104" s="678">
        <f>BQ13</f>
        <v/>
      </c>
      <c r="BR104" s="678">
        <f>BR13</f>
        <v/>
      </c>
      <c r="BS104" s="1242">
        <f>BS13</f>
        <v/>
      </c>
      <c r="BT104" s="678">
        <f>BT13</f>
        <v/>
      </c>
      <c r="BU104" s="678">
        <f>BU13</f>
        <v/>
      </c>
      <c r="BV104" s="935">
        <f>BV13</f>
        <v/>
      </c>
      <c r="BW104" s="678" t="n"/>
      <c r="BX104" s="1242" t="n"/>
      <c r="BY104" s="678" t="n"/>
      <c r="BZ104" s="678" t="n"/>
      <c r="CA104" s="678" t="n"/>
      <c r="CB104" s="678" t="n"/>
      <c r="CC104" s="1242" t="n"/>
      <c r="CD104" s="1242" t="n"/>
      <c r="CE104" s="1242" t="n"/>
      <c r="CF104" s="1242" t="n"/>
      <c r="CG104" s="827" t="n"/>
    </row>
    <row r="105" ht="15" customFormat="1" customHeight="1" s="973">
      <c r="A105" s="682" t="n"/>
      <c r="B105" s="683" t="n"/>
      <c r="C105" s="1241" t="n"/>
      <c r="D105" s="1241" t="n"/>
      <c r="E105" s="1241" t="n"/>
      <c r="F105" s="1241" t="n"/>
      <c r="G105" s="574" t="n"/>
      <c r="H105" s="574" t="n"/>
      <c r="I105" s="574" t="n"/>
      <c r="J105" s="574" t="n"/>
      <c r="K105" s="1241" t="n"/>
      <c r="L105" s="574" t="n"/>
      <c r="M105" s="574" t="n"/>
      <c r="N105" s="574" t="n"/>
      <c r="O105" s="574" t="n"/>
      <c r="P105" s="1241" t="n"/>
      <c r="Q105" s="574" t="n"/>
      <c r="R105" s="574" t="n"/>
      <c r="S105" s="574" t="n"/>
      <c r="T105" s="574" t="n"/>
      <c r="U105" s="1241" t="n"/>
      <c r="V105" s="574" t="n"/>
      <c r="W105" s="574" t="n"/>
      <c r="X105" s="574" t="n"/>
      <c r="Y105" s="574" t="n"/>
      <c r="Z105" s="1241" t="n"/>
      <c r="AA105" s="574" t="n"/>
      <c r="AB105" s="574" t="n"/>
      <c r="AC105" s="574" t="n"/>
      <c r="AD105" s="574" t="n"/>
      <c r="AE105" s="1241" t="n"/>
      <c r="AF105" s="574" t="n"/>
      <c r="AG105" s="574" t="n"/>
      <c r="AH105" s="574" t="n"/>
      <c r="AI105" s="574" t="n"/>
      <c r="AJ105" s="1241" t="n"/>
      <c r="AK105" s="574" t="n"/>
      <c r="AL105" s="574" t="n"/>
      <c r="AM105" s="574" t="n"/>
      <c r="AN105" s="574" t="n"/>
      <c r="AO105" s="1241" t="n"/>
      <c r="AP105" s="574" t="n"/>
      <c r="AQ105" s="574" t="n"/>
      <c r="AR105" s="574" t="n"/>
      <c r="AS105" s="574" t="n"/>
      <c r="AT105" s="1241" t="n"/>
      <c r="AU105" s="574" t="n"/>
      <c r="AV105" s="574" t="n"/>
      <c r="AW105" s="574" t="n"/>
      <c r="AX105" s="574" t="n"/>
      <c r="AY105" s="1241" t="n"/>
      <c r="AZ105" s="574" t="n"/>
      <c r="BA105" s="574" t="n"/>
      <c r="BB105" s="574" t="n"/>
      <c r="BC105" s="574" t="n"/>
      <c r="BD105" s="1241" t="n"/>
      <c r="BE105" s="574" t="n"/>
      <c r="BF105" s="574" t="n"/>
      <c r="BG105" s="574" t="n"/>
      <c r="BH105" s="574" t="n"/>
      <c r="BI105" s="1241" t="n"/>
      <c r="BJ105" s="574" t="n"/>
      <c r="BK105" s="574" t="n"/>
      <c r="BL105" s="574" t="n"/>
      <c r="BM105" s="574" t="n"/>
      <c r="BN105" s="1241" t="n"/>
      <c r="BO105" s="574" t="n"/>
      <c r="BP105" s="574" t="n"/>
      <c r="BQ105" s="574" t="n"/>
      <c r="BR105" s="574" t="n"/>
      <c r="BS105" s="1241" t="n"/>
      <c r="BT105" s="574" t="n"/>
      <c r="BU105" s="574" t="n"/>
      <c r="BV105" s="936" t="n"/>
      <c r="BW105" s="574" t="n"/>
      <c r="BX105" s="1241" t="n"/>
      <c r="BY105" s="574" t="n"/>
      <c r="BZ105" s="574" t="n"/>
      <c r="CA105" s="574" t="n"/>
      <c r="CB105" s="574" t="n"/>
      <c r="CC105" s="1241" t="n"/>
      <c r="CD105" s="1241" t="n"/>
      <c r="CE105" s="1241" t="n"/>
      <c r="CF105" s="1241" t="n"/>
      <c r="CG105" s="829" t="n"/>
    </row>
    <row r="106" ht="15" customFormat="1" customHeight="1" s="973">
      <c r="A106" s="1017" t="inlineStr">
        <is>
          <t>Other Alignment Data Points</t>
        </is>
      </c>
      <c r="B106" s="1017" t="n"/>
      <c r="C106" s="1017" t="n"/>
      <c r="D106" s="1017" t="n"/>
      <c r="E106" s="1017" t="n"/>
      <c r="F106" s="1017" t="n"/>
      <c r="G106" s="1017" t="n"/>
      <c r="H106" s="1017" t="n"/>
      <c r="I106" s="1017" t="n"/>
      <c r="J106" s="1017" t="n"/>
      <c r="K106" s="1017" t="n"/>
      <c r="L106" s="1017" t="n"/>
      <c r="M106" s="1017" t="n"/>
      <c r="N106" s="1017" t="n"/>
      <c r="O106" s="1017" t="n"/>
      <c r="P106" s="1017" t="n"/>
      <c r="Q106" s="1017" t="n"/>
      <c r="R106" s="1017" t="n"/>
      <c r="S106" s="1017" t="n"/>
      <c r="T106" s="1017" t="n"/>
      <c r="U106" s="1017" t="n"/>
      <c r="V106" s="1017" t="n"/>
      <c r="W106" s="1017" t="n"/>
      <c r="X106" s="1017" t="n"/>
      <c r="Y106" s="1017" t="n"/>
      <c r="Z106" s="1017" t="n"/>
      <c r="AA106" s="1017" t="n"/>
      <c r="AB106" s="1017" t="n"/>
      <c r="AC106" s="1017" t="n"/>
      <c r="AD106" s="1017" t="n"/>
      <c r="AE106" s="1017" t="n"/>
      <c r="AF106" s="1017" t="n"/>
      <c r="AG106" s="1017" t="n"/>
      <c r="AH106" s="1017" t="n"/>
      <c r="AI106" s="1017" t="n"/>
      <c r="AJ106" s="1017" t="n"/>
      <c r="AK106" s="1017" t="n"/>
      <c r="AL106" s="1017" t="n"/>
      <c r="AM106" s="1017" t="n"/>
      <c r="AN106" s="1017" t="n"/>
      <c r="AO106" s="1017" t="n"/>
      <c r="AP106" s="1017" t="n"/>
      <c r="AQ106" s="1017" t="n"/>
      <c r="AR106" s="1017" t="n"/>
      <c r="AS106" s="1017" t="n"/>
      <c r="AT106" s="1017" t="n"/>
      <c r="AU106" s="1017" t="n"/>
      <c r="AV106" s="1017" t="n"/>
      <c r="AW106" s="1017" t="n"/>
      <c r="AX106" s="1017" t="n"/>
      <c r="AY106" s="1017" t="n"/>
      <c r="AZ106" s="1017" t="n"/>
      <c r="BA106" s="1017" t="n"/>
      <c r="BB106" s="1017" t="n"/>
      <c r="BC106" s="1017" t="n"/>
      <c r="BD106" s="1017" t="n"/>
      <c r="BE106" s="1017" t="n"/>
      <c r="BF106" s="1017" t="n"/>
      <c r="BG106" s="1017" t="n"/>
      <c r="BH106" s="1017" t="n"/>
      <c r="BI106" s="1017" t="n"/>
      <c r="BJ106" s="1017" t="n"/>
      <c r="BK106" s="1017" t="n"/>
      <c r="BL106" s="1017" t="n"/>
      <c r="BM106" s="1017" t="n"/>
      <c r="BN106" s="1017" t="n"/>
      <c r="BO106" s="1017" t="n"/>
      <c r="BP106" s="1017" t="n"/>
      <c r="BQ106" s="1017" t="n"/>
      <c r="BR106" s="1017" t="n"/>
      <c r="BS106" s="1017" t="n"/>
      <c r="BT106" s="1017" t="n"/>
      <c r="BU106" s="1017" t="n"/>
      <c r="BV106" s="1018" t="n"/>
      <c r="BW106" s="1017" t="n"/>
      <c r="BX106" s="1017" t="n"/>
      <c r="BY106" s="1017" t="n"/>
      <c r="BZ106" s="1017" t="n"/>
      <c r="CA106" s="1017" t="n"/>
      <c r="CB106" s="1017" t="n"/>
      <c r="CC106" s="1017" t="n"/>
      <c r="CD106" s="1017" t="n"/>
      <c r="CE106" s="1017" t="n"/>
      <c r="CF106" s="1017" t="n"/>
      <c r="CG106" s="829" t="n"/>
    </row>
    <row r="107" ht="15" customFormat="1" customHeight="1" s="980">
      <c r="A107" s="831" t="inlineStr">
        <is>
          <t>CEO - Stock Ownership Guidelines times base salary, x</t>
        </is>
      </c>
      <c r="B107" s="830" t="n"/>
      <c r="C107" s="1276" t="n"/>
      <c r="D107" s="1276" t="n"/>
      <c r="E107" s="1276" t="n"/>
      <c r="F107" s="1276" t="n"/>
      <c r="G107" s="138" t="n"/>
      <c r="H107" s="138" t="n"/>
      <c r="I107" s="138" t="n"/>
      <c r="J107" s="138" t="n"/>
      <c r="K107" s="1276" t="n"/>
      <c r="L107" s="138" t="n"/>
      <c r="M107" s="138" t="n"/>
      <c r="N107" s="138" t="n"/>
      <c r="O107" s="138" t="n"/>
      <c r="P107" s="1276" t="n"/>
      <c r="Q107" s="138" t="n"/>
      <c r="R107" s="138" t="n"/>
      <c r="S107" s="138" t="n"/>
      <c r="T107" s="138" t="n"/>
      <c r="U107" s="1276" t="n"/>
      <c r="V107" s="138" t="n"/>
      <c r="W107" s="138" t="n"/>
      <c r="X107" s="138" t="n"/>
      <c r="Y107" s="138" t="n"/>
      <c r="Z107" s="1276" t="n"/>
      <c r="AA107" s="138" t="n"/>
      <c r="AB107" s="138" t="n"/>
      <c r="AC107" s="138" t="n"/>
      <c r="AD107" s="138" t="n"/>
      <c r="AE107" s="1276" t="n"/>
      <c r="AF107" s="138" t="n"/>
      <c r="AG107" s="138" t="n"/>
      <c r="AH107" s="138" t="n"/>
      <c r="AI107" s="138" t="n"/>
      <c r="AJ107" s="1276" t="n"/>
      <c r="AK107" s="138" t="n"/>
      <c r="AL107" s="138" t="n"/>
      <c r="AM107" s="138" t="n"/>
      <c r="AN107" s="138" t="n"/>
      <c r="AO107" s="1276" t="n"/>
      <c r="AP107" s="138" t="n"/>
      <c r="AQ107" s="138" t="n"/>
      <c r="AR107" s="138" t="n"/>
      <c r="AS107" s="138" t="n"/>
      <c r="AT107" s="1277" t="n">
        <v>6</v>
      </c>
      <c r="AU107" s="138" t="n"/>
      <c r="AV107" s="138" t="n"/>
      <c r="AW107" s="138" t="n"/>
      <c r="AX107" s="138" t="n"/>
      <c r="AY107" s="1277" t="n">
        <v>6</v>
      </c>
      <c r="AZ107" s="138" t="n"/>
      <c r="BA107" s="138" t="n"/>
      <c r="BB107" s="138" t="n"/>
      <c r="BC107" s="138" t="n"/>
      <c r="BD107" s="1277" t="n">
        <v>6</v>
      </c>
      <c r="BE107" s="138" t="n"/>
      <c r="BF107" s="138" t="n"/>
      <c r="BG107" s="138" t="n"/>
      <c r="BH107" s="138" t="n"/>
      <c r="BI107" s="1277" t="n">
        <v>6</v>
      </c>
      <c r="BJ107" s="138" t="n"/>
      <c r="BK107" s="138" t="n"/>
      <c r="BL107" s="138" t="n"/>
      <c r="BM107" s="138" t="n"/>
      <c r="BN107" s="1277" t="n">
        <v>6</v>
      </c>
      <c r="BO107" s="138" t="n"/>
      <c r="BP107" s="138" t="n"/>
      <c r="BQ107" s="138" t="n"/>
      <c r="BR107" s="138" t="n"/>
      <c r="BS107" s="1276" t="n"/>
      <c r="BT107" s="138" t="n"/>
      <c r="BU107" s="138" t="n"/>
      <c r="BV107" s="940" t="n"/>
      <c r="BW107" s="138" t="n"/>
      <c r="BX107" s="1276" t="n"/>
      <c r="BY107" s="138" t="n"/>
      <c r="BZ107" s="138" t="n"/>
      <c r="CA107" s="138" t="n"/>
      <c r="CB107" s="138" t="n"/>
      <c r="CC107" s="1276" t="n"/>
      <c r="CD107" s="1276" t="n"/>
      <c r="CE107" s="1276" t="n"/>
      <c r="CF107" s="1276" t="n"/>
      <c r="CG107" s="853" t="n"/>
    </row>
    <row r="108" ht="15" customFormat="1" customHeight="1" s="980">
      <c r="A108" s="831" t="inlineStr">
        <is>
          <t>NEO reporting to CEO - Stock Ownership Guidelines base salary, x</t>
        </is>
      </c>
      <c r="B108" s="830" t="n"/>
      <c r="C108" s="1276" t="n"/>
      <c r="D108" s="1276" t="n"/>
      <c r="E108" s="1276" t="n"/>
      <c r="F108" s="1276" t="n"/>
      <c r="G108" s="138" t="n"/>
      <c r="H108" s="138" t="n"/>
      <c r="I108" s="138" t="n"/>
      <c r="J108" s="138" t="n"/>
      <c r="K108" s="1276" t="n"/>
      <c r="L108" s="138" t="n"/>
      <c r="M108" s="138" t="n"/>
      <c r="N108" s="138" t="n"/>
      <c r="O108" s="138" t="n"/>
      <c r="P108" s="1276" t="n"/>
      <c r="Q108" s="138" t="n"/>
      <c r="R108" s="138" t="n"/>
      <c r="S108" s="138" t="n"/>
      <c r="T108" s="138" t="n"/>
      <c r="U108" s="1276" t="n"/>
      <c r="V108" s="138" t="n"/>
      <c r="W108" s="138" t="n"/>
      <c r="X108" s="138" t="n"/>
      <c r="Y108" s="138" t="n"/>
      <c r="Z108" s="1276" t="n"/>
      <c r="AA108" s="138" t="n"/>
      <c r="AB108" s="138" t="n"/>
      <c r="AC108" s="138" t="n"/>
      <c r="AD108" s="138" t="n"/>
      <c r="AE108" s="1276" t="n"/>
      <c r="AF108" s="138" t="n"/>
      <c r="AG108" s="138" t="n"/>
      <c r="AH108" s="138" t="n"/>
      <c r="AI108" s="138" t="n"/>
      <c r="AJ108" s="1276" t="n"/>
      <c r="AK108" s="138" t="n"/>
      <c r="AL108" s="138" t="n"/>
      <c r="AM108" s="138" t="n"/>
      <c r="AN108" s="138" t="n"/>
      <c r="AO108" s="1276" t="n"/>
      <c r="AP108" s="138" t="n"/>
      <c r="AQ108" s="138" t="n"/>
      <c r="AR108" s="138" t="n"/>
      <c r="AS108" s="138" t="n"/>
      <c r="AT108" s="1277" t="n">
        <v>1</v>
      </c>
      <c r="AU108" s="138" t="n"/>
      <c r="AV108" s="138" t="n"/>
      <c r="AW108" s="138" t="n"/>
      <c r="AX108" s="138" t="n"/>
      <c r="AY108" s="1277" t="n">
        <v>1</v>
      </c>
      <c r="AZ108" s="138" t="n"/>
      <c r="BA108" s="138" t="n"/>
      <c r="BB108" s="138" t="n"/>
      <c r="BC108" s="138" t="n"/>
      <c r="BD108" s="1277" t="n">
        <v>1</v>
      </c>
      <c r="BE108" s="138" t="n"/>
      <c r="BF108" s="138" t="n"/>
      <c r="BG108" s="138" t="n"/>
      <c r="BH108" s="138" t="n"/>
      <c r="BI108" s="1277" t="n">
        <v>1</v>
      </c>
      <c r="BJ108" s="138" t="n"/>
      <c r="BK108" s="138" t="n"/>
      <c r="BL108" s="138" t="n"/>
      <c r="BM108" s="138" t="n"/>
      <c r="BN108" s="1277" t="n">
        <v>1</v>
      </c>
      <c r="BO108" s="138" t="n"/>
      <c r="BP108" s="138" t="n"/>
      <c r="BQ108" s="138" t="n"/>
      <c r="BR108" s="138" t="n"/>
      <c r="BS108" s="1276" t="n"/>
      <c r="BT108" s="138" t="n"/>
      <c r="BU108" s="138" t="n"/>
      <c r="BV108" s="940" t="n"/>
      <c r="BW108" s="138" t="n"/>
      <c r="BX108" s="1276" t="n"/>
      <c r="BY108" s="138" t="n"/>
      <c r="BZ108" s="138" t="n"/>
      <c r="CA108" s="138" t="n"/>
      <c r="CB108" s="138" t="n"/>
      <c r="CC108" s="1276" t="n"/>
      <c r="CD108" s="1276" t="n"/>
      <c r="CE108" s="1276" t="n"/>
      <c r="CF108" s="1276" t="n"/>
      <c r="CG108" s="853" t="n"/>
    </row>
    <row r="109" ht="15" customFormat="1" customHeight="1" s="980">
      <c r="A109" s="831" t="inlineStr">
        <is>
          <t>Directors - Stock Owneshership Guidelines base salary, x</t>
        </is>
      </c>
      <c r="B109" s="830" t="n"/>
      <c r="C109" s="1276" t="n"/>
      <c r="D109" s="1276" t="n"/>
      <c r="E109" s="1276" t="n"/>
      <c r="F109" s="1276" t="n"/>
      <c r="G109" s="138" t="n"/>
      <c r="H109" s="138" t="n"/>
      <c r="I109" s="138" t="n"/>
      <c r="J109" s="138" t="n"/>
      <c r="K109" s="1276" t="n"/>
      <c r="L109" s="138" t="n"/>
      <c r="M109" s="138" t="n"/>
      <c r="N109" s="138" t="n"/>
      <c r="O109" s="138" t="n"/>
      <c r="P109" s="1276" t="n"/>
      <c r="Q109" s="138" t="n"/>
      <c r="R109" s="138" t="n"/>
      <c r="S109" s="138" t="n"/>
      <c r="T109" s="138" t="n"/>
      <c r="U109" s="1276" t="n"/>
      <c r="V109" s="138" t="n"/>
      <c r="W109" s="138" t="n"/>
      <c r="X109" s="138" t="n"/>
      <c r="Y109" s="138" t="n"/>
      <c r="Z109" s="1276" t="n"/>
      <c r="AA109" s="138" t="n"/>
      <c r="AB109" s="138" t="n"/>
      <c r="AC109" s="138" t="n"/>
      <c r="AD109" s="138" t="n"/>
      <c r="AE109" s="1276" t="n"/>
      <c r="AF109" s="138" t="n"/>
      <c r="AG109" s="138" t="n"/>
      <c r="AH109" s="138" t="n"/>
      <c r="AI109" s="138" t="n"/>
      <c r="AJ109" s="1276" t="n"/>
      <c r="AK109" s="138" t="n"/>
      <c r="AL109" s="138" t="n"/>
      <c r="AM109" s="138" t="n"/>
      <c r="AN109" s="138" t="n"/>
      <c r="AO109" s="1276" t="n"/>
      <c r="AP109" s="138" t="n"/>
      <c r="AQ109" s="138" t="n"/>
      <c r="AR109" s="138" t="n"/>
      <c r="AS109" s="138" t="n"/>
      <c r="AT109" s="1277" t="n">
        <v>6</v>
      </c>
      <c r="AU109" s="138" t="n"/>
      <c r="AV109" s="138" t="n"/>
      <c r="AW109" s="138" t="n"/>
      <c r="AX109" s="138" t="n"/>
      <c r="AY109" s="1277" t="n">
        <v>6</v>
      </c>
      <c r="AZ109" s="138" t="n"/>
      <c r="BA109" s="138" t="n"/>
      <c r="BB109" s="138" t="n"/>
      <c r="BC109" s="138" t="n"/>
      <c r="BD109" s="1277" t="n">
        <v>6</v>
      </c>
      <c r="BE109" s="138" t="n"/>
      <c r="BF109" s="138" t="n"/>
      <c r="BG109" s="138" t="n"/>
      <c r="BH109" s="138" t="n"/>
      <c r="BI109" s="1277" t="n">
        <v>6</v>
      </c>
      <c r="BJ109" s="138" t="n"/>
      <c r="BK109" s="138" t="n"/>
      <c r="BL109" s="138" t="n"/>
      <c r="BM109" s="138" t="n"/>
      <c r="BN109" s="1277" t="n">
        <v>6</v>
      </c>
      <c r="BO109" s="138" t="n"/>
      <c r="BP109" s="138" t="n"/>
      <c r="BQ109" s="138" t="n"/>
      <c r="BR109" s="138" t="n"/>
      <c r="BS109" s="1276" t="n"/>
      <c r="BT109" s="138" t="n"/>
      <c r="BU109" s="138" t="n"/>
      <c r="BV109" s="940" t="n"/>
      <c r="BW109" s="138" t="n"/>
      <c r="BX109" s="1276" t="n"/>
      <c r="BY109" s="138" t="n"/>
      <c r="BZ109" s="138" t="n"/>
      <c r="CA109" s="138" t="n"/>
      <c r="CB109" s="138" t="n"/>
      <c r="CC109" s="1276" t="n"/>
      <c r="CD109" s="1276" t="n"/>
      <c r="CE109" s="1276" t="n"/>
      <c r="CF109" s="1276" t="n"/>
      <c r="CG109" s="853" t="n"/>
    </row>
    <row r="110" ht="15" customFormat="1" customHeight="1" s="973">
      <c r="A110" s="682" t="n"/>
      <c r="B110" s="683" t="n"/>
      <c r="C110" s="1241" t="n"/>
      <c r="D110" s="1241" t="n"/>
      <c r="E110" s="1241" t="n"/>
      <c r="F110" s="1241" t="n"/>
      <c r="G110" s="574" t="n"/>
      <c r="H110" s="574" t="n"/>
      <c r="I110" s="574" t="n"/>
      <c r="J110" s="574" t="n"/>
      <c r="K110" s="1241" t="n"/>
      <c r="L110" s="574" t="n"/>
      <c r="M110" s="574" t="n"/>
      <c r="N110" s="574" t="n"/>
      <c r="O110" s="574" t="n"/>
      <c r="P110" s="1241" t="n"/>
      <c r="Q110" s="574" t="n"/>
      <c r="R110" s="574" t="n"/>
      <c r="S110" s="574" t="n"/>
      <c r="T110" s="574" t="n"/>
      <c r="U110" s="1241" t="n"/>
      <c r="V110" s="574" t="n"/>
      <c r="W110" s="574" t="n"/>
      <c r="X110" s="574" t="n"/>
      <c r="Y110" s="574" t="n"/>
      <c r="Z110" s="1241" t="n"/>
      <c r="AA110" s="574" t="n"/>
      <c r="AB110" s="574" t="n"/>
      <c r="AC110" s="574" t="n"/>
      <c r="AD110" s="574" t="n"/>
      <c r="AE110" s="1241" t="n"/>
      <c r="AF110" s="574" t="n"/>
      <c r="AG110" s="574" t="n"/>
      <c r="AH110" s="574" t="n"/>
      <c r="AI110" s="574" t="n"/>
      <c r="AJ110" s="1241" t="n"/>
      <c r="AK110" s="574" t="n"/>
      <c r="AL110" s="574" t="n"/>
      <c r="AM110" s="574" t="n"/>
      <c r="AN110" s="574" t="n"/>
      <c r="AO110" s="1241" t="n"/>
      <c r="AP110" s="574" t="n"/>
      <c r="AQ110" s="574" t="n"/>
      <c r="AR110" s="574" t="n"/>
      <c r="AS110" s="574" t="n"/>
      <c r="AT110" s="1241" t="n"/>
      <c r="AU110" s="574" t="n"/>
      <c r="AV110" s="574" t="n"/>
      <c r="AW110" s="574" t="n"/>
      <c r="AX110" s="574" t="n"/>
      <c r="AY110" s="1241" t="n"/>
      <c r="AZ110" s="574" t="n"/>
      <c r="BA110" s="574" t="n"/>
      <c r="BB110" s="574" t="n"/>
      <c r="BC110" s="574" t="n"/>
      <c r="BD110" s="1241" t="n"/>
      <c r="BE110" s="574" t="n"/>
      <c r="BF110" s="574" t="n"/>
      <c r="BG110" s="574" t="n"/>
      <c r="BH110" s="574" t="n"/>
      <c r="BI110" s="1241" t="n"/>
      <c r="BJ110" s="574" t="n"/>
      <c r="BK110" s="574" t="n"/>
      <c r="BL110" s="574" t="n"/>
      <c r="BM110" s="574" t="n"/>
      <c r="BN110" s="1241" t="n"/>
      <c r="BO110" s="574" t="n"/>
      <c r="BP110" s="574" t="n"/>
      <c r="BQ110" s="574" t="n"/>
      <c r="BR110" s="574" t="n"/>
      <c r="BS110" s="1241" t="n"/>
      <c r="BT110" s="574" t="n"/>
      <c r="BU110" s="574" t="n"/>
      <c r="BV110" s="936" t="n"/>
      <c r="BW110" s="574" t="n"/>
      <c r="BX110" s="1241" t="n"/>
      <c r="BY110" s="574" t="n"/>
      <c r="BZ110" s="574" t="n"/>
      <c r="CA110" s="574" t="n"/>
      <c r="CB110" s="574" t="n"/>
      <c r="CC110" s="1241" t="n"/>
      <c r="CD110" s="1241" t="n"/>
      <c r="CE110" s="1241" t="n"/>
      <c r="CF110" s="1241" t="n"/>
      <c r="CG110" s="829" t="n"/>
    </row>
    <row r="111" ht="15" customFormat="1" customHeight="1" s="973">
      <c r="A111" s="1017" t="inlineStr">
        <is>
          <t>Company Financial Goals</t>
        </is>
      </c>
      <c r="B111" s="1017" t="n"/>
      <c r="C111" s="1017" t="n"/>
      <c r="D111" s="1017" t="n"/>
      <c r="E111" s="1017" t="n"/>
      <c r="F111" s="1017" t="n"/>
      <c r="G111" s="1017" t="n"/>
      <c r="H111" s="1017" t="n"/>
      <c r="I111" s="1017" t="n"/>
      <c r="J111" s="1017" t="n"/>
      <c r="K111" s="1017" t="n"/>
      <c r="L111" s="1017" t="n"/>
      <c r="M111" s="1017" t="n"/>
      <c r="N111" s="1017" t="n"/>
      <c r="O111" s="1017" t="n"/>
      <c r="P111" s="1017" t="n"/>
      <c r="Q111" s="1017" t="n"/>
      <c r="R111" s="1017" t="n"/>
      <c r="S111" s="1017" t="n"/>
      <c r="T111" s="1017" t="n"/>
      <c r="U111" s="1017" t="n"/>
      <c r="V111" s="1017" t="n"/>
      <c r="W111" s="1017" t="n"/>
      <c r="X111" s="1017" t="n"/>
      <c r="Y111" s="1017" t="n"/>
      <c r="Z111" s="1017" t="n"/>
      <c r="AA111" s="1017" t="n"/>
      <c r="AB111" s="1017" t="n"/>
      <c r="AC111" s="1017" t="n"/>
      <c r="AD111" s="1017" t="n"/>
      <c r="AE111" s="1017" t="n"/>
      <c r="AF111" s="1017" t="n"/>
      <c r="AG111" s="1017" t="n"/>
      <c r="AH111" s="1017" t="n"/>
      <c r="AI111" s="1017" t="n"/>
      <c r="AJ111" s="1017" t="n"/>
      <c r="AK111" s="1017" t="n"/>
      <c r="AL111" s="1017" t="n"/>
      <c r="AM111" s="1017" t="n"/>
      <c r="AN111" s="1017" t="n"/>
      <c r="AO111" s="1017" t="n"/>
      <c r="AP111" s="1017" t="n"/>
      <c r="AQ111" s="1017" t="n"/>
      <c r="AR111" s="1017" t="n"/>
      <c r="AS111" s="1017" t="n"/>
      <c r="AT111" s="1017" t="n"/>
      <c r="AU111" s="1017" t="n"/>
      <c r="AV111" s="1017" t="n"/>
      <c r="AW111" s="1017" t="n"/>
      <c r="AX111" s="1017" t="n"/>
      <c r="AY111" s="1017" t="n"/>
      <c r="AZ111" s="1017" t="n"/>
      <c r="BA111" s="1017" t="n"/>
      <c r="BB111" s="1017" t="n"/>
      <c r="BC111" s="1017" t="n"/>
      <c r="BD111" s="1017" t="n"/>
      <c r="BE111" s="1017" t="n"/>
      <c r="BF111" s="1017" t="n"/>
      <c r="BG111" s="1017" t="n"/>
      <c r="BH111" s="1017" t="n"/>
      <c r="BI111" s="1017" t="n"/>
      <c r="BJ111" s="1017" t="n"/>
      <c r="BK111" s="1017" t="n"/>
      <c r="BL111" s="1017" t="n"/>
      <c r="BM111" s="1017" t="n"/>
      <c r="BN111" s="1017" t="n"/>
      <c r="BO111" s="1017" t="n"/>
      <c r="BP111" s="1017" t="n"/>
      <c r="BQ111" s="1017" t="n"/>
      <c r="BR111" s="1017" t="n"/>
      <c r="BS111" s="1017" t="n"/>
      <c r="BT111" s="1017" t="n"/>
      <c r="BU111" s="1017" t="n"/>
      <c r="BV111" s="1018" t="n"/>
      <c r="BW111" s="1017" t="n"/>
      <c r="BX111" s="1017" t="n"/>
      <c r="BY111" s="1017" t="n"/>
      <c r="BZ111" s="1017" t="n"/>
      <c r="CA111" s="1017" t="n"/>
      <c r="CB111" s="1017" t="n"/>
      <c r="CC111" s="1017" t="n"/>
      <c r="CD111" s="1017" t="n"/>
      <c r="CE111" s="1017" t="n"/>
      <c r="CF111" s="1017" t="n"/>
      <c r="CG111" s="829" t="n"/>
    </row>
    <row r="112" ht="15" customFormat="1" customHeight="1" s="971">
      <c r="A112" s="425" t="inlineStr">
        <is>
          <t>Revenue (Base Operating Plan) goal, bn</t>
        </is>
      </c>
      <c r="B112" s="208" t="n"/>
      <c r="C112" s="183" t="n"/>
      <c r="D112" s="183" t="n"/>
      <c r="E112" s="183" t="n"/>
      <c r="F112" s="183" t="n"/>
      <c r="G112" s="1013" t="n"/>
      <c r="H112" s="1013" t="n"/>
      <c r="I112" s="1013" t="n"/>
      <c r="J112" s="1013" t="n"/>
      <c r="K112" s="183" t="n"/>
      <c r="L112" s="1013" t="n"/>
      <c r="M112" s="1013" t="n"/>
      <c r="N112" s="1013" t="n"/>
      <c r="O112" s="1013" t="n"/>
      <c r="P112" s="183" t="n"/>
      <c r="Q112" s="1013" t="n"/>
      <c r="R112" s="1013" t="n"/>
      <c r="S112" s="1013" t="n"/>
      <c r="T112" s="1013" t="n"/>
      <c r="U112" s="183" t="n"/>
      <c r="V112" s="1013" t="n"/>
      <c r="W112" s="1013" t="n"/>
      <c r="X112" s="1013" t="n"/>
      <c r="Y112" s="1013" t="n"/>
      <c r="Z112" s="183" t="n"/>
      <c r="AA112" s="1013" t="n"/>
      <c r="AB112" s="1013" t="n"/>
      <c r="AC112" s="1013" t="n"/>
      <c r="AD112" s="1013" t="n"/>
      <c r="AE112" s="183" t="n"/>
      <c r="AF112" s="1013" t="n"/>
      <c r="AG112" s="1013" t="n"/>
      <c r="AH112" s="1013" t="n"/>
      <c r="AI112" s="1013" t="n"/>
      <c r="AJ112" s="183" t="n"/>
      <c r="AK112" s="1013" t="n"/>
      <c r="AL112" s="1013" t="n"/>
      <c r="AM112" s="1013" t="n"/>
      <c r="AN112" s="1013" t="n"/>
      <c r="AO112" s="183" t="n"/>
      <c r="AP112" s="1013" t="n"/>
      <c r="AQ112" s="1013" t="n"/>
      <c r="AR112" s="1013" t="n"/>
      <c r="AS112" s="1013" t="n"/>
      <c r="AT112" s="1264" t="n">
        <v>11.4</v>
      </c>
      <c r="AU112" s="1013" t="n"/>
      <c r="AV112" s="1013" t="n"/>
      <c r="AW112" s="1013" t="n"/>
      <c r="AX112" s="1013" t="n"/>
      <c r="AY112" s="1264" t="n">
        <v>12.7</v>
      </c>
      <c r="AZ112" s="1013" t="n"/>
      <c r="BA112" s="1013" t="n"/>
      <c r="BB112" s="1013" t="n"/>
      <c r="BC112" s="1013" t="n"/>
      <c r="BD112" s="1264" t="n">
        <v>20.5</v>
      </c>
      <c r="BE112" s="1013" t="n"/>
      <c r="BF112" s="1013" t="n"/>
      <c r="BG112" s="1013" t="n"/>
      <c r="BH112" s="1013" t="n"/>
      <c r="BI112" s="1264" t="n">
        <v>33.5</v>
      </c>
      <c r="BJ112" s="1013" t="n"/>
      <c r="BK112" s="1013" t="n"/>
      <c r="BL112" s="1013" t="n"/>
      <c r="BM112" s="1013" t="n"/>
      <c r="BN112" s="1264" t="n">
        <v>26</v>
      </c>
      <c r="BO112" s="1013" t="n"/>
      <c r="BP112" s="1013" t="n"/>
      <c r="BQ112" s="1013" t="n"/>
      <c r="BR112" s="1013" t="n"/>
      <c r="BS112" s="183" t="n"/>
      <c r="BT112" s="1013" t="n"/>
      <c r="BU112" s="1013" t="n"/>
      <c r="BV112" s="1014" t="n"/>
      <c r="BW112" s="1013" t="n"/>
      <c r="BX112" s="183" t="n"/>
      <c r="BY112" s="1013" t="n"/>
      <c r="BZ112" s="1013" t="n"/>
      <c r="CA112" s="1013" t="n"/>
      <c r="CB112" s="1013" t="n"/>
      <c r="CC112" s="183" t="n"/>
      <c r="CD112" s="183" t="n"/>
      <c r="CE112" s="183" t="n"/>
      <c r="CF112" s="183" t="n"/>
      <c r="CG112" s="861" t="n"/>
    </row>
    <row r="113" hidden="1" outlineLevel="1" ht="15" customFormat="1" customHeight="1" s="974">
      <c r="A113" s="705" t="inlineStr">
        <is>
          <t>Revenue (Base Operating Plan) goal, mm</t>
        </is>
      </c>
      <c r="B113" s="677" t="n"/>
      <c r="C113" s="1242" t="n"/>
      <c r="D113" s="1242" t="n"/>
      <c r="E113" s="1242" t="n"/>
      <c r="F113" s="1242" t="n"/>
      <c r="G113" s="678" t="n"/>
      <c r="H113" s="678" t="n"/>
      <c r="I113" s="678" t="n"/>
      <c r="J113" s="678" t="n"/>
      <c r="K113" s="1242" t="n"/>
      <c r="L113" s="678" t="n"/>
      <c r="M113" s="678" t="n"/>
      <c r="N113" s="678" t="n"/>
      <c r="O113" s="678" t="n"/>
      <c r="P113" s="1242" t="n"/>
      <c r="Q113" s="678" t="n"/>
      <c r="R113" s="678" t="n"/>
      <c r="S113" s="678" t="n"/>
      <c r="T113" s="678" t="n"/>
      <c r="U113" s="1242" t="n"/>
      <c r="V113" s="678" t="n"/>
      <c r="W113" s="678" t="n"/>
      <c r="X113" s="678" t="n"/>
      <c r="Y113" s="678" t="n"/>
      <c r="Z113" s="1242" t="n"/>
      <c r="AA113" s="678" t="n"/>
      <c r="AB113" s="678" t="n"/>
      <c r="AC113" s="678" t="n"/>
      <c r="AD113" s="678" t="n"/>
      <c r="AE113" s="1242" t="n"/>
      <c r="AF113" s="678" t="n"/>
      <c r="AG113" s="678" t="n"/>
      <c r="AH113" s="678" t="n"/>
      <c r="AI113" s="678" t="n"/>
      <c r="AJ113" s="1242" t="n"/>
      <c r="AK113" s="678" t="n"/>
      <c r="AL113" s="678" t="n"/>
      <c r="AM113" s="678" t="n"/>
      <c r="AN113" s="678" t="n"/>
      <c r="AO113" s="1242" t="n"/>
      <c r="AP113" s="678" t="n"/>
      <c r="AQ113" s="678" t="n"/>
      <c r="AR113" s="678" t="n"/>
      <c r="AS113" s="678" t="n"/>
      <c r="AT113" s="1242">
        <f>AT112*1000</f>
        <v/>
      </c>
      <c r="AU113" s="678" t="n"/>
      <c r="AV113" s="678" t="n"/>
      <c r="AW113" s="678" t="n"/>
      <c r="AX113" s="678" t="n"/>
      <c r="AY113" s="1242">
        <f>AY112*1000</f>
        <v/>
      </c>
      <c r="AZ113" s="678" t="n"/>
      <c r="BA113" s="678" t="n"/>
      <c r="BB113" s="678" t="n"/>
      <c r="BC113" s="678" t="n"/>
      <c r="BD113" s="1242">
        <f>BD112*1000</f>
        <v/>
      </c>
      <c r="BE113" s="678" t="n"/>
      <c r="BF113" s="678" t="n"/>
      <c r="BG113" s="678" t="n"/>
      <c r="BH113" s="678" t="n"/>
      <c r="BI113" s="1242">
        <f>BI112*1000</f>
        <v/>
      </c>
      <c r="BJ113" s="678" t="n"/>
      <c r="BK113" s="678" t="n"/>
      <c r="BL113" s="678" t="n"/>
      <c r="BM113" s="678" t="n"/>
      <c r="BN113" s="1268" t="n">
        <v>26000</v>
      </c>
      <c r="BO113" s="678" t="n"/>
      <c r="BP113" s="678" t="n"/>
      <c r="BQ113" s="678" t="n"/>
      <c r="BR113" s="678" t="n"/>
      <c r="BS113" s="1242" t="n"/>
      <c r="BT113" s="678" t="n"/>
      <c r="BU113" s="678" t="n"/>
      <c r="BV113" s="935" t="n"/>
      <c r="BW113" s="678" t="n"/>
      <c r="BX113" s="1242" t="n"/>
      <c r="BY113" s="678" t="n"/>
      <c r="BZ113" s="678" t="n"/>
      <c r="CA113" s="678" t="n"/>
      <c r="CB113" s="678" t="n"/>
      <c r="CC113" s="1242" t="n"/>
      <c r="CD113" s="1242" t="n"/>
      <c r="CE113" s="1242" t="n"/>
      <c r="CF113" s="1242" t="n"/>
      <c r="CG113" s="827" t="n"/>
    </row>
    <row r="114" collapsed="1" ht="15" customFormat="1" customHeight="1" s="971">
      <c r="A114" s="425" t="inlineStr">
        <is>
          <t>Revenue actual, bn</t>
        </is>
      </c>
      <c r="B114" s="208" t="n"/>
      <c r="C114" s="183" t="n"/>
      <c r="D114" s="183" t="n"/>
      <c r="E114" s="183" t="n"/>
      <c r="F114" s="183" t="n"/>
      <c r="G114" s="1013" t="n"/>
      <c r="H114" s="1013" t="n"/>
      <c r="I114" s="1013" t="n"/>
      <c r="J114" s="1013" t="n"/>
      <c r="K114" s="183" t="n"/>
      <c r="L114" s="1013" t="n"/>
      <c r="M114" s="1013" t="n"/>
      <c r="N114" s="1013" t="n"/>
      <c r="O114" s="1013" t="n"/>
      <c r="P114" s="183" t="n"/>
      <c r="Q114" s="1013" t="n"/>
      <c r="R114" s="1013" t="n"/>
      <c r="S114" s="1013" t="n"/>
      <c r="T114" s="1013" t="n"/>
      <c r="U114" s="183" t="n"/>
      <c r="V114" s="1013" t="n"/>
      <c r="W114" s="1013" t="n"/>
      <c r="X114" s="1013" t="n"/>
      <c r="Y114" s="1013" t="n"/>
      <c r="Z114" s="183" t="n"/>
      <c r="AA114" s="1013" t="n"/>
      <c r="AB114" s="1013" t="n"/>
      <c r="AC114" s="1013" t="n"/>
      <c r="AD114" s="1013" t="n"/>
      <c r="AE114" s="183" t="n"/>
      <c r="AF114" s="1013" t="n"/>
      <c r="AG114" s="1013" t="n"/>
      <c r="AH114" s="1013" t="n"/>
      <c r="AI114" s="1013" t="n"/>
      <c r="AJ114" s="183" t="n"/>
      <c r="AK114" s="1013" t="n"/>
      <c r="AL114" s="1013" t="n"/>
      <c r="AM114" s="1013" t="n"/>
      <c r="AN114" s="1013" t="n"/>
      <c r="AO114" s="183" t="n"/>
      <c r="AP114" s="1013" t="n"/>
      <c r="AQ114" s="1013" t="n"/>
      <c r="AR114" s="1013" t="n"/>
      <c r="AS114" s="1013" t="n"/>
      <c r="AT114" s="1264" t="n">
        <v>10.92</v>
      </c>
      <c r="AU114" s="1013" t="n"/>
      <c r="AV114" s="1013" t="n"/>
      <c r="AW114" s="1013" t="n"/>
      <c r="AX114" s="1013" t="n"/>
      <c r="AY114" s="1264" t="n">
        <v>15</v>
      </c>
      <c r="AZ114" s="1013" t="n"/>
      <c r="BA114" s="1013" t="n"/>
      <c r="BB114" s="1013" t="n"/>
      <c r="BC114" s="1013" t="n"/>
      <c r="BD114" s="1264" t="n">
        <v>26.9</v>
      </c>
      <c r="BE114" s="1013" t="n"/>
      <c r="BF114" s="1013" t="n"/>
      <c r="BG114" s="1013" t="n"/>
      <c r="BH114" s="1013" t="n"/>
      <c r="BI114" s="1264" t="n">
        <v>27</v>
      </c>
      <c r="BJ114" s="1013" t="n"/>
      <c r="BK114" s="1013" t="n"/>
      <c r="BL114" s="1013" t="n"/>
      <c r="BM114" s="1013" t="n"/>
      <c r="BN114" s="1264" t="n">
        <v>60.9</v>
      </c>
      <c r="BO114" s="1013" t="n"/>
      <c r="BP114" s="1013" t="n"/>
      <c r="BQ114" s="1013" t="n"/>
      <c r="BR114" s="1013" t="n"/>
      <c r="BS114" s="183" t="n"/>
      <c r="BT114" s="1013" t="n"/>
      <c r="BU114" s="1013" t="n"/>
      <c r="BV114" s="1014" t="n"/>
      <c r="BW114" s="1013" t="n"/>
      <c r="BX114" s="183" t="n"/>
      <c r="BY114" s="1013" t="n"/>
      <c r="BZ114" s="1013" t="n"/>
      <c r="CA114" s="1013" t="n"/>
      <c r="CB114" s="1013" t="n"/>
      <c r="CC114" s="183" t="n"/>
      <c r="CD114" s="183" t="n"/>
      <c r="CE114" s="183" t="n"/>
      <c r="CF114" s="183" t="n"/>
      <c r="CG114" s="861" t="n"/>
    </row>
    <row r="115" ht="15" customFormat="1" customHeight="1" s="966">
      <c r="A115" s="219" t="inlineStr">
        <is>
          <t>Revenue variable cash plan payout, %</t>
        </is>
      </c>
      <c r="B115" s="203" t="n"/>
      <c r="C115" s="185" t="n"/>
      <c r="D115" s="185" t="n"/>
      <c r="E115" s="185" t="n"/>
      <c r="F115" s="185" t="n"/>
      <c r="G115" s="130" t="n"/>
      <c r="H115" s="130" t="n"/>
      <c r="I115" s="130" t="n"/>
      <c r="J115" s="130" t="n"/>
      <c r="K115" s="185" t="n"/>
      <c r="L115" s="130" t="n"/>
      <c r="M115" s="130" t="n"/>
      <c r="N115" s="130" t="n"/>
      <c r="O115" s="130" t="n"/>
      <c r="P115" s="185" t="n"/>
      <c r="Q115" s="130" t="n"/>
      <c r="R115" s="130" t="n"/>
      <c r="S115" s="130" t="n"/>
      <c r="T115" s="130" t="n"/>
      <c r="U115" s="185" t="n"/>
      <c r="V115" s="130" t="n"/>
      <c r="W115" s="130" t="n"/>
      <c r="X115" s="130" t="n"/>
      <c r="Y115" s="130" t="n"/>
      <c r="Z115" s="185" t="n"/>
      <c r="AA115" s="130" t="n"/>
      <c r="AB115" s="130" t="n"/>
      <c r="AC115" s="130" t="n"/>
      <c r="AD115" s="130" t="n"/>
      <c r="AE115" s="185" t="n"/>
      <c r="AF115" s="130" t="n"/>
      <c r="AG115" s="130" t="n"/>
      <c r="AH115" s="130" t="n"/>
      <c r="AI115" s="130" t="n"/>
      <c r="AJ115" s="185" t="n"/>
      <c r="AK115" s="130" t="n"/>
      <c r="AL115" s="130" t="n"/>
      <c r="AM115" s="130" t="n"/>
      <c r="AN115" s="130" t="n"/>
      <c r="AO115" s="185" t="n"/>
      <c r="AP115" s="130" t="n"/>
      <c r="AQ115" s="130" t="n"/>
      <c r="AR115" s="130" t="n"/>
      <c r="AS115" s="130" t="n"/>
      <c r="AT115" s="1278" t="n">
        <v>0.732</v>
      </c>
      <c r="AU115" s="130" t="n"/>
      <c r="AV115" s="130" t="n"/>
      <c r="AW115" s="130" t="n"/>
      <c r="AX115" s="130" t="n"/>
      <c r="AY115" s="1278" t="n">
        <v>2</v>
      </c>
      <c r="AZ115" s="130" t="n"/>
      <c r="BA115" s="130" t="n"/>
      <c r="BB115" s="130" t="n"/>
      <c r="BC115" s="130" t="n"/>
      <c r="BD115" s="1278" t="n">
        <v>2</v>
      </c>
      <c r="BE115" s="130" t="n"/>
      <c r="BF115" s="130" t="n"/>
      <c r="BG115" s="130" t="n"/>
      <c r="BH115" s="130" t="n"/>
      <c r="BI115" s="1278" t="n">
        <v>0</v>
      </c>
      <c r="BJ115" s="130" t="n"/>
      <c r="BK115" s="130" t="n"/>
      <c r="BL115" s="130" t="n"/>
      <c r="BM115" s="130" t="n"/>
      <c r="BN115" s="1278" t="n">
        <v>2</v>
      </c>
      <c r="BO115" s="130" t="n"/>
      <c r="BP115" s="130" t="n"/>
      <c r="BQ115" s="130" t="n"/>
      <c r="BR115" s="130" t="n"/>
      <c r="BS115" s="185" t="n"/>
      <c r="BT115" s="130" t="n"/>
      <c r="BU115" s="130" t="n"/>
      <c r="BV115" s="934" t="n"/>
      <c r="BW115" s="130" t="n"/>
      <c r="BX115" s="185" t="n"/>
      <c r="BY115" s="130" t="n"/>
      <c r="BZ115" s="130" t="n"/>
      <c r="CA115" s="130" t="n"/>
      <c r="CB115" s="130" t="n"/>
      <c r="CC115" s="185" t="n"/>
      <c r="CD115" s="185" t="n"/>
      <c r="CE115" s="185" t="n"/>
      <c r="CF115" s="185" t="n"/>
      <c r="CG115" s="860" t="n"/>
    </row>
    <row r="116" ht="15" customFormat="1" customHeight="1" s="973">
      <c r="A116" s="705" t="n"/>
      <c r="B116" s="683" t="n"/>
      <c r="C116" s="1241" t="n"/>
      <c r="D116" s="1241" t="n"/>
      <c r="E116" s="1241" t="n"/>
      <c r="F116" s="1241" t="n"/>
      <c r="G116" s="574" t="n"/>
      <c r="H116" s="574" t="n"/>
      <c r="I116" s="574" t="n"/>
      <c r="J116" s="574" t="n"/>
      <c r="K116" s="1241" t="n"/>
      <c r="L116" s="574" t="n"/>
      <c r="M116" s="574" t="n"/>
      <c r="N116" s="574" t="n"/>
      <c r="O116" s="574" t="n"/>
      <c r="P116" s="1241" t="n"/>
      <c r="Q116" s="574" t="n"/>
      <c r="R116" s="574" t="n"/>
      <c r="S116" s="574" t="n"/>
      <c r="T116" s="574" t="n"/>
      <c r="U116" s="1241" t="n"/>
      <c r="V116" s="574" t="n"/>
      <c r="W116" s="574" t="n"/>
      <c r="X116" s="574" t="n"/>
      <c r="Y116" s="574" t="n"/>
      <c r="Z116" s="1241" t="n"/>
      <c r="AA116" s="574" t="n"/>
      <c r="AB116" s="574" t="n"/>
      <c r="AC116" s="574" t="n"/>
      <c r="AD116" s="574" t="n"/>
      <c r="AE116" s="1241" t="n"/>
      <c r="AF116" s="574" t="n"/>
      <c r="AG116" s="574" t="n"/>
      <c r="AH116" s="574" t="n"/>
      <c r="AI116" s="574" t="n"/>
      <c r="AJ116" s="1241" t="n"/>
      <c r="AK116" s="574" t="n"/>
      <c r="AL116" s="574" t="n"/>
      <c r="AM116" s="574" t="n"/>
      <c r="AN116" s="574" t="n"/>
      <c r="AO116" s="1241" t="n"/>
      <c r="AP116" s="574" t="n"/>
      <c r="AQ116" s="574" t="n"/>
      <c r="AR116" s="574" t="n"/>
      <c r="AS116" s="574" t="n"/>
      <c r="AT116" s="1242" t="n"/>
      <c r="AU116" s="678" t="n"/>
      <c r="AV116" s="678" t="n"/>
      <c r="AW116" s="678" t="n"/>
      <c r="AX116" s="678" t="n"/>
      <c r="AY116" s="1242" t="n"/>
      <c r="AZ116" s="678" t="n"/>
      <c r="BA116" s="678" t="n"/>
      <c r="BB116" s="678" t="n"/>
      <c r="BC116" s="678" t="n"/>
      <c r="BD116" s="1242" t="n"/>
      <c r="BE116" s="678" t="n"/>
      <c r="BF116" s="678" t="n"/>
      <c r="BG116" s="678" t="n"/>
      <c r="BH116" s="678" t="n"/>
      <c r="BI116" s="1242" t="n"/>
      <c r="BJ116" s="574" t="n"/>
      <c r="BK116" s="574" t="n"/>
      <c r="BL116" s="574" t="n"/>
      <c r="BM116" s="574" t="n"/>
      <c r="BN116" s="1241" t="n"/>
      <c r="BO116" s="574" t="n"/>
      <c r="BP116" s="574" t="n"/>
      <c r="BQ116" s="574" t="n"/>
      <c r="BR116" s="574" t="n"/>
      <c r="BS116" s="1241" t="n"/>
      <c r="BT116" s="574" t="n"/>
      <c r="BU116" s="574" t="n"/>
      <c r="BV116" s="936" t="n"/>
      <c r="BW116" s="574" t="n"/>
      <c r="BX116" s="1241" t="n"/>
      <c r="BY116" s="574" t="n"/>
      <c r="BZ116" s="574" t="n"/>
      <c r="CA116" s="574" t="n"/>
      <c r="CB116" s="574" t="n"/>
      <c r="CC116" s="1241" t="n"/>
      <c r="CD116" s="1241" t="n"/>
      <c r="CE116" s="1241" t="n"/>
      <c r="CF116" s="1241" t="n"/>
      <c r="CG116" s="829" t="n"/>
    </row>
    <row r="117" ht="15" customFormat="1" customHeight="1" s="971">
      <c r="A117" s="425" t="inlineStr">
        <is>
          <t>Non-gaap operating income (Base Operating Plan) goal, bn</t>
        </is>
      </c>
      <c r="B117" s="208" t="n"/>
      <c r="C117" s="183" t="n"/>
      <c r="D117" s="183" t="n"/>
      <c r="E117" s="183" t="n"/>
      <c r="F117" s="183" t="n"/>
      <c r="G117" s="1013" t="n"/>
      <c r="H117" s="1013" t="n"/>
      <c r="I117" s="1013" t="n"/>
      <c r="J117" s="1013" t="n"/>
      <c r="K117" s="183" t="n"/>
      <c r="L117" s="1013" t="n"/>
      <c r="M117" s="1013" t="n"/>
      <c r="N117" s="1013" t="n"/>
      <c r="O117" s="1013" t="n"/>
      <c r="P117" s="183" t="n"/>
      <c r="Q117" s="1013" t="n"/>
      <c r="R117" s="1013" t="n"/>
      <c r="S117" s="1013" t="n"/>
      <c r="T117" s="1013" t="n"/>
      <c r="U117" s="183" t="n"/>
      <c r="V117" s="1013" t="n"/>
      <c r="W117" s="1013" t="n"/>
      <c r="X117" s="1013" t="n"/>
      <c r="Y117" s="1013" t="n"/>
      <c r="Z117" s="183" t="n"/>
      <c r="AA117" s="1013" t="n"/>
      <c r="AB117" s="1013" t="n"/>
      <c r="AC117" s="1013" t="n"/>
      <c r="AD117" s="1013" t="n"/>
      <c r="AE117" s="183" t="n"/>
      <c r="AF117" s="1013" t="n"/>
      <c r="AG117" s="1013" t="n"/>
      <c r="AH117" s="1013" t="n"/>
      <c r="AI117" s="1013" t="n"/>
      <c r="AJ117" s="183" t="n"/>
      <c r="AK117" s="1013" t="n"/>
      <c r="AL117" s="1013" t="n"/>
      <c r="AM117" s="1013" t="n"/>
      <c r="AN117" s="1013" t="n"/>
      <c r="AO117" s="183" t="n"/>
      <c r="AP117" s="1013" t="n"/>
      <c r="AQ117" s="1013" t="n"/>
      <c r="AR117" s="1013" t="n"/>
      <c r="AS117" s="1013" t="n"/>
      <c r="AT117" s="1264" t="n">
        <v>3.75</v>
      </c>
      <c r="AU117" s="1013" t="n"/>
      <c r="AV117" s="1013" t="n"/>
      <c r="AW117" s="1013" t="n"/>
      <c r="AX117" s="1013" t="n"/>
      <c r="AY117" s="1264" t="n">
        <v>4.4</v>
      </c>
      <c r="AZ117" s="1013" t="n"/>
      <c r="BA117" s="1013" t="n"/>
      <c r="BB117" s="1013" t="n"/>
      <c r="BC117" s="1013" t="n"/>
      <c r="BD117" s="1264" t="n">
        <v>8.300000000000001</v>
      </c>
      <c r="BE117" s="1013" t="n"/>
      <c r="BF117" s="1013" t="n"/>
      <c r="BG117" s="1013" t="n"/>
      <c r="BH117" s="1013" t="n"/>
      <c r="BI117" s="1264" t="n">
        <v>15.8</v>
      </c>
      <c r="BJ117" s="1013" t="n"/>
      <c r="BK117" s="1013" t="n"/>
      <c r="BL117" s="1013" t="n"/>
      <c r="BM117" s="1013" t="n"/>
      <c r="BN117" s="1264" t="n">
        <v>9.4</v>
      </c>
      <c r="BO117" s="1013" t="n"/>
      <c r="BP117" s="1013" t="n"/>
      <c r="BQ117" s="1013" t="n"/>
      <c r="BR117" s="1013" t="n"/>
      <c r="BS117" s="183" t="n"/>
      <c r="BT117" s="1013" t="n"/>
      <c r="BU117" s="1013" t="n"/>
      <c r="BV117" s="1014" t="n"/>
      <c r="BW117" s="1013" t="n"/>
      <c r="BX117" s="183" t="n"/>
      <c r="BY117" s="1013" t="n"/>
      <c r="BZ117" s="1013" t="n"/>
      <c r="CA117" s="1013" t="n"/>
      <c r="CB117" s="1013" t="n"/>
      <c r="CC117" s="183" t="n"/>
      <c r="CD117" s="183" t="n"/>
      <c r="CE117" s="183" t="n"/>
      <c r="CF117" s="183" t="n"/>
      <c r="CG117" s="861" t="n"/>
    </row>
    <row r="118" hidden="1" outlineLevel="1" ht="15" customFormat="1" customHeight="1" s="974">
      <c r="A118" s="705" t="inlineStr">
        <is>
          <t>Non-gaap operating income (Base Operating Plan) goal, mm</t>
        </is>
      </c>
      <c r="B118" s="677" t="n"/>
      <c r="C118" s="1242" t="n"/>
      <c r="D118" s="1242" t="n"/>
      <c r="E118" s="1242" t="n"/>
      <c r="F118" s="1242" t="n"/>
      <c r="G118" s="678" t="n"/>
      <c r="H118" s="678" t="n"/>
      <c r="I118" s="678" t="n"/>
      <c r="J118" s="678" t="n"/>
      <c r="K118" s="1242" t="n"/>
      <c r="L118" s="678" t="n"/>
      <c r="M118" s="678" t="n"/>
      <c r="N118" s="678" t="n"/>
      <c r="O118" s="678" t="n"/>
      <c r="P118" s="1242" t="n"/>
      <c r="Q118" s="678" t="n"/>
      <c r="R118" s="678" t="n"/>
      <c r="S118" s="678" t="n"/>
      <c r="T118" s="678" t="n"/>
      <c r="U118" s="1242" t="n"/>
      <c r="V118" s="678" t="n"/>
      <c r="W118" s="678" t="n"/>
      <c r="X118" s="678" t="n"/>
      <c r="Y118" s="678" t="n"/>
      <c r="Z118" s="1242" t="n"/>
      <c r="AA118" s="678" t="n"/>
      <c r="AB118" s="678" t="n"/>
      <c r="AC118" s="678" t="n"/>
      <c r="AD118" s="678" t="n"/>
      <c r="AE118" s="1242" t="n"/>
      <c r="AF118" s="678" t="n"/>
      <c r="AG118" s="678" t="n"/>
      <c r="AH118" s="678" t="n"/>
      <c r="AI118" s="678" t="n"/>
      <c r="AJ118" s="1242" t="n"/>
      <c r="AK118" s="678" t="n"/>
      <c r="AL118" s="678" t="n"/>
      <c r="AM118" s="678" t="n"/>
      <c r="AN118" s="678" t="n"/>
      <c r="AO118" s="1242" t="n"/>
      <c r="AP118" s="678" t="n"/>
      <c r="AQ118" s="678" t="n"/>
      <c r="AR118" s="678" t="n"/>
      <c r="AS118" s="678" t="n"/>
      <c r="AT118" s="1242">
        <f>AT117*1000</f>
        <v/>
      </c>
      <c r="AU118" s="678" t="n"/>
      <c r="AV118" s="678" t="n"/>
      <c r="AW118" s="678" t="n"/>
      <c r="AX118" s="678" t="n"/>
      <c r="AY118" s="1242">
        <f>AY117*1000</f>
        <v/>
      </c>
      <c r="AZ118" s="678" t="n"/>
      <c r="BA118" s="678" t="n"/>
      <c r="BB118" s="678" t="n"/>
      <c r="BC118" s="678" t="n"/>
      <c r="BD118" s="1242">
        <f>BD117*1000</f>
        <v/>
      </c>
      <c r="BE118" s="678" t="n"/>
      <c r="BF118" s="678" t="n"/>
      <c r="BG118" s="678" t="n"/>
      <c r="BH118" s="678" t="n"/>
      <c r="BI118" s="1242">
        <f>BI117*1000</f>
        <v/>
      </c>
      <c r="BJ118" s="678" t="n"/>
      <c r="BK118" s="678" t="n"/>
      <c r="BL118" s="678" t="n"/>
      <c r="BM118" s="678" t="n"/>
      <c r="BN118" s="1268" t="n">
        <v>9400</v>
      </c>
      <c r="BO118" s="678" t="n"/>
      <c r="BP118" s="678" t="n"/>
      <c r="BQ118" s="678" t="n"/>
      <c r="BR118" s="678" t="n"/>
      <c r="BS118" s="1242" t="n"/>
      <c r="BT118" s="678" t="n"/>
      <c r="BU118" s="678" t="n"/>
      <c r="BV118" s="935" t="n"/>
      <c r="BW118" s="678" t="n"/>
      <c r="BX118" s="1242" t="n"/>
      <c r="BY118" s="678" t="n"/>
      <c r="BZ118" s="678" t="n"/>
      <c r="CA118" s="678" t="n"/>
      <c r="CB118" s="678" t="n"/>
      <c r="CC118" s="1242" t="n"/>
      <c r="CD118" s="1242" t="n"/>
      <c r="CE118" s="1242" t="n"/>
      <c r="CF118" s="1242" t="n"/>
      <c r="CG118" s="827" t="n"/>
    </row>
    <row r="119" collapsed="1" ht="15" customFormat="1" customHeight="1" s="971">
      <c r="A119" s="425" t="inlineStr">
        <is>
          <t>Non-gaap Operating income actual, bn</t>
        </is>
      </c>
      <c r="B119" s="208" t="n"/>
      <c r="C119" s="183" t="n"/>
      <c r="D119" s="183" t="n"/>
      <c r="E119" s="183" t="n"/>
      <c r="F119" s="183" t="n"/>
      <c r="G119" s="1013" t="n"/>
      <c r="H119" s="1013" t="n"/>
      <c r="I119" s="1013" t="n"/>
      <c r="J119" s="1013" t="n"/>
      <c r="K119" s="183" t="n"/>
      <c r="L119" s="1013" t="n"/>
      <c r="M119" s="1013" t="n"/>
      <c r="N119" s="1013" t="n"/>
      <c r="O119" s="1013" t="n"/>
      <c r="P119" s="183" t="n"/>
      <c r="Q119" s="1013" t="n"/>
      <c r="R119" s="1013" t="n"/>
      <c r="S119" s="1013" t="n"/>
      <c r="T119" s="1013" t="n"/>
      <c r="U119" s="183" t="n"/>
      <c r="V119" s="1013" t="n"/>
      <c r="W119" s="1013" t="n"/>
      <c r="X119" s="1013" t="n"/>
      <c r="Y119" s="1013" t="n"/>
      <c r="Z119" s="183" t="n"/>
      <c r="AA119" s="1013" t="n"/>
      <c r="AB119" s="1013" t="n"/>
      <c r="AC119" s="1013" t="n"/>
      <c r="AD119" s="1013" t="n"/>
      <c r="AE119" s="183" t="n"/>
      <c r="AF119" s="1013" t="n"/>
      <c r="AG119" s="1013" t="n"/>
      <c r="AH119" s="1013" t="n"/>
      <c r="AI119" s="1013" t="n"/>
      <c r="AJ119" s="183" t="n"/>
      <c r="AK119" s="1013" t="n"/>
      <c r="AL119" s="1013" t="n"/>
      <c r="AM119" s="1013" t="n"/>
      <c r="AN119" s="1013" t="n"/>
      <c r="AO119" s="183" t="n"/>
      <c r="AP119" s="1013" t="n"/>
      <c r="AQ119" s="1013" t="n"/>
      <c r="AR119" s="1013" t="n"/>
      <c r="AS119" s="1013" t="n"/>
      <c r="AT119" s="1264" t="n">
        <v>3.73</v>
      </c>
      <c r="AU119" s="1013" t="n"/>
      <c r="AV119" s="1013" t="n"/>
      <c r="AW119" s="1013" t="n"/>
      <c r="AX119" s="1013" t="n"/>
      <c r="AY119" s="1264" t="n">
        <v>6.1</v>
      </c>
      <c r="AZ119" s="1013" t="n"/>
      <c r="BA119" s="1013" t="n"/>
      <c r="BB119" s="1013" t="n"/>
      <c r="BC119" s="1013" t="n"/>
      <c r="BD119" s="1264" t="n">
        <v>12.7</v>
      </c>
      <c r="BE119" s="1013" t="n"/>
      <c r="BF119" s="1013" t="n"/>
      <c r="BG119" s="1013" t="n"/>
      <c r="BH119" s="1013" t="n"/>
      <c r="BI119" s="1264" t="n">
        <v>9</v>
      </c>
      <c r="BJ119" s="1013" t="n"/>
      <c r="BK119" s="1013" t="n"/>
      <c r="BL119" s="1013" t="n"/>
      <c r="BM119" s="1013" t="n"/>
      <c r="BN119" s="1264" t="n">
        <v>37.1</v>
      </c>
      <c r="BO119" s="1013" t="n"/>
      <c r="BP119" s="1013" t="n"/>
      <c r="BQ119" s="1013" t="n"/>
      <c r="BR119" s="1013" t="n"/>
      <c r="BS119" s="183" t="n"/>
      <c r="BT119" s="1013" t="n"/>
      <c r="BU119" s="1013" t="n"/>
      <c r="BV119" s="1014" t="n"/>
      <c r="BW119" s="1013" t="n"/>
      <c r="BX119" s="183" t="n"/>
      <c r="BY119" s="1013" t="n"/>
      <c r="BZ119" s="1013" t="n"/>
      <c r="CA119" s="1013" t="n"/>
      <c r="CB119" s="1013" t="n"/>
      <c r="CC119" s="183" t="n"/>
      <c r="CD119" s="183" t="n"/>
      <c r="CE119" s="183" t="n"/>
      <c r="CF119" s="183" t="n"/>
      <c r="CG119" s="861" t="n"/>
    </row>
    <row r="120" ht="15" customFormat="1" customHeight="1" s="966">
      <c r="A120" s="219" t="inlineStr">
        <is>
          <t>Operating income PSU payout of CEO, %</t>
        </is>
      </c>
      <c r="B120" s="203" t="n"/>
      <c r="C120" s="185" t="n"/>
      <c r="D120" s="185" t="n"/>
      <c r="E120" s="185" t="n"/>
      <c r="F120" s="185" t="n"/>
      <c r="G120" s="130" t="n"/>
      <c r="H120" s="130" t="n"/>
      <c r="I120" s="130" t="n"/>
      <c r="J120" s="130" t="n"/>
      <c r="K120" s="185" t="n"/>
      <c r="L120" s="130" t="n"/>
      <c r="M120" s="130" t="n"/>
      <c r="N120" s="130" t="n"/>
      <c r="O120" s="130" t="n"/>
      <c r="P120" s="185" t="n"/>
      <c r="Q120" s="130" t="n"/>
      <c r="R120" s="130" t="n"/>
      <c r="S120" s="130" t="n"/>
      <c r="T120" s="130" t="n"/>
      <c r="U120" s="185" t="n"/>
      <c r="V120" s="130" t="n"/>
      <c r="W120" s="130" t="n"/>
      <c r="X120" s="130" t="n"/>
      <c r="Y120" s="130" t="n"/>
      <c r="Z120" s="185" t="n"/>
      <c r="AA120" s="130" t="n"/>
      <c r="AB120" s="130" t="n"/>
      <c r="AC120" s="130" t="n"/>
      <c r="AD120" s="130" t="n"/>
      <c r="AE120" s="185" t="n"/>
      <c r="AF120" s="130" t="n"/>
      <c r="AG120" s="130" t="n"/>
      <c r="AH120" s="130" t="n"/>
      <c r="AI120" s="130" t="n"/>
      <c r="AJ120" s="185" t="n"/>
      <c r="AK120" s="130" t="n"/>
      <c r="AL120" s="130" t="n"/>
      <c r="AM120" s="130" t="n"/>
      <c r="AN120" s="130" t="n"/>
      <c r="AO120" s="185" t="n"/>
      <c r="AP120" s="130" t="n"/>
      <c r="AQ120" s="130" t="n"/>
      <c r="AR120" s="130" t="n"/>
      <c r="AS120" s="130" t="n"/>
      <c r="AT120" s="185" t="n"/>
      <c r="AU120" s="130" t="n"/>
      <c r="AV120" s="130" t="n"/>
      <c r="AW120" s="130" t="n"/>
      <c r="AX120" s="130" t="n"/>
      <c r="AY120" s="1278" t="n">
        <v>1.5</v>
      </c>
      <c r="AZ120" s="130" t="n"/>
      <c r="BA120" s="130" t="n"/>
      <c r="BB120" s="130" t="n"/>
      <c r="BC120" s="130" t="n"/>
      <c r="BD120" s="1278" t="n">
        <v>1.5</v>
      </c>
      <c r="BE120" s="130" t="n"/>
      <c r="BF120" s="130" t="n"/>
      <c r="BG120" s="130" t="n"/>
      <c r="BH120" s="130" t="n"/>
      <c r="BI120" s="1278" t="n">
        <v>0</v>
      </c>
      <c r="BJ120" s="130" t="n"/>
      <c r="BK120" s="130" t="n"/>
      <c r="BL120" s="130" t="n"/>
      <c r="BM120" s="130" t="n"/>
      <c r="BN120" s="1278" t="n">
        <v>2</v>
      </c>
      <c r="BO120" s="130" t="n"/>
      <c r="BP120" s="130" t="n"/>
      <c r="BQ120" s="130" t="n"/>
      <c r="BR120" s="130" t="n"/>
      <c r="BS120" s="185" t="n"/>
      <c r="BT120" s="130" t="n"/>
      <c r="BU120" s="130" t="n"/>
      <c r="BV120" s="934" t="n"/>
      <c r="BW120" s="130" t="n"/>
      <c r="BX120" s="185" t="n"/>
      <c r="BY120" s="130" t="n"/>
      <c r="BZ120" s="130" t="n"/>
      <c r="CA120" s="130" t="n"/>
      <c r="CB120" s="130" t="n"/>
      <c r="CC120" s="185" t="n"/>
      <c r="CD120" s="185" t="n"/>
      <c r="CE120" s="185" t="n"/>
      <c r="CF120" s="185" t="n"/>
      <c r="CG120" s="860" t="n"/>
    </row>
    <row r="121" ht="15" customFormat="1" customHeight="1" s="966">
      <c r="A121" s="219" t="inlineStr">
        <is>
          <t>Operating income PSU payout other NEOs, %</t>
        </is>
      </c>
      <c r="B121" s="203" t="n"/>
      <c r="C121" s="185" t="n"/>
      <c r="D121" s="185" t="n"/>
      <c r="E121" s="185" t="n"/>
      <c r="F121" s="185" t="n"/>
      <c r="G121" s="130" t="n"/>
      <c r="H121" s="130" t="n"/>
      <c r="I121" s="130" t="n"/>
      <c r="J121" s="130" t="n"/>
      <c r="K121" s="185" t="n"/>
      <c r="L121" s="130" t="n"/>
      <c r="M121" s="130" t="n"/>
      <c r="N121" s="130" t="n"/>
      <c r="O121" s="130" t="n"/>
      <c r="P121" s="185" t="n"/>
      <c r="Q121" s="130" t="n"/>
      <c r="R121" s="130" t="n"/>
      <c r="S121" s="130" t="n"/>
      <c r="T121" s="130" t="n"/>
      <c r="U121" s="185" t="n"/>
      <c r="V121" s="130" t="n"/>
      <c r="W121" s="130" t="n"/>
      <c r="X121" s="130" t="n"/>
      <c r="Y121" s="130" t="n"/>
      <c r="Z121" s="185" t="n"/>
      <c r="AA121" s="130" t="n"/>
      <c r="AB121" s="130" t="n"/>
      <c r="AC121" s="130" t="n"/>
      <c r="AD121" s="130" t="n"/>
      <c r="AE121" s="185" t="n"/>
      <c r="AF121" s="130" t="n"/>
      <c r="AG121" s="130" t="n"/>
      <c r="AH121" s="130" t="n"/>
      <c r="AI121" s="130" t="n"/>
      <c r="AJ121" s="185" t="n"/>
      <c r="AK121" s="130" t="n"/>
      <c r="AL121" s="130" t="n"/>
      <c r="AM121" s="130" t="n"/>
      <c r="AN121" s="130" t="n"/>
      <c r="AO121" s="185" t="n"/>
      <c r="AP121" s="130" t="n"/>
      <c r="AQ121" s="130" t="n"/>
      <c r="AR121" s="130" t="n"/>
      <c r="AS121" s="130" t="n"/>
      <c r="AT121" s="185" t="n"/>
      <c r="AU121" s="130" t="n"/>
      <c r="AV121" s="130" t="n"/>
      <c r="AW121" s="130" t="n"/>
      <c r="AX121" s="130" t="n"/>
      <c r="AY121" s="1278" t="n">
        <v>2</v>
      </c>
      <c r="AZ121" s="130" t="n"/>
      <c r="BA121" s="130" t="n"/>
      <c r="BB121" s="130" t="n"/>
      <c r="BC121" s="130" t="n"/>
      <c r="BD121" s="1278" t="n">
        <v>2</v>
      </c>
      <c r="BE121" s="130" t="n"/>
      <c r="BF121" s="130" t="n"/>
      <c r="BG121" s="130" t="n"/>
      <c r="BH121" s="130" t="n"/>
      <c r="BI121" s="1278" t="n">
        <v>0</v>
      </c>
      <c r="BJ121" s="130" t="n"/>
      <c r="BK121" s="130" t="n"/>
      <c r="BL121" s="130" t="n"/>
      <c r="BM121" s="130" t="n"/>
      <c r="BN121" s="1278" t="n">
        <v>2.5</v>
      </c>
      <c r="BO121" s="130" t="n"/>
      <c r="BP121" s="130" t="n"/>
      <c r="BQ121" s="130" t="n"/>
      <c r="BR121" s="130" t="n"/>
      <c r="BS121" s="185" t="n"/>
      <c r="BT121" s="130" t="n"/>
      <c r="BU121" s="130" t="n"/>
      <c r="BV121" s="934" t="n"/>
      <c r="BW121" s="130" t="n"/>
      <c r="BX121" s="185" t="n"/>
      <c r="BY121" s="130" t="n"/>
      <c r="BZ121" s="130" t="n"/>
      <c r="CA121" s="130" t="n"/>
      <c r="CB121" s="130" t="n"/>
      <c r="CC121" s="185" t="n"/>
      <c r="CD121" s="185" t="n"/>
      <c r="CE121" s="185" t="n"/>
      <c r="CF121" s="185" t="n"/>
      <c r="CG121" s="860" t="n"/>
    </row>
    <row r="122" ht="15" customFormat="1" customHeight="1" s="976">
      <c r="A122" s="219" t="inlineStr">
        <is>
          <t>Operating PSU income payout, %</t>
        </is>
      </c>
      <c r="B122" s="207" t="n"/>
      <c r="C122" s="1247" t="n"/>
      <c r="D122" s="1247" t="n"/>
      <c r="E122" s="1247" t="n"/>
      <c r="F122" s="1247" t="n"/>
      <c r="G122" s="132" t="n"/>
      <c r="H122" s="132" t="n"/>
      <c r="I122" s="132" t="n"/>
      <c r="J122" s="132" t="n"/>
      <c r="K122" s="1247" t="n"/>
      <c r="L122" s="132" t="n"/>
      <c r="M122" s="132" t="n"/>
      <c r="N122" s="132" t="n"/>
      <c r="O122" s="132" t="n"/>
      <c r="P122" s="1247" t="n"/>
      <c r="Q122" s="132" t="n"/>
      <c r="R122" s="132" t="n"/>
      <c r="S122" s="132" t="n"/>
      <c r="T122" s="132" t="n"/>
      <c r="U122" s="1247" t="n"/>
      <c r="V122" s="132" t="n"/>
      <c r="W122" s="132" t="n"/>
      <c r="X122" s="132" t="n"/>
      <c r="Y122" s="132" t="n"/>
      <c r="Z122" s="1247" t="n"/>
      <c r="AA122" s="132" t="n"/>
      <c r="AB122" s="132" t="n"/>
      <c r="AC122" s="132" t="n"/>
      <c r="AD122" s="132" t="n"/>
      <c r="AE122" s="1247" t="n"/>
      <c r="AF122" s="132" t="n"/>
      <c r="AG122" s="132" t="n"/>
      <c r="AH122" s="132" t="n"/>
      <c r="AI122" s="132" t="n"/>
      <c r="AJ122" s="1247" t="n"/>
      <c r="AK122" s="132" t="n"/>
      <c r="AL122" s="132" t="n"/>
      <c r="AM122" s="132" t="n"/>
      <c r="AN122" s="132" t="n"/>
      <c r="AO122" s="1247" t="n"/>
      <c r="AP122" s="132" t="n"/>
      <c r="AQ122" s="132" t="n"/>
      <c r="AR122" s="132" t="n"/>
      <c r="AS122" s="132" t="n"/>
      <c r="AT122" s="1278" t="n">
        <v>0.986</v>
      </c>
      <c r="AU122" s="130" t="n"/>
      <c r="AV122" s="130" t="n"/>
      <c r="AW122" s="130" t="n"/>
      <c r="AX122" s="130" t="n"/>
      <c r="AY122" s="185" t="n"/>
      <c r="AZ122" s="130" t="n"/>
      <c r="BA122" s="130" t="n"/>
      <c r="BB122" s="130" t="n"/>
      <c r="BC122" s="130" t="n"/>
      <c r="BD122" s="185" t="n"/>
      <c r="BE122" s="130" t="n"/>
      <c r="BF122" s="130" t="n"/>
      <c r="BG122" s="130" t="n"/>
      <c r="BH122" s="130" t="n"/>
      <c r="BI122" s="185" t="n"/>
      <c r="BJ122" s="132" t="n"/>
      <c r="BK122" s="132" t="n"/>
      <c r="BL122" s="132" t="n"/>
      <c r="BM122" s="132" t="n"/>
      <c r="BN122" s="1247" t="n"/>
      <c r="BO122" s="132" t="n"/>
      <c r="BP122" s="132" t="n"/>
      <c r="BQ122" s="132" t="n"/>
      <c r="BR122" s="132" t="n"/>
      <c r="BS122" s="1247" t="n"/>
      <c r="BT122" s="132" t="n"/>
      <c r="BU122" s="132" t="n"/>
      <c r="BV122" s="941" t="n"/>
      <c r="BW122" s="132" t="n"/>
      <c r="BX122" s="1247" t="n"/>
      <c r="BY122" s="132" t="n"/>
      <c r="BZ122" s="132" t="n"/>
      <c r="CA122" s="132" t="n"/>
      <c r="CB122" s="132" t="n"/>
      <c r="CC122" s="1247" t="n"/>
      <c r="CD122" s="1247" t="n"/>
      <c r="CE122" s="1247" t="n"/>
      <c r="CF122" s="1247" t="n"/>
      <c r="CG122" s="852" t="n"/>
    </row>
    <row r="123" ht="15" customFormat="1" customHeight="1" s="973">
      <c r="A123" s="219" t="n"/>
      <c r="B123" s="683" t="n"/>
      <c r="C123" s="1241" t="n"/>
      <c r="D123" s="1241" t="n"/>
      <c r="E123" s="1241" t="n"/>
      <c r="F123" s="1241" t="n"/>
      <c r="G123" s="574" t="n"/>
      <c r="H123" s="574" t="n"/>
      <c r="I123" s="574" t="n"/>
      <c r="J123" s="574" t="n"/>
      <c r="K123" s="1241" t="n"/>
      <c r="L123" s="574" t="n"/>
      <c r="M123" s="574" t="n"/>
      <c r="N123" s="574" t="n"/>
      <c r="O123" s="574" t="n"/>
      <c r="P123" s="1241" t="n"/>
      <c r="Q123" s="574" t="n"/>
      <c r="R123" s="574" t="n"/>
      <c r="S123" s="574" t="n"/>
      <c r="T123" s="574" t="n"/>
      <c r="U123" s="1241" t="n"/>
      <c r="V123" s="574" t="n"/>
      <c r="W123" s="574" t="n"/>
      <c r="X123" s="574" t="n"/>
      <c r="Y123" s="574" t="n"/>
      <c r="Z123" s="1241" t="n"/>
      <c r="AA123" s="574" t="n"/>
      <c r="AB123" s="574" t="n"/>
      <c r="AC123" s="574" t="n"/>
      <c r="AD123" s="574" t="n"/>
      <c r="AE123" s="1241" t="n"/>
      <c r="AF123" s="574" t="n"/>
      <c r="AG123" s="574" t="n"/>
      <c r="AH123" s="574" t="n"/>
      <c r="AI123" s="574" t="n"/>
      <c r="AJ123" s="1241" t="n"/>
      <c r="AK123" s="574" t="n"/>
      <c r="AL123" s="574" t="n"/>
      <c r="AM123" s="574" t="n"/>
      <c r="AN123" s="574" t="n"/>
      <c r="AO123" s="1241" t="n"/>
      <c r="AP123" s="574" t="n"/>
      <c r="AQ123" s="574" t="n"/>
      <c r="AR123" s="574" t="n"/>
      <c r="AS123" s="574" t="n"/>
      <c r="AT123" s="1242" t="n"/>
      <c r="AU123" s="678" t="n"/>
      <c r="AV123" s="678" t="n"/>
      <c r="AW123" s="678" t="n"/>
      <c r="AX123" s="678" t="n"/>
      <c r="AY123" s="1242" t="n"/>
      <c r="AZ123" s="678" t="n"/>
      <c r="BA123" s="678" t="n"/>
      <c r="BB123" s="678" t="n"/>
      <c r="BC123" s="678" t="n"/>
      <c r="BD123" s="1242" t="n"/>
      <c r="BE123" s="678" t="n"/>
      <c r="BF123" s="678" t="n"/>
      <c r="BG123" s="678" t="n"/>
      <c r="BH123" s="678" t="n"/>
      <c r="BI123" s="1242" t="n"/>
      <c r="BJ123" s="574" t="n"/>
      <c r="BK123" s="574" t="n"/>
      <c r="BL123" s="574" t="n"/>
      <c r="BM123" s="574" t="n"/>
      <c r="BN123" s="1241" t="n"/>
      <c r="BO123" s="574" t="n"/>
      <c r="BP123" s="574" t="n"/>
      <c r="BQ123" s="574" t="n"/>
      <c r="BR123" s="574" t="n"/>
      <c r="BS123" s="1241" t="n"/>
      <c r="BT123" s="574" t="n"/>
      <c r="BU123" s="574" t="n"/>
      <c r="BV123" s="936" t="n"/>
      <c r="BW123" s="574" t="n"/>
      <c r="BX123" s="1241" t="n"/>
      <c r="BY123" s="574" t="n"/>
      <c r="BZ123" s="574" t="n"/>
      <c r="CA123" s="574" t="n"/>
      <c r="CB123" s="574" t="n"/>
      <c r="CC123" s="1241" t="n"/>
      <c r="CD123" s="1241" t="n"/>
      <c r="CE123" s="1241" t="n"/>
      <c r="CF123" s="1241" t="n"/>
      <c r="CG123" s="829" t="n"/>
    </row>
    <row r="124" ht="15" customFormat="1" customHeight="1" s="966">
      <c r="A124" s="219" t="inlineStr">
        <is>
          <t>Relative TSR Performance (Base Operating Plan) goal,  %</t>
        </is>
      </c>
      <c r="B124" s="203" t="n"/>
      <c r="C124" s="185" t="n"/>
      <c r="D124" s="185" t="n"/>
      <c r="E124" s="185" t="n"/>
      <c r="F124" s="185" t="n"/>
      <c r="G124" s="130" t="n"/>
      <c r="H124" s="130" t="n"/>
      <c r="I124" s="130" t="n"/>
      <c r="J124" s="130" t="n"/>
      <c r="K124" s="185" t="n"/>
      <c r="L124" s="130" t="n"/>
      <c r="M124" s="130" t="n"/>
      <c r="N124" s="130" t="n"/>
      <c r="O124" s="130" t="n"/>
      <c r="P124" s="185" t="n"/>
      <c r="Q124" s="130" t="n"/>
      <c r="R124" s="130" t="n"/>
      <c r="S124" s="130" t="n"/>
      <c r="T124" s="130" t="n"/>
      <c r="U124" s="185" t="n"/>
      <c r="V124" s="130" t="n"/>
      <c r="W124" s="130" t="n"/>
      <c r="X124" s="130" t="n"/>
      <c r="Y124" s="130" t="n"/>
      <c r="Z124" s="185" t="n"/>
      <c r="AA124" s="130" t="n"/>
      <c r="AB124" s="130" t="n"/>
      <c r="AC124" s="130" t="n"/>
      <c r="AD124" s="130" t="n"/>
      <c r="AE124" s="185" t="n"/>
      <c r="AF124" s="130" t="n"/>
      <c r="AG124" s="130" t="n"/>
      <c r="AH124" s="130" t="n"/>
      <c r="AI124" s="130" t="n"/>
      <c r="AJ124" s="185" t="n"/>
      <c r="AK124" s="130" t="n"/>
      <c r="AL124" s="130" t="n"/>
      <c r="AM124" s="130" t="n"/>
      <c r="AN124" s="130" t="n"/>
      <c r="AO124" s="185" t="n"/>
      <c r="AP124" s="130" t="n"/>
      <c r="AQ124" s="130" t="n"/>
      <c r="AR124" s="130" t="n"/>
      <c r="AS124" s="130" t="n"/>
      <c r="AT124" s="1278" t="n">
        <v>0.5</v>
      </c>
      <c r="AU124" s="130" t="n"/>
      <c r="AV124" s="130" t="n"/>
      <c r="AW124" s="130" t="n"/>
      <c r="AX124" s="130" t="n"/>
      <c r="AY124" s="1278" t="n">
        <v>0.5</v>
      </c>
      <c r="AZ124" s="130" t="n"/>
      <c r="BA124" s="130" t="n"/>
      <c r="BB124" s="130" t="n"/>
      <c r="BC124" s="130" t="n"/>
      <c r="BD124" s="1278" t="n">
        <v>0.5</v>
      </c>
      <c r="BE124" s="130" t="n"/>
      <c r="BF124" s="130" t="n"/>
      <c r="BG124" s="130" t="n"/>
      <c r="BH124" s="130" t="n"/>
      <c r="BI124" s="1278" t="n">
        <v>0.5</v>
      </c>
      <c r="BJ124" s="130" t="n"/>
      <c r="BK124" s="130" t="n"/>
      <c r="BL124" s="130" t="n"/>
      <c r="BM124" s="130" t="n"/>
      <c r="BN124" s="1278" t="n">
        <v>0.5</v>
      </c>
      <c r="BO124" s="130" t="n"/>
      <c r="BP124" s="130" t="n"/>
      <c r="BQ124" s="130" t="n"/>
      <c r="BR124" s="130" t="n"/>
      <c r="BS124" s="185" t="n"/>
      <c r="BT124" s="130" t="n"/>
      <c r="BU124" s="130" t="n"/>
      <c r="BV124" s="934" t="n"/>
      <c r="BW124" s="130" t="n"/>
      <c r="BX124" s="185" t="n"/>
      <c r="BY124" s="130" t="n"/>
      <c r="BZ124" s="130" t="n"/>
      <c r="CA124" s="130" t="n"/>
      <c r="CB124" s="130" t="n"/>
      <c r="CC124" s="185" t="n"/>
      <c r="CD124" s="185" t="n"/>
      <c r="CE124" s="185" t="n"/>
      <c r="CF124" s="185" t="n"/>
      <c r="CG124" s="860" t="n"/>
    </row>
    <row r="125" ht="15" customFormat="1" customHeight="1" s="966">
      <c r="A125" s="219" t="inlineStr">
        <is>
          <t>Relative TSR Performance (percentile of S&amp;P 500) actual, %</t>
        </is>
      </c>
      <c r="B125" s="203" t="n"/>
      <c r="C125" s="185" t="n"/>
      <c r="D125" s="185" t="n"/>
      <c r="E125" s="185" t="n"/>
      <c r="F125" s="185" t="n"/>
      <c r="G125" s="130" t="n"/>
      <c r="H125" s="130" t="n"/>
      <c r="I125" s="130" t="n"/>
      <c r="J125" s="130" t="n"/>
      <c r="K125" s="185" t="n"/>
      <c r="L125" s="130" t="n"/>
      <c r="M125" s="130" t="n"/>
      <c r="N125" s="130" t="n"/>
      <c r="O125" s="130" t="n"/>
      <c r="P125" s="185" t="n"/>
      <c r="Q125" s="130" t="n"/>
      <c r="R125" s="130" t="n"/>
      <c r="S125" s="130" t="n"/>
      <c r="T125" s="130" t="n"/>
      <c r="U125" s="185" t="n"/>
      <c r="V125" s="130" t="n"/>
      <c r="W125" s="130" t="n"/>
      <c r="X125" s="130" t="n"/>
      <c r="Y125" s="130" t="n"/>
      <c r="Z125" s="185" t="n"/>
      <c r="AA125" s="130" t="n"/>
      <c r="AB125" s="130" t="n"/>
      <c r="AC125" s="130" t="n"/>
      <c r="AD125" s="130" t="n"/>
      <c r="AE125" s="185" t="n"/>
      <c r="AF125" s="130" t="n"/>
      <c r="AG125" s="130" t="n"/>
      <c r="AH125" s="130" t="n"/>
      <c r="AI125" s="130" t="n"/>
      <c r="AJ125" s="185" t="n"/>
      <c r="AK125" s="130" t="n"/>
      <c r="AL125" s="130" t="n"/>
      <c r="AM125" s="130" t="n"/>
      <c r="AN125" s="130" t="n"/>
      <c r="AO125" s="185" t="n"/>
      <c r="AP125" s="130" t="n"/>
      <c r="AQ125" s="130" t="n"/>
      <c r="AR125" s="130" t="n"/>
      <c r="AS125" s="130" t="n"/>
      <c r="AT125" s="1278" t="n">
        <v>0.95</v>
      </c>
      <c r="AU125" s="130" t="n"/>
      <c r="AV125" s="130" t="n"/>
      <c r="AW125" s="130" t="n"/>
      <c r="AX125" s="130" t="n"/>
      <c r="AY125" s="1278" t="n">
        <v>0.97</v>
      </c>
      <c r="AZ125" s="130" t="n"/>
      <c r="BA125" s="130" t="n"/>
      <c r="BB125" s="130" t="n"/>
      <c r="BC125" s="130" t="n"/>
      <c r="BD125" s="1278" t="n">
        <v>1</v>
      </c>
      <c r="BE125" s="130" t="n"/>
      <c r="BF125" s="130" t="n"/>
      <c r="BG125" s="130" t="n"/>
      <c r="BH125" s="130" t="n"/>
      <c r="BI125" s="1278" t="n">
        <v>0.99</v>
      </c>
      <c r="BJ125" s="130" t="n"/>
      <c r="BK125" s="130" t="n"/>
      <c r="BL125" s="130" t="n"/>
      <c r="BM125" s="130" t="n"/>
      <c r="BN125" s="1278" t="n">
        <v>0.99</v>
      </c>
      <c r="BO125" s="130" t="n"/>
      <c r="BP125" s="130" t="n"/>
      <c r="BQ125" s="130" t="n"/>
      <c r="BR125" s="130" t="n"/>
      <c r="BS125" s="185" t="n"/>
      <c r="BT125" s="130" t="n"/>
      <c r="BU125" s="130" t="n"/>
      <c r="BV125" s="934" t="n"/>
      <c r="BW125" s="130" t="n"/>
      <c r="BX125" s="185" t="n"/>
      <c r="BY125" s="130" t="n"/>
      <c r="BZ125" s="130" t="n"/>
      <c r="CA125" s="130" t="n"/>
      <c r="CB125" s="130" t="n"/>
      <c r="CC125" s="185" t="n"/>
      <c r="CD125" s="185" t="n"/>
      <c r="CE125" s="185" t="n"/>
      <c r="CF125" s="185" t="n"/>
      <c r="CG125" s="860" t="n"/>
    </row>
    <row r="126" ht="15" customFormat="1" customHeight="1" s="966">
      <c r="A126" s="219" t="inlineStr">
        <is>
          <t>Relative TSR Performance PSU payout of CEO, %</t>
        </is>
      </c>
      <c r="B126" s="203" t="n"/>
      <c r="C126" s="185" t="n"/>
      <c r="D126" s="185" t="n"/>
      <c r="E126" s="185" t="n"/>
      <c r="F126" s="185" t="n"/>
      <c r="G126" s="130" t="n"/>
      <c r="H126" s="130" t="n"/>
      <c r="I126" s="130" t="n"/>
      <c r="J126" s="130" t="n"/>
      <c r="K126" s="185" t="n"/>
      <c r="L126" s="130" t="n"/>
      <c r="M126" s="130" t="n"/>
      <c r="N126" s="130" t="n"/>
      <c r="O126" s="130" t="n"/>
      <c r="P126" s="185" t="n"/>
      <c r="Q126" s="130" t="n"/>
      <c r="R126" s="130" t="n"/>
      <c r="S126" s="130" t="n"/>
      <c r="T126" s="130" t="n"/>
      <c r="U126" s="185" t="n"/>
      <c r="V126" s="130" t="n"/>
      <c r="W126" s="130" t="n"/>
      <c r="X126" s="130" t="n"/>
      <c r="Y126" s="130" t="n"/>
      <c r="Z126" s="185" t="n"/>
      <c r="AA126" s="130" t="n"/>
      <c r="AB126" s="130" t="n"/>
      <c r="AC126" s="130" t="n"/>
      <c r="AD126" s="130" t="n"/>
      <c r="AE126" s="185" t="n"/>
      <c r="AF126" s="130" t="n"/>
      <c r="AG126" s="130" t="n"/>
      <c r="AH126" s="130" t="n"/>
      <c r="AI126" s="130" t="n"/>
      <c r="AJ126" s="185" t="n"/>
      <c r="AK126" s="130" t="n"/>
      <c r="AL126" s="130" t="n"/>
      <c r="AM126" s="130" t="n"/>
      <c r="AN126" s="130" t="n"/>
      <c r="AO126" s="185" t="n"/>
      <c r="AP126" s="130" t="n"/>
      <c r="AQ126" s="130" t="n"/>
      <c r="AR126" s="130" t="n"/>
      <c r="AS126" s="130" t="n"/>
      <c r="AT126" s="1278" t="n">
        <v>1.5</v>
      </c>
      <c r="AU126" s="130" t="n"/>
      <c r="AV126" s="130" t="n"/>
      <c r="AW126" s="130" t="n"/>
      <c r="AX126" s="130" t="n"/>
      <c r="AY126" s="1278" t="n">
        <v>1.5</v>
      </c>
      <c r="AZ126" s="130" t="n"/>
      <c r="BA126" s="130" t="n"/>
      <c r="BB126" s="130" t="n"/>
      <c r="BC126" s="130" t="n"/>
      <c r="BD126" s="1278" t="n">
        <v>1.5</v>
      </c>
      <c r="BE126" s="130" t="n"/>
      <c r="BF126" s="130" t="n"/>
      <c r="BG126" s="130" t="n"/>
      <c r="BH126" s="130" t="n"/>
      <c r="BI126" s="1278" t="n">
        <v>1.5</v>
      </c>
      <c r="BJ126" s="130" t="n"/>
      <c r="BK126" s="130" t="n"/>
      <c r="BL126" s="130" t="n"/>
      <c r="BM126" s="130" t="n"/>
      <c r="BN126" s="1278" t="n">
        <v>1.5</v>
      </c>
      <c r="BO126" s="130" t="n"/>
      <c r="BP126" s="130" t="n"/>
      <c r="BQ126" s="130" t="n"/>
      <c r="BR126" s="130" t="n"/>
      <c r="BS126" s="185" t="n"/>
      <c r="BT126" s="130" t="n"/>
      <c r="BU126" s="130" t="n"/>
      <c r="BV126" s="934" t="n"/>
      <c r="BW126" s="130" t="n"/>
      <c r="BX126" s="185" t="n"/>
      <c r="BY126" s="130" t="n"/>
      <c r="BZ126" s="130" t="n"/>
      <c r="CA126" s="130" t="n"/>
      <c r="CB126" s="130" t="n"/>
      <c r="CC126" s="185" t="n"/>
      <c r="CD126" s="185" t="n"/>
      <c r="CE126" s="185" t="n"/>
      <c r="CF126" s="185" t="n"/>
      <c r="CG126" s="860" t="n"/>
    </row>
    <row r="127" ht="15" customFormat="1" customHeight="1" s="966">
      <c r="A127" s="219" t="inlineStr">
        <is>
          <t>Relative TSR Performance PSU payout of NEO, %</t>
        </is>
      </c>
      <c r="B127" s="203" t="n"/>
      <c r="C127" s="185" t="n"/>
      <c r="D127" s="185" t="n"/>
      <c r="E127" s="185" t="n"/>
      <c r="F127" s="185" t="n"/>
      <c r="G127" s="130" t="n"/>
      <c r="H127" s="130" t="n"/>
      <c r="I127" s="130" t="n"/>
      <c r="J127" s="130" t="n"/>
      <c r="K127" s="185" t="n"/>
      <c r="L127" s="130" t="n"/>
      <c r="M127" s="130" t="n"/>
      <c r="N127" s="130" t="n"/>
      <c r="O127" s="130" t="n"/>
      <c r="P127" s="185" t="n"/>
      <c r="Q127" s="130" t="n"/>
      <c r="R127" s="130" t="n"/>
      <c r="S127" s="130" t="n"/>
      <c r="T127" s="130" t="n"/>
      <c r="U127" s="185" t="n"/>
      <c r="V127" s="130" t="n"/>
      <c r="W127" s="130" t="n"/>
      <c r="X127" s="130" t="n"/>
      <c r="Y127" s="130" t="n"/>
      <c r="Z127" s="185" t="n"/>
      <c r="AA127" s="130" t="n"/>
      <c r="AB127" s="130" t="n"/>
      <c r="AC127" s="130" t="n"/>
      <c r="AD127" s="130" t="n"/>
      <c r="AE127" s="185" t="n"/>
      <c r="AF127" s="130" t="n"/>
      <c r="AG127" s="130" t="n"/>
      <c r="AH127" s="130" t="n"/>
      <c r="AI127" s="130" t="n"/>
      <c r="AJ127" s="185" t="n"/>
      <c r="AK127" s="130" t="n"/>
      <c r="AL127" s="130" t="n"/>
      <c r="AM127" s="130" t="n"/>
      <c r="AN127" s="130" t="n"/>
      <c r="AO127" s="185" t="n"/>
      <c r="AP127" s="130" t="n"/>
      <c r="AQ127" s="130" t="n"/>
      <c r="AR127" s="130" t="n"/>
      <c r="AS127" s="130" t="n"/>
      <c r="AT127" s="1278" t="n">
        <v>2</v>
      </c>
      <c r="AU127" s="130" t="n"/>
      <c r="AV127" s="130" t="n"/>
      <c r="AW127" s="130" t="n"/>
      <c r="AX127" s="130" t="n"/>
      <c r="AY127" s="1278" t="n">
        <v>2</v>
      </c>
      <c r="AZ127" s="130" t="n"/>
      <c r="BA127" s="130" t="n"/>
      <c r="BB127" s="130" t="n"/>
      <c r="BC127" s="130" t="n"/>
      <c r="BD127" s="1278" t="n">
        <v>2</v>
      </c>
      <c r="BE127" s="130" t="n"/>
      <c r="BF127" s="130" t="n"/>
      <c r="BG127" s="130" t="n"/>
      <c r="BH127" s="130" t="n"/>
      <c r="BI127" s="1278" t="n">
        <v>2</v>
      </c>
      <c r="BJ127" s="130" t="n"/>
      <c r="BK127" s="130" t="n"/>
      <c r="BL127" s="130" t="n"/>
      <c r="BM127" s="130" t="n"/>
      <c r="BN127" s="1278" t="n">
        <v>2</v>
      </c>
      <c r="BO127" s="130" t="n"/>
      <c r="BP127" s="130" t="n"/>
      <c r="BQ127" s="130" t="n"/>
      <c r="BR127" s="130" t="n"/>
      <c r="BS127" s="185" t="n"/>
      <c r="BT127" s="130" t="n"/>
      <c r="BU127" s="130" t="n"/>
      <c r="BV127" s="934" t="n"/>
      <c r="BW127" s="130" t="n"/>
      <c r="BX127" s="185" t="n"/>
      <c r="BY127" s="130" t="n"/>
      <c r="BZ127" s="130" t="n"/>
      <c r="CA127" s="130" t="n"/>
      <c r="CB127" s="130" t="n"/>
      <c r="CC127" s="185" t="n"/>
      <c r="CD127" s="185" t="n"/>
      <c r="CE127" s="185" t="n"/>
      <c r="CF127" s="185" t="n"/>
      <c r="CG127" s="860" t="n"/>
    </row>
    <row r="128" ht="15" customFormat="1" customHeight="1" s="973">
      <c r="A128" s="682" t="n"/>
      <c r="B128" s="683" t="n"/>
      <c r="C128" s="1241" t="n"/>
      <c r="D128" s="1241" t="n"/>
      <c r="E128" s="1241" t="n"/>
      <c r="F128" s="1241" t="n"/>
      <c r="G128" s="574" t="n"/>
      <c r="H128" s="574" t="n"/>
      <c r="I128" s="574" t="n"/>
      <c r="J128" s="574" t="n"/>
      <c r="K128" s="1241" t="n"/>
      <c r="L128" s="574" t="n"/>
      <c r="M128" s="574" t="n"/>
      <c r="N128" s="574" t="n"/>
      <c r="O128" s="574" t="n"/>
      <c r="P128" s="1241" t="n"/>
      <c r="Q128" s="574" t="n"/>
      <c r="R128" s="574" t="n"/>
      <c r="S128" s="574" t="n"/>
      <c r="T128" s="574" t="n"/>
      <c r="U128" s="1241" t="n"/>
      <c r="V128" s="574" t="n"/>
      <c r="W128" s="574" t="n"/>
      <c r="X128" s="574" t="n"/>
      <c r="Y128" s="574" t="n"/>
      <c r="Z128" s="1241" t="n"/>
      <c r="AA128" s="574" t="n"/>
      <c r="AB128" s="574" t="n"/>
      <c r="AC128" s="574" t="n"/>
      <c r="AD128" s="574" t="n"/>
      <c r="AE128" s="1241" t="n"/>
      <c r="AF128" s="574" t="n"/>
      <c r="AG128" s="574" t="n"/>
      <c r="AH128" s="574" t="n"/>
      <c r="AI128" s="574" t="n"/>
      <c r="AJ128" s="1241" t="n"/>
      <c r="AK128" s="574" t="n"/>
      <c r="AL128" s="574" t="n"/>
      <c r="AM128" s="574" t="n"/>
      <c r="AN128" s="574" t="n"/>
      <c r="AO128" s="1241" t="n"/>
      <c r="AP128" s="574" t="n"/>
      <c r="AQ128" s="574" t="n"/>
      <c r="AR128" s="574" t="n"/>
      <c r="AS128" s="574" t="n"/>
      <c r="AT128" s="1241" t="n"/>
      <c r="AU128" s="574" t="n"/>
      <c r="AV128" s="574" t="n"/>
      <c r="AW128" s="574" t="n"/>
      <c r="AX128" s="574" t="n"/>
      <c r="AY128" s="1241" t="n"/>
      <c r="AZ128" s="574" t="n"/>
      <c r="BA128" s="574" t="n"/>
      <c r="BB128" s="574" t="n"/>
      <c r="BC128" s="574" t="n"/>
      <c r="BD128" s="1241" t="n"/>
      <c r="BE128" s="574" t="n"/>
      <c r="BF128" s="574" t="n"/>
      <c r="BG128" s="574" t="n"/>
      <c r="BH128" s="574" t="n"/>
      <c r="BI128" s="1241" t="n"/>
      <c r="BJ128" s="574" t="n"/>
      <c r="BK128" s="574" t="n"/>
      <c r="BL128" s="574" t="n"/>
      <c r="BM128" s="574" t="n"/>
      <c r="BN128" s="1241" t="n"/>
      <c r="BO128" s="574" t="n"/>
      <c r="BP128" s="574" t="n"/>
      <c r="BQ128" s="574" t="n"/>
      <c r="BR128" s="574" t="n"/>
      <c r="BS128" s="1241" t="n"/>
      <c r="BT128" s="574" t="n"/>
      <c r="BU128" s="574" t="n"/>
      <c r="BV128" s="936" t="n"/>
      <c r="BW128" s="574" t="n"/>
      <c r="BX128" s="1241" t="n"/>
      <c r="BY128" s="574" t="n"/>
      <c r="BZ128" s="574" t="n"/>
      <c r="CA128" s="574" t="n"/>
      <c r="CB128" s="574" t="n"/>
      <c r="CC128" s="1241" t="n"/>
      <c r="CD128" s="1241" t="n"/>
      <c r="CE128" s="1241" t="n"/>
      <c r="CF128" s="1241" t="n"/>
      <c r="CG128" s="829" t="n"/>
    </row>
    <row r="129" ht="15" customHeight="1">
      <c r="A129" s="1017" t="inlineStr">
        <is>
          <t>Tegus</t>
        </is>
      </c>
      <c r="B129" s="826" t="n"/>
      <c r="C129" s="826" t="n"/>
      <c r="D129" s="826" t="n"/>
      <c r="E129" s="826" t="n"/>
      <c r="F129" s="826" t="n"/>
      <c r="G129" s="826" t="n"/>
      <c r="H129" s="826" t="n"/>
      <c r="I129" s="826" t="n"/>
      <c r="J129" s="826" t="n"/>
      <c r="K129" s="826" t="n"/>
      <c r="L129" s="826" t="n"/>
      <c r="M129" s="826" t="n"/>
      <c r="N129" s="826" t="n"/>
      <c r="O129" s="826" t="n"/>
      <c r="P129" s="826" t="n"/>
      <c r="Q129" s="826" t="n"/>
      <c r="R129" s="826" t="n"/>
      <c r="S129" s="826" t="n"/>
      <c r="T129" s="826" t="n"/>
      <c r="U129" s="826" t="n"/>
      <c r="V129" s="826" t="n"/>
      <c r="W129" s="826" t="n"/>
      <c r="X129" s="826" t="n"/>
      <c r="Y129" s="826" t="n"/>
      <c r="Z129" s="826" t="n"/>
      <c r="AA129" s="826" t="n"/>
      <c r="AB129" s="826" t="n"/>
      <c r="AC129" s="826" t="n"/>
      <c r="AD129" s="826" t="n"/>
      <c r="AE129" s="826" t="n"/>
      <c r="AF129" s="826" t="n"/>
      <c r="AG129" s="826" t="n"/>
      <c r="AH129" s="826" t="n"/>
      <c r="AI129" s="826" t="n"/>
      <c r="AJ129" s="826" t="n"/>
      <c r="AK129" s="826" t="n"/>
      <c r="AL129" s="826" t="n"/>
      <c r="AM129" s="826" t="n"/>
      <c r="AN129" s="826" t="n"/>
      <c r="AO129" s="826" t="n"/>
      <c r="AP129" s="826" t="n"/>
      <c r="AQ129" s="826" t="n"/>
      <c r="AR129" s="826" t="n"/>
      <c r="AS129" s="826" t="n"/>
      <c r="AT129" s="826" t="n"/>
      <c r="AU129" s="826" t="n"/>
      <c r="AV129" s="826" t="n"/>
      <c r="AW129" s="826" t="n"/>
      <c r="AX129" s="826" t="n"/>
      <c r="AY129" s="826" t="n"/>
      <c r="AZ129" s="826" t="n"/>
      <c r="BA129" s="826" t="n"/>
      <c r="BB129" s="826" t="n"/>
      <c r="BC129" s="826" t="n"/>
      <c r="BD129" s="826" t="n"/>
      <c r="BE129" s="826" t="n"/>
      <c r="BF129" s="826" t="n"/>
      <c r="BG129" s="826" t="n"/>
      <c r="BH129" s="826" t="n"/>
      <c r="BI129" s="826" t="n"/>
      <c r="BJ129" s="826" t="n"/>
      <c r="BK129" s="826" t="n"/>
      <c r="BL129" s="826" t="n"/>
      <c r="BM129" s="826" t="n"/>
      <c r="BN129" s="826" t="n"/>
      <c r="BO129" s="826" t="n"/>
      <c r="BP129" s="826" t="n"/>
      <c r="BQ129" s="826" t="n"/>
      <c r="BR129" s="826" t="n"/>
      <c r="BS129" s="826" t="n"/>
      <c r="BT129" s="826" t="n"/>
      <c r="BU129" s="826" t="n"/>
      <c r="BV129" s="826" t="n"/>
      <c r="BW129" s="826" t="n"/>
      <c r="BX129" s="826" t="n"/>
      <c r="BY129" s="826" t="n"/>
      <c r="BZ129" s="826" t="n"/>
      <c r="CA129" s="826" t="n"/>
      <c r="CB129" s="826" t="n"/>
      <c r="CC129" s="826" t="n"/>
      <c r="CD129" s="826" t="n"/>
      <c r="CE129" s="826" t="n"/>
      <c r="CF129" s="826" t="n"/>
      <c r="CG129" s="825" t="n"/>
    </row>
    <row r="130" ht="15" customHeight="1">
      <c r="A130" s="825" t="n"/>
      <c r="B130" s="825" t="n"/>
      <c r="C130" s="825" t="n"/>
      <c r="D130" s="825" t="n"/>
      <c r="E130" s="825" t="n"/>
      <c r="F130" s="825" t="n"/>
      <c r="G130" s="155" t="n"/>
      <c r="H130" s="155" t="n"/>
      <c r="I130" s="155" t="n"/>
      <c r="J130" s="155" t="n"/>
      <c r="K130" s="825" t="n"/>
      <c r="L130" s="155" t="n"/>
      <c r="M130" s="155" t="n"/>
      <c r="N130" s="155" t="n"/>
      <c r="O130" s="155" t="n"/>
      <c r="P130" s="825" t="n"/>
      <c r="Q130" s="155" t="n"/>
      <c r="R130" s="155" t="n"/>
      <c r="S130" s="155" t="n"/>
      <c r="T130" s="155" t="n"/>
      <c r="U130" s="825" t="n"/>
      <c r="V130" s="155" t="n"/>
      <c r="W130" s="155" t="n"/>
      <c r="X130" s="155" t="n"/>
      <c r="Y130" s="155" t="n"/>
      <c r="Z130" s="825" t="n"/>
      <c r="AA130" s="155" t="n"/>
      <c r="AB130" s="155" t="n"/>
      <c r="AC130" s="155" t="n"/>
      <c r="AD130" s="155" t="n"/>
      <c r="AE130" s="825" t="n"/>
      <c r="AF130" s="155" t="n"/>
      <c r="AG130" s="155" t="n"/>
      <c r="AH130" s="155" t="n"/>
      <c r="AI130" s="155" t="n"/>
      <c r="AJ130" s="825" t="n"/>
      <c r="AK130" s="155" t="n"/>
      <c r="AL130" s="155" t="n"/>
      <c r="AM130" s="155" t="n"/>
      <c r="AN130" s="155" t="n"/>
      <c r="AO130" s="825" t="n"/>
      <c r="AP130" s="155" t="n"/>
      <c r="AQ130" s="155" t="n"/>
      <c r="AR130" s="155" t="n"/>
      <c r="AS130" s="155" t="n"/>
      <c r="AT130" s="825" t="n"/>
      <c r="AU130" s="155" t="n"/>
      <c r="AV130" s="155" t="n"/>
      <c r="AW130" s="155" t="n"/>
      <c r="AX130" s="155" t="n"/>
      <c r="AY130" s="825" t="n"/>
      <c r="AZ130" s="155" t="n"/>
      <c r="BA130" s="155" t="n"/>
      <c r="BB130" s="155" t="n"/>
      <c r="BC130" s="155" t="n"/>
      <c r="BD130" s="825" t="n"/>
      <c r="BE130" s="155" t="n"/>
      <c r="BF130" s="155" t="n"/>
      <c r="BG130" s="155" t="n"/>
      <c r="BH130" s="155" t="n"/>
      <c r="BI130" s="825" t="n"/>
      <c r="BJ130" s="155" t="n"/>
      <c r="BK130" s="155" t="n"/>
      <c r="BL130" s="155" t="n"/>
      <c r="BM130" s="155" t="n"/>
      <c r="BN130" s="825" t="n"/>
      <c r="BO130" s="155" t="n"/>
      <c r="BP130" s="155" t="n"/>
      <c r="BQ130" s="155" t="n"/>
      <c r="BR130" s="155" t="n"/>
      <c r="BS130" s="825" t="n"/>
      <c r="BT130" s="155" t="n"/>
      <c r="BU130" s="155" t="n"/>
      <c r="BV130" s="155" t="n"/>
      <c r="BW130" s="155" t="n"/>
      <c r="BX130" s="825" t="n"/>
      <c r="BY130" s="155" t="n"/>
      <c r="BZ130" s="155" t="n"/>
      <c r="CA130" s="155" t="n"/>
      <c r="CB130" s="155" t="n"/>
      <c r="CC130" s="825" t="n"/>
      <c r="CD130" s="825" t="n"/>
      <c r="CE130" s="825" t="n"/>
      <c r="CF130" s="825" t="n"/>
      <c r="CG130" s="825" t="n"/>
    </row>
  </sheetData>
  <pageMargins left="0.7" right="0.7" top="0.75" bottom="0.75" header="0.3" footer="0.3"/>
  <pageSetup orientation="portrait"/>
  <legacyDrawing xmlns:r="http://schemas.openxmlformats.org/officeDocument/2006/relationships" r:id="anysvml"/>
</worksheet>
</file>

<file path=xl/worksheets/sheet6.xml><?xml version="1.0" encoding="utf-8"?>
<worksheet xmlns="http://schemas.openxmlformats.org/spreadsheetml/2006/main">
  <sheetPr codeName="Sheet3">
    <outlinePr summaryBelow="1" summaryRight="1"/>
    <pageSetUpPr/>
  </sheetPr>
  <dimension ref="A1:U394"/>
  <sheetViews>
    <sheetView workbookViewId="0">
      <pane ySplit="5" topLeftCell="A6" activePane="bottomLeft" state="frozenSplit"/>
      <selection pane="bottomLeft" activeCell="A1" sqref="A1"/>
    </sheetView>
  </sheetViews>
  <sheetFormatPr baseColWidth="10" defaultColWidth="8.6640625" defaultRowHeight="15"/>
  <cols>
    <col width="3.5" customWidth="1" style="962" min="1" max="1"/>
    <col width="9.33203125" bestFit="1" customWidth="1" style="963" min="2" max="2"/>
    <col width="2.6640625" customWidth="1" style="963" min="3" max="3"/>
    <col width="43.5" customWidth="1" style="964" min="4" max="4"/>
    <col hidden="1" outlineLevel="1" width="27.5" customWidth="1" style="965" min="5" max="5"/>
    <col collapsed="1" width="14.5" bestFit="1" customWidth="1" style="963" min="6" max="6"/>
    <col hidden="1" outlineLevel="1" collapsed="1" width="14.5" customWidth="1" style="963" min="7" max="7"/>
    <col collapsed="1" width="2.6640625" customWidth="1" style="963" min="8" max="8"/>
    <col width="9.5" bestFit="1" customWidth="1" style="963" min="9" max="11"/>
    <col width="2.6640625" customWidth="1" style="963" min="12" max="12"/>
    <col width="8.6640625" bestFit="1" customWidth="1" style="963" min="13" max="13"/>
    <col width="11.6640625" bestFit="1" customWidth="1" style="964" min="14" max="14"/>
    <col width="2.6640625" customWidth="1" style="963" min="15" max="15"/>
    <col width="13.5" bestFit="1" customWidth="1" style="963" min="16" max="16"/>
    <col width="14.33203125" bestFit="1" customWidth="1" style="966" min="17" max="17"/>
    <col width="2.6640625" customWidth="1" style="963" min="18" max="18"/>
    <col width="10.6640625" bestFit="1" customWidth="1" style="967" min="19" max="19"/>
    <col width="13.33203125" bestFit="1" customWidth="1" style="968" min="20" max="20"/>
    <col width="8.6640625" customWidth="1" style="963" min="21" max="28"/>
    <col width="8.6640625" customWidth="1" style="963" min="29" max="16384"/>
  </cols>
  <sheetData>
    <row r="1" ht="29" customHeight="1">
      <c r="A1" s="154" t="n"/>
      <c r="B1" s="167">
        <f>MO.CompanyName</f>
        <v/>
      </c>
      <c r="C1" s="171" t="n"/>
      <c r="D1" s="171" t="n"/>
      <c r="E1" s="169" t="n"/>
      <c r="F1" s="171" t="n"/>
      <c r="G1" s="171" t="n"/>
      <c r="H1" s="171" t="n"/>
      <c r="I1" s="171" t="n"/>
      <c r="J1" s="171" t="n"/>
      <c r="K1" s="171" t="n"/>
      <c r="L1" s="171" t="n"/>
      <c r="M1" s="171" t="n"/>
      <c r="N1" s="171" t="n"/>
      <c r="O1" s="171" t="n"/>
      <c r="P1" s="171" t="n"/>
      <c r="Q1" s="130" t="n"/>
      <c r="R1" s="171" t="n"/>
      <c r="S1" s="170" t="n"/>
      <c r="T1" s="171" t="n"/>
      <c r="U1" s="171" t="n"/>
    </row>
    <row r="2">
      <c r="A2" s="154" t="n"/>
      <c r="B2" s="168" t="inlineStr">
        <is>
          <t>Most Recent Period:</t>
        </is>
      </c>
      <c r="C2" s="171" t="n"/>
      <c r="D2" s="171" t="n"/>
      <c r="E2" s="169" t="n"/>
      <c r="F2" s="171">
        <f>UL.MRQ</f>
        <v/>
      </c>
      <c r="G2" s="171" t="n"/>
      <c r="H2" s="171" t="n"/>
      <c r="I2" s="171" t="n"/>
      <c r="J2" s="171" t="n"/>
      <c r="K2" s="171" t="n"/>
      <c r="L2" s="171" t="n"/>
      <c r="M2" s="171" t="n"/>
      <c r="N2" s="171" t="n"/>
      <c r="O2" s="171" t="n"/>
      <c r="P2" s="171" t="n"/>
      <c r="Q2" s="130" t="n"/>
      <c r="R2" s="171" t="n"/>
      <c r="S2" s="170" t="n"/>
      <c r="T2" s="171" t="n"/>
      <c r="U2" s="171" t="n"/>
    </row>
    <row r="3">
      <c r="A3" s="154" t="n"/>
      <c r="B3" s="171" t="n"/>
      <c r="C3" s="171" t="n"/>
      <c r="D3" s="171" t="n"/>
      <c r="E3" s="169" t="n"/>
      <c r="F3" s="171" t="n"/>
      <c r="G3" s="171" t="n"/>
      <c r="H3" s="171" t="n"/>
      <c r="I3" s="171" t="n"/>
      <c r="J3" s="171" t="n"/>
      <c r="K3" s="171" t="n"/>
      <c r="L3" s="171" t="n"/>
      <c r="M3" s="171" t="n"/>
      <c r="N3" s="171" t="n"/>
      <c r="O3" s="171" t="n"/>
      <c r="P3" s="171" t="n"/>
      <c r="Q3" s="130" t="n"/>
      <c r="R3" s="171" t="n"/>
      <c r="S3" s="171" t="n"/>
      <c r="T3" s="171" t="n"/>
      <c r="U3" s="171" t="n"/>
    </row>
    <row r="4" customFormat="1" s="969">
      <c r="A4" s="154" t="n"/>
      <c r="B4" s="177" t="n"/>
      <c r="C4" s="186" t="n"/>
      <c r="D4" s="177" t="n"/>
      <c r="E4" s="177" t="n"/>
      <c r="F4" s="177" t="n"/>
      <c r="G4" s="177" t="n"/>
      <c r="H4" s="186" t="n"/>
      <c r="I4" s="178" t="inlineStr">
        <is>
          <t>Guidance</t>
        </is>
      </c>
      <c r="J4" s="178" t="n"/>
      <c r="K4" s="178" t="n"/>
      <c r="L4" s="186" t="n"/>
      <c r="M4" s="178" t="inlineStr">
        <is>
          <t>Model</t>
        </is>
      </c>
      <c r="N4" s="178" t="n"/>
      <c r="O4" s="186" t="n"/>
      <c r="P4" s="178" t="inlineStr">
        <is>
          <t>Difference vs. Mid</t>
        </is>
      </c>
      <c r="Q4" s="178" t="n"/>
      <c r="R4" s="186" t="n"/>
      <c r="S4" s="178" t="inlineStr">
        <is>
          <t>Update Log</t>
        </is>
      </c>
      <c r="T4" s="178" t="n"/>
      <c r="U4" s="170" t="n"/>
    </row>
    <row r="5" customFormat="1" s="970">
      <c r="A5" s="154" t="n"/>
      <c r="B5" s="177" t="inlineStr">
        <is>
          <t>Type</t>
        </is>
      </c>
      <c r="C5" s="187" t="n"/>
      <c r="D5" s="177" t="inlineStr">
        <is>
          <t>Item</t>
        </is>
      </c>
      <c r="E5" s="177" t="inlineStr">
        <is>
          <t>Item Name</t>
        </is>
      </c>
      <c r="F5" s="177" t="inlineStr">
        <is>
          <t>Fiscal Period</t>
        </is>
      </c>
      <c r="G5" s="177" t="inlineStr">
        <is>
          <t>Base Period</t>
        </is>
      </c>
      <c r="H5" s="187" t="n"/>
      <c r="I5" s="179" t="inlineStr">
        <is>
          <t>Low</t>
        </is>
      </c>
      <c r="J5" s="179" t="inlineStr">
        <is>
          <t>High</t>
        </is>
      </c>
      <c r="K5" s="179" t="inlineStr">
        <is>
          <t>Mid</t>
        </is>
      </c>
      <c r="L5" s="187" t="n"/>
      <c r="M5" s="177" t="inlineStr">
        <is>
          <t>Type</t>
        </is>
      </c>
      <c r="N5" s="179" t="inlineStr">
        <is>
          <t>Output</t>
        </is>
      </c>
      <c r="O5" s="187" t="n"/>
      <c r="P5" s="179" t="inlineStr">
        <is>
          <t>Absolute</t>
        </is>
      </c>
      <c r="Q5" s="180" t="inlineStr">
        <is>
          <t>Relative</t>
        </is>
      </c>
      <c r="R5" s="187" t="n"/>
      <c r="S5" s="179" t="inlineStr">
        <is>
          <t>Date</t>
        </is>
      </c>
      <c r="T5" s="179" t="inlineStr">
        <is>
          <t>Link</t>
        </is>
      </c>
      <c r="U5" s="175" t="n"/>
    </row>
    <row r="6">
      <c r="A6" s="154" t="n">
        <v>388</v>
      </c>
      <c r="B6" s="181">
        <f>IF(INDEX(MO_SNA_IsHistoricalPeriod,,MATCH(F6,MO_Common_ColumnHeader,0)),"Historical","Forward")</f>
        <v/>
      </c>
      <c r="C6" s="171" t="n"/>
      <c r="D6" s="188">
        <f>INDEX(INDIRECT(E6),0,COLUMN(MO_Common_Column_A))</f>
        <v/>
      </c>
      <c r="E6" s="182" t="inlineStr">
        <is>
          <t>MO_RIS_REV</t>
        </is>
      </c>
      <c r="F6" s="181" t="inlineStr">
        <is>
          <t>Q4-2026</t>
        </is>
      </c>
      <c r="G6" s="181" t="n"/>
      <c r="H6" s="171" t="n"/>
      <c r="I6" s="183">
        <f>65000*0.98</f>
        <v/>
      </c>
      <c r="J6" s="183">
        <f>65000*1.02</f>
        <v/>
      </c>
      <c r="K6" s="183">
        <f>AVERAGE(I6:J6)</f>
        <v/>
      </c>
      <c r="L6" s="171" t="n"/>
      <c r="M6" s="181">
        <f>IF(INDEX(MO_SNA_IsHistoricalPeriod,,MATCH(F6,MO_Common_ColumnHeader,0)),"Actual","Estimate")</f>
        <v/>
      </c>
      <c r="N6" s="183">
        <f>IFERROR(INDEX(INDIRECT(E6),0,MATCH(F6,MO_Common_ColumnHeader,0)),"N/A")</f>
        <v/>
      </c>
      <c r="O6" s="171" t="n"/>
      <c r="P6" s="189">
        <f>IF(ISNUMBER(N6),N6-K6,"N/A")</f>
        <v/>
      </c>
      <c r="Q6" s="190">
        <f>IFERROR(IF(ISNUMBER(N6),(N6-K6)/ABS(K6),"N/A"),"N/A")</f>
        <v/>
      </c>
      <c r="R6" s="171" t="n"/>
      <c r="S6" s="184" t="n">
        <v>45980</v>
      </c>
      <c r="T6" s="191" t="inlineStr">
        <is>
          <t>CFO Commentary</t>
        </is>
      </c>
      <c r="U6" s="171" t="n"/>
    </row>
    <row r="7">
      <c r="A7" s="154" t="n">
        <v>387</v>
      </c>
      <c r="B7" s="181">
        <f>IF(INDEX(MO_SNA_IsHistoricalPeriod,,MATCH(F7,MO_Common_ColumnHeader,0)),"Historical","Forward")</f>
        <v/>
      </c>
      <c r="C7" s="171" t="n"/>
      <c r="D7" s="188">
        <f>INDEX(INDIRECT(E7),0,COLUMN(MO_Common_Column_A))</f>
        <v/>
      </c>
      <c r="E7" s="182" t="inlineStr">
        <is>
          <t>MO_MA_GM</t>
        </is>
      </c>
      <c r="F7" s="181" t="inlineStr">
        <is>
          <t>Q4-2026</t>
        </is>
      </c>
      <c r="G7" s="181" t="n"/>
      <c r="H7" s="171" t="n"/>
      <c r="I7" s="185">
        <f>74.8%-0.5%</f>
        <v/>
      </c>
      <c r="J7" s="185">
        <f>74.8%+0.5%</f>
        <v/>
      </c>
      <c r="K7" s="185">
        <f>AVERAGE(I7:J7)</f>
        <v/>
      </c>
      <c r="L7" s="171" t="n"/>
      <c r="M7" s="181">
        <f>IF(INDEX(MO_SNA_IsHistoricalPeriod,,MATCH(F7,MO_Common_ColumnHeader,0)),"Actual","Estimate")</f>
        <v/>
      </c>
      <c r="N7" s="185">
        <f>IFERROR(INDEX(INDIRECT(E7),0,MATCH(F7,MO_Common_ColumnHeader,0)),"N/A")</f>
        <v/>
      </c>
      <c r="O7" s="171" t="n"/>
      <c r="P7" s="190">
        <f>IF(ISNUMBER(N7),N7-K7,"N/A")</f>
        <v/>
      </c>
      <c r="Q7" s="190">
        <f>IFERROR(IF(ISNUMBER(N7),(N7-K7)/ABS(K7),"N/A"),"N/A")</f>
        <v/>
      </c>
      <c r="R7" s="171" t="n"/>
      <c r="S7" s="184" t="n">
        <v>45980</v>
      </c>
      <c r="T7" s="191" t="inlineStr">
        <is>
          <t>CFO Commentary</t>
        </is>
      </c>
      <c r="U7" s="171" t="n"/>
    </row>
    <row r="8">
      <c r="A8" s="154" t="n">
        <v>386</v>
      </c>
      <c r="B8" s="181">
        <f>IF(INDEX(MO_SNA_IsHistoricalPeriod,,MATCH(F8,MO_Common_ColumnHeader,0)),"Historical","Forward")</f>
        <v/>
      </c>
      <c r="C8" s="171" t="n"/>
      <c r="D8" s="188">
        <f>INDEX(INDIRECT(E8),0,COLUMN(MO_Common_Column_A))</f>
        <v/>
      </c>
      <c r="E8" s="182" t="inlineStr">
        <is>
          <t>MO_MA_GM_NONGAAP</t>
        </is>
      </c>
      <c r="F8" s="181" t="inlineStr">
        <is>
          <t>Q4-2026</t>
        </is>
      </c>
      <c r="G8" s="181" t="n"/>
      <c r="H8" s="171" t="n"/>
      <c r="I8" s="185">
        <f>75%-0.5%</f>
        <v/>
      </c>
      <c r="J8" s="185">
        <f>75%+0.5%</f>
        <v/>
      </c>
      <c r="K8" s="185">
        <f>AVERAGE(I8:J8)</f>
        <v/>
      </c>
      <c r="L8" s="171" t="n"/>
      <c r="M8" s="181">
        <f>IF(INDEX(MO_SNA_IsHistoricalPeriod,,MATCH(F8,MO_Common_ColumnHeader,0)),"Actual","Estimate")</f>
        <v/>
      </c>
      <c r="N8" s="185">
        <f>IFERROR(INDEX(INDIRECT(E8),0,MATCH(F8,MO_Common_ColumnHeader,0)),"N/A")</f>
        <v/>
      </c>
      <c r="O8" s="171" t="n"/>
      <c r="P8" s="190">
        <f>IF(ISNUMBER(N8),N8-K8,"N/A")</f>
        <v/>
      </c>
      <c r="Q8" s="190">
        <f>IFERROR(IF(ISNUMBER(N8),(N8-K8)/ABS(K8),"N/A"),"N/A")</f>
        <v/>
      </c>
      <c r="R8" s="171" t="n"/>
      <c r="S8" s="184" t="n">
        <v>45980</v>
      </c>
      <c r="T8" s="191" t="inlineStr">
        <is>
          <t>CFO Commentary</t>
        </is>
      </c>
      <c r="U8" s="171" t="n"/>
    </row>
    <row r="9">
      <c r="A9" s="154" t="n">
        <v>385</v>
      </c>
      <c r="B9" s="181">
        <f>IF(INDEX(MO_SNA_IsHistoricalPeriod,,MATCH(F9,MO_Common_ColumnHeader,0)),"Historical","Forward")</f>
        <v/>
      </c>
      <c r="C9" s="171" t="n"/>
      <c r="D9" s="188" t="inlineStr">
        <is>
          <t>GAAP Operating Expenses</t>
        </is>
      </c>
      <c r="E9" s="182" t="n"/>
      <c r="F9" s="181" t="inlineStr">
        <is>
          <t>Q4-2026</t>
        </is>
      </c>
      <c r="G9" s="181" t="n"/>
      <c r="H9" s="171" t="n"/>
      <c r="I9" s="183" t="n">
        <v>6700</v>
      </c>
      <c r="J9" s="183" t="n">
        <v>6700</v>
      </c>
      <c r="K9" s="183">
        <f>AVERAGE(I9:J9)</f>
        <v/>
      </c>
      <c r="L9" s="171" t="n"/>
      <c r="M9" s="181">
        <f>IF(INDEX(MO_SNA_IsHistoricalPeriod,,MATCH(F9,MO_Common_ColumnHeader,0)),"Actual","Estimate")</f>
        <v/>
      </c>
      <c r="N9" s="183">
        <f>INDEX(MO_RIS_RD,0,MATCH(F9,MO_Common_ColumnHeader,0))+INDEX(MO_RIS_SGA,0,MATCH(F9,MO_Common_ColumnHeader,0))</f>
        <v/>
      </c>
      <c r="O9" s="171" t="n"/>
      <c r="P9" s="189">
        <f>IF(ISNUMBER(N9),N9-K9,"N/A")</f>
        <v/>
      </c>
      <c r="Q9" s="190">
        <f>IFERROR(IF(ISNUMBER(N9),(N9-K9)/ABS(K9),"N/A"),"N/A")</f>
        <v/>
      </c>
      <c r="R9" s="171" t="n"/>
      <c r="S9" s="184" t="n">
        <v>45980</v>
      </c>
      <c r="T9" s="191" t="inlineStr">
        <is>
          <t>CFO Commentary</t>
        </is>
      </c>
      <c r="U9" s="171" t="n"/>
    </row>
    <row r="10">
      <c r="A10" s="154" t="n">
        <v>384</v>
      </c>
      <c r="B10" s="181">
        <f>IF(INDEX(MO_SNA_IsHistoricalPeriod,,MATCH(F10,MO_Common_ColumnHeader,0)),"Historical","Forward")</f>
        <v/>
      </c>
      <c r="C10" s="171" t="n"/>
      <c r="D10" s="188">
        <f>INDEX(INDIRECT(E10),0,COLUMN(MO_Common_Column_A))</f>
        <v/>
      </c>
      <c r="E10" s="182" t="inlineStr">
        <is>
          <t>MO_OS_OPEX</t>
        </is>
      </c>
      <c r="F10" s="181" t="inlineStr">
        <is>
          <t>Q4-2026</t>
        </is>
      </c>
      <c r="G10" s="181" t="n"/>
      <c r="H10" s="171" t="n"/>
      <c r="I10" s="183" t="n">
        <v>5000</v>
      </c>
      <c r="J10" s="183" t="n">
        <v>5000</v>
      </c>
      <c r="K10" s="183">
        <f>AVERAGE(I10:J10)</f>
        <v/>
      </c>
      <c r="L10" s="171" t="n"/>
      <c r="M10" s="181">
        <f>IF(INDEX(MO_SNA_IsHistoricalPeriod,,MATCH(F10,MO_Common_ColumnHeader,0)),"Actual","Estimate")</f>
        <v/>
      </c>
      <c r="N10" s="183">
        <f>IFERROR(INDEX(INDIRECT(E10),0,MATCH(F10,MO_Common_ColumnHeader,0)),"N/A")</f>
        <v/>
      </c>
      <c r="O10" s="171" t="n"/>
      <c r="P10" s="189">
        <f>IF(ISNUMBER(N10),N10-K10,"N/A")</f>
        <v/>
      </c>
      <c r="Q10" s="190">
        <f>IFERROR(IF(ISNUMBER(N10),(N10-K10)/ABS(K10),"N/A"),"N/A")</f>
        <v/>
      </c>
      <c r="R10" s="171" t="n"/>
      <c r="S10" s="184" t="n">
        <v>45980</v>
      </c>
      <c r="T10" s="191" t="inlineStr">
        <is>
          <t>CFO Commentary</t>
        </is>
      </c>
      <c r="U10" s="171" t="n"/>
    </row>
    <row r="11">
      <c r="A11" s="154" t="n">
        <v>383</v>
      </c>
      <c r="B11" s="181">
        <f>IF(INDEX(MO_SNA_IsHistoricalPeriod,,MATCH(F11,MO_Common_ColumnHeader,0)),"Historical","Forward")</f>
        <v/>
      </c>
      <c r="C11" s="171" t="n"/>
      <c r="D11" s="188" t="inlineStr">
        <is>
          <t>GAAP Other Income</t>
        </is>
      </c>
      <c r="E11" s="182" t="n"/>
      <c r="F11" s="181" t="inlineStr">
        <is>
          <t>Q4-2026</t>
        </is>
      </c>
      <c r="G11" s="181" t="n"/>
      <c r="H11" s="171" t="n"/>
      <c r="I11" s="183" t="n">
        <v>-500</v>
      </c>
      <c r="J11" s="183" t="n">
        <v>-500</v>
      </c>
      <c r="K11" s="183">
        <f>AVERAGE(I11:J11)</f>
        <v/>
      </c>
      <c r="L11" s="171" t="n"/>
      <c r="M11" s="181">
        <f>IF(INDEX(MO_SNA_IsHistoricalPeriod,,MATCH(F11,MO_Common_ColumnHeader,0)),"Actual","Estimate")</f>
        <v/>
      </c>
      <c r="N11" s="183">
        <f>IFERROR(INDEX(INDIRECT(E11),0,MATCH(F11,MO_Common_ColumnHeader,0)),"N/A")</f>
        <v/>
      </c>
      <c r="O11" s="171" t="n"/>
      <c r="P11" s="189">
        <f>IF(ISNUMBER(N11),N11-K11,"N/A")</f>
        <v/>
      </c>
      <c r="Q11" s="190">
        <f>IFERROR(IF(ISNUMBER(N11),(N11-K11)/ABS(K11),"N/A"),"N/A")</f>
        <v/>
      </c>
      <c r="R11" s="171" t="n"/>
      <c r="S11" s="184" t="n">
        <v>45980</v>
      </c>
      <c r="T11" s="191" t="inlineStr">
        <is>
          <t>CFO Commentary</t>
        </is>
      </c>
      <c r="U11" s="171" t="n"/>
    </row>
    <row r="12">
      <c r="A12" s="154" t="n">
        <v>382</v>
      </c>
      <c r="B12" s="181">
        <f>IF(INDEX(MO_SNA_IsHistoricalPeriod,,MATCH(F12,MO_Common_ColumnHeader,0)),"Historical","Forward")</f>
        <v/>
      </c>
      <c r="C12" s="171" t="n"/>
      <c r="D12" s="188" t="inlineStr">
        <is>
          <t>Non-GAAP Other Income</t>
        </is>
      </c>
      <c r="E12" s="182" t="n"/>
      <c r="F12" s="181" t="inlineStr">
        <is>
          <t>Q4-2026</t>
        </is>
      </c>
      <c r="G12" s="181" t="n"/>
      <c r="H12" s="171" t="n"/>
      <c r="I12" s="183" t="n">
        <v>-500</v>
      </c>
      <c r="J12" s="183" t="n">
        <v>-500</v>
      </c>
      <c r="K12" s="183">
        <f>AVERAGE(I12:J12)</f>
        <v/>
      </c>
      <c r="L12" s="171" t="n"/>
      <c r="M12" s="181">
        <f>IF(INDEX(MO_SNA_IsHistoricalPeriod,,MATCH(F12,MO_Common_ColumnHeader,0)),"Actual","Estimate")</f>
        <v/>
      </c>
      <c r="N12" s="183">
        <f>INDEX(MO_RIS_IE_Net_NONGAAP,0,MATCH(F12,MO_Common_ColumnHeader,0))+INDEX(MO_RIS_OI_NONGAAP,0,MATCH(F12,MO_Common_ColumnHeader,0))</f>
        <v/>
      </c>
      <c r="O12" s="171" t="n"/>
      <c r="P12" s="189">
        <f>IF(ISNUMBER(N12),N12-K12,"N/A")</f>
        <v/>
      </c>
      <c r="Q12" s="190">
        <f>IFERROR(IF(ISNUMBER(N12),(N12-K12)/ABS(K12),"N/A"),"N/A")</f>
        <v/>
      </c>
      <c r="R12" s="171" t="n"/>
      <c r="S12" s="184" t="n">
        <v>45980</v>
      </c>
      <c r="T12" s="191" t="inlineStr">
        <is>
          <t>CFO Commentary</t>
        </is>
      </c>
      <c r="U12" s="171" t="n"/>
    </row>
    <row r="13">
      <c r="A13" s="154" t="n">
        <v>381</v>
      </c>
      <c r="B13" s="181">
        <f>IF(INDEX(MO_SNA_IsHistoricalPeriod,,MATCH(F13,MO_Common_ColumnHeader,0)),"Historical","Forward")</f>
        <v/>
      </c>
      <c r="C13" s="171" t="n"/>
      <c r="D13" s="188" t="inlineStr">
        <is>
          <t>GAAP Tax Rate</t>
        </is>
      </c>
      <c r="E13" s="182" t="inlineStr">
        <is>
          <t>MO_RIS_TaxRate</t>
        </is>
      </c>
      <c r="F13" s="181" t="inlineStr">
        <is>
          <t>Q4-2026</t>
        </is>
      </c>
      <c r="G13" s="181" t="n"/>
      <c r="H13" s="171" t="n"/>
      <c r="I13" s="185" t="n">
        <v>0.16</v>
      </c>
      <c r="J13" s="185" t="n">
        <v>0.18</v>
      </c>
      <c r="K13" s="185">
        <f>AVERAGE(I13:J13)</f>
        <v/>
      </c>
      <c r="L13" s="171" t="n"/>
      <c r="M13" s="181">
        <f>IF(INDEX(MO_SNA_IsHistoricalPeriod,,MATCH(F13,MO_Common_ColumnHeader,0)),"Actual","Estimate")</f>
        <v/>
      </c>
      <c r="N13" s="185">
        <f>IFERROR(INDEX(INDIRECT(E13),0,MATCH(F13,MO_Common_ColumnHeader,0)),"N/A")</f>
        <v/>
      </c>
      <c r="O13" s="171" t="n"/>
      <c r="P13" s="190">
        <f>IF(ISNUMBER(N13),N13-K13,"N/A")</f>
        <v/>
      </c>
      <c r="Q13" s="190">
        <f>IFERROR(IF(ISNUMBER(N13),(N13-K13)/ABS(K13),"N/A"),"N/A")</f>
        <v/>
      </c>
      <c r="R13" s="171" t="n"/>
      <c r="S13" s="184" t="n">
        <v>45980</v>
      </c>
      <c r="T13" s="191" t="inlineStr">
        <is>
          <t>CFO Commentary</t>
        </is>
      </c>
      <c r="U13" s="171" t="n"/>
    </row>
    <row r="14">
      <c r="A14" s="154" t="n">
        <v>380</v>
      </c>
      <c r="B14" s="181">
        <f>IF(INDEX(MO_SNA_IsHistoricalPeriod,,MATCH(F14,MO_Common_ColumnHeader,0)),"Historical","Forward")</f>
        <v/>
      </c>
      <c r="C14" s="171" t="n"/>
      <c r="D14" s="188">
        <f>INDEX(INDIRECT(E14),0,COLUMN(MO_Common_Column_A))</f>
        <v/>
      </c>
      <c r="E14" s="182" t="inlineStr">
        <is>
          <t>MO_RIS_TaxRate_NONGAAP</t>
        </is>
      </c>
      <c r="F14" s="181" t="inlineStr">
        <is>
          <t>Q4-2026</t>
        </is>
      </c>
      <c r="G14" s="181" t="n"/>
      <c r="H14" s="171" t="n"/>
      <c r="I14" s="185" t="n">
        <v>0.16</v>
      </c>
      <c r="J14" s="185" t="n">
        <v>0.18</v>
      </c>
      <c r="K14" s="185">
        <f>AVERAGE(I14:J14)</f>
        <v/>
      </c>
      <c r="L14" s="171" t="n"/>
      <c r="M14" s="181">
        <f>IF(INDEX(MO_SNA_IsHistoricalPeriod,,MATCH(F14,MO_Common_ColumnHeader,0)),"Actual","Estimate")</f>
        <v/>
      </c>
      <c r="N14" s="185">
        <f>IFERROR(INDEX(INDIRECT(E14),0,MATCH(F14,MO_Common_ColumnHeader,0)),"N/A")</f>
        <v/>
      </c>
      <c r="O14" s="171" t="n"/>
      <c r="P14" s="190">
        <f>IF(ISNUMBER(N14),N14-K14,"N/A")</f>
        <v/>
      </c>
      <c r="Q14" s="190">
        <f>IFERROR(IF(ISNUMBER(N14),(N14-K14)/ABS(K14),"N/A"),"N/A")</f>
        <v/>
      </c>
      <c r="R14" s="171" t="n"/>
      <c r="S14" s="184" t="n">
        <v>45980</v>
      </c>
      <c r="T14" s="191" t="inlineStr">
        <is>
          <t>CFO Commentary</t>
        </is>
      </c>
      <c r="U14" s="171" t="n"/>
    </row>
    <row r="15">
      <c r="A15" s="154" t="n">
        <v>379</v>
      </c>
      <c r="B15" s="171" t="n"/>
      <c r="C15" s="171" t="n"/>
      <c r="D15" s="168" t="n"/>
      <c r="E15" s="169" t="n"/>
      <c r="F15" s="171" t="n"/>
      <c r="G15" s="171" t="n"/>
      <c r="H15" s="171" t="n"/>
      <c r="I15" s="1013" t="n"/>
      <c r="J15" s="1013" t="n"/>
      <c r="K15" s="1013" t="n"/>
      <c r="L15" s="171" t="n"/>
      <c r="M15" s="171" t="n"/>
      <c r="N15" s="1013" t="n"/>
      <c r="O15" s="171" t="n"/>
      <c r="P15" s="172" t="n"/>
      <c r="Q15" s="134" t="n"/>
      <c r="R15" s="171" t="n"/>
      <c r="S15" s="173" t="n"/>
      <c r="T15" s="192" t="n"/>
      <c r="U15" s="171" t="n"/>
    </row>
    <row r="16">
      <c r="A16" s="154" t="n">
        <v>378</v>
      </c>
      <c r="B16" s="181">
        <f>IF(INDEX(MO_SNA_IsHistoricalPeriod,,MATCH(F16,MO_Common_ColumnHeader,0)),"Historical","Forward")</f>
        <v/>
      </c>
      <c r="C16" s="171" t="n"/>
      <c r="D16" s="188">
        <f>INDEX(INDIRECT(E16),0,COLUMN(MO_Common_Column_A))</f>
        <v/>
      </c>
      <c r="E16" s="182" t="inlineStr">
        <is>
          <t>MO_RIS_REV</t>
        </is>
      </c>
      <c r="F16" s="181" t="inlineStr">
        <is>
          <t>Q3-2026</t>
        </is>
      </c>
      <c r="G16" s="181" t="n"/>
      <c r="H16" s="171" t="n"/>
      <c r="I16" s="183">
        <f>54000*0.98</f>
        <v/>
      </c>
      <c r="J16" s="183">
        <f>54000*1.02</f>
        <v/>
      </c>
      <c r="K16" s="183">
        <f>AVERAGE(I16:J16)</f>
        <v/>
      </c>
      <c r="L16" s="171" t="n"/>
      <c r="M16" s="181">
        <f>IF(INDEX(MO_SNA_IsHistoricalPeriod,,MATCH(F16,MO_Common_ColumnHeader,0)),"Actual","Estimate")</f>
        <v/>
      </c>
      <c r="N16" s="183">
        <f>IFERROR(INDEX(INDIRECT(E16),0,MATCH(F16,MO_Common_ColumnHeader,0)),"N/A")</f>
        <v/>
      </c>
      <c r="O16" s="171" t="n"/>
      <c r="P16" s="189">
        <f>IF(ISNUMBER(N16),N16-K16,"N/A")</f>
        <v/>
      </c>
      <c r="Q16" s="190">
        <f>IFERROR(IF(ISNUMBER(N16),(N16-K16)/ABS(K16),"N/A"),"N/A")</f>
        <v/>
      </c>
      <c r="R16" s="171" t="n"/>
      <c r="S16" s="184" t="n">
        <v>45896</v>
      </c>
      <c r="T16" s="191" t="inlineStr">
        <is>
          <t>CFO Commentary</t>
        </is>
      </c>
      <c r="U16" s="171" t="n"/>
    </row>
    <row r="17">
      <c r="A17" s="154" t="n">
        <v>377</v>
      </c>
      <c r="B17" s="181">
        <f>IF(INDEX(MO_SNA_IsHistoricalPeriod,,MATCH(F17,MO_Common_ColumnHeader,0)),"Historical","Forward")</f>
        <v/>
      </c>
      <c r="C17" s="171" t="n"/>
      <c r="D17" s="188">
        <f>INDEX(INDIRECT(E17),0,COLUMN(MO_Common_Column_A))</f>
        <v/>
      </c>
      <c r="E17" s="182" t="inlineStr">
        <is>
          <t>MO_MA_GM</t>
        </is>
      </c>
      <c r="F17" s="181" t="inlineStr">
        <is>
          <t>Q3-2026</t>
        </is>
      </c>
      <c r="G17" s="181" t="n"/>
      <c r="H17" s="171" t="n"/>
      <c r="I17" s="185">
        <f>73.3%-0.5%</f>
        <v/>
      </c>
      <c r="J17" s="185">
        <f>73.3%+0.5%</f>
        <v/>
      </c>
      <c r="K17" s="185">
        <f>AVERAGE(I17:J17)</f>
        <v/>
      </c>
      <c r="L17" s="171" t="n"/>
      <c r="M17" s="181">
        <f>IF(INDEX(MO_SNA_IsHistoricalPeriod,,MATCH(F17,MO_Common_ColumnHeader,0)),"Actual","Estimate")</f>
        <v/>
      </c>
      <c r="N17" s="185">
        <f>IFERROR(INDEX(INDIRECT(E17),0,MATCH(F17,MO_Common_ColumnHeader,0)),"N/A")</f>
        <v/>
      </c>
      <c r="O17" s="171" t="n"/>
      <c r="P17" s="190">
        <f>IF(ISNUMBER(N17),N17-K17,"N/A")</f>
        <v/>
      </c>
      <c r="Q17" s="190">
        <f>IFERROR(IF(ISNUMBER(N17),(N17-K17)/ABS(K17),"N/A"),"N/A")</f>
        <v/>
      </c>
      <c r="R17" s="171" t="n"/>
      <c r="S17" s="184" t="n">
        <v>45896</v>
      </c>
      <c r="T17" s="191" t="inlineStr">
        <is>
          <t>CFO Commentary</t>
        </is>
      </c>
      <c r="U17" s="171" t="n"/>
    </row>
    <row r="18">
      <c r="A18" s="154" t="n">
        <v>376</v>
      </c>
      <c r="B18" s="181">
        <f>IF(INDEX(MO_SNA_IsHistoricalPeriod,,MATCH(F18,MO_Common_ColumnHeader,0)),"Historical","Forward")</f>
        <v/>
      </c>
      <c r="C18" s="171" t="n"/>
      <c r="D18" s="188">
        <f>INDEX(INDIRECT(E18),0,COLUMN(MO_Common_Column_A))</f>
        <v/>
      </c>
      <c r="E18" s="182" t="inlineStr">
        <is>
          <t>MO_MA_GM_NONGAAP</t>
        </is>
      </c>
      <c r="F18" s="181" t="inlineStr">
        <is>
          <t>Q3-2026</t>
        </is>
      </c>
      <c r="G18" s="181" t="n"/>
      <c r="H18" s="171" t="n"/>
      <c r="I18" s="185">
        <f>73.5%-0.5%</f>
        <v/>
      </c>
      <c r="J18" s="185">
        <f>73.5%+0.5%</f>
        <v/>
      </c>
      <c r="K18" s="185">
        <f>AVERAGE(I18:J18)</f>
        <v/>
      </c>
      <c r="L18" s="171" t="n"/>
      <c r="M18" s="181">
        <f>IF(INDEX(MO_SNA_IsHistoricalPeriod,,MATCH(F18,MO_Common_ColumnHeader,0)),"Actual","Estimate")</f>
        <v/>
      </c>
      <c r="N18" s="185">
        <f>IFERROR(INDEX(INDIRECT(E18),0,MATCH(F18,MO_Common_ColumnHeader,0)),"N/A")</f>
        <v/>
      </c>
      <c r="O18" s="171" t="n"/>
      <c r="P18" s="190">
        <f>IF(ISNUMBER(N18),N18-K18,"N/A")</f>
        <v/>
      </c>
      <c r="Q18" s="190">
        <f>IFERROR(IF(ISNUMBER(N18),(N18-K18)/ABS(K18),"N/A"),"N/A")</f>
        <v/>
      </c>
      <c r="R18" s="171" t="n"/>
      <c r="S18" s="184" t="n">
        <v>45896</v>
      </c>
      <c r="T18" s="191" t="inlineStr">
        <is>
          <t>CFO Commentary</t>
        </is>
      </c>
      <c r="U18" s="171" t="n"/>
    </row>
    <row r="19">
      <c r="A19" s="154" t="n">
        <v>375</v>
      </c>
      <c r="B19" s="181">
        <f>IF(INDEX(MO_SNA_IsHistoricalPeriod,,MATCH(F19,MO_Common_ColumnHeader,0)),"Historical","Forward")</f>
        <v/>
      </c>
      <c r="C19" s="171" t="n"/>
      <c r="D19" s="188" t="inlineStr">
        <is>
          <t>GAAP Operating Expenses</t>
        </is>
      </c>
      <c r="E19" s="182" t="n"/>
      <c r="F19" s="181" t="inlineStr">
        <is>
          <t>Q3-2026</t>
        </is>
      </c>
      <c r="G19" s="181" t="n"/>
      <c r="H19" s="171" t="n"/>
      <c r="I19" s="183" t="n">
        <v>5900</v>
      </c>
      <c r="J19" s="183" t="n">
        <v>5900</v>
      </c>
      <c r="K19" s="183">
        <f>AVERAGE(I19:J19)</f>
        <v/>
      </c>
      <c r="L19" s="171" t="n"/>
      <c r="M19" s="181">
        <f>IF(INDEX(MO_SNA_IsHistoricalPeriod,,MATCH(F19,MO_Common_ColumnHeader,0)),"Actual","Estimate")</f>
        <v/>
      </c>
      <c r="N19" s="183">
        <f>INDEX(MO_RIS_RD,0,MATCH(F19,MO_Common_ColumnHeader,0))+INDEX(MO_RIS_SGA,0,MATCH(F19,MO_Common_ColumnHeader,0))</f>
        <v/>
      </c>
      <c r="O19" s="171" t="n"/>
      <c r="P19" s="189">
        <f>IF(ISNUMBER(N19),N19-K19,"N/A")</f>
        <v/>
      </c>
      <c r="Q19" s="190">
        <f>IFERROR(IF(ISNUMBER(N19),(N19-K19)/ABS(K19),"N/A"),"N/A")</f>
        <v/>
      </c>
      <c r="R19" s="171" t="n"/>
      <c r="S19" s="184" t="n">
        <v>45896</v>
      </c>
      <c r="T19" s="191" t="inlineStr">
        <is>
          <t>CFO Commentary</t>
        </is>
      </c>
      <c r="U19" s="171" t="n"/>
    </row>
    <row r="20">
      <c r="A20" s="154" t="n">
        <v>374</v>
      </c>
      <c r="B20" s="181">
        <f>IF(INDEX(MO_SNA_IsHistoricalPeriod,,MATCH(F20,MO_Common_ColumnHeader,0)),"Historical","Forward")</f>
        <v/>
      </c>
      <c r="C20" s="171" t="n"/>
      <c r="D20" s="188">
        <f>INDEX(INDIRECT(E20),0,COLUMN(MO_Common_Column_A))</f>
        <v/>
      </c>
      <c r="E20" s="182" t="inlineStr">
        <is>
          <t>MO_OS_OPEX</t>
        </is>
      </c>
      <c r="F20" s="181" t="inlineStr">
        <is>
          <t>Q3-2026</t>
        </is>
      </c>
      <c r="G20" s="181" t="n"/>
      <c r="H20" s="171" t="n"/>
      <c r="I20" s="183" t="n">
        <v>4200</v>
      </c>
      <c r="J20" s="183" t="n">
        <v>4200</v>
      </c>
      <c r="K20" s="183">
        <f>AVERAGE(I20:J20)</f>
        <v/>
      </c>
      <c r="L20" s="171" t="n"/>
      <c r="M20" s="181">
        <f>IF(INDEX(MO_SNA_IsHistoricalPeriod,,MATCH(F20,MO_Common_ColumnHeader,0)),"Actual","Estimate")</f>
        <v/>
      </c>
      <c r="N20" s="183">
        <f>IFERROR(INDEX(INDIRECT(E20),0,MATCH(F20,MO_Common_ColumnHeader,0)),"N/A")</f>
        <v/>
      </c>
      <c r="O20" s="171" t="n"/>
      <c r="P20" s="189">
        <f>IF(ISNUMBER(N20),N20-K20,"N/A")</f>
        <v/>
      </c>
      <c r="Q20" s="190">
        <f>IFERROR(IF(ISNUMBER(N20),(N20-K20)/ABS(K20),"N/A"),"N/A")</f>
        <v/>
      </c>
      <c r="R20" s="171" t="n"/>
      <c r="S20" s="184" t="n">
        <v>45896</v>
      </c>
      <c r="T20" s="191" t="inlineStr">
        <is>
          <t>CFO Commentary</t>
        </is>
      </c>
      <c r="U20" s="171" t="n"/>
    </row>
    <row r="21">
      <c r="A21" s="154" t="n">
        <v>373</v>
      </c>
      <c r="B21" s="181">
        <f>IF(INDEX(MO_SNA_IsHistoricalPeriod,,MATCH(F21,MO_Common_ColumnHeader,0)),"Historical","Forward")</f>
        <v/>
      </c>
      <c r="C21" s="171" t="n"/>
      <c r="D21" s="188" t="inlineStr">
        <is>
          <t>GAAP Other Income</t>
        </is>
      </c>
      <c r="E21" s="182" t="n"/>
      <c r="F21" s="181" t="inlineStr">
        <is>
          <t>Q3-2026</t>
        </is>
      </c>
      <c r="G21" s="181" t="n"/>
      <c r="H21" s="171" t="n"/>
      <c r="I21" s="183" t="n">
        <v>-500</v>
      </c>
      <c r="J21" s="183" t="n">
        <v>-500</v>
      </c>
      <c r="K21" s="183">
        <f>AVERAGE(I21:J21)</f>
        <v/>
      </c>
      <c r="L21" s="171" t="n"/>
      <c r="M21" s="181">
        <f>IF(INDEX(MO_SNA_IsHistoricalPeriod,,MATCH(F21,MO_Common_ColumnHeader,0)),"Actual","Estimate")</f>
        <v/>
      </c>
      <c r="N21" s="183">
        <f>IFERROR(INDEX(INDIRECT(E21),0,MATCH(F21,MO_Common_ColumnHeader,0)),"N/A")</f>
        <v/>
      </c>
      <c r="O21" s="171" t="n"/>
      <c r="P21" s="189">
        <f>IF(ISNUMBER(N21),N21-K21,"N/A")</f>
        <v/>
      </c>
      <c r="Q21" s="190">
        <f>IFERROR(IF(ISNUMBER(N21),(N21-K21)/ABS(K21),"N/A"),"N/A")</f>
        <v/>
      </c>
      <c r="R21" s="171" t="n"/>
      <c r="S21" s="184" t="n">
        <v>45896</v>
      </c>
      <c r="T21" s="191" t="inlineStr">
        <is>
          <t>CFO Commentary</t>
        </is>
      </c>
      <c r="U21" s="171" t="n"/>
    </row>
    <row r="22">
      <c r="A22" s="154" t="n">
        <v>372</v>
      </c>
      <c r="B22" s="181">
        <f>IF(INDEX(MO_SNA_IsHistoricalPeriod,,MATCH(F22,MO_Common_ColumnHeader,0)),"Historical","Forward")</f>
        <v/>
      </c>
      <c r="C22" s="171" t="n"/>
      <c r="D22" s="188" t="inlineStr">
        <is>
          <t>Non-GAAP Other Income</t>
        </is>
      </c>
      <c r="E22" s="182" t="n"/>
      <c r="F22" s="181" t="inlineStr">
        <is>
          <t>Q3-2026</t>
        </is>
      </c>
      <c r="G22" s="181" t="n"/>
      <c r="H22" s="171" t="n"/>
      <c r="I22" s="183" t="n">
        <v>-500</v>
      </c>
      <c r="J22" s="183" t="n">
        <v>-500</v>
      </c>
      <c r="K22" s="183">
        <f>AVERAGE(I22:J22)</f>
        <v/>
      </c>
      <c r="L22" s="171" t="n"/>
      <c r="M22" s="181">
        <f>IF(INDEX(MO_SNA_IsHistoricalPeriod,,MATCH(F22,MO_Common_ColumnHeader,0)),"Actual","Estimate")</f>
        <v/>
      </c>
      <c r="N22" s="183">
        <f>INDEX(MO_RIS_IE_Net_NONGAAP,0,MATCH(F22,MO_Common_ColumnHeader,0))+INDEX(MO_RIS_OI_NONGAAP,0,MATCH(F22,MO_Common_ColumnHeader,0))</f>
        <v/>
      </c>
      <c r="O22" s="171" t="n"/>
      <c r="P22" s="189">
        <f>IF(ISNUMBER(N22),N22-K22,"N/A")</f>
        <v/>
      </c>
      <c r="Q22" s="190">
        <f>IFERROR(IF(ISNUMBER(N22),(N22-K22)/ABS(K22),"N/A"),"N/A")</f>
        <v/>
      </c>
      <c r="R22" s="171" t="n"/>
      <c r="S22" s="184" t="n">
        <v>45896</v>
      </c>
      <c r="T22" s="191" t="inlineStr">
        <is>
          <t>CFO Commentary</t>
        </is>
      </c>
      <c r="U22" s="171" t="n"/>
    </row>
    <row r="23">
      <c r="A23" s="154" t="n">
        <v>371</v>
      </c>
      <c r="B23" s="181">
        <f>IF(INDEX(MO_SNA_IsHistoricalPeriod,,MATCH(F23,MO_Common_ColumnHeader,0)),"Historical","Forward")</f>
        <v/>
      </c>
      <c r="C23" s="171" t="n"/>
      <c r="D23" s="188" t="inlineStr">
        <is>
          <t>GAAP Tax Rate</t>
        </is>
      </c>
      <c r="E23" s="182" t="inlineStr">
        <is>
          <t>MO_RIS_TaxRate</t>
        </is>
      </c>
      <c r="F23" s="181" t="inlineStr">
        <is>
          <t>Q3-2026</t>
        </is>
      </c>
      <c r="G23" s="181" t="n"/>
      <c r="H23" s="171" t="n"/>
      <c r="I23" s="185" t="n">
        <v>0.155</v>
      </c>
      <c r="J23" s="185" t="n">
        <v>0.175</v>
      </c>
      <c r="K23" s="185">
        <f>AVERAGE(I23:J23)</f>
        <v/>
      </c>
      <c r="L23" s="171" t="n"/>
      <c r="M23" s="181">
        <f>IF(INDEX(MO_SNA_IsHistoricalPeriod,,MATCH(F23,MO_Common_ColumnHeader,0)),"Actual","Estimate")</f>
        <v/>
      </c>
      <c r="N23" s="185">
        <f>IFERROR(INDEX(INDIRECT(E23),0,MATCH(F23,MO_Common_ColumnHeader,0)),"N/A")</f>
        <v/>
      </c>
      <c r="O23" s="171" t="n"/>
      <c r="P23" s="190">
        <f>IF(ISNUMBER(N23),N23-K23,"N/A")</f>
        <v/>
      </c>
      <c r="Q23" s="190">
        <f>IFERROR(IF(ISNUMBER(N23),(N23-K23)/ABS(K23),"N/A"),"N/A")</f>
        <v/>
      </c>
      <c r="R23" s="171" t="n"/>
      <c r="S23" s="184" t="n">
        <v>45896</v>
      </c>
      <c r="T23" s="191" t="inlineStr">
        <is>
          <t>CFO Commentary</t>
        </is>
      </c>
      <c r="U23" s="171" t="n"/>
    </row>
    <row r="24">
      <c r="A24" s="154" t="n">
        <v>370</v>
      </c>
      <c r="B24" s="181">
        <f>IF(INDEX(MO_SNA_IsHistoricalPeriod,,MATCH(F24,MO_Common_ColumnHeader,0)),"Historical","Forward")</f>
        <v/>
      </c>
      <c r="C24" s="171" t="n"/>
      <c r="D24" s="188">
        <f>INDEX(INDIRECT(E24),0,COLUMN(MO_Common_Column_A))</f>
        <v/>
      </c>
      <c r="E24" s="182" t="inlineStr">
        <is>
          <t>MO_RIS_TaxRate_NONGAAP</t>
        </is>
      </c>
      <c r="F24" s="181" t="inlineStr">
        <is>
          <t>Q3-2026</t>
        </is>
      </c>
      <c r="G24" s="181" t="n"/>
      <c r="H24" s="171" t="n"/>
      <c r="I24" s="185" t="n">
        <v>0.155</v>
      </c>
      <c r="J24" s="185" t="n">
        <v>0.175</v>
      </c>
      <c r="K24" s="185">
        <f>AVERAGE(I24:J24)</f>
        <v/>
      </c>
      <c r="L24" s="171" t="n"/>
      <c r="M24" s="181">
        <f>IF(INDEX(MO_SNA_IsHistoricalPeriod,,MATCH(F24,MO_Common_ColumnHeader,0)),"Actual","Estimate")</f>
        <v/>
      </c>
      <c r="N24" s="185">
        <f>IFERROR(INDEX(INDIRECT(E24),0,MATCH(F24,MO_Common_ColumnHeader,0)),"N/A")</f>
        <v/>
      </c>
      <c r="O24" s="171" t="n"/>
      <c r="P24" s="190">
        <f>IF(ISNUMBER(N24),N24-K24,"N/A")</f>
        <v/>
      </c>
      <c r="Q24" s="190">
        <f>IFERROR(IF(ISNUMBER(N24),(N24-K24)/ABS(K24),"N/A"),"N/A")</f>
        <v/>
      </c>
      <c r="R24" s="171" t="n"/>
      <c r="S24" s="184" t="n">
        <v>45896</v>
      </c>
      <c r="T24" s="191" t="inlineStr">
        <is>
          <t>CFO Commentary</t>
        </is>
      </c>
      <c r="U24" s="171" t="n"/>
    </row>
    <row r="25">
      <c r="A25" s="154" t="n">
        <v>369</v>
      </c>
      <c r="B25" s="171" t="n"/>
      <c r="C25" s="171" t="n"/>
      <c r="D25" s="168" t="n"/>
      <c r="E25" s="169" t="n"/>
      <c r="F25" s="171" t="n"/>
      <c r="G25" s="171" t="n"/>
      <c r="H25" s="171" t="n"/>
      <c r="I25" s="1013" t="n"/>
      <c r="J25" s="1013" t="n"/>
      <c r="K25" s="1013" t="n"/>
      <c r="L25" s="171" t="n"/>
      <c r="M25" s="171" t="n"/>
      <c r="N25" s="1013" t="n"/>
      <c r="O25" s="171" t="n"/>
      <c r="P25" s="172" t="n"/>
      <c r="Q25" s="134" t="n"/>
      <c r="R25" s="171" t="n"/>
      <c r="S25" s="173" t="n"/>
      <c r="T25" s="192" t="n"/>
      <c r="U25" s="171" t="n"/>
    </row>
    <row r="26">
      <c r="A26" s="154" t="n">
        <v>368</v>
      </c>
      <c r="B26" s="181">
        <f>IF(INDEX(MO_SNA_IsHistoricalPeriod,,MATCH(F26,MO_Common_ColumnHeader,0)),"Historical","Forward")</f>
        <v/>
      </c>
      <c r="C26" s="171" t="n"/>
      <c r="D26" s="188">
        <f>INDEX(INDIRECT(E26),0,COLUMN(MO_Common_Column_A))</f>
        <v/>
      </c>
      <c r="E26" s="182" t="inlineStr">
        <is>
          <t>MO_RIS_REV</t>
        </is>
      </c>
      <c r="F26" s="181" t="inlineStr">
        <is>
          <t>Q2-2026</t>
        </is>
      </c>
      <c r="G26" s="181" t="n"/>
      <c r="H26" s="171" t="n"/>
      <c r="I26" s="183">
        <f>45000*0.98</f>
        <v/>
      </c>
      <c r="J26" s="183">
        <f>45000*1.02</f>
        <v/>
      </c>
      <c r="K26" s="183">
        <f>AVERAGE(I26:J26)</f>
        <v/>
      </c>
      <c r="L26" s="171" t="n"/>
      <c r="M26" s="181">
        <f>IF(INDEX(MO_SNA_IsHistoricalPeriod,,MATCH(F26,MO_Common_ColumnHeader,0)),"Actual","Estimate")</f>
        <v/>
      </c>
      <c r="N26" s="183">
        <f>IFERROR(INDEX(INDIRECT(E26),0,MATCH(F26,MO_Common_ColumnHeader,0)),"N/A")</f>
        <v/>
      </c>
      <c r="O26" s="171" t="n"/>
      <c r="P26" s="189">
        <f>IF(ISNUMBER(N26),N26-K26,"N/A")</f>
        <v/>
      </c>
      <c r="Q26" s="190">
        <f>IFERROR(IF(ISNUMBER(N26),(N26-K26)/ABS(K26),"N/A"),"N/A")</f>
        <v/>
      </c>
      <c r="R26" s="171" t="n"/>
      <c r="S26" s="184" t="n">
        <v>45805</v>
      </c>
      <c r="T26" s="191" t="inlineStr">
        <is>
          <t>CFO Commentary</t>
        </is>
      </c>
      <c r="U26" s="171" t="n"/>
    </row>
    <row r="27">
      <c r="A27" s="154" t="n">
        <v>367</v>
      </c>
      <c r="B27" s="181">
        <f>IF(INDEX(MO_SNA_IsHistoricalPeriod,,MATCH(F27,MO_Common_ColumnHeader,0)),"Historical","Forward")</f>
        <v/>
      </c>
      <c r="C27" s="171" t="n"/>
      <c r="D27" s="188">
        <f>INDEX(INDIRECT(E27),0,COLUMN(MO_Common_Column_A))</f>
        <v/>
      </c>
      <c r="E27" s="182" t="inlineStr">
        <is>
          <t>MO_MA_GM</t>
        </is>
      </c>
      <c r="F27" s="181" t="inlineStr">
        <is>
          <t>Q2-2026</t>
        </is>
      </c>
      <c r="G27" s="181" t="n"/>
      <c r="H27" s="171" t="n"/>
      <c r="I27" s="185" t="n">
        <v>0.713</v>
      </c>
      <c r="J27" s="185" t="n">
        <v>0.723</v>
      </c>
      <c r="K27" s="185">
        <f>AVERAGE(I27:J27)</f>
        <v/>
      </c>
      <c r="L27" s="171" t="n"/>
      <c r="M27" s="181">
        <f>IF(INDEX(MO_SNA_IsHistoricalPeriod,,MATCH(F27,MO_Common_ColumnHeader,0)),"Actual","Estimate")</f>
        <v/>
      </c>
      <c r="N27" s="185">
        <f>IFERROR(INDEX(INDIRECT(E27),0,MATCH(F27,MO_Common_ColumnHeader,0)),"N/A")</f>
        <v/>
      </c>
      <c r="O27" s="171" t="n"/>
      <c r="P27" s="190">
        <f>IF(ISNUMBER(N27),N27-K27,"N/A")</f>
        <v/>
      </c>
      <c r="Q27" s="190">
        <f>IFERROR(IF(ISNUMBER(N27),(N27-K27)/ABS(K27),"N/A"),"N/A")</f>
        <v/>
      </c>
      <c r="R27" s="171" t="n"/>
      <c r="S27" s="184" t="n">
        <v>45805</v>
      </c>
      <c r="T27" s="191" t="inlineStr">
        <is>
          <t>CFO Commentary</t>
        </is>
      </c>
      <c r="U27" s="171" t="n"/>
    </row>
    <row r="28">
      <c r="A28" s="154" t="n">
        <v>366</v>
      </c>
      <c r="B28" s="181">
        <f>IF(INDEX(MO_SNA_IsHistoricalPeriod,,MATCH(F28,MO_Common_ColumnHeader,0)),"Historical","Forward")</f>
        <v/>
      </c>
      <c r="C28" s="171" t="n"/>
      <c r="D28" s="188">
        <f>INDEX(INDIRECT(E28),0,COLUMN(MO_Common_Column_A))</f>
        <v/>
      </c>
      <c r="E28" s="182" t="inlineStr">
        <is>
          <t>MO_MA_GM_NONGAAP</t>
        </is>
      </c>
      <c r="F28" s="181" t="inlineStr">
        <is>
          <t>Q2-2026</t>
        </is>
      </c>
      <c r="G28" s="181" t="n"/>
      <c r="H28" s="171" t="n"/>
      <c r="I28" s="185" t="n">
        <v>0.715</v>
      </c>
      <c r="J28" s="185" t="n">
        <v>0.725</v>
      </c>
      <c r="K28" s="185">
        <f>AVERAGE(I28:J28)</f>
        <v/>
      </c>
      <c r="L28" s="171" t="n"/>
      <c r="M28" s="181">
        <f>IF(INDEX(MO_SNA_IsHistoricalPeriod,,MATCH(F28,MO_Common_ColumnHeader,0)),"Actual","Estimate")</f>
        <v/>
      </c>
      <c r="N28" s="185">
        <f>IFERROR(INDEX(INDIRECT(E28),0,MATCH(F28,MO_Common_ColumnHeader,0)),"N/A")</f>
        <v/>
      </c>
      <c r="O28" s="171" t="n"/>
      <c r="P28" s="190">
        <f>IF(ISNUMBER(N28),N28-K28,"N/A")</f>
        <v/>
      </c>
      <c r="Q28" s="190">
        <f>IFERROR(IF(ISNUMBER(N28),(N28-K28)/ABS(K28),"N/A"),"N/A")</f>
        <v/>
      </c>
      <c r="R28" s="171" t="n"/>
      <c r="S28" s="184" t="n">
        <v>45805</v>
      </c>
      <c r="T28" s="191" t="inlineStr">
        <is>
          <t>CFO Commentary</t>
        </is>
      </c>
      <c r="U28" s="171" t="n"/>
    </row>
    <row r="29">
      <c r="A29" s="154" t="n">
        <v>365</v>
      </c>
      <c r="B29" s="181">
        <f>IF(INDEX(MO_SNA_IsHistoricalPeriod,,MATCH(F29,MO_Common_ColumnHeader,0)),"Historical","Forward")</f>
        <v/>
      </c>
      <c r="C29" s="171" t="n"/>
      <c r="D29" s="188" t="inlineStr">
        <is>
          <t>GAAP Operating Expenses</t>
        </is>
      </c>
      <c r="E29" s="182" t="n"/>
      <c r="F29" s="181" t="inlineStr">
        <is>
          <t>Q2-2026</t>
        </is>
      </c>
      <c r="G29" s="181" t="n"/>
      <c r="H29" s="171" t="n"/>
      <c r="I29" s="183" t="n">
        <v>5700</v>
      </c>
      <c r="J29" s="183" t="n">
        <v>5700</v>
      </c>
      <c r="K29" s="183">
        <f>AVERAGE(I29:J29)</f>
        <v/>
      </c>
      <c r="L29" s="171" t="n"/>
      <c r="M29" s="181">
        <f>IF(INDEX(MO_SNA_IsHistoricalPeriod,,MATCH(F29,MO_Common_ColumnHeader,0)),"Actual","Estimate")</f>
        <v/>
      </c>
      <c r="N29" s="183">
        <f>INDEX(MO_RIS_RD,0,MATCH(F29,MO_Common_ColumnHeader,0))+INDEX(MO_RIS_SGA,0,MATCH(F29,MO_Common_ColumnHeader,0))</f>
        <v/>
      </c>
      <c r="O29" s="171" t="n"/>
      <c r="P29" s="189">
        <f>IF(ISNUMBER(N29),N29-K29,"N/A")</f>
        <v/>
      </c>
      <c r="Q29" s="190">
        <f>IFERROR(IF(ISNUMBER(N29),(N29-K29)/ABS(K29),"N/A"),"N/A")</f>
        <v/>
      </c>
      <c r="R29" s="171" t="n"/>
      <c r="S29" s="184" t="n">
        <v>45805</v>
      </c>
      <c r="T29" s="191" t="inlineStr">
        <is>
          <t>CFO Commentary</t>
        </is>
      </c>
      <c r="U29" s="171" t="n"/>
    </row>
    <row r="30">
      <c r="A30" s="154" t="n">
        <v>364</v>
      </c>
      <c r="B30" s="181">
        <f>IF(INDEX(MO_SNA_IsHistoricalPeriod,,MATCH(F30,MO_Common_ColumnHeader,0)),"Historical","Forward")</f>
        <v/>
      </c>
      <c r="C30" s="171" t="n"/>
      <c r="D30" s="188">
        <f>INDEX(INDIRECT(E30),0,COLUMN(MO_Common_Column_A))</f>
        <v/>
      </c>
      <c r="E30" s="182" t="inlineStr">
        <is>
          <t>MO_OS_OPEX</t>
        </is>
      </c>
      <c r="F30" s="181" t="inlineStr">
        <is>
          <t>Q2-2026</t>
        </is>
      </c>
      <c r="G30" s="181" t="n"/>
      <c r="H30" s="171" t="n"/>
      <c r="I30" s="183" t="n">
        <v>4000</v>
      </c>
      <c r="J30" s="183" t="n">
        <v>4000</v>
      </c>
      <c r="K30" s="183">
        <f>AVERAGE(I30:J30)</f>
        <v/>
      </c>
      <c r="L30" s="171" t="n"/>
      <c r="M30" s="181">
        <f>IF(INDEX(MO_SNA_IsHistoricalPeriod,,MATCH(F30,MO_Common_ColumnHeader,0)),"Actual","Estimate")</f>
        <v/>
      </c>
      <c r="N30" s="183">
        <f>IFERROR(INDEX(INDIRECT(E30),0,MATCH(F30,MO_Common_ColumnHeader,0)),"N/A")</f>
        <v/>
      </c>
      <c r="O30" s="171" t="n"/>
      <c r="P30" s="189">
        <f>IF(ISNUMBER(N30),N30-K30,"N/A")</f>
        <v/>
      </c>
      <c r="Q30" s="190">
        <f>IFERROR(IF(ISNUMBER(N30),(N30-K30)/ABS(K30),"N/A"),"N/A")</f>
        <v/>
      </c>
      <c r="R30" s="171" t="n"/>
      <c r="S30" s="184" t="n">
        <v>45805</v>
      </c>
      <c r="T30" s="191" t="inlineStr">
        <is>
          <t>CFO Commentary</t>
        </is>
      </c>
      <c r="U30" s="171" t="n"/>
    </row>
    <row r="31">
      <c r="A31" s="154" t="n">
        <v>363</v>
      </c>
      <c r="B31" s="181">
        <f>IF(INDEX(MO_SNA_IsHistoricalPeriod,,MATCH(F31,MO_Common_ColumnHeader,0)),"Historical","Forward")</f>
        <v/>
      </c>
      <c r="C31" s="171" t="n"/>
      <c r="D31" s="188" t="inlineStr">
        <is>
          <t>GAAP Other Income</t>
        </is>
      </c>
      <c r="E31" s="182" t="n"/>
      <c r="F31" s="181" t="inlineStr">
        <is>
          <t>Q2-2026</t>
        </is>
      </c>
      <c r="G31" s="181" t="n"/>
      <c r="H31" s="171" t="n"/>
      <c r="I31" s="183" t="n">
        <v>-450</v>
      </c>
      <c r="J31" s="183" t="n">
        <v>-450</v>
      </c>
      <c r="K31" s="183">
        <f>AVERAGE(I31:J31)</f>
        <v/>
      </c>
      <c r="L31" s="171" t="n"/>
      <c r="M31" s="181">
        <f>IF(INDEX(MO_SNA_IsHistoricalPeriod,,MATCH(F31,MO_Common_ColumnHeader,0)),"Actual","Estimate")</f>
        <v/>
      </c>
      <c r="N31" s="183">
        <f>IFERROR(INDEX(INDIRECT(E31),0,MATCH(F31,MO_Common_ColumnHeader,0)),"N/A")</f>
        <v/>
      </c>
      <c r="O31" s="171" t="n"/>
      <c r="P31" s="189">
        <f>IF(ISNUMBER(N31),N31-K31,"N/A")</f>
        <v/>
      </c>
      <c r="Q31" s="190">
        <f>IFERROR(IF(ISNUMBER(N31),(N31-K31)/ABS(K31),"N/A"),"N/A")</f>
        <v/>
      </c>
      <c r="R31" s="171" t="n"/>
      <c r="S31" s="184" t="n">
        <v>45805</v>
      </c>
      <c r="T31" s="191" t="inlineStr">
        <is>
          <t>CFO Commentary</t>
        </is>
      </c>
      <c r="U31" s="171" t="n"/>
    </row>
    <row r="32">
      <c r="A32" s="154" t="n">
        <v>362</v>
      </c>
      <c r="B32" s="181">
        <f>IF(INDEX(MO_SNA_IsHistoricalPeriod,,MATCH(F32,MO_Common_ColumnHeader,0)),"Historical","Forward")</f>
        <v/>
      </c>
      <c r="C32" s="171" t="n"/>
      <c r="D32" s="188" t="inlineStr">
        <is>
          <t>Non-GAAP Other Income</t>
        </is>
      </c>
      <c r="E32" s="182" t="n"/>
      <c r="F32" s="181" t="inlineStr">
        <is>
          <t>Q2-2026</t>
        </is>
      </c>
      <c r="G32" s="181" t="n"/>
      <c r="H32" s="171" t="n"/>
      <c r="I32" s="183" t="n">
        <v>-450</v>
      </c>
      <c r="J32" s="183" t="n">
        <v>-450</v>
      </c>
      <c r="K32" s="183">
        <f>AVERAGE(I32:J32)</f>
        <v/>
      </c>
      <c r="L32" s="171" t="n"/>
      <c r="M32" s="181">
        <f>IF(INDEX(MO_SNA_IsHistoricalPeriod,,MATCH(F32,MO_Common_ColumnHeader,0)),"Actual","Estimate")</f>
        <v/>
      </c>
      <c r="N32" s="183">
        <f>INDEX(MO_RIS_IE_Net_NONGAAP,0,MATCH(F32,MO_Common_ColumnHeader,0))+INDEX(MO_RIS_OI_NONGAAP,0,MATCH(F32,MO_Common_ColumnHeader,0))</f>
        <v/>
      </c>
      <c r="O32" s="171" t="n"/>
      <c r="P32" s="189">
        <f>IF(ISNUMBER(N32),N32-K32,"N/A")</f>
        <v/>
      </c>
      <c r="Q32" s="190">
        <f>IFERROR(IF(ISNUMBER(N32),(N32-K32)/ABS(K32),"N/A"),"N/A")</f>
        <v/>
      </c>
      <c r="R32" s="171" t="n"/>
      <c r="S32" s="184" t="n">
        <v>45805</v>
      </c>
      <c r="T32" s="191" t="inlineStr">
        <is>
          <t>CFO Commentary</t>
        </is>
      </c>
      <c r="U32" s="171" t="n"/>
    </row>
    <row r="33">
      <c r="A33" s="154" t="n">
        <v>361</v>
      </c>
      <c r="B33" s="181">
        <f>IF(INDEX(MO_SNA_IsHistoricalPeriod,,MATCH(F33,MO_Common_ColumnHeader,0)),"Historical","Forward")</f>
        <v/>
      </c>
      <c r="C33" s="171" t="n"/>
      <c r="D33" s="188" t="inlineStr">
        <is>
          <t>GAAP Tax Rate</t>
        </is>
      </c>
      <c r="E33" s="182" t="inlineStr">
        <is>
          <t>MO_RIS_TaxRate</t>
        </is>
      </c>
      <c r="F33" s="181" t="inlineStr">
        <is>
          <t>Q2-2026</t>
        </is>
      </c>
      <c r="G33" s="181" t="n"/>
      <c r="H33" s="171" t="n"/>
      <c r="I33" s="185" t="n">
        <v>0.155</v>
      </c>
      <c r="J33" s="185" t="n">
        <v>0.175</v>
      </c>
      <c r="K33" s="185">
        <f>AVERAGE(I33:J33)</f>
        <v/>
      </c>
      <c r="L33" s="171" t="n"/>
      <c r="M33" s="181">
        <f>IF(INDEX(MO_SNA_IsHistoricalPeriod,,MATCH(F33,MO_Common_ColumnHeader,0)),"Actual","Estimate")</f>
        <v/>
      </c>
      <c r="N33" s="185">
        <f>IFERROR(INDEX(INDIRECT(E33),0,MATCH(F33,MO_Common_ColumnHeader,0)),"N/A")</f>
        <v/>
      </c>
      <c r="O33" s="171" t="n"/>
      <c r="P33" s="190">
        <f>IF(ISNUMBER(N33),N33-K33,"N/A")</f>
        <v/>
      </c>
      <c r="Q33" s="190">
        <f>IFERROR(IF(ISNUMBER(N33),(N33-K33)/ABS(K33),"N/A"),"N/A")</f>
        <v/>
      </c>
      <c r="R33" s="171" t="n"/>
      <c r="S33" s="184" t="n">
        <v>45805</v>
      </c>
      <c r="T33" s="191" t="inlineStr">
        <is>
          <t>CFO Commentary</t>
        </is>
      </c>
      <c r="U33" s="171" t="n"/>
    </row>
    <row r="34">
      <c r="A34" s="154" t="n">
        <v>360</v>
      </c>
      <c r="B34" s="181">
        <f>IF(INDEX(MO_SNA_IsHistoricalPeriod,,MATCH(F34,MO_Common_ColumnHeader,0)),"Historical","Forward")</f>
        <v/>
      </c>
      <c r="C34" s="171" t="n"/>
      <c r="D34" s="188">
        <f>INDEX(INDIRECT(E34),0,COLUMN(MO_Common_Column_A))</f>
        <v/>
      </c>
      <c r="E34" s="182" t="inlineStr">
        <is>
          <t>MO_RIS_TaxRate_NONGAAP</t>
        </is>
      </c>
      <c r="F34" s="181" t="inlineStr">
        <is>
          <t>Q2-2026</t>
        </is>
      </c>
      <c r="G34" s="181" t="n"/>
      <c r="H34" s="171" t="n"/>
      <c r="I34" s="185" t="n">
        <v>0.155</v>
      </c>
      <c r="J34" s="185" t="n">
        <v>0.175</v>
      </c>
      <c r="K34" s="185">
        <f>AVERAGE(I34:J34)</f>
        <v/>
      </c>
      <c r="L34" s="171" t="n"/>
      <c r="M34" s="181">
        <f>IF(INDEX(MO_SNA_IsHistoricalPeriod,,MATCH(F34,MO_Common_ColumnHeader,0)),"Actual","Estimate")</f>
        <v/>
      </c>
      <c r="N34" s="185">
        <f>IFERROR(INDEX(INDIRECT(E34),0,MATCH(F34,MO_Common_ColumnHeader,0)),"N/A")</f>
        <v/>
      </c>
      <c r="O34" s="171" t="n"/>
      <c r="P34" s="190">
        <f>IF(ISNUMBER(N34),N34-K34,"N/A")</f>
        <v/>
      </c>
      <c r="Q34" s="190">
        <f>IFERROR(IF(ISNUMBER(N34),(N34-K34)/ABS(K34),"N/A"),"N/A")</f>
        <v/>
      </c>
      <c r="R34" s="171" t="n"/>
      <c r="S34" s="184" t="n">
        <v>45805</v>
      </c>
      <c r="T34" s="191" t="inlineStr">
        <is>
          <t>CFO Commentary</t>
        </is>
      </c>
      <c r="U34" s="171" t="n"/>
    </row>
    <row r="35">
      <c r="A35" s="154" t="n">
        <v>359</v>
      </c>
      <c r="B35" s="171" t="n"/>
      <c r="C35" s="171" t="n"/>
      <c r="D35" s="168" t="n"/>
      <c r="E35" s="169" t="n"/>
      <c r="F35" s="171" t="n"/>
      <c r="G35" s="171" t="n"/>
      <c r="H35" s="171" t="n"/>
      <c r="I35" s="1013" t="n"/>
      <c r="J35" s="1013" t="n"/>
      <c r="K35" s="1013" t="n"/>
      <c r="L35" s="171" t="n"/>
      <c r="M35" s="171" t="n"/>
      <c r="N35" s="1013" t="n"/>
      <c r="O35" s="171" t="n"/>
      <c r="P35" s="172" t="n"/>
      <c r="Q35" s="134" t="n"/>
      <c r="R35" s="171" t="n"/>
      <c r="S35" s="173" t="n"/>
      <c r="T35" s="192" t="n"/>
      <c r="U35" s="171" t="n"/>
    </row>
    <row r="36">
      <c r="A36" s="154" t="n">
        <v>358</v>
      </c>
      <c r="B36" s="181">
        <f>IF(INDEX(MO_SNA_IsHistoricalPeriod,,MATCH(F36,MO_Common_ColumnHeader,0)),"Historical","Forward")</f>
        <v/>
      </c>
      <c r="C36" s="171" t="n"/>
      <c r="D36" s="188">
        <f>INDEX(INDIRECT(E36),0,COLUMN(MO_Common_Column_A))</f>
        <v/>
      </c>
      <c r="E36" s="182" t="inlineStr">
        <is>
          <t>MO_RIS_REV</t>
        </is>
      </c>
      <c r="F36" s="181" t="inlineStr">
        <is>
          <t>Q1-2026</t>
        </is>
      </c>
      <c r="G36" s="181" t="n"/>
      <c r="H36" s="171" t="n"/>
      <c r="I36" s="183">
        <f>43000*0.98</f>
        <v/>
      </c>
      <c r="J36" s="183">
        <f>43000*1.02</f>
        <v/>
      </c>
      <c r="K36" s="183">
        <f>AVERAGE(I36:J36)</f>
        <v/>
      </c>
      <c r="L36" s="171" t="n"/>
      <c r="M36" s="181">
        <f>IF(INDEX(MO_SNA_IsHistoricalPeriod,,MATCH(F36,MO_Common_ColumnHeader,0)),"Actual","Estimate")</f>
        <v/>
      </c>
      <c r="N36" s="183">
        <f>IFERROR(INDEX(INDIRECT(E36),0,MATCH(F36,MO_Common_ColumnHeader,0)),"N/A")</f>
        <v/>
      </c>
      <c r="O36" s="171" t="n"/>
      <c r="P36" s="189">
        <f>IF(ISNUMBER(N36),N36-K36,"N/A")</f>
        <v/>
      </c>
      <c r="Q36" s="190">
        <f>IFERROR(IF(ISNUMBER(N36),(N36-K36)/ABS(K36),"N/A"),"N/A")</f>
        <v/>
      </c>
      <c r="R36" s="171" t="n"/>
      <c r="S36" s="184" t="n">
        <v>45714</v>
      </c>
      <c r="T36" s="191" t="inlineStr">
        <is>
          <t>CFO Commentary</t>
        </is>
      </c>
      <c r="U36" s="171" t="n"/>
    </row>
    <row r="37">
      <c r="A37" s="154" t="n">
        <v>357</v>
      </c>
      <c r="B37" s="181">
        <f>IF(INDEX(MO_SNA_IsHistoricalPeriod,,MATCH(F37,MO_Common_ColumnHeader,0)),"Historical","Forward")</f>
        <v/>
      </c>
      <c r="C37" s="171" t="n"/>
      <c r="D37" s="188">
        <f>INDEX(INDIRECT(E37),0,COLUMN(MO_Common_Column_A))</f>
        <v/>
      </c>
      <c r="E37" s="182" t="inlineStr">
        <is>
          <t>MO_MA_GM</t>
        </is>
      </c>
      <c r="F37" s="181" t="inlineStr">
        <is>
          <t>Q1-2026</t>
        </is>
      </c>
      <c r="G37" s="181" t="n"/>
      <c r="H37" s="171" t="n"/>
      <c r="I37" s="185">
        <f>70.6%-0.5%</f>
        <v/>
      </c>
      <c r="J37" s="185">
        <f>70.6%+0.5%</f>
        <v/>
      </c>
      <c r="K37" s="185">
        <f>AVERAGE(I37:J37)</f>
        <v/>
      </c>
      <c r="L37" s="171" t="n"/>
      <c r="M37" s="181">
        <f>IF(INDEX(MO_SNA_IsHistoricalPeriod,,MATCH(F37,MO_Common_ColumnHeader,0)),"Actual","Estimate")</f>
        <v/>
      </c>
      <c r="N37" s="185">
        <f>IFERROR(INDEX(INDIRECT(E37),0,MATCH(F37,MO_Common_ColumnHeader,0)),"N/A")</f>
        <v/>
      </c>
      <c r="O37" s="171" t="n"/>
      <c r="P37" s="190">
        <f>IF(ISNUMBER(N37),N37-K37,"N/A")</f>
        <v/>
      </c>
      <c r="Q37" s="190">
        <f>IFERROR(IF(ISNUMBER(N37),(N37-K37)/ABS(K37),"N/A"),"N/A")</f>
        <v/>
      </c>
      <c r="R37" s="171" t="n"/>
      <c r="S37" s="184" t="n">
        <v>45714</v>
      </c>
      <c r="T37" s="191" t="inlineStr">
        <is>
          <t>CFO Commentary</t>
        </is>
      </c>
      <c r="U37" s="171" t="n"/>
    </row>
    <row r="38">
      <c r="A38" s="154" t="n">
        <v>356</v>
      </c>
      <c r="B38" s="181">
        <f>IF(INDEX(MO_SNA_IsHistoricalPeriod,,MATCH(F38,MO_Common_ColumnHeader,0)),"Historical","Forward")</f>
        <v/>
      </c>
      <c r="C38" s="171" t="n"/>
      <c r="D38" s="188">
        <f>INDEX(INDIRECT(E38),0,COLUMN(MO_Common_Column_A))</f>
        <v/>
      </c>
      <c r="E38" s="182" t="inlineStr">
        <is>
          <t>MO_MA_GM_NONGAAP</t>
        </is>
      </c>
      <c r="F38" s="181" t="inlineStr">
        <is>
          <t>Q1-2026</t>
        </is>
      </c>
      <c r="G38" s="181" t="n"/>
      <c r="H38" s="171" t="n"/>
      <c r="I38" s="185">
        <f>71%-0.5%</f>
        <v/>
      </c>
      <c r="J38" s="185">
        <f>71%+0.5%</f>
        <v/>
      </c>
      <c r="K38" s="185">
        <f>AVERAGE(I38:J38)</f>
        <v/>
      </c>
      <c r="L38" s="171" t="n"/>
      <c r="M38" s="181">
        <f>IF(INDEX(MO_SNA_IsHistoricalPeriod,,MATCH(F38,MO_Common_ColumnHeader,0)),"Actual","Estimate")</f>
        <v/>
      </c>
      <c r="N38" s="185">
        <f>IFERROR(INDEX(INDIRECT(E38),0,MATCH(F38,MO_Common_ColumnHeader,0)),"N/A")</f>
        <v/>
      </c>
      <c r="O38" s="171" t="n"/>
      <c r="P38" s="190">
        <f>IF(ISNUMBER(N38),N38-K38,"N/A")</f>
        <v/>
      </c>
      <c r="Q38" s="190">
        <f>IFERROR(IF(ISNUMBER(N38),(N38-K38)/ABS(K38),"N/A"),"N/A")</f>
        <v/>
      </c>
      <c r="R38" s="171" t="n"/>
      <c r="S38" s="184" t="n">
        <v>45714</v>
      </c>
      <c r="T38" s="191" t="inlineStr">
        <is>
          <t>CFO Commentary</t>
        </is>
      </c>
      <c r="U38" s="171" t="n"/>
    </row>
    <row r="39">
      <c r="A39" s="154" t="n">
        <v>355</v>
      </c>
      <c r="B39" s="181">
        <f>IF(INDEX(MO_SNA_IsHistoricalPeriod,,MATCH(F39,MO_Common_ColumnHeader,0)),"Historical","Forward")</f>
        <v/>
      </c>
      <c r="C39" s="171" t="n"/>
      <c r="D39" s="188" t="inlineStr">
        <is>
          <t>GAAP Operating Expenses</t>
        </is>
      </c>
      <c r="E39" s="182" t="n"/>
      <c r="F39" s="181" t="inlineStr">
        <is>
          <t>Q1-2026</t>
        </is>
      </c>
      <c r="G39" s="181" t="n"/>
      <c r="H39" s="171" t="n"/>
      <c r="I39" s="183" t="n">
        <v>5200</v>
      </c>
      <c r="J39" s="183" t="n">
        <v>5200</v>
      </c>
      <c r="K39" s="183">
        <f>AVERAGE(I39:J39)</f>
        <v/>
      </c>
      <c r="L39" s="171" t="n"/>
      <c r="M39" s="181">
        <f>IF(INDEX(MO_SNA_IsHistoricalPeriod,,MATCH(F39,MO_Common_ColumnHeader,0)),"Actual","Estimate")</f>
        <v/>
      </c>
      <c r="N39" s="183">
        <f>INDEX(MO_RIS_RD,0,MATCH(F39,MO_Common_ColumnHeader,0))+INDEX(MO_RIS_SGA,0,MATCH(F39,MO_Common_ColumnHeader,0))</f>
        <v/>
      </c>
      <c r="O39" s="171" t="n"/>
      <c r="P39" s="189">
        <f>IF(ISNUMBER(N39),N39-K39,"N/A")</f>
        <v/>
      </c>
      <c r="Q39" s="190">
        <f>IFERROR(IF(ISNUMBER(N39),(N39-K39)/ABS(K39),"N/A"),"N/A")</f>
        <v/>
      </c>
      <c r="R39" s="171" t="n"/>
      <c r="S39" s="184" t="n">
        <v>45714</v>
      </c>
      <c r="T39" s="191" t="inlineStr">
        <is>
          <t>CFO Commentary</t>
        </is>
      </c>
      <c r="U39" s="171" t="n"/>
    </row>
    <row r="40">
      <c r="A40" s="154" t="n">
        <v>354</v>
      </c>
      <c r="B40" s="181">
        <f>IF(INDEX(MO_SNA_IsHistoricalPeriod,,MATCH(F40,MO_Common_ColumnHeader,0)),"Historical","Forward")</f>
        <v/>
      </c>
      <c r="C40" s="171" t="n"/>
      <c r="D40" s="188">
        <f>INDEX(INDIRECT(E40),0,COLUMN(MO_Common_Column_A))</f>
        <v/>
      </c>
      <c r="E40" s="182" t="inlineStr">
        <is>
          <t>MO_OS_OPEX</t>
        </is>
      </c>
      <c r="F40" s="181" t="inlineStr">
        <is>
          <t>Q1-2026</t>
        </is>
      </c>
      <c r="G40" s="181" t="n"/>
      <c r="H40" s="171" t="n"/>
      <c r="I40" s="183" t="n">
        <v>3600</v>
      </c>
      <c r="J40" s="183" t="n">
        <v>3600</v>
      </c>
      <c r="K40" s="183">
        <f>AVERAGE(I40:J40)</f>
        <v/>
      </c>
      <c r="L40" s="171" t="n"/>
      <c r="M40" s="181">
        <f>IF(INDEX(MO_SNA_IsHistoricalPeriod,,MATCH(F40,MO_Common_ColumnHeader,0)),"Actual","Estimate")</f>
        <v/>
      </c>
      <c r="N40" s="183">
        <f>IFERROR(INDEX(INDIRECT(E40),0,MATCH(F40,MO_Common_ColumnHeader,0)),"N/A")</f>
        <v/>
      </c>
      <c r="O40" s="171" t="n"/>
      <c r="P40" s="189">
        <f>IF(ISNUMBER(N40),N40-K40,"N/A")</f>
        <v/>
      </c>
      <c r="Q40" s="190">
        <f>IFERROR(IF(ISNUMBER(N40),(N40-K40)/ABS(K40),"N/A"),"N/A")</f>
        <v/>
      </c>
      <c r="R40" s="171" t="n"/>
      <c r="S40" s="184" t="n">
        <v>45714</v>
      </c>
      <c r="T40" s="191" t="inlineStr">
        <is>
          <t>CFO Commentary</t>
        </is>
      </c>
      <c r="U40" s="171" t="n"/>
    </row>
    <row r="41">
      <c r="A41" s="154" t="n">
        <v>353</v>
      </c>
      <c r="B41" s="181">
        <f>IF(INDEX(MO_SNA_IsHistoricalPeriod,,MATCH(F41,MO_Common_ColumnHeader,0)),"Historical","Forward")</f>
        <v/>
      </c>
      <c r="C41" s="171" t="n"/>
      <c r="D41" s="188" t="inlineStr">
        <is>
          <t>GAAP Other Income</t>
        </is>
      </c>
      <c r="E41" s="182" t="n"/>
      <c r="F41" s="181" t="inlineStr">
        <is>
          <t>Q1-2026</t>
        </is>
      </c>
      <c r="G41" s="181" t="n"/>
      <c r="H41" s="171" t="n"/>
      <c r="I41" s="183" t="n">
        <v>-400</v>
      </c>
      <c r="J41" s="183" t="n">
        <v>-400</v>
      </c>
      <c r="K41" s="183">
        <f>AVERAGE(I41:J41)</f>
        <v/>
      </c>
      <c r="L41" s="171" t="n"/>
      <c r="M41" s="181">
        <f>IF(INDEX(MO_SNA_IsHistoricalPeriod,,MATCH(F41,MO_Common_ColumnHeader,0)),"Actual","Estimate")</f>
        <v/>
      </c>
      <c r="N41" s="183">
        <f>IFERROR(INDEX(INDIRECT(E41),0,MATCH(F41,MO_Common_ColumnHeader,0)),"N/A")</f>
        <v/>
      </c>
      <c r="O41" s="171" t="n"/>
      <c r="P41" s="189">
        <f>IF(ISNUMBER(N41),N41-K41,"N/A")</f>
        <v/>
      </c>
      <c r="Q41" s="190">
        <f>IFERROR(IF(ISNUMBER(N41),(N41-K41)/ABS(K41),"N/A"),"N/A")</f>
        <v/>
      </c>
      <c r="R41" s="171" t="n"/>
      <c r="S41" s="184" t="n">
        <v>45714</v>
      </c>
      <c r="T41" s="191" t="inlineStr">
        <is>
          <t>CFO Commentary</t>
        </is>
      </c>
      <c r="U41" s="171" t="n"/>
    </row>
    <row r="42">
      <c r="A42" s="154" t="n">
        <v>352</v>
      </c>
      <c r="B42" s="181">
        <f>IF(INDEX(MO_SNA_IsHistoricalPeriod,,MATCH(F42,MO_Common_ColumnHeader,0)),"Historical","Forward")</f>
        <v/>
      </c>
      <c r="C42" s="171" t="n"/>
      <c r="D42" s="188" t="inlineStr">
        <is>
          <t>Non-GAAP Other Income</t>
        </is>
      </c>
      <c r="E42" s="182" t="n"/>
      <c r="F42" s="181" t="inlineStr">
        <is>
          <t>Q1-2026</t>
        </is>
      </c>
      <c r="G42" s="181" t="n"/>
      <c r="H42" s="171" t="n"/>
      <c r="I42" s="183" t="n">
        <v>-400</v>
      </c>
      <c r="J42" s="183" t="n">
        <v>-400</v>
      </c>
      <c r="K42" s="183">
        <f>AVERAGE(I42:J42)</f>
        <v/>
      </c>
      <c r="L42" s="171" t="n"/>
      <c r="M42" s="181">
        <f>IF(INDEX(MO_SNA_IsHistoricalPeriod,,MATCH(F42,MO_Common_ColumnHeader,0)),"Actual","Estimate")</f>
        <v/>
      </c>
      <c r="N42" s="183">
        <f>INDEX(MO_RIS_IE_Net_NONGAAP,0,MATCH(F42,MO_Common_ColumnHeader,0))+INDEX(MO_RIS_OI_NONGAAP,0,MATCH(F42,MO_Common_ColumnHeader,0))</f>
        <v/>
      </c>
      <c r="O42" s="171" t="n"/>
      <c r="P42" s="189">
        <f>IF(ISNUMBER(N42),N42-K42,"N/A")</f>
        <v/>
      </c>
      <c r="Q42" s="190">
        <f>IFERROR(IF(ISNUMBER(N42),(N42-K42)/ABS(K42),"N/A"),"N/A")</f>
        <v/>
      </c>
      <c r="R42" s="171" t="n"/>
      <c r="S42" s="184" t="n">
        <v>45714</v>
      </c>
      <c r="T42" s="191" t="inlineStr">
        <is>
          <t>CFO Commentary</t>
        </is>
      </c>
      <c r="U42" s="171" t="n"/>
    </row>
    <row r="43">
      <c r="A43" s="154" t="n">
        <v>351</v>
      </c>
      <c r="B43" s="181">
        <f>IF(INDEX(MO_SNA_IsHistoricalPeriod,,MATCH(F43,MO_Common_ColumnHeader,0)),"Historical","Forward")</f>
        <v/>
      </c>
      <c r="C43" s="171" t="n"/>
      <c r="D43" s="188" t="inlineStr">
        <is>
          <t>GAAP Tax Rate</t>
        </is>
      </c>
      <c r="E43" s="182" t="inlineStr">
        <is>
          <t>MO_RIS_TaxRate</t>
        </is>
      </c>
      <c r="F43" s="181" t="inlineStr">
        <is>
          <t>Q1-2026</t>
        </is>
      </c>
      <c r="G43" s="181" t="n"/>
      <c r="H43" s="171" t="n"/>
      <c r="I43" s="185" t="n">
        <v>0.16</v>
      </c>
      <c r="J43" s="185" t="n">
        <v>0.18</v>
      </c>
      <c r="K43" s="185">
        <f>AVERAGE(I43:J43)</f>
        <v/>
      </c>
      <c r="L43" s="171" t="n"/>
      <c r="M43" s="181">
        <f>IF(INDEX(MO_SNA_IsHistoricalPeriod,,MATCH(F43,MO_Common_ColumnHeader,0)),"Actual","Estimate")</f>
        <v/>
      </c>
      <c r="N43" s="185">
        <f>IFERROR(INDEX(INDIRECT(E43),0,MATCH(F43,MO_Common_ColumnHeader,0)),"N/A")</f>
        <v/>
      </c>
      <c r="O43" s="171" t="n"/>
      <c r="P43" s="190">
        <f>IF(ISNUMBER(N43),N43-K43,"N/A")</f>
        <v/>
      </c>
      <c r="Q43" s="190">
        <f>IFERROR(IF(ISNUMBER(N43),(N43-K43)/ABS(K43),"N/A"),"N/A")</f>
        <v/>
      </c>
      <c r="R43" s="171" t="n"/>
      <c r="S43" s="184" t="n">
        <v>45714</v>
      </c>
      <c r="T43" s="191" t="inlineStr">
        <is>
          <t>CFO Commentary</t>
        </is>
      </c>
      <c r="U43" s="171" t="n"/>
    </row>
    <row r="44">
      <c r="A44" s="154" t="n">
        <v>350</v>
      </c>
      <c r="B44" s="181">
        <f>IF(INDEX(MO_SNA_IsHistoricalPeriod,,MATCH(F44,MO_Common_ColumnHeader,0)),"Historical","Forward")</f>
        <v/>
      </c>
      <c r="C44" s="171" t="n"/>
      <c r="D44" s="188">
        <f>INDEX(INDIRECT(E44),0,COLUMN(MO_Common_Column_A))</f>
        <v/>
      </c>
      <c r="E44" s="182" t="inlineStr">
        <is>
          <t>MO_RIS_TaxRate_NONGAAP</t>
        </is>
      </c>
      <c r="F44" s="181" t="inlineStr">
        <is>
          <t>Q1-2026</t>
        </is>
      </c>
      <c r="G44" s="181" t="n"/>
      <c r="H44" s="171" t="n"/>
      <c r="I44" s="185" t="n">
        <v>0.16</v>
      </c>
      <c r="J44" s="185" t="n">
        <v>0.18</v>
      </c>
      <c r="K44" s="185">
        <f>AVERAGE(I44:J44)</f>
        <v/>
      </c>
      <c r="L44" s="171" t="n"/>
      <c r="M44" s="181">
        <f>IF(INDEX(MO_SNA_IsHistoricalPeriod,,MATCH(F44,MO_Common_ColumnHeader,0)),"Actual","Estimate")</f>
        <v/>
      </c>
      <c r="N44" s="185">
        <f>IFERROR(INDEX(INDIRECT(E44),0,MATCH(F44,MO_Common_ColumnHeader,0)),"N/A")</f>
        <v/>
      </c>
      <c r="O44" s="171" t="n"/>
      <c r="P44" s="190">
        <f>IF(ISNUMBER(N44),N44-K44,"N/A")</f>
        <v/>
      </c>
      <c r="Q44" s="190">
        <f>IFERROR(IF(ISNUMBER(N44),(N44-K44)/ABS(K44),"N/A"),"N/A")</f>
        <v/>
      </c>
      <c r="R44" s="171" t="n"/>
      <c r="S44" s="184" t="n">
        <v>45714</v>
      </c>
      <c r="T44" s="191" t="inlineStr">
        <is>
          <t>CFO Commentary</t>
        </is>
      </c>
      <c r="U44" s="171" t="n"/>
    </row>
    <row r="45">
      <c r="A45" s="154" t="n">
        <v>349</v>
      </c>
      <c r="B45" s="171" t="n"/>
      <c r="C45" s="171" t="n"/>
      <c r="D45" s="168" t="n"/>
      <c r="E45" s="169" t="n"/>
      <c r="F45" s="171" t="n"/>
      <c r="G45" s="171" t="n"/>
      <c r="H45" s="171" t="n"/>
      <c r="I45" s="1013" t="n"/>
      <c r="J45" s="1013" t="n"/>
      <c r="K45" s="1013" t="n"/>
      <c r="L45" s="171" t="n"/>
      <c r="M45" s="171" t="n"/>
      <c r="N45" s="1013" t="n"/>
      <c r="O45" s="171" t="n"/>
      <c r="P45" s="172" t="n"/>
      <c r="Q45" s="134" t="n"/>
      <c r="R45" s="171" t="n"/>
      <c r="S45" s="173" t="n"/>
      <c r="T45" s="192" t="n"/>
      <c r="U45" s="171" t="n"/>
    </row>
    <row r="46">
      <c r="A46" s="154" t="n">
        <v>348</v>
      </c>
      <c r="B46" s="181">
        <f>IF(INDEX(MO_SNA_IsHistoricalPeriod,,MATCH(F46,MO_Common_ColumnHeader,0)),"Historical","Forward")</f>
        <v/>
      </c>
      <c r="C46" s="171" t="n"/>
      <c r="D46" s="188">
        <f>INDEX(INDIRECT(E46),0,COLUMN(MO_Common_Column_A))</f>
        <v/>
      </c>
      <c r="E46" s="182" t="inlineStr">
        <is>
          <t>MO_RIS_REV</t>
        </is>
      </c>
      <c r="F46" s="181" t="inlineStr">
        <is>
          <t>Q4-2025</t>
        </is>
      </c>
      <c r="G46" s="181" t="n"/>
      <c r="H46" s="171" t="n"/>
      <c r="I46" s="183">
        <f>37500*(1-2%)</f>
        <v/>
      </c>
      <c r="J46" s="183">
        <f>37500*(1+2%)</f>
        <v/>
      </c>
      <c r="K46" s="183">
        <f>AVERAGE(I46:J46)</f>
        <v/>
      </c>
      <c r="L46" s="171" t="n"/>
      <c r="M46" s="181">
        <f>IF(INDEX(MO_SNA_IsHistoricalPeriod,,MATCH(F46,MO_Common_ColumnHeader,0)),"Actual","Estimate")</f>
        <v/>
      </c>
      <c r="N46" s="183">
        <f>IFERROR(INDEX(INDIRECT(E46),0,MATCH(F46,MO_Common_ColumnHeader,0)),"N/A")</f>
        <v/>
      </c>
      <c r="O46" s="171" t="n"/>
      <c r="P46" s="189">
        <f>IF(ISNUMBER(N46),N46-K46,"N/A")</f>
        <v/>
      </c>
      <c r="Q46" s="190">
        <f>IFERROR(IF(ISNUMBER(N46),(N46-K46)/ABS(K46),"N/A"),"N/A")</f>
        <v/>
      </c>
      <c r="R46" s="171" t="n"/>
      <c r="S46" s="184" t="n">
        <v>45616</v>
      </c>
      <c r="T46" s="191" t="inlineStr">
        <is>
          <t>CFO Commentary</t>
        </is>
      </c>
      <c r="U46" s="171" t="n"/>
    </row>
    <row r="47">
      <c r="A47" s="154" t="n">
        <v>347</v>
      </c>
      <c r="B47" s="181">
        <f>IF(INDEX(MO_SNA_IsHistoricalPeriod,,MATCH(F47,MO_Common_ColumnHeader,0)),"Historical","Forward")</f>
        <v/>
      </c>
      <c r="C47" s="171" t="n"/>
      <c r="D47" s="188">
        <f>INDEX(INDIRECT(E47),0,COLUMN(MO_Common_Column_A))</f>
        <v/>
      </c>
      <c r="E47" s="182" t="inlineStr">
        <is>
          <t>MO_MA_GM</t>
        </is>
      </c>
      <c r="F47" s="181" t="inlineStr">
        <is>
          <t>Q4-2025</t>
        </is>
      </c>
      <c r="G47" s="181" t="n"/>
      <c r="H47" s="171" t="n"/>
      <c r="I47" s="185" t="n">
        <v>0.725</v>
      </c>
      <c r="J47" s="185" t="n">
        <v>0.735</v>
      </c>
      <c r="K47" s="185">
        <f>AVERAGE(I47:J47)</f>
        <v/>
      </c>
      <c r="L47" s="171" t="n"/>
      <c r="M47" s="181">
        <f>IF(INDEX(MO_SNA_IsHistoricalPeriod,,MATCH(F47,MO_Common_ColumnHeader,0)),"Actual","Estimate")</f>
        <v/>
      </c>
      <c r="N47" s="185">
        <f>IFERROR(INDEX(INDIRECT(E47),0,MATCH(F47,MO_Common_ColumnHeader,0)),"N/A")</f>
        <v/>
      </c>
      <c r="O47" s="171" t="n"/>
      <c r="P47" s="190">
        <f>IF(ISNUMBER(N47),N47-K47,"N/A")</f>
        <v/>
      </c>
      <c r="Q47" s="190">
        <f>IFERROR(IF(ISNUMBER(N47),(N47-K47)/ABS(K47),"N/A"),"N/A")</f>
        <v/>
      </c>
      <c r="R47" s="171" t="n"/>
      <c r="S47" s="184" t="n">
        <v>45616</v>
      </c>
      <c r="T47" s="191" t="inlineStr">
        <is>
          <t>CFO Commentary</t>
        </is>
      </c>
      <c r="U47" s="171" t="n"/>
    </row>
    <row r="48">
      <c r="A48" s="154" t="n">
        <v>346</v>
      </c>
      <c r="B48" s="181">
        <f>IF(INDEX(MO_SNA_IsHistoricalPeriod,,MATCH(F48,MO_Common_ColumnHeader,0)),"Historical","Forward")</f>
        <v/>
      </c>
      <c r="C48" s="171" t="n"/>
      <c r="D48" s="188">
        <f>INDEX(INDIRECT(E48),0,COLUMN(MO_Common_Column_A))</f>
        <v/>
      </c>
      <c r="E48" s="182" t="inlineStr">
        <is>
          <t>MO_MA_GM_NONGAAP</t>
        </is>
      </c>
      <c r="F48" s="181" t="inlineStr">
        <is>
          <t>Q4-2025</t>
        </is>
      </c>
      <c r="G48" s="181" t="n"/>
      <c r="H48" s="171" t="n"/>
      <c r="I48" s="185" t="n">
        <v>0.73</v>
      </c>
      <c r="J48" s="185" t="n">
        <v>0.74</v>
      </c>
      <c r="K48" s="185">
        <f>AVERAGE(I48:J48)</f>
        <v/>
      </c>
      <c r="L48" s="171" t="n"/>
      <c r="M48" s="181">
        <f>IF(INDEX(MO_SNA_IsHistoricalPeriod,,MATCH(F48,MO_Common_ColumnHeader,0)),"Actual","Estimate")</f>
        <v/>
      </c>
      <c r="N48" s="185">
        <f>IFERROR(INDEX(INDIRECT(E48),0,MATCH(F48,MO_Common_ColumnHeader,0)),"N/A")</f>
        <v/>
      </c>
      <c r="O48" s="171" t="n"/>
      <c r="P48" s="190">
        <f>IF(ISNUMBER(N48),N48-K48,"N/A")</f>
        <v/>
      </c>
      <c r="Q48" s="190">
        <f>IFERROR(IF(ISNUMBER(N48),(N48-K48)/ABS(K48),"N/A"),"N/A")</f>
        <v/>
      </c>
      <c r="R48" s="171" t="n"/>
      <c r="S48" s="184" t="n">
        <v>45616</v>
      </c>
      <c r="T48" s="191" t="inlineStr">
        <is>
          <t>CFO Commentary</t>
        </is>
      </c>
      <c r="U48" s="171" t="n"/>
    </row>
    <row r="49">
      <c r="A49" s="154" t="n">
        <v>345</v>
      </c>
      <c r="B49" s="181">
        <f>IF(INDEX(MO_SNA_IsHistoricalPeriod,,MATCH(F49,MO_Common_ColumnHeader,0)),"Historical","Forward")</f>
        <v/>
      </c>
      <c r="C49" s="171" t="n"/>
      <c r="D49" s="188" t="inlineStr">
        <is>
          <t>GAAP Operating Expenses</t>
        </is>
      </c>
      <c r="E49" s="182" t="n"/>
      <c r="F49" s="181" t="inlineStr">
        <is>
          <t>Q4-2025</t>
        </is>
      </c>
      <c r="G49" s="181" t="n"/>
      <c r="H49" s="171" t="n"/>
      <c r="I49" s="183" t="n">
        <v>4750</v>
      </c>
      <c r="J49" s="183" t="n">
        <v>4750</v>
      </c>
      <c r="K49" s="183">
        <f>AVERAGE(I49:J49)</f>
        <v/>
      </c>
      <c r="L49" s="171" t="n"/>
      <c r="M49" s="181">
        <f>IF(INDEX(MO_SNA_IsHistoricalPeriod,,MATCH(F49,MO_Common_ColumnHeader,0)),"Actual","Estimate")</f>
        <v/>
      </c>
      <c r="N49" s="183">
        <f>INDEX(MO_RIS_RD,0,MATCH(F49,MO_Common_ColumnHeader,0))+INDEX(MO_RIS_SGA,0,MATCH(F49,MO_Common_ColumnHeader,0))</f>
        <v/>
      </c>
      <c r="O49" s="171" t="n"/>
      <c r="P49" s="189">
        <f>IF(ISNUMBER(N49),N49-K49,"N/A")</f>
        <v/>
      </c>
      <c r="Q49" s="190">
        <f>IFERROR(IF(ISNUMBER(N49),(N49-K49)/ABS(K49),"N/A"),"N/A")</f>
        <v/>
      </c>
      <c r="R49" s="171" t="n"/>
      <c r="S49" s="184" t="n">
        <v>45616</v>
      </c>
      <c r="T49" s="191" t="inlineStr">
        <is>
          <t>CFO Commentary</t>
        </is>
      </c>
      <c r="U49" s="171" t="n"/>
    </row>
    <row r="50">
      <c r="A50" s="154" t="n">
        <v>344</v>
      </c>
      <c r="B50" s="181">
        <f>IF(INDEX(MO_SNA_IsHistoricalPeriod,,MATCH(F50,MO_Common_ColumnHeader,0)),"Historical","Forward")</f>
        <v/>
      </c>
      <c r="C50" s="171" t="n"/>
      <c r="D50" s="188">
        <f>INDEX(INDIRECT(E50),0,COLUMN(MO_Common_Column_A))</f>
        <v/>
      </c>
      <c r="E50" s="182" t="inlineStr">
        <is>
          <t>MO_OS_OPEX</t>
        </is>
      </c>
      <c r="F50" s="181" t="inlineStr">
        <is>
          <t>Q4-2025</t>
        </is>
      </c>
      <c r="G50" s="181" t="n"/>
      <c r="H50" s="171" t="n"/>
      <c r="I50" s="183" t="n">
        <v>3400</v>
      </c>
      <c r="J50" s="183" t="n">
        <v>3400</v>
      </c>
      <c r="K50" s="183">
        <f>AVERAGE(I50:J50)</f>
        <v/>
      </c>
      <c r="L50" s="171" t="n"/>
      <c r="M50" s="181">
        <f>IF(INDEX(MO_SNA_IsHistoricalPeriod,,MATCH(F50,MO_Common_ColumnHeader,0)),"Actual","Estimate")</f>
        <v/>
      </c>
      <c r="N50" s="183">
        <f>IFERROR(INDEX(INDIRECT(E50),0,MATCH(F50,MO_Common_ColumnHeader,0)),"N/A")</f>
        <v/>
      </c>
      <c r="O50" s="171" t="n"/>
      <c r="P50" s="189">
        <f>IF(ISNUMBER(N50),N50-K50,"N/A")</f>
        <v/>
      </c>
      <c r="Q50" s="190">
        <f>IFERROR(IF(ISNUMBER(N50),(N50-K50)/ABS(K50),"N/A"),"N/A")</f>
        <v/>
      </c>
      <c r="R50" s="171" t="n"/>
      <c r="S50" s="184" t="n">
        <v>45616</v>
      </c>
      <c r="T50" s="191" t="inlineStr">
        <is>
          <t>CFO Commentary</t>
        </is>
      </c>
      <c r="U50" s="171" t="n"/>
    </row>
    <row r="51">
      <c r="A51" s="154" t="n">
        <v>343</v>
      </c>
      <c r="B51" s="181">
        <f>IF(INDEX(MO_SNA_IsHistoricalPeriod,,MATCH(F51,MO_Common_ColumnHeader,0)),"Historical","Forward")</f>
        <v/>
      </c>
      <c r="C51" s="171" t="n"/>
      <c r="D51" s="188" t="inlineStr">
        <is>
          <t>GAAP Other Income</t>
        </is>
      </c>
      <c r="E51" s="182" t="n"/>
      <c r="F51" s="181" t="inlineStr">
        <is>
          <t>Q4-2025</t>
        </is>
      </c>
      <c r="G51" s="181" t="n"/>
      <c r="H51" s="171" t="n"/>
      <c r="I51" s="183" t="n">
        <v>-400</v>
      </c>
      <c r="J51" s="183" t="n">
        <v>-400</v>
      </c>
      <c r="K51" s="183">
        <f>AVERAGE(I51:J51)</f>
        <v/>
      </c>
      <c r="L51" s="171" t="n"/>
      <c r="M51" s="181">
        <f>IF(INDEX(MO_SNA_IsHistoricalPeriod,,MATCH(F51,MO_Common_ColumnHeader,0)),"Actual","Estimate")</f>
        <v/>
      </c>
      <c r="N51" s="183">
        <f>IFERROR(INDEX(INDIRECT(E51),0,MATCH(F51,MO_Common_ColumnHeader,0)),"N/A")</f>
        <v/>
      </c>
      <c r="O51" s="171" t="n"/>
      <c r="P51" s="189">
        <f>IF(ISNUMBER(N51),N51-K51,"N/A")</f>
        <v/>
      </c>
      <c r="Q51" s="190">
        <f>IFERROR(IF(ISNUMBER(N51),(N51-K51)/ABS(K51),"N/A"),"N/A")</f>
        <v/>
      </c>
      <c r="R51" s="171" t="n"/>
      <c r="S51" s="184" t="n">
        <v>45616</v>
      </c>
      <c r="T51" s="191" t="inlineStr">
        <is>
          <t>CFO Commentary</t>
        </is>
      </c>
      <c r="U51" s="171" t="n"/>
    </row>
    <row r="52">
      <c r="A52" s="154" t="n">
        <v>342</v>
      </c>
      <c r="B52" s="181">
        <f>IF(INDEX(MO_SNA_IsHistoricalPeriod,,MATCH(F52,MO_Common_ColumnHeader,0)),"Historical","Forward")</f>
        <v/>
      </c>
      <c r="C52" s="171" t="n"/>
      <c r="D52" s="188" t="inlineStr">
        <is>
          <t>Non-GAAP Other Income</t>
        </is>
      </c>
      <c r="E52" s="182" t="n"/>
      <c r="F52" s="181" t="inlineStr">
        <is>
          <t>Q4-2025</t>
        </is>
      </c>
      <c r="G52" s="181" t="n"/>
      <c r="H52" s="171" t="n"/>
      <c r="I52" s="183" t="n">
        <v>-400</v>
      </c>
      <c r="J52" s="183" t="n">
        <v>-400</v>
      </c>
      <c r="K52" s="183">
        <f>AVERAGE(I52:J52)</f>
        <v/>
      </c>
      <c r="L52" s="171" t="n"/>
      <c r="M52" s="181">
        <f>IF(INDEX(MO_SNA_IsHistoricalPeriod,,MATCH(F52,MO_Common_ColumnHeader,0)),"Actual","Estimate")</f>
        <v/>
      </c>
      <c r="N52" s="183">
        <f>INDEX(MO_RIS_IE_Net_NONGAAP,0,MATCH(F52,MO_Common_ColumnHeader,0))+INDEX(MO_RIS_OI_NONGAAP,0,MATCH(F52,MO_Common_ColumnHeader,0))</f>
        <v/>
      </c>
      <c r="O52" s="171" t="n"/>
      <c r="P52" s="189">
        <f>IF(ISNUMBER(N52),N52-K52,"N/A")</f>
        <v/>
      </c>
      <c r="Q52" s="190">
        <f>IFERROR(IF(ISNUMBER(N52),(N52-K52)/ABS(K52),"N/A"),"N/A")</f>
        <v/>
      </c>
      <c r="R52" s="171" t="n"/>
      <c r="S52" s="184" t="n">
        <v>45616</v>
      </c>
      <c r="T52" s="191" t="inlineStr">
        <is>
          <t>CFO Commentary</t>
        </is>
      </c>
      <c r="U52" s="171" t="n"/>
    </row>
    <row r="53">
      <c r="A53" s="154" t="n">
        <v>341</v>
      </c>
      <c r="B53" s="181">
        <f>IF(INDEX(MO_SNA_IsHistoricalPeriod,,MATCH(F53,MO_Common_ColumnHeader,0)),"Historical","Forward")</f>
        <v/>
      </c>
      <c r="C53" s="171" t="n"/>
      <c r="D53" s="188" t="inlineStr">
        <is>
          <t>GAAP Tax Rate</t>
        </is>
      </c>
      <c r="E53" s="182" t="inlineStr">
        <is>
          <t>MO_RIS_TaxRate</t>
        </is>
      </c>
      <c r="F53" s="181" t="inlineStr">
        <is>
          <t>Q4-2025</t>
        </is>
      </c>
      <c r="G53" s="181" t="n"/>
      <c r="H53" s="171" t="n"/>
      <c r="I53" s="185" t="n">
        <v>0.155</v>
      </c>
      <c r="J53" s="185" t="n">
        <v>0.175</v>
      </c>
      <c r="K53" s="185">
        <f>AVERAGE(I53:J53)</f>
        <v/>
      </c>
      <c r="L53" s="171" t="n"/>
      <c r="M53" s="181">
        <f>IF(INDEX(MO_SNA_IsHistoricalPeriod,,MATCH(F53,MO_Common_ColumnHeader,0)),"Actual","Estimate")</f>
        <v/>
      </c>
      <c r="N53" s="185">
        <f>IFERROR(INDEX(INDIRECT(E53),0,MATCH(F53,MO_Common_ColumnHeader,0)),"N/A")</f>
        <v/>
      </c>
      <c r="O53" s="171" t="n"/>
      <c r="P53" s="190">
        <f>IF(ISNUMBER(N53),N53-K53,"N/A")</f>
        <v/>
      </c>
      <c r="Q53" s="190">
        <f>IFERROR(IF(ISNUMBER(N53),(N53-K53)/ABS(K53),"N/A"),"N/A")</f>
        <v/>
      </c>
      <c r="R53" s="171" t="n"/>
      <c r="S53" s="184" t="n">
        <v>45616</v>
      </c>
      <c r="T53" s="191" t="inlineStr">
        <is>
          <t>CFO Commentary</t>
        </is>
      </c>
      <c r="U53" s="171" t="n"/>
    </row>
    <row r="54">
      <c r="A54" s="154" t="n">
        <v>340</v>
      </c>
      <c r="B54" s="181">
        <f>IF(INDEX(MO_SNA_IsHistoricalPeriod,,MATCH(F54,MO_Common_ColumnHeader,0)),"Historical","Forward")</f>
        <v/>
      </c>
      <c r="C54" s="171" t="n"/>
      <c r="D54" s="188">
        <f>INDEX(INDIRECT(E54),0,COLUMN(MO_Common_Column_A))</f>
        <v/>
      </c>
      <c r="E54" s="182" t="inlineStr">
        <is>
          <t>MO_RIS_TaxRate_NONGAAP</t>
        </is>
      </c>
      <c r="F54" s="181" t="inlineStr">
        <is>
          <t>Q4-2025</t>
        </is>
      </c>
      <c r="G54" s="181" t="n"/>
      <c r="H54" s="171" t="n"/>
      <c r="I54" s="185" t="n">
        <v>0.155</v>
      </c>
      <c r="J54" s="185" t="n">
        <v>0.175</v>
      </c>
      <c r="K54" s="185">
        <f>AVERAGE(I54:J54)</f>
        <v/>
      </c>
      <c r="L54" s="171" t="n"/>
      <c r="M54" s="181">
        <f>IF(INDEX(MO_SNA_IsHistoricalPeriod,,MATCH(F54,MO_Common_ColumnHeader,0)),"Actual","Estimate")</f>
        <v/>
      </c>
      <c r="N54" s="185">
        <f>IFERROR(INDEX(INDIRECT(E54),0,MATCH(F54,MO_Common_ColumnHeader,0)),"N/A")</f>
        <v/>
      </c>
      <c r="O54" s="171" t="n"/>
      <c r="P54" s="190">
        <f>IF(ISNUMBER(N54),N54-K54,"N/A")</f>
        <v/>
      </c>
      <c r="Q54" s="190">
        <f>IFERROR(IF(ISNUMBER(N54),(N54-K54)/ABS(K54),"N/A"),"N/A")</f>
        <v/>
      </c>
      <c r="R54" s="171" t="n"/>
      <c r="S54" s="184" t="n">
        <v>45616</v>
      </c>
      <c r="T54" s="191" t="inlineStr">
        <is>
          <t>CFO Commentary</t>
        </is>
      </c>
      <c r="U54" s="171" t="n"/>
    </row>
    <row r="55">
      <c r="A55" s="154" t="n">
        <v>339</v>
      </c>
      <c r="B55" s="171" t="n"/>
      <c r="C55" s="171" t="n"/>
      <c r="D55" s="168" t="n"/>
      <c r="E55" s="169" t="n"/>
      <c r="F55" s="171" t="n"/>
      <c r="G55" s="171" t="n"/>
      <c r="H55" s="171" t="n"/>
      <c r="I55" s="1013" t="n"/>
      <c r="J55" s="1013" t="n"/>
      <c r="K55" s="1013" t="n"/>
      <c r="L55" s="171" t="n"/>
      <c r="M55" s="171" t="n"/>
      <c r="N55" s="1013" t="n"/>
      <c r="O55" s="171" t="n"/>
      <c r="P55" s="172" t="n"/>
      <c r="Q55" s="134" t="n"/>
      <c r="R55" s="171" t="n"/>
      <c r="S55" s="173" t="n"/>
      <c r="T55" s="192" t="inlineStr">
        <is>
          <t>https://investor.nvidia.com/files/doc_financials/2024/Q4FY24/Q4FY24-CFO-Commentary.pdf</t>
        </is>
      </c>
      <c r="U55" s="171" t="n"/>
    </row>
    <row r="56">
      <c r="A56" s="154" t="n">
        <v>338</v>
      </c>
      <c r="B56" s="181">
        <f>IF(INDEX(MO_SNA_IsHistoricalPeriod,,MATCH(F56,MO_Common_ColumnHeader,0)),"Historical","Forward")</f>
        <v/>
      </c>
      <c r="C56" s="171" t="n"/>
      <c r="D56" s="188">
        <f>INDEX(INDIRECT(E56),0,COLUMN(MO_Common_Column_A))</f>
        <v/>
      </c>
      <c r="E56" s="182" t="inlineStr">
        <is>
          <t>MO_MA_GM</t>
        </is>
      </c>
      <c r="F56" s="181" t="inlineStr">
        <is>
          <t>FY2025</t>
        </is>
      </c>
      <c r="G56" s="181" t="n"/>
      <c r="H56" s="171" t="n"/>
      <c r="I56" s="185" t="n">
        <v>0.74</v>
      </c>
      <c r="J56" s="185" t="n">
        <v>0.76</v>
      </c>
      <c r="K56" s="185">
        <f>AVERAGE(I56:J56)</f>
        <v/>
      </c>
      <c r="L56" s="171" t="n"/>
      <c r="M56" s="181">
        <f>IF(INDEX(MO_SNA_IsHistoricalPeriod,,MATCH(F56,MO_Common_ColumnHeader,0)),"Actual","Estimate")</f>
        <v/>
      </c>
      <c r="N56" s="185">
        <f>IFERROR(INDEX(INDIRECT(E56),0,MATCH(F56,MO_Common_ColumnHeader,0)),"N/A")</f>
        <v/>
      </c>
      <c r="O56" s="171" t="n"/>
      <c r="P56" s="190">
        <f>IF(ISNUMBER(N56),N56-K56,"N/A")</f>
        <v/>
      </c>
      <c r="Q56" s="190">
        <f>IFERROR(IF(ISNUMBER(N56),(N56-K56)/ABS(K56),"N/A"),"N/A")</f>
        <v/>
      </c>
      <c r="R56" s="171" t="n"/>
      <c r="S56" s="184" t="n">
        <v>45532</v>
      </c>
      <c r="T56" s="191" t="inlineStr">
        <is>
          <t>CFO Commentary</t>
        </is>
      </c>
      <c r="U56" s="171" t="n"/>
    </row>
    <row r="57">
      <c r="A57" s="154" t="n">
        <v>337</v>
      </c>
      <c r="B57" s="181">
        <f>IF(INDEX(MO_SNA_IsHistoricalPeriod,,MATCH(F57,MO_Common_ColumnHeader,0)),"Historical","Forward")</f>
        <v/>
      </c>
      <c r="C57" s="171" t="n"/>
      <c r="D57" s="188">
        <f>INDEX(INDIRECT(E57),0,COLUMN(MO_Common_Column_A))</f>
        <v/>
      </c>
      <c r="E57" s="182" t="inlineStr">
        <is>
          <t>MO_MA_GM_NONGAAP</t>
        </is>
      </c>
      <c r="F57" s="181" t="inlineStr">
        <is>
          <t>FY2025</t>
        </is>
      </c>
      <c r="G57" s="181" t="n"/>
      <c r="H57" s="171" t="n"/>
      <c r="I57" s="185" t="n">
        <v>0.74</v>
      </c>
      <c r="J57" s="185" t="n">
        <v>0.76</v>
      </c>
      <c r="K57" s="185">
        <f>AVERAGE(I57:J57)</f>
        <v/>
      </c>
      <c r="L57" s="171" t="n"/>
      <c r="M57" s="181">
        <f>IF(INDEX(MO_SNA_IsHistoricalPeriod,,MATCH(F57,MO_Common_ColumnHeader,0)),"Actual","Estimate")</f>
        <v/>
      </c>
      <c r="N57" s="185">
        <f>IFERROR(INDEX(INDIRECT(E57),0,MATCH(F57,MO_Common_ColumnHeader,0)),"N/A")</f>
        <v/>
      </c>
      <c r="O57" s="171" t="n"/>
      <c r="P57" s="190">
        <f>IF(ISNUMBER(N57),N57-K57,"N/A")</f>
        <v/>
      </c>
      <c r="Q57" s="190">
        <f>IFERROR(IF(ISNUMBER(N57),(N57-K57)/ABS(K57),"N/A"),"N/A")</f>
        <v/>
      </c>
      <c r="R57" s="171" t="n"/>
      <c r="S57" s="184" t="n">
        <v>45532</v>
      </c>
      <c r="T57" s="191" t="inlineStr">
        <is>
          <t>CFO Commentary</t>
        </is>
      </c>
      <c r="U57" s="171" t="n"/>
    </row>
    <row r="58">
      <c r="A58" s="154" t="n">
        <v>336</v>
      </c>
      <c r="B58" s="181">
        <f>IF(INDEX(MO_SNA_IsHistoricalPeriod,,MATCH(F58,MO_Common_ColumnHeader,0)),"Historical","Forward")</f>
        <v/>
      </c>
      <c r="C58" s="171" t="n"/>
      <c r="D58" s="188" t="inlineStr">
        <is>
          <t>GAAP Operating Expenses</t>
        </is>
      </c>
      <c r="E58" s="182" t="n"/>
      <c r="F58" s="181" t="inlineStr">
        <is>
          <t>FY2025</t>
        </is>
      </c>
      <c r="G58" s="181" t="inlineStr">
        <is>
          <t>FY2024</t>
        </is>
      </c>
      <c r="H58" s="171" t="n"/>
      <c r="I58" s="185" t="n">
        <v>0.44</v>
      </c>
      <c r="J58" s="185" t="n">
        <v>0.49</v>
      </c>
      <c r="K58" s="185">
        <f>AVERAGE(I58:J58)</f>
        <v/>
      </c>
      <c r="L58" s="171" t="n"/>
      <c r="M58" s="181">
        <f>IF(INDEX(MO_SNA_IsHistoricalPeriod,,MATCH(F58,MO_Common_ColumnHeader,0)),"Actual","Estimate")</f>
        <v/>
      </c>
      <c r="N58" s="185">
        <f>(INDEX(MO_RIS_RD,0,MATCH(F58,MO_Common_ColumnHeader,0))+INDEX(MO_RIS_SGA,0,MATCH(F58,MO_Common_ColumnHeader,0)))/(INDEX(MO_RIS_RD,0,MATCH(G58,MO_Common_ColumnHeader,0))+INDEX(MO_RIS_SGA,0,MATCH(G58,MO_Common_ColumnHeader,0)))-1</f>
        <v/>
      </c>
      <c r="O58" s="171" t="n"/>
      <c r="P58" s="190">
        <f>IF(ISNUMBER(N58),N58-K58,"N/A")</f>
        <v/>
      </c>
      <c r="Q58" s="190">
        <f>IFERROR(IF(ISNUMBER(N58),(N58-K58)/ABS(K58),"N/A"),"N/A")</f>
        <v/>
      </c>
      <c r="R58" s="171" t="n"/>
      <c r="S58" s="184" t="n">
        <v>45532</v>
      </c>
      <c r="T58" s="191" t="inlineStr">
        <is>
          <t>CFO Commentary</t>
        </is>
      </c>
      <c r="U58" s="171" t="n"/>
    </row>
    <row r="59">
      <c r="A59" s="154" t="n">
        <v>335</v>
      </c>
      <c r="B59" s="181">
        <f>IF(INDEX(MO_SNA_IsHistoricalPeriod,,MATCH(F59,MO_Common_ColumnHeader,0)),"Historical","Forward")</f>
        <v/>
      </c>
      <c r="C59" s="171" t="n"/>
      <c r="D59" s="188">
        <f>INDEX(INDIRECT(E59),0,COLUMN(MO_Common_Column_A))</f>
        <v/>
      </c>
      <c r="E59" s="182" t="inlineStr">
        <is>
          <t>MO_OS_OPEX</t>
        </is>
      </c>
      <c r="F59" s="181" t="inlineStr">
        <is>
          <t>FY2025</t>
        </is>
      </c>
      <c r="G59" s="181" t="inlineStr">
        <is>
          <t>FY2024</t>
        </is>
      </c>
      <c r="H59" s="171" t="n"/>
      <c r="I59" s="185" t="n">
        <v>0.44</v>
      </c>
      <c r="J59" s="185" t="n">
        <v>0.49</v>
      </c>
      <c r="K59" s="185">
        <f>AVERAGE(I59:J59)</f>
        <v/>
      </c>
      <c r="L59" s="171" t="n"/>
      <c r="M59" s="181">
        <f>IF(INDEX(MO_SNA_IsHistoricalPeriod,,MATCH(F59,MO_Common_ColumnHeader,0)),"Actual","Estimate")</f>
        <v/>
      </c>
      <c r="N59" s="185">
        <f>(INDEX(MO_RIS_RD,0,MATCH(F59,MO_Common_ColumnHeader,0))+INDEX(MO_RIS_SGA,0,MATCH(F59,MO_Common_ColumnHeader,0)))/(INDEX(MO_RIS_RD,0,MATCH(G59,MO_Common_ColumnHeader,0))+INDEX(MO_RIS_SGA,0,MATCH(G59,MO_Common_ColumnHeader,0)))-1</f>
        <v/>
      </c>
      <c r="O59" s="171" t="n"/>
      <c r="P59" s="190">
        <f>IF(ISNUMBER(N59),N59-K59,"N/A")</f>
        <v/>
      </c>
      <c r="Q59" s="190">
        <f>IFERROR(IF(ISNUMBER(N59),(N59-K59)/ABS(K59),"N/A"),"N/A")</f>
        <v/>
      </c>
      <c r="R59" s="171" t="n"/>
      <c r="S59" s="184" t="n">
        <v>45532</v>
      </c>
      <c r="T59" s="191" t="inlineStr">
        <is>
          <t>CFO Commentary</t>
        </is>
      </c>
      <c r="U59" s="171" t="n"/>
    </row>
    <row r="60">
      <c r="A60" s="154" t="n">
        <v>334</v>
      </c>
      <c r="B60" s="171" t="n"/>
      <c r="C60" s="171" t="n"/>
      <c r="D60" s="168" t="n"/>
      <c r="E60" s="169" t="n"/>
      <c r="F60" s="171" t="n"/>
      <c r="G60" s="171" t="n"/>
      <c r="H60" s="171" t="n"/>
      <c r="I60" s="1013" t="n"/>
      <c r="J60" s="1013" t="n"/>
      <c r="K60" s="1013" t="n"/>
      <c r="L60" s="171" t="n"/>
      <c r="M60" s="171" t="n"/>
      <c r="N60" s="1013" t="n"/>
      <c r="O60" s="171" t="n"/>
      <c r="P60" s="172" t="n"/>
      <c r="Q60" s="134" t="n"/>
      <c r="R60" s="171" t="n"/>
      <c r="S60" s="173" t="n"/>
      <c r="T60" s="192" t="n"/>
      <c r="U60" s="171" t="n"/>
    </row>
    <row r="61">
      <c r="A61" s="154" t="n">
        <v>333</v>
      </c>
      <c r="B61" s="181">
        <f>IF(INDEX(MO_SNA_IsHistoricalPeriod,,MATCH(F61,MO_Common_ColumnHeader,0)),"Historical","Forward")</f>
        <v/>
      </c>
      <c r="C61" s="171" t="n"/>
      <c r="D61" s="188">
        <f>INDEX(INDIRECT(E61),0,COLUMN(MO_Common_Column_A))</f>
        <v/>
      </c>
      <c r="E61" s="182" t="inlineStr">
        <is>
          <t>MO_RIS_REV</t>
        </is>
      </c>
      <c r="F61" s="181" t="inlineStr">
        <is>
          <t>Q3-2025</t>
        </is>
      </c>
      <c r="G61" s="181" t="n"/>
      <c r="H61" s="171" t="n"/>
      <c r="I61" s="183" t="n">
        <v>31850</v>
      </c>
      <c r="J61" s="183" t="n">
        <v>33150</v>
      </c>
      <c r="K61" s="183">
        <f>AVERAGE(I61:J61)</f>
        <v/>
      </c>
      <c r="L61" s="171" t="n"/>
      <c r="M61" s="181">
        <f>IF(INDEX(MO_SNA_IsHistoricalPeriod,,MATCH(F61,MO_Common_ColumnHeader,0)),"Actual","Estimate")</f>
        <v/>
      </c>
      <c r="N61" s="183">
        <f>IFERROR(INDEX(INDIRECT(E61),0,MATCH(F61,MO_Common_ColumnHeader,0)),"N/A")</f>
        <v/>
      </c>
      <c r="O61" s="171" t="n"/>
      <c r="P61" s="189">
        <f>IF(ISNUMBER(N61),N61-K61,"N/A")</f>
        <v/>
      </c>
      <c r="Q61" s="190">
        <f>IFERROR(IF(ISNUMBER(N61),(N61-K61)/ABS(K61),"N/A"),"N/A")</f>
        <v/>
      </c>
      <c r="R61" s="171" t="n"/>
      <c r="S61" s="184" t="n">
        <v>45532</v>
      </c>
      <c r="T61" s="191" t="inlineStr">
        <is>
          <t>CFO Commentary</t>
        </is>
      </c>
      <c r="U61" s="171" t="n"/>
    </row>
    <row r="62">
      <c r="A62" s="154" t="n">
        <v>332</v>
      </c>
      <c r="B62" s="181">
        <f>IF(INDEX(MO_SNA_IsHistoricalPeriod,,MATCH(F62,MO_Common_ColumnHeader,0)),"Historical","Forward")</f>
        <v/>
      </c>
      <c r="C62" s="171" t="n"/>
      <c r="D62" s="188">
        <f>INDEX(INDIRECT(E62),0,COLUMN(MO_Common_Column_A))</f>
        <v/>
      </c>
      <c r="E62" s="182" t="inlineStr">
        <is>
          <t>MO_MA_GM</t>
        </is>
      </c>
      <c r="F62" s="181" t="inlineStr">
        <is>
          <t>Q3-2025</t>
        </is>
      </c>
      <c r="G62" s="181" t="n"/>
      <c r="H62" s="171" t="n"/>
      <c r="I62" s="185" t="n">
        <v>0.7390000000000001</v>
      </c>
      <c r="J62" s="185" t="n">
        <v>0.7490000000000001</v>
      </c>
      <c r="K62" s="185">
        <f>AVERAGE(I62:J62)</f>
        <v/>
      </c>
      <c r="L62" s="171" t="n"/>
      <c r="M62" s="181">
        <f>IF(INDEX(MO_SNA_IsHistoricalPeriod,,MATCH(F62,MO_Common_ColumnHeader,0)),"Actual","Estimate")</f>
        <v/>
      </c>
      <c r="N62" s="185">
        <f>IFERROR(INDEX(INDIRECT(E62),0,MATCH(F62,MO_Common_ColumnHeader,0)),"N/A")</f>
        <v/>
      </c>
      <c r="O62" s="171" t="n"/>
      <c r="P62" s="190">
        <f>IF(ISNUMBER(N62),N62-K62,"N/A")</f>
        <v/>
      </c>
      <c r="Q62" s="190">
        <f>IFERROR(IF(ISNUMBER(N62),(N62-K62)/ABS(K62),"N/A"),"N/A")</f>
        <v/>
      </c>
      <c r="R62" s="171" t="n"/>
      <c r="S62" s="184" t="n">
        <v>45532</v>
      </c>
      <c r="T62" s="191" t="inlineStr">
        <is>
          <t>CFO Commentary</t>
        </is>
      </c>
      <c r="U62" s="171" t="n"/>
    </row>
    <row r="63">
      <c r="A63" s="154" t="n">
        <v>331</v>
      </c>
      <c r="B63" s="181">
        <f>IF(INDEX(MO_SNA_IsHistoricalPeriod,,MATCH(F63,MO_Common_ColumnHeader,0)),"Historical","Forward")</f>
        <v/>
      </c>
      <c r="C63" s="171" t="n"/>
      <c r="D63" s="188">
        <f>INDEX(INDIRECT(E63),0,COLUMN(MO_Common_Column_A))</f>
        <v/>
      </c>
      <c r="E63" s="182" t="inlineStr">
        <is>
          <t>MO_MA_GM_NONGAAP</t>
        </is>
      </c>
      <c r="F63" s="181" t="inlineStr">
        <is>
          <t>Q3-2025</t>
        </is>
      </c>
      <c r="G63" s="181" t="n"/>
      <c r="H63" s="171" t="n"/>
      <c r="I63" s="185" t="n">
        <v>0.745</v>
      </c>
      <c r="J63" s="185" t="n">
        <v>0.755</v>
      </c>
      <c r="K63" s="185">
        <f>AVERAGE(I63:J63)</f>
        <v/>
      </c>
      <c r="L63" s="171" t="n"/>
      <c r="M63" s="181">
        <f>IF(INDEX(MO_SNA_IsHistoricalPeriod,,MATCH(F63,MO_Common_ColumnHeader,0)),"Actual","Estimate")</f>
        <v/>
      </c>
      <c r="N63" s="185">
        <f>IFERROR(INDEX(INDIRECT(E63),0,MATCH(F63,MO_Common_ColumnHeader,0)),"N/A")</f>
        <v/>
      </c>
      <c r="O63" s="171" t="n"/>
      <c r="P63" s="190">
        <f>IF(ISNUMBER(N63),N63-K63,"N/A")</f>
        <v/>
      </c>
      <c r="Q63" s="190">
        <f>IFERROR(IF(ISNUMBER(N63),(N63-K63)/ABS(K63),"N/A"),"N/A")</f>
        <v/>
      </c>
      <c r="R63" s="171" t="n"/>
      <c r="S63" s="184" t="n">
        <v>45532</v>
      </c>
      <c r="T63" s="191" t="inlineStr">
        <is>
          <t>CFO Commentary</t>
        </is>
      </c>
      <c r="U63" s="171" t="n"/>
    </row>
    <row r="64">
      <c r="A64" s="154" t="n">
        <v>330</v>
      </c>
      <c r="B64" s="181">
        <f>IF(INDEX(MO_SNA_IsHistoricalPeriod,,MATCH(F64,MO_Common_ColumnHeader,0)),"Historical","Forward")</f>
        <v/>
      </c>
      <c r="C64" s="171" t="n"/>
      <c r="D64" s="188" t="inlineStr">
        <is>
          <t>GAAP Operating Expenses</t>
        </is>
      </c>
      <c r="E64" s="182" t="n"/>
      <c r="F64" s="181" t="inlineStr">
        <is>
          <t>Q3-2025</t>
        </is>
      </c>
      <c r="G64" s="181" t="n"/>
      <c r="H64" s="171" t="n"/>
      <c r="I64" s="183" t="n">
        <v>4300</v>
      </c>
      <c r="J64" s="183" t="n">
        <v>4300</v>
      </c>
      <c r="K64" s="183">
        <f>AVERAGE(I64:J64)</f>
        <v/>
      </c>
      <c r="L64" s="171" t="n"/>
      <c r="M64" s="181">
        <f>IF(INDEX(MO_SNA_IsHistoricalPeriod,,MATCH(F64,MO_Common_ColumnHeader,0)),"Actual","Estimate")</f>
        <v/>
      </c>
      <c r="N64" s="183">
        <f>INDEX(MO_RIS_RD,0,MATCH(F64,MO_Common_ColumnHeader,0))+INDEX(MO_RIS_SGA,0,MATCH(F64,MO_Common_ColumnHeader,0))</f>
        <v/>
      </c>
      <c r="O64" s="171" t="n"/>
      <c r="P64" s="189">
        <f>IF(ISNUMBER(N64),N64-K64,"N/A")</f>
        <v/>
      </c>
      <c r="Q64" s="190">
        <f>IFERROR(IF(ISNUMBER(N64),(N64-K64)/ABS(K64),"N/A"),"N/A")</f>
        <v/>
      </c>
      <c r="R64" s="171" t="n"/>
      <c r="S64" s="184" t="n">
        <v>45532</v>
      </c>
      <c r="T64" s="191" t="inlineStr">
        <is>
          <t>CFO Commentary</t>
        </is>
      </c>
      <c r="U64" s="171" t="n"/>
    </row>
    <row r="65">
      <c r="A65" s="154" t="n">
        <v>329</v>
      </c>
      <c r="B65" s="181">
        <f>IF(INDEX(MO_SNA_IsHistoricalPeriod,,MATCH(F65,MO_Common_ColumnHeader,0)),"Historical","Forward")</f>
        <v/>
      </c>
      <c r="C65" s="171" t="n"/>
      <c r="D65" s="188">
        <f>INDEX(INDIRECT(E65),0,COLUMN(MO_Common_Column_A))</f>
        <v/>
      </c>
      <c r="E65" s="182" t="inlineStr">
        <is>
          <t>MO_OS_OPEX</t>
        </is>
      </c>
      <c r="F65" s="181" t="inlineStr">
        <is>
          <t>Q3-2025</t>
        </is>
      </c>
      <c r="G65" s="181" t="n"/>
      <c r="H65" s="171" t="n"/>
      <c r="I65" s="183" t="n">
        <v>3000</v>
      </c>
      <c r="J65" s="183" t="n">
        <v>3000</v>
      </c>
      <c r="K65" s="183">
        <f>AVERAGE(I65:J65)</f>
        <v/>
      </c>
      <c r="L65" s="171" t="n"/>
      <c r="M65" s="181">
        <f>IF(INDEX(MO_SNA_IsHistoricalPeriod,,MATCH(F65,MO_Common_ColumnHeader,0)),"Actual","Estimate")</f>
        <v/>
      </c>
      <c r="N65" s="183">
        <f>IFERROR(INDEX(INDIRECT(E65),0,MATCH(F65,MO_Common_ColumnHeader,0)),"N/A")</f>
        <v/>
      </c>
      <c r="O65" s="171" t="n"/>
      <c r="P65" s="189">
        <f>IF(ISNUMBER(N65),N65-K65,"N/A")</f>
        <v/>
      </c>
      <c r="Q65" s="190">
        <f>IFERROR(IF(ISNUMBER(N65),(N65-K65)/ABS(K65),"N/A"),"N/A")</f>
        <v/>
      </c>
      <c r="R65" s="171" t="n"/>
      <c r="S65" s="184" t="n">
        <v>45532</v>
      </c>
      <c r="T65" s="191" t="inlineStr">
        <is>
          <t>CFO Commentary</t>
        </is>
      </c>
      <c r="U65" s="171" t="n"/>
    </row>
    <row r="66">
      <c r="A66" s="154" t="n">
        <v>328</v>
      </c>
      <c r="B66" s="181">
        <f>IF(INDEX(MO_SNA_IsHistoricalPeriod,,MATCH(F66,MO_Common_ColumnHeader,0)),"Historical","Forward")</f>
        <v/>
      </c>
      <c r="C66" s="171" t="n"/>
      <c r="D66" s="188" t="inlineStr">
        <is>
          <t>GAAP Other Income</t>
        </is>
      </c>
      <c r="E66" s="182" t="n"/>
      <c r="F66" s="181" t="inlineStr">
        <is>
          <t>Q3-2025</t>
        </is>
      </c>
      <c r="G66" s="181" t="n"/>
      <c r="H66" s="171" t="n"/>
      <c r="I66" s="183" t="n">
        <v>-350</v>
      </c>
      <c r="J66" s="183" t="n">
        <v>-350</v>
      </c>
      <c r="K66" s="183">
        <f>AVERAGE(I66:J66)</f>
        <v/>
      </c>
      <c r="L66" s="171" t="n"/>
      <c r="M66" s="181">
        <f>IF(INDEX(MO_SNA_IsHistoricalPeriod,,MATCH(F66,MO_Common_ColumnHeader,0)),"Actual","Estimate")</f>
        <v/>
      </c>
      <c r="N66" s="183">
        <f>IFERROR(INDEX(INDIRECT(E66),0,MATCH(F66,MO_Common_ColumnHeader,0)),"N/A")</f>
        <v/>
      </c>
      <c r="O66" s="171" t="n"/>
      <c r="P66" s="189">
        <f>IF(ISNUMBER(N66),N66-K66,"N/A")</f>
        <v/>
      </c>
      <c r="Q66" s="190">
        <f>IFERROR(IF(ISNUMBER(N66),(N66-K66)/ABS(K66),"N/A"),"N/A")</f>
        <v/>
      </c>
      <c r="R66" s="171" t="n"/>
      <c r="S66" s="184" t="n">
        <v>45532</v>
      </c>
      <c r="T66" s="191" t="inlineStr">
        <is>
          <t>CFO Commentary</t>
        </is>
      </c>
      <c r="U66" s="171" t="n"/>
    </row>
    <row r="67">
      <c r="A67" s="154" t="n">
        <v>327</v>
      </c>
      <c r="B67" s="181">
        <f>IF(INDEX(MO_SNA_IsHistoricalPeriod,,MATCH(F67,MO_Common_ColumnHeader,0)),"Historical","Forward")</f>
        <v/>
      </c>
      <c r="C67" s="171" t="n"/>
      <c r="D67" s="188" t="inlineStr">
        <is>
          <t>Non-GAAP Other Income</t>
        </is>
      </c>
      <c r="E67" s="182" t="n"/>
      <c r="F67" s="181" t="inlineStr">
        <is>
          <t>Q3-2025</t>
        </is>
      </c>
      <c r="G67" s="181" t="n"/>
      <c r="H67" s="171" t="n"/>
      <c r="I67" s="183" t="n">
        <v>-350</v>
      </c>
      <c r="J67" s="183" t="n">
        <v>-350</v>
      </c>
      <c r="K67" s="183">
        <f>AVERAGE(I67:J67)</f>
        <v/>
      </c>
      <c r="L67" s="171" t="n"/>
      <c r="M67" s="181">
        <f>IF(INDEX(MO_SNA_IsHistoricalPeriod,,MATCH(F67,MO_Common_ColumnHeader,0)),"Actual","Estimate")</f>
        <v/>
      </c>
      <c r="N67" s="183">
        <f>INDEX(MO_RIS_IE_Net_NONGAAP,0,MATCH(F67,MO_Common_ColumnHeader,0))+INDEX(MO_RIS_OI_NONGAAP,0,MATCH(F67,MO_Common_ColumnHeader,0))</f>
        <v/>
      </c>
      <c r="O67" s="171" t="n"/>
      <c r="P67" s="189">
        <f>IF(ISNUMBER(N67),N67-K67,"N/A")</f>
        <v/>
      </c>
      <c r="Q67" s="190">
        <f>IFERROR(IF(ISNUMBER(N67),(N67-K67)/ABS(K67),"N/A"),"N/A")</f>
        <v/>
      </c>
      <c r="R67" s="171" t="n"/>
      <c r="S67" s="184" t="n">
        <v>45532</v>
      </c>
      <c r="T67" s="191" t="inlineStr">
        <is>
          <t>CFO Commentary</t>
        </is>
      </c>
      <c r="U67" s="171" t="n"/>
    </row>
    <row r="68">
      <c r="A68" s="154" t="n">
        <v>326</v>
      </c>
      <c r="B68" s="181">
        <f>IF(INDEX(MO_SNA_IsHistoricalPeriod,,MATCH(F68,MO_Common_ColumnHeader,0)),"Historical","Forward")</f>
        <v/>
      </c>
      <c r="C68" s="171" t="n"/>
      <c r="D68" s="188" t="inlineStr">
        <is>
          <t>GAAP Tax Rate</t>
        </is>
      </c>
      <c r="E68" s="182" t="inlineStr">
        <is>
          <t>MO_RIS_TaxRate</t>
        </is>
      </c>
      <c r="F68" s="181" t="inlineStr">
        <is>
          <t>Q3-2025</t>
        </is>
      </c>
      <c r="G68" s="181" t="n"/>
      <c r="H68" s="171" t="n"/>
      <c r="I68" s="185" t="n">
        <v>0.16</v>
      </c>
      <c r="J68" s="185" t="n">
        <v>0.18</v>
      </c>
      <c r="K68" s="185">
        <f>AVERAGE(I68:J68)</f>
        <v/>
      </c>
      <c r="L68" s="171" t="n"/>
      <c r="M68" s="181">
        <f>IF(INDEX(MO_SNA_IsHistoricalPeriod,,MATCH(F68,MO_Common_ColumnHeader,0)),"Actual","Estimate")</f>
        <v/>
      </c>
      <c r="N68" s="185">
        <f>IFERROR(INDEX(INDIRECT(E68),0,MATCH(F68,MO_Common_ColumnHeader,0)),"N/A")</f>
        <v/>
      </c>
      <c r="O68" s="171" t="n"/>
      <c r="P68" s="190">
        <f>IF(ISNUMBER(N68),N68-K68,"N/A")</f>
        <v/>
      </c>
      <c r="Q68" s="190">
        <f>IFERROR(IF(ISNUMBER(N68),(N68-K68)/ABS(K68),"N/A"),"N/A")</f>
        <v/>
      </c>
      <c r="R68" s="171" t="n"/>
      <c r="S68" s="184" t="n">
        <v>45532</v>
      </c>
      <c r="T68" s="191" t="inlineStr">
        <is>
          <t>CFO Commentary</t>
        </is>
      </c>
      <c r="U68" s="171" t="n"/>
    </row>
    <row r="69">
      <c r="A69" s="154" t="n">
        <v>325</v>
      </c>
      <c r="B69" s="181">
        <f>IF(INDEX(MO_SNA_IsHistoricalPeriod,,MATCH(F69,MO_Common_ColumnHeader,0)),"Historical","Forward")</f>
        <v/>
      </c>
      <c r="C69" s="171" t="n"/>
      <c r="D69" s="188">
        <f>INDEX(INDIRECT(E69),0,COLUMN(MO_Common_Column_A))</f>
        <v/>
      </c>
      <c r="E69" s="182" t="inlineStr">
        <is>
          <t>MO_RIS_TaxRate_NONGAAP</t>
        </is>
      </c>
      <c r="F69" s="181" t="inlineStr">
        <is>
          <t>Q3-2025</t>
        </is>
      </c>
      <c r="G69" s="181" t="n"/>
      <c r="H69" s="171" t="n"/>
      <c r="I69" s="185" t="n">
        <v>0.16</v>
      </c>
      <c r="J69" s="185" t="n">
        <v>0.18</v>
      </c>
      <c r="K69" s="185">
        <f>AVERAGE(I69:J69)</f>
        <v/>
      </c>
      <c r="L69" s="171" t="n"/>
      <c r="M69" s="181">
        <f>IF(INDEX(MO_SNA_IsHistoricalPeriod,,MATCH(F69,MO_Common_ColumnHeader,0)),"Actual","Estimate")</f>
        <v/>
      </c>
      <c r="N69" s="185">
        <f>IFERROR(INDEX(INDIRECT(E69),0,MATCH(F69,MO_Common_ColumnHeader,0)),"N/A")</f>
        <v/>
      </c>
      <c r="O69" s="171" t="n"/>
      <c r="P69" s="190">
        <f>IF(ISNUMBER(N69),N69-K69,"N/A")</f>
        <v/>
      </c>
      <c r="Q69" s="190">
        <f>IFERROR(IF(ISNUMBER(N69),(N69-K69)/ABS(K69),"N/A"),"N/A")</f>
        <v/>
      </c>
      <c r="R69" s="171" t="n"/>
      <c r="S69" s="184" t="n">
        <v>45532</v>
      </c>
      <c r="T69" s="191" t="inlineStr">
        <is>
          <t>CFO Commentary</t>
        </is>
      </c>
      <c r="U69" s="171" t="n"/>
    </row>
    <row r="70">
      <c r="A70" s="154" t="n">
        <v>324</v>
      </c>
      <c r="B70" s="171" t="n"/>
      <c r="C70" s="171" t="n"/>
      <c r="D70" s="168" t="n"/>
      <c r="E70" s="169" t="n"/>
      <c r="F70" s="171" t="n"/>
      <c r="G70" s="171" t="n"/>
      <c r="H70" s="171" t="n"/>
      <c r="I70" s="1013" t="n"/>
      <c r="J70" s="1013" t="n"/>
      <c r="K70" s="1013" t="n"/>
      <c r="L70" s="171" t="n"/>
      <c r="M70" s="171" t="n"/>
      <c r="N70" s="1013" t="n"/>
      <c r="O70" s="171" t="n"/>
      <c r="P70" s="172" t="n"/>
      <c r="Q70" s="134" t="n"/>
      <c r="R70" s="171" t="n"/>
      <c r="S70" s="173" t="n"/>
      <c r="T70" s="192" t="inlineStr">
        <is>
          <t>https://investor.nvidia.com/files/doc_financials/2024/Q4FY24/Q4FY24-CFO-Commentary.pdf</t>
        </is>
      </c>
      <c r="U70" s="171" t="n"/>
    </row>
    <row r="71">
      <c r="A71" s="154" t="n">
        <v>323</v>
      </c>
      <c r="B71" s="181">
        <f>IF(INDEX(MO_SNA_IsHistoricalPeriod,,MATCH(F71,MO_Common_ColumnHeader,0)),"Historical","Forward")</f>
        <v/>
      </c>
      <c r="C71" s="171" t="n"/>
      <c r="D71" s="188">
        <f>INDEX(INDIRECT(E71),0,COLUMN(MO_Common_Column_A))</f>
        <v/>
      </c>
      <c r="E71" s="182" t="inlineStr">
        <is>
          <t>MO_MA_GM</t>
        </is>
      </c>
      <c r="F71" s="181" t="inlineStr">
        <is>
          <t>FY2025</t>
        </is>
      </c>
      <c r="G71" s="181" t="n"/>
      <c r="H71" s="171" t="n"/>
      <c r="I71" s="185" t="n">
        <v>0.74</v>
      </c>
      <c r="J71" s="185" t="n">
        <v>0.76</v>
      </c>
      <c r="K71" s="185">
        <f>AVERAGE(I71:J71)</f>
        <v/>
      </c>
      <c r="L71" s="171" t="n"/>
      <c r="M71" s="181">
        <f>IF(INDEX(MO_SNA_IsHistoricalPeriod,,MATCH(F71,MO_Common_ColumnHeader,0)),"Actual","Estimate")</f>
        <v/>
      </c>
      <c r="N71" s="185">
        <f>IFERROR(INDEX(INDIRECT(E71),0,MATCH(F71,MO_Common_ColumnHeader,0)),"N/A")</f>
        <v/>
      </c>
      <c r="O71" s="171" t="n"/>
      <c r="P71" s="190">
        <f>IF(ISNUMBER(N71),N71-K71,"N/A")</f>
        <v/>
      </c>
      <c r="Q71" s="190">
        <f>IFERROR(IF(ISNUMBER(N71),(N71-K71)/ABS(K71),"N/A"),"N/A")</f>
        <v/>
      </c>
      <c r="R71" s="171" t="n"/>
      <c r="S71" s="184" t="n">
        <v>45434</v>
      </c>
      <c r="T71" s="191" t="inlineStr">
        <is>
          <t>CFO Commentary</t>
        </is>
      </c>
      <c r="U71" s="171" t="n"/>
    </row>
    <row r="72">
      <c r="A72" s="154" t="n">
        <v>322</v>
      </c>
      <c r="B72" s="181">
        <f>IF(INDEX(MO_SNA_IsHistoricalPeriod,,MATCH(F72,MO_Common_ColumnHeader,0)),"Historical","Forward")</f>
        <v/>
      </c>
      <c r="C72" s="171" t="n"/>
      <c r="D72" s="188">
        <f>INDEX(INDIRECT(E72),0,COLUMN(MO_Common_Column_A))</f>
        <v/>
      </c>
      <c r="E72" s="182" t="inlineStr">
        <is>
          <t>MO_MA_GM_NONGAAP</t>
        </is>
      </c>
      <c r="F72" s="181" t="inlineStr">
        <is>
          <t>FY2025</t>
        </is>
      </c>
      <c r="G72" s="181" t="n"/>
      <c r="H72" s="171" t="n"/>
      <c r="I72" s="185" t="n">
        <v>0.74</v>
      </c>
      <c r="J72" s="185" t="n">
        <v>0.76</v>
      </c>
      <c r="K72" s="185">
        <f>AVERAGE(I72:J72)</f>
        <v/>
      </c>
      <c r="L72" s="171" t="n"/>
      <c r="M72" s="181">
        <f>IF(INDEX(MO_SNA_IsHistoricalPeriod,,MATCH(F72,MO_Common_ColumnHeader,0)),"Actual","Estimate")</f>
        <v/>
      </c>
      <c r="N72" s="185">
        <f>IFERROR(INDEX(INDIRECT(E72),0,MATCH(F72,MO_Common_ColumnHeader,0)),"N/A")</f>
        <v/>
      </c>
      <c r="O72" s="171" t="n"/>
      <c r="P72" s="190">
        <f>IF(ISNUMBER(N72),N72-K72,"N/A")</f>
        <v/>
      </c>
      <c r="Q72" s="190">
        <f>IFERROR(IF(ISNUMBER(N72),(N72-K72)/ABS(K72),"N/A"),"N/A")</f>
        <v/>
      </c>
      <c r="R72" s="171" t="n"/>
      <c r="S72" s="184" t="n">
        <v>45434</v>
      </c>
      <c r="T72" s="191" t="inlineStr">
        <is>
          <t>CFO Commentary</t>
        </is>
      </c>
      <c r="U72" s="171" t="n"/>
    </row>
    <row r="73">
      <c r="A73" s="154" t="n">
        <v>321</v>
      </c>
      <c r="B73" s="181">
        <f>IF(INDEX(MO_SNA_IsHistoricalPeriod,,MATCH(F73,MO_Common_ColumnHeader,0)),"Historical","Forward")</f>
        <v/>
      </c>
      <c r="C73" s="171" t="n"/>
      <c r="D73" s="188" t="inlineStr">
        <is>
          <t>GAAP Operating Expenses</t>
        </is>
      </c>
      <c r="E73" s="182" t="n"/>
      <c r="F73" s="181" t="inlineStr">
        <is>
          <t>FY2025</t>
        </is>
      </c>
      <c r="G73" s="181" t="inlineStr">
        <is>
          <t>FY2024</t>
        </is>
      </c>
      <c r="H73" s="171" t="n"/>
      <c r="I73" s="185" t="n">
        <v>0.41</v>
      </c>
      <c r="J73" s="185" t="n">
        <v>0.43</v>
      </c>
      <c r="K73" s="185">
        <f>AVERAGE(I73:J73)</f>
        <v/>
      </c>
      <c r="L73" s="171" t="n"/>
      <c r="M73" s="181">
        <f>IF(INDEX(MO_SNA_IsHistoricalPeriod,,MATCH(F73,MO_Common_ColumnHeader,0)),"Actual","Estimate")</f>
        <v/>
      </c>
      <c r="N73" s="185">
        <f>(INDEX(MO_RIS_RD,0,MATCH(F73,MO_Common_ColumnHeader,0))+INDEX(MO_RIS_SGA,0,MATCH(F73,MO_Common_ColumnHeader,0)))/(INDEX(MO_RIS_RD,0,MATCH(G73,MO_Common_ColumnHeader,0))+INDEX(MO_RIS_SGA,0,MATCH(G73,MO_Common_ColumnHeader,0)))-1</f>
        <v/>
      </c>
      <c r="O73" s="171" t="n"/>
      <c r="P73" s="190">
        <f>IF(ISNUMBER(N73),N73-K73,"N/A")</f>
        <v/>
      </c>
      <c r="Q73" s="190">
        <f>IFERROR(IF(ISNUMBER(N73),(N73-K73)/ABS(K73),"N/A"),"N/A")</f>
        <v/>
      </c>
      <c r="R73" s="171" t="n"/>
      <c r="S73" s="184" t="n">
        <v>45434</v>
      </c>
      <c r="T73" s="191" t="inlineStr">
        <is>
          <t>CFO Commentary</t>
        </is>
      </c>
      <c r="U73" s="171" t="n"/>
    </row>
    <row r="74">
      <c r="A74" s="154" t="n">
        <v>320</v>
      </c>
      <c r="B74" s="181">
        <f>IF(INDEX(MO_SNA_IsHistoricalPeriod,,MATCH(F74,MO_Common_ColumnHeader,0)),"Historical","Forward")</f>
        <v/>
      </c>
      <c r="C74" s="171" t="n"/>
      <c r="D74" s="188">
        <f>INDEX(INDIRECT(E74),0,COLUMN(MO_Common_Column_A))</f>
        <v/>
      </c>
      <c r="E74" s="182" t="inlineStr">
        <is>
          <t>MO_OS_OPEX</t>
        </is>
      </c>
      <c r="F74" s="181" t="inlineStr">
        <is>
          <t>FY2025</t>
        </is>
      </c>
      <c r="G74" s="181" t="inlineStr">
        <is>
          <t>FY2024</t>
        </is>
      </c>
      <c r="H74" s="171" t="n"/>
      <c r="I74" s="185" t="n">
        <v>0.41</v>
      </c>
      <c r="J74" s="185" t="n">
        <v>0.43</v>
      </c>
      <c r="K74" s="185">
        <f>AVERAGE(I74:J74)</f>
        <v/>
      </c>
      <c r="L74" s="171" t="n"/>
      <c r="M74" s="181">
        <f>IF(INDEX(MO_SNA_IsHistoricalPeriod,,MATCH(F74,MO_Common_ColumnHeader,0)),"Actual","Estimate")</f>
        <v/>
      </c>
      <c r="N74" s="185">
        <f>(INDEX(MO_RIS_RD,0,MATCH(F74,MO_Common_ColumnHeader,0))+INDEX(MO_RIS_SGA,0,MATCH(F74,MO_Common_ColumnHeader,0)))/(INDEX(MO_RIS_RD,0,MATCH(G74,MO_Common_ColumnHeader,0))+INDEX(MO_RIS_SGA,0,MATCH(G74,MO_Common_ColumnHeader,0)))-1</f>
        <v/>
      </c>
      <c r="O74" s="171" t="n"/>
      <c r="P74" s="190">
        <f>IF(ISNUMBER(N74),N74-K74,"N/A")</f>
        <v/>
      </c>
      <c r="Q74" s="190">
        <f>IFERROR(IF(ISNUMBER(N74),(N74-K74)/ABS(K74),"N/A"),"N/A")</f>
        <v/>
      </c>
      <c r="R74" s="171" t="n"/>
      <c r="S74" s="184" t="n">
        <v>45434</v>
      </c>
      <c r="T74" s="191" t="inlineStr">
        <is>
          <t>CFO Commentary</t>
        </is>
      </c>
      <c r="U74" s="171" t="n"/>
    </row>
    <row r="75">
      <c r="A75" s="154" t="n">
        <v>319</v>
      </c>
      <c r="B75" s="171" t="n"/>
      <c r="C75" s="171" t="n"/>
      <c r="D75" s="168" t="n"/>
      <c r="E75" s="169" t="n"/>
      <c r="F75" s="171" t="n"/>
      <c r="G75" s="171" t="n"/>
      <c r="H75" s="171" t="n"/>
      <c r="I75" s="1013" t="n"/>
      <c r="J75" s="1013" t="n"/>
      <c r="K75" s="1013" t="n"/>
      <c r="L75" s="171" t="n"/>
      <c r="M75" s="171" t="n"/>
      <c r="N75" s="1013" t="n"/>
      <c r="O75" s="171" t="n"/>
      <c r="P75" s="172" t="n"/>
      <c r="Q75" s="134" t="n"/>
      <c r="R75" s="171" t="n"/>
      <c r="S75" s="173" t="n"/>
      <c r="T75" s="192" t="n"/>
      <c r="U75" s="171" t="n"/>
    </row>
    <row r="76">
      <c r="A76" s="154" t="n">
        <v>318</v>
      </c>
      <c r="B76" s="181">
        <f>IF(INDEX(MO_SNA_IsHistoricalPeriod,,MATCH(F76,MO_Common_ColumnHeader,0)),"Historical","Forward")</f>
        <v/>
      </c>
      <c r="C76" s="171" t="n"/>
      <c r="D76" s="188">
        <f>INDEX(INDIRECT(E76),0,COLUMN(MO_Common_Column_A))</f>
        <v/>
      </c>
      <c r="E76" s="182" t="inlineStr">
        <is>
          <t>MO_RIS_REV</t>
        </is>
      </c>
      <c r="F76" s="181" t="inlineStr">
        <is>
          <t>Q2-2025</t>
        </is>
      </c>
      <c r="G76" s="181" t="n"/>
      <c r="H76" s="171" t="n"/>
      <c r="I76" s="183">
        <f>28000*0.98</f>
        <v/>
      </c>
      <c r="J76" s="183">
        <f>28000*1.02</f>
        <v/>
      </c>
      <c r="K76" s="183">
        <f>AVERAGE(I76:J76)</f>
        <v/>
      </c>
      <c r="L76" s="171" t="n"/>
      <c r="M76" s="181">
        <f>IF(INDEX(MO_SNA_IsHistoricalPeriod,,MATCH(F76,MO_Common_ColumnHeader,0)),"Actual","Estimate")</f>
        <v/>
      </c>
      <c r="N76" s="183">
        <f>IFERROR(INDEX(INDIRECT(E76),0,MATCH(F76,MO_Common_ColumnHeader,0)),"N/A")</f>
        <v/>
      </c>
      <c r="O76" s="171" t="n"/>
      <c r="P76" s="189">
        <f>IF(ISNUMBER(N76),N76-K76,"N/A")</f>
        <v/>
      </c>
      <c r="Q76" s="190">
        <f>IFERROR(IF(ISNUMBER(N76),(N76-K76)/ABS(K76),"N/A"),"N/A")</f>
        <v/>
      </c>
      <c r="R76" s="171" t="n"/>
      <c r="S76" s="184" t="n">
        <v>45434</v>
      </c>
      <c r="T76" s="191" t="inlineStr">
        <is>
          <t>CFO Commentary</t>
        </is>
      </c>
      <c r="U76" s="171" t="n"/>
    </row>
    <row r="77">
      <c r="A77" s="154" t="n">
        <v>317</v>
      </c>
      <c r="B77" s="181">
        <f>IF(INDEX(MO_SNA_IsHistoricalPeriod,,MATCH(F77,MO_Common_ColumnHeader,0)),"Historical","Forward")</f>
        <v/>
      </c>
      <c r="C77" s="171" t="n"/>
      <c r="D77" s="188">
        <f>INDEX(INDIRECT(E77),0,COLUMN(MO_Common_Column_A))</f>
        <v/>
      </c>
      <c r="E77" s="182" t="inlineStr">
        <is>
          <t>MO_MA_GM</t>
        </is>
      </c>
      <c r="F77" s="181" t="inlineStr">
        <is>
          <t>Q2-2025</t>
        </is>
      </c>
      <c r="G77" s="181" t="n"/>
      <c r="H77" s="171" t="n"/>
      <c r="I77" s="185" t="n">
        <v>0.743</v>
      </c>
      <c r="J77" s="185" t="n">
        <v>0.753</v>
      </c>
      <c r="K77" s="185">
        <f>AVERAGE(I77:J77)</f>
        <v/>
      </c>
      <c r="L77" s="171" t="n"/>
      <c r="M77" s="181">
        <f>IF(INDEX(MO_SNA_IsHistoricalPeriod,,MATCH(F77,MO_Common_ColumnHeader,0)),"Actual","Estimate")</f>
        <v/>
      </c>
      <c r="N77" s="185">
        <f>IFERROR(INDEX(INDIRECT(E77),0,MATCH(F77,MO_Common_ColumnHeader,0)),"N/A")</f>
        <v/>
      </c>
      <c r="O77" s="171" t="n"/>
      <c r="P77" s="190">
        <f>IF(ISNUMBER(N77),N77-K77,"N/A")</f>
        <v/>
      </c>
      <c r="Q77" s="190">
        <f>IFERROR(IF(ISNUMBER(N77),(N77-K77)/ABS(K77),"N/A"),"N/A")</f>
        <v/>
      </c>
      <c r="R77" s="171" t="n"/>
      <c r="S77" s="184" t="n">
        <v>45434</v>
      </c>
      <c r="T77" s="191" t="inlineStr">
        <is>
          <t>CFO Commentary</t>
        </is>
      </c>
      <c r="U77" s="171" t="n"/>
    </row>
    <row r="78">
      <c r="A78" s="154" t="n">
        <v>316</v>
      </c>
      <c r="B78" s="181">
        <f>IF(INDEX(MO_SNA_IsHistoricalPeriod,,MATCH(F78,MO_Common_ColumnHeader,0)),"Historical","Forward")</f>
        <v/>
      </c>
      <c r="C78" s="171" t="n"/>
      <c r="D78" s="188">
        <f>INDEX(INDIRECT(E78),0,COLUMN(MO_Common_Column_A))</f>
        <v/>
      </c>
      <c r="E78" s="182" t="inlineStr">
        <is>
          <t>MO_MA_GM_NONGAAP</t>
        </is>
      </c>
      <c r="F78" s="181" t="inlineStr">
        <is>
          <t>Q2-2025</t>
        </is>
      </c>
      <c r="G78" s="181" t="n"/>
      <c r="H78" s="171" t="n"/>
      <c r="I78" s="185" t="n">
        <v>0.75</v>
      </c>
      <c r="J78" s="185" t="n">
        <v>0.76</v>
      </c>
      <c r="K78" s="185">
        <f>AVERAGE(I78:J78)</f>
        <v/>
      </c>
      <c r="L78" s="171" t="n"/>
      <c r="M78" s="181">
        <f>IF(INDEX(MO_SNA_IsHistoricalPeriod,,MATCH(F78,MO_Common_ColumnHeader,0)),"Actual","Estimate")</f>
        <v/>
      </c>
      <c r="N78" s="185">
        <f>IFERROR(INDEX(INDIRECT(E78),0,MATCH(F78,MO_Common_ColumnHeader,0)),"N/A")</f>
        <v/>
      </c>
      <c r="O78" s="171" t="n"/>
      <c r="P78" s="190">
        <f>IF(ISNUMBER(N78),N78-K78,"N/A")</f>
        <v/>
      </c>
      <c r="Q78" s="190">
        <f>IFERROR(IF(ISNUMBER(N78),(N78-K78)/ABS(K78),"N/A"),"N/A")</f>
        <v/>
      </c>
      <c r="R78" s="171" t="n"/>
      <c r="S78" s="184" t="n">
        <v>45434</v>
      </c>
      <c r="T78" s="191" t="inlineStr">
        <is>
          <t>CFO Commentary</t>
        </is>
      </c>
      <c r="U78" s="171" t="n"/>
    </row>
    <row r="79">
      <c r="A79" s="154" t="n">
        <v>315</v>
      </c>
      <c r="B79" s="181">
        <f>IF(INDEX(MO_SNA_IsHistoricalPeriod,,MATCH(F79,MO_Common_ColumnHeader,0)),"Historical","Forward")</f>
        <v/>
      </c>
      <c r="C79" s="171" t="n"/>
      <c r="D79" s="188" t="inlineStr">
        <is>
          <t>GAAP Operating Expenses</t>
        </is>
      </c>
      <c r="E79" s="182" t="n"/>
      <c r="F79" s="181" t="inlineStr">
        <is>
          <t>Q2-2025</t>
        </is>
      </c>
      <c r="G79" s="181" t="n"/>
      <c r="H79" s="171" t="n"/>
      <c r="I79" s="183" t="n">
        <v>4000</v>
      </c>
      <c r="J79" s="183" t="n">
        <v>4000</v>
      </c>
      <c r="K79" s="183">
        <f>AVERAGE(I79:J79)</f>
        <v/>
      </c>
      <c r="L79" s="171" t="n"/>
      <c r="M79" s="181">
        <f>IF(INDEX(MO_SNA_IsHistoricalPeriod,,MATCH(F79,MO_Common_ColumnHeader,0)),"Actual","Estimate")</f>
        <v/>
      </c>
      <c r="N79" s="183">
        <f>INDEX(MO_RIS_RD,0,MATCH(F79,MO_Common_ColumnHeader,0))+INDEX(MO_RIS_SGA,0,MATCH(F79,MO_Common_ColumnHeader,0))</f>
        <v/>
      </c>
      <c r="O79" s="171" t="n"/>
      <c r="P79" s="189">
        <f>IF(ISNUMBER(N79),N79-K79,"N/A")</f>
        <v/>
      </c>
      <c r="Q79" s="190">
        <f>IFERROR(IF(ISNUMBER(N79),(N79-K79)/ABS(K79),"N/A"),"N/A")</f>
        <v/>
      </c>
      <c r="R79" s="171" t="n"/>
      <c r="S79" s="184" t="n">
        <v>45434</v>
      </c>
      <c r="T79" s="191" t="inlineStr">
        <is>
          <t>CFO Commentary</t>
        </is>
      </c>
      <c r="U79" s="171" t="n"/>
    </row>
    <row r="80">
      <c r="A80" s="154" t="n">
        <v>314</v>
      </c>
      <c r="B80" s="181">
        <f>IF(INDEX(MO_SNA_IsHistoricalPeriod,,MATCH(F80,MO_Common_ColumnHeader,0)),"Historical","Forward")</f>
        <v/>
      </c>
      <c r="C80" s="171" t="n"/>
      <c r="D80" s="188">
        <f>INDEX(INDIRECT(E80),0,COLUMN(MO_Common_Column_A))</f>
        <v/>
      </c>
      <c r="E80" s="182" t="inlineStr">
        <is>
          <t>MO_OS_OPEX</t>
        </is>
      </c>
      <c r="F80" s="181" t="inlineStr">
        <is>
          <t>Q2-2025</t>
        </is>
      </c>
      <c r="G80" s="181" t="n"/>
      <c r="H80" s="171" t="n"/>
      <c r="I80" s="183" t="n">
        <v>2800</v>
      </c>
      <c r="J80" s="183" t="n">
        <v>2800</v>
      </c>
      <c r="K80" s="183">
        <f>AVERAGE(I80:J80)</f>
        <v/>
      </c>
      <c r="L80" s="171" t="n"/>
      <c r="M80" s="181">
        <f>IF(INDEX(MO_SNA_IsHistoricalPeriod,,MATCH(F80,MO_Common_ColumnHeader,0)),"Actual","Estimate")</f>
        <v/>
      </c>
      <c r="N80" s="183">
        <f>IFERROR(INDEX(INDIRECT(E80),0,MATCH(F80,MO_Common_ColumnHeader,0)),"N/A")</f>
        <v/>
      </c>
      <c r="O80" s="171" t="n"/>
      <c r="P80" s="189">
        <f>IF(ISNUMBER(N80),N80-K80,"N/A")</f>
        <v/>
      </c>
      <c r="Q80" s="190">
        <f>IFERROR(IF(ISNUMBER(N80),(N80-K80)/ABS(K80),"N/A"),"N/A")</f>
        <v/>
      </c>
      <c r="R80" s="171" t="n"/>
      <c r="S80" s="184" t="n">
        <v>45434</v>
      </c>
      <c r="T80" s="191" t="inlineStr">
        <is>
          <t>CFO Commentary</t>
        </is>
      </c>
      <c r="U80" s="171" t="n"/>
    </row>
    <row r="81">
      <c r="A81" s="154" t="n">
        <v>313</v>
      </c>
      <c r="B81" s="181">
        <f>IF(INDEX(MO_SNA_IsHistoricalPeriod,,MATCH(F81,MO_Common_ColumnHeader,0)),"Historical","Forward")</f>
        <v/>
      </c>
      <c r="C81" s="171" t="n"/>
      <c r="D81" s="188" t="inlineStr">
        <is>
          <t>GAAP Other Income</t>
        </is>
      </c>
      <c r="E81" s="182" t="n"/>
      <c r="F81" s="181" t="inlineStr">
        <is>
          <t>Q2-2025</t>
        </is>
      </c>
      <c r="G81" s="181" t="n"/>
      <c r="H81" s="171" t="n"/>
      <c r="I81" s="183" t="n">
        <v>-300</v>
      </c>
      <c r="J81" s="183" t="n">
        <v>-300</v>
      </c>
      <c r="K81" s="183">
        <f>AVERAGE(I81:J81)</f>
        <v/>
      </c>
      <c r="L81" s="171" t="n"/>
      <c r="M81" s="181">
        <f>IF(INDEX(MO_SNA_IsHistoricalPeriod,,MATCH(F81,MO_Common_ColumnHeader,0)),"Actual","Estimate")</f>
        <v/>
      </c>
      <c r="N81" s="183">
        <f>IFERROR(INDEX(INDIRECT(E81),0,MATCH(F81,MO_Common_ColumnHeader,0)),"N/A")</f>
        <v/>
      </c>
      <c r="O81" s="171" t="n"/>
      <c r="P81" s="189">
        <f>IF(ISNUMBER(N81),N81-K81,"N/A")</f>
        <v/>
      </c>
      <c r="Q81" s="190">
        <f>IFERROR(IF(ISNUMBER(N81),(N81-K81)/ABS(K81),"N/A"),"N/A")</f>
        <v/>
      </c>
      <c r="R81" s="171" t="n"/>
      <c r="S81" s="184" t="n">
        <v>45434</v>
      </c>
      <c r="T81" s="191" t="inlineStr">
        <is>
          <t>CFO Commentary</t>
        </is>
      </c>
      <c r="U81" s="171" t="n"/>
    </row>
    <row r="82">
      <c r="A82" s="154" t="n">
        <v>312</v>
      </c>
      <c r="B82" s="181">
        <f>IF(INDEX(MO_SNA_IsHistoricalPeriod,,MATCH(F82,MO_Common_ColumnHeader,0)),"Historical","Forward")</f>
        <v/>
      </c>
      <c r="C82" s="171" t="n"/>
      <c r="D82" s="188" t="inlineStr">
        <is>
          <t>Non-GAAP Other Income</t>
        </is>
      </c>
      <c r="E82" s="182" t="n"/>
      <c r="F82" s="181" t="inlineStr">
        <is>
          <t>Q2-2025</t>
        </is>
      </c>
      <c r="G82" s="181" t="n"/>
      <c r="H82" s="171" t="n"/>
      <c r="I82" s="183" t="n">
        <v>-300</v>
      </c>
      <c r="J82" s="183" t="n">
        <v>-300</v>
      </c>
      <c r="K82" s="183">
        <f>AVERAGE(I82:J82)</f>
        <v/>
      </c>
      <c r="L82" s="171" t="n"/>
      <c r="M82" s="181">
        <f>IF(INDEX(MO_SNA_IsHistoricalPeriod,,MATCH(F82,MO_Common_ColumnHeader,0)),"Actual","Estimate")</f>
        <v/>
      </c>
      <c r="N82" s="183">
        <f>INDEX(MO_RIS_IE_Net_NONGAAP,0,MATCH(F82,MO_Common_ColumnHeader,0))+INDEX(MO_RIS_OI_NONGAAP,0,MATCH(F82,MO_Common_ColumnHeader,0))</f>
        <v/>
      </c>
      <c r="O82" s="171" t="n"/>
      <c r="P82" s="189">
        <f>IF(ISNUMBER(N82),N82-K82,"N/A")</f>
        <v/>
      </c>
      <c r="Q82" s="190">
        <f>IFERROR(IF(ISNUMBER(N82),(N82-K82)/ABS(K82),"N/A"),"N/A")</f>
        <v/>
      </c>
      <c r="R82" s="171" t="n"/>
      <c r="S82" s="184" t="n">
        <v>45434</v>
      </c>
      <c r="T82" s="191" t="inlineStr">
        <is>
          <t>CFO Commentary</t>
        </is>
      </c>
      <c r="U82" s="171" t="n"/>
    </row>
    <row r="83">
      <c r="A83" s="154" t="n">
        <v>311</v>
      </c>
      <c r="B83" s="181">
        <f>IF(INDEX(MO_SNA_IsHistoricalPeriod,,MATCH(F83,MO_Common_ColumnHeader,0)),"Historical","Forward")</f>
        <v/>
      </c>
      <c r="C83" s="171" t="n"/>
      <c r="D83" s="188" t="inlineStr">
        <is>
          <t>GAAP Tax Rate</t>
        </is>
      </c>
      <c r="E83" s="182" t="inlineStr">
        <is>
          <t>MO_RIS_TaxRate</t>
        </is>
      </c>
      <c r="F83" s="181" t="inlineStr">
        <is>
          <t>Q2-2025</t>
        </is>
      </c>
      <c r="G83" s="181" t="n"/>
      <c r="H83" s="171" t="n"/>
      <c r="I83" s="185" t="n">
        <v>0.16</v>
      </c>
      <c r="J83" s="185" t="n">
        <v>0.18</v>
      </c>
      <c r="K83" s="185">
        <f>AVERAGE(I83:J83)</f>
        <v/>
      </c>
      <c r="L83" s="171" t="n"/>
      <c r="M83" s="181">
        <f>IF(INDEX(MO_SNA_IsHistoricalPeriod,,MATCH(F83,MO_Common_ColumnHeader,0)),"Actual","Estimate")</f>
        <v/>
      </c>
      <c r="N83" s="185">
        <f>IFERROR(INDEX(INDIRECT(E83),0,MATCH(F83,MO_Common_ColumnHeader,0)),"N/A")</f>
        <v/>
      </c>
      <c r="O83" s="171" t="n"/>
      <c r="P83" s="190">
        <f>IF(ISNUMBER(N83),N83-K83,"N/A")</f>
        <v/>
      </c>
      <c r="Q83" s="190">
        <f>IFERROR(IF(ISNUMBER(N83),(N83-K83)/ABS(K83),"N/A"),"N/A")</f>
        <v/>
      </c>
      <c r="R83" s="171" t="n"/>
      <c r="S83" s="184" t="n">
        <v>45434</v>
      </c>
      <c r="T83" s="191" t="inlineStr">
        <is>
          <t>CFO Commentary</t>
        </is>
      </c>
      <c r="U83" s="171" t="n"/>
    </row>
    <row r="84">
      <c r="A84" s="154" t="n">
        <v>310</v>
      </c>
      <c r="B84" s="181">
        <f>IF(INDEX(MO_SNA_IsHistoricalPeriod,,MATCH(F84,MO_Common_ColumnHeader,0)),"Historical","Forward")</f>
        <v/>
      </c>
      <c r="C84" s="171" t="n"/>
      <c r="D84" s="188">
        <f>INDEX(INDIRECT(E84),0,COLUMN(MO_Common_Column_A))</f>
        <v/>
      </c>
      <c r="E84" s="182" t="inlineStr">
        <is>
          <t>MO_RIS_TaxRate_NONGAAP</t>
        </is>
      </c>
      <c r="F84" s="181" t="inlineStr">
        <is>
          <t>Q2-2025</t>
        </is>
      </c>
      <c r="G84" s="181" t="n"/>
      <c r="H84" s="171" t="n"/>
      <c r="I84" s="185" t="n">
        <v>0.16</v>
      </c>
      <c r="J84" s="185" t="n">
        <v>0.18</v>
      </c>
      <c r="K84" s="185">
        <f>AVERAGE(I84:J84)</f>
        <v/>
      </c>
      <c r="L84" s="171" t="n"/>
      <c r="M84" s="181">
        <f>IF(INDEX(MO_SNA_IsHistoricalPeriod,,MATCH(F84,MO_Common_ColumnHeader,0)),"Actual","Estimate")</f>
        <v/>
      </c>
      <c r="N84" s="185">
        <f>IFERROR(INDEX(INDIRECT(E84),0,MATCH(F84,MO_Common_ColumnHeader,0)),"N/A")</f>
        <v/>
      </c>
      <c r="O84" s="171" t="n"/>
      <c r="P84" s="190">
        <f>IF(ISNUMBER(N84),N84-K84,"N/A")</f>
        <v/>
      </c>
      <c r="Q84" s="190">
        <f>IFERROR(IF(ISNUMBER(N84),(N84-K84)/ABS(K84),"N/A"),"N/A")</f>
        <v/>
      </c>
      <c r="R84" s="171" t="n"/>
      <c r="S84" s="184" t="n">
        <v>45434</v>
      </c>
      <c r="T84" s="191" t="inlineStr">
        <is>
          <t>CFO Commentary</t>
        </is>
      </c>
      <c r="U84" s="171" t="n"/>
    </row>
    <row r="85">
      <c r="A85" s="154" t="n">
        <v>309</v>
      </c>
      <c r="B85" s="171" t="n"/>
      <c r="C85" s="171" t="n"/>
      <c r="D85" s="168" t="n"/>
      <c r="E85" s="169" t="n"/>
      <c r="F85" s="171" t="n"/>
      <c r="G85" s="171" t="n"/>
      <c r="H85" s="171" t="n"/>
      <c r="I85" s="1013" t="n"/>
      <c r="J85" s="1013" t="n"/>
      <c r="K85" s="1013" t="n"/>
      <c r="L85" s="171" t="n"/>
      <c r="M85" s="171" t="n"/>
      <c r="N85" s="1013" t="n"/>
      <c r="O85" s="171" t="n"/>
      <c r="P85" s="172" t="n"/>
      <c r="Q85" s="134" t="n"/>
      <c r="R85" s="171" t="n"/>
      <c r="S85" s="173" t="n"/>
      <c r="T85" s="192" t="n"/>
      <c r="U85" s="171" t="n"/>
    </row>
    <row r="86">
      <c r="A86" s="154" t="n">
        <v>308</v>
      </c>
      <c r="B86" s="181">
        <f>IF(INDEX(MO_SNA_IsHistoricalPeriod,,MATCH(F86,MO_Common_ColumnHeader,0)),"Historical","Forward")</f>
        <v/>
      </c>
      <c r="C86" s="171" t="n"/>
      <c r="D86" s="188">
        <f>INDEX(INDIRECT(E86),0,COLUMN(MO_Common_Column_A))</f>
        <v/>
      </c>
      <c r="E86" s="182" t="inlineStr">
        <is>
          <t>MO_RIS_REV</t>
        </is>
      </c>
      <c r="F86" s="181" t="inlineStr">
        <is>
          <t>Q1-2025</t>
        </is>
      </c>
      <c r="G86" s="181" t="n"/>
      <c r="H86" s="171" t="n"/>
      <c r="I86" s="183" t="n">
        <v>23520</v>
      </c>
      <c r="J86" s="183" t="n">
        <v>24480</v>
      </c>
      <c r="K86" s="183">
        <f>AVERAGE(I86:J86)</f>
        <v/>
      </c>
      <c r="L86" s="171" t="n"/>
      <c r="M86" s="181">
        <f>IF(INDEX(MO_SNA_IsHistoricalPeriod,,MATCH(F86,MO_Common_ColumnHeader,0)),"Actual","Estimate")</f>
        <v/>
      </c>
      <c r="N86" s="183">
        <f>IFERROR(INDEX(INDIRECT(E86),0,MATCH(F86,MO_Common_ColumnHeader,0)),"N/A")</f>
        <v/>
      </c>
      <c r="O86" s="171" t="n"/>
      <c r="P86" s="189">
        <f>IF(ISNUMBER(N86),N86-K86,"N/A")</f>
        <v/>
      </c>
      <c r="Q86" s="190">
        <f>IFERROR(IF(ISNUMBER(N86),(N86-K86)/ABS(K86),"N/A"),"N/A")</f>
        <v/>
      </c>
      <c r="R86" s="171" t="n"/>
      <c r="S86" s="184" t="n">
        <v>45343</v>
      </c>
      <c r="T86" s="191" t="inlineStr">
        <is>
          <t>CFO Commentary</t>
        </is>
      </c>
      <c r="U86" s="171" t="n"/>
    </row>
    <row r="87">
      <c r="A87" s="154" t="n">
        <v>307</v>
      </c>
      <c r="B87" s="181">
        <f>IF(INDEX(MO_SNA_IsHistoricalPeriod,,MATCH(F87,MO_Common_ColumnHeader,0)),"Historical","Forward")</f>
        <v/>
      </c>
      <c r="C87" s="171" t="n"/>
      <c r="D87" s="188">
        <f>INDEX(INDIRECT(E87),0,COLUMN(MO_Common_Column_A))</f>
        <v/>
      </c>
      <c r="E87" s="182" t="inlineStr">
        <is>
          <t>MO_MA_GM</t>
        </is>
      </c>
      <c r="F87" s="181" t="inlineStr">
        <is>
          <t>Q1-2025</t>
        </is>
      </c>
      <c r="G87" s="181" t="n"/>
      <c r="H87" s="171" t="n"/>
      <c r="I87" s="185" t="n">
        <v>0.758</v>
      </c>
      <c r="J87" s="185" t="n">
        <v>0.768</v>
      </c>
      <c r="K87" s="185">
        <f>AVERAGE(I87:J87)</f>
        <v/>
      </c>
      <c r="L87" s="171" t="n"/>
      <c r="M87" s="181">
        <f>IF(INDEX(MO_SNA_IsHistoricalPeriod,,MATCH(F87,MO_Common_ColumnHeader,0)),"Actual","Estimate")</f>
        <v/>
      </c>
      <c r="N87" s="185">
        <f>IFERROR(INDEX(INDIRECT(E87),0,MATCH(F87,MO_Common_ColumnHeader,0)),"N/A")</f>
        <v/>
      </c>
      <c r="O87" s="171" t="n"/>
      <c r="P87" s="190">
        <f>IF(ISNUMBER(N87),N87-K87,"N/A")</f>
        <v/>
      </c>
      <c r="Q87" s="190">
        <f>IFERROR(IF(ISNUMBER(N87),(N87-K87)/ABS(K87),"N/A"),"N/A")</f>
        <v/>
      </c>
      <c r="R87" s="171" t="n"/>
      <c r="S87" s="184" t="n">
        <v>45343</v>
      </c>
      <c r="T87" s="191" t="inlineStr">
        <is>
          <t>CFO Commentary</t>
        </is>
      </c>
      <c r="U87" s="171" t="n"/>
    </row>
    <row r="88">
      <c r="A88" s="154" t="n">
        <v>306</v>
      </c>
      <c r="B88" s="181">
        <f>IF(INDEX(MO_SNA_IsHistoricalPeriod,,MATCH(F88,MO_Common_ColumnHeader,0)),"Historical","Forward")</f>
        <v/>
      </c>
      <c r="C88" s="171" t="n"/>
      <c r="D88" s="188">
        <f>INDEX(INDIRECT(E88),0,COLUMN(MO_Common_Column_A))</f>
        <v/>
      </c>
      <c r="E88" s="182" t="inlineStr">
        <is>
          <t>MO_MA_GM_NONGAAP</t>
        </is>
      </c>
      <c r="F88" s="181" t="inlineStr">
        <is>
          <t>Q1-2025</t>
        </is>
      </c>
      <c r="G88" s="181" t="n"/>
      <c r="H88" s="171" t="n"/>
      <c r="I88" s="185" t="n">
        <v>0.765</v>
      </c>
      <c r="J88" s="185" t="n">
        <v>0.775</v>
      </c>
      <c r="K88" s="185">
        <f>AVERAGE(I88:J88)</f>
        <v/>
      </c>
      <c r="L88" s="171" t="n"/>
      <c r="M88" s="181">
        <f>IF(INDEX(MO_SNA_IsHistoricalPeriod,,MATCH(F88,MO_Common_ColumnHeader,0)),"Actual","Estimate")</f>
        <v/>
      </c>
      <c r="N88" s="185">
        <f>IFERROR(INDEX(INDIRECT(E88),0,MATCH(F88,MO_Common_ColumnHeader,0)),"N/A")</f>
        <v/>
      </c>
      <c r="O88" s="171" t="n"/>
      <c r="P88" s="190">
        <f>IF(ISNUMBER(N88),N88-K88,"N/A")</f>
        <v/>
      </c>
      <c r="Q88" s="190">
        <f>IFERROR(IF(ISNUMBER(N88),(N88-K88)/ABS(K88),"N/A"),"N/A")</f>
        <v/>
      </c>
      <c r="R88" s="171" t="n"/>
      <c r="S88" s="184" t="n">
        <v>45343</v>
      </c>
      <c r="T88" s="191" t="inlineStr">
        <is>
          <t>CFO Commentary</t>
        </is>
      </c>
      <c r="U88" s="171" t="n"/>
    </row>
    <row r="89">
      <c r="A89" s="154" t="n">
        <v>305</v>
      </c>
      <c r="B89" s="181">
        <f>IF(INDEX(MO_SNA_IsHistoricalPeriod,,MATCH(F89,MO_Common_ColumnHeader,0)),"Historical","Forward")</f>
        <v/>
      </c>
      <c r="C89" s="171" t="n"/>
      <c r="D89" s="188" t="inlineStr">
        <is>
          <t>GAAP Operating Expenses</t>
        </is>
      </c>
      <c r="E89" s="182" t="n"/>
      <c r="F89" s="181" t="inlineStr">
        <is>
          <t>Q1-2025</t>
        </is>
      </c>
      <c r="G89" s="181" t="n"/>
      <c r="H89" s="171" t="n"/>
      <c r="I89" s="183" t="n">
        <v>3500</v>
      </c>
      <c r="J89" s="183" t="n">
        <v>3500</v>
      </c>
      <c r="K89" s="183">
        <f>AVERAGE(I89:J89)</f>
        <v/>
      </c>
      <c r="L89" s="171" t="n"/>
      <c r="M89" s="181">
        <f>IF(INDEX(MO_SNA_IsHistoricalPeriod,,MATCH(F89,MO_Common_ColumnHeader,0)),"Actual","Estimate")</f>
        <v/>
      </c>
      <c r="N89" s="183">
        <f>INDEX(MO_RIS_RD,0,MATCH(F89,MO_Common_ColumnHeader,0))+INDEX(MO_RIS_SGA,0,MATCH(F89,MO_Common_ColumnHeader,0))</f>
        <v/>
      </c>
      <c r="O89" s="171" t="n"/>
      <c r="P89" s="189">
        <f>IF(ISNUMBER(N89),N89-K89,"N/A")</f>
        <v/>
      </c>
      <c r="Q89" s="190">
        <f>IFERROR(IF(ISNUMBER(N89),(N89-K89)/ABS(K89),"N/A"),"N/A")</f>
        <v/>
      </c>
      <c r="R89" s="171" t="n"/>
      <c r="S89" s="184" t="n">
        <v>45343</v>
      </c>
      <c r="T89" s="191" t="inlineStr">
        <is>
          <t>CFO Commentary</t>
        </is>
      </c>
      <c r="U89" s="171" t="n"/>
    </row>
    <row r="90">
      <c r="A90" s="154" t="n">
        <v>304</v>
      </c>
      <c r="B90" s="181">
        <f>IF(INDEX(MO_SNA_IsHistoricalPeriod,,MATCH(F90,MO_Common_ColumnHeader,0)),"Historical","Forward")</f>
        <v/>
      </c>
      <c r="C90" s="171" t="n"/>
      <c r="D90" s="188">
        <f>INDEX(INDIRECT(E90),0,COLUMN(MO_Common_Column_A))</f>
        <v/>
      </c>
      <c r="E90" s="182" t="inlineStr">
        <is>
          <t>MO_OS_OPEX</t>
        </is>
      </c>
      <c r="F90" s="181" t="inlineStr">
        <is>
          <t>Q1-2025</t>
        </is>
      </c>
      <c r="G90" s="181" t="n"/>
      <c r="H90" s="171" t="n"/>
      <c r="I90" s="183" t="n">
        <v>2500</v>
      </c>
      <c r="J90" s="183" t="n">
        <v>2500</v>
      </c>
      <c r="K90" s="183">
        <f>AVERAGE(I90:J90)</f>
        <v/>
      </c>
      <c r="L90" s="171" t="n"/>
      <c r="M90" s="181">
        <f>IF(INDEX(MO_SNA_IsHistoricalPeriod,,MATCH(F90,MO_Common_ColumnHeader,0)),"Actual","Estimate")</f>
        <v/>
      </c>
      <c r="N90" s="183">
        <f>IFERROR(INDEX(INDIRECT(E90),0,MATCH(F90,MO_Common_ColumnHeader,0)),"N/A")</f>
        <v/>
      </c>
      <c r="O90" s="171" t="n"/>
      <c r="P90" s="189">
        <f>IF(ISNUMBER(N90),N90-K90,"N/A")</f>
        <v/>
      </c>
      <c r="Q90" s="190">
        <f>IFERROR(IF(ISNUMBER(N90),(N90-K90)/ABS(K90),"N/A"),"N/A")</f>
        <v/>
      </c>
      <c r="R90" s="171" t="n"/>
      <c r="S90" s="184" t="n">
        <v>45343</v>
      </c>
      <c r="T90" s="191" t="inlineStr">
        <is>
          <t>CFO Commentary</t>
        </is>
      </c>
      <c r="U90" s="171" t="n"/>
    </row>
    <row r="91">
      <c r="A91" s="154" t="n">
        <v>303</v>
      </c>
      <c r="B91" s="181">
        <f>IF(INDEX(MO_SNA_IsHistoricalPeriod,,MATCH(F91,MO_Common_ColumnHeader,0)),"Historical","Forward")</f>
        <v/>
      </c>
      <c r="C91" s="171" t="n"/>
      <c r="D91" s="188" t="inlineStr">
        <is>
          <t>GAAP Other Income</t>
        </is>
      </c>
      <c r="E91" s="182" t="n"/>
      <c r="F91" s="181" t="inlineStr">
        <is>
          <t>Q1-2025</t>
        </is>
      </c>
      <c r="G91" s="181" t="n"/>
      <c r="H91" s="171" t="n"/>
      <c r="I91" s="183" t="n">
        <v>-250</v>
      </c>
      <c r="J91" s="183" t="n">
        <v>-250</v>
      </c>
      <c r="K91" s="183">
        <f>AVERAGE(I91:J91)</f>
        <v/>
      </c>
      <c r="L91" s="171" t="n"/>
      <c r="M91" s="181">
        <f>IF(INDEX(MO_SNA_IsHistoricalPeriod,,MATCH(F91,MO_Common_ColumnHeader,0)),"Actual","Estimate")</f>
        <v/>
      </c>
      <c r="N91" s="183">
        <f>IFERROR(INDEX(INDIRECT(E91),0,MATCH(F91,MO_Common_ColumnHeader,0)),"N/A")</f>
        <v/>
      </c>
      <c r="O91" s="171" t="n"/>
      <c r="P91" s="189">
        <f>IF(ISNUMBER(N91),N91-K91,"N/A")</f>
        <v/>
      </c>
      <c r="Q91" s="190">
        <f>IFERROR(IF(ISNUMBER(N91),(N91-K91)/ABS(K91),"N/A"),"N/A")</f>
        <v/>
      </c>
      <c r="R91" s="171" t="n"/>
      <c r="S91" s="184" t="n">
        <v>45343</v>
      </c>
      <c r="T91" s="191" t="inlineStr">
        <is>
          <t>CFO Commentary</t>
        </is>
      </c>
      <c r="U91" s="171" t="n"/>
    </row>
    <row r="92">
      <c r="A92" s="154" t="n">
        <v>302</v>
      </c>
      <c r="B92" s="181">
        <f>IF(INDEX(MO_SNA_IsHistoricalPeriod,,MATCH(F92,MO_Common_ColumnHeader,0)),"Historical","Forward")</f>
        <v/>
      </c>
      <c r="C92" s="171" t="n"/>
      <c r="D92" s="188" t="inlineStr">
        <is>
          <t>Non-GAAP Other Income</t>
        </is>
      </c>
      <c r="E92" s="182" t="n"/>
      <c r="F92" s="181" t="inlineStr">
        <is>
          <t>Q1-2025</t>
        </is>
      </c>
      <c r="G92" s="181" t="n"/>
      <c r="H92" s="171" t="n"/>
      <c r="I92" s="183" t="n">
        <v>-250</v>
      </c>
      <c r="J92" s="183" t="n">
        <v>-250</v>
      </c>
      <c r="K92" s="183">
        <f>AVERAGE(I92:J92)</f>
        <v/>
      </c>
      <c r="L92" s="171" t="n"/>
      <c r="M92" s="181">
        <f>IF(INDEX(MO_SNA_IsHistoricalPeriod,,MATCH(F92,MO_Common_ColumnHeader,0)),"Actual","Estimate")</f>
        <v/>
      </c>
      <c r="N92" s="183">
        <f>INDEX(MO_RIS_IE_Net_NONGAAP,0,MATCH(F92,MO_Common_ColumnHeader,0))+INDEX(MO_RIS_OI_NONGAAP,0,MATCH(F92,MO_Common_ColumnHeader,0))</f>
        <v/>
      </c>
      <c r="O92" s="171" t="n"/>
      <c r="P92" s="189">
        <f>IF(ISNUMBER(N92),N92-K92,"N/A")</f>
        <v/>
      </c>
      <c r="Q92" s="190">
        <f>IFERROR(IF(ISNUMBER(N92),(N92-K92)/ABS(K92),"N/A"),"N/A")</f>
        <v/>
      </c>
      <c r="R92" s="171" t="n"/>
      <c r="S92" s="184" t="n">
        <v>45343</v>
      </c>
      <c r="T92" s="191" t="inlineStr">
        <is>
          <t>CFO Commentary</t>
        </is>
      </c>
      <c r="U92" s="171" t="n"/>
    </row>
    <row r="93">
      <c r="A93" s="154" t="n">
        <v>301</v>
      </c>
      <c r="B93" s="181">
        <f>IF(INDEX(MO_SNA_IsHistoricalPeriod,,MATCH(F93,MO_Common_ColumnHeader,0)),"Historical","Forward")</f>
        <v/>
      </c>
      <c r="C93" s="171" t="n"/>
      <c r="D93" s="188" t="inlineStr">
        <is>
          <t>GAAP Tax Rate</t>
        </is>
      </c>
      <c r="E93" s="182" t="inlineStr">
        <is>
          <t>MO_RIS_TaxRate</t>
        </is>
      </c>
      <c r="F93" s="181" t="inlineStr">
        <is>
          <t>Q1-2025</t>
        </is>
      </c>
      <c r="G93" s="181" t="n"/>
      <c r="H93" s="171" t="n"/>
      <c r="I93" s="185" t="n">
        <v>0.16</v>
      </c>
      <c r="J93" s="185" t="n">
        <v>0.18</v>
      </c>
      <c r="K93" s="185">
        <f>AVERAGE(I93:J93)</f>
        <v/>
      </c>
      <c r="L93" s="171" t="n"/>
      <c r="M93" s="181">
        <f>IF(INDEX(MO_SNA_IsHistoricalPeriod,,MATCH(F93,MO_Common_ColumnHeader,0)),"Actual","Estimate")</f>
        <v/>
      </c>
      <c r="N93" s="185">
        <f>IFERROR(INDEX(INDIRECT(E93),0,MATCH(F93,MO_Common_ColumnHeader,0)),"N/A")</f>
        <v/>
      </c>
      <c r="O93" s="171" t="n"/>
      <c r="P93" s="190">
        <f>IF(ISNUMBER(N93),N93-K93,"N/A")</f>
        <v/>
      </c>
      <c r="Q93" s="190">
        <f>IFERROR(IF(ISNUMBER(N93),(N93-K93)/ABS(K93),"N/A"),"N/A")</f>
        <v/>
      </c>
      <c r="R93" s="171" t="n"/>
      <c r="S93" s="184" t="n">
        <v>45343</v>
      </c>
      <c r="T93" s="191" t="inlineStr">
        <is>
          <t>CFO Commentary</t>
        </is>
      </c>
      <c r="U93" s="171" t="n"/>
    </row>
    <row r="94">
      <c r="A94" s="154" t="n">
        <v>300</v>
      </c>
      <c r="B94" s="181">
        <f>IF(INDEX(MO_SNA_IsHistoricalPeriod,,MATCH(F94,MO_Common_ColumnHeader,0)),"Historical","Forward")</f>
        <v/>
      </c>
      <c r="C94" s="171" t="n"/>
      <c r="D94" s="188">
        <f>INDEX(INDIRECT(E94),0,COLUMN(MO_Common_Column_A))</f>
        <v/>
      </c>
      <c r="E94" s="182" t="inlineStr">
        <is>
          <t>MO_RIS_TaxRate_NONGAAP</t>
        </is>
      </c>
      <c r="F94" s="181" t="inlineStr">
        <is>
          <t>Q1-2025</t>
        </is>
      </c>
      <c r="G94" s="181" t="n"/>
      <c r="H94" s="171" t="n"/>
      <c r="I94" s="185" t="n">
        <v>0.16</v>
      </c>
      <c r="J94" s="185" t="n">
        <v>0.18</v>
      </c>
      <c r="K94" s="185">
        <f>AVERAGE(I94:J94)</f>
        <v/>
      </c>
      <c r="L94" s="171" t="n"/>
      <c r="M94" s="181">
        <f>IF(INDEX(MO_SNA_IsHistoricalPeriod,,MATCH(F94,MO_Common_ColumnHeader,0)),"Actual","Estimate")</f>
        <v/>
      </c>
      <c r="N94" s="185">
        <f>IFERROR(INDEX(INDIRECT(E94),0,MATCH(F94,MO_Common_ColumnHeader,0)),"N/A")</f>
        <v/>
      </c>
      <c r="O94" s="171" t="n"/>
      <c r="P94" s="190">
        <f>IF(ISNUMBER(N94),N94-K94,"N/A")</f>
        <v/>
      </c>
      <c r="Q94" s="190">
        <f>IFERROR(IF(ISNUMBER(N94),(N94-K94)/ABS(K94),"N/A"),"N/A")</f>
        <v/>
      </c>
      <c r="R94" s="171" t="n"/>
      <c r="S94" s="184" t="n">
        <v>45343</v>
      </c>
      <c r="T94" s="191" t="inlineStr">
        <is>
          <t>CFO Commentary</t>
        </is>
      </c>
      <c r="U94" s="171" t="n"/>
    </row>
    <row r="95">
      <c r="A95" s="154" t="n">
        <v>299</v>
      </c>
      <c r="B95" s="171" t="n"/>
      <c r="C95" s="171" t="n"/>
      <c r="D95" s="168" t="n"/>
      <c r="E95" s="169" t="n"/>
      <c r="F95" s="171" t="n"/>
      <c r="G95" s="171" t="n"/>
      <c r="H95" s="171" t="n"/>
      <c r="I95" s="1013" t="n"/>
      <c r="J95" s="1013" t="n"/>
      <c r="K95" s="1013" t="n"/>
      <c r="L95" s="171" t="n"/>
      <c r="M95" s="171" t="n"/>
      <c r="N95" s="1013" t="n"/>
      <c r="O95" s="171" t="n"/>
      <c r="P95" s="172" t="n"/>
      <c r="Q95" s="134" t="n"/>
      <c r="R95" s="171" t="n"/>
      <c r="S95" s="173" t="n"/>
      <c r="T95" s="192" t="n"/>
      <c r="U95" s="171" t="n"/>
    </row>
    <row r="96">
      <c r="A96" s="154" t="n">
        <v>298</v>
      </c>
      <c r="B96" s="181">
        <f>IF(INDEX(MO_SNA_IsHistoricalPeriod,,MATCH(F96,MO_Common_ColumnHeader,0)),"Historical","Forward")</f>
        <v/>
      </c>
      <c r="C96" s="171" t="n"/>
      <c r="D96" s="188">
        <f>INDEX(INDIRECT(E96),0,COLUMN(MO_Common_Column_A))</f>
        <v/>
      </c>
      <c r="E96" s="182" t="inlineStr">
        <is>
          <t>MO_RIS_REV</t>
        </is>
      </c>
      <c r="F96" s="181" t="inlineStr">
        <is>
          <t>Q4-2024</t>
        </is>
      </c>
      <c r="G96" s="181" t="n"/>
      <c r="H96" s="171" t="n"/>
      <c r="I96" s="183">
        <f>20000*0.98</f>
        <v/>
      </c>
      <c r="J96" s="183">
        <f>20000*1.02</f>
        <v/>
      </c>
      <c r="K96" s="183">
        <f>AVERAGE(I96:J96)</f>
        <v/>
      </c>
      <c r="L96" s="171" t="n"/>
      <c r="M96" s="181">
        <f>IF(INDEX(MO_SNA_IsHistoricalPeriod,,MATCH(F96,MO_Common_ColumnHeader,0)),"Actual","Estimate")</f>
        <v/>
      </c>
      <c r="N96" s="183">
        <f>IFERROR(INDEX(INDIRECT(E96),0,MATCH(F96,MO_Common_ColumnHeader,0)),"N/A")</f>
        <v/>
      </c>
      <c r="O96" s="171" t="n"/>
      <c r="P96" s="189">
        <f>IF(ISNUMBER(N96),N96-K96,"N/A")</f>
        <v/>
      </c>
      <c r="Q96" s="190">
        <f>IFERROR(IF(ISNUMBER(N96),(N96-K96)/ABS(K96),"N/A"),"N/A")</f>
        <v/>
      </c>
      <c r="R96" s="171" t="n"/>
      <c r="S96" s="184" t="n">
        <v>45251</v>
      </c>
      <c r="T96" s="191" t="inlineStr">
        <is>
          <t>CFO Commentary</t>
        </is>
      </c>
      <c r="U96" s="171" t="n"/>
    </row>
    <row r="97">
      <c r="A97" s="154" t="n">
        <v>297</v>
      </c>
      <c r="B97" s="181">
        <f>IF(INDEX(MO_SNA_IsHistoricalPeriod,,MATCH(F97,MO_Common_ColumnHeader,0)),"Historical","Forward")</f>
        <v/>
      </c>
      <c r="C97" s="171" t="n"/>
      <c r="D97" s="188">
        <f>INDEX(INDIRECT(E97),0,COLUMN(MO_Common_Column_A))</f>
        <v/>
      </c>
      <c r="E97" s="182" t="inlineStr">
        <is>
          <t>MO_MA_GM</t>
        </is>
      </c>
      <c r="F97" s="181" t="inlineStr">
        <is>
          <t>Q4-2024</t>
        </is>
      </c>
      <c r="G97" s="181" t="n"/>
      <c r="H97" s="171" t="n"/>
      <c r="I97" s="185">
        <f>74.5%-0.5%</f>
        <v/>
      </c>
      <c r="J97" s="185">
        <f>74.5%+0.5%</f>
        <v/>
      </c>
      <c r="K97" s="185">
        <f>AVERAGE(I97:J97)</f>
        <v/>
      </c>
      <c r="L97" s="171" t="n"/>
      <c r="M97" s="181">
        <f>IF(INDEX(MO_SNA_IsHistoricalPeriod,,MATCH(F97,MO_Common_ColumnHeader,0)),"Actual","Estimate")</f>
        <v/>
      </c>
      <c r="N97" s="185">
        <f>IFERROR(INDEX(INDIRECT(E97),0,MATCH(F97,MO_Common_ColumnHeader,0)),"N/A")</f>
        <v/>
      </c>
      <c r="O97" s="171" t="n"/>
      <c r="P97" s="190">
        <f>IF(ISNUMBER(N97),N97-K97,"N/A")</f>
        <v/>
      </c>
      <c r="Q97" s="190">
        <f>IFERROR(IF(ISNUMBER(N97),(N97-K97)/ABS(K97),"N/A"),"N/A")</f>
        <v/>
      </c>
      <c r="R97" s="171" t="n"/>
      <c r="S97" s="184" t="n">
        <v>45251</v>
      </c>
      <c r="T97" s="191" t="inlineStr">
        <is>
          <t>CFO Commentary</t>
        </is>
      </c>
      <c r="U97" s="171" t="n"/>
    </row>
    <row r="98">
      <c r="A98" s="154" t="n">
        <v>296</v>
      </c>
      <c r="B98" s="181">
        <f>IF(INDEX(MO_SNA_IsHistoricalPeriod,,MATCH(F98,MO_Common_ColumnHeader,0)),"Historical","Forward")</f>
        <v/>
      </c>
      <c r="C98" s="171" t="n"/>
      <c r="D98" s="188">
        <f>INDEX(INDIRECT(E98),0,COLUMN(MO_Common_Column_A))</f>
        <v/>
      </c>
      <c r="E98" s="182" t="inlineStr">
        <is>
          <t>MO_MA_GM_NONGAAP</t>
        </is>
      </c>
      <c r="F98" s="181" t="inlineStr">
        <is>
          <t>Q4-2024</t>
        </is>
      </c>
      <c r="G98" s="181" t="n"/>
      <c r="H98" s="171" t="n"/>
      <c r="I98" s="185">
        <f>75.5%-0.5%</f>
        <v/>
      </c>
      <c r="J98" s="185">
        <f>75.5%+0.5%</f>
        <v/>
      </c>
      <c r="K98" s="185">
        <f>AVERAGE(I98:J98)</f>
        <v/>
      </c>
      <c r="L98" s="171" t="n"/>
      <c r="M98" s="181">
        <f>IF(INDEX(MO_SNA_IsHistoricalPeriod,,MATCH(F98,MO_Common_ColumnHeader,0)),"Actual","Estimate")</f>
        <v/>
      </c>
      <c r="N98" s="185">
        <f>IFERROR(INDEX(INDIRECT(E98),0,MATCH(F98,MO_Common_ColumnHeader,0)),"N/A")</f>
        <v/>
      </c>
      <c r="O98" s="171" t="n"/>
      <c r="P98" s="190">
        <f>IF(ISNUMBER(N98),N98-K98,"N/A")</f>
        <v/>
      </c>
      <c r="Q98" s="190">
        <f>IFERROR(IF(ISNUMBER(N98),(N98-K98)/ABS(K98),"N/A"),"N/A")</f>
        <v/>
      </c>
      <c r="R98" s="171" t="n"/>
      <c r="S98" s="184" t="n">
        <v>45251</v>
      </c>
      <c r="T98" s="191" t="inlineStr">
        <is>
          <t>CFO Commentary</t>
        </is>
      </c>
      <c r="U98" s="171" t="n"/>
    </row>
    <row r="99">
      <c r="A99" s="154" t="n">
        <v>295</v>
      </c>
      <c r="B99" s="181">
        <f>IF(INDEX(MO_SNA_IsHistoricalPeriod,,MATCH(F99,MO_Common_ColumnHeader,0)),"Historical","Forward")</f>
        <v/>
      </c>
      <c r="C99" s="171" t="n"/>
      <c r="D99" s="188" t="inlineStr">
        <is>
          <t>GAAP Operating Expenses</t>
        </is>
      </c>
      <c r="E99" s="182" t="n"/>
      <c r="F99" s="181" t="inlineStr">
        <is>
          <t>Q4-2024</t>
        </is>
      </c>
      <c r="G99" s="181" t="n"/>
      <c r="H99" s="171" t="n"/>
      <c r="I99" s="183" t="n">
        <v>3170</v>
      </c>
      <c r="J99" s="183" t="n">
        <v>3170</v>
      </c>
      <c r="K99" s="183">
        <f>AVERAGE(I99:J99)</f>
        <v/>
      </c>
      <c r="L99" s="171" t="n"/>
      <c r="M99" s="181">
        <f>IF(INDEX(MO_SNA_IsHistoricalPeriod,,MATCH(F99,MO_Common_ColumnHeader,0)),"Actual","Estimate")</f>
        <v/>
      </c>
      <c r="N99" s="183">
        <f>INDEX(MO_RIS_RD,0,MATCH(F99,MO_Common_ColumnHeader,0))+INDEX(MO_RIS_SGA,0,MATCH(F99,MO_Common_ColumnHeader,0))</f>
        <v/>
      </c>
      <c r="O99" s="171" t="n"/>
      <c r="P99" s="189">
        <f>IF(ISNUMBER(N99),N99-K99,"N/A")</f>
        <v/>
      </c>
      <c r="Q99" s="190">
        <f>IFERROR(IF(ISNUMBER(N99),(N99-K99)/ABS(K99),"N/A"),"N/A")</f>
        <v/>
      </c>
      <c r="R99" s="171" t="n"/>
      <c r="S99" s="184" t="n">
        <v>45251</v>
      </c>
      <c r="T99" s="191" t="inlineStr">
        <is>
          <t>CFO Commentary</t>
        </is>
      </c>
      <c r="U99" s="171" t="n"/>
    </row>
    <row r="100">
      <c r="A100" s="154" t="n">
        <v>294</v>
      </c>
      <c r="B100" s="181">
        <f>IF(INDEX(MO_SNA_IsHistoricalPeriod,,MATCH(F100,MO_Common_ColumnHeader,0)),"Historical","Forward")</f>
        <v/>
      </c>
      <c r="C100" s="171" t="n"/>
      <c r="D100" s="188">
        <f>INDEX(INDIRECT(E100),0,COLUMN(MO_Common_Column_A))</f>
        <v/>
      </c>
      <c r="E100" s="182" t="inlineStr">
        <is>
          <t>MO_OS_OPEX</t>
        </is>
      </c>
      <c r="F100" s="181" t="inlineStr">
        <is>
          <t>Q4-2024</t>
        </is>
      </c>
      <c r="G100" s="181" t="n"/>
      <c r="H100" s="171" t="n"/>
      <c r="I100" s="183" t="n">
        <v>2200</v>
      </c>
      <c r="J100" s="183" t="n">
        <v>2200</v>
      </c>
      <c r="K100" s="183">
        <f>AVERAGE(I100:J100)</f>
        <v/>
      </c>
      <c r="L100" s="171" t="n"/>
      <c r="M100" s="181">
        <f>IF(INDEX(MO_SNA_IsHistoricalPeriod,,MATCH(F100,MO_Common_ColumnHeader,0)),"Actual","Estimate")</f>
        <v/>
      </c>
      <c r="N100" s="183">
        <f>IFERROR(INDEX(INDIRECT(E100),0,MATCH(F100,MO_Common_ColumnHeader,0)),"N/A")</f>
        <v/>
      </c>
      <c r="O100" s="171" t="n"/>
      <c r="P100" s="189">
        <f>IF(ISNUMBER(N100),N100-K100,"N/A")</f>
        <v/>
      </c>
      <c r="Q100" s="190">
        <f>IFERROR(IF(ISNUMBER(N100),(N100-K100)/ABS(K100),"N/A"),"N/A")</f>
        <v/>
      </c>
      <c r="R100" s="171" t="n"/>
      <c r="S100" s="184" t="n">
        <v>45251</v>
      </c>
      <c r="T100" s="191" t="inlineStr">
        <is>
          <t>CFO Commentary</t>
        </is>
      </c>
      <c r="U100" s="171" t="n"/>
    </row>
    <row r="101">
      <c r="A101" s="154" t="n">
        <v>293</v>
      </c>
      <c r="B101" s="181">
        <f>IF(INDEX(MO_SNA_IsHistoricalPeriod,,MATCH(F101,MO_Common_ColumnHeader,0)),"Historical","Forward")</f>
        <v/>
      </c>
      <c r="C101" s="171" t="n"/>
      <c r="D101" s="188" t="inlineStr">
        <is>
          <t>GAAP Other Income</t>
        </is>
      </c>
      <c r="E101" s="182" t="n"/>
      <c r="F101" s="181" t="inlineStr">
        <is>
          <t>Q4-2024</t>
        </is>
      </c>
      <c r="G101" s="181" t="n"/>
      <c r="H101" s="171" t="n"/>
      <c r="I101" s="183" t="n">
        <v>-200</v>
      </c>
      <c r="J101" s="183" t="n">
        <v>-200</v>
      </c>
      <c r="K101" s="183">
        <f>AVERAGE(I101:J101)</f>
        <v/>
      </c>
      <c r="L101" s="171" t="n"/>
      <c r="M101" s="181">
        <f>IF(INDEX(MO_SNA_IsHistoricalPeriod,,MATCH(F101,MO_Common_ColumnHeader,0)),"Actual","Estimate")</f>
        <v/>
      </c>
      <c r="N101" s="183">
        <f>IFERROR(INDEX(INDIRECT(E101),0,MATCH(F101,MO_Common_ColumnHeader,0)),"N/A")</f>
        <v/>
      </c>
      <c r="O101" s="171" t="n"/>
      <c r="P101" s="189">
        <f>IF(ISNUMBER(N101),N101-K101,"N/A")</f>
        <v/>
      </c>
      <c r="Q101" s="190">
        <f>IFERROR(IF(ISNUMBER(N101),(N101-K101)/ABS(K101),"N/A"),"N/A")</f>
        <v/>
      </c>
      <c r="R101" s="171" t="n"/>
      <c r="S101" s="184" t="n">
        <v>45251</v>
      </c>
      <c r="T101" s="191" t="inlineStr">
        <is>
          <t>CFO Commentary</t>
        </is>
      </c>
      <c r="U101" s="171" t="n"/>
    </row>
    <row r="102">
      <c r="A102" s="154" t="n">
        <v>292</v>
      </c>
      <c r="B102" s="181">
        <f>IF(INDEX(MO_SNA_IsHistoricalPeriod,,MATCH(F102,MO_Common_ColumnHeader,0)),"Historical","Forward")</f>
        <v/>
      </c>
      <c r="C102" s="171" t="n"/>
      <c r="D102" s="188" t="inlineStr">
        <is>
          <t>Non-GAAP Other Income</t>
        </is>
      </c>
      <c r="E102" s="182" t="n"/>
      <c r="F102" s="181" t="inlineStr">
        <is>
          <t>Q4-2024</t>
        </is>
      </c>
      <c r="G102" s="181" t="n"/>
      <c r="H102" s="171" t="n"/>
      <c r="I102" s="183" t="n">
        <v>-200</v>
      </c>
      <c r="J102" s="183" t="n">
        <v>-200</v>
      </c>
      <c r="K102" s="183">
        <f>AVERAGE(I102:J102)</f>
        <v/>
      </c>
      <c r="L102" s="171" t="n"/>
      <c r="M102" s="181">
        <f>IF(INDEX(MO_SNA_IsHistoricalPeriod,,MATCH(F102,MO_Common_ColumnHeader,0)),"Actual","Estimate")</f>
        <v/>
      </c>
      <c r="N102" s="183">
        <f>INDEX(MO_RIS_IE_Net_NONGAAP,0,MATCH(F102,MO_Common_ColumnHeader,0))+INDEX(MO_RIS_OI_NONGAAP,0,MATCH(F102,MO_Common_ColumnHeader,0))</f>
        <v/>
      </c>
      <c r="O102" s="171" t="n"/>
      <c r="P102" s="189">
        <f>IF(ISNUMBER(N102),N102-K102,"N/A")</f>
        <v/>
      </c>
      <c r="Q102" s="190">
        <f>IFERROR(IF(ISNUMBER(N102),(N102-K102)/ABS(K102),"N/A"),"N/A")</f>
        <v/>
      </c>
      <c r="R102" s="171" t="n"/>
      <c r="S102" s="184" t="n">
        <v>45251</v>
      </c>
      <c r="T102" s="191" t="inlineStr">
        <is>
          <t>CFO Commentary</t>
        </is>
      </c>
      <c r="U102" s="171" t="n"/>
    </row>
    <row r="103">
      <c r="A103" s="154" t="n">
        <v>291</v>
      </c>
      <c r="B103" s="181">
        <f>IF(INDEX(MO_SNA_IsHistoricalPeriod,,MATCH(F103,MO_Common_ColumnHeader,0)),"Historical","Forward")</f>
        <v/>
      </c>
      <c r="C103" s="171" t="n"/>
      <c r="D103" s="188" t="inlineStr">
        <is>
          <t>GAAP Tax Rate</t>
        </is>
      </c>
      <c r="E103" s="182" t="inlineStr">
        <is>
          <t>MO_RIS_TaxRate</t>
        </is>
      </c>
      <c r="F103" s="181" t="inlineStr">
        <is>
          <t>Q4-2024</t>
        </is>
      </c>
      <c r="G103" s="181" t="n"/>
      <c r="H103" s="171" t="n"/>
      <c r="I103" s="185">
        <f>15%-1%</f>
        <v/>
      </c>
      <c r="J103" s="185">
        <f>15%+1%</f>
        <v/>
      </c>
      <c r="K103" s="185">
        <f>AVERAGE(I103:J103)</f>
        <v/>
      </c>
      <c r="L103" s="171" t="n"/>
      <c r="M103" s="181">
        <f>IF(INDEX(MO_SNA_IsHistoricalPeriod,,MATCH(F103,MO_Common_ColumnHeader,0)),"Actual","Estimate")</f>
        <v/>
      </c>
      <c r="N103" s="185">
        <f>IFERROR(INDEX(INDIRECT(E103),0,MATCH(F103,MO_Common_ColumnHeader,0)),"N/A")</f>
        <v/>
      </c>
      <c r="O103" s="171" t="n"/>
      <c r="P103" s="190">
        <f>IF(ISNUMBER(N103),N103-K103,"N/A")</f>
        <v/>
      </c>
      <c r="Q103" s="190">
        <f>IFERROR(IF(ISNUMBER(N103),(N103-K103)/ABS(K103),"N/A"),"N/A")</f>
        <v/>
      </c>
      <c r="R103" s="171" t="n"/>
      <c r="S103" s="184" t="n">
        <v>45251</v>
      </c>
      <c r="T103" s="191" t="inlineStr">
        <is>
          <t>CFO Commentary</t>
        </is>
      </c>
      <c r="U103" s="171" t="n"/>
    </row>
    <row r="104">
      <c r="A104" s="154" t="n">
        <v>290</v>
      </c>
      <c r="B104" s="181">
        <f>IF(INDEX(MO_SNA_IsHistoricalPeriod,,MATCH(F104,MO_Common_ColumnHeader,0)),"Historical","Forward")</f>
        <v/>
      </c>
      <c r="C104" s="171" t="n"/>
      <c r="D104" s="188">
        <f>INDEX(INDIRECT(E104),0,COLUMN(MO_Common_Column_A))</f>
        <v/>
      </c>
      <c r="E104" s="182" t="inlineStr">
        <is>
          <t>MO_RIS_TaxRate_NONGAAP</t>
        </is>
      </c>
      <c r="F104" s="181" t="inlineStr">
        <is>
          <t>Q4-2024</t>
        </is>
      </c>
      <c r="G104" s="181" t="n"/>
      <c r="H104" s="171" t="n"/>
      <c r="I104" s="185">
        <f>15%-1%</f>
        <v/>
      </c>
      <c r="J104" s="185">
        <f>15%+1%</f>
        <v/>
      </c>
      <c r="K104" s="185">
        <f>AVERAGE(I104:J104)</f>
        <v/>
      </c>
      <c r="L104" s="171" t="n"/>
      <c r="M104" s="181">
        <f>IF(INDEX(MO_SNA_IsHistoricalPeriod,,MATCH(F104,MO_Common_ColumnHeader,0)),"Actual","Estimate")</f>
        <v/>
      </c>
      <c r="N104" s="185">
        <f>IFERROR(INDEX(INDIRECT(E104),0,MATCH(F104,MO_Common_ColumnHeader,0)),"N/A")</f>
        <v/>
      </c>
      <c r="O104" s="171" t="n"/>
      <c r="P104" s="190">
        <f>IF(ISNUMBER(N104),N104-K104,"N/A")</f>
        <v/>
      </c>
      <c r="Q104" s="190">
        <f>IFERROR(IF(ISNUMBER(N104),(N104-K104)/ABS(K104),"N/A"),"N/A")</f>
        <v/>
      </c>
      <c r="R104" s="171" t="n"/>
      <c r="S104" s="184" t="n">
        <v>45251</v>
      </c>
      <c r="T104" s="191" t="inlineStr">
        <is>
          <t>CFO Commentary</t>
        </is>
      </c>
      <c r="U104" s="171" t="n"/>
    </row>
    <row r="105">
      <c r="A105" s="154" t="n">
        <v>289</v>
      </c>
      <c r="B105" s="171" t="n"/>
      <c r="C105" s="171" t="n"/>
      <c r="D105" s="168" t="n"/>
      <c r="E105" s="169" t="n"/>
      <c r="F105" s="171" t="n"/>
      <c r="G105" s="171" t="n"/>
      <c r="H105" s="171" t="n"/>
      <c r="I105" s="1013" t="n"/>
      <c r="J105" s="1013" t="n"/>
      <c r="K105" s="1013" t="n"/>
      <c r="L105" s="171" t="n"/>
      <c r="M105" s="171" t="n"/>
      <c r="N105" s="1013" t="n"/>
      <c r="O105" s="171" t="n"/>
      <c r="P105" s="172" t="n"/>
      <c r="Q105" s="134" t="n"/>
      <c r="R105" s="171" t="n"/>
      <c r="S105" s="173" t="n"/>
      <c r="T105" s="192" t="n"/>
      <c r="U105" s="171" t="n"/>
    </row>
    <row r="106">
      <c r="A106" s="154" t="n">
        <v>288</v>
      </c>
      <c r="B106" s="181">
        <f>IF(INDEX(MO_SNA_IsHistoricalPeriod,,MATCH(F106,MO_Common_ColumnHeader,0)),"Historical","Forward")</f>
        <v/>
      </c>
      <c r="C106" s="171" t="n"/>
      <c r="D106" s="188">
        <f>INDEX(INDIRECT(E106),0,COLUMN(MO_Common_Column_A))</f>
        <v/>
      </c>
      <c r="E106" s="182" t="inlineStr">
        <is>
          <t>MO_RIS_REV</t>
        </is>
      </c>
      <c r="F106" s="181" t="inlineStr">
        <is>
          <t>Q3-2024</t>
        </is>
      </c>
      <c r="G106" s="181" t="n"/>
      <c r="H106" s="171" t="n"/>
      <c r="I106" s="183">
        <f>16000*0.98</f>
        <v/>
      </c>
      <c r="J106" s="183">
        <f>16000*1.02</f>
        <v/>
      </c>
      <c r="K106" s="183">
        <f>AVERAGE(I106:J106)</f>
        <v/>
      </c>
      <c r="L106" s="171" t="n"/>
      <c r="M106" s="181">
        <f>IF(INDEX(MO_SNA_IsHistoricalPeriod,,MATCH(F106,MO_Common_ColumnHeader,0)),"Actual","Estimate")</f>
        <v/>
      </c>
      <c r="N106" s="183">
        <f>IFERROR(INDEX(INDIRECT(E106),0,MATCH(F106,MO_Common_ColumnHeader,0)),"N/A")</f>
        <v/>
      </c>
      <c r="O106" s="171" t="n"/>
      <c r="P106" s="189">
        <f>IF(ISNUMBER(N106),N106-K106,"N/A")</f>
        <v/>
      </c>
      <c r="Q106" s="190">
        <f>IFERROR(IF(ISNUMBER(N106),(N106-K106)/ABS(K106),"N/A"),"N/A")</f>
        <v/>
      </c>
      <c r="R106" s="171" t="n"/>
      <c r="S106" s="184" t="n">
        <v>45161</v>
      </c>
      <c r="T106" s="191" t="inlineStr">
        <is>
          <t>CFO Commentary</t>
        </is>
      </c>
      <c r="U106" s="171" t="n"/>
    </row>
    <row r="107">
      <c r="A107" s="154" t="n">
        <v>287</v>
      </c>
      <c r="B107" s="181">
        <f>IF(INDEX(MO_SNA_IsHistoricalPeriod,,MATCH(F107,MO_Common_ColumnHeader,0)),"Historical","Forward")</f>
        <v/>
      </c>
      <c r="C107" s="171" t="n"/>
      <c r="D107" s="188">
        <f>INDEX(INDIRECT(E107),0,COLUMN(MO_Common_Column_A))</f>
        <v/>
      </c>
      <c r="E107" s="182" t="inlineStr">
        <is>
          <t>MO_MA_GM</t>
        </is>
      </c>
      <c r="F107" s="181" t="inlineStr">
        <is>
          <t>Q3-2024</t>
        </is>
      </c>
      <c r="G107" s="181" t="n"/>
      <c r="H107" s="171" t="n"/>
      <c r="I107" s="185" t="n">
        <v>0.71</v>
      </c>
      <c r="J107" s="185" t="n">
        <v>0.72</v>
      </c>
      <c r="K107" s="185">
        <f>AVERAGE(I107:J107)</f>
        <v/>
      </c>
      <c r="L107" s="171" t="n"/>
      <c r="M107" s="181">
        <f>IF(INDEX(MO_SNA_IsHistoricalPeriod,,MATCH(F107,MO_Common_ColumnHeader,0)),"Actual","Estimate")</f>
        <v/>
      </c>
      <c r="N107" s="185">
        <f>IFERROR(INDEX(INDIRECT(E107),0,MATCH(F107,MO_Common_ColumnHeader,0)),"N/A")</f>
        <v/>
      </c>
      <c r="O107" s="171" t="n"/>
      <c r="P107" s="190">
        <f>IF(ISNUMBER(N107),N107-K107,"N/A")</f>
        <v/>
      </c>
      <c r="Q107" s="190">
        <f>IFERROR(IF(ISNUMBER(N107),(N107-K107)/ABS(K107),"N/A"),"N/A")</f>
        <v/>
      </c>
      <c r="R107" s="171" t="n"/>
      <c r="S107" s="184" t="n">
        <v>45161</v>
      </c>
      <c r="T107" s="191" t="inlineStr">
        <is>
          <t>CFO Commentary</t>
        </is>
      </c>
      <c r="U107" s="171" t="n"/>
    </row>
    <row r="108">
      <c r="A108" s="154" t="n">
        <v>286</v>
      </c>
      <c r="B108" s="181">
        <f>IF(INDEX(MO_SNA_IsHistoricalPeriod,,MATCH(F108,MO_Common_ColumnHeader,0)),"Historical","Forward")</f>
        <v/>
      </c>
      <c r="C108" s="171" t="n"/>
      <c r="D108" s="188">
        <f>INDEX(INDIRECT(E108),0,COLUMN(MO_Common_Column_A))</f>
        <v/>
      </c>
      <c r="E108" s="182" t="inlineStr">
        <is>
          <t>MO_MA_GM_NONGAAP</t>
        </is>
      </c>
      <c r="F108" s="181" t="inlineStr">
        <is>
          <t>Q3-2024</t>
        </is>
      </c>
      <c r="G108" s="181" t="n"/>
      <c r="H108" s="171" t="n"/>
      <c r="I108" s="185" t="n">
        <v>0.72</v>
      </c>
      <c r="J108" s="185" t="n">
        <v>0.73</v>
      </c>
      <c r="K108" s="185">
        <f>AVERAGE(I108:J108)</f>
        <v/>
      </c>
      <c r="L108" s="171" t="n"/>
      <c r="M108" s="181">
        <f>IF(INDEX(MO_SNA_IsHistoricalPeriod,,MATCH(F108,MO_Common_ColumnHeader,0)),"Actual","Estimate")</f>
        <v/>
      </c>
      <c r="N108" s="185">
        <f>IFERROR(INDEX(INDIRECT(E108),0,MATCH(F108,MO_Common_ColumnHeader,0)),"N/A")</f>
        <v/>
      </c>
      <c r="O108" s="171" t="n"/>
      <c r="P108" s="190">
        <f>IF(ISNUMBER(N108),N108-K108,"N/A")</f>
        <v/>
      </c>
      <c r="Q108" s="190">
        <f>IFERROR(IF(ISNUMBER(N108),(N108-K108)/ABS(K108),"N/A"),"N/A")</f>
        <v/>
      </c>
      <c r="R108" s="171" t="n"/>
      <c r="S108" s="184" t="n">
        <v>45161</v>
      </c>
      <c r="T108" s="191" t="inlineStr">
        <is>
          <t>CFO Commentary</t>
        </is>
      </c>
      <c r="U108" s="171" t="n"/>
    </row>
    <row r="109">
      <c r="A109" s="154" t="n">
        <v>285</v>
      </c>
      <c r="B109" s="181">
        <f>IF(INDEX(MO_SNA_IsHistoricalPeriod,,MATCH(F109,MO_Common_ColumnHeader,0)),"Historical","Forward")</f>
        <v/>
      </c>
      <c r="C109" s="171" t="n"/>
      <c r="D109" s="188" t="inlineStr">
        <is>
          <t>GAAP Operating Expenses</t>
        </is>
      </c>
      <c r="E109" s="182" t="n"/>
      <c r="F109" s="181" t="inlineStr">
        <is>
          <t>Q3-2024</t>
        </is>
      </c>
      <c r="G109" s="181" t="n"/>
      <c r="H109" s="171" t="n"/>
      <c r="I109" s="183" t="n">
        <v>2950</v>
      </c>
      <c r="J109" s="183" t="n">
        <v>2950</v>
      </c>
      <c r="K109" s="183">
        <f>AVERAGE(I109:J109)</f>
        <v/>
      </c>
      <c r="L109" s="171" t="n"/>
      <c r="M109" s="181">
        <f>IF(INDEX(MO_SNA_IsHistoricalPeriod,,MATCH(F109,MO_Common_ColumnHeader,0)),"Actual","Estimate")</f>
        <v/>
      </c>
      <c r="N109" s="183">
        <f>INDEX(MO_RIS_RD,0,MATCH(F109,MO_Common_ColumnHeader,0))+INDEX(MO_RIS_SGA,0,MATCH(F109,MO_Common_ColumnHeader,0))</f>
        <v/>
      </c>
      <c r="O109" s="171" t="n"/>
      <c r="P109" s="189">
        <f>IF(ISNUMBER(N109),N109-K109,"N/A")</f>
        <v/>
      </c>
      <c r="Q109" s="190">
        <f>IFERROR(IF(ISNUMBER(N109),(N109-K109)/ABS(K109),"N/A"),"N/A")</f>
        <v/>
      </c>
      <c r="R109" s="171" t="n"/>
      <c r="S109" s="184" t="n">
        <v>45161</v>
      </c>
      <c r="T109" s="191" t="inlineStr">
        <is>
          <t>CFO Commentary</t>
        </is>
      </c>
      <c r="U109" s="171" t="n"/>
    </row>
    <row r="110">
      <c r="A110" s="154" t="n">
        <v>284</v>
      </c>
      <c r="B110" s="181">
        <f>IF(INDEX(MO_SNA_IsHistoricalPeriod,,MATCH(F110,MO_Common_ColumnHeader,0)),"Historical","Forward")</f>
        <v/>
      </c>
      <c r="C110" s="171" t="n"/>
      <c r="D110" s="188">
        <f>INDEX(INDIRECT(E110),0,COLUMN(MO_Common_Column_A))</f>
        <v/>
      </c>
      <c r="E110" s="182" t="inlineStr">
        <is>
          <t>MO_OS_OPEX</t>
        </is>
      </c>
      <c r="F110" s="181" t="inlineStr">
        <is>
          <t>Q3-2024</t>
        </is>
      </c>
      <c r="G110" s="181" t="n"/>
      <c r="H110" s="171" t="n"/>
      <c r="I110" s="183" t="n">
        <v>2000</v>
      </c>
      <c r="J110" s="183" t="n">
        <v>2000</v>
      </c>
      <c r="K110" s="183">
        <f>AVERAGE(I110:J110)</f>
        <v/>
      </c>
      <c r="L110" s="171" t="n"/>
      <c r="M110" s="181">
        <f>IF(INDEX(MO_SNA_IsHistoricalPeriod,,MATCH(F110,MO_Common_ColumnHeader,0)),"Actual","Estimate")</f>
        <v/>
      </c>
      <c r="N110" s="183">
        <f>IFERROR(INDEX(INDIRECT(E110),0,MATCH(F110,MO_Common_ColumnHeader,0)),"N/A")</f>
        <v/>
      </c>
      <c r="O110" s="171" t="n"/>
      <c r="P110" s="189">
        <f>IF(ISNUMBER(N110),N110-K110,"N/A")</f>
        <v/>
      </c>
      <c r="Q110" s="190">
        <f>IFERROR(IF(ISNUMBER(N110),(N110-K110)/ABS(K110),"N/A"),"N/A")</f>
        <v/>
      </c>
      <c r="R110" s="171" t="n"/>
      <c r="S110" s="184" t="n">
        <v>45161</v>
      </c>
      <c r="T110" s="191" t="inlineStr">
        <is>
          <t>CFO Commentary</t>
        </is>
      </c>
      <c r="U110" s="171" t="n"/>
    </row>
    <row r="111">
      <c r="A111" s="154" t="n">
        <v>283</v>
      </c>
      <c r="B111" s="181">
        <f>IF(INDEX(MO_SNA_IsHistoricalPeriod,,MATCH(F111,MO_Common_ColumnHeader,0)),"Historical","Forward")</f>
        <v/>
      </c>
      <c r="C111" s="171" t="n"/>
      <c r="D111" s="188" t="inlineStr">
        <is>
          <t>GAAP Other Income</t>
        </is>
      </c>
      <c r="E111" s="182" t="n"/>
      <c r="F111" s="181" t="inlineStr">
        <is>
          <t>Q3-2024</t>
        </is>
      </c>
      <c r="G111" s="181" t="n"/>
      <c r="H111" s="171" t="n"/>
      <c r="I111" s="183" t="n">
        <v>-100</v>
      </c>
      <c r="J111" s="183" t="n">
        <v>-100</v>
      </c>
      <c r="K111" s="183">
        <f>AVERAGE(I111:J111)</f>
        <v/>
      </c>
      <c r="L111" s="171" t="n"/>
      <c r="M111" s="181">
        <f>IF(INDEX(MO_SNA_IsHistoricalPeriod,,MATCH(F111,MO_Common_ColumnHeader,0)),"Actual","Estimate")</f>
        <v/>
      </c>
      <c r="N111" s="183">
        <f>IFERROR(INDEX(INDIRECT(E111),0,MATCH(F111,MO_Common_ColumnHeader,0)),"N/A")</f>
        <v/>
      </c>
      <c r="O111" s="171" t="n"/>
      <c r="P111" s="189">
        <f>IF(ISNUMBER(N111),N111-K111,"N/A")</f>
        <v/>
      </c>
      <c r="Q111" s="190">
        <f>IFERROR(IF(ISNUMBER(N111),(N111-K111)/ABS(K111),"N/A"),"N/A")</f>
        <v/>
      </c>
      <c r="R111" s="171" t="n"/>
      <c r="S111" s="184" t="n">
        <v>45161</v>
      </c>
      <c r="T111" s="191" t="inlineStr">
        <is>
          <t>CFO Commentary</t>
        </is>
      </c>
      <c r="U111" s="171" t="n"/>
    </row>
    <row r="112">
      <c r="A112" s="154" t="n">
        <v>282</v>
      </c>
      <c r="B112" s="181">
        <f>IF(INDEX(MO_SNA_IsHistoricalPeriod,,MATCH(F112,MO_Common_ColumnHeader,0)),"Historical","Forward")</f>
        <v/>
      </c>
      <c r="C112" s="171" t="n"/>
      <c r="D112" s="188" t="inlineStr">
        <is>
          <t>Non-GAAP Other Income</t>
        </is>
      </c>
      <c r="E112" s="182" t="n"/>
      <c r="F112" s="181" t="inlineStr">
        <is>
          <t>Q3-2024</t>
        </is>
      </c>
      <c r="G112" s="181" t="n"/>
      <c r="H112" s="171" t="n"/>
      <c r="I112" s="183" t="n">
        <v>-100</v>
      </c>
      <c r="J112" s="183" t="n">
        <v>-100</v>
      </c>
      <c r="K112" s="183">
        <f>AVERAGE(I112:J112)</f>
        <v/>
      </c>
      <c r="L112" s="171" t="n"/>
      <c r="M112" s="181">
        <f>IF(INDEX(MO_SNA_IsHistoricalPeriod,,MATCH(F112,MO_Common_ColumnHeader,0)),"Actual","Estimate")</f>
        <v/>
      </c>
      <c r="N112" s="183">
        <f>INDEX(MO_RIS_IE_Net_NONGAAP,0,MATCH(F112,MO_Common_ColumnHeader,0))+INDEX(MO_RIS_OI_NONGAAP,0,MATCH(F112,MO_Common_ColumnHeader,0))</f>
        <v/>
      </c>
      <c r="O112" s="171" t="n"/>
      <c r="P112" s="189">
        <f>IF(ISNUMBER(N112),N112-K112,"N/A")</f>
        <v/>
      </c>
      <c r="Q112" s="190">
        <f>IFERROR(IF(ISNUMBER(N112),(N112-K112)/ABS(K112),"N/A"),"N/A")</f>
        <v/>
      </c>
      <c r="R112" s="171" t="n"/>
      <c r="S112" s="184" t="n">
        <v>45161</v>
      </c>
      <c r="T112" s="191" t="inlineStr">
        <is>
          <t>CFO Commentary</t>
        </is>
      </c>
      <c r="U112" s="171" t="n"/>
    </row>
    <row r="113">
      <c r="A113" s="154" t="n">
        <v>281</v>
      </c>
      <c r="B113" s="181">
        <f>IF(INDEX(MO_SNA_IsHistoricalPeriod,,MATCH(F113,MO_Common_ColumnHeader,0)),"Historical","Forward")</f>
        <v/>
      </c>
      <c r="C113" s="171" t="n"/>
      <c r="D113" s="188" t="inlineStr">
        <is>
          <t>GAAP Tax Rate</t>
        </is>
      </c>
      <c r="E113" s="182" t="inlineStr">
        <is>
          <t>MO_RIS_TaxRate</t>
        </is>
      </c>
      <c r="F113" s="181" t="inlineStr">
        <is>
          <t>Q3-2024</t>
        </is>
      </c>
      <c r="G113" s="181" t="n"/>
      <c r="H113" s="171" t="n"/>
      <c r="I113" s="185" t="n">
        <v>0.135</v>
      </c>
      <c r="J113" s="185" t="n">
        <v>0.155</v>
      </c>
      <c r="K113" s="185">
        <f>AVERAGE(I113:J113)</f>
        <v/>
      </c>
      <c r="L113" s="171" t="n"/>
      <c r="M113" s="181">
        <f>IF(INDEX(MO_SNA_IsHistoricalPeriod,,MATCH(F113,MO_Common_ColumnHeader,0)),"Actual","Estimate")</f>
        <v/>
      </c>
      <c r="N113" s="185">
        <f>IFERROR(INDEX(INDIRECT(E113),0,MATCH(F113,MO_Common_ColumnHeader,0)),"N/A")</f>
        <v/>
      </c>
      <c r="O113" s="171" t="n"/>
      <c r="P113" s="190">
        <f>IF(ISNUMBER(N113),N113-K113,"N/A")</f>
        <v/>
      </c>
      <c r="Q113" s="190">
        <f>IFERROR(IF(ISNUMBER(N113),(N113-K113)/ABS(K113),"N/A"),"N/A")</f>
        <v/>
      </c>
      <c r="R113" s="171" t="n"/>
      <c r="S113" s="184" t="n">
        <v>45161</v>
      </c>
      <c r="T113" s="191" t="inlineStr">
        <is>
          <t>CFO Commentary</t>
        </is>
      </c>
      <c r="U113" s="171" t="n"/>
    </row>
    <row r="114">
      <c r="A114" s="154" t="n">
        <v>280</v>
      </c>
      <c r="B114" s="181">
        <f>IF(INDEX(MO_SNA_IsHistoricalPeriod,,MATCH(F114,MO_Common_ColumnHeader,0)),"Historical","Forward")</f>
        <v/>
      </c>
      <c r="C114" s="171" t="n"/>
      <c r="D114" s="188">
        <f>INDEX(INDIRECT(E114),0,COLUMN(MO_Common_Column_A))</f>
        <v/>
      </c>
      <c r="E114" s="182" t="inlineStr">
        <is>
          <t>MO_RIS_TaxRate_NONGAAP</t>
        </is>
      </c>
      <c r="F114" s="181" t="inlineStr">
        <is>
          <t>Q3-2024</t>
        </is>
      </c>
      <c r="G114" s="181" t="n"/>
      <c r="H114" s="171" t="n"/>
      <c r="I114" s="185" t="n">
        <v>0.135</v>
      </c>
      <c r="J114" s="185" t="n">
        <v>0.155</v>
      </c>
      <c r="K114" s="185">
        <f>AVERAGE(I114:J114)</f>
        <v/>
      </c>
      <c r="L114" s="171" t="n"/>
      <c r="M114" s="181">
        <f>IF(INDEX(MO_SNA_IsHistoricalPeriod,,MATCH(F114,MO_Common_ColumnHeader,0)),"Actual","Estimate")</f>
        <v/>
      </c>
      <c r="N114" s="185">
        <f>IFERROR(INDEX(INDIRECT(E114),0,MATCH(F114,MO_Common_ColumnHeader,0)),"N/A")</f>
        <v/>
      </c>
      <c r="O114" s="171" t="n"/>
      <c r="P114" s="190">
        <f>IF(ISNUMBER(N114),N114-K114,"N/A")</f>
        <v/>
      </c>
      <c r="Q114" s="190">
        <f>IFERROR(IF(ISNUMBER(N114),(N114-K114)/ABS(K114),"N/A"),"N/A")</f>
        <v/>
      </c>
      <c r="R114" s="171" t="n"/>
      <c r="S114" s="184" t="n">
        <v>45161</v>
      </c>
      <c r="T114" s="191" t="inlineStr">
        <is>
          <t>CFO Commentary</t>
        </is>
      </c>
      <c r="U114" s="171" t="n"/>
    </row>
    <row r="115">
      <c r="A115" s="154" t="n">
        <v>279</v>
      </c>
      <c r="B115" s="171" t="n"/>
      <c r="C115" s="171" t="n"/>
      <c r="D115" s="168" t="n"/>
      <c r="E115" s="169" t="n"/>
      <c r="F115" s="171" t="n"/>
      <c r="G115" s="171" t="n"/>
      <c r="H115" s="171" t="n"/>
      <c r="I115" s="1013" t="n"/>
      <c r="J115" s="1013" t="n"/>
      <c r="K115" s="1013" t="n"/>
      <c r="L115" s="171" t="n"/>
      <c r="M115" s="171" t="n"/>
      <c r="N115" s="1013" t="n"/>
      <c r="O115" s="171" t="n"/>
      <c r="P115" s="172" t="n"/>
      <c r="Q115" s="134" t="n"/>
      <c r="R115" s="171" t="n"/>
      <c r="S115" s="173" t="n"/>
      <c r="T115" s="192" t="inlineStr">
        <is>
          <t>https://s201.q4cdn.com/141608511/files/doc_financials/2024/Q1FY24/Q1FY24-CFO-Commentary.pdf</t>
        </is>
      </c>
      <c r="U115" s="171" t="n"/>
    </row>
    <row r="116">
      <c r="A116" s="154" t="n">
        <v>278</v>
      </c>
      <c r="B116" s="181">
        <f>IF(INDEX(MO_SNA_IsHistoricalPeriod,,MATCH(F116,MO_Common_ColumnHeader,0)),"Historical","Forward")</f>
        <v/>
      </c>
      <c r="C116" s="171" t="n"/>
      <c r="D116" s="188">
        <f>INDEX(INDIRECT(E116),0,COLUMN(MO_Common_Column_A))</f>
        <v/>
      </c>
      <c r="E116" s="182" t="inlineStr">
        <is>
          <t>MO_CFSum_Capex</t>
        </is>
      </c>
      <c r="F116" s="181" t="inlineStr">
        <is>
          <t>FY2024</t>
        </is>
      </c>
      <c r="G116" s="181" t="n"/>
      <c r="H116" s="171" t="n"/>
      <c r="I116" s="183" t="n">
        <v>-1100</v>
      </c>
      <c r="J116" s="183" t="n">
        <v>-1300</v>
      </c>
      <c r="K116" s="183">
        <f>AVERAGE(I116:J116)</f>
        <v/>
      </c>
      <c r="L116" s="171" t="n"/>
      <c r="M116" s="181">
        <f>IF(INDEX(MO_SNA_IsHistoricalPeriod,,MATCH(F116,MO_Common_ColumnHeader,0)),"Actual","Estimate")</f>
        <v/>
      </c>
      <c r="N116" s="183">
        <f>IFERROR(INDEX(INDIRECT(E116),0,MATCH(F116,MO_Common_ColumnHeader,0)),"N/A")</f>
        <v/>
      </c>
      <c r="O116" s="171" t="n"/>
      <c r="P116" s="189">
        <f>IF(ISNUMBER(N116),N116-K116,"N/A")</f>
        <v/>
      </c>
      <c r="Q116" s="190">
        <f>IFERROR(IF(ISNUMBER(N116),(N116-K116)/ABS(K116),"N/A"),"N/A")</f>
        <v/>
      </c>
      <c r="R116" s="171" t="n"/>
      <c r="S116" s="184" t="n">
        <v>45070</v>
      </c>
      <c r="T116" s="191" t="inlineStr">
        <is>
          <t>CFO Commentary</t>
        </is>
      </c>
      <c r="U116" s="171" t="n"/>
    </row>
    <row r="117">
      <c r="A117" s="154" t="n">
        <v>277</v>
      </c>
      <c r="B117" s="171" t="n"/>
      <c r="C117" s="171" t="n"/>
      <c r="D117" s="168" t="n"/>
      <c r="E117" s="169" t="n"/>
      <c r="F117" s="171" t="n"/>
      <c r="G117" s="171" t="n"/>
      <c r="H117" s="171" t="n"/>
      <c r="I117" s="1013" t="n"/>
      <c r="J117" s="1013" t="n"/>
      <c r="K117" s="1013" t="n"/>
      <c r="L117" s="171" t="n"/>
      <c r="M117" s="171" t="n"/>
      <c r="N117" s="1013" t="n"/>
      <c r="O117" s="171" t="n"/>
      <c r="P117" s="172" t="n"/>
      <c r="Q117" s="134" t="n"/>
      <c r="R117" s="171" t="n"/>
      <c r="S117" s="173" t="n"/>
      <c r="T117" s="192" t="inlineStr">
        <is>
          <t>https://s201.q4cdn.com/141608511/files/doc_financials/2024/Q1FY24/Q1FY24-CFO-Commentary.pdf</t>
        </is>
      </c>
      <c r="U117" s="171" t="n"/>
    </row>
    <row r="118">
      <c r="A118" s="154" t="n">
        <v>276</v>
      </c>
      <c r="B118" s="181">
        <f>IF(INDEX(MO_SNA_IsHistoricalPeriod,,MATCH(F118,MO_Common_ColumnHeader,0)),"Historical","Forward")</f>
        <v/>
      </c>
      <c r="C118" s="171" t="n"/>
      <c r="D118" s="188">
        <f>INDEX(INDIRECT(E118),0,COLUMN(MO_Common_Column_A))</f>
        <v/>
      </c>
      <c r="E118" s="182" t="inlineStr">
        <is>
          <t>MO_RIS_REV</t>
        </is>
      </c>
      <c r="F118" s="181" t="inlineStr">
        <is>
          <t>Q2-2024</t>
        </is>
      </c>
      <c r="G118" s="181" t="n"/>
      <c r="H118" s="171" t="n"/>
      <c r="I118" s="183">
        <f>11000*0.98</f>
        <v/>
      </c>
      <c r="J118" s="183">
        <f>11000*1.02</f>
        <v/>
      </c>
      <c r="K118" s="183">
        <f>AVERAGE(I118:J118)</f>
        <v/>
      </c>
      <c r="L118" s="171" t="n"/>
      <c r="M118" s="181">
        <f>IF(INDEX(MO_SNA_IsHistoricalPeriod,,MATCH(F118,MO_Common_ColumnHeader,0)),"Actual","Estimate")</f>
        <v/>
      </c>
      <c r="N118" s="183">
        <f>IFERROR(INDEX(INDIRECT(E118),0,MATCH(F118,MO_Common_ColumnHeader,0)),"N/A")</f>
        <v/>
      </c>
      <c r="O118" s="171" t="n"/>
      <c r="P118" s="189">
        <f>IF(ISNUMBER(N118),N118-K118,"N/A")</f>
        <v/>
      </c>
      <c r="Q118" s="190">
        <f>IFERROR(IF(ISNUMBER(N118),(N118-K118)/ABS(K118),"N/A"),"N/A")</f>
        <v/>
      </c>
      <c r="R118" s="171" t="n"/>
      <c r="S118" s="184" t="n">
        <v>45070</v>
      </c>
      <c r="T118" s="191" t="inlineStr">
        <is>
          <t>CFO Commentary</t>
        </is>
      </c>
      <c r="U118" s="171" t="n"/>
    </row>
    <row r="119">
      <c r="A119" s="154" t="n">
        <v>275</v>
      </c>
      <c r="B119" s="181">
        <f>IF(INDEX(MO_SNA_IsHistoricalPeriod,,MATCH(F119,MO_Common_ColumnHeader,0)),"Historical","Forward")</f>
        <v/>
      </c>
      <c r="C119" s="171" t="n"/>
      <c r="D119" s="188">
        <f>INDEX(INDIRECT(E119),0,COLUMN(MO_Common_Column_A))</f>
        <v/>
      </c>
      <c r="E119" s="182" t="inlineStr">
        <is>
          <t>MO_MA_GM</t>
        </is>
      </c>
      <c r="F119" s="181" t="inlineStr">
        <is>
          <t>Q2-2024</t>
        </is>
      </c>
      <c r="G119" s="181" t="n"/>
      <c r="H119" s="171" t="n"/>
      <c r="I119" s="185">
        <f>68.6%-0.5%</f>
        <v/>
      </c>
      <c r="J119" s="185">
        <f>68.6%+0.5%</f>
        <v/>
      </c>
      <c r="K119" s="185">
        <f>AVERAGE(I119:J119)</f>
        <v/>
      </c>
      <c r="L119" s="171" t="n"/>
      <c r="M119" s="181">
        <f>IF(INDEX(MO_SNA_IsHistoricalPeriod,,MATCH(F119,MO_Common_ColumnHeader,0)),"Actual","Estimate")</f>
        <v/>
      </c>
      <c r="N119" s="185">
        <f>IFERROR(INDEX(INDIRECT(E119),0,MATCH(F119,MO_Common_ColumnHeader,0)),"N/A")</f>
        <v/>
      </c>
      <c r="O119" s="171" t="n"/>
      <c r="P119" s="190">
        <f>IF(ISNUMBER(N119),N119-K119,"N/A")</f>
        <v/>
      </c>
      <c r="Q119" s="190">
        <f>IFERROR(IF(ISNUMBER(N119),(N119-K119)/ABS(K119),"N/A"),"N/A")</f>
        <v/>
      </c>
      <c r="R119" s="171" t="n"/>
      <c r="S119" s="184" t="n">
        <v>45070</v>
      </c>
      <c r="T119" s="191" t="inlineStr">
        <is>
          <t>CFO Commentary</t>
        </is>
      </c>
      <c r="U119" s="171" t="n"/>
    </row>
    <row r="120">
      <c r="A120" s="154" t="n">
        <v>274</v>
      </c>
      <c r="B120" s="181">
        <f>IF(INDEX(MO_SNA_IsHistoricalPeriod,,MATCH(F120,MO_Common_ColumnHeader,0)),"Historical","Forward")</f>
        <v/>
      </c>
      <c r="C120" s="171" t="n"/>
      <c r="D120" s="188">
        <f>INDEX(INDIRECT(E120),0,COLUMN(MO_Common_Column_A))</f>
        <v/>
      </c>
      <c r="E120" s="182" t="inlineStr">
        <is>
          <t>MO_MA_GM_NONGAAP</t>
        </is>
      </c>
      <c r="F120" s="181" t="inlineStr">
        <is>
          <t>Q2-2024</t>
        </is>
      </c>
      <c r="G120" s="181" t="n"/>
      <c r="H120" s="171" t="n"/>
      <c r="I120" s="185">
        <f>70%-0.5%</f>
        <v/>
      </c>
      <c r="J120" s="185">
        <f>70%+0.5%</f>
        <v/>
      </c>
      <c r="K120" s="185">
        <f>AVERAGE(I120:J120)</f>
        <v/>
      </c>
      <c r="L120" s="171" t="n"/>
      <c r="M120" s="181">
        <f>IF(INDEX(MO_SNA_IsHistoricalPeriod,,MATCH(F120,MO_Common_ColumnHeader,0)),"Actual","Estimate")</f>
        <v/>
      </c>
      <c r="N120" s="185">
        <f>IFERROR(INDEX(INDIRECT(E120),0,MATCH(F120,MO_Common_ColumnHeader,0)),"N/A")</f>
        <v/>
      </c>
      <c r="O120" s="171" t="n"/>
      <c r="P120" s="190">
        <f>IF(ISNUMBER(N120),N120-K120,"N/A")</f>
        <v/>
      </c>
      <c r="Q120" s="190">
        <f>IFERROR(IF(ISNUMBER(N120),(N120-K120)/ABS(K120),"N/A"),"N/A")</f>
        <v/>
      </c>
      <c r="R120" s="171" t="n"/>
      <c r="S120" s="184" t="n">
        <v>45070</v>
      </c>
      <c r="T120" s="191" t="inlineStr">
        <is>
          <t>CFO Commentary</t>
        </is>
      </c>
      <c r="U120" s="171" t="n"/>
    </row>
    <row r="121">
      <c r="A121" s="154" t="n">
        <v>273</v>
      </c>
      <c r="B121" s="181">
        <f>IF(INDEX(MO_SNA_IsHistoricalPeriod,,MATCH(F121,MO_Common_ColumnHeader,0)),"Historical","Forward")</f>
        <v/>
      </c>
      <c r="C121" s="171" t="n"/>
      <c r="D121" s="188" t="inlineStr">
        <is>
          <t>GAAP Operating Expenses</t>
        </is>
      </c>
      <c r="E121" s="182" t="n"/>
      <c r="F121" s="181" t="inlineStr">
        <is>
          <t>Q2-2024</t>
        </is>
      </c>
      <c r="G121" s="181" t="n"/>
      <c r="H121" s="171" t="n"/>
      <c r="I121" s="183" t="n">
        <v>2710</v>
      </c>
      <c r="J121" s="183" t="n">
        <v>2710</v>
      </c>
      <c r="K121" s="183">
        <f>AVERAGE(I121:J121)</f>
        <v/>
      </c>
      <c r="L121" s="171" t="n"/>
      <c r="M121" s="181">
        <f>IF(INDEX(MO_SNA_IsHistoricalPeriod,,MATCH(F121,MO_Common_ColumnHeader,0)),"Actual","Estimate")</f>
        <v/>
      </c>
      <c r="N121" s="183">
        <f>INDEX(MO_RIS_RD,0,MATCH(F121,MO_Common_ColumnHeader,0))+INDEX(MO_RIS_SGA,0,MATCH(F121,MO_Common_ColumnHeader,0))</f>
        <v/>
      </c>
      <c r="O121" s="171" t="n"/>
      <c r="P121" s="189">
        <f>IF(ISNUMBER(N121),N121-K121,"N/A")</f>
        <v/>
      </c>
      <c r="Q121" s="190">
        <f>IFERROR(IF(ISNUMBER(N121),(N121-K121)/ABS(K121),"N/A"),"N/A")</f>
        <v/>
      </c>
      <c r="R121" s="171" t="n"/>
      <c r="S121" s="184" t="n">
        <v>45070</v>
      </c>
      <c r="T121" s="191" t="inlineStr">
        <is>
          <t>CFO Commentary</t>
        </is>
      </c>
      <c r="U121" s="171" t="n"/>
    </row>
    <row r="122">
      <c r="A122" s="154" t="n">
        <v>272</v>
      </c>
      <c r="B122" s="181">
        <f>IF(INDEX(MO_SNA_IsHistoricalPeriod,,MATCH(F122,MO_Common_ColumnHeader,0)),"Historical","Forward")</f>
        <v/>
      </c>
      <c r="C122" s="171" t="n"/>
      <c r="D122" s="188">
        <f>INDEX(INDIRECT(E122),0,COLUMN(MO_Common_Column_A))</f>
        <v/>
      </c>
      <c r="E122" s="182" t="inlineStr">
        <is>
          <t>MO_OS_OPEX</t>
        </is>
      </c>
      <c r="F122" s="181" t="inlineStr">
        <is>
          <t>Q2-2024</t>
        </is>
      </c>
      <c r="G122" s="181" t="n"/>
      <c r="H122" s="171" t="n"/>
      <c r="I122" s="183" t="n">
        <v>1900</v>
      </c>
      <c r="J122" s="183" t="n">
        <v>1900</v>
      </c>
      <c r="K122" s="183">
        <f>AVERAGE(I122:J122)</f>
        <v/>
      </c>
      <c r="L122" s="171" t="n"/>
      <c r="M122" s="181">
        <f>IF(INDEX(MO_SNA_IsHistoricalPeriod,,MATCH(F122,MO_Common_ColumnHeader,0)),"Actual","Estimate")</f>
        <v/>
      </c>
      <c r="N122" s="183">
        <f>IFERROR(INDEX(INDIRECT(E122),0,MATCH(F122,MO_Common_ColumnHeader,0)),"N/A")</f>
        <v/>
      </c>
      <c r="O122" s="171" t="n"/>
      <c r="P122" s="189">
        <f>IF(ISNUMBER(N122),N122-K122,"N/A")</f>
        <v/>
      </c>
      <c r="Q122" s="190">
        <f>IFERROR(IF(ISNUMBER(N122),(N122-K122)/ABS(K122),"N/A"),"N/A")</f>
        <v/>
      </c>
      <c r="R122" s="171" t="n"/>
      <c r="S122" s="184" t="n">
        <v>45070</v>
      </c>
      <c r="T122" s="191" t="inlineStr">
        <is>
          <t>CFO Commentary</t>
        </is>
      </c>
      <c r="U122" s="171" t="n"/>
    </row>
    <row r="123">
      <c r="A123" s="154" t="n">
        <v>271</v>
      </c>
      <c r="B123" s="181">
        <f>IF(INDEX(MO_SNA_IsHistoricalPeriod,,MATCH(F123,MO_Common_ColumnHeader,0)),"Historical","Forward")</f>
        <v/>
      </c>
      <c r="C123" s="171" t="n"/>
      <c r="D123" s="188" t="inlineStr">
        <is>
          <t>GAAP Other Income</t>
        </is>
      </c>
      <c r="E123" s="182" t="n"/>
      <c r="F123" s="181" t="inlineStr">
        <is>
          <t>Q2-2024</t>
        </is>
      </c>
      <c r="G123" s="181" t="n"/>
      <c r="H123" s="171" t="n"/>
      <c r="I123" s="183" t="n">
        <v>-90</v>
      </c>
      <c r="J123" s="183" t="n">
        <v>-90</v>
      </c>
      <c r="K123" s="183">
        <f>AVERAGE(I123:J123)</f>
        <v/>
      </c>
      <c r="L123" s="171" t="n"/>
      <c r="M123" s="181">
        <f>IF(INDEX(MO_SNA_IsHistoricalPeriod,,MATCH(F123,MO_Common_ColumnHeader,0)),"Actual","Estimate")</f>
        <v/>
      </c>
      <c r="N123" s="183">
        <f>IFERROR(INDEX(INDIRECT(E123),0,MATCH(F123,MO_Common_ColumnHeader,0)),"N/A")</f>
        <v/>
      </c>
      <c r="O123" s="171" t="n"/>
      <c r="P123" s="189">
        <f>IF(ISNUMBER(N123),N123-K123,"N/A")</f>
        <v/>
      </c>
      <c r="Q123" s="190">
        <f>IFERROR(IF(ISNUMBER(N123),(N123-K123)/ABS(K123),"N/A"),"N/A")</f>
        <v/>
      </c>
      <c r="R123" s="171" t="n"/>
      <c r="S123" s="184" t="n">
        <v>45070</v>
      </c>
      <c r="T123" s="191" t="inlineStr">
        <is>
          <t>CFO Commentary</t>
        </is>
      </c>
      <c r="U123" s="171" t="n"/>
    </row>
    <row r="124">
      <c r="A124" s="154" t="n">
        <v>270</v>
      </c>
      <c r="B124" s="181">
        <f>IF(INDEX(MO_SNA_IsHistoricalPeriod,,MATCH(F124,MO_Common_ColumnHeader,0)),"Historical","Forward")</f>
        <v/>
      </c>
      <c r="C124" s="171" t="n"/>
      <c r="D124" s="188" t="inlineStr">
        <is>
          <t>Non-GAAP Other Income</t>
        </is>
      </c>
      <c r="E124" s="182" t="n"/>
      <c r="F124" s="181" t="inlineStr">
        <is>
          <t>Q2-2024</t>
        </is>
      </c>
      <c r="G124" s="181" t="n"/>
      <c r="H124" s="171" t="n"/>
      <c r="I124" s="183" t="n">
        <v>-90</v>
      </c>
      <c r="J124" s="183" t="n">
        <v>-90</v>
      </c>
      <c r="K124" s="183">
        <f>AVERAGE(I124:J124)</f>
        <v/>
      </c>
      <c r="L124" s="171" t="n"/>
      <c r="M124" s="181">
        <f>IF(INDEX(MO_SNA_IsHistoricalPeriod,,MATCH(F124,MO_Common_ColumnHeader,0)),"Actual","Estimate")</f>
        <v/>
      </c>
      <c r="N124" s="183">
        <f>INDEX(MO_RIS_IE_Net_NONGAAP,0,MATCH(F124,MO_Common_ColumnHeader,0))+INDEX(MO_RIS_OI_NONGAAP,0,MATCH(F124,MO_Common_ColumnHeader,0))</f>
        <v/>
      </c>
      <c r="O124" s="171" t="n"/>
      <c r="P124" s="189">
        <f>IF(ISNUMBER(N124),N124-K124,"N/A")</f>
        <v/>
      </c>
      <c r="Q124" s="190">
        <f>IFERROR(IF(ISNUMBER(N124),(N124-K124)/ABS(K124),"N/A"),"N/A")</f>
        <v/>
      </c>
      <c r="R124" s="171" t="n"/>
      <c r="S124" s="184" t="n">
        <v>45070</v>
      </c>
      <c r="T124" s="191" t="inlineStr">
        <is>
          <t>CFO Commentary</t>
        </is>
      </c>
      <c r="U124" s="171" t="n"/>
    </row>
    <row r="125">
      <c r="A125" s="154" t="n">
        <v>269</v>
      </c>
      <c r="B125" s="181">
        <f>IF(INDEX(MO_SNA_IsHistoricalPeriod,,MATCH(F125,MO_Common_ColumnHeader,0)),"Historical","Forward")</f>
        <v/>
      </c>
      <c r="C125" s="171" t="n"/>
      <c r="D125" s="188" t="inlineStr">
        <is>
          <t>GAAP Tax Rate</t>
        </is>
      </c>
      <c r="E125" s="182" t="inlineStr">
        <is>
          <t>MO_RIS_TaxRate</t>
        </is>
      </c>
      <c r="F125" s="181" t="inlineStr">
        <is>
          <t>Q2-2024</t>
        </is>
      </c>
      <c r="G125" s="181" t="n"/>
      <c r="H125" s="171" t="n"/>
      <c r="I125" s="185">
        <f>14%-1%</f>
        <v/>
      </c>
      <c r="J125" s="185">
        <f>14%+1%</f>
        <v/>
      </c>
      <c r="K125" s="185">
        <f>AVERAGE(I125:J125)</f>
        <v/>
      </c>
      <c r="L125" s="171" t="n"/>
      <c r="M125" s="181">
        <f>IF(INDEX(MO_SNA_IsHistoricalPeriod,,MATCH(F125,MO_Common_ColumnHeader,0)),"Actual","Estimate")</f>
        <v/>
      </c>
      <c r="N125" s="185">
        <f>IFERROR(INDEX(INDIRECT(E125),0,MATCH(F125,MO_Common_ColumnHeader,0)),"N/A")</f>
        <v/>
      </c>
      <c r="O125" s="171" t="n"/>
      <c r="P125" s="190">
        <f>IF(ISNUMBER(N125),N125-K125,"N/A")</f>
        <v/>
      </c>
      <c r="Q125" s="190">
        <f>IFERROR(IF(ISNUMBER(N125),(N125-K125)/ABS(K125),"N/A"),"N/A")</f>
        <v/>
      </c>
      <c r="R125" s="171" t="n"/>
      <c r="S125" s="184" t="n">
        <v>45070</v>
      </c>
      <c r="T125" s="191" t="inlineStr">
        <is>
          <t>CFO Commentary</t>
        </is>
      </c>
      <c r="U125" s="171" t="n"/>
    </row>
    <row r="126">
      <c r="A126" s="154" t="n">
        <v>268</v>
      </c>
      <c r="B126" s="181">
        <f>IF(INDEX(MO_SNA_IsHistoricalPeriod,,MATCH(F126,MO_Common_ColumnHeader,0)),"Historical","Forward")</f>
        <v/>
      </c>
      <c r="C126" s="171" t="n"/>
      <c r="D126" s="188">
        <f>INDEX(INDIRECT(E126),0,COLUMN(MO_Common_Column_A))</f>
        <v/>
      </c>
      <c r="E126" s="182" t="inlineStr">
        <is>
          <t>MO_RIS_TaxRate_NONGAAP</t>
        </is>
      </c>
      <c r="F126" s="181" t="inlineStr">
        <is>
          <t>Q2-2024</t>
        </is>
      </c>
      <c r="G126" s="181" t="n"/>
      <c r="H126" s="171" t="n"/>
      <c r="I126" s="185">
        <f>14%-1%</f>
        <v/>
      </c>
      <c r="J126" s="185">
        <f>14%+1%</f>
        <v/>
      </c>
      <c r="K126" s="185">
        <f>AVERAGE(I126:J126)</f>
        <v/>
      </c>
      <c r="L126" s="171" t="n"/>
      <c r="M126" s="181">
        <f>IF(INDEX(MO_SNA_IsHistoricalPeriod,,MATCH(F126,MO_Common_ColumnHeader,0)),"Actual","Estimate")</f>
        <v/>
      </c>
      <c r="N126" s="185">
        <f>IFERROR(INDEX(INDIRECT(E126),0,MATCH(F126,MO_Common_ColumnHeader,0)),"N/A")</f>
        <v/>
      </c>
      <c r="O126" s="171" t="n"/>
      <c r="P126" s="190">
        <f>IF(ISNUMBER(N126),N126-K126,"N/A")</f>
        <v/>
      </c>
      <c r="Q126" s="190">
        <f>IFERROR(IF(ISNUMBER(N126),(N126-K126)/ABS(K126),"N/A"),"N/A")</f>
        <v/>
      </c>
      <c r="R126" s="171" t="n"/>
      <c r="S126" s="184" t="n">
        <v>45070</v>
      </c>
      <c r="T126" s="191" t="inlineStr">
        <is>
          <t>CFO Commentary</t>
        </is>
      </c>
      <c r="U126" s="171" t="n"/>
    </row>
    <row r="127">
      <c r="A127" s="154" t="n">
        <v>267</v>
      </c>
      <c r="B127" s="181">
        <f>IF(INDEX(MO_SNA_IsHistoricalPeriod,,MATCH(F127,MO_Common_ColumnHeader,0)),"Historical","Forward")</f>
        <v/>
      </c>
      <c r="C127" s="171" t="n"/>
      <c r="D127" s="188">
        <f>INDEX(INDIRECT(E127),0,COLUMN(MO_Common_Column_A))</f>
        <v/>
      </c>
      <c r="E127" s="182" t="inlineStr">
        <is>
          <t>MO_CFSum_Capex</t>
        </is>
      </c>
      <c r="F127" s="181" t="inlineStr">
        <is>
          <t>Q2-2024</t>
        </is>
      </c>
      <c r="G127" s="181" t="n"/>
      <c r="H127" s="171" t="n"/>
      <c r="I127" s="183" t="n">
        <v>-300</v>
      </c>
      <c r="J127" s="183" t="n">
        <v>-350</v>
      </c>
      <c r="K127" s="183">
        <f>AVERAGE(I127:J127)</f>
        <v/>
      </c>
      <c r="L127" s="171" t="n"/>
      <c r="M127" s="181">
        <f>IF(INDEX(MO_SNA_IsHistoricalPeriod,,MATCH(F127,MO_Common_ColumnHeader,0)),"Actual","Estimate")</f>
        <v/>
      </c>
      <c r="N127" s="183">
        <f>IFERROR(INDEX(INDIRECT(E127),0,MATCH(F127,MO_Common_ColumnHeader,0)),"N/A")</f>
        <v/>
      </c>
      <c r="O127" s="171" t="n"/>
      <c r="P127" s="189">
        <f>IF(ISNUMBER(N127),N127-K127,"N/A")</f>
        <v/>
      </c>
      <c r="Q127" s="190">
        <f>IFERROR(IF(ISNUMBER(N127),(N127-K127)/ABS(K127),"N/A"),"N/A")</f>
        <v/>
      </c>
      <c r="R127" s="171" t="n"/>
      <c r="S127" s="184" t="n">
        <v>45070</v>
      </c>
      <c r="T127" s="191" t="inlineStr">
        <is>
          <t>CFO Commentary</t>
        </is>
      </c>
      <c r="U127" s="171" t="n"/>
    </row>
    <row r="128">
      <c r="A128" s="154" t="n">
        <v>266</v>
      </c>
      <c r="B128" s="171" t="n"/>
      <c r="C128" s="171" t="n"/>
      <c r="D128" s="168" t="n"/>
      <c r="E128" s="169" t="n"/>
      <c r="F128" s="171" t="n"/>
      <c r="G128" s="171" t="n"/>
      <c r="H128" s="171" t="n"/>
      <c r="I128" s="1013" t="n"/>
      <c r="J128" s="1013" t="n"/>
      <c r="K128" s="1013" t="n"/>
      <c r="L128" s="171" t="n"/>
      <c r="M128" s="171" t="n"/>
      <c r="N128" s="1013" t="n"/>
      <c r="O128" s="171" t="n"/>
      <c r="P128" s="172" t="n"/>
      <c r="Q128" s="134" t="n"/>
      <c r="R128" s="171" t="n"/>
      <c r="S128" s="173" t="n"/>
      <c r="T128" s="192" t="inlineStr">
        <is>
          <t>https://s201.q4cdn.com/141608511/files/doc_financials/2023/Q423/Q4FY23-CFO-Commentary.pdf</t>
        </is>
      </c>
      <c r="U128" s="171" t="n"/>
    </row>
    <row r="129">
      <c r="A129" s="154" t="n">
        <v>265</v>
      </c>
      <c r="B129" s="181">
        <f>IF(INDEX(MO_SNA_IsHistoricalPeriod,,MATCH(F129,MO_Common_ColumnHeader,0)),"Historical","Forward")</f>
        <v/>
      </c>
      <c r="C129" s="171" t="n"/>
      <c r="D129" s="188">
        <f>INDEX(INDIRECT(E129),0,COLUMN(MO_Common_Column_A))</f>
        <v/>
      </c>
      <c r="E129" s="182" t="inlineStr">
        <is>
          <t>MO_CFSum_Capex</t>
        </is>
      </c>
      <c r="F129" s="181" t="inlineStr">
        <is>
          <t>FY2024</t>
        </is>
      </c>
      <c r="G129" s="181" t="n"/>
      <c r="H129" s="171" t="n"/>
      <c r="I129" s="183" t="n">
        <v>-1300</v>
      </c>
      <c r="J129" s="183" t="n">
        <v>-1100</v>
      </c>
      <c r="K129" s="183">
        <f>AVERAGE(I129:J129)</f>
        <v/>
      </c>
      <c r="L129" s="171" t="n"/>
      <c r="M129" s="181">
        <f>IF(INDEX(MO_SNA_IsHistoricalPeriod,,MATCH(F129,MO_Common_ColumnHeader,0)),"Actual","Estimate")</f>
        <v/>
      </c>
      <c r="N129" s="183">
        <f>IFERROR(INDEX(INDIRECT(E129),0,MATCH(F129,MO_Common_ColumnHeader,0)),"N/A")</f>
        <v/>
      </c>
      <c r="O129" s="171" t="n"/>
      <c r="P129" s="189">
        <f>IF(ISNUMBER(N129),N129-K129,"N/A")</f>
        <v/>
      </c>
      <c r="Q129" s="190">
        <f>IFERROR(IF(ISNUMBER(N129),(N129-K129)/ABS(K129),"N/A"),"N/A")</f>
        <v/>
      </c>
      <c r="R129" s="171" t="n"/>
      <c r="S129" s="184" t="n">
        <v>44979</v>
      </c>
      <c r="T129" s="191" t="inlineStr">
        <is>
          <t>CFO Commentary</t>
        </is>
      </c>
      <c r="U129" s="171" t="n"/>
    </row>
    <row r="130">
      <c r="A130" s="154" t="n">
        <v>264</v>
      </c>
      <c r="B130" s="171" t="n"/>
      <c r="C130" s="171" t="n"/>
      <c r="D130" s="168" t="n"/>
      <c r="E130" s="169" t="n"/>
      <c r="F130" s="171" t="n"/>
      <c r="G130" s="171" t="n"/>
      <c r="H130" s="171" t="n"/>
      <c r="I130" s="1013" t="n"/>
      <c r="J130" s="1013" t="n"/>
      <c r="K130" s="1013" t="n"/>
      <c r="L130" s="171" t="n"/>
      <c r="M130" s="171" t="n"/>
      <c r="N130" s="1013" t="n"/>
      <c r="O130" s="171" t="n"/>
      <c r="P130" s="172" t="n"/>
      <c r="Q130" s="134" t="n"/>
      <c r="R130" s="171" t="n"/>
      <c r="S130" s="173" t="n"/>
      <c r="T130" s="192" t="inlineStr">
        <is>
          <t>https://s201.q4cdn.com/141608511/files/doc_financials/2023/Q423/Q4FY23-CFO-Commentary.pdf</t>
        </is>
      </c>
      <c r="U130" s="171" t="n"/>
    </row>
    <row r="131">
      <c r="A131" s="154" t="n">
        <v>263</v>
      </c>
      <c r="B131" s="181">
        <f>IF(INDEX(MO_SNA_IsHistoricalPeriod,,MATCH(F131,MO_Common_ColumnHeader,0)),"Historical","Forward")</f>
        <v/>
      </c>
      <c r="C131" s="171" t="n"/>
      <c r="D131" s="188">
        <f>INDEX(INDIRECT(E131),0,COLUMN(MO_Common_Column_A))</f>
        <v/>
      </c>
      <c r="E131" s="182" t="inlineStr">
        <is>
          <t>MO_RIS_REV</t>
        </is>
      </c>
      <c r="F131" s="181" t="inlineStr">
        <is>
          <t>Q1-2024</t>
        </is>
      </c>
      <c r="G131" s="181" t="n"/>
      <c r="H131" s="171" t="n"/>
      <c r="I131" s="183">
        <f>6500*0.98</f>
        <v/>
      </c>
      <c r="J131" s="183">
        <f>6500*1.02</f>
        <v/>
      </c>
      <c r="K131" s="183">
        <f>AVERAGE(I131:J131)</f>
        <v/>
      </c>
      <c r="L131" s="171" t="n"/>
      <c r="M131" s="181">
        <f>IF(INDEX(MO_SNA_IsHistoricalPeriod,,MATCH(F131,MO_Common_ColumnHeader,0)),"Actual","Estimate")</f>
        <v/>
      </c>
      <c r="N131" s="183">
        <f>IFERROR(INDEX(INDIRECT(E131),0,MATCH(F131,MO_Common_ColumnHeader,0)),"N/A")</f>
        <v/>
      </c>
      <c r="O131" s="171" t="n"/>
      <c r="P131" s="189">
        <f>IF(ISNUMBER(N131),N131-K131,"N/A")</f>
        <v/>
      </c>
      <c r="Q131" s="190">
        <f>IFERROR(IF(ISNUMBER(N131),(N131-K131)/ABS(K131),"N/A"),"N/A")</f>
        <v/>
      </c>
      <c r="R131" s="171" t="n"/>
      <c r="S131" s="184" t="n">
        <v>44979</v>
      </c>
      <c r="T131" s="191" t="inlineStr">
        <is>
          <t>CFO Commentary</t>
        </is>
      </c>
      <c r="U131" s="171" t="n"/>
    </row>
    <row r="132">
      <c r="A132" s="154" t="n">
        <v>262</v>
      </c>
      <c r="B132" s="181">
        <f>IF(INDEX(MO_SNA_IsHistoricalPeriod,,MATCH(F132,MO_Common_ColumnHeader,0)),"Historical","Forward")</f>
        <v/>
      </c>
      <c r="C132" s="171" t="n"/>
      <c r="D132" s="188">
        <f>INDEX(INDIRECT(E132),0,COLUMN(MO_Common_Column_A))</f>
        <v/>
      </c>
      <c r="E132" s="182" t="inlineStr">
        <is>
          <t>MO_MA_GM</t>
        </is>
      </c>
      <c r="F132" s="181" t="inlineStr">
        <is>
          <t>Q1-2024</t>
        </is>
      </c>
      <c r="G132" s="181" t="n"/>
      <c r="H132" s="171" t="n"/>
      <c r="I132" s="185" t="n">
        <v>0.636</v>
      </c>
      <c r="J132" s="185" t="n">
        <v>0.646</v>
      </c>
      <c r="K132" s="185">
        <f>AVERAGE(I132:J132)</f>
        <v/>
      </c>
      <c r="L132" s="171" t="n"/>
      <c r="M132" s="181">
        <f>IF(INDEX(MO_SNA_IsHistoricalPeriod,,MATCH(F132,MO_Common_ColumnHeader,0)),"Actual","Estimate")</f>
        <v/>
      </c>
      <c r="N132" s="185">
        <f>IFERROR(INDEX(INDIRECT(E132),0,MATCH(F132,MO_Common_ColumnHeader,0)),"N/A")</f>
        <v/>
      </c>
      <c r="O132" s="171" t="n"/>
      <c r="P132" s="190">
        <f>IF(ISNUMBER(N132),N132-K132,"N/A")</f>
        <v/>
      </c>
      <c r="Q132" s="190">
        <f>IFERROR(IF(ISNUMBER(N132),(N132-K132)/ABS(K132),"N/A"),"N/A")</f>
        <v/>
      </c>
      <c r="R132" s="171" t="n"/>
      <c r="S132" s="184" t="n">
        <v>44979</v>
      </c>
      <c r="T132" s="191" t="inlineStr">
        <is>
          <t>CFO Commentary</t>
        </is>
      </c>
      <c r="U132" s="171" t="n"/>
    </row>
    <row r="133">
      <c r="A133" s="154" t="n">
        <v>261</v>
      </c>
      <c r="B133" s="181">
        <f>IF(INDEX(MO_SNA_IsHistoricalPeriod,,MATCH(F133,MO_Common_ColumnHeader,0)),"Historical","Forward")</f>
        <v/>
      </c>
      <c r="C133" s="171" t="n"/>
      <c r="D133" s="188">
        <f>INDEX(INDIRECT(E133),0,COLUMN(MO_Common_Column_A))</f>
        <v/>
      </c>
      <c r="E133" s="182" t="inlineStr">
        <is>
          <t>MO_MA_GM_NONGAAP</t>
        </is>
      </c>
      <c r="F133" s="181" t="inlineStr">
        <is>
          <t>Q1-2024</t>
        </is>
      </c>
      <c r="G133" s="181" t="n"/>
      <c r="H133" s="171" t="n"/>
      <c r="I133" s="185" t="n">
        <v>0.66</v>
      </c>
      <c r="J133" s="185" t="n">
        <v>0.67</v>
      </c>
      <c r="K133" s="185">
        <f>AVERAGE(I133:J133)</f>
        <v/>
      </c>
      <c r="L133" s="171" t="n"/>
      <c r="M133" s="181">
        <f>IF(INDEX(MO_SNA_IsHistoricalPeriod,,MATCH(F133,MO_Common_ColumnHeader,0)),"Actual","Estimate")</f>
        <v/>
      </c>
      <c r="N133" s="185">
        <f>IFERROR(INDEX(INDIRECT(E133),0,MATCH(F133,MO_Common_ColumnHeader,0)),"N/A")</f>
        <v/>
      </c>
      <c r="O133" s="171" t="n"/>
      <c r="P133" s="190">
        <f>IF(ISNUMBER(N133),N133-K133,"N/A")</f>
        <v/>
      </c>
      <c r="Q133" s="190">
        <f>IFERROR(IF(ISNUMBER(N133),(N133-K133)/ABS(K133),"N/A"),"N/A")</f>
        <v/>
      </c>
      <c r="R133" s="171" t="n"/>
      <c r="S133" s="184" t="n">
        <v>44979</v>
      </c>
      <c r="T133" s="191" t="inlineStr">
        <is>
          <t>CFO Commentary</t>
        </is>
      </c>
      <c r="U133" s="171" t="n"/>
    </row>
    <row r="134">
      <c r="A134" s="154" t="n">
        <v>260</v>
      </c>
      <c r="B134" s="181">
        <f>IF(INDEX(MO_SNA_IsHistoricalPeriod,,MATCH(F134,MO_Common_ColumnHeader,0)),"Historical","Forward")</f>
        <v/>
      </c>
      <c r="C134" s="171" t="n"/>
      <c r="D134" s="188" t="inlineStr">
        <is>
          <t>GAAP Operating Expenses</t>
        </is>
      </c>
      <c r="E134" s="182" t="n"/>
      <c r="F134" s="181" t="inlineStr">
        <is>
          <t>Q1-2024</t>
        </is>
      </c>
      <c r="G134" s="181" t="n"/>
      <c r="H134" s="171" t="n"/>
      <c r="I134" s="183" t="n">
        <v>2530</v>
      </c>
      <c r="J134" s="183" t="n">
        <v>2530</v>
      </c>
      <c r="K134" s="183">
        <f>AVERAGE(I134:J134)</f>
        <v/>
      </c>
      <c r="L134" s="171" t="n"/>
      <c r="M134" s="181">
        <f>IF(INDEX(MO_SNA_IsHistoricalPeriod,,MATCH(F134,MO_Common_ColumnHeader,0)),"Actual","Estimate")</f>
        <v/>
      </c>
      <c r="N134" s="183">
        <f>INDEX(MO_RIS_RD,0,MATCH(F134,MO_Common_ColumnHeader,0))+INDEX(MO_RIS_SGA,0,MATCH(F134,MO_Common_ColumnHeader,0))</f>
        <v/>
      </c>
      <c r="O134" s="171" t="n"/>
      <c r="P134" s="189">
        <f>IF(ISNUMBER(N134),N134-K134,"N/A")</f>
        <v/>
      </c>
      <c r="Q134" s="190">
        <f>IFERROR(IF(ISNUMBER(N134),(N134-K134)/ABS(K134),"N/A"),"N/A")</f>
        <v/>
      </c>
      <c r="R134" s="171" t="n"/>
      <c r="S134" s="184" t="n">
        <v>44979</v>
      </c>
      <c r="T134" s="191" t="inlineStr">
        <is>
          <t>CFO Commentary</t>
        </is>
      </c>
      <c r="U134" s="171" t="n"/>
    </row>
    <row r="135">
      <c r="A135" s="154" t="n">
        <v>259</v>
      </c>
      <c r="B135" s="181">
        <f>IF(INDEX(MO_SNA_IsHistoricalPeriod,,MATCH(F135,MO_Common_ColumnHeader,0)),"Historical","Forward")</f>
        <v/>
      </c>
      <c r="C135" s="171" t="n"/>
      <c r="D135" s="188">
        <f>INDEX(INDIRECT(E135),0,COLUMN(MO_Common_Column_A))</f>
        <v/>
      </c>
      <c r="E135" s="182" t="inlineStr">
        <is>
          <t>MO_OS_OPEX</t>
        </is>
      </c>
      <c r="F135" s="181" t="inlineStr">
        <is>
          <t>Q1-2024</t>
        </is>
      </c>
      <c r="G135" s="181" t="n"/>
      <c r="H135" s="171" t="n"/>
      <c r="I135" s="183" t="n">
        <v>1780</v>
      </c>
      <c r="J135" s="183" t="n">
        <v>1780</v>
      </c>
      <c r="K135" s="183">
        <f>AVERAGE(I135:J135)</f>
        <v/>
      </c>
      <c r="L135" s="171" t="n"/>
      <c r="M135" s="181">
        <f>IF(INDEX(MO_SNA_IsHistoricalPeriod,,MATCH(F135,MO_Common_ColumnHeader,0)),"Actual","Estimate")</f>
        <v/>
      </c>
      <c r="N135" s="183">
        <f>IFERROR(INDEX(INDIRECT(E135),0,MATCH(F135,MO_Common_ColumnHeader,0)),"N/A")</f>
        <v/>
      </c>
      <c r="O135" s="171" t="n"/>
      <c r="P135" s="189">
        <f>IF(ISNUMBER(N135),N135-K135,"N/A")</f>
        <v/>
      </c>
      <c r="Q135" s="190">
        <f>IFERROR(IF(ISNUMBER(N135),(N135-K135)/ABS(K135),"N/A"),"N/A")</f>
        <v/>
      </c>
      <c r="R135" s="171" t="n"/>
      <c r="S135" s="184" t="n">
        <v>44979</v>
      </c>
      <c r="T135" s="191" t="inlineStr">
        <is>
          <t>CFO Commentary</t>
        </is>
      </c>
      <c r="U135" s="171" t="n"/>
    </row>
    <row r="136">
      <c r="A136" s="154" t="n">
        <v>258</v>
      </c>
      <c r="B136" s="181">
        <f>IF(INDEX(MO_SNA_IsHistoricalPeriod,,MATCH(F136,MO_Common_ColumnHeader,0)),"Historical","Forward")</f>
        <v/>
      </c>
      <c r="C136" s="171" t="n"/>
      <c r="D136" s="188" t="inlineStr">
        <is>
          <t>GAAP Other Income</t>
        </is>
      </c>
      <c r="E136" s="182" t="n"/>
      <c r="F136" s="181" t="inlineStr">
        <is>
          <t>Q1-2024</t>
        </is>
      </c>
      <c r="G136" s="181" t="n"/>
      <c r="H136" s="171" t="n"/>
      <c r="I136" s="183" t="n">
        <v>50</v>
      </c>
      <c r="J136" s="183" t="n">
        <v>50</v>
      </c>
      <c r="K136" s="183">
        <f>AVERAGE(I136:J136)</f>
        <v/>
      </c>
      <c r="L136" s="171" t="n"/>
      <c r="M136" s="181">
        <f>IF(INDEX(MO_SNA_IsHistoricalPeriod,,MATCH(F136,MO_Common_ColumnHeader,0)),"Actual","Estimate")</f>
        <v/>
      </c>
      <c r="N136" s="183">
        <f>IFERROR(INDEX(INDIRECT(E136),0,MATCH(F136,MO_Common_ColumnHeader,0)),"N/A")</f>
        <v/>
      </c>
      <c r="O136" s="171" t="n"/>
      <c r="P136" s="189">
        <f>IF(ISNUMBER(N136),N136-K136,"N/A")</f>
        <v/>
      </c>
      <c r="Q136" s="190">
        <f>IFERROR(IF(ISNUMBER(N136),(N136-K136)/ABS(K136),"N/A"),"N/A")</f>
        <v/>
      </c>
      <c r="R136" s="171" t="n"/>
      <c r="S136" s="184" t="n">
        <v>44979</v>
      </c>
      <c r="T136" s="191" t="inlineStr">
        <is>
          <t>CFO Commentary</t>
        </is>
      </c>
      <c r="U136" s="171" t="n"/>
    </row>
    <row r="137">
      <c r="A137" s="154" t="n">
        <v>257</v>
      </c>
      <c r="B137" s="181">
        <f>IF(INDEX(MO_SNA_IsHistoricalPeriod,,MATCH(F137,MO_Common_ColumnHeader,0)),"Historical","Forward")</f>
        <v/>
      </c>
      <c r="C137" s="171" t="n"/>
      <c r="D137" s="188" t="inlineStr">
        <is>
          <t>Non-GAAP Other Income</t>
        </is>
      </c>
      <c r="E137" s="182" t="n"/>
      <c r="F137" s="181" t="inlineStr">
        <is>
          <t>Q1-2024</t>
        </is>
      </c>
      <c r="G137" s="181" t="n"/>
      <c r="H137" s="171" t="n"/>
      <c r="I137" s="183" t="n">
        <v>50</v>
      </c>
      <c r="J137" s="183" t="n">
        <v>50</v>
      </c>
      <c r="K137" s="183">
        <f>AVERAGE(I137:J137)</f>
        <v/>
      </c>
      <c r="L137" s="171" t="n"/>
      <c r="M137" s="181">
        <f>IF(INDEX(MO_SNA_IsHistoricalPeriod,,MATCH(F137,MO_Common_ColumnHeader,0)),"Actual","Estimate")</f>
        <v/>
      </c>
      <c r="N137" s="183">
        <f>INDEX(MO_RIS_IE_Net_NONGAAP,0,MATCH(F137,MO_Common_ColumnHeader,0))+INDEX(MO_RIS_OI_NONGAAP,0,MATCH(F137,MO_Common_ColumnHeader,0))</f>
        <v/>
      </c>
      <c r="O137" s="171" t="n"/>
      <c r="P137" s="189">
        <f>IF(ISNUMBER(N137),N137-K137,"N/A")</f>
        <v/>
      </c>
      <c r="Q137" s="190">
        <f>IFERROR(IF(ISNUMBER(N137),(N137-K137)/ABS(K137),"N/A"),"N/A")</f>
        <v/>
      </c>
      <c r="R137" s="171" t="n"/>
      <c r="S137" s="184" t="n">
        <v>44979</v>
      </c>
      <c r="T137" s="191" t="inlineStr">
        <is>
          <t>CFO Commentary</t>
        </is>
      </c>
      <c r="U137" s="171" t="n"/>
    </row>
    <row r="138">
      <c r="A138" s="154" t="n">
        <v>256</v>
      </c>
      <c r="B138" s="181">
        <f>IF(INDEX(MO_SNA_IsHistoricalPeriod,,MATCH(F138,MO_Common_ColumnHeader,0)),"Historical","Forward")</f>
        <v/>
      </c>
      <c r="C138" s="171" t="n"/>
      <c r="D138" s="188" t="inlineStr">
        <is>
          <t>GAAP Tax Rate</t>
        </is>
      </c>
      <c r="E138" s="182" t="inlineStr">
        <is>
          <t>MO_RIS_TaxRate</t>
        </is>
      </c>
      <c r="F138" s="181" t="inlineStr">
        <is>
          <t>Q1-2024</t>
        </is>
      </c>
      <c r="G138" s="181" t="n"/>
      <c r="H138" s="171" t="n"/>
      <c r="I138" s="185" t="n">
        <v>0.12</v>
      </c>
      <c r="J138" s="185" t="n">
        <v>0.14</v>
      </c>
      <c r="K138" s="185">
        <f>AVERAGE(I138:J138)</f>
        <v/>
      </c>
      <c r="L138" s="171" t="n"/>
      <c r="M138" s="181">
        <f>IF(INDEX(MO_SNA_IsHistoricalPeriod,,MATCH(F138,MO_Common_ColumnHeader,0)),"Actual","Estimate")</f>
        <v/>
      </c>
      <c r="N138" s="185">
        <f>IFERROR(INDEX(INDIRECT(E138),0,MATCH(F138,MO_Common_ColumnHeader,0)),"N/A")</f>
        <v/>
      </c>
      <c r="O138" s="171" t="n"/>
      <c r="P138" s="190">
        <f>IF(ISNUMBER(N138),N138-K138,"N/A")</f>
        <v/>
      </c>
      <c r="Q138" s="190">
        <f>IFERROR(IF(ISNUMBER(N138),(N138-K138)/ABS(K138),"N/A"),"N/A")</f>
        <v/>
      </c>
      <c r="R138" s="171" t="n"/>
      <c r="S138" s="184" t="n">
        <v>44979</v>
      </c>
      <c r="T138" s="191" t="inlineStr">
        <is>
          <t>CFO Commentary</t>
        </is>
      </c>
      <c r="U138" s="171" t="n"/>
    </row>
    <row r="139">
      <c r="A139" s="154" t="n">
        <v>255</v>
      </c>
      <c r="B139" s="181">
        <f>IF(INDEX(MO_SNA_IsHistoricalPeriod,,MATCH(F139,MO_Common_ColumnHeader,0)),"Historical","Forward")</f>
        <v/>
      </c>
      <c r="C139" s="171" t="n"/>
      <c r="D139" s="188">
        <f>INDEX(INDIRECT(E139),0,COLUMN(MO_Common_Column_A))</f>
        <v/>
      </c>
      <c r="E139" s="182" t="inlineStr">
        <is>
          <t>MO_RIS_TaxRate_NONGAAP</t>
        </is>
      </c>
      <c r="F139" s="181" t="inlineStr">
        <is>
          <t>Q1-2024</t>
        </is>
      </c>
      <c r="G139" s="181" t="n"/>
      <c r="H139" s="171" t="n"/>
      <c r="I139" s="185" t="n">
        <v>0.12</v>
      </c>
      <c r="J139" s="185" t="n">
        <v>0.14</v>
      </c>
      <c r="K139" s="185">
        <f>AVERAGE(I139:J139)</f>
        <v/>
      </c>
      <c r="L139" s="171" t="n"/>
      <c r="M139" s="181">
        <f>IF(INDEX(MO_SNA_IsHistoricalPeriod,,MATCH(F139,MO_Common_ColumnHeader,0)),"Actual","Estimate")</f>
        <v/>
      </c>
      <c r="N139" s="185">
        <f>IFERROR(INDEX(INDIRECT(E139),0,MATCH(F139,MO_Common_ColumnHeader,0)),"N/A")</f>
        <v/>
      </c>
      <c r="O139" s="171" t="n"/>
      <c r="P139" s="190">
        <f>IF(ISNUMBER(N139),N139-K139,"N/A")</f>
        <v/>
      </c>
      <c r="Q139" s="190">
        <f>IFERROR(IF(ISNUMBER(N139),(N139-K139)/ABS(K139),"N/A"),"N/A")</f>
        <v/>
      </c>
      <c r="R139" s="171" t="n"/>
      <c r="S139" s="184" t="n">
        <v>44979</v>
      </c>
      <c r="T139" s="191" t="inlineStr">
        <is>
          <t>CFO Commentary</t>
        </is>
      </c>
      <c r="U139" s="171" t="n"/>
    </row>
    <row r="140">
      <c r="A140" s="154" t="n">
        <v>254</v>
      </c>
      <c r="B140" s="181">
        <f>IF(INDEX(MO_SNA_IsHistoricalPeriod,,MATCH(F140,MO_Common_ColumnHeader,0)),"Historical","Forward")</f>
        <v/>
      </c>
      <c r="C140" s="171" t="n"/>
      <c r="D140" s="188">
        <f>INDEX(INDIRECT(E140),0,COLUMN(MO_Common_Column_A))</f>
        <v/>
      </c>
      <c r="E140" s="182" t="inlineStr">
        <is>
          <t>MO_CFSum_Capex</t>
        </is>
      </c>
      <c r="F140" s="181" t="inlineStr">
        <is>
          <t>Q1-2024</t>
        </is>
      </c>
      <c r="G140" s="181" t="n"/>
      <c r="H140" s="171" t="n"/>
      <c r="I140" s="183" t="n">
        <v>-400</v>
      </c>
      <c r="J140" s="183" t="n">
        <v>-350</v>
      </c>
      <c r="K140" s="183">
        <f>AVERAGE(I140:J140)</f>
        <v/>
      </c>
      <c r="L140" s="171" t="n"/>
      <c r="M140" s="181">
        <f>IF(INDEX(MO_SNA_IsHistoricalPeriod,,MATCH(F140,MO_Common_ColumnHeader,0)),"Actual","Estimate")</f>
        <v/>
      </c>
      <c r="N140" s="183">
        <f>IFERROR(INDEX(INDIRECT(E140),0,MATCH(F140,MO_Common_ColumnHeader,0)),"N/A")</f>
        <v/>
      </c>
      <c r="O140" s="171" t="n"/>
      <c r="P140" s="189">
        <f>IF(ISNUMBER(N140),N140-K140,"N/A")</f>
        <v/>
      </c>
      <c r="Q140" s="190">
        <f>IFERROR(IF(ISNUMBER(N140),(N140-K140)/ABS(K140),"N/A"),"N/A")</f>
        <v/>
      </c>
      <c r="R140" s="171" t="n"/>
      <c r="S140" s="184" t="n">
        <v>44979</v>
      </c>
      <c r="T140" s="191" t="inlineStr">
        <is>
          <t>CFO Commentary</t>
        </is>
      </c>
      <c r="U140" s="171" t="n"/>
    </row>
    <row r="141">
      <c r="A141" s="154" t="n">
        <v>253</v>
      </c>
      <c r="B141" s="171" t="n"/>
      <c r="C141" s="171" t="n"/>
      <c r="D141" s="168" t="n"/>
      <c r="E141" s="169" t="n"/>
      <c r="F141" s="171" t="n"/>
      <c r="G141" s="171" t="n"/>
      <c r="H141" s="171" t="n"/>
      <c r="I141" s="1013" t="n"/>
      <c r="J141" s="1013" t="n"/>
      <c r="K141" s="1013" t="n"/>
      <c r="L141" s="171" t="n"/>
      <c r="M141" s="171" t="n"/>
      <c r="N141" s="1013" t="n"/>
      <c r="O141" s="171" t="n"/>
      <c r="P141" s="172" t="n"/>
      <c r="Q141" s="134" t="n"/>
      <c r="R141" s="171" t="n"/>
      <c r="S141" s="173" t="n"/>
      <c r="T141" s="192" t="inlineStr">
        <is>
          <t>https://s22.q4cdn.com/364334381/files/doc_financials/2023/Q3FY23-CFO-Commentary.pdf</t>
        </is>
      </c>
      <c r="U141" s="171" t="n"/>
    </row>
    <row r="142">
      <c r="A142" s="154" t="n">
        <v>252</v>
      </c>
      <c r="B142" s="181">
        <f>IF(INDEX(MO_SNA_IsHistoricalPeriod,,MATCH(F142,MO_Common_ColumnHeader,0)),"Historical","Forward")</f>
        <v/>
      </c>
      <c r="C142" s="171" t="n"/>
      <c r="D142" s="188">
        <f>INDEX(INDIRECT(E142),0,COLUMN(MO_Common_Column_A))</f>
        <v/>
      </c>
      <c r="E142" s="182" t="inlineStr">
        <is>
          <t>MO_RIS_REV</t>
        </is>
      </c>
      <c r="F142" s="181" t="inlineStr">
        <is>
          <t>Q4-2023</t>
        </is>
      </c>
      <c r="G142" s="181" t="n"/>
      <c r="H142" s="171" t="n"/>
      <c r="I142" s="183">
        <f>6000*0.98</f>
        <v/>
      </c>
      <c r="J142" s="183">
        <f>6000*1.02</f>
        <v/>
      </c>
      <c r="K142" s="183">
        <f>AVERAGE(I142:J142)</f>
        <v/>
      </c>
      <c r="L142" s="171" t="n"/>
      <c r="M142" s="181">
        <f>IF(INDEX(MO_SNA_IsHistoricalPeriod,,MATCH(F142,MO_Common_ColumnHeader,0)),"Actual","Estimate")</f>
        <v/>
      </c>
      <c r="N142" s="183">
        <f>IFERROR(INDEX(INDIRECT(E142),0,MATCH(F142,MO_Common_ColumnHeader,0)),"N/A")</f>
        <v/>
      </c>
      <c r="O142" s="171" t="n"/>
      <c r="P142" s="189">
        <f>IF(ISNUMBER(N142),N142-K142,"N/A")</f>
        <v/>
      </c>
      <c r="Q142" s="190">
        <f>IFERROR(IF(ISNUMBER(N142),(N142-K142)/ABS(K142),"N/A"),"N/A")</f>
        <v/>
      </c>
      <c r="R142" s="171" t="n"/>
      <c r="S142" s="184" t="n">
        <v>44881</v>
      </c>
      <c r="T142" s="191" t="inlineStr">
        <is>
          <t>Press Release</t>
        </is>
      </c>
      <c r="U142" s="171" t="n"/>
    </row>
    <row r="143">
      <c r="A143" s="154" t="n">
        <v>251</v>
      </c>
      <c r="B143" s="181">
        <f>IF(INDEX(MO_SNA_IsHistoricalPeriod,,MATCH(F143,MO_Common_ColumnHeader,0)),"Historical","Forward")</f>
        <v/>
      </c>
      <c r="C143" s="171" t="n"/>
      <c r="D143" s="188">
        <f>INDEX(INDIRECT(E143),0,COLUMN(MO_Common_Column_A))</f>
        <v/>
      </c>
      <c r="E143" s="182" t="inlineStr">
        <is>
          <t>MO_MA_GM</t>
        </is>
      </c>
      <c r="F143" s="181" t="inlineStr">
        <is>
          <t>Q4-2023</t>
        </is>
      </c>
      <c r="G143" s="181" t="n"/>
      <c r="H143" s="171" t="n"/>
      <c r="I143" s="185" t="n">
        <v>0.627</v>
      </c>
      <c r="J143" s="185" t="n">
        <v>0.637</v>
      </c>
      <c r="K143" s="185">
        <f>AVERAGE(I143:J143)</f>
        <v/>
      </c>
      <c r="L143" s="171" t="n"/>
      <c r="M143" s="181">
        <f>IF(INDEX(MO_SNA_IsHistoricalPeriod,,MATCH(F143,MO_Common_ColumnHeader,0)),"Actual","Estimate")</f>
        <v/>
      </c>
      <c r="N143" s="185">
        <f>IFERROR(INDEX(INDIRECT(E143),0,MATCH(F143,MO_Common_ColumnHeader,0)),"N/A")</f>
        <v/>
      </c>
      <c r="O143" s="171" t="n"/>
      <c r="P143" s="190">
        <f>IF(ISNUMBER(N143),N143-K143,"N/A")</f>
        <v/>
      </c>
      <c r="Q143" s="190">
        <f>IFERROR(IF(ISNUMBER(N143),(N143-K143)/ABS(K143),"N/A"),"N/A")</f>
        <v/>
      </c>
      <c r="R143" s="171" t="n"/>
      <c r="S143" s="184" t="n">
        <v>44881</v>
      </c>
      <c r="T143" s="191" t="inlineStr">
        <is>
          <t>Press Release</t>
        </is>
      </c>
      <c r="U143" s="171" t="n"/>
    </row>
    <row r="144">
      <c r="A144" s="154" t="n">
        <v>250</v>
      </c>
      <c r="B144" s="181">
        <f>IF(INDEX(MO_SNA_IsHistoricalPeriod,,MATCH(F144,MO_Common_ColumnHeader,0)),"Historical","Forward")</f>
        <v/>
      </c>
      <c r="C144" s="171" t="n"/>
      <c r="D144" s="188">
        <f>INDEX(INDIRECT(E144),0,COLUMN(MO_Common_Column_A))</f>
        <v/>
      </c>
      <c r="E144" s="182" t="inlineStr">
        <is>
          <t>MO_MA_GM_NONGAAP</t>
        </is>
      </c>
      <c r="F144" s="181" t="inlineStr">
        <is>
          <t>Q4-2023</t>
        </is>
      </c>
      <c r="G144" s="181" t="n"/>
      <c r="H144" s="171" t="n"/>
      <c r="I144" s="185" t="n">
        <v>0.655</v>
      </c>
      <c r="J144" s="185" t="n">
        <v>0.665</v>
      </c>
      <c r="K144" s="185">
        <f>AVERAGE(I144:J144)</f>
        <v/>
      </c>
      <c r="L144" s="171" t="n"/>
      <c r="M144" s="181">
        <f>IF(INDEX(MO_SNA_IsHistoricalPeriod,,MATCH(F144,MO_Common_ColumnHeader,0)),"Actual","Estimate")</f>
        <v/>
      </c>
      <c r="N144" s="185">
        <f>IFERROR(INDEX(INDIRECT(E144),0,MATCH(F144,MO_Common_ColumnHeader,0)),"N/A")</f>
        <v/>
      </c>
      <c r="O144" s="171" t="n"/>
      <c r="P144" s="190">
        <f>IF(ISNUMBER(N144),N144-K144,"N/A")</f>
        <v/>
      </c>
      <c r="Q144" s="190">
        <f>IFERROR(IF(ISNUMBER(N144),(N144-K144)/ABS(K144),"N/A"),"N/A")</f>
        <v/>
      </c>
      <c r="R144" s="171" t="n"/>
      <c r="S144" s="184" t="n">
        <v>44881</v>
      </c>
      <c r="T144" s="191" t="inlineStr">
        <is>
          <t>Press Release</t>
        </is>
      </c>
      <c r="U144" s="171" t="n"/>
    </row>
    <row r="145">
      <c r="A145" s="154" t="n">
        <v>249</v>
      </c>
      <c r="B145" s="181">
        <f>IF(INDEX(MO_SNA_IsHistoricalPeriod,,MATCH(F145,MO_Common_ColumnHeader,0)),"Historical","Forward")</f>
        <v/>
      </c>
      <c r="C145" s="171" t="n"/>
      <c r="D145" s="188" t="inlineStr">
        <is>
          <t>GAAP Operating Expenses</t>
        </is>
      </c>
      <c r="E145" s="182" t="n"/>
      <c r="F145" s="181" t="inlineStr">
        <is>
          <t>Q4-2023</t>
        </is>
      </c>
      <c r="G145" s="181" t="n"/>
      <c r="H145" s="171" t="n"/>
      <c r="I145" s="183" t="n">
        <v>2560</v>
      </c>
      <c r="J145" s="183" t="n">
        <v>2560</v>
      </c>
      <c r="K145" s="183">
        <f>AVERAGE(I145:J145)</f>
        <v/>
      </c>
      <c r="L145" s="171" t="n"/>
      <c r="M145" s="181">
        <f>IF(INDEX(MO_SNA_IsHistoricalPeriod,,MATCH(F145,MO_Common_ColumnHeader,0)),"Actual","Estimate")</f>
        <v/>
      </c>
      <c r="N145" s="183">
        <f>INDEX(MO_RIS_RD,0,MATCH(F145,MO_Common_ColumnHeader,0))+INDEX(MO_RIS_SGA,0,MATCH(F145,MO_Common_ColumnHeader,0))</f>
        <v/>
      </c>
      <c r="O145" s="171" t="n"/>
      <c r="P145" s="189">
        <f>IF(ISNUMBER(N145),N145-K145,"N/A")</f>
        <v/>
      </c>
      <c r="Q145" s="190">
        <f>IFERROR(IF(ISNUMBER(N145),(N145-K145)/ABS(K145),"N/A"),"N/A")</f>
        <v/>
      </c>
      <c r="R145" s="171" t="n"/>
      <c r="S145" s="184" t="n">
        <v>44881</v>
      </c>
      <c r="T145" s="191" t="inlineStr">
        <is>
          <t>Press Release</t>
        </is>
      </c>
      <c r="U145" s="171" t="n"/>
    </row>
    <row r="146">
      <c r="A146" s="154" t="n">
        <v>248</v>
      </c>
      <c r="B146" s="181">
        <f>IF(INDEX(MO_SNA_IsHistoricalPeriod,,MATCH(F146,MO_Common_ColumnHeader,0)),"Historical","Forward")</f>
        <v/>
      </c>
      <c r="C146" s="171" t="n"/>
      <c r="D146" s="188">
        <f>INDEX(INDIRECT(E146),0,COLUMN(MO_Common_Column_A))</f>
        <v/>
      </c>
      <c r="E146" s="182" t="inlineStr">
        <is>
          <t>MO_OS_OPEX</t>
        </is>
      </c>
      <c r="F146" s="181" t="inlineStr">
        <is>
          <t>Q4-2023</t>
        </is>
      </c>
      <c r="G146" s="181" t="n"/>
      <c r="H146" s="171" t="n"/>
      <c r="I146" s="183" t="n">
        <v>1780</v>
      </c>
      <c r="J146" s="183" t="n">
        <v>1780</v>
      </c>
      <c r="K146" s="183">
        <f>AVERAGE(I146:J146)</f>
        <v/>
      </c>
      <c r="L146" s="171" t="n"/>
      <c r="M146" s="181">
        <f>IF(INDEX(MO_SNA_IsHistoricalPeriod,,MATCH(F146,MO_Common_ColumnHeader,0)),"Actual","Estimate")</f>
        <v/>
      </c>
      <c r="N146" s="183">
        <f>IFERROR(INDEX(INDIRECT(E146),0,MATCH(F146,MO_Common_ColumnHeader,0)),"N/A")</f>
        <v/>
      </c>
      <c r="O146" s="171" t="n"/>
      <c r="P146" s="189">
        <f>IF(ISNUMBER(N146),N146-K146,"N/A")</f>
        <v/>
      </c>
      <c r="Q146" s="190">
        <f>IFERROR(IF(ISNUMBER(N146),(N146-K146)/ABS(K146),"N/A"),"N/A")</f>
        <v/>
      </c>
      <c r="R146" s="171" t="n"/>
      <c r="S146" s="184" t="n">
        <v>44881</v>
      </c>
      <c r="T146" s="191" t="inlineStr">
        <is>
          <t>Press Release</t>
        </is>
      </c>
      <c r="U146" s="171" t="n"/>
    </row>
    <row r="147">
      <c r="A147" s="154" t="n">
        <v>247</v>
      </c>
      <c r="B147" s="181">
        <f>IF(INDEX(MO_SNA_IsHistoricalPeriod,,MATCH(F147,MO_Common_ColumnHeader,0)),"Historical","Forward")</f>
        <v/>
      </c>
      <c r="C147" s="171" t="n"/>
      <c r="D147" s="188" t="inlineStr">
        <is>
          <t>GAAP Other Income</t>
        </is>
      </c>
      <c r="E147" s="182" t="n"/>
      <c r="F147" s="181" t="inlineStr">
        <is>
          <t>Q4-2023</t>
        </is>
      </c>
      <c r="G147" s="181" t="n"/>
      <c r="H147" s="171" t="n"/>
      <c r="I147" s="183" t="n">
        <v>40</v>
      </c>
      <c r="J147" s="183" t="n">
        <v>40</v>
      </c>
      <c r="K147" s="183">
        <f>AVERAGE(I147:J147)</f>
        <v/>
      </c>
      <c r="L147" s="171" t="n"/>
      <c r="M147" s="181">
        <f>IF(INDEX(MO_SNA_IsHistoricalPeriod,,MATCH(F147,MO_Common_ColumnHeader,0)),"Actual","Estimate")</f>
        <v/>
      </c>
      <c r="N147" s="183">
        <f>IFERROR(INDEX(INDIRECT(E147),0,MATCH(F147,MO_Common_ColumnHeader,0)),"N/A")</f>
        <v/>
      </c>
      <c r="O147" s="171" t="n"/>
      <c r="P147" s="189">
        <f>IF(ISNUMBER(N147),N147-K147,"N/A")</f>
        <v/>
      </c>
      <c r="Q147" s="190">
        <f>IFERROR(IF(ISNUMBER(N147),(N147-K147)/ABS(K147),"N/A"),"N/A")</f>
        <v/>
      </c>
      <c r="R147" s="171" t="n"/>
      <c r="S147" s="184" t="n">
        <v>44881</v>
      </c>
      <c r="T147" s="191" t="inlineStr">
        <is>
          <t>Press Release</t>
        </is>
      </c>
      <c r="U147" s="171" t="n"/>
    </row>
    <row r="148">
      <c r="A148" s="154" t="n">
        <v>246</v>
      </c>
      <c r="B148" s="181">
        <f>IF(INDEX(MO_SNA_IsHistoricalPeriod,,MATCH(F148,MO_Common_ColumnHeader,0)),"Historical","Forward")</f>
        <v/>
      </c>
      <c r="C148" s="171" t="n"/>
      <c r="D148" s="188" t="inlineStr">
        <is>
          <t>Non-GAAP Other Income</t>
        </is>
      </c>
      <c r="E148" s="182" t="n"/>
      <c r="F148" s="181" t="inlineStr">
        <is>
          <t>Q4-2023</t>
        </is>
      </c>
      <c r="G148" s="181" t="n"/>
      <c r="H148" s="171" t="n"/>
      <c r="I148" s="183" t="n">
        <v>40</v>
      </c>
      <c r="J148" s="183" t="n">
        <v>40</v>
      </c>
      <c r="K148" s="183">
        <f>AVERAGE(I148:J148)</f>
        <v/>
      </c>
      <c r="L148" s="171" t="n"/>
      <c r="M148" s="181">
        <f>IF(INDEX(MO_SNA_IsHistoricalPeriod,,MATCH(F148,MO_Common_ColumnHeader,0)),"Actual","Estimate")</f>
        <v/>
      </c>
      <c r="N148" s="183">
        <f>INDEX(MO_RIS_IE_Net_NONGAAP,0,MATCH(F148,MO_Common_ColumnHeader,0))+INDEX(MO_RIS_OI_NONGAAP,0,MATCH(F148,MO_Common_ColumnHeader,0))</f>
        <v/>
      </c>
      <c r="O148" s="171" t="n"/>
      <c r="P148" s="189">
        <f>IF(ISNUMBER(N148),N148-K148,"N/A")</f>
        <v/>
      </c>
      <c r="Q148" s="190">
        <f>IFERROR(IF(ISNUMBER(N148),(N148-K148)/ABS(K148),"N/A"),"N/A")</f>
        <v/>
      </c>
      <c r="R148" s="171" t="n"/>
      <c r="S148" s="184" t="n">
        <v>44881</v>
      </c>
      <c r="T148" s="191" t="inlineStr">
        <is>
          <t>Press Release</t>
        </is>
      </c>
      <c r="U148" s="171" t="n"/>
    </row>
    <row r="149">
      <c r="A149" s="154" t="n">
        <v>245</v>
      </c>
      <c r="B149" s="181">
        <f>IF(INDEX(MO_SNA_IsHistoricalPeriod,,MATCH(F149,MO_Common_ColumnHeader,0)),"Historical","Forward")</f>
        <v/>
      </c>
      <c r="C149" s="171" t="n"/>
      <c r="D149" s="188" t="inlineStr">
        <is>
          <t>GAAP Tax Rate</t>
        </is>
      </c>
      <c r="E149" s="182" t="inlineStr">
        <is>
          <t>MO_RIS_TaxRate</t>
        </is>
      </c>
      <c r="F149" s="181" t="inlineStr">
        <is>
          <t>Q4-2023</t>
        </is>
      </c>
      <c r="G149" s="181" t="n"/>
      <c r="H149" s="171" t="n"/>
      <c r="I149" s="185" t="n">
        <v>0.08</v>
      </c>
      <c r="J149" s="185" t="n">
        <v>0.1</v>
      </c>
      <c r="K149" s="185">
        <f>AVERAGE(I149:J149)</f>
        <v/>
      </c>
      <c r="L149" s="171" t="n"/>
      <c r="M149" s="181">
        <f>IF(INDEX(MO_SNA_IsHistoricalPeriod,,MATCH(F149,MO_Common_ColumnHeader,0)),"Actual","Estimate")</f>
        <v/>
      </c>
      <c r="N149" s="185">
        <f>IFERROR(INDEX(INDIRECT(E149),0,MATCH(F149,MO_Common_ColumnHeader,0)),"N/A")</f>
        <v/>
      </c>
      <c r="O149" s="171" t="n"/>
      <c r="P149" s="190">
        <f>IF(ISNUMBER(N149),N149-K149,"N/A")</f>
        <v/>
      </c>
      <c r="Q149" s="190">
        <f>IFERROR(IF(ISNUMBER(N149),(N149-K149)/ABS(K149),"N/A"),"N/A")</f>
        <v/>
      </c>
      <c r="R149" s="171" t="n"/>
      <c r="S149" s="184" t="n">
        <v>44881</v>
      </c>
      <c r="T149" s="191" t="inlineStr">
        <is>
          <t>Press Release</t>
        </is>
      </c>
      <c r="U149" s="171" t="n"/>
    </row>
    <row r="150">
      <c r="A150" s="154" t="n">
        <v>244</v>
      </c>
      <c r="B150" s="181">
        <f>IF(INDEX(MO_SNA_IsHistoricalPeriod,,MATCH(F150,MO_Common_ColumnHeader,0)),"Historical","Forward")</f>
        <v/>
      </c>
      <c r="C150" s="171" t="n"/>
      <c r="D150" s="188">
        <f>INDEX(INDIRECT(E150),0,COLUMN(MO_Common_Column_A))</f>
        <v/>
      </c>
      <c r="E150" s="182" t="inlineStr">
        <is>
          <t>MO_RIS_TaxRate_NONGAAP</t>
        </is>
      </c>
      <c r="F150" s="181" t="inlineStr">
        <is>
          <t>Q4-2023</t>
        </is>
      </c>
      <c r="G150" s="181" t="n"/>
      <c r="H150" s="171" t="n"/>
      <c r="I150" s="185" t="n">
        <v>0.08</v>
      </c>
      <c r="J150" s="185" t="n">
        <v>0.1</v>
      </c>
      <c r="K150" s="185">
        <f>AVERAGE(I150:J150)</f>
        <v/>
      </c>
      <c r="L150" s="171" t="n"/>
      <c r="M150" s="181">
        <f>IF(INDEX(MO_SNA_IsHistoricalPeriod,,MATCH(F150,MO_Common_ColumnHeader,0)),"Actual","Estimate")</f>
        <v/>
      </c>
      <c r="N150" s="185">
        <f>IFERROR(INDEX(INDIRECT(E150),0,MATCH(F150,MO_Common_ColumnHeader,0)),"N/A")</f>
        <v/>
      </c>
      <c r="O150" s="171" t="n"/>
      <c r="P150" s="190">
        <f>IF(ISNUMBER(N150),N150-K150,"N/A")</f>
        <v/>
      </c>
      <c r="Q150" s="190">
        <f>IFERROR(IF(ISNUMBER(N150),(N150-K150)/ABS(K150),"N/A"),"N/A")</f>
        <v/>
      </c>
      <c r="R150" s="171" t="n"/>
      <c r="S150" s="184" t="n">
        <v>44881</v>
      </c>
      <c r="T150" s="191" t="inlineStr">
        <is>
          <t>Press Release</t>
        </is>
      </c>
      <c r="U150" s="171" t="n"/>
    </row>
    <row r="151">
      <c r="A151" s="154" t="n">
        <v>243</v>
      </c>
      <c r="B151" s="181">
        <f>IF(INDEX(MO_SNA_IsHistoricalPeriod,,MATCH(F151,MO_Common_ColumnHeader,0)),"Historical","Forward")</f>
        <v/>
      </c>
      <c r="C151" s="171" t="n"/>
      <c r="D151" s="188">
        <f>INDEX(INDIRECT(E151),0,COLUMN(MO_Common_Column_A))</f>
        <v/>
      </c>
      <c r="E151" s="182" t="inlineStr">
        <is>
          <t>MO_CFSum_Capex</t>
        </is>
      </c>
      <c r="F151" s="181" t="inlineStr">
        <is>
          <t>Q4-2023</t>
        </is>
      </c>
      <c r="G151" s="181" t="n"/>
      <c r="H151" s="171" t="n"/>
      <c r="I151" s="183" t="n">
        <v>-550</v>
      </c>
      <c r="J151" s="183" t="n">
        <v>-500</v>
      </c>
      <c r="K151" s="183">
        <f>AVERAGE(I151:J151)</f>
        <v/>
      </c>
      <c r="L151" s="171" t="n"/>
      <c r="M151" s="181">
        <f>IF(INDEX(MO_SNA_IsHistoricalPeriod,,MATCH(F151,MO_Common_ColumnHeader,0)),"Actual","Estimate")</f>
        <v/>
      </c>
      <c r="N151" s="183">
        <f>IFERROR(INDEX(INDIRECT(E151),0,MATCH(F151,MO_Common_ColumnHeader,0)),"N/A")</f>
        <v/>
      </c>
      <c r="O151" s="171" t="n"/>
      <c r="P151" s="189">
        <f>IF(ISNUMBER(N151),N151-K151,"N/A")</f>
        <v/>
      </c>
      <c r="Q151" s="190">
        <f>IFERROR(IF(ISNUMBER(N151),(N151-K151)/ABS(K151),"N/A"),"N/A")</f>
        <v/>
      </c>
      <c r="R151" s="171" t="n"/>
      <c r="S151" s="184" t="n">
        <v>44881</v>
      </c>
      <c r="T151" s="191" t="inlineStr">
        <is>
          <t>CFO Commentary</t>
        </is>
      </c>
      <c r="U151" s="171" t="n"/>
    </row>
    <row r="152">
      <c r="A152" s="154" t="n">
        <v>242</v>
      </c>
      <c r="B152" s="171" t="n"/>
      <c r="C152" s="171" t="n"/>
      <c r="D152" s="168" t="n"/>
      <c r="E152" s="169" t="n"/>
      <c r="F152" s="171" t="n"/>
      <c r="G152" s="171" t="n"/>
      <c r="H152" s="171" t="n"/>
      <c r="I152" s="1013" t="n"/>
      <c r="J152" s="1013" t="n"/>
      <c r="K152" s="1013" t="n"/>
      <c r="L152" s="171" t="n"/>
      <c r="M152" s="171" t="n"/>
      <c r="N152" s="1013" t="n"/>
      <c r="O152" s="171" t="n"/>
      <c r="P152" s="172" t="n"/>
      <c r="Q152" s="134" t="n"/>
      <c r="R152" s="171" t="n"/>
      <c r="S152" s="173" t="n"/>
      <c r="T152" s="192" t="inlineStr">
        <is>
          <t>https://investor.nvidia.com/files/doc_financials/2023/Q223/Q2FY23-CFO-Commentary.pdf</t>
        </is>
      </c>
      <c r="U152" s="171" t="n"/>
    </row>
    <row r="153">
      <c r="A153" s="154" t="n">
        <v>241</v>
      </c>
      <c r="B153" s="181">
        <f>IF(INDEX(MO_SNA_IsHistoricalPeriod,,MATCH(F153,MO_Common_ColumnHeader,0)),"Historical","Forward")</f>
        <v/>
      </c>
      <c r="C153" s="171" t="n"/>
      <c r="D153" s="188">
        <f>INDEX(INDIRECT(E153),0,COLUMN(MO_Common_Column_A))</f>
        <v/>
      </c>
      <c r="E153" s="182" t="inlineStr">
        <is>
          <t>MO_RIS_REV</t>
        </is>
      </c>
      <c r="F153" s="181" t="inlineStr">
        <is>
          <t>Q3-2023</t>
        </is>
      </c>
      <c r="G153" s="181" t="n"/>
      <c r="H153" s="171" t="n"/>
      <c r="I153" s="183">
        <f>5900*0.98</f>
        <v/>
      </c>
      <c r="J153" s="183">
        <f>5900*1.02</f>
        <v/>
      </c>
      <c r="K153" s="183">
        <f>AVERAGE(I153:J153)</f>
        <v/>
      </c>
      <c r="L153" s="171" t="n"/>
      <c r="M153" s="181">
        <f>IF(INDEX(MO_SNA_IsHistoricalPeriod,,MATCH(F153,MO_Common_ColumnHeader,0)),"Actual","Estimate")</f>
        <v/>
      </c>
      <c r="N153" s="183">
        <f>IFERROR(INDEX(INDIRECT(E153),0,MATCH(F153,MO_Common_ColumnHeader,0)),"N/A")</f>
        <v/>
      </c>
      <c r="O153" s="171" t="n"/>
      <c r="P153" s="189">
        <f>IF(ISNUMBER(N153),N153-K153,"N/A")</f>
        <v/>
      </c>
      <c r="Q153" s="190">
        <f>IFERROR(IF(ISNUMBER(N153),(N153-K153)/ABS(K153),"N/A"),"N/A")</f>
        <v/>
      </c>
      <c r="R153" s="171" t="n"/>
      <c r="S153" s="184" t="n">
        <v>44797</v>
      </c>
      <c r="T153" s="191" t="inlineStr">
        <is>
          <t>Press Release</t>
        </is>
      </c>
      <c r="U153" s="171" t="n"/>
    </row>
    <row r="154">
      <c r="A154" s="154" t="n">
        <v>240</v>
      </c>
      <c r="B154" s="181">
        <f>IF(INDEX(MO_SNA_IsHistoricalPeriod,,MATCH(F154,MO_Common_ColumnHeader,0)),"Historical","Forward")</f>
        <v/>
      </c>
      <c r="C154" s="171" t="n"/>
      <c r="D154" s="188">
        <f>INDEX(INDIRECT(E154),0,COLUMN(MO_Common_Column_A))</f>
        <v/>
      </c>
      <c r="E154" s="182" t="inlineStr">
        <is>
          <t>MO_MA_GM</t>
        </is>
      </c>
      <c r="F154" s="181" t="inlineStr">
        <is>
          <t>Q3-2023</t>
        </is>
      </c>
      <c r="G154" s="181" t="n"/>
      <c r="H154" s="171" t="n"/>
      <c r="I154" s="185" t="n">
        <v>0.624</v>
      </c>
      <c r="J154" s="185" t="n">
        <v>0.624</v>
      </c>
      <c r="K154" s="185">
        <f>AVERAGE(I154:J154)</f>
        <v/>
      </c>
      <c r="L154" s="171" t="n"/>
      <c r="M154" s="181">
        <f>IF(INDEX(MO_SNA_IsHistoricalPeriod,,MATCH(F154,MO_Common_ColumnHeader,0)),"Actual","Estimate")</f>
        <v/>
      </c>
      <c r="N154" s="185">
        <f>IFERROR(INDEX(INDIRECT(E154),0,MATCH(F154,MO_Common_ColumnHeader,0)),"N/A")</f>
        <v/>
      </c>
      <c r="O154" s="171" t="n"/>
      <c r="P154" s="190">
        <f>IF(ISNUMBER(N154),N154-K154,"N/A")</f>
        <v/>
      </c>
      <c r="Q154" s="190">
        <f>IFERROR(IF(ISNUMBER(N154),(N154-K154)/ABS(K154),"N/A"),"N/A")</f>
        <v/>
      </c>
      <c r="R154" s="171" t="n"/>
      <c r="S154" s="184" t="n">
        <v>44797</v>
      </c>
      <c r="T154" s="191" t="inlineStr">
        <is>
          <t>Press Release</t>
        </is>
      </c>
      <c r="U154" s="171" t="n"/>
    </row>
    <row r="155">
      <c r="A155" s="154" t="n">
        <v>239</v>
      </c>
      <c r="B155" s="181">
        <f>IF(INDEX(MO_SNA_IsHistoricalPeriod,,MATCH(F155,MO_Common_ColumnHeader,0)),"Historical","Forward")</f>
        <v/>
      </c>
      <c r="C155" s="171" t="n"/>
      <c r="D155" s="188">
        <f>INDEX(INDIRECT(E155),0,COLUMN(MO_Common_Column_A))</f>
        <v/>
      </c>
      <c r="E155" s="182" t="inlineStr">
        <is>
          <t>MO_MA_GM_NONGAAP</t>
        </is>
      </c>
      <c r="F155" s="181" t="inlineStr">
        <is>
          <t>Q3-2023</t>
        </is>
      </c>
      <c r="G155" s="181" t="n"/>
      <c r="H155" s="171" t="n"/>
      <c r="I155" s="185" t="n">
        <v>0.65</v>
      </c>
      <c r="J155" s="185" t="n">
        <v>0.65</v>
      </c>
      <c r="K155" s="185">
        <f>AVERAGE(I155:J155)</f>
        <v/>
      </c>
      <c r="L155" s="171" t="n"/>
      <c r="M155" s="181">
        <f>IF(INDEX(MO_SNA_IsHistoricalPeriod,,MATCH(F155,MO_Common_ColumnHeader,0)),"Actual","Estimate")</f>
        <v/>
      </c>
      <c r="N155" s="185">
        <f>IFERROR(INDEX(INDIRECT(E155),0,MATCH(F155,MO_Common_ColumnHeader,0)),"N/A")</f>
        <v/>
      </c>
      <c r="O155" s="171" t="n"/>
      <c r="P155" s="190">
        <f>IF(ISNUMBER(N155),N155-K155,"N/A")</f>
        <v/>
      </c>
      <c r="Q155" s="190">
        <f>IFERROR(IF(ISNUMBER(N155),(N155-K155)/ABS(K155),"N/A"),"N/A")</f>
        <v/>
      </c>
      <c r="R155" s="171" t="n"/>
      <c r="S155" s="184" t="n">
        <v>44797</v>
      </c>
      <c r="T155" s="191" t="inlineStr">
        <is>
          <t>Press Release</t>
        </is>
      </c>
      <c r="U155" s="171" t="n"/>
    </row>
    <row r="156">
      <c r="A156" s="154" t="n">
        <v>238</v>
      </c>
      <c r="B156" s="181">
        <f>IF(INDEX(MO_SNA_IsHistoricalPeriod,,MATCH(F156,MO_Common_ColumnHeader,0)),"Historical","Forward")</f>
        <v/>
      </c>
      <c r="C156" s="171" t="n"/>
      <c r="D156" s="188" t="inlineStr">
        <is>
          <t>GAAP Operating Expenses</t>
        </is>
      </c>
      <c r="E156" s="182" t="n"/>
      <c r="F156" s="181" t="inlineStr">
        <is>
          <t>Q3-2023</t>
        </is>
      </c>
      <c r="G156" s="181" t="n"/>
      <c r="H156" s="171" t="n"/>
      <c r="I156" s="183" t="n">
        <v>2590</v>
      </c>
      <c r="J156" s="183" t="n">
        <v>2590</v>
      </c>
      <c r="K156" s="183">
        <f>AVERAGE(I156:J156)</f>
        <v/>
      </c>
      <c r="L156" s="171" t="n"/>
      <c r="M156" s="181">
        <f>IF(INDEX(MO_SNA_IsHistoricalPeriod,,MATCH(F156,MO_Common_ColumnHeader,0)),"Actual","Estimate")</f>
        <v/>
      </c>
      <c r="N156" s="183">
        <f>INDEX(MO_RIS_RD,0,MATCH(F156,MO_Common_ColumnHeader,0))+INDEX(MO_RIS_SGA,0,MATCH(F156,MO_Common_ColumnHeader,0))</f>
        <v/>
      </c>
      <c r="O156" s="171" t="n"/>
      <c r="P156" s="189">
        <f>IF(ISNUMBER(N156),N156-K156,"N/A")</f>
        <v/>
      </c>
      <c r="Q156" s="190">
        <f>IFERROR(IF(ISNUMBER(N156),(N156-K156)/ABS(K156),"N/A"),"N/A")</f>
        <v/>
      </c>
      <c r="R156" s="171" t="n"/>
      <c r="S156" s="184" t="n">
        <v>44797</v>
      </c>
      <c r="T156" s="191" t="inlineStr">
        <is>
          <t>Press Release</t>
        </is>
      </c>
      <c r="U156" s="171" t="n"/>
    </row>
    <row r="157">
      <c r="A157" s="154" t="n">
        <v>237</v>
      </c>
      <c r="B157" s="181">
        <f>IF(INDEX(MO_SNA_IsHistoricalPeriod,,MATCH(F157,MO_Common_ColumnHeader,0)),"Historical","Forward")</f>
        <v/>
      </c>
      <c r="C157" s="171" t="n"/>
      <c r="D157" s="188">
        <f>INDEX(INDIRECT(E157),0,COLUMN(MO_Common_Column_A))</f>
        <v/>
      </c>
      <c r="E157" s="182" t="inlineStr">
        <is>
          <t>MO_OS_OPEX</t>
        </is>
      </c>
      <c r="F157" s="181" t="inlineStr">
        <is>
          <t>Q3-2023</t>
        </is>
      </c>
      <c r="G157" s="181" t="n"/>
      <c r="H157" s="171" t="n"/>
      <c r="I157" s="183" t="n">
        <v>1820</v>
      </c>
      <c r="J157" s="183" t="n">
        <v>1820</v>
      </c>
      <c r="K157" s="183">
        <f>AVERAGE(I157:J157)</f>
        <v/>
      </c>
      <c r="L157" s="171" t="n"/>
      <c r="M157" s="181">
        <f>IF(INDEX(MO_SNA_IsHistoricalPeriod,,MATCH(F157,MO_Common_ColumnHeader,0)),"Actual","Estimate")</f>
        <v/>
      </c>
      <c r="N157" s="183">
        <f>IFERROR(INDEX(INDIRECT(E157),0,MATCH(F157,MO_Common_ColumnHeader,0)),"N/A")</f>
        <v/>
      </c>
      <c r="O157" s="171" t="n"/>
      <c r="P157" s="189">
        <f>IF(ISNUMBER(N157),N157-K157,"N/A")</f>
        <v/>
      </c>
      <c r="Q157" s="190">
        <f>IFERROR(IF(ISNUMBER(N157),(N157-K157)/ABS(K157),"N/A"),"N/A")</f>
        <v/>
      </c>
      <c r="R157" s="171" t="n"/>
      <c r="S157" s="184" t="n">
        <v>44797</v>
      </c>
      <c r="T157" s="191" t="inlineStr">
        <is>
          <t>Press Release</t>
        </is>
      </c>
      <c r="U157" s="171" t="n"/>
    </row>
    <row r="158">
      <c r="A158" s="154" t="n">
        <v>236</v>
      </c>
      <c r="B158" s="181">
        <f>IF(INDEX(MO_SNA_IsHistoricalPeriod,,MATCH(F158,MO_Common_ColumnHeader,0)),"Historical","Forward")</f>
        <v/>
      </c>
      <c r="C158" s="171" t="n"/>
      <c r="D158" s="188" t="inlineStr">
        <is>
          <t>GAAP Other Income</t>
        </is>
      </c>
      <c r="E158" s="182" t="n"/>
      <c r="F158" s="181" t="inlineStr">
        <is>
          <t>Q3-2023</t>
        </is>
      </c>
      <c r="G158" s="181" t="n"/>
      <c r="H158" s="171" t="n"/>
      <c r="I158" s="183" t="n">
        <v>10</v>
      </c>
      <c r="J158" s="183" t="n">
        <v>10</v>
      </c>
      <c r="K158" s="183">
        <f>AVERAGE(I158:J158)</f>
        <v/>
      </c>
      <c r="L158" s="171" t="n"/>
      <c r="M158" s="181">
        <f>IF(INDEX(MO_SNA_IsHistoricalPeriod,,MATCH(F158,MO_Common_ColumnHeader,0)),"Actual","Estimate")</f>
        <v/>
      </c>
      <c r="N158" s="183">
        <f>IFERROR(INDEX(INDIRECT(E158),0,MATCH(F158,MO_Common_ColumnHeader,0)),"N/A")</f>
        <v/>
      </c>
      <c r="O158" s="171" t="n"/>
      <c r="P158" s="189">
        <f>IF(ISNUMBER(N158),N158-K158,"N/A")</f>
        <v/>
      </c>
      <c r="Q158" s="190">
        <f>IFERROR(IF(ISNUMBER(N158),(N158-K158)/ABS(K158),"N/A"),"N/A")</f>
        <v/>
      </c>
      <c r="R158" s="171" t="n"/>
      <c r="S158" s="184" t="n">
        <v>44797</v>
      </c>
      <c r="T158" s="191" t="inlineStr">
        <is>
          <t>Press Release</t>
        </is>
      </c>
      <c r="U158" s="171" t="n"/>
    </row>
    <row r="159">
      <c r="A159" s="154" t="n">
        <v>235</v>
      </c>
      <c r="B159" s="181">
        <f>IF(INDEX(MO_SNA_IsHistoricalPeriod,,MATCH(F159,MO_Common_ColumnHeader,0)),"Historical","Forward")</f>
        <v/>
      </c>
      <c r="C159" s="171" t="n"/>
      <c r="D159" s="188" t="inlineStr">
        <is>
          <t>Non-GAAP Other Income</t>
        </is>
      </c>
      <c r="E159" s="182" t="n"/>
      <c r="F159" s="181" t="inlineStr">
        <is>
          <t>Q3-2023</t>
        </is>
      </c>
      <c r="G159" s="181" t="n"/>
      <c r="H159" s="171" t="n"/>
      <c r="I159" s="183" t="n">
        <v>10</v>
      </c>
      <c r="J159" s="183" t="n">
        <v>10</v>
      </c>
      <c r="K159" s="183">
        <f>AVERAGE(I159:J159)</f>
        <v/>
      </c>
      <c r="L159" s="171" t="n"/>
      <c r="M159" s="181">
        <f>IF(INDEX(MO_SNA_IsHistoricalPeriod,,MATCH(F159,MO_Common_ColumnHeader,0)),"Actual","Estimate")</f>
        <v/>
      </c>
      <c r="N159" s="183">
        <f>INDEX(MO_RIS_IE_Net_NONGAAP,0,MATCH(F159,MO_Common_ColumnHeader,0))+INDEX(MO_RIS_OI_NONGAAP,0,MATCH(F159,MO_Common_ColumnHeader,0))</f>
        <v/>
      </c>
      <c r="O159" s="171" t="n"/>
      <c r="P159" s="189">
        <f>IF(ISNUMBER(N159),N159-K159,"N/A")</f>
        <v/>
      </c>
      <c r="Q159" s="190">
        <f>IFERROR(IF(ISNUMBER(N159),(N159-K159)/ABS(K159),"N/A"),"N/A")</f>
        <v/>
      </c>
      <c r="R159" s="171" t="n"/>
      <c r="S159" s="184" t="n">
        <v>44797</v>
      </c>
      <c r="T159" s="191" t="inlineStr">
        <is>
          <t>Press Release</t>
        </is>
      </c>
      <c r="U159" s="171" t="n"/>
    </row>
    <row r="160">
      <c r="A160" s="154" t="n">
        <v>234</v>
      </c>
      <c r="B160" s="181">
        <f>IF(INDEX(MO_SNA_IsHistoricalPeriod,,MATCH(F160,MO_Common_ColumnHeader,0)),"Historical","Forward")</f>
        <v/>
      </c>
      <c r="C160" s="171" t="n"/>
      <c r="D160" s="188" t="inlineStr">
        <is>
          <t>GAAP Tax Rate</t>
        </is>
      </c>
      <c r="E160" s="182" t="inlineStr">
        <is>
          <t>MO_RIS_TaxRate</t>
        </is>
      </c>
      <c r="F160" s="181" t="inlineStr">
        <is>
          <t>Q3-2023</t>
        </is>
      </c>
      <c r="G160" s="181" t="n"/>
      <c r="H160" s="171" t="n"/>
      <c r="I160" s="185" t="n">
        <v>0.08500000000000001</v>
      </c>
      <c r="J160" s="185" t="n">
        <v>0.105</v>
      </c>
      <c r="K160" s="185">
        <f>AVERAGE(I160:J160)</f>
        <v/>
      </c>
      <c r="L160" s="171" t="n"/>
      <c r="M160" s="181">
        <f>IF(INDEX(MO_SNA_IsHistoricalPeriod,,MATCH(F160,MO_Common_ColumnHeader,0)),"Actual","Estimate")</f>
        <v/>
      </c>
      <c r="N160" s="185">
        <f>IFERROR(INDEX(INDIRECT(E160),0,MATCH(F160,MO_Common_ColumnHeader,0)),"N/A")</f>
        <v/>
      </c>
      <c r="O160" s="171" t="n"/>
      <c r="P160" s="190">
        <f>IF(ISNUMBER(N160),N160-K160,"N/A")</f>
        <v/>
      </c>
      <c r="Q160" s="190">
        <f>IFERROR(IF(ISNUMBER(N160),(N160-K160)/ABS(K160),"N/A"),"N/A")</f>
        <v/>
      </c>
      <c r="R160" s="171" t="n"/>
      <c r="S160" s="184" t="n">
        <v>44797</v>
      </c>
      <c r="T160" s="191" t="inlineStr">
        <is>
          <t>Press Release</t>
        </is>
      </c>
      <c r="U160" s="171" t="n"/>
    </row>
    <row r="161">
      <c r="A161" s="154" t="n">
        <v>233</v>
      </c>
      <c r="B161" s="181">
        <f>IF(INDEX(MO_SNA_IsHistoricalPeriod,,MATCH(F161,MO_Common_ColumnHeader,0)),"Historical","Forward")</f>
        <v/>
      </c>
      <c r="C161" s="171" t="n"/>
      <c r="D161" s="188">
        <f>INDEX(INDIRECT(E161),0,COLUMN(MO_Common_Column_A))</f>
        <v/>
      </c>
      <c r="E161" s="182" t="inlineStr">
        <is>
          <t>MO_RIS_TaxRate_NONGAAP</t>
        </is>
      </c>
      <c r="F161" s="181" t="inlineStr">
        <is>
          <t>Q3-2023</t>
        </is>
      </c>
      <c r="G161" s="181" t="n"/>
      <c r="H161" s="171" t="n"/>
      <c r="I161" s="185" t="n">
        <v>0.08500000000000001</v>
      </c>
      <c r="J161" s="185" t="n">
        <v>0.105</v>
      </c>
      <c r="K161" s="185">
        <f>AVERAGE(I161:J161)</f>
        <v/>
      </c>
      <c r="L161" s="171" t="n"/>
      <c r="M161" s="181">
        <f>IF(INDEX(MO_SNA_IsHistoricalPeriod,,MATCH(F161,MO_Common_ColumnHeader,0)),"Actual","Estimate")</f>
        <v/>
      </c>
      <c r="N161" s="185">
        <f>IFERROR(INDEX(INDIRECT(E161),0,MATCH(F161,MO_Common_ColumnHeader,0)),"N/A")</f>
        <v/>
      </c>
      <c r="O161" s="171" t="n"/>
      <c r="P161" s="190">
        <f>IF(ISNUMBER(N161),N161-K161,"N/A")</f>
        <v/>
      </c>
      <c r="Q161" s="190">
        <f>IFERROR(IF(ISNUMBER(N161),(N161-K161)/ABS(K161),"N/A"),"N/A")</f>
        <v/>
      </c>
      <c r="R161" s="171" t="n"/>
      <c r="S161" s="184" t="n">
        <v>44797</v>
      </c>
      <c r="T161" s="191" t="inlineStr">
        <is>
          <t>Press Release</t>
        </is>
      </c>
      <c r="U161" s="171" t="n"/>
    </row>
    <row r="162">
      <c r="A162" s="154" t="n">
        <v>232</v>
      </c>
      <c r="B162" s="181">
        <f>IF(INDEX(MO_SNA_IsHistoricalPeriod,,MATCH(F162,MO_Common_ColumnHeader,0)),"Historical","Forward")</f>
        <v/>
      </c>
      <c r="C162" s="171" t="n"/>
      <c r="D162" s="188">
        <f>INDEX(INDIRECT(E162),0,COLUMN(MO_Common_Column_A))</f>
        <v/>
      </c>
      <c r="E162" s="182" t="inlineStr">
        <is>
          <t>MO_CFSum_Capex</t>
        </is>
      </c>
      <c r="F162" s="181" t="inlineStr">
        <is>
          <t>Q3-2023</t>
        </is>
      </c>
      <c r="G162" s="181" t="n"/>
      <c r="H162" s="171" t="n"/>
      <c r="I162" s="183" t="n">
        <v>-600</v>
      </c>
      <c r="J162" s="183" t="n">
        <v>-550</v>
      </c>
      <c r="K162" s="183">
        <f>AVERAGE(I162:J162)</f>
        <v/>
      </c>
      <c r="L162" s="171" t="n"/>
      <c r="M162" s="181">
        <f>IF(INDEX(MO_SNA_IsHistoricalPeriod,,MATCH(F162,MO_Common_ColumnHeader,0)),"Actual","Estimate")</f>
        <v/>
      </c>
      <c r="N162" s="183">
        <f>IFERROR(INDEX(INDIRECT(E162),0,MATCH(F162,MO_Common_ColumnHeader,0)),"N/A")</f>
        <v/>
      </c>
      <c r="O162" s="171" t="n"/>
      <c r="P162" s="189">
        <f>IF(ISNUMBER(N162),N162-K162,"N/A")</f>
        <v/>
      </c>
      <c r="Q162" s="190">
        <f>IFERROR(IF(ISNUMBER(N162),(N162-K162)/ABS(K162),"N/A"),"N/A")</f>
        <v/>
      </c>
      <c r="R162" s="171" t="n"/>
      <c r="S162" s="184" t="n">
        <v>44797</v>
      </c>
      <c r="T162" s="191" t="inlineStr">
        <is>
          <t>CFO Commentary</t>
        </is>
      </c>
      <c r="U162" s="171" t="n"/>
    </row>
    <row r="163">
      <c r="A163" s="154" t="n">
        <v>231</v>
      </c>
      <c r="B163" s="171" t="n"/>
      <c r="C163" s="171" t="n"/>
      <c r="D163" s="168" t="n"/>
      <c r="E163" s="169" t="n"/>
      <c r="F163" s="171" t="n"/>
      <c r="G163" s="171" t="n"/>
      <c r="H163" s="171" t="n"/>
      <c r="I163" s="1013" t="n"/>
      <c r="J163" s="1013" t="n"/>
      <c r="K163" s="1013" t="n"/>
      <c r="L163" s="171" t="n"/>
      <c r="M163" s="171" t="n"/>
      <c r="N163" s="1013" t="n"/>
      <c r="O163" s="171" t="n"/>
      <c r="P163" s="172" t="n"/>
      <c r="Q163" s="134" t="n"/>
      <c r="R163" s="171" t="n"/>
      <c r="S163" s="173" t="n"/>
      <c r="T163" s="192" t="inlineStr">
        <is>
          <t>https://s22.q4cdn.com/364334381/files/doc_financials/2023/Q123/Q1FY23-CFO-Commentary.pdf</t>
        </is>
      </c>
      <c r="U163" s="171" t="n"/>
    </row>
    <row r="164">
      <c r="A164" s="154" t="n">
        <v>230</v>
      </c>
      <c r="B164" s="181">
        <f>IF(INDEX(MO_SNA_IsHistoricalPeriod,,MATCH(F164,MO_Common_ColumnHeader,0)),"Historical","Forward")</f>
        <v/>
      </c>
      <c r="C164" s="171" t="n"/>
      <c r="D164" s="188">
        <f>INDEX(INDIRECT(E164),0,COLUMN(MO_Common_Column_A))</f>
        <v/>
      </c>
      <c r="E164" s="182" t="inlineStr">
        <is>
          <t>MO_RIS_REV</t>
        </is>
      </c>
      <c r="F164" s="181" t="inlineStr">
        <is>
          <t>Q2-2023</t>
        </is>
      </c>
      <c r="G164" s="181" t="n"/>
      <c r="H164" s="171" t="n"/>
      <c r="I164" s="183">
        <f>8100*0.98</f>
        <v/>
      </c>
      <c r="J164" s="183">
        <f>8100*1.02</f>
        <v/>
      </c>
      <c r="K164" s="183">
        <f>AVERAGE(I164:J164)</f>
        <v/>
      </c>
      <c r="L164" s="171" t="n"/>
      <c r="M164" s="181">
        <f>IF(INDEX(MO_SNA_IsHistoricalPeriod,,MATCH(F164,MO_Common_ColumnHeader,0)),"Actual","Estimate")</f>
        <v/>
      </c>
      <c r="N164" s="183">
        <f>IFERROR(INDEX(INDIRECT(E164),0,MATCH(F164,MO_Common_ColumnHeader,0)),"N/A")</f>
        <v/>
      </c>
      <c r="O164" s="171" t="n"/>
      <c r="P164" s="189">
        <f>IF(ISNUMBER(N164),N164-K164,"N/A")</f>
        <v/>
      </c>
      <c r="Q164" s="190">
        <f>IFERROR(IF(ISNUMBER(N164),(N164-K164)/ABS(K164),"N/A"),"N/A")</f>
        <v/>
      </c>
      <c r="R164" s="171" t="n"/>
      <c r="S164" s="184" t="n">
        <v>44706</v>
      </c>
      <c r="T164" s="191" t="inlineStr">
        <is>
          <t>Press Release</t>
        </is>
      </c>
      <c r="U164" s="171" t="n"/>
    </row>
    <row r="165">
      <c r="A165" s="154" t="n">
        <v>229</v>
      </c>
      <c r="B165" s="181">
        <f>IF(INDEX(MO_SNA_IsHistoricalPeriod,,MATCH(F165,MO_Common_ColumnHeader,0)),"Historical","Forward")</f>
        <v/>
      </c>
      <c r="C165" s="171" t="n"/>
      <c r="D165" s="188">
        <f>INDEX(INDIRECT(E165),0,COLUMN(MO_Common_Column_A))</f>
        <v/>
      </c>
      <c r="E165" s="182" t="inlineStr">
        <is>
          <t>MO_MA_GM</t>
        </is>
      </c>
      <c r="F165" s="181" t="inlineStr">
        <is>
          <t>Q2-2023</t>
        </is>
      </c>
      <c r="G165" s="181" t="n"/>
      <c r="H165" s="171" t="n"/>
      <c r="I165" s="185">
        <f>65.1%-0.5%</f>
        <v/>
      </c>
      <c r="J165" s="185">
        <f>65.1%+0.5%</f>
        <v/>
      </c>
      <c r="K165" s="185">
        <f>AVERAGE(I165:J165)</f>
        <v/>
      </c>
      <c r="L165" s="171" t="n"/>
      <c r="M165" s="181">
        <f>IF(INDEX(MO_SNA_IsHistoricalPeriod,,MATCH(F165,MO_Common_ColumnHeader,0)),"Actual","Estimate")</f>
        <v/>
      </c>
      <c r="N165" s="185">
        <f>IFERROR(INDEX(INDIRECT(E165),0,MATCH(F165,MO_Common_ColumnHeader,0)),"N/A")</f>
        <v/>
      </c>
      <c r="O165" s="171" t="n"/>
      <c r="P165" s="190">
        <f>IF(ISNUMBER(N165),N165-K165,"N/A")</f>
        <v/>
      </c>
      <c r="Q165" s="190">
        <f>IFERROR(IF(ISNUMBER(N165),(N165-K165)/ABS(K165),"N/A"),"N/A")</f>
        <v/>
      </c>
      <c r="R165" s="171" t="n"/>
      <c r="S165" s="184" t="n">
        <v>44706</v>
      </c>
      <c r="T165" s="191" t="inlineStr">
        <is>
          <t>Press Release</t>
        </is>
      </c>
      <c r="U165" s="171" t="n"/>
    </row>
    <row r="166">
      <c r="A166" s="154" t="n">
        <v>228</v>
      </c>
      <c r="B166" s="181">
        <f>IF(INDEX(MO_SNA_IsHistoricalPeriod,,MATCH(F166,MO_Common_ColumnHeader,0)),"Historical","Forward")</f>
        <v/>
      </c>
      <c r="C166" s="171" t="n"/>
      <c r="D166" s="188">
        <f>INDEX(INDIRECT(E166),0,COLUMN(MO_Common_Column_A))</f>
        <v/>
      </c>
      <c r="E166" s="182" t="inlineStr">
        <is>
          <t>MO_MA_GM_NONGAAP</t>
        </is>
      </c>
      <c r="F166" s="181" t="inlineStr">
        <is>
          <t>Q2-2023</t>
        </is>
      </c>
      <c r="G166" s="181" t="n"/>
      <c r="H166" s="171" t="n"/>
      <c r="I166" s="185">
        <f>67.1%-0.5%</f>
        <v/>
      </c>
      <c r="J166" s="185">
        <f>67.1%+0.5%</f>
        <v/>
      </c>
      <c r="K166" s="185">
        <f>AVERAGE(I166:J166)</f>
        <v/>
      </c>
      <c r="L166" s="171" t="n"/>
      <c r="M166" s="181">
        <f>IF(INDEX(MO_SNA_IsHistoricalPeriod,,MATCH(F166,MO_Common_ColumnHeader,0)),"Actual","Estimate")</f>
        <v/>
      </c>
      <c r="N166" s="185">
        <f>IFERROR(INDEX(INDIRECT(E166),0,MATCH(F166,MO_Common_ColumnHeader,0)),"N/A")</f>
        <v/>
      </c>
      <c r="O166" s="171" t="n"/>
      <c r="P166" s="190">
        <f>IF(ISNUMBER(N166),N166-K166,"N/A")</f>
        <v/>
      </c>
      <c r="Q166" s="190">
        <f>IFERROR(IF(ISNUMBER(N166),(N166-K166)/ABS(K166),"N/A"),"N/A")</f>
        <v/>
      </c>
      <c r="R166" s="171" t="n"/>
      <c r="S166" s="184" t="n">
        <v>44706</v>
      </c>
      <c r="T166" s="191" t="inlineStr">
        <is>
          <t>Press Release</t>
        </is>
      </c>
      <c r="U166" s="171" t="n"/>
    </row>
    <row r="167">
      <c r="A167" s="154" t="n">
        <v>227</v>
      </c>
      <c r="B167" s="181">
        <f>IF(INDEX(MO_SNA_IsHistoricalPeriod,,MATCH(F167,MO_Common_ColumnHeader,0)),"Historical","Forward")</f>
        <v/>
      </c>
      <c r="C167" s="171" t="n"/>
      <c r="D167" s="188" t="inlineStr">
        <is>
          <t>GAAP Operating Expenses</t>
        </is>
      </c>
      <c r="E167" s="182" t="n"/>
      <c r="F167" s="181" t="inlineStr">
        <is>
          <t>Q2-2023</t>
        </is>
      </c>
      <c r="G167" s="181" t="n"/>
      <c r="H167" s="171" t="n"/>
      <c r="I167" s="183" t="n">
        <v>2460</v>
      </c>
      <c r="J167" s="183" t="n">
        <v>2460</v>
      </c>
      <c r="K167" s="183">
        <f>AVERAGE(I167:J167)</f>
        <v/>
      </c>
      <c r="L167" s="171" t="n"/>
      <c r="M167" s="181">
        <f>IF(INDEX(MO_SNA_IsHistoricalPeriod,,MATCH(F167,MO_Common_ColumnHeader,0)),"Actual","Estimate")</f>
        <v/>
      </c>
      <c r="N167" s="183">
        <f>INDEX(MO_RIS_RD,0,MATCH(F167,MO_Common_ColumnHeader,0))+INDEX(MO_RIS_SGA,0,MATCH(F167,MO_Common_ColumnHeader,0))</f>
        <v/>
      </c>
      <c r="O167" s="171" t="n"/>
      <c r="P167" s="189">
        <f>IF(ISNUMBER(N167),N167-K167,"N/A")</f>
        <v/>
      </c>
      <c r="Q167" s="190">
        <f>IFERROR(IF(ISNUMBER(N167),(N167-K167)/ABS(K167),"N/A"),"N/A")</f>
        <v/>
      </c>
      <c r="R167" s="171" t="n"/>
      <c r="S167" s="184" t="n">
        <v>44706</v>
      </c>
      <c r="T167" s="191" t="inlineStr">
        <is>
          <t>Press Release</t>
        </is>
      </c>
      <c r="U167" s="171" t="n"/>
    </row>
    <row r="168">
      <c r="A168" s="154" t="n">
        <v>226</v>
      </c>
      <c r="B168" s="181">
        <f>IF(INDEX(MO_SNA_IsHistoricalPeriod,,MATCH(F168,MO_Common_ColumnHeader,0)),"Historical","Forward")</f>
        <v/>
      </c>
      <c r="C168" s="171" t="n"/>
      <c r="D168" s="188">
        <f>INDEX(INDIRECT(E168),0,COLUMN(MO_Common_Column_A))</f>
        <v/>
      </c>
      <c r="E168" s="182" t="inlineStr">
        <is>
          <t>MO_OS_OPEX</t>
        </is>
      </c>
      <c r="F168" s="181" t="inlineStr">
        <is>
          <t>Q2-2023</t>
        </is>
      </c>
      <c r="G168" s="181" t="n"/>
      <c r="H168" s="171" t="n"/>
      <c r="I168" s="183" t="n">
        <v>1750</v>
      </c>
      <c r="J168" s="183" t="n">
        <v>1750</v>
      </c>
      <c r="K168" s="183">
        <f>AVERAGE(I168:J168)</f>
        <v/>
      </c>
      <c r="L168" s="171" t="n"/>
      <c r="M168" s="181">
        <f>IF(INDEX(MO_SNA_IsHistoricalPeriod,,MATCH(F168,MO_Common_ColumnHeader,0)),"Actual","Estimate")</f>
        <v/>
      </c>
      <c r="N168" s="183">
        <f>IFERROR(INDEX(INDIRECT(E168),0,MATCH(F168,MO_Common_ColumnHeader,0)),"N/A")</f>
        <v/>
      </c>
      <c r="O168" s="171" t="n"/>
      <c r="P168" s="189">
        <f>IF(ISNUMBER(N168),N168-K168,"N/A")</f>
        <v/>
      </c>
      <c r="Q168" s="190">
        <f>IFERROR(IF(ISNUMBER(N168),(N168-K168)/ABS(K168),"N/A"),"N/A")</f>
        <v/>
      </c>
      <c r="R168" s="171" t="n"/>
      <c r="S168" s="184" t="n">
        <v>44706</v>
      </c>
      <c r="T168" s="191" t="inlineStr">
        <is>
          <t>Press Release</t>
        </is>
      </c>
      <c r="U168" s="171" t="n"/>
    </row>
    <row r="169">
      <c r="A169" s="154" t="n">
        <v>225</v>
      </c>
      <c r="B169" s="181">
        <f>IF(INDEX(MO_SNA_IsHistoricalPeriod,,MATCH(F169,MO_Common_ColumnHeader,0)),"Historical","Forward")</f>
        <v/>
      </c>
      <c r="C169" s="171" t="n"/>
      <c r="D169" s="188" t="inlineStr">
        <is>
          <t>GAAP Other Income</t>
        </is>
      </c>
      <c r="E169" s="182" t="n"/>
      <c r="F169" s="181" t="inlineStr">
        <is>
          <t>Q2-2023</t>
        </is>
      </c>
      <c r="G169" s="181" t="n"/>
      <c r="H169" s="171" t="n"/>
      <c r="I169" s="183" t="n">
        <v>40</v>
      </c>
      <c r="J169" s="183" t="n">
        <v>40</v>
      </c>
      <c r="K169" s="183">
        <f>AVERAGE(I169:J169)</f>
        <v/>
      </c>
      <c r="L169" s="171" t="n"/>
      <c r="M169" s="181">
        <f>IF(INDEX(MO_SNA_IsHistoricalPeriod,,MATCH(F169,MO_Common_ColumnHeader,0)),"Actual","Estimate")</f>
        <v/>
      </c>
      <c r="N169" s="183">
        <f>IFERROR(INDEX(INDIRECT(E169),0,MATCH(F169,MO_Common_ColumnHeader,0)),"N/A")</f>
        <v/>
      </c>
      <c r="O169" s="171" t="n"/>
      <c r="P169" s="189">
        <f>IF(ISNUMBER(N169),N169-K169,"N/A")</f>
        <v/>
      </c>
      <c r="Q169" s="190">
        <f>IFERROR(IF(ISNUMBER(N169),(N169-K169)/ABS(K169),"N/A"),"N/A")</f>
        <v/>
      </c>
      <c r="R169" s="171" t="n"/>
      <c r="S169" s="184" t="n">
        <v>44706</v>
      </c>
      <c r="T169" s="191" t="inlineStr">
        <is>
          <t>Press Release</t>
        </is>
      </c>
      <c r="U169" s="171" t="n"/>
    </row>
    <row r="170">
      <c r="A170" s="154" t="n">
        <v>224</v>
      </c>
      <c r="B170" s="181">
        <f>IF(INDEX(MO_SNA_IsHistoricalPeriod,,MATCH(F170,MO_Common_ColumnHeader,0)),"Historical","Forward")</f>
        <v/>
      </c>
      <c r="C170" s="171" t="n"/>
      <c r="D170" s="188" t="inlineStr">
        <is>
          <t>Non-GAAP Other Income</t>
        </is>
      </c>
      <c r="E170" s="182" t="n"/>
      <c r="F170" s="181" t="inlineStr">
        <is>
          <t>Q2-2023</t>
        </is>
      </c>
      <c r="G170" s="181" t="n"/>
      <c r="H170" s="171" t="n"/>
      <c r="I170" s="183" t="n">
        <v>40</v>
      </c>
      <c r="J170" s="183" t="n">
        <v>40</v>
      </c>
      <c r="K170" s="183">
        <f>AVERAGE(I170:J170)</f>
        <v/>
      </c>
      <c r="L170" s="171" t="n"/>
      <c r="M170" s="181">
        <f>IF(INDEX(MO_SNA_IsHistoricalPeriod,,MATCH(F170,MO_Common_ColumnHeader,0)),"Actual","Estimate")</f>
        <v/>
      </c>
      <c r="N170" s="183">
        <f>INDEX(MO_RIS_IE_Net_NONGAAP,0,MATCH(F170,MO_Common_ColumnHeader,0))+INDEX(MO_RIS_OI_NONGAAP,0,MATCH(F170,MO_Common_ColumnHeader,0))</f>
        <v/>
      </c>
      <c r="O170" s="171" t="n"/>
      <c r="P170" s="189">
        <f>IF(ISNUMBER(N170),N170-K170,"N/A")</f>
        <v/>
      </c>
      <c r="Q170" s="190">
        <f>IFERROR(IF(ISNUMBER(N170),(N170-K170)/ABS(K170),"N/A"),"N/A")</f>
        <v/>
      </c>
      <c r="R170" s="171" t="n"/>
      <c r="S170" s="184" t="n">
        <v>44706</v>
      </c>
      <c r="T170" s="191" t="inlineStr">
        <is>
          <t>Press Release</t>
        </is>
      </c>
      <c r="U170" s="171" t="n"/>
    </row>
    <row r="171">
      <c r="A171" s="154" t="n">
        <v>223</v>
      </c>
      <c r="B171" s="181">
        <f>IF(INDEX(MO_SNA_IsHistoricalPeriod,,MATCH(F171,MO_Common_ColumnHeader,0)),"Historical","Forward")</f>
        <v/>
      </c>
      <c r="C171" s="171" t="n"/>
      <c r="D171" s="188" t="inlineStr">
        <is>
          <t>GAAP Tax Rate</t>
        </is>
      </c>
      <c r="E171" s="182" t="inlineStr">
        <is>
          <t>MO_RIS_TaxRate</t>
        </is>
      </c>
      <c r="F171" s="181" t="inlineStr">
        <is>
          <t>Q2-2023</t>
        </is>
      </c>
      <c r="G171" s="181" t="n"/>
      <c r="H171" s="171" t="n"/>
      <c r="I171" s="185" t="n">
        <v>0.115</v>
      </c>
      <c r="J171" s="185" t="n">
        <v>0.135</v>
      </c>
      <c r="K171" s="185">
        <f>AVERAGE(I171:J171)</f>
        <v/>
      </c>
      <c r="L171" s="171" t="n"/>
      <c r="M171" s="181">
        <f>IF(INDEX(MO_SNA_IsHistoricalPeriod,,MATCH(F171,MO_Common_ColumnHeader,0)),"Actual","Estimate")</f>
        <v/>
      </c>
      <c r="N171" s="185">
        <f>IFERROR(INDEX(INDIRECT(E171),0,MATCH(F171,MO_Common_ColumnHeader,0)),"N/A")</f>
        <v/>
      </c>
      <c r="O171" s="171" t="n"/>
      <c r="P171" s="190">
        <f>IF(ISNUMBER(N171),N171-K171,"N/A")</f>
        <v/>
      </c>
      <c r="Q171" s="190">
        <f>IFERROR(IF(ISNUMBER(N171),(N171-K171)/ABS(K171),"N/A"),"N/A")</f>
        <v/>
      </c>
      <c r="R171" s="171" t="n"/>
      <c r="S171" s="184" t="n">
        <v>44706</v>
      </c>
      <c r="T171" s="191" t="inlineStr">
        <is>
          <t>Press Release</t>
        </is>
      </c>
      <c r="U171" s="171" t="n"/>
    </row>
    <row r="172">
      <c r="A172" s="154" t="n">
        <v>222</v>
      </c>
      <c r="B172" s="181">
        <f>IF(INDEX(MO_SNA_IsHistoricalPeriod,,MATCH(F172,MO_Common_ColumnHeader,0)),"Historical","Forward")</f>
        <v/>
      </c>
      <c r="C172" s="171" t="n"/>
      <c r="D172" s="188">
        <f>INDEX(INDIRECT(E172),0,COLUMN(MO_Common_Column_A))</f>
        <v/>
      </c>
      <c r="E172" s="182" t="inlineStr">
        <is>
          <t>MO_RIS_TaxRate_NONGAAP</t>
        </is>
      </c>
      <c r="F172" s="181" t="inlineStr">
        <is>
          <t>Q2-2023</t>
        </is>
      </c>
      <c r="G172" s="181" t="n"/>
      <c r="H172" s="171" t="n"/>
      <c r="I172" s="185" t="n">
        <v>0.115</v>
      </c>
      <c r="J172" s="185" t="n">
        <v>0.135</v>
      </c>
      <c r="K172" s="185">
        <f>AVERAGE(I172:J172)</f>
        <v/>
      </c>
      <c r="L172" s="171" t="n"/>
      <c r="M172" s="181">
        <f>IF(INDEX(MO_SNA_IsHistoricalPeriod,,MATCH(F172,MO_Common_ColumnHeader,0)),"Actual","Estimate")</f>
        <v/>
      </c>
      <c r="N172" s="185">
        <f>IFERROR(INDEX(INDIRECT(E172),0,MATCH(F172,MO_Common_ColumnHeader,0)),"N/A")</f>
        <v/>
      </c>
      <c r="O172" s="171" t="n"/>
      <c r="P172" s="190">
        <f>IF(ISNUMBER(N172),N172-K172,"N/A")</f>
        <v/>
      </c>
      <c r="Q172" s="190">
        <f>IFERROR(IF(ISNUMBER(N172),(N172-K172)/ABS(K172),"N/A"),"N/A")</f>
        <v/>
      </c>
      <c r="R172" s="171" t="n"/>
      <c r="S172" s="184" t="n">
        <v>44706</v>
      </c>
      <c r="T172" s="191" t="inlineStr">
        <is>
          <t>Press Release</t>
        </is>
      </c>
      <c r="U172" s="171" t="n"/>
    </row>
    <row r="173">
      <c r="A173" s="154" t="n">
        <v>221</v>
      </c>
      <c r="B173" s="181">
        <f>IF(INDEX(MO_SNA_IsHistoricalPeriod,,MATCH(F173,MO_Common_ColumnHeader,0)),"Historical","Forward")</f>
        <v/>
      </c>
      <c r="C173" s="171" t="n"/>
      <c r="D173" s="188">
        <f>INDEX(INDIRECT(E173),0,COLUMN(MO_Common_Column_A))</f>
        <v/>
      </c>
      <c r="E173" s="182" t="inlineStr">
        <is>
          <t>MO_CFSum_Capex</t>
        </is>
      </c>
      <c r="F173" s="181" t="inlineStr">
        <is>
          <t>Q2-2023</t>
        </is>
      </c>
      <c r="G173" s="181" t="n"/>
      <c r="H173" s="171" t="n"/>
      <c r="I173" s="183" t="n">
        <v>-450</v>
      </c>
      <c r="J173" s="183" t="n">
        <v>-400</v>
      </c>
      <c r="K173" s="183">
        <f>AVERAGE(I173:J173)</f>
        <v/>
      </c>
      <c r="L173" s="171" t="n"/>
      <c r="M173" s="181">
        <f>IF(INDEX(MO_SNA_IsHistoricalPeriod,,MATCH(F173,MO_Common_ColumnHeader,0)),"Actual","Estimate")</f>
        <v/>
      </c>
      <c r="N173" s="183">
        <f>IFERROR(INDEX(INDIRECT(E173),0,MATCH(F173,MO_Common_ColumnHeader,0)),"N/A")</f>
        <v/>
      </c>
      <c r="O173" s="171" t="n"/>
      <c r="P173" s="189">
        <f>IF(ISNUMBER(N173),N173-K173,"N/A")</f>
        <v/>
      </c>
      <c r="Q173" s="190">
        <f>IFERROR(IF(ISNUMBER(N173),(N173-K173)/ABS(K173),"N/A"),"N/A")</f>
        <v/>
      </c>
      <c r="R173" s="171" t="n"/>
      <c r="S173" s="184" t="n">
        <v>44706</v>
      </c>
      <c r="T173" s="191" t="inlineStr">
        <is>
          <t>CFO Commentary</t>
        </is>
      </c>
      <c r="U173" s="171" t="n"/>
    </row>
    <row r="174">
      <c r="A174" s="154" t="n">
        <v>220</v>
      </c>
      <c r="B174" s="171" t="n"/>
      <c r="C174" s="171" t="n"/>
      <c r="D174" s="168" t="n"/>
      <c r="E174" s="169" t="n"/>
      <c r="F174" s="171" t="n"/>
      <c r="G174" s="171" t="n"/>
      <c r="H174" s="171" t="n"/>
      <c r="I174" s="1013" t="n"/>
      <c r="J174" s="1013" t="n"/>
      <c r="K174" s="1013" t="n"/>
      <c r="L174" s="171" t="n"/>
      <c r="M174" s="171" t="n"/>
      <c r="N174" s="1013" t="n"/>
      <c r="O174" s="171" t="n"/>
      <c r="P174" s="172" t="n"/>
      <c r="Q174" s="134" t="n"/>
      <c r="R174" s="171" t="n"/>
      <c r="S174" s="173" t="n"/>
      <c r="T174" s="192" t="inlineStr">
        <is>
          <t>https://s22.q4cdn.com/364334381/files/doc_financials/2022/q4/Q4FY22-CFO-Commentary.pdf</t>
        </is>
      </c>
      <c r="U174" s="171" t="n"/>
    </row>
    <row r="175">
      <c r="A175" s="154" t="n">
        <v>219</v>
      </c>
      <c r="B175" s="181">
        <f>IF(INDEX(MO_SNA_IsHistoricalPeriod,,MATCH(F175,MO_Common_ColumnHeader,0)),"Historical","Forward")</f>
        <v/>
      </c>
      <c r="C175" s="171" t="n"/>
      <c r="D175" s="188">
        <f>INDEX(INDIRECT(E175),0,COLUMN(MO_Common_Column_A))</f>
        <v/>
      </c>
      <c r="E175" s="182" t="inlineStr">
        <is>
          <t>MO_RIS_REV</t>
        </is>
      </c>
      <c r="F175" s="181" t="inlineStr">
        <is>
          <t>Q1-2023</t>
        </is>
      </c>
      <c r="G175" s="181" t="n"/>
      <c r="H175" s="171" t="n"/>
      <c r="I175" s="183">
        <f>8100*0.98</f>
        <v/>
      </c>
      <c r="J175" s="183">
        <f>8100*1.02</f>
        <v/>
      </c>
      <c r="K175" s="183">
        <f>AVERAGE(I175:J175)</f>
        <v/>
      </c>
      <c r="L175" s="171" t="n"/>
      <c r="M175" s="181">
        <f>IF(INDEX(MO_SNA_IsHistoricalPeriod,,MATCH(F175,MO_Common_ColumnHeader,0)),"Actual","Estimate")</f>
        <v/>
      </c>
      <c r="N175" s="183">
        <f>IFERROR(INDEX(INDIRECT(E175),0,MATCH(F175,MO_Common_ColumnHeader,0)),"N/A")</f>
        <v/>
      </c>
      <c r="O175" s="171" t="n"/>
      <c r="P175" s="189">
        <f>IF(ISNUMBER(N175),N175-K175,"N/A")</f>
        <v/>
      </c>
      <c r="Q175" s="190">
        <f>IFERROR(IF(ISNUMBER(N175),(N175-K175)/ABS(K175),"N/A"),"N/A")</f>
        <v/>
      </c>
      <c r="R175" s="171" t="n"/>
      <c r="S175" s="184" t="n">
        <v>44608</v>
      </c>
      <c r="T175" s="191" t="inlineStr">
        <is>
          <t>Press Release</t>
        </is>
      </c>
      <c r="U175" s="171" t="n"/>
    </row>
    <row r="176">
      <c r="A176" s="154" t="n">
        <v>218</v>
      </c>
      <c r="B176" s="181">
        <f>IF(INDEX(MO_SNA_IsHistoricalPeriod,,MATCH(F176,MO_Common_ColumnHeader,0)),"Historical","Forward")</f>
        <v/>
      </c>
      <c r="C176" s="171" t="n"/>
      <c r="D176" s="188">
        <f>INDEX(INDIRECT(E176),0,COLUMN(MO_Common_Column_A))</f>
        <v/>
      </c>
      <c r="E176" s="182" t="inlineStr">
        <is>
          <t>MO_MA_GM</t>
        </is>
      </c>
      <c r="F176" s="181" t="inlineStr">
        <is>
          <t>Q1-2023</t>
        </is>
      </c>
      <c r="G176" s="181" t="n"/>
      <c r="H176" s="171" t="n"/>
      <c r="I176" s="185">
        <f>65.2%-0.5%</f>
        <v/>
      </c>
      <c r="J176" s="185">
        <f>65.2%+0.5%</f>
        <v/>
      </c>
      <c r="K176" s="185">
        <f>AVERAGE(I176:J176)</f>
        <v/>
      </c>
      <c r="L176" s="171" t="n"/>
      <c r="M176" s="181">
        <f>IF(INDEX(MO_SNA_IsHistoricalPeriod,,MATCH(F176,MO_Common_ColumnHeader,0)),"Actual","Estimate")</f>
        <v/>
      </c>
      <c r="N176" s="185">
        <f>IFERROR(INDEX(INDIRECT(E176),0,MATCH(F176,MO_Common_ColumnHeader,0)),"N/A")</f>
        <v/>
      </c>
      <c r="O176" s="171" t="n"/>
      <c r="P176" s="190">
        <f>IF(ISNUMBER(N176),N176-K176,"N/A")</f>
        <v/>
      </c>
      <c r="Q176" s="190">
        <f>IFERROR(IF(ISNUMBER(N176),(N176-K176)/ABS(K176),"N/A"),"N/A")</f>
        <v/>
      </c>
      <c r="R176" s="171" t="n"/>
      <c r="S176" s="184" t="n">
        <v>44608</v>
      </c>
      <c r="T176" s="191" t="inlineStr">
        <is>
          <t>Press Release</t>
        </is>
      </c>
      <c r="U176" s="171" t="n"/>
    </row>
    <row r="177">
      <c r="A177" s="154" t="n">
        <v>217</v>
      </c>
      <c r="B177" s="181">
        <f>IF(INDEX(MO_SNA_IsHistoricalPeriod,,MATCH(F177,MO_Common_ColumnHeader,0)),"Historical","Forward")</f>
        <v/>
      </c>
      <c r="C177" s="171" t="n"/>
      <c r="D177" s="188">
        <f>INDEX(INDIRECT(E177),0,COLUMN(MO_Common_Column_A))</f>
        <v/>
      </c>
      <c r="E177" s="182" t="inlineStr">
        <is>
          <t>MO_MA_GM_NONGAAP</t>
        </is>
      </c>
      <c r="F177" s="181" t="inlineStr">
        <is>
          <t>Q1-2023</t>
        </is>
      </c>
      <c r="G177" s="181" t="n"/>
      <c r="H177" s="171" t="n"/>
      <c r="I177" s="185">
        <f>67%-0.5%</f>
        <v/>
      </c>
      <c r="J177" s="185">
        <f>67%+0.5%</f>
        <v/>
      </c>
      <c r="K177" s="185">
        <f>AVERAGE(I177:J177)</f>
        <v/>
      </c>
      <c r="L177" s="171" t="n"/>
      <c r="M177" s="181">
        <f>IF(INDEX(MO_SNA_IsHistoricalPeriod,,MATCH(F177,MO_Common_ColumnHeader,0)),"Actual","Estimate")</f>
        <v/>
      </c>
      <c r="N177" s="185">
        <f>IFERROR(INDEX(INDIRECT(E177),0,MATCH(F177,MO_Common_ColumnHeader,0)),"N/A")</f>
        <v/>
      </c>
      <c r="O177" s="171" t="n"/>
      <c r="P177" s="190">
        <f>IF(ISNUMBER(N177),N177-K177,"N/A")</f>
        <v/>
      </c>
      <c r="Q177" s="190">
        <f>IFERROR(IF(ISNUMBER(N177),(N177-K177)/ABS(K177),"N/A"),"N/A")</f>
        <v/>
      </c>
      <c r="R177" s="171" t="n"/>
      <c r="S177" s="184" t="n">
        <v>44608</v>
      </c>
      <c r="T177" s="191" t="inlineStr">
        <is>
          <t>Press Release</t>
        </is>
      </c>
      <c r="U177" s="171" t="n"/>
    </row>
    <row r="178">
      <c r="A178" s="154" t="n">
        <v>216</v>
      </c>
      <c r="B178" s="181">
        <f>IF(INDEX(MO_SNA_IsHistoricalPeriod,,MATCH(F178,MO_Common_ColumnHeader,0)),"Historical","Forward")</f>
        <v/>
      </c>
      <c r="C178" s="171" t="n"/>
      <c r="D178" s="188" t="inlineStr">
        <is>
          <t>GAAP Operating Expenses</t>
        </is>
      </c>
      <c r="E178" s="182" t="n"/>
      <c r="F178" s="181" t="inlineStr">
        <is>
          <t>Q1-2023</t>
        </is>
      </c>
      <c r="G178" s="181" t="n"/>
      <c r="H178" s="171" t="n"/>
      <c r="I178" s="183" t="n">
        <v>3550</v>
      </c>
      <c r="J178" s="183" t="n">
        <v>3550</v>
      </c>
      <c r="K178" s="183">
        <f>AVERAGE(I178:J178)</f>
        <v/>
      </c>
      <c r="L178" s="171" t="n"/>
      <c r="M178" s="181">
        <f>IF(INDEX(MO_SNA_IsHistoricalPeriod,,MATCH(F178,MO_Common_ColumnHeader,0)),"Actual","Estimate")</f>
        <v/>
      </c>
      <c r="N178" s="183">
        <f>INDEX(MO_RIS_RD,0,MATCH(F178,MO_Common_ColumnHeader,0))+INDEX(MO_RIS_SGA,0,MATCH(F178,MO_Common_ColumnHeader,0))+1360</f>
        <v/>
      </c>
      <c r="O178" s="171" t="n"/>
      <c r="P178" s="189">
        <f>IF(ISNUMBER(N178),N178-K178,"N/A")</f>
        <v/>
      </c>
      <c r="Q178" s="190">
        <f>IFERROR(IF(ISNUMBER(N178),(N178-K178)/ABS(K178),"N/A"),"N/A")</f>
        <v/>
      </c>
      <c r="R178" s="171" t="n"/>
      <c r="S178" s="184" t="n">
        <v>44608</v>
      </c>
      <c r="T178" s="191" t="inlineStr">
        <is>
          <t>Press Release</t>
        </is>
      </c>
      <c r="U178" s="171" t="n"/>
    </row>
    <row r="179">
      <c r="A179" s="154" t="n">
        <v>215</v>
      </c>
      <c r="B179" s="181">
        <f>IF(INDEX(MO_SNA_IsHistoricalPeriod,,MATCH(F179,MO_Common_ColumnHeader,0)),"Historical","Forward")</f>
        <v/>
      </c>
      <c r="C179" s="171" t="n"/>
      <c r="D179" s="188">
        <f>INDEX(INDIRECT(E179),0,COLUMN(MO_Common_Column_A))</f>
        <v/>
      </c>
      <c r="E179" s="182" t="inlineStr">
        <is>
          <t>MO_OS_OPEX</t>
        </is>
      </c>
      <c r="F179" s="181" t="inlineStr">
        <is>
          <t>Q1-2023</t>
        </is>
      </c>
      <c r="G179" s="181" t="n"/>
      <c r="H179" s="171" t="n"/>
      <c r="I179" s="183" t="n">
        <v>1600</v>
      </c>
      <c r="J179" s="183" t="n">
        <v>1600</v>
      </c>
      <c r="K179" s="183">
        <f>AVERAGE(I179:J179)</f>
        <v/>
      </c>
      <c r="L179" s="171" t="n"/>
      <c r="M179" s="181">
        <f>IF(INDEX(MO_SNA_IsHistoricalPeriod,,MATCH(F179,MO_Common_ColumnHeader,0)),"Actual","Estimate")</f>
        <v/>
      </c>
      <c r="N179" s="183">
        <f>IFERROR(INDEX(INDIRECT(E179),0,MATCH(F179,MO_Common_ColumnHeader,0)),"N/A")</f>
        <v/>
      </c>
      <c r="O179" s="171" t="n"/>
      <c r="P179" s="189">
        <f>IF(ISNUMBER(N179),N179-K179,"N/A")</f>
        <v/>
      </c>
      <c r="Q179" s="190">
        <f>IFERROR(IF(ISNUMBER(N179),(N179-K179)/ABS(K179),"N/A"),"N/A")</f>
        <v/>
      </c>
      <c r="R179" s="171" t="n"/>
      <c r="S179" s="184" t="n">
        <v>44608</v>
      </c>
      <c r="T179" s="191" t="inlineStr">
        <is>
          <t>Press Release</t>
        </is>
      </c>
      <c r="U179" s="171" t="n"/>
    </row>
    <row r="180">
      <c r="A180" s="154" t="n">
        <v>214</v>
      </c>
      <c r="B180" s="181">
        <f>IF(INDEX(MO_SNA_IsHistoricalPeriod,,MATCH(F180,MO_Common_ColumnHeader,0)),"Historical","Forward")</f>
        <v/>
      </c>
      <c r="C180" s="171" t="n"/>
      <c r="D180" s="188" t="inlineStr">
        <is>
          <t>GAAP Other Income</t>
        </is>
      </c>
      <c r="E180" s="182" t="n"/>
      <c r="F180" s="181" t="inlineStr">
        <is>
          <t>Q1-2023</t>
        </is>
      </c>
      <c r="G180" s="181" t="n"/>
      <c r="H180" s="171" t="n"/>
      <c r="I180" s="183" t="n">
        <v>55</v>
      </c>
      <c r="J180" s="183" t="n">
        <v>55</v>
      </c>
      <c r="K180" s="183">
        <f>AVERAGE(I180:J180)</f>
        <v/>
      </c>
      <c r="L180" s="171" t="n"/>
      <c r="M180" s="181">
        <f>IF(INDEX(MO_SNA_IsHistoricalPeriod,,MATCH(F180,MO_Common_ColumnHeader,0)),"Actual","Estimate")</f>
        <v/>
      </c>
      <c r="N180" s="183">
        <f>IFERROR(INDEX(INDIRECT(E180),0,MATCH(F180,MO_Common_ColumnHeader,0)),"N/A")</f>
        <v/>
      </c>
      <c r="O180" s="171" t="n"/>
      <c r="P180" s="189">
        <f>IF(ISNUMBER(N180),N180-K180,"N/A")</f>
        <v/>
      </c>
      <c r="Q180" s="190">
        <f>IFERROR(IF(ISNUMBER(N180),(N180-K180)/ABS(K180),"N/A"),"N/A")</f>
        <v/>
      </c>
      <c r="R180" s="171" t="n"/>
      <c r="S180" s="184" t="n">
        <v>44608</v>
      </c>
      <c r="T180" s="191" t="inlineStr">
        <is>
          <t>Press Release</t>
        </is>
      </c>
      <c r="U180" s="171" t="n"/>
    </row>
    <row r="181">
      <c r="A181" s="154" t="n">
        <v>213</v>
      </c>
      <c r="B181" s="181">
        <f>IF(INDEX(MO_SNA_IsHistoricalPeriod,,MATCH(F181,MO_Common_ColumnHeader,0)),"Historical","Forward")</f>
        <v/>
      </c>
      <c r="C181" s="171" t="n"/>
      <c r="D181" s="188" t="inlineStr">
        <is>
          <t>Non-GAAP Other Income</t>
        </is>
      </c>
      <c r="E181" s="182" t="n"/>
      <c r="F181" s="181" t="inlineStr">
        <is>
          <t>Q1-2023</t>
        </is>
      </c>
      <c r="G181" s="181" t="n"/>
      <c r="H181" s="171" t="n"/>
      <c r="I181" s="183" t="n">
        <v>55</v>
      </c>
      <c r="J181" s="183" t="n">
        <v>55</v>
      </c>
      <c r="K181" s="183">
        <f>AVERAGE(I181:J181)</f>
        <v/>
      </c>
      <c r="L181" s="171" t="n"/>
      <c r="M181" s="181">
        <f>IF(INDEX(MO_SNA_IsHistoricalPeriod,,MATCH(F181,MO_Common_ColumnHeader,0)),"Actual","Estimate")</f>
        <v/>
      </c>
      <c r="N181" s="183">
        <f>INDEX(MO_RIS_IE_Net_NONGAAP,0,MATCH(F181,MO_Common_ColumnHeader,0))+INDEX(MO_RIS_OI_NONGAAP,0,MATCH(F181,MO_Common_ColumnHeader,0))</f>
        <v/>
      </c>
      <c r="O181" s="171" t="n"/>
      <c r="P181" s="189">
        <f>IF(ISNUMBER(N181),N181-K181,"N/A")</f>
        <v/>
      </c>
      <c r="Q181" s="190">
        <f>IFERROR(IF(ISNUMBER(N181),(N181-K181)/ABS(K181),"N/A"),"N/A")</f>
        <v/>
      </c>
      <c r="R181" s="171" t="n"/>
      <c r="S181" s="184" t="n">
        <v>44608</v>
      </c>
      <c r="T181" s="191" t="inlineStr">
        <is>
          <t>Press Release</t>
        </is>
      </c>
      <c r="U181" s="171" t="n"/>
    </row>
    <row r="182">
      <c r="A182" s="154" t="n">
        <v>212</v>
      </c>
      <c r="B182" s="181">
        <f>IF(INDEX(MO_SNA_IsHistoricalPeriod,,MATCH(F182,MO_Common_ColumnHeader,0)),"Historical","Forward")</f>
        <v/>
      </c>
      <c r="C182" s="171" t="n"/>
      <c r="D182" s="188" t="inlineStr">
        <is>
          <t>GAAP Tax Rate</t>
        </is>
      </c>
      <c r="E182" s="182" t="inlineStr">
        <is>
          <t>MO_RIS_TaxRate</t>
        </is>
      </c>
      <c r="F182" s="181" t="inlineStr">
        <is>
          <t>Q1-2023</t>
        </is>
      </c>
      <c r="G182" s="181" t="n"/>
      <c r="H182" s="171" t="n"/>
      <c r="I182" s="185" t="n">
        <v>0.1</v>
      </c>
      <c r="J182" s="185" t="n">
        <v>0.12</v>
      </c>
      <c r="K182" s="185">
        <f>AVERAGE(I182:J182)</f>
        <v/>
      </c>
      <c r="L182" s="171" t="n"/>
      <c r="M182" s="181">
        <f>IF(INDEX(MO_SNA_IsHistoricalPeriod,,MATCH(F182,MO_Common_ColumnHeader,0)),"Actual","Estimate")</f>
        <v/>
      </c>
      <c r="N182" s="185">
        <f>IFERROR(INDEX(INDIRECT(E182),0,MATCH(F182,MO_Common_ColumnHeader,0)),"N/A")</f>
        <v/>
      </c>
      <c r="O182" s="171" t="n"/>
      <c r="P182" s="190">
        <f>IF(ISNUMBER(N182),N182-K182,"N/A")</f>
        <v/>
      </c>
      <c r="Q182" s="190">
        <f>IFERROR(IF(ISNUMBER(N182),(N182-K182)/ABS(K182),"N/A"),"N/A")</f>
        <v/>
      </c>
      <c r="R182" s="171" t="n"/>
      <c r="S182" s="184" t="n">
        <v>44608</v>
      </c>
      <c r="T182" s="191" t="inlineStr">
        <is>
          <t>Press Release</t>
        </is>
      </c>
      <c r="U182" s="171" t="n"/>
    </row>
    <row r="183">
      <c r="A183" s="154" t="n">
        <v>211</v>
      </c>
      <c r="B183" s="181">
        <f>IF(INDEX(MO_SNA_IsHistoricalPeriod,,MATCH(F183,MO_Common_ColumnHeader,0)),"Historical","Forward")</f>
        <v/>
      </c>
      <c r="C183" s="171" t="n"/>
      <c r="D183" s="188">
        <f>INDEX(INDIRECT(E183),0,COLUMN(MO_Common_Column_A))</f>
        <v/>
      </c>
      <c r="E183" s="182" t="inlineStr">
        <is>
          <t>MO_RIS_TaxRate_NONGAAP</t>
        </is>
      </c>
      <c r="F183" s="181" t="inlineStr">
        <is>
          <t>Q1-2023</t>
        </is>
      </c>
      <c r="G183" s="181" t="n"/>
      <c r="H183" s="171" t="n"/>
      <c r="I183" s="185" t="n">
        <v>0.12</v>
      </c>
      <c r="J183" s="185" t="n">
        <v>0.14</v>
      </c>
      <c r="K183" s="185">
        <f>AVERAGE(I183:J183)</f>
        <v/>
      </c>
      <c r="L183" s="171" t="n"/>
      <c r="M183" s="181">
        <f>IF(INDEX(MO_SNA_IsHistoricalPeriod,,MATCH(F183,MO_Common_ColumnHeader,0)),"Actual","Estimate")</f>
        <v/>
      </c>
      <c r="N183" s="185">
        <f>IFERROR(INDEX(INDIRECT(E183),0,MATCH(F183,MO_Common_ColumnHeader,0)),"N/A")</f>
        <v/>
      </c>
      <c r="O183" s="171" t="n"/>
      <c r="P183" s="190">
        <f>IF(ISNUMBER(N183),N183-K183,"N/A")</f>
        <v/>
      </c>
      <c r="Q183" s="190">
        <f>IFERROR(IF(ISNUMBER(N183),(N183-K183)/ABS(K183),"N/A"),"N/A")</f>
        <v/>
      </c>
      <c r="R183" s="171" t="n"/>
      <c r="S183" s="184" t="n">
        <v>44608</v>
      </c>
      <c r="T183" s="191" t="inlineStr">
        <is>
          <t>Press Release</t>
        </is>
      </c>
      <c r="U183" s="171" t="n"/>
    </row>
    <row r="184">
      <c r="A184" s="154" t="n">
        <v>210</v>
      </c>
      <c r="B184" s="181">
        <f>IF(INDEX(MO_SNA_IsHistoricalPeriod,,MATCH(F184,MO_Common_ColumnHeader,0)),"Historical","Forward")</f>
        <v/>
      </c>
      <c r="C184" s="171" t="n"/>
      <c r="D184" s="188">
        <f>INDEX(INDIRECT(E184),0,COLUMN(MO_Common_Column_A))</f>
        <v/>
      </c>
      <c r="E184" s="182" t="inlineStr">
        <is>
          <t>MO_CFSum_Capex</t>
        </is>
      </c>
      <c r="F184" s="181" t="inlineStr">
        <is>
          <t>Q1-2023</t>
        </is>
      </c>
      <c r="G184" s="181" t="n"/>
      <c r="H184" s="171" t="n"/>
      <c r="I184" s="183" t="n">
        <v>-400</v>
      </c>
      <c r="J184" s="183" t="n">
        <v>-350</v>
      </c>
      <c r="K184" s="183">
        <f>AVERAGE(I184:J184)</f>
        <v/>
      </c>
      <c r="L184" s="171" t="n"/>
      <c r="M184" s="181">
        <f>IF(INDEX(MO_SNA_IsHistoricalPeriod,,MATCH(F184,MO_Common_ColumnHeader,0)),"Actual","Estimate")</f>
        <v/>
      </c>
      <c r="N184" s="183">
        <f>IFERROR(INDEX(INDIRECT(E184),0,MATCH(F184,MO_Common_ColumnHeader,0)),"N/A")</f>
        <v/>
      </c>
      <c r="O184" s="171" t="n"/>
      <c r="P184" s="189">
        <f>IF(ISNUMBER(N184),N184-K184,"N/A")</f>
        <v/>
      </c>
      <c r="Q184" s="190">
        <f>IFERROR(IF(ISNUMBER(N184),(N184-K184)/ABS(K184),"N/A"),"N/A")</f>
        <v/>
      </c>
      <c r="R184" s="171" t="n"/>
      <c r="S184" s="184" t="n">
        <v>44608</v>
      </c>
      <c r="T184" s="191" t="inlineStr">
        <is>
          <t>CFO Commentary</t>
        </is>
      </c>
      <c r="U184" s="171" t="n"/>
    </row>
    <row r="185">
      <c r="A185" s="154" t="n">
        <v>209</v>
      </c>
      <c r="B185" s="171" t="n"/>
      <c r="C185" s="171" t="n"/>
      <c r="D185" s="168" t="n"/>
      <c r="E185" s="169" t="n"/>
      <c r="F185" s="171" t="n"/>
      <c r="G185" s="171" t="n"/>
      <c r="H185" s="171" t="n"/>
      <c r="I185" s="1013" t="n"/>
      <c r="J185" s="1013" t="n"/>
      <c r="K185" s="1013" t="n"/>
      <c r="L185" s="171" t="n"/>
      <c r="M185" s="171" t="n"/>
      <c r="N185" s="1013" t="n"/>
      <c r="O185" s="171" t="n"/>
      <c r="P185" s="172" t="n"/>
      <c r="Q185" s="134" t="n"/>
      <c r="R185" s="171" t="n"/>
      <c r="S185" s="173" t="n"/>
      <c r="T185" s="192" t="inlineStr">
        <is>
          <t>https://nvidianews.nvidia.com/news/nvidia-announces-financial-results-for-third-quarter-fiscal-2022</t>
        </is>
      </c>
      <c r="U185" s="171" t="n"/>
    </row>
    <row r="186">
      <c r="A186" s="154" t="n">
        <v>208</v>
      </c>
      <c r="B186" s="181">
        <f>IF(INDEX(MO_SNA_IsHistoricalPeriod,,MATCH(F186,MO_Common_ColumnHeader,0)),"Historical","Forward")</f>
        <v/>
      </c>
      <c r="C186" s="171" t="n"/>
      <c r="D186" s="188">
        <f>INDEX(INDIRECT(E186),0,COLUMN(MO_Common_Column_A))</f>
        <v/>
      </c>
      <c r="E186" s="182" t="inlineStr">
        <is>
          <t>MO_RIS_REV</t>
        </is>
      </c>
      <c r="F186" s="181" t="inlineStr">
        <is>
          <t>Q4-2022</t>
        </is>
      </c>
      <c r="G186" s="181" t="n"/>
      <c r="H186" s="171" t="n"/>
      <c r="I186" s="183">
        <f>7400*0.98</f>
        <v/>
      </c>
      <c r="J186" s="183">
        <f>7400*1.02</f>
        <v/>
      </c>
      <c r="K186" s="183">
        <f>AVERAGE(I186:J186)</f>
        <v/>
      </c>
      <c r="L186" s="171" t="n"/>
      <c r="M186" s="181">
        <f>IF(INDEX(MO_SNA_IsHistoricalPeriod,,MATCH(F186,MO_Common_ColumnHeader,0)),"Actual","Estimate")</f>
        <v/>
      </c>
      <c r="N186" s="183">
        <f>IFERROR(INDEX(INDIRECT(E186),0,MATCH(F186,MO_Common_ColumnHeader,0)),"N/A")</f>
        <v/>
      </c>
      <c r="O186" s="171" t="n"/>
      <c r="P186" s="189">
        <f>IF(ISNUMBER(N186),N186-K186,"N/A")</f>
        <v/>
      </c>
      <c r="Q186" s="190">
        <f>IFERROR(IF(ISNUMBER(N186),(N186-K186)/ABS(K186),"N/A"),"N/A")</f>
        <v/>
      </c>
      <c r="R186" s="171" t="n"/>
      <c r="S186" s="184" t="n">
        <v>44517</v>
      </c>
      <c r="T186" s="191" t="inlineStr">
        <is>
          <t>Press Release</t>
        </is>
      </c>
      <c r="U186" s="171" t="n"/>
    </row>
    <row r="187">
      <c r="A187" s="154" t="n">
        <v>207</v>
      </c>
      <c r="B187" s="181">
        <f>IF(INDEX(MO_SNA_IsHistoricalPeriod,,MATCH(F187,MO_Common_ColumnHeader,0)),"Historical","Forward")</f>
        <v/>
      </c>
      <c r="C187" s="171" t="n"/>
      <c r="D187" s="188">
        <f>INDEX(INDIRECT(E187),0,COLUMN(MO_Common_Column_A))</f>
        <v/>
      </c>
      <c r="E187" s="182" t="inlineStr">
        <is>
          <t>MO_MA_GM</t>
        </is>
      </c>
      <c r="F187" s="181" t="inlineStr">
        <is>
          <t>Q4-2022</t>
        </is>
      </c>
      <c r="G187" s="181" t="n"/>
      <c r="H187" s="171" t="n"/>
      <c r="I187" s="185" t="n">
        <v>0.648</v>
      </c>
      <c r="J187" s="185" t="n">
        <v>0.658</v>
      </c>
      <c r="K187" s="185">
        <f>AVERAGE(I187:J187)</f>
        <v/>
      </c>
      <c r="L187" s="171" t="n"/>
      <c r="M187" s="181">
        <f>IF(INDEX(MO_SNA_IsHistoricalPeriod,,MATCH(F187,MO_Common_ColumnHeader,0)),"Actual","Estimate")</f>
        <v/>
      </c>
      <c r="N187" s="185">
        <f>IFERROR(INDEX(INDIRECT(E187),0,MATCH(F187,MO_Common_ColumnHeader,0)),"N/A")</f>
        <v/>
      </c>
      <c r="O187" s="171" t="n"/>
      <c r="P187" s="190">
        <f>IF(ISNUMBER(N187),N187-K187,"N/A")</f>
        <v/>
      </c>
      <c r="Q187" s="190">
        <f>IFERROR(IF(ISNUMBER(N187),(N187-K187)/ABS(K187),"N/A"),"N/A")</f>
        <v/>
      </c>
      <c r="R187" s="171" t="n"/>
      <c r="S187" s="184" t="n">
        <v>44517</v>
      </c>
      <c r="T187" s="191" t="inlineStr">
        <is>
          <t>Press Release</t>
        </is>
      </c>
      <c r="U187" s="171" t="n"/>
    </row>
    <row r="188">
      <c r="A188" s="154" t="n">
        <v>206</v>
      </c>
      <c r="B188" s="181">
        <f>IF(INDEX(MO_SNA_IsHistoricalPeriod,,MATCH(F188,MO_Common_ColumnHeader,0)),"Historical","Forward")</f>
        <v/>
      </c>
      <c r="C188" s="171" t="n"/>
      <c r="D188" s="188">
        <f>INDEX(INDIRECT(E188),0,COLUMN(MO_Common_Column_A))</f>
        <v/>
      </c>
      <c r="E188" s="182" t="inlineStr">
        <is>
          <t>MO_MA_GM_NONGAAP</t>
        </is>
      </c>
      <c r="F188" s="181" t="inlineStr">
        <is>
          <t>Q4-2022</t>
        </is>
      </c>
      <c r="G188" s="181" t="n"/>
      <c r="H188" s="171" t="n"/>
      <c r="I188" s="185" t="n">
        <v>0.665</v>
      </c>
      <c r="J188" s="185" t="n">
        <v>0.675</v>
      </c>
      <c r="K188" s="185">
        <f>AVERAGE(I188:J188)</f>
        <v/>
      </c>
      <c r="L188" s="171" t="n"/>
      <c r="M188" s="181">
        <f>IF(INDEX(MO_SNA_IsHistoricalPeriod,,MATCH(F188,MO_Common_ColumnHeader,0)),"Actual","Estimate")</f>
        <v/>
      </c>
      <c r="N188" s="185">
        <f>IFERROR(INDEX(INDIRECT(E188),0,MATCH(F188,MO_Common_ColumnHeader,0)),"N/A")</f>
        <v/>
      </c>
      <c r="O188" s="171" t="n"/>
      <c r="P188" s="190">
        <f>IF(ISNUMBER(N188),N188-K188,"N/A")</f>
        <v/>
      </c>
      <c r="Q188" s="190">
        <f>IFERROR(IF(ISNUMBER(N188),(N188-K188)/ABS(K188),"N/A"),"N/A")</f>
        <v/>
      </c>
      <c r="R188" s="171" t="n"/>
      <c r="S188" s="184" t="n">
        <v>44517</v>
      </c>
      <c r="T188" s="191" t="inlineStr">
        <is>
          <t>Press Release</t>
        </is>
      </c>
      <c r="U188" s="171" t="n"/>
    </row>
    <row r="189">
      <c r="A189" s="154" t="n">
        <v>205</v>
      </c>
      <c r="B189" s="181">
        <f>IF(INDEX(MO_SNA_IsHistoricalPeriod,,MATCH(F189,MO_Common_ColumnHeader,0)),"Historical","Forward")</f>
        <v/>
      </c>
      <c r="C189" s="171" t="n"/>
      <c r="D189" s="188" t="inlineStr">
        <is>
          <t>GAAP Operating Expenses</t>
        </is>
      </c>
      <c r="E189" s="182" t="n"/>
      <c r="F189" s="181" t="inlineStr">
        <is>
          <t>Q4-2022</t>
        </is>
      </c>
      <c r="G189" s="181" t="n"/>
      <c r="H189" s="171" t="n"/>
      <c r="I189" s="183" t="n">
        <v>2020</v>
      </c>
      <c r="J189" s="183" t="n">
        <v>2020</v>
      </c>
      <c r="K189" s="183">
        <f>AVERAGE(I189:J189)</f>
        <v/>
      </c>
      <c r="L189" s="171" t="n"/>
      <c r="M189" s="181">
        <f>IF(INDEX(MO_SNA_IsHistoricalPeriod,,MATCH(F189,MO_Common_ColumnHeader,0)),"Actual","Estimate")</f>
        <v/>
      </c>
      <c r="N189" s="183">
        <f>INDEX(MO_RIS_RD,0,MATCH(F189,MO_Common_ColumnHeader,0))+INDEX(MO_RIS_SGA,0,MATCH(F189,MO_Common_ColumnHeader,0))</f>
        <v/>
      </c>
      <c r="O189" s="171" t="n"/>
      <c r="P189" s="189">
        <f>IF(ISNUMBER(N189),N189-K189,"N/A")</f>
        <v/>
      </c>
      <c r="Q189" s="190">
        <f>IFERROR(IF(ISNUMBER(N189),(N189-K189)/ABS(K189),"N/A"),"N/A")</f>
        <v/>
      </c>
      <c r="R189" s="171" t="n"/>
      <c r="S189" s="184" t="n">
        <v>44517</v>
      </c>
      <c r="T189" s="191" t="inlineStr">
        <is>
          <t>Press Release</t>
        </is>
      </c>
      <c r="U189" s="171" t="n"/>
    </row>
    <row r="190">
      <c r="A190" s="154" t="n">
        <v>204</v>
      </c>
      <c r="B190" s="181">
        <f>IF(INDEX(MO_SNA_IsHistoricalPeriod,,MATCH(F190,MO_Common_ColumnHeader,0)),"Historical","Forward")</f>
        <v/>
      </c>
      <c r="C190" s="171" t="n"/>
      <c r="D190" s="188">
        <f>INDEX(INDIRECT(E190),0,COLUMN(MO_Common_Column_A))</f>
        <v/>
      </c>
      <c r="E190" s="182" t="inlineStr">
        <is>
          <t>MO_OS_OPEX</t>
        </is>
      </c>
      <c r="F190" s="181" t="inlineStr">
        <is>
          <t>Q4-2022</t>
        </is>
      </c>
      <c r="G190" s="181" t="n"/>
      <c r="H190" s="171" t="n"/>
      <c r="I190" s="183" t="n">
        <v>1430</v>
      </c>
      <c r="J190" s="183" t="n">
        <v>1430</v>
      </c>
      <c r="K190" s="183">
        <f>AVERAGE(I190:J190)</f>
        <v/>
      </c>
      <c r="L190" s="171" t="n"/>
      <c r="M190" s="181">
        <f>IF(INDEX(MO_SNA_IsHistoricalPeriod,,MATCH(F190,MO_Common_ColumnHeader,0)),"Actual","Estimate")</f>
        <v/>
      </c>
      <c r="N190" s="183">
        <f>IFERROR(INDEX(INDIRECT(E190),0,MATCH(F190,MO_Common_ColumnHeader,0)),"N/A")</f>
        <v/>
      </c>
      <c r="O190" s="171" t="n"/>
      <c r="P190" s="189">
        <f>IF(ISNUMBER(N190),N190-K190,"N/A")</f>
        <v/>
      </c>
      <c r="Q190" s="190">
        <f>IFERROR(IF(ISNUMBER(N190),(N190-K190)/ABS(K190),"N/A"),"N/A")</f>
        <v/>
      </c>
      <c r="R190" s="171" t="n"/>
      <c r="S190" s="184" t="n">
        <v>44517</v>
      </c>
      <c r="T190" s="191" t="inlineStr">
        <is>
          <t>Press Release</t>
        </is>
      </c>
      <c r="U190" s="171" t="n"/>
    </row>
    <row r="191">
      <c r="A191" s="154" t="n">
        <v>203</v>
      </c>
      <c r="B191" s="181">
        <f>IF(INDEX(MO_SNA_IsHistoricalPeriod,,MATCH(F191,MO_Common_ColumnHeader,0)),"Historical","Forward")</f>
        <v/>
      </c>
      <c r="C191" s="171" t="n"/>
      <c r="D191" s="188" t="inlineStr">
        <is>
          <t>GAAP Other Income</t>
        </is>
      </c>
      <c r="E191" s="182" t="n"/>
      <c r="F191" s="181" t="inlineStr">
        <is>
          <t>Q4-2022</t>
        </is>
      </c>
      <c r="G191" s="181" t="n"/>
      <c r="H191" s="171" t="n"/>
      <c r="I191" s="183" t="n">
        <v>60</v>
      </c>
      <c r="J191" s="183" t="n">
        <v>60</v>
      </c>
      <c r="K191" s="183">
        <f>AVERAGE(I191:J191)</f>
        <v/>
      </c>
      <c r="L191" s="171" t="n"/>
      <c r="M191" s="181">
        <f>IF(INDEX(MO_SNA_IsHistoricalPeriod,,MATCH(F191,MO_Common_ColumnHeader,0)),"Actual","Estimate")</f>
        <v/>
      </c>
      <c r="N191" s="183">
        <f>IFERROR(INDEX(INDIRECT(E191),0,MATCH(F191,MO_Common_ColumnHeader,0)),"N/A")</f>
        <v/>
      </c>
      <c r="O191" s="171" t="n"/>
      <c r="P191" s="189">
        <f>IF(ISNUMBER(N191),N191-K191,"N/A")</f>
        <v/>
      </c>
      <c r="Q191" s="190">
        <f>IFERROR(IF(ISNUMBER(N191),(N191-K191)/ABS(K191),"N/A"),"N/A")</f>
        <v/>
      </c>
      <c r="R191" s="171" t="n"/>
      <c r="S191" s="184" t="n">
        <v>44517</v>
      </c>
      <c r="T191" s="191" t="inlineStr">
        <is>
          <t>Press Release</t>
        </is>
      </c>
      <c r="U191" s="171" t="n"/>
    </row>
    <row r="192">
      <c r="A192" s="154" t="n">
        <v>202</v>
      </c>
      <c r="B192" s="181">
        <f>IF(INDEX(MO_SNA_IsHistoricalPeriod,,MATCH(F192,MO_Common_ColumnHeader,0)),"Historical","Forward")</f>
        <v/>
      </c>
      <c r="C192" s="171" t="n"/>
      <c r="D192" s="188" t="inlineStr">
        <is>
          <t>Non-GAAP Other Income</t>
        </is>
      </c>
      <c r="E192" s="182" t="n"/>
      <c r="F192" s="181" t="inlineStr">
        <is>
          <t>Q4-2022</t>
        </is>
      </c>
      <c r="G192" s="181" t="n"/>
      <c r="H192" s="171" t="n"/>
      <c r="I192" s="183" t="n">
        <v>60</v>
      </c>
      <c r="J192" s="183" t="n">
        <v>60</v>
      </c>
      <c r="K192" s="183">
        <f>AVERAGE(I192:J192)</f>
        <v/>
      </c>
      <c r="L192" s="171" t="n"/>
      <c r="M192" s="181">
        <f>IF(INDEX(MO_SNA_IsHistoricalPeriod,,MATCH(F192,MO_Common_ColumnHeader,0)),"Actual","Estimate")</f>
        <v/>
      </c>
      <c r="N192" s="183">
        <f>INDEX(MO_RIS_IE_Net_NONGAAP,0,MATCH(F192,MO_Common_ColumnHeader,0))+INDEX(MO_RIS_OI_NONGAAP,0,MATCH(F192,MO_Common_ColumnHeader,0))</f>
        <v/>
      </c>
      <c r="O192" s="171" t="n"/>
      <c r="P192" s="189">
        <f>IF(ISNUMBER(N192),N192-K192,"N/A")</f>
        <v/>
      </c>
      <c r="Q192" s="190">
        <f>IFERROR(IF(ISNUMBER(N192),(N192-K192)/ABS(K192),"N/A"),"N/A")</f>
        <v/>
      </c>
      <c r="R192" s="171" t="n"/>
      <c r="S192" s="184" t="n">
        <v>44517</v>
      </c>
      <c r="T192" s="191" t="inlineStr">
        <is>
          <t>Press Release</t>
        </is>
      </c>
      <c r="U192" s="171" t="n"/>
    </row>
    <row r="193">
      <c r="A193" s="154" t="n">
        <v>201</v>
      </c>
      <c r="B193" s="181">
        <f>IF(INDEX(MO_SNA_IsHistoricalPeriod,,MATCH(F193,MO_Common_ColumnHeader,0)),"Historical","Forward")</f>
        <v/>
      </c>
      <c r="C193" s="171" t="n"/>
      <c r="D193" s="188" t="inlineStr">
        <is>
          <t>GAAP Tax Rate</t>
        </is>
      </c>
      <c r="E193" s="182" t="inlineStr">
        <is>
          <t>MO_RIS_TaxRate</t>
        </is>
      </c>
      <c r="F193" s="181" t="inlineStr">
        <is>
          <t>Q4-2022</t>
        </is>
      </c>
      <c r="G193" s="181" t="n"/>
      <c r="H193" s="171" t="n"/>
      <c r="I193" s="185" t="n">
        <v>0.1</v>
      </c>
      <c r="J193" s="185" t="n">
        <v>0.12</v>
      </c>
      <c r="K193" s="185">
        <f>AVERAGE(I193:J193)</f>
        <v/>
      </c>
      <c r="L193" s="171" t="n"/>
      <c r="M193" s="181">
        <f>IF(INDEX(MO_SNA_IsHistoricalPeriod,,MATCH(F193,MO_Common_ColumnHeader,0)),"Actual","Estimate")</f>
        <v/>
      </c>
      <c r="N193" s="185">
        <f>IFERROR(INDEX(INDIRECT(E193),0,MATCH(F193,MO_Common_ColumnHeader,0)),"N/A")</f>
        <v/>
      </c>
      <c r="O193" s="171" t="n"/>
      <c r="P193" s="190">
        <f>IF(ISNUMBER(N193),N193-K193,"N/A")</f>
        <v/>
      </c>
      <c r="Q193" s="190">
        <f>IFERROR(IF(ISNUMBER(N193),(N193-K193)/ABS(K193),"N/A"),"N/A")</f>
        <v/>
      </c>
      <c r="R193" s="171" t="n"/>
      <c r="S193" s="184" t="n">
        <v>44517</v>
      </c>
      <c r="T193" s="191" t="inlineStr">
        <is>
          <t>Press Release</t>
        </is>
      </c>
      <c r="U193" s="171" t="n"/>
    </row>
    <row r="194">
      <c r="A194" s="154" t="n">
        <v>200</v>
      </c>
      <c r="B194" s="181">
        <f>IF(INDEX(MO_SNA_IsHistoricalPeriod,,MATCH(F194,MO_Common_ColumnHeader,0)),"Historical","Forward")</f>
        <v/>
      </c>
      <c r="C194" s="171" t="n"/>
      <c r="D194" s="188">
        <f>INDEX(INDIRECT(E194),0,COLUMN(MO_Common_Column_A))</f>
        <v/>
      </c>
      <c r="E194" s="182" t="inlineStr">
        <is>
          <t>MO_RIS_TaxRate_NONGAAP</t>
        </is>
      </c>
      <c r="F194" s="181" t="inlineStr">
        <is>
          <t>Q4-2022</t>
        </is>
      </c>
      <c r="G194" s="181" t="n"/>
      <c r="H194" s="171" t="n"/>
      <c r="I194" s="185" t="n">
        <v>0.1</v>
      </c>
      <c r="J194" s="185" t="n">
        <v>0.12</v>
      </c>
      <c r="K194" s="185">
        <f>AVERAGE(I194:J194)</f>
        <v/>
      </c>
      <c r="L194" s="171" t="n"/>
      <c r="M194" s="181">
        <f>IF(INDEX(MO_SNA_IsHistoricalPeriod,,MATCH(F194,MO_Common_ColumnHeader,0)),"Actual","Estimate")</f>
        <v/>
      </c>
      <c r="N194" s="185">
        <f>IFERROR(INDEX(INDIRECT(E194),0,MATCH(F194,MO_Common_ColumnHeader,0)),"N/A")</f>
        <v/>
      </c>
      <c r="O194" s="171" t="n"/>
      <c r="P194" s="190">
        <f>IF(ISNUMBER(N194),N194-K194,"N/A")</f>
        <v/>
      </c>
      <c r="Q194" s="190">
        <f>IFERROR(IF(ISNUMBER(N194),(N194-K194)/ABS(K194),"N/A"),"N/A")</f>
        <v/>
      </c>
      <c r="R194" s="171" t="n"/>
      <c r="S194" s="184" t="n">
        <v>44517</v>
      </c>
      <c r="T194" s="191" t="inlineStr">
        <is>
          <t>Press Release</t>
        </is>
      </c>
      <c r="U194" s="171" t="n"/>
    </row>
    <row r="195">
      <c r="A195" s="154" t="n">
        <v>199</v>
      </c>
      <c r="B195" s="181">
        <f>IF(INDEX(MO_SNA_IsHistoricalPeriod,,MATCH(F195,MO_Common_ColumnHeader,0)),"Historical","Forward")</f>
        <v/>
      </c>
      <c r="C195" s="171" t="n"/>
      <c r="D195" s="188" t="inlineStr">
        <is>
          <t>SBC and other Non-GAAP COGS Adjustments as % of revenue</t>
        </is>
      </c>
      <c r="E195" s="182" t="n"/>
      <c r="F195" s="181" t="inlineStr">
        <is>
          <t>Q4-2022</t>
        </is>
      </c>
      <c r="G195" s="181" t="n"/>
      <c r="H195" s="171" t="n"/>
      <c r="I195" s="185" t="n">
        <v>-0.017</v>
      </c>
      <c r="J195" s="185" t="n">
        <v>-0.017</v>
      </c>
      <c r="K195" s="185">
        <f>AVERAGE(I195:J195)</f>
        <v/>
      </c>
      <c r="L195" s="171" t="n"/>
      <c r="M195" s="181">
        <f>IF(INDEX(MO_SNA_IsHistoricalPeriod,,MATCH(F195,MO_Common_ColumnHeader,0)),"Actual","Estimate")</f>
        <v/>
      </c>
      <c r="N195" s="185">
        <f>(INDEX(MO_RIS_SBC_COGS,0,MATCH(F195,MO_Common_ColumnHeader,0))+INDEX(z_A7FLSL0150_MO_RIS_AcquisitionrelatedcostsCOGS,0,MATCH(F195,MO_Common_ColumnHeader,0))+INDEX(MO_RIS_COGS_Adjustments,0,MATCH(F195,MO_Common_ColumnHeader,0)))/INDEX(MO_RIS_REV,0,MATCH(F195,MO_Common_ColumnHeader,0))</f>
        <v/>
      </c>
      <c r="O195" s="171" t="n"/>
      <c r="P195" s="190">
        <f>IF(ISNUMBER(N195),N195-K195,"N/A")</f>
        <v/>
      </c>
      <c r="Q195" s="190">
        <f>IFERROR(IF(ISNUMBER(N195),(N195-K195)/ABS(K195),"N/A"),"N/A")</f>
        <v/>
      </c>
      <c r="R195" s="171" t="n"/>
      <c r="S195" s="184" t="n">
        <v>44517</v>
      </c>
      <c r="T195" s="191" t="inlineStr">
        <is>
          <t>Press Release</t>
        </is>
      </c>
      <c r="U195" s="171" t="n"/>
    </row>
    <row r="196">
      <c r="A196" s="154" t="n">
        <v>198</v>
      </c>
      <c r="B196" s="181">
        <f>IF(INDEX(MO_SNA_IsHistoricalPeriod,,MATCH(F196,MO_Common_ColumnHeader,0)),"Historical","Forward")</f>
        <v/>
      </c>
      <c r="C196" s="171" t="n"/>
      <c r="D196" s="188" t="inlineStr">
        <is>
          <t>SBC, acquisition related costs and other costs (adjustments for Non-GAAP operating expenses)</t>
        </is>
      </c>
      <c r="E196" s="182" t="n"/>
      <c r="F196" s="181" t="inlineStr">
        <is>
          <t>Q4-2022</t>
        </is>
      </c>
      <c r="G196" s="181" t="n"/>
      <c r="H196" s="171" t="n"/>
      <c r="I196" s="183" t="n">
        <v>-585</v>
      </c>
      <c r="J196" s="183" t="n">
        <v>-585</v>
      </c>
      <c r="K196" s="183">
        <f>AVERAGE(I196:J196)</f>
        <v/>
      </c>
      <c r="L196" s="171" t="n"/>
      <c r="M196" s="181">
        <f>IF(INDEX(MO_SNA_IsHistoricalPeriod,,MATCH(F196,MO_Common_ColumnHeader,0)),"Actual","Estimate")</f>
        <v/>
      </c>
      <c r="N196" s="183">
        <f>-(-INDEX(MO_RIS_OtherOperating_NONGAAP,0,MATCH(F196,MO_Common_ColumnHeader,0))+INDEX(z_A7FLSL0150_MO_RIS_SBC_2,0,MATCH(F196,MO_Common_ColumnHeader,0))+INDEX(z_A7FLSL0150_MO_RIS_sbc_1,0,MATCH(F196,MO_Common_ColumnHeader,0))+INDEX(z_A7FLSL0150_MO_RIS_AcquisitionrelatedcostsRD,0,MATCH(F196,MO_Common_ColumnHeader,0))+INDEX(z_A7FLSL0150_MO_RIS_AcquisitionrelatedcostsSGA,0,MATCH(F196,MO_Common_ColumnHeader,0)))</f>
        <v/>
      </c>
      <c r="O196" s="171" t="n"/>
      <c r="P196" s="189">
        <f>IF(ISNUMBER(N196),N196-K196,"N/A")</f>
        <v/>
      </c>
      <c r="Q196" s="190">
        <f>IFERROR(IF(ISNUMBER(N196),(N196-K196)/ABS(K196),"N/A"),"N/A")</f>
        <v/>
      </c>
      <c r="R196" s="171" t="n"/>
      <c r="S196" s="184" t="n">
        <v>44517</v>
      </c>
      <c r="T196" s="191" t="inlineStr">
        <is>
          <t>Press Release</t>
        </is>
      </c>
      <c r="U196" s="171" t="n"/>
    </row>
    <row r="197">
      <c r="A197" s="154" t="n">
        <v>197</v>
      </c>
      <c r="B197" s="181">
        <f>IF(INDEX(MO_SNA_IsHistoricalPeriod,,MATCH(F197,MO_Common_ColumnHeader,0)),"Historical","Forward")</f>
        <v/>
      </c>
      <c r="C197" s="171" t="n"/>
      <c r="D197" s="188">
        <f>INDEX(INDIRECT(E197),0,COLUMN(MO_Common_Column_A))</f>
        <v/>
      </c>
      <c r="E197" s="182" t="inlineStr">
        <is>
          <t>MO_CFSum_Capex</t>
        </is>
      </c>
      <c r="F197" s="181" t="inlineStr">
        <is>
          <t>Q4-2022</t>
        </is>
      </c>
      <c r="G197" s="181" t="n"/>
      <c r="H197" s="171" t="n"/>
      <c r="I197" s="183" t="n">
        <v>-275</v>
      </c>
      <c r="J197" s="183" t="n">
        <v>-250</v>
      </c>
      <c r="K197" s="183">
        <f>AVERAGE(I197:J197)</f>
        <v/>
      </c>
      <c r="L197" s="171" t="n"/>
      <c r="M197" s="181">
        <f>IF(INDEX(MO_SNA_IsHistoricalPeriod,,MATCH(F197,MO_Common_ColumnHeader,0)),"Actual","Estimate")</f>
        <v/>
      </c>
      <c r="N197" s="183">
        <f>IFERROR(INDEX(INDIRECT(E197),0,MATCH(F197,MO_Common_ColumnHeader,0)),"N/A")</f>
        <v/>
      </c>
      <c r="O197" s="171" t="n"/>
      <c r="P197" s="189">
        <f>IF(ISNUMBER(N197),N197-K197,"N/A")</f>
        <v/>
      </c>
      <c r="Q197" s="190">
        <f>IFERROR(IF(ISNUMBER(N197),(N197-K197)/ABS(K197),"N/A"),"N/A")</f>
        <v/>
      </c>
      <c r="R197" s="171" t="n"/>
      <c r="S197" s="184" t="n">
        <v>44517</v>
      </c>
      <c r="T197" s="191" t="inlineStr">
        <is>
          <t>CFO Commentary</t>
        </is>
      </c>
      <c r="U197" s="171" t="n"/>
    </row>
    <row r="198">
      <c r="A198" s="154" t="n">
        <v>196</v>
      </c>
      <c r="B198" s="171" t="n"/>
      <c r="C198" s="171" t="n"/>
      <c r="D198" s="168" t="n"/>
      <c r="E198" s="169" t="n"/>
      <c r="F198" s="171" t="n"/>
      <c r="G198" s="171" t="n"/>
      <c r="H198" s="171" t="n"/>
      <c r="I198" s="1013" t="n"/>
      <c r="J198" s="1013" t="n"/>
      <c r="K198" s="1013" t="n"/>
      <c r="L198" s="171" t="n"/>
      <c r="M198" s="171" t="n"/>
      <c r="N198" s="1013" t="n"/>
      <c r="O198" s="171" t="n"/>
      <c r="P198" s="172" t="n"/>
      <c r="Q198" s="134" t="n"/>
      <c r="R198" s="171" t="n"/>
      <c r="S198" s="173" t="n"/>
      <c r="T198" s="192" t="inlineStr">
        <is>
          <t>https://nvidianews.nvidia.com/news/nvidia-announces-financial-results-for-fourth-quarter-and-fiscal-2020</t>
        </is>
      </c>
      <c r="U198" s="171" t="n"/>
    </row>
    <row r="199">
      <c r="A199" s="154" t="n">
        <v>195</v>
      </c>
      <c r="B199" s="181">
        <f>IF(INDEX(MO_SNA_IsHistoricalPeriod,,MATCH(F199,MO_Common_ColumnHeader,0)),"Historical","Forward")</f>
        <v/>
      </c>
      <c r="C199" s="171" t="n"/>
      <c r="D199" s="188">
        <f>INDEX(INDIRECT(E199),0,COLUMN(MO_Common_Column_A))</f>
        <v/>
      </c>
      <c r="E199" s="182" t="inlineStr">
        <is>
          <t>MO_RIS_REV</t>
        </is>
      </c>
      <c r="F199" s="181" t="inlineStr">
        <is>
          <t>Q3-2022</t>
        </is>
      </c>
      <c r="G199" s="181" t="n"/>
      <c r="H199" s="171" t="n"/>
      <c r="I199" s="183">
        <f>6800*0.98</f>
        <v/>
      </c>
      <c r="J199" s="183">
        <f>6800*1.02</f>
        <v/>
      </c>
      <c r="K199" s="183">
        <f>AVERAGE(I199:J199)</f>
        <v/>
      </c>
      <c r="L199" s="171" t="n"/>
      <c r="M199" s="181">
        <f>IF(INDEX(MO_SNA_IsHistoricalPeriod,,MATCH(F199,MO_Common_ColumnHeader,0)),"Actual","Estimate")</f>
        <v/>
      </c>
      <c r="N199" s="183">
        <f>IFERROR(INDEX(INDIRECT(E199),0,MATCH(F199,MO_Common_ColumnHeader,0)),"N/A")</f>
        <v/>
      </c>
      <c r="O199" s="171" t="n"/>
      <c r="P199" s="189">
        <f>IF(ISNUMBER(N199),N199-K199,"N/A")</f>
        <v/>
      </c>
      <c r="Q199" s="190">
        <f>IFERROR(IF(ISNUMBER(N199),(N199-K199)/ABS(K199),"N/A"),"N/A")</f>
        <v/>
      </c>
      <c r="R199" s="171" t="n"/>
      <c r="S199" s="184" t="n">
        <v>44426</v>
      </c>
      <c r="T199" s="191" t="inlineStr">
        <is>
          <t>Press Release</t>
        </is>
      </c>
      <c r="U199" s="171" t="n"/>
    </row>
    <row r="200">
      <c r="A200" s="154" t="n">
        <v>194</v>
      </c>
      <c r="B200" s="181">
        <f>IF(INDEX(MO_SNA_IsHistoricalPeriod,,MATCH(F200,MO_Common_ColumnHeader,0)),"Historical","Forward")</f>
        <v/>
      </c>
      <c r="C200" s="171" t="n"/>
      <c r="D200" s="188">
        <f>INDEX(INDIRECT(E200),0,COLUMN(MO_Common_Column_A))</f>
        <v/>
      </c>
      <c r="E200" s="182" t="inlineStr">
        <is>
          <t>MO_MA_GM</t>
        </is>
      </c>
      <c r="F200" s="181" t="inlineStr">
        <is>
          <t>Q3-2022</t>
        </is>
      </c>
      <c r="G200" s="181" t="n"/>
      <c r="H200" s="171" t="n"/>
      <c r="I200" s="185" t="n">
        <v>0.647</v>
      </c>
      <c r="J200" s="185" t="n">
        <v>0.657</v>
      </c>
      <c r="K200" s="185">
        <f>AVERAGE(I200:J200)</f>
        <v/>
      </c>
      <c r="L200" s="171" t="n"/>
      <c r="M200" s="181">
        <f>IF(INDEX(MO_SNA_IsHistoricalPeriod,,MATCH(F200,MO_Common_ColumnHeader,0)),"Actual","Estimate")</f>
        <v/>
      </c>
      <c r="N200" s="185">
        <f>IFERROR(INDEX(INDIRECT(E200),0,MATCH(F200,MO_Common_ColumnHeader,0)),"N/A")</f>
        <v/>
      </c>
      <c r="O200" s="171" t="n"/>
      <c r="P200" s="190">
        <f>IF(ISNUMBER(N200),N200-K200,"N/A")</f>
        <v/>
      </c>
      <c r="Q200" s="190">
        <f>IFERROR(IF(ISNUMBER(N200),(N200-K200)/ABS(K200),"N/A"),"N/A")</f>
        <v/>
      </c>
      <c r="R200" s="171" t="n"/>
      <c r="S200" s="184" t="n">
        <v>44426</v>
      </c>
      <c r="T200" s="191" t="inlineStr">
        <is>
          <t>Press Release</t>
        </is>
      </c>
      <c r="U200" s="171" t="n"/>
    </row>
    <row r="201">
      <c r="A201" s="154" t="n">
        <v>193</v>
      </c>
      <c r="B201" s="181">
        <f>IF(INDEX(MO_SNA_IsHistoricalPeriod,,MATCH(F201,MO_Common_ColumnHeader,0)),"Historical","Forward")</f>
        <v/>
      </c>
      <c r="C201" s="171" t="n"/>
      <c r="D201" s="188">
        <f>INDEX(INDIRECT(E201),0,COLUMN(MO_Common_Column_A))</f>
        <v/>
      </c>
      <c r="E201" s="182" t="inlineStr">
        <is>
          <t>MO_MA_GM_NONGAAP</t>
        </is>
      </c>
      <c r="F201" s="181" t="inlineStr">
        <is>
          <t>Q3-2022</t>
        </is>
      </c>
      <c r="G201" s="181" t="n"/>
      <c r="H201" s="171" t="n"/>
      <c r="I201" s="185" t="n">
        <v>0.665</v>
      </c>
      <c r="J201" s="185" t="n">
        <v>0.675</v>
      </c>
      <c r="K201" s="185">
        <f>AVERAGE(I201:J201)</f>
        <v/>
      </c>
      <c r="L201" s="171" t="n"/>
      <c r="M201" s="181">
        <f>IF(INDEX(MO_SNA_IsHistoricalPeriod,,MATCH(F201,MO_Common_ColumnHeader,0)),"Actual","Estimate")</f>
        <v/>
      </c>
      <c r="N201" s="185">
        <f>IFERROR(INDEX(INDIRECT(E201),0,MATCH(F201,MO_Common_ColumnHeader,0)),"N/A")</f>
        <v/>
      </c>
      <c r="O201" s="171" t="n"/>
      <c r="P201" s="190">
        <f>IF(ISNUMBER(N201),N201-K201,"N/A")</f>
        <v/>
      </c>
      <c r="Q201" s="190">
        <f>IFERROR(IF(ISNUMBER(N201),(N201-K201)/ABS(K201),"N/A"),"N/A")</f>
        <v/>
      </c>
      <c r="R201" s="171" t="n"/>
      <c r="S201" s="184" t="n">
        <v>44426</v>
      </c>
      <c r="T201" s="191" t="inlineStr">
        <is>
          <t>Press Release</t>
        </is>
      </c>
      <c r="U201" s="171" t="n"/>
    </row>
    <row r="202">
      <c r="A202" s="154" t="n">
        <v>192</v>
      </c>
      <c r="B202" s="181">
        <f>IF(INDEX(MO_SNA_IsHistoricalPeriod,,MATCH(F202,MO_Common_ColumnHeader,0)),"Historical","Forward")</f>
        <v/>
      </c>
      <c r="C202" s="171" t="n"/>
      <c r="D202" s="188" t="inlineStr">
        <is>
          <t>GAAP Operating Expenses</t>
        </is>
      </c>
      <c r="E202" s="182" t="n"/>
      <c r="F202" s="181" t="inlineStr">
        <is>
          <t>Q3-2022</t>
        </is>
      </c>
      <c r="G202" s="181" t="n"/>
      <c r="H202" s="171" t="n"/>
      <c r="I202" s="183" t="n">
        <v>1960</v>
      </c>
      <c r="J202" s="183" t="n">
        <v>1960</v>
      </c>
      <c r="K202" s="183">
        <f>AVERAGE(I202:J202)</f>
        <v/>
      </c>
      <c r="L202" s="171" t="n"/>
      <c r="M202" s="181">
        <f>IF(INDEX(MO_SNA_IsHistoricalPeriod,,MATCH(F202,MO_Common_ColumnHeader,0)),"Actual","Estimate")</f>
        <v/>
      </c>
      <c r="N202" s="183">
        <f>INDEX(MO_RIS_RD,0,MATCH(F202,MO_Common_ColumnHeader,0))+INDEX(MO_RIS_SGA,0,MATCH(F202,MO_Common_ColumnHeader,0))</f>
        <v/>
      </c>
      <c r="O202" s="171" t="n"/>
      <c r="P202" s="189">
        <f>IF(ISNUMBER(N202),N202-K202,"N/A")</f>
        <v/>
      </c>
      <c r="Q202" s="190">
        <f>IFERROR(IF(ISNUMBER(N202),(N202-K202)/ABS(K202),"N/A"),"N/A")</f>
        <v/>
      </c>
      <c r="R202" s="171" t="n"/>
      <c r="S202" s="184" t="n">
        <v>44426</v>
      </c>
      <c r="T202" s="191" t="inlineStr">
        <is>
          <t>Press Release</t>
        </is>
      </c>
      <c r="U202" s="171" t="n"/>
    </row>
    <row r="203">
      <c r="A203" s="154" t="n">
        <v>191</v>
      </c>
      <c r="B203" s="181">
        <f>IF(INDEX(MO_SNA_IsHistoricalPeriod,,MATCH(F203,MO_Common_ColumnHeader,0)),"Historical","Forward")</f>
        <v/>
      </c>
      <c r="C203" s="171" t="n"/>
      <c r="D203" s="188">
        <f>INDEX(INDIRECT(E203),0,COLUMN(MO_Common_Column_A))</f>
        <v/>
      </c>
      <c r="E203" s="182" t="inlineStr">
        <is>
          <t>MO_OS_OPEX</t>
        </is>
      </c>
      <c r="F203" s="181" t="inlineStr">
        <is>
          <t>Q3-2022</t>
        </is>
      </c>
      <c r="G203" s="181" t="n"/>
      <c r="H203" s="171" t="n"/>
      <c r="I203" s="183" t="n">
        <v>1370</v>
      </c>
      <c r="J203" s="183" t="n">
        <v>1370</v>
      </c>
      <c r="K203" s="183">
        <f>AVERAGE(I203:J203)</f>
        <v/>
      </c>
      <c r="L203" s="171" t="n"/>
      <c r="M203" s="181">
        <f>IF(INDEX(MO_SNA_IsHistoricalPeriod,,MATCH(F203,MO_Common_ColumnHeader,0)),"Actual","Estimate")</f>
        <v/>
      </c>
      <c r="N203" s="183">
        <f>IFERROR(INDEX(INDIRECT(E203),0,MATCH(F203,MO_Common_ColumnHeader,0)),"N/A")</f>
        <v/>
      </c>
      <c r="O203" s="171" t="n"/>
      <c r="P203" s="189">
        <f>IF(ISNUMBER(N203),N203-K203,"N/A")</f>
        <v/>
      </c>
      <c r="Q203" s="190">
        <f>IFERROR(IF(ISNUMBER(N203),(N203-K203)/ABS(K203),"N/A"),"N/A")</f>
        <v/>
      </c>
      <c r="R203" s="171" t="n"/>
      <c r="S203" s="184" t="n">
        <v>44426</v>
      </c>
      <c r="T203" s="191" t="inlineStr">
        <is>
          <t>Press Release</t>
        </is>
      </c>
      <c r="U203" s="171" t="n"/>
    </row>
    <row r="204">
      <c r="A204" s="154" t="n">
        <v>190</v>
      </c>
      <c r="B204" s="181">
        <f>IF(INDEX(MO_SNA_IsHistoricalPeriod,,MATCH(F204,MO_Common_ColumnHeader,0)),"Historical","Forward")</f>
        <v/>
      </c>
      <c r="C204" s="171" t="n"/>
      <c r="D204" s="188" t="inlineStr">
        <is>
          <t>GAAP Other Income</t>
        </is>
      </c>
      <c r="E204" s="182" t="n"/>
      <c r="F204" s="181" t="inlineStr">
        <is>
          <t>Q3-2022</t>
        </is>
      </c>
      <c r="G204" s="181" t="n"/>
      <c r="H204" s="171" t="n"/>
      <c r="I204" s="183" t="n">
        <v>60</v>
      </c>
      <c r="J204" s="183" t="n">
        <v>60</v>
      </c>
      <c r="K204" s="183">
        <f>AVERAGE(I204:J204)</f>
        <v/>
      </c>
      <c r="L204" s="171" t="n"/>
      <c r="M204" s="181">
        <f>IF(INDEX(MO_SNA_IsHistoricalPeriod,,MATCH(F204,MO_Common_ColumnHeader,0)),"Actual","Estimate")</f>
        <v/>
      </c>
      <c r="N204" s="183">
        <f>IFERROR(INDEX(INDIRECT(E204),0,MATCH(F204,MO_Common_ColumnHeader,0)),"N/A")</f>
        <v/>
      </c>
      <c r="O204" s="171" t="n"/>
      <c r="P204" s="189">
        <f>IF(ISNUMBER(N204),N204-K204,"N/A")</f>
        <v/>
      </c>
      <c r="Q204" s="190">
        <f>IFERROR(IF(ISNUMBER(N204),(N204-K204)/ABS(K204),"N/A"),"N/A")</f>
        <v/>
      </c>
      <c r="R204" s="171" t="n"/>
      <c r="S204" s="184" t="n">
        <v>44426</v>
      </c>
      <c r="T204" s="191" t="inlineStr">
        <is>
          <t>Press Release</t>
        </is>
      </c>
      <c r="U204" s="171" t="n"/>
    </row>
    <row r="205">
      <c r="A205" s="154" t="n">
        <v>189</v>
      </c>
      <c r="B205" s="181">
        <f>IF(INDEX(MO_SNA_IsHistoricalPeriod,,MATCH(F205,MO_Common_ColumnHeader,0)),"Historical","Forward")</f>
        <v/>
      </c>
      <c r="C205" s="171" t="n"/>
      <c r="D205" s="188" t="inlineStr">
        <is>
          <t>Non-GAAP Other Income</t>
        </is>
      </c>
      <c r="E205" s="182" t="n"/>
      <c r="F205" s="181" t="inlineStr">
        <is>
          <t>Q3-2022</t>
        </is>
      </c>
      <c r="G205" s="181" t="n"/>
      <c r="H205" s="171" t="n"/>
      <c r="I205" s="183" t="n">
        <v>60</v>
      </c>
      <c r="J205" s="183" t="n">
        <v>60</v>
      </c>
      <c r="K205" s="183">
        <f>AVERAGE(I205:J205)</f>
        <v/>
      </c>
      <c r="L205" s="171" t="n"/>
      <c r="M205" s="181">
        <f>IF(INDEX(MO_SNA_IsHistoricalPeriod,,MATCH(F205,MO_Common_ColumnHeader,0)),"Actual","Estimate")</f>
        <v/>
      </c>
      <c r="N205" s="183">
        <f>INDEX(MO_RIS_IE_Net_NONGAAP,0,MATCH(F205,MO_Common_ColumnHeader,0))+INDEX(MO_RIS_OI_NONGAAP,0,MATCH(F205,MO_Common_ColumnHeader,0))</f>
        <v/>
      </c>
      <c r="O205" s="171" t="n"/>
      <c r="P205" s="189">
        <f>IF(ISNUMBER(N205),N205-K205,"N/A")</f>
        <v/>
      </c>
      <c r="Q205" s="190">
        <f>IFERROR(IF(ISNUMBER(N205),(N205-K205)/ABS(K205),"N/A"),"N/A")</f>
        <v/>
      </c>
      <c r="R205" s="171" t="n"/>
      <c r="S205" s="184" t="n">
        <v>44426</v>
      </c>
      <c r="T205" s="191" t="inlineStr">
        <is>
          <t>Press Release</t>
        </is>
      </c>
      <c r="U205" s="171" t="n"/>
    </row>
    <row r="206">
      <c r="A206" s="154" t="n">
        <v>188</v>
      </c>
      <c r="B206" s="181">
        <f>IF(INDEX(MO_SNA_IsHistoricalPeriod,,MATCH(F206,MO_Common_ColumnHeader,0)),"Historical","Forward")</f>
        <v/>
      </c>
      <c r="C206" s="171" t="n"/>
      <c r="D206" s="188" t="inlineStr">
        <is>
          <t>GAAP Tax Rate</t>
        </is>
      </c>
      <c r="E206" s="182" t="inlineStr">
        <is>
          <t>MO_RIS_TaxRate</t>
        </is>
      </c>
      <c r="F206" s="181" t="inlineStr">
        <is>
          <t>Q3-2022</t>
        </is>
      </c>
      <c r="G206" s="181" t="n"/>
      <c r="H206" s="171" t="n"/>
      <c r="I206" s="185" t="n">
        <v>0.1</v>
      </c>
      <c r="J206" s="185" t="n">
        <v>0.12</v>
      </c>
      <c r="K206" s="185">
        <f>AVERAGE(I206:J206)</f>
        <v/>
      </c>
      <c r="L206" s="171" t="n"/>
      <c r="M206" s="181">
        <f>IF(INDEX(MO_SNA_IsHistoricalPeriod,,MATCH(F206,MO_Common_ColumnHeader,0)),"Actual","Estimate")</f>
        <v/>
      </c>
      <c r="N206" s="185">
        <f>IFERROR(INDEX(INDIRECT(E206),0,MATCH(F206,MO_Common_ColumnHeader,0)),"N/A")</f>
        <v/>
      </c>
      <c r="O206" s="171" t="n"/>
      <c r="P206" s="190">
        <f>IF(ISNUMBER(N206),N206-K206,"N/A")</f>
        <v/>
      </c>
      <c r="Q206" s="190">
        <f>IFERROR(IF(ISNUMBER(N206),(N206-K206)/ABS(K206),"N/A"),"N/A")</f>
        <v/>
      </c>
      <c r="R206" s="171" t="n"/>
      <c r="S206" s="184" t="n">
        <v>44426</v>
      </c>
      <c r="T206" s="191" t="inlineStr">
        <is>
          <t>Press Release</t>
        </is>
      </c>
      <c r="U206" s="171" t="n"/>
    </row>
    <row r="207">
      <c r="A207" s="154" t="n">
        <v>187</v>
      </c>
      <c r="B207" s="181">
        <f>IF(INDEX(MO_SNA_IsHistoricalPeriod,,MATCH(F207,MO_Common_ColumnHeader,0)),"Historical","Forward")</f>
        <v/>
      </c>
      <c r="C207" s="171" t="n"/>
      <c r="D207" s="188">
        <f>INDEX(INDIRECT(E207),0,COLUMN(MO_Common_Column_A))</f>
        <v/>
      </c>
      <c r="E207" s="182" t="inlineStr">
        <is>
          <t>MO_RIS_TaxRate_NONGAAP</t>
        </is>
      </c>
      <c r="F207" s="181" t="inlineStr">
        <is>
          <t>Q3-2022</t>
        </is>
      </c>
      <c r="G207" s="181" t="n"/>
      <c r="H207" s="171" t="n"/>
      <c r="I207" s="185" t="n">
        <v>0.1</v>
      </c>
      <c r="J207" s="185" t="n">
        <v>0.12</v>
      </c>
      <c r="K207" s="185">
        <f>AVERAGE(I207:J207)</f>
        <v/>
      </c>
      <c r="L207" s="171" t="n"/>
      <c r="M207" s="181">
        <f>IF(INDEX(MO_SNA_IsHistoricalPeriod,,MATCH(F207,MO_Common_ColumnHeader,0)),"Actual","Estimate")</f>
        <v/>
      </c>
      <c r="N207" s="185">
        <f>IFERROR(INDEX(INDIRECT(E207),0,MATCH(F207,MO_Common_ColumnHeader,0)),"N/A")</f>
        <v/>
      </c>
      <c r="O207" s="171" t="n"/>
      <c r="P207" s="190">
        <f>IF(ISNUMBER(N207),N207-K207,"N/A")</f>
        <v/>
      </c>
      <c r="Q207" s="190">
        <f>IFERROR(IF(ISNUMBER(N207),(N207-K207)/ABS(K207),"N/A"),"N/A")</f>
        <v/>
      </c>
      <c r="R207" s="171" t="n"/>
      <c r="S207" s="184" t="n">
        <v>44426</v>
      </c>
      <c r="T207" s="191" t="inlineStr">
        <is>
          <t>Press Release</t>
        </is>
      </c>
      <c r="U207" s="171" t="n"/>
    </row>
    <row r="208">
      <c r="A208" s="154" t="n">
        <v>186</v>
      </c>
      <c r="B208" s="181">
        <f>IF(INDEX(MO_SNA_IsHistoricalPeriod,,MATCH(F208,MO_Common_ColumnHeader,0)),"Historical","Forward")</f>
        <v/>
      </c>
      <c r="C208" s="171" t="n"/>
      <c r="D208" s="188" t="inlineStr">
        <is>
          <t>SBC and other Non-GAAP COGS Adjustments as % of revenue</t>
        </is>
      </c>
      <c r="E208" s="182" t="n"/>
      <c r="F208" s="181" t="inlineStr">
        <is>
          <t>Q3-2022</t>
        </is>
      </c>
      <c r="G208" s="181" t="n"/>
      <c r="H208" s="171" t="n"/>
      <c r="I208" s="185" t="n">
        <v>-0.018</v>
      </c>
      <c r="J208" s="185" t="n">
        <v>-0.018</v>
      </c>
      <c r="K208" s="185">
        <f>AVERAGE(I208:J208)</f>
        <v/>
      </c>
      <c r="L208" s="171" t="n"/>
      <c r="M208" s="181">
        <f>IF(INDEX(MO_SNA_IsHistoricalPeriod,,MATCH(F208,MO_Common_ColumnHeader,0)),"Actual","Estimate")</f>
        <v/>
      </c>
      <c r="N208" s="185">
        <f>(INDEX(MO_RIS_SBC_COGS,0,MATCH(F208,MO_Common_ColumnHeader,0))+INDEX(z_A7FLSL0150_MO_RIS_AcquisitionrelatedcostsCOGS,0,MATCH(F208,MO_Common_ColumnHeader,0))+INDEX(MO_RIS_COGS_Adjustments,0,MATCH(F208,MO_Common_ColumnHeader,0)))/INDEX(MO_RIS_REV,0,MATCH(F208,MO_Common_ColumnHeader,0))</f>
        <v/>
      </c>
      <c r="O208" s="171" t="n"/>
      <c r="P208" s="190">
        <f>IF(ISNUMBER(N208),N208-K208,"N/A")</f>
        <v/>
      </c>
      <c r="Q208" s="190">
        <f>IFERROR(IF(ISNUMBER(N208),(N208-K208)/ABS(K208),"N/A"),"N/A")</f>
        <v/>
      </c>
      <c r="R208" s="171" t="n"/>
      <c r="S208" s="184" t="n">
        <v>44426</v>
      </c>
      <c r="T208" s="191" t="inlineStr">
        <is>
          <t>Press Release</t>
        </is>
      </c>
      <c r="U208" s="171" t="n"/>
    </row>
    <row r="209">
      <c r="A209" s="154" t="n">
        <v>185</v>
      </c>
      <c r="B209" s="181">
        <f>IF(INDEX(MO_SNA_IsHistoricalPeriod,,MATCH(F209,MO_Common_ColumnHeader,0)),"Historical","Forward")</f>
        <v/>
      </c>
      <c r="C209" s="171" t="n"/>
      <c r="D209" s="188" t="inlineStr">
        <is>
          <t>SBC, acquisition related costs and other costs (adjustments for Non-GAAP operating expenses)</t>
        </is>
      </c>
      <c r="E209" s="182" t="n"/>
      <c r="F209" s="181" t="inlineStr">
        <is>
          <t>Q3-2022</t>
        </is>
      </c>
      <c r="G209" s="181" t="n"/>
      <c r="H209" s="171" t="n"/>
      <c r="I209" s="183" t="n">
        <v>-590</v>
      </c>
      <c r="J209" s="183" t="n">
        <v>-590</v>
      </c>
      <c r="K209" s="183">
        <f>AVERAGE(I209:J209)</f>
        <v/>
      </c>
      <c r="L209" s="171" t="n"/>
      <c r="M209" s="181">
        <f>IF(INDEX(MO_SNA_IsHistoricalPeriod,,MATCH(F209,MO_Common_ColumnHeader,0)),"Actual","Estimate")</f>
        <v/>
      </c>
      <c r="N209" s="183">
        <f>-(-INDEX(MO_RIS_OtherOperating_NONGAAP,0,MATCH(F209,MO_Common_ColumnHeader,0))+INDEX(z_A7FLSL0150_MO_RIS_SBC_2,0,MATCH(F209,MO_Common_ColumnHeader,0))+INDEX(z_A7FLSL0150_MO_RIS_sbc_1,0,MATCH(F209,MO_Common_ColumnHeader,0))+INDEX(z_A7FLSL0150_MO_RIS_AcquisitionrelatedcostsRD,0,MATCH(F209,MO_Common_ColumnHeader,0))+INDEX(z_A7FLSL0150_MO_RIS_AcquisitionrelatedcostsSGA,0,MATCH(F209,MO_Common_ColumnHeader,0)))</f>
        <v/>
      </c>
      <c r="O209" s="171" t="n"/>
      <c r="P209" s="189">
        <f>IF(ISNUMBER(N209),N209-K209,"N/A")</f>
        <v/>
      </c>
      <c r="Q209" s="190">
        <f>IFERROR(IF(ISNUMBER(N209),(N209-K209)/ABS(K209),"N/A"),"N/A")</f>
        <v/>
      </c>
      <c r="R209" s="171" t="n"/>
      <c r="S209" s="184" t="n">
        <v>44426</v>
      </c>
      <c r="T209" s="191" t="inlineStr">
        <is>
          <t>Press Release</t>
        </is>
      </c>
      <c r="U209" s="171" t="n"/>
    </row>
    <row r="210">
      <c r="A210" s="154" t="n">
        <v>184</v>
      </c>
      <c r="B210" s="181">
        <f>IF(INDEX(MO_SNA_IsHistoricalPeriod,,MATCH(F210,MO_Common_ColumnHeader,0)),"Historical","Forward")</f>
        <v/>
      </c>
      <c r="C210" s="171" t="n"/>
      <c r="D210" s="188">
        <f>INDEX(INDIRECT(E210),0,COLUMN(MO_Common_Column_A))</f>
        <v/>
      </c>
      <c r="E210" s="182" t="inlineStr">
        <is>
          <t>MO_CFSum_Capex</t>
        </is>
      </c>
      <c r="F210" s="181" t="inlineStr">
        <is>
          <t>Q3-2022</t>
        </is>
      </c>
      <c r="G210" s="181" t="n"/>
      <c r="H210" s="171" t="n"/>
      <c r="I210" s="183" t="n">
        <v>-200</v>
      </c>
      <c r="J210" s="183" t="n">
        <v>-225</v>
      </c>
      <c r="K210" s="183">
        <f>AVERAGE(I210:J210)</f>
        <v/>
      </c>
      <c r="L210" s="171" t="n"/>
      <c r="M210" s="181">
        <f>IF(INDEX(MO_SNA_IsHistoricalPeriod,,MATCH(F210,MO_Common_ColumnHeader,0)),"Actual","Estimate")</f>
        <v/>
      </c>
      <c r="N210" s="183">
        <f>IFERROR(INDEX(INDIRECT(E210),0,MATCH(F210,MO_Common_ColumnHeader,0)),"N/A")</f>
        <v/>
      </c>
      <c r="O210" s="171" t="n"/>
      <c r="P210" s="189">
        <f>IF(ISNUMBER(N210),N210-K210,"N/A")</f>
        <v/>
      </c>
      <c r="Q210" s="190">
        <f>IFERROR(IF(ISNUMBER(N210),(N210-K210)/ABS(K210),"N/A"),"N/A")</f>
        <v/>
      </c>
      <c r="R210" s="171" t="n"/>
      <c r="S210" s="184" t="n">
        <v>44426</v>
      </c>
      <c r="T210" s="191" t="inlineStr">
        <is>
          <t>CFO Commentary</t>
        </is>
      </c>
      <c r="U210" s="171" t="n"/>
    </row>
    <row r="211">
      <c r="A211" s="154" t="n">
        <v>183</v>
      </c>
      <c r="B211" s="171" t="n"/>
      <c r="C211" s="171" t="n"/>
      <c r="D211" s="168" t="n"/>
      <c r="E211" s="169" t="n"/>
      <c r="F211" s="171" t="n"/>
      <c r="G211" s="171" t="n"/>
      <c r="H211" s="171" t="n"/>
      <c r="I211" s="1013" t="n"/>
      <c r="J211" s="1013" t="n"/>
      <c r="K211" s="1013" t="n"/>
      <c r="L211" s="171" t="n"/>
      <c r="M211" s="171" t="n"/>
      <c r="N211" s="1013" t="n"/>
      <c r="O211" s="171" t="n"/>
      <c r="P211" s="172" t="n"/>
      <c r="Q211" s="134" t="n"/>
      <c r="R211" s="171" t="n"/>
      <c r="S211" s="173" t="n"/>
      <c r="T211" s="192" t="inlineStr">
        <is>
          <t>https://nvidianews.nvidia.com/news/nvidia-announces-financial-results-for-fourth-quarter-and-fiscal-2020</t>
        </is>
      </c>
      <c r="U211" s="171" t="n"/>
    </row>
    <row r="212">
      <c r="A212" s="154" t="n">
        <v>182</v>
      </c>
      <c r="B212" s="181">
        <f>IF(INDEX(MO_SNA_IsHistoricalPeriod,,MATCH(F212,MO_Common_ColumnHeader,0)),"Historical","Forward")</f>
        <v/>
      </c>
      <c r="C212" s="171" t="n"/>
      <c r="D212" s="188">
        <f>INDEX(INDIRECT(E212),0,COLUMN(MO_Common_Column_A))</f>
        <v/>
      </c>
      <c r="E212" s="182" t="inlineStr">
        <is>
          <t>MO_RIS_REV</t>
        </is>
      </c>
      <c r="F212" s="181" t="inlineStr">
        <is>
          <t>Q2-2022</t>
        </is>
      </c>
      <c r="G212" s="181" t="n"/>
      <c r="H212" s="171" t="n"/>
      <c r="I212" s="183">
        <f>6300*0.98</f>
        <v/>
      </c>
      <c r="J212" s="183">
        <f>6300*1.02</f>
        <v/>
      </c>
      <c r="K212" s="183">
        <f>AVERAGE(I212:J212)</f>
        <v/>
      </c>
      <c r="L212" s="171" t="n"/>
      <c r="M212" s="181">
        <f>IF(INDEX(MO_SNA_IsHistoricalPeriod,,MATCH(F212,MO_Common_ColumnHeader,0)),"Actual","Estimate")</f>
        <v/>
      </c>
      <c r="N212" s="183">
        <f>IFERROR(INDEX(INDIRECT(E212),0,MATCH(F212,MO_Common_ColumnHeader,0)),"N/A")</f>
        <v/>
      </c>
      <c r="O212" s="171" t="n"/>
      <c r="P212" s="189">
        <f>IF(ISNUMBER(N212),N212-K212,"N/A")</f>
        <v/>
      </c>
      <c r="Q212" s="190">
        <f>IFERROR(IF(ISNUMBER(N212),(N212-K212)/ABS(K212),"N/A"),"N/A")</f>
        <v/>
      </c>
      <c r="R212" s="171" t="n"/>
      <c r="S212" s="184" t="n">
        <v>44342</v>
      </c>
      <c r="T212" s="191" t="inlineStr">
        <is>
          <t>Press Release</t>
        </is>
      </c>
      <c r="U212" s="171" t="n"/>
    </row>
    <row r="213">
      <c r="A213" s="154" t="n">
        <v>181</v>
      </c>
      <c r="B213" s="181">
        <f>IF(INDEX(MO_SNA_IsHistoricalPeriod,,MATCH(F213,MO_Common_ColumnHeader,0)),"Historical","Forward")</f>
        <v/>
      </c>
      <c r="C213" s="171" t="n"/>
      <c r="D213" s="188">
        <f>INDEX(INDIRECT(E213),0,COLUMN(MO_Common_Column_A))</f>
        <v/>
      </c>
      <c r="E213" s="182" t="inlineStr">
        <is>
          <t>MO_MA_GM</t>
        </is>
      </c>
      <c r="F213" s="181" t="inlineStr">
        <is>
          <t>Q2-2022</t>
        </is>
      </c>
      <c r="G213" s="181" t="n"/>
      <c r="H213" s="171" t="n"/>
      <c r="I213" s="185" t="n">
        <v>0.641</v>
      </c>
      <c r="J213" s="185" t="n">
        <v>0.651</v>
      </c>
      <c r="K213" s="185">
        <f>AVERAGE(I213:J213)</f>
        <v/>
      </c>
      <c r="L213" s="171" t="n"/>
      <c r="M213" s="181">
        <f>IF(INDEX(MO_SNA_IsHistoricalPeriod,,MATCH(F213,MO_Common_ColumnHeader,0)),"Actual","Estimate")</f>
        <v/>
      </c>
      <c r="N213" s="185">
        <f>IFERROR(INDEX(INDIRECT(E213),0,MATCH(F213,MO_Common_ColumnHeader,0)),"N/A")</f>
        <v/>
      </c>
      <c r="O213" s="171" t="n"/>
      <c r="P213" s="190">
        <f>IF(ISNUMBER(N213),N213-K213,"N/A")</f>
        <v/>
      </c>
      <c r="Q213" s="190">
        <f>IFERROR(IF(ISNUMBER(N213),(N213-K213)/ABS(K213),"N/A"),"N/A")</f>
        <v/>
      </c>
      <c r="R213" s="171" t="n"/>
      <c r="S213" s="184" t="n">
        <v>44342</v>
      </c>
      <c r="T213" s="191" t="inlineStr">
        <is>
          <t>Press Release</t>
        </is>
      </c>
      <c r="U213" s="171" t="n"/>
    </row>
    <row r="214">
      <c r="A214" s="154" t="n">
        <v>180</v>
      </c>
      <c r="B214" s="181">
        <f>IF(INDEX(MO_SNA_IsHistoricalPeriod,,MATCH(F214,MO_Common_ColumnHeader,0)),"Historical","Forward")</f>
        <v/>
      </c>
      <c r="C214" s="171" t="n"/>
      <c r="D214" s="188">
        <f>INDEX(INDIRECT(E214),0,COLUMN(MO_Common_Column_A))</f>
        <v/>
      </c>
      <c r="E214" s="182" t="inlineStr">
        <is>
          <t>MO_MA_GM_NONGAAP</t>
        </is>
      </c>
      <c r="F214" s="181" t="inlineStr">
        <is>
          <t>Q2-2022</t>
        </is>
      </c>
      <c r="G214" s="181" t="n"/>
      <c r="H214" s="171" t="n"/>
      <c r="I214" s="185" t="n">
        <v>0.66</v>
      </c>
      <c r="J214" s="185" t="n">
        <v>0.67</v>
      </c>
      <c r="K214" s="185">
        <f>AVERAGE(I214:J214)</f>
        <v/>
      </c>
      <c r="L214" s="171" t="n"/>
      <c r="M214" s="181">
        <f>IF(INDEX(MO_SNA_IsHistoricalPeriod,,MATCH(F214,MO_Common_ColumnHeader,0)),"Actual","Estimate")</f>
        <v/>
      </c>
      <c r="N214" s="185">
        <f>IFERROR(INDEX(INDIRECT(E214),0,MATCH(F214,MO_Common_ColumnHeader,0)),"N/A")</f>
        <v/>
      </c>
      <c r="O214" s="171" t="n"/>
      <c r="P214" s="190">
        <f>IF(ISNUMBER(N214),N214-K214,"N/A")</f>
        <v/>
      </c>
      <c r="Q214" s="190">
        <f>IFERROR(IF(ISNUMBER(N214),(N214-K214)/ABS(K214),"N/A"),"N/A")</f>
        <v/>
      </c>
      <c r="R214" s="171" t="n"/>
      <c r="S214" s="184" t="n">
        <v>44342</v>
      </c>
      <c r="T214" s="191" t="inlineStr">
        <is>
          <t>Press Release</t>
        </is>
      </c>
      <c r="U214" s="171" t="n"/>
    </row>
    <row r="215">
      <c r="A215" s="154" t="n">
        <v>179</v>
      </c>
      <c r="B215" s="181">
        <f>IF(INDEX(MO_SNA_IsHistoricalPeriod,,MATCH(F215,MO_Common_ColumnHeader,0)),"Historical","Forward")</f>
        <v/>
      </c>
      <c r="C215" s="171" t="n"/>
      <c r="D215" s="188" t="inlineStr">
        <is>
          <t>GAAP Operating Expenses</t>
        </is>
      </c>
      <c r="E215" s="182" t="n"/>
      <c r="F215" s="181" t="inlineStr">
        <is>
          <t>Q2-2022</t>
        </is>
      </c>
      <c r="G215" s="181" t="n"/>
      <c r="H215" s="171" t="n"/>
      <c r="I215" s="183" t="n">
        <v>1760</v>
      </c>
      <c r="J215" s="183" t="n">
        <v>1760</v>
      </c>
      <c r="K215" s="183">
        <f>AVERAGE(I215:J215)</f>
        <v/>
      </c>
      <c r="L215" s="171" t="n"/>
      <c r="M215" s="181">
        <f>IF(INDEX(MO_SNA_IsHistoricalPeriod,,MATCH(F215,MO_Common_ColumnHeader,0)),"Actual","Estimate")</f>
        <v/>
      </c>
      <c r="N215" s="183">
        <f>INDEX(MO_RIS_RD,0,MATCH(F215,MO_Common_ColumnHeader,0))+INDEX(MO_RIS_SGA,0,MATCH(F215,MO_Common_ColumnHeader,0))</f>
        <v/>
      </c>
      <c r="O215" s="171" t="n"/>
      <c r="P215" s="189">
        <f>IF(ISNUMBER(N215),N215-K215,"N/A")</f>
        <v/>
      </c>
      <c r="Q215" s="190">
        <f>IFERROR(IF(ISNUMBER(N215),(N215-K215)/ABS(K215),"N/A"),"N/A")</f>
        <v/>
      </c>
      <c r="R215" s="171" t="n"/>
      <c r="S215" s="184" t="n">
        <v>44342</v>
      </c>
      <c r="T215" s="191" t="inlineStr">
        <is>
          <t>Press Release</t>
        </is>
      </c>
      <c r="U215" s="171" t="n"/>
    </row>
    <row r="216">
      <c r="A216" s="154" t="n">
        <v>178</v>
      </c>
      <c r="B216" s="181">
        <f>IF(INDEX(MO_SNA_IsHistoricalPeriod,,MATCH(F216,MO_Common_ColumnHeader,0)),"Historical","Forward")</f>
        <v/>
      </c>
      <c r="C216" s="171" t="n"/>
      <c r="D216" s="188">
        <f>INDEX(INDIRECT(E216),0,COLUMN(MO_Common_Column_A))</f>
        <v/>
      </c>
      <c r="E216" s="182" t="inlineStr">
        <is>
          <t>MO_OS_OPEX</t>
        </is>
      </c>
      <c r="F216" s="181" t="inlineStr">
        <is>
          <t>Q2-2022</t>
        </is>
      </c>
      <c r="G216" s="181" t="n"/>
      <c r="H216" s="171" t="n"/>
      <c r="I216" s="183" t="n">
        <v>1260</v>
      </c>
      <c r="J216" s="183" t="n">
        <v>1260</v>
      </c>
      <c r="K216" s="183">
        <f>AVERAGE(I216:J216)</f>
        <v/>
      </c>
      <c r="L216" s="171" t="n"/>
      <c r="M216" s="181">
        <f>IF(INDEX(MO_SNA_IsHistoricalPeriod,,MATCH(F216,MO_Common_ColumnHeader,0)),"Actual","Estimate")</f>
        <v/>
      </c>
      <c r="N216" s="183">
        <f>IFERROR(INDEX(INDIRECT(E216),0,MATCH(F216,MO_Common_ColumnHeader,0)),"N/A")</f>
        <v/>
      </c>
      <c r="O216" s="171" t="n"/>
      <c r="P216" s="189">
        <f>IF(ISNUMBER(N216),N216-K216,"N/A")</f>
        <v/>
      </c>
      <c r="Q216" s="190">
        <f>IFERROR(IF(ISNUMBER(N216),(N216-K216)/ABS(K216),"N/A"),"N/A")</f>
        <v/>
      </c>
      <c r="R216" s="171" t="n"/>
      <c r="S216" s="184" t="n">
        <v>44342</v>
      </c>
      <c r="T216" s="191" t="inlineStr">
        <is>
          <t>Press Release</t>
        </is>
      </c>
      <c r="U216" s="171" t="n"/>
    </row>
    <row r="217">
      <c r="A217" s="154" t="n">
        <v>177</v>
      </c>
      <c r="B217" s="181">
        <f>IF(INDEX(MO_SNA_IsHistoricalPeriod,,MATCH(F217,MO_Common_ColumnHeader,0)),"Historical","Forward")</f>
        <v/>
      </c>
      <c r="C217" s="171" t="n"/>
      <c r="D217" s="188" t="inlineStr">
        <is>
          <t>GAAP Other Income</t>
        </is>
      </c>
      <c r="E217" s="182" t="n"/>
      <c r="F217" s="181" t="inlineStr">
        <is>
          <t>Q2-2022</t>
        </is>
      </c>
      <c r="G217" s="181" t="n"/>
      <c r="H217" s="171" t="n"/>
      <c r="I217" s="183" t="n">
        <v>50</v>
      </c>
      <c r="J217" s="183" t="n">
        <v>50</v>
      </c>
      <c r="K217" s="183">
        <f>AVERAGE(I217:J217)</f>
        <v/>
      </c>
      <c r="L217" s="171" t="n"/>
      <c r="M217" s="181">
        <f>IF(INDEX(MO_SNA_IsHistoricalPeriod,,MATCH(F217,MO_Common_ColumnHeader,0)),"Actual","Estimate")</f>
        <v/>
      </c>
      <c r="N217" s="183">
        <f>IFERROR(INDEX(INDIRECT(E217),0,MATCH(F217,MO_Common_ColumnHeader,0)),"N/A")</f>
        <v/>
      </c>
      <c r="O217" s="171" t="n"/>
      <c r="P217" s="189">
        <f>IF(ISNUMBER(N217),N217-K217,"N/A")</f>
        <v/>
      </c>
      <c r="Q217" s="190">
        <f>IFERROR(IF(ISNUMBER(N217),(N217-K217)/ABS(K217),"N/A"),"N/A")</f>
        <v/>
      </c>
      <c r="R217" s="171" t="n"/>
      <c r="S217" s="184" t="n">
        <v>44342</v>
      </c>
      <c r="T217" s="191" t="inlineStr">
        <is>
          <t>Press Release</t>
        </is>
      </c>
      <c r="U217" s="171" t="n"/>
    </row>
    <row r="218">
      <c r="A218" s="154" t="n">
        <v>176</v>
      </c>
      <c r="B218" s="181">
        <f>IF(INDEX(MO_SNA_IsHistoricalPeriod,,MATCH(F218,MO_Common_ColumnHeader,0)),"Historical","Forward")</f>
        <v/>
      </c>
      <c r="C218" s="171" t="n"/>
      <c r="D218" s="188" t="inlineStr">
        <is>
          <t>Non-GAAP Other Income</t>
        </is>
      </c>
      <c r="E218" s="182" t="n"/>
      <c r="F218" s="181" t="inlineStr">
        <is>
          <t>Q2-2022</t>
        </is>
      </c>
      <c r="G218" s="181" t="n"/>
      <c r="H218" s="171" t="n"/>
      <c r="I218" s="183" t="n">
        <v>50</v>
      </c>
      <c r="J218" s="183" t="n">
        <v>50</v>
      </c>
      <c r="K218" s="183">
        <f>AVERAGE(I218:J218)</f>
        <v/>
      </c>
      <c r="L218" s="171" t="n"/>
      <c r="M218" s="181">
        <f>IF(INDEX(MO_SNA_IsHistoricalPeriod,,MATCH(F218,MO_Common_ColumnHeader,0)),"Actual","Estimate")</f>
        <v/>
      </c>
      <c r="N218" s="183">
        <f>INDEX(MO_RIS_IE_Net_NONGAAP,0,MATCH(F218,MO_Common_ColumnHeader,0))+INDEX(MO_RIS_OI_NONGAAP,0,MATCH(F218,MO_Common_ColumnHeader,0))</f>
        <v/>
      </c>
      <c r="O218" s="171" t="n"/>
      <c r="P218" s="189">
        <f>IF(ISNUMBER(N218),N218-K218,"N/A")</f>
        <v/>
      </c>
      <c r="Q218" s="190">
        <f>IFERROR(IF(ISNUMBER(N218),(N218-K218)/ABS(K218),"N/A"),"N/A")</f>
        <v/>
      </c>
      <c r="R218" s="171" t="n"/>
      <c r="S218" s="184" t="n">
        <v>44342</v>
      </c>
      <c r="T218" s="191" t="inlineStr">
        <is>
          <t>Press Release</t>
        </is>
      </c>
      <c r="U218" s="171" t="n"/>
    </row>
    <row r="219">
      <c r="A219" s="154" t="n">
        <v>175</v>
      </c>
      <c r="B219" s="181">
        <f>IF(INDEX(MO_SNA_IsHistoricalPeriod,,MATCH(F219,MO_Common_ColumnHeader,0)),"Historical","Forward")</f>
        <v/>
      </c>
      <c r="C219" s="171" t="n"/>
      <c r="D219" s="188" t="inlineStr">
        <is>
          <t>GAAP Tax Rate</t>
        </is>
      </c>
      <c r="E219" s="182" t="inlineStr">
        <is>
          <t>MO_RIS_TaxRate</t>
        </is>
      </c>
      <c r="F219" s="181" t="inlineStr">
        <is>
          <t>Q2-2022</t>
        </is>
      </c>
      <c r="G219" s="181" t="n"/>
      <c r="H219" s="171" t="n"/>
      <c r="I219" s="185" t="n">
        <v>0.09</v>
      </c>
      <c r="J219" s="185" t="n">
        <v>0.11</v>
      </c>
      <c r="K219" s="185">
        <f>AVERAGE(I219:J219)</f>
        <v/>
      </c>
      <c r="L219" s="171" t="n"/>
      <c r="M219" s="181">
        <f>IF(INDEX(MO_SNA_IsHistoricalPeriod,,MATCH(F219,MO_Common_ColumnHeader,0)),"Actual","Estimate")</f>
        <v/>
      </c>
      <c r="N219" s="185">
        <f>IFERROR(INDEX(INDIRECT(E219),0,MATCH(F219,MO_Common_ColumnHeader,0)),"N/A")</f>
        <v/>
      </c>
      <c r="O219" s="171" t="n"/>
      <c r="P219" s="190">
        <f>IF(ISNUMBER(N219),N219-K219,"N/A")</f>
        <v/>
      </c>
      <c r="Q219" s="190">
        <f>IFERROR(IF(ISNUMBER(N219),(N219-K219)/ABS(K219),"N/A"),"N/A")</f>
        <v/>
      </c>
      <c r="R219" s="171" t="n"/>
      <c r="S219" s="184" t="n">
        <v>44342</v>
      </c>
      <c r="T219" s="191" t="inlineStr">
        <is>
          <t>Press Release</t>
        </is>
      </c>
      <c r="U219" s="171" t="n"/>
    </row>
    <row r="220">
      <c r="A220" s="154" t="n">
        <v>174</v>
      </c>
      <c r="B220" s="181">
        <f>IF(INDEX(MO_SNA_IsHistoricalPeriod,,MATCH(F220,MO_Common_ColumnHeader,0)),"Historical","Forward")</f>
        <v/>
      </c>
      <c r="C220" s="171" t="n"/>
      <c r="D220" s="188">
        <f>INDEX(INDIRECT(E220),0,COLUMN(MO_Common_Column_A))</f>
        <v/>
      </c>
      <c r="E220" s="182" t="inlineStr">
        <is>
          <t>MO_RIS_TaxRate_NONGAAP</t>
        </is>
      </c>
      <c r="F220" s="181" t="inlineStr">
        <is>
          <t>Q2-2022</t>
        </is>
      </c>
      <c r="G220" s="181" t="n"/>
      <c r="H220" s="171" t="n"/>
      <c r="I220" s="185" t="n">
        <v>0.09</v>
      </c>
      <c r="J220" s="185" t="n">
        <v>0.11</v>
      </c>
      <c r="K220" s="185">
        <f>AVERAGE(I220:J220)</f>
        <v/>
      </c>
      <c r="L220" s="171" t="n"/>
      <c r="M220" s="181">
        <f>IF(INDEX(MO_SNA_IsHistoricalPeriod,,MATCH(F220,MO_Common_ColumnHeader,0)),"Actual","Estimate")</f>
        <v/>
      </c>
      <c r="N220" s="185">
        <f>IFERROR(INDEX(INDIRECT(E220),0,MATCH(F220,MO_Common_ColumnHeader,0)),"N/A")</f>
        <v/>
      </c>
      <c r="O220" s="171" t="n"/>
      <c r="P220" s="190">
        <f>IF(ISNUMBER(N220),N220-K220,"N/A")</f>
        <v/>
      </c>
      <c r="Q220" s="190">
        <f>IFERROR(IF(ISNUMBER(N220),(N220-K220)/ABS(K220),"N/A"),"N/A")</f>
        <v/>
      </c>
      <c r="R220" s="171" t="n"/>
      <c r="S220" s="184" t="n">
        <v>44342</v>
      </c>
      <c r="T220" s="191" t="inlineStr">
        <is>
          <t>Press Release</t>
        </is>
      </c>
      <c r="U220" s="171" t="n"/>
    </row>
    <row r="221">
      <c r="A221" s="154" t="n">
        <v>173</v>
      </c>
      <c r="B221" s="181">
        <f>IF(INDEX(MO_SNA_IsHistoricalPeriod,,MATCH(F221,MO_Common_ColumnHeader,0)),"Historical","Forward")</f>
        <v/>
      </c>
      <c r="C221" s="171" t="n"/>
      <c r="D221" s="188" t="inlineStr">
        <is>
          <t>SBC and other Non-GAAP COGS Adjustments as % of revenue</t>
        </is>
      </c>
      <c r="E221" s="182" t="n"/>
      <c r="F221" s="181" t="inlineStr">
        <is>
          <t>Q2-2022</t>
        </is>
      </c>
      <c r="G221" s="181" t="n"/>
      <c r="H221" s="171" t="n"/>
      <c r="I221" s="185" t="n">
        <v>-0.019</v>
      </c>
      <c r="J221" s="185" t="n">
        <v>-0.019</v>
      </c>
      <c r="K221" s="185">
        <f>AVERAGE(I221:J221)</f>
        <v/>
      </c>
      <c r="L221" s="171" t="n"/>
      <c r="M221" s="181">
        <f>IF(INDEX(MO_SNA_IsHistoricalPeriod,,MATCH(F221,MO_Common_ColumnHeader,0)),"Actual","Estimate")</f>
        <v/>
      </c>
      <c r="N221" s="185">
        <f>(INDEX(MO_RIS_SBC_COGS,0,MATCH(F221,MO_Common_ColumnHeader,0))+INDEX(z_A7FLSL0150_MO_RIS_AcquisitionrelatedcostsCOGS,0,MATCH(F221,MO_Common_ColumnHeader,0))+INDEX(MO_RIS_COGS_Adjustments,0,MATCH(F221,MO_Common_ColumnHeader,0)))/INDEX(MO_RIS_REV,0,MATCH(F221,MO_Common_ColumnHeader,0))</f>
        <v/>
      </c>
      <c r="O221" s="171" t="n"/>
      <c r="P221" s="190">
        <f>IF(ISNUMBER(N221),N221-K221,"N/A")</f>
        <v/>
      </c>
      <c r="Q221" s="190">
        <f>IFERROR(IF(ISNUMBER(N221),(N221-K221)/ABS(K221),"N/A"),"N/A")</f>
        <v/>
      </c>
      <c r="R221" s="171" t="n"/>
      <c r="S221" s="184" t="n">
        <v>44342</v>
      </c>
      <c r="T221" s="191" t="inlineStr">
        <is>
          <t>Press Release</t>
        </is>
      </c>
      <c r="U221" s="171" t="n"/>
    </row>
    <row r="222">
      <c r="A222" s="154" t="n">
        <v>172</v>
      </c>
      <c r="B222" s="181">
        <f>IF(INDEX(MO_SNA_IsHistoricalPeriod,,MATCH(F222,MO_Common_ColumnHeader,0)),"Historical","Forward")</f>
        <v/>
      </c>
      <c r="C222" s="171" t="n"/>
      <c r="D222" s="188" t="inlineStr">
        <is>
          <t>SBC, acquisition related costs and other costs (adjustments for Non-GAAP operating expenses)</t>
        </is>
      </c>
      <c r="E222" s="182" t="n"/>
      <c r="F222" s="181" t="inlineStr">
        <is>
          <t>Q2-2022</t>
        </is>
      </c>
      <c r="G222" s="181" t="n"/>
      <c r="H222" s="171" t="n"/>
      <c r="I222" s="183" t="n">
        <v>-500</v>
      </c>
      <c r="J222" s="183" t="n">
        <v>-500</v>
      </c>
      <c r="K222" s="183">
        <f>AVERAGE(I222:J222)</f>
        <v/>
      </c>
      <c r="L222" s="171" t="n"/>
      <c r="M222" s="181">
        <f>IF(INDEX(MO_SNA_IsHistoricalPeriod,,MATCH(F222,MO_Common_ColumnHeader,0)),"Actual","Estimate")</f>
        <v/>
      </c>
      <c r="N222" s="183">
        <f>-(-INDEX(MO_RIS_OtherOperating_NONGAAP,0,MATCH(F222,MO_Common_ColumnHeader,0))+INDEX(z_A7FLSL0150_MO_RIS_SBC_2,0,MATCH(F222,MO_Common_ColumnHeader,0))+INDEX(z_A7FLSL0150_MO_RIS_sbc_1,0,MATCH(F222,MO_Common_ColumnHeader,0))+INDEX(z_A7FLSL0150_MO_RIS_AcquisitionrelatedcostsRD,0,MATCH(F222,MO_Common_ColumnHeader,0))+INDEX(z_A7FLSL0150_MO_RIS_AcquisitionrelatedcostsSGA,0,MATCH(F222,MO_Common_ColumnHeader,0)))</f>
        <v/>
      </c>
      <c r="O222" s="171" t="n"/>
      <c r="P222" s="189">
        <f>IF(ISNUMBER(N222),N222-K222,"N/A")</f>
        <v/>
      </c>
      <c r="Q222" s="190">
        <f>IFERROR(IF(ISNUMBER(N222),(N222-K222)/ABS(K222),"N/A"),"N/A")</f>
        <v/>
      </c>
      <c r="R222" s="171" t="n"/>
      <c r="S222" s="184" t="n">
        <v>44342</v>
      </c>
      <c r="T222" s="191" t="inlineStr">
        <is>
          <t>Press Release</t>
        </is>
      </c>
      <c r="U222" s="171" t="n"/>
    </row>
    <row r="223">
      <c r="A223" s="154" t="n">
        <v>171</v>
      </c>
      <c r="B223" s="181">
        <f>IF(INDEX(MO_SNA_IsHistoricalPeriod,,MATCH(F223,MO_Common_ColumnHeader,0)),"Historical","Forward")</f>
        <v/>
      </c>
      <c r="C223" s="171" t="n"/>
      <c r="D223" s="188">
        <f>INDEX(INDIRECT(E223),0,COLUMN(MO_Common_Column_A))</f>
        <v/>
      </c>
      <c r="E223" s="182" t="inlineStr">
        <is>
          <t>MO_CFSum_Capex</t>
        </is>
      </c>
      <c r="F223" s="181" t="inlineStr">
        <is>
          <t>Q2-2022</t>
        </is>
      </c>
      <c r="G223" s="181" t="n"/>
      <c r="H223" s="171" t="n"/>
      <c r="I223" s="183" t="n">
        <v>-325</v>
      </c>
      <c r="J223" s="183" t="n">
        <v>-300</v>
      </c>
      <c r="K223" s="183">
        <f>AVERAGE(I223:J223)</f>
        <v/>
      </c>
      <c r="L223" s="171" t="n"/>
      <c r="M223" s="181">
        <f>IF(INDEX(MO_SNA_IsHistoricalPeriod,,MATCH(F223,MO_Common_ColumnHeader,0)),"Actual","Estimate")</f>
        <v/>
      </c>
      <c r="N223" s="183">
        <f>IFERROR(INDEX(INDIRECT(E223),0,MATCH(F223,MO_Common_ColumnHeader,0)),"N/A")</f>
        <v/>
      </c>
      <c r="O223" s="171" t="n"/>
      <c r="P223" s="189">
        <f>IF(ISNUMBER(N223),N223-K223,"N/A")</f>
        <v/>
      </c>
      <c r="Q223" s="190">
        <f>IFERROR(IF(ISNUMBER(N223),(N223-K223)/ABS(K223),"N/A"),"N/A")</f>
        <v/>
      </c>
      <c r="R223" s="171" t="n"/>
      <c r="S223" s="184" t="n">
        <v>44342</v>
      </c>
      <c r="T223" s="191" t="inlineStr">
        <is>
          <t>CFO Commentary</t>
        </is>
      </c>
      <c r="U223" s="171" t="n"/>
    </row>
    <row r="224">
      <c r="A224" s="154" t="n">
        <v>170</v>
      </c>
      <c r="B224" s="171" t="n"/>
      <c r="C224" s="171" t="n"/>
      <c r="D224" s="168" t="n"/>
      <c r="E224" s="169" t="n"/>
      <c r="F224" s="171" t="n"/>
      <c r="G224" s="171" t="n"/>
      <c r="H224" s="171" t="n"/>
      <c r="I224" s="1013" t="n"/>
      <c r="J224" s="1013" t="n"/>
      <c r="K224" s="1013" t="n"/>
      <c r="L224" s="171" t="n"/>
      <c r="M224" s="171" t="n"/>
      <c r="N224" s="1013" t="n"/>
      <c r="O224" s="171" t="n"/>
      <c r="P224" s="172" t="n"/>
      <c r="Q224" s="134" t="n"/>
      <c r="R224" s="171" t="n"/>
      <c r="S224" s="173" t="n"/>
      <c r="T224" s="192" t="inlineStr">
        <is>
          <t>https://nvidianews.nvidia.com/news/nvidia-announces-financial-results-for-fourth-quarter-and-fiscal-2020</t>
        </is>
      </c>
      <c r="U224" s="171" t="n"/>
    </row>
    <row r="225">
      <c r="A225" s="154" t="n">
        <v>169</v>
      </c>
      <c r="B225" s="181">
        <f>IF(INDEX(MO_SNA_IsHistoricalPeriod,,MATCH(F225,MO_Common_ColumnHeader,0)),"Historical","Forward")</f>
        <v/>
      </c>
      <c r="C225" s="171" t="n"/>
      <c r="D225" s="188">
        <f>INDEX(INDIRECT(E225),0,COLUMN(MO_Common_Column_A))</f>
        <v/>
      </c>
      <c r="E225" s="182" t="inlineStr">
        <is>
          <t>MO_RIS_REV</t>
        </is>
      </c>
      <c r="F225" s="181" t="inlineStr">
        <is>
          <t>Q1-2022</t>
        </is>
      </c>
      <c r="G225" s="181" t="n"/>
      <c r="H225" s="171" t="n"/>
      <c r="I225" s="183">
        <f>5300*0.98</f>
        <v/>
      </c>
      <c r="J225" s="183">
        <f>5300*1.02</f>
        <v/>
      </c>
      <c r="K225" s="183">
        <f>AVERAGE(I225:J225)</f>
        <v/>
      </c>
      <c r="L225" s="171" t="n"/>
      <c r="M225" s="181">
        <f>IF(INDEX(MO_SNA_IsHistoricalPeriod,,MATCH(F225,MO_Common_ColumnHeader,0)),"Actual","Estimate")</f>
        <v/>
      </c>
      <c r="N225" s="183">
        <f>IFERROR(INDEX(INDIRECT(E225),0,MATCH(F225,MO_Common_ColumnHeader,0)),"N/A")</f>
        <v/>
      </c>
      <c r="O225" s="171" t="n"/>
      <c r="P225" s="189">
        <f>IF(ISNUMBER(N225),N225-K225,"N/A")</f>
        <v/>
      </c>
      <c r="Q225" s="190">
        <f>IFERROR(IF(ISNUMBER(N225),(N225-K225)/ABS(K225),"N/A"),"N/A")</f>
        <v/>
      </c>
      <c r="R225" s="171" t="n"/>
      <c r="S225" s="184" t="n">
        <v>44251</v>
      </c>
      <c r="T225" s="191" t="inlineStr">
        <is>
          <t>Press Release</t>
        </is>
      </c>
      <c r="U225" s="171" t="n"/>
    </row>
    <row r="226">
      <c r="A226" s="154" t="n">
        <v>168</v>
      </c>
      <c r="B226" s="181">
        <f>IF(INDEX(MO_SNA_IsHistoricalPeriod,,MATCH(F226,MO_Common_ColumnHeader,0)),"Historical","Forward")</f>
        <v/>
      </c>
      <c r="C226" s="171" t="n"/>
      <c r="D226" s="188">
        <f>INDEX(INDIRECT(E226),0,COLUMN(MO_Common_Column_A))</f>
        <v/>
      </c>
      <c r="E226" s="182" t="inlineStr">
        <is>
          <t>MO_MA_GM</t>
        </is>
      </c>
      <c r="F226" s="181" t="inlineStr">
        <is>
          <t>Q1-2022</t>
        </is>
      </c>
      <c r="G226" s="181" t="n"/>
      <c r="H226" s="171" t="n"/>
      <c r="I226" s="185" t="n">
        <v>0.633</v>
      </c>
      <c r="J226" s="185" t="n">
        <v>0.643</v>
      </c>
      <c r="K226" s="185">
        <f>AVERAGE(I226:J226)</f>
        <v/>
      </c>
      <c r="L226" s="171" t="n"/>
      <c r="M226" s="181">
        <f>IF(INDEX(MO_SNA_IsHistoricalPeriod,,MATCH(F226,MO_Common_ColumnHeader,0)),"Actual","Estimate")</f>
        <v/>
      </c>
      <c r="N226" s="185">
        <f>IFERROR(INDEX(INDIRECT(E226),0,MATCH(F226,MO_Common_ColumnHeader,0)),"N/A")</f>
        <v/>
      </c>
      <c r="O226" s="171" t="n"/>
      <c r="P226" s="190">
        <f>IF(ISNUMBER(N226),N226-K226,"N/A")</f>
        <v/>
      </c>
      <c r="Q226" s="190">
        <f>IFERROR(IF(ISNUMBER(N226),(N226-K226)/ABS(K226),"N/A"),"N/A")</f>
        <v/>
      </c>
      <c r="R226" s="171" t="n"/>
      <c r="S226" s="184" t="n">
        <v>44251</v>
      </c>
      <c r="T226" s="191" t="inlineStr">
        <is>
          <t>Press Release</t>
        </is>
      </c>
      <c r="U226" s="171" t="n"/>
    </row>
    <row r="227">
      <c r="A227" s="154" t="n">
        <v>167</v>
      </c>
      <c r="B227" s="181">
        <f>IF(INDEX(MO_SNA_IsHistoricalPeriod,,MATCH(F227,MO_Common_ColumnHeader,0)),"Historical","Forward")</f>
        <v/>
      </c>
      <c r="C227" s="171" t="n"/>
      <c r="D227" s="188">
        <f>INDEX(INDIRECT(E227),0,COLUMN(MO_Common_Column_A))</f>
        <v/>
      </c>
      <c r="E227" s="182" t="inlineStr">
        <is>
          <t>MO_MA_GM_NONGAAP</t>
        </is>
      </c>
      <c r="F227" s="181" t="inlineStr">
        <is>
          <t>Q1-2022</t>
        </is>
      </c>
      <c r="G227" s="181" t="n"/>
      <c r="H227" s="171" t="n"/>
      <c r="I227" s="185" t="n">
        <v>0.655</v>
      </c>
      <c r="J227" s="185" t="n">
        <v>0.665</v>
      </c>
      <c r="K227" s="185">
        <f>AVERAGE(I227:J227)</f>
        <v/>
      </c>
      <c r="L227" s="171" t="n"/>
      <c r="M227" s="181">
        <f>IF(INDEX(MO_SNA_IsHistoricalPeriod,,MATCH(F227,MO_Common_ColumnHeader,0)),"Actual","Estimate")</f>
        <v/>
      </c>
      <c r="N227" s="185">
        <f>IFERROR(INDEX(INDIRECT(E227),0,MATCH(F227,MO_Common_ColumnHeader,0)),"N/A")</f>
        <v/>
      </c>
      <c r="O227" s="171" t="n"/>
      <c r="P227" s="190">
        <f>IF(ISNUMBER(N227),N227-K227,"N/A")</f>
        <v/>
      </c>
      <c r="Q227" s="190">
        <f>IFERROR(IF(ISNUMBER(N227),(N227-K227)/ABS(K227),"N/A"),"N/A")</f>
        <v/>
      </c>
      <c r="R227" s="171" t="n"/>
      <c r="S227" s="184" t="n">
        <v>44251</v>
      </c>
      <c r="T227" s="191" t="inlineStr">
        <is>
          <t>Press Release</t>
        </is>
      </c>
      <c r="U227" s="171" t="n"/>
    </row>
    <row r="228">
      <c r="A228" s="154" t="n">
        <v>166</v>
      </c>
      <c r="B228" s="181">
        <f>IF(INDEX(MO_SNA_IsHistoricalPeriod,,MATCH(F228,MO_Common_ColumnHeader,0)),"Historical","Forward")</f>
        <v/>
      </c>
      <c r="C228" s="171" t="n"/>
      <c r="D228" s="188" t="inlineStr">
        <is>
          <t>GAAP Operating Expenses</t>
        </is>
      </c>
      <c r="E228" s="182" t="n"/>
      <c r="F228" s="181" t="inlineStr">
        <is>
          <t>Q1-2022</t>
        </is>
      </c>
      <c r="G228" s="181" t="n"/>
      <c r="H228" s="171" t="n"/>
      <c r="I228" s="183" t="n">
        <v>1670</v>
      </c>
      <c r="J228" s="183" t="n">
        <v>1670</v>
      </c>
      <c r="K228" s="183">
        <f>AVERAGE(I228:J228)</f>
        <v/>
      </c>
      <c r="L228" s="171" t="n"/>
      <c r="M228" s="181">
        <f>IF(INDEX(MO_SNA_IsHistoricalPeriod,,MATCH(F228,MO_Common_ColumnHeader,0)),"Actual","Estimate")</f>
        <v/>
      </c>
      <c r="N228" s="183">
        <f>INDEX(MO_RIS_RD,0,MATCH(F228,MO_Common_ColumnHeader,0))+INDEX(MO_RIS_SGA,0,MATCH(F228,MO_Common_ColumnHeader,0))</f>
        <v/>
      </c>
      <c r="O228" s="171" t="n"/>
      <c r="P228" s="189">
        <f>IF(ISNUMBER(N228),N228-K228,"N/A")</f>
        <v/>
      </c>
      <c r="Q228" s="190">
        <f>IFERROR(IF(ISNUMBER(N228),(N228-K228)/ABS(K228),"N/A"),"N/A")</f>
        <v/>
      </c>
      <c r="R228" s="171" t="n"/>
      <c r="S228" s="184" t="n">
        <v>44251</v>
      </c>
      <c r="T228" s="191" t="inlineStr">
        <is>
          <t>Press Release</t>
        </is>
      </c>
      <c r="U228" s="171" t="n"/>
    </row>
    <row r="229">
      <c r="A229" s="154" t="n">
        <v>165</v>
      </c>
      <c r="B229" s="181">
        <f>IF(INDEX(MO_SNA_IsHistoricalPeriod,,MATCH(F229,MO_Common_ColumnHeader,0)),"Historical","Forward")</f>
        <v/>
      </c>
      <c r="C229" s="171" t="n"/>
      <c r="D229" s="188">
        <f>INDEX(INDIRECT(E229),0,COLUMN(MO_Common_Column_A))</f>
        <v/>
      </c>
      <c r="E229" s="182" t="inlineStr">
        <is>
          <t>MO_OS_OPEX</t>
        </is>
      </c>
      <c r="F229" s="181" t="inlineStr">
        <is>
          <t>Q1-2022</t>
        </is>
      </c>
      <c r="G229" s="181" t="n"/>
      <c r="H229" s="171" t="n"/>
      <c r="I229" s="183" t="n">
        <v>1200</v>
      </c>
      <c r="J229" s="183" t="n">
        <v>1200</v>
      </c>
      <c r="K229" s="183">
        <f>AVERAGE(I229:J229)</f>
        <v/>
      </c>
      <c r="L229" s="171" t="n"/>
      <c r="M229" s="181">
        <f>IF(INDEX(MO_SNA_IsHistoricalPeriod,,MATCH(F229,MO_Common_ColumnHeader,0)),"Actual","Estimate")</f>
        <v/>
      </c>
      <c r="N229" s="183">
        <f>IFERROR(INDEX(INDIRECT(E229),0,MATCH(F229,MO_Common_ColumnHeader,0)),"N/A")</f>
        <v/>
      </c>
      <c r="O229" s="171" t="n"/>
      <c r="P229" s="189">
        <f>IF(ISNUMBER(N229),N229-K229,"N/A")</f>
        <v/>
      </c>
      <c r="Q229" s="190">
        <f>IFERROR(IF(ISNUMBER(N229),(N229-K229)/ABS(K229),"N/A"),"N/A")</f>
        <v/>
      </c>
      <c r="R229" s="171" t="n"/>
      <c r="S229" s="184" t="n">
        <v>44251</v>
      </c>
      <c r="T229" s="191" t="inlineStr">
        <is>
          <t>Press Release</t>
        </is>
      </c>
      <c r="U229" s="171" t="n"/>
    </row>
    <row r="230">
      <c r="A230" s="154" t="n">
        <v>164</v>
      </c>
      <c r="B230" s="181">
        <f>IF(INDEX(MO_SNA_IsHistoricalPeriod,,MATCH(F230,MO_Common_ColumnHeader,0)),"Historical","Forward")</f>
        <v/>
      </c>
      <c r="C230" s="171" t="n"/>
      <c r="D230" s="188" t="inlineStr">
        <is>
          <t>GAAP Other Income</t>
        </is>
      </c>
      <c r="E230" s="182" t="n"/>
      <c r="F230" s="181" t="inlineStr">
        <is>
          <t>Q1-2022</t>
        </is>
      </c>
      <c r="G230" s="181" t="n"/>
      <c r="H230" s="171" t="n"/>
      <c r="I230" s="183" t="n">
        <v>50</v>
      </c>
      <c r="J230" s="183" t="n">
        <v>50</v>
      </c>
      <c r="K230" s="183">
        <f>AVERAGE(I230:J230)</f>
        <v/>
      </c>
      <c r="L230" s="171" t="n"/>
      <c r="M230" s="181">
        <f>IF(INDEX(MO_SNA_IsHistoricalPeriod,,MATCH(F230,MO_Common_ColumnHeader,0)),"Actual","Estimate")</f>
        <v/>
      </c>
      <c r="N230" s="183">
        <f>IFERROR(INDEX(INDIRECT(E230),0,MATCH(F230,MO_Common_ColumnHeader,0)),"N/A")</f>
        <v/>
      </c>
      <c r="O230" s="171" t="n"/>
      <c r="P230" s="189">
        <f>IF(ISNUMBER(N230),N230-K230,"N/A")</f>
        <v/>
      </c>
      <c r="Q230" s="190">
        <f>IFERROR(IF(ISNUMBER(N230),(N230-K230)/ABS(K230),"N/A"),"N/A")</f>
        <v/>
      </c>
      <c r="R230" s="171" t="n"/>
      <c r="S230" s="184" t="n">
        <v>44251</v>
      </c>
      <c r="T230" s="191" t="inlineStr">
        <is>
          <t>Press Release</t>
        </is>
      </c>
      <c r="U230" s="171" t="n"/>
    </row>
    <row r="231">
      <c r="A231" s="154" t="n">
        <v>163</v>
      </c>
      <c r="B231" s="181">
        <f>IF(INDEX(MO_SNA_IsHistoricalPeriod,,MATCH(F231,MO_Common_ColumnHeader,0)),"Historical","Forward")</f>
        <v/>
      </c>
      <c r="C231" s="171" t="n"/>
      <c r="D231" s="188" t="inlineStr">
        <is>
          <t>Non-GAAP Other Income</t>
        </is>
      </c>
      <c r="E231" s="182" t="n"/>
      <c r="F231" s="181" t="inlineStr">
        <is>
          <t>Q1-2022</t>
        </is>
      </c>
      <c r="G231" s="181" t="n"/>
      <c r="H231" s="171" t="n"/>
      <c r="I231" s="183" t="n">
        <v>50</v>
      </c>
      <c r="J231" s="183" t="n">
        <v>50</v>
      </c>
      <c r="K231" s="183">
        <f>AVERAGE(I231:J231)</f>
        <v/>
      </c>
      <c r="L231" s="171" t="n"/>
      <c r="M231" s="181">
        <f>IF(INDEX(MO_SNA_IsHistoricalPeriod,,MATCH(F231,MO_Common_ColumnHeader,0)),"Actual","Estimate")</f>
        <v/>
      </c>
      <c r="N231" s="183">
        <f>INDEX(MO_RIS_IE_Net_NONGAAP,0,MATCH(F231,MO_Common_ColumnHeader,0))+INDEX(MO_RIS_OI_NONGAAP,0,MATCH(F231,MO_Common_ColumnHeader,0))</f>
        <v/>
      </c>
      <c r="O231" s="171" t="n"/>
      <c r="P231" s="189">
        <f>IF(ISNUMBER(N231),N231-K231,"N/A")</f>
        <v/>
      </c>
      <c r="Q231" s="190">
        <f>IFERROR(IF(ISNUMBER(N231),(N231-K231)/ABS(K231),"N/A"),"N/A")</f>
        <v/>
      </c>
      <c r="R231" s="171" t="n"/>
      <c r="S231" s="184" t="n">
        <v>44251</v>
      </c>
      <c r="T231" s="191" t="inlineStr">
        <is>
          <t>Press Release</t>
        </is>
      </c>
      <c r="U231" s="171" t="n"/>
    </row>
    <row r="232">
      <c r="A232" s="154" t="n">
        <v>162</v>
      </c>
      <c r="B232" s="181">
        <f>IF(INDEX(MO_SNA_IsHistoricalPeriod,,MATCH(F232,MO_Common_ColumnHeader,0)),"Historical","Forward")</f>
        <v/>
      </c>
      <c r="C232" s="171" t="n"/>
      <c r="D232" s="188" t="inlineStr">
        <is>
          <t>GAAP Tax Rate</t>
        </is>
      </c>
      <c r="E232" s="182" t="inlineStr">
        <is>
          <t>MO_RIS_TaxRate</t>
        </is>
      </c>
      <c r="F232" s="181" t="inlineStr">
        <is>
          <t>Q1-2022</t>
        </is>
      </c>
      <c r="G232" s="181" t="n"/>
      <c r="H232" s="171" t="n"/>
      <c r="I232" s="185" t="n">
        <v>0.09</v>
      </c>
      <c r="J232" s="185" t="n">
        <v>0.11</v>
      </c>
      <c r="K232" s="185">
        <f>AVERAGE(I232:J232)</f>
        <v/>
      </c>
      <c r="L232" s="171" t="n"/>
      <c r="M232" s="181">
        <f>IF(INDEX(MO_SNA_IsHistoricalPeriod,,MATCH(F232,MO_Common_ColumnHeader,0)),"Actual","Estimate")</f>
        <v/>
      </c>
      <c r="N232" s="185">
        <f>IFERROR(INDEX(INDIRECT(E232),0,MATCH(F232,MO_Common_ColumnHeader,0)),"N/A")</f>
        <v/>
      </c>
      <c r="O232" s="171" t="n"/>
      <c r="P232" s="190">
        <f>IF(ISNUMBER(N232),N232-K232,"N/A")</f>
        <v/>
      </c>
      <c r="Q232" s="190">
        <f>IFERROR(IF(ISNUMBER(N232),(N232-K232)/ABS(K232),"N/A"),"N/A")</f>
        <v/>
      </c>
      <c r="R232" s="171" t="n"/>
      <c r="S232" s="184" t="n">
        <v>44251</v>
      </c>
      <c r="T232" s="191" t="inlineStr">
        <is>
          <t>Press Release</t>
        </is>
      </c>
      <c r="U232" s="171" t="n"/>
    </row>
    <row r="233">
      <c r="A233" s="154" t="n">
        <v>161</v>
      </c>
      <c r="B233" s="181">
        <f>IF(INDEX(MO_SNA_IsHistoricalPeriod,,MATCH(F233,MO_Common_ColumnHeader,0)),"Historical","Forward")</f>
        <v/>
      </c>
      <c r="C233" s="171" t="n"/>
      <c r="D233" s="188">
        <f>INDEX(INDIRECT(E233),0,COLUMN(MO_Common_Column_A))</f>
        <v/>
      </c>
      <c r="E233" s="182" t="inlineStr">
        <is>
          <t>MO_RIS_TaxRate_NONGAAP</t>
        </is>
      </c>
      <c r="F233" s="181" t="inlineStr">
        <is>
          <t>Q1-2022</t>
        </is>
      </c>
      <c r="G233" s="181" t="n"/>
      <c r="H233" s="171" t="n"/>
      <c r="I233" s="185" t="n">
        <v>0.09</v>
      </c>
      <c r="J233" s="185" t="n">
        <v>0.11</v>
      </c>
      <c r="K233" s="185">
        <f>AVERAGE(I233:J233)</f>
        <v/>
      </c>
      <c r="L233" s="171" t="n"/>
      <c r="M233" s="181">
        <f>IF(INDEX(MO_SNA_IsHistoricalPeriod,,MATCH(F233,MO_Common_ColumnHeader,0)),"Actual","Estimate")</f>
        <v/>
      </c>
      <c r="N233" s="185">
        <f>IFERROR(INDEX(INDIRECT(E233),0,MATCH(F233,MO_Common_ColumnHeader,0)),"N/A")</f>
        <v/>
      </c>
      <c r="O233" s="171" t="n"/>
      <c r="P233" s="190">
        <f>IF(ISNUMBER(N233),N233-K233,"N/A")</f>
        <v/>
      </c>
      <c r="Q233" s="190">
        <f>IFERROR(IF(ISNUMBER(N233),(N233-K233)/ABS(K233),"N/A"),"N/A")</f>
        <v/>
      </c>
      <c r="R233" s="171" t="n"/>
      <c r="S233" s="184" t="n">
        <v>44251</v>
      </c>
      <c r="T233" s="191" t="inlineStr">
        <is>
          <t>Press Release</t>
        </is>
      </c>
      <c r="U233" s="171" t="n"/>
    </row>
    <row r="234">
      <c r="A234" s="154" t="n">
        <v>160</v>
      </c>
      <c r="B234" s="181">
        <f>IF(INDEX(MO_SNA_IsHistoricalPeriod,,MATCH(F234,MO_Common_ColumnHeader,0)),"Historical","Forward")</f>
        <v/>
      </c>
      <c r="C234" s="171" t="n"/>
      <c r="D234" s="188" t="inlineStr">
        <is>
          <t>SBC and other Non-GAAP COGS Adjustments as % of revenue</t>
        </is>
      </c>
      <c r="E234" s="182" t="n"/>
      <c r="F234" s="181" t="inlineStr">
        <is>
          <t>Q1-2022</t>
        </is>
      </c>
      <c r="G234" s="181" t="n"/>
      <c r="H234" s="171" t="n"/>
      <c r="I234" s="185" t="n">
        <v>-0.022</v>
      </c>
      <c r="J234" s="185" t="n">
        <v>-0.022</v>
      </c>
      <c r="K234" s="185">
        <f>AVERAGE(I234:J234)</f>
        <v/>
      </c>
      <c r="L234" s="171" t="n"/>
      <c r="M234" s="181">
        <f>IF(INDEX(MO_SNA_IsHistoricalPeriod,,MATCH(F234,MO_Common_ColumnHeader,0)),"Actual","Estimate")</f>
        <v/>
      </c>
      <c r="N234" s="185">
        <f>(INDEX(MO_RIS_SBC_COGS,0,MATCH(F234,MO_Common_ColumnHeader,0))+INDEX(z_A7FLSL0150_MO_RIS_AcquisitionrelatedcostsCOGS,0,MATCH(F234,MO_Common_ColumnHeader,0))+INDEX(MO_RIS_COGS_Adjustments,0,MATCH(F234,MO_Common_ColumnHeader,0)))/INDEX(MO_RIS_REV,0,MATCH(F234,MO_Common_ColumnHeader,0))</f>
        <v/>
      </c>
      <c r="O234" s="171" t="n"/>
      <c r="P234" s="190">
        <f>IF(ISNUMBER(N234),N234-K234,"N/A")</f>
        <v/>
      </c>
      <c r="Q234" s="190">
        <f>IFERROR(IF(ISNUMBER(N234),(N234-K234)/ABS(K234),"N/A"),"N/A")</f>
        <v/>
      </c>
      <c r="R234" s="171" t="n"/>
      <c r="S234" s="184" t="n">
        <v>44251</v>
      </c>
      <c r="T234" s="191" t="inlineStr">
        <is>
          <t>Press Release</t>
        </is>
      </c>
      <c r="U234" s="171" t="n"/>
    </row>
    <row r="235">
      <c r="A235" s="154" t="n">
        <v>159</v>
      </c>
      <c r="B235" s="181">
        <f>IF(INDEX(MO_SNA_IsHistoricalPeriod,,MATCH(F235,MO_Common_ColumnHeader,0)),"Historical","Forward")</f>
        <v/>
      </c>
      <c r="C235" s="171" t="n"/>
      <c r="D235" s="188" t="inlineStr">
        <is>
          <t>SBC, acquisition related costs and other costs (adjustments for Non-GAAP operating expenses)</t>
        </is>
      </c>
      <c r="E235" s="182" t="n"/>
      <c r="F235" s="181" t="inlineStr">
        <is>
          <t>Q1-2022</t>
        </is>
      </c>
      <c r="G235" s="181" t="n"/>
      <c r="H235" s="171" t="n"/>
      <c r="I235" s="183" t="n">
        <v>-470</v>
      </c>
      <c r="J235" s="183" t="n">
        <v>-470</v>
      </c>
      <c r="K235" s="183">
        <f>AVERAGE(I235:J235)</f>
        <v/>
      </c>
      <c r="L235" s="171" t="n"/>
      <c r="M235" s="181">
        <f>IF(INDEX(MO_SNA_IsHistoricalPeriod,,MATCH(F235,MO_Common_ColumnHeader,0)),"Actual","Estimate")</f>
        <v/>
      </c>
      <c r="N235" s="183">
        <f>-(-INDEX(MO_RIS_OtherOperating_NONGAAP,0,MATCH(F235,MO_Common_ColumnHeader,0))+INDEX(z_A7FLSL0150_MO_RIS_SBC_2,0,MATCH(F235,MO_Common_ColumnHeader,0))+INDEX(z_A7FLSL0150_MO_RIS_sbc_1,0,MATCH(F235,MO_Common_ColumnHeader,0))+INDEX(z_A7FLSL0150_MO_RIS_AcquisitionrelatedcostsRD,0,MATCH(F235,MO_Common_ColumnHeader,0))+INDEX(z_A7FLSL0150_MO_RIS_AcquisitionrelatedcostsSGA,0,MATCH(F235,MO_Common_ColumnHeader,0)))</f>
        <v/>
      </c>
      <c r="O235" s="171" t="n"/>
      <c r="P235" s="189">
        <f>IF(ISNUMBER(N235),N235-K235,"N/A")</f>
        <v/>
      </c>
      <c r="Q235" s="190">
        <f>IFERROR(IF(ISNUMBER(N235),(N235-K235)/ABS(K235),"N/A"),"N/A")</f>
        <v/>
      </c>
      <c r="R235" s="171" t="n"/>
      <c r="S235" s="184" t="n">
        <v>44251</v>
      </c>
      <c r="T235" s="191" t="inlineStr">
        <is>
          <t>Press Release</t>
        </is>
      </c>
      <c r="U235" s="171" t="n"/>
    </row>
    <row r="236">
      <c r="A236" s="154" t="n">
        <v>158</v>
      </c>
      <c r="B236" s="181">
        <f>IF(INDEX(MO_SNA_IsHistoricalPeriod,,MATCH(F236,MO_Common_ColumnHeader,0)),"Historical","Forward")</f>
        <v/>
      </c>
      <c r="C236" s="171" t="n"/>
      <c r="D236" s="188">
        <f>INDEX(INDIRECT(E236),0,COLUMN(MO_Common_Column_A))</f>
        <v/>
      </c>
      <c r="E236" s="182" t="inlineStr">
        <is>
          <t>MO_CFSum_Capex</t>
        </is>
      </c>
      <c r="F236" s="181" t="inlineStr">
        <is>
          <t>Q1-2022</t>
        </is>
      </c>
      <c r="G236" s="181" t="n"/>
      <c r="H236" s="171" t="n"/>
      <c r="I236" s="183" t="n">
        <v>-325</v>
      </c>
      <c r="J236" s="183" t="n">
        <v>-300</v>
      </c>
      <c r="K236" s="183">
        <f>AVERAGE(I236:J236)</f>
        <v/>
      </c>
      <c r="L236" s="171" t="n"/>
      <c r="M236" s="181">
        <f>IF(INDEX(MO_SNA_IsHistoricalPeriod,,MATCH(F236,MO_Common_ColumnHeader,0)),"Actual","Estimate")</f>
        <v/>
      </c>
      <c r="N236" s="183">
        <f>IFERROR(INDEX(INDIRECT(E236),0,MATCH(F236,MO_Common_ColumnHeader,0)),"N/A")</f>
        <v/>
      </c>
      <c r="O236" s="171" t="n"/>
      <c r="P236" s="189">
        <f>IF(ISNUMBER(N236),N236-K236,"N/A")</f>
        <v/>
      </c>
      <c r="Q236" s="190">
        <f>IFERROR(IF(ISNUMBER(N236),(N236-K236)/ABS(K236),"N/A"),"N/A")</f>
        <v/>
      </c>
      <c r="R236" s="171" t="n"/>
      <c r="S236" s="184" t="n">
        <v>44251</v>
      </c>
      <c r="T236" s="191" t="inlineStr">
        <is>
          <t>CFO Commentary</t>
        </is>
      </c>
      <c r="U236" s="171" t="n"/>
    </row>
    <row r="237">
      <c r="A237" s="154" t="n">
        <v>157</v>
      </c>
      <c r="B237" s="171" t="n"/>
      <c r="C237" s="171" t="n"/>
      <c r="D237" s="168" t="n"/>
      <c r="E237" s="169" t="n"/>
      <c r="F237" s="171" t="n"/>
      <c r="G237" s="171" t="n"/>
      <c r="H237" s="171" t="n"/>
      <c r="I237" s="1013" t="n"/>
      <c r="J237" s="1013" t="n"/>
      <c r="K237" s="1013" t="n"/>
      <c r="L237" s="171" t="n"/>
      <c r="M237" s="171" t="n"/>
      <c r="N237" s="1013" t="n"/>
      <c r="O237" s="171" t="n"/>
      <c r="P237" s="172" t="n"/>
      <c r="Q237" s="134" t="n"/>
      <c r="R237" s="171" t="n"/>
      <c r="S237" s="173" t="n"/>
      <c r="T237" s="192" t="inlineStr">
        <is>
          <t>https://nvidianews.nvidia.com/news/nvidia-announces-financial-results-for-fourth-quarter-and-fiscal-2020</t>
        </is>
      </c>
      <c r="U237" s="171" t="n"/>
    </row>
    <row r="238">
      <c r="A238" s="154" t="n">
        <v>156</v>
      </c>
      <c r="B238" s="181">
        <f>IF(INDEX(MO_SNA_IsHistoricalPeriod,,MATCH(F238,MO_Common_ColumnHeader,0)),"Historical","Forward")</f>
        <v/>
      </c>
      <c r="C238" s="171" t="n"/>
      <c r="D238" s="188">
        <f>INDEX(INDIRECT(E238),0,COLUMN(MO_Common_Column_A))</f>
        <v/>
      </c>
      <c r="E238" s="182" t="inlineStr">
        <is>
          <t>MO_RIS_REV</t>
        </is>
      </c>
      <c r="F238" s="181" t="inlineStr">
        <is>
          <t>Q4-2021</t>
        </is>
      </c>
      <c r="G238" s="181" t="n"/>
      <c r="H238" s="171" t="n"/>
      <c r="I238" s="183">
        <f>4800*0.98</f>
        <v/>
      </c>
      <c r="J238" s="183">
        <f>4800*1.02</f>
        <v/>
      </c>
      <c r="K238" s="183">
        <f>AVERAGE(I238:J238)</f>
        <v/>
      </c>
      <c r="L238" s="171" t="n"/>
      <c r="M238" s="181">
        <f>IF(INDEX(MO_SNA_IsHistoricalPeriod,,MATCH(F238,MO_Common_ColumnHeader,0)),"Actual","Estimate")</f>
        <v/>
      </c>
      <c r="N238" s="183">
        <f>IFERROR(INDEX(INDIRECT(E238),0,MATCH(F238,MO_Common_ColumnHeader,0)),"N/A")</f>
        <v/>
      </c>
      <c r="O238" s="171" t="n"/>
      <c r="P238" s="189">
        <f>IF(ISNUMBER(N238),N238-K238,"N/A")</f>
        <v/>
      </c>
      <c r="Q238" s="190">
        <f>IFERROR(IF(ISNUMBER(N238),(N238-K238)/ABS(K238),"N/A"),"N/A")</f>
        <v/>
      </c>
      <c r="R238" s="171" t="n"/>
      <c r="S238" s="184" t="n">
        <v>44153</v>
      </c>
      <c r="T238" s="191" t="inlineStr">
        <is>
          <t>Press Release</t>
        </is>
      </c>
      <c r="U238" s="171" t="n"/>
    </row>
    <row r="239">
      <c r="A239" s="154" t="n">
        <v>155</v>
      </c>
      <c r="B239" s="181">
        <f>IF(INDEX(MO_SNA_IsHistoricalPeriod,,MATCH(F239,MO_Common_ColumnHeader,0)),"Historical","Forward")</f>
        <v/>
      </c>
      <c r="C239" s="171" t="n"/>
      <c r="D239" s="188">
        <f>INDEX(INDIRECT(E239),0,COLUMN(MO_Common_Column_A))</f>
        <v/>
      </c>
      <c r="E239" s="182" t="inlineStr">
        <is>
          <t>MO_MA_GM</t>
        </is>
      </c>
      <c r="F239" s="181" t="inlineStr">
        <is>
          <t>Q4-2021</t>
        </is>
      </c>
      <c r="G239" s="181" t="n"/>
      <c r="H239" s="171" t="n"/>
      <c r="I239" s="185" t="n">
        <v>0.623</v>
      </c>
      <c r="J239" s="185" t="n">
        <v>0.633</v>
      </c>
      <c r="K239" s="185">
        <f>AVERAGE(I239:J239)</f>
        <v/>
      </c>
      <c r="L239" s="171" t="n"/>
      <c r="M239" s="181">
        <f>IF(INDEX(MO_SNA_IsHistoricalPeriod,,MATCH(F239,MO_Common_ColumnHeader,0)),"Actual","Estimate")</f>
        <v/>
      </c>
      <c r="N239" s="185">
        <f>IFERROR(INDEX(INDIRECT(E239),0,MATCH(F239,MO_Common_ColumnHeader,0)),"N/A")</f>
        <v/>
      </c>
      <c r="O239" s="171" t="n"/>
      <c r="P239" s="190">
        <f>IF(ISNUMBER(N239),N239-K239,"N/A")</f>
        <v/>
      </c>
      <c r="Q239" s="190">
        <f>IFERROR(IF(ISNUMBER(N239),(N239-K239)/ABS(K239),"N/A"),"N/A")</f>
        <v/>
      </c>
      <c r="R239" s="171" t="n"/>
      <c r="S239" s="184" t="n">
        <v>44153</v>
      </c>
      <c r="T239" s="191" t="inlineStr">
        <is>
          <t>Press Release</t>
        </is>
      </c>
      <c r="U239" s="171" t="n"/>
    </row>
    <row r="240">
      <c r="A240" s="154" t="n">
        <v>154</v>
      </c>
      <c r="B240" s="181">
        <f>IF(INDEX(MO_SNA_IsHistoricalPeriod,,MATCH(F240,MO_Common_ColumnHeader,0)),"Historical","Forward")</f>
        <v/>
      </c>
      <c r="C240" s="171" t="n"/>
      <c r="D240" s="188">
        <f>INDEX(INDIRECT(E240),0,COLUMN(MO_Common_Column_A))</f>
        <v/>
      </c>
      <c r="E240" s="182" t="inlineStr">
        <is>
          <t>MO_MA_GM_NONGAAP</t>
        </is>
      </c>
      <c r="F240" s="181" t="inlineStr">
        <is>
          <t>Q4-2021</t>
        </is>
      </c>
      <c r="G240" s="181" t="n"/>
      <c r="H240" s="171" t="n"/>
      <c r="I240" s="185" t="n">
        <v>0.65</v>
      </c>
      <c r="J240" s="185" t="n">
        <v>0.66</v>
      </c>
      <c r="K240" s="185">
        <f>AVERAGE(I240:J240)</f>
        <v/>
      </c>
      <c r="L240" s="171" t="n"/>
      <c r="M240" s="181">
        <f>IF(INDEX(MO_SNA_IsHistoricalPeriod,,MATCH(F240,MO_Common_ColumnHeader,0)),"Actual","Estimate")</f>
        <v/>
      </c>
      <c r="N240" s="185">
        <f>IFERROR(INDEX(INDIRECT(E240),0,MATCH(F240,MO_Common_ColumnHeader,0)),"N/A")</f>
        <v/>
      </c>
      <c r="O240" s="171" t="n"/>
      <c r="P240" s="190">
        <f>IF(ISNUMBER(N240),N240-K240,"N/A")</f>
        <v/>
      </c>
      <c r="Q240" s="190">
        <f>IFERROR(IF(ISNUMBER(N240),(N240-K240)/ABS(K240),"N/A"),"N/A")</f>
        <v/>
      </c>
      <c r="R240" s="171" t="n"/>
      <c r="S240" s="184" t="n">
        <v>44153</v>
      </c>
      <c r="T240" s="191" t="inlineStr">
        <is>
          <t>Press Release</t>
        </is>
      </c>
      <c r="U240" s="171" t="n"/>
    </row>
    <row r="241">
      <c r="A241" s="154" t="n">
        <v>153</v>
      </c>
      <c r="B241" s="181">
        <f>IF(INDEX(MO_SNA_IsHistoricalPeriod,,MATCH(F241,MO_Common_ColumnHeader,0)),"Historical","Forward")</f>
        <v/>
      </c>
      <c r="C241" s="171" t="n"/>
      <c r="D241" s="188" t="inlineStr">
        <is>
          <t>GAAP Operating Expenses</t>
        </is>
      </c>
      <c r="E241" s="182" t="n"/>
      <c r="F241" s="181" t="inlineStr">
        <is>
          <t>Q4-2021</t>
        </is>
      </c>
      <c r="G241" s="181" t="n"/>
      <c r="H241" s="171" t="n"/>
      <c r="I241" s="183" t="n">
        <v>1640</v>
      </c>
      <c r="J241" s="183" t="n">
        <v>1640</v>
      </c>
      <c r="K241" s="183">
        <f>AVERAGE(I241:J241)</f>
        <v/>
      </c>
      <c r="L241" s="171" t="n"/>
      <c r="M241" s="181">
        <f>IF(INDEX(MO_SNA_IsHistoricalPeriod,,MATCH(F241,MO_Common_ColumnHeader,0)),"Actual","Estimate")</f>
        <v/>
      </c>
      <c r="N241" s="183">
        <f>INDEX(MO_RIS_RD,0,MATCH(F241,MO_Common_ColumnHeader,0))+INDEX(MO_RIS_SGA,0,MATCH(F241,MO_Common_ColumnHeader,0))</f>
        <v/>
      </c>
      <c r="O241" s="171" t="n"/>
      <c r="P241" s="189">
        <f>IF(ISNUMBER(N241),N241-K241,"N/A")</f>
        <v/>
      </c>
      <c r="Q241" s="190">
        <f>IFERROR(IF(ISNUMBER(N241),(N241-K241)/ABS(K241),"N/A"),"N/A")</f>
        <v/>
      </c>
      <c r="R241" s="171" t="n"/>
      <c r="S241" s="184" t="n">
        <v>44153</v>
      </c>
      <c r="T241" s="191" t="inlineStr">
        <is>
          <t>Press Release</t>
        </is>
      </c>
      <c r="U241" s="171" t="n"/>
    </row>
    <row r="242">
      <c r="A242" s="154" t="n">
        <v>152</v>
      </c>
      <c r="B242" s="181">
        <f>IF(INDEX(MO_SNA_IsHistoricalPeriod,,MATCH(F242,MO_Common_ColumnHeader,0)),"Historical","Forward")</f>
        <v/>
      </c>
      <c r="C242" s="171" t="n"/>
      <c r="D242" s="188">
        <f>INDEX(INDIRECT(E242),0,COLUMN(MO_Common_Column_A))</f>
        <v/>
      </c>
      <c r="E242" s="182" t="inlineStr">
        <is>
          <t>MO_OS_OPEX</t>
        </is>
      </c>
      <c r="F242" s="181" t="inlineStr">
        <is>
          <t>Q4-2021</t>
        </is>
      </c>
      <c r="G242" s="181" t="n"/>
      <c r="H242" s="171" t="n"/>
      <c r="I242" s="183" t="n">
        <v>1180</v>
      </c>
      <c r="J242" s="183" t="n">
        <v>1180</v>
      </c>
      <c r="K242" s="183">
        <f>AVERAGE(I242:J242)</f>
        <v/>
      </c>
      <c r="L242" s="171" t="n"/>
      <c r="M242" s="181">
        <f>IF(INDEX(MO_SNA_IsHistoricalPeriod,,MATCH(F242,MO_Common_ColumnHeader,0)),"Actual","Estimate")</f>
        <v/>
      </c>
      <c r="N242" s="183">
        <f>IFERROR(INDEX(INDIRECT(E242),0,MATCH(F242,MO_Common_ColumnHeader,0)),"N/A")</f>
        <v/>
      </c>
      <c r="O242" s="171" t="n"/>
      <c r="P242" s="189">
        <f>IF(ISNUMBER(N242),N242-K242,"N/A")</f>
        <v/>
      </c>
      <c r="Q242" s="190">
        <f>IFERROR(IF(ISNUMBER(N242),(N242-K242)/ABS(K242),"N/A"),"N/A")</f>
        <v/>
      </c>
      <c r="R242" s="171" t="n"/>
      <c r="S242" s="184" t="n">
        <v>44153</v>
      </c>
      <c r="T242" s="191" t="inlineStr">
        <is>
          <t>Press Release</t>
        </is>
      </c>
      <c r="U242" s="171" t="n"/>
    </row>
    <row r="243">
      <c r="A243" s="154" t="n">
        <v>151</v>
      </c>
      <c r="B243" s="181">
        <f>IF(INDEX(MO_SNA_IsHistoricalPeriod,,MATCH(F243,MO_Common_ColumnHeader,0)),"Historical","Forward")</f>
        <v/>
      </c>
      <c r="C243" s="171" t="n"/>
      <c r="D243" s="188" t="inlineStr">
        <is>
          <t>GAAP Other Income</t>
        </is>
      </c>
      <c r="E243" s="182" t="n"/>
      <c r="F243" s="181" t="inlineStr">
        <is>
          <t>Q4-2021</t>
        </is>
      </c>
      <c r="G243" s="181" t="n"/>
      <c r="H243" s="171" t="n"/>
      <c r="I243" s="183" t="n">
        <v>55</v>
      </c>
      <c r="J243" s="183" t="n">
        <v>55</v>
      </c>
      <c r="K243" s="183">
        <f>AVERAGE(I243:J243)</f>
        <v/>
      </c>
      <c r="L243" s="171" t="n"/>
      <c r="M243" s="181">
        <f>IF(INDEX(MO_SNA_IsHistoricalPeriod,,MATCH(F243,MO_Common_ColumnHeader,0)),"Actual","Estimate")</f>
        <v/>
      </c>
      <c r="N243" s="183">
        <f>IFERROR(INDEX(INDIRECT(E243),0,MATCH(F243,MO_Common_ColumnHeader,0)),"N/A")</f>
        <v/>
      </c>
      <c r="O243" s="171" t="n"/>
      <c r="P243" s="189">
        <f>IF(ISNUMBER(N243),N243-K243,"N/A")</f>
        <v/>
      </c>
      <c r="Q243" s="190">
        <f>IFERROR(IF(ISNUMBER(N243),(N243-K243)/ABS(K243),"N/A"),"N/A")</f>
        <v/>
      </c>
      <c r="R243" s="171" t="n"/>
      <c r="S243" s="184" t="n">
        <v>44153</v>
      </c>
      <c r="T243" s="191" t="inlineStr">
        <is>
          <t>Press Release</t>
        </is>
      </c>
      <c r="U243" s="171" t="n"/>
    </row>
    <row r="244">
      <c r="A244" s="154" t="n">
        <v>150</v>
      </c>
      <c r="B244" s="181">
        <f>IF(INDEX(MO_SNA_IsHistoricalPeriod,,MATCH(F244,MO_Common_ColumnHeader,0)),"Historical","Forward")</f>
        <v/>
      </c>
      <c r="C244" s="171" t="n"/>
      <c r="D244" s="188" t="inlineStr">
        <is>
          <t>Non-GAAP Other Income</t>
        </is>
      </c>
      <c r="E244" s="182" t="n"/>
      <c r="F244" s="181" t="inlineStr">
        <is>
          <t>Q4-2021</t>
        </is>
      </c>
      <c r="G244" s="181" t="n"/>
      <c r="H244" s="171" t="n"/>
      <c r="I244" s="183" t="n">
        <v>55</v>
      </c>
      <c r="J244" s="183" t="n">
        <v>55</v>
      </c>
      <c r="K244" s="183">
        <f>AVERAGE(I244:J244)</f>
        <v/>
      </c>
      <c r="L244" s="171" t="n"/>
      <c r="M244" s="181">
        <f>IF(INDEX(MO_SNA_IsHistoricalPeriod,,MATCH(F244,MO_Common_ColumnHeader,0)),"Actual","Estimate")</f>
        <v/>
      </c>
      <c r="N244" s="183">
        <f>INDEX(MO_RIS_IE_Net_NONGAAP,0,MATCH(F244,MO_Common_ColumnHeader,0))+INDEX(MO_RIS_OI_NONGAAP,0,MATCH(F244,MO_Common_ColumnHeader,0))</f>
        <v/>
      </c>
      <c r="O244" s="171" t="n"/>
      <c r="P244" s="189">
        <f>IF(ISNUMBER(N244),N244-K244,"N/A")</f>
        <v/>
      </c>
      <c r="Q244" s="190">
        <f>IFERROR(IF(ISNUMBER(N244),(N244-K244)/ABS(K244),"N/A"),"N/A")</f>
        <v/>
      </c>
      <c r="R244" s="171" t="n"/>
      <c r="S244" s="184" t="n">
        <v>44153</v>
      </c>
      <c r="T244" s="191" t="inlineStr">
        <is>
          <t>Press Release</t>
        </is>
      </c>
      <c r="U244" s="171" t="n"/>
    </row>
    <row r="245">
      <c r="A245" s="154" t="n">
        <v>149</v>
      </c>
      <c r="B245" s="181">
        <f>IF(INDEX(MO_SNA_IsHistoricalPeriod,,MATCH(F245,MO_Common_ColumnHeader,0)),"Historical","Forward")</f>
        <v/>
      </c>
      <c r="C245" s="171" t="n"/>
      <c r="D245" s="188" t="inlineStr">
        <is>
          <t>GAAP Tax Rate</t>
        </is>
      </c>
      <c r="E245" s="182" t="inlineStr">
        <is>
          <t>MO_RIS_TaxRate</t>
        </is>
      </c>
      <c r="F245" s="181" t="inlineStr">
        <is>
          <t>Q4-2021</t>
        </is>
      </c>
      <c r="G245" s="181" t="n"/>
      <c r="H245" s="171" t="n"/>
      <c r="I245" s="185" t="n">
        <v>0.07000000000000001</v>
      </c>
      <c r="J245" s="185" t="n">
        <v>0.09</v>
      </c>
      <c r="K245" s="185">
        <f>AVERAGE(I245:J245)</f>
        <v/>
      </c>
      <c r="L245" s="171" t="n"/>
      <c r="M245" s="181">
        <f>IF(INDEX(MO_SNA_IsHistoricalPeriod,,MATCH(F245,MO_Common_ColumnHeader,0)),"Actual","Estimate")</f>
        <v/>
      </c>
      <c r="N245" s="185">
        <f>IFERROR(INDEX(INDIRECT(E245),0,MATCH(F245,MO_Common_ColumnHeader,0)),"N/A")</f>
        <v/>
      </c>
      <c r="O245" s="171" t="n"/>
      <c r="P245" s="190">
        <f>IF(ISNUMBER(N245),N245-K245,"N/A")</f>
        <v/>
      </c>
      <c r="Q245" s="190">
        <f>IFERROR(IF(ISNUMBER(N245),(N245-K245)/ABS(K245),"N/A"),"N/A")</f>
        <v/>
      </c>
      <c r="R245" s="171" t="n"/>
      <c r="S245" s="184" t="n">
        <v>44153</v>
      </c>
      <c r="T245" s="191" t="inlineStr">
        <is>
          <t>Press Release</t>
        </is>
      </c>
      <c r="U245" s="171" t="n"/>
    </row>
    <row r="246">
      <c r="A246" s="154" t="n">
        <v>148</v>
      </c>
      <c r="B246" s="181">
        <f>IF(INDEX(MO_SNA_IsHistoricalPeriod,,MATCH(F246,MO_Common_ColumnHeader,0)),"Historical","Forward")</f>
        <v/>
      </c>
      <c r="C246" s="171" t="n"/>
      <c r="D246" s="188">
        <f>INDEX(INDIRECT(E246),0,COLUMN(MO_Common_Column_A))</f>
        <v/>
      </c>
      <c r="E246" s="182" t="inlineStr">
        <is>
          <t>MO_RIS_TaxRate_NONGAAP</t>
        </is>
      </c>
      <c r="F246" s="181" t="inlineStr">
        <is>
          <t>Q4-2021</t>
        </is>
      </c>
      <c r="G246" s="181" t="n"/>
      <c r="H246" s="171" t="n"/>
      <c r="I246" s="185" t="n">
        <v>0.07000000000000001</v>
      </c>
      <c r="J246" s="185" t="n">
        <v>0.09</v>
      </c>
      <c r="K246" s="185">
        <f>AVERAGE(I246:J246)</f>
        <v/>
      </c>
      <c r="L246" s="171" t="n"/>
      <c r="M246" s="181">
        <f>IF(INDEX(MO_SNA_IsHistoricalPeriod,,MATCH(F246,MO_Common_ColumnHeader,0)),"Actual","Estimate")</f>
        <v/>
      </c>
      <c r="N246" s="185">
        <f>IFERROR(INDEX(INDIRECT(E246),0,MATCH(F246,MO_Common_ColumnHeader,0)),"N/A")</f>
        <v/>
      </c>
      <c r="O246" s="171" t="n"/>
      <c r="P246" s="190">
        <f>IF(ISNUMBER(N246),N246-K246,"N/A")</f>
        <v/>
      </c>
      <c r="Q246" s="190">
        <f>IFERROR(IF(ISNUMBER(N246),(N246-K246)/ABS(K246),"N/A"),"N/A")</f>
        <v/>
      </c>
      <c r="R246" s="171" t="n"/>
      <c r="S246" s="184" t="n">
        <v>44153</v>
      </c>
      <c r="T246" s="191" t="inlineStr">
        <is>
          <t>Press Release</t>
        </is>
      </c>
      <c r="U246" s="171" t="n"/>
    </row>
    <row r="247">
      <c r="A247" s="154" t="n">
        <v>147</v>
      </c>
      <c r="B247" s="181">
        <f>IF(INDEX(MO_SNA_IsHistoricalPeriod,,MATCH(F247,MO_Common_ColumnHeader,0)),"Historical","Forward")</f>
        <v/>
      </c>
      <c r="C247" s="171" t="n"/>
      <c r="D247" s="188" t="inlineStr">
        <is>
          <t>SBC Non-GAAP Adjustments as % of revenue</t>
        </is>
      </c>
      <c r="E247" s="182" t="n"/>
      <c r="F247" s="181" t="inlineStr">
        <is>
          <t>Q4-2021</t>
        </is>
      </c>
      <c r="G247" s="181" t="n"/>
      <c r="H247" s="171" t="n"/>
      <c r="I247" s="185" t="n">
        <v>-0.027</v>
      </c>
      <c r="J247" s="185" t="n">
        <v>-0.027</v>
      </c>
      <c r="K247" s="185">
        <f>AVERAGE(I247:J247)</f>
        <v/>
      </c>
      <c r="L247" s="171" t="n"/>
      <c r="M247" s="181">
        <f>IF(INDEX(MO_SNA_IsHistoricalPeriod,,MATCH(F247,MO_Common_ColumnHeader,0)),"Actual","Estimate")</f>
        <v/>
      </c>
      <c r="N247" s="185">
        <f>(INDEX(MO_RIS_SBC_COGS,0,MATCH(F247,MO_Common_ColumnHeader,0))+INDEX(z_A7FLSL0150_MO_RIS_AcquisitionrelatedcostsCOGS,0,MATCH(F247,MO_Common_ColumnHeader,0))+INDEX(MO_RIS_COGS_Adjustments,0,MATCH(F247,MO_Common_ColumnHeader,0)))/INDEX(MO_RIS_REV,0,MATCH(F247,MO_Common_ColumnHeader,0))</f>
        <v/>
      </c>
      <c r="O247" s="171" t="n"/>
      <c r="P247" s="190">
        <f>IF(ISNUMBER(N247),N247-K247,"N/A")</f>
        <v/>
      </c>
      <c r="Q247" s="190">
        <f>IFERROR(IF(ISNUMBER(N247),(N247-K247)/ABS(K247),"N/A"),"N/A")</f>
        <v/>
      </c>
      <c r="R247" s="171" t="n"/>
      <c r="S247" s="184" t="n">
        <v>44153</v>
      </c>
      <c r="T247" s="191" t="inlineStr">
        <is>
          <t>Press Release</t>
        </is>
      </c>
      <c r="U247" s="171" t="n"/>
    </row>
    <row r="248">
      <c r="A248" s="154" t="n">
        <v>146</v>
      </c>
      <c r="B248" s="181">
        <f>IF(INDEX(MO_SNA_IsHistoricalPeriod,,MATCH(F248,MO_Common_ColumnHeader,0)),"Historical","Forward")</f>
        <v/>
      </c>
      <c r="C248" s="171" t="n"/>
      <c r="D248" s="188" t="inlineStr">
        <is>
          <t>SBC, acquisition related costs and other costs (adjustments for Non-GAAP operating expenses)</t>
        </is>
      </c>
      <c r="E248" s="182" t="n"/>
      <c r="F248" s="181" t="inlineStr">
        <is>
          <t>Q4-2021</t>
        </is>
      </c>
      <c r="G248" s="181" t="n"/>
      <c r="H248" s="171" t="n"/>
      <c r="I248" s="183" t="n">
        <v>-460</v>
      </c>
      <c r="J248" s="183" t="n">
        <v>-460</v>
      </c>
      <c r="K248" s="183">
        <f>AVERAGE(I248:J248)</f>
        <v/>
      </c>
      <c r="L248" s="171" t="n"/>
      <c r="M248" s="181">
        <f>IF(INDEX(MO_SNA_IsHistoricalPeriod,,MATCH(F248,MO_Common_ColumnHeader,0)),"Actual","Estimate")</f>
        <v/>
      </c>
      <c r="N248" s="183">
        <f>-(-INDEX(MO_RIS_OtherOperating_NONGAAP,0,MATCH(F248,MO_Common_ColumnHeader,0))+INDEX(z_A7FLSL0150_MO_RIS_SBC_2,0,MATCH(F248,MO_Common_ColumnHeader,0))+INDEX(z_A7FLSL0150_MO_RIS_sbc_1,0,MATCH(F248,MO_Common_ColumnHeader,0))+INDEX(z_A7FLSL0150_MO_RIS_AcquisitionrelatedcostsRD,0,MATCH(F248,MO_Common_ColumnHeader,0))+INDEX(z_A7FLSL0150_MO_RIS_AcquisitionrelatedcostsSGA,0,MATCH(F248,MO_Common_ColumnHeader,0)))</f>
        <v/>
      </c>
      <c r="O248" s="171" t="n"/>
      <c r="P248" s="189">
        <f>IF(ISNUMBER(N248),N248-K248,"N/A")</f>
        <v/>
      </c>
      <c r="Q248" s="190">
        <f>IFERROR(IF(ISNUMBER(N248),(N248-K248)/ABS(K248),"N/A"),"N/A")</f>
        <v/>
      </c>
      <c r="R248" s="171" t="n"/>
      <c r="S248" s="184" t="n">
        <v>44153</v>
      </c>
      <c r="T248" s="191" t="inlineStr">
        <is>
          <t>Press Release</t>
        </is>
      </c>
      <c r="U248" s="171" t="n"/>
    </row>
    <row r="249">
      <c r="A249" s="154" t="n">
        <v>145</v>
      </c>
      <c r="B249" s="171" t="n"/>
      <c r="C249" s="171" t="n"/>
      <c r="D249" s="168" t="n"/>
      <c r="E249" s="169" t="n"/>
      <c r="F249" s="171" t="n"/>
      <c r="G249" s="171" t="n"/>
      <c r="H249" s="171" t="n"/>
      <c r="I249" s="1013" t="n"/>
      <c r="J249" s="1013" t="n"/>
      <c r="K249" s="1013" t="n"/>
      <c r="L249" s="171" t="n"/>
      <c r="M249" s="171" t="n"/>
      <c r="N249" s="1013" t="n"/>
      <c r="O249" s="171" t="n"/>
      <c r="P249" s="172" t="n"/>
      <c r="Q249" s="134" t="n"/>
      <c r="R249" s="171" t="n"/>
      <c r="S249" s="173" t="n"/>
      <c r="T249" s="192" t="inlineStr">
        <is>
          <t>https://nvidianews.nvidia.com/news/nvidia-announces-financial-results-for-fourth-quarter-and-fiscal-2020</t>
        </is>
      </c>
      <c r="U249" s="171" t="n"/>
    </row>
    <row r="250">
      <c r="A250" s="154" t="n">
        <v>144</v>
      </c>
      <c r="B250" s="181">
        <f>IF(INDEX(MO_SNA_IsHistoricalPeriod,,MATCH(F250,MO_Common_ColumnHeader,0)),"Historical","Forward")</f>
        <v/>
      </c>
      <c r="C250" s="171" t="n"/>
      <c r="D250" s="188">
        <f>INDEX(INDIRECT(E250),0,COLUMN(MO_Common_Column_A))</f>
        <v/>
      </c>
      <c r="E250" s="182" t="inlineStr">
        <is>
          <t>MO_RIS_REV</t>
        </is>
      </c>
      <c r="F250" s="181" t="inlineStr">
        <is>
          <t>Q3-2021</t>
        </is>
      </c>
      <c r="G250" s="181" t="n"/>
      <c r="H250" s="171" t="n"/>
      <c r="I250" s="183">
        <f>4400*0.98</f>
        <v/>
      </c>
      <c r="J250" s="183">
        <f>4400*1.02</f>
        <v/>
      </c>
      <c r="K250" s="183">
        <f>AVERAGE(I250:J250)</f>
        <v/>
      </c>
      <c r="L250" s="171" t="n"/>
      <c r="M250" s="181">
        <f>IF(INDEX(MO_SNA_IsHistoricalPeriod,,MATCH(F250,MO_Common_ColumnHeader,0)),"Actual","Estimate")</f>
        <v/>
      </c>
      <c r="N250" s="183">
        <f>IFERROR(INDEX(INDIRECT(E250),0,MATCH(F250,MO_Common_ColumnHeader,0)),"N/A")</f>
        <v/>
      </c>
      <c r="O250" s="171" t="n"/>
      <c r="P250" s="189">
        <f>IF(ISNUMBER(N250),N250-K250,"N/A")</f>
        <v/>
      </c>
      <c r="Q250" s="190">
        <f>IFERROR(IF(ISNUMBER(N250),(N250-K250)/ABS(K250),"N/A"),"N/A")</f>
        <v/>
      </c>
      <c r="R250" s="171" t="n"/>
      <c r="S250" s="184" t="n">
        <v>44062</v>
      </c>
      <c r="T250" s="191" t="inlineStr">
        <is>
          <t>Press Release</t>
        </is>
      </c>
      <c r="U250" s="171" t="n"/>
    </row>
    <row r="251">
      <c r="A251" s="154" t="n">
        <v>143</v>
      </c>
      <c r="B251" s="181">
        <f>IF(INDEX(MO_SNA_IsHistoricalPeriod,,MATCH(F251,MO_Common_ColumnHeader,0)),"Historical","Forward")</f>
        <v/>
      </c>
      <c r="C251" s="171" t="n"/>
      <c r="D251" s="188">
        <f>INDEX(INDIRECT(E251),0,COLUMN(MO_Common_Column_A))</f>
        <v/>
      </c>
      <c r="E251" s="182" t="inlineStr">
        <is>
          <t>MO_MA_GM</t>
        </is>
      </c>
      <c r="F251" s="181" t="inlineStr">
        <is>
          <t>Q3-2021</t>
        </is>
      </c>
      <c r="G251" s="181" t="n"/>
      <c r="H251" s="171" t="n"/>
      <c r="I251" s="185" t="n">
        <v>0.62</v>
      </c>
      <c r="J251" s="185" t="n">
        <v>0.63</v>
      </c>
      <c r="K251" s="185">
        <f>AVERAGE(I251:J251)</f>
        <v/>
      </c>
      <c r="L251" s="171" t="n"/>
      <c r="M251" s="181">
        <f>IF(INDEX(MO_SNA_IsHistoricalPeriod,,MATCH(F251,MO_Common_ColumnHeader,0)),"Actual","Estimate")</f>
        <v/>
      </c>
      <c r="N251" s="185">
        <f>IFERROR(INDEX(INDIRECT(E251),0,MATCH(F251,MO_Common_ColumnHeader,0)),"N/A")</f>
        <v/>
      </c>
      <c r="O251" s="171" t="n"/>
      <c r="P251" s="190">
        <f>IF(ISNUMBER(N251),N251-K251,"N/A")</f>
        <v/>
      </c>
      <c r="Q251" s="190">
        <f>IFERROR(IF(ISNUMBER(N251),(N251-K251)/ABS(K251),"N/A"),"N/A")</f>
        <v/>
      </c>
      <c r="R251" s="171" t="n"/>
      <c r="S251" s="184" t="n">
        <v>44062</v>
      </c>
      <c r="T251" s="191" t="inlineStr">
        <is>
          <t>Press Release</t>
        </is>
      </c>
      <c r="U251" s="171" t="n"/>
    </row>
    <row r="252">
      <c r="A252" s="154" t="n">
        <v>142</v>
      </c>
      <c r="B252" s="181">
        <f>IF(INDEX(MO_SNA_IsHistoricalPeriod,,MATCH(F252,MO_Common_ColumnHeader,0)),"Historical","Forward")</f>
        <v/>
      </c>
      <c r="C252" s="171" t="n"/>
      <c r="D252" s="188">
        <f>INDEX(INDIRECT(E252),0,COLUMN(MO_Common_Column_A))</f>
        <v/>
      </c>
      <c r="E252" s="182" t="inlineStr">
        <is>
          <t>MO_MA_GM_NONGAAP</t>
        </is>
      </c>
      <c r="F252" s="181" t="inlineStr">
        <is>
          <t>Q3-2021</t>
        </is>
      </c>
      <c r="G252" s="181" t="n"/>
      <c r="H252" s="171" t="n"/>
      <c r="I252" s="185" t="n">
        <v>0.65</v>
      </c>
      <c r="J252" s="185" t="n">
        <v>0.66</v>
      </c>
      <c r="K252" s="185">
        <f>AVERAGE(I252:J252)</f>
        <v/>
      </c>
      <c r="L252" s="171" t="n"/>
      <c r="M252" s="181">
        <f>IF(INDEX(MO_SNA_IsHistoricalPeriod,,MATCH(F252,MO_Common_ColumnHeader,0)),"Actual","Estimate")</f>
        <v/>
      </c>
      <c r="N252" s="185">
        <f>IFERROR(INDEX(INDIRECT(E252),0,MATCH(F252,MO_Common_ColumnHeader,0)),"N/A")</f>
        <v/>
      </c>
      <c r="O252" s="171" t="n"/>
      <c r="P252" s="190">
        <f>IF(ISNUMBER(N252),N252-K252,"N/A")</f>
        <v/>
      </c>
      <c r="Q252" s="190">
        <f>IFERROR(IF(ISNUMBER(N252),(N252-K252)/ABS(K252),"N/A"),"N/A")</f>
        <v/>
      </c>
      <c r="R252" s="171" t="n"/>
      <c r="S252" s="184" t="n">
        <v>44062</v>
      </c>
      <c r="T252" s="191" t="inlineStr">
        <is>
          <t>Press Release</t>
        </is>
      </c>
      <c r="U252" s="171" t="n"/>
    </row>
    <row r="253">
      <c r="A253" s="154" t="n">
        <v>141</v>
      </c>
      <c r="B253" s="181">
        <f>IF(INDEX(MO_SNA_IsHistoricalPeriod,,MATCH(F253,MO_Common_ColumnHeader,0)),"Historical","Forward")</f>
        <v/>
      </c>
      <c r="C253" s="171" t="n"/>
      <c r="D253" s="188" t="inlineStr">
        <is>
          <t>GAAP Operating Expenses</t>
        </is>
      </c>
      <c r="E253" s="182" t="n"/>
      <c r="F253" s="181" t="inlineStr">
        <is>
          <t>Q3-2021</t>
        </is>
      </c>
      <c r="G253" s="181" t="n"/>
      <c r="H253" s="171" t="n"/>
      <c r="I253" s="183" t="n">
        <v>1540</v>
      </c>
      <c r="J253" s="183" t="n">
        <v>1540</v>
      </c>
      <c r="K253" s="183">
        <f>AVERAGE(I253:J253)</f>
        <v/>
      </c>
      <c r="L253" s="171" t="n"/>
      <c r="M253" s="181">
        <f>IF(INDEX(MO_SNA_IsHistoricalPeriod,,MATCH(F253,MO_Common_ColumnHeader,0)),"Actual","Estimate")</f>
        <v/>
      </c>
      <c r="N253" s="183">
        <f>INDEX(MO_RIS_RD,0,MATCH(F253,MO_Common_ColumnHeader,0))+INDEX(MO_RIS_SGA,0,MATCH(F253,MO_Common_ColumnHeader,0))</f>
        <v/>
      </c>
      <c r="O253" s="171" t="n"/>
      <c r="P253" s="189">
        <f>IF(ISNUMBER(N253),N253-K253,"N/A")</f>
        <v/>
      </c>
      <c r="Q253" s="190">
        <f>IFERROR(IF(ISNUMBER(N253),(N253-K253)/ABS(K253),"N/A"),"N/A")</f>
        <v/>
      </c>
      <c r="R253" s="171" t="n"/>
      <c r="S253" s="184" t="n">
        <v>44062</v>
      </c>
      <c r="T253" s="191" t="inlineStr">
        <is>
          <t>Press Release</t>
        </is>
      </c>
      <c r="U253" s="171" t="n"/>
    </row>
    <row r="254">
      <c r="A254" s="154" t="n">
        <v>140</v>
      </c>
      <c r="B254" s="181">
        <f>IF(INDEX(MO_SNA_IsHistoricalPeriod,,MATCH(F254,MO_Common_ColumnHeader,0)),"Historical","Forward")</f>
        <v/>
      </c>
      <c r="C254" s="171" t="n"/>
      <c r="D254" s="188">
        <f>INDEX(INDIRECT(E254),0,COLUMN(MO_Common_Column_A))</f>
        <v/>
      </c>
      <c r="E254" s="182" t="inlineStr">
        <is>
          <t>MO_OS_OPEX</t>
        </is>
      </c>
      <c r="F254" s="181" t="inlineStr">
        <is>
          <t>Q3-2021</t>
        </is>
      </c>
      <c r="G254" s="181" t="n"/>
      <c r="H254" s="171" t="n"/>
      <c r="I254" s="183" t="n">
        <v>1090</v>
      </c>
      <c r="J254" s="183" t="n">
        <v>1090</v>
      </c>
      <c r="K254" s="183">
        <f>AVERAGE(I254:J254)</f>
        <v/>
      </c>
      <c r="L254" s="171" t="n"/>
      <c r="M254" s="181">
        <f>IF(INDEX(MO_SNA_IsHistoricalPeriod,,MATCH(F254,MO_Common_ColumnHeader,0)),"Actual","Estimate")</f>
        <v/>
      </c>
      <c r="N254" s="183">
        <f>IFERROR(INDEX(INDIRECT(E254),0,MATCH(F254,MO_Common_ColumnHeader,0)),"N/A")</f>
        <v/>
      </c>
      <c r="O254" s="171" t="n"/>
      <c r="P254" s="189">
        <f>IF(ISNUMBER(N254),N254-K254,"N/A")</f>
        <v/>
      </c>
      <c r="Q254" s="190">
        <f>IFERROR(IF(ISNUMBER(N254),(N254-K254)/ABS(K254),"N/A"),"N/A")</f>
        <v/>
      </c>
      <c r="R254" s="171" t="n"/>
      <c r="S254" s="184" t="n">
        <v>44062</v>
      </c>
      <c r="T254" s="191" t="inlineStr">
        <is>
          <t>Press Release</t>
        </is>
      </c>
      <c r="U254" s="171" t="n"/>
    </row>
    <row r="255">
      <c r="A255" s="154" t="n">
        <v>139</v>
      </c>
      <c r="B255" s="181">
        <f>IF(INDEX(MO_SNA_IsHistoricalPeriod,,MATCH(F255,MO_Common_ColumnHeader,0)),"Historical","Forward")</f>
        <v/>
      </c>
      <c r="C255" s="171" t="n"/>
      <c r="D255" s="188" t="inlineStr">
        <is>
          <t>GAAP Other Income</t>
        </is>
      </c>
      <c r="E255" s="182" t="n"/>
      <c r="F255" s="181" t="inlineStr">
        <is>
          <t>Q3-2021</t>
        </is>
      </c>
      <c r="G255" s="181" t="n"/>
      <c r="H255" s="171" t="n"/>
      <c r="I255" s="183" t="n">
        <v>55</v>
      </c>
      <c r="J255" s="183" t="n">
        <v>55</v>
      </c>
      <c r="K255" s="183">
        <f>AVERAGE(I255:J255)</f>
        <v/>
      </c>
      <c r="L255" s="171" t="n"/>
      <c r="M255" s="181">
        <f>IF(INDEX(MO_SNA_IsHistoricalPeriod,,MATCH(F255,MO_Common_ColumnHeader,0)),"Actual","Estimate")</f>
        <v/>
      </c>
      <c r="N255" s="183">
        <f>IFERROR(INDEX(INDIRECT(E255),0,MATCH(F255,MO_Common_ColumnHeader,0)),"N/A")</f>
        <v/>
      </c>
      <c r="O255" s="171" t="n"/>
      <c r="P255" s="189">
        <f>IF(ISNUMBER(N255),N255-K255,"N/A")</f>
        <v/>
      </c>
      <c r="Q255" s="190">
        <f>IFERROR(IF(ISNUMBER(N255),(N255-K255)/ABS(K255),"N/A"),"N/A")</f>
        <v/>
      </c>
      <c r="R255" s="171" t="n"/>
      <c r="S255" s="184" t="n">
        <v>44062</v>
      </c>
      <c r="T255" s="191" t="inlineStr">
        <is>
          <t>Press Release</t>
        </is>
      </c>
      <c r="U255" s="171" t="n"/>
    </row>
    <row r="256">
      <c r="A256" s="154" t="n">
        <v>138</v>
      </c>
      <c r="B256" s="181">
        <f>IF(INDEX(MO_SNA_IsHistoricalPeriod,,MATCH(F256,MO_Common_ColumnHeader,0)),"Historical","Forward")</f>
        <v/>
      </c>
      <c r="C256" s="171" t="n"/>
      <c r="D256" s="188" t="inlineStr">
        <is>
          <t>Non-GAAP Other Income</t>
        </is>
      </c>
      <c r="E256" s="182" t="n"/>
      <c r="F256" s="181" t="inlineStr">
        <is>
          <t>Q3-2021</t>
        </is>
      </c>
      <c r="G256" s="181" t="n"/>
      <c r="H256" s="171" t="n"/>
      <c r="I256" s="183" t="n">
        <v>55</v>
      </c>
      <c r="J256" s="183" t="n">
        <v>55</v>
      </c>
      <c r="K256" s="183">
        <f>AVERAGE(I256:J256)</f>
        <v/>
      </c>
      <c r="L256" s="171" t="n"/>
      <c r="M256" s="181">
        <f>IF(INDEX(MO_SNA_IsHistoricalPeriod,,MATCH(F256,MO_Common_ColumnHeader,0)),"Actual","Estimate")</f>
        <v/>
      </c>
      <c r="N256" s="183">
        <f>INDEX(MO_RIS_IE_Net_NONGAAP,0,MATCH(F256,MO_Common_ColumnHeader,0))+INDEX(MO_RIS_OI_NONGAAP,0,MATCH(F256,MO_Common_ColumnHeader,0))</f>
        <v/>
      </c>
      <c r="O256" s="171" t="n"/>
      <c r="P256" s="189">
        <f>IF(ISNUMBER(N256),N256-K256,"N/A")</f>
        <v/>
      </c>
      <c r="Q256" s="190">
        <f>IFERROR(IF(ISNUMBER(N256),(N256-K256)/ABS(K256),"N/A"),"N/A")</f>
        <v/>
      </c>
      <c r="R256" s="171" t="n"/>
      <c r="S256" s="184" t="n">
        <v>44062</v>
      </c>
      <c r="T256" s="191" t="inlineStr">
        <is>
          <t>Press Release</t>
        </is>
      </c>
      <c r="U256" s="171" t="n"/>
    </row>
    <row r="257">
      <c r="A257" s="154" t="n">
        <v>137</v>
      </c>
      <c r="B257" s="181">
        <f>IF(INDEX(MO_SNA_IsHistoricalPeriod,,MATCH(F257,MO_Common_ColumnHeader,0)),"Historical","Forward")</f>
        <v/>
      </c>
      <c r="C257" s="171" t="n"/>
      <c r="D257" s="188" t="inlineStr">
        <is>
          <t>GAAP Tax Rate</t>
        </is>
      </c>
      <c r="E257" s="182" t="inlineStr">
        <is>
          <t>MO_RIS_TaxRate</t>
        </is>
      </c>
      <c r="F257" s="181" t="inlineStr">
        <is>
          <t>Q3-2021</t>
        </is>
      </c>
      <c r="G257" s="181" t="n"/>
      <c r="H257" s="171" t="n"/>
      <c r="I257" s="185" t="n">
        <v>0.07000000000000001</v>
      </c>
      <c r="J257" s="185" t="n">
        <v>0.09</v>
      </c>
      <c r="K257" s="185">
        <f>AVERAGE(I257:J257)</f>
        <v/>
      </c>
      <c r="L257" s="171" t="n"/>
      <c r="M257" s="181">
        <f>IF(INDEX(MO_SNA_IsHistoricalPeriod,,MATCH(F257,MO_Common_ColumnHeader,0)),"Actual","Estimate")</f>
        <v/>
      </c>
      <c r="N257" s="185">
        <f>IFERROR(INDEX(INDIRECT(E257),0,MATCH(F257,MO_Common_ColumnHeader,0)),"N/A")</f>
        <v/>
      </c>
      <c r="O257" s="171" t="n"/>
      <c r="P257" s="190">
        <f>IF(ISNUMBER(N257),N257-K257,"N/A")</f>
        <v/>
      </c>
      <c r="Q257" s="190">
        <f>IFERROR(IF(ISNUMBER(N257),(N257-K257)/ABS(K257),"N/A"),"N/A")</f>
        <v/>
      </c>
      <c r="R257" s="171" t="n"/>
      <c r="S257" s="184" t="n">
        <v>44062</v>
      </c>
      <c r="T257" s="191" t="inlineStr">
        <is>
          <t>Press Release</t>
        </is>
      </c>
      <c r="U257" s="171" t="n"/>
    </row>
    <row r="258">
      <c r="A258" s="154" t="n">
        <v>136</v>
      </c>
      <c r="B258" s="181">
        <f>IF(INDEX(MO_SNA_IsHistoricalPeriod,,MATCH(F258,MO_Common_ColumnHeader,0)),"Historical","Forward")</f>
        <v/>
      </c>
      <c r="C258" s="171" t="n"/>
      <c r="D258" s="188">
        <f>INDEX(INDIRECT(E258),0,COLUMN(MO_Common_Column_A))</f>
        <v/>
      </c>
      <c r="E258" s="182" t="inlineStr">
        <is>
          <t>MO_RIS_TaxRate_NONGAAP</t>
        </is>
      </c>
      <c r="F258" s="181" t="inlineStr">
        <is>
          <t>Q3-2021</t>
        </is>
      </c>
      <c r="G258" s="181" t="n"/>
      <c r="H258" s="171" t="n"/>
      <c r="I258" s="185" t="n">
        <v>0.07000000000000001</v>
      </c>
      <c r="J258" s="185" t="n">
        <v>0.09</v>
      </c>
      <c r="K258" s="185">
        <f>AVERAGE(I258:J258)</f>
        <v/>
      </c>
      <c r="L258" s="171" t="n"/>
      <c r="M258" s="181">
        <f>IF(INDEX(MO_SNA_IsHistoricalPeriod,,MATCH(F258,MO_Common_ColumnHeader,0)),"Actual","Estimate")</f>
        <v/>
      </c>
      <c r="N258" s="185">
        <f>IFERROR(INDEX(INDIRECT(E258),0,MATCH(F258,MO_Common_ColumnHeader,0)),"N/A")</f>
        <v/>
      </c>
      <c r="O258" s="171" t="n"/>
      <c r="P258" s="190">
        <f>IF(ISNUMBER(N258),N258-K258,"N/A")</f>
        <v/>
      </c>
      <c r="Q258" s="190">
        <f>IFERROR(IF(ISNUMBER(N258),(N258-K258)/ABS(K258),"N/A"),"N/A")</f>
        <v/>
      </c>
      <c r="R258" s="171" t="n"/>
      <c r="S258" s="184" t="n">
        <v>44062</v>
      </c>
      <c r="T258" s="191" t="inlineStr">
        <is>
          <t>Press Release</t>
        </is>
      </c>
      <c r="U258" s="171" t="n"/>
    </row>
    <row r="259">
      <c r="A259" s="154" t="n">
        <v>135</v>
      </c>
      <c r="B259" s="181">
        <f>IF(INDEX(MO_SNA_IsHistoricalPeriod,,MATCH(F259,MO_Common_ColumnHeader,0)),"Historical","Forward")</f>
        <v/>
      </c>
      <c r="C259" s="171" t="n"/>
      <c r="D259" s="188">
        <f>INDEX(INDIRECT(E259),0,COLUMN(MO_Common_Column_A))</f>
        <v/>
      </c>
      <c r="E259" s="182" t="inlineStr">
        <is>
          <t>MO_CFSum_Capex</t>
        </is>
      </c>
      <c r="F259" s="181" t="inlineStr">
        <is>
          <t>Q3-2021</t>
        </is>
      </c>
      <c r="G259" s="181" t="n"/>
      <c r="H259" s="171" t="n"/>
      <c r="I259" s="183" t="n">
        <v>-225</v>
      </c>
      <c r="J259" s="183" t="n">
        <v>-250</v>
      </c>
      <c r="K259" s="183">
        <f>AVERAGE(I259:J259)</f>
        <v/>
      </c>
      <c r="L259" s="171" t="n"/>
      <c r="M259" s="181">
        <f>IF(INDEX(MO_SNA_IsHistoricalPeriod,,MATCH(F259,MO_Common_ColumnHeader,0)),"Actual","Estimate")</f>
        <v/>
      </c>
      <c r="N259" s="183">
        <f>IFERROR(INDEX(INDIRECT(E259),0,MATCH(F259,MO_Common_ColumnHeader,0)),"N/A")</f>
        <v/>
      </c>
      <c r="O259" s="171" t="n"/>
      <c r="P259" s="189">
        <f>IF(ISNUMBER(N259),N259-K259,"N/A")</f>
        <v/>
      </c>
      <c r="Q259" s="190">
        <f>IFERROR(IF(ISNUMBER(N259),(N259-K259)/ABS(K259),"N/A"),"N/A")</f>
        <v/>
      </c>
      <c r="R259" s="171" t="n"/>
      <c r="S259" s="184" t="n">
        <v>44062</v>
      </c>
      <c r="T259" s="191" t="inlineStr">
        <is>
          <t>Press Release</t>
        </is>
      </c>
      <c r="U259" s="171" t="n"/>
    </row>
    <row r="260">
      <c r="A260" s="154" t="n">
        <v>134</v>
      </c>
      <c r="B260" s="181">
        <f>IF(INDEX(MO_SNA_IsHistoricalPeriod,,MATCH(F260,MO_Common_ColumnHeader,0)),"Historical","Forward")</f>
        <v/>
      </c>
      <c r="C260" s="171" t="n"/>
      <c r="D260" s="188" t="inlineStr">
        <is>
          <t>SBC Non-GAAP Adjustments as % of revenue</t>
        </is>
      </c>
      <c r="E260" s="182" t="n"/>
      <c r="F260" s="181" t="inlineStr">
        <is>
          <t>Q3-2021</t>
        </is>
      </c>
      <c r="G260" s="181" t="n"/>
      <c r="H260" s="171" t="n"/>
      <c r="I260" s="185" t="n">
        <v>-0.03</v>
      </c>
      <c r="J260" s="185" t="n">
        <v>-0.03</v>
      </c>
      <c r="K260" s="185">
        <f>AVERAGE(I260:J260)</f>
        <v/>
      </c>
      <c r="L260" s="171" t="n"/>
      <c r="M260" s="181">
        <f>IF(INDEX(MO_SNA_IsHistoricalPeriod,,MATCH(F260,MO_Common_ColumnHeader,0)),"Actual","Estimate")</f>
        <v/>
      </c>
      <c r="N260" s="185">
        <f>(INDEX(MO_RIS_SBC_COGS,0,MATCH(F260,MO_Common_ColumnHeader,0))+INDEX(z_A7FLSL0150_MO_RIS_AcquisitionrelatedcostsCOGS,0,MATCH(F260,MO_Common_ColumnHeader,0))+INDEX(MO_RIS_COGS_Adjustments,0,MATCH(F260,MO_Common_ColumnHeader,0)))/INDEX(MO_RIS_REV,0,MATCH(F260,MO_Common_ColumnHeader,0))</f>
        <v/>
      </c>
      <c r="O260" s="171" t="n"/>
      <c r="P260" s="190">
        <f>IF(ISNUMBER(N260),N260-K260,"N/A")</f>
        <v/>
      </c>
      <c r="Q260" s="190">
        <f>IFERROR(IF(ISNUMBER(N260),(N260-K260)/ABS(K260),"N/A"),"N/A")</f>
        <v/>
      </c>
      <c r="R260" s="171" t="n"/>
      <c r="S260" s="184" t="n">
        <v>44062</v>
      </c>
      <c r="T260" s="191" t="inlineStr">
        <is>
          <t>Press Release</t>
        </is>
      </c>
      <c r="U260" s="171" t="n"/>
    </row>
    <row r="261">
      <c r="A261" s="154" t="n">
        <v>133</v>
      </c>
      <c r="B261" s="181">
        <f>IF(INDEX(MO_SNA_IsHistoricalPeriod,,MATCH(F261,MO_Common_ColumnHeader,0)),"Historical","Forward")</f>
        <v/>
      </c>
      <c r="C261" s="171" t="n"/>
      <c r="D261" s="188" t="inlineStr">
        <is>
          <t>SBC, acquisition related costs and other costs (adjustments for Non-GAAP operating expenses)</t>
        </is>
      </c>
      <c r="E261" s="182" t="n"/>
      <c r="F261" s="181" t="inlineStr">
        <is>
          <t>Q3-2021</t>
        </is>
      </c>
      <c r="G261" s="181" t="n"/>
      <c r="H261" s="171" t="n"/>
      <c r="I261" s="183" t="n">
        <v>-445</v>
      </c>
      <c r="J261" s="183" t="n">
        <v>-445</v>
      </c>
      <c r="K261" s="183">
        <f>AVERAGE(I261:J261)</f>
        <v/>
      </c>
      <c r="L261" s="171" t="n"/>
      <c r="M261" s="181">
        <f>IF(INDEX(MO_SNA_IsHistoricalPeriod,,MATCH(F261,MO_Common_ColumnHeader,0)),"Actual","Estimate")</f>
        <v/>
      </c>
      <c r="N261" s="183">
        <f>-(-INDEX(MO_RIS_OtherOperating_NONGAAP,0,MATCH(F261,MO_Common_ColumnHeader,0))+INDEX(z_A7FLSL0150_MO_RIS_SBC_2,0,MATCH(F261,MO_Common_ColumnHeader,0))+INDEX(z_A7FLSL0150_MO_RIS_sbc_1,0,MATCH(F261,MO_Common_ColumnHeader,0))+INDEX(z_A7FLSL0150_MO_RIS_AcquisitionrelatedcostsRD,0,MATCH(F261,MO_Common_ColumnHeader,0))+INDEX(z_A7FLSL0150_MO_RIS_AcquisitionrelatedcostsSGA,0,MATCH(F261,MO_Common_ColumnHeader,0)))</f>
        <v/>
      </c>
      <c r="O261" s="171" t="n"/>
      <c r="P261" s="189">
        <f>IF(ISNUMBER(N261),N261-K261,"N/A")</f>
        <v/>
      </c>
      <c r="Q261" s="190">
        <f>IFERROR(IF(ISNUMBER(N261),(N261-K261)/ABS(K261),"N/A"),"N/A")</f>
        <v/>
      </c>
      <c r="R261" s="171" t="n"/>
      <c r="S261" s="184" t="n">
        <v>44062</v>
      </c>
      <c r="T261" s="191" t="inlineStr">
        <is>
          <t>Press Release</t>
        </is>
      </c>
      <c r="U261" s="171" t="n"/>
    </row>
    <row r="262">
      <c r="A262" s="154" t="n">
        <v>132</v>
      </c>
      <c r="B262" s="171" t="n"/>
      <c r="C262" s="171" t="n"/>
      <c r="D262" s="168" t="n"/>
      <c r="E262" s="169" t="n"/>
      <c r="F262" s="171" t="n"/>
      <c r="G262" s="171" t="n"/>
      <c r="H262" s="171" t="n"/>
      <c r="I262" s="1013" t="n"/>
      <c r="J262" s="1013" t="n"/>
      <c r="K262" s="1013" t="n"/>
      <c r="L262" s="171" t="n"/>
      <c r="M262" s="171" t="n"/>
      <c r="N262" s="1013" t="n"/>
      <c r="O262" s="171" t="n"/>
      <c r="P262" s="172" t="n"/>
      <c r="Q262" s="134" t="n"/>
      <c r="R262" s="171" t="n"/>
      <c r="S262" s="173" t="n"/>
      <c r="T262" s="192" t="inlineStr">
        <is>
          <t>https://nvidianews.nvidia.com/news/nvidia-announces-financial-results-for-fourth-quarter-and-fiscal-2020</t>
        </is>
      </c>
      <c r="U262" s="171" t="n"/>
    </row>
    <row r="263">
      <c r="A263" s="154" t="n">
        <v>131</v>
      </c>
      <c r="B263" s="181">
        <f>IF(INDEX(MO_SNA_IsHistoricalPeriod,,MATCH(F263,MO_Common_ColumnHeader,0)),"Historical","Forward")</f>
        <v/>
      </c>
      <c r="C263" s="171" t="n"/>
      <c r="D263" s="188" t="inlineStr">
        <is>
          <t>GAAP Operating Expenses</t>
        </is>
      </c>
      <c r="E263" s="182" t="n"/>
      <c r="F263" s="181" t="inlineStr">
        <is>
          <t>FY2021</t>
        </is>
      </c>
      <c r="G263" s="181" t="n"/>
      <c r="H263" s="171" t="n"/>
      <c r="I263" s="183" t="n">
        <v>5700</v>
      </c>
      <c r="J263" s="183" t="n">
        <v>5700</v>
      </c>
      <c r="K263" s="183">
        <f>AVERAGE(I263:J263)</f>
        <v/>
      </c>
      <c r="L263" s="171" t="n"/>
      <c r="M263" s="181">
        <f>IF(INDEX(MO_SNA_IsHistoricalPeriod,,MATCH(F263,MO_Common_ColumnHeader,0)),"Actual","Estimate")</f>
        <v/>
      </c>
      <c r="N263" s="183">
        <f>INDEX(MO_RIS_RD,0,MATCH(F263,MO_Common_ColumnHeader,0))+INDEX(MO_RIS_SGA,0,MATCH(F263,MO_Common_ColumnHeader,0))</f>
        <v/>
      </c>
      <c r="O263" s="171" t="n"/>
      <c r="P263" s="189">
        <f>IF(ISNUMBER(N263),N263-K263,"N/A")</f>
        <v/>
      </c>
      <c r="Q263" s="190">
        <f>IFERROR(IF(ISNUMBER(N263),(N263-K263)/ABS(K263),"N/A"),"N/A")</f>
        <v/>
      </c>
      <c r="R263" s="171" t="n"/>
      <c r="S263" s="184" t="n">
        <v>43972</v>
      </c>
      <c r="T263" s="191" t="inlineStr">
        <is>
          <t>Press Release</t>
        </is>
      </c>
      <c r="U263" s="171" t="n"/>
    </row>
    <row r="264">
      <c r="A264" s="154" t="n">
        <v>130</v>
      </c>
      <c r="B264" s="181">
        <f>IF(INDEX(MO_SNA_IsHistoricalPeriod,,MATCH(F264,MO_Common_ColumnHeader,0)),"Historical","Forward")</f>
        <v/>
      </c>
      <c r="C264" s="171" t="n"/>
      <c r="D264" s="188">
        <f>INDEX(INDIRECT(E264),0,COLUMN(MO_Common_Column_A))</f>
        <v/>
      </c>
      <c r="E264" s="182" t="inlineStr">
        <is>
          <t>MO_OS_OPEX</t>
        </is>
      </c>
      <c r="F264" s="181" t="inlineStr">
        <is>
          <t>FY2021</t>
        </is>
      </c>
      <c r="G264" s="181" t="n"/>
      <c r="H264" s="171" t="n"/>
      <c r="I264" s="183" t="n">
        <v>4100</v>
      </c>
      <c r="J264" s="183" t="n">
        <v>4100</v>
      </c>
      <c r="K264" s="183">
        <f>AVERAGE(I264:J264)</f>
        <v/>
      </c>
      <c r="L264" s="171" t="n"/>
      <c r="M264" s="181">
        <f>IF(INDEX(MO_SNA_IsHistoricalPeriod,,MATCH(F264,MO_Common_ColumnHeader,0)),"Actual","Estimate")</f>
        <v/>
      </c>
      <c r="N264" s="183">
        <f>IFERROR(INDEX(INDIRECT(E264),0,MATCH(F264,MO_Common_ColumnHeader,0)),"N/A")</f>
        <v/>
      </c>
      <c r="O264" s="171" t="n"/>
      <c r="P264" s="189">
        <f>IF(ISNUMBER(N264),N264-K264,"N/A")</f>
        <v/>
      </c>
      <c r="Q264" s="190">
        <f>IFERROR(IF(ISNUMBER(N264),(N264-K264)/ABS(K264),"N/A"),"N/A")</f>
        <v/>
      </c>
      <c r="R264" s="171" t="n"/>
      <c r="S264" s="184" t="n">
        <v>43972</v>
      </c>
      <c r="T264" s="191" t="inlineStr">
        <is>
          <t>Press Release</t>
        </is>
      </c>
      <c r="U264" s="171" t="n"/>
    </row>
    <row r="265">
      <c r="A265" s="154" t="n">
        <v>129</v>
      </c>
      <c r="B265" s="181">
        <f>IF(INDEX(MO_SNA_IsHistoricalPeriod,,MATCH(F265,MO_Common_ColumnHeader,0)),"Historical","Forward")</f>
        <v/>
      </c>
      <c r="C265" s="171" t="n"/>
      <c r="D265" s="188" t="inlineStr">
        <is>
          <t>SBC, acquisition related costs and other costs (adjustments for Non-GAAP operating expenses)</t>
        </is>
      </c>
      <c r="E265" s="182" t="n"/>
      <c r="F265" s="181" t="inlineStr">
        <is>
          <t>FY2021</t>
        </is>
      </c>
      <c r="G265" s="181" t="n"/>
      <c r="H265" s="171" t="n"/>
      <c r="I265" s="183" t="n">
        <v>-1600</v>
      </c>
      <c r="J265" s="183" t="n">
        <v>-1600</v>
      </c>
      <c r="K265" s="183">
        <f>AVERAGE(I265:J265)</f>
        <v/>
      </c>
      <c r="L265" s="171" t="n"/>
      <c r="M265" s="181">
        <f>IF(INDEX(MO_SNA_IsHistoricalPeriod,,MATCH(F265,MO_Common_ColumnHeader,0)),"Actual","Estimate")</f>
        <v/>
      </c>
      <c r="N265" s="183">
        <f>-(-INDEX(MO_RIS_OtherOperating_NONGAAP,0,MATCH(F265,MO_Common_ColumnHeader,0))+INDEX(z_A7FLSL0150_MO_RIS_SBC_2,0,MATCH(F265,MO_Common_ColumnHeader,0))+INDEX(z_A7FLSL0150_MO_RIS_sbc_1,0,MATCH(F265,MO_Common_ColumnHeader,0))+INDEX(z_A7FLSL0150_MO_RIS_AcquisitionrelatedcostsRD,0,MATCH(F265,MO_Common_ColumnHeader,0))+INDEX(z_A7FLSL0150_MO_RIS_AcquisitionrelatedcostsSGA,0,MATCH(F265,MO_Common_ColumnHeader,0)))</f>
        <v/>
      </c>
      <c r="O265" s="171" t="n"/>
      <c r="P265" s="189">
        <f>IF(ISNUMBER(N265),N265-K265,"N/A")</f>
        <v/>
      </c>
      <c r="Q265" s="190">
        <f>IFERROR(IF(ISNUMBER(N265),(N265-K265)/ABS(K265),"N/A"),"N/A")</f>
        <v/>
      </c>
      <c r="R265" s="171" t="n"/>
      <c r="S265" s="184" t="n">
        <v>43972</v>
      </c>
      <c r="T265" s="191" t="inlineStr">
        <is>
          <t>Press Release</t>
        </is>
      </c>
      <c r="U265" s="171" t="n"/>
    </row>
    <row r="266">
      <c r="A266" s="154" t="n">
        <v>128</v>
      </c>
      <c r="B266" s="171" t="n"/>
      <c r="C266" s="171" t="n"/>
      <c r="D266" s="168" t="n"/>
      <c r="E266" s="169" t="n"/>
      <c r="F266" s="171" t="n"/>
      <c r="G266" s="171" t="n"/>
      <c r="H266" s="171" t="n"/>
      <c r="I266" s="1013" t="n"/>
      <c r="J266" s="1013" t="n"/>
      <c r="K266" s="1013" t="n"/>
      <c r="L266" s="171" t="n"/>
      <c r="M266" s="171" t="n"/>
      <c r="N266" s="1013" t="n"/>
      <c r="O266" s="171" t="n"/>
      <c r="P266" s="172" t="n"/>
      <c r="Q266" s="134" t="n"/>
      <c r="R266" s="171" t="n"/>
      <c r="S266" s="173" t="n"/>
      <c r="T266" s="192" t="inlineStr">
        <is>
          <t>https://nvidianews.nvidia.com/news/nvidia-announces-financial-results-for-fourth-quarter-and-fiscal-2020</t>
        </is>
      </c>
      <c r="U266" s="171" t="n"/>
    </row>
    <row r="267">
      <c r="A267" s="154" t="n">
        <v>127</v>
      </c>
      <c r="B267" s="181">
        <f>IF(INDEX(MO_SNA_IsHistoricalPeriod,,MATCH(F267,MO_Common_ColumnHeader,0)),"Historical","Forward")</f>
        <v/>
      </c>
      <c r="C267" s="171" t="n"/>
      <c r="D267" s="188">
        <f>INDEX(INDIRECT(E267),0,COLUMN(MO_Common_Column_A))</f>
        <v/>
      </c>
      <c r="E267" s="182" t="inlineStr">
        <is>
          <t>MO_RIS_REV</t>
        </is>
      </c>
      <c r="F267" s="181" t="inlineStr">
        <is>
          <t>Q2-2021</t>
        </is>
      </c>
      <c r="G267" s="181" t="n"/>
      <c r="H267" s="171" t="n"/>
      <c r="I267" s="183" t="n">
        <v>3577</v>
      </c>
      <c r="J267" s="183" t="n">
        <v>3723</v>
      </c>
      <c r="K267" s="183">
        <f>AVERAGE(I267:J267)</f>
        <v/>
      </c>
      <c r="L267" s="171" t="n"/>
      <c r="M267" s="181">
        <f>IF(INDEX(MO_SNA_IsHistoricalPeriod,,MATCH(F267,MO_Common_ColumnHeader,0)),"Actual","Estimate")</f>
        <v/>
      </c>
      <c r="N267" s="183">
        <f>IFERROR(INDEX(INDIRECT(E267),0,MATCH(F267,MO_Common_ColumnHeader,0)),"N/A")</f>
        <v/>
      </c>
      <c r="O267" s="171" t="n"/>
      <c r="P267" s="189">
        <f>IF(ISNUMBER(N267),N267-K267,"N/A")</f>
        <v/>
      </c>
      <c r="Q267" s="190">
        <f>IFERROR(IF(ISNUMBER(N267),(N267-K267)/ABS(K267),"N/A"),"N/A")</f>
        <v/>
      </c>
      <c r="R267" s="171" t="n"/>
      <c r="S267" s="184" t="n">
        <v>43972</v>
      </c>
      <c r="T267" s="191" t="inlineStr">
        <is>
          <t>Press Release</t>
        </is>
      </c>
      <c r="U267" s="171" t="n"/>
    </row>
    <row r="268">
      <c r="A268" s="154" t="n">
        <v>126</v>
      </c>
      <c r="B268" s="181">
        <f>IF(INDEX(MO_SNA_IsHistoricalPeriod,,MATCH(F268,MO_Common_ColumnHeader,0)),"Historical","Forward")</f>
        <v/>
      </c>
      <c r="C268" s="171" t="n"/>
      <c r="D268" s="188">
        <f>INDEX(INDIRECT(E268),0,COLUMN(MO_Common_Column_A))</f>
        <v/>
      </c>
      <c r="E268" s="182" t="inlineStr">
        <is>
          <t>MO_MA_GM</t>
        </is>
      </c>
      <c r="F268" s="181" t="inlineStr">
        <is>
          <t>Q2-2021</t>
        </is>
      </c>
      <c r="G268" s="181" t="n"/>
      <c r="H268" s="171" t="n"/>
      <c r="I268" s="185" t="n">
        <v>0.581</v>
      </c>
      <c r="J268" s="185" t="n">
        <v>0.591</v>
      </c>
      <c r="K268" s="185">
        <f>AVERAGE(I268:J268)</f>
        <v/>
      </c>
      <c r="L268" s="171" t="n"/>
      <c r="M268" s="181">
        <f>IF(INDEX(MO_SNA_IsHistoricalPeriod,,MATCH(F268,MO_Common_ColumnHeader,0)),"Actual","Estimate")</f>
        <v/>
      </c>
      <c r="N268" s="185">
        <f>IFERROR(INDEX(INDIRECT(E268),0,MATCH(F268,MO_Common_ColumnHeader,0)),"N/A")</f>
        <v/>
      </c>
      <c r="O268" s="171" t="n"/>
      <c r="P268" s="190">
        <f>IF(ISNUMBER(N268),N268-K268,"N/A")</f>
        <v/>
      </c>
      <c r="Q268" s="190">
        <f>IFERROR(IF(ISNUMBER(N268),(N268-K268)/ABS(K268),"N/A"),"N/A")</f>
        <v/>
      </c>
      <c r="R268" s="171" t="n"/>
      <c r="S268" s="184" t="n">
        <v>43972</v>
      </c>
      <c r="T268" s="191" t="inlineStr">
        <is>
          <t>Press Release</t>
        </is>
      </c>
      <c r="U268" s="171" t="n"/>
    </row>
    <row r="269">
      <c r="A269" s="154" t="n">
        <v>125</v>
      </c>
      <c r="B269" s="181">
        <f>IF(INDEX(MO_SNA_IsHistoricalPeriod,,MATCH(F269,MO_Common_ColumnHeader,0)),"Historical","Forward")</f>
        <v/>
      </c>
      <c r="C269" s="171" t="n"/>
      <c r="D269" s="188">
        <f>INDEX(INDIRECT(E269),0,COLUMN(MO_Common_Column_A))</f>
        <v/>
      </c>
      <c r="E269" s="182" t="inlineStr">
        <is>
          <t>MO_MA_GM_NONGAAP</t>
        </is>
      </c>
      <c r="F269" s="181" t="inlineStr">
        <is>
          <t>Q2-2021</t>
        </is>
      </c>
      <c r="G269" s="181" t="n"/>
      <c r="H269" s="171" t="n"/>
      <c r="I269" s="185" t="n">
        <v>0.655</v>
      </c>
      <c r="J269" s="185" t="n">
        <v>0.665</v>
      </c>
      <c r="K269" s="185">
        <f>AVERAGE(I269:J269)</f>
        <v/>
      </c>
      <c r="L269" s="171" t="n"/>
      <c r="M269" s="181">
        <f>IF(INDEX(MO_SNA_IsHistoricalPeriod,,MATCH(F269,MO_Common_ColumnHeader,0)),"Actual","Estimate")</f>
        <v/>
      </c>
      <c r="N269" s="185">
        <f>IFERROR(INDEX(INDIRECT(E269),0,MATCH(F269,MO_Common_ColumnHeader,0)),"N/A")</f>
        <v/>
      </c>
      <c r="O269" s="171" t="n"/>
      <c r="P269" s="190">
        <f>IF(ISNUMBER(N269),N269-K269,"N/A")</f>
        <v/>
      </c>
      <c r="Q269" s="190">
        <f>IFERROR(IF(ISNUMBER(N269),(N269-K269)/ABS(K269),"N/A"),"N/A")</f>
        <v/>
      </c>
      <c r="R269" s="171" t="n"/>
      <c r="S269" s="184" t="n">
        <v>43972</v>
      </c>
      <c r="T269" s="191" t="inlineStr">
        <is>
          <t>Press Release</t>
        </is>
      </c>
      <c r="U269" s="171" t="n"/>
    </row>
    <row r="270">
      <c r="A270" s="154" t="n">
        <v>124</v>
      </c>
      <c r="B270" s="181">
        <f>IF(INDEX(MO_SNA_IsHistoricalPeriod,,MATCH(F270,MO_Common_ColumnHeader,0)),"Historical","Forward")</f>
        <v/>
      </c>
      <c r="C270" s="171" t="n"/>
      <c r="D270" s="188" t="inlineStr">
        <is>
          <t>GAAP Operating Expenses</t>
        </is>
      </c>
      <c r="E270" s="182" t="n"/>
      <c r="F270" s="181" t="inlineStr">
        <is>
          <t>Q2-2021</t>
        </is>
      </c>
      <c r="G270" s="181" t="n"/>
      <c r="H270" s="171" t="n"/>
      <c r="I270" s="183" t="n">
        <v>1520</v>
      </c>
      <c r="J270" s="183" t="n">
        <v>1520</v>
      </c>
      <c r="K270" s="183">
        <f>AVERAGE(I270:J270)</f>
        <v/>
      </c>
      <c r="L270" s="171" t="n"/>
      <c r="M270" s="181">
        <f>IF(INDEX(MO_SNA_IsHistoricalPeriod,,MATCH(F270,MO_Common_ColumnHeader,0)),"Actual","Estimate")</f>
        <v/>
      </c>
      <c r="N270" s="183">
        <f>INDEX(MO_RIS_RD,0,MATCH(F270,MO_Common_ColumnHeader,0))+INDEX(MO_RIS_SGA,0,MATCH(F270,MO_Common_ColumnHeader,0))</f>
        <v/>
      </c>
      <c r="O270" s="171" t="n"/>
      <c r="P270" s="189">
        <f>IF(ISNUMBER(N270),N270-K270,"N/A")</f>
        <v/>
      </c>
      <c r="Q270" s="190">
        <f>IFERROR(IF(ISNUMBER(N270),(N270-K270)/ABS(K270),"N/A"),"N/A")</f>
        <v/>
      </c>
      <c r="R270" s="171" t="n"/>
      <c r="S270" s="184" t="n">
        <v>43972</v>
      </c>
      <c r="T270" s="191" t="inlineStr">
        <is>
          <t>Press Release</t>
        </is>
      </c>
      <c r="U270" s="171" t="n"/>
    </row>
    <row r="271">
      <c r="A271" s="154" t="n">
        <v>123</v>
      </c>
      <c r="B271" s="181">
        <f>IF(INDEX(MO_SNA_IsHistoricalPeriod,,MATCH(F271,MO_Common_ColumnHeader,0)),"Historical","Forward")</f>
        <v/>
      </c>
      <c r="C271" s="171" t="n"/>
      <c r="D271" s="188">
        <f>INDEX(INDIRECT(E271),0,COLUMN(MO_Common_Column_A))</f>
        <v/>
      </c>
      <c r="E271" s="182" t="inlineStr">
        <is>
          <t>MO_OS_OPEX</t>
        </is>
      </c>
      <c r="F271" s="181" t="inlineStr">
        <is>
          <t>Q2-2021</t>
        </is>
      </c>
      <c r="G271" s="181" t="n"/>
      <c r="H271" s="171" t="n"/>
      <c r="I271" s="183" t="n">
        <v>1040</v>
      </c>
      <c r="J271" s="183" t="n">
        <v>1040</v>
      </c>
      <c r="K271" s="183">
        <f>AVERAGE(I271:J271)</f>
        <v/>
      </c>
      <c r="L271" s="171" t="n"/>
      <c r="M271" s="181">
        <f>IF(INDEX(MO_SNA_IsHistoricalPeriod,,MATCH(F271,MO_Common_ColumnHeader,0)),"Actual","Estimate")</f>
        <v/>
      </c>
      <c r="N271" s="183">
        <f>IFERROR(INDEX(INDIRECT(E271),0,MATCH(F271,MO_Common_ColumnHeader,0)),"N/A")</f>
        <v/>
      </c>
      <c r="O271" s="171" t="n"/>
      <c r="P271" s="189">
        <f>IF(ISNUMBER(N271),N271-K271,"N/A")</f>
        <v/>
      </c>
      <c r="Q271" s="190">
        <f>IFERROR(IF(ISNUMBER(N271),(N271-K271)/ABS(K271),"N/A"),"N/A")</f>
        <v/>
      </c>
      <c r="R271" s="171" t="n"/>
      <c r="S271" s="184" t="n">
        <v>43972</v>
      </c>
      <c r="T271" s="191" t="inlineStr">
        <is>
          <t>Press Release</t>
        </is>
      </c>
      <c r="U271" s="171" t="n"/>
    </row>
    <row r="272">
      <c r="A272" s="154" t="n">
        <v>122</v>
      </c>
      <c r="B272" s="181">
        <f>IF(INDEX(MO_SNA_IsHistoricalPeriod,,MATCH(F272,MO_Common_ColumnHeader,0)),"Historical","Forward")</f>
        <v/>
      </c>
      <c r="C272" s="171" t="n"/>
      <c r="D272" s="188" t="inlineStr">
        <is>
          <t>GAAP Other Income</t>
        </is>
      </c>
      <c r="E272" s="182" t="n"/>
      <c r="F272" s="181" t="inlineStr">
        <is>
          <t>Q2-2021</t>
        </is>
      </c>
      <c r="G272" s="181" t="n"/>
      <c r="H272" s="171" t="n"/>
      <c r="I272" s="183" t="n">
        <v>50</v>
      </c>
      <c r="J272" s="183" t="n">
        <v>50</v>
      </c>
      <c r="K272" s="183">
        <f>AVERAGE(I272:J272)</f>
        <v/>
      </c>
      <c r="L272" s="171" t="n"/>
      <c r="M272" s="181">
        <f>IF(INDEX(MO_SNA_IsHistoricalPeriod,,MATCH(F272,MO_Common_ColumnHeader,0)),"Actual","Estimate")</f>
        <v/>
      </c>
      <c r="N272" s="183">
        <f>IFERROR(INDEX(INDIRECT(E272),0,MATCH(F272,MO_Common_ColumnHeader,0)),"N/A")</f>
        <v/>
      </c>
      <c r="O272" s="171" t="n"/>
      <c r="P272" s="189">
        <f>IF(ISNUMBER(N272),N272-K272,"N/A")</f>
        <v/>
      </c>
      <c r="Q272" s="190">
        <f>IFERROR(IF(ISNUMBER(N272),(N272-K272)/ABS(K272),"N/A"),"N/A")</f>
        <v/>
      </c>
      <c r="R272" s="171" t="n"/>
      <c r="S272" s="184" t="n">
        <v>43972</v>
      </c>
      <c r="T272" s="191" t="inlineStr">
        <is>
          <t>Press Release</t>
        </is>
      </c>
      <c r="U272" s="171" t="n"/>
    </row>
    <row r="273">
      <c r="A273" s="154" t="n">
        <v>121</v>
      </c>
      <c r="B273" s="181">
        <f>IF(INDEX(MO_SNA_IsHistoricalPeriod,,MATCH(F273,MO_Common_ColumnHeader,0)),"Historical","Forward")</f>
        <v/>
      </c>
      <c r="C273" s="171" t="n"/>
      <c r="D273" s="188" t="inlineStr">
        <is>
          <t>Non-GAAP Other Income</t>
        </is>
      </c>
      <c r="E273" s="182" t="n"/>
      <c r="F273" s="181" t="inlineStr">
        <is>
          <t>Q2-2021</t>
        </is>
      </c>
      <c r="G273" s="181" t="n"/>
      <c r="H273" s="171" t="n"/>
      <c r="I273" s="183" t="n">
        <v>45</v>
      </c>
      <c r="J273" s="183" t="n">
        <v>45</v>
      </c>
      <c r="K273" s="183">
        <f>AVERAGE(I273:J273)</f>
        <v/>
      </c>
      <c r="L273" s="171" t="n"/>
      <c r="M273" s="181">
        <f>IF(INDEX(MO_SNA_IsHistoricalPeriod,,MATCH(F273,MO_Common_ColumnHeader,0)),"Actual","Estimate")</f>
        <v/>
      </c>
      <c r="N273" s="183">
        <f>INDEX(MO_RIS_IE_Net_NONGAAP,0,MATCH(F273,MO_Common_ColumnHeader,0))+INDEX(MO_RIS_OI_NONGAAP,0,MATCH(F273,MO_Common_ColumnHeader,0))</f>
        <v/>
      </c>
      <c r="O273" s="171" t="n"/>
      <c r="P273" s="189">
        <f>IF(ISNUMBER(N273),N273-K273,"N/A")</f>
        <v/>
      </c>
      <c r="Q273" s="190">
        <f>IFERROR(IF(ISNUMBER(N273),(N273-K273)/ABS(K273),"N/A"),"N/A")</f>
        <v/>
      </c>
      <c r="R273" s="171" t="n"/>
      <c r="S273" s="184" t="n">
        <v>43972</v>
      </c>
      <c r="T273" s="191" t="inlineStr">
        <is>
          <t>Press Release</t>
        </is>
      </c>
      <c r="U273" s="171" t="n"/>
    </row>
    <row r="274">
      <c r="A274" s="154" t="n">
        <v>120</v>
      </c>
      <c r="B274" s="181">
        <f>IF(INDEX(MO_SNA_IsHistoricalPeriod,,MATCH(F274,MO_Common_ColumnHeader,0)),"Historical","Forward")</f>
        <v/>
      </c>
      <c r="C274" s="171" t="n"/>
      <c r="D274" s="188" t="inlineStr">
        <is>
          <t>GAAP Tax Rate</t>
        </is>
      </c>
      <c r="E274" s="182" t="inlineStr">
        <is>
          <t>MO_RIS_TaxRate</t>
        </is>
      </c>
      <c r="F274" s="181" t="inlineStr">
        <is>
          <t>Q2-2021</t>
        </is>
      </c>
      <c r="G274" s="181" t="n"/>
      <c r="H274" s="171" t="n"/>
      <c r="I274" s="185" t="n">
        <v>0.08</v>
      </c>
      <c r="J274" s="185" t="n">
        <v>0.1</v>
      </c>
      <c r="K274" s="185">
        <f>AVERAGE(I274:J274)</f>
        <v/>
      </c>
      <c r="L274" s="171" t="n"/>
      <c r="M274" s="181">
        <f>IF(INDEX(MO_SNA_IsHistoricalPeriod,,MATCH(F274,MO_Common_ColumnHeader,0)),"Actual","Estimate")</f>
        <v/>
      </c>
      <c r="N274" s="185">
        <f>IFERROR(INDEX(INDIRECT(E274),0,MATCH(F274,MO_Common_ColumnHeader,0)),"N/A")</f>
        <v/>
      </c>
      <c r="O274" s="171" t="n"/>
      <c r="P274" s="190">
        <f>IF(ISNUMBER(N274),N274-K274,"N/A")</f>
        <v/>
      </c>
      <c r="Q274" s="190">
        <f>IFERROR(IF(ISNUMBER(N274),(N274-K274)/ABS(K274),"N/A"),"N/A")</f>
        <v/>
      </c>
      <c r="R274" s="171" t="n"/>
      <c r="S274" s="184" t="n">
        <v>43972</v>
      </c>
      <c r="T274" s="191" t="inlineStr">
        <is>
          <t>Press Release</t>
        </is>
      </c>
      <c r="U274" s="171" t="n"/>
    </row>
    <row r="275">
      <c r="A275" s="154" t="n">
        <v>119</v>
      </c>
      <c r="B275" s="181">
        <f>IF(INDEX(MO_SNA_IsHistoricalPeriod,,MATCH(F275,MO_Common_ColumnHeader,0)),"Historical","Forward")</f>
        <v/>
      </c>
      <c r="C275" s="171" t="n"/>
      <c r="D275" s="188">
        <f>INDEX(INDIRECT(E275),0,COLUMN(MO_Common_Column_A))</f>
        <v/>
      </c>
      <c r="E275" s="182" t="inlineStr">
        <is>
          <t>MO_RIS_TaxRate_NONGAAP</t>
        </is>
      </c>
      <c r="F275" s="181" t="inlineStr">
        <is>
          <t>Q2-2021</t>
        </is>
      </c>
      <c r="G275" s="181" t="n"/>
      <c r="H275" s="171" t="n"/>
      <c r="I275" s="185" t="n">
        <v>0.08</v>
      </c>
      <c r="J275" s="185" t="n">
        <v>0.1</v>
      </c>
      <c r="K275" s="185">
        <f>AVERAGE(I275:J275)</f>
        <v/>
      </c>
      <c r="L275" s="171" t="n"/>
      <c r="M275" s="181">
        <f>IF(INDEX(MO_SNA_IsHistoricalPeriod,,MATCH(F275,MO_Common_ColumnHeader,0)),"Actual","Estimate")</f>
        <v/>
      </c>
      <c r="N275" s="185">
        <f>IFERROR(INDEX(INDIRECT(E275),0,MATCH(F275,MO_Common_ColumnHeader,0)),"N/A")</f>
        <v/>
      </c>
      <c r="O275" s="171" t="n"/>
      <c r="P275" s="190">
        <f>IF(ISNUMBER(N275),N275-K275,"N/A")</f>
        <v/>
      </c>
      <c r="Q275" s="190">
        <f>IFERROR(IF(ISNUMBER(N275),(N275-K275)/ABS(K275),"N/A"),"N/A")</f>
        <v/>
      </c>
      <c r="R275" s="171" t="n"/>
      <c r="S275" s="184" t="n">
        <v>43972</v>
      </c>
      <c r="T275" s="191" t="inlineStr">
        <is>
          <t>Press Release</t>
        </is>
      </c>
      <c r="U275" s="171" t="n"/>
    </row>
    <row r="276">
      <c r="A276" s="154" t="n">
        <v>118</v>
      </c>
      <c r="B276" s="181">
        <f>IF(INDEX(MO_SNA_IsHistoricalPeriod,,MATCH(F276,MO_Common_ColumnHeader,0)),"Historical","Forward")</f>
        <v/>
      </c>
      <c r="C276" s="171" t="n"/>
      <c r="D276" s="188">
        <f>INDEX(INDIRECT(E276),0,COLUMN(MO_Common_Column_A))</f>
        <v/>
      </c>
      <c r="E276" s="182" t="inlineStr">
        <is>
          <t>MO_CFSum_Capex</t>
        </is>
      </c>
      <c r="F276" s="181" t="inlineStr">
        <is>
          <t>Q2-2021</t>
        </is>
      </c>
      <c r="G276" s="181" t="n"/>
      <c r="H276" s="171" t="n"/>
      <c r="I276" s="183" t="n">
        <v>-225</v>
      </c>
      <c r="J276" s="183" t="n">
        <v>-250</v>
      </c>
      <c r="K276" s="183">
        <f>AVERAGE(I276:J276)</f>
        <v/>
      </c>
      <c r="L276" s="171" t="n"/>
      <c r="M276" s="181">
        <f>IF(INDEX(MO_SNA_IsHistoricalPeriod,,MATCH(F276,MO_Common_ColumnHeader,0)),"Actual","Estimate")</f>
        <v/>
      </c>
      <c r="N276" s="183">
        <f>IFERROR(INDEX(INDIRECT(E276),0,MATCH(F276,MO_Common_ColumnHeader,0)),"N/A")</f>
        <v/>
      </c>
      <c r="O276" s="171" t="n"/>
      <c r="P276" s="189">
        <f>IF(ISNUMBER(N276),N276-K276,"N/A")</f>
        <v/>
      </c>
      <c r="Q276" s="190">
        <f>IFERROR(IF(ISNUMBER(N276),(N276-K276)/ABS(K276),"N/A"),"N/A")</f>
        <v/>
      </c>
      <c r="R276" s="171" t="n"/>
      <c r="S276" s="184" t="n">
        <v>43972</v>
      </c>
      <c r="T276" s="191" t="inlineStr">
        <is>
          <t>Press Release</t>
        </is>
      </c>
      <c r="U276" s="171" t="n"/>
    </row>
    <row r="277">
      <c r="A277" s="154" t="n">
        <v>117</v>
      </c>
      <c r="B277" s="181">
        <f>IF(INDEX(MO_SNA_IsHistoricalPeriod,,MATCH(F277,MO_Common_ColumnHeader,0)),"Historical","Forward")</f>
        <v/>
      </c>
      <c r="C277" s="171" t="n"/>
      <c r="D277" s="188" t="inlineStr">
        <is>
          <t>SBC COGS as % of revenue</t>
        </is>
      </c>
      <c r="E277" s="182" t="n"/>
      <c r="F277" s="181" t="inlineStr">
        <is>
          <t>Q2-2021</t>
        </is>
      </c>
      <c r="G277" s="181" t="n"/>
      <c r="H277" s="171" t="n"/>
      <c r="I277" s="185" t="n">
        <v>-0.074</v>
      </c>
      <c r="J277" s="185" t="n">
        <v>-0.074</v>
      </c>
      <c r="K277" s="185">
        <f>AVERAGE(I277:J277)</f>
        <v/>
      </c>
      <c r="L277" s="171" t="n"/>
      <c r="M277" s="181">
        <f>IF(INDEX(MO_SNA_IsHistoricalPeriod,,MATCH(F277,MO_Common_ColumnHeader,0)),"Actual","Estimate")</f>
        <v/>
      </c>
      <c r="N277" s="185">
        <f>(INDEX(MO_RIS_SBC_COGS,0,MATCH(F277,MO_Common_ColumnHeader,0))+INDEX(z_A7FLSL0150_MO_RIS_AcquisitionrelatedcostsCOGS,0,MATCH(F277,MO_Common_ColumnHeader,0))+INDEX(MO_RIS_COGS_Adjustments,0,MATCH(F277,MO_Common_ColumnHeader,0)))/INDEX(MO_RIS_REV,0,MATCH(F277,MO_Common_ColumnHeader,0))</f>
        <v/>
      </c>
      <c r="O277" s="171" t="n"/>
      <c r="P277" s="190">
        <f>IF(ISNUMBER(N277),N277-K277,"N/A")</f>
        <v/>
      </c>
      <c r="Q277" s="190">
        <f>IFERROR(IF(ISNUMBER(N277),(N277-K277)/ABS(K277),"N/A"),"N/A")</f>
        <v/>
      </c>
      <c r="R277" s="171" t="n"/>
      <c r="S277" s="184" t="n">
        <v>43972</v>
      </c>
      <c r="T277" s="191" t="inlineStr">
        <is>
          <t>Press Release</t>
        </is>
      </c>
      <c r="U277" s="171" t="n"/>
    </row>
    <row r="278">
      <c r="A278" s="154" t="n">
        <v>116</v>
      </c>
      <c r="B278" s="181">
        <f>IF(INDEX(MO_SNA_IsHistoricalPeriod,,MATCH(F278,MO_Common_ColumnHeader,0)),"Historical","Forward")</f>
        <v/>
      </c>
      <c r="C278" s="171" t="n"/>
      <c r="D278" s="188" t="inlineStr">
        <is>
          <t>SBC, acquisition related costs and other costs (adjustments for Non-GAAP operating expenses)</t>
        </is>
      </c>
      <c r="E278" s="182" t="n"/>
      <c r="F278" s="181" t="inlineStr">
        <is>
          <t>Q2-2021</t>
        </is>
      </c>
      <c r="G278" s="181" t="n"/>
      <c r="H278" s="171" t="n"/>
      <c r="I278" s="183" t="n">
        <v>-475</v>
      </c>
      <c r="J278" s="183" t="n">
        <v>-475</v>
      </c>
      <c r="K278" s="183">
        <f>AVERAGE(I278:J278)</f>
        <v/>
      </c>
      <c r="L278" s="171" t="n"/>
      <c r="M278" s="181">
        <f>IF(INDEX(MO_SNA_IsHistoricalPeriod,,MATCH(F278,MO_Common_ColumnHeader,0)),"Actual","Estimate")</f>
        <v/>
      </c>
      <c r="N278" s="183">
        <f>-(-INDEX(MO_RIS_OtherOperating_NONGAAP,0,MATCH(F278,MO_Common_ColumnHeader,0))+INDEX(z_A7FLSL0150_MO_RIS_SBC_2,0,MATCH(F278,MO_Common_ColumnHeader,0))+INDEX(z_A7FLSL0150_MO_RIS_sbc_1,0,MATCH(F278,MO_Common_ColumnHeader,0))+INDEX(z_A7FLSL0150_MO_RIS_AcquisitionrelatedcostsRD,0,MATCH(F278,MO_Common_ColumnHeader,0))+INDEX(z_A7FLSL0150_MO_RIS_AcquisitionrelatedcostsSGA,0,MATCH(F278,MO_Common_ColumnHeader,0)))</f>
        <v/>
      </c>
      <c r="O278" s="171" t="n"/>
      <c r="P278" s="189">
        <f>IF(ISNUMBER(N278),N278-K278,"N/A")</f>
        <v/>
      </c>
      <c r="Q278" s="190">
        <f>IFERROR(IF(ISNUMBER(N278),(N278-K278)/ABS(K278),"N/A"),"N/A")</f>
        <v/>
      </c>
      <c r="R278" s="171" t="n"/>
      <c r="S278" s="184" t="n">
        <v>43972</v>
      </c>
      <c r="T278" s="191" t="inlineStr">
        <is>
          <t>Press Release</t>
        </is>
      </c>
      <c r="U278" s="171" t="n"/>
    </row>
    <row r="279">
      <c r="A279" s="154" t="n">
        <v>115</v>
      </c>
      <c r="B279" s="181">
        <f>IF(INDEX(MO_SNA_IsHistoricalPeriod,,MATCH(F279,MO_Common_ColumnHeader,0)),"Historical","Forward")</f>
        <v/>
      </c>
      <c r="C279" s="171" t="n"/>
      <c r="D279" s="188" t="inlineStr">
        <is>
          <t>Interest expense from amortization of debt discount and other costs</t>
        </is>
      </c>
      <c r="E279" s="182" t="n"/>
      <c r="F279" s="181" t="inlineStr">
        <is>
          <t>Q2-2021</t>
        </is>
      </c>
      <c r="G279" s="181" t="n"/>
      <c r="H279" s="171" t="n"/>
      <c r="I279" s="183" t="n">
        <v>-5</v>
      </c>
      <c r="J279" s="183" t="n">
        <v>-5</v>
      </c>
      <c r="K279" s="183">
        <f>AVERAGE(I279:J279)</f>
        <v/>
      </c>
      <c r="L279" s="171" t="n"/>
      <c r="M279" s="181">
        <f>IF(INDEX(MO_SNA_IsHistoricalPeriod,,MATCH(F279,MO_Common_ColumnHeader,0)),"Actual","Estimate")</f>
        <v/>
      </c>
      <c r="N279" s="183">
        <f>IFERROR(INDEX(INDIRECT(E279),0,MATCH(F279,MO_Common_ColumnHeader,0)),"N/A")</f>
        <v/>
      </c>
      <c r="O279" s="171" t="n"/>
      <c r="P279" s="189">
        <f>IF(ISNUMBER(N279),N279-K279,"N/A")</f>
        <v/>
      </c>
      <c r="Q279" s="190">
        <f>IFERROR(IF(ISNUMBER(N279),(N279-K279)/ABS(K279),"N/A"),"N/A")</f>
        <v/>
      </c>
      <c r="R279" s="171" t="n"/>
      <c r="S279" s="184" t="n">
        <v>43972</v>
      </c>
      <c r="T279" s="191" t="inlineStr">
        <is>
          <t>Press Release</t>
        </is>
      </c>
      <c r="U279" s="171" t="n"/>
    </row>
    <row r="280">
      <c r="A280" s="154" t="n">
        <v>114</v>
      </c>
      <c r="B280" s="171" t="n"/>
      <c r="C280" s="171" t="n"/>
      <c r="D280" s="168" t="n"/>
      <c r="E280" s="169" t="n"/>
      <c r="F280" s="171" t="n"/>
      <c r="G280" s="171" t="n"/>
      <c r="H280" s="171" t="n"/>
      <c r="I280" s="1013" t="n"/>
      <c r="J280" s="1013" t="n"/>
      <c r="K280" s="1013" t="n"/>
      <c r="L280" s="171" t="n"/>
      <c r="M280" s="171" t="n"/>
      <c r="N280" s="1013" t="n"/>
      <c r="O280" s="171" t="n"/>
      <c r="P280" s="172" t="n"/>
      <c r="Q280" s="134" t="n"/>
      <c r="R280" s="171" t="n"/>
      <c r="S280" s="173" t="n"/>
      <c r="T280" s="192" t="inlineStr">
        <is>
          <t>https://nvidianews.nvidia.com/news/nvidia-announces-financial-results-for-fourth-quarter-and-fiscal-2020</t>
        </is>
      </c>
      <c r="U280" s="171" t="n"/>
    </row>
    <row r="281">
      <c r="A281" s="154" t="n">
        <v>113</v>
      </c>
      <c r="B281" s="181">
        <f>IF(INDEX(MO_SNA_IsHistoricalPeriod,,MATCH(F281,MO_Common_ColumnHeader,0)),"Historical","Forward")</f>
        <v/>
      </c>
      <c r="C281" s="171" t="n"/>
      <c r="D281" s="188">
        <f>INDEX(INDIRECT(E281),0,COLUMN(MO_Common_Column_A))</f>
        <v/>
      </c>
      <c r="E281" s="182" t="inlineStr">
        <is>
          <t>MO_RIS_REV</t>
        </is>
      </c>
      <c r="F281" s="181" t="inlineStr">
        <is>
          <t>Q1-2021</t>
        </is>
      </c>
      <c r="G281" s="181" t="n"/>
      <c r="H281" s="171" t="n"/>
      <c r="I281" s="183">
        <f>3000*0.98</f>
        <v/>
      </c>
      <c r="J281" s="183">
        <f>3000*1.02</f>
        <v/>
      </c>
      <c r="K281" s="183">
        <f>AVERAGE(I281:J281)</f>
        <v/>
      </c>
      <c r="L281" s="171" t="n"/>
      <c r="M281" s="181">
        <f>IF(INDEX(MO_SNA_IsHistoricalPeriod,,MATCH(F281,MO_Common_ColumnHeader,0)),"Actual","Estimate")</f>
        <v/>
      </c>
      <c r="N281" s="183">
        <f>IFERROR(INDEX(INDIRECT(E281),0,MATCH(F281,MO_Common_ColumnHeader,0)),"N/A")</f>
        <v/>
      </c>
      <c r="O281" s="171" t="n"/>
      <c r="P281" s="189">
        <f>IF(ISNUMBER(N281),N281-K281,"N/A")</f>
        <v/>
      </c>
      <c r="Q281" s="190">
        <f>IFERROR(IF(ISNUMBER(N281),(N281-K281)/ABS(K281),"N/A"),"N/A")</f>
        <v/>
      </c>
      <c r="R281" s="171" t="n"/>
      <c r="S281" s="184" t="n">
        <v>43874</v>
      </c>
      <c r="T281" s="191" t="inlineStr">
        <is>
          <t>Press Release</t>
        </is>
      </c>
      <c r="U281" s="171" t="n"/>
    </row>
    <row r="282">
      <c r="A282" s="154" t="n">
        <v>112</v>
      </c>
      <c r="B282" s="181">
        <f>IF(INDEX(MO_SNA_IsHistoricalPeriod,,MATCH(F282,MO_Common_ColumnHeader,0)),"Historical","Forward")</f>
        <v/>
      </c>
      <c r="C282" s="171" t="n"/>
      <c r="D282" s="188">
        <f>INDEX(INDIRECT(E282),0,COLUMN(MO_Common_Column_A))</f>
        <v/>
      </c>
      <c r="E282" s="182" t="inlineStr">
        <is>
          <t>MO_MA_GM</t>
        </is>
      </c>
      <c r="F282" s="181" t="inlineStr">
        <is>
          <t>Q1-2021</t>
        </is>
      </c>
      <c r="G282" s="181" t="n"/>
      <c r="H282" s="171" t="n"/>
      <c r="I282" s="185" t="n">
        <v>0.645</v>
      </c>
      <c r="J282" s="185" t="n">
        <v>0.655</v>
      </c>
      <c r="K282" s="185">
        <f>AVERAGE(I282:J282)</f>
        <v/>
      </c>
      <c r="L282" s="171" t="n"/>
      <c r="M282" s="181">
        <f>IF(INDEX(MO_SNA_IsHistoricalPeriod,,MATCH(F282,MO_Common_ColumnHeader,0)),"Actual","Estimate")</f>
        <v/>
      </c>
      <c r="N282" s="185">
        <f>IFERROR(INDEX(INDIRECT(E282),0,MATCH(F282,MO_Common_ColumnHeader,0)),"N/A")</f>
        <v/>
      </c>
      <c r="O282" s="171" t="n"/>
      <c r="P282" s="190">
        <f>IF(ISNUMBER(N282),N282-K282,"N/A")</f>
        <v/>
      </c>
      <c r="Q282" s="190">
        <f>IFERROR(IF(ISNUMBER(N282),(N282-K282)/ABS(K282),"N/A"),"N/A")</f>
        <v/>
      </c>
      <c r="R282" s="171" t="n"/>
      <c r="S282" s="184" t="n">
        <v>43874</v>
      </c>
      <c r="T282" s="191" t="inlineStr">
        <is>
          <t>Press Release</t>
        </is>
      </c>
      <c r="U282" s="171" t="n"/>
    </row>
    <row r="283">
      <c r="A283" s="154" t="n">
        <v>111</v>
      </c>
      <c r="B283" s="181">
        <f>IF(INDEX(MO_SNA_IsHistoricalPeriod,,MATCH(F283,MO_Common_ColumnHeader,0)),"Historical","Forward")</f>
        <v/>
      </c>
      <c r="C283" s="171" t="n"/>
      <c r="D283" s="188">
        <f>INDEX(INDIRECT(E283),0,COLUMN(MO_Common_Column_A))</f>
        <v/>
      </c>
      <c r="E283" s="182" t="inlineStr">
        <is>
          <t>MO_MA_GM_NONGAAP</t>
        </is>
      </c>
      <c r="F283" s="181" t="inlineStr">
        <is>
          <t>Q1-2021</t>
        </is>
      </c>
      <c r="G283" s="181" t="n"/>
      <c r="H283" s="171" t="n"/>
      <c r="I283" s="185" t="n">
        <v>0.649</v>
      </c>
      <c r="J283" s="185" t="n">
        <v>0.659</v>
      </c>
      <c r="K283" s="185">
        <f>AVERAGE(I283:J283)</f>
        <v/>
      </c>
      <c r="L283" s="171" t="n"/>
      <c r="M283" s="181">
        <f>IF(INDEX(MO_SNA_IsHistoricalPeriod,,MATCH(F283,MO_Common_ColumnHeader,0)),"Actual","Estimate")</f>
        <v/>
      </c>
      <c r="N283" s="185">
        <f>IFERROR(INDEX(INDIRECT(E283),0,MATCH(F283,MO_Common_ColumnHeader,0)),"N/A")</f>
        <v/>
      </c>
      <c r="O283" s="171" t="n"/>
      <c r="P283" s="190">
        <f>IF(ISNUMBER(N283),N283-K283,"N/A")</f>
        <v/>
      </c>
      <c r="Q283" s="190">
        <f>IFERROR(IF(ISNUMBER(N283),(N283-K283)/ABS(K283),"N/A"),"N/A")</f>
        <v/>
      </c>
      <c r="R283" s="171" t="n"/>
      <c r="S283" s="184" t="n">
        <v>43874</v>
      </c>
      <c r="T283" s="191" t="inlineStr">
        <is>
          <t>Press Release</t>
        </is>
      </c>
      <c r="U283" s="171" t="n"/>
    </row>
    <row r="284">
      <c r="A284" s="154" t="n">
        <v>110</v>
      </c>
      <c r="B284" s="181">
        <f>IF(INDEX(MO_SNA_IsHistoricalPeriod,,MATCH(F284,MO_Common_ColumnHeader,0)),"Historical","Forward")</f>
        <v/>
      </c>
      <c r="C284" s="171" t="n"/>
      <c r="D284" s="188" t="inlineStr">
        <is>
          <t>GAAP Operating Expenses</t>
        </is>
      </c>
      <c r="E284" s="182" t="n"/>
      <c r="F284" s="181" t="inlineStr">
        <is>
          <t>Q1-2021</t>
        </is>
      </c>
      <c r="G284" s="181" t="n"/>
      <c r="H284" s="171" t="n"/>
      <c r="I284" s="183" t="n">
        <v>1045</v>
      </c>
      <c r="J284" s="183" t="n">
        <v>1045</v>
      </c>
      <c r="K284" s="183">
        <f>AVERAGE(I284:J284)</f>
        <v/>
      </c>
      <c r="L284" s="171" t="n"/>
      <c r="M284" s="181">
        <f>IF(INDEX(MO_SNA_IsHistoricalPeriod,,MATCH(F284,MO_Common_ColumnHeader,0)),"Actual","Estimate")</f>
        <v/>
      </c>
      <c r="N284" s="183">
        <f>INDEX(MO_RIS_RD,0,MATCH(F284,MO_Common_ColumnHeader,0))+INDEX(MO_RIS_SGA,0,MATCH(F284,MO_Common_ColumnHeader,0))</f>
        <v/>
      </c>
      <c r="O284" s="171" t="n"/>
      <c r="P284" s="189">
        <f>IF(ISNUMBER(N284),N284-K284,"N/A")</f>
        <v/>
      </c>
      <c r="Q284" s="190">
        <f>IFERROR(IF(ISNUMBER(N284),(N284-K284)/ABS(K284),"N/A"),"N/A")</f>
        <v/>
      </c>
      <c r="R284" s="171" t="n"/>
      <c r="S284" s="184" t="n">
        <v>43874</v>
      </c>
      <c r="T284" s="191" t="inlineStr">
        <is>
          <t>Press Release</t>
        </is>
      </c>
      <c r="U284" s="171" t="n"/>
    </row>
    <row r="285">
      <c r="A285" s="154" t="n">
        <v>109</v>
      </c>
      <c r="B285" s="181">
        <f>IF(INDEX(MO_SNA_IsHistoricalPeriod,,MATCH(F285,MO_Common_ColumnHeader,0)),"Historical","Forward")</f>
        <v/>
      </c>
      <c r="C285" s="171" t="n"/>
      <c r="D285" s="188">
        <f>INDEX(INDIRECT(E285),0,COLUMN(MO_Common_Column_A))</f>
        <v/>
      </c>
      <c r="E285" s="182" t="inlineStr">
        <is>
          <t>MO_OS_OPEX</t>
        </is>
      </c>
      <c r="F285" s="181" t="inlineStr">
        <is>
          <t>Q1-2021</t>
        </is>
      </c>
      <c r="G285" s="181" t="n"/>
      <c r="H285" s="171" t="n"/>
      <c r="I285" s="183" t="n">
        <v>835</v>
      </c>
      <c r="J285" s="183" t="n">
        <v>835</v>
      </c>
      <c r="K285" s="183">
        <f>AVERAGE(I285:J285)</f>
        <v/>
      </c>
      <c r="L285" s="171" t="n"/>
      <c r="M285" s="181">
        <f>IF(INDEX(MO_SNA_IsHistoricalPeriod,,MATCH(F285,MO_Common_ColumnHeader,0)),"Actual","Estimate")</f>
        <v/>
      </c>
      <c r="N285" s="183">
        <f>IFERROR(INDEX(INDIRECT(E285),0,MATCH(F285,MO_Common_ColumnHeader,0)),"N/A")</f>
        <v/>
      </c>
      <c r="O285" s="171" t="n"/>
      <c r="P285" s="189">
        <f>IF(ISNUMBER(N285),N285-K285,"N/A")</f>
        <v/>
      </c>
      <c r="Q285" s="190">
        <f>IFERROR(IF(ISNUMBER(N285),(N285-K285)/ABS(K285),"N/A"),"N/A")</f>
        <v/>
      </c>
      <c r="R285" s="171" t="n"/>
      <c r="S285" s="184" t="n">
        <v>43874</v>
      </c>
      <c r="T285" s="191" t="inlineStr">
        <is>
          <t>Press Release</t>
        </is>
      </c>
      <c r="U285" s="171" t="n"/>
    </row>
    <row r="286">
      <c r="A286" s="154" t="n">
        <v>108</v>
      </c>
      <c r="B286" s="181">
        <f>IF(INDEX(MO_SNA_IsHistoricalPeriod,,MATCH(F286,MO_Common_ColumnHeader,0)),"Historical","Forward")</f>
        <v/>
      </c>
      <c r="C286" s="171" t="n"/>
      <c r="D286" s="188" t="inlineStr">
        <is>
          <t>GAAP Other Income</t>
        </is>
      </c>
      <c r="E286" s="182" t="n"/>
      <c r="F286" s="181" t="inlineStr">
        <is>
          <t>Q1-2021</t>
        </is>
      </c>
      <c r="G286" s="181" t="n"/>
      <c r="H286" s="171" t="n"/>
      <c r="I286" s="183" t="n">
        <v>25</v>
      </c>
      <c r="J286" s="183" t="n">
        <v>25</v>
      </c>
      <c r="K286" s="183">
        <f>AVERAGE(I286:J286)</f>
        <v/>
      </c>
      <c r="L286" s="171" t="n"/>
      <c r="M286" s="181">
        <f>IF(INDEX(MO_SNA_IsHistoricalPeriod,,MATCH(F286,MO_Common_ColumnHeader,0)),"Actual","Estimate")</f>
        <v/>
      </c>
      <c r="N286" s="183">
        <f>IFERROR(INDEX(INDIRECT(E286),0,MATCH(F286,MO_Common_ColumnHeader,0)),"N/A")</f>
        <v/>
      </c>
      <c r="O286" s="171" t="n"/>
      <c r="P286" s="189">
        <f>IF(ISNUMBER(N286),N286-K286,"N/A")</f>
        <v/>
      </c>
      <c r="Q286" s="190">
        <f>IFERROR(IF(ISNUMBER(N286),(N286-K286)/ABS(K286),"N/A"),"N/A")</f>
        <v/>
      </c>
      <c r="R286" s="171" t="n"/>
      <c r="S286" s="184" t="n">
        <v>43874</v>
      </c>
      <c r="T286" s="191" t="inlineStr">
        <is>
          <t>Press Release</t>
        </is>
      </c>
      <c r="U286" s="171" t="n"/>
    </row>
    <row r="287">
      <c r="A287" s="154" t="n">
        <v>107</v>
      </c>
      <c r="B287" s="181">
        <f>IF(INDEX(MO_SNA_IsHistoricalPeriod,,MATCH(F287,MO_Common_ColumnHeader,0)),"Historical","Forward")</f>
        <v/>
      </c>
      <c r="C287" s="171" t="n"/>
      <c r="D287" s="188" t="inlineStr">
        <is>
          <t>Non-GAAP Other Income</t>
        </is>
      </c>
      <c r="E287" s="182" t="n"/>
      <c r="F287" s="181" t="inlineStr">
        <is>
          <t>Q1-2021</t>
        </is>
      </c>
      <c r="G287" s="181" t="n"/>
      <c r="H287" s="171" t="n"/>
      <c r="I287" s="183" t="n">
        <v>25</v>
      </c>
      <c r="J287" s="183" t="n">
        <v>25</v>
      </c>
      <c r="K287" s="183">
        <f>AVERAGE(I287:J287)</f>
        <v/>
      </c>
      <c r="L287" s="171" t="n"/>
      <c r="M287" s="181">
        <f>IF(INDEX(MO_SNA_IsHistoricalPeriod,,MATCH(F287,MO_Common_ColumnHeader,0)),"Actual","Estimate")</f>
        <v/>
      </c>
      <c r="N287" s="183">
        <f>INDEX(MO_RIS_IE_Net_NONGAAP,0,MATCH(F287,MO_Common_ColumnHeader,0))+INDEX(MO_RIS_OI_NONGAAP,0,MATCH(F287,MO_Common_ColumnHeader,0))</f>
        <v/>
      </c>
      <c r="O287" s="171" t="n"/>
      <c r="P287" s="189">
        <f>IF(ISNUMBER(N287),N287-K287,"N/A")</f>
        <v/>
      </c>
      <c r="Q287" s="190">
        <f>IFERROR(IF(ISNUMBER(N287),(N287-K287)/ABS(K287),"N/A"),"N/A")</f>
        <v/>
      </c>
      <c r="R287" s="171" t="n"/>
      <c r="S287" s="184" t="n">
        <v>43874</v>
      </c>
      <c r="T287" s="191" t="inlineStr">
        <is>
          <t>Press Release</t>
        </is>
      </c>
      <c r="U287" s="171" t="n"/>
    </row>
    <row r="288">
      <c r="A288" s="154" t="n">
        <v>106</v>
      </c>
      <c r="B288" s="181">
        <f>IF(INDEX(MO_SNA_IsHistoricalPeriod,,MATCH(F288,MO_Common_ColumnHeader,0)),"Historical","Forward")</f>
        <v/>
      </c>
      <c r="C288" s="171" t="n"/>
      <c r="D288" s="188" t="inlineStr">
        <is>
          <t>GAAP Tax Rate</t>
        </is>
      </c>
      <c r="E288" s="182" t="inlineStr">
        <is>
          <t>MO_RIS_TaxRate</t>
        </is>
      </c>
      <c r="F288" s="181" t="inlineStr">
        <is>
          <t>Q1-2021</t>
        </is>
      </c>
      <c r="G288" s="181" t="n"/>
      <c r="H288" s="171" t="n"/>
      <c r="I288" s="185" t="n">
        <v>0.08</v>
      </c>
      <c r="J288" s="185" t="n">
        <v>0.1</v>
      </c>
      <c r="K288" s="185">
        <f>AVERAGE(I288:J288)</f>
        <v/>
      </c>
      <c r="L288" s="171" t="n"/>
      <c r="M288" s="181">
        <f>IF(INDEX(MO_SNA_IsHistoricalPeriod,,MATCH(F288,MO_Common_ColumnHeader,0)),"Actual","Estimate")</f>
        <v/>
      </c>
      <c r="N288" s="185">
        <f>IFERROR(INDEX(INDIRECT(E288),0,MATCH(F288,MO_Common_ColumnHeader,0)),"N/A")</f>
        <v/>
      </c>
      <c r="O288" s="171" t="n"/>
      <c r="P288" s="190">
        <f>IF(ISNUMBER(N288),N288-K288,"N/A")</f>
        <v/>
      </c>
      <c r="Q288" s="190">
        <f>IFERROR(IF(ISNUMBER(N288),(N288-K288)/ABS(K288),"N/A"),"N/A")</f>
        <v/>
      </c>
      <c r="R288" s="171" t="n"/>
      <c r="S288" s="184" t="n">
        <v>43874</v>
      </c>
      <c r="T288" s="191" t="inlineStr">
        <is>
          <t>Press Release</t>
        </is>
      </c>
      <c r="U288" s="171" t="n"/>
    </row>
    <row r="289">
      <c r="A289" s="154" t="n">
        <v>105</v>
      </c>
      <c r="B289" s="181">
        <f>IF(INDEX(MO_SNA_IsHistoricalPeriod,,MATCH(F289,MO_Common_ColumnHeader,0)),"Historical","Forward")</f>
        <v/>
      </c>
      <c r="C289" s="171" t="n"/>
      <c r="D289" s="188">
        <f>INDEX(INDIRECT(E289),0,COLUMN(MO_Common_Column_A))</f>
        <v/>
      </c>
      <c r="E289" s="182" t="inlineStr">
        <is>
          <t>MO_RIS_TaxRate_NONGAAP</t>
        </is>
      </c>
      <c r="F289" s="181" t="inlineStr">
        <is>
          <t>Q1-2021</t>
        </is>
      </c>
      <c r="G289" s="181" t="n"/>
      <c r="H289" s="171" t="n"/>
      <c r="I289" s="185" t="n">
        <v>0.08</v>
      </c>
      <c r="J289" s="185" t="n">
        <v>0.1</v>
      </c>
      <c r="K289" s="185">
        <f>AVERAGE(I289:J289)</f>
        <v/>
      </c>
      <c r="L289" s="171" t="n"/>
      <c r="M289" s="181">
        <f>IF(INDEX(MO_SNA_IsHistoricalPeriod,,MATCH(F289,MO_Common_ColumnHeader,0)),"Actual","Estimate")</f>
        <v/>
      </c>
      <c r="N289" s="185">
        <f>IFERROR(INDEX(INDIRECT(E289),0,MATCH(F289,MO_Common_ColumnHeader,0)),"N/A")</f>
        <v/>
      </c>
      <c r="O289" s="171" t="n"/>
      <c r="P289" s="190">
        <f>IF(ISNUMBER(N289),N289-K289,"N/A")</f>
        <v/>
      </c>
      <c r="Q289" s="190">
        <f>IFERROR(IF(ISNUMBER(N289),(N289-K289)/ABS(K289),"N/A"),"N/A")</f>
        <v/>
      </c>
      <c r="R289" s="171" t="n"/>
      <c r="S289" s="184" t="n">
        <v>43874</v>
      </c>
      <c r="T289" s="191" t="inlineStr">
        <is>
          <t>Press Release</t>
        </is>
      </c>
      <c r="U289" s="171" t="n"/>
    </row>
    <row r="290">
      <c r="A290" s="154" t="n">
        <v>104</v>
      </c>
      <c r="B290" s="181">
        <f>IF(INDEX(MO_SNA_IsHistoricalPeriod,,MATCH(F290,MO_Common_ColumnHeader,0)),"Historical","Forward")</f>
        <v/>
      </c>
      <c r="C290" s="171" t="n"/>
      <c r="D290" s="188" t="inlineStr">
        <is>
          <t>SBC COGS as % of revenue</t>
        </is>
      </c>
      <c r="E290" s="182" t="n"/>
      <c r="F290" s="181" t="inlineStr">
        <is>
          <t>Q1-2021</t>
        </is>
      </c>
      <c r="G290" s="181" t="n"/>
      <c r="H290" s="171" t="n"/>
      <c r="I290" s="185" t="n">
        <v>-0.004</v>
      </c>
      <c r="J290" s="185" t="n">
        <v>-0.004</v>
      </c>
      <c r="K290" s="185">
        <f>AVERAGE(I290:J290)</f>
        <v/>
      </c>
      <c r="L290" s="171" t="n"/>
      <c r="M290" s="181">
        <f>IF(INDEX(MO_SNA_IsHistoricalPeriod,,MATCH(F290,MO_Common_ColumnHeader,0)),"Actual","Estimate")</f>
        <v/>
      </c>
      <c r="N290" s="185">
        <f>(INDEX(MO_RIS_SBC_COGS,0,MATCH(F290,MO_Common_ColumnHeader,0))+INDEX(z_A7FLSL0150_MO_RIS_AcquisitionrelatedcostsCOGS,0,MATCH(F290,MO_Common_ColumnHeader,0))+INDEX(MO_RIS_COGS_Adjustments,0,MATCH(F290,MO_Common_ColumnHeader,0)))/INDEX(MO_RIS_REV,0,MATCH(F290,MO_Common_ColumnHeader,0))</f>
        <v/>
      </c>
      <c r="O290" s="171" t="n"/>
      <c r="P290" s="190">
        <f>IF(ISNUMBER(N290),N290-K290,"N/A")</f>
        <v/>
      </c>
      <c r="Q290" s="190">
        <f>IFERROR(IF(ISNUMBER(N290),(N290-K290)/ABS(K290),"N/A"),"N/A")</f>
        <v/>
      </c>
      <c r="R290" s="171" t="n"/>
      <c r="S290" s="184" t="n">
        <v>43874</v>
      </c>
      <c r="T290" s="191" t="inlineStr">
        <is>
          <t>Press Release</t>
        </is>
      </c>
      <c r="U290" s="171" t="n"/>
    </row>
    <row r="291">
      <c r="A291" s="154" t="n">
        <v>103</v>
      </c>
      <c r="B291" s="181">
        <f>IF(INDEX(MO_SNA_IsHistoricalPeriod,,MATCH(F291,MO_Common_ColumnHeader,0)),"Historical","Forward")</f>
        <v/>
      </c>
      <c r="C291" s="171" t="n"/>
      <c r="D291" s="188" t="inlineStr">
        <is>
          <t>SBC, acquisition related costs and other costs (adjustments for Non-GAAP operating expenses)</t>
        </is>
      </c>
      <c r="E291" s="182" t="n"/>
      <c r="F291" s="181" t="inlineStr">
        <is>
          <t>Q1-2021</t>
        </is>
      </c>
      <c r="G291" s="181" t="n"/>
      <c r="H291" s="171" t="n"/>
      <c r="I291" s="183" t="n">
        <v>-210</v>
      </c>
      <c r="J291" s="183" t="n">
        <v>-210</v>
      </c>
      <c r="K291" s="183">
        <f>AVERAGE(I291:J291)</f>
        <v/>
      </c>
      <c r="L291" s="171" t="n"/>
      <c r="M291" s="181">
        <f>IF(INDEX(MO_SNA_IsHistoricalPeriod,,MATCH(F291,MO_Common_ColumnHeader,0)),"Actual","Estimate")</f>
        <v/>
      </c>
      <c r="N291" s="183">
        <f>-(-INDEX(MO_RIS_OtherOperating_NONGAAP,0,MATCH(F291,MO_Common_ColumnHeader,0))+INDEX(z_A7FLSL0150_MO_RIS_SBC_2,0,MATCH(F291,MO_Common_ColumnHeader,0))+INDEX(z_A7FLSL0150_MO_RIS_sbc_1,0,MATCH(F291,MO_Common_ColumnHeader,0))+INDEX(z_A7FLSL0150_MO_RIS_AcquisitionrelatedcostsRD,0,MATCH(F291,MO_Common_ColumnHeader,0))+INDEX(z_A7FLSL0150_MO_RIS_AcquisitionrelatedcostsSGA,0,MATCH(F291,MO_Common_ColumnHeader,0)))</f>
        <v/>
      </c>
      <c r="O291" s="171" t="n"/>
      <c r="P291" s="189">
        <f>IF(ISNUMBER(N291),N291-K291,"N/A")</f>
        <v/>
      </c>
      <c r="Q291" s="190">
        <f>IFERROR(IF(ISNUMBER(N291),(N291-K291)/ABS(K291),"N/A"),"N/A")</f>
        <v/>
      </c>
      <c r="R291" s="171" t="n"/>
      <c r="S291" s="184" t="n">
        <v>43874</v>
      </c>
      <c r="T291" s="191" t="inlineStr">
        <is>
          <t>Press Release</t>
        </is>
      </c>
      <c r="U291" s="171" t="n"/>
    </row>
    <row r="292">
      <c r="A292" s="154" t="n">
        <v>102</v>
      </c>
      <c r="B292" s="171" t="n"/>
      <c r="C292" s="171" t="n"/>
      <c r="D292" s="168" t="n"/>
      <c r="E292" s="169" t="n"/>
      <c r="F292" s="171" t="n"/>
      <c r="G292" s="171" t="n"/>
      <c r="H292" s="171" t="n"/>
      <c r="I292" s="1013" t="n"/>
      <c r="J292" s="1013" t="n"/>
      <c r="K292" s="1013" t="n"/>
      <c r="L292" s="171" t="n"/>
      <c r="M292" s="171" t="n"/>
      <c r="N292" s="1013" t="n"/>
      <c r="O292" s="171" t="n"/>
      <c r="P292" s="172" t="n"/>
      <c r="Q292" s="134" t="n"/>
      <c r="R292" s="171" t="n"/>
      <c r="S292" s="173" t="n"/>
      <c r="T292" s="192" t="inlineStr">
        <is>
          <t>https://nvidianews.nvidia.com/news/nvidia-announces-financial-results-for-third-quarter-fiscal-2020</t>
        </is>
      </c>
      <c r="U292" s="171" t="n"/>
    </row>
    <row r="293">
      <c r="A293" s="154" t="n">
        <v>101</v>
      </c>
      <c r="B293" s="181">
        <f>IF(INDEX(MO_SNA_IsHistoricalPeriod,,MATCH(F293,MO_Common_ColumnHeader,0)),"Historical","Forward")</f>
        <v/>
      </c>
      <c r="C293" s="171" t="n"/>
      <c r="D293" s="188">
        <f>INDEX(INDIRECT(E293),0,COLUMN(MO_Common_Column_A))</f>
        <v/>
      </c>
      <c r="E293" s="182" t="inlineStr">
        <is>
          <t>MO_RIS_REV</t>
        </is>
      </c>
      <c r="F293" s="181" t="inlineStr">
        <is>
          <t>Q4-2020</t>
        </is>
      </c>
      <c r="G293" s="181" t="n"/>
      <c r="H293" s="171" t="n"/>
      <c r="I293" s="183">
        <f>0.98*2950</f>
        <v/>
      </c>
      <c r="J293" s="183">
        <f>1.02*2950</f>
        <v/>
      </c>
      <c r="K293" s="183">
        <f>AVERAGE(I293:J293)</f>
        <v/>
      </c>
      <c r="L293" s="171" t="n"/>
      <c r="M293" s="181">
        <f>IF(INDEX(MO_SNA_IsHistoricalPeriod,,MATCH(F293,MO_Common_ColumnHeader,0)),"Actual","Estimate")</f>
        <v/>
      </c>
      <c r="N293" s="183">
        <f>IFERROR(INDEX(INDIRECT(E293),0,MATCH(F293,MO_Common_ColumnHeader,0)),"N/A")</f>
        <v/>
      </c>
      <c r="O293" s="171" t="n"/>
      <c r="P293" s="189">
        <f>IF(ISNUMBER(N293),N293-K293,"N/A")</f>
        <v/>
      </c>
      <c r="Q293" s="190">
        <f>IFERROR(IF(ISNUMBER(N293),(N293-K293)/ABS(K293),"N/A"),"N/A")</f>
        <v/>
      </c>
      <c r="R293" s="171" t="n"/>
      <c r="S293" s="184" t="n">
        <v>43783</v>
      </c>
      <c r="T293" s="191" t="inlineStr">
        <is>
          <t>Press Release</t>
        </is>
      </c>
      <c r="U293" s="171" t="n"/>
    </row>
    <row r="294">
      <c r="A294" s="154" t="n">
        <v>100</v>
      </c>
      <c r="B294" s="181">
        <f>IF(INDEX(MO_SNA_IsHistoricalPeriod,,MATCH(F294,MO_Common_ColumnHeader,0)),"Historical","Forward")</f>
        <v/>
      </c>
      <c r="C294" s="171" t="n"/>
      <c r="D294" s="188">
        <f>INDEX(INDIRECT(E294),0,COLUMN(MO_Common_Column_A))</f>
        <v/>
      </c>
      <c r="E294" s="182" t="inlineStr">
        <is>
          <t>MO_MA_GM</t>
        </is>
      </c>
      <c r="F294" s="181" t="inlineStr">
        <is>
          <t>Q4-2020</t>
        </is>
      </c>
      <c r="G294" s="181" t="n"/>
      <c r="H294" s="171" t="n"/>
      <c r="I294" s="185" t="n">
        <v>0.636</v>
      </c>
      <c r="J294" s="185" t="n">
        <v>0.646</v>
      </c>
      <c r="K294" s="185">
        <f>AVERAGE(I294:J294)</f>
        <v/>
      </c>
      <c r="L294" s="171" t="n"/>
      <c r="M294" s="181">
        <f>IF(INDEX(MO_SNA_IsHistoricalPeriod,,MATCH(F294,MO_Common_ColumnHeader,0)),"Actual","Estimate")</f>
        <v/>
      </c>
      <c r="N294" s="185">
        <f>IFERROR(INDEX(INDIRECT(E294),0,MATCH(F294,MO_Common_ColumnHeader,0)),"N/A")</f>
        <v/>
      </c>
      <c r="O294" s="171" t="n"/>
      <c r="P294" s="190">
        <f>IF(ISNUMBER(N294),N294-K294,"N/A")</f>
        <v/>
      </c>
      <c r="Q294" s="190">
        <f>IFERROR(IF(ISNUMBER(N294),(N294-K294)/ABS(K294),"N/A"),"N/A")</f>
        <v/>
      </c>
      <c r="R294" s="171" t="n"/>
      <c r="S294" s="184" t="n">
        <v>43783</v>
      </c>
      <c r="T294" s="191" t="inlineStr">
        <is>
          <t>Press Release</t>
        </is>
      </c>
      <c r="U294" s="171" t="n"/>
    </row>
    <row r="295">
      <c r="A295" s="154" t="n">
        <v>99</v>
      </c>
      <c r="B295" s="181">
        <f>IF(INDEX(MO_SNA_IsHistoricalPeriod,,MATCH(F295,MO_Common_ColumnHeader,0)),"Historical","Forward")</f>
        <v/>
      </c>
      <c r="C295" s="171" t="n"/>
      <c r="D295" s="188">
        <f>INDEX(INDIRECT(E295),0,COLUMN(MO_Common_Column_A))</f>
        <v/>
      </c>
      <c r="E295" s="182" t="inlineStr">
        <is>
          <t>MO_MA_GM_NONGAAP</t>
        </is>
      </c>
      <c r="F295" s="181" t="inlineStr">
        <is>
          <t>Q4-2020</t>
        </is>
      </c>
      <c r="G295" s="181" t="n"/>
      <c r="H295" s="171" t="n"/>
      <c r="I295" s="185" t="n">
        <v>0.64</v>
      </c>
      <c r="J295" s="185" t="n">
        <v>0.65</v>
      </c>
      <c r="K295" s="185">
        <f>AVERAGE(I295:J295)</f>
        <v/>
      </c>
      <c r="L295" s="171" t="n"/>
      <c r="M295" s="181">
        <f>IF(INDEX(MO_SNA_IsHistoricalPeriod,,MATCH(F295,MO_Common_ColumnHeader,0)),"Actual","Estimate")</f>
        <v/>
      </c>
      <c r="N295" s="185">
        <f>IFERROR(INDEX(INDIRECT(E295),0,MATCH(F295,MO_Common_ColumnHeader,0)),"N/A")</f>
        <v/>
      </c>
      <c r="O295" s="171" t="n"/>
      <c r="P295" s="190">
        <f>IF(ISNUMBER(N295),N295-K295,"N/A")</f>
        <v/>
      </c>
      <c r="Q295" s="190">
        <f>IFERROR(IF(ISNUMBER(N295),(N295-K295)/ABS(K295),"N/A"),"N/A")</f>
        <v/>
      </c>
      <c r="R295" s="171" t="n"/>
      <c r="S295" s="184" t="n">
        <v>43783</v>
      </c>
      <c r="T295" s="191" t="inlineStr">
        <is>
          <t>Press Release</t>
        </is>
      </c>
      <c r="U295" s="171" t="n"/>
    </row>
    <row r="296">
      <c r="A296" s="154" t="n">
        <v>98</v>
      </c>
      <c r="B296" s="181">
        <f>IF(INDEX(MO_SNA_IsHistoricalPeriod,,MATCH(F296,MO_Common_ColumnHeader,0)),"Historical","Forward")</f>
        <v/>
      </c>
      <c r="C296" s="171" t="n"/>
      <c r="D296" s="188" t="inlineStr">
        <is>
          <t>GAAP Operating Expenses</t>
        </is>
      </c>
      <c r="E296" s="182" t="n"/>
      <c r="F296" s="181" t="inlineStr">
        <is>
          <t>Q4-2020</t>
        </is>
      </c>
      <c r="G296" s="181" t="n"/>
      <c r="H296" s="171" t="n"/>
      <c r="I296" s="183" t="n">
        <v>1020</v>
      </c>
      <c r="J296" s="183" t="n">
        <v>1020</v>
      </c>
      <c r="K296" s="183">
        <f>AVERAGE(I296:J296)</f>
        <v/>
      </c>
      <c r="L296" s="171" t="n"/>
      <c r="M296" s="181">
        <f>IF(INDEX(MO_SNA_IsHistoricalPeriod,,MATCH(F296,MO_Common_ColumnHeader,0)),"Actual","Estimate")</f>
        <v/>
      </c>
      <c r="N296" s="183">
        <f>INDEX(MO_RIS_RD,0,MATCH(F296,MO_Common_ColumnHeader,0))+INDEX(MO_RIS_SGA,0,MATCH(F296,MO_Common_ColumnHeader,0))</f>
        <v/>
      </c>
      <c r="O296" s="171" t="n"/>
      <c r="P296" s="189">
        <f>IF(ISNUMBER(N296),N296-K296,"N/A")</f>
        <v/>
      </c>
      <c r="Q296" s="190">
        <f>IFERROR(IF(ISNUMBER(N296),(N296-K296)/ABS(K296),"N/A"),"N/A")</f>
        <v/>
      </c>
      <c r="R296" s="171" t="n"/>
      <c r="S296" s="184" t="n">
        <v>43783</v>
      </c>
      <c r="T296" s="191" t="inlineStr">
        <is>
          <t>Press Release</t>
        </is>
      </c>
      <c r="U296" s="171" t="n"/>
    </row>
    <row r="297">
      <c r="A297" s="154" t="n">
        <v>97</v>
      </c>
      <c r="B297" s="181">
        <f>IF(INDEX(MO_SNA_IsHistoricalPeriod,,MATCH(F297,MO_Common_ColumnHeader,0)),"Historical","Forward")</f>
        <v/>
      </c>
      <c r="C297" s="171" t="n"/>
      <c r="D297" s="188">
        <f>INDEX(INDIRECT(E297),0,COLUMN(MO_Common_Column_A))</f>
        <v/>
      </c>
      <c r="E297" s="182" t="inlineStr">
        <is>
          <t>MO_OS_OPEX</t>
        </is>
      </c>
      <c r="F297" s="181" t="inlineStr">
        <is>
          <t>Q4-2020</t>
        </is>
      </c>
      <c r="G297" s="181" t="n"/>
      <c r="H297" s="171" t="n"/>
      <c r="I297" s="183" t="n">
        <v>805</v>
      </c>
      <c r="J297" s="183" t="n">
        <v>805</v>
      </c>
      <c r="K297" s="183">
        <f>AVERAGE(I297:J297)</f>
        <v/>
      </c>
      <c r="L297" s="171" t="n"/>
      <c r="M297" s="181">
        <f>IF(INDEX(MO_SNA_IsHistoricalPeriod,,MATCH(F297,MO_Common_ColumnHeader,0)),"Actual","Estimate")</f>
        <v/>
      </c>
      <c r="N297" s="183">
        <f>IFERROR(INDEX(INDIRECT(E297),0,MATCH(F297,MO_Common_ColumnHeader,0)),"N/A")</f>
        <v/>
      </c>
      <c r="O297" s="171" t="n"/>
      <c r="P297" s="189">
        <f>IF(ISNUMBER(N297),N297-K297,"N/A")</f>
        <v/>
      </c>
      <c r="Q297" s="190">
        <f>IFERROR(IF(ISNUMBER(N297),(N297-K297)/ABS(K297),"N/A"),"N/A")</f>
        <v/>
      </c>
      <c r="R297" s="171" t="n"/>
      <c r="S297" s="184" t="n">
        <v>43783</v>
      </c>
      <c r="T297" s="191" t="inlineStr">
        <is>
          <t>Press Release</t>
        </is>
      </c>
      <c r="U297" s="171" t="n"/>
    </row>
    <row r="298">
      <c r="A298" s="154" t="n">
        <v>96</v>
      </c>
      <c r="B298" s="181">
        <f>IF(INDEX(MO_SNA_IsHistoricalPeriod,,MATCH(F298,MO_Common_ColumnHeader,0)),"Historical","Forward")</f>
        <v/>
      </c>
      <c r="C298" s="171" t="n"/>
      <c r="D298" s="188" t="inlineStr">
        <is>
          <t>GAAP Other Income</t>
        </is>
      </c>
      <c r="E298" s="182" t="n"/>
      <c r="F298" s="181" t="inlineStr">
        <is>
          <t>Q4-2020</t>
        </is>
      </c>
      <c r="G298" s="181" t="n"/>
      <c r="H298" s="171" t="n"/>
      <c r="I298" s="183" t="n">
        <v>25</v>
      </c>
      <c r="J298" s="183" t="n">
        <v>25</v>
      </c>
      <c r="K298" s="183">
        <f>AVERAGE(I298:J298)</f>
        <v/>
      </c>
      <c r="L298" s="171" t="n"/>
      <c r="M298" s="181">
        <f>IF(INDEX(MO_SNA_IsHistoricalPeriod,,MATCH(F298,MO_Common_ColumnHeader,0)),"Actual","Estimate")</f>
        <v/>
      </c>
      <c r="N298" s="183">
        <f>IFERROR(INDEX(INDIRECT(E298),0,MATCH(F298,MO_Common_ColumnHeader,0)),"N/A")</f>
        <v/>
      </c>
      <c r="O298" s="171" t="n"/>
      <c r="P298" s="189">
        <f>IF(ISNUMBER(N298),N298-K298,"N/A")</f>
        <v/>
      </c>
      <c r="Q298" s="190">
        <f>IFERROR(IF(ISNUMBER(N298),(N298-K298)/ABS(K298),"N/A"),"N/A")</f>
        <v/>
      </c>
      <c r="R298" s="171" t="n"/>
      <c r="S298" s="184" t="n">
        <v>43783</v>
      </c>
      <c r="T298" s="191" t="inlineStr">
        <is>
          <t>Press Release</t>
        </is>
      </c>
      <c r="U298" s="171" t="n"/>
    </row>
    <row r="299">
      <c r="A299" s="154" t="n">
        <v>95</v>
      </c>
      <c r="B299" s="181">
        <f>IF(INDEX(MO_SNA_IsHistoricalPeriod,,MATCH(F299,MO_Common_ColumnHeader,0)),"Historical","Forward")</f>
        <v/>
      </c>
      <c r="C299" s="171" t="n"/>
      <c r="D299" s="188" t="inlineStr">
        <is>
          <t>Non-GAAP Other Income</t>
        </is>
      </c>
      <c r="E299" s="182" t="n"/>
      <c r="F299" s="181" t="inlineStr">
        <is>
          <t>Q4-2020</t>
        </is>
      </c>
      <c r="G299" s="181" t="n"/>
      <c r="H299" s="171" t="n"/>
      <c r="I299" s="183" t="n">
        <v>25</v>
      </c>
      <c r="J299" s="183" t="n">
        <v>25</v>
      </c>
      <c r="K299" s="183">
        <f>AVERAGE(I299:J299)</f>
        <v/>
      </c>
      <c r="L299" s="171" t="n"/>
      <c r="M299" s="181">
        <f>IF(INDEX(MO_SNA_IsHistoricalPeriod,,MATCH(F299,MO_Common_ColumnHeader,0)),"Actual","Estimate")</f>
        <v/>
      </c>
      <c r="N299" s="183">
        <f>INDEX(MO_RIS_IE_Net_NONGAAP,0,MATCH(F299,MO_Common_ColumnHeader,0))+INDEX(MO_RIS_OI_NONGAAP,0,MATCH(F299,MO_Common_ColumnHeader,0))</f>
        <v/>
      </c>
      <c r="O299" s="171" t="n"/>
      <c r="P299" s="189">
        <f>IF(ISNUMBER(N299),N299-K299,"N/A")</f>
        <v/>
      </c>
      <c r="Q299" s="190">
        <f>IFERROR(IF(ISNUMBER(N299),(N299-K299)/ABS(K299),"N/A"),"N/A")</f>
        <v/>
      </c>
      <c r="R299" s="171" t="n"/>
      <c r="S299" s="184" t="n">
        <v>43783</v>
      </c>
      <c r="T299" s="191" t="inlineStr">
        <is>
          <t>Press Release</t>
        </is>
      </c>
      <c r="U299" s="171" t="n"/>
    </row>
    <row r="300">
      <c r="A300" s="154" t="n">
        <v>94</v>
      </c>
      <c r="B300" s="181">
        <f>IF(INDEX(MO_SNA_IsHistoricalPeriod,,MATCH(F300,MO_Common_ColumnHeader,0)),"Historical","Forward")</f>
        <v/>
      </c>
      <c r="C300" s="171" t="n"/>
      <c r="D300" s="188" t="inlineStr">
        <is>
          <t>GAAP Tax Rate</t>
        </is>
      </c>
      <c r="E300" s="182" t="inlineStr">
        <is>
          <t>MO_RIS_TaxRate</t>
        </is>
      </c>
      <c r="F300" s="181" t="inlineStr">
        <is>
          <t>Q4-2020</t>
        </is>
      </c>
      <c r="G300" s="181" t="n"/>
      <c r="H300" s="171" t="n"/>
      <c r="I300" s="185" t="n">
        <v>0.08</v>
      </c>
      <c r="J300" s="185" t="n">
        <v>0.1</v>
      </c>
      <c r="K300" s="185">
        <f>AVERAGE(I300:J300)</f>
        <v/>
      </c>
      <c r="L300" s="171" t="n"/>
      <c r="M300" s="181">
        <f>IF(INDEX(MO_SNA_IsHistoricalPeriod,,MATCH(F300,MO_Common_ColumnHeader,0)),"Actual","Estimate")</f>
        <v/>
      </c>
      <c r="N300" s="185">
        <f>IFERROR(INDEX(INDIRECT(E300),0,MATCH(F300,MO_Common_ColumnHeader,0)),"N/A")</f>
        <v/>
      </c>
      <c r="O300" s="171" t="n"/>
      <c r="P300" s="190">
        <f>IF(ISNUMBER(N300),N300-K300,"N/A")</f>
        <v/>
      </c>
      <c r="Q300" s="190">
        <f>IFERROR(IF(ISNUMBER(N300),(N300-K300)/ABS(K300),"N/A"),"N/A")</f>
        <v/>
      </c>
      <c r="R300" s="171" t="n"/>
      <c r="S300" s="184" t="n">
        <v>43783</v>
      </c>
      <c r="T300" s="191" t="inlineStr">
        <is>
          <t>Press Release</t>
        </is>
      </c>
      <c r="U300" s="171" t="n"/>
    </row>
    <row r="301">
      <c r="A301" s="154" t="n">
        <v>93</v>
      </c>
      <c r="B301" s="181">
        <f>IF(INDEX(MO_SNA_IsHistoricalPeriod,,MATCH(F301,MO_Common_ColumnHeader,0)),"Historical","Forward")</f>
        <v/>
      </c>
      <c r="C301" s="171" t="n"/>
      <c r="D301" s="188">
        <f>INDEX(INDIRECT(E301),0,COLUMN(MO_Common_Column_A))</f>
        <v/>
      </c>
      <c r="E301" s="182" t="inlineStr">
        <is>
          <t>MO_RIS_TaxRate_NONGAAP</t>
        </is>
      </c>
      <c r="F301" s="181" t="inlineStr">
        <is>
          <t>Q4-2020</t>
        </is>
      </c>
      <c r="G301" s="181" t="n"/>
      <c r="H301" s="171" t="n"/>
      <c r="I301" s="185" t="n">
        <v>0.08</v>
      </c>
      <c r="J301" s="185" t="n">
        <v>0.1</v>
      </c>
      <c r="K301" s="185">
        <f>AVERAGE(I301:J301)</f>
        <v/>
      </c>
      <c r="L301" s="171" t="n"/>
      <c r="M301" s="181">
        <f>IF(INDEX(MO_SNA_IsHistoricalPeriod,,MATCH(F301,MO_Common_ColumnHeader,0)),"Actual","Estimate")</f>
        <v/>
      </c>
      <c r="N301" s="185">
        <f>IFERROR(INDEX(INDIRECT(E301),0,MATCH(F301,MO_Common_ColumnHeader,0)),"N/A")</f>
        <v/>
      </c>
      <c r="O301" s="171" t="n"/>
      <c r="P301" s="190">
        <f>IF(ISNUMBER(N301),N301-K301,"N/A")</f>
        <v/>
      </c>
      <c r="Q301" s="190">
        <f>IFERROR(IF(ISNUMBER(N301),(N301-K301)/ABS(K301),"N/A"),"N/A")</f>
        <v/>
      </c>
      <c r="R301" s="171" t="n"/>
      <c r="S301" s="184" t="n">
        <v>43783</v>
      </c>
      <c r="T301" s="191" t="inlineStr">
        <is>
          <t>Press Release</t>
        </is>
      </c>
      <c r="U301" s="171" t="n"/>
    </row>
    <row r="302">
      <c r="A302" s="154" t="n">
        <v>92</v>
      </c>
      <c r="B302" s="181">
        <f>IF(INDEX(MO_SNA_IsHistoricalPeriod,,MATCH(F302,MO_Common_ColumnHeader,0)),"Historical","Forward")</f>
        <v/>
      </c>
      <c r="C302" s="171" t="n"/>
      <c r="D302" s="188">
        <f>INDEX(INDIRECT(E302),0,COLUMN(MO_Common_Column_A))</f>
        <v/>
      </c>
      <c r="E302" s="182" t="inlineStr">
        <is>
          <t>MO_CFSum_Capex</t>
        </is>
      </c>
      <c r="F302" s="181" t="inlineStr">
        <is>
          <t>Q4-2020</t>
        </is>
      </c>
      <c r="G302" s="181" t="n"/>
      <c r="H302" s="171" t="n"/>
      <c r="I302" s="183" t="n">
        <v>-150</v>
      </c>
      <c r="J302" s="183" t="n">
        <v>-130</v>
      </c>
      <c r="K302" s="183">
        <f>AVERAGE(I302:J302)</f>
        <v/>
      </c>
      <c r="L302" s="171" t="n"/>
      <c r="M302" s="181">
        <f>IF(INDEX(MO_SNA_IsHistoricalPeriod,,MATCH(F302,MO_Common_ColumnHeader,0)),"Actual","Estimate")</f>
        <v/>
      </c>
      <c r="N302" s="183">
        <f>IFERROR(INDEX(INDIRECT(E302),0,MATCH(F302,MO_Common_ColumnHeader,0)),"N/A")</f>
        <v/>
      </c>
      <c r="O302" s="171" t="n"/>
      <c r="P302" s="189">
        <f>IF(ISNUMBER(N302),N302-K302,"N/A")</f>
        <v/>
      </c>
      <c r="Q302" s="190">
        <f>IFERROR(IF(ISNUMBER(N302),(N302-K302)/ABS(K302),"N/A"),"N/A")</f>
        <v/>
      </c>
      <c r="R302" s="171" t="n"/>
      <c r="S302" s="184" t="n">
        <v>43783</v>
      </c>
      <c r="T302" s="191" t="inlineStr">
        <is>
          <t>Press Release</t>
        </is>
      </c>
      <c r="U302" s="171" t="n"/>
    </row>
    <row r="303">
      <c r="A303" s="154" t="n">
        <v>91</v>
      </c>
      <c r="B303" s="181">
        <f>IF(INDEX(MO_SNA_IsHistoricalPeriod,,MATCH(F303,MO_Common_ColumnHeader,0)),"Historical","Forward")</f>
        <v/>
      </c>
      <c r="C303" s="171" t="n"/>
      <c r="D303" s="188" t="inlineStr">
        <is>
          <t>SBC COGS as % of revenue</t>
        </is>
      </c>
      <c r="E303" s="182" t="n"/>
      <c r="F303" s="181" t="inlineStr">
        <is>
          <t>Q4-2020</t>
        </is>
      </c>
      <c r="G303" s="181" t="n"/>
      <c r="H303" s="171" t="n"/>
      <c r="I303" s="185" t="n">
        <v>-0.004</v>
      </c>
      <c r="J303" s="185" t="n">
        <v>-0.004</v>
      </c>
      <c r="K303" s="185">
        <f>AVERAGE(I303:J303)</f>
        <v/>
      </c>
      <c r="L303" s="171" t="n"/>
      <c r="M303" s="181">
        <f>IF(INDEX(MO_SNA_IsHistoricalPeriod,,MATCH(F303,MO_Common_ColumnHeader,0)),"Actual","Estimate")</f>
        <v/>
      </c>
      <c r="N303" s="185">
        <f>(INDEX(MO_RIS_SBC_COGS,0,MATCH(F303,MO_Common_ColumnHeader,0))+INDEX(z_A7FLSL0150_MO_RIS_AcquisitionrelatedcostsCOGS,0,MATCH(F303,MO_Common_ColumnHeader,0))+INDEX(MO_RIS_COGS_Adjustments,0,MATCH(F303,MO_Common_ColumnHeader,0)))/INDEX(MO_RIS_REV,0,MATCH(F303,MO_Common_ColumnHeader,0))</f>
        <v/>
      </c>
      <c r="O303" s="171" t="n"/>
      <c r="P303" s="190">
        <f>IF(ISNUMBER(N303),N303-K303,"N/A")</f>
        <v/>
      </c>
      <c r="Q303" s="190">
        <f>IFERROR(IF(ISNUMBER(N303),(N303-K303)/ABS(K303),"N/A"),"N/A")</f>
        <v/>
      </c>
      <c r="R303" s="171" t="n"/>
      <c r="S303" s="184" t="n">
        <v>43783</v>
      </c>
      <c r="T303" s="191" t="inlineStr">
        <is>
          <t>Press Release</t>
        </is>
      </c>
      <c r="U303" s="171" t="n"/>
    </row>
    <row r="304">
      <c r="A304" s="154" t="n">
        <v>90</v>
      </c>
      <c r="B304" s="181">
        <f>IF(INDEX(MO_SNA_IsHistoricalPeriod,,MATCH(F304,MO_Common_ColumnHeader,0)),"Historical","Forward")</f>
        <v/>
      </c>
      <c r="C304" s="171" t="n"/>
      <c r="D304" s="188" t="inlineStr">
        <is>
          <t>SBC, acquisition related costs and other costs (adjustments for Non-GAAP operating expenses)</t>
        </is>
      </c>
      <c r="E304" s="182" t="n"/>
      <c r="F304" s="181" t="inlineStr">
        <is>
          <t>Q4-2020</t>
        </is>
      </c>
      <c r="G304" s="181" t="n"/>
      <c r="H304" s="171" t="n"/>
      <c r="I304" s="183" t="n">
        <v>-210</v>
      </c>
      <c r="J304" s="183" t="n">
        <v>-210</v>
      </c>
      <c r="K304" s="183">
        <f>AVERAGE(I304:J304)</f>
        <v/>
      </c>
      <c r="L304" s="171" t="n"/>
      <c r="M304" s="181">
        <f>IF(INDEX(MO_SNA_IsHistoricalPeriod,,MATCH(F304,MO_Common_ColumnHeader,0)),"Actual","Estimate")</f>
        <v/>
      </c>
      <c r="N304" s="183">
        <f>-(-INDEX(MO_RIS_OtherOperating_NONGAAP,0,MATCH(F304,MO_Common_ColumnHeader,0))+INDEX(z_A7FLSL0150_MO_RIS_SBC_2,0,MATCH(F304,MO_Common_ColumnHeader,0))+INDEX(z_A7FLSL0150_MO_RIS_sbc_1,0,MATCH(F304,MO_Common_ColumnHeader,0))+INDEX(z_A7FLSL0150_MO_RIS_AcquisitionrelatedcostsRD,0,MATCH(F304,MO_Common_ColumnHeader,0))+INDEX(z_A7FLSL0150_MO_RIS_AcquisitionrelatedcostsSGA,0,MATCH(F304,MO_Common_ColumnHeader,0)))</f>
        <v/>
      </c>
      <c r="O304" s="171" t="n"/>
      <c r="P304" s="189">
        <f>IF(ISNUMBER(N304),N304-K304,"N/A")</f>
        <v/>
      </c>
      <c r="Q304" s="190">
        <f>IFERROR(IF(ISNUMBER(N304),(N304-K304)/ABS(K304),"N/A"),"N/A")</f>
        <v/>
      </c>
      <c r="R304" s="171" t="n"/>
      <c r="S304" s="184" t="n">
        <v>43783</v>
      </c>
      <c r="T304" s="191" t="inlineStr">
        <is>
          <t>Press Release</t>
        </is>
      </c>
      <c r="U304" s="171" t="n"/>
    </row>
    <row r="305">
      <c r="A305" s="154" t="n">
        <v>89</v>
      </c>
      <c r="B305" s="171" t="n"/>
      <c r="C305" s="171" t="n"/>
      <c r="D305" s="168" t="n"/>
      <c r="E305" s="169" t="n"/>
      <c r="F305" s="171" t="n"/>
      <c r="G305" s="171" t="n"/>
      <c r="H305" s="171" t="n"/>
      <c r="I305" s="1013" t="n"/>
      <c r="J305" s="1013" t="n"/>
      <c r="K305" s="1013" t="n"/>
      <c r="L305" s="171" t="n"/>
      <c r="M305" s="171" t="n"/>
      <c r="N305" s="1013" t="n"/>
      <c r="O305" s="171" t="n"/>
      <c r="P305" s="172" t="n"/>
      <c r="Q305" s="134" t="n"/>
      <c r="R305" s="171" t="n"/>
      <c r="S305" s="173" t="n"/>
      <c r="T305" s="192" t="inlineStr">
        <is>
          <t>https://nvidianews.nvidia.com/news/nvidia-announces-financial-results-for-fourth-quarter-and-fiscal-2019</t>
        </is>
      </c>
      <c r="U305" s="171" t="n"/>
    </row>
    <row r="306">
      <c r="A306" s="154" t="n">
        <v>88</v>
      </c>
      <c r="B306" s="181">
        <f>IF(INDEX(MO_SNA_IsHistoricalPeriod,,MATCH(F306,MO_Common_ColumnHeader,0)),"Historical","Forward")</f>
        <v/>
      </c>
      <c r="C306" s="171" t="n"/>
      <c r="D306" s="188">
        <f>INDEX(INDIRECT(E306),0,COLUMN(MO_Common_Column_A))</f>
        <v/>
      </c>
      <c r="E306" s="182" t="inlineStr">
        <is>
          <t>MO_RIS_REV</t>
        </is>
      </c>
      <c r="F306" s="181" t="inlineStr">
        <is>
          <t>Q3-2020</t>
        </is>
      </c>
      <c r="G306" s="181" t="n"/>
      <c r="H306" s="171" t="n"/>
      <c r="I306" s="183">
        <f>0.98*2900</f>
        <v/>
      </c>
      <c r="J306" s="183">
        <f>1.02*2900</f>
        <v/>
      </c>
      <c r="K306" s="183">
        <f>AVERAGE(I306:J306)</f>
        <v/>
      </c>
      <c r="L306" s="171" t="n"/>
      <c r="M306" s="181">
        <f>IF(INDEX(MO_SNA_IsHistoricalPeriod,,MATCH(F306,MO_Common_ColumnHeader,0)),"Actual","Estimate")</f>
        <v/>
      </c>
      <c r="N306" s="183">
        <f>IFERROR(INDEX(INDIRECT(E306),0,MATCH(F306,MO_Common_ColumnHeader,0)),"N/A")</f>
        <v/>
      </c>
      <c r="O306" s="171" t="n"/>
      <c r="P306" s="189">
        <f>IF(ISNUMBER(N306),N306-K306,"N/A")</f>
        <v/>
      </c>
      <c r="Q306" s="190">
        <f>IFERROR(IF(ISNUMBER(N306),(N306-K306)/ABS(K306),"N/A"),"N/A")</f>
        <v/>
      </c>
      <c r="R306" s="171" t="n"/>
      <c r="S306" s="184" t="n">
        <v>43692</v>
      </c>
      <c r="T306" s="191" t="inlineStr">
        <is>
          <t>Press Release</t>
        </is>
      </c>
      <c r="U306" s="171" t="n"/>
    </row>
    <row r="307">
      <c r="A307" s="154" t="n">
        <v>87</v>
      </c>
      <c r="B307" s="181">
        <f>IF(INDEX(MO_SNA_IsHistoricalPeriod,,MATCH(F307,MO_Common_ColumnHeader,0)),"Historical","Forward")</f>
        <v/>
      </c>
      <c r="C307" s="171" t="n"/>
      <c r="D307" s="188">
        <f>INDEX(INDIRECT(E307),0,COLUMN(MO_Common_Column_A))</f>
        <v/>
      </c>
      <c r="E307" s="182" t="inlineStr">
        <is>
          <t>MO_MA_GM</t>
        </is>
      </c>
      <c r="F307" s="181" t="inlineStr">
        <is>
          <t>Q3-2020</t>
        </is>
      </c>
      <c r="G307" s="181" t="n"/>
      <c r="H307" s="171" t="n"/>
      <c r="I307" s="185" t="n">
        <v>0.615</v>
      </c>
      <c r="J307" s="185" t="n">
        <v>0.625</v>
      </c>
      <c r="K307" s="185">
        <f>AVERAGE(I307:J307)</f>
        <v/>
      </c>
      <c r="L307" s="171" t="n"/>
      <c r="M307" s="181">
        <f>IF(INDEX(MO_SNA_IsHistoricalPeriod,,MATCH(F307,MO_Common_ColumnHeader,0)),"Actual","Estimate")</f>
        <v/>
      </c>
      <c r="N307" s="185">
        <f>IFERROR(INDEX(INDIRECT(E307),0,MATCH(F307,MO_Common_ColumnHeader,0)),"N/A")</f>
        <v/>
      </c>
      <c r="O307" s="171" t="n"/>
      <c r="P307" s="190">
        <f>IF(ISNUMBER(N307),N307-K307,"N/A")</f>
        <v/>
      </c>
      <c r="Q307" s="190">
        <f>IFERROR(IF(ISNUMBER(N307),(N307-K307)/ABS(K307),"N/A"),"N/A")</f>
        <v/>
      </c>
      <c r="R307" s="171" t="n"/>
      <c r="S307" s="184" t="n">
        <v>43692</v>
      </c>
      <c r="T307" s="191" t="inlineStr">
        <is>
          <t>Press Release</t>
        </is>
      </c>
      <c r="U307" s="171" t="n"/>
    </row>
    <row r="308">
      <c r="A308" s="154" t="n">
        <v>86</v>
      </c>
      <c r="B308" s="181">
        <f>IF(INDEX(MO_SNA_IsHistoricalPeriod,,MATCH(F308,MO_Common_ColumnHeader,0)),"Historical","Forward")</f>
        <v/>
      </c>
      <c r="C308" s="171" t="n"/>
      <c r="D308" s="188">
        <f>INDEX(INDIRECT(E308),0,COLUMN(MO_Common_Column_A))</f>
        <v/>
      </c>
      <c r="E308" s="182" t="inlineStr">
        <is>
          <t>MO_MA_GM_NONGAAP</t>
        </is>
      </c>
      <c r="F308" s="181" t="inlineStr">
        <is>
          <t>Q3-2020</t>
        </is>
      </c>
      <c r="G308" s="181" t="n"/>
      <c r="H308" s="171" t="n"/>
      <c r="I308" s="185" t="n">
        <v>0.62</v>
      </c>
      <c r="J308" s="185" t="n">
        <v>0.63</v>
      </c>
      <c r="K308" s="185">
        <f>AVERAGE(I308:J308)</f>
        <v/>
      </c>
      <c r="L308" s="171" t="n"/>
      <c r="M308" s="181">
        <f>IF(INDEX(MO_SNA_IsHistoricalPeriod,,MATCH(F308,MO_Common_ColumnHeader,0)),"Actual","Estimate")</f>
        <v/>
      </c>
      <c r="N308" s="185">
        <f>IFERROR(INDEX(INDIRECT(E308),0,MATCH(F308,MO_Common_ColumnHeader,0)),"N/A")</f>
        <v/>
      </c>
      <c r="O308" s="171" t="n"/>
      <c r="P308" s="190">
        <f>IF(ISNUMBER(N308),N308-K308,"N/A")</f>
        <v/>
      </c>
      <c r="Q308" s="190">
        <f>IFERROR(IF(ISNUMBER(N308),(N308-K308)/ABS(K308),"N/A"),"N/A")</f>
        <v/>
      </c>
      <c r="R308" s="171" t="n"/>
      <c r="S308" s="184" t="n">
        <v>43692</v>
      </c>
      <c r="T308" s="191" t="inlineStr">
        <is>
          <t>Press Release</t>
        </is>
      </c>
      <c r="U308" s="171" t="n"/>
    </row>
    <row r="309">
      <c r="A309" s="154" t="n">
        <v>85</v>
      </c>
      <c r="B309" s="181">
        <f>IF(INDEX(MO_SNA_IsHistoricalPeriod,,MATCH(F309,MO_Common_ColumnHeader,0)),"Historical","Forward")</f>
        <v/>
      </c>
      <c r="C309" s="171" t="n"/>
      <c r="D309" s="188" t="inlineStr">
        <is>
          <t>GAAP Operating Expenses</t>
        </is>
      </c>
      <c r="E309" s="182" t="n"/>
      <c r="F309" s="181" t="inlineStr">
        <is>
          <t>Q3-2020</t>
        </is>
      </c>
      <c r="G309" s="181" t="n"/>
      <c r="H309" s="171" t="n"/>
      <c r="I309" s="183" t="n">
        <v>980</v>
      </c>
      <c r="J309" s="183" t="n">
        <v>980</v>
      </c>
      <c r="K309" s="183">
        <f>AVERAGE(I309:J309)</f>
        <v/>
      </c>
      <c r="L309" s="171" t="n"/>
      <c r="M309" s="181">
        <f>IF(INDEX(MO_SNA_IsHistoricalPeriod,,MATCH(F309,MO_Common_ColumnHeader,0)),"Actual","Estimate")</f>
        <v/>
      </c>
      <c r="N309" s="183">
        <f>INDEX(MO_RIS_RD,0,MATCH(F309,MO_Common_ColumnHeader,0))+INDEX(MO_RIS_SGA,0,MATCH(F309,MO_Common_ColumnHeader,0))</f>
        <v/>
      </c>
      <c r="O309" s="171" t="n"/>
      <c r="P309" s="189">
        <f>IF(ISNUMBER(N309),N309-K309,"N/A")</f>
        <v/>
      </c>
      <c r="Q309" s="190">
        <f>IFERROR(IF(ISNUMBER(N309),(N309-K309)/ABS(K309),"N/A"),"N/A")</f>
        <v/>
      </c>
      <c r="R309" s="171" t="n"/>
      <c r="S309" s="184" t="n">
        <v>43692</v>
      </c>
      <c r="T309" s="191" t="inlineStr">
        <is>
          <t>Press Release</t>
        </is>
      </c>
      <c r="U309" s="171" t="n"/>
    </row>
    <row r="310">
      <c r="A310" s="154" t="n">
        <v>84</v>
      </c>
      <c r="B310" s="181">
        <f>IF(INDEX(MO_SNA_IsHistoricalPeriod,,MATCH(F310,MO_Common_ColumnHeader,0)),"Historical","Forward")</f>
        <v/>
      </c>
      <c r="C310" s="171" t="n"/>
      <c r="D310" s="188">
        <f>INDEX(INDIRECT(E310),0,COLUMN(MO_Common_Column_A))</f>
        <v/>
      </c>
      <c r="E310" s="182" t="inlineStr">
        <is>
          <t>MO_OS_OPEX</t>
        </is>
      </c>
      <c r="F310" s="181" t="inlineStr">
        <is>
          <t>Q3-2020</t>
        </is>
      </c>
      <c r="G310" s="181" t="n"/>
      <c r="H310" s="171" t="n"/>
      <c r="I310" s="183" t="n">
        <v>765</v>
      </c>
      <c r="J310" s="183" t="n">
        <v>765</v>
      </c>
      <c r="K310" s="183">
        <f>AVERAGE(I310:J310)</f>
        <v/>
      </c>
      <c r="L310" s="171" t="n"/>
      <c r="M310" s="181">
        <f>IF(INDEX(MO_SNA_IsHistoricalPeriod,,MATCH(F310,MO_Common_ColumnHeader,0)),"Actual","Estimate")</f>
        <v/>
      </c>
      <c r="N310" s="183">
        <f>IFERROR(INDEX(INDIRECT(E310),0,MATCH(F310,MO_Common_ColumnHeader,0)),"N/A")</f>
        <v/>
      </c>
      <c r="O310" s="171" t="n"/>
      <c r="P310" s="189">
        <f>IF(ISNUMBER(N310),N310-K310,"N/A")</f>
        <v/>
      </c>
      <c r="Q310" s="190">
        <f>IFERROR(IF(ISNUMBER(N310),(N310-K310)/ABS(K310),"N/A"),"N/A")</f>
        <v/>
      </c>
      <c r="R310" s="171" t="n"/>
      <c r="S310" s="184" t="n">
        <v>43692</v>
      </c>
      <c r="T310" s="191" t="inlineStr">
        <is>
          <t>Press Release</t>
        </is>
      </c>
      <c r="U310" s="171" t="n"/>
    </row>
    <row r="311">
      <c r="A311" s="154" t="n">
        <v>83</v>
      </c>
      <c r="B311" s="181">
        <f>IF(INDEX(MO_SNA_IsHistoricalPeriod,,MATCH(F311,MO_Common_ColumnHeader,0)),"Historical","Forward")</f>
        <v/>
      </c>
      <c r="C311" s="171" t="n"/>
      <c r="D311" s="188" t="inlineStr">
        <is>
          <t>GAAP Other Income</t>
        </is>
      </c>
      <c r="E311" s="182" t="n"/>
      <c r="F311" s="181" t="inlineStr">
        <is>
          <t>Q3-2020</t>
        </is>
      </c>
      <c r="G311" s="181" t="n"/>
      <c r="H311" s="171" t="n"/>
      <c r="I311" s="183" t="n">
        <v>25</v>
      </c>
      <c r="J311" s="183" t="n">
        <v>25</v>
      </c>
      <c r="K311" s="183">
        <f>AVERAGE(I311:J311)</f>
        <v/>
      </c>
      <c r="L311" s="171" t="n"/>
      <c r="M311" s="181">
        <f>IF(INDEX(MO_SNA_IsHistoricalPeriod,,MATCH(F311,MO_Common_ColumnHeader,0)),"Actual","Estimate")</f>
        <v/>
      </c>
      <c r="N311" s="183">
        <f>IFERROR(INDEX(INDIRECT(E311),0,MATCH(F311,MO_Common_ColumnHeader,0)),"N/A")</f>
        <v/>
      </c>
      <c r="O311" s="171" t="n"/>
      <c r="P311" s="189">
        <f>IF(ISNUMBER(N311),N311-K311,"N/A")</f>
        <v/>
      </c>
      <c r="Q311" s="190">
        <f>IFERROR(IF(ISNUMBER(N311),(N311-K311)/ABS(K311),"N/A"),"N/A")</f>
        <v/>
      </c>
      <c r="R311" s="171" t="n"/>
      <c r="S311" s="184" t="n">
        <v>43692</v>
      </c>
      <c r="T311" s="191" t="inlineStr">
        <is>
          <t>Press Release</t>
        </is>
      </c>
      <c r="U311" s="171" t="n"/>
    </row>
    <row r="312">
      <c r="A312" s="154" t="n">
        <v>82</v>
      </c>
      <c r="B312" s="181">
        <f>IF(INDEX(MO_SNA_IsHistoricalPeriod,,MATCH(F312,MO_Common_ColumnHeader,0)),"Historical","Forward")</f>
        <v/>
      </c>
      <c r="C312" s="171" t="n"/>
      <c r="D312" s="188" t="inlineStr">
        <is>
          <t>Non-GAAP Other Income</t>
        </is>
      </c>
      <c r="E312" s="182" t="n"/>
      <c r="F312" s="181" t="inlineStr">
        <is>
          <t>Q3-2020</t>
        </is>
      </c>
      <c r="G312" s="181" t="n"/>
      <c r="H312" s="171" t="n"/>
      <c r="I312" s="183" t="n">
        <v>25</v>
      </c>
      <c r="J312" s="183" t="n">
        <v>25</v>
      </c>
      <c r="K312" s="183">
        <f>AVERAGE(I312:J312)</f>
        <v/>
      </c>
      <c r="L312" s="171" t="n"/>
      <c r="M312" s="181">
        <f>IF(INDEX(MO_SNA_IsHistoricalPeriod,,MATCH(F312,MO_Common_ColumnHeader,0)),"Actual","Estimate")</f>
        <v/>
      </c>
      <c r="N312" s="183">
        <f>INDEX(MO_RIS_IE_Net_NONGAAP,0,MATCH(F312,MO_Common_ColumnHeader,0))+INDEX(MO_RIS_OI_NONGAAP,0,MATCH(F312,MO_Common_ColumnHeader,0))</f>
        <v/>
      </c>
      <c r="O312" s="171" t="n"/>
      <c r="P312" s="189">
        <f>IF(ISNUMBER(N312),N312-K312,"N/A")</f>
        <v/>
      </c>
      <c r="Q312" s="190">
        <f>IFERROR(IF(ISNUMBER(N312),(N312-K312)/ABS(K312),"N/A"),"N/A")</f>
        <v/>
      </c>
      <c r="R312" s="171" t="n"/>
      <c r="S312" s="184" t="n">
        <v>43692</v>
      </c>
      <c r="T312" s="191" t="inlineStr">
        <is>
          <t>Press Release</t>
        </is>
      </c>
      <c r="U312" s="171" t="n"/>
    </row>
    <row r="313">
      <c r="A313" s="154" t="n">
        <v>81</v>
      </c>
      <c r="B313" s="181">
        <f>IF(INDEX(MO_SNA_IsHistoricalPeriod,,MATCH(F313,MO_Common_ColumnHeader,0)),"Historical","Forward")</f>
        <v/>
      </c>
      <c r="C313" s="171" t="n"/>
      <c r="D313" s="188" t="inlineStr">
        <is>
          <t>GAAP Tax Rate</t>
        </is>
      </c>
      <c r="E313" s="182" t="inlineStr">
        <is>
          <t>MO_RIS_TaxRate</t>
        </is>
      </c>
      <c r="F313" s="181" t="inlineStr">
        <is>
          <t>Q3-2020</t>
        </is>
      </c>
      <c r="G313" s="181" t="n"/>
      <c r="H313" s="171" t="n"/>
      <c r="I313" s="185" t="n">
        <v>0.09</v>
      </c>
      <c r="J313" s="185" t="n">
        <v>0.11</v>
      </c>
      <c r="K313" s="185">
        <f>AVERAGE(I313:J313)</f>
        <v/>
      </c>
      <c r="L313" s="171" t="n"/>
      <c r="M313" s="181">
        <f>IF(INDEX(MO_SNA_IsHistoricalPeriod,,MATCH(F313,MO_Common_ColumnHeader,0)),"Actual","Estimate")</f>
        <v/>
      </c>
      <c r="N313" s="185">
        <f>IFERROR(INDEX(INDIRECT(E313),0,MATCH(F313,MO_Common_ColumnHeader,0)),"N/A")</f>
        <v/>
      </c>
      <c r="O313" s="171" t="n"/>
      <c r="P313" s="190">
        <f>IF(ISNUMBER(N313),N313-K313,"N/A")</f>
        <v/>
      </c>
      <c r="Q313" s="190">
        <f>IFERROR(IF(ISNUMBER(N313),(N313-K313)/ABS(K313),"N/A"),"N/A")</f>
        <v/>
      </c>
      <c r="R313" s="171" t="n"/>
      <c r="S313" s="184" t="n">
        <v>43692</v>
      </c>
      <c r="T313" s="191" t="inlineStr">
        <is>
          <t>Press Release</t>
        </is>
      </c>
      <c r="U313" s="171" t="n"/>
    </row>
    <row r="314">
      <c r="A314" s="154" t="n">
        <v>80</v>
      </c>
      <c r="B314" s="181">
        <f>IF(INDEX(MO_SNA_IsHistoricalPeriod,,MATCH(F314,MO_Common_ColumnHeader,0)),"Historical","Forward")</f>
        <v/>
      </c>
      <c r="C314" s="171" t="n"/>
      <c r="D314" s="188">
        <f>INDEX(INDIRECT(E314),0,COLUMN(MO_Common_Column_A))</f>
        <v/>
      </c>
      <c r="E314" s="182" t="inlineStr">
        <is>
          <t>MO_RIS_TaxRate_NONGAAP</t>
        </is>
      </c>
      <c r="F314" s="181" t="inlineStr">
        <is>
          <t>Q3-2020</t>
        </is>
      </c>
      <c r="G314" s="181" t="n"/>
      <c r="H314" s="171" t="n"/>
      <c r="I314" s="185" t="n">
        <v>0.09</v>
      </c>
      <c r="J314" s="185" t="n">
        <v>0.11</v>
      </c>
      <c r="K314" s="185">
        <f>AVERAGE(I314:J314)</f>
        <v/>
      </c>
      <c r="L314" s="171" t="n"/>
      <c r="M314" s="181">
        <f>IF(INDEX(MO_SNA_IsHistoricalPeriod,,MATCH(F314,MO_Common_ColumnHeader,0)),"Actual","Estimate")</f>
        <v/>
      </c>
      <c r="N314" s="185">
        <f>IFERROR(INDEX(INDIRECT(E314),0,MATCH(F314,MO_Common_ColumnHeader,0)),"N/A")</f>
        <v/>
      </c>
      <c r="O314" s="171" t="n"/>
      <c r="P314" s="190">
        <f>IF(ISNUMBER(N314),N314-K314,"N/A")</f>
        <v/>
      </c>
      <c r="Q314" s="190">
        <f>IFERROR(IF(ISNUMBER(N314),(N314-K314)/ABS(K314),"N/A"),"N/A")</f>
        <v/>
      </c>
      <c r="R314" s="171" t="n"/>
      <c r="S314" s="184" t="n">
        <v>43692</v>
      </c>
      <c r="T314" s="191" t="inlineStr">
        <is>
          <t>Press Release</t>
        </is>
      </c>
      <c r="U314" s="171" t="n"/>
    </row>
    <row r="315">
      <c r="A315" s="154" t="n">
        <v>79</v>
      </c>
      <c r="B315" s="181">
        <f>IF(INDEX(MO_SNA_IsHistoricalPeriod,,MATCH(F315,MO_Common_ColumnHeader,0)),"Historical","Forward")</f>
        <v/>
      </c>
      <c r="C315" s="171" t="n"/>
      <c r="D315" s="188" t="inlineStr">
        <is>
          <t>SBC COGS as % of revenue</t>
        </is>
      </c>
      <c r="E315" s="182" t="n"/>
      <c r="F315" s="181" t="inlineStr">
        <is>
          <t>Q3-2020</t>
        </is>
      </c>
      <c r="G315" s="181" t="n"/>
      <c r="H315" s="171" t="n"/>
      <c r="I315" s="185" t="n">
        <v>-0.005</v>
      </c>
      <c r="J315" s="185" t="n">
        <v>-0.005</v>
      </c>
      <c r="K315" s="185">
        <f>AVERAGE(I315:J315)</f>
        <v/>
      </c>
      <c r="L315" s="171" t="n"/>
      <c r="M315" s="181">
        <f>IF(INDEX(MO_SNA_IsHistoricalPeriod,,MATCH(F315,MO_Common_ColumnHeader,0)),"Actual","Estimate")</f>
        <v/>
      </c>
      <c r="N315" s="185">
        <f>(INDEX(MO_RIS_SBC_COGS,0,MATCH(F315,MO_Common_ColumnHeader,0))+INDEX(z_A7FLSL0150_MO_RIS_AcquisitionrelatedcostsCOGS,0,MATCH(F315,MO_Common_ColumnHeader,0))+INDEX(MO_RIS_COGS_Adjustments,0,MATCH(F315,MO_Common_ColumnHeader,0)))/INDEX(MO_RIS_REV,0,MATCH(F315,MO_Common_ColumnHeader,0))</f>
        <v/>
      </c>
      <c r="O315" s="171" t="n"/>
      <c r="P315" s="190">
        <f>IF(ISNUMBER(N315),N315-K315,"N/A")</f>
        <v/>
      </c>
      <c r="Q315" s="190">
        <f>IFERROR(IF(ISNUMBER(N315),(N315-K315)/ABS(K315),"N/A"),"N/A")</f>
        <v/>
      </c>
      <c r="R315" s="171" t="n"/>
      <c r="S315" s="184" t="n">
        <v>43692</v>
      </c>
      <c r="T315" s="191" t="inlineStr">
        <is>
          <t>Press Release</t>
        </is>
      </c>
      <c r="U315" s="171" t="n"/>
    </row>
    <row r="316">
      <c r="A316" s="154" t="n">
        <v>78</v>
      </c>
      <c r="B316" s="181">
        <f>IF(INDEX(MO_SNA_IsHistoricalPeriod,,MATCH(F316,MO_Common_ColumnHeader,0)),"Historical","Forward")</f>
        <v/>
      </c>
      <c r="C316" s="171" t="n"/>
      <c r="D316" s="188" t="inlineStr">
        <is>
          <t>SBC, acquisition related costs and other costs (adjustments for Non-GAAP operating expenses)</t>
        </is>
      </c>
      <c r="E316" s="182" t="n"/>
      <c r="F316" s="181" t="inlineStr">
        <is>
          <t>Q3-2020</t>
        </is>
      </c>
      <c r="G316" s="181" t="n"/>
      <c r="H316" s="171" t="n"/>
      <c r="I316" s="183" t="n">
        <v>-215</v>
      </c>
      <c r="J316" s="183" t="n">
        <v>-215</v>
      </c>
      <c r="K316" s="183">
        <f>AVERAGE(I316:J316)</f>
        <v/>
      </c>
      <c r="L316" s="171" t="n"/>
      <c r="M316" s="181">
        <f>IF(INDEX(MO_SNA_IsHistoricalPeriod,,MATCH(F316,MO_Common_ColumnHeader,0)),"Actual","Estimate")</f>
        <v/>
      </c>
      <c r="N316" s="183">
        <f>-(-INDEX(MO_RIS_OtherOperating_NONGAAP,0,MATCH(F316,MO_Common_ColumnHeader,0))+INDEX(z_A7FLSL0150_MO_RIS_SBC_2,0,MATCH(F316,MO_Common_ColumnHeader,0))+INDEX(z_A7FLSL0150_MO_RIS_sbc_1,0,MATCH(F316,MO_Common_ColumnHeader,0))+INDEX(z_A7FLSL0150_MO_RIS_AcquisitionrelatedcostsRD,0,MATCH(F316,MO_Common_ColumnHeader,0))+INDEX(z_A7FLSL0150_MO_RIS_AcquisitionrelatedcostsSGA,0,MATCH(F316,MO_Common_ColumnHeader,0)))</f>
        <v/>
      </c>
      <c r="O316" s="171" t="n"/>
      <c r="P316" s="189">
        <f>IF(ISNUMBER(N316),N316-K316,"N/A")</f>
        <v/>
      </c>
      <c r="Q316" s="190">
        <f>IFERROR(IF(ISNUMBER(N316),(N316-K316)/ABS(K316),"N/A"),"N/A")</f>
        <v/>
      </c>
      <c r="R316" s="171" t="n"/>
      <c r="S316" s="184" t="n">
        <v>43692</v>
      </c>
      <c r="T316" s="191" t="inlineStr">
        <is>
          <t>Press Release</t>
        </is>
      </c>
      <c r="U316" s="171" t="n"/>
    </row>
    <row r="317">
      <c r="A317" s="154" t="n">
        <v>77</v>
      </c>
      <c r="B317" s="171" t="n"/>
      <c r="C317" s="171" t="n"/>
      <c r="D317" s="168" t="n"/>
      <c r="E317" s="169" t="n"/>
      <c r="F317" s="171" t="n"/>
      <c r="G317" s="171" t="n"/>
      <c r="H317" s="171" t="n"/>
      <c r="I317" s="1013" t="n"/>
      <c r="J317" s="1013" t="n"/>
      <c r="K317" s="1013" t="n"/>
      <c r="L317" s="171" t="n"/>
      <c r="M317" s="171" t="n"/>
      <c r="N317" s="1013" t="n"/>
      <c r="O317" s="171" t="n"/>
      <c r="P317" s="172" t="n"/>
      <c r="Q317" s="134" t="n"/>
      <c r="R317" s="171" t="n"/>
      <c r="S317" s="173" t="n"/>
      <c r="T317" s="192" t="inlineStr">
        <is>
          <t>https://nvidianews.nvidia.com/news/nvidia-announces-financial-results-for-fourth-quarter-and-fiscal-2019</t>
        </is>
      </c>
      <c r="U317" s="171" t="n"/>
    </row>
    <row r="318">
      <c r="A318" s="154" t="n">
        <v>76</v>
      </c>
      <c r="B318" s="181">
        <f>IF(INDEX(MO_SNA_IsHistoricalPeriod,,MATCH(F318,MO_Common_ColumnHeader,0)),"Historical","Forward")</f>
        <v/>
      </c>
      <c r="C318" s="171" t="n"/>
      <c r="D318" s="188">
        <f>INDEX(INDIRECT(E318),0,COLUMN(MO_Common_Column_A))</f>
        <v/>
      </c>
      <c r="E318" s="182" t="inlineStr">
        <is>
          <t>MO_RIS_REV</t>
        </is>
      </c>
      <c r="F318" s="181" t="inlineStr">
        <is>
          <t>Q2-2020</t>
        </is>
      </c>
      <c r="G318" s="181" t="n"/>
      <c r="H318" s="171" t="n"/>
      <c r="I318" s="183">
        <f>0.98*2550</f>
        <v/>
      </c>
      <c r="J318" s="183">
        <f>1.02*2550</f>
        <v/>
      </c>
      <c r="K318" s="183">
        <f>AVERAGE(I318:J318)</f>
        <v/>
      </c>
      <c r="L318" s="171" t="n"/>
      <c r="M318" s="181">
        <f>IF(INDEX(MO_SNA_IsHistoricalPeriod,,MATCH(F318,MO_Common_ColumnHeader,0)),"Actual","Estimate")</f>
        <v/>
      </c>
      <c r="N318" s="183">
        <f>IFERROR(INDEX(INDIRECT(E318),0,MATCH(F318,MO_Common_ColumnHeader,0)),"N/A")</f>
        <v/>
      </c>
      <c r="O318" s="171" t="n"/>
      <c r="P318" s="189">
        <f>IF(ISNUMBER(N318),N318-K318,"N/A")</f>
        <v/>
      </c>
      <c r="Q318" s="190">
        <f>IFERROR(IF(ISNUMBER(N318),(N318-K318)/ABS(K318),"N/A"),"N/A")</f>
        <v/>
      </c>
      <c r="R318" s="171" t="n"/>
      <c r="S318" s="184" t="n">
        <v>43601</v>
      </c>
      <c r="T318" s="191" t="inlineStr">
        <is>
          <t>Press Release</t>
        </is>
      </c>
      <c r="U318" s="171" t="n"/>
    </row>
    <row r="319">
      <c r="A319" s="154" t="n">
        <v>75</v>
      </c>
      <c r="B319" s="181">
        <f>IF(INDEX(MO_SNA_IsHistoricalPeriod,,MATCH(F319,MO_Common_ColumnHeader,0)),"Historical","Forward")</f>
        <v/>
      </c>
      <c r="C319" s="171" t="n"/>
      <c r="D319" s="188">
        <f>INDEX(INDIRECT(E319),0,COLUMN(MO_Common_Column_A))</f>
        <v/>
      </c>
      <c r="E319" s="182" t="inlineStr">
        <is>
          <t>MO_MA_GM</t>
        </is>
      </c>
      <c r="F319" s="181" t="inlineStr">
        <is>
          <t>Q2-2020</t>
        </is>
      </c>
      <c r="G319" s="181" t="n"/>
      <c r="H319" s="171" t="n"/>
      <c r="I319" s="185" t="n">
        <v>0.587</v>
      </c>
      <c r="J319" s="185" t="n">
        <v>0.597</v>
      </c>
      <c r="K319" s="185">
        <f>AVERAGE(I319:J319)</f>
        <v/>
      </c>
      <c r="L319" s="171" t="n"/>
      <c r="M319" s="181">
        <f>IF(INDEX(MO_SNA_IsHistoricalPeriod,,MATCH(F319,MO_Common_ColumnHeader,0)),"Actual","Estimate")</f>
        <v/>
      </c>
      <c r="N319" s="185">
        <f>IFERROR(INDEX(INDIRECT(E319),0,MATCH(F319,MO_Common_ColumnHeader,0)),"N/A")</f>
        <v/>
      </c>
      <c r="O319" s="171" t="n"/>
      <c r="P319" s="190">
        <f>IF(ISNUMBER(N319),N319-K319,"N/A")</f>
        <v/>
      </c>
      <c r="Q319" s="190">
        <f>IFERROR(IF(ISNUMBER(N319),(N319-K319)/ABS(K319),"N/A"),"N/A")</f>
        <v/>
      </c>
      <c r="R319" s="171" t="n"/>
      <c r="S319" s="184" t="n">
        <v>43601</v>
      </c>
      <c r="T319" s="191" t="inlineStr">
        <is>
          <t>Press Release</t>
        </is>
      </c>
      <c r="U319" s="171" t="n"/>
    </row>
    <row r="320">
      <c r="A320" s="154" t="n">
        <v>74</v>
      </c>
      <c r="B320" s="181">
        <f>IF(INDEX(MO_SNA_IsHistoricalPeriod,,MATCH(F320,MO_Common_ColumnHeader,0)),"Historical","Forward")</f>
        <v/>
      </c>
      <c r="C320" s="171" t="n"/>
      <c r="D320" s="188">
        <f>INDEX(INDIRECT(E320),0,COLUMN(MO_Common_Column_A))</f>
        <v/>
      </c>
      <c r="E320" s="182" t="inlineStr">
        <is>
          <t>MO_MA_GM_NONGAAP</t>
        </is>
      </c>
      <c r="F320" s="181" t="inlineStr">
        <is>
          <t>Q2-2020</t>
        </is>
      </c>
      <c r="G320" s="181" t="n"/>
      <c r="H320" s="171" t="n"/>
      <c r="I320" s="185" t="n">
        <v>0.59</v>
      </c>
      <c r="J320" s="185" t="n">
        <v>0.6</v>
      </c>
      <c r="K320" s="185">
        <f>AVERAGE(I320:J320)</f>
        <v/>
      </c>
      <c r="L320" s="171" t="n"/>
      <c r="M320" s="181">
        <f>IF(INDEX(MO_SNA_IsHistoricalPeriod,,MATCH(F320,MO_Common_ColumnHeader,0)),"Actual","Estimate")</f>
        <v/>
      </c>
      <c r="N320" s="185">
        <f>IFERROR(INDEX(INDIRECT(E320),0,MATCH(F320,MO_Common_ColumnHeader,0)),"N/A")</f>
        <v/>
      </c>
      <c r="O320" s="171" t="n"/>
      <c r="P320" s="190">
        <f>IF(ISNUMBER(N320),N320-K320,"N/A")</f>
        <v/>
      </c>
      <c r="Q320" s="190">
        <f>IFERROR(IF(ISNUMBER(N320),(N320-K320)/ABS(K320),"N/A"),"N/A")</f>
        <v/>
      </c>
      <c r="R320" s="171" t="n"/>
      <c r="S320" s="184" t="n">
        <v>43601</v>
      </c>
      <c r="T320" s="191" t="inlineStr">
        <is>
          <t>Press Release</t>
        </is>
      </c>
      <c r="U320" s="171" t="n"/>
    </row>
    <row r="321">
      <c r="A321" s="154" t="n">
        <v>73</v>
      </c>
      <c r="B321" s="181">
        <f>IF(INDEX(MO_SNA_IsHistoricalPeriod,,MATCH(F321,MO_Common_ColumnHeader,0)),"Historical","Forward")</f>
        <v/>
      </c>
      <c r="C321" s="171" t="n"/>
      <c r="D321" s="188" t="inlineStr">
        <is>
          <t>GAAP Operating Expenses</t>
        </is>
      </c>
      <c r="E321" s="182" t="n"/>
      <c r="F321" s="181" t="inlineStr">
        <is>
          <t>Q2-2020</t>
        </is>
      </c>
      <c r="G321" s="181" t="n"/>
      <c r="H321" s="171" t="n"/>
      <c r="I321" s="183" t="n">
        <v>985</v>
      </c>
      <c r="J321" s="183" t="n">
        <v>985</v>
      </c>
      <c r="K321" s="183">
        <f>AVERAGE(I321:J321)</f>
        <v/>
      </c>
      <c r="L321" s="171" t="n"/>
      <c r="M321" s="181">
        <f>IF(INDEX(MO_SNA_IsHistoricalPeriod,,MATCH(F321,MO_Common_ColumnHeader,0)),"Actual","Estimate")</f>
        <v/>
      </c>
      <c r="N321" s="183">
        <f>INDEX(MO_RIS_RD,0,MATCH(F321,MO_Common_ColumnHeader,0))+INDEX(MO_RIS_SGA,0,MATCH(F321,MO_Common_ColumnHeader,0))</f>
        <v/>
      </c>
      <c r="O321" s="171" t="n"/>
      <c r="P321" s="189">
        <f>IF(ISNUMBER(N321),N321-K321,"N/A")</f>
        <v/>
      </c>
      <c r="Q321" s="190">
        <f>IFERROR(IF(ISNUMBER(N321),(N321-K321)/ABS(K321),"N/A"),"N/A")</f>
        <v/>
      </c>
      <c r="R321" s="171" t="n"/>
      <c r="S321" s="184" t="n">
        <v>43601</v>
      </c>
      <c r="T321" s="191" t="inlineStr">
        <is>
          <t>Press Release</t>
        </is>
      </c>
      <c r="U321" s="171" t="n"/>
    </row>
    <row r="322">
      <c r="A322" s="154" t="n">
        <v>72</v>
      </c>
      <c r="B322" s="181">
        <f>IF(INDEX(MO_SNA_IsHistoricalPeriod,,MATCH(F322,MO_Common_ColumnHeader,0)),"Historical","Forward")</f>
        <v/>
      </c>
      <c r="C322" s="171" t="n"/>
      <c r="D322" s="188">
        <f>INDEX(INDIRECT(E322),0,COLUMN(MO_Common_Column_A))</f>
        <v/>
      </c>
      <c r="E322" s="182" t="inlineStr">
        <is>
          <t>MO_OS_OPEX</t>
        </is>
      </c>
      <c r="F322" s="181" t="inlineStr">
        <is>
          <t>Q2-2020</t>
        </is>
      </c>
      <c r="G322" s="181" t="n"/>
      <c r="H322" s="171" t="n"/>
      <c r="I322" s="183" t="n">
        <v>765</v>
      </c>
      <c r="J322" s="183" t="n">
        <v>765</v>
      </c>
      <c r="K322" s="183">
        <f>AVERAGE(I322:J322)</f>
        <v/>
      </c>
      <c r="L322" s="171" t="n"/>
      <c r="M322" s="181">
        <f>IF(INDEX(MO_SNA_IsHistoricalPeriod,,MATCH(F322,MO_Common_ColumnHeader,0)),"Actual","Estimate")</f>
        <v/>
      </c>
      <c r="N322" s="183">
        <f>IFERROR(INDEX(INDIRECT(E322),0,MATCH(F322,MO_Common_ColumnHeader,0)),"N/A")</f>
        <v/>
      </c>
      <c r="O322" s="171" t="n"/>
      <c r="P322" s="189">
        <f>IF(ISNUMBER(N322),N322-K322,"N/A")</f>
        <v/>
      </c>
      <c r="Q322" s="190">
        <f>IFERROR(IF(ISNUMBER(N322),(N322-K322)/ABS(K322),"N/A"),"N/A")</f>
        <v/>
      </c>
      <c r="R322" s="171" t="n"/>
      <c r="S322" s="184" t="n">
        <v>43601</v>
      </c>
      <c r="T322" s="191" t="inlineStr">
        <is>
          <t>Press Release</t>
        </is>
      </c>
      <c r="U322" s="171" t="n"/>
    </row>
    <row r="323">
      <c r="A323" s="154" t="n">
        <v>71</v>
      </c>
      <c r="B323" s="181">
        <f>IF(INDEX(MO_SNA_IsHistoricalPeriod,,MATCH(F323,MO_Common_ColumnHeader,0)),"Historical","Forward")</f>
        <v/>
      </c>
      <c r="C323" s="171" t="n"/>
      <c r="D323" s="188" t="inlineStr">
        <is>
          <t>GAAP Other Income</t>
        </is>
      </c>
      <c r="E323" s="182" t="n"/>
      <c r="F323" s="181" t="inlineStr">
        <is>
          <t>Q2-2020</t>
        </is>
      </c>
      <c r="G323" s="181" t="n"/>
      <c r="H323" s="171" t="n"/>
      <c r="I323" s="183" t="n">
        <v>27</v>
      </c>
      <c r="J323" s="183" t="n">
        <v>27</v>
      </c>
      <c r="K323" s="183">
        <f>AVERAGE(I323:J323)</f>
        <v/>
      </c>
      <c r="L323" s="171" t="n"/>
      <c r="M323" s="181">
        <f>IF(INDEX(MO_SNA_IsHistoricalPeriod,,MATCH(F323,MO_Common_ColumnHeader,0)),"Actual","Estimate")</f>
        <v/>
      </c>
      <c r="N323" s="183">
        <f>IFERROR(INDEX(INDIRECT(E323),0,MATCH(F323,MO_Common_ColumnHeader,0)),"N/A")</f>
        <v/>
      </c>
      <c r="O323" s="171" t="n"/>
      <c r="P323" s="189">
        <f>IF(ISNUMBER(N323),N323-K323,"N/A")</f>
        <v/>
      </c>
      <c r="Q323" s="190">
        <f>IFERROR(IF(ISNUMBER(N323),(N323-K323)/ABS(K323),"N/A"),"N/A")</f>
        <v/>
      </c>
      <c r="R323" s="171" t="n"/>
      <c r="S323" s="184" t="n">
        <v>43601</v>
      </c>
      <c r="T323" s="191" t="inlineStr">
        <is>
          <t>Press Release</t>
        </is>
      </c>
      <c r="U323" s="171" t="n"/>
    </row>
    <row r="324">
      <c r="A324" s="154" t="n">
        <v>70</v>
      </c>
      <c r="B324" s="181">
        <f>IF(INDEX(MO_SNA_IsHistoricalPeriod,,MATCH(F324,MO_Common_ColumnHeader,0)),"Historical","Forward")</f>
        <v/>
      </c>
      <c r="C324" s="171" t="n"/>
      <c r="D324" s="188" t="inlineStr">
        <is>
          <t>Non-GAAP Other Income</t>
        </is>
      </c>
      <c r="E324" s="182" t="n"/>
      <c r="F324" s="181" t="inlineStr">
        <is>
          <t>Q2-2020</t>
        </is>
      </c>
      <c r="G324" s="181" t="n"/>
      <c r="H324" s="171" t="n"/>
      <c r="I324" s="183" t="n">
        <v>27</v>
      </c>
      <c r="J324" s="183" t="n">
        <v>27</v>
      </c>
      <c r="K324" s="183">
        <f>AVERAGE(I324:J324)</f>
        <v/>
      </c>
      <c r="L324" s="171" t="n"/>
      <c r="M324" s="181">
        <f>IF(INDEX(MO_SNA_IsHistoricalPeriod,,MATCH(F324,MO_Common_ColumnHeader,0)),"Actual","Estimate")</f>
        <v/>
      </c>
      <c r="N324" s="183">
        <f>INDEX(MO_RIS_IE_Net_NONGAAP,0,MATCH(F324,MO_Common_ColumnHeader,0))+INDEX(MO_RIS_OI_NONGAAP,0,MATCH(F324,MO_Common_ColumnHeader,0))</f>
        <v/>
      </c>
      <c r="O324" s="171" t="n"/>
      <c r="P324" s="189">
        <f>IF(ISNUMBER(N324),N324-K324,"N/A")</f>
        <v/>
      </c>
      <c r="Q324" s="190">
        <f>IFERROR(IF(ISNUMBER(N324),(N324-K324)/ABS(K324),"N/A"),"N/A")</f>
        <v/>
      </c>
      <c r="R324" s="171" t="n"/>
      <c r="S324" s="184" t="n">
        <v>43601</v>
      </c>
      <c r="T324" s="191" t="inlineStr">
        <is>
          <t>Press Release</t>
        </is>
      </c>
      <c r="U324" s="171" t="n"/>
    </row>
    <row r="325">
      <c r="A325" s="154" t="n">
        <v>69</v>
      </c>
      <c r="B325" s="181">
        <f>IF(INDEX(MO_SNA_IsHistoricalPeriod,,MATCH(F325,MO_Common_ColumnHeader,0)),"Historical","Forward")</f>
        <v/>
      </c>
      <c r="C325" s="171" t="n"/>
      <c r="D325" s="188" t="inlineStr">
        <is>
          <t>GAAP Tax Rate</t>
        </is>
      </c>
      <c r="E325" s="182" t="inlineStr">
        <is>
          <t>MO_RIS_TaxRate</t>
        </is>
      </c>
      <c r="F325" s="181" t="inlineStr">
        <is>
          <t>Q2-2020</t>
        </is>
      </c>
      <c r="G325" s="181" t="n"/>
      <c r="H325" s="171" t="n"/>
      <c r="I325" s="185" t="n">
        <v>0.1</v>
      </c>
      <c r="J325" s="185" t="n">
        <v>0.1</v>
      </c>
      <c r="K325" s="185">
        <f>AVERAGE(I325:J325)</f>
        <v/>
      </c>
      <c r="L325" s="171" t="n"/>
      <c r="M325" s="181">
        <f>IF(INDEX(MO_SNA_IsHistoricalPeriod,,MATCH(F325,MO_Common_ColumnHeader,0)),"Actual","Estimate")</f>
        <v/>
      </c>
      <c r="N325" s="185">
        <f>IFERROR(INDEX(INDIRECT(E325),0,MATCH(F325,MO_Common_ColumnHeader,0)),"N/A")</f>
        <v/>
      </c>
      <c r="O325" s="171" t="n"/>
      <c r="P325" s="190">
        <f>IF(ISNUMBER(N325),N325-K325,"N/A")</f>
        <v/>
      </c>
      <c r="Q325" s="190">
        <f>IFERROR(IF(ISNUMBER(N325),(N325-K325)/ABS(K325),"N/A"),"N/A")</f>
        <v/>
      </c>
      <c r="R325" s="171" t="n"/>
      <c r="S325" s="184" t="n">
        <v>43601</v>
      </c>
      <c r="T325" s="191" t="inlineStr">
        <is>
          <t>Press Release</t>
        </is>
      </c>
      <c r="U325" s="171" t="n"/>
    </row>
    <row r="326">
      <c r="A326" s="154" t="n">
        <v>68</v>
      </c>
      <c r="B326" s="181">
        <f>IF(INDEX(MO_SNA_IsHistoricalPeriod,,MATCH(F326,MO_Common_ColumnHeader,0)),"Historical","Forward")</f>
        <v/>
      </c>
      <c r="C326" s="171" t="n"/>
      <c r="D326" s="188">
        <f>INDEX(INDIRECT(E326),0,COLUMN(MO_Common_Column_A))</f>
        <v/>
      </c>
      <c r="E326" s="182" t="inlineStr">
        <is>
          <t>MO_RIS_TaxRate_NONGAAP</t>
        </is>
      </c>
      <c r="F326" s="181" t="inlineStr">
        <is>
          <t>Q2-2020</t>
        </is>
      </c>
      <c r="G326" s="181" t="n"/>
      <c r="H326" s="171" t="n"/>
      <c r="I326" s="185" t="n">
        <v>0.1</v>
      </c>
      <c r="J326" s="185" t="n">
        <v>0.1</v>
      </c>
      <c r="K326" s="185">
        <f>AVERAGE(I326:J326)</f>
        <v/>
      </c>
      <c r="L326" s="171" t="n"/>
      <c r="M326" s="181">
        <f>IF(INDEX(MO_SNA_IsHistoricalPeriod,,MATCH(F326,MO_Common_ColumnHeader,0)),"Actual","Estimate")</f>
        <v/>
      </c>
      <c r="N326" s="185">
        <f>IFERROR(INDEX(INDIRECT(E326),0,MATCH(F326,MO_Common_ColumnHeader,0)),"N/A")</f>
        <v/>
      </c>
      <c r="O326" s="171" t="n"/>
      <c r="P326" s="190">
        <f>IF(ISNUMBER(N326),N326-K326,"N/A")</f>
        <v/>
      </c>
      <c r="Q326" s="190">
        <f>IFERROR(IF(ISNUMBER(N326),(N326-K326)/ABS(K326),"N/A"),"N/A")</f>
        <v/>
      </c>
      <c r="R326" s="171" t="n"/>
      <c r="S326" s="184" t="n">
        <v>43601</v>
      </c>
      <c r="T326" s="191" t="inlineStr">
        <is>
          <t>Press Release</t>
        </is>
      </c>
      <c r="U326" s="171" t="n"/>
    </row>
    <row r="327">
      <c r="A327" s="154" t="n">
        <v>67</v>
      </c>
      <c r="B327" s="181">
        <f>IF(INDEX(MO_SNA_IsHistoricalPeriod,,MATCH(F327,MO_Common_ColumnHeader,0)),"Historical","Forward")</f>
        <v/>
      </c>
      <c r="C327" s="171" t="n"/>
      <c r="D327" s="188" t="inlineStr">
        <is>
          <t>SBC COGS as % of revenue</t>
        </is>
      </c>
      <c r="E327" s="182" t="n"/>
      <c r="F327" s="181" t="inlineStr">
        <is>
          <t>Q2-2020</t>
        </is>
      </c>
      <c r="G327" s="181" t="n"/>
      <c r="H327" s="171" t="n"/>
      <c r="I327" s="185" t="n">
        <v>-0.003</v>
      </c>
      <c r="J327" s="185" t="n">
        <v>-0.003</v>
      </c>
      <c r="K327" s="185">
        <f>AVERAGE(I327:J327)</f>
        <v/>
      </c>
      <c r="L327" s="171" t="n"/>
      <c r="M327" s="181">
        <f>IF(INDEX(MO_SNA_IsHistoricalPeriod,,MATCH(F327,MO_Common_ColumnHeader,0)),"Actual","Estimate")</f>
        <v/>
      </c>
      <c r="N327" s="185">
        <f>(INDEX(MO_RIS_SBC_COGS,0,MATCH(F327,MO_Common_ColumnHeader,0))+INDEX(z_A7FLSL0150_MO_RIS_AcquisitionrelatedcostsCOGS,0,MATCH(F327,MO_Common_ColumnHeader,0))+INDEX(MO_RIS_COGS_Adjustments,0,MATCH(F327,MO_Common_ColumnHeader,0)))/INDEX(MO_RIS_REV,0,MATCH(F327,MO_Common_ColumnHeader,0))</f>
        <v/>
      </c>
      <c r="O327" s="171" t="n"/>
      <c r="P327" s="190">
        <f>IF(ISNUMBER(N327),N327-K327,"N/A")</f>
        <v/>
      </c>
      <c r="Q327" s="190">
        <f>IFERROR(IF(ISNUMBER(N327),(N327-K327)/ABS(K327),"N/A"),"N/A")</f>
        <v/>
      </c>
      <c r="R327" s="171" t="n"/>
      <c r="S327" s="184" t="n">
        <v>43601</v>
      </c>
      <c r="T327" s="191" t="inlineStr">
        <is>
          <t>Press Release</t>
        </is>
      </c>
      <c r="U327" s="171" t="n"/>
    </row>
    <row r="328">
      <c r="A328" s="154" t="n">
        <v>66</v>
      </c>
      <c r="B328" s="181">
        <f>IF(INDEX(MO_SNA_IsHistoricalPeriod,,MATCH(F328,MO_Common_ColumnHeader,0)),"Historical","Forward")</f>
        <v/>
      </c>
      <c r="C328" s="171" t="n"/>
      <c r="D328" s="188" t="inlineStr">
        <is>
          <t>SBC, acquisition related costs and other costs (adjustments for Non-GAAP operating expenses)</t>
        </is>
      </c>
      <c r="E328" s="182" t="n"/>
      <c r="F328" s="181" t="inlineStr">
        <is>
          <t>Q2-2020</t>
        </is>
      </c>
      <c r="G328" s="181" t="n"/>
      <c r="H328" s="171" t="n"/>
      <c r="I328" s="183" t="n">
        <v>-220</v>
      </c>
      <c r="J328" s="183" t="n">
        <v>-220</v>
      </c>
      <c r="K328" s="183">
        <f>AVERAGE(I328:J328)</f>
        <v/>
      </c>
      <c r="L328" s="171" t="n"/>
      <c r="M328" s="181">
        <f>IF(INDEX(MO_SNA_IsHistoricalPeriod,,MATCH(F328,MO_Common_ColumnHeader,0)),"Actual","Estimate")</f>
        <v/>
      </c>
      <c r="N328" s="183">
        <f>-(-INDEX(MO_RIS_OtherOperating_NONGAAP,0,MATCH(F328,MO_Common_ColumnHeader,0))+INDEX(z_A7FLSL0150_MO_RIS_SBC_2,0,MATCH(F328,MO_Common_ColumnHeader,0))+INDEX(z_A7FLSL0150_MO_RIS_sbc_1,0,MATCH(F328,MO_Common_ColumnHeader,0))+INDEX(z_A7FLSL0150_MO_RIS_AcquisitionrelatedcostsRD,0,MATCH(F328,MO_Common_ColumnHeader,0))+INDEX(z_A7FLSL0150_MO_RIS_AcquisitionrelatedcostsSGA,0,MATCH(F328,MO_Common_ColumnHeader,0)))</f>
        <v/>
      </c>
      <c r="O328" s="171" t="n"/>
      <c r="P328" s="189">
        <f>IF(ISNUMBER(N328),N328-K328,"N/A")</f>
        <v/>
      </c>
      <c r="Q328" s="190">
        <f>IFERROR(IF(ISNUMBER(N328),(N328-K328)/ABS(K328),"N/A"),"N/A")</f>
        <v/>
      </c>
      <c r="R328" s="171" t="n"/>
      <c r="S328" s="184" t="n">
        <v>43601</v>
      </c>
      <c r="T328" s="191" t="inlineStr">
        <is>
          <t>Press Release</t>
        </is>
      </c>
      <c r="U328" s="171" t="n"/>
    </row>
    <row r="329">
      <c r="A329" s="154" t="n">
        <v>65</v>
      </c>
      <c r="B329" s="171" t="n"/>
      <c r="C329" s="171" t="n"/>
      <c r="D329" s="168" t="n"/>
      <c r="E329" s="169" t="n"/>
      <c r="F329" s="171" t="n"/>
      <c r="G329" s="171" t="n"/>
      <c r="H329" s="171" t="n"/>
      <c r="I329" s="1013" t="n"/>
      <c r="J329" s="1013" t="n"/>
      <c r="K329" s="1013" t="n"/>
      <c r="L329" s="171" t="n"/>
      <c r="M329" s="171" t="n"/>
      <c r="N329" s="1013" t="n"/>
      <c r="O329" s="171" t="n"/>
      <c r="P329" s="172" t="n"/>
      <c r="Q329" s="134" t="n"/>
      <c r="R329" s="171" t="n"/>
      <c r="S329" s="173" t="n"/>
      <c r="T329" s="192" t="inlineStr">
        <is>
          <t>https://nvidianews.nvidia.com/news/nvidia-announces-financial-results-for-fourth-quarter-and-fiscal-2019</t>
        </is>
      </c>
      <c r="U329" s="171" t="n"/>
    </row>
    <row r="330">
      <c r="A330" s="154" t="n">
        <v>64</v>
      </c>
      <c r="B330" s="181">
        <f>IF(INDEX(MO_SNA_IsHistoricalPeriod,,MATCH(F330,MO_Common_ColumnHeader,0)),"Historical","Forward")</f>
        <v/>
      </c>
      <c r="C330" s="171" t="n"/>
      <c r="D330" s="188">
        <f>INDEX(INDIRECT(E330),0,COLUMN(MO_Common_Column_A))</f>
        <v/>
      </c>
      <c r="E330" s="182" t="inlineStr">
        <is>
          <t>MO_RIS_REV</t>
        </is>
      </c>
      <c r="F330" s="181" t="inlineStr">
        <is>
          <t>Q1-2020</t>
        </is>
      </c>
      <c r="G330" s="181" t="n"/>
      <c r="H330" s="171" t="n"/>
      <c r="I330" s="183" t="n">
        <v>2156</v>
      </c>
      <c r="J330" s="183" t="n">
        <v>2244</v>
      </c>
      <c r="K330" s="183">
        <f>AVERAGE(I330:J330)</f>
        <v/>
      </c>
      <c r="L330" s="171" t="n"/>
      <c r="M330" s="181">
        <f>IF(INDEX(MO_SNA_IsHistoricalPeriod,,MATCH(F330,MO_Common_ColumnHeader,0)),"Actual","Estimate")</f>
        <v/>
      </c>
      <c r="N330" s="183">
        <f>IFERROR(INDEX(INDIRECT(E330),0,MATCH(F330,MO_Common_ColumnHeader,0)),"N/A")</f>
        <v/>
      </c>
      <c r="O330" s="171" t="n"/>
      <c r="P330" s="189">
        <f>IF(ISNUMBER(N330),N330-K330,"N/A")</f>
        <v/>
      </c>
      <c r="Q330" s="190">
        <f>IFERROR(IF(ISNUMBER(N330),(N330-K330)/ABS(K330),"N/A"),"N/A")</f>
        <v/>
      </c>
      <c r="R330" s="171" t="n"/>
      <c r="S330" s="184" t="n">
        <v>43510</v>
      </c>
      <c r="T330" s="191" t="inlineStr">
        <is>
          <t>Press Release</t>
        </is>
      </c>
      <c r="U330" s="171" t="n"/>
    </row>
    <row r="331">
      <c r="A331" s="154" t="n">
        <v>63</v>
      </c>
      <c r="B331" s="181">
        <f>IF(INDEX(MO_SNA_IsHistoricalPeriod,,MATCH(F331,MO_Common_ColumnHeader,0)),"Historical","Forward")</f>
        <v/>
      </c>
      <c r="C331" s="171" t="n"/>
      <c r="D331" s="188">
        <f>INDEX(INDIRECT(E331),0,COLUMN(MO_Common_Column_A))</f>
        <v/>
      </c>
      <c r="E331" s="182" t="inlineStr">
        <is>
          <t>MO_MA_GM</t>
        </is>
      </c>
      <c r="F331" s="181" t="inlineStr">
        <is>
          <t>Q1-2020</t>
        </is>
      </c>
      <c r="G331" s="181" t="n"/>
      <c r="H331" s="171" t="n"/>
      <c r="I331" s="185" t="n">
        <v>0.583</v>
      </c>
      <c r="J331" s="185" t="n">
        <v>0.593</v>
      </c>
      <c r="K331" s="185">
        <f>AVERAGE(I331:J331)</f>
        <v/>
      </c>
      <c r="L331" s="171" t="n"/>
      <c r="M331" s="181">
        <f>IF(INDEX(MO_SNA_IsHistoricalPeriod,,MATCH(F331,MO_Common_ColumnHeader,0)),"Actual","Estimate")</f>
        <v/>
      </c>
      <c r="N331" s="185">
        <f>IFERROR(INDEX(INDIRECT(E331),0,MATCH(F331,MO_Common_ColumnHeader,0)),"N/A")</f>
        <v/>
      </c>
      <c r="O331" s="171" t="n"/>
      <c r="P331" s="190">
        <f>IF(ISNUMBER(N331),N331-K331,"N/A")</f>
        <v/>
      </c>
      <c r="Q331" s="190">
        <f>IFERROR(IF(ISNUMBER(N331),(N331-K331)/ABS(K331),"N/A"),"N/A")</f>
        <v/>
      </c>
      <c r="R331" s="171" t="n"/>
      <c r="S331" s="184" t="n">
        <v>43510</v>
      </c>
      <c r="T331" s="191" t="inlineStr">
        <is>
          <t>Press Release</t>
        </is>
      </c>
      <c r="U331" s="171" t="n"/>
    </row>
    <row r="332">
      <c r="A332" s="154" t="n">
        <v>62</v>
      </c>
      <c r="B332" s="181">
        <f>IF(INDEX(MO_SNA_IsHistoricalPeriod,,MATCH(F332,MO_Common_ColumnHeader,0)),"Historical","Forward")</f>
        <v/>
      </c>
      <c r="C332" s="171" t="n"/>
      <c r="D332" s="188">
        <f>INDEX(INDIRECT(E332),0,COLUMN(MO_Common_Column_A))</f>
        <v/>
      </c>
      <c r="E332" s="182" t="inlineStr">
        <is>
          <t>MO_MA_GM_NONGAAP</t>
        </is>
      </c>
      <c r="F332" s="181" t="inlineStr">
        <is>
          <t>Q1-2020</t>
        </is>
      </c>
      <c r="G332" s="181" t="n"/>
      <c r="H332" s="171" t="n"/>
      <c r="I332" s="185" t="n">
        <v>0.585</v>
      </c>
      <c r="J332" s="185" t="n">
        <v>0.595</v>
      </c>
      <c r="K332" s="185">
        <f>AVERAGE(I332:J332)</f>
        <v/>
      </c>
      <c r="L332" s="171" t="n"/>
      <c r="M332" s="181">
        <f>IF(INDEX(MO_SNA_IsHistoricalPeriod,,MATCH(F332,MO_Common_ColumnHeader,0)),"Actual","Estimate")</f>
        <v/>
      </c>
      <c r="N332" s="185">
        <f>IFERROR(INDEX(INDIRECT(E332),0,MATCH(F332,MO_Common_ColumnHeader,0)),"N/A")</f>
        <v/>
      </c>
      <c r="O332" s="171" t="n"/>
      <c r="P332" s="190">
        <f>IF(ISNUMBER(N332),N332-K332,"N/A")</f>
        <v/>
      </c>
      <c r="Q332" s="190">
        <f>IFERROR(IF(ISNUMBER(N332),(N332-K332)/ABS(K332),"N/A"),"N/A")</f>
        <v/>
      </c>
      <c r="R332" s="171" t="n"/>
      <c r="S332" s="184" t="n">
        <v>43510</v>
      </c>
      <c r="T332" s="191" t="inlineStr">
        <is>
          <t>Press Release</t>
        </is>
      </c>
      <c r="U332" s="171" t="n"/>
    </row>
    <row r="333">
      <c r="A333" s="154" t="n">
        <v>61</v>
      </c>
      <c r="B333" s="181">
        <f>IF(INDEX(MO_SNA_IsHistoricalPeriod,,MATCH(F333,MO_Common_ColumnHeader,0)),"Historical","Forward")</f>
        <v/>
      </c>
      <c r="C333" s="171" t="n"/>
      <c r="D333" s="188" t="inlineStr">
        <is>
          <t>GAAP Operating Expenses</t>
        </is>
      </c>
      <c r="E333" s="182" t="n"/>
      <c r="F333" s="181" t="inlineStr">
        <is>
          <t>Q1-2020</t>
        </is>
      </c>
      <c r="G333" s="181" t="n"/>
      <c r="H333" s="171" t="n"/>
      <c r="I333" s="183" t="n">
        <v>930</v>
      </c>
      <c r="J333" s="183" t="n">
        <v>930</v>
      </c>
      <c r="K333" s="183">
        <f>AVERAGE(I333:J333)</f>
        <v/>
      </c>
      <c r="L333" s="171" t="n"/>
      <c r="M333" s="181">
        <f>IF(INDEX(MO_SNA_IsHistoricalPeriod,,MATCH(F333,MO_Common_ColumnHeader,0)),"Actual","Estimate")</f>
        <v/>
      </c>
      <c r="N333" s="183">
        <f>INDEX(MO_RIS_RD,0,MATCH(F333,MO_Common_ColumnHeader,0))+INDEX(MO_RIS_SGA,0,MATCH(F333,MO_Common_ColumnHeader,0))</f>
        <v/>
      </c>
      <c r="O333" s="171" t="n"/>
      <c r="P333" s="189">
        <f>IF(ISNUMBER(N333),N333-K333,"N/A")</f>
        <v/>
      </c>
      <c r="Q333" s="190">
        <f>IFERROR(IF(ISNUMBER(N333),(N333-K333)/ABS(K333),"N/A"),"N/A")</f>
        <v/>
      </c>
      <c r="R333" s="171" t="n"/>
      <c r="S333" s="184" t="n">
        <v>43510</v>
      </c>
      <c r="T333" s="191" t="inlineStr">
        <is>
          <t>Press Release</t>
        </is>
      </c>
      <c r="U333" s="171" t="n"/>
    </row>
    <row r="334">
      <c r="A334" s="154" t="n">
        <v>60</v>
      </c>
      <c r="B334" s="181">
        <f>IF(INDEX(MO_SNA_IsHistoricalPeriod,,MATCH(F334,MO_Common_ColumnHeader,0)),"Historical","Forward")</f>
        <v/>
      </c>
      <c r="C334" s="171" t="n"/>
      <c r="D334" s="188">
        <f>INDEX(INDIRECT(E334),0,COLUMN(MO_Common_Column_A))</f>
        <v/>
      </c>
      <c r="E334" s="182" t="inlineStr">
        <is>
          <t>MO_OS_OPEX</t>
        </is>
      </c>
      <c r="F334" s="181" t="inlineStr">
        <is>
          <t>Q1-2020</t>
        </is>
      </c>
      <c r="G334" s="181" t="n"/>
      <c r="H334" s="171" t="n"/>
      <c r="I334" s="183" t="n">
        <v>755</v>
      </c>
      <c r="J334" s="183" t="n">
        <v>755</v>
      </c>
      <c r="K334" s="183">
        <f>AVERAGE(I334:J334)</f>
        <v/>
      </c>
      <c r="L334" s="171" t="n"/>
      <c r="M334" s="181">
        <f>IF(INDEX(MO_SNA_IsHistoricalPeriod,,MATCH(F334,MO_Common_ColumnHeader,0)),"Actual","Estimate")</f>
        <v/>
      </c>
      <c r="N334" s="183">
        <f>IFERROR(INDEX(INDIRECT(E334),0,MATCH(F334,MO_Common_ColumnHeader,0)),"N/A")</f>
        <v/>
      </c>
      <c r="O334" s="171" t="n"/>
      <c r="P334" s="189">
        <f>IF(ISNUMBER(N334),N334-K334,"N/A")</f>
        <v/>
      </c>
      <c r="Q334" s="190">
        <f>IFERROR(IF(ISNUMBER(N334),(N334-K334)/ABS(K334),"N/A"),"N/A")</f>
        <v/>
      </c>
      <c r="R334" s="171" t="n"/>
      <c r="S334" s="184" t="n">
        <v>43510</v>
      </c>
      <c r="T334" s="191" t="inlineStr">
        <is>
          <t>Press Release</t>
        </is>
      </c>
      <c r="U334" s="171" t="n"/>
    </row>
    <row r="335">
      <c r="A335" s="154" t="n">
        <v>59</v>
      </c>
      <c r="B335" s="181">
        <f>IF(INDEX(MO_SNA_IsHistoricalPeriod,,MATCH(F335,MO_Common_ColumnHeader,0)),"Historical","Forward")</f>
        <v/>
      </c>
      <c r="C335" s="171" t="n"/>
      <c r="D335" s="188" t="inlineStr">
        <is>
          <t>GAAP Other Income</t>
        </is>
      </c>
      <c r="E335" s="182" t="n"/>
      <c r="F335" s="181" t="inlineStr">
        <is>
          <t>Q1-2020</t>
        </is>
      </c>
      <c r="G335" s="181" t="n"/>
      <c r="H335" s="171" t="n"/>
      <c r="I335" s="183" t="n">
        <v>20</v>
      </c>
      <c r="J335" s="183" t="n">
        <v>20</v>
      </c>
      <c r="K335" s="183">
        <f>AVERAGE(I335:J335)</f>
        <v/>
      </c>
      <c r="L335" s="171" t="n"/>
      <c r="M335" s="181">
        <f>IF(INDEX(MO_SNA_IsHistoricalPeriod,,MATCH(F335,MO_Common_ColumnHeader,0)),"Actual","Estimate")</f>
        <v/>
      </c>
      <c r="N335" s="183">
        <f>IFERROR(INDEX(INDIRECT(E335),0,MATCH(F335,MO_Common_ColumnHeader,0)),"N/A")</f>
        <v/>
      </c>
      <c r="O335" s="171" t="n"/>
      <c r="P335" s="189">
        <f>IF(ISNUMBER(N335),N335-K335,"N/A")</f>
        <v/>
      </c>
      <c r="Q335" s="190">
        <f>IFERROR(IF(ISNUMBER(N335),(N335-K335)/ABS(K335),"N/A"),"N/A")</f>
        <v/>
      </c>
      <c r="R335" s="171" t="n"/>
      <c r="S335" s="184" t="n">
        <v>43510</v>
      </c>
      <c r="T335" s="191" t="inlineStr">
        <is>
          <t>Press Release</t>
        </is>
      </c>
      <c r="U335" s="171" t="n"/>
    </row>
    <row r="336">
      <c r="A336" s="154" t="n">
        <v>58</v>
      </c>
      <c r="B336" s="181">
        <f>IF(INDEX(MO_SNA_IsHistoricalPeriod,,MATCH(F336,MO_Common_ColumnHeader,0)),"Historical","Forward")</f>
        <v/>
      </c>
      <c r="C336" s="171" t="n"/>
      <c r="D336" s="188" t="inlineStr">
        <is>
          <t>Non-GAAP Other Income</t>
        </is>
      </c>
      <c r="E336" s="182" t="n"/>
      <c r="F336" s="181" t="inlineStr">
        <is>
          <t>Q1-2020</t>
        </is>
      </c>
      <c r="G336" s="181" t="n"/>
      <c r="H336" s="171" t="n"/>
      <c r="I336" s="183" t="n">
        <v>21</v>
      </c>
      <c r="J336" s="183" t="n">
        <v>21</v>
      </c>
      <c r="K336" s="183">
        <f>AVERAGE(I336:J336)</f>
        <v/>
      </c>
      <c r="L336" s="171" t="n"/>
      <c r="M336" s="181">
        <f>IF(INDEX(MO_SNA_IsHistoricalPeriod,,MATCH(F336,MO_Common_ColumnHeader,0)),"Actual","Estimate")</f>
        <v/>
      </c>
      <c r="N336" s="183">
        <f>INDEX(MO_RIS_IE_Net_NONGAAP,0,MATCH(F336,MO_Common_ColumnHeader,0))+INDEX(MO_RIS_OI_NONGAAP,0,MATCH(F336,MO_Common_ColumnHeader,0))</f>
        <v/>
      </c>
      <c r="O336" s="171" t="n"/>
      <c r="P336" s="189">
        <f>IF(ISNUMBER(N336),N336-K336,"N/A")</f>
        <v/>
      </c>
      <c r="Q336" s="190">
        <f>IFERROR(IF(ISNUMBER(N336),(N336-K336)/ABS(K336),"N/A"),"N/A")</f>
        <v/>
      </c>
      <c r="R336" s="171" t="n"/>
      <c r="S336" s="184" t="n">
        <v>43510</v>
      </c>
      <c r="T336" s="191" t="inlineStr">
        <is>
          <t>Press Release</t>
        </is>
      </c>
      <c r="U336" s="171" t="n"/>
    </row>
    <row r="337">
      <c r="A337" s="154" t="n">
        <v>57</v>
      </c>
      <c r="B337" s="181">
        <f>IF(INDEX(MO_SNA_IsHistoricalPeriod,,MATCH(F337,MO_Common_ColumnHeader,0)),"Historical","Forward")</f>
        <v/>
      </c>
      <c r="C337" s="171" t="n"/>
      <c r="D337" s="188" t="inlineStr">
        <is>
          <t>GAAP Tax Rate</t>
        </is>
      </c>
      <c r="E337" s="182" t="inlineStr">
        <is>
          <t>MO_RIS_TaxRate</t>
        </is>
      </c>
      <c r="F337" s="181" t="inlineStr">
        <is>
          <t>Q1-2020</t>
        </is>
      </c>
      <c r="G337" s="181" t="n"/>
      <c r="H337" s="171" t="n"/>
      <c r="I337" s="185" t="n">
        <v>0.09</v>
      </c>
      <c r="J337" s="185" t="n">
        <v>0.11</v>
      </c>
      <c r="K337" s="185">
        <f>AVERAGE(I337:J337)</f>
        <v/>
      </c>
      <c r="L337" s="171" t="n"/>
      <c r="M337" s="181">
        <f>IF(INDEX(MO_SNA_IsHistoricalPeriod,,MATCH(F337,MO_Common_ColumnHeader,0)),"Actual","Estimate")</f>
        <v/>
      </c>
      <c r="N337" s="185">
        <f>IFERROR(INDEX(INDIRECT(E337),0,MATCH(F337,MO_Common_ColumnHeader,0)),"N/A")</f>
        <v/>
      </c>
      <c r="O337" s="171" t="n"/>
      <c r="P337" s="190">
        <f>IF(ISNUMBER(N337),N337-K337,"N/A")</f>
        <v/>
      </c>
      <c r="Q337" s="190">
        <f>IFERROR(IF(ISNUMBER(N337),(N337-K337)/ABS(K337),"N/A"),"N/A")</f>
        <v/>
      </c>
      <c r="R337" s="171" t="n"/>
      <c r="S337" s="184" t="n">
        <v>43510</v>
      </c>
      <c r="T337" s="191" t="inlineStr">
        <is>
          <t>Press Release</t>
        </is>
      </c>
      <c r="U337" s="171" t="n"/>
    </row>
    <row r="338">
      <c r="A338" s="154" t="n">
        <v>56</v>
      </c>
      <c r="B338" s="181">
        <f>IF(INDEX(MO_SNA_IsHistoricalPeriod,,MATCH(F338,MO_Common_ColumnHeader,0)),"Historical","Forward")</f>
        <v/>
      </c>
      <c r="C338" s="171" t="n"/>
      <c r="D338" s="188">
        <f>INDEX(INDIRECT(E338),0,COLUMN(MO_Common_Column_A))</f>
        <v/>
      </c>
      <c r="E338" s="182" t="inlineStr">
        <is>
          <t>MO_RIS_TaxRate_NONGAAP</t>
        </is>
      </c>
      <c r="F338" s="181" t="inlineStr">
        <is>
          <t>Q1-2020</t>
        </is>
      </c>
      <c r="G338" s="181" t="n"/>
      <c r="H338" s="171" t="n"/>
      <c r="I338" s="185" t="n">
        <v>0.09</v>
      </c>
      <c r="J338" s="185" t="n">
        <v>0.11</v>
      </c>
      <c r="K338" s="185">
        <f>AVERAGE(I338:J338)</f>
        <v/>
      </c>
      <c r="L338" s="171" t="n"/>
      <c r="M338" s="181">
        <f>IF(INDEX(MO_SNA_IsHistoricalPeriod,,MATCH(F338,MO_Common_ColumnHeader,0)),"Actual","Estimate")</f>
        <v/>
      </c>
      <c r="N338" s="185">
        <f>IFERROR(INDEX(INDIRECT(E338),0,MATCH(F338,MO_Common_ColumnHeader,0)),"N/A")</f>
        <v/>
      </c>
      <c r="O338" s="171" t="n"/>
      <c r="P338" s="190">
        <f>IF(ISNUMBER(N338),N338-K338,"N/A")</f>
        <v/>
      </c>
      <c r="Q338" s="190">
        <f>IFERROR(IF(ISNUMBER(N338),(N338-K338)/ABS(K338),"N/A"),"N/A")</f>
        <v/>
      </c>
      <c r="R338" s="171" t="n"/>
      <c r="S338" s="184" t="n">
        <v>43510</v>
      </c>
      <c r="T338" s="191" t="inlineStr">
        <is>
          <t>Press Release</t>
        </is>
      </c>
      <c r="U338" s="171" t="n"/>
    </row>
    <row r="339">
      <c r="A339" s="154" t="n">
        <v>55</v>
      </c>
      <c r="B339" s="181">
        <f>IF(INDEX(MO_SNA_IsHistoricalPeriod,,MATCH(F339,MO_Common_ColumnHeader,0)),"Historical","Forward")</f>
        <v/>
      </c>
      <c r="C339" s="171" t="n"/>
      <c r="D339" s="188" t="inlineStr">
        <is>
          <t>SBC COGS as % of revenue</t>
        </is>
      </c>
      <c r="E339" s="182" t="n"/>
      <c r="F339" s="181" t="inlineStr">
        <is>
          <t>Q1-2020</t>
        </is>
      </c>
      <c r="G339" s="181" t="n"/>
      <c r="H339" s="171" t="n"/>
      <c r="I339" s="185" t="n">
        <v>-0.002</v>
      </c>
      <c r="J339" s="185" t="n">
        <v>-0.002</v>
      </c>
      <c r="K339" s="185">
        <f>AVERAGE(I339:J339)</f>
        <v/>
      </c>
      <c r="L339" s="171" t="n"/>
      <c r="M339" s="181">
        <f>IF(INDEX(MO_SNA_IsHistoricalPeriod,,MATCH(F339,MO_Common_ColumnHeader,0)),"Actual","Estimate")</f>
        <v/>
      </c>
      <c r="N339" s="185">
        <f>(INDEX(MO_RIS_SBC_COGS,0,MATCH(F339,MO_Common_ColumnHeader,0))+INDEX(z_A7FLSL0150_MO_RIS_AcquisitionrelatedcostsCOGS,0,MATCH(F339,MO_Common_ColumnHeader,0))+INDEX(MO_RIS_COGS_Adjustments,0,MATCH(F339,MO_Common_ColumnHeader,0)))/INDEX(MO_RIS_REV,0,MATCH(F339,MO_Common_ColumnHeader,0))</f>
        <v/>
      </c>
      <c r="O339" s="171" t="n"/>
      <c r="P339" s="190">
        <f>IF(ISNUMBER(N339),N339-K339,"N/A")</f>
        <v/>
      </c>
      <c r="Q339" s="190">
        <f>IFERROR(IF(ISNUMBER(N339),(N339-K339)/ABS(K339),"N/A"),"N/A")</f>
        <v/>
      </c>
      <c r="R339" s="171" t="n"/>
      <c r="S339" s="184" t="n">
        <v>43510</v>
      </c>
      <c r="T339" s="191" t="inlineStr">
        <is>
          <t>Press Release</t>
        </is>
      </c>
      <c r="U339" s="171" t="n"/>
    </row>
    <row r="340">
      <c r="A340" s="154" t="n">
        <v>54</v>
      </c>
      <c r="B340" s="181">
        <f>IF(INDEX(MO_SNA_IsHistoricalPeriod,,MATCH(F340,MO_Common_ColumnHeader,0)),"Historical","Forward")</f>
        <v/>
      </c>
      <c r="C340" s="171" t="n"/>
      <c r="D340" s="188" t="inlineStr">
        <is>
          <t>SBC, acquisition related costs and other costs (adjustments for Non-GAAP operating expenses)</t>
        </is>
      </c>
      <c r="E340" s="182" t="n"/>
      <c r="F340" s="181" t="inlineStr">
        <is>
          <t>Q1-2020</t>
        </is>
      </c>
      <c r="G340" s="181" t="n"/>
      <c r="H340" s="171" t="n"/>
      <c r="I340" s="183" t="n">
        <v>-175</v>
      </c>
      <c r="J340" s="183" t="n">
        <v>-175</v>
      </c>
      <c r="K340" s="183">
        <f>AVERAGE(I340:J340)</f>
        <v/>
      </c>
      <c r="L340" s="171" t="n"/>
      <c r="M340" s="181">
        <f>IF(INDEX(MO_SNA_IsHistoricalPeriod,,MATCH(F340,MO_Common_ColumnHeader,0)),"Actual","Estimate")</f>
        <v/>
      </c>
      <c r="N340" s="183">
        <f>-(-INDEX(MO_RIS_OtherOperating_NONGAAP,0,MATCH(F340,MO_Common_ColumnHeader,0))+INDEX(z_A7FLSL0150_MO_RIS_SBC_2,0,MATCH(F340,MO_Common_ColumnHeader,0))+INDEX(z_A7FLSL0150_MO_RIS_sbc_1,0,MATCH(F340,MO_Common_ColumnHeader,0))+INDEX(z_A7FLSL0150_MO_RIS_AcquisitionrelatedcostsRD,0,MATCH(F340,MO_Common_ColumnHeader,0))+INDEX(z_A7FLSL0150_MO_RIS_AcquisitionrelatedcostsSGA,0,MATCH(F340,MO_Common_ColumnHeader,0)))</f>
        <v/>
      </c>
      <c r="O340" s="171" t="n"/>
      <c r="P340" s="189">
        <f>IF(ISNUMBER(N340),N340-K340,"N/A")</f>
        <v/>
      </c>
      <c r="Q340" s="190">
        <f>IFERROR(IF(ISNUMBER(N340),(N340-K340)/ABS(K340),"N/A"),"N/A")</f>
        <v/>
      </c>
      <c r="R340" s="171" t="n"/>
      <c r="S340" s="184" t="n">
        <v>43510</v>
      </c>
      <c r="T340" s="191" t="inlineStr">
        <is>
          <t>Press Release</t>
        </is>
      </c>
      <c r="U340" s="171" t="n"/>
    </row>
    <row r="341">
      <c r="A341" s="154" t="n">
        <v>53</v>
      </c>
      <c r="B341" s="171" t="n"/>
      <c r="C341" s="171" t="n"/>
      <c r="D341" s="168" t="n"/>
      <c r="E341" s="169" t="n"/>
      <c r="F341" s="171" t="n"/>
      <c r="G341" s="171" t="n"/>
      <c r="H341" s="171" t="n"/>
      <c r="I341" s="1013" t="n"/>
      <c r="J341" s="1013" t="n"/>
      <c r="K341" s="1013" t="n"/>
      <c r="L341" s="171" t="n"/>
      <c r="M341" s="171" t="n"/>
      <c r="N341" s="1013" t="n"/>
      <c r="O341" s="171" t="n"/>
      <c r="P341" s="172" t="n"/>
      <c r="Q341" s="134" t="n"/>
      <c r="R341" s="171" t="n"/>
      <c r="S341" s="173" t="n"/>
      <c r="T341" s="192" t="inlineStr">
        <is>
          <t>https://nvidianews.nvidia.com/news/nvidia-announces-financial-results-for-third-quarter-fiscal-2019</t>
        </is>
      </c>
      <c r="U341" s="171" t="n"/>
    </row>
    <row r="342">
      <c r="A342" s="154" t="n">
        <v>52</v>
      </c>
      <c r="B342" s="181">
        <f>IF(INDEX(MO_SNA_IsHistoricalPeriod,,MATCH(F342,MO_Common_ColumnHeader,0)),"Historical","Forward")</f>
        <v/>
      </c>
      <c r="C342" s="171" t="n"/>
      <c r="D342" s="188">
        <f>INDEX(INDIRECT(E342),0,COLUMN(MO_Common_Column_A))</f>
        <v/>
      </c>
      <c r="E342" s="182" t="inlineStr">
        <is>
          <t>MO_RIS_REV</t>
        </is>
      </c>
      <c r="F342" s="181" t="inlineStr">
        <is>
          <t>Q4-2019</t>
        </is>
      </c>
      <c r="G342" s="181" t="n"/>
      <c r="H342" s="171" t="n"/>
      <c r="I342" s="183" t="n">
        <v>2646</v>
      </c>
      <c r="J342" s="183" t="n">
        <v>2754</v>
      </c>
      <c r="K342" s="183">
        <f>AVERAGE(I342:J342)</f>
        <v/>
      </c>
      <c r="L342" s="171" t="n"/>
      <c r="M342" s="181">
        <f>IF(INDEX(MO_SNA_IsHistoricalPeriod,,MATCH(F342,MO_Common_ColumnHeader,0)),"Actual","Estimate")</f>
        <v/>
      </c>
      <c r="N342" s="183">
        <f>IFERROR(INDEX(INDIRECT(E342),0,MATCH(F342,MO_Common_ColumnHeader,0)),"N/A")</f>
        <v/>
      </c>
      <c r="O342" s="171" t="n"/>
      <c r="P342" s="189">
        <f>IF(ISNUMBER(N342),N342-K342,"N/A")</f>
        <v/>
      </c>
      <c r="Q342" s="190">
        <f>IFERROR(IF(ISNUMBER(N342),(N342-K342)/ABS(K342),"N/A"),"N/A")</f>
        <v/>
      </c>
      <c r="R342" s="171" t="n"/>
      <c r="S342" s="184" t="n">
        <v>43419</v>
      </c>
      <c r="T342" s="191" t="inlineStr">
        <is>
          <t>Press Release</t>
        </is>
      </c>
      <c r="U342" s="171" t="n"/>
    </row>
    <row r="343">
      <c r="A343" s="154" t="n">
        <v>51</v>
      </c>
      <c r="B343" s="181">
        <f>IF(INDEX(MO_SNA_IsHistoricalPeriod,,MATCH(F343,MO_Common_ColumnHeader,0)),"Historical","Forward")</f>
        <v/>
      </c>
      <c r="C343" s="171" t="n"/>
      <c r="D343" s="188">
        <f>INDEX(INDIRECT(E343),0,COLUMN(MO_Common_Column_A))</f>
        <v/>
      </c>
      <c r="E343" s="182" t="inlineStr">
        <is>
          <t>MO_MA_GM</t>
        </is>
      </c>
      <c r="F343" s="181" t="inlineStr">
        <is>
          <t>Q4-2019</t>
        </is>
      </c>
      <c r="G343" s="181" t="n"/>
      <c r="H343" s="171" t="n"/>
      <c r="I343" s="185" t="n">
        <v>0.618</v>
      </c>
      <c r="J343" s="185" t="n">
        <v>0.628</v>
      </c>
      <c r="K343" s="185">
        <f>AVERAGE(I343:J343)</f>
        <v/>
      </c>
      <c r="L343" s="171" t="n"/>
      <c r="M343" s="181">
        <f>IF(INDEX(MO_SNA_IsHistoricalPeriod,,MATCH(F343,MO_Common_ColumnHeader,0)),"Actual","Estimate")</f>
        <v/>
      </c>
      <c r="N343" s="185">
        <f>IFERROR(INDEX(INDIRECT(E343),0,MATCH(F343,MO_Common_ColumnHeader,0)),"N/A")</f>
        <v/>
      </c>
      <c r="O343" s="171" t="n"/>
      <c r="P343" s="190">
        <f>IF(ISNUMBER(N343),N343-K343,"N/A")</f>
        <v/>
      </c>
      <c r="Q343" s="190">
        <f>IFERROR(IF(ISNUMBER(N343),(N343-K343)/ABS(K343),"N/A"),"N/A")</f>
        <v/>
      </c>
      <c r="R343" s="171" t="n"/>
      <c r="S343" s="184" t="n">
        <v>43419</v>
      </c>
      <c r="T343" s="191" t="inlineStr">
        <is>
          <t>Press Release</t>
        </is>
      </c>
      <c r="U343" s="171" t="n"/>
    </row>
    <row r="344">
      <c r="A344" s="154" t="n">
        <v>50</v>
      </c>
      <c r="B344" s="181">
        <f>IF(INDEX(MO_SNA_IsHistoricalPeriod,,MATCH(F344,MO_Common_ColumnHeader,0)),"Historical","Forward")</f>
        <v/>
      </c>
      <c r="C344" s="171" t="n"/>
      <c r="D344" s="188">
        <f>INDEX(INDIRECT(E344),0,COLUMN(MO_Common_Column_A))</f>
        <v/>
      </c>
      <c r="E344" s="182" t="inlineStr">
        <is>
          <t>MO_MA_GM_NONGAAP</t>
        </is>
      </c>
      <c r="F344" s="181" t="inlineStr">
        <is>
          <t>Q4-2019</t>
        </is>
      </c>
      <c r="G344" s="181" t="n"/>
      <c r="H344" s="171" t="n"/>
      <c r="I344" s="185" t="n">
        <v>0.62</v>
      </c>
      <c r="J344" s="185" t="n">
        <v>0.63</v>
      </c>
      <c r="K344" s="185">
        <f>AVERAGE(I344:J344)</f>
        <v/>
      </c>
      <c r="L344" s="171" t="n"/>
      <c r="M344" s="181">
        <f>IF(INDEX(MO_SNA_IsHistoricalPeriod,,MATCH(F344,MO_Common_ColumnHeader,0)),"Actual","Estimate")</f>
        <v/>
      </c>
      <c r="N344" s="185">
        <f>IFERROR(INDEX(INDIRECT(E344),0,MATCH(F344,MO_Common_ColumnHeader,0)),"N/A")</f>
        <v/>
      </c>
      <c r="O344" s="171" t="n"/>
      <c r="P344" s="190">
        <f>IF(ISNUMBER(N344),N344-K344,"N/A")</f>
        <v/>
      </c>
      <c r="Q344" s="190">
        <f>IFERROR(IF(ISNUMBER(N344),(N344-K344)/ABS(K344),"N/A"),"N/A")</f>
        <v/>
      </c>
      <c r="R344" s="171" t="n"/>
      <c r="S344" s="184" t="n">
        <v>43419</v>
      </c>
      <c r="T344" s="191" t="inlineStr">
        <is>
          <t>Press Release</t>
        </is>
      </c>
      <c r="U344" s="171" t="n"/>
    </row>
    <row r="345">
      <c r="A345" s="154" t="n">
        <v>49</v>
      </c>
      <c r="B345" s="181">
        <f>IF(INDEX(MO_SNA_IsHistoricalPeriod,,MATCH(F345,MO_Common_ColumnHeader,0)),"Historical","Forward")</f>
        <v/>
      </c>
      <c r="C345" s="171" t="n"/>
      <c r="D345" s="188" t="inlineStr">
        <is>
          <t>GAAP Operating Expenses</t>
        </is>
      </c>
      <c r="E345" s="182" t="n"/>
      <c r="F345" s="181" t="inlineStr">
        <is>
          <t>Q4-2019</t>
        </is>
      </c>
      <c r="G345" s="181" t="n"/>
      <c r="H345" s="171" t="n"/>
      <c r="I345" s="183" t="n">
        <v>915</v>
      </c>
      <c r="J345" s="183" t="n">
        <v>915</v>
      </c>
      <c r="K345" s="183">
        <f>AVERAGE(I345:J345)</f>
        <v/>
      </c>
      <c r="L345" s="171" t="n"/>
      <c r="M345" s="181">
        <f>IF(INDEX(MO_SNA_IsHistoricalPeriod,,MATCH(F345,MO_Common_ColumnHeader,0)),"Actual","Estimate")</f>
        <v/>
      </c>
      <c r="N345" s="183">
        <f>INDEX(MO_RIS_RD,0,MATCH(F345,MO_Common_ColumnHeader,0))+INDEX(MO_RIS_SGA,0,MATCH(F345,MO_Common_ColumnHeader,0))</f>
        <v/>
      </c>
      <c r="O345" s="171" t="n"/>
      <c r="P345" s="189">
        <f>IF(ISNUMBER(N345),N345-K345,"N/A")</f>
        <v/>
      </c>
      <c r="Q345" s="190">
        <f>IFERROR(IF(ISNUMBER(N345),(N345-K345)/ABS(K345),"N/A"),"N/A")</f>
        <v/>
      </c>
      <c r="R345" s="171" t="n"/>
      <c r="S345" s="184" t="n">
        <v>43419</v>
      </c>
      <c r="T345" s="191" t="inlineStr">
        <is>
          <t>Press Release</t>
        </is>
      </c>
      <c r="U345" s="171" t="n"/>
    </row>
    <row r="346">
      <c r="A346" s="154" t="n">
        <v>48</v>
      </c>
      <c r="B346" s="181">
        <f>IF(INDEX(MO_SNA_IsHistoricalPeriod,,MATCH(F346,MO_Common_ColumnHeader,0)),"Historical","Forward")</f>
        <v/>
      </c>
      <c r="C346" s="171" t="n"/>
      <c r="D346" s="188">
        <f>INDEX(INDIRECT(E346),0,COLUMN(MO_Common_Column_A))</f>
        <v/>
      </c>
      <c r="E346" s="182" t="inlineStr">
        <is>
          <t>MO_OS_OPEX</t>
        </is>
      </c>
      <c r="F346" s="181" t="inlineStr">
        <is>
          <t>Q4-2019</t>
        </is>
      </c>
      <c r="G346" s="181" t="n"/>
      <c r="H346" s="171" t="n"/>
      <c r="I346" s="183" t="n">
        <v>755</v>
      </c>
      <c r="J346" s="183" t="n">
        <v>755</v>
      </c>
      <c r="K346" s="183">
        <f>AVERAGE(I346:J346)</f>
        <v/>
      </c>
      <c r="L346" s="171" t="n"/>
      <c r="M346" s="181">
        <f>IF(INDEX(MO_SNA_IsHistoricalPeriod,,MATCH(F346,MO_Common_ColumnHeader,0)),"Actual","Estimate")</f>
        <v/>
      </c>
      <c r="N346" s="183">
        <f>IFERROR(INDEX(INDIRECT(E346),0,MATCH(F346,MO_Common_ColumnHeader,0)),"N/A")</f>
        <v/>
      </c>
      <c r="O346" s="171" t="n"/>
      <c r="P346" s="189">
        <f>IF(ISNUMBER(N346),N346-K346,"N/A")</f>
        <v/>
      </c>
      <c r="Q346" s="190">
        <f>IFERROR(IF(ISNUMBER(N346),(N346-K346)/ABS(K346),"N/A"),"N/A")</f>
        <v/>
      </c>
      <c r="R346" s="171" t="n"/>
      <c r="S346" s="184" t="n">
        <v>43419</v>
      </c>
      <c r="T346" s="191" t="inlineStr">
        <is>
          <t>Press Release</t>
        </is>
      </c>
      <c r="U346" s="171" t="n"/>
    </row>
    <row r="347">
      <c r="A347" s="154" t="n">
        <v>47</v>
      </c>
      <c r="B347" s="181">
        <f>IF(INDEX(MO_SNA_IsHistoricalPeriod,,MATCH(F347,MO_Common_ColumnHeader,0)),"Historical","Forward")</f>
        <v/>
      </c>
      <c r="C347" s="171" t="n"/>
      <c r="D347" s="188" t="inlineStr">
        <is>
          <t>GAAP Other Income</t>
        </is>
      </c>
      <c r="E347" s="182" t="n"/>
      <c r="F347" s="181" t="inlineStr">
        <is>
          <t>Q4-2019</t>
        </is>
      </c>
      <c r="G347" s="181" t="n"/>
      <c r="H347" s="171" t="n"/>
      <c r="I347" s="183" t="n">
        <v>21</v>
      </c>
      <c r="J347" s="183" t="n">
        <v>21</v>
      </c>
      <c r="K347" s="183">
        <f>AVERAGE(I347:J347)</f>
        <v/>
      </c>
      <c r="L347" s="171" t="n"/>
      <c r="M347" s="181">
        <f>IF(INDEX(MO_SNA_IsHistoricalPeriod,,MATCH(F347,MO_Common_ColumnHeader,0)),"Actual","Estimate")</f>
        <v/>
      </c>
      <c r="N347" s="183">
        <f>IFERROR(INDEX(INDIRECT(E347),0,MATCH(F347,MO_Common_ColumnHeader,0)),"N/A")</f>
        <v/>
      </c>
      <c r="O347" s="171" t="n"/>
      <c r="P347" s="189">
        <f>IF(ISNUMBER(N347),N347-K347,"N/A")</f>
        <v/>
      </c>
      <c r="Q347" s="190">
        <f>IFERROR(IF(ISNUMBER(N347),(N347-K347)/ABS(K347),"N/A"),"N/A")</f>
        <v/>
      </c>
      <c r="R347" s="171" t="n"/>
      <c r="S347" s="184" t="n">
        <v>43419</v>
      </c>
      <c r="T347" s="191" t="inlineStr">
        <is>
          <t>Press Release</t>
        </is>
      </c>
      <c r="U347" s="171" t="n"/>
    </row>
    <row r="348">
      <c r="A348" s="154" t="n">
        <v>46</v>
      </c>
      <c r="B348" s="181">
        <f>IF(INDEX(MO_SNA_IsHistoricalPeriod,,MATCH(F348,MO_Common_ColumnHeader,0)),"Historical","Forward")</f>
        <v/>
      </c>
      <c r="C348" s="171" t="n"/>
      <c r="D348" s="188" t="inlineStr">
        <is>
          <t>Non-GAAP Other Income</t>
        </is>
      </c>
      <c r="E348" s="182" t="n"/>
      <c r="F348" s="181" t="inlineStr">
        <is>
          <t>Q4-2019</t>
        </is>
      </c>
      <c r="G348" s="181" t="n"/>
      <c r="H348" s="171" t="n"/>
      <c r="I348" s="183" t="n">
        <v>21</v>
      </c>
      <c r="J348" s="183" t="n">
        <v>21</v>
      </c>
      <c r="K348" s="183">
        <f>AVERAGE(I348:J348)</f>
        <v/>
      </c>
      <c r="L348" s="171" t="n"/>
      <c r="M348" s="181">
        <f>IF(INDEX(MO_SNA_IsHistoricalPeriod,,MATCH(F348,MO_Common_ColumnHeader,0)),"Actual","Estimate")</f>
        <v/>
      </c>
      <c r="N348" s="183">
        <f>INDEX(MO_RIS_IE_Net_NONGAAP,0,MATCH(F348,MO_Common_ColumnHeader,0))+INDEX(MO_RIS_OI_NONGAAP,0,MATCH(F348,MO_Common_ColumnHeader,0))</f>
        <v/>
      </c>
      <c r="O348" s="171" t="n"/>
      <c r="P348" s="189">
        <f>IF(ISNUMBER(N348),N348-K348,"N/A")</f>
        <v/>
      </c>
      <c r="Q348" s="190">
        <f>IFERROR(IF(ISNUMBER(N348),(N348-K348)/ABS(K348),"N/A"),"N/A")</f>
        <v/>
      </c>
      <c r="R348" s="171" t="n"/>
      <c r="S348" s="184" t="n">
        <v>43419</v>
      </c>
      <c r="T348" s="191" t="inlineStr">
        <is>
          <t>Press Release</t>
        </is>
      </c>
      <c r="U348" s="171" t="n"/>
    </row>
    <row r="349">
      <c r="A349" s="154" t="n">
        <v>45</v>
      </c>
      <c r="B349" s="181">
        <f>IF(INDEX(MO_SNA_IsHistoricalPeriod,,MATCH(F349,MO_Common_ColumnHeader,0)),"Historical","Forward")</f>
        <v/>
      </c>
      <c r="C349" s="171" t="n"/>
      <c r="D349" s="188" t="inlineStr">
        <is>
          <t>GAAP Tax Rate</t>
        </is>
      </c>
      <c r="E349" s="182" t="inlineStr">
        <is>
          <t>MO_RIS_TaxRate</t>
        </is>
      </c>
      <c r="F349" s="181" t="inlineStr">
        <is>
          <t>Q4-2019</t>
        </is>
      </c>
      <c r="G349" s="181" t="n"/>
      <c r="H349" s="171" t="n"/>
      <c r="I349" s="185" t="n">
        <v>0.07000000000000001</v>
      </c>
      <c r="J349" s="185" t="n">
        <v>0.09</v>
      </c>
      <c r="K349" s="185">
        <f>AVERAGE(I349:J349)</f>
        <v/>
      </c>
      <c r="L349" s="171" t="n"/>
      <c r="M349" s="181">
        <f>IF(INDEX(MO_SNA_IsHistoricalPeriod,,MATCH(F349,MO_Common_ColumnHeader,0)),"Actual","Estimate")</f>
        <v/>
      </c>
      <c r="N349" s="185">
        <f>IFERROR(INDEX(INDIRECT(E349),0,MATCH(F349,MO_Common_ColumnHeader,0)),"N/A")</f>
        <v/>
      </c>
      <c r="O349" s="171" t="n"/>
      <c r="P349" s="190">
        <f>IF(ISNUMBER(N349),N349-K349,"N/A")</f>
        <v/>
      </c>
      <c r="Q349" s="190">
        <f>IFERROR(IF(ISNUMBER(N349),(N349-K349)/ABS(K349),"N/A"),"N/A")</f>
        <v/>
      </c>
      <c r="R349" s="171" t="n"/>
      <c r="S349" s="184" t="n">
        <v>43419</v>
      </c>
      <c r="T349" s="191" t="inlineStr">
        <is>
          <t>Press Release</t>
        </is>
      </c>
      <c r="U349" s="171" t="n"/>
    </row>
    <row r="350">
      <c r="A350" s="154" t="n">
        <v>44</v>
      </c>
      <c r="B350" s="181">
        <f>IF(INDEX(MO_SNA_IsHistoricalPeriod,,MATCH(F350,MO_Common_ColumnHeader,0)),"Historical","Forward")</f>
        <v/>
      </c>
      <c r="C350" s="171" t="n"/>
      <c r="D350" s="188">
        <f>INDEX(INDIRECT(E350),0,COLUMN(MO_Common_Column_A))</f>
        <v/>
      </c>
      <c r="E350" s="182" t="inlineStr">
        <is>
          <t>MO_RIS_TaxRate_NONGAAP</t>
        </is>
      </c>
      <c r="F350" s="181" t="inlineStr">
        <is>
          <t>Q4-2019</t>
        </is>
      </c>
      <c r="G350" s="181" t="n"/>
      <c r="H350" s="171" t="n"/>
      <c r="I350" s="185" t="n">
        <v>0.07000000000000001</v>
      </c>
      <c r="J350" s="185" t="n">
        <v>0.09</v>
      </c>
      <c r="K350" s="185">
        <f>AVERAGE(I350:J350)</f>
        <v/>
      </c>
      <c r="L350" s="171" t="n"/>
      <c r="M350" s="181">
        <f>IF(INDEX(MO_SNA_IsHistoricalPeriod,,MATCH(F350,MO_Common_ColumnHeader,0)),"Actual","Estimate")</f>
        <v/>
      </c>
      <c r="N350" s="185">
        <f>IFERROR(INDEX(INDIRECT(E350),0,MATCH(F350,MO_Common_ColumnHeader,0)),"N/A")</f>
        <v/>
      </c>
      <c r="O350" s="171" t="n"/>
      <c r="P350" s="190">
        <f>IF(ISNUMBER(N350),N350-K350,"N/A")</f>
        <v/>
      </c>
      <c r="Q350" s="190">
        <f>IFERROR(IF(ISNUMBER(N350),(N350-K350)/ABS(K350),"N/A"),"N/A")</f>
        <v/>
      </c>
      <c r="R350" s="171" t="n"/>
      <c r="S350" s="184" t="n">
        <v>43419</v>
      </c>
      <c r="T350" s="191" t="inlineStr">
        <is>
          <t>Press Release</t>
        </is>
      </c>
      <c r="U350" s="171" t="n"/>
    </row>
    <row r="351">
      <c r="A351" s="154" t="n">
        <v>43</v>
      </c>
      <c r="B351" s="181">
        <f>IF(INDEX(MO_SNA_IsHistoricalPeriod,,MATCH(F351,MO_Common_ColumnHeader,0)),"Historical","Forward")</f>
        <v/>
      </c>
      <c r="C351" s="171" t="n"/>
      <c r="D351" s="188" t="inlineStr">
        <is>
          <t>SBC COGS as % of revenue</t>
        </is>
      </c>
      <c r="E351" s="182" t="n"/>
      <c r="F351" s="181" t="inlineStr">
        <is>
          <t>Q4-2019</t>
        </is>
      </c>
      <c r="G351" s="181" t="n"/>
      <c r="H351" s="171" t="n"/>
      <c r="I351" s="185" t="n">
        <v>-0.002</v>
      </c>
      <c r="J351" s="185" t="n">
        <v>-0.002</v>
      </c>
      <c r="K351" s="185">
        <f>AVERAGE(I351:J351)</f>
        <v/>
      </c>
      <c r="L351" s="171" t="n"/>
      <c r="M351" s="181">
        <f>IF(INDEX(MO_SNA_IsHistoricalPeriod,,MATCH(F351,MO_Common_ColumnHeader,0)),"Actual","Estimate")</f>
        <v/>
      </c>
      <c r="N351" s="185">
        <f>(INDEX(MO_RIS_SBC_COGS,0,MATCH(F351,MO_Common_ColumnHeader,0))+INDEX(z_A7FLSL0150_MO_RIS_AcquisitionrelatedcostsCOGS,0,MATCH(F351,MO_Common_ColumnHeader,0))+INDEX(MO_RIS_COGS_Adjustments,0,MATCH(F351,MO_Common_ColumnHeader,0)))/INDEX(MO_RIS_REV,0,MATCH(F351,MO_Common_ColumnHeader,0))</f>
        <v/>
      </c>
      <c r="O351" s="171" t="n"/>
      <c r="P351" s="190">
        <f>IF(ISNUMBER(N351),N351-K351,"N/A")</f>
        <v/>
      </c>
      <c r="Q351" s="190">
        <f>IFERROR(IF(ISNUMBER(N351),(N351-K351)/ABS(K351),"N/A"),"N/A")</f>
        <v/>
      </c>
      <c r="R351" s="171" t="n"/>
      <c r="S351" s="184" t="n">
        <v>43419</v>
      </c>
      <c r="T351" s="191" t="inlineStr">
        <is>
          <t>Press Release</t>
        </is>
      </c>
      <c r="U351" s="171" t="n"/>
    </row>
    <row r="352">
      <c r="A352" s="154" t="n">
        <v>42</v>
      </c>
      <c r="B352" s="181">
        <f>IF(INDEX(MO_SNA_IsHistoricalPeriod,,MATCH(F352,MO_Common_ColumnHeader,0)),"Historical","Forward")</f>
        <v/>
      </c>
      <c r="C352" s="171" t="n"/>
      <c r="D352" s="188" t="inlineStr">
        <is>
          <t>SBC, acquisition related costs and other costs (adjustments for Non-GAAP operating expenses)</t>
        </is>
      </c>
      <c r="E352" s="182" t="n"/>
      <c r="F352" s="181" t="inlineStr">
        <is>
          <t>Q4-2019</t>
        </is>
      </c>
      <c r="G352" s="181" t="n"/>
      <c r="H352" s="171" t="n"/>
      <c r="I352" s="183" t="n">
        <v>-160</v>
      </c>
      <c r="J352" s="183" t="n">
        <v>-160</v>
      </c>
      <c r="K352" s="183">
        <f>AVERAGE(I352:J352)</f>
        <v/>
      </c>
      <c r="L352" s="171" t="n"/>
      <c r="M352" s="181">
        <f>IF(INDEX(MO_SNA_IsHistoricalPeriod,,MATCH(F352,MO_Common_ColumnHeader,0)),"Actual","Estimate")</f>
        <v/>
      </c>
      <c r="N352" s="183">
        <f>-(-INDEX(MO_RIS_OtherOperating_NONGAAP,0,MATCH(F352,MO_Common_ColumnHeader,0))+INDEX(z_A7FLSL0150_MO_RIS_SBC_2,0,MATCH(F352,MO_Common_ColumnHeader,0))+INDEX(z_A7FLSL0150_MO_RIS_sbc_1,0,MATCH(F352,MO_Common_ColumnHeader,0))+INDEX(z_A7FLSL0150_MO_RIS_AcquisitionrelatedcostsRD,0,MATCH(F352,MO_Common_ColumnHeader,0))+INDEX(z_A7FLSL0150_MO_RIS_AcquisitionrelatedcostsSGA,0,MATCH(F352,MO_Common_ColumnHeader,0)))</f>
        <v/>
      </c>
      <c r="O352" s="171" t="n"/>
      <c r="P352" s="189">
        <f>IF(ISNUMBER(N352),N352-K352,"N/A")</f>
        <v/>
      </c>
      <c r="Q352" s="190">
        <f>IFERROR(IF(ISNUMBER(N352),(N352-K352)/ABS(K352),"N/A"),"N/A")</f>
        <v/>
      </c>
      <c r="R352" s="171" t="n"/>
      <c r="S352" s="184" t="n">
        <v>43419</v>
      </c>
      <c r="T352" s="191" t="inlineStr">
        <is>
          <t>Press Release</t>
        </is>
      </c>
      <c r="U352" s="171" t="n"/>
    </row>
    <row r="353">
      <c r="A353" s="154" t="n">
        <v>41</v>
      </c>
      <c r="B353" s="171" t="n"/>
      <c r="C353" s="171" t="n"/>
      <c r="D353" s="168" t="n"/>
      <c r="E353" s="169" t="n"/>
      <c r="F353" s="171" t="n"/>
      <c r="G353" s="171" t="n"/>
      <c r="H353" s="171" t="n"/>
      <c r="I353" s="1013" t="n"/>
      <c r="J353" s="1013" t="n"/>
      <c r="K353" s="1013" t="n"/>
      <c r="L353" s="171" t="n"/>
      <c r="M353" s="171" t="n"/>
      <c r="N353" s="1013" t="n"/>
      <c r="O353" s="171" t="n"/>
      <c r="P353" s="172" t="n"/>
      <c r="Q353" s="134" t="n"/>
      <c r="R353" s="171" t="n"/>
      <c r="S353" s="173" t="n"/>
      <c r="T353" s="192" t="inlineStr">
        <is>
          <t>https://nvidianews.nvidia.com/news/nvidia-announces-financial-results-for-second-quarter-fiscal-2019</t>
        </is>
      </c>
      <c r="U353" s="171" t="n"/>
    </row>
    <row r="354">
      <c r="A354" s="154" t="n">
        <v>40</v>
      </c>
      <c r="B354" s="181">
        <f>IF(INDEX(MO_SNA_IsHistoricalPeriod,,MATCH(F354,MO_Common_ColumnHeader,0)),"Historical","Forward")</f>
        <v/>
      </c>
      <c r="C354" s="171" t="n"/>
      <c r="D354" s="188">
        <f>INDEX(INDIRECT(E354),0,COLUMN(MO_Common_Column_A))</f>
        <v/>
      </c>
      <c r="E354" s="182" t="inlineStr">
        <is>
          <t>MO_RIS_REV</t>
        </is>
      </c>
      <c r="F354" s="181" t="inlineStr">
        <is>
          <t>Q3-2019</t>
        </is>
      </c>
      <c r="G354" s="181" t="n"/>
      <c r="H354" s="171" t="n"/>
      <c r="I354" s="183" t="n">
        <v>3185</v>
      </c>
      <c r="J354" s="183" t="n">
        <v>3315</v>
      </c>
      <c r="K354" s="183">
        <f>AVERAGE(I354:J354)</f>
        <v/>
      </c>
      <c r="L354" s="171" t="n"/>
      <c r="M354" s="181">
        <f>IF(INDEX(MO_SNA_IsHistoricalPeriod,,MATCH(F354,MO_Common_ColumnHeader,0)),"Actual","Estimate")</f>
        <v/>
      </c>
      <c r="N354" s="183">
        <f>IFERROR(INDEX(INDIRECT(E354),0,MATCH(F354,MO_Common_ColumnHeader,0)),"N/A")</f>
        <v/>
      </c>
      <c r="O354" s="171" t="n"/>
      <c r="P354" s="189">
        <f>IF(ISNUMBER(N354),N354-K354,"N/A")</f>
        <v/>
      </c>
      <c r="Q354" s="190">
        <f>IFERROR(IF(ISNUMBER(N354),(N354-K354)/ABS(K354),"N/A"),"N/A")</f>
        <v/>
      </c>
      <c r="R354" s="171" t="n"/>
      <c r="S354" s="184" t="n">
        <v>43328</v>
      </c>
      <c r="T354" s="191" t="inlineStr">
        <is>
          <t>Press Release</t>
        </is>
      </c>
      <c r="U354" s="171" t="n"/>
    </row>
    <row r="355">
      <c r="A355" s="154" t="n">
        <v>39</v>
      </c>
      <c r="B355" s="181">
        <f>IF(INDEX(MO_SNA_IsHistoricalPeriod,,MATCH(F355,MO_Common_ColumnHeader,0)),"Historical","Forward")</f>
        <v/>
      </c>
      <c r="C355" s="171" t="n"/>
      <c r="D355" s="188">
        <f>INDEX(INDIRECT(E355),0,COLUMN(MO_Common_Column_A))</f>
        <v/>
      </c>
      <c r="E355" s="182" t="inlineStr">
        <is>
          <t>MO_MA_GM</t>
        </is>
      </c>
      <c r="F355" s="181" t="inlineStr">
        <is>
          <t>Q3-2019</t>
        </is>
      </c>
      <c r="G355" s="181" t="n"/>
      <c r="H355" s="171" t="n"/>
      <c r="I355" s="185" t="n">
        <v>0.621</v>
      </c>
      <c r="J355" s="185" t="n">
        <v>0.631</v>
      </c>
      <c r="K355" s="185">
        <f>AVERAGE(I355:J355)</f>
        <v/>
      </c>
      <c r="L355" s="171" t="n"/>
      <c r="M355" s="181">
        <f>IF(INDEX(MO_SNA_IsHistoricalPeriod,,MATCH(F355,MO_Common_ColumnHeader,0)),"Actual","Estimate")</f>
        <v/>
      </c>
      <c r="N355" s="185">
        <f>IFERROR(INDEX(INDIRECT(E355),0,MATCH(F355,MO_Common_ColumnHeader,0)),"N/A")</f>
        <v/>
      </c>
      <c r="O355" s="171" t="n"/>
      <c r="P355" s="190">
        <f>IF(ISNUMBER(N355),N355-K355,"N/A")</f>
        <v/>
      </c>
      <c r="Q355" s="190">
        <f>IFERROR(IF(ISNUMBER(N355),(N355-K355)/ABS(K355),"N/A"),"N/A")</f>
        <v/>
      </c>
      <c r="R355" s="171" t="n"/>
      <c r="S355" s="184" t="n">
        <v>43328</v>
      </c>
      <c r="T355" s="191" t="inlineStr">
        <is>
          <t>Press Release</t>
        </is>
      </c>
      <c r="U355" s="171" t="n"/>
    </row>
    <row r="356">
      <c r="A356" s="154" t="n">
        <v>38</v>
      </c>
      <c r="B356" s="181">
        <f>IF(INDEX(MO_SNA_IsHistoricalPeriod,,MATCH(F356,MO_Common_ColumnHeader,0)),"Historical","Forward")</f>
        <v/>
      </c>
      <c r="C356" s="171" t="n"/>
      <c r="D356" s="188">
        <f>INDEX(INDIRECT(E356),0,COLUMN(MO_Common_Column_A))</f>
        <v/>
      </c>
      <c r="E356" s="182" t="inlineStr">
        <is>
          <t>MO_MA_GM_NONGAAP</t>
        </is>
      </c>
      <c r="F356" s="181" t="inlineStr">
        <is>
          <t>Q3-2019</t>
        </is>
      </c>
      <c r="G356" s="181" t="n"/>
      <c r="H356" s="171" t="n"/>
      <c r="I356" s="185" t="n">
        <v>0.623</v>
      </c>
      <c r="J356" s="185" t="n">
        <v>0.633</v>
      </c>
      <c r="K356" s="185">
        <f>AVERAGE(I356:J356)</f>
        <v/>
      </c>
      <c r="L356" s="171" t="n"/>
      <c r="M356" s="181">
        <f>IF(INDEX(MO_SNA_IsHistoricalPeriod,,MATCH(F356,MO_Common_ColumnHeader,0)),"Actual","Estimate")</f>
        <v/>
      </c>
      <c r="N356" s="185">
        <f>IFERROR(INDEX(INDIRECT(E356),0,MATCH(F356,MO_Common_ColumnHeader,0)),"N/A")</f>
        <v/>
      </c>
      <c r="O356" s="171" t="n"/>
      <c r="P356" s="190">
        <f>IF(ISNUMBER(N356),N356-K356,"N/A")</f>
        <v/>
      </c>
      <c r="Q356" s="190">
        <f>IFERROR(IF(ISNUMBER(N356),(N356-K356)/ABS(K356),"N/A"),"N/A")</f>
        <v/>
      </c>
      <c r="R356" s="171" t="n"/>
      <c r="S356" s="184" t="n">
        <v>43328</v>
      </c>
      <c r="T356" s="191" t="inlineStr">
        <is>
          <t>Press Release</t>
        </is>
      </c>
      <c r="U356" s="171" t="n"/>
    </row>
    <row r="357">
      <c r="A357" s="154" t="n">
        <v>37</v>
      </c>
      <c r="B357" s="181">
        <f>IF(INDEX(MO_SNA_IsHistoricalPeriod,,MATCH(F357,MO_Common_ColumnHeader,0)),"Historical","Forward")</f>
        <v/>
      </c>
      <c r="C357" s="171" t="n"/>
      <c r="D357" s="188" t="inlineStr">
        <is>
          <t>GAAP Operating Expenses</t>
        </is>
      </c>
      <c r="E357" s="182" t="n"/>
      <c r="F357" s="181" t="inlineStr">
        <is>
          <t>Q3-2019</t>
        </is>
      </c>
      <c r="G357" s="181" t="n"/>
      <c r="H357" s="171" t="n"/>
      <c r="I357" s="183" t="n">
        <v>870</v>
      </c>
      <c r="J357" s="183" t="n">
        <v>870</v>
      </c>
      <c r="K357" s="183">
        <f>AVERAGE(I357:J357)</f>
        <v/>
      </c>
      <c r="L357" s="171" t="n"/>
      <c r="M357" s="181">
        <f>IF(INDEX(MO_SNA_IsHistoricalPeriod,,MATCH(F357,MO_Common_ColumnHeader,0)),"Actual","Estimate")</f>
        <v/>
      </c>
      <c r="N357" s="183">
        <f>INDEX(MO_RIS_RD,0,MATCH(F357,MO_Common_ColumnHeader,0))+INDEX(MO_RIS_SGA,0,MATCH(F357,MO_Common_ColumnHeader,0))</f>
        <v/>
      </c>
      <c r="O357" s="171" t="n"/>
      <c r="P357" s="189">
        <f>IF(ISNUMBER(N357),N357-K357,"N/A")</f>
        <v/>
      </c>
      <c r="Q357" s="190">
        <f>IFERROR(IF(ISNUMBER(N357),(N357-K357)/ABS(K357),"N/A"),"N/A")</f>
        <v/>
      </c>
      <c r="R357" s="171" t="n"/>
      <c r="S357" s="184" t="n">
        <v>43328</v>
      </c>
      <c r="T357" s="191" t="inlineStr">
        <is>
          <t>Press Release</t>
        </is>
      </c>
      <c r="U357" s="171" t="n"/>
    </row>
    <row r="358">
      <c r="A358" s="154" t="n">
        <v>36</v>
      </c>
      <c r="B358" s="181">
        <f>IF(INDEX(MO_SNA_IsHistoricalPeriod,,MATCH(F358,MO_Common_ColumnHeader,0)),"Historical","Forward")</f>
        <v/>
      </c>
      <c r="C358" s="171" t="n"/>
      <c r="D358" s="188">
        <f>INDEX(INDIRECT(E358),0,COLUMN(MO_Common_Column_A))</f>
        <v/>
      </c>
      <c r="E358" s="182" t="inlineStr">
        <is>
          <t>MO_OS_OPEX</t>
        </is>
      </c>
      <c r="F358" s="181" t="inlineStr">
        <is>
          <t>Q3-2019</t>
        </is>
      </c>
      <c r="G358" s="181" t="n"/>
      <c r="H358" s="171" t="n"/>
      <c r="I358" s="183" t="n">
        <v>730</v>
      </c>
      <c r="J358" s="183" t="n">
        <v>730</v>
      </c>
      <c r="K358" s="183">
        <f>AVERAGE(I358:J358)</f>
        <v/>
      </c>
      <c r="L358" s="171" t="n"/>
      <c r="M358" s="181">
        <f>IF(INDEX(MO_SNA_IsHistoricalPeriod,,MATCH(F358,MO_Common_ColumnHeader,0)),"Actual","Estimate")</f>
        <v/>
      </c>
      <c r="N358" s="183">
        <f>IFERROR(INDEX(INDIRECT(E358),0,MATCH(F358,MO_Common_ColumnHeader,0)),"N/A")</f>
        <v/>
      </c>
      <c r="O358" s="171" t="n"/>
      <c r="P358" s="189">
        <f>IF(ISNUMBER(N358),N358-K358,"N/A")</f>
        <v/>
      </c>
      <c r="Q358" s="190">
        <f>IFERROR(IF(ISNUMBER(N358),(N358-K358)/ABS(K358),"N/A"),"N/A")</f>
        <v/>
      </c>
      <c r="R358" s="171" t="n"/>
      <c r="S358" s="184" t="n">
        <v>43328</v>
      </c>
      <c r="T358" s="191" t="inlineStr">
        <is>
          <t>Press Release</t>
        </is>
      </c>
      <c r="U358" s="171" t="n"/>
    </row>
    <row r="359">
      <c r="A359" s="154" t="n">
        <v>35</v>
      </c>
      <c r="B359" s="181">
        <f>IF(INDEX(MO_SNA_IsHistoricalPeriod,,MATCH(F359,MO_Common_ColumnHeader,0)),"Historical","Forward")</f>
        <v/>
      </c>
      <c r="C359" s="171" t="n"/>
      <c r="D359" s="188" t="inlineStr">
        <is>
          <t>GAAP Other Income</t>
        </is>
      </c>
      <c r="E359" s="182" t="n"/>
      <c r="F359" s="181" t="inlineStr">
        <is>
          <t>Q3-2019</t>
        </is>
      </c>
      <c r="G359" s="181" t="n"/>
      <c r="H359" s="171" t="n"/>
      <c r="I359" s="183" t="n">
        <v>20</v>
      </c>
      <c r="J359" s="183" t="n">
        <v>20</v>
      </c>
      <c r="K359" s="183">
        <f>AVERAGE(I359:J359)</f>
        <v/>
      </c>
      <c r="L359" s="171" t="n"/>
      <c r="M359" s="181">
        <f>IF(INDEX(MO_SNA_IsHistoricalPeriod,,MATCH(F359,MO_Common_ColumnHeader,0)),"Actual","Estimate")</f>
        <v/>
      </c>
      <c r="N359" s="183">
        <f>IFERROR(INDEX(INDIRECT(E359),0,MATCH(F359,MO_Common_ColumnHeader,0)),"N/A")</f>
        <v/>
      </c>
      <c r="O359" s="171" t="n"/>
      <c r="P359" s="189">
        <f>IF(ISNUMBER(N359),N359-K359,"N/A")</f>
        <v/>
      </c>
      <c r="Q359" s="190">
        <f>IFERROR(IF(ISNUMBER(N359),(N359-K359)/ABS(K359),"N/A"),"N/A")</f>
        <v/>
      </c>
      <c r="R359" s="171" t="n"/>
      <c r="S359" s="184" t="n">
        <v>43328</v>
      </c>
      <c r="T359" s="191" t="inlineStr">
        <is>
          <t>Press Release</t>
        </is>
      </c>
      <c r="U359" s="171" t="n"/>
    </row>
    <row r="360">
      <c r="A360" s="154" t="n">
        <v>34</v>
      </c>
      <c r="B360" s="181">
        <f>IF(INDEX(MO_SNA_IsHistoricalPeriod,,MATCH(F360,MO_Common_ColumnHeader,0)),"Historical","Forward")</f>
        <v/>
      </c>
      <c r="C360" s="171" t="n"/>
      <c r="D360" s="188" t="inlineStr">
        <is>
          <t>Non-GAAP Other Income</t>
        </is>
      </c>
      <c r="E360" s="182" t="n"/>
      <c r="F360" s="181" t="inlineStr">
        <is>
          <t>Q3-2019</t>
        </is>
      </c>
      <c r="G360" s="181" t="n"/>
      <c r="H360" s="171" t="n"/>
      <c r="I360" s="183" t="n">
        <v>20</v>
      </c>
      <c r="J360" s="183" t="n">
        <v>20</v>
      </c>
      <c r="K360" s="183">
        <f>AVERAGE(I360:J360)</f>
        <v/>
      </c>
      <c r="L360" s="171" t="n"/>
      <c r="M360" s="181">
        <f>IF(INDEX(MO_SNA_IsHistoricalPeriod,,MATCH(F360,MO_Common_ColumnHeader,0)),"Actual","Estimate")</f>
        <v/>
      </c>
      <c r="N360" s="183">
        <f>INDEX(MO_RIS_IE_Net_NONGAAP,0,MATCH(F360,MO_Common_ColumnHeader,0))+INDEX(MO_RIS_OI_NONGAAP,0,MATCH(F360,MO_Common_ColumnHeader,0))</f>
        <v/>
      </c>
      <c r="O360" s="171" t="n"/>
      <c r="P360" s="189">
        <f>IF(ISNUMBER(N360),N360-K360,"N/A")</f>
        <v/>
      </c>
      <c r="Q360" s="190">
        <f>IFERROR(IF(ISNUMBER(N360),(N360-K360)/ABS(K360),"N/A"),"N/A")</f>
        <v/>
      </c>
      <c r="R360" s="171" t="n"/>
      <c r="S360" s="184" t="n">
        <v>43328</v>
      </c>
      <c r="T360" s="191" t="inlineStr">
        <is>
          <t>Press Release</t>
        </is>
      </c>
      <c r="U360" s="171" t="n"/>
    </row>
    <row r="361">
      <c r="A361" s="154" t="n">
        <v>33</v>
      </c>
      <c r="B361" s="181">
        <f>IF(INDEX(MO_SNA_IsHistoricalPeriod,,MATCH(F361,MO_Common_ColumnHeader,0)),"Historical","Forward")</f>
        <v/>
      </c>
      <c r="C361" s="171" t="n"/>
      <c r="D361" s="188" t="inlineStr">
        <is>
          <t>GAAP Tax Rate</t>
        </is>
      </c>
      <c r="E361" s="182" t="inlineStr">
        <is>
          <t>MO_RIS_TaxRate</t>
        </is>
      </c>
      <c r="F361" s="181" t="inlineStr">
        <is>
          <t>Q3-2019</t>
        </is>
      </c>
      <c r="G361" s="181" t="n"/>
      <c r="H361" s="171" t="n"/>
      <c r="I361" s="185" t="n">
        <v>0.08</v>
      </c>
      <c r="J361" s="185" t="n">
        <v>0.1</v>
      </c>
      <c r="K361" s="185">
        <f>AVERAGE(I361:J361)</f>
        <v/>
      </c>
      <c r="L361" s="171" t="n"/>
      <c r="M361" s="181">
        <f>IF(INDEX(MO_SNA_IsHistoricalPeriod,,MATCH(F361,MO_Common_ColumnHeader,0)),"Actual","Estimate")</f>
        <v/>
      </c>
      <c r="N361" s="185">
        <f>IFERROR(INDEX(INDIRECT(E361),0,MATCH(F361,MO_Common_ColumnHeader,0)),"N/A")</f>
        <v/>
      </c>
      <c r="O361" s="171" t="n"/>
      <c r="P361" s="190">
        <f>IF(ISNUMBER(N361),N361-K361,"N/A")</f>
        <v/>
      </c>
      <c r="Q361" s="190">
        <f>IFERROR(IF(ISNUMBER(N361),(N361-K361)/ABS(K361),"N/A"),"N/A")</f>
        <v/>
      </c>
      <c r="R361" s="171" t="n"/>
      <c r="S361" s="184" t="n">
        <v>43328</v>
      </c>
      <c r="T361" s="191" t="inlineStr">
        <is>
          <t>Press Release</t>
        </is>
      </c>
      <c r="U361" s="171" t="n"/>
    </row>
    <row r="362">
      <c r="A362" s="154" t="n">
        <v>32</v>
      </c>
      <c r="B362" s="181">
        <f>IF(INDEX(MO_SNA_IsHistoricalPeriod,,MATCH(F362,MO_Common_ColumnHeader,0)),"Historical","Forward")</f>
        <v/>
      </c>
      <c r="C362" s="171" t="n"/>
      <c r="D362" s="188">
        <f>INDEX(INDIRECT(E362),0,COLUMN(MO_Common_Column_A))</f>
        <v/>
      </c>
      <c r="E362" s="182" t="inlineStr">
        <is>
          <t>MO_RIS_TaxRate_NONGAAP</t>
        </is>
      </c>
      <c r="F362" s="181" t="inlineStr">
        <is>
          <t>Q3-2019</t>
        </is>
      </c>
      <c r="G362" s="181" t="n"/>
      <c r="H362" s="171" t="n"/>
      <c r="I362" s="185" t="n">
        <v>0.08</v>
      </c>
      <c r="J362" s="185" t="n">
        <v>0.1</v>
      </c>
      <c r="K362" s="185">
        <f>AVERAGE(I362:J362)</f>
        <v/>
      </c>
      <c r="L362" s="171" t="n"/>
      <c r="M362" s="181">
        <f>IF(INDEX(MO_SNA_IsHistoricalPeriod,,MATCH(F362,MO_Common_ColumnHeader,0)),"Actual","Estimate")</f>
        <v/>
      </c>
      <c r="N362" s="185">
        <f>IFERROR(INDEX(INDIRECT(E362),0,MATCH(F362,MO_Common_ColumnHeader,0)),"N/A")</f>
        <v/>
      </c>
      <c r="O362" s="171" t="n"/>
      <c r="P362" s="190">
        <f>IF(ISNUMBER(N362),N362-K362,"N/A")</f>
        <v/>
      </c>
      <c r="Q362" s="190">
        <f>IFERROR(IF(ISNUMBER(N362),(N362-K362)/ABS(K362),"N/A"),"N/A")</f>
        <v/>
      </c>
      <c r="R362" s="171" t="n"/>
      <c r="S362" s="184" t="n">
        <v>43328</v>
      </c>
      <c r="T362" s="191" t="inlineStr">
        <is>
          <t>Press Release</t>
        </is>
      </c>
      <c r="U362" s="171" t="n"/>
    </row>
    <row r="363">
      <c r="A363" s="154" t="n">
        <v>31</v>
      </c>
      <c r="B363" s="181">
        <f>IF(INDEX(MO_SNA_IsHistoricalPeriod,,MATCH(F363,MO_Common_ColumnHeader,0)),"Historical","Forward")</f>
        <v/>
      </c>
      <c r="C363" s="171" t="n"/>
      <c r="D363" s="188" t="inlineStr">
        <is>
          <t>SBC COGS as % of revenue</t>
        </is>
      </c>
      <c r="E363" s="182" t="n"/>
      <c r="F363" s="181" t="inlineStr">
        <is>
          <t>Q3-2019</t>
        </is>
      </c>
      <c r="G363" s="181" t="n"/>
      <c r="H363" s="171" t="n"/>
      <c r="I363" s="185" t="n">
        <v>-0.002</v>
      </c>
      <c r="J363" s="185" t="n">
        <v>-0.002</v>
      </c>
      <c r="K363" s="185">
        <f>AVERAGE(I363:J363)</f>
        <v/>
      </c>
      <c r="L363" s="171" t="n"/>
      <c r="M363" s="181">
        <f>IF(INDEX(MO_SNA_IsHistoricalPeriod,,MATCH(F363,MO_Common_ColumnHeader,0)),"Actual","Estimate")</f>
        <v/>
      </c>
      <c r="N363" s="185">
        <f>(INDEX(MO_RIS_SBC_COGS,0,MATCH(F363,MO_Common_ColumnHeader,0))+INDEX(z_A7FLSL0150_MO_RIS_AcquisitionrelatedcostsCOGS,0,MATCH(F363,MO_Common_ColumnHeader,0))+INDEX(MO_RIS_COGS_Adjustments,0,MATCH(F363,MO_Common_ColumnHeader,0)))/INDEX(MO_RIS_REV,0,MATCH(F363,MO_Common_ColumnHeader,0))</f>
        <v/>
      </c>
      <c r="O363" s="171" t="n"/>
      <c r="P363" s="190">
        <f>IF(ISNUMBER(N363),N363-K363,"N/A")</f>
        <v/>
      </c>
      <c r="Q363" s="190">
        <f>IFERROR(IF(ISNUMBER(N363),(N363-K363)/ABS(K363),"N/A"),"N/A")</f>
        <v/>
      </c>
      <c r="R363" s="171" t="n"/>
      <c r="S363" s="184" t="n">
        <v>43328</v>
      </c>
      <c r="T363" s="191" t="inlineStr">
        <is>
          <t>Press Release</t>
        </is>
      </c>
      <c r="U363" s="171" t="n"/>
    </row>
    <row r="364">
      <c r="A364" s="154" t="n">
        <v>30</v>
      </c>
      <c r="B364" s="181">
        <f>IF(INDEX(MO_SNA_IsHistoricalPeriod,,MATCH(F364,MO_Common_ColumnHeader,0)),"Historical","Forward")</f>
        <v/>
      </c>
      <c r="C364" s="171" t="n"/>
      <c r="D364" s="188" t="inlineStr">
        <is>
          <t>SBC, acquisition related costs and other costs (adjustments for Non-GAAP operating expenses)</t>
        </is>
      </c>
      <c r="E364" s="182" t="n"/>
      <c r="F364" s="181" t="inlineStr">
        <is>
          <t>Q3-2019</t>
        </is>
      </c>
      <c r="G364" s="181" t="n"/>
      <c r="H364" s="171" t="n"/>
      <c r="I364" s="183" t="n">
        <v>-140</v>
      </c>
      <c r="J364" s="183" t="n">
        <v>-140</v>
      </c>
      <c r="K364" s="183">
        <f>AVERAGE(I364:J364)</f>
        <v/>
      </c>
      <c r="L364" s="171" t="n"/>
      <c r="M364" s="181">
        <f>IF(INDEX(MO_SNA_IsHistoricalPeriod,,MATCH(F364,MO_Common_ColumnHeader,0)),"Actual","Estimate")</f>
        <v/>
      </c>
      <c r="N364" s="183">
        <f>-(-INDEX(MO_RIS_OtherOperating_NONGAAP,0,MATCH(F364,MO_Common_ColumnHeader,0))+INDEX(z_A7FLSL0150_MO_RIS_SBC_2,0,MATCH(F364,MO_Common_ColumnHeader,0))+INDEX(z_A7FLSL0150_MO_RIS_sbc_1,0,MATCH(F364,MO_Common_ColumnHeader,0))+INDEX(z_A7FLSL0150_MO_RIS_AcquisitionrelatedcostsRD,0,MATCH(F364,MO_Common_ColumnHeader,0))+INDEX(z_A7FLSL0150_MO_RIS_AcquisitionrelatedcostsSGA,0,MATCH(F364,MO_Common_ColumnHeader,0)))</f>
        <v/>
      </c>
      <c r="O364" s="171" t="n"/>
      <c r="P364" s="189">
        <f>IF(ISNUMBER(N364),N364-K364,"N/A")</f>
        <v/>
      </c>
      <c r="Q364" s="190">
        <f>IFERROR(IF(ISNUMBER(N364),(N364-K364)/ABS(K364),"N/A"),"N/A")</f>
        <v/>
      </c>
      <c r="R364" s="171" t="n"/>
      <c r="S364" s="184" t="n">
        <v>43328</v>
      </c>
      <c r="T364" s="191" t="inlineStr">
        <is>
          <t>Press Release</t>
        </is>
      </c>
      <c r="U364" s="171" t="n"/>
    </row>
    <row r="365">
      <c r="A365" s="154" t="n">
        <v>29</v>
      </c>
      <c r="B365" s="171" t="n"/>
      <c r="C365" s="171" t="n"/>
      <c r="D365" s="168" t="n"/>
      <c r="E365" s="169" t="n"/>
      <c r="F365" s="171" t="n"/>
      <c r="G365" s="171" t="n"/>
      <c r="H365" s="171" t="n"/>
      <c r="I365" s="1013" t="n"/>
      <c r="J365" s="1013" t="n"/>
      <c r="K365" s="1013" t="n"/>
      <c r="L365" s="171" t="n"/>
      <c r="M365" s="171" t="n"/>
      <c r="N365" s="1013" t="n"/>
      <c r="O365" s="171" t="n"/>
      <c r="P365" s="172" t="n"/>
      <c r="Q365" s="134" t="n"/>
      <c r="R365" s="171" t="n"/>
      <c r="S365" s="173" t="n"/>
      <c r="T365" s="192" t="n"/>
      <c r="U365" s="171" t="n"/>
    </row>
    <row r="366">
      <c r="A366" s="154" t="n">
        <v>28</v>
      </c>
      <c r="B366" s="181">
        <f>IF(INDEX(MO_SNA_IsHistoricalPeriod,,MATCH(F366,MO_Common_ColumnHeader,0)),"Historical","Forward")</f>
        <v/>
      </c>
      <c r="C366" s="171" t="n"/>
      <c r="D366" s="188">
        <f>INDEX(INDIRECT(E366),0,COLUMN(MO_Common_Column_A))</f>
        <v/>
      </c>
      <c r="E366" s="182" t="inlineStr">
        <is>
          <t>MO_RIS_REV</t>
        </is>
      </c>
      <c r="F366" s="181" t="inlineStr">
        <is>
          <t>Q2-2019</t>
        </is>
      </c>
      <c r="G366" s="181" t="n"/>
      <c r="H366" s="171" t="n"/>
      <c r="I366" s="183" t="n">
        <v>3038</v>
      </c>
      <c r="J366" s="183" t="n">
        <v>3162</v>
      </c>
      <c r="K366" s="183">
        <f>AVERAGE(I366:J366)</f>
        <v/>
      </c>
      <c r="L366" s="171" t="n"/>
      <c r="M366" s="181">
        <f>IF(INDEX(MO_SNA_IsHistoricalPeriod,,MATCH(F366,MO_Common_ColumnHeader,0)),"Actual","Estimate")</f>
        <v/>
      </c>
      <c r="N366" s="183">
        <f>IFERROR(INDEX(INDIRECT(E366),0,MATCH(F366,MO_Common_ColumnHeader,0)),"N/A")</f>
        <v/>
      </c>
      <c r="O366" s="171" t="n"/>
      <c r="P366" s="189">
        <f>IF(ISNUMBER(N366),N366-K366,"N/A")</f>
        <v/>
      </c>
      <c r="Q366" s="190">
        <f>IFERROR(IF(ISNUMBER(N366),(N366-K366)/ABS(K366),"N/A"),"N/A")</f>
        <v/>
      </c>
      <c r="R366" s="171" t="n"/>
      <c r="S366" s="184" t="n">
        <v>43230</v>
      </c>
      <c r="T366" s="191" t="inlineStr">
        <is>
          <t>Press Release</t>
        </is>
      </c>
      <c r="U366" s="171" t="n"/>
    </row>
    <row r="367">
      <c r="A367" s="154" t="n">
        <v>27</v>
      </c>
      <c r="B367" s="181">
        <f>IF(INDEX(MO_SNA_IsHistoricalPeriod,,MATCH(F367,MO_Common_ColumnHeader,0)),"Historical","Forward")</f>
        <v/>
      </c>
      <c r="C367" s="171" t="n"/>
      <c r="D367" s="188">
        <f>INDEX(INDIRECT(E367),0,COLUMN(MO_Common_Column_A))</f>
        <v/>
      </c>
      <c r="E367" s="182" t="inlineStr">
        <is>
          <t>MO_MA_GM</t>
        </is>
      </c>
      <c r="F367" s="181" t="inlineStr">
        <is>
          <t>Q2-2019</t>
        </is>
      </c>
      <c r="G367" s="181" t="n"/>
      <c r="H367" s="171" t="n"/>
      <c r="I367" s="185" t="n">
        <v>0.628</v>
      </c>
      <c r="J367" s="185" t="n">
        <v>0.638</v>
      </c>
      <c r="K367" s="185">
        <f>AVERAGE(I367:J367)</f>
        <v/>
      </c>
      <c r="L367" s="171" t="n"/>
      <c r="M367" s="181">
        <f>IF(INDEX(MO_SNA_IsHistoricalPeriod,,MATCH(F367,MO_Common_ColumnHeader,0)),"Actual","Estimate")</f>
        <v/>
      </c>
      <c r="N367" s="185">
        <f>IFERROR(INDEX(INDIRECT(E367),0,MATCH(F367,MO_Common_ColumnHeader,0)),"N/A")</f>
        <v/>
      </c>
      <c r="O367" s="171" t="n"/>
      <c r="P367" s="190">
        <f>IF(ISNUMBER(N367),N367-K367,"N/A")</f>
        <v/>
      </c>
      <c r="Q367" s="190">
        <f>IFERROR(IF(ISNUMBER(N367),(N367-K367)/ABS(K367),"N/A"),"N/A")</f>
        <v/>
      </c>
      <c r="R367" s="171" t="n"/>
      <c r="S367" s="184" t="n">
        <v>43230</v>
      </c>
      <c r="T367" s="191" t="inlineStr">
        <is>
          <t>Press Release</t>
        </is>
      </c>
      <c r="U367" s="171" t="n"/>
    </row>
    <row r="368">
      <c r="A368" s="154" t="n">
        <v>26</v>
      </c>
      <c r="B368" s="181">
        <f>IF(INDEX(MO_SNA_IsHistoricalPeriod,,MATCH(F368,MO_Common_ColumnHeader,0)),"Historical","Forward")</f>
        <v/>
      </c>
      <c r="C368" s="171" t="n"/>
      <c r="D368" s="188">
        <f>INDEX(INDIRECT(E368),0,COLUMN(MO_Common_Column_A))</f>
        <v/>
      </c>
      <c r="E368" s="182" t="inlineStr">
        <is>
          <t>MO_MA_GM_NONGAAP</t>
        </is>
      </c>
      <c r="F368" s="181" t="inlineStr">
        <is>
          <t>Q2-2019</t>
        </is>
      </c>
      <c r="G368" s="181" t="n"/>
      <c r="H368" s="171" t="n"/>
      <c r="I368" s="185" t="n">
        <v>0.63</v>
      </c>
      <c r="J368" s="185" t="n">
        <v>0.64</v>
      </c>
      <c r="K368" s="185">
        <f>AVERAGE(I368:J368)</f>
        <v/>
      </c>
      <c r="L368" s="171" t="n"/>
      <c r="M368" s="181">
        <f>IF(INDEX(MO_SNA_IsHistoricalPeriod,,MATCH(F368,MO_Common_ColumnHeader,0)),"Actual","Estimate")</f>
        <v/>
      </c>
      <c r="N368" s="185">
        <f>IFERROR(INDEX(INDIRECT(E368),0,MATCH(F368,MO_Common_ColumnHeader,0)),"N/A")</f>
        <v/>
      </c>
      <c r="O368" s="171" t="n"/>
      <c r="P368" s="190">
        <f>IF(ISNUMBER(N368),N368-K368,"N/A")</f>
        <v/>
      </c>
      <c r="Q368" s="190">
        <f>IFERROR(IF(ISNUMBER(N368),(N368-K368)/ABS(K368),"N/A"),"N/A")</f>
        <v/>
      </c>
      <c r="R368" s="171" t="n"/>
      <c r="S368" s="184" t="n">
        <v>43230</v>
      </c>
      <c r="T368" s="191" t="inlineStr">
        <is>
          <t>Press Release</t>
        </is>
      </c>
      <c r="U368" s="171" t="n"/>
    </row>
    <row r="369">
      <c r="A369" s="154" t="n">
        <v>25</v>
      </c>
      <c r="B369" s="181">
        <f>IF(INDEX(MO_SNA_IsHistoricalPeriod,,MATCH(F369,MO_Common_ColumnHeader,0)),"Historical","Forward")</f>
        <v/>
      </c>
      <c r="C369" s="171" t="n"/>
      <c r="D369" s="188" t="inlineStr">
        <is>
          <t>GAAP Operating Expenses</t>
        </is>
      </c>
      <c r="E369" s="182" t="n"/>
      <c r="F369" s="181" t="inlineStr">
        <is>
          <t>Q2-2019</t>
        </is>
      </c>
      <c r="G369" s="181" t="n"/>
      <c r="H369" s="171" t="n"/>
      <c r="I369" s="183" t="n">
        <v>810</v>
      </c>
      <c r="J369" s="183" t="n">
        <v>810</v>
      </c>
      <c r="K369" s="183">
        <f>AVERAGE(I369:J369)</f>
        <v/>
      </c>
      <c r="L369" s="171" t="n"/>
      <c r="M369" s="181">
        <f>IF(INDEX(MO_SNA_IsHistoricalPeriod,,MATCH(F369,MO_Common_ColumnHeader,0)),"Actual","Estimate")</f>
        <v/>
      </c>
      <c r="N369" s="183">
        <f>INDEX(MO_RIS_RD,0,MATCH(F369,MO_Common_ColumnHeader,0))+INDEX(MO_RIS_SGA,0,MATCH(F369,MO_Common_ColumnHeader,0))</f>
        <v/>
      </c>
      <c r="O369" s="171" t="n"/>
      <c r="P369" s="189">
        <f>IF(ISNUMBER(N369),N369-K369,"N/A")</f>
        <v/>
      </c>
      <c r="Q369" s="190">
        <f>IFERROR(IF(ISNUMBER(N369),(N369-K369)/ABS(K369),"N/A"),"N/A")</f>
        <v/>
      </c>
      <c r="R369" s="171" t="n"/>
      <c r="S369" s="184" t="n">
        <v>43230</v>
      </c>
      <c r="T369" s="191" t="inlineStr">
        <is>
          <t>Press Release</t>
        </is>
      </c>
      <c r="U369" s="171" t="n"/>
    </row>
    <row r="370">
      <c r="A370" s="154" t="n">
        <v>24</v>
      </c>
      <c r="B370" s="181">
        <f>IF(INDEX(MO_SNA_IsHistoricalPeriod,,MATCH(F370,MO_Common_ColumnHeader,0)),"Historical","Forward")</f>
        <v/>
      </c>
      <c r="C370" s="171" t="n"/>
      <c r="D370" s="188">
        <f>INDEX(INDIRECT(E370),0,COLUMN(MO_Common_Column_A))</f>
        <v/>
      </c>
      <c r="E370" s="182" t="inlineStr">
        <is>
          <t>MO_OS_OPEX</t>
        </is>
      </c>
      <c r="F370" s="181" t="inlineStr">
        <is>
          <t>Q2-2019</t>
        </is>
      </c>
      <c r="G370" s="181" t="n"/>
      <c r="H370" s="171" t="n"/>
      <c r="I370" s="183" t="n">
        <v>685</v>
      </c>
      <c r="J370" s="183" t="n">
        <v>685</v>
      </c>
      <c r="K370" s="183">
        <f>AVERAGE(I370:J370)</f>
        <v/>
      </c>
      <c r="L370" s="171" t="n"/>
      <c r="M370" s="181">
        <f>IF(INDEX(MO_SNA_IsHistoricalPeriod,,MATCH(F370,MO_Common_ColumnHeader,0)),"Actual","Estimate")</f>
        <v/>
      </c>
      <c r="N370" s="183">
        <f>IFERROR(INDEX(INDIRECT(E370),0,MATCH(F370,MO_Common_ColumnHeader,0)),"N/A")</f>
        <v/>
      </c>
      <c r="O370" s="171" t="n"/>
      <c r="P370" s="189">
        <f>IF(ISNUMBER(N370),N370-K370,"N/A")</f>
        <v/>
      </c>
      <c r="Q370" s="190">
        <f>IFERROR(IF(ISNUMBER(N370),(N370-K370)/ABS(K370),"N/A"),"N/A")</f>
        <v/>
      </c>
      <c r="R370" s="171" t="n"/>
      <c r="S370" s="184" t="n">
        <v>43230</v>
      </c>
      <c r="T370" s="191" t="inlineStr">
        <is>
          <t>Press Release</t>
        </is>
      </c>
      <c r="U370" s="171" t="n"/>
    </row>
    <row r="371">
      <c r="A371" s="154" t="n">
        <v>23</v>
      </c>
      <c r="B371" s="181">
        <f>IF(INDEX(MO_SNA_IsHistoricalPeriod,,MATCH(F371,MO_Common_ColumnHeader,0)),"Historical","Forward")</f>
        <v/>
      </c>
      <c r="C371" s="171" t="n"/>
      <c r="D371" s="188" t="inlineStr">
        <is>
          <t>GAAP Tax Rate</t>
        </is>
      </c>
      <c r="E371" s="182" t="inlineStr">
        <is>
          <t>MO_RIS_TaxRate</t>
        </is>
      </c>
      <c r="F371" s="181" t="inlineStr">
        <is>
          <t>Q2-2019</t>
        </is>
      </c>
      <c r="G371" s="181" t="n"/>
      <c r="H371" s="171" t="n"/>
      <c r="I371" s="185" t="n">
        <v>0.1</v>
      </c>
      <c r="J371" s="185" t="n">
        <v>0.12</v>
      </c>
      <c r="K371" s="185">
        <f>AVERAGE(I371:J371)</f>
        <v/>
      </c>
      <c r="L371" s="171" t="n"/>
      <c r="M371" s="181">
        <f>IF(INDEX(MO_SNA_IsHistoricalPeriod,,MATCH(F371,MO_Common_ColumnHeader,0)),"Actual","Estimate")</f>
        <v/>
      </c>
      <c r="N371" s="185">
        <f>IFERROR(INDEX(INDIRECT(E371),0,MATCH(F371,MO_Common_ColumnHeader,0)),"N/A")</f>
        <v/>
      </c>
      <c r="O371" s="171" t="n"/>
      <c r="P371" s="190">
        <f>IF(ISNUMBER(N371),N371-K371,"N/A")</f>
        <v/>
      </c>
      <c r="Q371" s="190">
        <f>IFERROR(IF(ISNUMBER(N371),(N371-K371)/ABS(K371),"N/A"),"N/A")</f>
        <v/>
      </c>
      <c r="R371" s="171" t="n"/>
      <c r="S371" s="184" t="n">
        <v>43230</v>
      </c>
      <c r="T371" s="191" t="inlineStr">
        <is>
          <t>Press Release</t>
        </is>
      </c>
      <c r="U371" s="171" t="n"/>
    </row>
    <row r="372">
      <c r="A372" s="154" t="n">
        <v>22</v>
      </c>
      <c r="B372" s="181">
        <f>IF(INDEX(MO_SNA_IsHistoricalPeriod,,MATCH(F372,MO_Common_ColumnHeader,0)),"Historical","Forward")</f>
        <v/>
      </c>
      <c r="C372" s="171" t="n"/>
      <c r="D372" s="188">
        <f>INDEX(INDIRECT(E372),0,COLUMN(MO_Common_Column_A))</f>
        <v/>
      </c>
      <c r="E372" s="182" t="inlineStr">
        <is>
          <t>MO_RIS_TaxRate_NONGAAP</t>
        </is>
      </c>
      <c r="F372" s="181" t="inlineStr">
        <is>
          <t>Q2-2019</t>
        </is>
      </c>
      <c r="G372" s="181" t="n"/>
      <c r="H372" s="171" t="n"/>
      <c r="I372" s="185" t="n">
        <v>0.1</v>
      </c>
      <c r="J372" s="185" t="n">
        <v>0.12</v>
      </c>
      <c r="K372" s="185">
        <f>AVERAGE(I372:J372)</f>
        <v/>
      </c>
      <c r="L372" s="171" t="n"/>
      <c r="M372" s="181">
        <f>IF(INDEX(MO_SNA_IsHistoricalPeriod,,MATCH(F372,MO_Common_ColumnHeader,0)),"Actual","Estimate")</f>
        <v/>
      </c>
      <c r="N372" s="185">
        <f>IFERROR(INDEX(INDIRECT(E372),0,MATCH(F372,MO_Common_ColumnHeader,0)),"N/A")</f>
        <v/>
      </c>
      <c r="O372" s="171" t="n"/>
      <c r="P372" s="190">
        <f>IF(ISNUMBER(N372),N372-K372,"N/A")</f>
        <v/>
      </c>
      <c r="Q372" s="190">
        <f>IFERROR(IF(ISNUMBER(N372),(N372-K372)/ABS(K372),"N/A"),"N/A")</f>
        <v/>
      </c>
      <c r="R372" s="171" t="n"/>
      <c r="S372" s="184" t="n">
        <v>43230</v>
      </c>
      <c r="T372" s="191" t="inlineStr">
        <is>
          <t>Press Release</t>
        </is>
      </c>
      <c r="U372" s="171" t="n"/>
    </row>
    <row r="373">
      <c r="A373" s="154" t="n">
        <v>21</v>
      </c>
      <c r="B373" s="181">
        <f>IF(INDEX(MO_SNA_IsHistoricalPeriod,,MATCH(F373,MO_Common_ColumnHeader,0)),"Historical","Forward")</f>
        <v/>
      </c>
      <c r="C373" s="171" t="n"/>
      <c r="D373" s="188" t="inlineStr">
        <is>
          <t>SBC COGS as % of revenue</t>
        </is>
      </c>
      <c r="E373" s="182" t="n"/>
      <c r="F373" s="181" t="inlineStr">
        <is>
          <t>Q2-2019</t>
        </is>
      </c>
      <c r="G373" s="181" t="n"/>
      <c r="H373" s="171" t="n"/>
      <c r="I373" s="185" t="n">
        <v>-0.002</v>
      </c>
      <c r="J373" s="185" t="n">
        <v>-0.002</v>
      </c>
      <c r="K373" s="185">
        <f>AVERAGE(I373:J373)</f>
        <v/>
      </c>
      <c r="L373" s="171" t="n"/>
      <c r="M373" s="181">
        <f>IF(INDEX(MO_SNA_IsHistoricalPeriod,,MATCH(F373,MO_Common_ColumnHeader,0)),"Actual","Estimate")</f>
        <v/>
      </c>
      <c r="N373" s="185">
        <f>(INDEX(MO_RIS_SBC_COGS,0,MATCH(F373,MO_Common_ColumnHeader,0))+INDEX(z_A7FLSL0150_MO_RIS_AcquisitionrelatedcostsCOGS,0,MATCH(F373,MO_Common_ColumnHeader,0))+INDEX(MO_RIS_COGS_Adjustments,0,MATCH(F373,MO_Common_ColumnHeader,0)))/INDEX(MO_RIS_REV,0,MATCH(F373,MO_Common_ColumnHeader,0))</f>
        <v/>
      </c>
      <c r="O373" s="171" t="n"/>
      <c r="P373" s="190">
        <f>IF(ISNUMBER(N373),N373-K373,"N/A")</f>
        <v/>
      </c>
      <c r="Q373" s="190">
        <f>IFERROR(IF(ISNUMBER(N373),(N373-K373)/ABS(K373),"N/A"),"N/A")</f>
        <v/>
      </c>
      <c r="R373" s="171" t="n"/>
      <c r="S373" s="184" t="n">
        <v>43230</v>
      </c>
      <c r="T373" s="191" t="inlineStr">
        <is>
          <t>Press Release</t>
        </is>
      </c>
      <c r="U373" s="171" t="n"/>
    </row>
    <row r="374">
      <c r="A374" s="154" t="n">
        <v>20</v>
      </c>
      <c r="B374" s="181">
        <f>IF(INDEX(MO_SNA_IsHistoricalPeriod,,MATCH(F374,MO_Common_ColumnHeader,0)),"Historical","Forward")</f>
        <v/>
      </c>
      <c r="C374" s="171" t="n"/>
      <c r="D374" s="188" t="inlineStr">
        <is>
          <t>SBC, acquisition related costs and other costs (adjustments for Non-GAAP operating expenses)</t>
        </is>
      </c>
      <c r="E374" s="182" t="n"/>
      <c r="F374" s="181" t="inlineStr">
        <is>
          <t>Q2-2019</t>
        </is>
      </c>
      <c r="G374" s="181" t="n"/>
      <c r="H374" s="171" t="n"/>
      <c r="I374" s="183" t="n">
        <v>-125</v>
      </c>
      <c r="J374" s="183" t="n">
        <v>-125</v>
      </c>
      <c r="K374" s="183">
        <f>AVERAGE(I374:J374)</f>
        <v/>
      </c>
      <c r="L374" s="171" t="n"/>
      <c r="M374" s="181">
        <f>IF(INDEX(MO_SNA_IsHistoricalPeriod,,MATCH(F374,MO_Common_ColumnHeader,0)),"Actual","Estimate")</f>
        <v/>
      </c>
      <c r="N374" s="183">
        <f>-(-INDEX(MO_RIS_OtherOperating_NONGAAP,0,MATCH(F374,MO_Common_ColumnHeader,0))+INDEX(z_A7FLSL0150_MO_RIS_SBC_2,0,MATCH(F374,MO_Common_ColumnHeader,0))+INDEX(z_A7FLSL0150_MO_RIS_sbc_1,0,MATCH(F374,MO_Common_ColumnHeader,0))+INDEX(z_A7FLSL0150_MO_RIS_AcquisitionrelatedcostsRD,0,MATCH(F374,MO_Common_ColumnHeader,0))+INDEX(z_A7FLSL0150_MO_RIS_AcquisitionrelatedcostsSGA,0,MATCH(F374,MO_Common_ColumnHeader,0)))</f>
        <v/>
      </c>
      <c r="O374" s="171" t="n"/>
      <c r="P374" s="189">
        <f>IF(ISNUMBER(N374),N374-K374,"N/A")</f>
        <v/>
      </c>
      <c r="Q374" s="190">
        <f>IFERROR(IF(ISNUMBER(N374),(N374-K374)/ABS(K374),"N/A"),"N/A")</f>
        <v/>
      </c>
      <c r="R374" s="171" t="n"/>
      <c r="S374" s="184" t="n">
        <v>43230</v>
      </c>
      <c r="T374" s="191" t="inlineStr">
        <is>
          <t>Press Release</t>
        </is>
      </c>
      <c r="U374" s="171" t="n"/>
    </row>
    <row r="375">
      <c r="A375" s="154" t="n">
        <v>19</v>
      </c>
      <c r="B375" s="171" t="n"/>
      <c r="C375" s="171" t="n"/>
      <c r="D375" s="168" t="n"/>
      <c r="E375" s="169" t="n"/>
      <c r="F375" s="171" t="n"/>
      <c r="G375" s="171" t="n"/>
      <c r="H375" s="171" t="n"/>
      <c r="I375" s="1013" t="n"/>
      <c r="J375" s="1013" t="n"/>
      <c r="K375" s="1013" t="n"/>
      <c r="L375" s="171" t="n"/>
      <c r="M375" s="171" t="n"/>
      <c r="N375" s="1013" t="n"/>
      <c r="O375" s="171" t="n"/>
      <c r="P375" s="172" t="n"/>
      <c r="Q375" s="134" t="n"/>
      <c r="R375" s="171" t="n"/>
      <c r="S375" s="173" t="n"/>
      <c r="T375" s="192" t="inlineStr">
        <is>
          <t>https://nvidianews.nvidia.com/news/nvidia-announces-financial-results-for-fourth-quarter-and-fiscal-2018</t>
        </is>
      </c>
      <c r="U375" s="171" t="n"/>
    </row>
    <row r="376">
      <c r="A376" s="154" t="n">
        <v>18</v>
      </c>
      <c r="B376" s="181">
        <f>IF(INDEX(MO_SNA_IsHistoricalPeriod,,MATCH(F376,MO_Common_ColumnHeader,0)),"Historical","Forward")</f>
        <v/>
      </c>
      <c r="C376" s="171" t="n"/>
      <c r="D376" s="188" t="inlineStr">
        <is>
          <t>Cash dividends and share repurchases</t>
        </is>
      </c>
      <c r="E376" s="182" t="n"/>
      <c r="F376" s="181" t="inlineStr">
        <is>
          <t>FY2019</t>
        </is>
      </c>
      <c r="G376" s="181" t="n"/>
      <c r="H376" s="171" t="n"/>
      <c r="I376" s="183" t="n">
        <v>-1250</v>
      </c>
      <c r="J376" s="183" t="n">
        <v>-1250</v>
      </c>
      <c r="K376" s="183">
        <f>AVERAGE(I376:J376)</f>
        <v/>
      </c>
      <c r="L376" s="171" t="n"/>
      <c r="M376" s="181">
        <f>IF(INDEX(MO_SNA_IsHistoricalPeriod,,MATCH(F376,MO_Common_ColumnHeader,0)),"Actual","Estimate")</f>
        <v/>
      </c>
      <c r="N376" s="183">
        <f>INDEX(MO_CFSum_Dividend,0,MATCH(F376,MO_Common_ColumnHeader,0))+INDEX(MO_CFS_Buyback,0,MATCH(F376,MO_Common_ColumnHeader,0))</f>
        <v/>
      </c>
      <c r="O376" s="171" t="n"/>
      <c r="P376" s="189">
        <f>IF(ISNUMBER(N376),N376-K376,"N/A")</f>
        <v/>
      </c>
      <c r="Q376" s="190">
        <f>IFERROR(IF(ISNUMBER(N376),(N376-K376)/ABS(K376),"N/A"),"N/A")</f>
        <v/>
      </c>
      <c r="R376" s="171" t="n"/>
      <c r="S376" s="184" t="n">
        <v>43139</v>
      </c>
      <c r="T376" s="191" t="inlineStr">
        <is>
          <t>Press Release</t>
        </is>
      </c>
      <c r="U376" s="171" t="n"/>
    </row>
    <row r="377">
      <c r="A377" s="154" t="n">
        <v>17</v>
      </c>
      <c r="B377" s="181">
        <f>IF(INDEX(MO_SNA_IsHistoricalPeriod,,MATCH(F377,MO_Common_ColumnHeader,0)),"Historical","Forward")</f>
        <v/>
      </c>
      <c r="C377" s="171" t="n"/>
      <c r="D377" s="188">
        <f>INDEX(INDIRECT(E377),0,COLUMN(MO_Common_Column_A))</f>
        <v/>
      </c>
      <c r="E377" s="182" t="inlineStr">
        <is>
          <t>MO_RIS_REV</t>
        </is>
      </c>
      <c r="F377" s="181" t="inlineStr">
        <is>
          <t>Q1-2019</t>
        </is>
      </c>
      <c r="G377" s="181" t="n"/>
      <c r="H377" s="171" t="n"/>
      <c r="I377" s="183" t="n">
        <v>2842</v>
      </c>
      <c r="J377" s="183" t="n">
        <v>2958</v>
      </c>
      <c r="K377" s="183">
        <f>AVERAGE(I377:J377)</f>
        <v/>
      </c>
      <c r="L377" s="171" t="n"/>
      <c r="M377" s="181">
        <f>IF(INDEX(MO_SNA_IsHistoricalPeriod,,MATCH(F377,MO_Common_ColumnHeader,0)),"Actual","Estimate")</f>
        <v/>
      </c>
      <c r="N377" s="183">
        <f>IFERROR(INDEX(INDIRECT(E377),0,MATCH(F377,MO_Common_ColumnHeader,0)),"N/A")</f>
        <v/>
      </c>
      <c r="O377" s="171" t="n"/>
      <c r="P377" s="189">
        <f>IF(ISNUMBER(N377),N377-K377,"N/A")</f>
        <v/>
      </c>
      <c r="Q377" s="190">
        <f>IFERROR(IF(ISNUMBER(N377),(N377-K377)/ABS(K377),"N/A"),"N/A")</f>
        <v/>
      </c>
      <c r="R377" s="171" t="n"/>
      <c r="S377" s="184" t="n">
        <v>43139</v>
      </c>
      <c r="T377" s="191" t="inlineStr">
        <is>
          <t>Press Release</t>
        </is>
      </c>
      <c r="U377" s="171" t="n"/>
    </row>
    <row r="378">
      <c r="A378" s="154" t="n">
        <v>16</v>
      </c>
      <c r="B378" s="181">
        <f>IF(INDEX(MO_SNA_IsHistoricalPeriod,,MATCH(F378,MO_Common_ColumnHeader,0)),"Historical","Forward")</f>
        <v/>
      </c>
      <c r="C378" s="171" t="n"/>
      <c r="D378" s="188">
        <f>INDEX(INDIRECT(E378),0,COLUMN(MO_Common_Column_A))</f>
        <v/>
      </c>
      <c r="E378" s="182" t="inlineStr">
        <is>
          <t>MO_MA_GM</t>
        </is>
      </c>
      <c r="F378" s="181" t="inlineStr">
        <is>
          <t>Q1-2019</t>
        </is>
      </c>
      <c r="G378" s="181" t="n"/>
      <c r="H378" s="171" t="n"/>
      <c r="I378" s="185" t="n">
        <v>0.622</v>
      </c>
      <c r="J378" s="185" t="n">
        <v>0.632</v>
      </c>
      <c r="K378" s="185">
        <f>AVERAGE(I378:J378)</f>
        <v/>
      </c>
      <c r="L378" s="171" t="n"/>
      <c r="M378" s="181">
        <f>IF(INDEX(MO_SNA_IsHistoricalPeriod,,MATCH(F378,MO_Common_ColumnHeader,0)),"Actual","Estimate")</f>
        <v/>
      </c>
      <c r="N378" s="185">
        <f>IFERROR(INDEX(INDIRECT(E378),0,MATCH(F378,MO_Common_ColumnHeader,0)),"N/A")</f>
        <v/>
      </c>
      <c r="O378" s="171" t="n"/>
      <c r="P378" s="190">
        <f>IF(ISNUMBER(N378),N378-K378,"N/A")</f>
        <v/>
      </c>
      <c r="Q378" s="190">
        <f>IFERROR(IF(ISNUMBER(N378),(N378-K378)/ABS(K378),"N/A"),"N/A")</f>
        <v/>
      </c>
      <c r="R378" s="171" t="n"/>
      <c r="S378" s="184" t="n">
        <v>43139</v>
      </c>
      <c r="T378" s="191" t="inlineStr">
        <is>
          <t>Press Release</t>
        </is>
      </c>
      <c r="U378" s="171" t="n"/>
    </row>
    <row r="379">
      <c r="A379" s="154" t="n">
        <v>15</v>
      </c>
      <c r="B379" s="181">
        <f>IF(INDEX(MO_SNA_IsHistoricalPeriod,,MATCH(F379,MO_Common_ColumnHeader,0)),"Historical","Forward")</f>
        <v/>
      </c>
      <c r="C379" s="171" t="n"/>
      <c r="D379" s="188">
        <f>INDEX(INDIRECT(E379),0,COLUMN(MO_Common_Column_A))</f>
        <v/>
      </c>
      <c r="E379" s="182" t="inlineStr">
        <is>
          <t>MO_MA_GM_NONGAAP</t>
        </is>
      </c>
      <c r="F379" s="181" t="inlineStr">
        <is>
          <t>Q1-2019</t>
        </is>
      </c>
      <c r="G379" s="181" t="n"/>
      <c r="H379" s="171" t="n"/>
      <c r="I379" s="185" t="n">
        <v>0.625</v>
      </c>
      <c r="J379" s="185" t="n">
        <v>0.635</v>
      </c>
      <c r="K379" s="185">
        <f>AVERAGE(I379:J379)</f>
        <v/>
      </c>
      <c r="L379" s="171" t="n"/>
      <c r="M379" s="181">
        <f>IF(INDEX(MO_SNA_IsHistoricalPeriod,,MATCH(F379,MO_Common_ColumnHeader,0)),"Actual","Estimate")</f>
        <v/>
      </c>
      <c r="N379" s="185">
        <f>IFERROR(INDEX(INDIRECT(E379),0,MATCH(F379,MO_Common_ColumnHeader,0)),"N/A")</f>
        <v/>
      </c>
      <c r="O379" s="171" t="n"/>
      <c r="P379" s="190">
        <f>IF(ISNUMBER(N379),N379-K379,"N/A")</f>
        <v/>
      </c>
      <c r="Q379" s="190">
        <f>IFERROR(IF(ISNUMBER(N379),(N379-K379)/ABS(K379),"N/A"),"N/A")</f>
        <v/>
      </c>
      <c r="R379" s="171" t="n"/>
      <c r="S379" s="184" t="n">
        <v>43139</v>
      </c>
      <c r="T379" s="191" t="inlineStr">
        <is>
          <t>Press Release</t>
        </is>
      </c>
      <c r="U379" s="171" t="n"/>
    </row>
    <row r="380">
      <c r="A380" s="154" t="n">
        <v>14</v>
      </c>
      <c r="B380" s="181">
        <f>IF(INDEX(MO_SNA_IsHistoricalPeriod,,MATCH(F380,MO_Common_ColumnHeader,0)),"Historical","Forward")</f>
        <v/>
      </c>
      <c r="C380" s="171" t="n"/>
      <c r="D380" s="188" t="inlineStr">
        <is>
          <t>GAAP Operating Expenses</t>
        </is>
      </c>
      <c r="E380" s="182" t="n"/>
      <c r="F380" s="181" t="inlineStr">
        <is>
          <t>Q1-2019</t>
        </is>
      </c>
      <c r="G380" s="181" t="n"/>
      <c r="H380" s="171" t="n"/>
      <c r="I380" s="183" t="n">
        <v>770</v>
      </c>
      <c r="J380" s="183" t="n">
        <v>770</v>
      </c>
      <c r="K380" s="183">
        <f>AVERAGE(I380:J380)</f>
        <v/>
      </c>
      <c r="L380" s="171" t="n"/>
      <c r="M380" s="181">
        <f>IF(INDEX(MO_SNA_IsHistoricalPeriod,,MATCH(F380,MO_Common_ColumnHeader,0)),"Actual","Estimate")</f>
        <v/>
      </c>
      <c r="N380" s="183">
        <f>INDEX(MO_RIS_RD,0,MATCH(F380,MO_Common_ColumnHeader,0))+INDEX(MO_RIS_SGA,0,MATCH(F380,MO_Common_ColumnHeader,0))</f>
        <v/>
      </c>
      <c r="O380" s="171" t="n"/>
      <c r="P380" s="189">
        <f>IF(ISNUMBER(N380),N380-K380,"N/A")</f>
        <v/>
      </c>
      <c r="Q380" s="190">
        <f>IFERROR(IF(ISNUMBER(N380),(N380-K380)/ABS(K380),"N/A"),"N/A")</f>
        <v/>
      </c>
      <c r="R380" s="171" t="n"/>
      <c r="S380" s="184" t="n">
        <v>43139</v>
      </c>
      <c r="T380" s="191" t="inlineStr">
        <is>
          <t>Press Release</t>
        </is>
      </c>
      <c r="U380" s="171" t="n"/>
    </row>
    <row r="381">
      <c r="A381" s="154" t="n">
        <v>13</v>
      </c>
      <c r="B381" s="181">
        <f>IF(INDEX(MO_SNA_IsHistoricalPeriod,,MATCH(F381,MO_Common_ColumnHeader,0)),"Historical","Forward")</f>
        <v/>
      </c>
      <c r="C381" s="171" t="n"/>
      <c r="D381" s="188">
        <f>INDEX(INDIRECT(E381),0,COLUMN(MO_Common_Column_A))</f>
        <v/>
      </c>
      <c r="E381" s="182" t="inlineStr">
        <is>
          <t>MO_OS_OPEX</t>
        </is>
      </c>
      <c r="F381" s="181" t="inlineStr">
        <is>
          <t>Q1-2019</t>
        </is>
      </c>
      <c r="G381" s="181" t="n"/>
      <c r="H381" s="171" t="n"/>
      <c r="I381" s="183" t="n">
        <v>645</v>
      </c>
      <c r="J381" s="183" t="n">
        <v>645</v>
      </c>
      <c r="K381" s="183">
        <f>AVERAGE(I381:J381)</f>
        <v/>
      </c>
      <c r="L381" s="171" t="n"/>
      <c r="M381" s="181">
        <f>IF(INDEX(MO_SNA_IsHistoricalPeriod,,MATCH(F381,MO_Common_ColumnHeader,0)),"Actual","Estimate")</f>
        <v/>
      </c>
      <c r="N381" s="183">
        <f>IFERROR(INDEX(INDIRECT(E381),0,MATCH(F381,MO_Common_ColumnHeader,0)),"N/A")</f>
        <v/>
      </c>
      <c r="O381" s="171" t="n"/>
      <c r="P381" s="189">
        <f>IF(ISNUMBER(N381),N381-K381,"N/A")</f>
        <v/>
      </c>
      <c r="Q381" s="190">
        <f>IFERROR(IF(ISNUMBER(N381),(N381-K381)/ABS(K381),"N/A"),"N/A")</f>
        <v/>
      </c>
      <c r="R381" s="171" t="n"/>
      <c r="S381" s="184" t="n">
        <v>43139</v>
      </c>
      <c r="T381" s="191" t="inlineStr">
        <is>
          <t>Press Release</t>
        </is>
      </c>
      <c r="U381" s="171" t="n"/>
    </row>
    <row r="382">
      <c r="A382" s="154" t="n">
        <v>12</v>
      </c>
      <c r="B382" s="181">
        <f>IF(INDEX(MO_SNA_IsHistoricalPeriod,,MATCH(F382,MO_Common_ColumnHeader,0)),"Historical","Forward")</f>
        <v/>
      </c>
      <c r="C382" s="171" t="n"/>
      <c r="D382" s="188" t="inlineStr">
        <is>
          <t>GAAP Tax Rate</t>
        </is>
      </c>
      <c r="E382" s="182" t="inlineStr">
        <is>
          <t>MO_RIS_TaxRate</t>
        </is>
      </c>
      <c r="F382" s="181" t="inlineStr">
        <is>
          <t>Q1-2019</t>
        </is>
      </c>
      <c r="G382" s="181" t="n"/>
      <c r="H382" s="171" t="n"/>
      <c r="I382" s="185" t="n">
        <v>0.11</v>
      </c>
      <c r="J382" s="185" t="n">
        <v>0.13</v>
      </c>
      <c r="K382" s="185">
        <f>AVERAGE(I382:J382)</f>
        <v/>
      </c>
      <c r="L382" s="171" t="n"/>
      <c r="M382" s="181">
        <f>IF(INDEX(MO_SNA_IsHistoricalPeriod,,MATCH(F382,MO_Common_ColumnHeader,0)),"Actual","Estimate")</f>
        <v/>
      </c>
      <c r="N382" s="185">
        <f>IFERROR(INDEX(INDIRECT(E382),0,MATCH(F382,MO_Common_ColumnHeader,0)),"N/A")</f>
        <v/>
      </c>
      <c r="O382" s="171" t="n"/>
      <c r="P382" s="190">
        <f>IF(ISNUMBER(N382),N382-K382,"N/A")</f>
        <v/>
      </c>
      <c r="Q382" s="190">
        <f>IFERROR(IF(ISNUMBER(N382),(N382-K382)/ABS(K382),"N/A"),"N/A")</f>
        <v/>
      </c>
      <c r="R382" s="171" t="n"/>
      <c r="S382" s="184" t="n">
        <v>43139</v>
      </c>
      <c r="T382" s="191" t="inlineStr">
        <is>
          <t>Press Release</t>
        </is>
      </c>
      <c r="U382" s="171" t="n"/>
    </row>
    <row r="383">
      <c r="A383" s="154" t="n">
        <v>11</v>
      </c>
      <c r="B383" s="181">
        <f>IF(INDEX(MO_SNA_IsHistoricalPeriod,,MATCH(F383,MO_Common_ColumnHeader,0)),"Historical","Forward")</f>
        <v/>
      </c>
      <c r="C383" s="171" t="n"/>
      <c r="D383" s="188">
        <f>INDEX(INDIRECT(E383),0,COLUMN(MO_Common_Column_A))</f>
        <v/>
      </c>
      <c r="E383" s="182" t="inlineStr">
        <is>
          <t>MO_RIS_TaxRate_NONGAAP</t>
        </is>
      </c>
      <c r="F383" s="181" t="inlineStr">
        <is>
          <t>Q1-2019</t>
        </is>
      </c>
      <c r="G383" s="181" t="n"/>
      <c r="H383" s="171" t="n"/>
      <c r="I383" s="185" t="n">
        <v>0.11</v>
      </c>
      <c r="J383" s="185" t="n">
        <v>0.13</v>
      </c>
      <c r="K383" s="185">
        <f>AVERAGE(I383:J383)</f>
        <v/>
      </c>
      <c r="L383" s="171" t="n"/>
      <c r="M383" s="181">
        <f>IF(INDEX(MO_SNA_IsHistoricalPeriod,,MATCH(F383,MO_Common_ColumnHeader,0)),"Actual","Estimate")</f>
        <v/>
      </c>
      <c r="N383" s="185">
        <f>IFERROR(INDEX(INDIRECT(E383),0,MATCH(F383,MO_Common_ColumnHeader,0)),"N/A")</f>
        <v/>
      </c>
      <c r="O383" s="171" t="n"/>
      <c r="P383" s="190">
        <f>IF(ISNUMBER(N383),N383-K383,"N/A")</f>
        <v/>
      </c>
      <c r="Q383" s="190">
        <f>IFERROR(IF(ISNUMBER(N383),(N383-K383)/ABS(K383),"N/A"),"N/A")</f>
        <v/>
      </c>
      <c r="R383" s="171" t="n"/>
      <c r="S383" s="184" t="n">
        <v>43139</v>
      </c>
      <c r="T383" s="191" t="inlineStr">
        <is>
          <t>Press Release</t>
        </is>
      </c>
      <c r="U383" s="171" t="n"/>
    </row>
    <row r="384">
      <c r="A384" s="154" t="n">
        <v>10</v>
      </c>
      <c r="B384" s="181">
        <f>IF(INDEX(MO_SNA_IsHistoricalPeriod,,MATCH(F384,MO_Common_ColumnHeader,0)),"Historical","Forward")</f>
        <v/>
      </c>
      <c r="C384" s="171" t="n"/>
      <c r="D384" s="188" t="inlineStr">
        <is>
          <t>SBC COGS as % of revenue</t>
        </is>
      </c>
      <c r="E384" s="182" t="n"/>
      <c r="F384" s="181" t="inlineStr">
        <is>
          <t>Q1-2019</t>
        </is>
      </c>
      <c r="G384" s="181" t="n"/>
      <c r="H384" s="171" t="n"/>
      <c r="I384" s="185" t="n">
        <v>-0.003</v>
      </c>
      <c r="J384" s="185" t="n">
        <v>-0.003</v>
      </c>
      <c r="K384" s="185">
        <f>AVERAGE(I384:J384)</f>
        <v/>
      </c>
      <c r="L384" s="171" t="n"/>
      <c r="M384" s="181">
        <f>IF(INDEX(MO_SNA_IsHistoricalPeriod,,MATCH(F384,MO_Common_ColumnHeader,0)),"Actual","Estimate")</f>
        <v/>
      </c>
      <c r="N384" s="185">
        <f>(INDEX(MO_RIS_SBC_COGS,0,MATCH(F384,MO_Common_ColumnHeader,0))+INDEX(z_A7FLSL0150_MO_RIS_AcquisitionrelatedcostsCOGS,0,MATCH(F384,MO_Common_ColumnHeader,0))+INDEX(MO_RIS_COGS_Adjustments,0,MATCH(F384,MO_Common_ColumnHeader,0)))/INDEX(MO_RIS_REV,0,MATCH(F384,MO_Common_ColumnHeader,0))</f>
        <v/>
      </c>
      <c r="O384" s="171" t="n"/>
      <c r="P384" s="190">
        <f>IF(ISNUMBER(N384),N384-K384,"N/A")</f>
        <v/>
      </c>
      <c r="Q384" s="190">
        <f>IFERROR(IF(ISNUMBER(N384),(N384-K384)/ABS(K384),"N/A"),"N/A")</f>
        <v/>
      </c>
      <c r="R384" s="171" t="n"/>
      <c r="S384" s="184" t="n">
        <v>43139</v>
      </c>
      <c r="T384" s="191" t="inlineStr">
        <is>
          <t>Press Release</t>
        </is>
      </c>
      <c r="U384" s="171" t="n"/>
    </row>
    <row r="385">
      <c r="A385" s="154" t="n">
        <v>9</v>
      </c>
      <c r="B385" s="181">
        <f>IF(INDEX(MO_SNA_IsHistoricalPeriod,,MATCH(F385,MO_Common_ColumnHeader,0)),"Historical","Forward")</f>
        <v/>
      </c>
      <c r="C385" s="171" t="n"/>
      <c r="D385" s="188" t="inlineStr">
        <is>
          <t>SBC, acquisition related costs and other costs (adjustments for Non-GAAP operating expenses)</t>
        </is>
      </c>
      <c r="E385" s="182" t="n"/>
      <c r="F385" s="181" t="inlineStr">
        <is>
          <t>Q1-2019</t>
        </is>
      </c>
      <c r="G385" s="181" t="n"/>
      <c r="H385" s="171" t="n"/>
      <c r="I385" s="183" t="n">
        <v>-125</v>
      </c>
      <c r="J385" s="183" t="n">
        <v>-125</v>
      </c>
      <c r="K385" s="183">
        <f>AVERAGE(I385:J385)</f>
        <v/>
      </c>
      <c r="L385" s="171" t="n"/>
      <c r="M385" s="181">
        <f>IF(INDEX(MO_SNA_IsHistoricalPeriod,,MATCH(F385,MO_Common_ColumnHeader,0)),"Actual","Estimate")</f>
        <v/>
      </c>
      <c r="N385" s="183">
        <f>-(-INDEX(MO_RIS_OtherOperating_NONGAAP,0,MATCH(F385,MO_Common_ColumnHeader,0))+INDEX(z_A7FLSL0150_MO_RIS_SBC_2,0,MATCH(F385,MO_Common_ColumnHeader,0))+INDEX(z_A7FLSL0150_MO_RIS_sbc_1,0,MATCH(F385,MO_Common_ColumnHeader,0))+INDEX(z_A7FLSL0150_MO_RIS_AcquisitionrelatedcostsRD,0,MATCH(F385,MO_Common_ColumnHeader,0))+INDEX(z_A7FLSL0150_MO_RIS_AcquisitionrelatedcostsSGA,0,MATCH(F385,MO_Common_ColumnHeader,0)))</f>
        <v/>
      </c>
      <c r="O385" s="171" t="n"/>
      <c r="P385" s="189">
        <f>IF(ISNUMBER(N385),N385-K385,"N/A")</f>
        <v/>
      </c>
      <c r="Q385" s="190">
        <f>IFERROR(IF(ISNUMBER(N385),(N385-K385)/ABS(K385),"N/A"),"N/A")</f>
        <v/>
      </c>
      <c r="R385" s="171" t="n"/>
      <c r="S385" s="184" t="n">
        <v>43139</v>
      </c>
      <c r="T385" s="191" t="inlineStr">
        <is>
          <t>Press Release</t>
        </is>
      </c>
      <c r="U385" s="171" t="n"/>
    </row>
    <row r="386">
      <c r="A386" s="154" t="n">
        <v>8</v>
      </c>
      <c r="B386" s="171" t="n"/>
      <c r="C386" s="171" t="n"/>
      <c r="D386" s="168" t="n"/>
      <c r="E386" s="169" t="n"/>
      <c r="F386" s="171" t="n"/>
      <c r="G386" s="171" t="n"/>
      <c r="H386" s="171" t="n"/>
      <c r="I386" s="1013" t="n"/>
      <c r="J386" s="1013" t="n"/>
      <c r="K386" s="1013" t="n"/>
      <c r="L386" s="171" t="n"/>
      <c r="M386" s="171" t="n"/>
      <c r="N386" s="1013" t="n"/>
      <c r="O386" s="171" t="n"/>
      <c r="P386" s="172" t="n"/>
      <c r="Q386" s="134" t="n"/>
      <c r="R386" s="171" t="n"/>
      <c r="S386" s="173" t="n"/>
      <c r="T386" s="192" t="n"/>
      <c r="U386" s="171" t="n"/>
    </row>
    <row r="387">
      <c r="A387" s="154" t="n">
        <v>7</v>
      </c>
      <c r="B387" s="181">
        <f>IF(INDEX(MO_SNA_IsHistoricalPeriod,,MATCH(F387,MO_Common_ColumnHeader,0)),"Historical","Forward")</f>
        <v/>
      </c>
      <c r="C387" s="171" t="n"/>
      <c r="D387" s="188">
        <f>INDEX(INDIRECT(E387),0,COLUMN(MO_Common_Column_A))</f>
        <v/>
      </c>
      <c r="E387" s="182" t="inlineStr">
        <is>
          <t>MO_RIS_REV</t>
        </is>
      </c>
      <c r="F387" s="181" t="inlineStr">
        <is>
          <t>Q4-2018</t>
        </is>
      </c>
      <c r="G387" s="181" t="n"/>
      <c r="H387" s="171" t="n"/>
      <c r="I387" s="183" t="n">
        <v>2597</v>
      </c>
      <c r="J387" s="183" t="n">
        <v>2703</v>
      </c>
      <c r="K387" s="183">
        <f>AVERAGE(I387:J387)</f>
        <v/>
      </c>
      <c r="L387" s="171" t="n"/>
      <c r="M387" s="181">
        <f>IF(INDEX(MO_SNA_IsHistoricalPeriod,,MATCH(F387,MO_Common_ColumnHeader,0)),"Actual","Estimate")</f>
        <v/>
      </c>
      <c r="N387" s="183">
        <f>IFERROR(INDEX(INDIRECT(E387),0,MATCH(F387,MO_Common_ColumnHeader,0)),"N/A")</f>
        <v/>
      </c>
      <c r="O387" s="171" t="n"/>
      <c r="P387" s="189">
        <f>IF(ISNUMBER(N387),N387-K387,"N/A")</f>
        <v/>
      </c>
      <c r="Q387" s="190">
        <f>IFERROR(IF(ISNUMBER(N387),(N387-K387)/ABS(K387),"N/A"),"N/A")</f>
        <v/>
      </c>
      <c r="R387" s="171" t="n"/>
      <c r="S387" s="184" t="n">
        <v>43048</v>
      </c>
      <c r="T387" s="191" t="inlineStr">
        <is>
          <t>Press Release</t>
        </is>
      </c>
      <c r="U387" s="171" t="n"/>
    </row>
    <row r="388">
      <c r="A388" s="154" t="n">
        <v>6</v>
      </c>
      <c r="B388" s="181">
        <f>IF(INDEX(MO_SNA_IsHistoricalPeriod,,MATCH(F388,MO_Common_ColumnHeader,0)),"Historical","Forward")</f>
        <v/>
      </c>
      <c r="C388" s="171" t="n"/>
      <c r="D388" s="188">
        <f>INDEX(INDIRECT(E388),0,COLUMN(MO_Common_Column_A))</f>
        <v/>
      </c>
      <c r="E388" s="182" t="inlineStr">
        <is>
          <t>MO_MA_GM</t>
        </is>
      </c>
      <c r="F388" s="181" t="inlineStr">
        <is>
          <t>Q4-2018</t>
        </is>
      </c>
      <c r="G388" s="181" t="n"/>
      <c r="H388" s="171" t="n"/>
      <c r="I388" s="185" t="n">
        <v>0.597</v>
      </c>
      <c r="J388" s="185" t="n">
        <v>0.597</v>
      </c>
      <c r="K388" s="185">
        <f>AVERAGE(I388:J388)</f>
        <v/>
      </c>
      <c r="L388" s="171" t="n"/>
      <c r="M388" s="181">
        <f>IF(INDEX(MO_SNA_IsHistoricalPeriod,,MATCH(F388,MO_Common_ColumnHeader,0)),"Actual","Estimate")</f>
        <v/>
      </c>
      <c r="N388" s="185">
        <f>IFERROR(INDEX(INDIRECT(E388),0,MATCH(F388,MO_Common_ColumnHeader,0)),"N/A")</f>
        <v/>
      </c>
      <c r="O388" s="171" t="n"/>
      <c r="P388" s="190">
        <f>IF(ISNUMBER(N388),N388-K388,"N/A")</f>
        <v/>
      </c>
      <c r="Q388" s="190">
        <f>IFERROR(IF(ISNUMBER(N388),(N388-K388)/ABS(K388),"N/A"),"N/A")</f>
        <v/>
      </c>
      <c r="R388" s="171" t="n"/>
      <c r="S388" s="184" t="n">
        <v>43048</v>
      </c>
      <c r="T388" s="191" t="inlineStr">
        <is>
          <t>Press Release</t>
        </is>
      </c>
      <c r="U388" s="171" t="n"/>
    </row>
    <row r="389">
      <c r="A389" s="154" t="n">
        <v>5</v>
      </c>
      <c r="B389" s="181">
        <f>IF(INDEX(MO_SNA_IsHistoricalPeriod,,MATCH(F389,MO_Common_ColumnHeader,0)),"Historical","Forward")</f>
        <v/>
      </c>
      <c r="C389" s="171" t="n"/>
      <c r="D389" s="188">
        <f>INDEX(INDIRECT(E389),0,COLUMN(MO_Common_Column_A))</f>
        <v/>
      </c>
      <c r="E389" s="182" t="inlineStr">
        <is>
          <t>MO_MA_GM_NONGAAP</t>
        </is>
      </c>
      <c r="F389" s="181" t="inlineStr">
        <is>
          <t>Q4-2018</t>
        </is>
      </c>
      <c r="G389" s="181" t="n"/>
      <c r="H389" s="171" t="n"/>
      <c r="I389" s="185" t="n">
        <v>0.6</v>
      </c>
      <c r="J389" s="185" t="n">
        <v>0.6</v>
      </c>
      <c r="K389" s="185">
        <f>AVERAGE(I389:J389)</f>
        <v/>
      </c>
      <c r="L389" s="171" t="n"/>
      <c r="M389" s="181">
        <f>IF(INDEX(MO_SNA_IsHistoricalPeriod,,MATCH(F389,MO_Common_ColumnHeader,0)),"Actual","Estimate")</f>
        <v/>
      </c>
      <c r="N389" s="185">
        <f>IFERROR(INDEX(INDIRECT(E389),0,MATCH(F389,MO_Common_ColumnHeader,0)),"N/A")</f>
        <v/>
      </c>
      <c r="O389" s="171" t="n"/>
      <c r="P389" s="190">
        <f>IF(ISNUMBER(N389),N389-K389,"N/A")</f>
        <v/>
      </c>
      <c r="Q389" s="190">
        <f>IFERROR(IF(ISNUMBER(N389),(N389-K389)/ABS(K389),"N/A"),"N/A")</f>
        <v/>
      </c>
      <c r="R389" s="171" t="n"/>
      <c r="S389" s="184" t="n">
        <v>43048</v>
      </c>
      <c r="T389" s="191" t="inlineStr">
        <is>
          <t>Press Release</t>
        </is>
      </c>
      <c r="U389" s="171" t="n"/>
    </row>
    <row r="390">
      <c r="A390" s="154" t="n">
        <v>4</v>
      </c>
      <c r="B390" s="181">
        <f>IF(INDEX(MO_SNA_IsHistoricalPeriod,,MATCH(F390,MO_Common_ColumnHeader,0)),"Historical","Forward")</f>
        <v/>
      </c>
      <c r="C390" s="171" t="n"/>
      <c r="D390" s="188" t="inlineStr">
        <is>
          <t>GAAP Operating Expenses</t>
        </is>
      </c>
      <c r="E390" s="182" t="n"/>
      <c r="F390" s="181" t="inlineStr">
        <is>
          <t>Q4-2018</t>
        </is>
      </c>
      <c r="G390" s="181" t="n"/>
      <c r="H390" s="171" t="n"/>
      <c r="I390" s="183" t="n">
        <v>722</v>
      </c>
      <c r="J390" s="183" t="n">
        <v>722</v>
      </c>
      <c r="K390" s="183">
        <f>AVERAGE(I390:J390)</f>
        <v/>
      </c>
      <c r="L390" s="171" t="n"/>
      <c r="M390" s="181">
        <f>IF(INDEX(MO_SNA_IsHistoricalPeriod,,MATCH(F390,MO_Common_ColumnHeader,0)),"Actual","Estimate")</f>
        <v/>
      </c>
      <c r="N390" s="183">
        <f>INDEX(MO_RIS_RD,0,MATCH(F390,MO_Common_ColumnHeader,0))+INDEX(MO_RIS_SGA,0,MATCH(F390,MO_Common_ColumnHeader,0))</f>
        <v/>
      </c>
      <c r="O390" s="171" t="n"/>
      <c r="P390" s="189">
        <f>IF(ISNUMBER(N390),N390-K390,"N/A")</f>
        <v/>
      </c>
      <c r="Q390" s="190">
        <f>IFERROR(IF(ISNUMBER(N390),(N390-K390)/ABS(K390),"N/A"),"N/A")</f>
        <v/>
      </c>
      <c r="R390" s="171" t="n"/>
      <c r="S390" s="184" t="n">
        <v>43048</v>
      </c>
      <c r="T390" s="191" t="inlineStr">
        <is>
          <t>Press Release</t>
        </is>
      </c>
      <c r="U390" s="171" t="n"/>
    </row>
    <row r="391">
      <c r="A391" s="154" t="n">
        <v>3</v>
      </c>
      <c r="B391" s="181">
        <f>IF(INDEX(MO_SNA_IsHistoricalPeriod,,MATCH(F391,MO_Common_ColumnHeader,0)),"Historical","Forward")</f>
        <v/>
      </c>
      <c r="C391" s="171" t="n"/>
      <c r="D391" s="188">
        <f>INDEX(INDIRECT(E391),0,COLUMN(MO_Common_Column_A))</f>
        <v/>
      </c>
      <c r="E391" s="182" t="inlineStr">
        <is>
          <t>MO_OS_OPEX</t>
        </is>
      </c>
      <c r="F391" s="181" t="inlineStr">
        <is>
          <t>Q4-2018</t>
        </is>
      </c>
      <c r="G391" s="181" t="n"/>
      <c r="H391" s="171" t="n"/>
      <c r="I391" s="183" t="n">
        <v>600</v>
      </c>
      <c r="J391" s="183" t="n">
        <v>600</v>
      </c>
      <c r="K391" s="183">
        <f>AVERAGE(I391:J391)</f>
        <v/>
      </c>
      <c r="L391" s="171" t="n"/>
      <c r="M391" s="181">
        <f>IF(INDEX(MO_SNA_IsHistoricalPeriod,,MATCH(F391,MO_Common_ColumnHeader,0)),"Actual","Estimate")</f>
        <v/>
      </c>
      <c r="N391" s="183">
        <f>IFERROR(INDEX(INDIRECT(E391),0,MATCH(F391,MO_Common_ColumnHeader,0)),"N/A")</f>
        <v/>
      </c>
      <c r="O391" s="171" t="n"/>
      <c r="P391" s="189">
        <f>IF(ISNUMBER(N391),N391-K391,"N/A")</f>
        <v/>
      </c>
      <c r="Q391" s="190">
        <f>IFERROR(IF(ISNUMBER(N391),(N391-K391)/ABS(K391),"N/A"),"N/A")</f>
        <v/>
      </c>
      <c r="R391" s="171" t="n"/>
      <c r="S391" s="184" t="n">
        <v>43048</v>
      </c>
      <c r="T391" s="191" t="inlineStr">
        <is>
          <t>Press Release</t>
        </is>
      </c>
      <c r="U391" s="171" t="n"/>
    </row>
    <row r="392">
      <c r="A392" s="154" t="n">
        <v>2</v>
      </c>
      <c r="B392" s="181">
        <f>IF(INDEX(MO_SNA_IsHistoricalPeriod,,MATCH(F392,MO_Common_ColumnHeader,0)),"Historical","Forward")</f>
        <v/>
      </c>
      <c r="C392" s="171" t="n"/>
      <c r="D392" s="188" t="inlineStr">
        <is>
          <t>GAAP Tax Rate</t>
        </is>
      </c>
      <c r="E392" s="182" t="inlineStr">
        <is>
          <t>MO_RIS_TaxRate</t>
        </is>
      </c>
      <c r="F392" s="181" t="inlineStr">
        <is>
          <t>Q4-2018</t>
        </is>
      </c>
      <c r="G392" s="181" t="n"/>
      <c r="H392" s="171" t="n"/>
      <c r="I392" s="185" t="n">
        <v>0.175</v>
      </c>
      <c r="J392" s="185" t="n">
        <v>0.175</v>
      </c>
      <c r="K392" s="185">
        <f>AVERAGE(I392:J392)</f>
        <v/>
      </c>
      <c r="L392" s="171" t="n"/>
      <c r="M392" s="181">
        <f>IF(INDEX(MO_SNA_IsHistoricalPeriod,,MATCH(F392,MO_Common_ColumnHeader,0)),"Actual","Estimate")</f>
        <v/>
      </c>
      <c r="N392" s="185">
        <f>IFERROR(INDEX(INDIRECT(E392),0,MATCH(F392,MO_Common_ColumnHeader,0)),"N/A")</f>
        <v/>
      </c>
      <c r="O392" s="171" t="n"/>
      <c r="P392" s="190">
        <f>IF(ISNUMBER(N392),N392-K392,"N/A")</f>
        <v/>
      </c>
      <c r="Q392" s="190">
        <f>IFERROR(IF(ISNUMBER(N392),(N392-K392)/ABS(K392),"N/A"),"N/A")</f>
        <v/>
      </c>
      <c r="R392" s="171" t="n"/>
      <c r="S392" s="184" t="n">
        <v>43048</v>
      </c>
      <c r="T392" s="191" t="inlineStr">
        <is>
          <t>Press Release</t>
        </is>
      </c>
      <c r="U392" s="171" t="n"/>
    </row>
    <row r="393">
      <c r="A393" s="154" t="n">
        <v>1</v>
      </c>
      <c r="B393" s="181">
        <f>IF(INDEX(MO_SNA_IsHistoricalPeriod,,MATCH(F393,MO_Common_ColumnHeader,0)),"Historical","Forward")</f>
        <v/>
      </c>
      <c r="C393" s="171" t="n"/>
      <c r="D393" s="188">
        <f>INDEX(INDIRECT(E393),0,COLUMN(MO_Common_Column_A))</f>
        <v/>
      </c>
      <c r="E393" s="182" t="inlineStr">
        <is>
          <t>MO_RIS_TaxRate_NONGAAP</t>
        </is>
      </c>
      <c r="F393" s="181" t="inlineStr">
        <is>
          <t>Q4-2018</t>
        </is>
      </c>
      <c r="G393" s="181" t="n"/>
      <c r="H393" s="171" t="n"/>
      <c r="I393" s="185" t="n">
        <v>0.175</v>
      </c>
      <c r="J393" s="185" t="n">
        <v>0.175</v>
      </c>
      <c r="K393" s="185">
        <f>AVERAGE(I393:J393)</f>
        <v/>
      </c>
      <c r="L393" s="171" t="n"/>
      <c r="M393" s="181">
        <f>IF(INDEX(MO_SNA_IsHistoricalPeriod,,MATCH(F393,MO_Common_ColumnHeader,0)),"Actual","Estimate")</f>
        <v/>
      </c>
      <c r="N393" s="185">
        <f>IFERROR(INDEX(INDIRECT(E393),0,MATCH(F393,MO_Common_ColumnHeader,0)),"N/A")</f>
        <v/>
      </c>
      <c r="O393" s="171" t="n"/>
      <c r="P393" s="190">
        <f>IF(ISNUMBER(N393),N393-K393,"N/A")</f>
        <v/>
      </c>
      <c r="Q393" s="190">
        <f>IFERROR(IF(ISNUMBER(N393),(N393-K393)/ABS(K393),"N/A"),"N/A")</f>
        <v/>
      </c>
      <c r="R393" s="171" t="n"/>
      <c r="S393" s="184" t="n">
        <v>43048</v>
      </c>
      <c r="T393" s="191" t="inlineStr">
        <is>
          <t>Press Release</t>
        </is>
      </c>
      <c r="U393" s="171" t="n"/>
    </row>
    <row r="394">
      <c r="A394" s="154" t="n">
        <v>0</v>
      </c>
      <c r="B394" s="171" t="n"/>
      <c r="C394" s="171" t="n"/>
      <c r="D394" s="171" t="n"/>
      <c r="E394" s="169" t="n"/>
      <c r="F394" s="171" t="n"/>
      <c r="G394" s="171" t="n"/>
      <c r="H394" s="171" t="n"/>
      <c r="I394" s="1013" t="n"/>
      <c r="J394" s="1013" t="n"/>
      <c r="K394" s="1013" t="n"/>
      <c r="L394" s="171" t="n"/>
      <c r="M394" s="171" t="n"/>
      <c r="N394" s="1013" t="n"/>
      <c r="O394" s="171" t="n"/>
      <c r="P394" s="176" t="n"/>
      <c r="Q394" s="140" t="n"/>
      <c r="R394" s="171" t="n"/>
      <c r="S394" s="173" t="n"/>
      <c r="T394" s="174" t="n"/>
      <c r="U394" s="171" t="n"/>
    </row>
  </sheetData>
  <autoFilter ref="A5:U5"/>
  <conditionalFormatting sqref="Q1:Q3 Q5 Q105 Q115 Q184:Q185 Q366:Q371 Q376:Q382 Q394:Q396">
    <cfRule type="colorScale" priority="209">
      <colorScale>
        <cfvo type="num" val="-0.1"/>
        <cfvo type="num" val="0"/>
        <cfvo type="num" val="0.1"/>
        <color rgb="FFF8696B"/>
        <color rgb="FFFFEB84"/>
        <color rgb="FF63BE7B"/>
      </colorScale>
    </cfRule>
  </conditionalFormatting>
  <conditionalFormatting sqref="Q6:Q10 Q13">
    <cfRule type="colorScale" priority="4">
      <colorScale>
        <cfvo type="num" val="-0.1"/>
        <cfvo type="num" val="0"/>
        <cfvo type="num" val="0.1"/>
        <color rgb="FFF8696B"/>
        <color rgb="FFFFEB84"/>
        <color rgb="FF63BE7B"/>
      </colorScale>
    </cfRule>
  </conditionalFormatting>
  <conditionalFormatting sqref="Q11">
    <cfRule type="colorScale" priority="1">
      <colorScale>
        <cfvo type="num" val="-0.1"/>
        <cfvo type="num" val="0"/>
        <cfvo type="num" val="0.1"/>
        <color rgb="FFF8696B"/>
        <color rgb="FFFFEB84"/>
        <color rgb="FF63BE7B"/>
      </colorScale>
    </cfRule>
  </conditionalFormatting>
  <conditionalFormatting sqref="Q12">
    <cfRule type="colorScale" priority="2">
      <colorScale>
        <cfvo type="num" val="-0.1"/>
        <cfvo type="num" val="0"/>
        <cfvo type="num" val="0.1"/>
        <color rgb="FFF8696B"/>
        <color rgb="FFFFEB84"/>
        <color rgb="FF63BE7B"/>
      </colorScale>
    </cfRule>
  </conditionalFormatting>
  <conditionalFormatting sqref="Q14">
    <cfRule type="colorScale" priority="3">
      <colorScale>
        <cfvo type="num" val="-0.1"/>
        <cfvo type="num" val="0"/>
        <cfvo type="num" val="0.1"/>
        <color rgb="FFF8696B"/>
        <color rgb="FFFFEB84"/>
        <color rgb="FF63BE7B"/>
      </colorScale>
    </cfRule>
  </conditionalFormatting>
  <conditionalFormatting sqref="Q15">
    <cfRule type="colorScale" priority="5">
      <colorScale>
        <cfvo type="num" val="-0.1"/>
        <cfvo type="num" val="0"/>
        <cfvo type="num" val="0.1"/>
        <color rgb="FFF8696B"/>
        <color rgb="FFFFEB84"/>
        <color rgb="FF63BE7B"/>
      </colorScale>
    </cfRule>
  </conditionalFormatting>
  <conditionalFormatting sqref="Q16:Q20 Q23">
    <cfRule type="colorScale" priority="9">
      <colorScale>
        <cfvo type="num" val="-0.1"/>
        <cfvo type="num" val="0"/>
        <cfvo type="num" val="0.1"/>
        <color rgb="FFF8696B"/>
        <color rgb="FFFFEB84"/>
        <color rgb="FF63BE7B"/>
      </colorScale>
    </cfRule>
  </conditionalFormatting>
  <conditionalFormatting sqref="Q21">
    <cfRule type="colorScale" priority="6">
      <colorScale>
        <cfvo type="num" val="-0.1"/>
        <cfvo type="num" val="0"/>
        <cfvo type="num" val="0.1"/>
        <color rgb="FFF8696B"/>
        <color rgb="FFFFEB84"/>
        <color rgb="FF63BE7B"/>
      </colorScale>
    </cfRule>
  </conditionalFormatting>
  <conditionalFormatting sqref="Q22">
    <cfRule type="colorScale" priority="7">
      <colorScale>
        <cfvo type="num" val="-0.1"/>
        <cfvo type="num" val="0"/>
        <cfvo type="num" val="0.1"/>
        <color rgb="FFF8696B"/>
        <color rgb="FFFFEB84"/>
        <color rgb="FF63BE7B"/>
      </colorScale>
    </cfRule>
  </conditionalFormatting>
  <conditionalFormatting sqref="Q24">
    <cfRule type="colorScale" priority="8">
      <colorScale>
        <cfvo type="num" val="-0.1"/>
        <cfvo type="num" val="0"/>
        <cfvo type="num" val="0.1"/>
        <color rgb="FFF8696B"/>
        <color rgb="FFFFEB84"/>
        <color rgb="FF63BE7B"/>
      </colorScale>
    </cfRule>
  </conditionalFormatting>
  <conditionalFormatting sqref="Q25">
    <cfRule type="colorScale" priority="10">
      <colorScale>
        <cfvo type="num" val="-0.1"/>
        <cfvo type="num" val="0"/>
        <cfvo type="num" val="0.1"/>
        <color rgb="FFF8696B"/>
        <color rgb="FFFFEB84"/>
        <color rgb="FF63BE7B"/>
      </colorScale>
    </cfRule>
  </conditionalFormatting>
  <conditionalFormatting sqref="Q26:Q30 Q33">
    <cfRule type="colorScale" priority="14">
      <colorScale>
        <cfvo type="num" val="-0.1"/>
        <cfvo type="num" val="0"/>
        <cfvo type="num" val="0.1"/>
        <color rgb="FFF8696B"/>
        <color rgb="FFFFEB84"/>
        <color rgb="FF63BE7B"/>
      </colorScale>
    </cfRule>
  </conditionalFormatting>
  <conditionalFormatting sqref="Q31">
    <cfRule type="colorScale" priority="11">
      <colorScale>
        <cfvo type="num" val="-0.1"/>
        <cfvo type="num" val="0"/>
        <cfvo type="num" val="0.1"/>
        <color rgb="FFF8696B"/>
        <color rgb="FFFFEB84"/>
        <color rgb="FF63BE7B"/>
      </colorScale>
    </cfRule>
  </conditionalFormatting>
  <conditionalFormatting sqref="Q32">
    <cfRule type="colorScale" priority="12">
      <colorScale>
        <cfvo type="num" val="-0.1"/>
        <cfvo type="num" val="0"/>
        <cfvo type="num" val="0.1"/>
        <color rgb="FFF8696B"/>
        <color rgb="FFFFEB84"/>
        <color rgb="FF63BE7B"/>
      </colorScale>
    </cfRule>
  </conditionalFormatting>
  <conditionalFormatting sqref="Q34">
    <cfRule type="colorScale" priority="13">
      <colorScale>
        <cfvo type="num" val="-0.1"/>
        <cfvo type="num" val="0"/>
        <cfvo type="num" val="0.1"/>
        <color rgb="FFF8696B"/>
        <color rgb="FFFFEB84"/>
        <color rgb="FF63BE7B"/>
      </colorScale>
    </cfRule>
  </conditionalFormatting>
  <conditionalFormatting sqref="Q35">
    <cfRule type="colorScale" priority="15">
      <colorScale>
        <cfvo type="num" val="-0.1"/>
        <cfvo type="num" val="0"/>
        <cfvo type="num" val="0.1"/>
        <color rgb="FFF8696B"/>
        <color rgb="FFFFEB84"/>
        <color rgb="FF63BE7B"/>
      </colorScale>
    </cfRule>
  </conditionalFormatting>
  <conditionalFormatting sqref="Q36:Q40 Q43">
    <cfRule type="colorScale" priority="19">
      <colorScale>
        <cfvo type="num" val="-0.1"/>
        <cfvo type="num" val="0"/>
        <cfvo type="num" val="0.1"/>
        <color rgb="FFF8696B"/>
        <color rgb="FFFFEB84"/>
        <color rgb="FF63BE7B"/>
      </colorScale>
    </cfRule>
  </conditionalFormatting>
  <conditionalFormatting sqref="Q41">
    <cfRule type="colorScale" priority="16">
      <colorScale>
        <cfvo type="num" val="-0.1"/>
        <cfvo type="num" val="0"/>
        <cfvo type="num" val="0.1"/>
        <color rgb="FFF8696B"/>
        <color rgb="FFFFEB84"/>
        <color rgb="FF63BE7B"/>
      </colorScale>
    </cfRule>
  </conditionalFormatting>
  <conditionalFormatting sqref="Q42">
    <cfRule type="colorScale" priority="17">
      <colorScale>
        <cfvo type="num" val="-0.1"/>
        <cfvo type="num" val="0"/>
        <cfvo type="num" val="0.1"/>
        <color rgb="FFF8696B"/>
        <color rgb="FFFFEB84"/>
        <color rgb="FF63BE7B"/>
      </colorScale>
    </cfRule>
  </conditionalFormatting>
  <conditionalFormatting sqref="Q44">
    <cfRule type="colorScale" priority="18">
      <colorScale>
        <cfvo type="num" val="-0.1"/>
        <cfvo type="num" val="0"/>
        <cfvo type="num" val="0.1"/>
        <color rgb="FFF8696B"/>
        <color rgb="FFFFEB84"/>
        <color rgb="FF63BE7B"/>
      </colorScale>
    </cfRule>
  </conditionalFormatting>
  <conditionalFormatting sqref="Q45">
    <cfRule type="colorScale" priority="20">
      <colorScale>
        <cfvo type="num" val="-0.1"/>
        <cfvo type="num" val="0"/>
        <cfvo type="num" val="0.1"/>
        <color rgb="FFF8696B"/>
        <color rgb="FFFFEB84"/>
        <color rgb="FF63BE7B"/>
      </colorScale>
    </cfRule>
  </conditionalFormatting>
  <conditionalFormatting sqref="Q46:Q50 Q53">
    <cfRule type="colorScale" priority="25">
      <colorScale>
        <cfvo type="num" val="-0.1"/>
        <cfvo type="num" val="0"/>
        <cfvo type="num" val="0.1"/>
        <color rgb="FFF8696B"/>
        <color rgb="FFFFEB84"/>
        <color rgb="FF63BE7B"/>
      </colorScale>
    </cfRule>
  </conditionalFormatting>
  <conditionalFormatting sqref="Q51">
    <cfRule type="colorScale" priority="22">
      <colorScale>
        <cfvo type="num" val="-0.1"/>
        <cfvo type="num" val="0"/>
        <cfvo type="num" val="0.1"/>
        <color rgb="FFF8696B"/>
        <color rgb="FFFFEB84"/>
        <color rgb="FF63BE7B"/>
      </colorScale>
    </cfRule>
  </conditionalFormatting>
  <conditionalFormatting sqref="Q52">
    <cfRule type="colorScale" priority="23">
      <colorScale>
        <cfvo type="num" val="-0.1"/>
        <cfvo type="num" val="0"/>
        <cfvo type="num" val="0.1"/>
        <color rgb="FFF8696B"/>
        <color rgb="FFFFEB84"/>
        <color rgb="FF63BE7B"/>
      </colorScale>
    </cfRule>
  </conditionalFormatting>
  <conditionalFormatting sqref="Q54">
    <cfRule type="colorScale" priority="24">
      <colorScale>
        <cfvo type="num" val="-0.1"/>
        <cfvo type="num" val="0"/>
        <cfvo type="num" val="0.1"/>
        <color rgb="FFF8696B"/>
        <color rgb="FFFFEB84"/>
        <color rgb="FF63BE7B"/>
      </colorScale>
    </cfRule>
  </conditionalFormatting>
  <conditionalFormatting sqref="Q55">
    <cfRule type="colorScale" priority="26">
      <colorScale>
        <cfvo type="num" val="-0.1"/>
        <cfvo type="num" val="0"/>
        <cfvo type="num" val="0.1"/>
        <color rgb="FFF8696B"/>
        <color rgb="FFFFEB84"/>
        <color rgb="FF63BE7B"/>
      </colorScale>
    </cfRule>
  </conditionalFormatting>
  <conditionalFormatting sqref="Q56:Q59 Q61:Q65 Q68">
    <cfRule type="colorScale" priority="31">
      <colorScale>
        <cfvo type="num" val="-0.1"/>
        <cfvo type="num" val="0"/>
        <cfvo type="num" val="0.1"/>
        <color rgb="FFF8696B"/>
        <color rgb="FFFFEB84"/>
        <color rgb="FF63BE7B"/>
      </colorScale>
    </cfRule>
  </conditionalFormatting>
  <conditionalFormatting sqref="Q60">
    <cfRule type="colorScale" priority="27">
      <colorScale>
        <cfvo type="num" val="-0.1"/>
        <cfvo type="num" val="0"/>
        <cfvo type="num" val="0.1"/>
        <color rgb="FFF8696B"/>
        <color rgb="FFFFEB84"/>
        <color rgb="FF63BE7B"/>
      </colorScale>
    </cfRule>
  </conditionalFormatting>
  <conditionalFormatting sqref="Q66">
    <cfRule type="colorScale" priority="28">
      <colorScale>
        <cfvo type="num" val="-0.1"/>
        <cfvo type="num" val="0"/>
        <cfvo type="num" val="0.1"/>
        <color rgb="FFF8696B"/>
        <color rgb="FFFFEB84"/>
        <color rgb="FF63BE7B"/>
      </colorScale>
    </cfRule>
  </conditionalFormatting>
  <conditionalFormatting sqref="Q67">
    <cfRule type="colorScale" priority="29">
      <colorScale>
        <cfvo type="num" val="-0.1"/>
        <cfvo type="num" val="0"/>
        <cfvo type="num" val="0.1"/>
        <color rgb="FFF8696B"/>
        <color rgb="FFFFEB84"/>
        <color rgb="FF63BE7B"/>
      </colorScale>
    </cfRule>
  </conditionalFormatting>
  <conditionalFormatting sqref="Q69">
    <cfRule type="colorScale" priority="30">
      <colorScale>
        <cfvo type="num" val="-0.1"/>
        <cfvo type="num" val="0"/>
        <cfvo type="num" val="0.1"/>
        <color rgb="FFF8696B"/>
        <color rgb="FFFFEB84"/>
        <color rgb="FF63BE7B"/>
      </colorScale>
    </cfRule>
  </conditionalFormatting>
  <conditionalFormatting sqref="Q70">
    <cfRule type="colorScale" priority="32">
      <colorScale>
        <cfvo type="num" val="-0.1"/>
        <cfvo type="num" val="0"/>
        <cfvo type="num" val="0.1"/>
        <color rgb="FFF8696B"/>
        <color rgb="FFFFEB84"/>
        <color rgb="FF63BE7B"/>
      </colorScale>
    </cfRule>
  </conditionalFormatting>
  <conditionalFormatting sqref="Q71:Q74 Q76:Q80 Q83">
    <cfRule type="colorScale" priority="37">
      <colorScale>
        <cfvo type="num" val="-0.1"/>
        <cfvo type="num" val="0"/>
        <cfvo type="num" val="0.1"/>
        <color rgb="FFF8696B"/>
        <color rgb="FFFFEB84"/>
        <color rgb="FF63BE7B"/>
      </colorScale>
    </cfRule>
  </conditionalFormatting>
  <conditionalFormatting sqref="Q75">
    <cfRule type="colorScale" priority="33">
      <colorScale>
        <cfvo type="num" val="-0.1"/>
        <cfvo type="num" val="0"/>
        <cfvo type="num" val="0.1"/>
        <color rgb="FFF8696B"/>
        <color rgb="FFFFEB84"/>
        <color rgb="FF63BE7B"/>
      </colorScale>
    </cfRule>
  </conditionalFormatting>
  <conditionalFormatting sqref="Q81">
    <cfRule type="colorScale" priority="34">
      <colorScale>
        <cfvo type="num" val="-0.1"/>
        <cfvo type="num" val="0"/>
        <cfvo type="num" val="0.1"/>
        <color rgb="FFF8696B"/>
        <color rgb="FFFFEB84"/>
        <color rgb="FF63BE7B"/>
      </colorScale>
    </cfRule>
  </conditionalFormatting>
  <conditionalFormatting sqref="Q82">
    <cfRule type="colorScale" priority="35">
      <colorScale>
        <cfvo type="num" val="-0.1"/>
        <cfvo type="num" val="0"/>
        <cfvo type="num" val="0.1"/>
        <color rgb="FFF8696B"/>
        <color rgb="FFFFEB84"/>
        <color rgb="FF63BE7B"/>
      </colorScale>
    </cfRule>
  </conditionalFormatting>
  <conditionalFormatting sqref="Q84">
    <cfRule type="colorScale" priority="36">
      <colorScale>
        <cfvo type="num" val="-0.1"/>
        <cfvo type="num" val="0"/>
        <cfvo type="num" val="0.1"/>
        <color rgb="FFF8696B"/>
        <color rgb="FFFFEB84"/>
        <color rgb="FF63BE7B"/>
      </colorScale>
    </cfRule>
  </conditionalFormatting>
  <conditionalFormatting sqref="Q85">
    <cfRule type="colorScale" priority="38">
      <colorScale>
        <cfvo type="num" val="-0.1"/>
        <cfvo type="num" val="0"/>
        <cfvo type="num" val="0.1"/>
        <color rgb="FFF8696B"/>
        <color rgb="FFFFEB84"/>
        <color rgb="FF63BE7B"/>
      </colorScale>
    </cfRule>
  </conditionalFormatting>
  <conditionalFormatting sqref="Q86:Q90 Q93">
    <cfRule type="colorScale" priority="42">
      <colorScale>
        <cfvo type="num" val="-0.1"/>
        <cfvo type="num" val="0"/>
        <cfvo type="num" val="0.1"/>
        <color rgb="FFF8696B"/>
        <color rgb="FFFFEB84"/>
        <color rgb="FF63BE7B"/>
      </colorScale>
    </cfRule>
  </conditionalFormatting>
  <conditionalFormatting sqref="Q91">
    <cfRule type="colorScale" priority="39">
      <colorScale>
        <cfvo type="num" val="-0.1"/>
        <cfvo type="num" val="0"/>
        <cfvo type="num" val="0.1"/>
        <color rgb="FFF8696B"/>
        <color rgb="FFFFEB84"/>
        <color rgb="FF63BE7B"/>
      </colorScale>
    </cfRule>
  </conditionalFormatting>
  <conditionalFormatting sqref="Q92">
    <cfRule type="colorScale" priority="40">
      <colorScale>
        <cfvo type="num" val="-0.1"/>
        <cfvo type="num" val="0"/>
        <cfvo type="num" val="0.1"/>
        <color rgb="FFF8696B"/>
        <color rgb="FFFFEB84"/>
        <color rgb="FF63BE7B"/>
      </colorScale>
    </cfRule>
  </conditionalFormatting>
  <conditionalFormatting sqref="Q94">
    <cfRule type="colorScale" priority="41">
      <colorScale>
        <cfvo type="num" val="-0.1"/>
        <cfvo type="num" val="0"/>
        <cfvo type="num" val="0.1"/>
        <color rgb="FFF8696B"/>
        <color rgb="FFFFEB84"/>
        <color rgb="FF63BE7B"/>
      </colorScale>
    </cfRule>
  </conditionalFormatting>
  <conditionalFormatting sqref="Q95">
    <cfRule type="colorScale" priority="43">
      <colorScale>
        <cfvo type="num" val="-0.1"/>
        <cfvo type="num" val="0"/>
        <cfvo type="num" val="0.1"/>
        <color rgb="FFF8696B"/>
        <color rgb="FFFFEB84"/>
        <color rgb="FF63BE7B"/>
      </colorScale>
    </cfRule>
  </conditionalFormatting>
  <conditionalFormatting sqref="Q96:Q100 Q103">
    <cfRule type="colorScale" priority="47">
      <colorScale>
        <cfvo type="num" val="-0.1"/>
        <cfvo type="num" val="0"/>
        <cfvo type="num" val="0.1"/>
        <color rgb="FFF8696B"/>
        <color rgb="FFFFEB84"/>
        <color rgb="FF63BE7B"/>
      </colorScale>
    </cfRule>
  </conditionalFormatting>
  <conditionalFormatting sqref="Q101">
    <cfRule type="colorScale" priority="44">
      <colorScale>
        <cfvo type="num" val="-0.1"/>
        <cfvo type="num" val="0"/>
        <cfvo type="num" val="0.1"/>
        <color rgb="FFF8696B"/>
        <color rgb="FFFFEB84"/>
        <color rgb="FF63BE7B"/>
      </colorScale>
    </cfRule>
  </conditionalFormatting>
  <conditionalFormatting sqref="Q102">
    <cfRule type="colorScale" priority="45">
      <colorScale>
        <cfvo type="num" val="-0.1"/>
        <cfvo type="num" val="0"/>
        <cfvo type="num" val="0.1"/>
        <color rgb="FFF8696B"/>
        <color rgb="FFFFEB84"/>
        <color rgb="FF63BE7B"/>
      </colorScale>
    </cfRule>
  </conditionalFormatting>
  <conditionalFormatting sqref="Q104">
    <cfRule type="colorScale" priority="46">
      <colorScale>
        <cfvo type="num" val="-0.1"/>
        <cfvo type="num" val="0"/>
        <cfvo type="num" val="0.1"/>
        <color rgb="FFF8696B"/>
        <color rgb="FFFFEB84"/>
        <color rgb="FF63BE7B"/>
      </colorScale>
    </cfRule>
  </conditionalFormatting>
  <conditionalFormatting sqref="Q106:Q110 Q113">
    <cfRule type="colorScale" priority="54">
      <colorScale>
        <cfvo type="num" val="-0.1"/>
        <cfvo type="num" val="0"/>
        <cfvo type="num" val="0.1"/>
        <color rgb="FFF8696B"/>
        <color rgb="FFFFEB84"/>
        <color rgb="FF63BE7B"/>
      </colorScale>
    </cfRule>
  </conditionalFormatting>
  <conditionalFormatting sqref="Q111">
    <cfRule type="colorScale" priority="51">
      <colorScale>
        <cfvo type="num" val="-0.1"/>
        <cfvo type="num" val="0"/>
        <cfvo type="num" val="0.1"/>
        <color rgb="FFF8696B"/>
        <color rgb="FFFFEB84"/>
        <color rgb="FF63BE7B"/>
      </colorScale>
    </cfRule>
  </conditionalFormatting>
  <conditionalFormatting sqref="Q112">
    <cfRule type="colorScale" priority="52">
      <colorScale>
        <cfvo type="num" val="-0.1"/>
        <cfvo type="num" val="0"/>
        <cfvo type="num" val="0.1"/>
        <color rgb="FFF8696B"/>
        <color rgb="FFFFEB84"/>
        <color rgb="FF63BE7B"/>
      </colorScale>
    </cfRule>
  </conditionalFormatting>
  <conditionalFormatting sqref="Q114">
    <cfRule type="colorScale" priority="53">
      <colorScale>
        <cfvo type="num" val="-0.1"/>
        <cfvo type="num" val="0"/>
        <cfvo type="num" val="0.1"/>
        <color rgb="FFF8696B"/>
        <color rgb="FFFFEB84"/>
        <color rgb="FF63BE7B"/>
      </colorScale>
    </cfRule>
  </conditionalFormatting>
  <conditionalFormatting sqref="Q116">
    <cfRule type="colorScale" priority="56">
      <colorScale>
        <cfvo type="num" val="-0.1"/>
        <cfvo type="num" val="0"/>
        <cfvo type="num" val="0.1"/>
        <color rgb="FFF8696B"/>
        <color rgb="FFFFEB84"/>
        <color rgb="FF63BE7B"/>
      </colorScale>
    </cfRule>
  </conditionalFormatting>
  <conditionalFormatting sqref="Q116:Q117">
    <cfRule type="colorScale" priority="57">
      <colorScale>
        <cfvo type="num" val="-0.1"/>
        <cfvo type="num" val="0"/>
        <cfvo type="num" val="0.1"/>
        <color rgb="FFF8696B"/>
        <color rgb="FFFFEB84"/>
        <color rgb="FF63BE7B"/>
      </colorScale>
    </cfRule>
  </conditionalFormatting>
  <conditionalFormatting sqref="Q118:Q122 Q125">
    <cfRule type="colorScale" priority="62">
      <colorScale>
        <cfvo type="num" val="-0.1"/>
        <cfvo type="num" val="0"/>
        <cfvo type="num" val="0.1"/>
        <color rgb="FFF8696B"/>
        <color rgb="FFFFEB84"/>
        <color rgb="FF63BE7B"/>
      </colorScale>
    </cfRule>
  </conditionalFormatting>
  <conditionalFormatting sqref="Q123">
    <cfRule type="colorScale" priority="59">
      <colorScale>
        <cfvo type="num" val="-0.1"/>
        <cfvo type="num" val="0"/>
        <cfvo type="num" val="0.1"/>
        <color rgb="FFF8696B"/>
        <color rgb="FFFFEB84"/>
        <color rgb="FF63BE7B"/>
      </colorScale>
    </cfRule>
  </conditionalFormatting>
  <conditionalFormatting sqref="Q124">
    <cfRule type="colorScale" priority="60">
      <colorScale>
        <cfvo type="num" val="-0.1"/>
        <cfvo type="num" val="0"/>
        <cfvo type="num" val="0.1"/>
        <color rgb="FFF8696B"/>
        <color rgb="FFFFEB84"/>
        <color rgb="FF63BE7B"/>
      </colorScale>
    </cfRule>
  </conditionalFormatting>
  <conditionalFormatting sqref="Q126">
    <cfRule type="colorScale" priority="61">
      <colorScale>
        <cfvo type="num" val="-0.1"/>
        <cfvo type="num" val="0"/>
        <cfvo type="num" val="0.1"/>
        <color rgb="FFF8696B"/>
        <color rgb="FFFFEB84"/>
        <color rgb="FF63BE7B"/>
      </colorScale>
    </cfRule>
  </conditionalFormatting>
  <conditionalFormatting sqref="Q127">
    <cfRule type="colorScale" priority="58">
      <colorScale>
        <cfvo type="num" val="-0.1"/>
        <cfvo type="num" val="0"/>
        <cfvo type="num" val="0.1"/>
        <color rgb="FFF8696B"/>
        <color rgb="FFFFEB84"/>
        <color rgb="FF63BE7B"/>
      </colorScale>
    </cfRule>
  </conditionalFormatting>
  <conditionalFormatting sqref="Q127:Q128">
    <cfRule type="colorScale" priority="63">
      <colorScale>
        <cfvo type="num" val="-0.1"/>
        <cfvo type="num" val="0"/>
        <cfvo type="num" val="0.1"/>
        <color rgb="FFF8696B"/>
        <color rgb="FFFFEB84"/>
        <color rgb="FF63BE7B"/>
      </colorScale>
    </cfRule>
  </conditionalFormatting>
  <conditionalFormatting sqref="Q129">
    <cfRule type="colorScale" priority="64">
      <colorScale>
        <cfvo type="num" val="-0.1"/>
        <cfvo type="num" val="0"/>
        <cfvo type="num" val="0.1"/>
        <color rgb="FFF8696B"/>
        <color rgb="FFFFEB84"/>
        <color rgb="FF63BE7B"/>
      </colorScale>
    </cfRule>
  </conditionalFormatting>
  <conditionalFormatting sqref="Q129:Q130">
    <cfRule type="colorScale" priority="65">
      <colorScale>
        <cfvo type="num" val="-0.1"/>
        <cfvo type="num" val="0"/>
        <cfvo type="num" val="0.1"/>
        <color rgb="FFF8696B"/>
        <color rgb="FFFFEB84"/>
        <color rgb="FF63BE7B"/>
      </colorScale>
    </cfRule>
  </conditionalFormatting>
  <conditionalFormatting sqref="Q131:Q135 Q138">
    <cfRule type="colorScale" priority="70">
      <colorScale>
        <cfvo type="num" val="-0.1"/>
        <cfvo type="num" val="0"/>
        <cfvo type="num" val="0.1"/>
        <color rgb="FFF8696B"/>
        <color rgb="FFFFEB84"/>
        <color rgb="FF63BE7B"/>
      </colorScale>
    </cfRule>
  </conditionalFormatting>
  <conditionalFormatting sqref="Q136">
    <cfRule type="colorScale" priority="67">
      <colorScale>
        <cfvo type="num" val="-0.1"/>
        <cfvo type="num" val="0"/>
        <cfvo type="num" val="0.1"/>
        <color rgb="FFF8696B"/>
        <color rgb="FFFFEB84"/>
        <color rgb="FF63BE7B"/>
      </colorScale>
    </cfRule>
  </conditionalFormatting>
  <conditionalFormatting sqref="Q137">
    <cfRule type="colorScale" priority="68">
      <colorScale>
        <cfvo type="num" val="-0.1"/>
        <cfvo type="num" val="0"/>
        <cfvo type="num" val="0.1"/>
        <color rgb="FFF8696B"/>
        <color rgb="FFFFEB84"/>
        <color rgb="FF63BE7B"/>
      </colorScale>
    </cfRule>
  </conditionalFormatting>
  <conditionalFormatting sqref="Q139">
    <cfRule type="colorScale" priority="69">
      <colorScale>
        <cfvo type="num" val="-0.1"/>
        <cfvo type="num" val="0"/>
        <cfvo type="num" val="0.1"/>
        <color rgb="FFF8696B"/>
        <color rgb="FFFFEB84"/>
        <color rgb="FF63BE7B"/>
      </colorScale>
    </cfRule>
  </conditionalFormatting>
  <conditionalFormatting sqref="Q140">
    <cfRule type="colorScale" priority="66">
      <colorScale>
        <cfvo type="num" val="-0.1"/>
        <cfvo type="num" val="0"/>
        <cfvo type="num" val="0.1"/>
        <color rgb="FFF8696B"/>
        <color rgb="FFFFEB84"/>
        <color rgb="FF63BE7B"/>
      </colorScale>
    </cfRule>
  </conditionalFormatting>
  <conditionalFormatting sqref="Q140:Q141">
    <cfRule type="colorScale" priority="71">
      <colorScale>
        <cfvo type="num" val="-0.1"/>
        <cfvo type="num" val="0"/>
        <cfvo type="num" val="0.1"/>
        <color rgb="FFF8696B"/>
        <color rgb="FFFFEB84"/>
        <color rgb="FF63BE7B"/>
      </colorScale>
    </cfRule>
  </conditionalFormatting>
  <conditionalFormatting sqref="Q142:Q146 Q149">
    <cfRule type="colorScale" priority="76">
      <colorScale>
        <cfvo type="num" val="-0.1"/>
        <cfvo type="num" val="0"/>
        <cfvo type="num" val="0.1"/>
        <color rgb="FFF8696B"/>
        <color rgb="FFFFEB84"/>
        <color rgb="FF63BE7B"/>
      </colorScale>
    </cfRule>
  </conditionalFormatting>
  <conditionalFormatting sqref="Q147">
    <cfRule type="colorScale" priority="73">
      <colorScale>
        <cfvo type="num" val="-0.1"/>
        <cfvo type="num" val="0"/>
        <cfvo type="num" val="0.1"/>
        <color rgb="FFF8696B"/>
        <color rgb="FFFFEB84"/>
        <color rgb="FF63BE7B"/>
      </colorScale>
    </cfRule>
  </conditionalFormatting>
  <conditionalFormatting sqref="Q148">
    <cfRule type="colorScale" priority="74">
      <colorScale>
        <cfvo type="num" val="-0.1"/>
        <cfvo type="num" val="0"/>
        <cfvo type="num" val="0.1"/>
        <color rgb="FFF8696B"/>
        <color rgb="FFFFEB84"/>
        <color rgb="FF63BE7B"/>
      </colorScale>
    </cfRule>
  </conditionalFormatting>
  <conditionalFormatting sqref="Q150">
    <cfRule type="colorScale" priority="75">
      <colorScale>
        <cfvo type="num" val="-0.1"/>
        <cfvo type="num" val="0"/>
        <cfvo type="num" val="0.1"/>
        <color rgb="FFF8696B"/>
        <color rgb="FFFFEB84"/>
        <color rgb="FF63BE7B"/>
      </colorScale>
    </cfRule>
  </conditionalFormatting>
  <conditionalFormatting sqref="Q151">
    <cfRule type="colorScale" priority="72">
      <colorScale>
        <cfvo type="num" val="-0.1"/>
        <cfvo type="num" val="0"/>
        <cfvo type="num" val="0.1"/>
        <color rgb="FFF8696B"/>
        <color rgb="FFFFEB84"/>
        <color rgb="FF63BE7B"/>
      </colorScale>
    </cfRule>
  </conditionalFormatting>
  <conditionalFormatting sqref="Q151:Q152">
    <cfRule type="colorScale" priority="77">
      <colorScale>
        <cfvo type="num" val="-0.1"/>
        <cfvo type="num" val="0"/>
        <cfvo type="num" val="0.1"/>
        <color rgb="FFF8696B"/>
        <color rgb="FFFFEB84"/>
        <color rgb="FF63BE7B"/>
      </colorScale>
    </cfRule>
  </conditionalFormatting>
  <conditionalFormatting sqref="Q153:Q157 Q160">
    <cfRule type="colorScale" priority="82">
      <colorScale>
        <cfvo type="num" val="-0.1"/>
        <cfvo type="num" val="0"/>
        <cfvo type="num" val="0.1"/>
        <color rgb="FFF8696B"/>
        <color rgb="FFFFEB84"/>
        <color rgb="FF63BE7B"/>
      </colorScale>
    </cfRule>
  </conditionalFormatting>
  <conditionalFormatting sqref="Q158">
    <cfRule type="colorScale" priority="79">
      <colorScale>
        <cfvo type="num" val="-0.1"/>
        <cfvo type="num" val="0"/>
        <cfvo type="num" val="0.1"/>
        <color rgb="FFF8696B"/>
        <color rgb="FFFFEB84"/>
        <color rgb="FF63BE7B"/>
      </colorScale>
    </cfRule>
  </conditionalFormatting>
  <conditionalFormatting sqref="Q159">
    <cfRule type="colorScale" priority="80">
      <colorScale>
        <cfvo type="num" val="-0.1"/>
        <cfvo type="num" val="0"/>
        <cfvo type="num" val="0.1"/>
        <color rgb="FFF8696B"/>
        <color rgb="FFFFEB84"/>
        <color rgb="FF63BE7B"/>
      </colorScale>
    </cfRule>
  </conditionalFormatting>
  <conditionalFormatting sqref="Q161">
    <cfRule type="colorScale" priority="81">
      <colorScale>
        <cfvo type="num" val="-0.1"/>
        <cfvo type="num" val="0"/>
        <cfvo type="num" val="0.1"/>
        <color rgb="FFF8696B"/>
        <color rgb="FFFFEB84"/>
        <color rgb="FF63BE7B"/>
      </colorScale>
    </cfRule>
  </conditionalFormatting>
  <conditionalFormatting sqref="Q162">
    <cfRule type="colorScale" priority="78">
      <colorScale>
        <cfvo type="num" val="-0.1"/>
        <cfvo type="num" val="0"/>
        <cfvo type="num" val="0.1"/>
        <color rgb="FFF8696B"/>
        <color rgb="FFFFEB84"/>
        <color rgb="FF63BE7B"/>
      </colorScale>
    </cfRule>
  </conditionalFormatting>
  <conditionalFormatting sqref="Q162:Q163">
    <cfRule type="colorScale" priority="83">
      <colorScale>
        <cfvo type="num" val="-0.1"/>
        <cfvo type="num" val="0"/>
        <cfvo type="num" val="0.1"/>
        <color rgb="FFF8696B"/>
        <color rgb="FFFFEB84"/>
        <color rgb="FF63BE7B"/>
      </colorScale>
    </cfRule>
  </conditionalFormatting>
  <conditionalFormatting sqref="Q164:Q168 Q171">
    <cfRule type="colorScale" priority="88">
      <colorScale>
        <cfvo type="num" val="-0.1"/>
        <cfvo type="num" val="0"/>
        <cfvo type="num" val="0.1"/>
        <color rgb="FFF8696B"/>
        <color rgb="FFFFEB84"/>
        <color rgb="FF63BE7B"/>
      </colorScale>
    </cfRule>
  </conditionalFormatting>
  <conditionalFormatting sqref="Q169">
    <cfRule type="colorScale" priority="85">
      <colorScale>
        <cfvo type="num" val="-0.1"/>
        <cfvo type="num" val="0"/>
        <cfvo type="num" val="0.1"/>
        <color rgb="FFF8696B"/>
        <color rgb="FFFFEB84"/>
        <color rgb="FF63BE7B"/>
      </colorScale>
    </cfRule>
  </conditionalFormatting>
  <conditionalFormatting sqref="Q170">
    <cfRule type="colorScale" priority="86">
      <colorScale>
        <cfvo type="num" val="-0.1"/>
        <cfvo type="num" val="0"/>
        <cfvo type="num" val="0.1"/>
        <color rgb="FFF8696B"/>
        <color rgb="FFFFEB84"/>
        <color rgb="FF63BE7B"/>
      </colorScale>
    </cfRule>
  </conditionalFormatting>
  <conditionalFormatting sqref="Q172">
    <cfRule type="colorScale" priority="87">
      <colorScale>
        <cfvo type="num" val="-0.1"/>
        <cfvo type="num" val="0"/>
        <cfvo type="num" val="0.1"/>
        <color rgb="FFF8696B"/>
        <color rgb="FFFFEB84"/>
        <color rgb="FF63BE7B"/>
      </colorScale>
    </cfRule>
  </conditionalFormatting>
  <conditionalFormatting sqref="Q173">
    <cfRule type="colorScale" priority="84">
      <colorScale>
        <cfvo type="num" val="-0.1"/>
        <cfvo type="num" val="0"/>
        <cfvo type="num" val="0.1"/>
        <color rgb="FFF8696B"/>
        <color rgb="FFFFEB84"/>
        <color rgb="FF63BE7B"/>
      </colorScale>
    </cfRule>
  </conditionalFormatting>
  <conditionalFormatting sqref="Q173:Q174">
    <cfRule type="colorScale" priority="89">
      <colorScale>
        <cfvo type="num" val="-0.1"/>
        <cfvo type="num" val="0"/>
        <cfvo type="num" val="0.1"/>
        <color rgb="FFF8696B"/>
        <color rgb="FFFFEB84"/>
        <color rgb="FF63BE7B"/>
      </colorScale>
    </cfRule>
  </conditionalFormatting>
  <conditionalFormatting sqref="Q175:Q179 Q182">
    <cfRule type="colorScale" priority="96">
      <colorScale>
        <cfvo type="num" val="-0.1"/>
        <cfvo type="num" val="0"/>
        <cfvo type="num" val="0.1"/>
        <color rgb="FFF8696B"/>
        <color rgb="FFFFEB84"/>
        <color rgb="FF63BE7B"/>
      </colorScale>
    </cfRule>
  </conditionalFormatting>
  <conditionalFormatting sqref="Q180">
    <cfRule type="colorScale" priority="92">
      <colorScale>
        <cfvo type="num" val="-0.1"/>
        <cfvo type="num" val="0"/>
        <cfvo type="num" val="0.1"/>
        <color rgb="FFF8696B"/>
        <color rgb="FFFFEB84"/>
        <color rgb="FF63BE7B"/>
      </colorScale>
    </cfRule>
  </conditionalFormatting>
  <conditionalFormatting sqref="Q181">
    <cfRule type="colorScale" priority="93">
      <colorScale>
        <cfvo type="num" val="-0.1"/>
        <cfvo type="num" val="0"/>
        <cfvo type="num" val="0.1"/>
        <color rgb="FFF8696B"/>
        <color rgb="FFFFEB84"/>
        <color rgb="FF63BE7B"/>
      </colorScale>
    </cfRule>
  </conditionalFormatting>
  <conditionalFormatting sqref="Q183">
    <cfRule type="colorScale" priority="94">
      <colorScale>
        <cfvo type="num" val="-0.1"/>
        <cfvo type="num" val="0"/>
        <cfvo type="num" val="0.1"/>
        <color rgb="FFF8696B"/>
        <color rgb="FFFFEB84"/>
        <color rgb="FF63BE7B"/>
      </colorScale>
    </cfRule>
  </conditionalFormatting>
  <conditionalFormatting sqref="Q184">
    <cfRule type="colorScale" priority="90">
      <colorScale>
        <cfvo type="num" val="-0.1"/>
        <cfvo type="num" val="0"/>
        <cfvo type="num" val="0.1"/>
        <color rgb="FFF8696B"/>
        <color rgb="FFFFEB84"/>
        <color rgb="FF63BE7B"/>
      </colorScale>
    </cfRule>
  </conditionalFormatting>
  <conditionalFormatting sqref="Q186:Q190 Q193">
    <cfRule type="colorScale" priority="103">
      <colorScale>
        <cfvo type="num" val="-0.1"/>
        <cfvo type="num" val="0"/>
        <cfvo type="num" val="0.1"/>
        <color rgb="FFF8696B"/>
        <color rgb="FFFFEB84"/>
        <color rgb="FF63BE7B"/>
      </colorScale>
    </cfRule>
  </conditionalFormatting>
  <conditionalFormatting sqref="Q191">
    <cfRule type="colorScale" priority="99">
      <colorScale>
        <cfvo type="num" val="-0.1"/>
        <cfvo type="num" val="0"/>
        <cfvo type="num" val="0.1"/>
        <color rgb="FFF8696B"/>
        <color rgb="FFFFEB84"/>
        <color rgb="FF63BE7B"/>
      </colorScale>
    </cfRule>
  </conditionalFormatting>
  <conditionalFormatting sqref="Q192">
    <cfRule type="colorScale" priority="100">
      <colorScale>
        <cfvo type="num" val="-0.1"/>
        <cfvo type="num" val="0"/>
        <cfvo type="num" val="0.1"/>
        <color rgb="FFF8696B"/>
        <color rgb="FFFFEB84"/>
        <color rgb="FF63BE7B"/>
      </colorScale>
    </cfRule>
  </conditionalFormatting>
  <conditionalFormatting sqref="Q194">
    <cfRule type="colorScale" priority="101">
      <colorScale>
        <cfvo type="num" val="-0.1"/>
        <cfvo type="num" val="0"/>
        <cfvo type="num" val="0.1"/>
        <color rgb="FFF8696B"/>
        <color rgb="FFFFEB84"/>
        <color rgb="FF63BE7B"/>
      </colorScale>
    </cfRule>
  </conditionalFormatting>
  <conditionalFormatting sqref="Q195">
    <cfRule type="colorScale" priority="98">
      <colorScale>
        <cfvo type="num" val="-0.1"/>
        <cfvo type="num" val="0"/>
        <cfvo type="num" val="0.1"/>
        <color rgb="FFF8696B"/>
        <color rgb="FFFFEB84"/>
        <color rgb="FF63BE7B"/>
      </colorScale>
    </cfRule>
  </conditionalFormatting>
  <conditionalFormatting sqref="Q196:Q198">
    <cfRule type="colorScale" priority="102">
      <colorScale>
        <cfvo type="num" val="-0.1"/>
        <cfvo type="num" val="0"/>
        <cfvo type="num" val="0.1"/>
        <color rgb="FFF8696B"/>
        <color rgb="FFFFEB84"/>
        <color rgb="FF63BE7B"/>
      </colorScale>
    </cfRule>
  </conditionalFormatting>
  <conditionalFormatting sqref="Q197">
    <cfRule type="colorScale" priority="97">
      <colorScale>
        <cfvo type="num" val="-0.1"/>
        <cfvo type="num" val="0"/>
        <cfvo type="num" val="0.1"/>
        <color rgb="FFF8696B"/>
        <color rgb="FFFFEB84"/>
        <color rgb="FF63BE7B"/>
      </colorScale>
    </cfRule>
  </conditionalFormatting>
  <conditionalFormatting sqref="Q199:Q203 Q206">
    <cfRule type="colorScale" priority="110">
      <colorScale>
        <cfvo type="num" val="-0.1"/>
        <cfvo type="num" val="0"/>
        <cfvo type="num" val="0.1"/>
        <color rgb="FFF8696B"/>
        <color rgb="FFFFEB84"/>
        <color rgb="FF63BE7B"/>
      </colorScale>
    </cfRule>
  </conditionalFormatting>
  <conditionalFormatting sqref="Q204">
    <cfRule type="colorScale" priority="106">
      <colorScale>
        <cfvo type="num" val="-0.1"/>
        <cfvo type="num" val="0"/>
        <cfvo type="num" val="0.1"/>
        <color rgb="FFF8696B"/>
        <color rgb="FFFFEB84"/>
        <color rgb="FF63BE7B"/>
      </colorScale>
    </cfRule>
  </conditionalFormatting>
  <conditionalFormatting sqref="Q205">
    <cfRule type="colorScale" priority="107">
      <colorScale>
        <cfvo type="num" val="-0.1"/>
        <cfvo type="num" val="0"/>
        <cfvo type="num" val="0.1"/>
        <color rgb="FFF8696B"/>
        <color rgb="FFFFEB84"/>
        <color rgb="FF63BE7B"/>
      </colorScale>
    </cfRule>
  </conditionalFormatting>
  <conditionalFormatting sqref="Q207">
    <cfRule type="colorScale" priority="108">
      <colorScale>
        <cfvo type="num" val="-0.1"/>
        <cfvo type="num" val="0"/>
        <cfvo type="num" val="0.1"/>
        <color rgb="FFF8696B"/>
        <color rgb="FFFFEB84"/>
        <color rgb="FF63BE7B"/>
      </colorScale>
    </cfRule>
  </conditionalFormatting>
  <conditionalFormatting sqref="Q208">
    <cfRule type="colorScale" priority="105">
      <colorScale>
        <cfvo type="num" val="-0.1"/>
        <cfvo type="num" val="0"/>
        <cfvo type="num" val="0.1"/>
        <color rgb="FFF8696B"/>
        <color rgb="FFFFEB84"/>
        <color rgb="FF63BE7B"/>
      </colorScale>
    </cfRule>
  </conditionalFormatting>
  <conditionalFormatting sqref="Q209:Q211">
    <cfRule type="colorScale" priority="109">
      <colorScale>
        <cfvo type="num" val="-0.1"/>
        <cfvo type="num" val="0"/>
        <cfvo type="num" val="0.1"/>
        <color rgb="FFF8696B"/>
        <color rgb="FFFFEB84"/>
        <color rgb="FF63BE7B"/>
      </colorScale>
    </cfRule>
  </conditionalFormatting>
  <conditionalFormatting sqref="Q210">
    <cfRule type="colorScale" priority="104">
      <colorScale>
        <cfvo type="num" val="-0.1"/>
        <cfvo type="num" val="0"/>
        <cfvo type="num" val="0.1"/>
        <color rgb="FFF8696B"/>
        <color rgb="FFFFEB84"/>
        <color rgb="FF63BE7B"/>
      </colorScale>
    </cfRule>
  </conditionalFormatting>
  <conditionalFormatting sqref="Q212:Q216 Q219">
    <cfRule type="colorScale" priority="117">
      <colorScale>
        <cfvo type="num" val="-0.1"/>
        <cfvo type="num" val="0"/>
        <cfvo type="num" val="0.1"/>
        <color rgb="FFF8696B"/>
        <color rgb="FFFFEB84"/>
        <color rgb="FF63BE7B"/>
      </colorScale>
    </cfRule>
  </conditionalFormatting>
  <conditionalFormatting sqref="Q217">
    <cfRule type="colorScale" priority="113">
      <colorScale>
        <cfvo type="num" val="-0.1"/>
        <cfvo type="num" val="0"/>
        <cfvo type="num" val="0.1"/>
        <color rgb="FFF8696B"/>
        <color rgb="FFFFEB84"/>
        <color rgb="FF63BE7B"/>
      </colorScale>
    </cfRule>
  </conditionalFormatting>
  <conditionalFormatting sqref="Q218">
    <cfRule type="colorScale" priority="114">
      <colorScale>
        <cfvo type="num" val="-0.1"/>
        <cfvo type="num" val="0"/>
        <cfvo type="num" val="0.1"/>
        <color rgb="FFF8696B"/>
        <color rgb="FFFFEB84"/>
        <color rgb="FF63BE7B"/>
      </colorScale>
    </cfRule>
  </conditionalFormatting>
  <conditionalFormatting sqref="Q220">
    <cfRule type="colorScale" priority="115">
      <colorScale>
        <cfvo type="num" val="-0.1"/>
        <cfvo type="num" val="0"/>
        <cfvo type="num" val="0.1"/>
        <color rgb="FFF8696B"/>
        <color rgb="FFFFEB84"/>
        <color rgb="FF63BE7B"/>
      </colorScale>
    </cfRule>
  </conditionalFormatting>
  <conditionalFormatting sqref="Q221">
    <cfRule type="colorScale" priority="112">
      <colorScale>
        <cfvo type="num" val="-0.1"/>
        <cfvo type="num" val="0"/>
        <cfvo type="num" val="0.1"/>
        <color rgb="FFF8696B"/>
        <color rgb="FFFFEB84"/>
        <color rgb="FF63BE7B"/>
      </colorScale>
    </cfRule>
  </conditionalFormatting>
  <conditionalFormatting sqref="Q222:Q224">
    <cfRule type="colorScale" priority="116">
      <colorScale>
        <cfvo type="num" val="-0.1"/>
        <cfvo type="num" val="0"/>
        <cfvo type="num" val="0.1"/>
        <color rgb="FFF8696B"/>
        <color rgb="FFFFEB84"/>
        <color rgb="FF63BE7B"/>
      </colorScale>
    </cfRule>
  </conditionalFormatting>
  <conditionalFormatting sqref="Q223">
    <cfRule type="colorScale" priority="111">
      <colorScale>
        <cfvo type="num" val="-0.1"/>
        <cfvo type="num" val="0"/>
        <cfvo type="num" val="0.1"/>
        <color rgb="FFF8696B"/>
        <color rgb="FFFFEB84"/>
        <color rgb="FF63BE7B"/>
      </colorScale>
    </cfRule>
  </conditionalFormatting>
  <conditionalFormatting sqref="Q225:Q229 Q232">
    <cfRule type="colorScale" priority="124">
      <colorScale>
        <cfvo type="num" val="-0.1"/>
        <cfvo type="num" val="0"/>
        <cfvo type="num" val="0.1"/>
        <color rgb="FFF8696B"/>
        <color rgb="FFFFEB84"/>
        <color rgb="FF63BE7B"/>
      </colorScale>
    </cfRule>
  </conditionalFormatting>
  <conditionalFormatting sqref="Q230">
    <cfRule type="colorScale" priority="120">
      <colorScale>
        <cfvo type="num" val="-0.1"/>
        <cfvo type="num" val="0"/>
        <cfvo type="num" val="0.1"/>
        <color rgb="FFF8696B"/>
        <color rgb="FFFFEB84"/>
        <color rgb="FF63BE7B"/>
      </colorScale>
    </cfRule>
  </conditionalFormatting>
  <conditionalFormatting sqref="Q231">
    <cfRule type="colorScale" priority="121">
      <colorScale>
        <cfvo type="num" val="-0.1"/>
        <cfvo type="num" val="0"/>
        <cfvo type="num" val="0.1"/>
        <color rgb="FFF8696B"/>
        <color rgb="FFFFEB84"/>
        <color rgb="FF63BE7B"/>
      </colorScale>
    </cfRule>
  </conditionalFormatting>
  <conditionalFormatting sqref="Q233">
    <cfRule type="colorScale" priority="122">
      <colorScale>
        <cfvo type="num" val="-0.1"/>
        <cfvo type="num" val="0"/>
        <cfvo type="num" val="0.1"/>
        <color rgb="FFF8696B"/>
        <color rgb="FFFFEB84"/>
        <color rgb="FF63BE7B"/>
      </colorScale>
    </cfRule>
  </conditionalFormatting>
  <conditionalFormatting sqref="Q234">
    <cfRule type="colorScale" priority="119">
      <colorScale>
        <cfvo type="num" val="-0.1"/>
        <cfvo type="num" val="0"/>
        <cfvo type="num" val="0.1"/>
        <color rgb="FFF8696B"/>
        <color rgb="FFFFEB84"/>
        <color rgb="FF63BE7B"/>
      </colorScale>
    </cfRule>
  </conditionalFormatting>
  <conditionalFormatting sqref="Q235:Q237">
    <cfRule type="colorScale" priority="123">
      <colorScale>
        <cfvo type="num" val="-0.1"/>
        <cfvo type="num" val="0"/>
        <cfvo type="num" val="0.1"/>
        <color rgb="FFF8696B"/>
        <color rgb="FFFFEB84"/>
        <color rgb="FF63BE7B"/>
      </colorScale>
    </cfRule>
  </conditionalFormatting>
  <conditionalFormatting sqref="Q236">
    <cfRule type="colorScale" priority="118">
      <colorScale>
        <cfvo type="num" val="-0.1"/>
        <cfvo type="num" val="0"/>
        <cfvo type="num" val="0.1"/>
        <color rgb="FFF8696B"/>
        <color rgb="FFFFEB84"/>
        <color rgb="FF63BE7B"/>
      </colorScale>
    </cfRule>
  </conditionalFormatting>
  <conditionalFormatting sqref="Q238:Q242 Q245">
    <cfRule type="colorScale" priority="131">
      <colorScale>
        <cfvo type="num" val="-0.1"/>
        <cfvo type="num" val="0"/>
        <cfvo type="num" val="0.1"/>
        <color rgb="FFF8696B"/>
        <color rgb="FFFFEB84"/>
        <color rgb="FF63BE7B"/>
      </colorScale>
    </cfRule>
  </conditionalFormatting>
  <conditionalFormatting sqref="Q243">
    <cfRule type="colorScale" priority="127">
      <colorScale>
        <cfvo type="num" val="-0.1"/>
        <cfvo type="num" val="0"/>
        <cfvo type="num" val="0.1"/>
        <color rgb="FFF8696B"/>
        <color rgb="FFFFEB84"/>
        <color rgb="FF63BE7B"/>
      </colorScale>
    </cfRule>
  </conditionalFormatting>
  <conditionalFormatting sqref="Q244">
    <cfRule type="colorScale" priority="128">
      <colorScale>
        <cfvo type="num" val="-0.1"/>
        <cfvo type="num" val="0"/>
        <cfvo type="num" val="0.1"/>
        <color rgb="FFF8696B"/>
        <color rgb="FFFFEB84"/>
        <color rgb="FF63BE7B"/>
      </colorScale>
    </cfRule>
  </conditionalFormatting>
  <conditionalFormatting sqref="Q246">
    <cfRule type="colorScale" priority="129">
      <colorScale>
        <cfvo type="num" val="-0.1"/>
        <cfvo type="num" val="0"/>
        <cfvo type="num" val="0.1"/>
        <color rgb="FFF8696B"/>
        <color rgb="FFFFEB84"/>
        <color rgb="FF63BE7B"/>
      </colorScale>
    </cfRule>
  </conditionalFormatting>
  <conditionalFormatting sqref="Q247">
    <cfRule type="colorScale" priority="125">
      <colorScale>
        <cfvo type="num" val="-0.1"/>
        <cfvo type="num" val="0"/>
        <cfvo type="num" val="0.1"/>
        <color rgb="FFF8696B"/>
        <color rgb="FFFFEB84"/>
        <color rgb="FF63BE7B"/>
      </colorScale>
    </cfRule>
  </conditionalFormatting>
  <conditionalFormatting sqref="Q248:Q249">
    <cfRule type="colorScale" priority="130">
      <colorScale>
        <cfvo type="num" val="-0.1"/>
        <cfvo type="num" val="0"/>
        <cfvo type="num" val="0.1"/>
        <color rgb="FFF8696B"/>
        <color rgb="FFFFEB84"/>
        <color rgb="FF63BE7B"/>
      </colorScale>
    </cfRule>
  </conditionalFormatting>
  <conditionalFormatting sqref="Q250:Q254 Q257">
    <cfRule type="colorScale" priority="142">
      <colorScale>
        <cfvo type="num" val="-0.1"/>
        <cfvo type="num" val="0"/>
        <cfvo type="num" val="0.1"/>
        <color rgb="FFF8696B"/>
        <color rgb="FFFFEB84"/>
        <color rgb="FF63BE7B"/>
      </colorScale>
    </cfRule>
  </conditionalFormatting>
  <conditionalFormatting sqref="Q255">
    <cfRule type="colorScale" priority="138">
      <colorScale>
        <cfvo type="num" val="-0.1"/>
        <cfvo type="num" val="0"/>
        <cfvo type="num" val="0.1"/>
        <color rgb="FFF8696B"/>
        <color rgb="FFFFEB84"/>
        <color rgb="FF63BE7B"/>
      </colorScale>
    </cfRule>
  </conditionalFormatting>
  <conditionalFormatting sqref="Q256">
    <cfRule type="colorScale" priority="139">
      <colorScale>
        <cfvo type="num" val="-0.1"/>
        <cfvo type="num" val="0"/>
        <cfvo type="num" val="0.1"/>
        <color rgb="FFF8696B"/>
        <color rgb="FFFFEB84"/>
        <color rgb="FF63BE7B"/>
      </colorScale>
    </cfRule>
  </conditionalFormatting>
  <conditionalFormatting sqref="Q258:Q259">
    <cfRule type="colorScale" priority="140">
      <colorScale>
        <cfvo type="num" val="-0.1"/>
        <cfvo type="num" val="0"/>
        <cfvo type="num" val="0.1"/>
        <color rgb="FFF8696B"/>
        <color rgb="FFFFEB84"/>
        <color rgb="FF63BE7B"/>
      </colorScale>
    </cfRule>
  </conditionalFormatting>
  <conditionalFormatting sqref="Q259">
    <cfRule type="colorScale" priority="135">
      <colorScale>
        <cfvo type="num" val="-0.1"/>
        <cfvo type="num" val="0"/>
        <cfvo type="num" val="0.1"/>
        <color rgb="FFF8696B"/>
        <color rgb="FFFFEB84"/>
        <color rgb="FF63BE7B"/>
      </colorScale>
    </cfRule>
  </conditionalFormatting>
  <conditionalFormatting sqref="Q260">
    <cfRule type="colorScale" priority="132">
      <colorScale>
        <cfvo type="num" val="-0.1"/>
        <cfvo type="num" val="0"/>
        <cfvo type="num" val="0.1"/>
        <color rgb="FFF8696B"/>
        <color rgb="FFFFEB84"/>
        <color rgb="FF63BE7B"/>
      </colorScale>
    </cfRule>
  </conditionalFormatting>
  <conditionalFormatting sqref="Q261:Q262">
    <cfRule type="colorScale" priority="141">
      <colorScale>
        <cfvo type="num" val="-0.1"/>
        <cfvo type="num" val="0"/>
        <cfvo type="num" val="0.1"/>
        <color rgb="FFF8696B"/>
        <color rgb="FFFFEB84"/>
        <color rgb="FF63BE7B"/>
      </colorScale>
    </cfRule>
  </conditionalFormatting>
  <conditionalFormatting sqref="Q263:Q264">
    <cfRule type="colorScale" priority="148">
      <colorScale>
        <cfvo type="num" val="-0.1"/>
        <cfvo type="num" val="0"/>
        <cfvo type="num" val="0.1"/>
        <color rgb="FFF8696B"/>
        <color rgb="FFFFEB84"/>
        <color rgb="FF63BE7B"/>
      </colorScale>
    </cfRule>
  </conditionalFormatting>
  <conditionalFormatting sqref="Q265">
    <cfRule type="colorScale" priority="145">
      <colorScale>
        <cfvo type="num" val="-0.1"/>
        <cfvo type="num" val="0"/>
        <cfvo type="num" val="0.1"/>
        <color rgb="FFF8696B"/>
        <color rgb="FFFFEB84"/>
        <color rgb="FF63BE7B"/>
      </colorScale>
    </cfRule>
  </conditionalFormatting>
  <conditionalFormatting sqref="Q266">
    <cfRule type="colorScale" priority="147">
      <colorScale>
        <cfvo type="num" val="-0.1"/>
        <cfvo type="num" val="0"/>
        <cfvo type="num" val="0.1"/>
        <color rgb="FFF8696B"/>
        <color rgb="FFFFEB84"/>
        <color rgb="FF63BE7B"/>
      </colorScale>
    </cfRule>
  </conditionalFormatting>
  <conditionalFormatting sqref="Q267:Q271 Q274">
    <cfRule type="colorScale" priority="154">
      <colorScale>
        <cfvo type="num" val="-0.1"/>
        <cfvo type="num" val="0"/>
        <cfvo type="num" val="0.1"/>
        <color rgb="FFF8696B"/>
        <color rgb="FFFFEB84"/>
        <color rgb="FF63BE7B"/>
      </colorScale>
    </cfRule>
  </conditionalFormatting>
  <conditionalFormatting sqref="Q272">
    <cfRule type="colorScale" priority="149">
      <colorScale>
        <cfvo type="num" val="-0.1"/>
        <cfvo type="num" val="0"/>
        <cfvo type="num" val="0.1"/>
        <color rgb="FFF8696B"/>
        <color rgb="FFFFEB84"/>
        <color rgb="FF63BE7B"/>
      </colorScale>
    </cfRule>
  </conditionalFormatting>
  <conditionalFormatting sqref="Q273">
    <cfRule type="colorScale" priority="150">
      <colorScale>
        <cfvo type="num" val="-0.1"/>
        <cfvo type="num" val="0"/>
        <cfvo type="num" val="0.1"/>
        <color rgb="FFF8696B"/>
        <color rgb="FFFFEB84"/>
        <color rgb="FF63BE7B"/>
      </colorScale>
    </cfRule>
  </conditionalFormatting>
  <conditionalFormatting sqref="Q275:Q276">
    <cfRule type="colorScale" priority="152">
      <colorScale>
        <cfvo type="num" val="-0.1"/>
        <cfvo type="num" val="0"/>
        <cfvo type="num" val="0.1"/>
        <color rgb="FFF8696B"/>
        <color rgb="FFFFEB84"/>
        <color rgb="FF63BE7B"/>
      </colorScale>
    </cfRule>
  </conditionalFormatting>
  <conditionalFormatting sqref="Q276">
    <cfRule type="colorScale" priority="146">
      <colorScale>
        <cfvo type="num" val="-0.1"/>
        <cfvo type="num" val="0"/>
        <cfvo type="num" val="0.1"/>
        <color rgb="FFF8696B"/>
        <color rgb="FFFFEB84"/>
        <color rgb="FF63BE7B"/>
      </colorScale>
    </cfRule>
  </conditionalFormatting>
  <conditionalFormatting sqref="Q277">
    <cfRule type="colorScale" priority="143">
      <colorScale>
        <cfvo type="num" val="-0.1"/>
        <cfvo type="num" val="0"/>
        <cfvo type="num" val="0.1"/>
        <color rgb="FFF8696B"/>
        <color rgb="FFFFEB84"/>
        <color rgb="FF63BE7B"/>
      </colorScale>
    </cfRule>
  </conditionalFormatting>
  <conditionalFormatting sqref="Q279">
    <cfRule type="colorScale" priority="144">
      <colorScale>
        <cfvo type="num" val="-0.1"/>
        <cfvo type="num" val="0"/>
        <cfvo type="num" val="0.1"/>
        <color rgb="FFF8696B"/>
        <color rgb="FFFFEB84"/>
        <color rgb="FF63BE7B"/>
      </colorScale>
    </cfRule>
  </conditionalFormatting>
  <conditionalFormatting sqref="Q278 Q280">
    <cfRule type="colorScale" priority="153">
      <colorScale>
        <cfvo type="num" val="-0.1"/>
        <cfvo type="num" val="0"/>
        <cfvo type="num" val="0.1"/>
        <color rgb="FFF8696B"/>
        <color rgb="FFFFEB84"/>
        <color rgb="FF63BE7B"/>
      </colorScale>
    </cfRule>
  </conditionalFormatting>
  <conditionalFormatting sqref="Q281:Q285 Q288">
    <cfRule type="colorScale" priority="161">
      <colorScale>
        <cfvo type="num" val="-0.1"/>
        <cfvo type="num" val="0"/>
        <cfvo type="num" val="0.1"/>
        <color rgb="FFF8696B"/>
        <color rgb="FFFFEB84"/>
        <color rgb="FF63BE7B"/>
      </colorScale>
    </cfRule>
  </conditionalFormatting>
  <conditionalFormatting sqref="Q286">
    <cfRule type="colorScale" priority="156">
      <colorScale>
        <cfvo type="num" val="-0.1"/>
        <cfvo type="num" val="0"/>
        <cfvo type="num" val="0.1"/>
        <color rgb="FFF8696B"/>
        <color rgb="FFFFEB84"/>
        <color rgb="FF63BE7B"/>
      </colorScale>
    </cfRule>
  </conditionalFormatting>
  <conditionalFormatting sqref="Q287">
    <cfRule type="colorScale" priority="157">
      <colorScale>
        <cfvo type="num" val="-0.1"/>
        <cfvo type="num" val="0"/>
        <cfvo type="num" val="0.1"/>
        <color rgb="FFF8696B"/>
        <color rgb="FFFFEB84"/>
        <color rgb="FF63BE7B"/>
      </colorScale>
    </cfRule>
  </conditionalFormatting>
  <conditionalFormatting sqref="Q289">
    <cfRule type="colorScale" priority="159">
      <colorScale>
        <cfvo type="num" val="-0.1"/>
        <cfvo type="num" val="0"/>
        <cfvo type="num" val="0.1"/>
        <color rgb="FFF8696B"/>
        <color rgb="FFFFEB84"/>
        <color rgb="FF63BE7B"/>
      </colorScale>
    </cfRule>
  </conditionalFormatting>
  <conditionalFormatting sqref="Q290">
    <cfRule type="colorScale" priority="158">
      <colorScale>
        <cfvo type="num" val="-0.1"/>
        <cfvo type="num" val="0"/>
        <cfvo type="num" val="0.1"/>
        <color rgb="FFF8696B"/>
        <color rgb="FFFFEB84"/>
        <color rgb="FF63BE7B"/>
      </colorScale>
    </cfRule>
  </conditionalFormatting>
  <conditionalFormatting sqref="Q291:Q292">
    <cfRule type="colorScale" priority="160">
      <colorScale>
        <cfvo type="num" val="-0.1"/>
        <cfvo type="num" val="0"/>
        <cfvo type="num" val="0.1"/>
        <color rgb="FFF8696B"/>
        <color rgb="FFFFEB84"/>
        <color rgb="FF63BE7B"/>
      </colorScale>
    </cfRule>
  </conditionalFormatting>
  <conditionalFormatting sqref="Q293:Q297 Q300">
    <cfRule type="colorScale" priority="168">
      <colorScale>
        <cfvo type="num" val="-0.1"/>
        <cfvo type="num" val="0"/>
        <cfvo type="num" val="0.1"/>
        <color rgb="FFF8696B"/>
        <color rgb="FFFFEB84"/>
        <color rgb="FF63BE7B"/>
      </colorScale>
    </cfRule>
  </conditionalFormatting>
  <conditionalFormatting sqref="Q298">
    <cfRule type="colorScale" priority="163">
      <colorScale>
        <cfvo type="num" val="-0.1"/>
        <cfvo type="num" val="0"/>
        <cfvo type="num" val="0.1"/>
        <color rgb="FFF8696B"/>
        <color rgb="FFFFEB84"/>
        <color rgb="FF63BE7B"/>
      </colorScale>
    </cfRule>
  </conditionalFormatting>
  <conditionalFormatting sqref="Q299">
    <cfRule type="colorScale" priority="164">
      <colorScale>
        <cfvo type="num" val="-0.1"/>
        <cfvo type="num" val="0"/>
        <cfvo type="num" val="0.1"/>
        <color rgb="FFF8696B"/>
        <color rgb="FFFFEB84"/>
        <color rgb="FF63BE7B"/>
      </colorScale>
    </cfRule>
  </conditionalFormatting>
  <conditionalFormatting sqref="Q301">
    <cfRule type="colorScale" priority="166">
      <colorScale>
        <cfvo type="num" val="-0.1"/>
        <cfvo type="num" val="0"/>
        <cfvo type="num" val="0.1"/>
        <color rgb="FFF8696B"/>
        <color rgb="FFFFEB84"/>
        <color rgb="FF63BE7B"/>
      </colorScale>
    </cfRule>
  </conditionalFormatting>
  <conditionalFormatting sqref="Q302">
    <cfRule type="colorScale" priority="162">
      <colorScale>
        <cfvo type="num" val="-0.1"/>
        <cfvo type="num" val="0"/>
        <cfvo type="num" val="0.1"/>
        <color rgb="FFF8696B"/>
        <color rgb="FFFFEB84"/>
        <color rgb="FF63BE7B"/>
      </colorScale>
    </cfRule>
  </conditionalFormatting>
  <conditionalFormatting sqref="Q303">
    <cfRule type="colorScale" priority="165">
      <colorScale>
        <cfvo type="num" val="-0.1"/>
        <cfvo type="num" val="0"/>
        <cfvo type="num" val="0.1"/>
        <color rgb="FFF8696B"/>
        <color rgb="FFFFEB84"/>
        <color rgb="FF63BE7B"/>
      </colorScale>
    </cfRule>
  </conditionalFormatting>
  <conditionalFormatting sqref="Q304:Q305">
    <cfRule type="colorScale" priority="167">
      <colorScale>
        <cfvo type="num" val="-0.1"/>
        <cfvo type="num" val="0"/>
        <cfvo type="num" val="0.1"/>
        <color rgb="FFF8696B"/>
        <color rgb="FFFFEB84"/>
        <color rgb="FF63BE7B"/>
      </colorScale>
    </cfRule>
  </conditionalFormatting>
  <conditionalFormatting sqref="Q306:Q310 Q313">
    <cfRule type="colorScale" priority="174">
      <colorScale>
        <cfvo type="num" val="-0.1"/>
        <cfvo type="num" val="0"/>
        <cfvo type="num" val="0.1"/>
        <color rgb="FFF8696B"/>
        <color rgb="FFFFEB84"/>
        <color rgb="FF63BE7B"/>
      </colorScale>
    </cfRule>
  </conditionalFormatting>
  <conditionalFormatting sqref="Q311">
    <cfRule type="colorScale" priority="169">
      <colorScale>
        <cfvo type="num" val="-0.1"/>
        <cfvo type="num" val="0"/>
        <cfvo type="num" val="0.1"/>
        <color rgb="FFF8696B"/>
        <color rgb="FFFFEB84"/>
        <color rgb="FF63BE7B"/>
      </colorScale>
    </cfRule>
  </conditionalFormatting>
  <conditionalFormatting sqref="Q312">
    <cfRule type="colorScale" priority="170">
      <colorScale>
        <cfvo type="num" val="-0.1"/>
        <cfvo type="num" val="0"/>
        <cfvo type="num" val="0.1"/>
        <color rgb="FFF8696B"/>
        <color rgb="FFFFEB84"/>
        <color rgb="FF63BE7B"/>
      </colorScale>
    </cfRule>
  </conditionalFormatting>
  <conditionalFormatting sqref="Q314">
    <cfRule type="colorScale" priority="172">
      <colorScale>
        <cfvo type="num" val="-0.1"/>
        <cfvo type="num" val="0"/>
        <cfvo type="num" val="0.1"/>
        <color rgb="FFF8696B"/>
        <color rgb="FFFFEB84"/>
        <color rgb="FF63BE7B"/>
      </colorScale>
    </cfRule>
  </conditionalFormatting>
  <conditionalFormatting sqref="Q315">
    <cfRule type="colorScale" priority="171">
      <colorScale>
        <cfvo type="num" val="-0.1"/>
        <cfvo type="num" val="0"/>
        <cfvo type="num" val="0.1"/>
        <color rgb="FFF8696B"/>
        <color rgb="FFFFEB84"/>
        <color rgb="FF63BE7B"/>
      </colorScale>
    </cfRule>
  </conditionalFormatting>
  <conditionalFormatting sqref="Q316:Q317">
    <cfRule type="colorScale" priority="173">
      <colorScale>
        <cfvo type="num" val="-0.1"/>
        <cfvo type="num" val="0"/>
        <cfvo type="num" val="0.1"/>
        <color rgb="FFF8696B"/>
        <color rgb="FFFFEB84"/>
        <color rgb="FF63BE7B"/>
      </colorScale>
    </cfRule>
  </conditionalFormatting>
  <conditionalFormatting sqref="Q318:Q322 Q325">
    <cfRule type="colorScale" priority="180">
      <colorScale>
        <cfvo type="num" val="-0.1"/>
        <cfvo type="num" val="0"/>
        <cfvo type="num" val="0.1"/>
        <color rgb="FFF8696B"/>
        <color rgb="FFFFEB84"/>
        <color rgb="FF63BE7B"/>
      </colorScale>
    </cfRule>
  </conditionalFormatting>
  <conditionalFormatting sqref="Q323">
    <cfRule type="colorScale" priority="175">
      <colorScale>
        <cfvo type="num" val="-0.1"/>
        <cfvo type="num" val="0"/>
        <cfvo type="num" val="0.1"/>
        <color rgb="FFF8696B"/>
        <color rgb="FFFFEB84"/>
        <color rgb="FF63BE7B"/>
      </colorScale>
    </cfRule>
  </conditionalFormatting>
  <conditionalFormatting sqref="Q324">
    <cfRule type="colorScale" priority="176">
      <colorScale>
        <cfvo type="num" val="-0.1"/>
        <cfvo type="num" val="0"/>
        <cfvo type="num" val="0.1"/>
        <color rgb="FFF8696B"/>
        <color rgb="FFFFEB84"/>
        <color rgb="FF63BE7B"/>
      </colorScale>
    </cfRule>
  </conditionalFormatting>
  <conditionalFormatting sqref="Q326">
    <cfRule type="colorScale" priority="178">
      <colorScale>
        <cfvo type="num" val="-0.1"/>
        <cfvo type="num" val="0"/>
        <cfvo type="num" val="0.1"/>
        <color rgb="FFF8696B"/>
        <color rgb="FFFFEB84"/>
        <color rgb="FF63BE7B"/>
      </colorScale>
    </cfRule>
  </conditionalFormatting>
  <conditionalFormatting sqref="Q327">
    <cfRule type="colorScale" priority="177">
      <colorScale>
        <cfvo type="num" val="-0.1"/>
        <cfvo type="num" val="0"/>
        <cfvo type="num" val="0.1"/>
        <color rgb="FFF8696B"/>
        <color rgb="FFFFEB84"/>
        <color rgb="FF63BE7B"/>
      </colorScale>
    </cfRule>
  </conditionalFormatting>
  <conditionalFormatting sqref="Q328:Q329">
    <cfRule type="colorScale" priority="179">
      <colorScale>
        <cfvo type="num" val="-0.1"/>
        <cfvo type="num" val="0"/>
        <cfvo type="num" val="0.1"/>
        <color rgb="FFF8696B"/>
        <color rgb="FFFFEB84"/>
        <color rgb="FF63BE7B"/>
      </colorScale>
    </cfRule>
  </conditionalFormatting>
  <conditionalFormatting sqref="Q330:Q334 Q337">
    <cfRule type="colorScale" priority="186">
      <colorScale>
        <cfvo type="num" val="-0.1"/>
        <cfvo type="num" val="0"/>
        <cfvo type="num" val="0.1"/>
        <color rgb="FFF8696B"/>
        <color rgb="FFFFEB84"/>
        <color rgb="FF63BE7B"/>
      </colorScale>
    </cfRule>
  </conditionalFormatting>
  <conditionalFormatting sqref="Q335">
    <cfRule type="colorScale" priority="181">
      <colorScale>
        <cfvo type="num" val="-0.1"/>
        <cfvo type="num" val="0"/>
        <cfvo type="num" val="0.1"/>
        <color rgb="FFF8696B"/>
        <color rgb="FFFFEB84"/>
        <color rgb="FF63BE7B"/>
      </colorScale>
    </cfRule>
  </conditionalFormatting>
  <conditionalFormatting sqref="Q336">
    <cfRule type="colorScale" priority="182">
      <colorScale>
        <cfvo type="num" val="-0.1"/>
        <cfvo type="num" val="0"/>
        <cfvo type="num" val="0.1"/>
        <color rgb="FFF8696B"/>
        <color rgb="FFFFEB84"/>
        <color rgb="FF63BE7B"/>
      </colorScale>
    </cfRule>
  </conditionalFormatting>
  <conditionalFormatting sqref="Q338">
    <cfRule type="colorScale" priority="184">
      <colorScale>
        <cfvo type="num" val="-0.1"/>
        <cfvo type="num" val="0"/>
        <cfvo type="num" val="0.1"/>
        <color rgb="FFF8696B"/>
        <color rgb="FFFFEB84"/>
        <color rgb="FF63BE7B"/>
      </colorScale>
    </cfRule>
  </conditionalFormatting>
  <conditionalFormatting sqref="Q339">
    <cfRule type="colorScale" priority="183">
      <colorScale>
        <cfvo type="num" val="-0.1"/>
        <cfvo type="num" val="0"/>
        <cfvo type="num" val="0.1"/>
        <color rgb="FFF8696B"/>
        <color rgb="FFFFEB84"/>
        <color rgb="FF63BE7B"/>
      </colorScale>
    </cfRule>
  </conditionalFormatting>
  <conditionalFormatting sqref="Q340:Q341">
    <cfRule type="colorScale" priority="185">
      <colorScale>
        <cfvo type="num" val="-0.1"/>
        <cfvo type="num" val="0"/>
        <cfvo type="num" val="0.1"/>
        <color rgb="FFF8696B"/>
        <color rgb="FFFFEB84"/>
        <color rgb="FF63BE7B"/>
      </colorScale>
    </cfRule>
  </conditionalFormatting>
  <conditionalFormatting sqref="Q342:Q346 Q349">
    <cfRule type="colorScale" priority="192">
      <colorScale>
        <cfvo type="num" val="-0.1"/>
        <cfvo type="num" val="0"/>
        <cfvo type="num" val="0.1"/>
        <color rgb="FFF8696B"/>
        <color rgb="FFFFEB84"/>
        <color rgb="FF63BE7B"/>
      </colorScale>
    </cfRule>
  </conditionalFormatting>
  <conditionalFormatting sqref="Q347">
    <cfRule type="colorScale" priority="187">
      <colorScale>
        <cfvo type="num" val="-0.1"/>
        <cfvo type="num" val="0"/>
        <cfvo type="num" val="0.1"/>
        <color rgb="FFF8696B"/>
        <color rgb="FFFFEB84"/>
        <color rgb="FF63BE7B"/>
      </colorScale>
    </cfRule>
  </conditionalFormatting>
  <conditionalFormatting sqref="Q348">
    <cfRule type="colorScale" priority="188">
      <colorScale>
        <cfvo type="num" val="-0.1"/>
        <cfvo type="num" val="0"/>
        <cfvo type="num" val="0.1"/>
        <color rgb="FFF8696B"/>
        <color rgb="FFFFEB84"/>
        <color rgb="FF63BE7B"/>
      </colorScale>
    </cfRule>
  </conditionalFormatting>
  <conditionalFormatting sqref="Q350">
    <cfRule type="colorScale" priority="190">
      <colorScale>
        <cfvo type="num" val="-0.1"/>
        <cfvo type="num" val="0"/>
        <cfvo type="num" val="0.1"/>
        <color rgb="FFF8696B"/>
        <color rgb="FFFFEB84"/>
        <color rgb="FF63BE7B"/>
      </colorScale>
    </cfRule>
  </conditionalFormatting>
  <conditionalFormatting sqref="Q351">
    <cfRule type="colorScale" priority="189">
      <colorScale>
        <cfvo type="num" val="-0.1"/>
        <cfvo type="num" val="0"/>
        <cfvo type="num" val="0.1"/>
        <color rgb="FFF8696B"/>
        <color rgb="FFFFEB84"/>
        <color rgb="FF63BE7B"/>
      </colorScale>
    </cfRule>
  </conditionalFormatting>
  <conditionalFormatting sqref="Q352:Q353">
    <cfRule type="colorScale" priority="191">
      <colorScale>
        <cfvo type="num" val="-0.1"/>
        <cfvo type="num" val="0"/>
        <cfvo type="num" val="0.1"/>
        <color rgb="FFF8696B"/>
        <color rgb="FFFFEB84"/>
        <color rgb="FF63BE7B"/>
      </colorScale>
    </cfRule>
  </conditionalFormatting>
  <conditionalFormatting sqref="Q354:Q358 Q361">
    <cfRule type="colorScale" priority="198">
      <colorScale>
        <cfvo type="num" val="-0.1"/>
        <cfvo type="num" val="0"/>
        <cfvo type="num" val="0.1"/>
        <color rgb="FFF8696B"/>
        <color rgb="FFFFEB84"/>
        <color rgb="FF63BE7B"/>
      </colorScale>
    </cfRule>
  </conditionalFormatting>
  <conditionalFormatting sqref="Q359">
    <cfRule type="colorScale" priority="193">
      <colorScale>
        <cfvo type="num" val="-0.1"/>
        <cfvo type="num" val="0"/>
        <cfvo type="num" val="0.1"/>
        <color rgb="FFF8696B"/>
        <color rgb="FFFFEB84"/>
        <color rgb="FF63BE7B"/>
      </colorScale>
    </cfRule>
  </conditionalFormatting>
  <conditionalFormatting sqref="Q360">
    <cfRule type="colorScale" priority="194">
      <colorScale>
        <cfvo type="num" val="-0.1"/>
        <cfvo type="num" val="0"/>
        <cfvo type="num" val="0.1"/>
        <color rgb="FFF8696B"/>
        <color rgb="FFFFEB84"/>
        <color rgb="FF63BE7B"/>
      </colorScale>
    </cfRule>
  </conditionalFormatting>
  <conditionalFormatting sqref="Q362">
    <cfRule type="colorScale" priority="196">
      <colorScale>
        <cfvo type="num" val="-0.1"/>
        <cfvo type="num" val="0"/>
        <cfvo type="num" val="0.1"/>
        <color rgb="FFF8696B"/>
        <color rgb="FFFFEB84"/>
        <color rgb="FF63BE7B"/>
      </colorScale>
    </cfRule>
  </conditionalFormatting>
  <conditionalFormatting sqref="Q363">
    <cfRule type="colorScale" priority="195">
      <colorScale>
        <cfvo type="num" val="-0.1"/>
        <cfvo type="num" val="0"/>
        <cfvo type="num" val="0.1"/>
        <color rgb="FFF8696B"/>
        <color rgb="FFFFEB84"/>
        <color rgb="FF63BE7B"/>
      </colorScale>
    </cfRule>
  </conditionalFormatting>
  <conditionalFormatting sqref="Q364:Q365">
    <cfRule type="colorScale" priority="197">
      <colorScale>
        <cfvo type="num" val="-0.1"/>
        <cfvo type="num" val="0"/>
        <cfvo type="num" val="0.1"/>
        <color rgb="FFF8696B"/>
        <color rgb="FFFFEB84"/>
        <color rgb="FF63BE7B"/>
      </colorScale>
    </cfRule>
  </conditionalFormatting>
  <conditionalFormatting sqref="Q372">
    <cfRule type="colorScale" priority="200">
      <colorScale>
        <cfvo type="num" val="-0.1"/>
        <cfvo type="num" val="0"/>
        <cfvo type="num" val="0.1"/>
        <color rgb="FFF8696B"/>
        <color rgb="FFFFEB84"/>
        <color rgb="FF63BE7B"/>
      </colorScale>
    </cfRule>
  </conditionalFormatting>
  <conditionalFormatting sqref="Q373">
    <cfRule type="colorScale" priority="199">
      <colorScale>
        <cfvo type="num" val="-0.1"/>
        <cfvo type="num" val="0"/>
        <cfvo type="num" val="0.1"/>
        <color rgb="FFF8696B"/>
        <color rgb="FFFFEB84"/>
        <color rgb="FF63BE7B"/>
      </colorScale>
    </cfRule>
  </conditionalFormatting>
  <conditionalFormatting sqref="Q374:Q375">
    <cfRule type="colorScale" priority="201">
      <colorScale>
        <cfvo type="num" val="-0.1"/>
        <cfvo type="num" val="0"/>
        <cfvo type="num" val="0.1"/>
        <color rgb="FFF8696B"/>
        <color rgb="FFFFEB84"/>
        <color rgb="FF63BE7B"/>
      </colorScale>
    </cfRule>
  </conditionalFormatting>
  <conditionalFormatting sqref="Q383">
    <cfRule type="colorScale" priority="206">
      <colorScale>
        <cfvo type="num" val="-0.1"/>
        <cfvo type="num" val="0"/>
        <cfvo type="num" val="0.1"/>
        <color rgb="FFF8696B"/>
        <color rgb="FFFFEB84"/>
        <color rgb="FF63BE7B"/>
      </colorScale>
    </cfRule>
  </conditionalFormatting>
  <conditionalFormatting sqref="Q384">
    <cfRule type="colorScale" priority="205">
      <colorScale>
        <cfvo type="num" val="-0.1"/>
        <cfvo type="num" val="0"/>
        <cfvo type="num" val="0.1"/>
        <color rgb="FFF8696B"/>
        <color rgb="FFFFEB84"/>
        <color rgb="FF63BE7B"/>
      </colorScale>
    </cfRule>
  </conditionalFormatting>
  <conditionalFormatting sqref="Q385:Q391">
    <cfRule type="colorScale" priority="207">
      <colorScale>
        <cfvo type="num" val="-0.1"/>
        <cfvo type="num" val="0"/>
        <cfvo type="num" val="0.1"/>
        <color rgb="FFF8696B"/>
        <color rgb="FFFFEB84"/>
        <color rgb="FF63BE7B"/>
      </colorScale>
    </cfRule>
  </conditionalFormatting>
  <conditionalFormatting sqref="Q392">
    <cfRule type="colorScale" priority="204">
      <colorScale>
        <cfvo type="num" val="-0.1"/>
        <cfvo type="num" val="0"/>
        <cfvo type="num" val="0.1"/>
        <color rgb="FFF8696B"/>
        <color rgb="FFFFEB84"/>
        <color rgb="FF63BE7B"/>
      </colorScale>
    </cfRule>
  </conditionalFormatting>
  <conditionalFormatting sqref="Q393">
    <cfRule type="colorScale" priority="203">
      <colorScale>
        <cfvo type="num" val="-0.1"/>
        <cfvo type="num" val="0"/>
        <cfvo type="num" val="0.1"/>
        <color rgb="FFF8696B"/>
        <color rgb="FFFFEB84"/>
        <color rgb="FF63BE7B"/>
      </colorScale>
    </cfRule>
  </conditionalFormatting>
  <hyperlinks>
    <hyperlink xmlns:r="http://schemas.openxmlformats.org/officeDocument/2006/relationships" ref="T6" r:id="rId1"/>
    <hyperlink xmlns:r="http://schemas.openxmlformats.org/officeDocument/2006/relationships" ref="T7" r:id="rId2"/>
    <hyperlink xmlns:r="http://schemas.openxmlformats.org/officeDocument/2006/relationships" ref="T8" r:id="rId3"/>
    <hyperlink xmlns:r="http://schemas.openxmlformats.org/officeDocument/2006/relationships" ref="T9" r:id="rId4"/>
    <hyperlink xmlns:r="http://schemas.openxmlformats.org/officeDocument/2006/relationships" ref="T10" r:id="rId5"/>
    <hyperlink xmlns:r="http://schemas.openxmlformats.org/officeDocument/2006/relationships" ref="T11" r:id="rId6"/>
    <hyperlink xmlns:r="http://schemas.openxmlformats.org/officeDocument/2006/relationships" ref="T12" r:id="rId7"/>
    <hyperlink xmlns:r="http://schemas.openxmlformats.org/officeDocument/2006/relationships" ref="T13" r:id="rId8"/>
    <hyperlink xmlns:r="http://schemas.openxmlformats.org/officeDocument/2006/relationships" ref="T14" r:id="rId9"/>
    <hyperlink xmlns:r="http://schemas.openxmlformats.org/officeDocument/2006/relationships" ref="T16" r:id="rId10"/>
    <hyperlink xmlns:r="http://schemas.openxmlformats.org/officeDocument/2006/relationships" ref="T17" r:id="rId11"/>
    <hyperlink xmlns:r="http://schemas.openxmlformats.org/officeDocument/2006/relationships" ref="T18" r:id="rId12"/>
    <hyperlink xmlns:r="http://schemas.openxmlformats.org/officeDocument/2006/relationships" ref="T19" r:id="rId13"/>
    <hyperlink xmlns:r="http://schemas.openxmlformats.org/officeDocument/2006/relationships" ref="T20" r:id="rId14"/>
    <hyperlink xmlns:r="http://schemas.openxmlformats.org/officeDocument/2006/relationships" ref="T21" r:id="rId15"/>
    <hyperlink xmlns:r="http://schemas.openxmlformats.org/officeDocument/2006/relationships" ref="T22" r:id="rId16"/>
    <hyperlink xmlns:r="http://schemas.openxmlformats.org/officeDocument/2006/relationships" ref="T23" r:id="rId17"/>
    <hyperlink xmlns:r="http://schemas.openxmlformats.org/officeDocument/2006/relationships" ref="T24" r:id="rId18"/>
    <hyperlink xmlns:r="http://schemas.openxmlformats.org/officeDocument/2006/relationships" ref="T26" r:id="rId19"/>
    <hyperlink xmlns:r="http://schemas.openxmlformats.org/officeDocument/2006/relationships" ref="T27" r:id="rId20"/>
    <hyperlink xmlns:r="http://schemas.openxmlformats.org/officeDocument/2006/relationships" ref="T28" r:id="rId21"/>
    <hyperlink xmlns:r="http://schemas.openxmlformats.org/officeDocument/2006/relationships" ref="T29" r:id="rId22"/>
    <hyperlink xmlns:r="http://schemas.openxmlformats.org/officeDocument/2006/relationships" ref="T30" r:id="rId23"/>
    <hyperlink xmlns:r="http://schemas.openxmlformats.org/officeDocument/2006/relationships" ref="T31" r:id="rId24"/>
    <hyperlink xmlns:r="http://schemas.openxmlformats.org/officeDocument/2006/relationships" ref="T32" r:id="rId25"/>
    <hyperlink xmlns:r="http://schemas.openxmlformats.org/officeDocument/2006/relationships" ref="T33" r:id="rId26"/>
    <hyperlink xmlns:r="http://schemas.openxmlformats.org/officeDocument/2006/relationships" ref="T34" r:id="rId27"/>
    <hyperlink xmlns:r="http://schemas.openxmlformats.org/officeDocument/2006/relationships" ref="T36" r:id="rId28"/>
    <hyperlink xmlns:r="http://schemas.openxmlformats.org/officeDocument/2006/relationships" ref="T37" r:id="rId29"/>
    <hyperlink xmlns:r="http://schemas.openxmlformats.org/officeDocument/2006/relationships" ref="T38" r:id="rId30"/>
    <hyperlink xmlns:r="http://schemas.openxmlformats.org/officeDocument/2006/relationships" ref="T39" r:id="rId31"/>
    <hyperlink xmlns:r="http://schemas.openxmlformats.org/officeDocument/2006/relationships" ref="T40" r:id="rId32"/>
    <hyperlink xmlns:r="http://schemas.openxmlformats.org/officeDocument/2006/relationships" ref="T41" r:id="rId33"/>
    <hyperlink xmlns:r="http://schemas.openxmlformats.org/officeDocument/2006/relationships" ref="T42" r:id="rId34"/>
    <hyperlink xmlns:r="http://schemas.openxmlformats.org/officeDocument/2006/relationships" ref="T43" r:id="rId35"/>
    <hyperlink xmlns:r="http://schemas.openxmlformats.org/officeDocument/2006/relationships" ref="T44" r:id="rId36"/>
    <hyperlink xmlns:r="http://schemas.openxmlformats.org/officeDocument/2006/relationships" ref="T46" r:id="rId37"/>
    <hyperlink xmlns:r="http://schemas.openxmlformats.org/officeDocument/2006/relationships" ref="T47" r:id="rId38"/>
    <hyperlink xmlns:r="http://schemas.openxmlformats.org/officeDocument/2006/relationships" ref="T48" r:id="rId39"/>
    <hyperlink xmlns:r="http://schemas.openxmlformats.org/officeDocument/2006/relationships" ref="T49" r:id="rId40"/>
    <hyperlink xmlns:r="http://schemas.openxmlformats.org/officeDocument/2006/relationships" ref="T51" r:id="rId41"/>
    <hyperlink xmlns:r="http://schemas.openxmlformats.org/officeDocument/2006/relationships" ref="T52" r:id="rId42"/>
    <hyperlink xmlns:r="http://schemas.openxmlformats.org/officeDocument/2006/relationships" ref="T53" r:id="rId43"/>
    <hyperlink xmlns:r="http://schemas.openxmlformats.org/officeDocument/2006/relationships" ref="T54" r:id="rId44"/>
    <hyperlink xmlns:r="http://schemas.openxmlformats.org/officeDocument/2006/relationships" ref="T55" display="CFO Commentary" r:id="rId45"/>
    <hyperlink xmlns:r="http://schemas.openxmlformats.org/officeDocument/2006/relationships" ref="T56" r:id="rId46"/>
    <hyperlink xmlns:r="http://schemas.openxmlformats.org/officeDocument/2006/relationships" ref="T57" r:id="rId47"/>
    <hyperlink xmlns:r="http://schemas.openxmlformats.org/officeDocument/2006/relationships" ref="T58" r:id="rId48"/>
    <hyperlink xmlns:r="http://schemas.openxmlformats.org/officeDocument/2006/relationships" ref="T59" r:id="rId49"/>
    <hyperlink xmlns:r="http://schemas.openxmlformats.org/officeDocument/2006/relationships" ref="T61" r:id="rId50"/>
    <hyperlink xmlns:r="http://schemas.openxmlformats.org/officeDocument/2006/relationships" ref="T62" r:id="rId51"/>
    <hyperlink xmlns:r="http://schemas.openxmlformats.org/officeDocument/2006/relationships" ref="T63" r:id="rId52"/>
    <hyperlink xmlns:r="http://schemas.openxmlformats.org/officeDocument/2006/relationships" ref="T64" r:id="rId53"/>
    <hyperlink xmlns:r="http://schemas.openxmlformats.org/officeDocument/2006/relationships" ref="T66" r:id="rId54"/>
    <hyperlink xmlns:r="http://schemas.openxmlformats.org/officeDocument/2006/relationships" ref="T67" r:id="rId55"/>
    <hyperlink xmlns:r="http://schemas.openxmlformats.org/officeDocument/2006/relationships" ref="T68" r:id="rId56"/>
    <hyperlink xmlns:r="http://schemas.openxmlformats.org/officeDocument/2006/relationships" ref="T69" r:id="rId57"/>
    <hyperlink xmlns:r="http://schemas.openxmlformats.org/officeDocument/2006/relationships" ref="T70" display="CFO Commentary" r:id="rId58"/>
    <hyperlink xmlns:r="http://schemas.openxmlformats.org/officeDocument/2006/relationships" ref="T71" r:id="rId59"/>
    <hyperlink xmlns:r="http://schemas.openxmlformats.org/officeDocument/2006/relationships" ref="T72" r:id="rId60"/>
    <hyperlink xmlns:r="http://schemas.openxmlformats.org/officeDocument/2006/relationships" ref="T73" r:id="rId61"/>
    <hyperlink xmlns:r="http://schemas.openxmlformats.org/officeDocument/2006/relationships" ref="T74" r:id="rId62"/>
    <hyperlink xmlns:r="http://schemas.openxmlformats.org/officeDocument/2006/relationships" ref="T76" r:id="rId63"/>
    <hyperlink xmlns:r="http://schemas.openxmlformats.org/officeDocument/2006/relationships" ref="T77" r:id="rId64"/>
    <hyperlink xmlns:r="http://schemas.openxmlformats.org/officeDocument/2006/relationships" ref="T78" r:id="rId65"/>
    <hyperlink xmlns:r="http://schemas.openxmlformats.org/officeDocument/2006/relationships" ref="T79" r:id="rId66"/>
    <hyperlink xmlns:r="http://schemas.openxmlformats.org/officeDocument/2006/relationships" ref="T80" r:id="rId67"/>
    <hyperlink xmlns:r="http://schemas.openxmlformats.org/officeDocument/2006/relationships" ref="T81" r:id="rId68"/>
    <hyperlink xmlns:r="http://schemas.openxmlformats.org/officeDocument/2006/relationships" ref="T82" r:id="rId69"/>
    <hyperlink xmlns:r="http://schemas.openxmlformats.org/officeDocument/2006/relationships" ref="T83" r:id="rId70"/>
    <hyperlink xmlns:r="http://schemas.openxmlformats.org/officeDocument/2006/relationships" ref="T84" r:id="rId71"/>
    <hyperlink xmlns:r="http://schemas.openxmlformats.org/officeDocument/2006/relationships" ref="T86" r:id="rId72"/>
    <hyperlink xmlns:r="http://schemas.openxmlformats.org/officeDocument/2006/relationships" ref="T87" r:id="rId73"/>
    <hyperlink xmlns:r="http://schemas.openxmlformats.org/officeDocument/2006/relationships" ref="T88" r:id="rId74"/>
    <hyperlink xmlns:r="http://schemas.openxmlformats.org/officeDocument/2006/relationships" ref="T89" r:id="rId75"/>
    <hyperlink xmlns:r="http://schemas.openxmlformats.org/officeDocument/2006/relationships" ref="T90" r:id="rId76"/>
    <hyperlink xmlns:r="http://schemas.openxmlformats.org/officeDocument/2006/relationships" ref="T91" r:id="rId77"/>
    <hyperlink xmlns:r="http://schemas.openxmlformats.org/officeDocument/2006/relationships" ref="T92" r:id="rId78"/>
    <hyperlink xmlns:r="http://schemas.openxmlformats.org/officeDocument/2006/relationships" ref="T93" r:id="rId79"/>
    <hyperlink xmlns:r="http://schemas.openxmlformats.org/officeDocument/2006/relationships" ref="T94" r:id="rId80"/>
    <hyperlink xmlns:r="http://schemas.openxmlformats.org/officeDocument/2006/relationships" ref="T96" r:id="rId81"/>
    <hyperlink xmlns:r="http://schemas.openxmlformats.org/officeDocument/2006/relationships" ref="T97" r:id="rId82"/>
    <hyperlink xmlns:r="http://schemas.openxmlformats.org/officeDocument/2006/relationships" ref="T98" r:id="rId83"/>
    <hyperlink xmlns:r="http://schemas.openxmlformats.org/officeDocument/2006/relationships" ref="T99" r:id="rId84"/>
    <hyperlink xmlns:r="http://schemas.openxmlformats.org/officeDocument/2006/relationships" ref="T100" r:id="rId85"/>
    <hyperlink xmlns:r="http://schemas.openxmlformats.org/officeDocument/2006/relationships" ref="T101" r:id="rId86"/>
    <hyperlink xmlns:r="http://schemas.openxmlformats.org/officeDocument/2006/relationships" ref="T102" r:id="rId87"/>
    <hyperlink xmlns:r="http://schemas.openxmlformats.org/officeDocument/2006/relationships" ref="T103" r:id="rId88"/>
    <hyperlink xmlns:r="http://schemas.openxmlformats.org/officeDocument/2006/relationships" ref="T104" r:id="rId89"/>
    <hyperlink xmlns:r="http://schemas.openxmlformats.org/officeDocument/2006/relationships" ref="T106" r:id="rId90"/>
    <hyperlink xmlns:r="http://schemas.openxmlformats.org/officeDocument/2006/relationships" ref="T108" r:id="rId91"/>
    <hyperlink xmlns:r="http://schemas.openxmlformats.org/officeDocument/2006/relationships" ref="T109" r:id="rId92"/>
    <hyperlink xmlns:r="http://schemas.openxmlformats.org/officeDocument/2006/relationships" ref="T110" r:id="rId93"/>
    <hyperlink xmlns:r="http://schemas.openxmlformats.org/officeDocument/2006/relationships" ref="T111" r:id="rId94"/>
    <hyperlink xmlns:r="http://schemas.openxmlformats.org/officeDocument/2006/relationships" ref="T112" r:id="rId95"/>
    <hyperlink xmlns:r="http://schemas.openxmlformats.org/officeDocument/2006/relationships" ref="T113" r:id="rId96"/>
    <hyperlink xmlns:r="http://schemas.openxmlformats.org/officeDocument/2006/relationships" ref="T114" r:id="rId97"/>
    <hyperlink xmlns:r="http://schemas.openxmlformats.org/officeDocument/2006/relationships" ref="T115" display="CFO Commentary" r:id="rId98"/>
    <hyperlink xmlns:r="http://schemas.openxmlformats.org/officeDocument/2006/relationships" ref="T116" r:id="rId99"/>
    <hyperlink xmlns:r="http://schemas.openxmlformats.org/officeDocument/2006/relationships" ref="T117" display="CFO Commentary" r:id="rId100"/>
    <hyperlink xmlns:r="http://schemas.openxmlformats.org/officeDocument/2006/relationships" ref="T119" r:id="rId101"/>
    <hyperlink xmlns:r="http://schemas.openxmlformats.org/officeDocument/2006/relationships" ref="T121" r:id="rId102"/>
    <hyperlink xmlns:r="http://schemas.openxmlformats.org/officeDocument/2006/relationships" ref="T122" r:id="rId103"/>
    <hyperlink xmlns:r="http://schemas.openxmlformats.org/officeDocument/2006/relationships" ref="T123" r:id="rId104"/>
    <hyperlink xmlns:r="http://schemas.openxmlformats.org/officeDocument/2006/relationships" ref="T124" r:id="rId105"/>
    <hyperlink xmlns:r="http://schemas.openxmlformats.org/officeDocument/2006/relationships" ref="T125" r:id="rId106"/>
    <hyperlink xmlns:r="http://schemas.openxmlformats.org/officeDocument/2006/relationships" ref="T126" r:id="rId107"/>
    <hyperlink xmlns:r="http://schemas.openxmlformats.org/officeDocument/2006/relationships" ref="T127" r:id="rId108"/>
    <hyperlink xmlns:r="http://schemas.openxmlformats.org/officeDocument/2006/relationships" ref="T128" display="CFO Commentary" r:id="rId109"/>
    <hyperlink xmlns:r="http://schemas.openxmlformats.org/officeDocument/2006/relationships" ref="T129" r:id="rId110"/>
    <hyperlink xmlns:r="http://schemas.openxmlformats.org/officeDocument/2006/relationships" ref="T130" display="CFO Commentary" r:id="rId111"/>
    <hyperlink xmlns:r="http://schemas.openxmlformats.org/officeDocument/2006/relationships" ref="T132" r:id="rId112"/>
    <hyperlink xmlns:r="http://schemas.openxmlformats.org/officeDocument/2006/relationships" ref="T133" r:id="rId113"/>
    <hyperlink xmlns:r="http://schemas.openxmlformats.org/officeDocument/2006/relationships" ref="T134" r:id="rId114"/>
    <hyperlink xmlns:r="http://schemas.openxmlformats.org/officeDocument/2006/relationships" ref="T135" r:id="rId115"/>
    <hyperlink xmlns:r="http://schemas.openxmlformats.org/officeDocument/2006/relationships" ref="T136" r:id="rId116"/>
    <hyperlink xmlns:r="http://schemas.openxmlformats.org/officeDocument/2006/relationships" ref="T137" r:id="rId117"/>
    <hyperlink xmlns:r="http://schemas.openxmlformats.org/officeDocument/2006/relationships" ref="T138" r:id="rId118"/>
    <hyperlink xmlns:r="http://schemas.openxmlformats.org/officeDocument/2006/relationships" ref="T139" r:id="rId119"/>
    <hyperlink xmlns:r="http://schemas.openxmlformats.org/officeDocument/2006/relationships" ref="T140" r:id="rId120"/>
    <hyperlink xmlns:r="http://schemas.openxmlformats.org/officeDocument/2006/relationships" ref="T141" display="CFO Commentary" r:id="rId121"/>
    <hyperlink xmlns:r="http://schemas.openxmlformats.org/officeDocument/2006/relationships" ref="T143" r:id="rId122"/>
    <hyperlink xmlns:r="http://schemas.openxmlformats.org/officeDocument/2006/relationships" ref="T144" r:id="rId123"/>
    <hyperlink xmlns:r="http://schemas.openxmlformats.org/officeDocument/2006/relationships" ref="T145" r:id="rId124"/>
    <hyperlink xmlns:r="http://schemas.openxmlformats.org/officeDocument/2006/relationships" ref="T146" r:id="rId125"/>
    <hyperlink xmlns:r="http://schemas.openxmlformats.org/officeDocument/2006/relationships" ref="T147" r:id="rId126"/>
    <hyperlink xmlns:r="http://schemas.openxmlformats.org/officeDocument/2006/relationships" ref="T148" r:id="rId127"/>
    <hyperlink xmlns:r="http://schemas.openxmlformats.org/officeDocument/2006/relationships" ref="T149" r:id="rId128"/>
    <hyperlink xmlns:r="http://schemas.openxmlformats.org/officeDocument/2006/relationships" ref="T150" r:id="rId129"/>
    <hyperlink xmlns:r="http://schemas.openxmlformats.org/officeDocument/2006/relationships" ref="T151" display="Press Release" r:id="rId130"/>
    <hyperlink xmlns:r="http://schemas.openxmlformats.org/officeDocument/2006/relationships" ref="T152" display="CFO Commentary" r:id="rId131"/>
    <hyperlink xmlns:r="http://schemas.openxmlformats.org/officeDocument/2006/relationships" ref="T154" r:id="rId132"/>
    <hyperlink xmlns:r="http://schemas.openxmlformats.org/officeDocument/2006/relationships" ref="T155" r:id="rId133"/>
    <hyperlink xmlns:r="http://schemas.openxmlformats.org/officeDocument/2006/relationships" ref="T156" r:id="rId134"/>
    <hyperlink xmlns:r="http://schemas.openxmlformats.org/officeDocument/2006/relationships" ref="T157" r:id="rId135"/>
    <hyperlink xmlns:r="http://schemas.openxmlformats.org/officeDocument/2006/relationships" ref="T158" r:id="rId136"/>
    <hyperlink xmlns:r="http://schemas.openxmlformats.org/officeDocument/2006/relationships" ref="T159" r:id="rId137"/>
    <hyperlink xmlns:r="http://schemas.openxmlformats.org/officeDocument/2006/relationships" ref="T160" r:id="rId138"/>
    <hyperlink xmlns:r="http://schemas.openxmlformats.org/officeDocument/2006/relationships" ref="T161" r:id="rId139"/>
    <hyperlink xmlns:r="http://schemas.openxmlformats.org/officeDocument/2006/relationships" ref="T162" display="Press Release" r:id="rId140"/>
    <hyperlink xmlns:r="http://schemas.openxmlformats.org/officeDocument/2006/relationships" ref="T163" display="CFO Commentary" r:id="rId141"/>
    <hyperlink xmlns:r="http://schemas.openxmlformats.org/officeDocument/2006/relationships" ref="T165" r:id="rId142"/>
    <hyperlink xmlns:r="http://schemas.openxmlformats.org/officeDocument/2006/relationships" ref="T166" r:id="rId143"/>
    <hyperlink xmlns:r="http://schemas.openxmlformats.org/officeDocument/2006/relationships" ref="T167" r:id="rId144"/>
    <hyperlink xmlns:r="http://schemas.openxmlformats.org/officeDocument/2006/relationships" ref="T168" r:id="rId145"/>
    <hyperlink xmlns:r="http://schemas.openxmlformats.org/officeDocument/2006/relationships" ref="T169" r:id="rId146"/>
    <hyperlink xmlns:r="http://schemas.openxmlformats.org/officeDocument/2006/relationships" ref="T170" r:id="rId147"/>
    <hyperlink xmlns:r="http://schemas.openxmlformats.org/officeDocument/2006/relationships" ref="T171" r:id="rId148"/>
    <hyperlink xmlns:r="http://schemas.openxmlformats.org/officeDocument/2006/relationships" ref="T172" r:id="rId149"/>
    <hyperlink xmlns:r="http://schemas.openxmlformats.org/officeDocument/2006/relationships" ref="T173" r:id="rId150"/>
    <hyperlink xmlns:r="http://schemas.openxmlformats.org/officeDocument/2006/relationships" ref="T174" display="CFO Commentary" r:id="rId151"/>
    <hyperlink xmlns:r="http://schemas.openxmlformats.org/officeDocument/2006/relationships" ref="T176" r:id="rId152"/>
    <hyperlink xmlns:r="http://schemas.openxmlformats.org/officeDocument/2006/relationships" ref="T177" r:id="rId153"/>
    <hyperlink xmlns:r="http://schemas.openxmlformats.org/officeDocument/2006/relationships" ref="T178" r:id="rId154"/>
    <hyperlink xmlns:r="http://schemas.openxmlformats.org/officeDocument/2006/relationships" ref="T179" r:id="rId155"/>
    <hyperlink xmlns:r="http://schemas.openxmlformats.org/officeDocument/2006/relationships" ref="T180" r:id="rId156"/>
    <hyperlink xmlns:r="http://schemas.openxmlformats.org/officeDocument/2006/relationships" ref="T181" r:id="rId157"/>
    <hyperlink xmlns:r="http://schemas.openxmlformats.org/officeDocument/2006/relationships" ref="T182" r:id="rId158"/>
    <hyperlink xmlns:r="http://schemas.openxmlformats.org/officeDocument/2006/relationships" ref="T183" r:id="rId159"/>
    <hyperlink xmlns:r="http://schemas.openxmlformats.org/officeDocument/2006/relationships" ref="T184" r:id="rId160"/>
    <hyperlink xmlns:r="http://schemas.openxmlformats.org/officeDocument/2006/relationships" ref="T185" display="Press Release" r:id="rId161"/>
    <hyperlink xmlns:r="http://schemas.openxmlformats.org/officeDocument/2006/relationships" ref="T186" r:id="rId162"/>
    <hyperlink xmlns:r="http://schemas.openxmlformats.org/officeDocument/2006/relationships" ref="T187" r:id="rId163"/>
    <hyperlink xmlns:r="http://schemas.openxmlformats.org/officeDocument/2006/relationships" ref="T189" r:id="rId164"/>
    <hyperlink xmlns:r="http://schemas.openxmlformats.org/officeDocument/2006/relationships" ref="T190" r:id="rId165"/>
    <hyperlink xmlns:r="http://schemas.openxmlformats.org/officeDocument/2006/relationships" ref="T191" r:id="rId166"/>
    <hyperlink xmlns:r="http://schemas.openxmlformats.org/officeDocument/2006/relationships" ref="T192" r:id="rId167"/>
    <hyperlink xmlns:r="http://schemas.openxmlformats.org/officeDocument/2006/relationships" ref="T193" r:id="rId168"/>
    <hyperlink xmlns:r="http://schemas.openxmlformats.org/officeDocument/2006/relationships" ref="T194" r:id="rId169"/>
    <hyperlink xmlns:r="http://schemas.openxmlformats.org/officeDocument/2006/relationships" ref="T195" r:id="rId170"/>
    <hyperlink xmlns:r="http://schemas.openxmlformats.org/officeDocument/2006/relationships" ref="T196" r:id="rId171"/>
    <hyperlink xmlns:r="http://schemas.openxmlformats.org/officeDocument/2006/relationships" ref="T197" display="Press Release" r:id="rId172"/>
    <hyperlink xmlns:r="http://schemas.openxmlformats.org/officeDocument/2006/relationships" ref="T198" display="Press Release" r:id="rId173"/>
    <hyperlink xmlns:r="http://schemas.openxmlformats.org/officeDocument/2006/relationships" ref="T199" r:id="rId174"/>
    <hyperlink xmlns:r="http://schemas.openxmlformats.org/officeDocument/2006/relationships" ref="T200" r:id="rId175"/>
    <hyperlink xmlns:r="http://schemas.openxmlformats.org/officeDocument/2006/relationships" ref="T202" r:id="rId176"/>
    <hyperlink xmlns:r="http://schemas.openxmlformats.org/officeDocument/2006/relationships" ref="T203" r:id="rId177"/>
    <hyperlink xmlns:r="http://schemas.openxmlformats.org/officeDocument/2006/relationships" ref="T204" r:id="rId178"/>
    <hyperlink xmlns:r="http://schemas.openxmlformats.org/officeDocument/2006/relationships" ref="T205" r:id="rId179"/>
    <hyperlink xmlns:r="http://schemas.openxmlformats.org/officeDocument/2006/relationships" ref="T206" r:id="rId180"/>
    <hyperlink xmlns:r="http://schemas.openxmlformats.org/officeDocument/2006/relationships" ref="T207" r:id="rId181"/>
    <hyperlink xmlns:r="http://schemas.openxmlformats.org/officeDocument/2006/relationships" ref="T208" r:id="rId182"/>
    <hyperlink xmlns:r="http://schemas.openxmlformats.org/officeDocument/2006/relationships" ref="T209" r:id="rId183"/>
    <hyperlink xmlns:r="http://schemas.openxmlformats.org/officeDocument/2006/relationships" ref="T210" display="Press Release" r:id="rId184"/>
    <hyperlink xmlns:r="http://schemas.openxmlformats.org/officeDocument/2006/relationships" ref="T211" display="Press Release" r:id="rId185"/>
    <hyperlink xmlns:r="http://schemas.openxmlformats.org/officeDocument/2006/relationships" ref="T212" r:id="rId186"/>
    <hyperlink xmlns:r="http://schemas.openxmlformats.org/officeDocument/2006/relationships" ref="T213" r:id="rId187"/>
    <hyperlink xmlns:r="http://schemas.openxmlformats.org/officeDocument/2006/relationships" ref="T215" r:id="rId188"/>
    <hyperlink xmlns:r="http://schemas.openxmlformats.org/officeDocument/2006/relationships" ref="T216" r:id="rId189"/>
    <hyperlink xmlns:r="http://schemas.openxmlformats.org/officeDocument/2006/relationships" ref="T217" r:id="rId190"/>
    <hyperlink xmlns:r="http://schemas.openxmlformats.org/officeDocument/2006/relationships" ref="T218" r:id="rId191"/>
    <hyperlink xmlns:r="http://schemas.openxmlformats.org/officeDocument/2006/relationships" ref="T219" r:id="rId192"/>
    <hyperlink xmlns:r="http://schemas.openxmlformats.org/officeDocument/2006/relationships" ref="T220" r:id="rId193"/>
    <hyperlink xmlns:r="http://schemas.openxmlformats.org/officeDocument/2006/relationships" ref="T221" r:id="rId194"/>
    <hyperlink xmlns:r="http://schemas.openxmlformats.org/officeDocument/2006/relationships" ref="T222" r:id="rId195"/>
    <hyperlink xmlns:r="http://schemas.openxmlformats.org/officeDocument/2006/relationships" ref="T223" display="Press Release" r:id="rId196"/>
    <hyperlink xmlns:r="http://schemas.openxmlformats.org/officeDocument/2006/relationships" ref="T224" display="Press Release" r:id="rId197"/>
    <hyperlink xmlns:r="http://schemas.openxmlformats.org/officeDocument/2006/relationships" ref="T225" r:id="rId198"/>
    <hyperlink xmlns:r="http://schemas.openxmlformats.org/officeDocument/2006/relationships" ref="T226" r:id="rId199"/>
    <hyperlink xmlns:r="http://schemas.openxmlformats.org/officeDocument/2006/relationships" ref="T228" r:id="rId200"/>
    <hyperlink xmlns:r="http://schemas.openxmlformats.org/officeDocument/2006/relationships" ref="T229" r:id="rId201"/>
    <hyperlink xmlns:r="http://schemas.openxmlformats.org/officeDocument/2006/relationships" ref="T230" r:id="rId202"/>
    <hyperlink xmlns:r="http://schemas.openxmlformats.org/officeDocument/2006/relationships" ref="T231" r:id="rId203"/>
    <hyperlink xmlns:r="http://schemas.openxmlformats.org/officeDocument/2006/relationships" ref="T232" r:id="rId204"/>
    <hyperlink xmlns:r="http://schemas.openxmlformats.org/officeDocument/2006/relationships" ref="T233" r:id="rId205"/>
    <hyperlink xmlns:r="http://schemas.openxmlformats.org/officeDocument/2006/relationships" ref="T234" r:id="rId206"/>
    <hyperlink xmlns:r="http://schemas.openxmlformats.org/officeDocument/2006/relationships" ref="T235" r:id="rId207"/>
    <hyperlink xmlns:r="http://schemas.openxmlformats.org/officeDocument/2006/relationships" ref="T236" display="Press Release" r:id="rId208"/>
    <hyperlink xmlns:r="http://schemas.openxmlformats.org/officeDocument/2006/relationships" ref="T237" display="Press Release" r:id="rId209"/>
    <hyperlink xmlns:r="http://schemas.openxmlformats.org/officeDocument/2006/relationships" ref="T238" r:id="rId210"/>
    <hyperlink xmlns:r="http://schemas.openxmlformats.org/officeDocument/2006/relationships" ref="T240" r:id="rId211"/>
    <hyperlink xmlns:r="http://schemas.openxmlformats.org/officeDocument/2006/relationships" ref="T241" r:id="rId212"/>
    <hyperlink xmlns:r="http://schemas.openxmlformats.org/officeDocument/2006/relationships" ref="T242" r:id="rId213"/>
    <hyperlink xmlns:r="http://schemas.openxmlformats.org/officeDocument/2006/relationships" ref="T243" r:id="rId214"/>
    <hyperlink xmlns:r="http://schemas.openxmlformats.org/officeDocument/2006/relationships" ref="T244" r:id="rId215"/>
    <hyperlink xmlns:r="http://schemas.openxmlformats.org/officeDocument/2006/relationships" ref="T245" r:id="rId216"/>
    <hyperlink xmlns:r="http://schemas.openxmlformats.org/officeDocument/2006/relationships" ref="T246" r:id="rId217"/>
    <hyperlink xmlns:r="http://schemas.openxmlformats.org/officeDocument/2006/relationships" ref="T247" r:id="rId218"/>
    <hyperlink xmlns:r="http://schemas.openxmlformats.org/officeDocument/2006/relationships" ref="T248" r:id="rId219"/>
    <hyperlink xmlns:r="http://schemas.openxmlformats.org/officeDocument/2006/relationships" ref="T249" display="Press Release" r:id="rId220"/>
    <hyperlink xmlns:r="http://schemas.openxmlformats.org/officeDocument/2006/relationships" ref="T250" r:id="rId221"/>
    <hyperlink xmlns:r="http://schemas.openxmlformats.org/officeDocument/2006/relationships" ref="T251" r:id="rId222"/>
    <hyperlink xmlns:r="http://schemas.openxmlformats.org/officeDocument/2006/relationships" ref="T253" r:id="rId223"/>
    <hyperlink xmlns:r="http://schemas.openxmlformats.org/officeDocument/2006/relationships" ref="T254" r:id="rId224"/>
    <hyperlink xmlns:r="http://schemas.openxmlformats.org/officeDocument/2006/relationships" ref="T255" r:id="rId225"/>
    <hyperlink xmlns:r="http://schemas.openxmlformats.org/officeDocument/2006/relationships" ref="T257" r:id="rId226"/>
    <hyperlink xmlns:r="http://schemas.openxmlformats.org/officeDocument/2006/relationships" ref="T258" r:id="rId227"/>
    <hyperlink xmlns:r="http://schemas.openxmlformats.org/officeDocument/2006/relationships" ref="T259" r:id="rId228"/>
    <hyperlink xmlns:r="http://schemas.openxmlformats.org/officeDocument/2006/relationships" ref="T260" r:id="rId229"/>
    <hyperlink xmlns:r="http://schemas.openxmlformats.org/officeDocument/2006/relationships" ref="T261" r:id="rId230"/>
    <hyperlink xmlns:r="http://schemas.openxmlformats.org/officeDocument/2006/relationships" ref="T262" display="Press Release" r:id="rId231"/>
    <hyperlink xmlns:r="http://schemas.openxmlformats.org/officeDocument/2006/relationships" ref="T263" r:id="rId232"/>
    <hyperlink xmlns:r="http://schemas.openxmlformats.org/officeDocument/2006/relationships" ref="T264" r:id="rId233"/>
    <hyperlink xmlns:r="http://schemas.openxmlformats.org/officeDocument/2006/relationships" ref="T265" r:id="rId234"/>
    <hyperlink xmlns:r="http://schemas.openxmlformats.org/officeDocument/2006/relationships" ref="T266" display="Press Release" r:id="rId235"/>
    <hyperlink xmlns:r="http://schemas.openxmlformats.org/officeDocument/2006/relationships" ref="T267" r:id="rId236"/>
    <hyperlink xmlns:r="http://schemas.openxmlformats.org/officeDocument/2006/relationships" ref="T268" r:id="rId237"/>
    <hyperlink xmlns:r="http://schemas.openxmlformats.org/officeDocument/2006/relationships" ref="T269" r:id="rId238"/>
    <hyperlink xmlns:r="http://schemas.openxmlformats.org/officeDocument/2006/relationships" ref="T271" r:id="rId239"/>
    <hyperlink xmlns:r="http://schemas.openxmlformats.org/officeDocument/2006/relationships" ref="T272" r:id="rId240"/>
    <hyperlink xmlns:r="http://schemas.openxmlformats.org/officeDocument/2006/relationships" ref="T273" r:id="rId241"/>
    <hyperlink xmlns:r="http://schemas.openxmlformats.org/officeDocument/2006/relationships" ref="T274" r:id="rId242"/>
    <hyperlink xmlns:r="http://schemas.openxmlformats.org/officeDocument/2006/relationships" ref="T275" r:id="rId243"/>
    <hyperlink xmlns:r="http://schemas.openxmlformats.org/officeDocument/2006/relationships" ref="T276" r:id="rId244"/>
    <hyperlink xmlns:r="http://schemas.openxmlformats.org/officeDocument/2006/relationships" ref="T277" r:id="rId245"/>
    <hyperlink xmlns:r="http://schemas.openxmlformats.org/officeDocument/2006/relationships" ref="T278" r:id="rId246"/>
    <hyperlink xmlns:r="http://schemas.openxmlformats.org/officeDocument/2006/relationships" ref="T279" r:id="rId247"/>
    <hyperlink xmlns:r="http://schemas.openxmlformats.org/officeDocument/2006/relationships" ref="T280" display="Press Release" r:id="rId248"/>
    <hyperlink xmlns:r="http://schemas.openxmlformats.org/officeDocument/2006/relationships" ref="T281" r:id="rId249"/>
    <hyperlink xmlns:r="http://schemas.openxmlformats.org/officeDocument/2006/relationships" ref="T283" r:id="rId250"/>
    <hyperlink xmlns:r="http://schemas.openxmlformats.org/officeDocument/2006/relationships" ref="T284" r:id="rId251"/>
    <hyperlink xmlns:r="http://schemas.openxmlformats.org/officeDocument/2006/relationships" ref="T285" r:id="rId252"/>
    <hyperlink xmlns:r="http://schemas.openxmlformats.org/officeDocument/2006/relationships" ref="T286" r:id="rId253"/>
    <hyperlink xmlns:r="http://schemas.openxmlformats.org/officeDocument/2006/relationships" ref="T287" r:id="rId254"/>
    <hyperlink xmlns:r="http://schemas.openxmlformats.org/officeDocument/2006/relationships" ref="T288" r:id="rId255"/>
    <hyperlink xmlns:r="http://schemas.openxmlformats.org/officeDocument/2006/relationships" ref="T289" r:id="rId256"/>
    <hyperlink xmlns:r="http://schemas.openxmlformats.org/officeDocument/2006/relationships" ref="T290" r:id="rId257"/>
    <hyperlink xmlns:r="http://schemas.openxmlformats.org/officeDocument/2006/relationships" ref="T291" r:id="rId258"/>
    <hyperlink xmlns:r="http://schemas.openxmlformats.org/officeDocument/2006/relationships" ref="T292" display="Press Release" r:id="rId259"/>
    <hyperlink xmlns:r="http://schemas.openxmlformats.org/officeDocument/2006/relationships" ref="T293" r:id="rId260"/>
    <hyperlink xmlns:r="http://schemas.openxmlformats.org/officeDocument/2006/relationships" ref="T294" r:id="rId261"/>
    <hyperlink xmlns:r="http://schemas.openxmlformats.org/officeDocument/2006/relationships" ref="T296" r:id="rId262"/>
    <hyperlink xmlns:r="http://schemas.openxmlformats.org/officeDocument/2006/relationships" ref="T297" r:id="rId263"/>
    <hyperlink xmlns:r="http://schemas.openxmlformats.org/officeDocument/2006/relationships" ref="T298" r:id="rId264"/>
    <hyperlink xmlns:r="http://schemas.openxmlformats.org/officeDocument/2006/relationships" ref="T299" r:id="rId265"/>
    <hyperlink xmlns:r="http://schemas.openxmlformats.org/officeDocument/2006/relationships" ref="T300" r:id="rId266"/>
    <hyperlink xmlns:r="http://schemas.openxmlformats.org/officeDocument/2006/relationships" ref="T301" r:id="rId267"/>
    <hyperlink xmlns:r="http://schemas.openxmlformats.org/officeDocument/2006/relationships" ref="T302" r:id="rId268"/>
    <hyperlink xmlns:r="http://schemas.openxmlformats.org/officeDocument/2006/relationships" ref="T303" r:id="rId269"/>
    <hyperlink xmlns:r="http://schemas.openxmlformats.org/officeDocument/2006/relationships" ref="T304" r:id="rId270"/>
    <hyperlink xmlns:r="http://schemas.openxmlformats.org/officeDocument/2006/relationships" ref="T305" display="Press Release" r:id="rId271"/>
    <hyperlink xmlns:r="http://schemas.openxmlformats.org/officeDocument/2006/relationships" ref="T306" r:id="rId272"/>
    <hyperlink xmlns:r="http://schemas.openxmlformats.org/officeDocument/2006/relationships" ref="T308" r:id="rId273"/>
    <hyperlink xmlns:r="http://schemas.openxmlformats.org/officeDocument/2006/relationships" ref="T309" r:id="rId274"/>
    <hyperlink xmlns:r="http://schemas.openxmlformats.org/officeDocument/2006/relationships" ref="T310" r:id="rId275"/>
    <hyperlink xmlns:r="http://schemas.openxmlformats.org/officeDocument/2006/relationships" ref="T311" r:id="rId276"/>
    <hyperlink xmlns:r="http://schemas.openxmlformats.org/officeDocument/2006/relationships" ref="T312" r:id="rId277"/>
    <hyperlink xmlns:r="http://schemas.openxmlformats.org/officeDocument/2006/relationships" ref="T313" r:id="rId278"/>
    <hyperlink xmlns:r="http://schemas.openxmlformats.org/officeDocument/2006/relationships" ref="T314" r:id="rId279"/>
    <hyperlink xmlns:r="http://schemas.openxmlformats.org/officeDocument/2006/relationships" ref="T315" r:id="rId280"/>
    <hyperlink xmlns:r="http://schemas.openxmlformats.org/officeDocument/2006/relationships" ref="T316" r:id="rId281"/>
    <hyperlink xmlns:r="http://schemas.openxmlformats.org/officeDocument/2006/relationships" ref="T317" display="Press Release" r:id="rId282"/>
    <hyperlink xmlns:r="http://schemas.openxmlformats.org/officeDocument/2006/relationships" ref="T318" r:id="rId283"/>
    <hyperlink xmlns:r="http://schemas.openxmlformats.org/officeDocument/2006/relationships" ref="T320" r:id="rId284"/>
    <hyperlink xmlns:r="http://schemas.openxmlformats.org/officeDocument/2006/relationships" ref="T321" r:id="rId285"/>
    <hyperlink xmlns:r="http://schemas.openxmlformats.org/officeDocument/2006/relationships" ref="T322" r:id="rId286"/>
    <hyperlink xmlns:r="http://schemas.openxmlformats.org/officeDocument/2006/relationships" ref="T323" r:id="rId287"/>
    <hyperlink xmlns:r="http://schemas.openxmlformats.org/officeDocument/2006/relationships" ref="T324" r:id="rId288"/>
    <hyperlink xmlns:r="http://schemas.openxmlformats.org/officeDocument/2006/relationships" ref="T325" r:id="rId289"/>
    <hyperlink xmlns:r="http://schemas.openxmlformats.org/officeDocument/2006/relationships" ref="T326" r:id="rId290"/>
    <hyperlink xmlns:r="http://schemas.openxmlformats.org/officeDocument/2006/relationships" ref="T327" r:id="rId291"/>
    <hyperlink xmlns:r="http://schemas.openxmlformats.org/officeDocument/2006/relationships" ref="T328" r:id="rId292"/>
    <hyperlink xmlns:r="http://schemas.openxmlformats.org/officeDocument/2006/relationships" ref="T329" display="Press Release" r:id="rId293"/>
    <hyperlink xmlns:r="http://schemas.openxmlformats.org/officeDocument/2006/relationships" ref="T330" r:id="rId294"/>
    <hyperlink xmlns:r="http://schemas.openxmlformats.org/officeDocument/2006/relationships" ref="T332" r:id="rId295"/>
    <hyperlink xmlns:r="http://schemas.openxmlformats.org/officeDocument/2006/relationships" ref="T333" r:id="rId296"/>
    <hyperlink xmlns:r="http://schemas.openxmlformats.org/officeDocument/2006/relationships" ref="T334" r:id="rId297"/>
    <hyperlink xmlns:r="http://schemas.openxmlformats.org/officeDocument/2006/relationships" ref="T335" r:id="rId298"/>
    <hyperlink xmlns:r="http://schemas.openxmlformats.org/officeDocument/2006/relationships" ref="T336" r:id="rId299"/>
    <hyperlink xmlns:r="http://schemas.openxmlformats.org/officeDocument/2006/relationships" ref="T337" r:id="rId300"/>
    <hyperlink xmlns:r="http://schemas.openxmlformats.org/officeDocument/2006/relationships" ref="T338" r:id="rId301"/>
    <hyperlink xmlns:r="http://schemas.openxmlformats.org/officeDocument/2006/relationships" ref="T339" r:id="rId302"/>
    <hyperlink xmlns:r="http://schemas.openxmlformats.org/officeDocument/2006/relationships" ref="T340" r:id="rId303"/>
    <hyperlink xmlns:r="http://schemas.openxmlformats.org/officeDocument/2006/relationships" ref="T341" display="Press Release" r:id="rId304"/>
    <hyperlink xmlns:r="http://schemas.openxmlformats.org/officeDocument/2006/relationships" ref="T342" r:id="rId305"/>
    <hyperlink xmlns:r="http://schemas.openxmlformats.org/officeDocument/2006/relationships" ref="T344" r:id="rId306"/>
    <hyperlink xmlns:r="http://schemas.openxmlformats.org/officeDocument/2006/relationships" ref="T345" r:id="rId307"/>
    <hyperlink xmlns:r="http://schemas.openxmlformats.org/officeDocument/2006/relationships" ref="T346" r:id="rId308"/>
    <hyperlink xmlns:r="http://schemas.openxmlformats.org/officeDocument/2006/relationships" ref="T347" r:id="rId309"/>
    <hyperlink xmlns:r="http://schemas.openxmlformats.org/officeDocument/2006/relationships" ref="T348" r:id="rId310"/>
    <hyperlink xmlns:r="http://schemas.openxmlformats.org/officeDocument/2006/relationships" ref="T349" r:id="rId311"/>
    <hyperlink xmlns:r="http://schemas.openxmlformats.org/officeDocument/2006/relationships" ref="T350" r:id="rId312"/>
    <hyperlink xmlns:r="http://schemas.openxmlformats.org/officeDocument/2006/relationships" ref="T351" r:id="rId313"/>
    <hyperlink xmlns:r="http://schemas.openxmlformats.org/officeDocument/2006/relationships" ref="T352" r:id="rId314"/>
    <hyperlink xmlns:r="http://schemas.openxmlformats.org/officeDocument/2006/relationships" ref="T353" display="Press Release" r:id="rId315"/>
    <hyperlink xmlns:r="http://schemas.openxmlformats.org/officeDocument/2006/relationships" ref="T354" r:id="rId316"/>
    <hyperlink xmlns:r="http://schemas.openxmlformats.org/officeDocument/2006/relationships" ref="T356" r:id="rId317"/>
    <hyperlink xmlns:r="http://schemas.openxmlformats.org/officeDocument/2006/relationships" ref="T357" r:id="rId318"/>
    <hyperlink xmlns:r="http://schemas.openxmlformats.org/officeDocument/2006/relationships" ref="T358" r:id="rId319"/>
    <hyperlink xmlns:r="http://schemas.openxmlformats.org/officeDocument/2006/relationships" ref="T359" r:id="rId320"/>
    <hyperlink xmlns:r="http://schemas.openxmlformats.org/officeDocument/2006/relationships" ref="T360" r:id="rId321"/>
    <hyperlink xmlns:r="http://schemas.openxmlformats.org/officeDocument/2006/relationships" ref="T361" r:id="rId322"/>
    <hyperlink xmlns:r="http://schemas.openxmlformats.org/officeDocument/2006/relationships" ref="T362" r:id="rId323"/>
    <hyperlink xmlns:r="http://schemas.openxmlformats.org/officeDocument/2006/relationships" ref="T363" r:id="rId324"/>
    <hyperlink xmlns:r="http://schemas.openxmlformats.org/officeDocument/2006/relationships" ref="T364" r:id="rId325"/>
    <hyperlink xmlns:r="http://schemas.openxmlformats.org/officeDocument/2006/relationships" ref="T366" r:id="rId326"/>
    <hyperlink xmlns:r="http://schemas.openxmlformats.org/officeDocument/2006/relationships" ref="T367" r:id="rId327"/>
    <hyperlink xmlns:r="http://schemas.openxmlformats.org/officeDocument/2006/relationships" ref="T368" r:id="rId328"/>
    <hyperlink xmlns:r="http://schemas.openxmlformats.org/officeDocument/2006/relationships" ref="T369" r:id="rId329"/>
    <hyperlink xmlns:r="http://schemas.openxmlformats.org/officeDocument/2006/relationships" ref="T370" r:id="rId330"/>
    <hyperlink xmlns:r="http://schemas.openxmlformats.org/officeDocument/2006/relationships" ref="T371" r:id="rId331"/>
    <hyperlink xmlns:r="http://schemas.openxmlformats.org/officeDocument/2006/relationships" ref="T372" r:id="rId332"/>
    <hyperlink xmlns:r="http://schemas.openxmlformats.org/officeDocument/2006/relationships" ref="T373" r:id="rId333"/>
    <hyperlink xmlns:r="http://schemas.openxmlformats.org/officeDocument/2006/relationships" ref="T374" r:id="rId334"/>
    <hyperlink xmlns:r="http://schemas.openxmlformats.org/officeDocument/2006/relationships" ref="T375" display="Press Release" r:id="rId335"/>
    <hyperlink xmlns:r="http://schemas.openxmlformats.org/officeDocument/2006/relationships" ref="T377" r:id="rId336"/>
    <hyperlink xmlns:r="http://schemas.openxmlformats.org/officeDocument/2006/relationships" ref="T378" r:id="rId337"/>
    <hyperlink xmlns:r="http://schemas.openxmlformats.org/officeDocument/2006/relationships" ref="T379" r:id="rId338"/>
    <hyperlink xmlns:r="http://schemas.openxmlformats.org/officeDocument/2006/relationships" ref="T380" r:id="rId339"/>
    <hyperlink xmlns:r="http://schemas.openxmlformats.org/officeDocument/2006/relationships" ref="T381" r:id="rId340"/>
    <hyperlink xmlns:r="http://schemas.openxmlformats.org/officeDocument/2006/relationships" ref="T382" r:id="rId341"/>
    <hyperlink xmlns:r="http://schemas.openxmlformats.org/officeDocument/2006/relationships" ref="T383" r:id="rId342"/>
  </hyperlinks>
  <pageMargins left="0.7" right="0.7" top="0.75" bottom="0.75" header="0.3" footer="0.3"/>
  <pageSetup orientation="portrait"/>
  <legacyDrawing xmlns:r="http://schemas.openxmlformats.org/officeDocument/2006/relationships" r:id="anysvml"/>
</worksheet>
</file>

<file path=xl/worksheets/sheet7.xml><?xml version="1.0" encoding="utf-8"?>
<worksheet xmlns="http://schemas.openxmlformats.org/spreadsheetml/2006/main">
  <sheetPr codeName="Sheet1">
    <outlinePr summaryBelow="1" summaryRight="1"/>
    <pageSetUpPr fitToPage="1"/>
  </sheetPr>
  <dimension ref="A1:CG135"/>
  <sheetViews>
    <sheetView workbookViewId="0">
      <pane xSplit="2" ySplit="2" topLeftCell="AY3" activePane="bottomRight" state="frozenSplit"/>
      <selection pane="topRight" activeCell="C1" sqref="C1"/>
      <selection pane="bottomLeft" activeCell="A3" sqref="A3"/>
      <selection pane="bottomRight" activeCell="CF6" sqref="CF6"/>
    </sheetView>
  </sheetViews>
  <sheetFormatPr baseColWidth="10" defaultColWidth="9.33203125" defaultRowHeight="15" outlineLevelRow="1"/>
  <cols>
    <col width="41.33203125" customWidth="1" style="963" min="1" max="1"/>
    <col width="9.6640625" customWidth="1" style="963" min="2" max="6"/>
    <col hidden="1" outlineLevel="1" width="9.6640625" customWidth="1" style="963" min="7" max="10"/>
    <col collapsed="1" width="9.6640625" customWidth="1" style="963" min="11" max="11"/>
    <col hidden="1" outlineLevel="1" width="9.6640625" customWidth="1" style="963" min="12" max="15"/>
    <col collapsed="1" width="9.6640625" customWidth="1" style="963" min="16" max="16"/>
    <col hidden="1" outlineLevel="1" width="9.6640625" customWidth="1" style="963" min="17" max="20"/>
    <col collapsed="1" width="9.6640625" customWidth="1" style="963" min="21" max="21"/>
    <col hidden="1" outlineLevel="1" width="9.6640625" customWidth="1" style="963" min="22" max="25"/>
    <col collapsed="1" width="9.6640625" customWidth="1" style="963" min="26" max="26"/>
    <col hidden="1" outlineLevel="1" width="9.6640625" customWidth="1" style="963" min="27" max="30"/>
    <col collapsed="1" width="9.6640625" customWidth="1" style="963" min="31" max="31"/>
    <col hidden="1" outlineLevel="1" width="9.6640625" customWidth="1" style="963" min="32" max="35"/>
    <col collapsed="1" width="9.6640625" customWidth="1" style="963" min="36" max="36"/>
    <col hidden="1" outlineLevel="1" width="9.6640625" customWidth="1" style="963" min="37" max="40"/>
    <col collapsed="1" width="9.6640625" customWidth="1" style="963" min="41" max="41"/>
    <col hidden="1" outlineLevel="1" width="9.6640625" customWidth="1" style="963" min="42" max="45"/>
    <col collapsed="1" width="9.6640625" customWidth="1" style="963" min="46" max="46"/>
    <col hidden="1" outlineLevel="1" width="9.6640625" customWidth="1" style="963" min="47" max="50"/>
    <col collapsed="1" width="9.6640625" customWidth="1" style="963" min="51" max="51"/>
    <col hidden="1" outlineLevel="1" width="9.6640625" customWidth="1" style="963" min="52" max="55"/>
    <col collapsed="1" width="9.6640625" customWidth="1" style="963" min="56" max="56"/>
    <col hidden="1" outlineLevel="1" collapsed="1" width="9.6640625" customWidth="1" style="963" min="57" max="59"/>
    <col hidden="1" outlineLevel="1" width="9.6640625" customWidth="1" style="963" min="60" max="60"/>
    <col collapsed="1" width="9.6640625" customWidth="1" style="963" min="61" max="61"/>
    <col hidden="1" outlineLevel="1" collapsed="1" width="9.6640625" customWidth="1" style="963" min="62" max="64"/>
    <col hidden="1" outlineLevel="1" width="9.6640625" customWidth="1" style="963" min="65" max="65"/>
    <col collapsed="1" width="9.6640625" customWidth="1" style="963" min="66" max="66"/>
    <col hidden="1" outlineLevel="1" collapsed="1" width="9.6640625" customWidth="1" style="963" min="67" max="69"/>
    <col hidden="1" outlineLevel="1" width="9.6640625" customWidth="1" style="963" min="70" max="70"/>
    <col collapsed="1" width="9.6640625" customWidth="1" style="963" min="71" max="71"/>
    <col outlineLevel="1" collapsed="1" width="9.6640625" customWidth="1" style="963" min="72" max="74"/>
    <col outlineLevel="1" width="9.6640625" customWidth="1" style="963" min="75" max="75"/>
    <col width="9.6640625" customWidth="1" style="963" min="76" max="76"/>
    <col hidden="1" outlineLevel="1" collapsed="1" width="9.6640625" customWidth="1" style="963" min="77" max="79"/>
    <col hidden="1" outlineLevel="1" width="9.6640625" customWidth="1" style="963" min="80" max="80"/>
    <col collapsed="1" width="9.6640625" customWidth="1" style="963" min="81" max="81"/>
    <col width="9.6640625" customWidth="1" style="963" min="82" max="84"/>
    <col width="8.6640625" customWidth="1" style="963" min="85" max="85"/>
    <col width="9.33203125" customWidth="1" style="963" min="86" max="92"/>
    <col width="9.33203125" customWidth="1" style="963" min="93" max="16384"/>
  </cols>
  <sheetData>
    <row r="1" ht="29" customHeight="1">
      <c r="A1" s="167">
        <f>MO.CompanyName</f>
        <v/>
      </c>
      <c r="B1" s="1013" t="n"/>
      <c r="C1" s="1234">
        <f>INDEX(MO_Common_QEndDate,0,COLUMN())</f>
        <v/>
      </c>
      <c r="D1" s="1235">
        <f>INDEX(MO_Common_QEndDate,0,COLUMN())</f>
        <v/>
      </c>
      <c r="E1" s="1235">
        <f>INDEX(MO_Common_QEndDate,0,COLUMN())</f>
        <v/>
      </c>
      <c r="F1" s="1235">
        <f>INDEX(MO_Common_QEndDate,0,COLUMN())</f>
        <v/>
      </c>
      <c r="G1" s="153">
        <f>INDEX(MO_Common_QEndDate,0,COLUMN())</f>
        <v/>
      </c>
      <c r="H1" s="153">
        <f>INDEX(MO_Common_QEndDate,0,COLUMN())</f>
        <v/>
      </c>
      <c r="I1" s="153">
        <f>INDEX(MO_Common_QEndDate,0,COLUMN())</f>
        <v/>
      </c>
      <c r="J1" s="153">
        <f>INDEX(MO_Common_QEndDate,0,COLUMN())</f>
        <v/>
      </c>
      <c r="K1" s="1235">
        <f>INDEX(MO_Common_QEndDate,0,COLUMN())</f>
        <v/>
      </c>
      <c r="L1" s="153">
        <f>INDEX(MO_Common_QEndDate,0,COLUMN())</f>
        <v/>
      </c>
      <c r="M1" s="153">
        <f>INDEX(MO_Common_QEndDate,0,COLUMN())</f>
        <v/>
      </c>
      <c r="N1" s="153">
        <f>INDEX(MO_Common_QEndDate,0,COLUMN())</f>
        <v/>
      </c>
      <c r="O1" s="153">
        <f>INDEX(MO_Common_QEndDate,0,COLUMN())</f>
        <v/>
      </c>
      <c r="P1" s="1235">
        <f>INDEX(MO_Common_QEndDate,0,COLUMN())</f>
        <v/>
      </c>
      <c r="Q1" s="153">
        <f>INDEX(MO_Common_QEndDate,0,COLUMN())</f>
        <v/>
      </c>
      <c r="R1" s="153">
        <f>INDEX(MO_Common_QEndDate,0,COLUMN())</f>
        <v/>
      </c>
      <c r="S1" s="153">
        <f>INDEX(MO_Common_QEndDate,0,COLUMN())</f>
        <v/>
      </c>
      <c r="T1" s="153">
        <f>INDEX(MO_Common_QEndDate,0,COLUMN())</f>
        <v/>
      </c>
      <c r="U1" s="1235">
        <f>INDEX(MO_Common_QEndDate,0,COLUMN())</f>
        <v/>
      </c>
      <c r="V1" s="153">
        <f>INDEX(MO_Common_QEndDate,0,COLUMN())</f>
        <v/>
      </c>
      <c r="W1" s="153">
        <f>INDEX(MO_Common_QEndDate,0,COLUMN())</f>
        <v/>
      </c>
      <c r="X1" s="153">
        <f>INDEX(MO_Common_QEndDate,0,COLUMN())</f>
        <v/>
      </c>
      <c r="Y1" s="153">
        <f>INDEX(MO_Common_QEndDate,0,COLUMN())</f>
        <v/>
      </c>
      <c r="Z1" s="1235">
        <f>INDEX(MO_Common_QEndDate,0,COLUMN())</f>
        <v/>
      </c>
      <c r="AA1" s="153">
        <f>INDEX(MO_Common_QEndDate,0,COLUMN())</f>
        <v/>
      </c>
      <c r="AB1" s="153">
        <f>INDEX(MO_Common_QEndDate,0,COLUMN())</f>
        <v/>
      </c>
      <c r="AC1" s="153">
        <f>INDEX(MO_Common_QEndDate,0,COLUMN())</f>
        <v/>
      </c>
      <c r="AD1" s="153">
        <f>INDEX(MO_Common_QEndDate,0,COLUMN())</f>
        <v/>
      </c>
      <c r="AE1" s="1235">
        <f>INDEX(MO_Common_QEndDate,0,COLUMN())</f>
        <v/>
      </c>
      <c r="AF1" s="153">
        <f>INDEX(MO_Common_QEndDate,0,COLUMN())</f>
        <v/>
      </c>
      <c r="AG1" s="153">
        <f>INDEX(MO_Common_QEndDate,0,COLUMN())</f>
        <v/>
      </c>
      <c r="AH1" s="153">
        <f>INDEX(MO_Common_QEndDate,0,COLUMN())</f>
        <v/>
      </c>
      <c r="AI1" s="153">
        <f>INDEX(MO_Common_QEndDate,0,COLUMN())</f>
        <v/>
      </c>
      <c r="AJ1" s="1235">
        <f>INDEX(MO_Common_QEndDate,0,COLUMN())</f>
        <v/>
      </c>
      <c r="AK1" s="153">
        <f>INDEX(MO_Common_QEndDate,0,COLUMN())</f>
        <v/>
      </c>
      <c r="AL1" s="153">
        <f>INDEX(MO_Common_QEndDate,0,COLUMN())</f>
        <v/>
      </c>
      <c r="AM1" s="153">
        <f>INDEX(MO_Common_QEndDate,0,COLUMN())</f>
        <v/>
      </c>
      <c r="AN1" s="153">
        <f>INDEX(MO_Common_QEndDate,0,COLUMN())</f>
        <v/>
      </c>
      <c r="AO1" s="1235">
        <f>INDEX(MO_Common_QEndDate,0,COLUMN())</f>
        <v/>
      </c>
      <c r="AP1" s="153">
        <f>INDEX(MO_Common_QEndDate,0,COLUMN())</f>
        <v/>
      </c>
      <c r="AQ1" s="153">
        <f>INDEX(MO_Common_QEndDate,0,COLUMN())</f>
        <v/>
      </c>
      <c r="AR1" s="153">
        <f>INDEX(MO_Common_QEndDate,0,COLUMN())</f>
        <v/>
      </c>
      <c r="AS1" s="153">
        <f>INDEX(MO_Common_QEndDate,0,COLUMN())</f>
        <v/>
      </c>
      <c r="AT1" s="1235">
        <f>INDEX(MO_Common_QEndDate,0,COLUMN())</f>
        <v/>
      </c>
      <c r="AU1" s="153">
        <f>INDEX(MO_Common_QEndDate,0,COLUMN())</f>
        <v/>
      </c>
      <c r="AV1" s="153">
        <f>INDEX(MO_Common_QEndDate,0,COLUMN())</f>
        <v/>
      </c>
      <c r="AW1" s="153">
        <f>INDEX(MO_Common_QEndDate,0,COLUMN())</f>
        <v/>
      </c>
      <c r="AX1" s="153">
        <f>INDEX(MO_Common_QEndDate,0,COLUMN())</f>
        <v/>
      </c>
      <c r="AY1" s="1235">
        <f>INDEX(MO_Common_QEndDate,0,COLUMN())</f>
        <v/>
      </c>
      <c r="AZ1" s="153">
        <f>INDEX(MO_Common_QEndDate,0,COLUMN())</f>
        <v/>
      </c>
      <c r="BA1" s="153">
        <f>INDEX(MO_Common_QEndDate,0,COLUMN())</f>
        <v/>
      </c>
      <c r="BB1" s="153">
        <f>INDEX(MO_Common_QEndDate,0,COLUMN())</f>
        <v/>
      </c>
      <c r="BC1" s="153">
        <f>INDEX(MO_Common_QEndDate,0,COLUMN())</f>
        <v/>
      </c>
      <c r="BD1" s="1235">
        <f>INDEX(MO_Common_QEndDate,0,COLUMN())</f>
        <v/>
      </c>
      <c r="BE1" s="153">
        <f>INDEX(MO_Common_QEndDate,0,COLUMN())</f>
        <v/>
      </c>
      <c r="BF1" s="153">
        <f>INDEX(MO_Common_QEndDate,0,COLUMN())</f>
        <v/>
      </c>
      <c r="BG1" s="153">
        <f>INDEX(MO_Common_QEndDate,0,COLUMN())</f>
        <v/>
      </c>
      <c r="BH1" s="153">
        <f>INDEX(MO_Common_QEndDate,0,COLUMN())</f>
        <v/>
      </c>
      <c r="BI1" s="1235">
        <f>INDEX(MO_Common_QEndDate,0,COLUMN())</f>
        <v/>
      </c>
      <c r="BJ1" s="153">
        <f>INDEX(MO_Common_QEndDate,0,COLUMN())</f>
        <v/>
      </c>
      <c r="BK1" s="153">
        <f>INDEX(MO_Common_QEndDate,0,COLUMN())</f>
        <v/>
      </c>
      <c r="BL1" s="153">
        <f>INDEX(MO_Common_QEndDate,0,COLUMN())</f>
        <v/>
      </c>
      <c r="BM1" s="153">
        <f>INDEX(MO_Common_QEndDate,0,COLUMN())</f>
        <v/>
      </c>
      <c r="BN1" s="1235">
        <f>INDEX(MO_Common_QEndDate,0,COLUMN())</f>
        <v/>
      </c>
      <c r="BO1" s="153">
        <f>INDEX(MO_Common_QEndDate,0,COLUMN())</f>
        <v/>
      </c>
      <c r="BP1" s="153">
        <f>INDEX(MO_Common_QEndDate,0,COLUMN())</f>
        <v/>
      </c>
      <c r="BQ1" s="153">
        <f>INDEX(MO_Common_QEndDate,0,COLUMN())</f>
        <v/>
      </c>
      <c r="BR1" s="153">
        <f>INDEX(MO_Common_QEndDate,0,COLUMN())</f>
        <v/>
      </c>
      <c r="BS1" s="1235">
        <f>INDEX(MO_Common_QEndDate,0,COLUMN())</f>
        <v/>
      </c>
      <c r="BT1" s="153">
        <f>INDEX(MO_Common_QEndDate,0,COLUMN())</f>
        <v/>
      </c>
      <c r="BU1" s="153">
        <f>INDEX(MO_Common_QEndDate,0,COLUMN())</f>
        <v/>
      </c>
      <c r="BV1" s="942">
        <f>INDEX(MO_Common_QEndDate,0,COLUMN())</f>
        <v/>
      </c>
      <c r="BW1" s="153">
        <f>INDEX(MO_Common_QEndDate,0,COLUMN())</f>
        <v/>
      </c>
      <c r="BX1" s="1235">
        <f>INDEX(MO_Common_QEndDate,0,COLUMN())</f>
        <v/>
      </c>
      <c r="BY1" s="153">
        <f>INDEX(MO_Common_QEndDate,0,COLUMN())</f>
        <v/>
      </c>
      <c r="BZ1" s="153">
        <f>INDEX(MO_Common_QEndDate,0,COLUMN())</f>
        <v/>
      </c>
      <c r="CA1" s="153">
        <f>INDEX(MO_Common_QEndDate,0,COLUMN())</f>
        <v/>
      </c>
      <c r="CB1" s="153">
        <f>INDEX(MO_Common_QEndDate,0,COLUMN())</f>
        <v/>
      </c>
      <c r="CC1" s="1235">
        <f>INDEX(MO_Common_QEndDate,0,COLUMN())</f>
        <v/>
      </c>
      <c r="CD1" s="1235">
        <f>INDEX(MO_Common_QEndDate,0,COLUMN())</f>
        <v/>
      </c>
      <c r="CE1" s="1235">
        <f>INDEX(MO_Common_QEndDate,0,COLUMN())</f>
        <v/>
      </c>
      <c r="CF1" s="1235">
        <f>INDEX(MO_Common_QEndDate,0,COLUMN())</f>
        <v/>
      </c>
      <c r="CG1" s="1013" t="n"/>
    </row>
    <row r="2" customFormat="1" s="971">
      <c r="A2" s="193" t="inlineStr">
        <is>
          <t>Reports</t>
        </is>
      </c>
      <c r="B2" s="194">
        <f>MO.ReportFX</f>
        <v/>
      </c>
      <c r="C2" s="189">
        <f>INDEX(MO_Common_ColumnHeader,0,COLUMN())</f>
        <v/>
      </c>
      <c r="D2" s="1236">
        <f>INDEX(MO_Common_ColumnHeader,0,COLUMN())</f>
        <v/>
      </c>
      <c r="E2" s="1236">
        <f>INDEX(MO_Common_ColumnHeader,0,COLUMN())</f>
        <v/>
      </c>
      <c r="F2" s="1236">
        <f>INDEX(MO_Common_ColumnHeader,0,COLUMN())</f>
        <v/>
      </c>
      <c r="G2" s="128">
        <f>INDEX(MO_Common_ColumnHeader,0,COLUMN())</f>
        <v/>
      </c>
      <c r="H2" s="128">
        <f>INDEX(MO_Common_ColumnHeader,0,COLUMN())</f>
        <v/>
      </c>
      <c r="I2" s="128">
        <f>INDEX(MO_Common_ColumnHeader,0,COLUMN())</f>
        <v/>
      </c>
      <c r="J2" s="128">
        <f>INDEX(MO_Common_ColumnHeader,0,COLUMN())</f>
        <v/>
      </c>
      <c r="K2" s="1236">
        <f>INDEX(MO_Common_ColumnHeader,0,COLUMN())</f>
        <v/>
      </c>
      <c r="L2" s="128">
        <f>INDEX(MO_Common_ColumnHeader,0,COLUMN())</f>
        <v/>
      </c>
      <c r="M2" s="128">
        <f>INDEX(MO_Common_ColumnHeader,0,COLUMN())</f>
        <v/>
      </c>
      <c r="N2" s="128">
        <f>INDEX(MO_Common_ColumnHeader,0,COLUMN())</f>
        <v/>
      </c>
      <c r="O2" s="128">
        <f>INDEX(MO_Common_ColumnHeader,0,COLUMN())</f>
        <v/>
      </c>
      <c r="P2" s="1236">
        <f>INDEX(MO_Common_ColumnHeader,0,COLUMN())</f>
        <v/>
      </c>
      <c r="Q2" s="128">
        <f>INDEX(MO_Common_ColumnHeader,0,COLUMN())</f>
        <v/>
      </c>
      <c r="R2" s="128">
        <f>INDEX(MO_Common_ColumnHeader,0,COLUMN())</f>
        <v/>
      </c>
      <c r="S2" s="128">
        <f>INDEX(MO_Common_ColumnHeader,0,COLUMN())</f>
        <v/>
      </c>
      <c r="T2" s="128">
        <f>INDEX(MO_Common_ColumnHeader,0,COLUMN())</f>
        <v/>
      </c>
      <c r="U2" s="1236">
        <f>INDEX(MO_Common_ColumnHeader,0,COLUMN())</f>
        <v/>
      </c>
      <c r="V2" s="128">
        <f>INDEX(MO_Common_ColumnHeader,0,COLUMN())</f>
        <v/>
      </c>
      <c r="W2" s="128">
        <f>INDEX(MO_Common_ColumnHeader,0,COLUMN())</f>
        <v/>
      </c>
      <c r="X2" s="128">
        <f>INDEX(MO_Common_ColumnHeader,0,COLUMN())</f>
        <v/>
      </c>
      <c r="Y2" s="128">
        <f>INDEX(MO_Common_ColumnHeader,0,COLUMN())</f>
        <v/>
      </c>
      <c r="Z2" s="1236">
        <f>INDEX(MO_Common_ColumnHeader,0,COLUMN())</f>
        <v/>
      </c>
      <c r="AA2" s="128">
        <f>INDEX(MO_Common_ColumnHeader,0,COLUMN())</f>
        <v/>
      </c>
      <c r="AB2" s="128">
        <f>INDEX(MO_Common_ColumnHeader,0,COLUMN())</f>
        <v/>
      </c>
      <c r="AC2" s="128">
        <f>INDEX(MO_Common_ColumnHeader,0,COLUMN())</f>
        <v/>
      </c>
      <c r="AD2" s="128">
        <f>INDEX(MO_Common_ColumnHeader,0,COLUMN())</f>
        <v/>
      </c>
      <c r="AE2" s="1236">
        <f>INDEX(MO_Common_ColumnHeader,0,COLUMN())</f>
        <v/>
      </c>
      <c r="AF2" s="128">
        <f>INDEX(MO_Common_ColumnHeader,0,COLUMN())</f>
        <v/>
      </c>
      <c r="AG2" s="128">
        <f>INDEX(MO_Common_ColumnHeader,0,COLUMN())</f>
        <v/>
      </c>
      <c r="AH2" s="128">
        <f>INDEX(MO_Common_ColumnHeader,0,COLUMN())</f>
        <v/>
      </c>
      <c r="AI2" s="128">
        <f>INDEX(MO_Common_ColumnHeader,0,COLUMN())</f>
        <v/>
      </c>
      <c r="AJ2" s="1236">
        <f>INDEX(MO_Common_ColumnHeader,0,COLUMN())</f>
        <v/>
      </c>
      <c r="AK2" s="128">
        <f>INDEX(MO_Common_ColumnHeader,0,COLUMN())</f>
        <v/>
      </c>
      <c r="AL2" s="128">
        <f>INDEX(MO_Common_ColumnHeader,0,COLUMN())</f>
        <v/>
      </c>
      <c r="AM2" s="128">
        <f>INDEX(MO_Common_ColumnHeader,0,COLUMN())</f>
        <v/>
      </c>
      <c r="AN2" s="128">
        <f>INDEX(MO_Common_ColumnHeader,0,COLUMN())</f>
        <v/>
      </c>
      <c r="AO2" s="1236">
        <f>INDEX(MO_Common_ColumnHeader,0,COLUMN())</f>
        <v/>
      </c>
      <c r="AP2" s="128">
        <f>INDEX(MO_Common_ColumnHeader,0,COLUMN())</f>
        <v/>
      </c>
      <c r="AQ2" s="128">
        <f>INDEX(MO_Common_ColumnHeader,0,COLUMN())</f>
        <v/>
      </c>
      <c r="AR2" s="128">
        <f>INDEX(MO_Common_ColumnHeader,0,COLUMN())</f>
        <v/>
      </c>
      <c r="AS2" s="128">
        <f>INDEX(MO_Common_ColumnHeader,0,COLUMN())</f>
        <v/>
      </c>
      <c r="AT2" s="1236">
        <f>INDEX(MO_Common_ColumnHeader,0,COLUMN())</f>
        <v/>
      </c>
      <c r="AU2" s="128">
        <f>INDEX(MO_Common_ColumnHeader,0,COLUMN())</f>
        <v/>
      </c>
      <c r="AV2" s="128">
        <f>INDEX(MO_Common_ColumnHeader,0,COLUMN())</f>
        <v/>
      </c>
      <c r="AW2" s="128">
        <f>INDEX(MO_Common_ColumnHeader,0,COLUMN())</f>
        <v/>
      </c>
      <c r="AX2" s="128">
        <f>INDEX(MO_Common_ColumnHeader,0,COLUMN())</f>
        <v/>
      </c>
      <c r="AY2" s="1236">
        <f>INDEX(MO_Common_ColumnHeader,0,COLUMN())</f>
        <v/>
      </c>
      <c r="AZ2" s="128">
        <f>INDEX(MO_Common_ColumnHeader,0,COLUMN())</f>
        <v/>
      </c>
      <c r="BA2" s="128">
        <f>INDEX(MO_Common_ColumnHeader,0,COLUMN())</f>
        <v/>
      </c>
      <c r="BB2" s="128">
        <f>INDEX(MO_Common_ColumnHeader,0,COLUMN())</f>
        <v/>
      </c>
      <c r="BC2" s="128">
        <f>INDEX(MO_Common_ColumnHeader,0,COLUMN())</f>
        <v/>
      </c>
      <c r="BD2" s="1236">
        <f>INDEX(MO_Common_ColumnHeader,0,COLUMN())</f>
        <v/>
      </c>
      <c r="BE2" s="128">
        <f>INDEX(MO_Common_ColumnHeader,0,COLUMN())</f>
        <v/>
      </c>
      <c r="BF2" s="128">
        <f>INDEX(MO_Common_ColumnHeader,0,COLUMN())</f>
        <v/>
      </c>
      <c r="BG2" s="128">
        <f>INDEX(MO_Common_ColumnHeader,0,COLUMN())</f>
        <v/>
      </c>
      <c r="BH2" s="128">
        <f>INDEX(MO_Common_ColumnHeader,0,COLUMN())</f>
        <v/>
      </c>
      <c r="BI2" s="1236">
        <f>INDEX(MO_Common_ColumnHeader,0,COLUMN())</f>
        <v/>
      </c>
      <c r="BJ2" s="128">
        <f>INDEX(MO_Common_ColumnHeader,0,COLUMN())</f>
        <v/>
      </c>
      <c r="BK2" s="128">
        <f>INDEX(MO_Common_ColumnHeader,0,COLUMN())</f>
        <v/>
      </c>
      <c r="BL2" s="128">
        <f>INDEX(MO_Common_ColumnHeader,0,COLUMN())</f>
        <v/>
      </c>
      <c r="BM2" s="128">
        <f>INDEX(MO_Common_ColumnHeader,0,COLUMN())</f>
        <v/>
      </c>
      <c r="BN2" s="1236">
        <f>INDEX(MO_Common_ColumnHeader,0,COLUMN())</f>
        <v/>
      </c>
      <c r="BO2" s="128">
        <f>INDEX(MO_Common_ColumnHeader,0,COLUMN())</f>
        <v/>
      </c>
      <c r="BP2" s="128">
        <f>INDEX(MO_Common_ColumnHeader,0,COLUMN())</f>
        <v/>
      </c>
      <c r="BQ2" s="128">
        <f>INDEX(MO_Common_ColumnHeader,0,COLUMN())</f>
        <v/>
      </c>
      <c r="BR2" s="128">
        <f>INDEX(MO_Common_ColumnHeader,0,COLUMN())</f>
        <v/>
      </c>
      <c r="BS2" s="1236">
        <f>INDEX(MO_Common_ColumnHeader,0,COLUMN())</f>
        <v/>
      </c>
      <c r="BT2" s="128">
        <f>INDEX(MO_Common_ColumnHeader,0,COLUMN())</f>
        <v/>
      </c>
      <c r="BU2" s="128">
        <f>INDEX(MO_Common_ColumnHeader,0,COLUMN())</f>
        <v/>
      </c>
      <c r="BV2" s="943">
        <f>INDEX(MO_Common_ColumnHeader,0,COLUMN())</f>
        <v/>
      </c>
      <c r="BW2" s="128">
        <f>INDEX(MO_Common_ColumnHeader,0,COLUMN())</f>
        <v/>
      </c>
      <c r="BX2" s="1236">
        <f>INDEX(MO_Common_ColumnHeader,0,COLUMN())</f>
        <v/>
      </c>
      <c r="BY2" s="128">
        <f>INDEX(MO_Common_ColumnHeader,0,COLUMN())</f>
        <v/>
      </c>
      <c r="BZ2" s="128">
        <f>INDEX(MO_Common_ColumnHeader,0,COLUMN())</f>
        <v/>
      </c>
      <c r="CA2" s="128">
        <f>INDEX(MO_Common_ColumnHeader,0,COLUMN())</f>
        <v/>
      </c>
      <c r="CB2" s="128">
        <f>INDEX(MO_Common_ColumnHeader,0,COLUMN())</f>
        <v/>
      </c>
      <c r="CC2" s="1236">
        <f>INDEX(MO_Common_ColumnHeader,0,COLUMN())</f>
        <v/>
      </c>
      <c r="CD2" s="1236">
        <f>INDEX(MO_Common_ColumnHeader,0,COLUMN())</f>
        <v/>
      </c>
      <c r="CE2" s="1236">
        <f>INDEX(MO_Common_ColumnHeader,0,COLUMN())</f>
        <v/>
      </c>
      <c r="CF2" s="1236">
        <f>INDEX(MO_Common_ColumnHeader,0,COLUMN())</f>
        <v/>
      </c>
      <c r="CG2" s="1013" t="n"/>
    </row>
    <row r="3">
      <c r="A3" s="126" t="inlineStr">
        <is>
          <t>Capitalization Summary</t>
        </is>
      </c>
      <c r="B3" s="126" t="n"/>
      <c r="C3" s="126" t="n"/>
      <c r="D3" s="126" t="n"/>
      <c r="E3" s="126" t="n"/>
      <c r="F3" s="126" t="n"/>
      <c r="G3" s="126" t="n"/>
      <c r="H3" s="126" t="n"/>
      <c r="I3" s="126" t="n"/>
      <c r="J3" s="126" t="n"/>
      <c r="K3" s="126" t="n"/>
      <c r="L3" s="126" t="n"/>
      <c r="M3" s="126" t="n"/>
      <c r="N3" s="126" t="n"/>
      <c r="O3" s="126" t="n"/>
      <c r="P3" s="126" t="n"/>
      <c r="Q3" s="126" t="n"/>
      <c r="R3" s="126" t="n"/>
      <c r="S3" s="126" t="n"/>
      <c r="T3" s="126" t="n"/>
      <c r="U3" s="126" t="n"/>
      <c r="V3" s="126" t="n"/>
      <c r="W3" s="126" t="n"/>
      <c r="X3" s="126" t="n"/>
      <c r="Y3" s="126" t="n"/>
      <c r="Z3" s="126" t="n"/>
      <c r="AA3" s="126" t="n"/>
      <c r="AB3" s="126" t="n"/>
      <c r="AC3" s="126" t="n"/>
      <c r="AD3" s="126" t="n"/>
      <c r="AE3" s="126" t="n"/>
      <c r="AF3" s="126" t="n"/>
      <c r="AG3" s="126" t="n"/>
      <c r="AH3" s="126" t="n"/>
      <c r="AI3" s="126" t="n"/>
      <c r="AJ3" s="126" t="n"/>
      <c r="AK3" s="126" t="n"/>
      <c r="AL3" s="126" t="n"/>
      <c r="AM3" s="126" t="n"/>
      <c r="AN3" s="126" t="n"/>
      <c r="AO3" s="126" t="n"/>
      <c r="AP3" s="126" t="n"/>
      <c r="AQ3" s="126" t="n"/>
      <c r="AR3" s="126" t="n"/>
      <c r="AS3" s="126" t="n"/>
      <c r="AT3" s="126" t="n"/>
      <c r="AU3" s="126" t="n"/>
      <c r="AV3" s="126" t="n"/>
      <c r="AW3" s="126" t="n"/>
      <c r="AX3" s="126" t="n"/>
      <c r="AY3" s="126" t="n"/>
      <c r="AZ3" s="126" t="n"/>
      <c r="BA3" s="126" t="n"/>
      <c r="BB3" s="126" t="n"/>
      <c r="BC3" s="126" t="n"/>
      <c r="BD3" s="126" t="n"/>
      <c r="BE3" s="126" t="n"/>
      <c r="BF3" s="126" t="n"/>
      <c r="BG3" s="126" t="n"/>
      <c r="BH3" s="126" t="n"/>
      <c r="BI3" s="126" t="n"/>
      <c r="BJ3" s="126" t="n"/>
      <c r="BK3" s="126" t="n"/>
      <c r="BL3" s="126" t="n"/>
      <c r="BM3" s="126" t="n"/>
      <c r="BN3" s="126" t="n"/>
      <c r="BO3" s="126" t="n"/>
      <c r="BP3" s="126" t="n"/>
      <c r="BQ3" s="126" t="n"/>
      <c r="BR3" s="126" t="n"/>
      <c r="BS3" s="126" t="n"/>
      <c r="BT3" s="126" t="n"/>
      <c r="BU3" s="126" t="n"/>
      <c r="BV3" s="543" t="n"/>
      <c r="BW3" s="126" t="n"/>
      <c r="BX3" s="126" t="n"/>
      <c r="BY3" s="126" t="n"/>
      <c r="BZ3" s="126" t="n"/>
      <c r="CA3" s="126" t="n"/>
      <c r="CB3" s="126" t="n"/>
      <c r="CC3" s="126" t="n"/>
      <c r="CD3" s="126" t="n"/>
      <c r="CE3" s="126" t="n"/>
      <c r="CF3" s="126" t="n"/>
      <c r="CG3" s="130" t="n"/>
    </row>
    <row r="4" customFormat="1" s="972">
      <c r="A4" s="195">
        <f>"Stock Price - "&amp;SP.ValuationToggle</f>
        <v/>
      </c>
      <c r="B4" s="196" t="inlineStr">
        <is>
          <t>EoP</t>
        </is>
      </c>
      <c r="C4" s="123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D4" s="123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E4" s="123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F4" s="123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G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H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I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J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K4" s="123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L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M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N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O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P4" s="123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Q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R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S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T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U4" s="123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V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W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X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Y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Z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A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B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C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D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E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F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G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H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I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J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K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L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M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N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O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P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Q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R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S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T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U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V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W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X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Y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Z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A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B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C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D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E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F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G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H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I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J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K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L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M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N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O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P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Q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R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S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T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U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V4" s="944">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W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X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Y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Z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A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B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C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D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E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F4" s="123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G4" s="133" t="n"/>
    </row>
    <row r="5" customFormat="1" s="972">
      <c r="A5" s="706">
        <f>INDEX(MO_SCA_ShareCount_EoP_Diluted,0,COLUMN())</f>
        <v/>
      </c>
      <c r="B5" s="720" t="n"/>
      <c r="C5" s="1239">
        <f>INDEX(MO_SCA_ShareCount_EoP_Diluted,0,COLUMN())</f>
        <v/>
      </c>
      <c r="D5" s="1239">
        <f>INDEX(MO_SCA_ShareCount_EoP_Diluted,0,COLUMN())</f>
        <v/>
      </c>
      <c r="E5" s="1239">
        <f>INDEX(MO_SCA_ShareCount_EoP_Diluted,0,COLUMN())</f>
        <v/>
      </c>
      <c r="F5" s="1239">
        <f>INDEX(MO_SCA_ShareCount_EoP_Diluted,0,COLUMN())</f>
        <v/>
      </c>
      <c r="G5" s="1045">
        <f>INDEX(MO_SCA_ShareCount_EoP_Diluted,0,COLUMN())</f>
        <v/>
      </c>
      <c r="H5" s="1045">
        <f>INDEX(MO_SCA_ShareCount_EoP_Diluted,0,COLUMN())</f>
        <v/>
      </c>
      <c r="I5" s="1045">
        <f>INDEX(MO_SCA_ShareCount_EoP_Diluted,0,COLUMN())</f>
        <v/>
      </c>
      <c r="J5" s="1045">
        <f>INDEX(MO_SCA_ShareCount_EoP_Diluted,0,COLUMN())</f>
        <v/>
      </c>
      <c r="K5" s="1239">
        <f>INDEX(MO_SCA_ShareCount_EoP_Diluted,0,COLUMN())</f>
        <v/>
      </c>
      <c r="L5" s="1045">
        <f>INDEX(MO_SCA_ShareCount_EoP_Diluted,0,COLUMN())</f>
        <v/>
      </c>
      <c r="M5" s="1045">
        <f>INDEX(MO_SCA_ShareCount_EoP_Diluted,0,COLUMN())</f>
        <v/>
      </c>
      <c r="N5" s="1045">
        <f>INDEX(MO_SCA_ShareCount_EoP_Diluted,0,COLUMN())</f>
        <v/>
      </c>
      <c r="O5" s="1045">
        <f>INDEX(MO_SCA_ShareCount_EoP_Diluted,0,COLUMN())</f>
        <v/>
      </c>
      <c r="P5" s="1239">
        <f>INDEX(MO_SCA_ShareCount_EoP_Diluted,0,COLUMN())</f>
        <v/>
      </c>
      <c r="Q5" s="1045">
        <f>INDEX(MO_SCA_ShareCount_EoP_Diluted,0,COLUMN())</f>
        <v/>
      </c>
      <c r="R5" s="1045">
        <f>INDEX(MO_SCA_ShareCount_EoP_Diluted,0,COLUMN())</f>
        <v/>
      </c>
      <c r="S5" s="1045">
        <f>INDEX(MO_SCA_ShareCount_EoP_Diluted,0,COLUMN())</f>
        <v/>
      </c>
      <c r="T5" s="1045">
        <f>INDEX(MO_SCA_ShareCount_EoP_Diluted,0,COLUMN())</f>
        <v/>
      </c>
      <c r="U5" s="1239">
        <f>INDEX(MO_SCA_ShareCount_EoP_Diluted,0,COLUMN())</f>
        <v/>
      </c>
      <c r="V5" s="1045">
        <f>INDEX(MO_SCA_ShareCount_EoP_Diluted,0,COLUMN())</f>
        <v/>
      </c>
      <c r="W5" s="1045">
        <f>INDEX(MO_SCA_ShareCount_EoP_Diluted,0,COLUMN())</f>
        <v/>
      </c>
      <c r="X5" s="1045">
        <f>INDEX(MO_SCA_ShareCount_EoP_Diluted,0,COLUMN())</f>
        <v/>
      </c>
      <c r="Y5" s="1045">
        <f>INDEX(MO_SCA_ShareCount_EoP_Diluted,0,COLUMN())</f>
        <v/>
      </c>
      <c r="Z5" s="1240">
        <f>INDEX(MO_SCA_ShareCount_EoP_Diluted,0,COLUMN())</f>
        <v/>
      </c>
      <c r="AA5" s="1045">
        <f>INDEX(MO_SCA_ShareCount_EoP_Diluted,0,COLUMN())</f>
        <v/>
      </c>
      <c r="AB5" s="1045">
        <f>INDEX(MO_SCA_ShareCount_EoP_Diluted,0,COLUMN())</f>
        <v/>
      </c>
      <c r="AC5" s="1045">
        <f>INDEX(MO_SCA_ShareCount_EoP_Diluted,0,COLUMN())</f>
        <v/>
      </c>
      <c r="AD5" s="1045">
        <f>INDEX(MO_SCA_ShareCount_EoP_Diluted,0,COLUMN())</f>
        <v/>
      </c>
      <c r="AE5" s="1240">
        <f>INDEX(MO_SCA_ShareCount_EoP_Diluted,0,COLUMN())</f>
        <v/>
      </c>
      <c r="AF5" s="1045">
        <f>INDEX(MO_SCA_ShareCount_EoP_Diluted,0,COLUMN())</f>
        <v/>
      </c>
      <c r="AG5" s="1045">
        <f>INDEX(MO_SCA_ShareCount_EoP_Diluted,0,COLUMN())</f>
        <v/>
      </c>
      <c r="AH5" s="1045">
        <f>INDEX(MO_SCA_ShareCount_EoP_Diluted,0,COLUMN())</f>
        <v/>
      </c>
      <c r="AI5" s="1045">
        <f>INDEX(MO_SCA_ShareCount_EoP_Diluted,0,COLUMN())</f>
        <v/>
      </c>
      <c r="AJ5" s="1240">
        <f>INDEX(MO_SCA_ShareCount_EoP_Diluted,0,COLUMN())</f>
        <v/>
      </c>
      <c r="AK5" s="1045">
        <f>INDEX(MO_SCA_ShareCount_EoP_Diluted,0,COLUMN())</f>
        <v/>
      </c>
      <c r="AL5" s="1045">
        <f>INDEX(MO_SCA_ShareCount_EoP_Diluted,0,COLUMN())</f>
        <v/>
      </c>
      <c r="AM5" s="1045">
        <f>INDEX(MO_SCA_ShareCount_EoP_Diluted,0,COLUMN())</f>
        <v/>
      </c>
      <c r="AN5" s="1045">
        <f>INDEX(MO_SCA_ShareCount_EoP_Diluted,0,COLUMN())</f>
        <v/>
      </c>
      <c r="AO5" s="1240">
        <f>INDEX(MO_SCA_ShareCount_EoP_Diluted,0,COLUMN())</f>
        <v/>
      </c>
      <c r="AP5" s="1045">
        <f>INDEX(MO_SCA_ShareCount_EoP_Diluted,0,COLUMN())</f>
        <v/>
      </c>
      <c r="AQ5" s="1045">
        <f>INDEX(MO_SCA_ShareCount_EoP_Diluted,0,COLUMN())</f>
        <v/>
      </c>
      <c r="AR5" s="1045">
        <f>INDEX(MO_SCA_ShareCount_EoP_Diluted,0,COLUMN())</f>
        <v/>
      </c>
      <c r="AS5" s="1045">
        <f>INDEX(MO_SCA_ShareCount_EoP_Diluted,0,COLUMN())</f>
        <v/>
      </c>
      <c r="AT5" s="1240">
        <f>INDEX(MO_SCA_ShareCount_EoP_Diluted,0,COLUMN())</f>
        <v/>
      </c>
      <c r="AU5" s="1045">
        <f>INDEX(MO_SCA_ShareCount_EoP_Diluted,0,COLUMN())</f>
        <v/>
      </c>
      <c r="AV5" s="1045">
        <f>INDEX(MO_SCA_ShareCount_EoP_Diluted,0,COLUMN())</f>
        <v/>
      </c>
      <c r="AW5" s="1045">
        <f>INDEX(MO_SCA_ShareCount_EoP_Diluted,0,COLUMN())</f>
        <v/>
      </c>
      <c r="AX5" s="1045">
        <f>INDEX(MO_SCA_ShareCount_EoP_Diluted,0,COLUMN())</f>
        <v/>
      </c>
      <c r="AY5" s="1240">
        <f>INDEX(MO_SCA_ShareCount_EoP_Diluted,0,COLUMN())</f>
        <v/>
      </c>
      <c r="AZ5" s="1045">
        <f>INDEX(MO_SCA_ShareCount_EoP_Diluted,0,COLUMN())</f>
        <v/>
      </c>
      <c r="BA5" s="1045">
        <f>INDEX(MO_SCA_ShareCount_EoP_Diluted,0,COLUMN())</f>
        <v/>
      </c>
      <c r="BB5" s="1045">
        <f>INDEX(MO_SCA_ShareCount_EoP_Diluted,0,COLUMN())</f>
        <v/>
      </c>
      <c r="BC5" s="1045">
        <f>INDEX(MO_SCA_ShareCount_EoP_Diluted,0,COLUMN())</f>
        <v/>
      </c>
      <c r="BD5" s="1240">
        <f>INDEX(MO_SCA_ShareCount_EoP_Diluted,0,COLUMN())</f>
        <v/>
      </c>
      <c r="BE5" s="1045">
        <f>INDEX(MO_SCA_ShareCount_EoP_Diluted,0,COLUMN())</f>
        <v/>
      </c>
      <c r="BF5" s="1045">
        <f>INDEX(MO_SCA_ShareCount_EoP_Diluted,0,COLUMN())</f>
        <v/>
      </c>
      <c r="BG5" s="1045">
        <f>INDEX(MO_SCA_ShareCount_EoP_Diluted,0,COLUMN())</f>
        <v/>
      </c>
      <c r="BH5" s="1045">
        <f>INDEX(MO_SCA_ShareCount_EoP_Diluted,0,COLUMN())</f>
        <v/>
      </c>
      <c r="BI5" s="1240">
        <f>INDEX(MO_SCA_ShareCount_EoP_Diluted,0,COLUMN())</f>
        <v/>
      </c>
      <c r="BJ5" s="1045">
        <f>INDEX(MO_SCA_ShareCount_EoP_Diluted,0,COLUMN())</f>
        <v/>
      </c>
      <c r="BK5" s="1045">
        <f>INDEX(MO_SCA_ShareCount_EoP_Diluted,0,COLUMN())</f>
        <v/>
      </c>
      <c r="BL5" s="1045">
        <f>INDEX(MO_SCA_ShareCount_EoP_Diluted,0,COLUMN())</f>
        <v/>
      </c>
      <c r="BM5" s="1045">
        <f>INDEX(MO_SCA_ShareCount_EoP_Diluted,0,COLUMN())</f>
        <v/>
      </c>
      <c r="BN5" s="1240">
        <f>INDEX(MO_SCA_ShareCount_EoP_Diluted,0,COLUMN())</f>
        <v/>
      </c>
      <c r="BO5" s="1045">
        <f>INDEX(MO_SCA_ShareCount_EoP_Diluted,0,COLUMN())</f>
        <v/>
      </c>
      <c r="BP5" s="1045">
        <f>INDEX(MO_SCA_ShareCount_EoP_Diluted,0,COLUMN())</f>
        <v/>
      </c>
      <c r="BQ5" s="1045">
        <f>INDEX(MO_SCA_ShareCount_EoP_Diluted,0,COLUMN())</f>
        <v/>
      </c>
      <c r="BR5" s="1045">
        <f>INDEX(MO_SCA_ShareCount_EoP_Diluted,0,COLUMN())</f>
        <v/>
      </c>
      <c r="BS5" s="1240">
        <f>INDEX(MO_SCA_ShareCount_EoP_Diluted,0,COLUMN())</f>
        <v/>
      </c>
      <c r="BT5" s="1045">
        <f>INDEX(MO_SCA_ShareCount_EoP_Diluted,0,COLUMN())</f>
        <v/>
      </c>
      <c r="BU5" s="1045">
        <f>INDEX(MO_SCA_ShareCount_EoP_Diluted,0,COLUMN())</f>
        <v/>
      </c>
      <c r="BV5" s="1046">
        <f>INDEX(MO_SCA_ShareCount_EoP_Diluted,0,COLUMN())</f>
        <v/>
      </c>
      <c r="BW5" s="1045">
        <f>INDEX(MO_SCA_ShareCount_EoP_Diluted,0,COLUMN())</f>
        <v/>
      </c>
      <c r="BX5" s="1240">
        <f>INDEX(MO_SCA_ShareCount_EoP_Diluted,0,COLUMN())</f>
        <v/>
      </c>
      <c r="BY5" s="1045">
        <f>INDEX(MO_SCA_ShareCount_EoP_Diluted,0,COLUMN())</f>
        <v/>
      </c>
      <c r="BZ5" s="1045">
        <f>INDEX(MO_SCA_ShareCount_EoP_Diluted,0,COLUMN())</f>
        <v/>
      </c>
      <c r="CA5" s="1045">
        <f>INDEX(MO_SCA_ShareCount_EoP_Diluted,0,COLUMN())</f>
        <v/>
      </c>
      <c r="CB5" s="1045">
        <f>INDEX(MO_SCA_ShareCount_EoP_Diluted,0,COLUMN())</f>
        <v/>
      </c>
      <c r="CC5" s="1240">
        <f>INDEX(MO_SCA_ShareCount_EoP_Diluted,0,COLUMN())</f>
        <v/>
      </c>
      <c r="CD5" s="1240">
        <f>INDEX(MO_SCA_ShareCount_EoP_Diluted,0,COLUMN())</f>
        <v/>
      </c>
      <c r="CE5" s="1240">
        <f>INDEX(MO_SCA_ShareCount_EoP_Diluted,0,COLUMN())</f>
        <v/>
      </c>
      <c r="CF5" s="1240">
        <f>INDEX(MO_SCA_ShareCount_EoP_Diluted,0,COLUMN())</f>
        <v/>
      </c>
      <c r="CG5" s="133" t="n"/>
    </row>
    <row r="6" customFormat="1" s="973">
      <c r="A6" s="682">
        <f>"Market Cap - "&amp;SP.ValuationToggle</f>
        <v/>
      </c>
      <c r="B6" s="684" t="n"/>
      <c r="C6" s="1241">
        <f>INDEX(SP_CS_StockPrice,0,COLUMN())*INDEX(SP_CS_ShareCount_EoP_Diluted,0,COLUMN())</f>
        <v/>
      </c>
      <c r="D6" s="1241">
        <f>INDEX(SP_CS_StockPrice,0,COLUMN())*INDEX(SP_CS_ShareCount_EoP_Diluted,0,COLUMN())</f>
        <v/>
      </c>
      <c r="E6" s="1241">
        <f>INDEX(SP_CS_StockPrice,0,COLUMN())*INDEX(SP_CS_ShareCount_EoP_Diluted,0,COLUMN())</f>
        <v/>
      </c>
      <c r="F6" s="1241">
        <f>INDEX(SP_CS_StockPrice,0,COLUMN())*INDEX(SP_CS_ShareCount_EoP_Diluted,0,COLUMN())</f>
        <v/>
      </c>
      <c r="G6" s="574">
        <f>INDEX(SP_CS_StockPrice,0,COLUMN())*INDEX(SP_CS_ShareCount_EoP_Diluted,0,COLUMN())</f>
        <v/>
      </c>
      <c r="H6" s="574">
        <f>INDEX(SP_CS_StockPrice,0,COLUMN())*INDEX(SP_CS_ShareCount_EoP_Diluted,0,COLUMN())</f>
        <v/>
      </c>
      <c r="I6" s="574">
        <f>INDEX(SP_CS_StockPrice,0,COLUMN())*INDEX(SP_CS_ShareCount_EoP_Diluted,0,COLUMN())</f>
        <v/>
      </c>
      <c r="J6" s="574">
        <f>INDEX(SP_CS_StockPrice,0,COLUMN())*INDEX(SP_CS_ShareCount_EoP_Diluted,0,COLUMN())</f>
        <v/>
      </c>
      <c r="K6" s="1241">
        <f>INDEX(SP_CS_StockPrice,0,COLUMN())*INDEX(SP_CS_ShareCount_EoP_Diluted,0,COLUMN())</f>
        <v/>
      </c>
      <c r="L6" s="574">
        <f>INDEX(SP_CS_StockPrice,0,COLUMN())*INDEX(SP_CS_ShareCount_EoP_Diluted,0,COLUMN())</f>
        <v/>
      </c>
      <c r="M6" s="574">
        <f>INDEX(SP_CS_StockPrice,0,COLUMN())*INDEX(SP_CS_ShareCount_EoP_Diluted,0,COLUMN())</f>
        <v/>
      </c>
      <c r="N6" s="574">
        <f>INDEX(SP_CS_StockPrice,0,COLUMN())*INDEX(SP_CS_ShareCount_EoP_Diluted,0,COLUMN())</f>
        <v/>
      </c>
      <c r="O6" s="574">
        <f>INDEX(SP_CS_StockPrice,0,COLUMN())*INDEX(SP_CS_ShareCount_EoP_Diluted,0,COLUMN())</f>
        <v/>
      </c>
      <c r="P6" s="1241">
        <f>INDEX(SP_CS_StockPrice,0,COLUMN())*INDEX(SP_CS_ShareCount_EoP_Diluted,0,COLUMN())</f>
        <v/>
      </c>
      <c r="Q6" s="574">
        <f>INDEX(SP_CS_StockPrice,0,COLUMN())*INDEX(SP_CS_ShareCount_EoP_Diluted,0,COLUMN())</f>
        <v/>
      </c>
      <c r="R6" s="574">
        <f>INDEX(SP_CS_StockPrice,0,COLUMN())*INDEX(SP_CS_ShareCount_EoP_Diluted,0,COLUMN())</f>
        <v/>
      </c>
      <c r="S6" s="574">
        <f>INDEX(SP_CS_StockPrice,0,COLUMN())*INDEX(SP_CS_ShareCount_EoP_Diluted,0,COLUMN())</f>
        <v/>
      </c>
      <c r="T6" s="574">
        <f>INDEX(SP_CS_StockPrice,0,COLUMN())*INDEX(SP_CS_ShareCount_EoP_Diluted,0,COLUMN())</f>
        <v/>
      </c>
      <c r="U6" s="1241">
        <f>INDEX(SP_CS_StockPrice,0,COLUMN())*INDEX(SP_CS_ShareCount_EoP_Diluted,0,COLUMN())</f>
        <v/>
      </c>
      <c r="V6" s="574">
        <f>INDEX(SP_CS_StockPrice,0,COLUMN())*INDEX(SP_CS_ShareCount_EoP_Diluted,0,COLUMN())</f>
        <v/>
      </c>
      <c r="W6" s="574">
        <f>INDEX(SP_CS_StockPrice,0,COLUMN())*INDEX(SP_CS_ShareCount_EoP_Diluted,0,COLUMN())</f>
        <v/>
      </c>
      <c r="X6" s="574">
        <f>INDEX(SP_CS_StockPrice,0,COLUMN())*INDEX(SP_CS_ShareCount_EoP_Diluted,0,COLUMN())</f>
        <v/>
      </c>
      <c r="Y6" s="574">
        <f>INDEX(SP_CS_StockPrice,0,COLUMN())*INDEX(SP_CS_ShareCount_EoP_Diluted,0,COLUMN())</f>
        <v/>
      </c>
      <c r="Z6" s="1241">
        <f>INDEX(SP_CS_StockPrice,0,COLUMN())*INDEX(SP_CS_ShareCount_EoP_Diluted,0,COLUMN())</f>
        <v/>
      </c>
      <c r="AA6" s="574">
        <f>INDEX(SP_CS_StockPrice,0,COLUMN())*INDEX(SP_CS_ShareCount_EoP_Diluted,0,COLUMN())</f>
        <v/>
      </c>
      <c r="AB6" s="574">
        <f>INDEX(SP_CS_StockPrice,0,COLUMN())*INDEX(SP_CS_ShareCount_EoP_Diluted,0,COLUMN())</f>
        <v/>
      </c>
      <c r="AC6" s="574">
        <f>INDEX(SP_CS_StockPrice,0,COLUMN())*INDEX(SP_CS_ShareCount_EoP_Diluted,0,COLUMN())</f>
        <v/>
      </c>
      <c r="AD6" s="574">
        <f>INDEX(SP_CS_StockPrice,0,COLUMN())*INDEX(SP_CS_ShareCount_EoP_Diluted,0,COLUMN())</f>
        <v/>
      </c>
      <c r="AE6" s="1241">
        <f>INDEX(SP_CS_StockPrice,0,COLUMN())*INDEX(SP_CS_ShareCount_EoP_Diluted,0,COLUMN())</f>
        <v/>
      </c>
      <c r="AF6" s="574">
        <f>INDEX(SP_CS_StockPrice,0,COLUMN())*INDEX(SP_CS_ShareCount_EoP_Diluted,0,COLUMN())</f>
        <v/>
      </c>
      <c r="AG6" s="574">
        <f>INDEX(SP_CS_StockPrice,0,COLUMN())*INDEX(SP_CS_ShareCount_EoP_Diluted,0,COLUMN())</f>
        <v/>
      </c>
      <c r="AH6" s="574">
        <f>INDEX(SP_CS_StockPrice,0,COLUMN())*INDEX(SP_CS_ShareCount_EoP_Diluted,0,COLUMN())</f>
        <v/>
      </c>
      <c r="AI6" s="574">
        <f>INDEX(SP_CS_StockPrice,0,COLUMN())*INDEX(SP_CS_ShareCount_EoP_Diluted,0,COLUMN())</f>
        <v/>
      </c>
      <c r="AJ6" s="1241">
        <f>INDEX(SP_CS_StockPrice,0,COLUMN())*INDEX(SP_CS_ShareCount_EoP_Diluted,0,COLUMN())</f>
        <v/>
      </c>
      <c r="AK6" s="574">
        <f>INDEX(SP_CS_StockPrice,0,COLUMN())*INDEX(SP_CS_ShareCount_EoP_Diluted,0,COLUMN())</f>
        <v/>
      </c>
      <c r="AL6" s="574">
        <f>INDEX(SP_CS_StockPrice,0,COLUMN())*INDEX(SP_CS_ShareCount_EoP_Diluted,0,COLUMN())</f>
        <v/>
      </c>
      <c r="AM6" s="574">
        <f>INDEX(SP_CS_StockPrice,0,COLUMN())*INDEX(SP_CS_ShareCount_EoP_Diluted,0,COLUMN())</f>
        <v/>
      </c>
      <c r="AN6" s="574">
        <f>INDEX(SP_CS_StockPrice,0,COLUMN())*INDEX(SP_CS_ShareCount_EoP_Diluted,0,COLUMN())</f>
        <v/>
      </c>
      <c r="AO6" s="1241">
        <f>INDEX(SP_CS_StockPrice,0,COLUMN())*INDEX(SP_CS_ShareCount_EoP_Diluted,0,COLUMN())</f>
        <v/>
      </c>
      <c r="AP6" s="574">
        <f>INDEX(SP_CS_StockPrice,0,COLUMN())*INDEX(SP_CS_ShareCount_EoP_Diluted,0,COLUMN())</f>
        <v/>
      </c>
      <c r="AQ6" s="574">
        <f>INDEX(SP_CS_StockPrice,0,COLUMN())*INDEX(SP_CS_ShareCount_EoP_Diluted,0,COLUMN())</f>
        <v/>
      </c>
      <c r="AR6" s="574">
        <f>INDEX(SP_CS_StockPrice,0,COLUMN())*INDEX(SP_CS_ShareCount_EoP_Diluted,0,COLUMN())</f>
        <v/>
      </c>
      <c r="AS6" s="574">
        <f>INDEX(SP_CS_StockPrice,0,COLUMN())*INDEX(SP_CS_ShareCount_EoP_Diluted,0,COLUMN())</f>
        <v/>
      </c>
      <c r="AT6" s="1241">
        <f>INDEX(SP_CS_StockPrice,0,COLUMN())*INDEX(SP_CS_ShareCount_EoP_Diluted,0,COLUMN())</f>
        <v/>
      </c>
      <c r="AU6" s="574">
        <f>INDEX(SP_CS_StockPrice,0,COLUMN())*INDEX(SP_CS_ShareCount_EoP_Diluted,0,COLUMN())</f>
        <v/>
      </c>
      <c r="AV6" s="574">
        <f>INDEX(SP_CS_StockPrice,0,COLUMN())*INDEX(SP_CS_ShareCount_EoP_Diluted,0,COLUMN())</f>
        <v/>
      </c>
      <c r="AW6" s="574">
        <f>INDEX(SP_CS_StockPrice,0,COLUMN())*INDEX(SP_CS_ShareCount_EoP_Diluted,0,COLUMN())</f>
        <v/>
      </c>
      <c r="AX6" s="574">
        <f>INDEX(SP_CS_StockPrice,0,COLUMN())*INDEX(SP_CS_ShareCount_EoP_Diluted,0,COLUMN())</f>
        <v/>
      </c>
      <c r="AY6" s="1241">
        <f>INDEX(SP_CS_StockPrice,0,COLUMN())*INDEX(SP_CS_ShareCount_EoP_Diluted,0,COLUMN())</f>
        <v/>
      </c>
      <c r="AZ6" s="574">
        <f>INDEX(SP_CS_StockPrice,0,COLUMN())*INDEX(SP_CS_ShareCount_EoP_Diluted,0,COLUMN())</f>
        <v/>
      </c>
      <c r="BA6" s="574">
        <f>INDEX(SP_CS_StockPrice,0,COLUMN())*INDEX(SP_CS_ShareCount_EoP_Diluted,0,COLUMN())</f>
        <v/>
      </c>
      <c r="BB6" s="574">
        <f>INDEX(SP_CS_StockPrice,0,COLUMN())*INDEX(SP_CS_ShareCount_EoP_Diluted,0,COLUMN())</f>
        <v/>
      </c>
      <c r="BC6" s="574">
        <f>INDEX(SP_CS_StockPrice,0,COLUMN())*INDEX(SP_CS_ShareCount_EoP_Diluted,0,COLUMN())</f>
        <v/>
      </c>
      <c r="BD6" s="1241">
        <f>INDEX(SP_CS_StockPrice,0,COLUMN())*INDEX(SP_CS_ShareCount_EoP_Diluted,0,COLUMN())</f>
        <v/>
      </c>
      <c r="BE6" s="574">
        <f>INDEX(SP_CS_StockPrice,0,COLUMN())*INDEX(SP_CS_ShareCount_EoP_Diluted,0,COLUMN())</f>
        <v/>
      </c>
      <c r="BF6" s="574">
        <f>INDEX(SP_CS_StockPrice,0,COLUMN())*INDEX(SP_CS_ShareCount_EoP_Diluted,0,COLUMN())</f>
        <v/>
      </c>
      <c r="BG6" s="574">
        <f>INDEX(SP_CS_StockPrice,0,COLUMN())*INDEX(SP_CS_ShareCount_EoP_Diluted,0,COLUMN())</f>
        <v/>
      </c>
      <c r="BH6" s="574">
        <f>INDEX(SP_CS_StockPrice,0,COLUMN())*INDEX(SP_CS_ShareCount_EoP_Diluted,0,COLUMN())</f>
        <v/>
      </c>
      <c r="BI6" s="1241">
        <f>INDEX(SP_CS_StockPrice,0,COLUMN())*INDEX(SP_CS_ShareCount_EoP_Diluted,0,COLUMN())</f>
        <v/>
      </c>
      <c r="BJ6" s="574">
        <f>INDEX(SP_CS_StockPrice,0,COLUMN())*INDEX(SP_CS_ShareCount_EoP_Diluted,0,COLUMN())</f>
        <v/>
      </c>
      <c r="BK6" s="574">
        <f>INDEX(SP_CS_StockPrice,0,COLUMN())*INDEX(SP_CS_ShareCount_EoP_Diluted,0,COLUMN())</f>
        <v/>
      </c>
      <c r="BL6" s="574">
        <f>INDEX(SP_CS_StockPrice,0,COLUMN())*INDEX(SP_CS_ShareCount_EoP_Diluted,0,COLUMN())</f>
        <v/>
      </c>
      <c r="BM6" s="574">
        <f>INDEX(SP_CS_StockPrice,0,COLUMN())*INDEX(SP_CS_ShareCount_EoP_Diluted,0,COLUMN())</f>
        <v/>
      </c>
      <c r="BN6" s="1241">
        <f>INDEX(SP_CS_StockPrice,0,COLUMN())*INDEX(SP_CS_ShareCount_EoP_Diluted,0,COLUMN())</f>
        <v/>
      </c>
      <c r="BO6" s="574">
        <f>INDEX(SP_CS_StockPrice,0,COLUMN())*INDEX(SP_CS_ShareCount_EoP_Diluted,0,COLUMN())</f>
        <v/>
      </c>
      <c r="BP6" s="574">
        <f>INDEX(SP_CS_StockPrice,0,COLUMN())*INDEX(SP_CS_ShareCount_EoP_Diluted,0,COLUMN())</f>
        <v/>
      </c>
      <c r="BQ6" s="574">
        <f>INDEX(SP_CS_StockPrice,0,COLUMN())*INDEX(SP_CS_ShareCount_EoP_Diluted,0,COLUMN())</f>
        <v/>
      </c>
      <c r="BR6" s="574">
        <f>INDEX(SP_CS_StockPrice,0,COLUMN())*INDEX(SP_CS_ShareCount_EoP_Diluted,0,COLUMN())</f>
        <v/>
      </c>
      <c r="BS6" s="1241">
        <f>INDEX(SP_CS_StockPrice,0,COLUMN())*INDEX(SP_CS_ShareCount_EoP_Diluted,0,COLUMN())</f>
        <v/>
      </c>
      <c r="BT6" s="574">
        <f>INDEX(SP_CS_StockPrice,0,COLUMN())*INDEX(SP_CS_ShareCount_EoP_Diluted,0,COLUMN())</f>
        <v/>
      </c>
      <c r="BU6" s="574">
        <f>INDEX(SP_CS_StockPrice,0,COLUMN())*INDEX(SP_CS_ShareCount_EoP_Diluted,0,COLUMN())</f>
        <v/>
      </c>
      <c r="BV6" s="936">
        <f>INDEX(SP_CS_StockPrice,0,COLUMN())*INDEX(SP_CS_ShareCount_EoP_Diluted,0,COLUMN())</f>
        <v/>
      </c>
      <c r="BW6" s="574">
        <f>INDEX(SP_CS_StockPrice,0,COLUMN())*INDEX(SP_CS_ShareCount_EoP_Diluted,0,COLUMN())</f>
        <v/>
      </c>
      <c r="BX6" s="1241">
        <f>INDEX(SP_CS_StockPrice,0,COLUMN())*INDEX(SP_CS_ShareCount_EoP_Diluted,0,COLUMN())</f>
        <v/>
      </c>
      <c r="BY6" s="574">
        <f>INDEX(SP_CS_StockPrice,0,COLUMN())*INDEX(SP_CS_ShareCount_EoP_Diluted,0,COLUMN())</f>
        <v/>
      </c>
      <c r="BZ6" s="574">
        <f>INDEX(SP_CS_StockPrice,0,COLUMN())*INDEX(SP_CS_ShareCount_EoP_Diluted,0,COLUMN())</f>
        <v/>
      </c>
      <c r="CA6" s="574">
        <f>INDEX(SP_CS_StockPrice,0,COLUMN())*INDEX(SP_CS_ShareCount_EoP_Diluted,0,COLUMN())</f>
        <v/>
      </c>
      <c r="CB6" s="574">
        <f>INDEX(SP_CS_StockPrice,0,COLUMN())*INDEX(SP_CS_ShareCount_EoP_Diluted,0,COLUMN())</f>
        <v/>
      </c>
      <c r="CC6" s="1241">
        <f>INDEX(SP_CS_StockPrice,0,COLUMN())*INDEX(SP_CS_ShareCount_EoP_Diluted,0,COLUMN())</f>
        <v/>
      </c>
      <c r="CD6" s="1241">
        <f>INDEX(SP_CS_StockPrice,0,COLUMN())*INDEX(SP_CS_ShareCount_EoP_Diluted,0,COLUMN())</f>
        <v/>
      </c>
      <c r="CE6" s="1241">
        <f>INDEX(SP_CS_StockPrice,0,COLUMN())*INDEX(SP_CS_ShareCount_EoP_Diluted,0,COLUMN())</f>
        <v/>
      </c>
      <c r="CF6" s="1241">
        <f>INDEX(SP_CS_StockPrice,0,COLUMN())*INDEX(SP_CS_ShareCount_EoP_Diluted,0,COLUMN())</f>
        <v/>
      </c>
      <c r="CG6" s="574" t="n"/>
    </row>
    <row r="7" customFormat="1" s="974">
      <c r="A7" s="676">
        <f>INDEX(MO_BSS_Cash,0,COLUMN())</f>
        <v/>
      </c>
      <c r="B7" s="685" t="n"/>
      <c r="C7" s="1242">
        <f>INDEX(MO_BSS_Cash,0,COLUMN())</f>
        <v/>
      </c>
      <c r="D7" s="1242">
        <f>INDEX(MO_BSS_Cash,0,COLUMN())</f>
        <v/>
      </c>
      <c r="E7" s="1242">
        <f>INDEX(MO_BSS_Cash,0,COLUMN())</f>
        <v/>
      </c>
      <c r="F7" s="1242">
        <f>INDEX(MO_BSS_Cash,0,COLUMN())</f>
        <v/>
      </c>
      <c r="G7" s="678">
        <f>INDEX(MO_BSS_Cash,0,COLUMN())</f>
        <v/>
      </c>
      <c r="H7" s="678">
        <f>INDEX(MO_BSS_Cash,0,COLUMN())</f>
        <v/>
      </c>
      <c r="I7" s="678">
        <f>INDEX(MO_BSS_Cash,0,COLUMN())</f>
        <v/>
      </c>
      <c r="J7" s="678">
        <f>INDEX(MO_BSS_Cash,0,COLUMN())</f>
        <v/>
      </c>
      <c r="K7" s="1242">
        <f>INDEX(MO_BSS_Cash,0,COLUMN())</f>
        <v/>
      </c>
      <c r="L7" s="678">
        <f>INDEX(MO_BSS_Cash,0,COLUMN())</f>
        <v/>
      </c>
      <c r="M7" s="678">
        <f>INDEX(MO_BSS_Cash,0,COLUMN())</f>
        <v/>
      </c>
      <c r="N7" s="678">
        <f>INDEX(MO_BSS_Cash,0,COLUMN())</f>
        <v/>
      </c>
      <c r="O7" s="678">
        <f>INDEX(MO_BSS_Cash,0,COLUMN())</f>
        <v/>
      </c>
      <c r="P7" s="1242">
        <f>INDEX(MO_BSS_Cash,0,COLUMN())</f>
        <v/>
      </c>
      <c r="Q7" s="678">
        <f>INDEX(MO_BSS_Cash,0,COLUMN())</f>
        <v/>
      </c>
      <c r="R7" s="678">
        <f>INDEX(MO_BSS_Cash,0,COLUMN())</f>
        <v/>
      </c>
      <c r="S7" s="678">
        <f>INDEX(MO_BSS_Cash,0,COLUMN())</f>
        <v/>
      </c>
      <c r="T7" s="678">
        <f>INDEX(MO_BSS_Cash,0,COLUMN())</f>
        <v/>
      </c>
      <c r="U7" s="1242">
        <f>INDEX(MO_BSS_Cash,0,COLUMN())</f>
        <v/>
      </c>
      <c r="V7" s="678">
        <f>INDEX(MO_BSS_Cash,0,COLUMN())</f>
        <v/>
      </c>
      <c r="W7" s="678">
        <f>INDEX(MO_BSS_Cash,0,COLUMN())</f>
        <v/>
      </c>
      <c r="X7" s="678">
        <f>INDEX(MO_BSS_Cash,0,COLUMN())</f>
        <v/>
      </c>
      <c r="Y7" s="678">
        <f>INDEX(MO_BSS_Cash,0,COLUMN())</f>
        <v/>
      </c>
      <c r="Z7" s="1242">
        <f>INDEX(MO_BSS_Cash,0,COLUMN())</f>
        <v/>
      </c>
      <c r="AA7" s="678">
        <f>INDEX(MO_BSS_Cash,0,COLUMN())</f>
        <v/>
      </c>
      <c r="AB7" s="678">
        <f>INDEX(MO_BSS_Cash,0,COLUMN())</f>
        <v/>
      </c>
      <c r="AC7" s="678">
        <f>INDEX(MO_BSS_Cash,0,COLUMN())</f>
        <v/>
      </c>
      <c r="AD7" s="678">
        <f>INDEX(MO_BSS_Cash,0,COLUMN())</f>
        <v/>
      </c>
      <c r="AE7" s="1242">
        <f>INDEX(MO_BSS_Cash,0,COLUMN())</f>
        <v/>
      </c>
      <c r="AF7" s="678">
        <f>INDEX(MO_BSS_Cash,0,COLUMN())</f>
        <v/>
      </c>
      <c r="AG7" s="678">
        <f>INDEX(MO_BSS_Cash,0,COLUMN())</f>
        <v/>
      </c>
      <c r="AH7" s="678">
        <f>INDEX(MO_BSS_Cash,0,COLUMN())</f>
        <v/>
      </c>
      <c r="AI7" s="678">
        <f>INDEX(MO_BSS_Cash,0,COLUMN())</f>
        <v/>
      </c>
      <c r="AJ7" s="1242">
        <f>INDEX(MO_BSS_Cash,0,COLUMN())</f>
        <v/>
      </c>
      <c r="AK7" s="678">
        <f>INDEX(MO_BSS_Cash,0,COLUMN())</f>
        <v/>
      </c>
      <c r="AL7" s="678">
        <f>INDEX(MO_BSS_Cash,0,COLUMN())</f>
        <v/>
      </c>
      <c r="AM7" s="678">
        <f>INDEX(MO_BSS_Cash,0,COLUMN())</f>
        <v/>
      </c>
      <c r="AN7" s="678">
        <f>INDEX(MO_BSS_Cash,0,COLUMN())</f>
        <v/>
      </c>
      <c r="AO7" s="1242">
        <f>INDEX(MO_BSS_Cash,0,COLUMN())</f>
        <v/>
      </c>
      <c r="AP7" s="678">
        <f>INDEX(MO_BSS_Cash,0,COLUMN())</f>
        <v/>
      </c>
      <c r="AQ7" s="678">
        <f>INDEX(MO_BSS_Cash,0,COLUMN())</f>
        <v/>
      </c>
      <c r="AR7" s="678">
        <f>INDEX(MO_BSS_Cash,0,COLUMN())</f>
        <v/>
      </c>
      <c r="AS7" s="678">
        <f>INDEX(MO_BSS_Cash,0,COLUMN())</f>
        <v/>
      </c>
      <c r="AT7" s="1242">
        <f>INDEX(MO_BSS_Cash,0,COLUMN())</f>
        <v/>
      </c>
      <c r="AU7" s="678">
        <f>INDEX(MO_BSS_Cash,0,COLUMN())</f>
        <v/>
      </c>
      <c r="AV7" s="678">
        <f>INDEX(MO_BSS_Cash,0,COLUMN())</f>
        <v/>
      </c>
      <c r="AW7" s="678">
        <f>INDEX(MO_BSS_Cash,0,COLUMN())</f>
        <v/>
      </c>
      <c r="AX7" s="678">
        <f>INDEX(MO_BSS_Cash,0,COLUMN())</f>
        <v/>
      </c>
      <c r="AY7" s="1242">
        <f>INDEX(MO_BSS_Cash,0,COLUMN())</f>
        <v/>
      </c>
      <c r="AZ7" s="678">
        <f>INDEX(MO_BSS_Cash,0,COLUMN())</f>
        <v/>
      </c>
      <c r="BA7" s="678">
        <f>INDEX(MO_BSS_Cash,0,COLUMN())</f>
        <v/>
      </c>
      <c r="BB7" s="678">
        <f>INDEX(MO_BSS_Cash,0,COLUMN())</f>
        <v/>
      </c>
      <c r="BC7" s="678">
        <f>INDEX(MO_BSS_Cash,0,COLUMN())</f>
        <v/>
      </c>
      <c r="BD7" s="1242">
        <f>INDEX(MO_BSS_Cash,0,COLUMN())</f>
        <v/>
      </c>
      <c r="BE7" s="678">
        <f>INDEX(MO_BSS_Cash,0,COLUMN())</f>
        <v/>
      </c>
      <c r="BF7" s="678">
        <f>INDEX(MO_BSS_Cash,0,COLUMN())</f>
        <v/>
      </c>
      <c r="BG7" s="678">
        <f>INDEX(MO_BSS_Cash,0,COLUMN())</f>
        <v/>
      </c>
      <c r="BH7" s="678">
        <f>INDEX(MO_BSS_Cash,0,COLUMN())</f>
        <v/>
      </c>
      <c r="BI7" s="1242">
        <f>INDEX(MO_BSS_Cash,0,COLUMN())</f>
        <v/>
      </c>
      <c r="BJ7" s="678">
        <f>INDEX(MO_BSS_Cash,0,COLUMN())</f>
        <v/>
      </c>
      <c r="BK7" s="678">
        <f>INDEX(MO_BSS_Cash,0,COLUMN())</f>
        <v/>
      </c>
      <c r="BL7" s="678">
        <f>INDEX(MO_BSS_Cash,0,COLUMN())</f>
        <v/>
      </c>
      <c r="BM7" s="678">
        <f>INDEX(MO_BSS_Cash,0,COLUMN())</f>
        <v/>
      </c>
      <c r="BN7" s="1242">
        <f>INDEX(MO_BSS_Cash,0,COLUMN())</f>
        <v/>
      </c>
      <c r="BO7" s="678">
        <f>INDEX(MO_BSS_Cash,0,COLUMN())</f>
        <v/>
      </c>
      <c r="BP7" s="678">
        <f>INDEX(MO_BSS_Cash,0,COLUMN())</f>
        <v/>
      </c>
      <c r="BQ7" s="678">
        <f>INDEX(MO_BSS_Cash,0,COLUMN())</f>
        <v/>
      </c>
      <c r="BR7" s="678">
        <f>INDEX(MO_BSS_Cash,0,COLUMN())</f>
        <v/>
      </c>
      <c r="BS7" s="1242">
        <f>INDEX(MO_BSS_Cash,0,COLUMN())</f>
        <v/>
      </c>
      <c r="BT7" s="678">
        <f>INDEX(MO_BSS_Cash,0,COLUMN())</f>
        <v/>
      </c>
      <c r="BU7" s="678">
        <f>INDEX(MO_BSS_Cash,0,COLUMN())</f>
        <v/>
      </c>
      <c r="BV7" s="935">
        <f>INDEX(MO_BSS_Cash,0,COLUMN())</f>
        <v/>
      </c>
      <c r="BW7" s="678">
        <f>INDEX(MO_BSS_Cash,0,COLUMN())</f>
        <v/>
      </c>
      <c r="BX7" s="1242">
        <f>INDEX(MO_BSS_Cash,0,COLUMN())</f>
        <v/>
      </c>
      <c r="BY7" s="678">
        <f>INDEX(MO_BSS_Cash,0,COLUMN())</f>
        <v/>
      </c>
      <c r="BZ7" s="678">
        <f>INDEX(MO_BSS_Cash,0,COLUMN())</f>
        <v/>
      </c>
      <c r="CA7" s="678">
        <f>INDEX(MO_BSS_Cash,0,COLUMN())</f>
        <v/>
      </c>
      <c r="CB7" s="678">
        <f>INDEX(MO_BSS_Cash,0,COLUMN())</f>
        <v/>
      </c>
      <c r="CC7" s="1242">
        <f>INDEX(MO_BSS_Cash,0,COLUMN())</f>
        <v/>
      </c>
      <c r="CD7" s="1242">
        <f>INDEX(MO_BSS_Cash,0,COLUMN())</f>
        <v/>
      </c>
      <c r="CE7" s="1242">
        <f>INDEX(MO_BSS_Cash,0,COLUMN())</f>
        <v/>
      </c>
      <c r="CF7" s="1242">
        <f>INDEX(MO_BSS_Cash,0,COLUMN())</f>
        <v/>
      </c>
      <c r="CG7" s="678" t="n"/>
    </row>
    <row r="8" customFormat="1" s="974">
      <c r="A8" s="676">
        <f>INDEX(MO_BSS_Debt,0,COLUMN())</f>
        <v/>
      </c>
      <c r="B8" s="685" t="n"/>
      <c r="C8" s="1242">
        <f>INDEX(MO_BSS_Debt,0,COLUMN())</f>
        <v/>
      </c>
      <c r="D8" s="1242">
        <f>INDEX(MO_BSS_Debt,0,COLUMN())</f>
        <v/>
      </c>
      <c r="E8" s="1242">
        <f>INDEX(MO_BSS_Debt,0,COLUMN())</f>
        <v/>
      </c>
      <c r="F8" s="1242">
        <f>INDEX(MO_BSS_Debt,0,COLUMN())</f>
        <v/>
      </c>
      <c r="G8" s="678">
        <f>INDEX(MO_BSS_Debt,0,COLUMN())</f>
        <v/>
      </c>
      <c r="H8" s="678">
        <f>INDEX(MO_BSS_Debt,0,COLUMN())</f>
        <v/>
      </c>
      <c r="I8" s="678">
        <f>INDEX(MO_BSS_Debt,0,COLUMN())</f>
        <v/>
      </c>
      <c r="J8" s="678">
        <f>INDEX(MO_BSS_Debt,0,COLUMN())</f>
        <v/>
      </c>
      <c r="K8" s="1242">
        <f>INDEX(MO_BSS_Debt,0,COLUMN())</f>
        <v/>
      </c>
      <c r="L8" s="678">
        <f>INDEX(MO_BSS_Debt,0,COLUMN())</f>
        <v/>
      </c>
      <c r="M8" s="678">
        <f>INDEX(MO_BSS_Debt,0,COLUMN())</f>
        <v/>
      </c>
      <c r="N8" s="678">
        <f>INDEX(MO_BSS_Debt,0,COLUMN())</f>
        <v/>
      </c>
      <c r="O8" s="678">
        <f>INDEX(MO_BSS_Debt,0,COLUMN())</f>
        <v/>
      </c>
      <c r="P8" s="1242">
        <f>INDEX(MO_BSS_Debt,0,COLUMN())</f>
        <v/>
      </c>
      <c r="Q8" s="678">
        <f>INDEX(MO_BSS_Debt,0,COLUMN())</f>
        <v/>
      </c>
      <c r="R8" s="678">
        <f>INDEX(MO_BSS_Debt,0,COLUMN())</f>
        <v/>
      </c>
      <c r="S8" s="678">
        <f>INDEX(MO_BSS_Debt,0,COLUMN())</f>
        <v/>
      </c>
      <c r="T8" s="678">
        <f>INDEX(MO_BSS_Debt,0,COLUMN())</f>
        <v/>
      </c>
      <c r="U8" s="1242">
        <f>INDEX(MO_BSS_Debt,0,COLUMN())</f>
        <v/>
      </c>
      <c r="V8" s="678">
        <f>INDEX(MO_BSS_Debt,0,COLUMN())</f>
        <v/>
      </c>
      <c r="W8" s="678">
        <f>INDEX(MO_BSS_Debt,0,COLUMN())</f>
        <v/>
      </c>
      <c r="X8" s="678">
        <f>INDEX(MO_BSS_Debt,0,COLUMN())</f>
        <v/>
      </c>
      <c r="Y8" s="678">
        <f>INDEX(MO_BSS_Debt,0,COLUMN())</f>
        <v/>
      </c>
      <c r="Z8" s="1242">
        <f>INDEX(MO_BSS_Debt,0,COLUMN())</f>
        <v/>
      </c>
      <c r="AA8" s="678">
        <f>INDEX(MO_BSS_Debt,0,COLUMN())</f>
        <v/>
      </c>
      <c r="AB8" s="678">
        <f>INDEX(MO_BSS_Debt,0,COLUMN())</f>
        <v/>
      </c>
      <c r="AC8" s="678">
        <f>INDEX(MO_BSS_Debt,0,COLUMN())</f>
        <v/>
      </c>
      <c r="AD8" s="678">
        <f>INDEX(MO_BSS_Debt,0,COLUMN())</f>
        <v/>
      </c>
      <c r="AE8" s="1242">
        <f>INDEX(MO_BSS_Debt,0,COLUMN())</f>
        <v/>
      </c>
      <c r="AF8" s="678">
        <f>INDEX(MO_BSS_Debt,0,COLUMN())</f>
        <v/>
      </c>
      <c r="AG8" s="678">
        <f>INDEX(MO_BSS_Debt,0,COLUMN())</f>
        <v/>
      </c>
      <c r="AH8" s="678">
        <f>INDEX(MO_BSS_Debt,0,COLUMN())</f>
        <v/>
      </c>
      <c r="AI8" s="678">
        <f>INDEX(MO_BSS_Debt,0,COLUMN())</f>
        <v/>
      </c>
      <c r="AJ8" s="1242">
        <f>INDEX(MO_BSS_Debt,0,COLUMN())</f>
        <v/>
      </c>
      <c r="AK8" s="678">
        <f>INDEX(MO_BSS_Debt,0,COLUMN())</f>
        <v/>
      </c>
      <c r="AL8" s="678">
        <f>INDEX(MO_BSS_Debt,0,COLUMN())</f>
        <v/>
      </c>
      <c r="AM8" s="678">
        <f>INDEX(MO_BSS_Debt,0,COLUMN())</f>
        <v/>
      </c>
      <c r="AN8" s="678">
        <f>INDEX(MO_BSS_Debt,0,COLUMN())</f>
        <v/>
      </c>
      <c r="AO8" s="1242">
        <f>INDEX(MO_BSS_Debt,0,COLUMN())</f>
        <v/>
      </c>
      <c r="AP8" s="678">
        <f>INDEX(MO_BSS_Debt,0,COLUMN())</f>
        <v/>
      </c>
      <c r="AQ8" s="678">
        <f>INDEX(MO_BSS_Debt,0,COLUMN())</f>
        <v/>
      </c>
      <c r="AR8" s="678">
        <f>INDEX(MO_BSS_Debt,0,COLUMN())</f>
        <v/>
      </c>
      <c r="AS8" s="678">
        <f>INDEX(MO_BSS_Debt,0,COLUMN())</f>
        <v/>
      </c>
      <c r="AT8" s="1242">
        <f>INDEX(MO_BSS_Debt,0,COLUMN())</f>
        <v/>
      </c>
      <c r="AU8" s="678">
        <f>INDEX(MO_BSS_Debt,0,COLUMN())</f>
        <v/>
      </c>
      <c r="AV8" s="678">
        <f>INDEX(MO_BSS_Debt,0,COLUMN())</f>
        <v/>
      </c>
      <c r="AW8" s="678">
        <f>INDEX(MO_BSS_Debt,0,COLUMN())</f>
        <v/>
      </c>
      <c r="AX8" s="678">
        <f>INDEX(MO_BSS_Debt,0,COLUMN())</f>
        <v/>
      </c>
      <c r="AY8" s="1242">
        <f>INDEX(MO_BSS_Debt,0,COLUMN())</f>
        <v/>
      </c>
      <c r="AZ8" s="678">
        <f>INDEX(MO_BSS_Debt,0,COLUMN())</f>
        <v/>
      </c>
      <c r="BA8" s="678">
        <f>INDEX(MO_BSS_Debt,0,COLUMN())</f>
        <v/>
      </c>
      <c r="BB8" s="678">
        <f>INDEX(MO_BSS_Debt,0,COLUMN())</f>
        <v/>
      </c>
      <c r="BC8" s="678">
        <f>INDEX(MO_BSS_Debt,0,COLUMN())</f>
        <v/>
      </c>
      <c r="BD8" s="1242">
        <f>INDEX(MO_BSS_Debt,0,COLUMN())</f>
        <v/>
      </c>
      <c r="BE8" s="678">
        <f>INDEX(MO_BSS_Debt,0,COLUMN())</f>
        <v/>
      </c>
      <c r="BF8" s="678">
        <f>INDEX(MO_BSS_Debt,0,COLUMN())</f>
        <v/>
      </c>
      <c r="BG8" s="678">
        <f>INDEX(MO_BSS_Debt,0,COLUMN())</f>
        <v/>
      </c>
      <c r="BH8" s="678">
        <f>INDEX(MO_BSS_Debt,0,COLUMN())</f>
        <v/>
      </c>
      <c r="BI8" s="1242">
        <f>INDEX(MO_BSS_Debt,0,COLUMN())</f>
        <v/>
      </c>
      <c r="BJ8" s="678">
        <f>INDEX(MO_BSS_Debt,0,COLUMN())</f>
        <v/>
      </c>
      <c r="BK8" s="678">
        <f>INDEX(MO_BSS_Debt,0,COLUMN())</f>
        <v/>
      </c>
      <c r="BL8" s="678">
        <f>INDEX(MO_BSS_Debt,0,COLUMN())</f>
        <v/>
      </c>
      <c r="BM8" s="678">
        <f>INDEX(MO_BSS_Debt,0,COLUMN())</f>
        <v/>
      </c>
      <c r="BN8" s="1242">
        <f>INDEX(MO_BSS_Debt,0,COLUMN())</f>
        <v/>
      </c>
      <c r="BO8" s="678">
        <f>INDEX(MO_BSS_Debt,0,COLUMN())</f>
        <v/>
      </c>
      <c r="BP8" s="678">
        <f>INDEX(MO_BSS_Debt,0,COLUMN())</f>
        <v/>
      </c>
      <c r="BQ8" s="678">
        <f>INDEX(MO_BSS_Debt,0,COLUMN())</f>
        <v/>
      </c>
      <c r="BR8" s="678">
        <f>INDEX(MO_BSS_Debt,0,COLUMN())</f>
        <v/>
      </c>
      <c r="BS8" s="1242">
        <f>INDEX(MO_BSS_Debt,0,COLUMN())</f>
        <v/>
      </c>
      <c r="BT8" s="678">
        <f>INDEX(MO_BSS_Debt,0,COLUMN())</f>
        <v/>
      </c>
      <c r="BU8" s="678">
        <f>INDEX(MO_BSS_Debt,0,COLUMN())</f>
        <v/>
      </c>
      <c r="BV8" s="935">
        <f>INDEX(MO_BSS_Debt,0,COLUMN())</f>
        <v/>
      </c>
      <c r="BW8" s="678">
        <f>INDEX(MO_BSS_Debt,0,COLUMN())</f>
        <v/>
      </c>
      <c r="BX8" s="1242">
        <f>INDEX(MO_BSS_Debt,0,COLUMN())</f>
        <v/>
      </c>
      <c r="BY8" s="678">
        <f>INDEX(MO_BSS_Debt,0,COLUMN())</f>
        <v/>
      </c>
      <c r="BZ8" s="678">
        <f>INDEX(MO_BSS_Debt,0,COLUMN())</f>
        <v/>
      </c>
      <c r="CA8" s="678">
        <f>INDEX(MO_BSS_Debt,0,COLUMN())</f>
        <v/>
      </c>
      <c r="CB8" s="678">
        <f>INDEX(MO_BSS_Debt,0,COLUMN())</f>
        <v/>
      </c>
      <c r="CC8" s="1242">
        <f>INDEX(MO_BSS_Debt,0,COLUMN())</f>
        <v/>
      </c>
      <c r="CD8" s="1242">
        <f>INDEX(MO_BSS_Debt,0,COLUMN())</f>
        <v/>
      </c>
      <c r="CE8" s="1242">
        <f>INDEX(MO_BSS_Debt,0,COLUMN())</f>
        <v/>
      </c>
      <c r="CF8" s="1242">
        <f>INDEX(MO_BSS_Debt,0,COLUMN())</f>
        <v/>
      </c>
      <c r="CG8" s="678" t="n"/>
    </row>
    <row r="9" customFormat="1" s="974">
      <c r="A9" s="676" t="inlineStr">
        <is>
          <t>Operating Lease Liabilities</t>
        </is>
      </c>
      <c r="B9" s="685" t="n"/>
      <c r="C9" s="1242">
        <f>INDEX(MO_BSS_OL,0,COLUMN())</f>
        <v/>
      </c>
      <c r="D9" s="1242">
        <f>INDEX(MO_BSS_OL,0,COLUMN())</f>
        <v/>
      </c>
      <c r="E9" s="1242">
        <f>INDEX(MO_BSS_OL,0,COLUMN())</f>
        <v/>
      </c>
      <c r="F9" s="1242">
        <f>INDEX(MO_BSS_OL,0,COLUMN())</f>
        <v/>
      </c>
      <c r="G9" s="678">
        <f>INDEX(MO_BSS_OL,0,COLUMN())</f>
        <v/>
      </c>
      <c r="H9" s="678">
        <f>INDEX(MO_BSS_OL,0,COLUMN())</f>
        <v/>
      </c>
      <c r="I9" s="678">
        <f>INDEX(MO_BSS_OL,0,COLUMN())</f>
        <v/>
      </c>
      <c r="J9" s="678">
        <f>INDEX(MO_BSS_OL,0,COLUMN())</f>
        <v/>
      </c>
      <c r="K9" s="1242">
        <f>INDEX(MO_BSS_OL,0,COLUMN())</f>
        <v/>
      </c>
      <c r="L9" s="678">
        <f>INDEX(MO_BSS_OL,0,COLUMN())</f>
        <v/>
      </c>
      <c r="M9" s="678">
        <f>INDEX(MO_BSS_OL,0,COLUMN())</f>
        <v/>
      </c>
      <c r="N9" s="678">
        <f>INDEX(MO_BSS_OL,0,COLUMN())</f>
        <v/>
      </c>
      <c r="O9" s="678">
        <f>INDEX(MO_BSS_OL,0,COLUMN())</f>
        <v/>
      </c>
      <c r="P9" s="1242">
        <f>INDEX(MO_BSS_OL,0,COLUMN())</f>
        <v/>
      </c>
      <c r="Q9" s="678">
        <f>INDEX(MO_BSS_OL,0,COLUMN())</f>
        <v/>
      </c>
      <c r="R9" s="678">
        <f>INDEX(MO_BSS_OL,0,COLUMN())</f>
        <v/>
      </c>
      <c r="S9" s="678">
        <f>INDEX(MO_BSS_OL,0,COLUMN())</f>
        <v/>
      </c>
      <c r="T9" s="678">
        <f>INDEX(MO_BSS_OL,0,COLUMN())</f>
        <v/>
      </c>
      <c r="U9" s="1242">
        <f>INDEX(MO_BSS_OL,0,COLUMN())</f>
        <v/>
      </c>
      <c r="V9" s="678">
        <f>INDEX(MO_BSS_OL,0,COLUMN())</f>
        <v/>
      </c>
      <c r="W9" s="678">
        <f>INDEX(MO_BSS_OL,0,COLUMN())</f>
        <v/>
      </c>
      <c r="X9" s="678">
        <f>INDEX(MO_BSS_OL,0,COLUMN())</f>
        <v/>
      </c>
      <c r="Y9" s="678">
        <f>INDEX(MO_BSS_OL,0,COLUMN())</f>
        <v/>
      </c>
      <c r="Z9" s="1242">
        <f>INDEX(MO_BSS_OL,0,COLUMN())</f>
        <v/>
      </c>
      <c r="AA9" s="678">
        <f>INDEX(MO_BSS_OL,0,COLUMN())</f>
        <v/>
      </c>
      <c r="AB9" s="678">
        <f>INDEX(MO_BSS_OL,0,COLUMN())</f>
        <v/>
      </c>
      <c r="AC9" s="678">
        <f>INDEX(MO_BSS_OL,0,COLUMN())</f>
        <v/>
      </c>
      <c r="AD9" s="678">
        <f>INDEX(MO_BSS_OL,0,COLUMN())</f>
        <v/>
      </c>
      <c r="AE9" s="1242">
        <f>INDEX(MO_BSS_OL,0,COLUMN())</f>
        <v/>
      </c>
      <c r="AF9" s="678">
        <f>INDEX(MO_BSS_OL,0,COLUMN())</f>
        <v/>
      </c>
      <c r="AG9" s="678">
        <f>INDEX(MO_BSS_OL,0,COLUMN())</f>
        <v/>
      </c>
      <c r="AH9" s="678">
        <f>INDEX(MO_BSS_OL,0,COLUMN())</f>
        <v/>
      </c>
      <c r="AI9" s="678">
        <f>INDEX(MO_BSS_OL,0,COLUMN())</f>
        <v/>
      </c>
      <c r="AJ9" s="1242">
        <f>INDEX(MO_BSS_OL,0,COLUMN())</f>
        <v/>
      </c>
      <c r="AK9" s="678">
        <f>INDEX(MO_BSS_OL,0,COLUMN())</f>
        <v/>
      </c>
      <c r="AL9" s="678">
        <f>INDEX(MO_BSS_OL,0,COLUMN())</f>
        <v/>
      </c>
      <c r="AM9" s="678">
        <f>INDEX(MO_BSS_OL,0,COLUMN())</f>
        <v/>
      </c>
      <c r="AN9" s="678">
        <f>INDEX(MO_BSS_OL,0,COLUMN())</f>
        <v/>
      </c>
      <c r="AO9" s="1242">
        <f>INDEX(MO_BSS_OL,0,COLUMN())</f>
        <v/>
      </c>
      <c r="AP9" s="678">
        <f>INDEX(MO_BSS_OL,0,COLUMN())</f>
        <v/>
      </c>
      <c r="AQ9" s="678">
        <f>INDEX(MO_BSS_OL,0,COLUMN())</f>
        <v/>
      </c>
      <c r="AR9" s="678">
        <f>INDEX(MO_BSS_OL,0,COLUMN())</f>
        <v/>
      </c>
      <c r="AS9" s="678">
        <f>INDEX(MO_BSS_OL,0,COLUMN())</f>
        <v/>
      </c>
      <c r="AT9" s="1242">
        <f>INDEX(MO_BSS_OL,0,COLUMN())</f>
        <v/>
      </c>
      <c r="AU9" s="678">
        <f>INDEX(MO_BSS_OL,0,COLUMN())</f>
        <v/>
      </c>
      <c r="AV9" s="678">
        <f>INDEX(MO_BSS_OL,0,COLUMN())</f>
        <v/>
      </c>
      <c r="AW9" s="678">
        <f>INDEX(MO_BSS_OL,0,COLUMN())</f>
        <v/>
      </c>
      <c r="AX9" s="678">
        <f>INDEX(MO_BSS_OL,0,COLUMN())</f>
        <v/>
      </c>
      <c r="AY9" s="1242">
        <f>INDEX(MO_BSS_OL,0,COLUMN())</f>
        <v/>
      </c>
      <c r="AZ9" s="678">
        <f>INDEX(MO_BSS_OL,0,COLUMN())</f>
        <v/>
      </c>
      <c r="BA9" s="678">
        <f>INDEX(MO_BSS_OL,0,COLUMN())</f>
        <v/>
      </c>
      <c r="BB9" s="678">
        <f>INDEX(MO_BSS_OL,0,COLUMN())</f>
        <v/>
      </c>
      <c r="BC9" s="678">
        <f>INDEX(MO_BSS_OL,0,COLUMN())</f>
        <v/>
      </c>
      <c r="BD9" s="1242">
        <f>INDEX(MO_BSS_OL,0,COLUMN())</f>
        <v/>
      </c>
      <c r="BE9" s="678">
        <f>INDEX(MO_BSS_OL,0,COLUMN())</f>
        <v/>
      </c>
      <c r="BF9" s="678">
        <f>INDEX(MO_BSS_OL,0,COLUMN())</f>
        <v/>
      </c>
      <c r="BG9" s="678">
        <f>INDEX(MO_BSS_OL,0,COLUMN())</f>
        <v/>
      </c>
      <c r="BH9" s="678">
        <f>INDEX(MO_BSS_OL,0,COLUMN())</f>
        <v/>
      </c>
      <c r="BI9" s="1242">
        <f>INDEX(MO_BSS_OL,0,COLUMN())</f>
        <v/>
      </c>
      <c r="BJ9" s="678">
        <f>INDEX(MO_BSS_OL,0,COLUMN())</f>
        <v/>
      </c>
      <c r="BK9" s="678">
        <f>INDEX(MO_BSS_OL,0,COLUMN())</f>
        <v/>
      </c>
      <c r="BL9" s="678">
        <f>INDEX(MO_BSS_OL,0,COLUMN())</f>
        <v/>
      </c>
      <c r="BM9" s="678">
        <f>INDEX(MO_BSS_OL,0,COLUMN())</f>
        <v/>
      </c>
      <c r="BN9" s="1242">
        <f>INDEX(MO_BSS_OL,0,COLUMN())</f>
        <v/>
      </c>
      <c r="BO9" s="678">
        <f>INDEX(MO_BSS_OL,0,COLUMN())</f>
        <v/>
      </c>
      <c r="BP9" s="678">
        <f>INDEX(MO_BSS_OL,0,COLUMN())</f>
        <v/>
      </c>
      <c r="BQ9" s="678">
        <f>INDEX(MO_BSS_OL,0,COLUMN())</f>
        <v/>
      </c>
      <c r="BR9" s="678">
        <f>INDEX(MO_BSS_OL,0,COLUMN())</f>
        <v/>
      </c>
      <c r="BS9" s="1242">
        <f>INDEX(MO_BSS_OL,0,COLUMN())</f>
        <v/>
      </c>
      <c r="BT9" s="678">
        <f>INDEX(MO_BSS_OL,0,COLUMN())</f>
        <v/>
      </c>
      <c r="BU9" s="678">
        <f>INDEX(MO_BSS_OL,0,COLUMN())</f>
        <v/>
      </c>
      <c r="BV9" s="935">
        <f>INDEX(MO_BSS_OL,0,COLUMN())</f>
        <v/>
      </c>
      <c r="BW9" s="678">
        <f>INDEX(MO_BSS_OL,0,COLUMN())</f>
        <v/>
      </c>
      <c r="BX9" s="1242">
        <f>INDEX(MO_BSS_OL,0,COLUMN())</f>
        <v/>
      </c>
      <c r="BY9" s="678">
        <f>INDEX(MO_BSS_OL,0,COLUMN())</f>
        <v/>
      </c>
      <c r="BZ9" s="678">
        <f>INDEX(MO_BSS_OL,0,COLUMN())</f>
        <v/>
      </c>
      <c r="CA9" s="678">
        <f>INDEX(MO_BSS_OL,0,COLUMN())</f>
        <v/>
      </c>
      <c r="CB9" s="678">
        <f>INDEX(MO_BSS_OL,0,COLUMN())</f>
        <v/>
      </c>
      <c r="CC9" s="1242">
        <f>INDEX(MO_BSS_OL,0,COLUMN())</f>
        <v/>
      </c>
      <c r="CD9" s="1242">
        <f>INDEX(MO_BSS_OL,0,COLUMN())</f>
        <v/>
      </c>
      <c r="CE9" s="1242">
        <f>INDEX(MO_BSS_OL,0,COLUMN())</f>
        <v/>
      </c>
      <c r="CF9" s="1242">
        <f>INDEX(MO_BSS_OL,0,COLUMN())</f>
        <v/>
      </c>
      <c r="CG9" s="678" t="n"/>
    </row>
    <row r="10" customFormat="1" s="974">
      <c r="A10" s="676" t="inlineStr">
        <is>
          <t>Other EV Components</t>
        </is>
      </c>
      <c r="B10" s="685" t="n"/>
      <c r="C10" s="1242">
        <f>INDEX(MO_VA_EVCalc_NCI,0,COLUMN())+INDEX(MO_VA_EVCalc_Prefs,0,COLUMN())+INDEX(MO_VA_EVCalc_Other,0,COLUMN())</f>
        <v/>
      </c>
      <c r="D10" s="1242">
        <f>INDEX(MO_VA_EVCalc_NCI,0,COLUMN())+INDEX(MO_VA_EVCalc_Prefs,0,COLUMN())+INDEX(MO_VA_EVCalc_Other,0,COLUMN())</f>
        <v/>
      </c>
      <c r="E10" s="1242">
        <f>INDEX(MO_VA_EVCalc_NCI,0,COLUMN())+INDEX(MO_VA_EVCalc_Prefs,0,COLUMN())+INDEX(MO_VA_EVCalc_Other,0,COLUMN())</f>
        <v/>
      </c>
      <c r="F10" s="1242">
        <f>INDEX(MO_VA_EVCalc_NCI,0,COLUMN())+INDEX(MO_VA_EVCalc_Prefs,0,COLUMN())+INDEX(MO_VA_EVCalc_Other,0,COLUMN())</f>
        <v/>
      </c>
      <c r="G10" s="678">
        <f>INDEX(MO_VA_EVCalc_NCI,0,COLUMN())+INDEX(MO_VA_EVCalc_Prefs,0,COLUMN())+INDEX(MO_VA_EVCalc_Other,0,COLUMN())</f>
        <v/>
      </c>
      <c r="H10" s="678">
        <f>INDEX(MO_VA_EVCalc_NCI,0,COLUMN())+INDEX(MO_VA_EVCalc_Prefs,0,COLUMN())+INDEX(MO_VA_EVCalc_Other,0,COLUMN())</f>
        <v/>
      </c>
      <c r="I10" s="678">
        <f>INDEX(MO_VA_EVCalc_NCI,0,COLUMN())+INDEX(MO_VA_EVCalc_Prefs,0,COLUMN())+INDEX(MO_VA_EVCalc_Other,0,COLUMN())</f>
        <v/>
      </c>
      <c r="J10" s="678">
        <f>INDEX(MO_VA_EVCalc_NCI,0,COLUMN())+INDEX(MO_VA_EVCalc_Prefs,0,COLUMN())+INDEX(MO_VA_EVCalc_Other,0,COLUMN())</f>
        <v/>
      </c>
      <c r="K10" s="1242">
        <f>INDEX(MO_VA_EVCalc_NCI,0,COLUMN())+INDEX(MO_VA_EVCalc_Prefs,0,COLUMN())+INDEX(MO_VA_EVCalc_Other,0,COLUMN())</f>
        <v/>
      </c>
      <c r="L10" s="678">
        <f>INDEX(MO_VA_EVCalc_NCI,0,COLUMN())+INDEX(MO_VA_EVCalc_Prefs,0,COLUMN())+INDEX(MO_VA_EVCalc_Other,0,COLUMN())</f>
        <v/>
      </c>
      <c r="M10" s="678">
        <f>INDEX(MO_VA_EVCalc_NCI,0,COLUMN())+INDEX(MO_VA_EVCalc_Prefs,0,COLUMN())+INDEX(MO_VA_EVCalc_Other,0,COLUMN())</f>
        <v/>
      </c>
      <c r="N10" s="678">
        <f>INDEX(MO_VA_EVCalc_NCI,0,COLUMN())+INDEX(MO_VA_EVCalc_Prefs,0,COLUMN())+INDEX(MO_VA_EVCalc_Other,0,COLUMN())</f>
        <v/>
      </c>
      <c r="O10" s="678">
        <f>INDEX(MO_VA_EVCalc_NCI,0,COLUMN())+INDEX(MO_VA_EVCalc_Prefs,0,COLUMN())+INDEX(MO_VA_EVCalc_Other,0,COLUMN())</f>
        <v/>
      </c>
      <c r="P10" s="1242">
        <f>INDEX(MO_VA_EVCalc_NCI,0,COLUMN())+INDEX(MO_VA_EVCalc_Prefs,0,COLUMN())+INDEX(MO_VA_EVCalc_Other,0,COLUMN())</f>
        <v/>
      </c>
      <c r="Q10" s="678">
        <f>INDEX(MO_VA_EVCalc_NCI,0,COLUMN())+INDEX(MO_VA_EVCalc_Prefs,0,COLUMN())+INDEX(MO_VA_EVCalc_Other,0,COLUMN())</f>
        <v/>
      </c>
      <c r="R10" s="678">
        <f>INDEX(MO_VA_EVCalc_NCI,0,COLUMN())+INDEX(MO_VA_EVCalc_Prefs,0,COLUMN())+INDEX(MO_VA_EVCalc_Other,0,COLUMN())</f>
        <v/>
      </c>
      <c r="S10" s="678">
        <f>INDEX(MO_VA_EVCalc_NCI,0,COLUMN())+INDEX(MO_VA_EVCalc_Prefs,0,COLUMN())+INDEX(MO_VA_EVCalc_Other,0,COLUMN())</f>
        <v/>
      </c>
      <c r="T10" s="678">
        <f>INDEX(MO_VA_EVCalc_NCI,0,COLUMN())+INDEX(MO_VA_EVCalc_Prefs,0,COLUMN())+INDEX(MO_VA_EVCalc_Other,0,COLUMN())</f>
        <v/>
      </c>
      <c r="U10" s="1242">
        <f>INDEX(MO_VA_EVCalc_NCI,0,COLUMN())+INDEX(MO_VA_EVCalc_Prefs,0,COLUMN())+INDEX(MO_VA_EVCalc_Other,0,COLUMN())</f>
        <v/>
      </c>
      <c r="V10" s="678">
        <f>INDEX(MO_VA_EVCalc_NCI,0,COLUMN())+INDEX(MO_VA_EVCalc_Prefs,0,COLUMN())+INDEX(MO_VA_EVCalc_Other,0,COLUMN())</f>
        <v/>
      </c>
      <c r="W10" s="678">
        <f>INDEX(MO_VA_EVCalc_NCI,0,COLUMN())+INDEX(MO_VA_EVCalc_Prefs,0,COLUMN())+INDEX(MO_VA_EVCalc_Other,0,COLUMN())</f>
        <v/>
      </c>
      <c r="X10" s="678">
        <f>INDEX(MO_VA_EVCalc_NCI,0,COLUMN())+INDEX(MO_VA_EVCalc_Prefs,0,COLUMN())+INDEX(MO_VA_EVCalc_Other,0,COLUMN())</f>
        <v/>
      </c>
      <c r="Y10" s="678">
        <f>INDEX(MO_VA_EVCalc_NCI,0,COLUMN())+INDEX(MO_VA_EVCalc_Prefs,0,COLUMN())+INDEX(MO_VA_EVCalc_Other,0,COLUMN())</f>
        <v/>
      </c>
      <c r="Z10" s="1242">
        <f>INDEX(MO_VA_EVCalc_NCI,0,COLUMN())+INDEX(MO_VA_EVCalc_Prefs,0,COLUMN())+INDEX(MO_VA_EVCalc_Other,0,COLUMN())</f>
        <v/>
      </c>
      <c r="AA10" s="678">
        <f>INDEX(MO_VA_EVCalc_NCI,0,COLUMN())+INDEX(MO_VA_EVCalc_Prefs,0,COLUMN())+INDEX(MO_VA_EVCalc_Other,0,COLUMN())</f>
        <v/>
      </c>
      <c r="AB10" s="678">
        <f>INDEX(MO_VA_EVCalc_NCI,0,COLUMN())+INDEX(MO_VA_EVCalc_Prefs,0,COLUMN())+INDEX(MO_VA_EVCalc_Other,0,COLUMN())</f>
        <v/>
      </c>
      <c r="AC10" s="678">
        <f>INDEX(MO_VA_EVCalc_NCI,0,COLUMN())+INDEX(MO_VA_EVCalc_Prefs,0,COLUMN())+INDEX(MO_VA_EVCalc_Other,0,COLUMN())</f>
        <v/>
      </c>
      <c r="AD10" s="678">
        <f>INDEX(MO_VA_EVCalc_NCI,0,COLUMN())+INDEX(MO_VA_EVCalc_Prefs,0,COLUMN())+INDEX(MO_VA_EVCalc_Other,0,COLUMN())</f>
        <v/>
      </c>
      <c r="AE10" s="1242">
        <f>INDEX(MO_VA_EVCalc_NCI,0,COLUMN())+INDEX(MO_VA_EVCalc_Prefs,0,COLUMN())+INDEX(MO_VA_EVCalc_Other,0,COLUMN())</f>
        <v/>
      </c>
      <c r="AF10" s="678">
        <f>INDEX(MO_VA_EVCalc_NCI,0,COLUMN())+INDEX(MO_VA_EVCalc_Prefs,0,COLUMN())+INDEX(MO_VA_EVCalc_Other,0,COLUMN())</f>
        <v/>
      </c>
      <c r="AG10" s="678">
        <f>INDEX(MO_VA_EVCalc_NCI,0,COLUMN())+INDEX(MO_VA_EVCalc_Prefs,0,COLUMN())+INDEX(MO_VA_EVCalc_Other,0,COLUMN())</f>
        <v/>
      </c>
      <c r="AH10" s="678">
        <f>INDEX(MO_VA_EVCalc_NCI,0,COLUMN())+INDEX(MO_VA_EVCalc_Prefs,0,COLUMN())+INDEX(MO_VA_EVCalc_Other,0,COLUMN())</f>
        <v/>
      </c>
      <c r="AI10" s="678">
        <f>INDEX(MO_VA_EVCalc_NCI,0,COLUMN())+INDEX(MO_VA_EVCalc_Prefs,0,COLUMN())+INDEX(MO_VA_EVCalc_Other,0,COLUMN())</f>
        <v/>
      </c>
      <c r="AJ10" s="1242">
        <f>INDEX(MO_VA_EVCalc_NCI,0,COLUMN())+INDEX(MO_VA_EVCalc_Prefs,0,COLUMN())+INDEX(MO_VA_EVCalc_Other,0,COLUMN())</f>
        <v/>
      </c>
      <c r="AK10" s="678">
        <f>INDEX(MO_VA_EVCalc_NCI,0,COLUMN())+INDEX(MO_VA_EVCalc_Prefs,0,COLUMN())+INDEX(MO_VA_EVCalc_Other,0,COLUMN())</f>
        <v/>
      </c>
      <c r="AL10" s="678">
        <f>INDEX(MO_VA_EVCalc_NCI,0,COLUMN())+INDEX(MO_VA_EVCalc_Prefs,0,COLUMN())+INDEX(MO_VA_EVCalc_Other,0,COLUMN())</f>
        <v/>
      </c>
      <c r="AM10" s="678">
        <f>INDEX(MO_VA_EVCalc_NCI,0,COLUMN())+INDEX(MO_VA_EVCalc_Prefs,0,COLUMN())+INDEX(MO_VA_EVCalc_Other,0,COLUMN())</f>
        <v/>
      </c>
      <c r="AN10" s="678">
        <f>INDEX(MO_VA_EVCalc_NCI,0,COLUMN())+INDEX(MO_VA_EVCalc_Prefs,0,COLUMN())+INDEX(MO_VA_EVCalc_Other,0,COLUMN())</f>
        <v/>
      </c>
      <c r="AO10" s="1242">
        <f>INDEX(MO_VA_EVCalc_NCI,0,COLUMN())+INDEX(MO_VA_EVCalc_Prefs,0,COLUMN())+INDEX(MO_VA_EVCalc_Other,0,COLUMN())</f>
        <v/>
      </c>
      <c r="AP10" s="678">
        <f>INDEX(MO_VA_EVCalc_NCI,0,COLUMN())+INDEX(MO_VA_EVCalc_Prefs,0,COLUMN())+INDEX(MO_VA_EVCalc_Other,0,COLUMN())</f>
        <v/>
      </c>
      <c r="AQ10" s="678">
        <f>INDEX(MO_VA_EVCalc_NCI,0,COLUMN())+INDEX(MO_VA_EVCalc_Prefs,0,COLUMN())+INDEX(MO_VA_EVCalc_Other,0,COLUMN())</f>
        <v/>
      </c>
      <c r="AR10" s="678">
        <f>INDEX(MO_VA_EVCalc_NCI,0,COLUMN())+INDEX(MO_VA_EVCalc_Prefs,0,COLUMN())+INDEX(MO_VA_EVCalc_Other,0,COLUMN())</f>
        <v/>
      </c>
      <c r="AS10" s="678">
        <f>INDEX(MO_VA_EVCalc_NCI,0,COLUMN())+INDEX(MO_VA_EVCalc_Prefs,0,COLUMN())+INDEX(MO_VA_EVCalc_Other,0,COLUMN())</f>
        <v/>
      </c>
      <c r="AT10" s="1242">
        <f>INDEX(MO_VA_EVCalc_NCI,0,COLUMN())+INDEX(MO_VA_EVCalc_Prefs,0,COLUMN())+INDEX(MO_VA_EVCalc_Other,0,COLUMN())</f>
        <v/>
      </c>
      <c r="AU10" s="678">
        <f>INDEX(MO_VA_EVCalc_NCI,0,COLUMN())+INDEX(MO_VA_EVCalc_Prefs,0,COLUMN())+INDEX(MO_VA_EVCalc_Other,0,COLUMN())</f>
        <v/>
      </c>
      <c r="AV10" s="678">
        <f>INDEX(MO_VA_EVCalc_NCI,0,COLUMN())+INDEX(MO_VA_EVCalc_Prefs,0,COLUMN())+INDEX(MO_VA_EVCalc_Other,0,COLUMN())</f>
        <v/>
      </c>
      <c r="AW10" s="678">
        <f>INDEX(MO_VA_EVCalc_NCI,0,COLUMN())+INDEX(MO_VA_EVCalc_Prefs,0,COLUMN())+INDEX(MO_VA_EVCalc_Other,0,COLUMN())</f>
        <v/>
      </c>
      <c r="AX10" s="678">
        <f>INDEX(MO_VA_EVCalc_NCI,0,COLUMN())+INDEX(MO_VA_EVCalc_Prefs,0,COLUMN())+INDEX(MO_VA_EVCalc_Other,0,COLUMN())</f>
        <v/>
      </c>
      <c r="AY10" s="1242">
        <f>INDEX(MO_VA_EVCalc_NCI,0,COLUMN())+INDEX(MO_VA_EVCalc_Prefs,0,COLUMN())+INDEX(MO_VA_EVCalc_Other,0,COLUMN())</f>
        <v/>
      </c>
      <c r="AZ10" s="678">
        <f>INDEX(MO_VA_EVCalc_NCI,0,COLUMN())+INDEX(MO_VA_EVCalc_Prefs,0,COLUMN())+INDEX(MO_VA_EVCalc_Other,0,COLUMN())</f>
        <v/>
      </c>
      <c r="BA10" s="678">
        <f>INDEX(MO_VA_EVCalc_NCI,0,COLUMN())+INDEX(MO_VA_EVCalc_Prefs,0,COLUMN())+INDEX(MO_VA_EVCalc_Other,0,COLUMN())</f>
        <v/>
      </c>
      <c r="BB10" s="678">
        <f>INDEX(MO_VA_EVCalc_NCI,0,COLUMN())+INDEX(MO_VA_EVCalc_Prefs,0,COLUMN())+INDEX(MO_VA_EVCalc_Other,0,COLUMN())</f>
        <v/>
      </c>
      <c r="BC10" s="678">
        <f>INDEX(MO_VA_EVCalc_NCI,0,COLUMN())+INDEX(MO_VA_EVCalc_Prefs,0,COLUMN())+INDEX(MO_VA_EVCalc_Other,0,COLUMN())</f>
        <v/>
      </c>
      <c r="BD10" s="1242">
        <f>INDEX(MO_VA_EVCalc_NCI,0,COLUMN())+INDEX(MO_VA_EVCalc_Prefs,0,COLUMN())+INDEX(MO_VA_EVCalc_Other,0,COLUMN())</f>
        <v/>
      </c>
      <c r="BE10" s="678">
        <f>INDEX(MO_VA_EVCalc_NCI,0,COLUMN())+INDEX(MO_VA_EVCalc_Prefs,0,COLUMN())+INDEX(MO_VA_EVCalc_Other,0,COLUMN())</f>
        <v/>
      </c>
      <c r="BF10" s="678">
        <f>INDEX(MO_VA_EVCalc_NCI,0,COLUMN())+INDEX(MO_VA_EVCalc_Prefs,0,COLUMN())+INDEX(MO_VA_EVCalc_Other,0,COLUMN())</f>
        <v/>
      </c>
      <c r="BG10" s="678">
        <f>INDEX(MO_VA_EVCalc_NCI,0,COLUMN())+INDEX(MO_VA_EVCalc_Prefs,0,COLUMN())+INDEX(MO_VA_EVCalc_Other,0,COLUMN())</f>
        <v/>
      </c>
      <c r="BH10" s="678">
        <f>INDEX(MO_VA_EVCalc_NCI,0,COLUMN())+INDEX(MO_VA_EVCalc_Prefs,0,COLUMN())+INDEX(MO_VA_EVCalc_Other,0,COLUMN())</f>
        <v/>
      </c>
      <c r="BI10" s="1242">
        <f>INDEX(MO_VA_EVCalc_NCI,0,COLUMN())+INDEX(MO_VA_EVCalc_Prefs,0,COLUMN())+INDEX(MO_VA_EVCalc_Other,0,COLUMN())</f>
        <v/>
      </c>
      <c r="BJ10" s="678">
        <f>INDEX(MO_VA_EVCalc_NCI,0,COLUMN())+INDEX(MO_VA_EVCalc_Prefs,0,COLUMN())+INDEX(MO_VA_EVCalc_Other,0,COLUMN())</f>
        <v/>
      </c>
      <c r="BK10" s="678">
        <f>INDEX(MO_VA_EVCalc_NCI,0,COLUMN())+INDEX(MO_VA_EVCalc_Prefs,0,COLUMN())+INDEX(MO_VA_EVCalc_Other,0,COLUMN())</f>
        <v/>
      </c>
      <c r="BL10" s="678">
        <f>INDEX(MO_VA_EVCalc_NCI,0,COLUMN())+INDEX(MO_VA_EVCalc_Prefs,0,COLUMN())+INDEX(MO_VA_EVCalc_Other,0,COLUMN())</f>
        <v/>
      </c>
      <c r="BM10" s="678">
        <f>INDEX(MO_VA_EVCalc_NCI,0,COLUMN())+INDEX(MO_VA_EVCalc_Prefs,0,COLUMN())+INDEX(MO_VA_EVCalc_Other,0,COLUMN())</f>
        <v/>
      </c>
      <c r="BN10" s="1242">
        <f>INDEX(MO_VA_EVCalc_NCI,0,COLUMN())+INDEX(MO_VA_EVCalc_Prefs,0,COLUMN())+INDEX(MO_VA_EVCalc_Other,0,COLUMN())</f>
        <v/>
      </c>
      <c r="BO10" s="678">
        <f>INDEX(MO_VA_EVCalc_NCI,0,COLUMN())+INDEX(MO_VA_EVCalc_Prefs,0,COLUMN())+INDEX(MO_VA_EVCalc_Other,0,COLUMN())</f>
        <v/>
      </c>
      <c r="BP10" s="678">
        <f>INDEX(MO_VA_EVCalc_NCI,0,COLUMN())+INDEX(MO_VA_EVCalc_Prefs,0,COLUMN())+INDEX(MO_VA_EVCalc_Other,0,COLUMN())</f>
        <v/>
      </c>
      <c r="BQ10" s="678">
        <f>INDEX(MO_VA_EVCalc_NCI,0,COLUMN())+INDEX(MO_VA_EVCalc_Prefs,0,COLUMN())+INDEX(MO_VA_EVCalc_Other,0,COLUMN())</f>
        <v/>
      </c>
      <c r="BR10" s="678">
        <f>INDEX(MO_VA_EVCalc_NCI,0,COLUMN())+INDEX(MO_VA_EVCalc_Prefs,0,COLUMN())+INDEX(MO_VA_EVCalc_Other,0,COLUMN())</f>
        <v/>
      </c>
      <c r="BS10" s="1242">
        <f>INDEX(MO_VA_EVCalc_NCI,0,COLUMN())+INDEX(MO_VA_EVCalc_Prefs,0,COLUMN())+INDEX(MO_VA_EVCalc_Other,0,COLUMN())</f>
        <v/>
      </c>
      <c r="BT10" s="678">
        <f>INDEX(MO_VA_EVCalc_NCI,0,COLUMN())+INDEX(MO_VA_EVCalc_Prefs,0,COLUMN())+INDEX(MO_VA_EVCalc_Other,0,COLUMN())</f>
        <v/>
      </c>
      <c r="BU10" s="678">
        <f>INDEX(MO_VA_EVCalc_NCI,0,COLUMN())+INDEX(MO_VA_EVCalc_Prefs,0,COLUMN())+INDEX(MO_VA_EVCalc_Other,0,COLUMN())</f>
        <v/>
      </c>
      <c r="BV10" s="935">
        <f>INDEX(MO_VA_EVCalc_NCI,0,COLUMN())+INDEX(MO_VA_EVCalc_Prefs,0,COLUMN())+INDEX(MO_VA_EVCalc_Other,0,COLUMN())</f>
        <v/>
      </c>
      <c r="BW10" s="678">
        <f>INDEX(MO_VA_EVCalc_NCI,0,COLUMN())+INDEX(MO_VA_EVCalc_Prefs,0,COLUMN())+INDEX(MO_VA_EVCalc_Other,0,COLUMN())</f>
        <v/>
      </c>
      <c r="BX10" s="1242">
        <f>INDEX(MO_VA_EVCalc_NCI,0,COLUMN())+INDEX(MO_VA_EVCalc_Prefs,0,COLUMN())+INDEX(MO_VA_EVCalc_Other,0,COLUMN())</f>
        <v/>
      </c>
      <c r="BY10" s="678">
        <f>INDEX(MO_VA_EVCalc_NCI,0,COLUMN())+INDEX(MO_VA_EVCalc_Prefs,0,COLUMN())+INDEX(MO_VA_EVCalc_Other,0,COLUMN())</f>
        <v/>
      </c>
      <c r="BZ10" s="678">
        <f>INDEX(MO_VA_EVCalc_NCI,0,COLUMN())+INDEX(MO_VA_EVCalc_Prefs,0,COLUMN())+INDEX(MO_VA_EVCalc_Other,0,COLUMN())</f>
        <v/>
      </c>
      <c r="CA10" s="678">
        <f>INDEX(MO_VA_EVCalc_NCI,0,COLUMN())+INDEX(MO_VA_EVCalc_Prefs,0,COLUMN())+INDEX(MO_VA_EVCalc_Other,0,COLUMN())</f>
        <v/>
      </c>
      <c r="CB10" s="678">
        <f>INDEX(MO_VA_EVCalc_NCI,0,COLUMN())+INDEX(MO_VA_EVCalc_Prefs,0,COLUMN())+INDEX(MO_VA_EVCalc_Other,0,COLUMN())</f>
        <v/>
      </c>
      <c r="CC10" s="1242">
        <f>INDEX(MO_VA_EVCalc_NCI,0,COLUMN())+INDEX(MO_VA_EVCalc_Prefs,0,COLUMN())+INDEX(MO_VA_EVCalc_Other,0,COLUMN())</f>
        <v/>
      </c>
      <c r="CD10" s="1242">
        <f>INDEX(MO_VA_EVCalc_NCI,0,COLUMN())+INDEX(MO_VA_EVCalc_Prefs,0,COLUMN())+INDEX(MO_VA_EVCalc_Other,0,COLUMN())</f>
        <v/>
      </c>
      <c r="CE10" s="1242">
        <f>INDEX(MO_VA_EVCalc_NCI,0,COLUMN())+INDEX(MO_VA_EVCalc_Prefs,0,COLUMN())+INDEX(MO_VA_EVCalc_Other,0,COLUMN())</f>
        <v/>
      </c>
      <c r="CF10" s="1242">
        <f>INDEX(MO_VA_EVCalc_NCI,0,COLUMN())+INDEX(MO_VA_EVCalc_Prefs,0,COLUMN())+INDEX(MO_VA_EVCalc_Other,0,COLUMN())</f>
        <v/>
      </c>
      <c r="CG10" s="678" t="n"/>
    </row>
    <row r="11" customFormat="1" s="973">
      <c r="A11" s="686">
        <f>"Enterprise Value - "&amp;SP.ValuationToggle</f>
        <v/>
      </c>
      <c r="B11" s="687" t="n"/>
      <c r="C11" s="1243">
        <f>INDEX(SP_CS_MarketCap,0,COLUMN())-INDEX(SP_CS_Cash,0,COLUMN())+INDEX(SP_CS_Debt,0,COLUMN())+INDEX(SP_CS_OL,0,COLUMN())+INDEX(SP_CS_EVCalc_Other,0,COLUMN())</f>
        <v/>
      </c>
      <c r="D11" s="1243">
        <f>INDEX(SP_CS_MarketCap,0,COLUMN())-INDEX(SP_CS_Cash,0,COLUMN())+INDEX(SP_CS_Debt,0,COLUMN())+INDEX(SP_CS_OL,0,COLUMN())+INDEX(SP_CS_EVCalc_Other,0,COLUMN())</f>
        <v/>
      </c>
      <c r="E11" s="1243">
        <f>INDEX(SP_CS_MarketCap,0,COLUMN())-INDEX(SP_CS_Cash,0,COLUMN())+INDEX(SP_CS_Debt,0,COLUMN())+INDEX(SP_CS_OL,0,COLUMN())+INDEX(SP_CS_EVCalc_Other,0,COLUMN())</f>
        <v/>
      </c>
      <c r="F11" s="1243">
        <f>INDEX(SP_CS_MarketCap,0,COLUMN())-INDEX(SP_CS_Cash,0,COLUMN())+INDEX(SP_CS_Debt,0,COLUMN())+INDEX(SP_CS_OL,0,COLUMN())+INDEX(SP_CS_EVCalc_Other,0,COLUMN())</f>
        <v/>
      </c>
      <c r="G11" s="688">
        <f>INDEX(SP_CS_MarketCap,0,COLUMN())-INDEX(SP_CS_Cash,0,COLUMN())+INDEX(SP_CS_Debt,0,COLUMN())+INDEX(SP_CS_OL,0,COLUMN())+INDEX(SP_CS_EVCalc_Other,0,COLUMN())</f>
        <v/>
      </c>
      <c r="H11" s="688">
        <f>INDEX(SP_CS_MarketCap,0,COLUMN())-INDEX(SP_CS_Cash,0,COLUMN())+INDEX(SP_CS_Debt,0,COLUMN())+INDEX(SP_CS_OL,0,COLUMN())+INDEX(SP_CS_EVCalc_Other,0,COLUMN())</f>
        <v/>
      </c>
      <c r="I11" s="688">
        <f>INDEX(SP_CS_MarketCap,0,COLUMN())-INDEX(SP_CS_Cash,0,COLUMN())+INDEX(SP_CS_Debt,0,COLUMN())+INDEX(SP_CS_OL,0,COLUMN())+INDEX(SP_CS_EVCalc_Other,0,COLUMN())</f>
        <v/>
      </c>
      <c r="J11" s="688">
        <f>INDEX(SP_CS_MarketCap,0,COLUMN())-INDEX(SP_CS_Cash,0,COLUMN())+INDEX(SP_CS_Debt,0,COLUMN())+INDEX(SP_CS_OL,0,COLUMN())+INDEX(SP_CS_EVCalc_Other,0,COLUMN())</f>
        <v/>
      </c>
      <c r="K11" s="1243">
        <f>INDEX(SP_CS_MarketCap,0,COLUMN())-INDEX(SP_CS_Cash,0,COLUMN())+INDEX(SP_CS_Debt,0,COLUMN())+INDEX(SP_CS_OL,0,COLUMN())+INDEX(SP_CS_EVCalc_Other,0,COLUMN())</f>
        <v/>
      </c>
      <c r="L11" s="688">
        <f>INDEX(SP_CS_MarketCap,0,COLUMN())-INDEX(SP_CS_Cash,0,COLUMN())+INDEX(SP_CS_Debt,0,COLUMN())+INDEX(SP_CS_OL,0,COLUMN())+INDEX(SP_CS_EVCalc_Other,0,COLUMN())</f>
        <v/>
      </c>
      <c r="M11" s="688">
        <f>INDEX(SP_CS_MarketCap,0,COLUMN())-INDEX(SP_CS_Cash,0,COLUMN())+INDEX(SP_CS_Debt,0,COLUMN())+INDEX(SP_CS_OL,0,COLUMN())+INDEX(SP_CS_EVCalc_Other,0,COLUMN())</f>
        <v/>
      </c>
      <c r="N11" s="688">
        <f>INDEX(SP_CS_MarketCap,0,COLUMN())-INDEX(SP_CS_Cash,0,COLUMN())+INDEX(SP_CS_Debt,0,COLUMN())+INDEX(SP_CS_OL,0,COLUMN())+INDEX(SP_CS_EVCalc_Other,0,COLUMN())</f>
        <v/>
      </c>
      <c r="O11" s="688">
        <f>INDEX(SP_CS_MarketCap,0,COLUMN())-INDEX(SP_CS_Cash,0,COLUMN())+INDEX(SP_CS_Debt,0,COLUMN())+INDEX(SP_CS_OL,0,COLUMN())+INDEX(SP_CS_EVCalc_Other,0,COLUMN())</f>
        <v/>
      </c>
      <c r="P11" s="1243">
        <f>INDEX(SP_CS_MarketCap,0,COLUMN())-INDEX(SP_CS_Cash,0,COLUMN())+INDEX(SP_CS_Debt,0,COLUMN())+INDEX(SP_CS_OL,0,COLUMN())+INDEX(SP_CS_EVCalc_Other,0,COLUMN())</f>
        <v/>
      </c>
      <c r="Q11" s="688">
        <f>INDEX(SP_CS_MarketCap,0,COLUMN())-INDEX(SP_CS_Cash,0,COLUMN())+INDEX(SP_CS_Debt,0,COLUMN())+INDEX(SP_CS_OL,0,COLUMN())+INDEX(SP_CS_EVCalc_Other,0,COLUMN())</f>
        <v/>
      </c>
      <c r="R11" s="688">
        <f>INDEX(SP_CS_MarketCap,0,COLUMN())-INDEX(SP_CS_Cash,0,COLUMN())+INDEX(SP_CS_Debt,0,COLUMN())+INDEX(SP_CS_OL,0,COLUMN())+INDEX(SP_CS_EVCalc_Other,0,COLUMN())</f>
        <v/>
      </c>
      <c r="S11" s="688">
        <f>INDEX(SP_CS_MarketCap,0,COLUMN())-INDEX(SP_CS_Cash,0,COLUMN())+INDEX(SP_CS_Debt,0,COLUMN())+INDEX(SP_CS_OL,0,COLUMN())+INDEX(SP_CS_EVCalc_Other,0,COLUMN())</f>
        <v/>
      </c>
      <c r="T11" s="688">
        <f>INDEX(SP_CS_MarketCap,0,COLUMN())-INDEX(SP_CS_Cash,0,COLUMN())+INDEX(SP_CS_Debt,0,COLUMN())+INDEX(SP_CS_OL,0,COLUMN())+INDEX(SP_CS_EVCalc_Other,0,COLUMN())</f>
        <v/>
      </c>
      <c r="U11" s="1243">
        <f>INDEX(SP_CS_MarketCap,0,COLUMN())-INDEX(SP_CS_Cash,0,COLUMN())+INDEX(SP_CS_Debt,0,COLUMN())+INDEX(SP_CS_OL,0,COLUMN())+INDEX(SP_CS_EVCalc_Other,0,COLUMN())</f>
        <v/>
      </c>
      <c r="V11" s="688">
        <f>INDEX(SP_CS_MarketCap,0,COLUMN())-INDEX(SP_CS_Cash,0,COLUMN())+INDEX(SP_CS_Debt,0,COLUMN())+INDEX(SP_CS_OL,0,COLUMN())+INDEX(SP_CS_EVCalc_Other,0,COLUMN())</f>
        <v/>
      </c>
      <c r="W11" s="688">
        <f>INDEX(SP_CS_MarketCap,0,COLUMN())-INDEX(SP_CS_Cash,0,COLUMN())+INDEX(SP_CS_Debt,0,COLUMN())+INDEX(SP_CS_OL,0,COLUMN())+INDEX(SP_CS_EVCalc_Other,0,COLUMN())</f>
        <v/>
      </c>
      <c r="X11" s="688">
        <f>INDEX(SP_CS_MarketCap,0,COLUMN())-INDEX(SP_CS_Cash,0,COLUMN())+INDEX(SP_CS_Debt,0,COLUMN())+INDEX(SP_CS_OL,0,COLUMN())+INDEX(SP_CS_EVCalc_Other,0,COLUMN())</f>
        <v/>
      </c>
      <c r="Y11" s="688">
        <f>INDEX(SP_CS_MarketCap,0,COLUMN())-INDEX(SP_CS_Cash,0,COLUMN())+INDEX(SP_CS_Debt,0,COLUMN())+INDEX(SP_CS_OL,0,COLUMN())+INDEX(SP_CS_EVCalc_Other,0,COLUMN())</f>
        <v/>
      </c>
      <c r="Z11" s="1243">
        <f>INDEX(SP_CS_MarketCap,0,COLUMN())-INDEX(SP_CS_Cash,0,COLUMN())+INDEX(SP_CS_Debt,0,COLUMN())+INDEX(SP_CS_OL,0,COLUMN())+INDEX(SP_CS_EVCalc_Other,0,COLUMN())</f>
        <v/>
      </c>
      <c r="AA11" s="688">
        <f>INDEX(SP_CS_MarketCap,0,COLUMN())-INDEX(SP_CS_Cash,0,COLUMN())+INDEX(SP_CS_Debt,0,COLUMN())+INDEX(SP_CS_OL,0,COLUMN())+INDEX(SP_CS_EVCalc_Other,0,COLUMN())</f>
        <v/>
      </c>
      <c r="AB11" s="688">
        <f>INDEX(SP_CS_MarketCap,0,COLUMN())-INDEX(SP_CS_Cash,0,COLUMN())+INDEX(SP_CS_Debt,0,COLUMN())+INDEX(SP_CS_OL,0,COLUMN())+INDEX(SP_CS_EVCalc_Other,0,COLUMN())</f>
        <v/>
      </c>
      <c r="AC11" s="688">
        <f>INDEX(SP_CS_MarketCap,0,COLUMN())-INDEX(SP_CS_Cash,0,COLUMN())+INDEX(SP_CS_Debt,0,COLUMN())+INDEX(SP_CS_OL,0,COLUMN())+INDEX(SP_CS_EVCalc_Other,0,COLUMN())</f>
        <v/>
      </c>
      <c r="AD11" s="688">
        <f>INDEX(SP_CS_MarketCap,0,COLUMN())-INDEX(SP_CS_Cash,0,COLUMN())+INDEX(SP_CS_Debt,0,COLUMN())+INDEX(SP_CS_OL,0,COLUMN())+INDEX(SP_CS_EVCalc_Other,0,COLUMN())</f>
        <v/>
      </c>
      <c r="AE11" s="1243">
        <f>INDEX(SP_CS_MarketCap,0,COLUMN())-INDEX(SP_CS_Cash,0,COLUMN())+INDEX(SP_CS_Debt,0,COLUMN())+INDEX(SP_CS_OL,0,COLUMN())+INDEX(SP_CS_EVCalc_Other,0,COLUMN())</f>
        <v/>
      </c>
      <c r="AF11" s="688">
        <f>INDEX(SP_CS_MarketCap,0,COLUMN())-INDEX(SP_CS_Cash,0,COLUMN())+INDEX(SP_CS_Debt,0,COLUMN())+INDEX(SP_CS_OL,0,COLUMN())+INDEX(SP_CS_EVCalc_Other,0,COLUMN())</f>
        <v/>
      </c>
      <c r="AG11" s="688">
        <f>INDEX(SP_CS_MarketCap,0,COLUMN())-INDEX(SP_CS_Cash,0,COLUMN())+INDEX(SP_CS_Debt,0,COLUMN())+INDEX(SP_CS_OL,0,COLUMN())+INDEX(SP_CS_EVCalc_Other,0,COLUMN())</f>
        <v/>
      </c>
      <c r="AH11" s="688">
        <f>INDEX(SP_CS_MarketCap,0,COLUMN())-INDEX(SP_CS_Cash,0,COLUMN())+INDEX(SP_CS_Debt,0,COLUMN())+INDEX(SP_CS_OL,0,COLUMN())+INDEX(SP_CS_EVCalc_Other,0,COLUMN())</f>
        <v/>
      </c>
      <c r="AI11" s="688">
        <f>INDEX(SP_CS_MarketCap,0,COLUMN())-INDEX(SP_CS_Cash,0,COLUMN())+INDEX(SP_CS_Debt,0,COLUMN())+INDEX(SP_CS_OL,0,COLUMN())+INDEX(SP_CS_EVCalc_Other,0,COLUMN())</f>
        <v/>
      </c>
      <c r="AJ11" s="1243">
        <f>INDEX(SP_CS_MarketCap,0,COLUMN())-INDEX(SP_CS_Cash,0,COLUMN())+INDEX(SP_CS_Debt,0,COLUMN())+INDEX(SP_CS_OL,0,COLUMN())+INDEX(SP_CS_EVCalc_Other,0,COLUMN())</f>
        <v/>
      </c>
      <c r="AK11" s="688">
        <f>INDEX(SP_CS_MarketCap,0,COLUMN())-INDEX(SP_CS_Cash,0,COLUMN())+INDEX(SP_CS_Debt,0,COLUMN())+INDEX(SP_CS_OL,0,COLUMN())+INDEX(SP_CS_EVCalc_Other,0,COLUMN())</f>
        <v/>
      </c>
      <c r="AL11" s="688">
        <f>INDEX(SP_CS_MarketCap,0,COLUMN())-INDEX(SP_CS_Cash,0,COLUMN())+INDEX(SP_CS_Debt,0,COLUMN())+INDEX(SP_CS_OL,0,COLUMN())+INDEX(SP_CS_EVCalc_Other,0,COLUMN())</f>
        <v/>
      </c>
      <c r="AM11" s="688">
        <f>INDEX(SP_CS_MarketCap,0,COLUMN())-INDEX(SP_CS_Cash,0,COLUMN())+INDEX(SP_CS_Debt,0,COLUMN())+INDEX(SP_CS_OL,0,COLUMN())+INDEX(SP_CS_EVCalc_Other,0,COLUMN())</f>
        <v/>
      </c>
      <c r="AN11" s="688">
        <f>INDEX(SP_CS_MarketCap,0,COLUMN())-INDEX(SP_CS_Cash,0,COLUMN())+INDEX(SP_CS_Debt,0,COLUMN())+INDEX(SP_CS_OL,0,COLUMN())+INDEX(SP_CS_EVCalc_Other,0,COLUMN())</f>
        <v/>
      </c>
      <c r="AO11" s="1243">
        <f>INDEX(SP_CS_MarketCap,0,COLUMN())-INDEX(SP_CS_Cash,0,COLUMN())+INDEX(SP_CS_Debt,0,COLUMN())+INDEX(SP_CS_OL,0,COLUMN())+INDEX(SP_CS_EVCalc_Other,0,COLUMN())</f>
        <v/>
      </c>
      <c r="AP11" s="688">
        <f>INDEX(SP_CS_MarketCap,0,COLUMN())-INDEX(SP_CS_Cash,0,COLUMN())+INDEX(SP_CS_Debt,0,COLUMN())+INDEX(SP_CS_OL,0,COLUMN())+INDEX(SP_CS_EVCalc_Other,0,COLUMN())</f>
        <v/>
      </c>
      <c r="AQ11" s="688">
        <f>INDEX(SP_CS_MarketCap,0,COLUMN())-INDEX(SP_CS_Cash,0,COLUMN())+INDEX(SP_CS_Debt,0,COLUMN())+INDEX(SP_CS_OL,0,COLUMN())+INDEX(SP_CS_EVCalc_Other,0,COLUMN())</f>
        <v/>
      </c>
      <c r="AR11" s="688">
        <f>INDEX(SP_CS_MarketCap,0,COLUMN())-INDEX(SP_CS_Cash,0,COLUMN())+INDEX(SP_CS_Debt,0,COLUMN())+INDEX(SP_CS_OL,0,COLUMN())+INDEX(SP_CS_EVCalc_Other,0,COLUMN())</f>
        <v/>
      </c>
      <c r="AS11" s="688">
        <f>INDEX(SP_CS_MarketCap,0,COLUMN())-INDEX(SP_CS_Cash,0,COLUMN())+INDEX(SP_CS_Debt,0,COLUMN())+INDEX(SP_CS_OL,0,COLUMN())+INDEX(SP_CS_EVCalc_Other,0,COLUMN())</f>
        <v/>
      </c>
      <c r="AT11" s="1243">
        <f>INDEX(SP_CS_MarketCap,0,COLUMN())-INDEX(SP_CS_Cash,0,COLUMN())+INDEX(SP_CS_Debt,0,COLUMN())+INDEX(SP_CS_OL,0,COLUMN())+INDEX(SP_CS_EVCalc_Other,0,COLUMN())</f>
        <v/>
      </c>
      <c r="AU11" s="688">
        <f>INDEX(SP_CS_MarketCap,0,COLUMN())-INDEX(SP_CS_Cash,0,COLUMN())+INDEX(SP_CS_Debt,0,COLUMN())+INDEX(SP_CS_OL,0,COLUMN())+INDEX(SP_CS_EVCalc_Other,0,COLUMN())</f>
        <v/>
      </c>
      <c r="AV11" s="688">
        <f>INDEX(SP_CS_MarketCap,0,COLUMN())-INDEX(SP_CS_Cash,0,COLUMN())+INDEX(SP_CS_Debt,0,COLUMN())+INDEX(SP_CS_OL,0,COLUMN())+INDEX(SP_CS_EVCalc_Other,0,COLUMN())</f>
        <v/>
      </c>
      <c r="AW11" s="688">
        <f>INDEX(SP_CS_MarketCap,0,COLUMN())-INDEX(SP_CS_Cash,0,COLUMN())+INDEX(SP_CS_Debt,0,COLUMN())+INDEX(SP_CS_OL,0,COLUMN())+INDEX(SP_CS_EVCalc_Other,0,COLUMN())</f>
        <v/>
      </c>
      <c r="AX11" s="688">
        <f>INDEX(SP_CS_MarketCap,0,COLUMN())-INDEX(SP_CS_Cash,0,COLUMN())+INDEX(SP_CS_Debt,0,COLUMN())+INDEX(SP_CS_OL,0,COLUMN())+INDEX(SP_CS_EVCalc_Other,0,COLUMN())</f>
        <v/>
      </c>
      <c r="AY11" s="1243">
        <f>INDEX(SP_CS_MarketCap,0,COLUMN())-INDEX(SP_CS_Cash,0,COLUMN())+INDEX(SP_CS_Debt,0,COLUMN())+INDEX(SP_CS_OL,0,COLUMN())+INDEX(SP_CS_EVCalc_Other,0,COLUMN())</f>
        <v/>
      </c>
      <c r="AZ11" s="688">
        <f>INDEX(SP_CS_MarketCap,0,COLUMN())-INDEX(SP_CS_Cash,0,COLUMN())+INDEX(SP_CS_Debt,0,COLUMN())+INDEX(SP_CS_OL,0,COLUMN())+INDEX(SP_CS_EVCalc_Other,0,COLUMN())</f>
        <v/>
      </c>
      <c r="BA11" s="688">
        <f>INDEX(SP_CS_MarketCap,0,COLUMN())-INDEX(SP_CS_Cash,0,COLUMN())+INDEX(SP_CS_Debt,0,COLUMN())+INDEX(SP_CS_OL,0,COLUMN())+INDEX(SP_CS_EVCalc_Other,0,COLUMN())</f>
        <v/>
      </c>
      <c r="BB11" s="688">
        <f>INDEX(SP_CS_MarketCap,0,COLUMN())-INDEX(SP_CS_Cash,0,COLUMN())+INDEX(SP_CS_Debt,0,COLUMN())+INDEX(SP_CS_OL,0,COLUMN())+INDEX(SP_CS_EVCalc_Other,0,COLUMN())</f>
        <v/>
      </c>
      <c r="BC11" s="688">
        <f>INDEX(SP_CS_MarketCap,0,COLUMN())-INDEX(SP_CS_Cash,0,COLUMN())+INDEX(SP_CS_Debt,0,COLUMN())+INDEX(SP_CS_OL,0,COLUMN())+INDEX(SP_CS_EVCalc_Other,0,COLUMN())</f>
        <v/>
      </c>
      <c r="BD11" s="1243">
        <f>INDEX(SP_CS_MarketCap,0,COLUMN())-INDEX(SP_CS_Cash,0,COLUMN())+INDEX(SP_CS_Debt,0,COLUMN())+INDEX(SP_CS_OL,0,COLUMN())+INDEX(SP_CS_EVCalc_Other,0,COLUMN())</f>
        <v/>
      </c>
      <c r="BE11" s="688">
        <f>INDEX(SP_CS_MarketCap,0,COLUMN())-INDEX(SP_CS_Cash,0,COLUMN())+INDEX(SP_CS_Debt,0,COLUMN())+INDEX(SP_CS_OL,0,COLUMN())+INDEX(SP_CS_EVCalc_Other,0,COLUMN())</f>
        <v/>
      </c>
      <c r="BF11" s="688">
        <f>INDEX(SP_CS_MarketCap,0,COLUMN())-INDEX(SP_CS_Cash,0,COLUMN())+INDEX(SP_CS_Debt,0,COLUMN())+INDEX(SP_CS_OL,0,COLUMN())+INDEX(SP_CS_EVCalc_Other,0,COLUMN())</f>
        <v/>
      </c>
      <c r="BG11" s="688">
        <f>INDEX(SP_CS_MarketCap,0,COLUMN())-INDEX(SP_CS_Cash,0,COLUMN())+INDEX(SP_CS_Debt,0,COLUMN())+INDEX(SP_CS_OL,0,COLUMN())+INDEX(SP_CS_EVCalc_Other,0,COLUMN())</f>
        <v/>
      </c>
      <c r="BH11" s="688">
        <f>INDEX(SP_CS_MarketCap,0,COLUMN())-INDEX(SP_CS_Cash,0,COLUMN())+INDEX(SP_CS_Debt,0,COLUMN())+INDEX(SP_CS_OL,0,COLUMN())+INDEX(SP_CS_EVCalc_Other,0,COLUMN())</f>
        <v/>
      </c>
      <c r="BI11" s="1243">
        <f>INDEX(SP_CS_MarketCap,0,COLUMN())-INDEX(SP_CS_Cash,0,COLUMN())+INDEX(SP_CS_Debt,0,COLUMN())+INDEX(SP_CS_OL,0,COLUMN())+INDEX(SP_CS_EVCalc_Other,0,COLUMN())</f>
        <v/>
      </c>
      <c r="BJ11" s="688">
        <f>INDEX(SP_CS_MarketCap,0,COLUMN())-INDEX(SP_CS_Cash,0,COLUMN())+INDEX(SP_CS_Debt,0,COLUMN())+INDEX(SP_CS_OL,0,COLUMN())+INDEX(SP_CS_EVCalc_Other,0,COLUMN())</f>
        <v/>
      </c>
      <c r="BK11" s="688">
        <f>INDEX(SP_CS_MarketCap,0,COLUMN())-INDEX(SP_CS_Cash,0,COLUMN())+INDEX(SP_CS_Debt,0,COLUMN())+INDEX(SP_CS_OL,0,COLUMN())+INDEX(SP_CS_EVCalc_Other,0,COLUMN())</f>
        <v/>
      </c>
      <c r="BL11" s="688">
        <f>INDEX(SP_CS_MarketCap,0,COLUMN())-INDEX(SP_CS_Cash,0,COLUMN())+INDEX(SP_CS_Debt,0,COLUMN())+INDEX(SP_CS_OL,0,COLUMN())+INDEX(SP_CS_EVCalc_Other,0,COLUMN())</f>
        <v/>
      </c>
      <c r="BM11" s="688">
        <f>INDEX(SP_CS_MarketCap,0,COLUMN())-INDEX(SP_CS_Cash,0,COLUMN())+INDEX(SP_CS_Debt,0,COLUMN())+INDEX(SP_CS_OL,0,COLUMN())+INDEX(SP_CS_EVCalc_Other,0,COLUMN())</f>
        <v/>
      </c>
      <c r="BN11" s="1243">
        <f>INDEX(SP_CS_MarketCap,0,COLUMN())-INDEX(SP_CS_Cash,0,COLUMN())+INDEX(SP_CS_Debt,0,COLUMN())+INDEX(SP_CS_OL,0,COLUMN())+INDEX(SP_CS_EVCalc_Other,0,COLUMN())</f>
        <v/>
      </c>
      <c r="BO11" s="688">
        <f>INDEX(SP_CS_MarketCap,0,COLUMN())-INDEX(SP_CS_Cash,0,COLUMN())+INDEX(SP_CS_Debt,0,COLUMN())+INDEX(SP_CS_OL,0,COLUMN())+INDEX(SP_CS_EVCalc_Other,0,COLUMN())</f>
        <v/>
      </c>
      <c r="BP11" s="688">
        <f>INDEX(SP_CS_MarketCap,0,COLUMN())-INDEX(SP_CS_Cash,0,COLUMN())+INDEX(SP_CS_Debt,0,COLUMN())+INDEX(SP_CS_OL,0,COLUMN())+INDEX(SP_CS_EVCalc_Other,0,COLUMN())</f>
        <v/>
      </c>
      <c r="BQ11" s="688">
        <f>INDEX(SP_CS_MarketCap,0,COLUMN())-INDEX(SP_CS_Cash,0,COLUMN())+INDEX(SP_CS_Debt,0,COLUMN())+INDEX(SP_CS_OL,0,COLUMN())+INDEX(SP_CS_EVCalc_Other,0,COLUMN())</f>
        <v/>
      </c>
      <c r="BR11" s="688">
        <f>INDEX(SP_CS_MarketCap,0,COLUMN())-INDEX(SP_CS_Cash,0,COLUMN())+INDEX(SP_CS_Debt,0,COLUMN())+INDEX(SP_CS_OL,0,COLUMN())+INDEX(SP_CS_EVCalc_Other,0,COLUMN())</f>
        <v/>
      </c>
      <c r="BS11" s="1243">
        <f>INDEX(SP_CS_MarketCap,0,COLUMN())-INDEX(SP_CS_Cash,0,COLUMN())+INDEX(SP_CS_Debt,0,COLUMN())+INDEX(SP_CS_OL,0,COLUMN())+INDEX(SP_CS_EVCalc_Other,0,COLUMN())</f>
        <v/>
      </c>
      <c r="BT11" s="688">
        <f>INDEX(SP_CS_MarketCap,0,COLUMN())-INDEX(SP_CS_Cash,0,COLUMN())+INDEX(SP_CS_Debt,0,COLUMN())+INDEX(SP_CS_OL,0,COLUMN())+INDEX(SP_CS_EVCalc_Other,0,COLUMN())</f>
        <v/>
      </c>
      <c r="BU11" s="688">
        <f>INDEX(SP_CS_MarketCap,0,COLUMN())-INDEX(SP_CS_Cash,0,COLUMN())+INDEX(SP_CS_Debt,0,COLUMN())+INDEX(SP_CS_OL,0,COLUMN())+INDEX(SP_CS_EVCalc_Other,0,COLUMN())</f>
        <v/>
      </c>
      <c r="BV11" s="945">
        <f>INDEX(SP_CS_MarketCap,0,COLUMN())-INDEX(SP_CS_Cash,0,COLUMN())+INDEX(SP_CS_Debt,0,COLUMN())+INDEX(SP_CS_OL,0,COLUMN())+INDEX(SP_CS_EVCalc_Other,0,COLUMN())</f>
        <v/>
      </c>
      <c r="BW11" s="688">
        <f>INDEX(SP_CS_MarketCap,0,COLUMN())-INDEX(SP_CS_Cash,0,COLUMN())+INDEX(SP_CS_Debt,0,COLUMN())+INDEX(SP_CS_OL,0,COLUMN())+INDEX(SP_CS_EVCalc_Other,0,COLUMN())</f>
        <v/>
      </c>
      <c r="BX11" s="1243">
        <f>INDEX(SP_CS_MarketCap,0,COLUMN())-INDEX(SP_CS_Cash,0,COLUMN())+INDEX(SP_CS_Debt,0,COLUMN())+INDEX(SP_CS_OL,0,COLUMN())+INDEX(SP_CS_EVCalc_Other,0,COLUMN())</f>
        <v/>
      </c>
      <c r="BY11" s="688">
        <f>INDEX(SP_CS_MarketCap,0,COLUMN())-INDEX(SP_CS_Cash,0,COLUMN())+INDEX(SP_CS_Debt,0,COLUMN())+INDEX(SP_CS_OL,0,COLUMN())+INDEX(SP_CS_EVCalc_Other,0,COLUMN())</f>
        <v/>
      </c>
      <c r="BZ11" s="688">
        <f>INDEX(SP_CS_MarketCap,0,COLUMN())-INDEX(SP_CS_Cash,0,COLUMN())+INDEX(SP_CS_Debt,0,COLUMN())+INDEX(SP_CS_OL,0,COLUMN())+INDEX(SP_CS_EVCalc_Other,0,COLUMN())</f>
        <v/>
      </c>
      <c r="CA11" s="688">
        <f>INDEX(SP_CS_MarketCap,0,COLUMN())-INDEX(SP_CS_Cash,0,COLUMN())+INDEX(SP_CS_Debt,0,COLUMN())+INDEX(SP_CS_OL,0,COLUMN())+INDEX(SP_CS_EVCalc_Other,0,COLUMN())</f>
        <v/>
      </c>
      <c r="CB11" s="688">
        <f>INDEX(SP_CS_MarketCap,0,COLUMN())-INDEX(SP_CS_Cash,0,COLUMN())+INDEX(SP_CS_Debt,0,COLUMN())+INDEX(SP_CS_OL,0,COLUMN())+INDEX(SP_CS_EVCalc_Other,0,COLUMN())</f>
        <v/>
      </c>
      <c r="CC11" s="1243">
        <f>INDEX(SP_CS_MarketCap,0,COLUMN())-INDEX(SP_CS_Cash,0,COLUMN())+INDEX(SP_CS_Debt,0,COLUMN())+INDEX(SP_CS_OL,0,COLUMN())+INDEX(SP_CS_EVCalc_Other,0,COLUMN())</f>
        <v/>
      </c>
      <c r="CD11" s="1243">
        <f>INDEX(SP_CS_MarketCap,0,COLUMN())-INDEX(SP_CS_Cash,0,COLUMN())+INDEX(SP_CS_Debt,0,COLUMN())+INDEX(SP_CS_OL,0,COLUMN())+INDEX(SP_CS_EVCalc_Other,0,COLUMN())</f>
        <v/>
      </c>
      <c r="CE11" s="1243">
        <f>INDEX(SP_CS_MarketCap,0,COLUMN())-INDEX(SP_CS_Cash,0,COLUMN())+INDEX(SP_CS_Debt,0,COLUMN())+INDEX(SP_CS_OL,0,COLUMN())+INDEX(SP_CS_EVCalc_Other,0,COLUMN())</f>
        <v/>
      </c>
      <c r="CF11" s="1243">
        <f>INDEX(SP_CS_MarketCap,0,COLUMN())-INDEX(SP_CS_Cash,0,COLUMN())+INDEX(SP_CS_Debt,0,COLUMN())+INDEX(SP_CS_OL,0,COLUMN())+INDEX(SP_CS_EVCalc_Other,0,COLUMN())</f>
        <v/>
      </c>
      <c r="CG11" s="574" t="n"/>
    </row>
    <row r="12" customFormat="1" s="975">
      <c r="A12" s="196" t="n"/>
      <c r="B12" s="200" t="n"/>
      <c r="C12" s="1244" t="n"/>
      <c r="D12" s="1244" t="n"/>
      <c r="E12" s="1244" t="n"/>
      <c r="F12" s="1244" t="n"/>
      <c r="G12" s="1011" t="n"/>
      <c r="H12" s="1011" t="n"/>
      <c r="I12" s="1011" t="n"/>
      <c r="J12" s="1011" t="n"/>
      <c r="K12" s="1244" t="n"/>
      <c r="L12" s="1011" t="n"/>
      <c r="M12" s="1011" t="n"/>
      <c r="N12" s="1011" t="n"/>
      <c r="O12" s="1011" t="n"/>
      <c r="P12" s="1244" t="n"/>
      <c r="Q12" s="1011" t="n"/>
      <c r="R12" s="1011" t="n"/>
      <c r="S12" s="1011" t="n"/>
      <c r="T12" s="1011" t="n"/>
      <c r="U12" s="1244" t="n"/>
      <c r="V12" s="1011" t="n"/>
      <c r="W12" s="1011" t="n"/>
      <c r="X12" s="1011" t="n"/>
      <c r="Y12" s="1011" t="n"/>
      <c r="Z12" s="1244" t="n"/>
      <c r="AA12" s="1011" t="n"/>
      <c r="AB12" s="1011" t="n"/>
      <c r="AC12" s="1011" t="n"/>
      <c r="AD12" s="1011" t="n"/>
      <c r="AE12" s="1244" t="n"/>
      <c r="AF12" s="1011" t="n"/>
      <c r="AG12" s="1011" t="n"/>
      <c r="AH12" s="1011" t="n"/>
      <c r="AI12" s="1011" t="n"/>
      <c r="AJ12" s="1244" t="n"/>
      <c r="AK12" s="1011" t="n"/>
      <c r="AL12" s="1011" t="n"/>
      <c r="AM12" s="1011" t="n"/>
      <c r="AN12" s="1011" t="n"/>
      <c r="AO12" s="1244" t="n"/>
      <c r="AP12" s="1011" t="n"/>
      <c r="AQ12" s="1011" t="n"/>
      <c r="AR12" s="1011" t="n"/>
      <c r="AS12" s="1011" t="n"/>
      <c r="AT12" s="1244" t="n"/>
      <c r="AU12" s="1011" t="n"/>
      <c r="AV12" s="1011" t="n"/>
      <c r="AW12" s="1011" t="n"/>
      <c r="AX12" s="1011" t="n"/>
      <c r="AY12" s="1244" t="n"/>
      <c r="AZ12" s="1011" t="n"/>
      <c r="BA12" s="1011" t="n"/>
      <c r="BB12" s="1011" t="n"/>
      <c r="BC12" s="1011" t="n"/>
      <c r="BD12" s="1244" t="n"/>
      <c r="BE12" s="1011" t="n"/>
      <c r="BF12" s="1011" t="n"/>
      <c r="BG12" s="1011" t="n"/>
      <c r="BH12" s="1011" t="n"/>
      <c r="BI12" s="1244" t="n"/>
      <c r="BJ12" s="1011" t="n"/>
      <c r="BK12" s="1011" t="n"/>
      <c r="BL12" s="1011" t="n"/>
      <c r="BM12" s="1011" t="n"/>
      <c r="BN12" s="1244" t="n"/>
      <c r="BO12" s="1011" t="n"/>
      <c r="BP12" s="1011" t="n"/>
      <c r="BQ12" s="1011" t="n"/>
      <c r="BR12" s="1011" t="n"/>
      <c r="BS12" s="1244" t="n"/>
      <c r="BT12" s="1011" t="n"/>
      <c r="BU12" s="1011" t="n"/>
      <c r="BV12" s="1047" t="n"/>
      <c r="BW12" s="1011" t="n"/>
      <c r="BX12" s="1244" t="n"/>
      <c r="BY12" s="1011" t="n"/>
      <c r="BZ12" s="1011" t="n"/>
      <c r="CA12" s="1011" t="n"/>
      <c r="CB12" s="1011" t="n"/>
      <c r="CC12" s="1244" t="n"/>
      <c r="CD12" s="1244" t="n"/>
      <c r="CE12" s="1244" t="n"/>
      <c r="CF12" s="1244" t="n"/>
      <c r="CG12" s="1011" t="n"/>
    </row>
    <row r="13">
      <c r="A13" s="126" t="inlineStr">
        <is>
          <t>Company-Specific Operational Data</t>
        </is>
      </c>
      <c r="B13" s="1012" t="n"/>
      <c r="C13" s="1012" t="n"/>
      <c r="D13" s="1012" t="n"/>
      <c r="E13" s="1012" t="n"/>
      <c r="F13" s="1012" t="n"/>
      <c r="G13" s="1012" t="n"/>
      <c r="H13" s="1012" t="n"/>
      <c r="I13" s="1012" t="n"/>
      <c r="J13" s="1012" t="n"/>
      <c r="K13" s="1012" t="n"/>
      <c r="L13" s="1012" t="n"/>
      <c r="M13" s="1012" t="n"/>
      <c r="N13" s="1012" t="n"/>
      <c r="O13" s="1012" t="n"/>
      <c r="P13" s="1012" t="n"/>
      <c r="Q13" s="1012" t="n"/>
      <c r="R13" s="1012" t="n"/>
      <c r="S13" s="1012" t="n"/>
      <c r="T13" s="1012" t="n"/>
      <c r="U13" s="1012" t="n"/>
      <c r="V13" s="1012" t="n"/>
      <c r="W13" s="1012" t="n"/>
      <c r="X13" s="1012" t="n"/>
      <c r="Y13" s="1012" t="n"/>
      <c r="Z13" s="1012" t="n"/>
      <c r="AA13" s="1012" t="n"/>
      <c r="AB13" s="1012" t="n"/>
      <c r="AC13" s="1012" t="n"/>
      <c r="AD13" s="1012" t="n"/>
      <c r="AE13" s="1012" t="n"/>
      <c r="AF13" s="1012" t="n"/>
      <c r="AG13" s="1012" t="n"/>
      <c r="AH13" s="1012" t="n"/>
      <c r="AI13" s="1012" t="n"/>
      <c r="AJ13" s="1012" t="n"/>
      <c r="AK13" s="1012" t="n"/>
      <c r="AL13" s="1012" t="n"/>
      <c r="AM13" s="1012" t="n"/>
      <c r="AN13" s="1012" t="n"/>
      <c r="AO13" s="1012" t="n"/>
      <c r="AP13" s="1012" t="n"/>
      <c r="AQ13" s="1012" t="n"/>
      <c r="AR13" s="1012" t="n"/>
      <c r="AS13" s="1012" t="n"/>
      <c r="AT13" s="1012" t="n"/>
      <c r="AU13" s="1012" t="n"/>
      <c r="AV13" s="1012" t="n"/>
      <c r="AW13" s="1012" t="n"/>
      <c r="AX13" s="1012" t="n"/>
      <c r="AY13" s="1012" t="n"/>
      <c r="AZ13" s="1012" t="n"/>
      <c r="BA13" s="1012" t="n"/>
      <c r="BB13" s="1012" t="n"/>
      <c r="BC13" s="1012" t="n"/>
      <c r="BD13" s="1012" t="n"/>
      <c r="BE13" s="1012" t="n"/>
      <c r="BF13" s="1012" t="n"/>
      <c r="BG13" s="1012" t="n"/>
      <c r="BH13" s="1012" t="n"/>
      <c r="BI13" s="1012" t="n"/>
      <c r="BJ13" s="1012" t="n"/>
      <c r="BK13" s="1012" t="n"/>
      <c r="BL13" s="1012" t="n"/>
      <c r="BM13" s="1012" t="n"/>
      <c r="BN13" s="1012" t="n"/>
      <c r="BO13" s="1012" t="n"/>
      <c r="BP13" s="1012" t="n"/>
      <c r="BQ13" s="1012" t="n"/>
      <c r="BR13" s="1012" t="n"/>
      <c r="BS13" s="1012" t="n"/>
      <c r="BT13" s="1012" t="n"/>
      <c r="BU13" s="1012" t="n"/>
      <c r="BV13" s="1048" t="n"/>
      <c r="BW13" s="1012" t="n"/>
      <c r="BX13" s="1012" t="n"/>
      <c r="BY13" s="1012" t="n"/>
      <c r="BZ13" s="1012" t="n"/>
      <c r="CA13" s="1012" t="n"/>
      <c r="CB13" s="1012" t="n"/>
      <c r="CC13" s="1012" t="n"/>
      <c r="CD13" s="1012" t="n"/>
      <c r="CE13" s="1012" t="n"/>
      <c r="CF13" s="1012" t="n"/>
      <c r="CG13" s="1013" t="n"/>
    </row>
    <row r="14" customFormat="1" s="966">
      <c r="A14" s="201">
        <f>+Model!A9</f>
        <v/>
      </c>
      <c r="B14" s="202" t="n"/>
      <c r="C14" s="1245" t="n"/>
      <c r="D14" s="1245" t="n"/>
      <c r="E14" s="1245" t="n"/>
      <c r="F14" s="1245" t="n"/>
      <c r="G14" s="129" t="n"/>
      <c r="H14" s="129" t="n"/>
      <c r="I14" s="129" t="n"/>
      <c r="J14" s="129" t="n"/>
      <c r="K14" s="1245" t="n"/>
      <c r="L14" s="129" t="n"/>
      <c r="M14" s="129" t="n"/>
      <c r="N14" s="129" t="n"/>
      <c r="O14" s="129" t="n"/>
      <c r="P14" s="1245" t="n"/>
      <c r="Q14" s="129" t="n"/>
      <c r="R14" s="129" t="n"/>
      <c r="S14" s="129" t="n"/>
      <c r="T14" s="129" t="n"/>
      <c r="U14" s="1245">
        <f>+Model!U9</f>
        <v/>
      </c>
      <c r="V14" s="129">
        <f>+Model!V9</f>
        <v/>
      </c>
      <c r="W14" s="129">
        <f>+Model!W9</f>
        <v/>
      </c>
      <c r="X14" s="129">
        <f>+Model!X9</f>
        <v/>
      </c>
      <c r="Y14" s="129">
        <f>+Model!Y9</f>
        <v/>
      </c>
      <c r="Z14" s="1245">
        <f>+Model!Z9</f>
        <v/>
      </c>
      <c r="AA14" s="129">
        <f>+Model!AA9</f>
        <v/>
      </c>
      <c r="AB14" s="129">
        <f>+Model!AB9</f>
        <v/>
      </c>
      <c r="AC14" s="129">
        <f>+Model!AC9</f>
        <v/>
      </c>
      <c r="AD14" s="129">
        <f>+Model!AD9</f>
        <v/>
      </c>
      <c r="AE14" s="1245">
        <f>+Model!AE9</f>
        <v/>
      </c>
      <c r="AF14" s="129">
        <f>+Model!AF9</f>
        <v/>
      </c>
      <c r="AG14" s="129">
        <f>+Model!AG9</f>
        <v/>
      </c>
      <c r="AH14" s="129">
        <f>+Model!AH9</f>
        <v/>
      </c>
      <c r="AI14" s="129">
        <f>+Model!AI9</f>
        <v/>
      </c>
      <c r="AJ14" s="1245">
        <f>+Model!AJ9</f>
        <v/>
      </c>
      <c r="AK14" s="129">
        <f>+Model!AK9</f>
        <v/>
      </c>
      <c r="AL14" s="129">
        <f>+Model!AL9</f>
        <v/>
      </c>
      <c r="AM14" s="129">
        <f>+Model!AM9</f>
        <v/>
      </c>
      <c r="AN14" s="129">
        <f>+Model!AN9</f>
        <v/>
      </c>
      <c r="AO14" s="1245">
        <f>+Model!AO9</f>
        <v/>
      </c>
      <c r="AP14" s="129">
        <f>+Model!AP9</f>
        <v/>
      </c>
      <c r="AQ14" s="129">
        <f>+Model!AQ9</f>
        <v/>
      </c>
      <c r="AR14" s="129">
        <f>+Model!AR9</f>
        <v/>
      </c>
      <c r="AS14" s="129">
        <f>+Model!AS9</f>
        <v/>
      </c>
      <c r="AT14" s="1245">
        <f>+Model!AT9</f>
        <v/>
      </c>
      <c r="AU14" s="129">
        <f>+Model!AU9</f>
        <v/>
      </c>
      <c r="AV14" s="129">
        <f>+Model!AV9</f>
        <v/>
      </c>
      <c r="AW14" s="129">
        <f>+Model!AW9</f>
        <v/>
      </c>
      <c r="AX14" s="129">
        <f>+Model!AX9</f>
        <v/>
      </c>
      <c r="AY14" s="1245">
        <f>+Model!AY9</f>
        <v/>
      </c>
      <c r="AZ14" s="129">
        <f>+Model!AZ9</f>
        <v/>
      </c>
      <c r="BA14" s="129">
        <f>+Model!BA9</f>
        <v/>
      </c>
      <c r="BB14" s="129">
        <f>+Model!BB9</f>
        <v/>
      </c>
      <c r="BC14" s="129">
        <f>+Model!BC9</f>
        <v/>
      </c>
      <c r="BD14" s="1245">
        <f>+Model!BD9</f>
        <v/>
      </c>
      <c r="BE14" s="129">
        <f>+Model!BE9</f>
        <v/>
      </c>
      <c r="BF14" s="129">
        <f>+Model!BF9</f>
        <v/>
      </c>
      <c r="BG14" s="129">
        <f>+Model!BG9</f>
        <v/>
      </c>
      <c r="BH14" s="129">
        <f>+Model!BH9</f>
        <v/>
      </c>
      <c r="BI14" s="1245">
        <f>+Model!BI9</f>
        <v/>
      </c>
      <c r="BJ14" s="129">
        <f>+Model!BJ9</f>
        <v/>
      </c>
      <c r="BK14" s="129">
        <f>+Model!BK9</f>
        <v/>
      </c>
      <c r="BL14" s="129">
        <f>+Model!BL9</f>
        <v/>
      </c>
      <c r="BM14" s="129">
        <f>+Model!BM9</f>
        <v/>
      </c>
      <c r="BN14" s="1245">
        <f>+Model!BN9</f>
        <v/>
      </c>
      <c r="BO14" s="129">
        <f>+Model!BO9</f>
        <v/>
      </c>
      <c r="BP14" s="129">
        <f>+Model!BP9</f>
        <v/>
      </c>
      <c r="BQ14" s="129">
        <f>+Model!BQ9</f>
        <v/>
      </c>
      <c r="BR14" s="129">
        <f>+Model!BR9</f>
        <v/>
      </c>
      <c r="BS14" s="1245">
        <f>+Model!BS9</f>
        <v/>
      </c>
      <c r="BT14" s="129">
        <f>+Model!BT9</f>
        <v/>
      </c>
      <c r="BU14" s="129">
        <f>+Model!BU9</f>
        <v/>
      </c>
      <c r="BV14" s="946">
        <f>+Model!BV9</f>
        <v/>
      </c>
      <c r="BW14" s="129">
        <f>+Model!BW9</f>
        <v/>
      </c>
      <c r="BX14" s="1245">
        <f>+Model!BX9</f>
        <v/>
      </c>
      <c r="BY14" s="129">
        <f>+Model!BY9</f>
        <v/>
      </c>
      <c r="BZ14" s="129">
        <f>+Model!BZ9</f>
        <v/>
      </c>
      <c r="CA14" s="129">
        <f>+Model!CA9</f>
        <v/>
      </c>
      <c r="CB14" s="129">
        <f>+Model!CB9</f>
        <v/>
      </c>
      <c r="CC14" s="1245">
        <f>+Model!CC9</f>
        <v/>
      </c>
      <c r="CD14" s="1245">
        <f>+Model!CD9</f>
        <v/>
      </c>
      <c r="CE14" s="1245">
        <f>+Model!CE9</f>
        <v/>
      </c>
      <c r="CF14" s="1245">
        <f>+Model!CF9</f>
        <v/>
      </c>
      <c r="CG14" s="130" t="n"/>
    </row>
    <row r="15" customFormat="1" s="966">
      <c r="A15" s="201">
        <f>+Model!A13</f>
        <v/>
      </c>
      <c r="B15" s="203" t="n"/>
      <c r="C15" s="185" t="n"/>
      <c r="D15" s="185" t="n"/>
      <c r="E15" s="185" t="n"/>
      <c r="F15" s="185" t="n"/>
      <c r="G15" s="130" t="n"/>
      <c r="H15" s="130" t="n"/>
      <c r="I15" s="130" t="n"/>
      <c r="J15" s="130" t="n"/>
      <c r="K15" s="185" t="n"/>
      <c r="L15" s="130" t="n"/>
      <c r="M15" s="130" t="n"/>
      <c r="N15" s="130" t="n"/>
      <c r="O15" s="130" t="n"/>
      <c r="P15" s="185" t="n"/>
      <c r="Q15" s="130" t="n"/>
      <c r="R15" s="130" t="n"/>
      <c r="S15" s="130" t="n"/>
      <c r="T15" s="130" t="n"/>
      <c r="U15" s="185">
        <f>+Model!U13</f>
        <v/>
      </c>
      <c r="V15" s="130">
        <f>+Model!V13</f>
        <v/>
      </c>
      <c r="W15" s="130">
        <f>+Model!W13</f>
        <v/>
      </c>
      <c r="X15" s="130">
        <f>+Model!X13</f>
        <v/>
      </c>
      <c r="Y15" s="130">
        <f>+Model!Y13</f>
        <v/>
      </c>
      <c r="Z15" s="185">
        <f>+Model!Z13</f>
        <v/>
      </c>
      <c r="AA15" s="130">
        <f>+Model!AA13</f>
        <v/>
      </c>
      <c r="AB15" s="130">
        <f>+Model!AB13</f>
        <v/>
      </c>
      <c r="AC15" s="130">
        <f>+Model!AC13</f>
        <v/>
      </c>
      <c r="AD15" s="130">
        <f>+Model!AD13</f>
        <v/>
      </c>
      <c r="AE15" s="185">
        <f>+Model!AE13</f>
        <v/>
      </c>
      <c r="AF15" s="130">
        <f>+Model!AF13</f>
        <v/>
      </c>
      <c r="AG15" s="130">
        <f>+Model!AG13</f>
        <v/>
      </c>
      <c r="AH15" s="130">
        <f>+Model!AH13</f>
        <v/>
      </c>
      <c r="AI15" s="130">
        <f>+Model!AI13</f>
        <v/>
      </c>
      <c r="AJ15" s="185">
        <f>+Model!AJ13</f>
        <v/>
      </c>
      <c r="AK15" s="130">
        <f>+Model!AK13</f>
        <v/>
      </c>
      <c r="AL15" s="130">
        <f>+Model!AL13</f>
        <v/>
      </c>
      <c r="AM15" s="130">
        <f>+Model!AM13</f>
        <v/>
      </c>
      <c r="AN15" s="130">
        <f>+Model!AN13</f>
        <v/>
      </c>
      <c r="AO15" s="185">
        <f>+Model!AO13</f>
        <v/>
      </c>
      <c r="AP15" s="130">
        <f>+Model!AP13</f>
        <v/>
      </c>
      <c r="AQ15" s="130">
        <f>+Model!AQ13</f>
        <v/>
      </c>
      <c r="AR15" s="130">
        <f>+Model!AR13</f>
        <v/>
      </c>
      <c r="AS15" s="130">
        <f>+Model!AS13</f>
        <v/>
      </c>
      <c r="AT15" s="185">
        <f>+Model!AT13</f>
        <v/>
      </c>
      <c r="AU15" s="130">
        <f>+Model!AU13</f>
        <v/>
      </c>
      <c r="AV15" s="130">
        <f>+Model!AV13</f>
        <v/>
      </c>
      <c r="AW15" s="130">
        <f>+Model!AW13</f>
        <v/>
      </c>
      <c r="AX15" s="130">
        <f>+Model!AX13</f>
        <v/>
      </c>
      <c r="AY15" s="185">
        <f>+Model!AY13</f>
        <v/>
      </c>
      <c r="AZ15" s="130">
        <f>+Model!AZ13</f>
        <v/>
      </c>
      <c r="BA15" s="130">
        <f>+Model!BA13</f>
        <v/>
      </c>
      <c r="BB15" s="130">
        <f>+Model!BB13</f>
        <v/>
      </c>
      <c r="BC15" s="130">
        <f>+Model!BC13</f>
        <v/>
      </c>
      <c r="BD15" s="185">
        <f>+Model!BD13</f>
        <v/>
      </c>
      <c r="BE15" s="130">
        <f>+Model!BE13</f>
        <v/>
      </c>
      <c r="BF15" s="130">
        <f>+Model!BF13</f>
        <v/>
      </c>
      <c r="BG15" s="130">
        <f>+Model!BG13</f>
        <v/>
      </c>
      <c r="BH15" s="130">
        <f>+Model!BH13</f>
        <v/>
      </c>
      <c r="BI15" s="185">
        <f>+Model!BI13</f>
        <v/>
      </c>
      <c r="BJ15" s="130">
        <f>+Model!BJ13</f>
        <v/>
      </c>
      <c r="BK15" s="130">
        <f>+Model!BK13</f>
        <v/>
      </c>
      <c r="BL15" s="130">
        <f>+Model!BL13</f>
        <v/>
      </c>
      <c r="BM15" s="130">
        <f>+Model!BM13</f>
        <v/>
      </c>
      <c r="BN15" s="185">
        <f>+Model!BN13</f>
        <v/>
      </c>
      <c r="BO15" s="130">
        <f>+Model!BO13</f>
        <v/>
      </c>
      <c r="BP15" s="130">
        <f>+Model!BP13</f>
        <v/>
      </c>
      <c r="BQ15" s="130">
        <f>+Model!BQ13</f>
        <v/>
      </c>
      <c r="BR15" s="130">
        <f>+Model!BR13</f>
        <v/>
      </c>
      <c r="BS15" s="185">
        <f>+Model!BS13</f>
        <v/>
      </c>
      <c r="BT15" s="130">
        <f>+Model!BT13</f>
        <v/>
      </c>
      <c r="BU15" s="130">
        <f>+Model!BU13</f>
        <v/>
      </c>
      <c r="BV15" s="934">
        <f>+Model!BV13</f>
        <v/>
      </c>
      <c r="BW15" s="130">
        <f>+Model!BW13</f>
        <v/>
      </c>
      <c r="BX15" s="185">
        <f>+Model!BX13</f>
        <v/>
      </c>
      <c r="BY15" s="130">
        <f>+Model!BY13</f>
        <v/>
      </c>
      <c r="BZ15" s="130">
        <f>+Model!BZ13</f>
        <v/>
      </c>
      <c r="CA15" s="130">
        <f>+Model!CA13</f>
        <v/>
      </c>
      <c r="CB15" s="130">
        <f>+Model!CB13</f>
        <v/>
      </c>
      <c r="CC15" s="185">
        <f>+Model!CC13</f>
        <v/>
      </c>
      <c r="CD15" s="185">
        <f>+Model!CD13</f>
        <v/>
      </c>
      <c r="CE15" s="185">
        <f>+Model!CE13</f>
        <v/>
      </c>
      <c r="CF15" s="185">
        <f>+Model!CF13</f>
        <v/>
      </c>
      <c r="CG15" s="130" t="n"/>
    </row>
    <row r="16" customFormat="1" s="966">
      <c r="A16" s="201">
        <f>+Model!A24</f>
        <v/>
      </c>
      <c r="B16" s="203" t="n"/>
      <c r="C16" s="185" t="n"/>
      <c r="D16" s="185" t="n"/>
      <c r="E16" s="185" t="n"/>
      <c r="F16" s="185" t="n"/>
      <c r="G16" s="130" t="n"/>
      <c r="H16" s="130" t="n"/>
      <c r="I16" s="130" t="n"/>
      <c r="J16" s="130" t="n"/>
      <c r="K16" s="185" t="n"/>
      <c r="L16" s="130" t="n"/>
      <c r="M16" s="130" t="n"/>
      <c r="N16" s="130" t="n"/>
      <c r="O16" s="130" t="n"/>
      <c r="P16" s="185" t="n"/>
      <c r="Q16" s="130" t="n"/>
      <c r="R16" s="130" t="n"/>
      <c r="S16" s="130" t="n"/>
      <c r="T16" s="130" t="n"/>
      <c r="U16" s="185">
        <f>+Model!U24</f>
        <v/>
      </c>
      <c r="V16" s="130">
        <f>+Model!V24</f>
        <v/>
      </c>
      <c r="W16" s="130">
        <f>+Model!W24</f>
        <v/>
      </c>
      <c r="X16" s="130">
        <f>+Model!X24</f>
        <v/>
      </c>
      <c r="Y16" s="130">
        <f>+Model!Y24</f>
        <v/>
      </c>
      <c r="Z16" s="185">
        <f>+Model!Z24</f>
        <v/>
      </c>
      <c r="AA16" s="130">
        <f>+Model!AA24</f>
        <v/>
      </c>
      <c r="AB16" s="130">
        <f>+Model!AB24</f>
        <v/>
      </c>
      <c r="AC16" s="130">
        <f>+Model!AC24</f>
        <v/>
      </c>
      <c r="AD16" s="130">
        <f>+Model!AD24</f>
        <v/>
      </c>
      <c r="AE16" s="185">
        <f>+Model!AE24</f>
        <v/>
      </c>
      <c r="AF16" s="130">
        <f>+Model!AF24</f>
        <v/>
      </c>
      <c r="AG16" s="130">
        <f>+Model!AG24</f>
        <v/>
      </c>
      <c r="AH16" s="130">
        <f>+Model!AH24</f>
        <v/>
      </c>
      <c r="AI16" s="130">
        <f>+Model!AI24</f>
        <v/>
      </c>
      <c r="AJ16" s="185">
        <f>+Model!AJ24</f>
        <v/>
      </c>
      <c r="AK16" s="130">
        <f>+Model!AK24</f>
        <v/>
      </c>
      <c r="AL16" s="130">
        <f>+Model!AL24</f>
        <v/>
      </c>
      <c r="AM16" s="130">
        <f>+Model!AM24</f>
        <v/>
      </c>
      <c r="AN16" s="130">
        <f>+Model!AN24</f>
        <v/>
      </c>
      <c r="AO16" s="185">
        <f>+Model!AO24</f>
        <v/>
      </c>
      <c r="AP16" s="130">
        <f>+Model!AP24</f>
        <v/>
      </c>
      <c r="AQ16" s="130">
        <f>+Model!AQ24</f>
        <v/>
      </c>
      <c r="AR16" s="130">
        <f>+Model!AR24</f>
        <v/>
      </c>
      <c r="AS16" s="130">
        <f>+Model!AS24</f>
        <v/>
      </c>
      <c r="AT16" s="185">
        <f>+Model!AT24</f>
        <v/>
      </c>
      <c r="AU16" s="130">
        <f>+Model!AU24</f>
        <v/>
      </c>
      <c r="AV16" s="130">
        <f>+Model!AV24</f>
        <v/>
      </c>
      <c r="AW16" s="130">
        <f>+Model!AW24</f>
        <v/>
      </c>
      <c r="AX16" s="130">
        <f>+Model!AX24</f>
        <v/>
      </c>
      <c r="AY16" s="185">
        <f>+Model!AY24</f>
        <v/>
      </c>
      <c r="AZ16" s="130">
        <f>+Model!AZ24</f>
        <v/>
      </c>
      <c r="BA16" s="130">
        <f>+Model!BA24</f>
        <v/>
      </c>
      <c r="BB16" s="130">
        <f>+Model!BB24</f>
        <v/>
      </c>
      <c r="BC16" s="130">
        <f>+Model!BC24</f>
        <v/>
      </c>
      <c r="BD16" s="185">
        <f>+Model!BD24</f>
        <v/>
      </c>
      <c r="BE16" s="130">
        <f>+Model!BE24</f>
        <v/>
      </c>
      <c r="BF16" s="130">
        <f>+Model!BF24</f>
        <v/>
      </c>
      <c r="BG16" s="130">
        <f>+Model!BG24</f>
        <v/>
      </c>
      <c r="BH16" s="130">
        <f>+Model!BH24</f>
        <v/>
      </c>
      <c r="BI16" s="185">
        <f>+Model!BI24</f>
        <v/>
      </c>
      <c r="BJ16" s="130">
        <f>+Model!BJ24</f>
        <v/>
      </c>
      <c r="BK16" s="130">
        <f>+Model!BK24</f>
        <v/>
      </c>
      <c r="BL16" s="130">
        <f>+Model!BL24</f>
        <v/>
      </c>
      <c r="BM16" s="130">
        <f>+Model!BM24</f>
        <v/>
      </c>
      <c r="BN16" s="185">
        <f>+Model!BN24</f>
        <v/>
      </c>
      <c r="BO16" s="130">
        <f>+Model!BO24</f>
        <v/>
      </c>
      <c r="BP16" s="130">
        <f>+Model!BP24</f>
        <v/>
      </c>
      <c r="BQ16" s="130">
        <f>+Model!BQ24</f>
        <v/>
      </c>
      <c r="BR16" s="130">
        <f>+Model!BR24</f>
        <v/>
      </c>
      <c r="BS16" s="185">
        <f>+Model!BS24</f>
        <v/>
      </c>
      <c r="BT16" s="130">
        <f>+Model!BT24</f>
        <v/>
      </c>
      <c r="BU16" s="130">
        <f>+Model!BU24</f>
        <v/>
      </c>
      <c r="BV16" s="934">
        <f>+Model!BV24</f>
        <v/>
      </c>
      <c r="BW16" s="130">
        <f>+Model!BW24</f>
        <v/>
      </c>
      <c r="BX16" s="185">
        <f>+Model!BX24</f>
        <v/>
      </c>
      <c r="BY16" s="130">
        <f>+Model!BY24</f>
        <v/>
      </c>
      <c r="BZ16" s="130">
        <f>+Model!BZ24</f>
        <v/>
      </c>
      <c r="CA16" s="130">
        <f>+Model!CA24</f>
        <v/>
      </c>
      <c r="CB16" s="130">
        <f>+Model!CB24</f>
        <v/>
      </c>
      <c r="CC16" s="185">
        <f>+Model!CC24</f>
        <v/>
      </c>
      <c r="CD16" s="185">
        <f>+Model!CD24</f>
        <v/>
      </c>
      <c r="CE16" s="185">
        <f>+Model!CE24</f>
        <v/>
      </c>
      <c r="CF16" s="185">
        <f>+Model!CF24</f>
        <v/>
      </c>
      <c r="CG16" s="130" t="n"/>
    </row>
    <row r="17" customFormat="1" s="966">
      <c r="A17" s="201">
        <f>+Model!A28</f>
        <v/>
      </c>
      <c r="B17" s="203" t="n"/>
      <c r="C17" s="185" t="n"/>
      <c r="D17" s="185" t="n"/>
      <c r="E17" s="185" t="n"/>
      <c r="F17" s="185" t="n"/>
      <c r="G17" s="130" t="n"/>
      <c r="H17" s="130" t="n"/>
      <c r="I17" s="130" t="n"/>
      <c r="J17" s="130" t="n"/>
      <c r="K17" s="185" t="n"/>
      <c r="L17" s="130" t="n"/>
      <c r="M17" s="130" t="n"/>
      <c r="N17" s="130" t="n"/>
      <c r="O17" s="130" t="n"/>
      <c r="P17" s="185" t="n"/>
      <c r="Q17" s="130" t="n"/>
      <c r="R17" s="130" t="n"/>
      <c r="S17" s="130" t="n"/>
      <c r="T17" s="130" t="n"/>
      <c r="U17" s="185">
        <f>+Model!U28</f>
        <v/>
      </c>
      <c r="V17" s="130">
        <f>+Model!V28</f>
        <v/>
      </c>
      <c r="W17" s="130">
        <f>+Model!W28</f>
        <v/>
      </c>
      <c r="X17" s="130">
        <f>+Model!X28</f>
        <v/>
      </c>
      <c r="Y17" s="130">
        <f>+Model!Y28</f>
        <v/>
      </c>
      <c r="Z17" s="185">
        <f>+Model!Z28</f>
        <v/>
      </c>
      <c r="AA17" s="130">
        <f>+Model!AA28</f>
        <v/>
      </c>
      <c r="AB17" s="130">
        <f>+Model!AB28</f>
        <v/>
      </c>
      <c r="AC17" s="130">
        <f>+Model!AC28</f>
        <v/>
      </c>
      <c r="AD17" s="130">
        <f>+Model!AD28</f>
        <v/>
      </c>
      <c r="AE17" s="185">
        <f>+Model!AE28</f>
        <v/>
      </c>
      <c r="AF17" s="130">
        <f>+Model!AF28</f>
        <v/>
      </c>
      <c r="AG17" s="130">
        <f>+Model!AG28</f>
        <v/>
      </c>
      <c r="AH17" s="130">
        <f>+Model!AH28</f>
        <v/>
      </c>
      <c r="AI17" s="130">
        <f>+Model!AI28</f>
        <v/>
      </c>
      <c r="AJ17" s="185">
        <f>+Model!AJ28</f>
        <v/>
      </c>
      <c r="AK17" s="130">
        <f>+Model!AK28</f>
        <v/>
      </c>
      <c r="AL17" s="130">
        <f>+Model!AL28</f>
        <v/>
      </c>
      <c r="AM17" s="130">
        <f>+Model!AM28</f>
        <v/>
      </c>
      <c r="AN17" s="130">
        <f>+Model!AN28</f>
        <v/>
      </c>
      <c r="AO17" s="185">
        <f>+Model!AO28</f>
        <v/>
      </c>
      <c r="AP17" s="130">
        <f>+Model!AP28</f>
        <v/>
      </c>
      <c r="AQ17" s="130">
        <f>+Model!AQ28</f>
        <v/>
      </c>
      <c r="AR17" s="130">
        <f>+Model!AR28</f>
        <v/>
      </c>
      <c r="AS17" s="130">
        <f>+Model!AS28</f>
        <v/>
      </c>
      <c r="AT17" s="185">
        <f>+Model!AT28</f>
        <v/>
      </c>
      <c r="AU17" s="130">
        <f>+Model!AU28</f>
        <v/>
      </c>
      <c r="AV17" s="130">
        <f>+Model!AV28</f>
        <v/>
      </c>
      <c r="AW17" s="130">
        <f>+Model!AW28</f>
        <v/>
      </c>
      <c r="AX17" s="130">
        <f>+Model!AX28</f>
        <v/>
      </c>
      <c r="AY17" s="185">
        <f>+Model!AY28</f>
        <v/>
      </c>
      <c r="AZ17" s="130">
        <f>+Model!AZ28</f>
        <v/>
      </c>
      <c r="BA17" s="130">
        <f>+Model!BA28</f>
        <v/>
      </c>
      <c r="BB17" s="130">
        <f>+Model!BB28</f>
        <v/>
      </c>
      <c r="BC17" s="130">
        <f>+Model!BC28</f>
        <v/>
      </c>
      <c r="BD17" s="185">
        <f>+Model!BD28</f>
        <v/>
      </c>
      <c r="BE17" s="130">
        <f>+Model!BE28</f>
        <v/>
      </c>
      <c r="BF17" s="130">
        <f>+Model!BF28</f>
        <v/>
      </c>
      <c r="BG17" s="130">
        <f>+Model!BG28</f>
        <v/>
      </c>
      <c r="BH17" s="130">
        <f>+Model!BH28</f>
        <v/>
      </c>
      <c r="BI17" s="185">
        <f>+Model!BI28</f>
        <v/>
      </c>
      <c r="BJ17" s="130">
        <f>+Model!BJ28</f>
        <v/>
      </c>
      <c r="BK17" s="130">
        <f>+Model!BK28</f>
        <v/>
      </c>
      <c r="BL17" s="130">
        <f>+Model!BL28</f>
        <v/>
      </c>
      <c r="BM17" s="130">
        <f>+Model!BM28</f>
        <v/>
      </c>
      <c r="BN17" s="185">
        <f>+Model!BN28</f>
        <v/>
      </c>
      <c r="BO17" s="130">
        <f>+Model!BO28</f>
        <v/>
      </c>
      <c r="BP17" s="130">
        <f>+Model!BP28</f>
        <v/>
      </c>
      <c r="BQ17" s="130">
        <f>+Model!BQ28</f>
        <v/>
      </c>
      <c r="BR17" s="130">
        <f>+Model!BR28</f>
        <v/>
      </c>
      <c r="BS17" s="185">
        <f>+Model!BS28</f>
        <v/>
      </c>
      <c r="BT17" s="130">
        <f>+Model!BT28</f>
        <v/>
      </c>
      <c r="BU17" s="130">
        <f>+Model!BU28</f>
        <v/>
      </c>
      <c r="BV17" s="934">
        <f>+Model!BV28</f>
        <v/>
      </c>
      <c r="BW17" s="130">
        <f>+Model!BW28</f>
        <v/>
      </c>
      <c r="BX17" s="185">
        <f>+Model!BX28</f>
        <v/>
      </c>
      <c r="BY17" s="130">
        <f>+Model!BY28</f>
        <v/>
      </c>
      <c r="BZ17" s="130">
        <f>+Model!BZ28</f>
        <v/>
      </c>
      <c r="CA17" s="130">
        <f>+Model!CA28</f>
        <v/>
      </c>
      <c r="CB17" s="130">
        <f>+Model!CB28</f>
        <v/>
      </c>
      <c r="CC17" s="185">
        <f>+Model!CC28</f>
        <v/>
      </c>
      <c r="CD17" s="185">
        <f>+Model!CD28</f>
        <v/>
      </c>
      <c r="CE17" s="185">
        <f>+Model!CE28</f>
        <v/>
      </c>
      <c r="CF17" s="185">
        <f>+Model!CF28</f>
        <v/>
      </c>
      <c r="CG17" s="130" t="n"/>
    </row>
    <row r="18" customFormat="1" s="966">
      <c r="A18" s="204">
        <f>+Model!A32</f>
        <v/>
      </c>
      <c r="B18" s="205" t="n"/>
      <c r="C18" s="1246" t="n"/>
      <c r="D18" s="1246" t="n"/>
      <c r="E18" s="1246" t="n"/>
      <c r="F18" s="1246" t="n"/>
      <c r="G18" s="131" t="n"/>
      <c r="H18" s="131" t="n"/>
      <c r="I18" s="131" t="n"/>
      <c r="J18" s="131" t="n"/>
      <c r="K18" s="1246" t="n"/>
      <c r="L18" s="131" t="n"/>
      <c r="M18" s="131" t="n"/>
      <c r="N18" s="131" t="n"/>
      <c r="O18" s="131" t="n"/>
      <c r="P18" s="1246" t="n"/>
      <c r="Q18" s="131" t="n"/>
      <c r="R18" s="131" t="n"/>
      <c r="S18" s="131" t="n"/>
      <c r="T18" s="131" t="n"/>
      <c r="U18" s="1246">
        <f>+Model!U32</f>
        <v/>
      </c>
      <c r="V18" s="131">
        <f>+Model!V32</f>
        <v/>
      </c>
      <c r="W18" s="131">
        <f>+Model!W32</f>
        <v/>
      </c>
      <c r="X18" s="131">
        <f>+Model!X32</f>
        <v/>
      </c>
      <c r="Y18" s="131">
        <f>+Model!Y32</f>
        <v/>
      </c>
      <c r="Z18" s="1246">
        <f>+Model!Z32</f>
        <v/>
      </c>
      <c r="AA18" s="131">
        <f>+Model!AA32</f>
        <v/>
      </c>
      <c r="AB18" s="131">
        <f>+Model!AB32</f>
        <v/>
      </c>
      <c r="AC18" s="131">
        <f>+Model!AC32</f>
        <v/>
      </c>
      <c r="AD18" s="131">
        <f>+Model!AD32</f>
        <v/>
      </c>
      <c r="AE18" s="1246">
        <f>+Model!AE32</f>
        <v/>
      </c>
      <c r="AF18" s="131">
        <f>+Model!AF32</f>
        <v/>
      </c>
      <c r="AG18" s="131">
        <f>+Model!AG32</f>
        <v/>
      </c>
      <c r="AH18" s="131">
        <f>+Model!AH32</f>
        <v/>
      </c>
      <c r="AI18" s="131">
        <f>+Model!AI32</f>
        <v/>
      </c>
      <c r="AJ18" s="1246">
        <f>+Model!AJ32</f>
        <v/>
      </c>
      <c r="AK18" s="131">
        <f>+Model!AK32</f>
        <v/>
      </c>
      <c r="AL18" s="131">
        <f>+Model!AL32</f>
        <v/>
      </c>
      <c r="AM18" s="131">
        <f>+Model!AM32</f>
        <v/>
      </c>
      <c r="AN18" s="131">
        <f>+Model!AN32</f>
        <v/>
      </c>
      <c r="AO18" s="1246">
        <f>+Model!AO32</f>
        <v/>
      </c>
      <c r="AP18" s="131">
        <f>+Model!AP32</f>
        <v/>
      </c>
      <c r="AQ18" s="131">
        <f>+Model!AQ32</f>
        <v/>
      </c>
      <c r="AR18" s="131">
        <f>+Model!AR32</f>
        <v/>
      </c>
      <c r="AS18" s="131">
        <f>+Model!AS32</f>
        <v/>
      </c>
      <c r="AT18" s="1246">
        <f>+Model!AT32</f>
        <v/>
      </c>
      <c r="AU18" s="131">
        <f>+Model!AU32</f>
        <v/>
      </c>
      <c r="AV18" s="131">
        <f>+Model!AV32</f>
        <v/>
      </c>
      <c r="AW18" s="131">
        <f>+Model!AW32</f>
        <v/>
      </c>
      <c r="AX18" s="131">
        <f>+Model!AX32</f>
        <v/>
      </c>
      <c r="AY18" s="1246">
        <f>+Model!AY32</f>
        <v/>
      </c>
      <c r="AZ18" s="131">
        <f>+Model!AZ32</f>
        <v/>
      </c>
      <c r="BA18" s="131">
        <f>+Model!BA32</f>
        <v/>
      </c>
      <c r="BB18" s="131">
        <f>+Model!BB32</f>
        <v/>
      </c>
      <c r="BC18" s="131">
        <f>+Model!BC32</f>
        <v/>
      </c>
      <c r="BD18" s="1246">
        <f>+Model!BD32</f>
        <v/>
      </c>
      <c r="BE18" s="131">
        <f>+Model!BE32</f>
        <v/>
      </c>
      <c r="BF18" s="131">
        <f>+Model!BF32</f>
        <v/>
      </c>
      <c r="BG18" s="131">
        <f>+Model!BG32</f>
        <v/>
      </c>
      <c r="BH18" s="131">
        <f>+Model!BH32</f>
        <v/>
      </c>
      <c r="BI18" s="1246">
        <f>+Model!BI32</f>
        <v/>
      </c>
      <c r="BJ18" s="131">
        <f>+Model!BJ32</f>
        <v/>
      </c>
      <c r="BK18" s="131">
        <f>+Model!BK32</f>
        <v/>
      </c>
      <c r="BL18" s="131">
        <f>+Model!BL32</f>
        <v/>
      </c>
      <c r="BM18" s="131">
        <f>+Model!BM32</f>
        <v/>
      </c>
      <c r="BN18" s="1246">
        <f>+Model!BN32</f>
        <v/>
      </c>
      <c r="BO18" s="131">
        <f>+Model!BO32</f>
        <v/>
      </c>
      <c r="BP18" s="131">
        <f>+Model!BP32</f>
        <v/>
      </c>
      <c r="BQ18" s="131">
        <f>+Model!BQ32</f>
        <v/>
      </c>
      <c r="BR18" s="131">
        <f>+Model!BR32</f>
        <v/>
      </c>
      <c r="BS18" s="1246">
        <f>+Model!BS32</f>
        <v/>
      </c>
      <c r="BT18" s="131">
        <f>+Model!BT32</f>
        <v/>
      </c>
      <c r="BU18" s="131">
        <f>+Model!BU32</f>
        <v/>
      </c>
      <c r="BV18" s="947">
        <f>+Model!BV32</f>
        <v/>
      </c>
      <c r="BW18" s="131">
        <f>+Model!BW32</f>
        <v/>
      </c>
      <c r="BX18" s="1246">
        <f>+Model!BX32</f>
        <v/>
      </c>
      <c r="BY18" s="131">
        <f>+Model!BY32</f>
        <v/>
      </c>
      <c r="BZ18" s="131">
        <f>+Model!BZ32</f>
        <v/>
      </c>
      <c r="CA18" s="131">
        <f>+Model!CA32</f>
        <v/>
      </c>
      <c r="CB18" s="131">
        <f>+Model!CB32</f>
        <v/>
      </c>
      <c r="CC18" s="1246">
        <f>+Model!CC32</f>
        <v/>
      </c>
      <c r="CD18" s="1246">
        <f>+Model!CD32</f>
        <v/>
      </c>
      <c r="CE18" s="1246">
        <f>+Model!CE32</f>
        <v/>
      </c>
      <c r="CF18" s="1246">
        <f>+Model!CF32</f>
        <v/>
      </c>
      <c r="CG18" s="130" t="n"/>
    </row>
    <row r="19" customFormat="1" s="976">
      <c r="A19" s="206">
        <f>+Model!A38</f>
        <v/>
      </c>
      <c r="B19" s="207" t="n"/>
      <c r="C19" s="1247" t="n"/>
      <c r="D19" s="1247">
        <f>+Model!D38</f>
        <v/>
      </c>
      <c r="E19" s="1247">
        <f>+Model!E38</f>
        <v/>
      </c>
      <c r="F19" s="1247">
        <f>+Model!F38</f>
        <v/>
      </c>
      <c r="G19" s="132" t="n"/>
      <c r="H19" s="132" t="n"/>
      <c r="I19" s="132" t="n"/>
      <c r="J19" s="132" t="n"/>
      <c r="K19" s="1247">
        <f>+Model!K38</f>
        <v/>
      </c>
      <c r="L19" s="132">
        <f>+Model!L38</f>
        <v/>
      </c>
      <c r="M19" s="132">
        <f>+Model!M38</f>
        <v/>
      </c>
      <c r="N19" s="132">
        <f>+Model!N38</f>
        <v/>
      </c>
      <c r="O19" s="132">
        <f>+Model!O38</f>
        <v/>
      </c>
      <c r="P19" s="1247">
        <f>+Model!P38</f>
        <v/>
      </c>
      <c r="Q19" s="132">
        <f>+Model!Q38</f>
        <v/>
      </c>
      <c r="R19" s="132">
        <f>+Model!R38</f>
        <v/>
      </c>
      <c r="S19" s="132">
        <f>+Model!S38</f>
        <v/>
      </c>
      <c r="T19" s="132">
        <f>+Model!T38</f>
        <v/>
      </c>
      <c r="U19" s="1247">
        <f>+Model!U38</f>
        <v/>
      </c>
      <c r="V19" s="132">
        <f>+Model!V38</f>
        <v/>
      </c>
      <c r="W19" s="132">
        <f>+Model!W38</f>
        <v/>
      </c>
      <c r="X19" s="132">
        <f>+Model!X38</f>
        <v/>
      </c>
      <c r="Y19" s="132">
        <f>+Model!Y38</f>
        <v/>
      </c>
      <c r="Z19" s="1247">
        <f>+Model!Z38</f>
        <v/>
      </c>
      <c r="AA19" s="132">
        <f>+Model!AA38</f>
        <v/>
      </c>
      <c r="AB19" s="132">
        <f>+Model!AB38</f>
        <v/>
      </c>
      <c r="AC19" s="132">
        <f>+Model!AC38</f>
        <v/>
      </c>
      <c r="AD19" s="132">
        <f>+Model!AD38</f>
        <v/>
      </c>
      <c r="AE19" s="1247">
        <f>+Model!AE38</f>
        <v/>
      </c>
      <c r="AF19" s="132">
        <f>+Model!AF38</f>
        <v/>
      </c>
      <c r="AG19" s="132">
        <f>+Model!AG38</f>
        <v/>
      </c>
      <c r="AH19" s="132">
        <f>+Model!AH38</f>
        <v/>
      </c>
      <c r="AI19" s="132">
        <f>+Model!AI38</f>
        <v/>
      </c>
      <c r="AJ19" s="1247">
        <f>+Model!AJ38</f>
        <v/>
      </c>
      <c r="AK19" s="132">
        <f>+Model!AK38</f>
        <v/>
      </c>
      <c r="AL19" s="132">
        <f>+Model!AL38</f>
        <v/>
      </c>
      <c r="AM19" s="132">
        <f>+Model!AM38</f>
        <v/>
      </c>
      <c r="AN19" s="132">
        <f>+Model!AN38</f>
        <v/>
      </c>
      <c r="AO19" s="1247">
        <f>+Model!AO38</f>
        <v/>
      </c>
      <c r="AP19" s="132">
        <f>+Model!AP38</f>
        <v/>
      </c>
      <c r="AQ19" s="132">
        <f>+Model!AQ38</f>
        <v/>
      </c>
      <c r="AR19" s="132">
        <f>+Model!AR38</f>
        <v/>
      </c>
      <c r="AS19" s="132">
        <f>+Model!AS38</f>
        <v/>
      </c>
      <c r="AT19" s="1247">
        <f>+Model!AT38</f>
        <v/>
      </c>
      <c r="AU19" s="132">
        <f>+Model!AU38</f>
        <v/>
      </c>
      <c r="AV19" s="132">
        <f>+Model!AV38</f>
        <v/>
      </c>
      <c r="AW19" s="132">
        <f>+Model!AW38</f>
        <v/>
      </c>
      <c r="AX19" s="132">
        <f>+Model!AX38</f>
        <v/>
      </c>
      <c r="AY19" s="1247">
        <f>+Model!AY38</f>
        <v/>
      </c>
      <c r="AZ19" s="132">
        <f>+Model!AZ38</f>
        <v/>
      </c>
      <c r="BA19" s="132">
        <f>+Model!BA38</f>
        <v/>
      </c>
      <c r="BB19" s="132">
        <f>+Model!BB38</f>
        <v/>
      </c>
      <c r="BC19" s="132">
        <f>+Model!BC38</f>
        <v/>
      </c>
      <c r="BD19" s="1247">
        <f>+Model!BD38</f>
        <v/>
      </c>
      <c r="BE19" s="132">
        <f>+Model!BE38</f>
        <v/>
      </c>
      <c r="BF19" s="132">
        <f>+Model!BF38</f>
        <v/>
      </c>
      <c r="BG19" s="132">
        <f>+Model!BG38</f>
        <v/>
      </c>
      <c r="BH19" s="132">
        <f>+Model!BH38</f>
        <v/>
      </c>
      <c r="BI19" s="1247">
        <f>+Model!BI38</f>
        <v/>
      </c>
      <c r="BJ19" s="132">
        <f>+Model!BJ38</f>
        <v/>
      </c>
      <c r="BK19" s="132">
        <f>+Model!BK38</f>
        <v/>
      </c>
      <c r="BL19" s="132">
        <f>+Model!BL38</f>
        <v/>
      </c>
      <c r="BM19" s="132">
        <f>+Model!BM38</f>
        <v/>
      </c>
      <c r="BN19" s="1247">
        <f>+Model!BN38</f>
        <v/>
      </c>
      <c r="BO19" s="132">
        <f>+Model!BO38</f>
        <v/>
      </c>
      <c r="BP19" s="132">
        <f>+Model!BP38</f>
        <v/>
      </c>
      <c r="BQ19" s="132">
        <f>+Model!BQ38</f>
        <v/>
      </c>
      <c r="BR19" s="132">
        <f>+Model!BR38</f>
        <v/>
      </c>
      <c r="BS19" s="1247">
        <f>+Model!BS38</f>
        <v/>
      </c>
      <c r="BT19" s="132">
        <f>+Model!BT38</f>
        <v/>
      </c>
      <c r="BU19" s="132">
        <f>+Model!BU38</f>
        <v/>
      </c>
      <c r="BV19" s="941">
        <f>+Model!BV38</f>
        <v/>
      </c>
      <c r="BW19" s="132">
        <f>+Model!BW38</f>
        <v/>
      </c>
      <c r="BX19" s="1247">
        <f>+Model!BX38</f>
        <v/>
      </c>
      <c r="BY19" s="132">
        <f>+Model!BY38</f>
        <v/>
      </c>
      <c r="BZ19" s="132">
        <f>+Model!BZ38</f>
        <v/>
      </c>
      <c r="CA19" s="132">
        <f>+Model!CA38</f>
        <v/>
      </c>
      <c r="CB19" s="132">
        <f>+Model!CB38</f>
        <v/>
      </c>
      <c r="CC19" s="1247">
        <f>+Model!CC38</f>
        <v/>
      </c>
      <c r="CD19" s="1247">
        <f>+Model!CD38</f>
        <v/>
      </c>
      <c r="CE19" s="1247">
        <f>+Model!CE38</f>
        <v/>
      </c>
      <c r="CF19" s="1247">
        <f>+Model!CF38</f>
        <v/>
      </c>
      <c r="CG19" s="132" t="n"/>
    </row>
    <row r="20">
      <c r="A20" s="197" t="n"/>
      <c r="B20" s="208" t="n"/>
      <c r="C20" s="183" t="n"/>
      <c r="D20" s="183" t="n"/>
      <c r="E20" s="183" t="n"/>
      <c r="F20" s="183" t="n"/>
      <c r="G20" s="1013" t="n"/>
      <c r="H20" s="1013" t="n"/>
      <c r="I20" s="1013" t="n"/>
      <c r="J20" s="1013" t="n"/>
      <c r="K20" s="183" t="n"/>
      <c r="L20" s="1013" t="n"/>
      <c r="M20" s="1013" t="n"/>
      <c r="N20" s="1013" t="n"/>
      <c r="O20" s="1013" t="n"/>
      <c r="P20" s="183" t="n"/>
      <c r="Q20" s="1013" t="n"/>
      <c r="R20" s="1013" t="n"/>
      <c r="S20" s="1013" t="n"/>
      <c r="T20" s="1013" t="n"/>
      <c r="U20" s="183" t="n"/>
      <c r="V20" s="1013" t="n"/>
      <c r="W20" s="1013" t="n"/>
      <c r="X20" s="1013" t="n"/>
      <c r="Y20" s="1013" t="n"/>
      <c r="Z20" s="183" t="n"/>
      <c r="AA20" s="1013" t="n"/>
      <c r="AB20" s="1013" t="n"/>
      <c r="AC20" s="1013" t="n"/>
      <c r="AD20" s="1013" t="n"/>
      <c r="AE20" s="183" t="n"/>
      <c r="AF20" s="1013" t="n"/>
      <c r="AG20" s="1013" t="n"/>
      <c r="AH20" s="1013" t="n"/>
      <c r="AI20" s="1013" t="n"/>
      <c r="AJ20" s="183" t="n"/>
      <c r="AK20" s="1013" t="n"/>
      <c r="AL20" s="1013" t="n"/>
      <c r="AM20" s="1013" t="n"/>
      <c r="AN20" s="1013" t="n"/>
      <c r="AO20" s="183" t="n"/>
      <c r="AP20" s="1013" t="n"/>
      <c r="AQ20" s="1013" t="n"/>
      <c r="AR20" s="1013" t="n"/>
      <c r="AS20" s="1013" t="n"/>
      <c r="AT20" s="183" t="n"/>
      <c r="AU20" s="1013" t="n"/>
      <c r="AV20" s="1013" t="n"/>
      <c r="AW20" s="1013" t="n"/>
      <c r="AX20" s="1013" t="n"/>
      <c r="AY20" s="183" t="n"/>
      <c r="AZ20" s="1013" t="n"/>
      <c r="BA20" s="1013" t="n"/>
      <c r="BB20" s="1013" t="n"/>
      <c r="BC20" s="1013" t="n"/>
      <c r="BD20" s="183" t="n"/>
      <c r="BE20" s="1013" t="n"/>
      <c r="BF20" s="1013" t="n"/>
      <c r="BG20" s="1013" t="n"/>
      <c r="BH20" s="1013" t="n"/>
      <c r="BI20" s="183" t="n"/>
      <c r="BJ20" s="1013" t="n"/>
      <c r="BK20" s="1013" t="n"/>
      <c r="BL20" s="1013" t="n"/>
      <c r="BM20" s="1013" t="n"/>
      <c r="BN20" s="183" t="n"/>
      <c r="BO20" s="1013" t="n"/>
      <c r="BP20" s="1013" t="n"/>
      <c r="BQ20" s="1013" t="n"/>
      <c r="BR20" s="1013" t="n"/>
      <c r="BS20" s="183" t="n"/>
      <c r="BT20" s="1013" t="n"/>
      <c r="BU20" s="1013" t="n"/>
      <c r="BV20" s="1014" t="n"/>
      <c r="BW20" s="1013" t="n"/>
      <c r="BX20" s="183" t="n"/>
      <c r="BY20" s="1013" t="n"/>
      <c r="BZ20" s="1013" t="n"/>
      <c r="CA20" s="1013" t="n"/>
      <c r="CB20" s="1013" t="n"/>
      <c r="CC20" s="183" t="n"/>
      <c r="CD20" s="183" t="n"/>
      <c r="CE20" s="183" t="n"/>
      <c r="CF20" s="183" t="n"/>
      <c r="CG20" s="1013" t="n"/>
    </row>
    <row r="21" customFormat="1" s="974">
      <c r="A21" s="676">
        <f>+Model!A7</f>
        <v/>
      </c>
      <c r="B21" s="677" t="n"/>
      <c r="C21" s="1242" t="n"/>
      <c r="D21" s="1242" t="n"/>
      <c r="E21" s="1242" t="n"/>
      <c r="F21" s="1242" t="n"/>
      <c r="G21" s="678" t="n"/>
      <c r="H21" s="678" t="n"/>
      <c r="I21" s="678" t="n"/>
      <c r="J21" s="678" t="n"/>
      <c r="K21" s="1242" t="n"/>
      <c r="L21" s="678" t="n"/>
      <c r="M21" s="678" t="n"/>
      <c r="N21" s="678" t="n"/>
      <c r="O21" s="678" t="n"/>
      <c r="P21" s="1242">
        <f>+Model!P7</f>
        <v/>
      </c>
      <c r="Q21" s="678">
        <f>+Model!Q7</f>
        <v/>
      </c>
      <c r="R21" s="678">
        <f>+Model!R7</f>
        <v/>
      </c>
      <c r="S21" s="678">
        <f>+Model!S7</f>
        <v/>
      </c>
      <c r="T21" s="678">
        <f>+Model!T7</f>
        <v/>
      </c>
      <c r="U21" s="1242">
        <f>+Model!U7</f>
        <v/>
      </c>
      <c r="V21" s="678">
        <f>+Model!V7</f>
        <v/>
      </c>
      <c r="W21" s="678">
        <f>+Model!W7</f>
        <v/>
      </c>
      <c r="X21" s="678">
        <f>+Model!X7</f>
        <v/>
      </c>
      <c r="Y21" s="678">
        <f>+Model!Y7</f>
        <v/>
      </c>
      <c r="Z21" s="1242">
        <f>+Model!Z7</f>
        <v/>
      </c>
      <c r="AA21" s="678">
        <f>+Model!AA7</f>
        <v/>
      </c>
      <c r="AB21" s="678">
        <f>+Model!AB7</f>
        <v/>
      </c>
      <c r="AC21" s="678">
        <f>+Model!AC7</f>
        <v/>
      </c>
      <c r="AD21" s="678">
        <f>+Model!AD7</f>
        <v/>
      </c>
      <c r="AE21" s="1242">
        <f>+Model!AE7</f>
        <v/>
      </c>
      <c r="AF21" s="678">
        <f>+Model!AF7</f>
        <v/>
      </c>
      <c r="AG21" s="678">
        <f>+Model!AG7</f>
        <v/>
      </c>
      <c r="AH21" s="678">
        <f>+Model!AH7</f>
        <v/>
      </c>
      <c r="AI21" s="678">
        <f>+Model!AI7</f>
        <v/>
      </c>
      <c r="AJ21" s="1242">
        <f>+Model!AJ7</f>
        <v/>
      </c>
      <c r="AK21" s="678">
        <f>+Model!AK7</f>
        <v/>
      </c>
      <c r="AL21" s="678">
        <f>+Model!AL7</f>
        <v/>
      </c>
      <c r="AM21" s="678">
        <f>+Model!AM7</f>
        <v/>
      </c>
      <c r="AN21" s="678">
        <f>+Model!AN7</f>
        <v/>
      </c>
      <c r="AO21" s="1242">
        <f>+Model!AO7</f>
        <v/>
      </c>
      <c r="AP21" s="678">
        <f>+Model!AP7</f>
        <v/>
      </c>
      <c r="AQ21" s="678">
        <f>+Model!AQ7</f>
        <v/>
      </c>
      <c r="AR21" s="678">
        <f>+Model!AR7</f>
        <v/>
      </c>
      <c r="AS21" s="678">
        <f>+Model!AS7</f>
        <v/>
      </c>
      <c r="AT21" s="1242">
        <f>+Model!AT7</f>
        <v/>
      </c>
      <c r="AU21" s="678">
        <f>+Model!AU7</f>
        <v/>
      </c>
      <c r="AV21" s="678">
        <f>+Model!AV7</f>
        <v/>
      </c>
      <c r="AW21" s="678">
        <f>+Model!AW7</f>
        <v/>
      </c>
      <c r="AX21" s="678">
        <f>+Model!AX7</f>
        <v/>
      </c>
      <c r="AY21" s="1242">
        <f>+Model!AY7</f>
        <v/>
      </c>
      <c r="AZ21" s="678">
        <f>+Model!AZ7</f>
        <v/>
      </c>
      <c r="BA21" s="678">
        <f>+Model!BA7</f>
        <v/>
      </c>
      <c r="BB21" s="678">
        <f>+Model!BB7</f>
        <v/>
      </c>
      <c r="BC21" s="678">
        <f>+Model!BC7</f>
        <v/>
      </c>
      <c r="BD21" s="1242">
        <f>+Model!BD7</f>
        <v/>
      </c>
      <c r="BE21" s="678">
        <f>+Model!BE7</f>
        <v/>
      </c>
      <c r="BF21" s="678">
        <f>+Model!BF7</f>
        <v/>
      </c>
      <c r="BG21" s="678">
        <f>+Model!BG7</f>
        <v/>
      </c>
      <c r="BH21" s="678">
        <f>+Model!BH7</f>
        <v/>
      </c>
      <c r="BI21" s="1242">
        <f>+Model!BI7</f>
        <v/>
      </c>
      <c r="BJ21" s="678">
        <f>+Model!BJ7</f>
        <v/>
      </c>
      <c r="BK21" s="678">
        <f>+Model!BK7</f>
        <v/>
      </c>
      <c r="BL21" s="678">
        <f>+Model!BL7</f>
        <v/>
      </c>
      <c r="BM21" s="678">
        <f>+Model!BM7</f>
        <v/>
      </c>
      <c r="BN21" s="1242">
        <f>+Model!BN7</f>
        <v/>
      </c>
      <c r="BO21" s="678">
        <f>+Model!BO7</f>
        <v/>
      </c>
      <c r="BP21" s="678">
        <f>+Model!BP7</f>
        <v/>
      </c>
      <c r="BQ21" s="678">
        <f>+Model!BQ7</f>
        <v/>
      </c>
      <c r="BR21" s="678">
        <f>+Model!BR7</f>
        <v/>
      </c>
      <c r="BS21" s="1242">
        <f>+Model!BS7</f>
        <v/>
      </c>
      <c r="BT21" s="678">
        <f>+Model!BT7</f>
        <v/>
      </c>
      <c r="BU21" s="678">
        <f>+Model!BU7</f>
        <v/>
      </c>
      <c r="BV21" s="935">
        <f>+Model!BV7</f>
        <v/>
      </c>
      <c r="BW21" s="678">
        <f>+Model!BW7</f>
        <v/>
      </c>
      <c r="BX21" s="1242">
        <f>+Model!BX7</f>
        <v/>
      </c>
      <c r="BY21" s="678">
        <f>+Model!BY7</f>
        <v/>
      </c>
      <c r="BZ21" s="678">
        <f>+Model!BZ7</f>
        <v/>
      </c>
      <c r="CA21" s="678">
        <f>+Model!CA7</f>
        <v/>
      </c>
      <c r="CB21" s="678">
        <f>+Model!CB7</f>
        <v/>
      </c>
      <c r="CC21" s="1242">
        <f>+Model!CC7</f>
        <v/>
      </c>
      <c r="CD21" s="1242">
        <f>+Model!CD7</f>
        <v/>
      </c>
      <c r="CE21" s="1242">
        <f>+Model!CE7</f>
        <v/>
      </c>
      <c r="CF21" s="1242">
        <f>+Model!CF7</f>
        <v/>
      </c>
      <c r="CG21" s="678" t="n"/>
    </row>
    <row r="22" customFormat="1" s="974">
      <c r="A22" s="676">
        <f>+Model!A11</f>
        <v/>
      </c>
      <c r="B22" s="677" t="n"/>
      <c r="C22" s="1242" t="n"/>
      <c r="D22" s="1242" t="n"/>
      <c r="E22" s="1242" t="n"/>
      <c r="F22" s="1242" t="n"/>
      <c r="G22" s="678" t="n"/>
      <c r="H22" s="678" t="n"/>
      <c r="I22" s="678" t="n"/>
      <c r="J22" s="678" t="n"/>
      <c r="K22" s="1242" t="n"/>
      <c r="L22" s="678" t="n"/>
      <c r="M22" s="678" t="n"/>
      <c r="N22" s="678" t="n"/>
      <c r="O22" s="678" t="n"/>
      <c r="P22" s="1242">
        <f>+Model!P11</f>
        <v/>
      </c>
      <c r="Q22" s="678">
        <f>+Model!Q11</f>
        <v/>
      </c>
      <c r="R22" s="678">
        <f>+Model!R11</f>
        <v/>
      </c>
      <c r="S22" s="678">
        <f>+Model!S11</f>
        <v/>
      </c>
      <c r="T22" s="678">
        <f>+Model!T11</f>
        <v/>
      </c>
      <c r="U22" s="1242">
        <f>+Model!U11</f>
        <v/>
      </c>
      <c r="V22" s="678">
        <f>+Model!V11</f>
        <v/>
      </c>
      <c r="W22" s="678">
        <f>+Model!W11</f>
        <v/>
      </c>
      <c r="X22" s="678">
        <f>+Model!X11</f>
        <v/>
      </c>
      <c r="Y22" s="678">
        <f>+Model!Y11</f>
        <v/>
      </c>
      <c r="Z22" s="1242">
        <f>+Model!Z11</f>
        <v/>
      </c>
      <c r="AA22" s="678">
        <f>+Model!AA11</f>
        <v/>
      </c>
      <c r="AB22" s="678">
        <f>+Model!AB11</f>
        <v/>
      </c>
      <c r="AC22" s="678">
        <f>+Model!AC11</f>
        <v/>
      </c>
      <c r="AD22" s="678">
        <f>+Model!AD11</f>
        <v/>
      </c>
      <c r="AE22" s="1242">
        <f>+Model!AE11</f>
        <v/>
      </c>
      <c r="AF22" s="678">
        <f>+Model!AF11</f>
        <v/>
      </c>
      <c r="AG22" s="678">
        <f>+Model!AG11</f>
        <v/>
      </c>
      <c r="AH22" s="678">
        <f>+Model!AH11</f>
        <v/>
      </c>
      <c r="AI22" s="678">
        <f>+Model!AI11</f>
        <v/>
      </c>
      <c r="AJ22" s="1242">
        <f>+Model!AJ11</f>
        <v/>
      </c>
      <c r="AK22" s="678">
        <f>+Model!AK11</f>
        <v/>
      </c>
      <c r="AL22" s="678">
        <f>+Model!AL11</f>
        <v/>
      </c>
      <c r="AM22" s="678">
        <f>+Model!AM11</f>
        <v/>
      </c>
      <c r="AN22" s="678">
        <f>+Model!AN11</f>
        <v/>
      </c>
      <c r="AO22" s="1242">
        <f>+Model!AO11</f>
        <v/>
      </c>
      <c r="AP22" s="678">
        <f>+Model!AP11</f>
        <v/>
      </c>
      <c r="AQ22" s="678">
        <f>+Model!AQ11</f>
        <v/>
      </c>
      <c r="AR22" s="678">
        <f>+Model!AR11</f>
        <v/>
      </c>
      <c r="AS22" s="678">
        <f>+Model!AS11</f>
        <v/>
      </c>
      <c r="AT22" s="1242">
        <f>+Model!AT11</f>
        <v/>
      </c>
      <c r="AU22" s="678">
        <f>+Model!AU11</f>
        <v/>
      </c>
      <c r="AV22" s="678">
        <f>+Model!AV11</f>
        <v/>
      </c>
      <c r="AW22" s="678">
        <f>+Model!AW11</f>
        <v/>
      </c>
      <c r="AX22" s="678">
        <f>+Model!AX11</f>
        <v/>
      </c>
      <c r="AY22" s="1242">
        <f>+Model!AY11</f>
        <v/>
      </c>
      <c r="AZ22" s="678">
        <f>+Model!AZ11</f>
        <v/>
      </c>
      <c r="BA22" s="678">
        <f>+Model!BA11</f>
        <v/>
      </c>
      <c r="BB22" s="678">
        <f>+Model!BB11</f>
        <v/>
      </c>
      <c r="BC22" s="678">
        <f>+Model!BC11</f>
        <v/>
      </c>
      <c r="BD22" s="1242">
        <f>+Model!BD11</f>
        <v/>
      </c>
      <c r="BE22" s="678">
        <f>+Model!BE11</f>
        <v/>
      </c>
      <c r="BF22" s="678">
        <f>+Model!BF11</f>
        <v/>
      </c>
      <c r="BG22" s="678">
        <f>+Model!BG11</f>
        <v/>
      </c>
      <c r="BH22" s="678">
        <f>+Model!BH11</f>
        <v/>
      </c>
      <c r="BI22" s="1242">
        <f>+Model!BI11</f>
        <v/>
      </c>
      <c r="BJ22" s="678">
        <f>+Model!BJ11</f>
        <v/>
      </c>
      <c r="BK22" s="678">
        <f>+Model!BK11</f>
        <v/>
      </c>
      <c r="BL22" s="678">
        <f>+Model!BL11</f>
        <v/>
      </c>
      <c r="BM22" s="678">
        <f>+Model!BM11</f>
        <v/>
      </c>
      <c r="BN22" s="1242">
        <f>+Model!BN11</f>
        <v/>
      </c>
      <c r="BO22" s="678">
        <f>+Model!BO11</f>
        <v/>
      </c>
      <c r="BP22" s="678">
        <f>+Model!BP11</f>
        <v/>
      </c>
      <c r="BQ22" s="678">
        <f>+Model!BQ11</f>
        <v/>
      </c>
      <c r="BR22" s="678">
        <f>+Model!BR11</f>
        <v/>
      </c>
      <c r="BS22" s="1242">
        <f>+Model!BS11</f>
        <v/>
      </c>
      <c r="BT22" s="678">
        <f>+Model!BT11</f>
        <v/>
      </c>
      <c r="BU22" s="678">
        <f>+Model!BU11</f>
        <v/>
      </c>
      <c r="BV22" s="935">
        <f>+Model!BV11</f>
        <v/>
      </c>
      <c r="BW22" s="678">
        <f>+Model!BW11</f>
        <v/>
      </c>
      <c r="BX22" s="1242">
        <f>+Model!BX11</f>
        <v/>
      </c>
      <c r="BY22" s="678">
        <f>+Model!BY11</f>
        <v/>
      </c>
      <c r="BZ22" s="678">
        <f>+Model!BZ11</f>
        <v/>
      </c>
      <c r="CA22" s="678">
        <f>+Model!CA11</f>
        <v/>
      </c>
      <c r="CB22" s="678">
        <f>+Model!CB11</f>
        <v/>
      </c>
      <c r="CC22" s="1242">
        <f>+Model!CC11</f>
        <v/>
      </c>
      <c r="CD22" s="1242">
        <f>+Model!CD11</f>
        <v/>
      </c>
      <c r="CE22" s="1242">
        <f>+Model!CE11</f>
        <v/>
      </c>
      <c r="CF22" s="1242">
        <f>+Model!CF11</f>
        <v/>
      </c>
      <c r="CG22" s="678" t="n"/>
    </row>
    <row r="23" customFormat="1" s="974">
      <c r="A23" s="676">
        <f>+Model!A22</f>
        <v/>
      </c>
      <c r="B23" s="677" t="n"/>
      <c r="C23" s="1242" t="n"/>
      <c r="D23" s="1242" t="n"/>
      <c r="E23" s="1242" t="n"/>
      <c r="F23" s="1242" t="n"/>
      <c r="G23" s="678" t="n"/>
      <c r="H23" s="678" t="n"/>
      <c r="I23" s="678" t="n"/>
      <c r="J23" s="678" t="n"/>
      <c r="K23" s="1242" t="n"/>
      <c r="L23" s="678" t="n"/>
      <c r="M23" s="678" t="n"/>
      <c r="N23" s="678" t="n"/>
      <c r="O23" s="678" t="n"/>
      <c r="P23" s="1242">
        <f>+Model!P22</f>
        <v/>
      </c>
      <c r="Q23" s="678">
        <f>+Model!Q22</f>
        <v/>
      </c>
      <c r="R23" s="678">
        <f>+Model!R22</f>
        <v/>
      </c>
      <c r="S23" s="678">
        <f>+Model!S22</f>
        <v/>
      </c>
      <c r="T23" s="678">
        <f>+Model!T22</f>
        <v/>
      </c>
      <c r="U23" s="1242">
        <f>+Model!U22</f>
        <v/>
      </c>
      <c r="V23" s="678">
        <f>+Model!V22</f>
        <v/>
      </c>
      <c r="W23" s="678">
        <f>+Model!W22</f>
        <v/>
      </c>
      <c r="X23" s="678">
        <f>+Model!X22</f>
        <v/>
      </c>
      <c r="Y23" s="678">
        <f>+Model!Y22</f>
        <v/>
      </c>
      <c r="Z23" s="1242">
        <f>+Model!Z22</f>
        <v/>
      </c>
      <c r="AA23" s="678">
        <f>+Model!AA22</f>
        <v/>
      </c>
      <c r="AB23" s="678">
        <f>+Model!AB22</f>
        <v/>
      </c>
      <c r="AC23" s="678">
        <f>+Model!AC22</f>
        <v/>
      </c>
      <c r="AD23" s="678">
        <f>+Model!AD22</f>
        <v/>
      </c>
      <c r="AE23" s="1242">
        <f>+Model!AE22</f>
        <v/>
      </c>
      <c r="AF23" s="678">
        <f>+Model!AF22</f>
        <v/>
      </c>
      <c r="AG23" s="678">
        <f>+Model!AG22</f>
        <v/>
      </c>
      <c r="AH23" s="678">
        <f>+Model!AH22</f>
        <v/>
      </c>
      <c r="AI23" s="678">
        <f>+Model!AI22</f>
        <v/>
      </c>
      <c r="AJ23" s="1242">
        <f>+Model!AJ22</f>
        <v/>
      </c>
      <c r="AK23" s="678">
        <f>+Model!AK22</f>
        <v/>
      </c>
      <c r="AL23" s="678">
        <f>+Model!AL22</f>
        <v/>
      </c>
      <c r="AM23" s="678">
        <f>+Model!AM22</f>
        <v/>
      </c>
      <c r="AN23" s="678">
        <f>+Model!AN22</f>
        <v/>
      </c>
      <c r="AO23" s="1242">
        <f>+Model!AO22</f>
        <v/>
      </c>
      <c r="AP23" s="678">
        <f>+Model!AP22</f>
        <v/>
      </c>
      <c r="AQ23" s="678">
        <f>+Model!AQ22</f>
        <v/>
      </c>
      <c r="AR23" s="678">
        <f>+Model!AR22</f>
        <v/>
      </c>
      <c r="AS23" s="678">
        <f>+Model!AS22</f>
        <v/>
      </c>
      <c r="AT23" s="1242">
        <f>+Model!AT22</f>
        <v/>
      </c>
      <c r="AU23" s="678">
        <f>+Model!AU22</f>
        <v/>
      </c>
      <c r="AV23" s="678">
        <f>+Model!AV22</f>
        <v/>
      </c>
      <c r="AW23" s="678">
        <f>+Model!AW22</f>
        <v/>
      </c>
      <c r="AX23" s="678">
        <f>+Model!AX22</f>
        <v/>
      </c>
      <c r="AY23" s="1242">
        <f>+Model!AY22</f>
        <v/>
      </c>
      <c r="AZ23" s="678">
        <f>+Model!AZ22</f>
        <v/>
      </c>
      <c r="BA23" s="678">
        <f>+Model!BA22</f>
        <v/>
      </c>
      <c r="BB23" s="678">
        <f>+Model!BB22</f>
        <v/>
      </c>
      <c r="BC23" s="678">
        <f>+Model!BC22</f>
        <v/>
      </c>
      <c r="BD23" s="1242">
        <f>+Model!BD22</f>
        <v/>
      </c>
      <c r="BE23" s="678">
        <f>+Model!BE22</f>
        <v/>
      </c>
      <c r="BF23" s="678">
        <f>+Model!BF22</f>
        <v/>
      </c>
      <c r="BG23" s="678">
        <f>+Model!BG22</f>
        <v/>
      </c>
      <c r="BH23" s="678">
        <f>+Model!BH22</f>
        <v/>
      </c>
      <c r="BI23" s="1242">
        <f>+Model!BI22</f>
        <v/>
      </c>
      <c r="BJ23" s="678">
        <f>+Model!BJ22</f>
        <v/>
      </c>
      <c r="BK23" s="678">
        <f>+Model!BK22</f>
        <v/>
      </c>
      <c r="BL23" s="678">
        <f>+Model!BL22</f>
        <v/>
      </c>
      <c r="BM23" s="678">
        <f>+Model!BM22</f>
        <v/>
      </c>
      <c r="BN23" s="1242">
        <f>+Model!BN22</f>
        <v/>
      </c>
      <c r="BO23" s="678">
        <f>+Model!BO22</f>
        <v/>
      </c>
      <c r="BP23" s="678">
        <f>+Model!BP22</f>
        <v/>
      </c>
      <c r="BQ23" s="678">
        <f>+Model!BQ22</f>
        <v/>
      </c>
      <c r="BR23" s="678">
        <f>+Model!BR22</f>
        <v/>
      </c>
      <c r="BS23" s="1242">
        <f>+Model!BS22</f>
        <v/>
      </c>
      <c r="BT23" s="678">
        <f>+Model!BT22</f>
        <v/>
      </c>
      <c r="BU23" s="678">
        <f>+Model!BU22</f>
        <v/>
      </c>
      <c r="BV23" s="935">
        <f>+Model!BV22</f>
        <v/>
      </c>
      <c r="BW23" s="678">
        <f>+Model!BW22</f>
        <v/>
      </c>
      <c r="BX23" s="1242">
        <f>+Model!BX22</f>
        <v/>
      </c>
      <c r="BY23" s="678">
        <f>+Model!BY22</f>
        <v/>
      </c>
      <c r="BZ23" s="678">
        <f>+Model!BZ22</f>
        <v/>
      </c>
      <c r="CA23" s="678">
        <f>+Model!CA22</f>
        <v/>
      </c>
      <c r="CB23" s="678">
        <f>+Model!CB22</f>
        <v/>
      </c>
      <c r="CC23" s="1242">
        <f>+Model!CC22</f>
        <v/>
      </c>
      <c r="CD23" s="1242">
        <f>+Model!CD22</f>
        <v/>
      </c>
      <c r="CE23" s="1242">
        <f>+Model!CE22</f>
        <v/>
      </c>
      <c r="CF23" s="1242">
        <f>+Model!CF22</f>
        <v/>
      </c>
      <c r="CG23" s="678" t="n"/>
    </row>
    <row r="24" customFormat="1" s="974">
      <c r="A24" s="676">
        <f>+Model!A26</f>
        <v/>
      </c>
      <c r="B24" s="677" t="n"/>
      <c r="C24" s="1242" t="n"/>
      <c r="D24" s="1242" t="n"/>
      <c r="E24" s="1242" t="n"/>
      <c r="F24" s="1242" t="n"/>
      <c r="G24" s="678" t="n"/>
      <c r="H24" s="678" t="n"/>
      <c r="I24" s="678" t="n"/>
      <c r="J24" s="678" t="n"/>
      <c r="K24" s="1242" t="n"/>
      <c r="L24" s="678" t="n"/>
      <c r="M24" s="678" t="n"/>
      <c r="N24" s="678" t="n"/>
      <c r="O24" s="678" t="n"/>
      <c r="P24" s="1242">
        <f>+Model!P26</f>
        <v/>
      </c>
      <c r="Q24" s="678">
        <f>+Model!Q26</f>
        <v/>
      </c>
      <c r="R24" s="678">
        <f>+Model!R26</f>
        <v/>
      </c>
      <c r="S24" s="678">
        <f>+Model!S26</f>
        <v/>
      </c>
      <c r="T24" s="678">
        <f>+Model!T26</f>
        <v/>
      </c>
      <c r="U24" s="1242">
        <f>+Model!U26</f>
        <v/>
      </c>
      <c r="V24" s="678">
        <f>+Model!V26</f>
        <v/>
      </c>
      <c r="W24" s="678">
        <f>+Model!W26</f>
        <v/>
      </c>
      <c r="X24" s="678">
        <f>+Model!X26</f>
        <v/>
      </c>
      <c r="Y24" s="678">
        <f>+Model!Y26</f>
        <v/>
      </c>
      <c r="Z24" s="1242">
        <f>+Model!Z26</f>
        <v/>
      </c>
      <c r="AA24" s="678">
        <f>+Model!AA26</f>
        <v/>
      </c>
      <c r="AB24" s="678">
        <f>+Model!AB26</f>
        <v/>
      </c>
      <c r="AC24" s="678">
        <f>+Model!AC26</f>
        <v/>
      </c>
      <c r="AD24" s="678">
        <f>+Model!AD26</f>
        <v/>
      </c>
      <c r="AE24" s="1242">
        <f>+Model!AE26</f>
        <v/>
      </c>
      <c r="AF24" s="678">
        <f>+Model!AF26</f>
        <v/>
      </c>
      <c r="AG24" s="678">
        <f>+Model!AG26</f>
        <v/>
      </c>
      <c r="AH24" s="678">
        <f>+Model!AH26</f>
        <v/>
      </c>
      <c r="AI24" s="678">
        <f>+Model!AI26</f>
        <v/>
      </c>
      <c r="AJ24" s="1242">
        <f>+Model!AJ26</f>
        <v/>
      </c>
      <c r="AK24" s="678">
        <f>+Model!AK26</f>
        <v/>
      </c>
      <c r="AL24" s="678">
        <f>+Model!AL26</f>
        <v/>
      </c>
      <c r="AM24" s="678">
        <f>+Model!AM26</f>
        <v/>
      </c>
      <c r="AN24" s="678">
        <f>+Model!AN26</f>
        <v/>
      </c>
      <c r="AO24" s="1242">
        <f>+Model!AO26</f>
        <v/>
      </c>
      <c r="AP24" s="678">
        <f>+Model!AP26</f>
        <v/>
      </c>
      <c r="AQ24" s="678">
        <f>+Model!AQ26</f>
        <v/>
      </c>
      <c r="AR24" s="678">
        <f>+Model!AR26</f>
        <v/>
      </c>
      <c r="AS24" s="678">
        <f>+Model!AS26</f>
        <v/>
      </c>
      <c r="AT24" s="1242">
        <f>+Model!AT26</f>
        <v/>
      </c>
      <c r="AU24" s="678">
        <f>+Model!AU26</f>
        <v/>
      </c>
      <c r="AV24" s="678">
        <f>+Model!AV26</f>
        <v/>
      </c>
      <c r="AW24" s="678">
        <f>+Model!AW26</f>
        <v/>
      </c>
      <c r="AX24" s="678">
        <f>+Model!AX26</f>
        <v/>
      </c>
      <c r="AY24" s="1242">
        <f>+Model!AY26</f>
        <v/>
      </c>
      <c r="AZ24" s="678">
        <f>+Model!AZ26</f>
        <v/>
      </c>
      <c r="BA24" s="678">
        <f>+Model!BA26</f>
        <v/>
      </c>
      <c r="BB24" s="678">
        <f>+Model!BB26</f>
        <v/>
      </c>
      <c r="BC24" s="678">
        <f>+Model!BC26</f>
        <v/>
      </c>
      <c r="BD24" s="1242">
        <f>+Model!BD26</f>
        <v/>
      </c>
      <c r="BE24" s="678">
        <f>+Model!BE26</f>
        <v/>
      </c>
      <c r="BF24" s="678">
        <f>+Model!BF26</f>
        <v/>
      </c>
      <c r="BG24" s="678">
        <f>+Model!BG26</f>
        <v/>
      </c>
      <c r="BH24" s="678">
        <f>+Model!BH26</f>
        <v/>
      </c>
      <c r="BI24" s="1242">
        <f>+Model!BI26</f>
        <v/>
      </c>
      <c r="BJ24" s="678">
        <f>+Model!BJ26</f>
        <v/>
      </c>
      <c r="BK24" s="678">
        <f>+Model!BK26</f>
        <v/>
      </c>
      <c r="BL24" s="678">
        <f>+Model!BL26</f>
        <v/>
      </c>
      <c r="BM24" s="678">
        <f>+Model!BM26</f>
        <v/>
      </c>
      <c r="BN24" s="1242">
        <f>+Model!BN26</f>
        <v/>
      </c>
      <c r="BO24" s="678">
        <f>+Model!BO26</f>
        <v/>
      </c>
      <c r="BP24" s="678">
        <f>+Model!BP26</f>
        <v/>
      </c>
      <c r="BQ24" s="678">
        <f>+Model!BQ26</f>
        <v/>
      </c>
      <c r="BR24" s="678">
        <f>+Model!BR26</f>
        <v/>
      </c>
      <c r="BS24" s="1242">
        <f>+Model!BS26</f>
        <v/>
      </c>
      <c r="BT24" s="678">
        <f>+Model!BT26</f>
        <v/>
      </c>
      <c r="BU24" s="678">
        <f>+Model!BU26</f>
        <v/>
      </c>
      <c r="BV24" s="935">
        <f>+Model!BV26</f>
        <v/>
      </c>
      <c r="BW24" s="678">
        <f>+Model!BW26</f>
        <v/>
      </c>
      <c r="BX24" s="1242">
        <f>+Model!BX26</f>
        <v/>
      </c>
      <c r="BY24" s="678">
        <f>+Model!BY26</f>
        <v/>
      </c>
      <c r="BZ24" s="678">
        <f>+Model!BZ26</f>
        <v/>
      </c>
      <c r="CA24" s="678">
        <f>+Model!CA26</f>
        <v/>
      </c>
      <c r="CB24" s="678">
        <f>+Model!CB26</f>
        <v/>
      </c>
      <c r="CC24" s="1242">
        <f>+Model!CC26</f>
        <v/>
      </c>
      <c r="CD24" s="1242">
        <f>+Model!CD26</f>
        <v/>
      </c>
      <c r="CE24" s="1242">
        <f>+Model!CE26</f>
        <v/>
      </c>
      <c r="CF24" s="1242">
        <f>+Model!CF26</f>
        <v/>
      </c>
      <c r="CG24" s="678" t="n"/>
    </row>
    <row r="25" customFormat="1" s="974">
      <c r="A25" s="679">
        <f>+Model!A30</f>
        <v/>
      </c>
      <c r="B25" s="680" t="n"/>
      <c r="C25" s="1248" t="n"/>
      <c r="D25" s="1248" t="n"/>
      <c r="E25" s="1248" t="n"/>
      <c r="F25" s="1248" t="n"/>
      <c r="G25" s="681" t="n"/>
      <c r="H25" s="681" t="n"/>
      <c r="I25" s="681" t="n"/>
      <c r="J25" s="681" t="n"/>
      <c r="K25" s="1248" t="n"/>
      <c r="L25" s="681" t="n"/>
      <c r="M25" s="681" t="n"/>
      <c r="N25" s="681" t="n"/>
      <c r="O25" s="681" t="n"/>
      <c r="P25" s="1248">
        <f>+Model!P30</f>
        <v/>
      </c>
      <c r="Q25" s="681">
        <f>+Model!Q30</f>
        <v/>
      </c>
      <c r="R25" s="681">
        <f>+Model!R30</f>
        <v/>
      </c>
      <c r="S25" s="681">
        <f>+Model!S30</f>
        <v/>
      </c>
      <c r="T25" s="681">
        <f>+Model!T30</f>
        <v/>
      </c>
      <c r="U25" s="1248">
        <f>+Model!U30</f>
        <v/>
      </c>
      <c r="V25" s="681">
        <f>+Model!V30</f>
        <v/>
      </c>
      <c r="W25" s="681">
        <f>+Model!W30</f>
        <v/>
      </c>
      <c r="X25" s="681">
        <f>+Model!X30</f>
        <v/>
      </c>
      <c r="Y25" s="681">
        <f>+Model!Y30</f>
        <v/>
      </c>
      <c r="Z25" s="1248">
        <f>+Model!Z30</f>
        <v/>
      </c>
      <c r="AA25" s="681">
        <f>+Model!AA30</f>
        <v/>
      </c>
      <c r="AB25" s="681">
        <f>+Model!AB30</f>
        <v/>
      </c>
      <c r="AC25" s="681">
        <f>+Model!AC30</f>
        <v/>
      </c>
      <c r="AD25" s="681">
        <f>+Model!AD30</f>
        <v/>
      </c>
      <c r="AE25" s="1248">
        <f>+Model!AE30</f>
        <v/>
      </c>
      <c r="AF25" s="681">
        <f>+Model!AF30</f>
        <v/>
      </c>
      <c r="AG25" s="681">
        <f>+Model!AG30</f>
        <v/>
      </c>
      <c r="AH25" s="681">
        <f>+Model!AH30</f>
        <v/>
      </c>
      <c r="AI25" s="681">
        <f>+Model!AI30</f>
        <v/>
      </c>
      <c r="AJ25" s="1248">
        <f>+Model!AJ30</f>
        <v/>
      </c>
      <c r="AK25" s="681">
        <f>+Model!AK30</f>
        <v/>
      </c>
      <c r="AL25" s="681">
        <f>+Model!AL30</f>
        <v/>
      </c>
      <c r="AM25" s="681">
        <f>+Model!AM30</f>
        <v/>
      </c>
      <c r="AN25" s="681">
        <f>+Model!AN30</f>
        <v/>
      </c>
      <c r="AO25" s="1248">
        <f>+Model!AO30</f>
        <v/>
      </c>
      <c r="AP25" s="681">
        <f>+Model!AP30</f>
        <v/>
      </c>
      <c r="AQ25" s="681">
        <f>+Model!AQ30</f>
        <v/>
      </c>
      <c r="AR25" s="681">
        <f>+Model!AR30</f>
        <v/>
      </c>
      <c r="AS25" s="681">
        <f>+Model!AS30</f>
        <v/>
      </c>
      <c r="AT25" s="1248">
        <f>+Model!AT30</f>
        <v/>
      </c>
      <c r="AU25" s="681">
        <f>+Model!AU30</f>
        <v/>
      </c>
      <c r="AV25" s="681">
        <f>+Model!AV30</f>
        <v/>
      </c>
      <c r="AW25" s="681">
        <f>+Model!AW30</f>
        <v/>
      </c>
      <c r="AX25" s="681">
        <f>+Model!AX30</f>
        <v/>
      </c>
      <c r="AY25" s="1248">
        <f>+Model!AY30</f>
        <v/>
      </c>
      <c r="AZ25" s="681">
        <f>+Model!AZ30</f>
        <v/>
      </c>
      <c r="BA25" s="681">
        <f>+Model!BA30</f>
        <v/>
      </c>
      <c r="BB25" s="681">
        <f>+Model!BB30</f>
        <v/>
      </c>
      <c r="BC25" s="681">
        <f>+Model!BC30</f>
        <v/>
      </c>
      <c r="BD25" s="1248">
        <f>+Model!BD30</f>
        <v/>
      </c>
      <c r="BE25" s="681">
        <f>+Model!BE30</f>
        <v/>
      </c>
      <c r="BF25" s="681">
        <f>+Model!BF30</f>
        <v/>
      </c>
      <c r="BG25" s="681">
        <f>+Model!BG30</f>
        <v/>
      </c>
      <c r="BH25" s="681">
        <f>+Model!BH30</f>
        <v/>
      </c>
      <c r="BI25" s="1248">
        <f>+Model!BI30</f>
        <v/>
      </c>
      <c r="BJ25" s="681">
        <f>+Model!BJ30</f>
        <v/>
      </c>
      <c r="BK25" s="681">
        <f>+Model!BK30</f>
        <v/>
      </c>
      <c r="BL25" s="681">
        <f>+Model!BL30</f>
        <v/>
      </c>
      <c r="BM25" s="681">
        <f>+Model!BM30</f>
        <v/>
      </c>
      <c r="BN25" s="1248">
        <f>+Model!BN30</f>
        <v/>
      </c>
      <c r="BO25" s="681">
        <f>+Model!BO30</f>
        <v/>
      </c>
      <c r="BP25" s="681">
        <f>+Model!BP30</f>
        <v/>
      </c>
      <c r="BQ25" s="681">
        <f>+Model!BQ30</f>
        <v/>
      </c>
      <c r="BR25" s="681">
        <f>+Model!BR30</f>
        <v/>
      </c>
      <c r="BS25" s="1248">
        <f>+Model!BS30</f>
        <v/>
      </c>
      <c r="BT25" s="681">
        <f>+Model!BT30</f>
        <v/>
      </c>
      <c r="BU25" s="681">
        <f>+Model!BU30</f>
        <v/>
      </c>
      <c r="BV25" s="939">
        <f>+Model!BV30</f>
        <v/>
      </c>
      <c r="BW25" s="681">
        <f>+Model!BW30</f>
        <v/>
      </c>
      <c r="BX25" s="1248">
        <f>+Model!BX30</f>
        <v/>
      </c>
      <c r="BY25" s="681">
        <f>+Model!BY30</f>
        <v/>
      </c>
      <c r="BZ25" s="681">
        <f>+Model!BZ30</f>
        <v/>
      </c>
      <c r="CA25" s="681">
        <f>+Model!CA30</f>
        <v/>
      </c>
      <c r="CB25" s="681">
        <f>+Model!CB30</f>
        <v/>
      </c>
      <c r="CC25" s="1248">
        <f>+Model!CC30</f>
        <v/>
      </c>
      <c r="CD25" s="1248">
        <f>+Model!CD30</f>
        <v/>
      </c>
      <c r="CE25" s="1248">
        <f>+Model!CE30</f>
        <v/>
      </c>
      <c r="CF25" s="1248">
        <f>+Model!CF30</f>
        <v/>
      </c>
      <c r="CG25" s="678" t="n"/>
    </row>
    <row r="26" customFormat="1" s="973">
      <c r="A26" s="682">
        <f>+Model!A34</f>
        <v/>
      </c>
      <c r="B26" s="683" t="n"/>
      <c r="C26" s="1241" t="n"/>
      <c r="D26" s="1241" t="n"/>
      <c r="E26" s="1241" t="n"/>
      <c r="F26" s="1241" t="n"/>
      <c r="G26" s="574" t="n"/>
      <c r="H26" s="574" t="n"/>
      <c r="I26" s="574" t="n"/>
      <c r="J26" s="574" t="n"/>
      <c r="K26" s="1241" t="n"/>
      <c r="L26" s="574" t="n"/>
      <c r="M26" s="574" t="n"/>
      <c r="N26" s="574" t="n"/>
      <c r="O26" s="574" t="n"/>
      <c r="P26" s="1241">
        <f>+Model!P34</f>
        <v/>
      </c>
      <c r="Q26" s="574">
        <f>+Model!Q34</f>
        <v/>
      </c>
      <c r="R26" s="574">
        <f>+Model!R34</f>
        <v/>
      </c>
      <c r="S26" s="574">
        <f>+Model!S34</f>
        <v/>
      </c>
      <c r="T26" s="574">
        <f>+Model!T34</f>
        <v/>
      </c>
      <c r="U26" s="1241">
        <f>+Model!U34</f>
        <v/>
      </c>
      <c r="V26" s="574">
        <f>+Model!V34</f>
        <v/>
      </c>
      <c r="W26" s="574">
        <f>+Model!W34</f>
        <v/>
      </c>
      <c r="X26" s="574">
        <f>+Model!X34</f>
        <v/>
      </c>
      <c r="Y26" s="574">
        <f>+Model!Y34</f>
        <v/>
      </c>
      <c r="Z26" s="1241">
        <f>+Model!Z34</f>
        <v/>
      </c>
      <c r="AA26" s="574">
        <f>+Model!AA34</f>
        <v/>
      </c>
      <c r="AB26" s="574">
        <f>+Model!AB34</f>
        <v/>
      </c>
      <c r="AC26" s="574">
        <f>+Model!AC34</f>
        <v/>
      </c>
      <c r="AD26" s="574">
        <f>+Model!AD34</f>
        <v/>
      </c>
      <c r="AE26" s="1241">
        <f>+Model!AE34</f>
        <v/>
      </c>
      <c r="AF26" s="574">
        <f>+Model!AF34</f>
        <v/>
      </c>
      <c r="AG26" s="574">
        <f>+Model!AG34</f>
        <v/>
      </c>
      <c r="AH26" s="574">
        <f>+Model!AH34</f>
        <v/>
      </c>
      <c r="AI26" s="574">
        <f>+Model!AI34</f>
        <v/>
      </c>
      <c r="AJ26" s="1241">
        <f>+Model!AJ34</f>
        <v/>
      </c>
      <c r="AK26" s="574">
        <f>+Model!AK34</f>
        <v/>
      </c>
      <c r="AL26" s="574">
        <f>+Model!AL34</f>
        <v/>
      </c>
      <c r="AM26" s="574">
        <f>+Model!AM34</f>
        <v/>
      </c>
      <c r="AN26" s="574">
        <f>+Model!AN34</f>
        <v/>
      </c>
      <c r="AO26" s="1241">
        <f>+Model!AO34</f>
        <v/>
      </c>
      <c r="AP26" s="574">
        <f>+Model!AP34</f>
        <v/>
      </c>
      <c r="AQ26" s="574">
        <f>+Model!AQ34</f>
        <v/>
      </c>
      <c r="AR26" s="574">
        <f>+Model!AR34</f>
        <v/>
      </c>
      <c r="AS26" s="574">
        <f>+Model!AS34</f>
        <v/>
      </c>
      <c r="AT26" s="1241">
        <f>+Model!AT34</f>
        <v/>
      </c>
      <c r="AU26" s="574">
        <f>+Model!AU34</f>
        <v/>
      </c>
      <c r="AV26" s="574">
        <f>+Model!AV34</f>
        <v/>
      </c>
      <c r="AW26" s="574">
        <f>+Model!AW34</f>
        <v/>
      </c>
      <c r="AX26" s="574">
        <f>+Model!AX34</f>
        <v/>
      </c>
      <c r="AY26" s="1241">
        <f>+Model!AY34</f>
        <v/>
      </c>
      <c r="AZ26" s="574">
        <f>+Model!AZ34</f>
        <v/>
      </c>
      <c r="BA26" s="574">
        <f>+Model!BA34</f>
        <v/>
      </c>
      <c r="BB26" s="574">
        <f>+Model!BB34</f>
        <v/>
      </c>
      <c r="BC26" s="574">
        <f>+Model!BC34</f>
        <v/>
      </c>
      <c r="BD26" s="1241">
        <f>+Model!BD34</f>
        <v/>
      </c>
      <c r="BE26" s="574">
        <f>+Model!BE34</f>
        <v/>
      </c>
      <c r="BF26" s="574">
        <f>+Model!BF34</f>
        <v/>
      </c>
      <c r="BG26" s="574">
        <f>+Model!BG34</f>
        <v/>
      </c>
      <c r="BH26" s="574">
        <f>+Model!BH34</f>
        <v/>
      </c>
      <c r="BI26" s="1241">
        <f>+Model!BI34</f>
        <v/>
      </c>
      <c r="BJ26" s="574">
        <f>+Model!BJ34</f>
        <v/>
      </c>
      <c r="BK26" s="574">
        <f>+Model!BK34</f>
        <v/>
      </c>
      <c r="BL26" s="574">
        <f>+Model!BL34</f>
        <v/>
      </c>
      <c r="BM26" s="574">
        <f>+Model!BM34</f>
        <v/>
      </c>
      <c r="BN26" s="1241">
        <f>+Model!BN34</f>
        <v/>
      </c>
      <c r="BO26" s="574">
        <f>+Model!BO34</f>
        <v/>
      </c>
      <c r="BP26" s="574">
        <f>+Model!BP34</f>
        <v/>
      </c>
      <c r="BQ26" s="574">
        <f>+Model!BQ34</f>
        <v/>
      </c>
      <c r="BR26" s="574">
        <f>+Model!BR34</f>
        <v/>
      </c>
      <c r="BS26" s="1241">
        <f>+Model!BS34</f>
        <v/>
      </c>
      <c r="BT26" s="574">
        <f>+Model!BT34</f>
        <v/>
      </c>
      <c r="BU26" s="574">
        <f>+Model!BU34</f>
        <v/>
      </c>
      <c r="BV26" s="936">
        <f>+Model!BV34</f>
        <v/>
      </c>
      <c r="BW26" s="574">
        <f>+Model!BW34</f>
        <v/>
      </c>
      <c r="BX26" s="1241">
        <f>+Model!BX34</f>
        <v/>
      </c>
      <c r="BY26" s="574">
        <f>+Model!BY34</f>
        <v/>
      </c>
      <c r="BZ26" s="574">
        <f>+Model!BZ34</f>
        <v/>
      </c>
      <c r="CA26" s="574">
        <f>+Model!CA34</f>
        <v/>
      </c>
      <c r="CB26" s="574">
        <f>+Model!CB34</f>
        <v/>
      </c>
      <c r="CC26" s="1241">
        <f>+Model!CC34</f>
        <v/>
      </c>
      <c r="CD26" s="1241">
        <f>+Model!CD34</f>
        <v/>
      </c>
      <c r="CE26" s="1241">
        <f>+Model!CE34</f>
        <v/>
      </c>
      <c r="CF26" s="1241">
        <f>+Model!CF34</f>
        <v/>
      </c>
      <c r="CG26" s="574" t="n"/>
    </row>
    <row r="27" customFormat="1" s="971">
      <c r="A27" s="197" t="n"/>
      <c r="B27" s="208" t="n"/>
      <c r="C27" s="183" t="n"/>
      <c r="D27" s="183" t="n"/>
      <c r="E27" s="183" t="n"/>
      <c r="F27" s="183" t="n"/>
      <c r="G27" s="1013" t="n"/>
      <c r="H27" s="1013" t="n"/>
      <c r="I27" s="1013" t="n"/>
      <c r="J27" s="1013" t="n"/>
      <c r="K27" s="183" t="n"/>
      <c r="L27" s="1013" t="n"/>
      <c r="M27" s="1013" t="n"/>
      <c r="N27" s="1013" t="n"/>
      <c r="O27" s="1013" t="n"/>
      <c r="P27" s="183" t="n"/>
      <c r="Q27" s="1013" t="n"/>
      <c r="R27" s="1013" t="n"/>
      <c r="S27" s="1013" t="n"/>
      <c r="T27" s="1013" t="n"/>
      <c r="U27" s="183" t="n"/>
      <c r="V27" s="1013" t="n"/>
      <c r="W27" s="1013" t="n"/>
      <c r="X27" s="1013" t="n"/>
      <c r="Y27" s="1013" t="n"/>
      <c r="Z27" s="183" t="n"/>
      <c r="AA27" s="1013" t="n"/>
      <c r="AB27" s="1013" t="n"/>
      <c r="AC27" s="1013" t="n"/>
      <c r="AD27" s="1013" t="n"/>
      <c r="AE27" s="183" t="n"/>
      <c r="AF27" s="1013" t="n"/>
      <c r="AG27" s="1013" t="n"/>
      <c r="AH27" s="1013" t="n"/>
      <c r="AI27" s="1013" t="n"/>
      <c r="AJ27" s="183" t="n"/>
      <c r="AK27" s="1013" t="n"/>
      <c r="AL27" s="1013" t="n"/>
      <c r="AM27" s="1013" t="n"/>
      <c r="AN27" s="1013" t="n"/>
      <c r="AO27" s="183" t="n"/>
      <c r="AP27" s="1013" t="n"/>
      <c r="AQ27" s="1013" t="n"/>
      <c r="AR27" s="1013" t="n"/>
      <c r="AS27" s="1013" t="n"/>
      <c r="AT27" s="183" t="n"/>
      <c r="AU27" s="1013" t="n"/>
      <c r="AV27" s="1013" t="n"/>
      <c r="AW27" s="1013" t="n"/>
      <c r="AX27" s="1013" t="n"/>
      <c r="AY27" s="183" t="n"/>
      <c r="AZ27" s="1013" t="n"/>
      <c r="BA27" s="1013" t="n"/>
      <c r="BB27" s="1013" t="n"/>
      <c r="BC27" s="1013" t="n"/>
      <c r="BD27" s="183" t="n"/>
      <c r="BE27" s="1013" t="n"/>
      <c r="BF27" s="1013" t="n"/>
      <c r="BG27" s="1013" t="n"/>
      <c r="BH27" s="1013" t="n"/>
      <c r="BI27" s="183" t="n"/>
      <c r="BJ27" s="1013" t="n"/>
      <c r="BK27" s="1013" t="n"/>
      <c r="BL27" s="1013" t="n"/>
      <c r="BM27" s="1013" t="n"/>
      <c r="BN27" s="183" t="n"/>
      <c r="BO27" s="1013" t="n"/>
      <c r="BP27" s="1013" t="n"/>
      <c r="BQ27" s="1013" t="n"/>
      <c r="BR27" s="1013" t="n"/>
      <c r="BS27" s="183" t="n"/>
      <c r="BT27" s="1013" t="n"/>
      <c r="BU27" s="1013" t="n"/>
      <c r="BV27" s="1014" t="n"/>
      <c r="BW27" s="1013" t="n"/>
      <c r="BX27" s="183" t="n"/>
      <c r="BY27" s="1013" t="n"/>
      <c r="BZ27" s="1013" t="n"/>
      <c r="CA27" s="1013" t="n"/>
      <c r="CB27" s="1013" t="n"/>
      <c r="CC27" s="183" t="n"/>
      <c r="CD27" s="183" t="n"/>
      <c r="CE27" s="183" t="n"/>
      <c r="CF27" s="183" t="n"/>
      <c r="CG27" s="1013" t="n"/>
    </row>
    <row r="28">
      <c r="A28" s="126" t="inlineStr">
        <is>
          <t>GAAP and Non-GAAP Financials</t>
        </is>
      </c>
      <c r="B28" s="1012" t="n"/>
      <c r="C28" s="1012" t="n"/>
      <c r="D28" s="1012" t="n"/>
      <c r="E28" s="1012" t="n"/>
      <c r="F28" s="1012" t="n"/>
      <c r="G28" s="1012" t="n"/>
      <c r="H28" s="1012" t="n"/>
      <c r="I28" s="1012" t="n"/>
      <c r="J28" s="1012" t="n"/>
      <c r="K28" s="1012" t="n"/>
      <c r="L28" s="1012" t="n"/>
      <c r="M28" s="1012" t="n"/>
      <c r="N28" s="1012" t="n"/>
      <c r="O28" s="1012" t="n"/>
      <c r="P28" s="1012" t="n"/>
      <c r="Q28" s="1012" t="n"/>
      <c r="R28" s="1012" t="n"/>
      <c r="S28" s="1012" t="n"/>
      <c r="T28" s="1012" t="n"/>
      <c r="U28" s="1012" t="n"/>
      <c r="V28" s="1012" t="n"/>
      <c r="W28" s="1012" t="n"/>
      <c r="X28" s="1012" t="n"/>
      <c r="Y28" s="1012" t="n"/>
      <c r="Z28" s="1012" t="n"/>
      <c r="AA28" s="1012" t="n"/>
      <c r="AB28" s="1012" t="n"/>
      <c r="AC28" s="1012" t="n"/>
      <c r="AD28" s="1012" t="n"/>
      <c r="AE28" s="1012" t="n"/>
      <c r="AF28" s="1012" t="n"/>
      <c r="AG28" s="1012" t="n"/>
      <c r="AH28" s="1012" t="n"/>
      <c r="AI28" s="1012" t="n"/>
      <c r="AJ28" s="1012" t="n"/>
      <c r="AK28" s="1012" t="n"/>
      <c r="AL28" s="1012" t="n"/>
      <c r="AM28" s="1012" t="n"/>
      <c r="AN28" s="1012" t="n"/>
      <c r="AO28" s="1012" t="n"/>
      <c r="AP28" s="1012" t="n"/>
      <c r="AQ28" s="1012" t="n"/>
      <c r="AR28" s="1012" t="n"/>
      <c r="AS28" s="1012" t="n"/>
      <c r="AT28" s="1012" t="n"/>
      <c r="AU28" s="1012" t="n"/>
      <c r="AV28" s="1012" t="n"/>
      <c r="AW28" s="1012" t="n"/>
      <c r="AX28" s="1012" t="n"/>
      <c r="AY28" s="1012" t="n"/>
      <c r="AZ28" s="1012" t="n"/>
      <c r="BA28" s="1012" t="n"/>
      <c r="BB28" s="1012" t="n"/>
      <c r="BC28" s="1012" t="n"/>
      <c r="BD28" s="1012" t="n"/>
      <c r="BE28" s="1012" t="n"/>
      <c r="BF28" s="1012" t="n"/>
      <c r="BG28" s="1012" t="n"/>
      <c r="BH28" s="1012" t="n"/>
      <c r="BI28" s="1012" t="n"/>
      <c r="BJ28" s="1012" t="n"/>
      <c r="BK28" s="1012" t="n"/>
      <c r="BL28" s="1012" t="n"/>
      <c r="BM28" s="1012" t="n"/>
      <c r="BN28" s="1012" t="n"/>
      <c r="BO28" s="1012" t="n"/>
      <c r="BP28" s="1012" t="n"/>
      <c r="BQ28" s="1012" t="n"/>
      <c r="BR28" s="1012" t="n"/>
      <c r="BS28" s="1012" t="n"/>
      <c r="BT28" s="1012" t="n"/>
      <c r="BU28" s="1012" t="n"/>
      <c r="BV28" s="1048" t="n"/>
      <c r="BW28" s="1012" t="n"/>
      <c r="BX28" s="1012" t="n"/>
      <c r="BY28" s="1012" t="n"/>
      <c r="BZ28" s="1012" t="n"/>
      <c r="CA28" s="1012" t="n"/>
      <c r="CB28" s="1012" t="n"/>
      <c r="CC28" s="1012" t="n"/>
      <c r="CD28" s="1012" t="n"/>
      <c r="CE28" s="1012" t="n"/>
      <c r="CF28" s="1012" t="n"/>
      <c r="CG28" s="1011" t="n"/>
    </row>
    <row r="29" customFormat="1" s="973">
      <c r="A29" s="682">
        <f>INDEX(MO_RIS_REV,0,COLUMN())</f>
        <v/>
      </c>
      <c r="B29" s="684" t="n"/>
      <c r="C29" s="1241">
        <f>INDEX(MO_RIS_REV,0,COLUMN())</f>
        <v/>
      </c>
      <c r="D29" s="1241">
        <f>INDEX(MO_RIS_REV,0,COLUMN())</f>
        <v/>
      </c>
      <c r="E29" s="1241">
        <f>INDEX(MO_RIS_REV,0,COLUMN())</f>
        <v/>
      </c>
      <c r="F29" s="1241">
        <f>INDEX(MO_RIS_REV,0,COLUMN())</f>
        <v/>
      </c>
      <c r="G29" s="574">
        <f>INDEX(MO_RIS_REV,0,COLUMN())</f>
        <v/>
      </c>
      <c r="H29" s="574">
        <f>INDEX(MO_RIS_REV,0,COLUMN())</f>
        <v/>
      </c>
      <c r="I29" s="574">
        <f>INDEX(MO_RIS_REV,0,COLUMN())</f>
        <v/>
      </c>
      <c r="J29" s="574">
        <f>INDEX(MO_RIS_REV,0,COLUMN())</f>
        <v/>
      </c>
      <c r="K29" s="1241">
        <f>INDEX(MO_RIS_REV,0,COLUMN())</f>
        <v/>
      </c>
      <c r="L29" s="574">
        <f>INDEX(MO_RIS_REV,0,COLUMN())</f>
        <v/>
      </c>
      <c r="M29" s="574">
        <f>INDEX(MO_RIS_REV,0,COLUMN())</f>
        <v/>
      </c>
      <c r="N29" s="574">
        <f>INDEX(MO_RIS_REV,0,COLUMN())</f>
        <v/>
      </c>
      <c r="O29" s="574">
        <f>INDEX(MO_RIS_REV,0,COLUMN())</f>
        <v/>
      </c>
      <c r="P29" s="1241">
        <f>INDEX(MO_RIS_REV,0,COLUMN())</f>
        <v/>
      </c>
      <c r="Q29" s="574">
        <f>INDEX(MO_RIS_REV,0,COLUMN())</f>
        <v/>
      </c>
      <c r="R29" s="574">
        <f>INDEX(MO_RIS_REV,0,COLUMN())</f>
        <v/>
      </c>
      <c r="S29" s="574">
        <f>INDEX(MO_RIS_REV,0,COLUMN())</f>
        <v/>
      </c>
      <c r="T29" s="574">
        <f>INDEX(MO_RIS_REV,0,COLUMN())</f>
        <v/>
      </c>
      <c r="U29" s="1241">
        <f>INDEX(MO_RIS_REV,0,COLUMN())</f>
        <v/>
      </c>
      <c r="V29" s="574">
        <f>INDEX(MO_RIS_REV,0,COLUMN())</f>
        <v/>
      </c>
      <c r="W29" s="574">
        <f>INDEX(MO_RIS_REV,0,COLUMN())</f>
        <v/>
      </c>
      <c r="X29" s="574">
        <f>INDEX(MO_RIS_REV,0,COLUMN())</f>
        <v/>
      </c>
      <c r="Y29" s="574">
        <f>INDEX(MO_RIS_REV,0,COLUMN())</f>
        <v/>
      </c>
      <c r="Z29" s="1241">
        <f>INDEX(MO_RIS_REV,0,COLUMN())</f>
        <v/>
      </c>
      <c r="AA29" s="574">
        <f>INDEX(MO_RIS_REV,0,COLUMN())</f>
        <v/>
      </c>
      <c r="AB29" s="574">
        <f>INDEX(MO_RIS_REV,0,COLUMN())</f>
        <v/>
      </c>
      <c r="AC29" s="574">
        <f>INDEX(MO_RIS_REV,0,COLUMN())</f>
        <v/>
      </c>
      <c r="AD29" s="574">
        <f>INDEX(MO_RIS_REV,0,COLUMN())</f>
        <v/>
      </c>
      <c r="AE29" s="1241">
        <f>INDEX(MO_RIS_REV,0,COLUMN())</f>
        <v/>
      </c>
      <c r="AF29" s="574">
        <f>INDEX(MO_RIS_REV,0,COLUMN())</f>
        <v/>
      </c>
      <c r="AG29" s="574">
        <f>INDEX(MO_RIS_REV,0,COLUMN())</f>
        <v/>
      </c>
      <c r="AH29" s="574">
        <f>INDEX(MO_RIS_REV,0,COLUMN())</f>
        <v/>
      </c>
      <c r="AI29" s="574">
        <f>INDEX(MO_RIS_REV,0,COLUMN())</f>
        <v/>
      </c>
      <c r="AJ29" s="1241">
        <f>INDEX(MO_RIS_REV,0,COLUMN())</f>
        <v/>
      </c>
      <c r="AK29" s="574">
        <f>INDEX(MO_RIS_REV,0,COLUMN())</f>
        <v/>
      </c>
      <c r="AL29" s="574">
        <f>INDEX(MO_RIS_REV,0,COLUMN())</f>
        <v/>
      </c>
      <c r="AM29" s="574">
        <f>INDEX(MO_RIS_REV,0,COLUMN())</f>
        <v/>
      </c>
      <c r="AN29" s="574">
        <f>INDEX(MO_RIS_REV,0,COLUMN())</f>
        <v/>
      </c>
      <c r="AO29" s="1241">
        <f>INDEX(MO_RIS_REV,0,COLUMN())</f>
        <v/>
      </c>
      <c r="AP29" s="574">
        <f>INDEX(MO_RIS_REV,0,COLUMN())</f>
        <v/>
      </c>
      <c r="AQ29" s="574">
        <f>INDEX(MO_RIS_REV,0,COLUMN())</f>
        <v/>
      </c>
      <c r="AR29" s="574">
        <f>INDEX(MO_RIS_REV,0,COLUMN())</f>
        <v/>
      </c>
      <c r="AS29" s="574">
        <f>INDEX(MO_RIS_REV,0,COLUMN())</f>
        <v/>
      </c>
      <c r="AT29" s="1241">
        <f>INDEX(MO_RIS_REV,0,COLUMN())</f>
        <v/>
      </c>
      <c r="AU29" s="574">
        <f>INDEX(MO_RIS_REV,0,COLUMN())</f>
        <v/>
      </c>
      <c r="AV29" s="574">
        <f>INDEX(MO_RIS_REV,0,COLUMN())</f>
        <v/>
      </c>
      <c r="AW29" s="574">
        <f>INDEX(MO_RIS_REV,0,COLUMN())</f>
        <v/>
      </c>
      <c r="AX29" s="574">
        <f>INDEX(MO_RIS_REV,0,COLUMN())</f>
        <v/>
      </c>
      <c r="AY29" s="1241">
        <f>INDEX(MO_RIS_REV,0,COLUMN())</f>
        <v/>
      </c>
      <c r="AZ29" s="574">
        <f>INDEX(MO_RIS_REV,0,COLUMN())</f>
        <v/>
      </c>
      <c r="BA29" s="574">
        <f>INDEX(MO_RIS_REV,0,COLUMN())</f>
        <v/>
      </c>
      <c r="BB29" s="574">
        <f>INDEX(MO_RIS_REV,0,COLUMN())</f>
        <v/>
      </c>
      <c r="BC29" s="574">
        <f>INDEX(MO_RIS_REV,0,COLUMN())</f>
        <v/>
      </c>
      <c r="BD29" s="1241">
        <f>INDEX(MO_RIS_REV,0,COLUMN())</f>
        <v/>
      </c>
      <c r="BE29" s="574">
        <f>INDEX(MO_RIS_REV,0,COLUMN())</f>
        <v/>
      </c>
      <c r="BF29" s="574">
        <f>INDEX(MO_RIS_REV,0,COLUMN())</f>
        <v/>
      </c>
      <c r="BG29" s="574">
        <f>INDEX(MO_RIS_REV,0,COLUMN())</f>
        <v/>
      </c>
      <c r="BH29" s="574">
        <f>INDEX(MO_RIS_REV,0,COLUMN())</f>
        <v/>
      </c>
      <c r="BI29" s="1241">
        <f>INDEX(MO_RIS_REV,0,COLUMN())</f>
        <v/>
      </c>
      <c r="BJ29" s="574">
        <f>INDEX(MO_RIS_REV,0,COLUMN())</f>
        <v/>
      </c>
      <c r="BK29" s="574">
        <f>INDEX(MO_RIS_REV,0,COLUMN())</f>
        <v/>
      </c>
      <c r="BL29" s="574">
        <f>INDEX(MO_RIS_REV,0,COLUMN())</f>
        <v/>
      </c>
      <c r="BM29" s="574">
        <f>INDEX(MO_RIS_REV,0,COLUMN())</f>
        <v/>
      </c>
      <c r="BN29" s="1241">
        <f>INDEX(MO_RIS_REV,0,COLUMN())</f>
        <v/>
      </c>
      <c r="BO29" s="574">
        <f>INDEX(MO_RIS_REV,0,COLUMN())</f>
        <v/>
      </c>
      <c r="BP29" s="574">
        <f>INDEX(MO_RIS_REV,0,COLUMN())</f>
        <v/>
      </c>
      <c r="BQ29" s="574">
        <f>INDEX(MO_RIS_REV,0,COLUMN())</f>
        <v/>
      </c>
      <c r="BR29" s="574">
        <f>INDEX(MO_RIS_REV,0,COLUMN())</f>
        <v/>
      </c>
      <c r="BS29" s="1241">
        <f>INDEX(MO_RIS_REV,0,COLUMN())</f>
        <v/>
      </c>
      <c r="BT29" s="574">
        <f>INDEX(MO_RIS_REV,0,COLUMN())</f>
        <v/>
      </c>
      <c r="BU29" s="574">
        <f>INDEX(MO_RIS_REV,0,COLUMN())</f>
        <v/>
      </c>
      <c r="BV29" s="936">
        <f>INDEX(MO_RIS_REV,0,COLUMN())</f>
        <v/>
      </c>
      <c r="BW29" s="574">
        <f>INDEX(MO_RIS_REV,0,COLUMN())</f>
        <v/>
      </c>
      <c r="BX29" s="1241">
        <f>INDEX(MO_RIS_REV,0,COLUMN())</f>
        <v/>
      </c>
      <c r="BY29" s="574">
        <f>INDEX(MO_RIS_REV,0,COLUMN())</f>
        <v/>
      </c>
      <c r="BZ29" s="574">
        <f>INDEX(MO_RIS_REV,0,COLUMN())</f>
        <v/>
      </c>
      <c r="CA29" s="574">
        <f>INDEX(MO_RIS_REV,0,COLUMN())</f>
        <v/>
      </c>
      <c r="CB29" s="574">
        <f>INDEX(MO_RIS_REV,0,COLUMN())</f>
        <v/>
      </c>
      <c r="CC29" s="1241">
        <f>INDEX(MO_RIS_REV,0,COLUMN())</f>
        <v/>
      </c>
      <c r="CD29" s="1241">
        <f>INDEX(MO_RIS_REV,0,COLUMN())</f>
        <v/>
      </c>
      <c r="CE29" s="1241">
        <f>INDEX(MO_RIS_REV,0,COLUMN())</f>
        <v/>
      </c>
      <c r="CF29" s="1241">
        <f>INDEX(MO_RIS_REV,0,COLUMN())</f>
        <v/>
      </c>
      <c r="CG29" s="574" t="n"/>
    </row>
    <row r="30" customFormat="1" s="974">
      <c r="A30" s="676">
        <f>INDEX(MO_RIS_COGS,0,COLUMN())</f>
        <v/>
      </c>
      <c r="B30" s="685" t="n"/>
      <c r="C30" s="1242">
        <f>INDEX(MO_RIS_COGS,0,COLUMN())</f>
        <v/>
      </c>
      <c r="D30" s="1242">
        <f>INDEX(MO_RIS_COGS,0,COLUMN())</f>
        <v/>
      </c>
      <c r="E30" s="1242">
        <f>INDEX(MO_RIS_COGS,0,COLUMN())</f>
        <v/>
      </c>
      <c r="F30" s="1242">
        <f>INDEX(MO_RIS_COGS,0,COLUMN())</f>
        <v/>
      </c>
      <c r="G30" s="678">
        <f>INDEX(MO_RIS_COGS,0,COLUMN())</f>
        <v/>
      </c>
      <c r="H30" s="678">
        <f>INDEX(MO_RIS_COGS,0,COLUMN())</f>
        <v/>
      </c>
      <c r="I30" s="678">
        <f>INDEX(MO_RIS_COGS,0,COLUMN())</f>
        <v/>
      </c>
      <c r="J30" s="678">
        <f>INDEX(MO_RIS_COGS,0,COLUMN())</f>
        <v/>
      </c>
      <c r="K30" s="1242">
        <f>INDEX(MO_RIS_COGS,0,COLUMN())</f>
        <v/>
      </c>
      <c r="L30" s="678">
        <f>INDEX(MO_RIS_COGS,0,COLUMN())</f>
        <v/>
      </c>
      <c r="M30" s="678">
        <f>INDEX(MO_RIS_COGS,0,COLUMN())</f>
        <v/>
      </c>
      <c r="N30" s="678">
        <f>INDEX(MO_RIS_COGS,0,COLUMN())</f>
        <v/>
      </c>
      <c r="O30" s="678">
        <f>INDEX(MO_RIS_COGS,0,COLUMN())</f>
        <v/>
      </c>
      <c r="P30" s="1242">
        <f>INDEX(MO_RIS_COGS,0,COLUMN())</f>
        <v/>
      </c>
      <c r="Q30" s="678">
        <f>INDEX(MO_RIS_COGS,0,COLUMN())</f>
        <v/>
      </c>
      <c r="R30" s="678">
        <f>INDEX(MO_RIS_COGS,0,COLUMN())</f>
        <v/>
      </c>
      <c r="S30" s="678">
        <f>INDEX(MO_RIS_COGS,0,COLUMN())</f>
        <v/>
      </c>
      <c r="T30" s="678">
        <f>INDEX(MO_RIS_COGS,0,COLUMN())</f>
        <v/>
      </c>
      <c r="U30" s="1242">
        <f>INDEX(MO_RIS_COGS,0,COLUMN())</f>
        <v/>
      </c>
      <c r="V30" s="678">
        <f>INDEX(MO_RIS_COGS,0,COLUMN())</f>
        <v/>
      </c>
      <c r="W30" s="678">
        <f>INDEX(MO_RIS_COGS,0,COLUMN())</f>
        <v/>
      </c>
      <c r="X30" s="678">
        <f>INDEX(MO_RIS_COGS,0,COLUMN())</f>
        <v/>
      </c>
      <c r="Y30" s="678">
        <f>INDEX(MO_RIS_COGS,0,COLUMN())</f>
        <v/>
      </c>
      <c r="Z30" s="1242">
        <f>INDEX(MO_RIS_COGS,0,COLUMN())</f>
        <v/>
      </c>
      <c r="AA30" s="678">
        <f>INDEX(MO_RIS_COGS,0,COLUMN())</f>
        <v/>
      </c>
      <c r="AB30" s="678">
        <f>INDEX(MO_RIS_COGS,0,COLUMN())</f>
        <v/>
      </c>
      <c r="AC30" s="678">
        <f>INDEX(MO_RIS_COGS,0,COLUMN())</f>
        <v/>
      </c>
      <c r="AD30" s="678">
        <f>INDEX(MO_RIS_COGS,0,COLUMN())</f>
        <v/>
      </c>
      <c r="AE30" s="1242">
        <f>INDEX(MO_RIS_COGS,0,COLUMN())</f>
        <v/>
      </c>
      <c r="AF30" s="678">
        <f>INDEX(MO_RIS_COGS,0,COLUMN())</f>
        <v/>
      </c>
      <c r="AG30" s="678">
        <f>INDEX(MO_RIS_COGS,0,COLUMN())</f>
        <v/>
      </c>
      <c r="AH30" s="678">
        <f>INDEX(MO_RIS_COGS,0,COLUMN())</f>
        <v/>
      </c>
      <c r="AI30" s="678">
        <f>INDEX(MO_RIS_COGS,0,COLUMN())</f>
        <v/>
      </c>
      <c r="AJ30" s="1242">
        <f>INDEX(MO_RIS_COGS,0,COLUMN())</f>
        <v/>
      </c>
      <c r="AK30" s="678">
        <f>INDEX(MO_RIS_COGS,0,COLUMN())</f>
        <v/>
      </c>
      <c r="AL30" s="678">
        <f>INDEX(MO_RIS_COGS,0,COLUMN())</f>
        <v/>
      </c>
      <c r="AM30" s="678">
        <f>INDEX(MO_RIS_COGS,0,COLUMN())</f>
        <v/>
      </c>
      <c r="AN30" s="678">
        <f>INDEX(MO_RIS_COGS,0,COLUMN())</f>
        <v/>
      </c>
      <c r="AO30" s="1242">
        <f>INDEX(MO_RIS_COGS,0,COLUMN())</f>
        <v/>
      </c>
      <c r="AP30" s="678">
        <f>INDEX(MO_RIS_COGS,0,COLUMN())</f>
        <v/>
      </c>
      <c r="AQ30" s="678">
        <f>INDEX(MO_RIS_COGS,0,COLUMN())</f>
        <v/>
      </c>
      <c r="AR30" s="678">
        <f>INDEX(MO_RIS_COGS,0,COLUMN())</f>
        <v/>
      </c>
      <c r="AS30" s="678">
        <f>INDEX(MO_RIS_COGS,0,COLUMN())</f>
        <v/>
      </c>
      <c r="AT30" s="1242">
        <f>INDEX(MO_RIS_COGS,0,COLUMN())</f>
        <v/>
      </c>
      <c r="AU30" s="678">
        <f>INDEX(MO_RIS_COGS,0,COLUMN())</f>
        <v/>
      </c>
      <c r="AV30" s="678">
        <f>INDEX(MO_RIS_COGS,0,COLUMN())</f>
        <v/>
      </c>
      <c r="AW30" s="678">
        <f>INDEX(MO_RIS_COGS,0,COLUMN())</f>
        <v/>
      </c>
      <c r="AX30" s="678">
        <f>INDEX(MO_RIS_COGS,0,COLUMN())</f>
        <v/>
      </c>
      <c r="AY30" s="1242">
        <f>INDEX(MO_RIS_COGS,0,COLUMN())</f>
        <v/>
      </c>
      <c r="AZ30" s="678">
        <f>INDEX(MO_RIS_COGS,0,COLUMN())</f>
        <v/>
      </c>
      <c r="BA30" s="678">
        <f>INDEX(MO_RIS_COGS,0,COLUMN())</f>
        <v/>
      </c>
      <c r="BB30" s="678">
        <f>INDEX(MO_RIS_COGS,0,COLUMN())</f>
        <v/>
      </c>
      <c r="BC30" s="678">
        <f>INDEX(MO_RIS_COGS,0,COLUMN())</f>
        <v/>
      </c>
      <c r="BD30" s="1242">
        <f>INDEX(MO_RIS_COGS,0,COLUMN())</f>
        <v/>
      </c>
      <c r="BE30" s="678">
        <f>INDEX(MO_RIS_COGS,0,COLUMN())</f>
        <v/>
      </c>
      <c r="BF30" s="678">
        <f>INDEX(MO_RIS_COGS,0,COLUMN())</f>
        <v/>
      </c>
      <c r="BG30" s="678">
        <f>INDEX(MO_RIS_COGS,0,COLUMN())</f>
        <v/>
      </c>
      <c r="BH30" s="678">
        <f>INDEX(MO_RIS_COGS,0,COLUMN())</f>
        <v/>
      </c>
      <c r="BI30" s="1242">
        <f>INDEX(MO_RIS_COGS,0,COLUMN())</f>
        <v/>
      </c>
      <c r="BJ30" s="678">
        <f>INDEX(MO_RIS_COGS,0,COLUMN())</f>
        <v/>
      </c>
      <c r="BK30" s="678">
        <f>INDEX(MO_RIS_COGS,0,COLUMN())</f>
        <v/>
      </c>
      <c r="BL30" s="678">
        <f>INDEX(MO_RIS_COGS,0,COLUMN())</f>
        <v/>
      </c>
      <c r="BM30" s="678">
        <f>INDEX(MO_RIS_COGS,0,COLUMN())</f>
        <v/>
      </c>
      <c r="BN30" s="1242">
        <f>INDEX(MO_RIS_COGS,0,COLUMN())</f>
        <v/>
      </c>
      <c r="BO30" s="678">
        <f>INDEX(MO_RIS_COGS,0,COLUMN())</f>
        <v/>
      </c>
      <c r="BP30" s="678">
        <f>INDEX(MO_RIS_COGS,0,COLUMN())</f>
        <v/>
      </c>
      <c r="BQ30" s="678">
        <f>INDEX(MO_RIS_COGS,0,COLUMN())</f>
        <v/>
      </c>
      <c r="BR30" s="678">
        <f>INDEX(MO_RIS_COGS,0,COLUMN())</f>
        <v/>
      </c>
      <c r="BS30" s="1242">
        <f>INDEX(MO_RIS_COGS,0,COLUMN())</f>
        <v/>
      </c>
      <c r="BT30" s="678">
        <f>INDEX(MO_RIS_COGS,0,COLUMN())</f>
        <v/>
      </c>
      <c r="BU30" s="678">
        <f>INDEX(MO_RIS_COGS,0,COLUMN())</f>
        <v/>
      </c>
      <c r="BV30" s="935">
        <f>INDEX(MO_RIS_COGS,0,COLUMN())</f>
        <v/>
      </c>
      <c r="BW30" s="678">
        <f>INDEX(MO_RIS_COGS,0,COLUMN())</f>
        <v/>
      </c>
      <c r="BX30" s="1242">
        <f>INDEX(MO_RIS_COGS,0,COLUMN())</f>
        <v/>
      </c>
      <c r="BY30" s="678">
        <f>INDEX(MO_RIS_COGS,0,COLUMN())</f>
        <v/>
      </c>
      <c r="BZ30" s="678">
        <f>INDEX(MO_RIS_COGS,0,COLUMN())</f>
        <v/>
      </c>
      <c r="CA30" s="678">
        <f>INDEX(MO_RIS_COGS,0,COLUMN())</f>
        <v/>
      </c>
      <c r="CB30" s="678">
        <f>INDEX(MO_RIS_COGS,0,COLUMN())</f>
        <v/>
      </c>
      <c r="CC30" s="1242">
        <f>INDEX(MO_RIS_COGS,0,COLUMN())</f>
        <v/>
      </c>
      <c r="CD30" s="1242">
        <f>INDEX(MO_RIS_COGS,0,COLUMN())</f>
        <v/>
      </c>
      <c r="CE30" s="1242">
        <f>INDEX(MO_RIS_COGS,0,COLUMN())</f>
        <v/>
      </c>
      <c r="CF30" s="1242">
        <f>INDEX(MO_RIS_COGS,0,COLUMN())</f>
        <v/>
      </c>
      <c r="CG30" s="678" t="n"/>
    </row>
    <row r="31" customFormat="1" s="974">
      <c r="A31" s="676">
        <f>INDEX(MO_RIS_SBC_COGS,0,COLUMN())</f>
        <v/>
      </c>
      <c r="B31" s="685" t="n"/>
      <c r="C31" s="1242">
        <f>INDEX(MO_RIS_SBC_COGS,0,COLUMN())</f>
        <v/>
      </c>
      <c r="D31" s="1242">
        <f>INDEX(MO_RIS_SBC_COGS,0,COLUMN())</f>
        <v/>
      </c>
      <c r="E31" s="1242">
        <f>INDEX(MO_RIS_SBC_COGS,0,COLUMN())</f>
        <v/>
      </c>
      <c r="F31" s="1242">
        <f>INDEX(MO_RIS_SBC_COGS,0,COLUMN())</f>
        <v/>
      </c>
      <c r="G31" s="678">
        <f>INDEX(MO_RIS_SBC_COGS,0,COLUMN())</f>
        <v/>
      </c>
      <c r="H31" s="678">
        <f>INDEX(MO_RIS_SBC_COGS,0,COLUMN())</f>
        <v/>
      </c>
      <c r="I31" s="678">
        <f>INDEX(MO_RIS_SBC_COGS,0,COLUMN())</f>
        <v/>
      </c>
      <c r="J31" s="678">
        <f>INDEX(MO_RIS_SBC_COGS,0,COLUMN())</f>
        <v/>
      </c>
      <c r="K31" s="1242">
        <f>INDEX(MO_RIS_SBC_COGS,0,COLUMN())</f>
        <v/>
      </c>
      <c r="L31" s="678">
        <f>INDEX(MO_RIS_SBC_COGS,0,COLUMN())</f>
        <v/>
      </c>
      <c r="M31" s="678">
        <f>INDEX(MO_RIS_SBC_COGS,0,COLUMN())</f>
        <v/>
      </c>
      <c r="N31" s="678">
        <f>INDEX(MO_RIS_SBC_COGS,0,COLUMN())</f>
        <v/>
      </c>
      <c r="O31" s="678">
        <f>INDEX(MO_RIS_SBC_COGS,0,COLUMN())</f>
        <v/>
      </c>
      <c r="P31" s="1242">
        <f>INDEX(MO_RIS_SBC_COGS,0,COLUMN())</f>
        <v/>
      </c>
      <c r="Q31" s="678">
        <f>INDEX(MO_RIS_SBC_COGS,0,COLUMN())</f>
        <v/>
      </c>
      <c r="R31" s="678">
        <f>INDEX(MO_RIS_SBC_COGS,0,COLUMN())</f>
        <v/>
      </c>
      <c r="S31" s="678">
        <f>INDEX(MO_RIS_SBC_COGS,0,COLUMN())</f>
        <v/>
      </c>
      <c r="T31" s="678">
        <f>INDEX(MO_RIS_SBC_COGS,0,COLUMN())</f>
        <v/>
      </c>
      <c r="U31" s="1242">
        <f>INDEX(MO_RIS_SBC_COGS,0,COLUMN())</f>
        <v/>
      </c>
      <c r="V31" s="678">
        <f>INDEX(MO_RIS_SBC_COGS,0,COLUMN())</f>
        <v/>
      </c>
      <c r="W31" s="678">
        <f>INDEX(MO_RIS_SBC_COGS,0,COLUMN())</f>
        <v/>
      </c>
      <c r="X31" s="678">
        <f>INDEX(MO_RIS_SBC_COGS,0,COLUMN())</f>
        <v/>
      </c>
      <c r="Y31" s="678">
        <f>INDEX(MO_RIS_SBC_COGS,0,COLUMN())</f>
        <v/>
      </c>
      <c r="Z31" s="1242">
        <f>INDEX(MO_RIS_SBC_COGS,0,COLUMN())</f>
        <v/>
      </c>
      <c r="AA31" s="678">
        <f>INDEX(MO_RIS_SBC_COGS,0,COLUMN())</f>
        <v/>
      </c>
      <c r="AB31" s="678">
        <f>INDEX(MO_RIS_SBC_COGS,0,COLUMN())</f>
        <v/>
      </c>
      <c r="AC31" s="678">
        <f>INDEX(MO_RIS_SBC_COGS,0,COLUMN())</f>
        <v/>
      </c>
      <c r="AD31" s="678">
        <f>INDEX(MO_RIS_SBC_COGS,0,COLUMN())</f>
        <v/>
      </c>
      <c r="AE31" s="1242">
        <f>INDEX(MO_RIS_SBC_COGS,0,COLUMN())</f>
        <v/>
      </c>
      <c r="AF31" s="678">
        <f>INDEX(MO_RIS_SBC_COGS,0,COLUMN())</f>
        <v/>
      </c>
      <c r="AG31" s="678">
        <f>INDEX(MO_RIS_SBC_COGS,0,COLUMN())</f>
        <v/>
      </c>
      <c r="AH31" s="678">
        <f>INDEX(MO_RIS_SBC_COGS,0,COLUMN())</f>
        <v/>
      </c>
      <c r="AI31" s="678">
        <f>INDEX(MO_RIS_SBC_COGS,0,COLUMN())</f>
        <v/>
      </c>
      <c r="AJ31" s="1242">
        <f>INDEX(MO_RIS_SBC_COGS,0,COLUMN())</f>
        <v/>
      </c>
      <c r="AK31" s="678">
        <f>INDEX(MO_RIS_SBC_COGS,0,COLUMN())</f>
        <v/>
      </c>
      <c r="AL31" s="678">
        <f>INDEX(MO_RIS_SBC_COGS,0,COLUMN())</f>
        <v/>
      </c>
      <c r="AM31" s="678">
        <f>INDEX(MO_RIS_SBC_COGS,0,COLUMN())</f>
        <v/>
      </c>
      <c r="AN31" s="678">
        <f>INDEX(MO_RIS_SBC_COGS,0,COLUMN())</f>
        <v/>
      </c>
      <c r="AO31" s="1242">
        <f>INDEX(MO_RIS_SBC_COGS,0,COLUMN())</f>
        <v/>
      </c>
      <c r="AP31" s="678">
        <f>INDEX(MO_RIS_SBC_COGS,0,COLUMN())</f>
        <v/>
      </c>
      <c r="AQ31" s="678">
        <f>INDEX(MO_RIS_SBC_COGS,0,COLUMN())</f>
        <v/>
      </c>
      <c r="AR31" s="678">
        <f>INDEX(MO_RIS_SBC_COGS,0,COLUMN())</f>
        <v/>
      </c>
      <c r="AS31" s="678">
        <f>INDEX(MO_RIS_SBC_COGS,0,COLUMN())</f>
        <v/>
      </c>
      <c r="AT31" s="1242">
        <f>INDEX(MO_RIS_SBC_COGS,0,COLUMN())</f>
        <v/>
      </c>
      <c r="AU31" s="678">
        <f>INDEX(MO_RIS_SBC_COGS,0,COLUMN())</f>
        <v/>
      </c>
      <c r="AV31" s="678">
        <f>INDEX(MO_RIS_SBC_COGS,0,COLUMN())</f>
        <v/>
      </c>
      <c r="AW31" s="678">
        <f>INDEX(MO_RIS_SBC_COGS,0,COLUMN())</f>
        <v/>
      </c>
      <c r="AX31" s="678">
        <f>INDEX(MO_RIS_SBC_COGS,0,COLUMN())</f>
        <v/>
      </c>
      <c r="AY31" s="1242">
        <f>INDEX(MO_RIS_SBC_COGS,0,COLUMN())</f>
        <v/>
      </c>
      <c r="AZ31" s="678">
        <f>INDEX(MO_RIS_SBC_COGS,0,COLUMN())</f>
        <v/>
      </c>
      <c r="BA31" s="678">
        <f>INDEX(MO_RIS_SBC_COGS,0,COLUMN())</f>
        <v/>
      </c>
      <c r="BB31" s="678">
        <f>INDEX(MO_RIS_SBC_COGS,0,COLUMN())</f>
        <v/>
      </c>
      <c r="BC31" s="678">
        <f>INDEX(MO_RIS_SBC_COGS,0,COLUMN())</f>
        <v/>
      </c>
      <c r="BD31" s="1242">
        <f>INDEX(MO_RIS_SBC_COGS,0,COLUMN())</f>
        <v/>
      </c>
      <c r="BE31" s="678">
        <f>INDEX(MO_RIS_SBC_COGS,0,COLUMN())</f>
        <v/>
      </c>
      <c r="BF31" s="678">
        <f>INDEX(MO_RIS_SBC_COGS,0,COLUMN())</f>
        <v/>
      </c>
      <c r="BG31" s="678">
        <f>INDEX(MO_RIS_SBC_COGS,0,COLUMN())</f>
        <v/>
      </c>
      <c r="BH31" s="678">
        <f>INDEX(MO_RIS_SBC_COGS,0,COLUMN())</f>
        <v/>
      </c>
      <c r="BI31" s="1242">
        <f>INDEX(MO_RIS_SBC_COGS,0,COLUMN())</f>
        <v/>
      </c>
      <c r="BJ31" s="678">
        <f>INDEX(MO_RIS_SBC_COGS,0,COLUMN())</f>
        <v/>
      </c>
      <c r="BK31" s="678">
        <f>INDEX(MO_RIS_SBC_COGS,0,COLUMN())</f>
        <v/>
      </c>
      <c r="BL31" s="678">
        <f>INDEX(MO_RIS_SBC_COGS,0,COLUMN())</f>
        <v/>
      </c>
      <c r="BM31" s="678">
        <f>INDEX(MO_RIS_SBC_COGS,0,COLUMN())</f>
        <v/>
      </c>
      <c r="BN31" s="1242">
        <f>INDEX(MO_RIS_SBC_COGS,0,COLUMN())</f>
        <v/>
      </c>
      <c r="BO31" s="678">
        <f>INDEX(MO_RIS_SBC_COGS,0,COLUMN())</f>
        <v/>
      </c>
      <c r="BP31" s="678">
        <f>INDEX(MO_RIS_SBC_COGS,0,COLUMN())</f>
        <v/>
      </c>
      <c r="BQ31" s="678">
        <f>INDEX(MO_RIS_SBC_COGS,0,COLUMN())</f>
        <v/>
      </c>
      <c r="BR31" s="678">
        <f>INDEX(MO_RIS_SBC_COGS,0,COLUMN())</f>
        <v/>
      </c>
      <c r="BS31" s="1242">
        <f>INDEX(MO_RIS_SBC_COGS,0,COLUMN())</f>
        <v/>
      </c>
      <c r="BT31" s="678">
        <f>INDEX(MO_RIS_SBC_COGS,0,COLUMN())</f>
        <v/>
      </c>
      <c r="BU31" s="678">
        <f>INDEX(MO_RIS_SBC_COGS,0,COLUMN())</f>
        <v/>
      </c>
      <c r="BV31" s="935">
        <f>INDEX(MO_RIS_SBC_COGS,0,COLUMN())</f>
        <v/>
      </c>
      <c r="BW31" s="678">
        <f>INDEX(MO_RIS_SBC_COGS,0,COLUMN())</f>
        <v/>
      </c>
      <c r="BX31" s="1242">
        <f>INDEX(MO_RIS_SBC_COGS,0,COLUMN())</f>
        <v/>
      </c>
      <c r="BY31" s="678">
        <f>INDEX(MO_RIS_SBC_COGS,0,COLUMN())</f>
        <v/>
      </c>
      <c r="BZ31" s="678">
        <f>INDEX(MO_RIS_SBC_COGS,0,COLUMN())</f>
        <v/>
      </c>
      <c r="CA31" s="678">
        <f>INDEX(MO_RIS_SBC_COGS,0,COLUMN())</f>
        <v/>
      </c>
      <c r="CB31" s="678">
        <f>INDEX(MO_RIS_SBC_COGS,0,COLUMN())</f>
        <v/>
      </c>
      <c r="CC31" s="1242">
        <f>INDEX(MO_RIS_SBC_COGS,0,COLUMN())</f>
        <v/>
      </c>
      <c r="CD31" s="1242">
        <f>INDEX(MO_RIS_SBC_COGS,0,COLUMN())</f>
        <v/>
      </c>
      <c r="CE31" s="1242">
        <f>INDEX(MO_RIS_SBC_COGS,0,COLUMN())</f>
        <v/>
      </c>
      <c r="CF31" s="1242">
        <f>INDEX(MO_RIS_SBC_COGS,0,COLUMN())</f>
        <v/>
      </c>
      <c r="CG31" s="678" t="n"/>
    </row>
    <row r="32" customFormat="1" s="974">
      <c r="A32" s="676">
        <f>INDEX(z_A7FLSL0150_MO_RIS_AcquisitionrelatedcostsCOGS,0,COLUMN())</f>
        <v/>
      </c>
      <c r="B32" s="685" t="n"/>
      <c r="C32" s="1242">
        <f>INDEX(z_A7FLSL0150_MO_RIS_AcquisitionrelatedcostsCOGS,0,COLUMN())</f>
        <v/>
      </c>
      <c r="D32" s="1242">
        <f>INDEX(z_A7FLSL0150_MO_RIS_AcquisitionrelatedcostsCOGS,0,COLUMN())</f>
        <v/>
      </c>
      <c r="E32" s="1242">
        <f>INDEX(z_A7FLSL0150_MO_RIS_AcquisitionrelatedcostsCOGS,0,COLUMN())</f>
        <v/>
      </c>
      <c r="F32" s="1242">
        <f>INDEX(z_A7FLSL0150_MO_RIS_AcquisitionrelatedcostsCOGS,0,COLUMN())</f>
        <v/>
      </c>
      <c r="G32" s="678">
        <f>INDEX(z_A7FLSL0150_MO_RIS_AcquisitionrelatedcostsCOGS,0,COLUMN())</f>
        <v/>
      </c>
      <c r="H32" s="678">
        <f>INDEX(z_A7FLSL0150_MO_RIS_AcquisitionrelatedcostsCOGS,0,COLUMN())</f>
        <v/>
      </c>
      <c r="I32" s="678">
        <f>INDEX(z_A7FLSL0150_MO_RIS_AcquisitionrelatedcostsCOGS,0,COLUMN())</f>
        <v/>
      </c>
      <c r="J32" s="678">
        <f>INDEX(z_A7FLSL0150_MO_RIS_AcquisitionrelatedcostsCOGS,0,COLUMN())</f>
        <v/>
      </c>
      <c r="K32" s="1242">
        <f>INDEX(z_A7FLSL0150_MO_RIS_AcquisitionrelatedcostsCOGS,0,COLUMN())</f>
        <v/>
      </c>
      <c r="L32" s="678">
        <f>INDEX(z_A7FLSL0150_MO_RIS_AcquisitionrelatedcostsCOGS,0,COLUMN())</f>
        <v/>
      </c>
      <c r="M32" s="678">
        <f>INDEX(z_A7FLSL0150_MO_RIS_AcquisitionrelatedcostsCOGS,0,COLUMN())</f>
        <v/>
      </c>
      <c r="N32" s="678">
        <f>INDEX(z_A7FLSL0150_MO_RIS_AcquisitionrelatedcostsCOGS,0,COLUMN())</f>
        <v/>
      </c>
      <c r="O32" s="678">
        <f>INDEX(z_A7FLSL0150_MO_RIS_AcquisitionrelatedcostsCOGS,0,COLUMN())</f>
        <v/>
      </c>
      <c r="P32" s="1242">
        <f>INDEX(z_A7FLSL0150_MO_RIS_AcquisitionrelatedcostsCOGS,0,COLUMN())</f>
        <v/>
      </c>
      <c r="Q32" s="678">
        <f>INDEX(z_A7FLSL0150_MO_RIS_AcquisitionrelatedcostsCOGS,0,COLUMN())</f>
        <v/>
      </c>
      <c r="R32" s="678">
        <f>INDEX(z_A7FLSL0150_MO_RIS_AcquisitionrelatedcostsCOGS,0,COLUMN())</f>
        <v/>
      </c>
      <c r="S32" s="678">
        <f>INDEX(z_A7FLSL0150_MO_RIS_AcquisitionrelatedcostsCOGS,0,COLUMN())</f>
        <v/>
      </c>
      <c r="T32" s="678">
        <f>INDEX(z_A7FLSL0150_MO_RIS_AcquisitionrelatedcostsCOGS,0,COLUMN())</f>
        <v/>
      </c>
      <c r="U32" s="1242">
        <f>INDEX(z_A7FLSL0150_MO_RIS_AcquisitionrelatedcostsCOGS,0,COLUMN())</f>
        <v/>
      </c>
      <c r="V32" s="678">
        <f>INDEX(z_A7FLSL0150_MO_RIS_AcquisitionrelatedcostsCOGS,0,COLUMN())</f>
        <v/>
      </c>
      <c r="W32" s="678">
        <f>INDEX(z_A7FLSL0150_MO_RIS_AcquisitionrelatedcostsCOGS,0,COLUMN())</f>
        <v/>
      </c>
      <c r="X32" s="678">
        <f>INDEX(z_A7FLSL0150_MO_RIS_AcquisitionrelatedcostsCOGS,0,COLUMN())</f>
        <v/>
      </c>
      <c r="Y32" s="678">
        <f>INDEX(z_A7FLSL0150_MO_RIS_AcquisitionrelatedcostsCOGS,0,COLUMN())</f>
        <v/>
      </c>
      <c r="Z32" s="1242">
        <f>INDEX(z_A7FLSL0150_MO_RIS_AcquisitionrelatedcostsCOGS,0,COLUMN())</f>
        <v/>
      </c>
      <c r="AA32" s="678">
        <f>INDEX(z_A7FLSL0150_MO_RIS_AcquisitionrelatedcostsCOGS,0,COLUMN())</f>
        <v/>
      </c>
      <c r="AB32" s="678">
        <f>INDEX(z_A7FLSL0150_MO_RIS_AcquisitionrelatedcostsCOGS,0,COLUMN())</f>
        <v/>
      </c>
      <c r="AC32" s="678">
        <f>INDEX(z_A7FLSL0150_MO_RIS_AcquisitionrelatedcostsCOGS,0,COLUMN())</f>
        <v/>
      </c>
      <c r="AD32" s="678">
        <f>INDEX(z_A7FLSL0150_MO_RIS_AcquisitionrelatedcostsCOGS,0,COLUMN())</f>
        <v/>
      </c>
      <c r="AE32" s="1242">
        <f>INDEX(z_A7FLSL0150_MO_RIS_AcquisitionrelatedcostsCOGS,0,COLUMN())</f>
        <v/>
      </c>
      <c r="AF32" s="678">
        <f>INDEX(z_A7FLSL0150_MO_RIS_AcquisitionrelatedcostsCOGS,0,COLUMN())</f>
        <v/>
      </c>
      <c r="AG32" s="678">
        <f>INDEX(z_A7FLSL0150_MO_RIS_AcquisitionrelatedcostsCOGS,0,COLUMN())</f>
        <v/>
      </c>
      <c r="AH32" s="678">
        <f>INDEX(z_A7FLSL0150_MO_RIS_AcquisitionrelatedcostsCOGS,0,COLUMN())</f>
        <v/>
      </c>
      <c r="AI32" s="678">
        <f>INDEX(z_A7FLSL0150_MO_RIS_AcquisitionrelatedcostsCOGS,0,COLUMN())</f>
        <v/>
      </c>
      <c r="AJ32" s="1242">
        <f>INDEX(z_A7FLSL0150_MO_RIS_AcquisitionrelatedcostsCOGS,0,COLUMN())</f>
        <v/>
      </c>
      <c r="AK32" s="678">
        <f>INDEX(z_A7FLSL0150_MO_RIS_AcquisitionrelatedcostsCOGS,0,COLUMN())</f>
        <v/>
      </c>
      <c r="AL32" s="678">
        <f>INDEX(z_A7FLSL0150_MO_RIS_AcquisitionrelatedcostsCOGS,0,COLUMN())</f>
        <v/>
      </c>
      <c r="AM32" s="678">
        <f>INDEX(z_A7FLSL0150_MO_RIS_AcquisitionrelatedcostsCOGS,0,COLUMN())</f>
        <v/>
      </c>
      <c r="AN32" s="678">
        <f>INDEX(z_A7FLSL0150_MO_RIS_AcquisitionrelatedcostsCOGS,0,COLUMN())</f>
        <v/>
      </c>
      <c r="AO32" s="1242">
        <f>INDEX(z_A7FLSL0150_MO_RIS_AcquisitionrelatedcostsCOGS,0,COLUMN())</f>
        <v/>
      </c>
      <c r="AP32" s="678">
        <f>INDEX(z_A7FLSL0150_MO_RIS_AcquisitionrelatedcostsCOGS,0,COLUMN())</f>
        <v/>
      </c>
      <c r="AQ32" s="678">
        <f>INDEX(z_A7FLSL0150_MO_RIS_AcquisitionrelatedcostsCOGS,0,COLUMN())</f>
        <v/>
      </c>
      <c r="AR32" s="678">
        <f>INDEX(z_A7FLSL0150_MO_RIS_AcquisitionrelatedcostsCOGS,0,COLUMN())</f>
        <v/>
      </c>
      <c r="AS32" s="678">
        <f>INDEX(z_A7FLSL0150_MO_RIS_AcquisitionrelatedcostsCOGS,0,COLUMN())</f>
        <v/>
      </c>
      <c r="AT32" s="1242">
        <f>INDEX(z_A7FLSL0150_MO_RIS_AcquisitionrelatedcostsCOGS,0,COLUMN())</f>
        <v/>
      </c>
      <c r="AU32" s="678">
        <f>INDEX(z_A7FLSL0150_MO_RIS_AcquisitionrelatedcostsCOGS,0,COLUMN())</f>
        <v/>
      </c>
      <c r="AV32" s="678">
        <f>INDEX(z_A7FLSL0150_MO_RIS_AcquisitionrelatedcostsCOGS,0,COLUMN())</f>
        <v/>
      </c>
      <c r="AW32" s="678">
        <f>INDEX(z_A7FLSL0150_MO_RIS_AcquisitionrelatedcostsCOGS,0,COLUMN())</f>
        <v/>
      </c>
      <c r="AX32" s="678">
        <f>INDEX(z_A7FLSL0150_MO_RIS_AcquisitionrelatedcostsCOGS,0,COLUMN())</f>
        <v/>
      </c>
      <c r="AY32" s="1242">
        <f>INDEX(z_A7FLSL0150_MO_RIS_AcquisitionrelatedcostsCOGS,0,COLUMN())</f>
        <v/>
      </c>
      <c r="AZ32" s="678">
        <f>INDEX(z_A7FLSL0150_MO_RIS_AcquisitionrelatedcostsCOGS,0,COLUMN())</f>
        <v/>
      </c>
      <c r="BA32" s="678">
        <f>INDEX(z_A7FLSL0150_MO_RIS_AcquisitionrelatedcostsCOGS,0,COLUMN())</f>
        <v/>
      </c>
      <c r="BB32" s="678">
        <f>INDEX(z_A7FLSL0150_MO_RIS_AcquisitionrelatedcostsCOGS,0,COLUMN())</f>
        <v/>
      </c>
      <c r="BC32" s="678">
        <f>INDEX(z_A7FLSL0150_MO_RIS_AcquisitionrelatedcostsCOGS,0,COLUMN())</f>
        <v/>
      </c>
      <c r="BD32" s="1242">
        <f>INDEX(z_A7FLSL0150_MO_RIS_AcquisitionrelatedcostsCOGS,0,COLUMN())</f>
        <v/>
      </c>
      <c r="BE32" s="678">
        <f>INDEX(z_A7FLSL0150_MO_RIS_AcquisitionrelatedcostsCOGS,0,COLUMN())</f>
        <v/>
      </c>
      <c r="BF32" s="678">
        <f>INDEX(z_A7FLSL0150_MO_RIS_AcquisitionrelatedcostsCOGS,0,COLUMN())</f>
        <v/>
      </c>
      <c r="BG32" s="678">
        <f>INDEX(z_A7FLSL0150_MO_RIS_AcquisitionrelatedcostsCOGS,0,COLUMN())</f>
        <v/>
      </c>
      <c r="BH32" s="678">
        <f>INDEX(z_A7FLSL0150_MO_RIS_AcquisitionrelatedcostsCOGS,0,COLUMN())</f>
        <v/>
      </c>
      <c r="BI32" s="1242">
        <f>INDEX(z_A7FLSL0150_MO_RIS_AcquisitionrelatedcostsCOGS,0,COLUMN())</f>
        <v/>
      </c>
      <c r="BJ32" s="678">
        <f>INDEX(z_A7FLSL0150_MO_RIS_AcquisitionrelatedcostsCOGS,0,COLUMN())</f>
        <v/>
      </c>
      <c r="BK32" s="678">
        <f>INDEX(z_A7FLSL0150_MO_RIS_AcquisitionrelatedcostsCOGS,0,COLUMN())</f>
        <v/>
      </c>
      <c r="BL32" s="678">
        <f>INDEX(z_A7FLSL0150_MO_RIS_AcquisitionrelatedcostsCOGS,0,COLUMN())</f>
        <v/>
      </c>
      <c r="BM32" s="678">
        <f>INDEX(z_A7FLSL0150_MO_RIS_AcquisitionrelatedcostsCOGS,0,COLUMN())</f>
        <v/>
      </c>
      <c r="BN32" s="1242">
        <f>INDEX(z_A7FLSL0150_MO_RIS_AcquisitionrelatedcostsCOGS,0,COLUMN())</f>
        <v/>
      </c>
      <c r="BO32" s="678">
        <f>INDEX(z_A7FLSL0150_MO_RIS_AcquisitionrelatedcostsCOGS,0,COLUMN())</f>
        <v/>
      </c>
      <c r="BP32" s="678">
        <f>INDEX(z_A7FLSL0150_MO_RIS_AcquisitionrelatedcostsCOGS,0,COLUMN())</f>
        <v/>
      </c>
      <c r="BQ32" s="678">
        <f>INDEX(z_A7FLSL0150_MO_RIS_AcquisitionrelatedcostsCOGS,0,COLUMN())</f>
        <v/>
      </c>
      <c r="BR32" s="678">
        <f>INDEX(z_A7FLSL0150_MO_RIS_AcquisitionrelatedcostsCOGS,0,COLUMN())</f>
        <v/>
      </c>
      <c r="BS32" s="1242">
        <f>INDEX(z_A7FLSL0150_MO_RIS_AcquisitionrelatedcostsCOGS,0,COLUMN())</f>
        <v/>
      </c>
      <c r="BT32" s="678">
        <f>INDEX(z_A7FLSL0150_MO_RIS_AcquisitionrelatedcostsCOGS,0,COLUMN())</f>
        <v/>
      </c>
      <c r="BU32" s="678">
        <f>INDEX(z_A7FLSL0150_MO_RIS_AcquisitionrelatedcostsCOGS,0,COLUMN())</f>
        <v/>
      </c>
      <c r="BV32" s="935">
        <f>INDEX(z_A7FLSL0150_MO_RIS_AcquisitionrelatedcostsCOGS,0,COLUMN())</f>
        <v/>
      </c>
      <c r="BW32" s="678">
        <f>INDEX(z_A7FLSL0150_MO_RIS_AcquisitionrelatedcostsCOGS,0,COLUMN())</f>
        <v/>
      </c>
      <c r="BX32" s="1242">
        <f>INDEX(z_A7FLSL0150_MO_RIS_AcquisitionrelatedcostsCOGS,0,COLUMN())</f>
        <v/>
      </c>
      <c r="BY32" s="678">
        <f>INDEX(z_A7FLSL0150_MO_RIS_AcquisitionrelatedcostsCOGS,0,COLUMN())</f>
        <v/>
      </c>
      <c r="BZ32" s="678">
        <f>INDEX(z_A7FLSL0150_MO_RIS_AcquisitionrelatedcostsCOGS,0,COLUMN())</f>
        <v/>
      </c>
      <c r="CA32" s="678">
        <f>INDEX(z_A7FLSL0150_MO_RIS_AcquisitionrelatedcostsCOGS,0,COLUMN())</f>
        <v/>
      </c>
      <c r="CB32" s="678">
        <f>INDEX(z_A7FLSL0150_MO_RIS_AcquisitionrelatedcostsCOGS,0,COLUMN())</f>
        <v/>
      </c>
      <c r="CC32" s="1242">
        <f>INDEX(z_A7FLSL0150_MO_RIS_AcquisitionrelatedcostsCOGS,0,COLUMN())</f>
        <v/>
      </c>
      <c r="CD32" s="1242">
        <f>INDEX(z_A7FLSL0150_MO_RIS_AcquisitionrelatedcostsCOGS,0,COLUMN())</f>
        <v/>
      </c>
      <c r="CE32" s="1242">
        <f>INDEX(z_A7FLSL0150_MO_RIS_AcquisitionrelatedcostsCOGS,0,COLUMN())</f>
        <v/>
      </c>
      <c r="CF32" s="1242">
        <f>INDEX(z_A7FLSL0150_MO_RIS_AcquisitionrelatedcostsCOGS,0,COLUMN())</f>
        <v/>
      </c>
      <c r="CG32" s="678" t="n"/>
    </row>
    <row r="33" customFormat="1" s="974">
      <c r="A33" s="676">
        <f>INDEX(MO_RIS_COGS_Adjustments,0,COLUMN())</f>
        <v/>
      </c>
      <c r="B33" s="685" t="n"/>
      <c r="C33" s="1242">
        <f>INDEX(MO_RIS_COGS_Adjustments,0,COLUMN())</f>
        <v/>
      </c>
      <c r="D33" s="1242">
        <f>INDEX(MO_RIS_COGS_Adjustments,0,COLUMN())</f>
        <v/>
      </c>
      <c r="E33" s="1242">
        <f>INDEX(MO_RIS_COGS_Adjustments,0,COLUMN())</f>
        <v/>
      </c>
      <c r="F33" s="1242">
        <f>INDEX(MO_RIS_COGS_Adjustments,0,COLUMN())</f>
        <v/>
      </c>
      <c r="G33" s="678">
        <f>INDEX(MO_RIS_COGS_Adjustments,0,COLUMN())</f>
        <v/>
      </c>
      <c r="H33" s="678">
        <f>INDEX(MO_RIS_COGS_Adjustments,0,COLUMN())</f>
        <v/>
      </c>
      <c r="I33" s="678">
        <f>INDEX(MO_RIS_COGS_Adjustments,0,COLUMN())</f>
        <v/>
      </c>
      <c r="J33" s="678">
        <f>INDEX(MO_RIS_COGS_Adjustments,0,COLUMN())</f>
        <v/>
      </c>
      <c r="K33" s="1242">
        <f>INDEX(MO_RIS_COGS_Adjustments,0,COLUMN())</f>
        <v/>
      </c>
      <c r="L33" s="678">
        <f>INDEX(MO_RIS_COGS_Adjustments,0,COLUMN())</f>
        <v/>
      </c>
      <c r="M33" s="678">
        <f>INDEX(MO_RIS_COGS_Adjustments,0,COLUMN())</f>
        <v/>
      </c>
      <c r="N33" s="678">
        <f>INDEX(MO_RIS_COGS_Adjustments,0,COLUMN())</f>
        <v/>
      </c>
      <c r="O33" s="678">
        <f>INDEX(MO_RIS_COGS_Adjustments,0,COLUMN())</f>
        <v/>
      </c>
      <c r="P33" s="1242">
        <f>INDEX(MO_RIS_COGS_Adjustments,0,COLUMN())</f>
        <v/>
      </c>
      <c r="Q33" s="678">
        <f>INDEX(MO_RIS_COGS_Adjustments,0,COLUMN())</f>
        <v/>
      </c>
      <c r="R33" s="678">
        <f>INDEX(MO_RIS_COGS_Adjustments,0,COLUMN())</f>
        <v/>
      </c>
      <c r="S33" s="678">
        <f>INDEX(MO_RIS_COGS_Adjustments,0,COLUMN())</f>
        <v/>
      </c>
      <c r="T33" s="678">
        <f>INDEX(MO_RIS_COGS_Adjustments,0,COLUMN())</f>
        <v/>
      </c>
      <c r="U33" s="1242">
        <f>INDEX(MO_RIS_COGS_Adjustments,0,COLUMN())</f>
        <v/>
      </c>
      <c r="V33" s="678">
        <f>INDEX(MO_RIS_COGS_Adjustments,0,COLUMN())</f>
        <v/>
      </c>
      <c r="W33" s="678">
        <f>INDEX(MO_RIS_COGS_Adjustments,0,COLUMN())</f>
        <v/>
      </c>
      <c r="X33" s="678">
        <f>INDEX(MO_RIS_COGS_Adjustments,0,COLUMN())</f>
        <v/>
      </c>
      <c r="Y33" s="678">
        <f>INDEX(MO_RIS_COGS_Adjustments,0,COLUMN())</f>
        <v/>
      </c>
      <c r="Z33" s="1242">
        <f>INDEX(MO_RIS_COGS_Adjustments,0,COLUMN())</f>
        <v/>
      </c>
      <c r="AA33" s="678">
        <f>INDEX(MO_RIS_COGS_Adjustments,0,COLUMN())</f>
        <v/>
      </c>
      <c r="AB33" s="678">
        <f>INDEX(MO_RIS_COGS_Adjustments,0,COLUMN())</f>
        <v/>
      </c>
      <c r="AC33" s="678">
        <f>INDEX(MO_RIS_COGS_Adjustments,0,COLUMN())</f>
        <v/>
      </c>
      <c r="AD33" s="678">
        <f>INDEX(MO_RIS_COGS_Adjustments,0,COLUMN())</f>
        <v/>
      </c>
      <c r="AE33" s="1242">
        <f>INDEX(MO_RIS_COGS_Adjustments,0,COLUMN())</f>
        <v/>
      </c>
      <c r="AF33" s="678">
        <f>INDEX(MO_RIS_COGS_Adjustments,0,COLUMN())</f>
        <v/>
      </c>
      <c r="AG33" s="678">
        <f>INDEX(MO_RIS_COGS_Adjustments,0,COLUMN())</f>
        <v/>
      </c>
      <c r="AH33" s="678">
        <f>INDEX(MO_RIS_COGS_Adjustments,0,COLUMN())</f>
        <v/>
      </c>
      <c r="AI33" s="678">
        <f>INDEX(MO_RIS_COGS_Adjustments,0,COLUMN())</f>
        <v/>
      </c>
      <c r="AJ33" s="1242">
        <f>INDEX(MO_RIS_COGS_Adjustments,0,COLUMN())</f>
        <v/>
      </c>
      <c r="AK33" s="678">
        <f>INDEX(MO_RIS_COGS_Adjustments,0,COLUMN())</f>
        <v/>
      </c>
      <c r="AL33" s="678">
        <f>INDEX(MO_RIS_COGS_Adjustments,0,COLUMN())</f>
        <v/>
      </c>
      <c r="AM33" s="678">
        <f>INDEX(MO_RIS_COGS_Adjustments,0,COLUMN())</f>
        <v/>
      </c>
      <c r="AN33" s="678">
        <f>INDEX(MO_RIS_COGS_Adjustments,0,COLUMN())</f>
        <v/>
      </c>
      <c r="AO33" s="1242">
        <f>INDEX(MO_RIS_COGS_Adjustments,0,COLUMN())</f>
        <v/>
      </c>
      <c r="AP33" s="678">
        <f>INDEX(MO_RIS_COGS_Adjustments,0,COLUMN())</f>
        <v/>
      </c>
      <c r="AQ33" s="678">
        <f>INDEX(MO_RIS_COGS_Adjustments,0,COLUMN())</f>
        <v/>
      </c>
      <c r="AR33" s="678">
        <f>INDEX(MO_RIS_COGS_Adjustments,0,COLUMN())</f>
        <v/>
      </c>
      <c r="AS33" s="678">
        <f>INDEX(MO_RIS_COGS_Adjustments,0,COLUMN())</f>
        <v/>
      </c>
      <c r="AT33" s="1242">
        <f>INDEX(MO_RIS_COGS_Adjustments,0,COLUMN())</f>
        <v/>
      </c>
      <c r="AU33" s="678">
        <f>INDEX(MO_RIS_COGS_Adjustments,0,COLUMN())</f>
        <v/>
      </c>
      <c r="AV33" s="678">
        <f>INDEX(MO_RIS_COGS_Adjustments,0,COLUMN())</f>
        <v/>
      </c>
      <c r="AW33" s="678">
        <f>INDEX(MO_RIS_COGS_Adjustments,0,COLUMN())</f>
        <v/>
      </c>
      <c r="AX33" s="678">
        <f>INDEX(MO_RIS_COGS_Adjustments,0,COLUMN())</f>
        <v/>
      </c>
      <c r="AY33" s="1242">
        <f>INDEX(MO_RIS_COGS_Adjustments,0,COLUMN())</f>
        <v/>
      </c>
      <c r="AZ33" s="678">
        <f>INDEX(MO_RIS_COGS_Adjustments,0,COLUMN())</f>
        <v/>
      </c>
      <c r="BA33" s="678">
        <f>INDEX(MO_RIS_COGS_Adjustments,0,COLUMN())</f>
        <v/>
      </c>
      <c r="BB33" s="678">
        <f>INDEX(MO_RIS_COGS_Adjustments,0,COLUMN())</f>
        <v/>
      </c>
      <c r="BC33" s="678">
        <f>INDEX(MO_RIS_COGS_Adjustments,0,COLUMN())</f>
        <v/>
      </c>
      <c r="BD33" s="1242">
        <f>INDEX(MO_RIS_COGS_Adjustments,0,COLUMN())</f>
        <v/>
      </c>
      <c r="BE33" s="678">
        <f>INDEX(MO_RIS_COGS_Adjustments,0,COLUMN())</f>
        <v/>
      </c>
      <c r="BF33" s="678">
        <f>INDEX(MO_RIS_COGS_Adjustments,0,COLUMN())</f>
        <v/>
      </c>
      <c r="BG33" s="678">
        <f>INDEX(MO_RIS_COGS_Adjustments,0,COLUMN())</f>
        <v/>
      </c>
      <c r="BH33" s="678">
        <f>INDEX(MO_RIS_COGS_Adjustments,0,COLUMN())</f>
        <v/>
      </c>
      <c r="BI33" s="1242">
        <f>INDEX(MO_RIS_COGS_Adjustments,0,COLUMN())</f>
        <v/>
      </c>
      <c r="BJ33" s="678">
        <f>INDEX(MO_RIS_COGS_Adjustments,0,COLUMN())</f>
        <v/>
      </c>
      <c r="BK33" s="678">
        <f>INDEX(MO_RIS_COGS_Adjustments,0,COLUMN())</f>
        <v/>
      </c>
      <c r="BL33" s="678">
        <f>INDEX(MO_RIS_COGS_Adjustments,0,COLUMN())</f>
        <v/>
      </c>
      <c r="BM33" s="678">
        <f>INDEX(MO_RIS_COGS_Adjustments,0,COLUMN())</f>
        <v/>
      </c>
      <c r="BN33" s="1242">
        <f>INDEX(MO_RIS_COGS_Adjustments,0,COLUMN())</f>
        <v/>
      </c>
      <c r="BO33" s="678">
        <f>INDEX(MO_RIS_COGS_Adjustments,0,COLUMN())</f>
        <v/>
      </c>
      <c r="BP33" s="678">
        <f>INDEX(MO_RIS_COGS_Adjustments,0,COLUMN())</f>
        <v/>
      </c>
      <c r="BQ33" s="678">
        <f>INDEX(MO_RIS_COGS_Adjustments,0,COLUMN())</f>
        <v/>
      </c>
      <c r="BR33" s="678">
        <f>INDEX(MO_RIS_COGS_Adjustments,0,COLUMN())</f>
        <v/>
      </c>
      <c r="BS33" s="1242">
        <f>INDEX(MO_RIS_COGS_Adjustments,0,COLUMN())</f>
        <v/>
      </c>
      <c r="BT33" s="678">
        <f>INDEX(MO_RIS_COGS_Adjustments,0,COLUMN())</f>
        <v/>
      </c>
      <c r="BU33" s="678">
        <f>INDEX(MO_RIS_COGS_Adjustments,0,COLUMN())</f>
        <v/>
      </c>
      <c r="BV33" s="935">
        <f>INDEX(MO_RIS_COGS_Adjustments,0,COLUMN())</f>
        <v/>
      </c>
      <c r="BW33" s="678">
        <f>INDEX(MO_RIS_COGS_Adjustments,0,COLUMN())</f>
        <v/>
      </c>
      <c r="BX33" s="1242">
        <f>INDEX(MO_RIS_COGS_Adjustments,0,COLUMN())</f>
        <v/>
      </c>
      <c r="BY33" s="678">
        <f>INDEX(MO_RIS_COGS_Adjustments,0,COLUMN())</f>
        <v/>
      </c>
      <c r="BZ33" s="678">
        <f>INDEX(MO_RIS_COGS_Adjustments,0,COLUMN())</f>
        <v/>
      </c>
      <c r="CA33" s="678">
        <f>INDEX(MO_RIS_COGS_Adjustments,0,COLUMN())</f>
        <v/>
      </c>
      <c r="CB33" s="678">
        <f>INDEX(MO_RIS_COGS_Adjustments,0,COLUMN())</f>
        <v/>
      </c>
      <c r="CC33" s="1242">
        <f>INDEX(MO_RIS_COGS_Adjustments,0,COLUMN())</f>
        <v/>
      </c>
      <c r="CD33" s="1242">
        <f>INDEX(MO_RIS_COGS_Adjustments,0,COLUMN())</f>
        <v/>
      </c>
      <c r="CE33" s="1242">
        <f>INDEX(MO_RIS_COGS_Adjustments,0,COLUMN())</f>
        <v/>
      </c>
      <c r="CF33" s="1242">
        <f>INDEX(MO_RIS_COGS_Adjustments,0,COLUMN())</f>
        <v/>
      </c>
      <c r="CG33" s="678" t="n"/>
    </row>
    <row r="34" customFormat="1" s="974">
      <c r="A34" s="676">
        <f>INDEX(MO_RIS_RD_NONGAAP,0,COLUMN())</f>
        <v/>
      </c>
      <c r="B34" s="685" t="n"/>
      <c r="C34" s="1242">
        <f>INDEX(MO_RIS_RD_NONGAAP,0,COLUMN())</f>
        <v/>
      </c>
      <c r="D34" s="1242">
        <f>INDEX(MO_RIS_RD_NONGAAP,0,COLUMN())</f>
        <v/>
      </c>
      <c r="E34" s="1242">
        <f>INDEX(MO_RIS_RD_NONGAAP,0,COLUMN())</f>
        <v/>
      </c>
      <c r="F34" s="1242">
        <f>INDEX(MO_RIS_RD_NONGAAP,0,COLUMN())</f>
        <v/>
      </c>
      <c r="G34" s="678">
        <f>INDEX(MO_RIS_RD_NONGAAP,0,COLUMN())</f>
        <v/>
      </c>
      <c r="H34" s="678">
        <f>INDEX(MO_RIS_RD_NONGAAP,0,COLUMN())</f>
        <v/>
      </c>
      <c r="I34" s="678">
        <f>INDEX(MO_RIS_RD_NONGAAP,0,COLUMN())</f>
        <v/>
      </c>
      <c r="J34" s="678">
        <f>INDEX(MO_RIS_RD_NONGAAP,0,COLUMN())</f>
        <v/>
      </c>
      <c r="K34" s="1242">
        <f>INDEX(MO_RIS_RD_NONGAAP,0,COLUMN())</f>
        <v/>
      </c>
      <c r="L34" s="678">
        <f>INDEX(MO_RIS_RD_NONGAAP,0,COLUMN())</f>
        <v/>
      </c>
      <c r="M34" s="678">
        <f>INDEX(MO_RIS_RD_NONGAAP,0,COLUMN())</f>
        <v/>
      </c>
      <c r="N34" s="678">
        <f>INDEX(MO_RIS_RD_NONGAAP,0,COLUMN())</f>
        <v/>
      </c>
      <c r="O34" s="678">
        <f>INDEX(MO_RIS_RD_NONGAAP,0,COLUMN())</f>
        <v/>
      </c>
      <c r="P34" s="1242">
        <f>INDEX(MO_RIS_RD_NONGAAP,0,COLUMN())</f>
        <v/>
      </c>
      <c r="Q34" s="678">
        <f>INDEX(MO_RIS_RD_NONGAAP,0,COLUMN())</f>
        <v/>
      </c>
      <c r="R34" s="678">
        <f>INDEX(MO_RIS_RD_NONGAAP,0,COLUMN())</f>
        <v/>
      </c>
      <c r="S34" s="678">
        <f>INDEX(MO_RIS_RD_NONGAAP,0,COLUMN())</f>
        <v/>
      </c>
      <c r="T34" s="678">
        <f>INDEX(MO_RIS_RD_NONGAAP,0,COLUMN())</f>
        <v/>
      </c>
      <c r="U34" s="1242">
        <f>INDEX(MO_RIS_RD_NONGAAP,0,COLUMN())</f>
        <v/>
      </c>
      <c r="V34" s="678">
        <f>INDEX(MO_RIS_RD_NONGAAP,0,COLUMN())</f>
        <v/>
      </c>
      <c r="W34" s="678">
        <f>INDEX(MO_RIS_RD_NONGAAP,0,COLUMN())</f>
        <v/>
      </c>
      <c r="X34" s="678">
        <f>INDEX(MO_RIS_RD_NONGAAP,0,COLUMN())</f>
        <v/>
      </c>
      <c r="Y34" s="678">
        <f>INDEX(MO_RIS_RD_NONGAAP,0,COLUMN())</f>
        <v/>
      </c>
      <c r="Z34" s="1242">
        <f>INDEX(MO_RIS_RD_NONGAAP,0,COLUMN())</f>
        <v/>
      </c>
      <c r="AA34" s="678">
        <f>INDEX(MO_RIS_RD_NONGAAP,0,COLUMN())</f>
        <v/>
      </c>
      <c r="AB34" s="678">
        <f>INDEX(MO_RIS_RD_NONGAAP,0,COLUMN())</f>
        <v/>
      </c>
      <c r="AC34" s="678">
        <f>INDEX(MO_RIS_RD_NONGAAP,0,COLUMN())</f>
        <v/>
      </c>
      <c r="AD34" s="678">
        <f>INDEX(MO_RIS_RD_NONGAAP,0,COLUMN())</f>
        <v/>
      </c>
      <c r="AE34" s="1242">
        <f>INDEX(MO_RIS_RD_NONGAAP,0,COLUMN())</f>
        <v/>
      </c>
      <c r="AF34" s="678">
        <f>INDEX(MO_RIS_RD_NONGAAP,0,COLUMN())</f>
        <v/>
      </c>
      <c r="AG34" s="678">
        <f>INDEX(MO_RIS_RD_NONGAAP,0,COLUMN())</f>
        <v/>
      </c>
      <c r="AH34" s="678">
        <f>INDEX(MO_RIS_RD_NONGAAP,0,COLUMN())</f>
        <v/>
      </c>
      <c r="AI34" s="678">
        <f>INDEX(MO_RIS_RD_NONGAAP,0,COLUMN())</f>
        <v/>
      </c>
      <c r="AJ34" s="1242">
        <f>INDEX(MO_RIS_RD_NONGAAP,0,COLUMN())</f>
        <v/>
      </c>
      <c r="AK34" s="678">
        <f>INDEX(MO_RIS_RD_NONGAAP,0,COLUMN())</f>
        <v/>
      </c>
      <c r="AL34" s="678">
        <f>INDEX(MO_RIS_RD_NONGAAP,0,COLUMN())</f>
        <v/>
      </c>
      <c r="AM34" s="678">
        <f>INDEX(MO_RIS_RD_NONGAAP,0,COLUMN())</f>
        <v/>
      </c>
      <c r="AN34" s="678">
        <f>INDEX(MO_RIS_RD_NONGAAP,0,COLUMN())</f>
        <v/>
      </c>
      <c r="AO34" s="1242">
        <f>INDEX(MO_RIS_RD_NONGAAP,0,COLUMN())</f>
        <v/>
      </c>
      <c r="AP34" s="678">
        <f>INDEX(MO_RIS_RD_NONGAAP,0,COLUMN())</f>
        <v/>
      </c>
      <c r="AQ34" s="678">
        <f>INDEX(MO_RIS_RD_NONGAAP,0,COLUMN())</f>
        <v/>
      </c>
      <c r="AR34" s="678">
        <f>INDEX(MO_RIS_RD_NONGAAP,0,COLUMN())</f>
        <v/>
      </c>
      <c r="AS34" s="678">
        <f>INDEX(MO_RIS_RD_NONGAAP,0,COLUMN())</f>
        <v/>
      </c>
      <c r="AT34" s="1242">
        <f>INDEX(MO_RIS_RD_NONGAAP,0,COLUMN())</f>
        <v/>
      </c>
      <c r="AU34" s="678">
        <f>INDEX(MO_RIS_RD_NONGAAP,0,COLUMN())</f>
        <v/>
      </c>
      <c r="AV34" s="678">
        <f>INDEX(MO_RIS_RD_NONGAAP,0,COLUMN())</f>
        <v/>
      </c>
      <c r="AW34" s="678">
        <f>INDEX(MO_RIS_RD_NONGAAP,0,COLUMN())</f>
        <v/>
      </c>
      <c r="AX34" s="678">
        <f>INDEX(MO_RIS_RD_NONGAAP,0,COLUMN())</f>
        <v/>
      </c>
      <c r="AY34" s="1242">
        <f>INDEX(MO_RIS_RD_NONGAAP,0,COLUMN())</f>
        <v/>
      </c>
      <c r="AZ34" s="678">
        <f>INDEX(MO_RIS_RD_NONGAAP,0,COLUMN())</f>
        <v/>
      </c>
      <c r="BA34" s="678">
        <f>INDEX(MO_RIS_RD_NONGAAP,0,COLUMN())</f>
        <v/>
      </c>
      <c r="BB34" s="678">
        <f>INDEX(MO_RIS_RD_NONGAAP,0,COLUMN())</f>
        <v/>
      </c>
      <c r="BC34" s="678">
        <f>INDEX(MO_RIS_RD_NONGAAP,0,COLUMN())</f>
        <v/>
      </c>
      <c r="BD34" s="1242">
        <f>INDEX(MO_RIS_RD_NONGAAP,0,COLUMN())</f>
        <v/>
      </c>
      <c r="BE34" s="678">
        <f>INDEX(MO_RIS_RD_NONGAAP,0,COLUMN())</f>
        <v/>
      </c>
      <c r="BF34" s="678">
        <f>INDEX(MO_RIS_RD_NONGAAP,0,COLUMN())</f>
        <v/>
      </c>
      <c r="BG34" s="678">
        <f>INDEX(MO_RIS_RD_NONGAAP,0,COLUMN())</f>
        <v/>
      </c>
      <c r="BH34" s="678">
        <f>INDEX(MO_RIS_RD_NONGAAP,0,COLUMN())</f>
        <v/>
      </c>
      <c r="BI34" s="1242">
        <f>INDEX(MO_RIS_RD_NONGAAP,0,COLUMN())</f>
        <v/>
      </c>
      <c r="BJ34" s="678">
        <f>INDEX(MO_RIS_RD_NONGAAP,0,COLUMN())</f>
        <v/>
      </c>
      <c r="BK34" s="678">
        <f>INDEX(MO_RIS_RD_NONGAAP,0,COLUMN())</f>
        <v/>
      </c>
      <c r="BL34" s="678">
        <f>INDEX(MO_RIS_RD_NONGAAP,0,COLUMN())</f>
        <v/>
      </c>
      <c r="BM34" s="678">
        <f>INDEX(MO_RIS_RD_NONGAAP,0,COLUMN())</f>
        <v/>
      </c>
      <c r="BN34" s="1242">
        <f>INDEX(MO_RIS_RD_NONGAAP,0,COLUMN())</f>
        <v/>
      </c>
      <c r="BO34" s="678">
        <f>INDEX(MO_RIS_RD_NONGAAP,0,COLUMN())</f>
        <v/>
      </c>
      <c r="BP34" s="678">
        <f>INDEX(MO_RIS_RD_NONGAAP,0,COLUMN())</f>
        <v/>
      </c>
      <c r="BQ34" s="678">
        <f>INDEX(MO_RIS_RD_NONGAAP,0,COLUMN())</f>
        <v/>
      </c>
      <c r="BR34" s="678">
        <f>INDEX(MO_RIS_RD_NONGAAP,0,COLUMN())</f>
        <v/>
      </c>
      <c r="BS34" s="1242">
        <f>INDEX(MO_RIS_RD_NONGAAP,0,COLUMN())</f>
        <v/>
      </c>
      <c r="BT34" s="678">
        <f>INDEX(MO_RIS_RD_NONGAAP,0,COLUMN())</f>
        <v/>
      </c>
      <c r="BU34" s="678">
        <f>INDEX(MO_RIS_RD_NONGAAP,0,COLUMN())</f>
        <v/>
      </c>
      <c r="BV34" s="935">
        <f>INDEX(MO_RIS_RD_NONGAAP,0,COLUMN())</f>
        <v/>
      </c>
      <c r="BW34" s="678">
        <f>INDEX(MO_RIS_RD_NONGAAP,0,COLUMN())</f>
        <v/>
      </c>
      <c r="BX34" s="1242">
        <f>INDEX(MO_RIS_RD_NONGAAP,0,COLUMN())</f>
        <v/>
      </c>
      <c r="BY34" s="678">
        <f>INDEX(MO_RIS_RD_NONGAAP,0,COLUMN())</f>
        <v/>
      </c>
      <c r="BZ34" s="678">
        <f>INDEX(MO_RIS_RD_NONGAAP,0,COLUMN())</f>
        <v/>
      </c>
      <c r="CA34" s="678">
        <f>INDEX(MO_RIS_RD_NONGAAP,0,COLUMN())</f>
        <v/>
      </c>
      <c r="CB34" s="678">
        <f>INDEX(MO_RIS_RD_NONGAAP,0,COLUMN())</f>
        <v/>
      </c>
      <c r="CC34" s="1242">
        <f>INDEX(MO_RIS_RD_NONGAAP,0,COLUMN())</f>
        <v/>
      </c>
      <c r="CD34" s="1242">
        <f>INDEX(MO_RIS_RD_NONGAAP,0,COLUMN())</f>
        <v/>
      </c>
      <c r="CE34" s="1242">
        <f>INDEX(MO_RIS_RD_NONGAAP,0,COLUMN())</f>
        <v/>
      </c>
      <c r="CF34" s="1242">
        <f>INDEX(MO_RIS_RD_NONGAAP,0,COLUMN())</f>
        <v/>
      </c>
      <c r="CG34" s="678" t="n"/>
    </row>
    <row r="35" customFormat="1" s="974">
      <c r="A35" s="676">
        <f>INDEX(MO_RIS_SGA_NONGAAP,0,COLUMN())</f>
        <v/>
      </c>
      <c r="B35" s="685" t="n"/>
      <c r="C35" s="1242">
        <f>INDEX(MO_RIS_SGA_NONGAAP,0,COLUMN())</f>
        <v/>
      </c>
      <c r="D35" s="1242">
        <f>INDEX(MO_RIS_SGA_NONGAAP,0,COLUMN())</f>
        <v/>
      </c>
      <c r="E35" s="1242">
        <f>INDEX(MO_RIS_SGA_NONGAAP,0,COLUMN())</f>
        <v/>
      </c>
      <c r="F35" s="1242">
        <f>INDEX(MO_RIS_SGA_NONGAAP,0,COLUMN())</f>
        <v/>
      </c>
      <c r="G35" s="678">
        <f>INDEX(MO_RIS_SGA_NONGAAP,0,COLUMN())</f>
        <v/>
      </c>
      <c r="H35" s="678">
        <f>INDEX(MO_RIS_SGA_NONGAAP,0,COLUMN())</f>
        <v/>
      </c>
      <c r="I35" s="678">
        <f>INDEX(MO_RIS_SGA_NONGAAP,0,COLUMN())</f>
        <v/>
      </c>
      <c r="J35" s="678">
        <f>INDEX(MO_RIS_SGA_NONGAAP,0,COLUMN())</f>
        <v/>
      </c>
      <c r="K35" s="1242">
        <f>INDEX(MO_RIS_SGA_NONGAAP,0,COLUMN())</f>
        <v/>
      </c>
      <c r="L35" s="678">
        <f>INDEX(MO_RIS_SGA_NONGAAP,0,COLUMN())</f>
        <v/>
      </c>
      <c r="M35" s="678">
        <f>INDEX(MO_RIS_SGA_NONGAAP,0,COLUMN())</f>
        <v/>
      </c>
      <c r="N35" s="678">
        <f>INDEX(MO_RIS_SGA_NONGAAP,0,COLUMN())</f>
        <v/>
      </c>
      <c r="O35" s="678">
        <f>INDEX(MO_RIS_SGA_NONGAAP,0,COLUMN())</f>
        <v/>
      </c>
      <c r="P35" s="1242">
        <f>INDEX(MO_RIS_SGA_NONGAAP,0,COLUMN())</f>
        <v/>
      </c>
      <c r="Q35" s="678">
        <f>INDEX(MO_RIS_SGA_NONGAAP,0,COLUMN())</f>
        <v/>
      </c>
      <c r="R35" s="678">
        <f>INDEX(MO_RIS_SGA_NONGAAP,0,COLUMN())</f>
        <v/>
      </c>
      <c r="S35" s="678">
        <f>INDEX(MO_RIS_SGA_NONGAAP,0,COLUMN())</f>
        <v/>
      </c>
      <c r="T35" s="678">
        <f>INDEX(MO_RIS_SGA_NONGAAP,0,COLUMN())</f>
        <v/>
      </c>
      <c r="U35" s="1242">
        <f>INDEX(MO_RIS_SGA_NONGAAP,0,COLUMN())</f>
        <v/>
      </c>
      <c r="V35" s="678">
        <f>INDEX(MO_RIS_SGA_NONGAAP,0,COLUMN())</f>
        <v/>
      </c>
      <c r="W35" s="678">
        <f>INDEX(MO_RIS_SGA_NONGAAP,0,COLUMN())</f>
        <v/>
      </c>
      <c r="X35" s="678">
        <f>INDEX(MO_RIS_SGA_NONGAAP,0,COLUMN())</f>
        <v/>
      </c>
      <c r="Y35" s="678">
        <f>INDEX(MO_RIS_SGA_NONGAAP,0,COLUMN())</f>
        <v/>
      </c>
      <c r="Z35" s="1242">
        <f>INDEX(MO_RIS_SGA_NONGAAP,0,COLUMN())</f>
        <v/>
      </c>
      <c r="AA35" s="678">
        <f>INDEX(MO_RIS_SGA_NONGAAP,0,COLUMN())</f>
        <v/>
      </c>
      <c r="AB35" s="678">
        <f>INDEX(MO_RIS_SGA_NONGAAP,0,COLUMN())</f>
        <v/>
      </c>
      <c r="AC35" s="678">
        <f>INDEX(MO_RIS_SGA_NONGAAP,0,COLUMN())</f>
        <v/>
      </c>
      <c r="AD35" s="678">
        <f>INDEX(MO_RIS_SGA_NONGAAP,0,COLUMN())</f>
        <v/>
      </c>
      <c r="AE35" s="1242">
        <f>INDEX(MO_RIS_SGA_NONGAAP,0,COLUMN())</f>
        <v/>
      </c>
      <c r="AF35" s="678">
        <f>INDEX(MO_RIS_SGA_NONGAAP,0,COLUMN())</f>
        <v/>
      </c>
      <c r="AG35" s="678">
        <f>INDEX(MO_RIS_SGA_NONGAAP,0,COLUMN())</f>
        <v/>
      </c>
      <c r="AH35" s="678">
        <f>INDEX(MO_RIS_SGA_NONGAAP,0,COLUMN())</f>
        <v/>
      </c>
      <c r="AI35" s="678">
        <f>INDEX(MO_RIS_SGA_NONGAAP,0,COLUMN())</f>
        <v/>
      </c>
      <c r="AJ35" s="1242">
        <f>INDEX(MO_RIS_SGA_NONGAAP,0,COLUMN())</f>
        <v/>
      </c>
      <c r="AK35" s="678">
        <f>INDEX(MO_RIS_SGA_NONGAAP,0,COLUMN())</f>
        <v/>
      </c>
      <c r="AL35" s="678">
        <f>INDEX(MO_RIS_SGA_NONGAAP,0,COLUMN())</f>
        <v/>
      </c>
      <c r="AM35" s="678">
        <f>INDEX(MO_RIS_SGA_NONGAAP,0,COLUMN())</f>
        <v/>
      </c>
      <c r="AN35" s="678">
        <f>INDEX(MO_RIS_SGA_NONGAAP,0,COLUMN())</f>
        <v/>
      </c>
      <c r="AO35" s="1242">
        <f>INDEX(MO_RIS_SGA_NONGAAP,0,COLUMN())</f>
        <v/>
      </c>
      <c r="AP35" s="678">
        <f>INDEX(MO_RIS_SGA_NONGAAP,0,COLUMN())</f>
        <v/>
      </c>
      <c r="AQ35" s="678">
        <f>INDEX(MO_RIS_SGA_NONGAAP,0,COLUMN())</f>
        <v/>
      </c>
      <c r="AR35" s="678">
        <f>INDEX(MO_RIS_SGA_NONGAAP,0,COLUMN())</f>
        <v/>
      </c>
      <c r="AS35" s="678">
        <f>INDEX(MO_RIS_SGA_NONGAAP,0,COLUMN())</f>
        <v/>
      </c>
      <c r="AT35" s="1242">
        <f>INDEX(MO_RIS_SGA_NONGAAP,0,COLUMN())</f>
        <v/>
      </c>
      <c r="AU35" s="678">
        <f>INDEX(MO_RIS_SGA_NONGAAP,0,COLUMN())</f>
        <v/>
      </c>
      <c r="AV35" s="678">
        <f>INDEX(MO_RIS_SGA_NONGAAP,0,COLUMN())</f>
        <v/>
      </c>
      <c r="AW35" s="678">
        <f>INDEX(MO_RIS_SGA_NONGAAP,0,COLUMN())</f>
        <v/>
      </c>
      <c r="AX35" s="678">
        <f>INDEX(MO_RIS_SGA_NONGAAP,0,COLUMN())</f>
        <v/>
      </c>
      <c r="AY35" s="1242">
        <f>INDEX(MO_RIS_SGA_NONGAAP,0,COLUMN())</f>
        <v/>
      </c>
      <c r="AZ35" s="678">
        <f>INDEX(MO_RIS_SGA_NONGAAP,0,COLUMN())</f>
        <v/>
      </c>
      <c r="BA35" s="678">
        <f>INDEX(MO_RIS_SGA_NONGAAP,0,COLUMN())</f>
        <v/>
      </c>
      <c r="BB35" s="678">
        <f>INDEX(MO_RIS_SGA_NONGAAP,0,COLUMN())</f>
        <v/>
      </c>
      <c r="BC35" s="678">
        <f>INDEX(MO_RIS_SGA_NONGAAP,0,COLUMN())</f>
        <v/>
      </c>
      <c r="BD35" s="1242">
        <f>INDEX(MO_RIS_SGA_NONGAAP,0,COLUMN())</f>
        <v/>
      </c>
      <c r="BE35" s="678">
        <f>INDEX(MO_RIS_SGA_NONGAAP,0,COLUMN())</f>
        <v/>
      </c>
      <c r="BF35" s="678">
        <f>INDEX(MO_RIS_SGA_NONGAAP,0,COLUMN())</f>
        <v/>
      </c>
      <c r="BG35" s="678">
        <f>INDEX(MO_RIS_SGA_NONGAAP,0,COLUMN())</f>
        <v/>
      </c>
      <c r="BH35" s="678">
        <f>INDEX(MO_RIS_SGA_NONGAAP,0,COLUMN())</f>
        <v/>
      </c>
      <c r="BI35" s="1242">
        <f>INDEX(MO_RIS_SGA_NONGAAP,0,COLUMN())</f>
        <v/>
      </c>
      <c r="BJ35" s="678">
        <f>INDEX(MO_RIS_SGA_NONGAAP,0,COLUMN())</f>
        <v/>
      </c>
      <c r="BK35" s="678">
        <f>INDEX(MO_RIS_SGA_NONGAAP,0,COLUMN())</f>
        <v/>
      </c>
      <c r="BL35" s="678">
        <f>INDEX(MO_RIS_SGA_NONGAAP,0,COLUMN())</f>
        <v/>
      </c>
      <c r="BM35" s="678">
        <f>INDEX(MO_RIS_SGA_NONGAAP,0,COLUMN())</f>
        <v/>
      </c>
      <c r="BN35" s="1242">
        <f>INDEX(MO_RIS_SGA_NONGAAP,0,COLUMN())</f>
        <v/>
      </c>
      <c r="BO35" s="678">
        <f>INDEX(MO_RIS_SGA_NONGAAP,0,COLUMN())</f>
        <v/>
      </c>
      <c r="BP35" s="678">
        <f>INDEX(MO_RIS_SGA_NONGAAP,0,COLUMN())</f>
        <v/>
      </c>
      <c r="BQ35" s="678">
        <f>INDEX(MO_RIS_SGA_NONGAAP,0,COLUMN())</f>
        <v/>
      </c>
      <c r="BR35" s="678">
        <f>INDEX(MO_RIS_SGA_NONGAAP,0,COLUMN())</f>
        <v/>
      </c>
      <c r="BS35" s="1242">
        <f>INDEX(MO_RIS_SGA_NONGAAP,0,COLUMN())</f>
        <v/>
      </c>
      <c r="BT35" s="678">
        <f>INDEX(MO_RIS_SGA_NONGAAP,0,COLUMN())</f>
        <v/>
      </c>
      <c r="BU35" s="678">
        <f>INDEX(MO_RIS_SGA_NONGAAP,0,COLUMN())</f>
        <v/>
      </c>
      <c r="BV35" s="935">
        <f>INDEX(MO_RIS_SGA_NONGAAP,0,COLUMN())</f>
        <v/>
      </c>
      <c r="BW35" s="678">
        <f>INDEX(MO_RIS_SGA_NONGAAP,0,COLUMN())</f>
        <v/>
      </c>
      <c r="BX35" s="1242">
        <f>INDEX(MO_RIS_SGA_NONGAAP,0,COLUMN())</f>
        <v/>
      </c>
      <c r="BY35" s="678">
        <f>INDEX(MO_RIS_SGA_NONGAAP,0,COLUMN())</f>
        <v/>
      </c>
      <c r="BZ35" s="678">
        <f>INDEX(MO_RIS_SGA_NONGAAP,0,COLUMN())</f>
        <v/>
      </c>
      <c r="CA35" s="678">
        <f>INDEX(MO_RIS_SGA_NONGAAP,0,COLUMN())</f>
        <v/>
      </c>
      <c r="CB35" s="678">
        <f>INDEX(MO_RIS_SGA_NONGAAP,0,COLUMN())</f>
        <v/>
      </c>
      <c r="CC35" s="1242">
        <f>INDEX(MO_RIS_SGA_NONGAAP,0,COLUMN())</f>
        <v/>
      </c>
      <c r="CD35" s="1242">
        <f>INDEX(MO_RIS_SGA_NONGAAP,0,COLUMN())</f>
        <v/>
      </c>
      <c r="CE35" s="1242">
        <f>INDEX(MO_RIS_SGA_NONGAAP,0,COLUMN())</f>
        <v/>
      </c>
      <c r="CF35" s="1242">
        <f>INDEX(MO_RIS_SGA_NONGAAP,0,COLUMN())</f>
        <v/>
      </c>
      <c r="CG35" s="678" t="n"/>
    </row>
    <row r="36" customFormat="1" s="974">
      <c r="A36" s="676">
        <f>INDEX(MO_RIS_OPEX_NONGAAP,0,COLUMN())</f>
        <v/>
      </c>
      <c r="B36" s="685" t="n"/>
      <c r="C36" s="1242">
        <f>INDEX(MO_RIS_OPEX_NONGAAP,0,COLUMN())</f>
        <v/>
      </c>
      <c r="D36" s="1242">
        <f>INDEX(MO_RIS_OPEX_NONGAAP,0,COLUMN())</f>
        <v/>
      </c>
      <c r="E36" s="1242">
        <f>INDEX(MO_RIS_OPEX_NONGAAP,0,COLUMN())</f>
        <v/>
      </c>
      <c r="F36" s="1242">
        <f>INDEX(MO_RIS_OPEX_NONGAAP,0,COLUMN())</f>
        <v/>
      </c>
      <c r="G36" s="678">
        <f>INDEX(MO_RIS_OPEX_NONGAAP,0,COLUMN())</f>
        <v/>
      </c>
      <c r="H36" s="678">
        <f>INDEX(MO_RIS_OPEX_NONGAAP,0,COLUMN())</f>
        <v/>
      </c>
      <c r="I36" s="678">
        <f>INDEX(MO_RIS_OPEX_NONGAAP,0,COLUMN())</f>
        <v/>
      </c>
      <c r="J36" s="678">
        <f>INDEX(MO_RIS_OPEX_NONGAAP,0,COLUMN())</f>
        <v/>
      </c>
      <c r="K36" s="1242">
        <f>INDEX(MO_RIS_OPEX_NONGAAP,0,COLUMN())</f>
        <v/>
      </c>
      <c r="L36" s="678">
        <f>INDEX(MO_RIS_OPEX_NONGAAP,0,COLUMN())</f>
        <v/>
      </c>
      <c r="M36" s="678">
        <f>INDEX(MO_RIS_OPEX_NONGAAP,0,COLUMN())</f>
        <v/>
      </c>
      <c r="N36" s="678">
        <f>INDEX(MO_RIS_OPEX_NONGAAP,0,COLUMN())</f>
        <v/>
      </c>
      <c r="O36" s="678">
        <f>INDEX(MO_RIS_OPEX_NONGAAP,0,COLUMN())</f>
        <v/>
      </c>
      <c r="P36" s="1242">
        <f>INDEX(MO_RIS_OPEX_NONGAAP,0,COLUMN())</f>
        <v/>
      </c>
      <c r="Q36" s="678">
        <f>INDEX(MO_RIS_OPEX_NONGAAP,0,COLUMN())</f>
        <v/>
      </c>
      <c r="R36" s="678">
        <f>INDEX(MO_RIS_OPEX_NONGAAP,0,COLUMN())</f>
        <v/>
      </c>
      <c r="S36" s="678">
        <f>INDEX(MO_RIS_OPEX_NONGAAP,0,COLUMN())</f>
        <v/>
      </c>
      <c r="T36" s="678">
        <f>INDEX(MO_RIS_OPEX_NONGAAP,0,COLUMN())</f>
        <v/>
      </c>
      <c r="U36" s="1242">
        <f>INDEX(MO_RIS_OPEX_NONGAAP,0,COLUMN())</f>
        <v/>
      </c>
      <c r="V36" s="678">
        <f>INDEX(MO_RIS_OPEX_NONGAAP,0,COLUMN())</f>
        <v/>
      </c>
      <c r="W36" s="678">
        <f>INDEX(MO_RIS_OPEX_NONGAAP,0,COLUMN())</f>
        <v/>
      </c>
      <c r="X36" s="678">
        <f>INDEX(MO_RIS_OPEX_NONGAAP,0,COLUMN())</f>
        <v/>
      </c>
      <c r="Y36" s="678">
        <f>INDEX(MO_RIS_OPEX_NONGAAP,0,COLUMN())</f>
        <v/>
      </c>
      <c r="Z36" s="1242">
        <f>INDEX(MO_RIS_OPEX_NONGAAP,0,COLUMN())</f>
        <v/>
      </c>
      <c r="AA36" s="678">
        <f>INDEX(MO_RIS_OPEX_NONGAAP,0,COLUMN())</f>
        <v/>
      </c>
      <c r="AB36" s="678">
        <f>INDEX(MO_RIS_OPEX_NONGAAP,0,COLUMN())</f>
        <v/>
      </c>
      <c r="AC36" s="678">
        <f>INDEX(MO_RIS_OPEX_NONGAAP,0,COLUMN())</f>
        <v/>
      </c>
      <c r="AD36" s="678">
        <f>INDEX(MO_RIS_OPEX_NONGAAP,0,COLUMN())</f>
        <v/>
      </c>
      <c r="AE36" s="1242">
        <f>INDEX(MO_RIS_OPEX_NONGAAP,0,COLUMN())</f>
        <v/>
      </c>
      <c r="AF36" s="678">
        <f>INDEX(MO_RIS_OPEX_NONGAAP,0,COLUMN())</f>
        <v/>
      </c>
      <c r="AG36" s="678">
        <f>INDEX(MO_RIS_OPEX_NONGAAP,0,COLUMN())</f>
        <v/>
      </c>
      <c r="AH36" s="678">
        <f>INDEX(MO_RIS_OPEX_NONGAAP,0,COLUMN())</f>
        <v/>
      </c>
      <c r="AI36" s="678">
        <f>INDEX(MO_RIS_OPEX_NONGAAP,0,COLUMN())</f>
        <v/>
      </c>
      <c r="AJ36" s="1242">
        <f>INDEX(MO_RIS_OPEX_NONGAAP,0,COLUMN())</f>
        <v/>
      </c>
      <c r="AK36" s="678">
        <f>INDEX(MO_RIS_OPEX_NONGAAP,0,COLUMN())</f>
        <v/>
      </c>
      <c r="AL36" s="678">
        <f>INDEX(MO_RIS_OPEX_NONGAAP,0,COLUMN())</f>
        <v/>
      </c>
      <c r="AM36" s="678">
        <f>INDEX(MO_RIS_OPEX_NONGAAP,0,COLUMN())</f>
        <v/>
      </c>
      <c r="AN36" s="678">
        <f>INDEX(MO_RIS_OPEX_NONGAAP,0,COLUMN())</f>
        <v/>
      </c>
      <c r="AO36" s="1242">
        <f>INDEX(MO_RIS_OPEX_NONGAAP,0,COLUMN())</f>
        <v/>
      </c>
      <c r="AP36" s="678">
        <f>INDEX(MO_RIS_OPEX_NONGAAP,0,COLUMN())</f>
        <v/>
      </c>
      <c r="AQ36" s="678">
        <f>INDEX(MO_RIS_OPEX_NONGAAP,0,COLUMN())</f>
        <v/>
      </c>
      <c r="AR36" s="678">
        <f>INDEX(MO_RIS_OPEX_NONGAAP,0,COLUMN())</f>
        <v/>
      </c>
      <c r="AS36" s="678">
        <f>INDEX(MO_RIS_OPEX_NONGAAP,0,COLUMN())</f>
        <v/>
      </c>
      <c r="AT36" s="1242">
        <f>INDEX(MO_RIS_OPEX_NONGAAP,0,COLUMN())</f>
        <v/>
      </c>
      <c r="AU36" s="678">
        <f>INDEX(MO_RIS_OPEX_NONGAAP,0,COLUMN())</f>
        <v/>
      </c>
      <c r="AV36" s="678">
        <f>INDEX(MO_RIS_OPEX_NONGAAP,0,COLUMN())</f>
        <v/>
      </c>
      <c r="AW36" s="678">
        <f>INDEX(MO_RIS_OPEX_NONGAAP,0,COLUMN())</f>
        <v/>
      </c>
      <c r="AX36" s="678">
        <f>INDEX(MO_RIS_OPEX_NONGAAP,0,COLUMN())</f>
        <v/>
      </c>
      <c r="AY36" s="1242">
        <f>INDEX(MO_RIS_OPEX_NONGAAP,0,COLUMN())</f>
        <v/>
      </c>
      <c r="AZ36" s="678">
        <f>INDEX(MO_RIS_OPEX_NONGAAP,0,COLUMN())</f>
        <v/>
      </c>
      <c r="BA36" s="678">
        <f>INDEX(MO_RIS_OPEX_NONGAAP,0,COLUMN())</f>
        <v/>
      </c>
      <c r="BB36" s="678">
        <f>INDEX(MO_RIS_OPEX_NONGAAP,0,COLUMN())</f>
        <v/>
      </c>
      <c r="BC36" s="678">
        <f>INDEX(MO_RIS_OPEX_NONGAAP,0,COLUMN())</f>
        <v/>
      </c>
      <c r="BD36" s="1242">
        <f>INDEX(MO_RIS_OPEX_NONGAAP,0,COLUMN())</f>
        <v/>
      </c>
      <c r="BE36" s="678">
        <f>INDEX(MO_RIS_OPEX_NONGAAP,0,COLUMN())</f>
        <v/>
      </c>
      <c r="BF36" s="678">
        <f>INDEX(MO_RIS_OPEX_NONGAAP,0,COLUMN())</f>
        <v/>
      </c>
      <c r="BG36" s="678">
        <f>INDEX(MO_RIS_OPEX_NONGAAP,0,COLUMN())</f>
        <v/>
      </c>
      <c r="BH36" s="678">
        <f>INDEX(MO_RIS_OPEX_NONGAAP,0,COLUMN())</f>
        <v/>
      </c>
      <c r="BI36" s="1242">
        <f>INDEX(MO_RIS_OPEX_NONGAAP,0,COLUMN())</f>
        <v/>
      </c>
      <c r="BJ36" s="678">
        <f>INDEX(MO_RIS_OPEX_NONGAAP,0,COLUMN())</f>
        <v/>
      </c>
      <c r="BK36" s="678">
        <f>INDEX(MO_RIS_OPEX_NONGAAP,0,COLUMN())</f>
        <v/>
      </c>
      <c r="BL36" s="678">
        <f>INDEX(MO_RIS_OPEX_NONGAAP,0,COLUMN())</f>
        <v/>
      </c>
      <c r="BM36" s="678">
        <f>INDEX(MO_RIS_OPEX_NONGAAP,0,COLUMN())</f>
        <v/>
      </c>
      <c r="BN36" s="1242">
        <f>INDEX(MO_RIS_OPEX_NONGAAP,0,COLUMN())</f>
        <v/>
      </c>
      <c r="BO36" s="678">
        <f>INDEX(MO_RIS_OPEX_NONGAAP,0,COLUMN())</f>
        <v/>
      </c>
      <c r="BP36" s="678">
        <f>INDEX(MO_RIS_OPEX_NONGAAP,0,COLUMN())</f>
        <v/>
      </c>
      <c r="BQ36" s="678">
        <f>INDEX(MO_RIS_OPEX_NONGAAP,0,COLUMN())</f>
        <v/>
      </c>
      <c r="BR36" s="678">
        <f>INDEX(MO_RIS_OPEX_NONGAAP,0,COLUMN())</f>
        <v/>
      </c>
      <c r="BS36" s="1242">
        <f>INDEX(MO_RIS_OPEX_NONGAAP,0,COLUMN())</f>
        <v/>
      </c>
      <c r="BT36" s="678">
        <f>INDEX(MO_RIS_OPEX_NONGAAP,0,COLUMN())</f>
        <v/>
      </c>
      <c r="BU36" s="678">
        <f>INDEX(MO_RIS_OPEX_NONGAAP,0,COLUMN())</f>
        <v/>
      </c>
      <c r="BV36" s="935">
        <f>INDEX(MO_RIS_OPEX_NONGAAP,0,COLUMN())</f>
        <v/>
      </c>
      <c r="BW36" s="678">
        <f>INDEX(MO_RIS_OPEX_NONGAAP,0,COLUMN())</f>
        <v/>
      </c>
      <c r="BX36" s="1242">
        <f>INDEX(MO_RIS_OPEX_NONGAAP,0,COLUMN())</f>
        <v/>
      </c>
      <c r="BY36" s="678">
        <f>INDEX(MO_RIS_OPEX_NONGAAP,0,COLUMN())</f>
        <v/>
      </c>
      <c r="BZ36" s="678">
        <f>INDEX(MO_RIS_OPEX_NONGAAP,0,COLUMN())</f>
        <v/>
      </c>
      <c r="CA36" s="678">
        <f>INDEX(MO_RIS_OPEX_NONGAAP,0,COLUMN())</f>
        <v/>
      </c>
      <c r="CB36" s="678">
        <f>INDEX(MO_RIS_OPEX_NONGAAP,0,COLUMN())</f>
        <v/>
      </c>
      <c r="CC36" s="1242">
        <f>INDEX(MO_RIS_OPEX_NONGAAP,0,COLUMN())</f>
        <v/>
      </c>
      <c r="CD36" s="1242">
        <f>INDEX(MO_RIS_OPEX_NONGAAP,0,COLUMN())</f>
        <v/>
      </c>
      <c r="CE36" s="1242">
        <f>INDEX(MO_RIS_OPEX_NONGAAP,0,COLUMN())</f>
        <v/>
      </c>
      <c r="CF36" s="1242">
        <f>INDEX(MO_RIS_OPEX_NONGAAP,0,COLUMN())</f>
        <v/>
      </c>
      <c r="CG36" s="678" t="n"/>
    </row>
    <row r="37" customFormat="1" s="974">
      <c r="A37" s="676">
        <f>INDEX(MO_RIS_OtherOperating_NONGAAP,0,COLUMN())</f>
        <v/>
      </c>
      <c r="B37" s="685" t="n"/>
      <c r="C37" s="1242">
        <f>INDEX(MO_RIS_OtherOperating_NONGAAP,0,COLUMN())</f>
        <v/>
      </c>
      <c r="D37" s="1242">
        <f>INDEX(MO_RIS_OtherOperating_NONGAAP,0,COLUMN())</f>
        <v/>
      </c>
      <c r="E37" s="1242">
        <f>INDEX(MO_RIS_OtherOperating_NONGAAP,0,COLUMN())</f>
        <v/>
      </c>
      <c r="F37" s="1242">
        <f>INDEX(MO_RIS_OtherOperating_NONGAAP,0,COLUMN())</f>
        <v/>
      </c>
      <c r="G37" s="678">
        <f>INDEX(MO_RIS_OtherOperating_NONGAAP,0,COLUMN())</f>
        <v/>
      </c>
      <c r="H37" s="678">
        <f>INDEX(MO_RIS_OtherOperating_NONGAAP,0,COLUMN())</f>
        <v/>
      </c>
      <c r="I37" s="678">
        <f>INDEX(MO_RIS_OtherOperating_NONGAAP,0,COLUMN())</f>
        <v/>
      </c>
      <c r="J37" s="678">
        <f>INDEX(MO_RIS_OtherOperating_NONGAAP,0,COLUMN())</f>
        <v/>
      </c>
      <c r="K37" s="1242">
        <f>INDEX(MO_RIS_OtherOperating_NONGAAP,0,COLUMN())</f>
        <v/>
      </c>
      <c r="L37" s="678">
        <f>INDEX(MO_RIS_OtherOperating_NONGAAP,0,COLUMN())</f>
        <v/>
      </c>
      <c r="M37" s="678">
        <f>INDEX(MO_RIS_OtherOperating_NONGAAP,0,COLUMN())</f>
        <v/>
      </c>
      <c r="N37" s="678">
        <f>INDEX(MO_RIS_OtherOperating_NONGAAP,0,COLUMN())</f>
        <v/>
      </c>
      <c r="O37" s="678">
        <f>INDEX(MO_RIS_OtherOperating_NONGAAP,0,COLUMN())</f>
        <v/>
      </c>
      <c r="P37" s="1242">
        <f>INDEX(MO_RIS_OtherOperating_NONGAAP,0,COLUMN())</f>
        <v/>
      </c>
      <c r="Q37" s="678">
        <f>INDEX(MO_RIS_OtherOperating_NONGAAP,0,COLUMN())</f>
        <v/>
      </c>
      <c r="R37" s="678">
        <f>INDEX(MO_RIS_OtherOperating_NONGAAP,0,COLUMN())</f>
        <v/>
      </c>
      <c r="S37" s="678">
        <f>INDEX(MO_RIS_OtherOperating_NONGAAP,0,COLUMN())</f>
        <v/>
      </c>
      <c r="T37" s="678">
        <f>INDEX(MO_RIS_OtherOperating_NONGAAP,0,COLUMN())</f>
        <v/>
      </c>
      <c r="U37" s="1242">
        <f>INDEX(MO_RIS_OtherOperating_NONGAAP,0,COLUMN())</f>
        <v/>
      </c>
      <c r="V37" s="678">
        <f>INDEX(MO_RIS_OtherOperating_NONGAAP,0,COLUMN())</f>
        <v/>
      </c>
      <c r="W37" s="678">
        <f>INDEX(MO_RIS_OtherOperating_NONGAAP,0,COLUMN())</f>
        <v/>
      </c>
      <c r="X37" s="678">
        <f>INDEX(MO_RIS_OtherOperating_NONGAAP,0,COLUMN())</f>
        <v/>
      </c>
      <c r="Y37" s="678">
        <f>INDEX(MO_RIS_OtherOperating_NONGAAP,0,COLUMN())</f>
        <v/>
      </c>
      <c r="Z37" s="1242">
        <f>INDEX(MO_RIS_OtherOperating_NONGAAP,0,COLUMN())</f>
        <v/>
      </c>
      <c r="AA37" s="678">
        <f>INDEX(MO_RIS_OtherOperating_NONGAAP,0,COLUMN())</f>
        <v/>
      </c>
      <c r="AB37" s="678">
        <f>INDEX(MO_RIS_OtherOperating_NONGAAP,0,COLUMN())</f>
        <v/>
      </c>
      <c r="AC37" s="678">
        <f>INDEX(MO_RIS_OtherOperating_NONGAAP,0,COLUMN())</f>
        <v/>
      </c>
      <c r="AD37" s="678">
        <f>INDEX(MO_RIS_OtherOperating_NONGAAP,0,COLUMN())</f>
        <v/>
      </c>
      <c r="AE37" s="1242">
        <f>INDEX(MO_RIS_OtherOperating_NONGAAP,0,COLUMN())</f>
        <v/>
      </c>
      <c r="AF37" s="678">
        <f>INDEX(MO_RIS_OtherOperating_NONGAAP,0,COLUMN())</f>
        <v/>
      </c>
      <c r="AG37" s="678">
        <f>INDEX(MO_RIS_OtherOperating_NONGAAP,0,COLUMN())</f>
        <v/>
      </c>
      <c r="AH37" s="678">
        <f>INDEX(MO_RIS_OtherOperating_NONGAAP,0,COLUMN())</f>
        <v/>
      </c>
      <c r="AI37" s="678">
        <f>INDEX(MO_RIS_OtherOperating_NONGAAP,0,COLUMN())</f>
        <v/>
      </c>
      <c r="AJ37" s="1242">
        <f>INDEX(MO_RIS_OtherOperating_NONGAAP,0,COLUMN())</f>
        <v/>
      </c>
      <c r="AK37" s="678">
        <f>INDEX(MO_RIS_OtherOperating_NONGAAP,0,COLUMN())</f>
        <v/>
      </c>
      <c r="AL37" s="678">
        <f>INDEX(MO_RIS_OtherOperating_NONGAAP,0,COLUMN())</f>
        <v/>
      </c>
      <c r="AM37" s="678">
        <f>INDEX(MO_RIS_OtherOperating_NONGAAP,0,COLUMN())</f>
        <v/>
      </c>
      <c r="AN37" s="678">
        <f>INDEX(MO_RIS_OtherOperating_NONGAAP,0,COLUMN())</f>
        <v/>
      </c>
      <c r="AO37" s="1242">
        <f>INDEX(MO_RIS_OtherOperating_NONGAAP,0,COLUMN())</f>
        <v/>
      </c>
      <c r="AP37" s="678">
        <f>INDEX(MO_RIS_OtherOperating_NONGAAP,0,COLUMN())</f>
        <v/>
      </c>
      <c r="AQ37" s="678">
        <f>INDEX(MO_RIS_OtherOperating_NONGAAP,0,COLUMN())</f>
        <v/>
      </c>
      <c r="AR37" s="678">
        <f>INDEX(MO_RIS_OtherOperating_NONGAAP,0,COLUMN())</f>
        <v/>
      </c>
      <c r="AS37" s="678">
        <f>INDEX(MO_RIS_OtherOperating_NONGAAP,0,COLUMN())</f>
        <v/>
      </c>
      <c r="AT37" s="1242">
        <f>INDEX(MO_RIS_OtherOperating_NONGAAP,0,COLUMN())</f>
        <v/>
      </c>
      <c r="AU37" s="678">
        <f>INDEX(MO_RIS_OtherOperating_NONGAAP,0,COLUMN())</f>
        <v/>
      </c>
      <c r="AV37" s="678">
        <f>INDEX(MO_RIS_OtherOperating_NONGAAP,0,COLUMN())</f>
        <v/>
      </c>
      <c r="AW37" s="678">
        <f>INDEX(MO_RIS_OtherOperating_NONGAAP,0,COLUMN())</f>
        <v/>
      </c>
      <c r="AX37" s="678">
        <f>INDEX(MO_RIS_OtherOperating_NONGAAP,0,COLUMN())</f>
        <v/>
      </c>
      <c r="AY37" s="1242">
        <f>INDEX(MO_RIS_OtherOperating_NONGAAP,0,COLUMN())</f>
        <v/>
      </c>
      <c r="AZ37" s="678">
        <f>INDEX(MO_RIS_OtherOperating_NONGAAP,0,COLUMN())</f>
        <v/>
      </c>
      <c r="BA37" s="678">
        <f>INDEX(MO_RIS_OtherOperating_NONGAAP,0,COLUMN())</f>
        <v/>
      </c>
      <c r="BB37" s="678">
        <f>INDEX(MO_RIS_OtherOperating_NONGAAP,0,COLUMN())</f>
        <v/>
      </c>
      <c r="BC37" s="678">
        <f>INDEX(MO_RIS_OtherOperating_NONGAAP,0,COLUMN())</f>
        <v/>
      </c>
      <c r="BD37" s="1242">
        <f>INDEX(MO_RIS_OtherOperating_NONGAAP,0,COLUMN())</f>
        <v/>
      </c>
      <c r="BE37" s="678">
        <f>INDEX(MO_RIS_OtherOperating_NONGAAP,0,COLUMN())</f>
        <v/>
      </c>
      <c r="BF37" s="678">
        <f>INDEX(MO_RIS_OtherOperating_NONGAAP,0,COLUMN())</f>
        <v/>
      </c>
      <c r="BG37" s="678">
        <f>INDEX(MO_RIS_OtherOperating_NONGAAP,0,COLUMN())</f>
        <v/>
      </c>
      <c r="BH37" s="678">
        <f>INDEX(MO_RIS_OtherOperating_NONGAAP,0,COLUMN())</f>
        <v/>
      </c>
      <c r="BI37" s="1242">
        <f>INDEX(MO_RIS_OtherOperating_NONGAAP,0,COLUMN())</f>
        <v/>
      </c>
      <c r="BJ37" s="678">
        <f>INDEX(MO_RIS_OtherOperating_NONGAAP,0,COLUMN())</f>
        <v/>
      </c>
      <c r="BK37" s="678">
        <f>INDEX(MO_RIS_OtherOperating_NONGAAP,0,COLUMN())</f>
        <v/>
      </c>
      <c r="BL37" s="678">
        <f>INDEX(MO_RIS_OtherOperating_NONGAAP,0,COLUMN())</f>
        <v/>
      </c>
      <c r="BM37" s="678">
        <f>INDEX(MO_RIS_OtherOperating_NONGAAP,0,COLUMN())</f>
        <v/>
      </c>
      <c r="BN37" s="1242">
        <f>INDEX(MO_RIS_OtherOperating_NONGAAP,0,COLUMN())</f>
        <v/>
      </c>
      <c r="BO37" s="678">
        <f>INDEX(MO_RIS_OtherOperating_NONGAAP,0,COLUMN())</f>
        <v/>
      </c>
      <c r="BP37" s="678">
        <f>INDEX(MO_RIS_OtherOperating_NONGAAP,0,COLUMN())</f>
        <v/>
      </c>
      <c r="BQ37" s="678">
        <f>INDEX(MO_RIS_OtherOperating_NONGAAP,0,COLUMN())</f>
        <v/>
      </c>
      <c r="BR37" s="678">
        <f>INDEX(MO_RIS_OtherOperating_NONGAAP,0,COLUMN())</f>
        <v/>
      </c>
      <c r="BS37" s="1242">
        <f>INDEX(MO_RIS_OtherOperating_NONGAAP,0,COLUMN())</f>
        <v/>
      </c>
      <c r="BT37" s="678">
        <f>INDEX(MO_RIS_OtherOperating_NONGAAP,0,COLUMN())</f>
        <v/>
      </c>
      <c r="BU37" s="678">
        <f>INDEX(MO_RIS_OtherOperating_NONGAAP,0,COLUMN())</f>
        <v/>
      </c>
      <c r="BV37" s="935">
        <f>INDEX(MO_RIS_OtherOperating_NONGAAP,0,COLUMN())</f>
        <v/>
      </c>
      <c r="BW37" s="678">
        <f>INDEX(MO_RIS_OtherOperating_NONGAAP,0,COLUMN())</f>
        <v/>
      </c>
      <c r="BX37" s="1242">
        <f>INDEX(MO_RIS_OtherOperating_NONGAAP,0,COLUMN())</f>
        <v/>
      </c>
      <c r="BY37" s="678">
        <f>INDEX(MO_RIS_OtherOperating_NONGAAP,0,COLUMN())</f>
        <v/>
      </c>
      <c r="BZ37" s="678">
        <f>INDEX(MO_RIS_OtherOperating_NONGAAP,0,COLUMN())</f>
        <v/>
      </c>
      <c r="CA37" s="678">
        <f>INDEX(MO_RIS_OtherOperating_NONGAAP,0,COLUMN())</f>
        <v/>
      </c>
      <c r="CB37" s="678">
        <f>INDEX(MO_RIS_OtherOperating_NONGAAP,0,COLUMN())</f>
        <v/>
      </c>
      <c r="CC37" s="1242">
        <f>INDEX(MO_RIS_OtherOperating_NONGAAP,0,COLUMN())</f>
        <v/>
      </c>
      <c r="CD37" s="1242">
        <f>INDEX(MO_RIS_OtherOperating_NONGAAP,0,COLUMN())</f>
        <v/>
      </c>
      <c r="CE37" s="1242">
        <f>INDEX(MO_RIS_OtherOperating_NONGAAP,0,COLUMN())</f>
        <v/>
      </c>
      <c r="CF37" s="1242">
        <f>INDEX(MO_RIS_OtherOperating_NONGAAP,0,COLUMN())</f>
        <v/>
      </c>
      <c r="CG37" s="678" t="n"/>
    </row>
    <row r="38" customFormat="1" s="973">
      <c r="A38" s="686">
        <f>INDEX(MO_RIS_Reported_OperatingIncome_NONGAAP,0,COLUMN())</f>
        <v/>
      </c>
      <c r="B38" s="687" t="n"/>
      <c r="C38" s="1243">
        <f>INDEX(MO_RIS_Reported_OperatingIncome_NONGAAP,0,COLUMN())</f>
        <v/>
      </c>
      <c r="D38" s="1243">
        <f>INDEX(MO_RIS_Reported_OperatingIncome_NONGAAP,0,COLUMN())</f>
        <v/>
      </c>
      <c r="E38" s="1243">
        <f>INDEX(MO_RIS_Reported_OperatingIncome_NONGAAP,0,COLUMN())</f>
        <v/>
      </c>
      <c r="F38" s="1243">
        <f>INDEX(MO_RIS_Reported_OperatingIncome_NONGAAP,0,COLUMN())</f>
        <v/>
      </c>
      <c r="G38" s="688">
        <f>INDEX(MO_RIS_Reported_OperatingIncome_NONGAAP,0,COLUMN())</f>
        <v/>
      </c>
      <c r="H38" s="688">
        <f>INDEX(MO_RIS_Reported_OperatingIncome_NONGAAP,0,COLUMN())</f>
        <v/>
      </c>
      <c r="I38" s="688">
        <f>INDEX(MO_RIS_Reported_OperatingIncome_NONGAAP,0,COLUMN())</f>
        <v/>
      </c>
      <c r="J38" s="688">
        <f>INDEX(MO_RIS_Reported_OperatingIncome_NONGAAP,0,COLUMN())</f>
        <v/>
      </c>
      <c r="K38" s="1243">
        <f>INDEX(MO_RIS_Reported_OperatingIncome_NONGAAP,0,COLUMN())</f>
        <v/>
      </c>
      <c r="L38" s="688">
        <f>INDEX(MO_RIS_Reported_OperatingIncome_NONGAAP,0,COLUMN())</f>
        <v/>
      </c>
      <c r="M38" s="688">
        <f>INDEX(MO_RIS_Reported_OperatingIncome_NONGAAP,0,COLUMN())</f>
        <v/>
      </c>
      <c r="N38" s="688">
        <f>INDEX(MO_RIS_Reported_OperatingIncome_NONGAAP,0,COLUMN())</f>
        <v/>
      </c>
      <c r="O38" s="688">
        <f>INDEX(MO_RIS_Reported_OperatingIncome_NONGAAP,0,COLUMN())</f>
        <v/>
      </c>
      <c r="P38" s="1243">
        <f>INDEX(MO_RIS_Reported_OperatingIncome_NONGAAP,0,COLUMN())</f>
        <v/>
      </c>
      <c r="Q38" s="688">
        <f>INDEX(MO_RIS_Reported_OperatingIncome_NONGAAP,0,COLUMN())</f>
        <v/>
      </c>
      <c r="R38" s="688">
        <f>INDEX(MO_RIS_Reported_OperatingIncome_NONGAAP,0,COLUMN())</f>
        <v/>
      </c>
      <c r="S38" s="688">
        <f>INDEX(MO_RIS_Reported_OperatingIncome_NONGAAP,0,COLUMN())</f>
        <v/>
      </c>
      <c r="T38" s="688">
        <f>INDEX(MO_RIS_Reported_OperatingIncome_NONGAAP,0,COLUMN())</f>
        <v/>
      </c>
      <c r="U38" s="1243">
        <f>INDEX(MO_RIS_Reported_OperatingIncome_NONGAAP,0,COLUMN())</f>
        <v/>
      </c>
      <c r="V38" s="688">
        <f>INDEX(MO_RIS_Reported_OperatingIncome_NONGAAP,0,COLUMN())</f>
        <v/>
      </c>
      <c r="W38" s="688">
        <f>INDEX(MO_RIS_Reported_OperatingIncome_NONGAAP,0,COLUMN())</f>
        <v/>
      </c>
      <c r="X38" s="688">
        <f>INDEX(MO_RIS_Reported_OperatingIncome_NONGAAP,0,COLUMN())</f>
        <v/>
      </c>
      <c r="Y38" s="688">
        <f>INDEX(MO_RIS_Reported_OperatingIncome_NONGAAP,0,COLUMN())</f>
        <v/>
      </c>
      <c r="Z38" s="1243">
        <f>INDEX(MO_RIS_Reported_OperatingIncome_NONGAAP,0,COLUMN())</f>
        <v/>
      </c>
      <c r="AA38" s="688">
        <f>INDEX(MO_RIS_Reported_OperatingIncome_NONGAAP,0,COLUMN())</f>
        <v/>
      </c>
      <c r="AB38" s="688">
        <f>INDEX(MO_RIS_Reported_OperatingIncome_NONGAAP,0,COLUMN())</f>
        <v/>
      </c>
      <c r="AC38" s="688">
        <f>INDEX(MO_RIS_Reported_OperatingIncome_NONGAAP,0,COLUMN())</f>
        <v/>
      </c>
      <c r="AD38" s="688">
        <f>INDEX(MO_RIS_Reported_OperatingIncome_NONGAAP,0,COLUMN())</f>
        <v/>
      </c>
      <c r="AE38" s="1243">
        <f>INDEX(MO_RIS_Reported_OperatingIncome_NONGAAP,0,COLUMN())</f>
        <v/>
      </c>
      <c r="AF38" s="688">
        <f>INDEX(MO_RIS_Reported_OperatingIncome_NONGAAP,0,COLUMN())</f>
        <v/>
      </c>
      <c r="AG38" s="688">
        <f>INDEX(MO_RIS_Reported_OperatingIncome_NONGAAP,0,COLUMN())</f>
        <v/>
      </c>
      <c r="AH38" s="688">
        <f>INDEX(MO_RIS_Reported_OperatingIncome_NONGAAP,0,COLUMN())</f>
        <v/>
      </c>
      <c r="AI38" s="688">
        <f>INDEX(MO_RIS_Reported_OperatingIncome_NONGAAP,0,COLUMN())</f>
        <v/>
      </c>
      <c r="AJ38" s="1243">
        <f>INDEX(MO_RIS_Reported_OperatingIncome_NONGAAP,0,COLUMN())</f>
        <v/>
      </c>
      <c r="AK38" s="688">
        <f>INDEX(MO_RIS_Reported_OperatingIncome_NONGAAP,0,COLUMN())</f>
        <v/>
      </c>
      <c r="AL38" s="688">
        <f>INDEX(MO_RIS_Reported_OperatingIncome_NONGAAP,0,COLUMN())</f>
        <v/>
      </c>
      <c r="AM38" s="688">
        <f>INDEX(MO_RIS_Reported_OperatingIncome_NONGAAP,0,COLUMN())</f>
        <v/>
      </c>
      <c r="AN38" s="688">
        <f>INDEX(MO_RIS_Reported_OperatingIncome_NONGAAP,0,COLUMN())</f>
        <v/>
      </c>
      <c r="AO38" s="1243">
        <f>INDEX(MO_RIS_Reported_OperatingIncome_NONGAAP,0,COLUMN())</f>
        <v/>
      </c>
      <c r="AP38" s="688">
        <f>INDEX(MO_RIS_Reported_OperatingIncome_NONGAAP,0,COLUMN())</f>
        <v/>
      </c>
      <c r="AQ38" s="688">
        <f>INDEX(MO_RIS_Reported_OperatingIncome_NONGAAP,0,COLUMN())</f>
        <v/>
      </c>
      <c r="AR38" s="688">
        <f>INDEX(MO_RIS_Reported_OperatingIncome_NONGAAP,0,COLUMN())</f>
        <v/>
      </c>
      <c r="AS38" s="688">
        <f>INDEX(MO_RIS_Reported_OperatingIncome_NONGAAP,0,COLUMN())</f>
        <v/>
      </c>
      <c r="AT38" s="1243">
        <f>INDEX(MO_RIS_Reported_OperatingIncome_NONGAAP,0,COLUMN())</f>
        <v/>
      </c>
      <c r="AU38" s="688">
        <f>INDEX(MO_RIS_Reported_OperatingIncome_NONGAAP,0,COLUMN())</f>
        <v/>
      </c>
      <c r="AV38" s="688">
        <f>INDEX(MO_RIS_Reported_OperatingIncome_NONGAAP,0,COLUMN())</f>
        <v/>
      </c>
      <c r="AW38" s="688">
        <f>INDEX(MO_RIS_Reported_OperatingIncome_NONGAAP,0,COLUMN())</f>
        <v/>
      </c>
      <c r="AX38" s="688">
        <f>INDEX(MO_RIS_Reported_OperatingIncome_NONGAAP,0,COLUMN())</f>
        <v/>
      </c>
      <c r="AY38" s="1243">
        <f>INDEX(MO_RIS_Reported_OperatingIncome_NONGAAP,0,COLUMN())</f>
        <v/>
      </c>
      <c r="AZ38" s="688">
        <f>INDEX(MO_RIS_Reported_OperatingIncome_NONGAAP,0,COLUMN())</f>
        <v/>
      </c>
      <c r="BA38" s="688">
        <f>INDEX(MO_RIS_Reported_OperatingIncome_NONGAAP,0,COLUMN())</f>
        <v/>
      </c>
      <c r="BB38" s="688">
        <f>INDEX(MO_RIS_Reported_OperatingIncome_NONGAAP,0,COLUMN())</f>
        <v/>
      </c>
      <c r="BC38" s="688">
        <f>INDEX(MO_RIS_Reported_OperatingIncome_NONGAAP,0,COLUMN())</f>
        <v/>
      </c>
      <c r="BD38" s="1243">
        <f>INDEX(MO_RIS_Reported_OperatingIncome_NONGAAP,0,COLUMN())</f>
        <v/>
      </c>
      <c r="BE38" s="688">
        <f>INDEX(MO_RIS_Reported_OperatingIncome_NONGAAP,0,COLUMN())</f>
        <v/>
      </c>
      <c r="BF38" s="688">
        <f>INDEX(MO_RIS_Reported_OperatingIncome_NONGAAP,0,COLUMN())</f>
        <v/>
      </c>
      <c r="BG38" s="688">
        <f>INDEX(MO_RIS_Reported_OperatingIncome_NONGAAP,0,COLUMN())</f>
        <v/>
      </c>
      <c r="BH38" s="688">
        <f>INDEX(MO_RIS_Reported_OperatingIncome_NONGAAP,0,COLUMN())</f>
        <v/>
      </c>
      <c r="BI38" s="1243">
        <f>INDEX(MO_RIS_Reported_OperatingIncome_NONGAAP,0,COLUMN())</f>
        <v/>
      </c>
      <c r="BJ38" s="688">
        <f>INDEX(MO_RIS_Reported_OperatingIncome_NONGAAP,0,COLUMN())</f>
        <v/>
      </c>
      <c r="BK38" s="688">
        <f>INDEX(MO_RIS_Reported_OperatingIncome_NONGAAP,0,COLUMN())</f>
        <v/>
      </c>
      <c r="BL38" s="688">
        <f>INDEX(MO_RIS_Reported_OperatingIncome_NONGAAP,0,COLUMN())</f>
        <v/>
      </c>
      <c r="BM38" s="688">
        <f>INDEX(MO_RIS_Reported_OperatingIncome_NONGAAP,0,COLUMN())</f>
        <v/>
      </c>
      <c r="BN38" s="1243">
        <f>INDEX(MO_RIS_Reported_OperatingIncome_NONGAAP,0,COLUMN())</f>
        <v/>
      </c>
      <c r="BO38" s="688">
        <f>INDEX(MO_RIS_Reported_OperatingIncome_NONGAAP,0,COLUMN())</f>
        <v/>
      </c>
      <c r="BP38" s="688">
        <f>INDEX(MO_RIS_Reported_OperatingIncome_NONGAAP,0,COLUMN())</f>
        <v/>
      </c>
      <c r="BQ38" s="688">
        <f>INDEX(MO_RIS_Reported_OperatingIncome_NONGAAP,0,COLUMN())</f>
        <v/>
      </c>
      <c r="BR38" s="688">
        <f>INDEX(MO_RIS_Reported_OperatingIncome_NONGAAP,0,COLUMN())</f>
        <v/>
      </c>
      <c r="BS38" s="1243">
        <f>INDEX(MO_RIS_Reported_OperatingIncome_NONGAAP,0,COLUMN())</f>
        <v/>
      </c>
      <c r="BT38" s="688">
        <f>INDEX(MO_RIS_Reported_OperatingIncome_NONGAAP,0,COLUMN())</f>
        <v/>
      </c>
      <c r="BU38" s="688">
        <f>INDEX(MO_RIS_Reported_OperatingIncome_NONGAAP,0,COLUMN())</f>
        <v/>
      </c>
      <c r="BV38" s="945">
        <f>INDEX(MO_RIS_Reported_OperatingIncome_NONGAAP,0,COLUMN())</f>
        <v/>
      </c>
      <c r="BW38" s="688">
        <f>INDEX(MO_RIS_Reported_OperatingIncome_NONGAAP,0,COLUMN())</f>
        <v/>
      </c>
      <c r="BX38" s="1243">
        <f>INDEX(MO_RIS_Reported_OperatingIncome_NONGAAP,0,COLUMN())</f>
        <v/>
      </c>
      <c r="BY38" s="688">
        <f>INDEX(MO_RIS_Reported_OperatingIncome_NONGAAP,0,COLUMN())</f>
        <v/>
      </c>
      <c r="BZ38" s="688">
        <f>INDEX(MO_RIS_Reported_OperatingIncome_NONGAAP,0,COLUMN())</f>
        <v/>
      </c>
      <c r="CA38" s="688">
        <f>INDEX(MO_RIS_Reported_OperatingIncome_NONGAAP,0,COLUMN())</f>
        <v/>
      </c>
      <c r="CB38" s="688">
        <f>INDEX(MO_RIS_Reported_OperatingIncome_NONGAAP,0,COLUMN())</f>
        <v/>
      </c>
      <c r="CC38" s="1243">
        <f>INDEX(MO_RIS_Reported_OperatingIncome_NONGAAP,0,COLUMN())</f>
        <v/>
      </c>
      <c r="CD38" s="1243">
        <f>INDEX(MO_RIS_Reported_OperatingIncome_NONGAAP,0,COLUMN())</f>
        <v/>
      </c>
      <c r="CE38" s="1243">
        <f>INDEX(MO_RIS_Reported_OperatingIncome_NONGAAP,0,COLUMN())</f>
        <v/>
      </c>
      <c r="CF38" s="1243">
        <f>INDEX(MO_RIS_Reported_OperatingIncome_NONGAAP,0,COLUMN())</f>
        <v/>
      </c>
      <c r="CG38" s="574" t="n"/>
    </row>
    <row r="39" customFormat="1" s="974">
      <c r="A39" s="676">
        <f>INDEX(MO_RIS_IE_Net_NONGAAP,0,COLUMN())</f>
        <v/>
      </c>
      <c r="B39" s="685" t="n"/>
      <c r="C39" s="1242">
        <f>INDEX(MO_RIS_IE_Net_NONGAAP,0,COLUMN())</f>
        <v/>
      </c>
      <c r="D39" s="1242">
        <f>INDEX(MO_RIS_IE_Net_NONGAAP,0,COLUMN())</f>
        <v/>
      </c>
      <c r="E39" s="1242">
        <f>INDEX(MO_RIS_IE_Net_NONGAAP,0,COLUMN())</f>
        <v/>
      </c>
      <c r="F39" s="1242">
        <f>INDEX(MO_RIS_IE_Net_NONGAAP,0,COLUMN())</f>
        <v/>
      </c>
      <c r="G39" s="678">
        <f>INDEX(MO_RIS_IE_Net_NONGAAP,0,COLUMN())</f>
        <v/>
      </c>
      <c r="H39" s="678">
        <f>INDEX(MO_RIS_IE_Net_NONGAAP,0,COLUMN())</f>
        <v/>
      </c>
      <c r="I39" s="678">
        <f>INDEX(MO_RIS_IE_Net_NONGAAP,0,COLUMN())</f>
        <v/>
      </c>
      <c r="J39" s="678">
        <f>INDEX(MO_RIS_IE_Net_NONGAAP,0,COLUMN())</f>
        <v/>
      </c>
      <c r="K39" s="1242">
        <f>INDEX(MO_RIS_IE_Net_NONGAAP,0,COLUMN())</f>
        <v/>
      </c>
      <c r="L39" s="678">
        <f>INDEX(MO_RIS_IE_Net_NONGAAP,0,COLUMN())</f>
        <v/>
      </c>
      <c r="M39" s="678">
        <f>INDEX(MO_RIS_IE_Net_NONGAAP,0,COLUMN())</f>
        <v/>
      </c>
      <c r="N39" s="678">
        <f>INDEX(MO_RIS_IE_Net_NONGAAP,0,COLUMN())</f>
        <v/>
      </c>
      <c r="O39" s="678">
        <f>INDEX(MO_RIS_IE_Net_NONGAAP,0,COLUMN())</f>
        <v/>
      </c>
      <c r="P39" s="1242">
        <f>INDEX(MO_RIS_IE_Net_NONGAAP,0,COLUMN())</f>
        <v/>
      </c>
      <c r="Q39" s="678">
        <f>INDEX(MO_RIS_IE_Net_NONGAAP,0,COLUMN())</f>
        <v/>
      </c>
      <c r="R39" s="678">
        <f>INDEX(MO_RIS_IE_Net_NONGAAP,0,COLUMN())</f>
        <v/>
      </c>
      <c r="S39" s="678">
        <f>INDEX(MO_RIS_IE_Net_NONGAAP,0,COLUMN())</f>
        <v/>
      </c>
      <c r="T39" s="678">
        <f>INDEX(MO_RIS_IE_Net_NONGAAP,0,COLUMN())</f>
        <v/>
      </c>
      <c r="U39" s="1242">
        <f>INDEX(MO_RIS_IE_Net_NONGAAP,0,COLUMN())</f>
        <v/>
      </c>
      <c r="V39" s="678">
        <f>INDEX(MO_RIS_IE_Net_NONGAAP,0,COLUMN())</f>
        <v/>
      </c>
      <c r="W39" s="678">
        <f>INDEX(MO_RIS_IE_Net_NONGAAP,0,COLUMN())</f>
        <v/>
      </c>
      <c r="X39" s="678">
        <f>INDEX(MO_RIS_IE_Net_NONGAAP,0,COLUMN())</f>
        <v/>
      </c>
      <c r="Y39" s="678">
        <f>INDEX(MO_RIS_IE_Net_NONGAAP,0,COLUMN())</f>
        <v/>
      </c>
      <c r="Z39" s="1242">
        <f>INDEX(MO_RIS_IE_Net_NONGAAP,0,COLUMN())</f>
        <v/>
      </c>
      <c r="AA39" s="678">
        <f>INDEX(MO_RIS_IE_Net_NONGAAP,0,COLUMN())</f>
        <v/>
      </c>
      <c r="AB39" s="678">
        <f>INDEX(MO_RIS_IE_Net_NONGAAP,0,COLUMN())</f>
        <v/>
      </c>
      <c r="AC39" s="678">
        <f>INDEX(MO_RIS_IE_Net_NONGAAP,0,COLUMN())</f>
        <v/>
      </c>
      <c r="AD39" s="678">
        <f>INDEX(MO_RIS_IE_Net_NONGAAP,0,COLUMN())</f>
        <v/>
      </c>
      <c r="AE39" s="1242">
        <f>INDEX(MO_RIS_IE_Net_NONGAAP,0,COLUMN())</f>
        <v/>
      </c>
      <c r="AF39" s="678">
        <f>INDEX(MO_RIS_IE_Net_NONGAAP,0,COLUMN())</f>
        <v/>
      </c>
      <c r="AG39" s="678">
        <f>INDEX(MO_RIS_IE_Net_NONGAAP,0,COLUMN())</f>
        <v/>
      </c>
      <c r="AH39" s="678">
        <f>INDEX(MO_RIS_IE_Net_NONGAAP,0,COLUMN())</f>
        <v/>
      </c>
      <c r="AI39" s="678">
        <f>INDEX(MO_RIS_IE_Net_NONGAAP,0,COLUMN())</f>
        <v/>
      </c>
      <c r="AJ39" s="1242">
        <f>INDEX(MO_RIS_IE_Net_NONGAAP,0,COLUMN())</f>
        <v/>
      </c>
      <c r="AK39" s="678">
        <f>INDEX(MO_RIS_IE_Net_NONGAAP,0,COLUMN())</f>
        <v/>
      </c>
      <c r="AL39" s="678">
        <f>INDEX(MO_RIS_IE_Net_NONGAAP,0,COLUMN())</f>
        <v/>
      </c>
      <c r="AM39" s="678">
        <f>INDEX(MO_RIS_IE_Net_NONGAAP,0,COLUMN())</f>
        <v/>
      </c>
      <c r="AN39" s="678">
        <f>INDEX(MO_RIS_IE_Net_NONGAAP,0,COLUMN())</f>
        <v/>
      </c>
      <c r="AO39" s="1242">
        <f>INDEX(MO_RIS_IE_Net_NONGAAP,0,COLUMN())</f>
        <v/>
      </c>
      <c r="AP39" s="678">
        <f>INDEX(MO_RIS_IE_Net_NONGAAP,0,COLUMN())</f>
        <v/>
      </c>
      <c r="AQ39" s="678">
        <f>INDEX(MO_RIS_IE_Net_NONGAAP,0,COLUMN())</f>
        <v/>
      </c>
      <c r="AR39" s="678">
        <f>INDEX(MO_RIS_IE_Net_NONGAAP,0,COLUMN())</f>
        <v/>
      </c>
      <c r="AS39" s="678">
        <f>INDEX(MO_RIS_IE_Net_NONGAAP,0,COLUMN())</f>
        <v/>
      </c>
      <c r="AT39" s="1242">
        <f>INDEX(MO_RIS_IE_Net_NONGAAP,0,COLUMN())</f>
        <v/>
      </c>
      <c r="AU39" s="678">
        <f>INDEX(MO_RIS_IE_Net_NONGAAP,0,COLUMN())</f>
        <v/>
      </c>
      <c r="AV39" s="678">
        <f>INDEX(MO_RIS_IE_Net_NONGAAP,0,COLUMN())</f>
        <v/>
      </c>
      <c r="AW39" s="678">
        <f>INDEX(MO_RIS_IE_Net_NONGAAP,0,COLUMN())</f>
        <v/>
      </c>
      <c r="AX39" s="678">
        <f>INDEX(MO_RIS_IE_Net_NONGAAP,0,COLUMN())</f>
        <v/>
      </c>
      <c r="AY39" s="1242">
        <f>INDEX(MO_RIS_IE_Net_NONGAAP,0,COLUMN())</f>
        <v/>
      </c>
      <c r="AZ39" s="678">
        <f>INDEX(MO_RIS_IE_Net_NONGAAP,0,COLUMN())</f>
        <v/>
      </c>
      <c r="BA39" s="678">
        <f>INDEX(MO_RIS_IE_Net_NONGAAP,0,COLUMN())</f>
        <v/>
      </c>
      <c r="BB39" s="678">
        <f>INDEX(MO_RIS_IE_Net_NONGAAP,0,COLUMN())</f>
        <v/>
      </c>
      <c r="BC39" s="678">
        <f>INDEX(MO_RIS_IE_Net_NONGAAP,0,COLUMN())</f>
        <v/>
      </c>
      <c r="BD39" s="1242">
        <f>INDEX(MO_RIS_IE_Net_NONGAAP,0,COLUMN())</f>
        <v/>
      </c>
      <c r="BE39" s="678">
        <f>INDEX(MO_RIS_IE_Net_NONGAAP,0,COLUMN())</f>
        <v/>
      </c>
      <c r="BF39" s="678">
        <f>INDEX(MO_RIS_IE_Net_NONGAAP,0,COLUMN())</f>
        <v/>
      </c>
      <c r="BG39" s="678">
        <f>INDEX(MO_RIS_IE_Net_NONGAAP,0,COLUMN())</f>
        <v/>
      </c>
      <c r="BH39" s="678">
        <f>INDEX(MO_RIS_IE_Net_NONGAAP,0,COLUMN())</f>
        <v/>
      </c>
      <c r="BI39" s="1242">
        <f>INDEX(MO_RIS_IE_Net_NONGAAP,0,COLUMN())</f>
        <v/>
      </c>
      <c r="BJ39" s="678">
        <f>INDEX(MO_RIS_IE_Net_NONGAAP,0,COLUMN())</f>
        <v/>
      </c>
      <c r="BK39" s="678">
        <f>INDEX(MO_RIS_IE_Net_NONGAAP,0,COLUMN())</f>
        <v/>
      </c>
      <c r="BL39" s="678">
        <f>INDEX(MO_RIS_IE_Net_NONGAAP,0,COLUMN())</f>
        <v/>
      </c>
      <c r="BM39" s="678">
        <f>INDEX(MO_RIS_IE_Net_NONGAAP,0,COLUMN())</f>
        <v/>
      </c>
      <c r="BN39" s="1242">
        <f>INDEX(MO_RIS_IE_Net_NONGAAP,0,COLUMN())</f>
        <v/>
      </c>
      <c r="BO39" s="678">
        <f>INDEX(MO_RIS_IE_Net_NONGAAP,0,COLUMN())</f>
        <v/>
      </c>
      <c r="BP39" s="678">
        <f>INDEX(MO_RIS_IE_Net_NONGAAP,0,COLUMN())</f>
        <v/>
      </c>
      <c r="BQ39" s="678">
        <f>INDEX(MO_RIS_IE_Net_NONGAAP,0,COLUMN())</f>
        <v/>
      </c>
      <c r="BR39" s="678">
        <f>INDEX(MO_RIS_IE_Net_NONGAAP,0,COLUMN())</f>
        <v/>
      </c>
      <c r="BS39" s="1242">
        <f>INDEX(MO_RIS_IE_Net_NONGAAP,0,COLUMN())</f>
        <v/>
      </c>
      <c r="BT39" s="678">
        <f>INDEX(MO_RIS_IE_Net_NONGAAP,0,COLUMN())</f>
        <v/>
      </c>
      <c r="BU39" s="678">
        <f>INDEX(MO_RIS_IE_Net_NONGAAP,0,COLUMN())</f>
        <v/>
      </c>
      <c r="BV39" s="935">
        <f>INDEX(MO_RIS_IE_Net_NONGAAP,0,COLUMN())</f>
        <v/>
      </c>
      <c r="BW39" s="678">
        <f>INDEX(MO_RIS_IE_Net_NONGAAP,0,COLUMN())</f>
        <v/>
      </c>
      <c r="BX39" s="1242">
        <f>INDEX(MO_RIS_IE_Net_NONGAAP,0,COLUMN())</f>
        <v/>
      </c>
      <c r="BY39" s="678">
        <f>INDEX(MO_RIS_IE_Net_NONGAAP,0,COLUMN())</f>
        <v/>
      </c>
      <c r="BZ39" s="678">
        <f>INDEX(MO_RIS_IE_Net_NONGAAP,0,COLUMN())</f>
        <v/>
      </c>
      <c r="CA39" s="678">
        <f>INDEX(MO_RIS_IE_Net_NONGAAP,0,COLUMN())</f>
        <v/>
      </c>
      <c r="CB39" s="678">
        <f>INDEX(MO_RIS_IE_Net_NONGAAP,0,COLUMN())</f>
        <v/>
      </c>
      <c r="CC39" s="1242">
        <f>INDEX(MO_RIS_IE_Net_NONGAAP,0,COLUMN())</f>
        <v/>
      </c>
      <c r="CD39" s="1242">
        <f>INDEX(MO_RIS_IE_Net_NONGAAP,0,COLUMN())</f>
        <v/>
      </c>
      <c r="CE39" s="1242">
        <f>INDEX(MO_RIS_IE_Net_NONGAAP,0,COLUMN())</f>
        <v/>
      </c>
      <c r="CF39" s="1242">
        <f>INDEX(MO_RIS_IE_Net_NONGAAP,0,COLUMN())</f>
        <v/>
      </c>
      <c r="CG39" s="678" t="n"/>
    </row>
    <row r="40" customFormat="1" s="974">
      <c r="A40" s="676">
        <f>INDEX(MO_RIS_OI_NONGAAP,0,COLUMN())</f>
        <v/>
      </c>
      <c r="B40" s="685" t="n"/>
      <c r="C40" s="1242">
        <f>INDEX(MO_RIS_OI_NONGAAP,0,COLUMN())</f>
        <v/>
      </c>
      <c r="D40" s="1242">
        <f>INDEX(MO_RIS_OI_NONGAAP,0,COLUMN())</f>
        <v/>
      </c>
      <c r="E40" s="1242">
        <f>INDEX(MO_RIS_OI_NONGAAP,0,COLUMN())</f>
        <v/>
      </c>
      <c r="F40" s="1242">
        <f>INDEX(MO_RIS_OI_NONGAAP,0,COLUMN())</f>
        <v/>
      </c>
      <c r="G40" s="678">
        <f>INDEX(MO_RIS_OI_NONGAAP,0,COLUMN())</f>
        <v/>
      </c>
      <c r="H40" s="678">
        <f>INDEX(MO_RIS_OI_NONGAAP,0,COLUMN())</f>
        <v/>
      </c>
      <c r="I40" s="678">
        <f>INDEX(MO_RIS_OI_NONGAAP,0,COLUMN())</f>
        <v/>
      </c>
      <c r="J40" s="678">
        <f>INDEX(MO_RIS_OI_NONGAAP,0,COLUMN())</f>
        <v/>
      </c>
      <c r="K40" s="1242">
        <f>INDEX(MO_RIS_OI_NONGAAP,0,COLUMN())</f>
        <v/>
      </c>
      <c r="L40" s="678">
        <f>INDEX(MO_RIS_OI_NONGAAP,0,COLUMN())</f>
        <v/>
      </c>
      <c r="M40" s="678">
        <f>INDEX(MO_RIS_OI_NONGAAP,0,COLUMN())</f>
        <v/>
      </c>
      <c r="N40" s="678">
        <f>INDEX(MO_RIS_OI_NONGAAP,0,COLUMN())</f>
        <v/>
      </c>
      <c r="O40" s="678">
        <f>INDEX(MO_RIS_OI_NONGAAP,0,COLUMN())</f>
        <v/>
      </c>
      <c r="P40" s="1242">
        <f>INDEX(MO_RIS_OI_NONGAAP,0,COLUMN())</f>
        <v/>
      </c>
      <c r="Q40" s="678">
        <f>INDEX(MO_RIS_OI_NONGAAP,0,COLUMN())</f>
        <v/>
      </c>
      <c r="R40" s="678">
        <f>INDEX(MO_RIS_OI_NONGAAP,0,COLUMN())</f>
        <v/>
      </c>
      <c r="S40" s="678">
        <f>INDEX(MO_RIS_OI_NONGAAP,0,COLUMN())</f>
        <v/>
      </c>
      <c r="T40" s="678">
        <f>INDEX(MO_RIS_OI_NONGAAP,0,COLUMN())</f>
        <v/>
      </c>
      <c r="U40" s="1242">
        <f>INDEX(MO_RIS_OI_NONGAAP,0,COLUMN())</f>
        <v/>
      </c>
      <c r="V40" s="678">
        <f>INDEX(MO_RIS_OI_NONGAAP,0,COLUMN())</f>
        <v/>
      </c>
      <c r="W40" s="678">
        <f>INDEX(MO_RIS_OI_NONGAAP,0,COLUMN())</f>
        <v/>
      </c>
      <c r="X40" s="678">
        <f>INDEX(MO_RIS_OI_NONGAAP,0,COLUMN())</f>
        <v/>
      </c>
      <c r="Y40" s="678">
        <f>INDEX(MO_RIS_OI_NONGAAP,0,COLUMN())</f>
        <v/>
      </c>
      <c r="Z40" s="1242">
        <f>INDEX(MO_RIS_OI_NONGAAP,0,COLUMN())</f>
        <v/>
      </c>
      <c r="AA40" s="678">
        <f>INDEX(MO_RIS_OI_NONGAAP,0,COLUMN())</f>
        <v/>
      </c>
      <c r="AB40" s="678">
        <f>INDEX(MO_RIS_OI_NONGAAP,0,COLUMN())</f>
        <v/>
      </c>
      <c r="AC40" s="678">
        <f>INDEX(MO_RIS_OI_NONGAAP,0,COLUMN())</f>
        <v/>
      </c>
      <c r="AD40" s="678">
        <f>INDEX(MO_RIS_OI_NONGAAP,0,COLUMN())</f>
        <v/>
      </c>
      <c r="AE40" s="1242">
        <f>INDEX(MO_RIS_OI_NONGAAP,0,COLUMN())</f>
        <v/>
      </c>
      <c r="AF40" s="678">
        <f>INDEX(MO_RIS_OI_NONGAAP,0,COLUMN())</f>
        <v/>
      </c>
      <c r="AG40" s="678">
        <f>INDEX(MO_RIS_OI_NONGAAP,0,COLUMN())</f>
        <v/>
      </c>
      <c r="AH40" s="678">
        <f>INDEX(MO_RIS_OI_NONGAAP,0,COLUMN())</f>
        <v/>
      </c>
      <c r="AI40" s="678">
        <f>INDEX(MO_RIS_OI_NONGAAP,0,COLUMN())</f>
        <v/>
      </c>
      <c r="AJ40" s="1242">
        <f>INDEX(MO_RIS_OI_NONGAAP,0,COLUMN())</f>
        <v/>
      </c>
      <c r="AK40" s="678">
        <f>INDEX(MO_RIS_OI_NONGAAP,0,COLUMN())</f>
        <v/>
      </c>
      <c r="AL40" s="678">
        <f>INDEX(MO_RIS_OI_NONGAAP,0,COLUMN())</f>
        <v/>
      </c>
      <c r="AM40" s="678">
        <f>INDEX(MO_RIS_OI_NONGAAP,0,COLUMN())</f>
        <v/>
      </c>
      <c r="AN40" s="678">
        <f>INDEX(MO_RIS_OI_NONGAAP,0,COLUMN())</f>
        <v/>
      </c>
      <c r="AO40" s="1242">
        <f>INDEX(MO_RIS_OI_NONGAAP,0,COLUMN())</f>
        <v/>
      </c>
      <c r="AP40" s="678">
        <f>INDEX(MO_RIS_OI_NONGAAP,0,COLUMN())</f>
        <v/>
      </c>
      <c r="AQ40" s="678">
        <f>INDEX(MO_RIS_OI_NONGAAP,0,COLUMN())</f>
        <v/>
      </c>
      <c r="AR40" s="678">
        <f>INDEX(MO_RIS_OI_NONGAAP,0,COLUMN())</f>
        <v/>
      </c>
      <c r="AS40" s="678">
        <f>INDEX(MO_RIS_OI_NONGAAP,0,COLUMN())</f>
        <v/>
      </c>
      <c r="AT40" s="1242">
        <f>INDEX(MO_RIS_OI_NONGAAP,0,COLUMN())</f>
        <v/>
      </c>
      <c r="AU40" s="678">
        <f>INDEX(MO_RIS_OI_NONGAAP,0,COLUMN())</f>
        <v/>
      </c>
      <c r="AV40" s="678">
        <f>INDEX(MO_RIS_OI_NONGAAP,0,COLUMN())</f>
        <v/>
      </c>
      <c r="AW40" s="678">
        <f>INDEX(MO_RIS_OI_NONGAAP,0,COLUMN())</f>
        <v/>
      </c>
      <c r="AX40" s="678">
        <f>INDEX(MO_RIS_OI_NONGAAP,0,COLUMN())</f>
        <v/>
      </c>
      <c r="AY40" s="1242">
        <f>INDEX(MO_RIS_OI_NONGAAP,0,COLUMN())</f>
        <v/>
      </c>
      <c r="AZ40" s="678">
        <f>INDEX(MO_RIS_OI_NONGAAP,0,COLUMN())</f>
        <v/>
      </c>
      <c r="BA40" s="678">
        <f>INDEX(MO_RIS_OI_NONGAAP,0,COLUMN())</f>
        <v/>
      </c>
      <c r="BB40" s="678">
        <f>INDEX(MO_RIS_OI_NONGAAP,0,COLUMN())</f>
        <v/>
      </c>
      <c r="BC40" s="678">
        <f>INDEX(MO_RIS_OI_NONGAAP,0,COLUMN())</f>
        <v/>
      </c>
      <c r="BD40" s="1242">
        <f>INDEX(MO_RIS_OI_NONGAAP,0,COLUMN())</f>
        <v/>
      </c>
      <c r="BE40" s="678">
        <f>INDEX(MO_RIS_OI_NONGAAP,0,COLUMN())</f>
        <v/>
      </c>
      <c r="BF40" s="678">
        <f>INDEX(MO_RIS_OI_NONGAAP,0,COLUMN())</f>
        <v/>
      </c>
      <c r="BG40" s="678">
        <f>INDEX(MO_RIS_OI_NONGAAP,0,COLUMN())</f>
        <v/>
      </c>
      <c r="BH40" s="678">
        <f>INDEX(MO_RIS_OI_NONGAAP,0,COLUMN())</f>
        <v/>
      </c>
      <c r="BI40" s="1242">
        <f>INDEX(MO_RIS_OI_NONGAAP,0,COLUMN())</f>
        <v/>
      </c>
      <c r="BJ40" s="678">
        <f>INDEX(MO_RIS_OI_NONGAAP,0,COLUMN())</f>
        <v/>
      </c>
      <c r="BK40" s="678">
        <f>INDEX(MO_RIS_OI_NONGAAP,0,COLUMN())</f>
        <v/>
      </c>
      <c r="BL40" s="678">
        <f>INDEX(MO_RIS_OI_NONGAAP,0,COLUMN())</f>
        <v/>
      </c>
      <c r="BM40" s="678">
        <f>INDEX(MO_RIS_OI_NONGAAP,0,COLUMN())</f>
        <v/>
      </c>
      <c r="BN40" s="1242">
        <f>INDEX(MO_RIS_OI_NONGAAP,0,COLUMN())</f>
        <v/>
      </c>
      <c r="BO40" s="678">
        <f>INDEX(MO_RIS_OI_NONGAAP,0,COLUMN())</f>
        <v/>
      </c>
      <c r="BP40" s="678">
        <f>INDEX(MO_RIS_OI_NONGAAP,0,COLUMN())</f>
        <v/>
      </c>
      <c r="BQ40" s="678">
        <f>INDEX(MO_RIS_OI_NONGAAP,0,COLUMN())</f>
        <v/>
      </c>
      <c r="BR40" s="678">
        <f>INDEX(MO_RIS_OI_NONGAAP,0,COLUMN())</f>
        <v/>
      </c>
      <c r="BS40" s="1242">
        <f>INDEX(MO_RIS_OI_NONGAAP,0,COLUMN())</f>
        <v/>
      </c>
      <c r="BT40" s="678">
        <f>INDEX(MO_RIS_OI_NONGAAP,0,COLUMN())</f>
        <v/>
      </c>
      <c r="BU40" s="678">
        <f>INDEX(MO_RIS_OI_NONGAAP,0,COLUMN())</f>
        <v/>
      </c>
      <c r="BV40" s="935">
        <f>INDEX(MO_RIS_OI_NONGAAP,0,COLUMN())</f>
        <v/>
      </c>
      <c r="BW40" s="678">
        <f>INDEX(MO_RIS_OI_NONGAAP,0,COLUMN())</f>
        <v/>
      </c>
      <c r="BX40" s="1242">
        <f>INDEX(MO_RIS_OI_NONGAAP,0,COLUMN())</f>
        <v/>
      </c>
      <c r="BY40" s="678">
        <f>INDEX(MO_RIS_OI_NONGAAP,0,COLUMN())</f>
        <v/>
      </c>
      <c r="BZ40" s="678">
        <f>INDEX(MO_RIS_OI_NONGAAP,0,COLUMN())</f>
        <v/>
      </c>
      <c r="CA40" s="678">
        <f>INDEX(MO_RIS_OI_NONGAAP,0,COLUMN())</f>
        <v/>
      </c>
      <c r="CB40" s="678">
        <f>INDEX(MO_RIS_OI_NONGAAP,0,COLUMN())</f>
        <v/>
      </c>
      <c r="CC40" s="1242">
        <f>INDEX(MO_RIS_OI_NONGAAP,0,COLUMN())</f>
        <v/>
      </c>
      <c r="CD40" s="1242">
        <f>INDEX(MO_RIS_OI_NONGAAP,0,COLUMN())</f>
        <v/>
      </c>
      <c r="CE40" s="1242">
        <f>INDEX(MO_RIS_OI_NONGAAP,0,COLUMN())</f>
        <v/>
      </c>
      <c r="CF40" s="1242">
        <f>INDEX(MO_RIS_OI_NONGAAP,0,COLUMN())</f>
        <v/>
      </c>
      <c r="CG40" s="678" t="n"/>
    </row>
    <row r="41" customFormat="1" s="973">
      <c r="A41" s="686">
        <f>INDEX(MO_MA_RIS_EBIT_NONGAAP,0,COLUMN())</f>
        <v/>
      </c>
      <c r="B41" s="687" t="n"/>
      <c r="C41" s="1243">
        <f>INDEX(MO_MA_RIS_EBIT_NONGAAP,0,COLUMN())</f>
        <v/>
      </c>
      <c r="D41" s="1243">
        <f>INDEX(MO_MA_RIS_EBIT_NONGAAP,0,COLUMN())</f>
        <v/>
      </c>
      <c r="E41" s="1243">
        <f>INDEX(MO_MA_RIS_EBIT_NONGAAP,0,COLUMN())</f>
        <v/>
      </c>
      <c r="F41" s="1243">
        <f>INDEX(MO_MA_RIS_EBIT_NONGAAP,0,COLUMN())</f>
        <v/>
      </c>
      <c r="G41" s="688">
        <f>INDEX(MO_MA_RIS_EBIT_NONGAAP,0,COLUMN())</f>
        <v/>
      </c>
      <c r="H41" s="688">
        <f>INDEX(MO_MA_RIS_EBIT_NONGAAP,0,COLUMN())</f>
        <v/>
      </c>
      <c r="I41" s="688">
        <f>INDEX(MO_MA_RIS_EBIT_NONGAAP,0,COLUMN())</f>
        <v/>
      </c>
      <c r="J41" s="688">
        <f>INDEX(MO_MA_RIS_EBIT_NONGAAP,0,COLUMN())</f>
        <v/>
      </c>
      <c r="K41" s="1243">
        <f>INDEX(MO_MA_RIS_EBIT_NONGAAP,0,COLUMN())</f>
        <v/>
      </c>
      <c r="L41" s="688">
        <f>INDEX(MO_MA_RIS_EBIT_NONGAAP,0,COLUMN())</f>
        <v/>
      </c>
      <c r="M41" s="688">
        <f>INDEX(MO_MA_RIS_EBIT_NONGAAP,0,COLUMN())</f>
        <v/>
      </c>
      <c r="N41" s="688">
        <f>INDEX(MO_MA_RIS_EBIT_NONGAAP,0,COLUMN())</f>
        <v/>
      </c>
      <c r="O41" s="688">
        <f>INDEX(MO_MA_RIS_EBIT_NONGAAP,0,COLUMN())</f>
        <v/>
      </c>
      <c r="P41" s="1243">
        <f>INDEX(MO_MA_RIS_EBIT_NONGAAP,0,COLUMN())</f>
        <v/>
      </c>
      <c r="Q41" s="688">
        <f>INDEX(MO_MA_RIS_EBIT_NONGAAP,0,COLUMN())</f>
        <v/>
      </c>
      <c r="R41" s="688">
        <f>INDEX(MO_MA_RIS_EBIT_NONGAAP,0,COLUMN())</f>
        <v/>
      </c>
      <c r="S41" s="688">
        <f>INDEX(MO_MA_RIS_EBIT_NONGAAP,0,COLUMN())</f>
        <v/>
      </c>
      <c r="T41" s="688">
        <f>INDEX(MO_MA_RIS_EBIT_NONGAAP,0,COLUMN())</f>
        <v/>
      </c>
      <c r="U41" s="1243">
        <f>INDEX(MO_MA_RIS_EBIT_NONGAAP,0,COLUMN())</f>
        <v/>
      </c>
      <c r="V41" s="688">
        <f>INDEX(MO_MA_RIS_EBIT_NONGAAP,0,COLUMN())</f>
        <v/>
      </c>
      <c r="W41" s="688">
        <f>INDEX(MO_MA_RIS_EBIT_NONGAAP,0,COLUMN())</f>
        <v/>
      </c>
      <c r="X41" s="688">
        <f>INDEX(MO_MA_RIS_EBIT_NONGAAP,0,COLUMN())</f>
        <v/>
      </c>
      <c r="Y41" s="688">
        <f>INDEX(MO_MA_RIS_EBIT_NONGAAP,0,COLUMN())</f>
        <v/>
      </c>
      <c r="Z41" s="1243">
        <f>INDEX(MO_MA_RIS_EBIT_NONGAAP,0,COLUMN())</f>
        <v/>
      </c>
      <c r="AA41" s="688">
        <f>INDEX(MO_MA_RIS_EBIT_NONGAAP,0,COLUMN())</f>
        <v/>
      </c>
      <c r="AB41" s="688">
        <f>INDEX(MO_MA_RIS_EBIT_NONGAAP,0,COLUMN())</f>
        <v/>
      </c>
      <c r="AC41" s="688">
        <f>INDEX(MO_MA_RIS_EBIT_NONGAAP,0,COLUMN())</f>
        <v/>
      </c>
      <c r="AD41" s="688">
        <f>INDEX(MO_MA_RIS_EBIT_NONGAAP,0,COLUMN())</f>
        <v/>
      </c>
      <c r="AE41" s="1243">
        <f>INDEX(MO_MA_RIS_EBIT_NONGAAP,0,COLUMN())</f>
        <v/>
      </c>
      <c r="AF41" s="688">
        <f>INDEX(MO_MA_RIS_EBIT_NONGAAP,0,COLUMN())</f>
        <v/>
      </c>
      <c r="AG41" s="688">
        <f>INDEX(MO_MA_RIS_EBIT_NONGAAP,0,COLUMN())</f>
        <v/>
      </c>
      <c r="AH41" s="688">
        <f>INDEX(MO_MA_RIS_EBIT_NONGAAP,0,COLUMN())</f>
        <v/>
      </c>
      <c r="AI41" s="688">
        <f>INDEX(MO_MA_RIS_EBIT_NONGAAP,0,COLUMN())</f>
        <v/>
      </c>
      <c r="AJ41" s="1243">
        <f>INDEX(MO_MA_RIS_EBIT_NONGAAP,0,COLUMN())</f>
        <v/>
      </c>
      <c r="AK41" s="688">
        <f>INDEX(MO_MA_RIS_EBIT_NONGAAP,0,COLUMN())</f>
        <v/>
      </c>
      <c r="AL41" s="688">
        <f>INDEX(MO_MA_RIS_EBIT_NONGAAP,0,COLUMN())</f>
        <v/>
      </c>
      <c r="AM41" s="688">
        <f>INDEX(MO_MA_RIS_EBIT_NONGAAP,0,COLUMN())</f>
        <v/>
      </c>
      <c r="AN41" s="688">
        <f>INDEX(MO_MA_RIS_EBIT_NONGAAP,0,COLUMN())</f>
        <v/>
      </c>
      <c r="AO41" s="1243">
        <f>INDEX(MO_MA_RIS_EBIT_NONGAAP,0,COLUMN())</f>
        <v/>
      </c>
      <c r="AP41" s="688">
        <f>INDEX(MO_MA_RIS_EBIT_NONGAAP,0,COLUMN())</f>
        <v/>
      </c>
      <c r="AQ41" s="688">
        <f>INDEX(MO_MA_RIS_EBIT_NONGAAP,0,COLUMN())</f>
        <v/>
      </c>
      <c r="AR41" s="688">
        <f>INDEX(MO_MA_RIS_EBIT_NONGAAP,0,COLUMN())</f>
        <v/>
      </c>
      <c r="AS41" s="688">
        <f>INDEX(MO_MA_RIS_EBIT_NONGAAP,0,COLUMN())</f>
        <v/>
      </c>
      <c r="AT41" s="1243">
        <f>INDEX(MO_MA_RIS_EBIT_NONGAAP,0,COLUMN())</f>
        <v/>
      </c>
      <c r="AU41" s="688">
        <f>INDEX(MO_MA_RIS_EBIT_NONGAAP,0,COLUMN())</f>
        <v/>
      </c>
      <c r="AV41" s="688">
        <f>INDEX(MO_MA_RIS_EBIT_NONGAAP,0,COLUMN())</f>
        <v/>
      </c>
      <c r="AW41" s="688">
        <f>INDEX(MO_MA_RIS_EBIT_NONGAAP,0,COLUMN())</f>
        <v/>
      </c>
      <c r="AX41" s="688">
        <f>INDEX(MO_MA_RIS_EBIT_NONGAAP,0,COLUMN())</f>
        <v/>
      </c>
      <c r="AY41" s="1243">
        <f>INDEX(MO_MA_RIS_EBIT_NONGAAP,0,COLUMN())</f>
        <v/>
      </c>
      <c r="AZ41" s="688">
        <f>INDEX(MO_MA_RIS_EBIT_NONGAAP,0,COLUMN())</f>
        <v/>
      </c>
      <c r="BA41" s="688">
        <f>INDEX(MO_MA_RIS_EBIT_NONGAAP,0,COLUMN())</f>
        <v/>
      </c>
      <c r="BB41" s="688">
        <f>INDEX(MO_MA_RIS_EBIT_NONGAAP,0,COLUMN())</f>
        <v/>
      </c>
      <c r="BC41" s="688">
        <f>INDEX(MO_MA_RIS_EBIT_NONGAAP,0,COLUMN())</f>
        <v/>
      </c>
      <c r="BD41" s="1243">
        <f>INDEX(MO_MA_RIS_EBIT_NONGAAP,0,COLUMN())</f>
        <v/>
      </c>
      <c r="BE41" s="688">
        <f>INDEX(MO_MA_RIS_EBIT_NONGAAP,0,COLUMN())</f>
        <v/>
      </c>
      <c r="BF41" s="688">
        <f>INDEX(MO_MA_RIS_EBIT_NONGAAP,0,COLUMN())</f>
        <v/>
      </c>
      <c r="BG41" s="688">
        <f>INDEX(MO_MA_RIS_EBIT_NONGAAP,0,COLUMN())</f>
        <v/>
      </c>
      <c r="BH41" s="688">
        <f>INDEX(MO_MA_RIS_EBIT_NONGAAP,0,COLUMN())</f>
        <v/>
      </c>
      <c r="BI41" s="1243">
        <f>INDEX(MO_MA_RIS_EBIT_NONGAAP,0,COLUMN())</f>
        <v/>
      </c>
      <c r="BJ41" s="688">
        <f>INDEX(MO_MA_RIS_EBIT_NONGAAP,0,COLUMN())</f>
        <v/>
      </c>
      <c r="BK41" s="688">
        <f>INDEX(MO_MA_RIS_EBIT_NONGAAP,0,COLUMN())</f>
        <v/>
      </c>
      <c r="BL41" s="688">
        <f>INDEX(MO_MA_RIS_EBIT_NONGAAP,0,COLUMN())</f>
        <v/>
      </c>
      <c r="BM41" s="688">
        <f>INDEX(MO_MA_RIS_EBIT_NONGAAP,0,COLUMN())</f>
        <v/>
      </c>
      <c r="BN41" s="1243">
        <f>INDEX(MO_MA_RIS_EBIT_NONGAAP,0,COLUMN())</f>
        <v/>
      </c>
      <c r="BO41" s="688">
        <f>INDEX(MO_MA_RIS_EBIT_NONGAAP,0,COLUMN())</f>
        <v/>
      </c>
      <c r="BP41" s="688">
        <f>INDEX(MO_MA_RIS_EBIT_NONGAAP,0,COLUMN())</f>
        <v/>
      </c>
      <c r="BQ41" s="688">
        <f>INDEX(MO_MA_RIS_EBIT_NONGAAP,0,COLUMN())</f>
        <v/>
      </c>
      <c r="BR41" s="688">
        <f>INDEX(MO_MA_RIS_EBIT_NONGAAP,0,COLUMN())</f>
        <v/>
      </c>
      <c r="BS41" s="1243">
        <f>INDEX(MO_MA_RIS_EBIT_NONGAAP,0,COLUMN())</f>
        <v/>
      </c>
      <c r="BT41" s="688">
        <f>INDEX(MO_MA_RIS_EBIT_NONGAAP,0,COLUMN())</f>
        <v/>
      </c>
      <c r="BU41" s="688">
        <f>INDEX(MO_MA_RIS_EBIT_NONGAAP,0,COLUMN())</f>
        <v/>
      </c>
      <c r="BV41" s="945">
        <f>INDEX(MO_MA_RIS_EBIT_NONGAAP,0,COLUMN())</f>
        <v/>
      </c>
      <c r="BW41" s="688">
        <f>INDEX(MO_MA_RIS_EBIT_NONGAAP,0,COLUMN())</f>
        <v/>
      </c>
      <c r="BX41" s="1243">
        <f>INDEX(MO_MA_RIS_EBIT_NONGAAP,0,COLUMN())</f>
        <v/>
      </c>
      <c r="BY41" s="688">
        <f>INDEX(MO_MA_RIS_EBIT_NONGAAP,0,COLUMN())</f>
        <v/>
      </c>
      <c r="BZ41" s="688">
        <f>INDEX(MO_MA_RIS_EBIT_NONGAAP,0,COLUMN())</f>
        <v/>
      </c>
      <c r="CA41" s="688">
        <f>INDEX(MO_MA_RIS_EBIT_NONGAAP,0,COLUMN())</f>
        <v/>
      </c>
      <c r="CB41" s="688">
        <f>INDEX(MO_MA_RIS_EBIT_NONGAAP,0,COLUMN())</f>
        <v/>
      </c>
      <c r="CC41" s="1243">
        <f>INDEX(MO_MA_RIS_EBIT_NONGAAP,0,COLUMN())</f>
        <v/>
      </c>
      <c r="CD41" s="1243">
        <f>INDEX(MO_MA_RIS_EBIT_NONGAAP,0,COLUMN())</f>
        <v/>
      </c>
      <c r="CE41" s="1243">
        <f>INDEX(MO_MA_RIS_EBIT_NONGAAP,0,COLUMN())</f>
        <v/>
      </c>
      <c r="CF41" s="1243">
        <f>INDEX(MO_MA_RIS_EBIT_NONGAAP,0,COLUMN())</f>
        <v/>
      </c>
      <c r="CG41" s="574" t="n"/>
    </row>
    <row r="42" customFormat="1" s="974">
      <c r="A42" s="676">
        <f>INDEX(MO_RIS_Tax_NONGAAP,0,COLUMN())</f>
        <v/>
      </c>
      <c r="B42" s="685" t="n"/>
      <c r="C42" s="1242">
        <f>INDEX(MO_RIS_Tax_NONGAAP,0,COLUMN())</f>
        <v/>
      </c>
      <c r="D42" s="1242">
        <f>INDEX(MO_RIS_Tax_NONGAAP,0,COLUMN())</f>
        <v/>
      </c>
      <c r="E42" s="1242">
        <f>INDEX(MO_RIS_Tax_NONGAAP,0,COLUMN())</f>
        <v/>
      </c>
      <c r="F42" s="1242">
        <f>INDEX(MO_RIS_Tax_NONGAAP,0,COLUMN())</f>
        <v/>
      </c>
      <c r="G42" s="678">
        <f>INDEX(MO_RIS_Tax_NONGAAP,0,COLUMN())</f>
        <v/>
      </c>
      <c r="H42" s="678">
        <f>INDEX(MO_RIS_Tax_NONGAAP,0,COLUMN())</f>
        <v/>
      </c>
      <c r="I42" s="678">
        <f>INDEX(MO_RIS_Tax_NONGAAP,0,COLUMN())</f>
        <v/>
      </c>
      <c r="J42" s="678">
        <f>INDEX(MO_RIS_Tax_NONGAAP,0,COLUMN())</f>
        <v/>
      </c>
      <c r="K42" s="1242">
        <f>INDEX(MO_RIS_Tax_NONGAAP,0,COLUMN())</f>
        <v/>
      </c>
      <c r="L42" s="678">
        <f>INDEX(MO_RIS_Tax_NONGAAP,0,COLUMN())</f>
        <v/>
      </c>
      <c r="M42" s="678">
        <f>INDEX(MO_RIS_Tax_NONGAAP,0,COLUMN())</f>
        <v/>
      </c>
      <c r="N42" s="678">
        <f>INDEX(MO_RIS_Tax_NONGAAP,0,COLUMN())</f>
        <v/>
      </c>
      <c r="O42" s="678">
        <f>INDEX(MO_RIS_Tax_NONGAAP,0,COLUMN())</f>
        <v/>
      </c>
      <c r="P42" s="1242">
        <f>INDEX(MO_RIS_Tax_NONGAAP,0,COLUMN())</f>
        <v/>
      </c>
      <c r="Q42" s="678">
        <f>INDEX(MO_RIS_Tax_NONGAAP,0,COLUMN())</f>
        <v/>
      </c>
      <c r="R42" s="678">
        <f>INDEX(MO_RIS_Tax_NONGAAP,0,COLUMN())</f>
        <v/>
      </c>
      <c r="S42" s="678">
        <f>INDEX(MO_RIS_Tax_NONGAAP,0,COLUMN())</f>
        <v/>
      </c>
      <c r="T42" s="678">
        <f>INDEX(MO_RIS_Tax_NONGAAP,0,COLUMN())</f>
        <v/>
      </c>
      <c r="U42" s="1242">
        <f>INDEX(MO_RIS_Tax_NONGAAP,0,COLUMN())</f>
        <v/>
      </c>
      <c r="V42" s="678">
        <f>INDEX(MO_RIS_Tax_NONGAAP,0,COLUMN())</f>
        <v/>
      </c>
      <c r="W42" s="678">
        <f>INDEX(MO_RIS_Tax_NONGAAP,0,COLUMN())</f>
        <v/>
      </c>
      <c r="X42" s="678">
        <f>INDEX(MO_RIS_Tax_NONGAAP,0,COLUMN())</f>
        <v/>
      </c>
      <c r="Y42" s="678">
        <f>INDEX(MO_RIS_Tax_NONGAAP,0,COLUMN())</f>
        <v/>
      </c>
      <c r="Z42" s="1242">
        <f>INDEX(MO_RIS_Tax_NONGAAP,0,COLUMN())</f>
        <v/>
      </c>
      <c r="AA42" s="678">
        <f>INDEX(MO_RIS_Tax_NONGAAP,0,COLUMN())</f>
        <v/>
      </c>
      <c r="AB42" s="678">
        <f>INDEX(MO_RIS_Tax_NONGAAP,0,COLUMN())</f>
        <v/>
      </c>
      <c r="AC42" s="678">
        <f>INDEX(MO_RIS_Tax_NONGAAP,0,COLUMN())</f>
        <v/>
      </c>
      <c r="AD42" s="678">
        <f>INDEX(MO_RIS_Tax_NONGAAP,0,COLUMN())</f>
        <v/>
      </c>
      <c r="AE42" s="1242">
        <f>INDEX(MO_RIS_Tax_NONGAAP,0,COLUMN())</f>
        <v/>
      </c>
      <c r="AF42" s="678">
        <f>INDEX(MO_RIS_Tax_NONGAAP,0,COLUMN())</f>
        <v/>
      </c>
      <c r="AG42" s="678">
        <f>INDEX(MO_RIS_Tax_NONGAAP,0,COLUMN())</f>
        <v/>
      </c>
      <c r="AH42" s="678">
        <f>INDEX(MO_RIS_Tax_NONGAAP,0,COLUMN())</f>
        <v/>
      </c>
      <c r="AI42" s="678">
        <f>INDEX(MO_RIS_Tax_NONGAAP,0,COLUMN())</f>
        <v/>
      </c>
      <c r="AJ42" s="1242">
        <f>INDEX(MO_RIS_Tax_NONGAAP,0,COLUMN())</f>
        <v/>
      </c>
      <c r="AK42" s="678">
        <f>INDEX(MO_RIS_Tax_NONGAAP,0,COLUMN())</f>
        <v/>
      </c>
      <c r="AL42" s="678">
        <f>INDEX(MO_RIS_Tax_NONGAAP,0,COLUMN())</f>
        <v/>
      </c>
      <c r="AM42" s="678">
        <f>INDEX(MO_RIS_Tax_NONGAAP,0,COLUMN())</f>
        <v/>
      </c>
      <c r="AN42" s="678">
        <f>INDEX(MO_RIS_Tax_NONGAAP,0,COLUMN())</f>
        <v/>
      </c>
      <c r="AO42" s="1242">
        <f>INDEX(MO_RIS_Tax_NONGAAP,0,COLUMN())</f>
        <v/>
      </c>
      <c r="AP42" s="678">
        <f>INDEX(MO_RIS_Tax_NONGAAP,0,COLUMN())</f>
        <v/>
      </c>
      <c r="AQ42" s="678">
        <f>INDEX(MO_RIS_Tax_NONGAAP,0,COLUMN())</f>
        <v/>
      </c>
      <c r="AR42" s="678">
        <f>INDEX(MO_RIS_Tax_NONGAAP,0,COLUMN())</f>
        <v/>
      </c>
      <c r="AS42" s="678">
        <f>INDEX(MO_RIS_Tax_NONGAAP,0,COLUMN())</f>
        <v/>
      </c>
      <c r="AT42" s="1242">
        <f>INDEX(MO_RIS_Tax_NONGAAP,0,COLUMN())</f>
        <v/>
      </c>
      <c r="AU42" s="678">
        <f>INDEX(MO_RIS_Tax_NONGAAP,0,COLUMN())</f>
        <v/>
      </c>
      <c r="AV42" s="678">
        <f>INDEX(MO_RIS_Tax_NONGAAP,0,COLUMN())</f>
        <v/>
      </c>
      <c r="AW42" s="678">
        <f>INDEX(MO_RIS_Tax_NONGAAP,0,COLUMN())</f>
        <v/>
      </c>
      <c r="AX42" s="678">
        <f>INDEX(MO_RIS_Tax_NONGAAP,0,COLUMN())</f>
        <v/>
      </c>
      <c r="AY42" s="1242">
        <f>INDEX(MO_RIS_Tax_NONGAAP,0,COLUMN())</f>
        <v/>
      </c>
      <c r="AZ42" s="678">
        <f>INDEX(MO_RIS_Tax_NONGAAP,0,COLUMN())</f>
        <v/>
      </c>
      <c r="BA42" s="678">
        <f>INDEX(MO_RIS_Tax_NONGAAP,0,COLUMN())</f>
        <v/>
      </c>
      <c r="BB42" s="678">
        <f>INDEX(MO_RIS_Tax_NONGAAP,0,COLUMN())</f>
        <v/>
      </c>
      <c r="BC42" s="678">
        <f>INDEX(MO_RIS_Tax_NONGAAP,0,COLUMN())</f>
        <v/>
      </c>
      <c r="BD42" s="1242">
        <f>INDEX(MO_RIS_Tax_NONGAAP,0,COLUMN())</f>
        <v/>
      </c>
      <c r="BE42" s="678">
        <f>INDEX(MO_RIS_Tax_NONGAAP,0,COLUMN())</f>
        <v/>
      </c>
      <c r="BF42" s="678">
        <f>INDEX(MO_RIS_Tax_NONGAAP,0,COLUMN())</f>
        <v/>
      </c>
      <c r="BG42" s="678">
        <f>INDEX(MO_RIS_Tax_NONGAAP,0,COLUMN())</f>
        <v/>
      </c>
      <c r="BH42" s="678">
        <f>INDEX(MO_RIS_Tax_NONGAAP,0,COLUMN())</f>
        <v/>
      </c>
      <c r="BI42" s="1242">
        <f>INDEX(MO_RIS_Tax_NONGAAP,0,COLUMN())</f>
        <v/>
      </c>
      <c r="BJ42" s="678">
        <f>INDEX(MO_RIS_Tax_NONGAAP,0,COLUMN())</f>
        <v/>
      </c>
      <c r="BK42" s="678">
        <f>INDEX(MO_RIS_Tax_NONGAAP,0,COLUMN())</f>
        <v/>
      </c>
      <c r="BL42" s="678">
        <f>INDEX(MO_RIS_Tax_NONGAAP,0,COLUMN())</f>
        <v/>
      </c>
      <c r="BM42" s="678">
        <f>INDEX(MO_RIS_Tax_NONGAAP,0,COLUMN())</f>
        <v/>
      </c>
      <c r="BN42" s="1242">
        <f>INDEX(MO_RIS_Tax_NONGAAP,0,COLUMN())</f>
        <v/>
      </c>
      <c r="BO42" s="678">
        <f>INDEX(MO_RIS_Tax_NONGAAP,0,COLUMN())</f>
        <v/>
      </c>
      <c r="BP42" s="678">
        <f>INDEX(MO_RIS_Tax_NONGAAP,0,COLUMN())</f>
        <v/>
      </c>
      <c r="BQ42" s="678">
        <f>INDEX(MO_RIS_Tax_NONGAAP,0,COLUMN())</f>
        <v/>
      </c>
      <c r="BR42" s="678">
        <f>INDEX(MO_RIS_Tax_NONGAAP,0,COLUMN())</f>
        <v/>
      </c>
      <c r="BS42" s="1242">
        <f>INDEX(MO_RIS_Tax_NONGAAP,0,COLUMN())</f>
        <v/>
      </c>
      <c r="BT42" s="678">
        <f>INDEX(MO_RIS_Tax_NONGAAP,0,COLUMN())</f>
        <v/>
      </c>
      <c r="BU42" s="678">
        <f>INDEX(MO_RIS_Tax_NONGAAP,0,COLUMN())</f>
        <v/>
      </c>
      <c r="BV42" s="935">
        <f>INDEX(MO_RIS_Tax_NONGAAP,0,COLUMN())</f>
        <v/>
      </c>
      <c r="BW42" s="678">
        <f>INDEX(MO_RIS_Tax_NONGAAP,0,COLUMN())</f>
        <v/>
      </c>
      <c r="BX42" s="1242">
        <f>INDEX(MO_RIS_Tax_NONGAAP,0,COLUMN())</f>
        <v/>
      </c>
      <c r="BY42" s="678">
        <f>INDEX(MO_RIS_Tax_NONGAAP,0,COLUMN())</f>
        <v/>
      </c>
      <c r="BZ42" s="678">
        <f>INDEX(MO_RIS_Tax_NONGAAP,0,COLUMN())</f>
        <v/>
      </c>
      <c r="CA42" s="678">
        <f>INDEX(MO_RIS_Tax_NONGAAP,0,COLUMN())</f>
        <v/>
      </c>
      <c r="CB42" s="678">
        <f>INDEX(MO_RIS_Tax_NONGAAP,0,COLUMN())</f>
        <v/>
      </c>
      <c r="CC42" s="1242">
        <f>INDEX(MO_RIS_Tax_NONGAAP,0,COLUMN())</f>
        <v/>
      </c>
      <c r="CD42" s="1242">
        <f>INDEX(MO_RIS_Tax_NONGAAP,0,COLUMN())</f>
        <v/>
      </c>
      <c r="CE42" s="1242">
        <f>INDEX(MO_RIS_Tax_NONGAAP,0,COLUMN())</f>
        <v/>
      </c>
      <c r="CF42" s="1242">
        <f>INDEX(MO_RIS_Tax_NONGAAP,0,COLUMN())</f>
        <v/>
      </c>
      <c r="CG42" s="678" t="n"/>
    </row>
    <row r="43" customFormat="1" s="973">
      <c r="A43" s="686">
        <f>INDEX(MO_RIS_NI_NONGAAP_Diluted,0,COLUMN())</f>
        <v/>
      </c>
      <c r="B43" s="687" t="n"/>
      <c r="C43" s="1243">
        <f>INDEX(MO_RIS_NI_NONGAAP_Diluted,0,COLUMN())</f>
        <v/>
      </c>
      <c r="D43" s="1243">
        <f>INDEX(MO_RIS_NI_NONGAAP_Diluted,0,COLUMN())</f>
        <v/>
      </c>
      <c r="E43" s="1243">
        <f>INDEX(MO_RIS_NI_NONGAAP_Diluted,0,COLUMN())</f>
        <v/>
      </c>
      <c r="F43" s="1243">
        <f>INDEX(MO_RIS_NI_NONGAAP_Diluted,0,COLUMN())</f>
        <v/>
      </c>
      <c r="G43" s="688">
        <f>INDEX(MO_RIS_NI_NONGAAP_Diluted,0,COLUMN())</f>
        <v/>
      </c>
      <c r="H43" s="688">
        <f>INDEX(MO_RIS_NI_NONGAAP_Diluted,0,COLUMN())</f>
        <v/>
      </c>
      <c r="I43" s="688">
        <f>INDEX(MO_RIS_NI_NONGAAP_Diluted,0,COLUMN())</f>
        <v/>
      </c>
      <c r="J43" s="688">
        <f>INDEX(MO_RIS_NI_NONGAAP_Diluted,0,COLUMN())</f>
        <v/>
      </c>
      <c r="K43" s="1243">
        <f>INDEX(MO_RIS_NI_NONGAAP_Diluted,0,COLUMN())</f>
        <v/>
      </c>
      <c r="L43" s="688">
        <f>INDEX(MO_RIS_NI_NONGAAP_Diluted,0,COLUMN())</f>
        <v/>
      </c>
      <c r="M43" s="688">
        <f>INDEX(MO_RIS_NI_NONGAAP_Diluted,0,COLUMN())</f>
        <v/>
      </c>
      <c r="N43" s="688">
        <f>INDEX(MO_RIS_NI_NONGAAP_Diluted,0,COLUMN())</f>
        <v/>
      </c>
      <c r="O43" s="688">
        <f>INDEX(MO_RIS_NI_NONGAAP_Diluted,0,COLUMN())</f>
        <v/>
      </c>
      <c r="P43" s="1243">
        <f>INDEX(MO_RIS_NI_NONGAAP_Diluted,0,COLUMN())</f>
        <v/>
      </c>
      <c r="Q43" s="688">
        <f>INDEX(MO_RIS_NI_NONGAAP_Diluted,0,COLUMN())</f>
        <v/>
      </c>
      <c r="R43" s="688">
        <f>INDEX(MO_RIS_NI_NONGAAP_Diluted,0,COLUMN())</f>
        <v/>
      </c>
      <c r="S43" s="688">
        <f>INDEX(MO_RIS_NI_NONGAAP_Diluted,0,COLUMN())</f>
        <v/>
      </c>
      <c r="T43" s="688">
        <f>INDEX(MO_RIS_NI_NONGAAP_Diluted,0,COLUMN())</f>
        <v/>
      </c>
      <c r="U43" s="1243">
        <f>INDEX(MO_RIS_NI_NONGAAP_Diluted,0,COLUMN())</f>
        <v/>
      </c>
      <c r="V43" s="688">
        <f>INDEX(MO_RIS_NI_NONGAAP_Diluted,0,COLUMN())</f>
        <v/>
      </c>
      <c r="W43" s="688">
        <f>INDEX(MO_RIS_NI_NONGAAP_Diluted,0,COLUMN())</f>
        <v/>
      </c>
      <c r="X43" s="688">
        <f>INDEX(MO_RIS_NI_NONGAAP_Diluted,0,COLUMN())</f>
        <v/>
      </c>
      <c r="Y43" s="688">
        <f>INDEX(MO_RIS_NI_NONGAAP_Diluted,0,COLUMN())</f>
        <v/>
      </c>
      <c r="Z43" s="1243">
        <f>INDEX(MO_RIS_NI_NONGAAP_Diluted,0,COLUMN())</f>
        <v/>
      </c>
      <c r="AA43" s="688">
        <f>INDEX(MO_RIS_NI_NONGAAP_Diluted,0,COLUMN())</f>
        <v/>
      </c>
      <c r="AB43" s="688">
        <f>INDEX(MO_RIS_NI_NONGAAP_Diluted,0,COLUMN())</f>
        <v/>
      </c>
      <c r="AC43" s="688">
        <f>INDEX(MO_RIS_NI_NONGAAP_Diluted,0,COLUMN())</f>
        <v/>
      </c>
      <c r="AD43" s="688">
        <f>INDEX(MO_RIS_NI_NONGAAP_Diluted,0,COLUMN())</f>
        <v/>
      </c>
      <c r="AE43" s="1243">
        <f>INDEX(MO_RIS_NI_NONGAAP_Diluted,0,COLUMN())</f>
        <v/>
      </c>
      <c r="AF43" s="688">
        <f>INDEX(MO_RIS_NI_NONGAAP_Diluted,0,COLUMN())</f>
        <v/>
      </c>
      <c r="AG43" s="688">
        <f>INDEX(MO_RIS_NI_NONGAAP_Diluted,0,COLUMN())</f>
        <v/>
      </c>
      <c r="AH43" s="688">
        <f>INDEX(MO_RIS_NI_NONGAAP_Diluted,0,COLUMN())</f>
        <v/>
      </c>
      <c r="AI43" s="688">
        <f>INDEX(MO_RIS_NI_NONGAAP_Diluted,0,COLUMN())</f>
        <v/>
      </c>
      <c r="AJ43" s="1243">
        <f>INDEX(MO_RIS_NI_NONGAAP_Diluted,0,COLUMN())</f>
        <v/>
      </c>
      <c r="AK43" s="688">
        <f>INDEX(MO_RIS_NI_NONGAAP_Diluted,0,COLUMN())</f>
        <v/>
      </c>
      <c r="AL43" s="688">
        <f>INDEX(MO_RIS_NI_NONGAAP_Diluted,0,COLUMN())</f>
        <v/>
      </c>
      <c r="AM43" s="688">
        <f>INDEX(MO_RIS_NI_NONGAAP_Diluted,0,COLUMN())</f>
        <v/>
      </c>
      <c r="AN43" s="688">
        <f>INDEX(MO_RIS_NI_NONGAAP_Diluted,0,COLUMN())</f>
        <v/>
      </c>
      <c r="AO43" s="1243">
        <f>INDEX(MO_RIS_NI_NONGAAP_Diluted,0,COLUMN())</f>
        <v/>
      </c>
      <c r="AP43" s="688">
        <f>INDEX(MO_RIS_NI_NONGAAP_Diluted,0,COLUMN())</f>
        <v/>
      </c>
      <c r="AQ43" s="688">
        <f>INDEX(MO_RIS_NI_NONGAAP_Diluted,0,COLUMN())</f>
        <v/>
      </c>
      <c r="AR43" s="688">
        <f>INDEX(MO_RIS_NI_NONGAAP_Diluted,0,COLUMN())</f>
        <v/>
      </c>
      <c r="AS43" s="688">
        <f>INDEX(MO_RIS_NI_NONGAAP_Diluted,0,COLUMN())</f>
        <v/>
      </c>
      <c r="AT43" s="1243">
        <f>INDEX(MO_RIS_NI_NONGAAP_Diluted,0,COLUMN())</f>
        <v/>
      </c>
      <c r="AU43" s="688">
        <f>INDEX(MO_RIS_NI_NONGAAP_Diluted,0,COLUMN())</f>
        <v/>
      </c>
      <c r="AV43" s="688">
        <f>INDEX(MO_RIS_NI_NONGAAP_Diluted,0,COLUMN())</f>
        <v/>
      </c>
      <c r="AW43" s="688">
        <f>INDEX(MO_RIS_NI_NONGAAP_Diluted,0,COLUMN())</f>
        <v/>
      </c>
      <c r="AX43" s="688">
        <f>INDEX(MO_RIS_NI_NONGAAP_Diluted,0,COLUMN())</f>
        <v/>
      </c>
      <c r="AY43" s="1243">
        <f>INDEX(MO_RIS_NI_NONGAAP_Diluted,0,COLUMN())</f>
        <v/>
      </c>
      <c r="AZ43" s="688">
        <f>INDEX(MO_RIS_NI_NONGAAP_Diluted,0,COLUMN())</f>
        <v/>
      </c>
      <c r="BA43" s="688">
        <f>INDEX(MO_RIS_NI_NONGAAP_Diluted,0,COLUMN())</f>
        <v/>
      </c>
      <c r="BB43" s="688">
        <f>INDEX(MO_RIS_NI_NONGAAP_Diluted,0,COLUMN())</f>
        <v/>
      </c>
      <c r="BC43" s="688">
        <f>INDEX(MO_RIS_NI_NONGAAP_Diluted,0,COLUMN())</f>
        <v/>
      </c>
      <c r="BD43" s="1243">
        <f>INDEX(MO_RIS_NI_NONGAAP_Diluted,0,COLUMN())</f>
        <v/>
      </c>
      <c r="BE43" s="688">
        <f>INDEX(MO_RIS_NI_NONGAAP_Diluted,0,COLUMN())</f>
        <v/>
      </c>
      <c r="BF43" s="688">
        <f>INDEX(MO_RIS_NI_NONGAAP_Diluted,0,COLUMN())</f>
        <v/>
      </c>
      <c r="BG43" s="688">
        <f>INDEX(MO_RIS_NI_NONGAAP_Diluted,0,COLUMN())</f>
        <v/>
      </c>
      <c r="BH43" s="688">
        <f>INDEX(MO_RIS_NI_NONGAAP_Diluted,0,COLUMN())</f>
        <v/>
      </c>
      <c r="BI43" s="1243">
        <f>INDEX(MO_RIS_NI_NONGAAP_Diluted,0,COLUMN())</f>
        <v/>
      </c>
      <c r="BJ43" s="688">
        <f>INDEX(MO_RIS_NI_NONGAAP_Diluted,0,COLUMN())</f>
        <v/>
      </c>
      <c r="BK43" s="688">
        <f>INDEX(MO_RIS_NI_NONGAAP_Diluted,0,COLUMN())</f>
        <v/>
      </c>
      <c r="BL43" s="688">
        <f>INDEX(MO_RIS_NI_NONGAAP_Diluted,0,COLUMN())</f>
        <v/>
      </c>
      <c r="BM43" s="688">
        <f>INDEX(MO_RIS_NI_NONGAAP_Diluted,0,COLUMN())</f>
        <v/>
      </c>
      <c r="BN43" s="1243">
        <f>INDEX(MO_RIS_NI_NONGAAP_Diluted,0,COLUMN())</f>
        <v/>
      </c>
      <c r="BO43" s="688">
        <f>INDEX(MO_RIS_NI_NONGAAP_Diluted,0,COLUMN())</f>
        <v/>
      </c>
      <c r="BP43" s="688">
        <f>INDEX(MO_RIS_NI_NONGAAP_Diluted,0,COLUMN())</f>
        <v/>
      </c>
      <c r="BQ43" s="688">
        <f>INDEX(MO_RIS_NI_NONGAAP_Diluted,0,COLUMN())</f>
        <v/>
      </c>
      <c r="BR43" s="688">
        <f>INDEX(MO_RIS_NI_NONGAAP_Diluted,0,COLUMN())</f>
        <v/>
      </c>
      <c r="BS43" s="1243">
        <f>INDEX(MO_RIS_NI_NONGAAP_Diluted,0,COLUMN())</f>
        <v/>
      </c>
      <c r="BT43" s="688">
        <f>INDEX(MO_RIS_NI_NONGAAP_Diluted,0,COLUMN())</f>
        <v/>
      </c>
      <c r="BU43" s="688">
        <f>INDEX(MO_RIS_NI_NONGAAP_Diluted,0,COLUMN())</f>
        <v/>
      </c>
      <c r="BV43" s="945">
        <f>INDEX(MO_RIS_NI_NONGAAP_Diluted,0,COLUMN())</f>
        <v/>
      </c>
      <c r="BW43" s="688">
        <f>INDEX(MO_RIS_NI_NONGAAP_Diluted,0,COLUMN())</f>
        <v/>
      </c>
      <c r="BX43" s="1243">
        <f>INDEX(MO_RIS_NI_NONGAAP_Diluted,0,COLUMN())</f>
        <v/>
      </c>
      <c r="BY43" s="688">
        <f>INDEX(MO_RIS_NI_NONGAAP_Diluted,0,COLUMN())</f>
        <v/>
      </c>
      <c r="BZ43" s="688">
        <f>INDEX(MO_RIS_NI_NONGAAP_Diluted,0,COLUMN())</f>
        <v/>
      </c>
      <c r="CA43" s="688">
        <f>INDEX(MO_RIS_NI_NONGAAP_Diluted,0,COLUMN())</f>
        <v/>
      </c>
      <c r="CB43" s="688">
        <f>INDEX(MO_RIS_NI_NONGAAP_Diluted,0,COLUMN())</f>
        <v/>
      </c>
      <c r="CC43" s="1243">
        <f>INDEX(MO_RIS_NI_NONGAAP_Diluted,0,COLUMN())</f>
        <v/>
      </c>
      <c r="CD43" s="1243">
        <f>INDEX(MO_RIS_NI_NONGAAP_Diluted,0,COLUMN())</f>
        <v/>
      </c>
      <c r="CE43" s="1243">
        <f>INDEX(MO_RIS_NI_NONGAAP_Diluted,0,COLUMN())</f>
        <v/>
      </c>
      <c r="CF43" s="1243">
        <f>INDEX(MO_RIS_NI_NONGAAP_Diluted,0,COLUMN())</f>
        <v/>
      </c>
      <c r="CG43" s="574" t="n"/>
    </row>
    <row r="44" customFormat="1" s="974">
      <c r="A44" s="679" t="inlineStr">
        <is>
          <t>GAAP Adjustments</t>
        </is>
      </c>
      <c r="B44" s="680" t="n"/>
      <c r="C44" s="1248">
        <f>+Model!C408+Model!C409+Model!C410+Model!C411+Model!C412+Model!C413</f>
        <v/>
      </c>
      <c r="D44" s="1248">
        <f>+Model!D408+Model!D409+Model!D410+Model!D411+Model!D412+Model!D413</f>
        <v/>
      </c>
      <c r="E44" s="1248">
        <f>+Model!E408+Model!E409+Model!E410+Model!E411+Model!E412+Model!E413</f>
        <v/>
      </c>
      <c r="F44" s="1248">
        <f>+Model!F408+Model!F409+Model!F410+Model!F411+Model!F412+Model!F413</f>
        <v/>
      </c>
      <c r="G44" s="681">
        <f>+Model!G408+Model!G409+Model!G410+Model!G411+Model!G412+Model!G413</f>
        <v/>
      </c>
      <c r="H44" s="681">
        <f>+Model!H408+Model!H409+Model!H410+Model!H411+Model!H412+Model!H413</f>
        <v/>
      </c>
      <c r="I44" s="681">
        <f>+Model!I408+Model!I409+Model!I410+Model!I411+Model!I412+Model!I413</f>
        <v/>
      </c>
      <c r="J44" s="681">
        <f>+Model!J408+Model!J409+Model!J410+Model!J411+Model!J412+Model!J413</f>
        <v/>
      </c>
      <c r="K44" s="1248">
        <f>+Model!K408+Model!K409+Model!K410+Model!K411+Model!K412+Model!K413</f>
        <v/>
      </c>
      <c r="L44" s="681">
        <f>+Model!L408+Model!L409+Model!L410+Model!L411+Model!L412+Model!L413</f>
        <v/>
      </c>
      <c r="M44" s="681">
        <f>+Model!M408+Model!M409+Model!M410+Model!M411+Model!M412+Model!M413</f>
        <v/>
      </c>
      <c r="N44" s="681">
        <f>+Model!N408+Model!N409+Model!N410+Model!N411+Model!N412+Model!N413</f>
        <v/>
      </c>
      <c r="O44" s="681">
        <f>+Model!O408+Model!O409+Model!O410+Model!O411+Model!O412+Model!O413</f>
        <v/>
      </c>
      <c r="P44" s="1248">
        <f>+Model!P408+Model!P409+Model!P410+Model!P411+Model!P412+Model!P413</f>
        <v/>
      </c>
      <c r="Q44" s="681">
        <f>+Model!Q408+Model!Q409+Model!Q410+Model!Q411+Model!Q412+Model!Q413</f>
        <v/>
      </c>
      <c r="R44" s="681">
        <f>+Model!R408+Model!R409+Model!R410+Model!R411+Model!R412+Model!R413</f>
        <v/>
      </c>
      <c r="S44" s="681">
        <f>+Model!S408+Model!S409+Model!S410+Model!S411+Model!S412+Model!S413</f>
        <v/>
      </c>
      <c r="T44" s="681">
        <f>+Model!T408+Model!T409+Model!T410+Model!T411+Model!T412+Model!T413</f>
        <v/>
      </c>
      <c r="U44" s="1248">
        <f>+Model!U408+Model!U409+Model!U410+Model!U411+Model!U412+Model!U413</f>
        <v/>
      </c>
      <c r="V44" s="681">
        <f>+Model!V408+Model!V409+Model!V410+Model!V411+Model!V412+Model!V413</f>
        <v/>
      </c>
      <c r="W44" s="681">
        <f>+Model!W408+Model!W409+Model!W410+Model!W411+Model!W412+Model!W413</f>
        <v/>
      </c>
      <c r="X44" s="681">
        <f>+Model!X408+Model!X409+Model!X410+Model!X411+Model!X412+Model!X413</f>
        <v/>
      </c>
      <c r="Y44" s="681">
        <f>+Model!Y408+Model!Y409+Model!Y410+Model!Y411+Model!Y412+Model!Y413</f>
        <v/>
      </c>
      <c r="Z44" s="1248">
        <f>+Model!Z408+Model!Z409+Model!Z410+Model!Z411+Model!Z412+Model!Z413</f>
        <v/>
      </c>
      <c r="AA44" s="681">
        <f>+Model!AA408+Model!AA409+Model!AA410+Model!AA411+Model!AA412+Model!AA413</f>
        <v/>
      </c>
      <c r="AB44" s="681">
        <f>+Model!AB408+Model!AB409+Model!AB410+Model!AB411+Model!AB412+Model!AB413</f>
        <v/>
      </c>
      <c r="AC44" s="681">
        <f>+Model!AC408+Model!AC409+Model!AC410+Model!AC411+Model!AC412+Model!AC413</f>
        <v/>
      </c>
      <c r="AD44" s="681">
        <f>+Model!AD408+Model!AD409+Model!AD410+Model!AD411+Model!AD412+Model!AD413</f>
        <v/>
      </c>
      <c r="AE44" s="1248">
        <f>+Model!AE408+Model!AE409+Model!AE410+Model!AE411+Model!AE412+Model!AE413</f>
        <v/>
      </c>
      <c r="AF44" s="681">
        <f>+Model!AF408+Model!AF409+Model!AF410+Model!AF411+Model!AF412+Model!AF413</f>
        <v/>
      </c>
      <c r="AG44" s="681">
        <f>+Model!AG408+Model!AG409+Model!AG410+Model!AG411+Model!AG412+Model!AG413</f>
        <v/>
      </c>
      <c r="AH44" s="681">
        <f>+Model!AH408+Model!AH409+Model!AH410+Model!AH411+Model!AH412+Model!AH413</f>
        <v/>
      </c>
      <c r="AI44" s="681">
        <f>+Model!AI408+Model!AI409+Model!AI410+Model!AI411+Model!AI412+Model!AI413</f>
        <v/>
      </c>
      <c r="AJ44" s="1248">
        <f>+Model!AJ408+Model!AJ409+Model!AJ410+Model!AJ411+Model!AJ412+Model!AJ413</f>
        <v/>
      </c>
      <c r="AK44" s="681">
        <f>+Model!AK408+Model!AK409+Model!AK410+Model!AK411+Model!AK412+Model!AK413</f>
        <v/>
      </c>
      <c r="AL44" s="681">
        <f>+Model!AL408+Model!AL409+Model!AL410+Model!AL411+Model!AL412+Model!AL413</f>
        <v/>
      </c>
      <c r="AM44" s="681">
        <f>+Model!AM408+Model!AM409+Model!AM410+Model!AM411+Model!AM412+Model!AM413</f>
        <v/>
      </c>
      <c r="AN44" s="681">
        <f>+Model!AN408+Model!AN409+Model!AN410+Model!AN411+Model!AN412+Model!AN413</f>
        <v/>
      </c>
      <c r="AO44" s="1248">
        <f>+Model!AO408+Model!AO409+Model!AO410+Model!AO411+Model!AO412+Model!AO413</f>
        <v/>
      </c>
      <c r="AP44" s="681">
        <f>+Model!AP408+Model!AP409+Model!AP410+Model!AP411+Model!AP412+Model!AP413</f>
        <v/>
      </c>
      <c r="AQ44" s="681">
        <f>+Model!AQ408+Model!AQ409+Model!AQ410+Model!AQ411+Model!AQ412+Model!AQ413</f>
        <v/>
      </c>
      <c r="AR44" s="681">
        <f>+Model!AR408+Model!AR409+Model!AR410+Model!AR411+Model!AR412+Model!AR413</f>
        <v/>
      </c>
      <c r="AS44" s="681">
        <f>+Model!AS408+Model!AS409+Model!AS410+Model!AS411+Model!AS412+Model!AS413</f>
        <v/>
      </c>
      <c r="AT44" s="1248">
        <f>+Model!AT408+Model!AT409+Model!AT410+Model!AT411+Model!AT412+Model!AT413</f>
        <v/>
      </c>
      <c r="AU44" s="681">
        <f>+Model!AU408+Model!AU409+Model!AU410+Model!AU411+Model!AU412+Model!AU413</f>
        <v/>
      </c>
      <c r="AV44" s="681">
        <f>+Model!AV408+Model!AV409+Model!AV410+Model!AV411+Model!AV412+Model!AV413</f>
        <v/>
      </c>
      <c r="AW44" s="681">
        <f>+Model!AW408+Model!AW409+Model!AW410+Model!AW411+Model!AW412+Model!AW413</f>
        <v/>
      </c>
      <c r="AX44" s="681">
        <f>+Model!AX408+Model!AX409+Model!AX410+Model!AX411+Model!AX412+Model!AX413</f>
        <v/>
      </c>
      <c r="AY44" s="1248">
        <f>+Model!AY408+Model!AY409+Model!AY410+Model!AY411+Model!AY412+Model!AY413</f>
        <v/>
      </c>
      <c r="AZ44" s="681">
        <f>+Model!AZ408+Model!AZ409+Model!AZ410+Model!AZ411+Model!AZ412+Model!AZ413</f>
        <v/>
      </c>
      <c r="BA44" s="681">
        <f>+Model!BA408+Model!BA409+Model!BA410+Model!BA411+Model!BA412+Model!BA413</f>
        <v/>
      </c>
      <c r="BB44" s="681">
        <f>+Model!BB408+Model!BB409+Model!BB410+Model!BB411+Model!BB412+Model!BB413</f>
        <v/>
      </c>
      <c r="BC44" s="681">
        <f>+Model!BC408+Model!BC409+Model!BC410+Model!BC411+Model!BC412+Model!BC413</f>
        <v/>
      </c>
      <c r="BD44" s="1248">
        <f>+Model!BD408+Model!BD409+Model!BD410+Model!BD411+Model!BD412+Model!BD413</f>
        <v/>
      </c>
      <c r="BE44" s="681">
        <f>+Model!BE408+Model!BE409+Model!BE410+Model!BE411+Model!BE412+Model!BE413</f>
        <v/>
      </c>
      <c r="BF44" s="681">
        <f>+Model!BF408+Model!BF409+Model!BF410+Model!BF411+Model!BF412+Model!BF413</f>
        <v/>
      </c>
      <c r="BG44" s="681">
        <f>+Model!BG408+Model!BG409+Model!BG410+Model!BG411+Model!BG412+Model!BG413</f>
        <v/>
      </c>
      <c r="BH44" s="681">
        <f>+Model!BH408+Model!BH409+Model!BH410+Model!BH411+Model!BH412+Model!BH413</f>
        <v/>
      </c>
      <c r="BI44" s="1248">
        <f>+Model!BI408+Model!BI409+Model!BI410+Model!BI411+Model!BI412+Model!BI413</f>
        <v/>
      </c>
      <c r="BJ44" s="681">
        <f>+Model!BJ408+Model!BJ409+Model!BJ410+Model!BJ411+Model!BJ412+Model!BJ413</f>
        <v/>
      </c>
      <c r="BK44" s="681">
        <f>+Model!BK408+Model!BK409+Model!BK410+Model!BK411+Model!BK412+Model!BK413</f>
        <v/>
      </c>
      <c r="BL44" s="681">
        <f>+Model!BL408+Model!BL409+Model!BL410+Model!BL411+Model!BL412+Model!BL413</f>
        <v/>
      </c>
      <c r="BM44" s="681">
        <f>+Model!BM408+Model!BM409+Model!BM410+Model!BM411+Model!BM412+Model!BM413</f>
        <v/>
      </c>
      <c r="BN44" s="1248">
        <f>+Model!BN408+Model!BN409+Model!BN410+Model!BN411+Model!BN412+Model!BN413</f>
        <v/>
      </c>
      <c r="BO44" s="681">
        <f>+Model!BO408+Model!BO409+Model!BO410+Model!BO411+Model!BO412+Model!BO413</f>
        <v/>
      </c>
      <c r="BP44" s="681">
        <f>+Model!BP408+Model!BP409+Model!BP410+Model!BP411+Model!BP412+Model!BP413</f>
        <v/>
      </c>
      <c r="BQ44" s="681">
        <f>+Model!BQ408+Model!BQ409+Model!BQ410+Model!BQ411+Model!BQ412+Model!BQ413</f>
        <v/>
      </c>
      <c r="BR44" s="681">
        <f>+Model!BR408+Model!BR409+Model!BR410+Model!BR411+Model!BR412+Model!BR413</f>
        <v/>
      </c>
      <c r="BS44" s="1248">
        <f>+Model!BS408+Model!BS409+Model!BS410+Model!BS411+Model!BS412+Model!BS413</f>
        <v/>
      </c>
      <c r="BT44" s="681">
        <f>+Model!BT408+Model!BT409+Model!BT410+Model!BT411+Model!BT412+Model!BT413</f>
        <v/>
      </c>
      <c r="BU44" s="681">
        <f>+Model!BU408+Model!BU409+Model!BU410+Model!BU411+Model!BU412+Model!BU413</f>
        <v/>
      </c>
      <c r="BV44" s="939">
        <f>+Model!BV408+Model!BV409+Model!BV410+Model!BV411+Model!BV412+Model!BV413</f>
        <v/>
      </c>
      <c r="BW44" s="681">
        <f>+Model!BW408+Model!BW409+Model!BW410+Model!BW411+Model!BW412+Model!BW413</f>
        <v/>
      </c>
      <c r="BX44" s="1248">
        <f>+Model!BX408+Model!BX409+Model!BX410+Model!BX411+Model!BX412+Model!BX413</f>
        <v/>
      </c>
      <c r="BY44" s="681">
        <f>+Model!BY408+Model!BY409+Model!BY410+Model!BY411+Model!BY412+Model!BY413</f>
        <v/>
      </c>
      <c r="BZ44" s="681">
        <f>+Model!BZ408+Model!BZ409+Model!BZ410+Model!BZ411+Model!BZ412+Model!BZ413</f>
        <v/>
      </c>
      <c r="CA44" s="681">
        <f>+Model!CA408+Model!CA409+Model!CA410+Model!CA411+Model!CA412+Model!CA413</f>
        <v/>
      </c>
      <c r="CB44" s="681">
        <f>+Model!CB408+Model!CB409+Model!CB410+Model!CB411+Model!CB412+Model!CB413</f>
        <v/>
      </c>
      <c r="CC44" s="1248">
        <f>+Model!CC408+Model!CC409+Model!CC410+Model!CC411+Model!CC412+Model!CC413</f>
        <v/>
      </c>
      <c r="CD44" s="1248">
        <f>+Model!CD408+Model!CD409+Model!CD410+Model!CD411+Model!CD412+Model!CD413</f>
        <v/>
      </c>
      <c r="CE44" s="1248">
        <f>+Model!CE408+Model!CE409+Model!CE410+Model!CE411+Model!CE412+Model!CE413</f>
        <v/>
      </c>
      <c r="CF44" s="1248">
        <f>+Model!CF408+Model!CF409+Model!CF410+Model!CF411+Model!CF412+Model!CF413</f>
        <v/>
      </c>
      <c r="CG44" s="678" t="n"/>
    </row>
    <row r="45" customFormat="1" s="973">
      <c r="A45" s="682">
        <f>INDEX(MO_RIS_NI_GAAP_Diluted,0,COLUMN())</f>
        <v/>
      </c>
      <c r="B45" s="684" t="n"/>
      <c r="C45" s="1241">
        <f>INDEX(MO_RIS_NI_GAAP_Diluted,0,COLUMN())</f>
        <v/>
      </c>
      <c r="D45" s="1241">
        <f>INDEX(MO_RIS_NI_GAAP_Diluted,0,COLUMN())</f>
        <v/>
      </c>
      <c r="E45" s="1241">
        <f>INDEX(MO_RIS_NI_GAAP_Diluted,0,COLUMN())</f>
        <v/>
      </c>
      <c r="F45" s="1241">
        <f>INDEX(MO_RIS_NI_GAAP_Diluted,0,COLUMN())</f>
        <v/>
      </c>
      <c r="G45" s="574">
        <f>INDEX(MO_RIS_NI_GAAP_Diluted,0,COLUMN())</f>
        <v/>
      </c>
      <c r="H45" s="574">
        <f>INDEX(MO_RIS_NI_GAAP_Diluted,0,COLUMN())</f>
        <v/>
      </c>
      <c r="I45" s="574">
        <f>INDEX(MO_RIS_NI_GAAP_Diluted,0,COLUMN())</f>
        <v/>
      </c>
      <c r="J45" s="574">
        <f>INDEX(MO_RIS_NI_GAAP_Diluted,0,COLUMN())</f>
        <v/>
      </c>
      <c r="K45" s="1241">
        <f>INDEX(MO_RIS_NI_GAAP_Diluted,0,COLUMN())</f>
        <v/>
      </c>
      <c r="L45" s="574">
        <f>INDEX(MO_RIS_NI_GAAP_Diluted,0,COLUMN())</f>
        <v/>
      </c>
      <c r="M45" s="574">
        <f>INDEX(MO_RIS_NI_GAAP_Diluted,0,COLUMN())</f>
        <v/>
      </c>
      <c r="N45" s="574">
        <f>INDEX(MO_RIS_NI_GAAP_Diluted,0,COLUMN())</f>
        <v/>
      </c>
      <c r="O45" s="574">
        <f>INDEX(MO_RIS_NI_GAAP_Diluted,0,COLUMN())</f>
        <v/>
      </c>
      <c r="P45" s="1241">
        <f>INDEX(MO_RIS_NI_GAAP_Diluted,0,COLUMN())</f>
        <v/>
      </c>
      <c r="Q45" s="574">
        <f>INDEX(MO_RIS_NI_GAAP_Diluted,0,COLUMN())</f>
        <v/>
      </c>
      <c r="R45" s="574">
        <f>INDEX(MO_RIS_NI_GAAP_Diluted,0,COLUMN())</f>
        <v/>
      </c>
      <c r="S45" s="574">
        <f>INDEX(MO_RIS_NI_GAAP_Diluted,0,COLUMN())</f>
        <v/>
      </c>
      <c r="T45" s="574">
        <f>INDEX(MO_RIS_NI_GAAP_Diluted,0,COLUMN())</f>
        <v/>
      </c>
      <c r="U45" s="1241">
        <f>INDEX(MO_RIS_NI_GAAP_Diluted,0,COLUMN())</f>
        <v/>
      </c>
      <c r="V45" s="574">
        <f>INDEX(MO_RIS_NI_GAAP_Diluted,0,COLUMN())</f>
        <v/>
      </c>
      <c r="W45" s="574">
        <f>INDEX(MO_RIS_NI_GAAP_Diluted,0,COLUMN())</f>
        <v/>
      </c>
      <c r="X45" s="574">
        <f>INDEX(MO_RIS_NI_GAAP_Diluted,0,COLUMN())</f>
        <v/>
      </c>
      <c r="Y45" s="574">
        <f>INDEX(MO_RIS_NI_GAAP_Diluted,0,COLUMN())</f>
        <v/>
      </c>
      <c r="Z45" s="1241">
        <f>INDEX(MO_RIS_NI_GAAP_Diluted,0,COLUMN())</f>
        <v/>
      </c>
      <c r="AA45" s="574">
        <f>INDEX(MO_RIS_NI_GAAP_Diluted,0,COLUMN())</f>
        <v/>
      </c>
      <c r="AB45" s="574">
        <f>INDEX(MO_RIS_NI_GAAP_Diluted,0,COLUMN())</f>
        <v/>
      </c>
      <c r="AC45" s="574">
        <f>INDEX(MO_RIS_NI_GAAP_Diluted,0,COLUMN())</f>
        <v/>
      </c>
      <c r="AD45" s="574">
        <f>INDEX(MO_RIS_NI_GAAP_Diluted,0,COLUMN())</f>
        <v/>
      </c>
      <c r="AE45" s="1241">
        <f>INDEX(MO_RIS_NI_GAAP_Diluted,0,COLUMN())</f>
        <v/>
      </c>
      <c r="AF45" s="574">
        <f>INDEX(MO_RIS_NI_GAAP_Diluted,0,COLUMN())</f>
        <v/>
      </c>
      <c r="AG45" s="574">
        <f>INDEX(MO_RIS_NI_GAAP_Diluted,0,COLUMN())</f>
        <v/>
      </c>
      <c r="AH45" s="574">
        <f>INDEX(MO_RIS_NI_GAAP_Diluted,0,COLUMN())</f>
        <v/>
      </c>
      <c r="AI45" s="574">
        <f>INDEX(MO_RIS_NI_GAAP_Diluted,0,COLUMN())</f>
        <v/>
      </c>
      <c r="AJ45" s="1241">
        <f>INDEX(MO_RIS_NI_GAAP_Diluted,0,COLUMN())</f>
        <v/>
      </c>
      <c r="AK45" s="574">
        <f>INDEX(MO_RIS_NI_GAAP_Diluted,0,COLUMN())</f>
        <v/>
      </c>
      <c r="AL45" s="574">
        <f>INDEX(MO_RIS_NI_GAAP_Diluted,0,COLUMN())</f>
        <v/>
      </c>
      <c r="AM45" s="574">
        <f>INDEX(MO_RIS_NI_GAAP_Diluted,0,COLUMN())</f>
        <v/>
      </c>
      <c r="AN45" s="574">
        <f>INDEX(MO_RIS_NI_GAAP_Diluted,0,COLUMN())</f>
        <v/>
      </c>
      <c r="AO45" s="1241">
        <f>INDEX(MO_RIS_NI_GAAP_Diluted,0,COLUMN())</f>
        <v/>
      </c>
      <c r="AP45" s="574">
        <f>INDEX(MO_RIS_NI_GAAP_Diluted,0,COLUMN())</f>
        <v/>
      </c>
      <c r="AQ45" s="574">
        <f>INDEX(MO_RIS_NI_GAAP_Diluted,0,COLUMN())</f>
        <v/>
      </c>
      <c r="AR45" s="574">
        <f>INDEX(MO_RIS_NI_GAAP_Diluted,0,COLUMN())</f>
        <v/>
      </c>
      <c r="AS45" s="574">
        <f>INDEX(MO_RIS_NI_GAAP_Diluted,0,COLUMN())</f>
        <v/>
      </c>
      <c r="AT45" s="1241">
        <f>INDEX(MO_RIS_NI_GAAP_Diluted,0,COLUMN())</f>
        <v/>
      </c>
      <c r="AU45" s="574">
        <f>INDEX(MO_RIS_NI_GAAP_Diluted,0,COLUMN())</f>
        <v/>
      </c>
      <c r="AV45" s="574">
        <f>INDEX(MO_RIS_NI_GAAP_Diluted,0,COLUMN())</f>
        <v/>
      </c>
      <c r="AW45" s="574">
        <f>INDEX(MO_RIS_NI_GAAP_Diluted,0,COLUMN())</f>
        <v/>
      </c>
      <c r="AX45" s="574">
        <f>INDEX(MO_RIS_NI_GAAP_Diluted,0,COLUMN())</f>
        <v/>
      </c>
      <c r="AY45" s="1241">
        <f>INDEX(MO_RIS_NI_GAAP_Diluted,0,COLUMN())</f>
        <v/>
      </c>
      <c r="AZ45" s="574">
        <f>INDEX(MO_RIS_NI_GAAP_Diluted,0,COLUMN())</f>
        <v/>
      </c>
      <c r="BA45" s="574">
        <f>INDEX(MO_RIS_NI_GAAP_Diluted,0,COLUMN())</f>
        <v/>
      </c>
      <c r="BB45" s="574">
        <f>INDEX(MO_RIS_NI_GAAP_Diluted,0,COLUMN())</f>
        <v/>
      </c>
      <c r="BC45" s="574">
        <f>INDEX(MO_RIS_NI_GAAP_Diluted,0,COLUMN())</f>
        <v/>
      </c>
      <c r="BD45" s="1241">
        <f>INDEX(MO_RIS_NI_GAAP_Diluted,0,COLUMN())</f>
        <v/>
      </c>
      <c r="BE45" s="574">
        <f>INDEX(MO_RIS_NI_GAAP_Diluted,0,COLUMN())</f>
        <v/>
      </c>
      <c r="BF45" s="574">
        <f>INDEX(MO_RIS_NI_GAAP_Diluted,0,COLUMN())</f>
        <v/>
      </c>
      <c r="BG45" s="574">
        <f>INDEX(MO_RIS_NI_GAAP_Diluted,0,COLUMN())</f>
        <v/>
      </c>
      <c r="BH45" s="574">
        <f>INDEX(MO_RIS_NI_GAAP_Diluted,0,COLUMN())</f>
        <v/>
      </c>
      <c r="BI45" s="1241">
        <f>INDEX(MO_RIS_NI_GAAP_Diluted,0,COLUMN())</f>
        <v/>
      </c>
      <c r="BJ45" s="574">
        <f>INDEX(MO_RIS_NI_GAAP_Diluted,0,COLUMN())</f>
        <v/>
      </c>
      <c r="BK45" s="574">
        <f>INDEX(MO_RIS_NI_GAAP_Diluted,0,COLUMN())</f>
        <v/>
      </c>
      <c r="BL45" s="574">
        <f>INDEX(MO_RIS_NI_GAAP_Diluted,0,COLUMN())</f>
        <v/>
      </c>
      <c r="BM45" s="574">
        <f>INDEX(MO_RIS_NI_GAAP_Diluted,0,COLUMN())</f>
        <v/>
      </c>
      <c r="BN45" s="1241">
        <f>INDEX(MO_RIS_NI_GAAP_Diluted,0,COLUMN())</f>
        <v/>
      </c>
      <c r="BO45" s="574">
        <f>INDEX(MO_RIS_NI_GAAP_Diluted,0,COLUMN())</f>
        <v/>
      </c>
      <c r="BP45" s="574">
        <f>INDEX(MO_RIS_NI_GAAP_Diluted,0,COLUMN())</f>
        <v/>
      </c>
      <c r="BQ45" s="574">
        <f>INDEX(MO_RIS_NI_GAAP_Diluted,0,COLUMN())</f>
        <v/>
      </c>
      <c r="BR45" s="574">
        <f>INDEX(MO_RIS_NI_GAAP_Diluted,0,COLUMN())</f>
        <v/>
      </c>
      <c r="BS45" s="1241">
        <f>INDEX(MO_RIS_NI_GAAP_Diluted,0,COLUMN())</f>
        <v/>
      </c>
      <c r="BT45" s="574">
        <f>INDEX(MO_RIS_NI_GAAP_Diluted,0,COLUMN())</f>
        <v/>
      </c>
      <c r="BU45" s="574">
        <f>INDEX(MO_RIS_NI_GAAP_Diluted,0,COLUMN())</f>
        <v/>
      </c>
      <c r="BV45" s="936">
        <f>INDEX(MO_RIS_NI_GAAP_Diluted,0,COLUMN())</f>
        <v/>
      </c>
      <c r="BW45" s="574">
        <f>INDEX(MO_RIS_NI_GAAP_Diluted,0,COLUMN())</f>
        <v/>
      </c>
      <c r="BX45" s="1241">
        <f>INDEX(MO_RIS_NI_GAAP_Diluted,0,COLUMN())</f>
        <v/>
      </c>
      <c r="BY45" s="574">
        <f>INDEX(MO_RIS_NI_GAAP_Diluted,0,COLUMN())</f>
        <v/>
      </c>
      <c r="BZ45" s="574">
        <f>INDEX(MO_RIS_NI_GAAP_Diluted,0,COLUMN())</f>
        <v/>
      </c>
      <c r="CA45" s="574">
        <f>INDEX(MO_RIS_NI_GAAP_Diluted,0,COLUMN())</f>
        <v/>
      </c>
      <c r="CB45" s="574">
        <f>INDEX(MO_RIS_NI_GAAP_Diluted,0,COLUMN())</f>
        <v/>
      </c>
      <c r="CC45" s="1241">
        <f>INDEX(MO_RIS_NI_GAAP_Diluted,0,COLUMN())</f>
        <v/>
      </c>
      <c r="CD45" s="1241">
        <f>INDEX(MO_RIS_NI_GAAP_Diluted,0,COLUMN())</f>
        <v/>
      </c>
      <c r="CE45" s="1241">
        <f>INDEX(MO_RIS_NI_GAAP_Diluted,0,COLUMN())</f>
        <v/>
      </c>
      <c r="CF45" s="1241">
        <f>INDEX(MO_RIS_NI_GAAP_Diluted,0,COLUMN())</f>
        <v/>
      </c>
      <c r="CG45" s="574" t="n"/>
    </row>
    <row r="46" customFormat="1" s="972">
      <c r="A46" s="209" t="n"/>
      <c r="B46" s="210" t="n"/>
      <c r="C46" s="1238" t="n"/>
      <c r="D46" s="1238" t="n"/>
      <c r="E46" s="1238" t="n"/>
      <c r="F46" s="1238" t="n"/>
      <c r="G46" s="133" t="n"/>
      <c r="H46" s="133" t="n"/>
      <c r="I46" s="133" t="n"/>
      <c r="J46" s="133" t="n"/>
      <c r="K46" s="1238" t="n"/>
      <c r="L46" s="133" t="n"/>
      <c r="M46" s="133" t="n"/>
      <c r="N46" s="133" t="n"/>
      <c r="O46" s="133" t="n"/>
      <c r="P46" s="1238" t="n"/>
      <c r="Q46" s="133" t="n"/>
      <c r="R46" s="133" t="n"/>
      <c r="S46" s="133" t="n"/>
      <c r="T46" s="133" t="n"/>
      <c r="U46" s="1238" t="n"/>
      <c r="V46" s="133" t="n"/>
      <c r="W46" s="133" t="n"/>
      <c r="X46" s="133" t="n"/>
      <c r="Y46" s="133" t="n"/>
      <c r="Z46" s="1238" t="n"/>
      <c r="AA46" s="133" t="n"/>
      <c r="AB46" s="133" t="n"/>
      <c r="AC46" s="133" t="n"/>
      <c r="AD46" s="133" t="n"/>
      <c r="AE46" s="1238" t="n"/>
      <c r="AF46" s="133" t="n"/>
      <c r="AG46" s="133" t="n"/>
      <c r="AH46" s="133" t="n"/>
      <c r="AI46" s="133" t="n"/>
      <c r="AJ46" s="1238" t="n"/>
      <c r="AK46" s="133" t="n"/>
      <c r="AL46" s="133" t="n"/>
      <c r="AM46" s="133" t="n"/>
      <c r="AN46" s="133" t="n"/>
      <c r="AO46" s="1238" t="n"/>
      <c r="AP46" s="133" t="n"/>
      <c r="AQ46" s="133" t="n"/>
      <c r="AR46" s="133" t="n"/>
      <c r="AS46" s="133" t="n"/>
      <c r="AT46" s="1238" t="n"/>
      <c r="AU46" s="133" t="n"/>
      <c r="AV46" s="133" t="n"/>
      <c r="AW46" s="133" t="n"/>
      <c r="AX46" s="133" t="n"/>
      <c r="AY46" s="1238" t="n"/>
      <c r="AZ46" s="133" t="n"/>
      <c r="BA46" s="133" t="n"/>
      <c r="BB46" s="133" t="n"/>
      <c r="BC46" s="133" t="n"/>
      <c r="BD46" s="1238" t="n"/>
      <c r="BE46" s="133" t="n"/>
      <c r="BF46" s="133" t="n"/>
      <c r="BG46" s="133" t="n"/>
      <c r="BH46" s="133" t="n"/>
      <c r="BI46" s="1238" t="n"/>
      <c r="BJ46" s="133" t="n"/>
      <c r="BK46" s="133" t="n"/>
      <c r="BL46" s="133" t="n"/>
      <c r="BM46" s="133" t="n"/>
      <c r="BN46" s="1238" t="n"/>
      <c r="BO46" s="133" t="n"/>
      <c r="BP46" s="133" t="n"/>
      <c r="BQ46" s="133" t="n"/>
      <c r="BR46" s="133" t="n"/>
      <c r="BS46" s="1238" t="n"/>
      <c r="BT46" s="133" t="n"/>
      <c r="BU46" s="133" t="n"/>
      <c r="BV46" s="948" t="n"/>
      <c r="BW46" s="133" t="n"/>
      <c r="BX46" s="1238" t="n"/>
      <c r="BY46" s="133" t="n"/>
      <c r="BZ46" s="133" t="n"/>
      <c r="CA46" s="133" t="n"/>
      <c r="CB46" s="133" t="n"/>
      <c r="CC46" s="1238" t="n"/>
      <c r="CD46" s="1238" t="n"/>
      <c r="CE46" s="1238" t="n"/>
      <c r="CF46" s="1238" t="n"/>
      <c r="CG46" s="133" t="n"/>
    </row>
    <row r="47" customFormat="1" s="972">
      <c r="A47" s="211">
        <f>INDEX(MO_RIS_EPS_WAD,0,COLUMN())</f>
        <v/>
      </c>
      <c r="B47" s="210" t="n"/>
      <c r="C47" s="1238">
        <f>INDEX(MO_RIS_EPS_WAD,0,COLUMN())</f>
        <v/>
      </c>
      <c r="D47" s="1238">
        <f>INDEX(MO_RIS_EPS_WAD,0,COLUMN())</f>
        <v/>
      </c>
      <c r="E47" s="1238">
        <f>INDEX(MO_RIS_EPS_WAD,0,COLUMN())</f>
        <v/>
      </c>
      <c r="F47" s="1238">
        <f>INDEX(MO_RIS_EPS_WAD,0,COLUMN())</f>
        <v/>
      </c>
      <c r="G47" s="133">
        <f>INDEX(MO_RIS_EPS_WAD,0,COLUMN())</f>
        <v/>
      </c>
      <c r="H47" s="133">
        <f>INDEX(MO_RIS_EPS_WAD,0,COLUMN())</f>
        <v/>
      </c>
      <c r="I47" s="133">
        <f>INDEX(MO_RIS_EPS_WAD,0,COLUMN())</f>
        <v/>
      </c>
      <c r="J47" s="133">
        <f>INDEX(MO_RIS_EPS_WAD,0,COLUMN())</f>
        <v/>
      </c>
      <c r="K47" s="1238">
        <f>INDEX(MO_RIS_EPS_WAD,0,COLUMN())</f>
        <v/>
      </c>
      <c r="L47" s="133">
        <f>INDEX(MO_RIS_EPS_WAD,0,COLUMN())</f>
        <v/>
      </c>
      <c r="M47" s="133">
        <f>INDEX(MO_RIS_EPS_WAD,0,COLUMN())</f>
        <v/>
      </c>
      <c r="N47" s="133">
        <f>INDEX(MO_RIS_EPS_WAD,0,COLUMN())</f>
        <v/>
      </c>
      <c r="O47" s="133">
        <f>INDEX(MO_RIS_EPS_WAD,0,COLUMN())</f>
        <v/>
      </c>
      <c r="P47" s="1238">
        <f>INDEX(MO_RIS_EPS_WAD,0,COLUMN())</f>
        <v/>
      </c>
      <c r="Q47" s="133">
        <f>INDEX(MO_RIS_EPS_WAD,0,COLUMN())</f>
        <v/>
      </c>
      <c r="R47" s="133">
        <f>INDEX(MO_RIS_EPS_WAD,0,COLUMN())</f>
        <v/>
      </c>
      <c r="S47" s="133">
        <f>INDEX(MO_RIS_EPS_WAD,0,COLUMN())</f>
        <v/>
      </c>
      <c r="T47" s="133">
        <f>INDEX(MO_RIS_EPS_WAD,0,COLUMN())</f>
        <v/>
      </c>
      <c r="U47" s="1238">
        <f>INDEX(MO_RIS_EPS_WAD,0,COLUMN())</f>
        <v/>
      </c>
      <c r="V47" s="133">
        <f>INDEX(MO_RIS_EPS_WAD,0,COLUMN())</f>
        <v/>
      </c>
      <c r="W47" s="133">
        <f>INDEX(MO_RIS_EPS_WAD,0,COLUMN())</f>
        <v/>
      </c>
      <c r="X47" s="133">
        <f>INDEX(MO_RIS_EPS_WAD,0,COLUMN())</f>
        <v/>
      </c>
      <c r="Y47" s="133">
        <f>INDEX(MO_RIS_EPS_WAD,0,COLUMN())</f>
        <v/>
      </c>
      <c r="Z47" s="1238">
        <f>INDEX(MO_RIS_EPS_WAD,0,COLUMN())</f>
        <v/>
      </c>
      <c r="AA47" s="133">
        <f>INDEX(MO_RIS_EPS_WAD,0,COLUMN())</f>
        <v/>
      </c>
      <c r="AB47" s="133">
        <f>INDEX(MO_RIS_EPS_WAD,0,COLUMN())</f>
        <v/>
      </c>
      <c r="AC47" s="133">
        <f>INDEX(MO_RIS_EPS_WAD,0,COLUMN())</f>
        <v/>
      </c>
      <c r="AD47" s="133">
        <f>INDEX(MO_RIS_EPS_WAD,0,COLUMN())</f>
        <v/>
      </c>
      <c r="AE47" s="1238">
        <f>INDEX(MO_RIS_EPS_WAD,0,COLUMN())</f>
        <v/>
      </c>
      <c r="AF47" s="133">
        <f>INDEX(MO_RIS_EPS_WAD,0,COLUMN())</f>
        <v/>
      </c>
      <c r="AG47" s="133">
        <f>INDEX(MO_RIS_EPS_WAD,0,COLUMN())</f>
        <v/>
      </c>
      <c r="AH47" s="133">
        <f>INDEX(MO_RIS_EPS_WAD,0,COLUMN())</f>
        <v/>
      </c>
      <c r="AI47" s="133">
        <f>INDEX(MO_RIS_EPS_WAD,0,COLUMN())</f>
        <v/>
      </c>
      <c r="AJ47" s="1238">
        <f>INDEX(MO_RIS_EPS_WAD,0,COLUMN())</f>
        <v/>
      </c>
      <c r="AK47" s="133">
        <f>INDEX(MO_RIS_EPS_WAD,0,COLUMN())</f>
        <v/>
      </c>
      <c r="AL47" s="133">
        <f>INDEX(MO_RIS_EPS_WAD,0,COLUMN())</f>
        <v/>
      </c>
      <c r="AM47" s="133">
        <f>INDEX(MO_RIS_EPS_WAD,0,COLUMN())</f>
        <v/>
      </c>
      <c r="AN47" s="133">
        <f>INDEX(MO_RIS_EPS_WAD,0,COLUMN())</f>
        <v/>
      </c>
      <c r="AO47" s="1238">
        <f>INDEX(MO_RIS_EPS_WAD,0,COLUMN())</f>
        <v/>
      </c>
      <c r="AP47" s="133">
        <f>INDEX(MO_RIS_EPS_WAD,0,COLUMN())</f>
        <v/>
      </c>
      <c r="AQ47" s="133">
        <f>INDEX(MO_RIS_EPS_WAD,0,COLUMN())</f>
        <v/>
      </c>
      <c r="AR47" s="133">
        <f>INDEX(MO_RIS_EPS_WAD,0,COLUMN())</f>
        <v/>
      </c>
      <c r="AS47" s="133">
        <f>INDEX(MO_RIS_EPS_WAD,0,COLUMN())</f>
        <v/>
      </c>
      <c r="AT47" s="1238">
        <f>INDEX(MO_RIS_EPS_WAD,0,COLUMN())</f>
        <v/>
      </c>
      <c r="AU47" s="133">
        <f>INDEX(MO_RIS_EPS_WAD,0,COLUMN())</f>
        <v/>
      </c>
      <c r="AV47" s="133">
        <f>INDEX(MO_RIS_EPS_WAD,0,COLUMN())</f>
        <v/>
      </c>
      <c r="AW47" s="133">
        <f>INDEX(MO_RIS_EPS_WAD,0,COLUMN())</f>
        <v/>
      </c>
      <c r="AX47" s="133">
        <f>INDEX(MO_RIS_EPS_WAD,0,COLUMN())</f>
        <v/>
      </c>
      <c r="AY47" s="1238">
        <f>INDEX(MO_RIS_EPS_WAD,0,COLUMN())</f>
        <v/>
      </c>
      <c r="AZ47" s="133">
        <f>INDEX(MO_RIS_EPS_WAD,0,COLUMN())</f>
        <v/>
      </c>
      <c r="BA47" s="133">
        <f>INDEX(MO_RIS_EPS_WAD,0,COLUMN())</f>
        <v/>
      </c>
      <c r="BB47" s="133">
        <f>INDEX(MO_RIS_EPS_WAD,0,COLUMN())</f>
        <v/>
      </c>
      <c r="BC47" s="133">
        <f>INDEX(MO_RIS_EPS_WAD,0,COLUMN())</f>
        <v/>
      </c>
      <c r="BD47" s="1238">
        <f>INDEX(MO_RIS_EPS_WAD,0,COLUMN())</f>
        <v/>
      </c>
      <c r="BE47" s="133">
        <f>INDEX(MO_RIS_EPS_WAD,0,COLUMN())</f>
        <v/>
      </c>
      <c r="BF47" s="133">
        <f>INDEX(MO_RIS_EPS_WAD,0,COLUMN())</f>
        <v/>
      </c>
      <c r="BG47" s="133">
        <f>INDEX(MO_RIS_EPS_WAD,0,COLUMN())</f>
        <v/>
      </c>
      <c r="BH47" s="133">
        <f>INDEX(MO_RIS_EPS_WAD,0,COLUMN())</f>
        <v/>
      </c>
      <c r="BI47" s="1238">
        <f>INDEX(MO_RIS_EPS_WAD,0,COLUMN())</f>
        <v/>
      </c>
      <c r="BJ47" s="133">
        <f>INDEX(MO_RIS_EPS_WAD,0,COLUMN())</f>
        <v/>
      </c>
      <c r="BK47" s="133">
        <f>INDEX(MO_RIS_EPS_WAD,0,COLUMN())</f>
        <v/>
      </c>
      <c r="BL47" s="133">
        <f>INDEX(MO_RIS_EPS_WAD,0,COLUMN())</f>
        <v/>
      </c>
      <c r="BM47" s="133">
        <f>INDEX(MO_RIS_EPS_WAD,0,COLUMN())</f>
        <v/>
      </c>
      <c r="BN47" s="1238">
        <f>INDEX(MO_RIS_EPS_WAD,0,COLUMN())</f>
        <v/>
      </c>
      <c r="BO47" s="133">
        <f>INDEX(MO_RIS_EPS_WAD,0,COLUMN())</f>
        <v/>
      </c>
      <c r="BP47" s="133">
        <f>INDEX(MO_RIS_EPS_WAD,0,COLUMN())</f>
        <v/>
      </c>
      <c r="BQ47" s="133">
        <f>INDEX(MO_RIS_EPS_WAD,0,COLUMN())</f>
        <v/>
      </c>
      <c r="BR47" s="133">
        <f>INDEX(MO_RIS_EPS_WAD,0,COLUMN())</f>
        <v/>
      </c>
      <c r="BS47" s="1238">
        <f>INDEX(MO_RIS_EPS_WAD,0,COLUMN())</f>
        <v/>
      </c>
      <c r="BT47" s="133">
        <f>INDEX(MO_RIS_EPS_WAD,0,COLUMN())</f>
        <v/>
      </c>
      <c r="BU47" s="133">
        <f>INDEX(MO_RIS_EPS_WAD,0,COLUMN())</f>
        <v/>
      </c>
      <c r="BV47" s="948">
        <f>INDEX(MO_RIS_EPS_WAD,0,COLUMN())</f>
        <v/>
      </c>
      <c r="BW47" s="133">
        <f>INDEX(MO_RIS_EPS_WAD,0,COLUMN())</f>
        <v/>
      </c>
      <c r="BX47" s="1238">
        <f>INDEX(MO_RIS_EPS_WAD,0,COLUMN())</f>
        <v/>
      </c>
      <c r="BY47" s="133">
        <f>INDEX(MO_RIS_EPS_WAD,0,COLUMN())</f>
        <v/>
      </c>
      <c r="BZ47" s="133">
        <f>INDEX(MO_RIS_EPS_WAD,0,COLUMN())</f>
        <v/>
      </c>
      <c r="CA47" s="133">
        <f>INDEX(MO_RIS_EPS_WAD,0,COLUMN())</f>
        <v/>
      </c>
      <c r="CB47" s="133">
        <f>INDEX(MO_RIS_EPS_WAD,0,COLUMN())</f>
        <v/>
      </c>
      <c r="CC47" s="1238">
        <f>INDEX(MO_RIS_EPS_WAD,0,COLUMN())</f>
        <v/>
      </c>
      <c r="CD47" s="1238">
        <f>INDEX(MO_RIS_EPS_WAD,0,COLUMN())</f>
        <v/>
      </c>
      <c r="CE47" s="1238">
        <f>INDEX(MO_RIS_EPS_WAD,0,COLUMN())</f>
        <v/>
      </c>
      <c r="CF47" s="1238">
        <f>INDEX(MO_RIS_EPS_WAD,0,COLUMN())</f>
        <v/>
      </c>
      <c r="CG47" s="133" t="n"/>
    </row>
    <row r="48" customFormat="1" s="974">
      <c r="A48" s="705">
        <f>INDEX(MO_RIS_ShareCount_WAD_Adj,0,COLUMN())</f>
        <v/>
      </c>
      <c r="B48" s="685" t="n"/>
      <c r="C48" s="1242">
        <f>INDEX(MO_RIS_ShareCount_WAD_Adj,0,COLUMN())</f>
        <v/>
      </c>
      <c r="D48" s="1242">
        <f>INDEX(MO_RIS_ShareCount_WAD_Adj,0,COLUMN())</f>
        <v/>
      </c>
      <c r="E48" s="1242">
        <f>INDEX(MO_RIS_ShareCount_WAD_Adj,0,COLUMN())</f>
        <v/>
      </c>
      <c r="F48" s="1242">
        <f>INDEX(MO_RIS_ShareCount_WAD_Adj,0,COLUMN())</f>
        <v/>
      </c>
      <c r="G48" s="678">
        <f>INDEX(MO_RIS_ShareCount_WAD_Adj,0,COLUMN())</f>
        <v/>
      </c>
      <c r="H48" s="678">
        <f>INDEX(MO_RIS_ShareCount_WAD_Adj,0,COLUMN())</f>
        <v/>
      </c>
      <c r="I48" s="678">
        <f>INDEX(MO_RIS_ShareCount_WAD_Adj,0,COLUMN())</f>
        <v/>
      </c>
      <c r="J48" s="678">
        <f>INDEX(MO_RIS_ShareCount_WAD_Adj,0,COLUMN())</f>
        <v/>
      </c>
      <c r="K48" s="1242">
        <f>INDEX(MO_RIS_ShareCount_WAD_Adj,0,COLUMN())</f>
        <v/>
      </c>
      <c r="L48" s="678">
        <f>INDEX(MO_RIS_ShareCount_WAD_Adj,0,COLUMN())</f>
        <v/>
      </c>
      <c r="M48" s="678">
        <f>INDEX(MO_RIS_ShareCount_WAD_Adj,0,COLUMN())</f>
        <v/>
      </c>
      <c r="N48" s="678">
        <f>INDEX(MO_RIS_ShareCount_WAD_Adj,0,COLUMN())</f>
        <v/>
      </c>
      <c r="O48" s="678">
        <f>INDEX(MO_RIS_ShareCount_WAD_Adj,0,COLUMN())</f>
        <v/>
      </c>
      <c r="P48" s="1242">
        <f>INDEX(MO_RIS_ShareCount_WAD_Adj,0,COLUMN())</f>
        <v/>
      </c>
      <c r="Q48" s="678">
        <f>INDEX(MO_RIS_ShareCount_WAD_Adj,0,COLUMN())</f>
        <v/>
      </c>
      <c r="R48" s="678">
        <f>INDEX(MO_RIS_ShareCount_WAD_Adj,0,COLUMN())</f>
        <v/>
      </c>
      <c r="S48" s="678">
        <f>INDEX(MO_RIS_ShareCount_WAD_Adj,0,COLUMN())</f>
        <v/>
      </c>
      <c r="T48" s="678">
        <f>INDEX(MO_RIS_ShareCount_WAD_Adj,0,COLUMN())</f>
        <v/>
      </c>
      <c r="U48" s="1242">
        <f>INDEX(MO_RIS_ShareCount_WAD_Adj,0,COLUMN())</f>
        <v/>
      </c>
      <c r="V48" s="678">
        <f>INDEX(MO_RIS_ShareCount_WAD_Adj,0,COLUMN())</f>
        <v/>
      </c>
      <c r="W48" s="678">
        <f>INDEX(MO_RIS_ShareCount_WAD_Adj,0,COLUMN())</f>
        <v/>
      </c>
      <c r="X48" s="678">
        <f>INDEX(MO_RIS_ShareCount_WAD_Adj,0,COLUMN())</f>
        <v/>
      </c>
      <c r="Y48" s="678">
        <f>INDEX(MO_RIS_ShareCount_WAD_Adj,0,COLUMN())</f>
        <v/>
      </c>
      <c r="Z48" s="1242">
        <f>INDEX(MO_RIS_ShareCount_WAD_Adj,0,COLUMN())</f>
        <v/>
      </c>
      <c r="AA48" s="678">
        <f>INDEX(MO_RIS_ShareCount_WAD_Adj,0,COLUMN())</f>
        <v/>
      </c>
      <c r="AB48" s="678">
        <f>INDEX(MO_RIS_ShareCount_WAD_Adj,0,COLUMN())</f>
        <v/>
      </c>
      <c r="AC48" s="678">
        <f>INDEX(MO_RIS_ShareCount_WAD_Adj,0,COLUMN())</f>
        <v/>
      </c>
      <c r="AD48" s="678">
        <f>INDEX(MO_RIS_ShareCount_WAD_Adj,0,COLUMN())</f>
        <v/>
      </c>
      <c r="AE48" s="1242">
        <f>INDEX(MO_RIS_ShareCount_WAD_Adj,0,COLUMN())</f>
        <v/>
      </c>
      <c r="AF48" s="678">
        <f>INDEX(MO_RIS_ShareCount_WAD_Adj,0,COLUMN())</f>
        <v/>
      </c>
      <c r="AG48" s="678">
        <f>INDEX(MO_RIS_ShareCount_WAD_Adj,0,COLUMN())</f>
        <v/>
      </c>
      <c r="AH48" s="678">
        <f>INDEX(MO_RIS_ShareCount_WAD_Adj,0,COLUMN())</f>
        <v/>
      </c>
      <c r="AI48" s="678">
        <f>INDEX(MO_RIS_ShareCount_WAD_Adj,0,COLUMN())</f>
        <v/>
      </c>
      <c r="AJ48" s="1242">
        <f>INDEX(MO_RIS_ShareCount_WAD_Adj,0,COLUMN())</f>
        <v/>
      </c>
      <c r="AK48" s="678">
        <f>INDEX(MO_RIS_ShareCount_WAD_Adj,0,COLUMN())</f>
        <v/>
      </c>
      <c r="AL48" s="678">
        <f>INDEX(MO_RIS_ShareCount_WAD_Adj,0,COLUMN())</f>
        <v/>
      </c>
      <c r="AM48" s="678">
        <f>INDEX(MO_RIS_ShareCount_WAD_Adj,0,COLUMN())</f>
        <v/>
      </c>
      <c r="AN48" s="678">
        <f>INDEX(MO_RIS_ShareCount_WAD_Adj,0,COLUMN())</f>
        <v/>
      </c>
      <c r="AO48" s="1242">
        <f>INDEX(MO_RIS_ShareCount_WAD_Adj,0,COLUMN())</f>
        <v/>
      </c>
      <c r="AP48" s="678">
        <f>INDEX(MO_RIS_ShareCount_WAD_Adj,0,COLUMN())</f>
        <v/>
      </c>
      <c r="AQ48" s="678">
        <f>INDEX(MO_RIS_ShareCount_WAD_Adj,0,COLUMN())</f>
        <v/>
      </c>
      <c r="AR48" s="678">
        <f>INDEX(MO_RIS_ShareCount_WAD_Adj,0,COLUMN())</f>
        <v/>
      </c>
      <c r="AS48" s="678">
        <f>INDEX(MO_RIS_ShareCount_WAD_Adj,0,COLUMN())</f>
        <v/>
      </c>
      <c r="AT48" s="1242">
        <f>INDEX(MO_RIS_ShareCount_WAD_Adj,0,COLUMN())</f>
        <v/>
      </c>
      <c r="AU48" s="678">
        <f>INDEX(MO_RIS_ShareCount_WAD_Adj,0,COLUMN())</f>
        <v/>
      </c>
      <c r="AV48" s="678">
        <f>INDEX(MO_RIS_ShareCount_WAD_Adj,0,COLUMN())</f>
        <v/>
      </c>
      <c r="AW48" s="678">
        <f>INDEX(MO_RIS_ShareCount_WAD_Adj,0,COLUMN())</f>
        <v/>
      </c>
      <c r="AX48" s="678">
        <f>INDEX(MO_RIS_ShareCount_WAD_Adj,0,COLUMN())</f>
        <v/>
      </c>
      <c r="AY48" s="1242">
        <f>INDEX(MO_RIS_ShareCount_WAD_Adj,0,COLUMN())</f>
        <v/>
      </c>
      <c r="AZ48" s="678">
        <f>INDEX(MO_RIS_ShareCount_WAD_Adj,0,COLUMN())</f>
        <v/>
      </c>
      <c r="BA48" s="678">
        <f>INDEX(MO_RIS_ShareCount_WAD_Adj,0,COLUMN())</f>
        <v/>
      </c>
      <c r="BB48" s="678">
        <f>INDEX(MO_RIS_ShareCount_WAD_Adj,0,COLUMN())</f>
        <v/>
      </c>
      <c r="BC48" s="678">
        <f>INDEX(MO_RIS_ShareCount_WAD_Adj,0,COLUMN())</f>
        <v/>
      </c>
      <c r="BD48" s="1242">
        <f>INDEX(MO_RIS_ShareCount_WAD_Adj,0,COLUMN())</f>
        <v/>
      </c>
      <c r="BE48" s="678">
        <f>INDEX(MO_RIS_ShareCount_WAD_Adj,0,COLUMN())</f>
        <v/>
      </c>
      <c r="BF48" s="678">
        <f>INDEX(MO_RIS_ShareCount_WAD_Adj,0,COLUMN())</f>
        <v/>
      </c>
      <c r="BG48" s="678">
        <f>INDEX(MO_RIS_ShareCount_WAD_Adj,0,COLUMN())</f>
        <v/>
      </c>
      <c r="BH48" s="678">
        <f>INDEX(MO_RIS_ShareCount_WAD_Adj,0,COLUMN())</f>
        <v/>
      </c>
      <c r="BI48" s="1242">
        <f>INDEX(MO_RIS_ShareCount_WAD_Adj,0,COLUMN())</f>
        <v/>
      </c>
      <c r="BJ48" s="678">
        <f>INDEX(MO_RIS_ShareCount_WAD_Adj,0,COLUMN())</f>
        <v/>
      </c>
      <c r="BK48" s="678">
        <f>INDEX(MO_RIS_ShareCount_WAD_Adj,0,COLUMN())</f>
        <v/>
      </c>
      <c r="BL48" s="678">
        <f>INDEX(MO_RIS_ShareCount_WAD_Adj,0,COLUMN())</f>
        <v/>
      </c>
      <c r="BM48" s="678">
        <f>INDEX(MO_RIS_ShareCount_WAD_Adj,0,COLUMN())</f>
        <v/>
      </c>
      <c r="BN48" s="1242">
        <f>INDEX(MO_RIS_ShareCount_WAD_Adj,0,COLUMN())</f>
        <v/>
      </c>
      <c r="BO48" s="678">
        <f>INDEX(MO_RIS_ShareCount_WAD_Adj,0,COLUMN())</f>
        <v/>
      </c>
      <c r="BP48" s="678">
        <f>INDEX(MO_RIS_ShareCount_WAD_Adj,0,COLUMN())</f>
        <v/>
      </c>
      <c r="BQ48" s="678">
        <f>INDEX(MO_RIS_ShareCount_WAD_Adj,0,COLUMN())</f>
        <v/>
      </c>
      <c r="BR48" s="678">
        <f>INDEX(MO_RIS_ShareCount_WAD_Adj,0,COLUMN())</f>
        <v/>
      </c>
      <c r="BS48" s="1242">
        <f>INDEX(MO_RIS_ShareCount_WAD_Adj,0,COLUMN())</f>
        <v/>
      </c>
      <c r="BT48" s="678">
        <f>INDEX(MO_RIS_ShareCount_WAD_Adj,0,COLUMN())</f>
        <v/>
      </c>
      <c r="BU48" s="678">
        <f>INDEX(MO_RIS_ShareCount_WAD_Adj,0,COLUMN())</f>
        <v/>
      </c>
      <c r="BV48" s="935">
        <f>INDEX(MO_RIS_ShareCount_WAD_Adj,0,COLUMN())</f>
        <v/>
      </c>
      <c r="BW48" s="678">
        <f>INDEX(MO_RIS_ShareCount_WAD_Adj,0,COLUMN())</f>
        <v/>
      </c>
      <c r="BX48" s="1242">
        <f>INDEX(MO_RIS_ShareCount_WAD_Adj,0,COLUMN())</f>
        <v/>
      </c>
      <c r="BY48" s="678">
        <f>INDEX(MO_RIS_ShareCount_WAD_Adj,0,COLUMN())</f>
        <v/>
      </c>
      <c r="BZ48" s="678">
        <f>INDEX(MO_RIS_ShareCount_WAD_Adj,0,COLUMN())</f>
        <v/>
      </c>
      <c r="CA48" s="678">
        <f>INDEX(MO_RIS_ShareCount_WAD_Adj,0,COLUMN())</f>
        <v/>
      </c>
      <c r="CB48" s="678">
        <f>INDEX(MO_RIS_ShareCount_WAD_Adj,0,COLUMN())</f>
        <v/>
      </c>
      <c r="CC48" s="1242">
        <f>INDEX(MO_RIS_ShareCount_WAD_Adj,0,COLUMN())</f>
        <v/>
      </c>
      <c r="CD48" s="1242">
        <f>INDEX(MO_RIS_ShareCount_WAD_Adj,0,COLUMN())</f>
        <v/>
      </c>
      <c r="CE48" s="1242">
        <f>INDEX(MO_RIS_ShareCount_WAD_Adj,0,COLUMN())</f>
        <v/>
      </c>
      <c r="CF48" s="1242">
        <f>INDEX(MO_RIS_ShareCount_WAD_Adj,0,COLUMN())</f>
        <v/>
      </c>
      <c r="CG48" s="678" t="n"/>
    </row>
    <row r="49" customFormat="1" s="971">
      <c r="A49" s="197" t="n"/>
      <c r="B49" s="198" t="n"/>
      <c r="C49" s="183" t="n"/>
      <c r="D49" s="183" t="n"/>
      <c r="E49" s="183" t="n"/>
      <c r="F49" s="183" t="n"/>
      <c r="G49" s="1013" t="n"/>
      <c r="H49" s="1013" t="n"/>
      <c r="I49" s="1013" t="n"/>
      <c r="J49" s="1013" t="n"/>
      <c r="K49" s="183" t="n"/>
      <c r="L49" s="1013" t="n"/>
      <c r="M49" s="1013" t="n"/>
      <c r="N49" s="1013" t="n"/>
      <c r="O49" s="1013" t="n"/>
      <c r="P49" s="183" t="n"/>
      <c r="Q49" s="1013" t="n"/>
      <c r="R49" s="1013" t="n"/>
      <c r="S49" s="1013" t="n"/>
      <c r="T49" s="1013" t="n"/>
      <c r="U49" s="183" t="n"/>
      <c r="V49" s="1013" t="n"/>
      <c r="W49" s="1013" t="n"/>
      <c r="X49" s="1013" t="n"/>
      <c r="Y49" s="1013" t="n"/>
      <c r="Z49" s="183" t="n"/>
      <c r="AA49" s="1013" t="n"/>
      <c r="AB49" s="1013" t="n"/>
      <c r="AC49" s="1013" t="n"/>
      <c r="AD49" s="1013" t="n"/>
      <c r="AE49" s="183" t="n"/>
      <c r="AF49" s="1013" t="n"/>
      <c r="AG49" s="1013" t="n"/>
      <c r="AH49" s="1013" t="n"/>
      <c r="AI49" s="1013" t="n"/>
      <c r="AJ49" s="183" t="n"/>
      <c r="AK49" s="1013" t="n"/>
      <c r="AL49" s="1013" t="n"/>
      <c r="AM49" s="1013" t="n"/>
      <c r="AN49" s="1013" t="n"/>
      <c r="AO49" s="183" t="n"/>
      <c r="AP49" s="1013" t="n"/>
      <c r="AQ49" s="1013" t="n"/>
      <c r="AR49" s="1013" t="n"/>
      <c r="AS49" s="1013" t="n"/>
      <c r="AT49" s="183" t="n"/>
      <c r="AU49" s="1013" t="n"/>
      <c r="AV49" s="1013" t="n"/>
      <c r="AW49" s="1013" t="n"/>
      <c r="AX49" s="1013" t="n"/>
      <c r="AY49" s="183" t="n"/>
      <c r="AZ49" s="1013" t="n"/>
      <c r="BA49" s="1013" t="n"/>
      <c r="BB49" s="1013" t="n"/>
      <c r="BC49" s="1013" t="n"/>
      <c r="BD49" s="183" t="n"/>
      <c r="BE49" s="1013" t="n"/>
      <c r="BF49" s="1013" t="n"/>
      <c r="BG49" s="1013" t="n"/>
      <c r="BH49" s="1013" t="n"/>
      <c r="BI49" s="183" t="n"/>
      <c r="BJ49" s="1013" t="n"/>
      <c r="BK49" s="1013" t="n"/>
      <c r="BL49" s="1013" t="n"/>
      <c r="BM49" s="1013" t="n"/>
      <c r="BN49" s="183" t="n"/>
      <c r="BO49" s="1013" t="n"/>
      <c r="BP49" s="1013" t="n"/>
      <c r="BQ49" s="1013" t="n"/>
      <c r="BR49" s="1013" t="n"/>
      <c r="BS49" s="183" t="n"/>
      <c r="BT49" s="1013" t="n"/>
      <c r="BU49" s="1013" t="n"/>
      <c r="BV49" s="1014" t="n"/>
      <c r="BW49" s="1013" t="n"/>
      <c r="BX49" s="183" t="n"/>
      <c r="BY49" s="1013" t="n"/>
      <c r="BZ49" s="1013" t="n"/>
      <c r="CA49" s="1013" t="n"/>
      <c r="CB49" s="1013" t="n"/>
      <c r="CC49" s="183" t="n"/>
      <c r="CD49" s="183" t="n"/>
      <c r="CE49" s="183" t="n"/>
      <c r="CF49" s="183" t="n"/>
      <c r="CG49" s="1013" t="n"/>
    </row>
    <row r="50">
      <c r="A50" s="139" t="inlineStr">
        <is>
          <t>Non-GAAP Financials</t>
        </is>
      </c>
      <c r="B50" s="127" t="n"/>
      <c r="C50" s="127" t="n"/>
      <c r="D50" s="127" t="n"/>
      <c r="E50" s="127" t="n"/>
      <c r="F50" s="127" t="n"/>
      <c r="G50" s="127" t="n"/>
      <c r="H50" s="127" t="n"/>
      <c r="I50" s="127" t="n"/>
      <c r="J50" s="127" t="n"/>
      <c r="K50" s="127" t="n"/>
      <c r="L50" s="127" t="n"/>
      <c r="M50" s="127" t="n"/>
      <c r="N50" s="127" t="n"/>
      <c r="O50" s="127" t="n"/>
      <c r="P50" s="127" t="n"/>
      <c r="Q50" s="127" t="n"/>
      <c r="R50" s="127" t="n"/>
      <c r="S50" s="127" t="n"/>
      <c r="T50" s="127" t="n"/>
      <c r="U50" s="127" t="n"/>
      <c r="V50" s="127" t="n"/>
      <c r="W50" s="127" t="n"/>
      <c r="X50" s="127" t="n"/>
      <c r="Y50" s="127" t="n"/>
      <c r="Z50" s="127" t="n"/>
      <c r="AA50" s="127" t="n"/>
      <c r="AB50" s="127" t="n"/>
      <c r="AC50" s="127" t="n"/>
      <c r="AD50" s="127" t="n"/>
      <c r="AE50" s="127" t="n"/>
      <c r="AF50" s="127" t="n"/>
      <c r="AG50" s="127" t="n"/>
      <c r="AH50" s="127" t="n"/>
      <c r="AI50" s="127" t="n"/>
      <c r="AJ50" s="127" t="n"/>
      <c r="AK50" s="127" t="n"/>
      <c r="AL50" s="127" t="n"/>
      <c r="AM50" s="127" t="n"/>
      <c r="AN50" s="127" t="n"/>
      <c r="AO50" s="127" t="n"/>
      <c r="AP50" s="127" t="n"/>
      <c r="AQ50" s="127" t="n"/>
      <c r="AR50" s="127" t="n"/>
      <c r="AS50" s="127" t="n"/>
      <c r="AT50" s="127" t="n"/>
      <c r="AU50" s="127" t="n"/>
      <c r="AV50" s="127" t="n"/>
      <c r="AW50" s="127" t="n"/>
      <c r="AX50" s="127" t="n"/>
      <c r="AY50" s="127" t="n"/>
      <c r="AZ50" s="127" t="n"/>
      <c r="BA50" s="127" t="n"/>
      <c r="BB50" s="127" t="n"/>
      <c r="BC50" s="127" t="n"/>
      <c r="BD50" s="127" t="n"/>
      <c r="BE50" s="127" t="n"/>
      <c r="BF50" s="127" t="n"/>
      <c r="BG50" s="127" t="n"/>
      <c r="BH50" s="127" t="n"/>
      <c r="BI50" s="127" t="n"/>
      <c r="BJ50" s="127" t="n"/>
      <c r="BK50" s="127" t="n"/>
      <c r="BL50" s="127" t="n"/>
      <c r="BM50" s="127" t="n"/>
      <c r="BN50" s="127" t="n"/>
      <c r="BO50" s="127" t="n"/>
      <c r="BP50" s="127" t="n"/>
      <c r="BQ50" s="127" t="n"/>
      <c r="BR50" s="127" t="n"/>
      <c r="BS50" s="127" t="n"/>
      <c r="BT50" s="127" t="n"/>
      <c r="BU50" s="127" t="n"/>
      <c r="BV50" s="544" t="n"/>
      <c r="BW50" s="127" t="n"/>
      <c r="BX50" s="127" t="n"/>
      <c r="BY50" s="127" t="n"/>
      <c r="BZ50" s="127" t="n"/>
      <c r="CA50" s="127" t="n"/>
      <c r="CB50" s="127" t="n"/>
      <c r="CC50" s="127" t="n"/>
      <c r="CD50" s="127" t="n"/>
      <c r="CE50" s="127" t="n"/>
      <c r="CF50" s="127" t="n"/>
      <c r="CG50" s="130" t="n"/>
    </row>
    <row r="51" customFormat="1" s="973">
      <c r="A51" s="682">
        <f>INDEX(MO_RIS_EBITDA_Adj,0,COLUMN())</f>
        <v/>
      </c>
      <c r="B51" s="684" t="n"/>
      <c r="C51" s="1241">
        <f>INDEX(MO_RIS_EBITDA_Adj,0,COLUMN())</f>
        <v/>
      </c>
      <c r="D51" s="1241">
        <f>INDEX(MO_RIS_EBITDA_Adj,0,COLUMN())</f>
        <v/>
      </c>
      <c r="E51" s="1241">
        <f>INDEX(MO_RIS_EBITDA_Adj,0,COLUMN())</f>
        <v/>
      </c>
      <c r="F51" s="1241">
        <f>INDEX(MO_RIS_EBITDA_Adj,0,COLUMN())</f>
        <v/>
      </c>
      <c r="G51" s="574">
        <f>INDEX(MO_RIS_EBITDA_Adj,0,COLUMN())</f>
        <v/>
      </c>
      <c r="H51" s="574">
        <f>INDEX(MO_RIS_EBITDA_Adj,0,COLUMN())</f>
        <v/>
      </c>
      <c r="I51" s="574">
        <f>INDEX(MO_RIS_EBITDA_Adj,0,COLUMN())</f>
        <v/>
      </c>
      <c r="J51" s="574">
        <f>INDEX(MO_RIS_EBITDA_Adj,0,COLUMN())</f>
        <v/>
      </c>
      <c r="K51" s="1241">
        <f>INDEX(MO_RIS_EBITDA_Adj,0,COLUMN())</f>
        <v/>
      </c>
      <c r="L51" s="574">
        <f>INDEX(MO_RIS_EBITDA_Adj,0,COLUMN())</f>
        <v/>
      </c>
      <c r="M51" s="574">
        <f>INDEX(MO_RIS_EBITDA_Adj,0,COLUMN())</f>
        <v/>
      </c>
      <c r="N51" s="574">
        <f>INDEX(MO_RIS_EBITDA_Adj,0,COLUMN())</f>
        <v/>
      </c>
      <c r="O51" s="574">
        <f>INDEX(MO_RIS_EBITDA_Adj,0,COLUMN())</f>
        <v/>
      </c>
      <c r="P51" s="1241">
        <f>INDEX(MO_RIS_EBITDA_Adj,0,COLUMN())</f>
        <v/>
      </c>
      <c r="Q51" s="574">
        <f>INDEX(MO_RIS_EBITDA_Adj,0,COLUMN())</f>
        <v/>
      </c>
      <c r="R51" s="574">
        <f>INDEX(MO_RIS_EBITDA_Adj,0,COLUMN())</f>
        <v/>
      </c>
      <c r="S51" s="574">
        <f>INDEX(MO_RIS_EBITDA_Adj,0,COLUMN())</f>
        <v/>
      </c>
      <c r="T51" s="574">
        <f>INDEX(MO_RIS_EBITDA_Adj,0,COLUMN())</f>
        <v/>
      </c>
      <c r="U51" s="1241">
        <f>INDEX(MO_RIS_EBITDA_Adj,0,COLUMN())</f>
        <v/>
      </c>
      <c r="V51" s="574">
        <f>INDEX(MO_RIS_EBITDA_Adj,0,COLUMN())</f>
        <v/>
      </c>
      <c r="W51" s="574">
        <f>INDEX(MO_RIS_EBITDA_Adj,0,COLUMN())</f>
        <v/>
      </c>
      <c r="X51" s="574">
        <f>INDEX(MO_RIS_EBITDA_Adj,0,COLUMN())</f>
        <v/>
      </c>
      <c r="Y51" s="574">
        <f>INDEX(MO_RIS_EBITDA_Adj,0,COLUMN())</f>
        <v/>
      </c>
      <c r="Z51" s="1241">
        <f>INDEX(MO_RIS_EBITDA_Adj,0,COLUMN())</f>
        <v/>
      </c>
      <c r="AA51" s="574">
        <f>INDEX(MO_RIS_EBITDA_Adj,0,COLUMN())</f>
        <v/>
      </c>
      <c r="AB51" s="574">
        <f>INDEX(MO_RIS_EBITDA_Adj,0,COLUMN())</f>
        <v/>
      </c>
      <c r="AC51" s="574">
        <f>INDEX(MO_RIS_EBITDA_Adj,0,COLUMN())</f>
        <v/>
      </c>
      <c r="AD51" s="574">
        <f>INDEX(MO_RIS_EBITDA_Adj,0,COLUMN())</f>
        <v/>
      </c>
      <c r="AE51" s="1241">
        <f>INDEX(MO_RIS_EBITDA_Adj,0,COLUMN())</f>
        <v/>
      </c>
      <c r="AF51" s="574">
        <f>INDEX(MO_RIS_EBITDA_Adj,0,COLUMN())</f>
        <v/>
      </c>
      <c r="AG51" s="574">
        <f>INDEX(MO_RIS_EBITDA_Adj,0,COLUMN())</f>
        <v/>
      </c>
      <c r="AH51" s="574">
        <f>INDEX(MO_RIS_EBITDA_Adj,0,COLUMN())</f>
        <v/>
      </c>
      <c r="AI51" s="574">
        <f>INDEX(MO_RIS_EBITDA_Adj,0,COLUMN())</f>
        <v/>
      </c>
      <c r="AJ51" s="1241">
        <f>INDEX(MO_RIS_EBITDA_Adj,0,COLUMN())</f>
        <v/>
      </c>
      <c r="AK51" s="574">
        <f>INDEX(MO_RIS_EBITDA_Adj,0,COLUMN())</f>
        <v/>
      </c>
      <c r="AL51" s="574">
        <f>INDEX(MO_RIS_EBITDA_Adj,0,COLUMN())</f>
        <v/>
      </c>
      <c r="AM51" s="574">
        <f>INDEX(MO_RIS_EBITDA_Adj,0,COLUMN())</f>
        <v/>
      </c>
      <c r="AN51" s="574">
        <f>INDEX(MO_RIS_EBITDA_Adj,0,COLUMN())</f>
        <v/>
      </c>
      <c r="AO51" s="1241">
        <f>INDEX(MO_RIS_EBITDA_Adj,0,COLUMN())</f>
        <v/>
      </c>
      <c r="AP51" s="574">
        <f>INDEX(MO_RIS_EBITDA_Adj,0,COLUMN())</f>
        <v/>
      </c>
      <c r="AQ51" s="574">
        <f>INDEX(MO_RIS_EBITDA_Adj,0,COLUMN())</f>
        <v/>
      </c>
      <c r="AR51" s="574">
        <f>INDEX(MO_RIS_EBITDA_Adj,0,COLUMN())</f>
        <v/>
      </c>
      <c r="AS51" s="574">
        <f>INDEX(MO_RIS_EBITDA_Adj,0,COLUMN())</f>
        <v/>
      </c>
      <c r="AT51" s="1241">
        <f>INDEX(MO_RIS_EBITDA_Adj,0,COLUMN())</f>
        <v/>
      </c>
      <c r="AU51" s="574">
        <f>INDEX(MO_RIS_EBITDA_Adj,0,COLUMN())</f>
        <v/>
      </c>
      <c r="AV51" s="574">
        <f>INDEX(MO_RIS_EBITDA_Adj,0,COLUMN())</f>
        <v/>
      </c>
      <c r="AW51" s="574">
        <f>INDEX(MO_RIS_EBITDA_Adj,0,COLUMN())</f>
        <v/>
      </c>
      <c r="AX51" s="574">
        <f>INDEX(MO_RIS_EBITDA_Adj,0,COLUMN())</f>
        <v/>
      </c>
      <c r="AY51" s="1241">
        <f>INDEX(MO_RIS_EBITDA_Adj,0,COLUMN())</f>
        <v/>
      </c>
      <c r="AZ51" s="574">
        <f>INDEX(MO_RIS_EBITDA_Adj,0,COLUMN())</f>
        <v/>
      </c>
      <c r="BA51" s="574">
        <f>INDEX(MO_RIS_EBITDA_Adj,0,COLUMN())</f>
        <v/>
      </c>
      <c r="BB51" s="574">
        <f>INDEX(MO_RIS_EBITDA_Adj,0,COLUMN())</f>
        <v/>
      </c>
      <c r="BC51" s="574">
        <f>INDEX(MO_RIS_EBITDA_Adj,0,COLUMN())</f>
        <v/>
      </c>
      <c r="BD51" s="1241">
        <f>INDEX(MO_RIS_EBITDA_Adj,0,COLUMN())</f>
        <v/>
      </c>
      <c r="BE51" s="574">
        <f>INDEX(MO_RIS_EBITDA_Adj,0,COLUMN())</f>
        <v/>
      </c>
      <c r="BF51" s="574">
        <f>INDEX(MO_RIS_EBITDA_Adj,0,COLUMN())</f>
        <v/>
      </c>
      <c r="BG51" s="574">
        <f>INDEX(MO_RIS_EBITDA_Adj,0,COLUMN())</f>
        <v/>
      </c>
      <c r="BH51" s="574">
        <f>INDEX(MO_RIS_EBITDA_Adj,0,COLUMN())</f>
        <v/>
      </c>
      <c r="BI51" s="1241">
        <f>INDEX(MO_RIS_EBITDA_Adj,0,COLUMN())</f>
        <v/>
      </c>
      <c r="BJ51" s="574">
        <f>INDEX(MO_RIS_EBITDA_Adj,0,COLUMN())</f>
        <v/>
      </c>
      <c r="BK51" s="574">
        <f>INDEX(MO_RIS_EBITDA_Adj,0,COLUMN())</f>
        <v/>
      </c>
      <c r="BL51" s="574">
        <f>INDEX(MO_RIS_EBITDA_Adj,0,COLUMN())</f>
        <v/>
      </c>
      <c r="BM51" s="574">
        <f>INDEX(MO_RIS_EBITDA_Adj,0,COLUMN())</f>
        <v/>
      </c>
      <c r="BN51" s="1241">
        <f>INDEX(MO_RIS_EBITDA_Adj,0,COLUMN())</f>
        <v/>
      </c>
      <c r="BO51" s="574">
        <f>INDEX(MO_RIS_EBITDA_Adj,0,COLUMN())</f>
        <v/>
      </c>
      <c r="BP51" s="574">
        <f>INDEX(MO_RIS_EBITDA_Adj,0,COLUMN())</f>
        <v/>
      </c>
      <c r="BQ51" s="574">
        <f>INDEX(MO_RIS_EBITDA_Adj,0,COLUMN())</f>
        <v/>
      </c>
      <c r="BR51" s="574">
        <f>INDEX(MO_RIS_EBITDA_Adj,0,COLUMN())</f>
        <v/>
      </c>
      <c r="BS51" s="1241">
        <f>INDEX(MO_RIS_EBITDA_Adj,0,COLUMN())</f>
        <v/>
      </c>
      <c r="BT51" s="574">
        <f>INDEX(MO_RIS_EBITDA_Adj,0,COLUMN())</f>
        <v/>
      </c>
      <c r="BU51" s="574">
        <f>INDEX(MO_RIS_EBITDA_Adj,0,COLUMN())</f>
        <v/>
      </c>
      <c r="BV51" s="936">
        <f>INDEX(MO_RIS_EBITDA_Adj,0,COLUMN())</f>
        <v/>
      </c>
      <c r="BW51" s="574">
        <f>INDEX(MO_RIS_EBITDA_Adj,0,COLUMN())</f>
        <v/>
      </c>
      <c r="BX51" s="1241">
        <f>INDEX(MO_RIS_EBITDA_Adj,0,COLUMN())</f>
        <v/>
      </c>
      <c r="BY51" s="574">
        <f>INDEX(MO_RIS_EBITDA_Adj,0,COLUMN())</f>
        <v/>
      </c>
      <c r="BZ51" s="574">
        <f>INDEX(MO_RIS_EBITDA_Adj,0,COLUMN())</f>
        <v/>
      </c>
      <c r="CA51" s="574">
        <f>INDEX(MO_RIS_EBITDA_Adj,0,COLUMN())</f>
        <v/>
      </c>
      <c r="CB51" s="574">
        <f>INDEX(MO_RIS_EBITDA_Adj,0,COLUMN())</f>
        <v/>
      </c>
      <c r="CC51" s="1241">
        <f>INDEX(MO_RIS_EBITDA_Adj,0,COLUMN())</f>
        <v/>
      </c>
      <c r="CD51" s="1241">
        <f>INDEX(MO_RIS_EBITDA_Adj,0,COLUMN())</f>
        <v/>
      </c>
      <c r="CE51" s="1241">
        <f>INDEX(MO_RIS_EBITDA_Adj,0,COLUMN())</f>
        <v/>
      </c>
      <c r="CF51" s="1241">
        <f>INDEX(MO_RIS_EBITDA_Adj,0,COLUMN())</f>
        <v/>
      </c>
      <c r="CG51" s="574" t="n"/>
    </row>
    <row r="52" customFormat="1" s="973">
      <c r="A52" s="682">
        <f>INDEX(MO_RIS_NI_NONGAAP_Diluted,0,COLUMN())</f>
        <v/>
      </c>
      <c r="B52" s="684" t="n"/>
      <c r="C52" s="1241">
        <f>INDEX(MO_RIS_NI_NONGAAP_Diluted,0,COLUMN())</f>
        <v/>
      </c>
      <c r="D52" s="1241">
        <f>INDEX(MO_RIS_NI_NONGAAP_Diluted,0,COLUMN())</f>
        <v/>
      </c>
      <c r="E52" s="1241">
        <f>INDEX(MO_RIS_NI_NONGAAP_Diluted,0,COLUMN())</f>
        <v/>
      </c>
      <c r="F52" s="1241">
        <f>INDEX(MO_RIS_NI_NONGAAP_Diluted,0,COLUMN())</f>
        <v/>
      </c>
      <c r="G52" s="574">
        <f>INDEX(MO_RIS_NI_NONGAAP_Diluted,0,COLUMN())</f>
        <v/>
      </c>
      <c r="H52" s="574">
        <f>INDEX(MO_RIS_NI_NONGAAP_Diluted,0,COLUMN())</f>
        <v/>
      </c>
      <c r="I52" s="574">
        <f>INDEX(MO_RIS_NI_NONGAAP_Diluted,0,COLUMN())</f>
        <v/>
      </c>
      <c r="J52" s="574">
        <f>INDEX(MO_RIS_NI_NONGAAP_Diluted,0,COLUMN())</f>
        <v/>
      </c>
      <c r="K52" s="1241">
        <f>INDEX(MO_RIS_NI_NONGAAP_Diluted,0,COLUMN())</f>
        <v/>
      </c>
      <c r="L52" s="574">
        <f>INDEX(MO_RIS_NI_NONGAAP_Diluted,0,COLUMN())</f>
        <v/>
      </c>
      <c r="M52" s="574">
        <f>INDEX(MO_RIS_NI_NONGAAP_Diluted,0,COLUMN())</f>
        <v/>
      </c>
      <c r="N52" s="574">
        <f>INDEX(MO_RIS_NI_NONGAAP_Diluted,0,COLUMN())</f>
        <v/>
      </c>
      <c r="O52" s="574">
        <f>INDEX(MO_RIS_NI_NONGAAP_Diluted,0,COLUMN())</f>
        <v/>
      </c>
      <c r="P52" s="1241">
        <f>INDEX(MO_RIS_NI_NONGAAP_Diluted,0,COLUMN())</f>
        <v/>
      </c>
      <c r="Q52" s="574">
        <f>INDEX(MO_RIS_NI_NONGAAP_Diluted,0,COLUMN())</f>
        <v/>
      </c>
      <c r="R52" s="574">
        <f>INDEX(MO_RIS_NI_NONGAAP_Diluted,0,COLUMN())</f>
        <v/>
      </c>
      <c r="S52" s="574">
        <f>INDEX(MO_RIS_NI_NONGAAP_Diluted,0,COLUMN())</f>
        <v/>
      </c>
      <c r="T52" s="574">
        <f>INDEX(MO_RIS_NI_NONGAAP_Diluted,0,COLUMN())</f>
        <v/>
      </c>
      <c r="U52" s="1241">
        <f>INDEX(MO_RIS_NI_NONGAAP_Diluted,0,COLUMN())</f>
        <v/>
      </c>
      <c r="V52" s="574">
        <f>INDEX(MO_RIS_NI_NONGAAP_Diluted,0,COLUMN())</f>
        <v/>
      </c>
      <c r="W52" s="574">
        <f>INDEX(MO_RIS_NI_NONGAAP_Diluted,0,COLUMN())</f>
        <v/>
      </c>
      <c r="X52" s="574">
        <f>INDEX(MO_RIS_NI_NONGAAP_Diluted,0,COLUMN())</f>
        <v/>
      </c>
      <c r="Y52" s="574">
        <f>INDEX(MO_RIS_NI_NONGAAP_Diluted,0,COLUMN())</f>
        <v/>
      </c>
      <c r="Z52" s="1241">
        <f>INDEX(MO_RIS_NI_NONGAAP_Diluted,0,COLUMN())</f>
        <v/>
      </c>
      <c r="AA52" s="574">
        <f>INDEX(MO_RIS_NI_NONGAAP_Diluted,0,COLUMN())</f>
        <v/>
      </c>
      <c r="AB52" s="574">
        <f>INDEX(MO_RIS_NI_NONGAAP_Diluted,0,COLUMN())</f>
        <v/>
      </c>
      <c r="AC52" s="574">
        <f>INDEX(MO_RIS_NI_NONGAAP_Diluted,0,COLUMN())</f>
        <v/>
      </c>
      <c r="AD52" s="574">
        <f>INDEX(MO_RIS_NI_NONGAAP_Diluted,0,COLUMN())</f>
        <v/>
      </c>
      <c r="AE52" s="1241">
        <f>INDEX(MO_RIS_NI_NONGAAP_Diluted,0,COLUMN())</f>
        <v/>
      </c>
      <c r="AF52" s="574">
        <f>INDEX(MO_RIS_NI_NONGAAP_Diluted,0,COLUMN())</f>
        <v/>
      </c>
      <c r="AG52" s="574">
        <f>INDEX(MO_RIS_NI_NONGAAP_Diluted,0,COLUMN())</f>
        <v/>
      </c>
      <c r="AH52" s="574">
        <f>INDEX(MO_RIS_NI_NONGAAP_Diluted,0,COLUMN())</f>
        <v/>
      </c>
      <c r="AI52" s="574">
        <f>INDEX(MO_RIS_NI_NONGAAP_Diluted,0,COLUMN())</f>
        <v/>
      </c>
      <c r="AJ52" s="1241">
        <f>INDEX(MO_RIS_NI_NONGAAP_Diluted,0,COLUMN())</f>
        <v/>
      </c>
      <c r="AK52" s="574">
        <f>INDEX(MO_RIS_NI_NONGAAP_Diluted,0,COLUMN())</f>
        <v/>
      </c>
      <c r="AL52" s="574">
        <f>INDEX(MO_RIS_NI_NONGAAP_Diluted,0,COLUMN())</f>
        <v/>
      </c>
      <c r="AM52" s="574">
        <f>INDEX(MO_RIS_NI_NONGAAP_Diluted,0,COLUMN())</f>
        <v/>
      </c>
      <c r="AN52" s="574">
        <f>INDEX(MO_RIS_NI_NONGAAP_Diluted,0,COLUMN())</f>
        <v/>
      </c>
      <c r="AO52" s="1241">
        <f>INDEX(MO_RIS_NI_NONGAAP_Diluted,0,COLUMN())</f>
        <v/>
      </c>
      <c r="AP52" s="574">
        <f>INDEX(MO_RIS_NI_NONGAAP_Diluted,0,COLUMN())</f>
        <v/>
      </c>
      <c r="AQ52" s="574">
        <f>INDEX(MO_RIS_NI_NONGAAP_Diluted,0,COLUMN())</f>
        <v/>
      </c>
      <c r="AR52" s="574">
        <f>INDEX(MO_RIS_NI_NONGAAP_Diluted,0,COLUMN())</f>
        <v/>
      </c>
      <c r="AS52" s="574">
        <f>INDEX(MO_RIS_NI_NONGAAP_Diluted,0,COLUMN())</f>
        <v/>
      </c>
      <c r="AT52" s="1241">
        <f>INDEX(MO_RIS_NI_NONGAAP_Diluted,0,COLUMN())</f>
        <v/>
      </c>
      <c r="AU52" s="574">
        <f>INDEX(MO_RIS_NI_NONGAAP_Diluted,0,COLUMN())</f>
        <v/>
      </c>
      <c r="AV52" s="574">
        <f>INDEX(MO_RIS_NI_NONGAAP_Diluted,0,COLUMN())</f>
        <v/>
      </c>
      <c r="AW52" s="574">
        <f>INDEX(MO_RIS_NI_NONGAAP_Diluted,0,COLUMN())</f>
        <v/>
      </c>
      <c r="AX52" s="574">
        <f>INDEX(MO_RIS_NI_NONGAAP_Diluted,0,COLUMN())</f>
        <v/>
      </c>
      <c r="AY52" s="1241">
        <f>INDEX(MO_RIS_NI_NONGAAP_Diluted,0,COLUMN())</f>
        <v/>
      </c>
      <c r="AZ52" s="574">
        <f>INDEX(MO_RIS_NI_NONGAAP_Diluted,0,COLUMN())</f>
        <v/>
      </c>
      <c r="BA52" s="574">
        <f>INDEX(MO_RIS_NI_NONGAAP_Diluted,0,COLUMN())</f>
        <v/>
      </c>
      <c r="BB52" s="574">
        <f>INDEX(MO_RIS_NI_NONGAAP_Diluted,0,COLUMN())</f>
        <v/>
      </c>
      <c r="BC52" s="574">
        <f>INDEX(MO_RIS_NI_NONGAAP_Diluted,0,COLUMN())</f>
        <v/>
      </c>
      <c r="BD52" s="1241">
        <f>INDEX(MO_RIS_NI_NONGAAP_Diluted,0,COLUMN())</f>
        <v/>
      </c>
      <c r="BE52" s="574">
        <f>INDEX(MO_RIS_NI_NONGAAP_Diluted,0,COLUMN())</f>
        <v/>
      </c>
      <c r="BF52" s="574">
        <f>INDEX(MO_RIS_NI_NONGAAP_Diluted,0,COLUMN())</f>
        <v/>
      </c>
      <c r="BG52" s="574">
        <f>INDEX(MO_RIS_NI_NONGAAP_Diluted,0,COLUMN())</f>
        <v/>
      </c>
      <c r="BH52" s="574">
        <f>INDEX(MO_RIS_NI_NONGAAP_Diluted,0,COLUMN())</f>
        <v/>
      </c>
      <c r="BI52" s="1241">
        <f>INDEX(MO_RIS_NI_NONGAAP_Diluted,0,COLUMN())</f>
        <v/>
      </c>
      <c r="BJ52" s="574">
        <f>INDEX(MO_RIS_NI_NONGAAP_Diluted,0,COLUMN())</f>
        <v/>
      </c>
      <c r="BK52" s="574">
        <f>INDEX(MO_RIS_NI_NONGAAP_Diluted,0,COLUMN())</f>
        <v/>
      </c>
      <c r="BL52" s="574">
        <f>INDEX(MO_RIS_NI_NONGAAP_Diluted,0,COLUMN())</f>
        <v/>
      </c>
      <c r="BM52" s="574">
        <f>INDEX(MO_RIS_NI_NONGAAP_Diluted,0,COLUMN())</f>
        <v/>
      </c>
      <c r="BN52" s="1241">
        <f>INDEX(MO_RIS_NI_NONGAAP_Diluted,0,COLUMN())</f>
        <v/>
      </c>
      <c r="BO52" s="574">
        <f>INDEX(MO_RIS_NI_NONGAAP_Diluted,0,COLUMN())</f>
        <v/>
      </c>
      <c r="BP52" s="574">
        <f>INDEX(MO_RIS_NI_NONGAAP_Diluted,0,COLUMN())</f>
        <v/>
      </c>
      <c r="BQ52" s="574">
        <f>INDEX(MO_RIS_NI_NONGAAP_Diluted,0,COLUMN())</f>
        <v/>
      </c>
      <c r="BR52" s="574">
        <f>INDEX(MO_RIS_NI_NONGAAP_Diluted,0,COLUMN())</f>
        <v/>
      </c>
      <c r="BS52" s="1241">
        <f>INDEX(MO_RIS_NI_NONGAAP_Diluted,0,COLUMN())</f>
        <v/>
      </c>
      <c r="BT52" s="574">
        <f>INDEX(MO_RIS_NI_NONGAAP_Diluted,0,COLUMN())</f>
        <v/>
      </c>
      <c r="BU52" s="574">
        <f>INDEX(MO_RIS_NI_NONGAAP_Diluted,0,COLUMN())</f>
        <v/>
      </c>
      <c r="BV52" s="936">
        <f>INDEX(MO_RIS_NI_NONGAAP_Diluted,0,COLUMN())</f>
        <v/>
      </c>
      <c r="BW52" s="574">
        <f>INDEX(MO_RIS_NI_NONGAAP_Diluted,0,COLUMN())</f>
        <v/>
      </c>
      <c r="BX52" s="1241">
        <f>INDEX(MO_RIS_NI_NONGAAP_Diluted,0,COLUMN())</f>
        <v/>
      </c>
      <c r="BY52" s="574">
        <f>INDEX(MO_RIS_NI_NONGAAP_Diluted,0,COLUMN())</f>
        <v/>
      </c>
      <c r="BZ52" s="574">
        <f>INDEX(MO_RIS_NI_NONGAAP_Diluted,0,COLUMN())</f>
        <v/>
      </c>
      <c r="CA52" s="574">
        <f>INDEX(MO_RIS_NI_NONGAAP_Diluted,0,COLUMN())</f>
        <v/>
      </c>
      <c r="CB52" s="574">
        <f>INDEX(MO_RIS_NI_NONGAAP_Diluted,0,COLUMN())</f>
        <v/>
      </c>
      <c r="CC52" s="1241">
        <f>INDEX(MO_RIS_NI_NONGAAP_Diluted,0,COLUMN())</f>
        <v/>
      </c>
      <c r="CD52" s="1241">
        <f>INDEX(MO_RIS_NI_NONGAAP_Diluted,0,COLUMN())</f>
        <v/>
      </c>
      <c r="CE52" s="1241">
        <f>INDEX(MO_RIS_NI_NONGAAP_Diluted,0,COLUMN())</f>
        <v/>
      </c>
      <c r="CF52" s="1241">
        <f>INDEX(MO_RIS_NI_NONGAAP_Diluted,0,COLUMN())</f>
        <v/>
      </c>
      <c r="CG52" s="574" t="n"/>
    </row>
    <row r="53" customFormat="1" s="972">
      <c r="A53" s="211">
        <f>+Model!A425</f>
        <v/>
      </c>
      <c r="B53" s="210" t="n"/>
      <c r="C53" s="1238">
        <f>+Model!C425</f>
        <v/>
      </c>
      <c r="D53" s="1238">
        <f>+Model!D425</f>
        <v/>
      </c>
      <c r="E53" s="1238">
        <f>+Model!E425</f>
        <v/>
      </c>
      <c r="F53" s="1238">
        <f>+Model!F425</f>
        <v/>
      </c>
      <c r="G53" s="133">
        <f>+Model!G425</f>
        <v/>
      </c>
      <c r="H53" s="133">
        <f>+Model!H425</f>
        <v/>
      </c>
      <c r="I53" s="133">
        <f>+Model!I425</f>
        <v/>
      </c>
      <c r="J53" s="133">
        <f>+Model!J425</f>
        <v/>
      </c>
      <c r="K53" s="1238">
        <f>+Model!K425</f>
        <v/>
      </c>
      <c r="L53" s="133">
        <f>+Model!L425</f>
        <v/>
      </c>
      <c r="M53" s="133">
        <f>+Model!M425</f>
        <v/>
      </c>
      <c r="N53" s="133">
        <f>+Model!N425</f>
        <v/>
      </c>
      <c r="O53" s="133">
        <f>+Model!O425</f>
        <v/>
      </c>
      <c r="P53" s="1238">
        <f>+Model!P425</f>
        <v/>
      </c>
      <c r="Q53" s="133">
        <f>+Model!Q425</f>
        <v/>
      </c>
      <c r="R53" s="133">
        <f>+Model!R425</f>
        <v/>
      </c>
      <c r="S53" s="133">
        <f>+Model!S425</f>
        <v/>
      </c>
      <c r="T53" s="133">
        <f>+Model!T425</f>
        <v/>
      </c>
      <c r="U53" s="1238">
        <f>+Model!U425</f>
        <v/>
      </c>
      <c r="V53" s="133">
        <f>+Model!V425</f>
        <v/>
      </c>
      <c r="W53" s="133">
        <f>+Model!W425</f>
        <v/>
      </c>
      <c r="X53" s="133">
        <f>+Model!X425</f>
        <v/>
      </c>
      <c r="Y53" s="133">
        <f>+Model!Y425</f>
        <v/>
      </c>
      <c r="Z53" s="1238">
        <f>+Model!Z425</f>
        <v/>
      </c>
      <c r="AA53" s="133">
        <f>+Model!AA425</f>
        <v/>
      </c>
      <c r="AB53" s="133">
        <f>+Model!AB425</f>
        <v/>
      </c>
      <c r="AC53" s="133">
        <f>+Model!AC425</f>
        <v/>
      </c>
      <c r="AD53" s="133">
        <f>+Model!AD425</f>
        <v/>
      </c>
      <c r="AE53" s="1238">
        <f>+Model!AE425</f>
        <v/>
      </c>
      <c r="AF53" s="133">
        <f>+Model!AF425</f>
        <v/>
      </c>
      <c r="AG53" s="133">
        <f>+Model!AG425</f>
        <v/>
      </c>
      <c r="AH53" s="133">
        <f>+Model!AH425</f>
        <v/>
      </c>
      <c r="AI53" s="133">
        <f>+Model!AI425</f>
        <v/>
      </c>
      <c r="AJ53" s="1238">
        <f>+Model!AJ425</f>
        <v/>
      </c>
      <c r="AK53" s="133">
        <f>+Model!AK425</f>
        <v/>
      </c>
      <c r="AL53" s="133">
        <f>+Model!AL425</f>
        <v/>
      </c>
      <c r="AM53" s="133">
        <f>+Model!AM425</f>
        <v/>
      </c>
      <c r="AN53" s="133">
        <f>+Model!AN425</f>
        <v/>
      </c>
      <c r="AO53" s="1238">
        <f>+Model!AO425</f>
        <v/>
      </c>
      <c r="AP53" s="133">
        <f>+Model!AP425</f>
        <v/>
      </c>
      <c r="AQ53" s="133">
        <f>+Model!AQ425</f>
        <v/>
      </c>
      <c r="AR53" s="133">
        <f>+Model!AR425</f>
        <v/>
      </c>
      <c r="AS53" s="133">
        <f>+Model!AS425</f>
        <v/>
      </c>
      <c r="AT53" s="1238">
        <f>+Model!AT425</f>
        <v/>
      </c>
      <c r="AU53" s="133">
        <f>+Model!AU425</f>
        <v/>
      </c>
      <c r="AV53" s="133">
        <f>+Model!AV425</f>
        <v/>
      </c>
      <c r="AW53" s="133">
        <f>+Model!AW425</f>
        <v/>
      </c>
      <c r="AX53" s="133">
        <f>+Model!AX425</f>
        <v/>
      </c>
      <c r="AY53" s="1238">
        <f>+Model!AY425</f>
        <v/>
      </c>
      <c r="AZ53" s="133">
        <f>+Model!AZ425</f>
        <v/>
      </c>
      <c r="BA53" s="133">
        <f>+Model!BA425</f>
        <v/>
      </c>
      <c r="BB53" s="133">
        <f>+Model!BB425</f>
        <v/>
      </c>
      <c r="BC53" s="133">
        <f>+Model!BC425</f>
        <v/>
      </c>
      <c r="BD53" s="1238">
        <f>+Model!BD425</f>
        <v/>
      </c>
      <c r="BE53" s="133">
        <f>+Model!BE425</f>
        <v/>
      </c>
      <c r="BF53" s="133">
        <f>+Model!BF425</f>
        <v/>
      </c>
      <c r="BG53" s="133">
        <f>+Model!BG425</f>
        <v/>
      </c>
      <c r="BH53" s="133">
        <f>+Model!BH425</f>
        <v/>
      </c>
      <c r="BI53" s="1238">
        <f>+Model!BI425</f>
        <v/>
      </c>
      <c r="BJ53" s="133">
        <f>+Model!BJ425</f>
        <v/>
      </c>
      <c r="BK53" s="133">
        <f>+Model!BK425</f>
        <v/>
      </c>
      <c r="BL53" s="133">
        <f>+Model!BL425</f>
        <v/>
      </c>
      <c r="BM53" s="133">
        <f>+Model!BM425</f>
        <v/>
      </c>
      <c r="BN53" s="1238">
        <f>+Model!BN425</f>
        <v/>
      </c>
      <c r="BO53" s="133">
        <f>+Model!BO425</f>
        <v/>
      </c>
      <c r="BP53" s="133">
        <f>+Model!BP425</f>
        <v/>
      </c>
      <c r="BQ53" s="133">
        <f>+Model!BQ425</f>
        <v/>
      </c>
      <c r="BR53" s="133">
        <f>+Model!BR425</f>
        <v/>
      </c>
      <c r="BS53" s="1238">
        <f>+Model!BS425</f>
        <v/>
      </c>
      <c r="BT53" s="133">
        <f>+Model!BT425</f>
        <v/>
      </c>
      <c r="BU53" s="133">
        <f>+Model!BU425</f>
        <v/>
      </c>
      <c r="BV53" s="948">
        <f>+Model!BV425</f>
        <v/>
      </c>
      <c r="BW53" s="133">
        <f>+Model!BW425</f>
        <v/>
      </c>
      <c r="BX53" s="1238">
        <f>+Model!BX425</f>
        <v/>
      </c>
      <c r="BY53" s="133">
        <f>+Model!BY425</f>
        <v/>
      </c>
      <c r="BZ53" s="133">
        <f>+Model!BZ425</f>
        <v/>
      </c>
      <c r="CA53" s="133">
        <f>+Model!CA425</f>
        <v/>
      </c>
      <c r="CB53" s="133">
        <f>+Model!CB425</f>
        <v/>
      </c>
      <c r="CC53" s="1238">
        <f>+Model!CC425</f>
        <v/>
      </c>
      <c r="CD53" s="1238">
        <f>+Model!CD425</f>
        <v/>
      </c>
      <c r="CE53" s="1238">
        <f>+Model!CE425</f>
        <v/>
      </c>
      <c r="CF53" s="1238">
        <f>+Model!CF425</f>
        <v/>
      </c>
      <c r="CG53" s="133" t="n"/>
    </row>
    <row r="54">
      <c r="A54" s="130" t="n"/>
      <c r="B54" s="202" t="n"/>
      <c r="C54" s="190" t="n"/>
      <c r="D54" s="190" t="n"/>
      <c r="E54" s="190" t="n"/>
      <c r="F54" s="190" t="n"/>
      <c r="G54" s="134" t="n"/>
      <c r="H54" s="134" t="n"/>
      <c r="I54" s="134" t="n"/>
      <c r="J54" s="134" t="n"/>
      <c r="K54" s="190" t="n"/>
      <c r="L54" s="134" t="n"/>
      <c r="M54" s="134" t="n"/>
      <c r="N54" s="134" t="n"/>
      <c r="O54" s="134" t="n"/>
      <c r="P54" s="190" t="n"/>
      <c r="Q54" s="134" t="n"/>
      <c r="R54" s="134" t="n"/>
      <c r="S54" s="134" t="n"/>
      <c r="T54" s="134" t="n"/>
      <c r="U54" s="190" t="n"/>
      <c r="V54" s="134" t="n"/>
      <c r="W54" s="134" t="n"/>
      <c r="X54" s="134" t="n"/>
      <c r="Y54" s="140" t="n"/>
      <c r="Z54" s="185" t="n"/>
      <c r="AA54" s="134" t="n"/>
      <c r="AB54" s="134" t="n"/>
      <c r="AC54" s="134" t="n"/>
      <c r="AD54" s="140" t="n"/>
      <c r="AE54" s="185" t="n"/>
      <c r="AF54" s="134" t="n"/>
      <c r="AG54" s="134" t="n"/>
      <c r="AH54" s="134" t="n"/>
      <c r="AI54" s="140" t="n"/>
      <c r="AJ54" s="185" t="n"/>
      <c r="AK54" s="134" t="n"/>
      <c r="AL54" s="134" t="n"/>
      <c r="AM54" s="134" t="n"/>
      <c r="AN54" s="140" t="n"/>
      <c r="AO54" s="185" t="n"/>
      <c r="AP54" s="134" t="n"/>
      <c r="AQ54" s="134" t="n"/>
      <c r="AR54" s="134" t="n"/>
      <c r="AS54" s="140" t="n"/>
      <c r="AT54" s="185" t="n"/>
      <c r="AU54" s="134" t="n"/>
      <c r="AV54" s="134" t="n"/>
      <c r="AW54" s="134" t="n"/>
      <c r="AX54" s="140" t="n"/>
      <c r="AY54" s="185" t="n"/>
      <c r="AZ54" s="134" t="n"/>
      <c r="BA54" s="134" t="n"/>
      <c r="BB54" s="134" t="n"/>
      <c r="BC54" s="140" t="n"/>
      <c r="BD54" s="185" t="n"/>
      <c r="BE54" s="134" t="n"/>
      <c r="BF54" s="134" t="n"/>
      <c r="BG54" s="134" t="n"/>
      <c r="BH54" s="140" t="n"/>
      <c r="BI54" s="185" t="n"/>
      <c r="BJ54" s="134" t="n"/>
      <c r="BK54" s="134" t="n"/>
      <c r="BL54" s="134" t="n"/>
      <c r="BM54" s="140" t="n"/>
      <c r="BN54" s="185" t="n"/>
      <c r="BO54" s="134" t="n"/>
      <c r="BP54" s="134" t="n"/>
      <c r="BQ54" s="134" t="n"/>
      <c r="BR54" s="140" t="n"/>
      <c r="BS54" s="185" t="n"/>
      <c r="BT54" s="134" t="n"/>
      <c r="BU54" s="134" t="n"/>
      <c r="BV54" s="949" t="n"/>
      <c r="BW54" s="140" t="n"/>
      <c r="BX54" s="185" t="n"/>
      <c r="BY54" s="134" t="n"/>
      <c r="BZ54" s="134" t="n"/>
      <c r="CA54" s="134" t="n"/>
      <c r="CB54" s="140" t="n"/>
      <c r="CC54" s="185" t="n"/>
      <c r="CD54" s="185" t="n"/>
      <c r="CE54" s="185" t="n"/>
      <c r="CF54" s="185" t="n"/>
      <c r="CG54" s="130" t="n"/>
    </row>
    <row r="55">
      <c r="A55" s="1017" t="inlineStr">
        <is>
          <t>Margin Analysis</t>
        </is>
      </c>
      <c r="B55" s="1012" t="n"/>
      <c r="C55" s="1012" t="n"/>
      <c r="D55" s="1012" t="n"/>
      <c r="E55" s="1012" t="n"/>
      <c r="F55" s="1012" t="n"/>
      <c r="G55" s="1012" t="n"/>
      <c r="H55" s="1012" t="n"/>
      <c r="I55" s="1012" t="n"/>
      <c r="J55" s="1012" t="n"/>
      <c r="K55" s="1012" t="n"/>
      <c r="L55" s="1012" t="n"/>
      <c r="M55" s="1012" t="n"/>
      <c r="N55" s="1012" t="n"/>
      <c r="O55" s="1012" t="n"/>
      <c r="P55" s="1012" t="n"/>
      <c r="Q55" s="1012" t="n"/>
      <c r="R55" s="1012" t="n"/>
      <c r="S55" s="1012" t="n"/>
      <c r="T55" s="1012" t="n"/>
      <c r="U55" s="1012" t="n"/>
      <c r="V55" s="1012" t="n"/>
      <c r="W55" s="1012" t="n"/>
      <c r="X55" s="1012" t="n"/>
      <c r="Y55" s="1012" t="n"/>
      <c r="Z55" s="1012" t="n"/>
      <c r="AA55" s="1012" t="n"/>
      <c r="AB55" s="1012" t="n"/>
      <c r="AC55" s="1012" t="n"/>
      <c r="AD55" s="1012" t="n"/>
      <c r="AE55" s="1012" t="n"/>
      <c r="AF55" s="1012" t="n"/>
      <c r="AG55" s="1012" t="n"/>
      <c r="AH55" s="1012" t="n"/>
      <c r="AI55" s="1012" t="n"/>
      <c r="AJ55" s="1012" t="n"/>
      <c r="AK55" s="1012" t="n"/>
      <c r="AL55" s="1012" t="n"/>
      <c r="AM55" s="1012" t="n"/>
      <c r="AN55" s="1012" t="n"/>
      <c r="AO55" s="1012" t="n"/>
      <c r="AP55" s="1012" t="n"/>
      <c r="AQ55" s="1012" t="n"/>
      <c r="AR55" s="1012" t="n"/>
      <c r="AS55" s="1012" t="n"/>
      <c r="AT55" s="1012" t="n"/>
      <c r="AU55" s="1012" t="n"/>
      <c r="AV55" s="1012" t="n"/>
      <c r="AW55" s="1012" t="n"/>
      <c r="AX55" s="1012" t="n"/>
      <c r="AY55" s="1012" t="n"/>
      <c r="AZ55" s="1012" t="n"/>
      <c r="BA55" s="1012" t="n"/>
      <c r="BB55" s="1012" t="n"/>
      <c r="BC55" s="1012" t="n"/>
      <c r="BD55" s="1012" t="n"/>
      <c r="BE55" s="1012" t="n"/>
      <c r="BF55" s="1012" t="n"/>
      <c r="BG55" s="1012" t="n"/>
      <c r="BH55" s="1012" t="n"/>
      <c r="BI55" s="1012" t="n"/>
      <c r="BJ55" s="1012" t="n"/>
      <c r="BK55" s="1012" t="n"/>
      <c r="BL55" s="1012" t="n"/>
      <c r="BM55" s="1012" t="n"/>
      <c r="BN55" s="1012" t="n"/>
      <c r="BO55" s="1012" t="n"/>
      <c r="BP55" s="1012" t="n"/>
      <c r="BQ55" s="1012" t="n"/>
      <c r="BR55" s="1012" t="n"/>
      <c r="BS55" s="1012" t="n"/>
      <c r="BT55" s="1012" t="n"/>
      <c r="BU55" s="1012" t="n"/>
      <c r="BV55" s="1048" t="n"/>
      <c r="BW55" s="1012" t="n"/>
      <c r="BX55" s="1012" t="n"/>
      <c r="BY55" s="1012" t="n"/>
      <c r="BZ55" s="1012" t="n"/>
      <c r="CA55" s="1012" t="n"/>
      <c r="CB55" s="1012" t="n"/>
      <c r="CC55" s="1012" t="n"/>
      <c r="CD55" s="1012" t="n"/>
      <c r="CE55" s="1012" t="n"/>
      <c r="CF55" s="1012" t="n"/>
      <c r="CG55" s="1013" t="n"/>
    </row>
    <row r="56" customFormat="1" s="966">
      <c r="A56" s="201">
        <f>INDEX(MO_MA_COGS_NONGAAP,0,COLUMN())</f>
        <v/>
      </c>
      <c r="B56" s="202" t="n"/>
      <c r="C56" s="1245">
        <f>INDEX(MO_MA_COGS_NONGAAP,0,COLUMN())</f>
        <v/>
      </c>
      <c r="D56" s="1245">
        <f>INDEX(MO_MA_COGS_NONGAAP,0,COLUMN())</f>
        <v/>
      </c>
      <c r="E56" s="1245">
        <f>INDEX(MO_MA_COGS_NONGAAP,0,COLUMN())</f>
        <v/>
      </c>
      <c r="F56" s="1245">
        <f>INDEX(MO_MA_COGS_NONGAAP,0,COLUMN())</f>
        <v/>
      </c>
      <c r="G56" s="129">
        <f>INDEX(MO_MA_COGS_NONGAAP,0,COLUMN())</f>
        <v/>
      </c>
      <c r="H56" s="129">
        <f>INDEX(MO_MA_COGS_NONGAAP,0,COLUMN())</f>
        <v/>
      </c>
      <c r="I56" s="129">
        <f>INDEX(MO_MA_COGS_NONGAAP,0,COLUMN())</f>
        <v/>
      </c>
      <c r="J56" s="129">
        <f>INDEX(MO_MA_COGS_NONGAAP,0,COLUMN())</f>
        <v/>
      </c>
      <c r="K56" s="1245">
        <f>INDEX(MO_MA_COGS_NONGAAP,0,COLUMN())</f>
        <v/>
      </c>
      <c r="L56" s="129">
        <f>INDEX(MO_MA_COGS_NONGAAP,0,COLUMN())</f>
        <v/>
      </c>
      <c r="M56" s="129">
        <f>INDEX(MO_MA_COGS_NONGAAP,0,COLUMN())</f>
        <v/>
      </c>
      <c r="N56" s="129">
        <f>INDEX(MO_MA_COGS_NONGAAP,0,COLUMN())</f>
        <v/>
      </c>
      <c r="O56" s="129">
        <f>INDEX(MO_MA_COGS_NONGAAP,0,COLUMN())</f>
        <v/>
      </c>
      <c r="P56" s="1245">
        <f>INDEX(MO_MA_COGS_NONGAAP,0,COLUMN())</f>
        <v/>
      </c>
      <c r="Q56" s="129">
        <f>INDEX(MO_MA_COGS_NONGAAP,0,COLUMN())</f>
        <v/>
      </c>
      <c r="R56" s="129">
        <f>INDEX(MO_MA_COGS_NONGAAP,0,COLUMN())</f>
        <v/>
      </c>
      <c r="S56" s="129">
        <f>INDEX(MO_MA_COGS_NONGAAP,0,COLUMN())</f>
        <v/>
      </c>
      <c r="T56" s="129">
        <f>INDEX(MO_MA_COGS_NONGAAP,0,COLUMN())</f>
        <v/>
      </c>
      <c r="U56" s="1245">
        <f>INDEX(MO_MA_COGS_NONGAAP,0,COLUMN())</f>
        <v/>
      </c>
      <c r="V56" s="129">
        <f>INDEX(MO_MA_COGS_NONGAAP,0,COLUMN())</f>
        <v/>
      </c>
      <c r="W56" s="129">
        <f>INDEX(MO_MA_COGS_NONGAAP,0,COLUMN())</f>
        <v/>
      </c>
      <c r="X56" s="129">
        <f>INDEX(MO_MA_COGS_NONGAAP,0,COLUMN())</f>
        <v/>
      </c>
      <c r="Y56" s="129">
        <f>INDEX(MO_MA_COGS_NONGAAP,0,COLUMN())</f>
        <v/>
      </c>
      <c r="Z56" s="1245">
        <f>INDEX(MO_MA_COGS_NONGAAP,0,COLUMN())</f>
        <v/>
      </c>
      <c r="AA56" s="129">
        <f>INDEX(MO_MA_COGS_NONGAAP,0,COLUMN())</f>
        <v/>
      </c>
      <c r="AB56" s="129">
        <f>INDEX(MO_MA_COGS_NONGAAP,0,COLUMN())</f>
        <v/>
      </c>
      <c r="AC56" s="129">
        <f>INDEX(MO_MA_COGS_NONGAAP,0,COLUMN())</f>
        <v/>
      </c>
      <c r="AD56" s="129">
        <f>INDEX(MO_MA_COGS_NONGAAP,0,COLUMN())</f>
        <v/>
      </c>
      <c r="AE56" s="1245">
        <f>INDEX(MO_MA_COGS_NONGAAP,0,COLUMN())</f>
        <v/>
      </c>
      <c r="AF56" s="129">
        <f>INDEX(MO_MA_COGS_NONGAAP,0,COLUMN())</f>
        <v/>
      </c>
      <c r="AG56" s="129">
        <f>INDEX(MO_MA_COGS_NONGAAP,0,COLUMN())</f>
        <v/>
      </c>
      <c r="AH56" s="129">
        <f>INDEX(MO_MA_COGS_NONGAAP,0,COLUMN())</f>
        <v/>
      </c>
      <c r="AI56" s="129">
        <f>INDEX(MO_MA_COGS_NONGAAP,0,COLUMN())</f>
        <v/>
      </c>
      <c r="AJ56" s="185">
        <f>INDEX(MO_MA_COGS_NONGAAP,0,COLUMN())</f>
        <v/>
      </c>
      <c r="AK56" s="129">
        <f>INDEX(MO_MA_COGS_NONGAAP,0,COLUMN())</f>
        <v/>
      </c>
      <c r="AL56" s="129">
        <f>INDEX(MO_MA_COGS_NONGAAP,0,COLUMN())</f>
        <v/>
      </c>
      <c r="AM56" s="129">
        <f>INDEX(MO_MA_COGS_NONGAAP,0,COLUMN())</f>
        <v/>
      </c>
      <c r="AN56" s="129">
        <f>INDEX(MO_MA_COGS_NONGAAP,0,COLUMN())</f>
        <v/>
      </c>
      <c r="AO56" s="185">
        <f>INDEX(MO_MA_COGS_NONGAAP,0,COLUMN())</f>
        <v/>
      </c>
      <c r="AP56" s="129">
        <f>INDEX(MO_MA_COGS_NONGAAP,0,COLUMN())</f>
        <v/>
      </c>
      <c r="AQ56" s="129">
        <f>INDEX(MO_MA_COGS_NONGAAP,0,COLUMN())</f>
        <v/>
      </c>
      <c r="AR56" s="129">
        <f>INDEX(MO_MA_COGS_NONGAAP,0,COLUMN())</f>
        <v/>
      </c>
      <c r="AS56" s="129">
        <f>INDEX(MO_MA_COGS_NONGAAP,0,COLUMN())</f>
        <v/>
      </c>
      <c r="AT56" s="185">
        <f>INDEX(MO_MA_COGS_NONGAAP,0,COLUMN())</f>
        <v/>
      </c>
      <c r="AU56" s="129">
        <f>INDEX(MO_MA_COGS_NONGAAP,0,COLUMN())</f>
        <v/>
      </c>
      <c r="AV56" s="129">
        <f>INDEX(MO_MA_COGS_NONGAAP,0,COLUMN())</f>
        <v/>
      </c>
      <c r="AW56" s="129">
        <f>INDEX(MO_MA_COGS_NONGAAP,0,COLUMN())</f>
        <v/>
      </c>
      <c r="AX56" s="129">
        <f>INDEX(MO_MA_COGS_NONGAAP,0,COLUMN())</f>
        <v/>
      </c>
      <c r="AY56" s="185">
        <f>INDEX(MO_MA_COGS_NONGAAP,0,COLUMN())</f>
        <v/>
      </c>
      <c r="AZ56" s="129">
        <f>INDEX(MO_MA_COGS_NONGAAP,0,COLUMN())</f>
        <v/>
      </c>
      <c r="BA56" s="129">
        <f>INDEX(MO_MA_COGS_NONGAAP,0,COLUMN())</f>
        <v/>
      </c>
      <c r="BB56" s="129">
        <f>INDEX(MO_MA_COGS_NONGAAP,0,COLUMN())</f>
        <v/>
      </c>
      <c r="BC56" s="129">
        <f>INDEX(MO_MA_COGS_NONGAAP,0,COLUMN())</f>
        <v/>
      </c>
      <c r="BD56" s="185">
        <f>INDEX(MO_MA_COGS_NONGAAP,0,COLUMN())</f>
        <v/>
      </c>
      <c r="BE56" s="129">
        <f>INDEX(MO_MA_COGS_NONGAAP,0,COLUMN())</f>
        <v/>
      </c>
      <c r="BF56" s="129">
        <f>INDEX(MO_MA_COGS_NONGAAP,0,COLUMN())</f>
        <v/>
      </c>
      <c r="BG56" s="129">
        <f>INDEX(MO_MA_COGS_NONGAAP,0,COLUMN())</f>
        <v/>
      </c>
      <c r="BH56" s="129">
        <f>INDEX(MO_MA_COGS_NONGAAP,0,COLUMN())</f>
        <v/>
      </c>
      <c r="BI56" s="185">
        <f>INDEX(MO_MA_COGS_NONGAAP,0,COLUMN())</f>
        <v/>
      </c>
      <c r="BJ56" s="129">
        <f>INDEX(MO_MA_COGS_NONGAAP,0,COLUMN())</f>
        <v/>
      </c>
      <c r="BK56" s="129">
        <f>INDEX(MO_MA_COGS_NONGAAP,0,COLUMN())</f>
        <v/>
      </c>
      <c r="BL56" s="129">
        <f>INDEX(MO_MA_COGS_NONGAAP,0,COLUMN())</f>
        <v/>
      </c>
      <c r="BM56" s="129">
        <f>INDEX(MO_MA_COGS_NONGAAP,0,COLUMN())</f>
        <v/>
      </c>
      <c r="BN56" s="185">
        <f>INDEX(MO_MA_COGS_NONGAAP,0,COLUMN())</f>
        <v/>
      </c>
      <c r="BO56" s="129">
        <f>INDEX(MO_MA_COGS_NONGAAP,0,COLUMN())</f>
        <v/>
      </c>
      <c r="BP56" s="129">
        <f>INDEX(MO_MA_COGS_NONGAAP,0,COLUMN())</f>
        <v/>
      </c>
      <c r="BQ56" s="129">
        <f>INDEX(MO_MA_COGS_NONGAAP,0,COLUMN())</f>
        <v/>
      </c>
      <c r="BR56" s="129">
        <f>INDEX(MO_MA_COGS_NONGAAP,0,COLUMN())</f>
        <v/>
      </c>
      <c r="BS56" s="185">
        <f>INDEX(MO_MA_COGS_NONGAAP,0,COLUMN())</f>
        <v/>
      </c>
      <c r="BT56" s="129">
        <f>INDEX(MO_MA_COGS_NONGAAP,0,COLUMN())</f>
        <v/>
      </c>
      <c r="BU56" s="129">
        <f>INDEX(MO_MA_COGS_NONGAAP,0,COLUMN())</f>
        <v/>
      </c>
      <c r="BV56" s="946">
        <f>INDEX(MO_MA_COGS_NONGAAP,0,COLUMN())</f>
        <v/>
      </c>
      <c r="BW56" s="129">
        <f>INDEX(MO_MA_COGS_NONGAAP,0,COLUMN())</f>
        <v/>
      </c>
      <c r="BX56" s="185">
        <f>INDEX(MO_MA_COGS_NONGAAP,0,COLUMN())</f>
        <v/>
      </c>
      <c r="BY56" s="129">
        <f>INDEX(MO_MA_COGS_NONGAAP,0,COLUMN())</f>
        <v/>
      </c>
      <c r="BZ56" s="129">
        <f>INDEX(MO_MA_COGS_NONGAAP,0,COLUMN())</f>
        <v/>
      </c>
      <c r="CA56" s="129">
        <f>INDEX(MO_MA_COGS_NONGAAP,0,COLUMN())</f>
        <v/>
      </c>
      <c r="CB56" s="129">
        <f>INDEX(MO_MA_COGS_NONGAAP,0,COLUMN())</f>
        <v/>
      </c>
      <c r="CC56" s="185">
        <f>INDEX(MO_MA_COGS_NONGAAP,0,COLUMN())</f>
        <v/>
      </c>
      <c r="CD56" s="185">
        <f>INDEX(MO_MA_COGS_NONGAAP,0,COLUMN())</f>
        <v/>
      </c>
      <c r="CE56" s="185">
        <f>INDEX(MO_MA_COGS_NONGAAP,0,COLUMN())</f>
        <v/>
      </c>
      <c r="CF56" s="185">
        <f>INDEX(MO_MA_COGS_NONGAAP,0,COLUMN())</f>
        <v/>
      </c>
      <c r="CG56" s="130" t="n"/>
    </row>
    <row r="57" customFormat="1" s="966">
      <c r="A57" s="201">
        <f>INDEX(MO_MA_RD_NONGAAP,0,COLUMN())</f>
        <v/>
      </c>
      <c r="B57" s="202" t="n"/>
      <c r="C57" s="1245">
        <f>INDEX(MO_MA_RD_NONGAAP,0,COLUMN())</f>
        <v/>
      </c>
      <c r="D57" s="1245">
        <f>INDEX(MO_MA_RD_NONGAAP,0,COLUMN())</f>
        <v/>
      </c>
      <c r="E57" s="1245">
        <f>INDEX(MO_MA_RD_NONGAAP,0,COLUMN())</f>
        <v/>
      </c>
      <c r="F57" s="1245">
        <f>INDEX(MO_MA_RD_NONGAAP,0,COLUMN())</f>
        <v/>
      </c>
      <c r="G57" s="129">
        <f>INDEX(MO_MA_RD_NONGAAP,0,COLUMN())</f>
        <v/>
      </c>
      <c r="H57" s="129">
        <f>INDEX(MO_MA_RD_NONGAAP,0,COLUMN())</f>
        <v/>
      </c>
      <c r="I57" s="129">
        <f>INDEX(MO_MA_RD_NONGAAP,0,COLUMN())</f>
        <v/>
      </c>
      <c r="J57" s="129">
        <f>INDEX(MO_MA_RD_NONGAAP,0,COLUMN())</f>
        <v/>
      </c>
      <c r="K57" s="1245">
        <f>INDEX(MO_MA_RD_NONGAAP,0,COLUMN())</f>
        <v/>
      </c>
      <c r="L57" s="129">
        <f>INDEX(MO_MA_RD_NONGAAP,0,COLUMN())</f>
        <v/>
      </c>
      <c r="M57" s="129">
        <f>INDEX(MO_MA_RD_NONGAAP,0,COLUMN())</f>
        <v/>
      </c>
      <c r="N57" s="129">
        <f>INDEX(MO_MA_RD_NONGAAP,0,COLUMN())</f>
        <v/>
      </c>
      <c r="O57" s="129">
        <f>INDEX(MO_MA_RD_NONGAAP,0,COLUMN())</f>
        <v/>
      </c>
      <c r="P57" s="1245">
        <f>INDEX(MO_MA_RD_NONGAAP,0,COLUMN())</f>
        <v/>
      </c>
      <c r="Q57" s="129">
        <f>INDEX(MO_MA_RD_NONGAAP,0,COLUMN())</f>
        <v/>
      </c>
      <c r="R57" s="129">
        <f>INDEX(MO_MA_RD_NONGAAP,0,COLUMN())</f>
        <v/>
      </c>
      <c r="S57" s="129">
        <f>INDEX(MO_MA_RD_NONGAAP,0,COLUMN())</f>
        <v/>
      </c>
      <c r="T57" s="129">
        <f>INDEX(MO_MA_RD_NONGAAP,0,COLUMN())</f>
        <v/>
      </c>
      <c r="U57" s="1245">
        <f>INDEX(MO_MA_RD_NONGAAP,0,COLUMN())</f>
        <v/>
      </c>
      <c r="V57" s="129">
        <f>INDEX(MO_MA_RD_NONGAAP,0,COLUMN())</f>
        <v/>
      </c>
      <c r="W57" s="129">
        <f>INDEX(MO_MA_RD_NONGAAP,0,COLUMN())</f>
        <v/>
      </c>
      <c r="X57" s="129">
        <f>INDEX(MO_MA_RD_NONGAAP,0,COLUMN())</f>
        <v/>
      </c>
      <c r="Y57" s="129">
        <f>INDEX(MO_MA_RD_NONGAAP,0,COLUMN())</f>
        <v/>
      </c>
      <c r="Z57" s="1245">
        <f>INDEX(MO_MA_RD_NONGAAP,0,COLUMN())</f>
        <v/>
      </c>
      <c r="AA57" s="129">
        <f>INDEX(MO_MA_RD_NONGAAP,0,COLUMN())</f>
        <v/>
      </c>
      <c r="AB57" s="129">
        <f>INDEX(MO_MA_RD_NONGAAP,0,COLUMN())</f>
        <v/>
      </c>
      <c r="AC57" s="129">
        <f>INDEX(MO_MA_RD_NONGAAP,0,COLUMN())</f>
        <v/>
      </c>
      <c r="AD57" s="129">
        <f>INDEX(MO_MA_RD_NONGAAP,0,COLUMN())</f>
        <v/>
      </c>
      <c r="AE57" s="1245">
        <f>INDEX(MO_MA_RD_NONGAAP,0,COLUMN())</f>
        <v/>
      </c>
      <c r="AF57" s="129">
        <f>INDEX(MO_MA_RD_NONGAAP,0,COLUMN())</f>
        <v/>
      </c>
      <c r="AG57" s="129">
        <f>INDEX(MO_MA_RD_NONGAAP,0,COLUMN())</f>
        <v/>
      </c>
      <c r="AH57" s="129">
        <f>INDEX(MO_MA_RD_NONGAAP,0,COLUMN())</f>
        <v/>
      </c>
      <c r="AI57" s="129">
        <f>INDEX(MO_MA_RD_NONGAAP,0,COLUMN())</f>
        <v/>
      </c>
      <c r="AJ57" s="185">
        <f>INDEX(MO_MA_RD_NONGAAP,0,COLUMN())</f>
        <v/>
      </c>
      <c r="AK57" s="129">
        <f>INDEX(MO_MA_RD_NONGAAP,0,COLUMN())</f>
        <v/>
      </c>
      <c r="AL57" s="129">
        <f>INDEX(MO_MA_RD_NONGAAP,0,COLUMN())</f>
        <v/>
      </c>
      <c r="AM57" s="129">
        <f>INDEX(MO_MA_RD_NONGAAP,0,COLUMN())</f>
        <v/>
      </c>
      <c r="AN57" s="129">
        <f>INDEX(MO_MA_RD_NONGAAP,0,COLUMN())</f>
        <v/>
      </c>
      <c r="AO57" s="185">
        <f>INDEX(MO_MA_RD_NONGAAP,0,COLUMN())</f>
        <v/>
      </c>
      <c r="AP57" s="129">
        <f>INDEX(MO_MA_RD_NONGAAP,0,COLUMN())</f>
        <v/>
      </c>
      <c r="AQ57" s="129">
        <f>INDEX(MO_MA_RD_NONGAAP,0,COLUMN())</f>
        <v/>
      </c>
      <c r="AR57" s="129">
        <f>INDEX(MO_MA_RD_NONGAAP,0,COLUMN())</f>
        <v/>
      </c>
      <c r="AS57" s="129">
        <f>INDEX(MO_MA_RD_NONGAAP,0,COLUMN())</f>
        <v/>
      </c>
      <c r="AT57" s="185">
        <f>INDEX(MO_MA_RD_NONGAAP,0,COLUMN())</f>
        <v/>
      </c>
      <c r="AU57" s="129">
        <f>INDEX(MO_MA_RD_NONGAAP,0,COLUMN())</f>
        <v/>
      </c>
      <c r="AV57" s="129">
        <f>INDEX(MO_MA_RD_NONGAAP,0,COLUMN())</f>
        <v/>
      </c>
      <c r="AW57" s="129">
        <f>INDEX(MO_MA_RD_NONGAAP,0,COLUMN())</f>
        <v/>
      </c>
      <c r="AX57" s="129">
        <f>INDEX(MO_MA_RD_NONGAAP,0,COLUMN())</f>
        <v/>
      </c>
      <c r="AY57" s="185">
        <f>INDEX(MO_MA_RD_NONGAAP,0,COLUMN())</f>
        <v/>
      </c>
      <c r="AZ57" s="129">
        <f>INDEX(MO_MA_RD_NONGAAP,0,COLUMN())</f>
        <v/>
      </c>
      <c r="BA57" s="129">
        <f>INDEX(MO_MA_RD_NONGAAP,0,COLUMN())</f>
        <v/>
      </c>
      <c r="BB57" s="129">
        <f>INDEX(MO_MA_RD_NONGAAP,0,COLUMN())</f>
        <v/>
      </c>
      <c r="BC57" s="129">
        <f>INDEX(MO_MA_RD_NONGAAP,0,COLUMN())</f>
        <v/>
      </c>
      <c r="BD57" s="185">
        <f>INDEX(MO_MA_RD_NONGAAP,0,COLUMN())</f>
        <v/>
      </c>
      <c r="BE57" s="129">
        <f>INDEX(MO_MA_RD_NONGAAP,0,COLUMN())</f>
        <v/>
      </c>
      <c r="BF57" s="129">
        <f>INDEX(MO_MA_RD_NONGAAP,0,COLUMN())</f>
        <v/>
      </c>
      <c r="BG57" s="129">
        <f>INDEX(MO_MA_RD_NONGAAP,0,COLUMN())</f>
        <v/>
      </c>
      <c r="BH57" s="129">
        <f>INDEX(MO_MA_RD_NONGAAP,0,COLUMN())</f>
        <v/>
      </c>
      <c r="BI57" s="185">
        <f>INDEX(MO_MA_RD_NONGAAP,0,COLUMN())</f>
        <v/>
      </c>
      <c r="BJ57" s="129">
        <f>INDEX(MO_MA_RD_NONGAAP,0,COLUMN())</f>
        <v/>
      </c>
      <c r="BK57" s="129">
        <f>INDEX(MO_MA_RD_NONGAAP,0,COLUMN())</f>
        <v/>
      </c>
      <c r="BL57" s="129">
        <f>INDEX(MO_MA_RD_NONGAAP,0,COLUMN())</f>
        <v/>
      </c>
      <c r="BM57" s="129">
        <f>INDEX(MO_MA_RD_NONGAAP,0,COLUMN())</f>
        <v/>
      </c>
      <c r="BN57" s="185">
        <f>INDEX(MO_MA_RD_NONGAAP,0,COLUMN())</f>
        <v/>
      </c>
      <c r="BO57" s="129">
        <f>INDEX(MO_MA_RD_NONGAAP,0,COLUMN())</f>
        <v/>
      </c>
      <c r="BP57" s="129">
        <f>INDEX(MO_MA_RD_NONGAAP,0,COLUMN())</f>
        <v/>
      </c>
      <c r="BQ57" s="129">
        <f>INDEX(MO_MA_RD_NONGAAP,0,COLUMN())</f>
        <v/>
      </c>
      <c r="BR57" s="129">
        <f>INDEX(MO_MA_RD_NONGAAP,0,COLUMN())</f>
        <v/>
      </c>
      <c r="BS57" s="185">
        <f>INDEX(MO_MA_RD_NONGAAP,0,COLUMN())</f>
        <v/>
      </c>
      <c r="BT57" s="129">
        <f>INDEX(MO_MA_RD_NONGAAP,0,COLUMN())</f>
        <v/>
      </c>
      <c r="BU57" s="129">
        <f>INDEX(MO_MA_RD_NONGAAP,0,COLUMN())</f>
        <v/>
      </c>
      <c r="BV57" s="946">
        <f>INDEX(MO_MA_RD_NONGAAP,0,COLUMN())</f>
        <v/>
      </c>
      <c r="BW57" s="129">
        <f>INDEX(MO_MA_RD_NONGAAP,0,COLUMN())</f>
        <v/>
      </c>
      <c r="BX57" s="185">
        <f>INDEX(MO_MA_RD_NONGAAP,0,COLUMN())</f>
        <v/>
      </c>
      <c r="BY57" s="129">
        <f>INDEX(MO_MA_RD_NONGAAP,0,COLUMN())</f>
        <v/>
      </c>
      <c r="BZ57" s="129">
        <f>INDEX(MO_MA_RD_NONGAAP,0,COLUMN())</f>
        <v/>
      </c>
      <c r="CA57" s="129">
        <f>INDEX(MO_MA_RD_NONGAAP,0,COLUMN())</f>
        <v/>
      </c>
      <c r="CB57" s="129">
        <f>INDEX(MO_MA_RD_NONGAAP,0,COLUMN())</f>
        <v/>
      </c>
      <c r="CC57" s="185">
        <f>INDEX(MO_MA_RD_NONGAAP,0,COLUMN())</f>
        <v/>
      </c>
      <c r="CD57" s="185">
        <f>INDEX(MO_MA_RD_NONGAAP,0,COLUMN())</f>
        <v/>
      </c>
      <c r="CE57" s="185">
        <f>INDEX(MO_MA_RD_NONGAAP,0,COLUMN())</f>
        <v/>
      </c>
      <c r="CF57" s="185">
        <f>INDEX(MO_MA_RD_NONGAAP,0,COLUMN())</f>
        <v/>
      </c>
      <c r="CG57" s="130" t="n"/>
    </row>
    <row r="58" customFormat="1" s="966">
      <c r="A58" s="201">
        <f>INDEX(MO_MA_SGA_NONGAAP,0,COLUMN())</f>
        <v/>
      </c>
      <c r="B58" s="202" t="n"/>
      <c r="C58" s="1245">
        <f>INDEX(MO_MA_SGA_NONGAAP,0,COLUMN())</f>
        <v/>
      </c>
      <c r="D58" s="1245">
        <f>INDEX(MO_MA_SGA_NONGAAP,0,COLUMN())</f>
        <v/>
      </c>
      <c r="E58" s="1245">
        <f>INDEX(MO_MA_SGA_NONGAAP,0,COLUMN())</f>
        <v/>
      </c>
      <c r="F58" s="1245">
        <f>INDEX(MO_MA_SGA_NONGAAP,0,COLUMN())</f>
        <v/>
      </c>
      <c r="G58" s="129">
        <f>INDEX(MO_MA_SGA_NONGAAP,0,COLUMN())</f>
        <v/>
      </c>
      <c r="H58" s="129">
        <f>INDEX(MO_MA_SGA_NONGAAP,0,COLUMN())</f>
        <v/>
      </c>
      <c r="I58" s="129">
        <f>INDEX(MO_MA_SGA_NONGAAP,0,COLUMN())</f>
        <v/>
      </c>
      <c r="J58" s="129">
        <f>INDEX(MO_MA_SGA_NONGAAP,0,COLUMN())</f>
        <v/>
      </c>
      <c r="K58" s="1245">
        <f>INDEX(MO_MA_SGA_NONGAAP,0,COLUMN())</f>
        <v/>
      </c>
      <c r="L58" s="129">
        <f>INDEX(MO_MA_SGA_NONGAAP,0,COLUMN())</f>
        <v/>
      </c>
      <c r="M58" s="129">
        <f>INDEX(MO_MA_SGA_NONGAAP,0,COLUMN())</f>
        <v/>
      </c>
      <c r="N58" s="129">
        <f>INDEX(MO_MA_SGA_NONGAAP,0,COLUMN())</f>
        <v/>
      </c>
      <c r="O58" s="129">
        <f>INDEX(MO_MA_SGA_NONGAAP,0,COLUMN())</f>
        <v/>
      </c>
      <c r="P58" s="1245">
        <f>INDEX(MO_MA_SGA_NONGAAP,0,COLUMN())</f>
        <v/>
      </c>
      <c r="Q58" s="129">
        <f>INDEX(MO_MA_SGA_NONGAAP,0,COLUMN())</f>
        <v/>
      </c>
      <c r="R58" s="129">
        <f>INDEX(MO_MA_SGA_NONGAAP,0,COLUMN())</f>
        <v/>
      </c>
      <c r="S58" s="129">
        <f>INDEX(MO_MA_SGA_NONGAAP,0,COLUMN())</f>
        <v/>
      </c>
      <c r="T58" s="129">
        <f>INDEX(MO_MA_SGA_NONGAAP,0,COLUMN())</f>
        <v/>
      </c>
      <c r="U58" s="1245">
        <f>INDEX(MO_MA_SGA_NONGAAP,0,COLUMN())</f>
        <v/>
      </c>
      <c r="V58" s="129">
        <f>INDEX(MO_MA_SGA_NONGAAP,0,COLUMN())</f>
        <v/>
      </c>
      <c r="W58" s="129">
        <f>INDEX(MO_MA_SGA_NONGAAP,0,COLUMN())</f>
        <v/>
      </c>
      <c r="X58" s="129">
        <f>INDEX(MO_MA_SGA_NONGAAP,0,COLUMN())</f>
        <v/>
      </c>
      <c r="Y58" s="129">
        <f>INDEX(MO_MA_SGA_NONGAAP,0,COLUMN())</f>
        <v/>
      </c>
      <c r="Z58" s="1245">
        <f>INDEX(MO_MA_SGA_NONGAAP,0,COLUMN())</f>
        <v/>
      </c>
      <c r="AA58" s="129">
        <f>INDEX(MO_MA_SGA_NONGAAP,0,COLUMN())</f>
        <v/>
      </c>
      <c r="AB58" s="129">
        <f>INDEX(MO_MA_SGA_NONGAAP,0,COLUMN())</f>
        <v/>
      </c>
      <c r="AC58" s="129">
        <f>INDEX(MO_MA_SGA_NONGAAP,0,COLUMN())</f>
        <v/>
      </c>
      <c r="AD58" s="129">
        <f>INDEX(MO_MA_SGA_NONGAAP,0,COLUMN())</f>
        <v/>
      </c>
      <c r="AE58" s="1245">
        <f>INDEX(MO_MA_SGA_NONGAAP,0,COLUMN())</f>
        <v/>
      </c>
      <c r="AF58" s="129">
        <f>INDEX(MO_MA_SGA_NONGAAP,0,COLUMN())</f>
        <v/>
      </c>
      <c r="AG58" s="129">
        <f>INDEX(MO_MA_SGA_NONGAAP,0,COLUMN())</f>
        <v/>
      </c>
      <c r="AH58" s="129">
        <f>INDEX(MO_MA_SGA_NONGAAP,0,COLUMN())</f>
        <v/>
      </c>
      <c r="AI58" s="129">
        <f>INDEX(MO_MA_SGA_NONGAAP,0,COLUMN())</f>
        <v/>
      </c>
      <c r="AJ58" s="185">
        <f>INDEX(MO_MA_SGA_NONGAAP,0,COLUMN())</f>
        <v/>
      </c>
      <c r="AK58" s="129">
        <f>INDEX(MO_MA_SGA_NONGAAP,0,COLUMN())</f>
        <v/>
      </c>
      <c r="AL58" s="129">
        <f>INDEX(MO_MA_SGA_NONGAAP,0,COLUMN())</f>
        <v/>
      </c>
      <c r="AM58" s="129">
        <f>INDEX(MO_MA_SGA_NONGAAP,0,COLUMN())</f>
        <v/>
      </c>
      <c r="AN58" s="129">
        <f>INDEX(MO_MA_SGA_NONGAAP,0,COLUMN())</f>
        <v/>
      </c>
      <c r="AO58" s="185">
        <f>INDEX(MO_MA_SGA_NONGAAP,0,COLUMN())</f>
        <v/>
      </c>
      <c r="AP58" s="129">
        <f>INDEX(MO_MA_SGA_NONGAAP,0,COLUMN())</f>
        <v/>
      </c>
      <c r="AQ58" s="129">
        <f>INDEX(MO_MA_SGA_NONGAAP,0,COLUMN())</f>
        <v/>
      </c>
      <c r="AR58" s="129">
        <f>INDEX(MO_MA_SGA_NONGAAP,0,COLUMN())</f>
        <v/>
      </c>
      <c r="AS58" s="129">
        <f>INDEX(MO_MA_SGA_NONGAAP,0,COLUMN())</f>
        <v/>
      </c>
      <c r="AT58" s="185">
        <f>INDEX(MO_MA_SGA_NONGAAP,0,COLUMN())</f>
        <v/>
      </c>
      <c r="AU58" s="129">
        <f>INDEX(MO_MA_SGA_NONGAAP,0,COLUMN())</f>
        <v/>
      </c>
      <c r="AV58" s="129">
        <f>INDEX(MO_MA_SGA_NONGAAP,0,COLUMN())</f>
        <v/>
      </c>
      <c r="AW58" s="129">
        <f>INDEX(MO_MA_SGA_NONGAAP,0,COLUMN())</f>
        <v/>
      </c>
      <c r="AX58" s="129">
        <f>INDEX(MO_MA_SGA_NONGAAP,0,COLUMN())</f>
        <v/>
      </c>
      <c r="AY58" s="185">
        <f>INDEX(MO_MA_SGA_NONGAAP,0,COLUMN())</f>
        <v/>
      </c>
      <c r="AZ58" s="129">
        <f>INDEX(MO_MA_SGA_NONGAAP,0,COLUMN())</f>
        <v/>
      </c>
      <c r="BA58" s="129">
        <f>INDEX(MO_MA_SGA_NONGAAP,0,COLUMN())</f>
        <v/>
      </c>
      <c r="BB58" s="129">
        <f>INDEX(MO_MA_SGA_NONGAAP,0,COLUMN())</f>
        <v/>
      </c>
      <c r="BC58" s="129">
        <f>INDEX(MO_MA_SGA_NONGAAP,0,COLUMN())</f>
        <v/>
      </c>
      <c r="BD58" s="185">
        <f>INDEX(MO_MA_SGA_NONGAAP,0,COLUMN())</f>
        <v/>
      </c>
      <c r="BE58" s="129">
        <f>INDEX(MO_MA_SGA_NONGAAP,0,COLUMN())</f>
        <v/>
      </c>
      <c r="BF58" s="129">
        <f>INDEX(MO_MA_SGA_NONGAAP,0,COLUMN())</f>
        <v/>
      </c>
      <c r="BG58" s="129">
        <f>INDEX(MO_MA_SGA_NONGAAP,0,COLUMN())</f>
        <v/>
      </c>
      <c r="BH58" s="129">
        <f>INDEX(MO_MA_SGA_NONGAAP,0,COLUMN())</f>
        <v/>
      </c>
      <c r="BI58" s="185">
        <f>INDEX(MO_MA_SGA_NONGAAP,0,COLUMN())</f>
        <v/>
      </c>
      <c r="BJ58" s="129">
        <f>INDEX(MO_MA_SGA_NONGAAP,0,COLUMN())</f>
        <v/>
      </c>
      <c r="BK58" s="129">
        <f>INDEX(MO_MA_SGA_NONGAAP,0,COLUMN())</f>
        <v/>
      </c>
      <c r="BL58" s="129">
        <f>INDEX(MO_MA_SGA_NONGAAP,0,COLUMN())</f>
        <v/>
      </c>
      <c r="BM58" s="129">
        <f>INDEX(MO_MA_SGA_NONGAAP,0,COLUMN())</f>
        <v/>
      </c>
      <c r="BN58" s="185">
        <f>INDEX(MO_MA_SGA_NONGAAP,0,COLUMN())</f>
        <v/>
      </c>
      <c r="BO58" s="129">
        <f>INDEX(MO_MA_SGA_NONGAAP,0,COLUMN())</f>
        <v/>
      </c>
      <c r="BP58" s="129">
        <f>INDEX(MO_MA_SGA_NONGAAP,0,COLUMN())</f>
        <v/>
      </c>
      <c r="BQ58" s="129">
        <f>INDEX(MO_MA_SGA_NONGAAP,0,COLUMN())</f>
        <v/>
      </c>
      <c r="BR58" s="129">
        <f>INDEX(MO_MA_SGA_NONGAAP,0,COLUMN())</f>
        <v/>
      </c>
      <c r="BS58" s="185">
        <f>INDEX(MO_MA_SGA_NONGAAP,0,COLUMN())</f>
        <v/>
      </c>
      <c r="BT58" s="129">
        <f>INDEX(MO_MA_SGA_NONGAAP,0,COLUMN())</f>
        <v/>
      </c>
      <c r="BU58" s="129">
        <f>INDEX(MO_MA_SGA_NONGAAP,0,COLUMN())</f>
        <v/>
      </c>
      <c r="BV58" s="946">
        <f>INDEX(MO_MA_SGA_NONGAAP,0,COLUMN())</f>
        <v/>
      </c>
      <c r="BW58" s="129">
        <f>INDEX(MO_MA_SGA_NONGAAP,0,COLUMN())</f>
        <v/>
      </c>
      <c r="BX58" s="185">
        <f>INDEX(MO_MA_SGA_NONGAAP,0,COLUMN())</f>
        <v/>
      </c>
      <c r="BY58" s="129">
        <f>INDEX(MO_MA_SGA_NONGAAP,0,COLUMN())</f>
        <v/>
      </c>
      <c r="BZ58" s="129">
        <f>INDEX(MO_MA_SGA_NONGAAP,0,COLUMN())</f>
        <v/>
      </c>
      <c r="CA58" s="129">
        <f>INDEX(MO_MA_SGA_NONGAAP,0,COLUMN())</f>
        <v/>
      </c>
      <c r="CB58" s="129">
        <f>INDEX(MO_MA_SGA_NONGAAP,0,COLUMN())</f>
        <v/>
      </c>
      <c r="CC58" s="185">
        <f>INDEX(MO_MA_SGA_NONGAAP,0,COLUMN())</f>
        <v/>
      </c>
      <c r="CD58" s="185">
        <f>INDEX(MO_MA_SGA_NONGAAP,0,COLUMN())</f>
        <v/>
      </c>
      <c r="CE58" s="185">
        <f>INDEX(MO_MA_SGA_NONGAAP,0,COLUMN())</f>
        <v/>
      </c>
      <c r="CF58" s="185">
        <f>INDEX(MO_MA_SGA_NONGAAP,0,COLUMN())</f>
        <v/>
      </c>
      <c r="CG58" s="130" t="n"/>
    </row>
    <row r="59" customFormat="1" s="966">
      <c r="A59" s="201">
        <f>INDEX(MO_MA_OPEX_NONGAAP,0,COLUMN())</f>
        <v/>
      </c>
      <c r="B59" s="202" t="n"/>
      <c r="C59" s="1245">
        <f>INDEX(MO_MA_OPEX_NONGAAP,0,COLUMN())</f>
        <v/>
      </c>
      <c r="D59" s="1245">
        <f>INDEX(MO_MA_OPEX_NONGAAP,0,COLUMN())</f>
        <v/>
      </c>
      <c r="E59" s="1245">
        <f>INDEX(MO_MA_OPEX_NONGAAP,0,COLUMN())</f>
        <v/>
      </c>
      <c r="F59" s="1245">
        <f>INDEX(MO_MA_OPEX_NONGAAP,0,COLUMN())</f>
        <v/>
      </c>
      <c r="G59" s="129">
        <f>INDEX(MO_MA_OPEX_NONGAAP,0,COLUMN())</f>
        <v/>
      </c>
      <c r="H59" s="129">
        <f>INDEX(MO_MA_OPEX_NONGAAP,0,COLUMN())</f>
        <v/>
      </c>
      <c r="I59" s="129">
        <f>INDEX(MO_MA_OPEX_NONGAAP,0,COLUMN())</f>
        <v/>
      </c>
      <c r="J59" s="129">
        <f>INDEX(MO_MA_OPEX_NONGAAP,0,COLUMN())</f>
        <v/>
      </c>
      <c r="K59" s="1245">
        <f>INDEX(MO_MA_OPEX_NONGAAP,0,COLUMN())</f>
        <v/>
      </c>
      <c r="L59" s="129">
        <f>INDEX(MO_MA_OPEX_NONGAAP,0,COLUMN())</f>
        <v/>
      </c>
      <c r="M59" s="129">
        <f>INDEX(MO_MA_OPEX_NONGAAP,0,COLUMN())</f>
        <v/>
      </c>
      <c r="N59" s="129">
        <f>INDEX(MO_MA_OPEX_NONGAAP,0,COLUMN())</f>
        <v/>
      </c>
      <c r="O59" s="129">
        <f>INDEX(MO_MA_OPEX_NONGAAP,0,COLUMN())</f>
        <v/>
      </c>
      <c r="P59" s="1245">
        <f>INDEX(MO_MA_OPEX_NONGAAP,0,COLUMN())</f>
        <v/>
      </c>
      <c r="Q59" s="129">
        <f>INDEX(MO_MA_OPEX_NONGAAP,0,COLUMN())</f>
        <v/>
      </c>
      <c r="R59" s="129">
        <f>INDEX(MO_MA_OPEX_NONGAAP,0,COLUMN())</f>
        <v/>
      </c>
      <c r="S59" s="129">
        <f>INDEX(MO_MA_OPEX_NONGAAP,0,COLUMN())</f>
        <v/>
      </c>
      <c r="T59" s="129">
        <f>INDEX(MO_MA_OPEX_NONGAAP,0,COLUMN())</f>
        <v/>
      </c>
      <c r="U59" s="1245">
        <f>INDEX(MO_MA_OPEX_NONGAAP,0,COLUMN())</f>
        <v/>
      </c>
      <c r="V59" s="129">
        <f>INDEX(MO_MA_OPEX_NONGAAP,0,COLUMN())</f>
        <v/>
      </c>
      <c r="W59" s="129">
        <f>INDEX(MO_MA_OPEX_NONGAAP,0,COLUMN())</f>
        <v/>
      </c>
      <c r="X59" s="129">
        <f>INDEX(MO_MA_OPEX_NONGAAP,0,COLUMN())</f>
        <v/>
      </c>
      <c r="Y59" s="129">
        <f>INDEX(MO_MA_OPEX_NONGAAP,0,COLUMN())</f>
        <v/>
      </c>
      <c r="Z59" s="1245">
        <f>INDEX(MO_MA_OPEX_NONGAAP,0,COLUMN())</f>
        <v/>
      </c>
      <c r="AA59" s="129">
        <f>INDEX(MO_MA_OPEX_NONGAAP,0,COLUMN())</f>
        <v/>
      </c>
      <c r="AB59" s="129">
        <f>INDEX(MO_MA_OPEX_NONGAAP,0,COLUMN())</f>
        <v/>
      </c>
      <c r="AC59" s="129">
        <f>INDEX(MO_MA_OPEX_NONGAAP,0,COLUMN())</f>
        <v/>
      </c>
      <c r="AD59" s="129">
        <f>INDEX(MO_MA_OPEX_NONGAAP,0,COLUMN())</f>
        <v/>
      </c>
      <c r="AE59" s="1245">
        <f>INDEX(MO_MA_OPEX_NONGAAP,0,COLUMN())</f>
        <v/>
      </c>
      <c r="AF59" s="129">
        <f>INDEX(MO_MA_OPEX_NONGAAP,0,COLUMN())</f>
        <v/>
      </c>
      <c r="AG59" s="129">
        <f>INDEX(MO_MA_OPEX_NONGAAP,0,COLUMN())</f>
        <v/>
      </c>
      <c r="AH59" s="129">
        <f>INDEX(MO_MA_OPEX_NONGAAP,0,COLUMN())</f>
        <v/>
      </c>
      <c r="AI59" s="129">
        <f>INDEX(MO_MA_OPEX_NONGAAP,0,COLUMN())</f>
        <v/>
      </c>
      <c r="AJ59" s="185">
        <f>INDEX(MO_MA_OPEX_NONGAAP,0,COLUMN())</f>
        <v/>
      </c>
      <c r="AK59" s="129">
        <f>INDEX(MO_MA_OPEX_NONGAAP,0,COLUMN())</f>
        <v/>
      </c>
      <c r="AL59" s="129">
        <f>INDEX(MO_MA_OPEX_NONGAAP,0,COLUMN())</f>
        <v/>
      </c>
      <c r="AM59" s="129">
        <f>INDEX(MO_MA_OPEX_NONGAAP,0,COLUMN())</f>
        <v/>
      </c>
      <c r="AN59" s="129">
        <f>INDEX(MO_MA_OPEX_NONGAAP,0,COLUMN())</f>
        <v/>
      </c>
      <c r="AO59" s="185">
        <f>INDEX(MO_MA_OPEX_NONGAAP,0,COLUMN())</f>
        <v/>
      </c>
      <c r="AP59" s="129">
        <f>INDEX(MO_MA_OPEX_NONGAAP,0,COLUMN())</f>
        <v/>
      </c>
      <c r="AQ59" s="129">
        <f>INDEX(MO_MA_OPEX_NONGAAP,0,COLUMN())</f>
        <v/>
      </c>
      <c r="AR59" s="129">
        <f>INDEX(MO_MA_OPEX_NONGAAP,0,COLUMN())</f>
        <v/>
      </c>
      <c r="AS59" s="129">
        <f>INDEX(MO_MA_OPEX_NONGAAP,0,COLUMN())</f>
        <v/>
      </c>
      <c r="AT59" s="185">
        <f>INDEX(MO_MA_OPEX_NONGAAP,0,COLUMN())</f>
        <v/>
      </c>
      <c r="AU59" s="129">
        <f>INDEX(MO_MA_OPEX_NONGAAP,0,COLUMN())</f>
        <v/>
      </c>
      <c r="AV59" s="129">
        <f>INDEX(MO_MA_OPEX_NONGAAP,0,COLUMN())</f>
        <v/>
      </c>
      <c r="AW59" s="129">
        <f>INDEX(MO_MA_OPEX_NONGAAP,0,COLUMN())</f>
        <v/>
      </c>
      <c r="AX59" s="129">
        <f>INDEX(MO_MA_OPEX_NONGAAP,0,COLUMN())</f>
        <v/>
      </c>
      <c r="AY59" s="185">
        <f>INDEX(MO_MA_OPEX_NONGAAP,0,COLUMN())</f>
        <v/>
      </c>
      <c r="AZ59" s="129">
        <f>INDEX(MO_MA_OPEX_NONGAAP,0,COLUMN())</f>
        <v/>
      </c>
      <c r="BA59" s="129">
        <f>INDEX(MO_MA_OPEX_NONGAAP,0,COLUMN())</f>
        <v/>
      </c>
      <c r="BB59" s="129">
        <f>INDEX(MO_MA_OPEX_NONGAAP,0,COLUMN())</f>
        <v/>
      </c>
      <c r="BC59" s="129">
        <f>INDEX(MO_MA_OPEX_NONGAAP,0,COLUMN())</f>
        <v/>
      </c>
      <c r="BD59" s="185">
        <f>INDEX(MO_MA_OPEX_NONGAAP,0,COLUMN())</f>
        <v/>
      </c>
      <c r="BE59" s="129">
        <f>INDEX(MO_MA_OPEX_NONGAAP,0,COLUMN())</f>
        <v/>
      </c>
      <c r="BF59" s="129">
        <f>INDEX(MO_MA_OPEX_NONGAAP,0,COLUMN())</f>
        <v/>
      </c>
      <c r="BG59" s="129">
        <f>INDEX(MO_MA_OPEX_NONGAAP,0,COLUMN())</f>
        <v/>
      </c>
      <c r="BH59" s="129">
        <f>INDEX(MO_MA_OPEX_NONGAAP,0,COLUMN())</f>
        <v/>
      </c>
      <c r="BI59" s="185">
        <f>INDEX(MO_MA_OPEX_NONGAAP,0,COLUMN())</f>
        <v/>
      </c>
      <c r="BJ59" s="129">
        <f>INDEX(MO_MA_OPEX_NONGAAP,0,COLUMN())</f>
        <v/>
      </c>
      <c r="BK59" s="129">
        <f>INDEX(MO_MA_OPEX_NONGAAP,0,COLUMN())</f>
        <v/>
      </c>
      <c r="BL59" s="129">
        <f>INDEX(MO_MA_OPEX_NONGAAP,0,COLUMN())</f>
        <v/>
      </c>
      <c r="BM59" s="129">
        <f>INDEX(MO_MA_OPEX_NONGAAP,0,COLUMN())</f>
        <v/>
      </c>
      <c r="BN59" s="185">
        <f>INDEX(MO_MA_OPEX_NONGAAP,0,COLUMN())</f>
        <v/>
      </c>
      <c r="BO59" s="129">
        <f>INDEX(MO_MA_OPEX_NONGAAP,0,COLUMN())</f>
        <v/>
      </c>
      <c r="BP59" s="129">
        <f>INDEX(MO_MA_OPEX_NONGAAP,0,COLUMN())</f>
        <v/>
      </c>
      <c r="BQ59" s="129">
        <f>INDEX(MO_MA_OPEX_NONGAAP,0,COLUMN())</f>
        <v/>
      </c>
      <c r="BR59" s="129">
        <f>INDEX(MO_MA_OPEX_NONGAAP,0,COLUMN())</f>
        <v/>
      </c>
      <c r="BS59" s="185">
        <f>INDEX(MO_MA_OPEX_NONGAAP,0,COLUMN())</f>
        <v/>
      </c>
      <c r="BT59" s="129">
        <f>INDEX(MO_MA_OPEX_NONGAAP,0,COLUMN())</f>
        <v/>
      </c>
      <c r="BU59" s="129">
        <f>INDEX(MO_MA_OPEX_NONGAAP,0,COLUMN())</f>
        <v/>
      </c>
      <c r="BV59" s="946">
        <f>INDEX(MO_MA_OPEX_NONGAAP,0,COLUMN())</f>
        <v/>
      </c>
      <c r="BW59" s="129">
        <f>INDEX(MO_MA_OPEX_NONGAAP,0,COLUMN())</f>
        <v/>
      </c>
      <c r="BX59" s="185">
        <f>INDEX(MO_MA_OPEX_NONGAAP,0,COLUMN())</f>
        <v/>
      </c>
      <c r="BY59" s="129">
        <f>INDEX(MO_MA_OPEX_NONGAAP,0,COLUMN())</f>
        <v/>
      </c>
      <c r="BZ59" s="129">
        <f>INDEX(MO_MA_OPEX_NONGAAP,0,COLUMN())</f>
        <v/>
      </c>
      <c r="CA59" s="129">
        <f>INDEX(MO_MA_OPEX_NONGAAP,0,COLUMN())</f>
        <v/>
      </c>
      <c r="CB59" s="129">
        <f>INDEX(MO_MA_OPEX_NONGAAP,0,COLUMN())</f>
        <v/>
      </c>
      <c r="CC59" s="185">
        <f>INDEX(MO_MA_OPEX_NONGAAP,0,COLUMN())</f>
        <v/>
      </c>
      <c r="CD59" s="185">
        <f>INDEX(MO_MA_OPEX_NONGAAP,0,COLUMN())</f>
        <v/>
      </c>
      <c r="CE59" s="185">
        <f>INDEX(MO_MA_OPEX_NONGAAP,0,COLUMN())</f>
        <v/>
      </c>
      <c r="CF59" s="185">
        <f>INDEX(MO_MA_OPEX_NONGAAP,0,COLUMN())</f>
        <v/>
      </c>
      <c r="CG59" s="130" t="n"/>
    </row>
    <row r="60" customFormat="1" s="976">
      <c r="A60" s="212">
        <f>INDEX(MO_MA_OperatingIncome_NONGAAP,0,COLUMN())</f>
        <v/>
      </c>
      <c r="B60" s="88" t="n"/>
      <c r="C60" s="1249">
        <f>INDEX(MO_MA_OperatingIncome_NONGAAP,0,COLUMN())</f>
        <v/>
      </c>
      <c r="D60" s="1249">
        <f>INDEX(MO_MA_OperatingIncome_NONGAAP,0,COLUMN())</f>
        <v/>
      </c>
      <c r="E60" s="1249">
        <f>INDEX(MO_MA_OperatingIncome_NONGAAP,0,COLUMN())</f>
        <v/>
      </c>
      <c r="F60" s="1249">
        <f>INDEX(MO_MA_OperatingIncome_NONGAAP,0,COLUMN())</f>
        <v/>
      </c>
      <c r="G60" s="135">
        <f>INDEX(MO_MA_OperatingIncome_NONGAAP,0,COLUMN())</f>
        <v/>
      </c>
      <c r="H60" s="135">
        <f>INDEX(MO_MA_OperatingIncome_NONGAAP,0,COLUMN())</f>
        <v/>
      </c>
      <c r="I60" s="135">
        <f>INDEX(MO_MA_OperatingIncome_NONGAAP,0,COLUMN())</f>
        <v/>
      </c>
      <c r="J60" s="135">
        <f>INDEX(MO_MA_OperatingIncome_NONGAAP,0,COLUMN())</f>
        <v/>
      </c>
      <c r="K60" s="1249">
        <f>INDEX(MO_MA_OperatingIncome_NONGAAP,0,COLUMN())</f>
        <v/>
      </c>
      <c r="L60" s="135">
        <f>INDEX(MO_MA_OperatingIncome_NONGAAP,0,COLUMN())</f>
        <v/>
      </c>
      <c r="M60" s="135">
        <f>INDEX(MO_MA_OperatingIncome_NONGAAP,0,COLUMN())</f>
        <v/>
      </c>
      <c r="N60" s="135">
        <f>INDEX(MO_MA_OperatingIncome_NONGAAP,0,COLUMN())</f>
        <v/>
      </c>
      <c r="O60" s="135">
        <f>INDEX(MO_MA_OperatingIncome_NONGAAP,0,COLUMN())</f>
        <v/>
      </c>
      <c r="P60" s="1249">
        <f>INDEX(MO_MA_OperatingIncome_NONGAAP,0,COLUMN())</f>
        <v/>
      </c>
      <c r="Q60" s="135">
        <f>INDEX(MO_MA_OperatingIncome_NONGAAP,0,COLUMN())</f>
        <v/>
      </c>
      <c r="R60" s="135">
        <f>INDEX(MO_MA_OperatingIncome_NONGAAP,0,COLUMN())</f>
        <v/>
      </c>
      <c r="S60" s="135">
        <f>INDEX(MO_MA_OperatingIncome_NONGAAP,0,COLUMN())</f>
        <v/>
      </c>
      <c r="T60" s="135">
        <f>INDEX(MO_MA_OperatingIncome_NONGAAP,0,COLUMN())</f>
        <v/>
      </c>
      <c r="U60" s="1249">
        <f>INDEX(MO_MA_OperatingIncome_NONGAAP,0,COLUMN())</f>
        <v/>
      </c>
      <c r="V60" s="135">
        <f>INDEX(MO_MA_OperatingIncome_NONGAAP,0,COLUMN())</f>
        <v/>
      </c>
      <c r="W60" s="135">
        <f>INDEX(MO_MA_OperatingIncome_NONGAAP,0,COLUMN())</f>
        <v/>
      </c>
      <c r="X60" s="135">
        <f>INDEX(MO_MA_OperatingIncome_NONGAAP,0,COLUMN())</f>
        <v/>
      </c>
      <c r="Y60" s="135">
        <f>INDEX(MO_MA_OperatingIncome_NONGAAP,0,COLUMN())</f>
        <v/>
      </c>
      <c r="Z60" s="1249">
        <f>INDEX(MO_MA_OperatingIncome_NONGAAP,0,COLUMN())</f>
        <v/>
      </c>
      <c r="AA60" s="135">
        <f>INDEX(MO_MA_OperatingIncome_NONGAAP,0,COLUMN())</f>
        <v/>
      </c>
      <c r="AB60" s="135">
        <f>INDEX(MO_MA_OperatingIncome_NONGAAP,0,COLUMN())</f>
        <v/>
      </c>
      <c r="AC60" s="135">
        <f>INDEX(MO_MA_OperatingIncome_NONGAAP,0,COLUMN())</f>
        <v/>
      </c>
      <c r="AD60" s="135">
        <f>INDEX(MO_MA_OperatingIncome_NONGAAP,0,COLUMN())</f>
        <v/>
      </c>
      <c r="AE60" s="1249">
        <f>INDEX(MO_MA_OperatingIncome_NONGAAP,0,COLUMN())</f>
        <v/>
      </c>
      <c r="AF60" s="135">
        <f>INDEX(MO_MA_OperatingIncome_NONGAAP,0,COLUMN())</f>
        <v/>
      </c>
      <c r="AG60" s="135">
        <f>INDEX(MO_MA_OperatingIncome_NONGAAP,0,COLUMN())</f>
        <v/>
      </c>
      <c r="AH60" s="135">
        <f>INDEX(MO_MA_OperatingIncome_NONGAAP,0,COLUMN())</f>
        <v/>
      </c>
      <c r="AI60" s="135">
        <f>INDEX(MO_MA_OperatingIncome_NONGAAP,0,COLUMN())</f>
        <v/>
      </c>
      <c r="AJ60" s="1249">
        <f>INDEX(MO_MA_OperatingIncome_NONGAAP,0,COLUMN())</f>
        <v/>
      </c>
      <c r="AK60" s="135">
        <f>INDEX(MO_MA_OperatingIncome_NONGAAP,0,COLUMN())</f>
        <v/>
      </c>
      <c r="AL60" s="135">
        <f>INDEX(MO_MA_OperatingIncome_NONGAAP,0,COLUMN())</f>
        <v/>
      </c>
      <c r="AM60" s="135">
        <f>INDEX(MO_MA_OperatingIncome_NONGAAP,0,COLUMN())</f>
        <v/>
      </c>
      <c r="AN60" s="135">
        <f>INDEX(MO_MA_OperatingIncome_NONGAAP,0,COLUMN())</f>
        <v/>
      </c>
      <c r="AO60" s="1249">
        <f>INDEX(MO_MA_OperatingIncome_NONGAAP,0,COLUMN())</f>
        <v/>
      </c>
      <c r="AP60" s="135">
        <f>INDEX(MO_MA_OperatingIncome_NONGAAP,0,COLUMN())</f>
        <v/>
      </c>
      <c r="AQ60" s="135">
        <f>INDEX(MO_MA_OperatingIncome_NONGAAP,0,COLUMN())</f>
        <v/>
      </c>
      <c r="AR60" s="135">
        <f>INDEX(MO_MA_OperatingIncome_NONGAAP,0,COLUMN())</f>
        <v/>
      </c>
      <c r="AS60" s="135">
        <f>INDEX(MO_MA_OperatingIncome_NONGAAP,0,COLUMN())</f>
        <v/>
      </c>
      <c r="AT60" s="1249">
        <f>INDEX(MO_MA_OperatingIncome_NONGAAP,0,COLUMN())</f>
        <v/>
      </c>
      <c r="AU60" s="135">
        <f>INDEX(MO_MA_OperatingIncome_NONGAAP,0,COLUMN())</f>
        <v/>
      </c>
      <c r="AV60" s="135">
        <f>INDEX(MO_MA_OperatingIncome_NONGAAP,0,COLUMN())</f>
        <v/>
      </c>
      <c r="AW60" s="135">
        <f>INDEX(MO_MA_OperatingIncome_NONGAAP,0,COLUMN())</f>
        <v/>
      </c>
      <c r="AX60" s="135">
        <f>INDEX(MO_MA_OperatingIncome_NONGAAP,0,COLUMN())</f>
        <v/>
      </c>
      <c r="AY60" s="1249">
        <f>INDEX(MO_MA_OperatingIncome_NONGAAP,0,COLUMN())</f>
        <v/>
      </c>
      <c r="AZ60" s="135">
        <f>INDEX(MO_MA_OperatingIncome_NONGAAP,0,COLUMN())</f>
        <v/>
      </c>
      <c r="BA60" s="135">
        <f>INDEX(MO_MA_OperatingIncome_NONGAAP,0,COLUMN())</f>
        <v/>
      </c>
      <c r="BB60" s="135">
        <f>INDEX(MO_MA_OperatingIncome_NONGAAP,0,COLUMN())</f>
        <v/>
      </c>
      <c r="BC60" s="135">
        <f>INDEX(MO_MA_OperatingIncome_NONGAAP,0,COLUMN())</f>
        <v/>
      </c>
      <c r="BD60" s="1249">
        <f>INDEX(MO_MA_OperatingIncome_NONGAAP,0,COLUMN())</f>
        <v/>
      </c>
      <c r="BE60" s="135">
        <f>INDEX(MO_MA_OperatingIncome_NONGAAP,0,COLUMN())</f>
        <v/>
      </c>
      <c r="BF60" s="135">
        <f>INDEX(MO_MA_OperatingIncome_NONGAAP,0,COLUMN())</f>
        <v/>
      </c>
      <c r="BG60" s="135">
        <f>INDEX(MO_MA_OperatingIncome_NONGAAP,0,COLUMN())</f>
        <v/>
      </c>
      <c r="BH60" s="135">
        <f>INDEX(MO_MA_OperatingIncome_NONGAAP,0,COLUMN())</f>
        <v/>
      </c>
      <c r="BI60" s="1249">
        <f>INDEX(MO_MA_OperatingIncome_NONGAAP,0,COLUMN())</f>
        <v/>
      </c>
      <c r="BJ60" s="135">
        <f>INDEX(MO_MA_OperatingIncome_NONGAAP,0,COLUMN())</f>
        <v/>
      </c>
      <c r="BK60" s="135">
        <f>INDEX(MO_MA_OperatingIncome_NONGAAP,0,COLUMN())</f>
        <v/>
      </c>
      <c r="BL60" s="135">
        <f>INDEX(MO_MA_OperatingIncome_NONGAAP,0,COLUMN())</f>
        <v/>
      </c>
      <c r="BM60" s="135">
        <f>INDEX(MO_MA_OperatingIncome_NONGAAP,0,COLUMN())</f>
        <v/>
      </c>
      <c r="BN60" s="1249">
        <f>INDEX(MO_MA_OperatingIncome_NONGAAP,0,COLUMN())</f>
        <v/>
      </c>
      <c r="BO60" s="135">
        <f>INDEX(MO_MA_OperatingIncome_NONGAAP,0,COLUMN())</f>
        <v/>
      </c>
      <c r="BP60" s="135">
        <f>INDEX(MO_MA_OperatingIncome_NONGAAP,0,COLUMN())</f>
        <v/>
      </c>
      <c r="BQ60" s="135">
        <f>INDEX(MO_MA_OperatingIncome_NONGAAP,0,COLUMN())</f>
        <v/>
      </c>
      <c r="BR60" s="135">
        <f>INDEX(MO_MA_OperatingIncome_NONGAAP,0,COLUMN())</f>
        <v/>
      </c>
      <c r="BS60" s="1249">
        <f>INDEX(MO_MA_OperatingIncome_NONGAAP,0,COLUMN())</f>
        <v/>
      </c>
      <c r="BT60" s="135">
        <f>INDEX(MO_MA_OperatingIncome_NONGAAP,0,COLUMN())</f>
        <v/>
      </c>
      <c r="BU60" s="135">
        <f>INDEX(MO_MA_OperatingIncome_NONGAAP,0,COLUMN())</f>
        <v/>
      </c>
      <c r="BV60" s="950">
        <f>INDEX(MO_MA_OperatingIncome_NONGAAP,0,COLUMN())</f>
        <v/>
      </c>
      <c r="BW60" s="135">
        <f>INDEX(MO_MA_OperatingIncome_NONGAAP,0,COLUMN())</f>
        <v/>
      </c>
      <c r="BX60" s="1249">
        <f>INDEX(MO_MA_OperatingIncome_NONGAAP,0,COLUMN())</f>
        <v/>
      </c>
      <c r="BY60" s="135">
        <f>INDEX(MO_MA_OperatingIncome_NONGAAP,0,COLUMN())</f>
        <v/>
      </c>
      <c r="BZ60" s="135">
        <f>INDEX(MO_MA_OperatingIncome_NONGAAP,0,COLUMN())</f>
        <v/>
      </c>
      <c r="CA60" s="135">
        <f>INDEX(MO_MA_OperatingIncome_NONGAAP,0,COLUMN())</f>
        <v/>
      </c>
      <c r="CB60" s="135">
        <f>INDEX(MO_MA_OperatingIncome_NONGAAP,0,COLUMN())</f>
        <v/>
      </c>
      <c r="CC60" s="1249">
        <f>INDEX(MO_MA_OperatingIncome_NONGAAP,0,COLUMN())</f>
        <v/>
      </c>
      <c r="CD60" s="1249">
        <f>INDEX(MO_MA_OperatingIncome_NONGAAP,0,COLUMN())</f>
        <v/>
      </c>
      <c r="CE60" s="1249">
        <f>INDEX(MO_MA_OperatingIncome_NONGAAP,0,COLUMN())</f>
        <v/>
      </c>
      <c r="CF60" s="1249">
        <f>INDEX(MO_MA_OperatingIncome_NONGAAP,0,COLUMN())</f>
        <v/>
      </c>
      <c r="CG60" s="132" t="n"/>
    </row>
    <row r="61" customFormat="1" s="976">
      <c r="A61" s="206">
        <f>INDEX(MO_MA_OperatingIncome,0,COLUMN())</f>
        <v/>
      </c>
      <c r="B61" s="85" t="n"/>
      <c r="C61" s="1250">
        <f>INDEX(MO_MA_OperatingIncome,0,COLUMN())</f>
        <v/>
      </c>
      <c r="D61" s="1250">
        <f>INDEX(MO_MA_OperatingIncome,0,COLUMN())</f>
        <v/>
      </c>
      <c r="E61" s="1250">
        <f>INDEX(MO_MA_OperatingIncome,0,COLUMN())</f>
        <v/>
      </c>
      <c r="F61" s="1250">
        <f>INDEX(MO_MA_OperatingIncome,0,COLUMN())</f>
        <v/>
      </c>
      <c r="G61" s="136">
        <f>INDEX(MO_MA_OperatingIncome,0,COLUMN())</f>
        <v/>
      </c>
      <c r="H61" s="136">
        <f>INDEX(MO_MA_OperatingIncome,0,COLUMN())</f>
        <v/>
      </c>
      <c r="I61" s="136">
        <f>INDEX(MO_MA_OperatingIncome,0,COLUMN())</f>
        <v/>
      </c>
      <c r="J61" s="136">
        <f>INDEX(MO_MA_OperatingIncome,0,COLUMN())</f>
        <v/>
      </c>
      <c r="K61" s="1250">
        <f>INDEX(MO_MA_OperatingIncome,0,COLUMN())</f>
        <v/>
      </c>
      <c r="L61" s="136">
        <f>INDEX(MO_MA_OperatingIncome,0,COLUMN())</f>
        <v/>
      </c>
      <c r="M61" s="136">
        <f>INDEX(MO_MA_OperatingIncome,0,COLUMN())</f>
        <v/>
      </c>
      <c r="N61" s="136">
        <f>INDEX(MO_MA_OperatingIncome,0,COLUMN())</f>
        <v/>
      </c>
      <c r="O61" s="136">
        <f>INDEX(MO_MA_OperatingIncome,0,COLUMN())</f>
        <v/>
      </c>
      <c r="P61" s="1250">
        <f>INDEX(MO_MA_OperatingIncome,0,COLUMN())</f>
        <v/>
      </c>
      <c r="Q61" s="136">
        <f>INDEX(MO_MA_OperatingIncome,0,COLUMN())</f>
        <v/>
      </c>
      <c r="R61" s="136">
        <f>INDEX(MO_MA_OperatingIncome,0,COLUMN())</f>
        <v/>
      </c>
      <c r="S61" s="136">
        <f>INDEX(MO_MA_OperatingIncome,0,COLUMN())</f>
        <v/>
      </c>
      <c r="T61" s="136">
        <f>INDEX(MO_MA_OperatingIncome,0,COLUMN())</f>
        <v/>
      </c>
      <c r="U61" s="1250">
        <f>INDEX(MO_MA_OperatingIncome,0,COLUMN())</f>
        <v/>
      </c>
      <c r="V61" s="136">
        <f>INDEX(MO_MA_OperatingIncome,0,COLUMN())</f>
        <v/>
      </c>
      <c r="W61" s="136">
        <f>INDEX(MO_MA_OperatingIncome,0,COLUMN())</f>
        <v/>
      </c>
      <c r="X61" s="136">
        <f>INDEX(MO_MA_OperatingIncome,0,COLUMN())</f>
        <v/>
      </c>
      <c r="Y61" s="136">
        <f>INDEX(MO_MA_OperatingIncome,0,COLUMN())</f>
        <v/>
      </c>
      <c r="Z61" s="1250">
        <f>INDEX(MO_MA_OperatingIncome,0,COLUMN())</f>
        <v/>
      </c>
      <c r="AA61" s="136">
        <f>INDEX(MO_MA_OperatingIncome,0,COLUMN())</f>
        <v/>
      </c>
      <c r="AB61" s="136">
        <f>INDEX(MO_MA_OperatingIncome,0,COLUMN())</f>
        <v/>
      </c>
      <c r="AC61" s="136">
        <f>INDEX(MO_MA_OperatingIncome,0,COLUMN())</f>
        <v/>
      </c>
      <c r="AD61" s="136">
        <f>INDEX(MO_MA_OperatingIncome,0,COLUMN())</f>
        <v/>
      </c>
      <c r="AE61" s="1250">
        <f>INDEX(MO_MA_OperatingIncome,0,COLUMN())</f>
        <v/>
      </c>
      <c r="AF61" s="136">
        <f>INDEX(MO_MA_OperatingIncome,0,COLUMN())</f>
        <v/>
      </c>
      <c r="AG61" s="136">
        <f>INDEX(MO_MA_OperatingIncome,0,COLUMN())</f>
        <v/>
      </c>
      <c r="AH61" s="136">
        <f>INDEX(MO_MA_OperatingIncome,0,COLUMN())</f>
        <v/>
      </c>
      <c r="AI61" s="136">
        <f>INDEX(MO_MA_OperatingIncome,0,COLUMN())</f>
        <v/>
      </c>
      <c r="AJ61" s="1250">
        <f>INDEX(MO_MA_OperatingIncome,0,COLUMN())</f>
        <v/>
      </c>
      <c r="AK61" s="136">
        <f>INDEX(MO_MA_OperatingIncome,0,COLUMN())</f>
        <v/>
      </c>
      <c r="AL61" s="136">
        <f>INDEX(MO_MA_OperatingIncome,0,COLUMN())</f>
        <v/>
      </c>
      <c r="AM61" s="136">
        <f>INDEX(MO_MA_OperatingIncome,0,COLUMN())</f>
        <v/>
      </c>
      <c r="AN61" s="136">
        <f>INDEX(MO_MA_OperatingIncome,0,COLUMN())</f>
        <v/>
      </c>
      <c r="AO61" s="1250">
        <f>INDEX(MO_MA_OperatingIncome,0,COLUMN())</f>
        <v/>
      </c>
      <c r="AP61" s="136">
        <f>INDEX(MO_MA_OperatingIncome,0,COLUMN())</f>
        <v/>
      </c>
      <c r="AQ61" s="136">
        <f>INDEX(MO_MA_OperatingIncome,0,COLUMN())</f>
        <v/>
      </c>
      <c r="AR61" s="136">
        <f>INDEX(MO_MA_OperatingIncome,0,COLUMN())</f>
        <v/>
      </c>
      <c r="AS61" s="136">
        <f>INDEX(MO_MA_OperatingIncome,0,COLUMN())</f>
        <v/>
      </c>
      <c r="AT61" s="1250">
        <f>INDEX(MO_MA_OperatingIncome,0,COLUMN())</f>
        <v/>
      </c>
      <c r="AU61" s="136">
        <f>INDEX(MO_MA_OperatingIncome,0,COLUMN())</f>
        <v/>
      </c>
      <c r="AV61" s="136">
        <f>INDEX(MO_MA_OperatingIncome,0,COLUMN())</f>
        <v/>
      </c>
      <c r="AW61" s="136">
        <f>INDEX(MO_MA_OperatingIncome,0,COLUMN())</f>
        <v/>
      </c>
      <c r="AX61" s="136">
        <f>INDEX(MO_MA_OperatingIncome,0,COLUMN())</f>
        <v/>
      </c>
      <c r="AY61" s="1250">
        <f>INDEX(MO_MA_OperatingIncome,0,COLUMN())</f>
        <v/>
      </c>
      <c r="AZ61" s="136">
        <f>INDEX(MO_MA_OperatingIncome,0,COLUMN())</f>
        <v/>
      </c>
      <c r="BA61" s="136">
        <f>INDEX(MO_MA_OperatingIncome,0,COLUMN())</f>
        <v/>
      </c>
      <c r="BB61" s="136">
        <f>INDEX(MO_MA_OperatingIncome,0,COLUMN())</f>
        <v/>
      </c>
      <c r="BC61" s="136">
        <f>INDEX(MO_MA_OperatingIncome,0,COLUMN())</f>
        <v/>
      </c>
      <c r="BD61" s="1250">
        <f>INDEX(MO_MA_OperatingIncome,0,COLUMN())</f>
        <v/>
      </c>
      <c r="BE61" s="136">
        <f>INDEX(MO_MA_OperatingIncome,0,COLUMN())</f>
        <v/>
      </c>
      <c r="BF61" s="136">
        <f>INDEX(MO_MA_OperatingIncome,0,COLUMN())</f>
        <v/>
      </c>
      <c r="BG61" s="136">
        <f>INDEX(MO_MA_OperatingIncome,0,COLUMN())</f>
        <v/>
      </c>
      <c r="BH61" s="136">
        <f>INDEX(MO_MA_OperatingIncome,0,COLUMN())</f>
        <v/>
      </c>
      <c r="BI61" s="1250">
        <f>INDEX(MO_MA_OperatingIncome,0,COLUMN())</f>
        <v/>
      </c>
      <c r="BJ61" s="136">
        <f>INDEX(MO_MA_OperatingIncome,0,COLUMN())</f>
        <v/>
      </c>
      <c r="BK61" s="136">
        <f>INDEX(MO_MA_OperatingIncome,0,COLUMN())</f>
        <v/>
      </c>
      <c r="BL61" s="136">
        <f>INDEX(MO_MA_OperatingIncome,0,COLUMN())</f>
        <v/>
      </c>
      <c r="BM61" s="136">
        <f>INDEX(MO_MA_OperatingIncome,0,COLUMN())</f>
        <v/>
      </c>
      <c r="BN61" s="1250">
        <f>INDEX(MO_MA_OperatingIncome,0,COLUMN())</f>
        <v/>
      </c>
      <c r="BO61" s="136">
        <f>INDEX(MO_MA_OperatingIncome,0,COLUMN())</f>
        <v/>
      </c>
      <c r="BP61" s="136">
        <f>INDEX(MO_MA_OperatingIncome,0,COLUMN())</f>
        <v/>
      </c>
      <c r="BQ61" s="136">
        <f>INDEX(MO_MA_OperatingIncome,0,COLUMN())</f>
        <v/>
      </c>
      <c r="BR61" s="136">
        <f>INDEX(MO_MA_OperatingIncome,0,COLUMN())</f>
        <v/>
      </c>
      <c r="BS61" s="1250">
        <f>INDEX(MO_MA_OperatingIncome,0,COLUMN())</f>
        <v/>
      </c>
      <c r="BT61" s="136">
        <f>INDEX(MO_MA_OperatingIncome,0,COLUMN())</f>
        <v/>
      </c>
      <c r="BU61" s="136">
        <f>INDEX(MO_MA_OperatingIncome,0,COLUMN())</f>
        <v/>
      </c>
      <c r="BV61" s="951">
        <f>INDEX(MO_MA_OperatingIncome,0,COLUMN())</f>
        <v/>
      </c>
      <c r="BW61" s="136">
        <f>INDEX(MO_MA_OperatingIncome,0,COLUMN())</f>
        <v/>
      </c>
      <c r="BX61" s="1250">
        <f>INDEX(MO_MA_OperatingIncome,0,COLUMN())</f>
        <v/>
      </c>
      <c r="BY61" s="136">
        <f>INDEX(MO_MA_OperatingIncome,0,COLUMN())</f>
        <v/>
      </c>
      <c r="BZ61" s="136">
        <f>INDEX(MO_MA_OperatingIncome,0,COLUMN())</f>
        <v/>
      </c>
      <c r="CA61" s="136">
        <f>INDEX(MO_MA_OperatingIncome,0,COLUMN())</f>
        <v/>
      </c>
      <c r="CB61" s="136">
        <f>INDEX(MO_MA_OperatingIncome,0,COLUMN())</f>
        <v/>
      </c>
      <c r="CC61" s="1250">
        <f>INDEX(MO_MA_OperatingIncome,0,COLUMN())</f>
        <v/>
      </c>
      <c r="CD61" s="1250">
        <f>INDEX(MO_MA_OperatingIncome,0,COLUMN())</f>
        <v/>
      </c>
      <c r="CE61" s="1250">
        <f>INDEX(MO_MA_OperatingIncome,0,COLUMN())</f>
        <v/>
      </c>
      <c r="CF61" s="1250">
        <f>INDEX(MO_MA_OperatingIncome,0,COLUMN())</f>
        <v/>
      </c>
      <c r="CG61" s="132" t="n"/>
    </row>
    <row r="62">
      <c r="A62" s="211" t="n"/>
      <c r="B62" s="200" t="n"/>
      <c r="C62" s="1244" t="n"/>
      <c r="D62" s="1244" t="n"/>
      <c r="E62" s="1244" t="n"/>
      <c r="F62" s="1244" t="n"/>
      <c r="G62" s="1011" t="n"/>
      <c r="H62" s="1011" t="n"/>
      <c r="I62" s="1011" t="n"/>
      <c r="J62" s="1011" t="n"/>
      <c r="K62" s="1244" t="n"/>
      <c r="L62" s="1011" t="n"/>
      <c r="M62" s="1011" t="n"/>
      <c r="N62" s="1011" t="n"/>
      <c r="O62" s="1011" t="n"/>
      <c r="P62" s="1244" t="n"/>
      <c r="Q62" s="1011" t="n"/>
      <c r="R62" s="1011" t="n"/>
      <c r="S62" s="1011" t="n"/>
      <c r="T62" s="1011" t="n"/>
      <c r="U62" s="1244" t="n"/>
      <c r="V62" s="1011" t="n"/>
      <c r="W62" s="1011" t="n"/>
      <c r="X62" s="1011" t="n"/>
      <c r="Y62" s="1011" t="n"/>
      <c r="Z62" s="1244" t="n"/>
      <c r="AA62" s="1011" t="n"/>
      <c r="AB62" s="1011" t="n"/>
      <c r="AC62" s="1011" t="n"/>
      <c r="AD62" s="1011" t="n"/>
      <c r="AE62" s="1244" t="n"/>
      <c r="AF62" s="1011" t="n"/>
      <c r="AG62" s="1011" t="n"/>
      <c r="AH62" s="1011" t="n"/>
      <c r="AI62" s="1011" t="n"/>
      <c r="AJ62" s="1244" t="n"/>
      <c r="AK62" s="1011" t="n"/>
      <c r="AL62" s="1011" t="n"/>
      <c r="AM62" s="1011" t="n"/>
      <c r="AN62" s="1011" t="n"/>
      <c r="AO62" s="1244" t="n"/>
      <c r="AP62" s="1011" t="n"/>
      <c r="AQ62" s="1011" t="n"/>
      <c r="AR62" s="1011" t="n"/>
      <c r="AS62" s="1011" t="n"/>
      <c r="AT62" s="1244" t="n"/>
      <c r="AU62" s="1011" t="n"/>
      <c r="AV62" s="1011" t="n"/>
      <c r="AW62" s="1011" t="n"/>
      <c r="AX62" s="1011" t="n"/>
      <c r="AY62" s="1244" t="n"/>
      <c r="AZ62" s="1011" t="n"/>
      <c r="BA62" s="1011" t="n"/>
      <c r="BB62" s="1011" t="n"/>
      <c r="BC62" s="1011" t="n"/>
      <c r="BD62" s="1244" t="n"/>
      <c r="BE62" s="1011" t="n"/>
      <c r="BF62" s="1011" t="n"/>
      <c r="BG62" s="1011" t="n"/>
      <c r="BH62" s="1011" t="n"/>
      <c r="BI62" s="1244" t="n"/>
      <c r="BJ62" s="1011" t="n"/>
      <c r="BK62" s="1011" t="n"/>
      <c r="BL62" s="1011" t="n"/>
      <c r="BM62" s="1011" t="n"/>
      <c r="BN62" s="1244" t="n"/>
      <c r="BO62" s="1011" t="n"/>
      <c r="BP62" s="1011" t="n"/>
      <c r="BQ62" s="1011" t="n"/>
      <c r="BR62" s="1011" t="n"/>
      <c r="BS62" s="1244" t="n"/>
      <c r="BT62" s="1011" t="n"/>
      <c r="BU62" s="1011" t="n"/>
      <c r="BV62" s="1047" t="n"/>
      <c r="BW62" s="1011" t="n"/>
      <c r="BX62" s="1244" t="n"/>
      <c r="BY62" s="1011" t="n"/>
      <c r="BZ62" s="1011" t="n"/>
      <c r="CA62" s="1011" t="n"/>
      <c r="CB62" s="1011" t="n"/>
      <c r="CC62" s="1244" t="n"/>
      <c r="CD62" s="1244" t="n"/>
      <c r="CE62" s="1244" t="n"/>
      <c r="CF62" s="1244" t="n"/>
      <c r="CG62" s="1011" t="n"/>
    </row>
    <row r="63">
      <c r="A63" s="1017" t="inlineStr">
        <is>
          <t>Cash Flow Analysis</t>
        </is>
      </c>
      <c r="B63" s="1012" t="n"/>
      <c r="C63" s="1012" t="n"/>
      <c r="D63" s="1012" t="n"/>
      <c r="E63" s="1012" t="n"/>
      <c r="F63" s="1012" t="n"/>
      <c r="G63" s="1012" t="n"/>
      <c r="H63" s="1012" t="n"/>
      <c r="I63" s="1012" t="n"/>
      <c r="J63" s="1012" t="n"/>
      <c r="K63" s="1012" t="n"/>
      <c r="L63" s="1012" t="n"/>
      <c r="M63" s="1012" t="n"/>
      <c r="N63" s="1012" t="n"/>
      <c r="O63" s="1012" t="n"/>
      <c r="P63" s="1012" t="n"/>
      <c r="Q63" s="1012" t="n"/>
      <c r="R63" s="1012" t="n"/>
      <c r="S63" s="1012" t="n"/>
      <c r="T63" s="1012" t="n"/>
      <c r="U63" s="1012" t="n"/>
      <c r="V63" s="1012" t="n"/>
      <c r="W63" s="1012" t="n"/>
      <c r="X63" s="1012" t="n"/>
      <c r="Y63" s="1012" t="n"/>
      <c r="Z63" s="1012" t="n"/>
      <c r="AA63" s="1012" t="n"/>
      <c r="AB63" s="1012" t="n"/>
      <c r="AC63" s="1012" t="n"/>
      <c r="AD63" s="1012" t="n"/>
      <c r="AE63" s="1012" t="n"/>
      <c r="AF63" s="1012" t="n"/>
      <c r="AG63" s="1012" t="n"/>
      <c r="AH63" s="1012" t="n"/>
      <c r="AI63" s="1012" t="n"/>
      <c r="AJ63" s="1012" t="n"/>
      <c r="AK63" s="1012" t="n"/>
      <c r="AL63" s="1012" t="n"/>
      <c r="AM63" s="1012" t="n"/>
      <c r="AN63" s="1012" t="n"/>
      <c r="AO63" s="1012" t="n"/>
      <c r="AP63" s="1012" t="n"/>
      <c r="AQ63" s="1012" t="n"/>
      <c r="AR63" s="1012" t="n"/>
      <c r="AS63" s="1012" t="n"/>
      <c r="AT63" s="1012" t="n"/>
      <c r="AU63" s="1012" t="n"/>
      <c r="AV63" s="1012" t="n"/>
      <c r="AW63" s="1012" t="n"/>
      <c r="AX63" s="1012" t="n"/>
      <c r="AY63" s="1012" t="n"/>
      <c r="AZ63" s="1012" t="n"/>
      <c r="BA63" s="1012" t="n"/>
      <c r="BB63" s="1012" t="n"/>
      <c r="BC63" s="1012" t="n"/>
      <c r="BD63" s="1012" t="n"/>
      <c r="BE63" s="1012" t="n"/>
      <c r="BF63" s="1012" t="n"/>
      <c r="BG63" s="1012" t="n"/>
      <c r="BH63" s="1012" t="n"/>
      <c r="BI63" s="1012" t="n"/>
      <c r="BJ63" s="1012" t="n"/>
      <c r="BK63" s="1012" t="n"/>
      <c r="BL63" s="1012" t="n"/>
      <c r="BM63" s="1012" t="n"/>
      <c r="BN63" s="1012" t="n"/>
      <c r="BO63" s="1012" t="n"/>
      <c r="BP63" s="1012" t="n"/>
      <c r="BQ63" s="1012" t="n"/>
      <c r="BR63" s="1012" t="n"/>
      <c r="BS63" s="1012" t="n"/>
      <c r="BT63" s="1012" t="n"/>
      <c r="BU63" s="1012" t="n"/>
      <c r="BV63" s="1048" t="n"/>
      <c r="BW63" s="1012" t="n"/>
      <c r="BX63" s="1012" t="n"/>
      <c r="BY63" s="1012" t="n"/>
      <c r="BZ63" s="1012" t="n"/>
      <c r="CA63" s="1012" t="n"/>
      <c r="CB63" s="1012" t="n"/>
      <c r="CC63" s="1012" t="n"/>
      <c r="CD63" s="1012" t="n"/>
      <c r="CE63" s="1012" t="n"/>
      <c r="CF63" s="1012" t="n"/>
      <c r="CG63" s="1013" t="n"/>
    </row>
    <row r="64" hidden="1" outlineLevel="1" customFormat="1" s="973">
      <c r="A64" s="682">
        <f>INDEX(MO_CFSum_CFO_BeforeWC,0,COLUMN())</f>
        <v/>
      </c>
      <c r="B64" s="684" t="n"/>
      <c r="C64" s="1241">
        <f>INDEX(MO_CFSum_CFO_BeforeWC,0,COLUMN())</f>
        <v/>
      </c>
      <c r="D64" s="1241">
        <f>INDEX(MO_CFSum_CFO_BeforeWC,0,COLUMN())</f>
        <v/>
      </c>
      <c r="E64" s="1241">
        <f>INDEX(MO_CFSum_CFO_BeforeWC,0,COLUMN())</f>
        <v/>
      </c>
      <c r="F64" s="1241">
        <f>INDEX(MO_CFSum_CFO_BeforeWC,0,COLUMN())</f>
        <v/>
      </c>
      <c r="G64" s="574">
        <f>INDEX(MO_CFSum_CFO_BeforeWC,0,COLUMN())</f>
        <v/>
      </c>
      <c r="H64" s="574">
        <f>INDEX(MO_CFSum_CFO_BeforeWC,0,COLUMN())</f>
        <v/>
      </c>
      <c r="I64" s="574">
        <f>INDEX(MO_CFSum_CFO_BeforeWC,0,COLUMN())</f>
        <v/>
      </c>
      <c r="J64" s="574">
        <f>INDEX(MO_CFSum_CFO_BeforeWC,0,COLUMN())</f>
        <v/>
      </c>
      <c r="K64" s="1241">
        <f>INDEX(MO_CFSum_CFO_BeforeWC,0,COLUMN())</f>
        <v/>
      </c>
      <c r="L64" s="574">
        <f>INDEX(MO_CFSum_CFO_BeforeWC,0,COLUMN())</f>
        <v/>
      </c>
      <c r="M64" s="574">
        <f>INDEX(MO_CFSum_CFO_BeforeWC,0,COLUMN())</f>
        <v/>
      </c>
      <c r="N64" s="574">
        <f>INDEX(MO_CFSum_CFO_BeforeWC,0,COLUMN())</f>
        <v/>
      </c>
      <c r="O64" s="574">
        <f>INDEX(MO_CFSum_CFO_BeforeWC,0,COLUMN())</f>
        <v/>
      </c>
      <c r="P64" s="1241">
        <f>INDEX(MO_CFSum_CFO_BeforeWC,0,COLUMN())</f>
        <v/>
      </c>
      <c r="Q64" s="574">
        <f>INDEX(MO_CFSum_CFO_BeforeWC,0,COLUMN())</f>
        <v/>
      </c>
      <c r="R64" s="574">
        <f>INDEX(MO_CFSum_CFO_BeforeWC,0,COLUMN())</f>
        <v/>
      </c>
      <c r="S64" s="574">
        <f>INDEX(MO_CFSum_CFO_BeforeWC,0,COLUMN())</f>
        <v/>
      </c>
      <c r="T64" s="574">
        <f>INDEX(MO_CFSum_CFO_BeforeWC,0,COLUMN())</f>
        <v/>
      </c>
      <c r="U64" s="1241">
        <f>INDEX(MO_CFSum_CFO_BeforeWC,0,COLUMN())</f>
        <v/>
      </c>
      <c r="V64" s="574">
        <f>INDEX(MO_CFSum_CFO_BeforeWC,0,COLUMN())</f>
        <v/>
      </c>
      <c r="W64" s="574">
        <f>INDEX(MO_CFSum_CFO_BeforeWC,0,COLUMN())</f>
        <v/>
      </c>
      <c r="X64" s="574">
        <f>INDEX(MO_CFSum_CFO_BeforeWC,0,COLUMN())</f>
        <v/>
      </c>
      <c r="Y64" s="574">
        <f>INDEX(MO_CFSum_CFO_BeforeWC,0,COLUMN())</f>
        <v/>
      </c>
      <c r="Z64" s="1241">
        <f>INDEX(MO_CFSum_CFO_BeforeWC,0,COLUMN())</f>
        <v/>
      </c>
      <c r="AA64" s="574">
        <f>INDEX(MO_CFSum_CFO_BeforeWC,0,COLUMN())</f>
        <v/>
      </c>
      <c r="AB64" s="574">
        <f>INDEX(MO_CFSum_CFO_BeforeWC,0,COLUMN())</f>
        <v/>
      </c>
      <c r="AC64" s="574">
        <f>INDEX(MO_CFSum_CFO_BeforeWC,0,COLUMN())</f>
        <v/>
      </c>
      <c r="AD64" s="574">
        <f>INDEX(MO_CFSum_CFO_BeforeWC,0,COLUMN())</f>
        <v/>
      </c>
      <c r="AE64" s="1241">
        <f>INDEX(MO_CFSum_CFO_BeforeWC,0,COLUMN())</f>
        <v/>
      </c>
      <c r="AF64" s="574">
        <f>INDEX(MO_CFSum_CFO_BeforeWC,0,COLUMN())</f>
        <v/>
      </c>
      <c r="AG64" s="574">
        <f>INDEX(MO_CFSum_CFO_BeforeWC,0,COLUMN())</f>
        <v/>
      </c>
      <c r="AH64" s="574">
        <f>INDEX(MO_CFSum_CFO_BeforeWC,0,COLUMN())</f>
        <v/>
      </c>
      <c r="AI64" s="574">
        <f>INDEX(MO_CFSum_CFO_BeforeWC,0,COLUMN())</f>
        <v/>
      </c>
      <c r="AJ64" s="1241">
        <f>INDEX(MO_CFSum_CFO_BeforeWC,0,COLUMN())</f>
        <v/>
      </c>
      <c r="AK64" s="574">
        <f>INDEX(MO_CFSum_CFO_BeforeWC,0,COLUMN())</f>
        <v/>
      </c>
      <c r="AL64" s="574">
        <f>INDEX(MO_CFSum_CFO_BeforeWC,0,COLUMN())</f>
        <v/>
      </c>
      <c r="AM64" s="574">
        <f>INDEX(MO_CFSum_CFO_BeforeWC,0,COLUMN())</f>
        <v/>
      </c>
      <c r="AN64" s="574">
        <f>INDEX(MO_CFSum_CFO_BeforeWC,0,COLUMN())</f>
        <v/>
      </c>
      <c r="AO64" s="1241">
        <f>INDEX(MO_CFSum_CFO_BeforeWC,0,COLUMN())</f>
        <v/>
      </c>
      <c r="AP64" s="574">
        <f>INDEX(MO_CFSum_CFO_BeforeWC,0,COLUMN())</f>
        <v/>
      </c>
      <c r="AQ64" s="574">
        <f>INDEX(MO_CFSum_CFO_BeforeWC,0,COLUMN())</f>
        <v/>
      </c>
      <c r="AR64" s="574">
        <f>INDEX(MO_CFSum_CFO_BeforeWC,0,COLUMN())</f>
        <v/>
      </c>
      <c r="AS64" s="574">
        <f>INDEX(MO_CFSum_CFO_BeforeWC,0,COLUMN())</f>
        <v/>
      </c>
      <c r="AT64" s="1241">
        <f>INDEX(MO_CFSum_CFO_BeforeWC,0,COLUMN())</f>
        <v/>
      </c>
      <c r="AU64" s="574">
        <f>INDEX(MO_CFSum_CFO_BeforeWC,0,COLUMN())</f>
        <v/>
      </c>
      <c r="AV64" s="574">
        <f>INDEX(MO_CFSum_CFO_BeforeWC,0,COLUMN())</f>
        <v/>
      </c>
      <c r="AW64" s="574">
        <f>INDEX(MO_CFSum_CFO_BeforeWC,0,COLUMN())</f>
        <v/>
      </c>
      <c r="AX64" s="574">
        <f>INDEX(MO_CFSum_CFO_BeforeWC,0,COLUMN())</f>
        <v/>
      </c>
      <c r="AY64" s="1241">
        <f>INDEX(MO_CFSum_CFO_BeforeWC,0,COLUMN())</f>
        <v/>
      </c>
      <c r="AZ64" s="574">
        <f>INDEX(MO_CFSum_CFO_BeforeWC,0,COLUMN())</f>
        <v/>
      </c>
      <c r="BA64" s="574">
        <f>INDEX(MO_CFSum_CFO_BeforeWC,0,COLUMN())</f>
        <v/>
      </c>
      <c r="BB64" s="574">
        <f>INDEX(MO_CFSum_CFO_BeforeWC,0,COLUMN())</f>
        <v/>
      </c>
      <c r="BC64" s="574">
        <f>INDEX(MO_CFSum_CFO_BeforeWC,0,COLUMN())</f>
        <v/>
      </c>
      <c r="BD64" s="1241">
        <f>INDEX(MO_CFSum_CFO_BeforeWC,0,COLUMN())</f>
        <v/>
      </c>
      <c r="BE64" s="574">
        <f>INDEX(MO_CFSum_CFO_BeforeWC,0,COLUMN())</f>
        <v/>
      </c>
      <c r="BF64" s="574">
        <f>INDEX(MO_CFSum_CFO_BeforeWC,0,COLUMN())</f>
        <v/>
      </c>
      <c r="BG64" s="574">
        <f>INDEX(MO_CFSum_CFO_BeforeWC,0,COLUMN())</f>
        <v/>
      </c>
      <c r="BH64" s="574">
        <f>INDEX(MO_CFSum_CFO_BeforeWC,0,COLUMN())</f>
        <v/>
      </c>
      <c r="BI64" s="1241">
        <f>INDEX(MO_CFSum_CFO_BeforeWC,0,COLUMN())</f>
        <v/>
      </c>
      <c r="BJ64" s="574">
        <f>INDEX(MO_CFSum_CFO_BeforeWC,0,COLUMN())</f>
        <v/>
      </c>
      <c r="BK64" s="574">
        <f>INDEX(MO_CFSum_CFO_BeforeWC,0,COLUMN())</f>
        <v/>
      </c>
      <c r="BL64" s="574">
        <f>INDEX(MO_CFSum_CFO_BeforeWC,0,COLUMN())</f>
        <v/>
      </c>
      <c r="BM64" s="574">
        <f>INDEX(MO_CFSum_CFO_BeforeWC,0,COLUMN())</f>
        <v/>
      </c>
      <c r="BN64" s="1241">
        <f>INDEX(MO_CFSum_CFO_BeforeWC,0,COLUMN())</f>
        <v/>
      </c>
      <c r="BO64" s="574">
        <f>INDEX(MO_CFSum_CFO_BeforeWC,0,COLUMN())</f>
        <v/>
      </c>
      <c r="BP64" s="574">
        <f>INDEX(MO_CFSum_CFO_BeforeWC,0,COLUMN())</f>
        <v/>
      </c>
      <c r="BQ64" s="574">
        <f>INDEX(MO_CFSum_CFO_BeforeWC,0,COLUMN())</f>
        <v/>
      </c>
      <c r="BR64" s="574">
        <f>INDEX(MO_CFSum_CFO_BeforeWC,0,COLUMN())</f>
        <v/>
      </c>
      <c r="BS64" s="1241">
        <f>INDEX(MO_CFSum_CFO_BeforeWC,0,COLUMN())</f>
        <v/>
      </c>
      <c r="BT64" s="574">
        <f>INDEX(MO_CFSum_CFO_BeforeWC,0,COLUMN())</f>
        <v/>
      </c>
      <c r="BU64" s="574">
        <f>INDEX(MO_CFSum_CFO_BeforeWC,0,COLUMN())</f>
        <v/>
      </c>
      <c r="BV64" s="936">
        <f>INDEX(MO_CFSum_CFO_BeforeWC,0,COLUMN())</f>
        <v/>
      </c>
      <c r="BW64" s="574">
        <f>INDEX(MO_CFSum_CFO_BeforeWC,0,COLUMN())</f>
        <v/>
      </c>
      <c r="BX64" s="1241">
        <f>INDEX(MO_CFSum_CFO_BeforeWC,0,COLUMN())</f>
        <v/>
      </c>
      <c r="BY64" s="574">
        <f>INDEX(MO_CFSum_CFO_BeforeWC,0,COLUMN())</f>
        <v/>
      </c>
      <c r="BZ64" s="574">
        <f>INDEX(MO_CFSum_CFO_BeforeWC,0,COLUMN())</f>
        <v/>
      </c>
      <c r="CA64" s="574">
        <f>INDEX(MO_CFSum_CFO_BeforeWC,0,COLUMN())</f>
        <v/>
      </c>
      <c r="CB64" s="574">
        <f>INDEX(MO_CFSum_CFO_BeforeWC,0,COLUMN())</f>
        <v/>
      </c>
      <c r="CC64" s="1241">
        <f>INDEX(MO_CFSum_CFO_BeforeWC,0,COLUMN())</f>
        <v/>
      </c>
      <c r="CD64" s="1241">
        <f>INDEX(MO_CFSum_CFO_BeforeWC,0,COLUMN())</f>
        <v/>
      </c>
      <c r="CE64" s="1241">
        <f>INDEX(MO_CFSum_CFO_BeforeWC,0,COLUMN())</f>
        <v/>
      </c>
      <c r="CF64" s="1241">
        <f>INDEX(MO_CFSum_CFO_BeforeWC,0,COLUMN())</f>
        <v/>
      </c>
      <c r="CG64" s="574" t="n"/>
    </row>
    <row r="65" hidden="1" outlineLevel="1" customFormat="1" s="973">
      <c r="A65" s="679" t="inlineStr">
        <is>
          <t>Change in WC</t>
        </is>
      </c>
      <c r="B65" s="680" t="n"/>
      <c r="C65" s="1248">
        <f>SUM(OFFSET(INDEX(MO_CFS_CFO_BeforeWC,0,COLUMN()),1,0,ROW(INDEX(MO_CFS_CFO,0,COLUMN()))-ROW(INDEX(MO_CFS_CFO_BeforeWC,0,COLUMN()))-1,1))</f>
        <v/>
      </c>
      <c r="D65" s="1248">
        <f>SUM(OFFSET(INDEX(MO_CFS_CFO_BeforeWC,0,COLUMN()),1,0,ROW(INDEX(MO_CFS_CFO,0,COLUMN()))-ROW(INDEX(MO_CFS_CFO_BeforeWC,0,COLUMN()))-1,1))</f>
        <v/>
      </c>
      <c r="E65" s="1248">
        <f>SUM(OFFSET(INDEX(MO_CFS_CFO_BeforeWC,0,COLUMN()),1,0,ROW(INDEX(MO_CFS_CFO,0,COLUMN()))-ROW(INDEX(MO_CFS_CFO_BeforeWC,0,COLUMN()))-1,1))</f>
        <v/>
      </c>
      <c r="F65" s="1248">
        <f>SUM(OFFSET(INDEX(MO_CFS_CFO_BeforeWC,0,COLUMN()),1,0,ROW(INDEX(MO_CFS_CFO,0,COLUMN()))-ROW(INDEX(MO_CFS_CFO_BeforeWC,0,COLUMN()))-1,1))</f>
        <v/>
      </c>
      <c r="G65" s="681">
        <f>SUM(OFFSET(INDEX(MO_CFS_CFO_BeforeWC,0,COLUMN()),1,0,ROW(INDEX(MO_CFS_CFO,0,COLUMN()))-ROW(INDEX(MO_CFS_CFO_BeforeWC,0,COLUMN()))-1,1))</f>
        <v/>
      </c>
      <c r="H65" s="681">
        <f>SUM(OFFSET(INDEX(MO_CFS_CFO_BeforeWC,0,COLUMN()),1,0,ROW(INDEX(MO_CFS_CFO,0,COLUMN()))-ROW(INDEX(MO_CFS_CFO_BeforeWC,0,COLUMN()))-1,1))</f>
        <v/>
      </c>
      <c r="I65" s="681">
        <f>SUM(OFFSET(INDEX(MO_CFS_CFO_BeforeWC,0,COLUMN()),1,0,ROW(INDEX(MO_CFS_CFO,0,COLUMN()))-ROW(INDEX(MO_CFS_CFO_BeforeWC,0,COLUMN()))-1,1))</f>
        <v/>
      </c>
      <c r="J65" s="681">
        <f>SUM(OFFSET(INDEX(MO_CFS_CFO_BeforeWC,0,COLUMN()),1,0,ROW(INDEX(MO_CFS_CFO,0,COLUMN()))-ROW(INDEX(MO_CFS_CFO_BeforeWC,0,COLUMN()))-1,1))</f>
        <v/>
      </c>
      <c r="K65" s="1248">
        <f>SUM(OFFSET(INDEX(MO_CFS_CFO_BeforeWC,0,COLUMN()),1,0,ROW(INDEX(MO_CFS_CFO,0,COLUMN()))-ROW(INDEX(MO_CFS_CFO_BeforeWC,0,COLUMN()))-1,1))</f>
        <v/>
      </c>
      <c r="L65" s="681">
        <f>SUM(OFFSET(INDEX(MO_CFS_CFO_BeforeWC,0,COLUMN()),1,0,ROW(INDEX(MO_CFS_CFO,0,COLUMN()))-ROW(INDEX(MO_CFS_CFO_BeforeWC,0,COLUMN()))-1,1))</f>
        <v/>
      </c>
      <c r="M65" s="681">
        <f>SUM(OFFSET(INDEX(MO_CFS_CFO_BeforeWC,0,COLUMN()),1,0,ROW(INDEX(MO_CFS_CFO,0,COLUMN()))-ROW(INDEX(MO_CFS_CFO_BeforeWC,0,COLUMN()))-1,1))</f>
        <v/>
      </c>
      <c r="N65" s="681">
        <f>SUM(OFFSET(INDEX(MO_CFS_CFO_BeforeWC,0,COLUMN()),1,0,ROW(INDEX(MO_CFS_CFO,0,COLUMN()))-ROW(INDEX(MO_CFS_CFO_BeforeWC,0,COLUMN()))-1,1))</f>
        <v/>
      </c>
      <c r="O65" s="681">
        <f>SUM(OFFSET(INDEX(MO_CFS_CFO_BeforeWC,0,COLUMN()),1,0,ROW(INDEX(MO_CFS_CFO,0,COLUMN()))-ROW(INDEX(MO_CFS_CFO_BeforeWC,0,COLUMN()))-1,1))</f>
        <v/>
      </c>
      <c r="P65" s="1248">
        <f>SUM(OFFSET(INDEX(MO_CFS_CFO_BeforeWC,0,COLUMN()),1,0,ROW(INDEX(MO_CFS_CFO,0,COLUMN()))-ROW(INDEX(MO_CFS_CFO_BeforeWC,0,COLUMN()))-1,1))</f>
        <v/>
      </c>
      <c r="Q65" s="681">
        <f>SUM(OFFSET(INDEX(MO_CFS_CFO_BeforeWC,0,COLUMN()),1,0,ROW(INDEX(MO_CFS_CFO,0,COLUMN()))-ROW(INDEX(MO_CFS_CFO_BeforeWC,0,COLUMN()))-1,1))</f>
        <v/>
      </c>
      <c r="R65" s="681">
        <f>SUM(OFFSET(INDEX(MO_CFS_CFO_BeforeWC,0,COLUMN()),1,0,ROW(INDEX(MO_CFS_CFO,0,COLUMN()))-ROW(INDEX(MO_CFS_CFO_BeforeWC,0,COLUMN()))-1,1))</f>
        <v/>
      </c>
      <c r="S65" s="681">
        <f>SUM(OFFSET(INDEX(MO_CFS_CFO_BeforeWC,0,COLUMN()),1,0,ROW(INDEX(MO_CFS_CFO,0,COLUMN()))-ROW(INDEX(MO_CFS_CFO_BeforeWC,0,COLUMN()))-1,1))</f>
        <v/>
      </c>
      <c r="T65" s="681">
        <f>SUM(OFFSET(INDEX(MO_CFS_CFO_BeforeWC,0,COLUMN()),1,0,ROW(INDEX(MO_CFS_CFO,0,COLUMN()))-ROW(INDEX(MO_CFS_CFO_BeforeWC,0,COLUMN()))-1,1))</f>
        <v/>
      </c>
      <c r="U65" s="1248">
        <f>SUM(OFFSET(INDEX(MO_CFS_CFO_BeforeWC,0,COLUMN()),1,0,ROW(INDEX(MO_CFS_CFO,0,COLUMN()))-ROW(INDEX(MO_CFS_CFO_BeforeWC,0,COLUMN()))-1,1))</f>
        <v/>
      </c>
      <c r="V65" s="681">
        <f>SUM(OFFSET(INDEX(MO_CFS_CFO_BeforeWC,0,COLUMN()),1,0,ROW(INDEX(MO_CFS_CFO,0,COLUMN()))-ROW(INDEX(MO_CFS_CFO_BeforeWC,0,COLUMN()))-1,1))</f>
        <v/>
      </c>
      <c r="W65" s="681">
        <f>SUM(OFFSET(INDEX(MO_CFS_CFO_BeforeWC,0,COLUMN()),1,0,ROW(INDEX(MO_CFS_CFO,0,COLUMN()))-ROW(INDEX(MO_CFS_CFO_BeforeWC,0,COLUMN()))-1,1))</f>
        <v/>
      </c>
      <c r="X65" s="681">
        <f>SUM(OFFSET(INDEX(MO_CFS_CFO_BeforeWC,0,COLUMN()),1,0,ROW(INDEX(MO_CFS_CFO,0,COLUMN()))-ROW(INDEX(MO_CFS_CFO_BeforeWC,0,COLUMN()))-1,1))</f>
        <v/>
      </c>
      <c r="Y65" s="681">
        <f>SUM(OFFSET(INDEX(MO_CFS_CFO_BeforeWC,0,COLUMN()),1,0,ROW(INDEX(MO_CFS_CFO,0,COLUMN()))-ROW(INDEX(MO_CFS_CFO_BeforeWC,0,COLUMN()))-1,1))</f>
        <v/>
      </c>
      <c r="Z65" s="1248">
        <f>SUM(OFFSET(INDEX(MO_CFS_CFO_BeforeWC,0,COLUMN()),1,0,ROW(INDEX(MO_CFS_CFO,0,COLUMN()))-ROW(INDEX(MO_CFS_CFO_BeforeWC,0,COLUMN()))-1,1))</f>
        <v/>
      </c>
      <c r="AA65" s="681">
        <f>SUM(OFFSET(INDEX(MO_CFS_CFO_BeforeWC,0,COLUMN()),1,0,ROW(INDEX(MO_CFS_CFO,0,COLUMN()))-ROW(INDEX(MO_CFS_CFO_BeforeWC,0,COLUMN()))-1,1))</f>
        <v/>
      </c>
      <c r="AB65" s="681">
        <f>SUM(OFFSET(INDEX(MO_CFS_CFO_BeforeWC,0,COLUMN()),1,0,ROW(INDEX(MO_CFS_CFO,0,COLUMN()))-ROW(INDEX(MO_CFS_CFO_BeforeWC,0,COLUMN()))-1,1))</f>
        <v/>
      </c>
      <c r="AC65" s="681">
        <f>SUM(OFFSET(INDEX(MO_CFS_CFO_BeforeWC,0,COLUMN()),1,0,ROW(INDEX(MO_CFS_CFO,0,COLUMN()))-ROW(INDEX(MO_CFS_CFO_BeforeWC,0,COLUMN()))-1,1))</f>
        <v/>
      </c>
      <c r="AD65" s="681">
        <f>SUM(OFFSET(INDEX(MO_CFS_CFO_BeforeWC,0,COLUMN()),1,0,ROW(INDEX(MO_CFS_CFO,0,COLUMN()))-ROW(INDEX(MO_CFS_CFO_BeforeWC,0,COLUMN()))-1,1))</f>
        <v/>
      </c>
      <c r="AE65" s="1248">
        <f>SUM(OFFSET(INDEX(MO_CFS_CFO_BeforeWC,0,COLUMN()),1,0,ROW(INDEX(MO_CFS_CFO,0,COLUMN()))-ROW(INDEX(MO_CFS_CFO_BeforeWC,0,COLUMN()))-1,1))</f>
        <v/>
      </c>
      <c r="AF65" s="681">
        <f>SUM(OFFSET(INDEX(MO_CFS_CFO_BeforeWC,0,COLUMN()),1,0,ROW(INDEX(MO_CFS_CFO,0,COLUMN()))-ROW(INDEX(MO_CFS_CFO_BeforeWC,0,COLUMN()))-1,1))</f>
        <v/>
      </c>
      <c r="AG65" s="681">
        <f>SUM(OFFSET(INDEX(MO_CFS_CFO_BeforeWC,0,COLUMN()),1,0,ROW(INDEX(MO_CFS_CFO,0,COLUMN()))-ROW(INDEX(MO_CFS_CFO_BeforeWC,0,COLUMN()))-1,1))</f>
        <v/>
      </c>
      <c r="AH65" s="681">
        <f>SUM(OFFSET(INDEX(MO_CFS_CFO_BeforeWC,0,COLUMN()),1,0,ROW(INDEX(MO_CFS_CFO,0,COLUMN()))-ROW(INDEX(MO_CFS_CFO_BeforeWC,0,COLUMN()))-1,1))</f>
        <v/>
      </c>
      <c r="AI65" s="681">
        <f>SUM(OFFSET(INDEX(MO_CFS_CFO_BeforeWC,0,COLUMN()),1,0,ROW(INDEX(MO_CFS_CFO,0,COLUMN()))-ROW(INDEX(MO_CFS_CFO_BeforeWC,0,COLUMN()))-1,1))</f>
        <v/>
      </c>
      <c r="AJ65" s="1248">
        <f>SUM(OFFSET(INDEX(MO_CFS_CFO_BeforeWC,0,COLUMN()),1,0,ROW(INDEX(MO_CFS_CFO,0,COLUMN()))-ROW(INDEX(MO_CFS_CFO_BeforeWC,0,COLUMN()))-1,1))</f>
        <v/>
      </c>
      <c r="AK65" s="681">
        <f>SUM(OFFSET(INDEX(MO_CFS_CFO_BeforeWC,0,COLUMN()),1,0,ROW(INDEX(MO_CFS_CFO,0,COLUMN()))-ROW(INDEX(MO_CFS_CFO_BeforeWC,0,COLUMN()))-1,1))</f>
        <v/>
      </c>
      <c r="AL65" s="681">
        <f>SUM(OFFSET(INDEX(MO_CFS_CFO_BeforeWC,0,COLUMN()),1,0,ROW(INDEX(MO_CFS_CFO,0,COLUMN()))-ROW(INDEX(MO_CFS_CFO_BeforeWC,0,COLUMN()))-1,1))</f>
        <v/>
      </c>
      <c r="AM65" s="681">
        <f>SUM(OFFSET(INDEX(MO_CFS_CFO_BeforeWC,0,COLUMN()),1,0,ROW(INDEX(MO_CFS_CFO,0,COLUMN()))-ROW(INDEX(MO_CFS_CFO_BeforeWC,0,COLUMN()))-1,1))</f>
        <v/>
      </c>
      <c r="AN65" s="681">
        <f>SUM(OFFSET(INDEX(MO_CFS_CFO_BeforeWC,0,COLUMN()),1,0,ROW(INDEX(MO_CFS_CFO,0,COLUMN()))-ROW(INDEX(MO_CFS_CFO_BeforeWC,0,COLUMN()))-1,1))</f>
        <v/>
      </c>
      <c r="AO65" s="1248">
        <f>SUM(OFFSET(INDEX(MO_CFS_CFO_BeforeWC,0,COLUMN()),1,0,ROW(INDEX(MO_CFS_CFO,0,COLUMN()))-ROW(INDEX(MO_CFS_CFO_BeforeWC,0,COLUMN()))-1,1))</f>
        <v/>
      </c>
      <c r="AP65" s="681">
        <f>SUM(OFFSET(INDEX(MO_CFS_CFO_BeforeWC,0,COLUMN()),1,0,ROW(INDEX(MO_CFS_CFO,0,COLUMN()))-ROW(INDEX(MO_CFS_CFO_BeforeWC,0,COLUMN()))-1,1))</f>
        <v/>
      </c>
      <c r="AQ65" s="681">
        <f>SUM(OFFSET(INDEX(MO_CFS_CFO_BeforeWC,0,COLUMN()),1,0,ROW(INDEX(MO_CFS_CFO,0,COLUMN()))-ROW(INDEX(MO_CFS_CFO_BeforeWC,0,COLUMN()))-1,1))</f>
        <v/>
      </c>
      <c r="AR65" s="681">
        <f>SUM(OFFSET(INDEX(MO_CFS_CFO_BeforeWC,0,COLUMN()),1,0,ROW(INDEX(MO_CFS_CFO,0,COLUMN()))-ROW(INDEX(MO_CFS_CFO_BeforeWC,0,COLUMN()))-1,1))</f>
        <v/>
      </c>
      <c r="AS65" s="681">
        <f>SUM(OFFSET(INDEX(MO_CFS_CFO_BeforeWC,0,COLUMN()),1,0,ROW(INDEX(MO_CFS_CFO,0,COLUMN()))-ROW(INDEX(MO_CFS_CFO_BeforeWC,0,COLUMN()))-1,1))</f>
        <v/>
      </c>
      <c r="AT65" s="1248">
        <f>SUM(OFFSET(INDEX(MO_CFS_CFO_BeforeWC,0,COLUMN()),1,0,ROW(INDEX(MO_CFS_CFO,0,COLUMN()))-ROW(INDEX(MO_CFS_CFO_BeforeWC,0,COLUMN()))-1,1))</f>
        <v/>
      </c>
      <c r="AU65" s="681">
        <f>SUM(OFFSET(INDEX(MO_CFS_CFO_BeforeWC,0,COLUMN()),1,0,ROW(INDEX(MO_CFS_CFO,0,COLUMN()))-ROW(INDEX(MO_CFS_CFO_BeforeWC,0,COLUMN()))-1,1))</f>
        <v/>
      </c>
      <c r="AV65" s="681">
        <f>SUM(OFFSET(INDEX(MO_CFS_CFO_BeforeWC,0,COLUMN()),1,0,ROW(INDEX(MO_CFS_CFO,0,COLUMN()))-ROW(INDEX(MO_CFS_CFO_BeforeWC,0,COLUMN()))-1,1))</f>
        <v/>
      </c>
      <c r="AW65" s="681">
        <f>SUM(OFFSET(INDEX(MO_CFS_CFO_BeforeWC,0,COLUMN()),1,0,ROW(INDEX(MO_CFS_CFO,0,COLUMN()))-ROW(INDEX(MO_CFS_CFO_BeforeWC,0,COLUMN()))-1,1))</f>
        <v/>
      </c>
      <c r="AX65" s="681">
        <f>SUM(OFFSET(INDEX(MO_CFS_CFO_BeforeWC,0,COLUMN()),1,0,ROW(INDEX(MO_CFS_CFO,0,COLUMN()))-ROW(INDEX(MO_CFS_CFO_BeforeWC,0,COLUMN()))-1,1))</f>
        <v/>
      </c>
      <c r="AY65" s="1248">
        <f>SUM(OFFSET(INDEX(MO_CFS_CFO_BeforeWC,0,COLUMN()),1,0,ROW(INDEX(MO_CFS_CFO,0,COLUMN()))-ROW(INDEX(MO_CFS_CFO_BeforeWC,0,COLUMN()))-1,1))</f>
        <v/>
      </c>
      <c r="AZ65" s="681">
        <f>SUM(OFFSET(INDEX(MO_CFS_CFO_BeforeWC,0,COLUMN()),1,0,ROW(INDEX(MO_CFS_CFO,0,COLUMN()))-ROW(INDEX(MO_CFS_CFO_BeforeWC,0,COLUMN()))-1,1))</f>
        <v/>
      </c>
      <c r="BA65" s="681">
        <f>SUM(OFFSET(INDEX(MO_CFS_CFO_BeforeWC,0,COLUMN()),1,0,ROW(INDEX(MO_CFS_CFO,0,COLUMN()))-ROW(INDEX(MO_CFS_CFO_BeforeWC,0,COLUMN()))-1,1))</f>
        <v/>
      </c>
      <c r="BB65" s="681">
        <f>SUM(OFFSET(INDEX(MO_CFS_CFO_BeforeWC,0,COLUMN()),1,0,ROW(INDEX(MO_CFS_CFO,0,COLUMN()))-ROW(INDEX(MO_CFS_CFO_BeforeWC,0,COLUMN()))-1,1))</f>
        <v/>
      </c>
      <c r="BC65" s="681">
        <f>SUM(OFFSET(INDEX(MO_CFS_CFO_BeforeWC,0,COLUMN()),1,0,ROW(INDEX(MO_CFS_CFO,0,COLUMN()))-ROW(INDEX(MO_CFS_CFO_BeforeWC,0,COLUMN()))-1,1))</f>
        <v/>
      </c>
      <c r="BD65" s="1248">
        <f>SUM(OFFSET(INDEX(MO_CFS_CFO_BeforeWC,0,COLUMN()),1,0,ROW(INDEX(MO_CFS_CFO,0,COLUMN()))-ROW(INDEX(MO_CFS_CFO_BeforeWC,0,COLUMN()))-1,1))</f>
        <v/>
      </c>
      <c r="BE65" s="681">
        <f>SUM(OFFSET(INDEX(MO_CFS_CFO_BeforeWC,0,COLUMN()),1,0,ROW(INDEX(MO_CFS_CFO,0,COLUMN()))-ROW(INDEX(MO_CFS_CFO_BeforeWC,0,COLUMN()))-1,1))</f>
        <v/>
      </c>
      <c r="BF65" s="681">
        <f>SUM(OFFSET(INDEX(MO_CFS_CFO_BeforeWC,0,COLUMN()),1,0,ROW(INDEX(MO_CFS_CFO,0,COLUMN()))-ROW(INDEX(MO_CFS_CFO_BeforeWC,0,COLUMN()))-1,1))</f>
        <v/>
      </c>
      <c r="BG65" s="681">
        <f>SUM(OFFSET(INDEX(MO_CFS_CFO_BeforeWC,0,COLUMN()),1,0,ROW(INDEX(MO_CFS_CFO,0,COLUMN()))-ROW(INDEX(MO_CFS_CFO_BeforeWC,0,COLUMN()))-1,1))</f>
        <v/>
      </c>
      <c r="BH65" s="681">
        <f>SUM(OFFSET(INDEX(MO_CFS_CFO_BeforeWC,0,COLUMN()),1,0,ROW(INDEX(MO_CFS_CFO,0,COLUMN()))-ROW(INDEX(MO_CFS_CFO_BeforeWC,0,COLUMN()))-1,1))</f>
        <v/>
      </c>
      <c r="BI65" s="1248">
        <f>SUM(OFFSET(INDEX(MO_CFS_CFO_BeforeWC,0,COLUMN()),1,0,ROW(INDEX(MO_CFS_CFO,0,COLUMN()))-ROW(INDEX(MO_CFS_CFO_BeforeWC,0,COLUMN()))-1,1))</f>
        <v/>
      </c>
      <c r="BJ65" s="681">
        <f>SUM(OFFSET(INDEX(MO_CFS_CFO_BeforeWC,0,COLUMN()),1,0,ROW(INDEX(MO_CFS_CFO,0,COLUMN()))-ROW(INDEX(MO_CFS_CFO_BeforeWC,0,COLUMN()))-1,1))</f>
        <v/>
      </c>
      <c r="BK65" s="681">
        <f>SUM(OFFSET(INDEX(MO_CFS_CFO_BeforeWC,0,COLUMN()),1,0,ROW(INDEX(MO_CFS_CFO,0,COLUMN()))-ROW(INDEX(MO_CFS_CFO_BeforeWC,0,COLUMN()))-1,1))</f>
        <v/>
      </c>
      <c r="BL65" s="681">
        <f>SUM(OFFSET(INDEX(MO_CFS_CFO_BeforeWC,0,COLUMN()),1,0,ROW(INDEX(MO_CFS_CFO,0,COLUMN()))-ROW(INDEX(MO_CFS_CFO_BeforeWC,0,COLUMN()))-1,1))</f>
        <v/>
      </c>
      <c r="BM65" s="681">
        <f>SUM(OFFSET(INDEX(MO_CFS_CFO_BeforeWC,0,COLUMN()),1,0,ROW(INDEX(MO_CFS_CFO,0,COLUMN()))-ROW(INDEX(MO_CFS_CFO_BeforeWC,0,COLUMN()))-1,1))</f>
        <v/>
      </c>
      <c r="BN65" s="1248">
        <f>SUM(OFFSET(INDEX(MO_CFS_CFO_BeforeWC,0,COLUMN()),1,0,ROW(INDEX(MO_CFS_CFO,0,COLUMN()))-ROW(INDEX(MO_CFS_CFO_BeforeWC,0,COLUMN()))-1,1))</f>
        <v/>
      </c>
      <c r="BO65" s="681">
        <f>SUM(OFFSET(INDEX(MO_CFS_CFO_BeforeWC,0,COLUMN()),1,0,ROW(INDEX(MO_CFS_CFO,0,COLUMN()))-ROW(INDEX(MO_CFS_CFO_BeforeWC,0,COLUMN()))-1,1))</f>
        <v/>
      </c>
      <c r="BP65" s="681">
        <f>SUM(OFFSET(INDEX(MO_CFS_CFO_BeforeWC,0,COLUMN()),1,0,ROW(INDEX(MO_CFS_CFO,0,COLUMN()))-ROW(INDEX(MO_CFS_CFO_BeforeWC,0,COLUMN()))-1,1))</f>
        <v/>
      </c>
      <c r="BQ65" s="681">
        <f>SUM(OFFSET(INDEX(MO_CFS_CFO_BeforeWC,0,COLUMN()),1,0,ROW(INDEX(MO_CFS_CFO,0,COLUMN()))-ROW(INDEX(MO_CFS_CFO_BeforeWC,0,COLUMN()))-1,1))</f>
        <v/>
      </c>
      <c r="BR65" s="681">
        <f>SUM(OFFSET(INDEX(MO_CFS_CFO_BeforeWC,0,COLUMN()),1,0,ROW(INDEX(MO_CFS_CFO,0,COLUMN()))-ROW(INDEX(MO_CFS_CFO_BeforeWC,0,COLUMN()))-1,1))</f>
        <v/>
      </c>
      <c r="BS65" s="1248">
        <f>SUM(OFFSET(INDEX(MO_CFS_CFO_BeforeWC,0,COLUMN()),1,0,ROW(INDEX(MO_CFS_CFO,0,COLUMN()))-ROW(INDEX(MO_CFS_CFO_BeforeWC,0,COLUMN()))-1,1))</f>
        <v/>
      </c>
      <c r="BT65" s="681">
        <f>SUM(OFFSET(INDEX(MO_CFS_CFO_BeforeWC,0,COLUMN()),1,0,ROW(INDEX(MO_CFS_CFO,0,COLUMN()))-ROW(INDEX(MO_CFS_CFO_BeforeWC,0,COLUMN()))-1,1))</f>
        <v/>
      </c>
      <c r="BU65" s="681">
        <f>SUM(OFFSET(INDEX(MO_CFS_CFO_BeforeWC,0,COLUMN()),1,0,ROW(INDEX(MO_CFS_CFO,0,COLUMN()))-ROW(INDEX(MO_CFS_CFO_BeforeWC,0,COLUMN()))-1,1))</f>
        <v/>
      </c>
      <c r="BV65" s="939">
        <f>SUM(OFFSET(INDEX(MO_CFS_CFO_BeforeWC,0,COLUMN()),1,0,ROW(INDEX(MO_CFS_CFO,0,COLUMN()))-ROW(INDEX(MO_CFS_CFO_BeforeWC,0,COLUMN()))-1,1))</f>
        <v/>
      </c>
      <c r="BW65" s="681">
        <f>SUM(OFFSET(INDEX(MO_CFS_CFO_BeforeWC,0,COLUMN()),1,0,ROW(INDEX(MO_CFS_CFO,0,COLUMN()))-ROW(INDEX(MO_CFS_CFO_BeforeWC,0,COLUMN()))-1,1))</f>
        <v/>
      </c>
      <c r="BX65" s="1248">
        <f>SUM(OFFSET(INDEX(MO_CFS_CFO_BeforeWC,0,COLUMN()),1,0,ROW(INDEX(MO_CFS_CFO,0,COLUMN()))-ROW(INDEX(MO_CFS_CFO_BeforeWC,0,COLUMN()))-1,1))</f>
        <v/>
      </c>
      <c r="BY65" s="681">
        <f>SUM(OFFSET(INDEX(MO_CFS_CFO_BeforeWC,0,COLUMN()),1,0,ROW(INDEX(MO_CFS_CFO,0,COLUMN()))-ROW(INDEX(MO_CFS_CFO_BeforeWC,0,COLUMN()))-1,1))</f>
        <v/>
      </c>
      <c r="BZ65" s="681">
        <f>SUM(OFFSET(INDEX(MO_CFS_CFO_BeforeWC,0,COLUMN()),1,0,ROW(INDEX(MO_CFS_CFO,0,COLUMN()))-ROW(INDEX(MO_CFS_CFO_BeforeWC,0,COLUMN()))-1,1))</f>
        <v/>
      </c>
      <c r="CA65" s="681">
        <f>SUM(OFFSET(INDEX(MO_CFS_CFO_BeforeWC,0,COLUMN()),1,0,ROW(INDEX(MO_CFS_CFO,0,COLUMN()))-ROW(INDEX(MO_CFS_CFO_BeforeWC,0,COLUMN()))-1,1))</f>
        <v/>
      </c>
      <c r="CB65" s="681">
        <f>SUM(OFFSET(INDEX(MO_CFS_CFO_BeforeWC,0,COLUMN()),1,0,ROW(INDEX(MO_CFS_CFO,0,COLUMN()))-ROW(INDEX(MO_CFS_CFO_BeforeWC,0,COLUMN()))-1,1))</f>
        <v/>
      </c>
      <c r="CC65" s="1248">
        <f>SUM(OFFSET(INDEX(MO_CFS_CFO_BeforeWC,0,COLUMN()),1,0,ROW(INDEX(MO_CFS_CFO,0,COLUMN()))-ROW(INDEX(MO_CFS_CFO_BeforeWC,0,COLUMN()))-1,1))</f>
        <v/>
      </c>
      <c r="CD65" s="1248">
        <f>SUM(OFFSET(INDEX(MO_CFS_CFO_BeforeWC,0,COLUMN()),1,0,ROW(INDEX(MO_CFS_CFO,0,COLUMN()))-ROW(INDEX(MO_CFS_CFO_BeforeWC,0,COLUMN()))-1,1))</f>
        <v/>
      </c>
      <c r="CE65" s="1248">
        <f>SUM(OFFSET(INDEX(MO_CFS_CFO_BeforeWC,0,COLUMN()),1,0,ROW(INDEX(MO_CFS_CFO,0,COLUMN()))-ROW(INDEX(MO_CFS_CFO_BeforeWC,0,COLUMN()))-1,1))</f>
        <v/>
      </c>
      <c r="CF65" s="1248">
        <f>SUM(OFFSET(INDEX(MO_CFS_CFO_BeforeWC,0,COLUMN()),1,0,ROW(INDEX(MO_CFS_CFO,0,COLUMN()))-ROW(INDEX(MO_CFS_CFO_BeforeWC,0,COLUMN()))-1,1))</f>
        <v/>
      </c>
      <c r="CG65" s="678" t="n"/>
    </row>
    <row r="66" collapsed="1" customFormat="1" s="973">
      <c r="A66" s="682" t="inlineStr">
        <is>
          <t>Operating Cash Flow after WC</t>
        </is>
      </c>
      <c r="B66" s="684" t="n"/>
      <c r="C66" s="1241">
        <f>SUM(C64:C65)</f>
        <v/>
      </c>
      <c r="D66" s="1241">
        <f>SUM(D64:D65)</f>
        <v/>
      </c>
      <c r="E66" s="1241">
        <f>SUM(E64:E65)</f>
        <v/>
      </c>
      <c r="F66" s="1241">
        <f>SUM(F64:F65)</f>
        <v/>
      </c>
      <c r="G66" s="574">
        <f>SUM(G64:G65)</f>
        <v/>
      </c>
      <c r="H66" s="574">
        <f>SUM(H64:H65)</f>
        <v/>
      </c>
      <c r="I66" s="574">
        <f>SUM(I64:I65)</f>
        <v/>
      </c>
      <c r="J66" s="574">
        <f>SUM(J64:J65)</f>
        <v/>
      </c>
      <c r="K66" s="1241">
        <f>SUM(K64:K65)</f>
        <v/>
      </c>
      <c r="L66" s="574">
        <f>SUM(L64:L65)</f>
        <v/>
      </c>
      <c r="M66" s="574">
        <f>SUM(M64:M65)</f>
        <v/>
      </c>
      <c r="N66" s="574">
        <f>SUM(N64:N65)</f>
        <v/>
      </c>
      <c r="O66" s="574">
        <f>SUM(O64:O65)</f>
        <v/>
      </c>
      <c r="P66" s="1241">
        <f>SUM(P64:P65)</f>
        <v/>
      </c>
      <c r="Q66" s="574">
        <f>SUM(Q64:Q65)</f>
        <v/>
      </c>
      <c r="R66" s="574">
        <f>SUM(R64:R65)</f>
        <v/>
      </c>
      <c r="S66" s="574">
        <f>SUM(S64:S65)</f>
        <v/>
      </c>
      <c r="T66" s="574">
        <f>SUM(T64:T65)</f>
        <v/>
      </c>
      <c r="U66" s="1241">
        <f>SUM(U64:U65)</f>
        <v/>
      </c>
      <c r="V66" s="574">
        <f>SUM(V64:V65)</f>
        <v/>
      </c>
      <c r="W66" s="574">
        <f>SUM(W64:W65)</f>
        <v/>
      </c>
      <c r="X66" s="574">
        <f>SUM(X64:X65)</f>
        <v/>
      </c>
      <c r="Y66" s="574">
        <f>SUM(Y64:Y65)</f>
        <v/>
      </c>
      <c r="Z66" s="1241">
        <f>SUM(Z64:Z65)</f>
        <v/>
      </c>
      <c r="AA66" s="574">
        <f>SUM(AA64:AA65)</f>
        <v/>
      </c>
      <c r="AB66" s="574">
        <f>SUM(AB64:AB65)</f>
        <v/>
      </c>
      <c r="AC66" s="574">
        <f>SUM(AC64:AC65)</f>
        <v/>
      </c>
      <c r="AD66" s="574">
        <f>SUM(AD64:AD65)</f>
        <v/>
      </c>
      <c r="AE66" s="1241">
        <f>SUM(AE64:AE65)</f>
        <v/>
      </c>
      <c r="AF66" s="574">
        <f>SUM(AF64:AF65)</f>
        <v/>
      </c>
      <c r="AG66" s="574">
        <f>SUM(AG64:AG65)</f>
        <v/>
      </c>
      <c r="AH66" s="574">
        <f>SUM(AH64:AH65)</f>
        <v/>
      </c>
      <c r="AI66" s="574">
        <f>SUM(AI64:AI65)</f>
        <v/>
      </c>
      <c r="AJ66" s="1241">
        <f>SUM(AJ64:AJ65)</f>
        <v/>
      </c>
      <c r="AK66" s="574">
        <f>SUM(AK64:AK65)</f>
        <v/>
      </c>
      <c r="AL66" s="574">
        <f>SUM(AL64:AL65)</f>
        <v/>
      </c>
      <c r="AM66" s="574">
        <f>SUM(AM64:AM65)</f>
        <v/>
      </c>
      <c r="AN66" s="574">
        <f>SUM(AN64:AN65)</f>
        <v/>
      </c>
      <c r="AO66" s="1241">
        <f>SUM(AO64:AO65)</f>
        <v/>
      </c>
      <c r="AP66" s="574">
        <f>SUM(AP64:AP65)</f>
        <v/>
      </c>
      <c r="AQ66" s="574">
        <f>SUM(AQ64:AQ65)</f>
        <v/>
      </c>
      <c r="AR66" s="574">
        <f>SUM(AR64:AR65)</f>
        <v/>
      </c>
      <c r="AS66" s="574">
        <f>SUM(AS64:AS65)</f>
        <v/>
      </c>
      <c r="AT66" s="1241">
        <f>SUM(AT64:AT65)</f>
        <v/>
      </c>
      <c r="AU66" s="574">
        <f>SUM(AU64:AU65)</f>
        <v/>
      </c>
      <c r="AV66" s="574">
        <f>SUM(AV64:AV65)</f>
        <v/>
      </c>
      <c r="AW66" s="574">
        <f>SUM(AW64:AW65)</f>
        <v/>
      </c>
      <c r="AX66" s="574">
        <f>SUM(AX64:AX65)</f>
        <v/>
      </c>
      <c r="AY66" s="1241">
        <f>SUM(AY64:AY65)</f>
        <v/>
      </c>
      <c r="AZ66" s="574">
        <f>SUM(AZ64:AZ65)</f>
        <v/>
      </c>
      <c r="BA66" s="574">
        <f>SUM(BA64:BA65)</f>
        <v/>
      </c>
      <c r="BB66" s="574">
        <f>SUM(BB64:BB65)</f>
        <v/>
      </c>
      <c r="BC66" s="574">
        <f>SUM(BC64:BC65)</f>
        <v/>
      </c>
      <c r="BD66" s="1241">
        <f>SUM(BD64:BD65)</f>
        <v/>
      </c>
      <c r="BE66" s="574">
        <f>SUM(BE64:BE65)</f>
        <v/>
      </c>
      <c r="BF66" s="574">
        <f>SUM(BF64:BF65)</f>
        <v/>
      </c>
      <c r="BG66" s="574">
        <f>SUM(BG64:BG65)</f>
        <v/>
      </c>
      <c r="BH66" s="574">
        <f>SUM(BH64:BH65)</f>
        <v/>
      </c>
      <c r="BI66" s="1241">
        <f>SUM(BI64:BI65)</f>
        <v/>
      </c>
      <c r="BJ66" s="574">
        <f>SUM(BJ64:BJ65)</f>
        <v/>
      </c>
      <c r="BK66" s="574">
        <f>SUM(BK64:BK65)</f>
        <v/>
      </c>
      <c r="BL66" s="574">
        <f>SUM(BL64:BL65)</f>
        <v/>
      </c>
      <c r="BM66" s="574">
        <f>SUM(BM64:BM65)</f>
        <v/>
      </c>
      <c r="BN66" s="1241">
        <f>SUM(BN64:BN65)</f>
        <v/>
      </c>
      <c r="BO66" s="574">
        <f>SUM(BO64:BO65)</f>
        <v/>
      </c>
      <c r="BP66" s="574">
        <f>SUM(BP64:BP65)</f>
        <v/>
      </c>
      <c r="BQ66" s="574">
        <f>SUM(BQ64:BQ65)</f>
        <v/>
      </c>
      <c r="BR66" s="574">
        <f>SUM(BR64:BR65)</f>
        <v/>
      </c>
      <c r="BS66" s="1241">
        <f>SUM(BS64:BS65)</f>
        <v/>
      </c>
      <c r="BT66" s="574">
        <f>SUM(BT64:BT65)</f>
        <v/>
      </c>
      <c r="BU66" s="574">
        <f>SUM(BU64:BU65)</f>
        <v/>
      </c>
      <c r="BV66" s="936">
        <f>SUM(BV64:BV65)</f>
        <v/>
      </c>
      <c r="BW66" s="574">
        <f>SUM(BW64:BW65)</f>
        <v/>
      </c>
      <c r="BX66" s="1241">
        <f>SUM(BX64:BX65)</f>
        <v/>
      </c>
      <c r="BY66" s="574">
        <f>SUM(BY64:BY65)</f>
        <v/>
      </c>
      <c r="BZ66" s="574">
        <f>SUM(BZ64:BZ65)</f>
        <v/>
      </c>
      <c r="CA66" s="574">
        <f>SUM(CA64:CA65)</f>
        <v/>
      </c>
      <c r="CB66" s="574">
        <f>SUM(CB64:CB65)</f>
        <v/>
      </c>
      <c r="CC66" s="1241">
        <f>SUM(CC64:CC65)</f>
        <v/>
      </c>
      <c r="CD66" s="1241">
        <f>SUM(CD64:CD65)</f>
        <v/>
      </c>
      <c r="CE66" s="1241">
        <f>SUM(CE64:CE65)</f>
        <v/>
      </c>
      <c r="CF66" s="1241">
        <f>SUM(CF64:CF65)</f>
        <v/>
      </c>
      <c r="CG66" s="678" t="n"/>
    </row>
    <row r="67" customFormat="1" s="974">
      <c r="A67" s="676">
        <f>INDEX(MO_CFSum_Capex,0,COLUMN())</f>
        <v/>
      </c>
      <c r="B67" s="685" t="n"/>
      <c r="C67" s="1242">
        <f>INDEX(MO_CFSum_Capex,0,COLUMN())</f>
        <v/>
      </c>
      <c r="D67" s="1242">
        <f>INDEX(MO_CFSum_Capex,0,COLUMN())</f>
        <v/>
      </c>
      <c r="E67" s="1242">
        <f>INDEX(MO_CFSum_Capex,0,COLUMN())</f>
        <v/>
      </c>
      <c r="F67" s="1242">
        <f>INDEX(MO_CFSum_Capex,0,COLUMN())</f>
        <v/>
      </c>
      <c r="G67" s="678">
        <f>INDEX(MO_CFSum_Capex,0,COLUMN())</f>
        <v/>
      </c>
      <c r="H67" s="678">
        <f>INDEX(MO_CFSum_Capex,0,COLUMN())</f>
        <v/>
      </c>
      <c r="I67" s="678">
        <f>INDEX(MO_CFSum_Capex,0,COLUMN())</f>
        <v/>
      </c>
      <c r="J67" s="678">
        <f>INDEX(MO_CFSum_Capex,0,COLUMN())</f>
        <v/>
      </c>
      <c r="K67" s="1242">
        <f>INDEX(MO_CFSum_Capex,0,COLUMN())</f>
        <v/>
      </c>
      <c r="L67" s="678">
        <f>INDEX(MO_CFSum_Capex,0,COLUMN())</f>
        <v/>
      </c>
      <c r="M67" s="678">
        <f>INDEX(MO_CFSum_Capex,0,COLUMN())</f>
        <v/>
      </c>
      <c r="N67" s="678">
        <f>INDEX(MO_CFSum_Capex,0,COLUMN())</f>
        <v/>
      </c>
      <c r="O67" s="678">
        <f>INDEX(MO_CFSum_Capex,0,COLUMN())</f>
        <v/>
      </c>
      <c r="P67" s="1242">
        <f>INDEX(MO_CFSum_Capex,0,COLUMN())</f>
        <v/>
      </c>
      <c r="Q67" s="678">
        <f>INDEX(MO_CFSum_Capex,0,COLUMN())</f>
        <v/>
      </c>
      <c r="R67" s="678">
        <f>INDEX(MO_CFSum_Capex,0,COLUMN())</f>
        <v/>
      </c>
      <c r="S67" s="678">
        <f>INDEX(MO_CFSum_Capex,0,COLUMN())</f>
        <v/>
      </c>
      <c r="T67" s="678">
        <f>INDEX(MO_CFSum_Capex,0,COLUMN())</f>
        <v/>
      </c>
      <c r="U67" s="1242">
        <f>INDEX(MO_CFSum_Capex,0,COLUMN())</f>
        <v/>
      </c>
      <c r="V67" s="678">
        <f>INDEX(MO_CFSum_Capex,0,COLUMN())</f>
        <v/>
      </c>
      <c r="W67" s="678">
        <f>INDEX(MO_CFSum_Capex,0,COLUMN())</f>
        <v/>
      </c>
      <c r="X67" s="678">
        <f>INDEX(MO_CFSum_Capex,0,COLUMN())</f>
        <v/>
      </c>
      <c r="Y67" s="678">
        <f>INDEX(MO_CFSum_Capex,0,COLUMN())</f>
        <v/>
      </c>
      <c r="Z67" s="1242">
        <f>INDEX(MO_CFSum_Capex,0,COLUMN())</f>
        <v/>
      </c>
      <c r="AA67" s="678">
        <f>INDEX(MO_CFSum_Capex,0,COLUMN())</f>
        <v/>
      </c>
      <c r="AB67" s="678">
        <f>INDEX(MO_CFSum_Capex,0,COLUMN())</f>
        <v/>
      </c>
      <c r="AC67" s="678">
        <f>INDEX(MO_CFSum_Capex,0,COLUMN())</f>
        <v/>
      </c>
      <c r="AD67" s="678">
        <f>INDEX(MO_CFSum_Capex,0,COLUMN())</f>
        <v/>
      </c>
      <c r="AE67" s="1242">
        <f>INDEX(MO_CFSum_Capex,0,COLUMN())</f>
        <v/>
      </c>
      <c r="AF67" s="678">
        <f>INDEX(MO_CFSum_Capex,0,COLUMN())</f>
        <v/>
      </c>
      <c r="AG67" s="678">
        <f>INDEX(MO_CFSum_Capex,0,COLUMN())</f>
        <v/>
      </c>
      <c r="AH67" s="678">
        <f>INDEX(MO_CFSum_Capex,0,COLUMN())</f>
        <v/>
      </c>
      <c r="AI67" s="678">
        <f>INDEX(MO_CFSum_Capex,0,COLUMN())</f>
        <v/>
      </c>
      <c r="AJ67" s="1242">
        <f>INDEX(MO_CFSum_Capex,0,COLUMN())</f>
        <v/>
      </c>
      <c r="AK67" s="678">
        <f>INDEX(MO_CFSum_Capex,0,COLUMN())</f>
        <v/>
      </c>
      <c r="AL67" s="678">
        <f>INDEX(MO_CFSum_Capex,0,COLUMN())</f>
        <v/>
      </c>
      <c r="AM67" s="678">
        <f>INDEX(MO_CFSum_Capex,0,COLUMN())</f>
        <v/>
      </c>
      <c r="AN67" s="678">
        <f>INDEX(MO_CFSum_Capex,0,COLUMN())</f>
        <v/>
      </c>
      <c r="AO67" s="1242">
        <f>INDEX(MO_CFSum_Capex,0,COLUMN())</f>
        <v/>
      </c>
      <c r="AP67" s="678">
        <f>INDEX(MO_CFSum_Capex,0,COLUMN())</f>
        <v/>
      </c>
      <c r="AQ67" s="678">
        <f>INDEX(MO_CFSum_Capex,0,COLUMN())</f>
        <v/>
      </c>
      <c r="AR67" s="678">
        <f>INDEX(MO_CFSum_Capex,0,COLUMN())</f>
        <v/>
      </c>
      <c r="AS67" s="678">
        <f>INDEX(MO_CFSum_Capex,0,COLUMN())</f>
        <v/>
      </c>
      <c r="AT67" s="1242">
        <f>INDEX(MO_CFSum_Capex,0,COLUMN())</f>
        <v/>
      </c>
      <c r="AU67" s="678">
        <f>INDEX(MO_CFSum_Capex,0,COLUMN())</f>
        <v/>
      </c>
      <c r="AV67" s="678">
        <f>INDEX(MO_CFSum_Capex,0,COLUMN())</f>
        <v/>
      </c>
      <c r="AW67" s="678">
        <f>INDEX(MO_CFSum_Capex,0,COLUMN())</f>
        <v/>
      </c>
      <c r="AX67" s="678">
        <f>INDEX(MO_CFSum_Capex,0,COLUMN())</f>
        <v/>
      </c>
      <c r="AY67" s="1242">
        <f>INDEX(MO_CFSum_Capex,0,COLUMN())</f>
        <v/>
      </c>
      <c r="AZ67" s="678">
        <f>INDEX(MO_CFSum_Capex,0,COLUMN())</f>
        <v/>
      </c>
      <c r="BA67" s="678">
        <f>INDEX(MO_CFSum_Capex,0,COLUMN())</f>
        <v/>
      </c>
      <c r="BB67" s="678">
        <f>INDEX(MO_CFSum_Capex,0,COLUMN())</f>
        <v/>
      </c>
      <c r="BC67" s="678">
        <f>INDEX(MO_CFSum_Capex,0,COLUMN())</f>
        <v/>
      </c>
      <c r="BD67" s="1242">
        <f>INDEX(MO_CFSum_Capex,0,COLUMN())</f>
        <v/>
      </c>
      <c r="BE67" s="678">
        <f>INDEX(MO_CFSum_Capex,0,COLUMN())</f>
        <v/>
      </c>
      <c r="BF67" s="678">
        <f>INDEX(MO_CFSum_Capex,0,COLUMN())</f>
        <v/>
      </c>
      <c r="BG67" s="678">
        <f>INDEX(MO_CFSum_Capex,0,COLUMN())</f>
        <v/>
      </c>
      <c r="BH67" s="678">
        <f>INDEX(MO_CFSum_Capex,0,COLUMN())</f>
        <v/>
      </c>
      <c r="BI67" s="1242">
        <f>INDEX(MO_CFSum_Capex,0,COLUMN())</f>
        <v/>
      </c>
      <c r="BJ67" s="678">
        <f>INDEX(MO_CFSum_Capex,0,COLUMN())</f>
        <v/>
      </c>
      <c r="BK67" s="678">
        <f>INDEX(MO_CFSum_Capex,0,COLUMN())</f>
        <v/>
      </c>
      <c r="BL67" s="678">
        <f>INDEX(MO_CFSum_Capex,0,COLUMN())</f>
        <v/>
      </c>
      <c r="BM67" s="678">
        <f>INDEX(MO_CFSum_Capex,0,COLUMN())</f>
        <v/>
      </c>
      <c r="BN67" s="1242">
        <f>INDEX(MO_CFSum_Capex,0,COLUMN())</f>
        <v/>
      </c>
      <c r="BO67" s="678">
        <f>INDEX(MO_CFSum_Capex,0,COLUMN())</f>
        <v/>
      </c>
      <c r="BP67" s="678">
        <f>INDEX(MO_CFSum_Capex,0,COLUMN())</f>
        <v/>
      </c>
      <c r="BQ67" s="678">
        <f>INDEX(MO_CFSum_Capex,0,COLUMN())</f>
        <v/>
      </c>
      <c r="BR67" s="678">
        <f>INDEX(MO_CFSum_Capex,0,COLUMN())</f>
        <v/>
      </c>
      <c r="BS67" s="1242">
        <f>INDEX(MO_CFSum_Capex,0,COLUMN())</f>
        <v/>
      </c>
      <c r="BT67" s="678">
        <f>INDEX(MO_CFSum_Capex,0,COLUMN())</f>
        <v/>
      </c>
      <c r="BU67" s="678">
        <f>INDEX(MO_CFSum_Capex,0,COLUMN())</f>
        <v/>
      </c>
      <c r="BV67" s="935">
        <f>INDEX(MO_CFSum_Capex,0,COLUMN())</f>
        <v/>
      </c>
      <c r="BW67" s="678">
        <f>INDEX(MO_CFSum_Capex,0,COLUMN())</f>
        <v/>
      </c>
      <c r="BX67" s="1242">
        <f>INDEX(MO_CFSum_Capex,0,COLUMN())</f>
        <v/>
      </c>
      <c r="BY67" s="678">
        <f>INDEX(MO_CFSum_Capex,0,COLUMN())</f>
        <v/>
      </c>
      <c r="BZ67" s="678">
        <f>INDEX(MO_CFSum_Capex,0,COLUMN())</f>
        <v/>
      </c>
      <c r="CA67" s="678">
        <f>INDEX(MO_CFSum_Capex,0,COLUMN())</f>
        <v/>
      </c>
      <c r="CB67" s="678">
        <f>INDEX(MO_CFSum_Capex,0,COLUMN())</f>
        <v/>
      </c>
      <c r="CC67" s="1242">
        <f>INDEX(MO_CFSum_Capex,0,COLUMN())</f>
        <v/>
      </c>
      <c r="CD67" s="1242">
        <f>INDEX(MO_CFSum_Capex,0,COLUMN())</f>
        <v/>
      </c>
      <c r="CE67" s="1242">
        <f>INDEX(MO_CFSum_Capex,0,COLUMN())</f>
        <v/>
      </c>
      <c r="CF67" s="1242">
        <f>INDEX(MO_CFSum_Capex,0,COLUMN())</f>
        <v/>
      </c>
      <c r="CG67" s="678" t="n"/>
    </row>
    <row r="68" customFormat="1" s="973">
      <c r="A68" s="686" t="inlineStr">
        <is>
          <t>Core FCF, Pre Div</t>
        </is>
      </c>
      <c r="B68" s="687" t="n"/>
      <c r="C68" s="1243">
        <f>SUM(C66:C67)</f>
        <v/>
      </c>
      <c r="D68" s="1243">
        <f>SUM(D66:D67)</f>
        <v/>
      </c>
      <c r="E68" s="1243">
        <f>SUM(E66:E67)</f>
        <v/>
      </c>
      <c r="F68" s="1243">
        <f>SUM(F66:F67)</f>
        <v/>
      </c>
      <c r="G68" s="688">
        <f>SUM(G66:G67)</f>
        <v/>
      </c>
      <c r="H68" s="688">
        <f>SUM(H66:H67)</f>
        <v/>
      </c>
      <c r="I68" s="688">
        <f>SUM(I66:I67)</f>
        <v/>
      </c>
      <c r="J68" s="688">
        <f>SUM(J66:J67)</f>
        <v/>
      </c>
      <c r="K68" s="1243">
        <f>SUM(K66:K67)</f>
        <v/>
      </c>
      <c r="L68" s="688">
        <f>SUM(L66:L67)</f>
        <v/>
      </c>
      <c r="M68" s="688">
        <f>SUM(M66:M67)</f>
        <v/>
      </c>
      <c r="N68" s="688">
        <f>SUM(N66:N67)</f>
        <v/>
      </c>
      <c r="O68" s="688">
        <f>SUM(O66:O67)</f>
        <v/>
      </c>
      <c r="P68" s="1243">
        <f>SUM(P66:P67)</f>
        <v/>
      </c>
      <c r="Q68" s="688">
        <f>SUM(Q66:Q67)</f>
        <v/>
      </c>
      <c r="R68" s="688">
        <f>SUM(R66:R67)</f>
        <v/>
      </c>
      <c r="S68" s="688">
        <f>SUM(S66:S67)</f>
        <v/>
      </c>
      <c r="T68" s="688">
        <f>SUM(T66:T67)</f>
        <v/>
      </c>
      <c r="U68" s="1243">
        <f>SUM(U66:U67)</f>
        <v/>
      </c>
      <c r="V68" s="688">
        <f>SUM(V66:V67)</f>
        <v/>
      </c>
      <c r="W68" s="688">
        <f>SUM(W66:W67)</f>
        <v/>
      </c>
      <c r="X68" s="688">
        <f>SUM(X66:X67)</f>
        <v/>
      </c>
      <c r="Y68" s="688">
        <f>SUM(Y66:Y67)</f>
        <v/>
      </c>
      <c r="Z68" s="1243">
        <f>SUM(Z66:Z67)</f>
        <v/>
      </c>
      <c r="AA68" s="688">
        <f>SUM(AA66:AA67)</f>
        <v/>
      </c>
      <c r="AB68" s="688">
        <f>SUM(AB66:AB67)</f>
        <v/>
      </c>
      <c r="AC68" s="688">
        <f>SUM(AC66:AC67)</f>
        <v/>
      </c>
      <c r="AD68" s="688">
        <f>SUM(AD66:AD67)</f>
        <v/>
      </c>
      <c r="AE68" s="1243">
        <f>SUM(AE66:AE67)</f>
        <v/>
      </c>
      <c r="AF68" s="688">
        <f>SUM(AF66:AF67)</f>
        <v/>
      </c>
      <c r="AG68" s="688">
        <f>SUM(AG66:AG67)</f>
        <v/>
      </c>
      <c r="AH68" s="688">
        <f>SUM(AH66:AH67)</f>
        <v/>
      </c>
      <c r="AI68" s="688">
        <f>SUM(AI66:AI67)</f>
        <v/>
      </c>
      <c r="AJ68" s="1243">
        <f>SUM(AJ66:AJ67)</f>
        <v/>
      </c>
      <c r="AK68" s="688">
        <f>SUM(AK66:AK67)</f>
        <v/>
      </c>
      <c r="AL68" s="688">
        <f>SUM(AL66:AL67)</f>
        <v/>
      </c>
      <c r="AM68" s="688">
        <f>SUM(AM66:AM67)</f>
        <v/>
      </c>
      <c r="AN68" s="688">
        <f>SUM(AN66:AN67)</f>
        <v/>
      </c>
      <c r="AO68" s="1243">
        <f>SUM(AO66:AO67)</f>
        <v/>
      </c>
      <c r="AP68" s="688">
        <f>SUM(AP66:AP67)</f>
        <v/>
      </c>
      <c r="AQ68" s="688">
        <f>SUM(AQ66:AQ67)</f>
        <v/>
      </c>
      <c r="AR68" s="688">
        <f>SUM(AR66:AR67)</f>
        <v/>
      </c>
      <c r="AS68" s="688">
        <f>SUM(AS66:AS67)</f>
        <v/>
      </c>
      <c r="AT68" s="1243">
        <f>SUM(AT66:AT67)</f>
        <v/>
      </c>
      <c r="AU68" s="688">
        <f>SUM(AU66:AU67)</f>
        <v/>
      </c>
      <c r="AV68" s="688">
        <f>SUM(AV66:AV67)</f>
        <v/>
      </c>
      <c r="AW68" s="688">
        <f>SUM(AW66:AW67)</f>
        <v/>
      </c>
      <c r="AX68" s="688">
        <f>SUM(AX66:AX67)</f>
        <v/>
      </c>
      <c r="AY68" s="1243">
        <f>SUM(AY66:AY67)</f>
        <v/>
      </c>
      <c r="AZ68" s="688">
        <f>SUM(AZ66:AZ67)</f>
        <v/>
      </c>
      <c r="BA68" s="688">
        <f>SUM(BA66:BA67)</f>
        <v/>
      </c>
      <c r="BB68" s="688">
        <f>SUM(BB66:BB67)</f>
        <v/>
      </c>
      <c r="BC68" s="688">
        <f>SUM(BC66:BC67)</f>
        <v/>
      </c>
      <c r="BD68" s="1243">
        <f>SUM(BD66:BD67)</f>
        <v/>
      </c>
      <c r="BE68" s="688">
        <f>SUM(BE66:BE67)</f>
        <v/>
      </c>
      <c r="BF68" s="688">
        <f>SUM(BF66:BF67)</f>
        <v/>
      </c>
      <c r="BG68" s="688">
        <f>SUM(BG66:BG67)</f>
        <v/>
      </c>
      <c r="BH68" s="688">
        <f>SUM(BH66:BH67)</f>
        <v/>
      </c>
      <c r="BI68" s="1243">
        <f>SUM(BI66:BI67)</f>
        <v/>
      </c>
      <c r="BJ68" s="688">
        <f>SUM(BJ66:BJ67)</f>
        <v/>
      </c>
      <c r="BK68" s="688">
        <f>SUM(BK66:BK67)</f>
        <v/>
      </c>
      <c r="BL68" s="688">
        <f>SUM(BL66:BL67)</f>
        <v/>
      </c>
      <c r="BM68" s="688">
        <f>SUM(BM66:BM67)</f>
        <v/>
      </c>
      <c r="BN68" s="1243">
        <f>SUM(BN66:BN67)</f>
        <v/>
      </c>
      <c r="BO68" s="688">
        <f>SUM(BO66:BO67)</f>
        <v/>
      </c>
      <c r="BP68" s="688">
        <f>SUM(BP66:BP67)</f>
        <v/>
      </c>
      <c r="BQ68" s="688">
        <f>SUM(BQ66:BQ67)</f>
        <v/>
      </c>
      <c r="BR68" s="688">
        <f>SUM(BR66:BR67)</f>
        <v/>
      </c>
      <c r="BS68" s="1243">
        <f>SUM(BS66:BS67)</f>
        <v/>
      </c>
      <c r="BT68" s="688">
        <f>SUM(BT66:BT67)</f>
        <v/>
      </c>
      <c r="BU68" s="688">
        <f>SUM(BU66:BU67)</f>
        <v/>
      </c>
      <c r="BV68" s="945">
        <f>SUM(BV66:BV67)</f>
        <v/>
      </c>
      <c r="BW68" s="688">
        <f>SUM(BW66:BW67)</f>
        <v/>
      </c>
      <c r="BX68" s="1243">
        <f>SUM(BX66:BX67)</f>
        <v/>
      </c>
      <c r="BY68" s="688">
        <f>SUM(BY66:BY67)</f>
        <v/>
      </c>
      <c r="BZ68" s="688">
        <f>SUM(BZ66:BZ67)</f>
        <v/>
      </c>
      <c r="CA68" s="688">
        <f>SUM(CA66:CA67)</f>
        <v/>
      </c>
      <c r="CB68" s="688">
        <f>SUM(CB66:CB67)</f>
        <v/>
      </c>
      <c r="CC68" s="1243">
        <f>SUM(CC66:CC67)</f>
        <v/>
      </c>
      <c r="CD68" s="1243">
        <f>SUM(CD66:CD67)</f>
        <v/>
      </c>
      <c r="CE68" s="1243">
        <f>SUM(CE66:CE67)</f>
        <v/>
      </c>
      <c r="CF68" s="1243">
        <f>SUM(CF66:CF67)</f>
        <v/>
      </c>
      <c r="CG68" s="574" t="n"/>
    </row>
    <row r="69" customFormat="1" s="974">
      <c r="A69" s="676">
        <f>INDEX(MO_CFSum_Dividend,0,COLUMN())</f>
        <v/>
      </c>
      <c r="B69" s="685" t="n"/>
      <c r="C69" s="1242">
        <f>INDEX(MO_CFSum_Dividend,0,COLUMN())</f>
        <v/>
      </c>
      <c r="D69" s="1242">
        <f>INDEX(MO_CFSum_Dividend,0,COLUMN())</f>
        <v/>
      </c>
      <c r="E69" s="1242">
        <f>INDEX(MO_CFSum_Dividend,0,COLUMN())</f>
        <v/>
      </c>
      <c r="F69" s="1242">
        <f>INDEX(MO_CFSum_Dividend,0,COLUMN())</f>
        <v/>
      </c>
      <c r="G69" s="678">
        <f>INDEX(MO_CFSum_Dividend,0,COLUMN())</f>
        <v/>
      </c>
      <c r="H69" s="678">
        <f>INDEX(MO_CFSum_Dividend,0,COLUMN())</f>
        <v/>
      </c>
      <c r="I69" s="678">
        <f>INDEX(MO_CFSum_Dividend,0,COLUMN())</f>
        <v/>
      </c>
      <c r="J69" s="678">
        <f>INDEX(MO_CFSum_Dividend,0,COLUMN())</f>
        <v/>
      </c>
      <c r="K69" s="1242">
        <f>INDEX(MO_CFSum_Dividend,0,COLUMN())</f>
        <v/>
      </c>
      <c r="L69" s="678">
        <f>INDEX(MO_CFSum_Dividend,0,COLUMN())</f>
        <v/>
      </c>
      <c r="M69" s="678">
        <f>INDEX(MO_CFSum_Dividend,0,COLUMN())</f>
        <v/>
      </c>
      <c r="N69" s="678">
        <f>INDEX(MO_CFSum_Dividend,0,COLUMN())</f>
        <v/>
      </c>
      <c r="O69" s="678">
        <f>INDEX(MO_CFSum_Dividend,0,COLUMN())</f>
        <v/>
      </c>
      <c r="P69" s="1242">
        <f>INDEX(MO_CFSum_Dividend,0,COLUMN())</f>
        <v/>
      </c>
      <c r="Q69" s="678">
        <f>INDEX(MO_CFSum_Dividend,0,COLUMN())</f>
        <v/>
      </c>
      <c r="R69" s="678">
        <f>INDEX(MO_CFSum_Dividend,0,COLUMN())</f>
        <v/>
      </c>
      <c r="S69" s="678">
        <f>INDEX(MO_CFSum_Dividend,0,COLUMN())</f>
        <v/>
      </c>
      <c r="T69" s="678">
        <f>INDEX(MO_CFSum_Dividend,0,COLUMN())</f>
        <v/>
      </c>
      <c r="U69" s="1242">
        <f>INDEX(MO_CFSum_Dividend,0,COLUMN())</f>
        <v/>
      </c>
      <c r="V69" s="678">
        <f>INDEX(MO_CFSum_Dividend,0,COLUMN())</f>
        <v/>
      </c>
      <c r="W69" s="678">
        <f>INDEX(MO_CFSum_Dividend,0,COLUMN())</f>
        <v/>
      </c>
      <c r="X69" s="678">
        <f>INDEX(MO_CFSum_Dividend,0,COLUMN())</f>
        <v/>
      </c>
      <c r="Y69" s="678">
        <f>INDEX(MO_CFSum_Dividend,0,COLUMN())</f>
        <v/>
      </c>
      <c r="Z69" s="1242">
        <f>INDEX(MO_CFSum_Dividend,0,COLUMN())</f>
        <v/>
      </c>
      <c r="AA69" s="678">
        <f>INDEX(MO_CFSum_Dividend,0,COLUMN())</f>
        <v/>
      </c>
      <c r="AB69" s="678">
        <f>INDEX(MO_CFSum_Dividend,0,COLUMN())</f>
        <v/>
      </c>
      <c r="AC69" s="678">
        <f>INDEX(MO_CFSum_Dividend,0,COLUMN())</f>
        <v/>
      </c>
      <c r="AD69" s="678">
        <f>INDEX(MO_CFSum_Dividend,0,COLUMN())</f>
        <v/>
      </c>
      <c r="AE69" s="1242">
        <f>INDEX(MO_CFSum_Dividend,0,COLUMN())</f>
        <v/>
      </c>
      <c r="AF69" s="678">
        <f>INDEX(MO_CFSum_Dividend,0,COLUMN())</f>
        <v/>
      </c>
      <c r="AG69" s="678">
        <f>INDEX(MO_CFSum_Dividend,0,COLUMN())</f>
        <v/>
      </c>
      <c r="AH69" s="678">
        <f>INDEX(MO_CFSum_Dividend,0,COLUMN())</f>
        <v/>
      </c>
      <c r="AI69" s="678">
        <f>INDEX(MO_CFSum_Dividend,0,COLUMN())</f>
        <v/>
      </c>
      <c r="AJ69" s="1242">
        <f>INDEX(MO_CFSum_Dividend,0,COLUMN())</f>
        <v/>
      </c>
      <c r="AK69" s="678">
        <f>INDEX(MO_CFSum_Dividend,0,COLUMN())</f>
        <v/>
      </c>
      <c r="AL69" s="678">
        <f>INDEX(MO_CFSum_Dividend,0,COLUMN())</f>
        <v/>
      </c>
      <c r="AM69" s="678">
        <f>INDEX(MO_CFSum_Dividend,0,COLUMN())</f>
        <v/>
      </c>
      <c r="AN69" s="678">
        <f>INDEX(MO_CFSum_Dividend,0,COLUMN())</f>
        <v/>
      </c>
      <c r="AO69" s="1242">
        <f>INDEX(MO_CFSum_Dividend,0,COLUMN())</f>
        <v/>
      </c>
      <c r="AP69" s="678">
        <f>INDEX(MO_CFSum_Dividend,0,COLUMN())</f>
        <v/>
      </c>
      <c r="AQ69" s="678">
        <f>INDEX(MO_CFSum_Dividend,0,COLUMN())</f>
        <v/>
      </c>
      <c r="AR69" s="678">
        <f>INDEX(MO_CFSum_Dividend,0,COLUMN())</f>
        <v/>
      </c>
      <c r="AS69" s="678">
        <f>INDEX(MO_CFSum_Dividend,0,COLUMN())</f>
        <v/>
      </c>
      <c r="AT69" s="1242">
        <f>INDEX(MO_CFSum_Dividend,0,COLUMN())</f>
        <v/>
      </c>
      <c r="AU69" s="678">
        <f>INDEX(MO_CFSum_Dividend,0,COLUMN())</f>
        <v/>
      </c>
      <c r="AV69" s="678">
        <f>INDEX(MO_CFSum_Dividend,0,COLUMN())</f>
        <v/>
      </c>
      <c r="AW69" s="678">
        <f>INDEX(MO_CFSum_Dividend,0,COLUMN())</f>
        <v/>
      </c>
      <c r="AX69" s="678">
        <f>INDEX(MO_CFSum_Dividend,0,COLUMN())</f>
        <v/>
      </c>
      <c r="AY69" s="1242">
        <f>INDEX(MO_CFSum_Dividend,0,COLUMN())</f>
        <v/>
      </c>
      <c r="AZ69" s="678">
        <f>INDEX(MO_CFSum_Dividend,0,COLUMN())</f>
        <v/>
      </c>
      <c r="BA69" s="678">
        <f>INDEX(MO_CFSum_Dividend,0,COLUMN())</f>
        <v/>
      </c>
      <c r="BB69" s="678">
        <f>INDEX(MO_CFSum_Dividend,0,COLUMN())</f>
        <v/>
      </c>
      <c r="BC69" s="678">
        <f>INDEX(MO_CFSum_Dividend,0,COLUMN())</f>
        <v/>
      </c>
      <c r="BD69" s="1242">
        <f>INDEX(MO_CFSum_Dividend,0,COLUMN())</f>
        <v/>
      </c>
      <c r="BE69" s="678">
        <f>INDEX(MO_CFSum_Dividend,0,COLUMN())</f>
        <v/>
      </c>
      <c r="BF69" s="678">
        <f>INDEX(MO_CFSum_Dividend,0,COLUMN())</f>
        <v/>
      </c>
      <c r="BG69" s="678">
        <f>INDEX(MO_CFSum_Dividend,0,COLUMN())</f>
        <v/>
      </c>
      <c r="BH69" s="678">
        <f>INDEX(MO_CFSum_Dividend,0,COLUMN())</f>
        <v/>
      </c>
      <c r="BI69" s="1242">
        <f>INDEX(MO_CFSum_Dividend,0,COLUMN())</f>
        <v/>
      </c>
      <c r="BJ69" s="678">
        <f>INDEX(MO_CFSum_Dividend,0,COLUMN())</f>
        <v/>
      </c>
      <c r="BK69" s="678">
        <f>INDEX(MO_CFSum_Dividend,0,COLUMN())</f>
        <v/>
      </c>
      <c r="BL69" s="678">
        <f>INDEX(MO_CFSum_Dividend,0,COLUMN())</f>
        <v/>
      </c>
      <c r="BM69" s="678">
        <f>INDEX(MO_CFSum_Dividend,0,COLUMN())</f>
        <v/>
      </c>
      <c r="BN69" s="1242">
        <f>INDEX(MO_CFSum_Dividend,0,COLUMN())</f>
        <v/>
      </c>
      <c r="BO69" s="678">
        <f>INDEX(MO_CFSum_Dividend,0,COLUMN())</f>
        <v/>
      </c>
      <c r="BP69" s="678">
        <f>INDEX(MO_CFSum_Dividend,0,COLUMN())</f>
        <v/>
      </c>
      <c r="BQ69" s="678">
        <f>INDEX(MO_CFSum_Dividend,0,COLUMN())</f>
        <v/>
      </c>
      <c r="BR69" s="678">
        <f>INDEX(MO_CFSum_Dividend,0,COLUMN())</f>
        <v/>
      </c>
      <c r="BS69" s="1242">
        <f>INDEX(MO_CFSum_Dividend,0,COLUMN())</f>
        <v/>
      </c>
      <c r="BT69" s="678">
        <f>INDEX(MO_CFSum_Dividend,0,COLUMN())</f>
        <v/>
      </c>
      <c r="BU69" s="678">
        <f>INDEX(MO_CFSum_Dividend,0,COLUMN())</f>
        <v/>
      </c>
      <c r="BV69" s="935">
        <f>INDEX(MO_CFSum_Dividend,0,COLUMN())</f>
        <v/>
      </c>
      <c r="BW69" s="678">
        <f>INDEX(MO_CFSum_Dividend,0,COLUMN())</f>
        <v/>
      </c>
      <c r="BX69" s="1242">
        <f>INDEX(MO_CFSum_Dividend,0,COLUMN())</f>
        <v/>
      </c>
      <c r="BY69" s="678">
        <f>INDEX(MO_CFSum_Dividend,0,COLUMN())</f>
        <v/>
      </c>
      <c r="BZ69" s="678">
        <f>INDEX(MO_CFSum_Dividend,0,COLUMN())</f>
        <v/>
      </c>
      <c r="CA69" s="678">
        <f>INDEX(MO_CFSum_Dividend,0,COLUMN())</f>
        <v/>
      </c>
      <c r="CB69" s="678">
        <f>INDEX(MO_CFSum_Dividend,0,COLUMN())</f>
        <v/>
      </c>
      <c r="CC69" s="1242">
        <f>INDEX(MO_CFSum_Dividend,0,COLUMN())</f>
        <v/>
      </c>
      <c r="CD69" s="1242">
        <f>INDEX(MO_CFSum_Dividend,0,COLUMN())</f>
        <v/>
      </c>
      <c r="CE69" s="1242">
        <f>INDEX(MO_CFSum_Dividend,0,COLUMN())</f>
        <v/>
      </c>
      <c r="CF69" s="1242">
        <f>INDEX(MO_CFSum_Dividend,0,COLUMN())</f>
        <v/>
      </c>
      <c r="CG69" s="678" t="n"/>
    </row>
    <row r="70" customFormat="1" s="973">
      <c r="A70" s="686" t="inlineStr">
        <is>
          <t>Core FCF, Post Div</t>
        </is>
      </c>
      <c r="B70" s="687" t="n"/>
      <c r="C70" s="1243">
        <f>SUM(C68:C69)</f>
        <v/>
      </c>
      <c r="D70" s="1243">
        <f>SUM(D68:D69)</f>
        <v/>
      </c>
      <c r="E70" s="1243">
        <f>SUM(E68:E69)</f>
        <v/>
      </c>
      <c r="F70" s="1243">
        <f>SUM(F68:F69)</f>
        <v/>
      </c>
      <c r="G70" s="688">
        <f>SUM(G68:G69)</f>
        <v/>
      </c>
      <c r="H70" s="688">
        <f>SUM(H68:H69)</f>
        <v/>
      </c>
      <c r="I70" s="688">
        <f>SUM(I68:I69)</f>
        <v/>
      </c>
      <c r="J70" s="688">
        <f>SUM(J68:J69)</f>
        <v/>
      </c>
      <c r="K70" s="1243">
        <f>SUM(K68:K69)</f>
        <v/>
      </c>
      <c r="L70" s="688">
        <f>SUM(L68:L69)</f>
        <v/>
      </c>
      <c r="M70" s="688">
        <f>SUM(M68:M69)</f>
        <v/>
      </c>
      <c r="N70" s="688">
        <f>SUM(N68:N69)</f>
        <v/>
      </c>
      <c r="O70" s="688">
        <f>SUM(O68:O69)</f>
        <v/>
      </c>
      <c r="P70" s="1243">
        <f>SUM(P68:P69)</f>
        <v/>
      </c>
      <c r="Q70" s="688">
        <f>SUM(Q68:Q69)</f>
        <v/>
      </c>
      <c r="R70" s="688">
        <f>SUM(R68:R69)</f>
        <v/>
      </c>
      <c r="S70" s="688">
        <f>SUM(S68:S69)</f>
        <v/>
      </c>
      <c r="T70" s="688">
        <f>SUM(T68:T69)</f>
        <v/>
      </c>
      <c r="U70" s="1243">
        <f>SUM(U68:U69)</f>
        <v/>
      </c>
      <c r="V70" s="688">
        <f>SUM(V68:V69)</f>
        <v/>
      </c>
      <c r="W70" s="688">
        <f>SUM(W68:W69)</f>
        <v/>
      </c>
      <c r="X70" s="688">
        <f>SUM(X68:X69)</f>
        <v/>
      </c>
      <c r="Y70" s="688">
        <f>SUM(Y68:Y69)</f>
        <v/>
      </c>
      <c r="Z70" s="1243">
        <f>SUM(Z68:Z69)</f>
        <v/>
      </c>
      <c r="AA70" s="688">
        <f>SUM(AA68:AA69)</f>
        <v/>
      </c>
      <c r="AB70" s="688">
        <f>SUM(AB68:AB69)</f>
        <v/>
      </c>
      <c r="AC70" s="688">
        <f>SUM(AC68:AC69)</f>
        <v/>
      </c>
      <c r="AD70" s="688">
        <f>SUM(AD68:AD69)</f>
        <v/>
      </c>
      <c r="AE70" s="1243">
        <f>SUM(AE68:AE69)</f>
        <v/>
      </c>
      <c r="AF70" s="688">
        <f>SUM(AF68:AF69)</f>
        <v/>
      </c>
      <c r="AG70" s="688">
        <f>SUM(AG68:AG69)</f>
        <v/>
      </c>
      <c r="AH70" s="688">
        <f>SUM(AH68:AH69)</f>
        <v/>
      </c>
      <c r="AI70" s="688">
        <f>SUM(AI68:AI69)</f>
        <v/>
      </c>
      <c r="AJ70" s="1243">
        <f>SUM(AJ68:AJ69)</f>
        <v/>
      </c>
      <c r="AK70" s="688">
        <f>SUM(AK68:AK69)</f>
        <v/>
      </c>
      <c r="AL70" s="688">
        <f>SUM(AL68:AL69)</f>
        <v/>
      </c>
      <c r="AM70" s="688">
        <f>SUM(AM68:AM69)</f>
        <v/>
      </c>
      <c r="AN70" s="688">
        <f>SUM(AN68:AN69)</f>
        <v/>
      </c>
      <c r="AO70" s="1243">
        <f>SUM(AO68:AO69)</f>
        <v/>
      </c>
      <c r="AP70" s="688">
        <f>SUM(AP68:AP69)</f>
        <v/>
      </c>
      <c r="AQ70" s="688">
        <f>SUM(AQ68:AQ69)</f>
        <v/>
      </c>
      <c r="AR70" s="688">
        <f>SUM(AR68:AR69)</f>
        <v/>
      </c>
      <c r="AS70" s="688">
        <f>SUM(AS68:AS69)</f>
        <v/>
      </c>
      <c r="AT70" s="1243">
        <f>SUM(AT68:AT69)</f>
        <v/>
      </c>
      <c r="AU70" s="688">
        <f>SUM(AU68:AU69)</f>
        <v/>
      </c>
      <c r="AV70" s="688">
        <f>SUM(AV68:AV69)</f>
        <v/>
      </c>
      <c r="AW70" s="688">
        <f>SUM(AW68:AW69)</f>
        <v/>
      </c>
      <c r="AX70" s="688">
        <f>SUM(AX68:AX69)</f>
        <v/>
      </c>
      <c r="AY70" s="1243">
        <f>SUM(AY68:AY69)</f>
        <v/>
      </c>
      <c r="AZ70" s="688">
        <f>SUM(AZ68:AZ69)</f>
        <v/>
      </c>
      <c r="BA70" s="688">
        <f>SUM(BA68:BA69)</f>
        <v/>
      </c>
      <c r="BB70" s="688">
        <f>SUM(BB68:BB69)</f>
        <v/>
      </c>
      <c r="BC70" s="688">
        <f>SUM(BC68:BC69)</f>
        <v/>
      </c>
      <c r="BD70" s="1243">
        <f>SUM(BD68:BD69)</f>
        <v/>
      </c>
      <c r="BE70" s="688">
        <f>SUM(BE68:BE69)</f>
        <v/>
      </c>
      <c r="BF70" s="688">
        <f>SUM(BF68:BF69)</f>
        <v/>
      </c>
      <c r="BG70" s="688">
        <f>SUM(BG68:BG69)</f>
        <v/>
      </c>
      <c r="BH70" s="688">
        <f>SUM(BH68:BH69)</f>
        <v/>
      </c>
      <c r="BI70" s="1243">
        <f>SUM(BI68:BI69)</f>
        <v/>
      </c>
      <c r="BJ70" s="688">
        <f>SUM(BJ68:BJ69)</f>
        <v/>
      </c>
      <c r="BK70" s="688">
        <f>SUM(BK68:BK69)</f>
        <v/>
      </c>
      <c r="BL70" s="688">
        <f>SUM(BL68:BL69)</f>
        <v/>
      </c>
      <c r="BM70" s="688">
        <f>SUM(BM68:BM69)</f>
        <v/>
      </c>
      <c r="BN70" s="1243">
        <f>SUM(BN68:BN69)</f>
        <v/>
      </c>
      <c r="BO70" s="688">
        <f>SUM(BO68:BO69)</f>
        <v/>
      </c>
      <c r="BP70" s="688">
        <f>SUM(BP68:BP69)</f>
        <v/>
      </c>
      <c r="BQ70" s="688">
        <f>SUM(BQ68:BQ69)</f>
        <v/>
      </c>
      <c r="BR70" s="688">
        <f>SUM(BR68:BR69)</f>
        <v/>
      </c>
      <c r="BS70" s="1243">
        <f>SUM(BS68:BS69)</f>
        <v/>
      </c>
      <c r="BT70" s="688">
        <f>SUM(BT68:BT69)</f>
        <v/>
      </c>
      <c r="BU70" s="688">
        <f>SUM(BU68:BU69)</f>
        <v/>
      </c>
      <c r="BV70" s="945">
        <f>SUM(BV68:BV69)</f>
        <v/>
      </c>
      <c r="BW70" s="688">
        <f>SUM(BW68:BW69)</f>
        <v/>
      </c>
      <c r="BX70" s="1243">
        <f>SUM(BX68:BX69)</f>
        <v/>
      </c>
      <c r="BY70" s="688">
        <f>SUM(BY68:BY69)</f>
        <v/>
      </c>
      <c r="BZ70" s="688">
        <f>SUM(BZ68:BZ69)</f>
        <v/>
      </c>
      <c r="CA70" s="688">
        <f>SUM(CA68:CA69)</f>
        <v/>
      </c>
      <c r="CB70" s="688">
        <f>SUM(CB68:CB69)</f>
        <v/>
      </c>
      <c r="CC70" s="1243">
        <f>SUM(CC68:CC69)</f>
        <v/>
      </c>
      <c r="CD70" s="1243">
        <f>SUM(CD68:CD69)</f>
        <v/>
      </c>
      <c r="CE70" s="1243">
        <f>SUM(CE68:CE69)</f>
        <v/>
      </c>
      <c r="CF70" s="1243">
        <f>SUM(CF68:CF69)</f>
        <v/>
      </c>
      <c r="CG70" s="574" t="n"/>
    </row>
    <row r="71" customFormat="1" s="974">
      <c r="A71" s="676">
        <f>INDEX(MO_CFSum_Acquisition,0,COLUMN())</f>
        <v/>
      </c>
      <c r="B71" s="685" t="n"/>
      <c r="C71" s="1242">
        <f>INDEX(MO_CFSum_Acquisition,0,COLUMN())</f>
        <v/>
      </c>
      <c r="D71" s="1242">
        <f>INDEX(MO_CFSum_Acquisition,0,COLUMN())</f>
        <v/>
      </c>
      <c r="E71" s="1242">
        <f>INDEX(MO_CFSum_Acquisition,0,COLUMN())</f>
        <v/>
      </c>
      <c r="F71" s="1242">
        <f>INDEX(MO_CFSum_Acquisition,0,COLUMN())</f>
        <v/>
      </c>
      <c r="G71" s="678">
        <f>INDEX(MO_CFSum_Acquisition,0,COLUMN())</f>
        <v/>
      </c>
      <c r="H71" s="678">
        <f>INDEX(MO_CFSum_Acquisition,0,COLUMN())</f>
        <v/>
      </c>
      <c r="I71" s="678">
        <f>INDEX(MO_CFSum_Acquisition,0,COLUMN())</f>
        <v/>
      </c>
      <c r="J71" s="678">
        <f>INDEX(MO_CFSum_Acquisition,0,COLUMN())</f>
        <v/>
      </c>
      <c r="K71" s="1242">
        <f>INDEX(MO_CFSum_Acquisition,0,COLUMN())</f>
        <v/>
      </c>
      <c r="L71" s="678">
        <f>INDEX(MO_CFSum_Acquisition,0,COLUMN())</f>
        <v/>
      </c>
      <c r="M71" s="678">
        <f>INDEX(MO_CFSum_Acquisition,0,COLUMN())</f>
        <v/>
      </c>
      <c r="N71" s="678">
        <f>INDEX(MO_CFSum_Acquisition,0,COLUMN())</f>
        <v/>
      </c>
      <c r="O71" s="678">
        <f>INDEX(MO_CFSum_Acquisition,0,COLUMN())</f>
        <v/>
      </c>
      <c r="P71" s="1242">
        <f>INDEX(MO_CFSum_Acquisition,0,COLUMN())</f>
        <v/>
      </c>
      <c r="Q71" s="678">
        <f>INDEX(MO_CFSum_Acquisition,0,COLUMN())</f>
        <v/>
      </c>
      <c r="R71" s="678">
        <f>INDEX(MO_CFSum_Acquisition,0,COLUMN())</f>
        <v/>
      </c>
      <c r="S71" s="678">
        <f>INDEX(MO_CFSum_Acquisition,0,COLUMN())</f>
        <v/>
      </c>
      <c r="T71" s="678">
        <f>INDEX(MO_CFSum_Acquisition,0,COLUMN())</f>
        <v/>
      </c>
      <c r="U71" s="1242">
        <f>INDEX(MO_CFSum_Acquisition,0,COLUMN())</f>
        <v/>
      </c>
      <c r="V71" s="678">
        <f>INDEX(MO_CFSum_Acquisition,0,COLUMN())</f>
        <v/>
      </c>
      <c r="W71" s="678">
        <f>INDEX(MO_CFSum_Acquisition,0,COLUMN())</f>
        <v/>
      </c>
      <c r="X71" s="678">
        <f>INDEX(MO_CFSum_Acquisition,0,COLUMN())</f>
        <v/>
      </c>
      <c r="Y71" s="678">
        <f>INDEX(MO_CFSum_Acquisition,0,COLUMN())</f>
        <v/>
      </c>
      <c r="Z71" s="1242">
        <f>INDEX(MO_CFSum_Acquisition,0,COLUMN())</f>
        <v/>
      </c>
      <c r="AA71" s="678">
        <f>INDEX(MO_CFSum_Acquisition,0,COLUMN())</f>
        <v/>
      </c>
      <c r="AB71" s="678">
        <f>INDEX(MO_CFSum_Acquisition,0,COLUMN())</f>
        <v/>
      </c>
      <c r="AC71" s="678">
        <f>INDEX(MO_CFSum_Acquisition,0,COLUMN())</f>
        <v/>
      </c>
      <c r="AD71" s="678">
        <f>INDEX(MO_CFSum_Acquisition,0,COLUMN())</f>
        <v/>
      </c>
      <c r="AE71" s="1242">
        <f>INDEX(MO_CFSum_Acquisition,0,COLUMN())</f>
        <v/>
      </c>
      <c r="AF71" s="678">
        <f>INDEX(MO_CFSum_Acquisition,0,COLUMN())</f>
        <v/>
      </c>
      <c r="AG71" s="678">
        <f>INDEX(MO_CFSum_Acquisition,0,COLUMN())</f>
        <v/>
      </c>
      <c r="AH71" s="678">
        <f>INDEX(MO_CFSum_Acquisition,0,COLUMN())</f>
        <v/>
      </c>
      <c r="AI71" s="678">
        <f>INDEX(MO_CFSum_Acquisition,0,COLUMN())</f>
        <v/>
      </c>
      <c r="AJ71" s="1242">
        <f>INDEX(MO_CFSum_Acquisition,0,COLUMN())</f>
        <v/>
      </c>
      <c r="AK71" s="678">
        <f>INDEX(MO_CFSum_Acquisition,0,COLUMN())</f>
        <v/>
      </c>
      <c r="AL71" s="678">
        <f>INDEX(MO_CFSum_Acquisition,0,COLUMN())</f>
        <v/>
      </c>
      <c r="AM71" s="678">
        <f>INDEX(MO_CFSum_Acquisition,0,COLUMN())</f>
        <v/>
      </c>
      <c r="AN71" s="678">
        <f>INDEX(MO_CFSum_Acquisition,0,COLUMN())</f>
        <v/>
      </c>
      <c r="AO71" s="1242">
        <f>INDEX(MO_CFSum_Acquisition,0,COLUMN())</f>
        <v/>
      </c>
      <c r="AP71" s="678">
        <f>INDEX(MO_CFSum_Acquisition,0,COLUMN())</f>
        <v/>
      </c>
      <c r="AQ71" s="678">
        <f>INDEX(MO_CFSum_Acquisition,0,COLUMN())</f>
        <v/>
      </c>
      <c r="AR71" s="678">
        <f>INDEX(MO_CFSum_Acquisition,0,COLUMN())</f>
        <v/>
      </c>
      <c r="AS71" s="678">
        <f>INDEX(MO_CFSum_Acquisition,0,COLUMN())</f>
        <v/>
      </c>
      <c r="AT71" s="1242">
        <f>INDEX(MO_CFSum_Acquisition,0,COLUMN())</f>
        <v/>
      </c>
      <c r="AU71" s="678">
        <f>INDEX(MO_CFSum_Acquisition,0,COLUMN())</f>
        <v/>
      </c>
      <c r="AV71" s="678">
        <f>INDEX(MO_CFSum_Acquisition,0,COLUMN())</f>
        <v/>
      </c>
      <c r="AW71" s="678">
        <f>INDEX(MO_CFSum_Acquisition,0,COLUMN())</f>
        <v/>
      </c>
      <c r="AX71" s="678">
        <f>INDEX(MO_CFSum_Acquisition,0,COLUMN())</f>
        <v/>
      </c>
      <c r="AY71" s="1242">
        <f>INDEX(MO_CFSum_Acquisition,0,COLUMN())</f>
        <v/>
      </c>
      <c r="AZ71" s="678">
        <f>INDEX(MO_CFSum_Acquisition,0,COLUMN())</f>
        <v/>
      </c>
      <c r="BA71" s="678">
        <f>INDEX(MO_CFSum_Acquisition,0,COLUMN())</f>
        <v/>
      </c>
      <c r="BB71" s="678">
        <f>INDEX(MO_CFSum_Acquisition,0,COLUMN())</f>
        <v/>
      </c>
      <c r="BC71" s="678">
        <f>INDEX(MO_CFSum_Acquisition,0,COLUMN())</f>
        <v/>
      </c>
      <c r="BD71" s="1242">
        <f>INDEX(MO_CFSum_Acquisition,0,COLUMN())</f>
        <v/>
      </c>
      <c r="BE71" s="678">
        <f>INDEX(MO_CFSum_Acquisition,0,COLUMN())</f>
        <v/>
      </c>
      <c r="BF71" s="678">
        <f>INDEX(MO_CFSum_Acquisition,0,COLUMN())</f>
        <v/>
      </c>
      <c r="BG71" s="678">
        <f>INDEX(MO_CFSum_Acquisition,0,COLUMN())</f>
        <v/>
      </c>
      <c r="BH71" s="678">
        <f>INDEX(MO_CFSum_Acquisition,0,COLUMN())</f>
        <v/>
      </c>
      <c r="BI71" s="1242">
        <f>INDEX(MO_CFSum_Acquisition,0,COLUMN())</f>
        <v/>
      </c>
      <c r="BJ71" s="678">
        <f>INDEX(MO_CFSum_Acquisition,0,COLUMN())</f>
        <v/>
      </c>
      <c r="BK71" s="678">
        <f>INDEX(MO_CFSum_Acquisition,0,COLUMN())</f>
        <v/>
      </c>
      <c r="BL71" s="678">
        <f>INDEX(MO_CFSum_Acquisition,0,COLUMN())</f>
        <v/>
      </c>
      <c r="BM71" s="678">
        <f>INDEX(MO_CFSum_Acquisition,0,COLUMN())</f>
        <v/>
      </c>
      <c r="BN71" s="1242">
        <f>INDEX(MO_CFSum_Acquisition,0,COLUMN())</f>
        <v/>
      </c>
      <c r="BO71" s="678">
        <f>INDEX(MO_CFSum_Acquisition,0,COLUMN())</f>
        <v/>
      </c>
      <c r="BP71" s="678">
        <f>INDEX(MO_CFSum_Acquisition,0,COLUMN())</f>
        <v/>
      </c>
      <c r="BQ71" s="678">
        <f>INDEX(MO_CFSum_Acquisition,0,COLUMN())</f>
        <v/>
      </c>
      <c r="BR71" s="678">
        <f>INDEX(MO_CFSum_Acquisition,0,COLUMN())</f>
        <v/>
      </c>
      <c r="BS71" s="1242">
        <f>INDEX(MO_CFSum_Acquisition,0,COLUMN())</f>
        <v/>
      </c>
      <c r="BT71" s="678">
        <f>INDEX(MO_CFSum_Acquisition,0,COLUMN())</f>
        <v/>
      </c>
      <c r="BU71" s="678">
        <f>INDEX(MO_CFSum_Acquisition,0,COLUMN())</f>
        <v/>
      </c>
      <c r="BV71" s="935">
        <f>INDEX(MO_CFSum_Acquisition,0,COLUMN())</f>
        <v/>
      </c>
      <c r="BW71" s="678">
        <f>INDEX(MO_CFSum_Acquisition,0,COLUMN())</f>
        <v/>
      </c>
      <c r="BX71" s="1242">
        <f>INDEX(MO_CFSum_Acquisition,0,COLUMN())</f>
        <v/>
      </c>
      <c r="BY71" s="678">
        <f>INDEX(MO_CFSum_Acquisition,0,COLUMN())</f>
        <v/>
      </c>
      <c r="BZ71" s="678">
        <f>INDEX(MO_CFSum_Acquisition,0,COLUMN())</f>
        <v/>
      </c>
      <c r="CA71" s="678">
        <f>INDEX(MO_CFSum_Acquisition,0,COLUMN())</f>
        <v/>
      </c>
      <c r="CB71" s="678">
        <f>INDEX(MO_CFSum_Acquisition,0,COLUMN())</f>
        <v/>
      </c>
      <c r="CC71" s="1242">
        <f>INDEX(MO_CFSum_Acquisition,0,COLUMN())</f>
        <v/>
      </c>
      <c r="CD71" s="1242">
        <f>INDEX(MO_CFSum_Acquisition,0,COLUMN())</f>
        <v/>
      </c>
      <c r="CE71" s="1242">
        <f>INDEX(MO_CFSum_Acquisition,0,COLUMN())</f>
        <v/>
      </c>
      <c r="CF71" s="1242">
        <f>INDEX(MO_CFSum_Acquisition,0,COLUMN())</f>
        <v/>
      </c>
      <c r="CG71" s="678" t="n"/>
    </row>
    <row r="72" customFormat="1" s="974">
      <c r="A72" s="676">
        <f>INDEX(MO_CFSum_Divestiture,0,COLUMN())</f>
        <v/>
      </c>
      <c r="B72" s="685" t="n"/>
      <c r="C72" s="1242">
        <f>INDEX(MO_CFSum_Divestiture,0,COLUMN())</f>
        <v/>
      </c>
      <c r="D72" s="1242">
        <f>INDEX(MO_CFSum_Divestiture,0,COLUMN())</f>
        <v/>
      </c>
      <c r="E72" s="1242">
        <f>INDEX(MO_CFSum_Divestiture,0,COLUMN())</f>
        <v/>
      </c>
      <c r="F72" s="1242">
        <f>INDEX(MO_CFSum_Divestiture,0,COLUMN())</f>
        <v/>
      </c>
      <c r="G72" s="678">
        <f>INDEX(MO_CFSum_Divestiture,0,COLUMN())</f>
        <v/>
      </c>
      <c r="H72" s="678">
        <f>INDEX(MO_CFSum_Divestiture,0,COLUMN())</f>
        <v/>
      </c>
      <c r="I72" s="678">
        <f>INDEX(MO_CFSum_Divestiture,0,COLUMN())</f>
        <v/>
      </c>
      <c r="J72" s="678">
        <f>INDEX(MO_CFSum_Divestiture,0,COLUMN())</f>
        <v/>
      </c>
      <c r="K72" s="1242">
        <f>INDEX(MO_CFSum_Divestiture,0,COLUMN())</f>
        <v/>
      </c>
      <c r="L72" s="678">
        <f>INDEX(MO_CFSum_Divestiture,0,COLUMN())</f>
        <v/>
      </c>
      <c r="M72" s="678">
        <f>INDEX(MO_CFSum_Divestiture,0,COLUMN())</f>
        <v/>
      </c>
      <c r="N72" s="678">
        <f>INDEX(MO_CFSum_Divestiture,0,COLUMN())</f>
        <v/>
      </c>
      <c r="O72" s="678">
        <f>INDEX(MO_CFSum_Divestiture,0,COLUMN())</f>
        <v/>
      </c>
      <c r="P72" s="1242">
        <f>INDEX(MO_CFSum_Divestiture,0,COLUMN())</f>
        <v/>
      </c>
      <c r="Q72" s="678">
        <f>INDEX(MO_CFSum_Divestiture,0,COLUMN())</f>
        <v/>
      </c>
      <c r="R72" s="678">
        <f>INDEX(MO_CFSum_Divestiture,0,COLUMN())</f>
        <v/>
      </c>
      <c r="S72" s="678">
        <f>INDEX(MO_CFSum_Divestiture,0,COLUMN())</f>
        <v/>
      </c>
      <c r="T72" s="678">
        <f>INDEX(MO_CFSum_Divestiture,0,COLUMN())</f>
        <v/>
      </c>
      <c r="U72" s="1242">
        <f>INDEX(MO_CFSum_Divestiture,0,COLUMN())</f>
        <v/>
      </c>
      <c r="V72" s="678">
        <f>INDEX(MO_CFSum_Divestiture,0,COLUMN())</f>
        <v/>
      </c>
      <c r="W72" s="678">
        <f>INDEX(MO_CFSum_Divestiture,0,COLUMN())</f>
        <v/>
      </c>
      <c r="X72" s="678">
        <f>INDEX(MO_CFSum_Divestiture,0,COLUMN())</f>
        <v/>
      </c>
      <c r="Y72" s="678">
        <f>INDEX(MO_CFSum_Divestiture,0,COLUMN())</f>
        <v/>
      </c>
      <c r="Z72" s="1242">
        <f>INDEX(MO_CFSum_Divestiture,0,COLUMN())</f>
        <v/>
      </c>
      <c r="AA72" s="678">
        <f>INDEX(MO_CFSum_Divestiture,0,COLUMN())</f>
        <v/>
      </c>
      <c r="AB72" s="678">
        <f>INDEX(MO_CFSum_Divestiture,0,COLUMN())</f>
        <v/>
      </c>
      <c r="AC72" s="678">
        <f>INDEX(MO_CFSum_Divestiture,0,COLUMN())</f>
        <v/>
      </c>
      <c r="AD72" s="678">
        <f>INDEX(MO_CFSum_Divestiture,0,COLUMN())</f>
        <v/>
      </c>
      <c r="AE72" s="1242">
        <f>INDEX(MO_CFSum_Divestiture,0,COLUMN())</f>
        <v/>
      </c>
      <c r="AF72" s="678">
        <f>INDEX(MO_CFSum_Divestiture,0,COLUMN())</f>
        <v/>
      </c>
      <c r="AG72" s="678">
        <f>INDEX(MO_CFSum_Divestiture,0,COLUMN())</f>
        <v/>
      </c>
      <c r="AH72" s="678">
        <f>INDEX(MO_CFSum_Divestiture,0,COLUMN())</f>
        <v/>
      </c>
      <c r="AI72" s="678">
        <f>INDEX(MO_CFSum_Divestiture,0,COLUMN())</f>
        <v/>
      </c>
      <c r="AJ72" s="1242">
        <f>INDEX(MO_CFSum_Divestiture,0,COLUMN())</f>
        <v/>
      </c>
      <c r="AK72" s="678">
        <f>INDEX(MO_CFSum_Divestiture,0,COLUMN())</f>
        <v/>
      </c>
      <c r="AL72" s="678">
        <f>INDEX(MO_CFSum_Divestiture,0,COLUMN())</f>
        <v/>
      </c>
      <c r="AM72" s="678">
        <f>INDEX(MO_CFSum_Divestiture,0,COLUMN())</f>
        <v/>
      </c>
      <c r="AN72" s="678">
        <f>INDEX(MO_CFSum_Divestiture,0,COLUMN())</f>
        <v/>
      </c>
      <c r="AO72" s="1242">
        <f>INDEX(MO_CFSum_Divestiture,0,COLUMN())</f>
        <v/>
      </c>
      <c r="AP72" s="678">
        <f>INDEX(MO_CFSum_Divestiture,0,COLUMN())</f>
        <v/>
      </c>
      <c r="AQ72" s="678">
        <f>INDEX(MO_CFSum_Divestiture,0,COLUMN())</f>
        <v/>
      </c>
      <c r="AR72" s="678">
        <f>INDEX(MO_CFSum_Divestiture,0,COLUMN())</f>
        <v/>
      </c>
      <c r="AS72" s="678">
        <f>INDEX(MO_CFSum_Divestiture,0,COLUMN())</f>
        <v/>
      </c>
      <c r="AT72" s="1242">
        <f>INDEX(MO_CFSum_Divestiture,0,COLUMN())</f>
        <v/>
      </c>
      <c r="AU72" s="678">
        <f>INDEX(MO_CFSum_Divestiture,0,COLUMN())</f>
        <v/>
      </c>
      <c r="AV72" s="678">
        <f>INDEX(MO_CFSum_Divestiture,0,COLUMN())</f>
        <v/>
      </c>
      <c r="AW72" s="678">
        <f>INDEX(MO_CFSum_Divestiture,0,COLUMN())</f>
        <v/>
      </c>
      <c r="AX72" s="678">
        <f>INDEX(MO_CFSum_Divestiture,0,COLUMN())</f>
        <v/>
      </c>
      <c r="AY72" s="1242">
        <f>INDEX(MO_CFSum_Divestiture,0,COLUMN())</f>
        <v/>
      </c>
      <c r="AZ72" s="678">
        <f>INDEX(MO_CFSum_Divestiture,0,COLUMN())</f>
        <v/>
      </c>
      <c r="BA72" s="678">
        <f>INDEX(MO_CFSum_Divestiture,0,COLUMN())</f>
        <v/>
      </c>
      <c r="BB72" s="678">
        <f>INDEX(MO_CFSum_Divestiture,0,COLUMN())</f>
        <v/>
      </c>
      <c r="BC72" s="678">
        <f>INDEX(MO_CFSum_Divestiture,0,COLUMN())</f>
        <v/>
      </c>
      <c r="BD72" s="1242">
        <f>INDEX(MO_CFSum_Divestiture,0,COLUMN())</f>
        <v/>
      </c>
      <c r="BE72" s="678">
        <f>INDEX(MO_CFSum_Divestiture,0,COLUMN())</f>
        <v/>
      </c>
      <c r="BF72" s="678">
        <f>INDEX(MO_CFSum_Divestiture,0,COLUMN())</f>
        <v/>
      </c>
      <c r="BG72" s="678">
        <f>INDEX(MO_CFSum_Divestiture,0,COLUMN())</f>
        <v/>
      </c>
      <c r="BH72" s="678">
        <f>INDEX(MO_CFSum_Divestiture,0,COLUMN())</f>
        <v/>
      </c>
      <c r="BI72" s="1242">
        <f>INDEX(MO_CFSum_Divestiture,0,COLUMN())</f>
        <v/>
      </c>
      <c r="BJ72" s="678">
        <f>INDEX(MO_CFSum_Divestiture,0,COLUMN())</f>
        <v/>
      </c>
      <c r="BK72" s="678">
        <f>INDEX(MO_CFSum_Divestiture,0,COLUMN())</f>
        <v/>
      </c>
      <c r="BL72" s="678">
        <f>INDEX(MO_CFSum_Divestiture,0,COLUMN())</f>
        <v/>
      </c>
      <c r="BM72" s="678">
        <f>INDEX(MO_CFSum_Divestiture,0,COLUMN())</f>
        <v/>
      </c>
      <c r="BN72" s="1242">
        <f>INDEX(MO_CFSum_Divestiture,0,COLUMN())</f>
        <v/>
      </c>
      <c r="BO72" s="678">
        <f>INDEX(MO_CFSum_Divestiture,0,COLUMN())</f>
        <v/>
      </c>
      <c r="BP72" s="678">
        <f>INDEX(MO_CFSum_Divestiture,0,COLUMN())</f>
        <v/>
      </c>
      <c r="BQ72" s="678">
        <f>INDEX(MO_CFSum_Divestiture,0,COLUMN())</f>
        <v/>
      </c>
      <c r="BR72" s="678">
        <f>INDEX(MO_CFSum_Divestiture,0,COLUMN())</f>
        <v/>
      </c>
      <c r="BS72" s="1242">
        <f>INDEX(MO_CFSum_Divestiture,0,COLUMN())</f>
        <v/>
      </c>
      <c r="BT72" s="678">
        <f>INDEX(MO_CFSum_Divestiture,0,COLUMN())</f>
        <v/>
      </c>
      <c r="BU72" s="678">
        <f>INDEX(MO_CFSum_Divestiture,0,COLUMN())</f>
        <v/>
      </c>
      <c r="BV72" s="935">
        <f>INDEX(MO_CFSum_Divestiture,0,COLUMN())</f>
        <v/>
      </c>
      <c r="BW72" s="678">
        <f>INDEX(MO_CFSum_Divestiture,0,COLUMN())</f>
        <v/>
      </c>
      <c r="BX72" s="1242">
        <f>INDEX(MO_CFSum_Divestiture,0,COLUMN())</f>
        <v/>
      </c>
      <c r="BY72" s="678">
        <f>INDEX(MO_CFSum_Divestiture,0,COLUMN())</f>
        <v/>
      </c>
      <c r="BZ72" s="678">
        <f>INDEX(MO_CFSum_Divestiture,0,COLUMN())</f>
        <v/>
      </c>
      <c r="CA72" s="678">
        <f>INDEX(MO_CFSum_Divestiture,0,COLUMN())</f>
        <v/>
      </c>
      <c r="CB72" s="678">
        <f>INDEX(MO_CFSum_Divestiture,0,COLUMN())</f>
        <v/>
      </c>
      <c r="CC72" s="1242">
        <f>INDEX(MO_CFSum_Divestiture,0,COLUMN())</f>
        <v/>
      </c>
      <c r="CD72" s="1242">
        <f>INDEX(MO_CFSum_Divestiture,0,COLUMN())</f>
        <v/>
      </c>
      <c r="CE72" s="1242">
        <f>INDEX(MO_CFSum_Divestiture,0,COLUMN())</f>
        <v/>
      </c>
      <c r="CF72" s="1242">
        <f>INDEX(MO_CFSum_Divestiture,0,COLUMN())</f>
        <v/>
      </c>
      <c r="CG72" s="678" t="n"/>
    </row>
    <row r="73" customFormat="1" s="974">
      <c r="A73" s="676" t="inlineStr">
        <is>
          <t>New Equity Issuance</t>
        </is>
      </c>
      <c r="B73" s="685" t="n"/>
      <c r="C73" s="1242">
        <f>INDEX(MO_CFSum_NetShares,0,COLUMN())</f>
        <v/>
      </c>
      <c r="D73" s="1242">
        <f>INDEX(MO_CFSum_NetShares,0,COLUMN())</f>
        <v/>
      </c>
      <c r="E73" s="1242">
        <f>INDEX(MO_CFSum_NetShares,0,COLUMN())</f>
        <v/>
      </c>
      <c r="F73" s="1242">
        <f>INDEX(MO_CFSum_NetShares,0,COLUMN())</f>
        <v/>
      </c>
      <c r="G73" s="678">
        <f>INDEX(MO_CFSum_NetShares,0,COLUMN())</f>
        <v/>
      </c>
      <c r="H73" s="678">
        <f>INDEX(MO_CFSum_NetShares,0,COLUMN())</f>
        <v/>
      </c>
      <c r="I73" s="678">
        <f>INDEX(MO_CFSum_NetShares,0,COLUMN())</f>
        <v/>
      </c>
      <c r="J73" s="678">
        <f>INDEX(MO_CFSum_NetShares,0,COLUMN())</f>
        <v/>
      </c>
      <c r="K73" s="1242">
        <f>INDEX(MO_CFSum_NetShares,0,COLUMN())</f>
        <v/>
      </c>
      <c r="L73" s="678">
        <f>INDEX(MO_CFSum_NetShares,0,COLUMN())</f>
        <v/>
      </c>
      <c r="M73" s="678">
        <f>INDEX(MO_CFSum_NetShares,0,COLUMN())</f>
        <v/>
      </c>
      <c r="N73" s="678">
        <f>INDEX(MO_CFSum_NetShares,0,COLUMN())</f>
        <v/>
      </c>
      <c r="O73" s="678">
        <f>INDEX(MO_CFSum_NetShares,0,COLUMN())</f>
        <v/>
      </c>
      <c r="P73" s="1242">
        <f>INDEX(MO_CFSum_NetShares,0,COLUMN())</f>
        <v/>
      </c>
      <c r="Q73" s="678">
        <f>INDEX(MO_CFSum_NetShares,0,COLUMN())</f>
        <v/>
      </c>
      <c r="R73" s="678">
        <f>INDEX(MO_CFSum_NetShares,0,COLUMN())</f>
        <v/>
      </c>
      <c r="S73" s="678">
        <f>INDEX(MO_CFSum_NetShares,0,COLUMN())</f>
        <v/>
      </c>
      <c r="T73" s="678">
        <f>INDEX(MO_CFSum_NetShares,0,COLUMN())</f>
        <v/>
      </c>
      <c r="U73" s="1242">
        <f>INDEX(MO_CFSum_NetShares,0,COLUMN())</f>
        <v/>
      </c>
      <c r="V73" s="678">
        <f>INDEX(MO_CFSum_NetShares,0,COLUMN())</f>
        <v/>
      </c>
      <c r="W73" s="678">
        <f>INDEX(MO_CFSum_NetShares,0,COLUMN())</f>
        <v/>
      </c>
      <c r="X73" s="678">
        <f>INDEX(MO_CFSum_NetShares,0,COLUMN())</f>
        <v/>
      </c>
      <c r="Y73" s="678">
        <f>INDEX(MO_CFSum_NetShares,0,COLUMN())</f>
        <v/>
      </c>
      <c r="Z73" s="1242">
        <f>INDEX(MO_CFSum_NetShares,0,COLUMN())</f>
        <v/>
      </c>
      <c r="AA73" s="678">
        <f>INDEX(MO_CFSum_NetShares,0,COLUMN())</f>
        <v/>
      </c>
      <c r="AB73" s="678">
        <f>INDEX(MO_CFSum_NetShares,0,COLUMN())</f>
        <v/>
      </c>
      <c r="AC73" s="678">
        <f>INDEX(MO_CFSum_NetShares,0,COLUMN())</f>
        <v/>
      </c>
      <c r="AD73" s="678">
        <f>INDEX(MO_CFSum_NetShares,0,COLUMN())</f>
        <v/>
      </c>
      <c r="AE73" s="1242">
        <f>INDEX(MO_CFSum_NetShares,0,COLUMN())</f>
        <v/>
      </c>
      <c r="AF73" s="678">
        <f>INDEX(MO_CFSum_NetShares,0,COLUMN())</f>
        <v/>
      </c>
      <c r="AG73" s="678">
        <f>INDEX(MO_CFSum_NetShares,0,COLUMN())</f>
        <v/>
      </c>
      <c r="AH73" s="678">
        <f>INDEX(MO_CFSum_NetShares,0,COLUMN())</f>
        <v/>
      </c>
      <c r="AI73" s="678">
        <f>INDEX(MO_CFSum_NetShares,0,COLUMN())</f>
        <v/>
      </c>
      <c r="AJ73" s="1242">
        <f>INDEX(MO_CFSum_NetShares,0,COLUMN())</f>
        <v/>
      </c>
      <c r="AK73" s="678">
        <f>INDEX(MO_CFSum_NetShares,0,COLUMN())</f>
        <v/>
      </c>
      <c r="AL73" s="678">
        <f>INDEX(MO_CFSum_NetShares,0,COLUMN())</f>
        <v/>
      </c>
      <c r="AM73" s="678">
        <f>INDEX(MO_CFSum_NetShares,0,COLUMN())</f>
        <v/>
      </c>
      <c r="AN73" s="678">
        <f>INDEX(MO_CFSum_NetShares,0,COLUMN())</f>
        <v/>
      </c>
      <c r="AO73" s="1242">
        <f>INDEX(MO_CFSum_NetShares,0,COLUMN())</f>
        <v/>
      </c>
      <c r="AP73" s="678">
        <f>INDEX(MO_CFSum_NetShares,0,COLUMN())</f>
        <v/>
      </c>
      <c r="AQ73" s="678">
        <f>INDEX(MO_CFSum_NetShares,0,COLUMN())</f>
        <v/>
      </c>
      <c r="AR73" s="678">
        <f>INDEX(MO_CFSum_NetShares,0,COLUMN())</f>
        <v/>
      </c>
      <c r="AS73" s="678">
        <f>INDEX(MO_CFSum_NetShares,0,COLUMN())</f>
        <v/>
      </c>
      <c r="AT73" s="1242">
        <f>INDEX(MO_CFSum_NetShares,0,COLUMN())</f>
        <v/>
      </c>
      <c r="AU73" s="678">
        <f>INDEX(MO_CFSum_NetShares,0,COLUMN())</f>
        <v/>
      </c>
      <c r="AV73" s="678">
        <f>INDEX(MO_CFSum_NetShares,0,COLUMN())</f>
        <v/>
      </c>
      <c r="AW73" s="678">
        <f>INDEX(MO_CFSum_NetShares,0,COLUMN())</f>
        <v/>
      </c>
      <c r="AX73" s="678">
        <f>INDEX(MO_CFSum_NetShares,0,COLUMN())</f>
        <v/>
      </c>
      <c r="AY73" s="1242">
        <f>INDEX(MO_CFSum_NetShares,0,COLUMN())</f>
        <v/>
      </c>
      <c r="AZ73" s="678">
        <f>INDEX(MO_CFSum_NetShares,0,COLUMN())</f>
        <v/>
      </c>
      <c r="BA73" s="678">
        <f>INDEX(MO_CFSum_NetShares,0,COLUMN())</f>
        <v/>
      </c>
      <c r="BB73" s="678">
        <f>INDEX(MO_CFSum_NetShares,0,COLUMN())</f>
        <v/>
      </c>
      <c r="BC73" s="678">
        <f>INDEX(MO_CFSum_NetShares,0,COLUMN())</f>
        <v/>
      </c>
      <c r="BD73" s="1242">
        <f>INDEX(MO_CFSum_NetShares,0,COLUMN())</f>
        <v/>
      </c>
      <c r="BE73" s="678">
        <f>INDEX(MO_CFSum_NetShares,0,COLUMN())</f>
        <v/>
      </c>
      <c r="BF73" s="678">
        <f>INDEX(MO_CFSum_NetShares,0,COLUMN())</f>
        <v/>
      </c>
      <c r="BG73" s="678">
        <f>INDEX(MO_CFSum_NetShares,0,COLUMN())</f>
        <v/>
      </c>
      <c r="BH73" s="678">
        <f>INDEX(MO_CFSum_NetShares,0,COLUMN())</f>
        <v/>
      </c>
      <c r="BI73" s="1242">
        <f>INDEX(MO_CFSum_NetShares,0,COLUMN())</f>
        <v/>
      </c>
      <c r="BJ73" s="678">
        <f>INDEX(MO_CFSum_NetShares,0,COLUMN())</f>
        <v/>
      </c>
      <c r="BK73" s="678">
        <f>INDEX(MO_CFSum_NetShares,0,COLUMN())</f>
        <v/>
      </c>
      <c r="BL73" s="678">
        <f>INDEX(MO_CFSum_NetShares,0,COLUMN())</f>
        <v/>
      </c>
      <c r="BM73" s="678">
        <f>INDEX(MO_CFSum_NetShares,0,COLUMN())</f>
        <v/>
      </c>
      <c r="BN73" s="1242">
        <f>INDEX(MO_CFSum_NetShares,0,COLUMN())</f>
        <v/>
      </c>
      <c r="BO73" s="678">
        <f>INDEX(MO_CFSum_NetShares,0,COLUMN())</f>
        <v/>
      </c>
      <c r="BP73" s="678">
        <f>INDEX(MO_CFSum_NetShares,0,COLUMN())</f>
        <v/>
      </c>
      <c r="BQ73" s="678">
        <f>INDEX(MO_CFSum_NetShares,0,COLUMN())</f>
        <v/>
      </c>
      <c r="BR73" s="678">
        <f>INDEX(MO_CFSum_NetShares,0,COLUMN())</f>
        <v/>
      </c>
      <c r="BS73" s="1242">
        <f>INDEX(MO_CFSum_NetShares,0,COLUMN())</f>
        <v/>
      </c>
      <c r="BT73" s="678">
        <f>INDEX(MO_CFSum_NetShares,0,COLUMN())</f>
        <v/>
      </c>
      <c r="BU73" s="678">
        <f>INDEX(MO_CFSum_NetShares,0,COLUMN())</f>
        <v/>
      </c>
      <c r="BV73" s="935">
        <f>INDEX(MO_CFSum_NetShares,0,COLUMN())</f>
        <v/>
      </c>
      <c r="BW73" s="678">
        <f>INDEX(MO_CFSum_NetShares,0,COLUMN())</f>
        <v/>
      </c>
      <c r="BX73" s="1242">
        <f>INDEX(MO_CFSum_NetShares,0,COLUMN())</f>
        <v/>
      </c>
      <c r="BY73" s="678">
        <f>INDEX(MO_CFSum_NetShares,0,COLUMN())</f>
        <v/>
      </c>
      <c r="BZ73" s="678">
        <f>INDEX(MO_CFSum_NetShares,0,COLUMN())</f>
        <v/>
      </c>
      <c r="CA73" s="678">
        <f>INDEX(MO_CFSum_NetShares,0,COLUMN())</f>
        <v/>
      </c>
      <c r="CB73" s="678">
        <f>INDEX(MO_CFSum_NetShares,0,COLUMN())</f>
        <v/>
      </c>
      <c r="CC73" s="1242">
        <f>INDEX(MO_CFSum_NetShares,0,COLUMN())</f>
        <v/>
      </c>
      <c r="CD73" s="1242">
        <f>INDEX(MO_CFSum_NetShares,0,COLUMN())</f>
        <v/>
      </c>
      <c r="CE73" s="1242">
        <f>INDEX(MO_CFSum_NetShares,0,COLUMN())</f>
        <v/>
      </c>
      <c r="CF73" s="1242">
        <f>INDEX(MO_CFSum_NetShares,0,COLUMN())</f>
        <v/>
      </c>
      <c r="CG73" s="678" t="n"/>
    </row>
    <row r="74" customFormat="1" s="974">
      <c r="A74" s="676" t="inlineStr">
        <is>
          <t>New Debt Issuance</t>
        </is>
      </c>
      <c r="B74" s="685" t="n"/>
      <c r="C74" s="1242">
        <f>INDEX(MO_CFSum_NetDebtIssuance,0,COLUMN())</f>
        <v/>
      </c>
      <c r="D74" s="1242">
        <f>INDEX(MO_CFSum_NetDebtIssuance,0,COLUMN())</f>
        <v/>
      </c>
      <c r="E74" s="1242">
        <f>INDEX(MO_CFSum_NetDebtIssuance,0,COLUMN())</f>
        <v/>
      </c>
      <c r="F74" s="1242">
        <f>INDEX(MO_CFSum_NetDebtIssuance,0,COLUMN())</f>
        <v/>
      </c>
      <c r="G74" s="678">
        <f>INDEX(MO_CFSum_NetDebtIssuance,0,COLUMN())</f>
        <v/>
      </c>
      <c r="H74" s="678">
        <f>INDEX(MO_CFSum_NetDebtIssuance,0,COLUMN())</f>
        <v/>
      </c>
      <c r="I74" s="678">
        <f>INDEX(MO_CFSum_NetDebtIssuance,0,COLUMN())</f>
        <v/>
      </c>
      <c r="J74" s="678">
        <f>INDEX(MO_CFSum_NetDebtIssuance,0,COLUMN())</f>
        <v/>
      </c>
      <c r="K74" s="1242">
        <f>INDEX(MO_CFSum_NetDebtIssuance,0,COLUMN())</f>
        <v/>
      </c>
      <c r="L74" s="678">
        <f>INDEX(MO_CFSum_NetDebtIssuance,0,COLUMN())</f>
        <v/>
      </c>
      <c r="M74" s="678">
        <f>INDEX(MO_CFSum_NetDebtIssuance,0,COLUMN())</f>
        <v/>
      </c>
      <c r="N74" s="678">
        <f>INDEX(MO_CFSum_NetDebtIssuance,0,COLUMN())</f>
        <v/>
      </c>
      <c r="O74" s="678">
        <f>INDEX(MO_CFSum_NetDebtIssuance,0,COLUMN())</f>
        <v/>
      </c>
      <c r="P74" s="1242">
        <f>INDEX(MO_CFSum_NetDebtIssuance,0,COLUMN())</f>
        <v/>
      </c>
      <c r="Q74" s="678">
        <f>INDEX(MO_CFSum_NetDebtIssuance,0,COLUMN())</f>
        <v/>
      </c>
      <c r="R74" s="678">
        <f>INDEX(MO_CFSum_NetDebtIssuance,0,COLUMN())</f>
        <v/>
      </c>
      <c r="S74" s="678">
        <f>INDEX(MO_CFSum_NetDebtIssuance,0,COLUMN())</f>
        <v/>
      </c>
      <c r="T74" s="678">
        <f>INDEX(MO_CFSum_NetDebtIssuance,0,COLUMN())</f>
        <v/>
      </c>
      <c r="U74" s="1242">
        <f>INDEX(MO_CFSum_NetDebtIssuance,0,COLUMN())</f>
        <v/>
      </c>
      <c r="V74" s="678">
        <f>INDEX(MO_CFSum_NetDebtIssuance,0,COLUMN())</f>
        <v/>
      </c>
      <c r="W74" s="678">
        <f>INDEX(MO_CFSum_NetDebtIssuance,0,COLUMN())</f>
        <v/>
      </c>
      <c r="X74" s="678">
        <f>INDEX(MO_CFSum_NetDebtIssuance,0,COLUMN())</f>
        <v/>
      </c>
      <c r="Y74" s="678">
        <f>INDEX(MO_CFSum_NetDebtIssuance,0,COLUMN())</f>
        <v/>
      </c>
      <c r="Z74" s="1242">
        <f>INDEX(MO_CFSum_NetDebtIssuance,0,COLUMN())</f>
        <v/>
      </c>
      <c r="AA74" s="678">
        <f>INDEX(MO_CFSum_NetDebtIssuance,0,COLUMN())</f>
        <v/>
      </c>
      <c r="AB74" s="678">
        <f>INDEX(MO_CFSum_NetDebtIssuance,0,COLUMN())</f>
        <v/>
      </c>
      <c r="AC74" s="678">
        <f>INDEX(MO_CFSum_NetDebtIssuance,0,COLUMN())</f>
        <v/>
      </c>
      <c r="AD74" s="678">
        <f>INDEX(MO_CFSum_NetDebtIssuance,0,COLUMN())</f>
        <v/>
      </c>
      <c r="AE74" s="1242">
        <f>INDEX(MO_CFSum_NetDebtIssuance,0,COLUMN())</f>
        <v/>
      </c>
      <c r="AF74" s="678">
        <f>INDEX(MO_CFSum_NetDebtIssuance,0,COLUMN())</f>
        <v/>
      </c>
      <c r="AG74" s="678">
        <f>INDEX(MO_CFSum_NetDebtIssuance,0,COLUMN())</f>
        <v/>
      </c>
      <c r="AH74" s="678">
        <f>INDEX(MO_CFSum_NetDebtIssuance,0,COLUMN())</f>
        <v/>
      </c>
      <c r="AI74" s="678">
        <f>INDEX(MO_CFSum_NetDebtIssuance,0,COLUMN())</f>
        <v/>
      </c>
      <c r="AJ74" s="1242">
        <f>INDEX(MO_CFSum_NetDebtIssuance,0,COLUMN())</f>
        <v/>
      </c>
      <c r="AK74" s="678">
        <f>INDEX(MO_CFSum_NetDebtIssuance,0,COLUMN())</f>
        <v/>
      </c>
      <c r="AL74" s="678">
        <f>INDEX(MO_CFSum_NetDebtIssuance,0,COLUMN())</f>
        <v/>
      </c>
      <c r="AM74" s="678">
        <f>INDEX(MO_CFSum_NetDebtIssuance,0,COLUMN())</f>
        <v/>
      </c>
      <c r="AN74" s="678">
        <f>INDEX(MO_CFSum_NetDebtIssuance,0,COLUMN())</f>
        <v/>
      </c>
      <c r="AO74" s="1242">
        <f>INDEX(MO_CFSum_NetDebtIssuance,0,COLUMN())</f>
        <v/>
      </c>
      <c r="AP74" s="678">
        <f>INDEX(MO_CFSum_NetDebtIssuance,0,COLUMN())</f>
        <v/>
      </c>
      <c r="AQ74" s="678">
        <f>INDEX(MO_CFSum_NetDebtIssuance,0,COLUMN())</f>
        <v/>
      </c>
      <c r="AR74" s="678">
        <f>INDEX(MO_CFSum_NetDebtIssuance,0,COLUMN())</f>
        <v/>
      </c>
      <c r="AS74" s="678">
        <f>INDEX(MO_CFSum_NetDebtIssuance,0,COLUMN())</f>
        <v/>
      </c>
      <c r="AT74" s="1242">
        <f>INDEX(MO_CFSum_NetDebtIssuance,0,COLUMN())</f>
        <v/>
      </c>
      <c r="AU74" s="678">
        <f>INDEX(MO_CFSum_NetDebtIssuance,0,COLUMN())</f>
        <v/>
      </c>
      <c r="AV74" s="678">
        <f>INDEX(MO_CFSum_NetDebtIssuance,0,COLUMN())</f>
        <v/>
      </c>
      <c r="AW74" s="678">
        <f>INDEX(MO_CFSum_NetDebtIssuance,0,COLUMN())</f>
        <v/>
      </c>
      <c r="AX74" s="678">
        <f>INDEX(MO_CFSum_NetDebtIssuance,0,COLUMN())</f>
        <v/>
      </c>
      <c r="AY74" s="1242">
        <f>INDEX(MO_CFSum_NetDebtIssuance,0,COLUMN())</f>
        <v/>
      </c>
      <c r="AZ74" s="678">
        <f>INDEX(MO_CFSum_NetDebtIssuance,0,COLUMN())</f>
        <v/>
      </c>
      <c r="BA74" s="678">
        <f>INDEX(MO_CFSum_NetDebtIssuance,0,COLUMN())</f>
        <v/>
      </c>
      <c r="BB74" s="678">
        <f>INDEX(MO_CFSum_NetDebtIssuance,0,COLUMN())</f>
        <v/>
      </c>
      <c r="BC74" s="678">
        <f>INDEX(MO_CFSum_NetDebtIssuance,0,COLUMN())</f>
        <v/>
      </c>
      <c r="BD74" s="1242">
        <f>INDEX(MO_CFSum_NetDebtIssuance,0,COLUMN())</f>
        <v/>
      </c>
      <c r="BE74" s="678">
        <f>INDEX(MO_CFSum_NetDebtIssuance,0,COLUMN())</f>
        <v/>
      </c>
      <c r="BF74" s="678">
        <f>INDEX(MO_CFSum_NetDebtIssuance,0,COLUMN())</f>
        <v/>
      </c>
      <c r="BG74" s="678">
        <f>INDEX(MO_CFSum_NetDebtIssuance,0,COLUMN())</f>
        <v/>
      </c>
      <c r="BH74" s="678">
        <f>INDEX(MO_CFSum_NetDebtIssuance,0,COLUMN())</f>
        <v/>
      </c>
      <c r="BI74" s="1242">
        <f>INDEX(MO_CFSum_NetDebtIssuance,0,COLUMN())</f>
        <v/>
      </c>
      <c r="BJ74" s="678">
        <f>INDEX(MO_CFSum_NetDebtIssuance,0,COLUMN())</f>
        <v/>
      </c>
      <c r="BK74" s="678">
        <f>INDEX(MO_CFSum_NetDebtIssuance,0,COLUMN())</f>
        <v/>
      </c>
      <c r="BL74" s="678">
        <f>INDEX(MO_CFSum_NetDebtIssuance,0,COLUMN())</f>
        <v/>
      </c>
      <c r="BM74" s="678">
        <f>INDEX(MO_CFSum_NetDebtIssuance,0,COLUMN())</f>
        <v/>
      </c>
      <c r="BN74" s="1242">
        <f>INDEX(MO_CFSum_NetDebtIssuance,0,COLUMN())</f>
        <v/>
      </c>
      <c r="BO74" s="678">
        <f>INDEX(MO_CFSum_NetDebtIssuance,0,COLUMN())</f>
        <v/>
      </c>
      <c r="BP74" s="678">
        <f>INDEX(MO_CFSum_NetDebtIssuance,0,COLUMN())</f>
        <v/>
      </c>
      <c r="BQ74" s="678">
        <f>INDEX(MO_CFSum_NetDebtIssuance,0,COLUMN())</f>
        <v/>
      </c>
      <c r="BR74" s="678">
        <f>INDEX(MO_CFSum_NetDebtIssuance,0,COLUMN())</f>
        <v/>
      </c>
      <c r="BS74" s="1242">
        <f>INDEX(MO_CFSum_NetDebtIssuance,0,COLUMN())</f>
        <v/>
      </c>
      <c r="BT74" s="678">
        <f>INDEX(MO_CFSum_NetDebtIssuance,0,COLUMN())</f>
        <v/>
      </c>
      <c r="BU74" s="678">
        <f>INDEX(MO_CFSum_NetDebtIssuance,0,COLUMN())</f>
        <v/>
      </c>
      <c r="BV74" s="935">
        <f>INDEX(MO_CFSum_NetDebtIssuance,0,COLUMN())</f>
        <v/>
      </c>
      <c r="BW74" s="678">
        <f>INDEX(MO_CFSum_NetDebtIssuance,0,COLUMN())</f>
        <v/>
      </c>
      <c r="BX74" s="1242">
        <f>INDEX(MO_CFSum_NetDebtIssuance,0,COLUMN())</f>
        <v/>
      </c>
      <c r="BY74" s="678">
        <f>INDEX(MO_CFSum_NetDebtIssuance,0,COLUMN())</f>
        <v/>
      </c>
      <c r="BZ74" s="678">
        <f>INDEX(MO_CFSum_NetDebtIssuance,0,COLUMN())</f>
        <v/>
      </c>
      <c r="CA74" s="678">
        <f>INDEX(MO_CFSum_NetDebtIssuance,0,COLUMN())</f>
        <v/>
      </c>
      <c r="CB74" s="678">
        <f>INDEX(MO_CFSum_NetDebtIssuance,0,COLUMN())</f>
        <v/>
      </c>
      <c r="CC74" s="1242">
        <f>INDEX(MO_CFSum_NetDebtIssuance,0,COLUMN())</f>
        <v/>
      </c>
      <c r="CD74" s="1242">
        <f>INDEX(MO_CFSum_NetDebtIssuance,0,COLUMN())</f>
        <v/>
      </c>
      <c r="CE74" s="1242">
        <f>INDEX(MO_CFSum_NetDebtIssuance,0,COLUMN())</f>
        <v/>
      </c>
      <c r="CF74" s="1242">
        <f>INDEX(MO_CFSum_NetDebtIssuance,0,COLUMN())</f>
        <v/>
      </c>
      <c r="CG74" s="678" t="n"/>
    </row>
    <row r="75" customFormat="1" s="974">
      <c r="A75" s="676" t="inlineStr">
        <is>
          <t>Other Items</t>
        </is>
      </c>
      <c r="B75" s="685" t="n"/>
      <c r="C75" s="1242">
        <f>+Model!C881+Model!C901+Model!C904+Model!C880+Model!C872+Model!C873+Model!C874+Model!C879+Model!C900+Model!C803</f>
        <v/>
      </c>
      <c r="D75" s="1242">
        <f>+Model!D881+Model!D901+Model!D904+Model!D880+Model!D872+Model!D873+Model!D874+Model!D879+Model!D900+Model!D803</f>
        <v/>
      </c>
      <c r="E75" s="1242">
        <f>+Model!E881+Model!E901+Model!E904+Model!E880+Model!E872+Model!E873+Model!E874+Model!E879+Model!E900+Model!E803</f>
        <v/>
      </c>
      <c r="F75" s="1242">
        <f>+Model!F881+Model!F901+Model!F904+Model!F880+Model!F872+Model!F873+Model!F874+Model!F879+Model!F900+Model!F803</f>
        <v/>
      </c>
      <c r="G75" s="678">
        <f>+Model!G881+Model!G901+Model!G904+Model!G880+Model!G872+Model!G873+Model!G874+Model!G879+Model!G900+Model!G803</f>
        <v/>
      </c>
      <c r="H75" s="678">
        <f>+Model!H881+Model!H901+Model!H904+Model!H880+Model!H872+Model!H873+Model!H874+Model!H879+Model!H900+Model!H803</f>
        <v/>
      </c>
      <c r="I75" s="678">
        <f>+Model!I881+Model!I901+Model!I904+Model!I880+Model!I872+Model!I873+Model!I874+Model!I879+Model!I900+Model!I803</f>
        <v/>
      </c>
      <c r="J75" s="678">
        <f>+Model!J881+Model!J901+Model!J904+Model!J880+Model!J872+Model!J873+Model!J874+Model!J879+Model!J900+Model!J803</f>
        <v/>
      </c>
      <c r="K75" s="1242">
        <f>+Model!K881+Model!K901+Model!K904+Model!K880+Model!K872+Model!K873+Model!K874+Model!K879+Model!K900+Model!K803</f>
        <v/>
      </c>
      <c r="L75" s="678">
        <f>+Model!L881+Model!L901+Model!L904+Model!L880+Model!L872+Model!L873+Model!L874+Model!L879+Model!L900+Model!L803</f>
        <v/>
      </c>
      <c r="M75" s="678">
        <f>+Model!M881+Model!M901+Model!M904+Model!M880+Model!M872+Model!M873+Model!M874+Model!M879+Model!M900+Model!M803</f>
        <v/>
      </c>
      <c r="N75" s="678">
        <f>+Model!N881+Model!N901+Model!N904+Model!N880+Model!N872+Model!N873+Model!N874+Model!N879+Model!N900+Model!N803</f>
        <v/>
      </c>
      <c r="O75" s="678">
        <f>+Model!O881+Model!O901+Model!O904+Model!O880+Model!O872+Model!O873+Model!O874+Model!O879+Model!O900+Model!O803</f>
        <v/>
      </c>
      <c r="P75" s="1242">
        <f>+Model!P881+Model!P901+Model!P904+Model!P880+Model!P872+Model!P873+Model!P874+Model!P879+Model!P900+Model!P803</f>
        <v/>
      </c>
      <c r="Q75" s="678">
        <f>+Model!Q881+Model!Q901+Model!Q904+Model!Q880+Model!Q872+Model!Q873+Model!Q874+Model!Q879+Model!Q900+Model!Q803</f>
        <v/>
      </c>
      <c r="R75" s="678">
        <f>+Model!R881+Model!R901+Model!R904+Model!R880+Model!R872+Model!R873+Model!R874+Model!R879+Model!R900+Model!R803</f>
        <v/>
      </c>
      <c r="S75" s="678">
        <f>+Model!S881+Model!S901+Model!S904+Model!S880+Model!S872+Model!S873+Model!S874+Model!S879+Model!S900+Model!S803</f>
        <v/>
      </c>
      <c r="T75" s="678">
        <f>+Model!T881+Model!T901+Model!T904+Model!T880+Model!T872+Model!T873+Model!T874+Model!T879+Model!T900+Model!T803</f>
        <v/>
      </c>
      <c r="U75" s="1242">
        <f>+Model!U881+Model!U901+Model!U904+Model!U880+Model!U872+Model!U873+Model!U874+Model!U879+Model!U900+Model!U803</f>
        <v/>
      </c>
      <c r="V75" s="678">
        <f>+Model!V881+Model!V901+Model!V904+Model!V880+Model!V872+Model!V873+Model!V874+Model!V879+Model!V900+Model!V803</f>
        <v/>
      </c>
      <c r="W75" s="678">
        <f>+Model!W881+Model!W901+Model!W904+Model!W880+Model!W872+Model!W873+Model!W874+Model!W879+Model!W900+Model!W803</f>
        <v/>
      </c>
      <c r="X75" s="678">
        <f>+Model!X881+Model!X901+Model!X904+Model!X880+Model!X872+Model!X873+Model!X874+Model!X879+Model!X900+Model!X803</f>
        <v/>
      </c>
      <c r="Y75" s="678">
        <f>+Model!Y881+Model!Y901+Model!Y904+Model!Y880+Model!Y872+Model!Y873+Model!Y874+Model!Y879+Model!Y900+Model!Y803</f>
        <v/>
      </c>
      <c r="Z75" s="1242">
        <f>+Model!Z881+Model!Z901+Model!Z904+Model!Z880+Model!Z872+Model!Z873+Model!Z874+Model!Z879+Model!Z900+Model!Z803</f>
        <v/>
      </c>
      <c r="AA75" s="678">
        <f>+Model!AA881+Model!AA901+Model!AA904+Model!AA880+Model!AA872+Model!AA873+Model!AA874+Model!AA879+Model!AA900+Model!AA803</f>
        <v/>
      </c>
      <c r="AB75" s="678">
        <f>+Model!AB881+Model!AB901+Model!AB904+Model!AB880+Model!AB872+Model!AB873+Model!AB874+Model!AB879+Model!AB900+Model!AB803</f>
        <v/>
      </c>
      <c r="AC75" s="678">
        <f>+Model!AC881+Model!AC901+Model!AC904+Model!AC880+Model!AC872+Model!AC873+Model!AC874+Model!AC879+Model!AC900+Model!AC803</f>
        <v/>
      </c>
      <c r="AD75" s="678">
        <f>+Model!AD881+Model!AD901+Model!AD904+Model!AD880+Model!AD872+Model!AD873+Model!AD874+Model!AD879+Model!AD900+Model!AD803</f>
        <v/>
      </c>
      <c r="AE75" s="1242">
        <f>+Model!AE881+Model!AE901+Model!AE904+Model!AE880+Model!AE872+Model!AE873+Model!AE874+Model!AE879+Model!AE900+Model!AE803</f>
        <v/>
      </c>
      <c r="AF75" s="678">
        <f>+Model!AF881+Model!AF901+Model!AF904+Model!AF880+Model!AF872+Model!AF873+Model!AF874+Model!AF879+Model!AF900+Model!AF803</f>
        <v/>
      </c>
      <c r="AG75" s="678">
        <f>+Model!AG881+Model!AG901+Model!AG904+Model!AG880+Model!AG872+Model!AG873+Model!AG874+Model!AG879+Model!AG900+Model!AG803</f>
        <v/>
      </c>
      <c r="AH75" s="678">
        <f>+Model!AH881+Model!AH901+Model!AH904+Model!AH880+Model!AH872+Model!AH873+Model!AH874+Model!AH879+Model!AH900+Model!AH803</f>
        <v/>
      </c>
      <c r="AI75" s="678">
        <f>+Model!AI881+Model!AI901+Model!AI904+Model!AI880+Model!AI872+Model!AI873+Model!AI874+Model!AI879+Model!AI900+Model!AI803</f>
        <v/>
      </c>
      <c r="AJ75" s="1242">
        <f>+Model!AJ881+Model!AJ901+Model!AJ904+Model!AJ880+Model!AJ872+Model!AJ873+Model!AJ874+Model!AJ879+Model!AJ900+Model!AJ803</f>
        <v/>
      </c>
      <c r="AK75" s="678">
        <f>+Model!AK881+Model!AK901+Model!AK904+Model!AK880+Model!AK872+Model!AK873+Model!AK874+Model!AK879+Model!AK900+Model!AK803</f>
        <v/>
      </c>
      <c r="AL75" s="678">
        <f>+Model!AL881+Model!AL901+Model!AL904+Model!AL880+Model!AL872+Model!AL873+Model!AL874+Model!AL879+Model!AL900+Model!AL803</f>
        <v/>
      </c>
      <c r="AM75" s="678">
        <f>+Model!AM881+Model!AM901+Model!AM904+Model!AM880+Model!AM872+Model!AM873+Model!AM874+Model!AM879+Model!AM900+Model!AM803</f>
        <v/>
      </c>
      <c r="AN75" s="678">
        <f>+Model!AN881+Model!AN901+Model!AN904+Model!AN880+Model!AN872+Model!AN873+Model!AN874+Model!AN879+Model!AN900+Model!AN803</f>
        <v/>
      </c>
      <c r="AO75" s="1242">
        <f>+Model!AO881+Model!AO901+Model!AO904+Model!AO880+Model!AO872+Model!AO873+Model!AO874+Model!AO879+Model!AO900+Model!AO803</f>
        <v/>
      </c>
      <c r="AP75" s="678">
        <f>+Model!AP881+Model!AP901+Model!AP904+Model!AP880+Model!AP872+Model!AP873+Model!AP874+Model!AP879+Model!AP900+Model!AP803</f>
        <v/>
      </c>
      <c r="AQ75" s="678">
        <f>+Model!AQ881+Model!AQ901+Model!AQ904+Model!AQ880+Model!AQ872+Model!AQ873+Model!AQ874+Model!AQ879+Model!AQ900+Model!AQ803</f>
        <v/>
      </c>
      <c r="AR75" s="678">
        <f>+Model!AR881+Model!AR901+Model!AR904+Model!AR880+Model!AR872+Model!AR873+Model!AR874+Model!AR879+Model!AR900+Model!AR803</f>
        <v/>
      </c>
      <c r="AS75" s="678">
        <f>+Model!AS881+Model!AS901+Model!AS904+Model!AS880+Model!AS872+Model!AS873+Model!AS874+Model!AS879+Model!AS900+Model!AS803</f>
        <v/>
      </c>
      <c r="AT75" s="1242">
        <f>+Model!AT881+Model!AT901+Model!AT904+Model!AT880+Model!AT872+Model!AT873+Model!AT874+Model!AT879+Model!AT900+Model!AT803</f>
        <v/>
      </c>
      <c r="AU75" s="678">
        <f>+Model!AU881+Model!AU901+Model!AU904+Model!AU880+Model!AU872+Model!AU873+Model!AU874+Model!AU879+Model!AU900+Model!AU803</f>
        <v/>
      </c>
      <c r="AV75" s="678">
        <f>+Model!AV881+Model!AV901+Model!AV904+Model!AV880+Model!AV872+Model!AV873+Model!AV874+Model!AV879+Model!AV900+Model!AV803</f>
        <v/>
      </c>
      <c r="AW75" s="678">
        <f>+Model!AW881+Model!AW901+Model!AW904+Model!AW880+Model!AW872+Model!AW873+Model!AW874+Model!AW879+Model!AW900+Model!AW803</f>
        <v/>
      </c>
      <c r="AX75" s="678">
        <f>+Model!AX881+Model!AX901+Model!AX904+Model!AX880+Model!AX872+Model!AX873+Model!AX874+Model!AX879+Model!AX900+Model!AX803</f>
        <v/>
      </c>
      <c r="AY75" s="1242">
        <f>+Model!AY881+Model!AY901+Model!AY904+Model!AY880+Model!AY872+Model!AY873+Model!AY874+Model!AY879+Model!AY900+Model!AY803</f>
        <v/>
      </c>
      <c r="AZ75" s="678">
        <f>+Model!AZ881+Model!AZ901+Model!AZ904+Model!AZ880+Model!AZ872+Model!AZ873+Model!AZ874+Model!AZ879+Model!AZ900+Model!AZ803</f>
        <v/>
      </c>
      <c r="BA75" s="678">
        <f>+Model!BA881+Model!BA901+Model!BA904+Model!BA880+Model!BA872+Model!BA873+Model!BA874+Model!BA879+Model!BA900+Model!BA803</f>
        <v/>
      </c>
      <c r="BB75" s="678">
        <f>+Model!BB881+Model!BB901+Model!BB904+Model!BB880+Model!BB872+Model!BB873+Model!BB874+Model!BB879+Model!BB900+Model!BB803</f>
        <v/>
      </c>
      <c r="BC75" s="678">
        <f>+Model!BC881+Model!BC901+Model!BC904+Model!BC880+Model!BC872+Model!BC873+Model!BC874+Model!BC879+Model!BC900+Model!BC803</f>
        <v/>
      </c>
      <c r="BD75" s="1242">
        <f>+Model!BD881+Model!BD901+Model!BD904+Model!BD880+Model!BD872+Model!BD873+Model!BD874+Model!BD879+Model!BD900+Model!BD803</f>
        <v/>
      </c>
      <c r="BE75" s="678">
        <f>+Model!BE881+Model!BE901+Model!BE904+Model!BE880+Model!BE872+Model!BE873+Model!BE874+Model!BE879+Model!BE900+Model!BE803</f>
        <v/>
      </c>
      <c r="BF75" s="678">
        <f>+Model!BF881+Model!BF901+Model!BF904+Model!BF880+Model!BF872+Model!BF873+Model!BF874+Model!BF879+Model!BF900+Model!BF803</f>
        <v/>
      </c>
      <c r="BG75" s="678">
        <f>+Model!BG881+Model!BG901+Model!BG904+Model!BG880+Model!BG872+Model!BG873+Model!BG874+Model!BG879+Model!BG900+Model!BG803</f>
        <v/>
      </c>
      <c r="BH75" s="678">
        <f>+Model!BH881+Model!BH901+Model!BH904+Model!BH880+Model!BH872+Model!BH873+Model!BH874+Model!BH879+Model!BH900+Model!BH803</f>
        <v/>
      </c>
      <c r="BI75" s="1242">
        <f>+Model!BI881+Model!BI901+Model!BI904+Model!BI880+Model!BI872+Model!BI873+Model!BI874+Model!BI879+Model!BI900+Model!BI803</f>
        <v/>
      </c>
      <c r="BJ75" s="678">
        <f>+Model!BJ881+Model!BJ901+Model!BJ904+Model!BJ880+Model!BJ872+Model!BJ873+Model!BJ874+Model!BJ879+Model!BJ900+Model!BJ803</f>
        <v/>
      </c>
      <c r="BK75" s="678">
        <f>+Model!BK881+Model!BK901+Model!BK904+Model!BK880+Model!BK872+Model!BK873+Model!BK874+Model!BK879+Model!BK900+Model!BK803</f>
        <v/>
      </c>
      <c r="BL75" s="678">
        <f>+Model!BL881+Model!BL901+Model!BL904+Model!BL880+Model!BL872+Model!BL873+Model!BL874+Model!BL879+Model!BL900+Model!BL803</f>
        <v/>
      </c>
      <c r="BM75" s="678">
        <f>+Model!BM881+Model!BM901+Model!BM904+Model!BM880+Model!BM872+Model!BM873+Model!BM874+Model!BM879+Model!BM900+Model!BM803</f>
        <v/>
      </c>
      <c r="BN75" s="1242">
        <f>+Model!BN881+Model!BN901+Model!BN904+Model!BN880+Model!BN872+Model!BN873+Model!BN874+Model!BN879+Model!BN900+Model!BN803</f>
        <v/>
      </c>
      <c r="BO75" s="678">
        <f>+Model!BO881+Model!BO901+Model!BO904+Model!BO880+Model!BO872+Model!BO873+Model!BO874+Model!BO879+Model!BO900+Model!BO803</f>
        <v/>
      </c>
      <c r="BP75" s="678">
        <f>+Model!BP881+Model!BP901+Model!BP904+Model!BP880+Model!BP872+Model!BP873+Model!BP874+Model!BP879+Model!BP900+Model!BP803</f>
        <v/>
      </c>
      <c r="BQ75" s="678">
        <f>+Model!BQ881+Model!BQ901+Model!BQ904+Model!BQ880+Model!BQ872+Model!BQ873+Model!BQ874+Model!BQ879+Model!BQ900+Model!BQ803</f>
        <v/>
      </c>
      <c r="BR75" s="678">
        <f>+Model!BR881+Model!BR901+Model!BR904+Model!BR880+Model!BR872+Model!BR873+Model!BR874+Model!BR879+Model!BR900+Model!BR803</f>
        <v/>
      </c>
      <c r="BS75" s="1242">
        <f>+Model!BS881+Model!BS901+Model!BS904+Model!BS880+Model!BS872+Model!BS873+Model!BS874+Model!BS879+Model!BS900+Model!BS803</f>
        <v/>
      </c>
      <c r="BT75" s="678">
        <f>+Model!BT881+Model!BT901+Model!BT904+Model!BT880+Model!BT872+Model!BT873+Model!BT874+Model!BT879+Model!BT900+Model!BT803</f>
        <v/>
      </c>
      <c r="BU75" s="678">
        <f>+Model!BU881+Model!BU901+Model!BU904+Model!BU880+Model!BU872+Model!BU873+Model!BU874+Model!BU879+Model!BU900+Model!BU803</f>
        <v/>
      </c>
      <c r="BV75" s="935">
        <f>+Model!BV881+Model!BV901+Model!BV904+Model!BV880+Model!BV872+Model!BV873+Model!BV874+Model!BV879+Model!BV900+Model!BV803</f>
        <v/>
      </c>
      <c r="BW75" s="678">
        <f>+Model!BW881+Model!BW901+Model!BW904+Model!BW880+Model!BW872+Model!BW873+Model!BW874+Model!BW879+Model!BW900+Model!BW803</f>
        <v/>
      </c>
      <c r="BX75" s="1242">
        <f>+Model!BX881+Model!BX901+Model!BX904+Model!BX880+Model!BX872+Model!BX873+Model!BX874+Model!BX879+Model!BX900+Model!BX803</f>
        <v/>
      </c>
      <c r="BY75" s="678">
        <f>+Model!BY881+Model!BY901+Model!BY904+Model!BY880+Model!BY872+Model!BY873+Model!BY874+Model!BY879+Model!BY900+Model!BY803</f>
        <v/>
      </c>
      <c r="BZ75" s="678">
        <f>+Model!BZ881+Model!BZ901+Model!BZ904+Model!BZ880+Model!BZ872+Model!BZ873+Model!BZ874+Model!BZ879+Model!BZ900+Model!BZ803</f>
        <v/>
      </c>
      <c r="CA75" s="678">
        <f>+Model!CA881+Model!CA901+Model!CA904+Model!CA880+Model!CA872+Model!CA873+Model!CA874+Model!CA879+Model!CA900+Model!CA803</f>
        <v/>
      </c>
      <c r="CB75" s="678">
        <f>+Model!CB881+Model!CB901+Model!CB904+Model!CB880+Model!CB872+Model!CB873+Model!CB874+Model!CB879+Model!CB900+Model!CB803</f>
        <v/>
      </c>
      <c r="CC75" s="1242">
        <f>+Model!CC881+Model!CC901+Model!CC904+Model!CC880+Model!CC872+Model!CC873+Model!CC874+Model!CC879+Model!CC900+Model!CC803</f>
        <v/>
      </c>
      <c r="CD75" s="1242">
        <f>+Model!CD881+Model!CD901+Model!CD904+Model!CD880+Model!CD872+Model!CD873+Model!CD874+Model!CD879+Model!CD900+Model!CD803</f>
        <v/>
      </c>
      <c r="CE75" s="1242">
        <f>+Model!CE881+Model!CE901+Model!CE904+Model!CE880+Model!CE872+Model!CE873+Model!CE874+Model!CE879+Model!CE900+Model!CE803</f>
        <v/>
      </c>
      <c r="CF75" s="1242">
        <f>+Model!CF881+Model!CF901+Model!CF904+Model!CF880+Model!CF872+Model!CF873+Model!CF874+Model!CF879+Model!CF900+Model!CF803</f>
        <v/>
      </c>
      <c r="CG75" s="678" t="n"/>
    </row>
    <row r="76" customFormat="1" s="973">
      <c r="A76" s="686" t="inlineStr">
        <is>
          <t>Change in Cash Position</t>
        </is>
      </c>
      <c r="B76" s="687" t="n"/>
      <c r="C76" s="1243">
        <f>SUM(C70:C75)</f>
        <v/>
      </c>
      <c r="D76" s="1243">
        <f>SUM(D70:D75)</f>
        <v/>
      </c>
      <c r="E76" s="1243">
        <f>SUM(E70:E75)</f>
        <v/>
      </c>
      <c r="F76" s="1243">
        <f>SUM(F70:F75)</f>
        <v/>
      </c>
      <c r="G76" s="688">
        <f>SUM(G70:G75)</f>
        <v/>
      </c>
      <c r="H76" s="688">
        <f>SUM(H70:H75)</f>
        <v/>
      </c>
      <c r="I76" s="688">
        <f>SUM(I70:I75)</f>
        <v/>
      </c>
      <c r="J76" s="688">
        <f>SUM(J70:J75)</f>
        <v/>
      </c>
      <c r="K76" s="1243">
        <f>SUM(K70:K75)</f>
        <v/>
      </c>
      <c r="L76" s="688">
        <f>SUM(L70:L75)</f>
        <v/>
      </c>
      <c r="M76" s="688">
        <f>SUM(M70:M75)</f>
        <v/>
      </c>
      <c r="N76" s="688">
        <f>SUM(N70:N75)</f>
        <v/>
      </c>
      <c r="O76" s="688">
        <f>SUM(O70:O75)</f>
        <v/>
      </c>
      <c r="P76" s="1243">
        <f>SUM(P70:P75)</f>
        <v/>
      </c>
      <c r="Q76" s="688">
        <f>SUM(Q70:Q75)</f>
        <v/>
      </c>
      <c r="R76" s="688">
        <f>SUM(R70:R75)</f>
        <v/>
      </c>
      <c r="S76" s="688">
        <f>SUM(S70:S75)</f>
        <v/>
      </c>
      <c r="T76" s="688">
        <f>SUM(T70:T75)</f>
        <v/>
      </c>
      <c r="U76" s="1243">
        <f>SUM(U70:U75)</f>
        <v/>
      </c>
      <c r="V76" s="688">
        <f>SUM(V70:V75)</f>
        <v/>
      </c>
      <c r="W76" s="688">
        <f>SUM(W70:W75)</f>
        <v/>
      </c>
      <c r="X76" s="688">
        <f>SUM(X70:X75)</f>
        <v/>
      </c>
      <c r="Y76" s="688">
        <f>SUM(Y70:Y75)</f>
        <v/>
      </c>
      <c r="Z76" s="1243">
        <f>SUM(Z70:Z75)</f>
        <v/>
      </c>
      <c r="AA76" s="688">
        <f>SUM(AA70:AA75)</f>
        <v/>
      </c>
      <c r="AB76" s="688">
        <f>SUM(AB70:AB75)</f>
        <v/>
      </c>
      <c r="AC76" s="688">
        <f>SUM(AC70:AC75)</f>
        <v/>
      </c>
      <c r="AD76" s="688">
        <f>SUM(AD70:AD75)</f>
        <v/>
      </c>
      <c r="AE76" s="1243">
        <f>SUM(AE70:AE75)</f>
        <v/>
      </c>
      <c r="AF76" s="688">
        <f>SUM(AF70:AF75)</f>
        <v/>
      </c>
      <c r="AG76" s="688">
        <f>SUM(AG70:AG75)</f>
        <v/>
      </c>
      <c r="AH76" s="688">
        <f>SUM(AH70:AH75)</f>
        <v/>
      </c>
      <c r="AI76" s="688">
        <f>SUM(AI70:AI75)</f>
        <v/>
      </c>
      <c r="AJ76" s="1243">
        <f>SUM(AJ70:AJ75)</f>
        <v/>
      </c>
      <c r="AK76" s="688">
        <f>SUM(AK70:AK75)</f>
        <v/>
      </c>
      <c r="AL76" s="688">
        <f>SUM(AL70:AL75)</f>
        <v/>
      </c>
      <c r="AM76" s="688">
        <f>SUM(AM70:AM75)</f>
        <v/>
      </c>
      <c r="AN76" s="688">
        <f>SUM(AN70:AN75)</f>
        <v/>
      </c>
      <c r="AO76" s="1243">
        <f>SUM(AO70:AO75)</f>
        <v/>
      </c>
      <c r="AP76" s="688">
        <f>SUM(AP70:AP75)</f>
        <v/>
      </c>
      <c r="AQ76" s="688">
        <f>SUM(AQ70:AQ75)</f>
        <v/>
      </c>
      <c r="AR76" s="688">
        <f>SUM(AR70:AR75)</f>
        <v/>
      </c>
      <c r="AS76" s="688">
        <f>SUM(AS70:AS75)</f>
        <v/>
      </c>
      <c r="AT76" s="1243">
        <f>SUM(AT70:AT75)</f>
        <v/>
      </c>
      <c r="AU76" s="688">
        <f>SUM(AU70:AU75)</f>
        <v/>
      </c>
      <c r="AV76" s="688">
        <f>SUM(AV70:AV75)</f>
        <v/>
      </c>
      <c r="AW76" s="688">
        <f>SUM(AW70:AW75)</f>
        <v/>
      </c>
      <c r="AX76" s="688">
        <f>SUM(AX70:AX75)</f>
        <v/>
      </c>
      <c r="AY76" s="1243">
        <f>SUM(AY70:AY75)</f>
        <v/>
      </c>
      <c r="AZ76" s="688">
        <f>SUM(AZ70:AZ75)</f>
        <v/>
      </c>
      <c r="BA76" s="688">
        <f>SUM(BA70:BA75)</f>
        <v/>
      </c>
      <c r="BB76" s="688">
        <f>SUM(BB70:BB75)</f>
        <v/>
      </c>
      <c r="BC76" s="688">
        <f>SUM(BC70:BC75)</f>
        <v/>
      </c>
      <c r="BD76" s="1243">
        <f>SUM(BD70:BD75)</f>
        <v/>
      </c>
      <c r="BE76" s="688">
        <f>SUM(BE70:BE75)</f>
        <v/>
      </c>
      <c r="BF76" s="688">
        <f>SUM(BF70:BF75)</f>
        <v/>
      </c>
      <c r="BG76" s="688">
        <f>SUM(BG70:BG75)</f>
        <v/>
      </c>
      <c r="BH76" s="688">
        <f>SUM(BH70:BH75)</f>
        <v/>
      </c>
      <c r="BI76" s="1243">
        <f>SUM(BI70:BI75)</f>
        <v/>
      </c>
      <c r="BJ76" s="688">
        <f>SUM(BJ70:BJ75)</f>
        <v/>
      </c>
      <c r="BK76" s="688">
        <f>SUM(BK70:BK75)</f>
        <v/>
      </c>
      <c r="BL76" s="688">
        <f>SUM(BL70:BL75)</f>
        <v/>
      </c>
      <c r="BM76" s="688">
        <f>SUM(BM70:BM75)</f>
        <v/>
      </c>
      <c r="BN76" s="1243">
        <f>SUM(BN70:BN75)</f>
        <v/>
      </c>
      <c r="BO76" s="688">
        <f>SUM(BO70:BO75)</f>
        <v/>
      </c>
      <c r="BP76" s="688">
        <f>SUM(BP70:BP75)</f>
        <v/>
      </c>
      <c r="BQ76" s="688">
        <f>SUM(BQ70:BQ75)</f>
        <v/>
      </c>
      <c r="BR76" s="688">
        <f>SUM(BR70:BR75)</f>
        <v/>
      </c>
      <c r="BS76" s="1243">
        <f>SUM(BS70:BS75)</f>
        <v/>
      </c>
      <c r="BT76" s="688">
        <f>SUM(BT70:BT75)</f>
        <v/>
      </c>
      <c r="BU76" s="688">
        <f>SUM(BU70:BU75)</f>
        <v/>
      </c>
      <c r="BV76" s="945">
        <f>SUM(BV70:BV75)</f>
        <v/>
      </c>
      <c r="BW76" s="688">
        <f>SUM(BW70:BW75)</f>
        <v/>
      </c>
      <c r="BX76" s="1243">
        <f>SUM(BX70:BX75)</f>
        <v/>
      </c>
      <c r="BY76" s="688">
        <f>SUM(BY70:BY75)</f>
        <v/>
      </c>
      <c r="BZ76" s="688">
        <f>SUM(BZ70:BZ75)</f>
        <v/>
      </c>
      <c r="CA76" s="688">
        <f>SUM(CA70:CA75)</f>
        <v/>
      </c>
      <c r="CB76" s="688">
        <f>SUM(CB70:CB75)</f>
        <v/>
      </c>
      <c r="CC76" s="1243">
        <f>SUM(CC70:CC75)</f>
        <v/>
      </c>
      <c r="CD76" s="1243">
        <f>SUM(CD70:CD75)</f>
        <v/>
      </c>
      <c r="CE76" s="1243">
        <f>SUM(CE70:CE75)</f>
        <v/>
      </c>
      <c r="CF76" s="1243">
        <f>SUM(CF70:CF75)</f>
        <v/>
      </c>
      <c r="CG76" s="574" t="n"/>
    </row>
    <row r="77" customFormat="1" s="975">
      <c r="A77" s="196" t="n"/>
      <c r="B77" s="200" t="n"/>
      <c r="C77" s="1244" t="n"/>
      <c r="D77" s="1244" t="n"/>
      <c r="E77" s="1244" t="n"/>
      <c r="F77" s="1244" t="n"/>
      <c r="G77" s="1011" t="n"/>
      <c r="H77" s="1011" t="n"/>
      <c r="I77" s="1011" t="n"/>
      <c r="J77" s="1011" t="n"/>
      <c r="K77" s="1244" t="n"/>
      <c r="L77" s="1011" t="n"/>
      <c r="M77" s="1011" t="n"/>
      <c r="N77" s="1011" t="n"/>
      <c r="O77" s="1011" t="n"/>
      <c r="P77" s="1244" t="n"/>
      <c r="Q77" s="1011" t="n"/>
      <c r="R77" s="1011" t="n"/>
      <c r="S77" s="1011" t="n"/>
      <c r="T77" s="1011" t="n"/>
      <c r="U77" s="1244" t="n"/>
      <c r="V77" s="1011" t="n"/>
      <c r="W77" s="1011" t="n"/>
      <c r="X77" s="1011" t="n"/>
      <c r="Y77" s="1011" t="n"/>
      <c r="Z77" s="1244" t="n"/>
      <c r="AA77" s="1011" t="n"/>
      <c r="AB77" s="1011" t="n"/>
      <c r="AC77" s="1011" t="n"/>
      <c r="AD77" s="1011" t="n"/>
      <c r="AE77" s="1244" t="n"/>
      <c r="AF77" s="1011" t="n"/>
      <c r="AG77" s="1011" t="n"/>
      <c r="AH77" s="1011" t="n"/>
      <c r="AI77" s="1011" t="n"/>
      <c r="AJ77" s="1244" t="n"/>
      <c r="AK77" s="1011" t="n"/>
      <c r="AL77" s="1011" t="n"/>
      <c r="AM77" s="1011" t="n"/>
      <c r="AN77" s="1011" t="n"/>
      <c r="AO77" s="1244" t="n"/>
      <c r="AP77" s="1011" t="n"/>
      <c r="AQ77" s="1011" t="n"/>
      <c r="AR77" s="1011" t="n"/>
      <c r="AS77" s="1011" t="n"/>
      <c r="AT77" s="1244" t="n"/>
      <c r="AU77" s="1011" t="n"/>
      <c r="AV77" s="1011" t="n"/>
      <c r="AW77" s="1011" t="n"/>
      <c r="AX77" s="1011" t="n"/>
      <c r="AY77" s="1244" t="n"/>
      <c r="AZ77" s="1011" t="n"/>
      <c r="BA77" s="1011" t="n"/>
      <c r="BB77" s="1011" t="n"/>
      <c r="BC77" s="1011" t="n"/>
      <c r="BD77" s="1244" t="n"/>
      <c r="BE77" s="1011" t="n"/>
      <c r="BF77" s="1011" t="n"/>
      <c r="BG77" s="1011" t="n"/>
      <c r="BH77" s="1011" t="n"/>
      <c r="BI77" s="1244" t="n"/>
      <c r="BJ77" s="1011" t="n"/>
      <c r="BK77" s="1011" t="n"/>
      <c r="BL77" s="1011" t="n"/>
      <c r="BM77" s="1011" t="n"/>
      <c r="BN77" s="1244" t="n"/>
      <c r="BO77" s="1011" t="n"/>
      <c r="BP77" s="1011" t="n"/>
      <c r="BQ77" s="1011" t="n"/>
      <c r="BR77" s="1011" t="n"/>
      <c r="BS77" s="1244" t="n"/>
      <c r="BT77" s="1011" t="n"/>
      <c r="BU77" s="1011" t="n"/>
      <c r="BV77" s="1047" t="n"/>
      <c r="BW77" s="1011" t="n"/>
      <c r="BX77" s="1244" t="n"/>
      <c r="BY77" s="1011" t="n"/>
      <c r="BZ77" s="1011" t="n"/>
      <c r="CA77" s="1011" t="n"/>
      <c r="CB77" s="1011" t="n"/>
      <c r="CC77" s="1244" t="n"/>
      <c r="CD77" s="1244" t="n"/>
      <c r="CE77" s="1244" t="n"/>
      <c r="CF77" s="1244" t="n"/>
      <c r="CG77" s="1011" t="n"/>
    </row>
    <row r="78" customFormat="1" s="972">
      <c r="A78" s="211" t="inlineStr">
        <is>
          <t>Operating Cash Flow Per Share</t>
        </is>
      </c>
      <c r="B78" s="210" t="n"/>
      <c r="C78" s="1238">
        <f>INDEX(SP_CFA_CFO,0,COLUMN())/INDEX(SP_CS_ShareCount,0,COLUMN())</f>
        <v/>
      </c>
      <c r="D78" s="1238">
        <f>INDEX(SP_CFA_CFO,0,COLUMN())/INDEX(SP_CS_ShareCount,0,COLUMN())</f>
        <v/>
      </c>
      <c r="E78" s="1238">
        <f>INDEX(SP_CFA_CFO,0,COLUMN())/INDEX(SP_CS_ShareCount,0,COLUMN())</f>
        <v/>
      </c>
      <c r="F78" s="1238">
        <f>INDEX(SP_CFA_CFO,0,COLUMN())/INDEX(SP_CS_ShareCount,0,COLUMN())</f>
        <v/>
      </c>
      <c r="G78" s="133">
        <f>INDEX(SP_CFA_CFO,0,COLUMN())/INDEX(SP_CS_ShareCount,0,COLUMN())</f>
        <v/>
      </c>
      <c r="H78" s="133">
        <f>INDEX(SP_CFA_CFO,0,COLUMN())/INDEX(SP_CS_ShareCount,0,COLUMN())</f>
        <v/>
      </c>
      <c r="I78" s="133">
        <f>INDEX(SP_CFA_CFO,0,COLUMN())/INDEX(SP_CS_ShareCount,0,COLUMN())</f>
        <v/>
      </c>
      <c r="J78" s="133">
        <f>INDEX(SP_CFA_CFO,0,COLUMN())/INDEX(SP_CS_ShareCount,0,COLUMN())</f>
        <v/>
      </c>
      <c r="K78" s="1238">
        <f>INDEX(SP_CFA_CFO,0,COLUMN())/INDEX(SP_CS_ShareCount,0,COLUMN())</f>
        <v/>
      </c>
      <c r="L78" s="133">
        <f>INDEX(SP_CFA_CFO,0,COLUMN())/INDEX(SP_CS_ShareCount,0,COLUMN())</f>
        <v/>
      </c>
      <c r="M78" s="133">
        <f>INDEX(SP_CFA_CFO,0,COLUMN())/INDEX(SP_CS_ShareCount,0,COLUMN())</f>
        <v/>
      </c>
      <c r="N78" s="133">
        <f>INDEX(SP_CFA_CFO,0,COLUMN())/INDEX(SP_CS_ShareCount,0,COLUMN())</f>
        <v/>
      </c>
      <c r="O78" s="133">
        <f>INDEX(SP_CFA_CFO,0,COLUMN())/INDEX(SP_CS_ShareCount,0,COLUMN())</f>
        <v/>
      </c>
      <c r="P78" s="1238">
        <f>INDEX(SP_CFA_CFO,0,COLUMN())/INDEX(SP_CS_ShareCount,0,COLUMN())</f>
        <v/>
      </c>
      <c r="Q78" s="133">
        <f>INDEX(SP_CFA_CFO,0,COLUMN())/INDEX(SP_CS_ShareCount,0,COLUMN())</f>
        <v/>
      </c>
      <c r="R78" s="133">
        <f>INDEX(SP_CFA_CFO,0,COLUMN())/INDEX(SP_CS_ShareCount,0,COLUMN())</f>
        <v/>
      </c>
      <c r="S78" s="133">
        <f>INDEX(SP_CFA_CFO,0,COLUMN())/INDEX(SP_CS_ShareCount,0,COLUMN())</f>
        <v/>
      </c>
      <c r="T78" s="133">
        <f>INDEX(SP_CFA_CFO,0,COLUMN())/INDEX(SP_CS_ShareCount,0,COLUMN())</f>
        <v/>
      </c>
      <c r="U78" s="1238">
        <f>INDEX(SP_CFA_CFO,0,COLUMN())/INDEX(SP_CS_ShareCount,0,COLUMN())</f>
        <v/>
      </c>
      <c r="V78" s="133">
        <f>INDEX(SP_CFA_CFO,0,COLUMN())/INDEX(SP_CS_ShareCount,0,COLUMN())</f>
        <v/>
      </c>
      <c r="W78" s="133">
        <f>INDEX(SP_CFA_CFO,0,COLUMN())/INDEX(SP_CS_ShareCount,0,COLUMN())</f>
        <v/>
      </c>
      <c r="X78" s="133">
        <f>INDEX(SP_CFA_CFO,0,COLUMN())/INDEX(SP_CS_ShareCount,0,COLUMN())</f>
        <v/>
      </c>
      <c r="Y78" s="133">
        <f>INDEX(SP_CFA_CFO,0,COLUMN())/INDEX(SP_CS_ShareCount,0,COLUMN())</f>
        <v/>
      </c>
      <c r="Z78" s="1238">
        <f>INDEX(SP_CFA_CFO,0,COLUMN())/INDEX(SP_CS_ShareCount,0,COLUMN())</f>
        <v/>
      </c>
      <c r="AA78" s="133">
        <f>INDEX(SP_CFA_CFO,0,COLUMN())/INDEX(SP_CS_ShareCount,0,COLUMN())</f>
        <v/>
      </c>
      <c r="AB78" s="133">
        <f>INDEX(SP_CFA_CFO,0,COLUMN())/INDEX(SP_CS_ShareCount,0,COLUMN())</f>
        <v/>
      </c>
      <c r="AC78" s="133">
        <f>INDEX(SP_CFA_CFO,0,COLUMN())/INDEX(SP_CS_ShareCount,0,COLUMN())</f>
        <v/>
      </c>
      <c r="AD78" s="133">
        <f>INDEX(SP_CFA_CFO,0,COLUMN())/INDEX(SP_CS_ShareCount,0,COLUMN())</f>
        <v/>
      </c>
      <c r="AE78" s="1238">
        <f>INDEX(SP_CFA_CFO,0,COLUMN())/INDEX(SP_CS_ShareCount,0,COLUMN())</f>
        <v/>
      </c>
      <c r="AF78" s="133">
        <f>INDEX(SP_CFA_CFO,0,COLUMN())/INDEX(SP_CS_ShareCount,0,COLUMN())</f>
        <v/>
      </c>
      <c r="AG78" s="133">
        <f>INDEX(SP_CFA_CFO,0,COLUMN())/INDEX(SP_CS_ShareCount,0,COLUMN())</f>
        <v/>
      </c>
      <c r="AH78" s="133">
        <f>INDEX(SP_CFA_CFO,0,COLUMN())/INDEX(SP_CS_ShareCount,0,COLUMN())</f>
        <v/>
      </c>
      <c r="AI78" s="133">
        <f>INDEX(SP_CFA_CFO,0,COLUMN())/INDEX(SP_CS_ShareCount,0,COLUMN())</f>
        <v/>
      </c>
      <c r="AJ78" s="1238">
        <f>INDEX(SP_CFA_CFO,0,COLUMN())/INDEX(SP_CS_ShareCount,0,COLUMN())</f>
        <v/>
      </c>
      <c r="AK78" s="133">
        <f>INDEX(SP_CFA_CFO,0,COLUMN())/INDEX(SP_CS_ShareCount,0,COLUMN())</f>
        <v/>
      </c>
      <c r="AL78" s="133">
        <f>INDEX(SP_CFA_CFO,0,COLUMN())/INDEX(SP_CS_ShareCount,0,COLUMN())</f>
        <v/>
      </c>
      <c r="AM78" s="133">
        <f>INDEX(SP_CFA_CFO,0,COLUMN())/INDEX(SP_CS_ShareCount,0,COLUMN())</f>
        <v/>
      </c>
      <c r="AN78" s="133">
        <f>INDEX(SP_CFA_CFO,0,COLUMN())/INDEX(SP_CS_ShareCount,0,COLUMN())</f>
        <v/>
      </c>
      <c r="AO78" s="1238">
        <f>INDEX(SP_CFA_CFO,0,COLUMN())/INDEX(SP_CS_ShareCount,0,COLUMN())</f>
        <v/>
      </c>
      <c r="AP78" s="133">
        <f>INDEX(SP_CFA_CFO,0,COLUMN())/INDEX(SP_CS_ShareCount,0,COLUMN())</f>
        <v/>
      </c>
      <c r="AQ78" s="133">
        <f>INDEX(SP_CFA_CFO,0,COLUMN())/INDEX(SP_CS_ShareCount,0,COLUMN())</f>
        <v/>
      </c>
      <c r="AR78" s="133">
        <f>INDEX(SP_CFA_CFO,0,COLUMN())/INDEX(SP_CS_ShareCount,0,COLUMN())</f>
        <v/>
      </c>
      <c r="AS78" s="133">
        <f>INDEX(SP_CFA_CFO,0,COLUMN())/INDEX(SP_CS_ShareCount,0,COLUMN())</f>
        <v/>
      </c>
      <c r="AT78" s="1238">
        <f>INDEX(SP_CFA_CFO,0,COLUMN())/INDEX(SP_CS_ShareCount,0,COLUMN())</f>
        <v/>
      </c>
      <c r="AU78" s="133">
        <f>INDEX(SP_CFA_CFO,0,COLUMN())/INDEX(SP_CS_ShareCount,0,COLUMN())</f>
        <v/>
      </c>
      <c r="AV78" s="133">
        <f>INDEX(SP_CFA_CFO,0,COLUMN())/INDEX(SP_CS_ShareCount,0,COLUMN())</f>
        <v/>
      </c>
      <c r="AW78" s="133">
        <f>INDEX(SP_CFA_CFO,0,COLUMN())/INDEX(SP_CS_ShareCount,0,COLUMN())</f>
        <v/>
      </c>
      <c r="AX78" s="133">
        <f>INDEX(SP_CFA_CFO,0,COLUMN())/INDEX(SP_CS_ShareCount,0,COLUMN())</f>
        <v/>
      </c>
      <c r="AY78" s="1238">
        <f>INDEX(SP_CFA_CFO,0,COLUMN())/INDEX(SP_CS_ShareCount,0,COLUMN())</f>
        <v/>
      </c>
      <c r="AZ78" s="133">
        <f>INDEX(SP_CFA_CFO,0,COLUMN())/INDEX(SP_CS_ShareCount,0,COLUMN())</f>
        <v/>
      </c>
      <c r="BA78" s="133">
        <f>INDEX(SP_CFA_CFO,0,COLUMN())/INDEX(SP_CS_ShareCount,0,COLUMN())</f>
        <v/>
      </c>
      <c r="BB78" s="133">
        <f>INDEX(SP_CFA_CFO,0,COLUMN())/INDEX(SP_CS_ShareCount,0,COLUMN())</f>
        <v/>
      </c>
      <c r="BC78" s="133">
        <f>INDEX(SP_CFA_CFO,0,COLUMN())/INDEX(SP_CS_ShareCount,0,COLUMN())</f>
        <v/>
      </c>
      <c r="BD78" s="1238">
        <f>INDEX(SP_CFA_CFO,0,COLUMN())/INDEX(SP_CS_ShareCount,0,COLUMN())</f>
        <v/>
      </c>
      <c r="BE78" s="133">
        <f>INDEX(SP_CFA_CFO,0,COLUMN())/INDEX(SP_CS_ShareCount,0,COLUMN())</f>
        <v/>
      </c>
      <c r="BF78" s="133">
        <f>INDEX(SP_CFA_CFO,0,COLUMN())/INDEX(SP_CS_ShareCount,0,COLUMN())</f>
        <v/>
      </c>
      <c r="BG78" s="133">
        <f>INDEX(SP_CFA_CFO,0,COLUMN())/INDEX(SP_CS_ShareCount,0,COLUMN())</f>
        <v/>
      </c>
      <c r="BH78" s="133">
        <f>INDEX(SP_CFA_CFO,0,COLUMN())/INDEX(SP_CS_ShareCount,0,COLUMN())</f>
        <v/>
      </c>
      <c r="BI78" s="1238">
        <f>INDEX(SP_CFA_CFO,0,COLUMN())/INDEX(SP_CS_ShareCount,0,COLUMN())</f>
        <v/>
      </c>
      <c r="BJ78" s="133">
        <f>INDEX(SP_CFA_CFO,0,COLUMN())/INDEX(SP_CS_ShareCount,0,COLUMN())</f>
        <v/>
      </c>
      <c r="BK78" s="133">
        <f>INDEX(SP_CFA_CFO,0,COLUMN())/INDEX(SP_CS_ShareCount,0,COLUMN())</f>
        <v/>
      </c>
      <c r="BL78" s="133">
        <f>INDEX(SP_CFA_CFO,0,COLUMN())/INDEX(SP_CS_ShareCount,0,COLUMN())</f>
        <v/>
      </c>
      <c r="BM78" s="133">
        <f>INDEX(SP_CFA_CFO,0,COLUMN())/INDEX(SP_CS_ShareCount,0,COLUMN())</f>
        <v/>
      </c>
      <c r="BN78" s="1238">
        <f>INDEX(SP_CFA_CFO,0,COLUMN())/INDEX(SP_CS_ShareCount,0,COLUMN())</f>
        <v/>
      </c>
      <c r="BO78" s="133">
        <f>INDEX(SP_CFA_CFO,0,COLUMN())/INDEX(SP_CS_ShareCount,0,COLUMN())</f>
        <v/>
      </c>
      <c r="BP78" s="133">
        <f>INDEX(SP_CFA_CFO,0,COLUMN())/INDEX(SP_CS_ShareCount,0,COLUMN())</f>
        <v/>
      </c>
      <c r="BQ78" s="133">
        <f>INDEX(SP_CFA_CFO,0,COLUMN())/INDEX(SP_CS_ShareCount,0,COLUMN())</f>
        <v/>
      </c>
      <c r="BR78" s="133">
        <f>INDEX(SP_CFA_CFO,0,COLUMN())/INDEX(SP_CS_ShareCount,0,COLUMN())</f>
        <v/>
      </c>
      <c r="BS78" s="1238">
        <f>INDEX(SP_CFA_CFO,0,COLUMN())/INDEX(SP_CS_ShareCount,0,COLUMN())</f>
        <v/>
      </c>
      <c r="BT78" s="133">
        <f>INDEX(SP_CFA_CFO,0,COLUMN())/INDEX(SP_CS_ShareCount,0,COLUMN())</f>
        <v/>
      </c>
      <c r="BU78" s="133">
        <f>INDEX(SP_CFA_CFO,0,COLUMN())/INDEX(SP_CS_ShareCount,0,COLUMN())</f>
        <v/>
      </c>
      <c r="BV78" s="948">
        <f>INDEX(SP_CFA_CFO,0,COLUMN())/INDEX(SP_CS_ShareCount,0,COLUMN())</f>
        <v/>
      </c>
      <c r="BW78" s="133">
        <f>INDEX(SP_CFA_CFO,0,COLUMN())/INDEX(SP_CS_ShareCount,0,COLUMN())</f>
        <v/>
      </c>
      <c r="BX78" s="1238">
        <f>INDEX(SP_CFA_CFO,0,COLUMN())/INDEX(SP_CS_ShareCount,0,COLUMN())</f>
        <v/>
      </c>
      <c r="BY78" s="133">
        <f>INDEX(SP_CFA_CFO,0,COLUMN())/INDEX(SP_CS_ShareCount,0,COLUMN())</f>
        <v/>
      </c>
      <c r="BZ78" s="133">
        <f>INDEX(SP_CFA_CFO,0,COLUMN())/INDEX(SP_CS_ShareCount,0,COLUMN())</f>
        <v/>
      </c>
      <c r="CA78" s="133">
        <f>INDEX(SP_CFA_CFO,0,COLUMN())/INDEX(SP_CS_ShareCount,0,COLUMN())</f>
        <v/>
      </c>
      <c r="CB78" s="133">
        <f>INDEX(SP_CFA_CFO,0,COLUMN())/INDEX(SP_CS_ShareCount,0,COLUMN())</f>
        <v/>
      </c>
      <c r="CC78" s="1238">
        <f>INDEX(SP_CFA_CFO,0,COLUMN())/INDEX(SP_CS_ShareCount,0,COLUMN())</f>
        <v/>
      </c>
      <c r="CD78" s="1238">
        <f>INDEX(SP_CFA_CFO,0,COLUMN())/INDEX(SP_CS_ShareCount,0,COLUMN())</f>
        <v/>
      </c>
      <c r="CE78" s="1238">
        <f>INDEX(SP_CFA_CFO,0,COLUMN())/INDEX(SP_CS_ShareCount,0,COLUMN())</f>
        <v/>
      </c>
      <c r="CF78" s="1238">
        <f>INDEX(SP_CFA_CFO,0,COLUMN())/INDEX(SP_CS_ShareCount,0,COLUMN())</f>
        <v/>
      </c>
      <c r="CG78" s="133" t="n"/>
    </row>
    <row r="79" customFormat="1" s="972">
      <c r="A79" s="211" t="inlineStr">
        <is>
          <t>Core Free Cash Flow Per Share, Pre Div</t>
        </is>
      </c>
      <c r="B79" s="210" t="n"/>
      <c r="C79" s="1238">
        <f>INDEX(SP_CFA_FCF_PreDiv,0,COLUMN())/INDEX(SP_CS_ShareCount,0,COLUMN())</f>
        <v/>
      </c>
      <c r="D79" s="1238">
        <f>INDEX(SP_CFA_FCF_PreDiv,0,COLUMN())/INDEX(SP_CS_ShareCount,0,COLUMN())</f>
        <v/>
      </c>
      <c r="E79" s="1238">
        <f>INDEX(SP_CFA_FCF_PreDiv,0,COLUMN())/INDEX(SP_CS_ShareCount,0,COLUMN())</f>
        <v/>
      </c>
      <c r="F79" s="1238">
        <f>INDEX(SP_CFA_FCF_PreDiv,0,COLUMN())/INDEX(SP_CS_ShareCount,0,COLUMN())</f>
        <v/>
      </c>
      <c r="G79" s="133">
        <f>INDEX(SP_CFA_FCF_PreDiv,0,COLUMN())/INDEX(SP_CS_ShareCount,0,COLUMN())</f>
        <v/>
      </c>
      <c r="H79" s="133">
        <f>INDEX(SP_CFA_FCF_PreDiv,0,COLUMN())/INDEX(SP_CS_ShareCount,0,COLUMN())</f>
        <v/>
      </c>
      <c r="I79" s="133">
        <f>INDEX(SP_CFA_FCF_PreDiv,0,COLUMN())/INDEX(SP_CS_ShareCount,0,COLUMN())</f>
        <v/>
      </c>
      <c r="J79" s="133">
        <f>INDEX(SP_CFA_FCF_PreDiv,0,COLUMN())/INDEX(SP_CS_ShareCount,0,COLUMN())</f>
        <v/>
      </c>
      <c r="K79" s="1238">
        <f>INDEX(SP_CFA_FCF_PreDiv,0,COLUMN())/INDEX(SP_CS_ShareCount,0,COLUMN())</f>
        <v/>
      </c>
      <c r="L79" s="133">
        <f>INDEX(SP_CFA_FCF_PreDiv,0,COLUMN())/INDEX(SP_CS_ShareCount,0,COLUMN())</f>
        <v/>
      </c>
      <c r="M79" s="133">
        <f>INDEX(SP_CFA_FCF_PreDiv,0,COLUMN())/INDEX(SP_CS_ShareCount,0,COLUMN())</f>
        <v/>
      </c>
      <c r="N79" s="133">
        <f>INDEX(SP_CFA_FCF_PreDiv,0,COLUMN())/INDEX(SP_CS_ShareCount,0,COLUMN())</f>
        <v/>
      </c>
      <c r="O79" s="133">
        <f>INDEX(SP_CFA_FCF_PreDiv,0,COLUMN())/INDEX(SP_CS_ShareCount,0,COLUMN())</f>
        <v/>
      </c>
      <c r="P79" s="1238">
        <f>INDEX(SP_CFA_FCF_PreDiv,0,COLUMN())/INDEX(SP_CS_ShareCount,0,COLUMN())</f>
        <v/>
      </c>
      <c r="Q79" s="133">
        <f>INDEX(SP_CFA_FCF_PreDiv,0,COLUMN())/INDEX(SP_CS_ShareCount,0,COLUMN())</f>
        <v/>
      </c>
      <c r="R79" s="133">
        <f>INDEX(SP_CFA_FCF_PreDiv,0,COLUMN())/INDEX(SP_CS_ShareCount,0,COLUMN())</f>
        <v/>
      </c>
      <c r="S79" s="133">
        <f>INDEX(SP_CFA_FCF_PreDiv,0,COLUMN())/INDEX(SP_CS_ShareCount,0,COLUMN())</f>
        <v/>
      </c>
      <c r="T79" s="133">
        <f>INDEX(SP_CFA_FCF_PreDiv,0,COLUMN())/INDEX(SP_CS_ShareCount,0,COLUMN())</f>
        <v/>
      </c>
      <c r="U79" s="1238">
        <f>INDEX(SP_CFA_FCF_PreDiv,0,COLUMN())/INDEX(SP_CS_ShareCount,0,COLUMN())</f>
        <v/>
      </c>
      <c r="V79" s="133">
        <f>INDEX(SP_CFA_FCF_PreDiv,0,COLUMN())/INDEX(SP_CS_ShareCount,0,COLUMN())</f>
        <v/>
      </c>
      <c r="W79" s="133">
        <f>INDEX(SP_CFA_FCF_PreDiv,0,COLUMN())/INDEX(SP_CS_ShareCount,0,COLUMN())</f>
        <v/>
      </c>
      <c r="X79" s="133">
        <f>INDEX(SP_CFA_FCF_PreDiv,0,COLUMN())/INDEX(SP_CS_ShareCount,0,COLUMN())</f>
        <v/>
      </c>
      <c r="Y79" s="133">
        <f>INDEX(SP_CFA_FCF_PreDiv,0,COLUMN())/INDEX(SP_CS_ShareCount,0,COLUMN())</f>
        <v/>
      </c>
      <c r="Z79" s="1238">
        <f>INDEX(SP_CFA_FCF_PreDiv,0,COLUMN())/INDEX(SP_CS_ShareCount,0,COLUMN())</f>
        <v/>
      </c>
      <c r="AA79" s="133">
        <f>INDEX(SP_CFA_FCF_PreDiv,0,COLUMN())/INDEX(SP_CS_ShareCount,0,COLUMN())</f>
        <v/>
      </c>
      <c r="AB79" s="133">
        <f>INDEX(SP_CFA_FCF_PreDiv,0,COLUMN())/INDEX(SP_CS_ShareCount,0,COLUMN())</f>
        <v/>
      </c>
      <c r="AC79" s="133">
        <f>INDEX(SP_CFA_FCF_PreDiv,0,COLUMN())/INDEX(SP_CS_ShareCount,0,COLUMN())</f>
        <v/>
      </c>
      <c r="AD79" s="133">
        <f>INDEX(SP_CFA_FCF_PreDiv,0,COLUMN())/INDEX(SP_CS_ShareCount,0,COLUMN())</f>
        <v/>
      </c>
      <c r="AE79" s="1238">
        <f>INDEX(SP_CFA_FCF_PreDiv,0,COLUMN())/INDEX(SP_CS_ShareCount,0,COLUMN())</f>
        <v/>
      </c>
      <c r="AF79" s="133">
        <f>INDEX(SP_CFA_FCF_PreDiv,0,COLUMN())/INDEX(SP_CS_ShareCount,0,COLUMN())</f>
        <v/>
      </c>
      <c r="AG79" s="133">
        <f>INDEX(SP_CFA_FCF_PreDiv,0,COLUMN())/INDEX(SP_CS_ShareCount,0,COLUMN())</f>
        <v/>
      </c>
      <c r="AH79" s="133">
        <f>INDEX(SP_CFA_FCF_PreDiv,0,COLUMN())/INDEX(SP_CS_ShareCount,0,COLUMN())</f>
        <v/>
      </c>
      <c r="AI79" s="133">
        <f>INDEX(SP_CFA_FCF_PreDiv,0,COLUMN())/INDEX(SP_CS_ShareCount,0,COLUMN())</f>
        <v/>
      </c>
      <c r="AJ79" s="1238">
        <f>INDEX(SP_CFA_FCF_PreDiv,0,COLUMN())/INDEX(SP_CS_ShareCount,0,COLUMN())</f>
        <v/>
      </c>
      <c r="AK79" s="133">
        <f>INDEX(SP_CFA_FCF_PreDiv,0,COLUMN())/INDEX(SP_CS_ShareCount,0,COLUMN())</f>
        <v/>
      </c>
      <c r="AL79" s="133">
        <f>INDEX(SP_CFA_FCF_PreDiv,0,COLUMN())/INDEX(SP_CS_ShareCount,0,COLUMN())</f>
        <v/>
      </c>
      <c r="AM79" s="133">
        <f>INDEX(SP_CFA_FCF_PreDiv,0,COLUMN())/INDEX(SP_CS_ShareCount,0,COLUMN())</f>
        <v/>
      </c>
      <c r="AN79" s="133">
        <f>INDEX(SP_CFA_FCF_PreDiv,0,COLUMN())/INDEX(SP_CS_ShareCount,0,COLUMN())</f>
        <v/>
      </c>
      <c r="AO79" s="1238">
        <f>INDEX(SP_CFA_FCF_PreDiv,0,COLUMN())/INDEX(SP_CS_ShareCount,0,COLUMN())</f>
        <v/>
      </c>
      <c r="AP79" s="133">
        <f>INDEX(SP_CFA_FCF_PreDiv,0,COLUMN())/INDEX(SP_CS_ShareCount,0,COLUMN())</f>
        <v/>
      </c>
      <c r="AQ79" s="133">
        <f>INDEX(SP_CFA_FCF_PreDiv,0,COLUMN())/INDEX(SP_CS_ShareCount,0,COLUMN())</f>
        <v/>
      </c>
      <c r="AR79" s="133">
        <f>INDEX(SP_CFA_FCF_PreDiv,0,COLUMN())/INDEX(SP_CS_ShareCount,0,COLUMN())</f>
        <v/>
      </c>
      <c r="AS79" s="133">
        <f>INDEX(SP_CFA_FCF_PreDiv,0,COLUMN())/INDEX(SP_CS_ShareCount,0,COLUMN())</f>
        <v/>
      </c>
      <c r="AT79" s="1238">
        <f>INDEX(SP_CFA_FCF_PreDiv,0,COLUMN())/INDEX(SP_CS_ShareCount,0,COLUMN())</f>
        <v/>
      </c>
      <c r="AU79" s="133">
        <f>INDEX(SP_CFA_FCF_PreDiv,0,COLUMN())/INDEX(SP_CS_ShareCount,0,COLUMN())</f>
        <v/>
      </c>
      <c r="AV79" s="133">
        <f>INDEX(SP_CFA_FCF_PreDiv,0,COLUMN())/INDEX(SP_CS_ShareCount,0,COLUMN())</f>
        <v/>
      </c>
      <c r="AW79" s="133">
        <f>INDEX(SP_CFA_FCF_PreDiv,0,COLUMN())/INDEX(SP_CS_ShareCount,0,COLUMN())</f>
        <v/>
      </c>
      <c r="AX79" s="133">
        <f>INDEX(SP_CFA_FCF_PreDiv,0,COLUMN())/INDEX(SP_CS_ShareCount,0,COLUMN())</f>
        <v/>
      </c>
      <c r="AY79" s="1238">
        <f>INDEX(SP_CFA_FCF_PreDiv,0,COLUMN())/INDEX(SP_CS_ShareCount,0,COLUMN())</f>
        <v/>
      </c>
      <c r="AZ79" s="133">
        <f>INDEX(SP_CFA_FCF_PreDiv,0,COLUMN())/INDEX(SP_CS_ShareCount,0,COLUMN())</f>
        <v/>
      </c>
      <c r="BA79" s="133">
        <f>INDEX(SP_CFA_FCF_PreDiv,0,COLUMN())/INDEX(SP_CS_ShareCount,0,COLUMN())</f>
        <v/>
      </c>
      <c r="BB79" s="133">
        <f>INDEX(SP_CFA_FCF_PreDiv,0,COLUMN())/INDEX(SP_CS_ShareCount,0,COLUMN())</f>
        <v/>
      </c>
      <c r="BC79" s="133">
        <f>INDEX(SP_CFA_FCF_PreDiv,0,COLUMN())/INDEX(SP_CS_ShareCount,0,COLUMN())</f>
        <v/>
      </c>
      <c r="BD79" s="1238">
        <f>INDEX(SP_CFA_FCF_PreDiv,0,COLUMN())/INDEX(SP_CS_ShareCount,0,COLUMN())</f>
        <v/>
      </c>
      <c r="BE79" s="133">
        <f>INDEX(SP_CFA_FCF_PreDiv,0,COLUMN())/INDEX(SP_CS_ShareCount,0,COLUMN())</f>
        <v/>
      </c>
      <c r="BF79" s="133">
        <f>INDEX(SP_CFA_FCF_PreDiv,0,COLUMN())/INDEX(SP_CS_ShareCount,0,COLUMN())</f>
        <v/>
      </c>
      <c r="BG79" s="133">
        <f>INDEX(SP_CFA_FCF_PreDiv,0,COLUMN())/INDEX(SP_CS_ShareCount,0,COLUMN())</f>
        <v/>
      </c>
      <c r="BH79" s="133">
        <f>INDEX(SP_CFA_FCF_PreDiv,0,COLUMN())/INDEX(SP_CS_ShareCount,0,COLUMN())</f>
        <v/>
      </c>
      <c r="BI79" s="1238">
        <f>INDEX(SP_CFA_FCF_PreDiv,0,COLUMN())/INDEX(SP_CS_ShareCount,0,COLUMN())</f>
        <v/>
      </c>
      <c r="BJ79" s="133">
        <f>INDEX(SP_CFA_FCF_PreDiv,0,COLUMN())/INDEX(SP_CS_ShareCount,0,COLUMN())</f>
        <v/>
      </c>
      <c r="BK79" s="133">
        <f>INDEX(SP_CFA_FCF_PreDiv,0,COLUMN())/INDEX(SP_CS_ShareCount,0,COLUMN())</f>
        <v/>
      </c>
      <c r="BL79" s="133">
        <f>INDEX(SP_CFA_FCF_PreDiv,0,COLUMN())/INDEX(SP_CS_ShareCount,0,COLUMN())</f>
        <v/>
      </c>
      <c r="BM79" s="133">
        <f>INDEX(SP_CFA_FCF_PreDiv,0,COLUMN())/INDEX(SP_CS_ShareCount,0,COLUMN())</f>
        <v/>
      </c>
      <c r="BN79" s="1238">
        <f>INDEX(SP_CFA_FCF_PreDiv,0,COLUMN())/INDEX(SP_CS_ShareCount,0,COLUMN())</f>
        <v/>
      </c>
      <c r="BO79" s="133">
        <f>INDEX(SP_CFA_FCF_PreDiv,0,COLUMN())/INDEX(SP_CS_ShareCount,0,COLUMN())</f>
        <v/>
      </c>
      <c r="BP79" s="133">
        <f>INDEX(SP_CFA_FCF_PreDiv,0,COLUMN())/INDEX(SP_CS_ShareCount,0,COLUMN())</f>
        <v/>
      </c>
      <c r="BQ79" s="133">
        <f>INDEX(SP_CFA_FCF_PreDiv,0,COLUMN())/INDEX(SP_CS_ShareCount,0,COLUMN())</f>
        <v/>
      </c>
      <c r="BR79" s="133">
        <f>INDEX(SP_CFA_FCF_PreDiv,0,COLUMN())/INDEX(SP_CS_ShareCount,0,COLUMN())</f>
        <v/>
      </c>
      <c r="BS79" s="1238">
        <f>INDEX(SP_CFA_FCF_PreDiv,0,COLUMN())/INDEX(SP_CS_ShareCount,0,COLUMN())</f>
        <v/>
      </c>
      <c r="BT79" s="133">
        <f>INDEX(SP_CFA_FCF_PreDiv,0,COLUMN())/INDEX(SP_CS_ShareCount,0,COLUMN())</f>
        <v/>
      </c>
      <c r="BU79" s="133">
        <f>INDEX(SP_CFA_FCF_PreDiv,0,COLUMN())/INDEX(SP_CS_ShareCount,0,COLUMN())</f>
        <v/>
      </c>
      <c r="BV79" s="948">
        <f>INDEX(SP_CFA_FCF_PreDiv,0,COLUMN())/INDEX(SP_CS_ShareCount,0,COLUMN())</f>
        <v/>
      </c>
      <c r="BW79" s="133">
        <f>INDEX(SP_CFA_FCF_PreDiv,0,COLUMN())/INDEX(SP_CS_ShareCount,0,COLUMN())</f>
        <v/>
      </c>
      <c r="BX79" s="1238">
        <f>INDEX(SP_CFA_FCF_PreDiv,0,COLUMN())/INDEX(SP_CS_ShareCount,0,COLUMN())</f>
        <v/>
      </c>
      <c r="BY79" s="133">
        <f>INDEX(SP_CFA_FCF_PreDiv,0,COLUMN())/INDEX(SP_CS_ShareCount,0,COLUMN())</f>
        <v/>
      </c>
      <c r="BZ79" s="133">
        <f>INDEX(SP_CFA_FCF_PreDiv,0,COLUMN())/INDEX(SP_CS_ShareCount,0,COLUMN())</f>
        <v/>
      </c>
      <c r="CA79" s="133">
        <f>INDEX(SP_CFA_FCF_PreDiv,0,COLUMN())/INDEX(SP_CS_ShareCount,0,COLUMN())</f>
        <v/>
      </c>
      <c r="CB79" s="133">
        <f>INDEX(SP_CFA_FCF_PreDiv,0,COLUMN())/INDEX(SP_CS_ShareCount,0,COLUMN())</f>
        <v/>
      </c>
      <c r="CC79" s="1238">
        <f>INDEX(SP_CFA_FCF_PreDiv,0,COLUMN())/INDEX(SP_CS_ShareCount,0,COLUMN())</f>
        <v/>
      </c>
      <c r="CD79" s="1238">
        <f>INDEX(SP_CFA_FCF_PreDiv,0,COLUMN())/INDEX(SP_CS_ShareCount,0,COLUMN())</f>
        <v/>
      </c>
      <c r="CE79" s="1238">
        <f>INDEX(SP_CFA_FCF_PreDiv,0,COLUMN())/INDEX(SP_CS_ShareCount,0,COLUMN())</f>
        <v/>
      </c>
      <c r="CF79" s="1238">
        <f>INDEX(SP_CFA_FCF_PreDiv,0,COLUMN())/INDEX(SP_CS_ShareCount,0,COLUMN())</f>
        <v/>
      </c>
      <c r="CG79" s="133" t="n"/>
    </row>
    <row r="80" customFormat="1" s="972">
      <c r="A80" s="211" t="inlineStr">
        <is>
          <t>Dividend Per Share</t>
        </is>
      </c>
      <c r="B80" s="210" t="n"/>
      <c r="C80" s="1238">
        <f>INDEX(MO_CFSum_DPS,0,COLUMN())</f>
        <v/>
      </c>
      <c r="D80" s="1238">
        <f>INDEX(MO_CFSum_DPS,0,COLUMN())</f>
        <v/>
      </c>
      <c r="E80" s="1238">
        <f>INDEX(MO_CFSum_DPS,0,COLUMN())</f>
        <v/>
      </c>
      <c r="F80" s="1238">
        <f>INDEX(MO_CFSum_DPS,0,COLUMN())</f>
        <v/>
      </c>
      <c r="G80" s="133">
        <f>INDEX(MO_CFSum_DPS,0,COLUMN())</f>
        <v/>
      </c>
      <c r="H80" s="133">
        <f>INDEX(MO_CFSum_DPS,0,COLUMN())</f>
        <v/>
      </c>
      <c r="I80" s="133">
        <f>INDEX(MO_CFSum_DPS,0,COLUMN())</f>
        <v/>
      </c>
      <c r="J80" s="133">
        <f>INDEX(MO_CFSum_DPS,0,COLUMN())</f>
        <v/>
      </c>
      <c r="K80" s="1238">
        <f>INDEX(MO_CFSum_DPS,0,COLUMN())</f>
        <v/>
      </c>
      <c r="L80" s="133">
        <f>INDEX(MO_CFSum_DPS,0,COLUMN())</f>
        <v/>
      </c>
      <c r="M80" s="133">
        <f>INDEX(MO_CFSum_DPS,0,COLUMN())</f>
        <v/>
      </c>
      <c r="N80" s="133">
        <f>INDEX(MO_CFSum_DPS,0,COLUMN())</f>
        <v/>
      </c>
      <c r="O80" s="133">
        <f>INDEX(MO_CFSum_DPS,0,COLUMN())</f>
        <v/>
      </c>
      <c r="P80" s="1238">
        <f>INDEX(MO_CFSum_DPS,0,COLUMN())</f>
        <v/>
      </c>
      <c r="Q80" s="133">
        <f>INDEX(MO_CFSum_DPS,0,COLUMN())</f>
        <v/>
      </c>
      <c r="R80" s="133">
        <f>INDEX(MO_CFSum_DPS,0,COLUMN())</f>
        <v/>
      </c>
      <c r="S80" s="133">
        <f>INDEX(MO_CFSum_DPS,0,COLUMN())</f>
        <v/>
      </c>
      <c r="T80" s="133">
        <f>INDEX(MO_CFSum_DPS,0,COLUMN())</f>
        <v/>
      </c>
      <c r="U80" s="1238">
        <f>INDEX(MO_CFSum_DPS,0,COLUMN())</f>
        <v/>
      </c>
      <c r="V80" s="133">
        <f>INDEX(MO_CFSum_DPS,0,COLUMN())</f>
        <v/>
      </c>
      <c r="W80" s="133">
        <f>INDEX(MO_CFSum_DPS,0,COLUMN())</f>
        <v/>
      </c>
      <c r="X80" s="133">
        <f>INDEX(MO_CFSum_DPS,0,COLUMN())</f>
        <v/>
      </c>
      <c r="Y80" s="133">
        <f>INDEX(MO_CFSum_DPS,0,COLUMN())</f>
        <v/>
      </c>
      <c r="Z80" s="1238">
        <f>INDEX(MO_CFSum_DPS,0,COLUMN())</f>
        <v/>
      </c>
      <c r="AA80" s="133">
        <f>INDEX(MO_CFSum_DPS,0,COLUMN())</f>
        <v/>
      </c>
      <c r="AB80" s="133">
        <f>INDEX(MO_CFSum_DPS,0,COLUMN())</f>
        <v/>
      </c>
      <c r="AC80" s="133">
        <f>INDEX(MO_CFSum_DPS,0,COLUMN())</f>
        <v/>
      </c>
      <c r="AD80" s="133">
        <f>INDEX(MO_CFSum_DPS,0,COLUMN())</f>
        <v/>
      </c>
      <c r="AE80" s="1238">
        <f>INDEX(MO_CFSum_DPS,0,COLUMN())</f>
        <v/>
      </c>
      <c r="AF80" s="133">
        <f>INDEX(MO_CFSum_DPS,0,COLUMN())</f>
        <v/>
      </c>
      <c r="AG80" s="133">
        <f>INDEX(MO_CFSum_DPS,0,COLUMN())</f>
        <v/>
      </c>
      <c r="AH80" s="133">
        <f>INDEX(MO_CFSum_DPS,0,COLUMN())</f>
        <v/>
      </c>
      <c r="AI80" s="133">
        <f>INDEX(MO_CFSum_DPS,0,COLUMN())</f>
        <v/>
      </c>
      <c r="AJ80" s="1238">
        <f>INDEX(MO_CFSum_DPS,0,COLUMN())</f>
        <v/>
      </c>
      <c r="AK80" s="133">
        <f>INDEX(MO_CFSum_DPS,0,COLUMN())</f>
        <v/>
      </c>
      <c r="AL80" s="133">
        <f>INDEX(MO_CFSum_DPS,0,COLUMN())</f>
        <v/>
      </c>
      <c r="AM80" s="133">
        <f>INDEX(MO_CFSum_DPS,0,COLUMN())</f>
        <v/>
      </c>
      <c r="AN80" s="133">
        <f>INDEX(MO_CFSum_DPS,0,COLUMN())</f>
        <v/>
      </c>
      <c r="AO80" s="1238">
        <f>INDEX(MO_CFSum_DPS,0,COLUMN())</f>
        <v/>
      </c>
      <c r="AP80" s="133">
        <f>INDEX(MO_CFSum_DPS,0,COLUMN())</f>
        <v/>
      </c>
      <c r="AQ80" s="133">
        <f>INDEX(MO_CFSum_DPS,0,COLUMN())</f>
        <v/>
      </c>
      <c r="AR80" s="133">
        <f>INDEX(MO_CFSum_DPS,0,COLUMN())</f>
        <v/>
      </c>
      <c r="AS80" s="133">
        <f>INDEX(MO_CFSum_DPS,0,COLUMN())</f>
        <v/>
      </c>
      <c r="AT80" s="1238">
        <f>INDEX(MO_CFSum_DPS,0,COLUMN())</f>
        <v/>
      </c>
      <c r="AU80" s="133">
        <f>INDEX(MO_CFSum_DPS,0,COLUMN())</f>
        <v/>
      </c>
      <c r="AV80" s="133">
        <f>INDEX(MO_CFSum_DPS,0,COLUMN())</f>
        <v/>
      </c>
      <c r="AW80" s="133">
        <f>INDEX(MO_CFSum_DPS,0,COLUMN())</f>
        <v/>
      </c>
      <c r="AX80" s="133">
        <f>INDEX(MO_CFSum_DPS,0,COLUMN())</f>
        <v/>
      </c>
      <c r="AY80" s="1238">
        <f>INDEX(MO_CFSum_DPS,0,COLUMN())</f>
        <v/>
      </c>
      <c r="AZ80" s="133">
        <f>INDEX(MO_CFSum_DPS,0,COLUMN())</f>
        <v/>
      </c>
      <c r="BA80" s="133">
        <f>INDEX(MO_CFSum_DPS,0,COLUMN())</f>
        <v/>
      </c>
      <c r="BB80" s="133">
        <f>INDEX(MO_CFSum_DPS,0,COLUMN())</f>
        <v/>
      </c>
      <c r="BC80" s="133">
        <f>INDEX(MO_CFSum_DPS,0,COLUMN())</f>
        <v/>
      </c>
      <c r="BD80" s="1238">
        <f>INDEX(MO_CFSum_DPS,0,COLUMN())</f>
        <v/>
      </c>
      <c r="BE80" s="133">
        <f>INDEX(MO_CFSum_DPS,0,COLUMN())</f>
        <v/>
      </c>
      <c r="BF80" s="133">
        <f>INDEX(MO_CFSum_DPS,0,COLUMN())</f>
        <v/>
      </c>
      <c r="BG80" s="133">
        <f>INDEX(MO_CFSum_DPS,0,COLUMN())</f>
        <v/>
      </c>
      <c r="BH80" s="133">
        <f>INDEX(MO_CFSum_DPS,0,COLUMN())</f>
        <v/>
      </c>
      <c r="BI80" s="1238">
        <f>INDEX(MO_CFSum_DPS,0,COLUMN())</f>
        <v/>
      </c>
      <c r="BJ80" s="133">
        <f>INDEX(MO_CFSum_DPS,0,COLUMN())</f>
        <v/>
      </c>
      <c r="BK80" s="133">
        <f>INDEX(MO_CFSum_DPS,0,COLUMN())</f>
        <v/>
      </c>
      <c r="BL80" s="133">
        <f>INDEX(MO_CFSum_DPS,0,COLUMN())</f>
        <v/>
      </c>
      <c r="BM80" s="133">
        <f>INDEX(MO_CFSum_DPS,0,COLUMN())</f>
        <v/>
      </c>
      <c r="BN80" s="1238">
        <f>INDEX(MO_CFSum_DPS,0,COLUMN())</f>
        <v/>
      </c>
      <c r="BO80" s="133">
        <f>INDEX(MO_CFSum_DPS,0,COLUMN())</f>
        <v/>
      </c>
      <c r="BP80" s="133">
        <f>INDEX(MO_CFSum_DPS,0,COLUMN())</f>
        <v/>
      </c>
      <c r="BQ80" s="133">
        <f>INDEX(MO_CFSum_DPS,0,COLUMN())</f>
        <v/>
      </c>
      <c r="BR80" s="133">
        <f>INDEX(MO_CFSum_DPS,0,COLUMN())</f>
        <v/>
      </c>
      <c r="BS80" s="1238">
        <f>INDEX(MO_CFSum_DPS,0,COLUMN())</f>
        <v/>
      </c>
      <c r="BT80" s="133">
        <f>INDEX(MO_CFSum_DPS,0,COLUMN())</f>
        <v/>
      </c>
      <c r="BU80" s="133">
        <f>INDEX(MO_CFSum_DPS,0,COLUMN())</f>
        <v/>
      </c>
      <c r="BV80" s="948">
        <f>INDEX(MO_CFSum_DPS,0,COLUMN())</f>
        <v/>
      </c>
      <c r="BW80" s="133">
        <f>INDEX(MO_CFSum_DPS,0,COLUMN())</f>
        <v/>
      </c>
      <c r="BX80" s="1238">
        <f>INDEX(MO_CFSum_DPS,0,COLUMN())</f>
        <v/>
      </c>
      <c r="BY80" s="133">
        <f>INDEX(MO_CFSum_DPS,0,COLUMN())</f>
        <v/>
      </c>
      <c r="BZ80" s="133">
        <f>INDEX(MO_CFSum_DPS,0,COLUMN())</f>
        <v/>
      </c>
      <c r="CA80" s="133">
        <f>INDEX(MO_CFSum_DPS,0,COLUMN())</f>
        <v/>
      </c>
      <c r="CB80" s="133">
        <f>INDEX(MO_CFSum_DPS,0,COLUMN())</f>
        <v/>
      </c>
      <c r="CC80" s="1238">
        <f>INDEX(MO_CFSum_DPS,0,COLUMN())</f>
        <v/>
      </c>
      <c r="CD80" s="1238">
        <f>INDEX(MO_CFSum_DPS,0,COLUMN())</f>
        <v/>
      </c>
      <c r="CE80" s="1238">
        <f>INDEX(MO_CFSum_DPS,0,COLUMN())</f>
        <v/>
      </c>
      <c r="CF80" s="1238">
        <f>INDEX(MO_CFSum_DPS,0,COLUMN())</f>
        <v/>
      </c>
      <c r="CG80" s="133" t="n"/>
    </row>
    <row r="81" customFormat="1" s="977">
      <c r="A81" s="213" t="inlineStr">
        <is>
          <t>Dividend Payout Ratio vs Core FCF, Pre Div</t>
        </is>
      </c>
      <c r="B81" s="214" t="n"/>
      <c r="C81" s="1251">
        <f>C80/C79</f>
        <v/>
      </c>
      <c r="D81" s="1251">
        <f>D80/D79</f>
        <v/>
      </c>
      <c r="E81" s="1251">
        <f>E80/E79</f>
        <v/>
      </c>
      <c r="F81" s="1251">
        <f>F80/F79</f>
        <v/>
      </c>
      <c r="G81" s="317">
        <f>G80/G79</f>
        <v/>
      </c>
      <c r="H81" s="317">
        <f>H80/H79</f>
        <v/>
      </c>
      <c r="I81" s="317">
        <f>I80/I79</f>
        <v/>
      </c>
      <c r="J81" s="317">
        <f>J80/J79</f>
        <v/>
      </c>
      <c r="K81" s="1251">
        <f>K80/K79</f>
        <v/>
      </c>
      <c r="L81" s="317">
        <f>L80/L79</f>
        <v/>
      </c>
      <c r="M81" s="317">
        <f>M80/M79</f>
        <v/>
      </c>
      <c r="N81" s="317">
        <f>N80/N79</f>
        <v/>
      </c>
      <c r="O81" s="317">
        <f>O80/O79</f>
        <v/>
      </c>
      <c r="P81" s="1251">
        <f>P80/P79</f>
        <v/>
      </c>
      <c r="Q81" s="317">
        <f>Q80/Q79</f>
        <v/>
      </c>
      <c r="R81" s="317">
        <f>R80/R79</f>
        <v/>
      </c>
      <c r="S81" s="317">
        <f>S80/S79</f>
        <v/>
      </c>
      <c r="T81" s="317">
        <f>T80/T79</f>
        <v/>
      </c>
      <c r="U81" s="1251">
        <f>U80/U79</f>
        <v/>
      </c>
      <c r="V81" s="317">
        <f>V80/V79</f>
        <v/>
      </c>
      <c r="W81" s="317">
        <f>W80/W79</f>
        <v/>
      </c>
      <c r="X81" s="317">
        <f>X80/X79</f>
        <v/>
      </c>
      <c r="Y81" s="317">
        <f>Y80/Y79</f>
        <v/>
      </c>
      <c r="Z81" s="1251">
        <f>Z80/Z79</f>
        <v/>
      </c>
      <c r="AA81" s="317">
        <f>AA80/AA79</f>
        <v/>
      </c>
      <c r="AB81" s="317">
        <f>AB80/AB79</f>
        <v/>
      </c>
      <c r="AC81" s="317">
        <f>AC80/AC79</f>
        <v/>
      </c>
      <c r="AD81" s="317">
        <f>AD80/AD79</f>
        <v/>
      </c>
      <c r="AE81" s="1251">
        <f>AE80/AE79</f>
        <v/>
      </c>
      <c r="AF81" s="317">
        <f>AF80/AF79</f>
        <v/>
      </c>
      <c r="AG81" s="317">
        <f>AG80/AG79</f>
        <v/>
      </c>
      <c r="AH81" s="317">
        <f>AH80/AH79</f>
        <v/>
      </c>
      <c r="AI81" s="317">
        <f>AI80/AI79</f>
        <v/>
      </c>
      <c r="AJ81" s="1251">
        <f>AJ80/AJ79</f>
        <v/>
      </c>
      <c r="AK81" s="317">
        <f>AK80/AK79</f>
        <v/>
      </c>
      <c r="AL81" s="317">
        <f>AL80/AL79</f>
        <v/>
      </c>
      <c r="AM81" s="317">
        <f>AM80/AM79</f>
        <v/>
      </c>
      <c r="AN81" s="317">
        <f>AN80/AN79</f>
        <v/>
      </c>
      <c r="AO81" s="1251">
        <f>AO80/AO79</f>
        <v/>
      </c>
      <c r="AP81" s="317">
        <f>AP80/AP79</f>
        <v/>
      </c>
      <c r="AQ81" s="317">
        <f>AQ80/AQ79</f>
        <v/>
      </c>
      <c r="AR81" s="317">
        <f>AR80/AR79</f>
        <v/>
      </c>
      <c r="AS81" s="317">
        <f>AS80/AS79</f>
        <v/>
      </c>
      <c r="AT81" s="1251">
        <f>AT80/AT79</f>
        <v/>
      </c>
      <c r="AU81" s="317">
        <f>AU80/AU79</f>
        <v/>
      </c>
      <c r="AV81" s="317">
        <f>AV80/AV79</f>
        <v/>
      </c>
      <c r="AW81" s="317">
        <f>AW80/AW79</f>
        <v/>
      </c>
      <c r="AX81" s="317">
        <f>AX80/AX79</f>
        <v/>
      </c>
      <c r="AY81" s="1251">
        <f>AY80/AY79</f>
        <v/>
      </c>
      <c r="AZ81" s="317">
        <f>AZ80/AZ79</f>
        <v/>
      </c>
      <c r="BA81" s="317">
        <f>BA80/BA79</f>
        <v/>
      </c>
      <c r="BB81" s="317">
        <f>BB80/BB79</f>
        <v/>
      </c>
      <c r="BC81" s="317">
        <f>BC80/BC79</f>
        <v/>
      </c>
      <c r="BD81" s="1251">
        <f>BD80/BD79</f>
        <v/>
      </c>
      <c r="BE81" s="317">
        <f>BE80/BE79</f>
        <v/>
      </c>
      <c r="BF81" s="317">
        <f>BF80/BF79</f>
        <v/>
      </c>
      <c r="BG81" s="317">
        <f>BG80/BG79</f>
        <v/>
      </c>
      <c r="BH81" s="317">
        <f>BH80/BH79</f>
        <v/>
      </c>
      <c r="BI81" s="1251">
        <f>BI80/BI79</f>
        <v/>
      </c>
      <c r="BJ81" s="317">
        <f>BJ80/BJ79</f>
        <v/>
      </c>
      <c r="BK81" s="317">
        <f>BK80/BK79</f>
        <v/>
      </c>
      <c r="BL81" s="317">
        <f>BL80/BL79</f>
        <v/>
      </c>
      <c r="BM81" s="317">
        <f>BM80/BM79</f>
        <v/>
      </c>
      <c r="BN81" s="1251">
        <f>BN80/BN79</f>
        <v/>
      </c>
      <c r="BO81" s="317">
        <f>BO80/BO79</f>
        <v/>
      </c>
      <c r="BP81" s="317">
        <f>BP80/BP79</f>
        <v/>
      </c>
      <c r="BQ81" s="317">
        <f>BQ80/BQ79</f>
        <v/>
      </c>
      <c r="BR81" s="317">
        <f>BR80/BR79</f>
        <v/>
      </c>
      <c r="BS81" s="1251">
        <f>BS80/BS79</f>
        <v/>
      </c>
      <c r="BT81" s="317">
        <f>BT80/BT79</f>
        <v/>
      </c>
      <c r="BU81" s="317">
        <f>BU80/BU79</f>
        <v/>
      </c>
      <c r="BV81" s="952">
        <f>BV80/BV79</f>
        <v/>
      </c>
      <c r="BW81" s="317">
        <f>BW80/BW79</f>
        <v/>
      </c>
      <c r="BX81" s="1251">
        <f>BX80/BX79</f>
        <v/>
      </c>
      <c r="BY81" s="317">
        <f>BY80/BY79</f>
        <v/>
      </c>
      <c r="BZ81" s="317">
        <f>BZ80/BZ79</f>
        <v/>
      </c>
      <c r="CA81" s="317">
        <f>CA80/CA79</f>
        <v/>
      </c>
      <c r="CB81" s="317">
        <f>CB80/CB79</f>
        <v/>
      </c>
      <c r="CC81" s="1251">
        <f>CC80/CC79</f>
        <v/>
      </c>
      <c r="CD81" s="1251">
        <f>CD80/CD79</f>
        <v/>
      </c>
      <c r="CE81" s="1251">
        <f>CE80/CE79</f>
        <v/>
      </c>
      <c r="CF81" s="1251">
        <f>CF80/CF79</f>
        <v/>
      </c>
      <c r="CG81" s="239" t="n"/>
    </row>
    <row r="82" customFormat="1" s="977">
      <c r="A82" s="213" t="inlineStr">
        <is>
          <t>Dividend Payout Ratio vs Earnings Per Share</t>
        </is>
      </c>
      <c r="B82" s="214" t="n"/>
      <c r="C82" s="1251">
        <f>C80/C53</f>
        <v/>
      </c>
      <c r="D82" s="1251">
        <f>D80/D53</f>
        <v/>
      </c>
      <c r="E82" s="1251">
        <f>E80/E53</f>
        <v/>
      </c>
      <c r="F82" s="1251">
        <f>F80/F53</f>
        <v/>
      </c>
      <c r="G82" s="317">
        <f>G80/G53</f>
        <v/>
      </c>
      <c r="H82" s="317">
        <f>H80/H53</f>
        <v/>
      </c>
      <c r="I82" s="317">
        <f>I80/I53</f>
        <v/>
      </c>
      <c r="J82" s="317">
        <f>J80/J53</f>
        <v/>
      </c>
      <c r="K82" s="1251">
        <f>K80/K53</f>
        <v/>
      </c>
      <c r="L82" s="317">
        <f>L80/L53</f>
        <v/>
      </c>
      <c r="M82" s="317">
        <f>M80/M53</f>
        <v/>
      </c>
      <c r="N82" s="317">
        <f>N80/N53</f>
        <v/>
      </c>
      <c r="O82" s="317">
        <f>O80/O53</f>
        <v/>
      </c>
      <c r="P82" s="1251">
        <f>P80/P53</f>
        <v/>
      </c>
      <c r="Q82" s="317">
        <f>Q80/Q53</f>
        <v/>
      </c>
      <c r="R82" s="317">
        <f>R80/R53</f>
        <v/>
      </c>
      <c r="S82" s="317">
        <f>S80/S53</f>
        <v/>
      </c>
      <c r="T82" s="317">
        <f>T80/T53</f>
        <v/>
      </c>
      <c r="U82" s="1251">
        <f>U80/U53</f>
        <v/>
      </c>
      <c r="V82" s="317">
        <f>V80/V53</f>
        <v/>
      </c>
      <c r="W82" s="317">
        <f>W80/W53</f>
        <v/>
      </c>
      <c r="X82" s="317">
        <f>X80/X53</f>
        <v/>
      </c>
      <c r="Y82" s="317">
        <f>Y80/Y53</f>
        <v/>
      </c>
      <c r="Z82" s="1251">
        <f>Z80/Z53</f>
        <v/>
      </c>
      <c r="AA82" s="317">
        <f>AA80/AA53</f>
        <v/>
      </c>
      <c r="AB82" s="317">
        <f>AB80/AB53</f>
        <v/>
      </c>
      <c r="AC82" s="317">
        <f>AC80/AC53</f>
        <v/>
      </c>
      <c r="AD82" s="317">
        <f>AD80/AD53</f>
        <v/>
      </c>
      <c r="AE82" s="1251">
        <f>AE80/AE53</f>
        <v/>
      </c>
      <c r="AF82" s="317">
        <f>AF80/AF53</f>
        <v/>
      </c>
      <c r="AG82" s="317">
        <f>AG80/AG53</f>
        <v/>
      </c>
      <c r="AH82" s="317">
        <f>AH80/AH53</f>
        <v/>
      </c>
      <c r="AI82" s="317">
        <f>AI80/AI53</f>
        <v/>
      </c>
      <c r="AJ82" s="1251">
        <f>AJ80/AJ53</f>
        <v/>
      </c>
      <c r="AK82" s="317">
        <f>AK80/AK53</f>
        <v/>
      </c>
      <c r="AL82" s="317">
        <f>AL80/AL53</f>
        <v/>
      </c>
      <c r="AM82" s="317">
        <f>AM80/AM53</f>
        <v/>
      </c>
      <c r="AN82" s="317">
        <f>AN80/AN53</f>
        <v/>
      </c>
      <c r="AO82" s="1251">
        <f>AO80/AO53</f>
        <v/>
      </c>
      <c r="AP82" s="317">
        <f>AP80/AP53</f>
        <v/>
      </c>
      <c r="AQ82" s="317">
        <f>AQ80/AQ53</f>
        <v/>
      </c>
      <c r="AR82" s="317">
        <f>AR80/AR53</f>
        <v/>
      </c>
      <c r="AS82" s="317">
        <f>AS80/AS53</f>
        <v/>
      </c>
      <c r="AT82" s="1251">
        <f>AT80/AT53</f>
        <v/>
      </c>
      <c r="AU82" s="317">
        <f>AU80/AU53</f>
        <v/>
      </c>
      <c r="AV82" s="317">
        <f>AV80/AV53</f>
        <v/>
      </c>
      <c r="AW82" s="317">
        <f>AW80/AW53</f>
        <v/>
      </c>
      <c r="AX82" s="317">
        <f>AX80/AX53</f>
        <v/>
      </c>
      <c r="AY82" s="1251">
        <f>AY80/AY53</f>
        <v/>
      </c>
      <c r="AZ82" s="317">
        <f>AZ80/AZ53</f>
        <v/>
      </c>
      <c r="BA82" s="317">
        <f>BA80/BA53</f>
        <v/>
      </c>
      <c r="BB82" s="317">
        <f>BB80/BB53</f>
        <v/>
      </c>
      <c r="BC82" s="317">
        <f>BC80/BC53</f>
        <v/>
      </c>
      <c r="BD82" s="1251">
        <f>BD80/BD53</f>
        <v/>
      </c>
      <c r="BE82" s="317">
        <f>BE80/BE53</f>
        <v/>
      </c>
      <c r="BF82" s="317">
        <f>BF80/BF53</f>
        <v/>
      </c>
      <c r="BG82" s="317">
        <f>BG80/BG53</f>
        <v/>
      </c>
      <c r="BH82" s="317">
        <f>BH80/BH53</f>
        <v/>
      </c>
      <c r="BI82" s="1251">
        <f>BI80/BI53</f>
        <v/>
      </c>
      <c r="BJ82" s="317">
        <f>BJ80/BJ53</f>
        <v/>
      </c>
      <c r="BK82" s="317">
        <f>BK80/BK53</f>
        <v/>
      </c>
      <c r="BL82" s="317">
        <f>BL80/BL53</f>
        <v/>
      </c>
      <c r="BM82" s="317">
        <f>BM80/BM53</f>
        <v/>
      </c>
      <c r="BN82" s="1251">
        <f>BN80/BN53</f>
        <v/>
      </c>
      <c r="BO82" s="317">
        <f>BO80/BO53</f>
        <v/>
      </c>
      <c r="BP82" s="317">
        <f>BP80/BP53</f>
        <v/>
      </c>
      <c r="BQ82" s="317">
        <f>BQ80/BQ53</f>
        <v/>
      </c>
      <c r="BR82" s="317">
        <f>BR80/BR53</f>
        <v/>
      </c>
      <c r="BS82" s="1251">
        <f>BS80/BS53</f>
        <v/>
      </c>
      <c r="BT82" s="317">
        <f>BT80/BT53</f>
        <v/>
      </c>
      <c r="BU82" s="317">
        <f>BU80/BU53</f>
        <v/>
      </c>
      <c r="BV82" s="952">
        <f>BV80/BV53</f>
        <v/>
      </c>
      <c r="BW82" s="317">
        <f>BW80/BW53</f>
        <v/>
      </c>
      <c r="BX82" s="1251">
        <f>BX80/BX53</f>
        <v/>
      </c>
      <c r="BY82" s="317">
        <f>BY80/BY53</f>
        <v/>
      </c>
      <c r="BZ82" s="317">
        <f>BZ80/BZ53</f>
        <v/>
      </c>
      <c r="CA82" s="317">
        <f>CA80/CA53</f>
        <v/>
      </c>
      <c r="CB82" s="317">
        <f>CB80/CB53</f>
        <v/>
      </c>
      <c r="CC82" s="1251">
        <f>CC80/CC53</f>
        <v/>
      </c>
      <c r="CD82" s="1251">
        <f>CD80/CD53</f>
        <v/>
      </c>
      <c r="CE82" s="1251">
        <f>CE80/CE53</f>
        <v/>
      </c>
      <c r="CF82" s="1251">
        <f>CF80/CF53</f>
        <v/>
      </c>
      <c r="CG82" s="239" t="n"/>
    </row>
    <row r="83" customFormat="1" s="972">
      <c r="A83" s="211" t="n"/>
      <c r="B83" s="210" t="n"/>
      <c r="C83" s="1238" t="n"/>
      <c r="D83" s="1238" t="n"/>
      <c r="E83" s="1238" t="n"/>
      <c r="F83" s="1238" t="n"/>
      <c r="G83" s="133" t="n"/>
      <c r="H83" s="133" t="n"/>
      <c r="I83" s="133" t="n"/>
      <c r="J83" s="133" t="n"/>
      <c r="K83" s="1238" t="n"/>
      <c r="L83" s="133" t="n"/>
      <c r="M83" s="133" t="n"/>
      <c r="N83" s="133" t="n"/>
      <c r="O83" s="133" t="n"/>
      <c r="P83" s="1238" t="n"/>
      <c r="Q83" s="133" t="n"/>
      <c r="R83" s="133" t="n"/>
      <c r="S83" s="133" t="n"/>
      <c r="T83" s="133" t="n"/>
      <c r="U83" s="1238" t="n"/>
      <c r="V83" s="133" t="n"/>
      <c r="W83" s="133" t="n"/>
      <c r="X83" s="133" t="n"/>
      <c r="Y83" s="133" t="n"/>
      <c r="Z83" s="1238" t="n"/>
      <c r="AA83" s="133" t="n"/>
      <c r="AB83" s="133" t="n"/>
      <c r="AC83" s="133" t="n"/>
      <c r="AD83" s="133" t="n"/>
      <c r="AE83" s="1238" t="n"/>
      <c r="AF83" s="133" t="n"/>
      <c r="AG83" s="133" t="n"/>
      <c r="AH83" s="133" t="n"/>
      <c r="AI83" s="133" t="n"/>
      <c r="AJ83" s="1238" t="n"/>
      <c r="AK83" s="133" t="n"/>
      <c r="AL83" s="133" t="n"/>
      <c r="AM83" s="133" t="n"/>
      <c r="AN83" s="133" t="n"/>
      <c r="AO83" s="1238" t="n"/>
      <c r="AP83" s="133" t="n"/>
      <c r="AQ83" s="133" t="n"/>
      <c r="AR83" s="133" t="n"/>
      <c r="AS83" s="133" t="n"/>
      <c r="AT83" s="1238" t="n"/>
      <c r="AU83" s="133" t="n"/>
      <c r="AV83" s="133" t="n"/>
      <c r="AW83" s="133" t="n"/>
      <c r="AX83" s="133" t="n"/>
      <c r="AY83" s="1238" t="n"/>
      <c r="AZ83" s="133" t="n"/>
      <c r="BA83" s="133" t="n"/>
      <c r="BB83" s="133" t="n"/>
      <c r="BC83" s="133" t="n"/>
      <c r="BD83" s="1238" t="n"/>
      <c r="BE83" s="133" t="n"/>
      <c r="BF83" s="133" t="n"/>
      <c r="BG83" s="133" t="n"/>
      <c r="BH83" s="133" t="n"/>
      <c r="BI83" s="1238" t="n"/>
      <c r="BJ83" s="133" t="n"/>
      <c r="BK83" s="133" t="n"/>
      <c r="BL83" s="133" t="n"/>
      <c r="BM83" s="133" t="n"/>
      <c r="BN83" s="1238" t="n"/>
      <c r="BO83" s="133" t="n"/>
      <c r="BP83" s="133" t="n"/>
      <c r="BQ83" s="133" t="n"/>
      <c r="BR83" s="133" t="n"/>
      <c r="BS83" s="1238" t="n"/>
      <c r="BT83" s="133" t="n"/>
      <c r="BU83" s="133" t="n"/>
      <c r="BV83" s="948" t="n"/>
      <c r="BW83" s="133" t="n"/>
      <c r="BX83" s="1238" t="n"/>
      <c r="BY83" s="133" t="n"/>
      <c r="BZ83" s="133" t="n"/>
      <c r="CA83" s="133" t="n"/>
      <c r="CB83" s="133" t="n"/>
      <c r="CC83" s="1238" t="n"/>
      <c r="CD83" s="1238" t="n"/>
      <c r="CE83" s="1238" t="n"/>
      <c r="CF83" s="1238" t="n"/>
      <c r="CG83" s="133" t="n"/>
    </row>
    <row r="84">
      <c r="A84" s="1017" t="inlineStr">
        <is>
          <t>Balance Sheet Ratios</t>
        </is>
      </c>
      <c r="B84" s="1012" t="n"/>
      <c r="C84" s="1012" t="n"/>
      <c r="D84" s="1012" t="n"/>
      <c r="E84" s="1012" t="n"/>
      <c r="F84" s="1012" t="n"/>
      <c r="G84" s="1012" t="n"/>
      <c r="H84" s="1012" t="n"/>
      <c r="I84" s="1012" t="n"/>
      <c r="J84" s="1012" t="n"/>
      <c r="K84" s="1012" t="n"/>
      <c r="L84" s="1012" t="n"/>
      <c r="M84" s="1012" t="n"/>
      <c r="N84" s="1012" t="n"/>
      <c r="O84" s="1012" t="n"/>
      <c r="P84" s="1012" t="n"/>
      <c r="Q84" s="1012" t="n"/>
      <c r="R84" s="1012" t="n"/>
      <c r="S84" s="1012" t="n"/>
      <c r="T84" s="1012" t="n"/>
      <c r="U84" s="1012" t="n"/>
      <c r="V84" s="1012" t="n"/>
      <c r="W84" s="1012" t="n"/>
      <c r="X84" s="1012" t="n"/>
      <c r="Y84" s="1012" t="n"/>
      <c r="Z84" s="1012" t="n"/>
      <c r="AA84" s="1012" t="n"/>
      <c r="AB84" s="1012" t="n"/>
      <c r="AC84" s="1012" t="n"/>
      <c r="AD84" s="1012" t="n"/>
      <c r="AE84" s="1012" t="n"/>
      <c r="AF84" s="1012" t="n"/>
      <c r="AG84" s="1012" t="n"/>
      <c r="AH84" s="1012" t="n"/>
      <c r="AI84" s="1012" t="n"/>
      <c r="AJ84" s="1012" t="n"/>
      <c r="AK84" s="1012" t="n"/>
      <c r="AL84" s="1012" t="n"/>
      <c r="AM84" s="1012" t="n"/>
      <c r="AN84" s="1012" t="n"/>
      <c r="AO84" s="1012" t="n"/>
      <c r="AP84" s="1012" t="n"/>
      <c r="AQ84" s="1012" t="n"/>
      <c r="AR84" s="1012" t="n"/>
      <c r="AS84" s="1012" t="n"/>
      <c r="AT84" s="1012" t="n"/>
      <c r="AU84" s="1012" t="n"/>
      <c r="AV84" s="1012" t="n"/>
      <c r="AW84" s="1012" t="n"/>
      <c r="AX84" s="1012" t="n"/>
      <c r="AY84" s="1012" t="n"/>
      <c r="AZ84" s="1012" t="n"/>
      <c r="BA84" s="1012" t="n"/>
      <c r="BB84" s="1012" t="n"/>
      <c r="BC84" s="1012" t="n"/>
      <c r="BD84" s="1012" t="n"/>
      <c r="BE84" s="1012" t="n"/>
      <c r="BF84" s="1012" t="n"/>
      <c r="BG84" s="1012" t="n"/>
      <c r="BH84" s="1012" t="n"/>
      <c r="BI84" s="1012" t="n"/>
      <c r="BJ84" s="1012" t="n"/>
      <c r="BK84" s="1012" t="n"/>
      <c r="BL84" s="1012" t="n"/>
      <c r="BM84" s="1012" t="n"/>
      <c r="BN84" s="1012" t="n"/>
      <c r="BO84" s="1012" t="n"/>
      <c r="BP84" s="1012" t="n"/>
      <c r="BQ84" s="1012" t="n"/>
      <c r="BR84" s="1012" t="n"/>
      <c r="BS84" s="1012" t="n"/>
      <c r="BT84" s="1012" t="n"/>
      <c r="BU84" s="1012" t="n"/>
      <c r="BV84" s="1048" t="n"/>
      <c r="BW84" s="1012" t="n"/>
      <c r="BX84" s="1012" t="n"/>
      <c r="BY84" s="1012" t="n"/>
      <c r="BZ84" s="1012" t="n"/>
      <c r="CA84" s="1012" t="n"/>
      <c r="CB84" s="1012" t="n"/>
      <c r="CC84" s="1012" t="n"/>
      <c r="CD84" s="1012" t="n"/>
      <c r="CE84" s="1012" t="n"/>
      <c r="CF84" s="1012" t="n"/>
      <c r="CG84" s="1013" t="n"/>
    </row>
    <row r="85" customFormat="1" s="978">
      <c r="A85" s="215" t="inlineStr">
        <is>
          <t>Net Debt / EBITDA</t>
        </is>
      </c>
      <c r="B85" s="216" t="n"/>
      <c r="C85" s="1252" t="n"/>
      <c r="D85" s="1252">
        <f>INDEX(MO_BSS_Debt_Net,0,COLUMN())/INDEX(SP_BSR_EBITDA_LTM,0,COLUMN())</f>
        <v/>
      </c>
      <c r="E85" s="1252">
        <f>INDEX(MO_BSS_Debt_Net,0,COLUMN())/INDEX(SP_BSR_EBITDA_LTM,0,COLUMN())</f>
        <v/>
      </c>
      <c r="F85" s="1252">
        <f>INDEX(MO_BSS_Debt_Net,0,COLUMN())/INDEX(SP_BSR_EBITDA_LTM,0,COLUMN())</f>
        <v/>
      </c>
      <c r="G85" s="1015" t="n"/>
      <c r="H85" s="1015" t="n"/>
      <c r="I85" s="1015" t="n"/>
      <c r="J85" s="1015">
        <f>INDEX(MO_BSS_Debt_Net,0,COLUMN())/INDEX(SP_BSR_EBITDA_LTM,0,COLUMN())</f>
        <v/>
      </c>
      <c r="K85" s="1252">
        <f>INDEX(MO_BSS_Debt_Net,0,COLUMN())/INDEX(SP_BSR_EBITDA_LTM,0,COLUMN())</f>
        <v/>
      </c>
      <c r="L85" s="1015">
        <f>INDEX(MO_BSS_Debt_Net,0,COLUMN())/INDEX(SP_BSR_EBITDA_LTM,0,COLUMN())</f>
        <v/>
      </c>
      <c r="M85" s="1015">
        <f>INDEX(MO_BSS_Debt_Net,0,COLUMN())/INDEX(SP_BSR_EBITDA_LTM,0,COLUMN())</f>
        <v/>
      </c>
      <c r="N85" s="1015">
        <f>INDEX(MO_BSS_Debt_Net,0,COLUMN())/INDEX(SP_BSR_EBITDA_LTM,0,COLUMN())</f>
        <v/>
      </c>
      <c r="O85" s="1015">
        <f>INDEX(MO_BSS_Debt_Net,0,COLUMN())/INDEX(SP_BSR_EBITDA_LTM,0,COLUMN())</f>
        <v/>
      </c>
      <c r="P85" s="1252">
        <f>INDEX(MO_BSS_Debt_Net,0,COLUMN())/INDEX(SP_BSR_EBITDA_LTM,0,COLUMN())</f>
        <v/>
      </c>
      <c r="Q85" s="1015">
        <f>INDEX(MO_BSS_Debt_Net,0,COLUMN())/INDEX(SP_BSR_EBITDA_LTM,0,COLUMN())</f>
        <v/>
      </c>
      <c r="R85" s="1015">
        <f>INDEX(MO_BSS_Debt_Net,0,COLUMN())/INDEX(SP_BSR_EBITDA_LTM,0,COLUMN())</f>
        <v/>
      </c>
      <c r="S85" s="1015">
        <f>INDEX(MO_BSS_Debt_Net,0,COLUMN())/INDEX(SP_BSR_EBITDA_LTM,0,COLUMN())</f>
        <v/>
      </c>
      <c r="T85" s="1015">
        <f>INDEX(MO_BSS_Debt_Net,0,COLUMN())/INDEX(SP_BSR_EBITDA_LTM,0,COLUMN())</f>
        <v/>
      </c>
      <c r="U85" s="1252">
        <f>INDEX(MO_BSS_Debt_Net,0,COLUMN())/INDEX(SP_BSR_EBITDA_LTM,0,COLUMN())</f>
        <v/>
      </c>
      <c r="V85" s="1015">
        <f>INDEX(MO_BSS_Debt_Net,0,COLUMN())/INDEX(SP_BSR_EBITDA_LTM,0,COLUMN())</f>
        <v/>
      </c>
      <c r="W85" s="137">
        <f>INDEX(MO_BSS_Debt_Net,0,COLUMN())/INDEX(SP_BSR_EBITDA_LTM,0,COLUMN())</f>
        <v/>
      </c>
      <c r="X85" s="137">
        <f>INDEX(MO_BSS_Debt_Net,0,COLUMN())/INDEX(SP_BSR_EBITDA_LTM,0,COLUMN())</f>
        <v/>
      </c>
      <c r="Y85" s="137">
        <f>INDEX(MO_BSS_Debt_Net,0,COLUMN())/INDEX(SP_BSR_EBITDA_LTM,0,COLUMN())</f>
        <v/>
      </c>
      <c r="Z85" s="1252">
        <f>INDEX(MO_BSS_Debt_Net,0,COLUMN())/INDEX(SP_BSR_EBITDA_LTM,0,COLUMN())</f>
        <v/>
      </c>
      <c r="AA85" s="137">
        <f>INDEX(MO_BSS_Debt_Net,0,COLUMN())/INDEX(SP_BSR_EBITDA_LTM,0,COLUMN())</f>
        <v/>
      </c>
      <c r="AB85" s="137">
        <f>INDEX(MO_BSS_Debt_Net,0,COLUMN())/INDEX(SP_BSR_EBITDA_LTM,0,COLUMN())</f>
        <v/>
      </c>
      <c r="AC85" s="137">
        <f>INDEX(MO_BSS_Debt_Net,0,COLUMN())/INDEX(SP_BSR_EBITDA_LTM,0,COLUMN())</f>
        <v/>
      </c>
      <c r="AD85" s="137">
        <f>INDEX(MO_BSS_Debt_Net,0,COLUMN())/INDEX(SP_BSR_EBITDA_LTM,0,COLUMN())</f>
        <v/>
      </c>
      <c r="AE85" s="1252">
        <f>INDEX(MO_BSS_Debt_Net,0,COLUMN())/INDEX(SP_BSR_EBITDA_LTM,0,COLUMN())</f>
        <v/>
      </c>
      <c r="AF85" s="137">
        <f>INDEX(MO_BSS_Debt_Net,0,COLUMN())/INDEX(SP_BSR_EBITDA_LTM,0,COLUMN())</f>
        <v/>
      </c>
      <c r="AG85" s="137">
        <f>INDEX(MO_BSS_Debt_Net,0,COLUMN())/INDEX(SP_BSR_EBITDA_LTM,0,COLUMN())</f>
        <v/>
      </c>
      <c r="AH85" s="137">
        <f>INDEX(MO_BSS_Debt_Net,0,COLUMN())/INDEX(SP_BSR_EBITDA_LTM,0,COLUMN())</f>
        <v/>
      </c>
      <c r="AI85" s="137">
        <f>INDEX(MO_BSS_Debt_Net,0,COLUMN())/INDEX(SP_BSR_EBITDA_LTM,0,COLUMN())</f>
        <v/>
      </c>
      <c r="AJ85" s="1252">
        <f>INDEX(MO_BSS_Debt_Net,0,COLUMN())/INDEX(SP_BSR_EBITDA_LTM,0,COLUMN())</f>
        <v/>
      </c>
      <c r="AK85" s="137">
        <f>INDEX(MO_BSS_Debt_Net,0,COLUMN())/INDEX(SP_BSR_EBITDA_LTM,0,COLUMN())</f>
        <v/>
      </c>
      <c r="AL85" s="137">
        <f>INDEX(MO_BSS_Debt_Net,0,COLUMN())/INDEX(SP_BSR_EBITDA_LTM,0,COLUMN())</f>
        <v/>
      </c>
      <c r="AM85" s="137">
        <f>INDEX(MO_BSS_Debt_Net,0,COLUMN())/INDEX(SP_BSR_EBITDA_LTM,0,COLUMN())</f>
        <v/>
      </c>
      <c r="AN85" s="137">
        <f>INDEX(MO_BSS_Debt_Net,0,COLUMN())/INDEX(SP_BSR_EBITDA_LTM,0,COLUMN())</f>
        <v/>
      </c>
      <c r="AO85" s="1252">
        <f>INDEX(MO_BSS_Debt_Net,0,COLUMN())/INDEX(SP_BSR_EBITDA_LTM,0,COLUMN())</f>
        <v/>
      </c>
      <c r="AP85" s="137">
        <f>INDEX(MO_BSS_Debt_Net,0,COLUMN())/INDEX(SP_BSR_EBITDA_LTM,0,COLUMN())</f>
        <v/>
      </c>
      <c r="AQ85" s="137">
        <f>INDEX(MO_BSS_Debt_Net,0,COLUMN())/INDEX(SP_BSR_EBITDA_LTM,0,COLUMN())</f>
        <v/>
      </c>
      <c r="AR85" s="137">
        <f>INDEX(MO_BSS_Debt_Net,0,COLUMN())/INDEX(SP_BSR_EBITDA_LTM,0,COLUMN())</f>
        <v/>
      </c>
      <c r="AS85" s="137">
        <f>INDEX(MO_BSS_Debt_Net,0,COLUMN())/INDEX(SP_BSR_EBITDA_LTM,0,COLUMN())</f>
        <v/>
      </c>
      <c r="AT85" s="1252">
        <f>INDEX(MO_BSS_Debt_Net,0,COLUMN())/INDEX(SP_BSR_EBITDA_LTM,0,COLUMN())</f>
        <v/>
      </c>
      <c r="AU85" s="137">
        <f>INDEX(MO_BSS_Debt_Net,0,COLUMN())/INDEX(SP_BSR_EBITDA_LTM,0,COLUMN())</f>
        <v/>
      </c>
      <c r="AV85" s="137">
        <f>INDEX(MO_BSS_Debt_Net,0,COLUMN())/INDEX(SP_BSR_EBITDA_LTM,0,COLUMN())</f>
        <v/>
      </c>
      <c r="AW85" s="137">
        <f>INDEX(MO_BSS_Debt_Net,0,COLUMN())/INDEX(SP_BSR_EBITDA_LTM,0,COLUMN())</f>
        <v/>
      </c>
      <c r="AX85" s="137">
        <f>INDEX(MO_BSS_Debt_Net,0,COLUMN())/INDEX(SP_BSR_EBITDA_LTM,0,COLUMN())</f>
        <v/>
      </c>
      <c r="AY85" s="1252">
        <f>INDEX(MO_BSS_Debt_Net,0,COLUMN())/INDEX(SP_BSR_EBITDA_LTM,0,COLUMN())</f>
        <v/>
      </c>
      <c r="AZ85" s="137">
        <f>INDEX(MO_BSS_Debt_Net,0,COLUMN())/INDEX(SP_BSR_EBITDA_LTM,0,COLUMN())</f>
        <v/>
      </c>
      <c r="BA85" s="137">
        <f>INDEX(MO_BSS_Debt_Net,0,COLUMN())/INDEX(SP_BSR_EBITDA_LTM,0,COLUMN())</f>
        <v/>
      </c>
      <c r="BB85" s="137">
        <f>INDEX(MO_BSS_Debt_Net,0,COLUMN())/INDEX(SP_BSR_EBITDA_LTM,0,COLUMN())</f>
        <v/>
      </c>
      <c r="BC85" s="137">
        <f>INDEX(MO_BSS_Debt_Net,0,COLUMN())/INDEX(SP_BSR_EBITDA_LTM,0,COLUMN())</f>
        <v/>
      </c>
      <c r="BD85" s="1252">
        <f>INDEX(MO_BSS_Debt_Net,0,COLUMN())/INDEX(SP_BSR_EBITDA_LTM,0,COLUMN())</f>
        <v/>
      </c>
      <c r="BE85" s="137">
        <f>INDEX(MO_BSS_Debt_Net,0,COLUMN())/INDEX(SP_BSR_EBITDA_LTM,0,COLUMN())</f>
        <v/>
      </c>
      <c r="BF85" s="137">
        <f>INDEX(MO_BSS_Debt_Net,0,COLUMN())/INDEX(SP_BSR_EBITDA_LTM,0,COLUMN())</f>
        <v/>
      </c>
      <c r="BG85" s="137">
        <f>INDEX(MO_BSS_Debt_Net,0,COLUMN())/INDEX(SP_BSR_EBITDA_LTM,0,COLUMN())</f>
        <v/>
      </c>
      <c r="BH85" s="137">
        <f>INDEX(MO_BSS_Debt_Net,0,COLUMN())/INDEX(SP_BSR_EBITDA_LTM,0,COLUMN())</f>
        <v/>
      </c>
      <c r="BI85" s="1252">
        <f>INDEX(MO_BSS_Debt_Net,0,COLUMN())/INDEX(SP_BSR_EBITDA_LTM,0,COLUMN())</f>
        <v/>
      </c>
      <c r="BJ85" s="137">
        <f>INDEX(MO_BSS_Debt_Net,0,COLUMN())/INDEX(SP_BSR_EBITDA_LTM,0,COLUMN())</f>
        <v/>
      </c>
      <c r="BK85" s="137">
        <f>INDEX(MO_BSS_Debt_Net,0,COLUMN())/INDEX(SP_BSR_EBITDA_LTM,0,COLUMN())</f>
        <v/>
      </c>
      <c r="BL85" s="137">
        <f>INDEX(MO_BSS_Debt_Net,0,COLUMN())/INDEX(SP_BSR_EBITDA_LTM,0,COLUMN())</f>
        <v/>
      </c>
      <c r="BM85" s="137">
        <f>INDEX(MO_BSS_Debt_Net,0,COLUMN())/INDEX(SP_BSR_EBITDA_LTM,0,COLUMN())</f>
        <v/>
      </c>
      <c r="BN85" s="1252">
        <f>INDEX(MO_BSS_Debt_Net,0,COLUMN())/INDEX(SP_BSR_EBITDA_LTM,0,COLUMN())</f>
        <v/>
      </c>
      <c r="BO85" s="137">
        <f>INDEX(MO_BSS_Debt_Net,0,COLUMN())/INDEX(SP_BSR_EBITDA_LTM,0,COLUMN())</f>
        <v/>
      </c>
      <c r="BP85" s="137">
        <f>INDEX(MO_BSS_Debt_Net,0,COLUMN())/INDEX(SP_BSR_EBITDA_LTM,0,COLUMN())</f>
        <v/>
      </c>
      <c r="BQ85" s="137">
        <f>INDEX(MO_BSS_Debt_Net,0,COLUMN())/INDEX(SP_BSR_EBITDA_LTM,0,COLUMN())</f>
        <v/>
      </c>
      <c r="BR85" s="137">
        <f>INDEX(MO_BSS_Debt_Net,0,COLUMN())/INDEX(SP_BSR_EBITDA_LTM,0,COLUMN())</f>
        <v/>
      </c>
      <c r="BS85" s="1252">
        <f>INDEX(MO_BSS_Debt_Net,0,COLUMN())/INDEX(SP_BSR_EBITDA_LTM,0,COLUMN())</f>
        <v/>
      </c>
      <c r="BT85" s="137">
        <f>INDEX(MO_BSS_Debt_Net,0,COLUMN())/INDEX(SP_BSR_EBITDA_LTM,0,COLUMN())</f>
        <v/>
      </c>
      <c r="BU85" s="137">
        <f>INDEX(MO_BSS_Debt_Net,0,COLUMN())/INDEX(SP_BSR_EBITDA_LTM,0,COLUMN())</f>
        <v/>
      </c>
      <c r="BV85" s="953">
        <f>INDEX(MO_BSS_Debt_Net,0,COLUMN())/INDEX(SP_BSR_EBITDA_LTM,0,COLUMN())</f>
        <v/>
      </c>
      <c r="BW85" s="137">
        <f>INDEX(MO_BSS_Debt_Net,0,COLUMN())/INDEX(SP_BSR_EBITDA_LTM,0,COLUMN())</f>
        <v/>
      </c>
      <c r="BX85" s="1252">
        <f>INDEX(MO_BSS_Debt_Net,0,COLUMN())/INDEX(SP_BSR_EBITDA_LTM,0,COLUMN())</f>
        <v/>
      </c>
      <c r="BY85" s="137">
        <f>INDEX(MO_BSS_Debt_Net,0,COLUMN())/INDEX(SP_BSR_EBITDA_LTM,0,COLUMN())</f>
        <v/>
      </c>
      <c r="BZ85" s="137">
        <f>INDEX(MO_BSS_Debt_Net,0,COLUMN())/INDEX(SP_BSR_EBITDA_LTM,0,COLUMN())</f>
        <v/>
      </c>
      <c r="CA85" s="137">
        <f>INDEX(MO_BSS_Debt_Net,0,COLUMN())/INDEX(SP_BSR_EBITDA_LTM,0,COLUMN())</f>
        <v/>
      </c>
      <c r="CB85" s="137">
        <f>INDEX(MO_BSS_Debt_Net,0,COLUMN())/INDEX(SP_BSR_EBITDA_LTM,0,COLUMN())</f>
        <v/>
      </c>
      <c r="CC85" s="1252">
        <f>INDEX(MO_BSS_Debt_Net,0,COLUMN())/INDEX(SP_BSR_EBITDA_LTM,0,COLUMN())</f>
        <v/>
      </c>
      <c r="CD85" s="1252">
        <f>INDEX(MO_BSS_Debt_Net,0,COLUMN())/INDEX(SP_BSR_EBITDA_LTM,0,COLUMN())</f>
        <v/>
      </c>
      <c r="CE85" s="1252">
        <f>INDEX(MO_BSS_Debt_Net,0,COLUMN())/INDEX(SP_BSR_EBITDA_LTM,0,COLUMN())</f>
        <v/>
      </c>
      <c r="CF85" s="1252">
        <f>INDEX(MO_BSS_Debt_Net,0,COLUMN())/INDEX(SP_BSR_EBITDA_LTM,0,COLUMN())</f>
        <v/>
      </c>
      <c r="CG85" s="137" t="n"/>
    </row>
    <row r="86" customFormat="1" s="978">
      <c r="A86" s="215" t="inlineStr">
        <is>
          <t>Net Debt / Cash Flow</t>
        </is>
      </c>
      <c r="B86" s="216" t="n"/>
      <c r="C86" s="1252">
        <f>INDEX(MO_BSS_Debt_Net,0,COLUMN())/INDEX(SP_BSR_CashFlow_LTM,0,COLUMN())</f>
        <v/>
      </c>
      <c r="D86" s="1252">
        <f>INDEX(MO_BSS_Debt_Net,0,COLUMN())/INDEX(SP_BSR_CashFlow_LTM,0,COLUMN())</f>
        <v/>
      </c>
      <c r="E86" s="1252">
        <f>INDEX(MO_BSS_Debt_Net,0,COLUMN())/INDEX(SP_BSR_CashFlow_LTM,0,COLUMN())</f>
        <v/>
      </c>
      <c r="F86" s="1252">
        <f>INDEX(MO_BSS_Debt_Net,0,COLUMN())/INDEX(SP_BSR_CashFlow_LTM,0,COLUMN())</f>
        <v/>
      </c>
      <c r="G86" s="1015" t="n"/>
      <c r="H86" s="1015" t="n"/>
      <c r="I86" s="1015" t="n"/>
      <c r="J86" s="1015">
        <f>INDEX(MO_BSS_Debt_Net,0,COLUMN())/INDEX(SP_BSR_CashFlow_LTM,0,COLUMN())</f>
        <v/>
      </c>
      <c r="K86" s="1252">
        <f>INDEX(MO_BSS_Debt_Net,0,COLUMN())/INDEX(SP_BSR_CashFlow_LTM,0,COLUMN())</f>
        <v/>
      </c>
      <c r="L86" s="1015">
        <f>INDEX(MO_BSS_Debt_Net,0,COLUMN())/INDEX(SP_BSR_CashFlow_LTM,0,COLUMN())</f>
        <v/>
      </c>
      <c r="M86" s="1015">
        <f>INDEX(MO_BSS_Debt_Net,0,COLUMN())/INDEX(SP_BSR_CashFlow_LTM,0,COLUMN())</f>
        <v/>
      </c>
      <c r="N86" s="1015">
        <f>INDEX(MO_BSS_Debt_Net,0,COLUMN())/INDEX(SP_BSR_CashFlow_LTM,0,COLUMN())</f>
        <v/>
      </c>
      <c r="O86" s="1015">
        <f>INDEX(MO_BSS_Debt_Net,0,COLUMN())/INDEX(SP_BSR_CashFlow_LTM,0,COLUMN())</f>
        <v/>
      </c>
      <c r="P86" s="1252">
        <f>INDEX(MO_BSS_Debt_Net,0,COLUMN())/INDEX(SP_BSR_CashFlow_LTM,0,COLUMN())</f>
        <v/>
      </c>
      <c r="Q86" s="1015">
        <f>INDEX(MO_BSS_Debt_Net,0,COLUMN())/INDEX(SP_BSR_CashFlow_LTM,0,COLUMN())</f>
        <v/>
      </c>
      <c r="R86" s="1015">
        <f>INDEX(MO_BSS_Debt_Net,0,COLUMN())/INDEX(SP_BSR_CashFlow_LTM,0,COLUMN())</f>
        <v/>
      </c>
      <c r="S86" s="1015">
        <f>INDEX(MO_BSS_Debt_Net,0,COLUMN())/INDEX(SP_BSR_CashFlow_LTM,0,COLUMN())</f>
        <v/>
      </c>
      <c r="T86" s="1015">
        <f>INDEX(MO_BSS_Debt_Net,0,COLUMN())/INDEX(SP_BSR_CashFlow_LTM,0,COLUMN())</f>
        <v/>
      </c>
      <c r="U86" s="1252">
        <f>INDEX(MO_BSS_Debt_Net,0,COLUMN())/INDEX(SP_BSR_CashFlow_LTM,0,COLUMN())</f>
        <v/>
      </c>
      <c r="V86" s="1015">
        <f>INDEX(MO_BSS_Debt_Net,0,COLUMN())/INDEX(SP_BSR_CashFlow_LTM,0,COLUMN())</f>
        <v/>
      </c>
      <c r="W86" s="137">
        <f>INDEX(MO_BSS_Debt_Net,0,COLUMN())/INDEX(SP_BSR_CashFlow_LTM,0,COLUMN())</f>
        <v/>
      </c>
      <c r="X86" s="137">
        <f>INDEX(MO_BSS_Debt_Net,0,COLUMN())/INDEX(SP_BSR_CashFlow_LTM,0,COLUMN())</f>
        <v/>
      </c>
      <c r="Y86" s="137">
        <f>INDEX(MO_BSS_Debt_Net,0,COLUMN())/INDEX(SP_BSR_CashFlow_LTM,0,COLUMN())</f>
        <v/>
      </c>
      <c r="Z86" s="1252">
        <f>INDEX(MO_BSS_Debt_Net,0,COLUMN())/INDEX(SP_BSR_CashFlow_LTM,0,COLUMN())</f>
        <v/>
      </c>
      <c r="AA86" s="137">
        <f>INDEX(MO_BSS_Debt_Net,0,COLUMN())/INDEX(SP_BSR_CashFlow_LTM,0,COLUMN())</f>
        <v/>
      </c>
      <c r="AB86" s="137">
        <f>INDEX(MO_BSS_Debt_Net,0,COLUMN())/INDEX(SP_BSR_CashFlow_LTM,0,COLUMN())</f>
        <v/>
      </c>
      <c r="AC86" s="137">
        <f>INDEX(MO_BSS_Debt_Net,0,COLUMN())/INDEX(SP_BSR_CashFlow_LTM,0,COLUMN())</f>
        <v/>
      </c>
      <c r="AD86" s="137">
        <f>INDEX(MO_BSS_Debt_Net,0,COLUMN())/INDEX(SP_BSR_CashFlow_LTM,0,COLUMN())</f>
        <v/>
      </c>
      <c r="AE86" s="1252">
        <f>INDEX(MO_BSS_Debt_Net,0,COLUMN())/INDEX(SP_BSR_CashFlow_LTM,0,COLUMN())</f>
        <v/>
      </c>
      <c r="AF86" s="137">
        <f>INDEX(MO_BSS_Debt_Net,0,COLUMN())/INDEX(SP_BSR_CashFlow_LTM,0,COLUMN())</f>
        <v/>
      </c>
      <c r="AG86" s="137">
        <f>INDEX(MO_BSS_Debt_Net,0,COLUMN())/INDEX(SP_BSR_CashFlow_LTM,0,COLUMN())</f>
        <v/>
      </c>
      <c r="AH86" s="137">
        <f>INDEX(MO_BSS_Debt_Net,0,COLUMN())/INDEX(SP_BSR_CashFlow_LTM,0,COLUMN())</f>
        <v/>
      </c>
      <c r="AI86" s="137">
        <f>INDEX(MO_BSS_Debt_Net,0,COLUMN())/INDEX(SP_BSR_CashFlow_LTM,0,COLUMN())</f>
        <v/>
      </c>
      <c r="AJ86" s="1252">
        <f>INDEX(MO_BSS_Debt_Net,0,COLUMN())/INDEX(SP_BSR_CashFlow_LTM,0,COLUMN())</f>
        <v/>
      </c>
      <c r="AK86" s="137">
        <f>INDEX(MO_BSS_Debt_Net,0,COLUMN())/INDEX(SP_BSR_CashFlow_LTM,0,COLUMN())</f>
        <v/>
      </c>
      <c r="AL86" s="137">
        <f>INDEX(MO_BSS_Debt_Net,0,COLUMN())/INDEX(SP_BSR_CashFlow_LTM,0,COLUMN())</f>
        <v/>
      </c>
      <c r="AM86" s="137">
        <f>INDEX(MO_BSS_Debt_Net,0,COLUMN())/INDEX(SP_BSR_CashFlow_LTM,0,COLUMN())</f>
        <v/>
      </c>
      <c r="AN86" s="137">
        <f>INDEX(MO_BSS_Debt_Net,0,COLUMN())/INDEX(SP_BSR_CashFlow_LTM,0,COLUMN())</f>
        <v/>
      </c>
      <c r="AO86" s="1252">
        <f>INDEX(MO_BSS_Debt_Net,0,COLUMN())/INDEX(SP_BSR_CashFlow_LTM,0,COLUMN())</f>
        <v/>
      </c>
      <c r="AP86" s="137">
        <f>INDEX(MO_BSS_Debt_Net,0,COLUMN())/INDEX(SP_BSR_CashFlow_LTM,0,COLUMN())</f>
        <v/>
      </c>
      <c r="AQ86" s="137">
        <f>INDEX(MO_BSS_Debt_Net,0,COLUMN())/INDEX(SP_BSR_CashFlow_LTM,0,COLUMN())</f>
        <v/>
      </c>
      <c r="AR86" s="137">
        <f>INDEX(MO_BSS_Debt_Net,0,COLUMN())/INDEX(SP_BSR_CashFlow_LTM,0,COLUMN())</f>
        <v/>
      </c>
      <c r="AS86" s="137">
        <f>INDEX(MO_BSS_Debt_Net,0,COLUMN())/INDEX(SP_BSR_CashFlow_LTM,0,COLUMN())</f>
        <v/>
      </c>
      <c r="AT86" s="1252">
        <f>INDEX(MO_BSS_Debt_Net,0,COLUMN())/INDEX(SP_BSR_CashFlow_LTM,0,COLUMN())</f>
        <v/>
      </c>
      <c r="AU86" s="137">
        <f>INDEX(MO_BSS_Debt_Net,0,COLUMN())/INDEX(SP_BSR_CashFlow_LTM,0,COLUMN())</f>
        <v/>
      </c>
      <c r="AV86" s="137">
        <f>INDEX(MO_BSS_Debt_Net,0,COLUMN())/INDEX(SP_BSR_CashFlow_LTM,0,COLUMN())</f>
        <v/>
      </c>
      <c r="AW86" s="137">
        <f>INDEX(MO_BSS_Debt_Net,0,COLUMN())/INDEX(SP_BSR_CashFlow_LTM,0,COLUMN())</f>
        <v/>
      </c>
      <c r="AX86" s="137">
        <f>INDEX(MO_BSS_Debt_Net,0,COLUMN())/INDEX(SP_BSR_CashFlow_LTM,0,COLUMN())</f>
        <v/>
      </c>
      <c r="AY86" s="1252">
        <f>INDEX(MO_BSS_Debt_Net,0,COLUMN())/INDEX(SP_BSR_CashFlow_LTM,0,COLUMN())</f>
        <v/>
      </c>
      <c r="AZ86" s="137">
        <f>INDEX(MO_BSS_Debt_Net,0,COLUMN())/INDEX(SP_BSR_CashFlow_LTM,0,COLUMN())</f>
        <v/>
      </c>
      <c r="BA86" s="137">
        <f>INDEX(MO_BSS_Debt_Net,0,COLUMN())/INDEX(SP_BSR_CashFlow_LTM,0,COLUMN())</f>
        <v/>
      </c>
      <c r="BB86" s="137">
        <f>INDEX(MO_BSS_Debt_Net,0,COLUMN())/INDEX(SP_BSR_CashFlow_LTM,0,COLUMN())</f>
        <v/>
      </c>
      <c r="BC86" s="137">
        <f>INDEX(MO_BSS_Debt_Net,0,COLUMN())/INDEX(SP_BSR_CashFlow_LTM,0,COLUMN())</f>
        <v/>
      </c>
      <c r="BD86" s="1252">
        <f>INDEX(MO_BSS_Debt_Net,0,COLUMN())/INDEX(SP_BSR_CashFlow_LTM,0,COLUMN())</f>
        <v/>
      </c>
      <c r="BE86" s="137">
        <f>INDEX(MO_BSS_Debt_Net,0,COLUMN())/INDEX(SP_BSR_CashFlow_LTM,0,COLUMN())</f>
        <v/>
      </c>
      <c r="BF86" s="137">
        <f>INDEX(MO_BSS_Debt_Net,0,COLUMN())/INDEX(SP_BSR_CashFlow_LTM,0,COLUMN())</f>
        <v/>
      </c>
      <c r="BG86" s="137">
        <f>INDEX(MO_BSS_Debt_Net,0,COLUMN())/INDEX(SP_BSR_CashFlow_LTM,0,COLUMN())</f>
        <v/>
      </c>
      <c r="BH86" s="137">
        <f>INDEX(MO_BSS_Debt_Net,0,COLUMN())/INDEX(SP_BSR_CashFlow_LTM,0,COLUMN())</f>
        <v/>
      </c>
      <c r="BI86" s="1252">
        <f>INDEX(MO_BSS_Debt_Net,0,COLUMN())/INDEX(SP_BSR_CashFlow_LTM,0,COLUMN())</f>
        <v/>
      </c>
      <c r="BJ86" s="137">
        <f>INDEX(MO_BSS_Debt_Net,0,COLUMN())/INDEX(SP_BSR_CashFlow_LTM,0,COLUMN())</f>
        <v/>
      </c>
      <c r="BK86" s="137">
        <f>INDEX(MO_BSS_Debt_Net,0,COLUMN())/INDEX(SP_BSR_CashFlow_LTM,0,COLUMN())</f>
        <v/>
      </c>
      <c r="BL86" s="137">
        <f>INDEX(MO_BSS_Debt_Net,0,COLUMN())/INDEX(SP_BSR_CashFlow_LTM,0,COLUMN())</f>
        <v/>
      </c>
      <c r="BM86" s="137">
        <f>INDEX(MO_BSS_Debt_Net,0,COLUMN())/INDEX(SP_BSR_CashFlow_LTM,0,COLUMN())</f>
        <v/>
      </c>
      <c r="BN86" s="1252">
        <f>INDEX(MO_BSS_Debt_Net,0,COLUMN())/INDEX(SP_BSR_CashFlow_LTM,0,COLUMN())</f>
        <v/>
      </c>
      <c r="BO86" s="137">
        <f>INDEX(MO_BSS_Debt_Net,0,COLUMN())/INDEX(SP_BSR_CashFlow_LTM,0,COLUMN())</f>
        <v/>
      </c>
      <c r="BP86" s="137">
        <f>INDEX(MO_BSS_Debt_Net,0,COLUMN())/INDEX(SP_BSR_CashFlow_LTM,0,COLUMN())</f>
        <v/>
      </c>
      <c r="BQ86" s="137">
        <f>INDEX(MO_BSS_Debt_Net,0,COLUMN())/INDEX(SP_BSR_CashFlow_LTM,0,COLUMN())</f>
        <v/>
      </c>
      <c r="BR86" s="137">
        <f>INDEX(MO_BSS_Debt_Net,0,COLUMN())/INDEX(SP_BSR_CashFlow_LTM,0,COLUMN())</f>
        <v/>
      </c>
      <c r="BS86" s="1252">
        <f>INDEX(MO_BSS_Debt_Net,0,COLUMN())/INDEX(SP_BSR_CashFlow_LTM,0,COLUMN())</f>
        <v/>
      </c>
      <c r="BT86" s="137">
        <f>INDEX(MO_BSS_Debt_Net,0,COLUMN())/INDEX(SP_BSR_CashFlow_LTM,0,COLUMN())</f>
        <v/>
      </c>
      <c r="BU86" s="137">
        <f>INDEX(MO_BSS_Debt_Net,0,COLUMN())/INDEX(SP_BSR_CashFlow_LTM,0,COLUMN())</f>
        <v/>
      </c>
      <c r="BV86" s="953">
        <f>INDEX(MO_BSS_Debt_Net,0,COLUMN())/INDEX(SP_BSR_CashFlow_LTM,0,COLUMN())</f>
        <v/>
      </c>
      <c r="BW86" s="137">
        <f>INDEX(MO_BSS_Debt_Net,0,COLUMN())/INDEX(SP_BSR_CashFlow_LTM,0,COLUMN())</f>
        <v/>
      </c>
      <c r="BX86" s="1252">
        <f>INDEX(MO_BSS_Debt_Net,0,COLUMN())/INDEX(SP_BSR_CashFlow_LTM,0,COLUMN())</f>
        <v/>
      </c>
      <c r="BY86" s="137">
        <f>INDEX(MO_BSS_Debt_Net,0,COLUMN())/INDEX(SP_BSR_CashFlow_LTM,0,COLUMN())</f>
        <v/>
      </c>
      <c r="BZ86" s="137">
        <f>INDEX(MO_BSS_Debt_Net,0,COLUMN())/INDEX(SP_BSR_CashFlow_LTM,0,COLUMN())</f>
        <v/>
      </c>
      <c r="CA86" s="137">
        <f>INDEX(MO_BSS_Debt_Net,0,COLUMN())/INDEX(SP_BSR_CashFlow_LTM,0,COLUMN())</f>
        <v/>
      </c>
      <c r="CB86" s="137">
        <f>INDEX(MO_BSS_Debt_Net,0,COLUMN())/INDEX(SP_BSR_CashFlow_LTM,0,COLUMN())</f>
        <v/>
      </c>
      <c r="CC86" s="1252">
        <f>INDEX(MO_BSS_Debt_Net,0,COLUMN())/INDEX(SP_BSR_CashFlow_LTM,0,COLUMN())</f>
        <v/>
      </c>
      <c r="CD86" s="1252">
        <f>INDEX(MO_BSS_Debt_Net,0,COLUMN())/INDEX(SP_BSR_CashFlow_LTM,0,COLUMN())</f>
        <v/>
      </c>
      <c r="CE86" s="1252">
        <f>INDEX(MO_BSS_Debt_Net,0,COLUMN())/INDEX(SP_BSR_CashFlow_LTM,0,COLUMN())</f>
        <v/>
      </c>
      <c r="CF86" s="1252">
        <f>INDEX(MO_BSS_Debt_Net,0,COLUMN())/INDEX(SP_BSR_CashFlow_LTM,0,COLUMN())</f>
        <v/>
      </c>
      <c r="CG86" s="137" t="n"/>
    </row>
    <row r="87" customFormat="1" s="979">
      <c r="A87" s="217" t="inlineStr">
        <is>
          <t>Net Debt / Capital</t>
        </is>
      </c>
      <c r="B87" s="218" t="n"/>
      <c r="C87" s="1253">
        <f>INDEX(MO_BSS_Debt_Net,0,COLUMN())/SUM(INDEX(MO_BS_SE,0,COLUMN()),INDEX(MO_BSS_Debt,0,COLUMN()),IFERROR(INDEX(MO_BSS_OL,0,COLUMN()),0))</f>
        <v/>
      </c>
      <c r="D87" s="1253">
        <f>INDEX(MO_BSS_Debt_Net,0,COLUMN())/SUM(INDEX(MO_BS_SE,0,COLUMN()),INDEX(MO_BSS_Debt,0,COLUMN()),IFERROR(INDEX(MO_BSS_OL,0,COLUMN()),0))</f>
        <v/>
      </c>
      <c r="E87" s="1253">
        <f>INDEX(MO_BSS_Debt_Net,0,COLUMN())/SUM(INDEX(MO_BS_SE,0,COLUMN()),INDEX(MO_BSS_Debt,0,COLUMN()),IFERROR(INDEX(MO_BSS_OL,0,COLUMN()),0))</f>
        <v/>
      </c>
      <c r="F87" s="1253">
        <f>INDEX(MO_BSS_Debt_Net,0,COLUMN())/SUM(INDEX(MO_BS_SE,0,COLUMN()),INDEX(MO_BSS_Debt,0,COLUMN()),IFERROR(INDEX(MO_BSS_OL,0,COLUMN()),0))</f>
        <v/>
      </c>
      <c r="G87" s="318" t="n"/>
      <c r="H87" s="318" t="n"/>
      <c r="I87" s="318" t="n"/>
      <c r="J87" s="318">
        <f>INDEX(MO_BSS_Debt_Net,0,COLUMN())/SUM(INDEX(MO_BS_SE,0,COLUMN()),INDEX(MO_BSS_Debt,0,COLUMN()),IFERROR(INDEX(MO_BSS_OL,0,COLUMN()),0))</f>
        <v/>
      </c>
      <c r="K87" s="1253">
        <f>INDEX(MO_BSS_Debt_Net,0,COLUMN())/SUM(INDEX(MO_BS_SE,0,COLUMN()),INDEX(MO_BSS_Debt,0,COLUMN()),IFERROR(INDEX(MO_BSS_OL,0,COLUMN()),0))</f>
        <v/>
      </c>
      <c r="L87" s="318">
        <f>INDEX(MO_BSS_Debt_Net,0,COLUMN())/SUM(INDEX(MO_BS_SE,0,COLUMN()),INDEX(MO_BSS_Debt,0,COLUMN()),IFERROR(INDEX(MO_BSS_OL,0,COLUMN()),0))</f>
        <v/>
      </c>
      <c r="M87" s="318">
        <f>INDEX(MO_BSS_Debt_Net,0,COLUMN())/SUM(INDEX(MO_BS_SE,0,COLUMN()),INDEX(MO_BSS_Debt,0,COLUMN()),IFERROR(INDEX(MO_BSS_OL,0,COLUMN()),0))</f>
        <v/>
      </c>
      <c r="N87" s="318">
        <f>INDEX(MO_BSS_Debt_Net,0,COLUMN())/SUM(INDEX(MO_BS_SE,0,COLUMN()),INDEX(MO_BSS_Debt,0,COLUMN()),IFERROR(INDEX(MO_BSS_OL,0,COLUMN()),0))</f>
        <v/>
      </c>
      <c r="O87" s="318">
        <f>INDEX(MO_BSS_Debt_Net,0,COLUMN())/SUM(INDEX(MO_BS_SE,0,COLUMN()),INDEX(MO_BSS_Debt,0,COLUMN()),IFERROR(INDEX(MO_BSS_OL,0,COLUMN()),0))</f>
        <v/>
      </c>
      <c r="P87" s="1253">
        <f>INDEX(MO_BSS_Debt_Net,0,COLUMN())/SUM(INDEX(MO_BS_SE,0,COLUMN()),INDEX(MO_BSS_Debt,0,COLUMN()),IFERROR(INDEX(MO_BSS_OL,0,COLUMN()),0))</f>
        <v/>
      </c>
      <c r="Q87" s="318">
        <f>INDEX(MO_BSS_Debt_Net,0,COLUMN())/SUM(INDEX(MO_BS_SE,0,COLUMN()),INDEX(MO_BSS_Debt,0,COLUMN()),IFERROR(INDEX(MO_BSS_OL,0,COLUMN()),0))</f>
        <v/>
      </c>
      <c r="R87" s="318">
        <f>INDEX(MO_BSS_Debt_Net,0,COLUMN())/SUM(INDEX(MO_BS_SE,0,COLUMN()),INDEX(MO_BSS_Debt,0,COLUMN()),IFERROR(INDEX(MO_BSS_OL,0,COLUMN()),0))</f>
        <v/>
      </c>
      <c r="S87" s="318">
        <f>INDEX(MO_BSS_Debt_Net,0,COLUMN())/SUM(INDEX(MO_BS_SE,0,COLUMN()),INDEX(MO_BSS_Debt,0,COLUMN()),IFERROR(INDEX(MO_BSS_OL,0,COLUMN()),0))</f>
        <v/>
      </c>
      <c r="T87" s="318">
        <f>INDEX(MO_BSS_Debt_Net,0,COLUMN())/SUM(INDEX(MO_BS_SE,0,COLUMN()),INDEX(MO_BSS_Debt,0,COLUMN()),IFERROR(INDEX(MO_BSS_OL,0,COLUMN()),0))</f>
        <v/>
      </c>
      <c r="U87" s="1253">
        <f>INDEX(MO_BSS_Debt_Net,0,COLUMN())/SUM(INDEX(MO_BS_SE,0,COLUMN()),INDEX(MO_BSS_Debt,0,COLUMN()),IFERROR(INDEX(MO_BSS_OL,0,COLUMN()),0))</f>
        <v/>
      </c>
      <c r="V87" s="318">
        <f>INDEX(MO_BSS_Debt_Net,0,COLUMN())/SUM(INDEX(MO_BS_SE,0,COLUMN()),INDEX(MO_BSS_Debt,0,COLUMN()),IFERROR(INDEX(MO_BSS_OL,0,COLUMN()),0))</f>
        <v/>
      </c>
      <c r="W87" s="318">
        <f>INDEX(MO_BSS_Debt_Net,0,COLUMN())/SUM(INDEX(MO_BS_SE,0,COLUMN()),INDEX(MO_BSS_Debt,0,COLUMN()),IFERROR(INDEX(MO_BSS_OL,0,COLUMN()),0))</f>
        <v/>
      </c>
      <c r="X87" s="318">
        <f>INDEX(MO_BSS_Debt_Net,0,COLUMN())/SUM(INDEX(MO_BS_SE,0,COLUMN()),INDEX(MO_BSS_Debt,0,COLUMN()),IFERROR(INDEX(MO_BSS_OL,0,COLUMN()),0))</f>
        <v/>
      </c>
      <c r="Y87" s="318">
        <f>INDEX(MO_BSS_Debt_Net,0,COLUMN())/SUM(INDEX(MO_BS_SE,0,COLUMN()),INDEX(MO_BSS_Debt,0,COLUMN()),IFERROR(INDEX(MO_BSS_OL,0,COLUMN()),0))</f>
        <v/>
      </c>
      <c r="Z87" s="1253">
        <f>INDEX(MO_BSS_Debt_Net,0,COLUMN())/SUM(INDEX(MO_BS_SE,0,COLUMN()),INDEX(MO_BSS_Debt,0,COLUMN()),IFERROR(INDEX(MO_BSS_OL,0,COLUMN()),0))</f>
        <v/>
      </c>
      <c r="AA87" s="318">
        <f>INDEX(MO_BSS_Debt_Net,0,COLUMN())/SUM(INDEX(MO_BS_SE,0,COLUMN()),INDEX(MO_BSS_Debt,0,COLUMN()),IFERROR(INDEX(MO_BSS_OL,0,COLUMN()),0))</f>
        <v/>
      </c>
      <c r="AB87" s="318">
        <f>INDEX(MO_BSS_Debt_Net,0,COLUMN())/SUM(INDEX(MO_BS_SE,0,COLUMN()),INDEX(MO_BSS_Debt,0,COLUMN()),IFERROR(INDEX(MO_BSS_OL,0,COLUMN()),0))</f>
        <v/>
      </c>
      <c r="AC87" s="318">
        <f>INDEX(MO_BSS_Debt_Net,0,COLUMN())/SUM(INDEX(MO_BS_SE,0,COLUMN()),INDEX(MO_BSS_Debt,0,COLUMN()),IFERROR(INDEX(MO_BSS_OL,0,COLUMN()),0))</f>
        <v/>
      </c>
      <c r="AD87" s="318">
        <f>INDEX(MO_BSS_Debt_Net,0,COLUMN())/SUM(INDEX(MO_BS_SE,0,COLUMN()),INDEX(MO_BSS_Debt,0,COLUMN()),IFERROR(INDEX(MO_BSS_OL,0,COLUMN()),0))</f>
        <v/>
      </c>
      <c r="AE87" s="1253">
        <f>INDEX(MO_BSS_Debt_Net,0,COLUMN())/SUM(INDEX(MO_BS_SE,0,COLUMN()),INDEX(MO_BSS_Debt,0,COLUMN()),IFERROR(INDEX(MO_BSS_OL,0,COLUMN()),0))</f>
        <v/>
      </c>
      <c r="AF87" s="318">
        <f>INDEX(MO_BSS_Debt_Net,0,COLUMN())/SUM(INDEX(MO_BS_SE,0,COLUMN()),INDEX(MO_BSS_Debt,0,COLUMN()),IFERROR(INDEX(MO_BSS_OL,0,COLUMN()),0))</f>
        <v/>
      </c>
      <c r="AG87" s="318">
        <f>INDEX(MO_BSS_Debt_Net,0,COLUMN())/SUM(INDEX(MO_BS_SE,0,COLUMN()),INDEX(MO_BSS_Debt,0,COLUMN()),IFERROR(INDEX(MO_BSS_OL,0,COLUMN()),0))</f>
        <v/>
      </c>
      <c r="AH87" s="318">
        <f>INDEX(MO_BSS_Debt_Net,0,COLUMN())/SUM(INDEX(MO_BS_SE,0,COLUMN()),INDEX(MO_BSS_Debt,0,COLUMN()),IFERROR(INDEX(MO_BSS_OL,0,COLUMN()),0))</f>
        <v/>
      </c>
      <c r="AI87" s="318">
        <f>INDEX(MO_BSS_Debt_Net,0,COLUMN())/SUM(INDEX(MO_BS_SE,0,COLUMN()),INDEX(MO_BSS_Debt,0,COLUMN()),IFERROR(INDEX(MO_BSS_OL,0,COLUMN()),0))</f>
        <v/>
      </c>
      <c r="AJ87" s="1253">
        <f>INDEX(MO_BSS_Debt_Net,0,COLUMN())/SUM(INDEX(MO_BS_SE,0,COLUMN()),INDEX(MO_BSS_Debt,0,COLUMN()),IFERROR(INDEX(MO_BSS_OL,0,COLUMN()),0))</f>
        <v/>
      </c>
      <c r="AK87" s="318">
        <f>INDEX(MO_BSS_Debt_Net,0,COLUMN())/SUM(INDEX(MO_BS_SE,0,COLUMN()),INDEX(MO_BSS_Debt,0,COLUMN()),IFERROR(INDEX(MO_BSS_OL,0,COLUMN()),0))</f>
        <v/>
      </c>
      <c r="AL87" s="318">
        <f>INDEX(MO_BSS_Debt_Net,0,COLUMN())/SUM(INDEX(MO_BS_SE,0,COLUMN()),INDEX(MO_BSS_Debt,0,COLUMN()),IFERROR(INDEX(MO_BSS_OL,0,COLUMN()),0))</f>
        <v/>
      </c>
      <c r="AM87" s="318">
        <f>INDEX(MO_BSS_Debt_Net,0,COLUMN())/SUM(INDEX(MO_BS_SE,0,COLUMN()),INDEX(MO_BSS_Debt,0,COLUMN()),IFERROR(INDEX(MO_BSS_OL,0,COLUMN()),0))</f>
        <v/>
      </c>
      <c r="AN87" s="318">
        <f>INDEX(MO_BSS_Debt_Net,0,COLUMN())/SUM(INDEX(MO_BS_SE,0,COLUMN()),INDEX(MO_BSS_Debt,0,COLUMN()),IFERROR(INDEX(MO_BSS_OL,0,COLUMN()),0))</f>
        <v/>
      </c>
      <c r="AO87" s="1253">
        <f>INDEX(MO_BSS_Debt_Net,0,COLUMN())/SUM(INDEX(MO_BS_SE,0,COLUMN()),INDEX(MO_BSS_Debt,0,COLUMN()),IFERROR(INDEX(MO_BSS_OL,0,COLUMN()),0))</f>
        <v/>
      </c>
      <c r="AP87" s="318">
        <f>INDEX(MO_BSS_Debt_Net,0,COLUMN())/SUM(INDEX(MO_BS_SE,0,COLUMN()),INDEX(MO_BSS_Debt,0,COLUMN()),IFERROR(INDEX(MO_BSS_OL,0,COLUMN()),0))</f>
        <v/>
      </c>
      <c r="AQ87" s="318">
        <f>INDEX(MO_BSS_Debt_Net,0,COLUMN())/SUM(INDEX(MO_BS_SE,0,COLUMN()),INDEX(MO_BSS_Debt,0,COLUMN()),IFERROR(INDEX(MO_BSS_OL,0,COLUMN()),0))</f>
        <v/>
      </c>
      <c r="AR87" s="318">
        <f>INDEX(MO_BSS_Debt_Net,0,COLUMN())/SUM(INDEX(MO_BS_SE,0,COLUMN()),INDEX(MO_BSS_Debt,0,COLUMN()),IFERROR(INDEX(MO_BSS_OL,0,COLUMN()),0))</f>
        <v/>
      </c>
      <c r="AS87" s="318">
        <f>INDEX(MO_BSS_Debt_Net,0,COLUMN())/SUM(INDEX(MO_BS_SE,0,COLUMN()),INDEX(MO_BSS_Debt,0,COLUMN()),IFERROR(INDEX(MO_BSS_OL,0,COLUMN()),0))</f>
        <v/>
      </c>
      <c r="AT87" s="1253">
        <f>INDEX(MO_BSS_Debt_Net,0,COLUMN())/SUM(INDEX(MO_BS_SE,0,COLUMN()),INDEX(MO_BSS_Debt,0,COLUMN()),IFERROR(INDEX(MO_BSS_OL,0,COLUMN()),0))</f>
        <v/>
      </c>
      <c r="AU87" s="318">
        <f>INDEX(MO_BSS_Debt_Net,0,COLUMN())/SUM(INDEX(MO_BS_SE,0,COLUMN()),INDEX(MO_BSS_Debt,0,COLUMN()),IFERROR(INDEX(MO_BSS_OL,0,COLUMN()),0))</f>
        <v/>
      </c>
      <c r="AV87" s="318">
        <f>INDEX(MO_BSS_Debt_Net,0,COLUMN())/SUM(INDEX(MO_BS_SE,0,COLUMN()),INDEX(MO_BSS_Debt,0,COLUMN()),IFERROR(INDEX(MO_BSS_OL,0,COLUMN()),0))</f>
        <v/>
      </c>
      <c r="AW87" s="318">
        <f>INDEX(MO_BSS_Debt_Net,0,COLUMN())/SUM(INDEX(MO_BS_SE,0,COLUMN()),INDEX(MO_BSS_Debt,0,COLUMN()),IFERROR(INDEX(MO_BSS_OL,0,COLUMN()),0))</f>
        <v/>
      </c>
      <c r="AX87" s="318">
        <f>INDEX(MO_BSS_Debt_Net,0,COLUMN())/SUM(INDEX(MO_BS_SE,0,COLUMN()),INDEX(MO_BSS_Debt,0,COLUMN()),IFERROR(INDEX(MO_BSS_OL,0,COLUMN()),0))</f>
        <v/>
      </c>
      <c r="AY87" s="1253">
        <f>INDEX(MO_BSS_Debt_Net,0,COLUMN())/SUM(INDEX(MO_BS_SE,0,COLUMN()),INDEX(MO_BSS_Debt,0,COLUMN()),IFERROR(INDEX(MO_BSS_OL,0,COLUMN()),0))</f>
        <v/>
      </c>
      <c r="AZ87" s="318">
        <f>INDEX(MO_BSS_Debt_Net,0,COLUMN())/SUM(INDEX(MO_BS_SE,0,COLUMN()),INDEX(MO_BSS_Debt,0,COLUMN()),IFERROR(INDEX(MO_BSS_OL,0,COLUMN()),0))</f>
        <v/>
      </c>
      <c r="BA87" s="318">
        <f>INDEX(MO_BSS_Debt_Net,0,COLUMN())/SUM(INDEX(MO_BS_SE,0,COLUMN()),INDEX(MO_BSS_Debt,0,COLUMN()),IFERROR(INDEX(MO_BSS_OL,0,COLUMN()),0))</f>
        <v/>
      </c>
      <c r="BB87" s="318">
        <f>INDEX(MO_BSS_Debt_Net,0,COLUMN())/SUM(INDEX(MO_BS_SE,0,COLUMN()),INDEX(MO_BSS_Debt,0,COLUMN()),IFERROR(INDEX(MO_BSS_OL,0,COLUMN()),0))</f>
        <v/>
      </c>
      <c r="BC87" s="318">
        <f>INDEX(MO_BSS_Debt_Net,0,COLUMN())/SUM(INDEX(MO_BS_SE,0,COLUMN()),INDEX(MO_BSS_Debt,0,COLUMN()),IFERROR(INDEX(MO_BSS_OL,0,COLUMN()),0))</f>
        <v/>
      </c>
      <c r="BD87" s="1253">
        <f>INDEX(MO_BSS_Debt_Net,0,COLUMN())/SUM(INDEX(MO_BS_SE,0,COLUMN()),INDEX(MO_BSS_Debt,0,COLUMN()),IFERROR(INDEX(MO_BSS_OL,0,COLUMN()),0))</f>
        <v/>
      </c>
      <c r="BE87" s="318">
        <f>INDEX(MO_BSS_Debt_Net,0,COLUMN())/SUM(INDEX(MO_BS_SE,0,COLUMN()),INDEX(MO_BSS_Debt,0,COLUMN()),IFERROR(INDEX(MO_BSS_OL,0,COLUMN()),0))</f>
        <v/>
      </c>
      <c r="BF87" s="318">
        <f>INDEX(MO_BSS_Debt_Net,0,COLUMN())/SUM(INDEX(MO_BS_SE,0,COLUMN()),INDEX(MO_BSS_Debt,0,COLUMN()),IFERROR(INDEX(MO_BSS_OL,0,COLUMN()),0))</f>
        <v/>
      </c>
      <c r="BG87" s="318">
        <f>INDEX(MO_BSS_Debt_Net,0,COLUMN())/SUM(INDEX(MO_BS_SE,0,COLUMN()),INDEX(MO_BSS_Debt,0,COLUMN()),IFERROR(INDEX(MO_BSS_OL,0,COLUMN()),0))</f>
        <v/>
      </c>
      <c r="BH87" s="318">
        <f>INDEX(MO_BSS_Debt_Net,0,COLUMN())/SUM(INDEX(MO_BS_SE,0,COLUMN()),INDEX(MO_BSS_Debt,0,COLUMN()),IFERROR(INDEX(MO_BSS_OL,0,COLUMN()),0))</f>
        <v/>
      </c>
      <c r="BI87" s="1253">
        <f>INDEX(MO_BSS_Debt_Net,0,COLUMN())/SUM(INDEX(MO_BS_SE,0,COLUMN()),INDEX(MO_BSS_Debt,0,COLUMN()),IFERROR(INDEX(MO_BSS_OL,0,COLUMN()),0))</f>
        <v/>
      </c>
      <c r="BJ87" s="318">
        <f>INDEX(MO_BSS_Debt_Net,0,COLUMN())/SUM(INDEX(MO_BS_SE,0,COLUMN()),INDEX(MO_BSS_Debt,0,COLUMN()),IFERROR(INDEX(MO_BSS_OL,0,COLUMN()),0))</f>
        <v/>
      </c>
      <c r="BK87" s="318">
        <f>INDEX(MO_BSS_Debt_Net,0,COLUMN())/SUM(INDEX(MO_BS_SE,0,COLUMN()),INDEX(MO_BSS_Debt,0,COLUMN()),IFERROR(INDEX(MO_BSS_OL,0,COLUMN()),0))</f>
        <v/>
      </c>
      <c r="BL87" s="318">
        <f>INDEX(MO_BSS_Debt_Net,0,COLUMN())/SUM(INDEX(MO_BS_SE,0,COLUMN()),INDEX(MO_BSS_Debt,0,COLUMN()),IFERROR(INDEX(MO_BSS_OL,0,COLUMN()),0))</f>
        <v/>
      </c>
      <c r="BM87" s="318">
        <f>INDEX(MO_BSS_Debt_Net,0,COLUMN())/SUM(INDEX(MO_BS_SE,0,COLUMN()),INDEX(MO_BSS_Debt,0,COLUMN()),IFERROR(INDEX(MO_BSS_OL,0,COLUMN()),0))</f>
        <v/>
      </c>
      <c r="BN87" s="1253">
        <f>INDEX(MO_BSS_Debt_Net,0,COLUMN())/SUM(INDEX(MO_BS_SE,0,COLUMN()),INDEX(MO_BSS_Debt,0,COLUMN()),IFERROR(INDEX(MO_BSS_OL,0,COLUMN()),0))</f>
        <v/>
      </c>
      <c r="BO87" s="318">
        <f>INDEX(MO_BSS_Debt_Net,0,COLUMN())/SUM(INDEX(MO_BS_SE,0,COLUMN()),INDEX(MO_BSS_Debt,0,COLUMN()),IFERROR(INDEX(MO_BSS_OL,0,COLUMN()),0))</f>
        <v/>
      </c>
      <c r="BP87" s="318">
        <f>INDEX(MO_BSS_Debt_Net,0,COLUMN())/SUM(INDEX(MO_BS_SE,0,COLUMN()),INDEX(MO_BSS_Debt,0,COLUMN()),IFERROR(INDEX(MO_BSS_OL,0,COLUMN()),0))</f>
        <v/>
      </c>
      <c r="BQ87" s="318">
        <f>INDEX(MO_BSS_Debt_Net,0,COLUMN())/SUM(INDEX(MO_BS_SE,0,COLUMN()),INDEX(MO_BSS_Debt,0,COLUMN()),IFERROR(INDEX(MO_BSS_OL,0,COLUMN()),0))</f>
        <v/>
      </c>
      <c r="BR87" s="318">
        <f>INDEX(MO_BSS_Debt_Net,0,COLUMN())/SUM(INDEX(MO_BS_SE,0,COLUMN()),INDEX(MO_BSS_Debt,0,COLUMN()),IFERROR(INDEX(MO_BSS_OL,0,COLUMN()),0))</f>
        <v/>
      </c>
      <c r="BS87" s="1253">
        <f>INDEX(MO_BSS_Debt_Net,0,COLUMN())/SUM(INDEX(MO_BS_SE,0,COLUMN()),INDEX(MO_BSS_Debt,0,COLUMN()),IFERROR(INDEX(MO_BSS_OL,0,COLUMN()),0))</f>
        <v/>
      </c>
      <c r="BT87" s="318">
        <f>INDEX(MO_BSS_Debt_Net,0,COLUMN())/SUM(INDEX(MO_BS_SE,0,COLUMN()),INDEX(MO_BSS_Debt,0,COLUMN()),IFERROR(INDEX(MO_BSS_OL,0,COLUMN()),0))</f>
        <v/>
      </c>
      <c r="BU87" s="318">
        <f>INDEX(MO_BSS_Debt_Net,0,COLUMN())/SUM(INDEX(MO_BS_SE,0,COLUMN()),INDEX(MO_BSS_Debt,0,COLUMN()),IFERROR(INDEX(MO_BSS_OL,0,COLUMN()),0))</f>
        <v/>
      </c>
      <c r="BV87" s="954">
        <f>INDEX(MO_BSS_Debt_Net,0,COLUMN())/SUM(INDEX(MO_BS_SE,0,COLUMN()),INDEX(MO_BSS_Debt,0,COLUMN()),IFERROR(INDEX(MO_BSS_OL,0,COLUMN()),0))</f>
        <v/>
      </c>
      <c r="BW87" s="318">
        <f>INDEX(MO_BSS_Debt_Net,0,COLUMN())/SUM(INDEX(MO_BS_SE,0,COLUMN()),INDEX(MO_BSS_Debt,0,COLUMN()),IFERROR(INDEX(MO_BSS_OL,0,COLUMN()),0))</f>
        <v/>
      </c>
      <c r="BX87" s="1253">
        <f>INDEX(MO_BSS_Debt_Net,0,COLUMN())/SUM(INDEX(MO_BS_SE,0,COLUMN()),INDEX(MO_BSS_Debt,0,COLUMN()),IFERROR(INDEX(MO_BSS_OL,0,COLUMN()),0))</f>
        <v/>
      </c>
      <c r="BY87" s="318">
        <f>INDEX(MO_BSS_Debt_Net,0,COLUMN())/SUM(INDEX(MO_BS_SE,0,COLUMN()),INDEX(MO_BSS_Debt,0,COLUMN()),IFERROR(INDEX(MO_BSS_OL,0,COLUMN()),0))</f>
        <v/>
      </c>
      <c r="BZ87" s="318">
        <f>INDEX(MO_BSS_Debt_Net,0,COLUMN())/SUM(INDEX(MO_BS_SE,0,COLUMN()),INDEX(MO_BSS_Debt,0,COLUMN()),IFERROR(INDEX(MO_BSS_OL,0,COLUMN()),0))</f>
        <v/>
      </c>
      <c r="CA87" s="318">
        <f>INDEX(MO_BSS_Debt_Net,0,COLUMN())/SUM(INDEX(MO_BS_SE,0,COLUMN()),INDEX(MO_BSS_Debt,0,COLUMN()),IFERROR(INDEX(MO_BSS_OL,0,COLUMN()),0))</f>
        <v/>
      </c>
      <c r="CB87" s="318">
        <f>INDEX(MO_BSS_Debt_Net,0,COLUMN())/SUM(INDEX(MO_BS_SE,0,COLUMN()),INDEX(MO_BSS_Debt,0,COLUMN()),IFERROR(INDEX(MO_BSS_OL,0,COLUMN()),0))</f>
        <v/>
      </c>
      <c r="CC87" s="1253">
        <f>INDEX(MO_BSS_Debt_Net,0,COLUMN())/SUM(INDEX(MO_BS_SE,0,COLUMN()),INDEX(MO_BSS_Debt,0,COLUMN()),IFERROR(INDEX(MO_BSS_OL,0,COLUMN()),0))</f>
        <v/>
      </c>
      <c r="CD87" s="1253">
        <f>INDEX(MO_BSS_Debt_Net,0,COLUMN())/SUM(INDEX(MO_BS_SE,0,COLUMN()),INDEX(MO_BSS_Debt,0,COLUMN()),IFERROR(INDEX(MO_BSS_OL,0,COLUMN()),0))</f>
        <v/>
      </c>
      <c r="CE87" s="1253">
        <f>INDEX(MO_BSS_Debt_Net,0,COLUMN())/SUM(INDEX(MO_BS_SE,0,COLUMN()),INDEX(MO_BSS_Debt,0,COLUMN()),IFERROR(INDEX(MO_BSS_OL,0,COLUMN()),0))</f>
        <v/>
      </c>
      <c r="CF87" s="1253">
        <f>INDEX(MO_BSS_Debt_Net,0,COLUMN())/SUM(INDEX(MO_BS_SE,0,COLUMN()),INDEX(MO_BSS_Debt,0,COLUMN()),IFERROR(INDEX(MO_BSS_OL,0,COLUMN()),0))</f>
        <v/>
      </c>
      <c r="CG87" s="240" t="n"/>
    </row>
    <row r="88" hidden="1" outlineLevel="1" customFormat="1" s="976">
      <c r="A88" s="206" t="inlineStr">
        <is>
          <t>LTM EBITDA</t>
        </is>
      </c>
      <c r="B88" s="85" t="n"/>
      <c r="C88" s="183">
        <f>C51</f>
        <v/>
      </c>
      <c r="D88" s="183">
        <f>D51</f>
        <v/>
      </c>
      <c r="E88" s="183">
        <f>E51</f>
        <v/>
      </c>
      <c r="F88" s="183">
        <f>F51</f>
        <v/>
      </c>
      <c r="G88" s="1013" t="n"/>
      <c r="H88" s="1013" t="n"/>
      <c r="I88" s="1013" t="n"/>
      <c r="J88" s="1013">
        <f>SUM(J51,I51,H51,G51)</f>
        <v/>
      </c>
      <c r="K88" s="183">
        <f>K51</f>
        <v/>
      </c>
      <c r="L88" s="1013">
        <f>SUM(L51,J51,I51,H51)</f>
        <v/>
      </c>
      <c r="M88" s="1013">
        <f>SUM(M51,L51,J51,I51)</f>
        <v/>
      </c>
      <c r="N88" s="1013">
        <f>SUM(N51,M51,L51,J51)</f>
        <v/>
      </c>
      <c r="O88" s="1013">
        <f>SUM(O51,N51,M51,L51)</f>
        <v/>
      </c>
      <c r="P88" s="183">
        <f>P51</f>
        <v/>
      </c>
      <c r="Q88" s="1013">
        <f>SUM(Q51,O51,N51,M51)</f>
        <v/>
      </c>
      <c r="R88" s="1013">
        <f>SUM(R51,Q51,O51,N51)</f>
        <v/>
      </c>
      <c r="S88" s="1013">
        <f>SUM(S51,R51,Q51,O51)</f>
        <v/>
      </c>
      <c r="T88" s="1013">
        <f>SUM(T51,S51,R51,Q51)</f>
        <v/>
      </c>
      <c r="U88" s="183">
        <f>U51</f>
        <v/>
      </c>
      <c r="V88" s="1013">
        <f>SUM(V51,T51,S51,R51)</f>
        <v/>
      </c>
      <c r="W88" s="1013">
        <f>SUM(W51,V51,T51,S51)</f>
        <v/>
      </c>
      <c r="X88" s="1013">
        <f>SUM(X51,W51,V51,T51)</f>
        <v/>
      </c>
      <c r="Y88" s="1013">
        <f>SUM(Y51,X51,W51,V51)</f>
        <v/>
      </c>
      <c r="Z88" s="183">
        <f>Z51</f>
        <v/>
      </c>
      <c r="AA88" s="1013">
        <f>SUM(AA51,Y51,X51,W51)</f>
        <v/>
      </c>
      <c r="AB88" s="1013">
        <f>SUM(AB51,AA51,Y51,X51)</f>
        <v/>
      </c>
      <c r="AC88" s="1013">
        <f>SUM(AC51,AB51,AA51,Y51)</f>
        <v/>
      </c>
      <c r="AD88" s="1013">
        <f>SUM(AD51,AC51,AB51,AA51)</f>
        <v/>
      </c>
      <c r="AE88" s="183">
        <f>AE51</f>
        <v/>
      </c>
      <c r="AF88" s="1013">
        <f>SUM(AF51,AD51,AC51,AB51)</f>
        <v/>
      </c>
      <c r="AG88" s="1013">
        <f>SUM(AG51,AF51,AD51,AC51)</f>
        <v/>
      </c>
      <c r="AH88" s="1013">
        <f>SUM(AH51,AG51,AF51,AD51)</f>
        <v/>
      </c>
      <c r="AI88" s="1013">
        <f>SUM(AI51,AH51,AG51,AF51)</f>
        <v/>
      </c>
      <c r="AJ88" s="183">
        <f>AJ51</f>
        <v/>
      </c>
      <c r="AK88" s="1013">
        <f>SUM(AK51,AI51,AH51,AG51)</f>
        <v/>
      </c>
      <c r="AL88" s="1013">
        <f>SUM(AL51,AK51,AI51,AH51)</f>
        <v/>
      </c>
      <c r="AM88" s="1013">
        <f>SUM(AM51,AL51,AK51,AI51)</f>
        <v/>
      </c>
      <c r="AN88" s="1013">
        <f>SUM(AN51,AM51,AL51,AK51)</f>
        <v/>
      </c>
      <c r="AO88" s="183">
        <f>AO51</f>
        <v/>
      </c>
      <c r="AP88" s="1013">
        <f>SUM(AP51,AN51,AM51,AL51)</f>
        <v/>
      </c>
      <c r="AQ88" s="1013">
        <f>SUM(AQ51,AP51,AN51,AM51)</f>
        <v/>
      </c>
      <c r="AR88" s="1013">
        <f>SUM(AR51,AQ51,AP51,AN51)</f>
        <v/>
      </c>
      <c r="AS88" s="1013">
        <f>SUM(AS51,AR51,AQ51,AP51)</f>
        <v/>
      </c>
      <c r="AT88" s="183">
        <f>AT51</f>
        <v/>
      </c>
      <c r="AU88" s="1013">
        <f>SUM(AU51,AS51,AR51,AQ51)</f>
        <v/>
      </c>
      <c r="AV88" s="1013">
        <f>SUM(AV51,AU51,AS51,AR51)</f>
        <v/>
      </c>
      <c r="AW88" s="1013">
        <f>SUM(AW51,AV51,AU51,AS51)</f>
        <v/>
      </c>
      <c r="AX88" s="1013">
        <f>SUM(AX51,AW51,AV51,AU51)</f>
        <v/>
      </c>
      <c r="AY88" s="183">
        <f>AY51</f>
        <v/>
      </c>
      <c r="AZ88" s="1013">
        <f>SUM(AZ51,AX51,AW51,AV51)</f>
        <v/>
      </c>
      <c r="BA88" s="1013">
        <f>SUM(BA51,AZ51,AX51,AW51)</f>
        <v/>
      </c>
      <c r="BB88" s="1013">
        <f>SUM(BB51,BA51,AZ51,AX51)</f>
        <v/>
      </c>
      <c r="BC88" s="1013">
        <f>SUM(BC51,BB51,BA51,AZ51)</f>
        <v/>
      </c>
      <c r="BD88" s="183">
        <f>BD51</f>
        <v/>
      </c>
      <c r="BE88" s="1013">
        <f>SUM(BE51,BC51,BB51,BA51)</f>
        <v/>
      </c>
      <c r="BF88" s="1013">
        <f>SUM(BF51,BE51,BC51,BB51)</f>
        <v/>
      </c>
      <c r="BG88" s="1013">
        <f>SUM(BG51,BF51,BE51,BC51)</f>
        <v/>
      </c>
      <c r="BH88" s="1013">
        <f>SUM(BH51,BG51,BF51,BE51)</f>
        <v/>
      </c>
      <c r="BI88" s="183">
        <f>BI51</f>
        <v/>
      </c>
      <c r="BJ88" s="1013">
        <f>SUM(BJ51,BH51,BG51,BF51)</f>
        <v/>
      </c>
      <c r="BK88" s="1013">
        <f>SUM(BK51,BJ51,BH51,BG51)</f>
        <v/>
      </c>
      <c r="BL88" s="1013">
        <f>SUM(BL51,BK51,BJ51,BH51)</f>
        <v/>
      </c>
      <c r="BM88" s="1013">
        <f>SUM(BM51,BL51,BK51,BJ51)</f>
        <v/>
      </c>
      <c r="BN88" s="183">
        <f>BN51</f>
        <v/>
      </c>
      <c r="BO88" s="1013">
        <f>SUM(BO51,BM51,BL51,BK51)</f>
        <v/>
      </c>
      <c r="BP88" s="1013">
        <f>SUM(BP51,BO51,BM51,BL51)</f>
        <v/>
      </c>
      <c r="BQ88" s="1013">
        <f>SUM(BQ51,BP51,BO51,BM51)</f>
        <v/>
      </c>
      <c r="BR88" s="1013">
        <f>SUM(BR51,BQ51,BP51,BO51)</f>
        <v/>
      </c>
      <c r="BS88" s="183">
        <f>BS51</f>
        <v/>
      </c>
      <c r="BT88" s="1013">
        <f>SUM(BT51,BR51,BQ51,BP51)</f>
        <v/>
      </c>
      <c r="BU88" s="1013">
        <f>SUM(BU51,BT51,BR51,BQ51)</f>
        <v/>
      </c>
      <c r="BV88" s="1014">
        <f>SUM(BV51,BU51,BT51,BR51)</f>
        <v/>
      </c>
      <c r="BW88" s="1013">
        <f>SUM(BW51,BV51,BU51,BT51)</f>
        <v/>
      </c>
      <c r="BX88" s="183">
        <f>BX51</f>
        <v/>
      </c>
      <c r="BY88" s="1013">
        <f>SUM(BY51,BW51,BV51,BU51)</f>
        <v/>
      </c>
      <c r="BZ88" s="1013">
        <f>SUM(BZ51,BY51,BW51,BV51)</f>
        <v/>
      </c>
      <c r="CA88" s="1013">
        <f>SUM(CA51,BZ51,BY51,BW51)</f>
        <v/>
      </c>
      <c r="CB88" s="1013">
        <f>SUM(CB51,CA51,BZ51,BY51)</f>
        <v/>
      </c>
      <c r="CC88" s="183">
        <f>CC51</f>
        <v/>
      </c>
      <c r="CD88" s="183">
        <f>CD51</f>
        <v/>
      </c>
      <c r="CE88" s="183">
        <f>CE51</f>
        <v/>
      </c>
      <c r="CF88" s="183">
        <f>CF51</f>
        <v/>
      </c>
      <c r="CG88" s="132" t="n"/>
    </row>
    <row r="89" hidden="1" outlineLevel="1" customFormat="1" s="976">
      <c r="A89" s="206" t="inlineStr">
        <is>
          <t>LTM Cash Flow</t>
        </is>
      </c>
      <c r="B89" s="85" t="n"/>
      <c r="C89" s="183">
        <f>C66</f>
        <v/>
      </c>
      <c r="D89" s="183">
        <f>D66</f>
        <v/>
      </c>
      <c r="E89" s="183">
        <f>E66</f>
        <v/>
      </c>
      <c r="F89" s="183">
        <f>F66</f>
        <v/>
      </c>
      <c r="G89" s="1013" t="n"/>
      <c r="H89" s="1013" t="n"/>
      <c r="I89" s="1013" t="n"/>
      <c r="J89" s="1013">
        <f>SUM(J66,I66,H66,G66)</f>
        <v/>
      </c>
      <c r="K89" s="183">
        <f>K66</f>
        <v/>
      </c>
      <c r="L89" s="1013">
        <f>SUM(L66,J66,I66,H66)</f>
        <v/>
      </c>
      <c r="M89" s="1013">
        <f>SUM(M66,L66,J66,I66)</f>
        <v/>
      </c>
      <c r="N89" s="1013">
        <f>SUM(N66,M66,L66,J66)</f>
        <v/>
      </c>
      <c r="O89" s="1013">
        <f>SUM(O66,N66,M66,L66)</f>
        <v/>
      </c>
      <c r="P89" s="183">
        <f>P66</f>
        <v/>
      </c>
      <c r="Q89" s="1013">
        <f>SUM(Q66,O66,N66,M66)</f>
        <v/>
      </c>
      <c r="R89" s="1013">
        <f>SUM(R66,Q66,O66,N66)</f>
        <v/>
      </c>
      <c r="S89" s="1013">
        <f>SUM(S66,R66,Q66,O66)</f>
        <v/>
      </c>
      <c r="T89" s="1013">
        <f>SUM(T66,S66,R66,Q66)</f>
        <v/>
      </c>
      <c r="U89" s="183">
        <f>U66</f>
        <v/>
      </c>
      <c r="V89" s="1013">
        <f>SUM(V66,T66,S66,R66)</f>
        <v/>
      </c>
      <c r="W89" s="1013">
        <f>SUM(W66,V66,T66,S66)</f>
        <v/>
      </c>
      <c r="X89" s="1013">
        <f>SUM(X66,W66,V66,T66)</f>
        <v/>
      </c>
      <c r="Y89" s="1013">
        <f>SUM(Y66,X66,W66,V66)</f>
        <v/>
      </c>
      <c r="Z89" s="183">
        <f>Z66</f>
        <v/>
      </c>
      <c r="AA89" s="1013">
        <f>SUM(AA66,Y66,X66,W66)</f>
        <v/>
      </c>
      <c r="AB89" s="1013">
        <f>SUM(AB66,AA66,Y66,X66)</f>
        <v/>
      </c>
      <c r="AC89" s="1013">
        <f>SUM(AC66,AB66,AA66,Y66)</f>
        <v/>
      </c>
      <c r="AD89" s="1013">
        <f>SUM(AD66,AC66,AB66,AA66)</f>
        <v/>
      </c>
      <c r="AE89" s="183">
        <f>AE66</f>
        <v/>
      </c>
      <c r="AF89" s="1013">
        <f>SUM(AF66,AD66,AC66,AB66)</f>
        <v/>
      </c>
      <c r="AG89" s="1013">
        <f>SUM(AG66,AF66,AD66,AC66)</f>
        <v/>
      </c>
      <c r="AH89" s="1013">
        <f>SUM(AH66,AG66,AF66,AD66)</f>
        <v/>
      </c>
      <c r="AI89" s="1013">
        <f>SUM(AI66,AH66,AG66,AF66)</f>
        <v/>
      </c>
      <c r="AJ89" s="183">
        <f>AJ66</f>
        <v/>
      </c>
      <c r="AK89" s="1013">
        <f>SUM(AK66,AI66,AH66,AG66)</f>
        <v/>
      </c>
      <c r="AL89" s="1013">
        <f>SUM(AL66,AK66,AI66,AH66)</f>
        <v/>
      </c>
      <c r="AM89" s="1013">
        <f>SUM(AM66,AL66,AK66,AI66)</f>
        <v/>
      </c>
      <c r="AN89" s="1013">
        <f>SUM(AN66,AM66,AL66,AK66)</f>
        <v/>
      </c>
      <c r="AO89" s="183">
        <f>AO66</f>
        <v/>
      </c>
      <c r="AP89" s="1013">
        <f>SUM(AP66,AN66,AM66,AL66)</f>
        <v/>
      </c>
      <c r="AQ89" s="1013">
        <f>SUM(AQ66,AP66,AN66,AM66)</f>
        <v/>
      </c>
      <c r="AR89" s="1013">
        <f>SUM(AR66,AQ66,AP66,AN66)</f>
        <v/>
      </c>
      <c r="AS89" s="1013">
        <f>SUM(AS66,AR66,AQ66,AP66)</f>
        <v/>
      </c>
      <c r="AT89" s="183">
        <f>AT66</f>
        <v/>
      </c>
      <c r="AU89" s="1013">
        <f>SUM(AU66,AS66,AR66,AQ66)</f>
        <v/>
      </c>
      <c r="AV89" s="1013">
        <f>SUM(AV66,AU66,AS66,AR66)</f>
        <v/>
      </c>
      <c r="AW89" s="1013">
        <f>SUM(AW66,AV66,AU66,AS66)</f>
        <v/>
      </c>
      <c r="AX89" s="1013">
        <f>SUM(AX66,AW66,AV66,AU66)</f>
        <v/>
      </c>
      <c r="AY89" s="183">
        <f>AY66</f>
        <v/>
      </c>
      <c r="AZ89" s="1013">
        <f>SUM(AZ66,AX66,AW66,AV66)</f>
        <v/>
      </c>
      <c r="BA89" s="1013">
        <f>SUM(BA66,AZ66,AX66,AW66)</f>
        <v/>
      </c>
      <c r="BB89" s="1013">
        <f>SUM(BB66,BA66,AZ66,AX66)</f>
        <v/>
      </c>
      <c r="BC89" s="1013">
        <f>SUM(BC66,BB66,BA66,AZ66)</f>
        <v/>
      </c>
      <c r="BD89" s="183">
        <f>BD66</f>
        <v/>
      </c>
      <c r="BE89" s="1013">
        <f>SUM(BE66,BC66,BB66,BA66)</f>
        <v/>
      </c>
      <c r="BF89" s="1013">
        <f>SUM(BF66,BE66,BC66,BB66)</f>
        <v/>
      </c>
      <c r="BG89" s="1013">
        <f>SUM(BG66,BF66,BE66,BC66)</f>
        <v/>
      </c>
      <c r="BH89" s="1013">
        <f>SUM(BH66,BG66,BF66,BE66)</f>
        <v/>
      </c>
      <c r="BI89" s="183">
        <f>BI66</f>
        <v/>
      </c>
      <c r="BJ89" s="1013">
        <f>SUM(BJ66,BH66,BG66,BF66)</f>
        <v/>
      </c>
      <c r="BK89" s="1013">
        <f>SUM(BK66,BJ66,BH66,BG66)</f>
        <v/>
      </c>
      <c r="BL89" s="1013">
        <f>SUM(BL66,BK66,BJ66,BH66)</f>
        <v/>
      </c>
      <c r="BM89" s="1013">
        <f>SUM(BM66,BL66,BK66,BJ66)</f>
        <v/>
      </c>
      <c r="BN89" s="183">
        <f>BN66</f>
        <v/>
      </c>
      <c r="BO89" s="1013">
        <f>SUM(BO66,BM66,BL66,BK66)</f>
        <v/>
      </c>
      <c r="BP89" s="1013">
        <f>SUM(BP66,BO66,BM66,BL66)</f>
        <v/>
      </c>
      <c r="BQ89" s="1013">
        <f>SUM(BQ66,BP66,BO66,BM66)</f>
        <v/>
      </c>
      <c r="BR89" s="1013">
        <f>SUM(BR66,BQ66,BP66,BO66)</f>
        <v/>
      </c>
      <c r="BS89" s="183">
        <f>BS66</f>
        <v/>
      </c>
      <c r="BT89" s="1013">
        <f>SUM(BT66,BR66,BQ66,BP66)</f>
        <v/>
      </c>
      <c r="BU89" s="1013">
        <f>SUM(BU66,BT66,BR66,BQ66)</f>
        <v/>
      </c>
      <c r="BV89" s="1014">
        <f>SUM(BV66,BU66,BT66,BR66)</f>
        <v/>
      </c>
      <c r="BW89" s="1013">
        <f>SUM(BW66,BV66,BU66,BT66)</f>
        <v/>
      </c>
      <c r="BX89" s="183">
        <f>BX66</f>
        <v/>
      </c>
      <c r="BY89" s="1013">
        <f>SUM(BY66,BW66,BV66,BU66)</f>
        <v/>
      </c>
      <c r="BZ89" s="1013">
        <f>SUM(BZ66,BY66,BW66,BV66)</f>
        <v/>
      </c>
      <c r="CA89" s="1013">
        <f>SUM(CA66,BZ66,BY66,BW66)</f>
        <v/>
      </c>
      <c r="CB89" s="1013">
        <f>SUM(CB66,CA66,BZ66,BY66)</f>
        <v/>
      </c>
      <c r="CC89" s="183">
        <f>CC66</f>
        <v/>
      </c>
      <c r="CD89" s="183">
        <f>CD66</f>
        <v/>
      </c>
      <c r="CE89" s="183">
        <f>CE66</f>
        <v/>
      </c>
      <c r="CF89" s="183">
        <f>CF66</f>
        <v/>
      </c>
      <c r="CG89" s="132" t="n"/>
    </row>
    <row r="90" collapsed="1">
      <c r="A90" s="196" t="n"/>
      <c r="B90" s="200" t="n"/>
      <c r="C90" s="1244" t="n"/>
      <c r="D90" s="1244" t="n"/>
      <c r="E90" s="1244" t="n"/>
      <c r="F90" s="1244" t="n"/>
      <c r="G90" s="1011" t="n"/>
      <c r="H90" s="1011" t="n"/>
      <c r="I90" s="1011" t="n"/>
      <c r="J90" s="1011" t="n"/>
      <c r="K90" s="1244" t="n"/>
      <c r="L90" s="1011" t="n"/>
      <c r="M90" s="1011" t="n"/>
      <c r="N90" s="1011" t="n"/>
      <c r="O90" s="1011" t="n"/>
      <c r="P90" s="1244" t="n"/>
      <c r="Q90" s="1011" t="n"/>
      <c r="R90" s="1011" t="n"/>
      <c r="S90" s="1011" t="n"/>
      <c r="T90" s="1011" t="n"/>
      <c r="U90" s="1244" t="n"/>
      <c r="V90" s="1011" t="n"/>
      <c r="W90" s="1011" t="n"/>
      <c r="X90" s="1011" t="n"/>
      <c r="Y90" s="1011" t="n"/>
      <c r="Z90" s="1244" t="n"/>
      <c r="AA90" s="1011" t="n"/>
      <c r="AB90" s="1011" t="n"/>
      <c r="AC90" s="1011" t="n"/>
      <c r="AD90" s="1011" t="n"/>
      <c r="AE90" s="1244" t="n"/>
      <c r="AF90" s="1011" t="n"/>
      <c r="AG90" s="1011" t="n"/>
      <c r="AH90" s="1011" t="n"/>
      <c r="AI90" s="1011" t="n"/>
      <c r="AJ90" s="1244" t="n"/>
      <c r="AK90" s="1011" t="n"/>
      <c r="AL90" s="1011" t="n"/>
      <c r="AM90" s="1011" t="n"/>
      <c r="AN90" s="1011" t="n"/>
      <c r="AO90" s="1244" t="n"/>
      <c r="AP90" s="1011" t="n"/>
      <c r="AQ90" s="1011" t="n"/>
      <c r="AR90" s="1011" t="n"/>
      <c r="AS90" s="1011" t="n"/>
      <c r="AT90" s="1244" t="n"/>
      <c r="AU90" s="1011" t="n"/>
      <c r="AV90" s="1011" t="n"/>
      <c r="AW90" s="1011" t="n"/>
      <c r="AX90" s="1011" t="n"/>
      <c r="AY90" s="1244" t="n"/>
      <c r="AZ90" s="1011" t="n"/>
      <c r="BA90" s="1011" t="n"/>
      <c r="BB90" s="1011" t="n"/>
      <c r="BC90" s="1011" t="n"/>
      <c r="BD90" s="1244" t="n"/>
      <c r="BE90" s="1011" t="n"/>
      <c r="BF90" s="1011" t="n"/>
      <c r="BG90" s="1011" t="n"/>
      <c r="BH90" s="1011" t="n"/>
      <c r="BI90" s="1244" t="n"/>
      <c r="BJ90" s="1011" t="n"/>
      <c r="BK90" s="1011" t="n"/>
      <c r="BL90" s="1011" t="n"/>
      <c r="BM90" s="1011" t="n"/>
      <c r="BN90" s="1244" t="n"/>
      <c r="BO90" s="1011" t="n"/>
      <c r="BP90" s="1011" t="n"/>
      <c r="BQ90" s="1011" t="n"/>
      <c r="BR90" s="1011" t="n"/>
      <c r="BS90" s="1244" t="n"/>
      <c r="BT90" s="1011" t="n"/>
      <c r="BU90" s="1011" t="n"/>
      <c r="BV90" s="1047" t="n"/>
      <c r="BW90" s="1011" t="n"/>
      <c r="BX90" s="1244" t="n"/>
      <c r="BY90" s="1011" t="n"/>
      <c r="BZ90" s="1011" t="n"/>
      <c r="CA90" s="1011" t="n"/>
      <c r="CB90" s="1011" t="n"/>
      <c r="CC90" s="1244" t="n"/>
      <c r="CD90" s="1244" t="n"/>
      <c r="CE90" s="1244" t="n"/>
      <c r="CF90" s="1244" t="n"/>
      <c r="CG90" s="1011" t="n"/>
    </row>
    <row r="91">
      <c r="A91" s="1017" t="inlineStr">
        <is>
          <t>Profitability Ratios</t>
        </is>
      </c>
      <c r="B91" s="1012" t="n"/>
      <c r="C91" s="1012" t="n"/>
      <c r="D91" s="1012" t="n"/>
      <c r="E91" s="1012" t="n"/>
      <c r="F91" s="1012" t="n"/>
      <c r="G91" s="1012" t="n"/>
      <c r="H91" s="1012" t="n"/>
      <c r="I91" s="1012" t="n"/>
      <c r="J91" s="1012" t="n"/>
      <c r="K91" s="1012" t="n"/>
      <c r="L91" s="1012" t="n"/>
      <c r="M91" s="1012" t="n"/>
      <c r="N91" s="1012" t="n"/>
      <c r="O91" s="1012" t="n"/>
      <c r="P91" s="1012" t="n"/>
      <c r="Q91" s="1012" t="n"/>
      <c r="R91" s="1012" t="n"/>
      <c r="S91" s="1012" t="n"/>
      <c r="T91" s="1012" t="n"/>
      <c r="U91" s="1012" t="n"/>
      <c r="V91" s="1012" t="n"/>
      <c r="W91" s="1012" t="n"/>
      <c r="X91" s="1012" t="n"/>
      <c r="Y91" s="1012" t="n"/>
      <c r="Z91" s="1012" t="n"/>
      <c r="AA91" s="1012" t="n"/>
      <c r="AB91" s="1012" t="n"/>
      <c r="AC91" s="1012" t="n"/>
      <c r="AD91" s="1012" t="n"/>
      <c r="AE91" s="1012" t="n"/>
      <c r="AF91" s="1012" t="n"/>
      <c r="AG91" s="1012" t="n"/>
      <c r="AH91" s="1012" t="n"/>
      <c r="AI91" s="1012" t="n"/>
      <c r="AJ91" s="1012" t="n"/>
      <c r="AK91" s="1012" t="n"/>
      <c r="AL91" s="1012" t="n"/>
      <c r="AM91" s="1012" t="n"/>
      <c r="AN91" s="1012" t="n"/>
      <c r="AO91" s="1012" t="n"/>
      <c r="AP91" s="1012" t="n"/>
      <c r="AQ91" s="1012" t="n"/>
      <c r="AR91" s="1012" t="n"/>
      <c r="AS91" s="1012" t="n"/>
      <c r="AT91" s="1012" t="n"/>
      <c r="AU91" s="1012" t="n"/>
      <c r="AV91" s="1012" t="n"/>
      <c r="AW91" s="1012" t="n"/>
      <c r="AX91" s="1012" t="n"/>
      <c r="AY91" s="1012" t="n"/>
      <c r="AZ91" s="1012" t="n"/>
      <c r="BA91" s="1012" t="n"/>
      <c r="BB91" s="1012" t="n"/>
      <c r="BC91" s="1012" t="n"/>
      <c r="BD91" s="1012" t="n"/>
      <c r="BE91" s="1012" t="n"/>
      <c r="BF91" s="1012" t="n"/>
      <c r="BG91" s="1012" t="n"/>
      <c r="BH91" s="1012" t="n"/>
      <c r="BI91" s="1012" t="n"/>
      <c r="BJ91" s="1012" t="n"/>
      <c r="BK91" s="1012" t="n"/>
      <c r="BL91" s="1012" t="n"/>
      <c r="BM91" s="1012" t="n"/>
      <c r="BN91" s="1012" t="n"/>
      <c r="BO91" s="1012" t="n"/>
      <c r="BP91" s="1012" t="n"/>
      <c r="BQ91" s="1012" t="n"/>
      <c r="BR91" s="1012" t="n"/>
      <c r="BS91" s="1012" t="n"/>
      <c r="BT91" s="1012" t="n"/>
      <c r="BU91" s="1012" t="n"/>
      <c r="BV91" s="1048" t="n"/>
      <c r="BW91" s="1012" t="n"/>
      <c r="BX91" s="1012" t="n"/>
      <c r="BY91" s="1012" t="n"/>
      <c r="BZ91" s="1012" t="n"/>
      <c r="CA91" s="1012" t="n"/>
      <c r="CB91" s="1012" t="n"/>
      <c r="CC91" s="1012" t="n"/>
      <c r="CD91" s="1012" t="n"/>
      <c r="CE91" s="1012" t="n"/>
      <c r="CF91" s="1012" t="n"/>
      <c r="CG91" s="1013" t="n"/>
    </row>
    <row r="92" hidden="1" outlineLevel="1">
      <c r="A92" s="197" t="inlineStr">
        <is>
          <t>Net Income</t>
        </is>
      </c>
      <c r="B92" s="198" t="n"/>
      <c r="C92" s="183">
        <f>INDEX(SP_NGF_NI,0,COLUMN())</f>
        <v/>
      </c>
      <c r="D92" s="183">
        <f>INDEX(SP_NGF_NI,0,COLUMN())</f>
        <v/>
      </c>
      <c r="E92" s="183">
        <f>INDEX(SP_NGF_NI,0,COLUMN())</f>
        <v/>
      </c>
      <c r="F92" s="183">
        <f>INDEX(SP_NGF_NI,0,COLUMN())</f>
        <v/>
      </c>
      <c r="G92" s="1013">
        <f>INDEX(SP_NGF_NI,0,COLUMN())</f>
        <v/>
      </c>
      <c r="H92" s="1013">
        <f>INDEX(SP_NGF_NI,0,COLUMN())</f>
        <v/>
      </c>
      <c r="I92" s="1013">
        <f>INDEX(SP_NGF_NI,0,COLUMN())</f>
        <v/>
      </c>
      <c r="J92" s="1013">
        <f>INDEX(SP_NGF_NI,0,COLUMN())</f>
        <v/>
      </c>
      <c r="K92" s="183">
        <f>INDEX(SP_NGF_NI,0,COLUMN())</f>
        <v/>
      </c>
      <c r="L92" s="1013">
        <f>INDEX(SP_NGF_NI,0,COLUMN())</f>
        <v/>
      </c>
      <c r="M92" s="1013">
        <f>INDEX(SP_NGF_NI,0,COLUMN())</f>
        <v/>
      </c>
      <c r="N92" s="1013">
        <f>INDEX(SP_NGF_NI,0,COLUMN())</f>
        <v/>
      </c>
      <c r="O92" s="1013">
        <f>INDEX(SP_NGF_NI,0,COLUMN())</f>
        <v/>
      </c>
      <c r="P92" s="183">
        <f>INDEX(SP_NGF_NI,0,COLUMN())</f>
        <v/>
      </c>
      <c r="Q92" s="1013">
        <f>INDEX(SP_NGF_NI,0,COLUMN())</f>
        <v/>
      </c>
      <c r="R92" s="1013">
        <f>INDEX(SP_NGF_NI,0,COLUMN())</f>
        <v/>
      </c>
      <c r="S92" s="1013">
        <f>INDEX(SP_NGF_NI,0,COLUMN())</f>
        <v/>
      </c>
      <c r="T92" s="1013">
        <f>INDEX(SP_NGF_NI,0,COLUMN())</f>
        <v/>
      </c>
      <c r="U92" s="183">
        <f>INDEX(SP_NGF_NI,0,COLUMN())</f>
        <v/>
      </c>
      <c r="V92" s="1013">
        <f>INDEX(SP_NGF_NI,0,COLUMN())</f>
        <v/>
      </c>
      <c r="W92" s="1013">
        <f>INDEX(SP_NGF_NI,0,COLUMN())</f>
        <v/>
      </c>
      <c r="X92" s="1013">
        <f>INDEX(SP_NGF_NI,0,COLUMN())</f>
        <v/>
      </c>
      <c r="Y92" s="1013">
        <f>INDEX(SP_NGF_NI,0,COLUMN())</f>
        <v/>
      </c>
      <c r="Z92" s="183">
        <f>INDEX(SP_NGF_NI,0,COLUMN())</f>
        <v/>
      </c>
      <c r="AA92" s="1013">
        <f>INDEX(SP_NGF_NI,0,COLUMN())</f>
        <v/>
      </c>
      <c r="AB92" s="1013">
        <f>INDEX(SP_NGF_NI,0,COLUMN())</f>
        <v/>
      </c>
      <c r="AC92" s="1013">
        <f>INDEX(SP_NGF_NI,0,COLUMN())</f>
        <v/>
      </c>
      <c r="AD92" s="1013">
        <f>INDEX(SP_NGF_NI,0,COLUMN())</f>
        <v/>
      </c>
      <c r="AE92" s="183">
        <f>INDEX(SP_NGF_NI,0,COLUMN())</f>
        <v/>
      </c>
      <c r="AF92" s="1013">
        <f>INDEX(SP_NGF_NI,0,COLUMN())</f>
        <v/>
      </c>
      <c r="AG92" s="1013">
        <f>INDEX(SP_NGF_NI,0,COLUMN())</f>
        <v/>
      </c>
      <c r="AH92" s="1013">
        <f>INDEX(SP_NGF_NI,0,COLUMN())</f>
        <v/>
      </c>
      <c r="AI92" s="1013">
        <f>INDEX(SP_NGF_NI,0,COLUMN())</f>
        <v/>
      </c>
      <c r="AJ92" s="183">
        <f>INDEX(SP_NGF_NI,0,COLUMN())</f>
        <v/>
      </c>
      <c r="AK92" s="1013">
        <f>INDEX(SP_NGF_NI,0,COLUMN())</f>
        <v/>
      </c>
      <c r="AL92" s="1013">
        <f>INDEX(SP_NGF_NI,0,COLUMN())</f>
        <v/>
      </c>
      <c r="AM92" s="1013">
        <f>INDEX(SP_NGF_NI,0,COLUMN())</f>
        <v/>
      </c>
      <c r="AN92" s="1013">
        <f>INDEX(SP_NGF_NI,0,COLUMN())</f>
        <v/>
      </c>
      <c r="AO92" s="183">
        <f>INDEX(SP_NGF_NI,0,COLUMN())</f>
        <v/>
      </c>
      <c r="AP92" s="1013">
        <f>INDEX(SP_NGF_NI,0,COLUMN())</f>
        <v/>
      </c>
      <c r="AQ92" s="1013">
        <f>INDEX(SP_NGF_NI,0,COLUMN())</f>
        <v/>
      </c>
      <c r="AR92" s="1013">
        <f>INDEX(SP_NGF_NI,0,COLUMN())</f>
        <v/>
      </c>
      <c r="AS92" s="1013">
        <f>INDEX(SP_NGF_NI,0,COLUMN())</f>
        <v/>
      </c>
      <c r="AT92" s="183">
        <f>INDEX(SP_NGF_NI,0,COLUMN())</f>
        <v/>
      </c>
      <c r="AU92" s="1013">
        <f>INDEX(SP_NGF_NI,0,COLUMN())</f>
        <v/>
      </c>
      <c r="AV92" s="1013">
        <f>INDEX(SP_NGF_NI,0,COLUMN())</f>
        <v/>
      </c>
      <c r="AW92" s="1013">
        <f>INDEX(SP_NGF_NI,0,COLUMN())</f>
        <v/>
      </c>
      <c r="AX92" s="1013">
        <f>INDEX(SP_NGF_NI,0,COLUMN())</f>
        <v/>
      </c>
      <c r="AY92" s="183">
        <f>INDEX(SP_NGF_NI,0,COLUMN())</f>
        <v/>
      </c>
      <c r="AZ92" s="1013">
        <f>INDEX(SP_NGF_NI,0,COLUMN())</f>
        <v/>
      </c>
      <c r="BA92" s="1013">
        <f>INDEX(SP_NGF_NI,0,COLUMN())</f>
        <v/>
      </c>
      <c r="BB92" s="1013">
        <f>INDEX(SP_NGF_NI,0,COLUMN())</f>
        <v/>
      </c>
      <c r="BC92" s="1013">
        <f>INDEX(SP_NGF_NI,0,COLUMN())</f>
        <v/>
      </c>
      <c r="BD92" s="183">
        <f>INDEX(SP_NGF_NI,0,COLUMN())</f>
        <v/>
      </c>
      <c r="BE92" s="1013">
        <f>INDEX(SP_NGF_NI,0,COLUMN())</f>
        <v/>
      </c>
      <c r="BF92" s="1013">
        <f>INDEX(SP_NGF_NI,0,COLUMN())</f>
        <v/>
      </c>
      <c r="BG92" s="1013">
        <f>INDEX(SP_NGF_NI,0,COLUMN())</f>
        <v/>
      </c>
      <c r="BH92" s="1013">
        <f>INDEX(SP_NGF_NI,0,COLUMN())</f>
        <v/>
      </c>
      <c r="BI92" s="183">
        <f>INDEX(SP_NGF_NI,0,COLUMN())</f>
        <v/>
      </c>
      <c r="BJ92" s="1013">
        <f>INDEX(SP_NGF_NI,0,COLUMN())</f>
        <v/>
      </c>
      <c r="BK92" s="1013">
        <f>INDEX(SP_NGF_NI,0,COLUMN())</f>
        <v/>
      </c>
      <c r="BL92" s="1013">
        <f>INDEX(SP_NGF_NI,0,COLUMN())</f>
        <v/>
      </c>
      <c r="BM92" s="1013">
        <f>INDEX(SP_NGF_NI,0,COLUMN())</f>
        <v/>
      </c>
      <c r="BN92" s="183">
        <f>INDEX(SP_NGF_NI,0,COLUMN())</f>
        <v/>
      </c>
      <c r="BO92" s="1013">
        <f>INDEX(SP_NGF_NI,0,COLUMN())</f>
        <v/>
      </c>
      <c r="BP92" s="1013">
        <f>INDEX(SP_NGF_NI,0,COLUMN())</f>
        <v/>
      </c>
      <c r="BQ92" s="1013">
        <f>INDEX(SP_NGF_NI,0,COLUMN())</f>
        <v/>
      </c>
      <c r="BR92" s="1013">
        <f>INDEX(SP_NGF_NI,0,COLUMN())</f>
        <v/>
      </c>
      <c r="BS92" s="183">
        <f>INDEX(SP_NGF_NI,0,COLUMN())</f>
        <v/>
      </c>
      <c r="BT92" s="1013">
        <f>INDEX(SP_NGF_NI,0,COLUMN())</f>
        <v/>
      </c>
      <c r="BU92" s="1013">
        <f>INDEX(SP_NGF_NI,0,COLUMN())</f>
        <v/>
      </c>
      <c r="BV92" s="1014">
        <f>INDEX(SP_NGF_NI,0,COLUMN())</f>
        <v/>
      </c>
      <c r="BW92" s="1013">
        <f>INDEX(SP_NGF_NI,0,COLUMN())</f>
        <v/>
      </c>
      <c r="BX92" s="183">
        <f>INDEX(SP_NGF_NI,0,COLUMN())</f>
        <v/>
      </c>
      <c r="BY92" s="1013">
        <f>INDEX(SP_NGF_NI,0,COLUMN())</f>
        <v/>
      </c>
      <c r="BZ92" s="1013">
        <f>INDEX(SP_NGF_NI,0,COLUMN())</f>
        <v/>
      </c>
      <c r="CA92" s="1013">
        <f>INDEX(SP_NGF_NI,0,COLUMN())</f>
        <v/>
      </c>
      <c r="CB92" s="1013">
        <f>INDEX(SP_NGF_NI,0,COLUMN())</f>
        <v/>
      </c>
      <c r="CC92" s="183">
        <f>INDEX(SP_NGF_NI,0,COLUMN())</f>
        <v/>
      </c>
      <c r="CD92" s="183">
        <f>INDEX(SP_NGF_NI,0,COLUMN())</f>
        <v/>
      </c>
      <c r="CE92" s="183">
        <f>INDEX(SP_NGF_NI,0,COLUMN())</f>
        <v/>
      </c>
      <c r="CF92" s="183">
        <f>INDEX(SP_NGF_NI,0,COLUMN())</f>
        <v/>
      </c>
      <c r="CG92" s="1013" t="n"/>
    </row>
    <row r="93" hidden="1" outlineLevel="1">
      <c r="A93" s="197" t="inlineStr">
        <is>
          <t>LTM Net Income</t>
        </is>
      </c>
      <c r="B93" s="198" t="n"/>
      <c r="C93" s="183">
        <f>C92</f>
        <v/>
      </c>
      <c r="D93" s="183">
        <f>D92</f>
        <v/>
      </c>
      <c r="E93" s="183">
        <f>E92</f>
        <v/>
      </c>
      <c r="F93" s="183">
        <f>F92</f>
        <v/>
      </c>
      <c r="G93" s="1013" t="n"/>
      <c r="H93" s="1013" t="n"/>
      <c r="I93" s="1013" t="n"/>
      <c r="J93" s="1013">
        <f>SUM(J92,I92,H92,G92)</f>
        <v/>
      </c>
      <c r="K93" s="183">
        <f>K92</f>
        <v/>
      </c>
      <c r="L93" s="1013">
        <f>SUM(L92,J92,I92,H92)</f>
        <v/>
      </c>
      <c r="M93" s="1013">
        <f>SUM(M92,L92,J92,I92)</f>
        <v/>
      </c>
      <c r="N93" s="1013">
        <f>SUM(N92,M92,L92,J92)</f>
        <v/>
      </c>
      <c r="O93" s="1013">
        <f>SUM(O92,N92,M92,L92)</f>
        <v/>
      </c>
      <c r="P93" s="183">
        <f>P92</f>
        <v/>
      </c>
      <c r="Q93" s="1013">
        <f>SUM(Q92,O92,N92,M92)</f>
        <v/>
      </c>
      <c r="R93" s="1013">
        <f>SUM(R92,Q92,O92,N92)</f>
        <v/>
      </c>
      <c r="S93" s="1013">
        <f>SUM(S92,R92,Q92,O92)</f>
        <v/>
      </c>
      <c r="T93" s="1013">
        <f>SUM(T92,S92,R92,Q92)</f>
        <v/>
      </c>
      <c r="U93" s="183">
        <f>U92</f>
        <v/>
      </c>
      <c r="V93" s="1013">
        <f>SUM(V92,T92,S92,R92)</f>
        <v/>
      </c>
      <c r="W93" s="1013">
        <f>SUM(W92,V92,T92,S92)</f>
        <v/>
      </c>
      <c r="X93" s="1013">
        <f>SUM(X92,W92,V92,T92)</f>
        <v/>
      </c>
      <c r="Y93" s="1013">
        <f>SUM(Y92,X92,W92,V92)</f>
        <v/>
      </c>
      <c r="Z93" s="183">
        <f>Z92</f>
        <v/>
      </c>
      <c r="AA93" s="1013">
        <f>SUM(AA92,Y92,X92,W92)</f>
        <v/>
      </c>
      <c r="AB93" s="1013">
        <f>SUM(AB92,AA92,Y92,X92)</f>
        <v/>
      </c>
      <c r="AC93" s="1013">
        <f>SUM(AC92,AB92,AA92,Y92)</f>
        <v/>
      </c>
      <c r="AD93" s="1013">
        <f>SUM(AD92,AC92,AB92,AA92)</f>
        <v/>
      </c>
      <c r="AE93" s="183">
        <f>AE92</f>
        <v/>
      </c>
      <c r="AF93" s="1013">
        <f>SUM(AF92,AD92,AC92,AB92)</f>
        <v/>
      </c>
      <c r="AG93" s="1013">
        <f>SUM(AG92,AF92,AD92,AC92)</f>
        <v/>
      </c>
      <c r="AH93" s="1013">
        <f>SUM(AH92,AG92,AF92,AD92)</f>
        <v/>
      </c>
      <c r="AI93" s="1013">
        <f>SUM(AI92,AH92,AG92,AF92)</f>
        <v/>
      </c>
      <c r="AJ93" s="183">
        <f>AJ92</f>
        <v/>
      </c>
      <c r="AK93" s="1013">
        <f>SUM(AK92,AI92,AH92,AG92)</f>
        <v/>
      </c>
      <c r="AL93" s="1013">
        <f>SUM(AL92,AK92,AI92,AH92)</f>
        <v/>
      </c>
      <c r="AM93" s="1013">
        <f>SUM(AM92,AL92,AK92,AI92)</f>
        <v/>
      </c>
      <c r="AN93" s="1013">
        <f>SUM(AN92,AM92,AL92,AK92)</f>
        <v/>
      </c>
      <c r="AO93" s="183">
        <f>AO92</f>
        <v/>
      </c>
      <c r="AP93" s="1013">
        <f>SUM(AP92,AN92,AM92,AL92)</f>
        <v/>
      </c>
      <c r="AQ93" s="1013">
        <f>SUM(AQ92,AP92,AN92,AM92)</f>
        <v/>
      </c>
      <c r="AR93" s="1013">
        <f>SUM(AR92,AQ92,AP92,AN92)</f>
        <v/>
      </c>
      <c r="AS93" s="1013">
        <f>SUM(AS92,AR92,AQ92,AP92)</f>
        <v/>
      </c>
      <c r="AT93" s="183">
        <f>AT92</f>
        <v/>
      </c>
      <c r="AU93" s="1013">
        <f>SUM(AU92,AS92,AR92,AQ92)</f>
        <v/>
      </c>
      <c r="AV93" s="1013">
        <f>SUM(AV92,AU92,AS92,AR92)</f>
        <v/>
      </c>
      <c r="AW93" s="1013">
        <f>SUM(AW92,AV92,AU92,AS92)</f>
        <v/>
      </c>
      <c r="AX93" s="1013">
        <f>SUM(AX92,AW92,AV92,AU92)</f>
        <v/>
      </c>
      <c r="AY93" s="183">
        <f>AY92</f>
        <v/>
      </c>
      <c r="AZ93" s="1013">
        <f>SUM(AZ92,AX92,AW92,AV92)</f>
        <v/>
      </c>
      <c r="BA93" s="1013">
        <f>SUM(BA92,AZ92,AX92,AW92)</f>
        <v/>
      </c>
      <c r="BB93" s="1013">
        <f>SUM(BB92,BA92,AZ92,AX92)</f>
        <v/>
      </c>
      <c r="BC93" s="1013">
        <f>SUM(BC92,BB92,BA92,AZ92)</f>
        <v/>
      </c>
      <c r="BD93" s="183">
        <f>BD92</f>
        <v/>
      </c>
      <c r="BE93" s="1013">
        <f>SUM(BE92,BC92,BB92,BA92)</f>
        <v/>
      </c>
      <c r="BF93" s="1013">
        <f>SUM(BF92,BE92,BC92,BB92)</f>
        <v/>
      </c>
      <c r="BG93" s="1013">
        <f>SUM(BG92,BF92,BE92,BC92)</f>
        <v/>
      </c>
      <c r="BH93" s="1013">
        <f>SUM(BH92,BG92,BF92,BE92)</f>
        <v/>
      </c>
      <c r="BI93" s="183">
        <f>BI92</f>
        <v/>
      </c>
      <c r="BJ93" s="1013">
        <f>SUM(BJ92,BH92,BG92,BF92)</f>
        <v/>
      </c>
      <c r="BK93" s="1013">
        <f>SUM(BK92,BJ92,BH92,BG92)</f>
        <v/>
      </c>
      <c r="BL93" s="1013">
        <f>SUM(BL92,BK92,BJ92,BH92)</f>
        <v/>
      </c>
      <c r="BM93" s="1013">
        <f>SUM(BM92,BL92,BK92,BJ92)</f>
        <v/>
      </c>
      <c r="BN93" s="183">
        <f>BN92</f>
        <v/>
      </c>
      <c r="BO93" s="1013">
        <f>SUM(BO92,BM92,BL92,BK92)</f>
        <v/>
      </c>
      <c r="BP93" s="1013">
        <f>SUM(BP92,BO92,BM92,BL92)</f>
        <v/>
      </c>
      <c r="BQ93" s="1013">
        <f>SUM(BQ92,BP92,BO92,BM92)</f>
        <v/>
      </c>
      <c r="BR93" s="1013">
        <f>SUM(BR92,BQ92,BP92,BO92)</f>
        <v/>
      </c>
      <c r="BS93" s="183">
        <f>BS92</f>
        <v/>
      </c>
      <c r="BT93" s="1013">
        <f>SUM(BT92,BR92,BQ92,BP92)</f>
        <v/>
      </c>
      <c r="BU93" s="1013">
        <f>SUM(BU92,BT92,BR92,BQ92)</f>
        <v/>
      </c>
      <c r="BV93" s="1014">
        <f>SUM(BV92,BU92,BT92,BR92)</f>
        <v/>
      </c>
      <c r="BW93" s="1013">
        <f>SUM(BW92,BV92,BU92,BT92)</f>
        <v/>
      </c>
      <c r="BX93" s="183">
        <f>BX92</f>
        <v/>
      </c>
      <c r="BY93" s="1013">
        <f>SUM(BY92,BW92,BV92,BU92)</f>
        <v/>
      </c>
      <c r="BZ93" s="1013">
        <f>SUM(BZ92,BY92,BW92,BV92)</f>
        <v/>
      </c>
      <c r="CA93" s="1013">
        <f>SUM(CA92,BZ92,BY92,BW92)</f>
        <v/>
      </c>
      <c r="CB93" s="1013">
        <f>SUM(CB92,CA92,BZ92,BY92)</f>
        <v/>
      </c>
      <c r="CC93" s="183">
        <f>CC92</f>
        <v/>
      </c>
      <c r="CD93" s="183">
        <f>CD92</f>
        <v/>
      </c>
      <c r="CE93" s="183">
        <f>CE92</f>
        <v/>
      </c>
      <c r="CF93" s="183">
        <f>CF92</f>
        <v/>
      </c>
      <c r="CG93" s="1013" t="n"/>
    </row>
    <row r="94" hidden="1" outlineLevel="1">
      <c r="A94" s="197" t="inlineStr">
        <is>
          <t>Shareholder's Equity</t>
        </is>
      </c>
      <c r="B94" s="198" t="n"/>
      <c r="C94" s="183">
        <f>INDEX(MO_BS_SE,0,COLUMN())</f>
        <v/>
      </c>
      <c r="D94" s="183">
        <f>INDEX(MO_BS_SE,0,COLUMN())</f>
        <v/>
      </c>
      <c r="E94" s="183">
        <f>INDEX(MO_BS_SE,0,COLUMN())</f>
        <v/>
      </c>
      <c r="F94" s="183">
        <f>INDEX(MO_BS_SE,0,COLUMN())</f>
        <v/>
      </c>
      <c r="G94" s="1013">
        <f>INDEX(MO_BS_SE,0,COLUMN())</f>
        <v/>
      </c>
      <c r="H94" s="1013">
        <f>INDEX(MO_BS_SE,0,COLUMN())</f>
        <v/>
      </c>
      <c r="I94" s="1013">
        <f>INDEX(MO_BS_SE,0,COLUMN())</f>
        <v/>
      </c>
      <c r="J94" s="1013">
        <f>INDEX(MO_BS_SE,0,COLUMN())</f>
        <v/>
      </c>
      <c r="K94" s="183">
        <f>INDEX(MO_BS_SE,0,COLUMN())</f>
        <v/>
      </c>
      <c r="L94" s="1013">
        <f>INDEX(MO_BS_SE,0,COLUMN())</f>
        <v/>
      </c>
      <c r="M94" s="1013">
        <f>INDEX(MO_BS_SE,0,COLUMN())</f>
        <v/>
      </c>
      <c r="N94" s="1013">
        <f>INDEX(MO_BS_SE,0,COLUMN())</f>
        <v/>
      </c>
      <c r="O94" s="1013">
        <f>INDEX(MO_BS_SE,0,COLUMN())</f>
        <v/>
      </c>
      <c r="P94" s="183">
        <f>INDEX(MO_BS_SE,0,COLUMN())</f>
        <v/>
      </c>
      <c r="Q94" s="1013">
        <f>INDEX(MO_BS_SE,0,COLUMN())</f>
        <v/>
      </c>
      <c r="R94" s="1013">
        <f>INDEX(MO_BS_SE,0,COLUMN())</f>
        <v/>
      </c>
      <c r="S94" s="1013">
        <f>INDEX(MO_BS_SE,0,COLUMN())</f>
        <v/>
      </c>
      <c r="T94" s="1013">
        <f>INDEX(MO_BS_SE,0,COLUMN())</f>
        <v/>
      </c>
      <c r="U94" s="183">
        <f>INDEX(MO_BS_SE,0,COLUMN())</f>
        <v/>
      </c>
      <c r="V94" s="1013">
        <f>INDEX(MO_BS_SE,0,COLUMN())</f>
        <v/>
      </c>
      <c r="W94" s="1013">
        <f>INDEX(MO_BS_SE,0,COLUMN())</f>
        <v/>
      </c>
      <c r="X94" s="1013">
        <f>INDEX(MO_BS_SE,0,COLUMN())</f>
        <v/>
      </c>
      <c r="Y94" s="1013">
        <f>INDEX(MO_BS_SE,0,COLUMN())</f>
        <v/>
      </c>
      <c r="Z94" s="183">
        <f>INDEX(MO_BS_SE,0,COLUMN())</f>
        <v/>
      </c>
      <c r="AA94" s="1013">
        <f>INDEX(MO_BS_SE,0,COLUMN())</f>
        <v/>
      </c>
      <c r="AB94" s="1013">
        <f>INDEX(MO_BS_SE,0,COLUMN())</f>
        <v/>
      </c>
      <c r="AC94" s="1013">
        <f>INDEX(MO_BS_SE,0,COLUMN())</f>
        <v/>
      </c>
      <c r="AD94" s="1013">
        <f>INDEX(MO_BS_SE,0,COLUMN())</f>
        <v/>
      </c>
      <c r="AE94" s="183">
        <f>INDEX(MO_BS_SE,0,COLUMN())</f>
        <v/>
      </c>
      <c r="AF94" s="1013">
        <f>INDEX(MO_BS_SE,0,COLUMN())</f>
        <v/>
      </c>
      <c r="AG94" s="1013">
        <f>INDEX(MO_BS_SE,0,COLUMN())</f>
        <v/>
      </c>
      <c r="AH94" s="1013">
        <f>INDEX(MO_BS_SE,0,COLUMN())</f>
        <v/>
      </c>
      <c r="AI94" s="1013">
        <f>INDEX(MO_BS_SE,0,COLUMN())</f>
        <v/>
      </c>
      <c r="AJ94" s="183">
        <f>INDEX(MO_BS_SE,0,COLUMN())</f>
        <v/>
      </c>
      <c r="AK94" s="1013">
        <f>INDEX(MO_BS_SE,0,COLUMN())</f>
        <v/>
      </c>
      <c r="AL94" s="1013">
        <f>INDEX(MO_BS_SE,0,COLUMN())</f>
        <v/>
      </c>
      <c r="AM94" s="1013">
        <f>INDEX(MO_BS_SE,0,COLUMN())</f>
        <v/>
      </c>
      <c r="AN94" s="1013">
        <f>INDEX(MO_BS_SE,0,COLUMN())</f>
        <v/>
      </c>
      <c r="AO94" s="183">
        <f>INDEX(MO_BS_SE,0,COLUMN())</f>
        <v/>
      </c>
      <c r="AP94" s="1013">
        <f>INDEX(MO_BS_SE,0,COLUMN())</f>
        <v/>
      </c>
      <c r="AQ94" s="1013">
        <f>INDEX(MO_BS_SE,0,COLUMN())</f>
        <v/>
      </c>
      <c r="AR94" s="1013">
        <f>INDEX(MO_BS_SE,0,COLUMN())</f>
        <v/>
      </c>
      <c r="AS94" s="1013">
        <f>INDEX(MO_BS_SE,0,COLUMN())</f>
        <v/>
      </c>
      <c r="AT94" s="183">
        <f>INDEX(MO_BS_SE,0,COLUMN())</f>
        <v/>
      </c>
      <c r="AU94" s="1013">
        <f>INDEX(MO_BS_SE,0,COLUMN())</f>
        <v/>
      </c>
      <c r="AV94" s="1013">
        <f>INDEX(MO_BS_SE,0,COLUMN())</f>
        <v/>
      </c>
      <c r="AW94" s="1013">
        <f>INDEX(MO_BS_SE,0,COLUMN())</f>
        <v/>
      </c>
      <c r="AX94" s="1013">
        <f>INDEX(MO_BS_SE,0,COLUMN())</f>
        <v/>
      </c>
      <c r="AY94" s="183">
        <f>INDEX(MO_BS_SE,0,COLUMN())</f>
        <v/>
      </c>
      <c r="AZ94" s="1013">
        <f>INDEX(MO_BS_SE,0,COLUMN())</f>
        <v/>
      </c>
      <c r="BA94" s="1013">
        <f>INDEX(MO_BS_SE,0,COLUMN())</f>
        <v/>
      </c>
      <c r="BB94" s="1013">
        <f>INDEX(MO_BS_SE,0,COLUMN())</f>
        <v/>
      </c>
      <c r="BC94" s="1013">
        <f>INDEX(MO_BS_SE,0,COLUMN())</f>
        <v/>
      </c>
      <c r="BD94" s="183">
        <f>INDEX(MO_BS_SE,0,COLUMN())</f>
        <v/>
      </c>
      <c r="BE94" s="1013">
        <f>INDEX(MO_BS_SE,0,COLUMN())</f>
        <v/>
      </c>
      <c r="BF94" s="1013">
        <f>INDEX(MO_BS_SE,0,COLUMN())</f>
        <v/>
      </c>
      <c r="BG94" s="1013">
        <f>INDEX(MO_BS_SE,0,COLUMN())</f>
        <v/>
      </c>
      <c r="BH94" s="1013">
        <f>INDEX(MO_BS_SE,0,COLUMN())</f>
        <v/>
      </c>
      <c r="BI94" s="183">
        <f>INDEX(MO_BS_SE,0,COLUMN())</f>
        <v/>
      </c>
      <c r="BJ94" s="1013">
        <f>INDEX(MO_BS_SE,0,COLUMN())</f>
        <v/>
      </c>
      <c r="BK94" s="1013">
        <f>INDEX(MO_BS_SE,0,COLUMN())</f>
        <v/>
      </c>
      <c r="BL94" s="1013">
        <f>INDEX(MO_BS_SE,0,COLUMN())</f>
        <v/>
      </c>
      <c r="BM94" s="1013">
        <f>INDEX(MO_BS_SE,0,COLUMN())</f>
        <v/>
      </c>
      <c r="BN94" s="183">
        <f>INDEX(MO_BS_SE,0,COLUMN())</f>
        <v/>
      </c>
      <c r="BO94" s="1013">
        <f>INDEX(MO_BS_SE,0,COLUMN())</f>
        <v/>
      </c>
      <c r="BP94" s="1013">
        <f>INDEX(MO_BS_SE,0,COLUMN())</f>
        <v/>
      </c>
      <c r="BQ94" s="1013">
        <f>INDEX(MO_BS_SE,0,COLUMN())</f>
        <v/>
      </c>
      <c r="BR94" s="1013">
        <f>INDEX(MO_BS_SE,0,COLUMN())</f>
        <v/>
      </c>
      <c r="BS94" s="183">
        <f>INDEX(MO_BS_SE,0,COLUMN())</f>
        <v/>
      </c>
      <c r="BT94" s="1013">
        <f>INDEX(MO_BS_SE,0,COLUMN())</f>
        <v/>
      </c>
      <c r="BU94" s="1013">
        <f>INDEX(MO_BS_SE,0,COLUMN())</f>
        <v/>
      </c>
      <c r="BV94" s="1014">
        <f>INDEX(MO_BS_SE,0,COLUMN())</f>
        <v/>
      </c>
      <c r="BW94" s="1013">
        <f>INDEX(MO_BS_SE,0,COLUMN())</f>
        <v/>
      </c>
      <c r="BX94" s="183">
        <f>INDEX(MO_BS_SE,0,COLUMN())</f>
        <v/>
      </c>
      <c r="BY94" s="1013">
        <f>INDEX(MO_BS_SE,0,COLUMN())</f>
        <v/>
      </c>
      <c r="BZ94" s="1013">
        <f>INDEX(MO_BS_SE,0,COLUMN())</f>
        <v/>
      </c>
      <c r="CA94" s="1013">
        <f>INDEX(MO_BS_SE,0,COLUMN())</f>
        <v/>
      </c>
      <c r="CB94" s="1013">
        <f>INDEX(MO_BS_SE,0,COLUMN())</f>
        <v/>
      </c>
      <c r="CC94" s="183">
        <f>INDEX(MO_BS_SE,0,COLUMN())</f>
        <v/>
      </c>
      <c r="CD94" s="183">
        <f>INDEX(MO_BS_SE,0,COLUMN())</f>
        <v/>
      </c>
      <c r="CE94" s="183">
        <f>INDEX(MO_BS_SE,0,COLUMN())</f>
        <v/>
      </c>
      <c r="CF94" s="183">
        <f>INDEX(MO_BS_SE,0,COLUMN())</f>
        <v/>
      </c>
      <c r="CG94" s="1013" t="n"/>
    </row>
    <row r="95" hidden="1" outlineLevel="1">
      <c r="A95" s="197" t="inlineStr">
        <is>
          <t>Average Shareholder's Equity</t>
        </is>
      </c>
      <c r="B95" s="198" t="n"/>
      <c r="C95" s="183">
        <f>C94</f>
        <v/>
      </c>
      <c r="D95" s="183">
        <f>AVERAGE(D94,C94)</f>
        <v/>
      </c>
      <c r="E95" s="183">
        <f>AVERAGE(E94,D94)</f>
        <v/>
      </c>
      <c r="F95" s="183">
        <f>AVERAGE(F94,E94)</f>
        <v/>
      </c>
      <c r="G95" s="1013" t="n"/>
      <c r="H95" s="1013" t="n"/>
      <c r="I95" s="1013" t="n"/>
      <c r="J95" s="1013">
        <f>AVERAGE(J94,I94,H94,G94)</f>
        <v/>
      </c>
      <c r="K95" s="183">
        <f>AVERAGE(K94,F94)</f>
        <v/>
      </c>
      <c r="L95" s="1013">
        <f>AVERAGE(L94,J94,I94,H94)</f>
        <v/>
      </c>
      <c r="M95" s="1013">
        <f>AVERAGE(M94,L94,J94,I94)</f>
        <v/>
      </c>
      <c r="N95" s="1013">
        <f>AVERAGE(N94,M94,L94,J94)</f>
        <v/>
      </c>
      <c r="O95" s="1013">
        <f>AVERAGE(O94,N94,M94,L94)</f>
        <v/>
      </c>
      <c r="P95" s="183">
        <f>AVERAGE(P94,K94)</f>
        <v/>
      </c>
      <c r="Q95" s="1013">
        <f>AVERAGE(Q94,O94,N94,M94)</f>
        <v/>
      </c>
      <c r="R95" s="1013">
        <f>AVERAGE(R94,Q94,O94,N94)</f>
        <v/>
      </c>
      <c r="S95" s="1013">
        <f>AVERAGE(S94,R94,Q94,O94)</f>
        <v/>
      </c>
      <c r="T95" s="1013">
        <f>AVERAGE(T94,S94,R94,Q94)</f>
        <v/>
      </c>
      <c r="U95" s="183">
        <f>AVERAGE(U94,P94)</f>
        <v/>
      </c>
      <c r="V95" s="1013">
        <f>AVERAGE(V94,T94,S94,R94)</f>
        <v/>
      </c>
      <c r="W95" s="1013">
        <f>AVERAGE(W94,V94,T94,S94)</f>
        <v/>
      </c>
      <c r="X95" s="1013">
        <f>AVERAGE(X94,W94,V94,T94)</f>
        <v/>
      </c>
      <c r="Y95" s="1013">
        <f>AVERAGE(Y94,X94,W94,V94)</f>
        <v/>
      </c>
      <c r="Z95" s="183">
        <f>AVERAGE(Z94,U94)</f>
        <v/>
      </c>
      <c r="AA95" s="1013">
        <f>AVERAGE(AA94,Y94,X94,W94)</f>
        <v/>
      </c>
      <c r="AB95" s="1013">
        <f>AVERAGE(AB94,AA94,Y94,X94)</f>
        <v/>
      </c>
      <c r="AC95" s="1013">
        <f>AVERAGE(AC94,AB94,AA94,Y94)</f>
        <v/>
      </c>
      <c r="AD95" s="1013">
        <f>AVERAGE(AD94,AC94,AB94,AA94)</f>
        <v/>
      </c>
      <c r="AE95" s="183">
        <f>AVERAGE(AE94,Z94)</f>
        <v/>
      </c>
      <c r="AF95" s="1013">
        <f>AVERAGE(AF94,AD94,AC94,AB94)</f>
        <v/>
      </c>
      <c r="AG95" s="1013">
        <f>AVERAGE(AG94,AF94,AD94,AC94)</f>
        <v/>
      </c>
      <c r="AH95" s="1013">
        <f>AVERAGE(AH94,AG94,AF94,AD94)</f>
        <v/>
      </c>
      <c r="AI95" s="1013">
        <f>AVERAGE(AI94,AH94,AG94,AF94)</f>
        <v/>
      </c>
      <c r="AJ95" s="183">
        <f>AVERAGE(AJ94,AE94)</f>
        <v/>
      </c>
      <c r="AK95" s="1013">
        <f>AVERAGE(AK94,AI94,AH94,AG94)</f>
        <v/>
      </c>
      <c r="AL95" s="1013">
        <f>AVERAGE(AL94,AK94,AI94,AH94)</f>
        <v/>
      </c>
      <c r="AM95" s="1013">
        <f>AVERAGE(AM94,AL94,AK94,AI94)</f>
        <v/>
      </c>
      <c r="AN95" s="1013">
        <f>AVERAGE(AN94,AM94,AL94,AK94)</f>
        <v/>
      </c>
      <c r="AO95" s="183">
        <f>AVERAGE(AO94,AJ94)</f>
        <v/>
      </c>
      <c r="AP95" s="1013">
        <f>AVERAGE(AP94,AN94,AM94,AL94)</f>
        <v/>
      </c>
      <c r="AQ95" s="1013">
        <f>AVERAGE(AQ94,AP94,AN94,AM94)</f>
        <v/>
      </c>
      <c r="AR95" s="1013">
        <f>AVERAGE(AR94,AQ94,AP94,AN94)</f>
        <v/>
      </c>
      <c r="AS95" s="1013">
        <f>AVERAGE(AS94,AR94,AQ94,AP94)</f>
        <v/>
      </c>
      <c r="AT95" s="183">
        <f>AVERAGE(AT94,AO94)</f>
        <v/>
      </c>
      <c r="AU95" s="1013">
        <f>AVERAGE(AU94,AS94,AR94,AQ94)</f>
        <v/>
      </c>
      <c r="AV95" s="1013">
        <f>AVERAGE(AV94,AU94,AS94,AR94)</f>
        <v/>
      </c>
      <c r="AW95" s="1013">
        <f>AVERAGE(AW94,AV94,AU94,AS94)</f>
        <v/>
      </c>
      <c r="AX95" s="1013">
        <f>AVERAGE(AX94,AW94,AV94,AU94)</f>
        <v/>
      </c>
      <c r="AY95" s="183">
        <f>AVERAGE(AY94,AT94)</f>
        <v/>
      </c>
      <c r="AZ95" s="1013">
        <f>AVERAGE(AZ94,AX94,AW94,AV94)</f>
        <v/>
      </c>
      <c r="BA95" s="1013">
        <f>AVERAGE(BA94,AZ94,AX94,AW94)</f>
        <v/>
      </c>
      <c r="BB95" s="1013">
        <f>AVERAGE(BB94,BA94,AZ94,AX94)</f>
        <v/>
      </c>
      <c r="BC95" s="1013">
        <f>AVERAGE(BC94,BB94,BA94,AZ94)</f>
        <v/>
      </c>
      <c r="BD95" s="183">
        <f>AVERAGE(BD94,AY94)</f>
        <v/>
      </c>
      <c r="BE95" s="1013">
        <f>AVERAGE(BE94,BC94,BB94,BA94)</f>
        <v/>
      </c>
      <c r="BF95" s="1013">
        <f>AVERAGE(BF94,BE94,BC94,BB94)</f>
        <v/>
      </c>
      <c r="BG95" s="1013">
        <f>AVERAGE(BG94,BF94,BE94,BC94)</f>
        <v/>
      </c>
      <c r="BH95" s="1013">
        <f>AVERAGE(BH94,BG94,BF94,BE94)</f>
        <v/>
      </c>
      <c r="BI95" s="183">
        <f>AVERAGE(BI94,BD94)</f>
        <v/>
      </c>
      <c r="BJ95" s="1013">
        <f>AVERAGE(BJ94,BH94,BG94,BF94)</f>
        <v/>
      </c>
      <c r="BK95" s="1013">
        <f>AVERAGE(BK94,BJ94,BH94,BG94)</f>
        <v/>
      </c>
      <c r="BL95" s="1013">
        <f>AVERAGE(BL94,BK94,BJ94,BH94)</f>
        <v/>
      </c>
      <c r="BM95" s="1013">
        <f>AVERAGE(BM94,BL94,BK94,BJ94)</f>
        <v/>
      </c>
      <c r="BN95" s="183">
        <f>AVERAGE(BN94,BI94)</f>
        <v/>
      </c>
      <c r="BO95" s="1013">
        <f>AVERAGE(BO94,BM94,BL94,BK94)</f>
        <v/>
      </c>
      <c r="BP95" s="1013">
        <f>AVERAGE(BP94,BO94,BM94,BL94)</f>
        <v/>
      </c>
      <c r="BQ95" s="1013">
        <f>AVERAGE(BQ94,BP94,BO94,BM94)</f>
        <v/>
      </c>
      <c r="BR95" s="1013">
        <f>AVERAGE(BR94,BQ94,BP94,BO94)</f>
        <v/>
      </c>
      <c r="BS95" s="183">
        <f>AVERAGE(BS94,BN94)</f>
        <v/>
      </c>
      <c r="BT95" s="1013">
        <f>AVERAGE(BT94,BR94,BQ94,BP94)</f>
        <v/>
      </c>
      <c r="BU95" s="1013">
        <f>AVERAGE(BU94,BT94,BR94,BQ94)</f>
        <v/>
      </c>
      <c r="BV95" s="1014">
        <f>AVERAGE(BV94,BU94,BT94,BR94)</f>
        <v/>
      </c>
      <c r="BW95" s="1013">
        <f>AVERAGE(BW94,BV94,BU94,BT94)</f>
        <v/>
      </c>
      <c r="BX95" s="183">
        <f>AVERAGE(BX94,BS94)</f>
        <v/>
      </c>
      <c r="BY95" s="1013">
        <f>AVERAGE(BY94,BW94,BV94,BU94)</f>
        <v/>
      </c>
      <c r="BZ95" s="1013">
        <f>AVERAGE(BZ94,BY94,BW94,BV94)</f>
        <v/>
      </c>
      <c r="CA95" s="1013">
        <f>AVERAGE(CA94,BZ94,BY94,BW94)</f>
        <v/>
      </c>
      <c r="CB95" s="1013">
        <f>AVERAGE(CB94,CA94,BZ94,BY94)</f>
        <v/>
      </c>
      <c r="CC95" s="183">
        <f>AVERAGE(CC94,BX94)</f>
        <v/>
      </c>
      <c r="CD95" s="183">
        <f>AVERAGE(CD94,CC94)</f>
        <v/>
      </c>
      <c r="CE95" s="183">
        <f>AVERAGE(CE94,CD94)</f>
        <v/>
      </c>
      <c r="CF95" s="183">
        <f>AVERAGE(CF94,CE94)</f>
        <v/>
      </c>
      <c r="CG95" s="1013" t="n"/>
    </row>
    <row r="96" collapsed="1" customFormat="1" s="976">
      <c r="A96" s="206" t="inlineStr">
        <is>
          <t>ROE</t>
        </is>
      </c>
      <c r="B96" s="85" t="n"/>
      <c r="C96" s="1250">
        <f>IF(C95&lt;0,"NMF",IF(ABS(C93/C95)&gt;1,"NMF",C93/C95))</f>
        <v/>
      </c>
      <c r="D96" s="1250">
        <f>IF(D95&lt;0,"NMF",IF(ABS(D93/D95)&gt;1,"NMF",D93/D95))</f>
        <v/>
      </c>
      <c r="E96" s="1250">
        <f>IF(E95&lt;0,"NMF",IF(ABS(E93/E95)&gt;1,"NMF",E93/E95))</f>
        <v/>
      </c>
      <c r="F96" s="1250">
        <f>IF(F95&lt;0,"NMF",IF(ABS(F93/F95)&gt;1,"NMF",F93/F95))</f>
        <v/>
      </c>
      <c r="G96" s="136" t="n"/>
      <c r="H96" s="136" t="n"/>
      <c r="I96" s="136" t="n"/>
      <c r="J96" s="136" t="n"/>
      <c r="K96" s="1250">
        <f>IF(K95&lt;0,"NMF",IF(ABS(K93/K95)&gt;1,"NMF",K93/K95))</f>
        <v/>
      </c>
      <c r="L96" s="136">
        <f>IF(L95&lt;0,"NMF",IF(ABS(L93/L95)&gt;1,"NMF",L93/L95))</f>
        <v/>
      </c>
      <c r="M96" s="136">
        <f>IF(M95&lt;0,"NMF",IF(ABS(M93/M95)&gt;1,"NMF",M93/M95))</f>
        <v/>
      </c>
      <c r="N96" s="136">
        <f>IF(N95&lt;0,"NMF",IF(ABS(N93/N95)&gt;1,"NMF",N93/N95))</f>
        <v/>
      </c>
      <c r="O96" s="136">
        <f>IF(O95&lt;0,"NMF",IF(ABS(O93/O95)&gt;1,"NMF",O93/O95))</f>
        <v/>
      </c>
      <c r="P96" s="1250">
        <f>IF(P95&lt;0,"NMF",IF(ABS(P93/P95)&gt;1,"NMF",P93/P95))</f>
        <v/>
      </c>
      <c r="Q96" s="136">
        <f>IF(Q95&lt;0,"NMF",IF(ABS(Q93/Q95)&gt;1,"NMF",Q93/Q95))</f>
        <v/>
      </c>
      <c r="R96" s="136">
        <f>IF(R95&lt;0,"NMF",IF(ABS(R93/R95)&gt;1,"NMF",R93/R95))</f>
        <v/>
      </c>
      <c r="S96" s="136">
        <f>IF(S95&lt;0,"NMF",IF(ABS(S93/S95)&gt;1,"NMF",S93/S95))</f>
        <v/>
      </c>
      <c r="T96" s="136">
        <f>IF(T95&lt;0,"NMF",IF(ABS(T93/T95)&gt;1,"NMF",T93/T95))</f>
        <v/>
      </c>
      <c r="U96" s="1250">
        <f>IF(U95&lt;0,"NMF",IF(ABS(U93/U95)&gt;1,"NMF",U93/U95))</f>
        <v/>
      </c>
      <c r="V96" s="136">
        <f>IF(V95&lt;0,"NMF",IF(ABS(V93/V95)&gt;1,"NMF",V93/V95))</f>
        <v/>
      </c>
      <c r="W96" s="136">
        <f>IF(W95&lt;0,"NMF",IF(ABS(W93/W95)&gt;1,"NMF",W93/W95))</f>
        <v/>
      </c>
      <c r="X96" s="136">
        <f>IF(X95&lt;0,"NMF",IF(ABS(X93/X95)&gt;1,"NMF",X93/X95))</f>
        <v/>
      </c>
      <c r="Y96" s="136">
        <f>IF(Y95&lt;0,"NMF",IF(ABS(Y93/Y95)&gt;1,"NMF",Y93/Y95))</f>
        <v/>
      </c>
      <c r="Z96" s="1250">
        <f>IF(Z95&lt;0,"NMF",IF(ABS(Z93/Z95)&gt;1,"NMF",Z93/Z95))</f>
        <v/>
      </c>
      <c r="AA96" s="136">
        <f>IF(AA95&lt;0,"NMF",IF(ABS(AA93/AA95)&gt;1,"NMF",AA93/AA95))</f>
        <v/>
      </c>
      <c r="AB96" s="136">
        <f>IF(AB95&lt;0,"NMF",IF(ABS(AB93/AB95)&gt;1,"NMF",AB93/AB95))</f>
        <v/>
      </c>
      <c r="AC96" s="136">
        <f>IF(AC95&lt;0,"NMF",IF(ABS(AC93/AC95)&gt;1,"NMF",AC93/AC95))</f>
        <v/>
      </c>
      <c r="AD96" s="136">
        <f>IF(AD95&lt;0,"NMF",IF(ABS(AD93/AD95)&gt;1,"NMF",AD93/AD95))</f>
        <v/>
      </c>
      <c r="AE96" s="1250">
        <f>IF(AE95&lt;0,"NMF",IF(ABS(AE93/AE95)&gt;1,"NMF",AE93/AE95))</f>
        <v/>
      </c>
      <c r="AF96" s="136">
        <f>IF(AF95&lt;0,"NMF",IF(ABS(AF93/AF95)&gt;1,"NMF",AF93/AF95))</f>
        <v/>
      </c>
      <c r="AG96" s="136">
        <f>IF(AG95&lt;0,"NMF",IF(ABS(AG93/AG95)&gt;1,"NMF",AG93/AG95))</f>
        <v/>
      </c>
      <c r="AH96" s="136">
        <f>IF(AH95&lt;0,"NMF",IF(ABS(AH93/AH95)&gt;1,"NMF",AH93/AH95))</f>
        <v/>
      </c>
      <c r="AI96" s="136">
        <f>IF(AI95&lt;0,"NMF",IF(ABS(AI93/AI95)&gt;1,"NMF",AI93/AI95))</f>
        <v/>
      </c>
      <c r="AJ96" s="1250">
        <f>IF(AJ95&lt;0,"NMF",IF(ABS(AJ93/AJ95)&gt;1,"NMF",AJ93/AJ95))</f>
        <v/>
      </c>
      <c r="AK96" s="136">
        <f>IF(AK95&lt;0,"NMF",IF(ABS(AK93/AK95)&gt;1,"NMF",AK93/AK95))</f>
        <v/>
      </c>
      <c r="AL96" s="136">
        <f>IF(AL95&lt;0,"NMF",IF(ABS(AL93/AL95)&gt;1,"NMF",AL93/AL95))</f>
        <v/>
      </c>
      <c r="AM96" s="136">
        <f>IF(AM95&lt;0,"NMF",IF(ABS(AM93/AM95)&gt;1,"NMF",AM93/AM95))</f>
        <v/>
      </c>
      <c r="AN96" s="136">
        <f>IF(AN95&lt;0,"NMF",IF(ABS(AN93/AN95)&gt;1,"NMF",AN93/AN95))</f>
        <v/>
      </c>
      <c r="AO96" s="1250">
        <f>IF(AO95&lt;0,"NMF",IF(ABS(AO93/AO95)&gt;1,"NMF",AO93/AO95))</f>
        <v/>
      </c>
      <c r="AP96" s="136">
        <f>IF(AP95&lt;0,"NMF",IF(ABS(AP93/AP95)&gt;1,"NMF",AP93/AP95))</f>
        <v/>
      </c>
      <c r="AQ96" s="136">
        <f>IF(AQ95&lt;0,"NMF",IF(ABS(AQ93/AQ95)&gt;1,"NMF",AQ93/AQ95))</f>
        <v/>
      </c>
      <c r="AR96" s="136">
        <f>IF(AR95&lt;0,"NMF",IF(ABS(AR93/AR95)&gt;1,"NMF",AR93/AR95))</f>
        <v/>
      </c>
      <c r="AS96" s="136">
        <f>IF(AS95&lt;0,"NMF",IF(ABS(AS93/AS95)&gt;1,"NMF",AS93/AS95))</f>
        <v/>
      </c>
      <c r="AT96" s="1250">
        <f>IF(AT95&lt;0,"NMF",IF(ABS(AT93/AT95)&gt;1,"NMF",AT93/AT95))</f>
        <v/>
      </c>
      <c r="AU96" s="136">
        <f>IF(AU95&lt;0,"NMF",IF(ABS(AU93/AU95)&gt;1,"NMF",AU93/AU95))</f>
        <v/>
      </c>
      <c r="AV96" s="136">
        <f>IF(AV95&lt;0,"NMF",IF(ABS(AV93/AV95)&gt;1,"NMF",AV93/AV95))</f>
        <v/>
      </c>
      <c r="AW96" s="136">
        <f>IF(AW95&lt;0,"NMF",IF(ABS(AW93/AW95)&gt;1,"NMF",AW93/AW95))</f>
        <v/>
      </c>
      <c r="AX96" s="136">
        <f>IF(AX95&lt;0,"NMF",IF(ABS(AX93/AX95)&gt;1,"NMF",AX93/AX95))</f>
        <v/>
      </c>
      <c r="AY96" s="1250">
        <f>IF(AY95&lt;0,"NMF",IF(ABS(AY93/AY95)&gt;1,"NMF",AY93/AY95))</f>
        <v/>
      </c>
      <c r="AZ96" s="136">
        <f>IF(AZ95&lt;0,"NMF",IF(ABS(AZ93/AZ95)&gt;1,"NMF",AZ93/AZ95))</f>
        <v/>
      </c>
      <c r="BA96" s="136">
        <f>IF(BA95&lt;0,"NMF",IF(ABS(BA93/BA95)&gt;1,"NMF",BA93/BA95))</f>
        <v/>
      </c>
      <c r="BB96" s="136">
        <f>IF(BB95&lt;0,"NMF",IF(ABS(BB93/BB95)&gt;1,"NMF",BB93/BB95))</f>
        <v/>
      </c>
      <c r="BC96" s="136">
        <f>IF(BC95&lt;0,"NMF",IF(ABS(BC93/BC95)&gt;1,"NMF",BC93/BC95))</f>
        <v/>
      </c>
      <c r="BD96" s="1250">
        <f>IF(BD95&lt;0,"NMF",IF(ABS(BD93/BD95)&gt;1,"NMF",BD93/BD95))</f>
        <v/>
      </c>
      <c r="BE96" s="136">
        <f>IF(BE95&lt;0,"NMF",IF(ABS(BE93/BE95)&gt;1,"NMF",BE93/BE95))</f>
        <v/>
      </c>
      <c r="BF96" s="136">
        <f>IF(BF95&lt;0,"NMF",IF(ABS(BF93/BF95)&gt;1,"NMF",BF93/BF95))</f>
        <v/>
      </c>
      <c r="BG96" s="136">
        <f>IF(BG95&lt;0,"NMF",IF(ABS(BG93/BG95)&gt;1,"NMF",BG93/BG95))</f>
        <v/>
      </c>
      <c r="BH96" s="136">
        <f>IF(BH95&lt;0,"NMF",IF(ABS(BH93/BH95)&gt;1,"NMF",BH93/BH95))</f>
        <v/>
      </c>
      <c r="BI96" s="1250">
        <f>IF(BI95&lt;0,"NMF",IF(ABS(BI93/BI95)&gt;1,"NMF",BI93/BI95))</f>
        <v/>
      </c>
      <c r="BJ96" s="136">
        <f>IF(BJ95&lt;0,"NMF",IF(ABS(BJ93/BJ95)&gt;1,"NMF",BJ93/BJ95))</f>
        <v/>
      </c>
      <c r="BK96" s="136">
        <f>IF(BK95&lt;0,"NMF",IF(ABS(BK93/BK95)&gt;1,"NMF",BK93/BK95))</f>
        <v/>
      </c>
      <c r="BL96" s="136">
        <f>IF(BL95&lt;0,"NMF",IF(ABS(BL93/BL95)&gt;1,"NMF",BL93/BL95))</f>
        <v/>
      </c>
      <c r="BM96" s="136">
        <f>IF(BM95&lt;0,"NMF",IF(ABS(BM93/BM95)&gt;1,"NMF",BM93/BM95))</f>
        <v/>
      </c>
      <c r="BN96" s="1250">
        <f>IF(BN95&lt;0,"NMF",IF(ABS(BN93/BN95)&gt;1,"NMF",BN93/BN95))</f>
        <v/>
      </c>
      <c r="BO96" s="136">
        <f>IF(BO95&lt;0,"NMF",IF(ABS(BO93/BO95)&gt;1,"NMF",BO93/BO95))</f>
        <v/>
      </c>
      <c r="BP96" s="136">
        <f>IF(BP95&lt;0,"NMF",IF(ABS(BP93/BP95)&gt;1,"NMF",BP93/BP95))</f>
        <v/>
      </c>
      <c r="BQ96" s="136">
        <f>IF(BQ95&lt;0,"NMF",IF(ABS(BQ93/BQ95)&gt;1,"NMF",BQ93/BQ95))</f>
        <v/>
      </c>
      <c r="BR96" s="136">
        <f>IF(BR95&lt;0,"NMF",IF(ABS(BR93/BR95)&gt;1,"NMF",BR93/BR95))</f>
        <v/>
      </c>
      <c r="BS96" s="1250">
        <f>IF(BS95&lt;0,"NMF",IF(ABS(BS93/BS95)&gt;1,"NMF",BS93/BS95))</f>
        <v/>
      </c>
      <c r="BT96" s="136">
        <f>IF(BT95&lt;0,"NMF",IF(ABS(BT93/BT95)&gt;1,"NMF",BT93/BT95))</f>
        <v/>
      </c>
      <c r="BU96" s="136">
        <f>IF(BU95&lt;0,"NMF",IF(ABS(BU93/BU95)&gt;1,"NMF",BU93/BU95))</f>
        <v/>
      </c>
      <c r="BV96" s="951">
        <f>IF(BV95&lt;0,"NMF",IF(ABS(BV93/BV95)&gt;1,"NMF",BV93/BV95))</f>
        <v/>
      </c>
      <c r="BW96" s="136">
        <f>IF(BW95&lt;0,"NMF",IF(ABS(BW93/BW95)&gt;1,"NMF",BW93/BW95))</f>
        <v/>
      </c>
      <c r="BX96" s="1250">
        <f>IF(BX95&lt;0,"NMF",IF(ABS(BX93/BX95)&gt;1,"NMF",BX93/BX95))</f>
        <v/>
      </c>
      <c r="BY96" s="136">
        <f>IF(BY95&lt;0,"NMF",IF(ABS(BY93/BY95)&gt;1,"NMF",BY93/BY95))</f>
        <v/>
      </c>
      <c r="BZ96" s="136">
        <f>IF(BZ95&lt;0,"NMF",IF(ABS(BZ93/BZ95)&gt;1,"NMF",BZ93/BZ95))</f>
        <v/>
      </c>
      <c r="CA96" s="136">
        <f>IF(CA95&lt;0,"NMF",IF(ABS(CA93/CA95)&gt;1,"NMF",CA93/CA95))</f>
        <v/>
      </c>
      <c r="CB96" s="136">
        <f>IF(CB95&lt;0,"NMF",IF(ABS(CB93/CB95)&gt;1,"NMF",CB93/CB95))</f>
        <v/>
      </c>
      <c r="CC96" s="1250">
        <f>IF(CC95&lt;0,"NMF",IF(ABS(CC93/CC95)&gt;1,"NMF",CC93/CC95))</f>
        <v/>
      </c>
      <c r="CD96" s="1250">
        <f>IF(CD95&lt;0,"NMF",IF(ABS(CD93/CD95)&gt;1,"NMF",CD93/CD95))</f>
        <v/>
      </c>
      <c r="CE96" s="1250">
        <f>IF(CE95&lt;0,"NMF",IF(ABS(CE93/CE95)&gt;1,"NMF",CE93/CE95))</f>
        <v/>
      </c>
      <c r="CF96" s="1250">
        <f>IF(CF95&lt;0,"NMF",IF(ABS(CF93/CF95)&gt;1,"NMF",CF93/CF95))</f>
        <v/>
      </c>
      <c r="CG96" s="132" t="n"/>
    </row>
    <row r="97" hidden="1" outlineLevel="1">
      <c r="A97" s="197" t="inlineStr">
        <is>
          <t>Net Operating Profit</t>
        </is>
      </c>
      <c r="B97" s="198" t="n"/>
      <c r="C97" s="183">
        <f>+C38</f>
        <v/>
      </c>
      <c r="D97" s="183">
        <f>+D38</f>
        <v/>
      </c>
      <c r="E97" s="183">
        <f>+E38</f>
        <v/>
      </c>
      <c r="F97" s="183">
        <f>+F38</f>
        <v/>
      </c>
      <c r="G97" s="1013">
        <f>+G38</f>
        <v/>
      </c>
      <c r="H97" s="1013">
        <f>+H38</f>
        <v/>
      </c>
      <c r="I97" s="1013">
        <f>+I38</f>
        <v/>
      </c>
      <c r="J97" s="1013">
        <f>+J38</f>
        <v/>
      </c>
      <c r="K97" s="183">
        <f>+K38</f>
        <v/>
      </c>
      <c r="L97" s="1013">
        <f>+L38</f>
        <v/>
      </c>
      <c r="M97" s="1013">
        <f>+M38</f>
        <v/>
      </c>
      <c r="N97" s="1013">
        <f>+N38</f>
        <v/>
      </c>
      <c r="O97" s="1013">
        <f>+O38</f>
        <v/>
      </c>
      <c r="P97" s="183">
        <f>+P38</f>
        <v/>
      </c>
      <c r="Q97" s="1013">
        <f>+Q38</f>
        <v/>
      </c>
      <c r="R97" s="1013">
        <f>+R38</f>
        <v/>
      </c>
      <c r="S97" s="1013">
        <f>+S38</f>
        <v/>
      </c>
      <c r="T97" s="1013">
        <f>+T38</f>
        <v/>
      </c>
      <c r="U97" s="183">
        <f>+U38</f>
        <v/>
      </c>
      <c r="V97" s="1013">
        <f>+V38</f>
        <v/>
      </c>
      <c r="W97" s="1013">
        <f>+W38</f>
        <v/>
      </c>
      <c r="X97" s="1013">
        <f>+X38</f>
        <v/>
      </c>
      <c r="Y97" s="1013">
        <f>+Y38</f>
        <v/>
      </c>
      <c r="Z97" s="183">
        <f>+Z38</f>
        <v/>
      </c>
      <c r="AA97" s="1013">
        <f>+AA38</f>
        <v/>
      </c>
      <c r="AB97" s="1013">
        <f>+AB38</f>
        <v/>
      </c>
      <c r="AC97" s="1013">
        <f>+AC38</f>
        <v/>
      </c>
      <c r="AD97" s="1013">
        <f>+AD38</f>
        <v/>
      </c>
      <c r="AE97" s="183">
        <f>+AE38</f>
        <v/>
      </c>
      <c r="AF97" s="1013">
        <f>+AF38</f>
        <v/>
      </c>
      <c r="AG97" s="1013">
        <f>+AG38</f>
        <v/>
      </c>
      <c r="AH97" s="1013">
        <f>+AH38</f>
        <v/>
      </c>
      <c r="AI97" s="1013">
        <f>+AI38</f>
        <v/>
      </c>
      <c r="AJ97" s="183">
        <f>+AJ38</f>
        <v/>
      </c>
      <c r="AK97" s="1013">
        <f>+AK38</f>
        <v/>
      </c>
      <c r="AL97" s="1013">
        <f>+AL38</f>
        <v/>
      </c>
      <c r="AM97" s="1013">
        <f>+AM38</f>
        <v/>
      </c>
      <c r="AN97" s="1013">
        <f>+AN38</f>
        <v/>
      </c>
      <c r="AO97" s="183">
        <f>+AO38</f>
        <v/>
      </c>
      <c r="AP97" s="1013">
        <f>+AP38</f>
        <v/>
      </c>
      <c r="AQ97" s="1013">
        <f>+AQ38</f>
        <v/>
      </c>
      <c r="AR97" s="1013">
        <f>+AR38</f>
        <v/>
      </c>
      <c r="AS97" s="1013">
        <f>+AS38</f>
        <v/>
      </c>
      <c r="AT97" s="183">
        <f>+AT38</f>
        <v/>
      </c>
      <c r="AU97" s="1013">
        <f>+AU38</f>
        <v/>
      </c>
      <c r="AV97" s="1013">
        <f>+AV38</f>
        <v/>
      </c>
      <c r="AW97" s="1013">
        <f>+AW38</f>
        <v/>
      </c>
      <c r="AX97" s="1013">
        <f>+AX38</f>
        <v/>
      </c>
      <c r="AY97" s="183">
        <f>+AY38</f>
        <v/>
      </c>
      <c r="AZ97" s="1013">
        <f>+AZ38</f>
        <v/>
      </c>
      <c r="BA97" s="1013">
        <f>+BA38</f>
        <v/>
      </c>
      <c r="BB97" s="1013">
        <f>+BB38</f>
        <v/>
      </c>
      <c r="BC97" s="1013">
        <f>+BC38</f>
        <v/>
      </c>
      <c r="BD97" s="183">
        <f>+BD38</f>
        <v/>
      </c>
      <c r="BE97" s="1013">
        <f>+BE38</f>
        <v/>
      </c>
      <c r="BF97" s="1013">
        <f>+BF38</f>
        <v/>
      </c>
      <c r="BG97" s="1013">
        <f>+BG38</f>
        <v/>
      </c>
      <c r="BH97" s="1013">
        <f>+BH38</f>
        <v/>
      </c>
      <c r="BI97" s="183">
        <f>+BI38</f>
        <v/>
      </c>
      <c r="BJ97" s="1013">
        <f>+BJ38</f>
        <v/>
      </c>
      <c r="BK97" s="1013">
        <f>+BK38</f>
        <v/>
      </c>
      <c r="BL97" s="1013">
        <f>+BL38</f>
        <v/>
      </c>
      <c r="BM97" s="1013">
        <f>+BM38</f>
        <v/>
      </c>
      <c r="BN97" s="183">
        <f>+BN38</f>
        <v/>
      </c>
      <c r="BO97" s="1013">
        <f>+BO38</f>
        <v/>
      </c>
      <c r="BP97" s="1013">
        <f>+BP38</f>
        <v/>
      </c>
      <c r="BQ97" s="1013">
        <f>+BQ38</f>
        <v/>
      </c>
      <c r="BR97" s="1013">
        <f>+BR38</f>
        <v/>
      </c>
      <c r="BS97" s="183">
        <f>+BS38</f>
        <v/>
      </c>
      <c r="BT97" s="1013">
        <f>+BT38</f>
        <v/>
      </c>
      <c r="BU97" s="1013">
        <f>+BU38</f>
        <v/>
      </c>
      <c r="BV97" s="1014">
        <f>+BV38</f>
        <v/>
      </c>
      <c r="BW97" s="1013">
        <f>+BW38</f>
        <v/>
      </c>
      <c r="BX97" s="183">
        <f>+BX38</f>
        <v/>
      </c>
      <c r="BY97" s="1013">
        <f>+BY38</f>
        <v/>
      </c>
      <c r="BZ97" s="1013">
        <f>+BZ38</f>
        <v/>
      </c>
      <c r="CA97" s="1013">
        <f>+CA38</f>
        <v/>
      </c>
      <c r="CB97" s="1013">
        <f>+CB38</f>
        <v/>
      </c>
      <c r="CC97" s="183">
        <f>+CC38</f>
        <v/>
      </c>
      <c r="CD97" s="183">
        <f>+CD38</f>
        <v/>
      </c>
      <c r="CE97" s="183">
        <f>+CE38</f>
        <v/>
      </c>
      <c r="CF97" s="183">
        <f>+CF38</f>
        <v/>
      </c>
      <c r="CG97" s="1013" t="n"/>
    </row>
    <row r="98" hidden="1" outlineLevel="1">
      <c r="A98" s="197" t="inlineStr">
        <is>
          <t>LTM Net Operating Profit</t>
        </is>
      </c>
      <c r="B98" s="198" t="n"/>
      <c r="C98" s="183">
        <f>C97</f>
        <v/>
      </c>
      <c r="D98" s="183">
        <f>D97</f>
        <v/>
      </c>
      <c r="E98" s="183">
        <f>E97</f>
        <v/>
      </c>
      <c r="F98" s="183">
        <f>F97</f>
        <v/>
      </c>
      <c r="G98" s="1013" t="n"/>
      <c r="H98" s="1013" t="n"/>
      <c r="I98" s="1013" t="n"/>
      <c r="J98" s="1013">
        <f>SUM(J97,I97,H97,G97)</f>
        <v/>
      </c>
      <c r="K98" s="183">
        <f>K97</f>
        <v/>
      </c>
      <c r="L98" s="1013">
        <f>SUM(L97,J97,I97,H97)</f>
        <v/>
      </c>
      <c r="M98" s="1013">
        <f>SUM(M97,L97,J97,I97)</f>
        <v/>
      </c>
      <c r="N98" s="1013">
        <f>SUM(N97,M97,L97,J97)</f>
        <v/>
      </c>
      <c r="O98" s="1013">
        <f>SUM(O97,N97,M97,L97)</f>
        <v/>
      </c>
      <c r="P98" s="183">
        <f>P97</f>
        <v/>
      </c>
      <c r="Q98" s="1013">
        <f>SUM(Q97,O97,N97,M97)</f>
        <v/>
      </c>
      <c r="R98" s="1013">
        <f>SUM(R97,Q97,O97,N97)</f>
        <v/>
      </c>
      <c r="S98" s="1013">
        <f>SUM(S97,R97,Q97,O97)</f>
        <v/>
      </c>
      <c r="T98" s="1013">
        <f>SUM(T97,S97,R97,Q97)</f>
        <v/>
      </c>
      <c r="U98" s="183">
        <f>U97</f>
        <v/>
      </c>
      <c r="V98" s="1013">
        <f>SUM(V97,T97,S97,R97)</f>
        <v/>
      </c>
      <c r="W98" s="1013">
        <f>SUM(W97,V97,T97,S97)</f>
        <v/>
      </c>
      <c r="X98" s="1013">
        <f>SUM(X97,W97,V97,T97)</f>
        <v/>
      </c>
      <c r="Y98" s="1013">
        <f>SUM(Y97,X97,W97,V97)</f>
        <v/>
      </c>
      <c r="Z98" s="183">
        <f>Z97</f>
        <v/>
      </c>
      <c r="AA98" s="1013">
        <f>SUM(AA97,Y97,X97,W97)</f>
        <v/>
      </c>
      <c r="AB98" s="1013">
        <f>SUM(AB97,AA97,Y97,X97)</f>
        <v/>
      </c>
      <c r="AC98" s="1013">
        <f>SUM(AC97,AB97,AA97,Y97)</f>
        <v/>
      </c>
      <c r="AD98" s="1013">
        <f>SUM(AD97,AC97,AB97,AA97)</f>
        <v/>
      </c>
      <c r="AE98" s="183">
        <f>AE97</f>
        <v/>
      </c>
      <c r="AF98" s="1013">
        <f>SUM(AF97,AD97,AC97,AB97)</f>
        <v/>
      </c>
      <c r="AG98" s="1013">
        <f>SUM(AG97,AF97,AD97,AC97)</f>
        <v/>
      </c>
      <c r="AH98" s="1013">
        <f>SUM(AH97,AG97,AF97,AD97)</f>
        <v/>
      </c>
      <c r="AI98" s="1013">
        <f>SUM(AI97,AH97,AG97,AF97)</f>
        <v/>
      </c>
      <c r="AJ98" s="183">
        <f>AJ97</f>
        <v/>
      </c>
      <c r="AK98" s="1013">
        <f>SUM(AK97,AI97,AH97,AG97)</f>
        <v/>
      </c>
      <c r="AL98" s="1013">
        <f>SUM(AL97,AK97,AI97,AH97)</f>
        <v/>
      </c>
      <c r="AM98" s="1013">
        <f>SUM(AM97,AL97,AK97,AI97)</f>
        <v/>
      </c>
      <c r="AN98" s="1013">
        <f>SUM(AN97,AM97,AL97,AK97)</f>
        <v/>
      </c>
      <c r="AO98" s="183">
        <f>AO97</f>
        <v/>
      </c>
      <c r="AP98" s="1013">
        <f>SUM(AP97,AN97,AM97,AL97)</f>
        <v/>
      </c>
      <c r="AQ98" s="1013">
        <f>SUM(AQ97,AP97,AN97,AM97)</f>
        <v/>
      </c>
      <c r="AR98" s="1013">
        <f>SUM(AR97,AQ97,AP97,AN97)</f>
        <v/>
      </c>
      <c r="AS98" s="1013">
        <f>SUM(AS97,AR97,AQ97,AP97)</f>
        <v/>
      </c>
      <c r="AT98" s="183">
        <f>AT97</f>
        <v/>
      </c>
      <c r="AU98" s="1013">
        <f>SUM(AU97,AS97,AR97,AQ97)</f>
        <v/>
      </c>
      <c r="AV98" s="1013">
        <f>SUM(AV97,AU97,AS97,AR97)</f>
        <v/>
      </c>
      <c r="AW98" s="1013">
        <f>SUM(AW97,AV97,AU97,AS97)</f>
        <v/>
      </c>
      <c r="AX98" s="1013">
        <f>SUM(AX97,AW97,AV97,AU97)</f>
        <v/>
      </c>
      <c r="AY98" s="183">
        <f>AY97</f>
        <v/>
      </c>
      <c r="AZ98" s="1013">
        <f>SUM(AZ97,AX97,AW97,AV97)</f>
        <v/>
      </c>
      <c r="BA98" s="1013">
        <f>SUM(BA97,AZ97,AX97,AW97)</f>
        <v/>
      </c>
      <c r="BB98" s="1013">
        <f>SUM(BB97,BA97,AZ97,AX97)</f>
        <v/>
      </c>
      <c r="BC98" s="1013">
        <f>SUM(BC97,BB97,BA97,AZ97)</f>
        <v/>
      </c>
      <c r="BD98" s="183">
        <f>BD97</f>
        <v/>
      </c>
      <c r="BE98" s="1013">
        <f>SUM(BE97,BC97,BB97,BA97)</f>
        <v/>
      </c>
      <c r="BF98" s="1013">
        <f>SUM(BF97,BE97,BC97,BB97)</f>
        <v/>
      </c>
      <c r="BG98" s="1013">
        <f>SUM(BG97,BF97,BE97,BC97)</f>
        <v/>
      </c>
      <c r="BH98" s="1013">
        <f>SUM(BH97,BG97,BF97,BE97)</f>
        <v/>
      </c>
      <c r="BI98" s="183">
        <f>BI97</f>
        <v/>
      </c>
      <c r="BJ98" s="1013">
        <f>SUM(BJ97,BH97,BG97,BF97)</f>
        <v/>
      </c>
      <c r="BK98" s="1013">
        <f>SUM(BK97,BJ97,BH97,BG97)</f>
        <v/>
      </c>
      <c r="BL98" s="1013">
        <f>SUM(BL97,BK97,BJ97,BH97)</f>
        <v/>
      </c>
      <c r="BM98" s="1013">
        <f>SUM(BM97,BL97,BK97,BJ97)</f>
        <v/>
      </c>
      <c r="BN98" s="183">
        <f>BN97</f>
        <v/>
      </c>
      <c r="BO98" s="1013">
        <f>SUM(BO97,BM97,BL97,BK97)</f>
        <v/>
      </c>
      <c r="BP98" s="1013">
        <f>SUM(BP97,BO97,BM97,BL97)</f>
        <v/>
      </c>
      <c r="BQ98" s="1013">
        <f>SUM(BQ97,BP97,BO97,BM97)</f>
        <v/>
      </c>
      <c r="BR98" s="1013">
        <f>SUM(BR97,BQ97,BP97,BO97)</f>
        <v/>
      </c>
      <c r="BS98" s="183">
        <f>BS97</f>
        <v/>
      </c>
      <c r="BT98" s="1013">
        <f>SUM(BT97,BR97,BQ97,BP97)</f>
        <v/>
      </c>
      <c r="BU98" s="1013">
        <f>SUM(BU97,BT97,BR97,BQ97)</f>
        <v/>
      </c>
      <c r="BV98" s="1014">
        <f>SUM(BV97,BU97,BT97,BR97)</f>
        <v/>
      </c>
      <c r="BW98" s="1013">
        <f>SUM(BW97,BV97,BU97,BT97)</f>
        <v/>
      </c>
      <c r="BX98" s="183">
        <f>BX97</f>
        <v/>
      </c>
      <c r="BY98" s="1013">
        <f>SUM(BY97,BW97,BV97,BU97)</f>
        <v/>
      </c>
      <c r="BZ98" s="1013">
        <f>SUM(BZ97,BY97,BW97,BV97)</f>
        <v/>
      </c>
      <c r="CA98" s="1013">
        <f>SUM(CA97,BZ97,BY97,BW97)</f>
        <v/>
      </c>
      <c r="CB98" s="1013">
        <f>SUM(CB97,CA97,BZ97,BY97)</f>
        <v/>
      </c>
      <c r="CC98" s="183">
        <f>CC97</f>
        <v/>
      </c>
      <c r="CD98" s="183">
        <f>CD97</f>
        <v/>
      </c>
      <c r="CE98" s="183">
        <f>CE97</f>
        <v/>
      </c>
      <c r="CF98" s="183">
        <f>CF97</f>
        <v/>
      </c>
      <c r="CG98" s="1013" t="n"/>
    </row>
    <row r="99" hidden="1" outlineLevel="1">
      <c r="A99" s="197" t="inlineStr">
        <is>
          <t>Total Assets</t>
        </is>
      </c>
      <c r="B99" s="198" t="n"/>
      <c r="C99" s="183">
        <f>INDEX(MO_BS_TA,0,COLUMN())</f>
        <v/>
      </c>
      <c r="D99" s="183">
        <f>INDEX(MO_BS_TA,0,COLUMN())</f>
        <v/>
      </c>
      <c r="E99" s="183">
        <f>INDEX(MO_BS_TA,0,COLUMN())</f>
        <v/>
      </c>
      <c r="F99" s="183">
        <f>INDEX(MO_BS_TA,0,COLUMN())</f>
        <v/>
      </c>
      <c r="G99" s="1013">
        <f>INDEX(MO_BS_TA,0,COLUMN())</f>
        <v/>
      </c>
      <c r="H99" s="1013">
        <f>INDEX(MO_BS_TA,0,COLUMN())</f>
        <v/>
      </c>
      <c r="I99" s="1013">
        <f>INDEX(MO_BS_TA,0,COLUMN())</f>
        <v/>
      </c>
      <c r="J99" s="1013">
        <f>INDEX(MO_BS_TA,0,COLUMN())</f>
        <v/>
      </c>
      <c r="K99" s="183">
        <f>INDEX(MO_BS_TA,0,COLUMN())</f>
        <v/>
      </c>
      <c r="L99" s="1013">
        <f>INDEX(MO_BS_TA,0,COLUMN())</f>
        <v/>
      </c>
      <c r="M99" s="1013">
        <f>INDEX(MO_BS_TA,0,COLUMN())</f>
        <v/>
      </c>
      <c r="N99" s="1013">
        <f>INDEX(MO_BS_TA,0,COLUMN())</f>
        <v/>
      </c>
      <c r="O99" s="1013">
        <f>INDEX(MO_BS_TA,0,COLUMN())</f>
        <v/>
      </c>
      <c r="P99" s="183">
        <f>INDEX(MO_BS_TA,0,COLUMN())</f>
        <v/>
      </c>
      <c r="Q99" s="1013">
        <f>INDEX(MO_BS_TA,0,COLUMN())</f>
        <v/>
      </c>
      <c r="R99" s="1013">
        <f>INDEX(MO_BS_TA,0,COLUMN())</f>
        <v/>
      </c>
      <c r="S99" s="1013">
        <f>INDEX(MO_BS_TA,0,COLUMN())</f>
        <v/>
      </c>
      <c r="T99" s="1013">
        <f>INDEX(MO_BS_TA,0,COLUMN())</f>
        <v/>
      </c>
      <c r="U99" s="183">
        <f>INDEX(MO_BS_TA,0,COLUMN())</f>
        <v/>
      </c>
      <c r="V99" s="1013">
        <f>INDEX(MO_BS_TA,0,COLUMN())</f>
        <v/>
      </c>
      <c r="W99" s="1013">
        <f>INDEX(MO_BS_TA,0,COLUMN())</f>
        <v/>
      </c>
      <c r="X99" s="1013">
        <f>INDEX(MO_BS_TA,0,COLUMN())</f>
        <v/>
      </c>
      <c r="Y99" s="1013">
        <f>INDEX(MO_BS_TA,0,COLUMN())</f>
        <v/>
      </c>
      <c r="Z99" s="183">
        <f>INDEX(MO_BS_TA,0,COLUMN())</f>
        <v/>
      </c>
      <c r="AA99" s="1013">
        <f>INDEX(MO_BS_TA,0,COLUMN())</f>
        <v/>
      </c>
      <c r="AB99" s="1013">
        <f>INDEX(MO_BS_TA,0,COLUMN())</f>
        <v/>
      </c>
      <c r="AC99" s="1013">
        <f>INDEX(MO_BS_TA,0,COLUMN())</f>
        <v/>
      </c>
      <c r="AD99" s="1013">
        <f>INDEX(MO_BS_TA,0,COLUMN())</f>
        <v/>
      </c>
      <c r="AE99" s="183">
        <f>INDEX(MO_BS_TA,0,COLUMN())</f>
        <v/>
      </c>
      <c r="AF99" s="1013">
        <f>INDEX(MO_BS_TA,0,COLUMN())</f>
        <v/>
      </c>
      <c r="AG99" s="1013">
        <f>INDEX(MO_BS_TA,0,COLUMN())</f>
        <v/>
      </c>
      <c r="AH99" s="1013">
        <f>INDEX(MO_BS_TA,0,COLUMN())</f>
        <v/>
      </c>
      <c r="AI99" s="1013">
        <f>INDEX(MO_BS_TA,0,COLUMN())</f>
        <v/>
      </c>
      <c r="AJ99" s="183">
        <f>INDEX(MO_BS_TA,0,COLUMN())</f>
        <v/>
      </c>
      <c r="AK99" s="1013">
        <f>INDEX(MO_BS_TA,0,COLUMN())</f>
        <v/>
      </c>
      <c r="AL99" s="1013">
        <f>INDEX(MO_BS_TA,0,COLUMN())</f>
        <v/>
      </c>
      <c r="AM99" s="1013">
        <f>INDEX(MO_BS_TA,0,COLUMN())</f>
        <v/>
      </c>
      <c r="AN99" s="1013">
        <f>INDEX(MO_BS_TA,0,COLUMN())</f>
        <v/>
      </c>
      <c r="AO99" s="183">
        <f>INDEX(MO_BS_TA,0,COLUMN())</f>
        <v/>
      </c>
      <c r="AP99" s="1013">
        <f>INDEX(MO_BS_TA,0,COLUMN())</f>
        <v/>
      </c>
      <c r="AQ99" s="1013">
        <f>INDEX(MO_BS_TA,0,COLUMN())</f>
        <v/>
      </c>
      <c r="AR99" s="1013">
        <f>INDEX(MO_BS_TA,0,COLUMN())</f>
        <v/>
      </c>
      <c r="AS99" s="1013">
        <f>INDEX(MO_BS_TA,0,COLUMN())</f>
        <v/>
      </c>
      <c r="AT99" s="183">
        <f>INDEX(MO_BS_TA,0,COLUMN())</f>
        <v/>
      </c>
      <c r="AU99" s="1013">
        <f>INDEX(MO_BS_TA,0,COLUMN())</f>
        <v/>
      </c>
      <c r="AV99" s="1013">
        <f>INDEX(MO_BS_TA,0,COLUMN())</f>
        <v/>
      </c>
      <c r="AW99" s="1013">
        <f>INDEX(MO_BS_TA,0,COLUMN())</f>
        <v/>
      </c>
      <c r="AX99" s="1013">
        <f>INDEX(MO_BS_TA,0,COLUMN())</f>
        <v/>
      </c>
      <c r="AY99" s="183">
        <f>INDEX(MO_BS_TA,0,COLUMN())</f>
        <v/>
      </c>
      <c r="AZ99" s="1013">
        <f>INDEX(MO_BS_TA,0,COLUMN())</f>
        <v/>
      </c>
      <c r="BA99" s="1013">
        <f>INDEX(MO_BS_TA,0,COLUMN())</f>
        <v/>
      </c>
      <c r="BB99" s="1013">
        <f>INDEX(MO_BS_TA,0,COLUMN())</f>
        <v/>
      </c>
      <c r="BC99" s="1013">
        <f>INDEX(MO_BS_TA,0,COLUMN())</f>
        <v/>
      </c>
      <c r="BD99" s="183">
        <f>INDEX(MO_BS_TA,0,COLUMN())</f>
        <v/>
      </c>
      <c r="BE99" s="1013">
        <f>INDEX(MO_BS_TA,0,COLUMN())</f>
        <v/>
      </c>
      <c r="BF99" s="1013">
        <f>INDEX(MO_BS_TA,0,COLUMN())</f>
        <v/>
      </c>
      <c r="BG99" s="1013">
        <f>INDEX(MO_BS_TA,0,COLUMN())</f>
        <v/>
      </c>
      <c r="BH99" s="1013">
        <f>INDEX(MO_BS_TA,0,COLUMN())</f>
        <v/>
      </c>
      <c r="BI99" s="183">
        <f>INDEX(MO_BS_TA,0,COLUMN())</f>
        <v/>
      </c>
      <c r="BJ99" s="1013">
        <f>INDEX(MO_BS_TA,0,COLUMN())</f>
        <v/>
      </c>
      <c r="BK99" s="1013">
        <f>INDEX(MO_BS_TA,0,COLUMN())</f>
        <v/>
      </c>
      <c r="BL99" s="1013">
        <f>INDEX(MO_BS_TA,0,COLUMN())</f>
        <v/>
      </c>
      <c r="BM99" s="1013">
        <f>INDEX(MO_BS_TA,0,COLUMN())</f>
        <v/>
      </c>
      <c r="BN99" s="183">
        <f>INDEX(MO_BS_TA,0,COLUMN())</f>
        <v/>
      </c>
      <c r="BO99" s="1013">
        <f>INDEX(MO_BS_TA,0,COLUMN())</f>
        <v/>
      </c>
      <c r="BP99" s="1013">
        <f>INDEX(MO_BS_TA,0,COLUMN())</f>
        <v/>
      </c>
      <c r="BQ99" s="1013">
        <f>INDEX(MO_BS_TA,0,COLUMN())</f>
        <v/>
      </c>
      <c r="BR99" s="1013">
        <f>INDEX(MO_BS_TA,0,COLUMN())</f>
        <v/>
      </c>
      <c r="BS99" s="183">
        <f>INDEX(MO_BS_TA,0,COLUMN())</f>
        <v/>
      </c>
      <c r="BT99" s="1013">
        <f>INDEX(MO_BS_TA,0,COLUMN())</f>
        <v/>
      </c>
      <c r="BU99" s="1013">
        <f>INDEX(MO_BS_TA,0,COLUMN())</f>
        <v/>
      </c>
      <c r="BV99" s="1014">
        <f>INDEX(MO_BS_TA,0,COLUMN())</f>
        <v/>
      </c>
      <c r="BW99" s="1013">
        <f>INDEX(MO_BS_TA,0,COLUMN())</f>
        <v/>
      </c>
      <c r="BX99" s="183">
        <f>INDEX(MO_BS_TA,0,COLUMN())</f>
        <v/>
      </c>
      <c r="BY99" s="1013">
        <f>INDEX(MO_BS_TA,0,COLUMN())</f>
        <v/>
      </c>
      <c r="BZ99" s="1013">
        <f>INDEX(MO_BS_TA,0,COLUMN())</f>
        <v/>
      </c>
      <c r="CA99" s="1013">
        <f>INDEX(MO_BS_TA,0,COLUMN())</f>
        <v/>
      </c>
      <c r="CB99" s="1013">
        <f>INDEX(MO_BS_TA,0,COLUMN())</f>
        <v/>
      </c>
      <c r="CC99" s="183">
        <f>INDEX(MO_BS_TA,0,COLUMN())</f>
        <v/>
      </c>
      <c r="CD99" s="183">
        <f>INDEX(MO_BS_TA,0,COLUMN())</f>
        <v/>
      </c>
      <c r="CE99" s="183">
        <f>INDEX(MO_BS_TA,0,COLUMN())</f>
        <v/>
      </c>
      <c r="CF99" s="183">
        <f>INDEX(MO_BS_TA,0,COLUMN())</f>
        <v/>
      </c>
      <c r="CG99" s="1013" t="n"/>
    </row>
    <row r="100" hidden="1" outlineLevel="1">
      <c r="A100" s="197" t="inlineStr">
        <is>
          <t>Average Total Assets</t>
        </is>
      </c>
      <c r="B100" s="198" t="n"/>
      <c r="C100" s="183">
        <f>C99</f>
        <v/>
      </c>
      <c r="D100" s="183">
        <f>AVERAGE(D99,C99)</f>
        <v/>
      </c>
      <c r="E100" s="183">
        <f>AVERAGE(E99,D99)</f>
        <v/>
      </c>
      <c r="F100" s="183">
        <f>AVERAGE(F99,E99)</f>
        <v/>
      </c>
      <c r="G100" s="1013" t="n"/>
      <c r="H100" s="1013" t="n"/>
      <c r="I100" s="1013" t="n"/>
      <c r="J100" s="1013">
        <f>AVERAGE(J99,I99,H99,G99)</f>
        <v/>
      </c>
      <c r="K100" s="183">
        <f>AVERAGE(K99,F99)</f>
        <v/>
      </c>
      <c r="L100" s="1013">
        <f>AVERAGE(L99,J99,I99,H99)</f>
        <v/>
      </c>
      <c r="M100" s="1013">
        <f>AVERAGE(M99,L99,J99,I99)</f>
        <v/>
      </c>
      <c r="N100" s="1013">
        <f>AVERAGE(N99,M99,L99,J99)</f>
        <v/>
      </c>
      <c r="O100" s="1013">
        <f>AVERAGE(O99,N99,M99,L99)</f>
        <v/>
      </c>
      <c r="P100" s="183">
        <f>AVERAGE(P99,K99)</f>
        <v/>
      </c>
      <c r="Q100" s="1013">
        <f>AVERAGE(Q99,O99,N99,M99)</f>
        <v/>
      </c>
      <c r="R100" s="1013">
        <f>AVERAGE(R99,Q99,O99,N99)</f>
        <v/>
      </c>
      <c r="S100" s="1013">
        <f>AVERAGE(S99,R99,Q99,O99)</f>
        <v/>
      </c>
      <c r="T100" s="1013">
        <f>AVERAGE(T99,S99,R99,Q99)</f>
        <v/>
      </c>
      <c r="U100" s="183">
        <f>AVERAGE(U99,P99)</f>
        <v/>
      </c>
      <c r="V100" s="1013">
        <f>AVERAGE(V99,T99,S99,R99)</f>
        <v/>
      </c>
      <c r="W100" s="1013">
        <f>AVERAGE(W99,V99,T99,S99)</f>
        <v/>
      </c>
      <c r="X100" s="1013">
        <f>AVERAGE(X99,W99,V99,T99)</f>
        <v/>
      </c>
      <c r="Y100" s="1013">
        <f>AVERAGE(Y99,X99,W99,V99)</f>
        <v/>
      </c>
      <c r="Z100" s="183">
        <f>AVERAGE(Z99,U99)</f>
        <v/>
      </c>
      <c r="AA100" s="1013">
        <f>AVERAGE(AA99,Y99,X99,W99)</f>
        <v/>
      </c>
      <c r="AB100" s="1013">
        <f>AVERAGE(AB99,AA99,Y99,X99)</f>
        <v/>
      </c>
      <c r="AC100" s="1013">
        <f>AVERAGE(AC99,AB99,AA99,Y99)</f>
        <v/>
      </c>
      <c r="AD100" s="1013">
        <f>AVERAGE(AD99,AC99,AB99,AA99)</f>
        <v/>
      </c>
      <c r="AE100" s="183">
        <f>AVERAGE(AE99,Z99)</f>
        <v/>
      </c>
      <c r="AF100" s="1013">
        <f>AVERAGE(AF99,AD99,AC99,AB99)</f>
        <v/>
      </c>
      <c r="AG100" s="1013">
        <f>AVERAGE(AG99,AF99,AD99,AC99)</f>
        <v/>
      </c>
      <c r="AH100" s="1013">
        <f>AVERAGE(AH99,AG99,AF99,AD99)</f>
        <v/>
      </c>
      <c r="AI100" s="1013">
        <f>AVERAGE(AI99,AH99,AG99,AF99)</f>
        <v/>
      </c>
      <c r="AJ100" s="183">
        <f>AVERAGE(AJ99,AE99)</f>
        <v/>
      </c>
      <c r="AK100" s="1013">
        <f>AVERAGE(AK99,AI99,AH99,AG99)</f>
        <v/>
      </c>
      <c r="AL100" s="1013">
        <f>AVERAGE(AL99,AK99,AI99,AH99)</f>
        <v/>
      </c>
      <c r="AM100" s="1013">
        <f>AVERAGE(AM99,AL99,AK99,AI99)</f>
        <v/>
      </c>
      <c r="AN100" s="1013">
        <f>AVERAGE(AN99,AM99,AL99,AK99)</f>
        <v/>
      </c>
      <c r="AO100" s="183">
        <f>AVERAGE(AO99,AJ99)</f>
        <v/>
      </c>
      <c r="AP100" s="1013">
        <f>AVERAGE(AP99,AN99,AM99,AL99)</f>
        <v/>
      </c>
      <c r="AQ100" s="1013">
        <f>AVERAGE(AQ99,AP99,AN99,AM99)</f>
        <v/>
      </c>
      <c r="AR100" s="1013">
        <f>AVERAGE(AR99,AQ99,AP99,AN99)</f>
        <v/>
      </c>
      <c r="AS100" s="1013">
        <f>AVERAGE(AS99,AR99,AQ99,AP99)</f>
        <v/>
      </c>
      <c r="AT100" s="183">
        <f>AVERAGE(AT99,AO99)</f>
        <v/>
      </c>
      <c r="AU100" s="1013">
        <f>AVERAGE(AU99,AS99,AR99,AQ99)</f>
        <v/>
      </c>
      <c r="AV100" s="1013">
        <f>AVERAGE(AV99,AU99,AS99,AR99)</f>
        <v/>
      </c>
      <c r="AW100" s="1013">
        <f>AVERAGE(AW99,AV99,AU99,AS99)</f>
        <v/>
      </c>
      <c r="AX100" s="1013">
        <f>AVERAGE(AX99,AW99,AV99,AU99)</f>
        <v/>
      </c>
      <c r="AY100" s="183">
        <f>AVERAGE(AY99,AT99)</f>
        <v/>
      </c>
      <c r="AZ100" s="1013">
        <f>AVERAGE(AZ99,AX99,AW99,AV99)</f>
        <v/>
      </c>
      <c r="BA100" s="1013">
        <f>AVERAGE(BA99,AZ99,AX99,AW99)</f>
        <v/>
      </c>
      <c r="BB100" s="1013">
        <f>AVERAGE(BB99,BA99,AZ99,AX99)</f>
        <v/>
      </c>
      <c r="BC100" s="1013">
        <f>AVERAGE(BC99,BB99,BA99,AZ99)</f>
        <v/>
      </c>
      <c r="BD100" s="183">
        <f>AVERAGE(BD99,AY99)</f>
        <v/>
      </c>
      <c r="BE100" s="1013">
        <f>AVERAGE(BE99,BC99,BB99,BA99)</f>
        <v/>
      </c>
      <c r="BF100" s="1013">
        <f>AVERAGE(BF99,BE99,BC99,BB99)</f>
        <v/>
      </c>
      <c r="BG100" s="1013">
        <f>AVERAGE(BG99,BF99,BE99,BC99)</f>
        <v/>
      </c>
      <c r="BH100" s="1013">
        <f>AVERAGE(BH99,BG99,BF99,BE99)</f>
        <v/>
      </c>
      <c r="BI100" s="183">
        <f>AVERAGE(BI99,BD99)</f>
        <v/>
      </c>
      <c r="BJ100" s="1013">
        <f>AVERAGE(BJ99,BH99,BG99,BF99)</f>
        <v/>
      </c>
      <c r="BK100" s="1013">
        <f>AVERAGE(BK99,BJ99,BH99,BG99)</f>
        <v/>
      </c>
      <c r="BL100" s="1013">
        <f>AVERAGE(BL99,BK99,BJ99,BH99)</f>
        <v/>
      </c>
      <c r="BM100" s="1013">
        <f>AVERAGE(BM99,BL99,BK99,BJ99)</f>
        <v/>
      </c>
      <c r="BN100" s="183">
        <f>AVERAGE(BN99,BI99)</f>
        <v/>
      </c>
      <c r="BO100" s="1013">
        <f>AVERAGE(BO99,BM99,BL99,BK99)</f>
        <v/>
      </c>
      <c r="BP100" s="1013">
        <f>AVERAGE(BP99,BO99,BM99,BL99)</f>
        <v/>
      </c>
      <c r="BQ100" s="1013">
        <f>AVERAGE(BQ99,BP99,BO99,BM99)</f>
        <v/>
      </c>
      <c r="BR100" s="1013">
        <f>AVERAGE(BR99,BQ99,BP99,BO99)</f>
        <v/>
      </c>
      <c r="BS100" s="183">
        <f>AVERAGE(BS99,BN99)</f>
        <v/>
      </c>
      <c r="BT100" s="1013">
        <f>AVERAGE(BT99,BR99,BQ99,BP99)</f>
        <v/>
      </c>
      <c r="BU100" s="1013">
        <f>AVERAGE(BU99,BT99,BR99,BQ99)</f>
        <v/>
      </c>
      <c r="BV100" s="1014">
        <f>AVERAGE(BV99,BU99,BT99,BR99)</f>
        <v/>
      </c>
      <c r="BW100" s="1013">
        <f>AVERAGE(BW99,BV99,BU99,BT99)</f>
        <v/>
      </c>
      <c r="BX100" s="183">
        <f>AVERAGE(BX99,BS99)</f>
        <v/>
      </c>
      <c r="BY100" s="1013">
        <f>AVERAGE(BY99,BW99,BV99,BU99)</f>
        <v/>
      </c>
      <c r="BZ100" s="1013">
        <f>AVERAGE(BZ99,BY99,BW99,BV99)</f>
        <v/>
      </c>
      <c r="CA100" s="1013">
        <f>AVERAGE(CA99,BZ99,BY99,BW99)</f>
        <v/>
      </c>
      <c r="CB100" s="1013">
        <f>AVERAGE(CB99,CA99,BZ99,BY99)</f>
        <v/>
      </c>
      <c r="CC100" s="183">
        <f>AVERAGE(CC99,BX99)</f>
        <v/>
      </c>
      <c r="CD100" s="183">
        <f>AVERAGE(CD99,CC99)</f>
        <v/>
      </c>
      <c r="CE100" s="183">
        <f>AVERAGE(CE99,CD99)</f>
        <v/>
      </c>
      <c r="CF100" s="183">
        <f>AVERAGE(CF99,CE99)</f>
        <v/>
      </c>
      <c r="CG100" s="1013" t="n"/>
    </row>
    <row r="101" collapsed="1" customFormat="1" s="976">
      <c r="A101" s="206" t="inlineStr">
        <is>
          <t>ROA</t>
        </is>
      </c>
      <c r="B101" s="85" t="n"/>
      <c r="C101" s="1250">
        <f>IF(C100&lt;0,"NMF",IF(ABS(C98/C100)&gt;1,"NMF",C98/C100))</f>
        <v/>
      </c>
      <c r="D101" s="1250">
        <f>IF(D100&lt;0,"NMF",IF(ABS(D98/D100)&gt;1,"NMF",D98/D100))</f>
        <v/>
      </c>
      <c r="E101" s="1250">
        <f>IF(E100&lt;0,"NMF",IF(ABS(E98/E100)&gt;1,"NMF",E98/E100))</f>
        <v/>
      </c>
      <c r="F101" s="1250">
        <f>IF(F100&lt;0,"NMF",IF(ABS(F98/F100)&gt;1,"NMF",F98/F100))</f>
        <v/>
      </c>
      <c r="G101" s="136" t="n"/>
      <c r="H101" s="136" t="n"/>
      <c r="I101" s="136" t="n"/>
      <c r="J101" s="136" t="n"/>
      <c r="K101" s="1250">
        <f>IF(K100&lt;0,"NMF",IF(ABS(K98/K100)&gt;1,"NMF",K98/K100))</f>
        <v/>
      </c>
      <c r="L101" s="136">
        <f>IF(L100&lt;0,"NMF",IF(ABS(L98/L100)&gt;1,"NMF",L98/L100))</f>
        <v/>
      </c>
      <c r="M101" s="136">
        <f>IF(M100&lt;0,"NMF",IF(ABS(M98/M100)&gt;1,"NMF",M98/M100))</f>
        <v/>
      </c>
      <c r="N101" s="136">
        <f>IF(N100&lt;0,"NMF",IF(ABS(N98/N100)&gt;1,"NMF",N98/N100))</f>
        <v/>
      </c>
      <c r="O101" s="136">
        <f>IF(O100&lt;0,"NMF",IF(ABS(O98/O100)&gt;1,"NMF",O98/O100))</f>
        <v/>
      </c>
      <c r="P101" s="1250">
        <f>IF(P100&lt;0,"NMF",IF(ABS(P98/P100)&gt;1,"NMF",P98/P100))</f>
        <v/>
      </c>
      <c r="Q101" s="136">
        <f>IF(Q100&lt;0,"NMF",IF(ABS(Q98/Q100)&gt;1,"NMF",Q98/Q100))</f>
        <v/>
      </c>
      <c r="R101" s="136">
        <f>IF(R100&lt;0,"NMF",IF(ABS(R98/R100)&gt;1,"NMF",R98/R100))</f>
        <v/>
      </c>
      <c r="S101" s="136">
        <f>IF(S100&lt;0,"NMF",IF(ABS(S98/S100)&gt;1,"NMF",S98/S100))</f>
        <v/>
      </c>
      <c r="T101" s="136">
        <f>IF(T100&lt;0,"NMF",IF(ABS(T98/T100)&gt;1,"NMF",T98/T100))</f>
        <v/>
      </c>
      <c r="U101" s="1250">
        <f>IF(U100&lt;0,"NMF",IF(ABS(U98/U100)&gt;1,"NMF",U98/U100))</f>
        <v/>
      </c>
      <c r="V101" s="136">
        <f>IF(V100&lt;0,"NMF",IF(ABS(V98/V100)&gt;1,"NMF",V98/V100))</f>
        <v/>
      </c>
      <c r="W101" s="136">
        <f>IF(W100&lt;0,"NMF",IF(ABS(W98/W100)&gt;1,"NMF",W98/W100))</f>
        <v/>
      </c>
      <c r="X101" s="136">
        <f>IF(X100&lt;0,"NMF",IF(ABS(X98/X100)&gt;1,"NMF",X98/X100))</f>
        <v/>
      </c>
      <c r="Y101" s="136">
        <f>IF(Y100&lt;0,"NMF",IF(ABS(Y98/Y100)&gt;1,"NMF",Y98/Y100))</f>
        <v/>
      </c>
      <c r="Z101" s="1250">
        <f>IF(Z100&lt;0,"NMF",IF(ABS(Z98/Z100)&gt;1,"NMF",Z98/Z100))</f>
        <v/>
      </c>
      <c r="AA101" s="136">
        <f>IF(AA100&lt;0,"NMF",IF(ABS(AA98/AA100)&gt;1,"NMF",AA98/AA100))</f>
        <v/>
      </c>
      <c r="AB101" s="136">
        <f>IF(AB100&lt;0,"NMF",IF(ABS(AB98/AB100)&gt;1,"NMF",AB98/AB100))</f>
        <v/>
      </c>
      <c r="AC101" s="136">
        <f>IF(AC100&lt;0,"NMF",IF(ABS(AC98/AC100)&gt;1,"NMF",AC98/AC100))</f>
        <v/>
      </c>
      <c r="AD101" s="136">
        <f>IF(AD100&lt;0,"NMF",IF(ABS(AD98/AD100)&gt;1,"NMF",AD98/AD100))</f>
        <v/>
      </c>
      <c r="AE101" s="1250">
        <f>IF(AE100&lt;0,"NMF",IF(ABS(AE98/AE100)&gt;1,"NMF",AE98/AE100))</f>
        <v/>
      </c>
      <c r="AF101" s="136">
        <f>IF(AF100&lt;0,"NMF",IF(ABS(AF98/AF100)&gt;1,"NMF",AF98/AF100))</f>
        <v/>
      </c>
      <c r="AG101" s="136">
        <f>IF(AG100&lt;0,"NMF",IF(ABS(AG98/AG100)&gt;1,"NMF",AG98/AG100))</f>
        <v/>
      </c>
      <c r="AH101" s="136">
        <f>IF(AH100&lt;0,"NMF",IF(ABS(AH98/AH100)&gt;1,"NMF",AH98/AH100))</f>
        <v/>
      </c>
      <c r="AI101" s="136">
        <f>IF(AI100&lt;0,"NMF",IF(ABS(AI98/AI100)&gt;1,"NMF",AI98/AI100))</f>
        <v/>
      </c>
      <c r="AJ101" s="1250">
        <f>IF(AJ100&lt;0,"NMF",IF(ABS(AJ98/AJ100)&gt;1,"NMF",AJ98/AJ100))</f>
        <v/>
      </c>
      <c r="AK101" s="136">
        <f>IF(AK100&lt;0,"NMF",IF(ABS(AK98/AK100)&gt;1,"NMF",AK98/AK100))</f>
        <v/>
      </c>
      <c r="AL101" s="136">
        <f>IF(AL100&lt;0,"NMF",IF(ABS(AL98/AL100)&gt;1,"NMF",AL98/AL100))</f>
        <v/>
      </c>
      <c r="AM101" s="136">
        <f>IF(AM100&lt;0,"NMF",IF(ABS(AM98/AM100)&gt;1,"NMF",AM98/AM100))</f>
        <v/>
      </c>
      <c r="AN101" s="136">
        <f>IF(AN100&lt;0,"NMF",IF(ABS(AN98/AN100)&gt;1,"NMF",AN98/AN100))</f>
        <v/>
      </c>
      <c r="AO101" s="1250">
        <f>IF(AO100&lt;0,"NMF",IF(ABS(AO98/AO100)&gt;1,"NMF",AO98/AO100))</f>
        <v/>
      </c>
      <c r="AP101" s="136">
        <f>IF(AP100&lt;0,"NMF",IF(ABS(AP98/AP100)&gt;1,"NMF",AP98/AP100))</f>
        <v/>
      </c>
      <c r="AQ101" s="136">
        <f>IF(AQ100&lt;0,"NMF",IF(ABS(AQ98/AQ100)&gt;1,"NMF",AQ98/AQ100))</f>
        <v/>
      </c>
      <c r="AR101" s="136">
        <f>IF(AR100&lt;0,"NMF",IF(ABS(AR98/AR100)&gt;1,"NMF",AR98/AR100))</f>
        <v/>
      </c>
      <c r="AS101" s="136">
        <f>IF(AS100&lt;0,"NMF",IF(ABS(AS98/AS100)&gt;1,"NMF",AS98/AS100))</f>
        <v/>
      </c>
      <c r="AT101" s="1250">
        <f>IF(AT100&lt;0,"NMF",IF(ABS(AT98/AT100)&gt;1,"NMF",AT98/AT100))</f>
        <v/>
      </c>
      <c r="AU101" s="136">
        <f>IF(AU100&lt;0,"NMF",IF(ABS(AU98/AU100)&gt;1,"NMF",AU98/AU100))</f>
        <v/>
      </c>
      <c r="AV101" s="136">
        <f>IF(AV100&lt;0,"NMF",IF(ABS(AV98/AV100)&gt;1,"NMF",AV98/AV100))</f>
        <v/>
      </c>
      <c r="AW101" s="136">
        <f>IF(AW100&lt;0,"NMF",IF(ABS(AW98/AW100)&gt;1,"NMF",AW98/AW100))</f>
        <v/>
      </c>
      <c r="AX101" s="136">
        <f>IF(AX100&lt;0,"NMF",IF(ABS(AX98/AX100)&gt;1,"NMF",AX98/AX100))</f>
        <v/>
      </c>
      <c r="AY101" s="1250">
        <f>IF(AY100&lt;0,"NMF",IF(ABS(AY98/AY100)&gt;1,"NMF",AY98/AY100))</f>
        <v/>
      </c>
      <c r="AZ101" s="136">
        <f>IF(AZ100&lt;0,"NMF",IF(ABS(AZ98/AZ100)&gt;1,"NMF",AZ98/AZ100))</f>
        <v/>
      </c>
      <c r="BA101" s="136">
        <f>IF(BA100&lt;0,"NMF",IF(ABS(BA98/BA100)&gt;1,"NMF",BA98/BA100))</f>
        <v/>
      </c>
      <c r="BB101" s="136">
        <f>IF(BB100&lt;0,"NMF",IF(ABS(BB98/BB100)&gt;1,"NMF",BB98/BB100))</f>
        <v/>
      </c>
      <c r="BC101" s="136">
        <f>IF(BC100&lt;0,"NMF",IF(ABS(BC98/BC100)&gt;1,"NMF",BC98/BC100))</f>
        <v/>
      </c>
      <c r="BD101" s="1250">
        <f>IF(BD100&lt;0,"NMF",IF(ABS(BD98/BD100)&gt;1,"NMF",BD98/BD100))</f>
        <v/>
      </c>
      <c r="BE101" s="136">
        <f>IF(BE100&lt;0,"NMF",IF(ABS(BE98/BE100)&gt;1,"NMF",BE98/BE100))</f>
        <v/>
      </c>
      <c r="BF101" s="136">
        <f>IF(BF100&lt;0,"NMF",IF(ABS(BF98/BF100)&gt;1,"NMF",BF98/BF100))</f>
        <v/>
      </c>
      <c r="BG101" s="136">
        <f>IF(BG100&lt;0,"NMF",IF(ABS(BG98/BG100)&gt;1,"NMF",BG98/BG100))</f>
        <v/>
      </c>
      <c r="BH101" s="136">
        <f>IF(BH100&lt;0,"NMF",IF(ABS(BH98/BH100)&gt;1,"NMF",BH98/BH100))</f>
        <v/>
      </c>
      <c r="BI101" s="1250">
        <f>IF(BI100&lt;0,"NMF",IF(ABS(BI98/BI100)&gt;1,"NMF",BI98/BI100))</f>
        <v/>
      </c>
      <c r="BJ101" s="136">
        <f>IF(BJ100&lt;0,"NMF",IF(ABS(BJ98/BJ100)&gt;1,"NMF",BJ98/BJ100))</f>
        <v/>
      </c>
      <c r="BK101" s="136">
        <f>IF(BK100&lt;0,"NMF",IF(ABS(BK98/BK100)&gt;1,"NMF",BK98/BK100))</f>
        <v/>
      </c>
      <c r="BL101" s="136">
        <f>IF(BL100&lt;0,"NMF",IF(ABS(BL98/BL100)&gt;1,"NMF",BL98/BL100))</f>
        <v/>
      </c>
      <c r="BM101" s="136">
        <f>IF(BM100&lt;0,"NMF",IF(ABS(BM98/BM100)&gt;1,"NMF",BM98/BM100))</f>
        <v/>
      </c>
      <c r="BN101" s="1250">
        <f>IF(BN100&lt;0,"NMF",IF(ABS(BN98/BN100)&gt;1,"NMF",BN98/BN100))</f>
        <v/>
      </c>
      <c r="BO101" s="136">
        <f>IF(BO100&lt;0,"NMF",IF(ABS(BO98/BO100)&gt;1,"NMF",BO98/BO100))</f>
        <v/>
      </c>
      <c r="BP101" s="136">
        <f>IF(BP100&lt;0,"NMF",IF(ABS(BP98/BP100)&gt;1,"NMF",BP98/BP100))</f>
        <v/>
      </c>
      <c r="BQ101" s="136">
        <f>IF(BQ100&lt;0,"NMF",IF(ABS(BQ98/BQ100)&gt;1,"NMF",BQ98/BQ100))</f>
        <v/>
      </c>
      <c r="BR101" s="136">
        <f>IF(BR100&lt;0,"NMF",IF(ABS(BR98/BR100)&gt;1,"NMF",BR98/BR100))</f>
        <v/>
      </c>
      <c r="BS101" s="1250">
        <f>IF(BS100&lt;0,"NMF",IF(ABS(BS98/BS100)&gt;1,"NMF",BS98/BS100))</f>
        <v/>
      </c>
      <c r="BT101" s="136">
        <f>IF(BT100&lt;0,"NMF",IF(ABS(BT98/BT100)&gt;1,"NMF",BT98/BT100))</f>
        <v/>
      </c>
      <c r="BU101" s="136">
        <f>IF(BU100&lt;0,"NMF",IF(ABS(BU98/BU100)&gt;1,"NMF",BU98/BU100))</f>
        <v/>
      </c>
      <c r="BV101" s="951">
        <f>IF(BV100&lt;0,"NMF",IF(ABS(BV98/BV100)&gt;1,"NMF",BV98/BV100))</f>
        <v/>
      </c>
      <c r="BW101" s="136">
        <f>IF(BW100&lt;0,"NMF",IF(ABS(BW98/BW100)&gt;1,"NMF",BW98/BW100))</f>
        <v/>
      </c>
      <c r="BX101" s="1250">
        <f>IF(BX100&lt;0,"NMF",IF(ABS(BX98/BX100)&gt;1,"NMF",BX98/BX100))</f>
        <v/>
      </c>
      <c r="BY101" s="136">
        <f>IF(BY100&lt;0,"NMF",IF(ABS(BY98/BY100)&gt;1,"NMF",BY98/BY100))</f>
        <v/>
      </c>
      <c r="BZ101" s="136">
        <f>IF(BZ100&lt;0,"NMF",IF(ABS(BZ98/BZ100)&gt;1,"NMF",BZ98/BZ100))</f>
        <v/>
      </c>
      <c r="CA101" s="136">
        <f>IF(CA100&lt;0,"NMF",IF(ABS(CA98/CA100)&gt;1,"NMF",CA98/CA100))</f>
        <v/>
      </c>
      <c r="CB101" s="136">
        <f>IF(CB100&lt;0,"NMF",IF(ABS(CB98/CB100)&gt;1,"NMF",CB98/CB100))</f>
        <v/>
      </c>
      <c r="CC101" s="1250">
        <f>IF(CC100&lt;0,"NMF",IF(ABS(CC98/CC100)&gt;1,"NMF",CC98/CC100))</f>
        <v/>
      </c>
      <c r="CD101" s="1250">
        <f>IF(CD100&lt;0,"NMF",IF(ABS(CD98/CD100)&gt;1,"NMF",CD98/CD100))</f>
        <v/>
      </c>
      <c r="CE101" s="1250">
        <f>IF(CE100&lt;0,"NMF",IF(ABS(CE98/CE100)&gt;1,"NMF",CE98/CE100))</f>
        <v/>
      </c>
      <c r="CF101" s="1250">
        <f>IF(CF100&lt;0,"NMF",IF(ABS(CF98/CF100)&gt;1,"NMF",CF98/CF100))</f>
        <v/>
      </c>
      <c r="CG101" s="132" t="n"/>
    </row>
    <row r="102" hidden="1" outlineLevel="1">
      <c r="A102" s="197" t="inlineStr">
        <is>
          <t>Total Debt</t>
        </is>
      </c>
      <c r="B102" s="198" t="n"/>
      <c r="C102" s="183">
        <f>INDEX(MO_BSS_Debt_Net,0,COLUMN())+INDEX(MO_BSS_Cash,0,COLUMN())</f>
        <v/>
      </c>
      <c r="D102" s="183">
        <f>INDEX(MO_BSS_Debt_Net,0,COLUMN())+INDEX(MO_BSS_Cash,0,COLUMN())</f>
        <v/>
      </c>
      <c r="E102" s="183">
        <f>INDEX(MO_BSS_Debt_Net,0,COLUMN())+INDEX(MO_BSS_Cash,0,COLUMN())</f>
        <v/>
      </c>
      <c r="F102" s="183">
        <f>INDEX(MO_BSS_Debt_Net,0,COLUMN())+INDEX(MO_BSS_Cash,0,COLUMN())</f>
        <v/>
      </c>
      <c r="G102" s="1013">
        <f>INDEX(MO_BSS_Debt_Net,0,COLUMN())+INDEX(MO_BSS_Cash,0,COLUMN())</f>
        <v/>
      </c>
      <c r="H102" s="1013">
        <f>INDEX(MO_BSS_Debt_Net,0,COLUMN())+INDEX(MO_BSS_Cash,0,COLUMN())</f>
        <v/>
      </c>
      <c r="I102" s="1013">
        <f>INDEX(MO_BSS_Debt_Net,0,COLUMN())+INDEX(MO_BSS_Cash,0,COLUMN())</f>
        <v/>
      </c>
      <c r="J102" s="1013">
        <f>INDEX(MO_BSS_Debt_Net,0,COLUMN())+INDEX(MO_BSS_Cash,0,COLUMN())</f>
        <v/>
      </c>
      <c r="K102" s="183">
        <f>INDEX(MO_BSS_Debt_Net,0,COLUMN())+INDEX(MO_BSS_Cash,0,COLUMN())</f>
        <v/>
      </c>
      <c r="L102" s="1013">
        <f>INDEX(MO_BSS_Debt_Net,0,COLUMN())+INDEX(MO_BSS_Cash,0,COLUMN())</f>
        <v/>
      </c>
      <c r="M102" s="1013">
        <f>INDEX(MO_BSS_Debt_Net,0,COLUMN())+INDEX(MO_BSS_Cash,0,COLUMN())</f>
        <v/>
      </c>
      <c r="N102" s="1013">
        <f>INDEX(MO_BSS_Debt_Net,0,COLUMN())+INDEX(MO_BSS_Cash,0,COLUMN())</f>
        <v/>
      </c>
      <c r="O102" s="1013">
        <f>INDEX(MO_BSS_Debt_Net,0,COLUMN())+INDEX(MO_BSS_Cash,0,COLUMN())</f>
        <v/>
      </c>
      <c r="P102" s="183">
        <f>INDEX(MO_BSS_Debt_Net,0,COLUMN())+INDEX(MO_BSS_Cash,0,COLUMN())</f>
        <v/>
      </c>
      <c r="Q102" s="1013">
        <f>INDEX(MO_BSS_Debt_Net,0,COLUMN())+INDEX(MO_BSS_Cash,0,COLUMN())</f>
        <v/>
      </c>
      <c r="R102" s="1013">
        <f>INDEX(MO_BSS_Debt_Net,0,COLUMN())+INDEX(MO_BSS_Cash,0,COLUMN())</f>
        <v/>
      </c>
      <c r="S102" s="1013">
        <f>INDEX(MO_BSS_Debt_Net,0,COLUMN())+INDEX(MO_BSS_Cash,0,COLUMN())</f>
        <v/>
      </c>
      <c r="T102" s="1013">
        <f>INDEX(MO_BSS_Debt_Net,0,COLUMN())+INDEX(MO_BSS_Cash,0,COLUMN())</f>
        <v/>
      </c>
      <c r="U102" s="183">
        <f>INDEX(MO_BSS_Debt_Net,0,COLUMN())+INDEX(MO_BSS_Cash,0,COLUMN())</f>
        <v/>
      </c>
      <c r="V102" s="1013">
        <f>INDEX(MO_BSS_Debt_Net,0,COLUMN())+INDEX(MO_BSS_Cash,0,COLUMN())</f>
        <v/>
      </c>
      <c r="W102" s="1013">
        <f>INDEX(MO_BSS_Debt_Net,0,COLUMN())+INDEX(MO_BSS_Cash,0,COLUMN())</f>
        <v/>
      </c>
      <c r="X102" s="1013">
        <f>INDEX(MO_BSS_Debt_Net,0,COLUMN())+INDEX(MO_BSS_Cash,0,COLUMN())</f>
        <v/>
      </c>
      <c r="Y102" s="1013">
        <f>INDEX(MO_BSS_Debt_Net,0,COLUMN())+INDEX(MO_BSS_Cash,0,COLUMN())</f>
        <v/>
      </c>
      <c r="Z102" s="183">
        <f>INDEX(MO_BSS_Debt_Net,0,COLUMN())+INDEX(MO_BSS_Cash,0,COLUMN())</f>
        <v/>
      </c>
      <c r="AA102" s="1013">
        <f>INDEX(MO_BSS_Debt_Net,0,COLUMN())+INDEX(MO_BSS_Cash,0,COLUMN())</f>
        <v/>
      </c>
      <c r="AB102" s="1013">
        <f>INDEX(MO_BSS_Debt_Net,0,COLUMN())+INDEX(MO_BSS_Cash,0,COLUMN())</f>
        <v/>
      </c>
      <c r="AC102" s="1013">
        <f>INDEX(MO_BSS_Debt_Net,0,COLUMN())+INDEX(MO_BSS_Cash,0,COLUMN())</f>
        <v/>
      </c>
      <c r="AD102" s="1013">
        <f>INDEX(MO_BSS_Debt_Net,0,COLUMN())+INDEX(MO_BSS_Cash,0,COLUMN())</f>
        <v/>
      </c>
      <c r="AE102" s="183">
        <f>INDEX(MO_BSS_Debt_Net,0,COLUMN())+INDEX(MO_BSS_Cash,0,COLUMN())</f>
        <v/>
      </c>
      <c r="AF102" s="1013">
        <f>INDEX(MO_BSS_Debt_Net,0,COLUMN())+INDEX(MO_BSS_Cash,0,COLUMN())</f>
        <v/>
      </c>
      <c r="AG102" s="1013">
        <f>INDEX(MO_BSS_Debt_Net,0,COLUMN())+INDEX(MO_BSS_Cash,0,COLUMN())</f>
        <v/>
      </c>
      <c r="AH102" s="1013">
        <f>INDEX(MO_BSS_Debt_Net,0,COLUMN())+INDEX(MO_BSS_Cash,0,COLUMN())</f>
        <v/>
      </c>
      <c r="AI102" s="1013">
        <f>INDEX(MO_BSS_Debt_Net,0,COLUMN())+INDEX(MO_BSS_Cash,0,COLUMN())</f>
        <v/>
      </c>
      <c r="AJ102" s="183">
        <f>INDEX(MO_BSS_Debt_Net,0,COLUMN())+INDEX(MO_BSS_Cash,0,COLUMN())</f>
        <v/>
      </c>
      <c r="AK102" s="1013">
        <f>INDEX(MO_BSS_Debt_Net,0,COLUMN())+INDEX(MO_BSS_Cash,0,COLUMN())</f>
        <v/>
      </c>
      <c r="AL102" s="1013">
        <f>INDEX(MO_BSS_Debt_Net,0,COLUMN())+INDEX(MO_BSS_Cash,0,COLUMN())</f>
        <v/>
      </c>
      <c r="AM102" s="1013">
        <f>INDEX(MO_BSS_Debt_Net,0,COLUMN())+INDEX(MO_BSS_Cash,0,COLUMN())</f>
        <v/>
      </c>
      <c r="AN102" s="1013">
        <f>INDEX(MO_BSS_Debt_Net,0,COLUMN())+INDEX(MO_BSS_Cash,0,COLUMN())</f>
        <v/>
      </c>
      <c r="AO102" s="183">
        <f>INDEX(MO_BSS_Debt_Net,0,COLUMN())+INDEX(MO_BSS_Cash,0,COLUMN())</f>
        <v/>
      </c>
      <c r="AP102" s="1013">
        <f>INDEX(MO_BSS_Debt_Net,0,COLUMN())+INDEX(MO_BSS_Cash,0,COLUMN())</f>
        <v/>
      </c>
      <c r="AQ102" s="1013">
        <f>INDEX(MO_BSS_Debt_Net,0,COLUMN())+INDEX(MO_BSS_Cash,0,COLUMN())</f>
        <v/>
      </c>
      <c r="AR102" s="1013">
        <f>INDEX(MO_BSS_Debt_Net,0,COLUMN())+INDEX(MO_BSS_Cash,0,COLUMN())</f>
        <v/>
      </c>
      <c r="AS102" s="1013">
        <f>INDEX(MO_BSS_Debt_Net,0,COLUMN())+INDEX(MO_BSS_Cash,0,COLUMN())</f>
        <v/>
      </c>
      <c r="AT102" s="183">
        <f>INDEX(MO_BSS_Debt_Net,0,COLUMN())+INDEX(MO_BSS_Cash,0,COLUMN())</f>
        <v/>
      </c>
      <c r="AU102" s="1013">
        <f>INDEX(MO_BSS_Debt_Net,0,COLUMN())+INDEX(MO_BSS_Cash,0,COLUMN())</f>
        <v/>
      </c>
      <c r="AV102" s="1013">
        <f>INDEX(MO_BSS_Debt_Net,0,COLUMN())+INDEX(MO_BSS_Cash,0,COLUMN())</f>
        <v/>
      </c>
      <c r="AW102" s="1013">
        <f>INDEX(MO_BSS_Debt_Net,0,COLUMN())+INDEX(MO_BSS_Cash,0,COLUMN())</f>
        <v/>
      </c>
      <c r="AX102" s="1013">
        <f>INDEX(MO_BSS_Debt_Net,0,COLUMN())+INDEX(MO_BSS_Cash,0,COLUMN())</f>
        <v/>
      </c>
      <c r="AY102" s="183">
        <f>INDEX(MO_BSS_Debt_Net,0,COLUMN())+INDEX(MO_BSS_Cash,0,COLUMN())</f>
        <v/>
      </c>
      <c r="AZ102" s="1013">
        <f>INDEX(MO_BSS_Debt_Net,0,COLUMN())+INDEX(MO_BSS_Cash,0,COLUMN())</f>
        <v/>
      </c>
      <c r="BA102" s="1013">
        <f>INDEX(MO_BSS_Debt_Net,0,COLUMN())+INDEX(MO_BSS_Cash,0,COLUMN())</f>
        <v/>
      </c>
      <c r="BB102" s="1013">
        <f>INDEX(MO_BSS_Debt_Net,0,COLUMN())+INDEX(MO_BSS_Cash,0,COLUMN())</f>
        <v/>
      </c>
      <c r="BC102" s="1013">
        <f>INDEX(MO_BSS_Debt_Net,0,COLUMN())+INDEX(MO_BSS_Cash,0,COLUMN())</f>
        <v/>
      </c>
      <c r="BD102" s="183">
        <f>INDEX(MO_BSS_Debt_Net,0,COLUMN())+INDEX(MO_BSS_Cash,0,COLUMN())</f>
        <v/>
      </c>
      <c r="BE102" s="1013">
        <f>INDEX(MO_BSS_Debt_Net,0,COLUMN())+INDEX(MO_BSS_Cash,0,COLUMN())</f>
        <v/>
      </c>
      <c r="BF102" s="1013">
        <f>INDEX(MO_BSS_Debt_Net,0,COLUMN())+INDEX(MO_BSS_Cash,0,COLUMN())</f>
        <v/>
      </c>
      <c r="BG102" s="1013">
        <f>INDEX(MO_BSS_Debt_Net,0,COLUMN())+INDEX(MO_BSS_Cash,0,COLUMN())</f>
        <v/>
      </c>
      <c r="BH102" s="1013">
        <f>INDEX(MO_BSS_Debt_Net,0,COLUMN())+INDEX(MO_BSS_Cash,0,COLUMN())</f>
        <v/>
      </c>
      <c r="BI102" s="183">
        <f>INDEX(MO_BSS_Debt_Net,0,COLUMN())+INDEX(MO_BSS_Cash,0,COLUMN())</f>
        <v/>
      </c>
      <c r="BJ102" s="1013">
        <f>INDEX(MO_BSS_Debt_Net,0,COLUMN())+INDEX(MO_BSS_Cash,0,COLUMN())</f>
        <v/>
      </c>
      <c r="BK102" s="1013">
        <f>INDEX(MO_BSS_Debt_Net,0,COLUMN())+INDEX(MO_BSS_Cash,0,COLUMN())</f>
        <v/>
      </c>
      <c r="BL102" s="1013">
        <f>INDEX(MO_BSS_Debt_Net,0,COLUMN())+INDEX(MO_BSS_Cash,0,COLUMN())</f>
        <v/>
      </c>
      <c r="BM102" s="1013">
        <f>INDEX(MO_BSS_Debt_Net,0,COLUMN())+INDEX(MO_BSS_Cash,0,COLUMN())</f>
        <v/>
      </c>
      <c r="BN102" s="183">
        <f>INDEX(MO_BSS_Debt_Net,0,COLUMN())+INDEX(MO_BSS_Cash,0,COLUMN())</f>
        <v/>
      </c>
      <c r="BO102" s="1013">
        <f>INDEX(MO_BSS_Debt_Net,0,COLUMN())+INDEX(MO_BSS_Cash,0,COLUMN())</f>
        <v/>
      </c>
      <c r="BP102" s="1013">
        <f>INDEX(MO_BSS_Debt_Net,0,COLUMN())+INDEX(MO_BSS_Cash,0,COLUMN())</f>
        <v/>
      </c>
      <c r="BQ102" s="1013">
        <f>INDEX(MO_BSS_Debt_Net,0,COLUMN())+INDEX(MO_BSS_Cash,0,COLUMN())</f>
        <v/>
      </c>
      <c r="BR102" s="1013">
        <f>INDEX(MO_BSS_Debt_Net,0,COLUMN())+INDEX(MO_BSS_Cash,0,COLUMN())</f>
        <v/>
      </c>
      <c r="BS102" s="183">
        <f>INDEX(MO_BSS_Debt_Net,0,COLUMN())+INDEX(MO_BSS_Cash,0,COLUMN())</f>
        <v/>
      </c>
      <c r="BT102" s="1013">
        <f>INDEX(MO_BSS_Debt_Net,0,COLUMN())+INDEX(MO_BSS_Cash,0,COLUMN())</f>
        <v/>
      </c>
      <c r="BU102" s="1013">
        <f>INDEX(MO_BSS_Debt_Net,0,COLUMN())+INDEX(MO_BSS_Cash,0,COLUMN())</f>
        <v/>
      </c>
      <c r="BV102" s="1014">
        <f>INDEX(MO_BSS_Debt_Net,0,COLUMN())+INDEX(MO_BSS_Cash,0,COLUMN())</f>
        <v/>
      </c>
      <c r="BW102" s="1013">
        <f>INDEX(MO_BSS_Debt_Net,0,COLUMN())+INDEX(MO_BSS_Cash,0,COLUMN())</f>
        <v/>
      </c>
      <c r="BX102" s="183">
        <f>INDEX(MO_BSS_Debt_Net,0,COLUMN())+INDEX(MO_BSS_Cash,0,COLUMN())</f>
        <v/>
      </c>
      <c r="BY102" s="1013">
        <f>INDEX(MO_BSS_Debt_Net,0,COLUMN())+INDEX(MO_BSS_Cash,0,COLUMN())</f>
        <v/>
      </c>
      <c r="BZ102" s="1013">
        <f>INDEX(MO_BSS_Debt_Net,0,COLUMN())+INDEX(MO_BSS_Cash,0,COLUMN())</f>
        <v/>
      </c>
      <c r="CA102" s="1013">
        <f>INDEX(MO_BSS_Debt_Net,0,COLUMN())+INDEX(MO_BSS_Cash,0,COLUMN())</f>
        <v/>
      </c>
      <c r="CB102" s="1013">
        <f>INDEX(MO_BSS_Debt_Net,0,COLUMN())+INDEX(MO_BSS_Cash,0,COLUMN())</f>
        <v/>
      </c>
      <c r="CC102" s="183">
        <f>INDEX(MO_BSS_Debt_Net,0,COLUMN())+INDEX(MO_BSS_Cash,0,COLUMN())</f>
        <v/>
      </c>
      <c r="CD102" s="183">
        <f>INDEX(MO_BSS_Debt_Net,0,COLUMN())+INDEX(MO_BSS_Cash,0,COLUMN())</f>
        <v/>
      </c>
      <c r="CE102" s="183">
        <f>INDEX(MO_BSS_Debt_Net,0,COLUMN())+INDEX(MO_BSS_Cash,0,COLUMN())</f>
        <v/>
      </c>
      <c r="CF102" s="183">
        <f>INDEX(MO_BSS_Debt_Net,0,COLUMN())+INDEX(MO_BSS_Cash,0,COLUMN())</f>
        <v/>
      </c>
      <c r="CG102" s="1013" t="n"/>
    </row>
    <row r="103" hidden="1" outlineLevel="1">
      <c r="A103" s="197" t="inlineStr">
        <is>
          <t>Average Book Value of Debt</t>
        </is>
      </c>
      <c r="B103" s="198" t="n"/>
      <c r="C103" s="183">
        <f>C102</f>
        <v/>
      </c>
      <c r="D103" s="183">
        <f>AVERAGE(D102,C102)</f>
        <v/>
      </c>
      <c r="E103" s="183">
        <f>AVERAGE(E102,D102)</f>
        <v/>
      </c>
      <c r="F103" s="183">
        <f>AVERAGE(F102,E102)</f>
        <v/>
      </c>
      <c r="G103" s="1013" t="n"/>
      <c r="H103" s="1013" t="n"/>
      <c r="I103" s="1013" t="n"/>
      <c r="J103" s="1013">
        <f>AVERAGE(J102,I102,H102,G102)</f>
        <v/>
      </c>
      <c r="K103" s="183">
        <f>AVERAGE(K102,F102)</f>
        <v/>
      </c>
      <c r="L103" s="1013">
        <f>AVERAGE(L102,J102,I102,H102)</f>
        <v/>
      </c>
      <c r="M103" s="1013">
        <f>AVERAGE(M102,L102,J102,I102)</f>
        <v/>
      </c>
      <c r="N103" s="1013">
        <f>AVERAGE(N102,M102,L102,J102)</f>
        <v/>
      </c>
      <c r="O103" s="1013">
        <f>AVERAGE(O102,N102,M102,L102)</f>
        <v/>
      </c>
      <c r="P103" s="183">
        <f>AVERAGE(P102,K102)</f>
        <v/>
      </c>
      <c r="Q103" s="1013">
        <f>AVERAGE(Q102,O102,N102,M102)</f>
        <v/>
      </c>
      <c r="R103" s="1013">
        <f>AVERAGE(R102,Q102,O102,N102)</f>
        <v/>
      </c>
      <c r="S103" s="1013">
        <f>AVERAGE(S102,R102,Q102,O102)</f>
        <v/>
      </c>
      <c r="T103" s="1013">
        <f>AVERAGE(T102,S102,R102,Q102)</f>
        <v/>
      </c>
      <c r="U103" s="183">
        <f>AVERAGE(U102,P102)</f>
        <v/>
      </c>
      <c r="V103" s="1013">
        <f>AVERAGE(V102,T102,S102,R102)</f>
        <v/>
      </c>
      <c r="W103" s="1013">
        <f>AVERAGE(W102,V102,T102,S102)</f>
        <v/>
      </c>
      <c r="X103" s="1013">
        <f>AVERAGE(X102,W102,V102,T102)</f>
        <v/>
      </c>
      <c r="Y103" s="1013">
        <f>AVERAGE(Y102,X102,W102,V102)</f>
        <v/>
      </c>
      <c r="Z103" s="183">
        <f>AVERAGE(Z102,U102)</f>
        <v/>
      </c>
      <c r="AA103" s="1013">
        <f>AVERAGE(AA102,Y102,X102,W102)</f>
        <v/>
      </c>
      <c r="AB103" s="1013">
        <f>AVERAGE(AB102,AA102,Y102,X102)</f>
        <v/>
      </c>
      <c r="AC103" s="1013">
        <f>AVERAGE(AC102,AB102,AA102,Y102)</f>
        <v/>
      </c>
      <c r="AD103" s="1013">
        <f>AVERAGE(AD102,AC102,AB102,AA102)</f>
        <v/>
      </c>
      <c r="AE103" s="183">
        <f>AVERAGE(AE102,Z102)</f>
        <v/>
      </c>
      <c r="AF103" s="1013">
        <f>AVERAGE(AF102,AD102,AC102,AB102)</f>
        <v/>
      </c>
      <c r="AG103" s="1013">
        <f>AVERAGE(AG102,AF102,AD102,AC102)</f>
        <v/>
      </c>
      <c r="AH103" s="1013">
        <f>AVERAGE(AH102,AG102,AF102,AD102)</f>
        <v/>
      </c>
      <c r="AI103" s="1013">
        <f>AVERAGE(AI102,AH102,AG102,AF102)</f>
        <v/>
      </c>
      <c r="AJ103" s="183">
        <f>AVERAGE(AJ102,AE102)</f>
        <v/>
      </c>
      <c r="AK103" s="1013">
        <f>AVERAGE(AK102,AI102,AH102,AG102)</f>
        <v/>
      </c>
      <c r="AL103" s="1013">
        <f>AVERAGE(AL102,AK102,AI102,AH102)</f>
        <v/>
      </c>
      <c r="AM103" s="1013">
        <f>AVERAGE(AM102,AL102,AK102,AI102)</f>
        <v/>
      </c>
      <c r="AN103" s="1013">
        <f>AVERAGE(AN102,AM102,AL102,AK102)</f>
        <v/>
      </c>
      <c r="AO103" s="183">
        <f>AVERAGE(AO102,AJ102)</f>
        <v/>
      </c>
      <c r="AP103" s="1013">
        <f>AVERAGE(AP102,AN102,AM102,AL102)</f>
        <v/>
      </c>
      <c r="AQ103" s="1013">
        <f>AVERAGE(AQ102,AP102,AN102,AM102)</f>
        <v/>
      </c>
      <c r="AR103" s="1013">
        <f>AVERAGE(AR102,AQ102,AP102,AN102)</f>
        <v/>
      </c>
      <c r="AS103" s="1013">
        <f>AVERAGE(AS102,AR102,AQ102,AP102)</f>
        <v/>
      </c>
      <c r="AT103" s="183">
        <f>AVERAGE(AT102,AO102)</f>
        <v/>
      </c>
      <c r="AU103" s="1013">
        <f>AVERAGE(AU102,AS102,AR102,AQ102)</f>
        <v/>
      </c>
      <c r="AV103" s="1013">
        <f>AVERAGE(AV102,AU102,AS102,AR102)</f>
        <v/>
      </c>
      <c r="AW103" s="1013">
        <f>AVERAGE(AW102,AV102,AU102,AS102)</f>
        <v/>
      </c>
      <c r="AX103" s="1013">
        <f>AVERAGE(AX102,AW102,AV102,AU102)</f>
        <v/>
      </c>
      <c r="AY103" s="183">
        <f>AVERAGE(AY102,AT102)</f>
        <v/>
      </c>
      <c r="AZ103" s="1013">
        <f>AVERAGE(AZ102,AX102,AW102,AV102)</f>
        <v/>
      </c>
      <c r="BA103" s="1013">
        <f>AVERAGE(BA102,AZ102,AX102,AW102)</f>
        <v/>
      </c>
      <c r="BB103" s="1013">
        <f>AVERAGE(BB102,BA102,AZ102,AX102)</f>
        <v/>
      </c>
      <c r="BC103" s="1013">
        <f>AVERAGE(BC102,BB102,BA102,AZ102)</f>
        <v/>
      </c>
      <c r="BD103" s="183">
        <f>AVERAGE(BD102,AY102)</f>
        <v/>
      </c>
      <c r="BE103" s="1013">
        <f>AVERAGE(BE102,BC102,BB102,BA102)</f>
        <v/>
      </c>
      <c r="BF103" s="1013">
        <f>AVERAGE(BF102,BE102,BC102,BB102)</f>
        <v/>
      </c>
      <c r="BG103" s="1013">
        <f>AVERAGE(BG102,BF102,BE102,BC102)</f>
        <v/>
      </c>
      <c r="BH103" s="1013">
        <f>AVERAGE(BH102,BG102,BF102,BE102)</f>
        <v/>
      </c>
      <c r="BI103" s="183">
        <f>AVERAGE(BI102,BD102)</f>
        <v/>
      </c>
      <c r="BJ103" s="1013">
        <f>AVERAGE(BJ102,BH102,BG102,BF102)</f>
        <v/>
      </c>
      <c r="BK103" s="1013">
        <f>AVERAGE(BK102,BJ102,BH102,BG102)</f>
        <v/>
      </c>
      <c r="BL103" s="1013">
        <f>AVERAGE(BL102,BK102,BJ102,BH102)</f>
        <v/>
      </c>
      <c r="BM103" s="1013">
        <f>AVERAGE(BM102,BL102,BK102,BJ102)</f>
        <v/>
      </c>
      <c r="BN103" s="183">
        <f>AVERAGE(BN102,BI102)</f>
        <v/>
      </c>
      <c r="BO103" s="1013">
        <f>AVERAGE(BO102,BM102,BL102,BK102)</f>
        <v/>
      </c>
      <c r="BP103" s="1013">
        <f>AVERAGE(BP102,BO102,BM102,BL102)</f>
        <v/>
      </c>
      <c r="BQ103" s="1013">
        <f>AVERAGE(BQ102,BP102,BO102,BM102)</f>
        <v/>
      </c>
      <c r="BR103" s="1013">
        <f>AVERAGE(BR102,BQ102,BP102,BO102)</f>
        <v/>
      </c>
      <c r="BS103" s="183">
        <f>AVERAGE(BS102,BN102)</f>
        <v/>
      </c>
      <c r="BT103" s="1013">
        <f>AVERAGE(BT102,BR102,BQ102,BP102)</f>
        <v/>
      </c>
      <c r="BU103" s="1013">
        <f>AVERAGE(BU102,BT102,BR102,BQ102)</f>
        <v/>
      </c>
      <c r="BV103" s="1014">
        <f>AVERAGE(BV102,BU102,BT102,BR102)</f>
        <v/>
      </c>
      <c r="BW103" s="1013">
        <f>AVERAGE(BW102,BV102,BU102,BT102)</f>
        <v/>
      </c>
      <c r="BX103" s="183">
        <f>AVERAGE(BX102,BS102)</f>
        <v/>
      </c>
      <c r="BY103" s="1013">
        <f>AVERAGE(BY102,BW102,BV102,BU102)</f>
        <v/>
      </c>
      <c r="BZ103" s="1013">
        <f>AVERAGE(BZ102,BY102,BW102,BV102)</f>
        <v/>
      </c>
      <c r="CA103" s="1013">
        <f>AVERAGE(CA102,BZ102,BY102,BW102)</f>
        <v/>
      </c>
      <c r="CB103" s="1013">
        <f>AVERAGE(CB102,CA102,BZ102,BY102)</f>
        <v/>
      </c>
      <c r="CC103" s="183">
        <f>AVERAGE(CC102,BX102)</f>
        <v/>
      </c>
      <c r="CD103" s="183">
        <f>AVERAGE(CD102,CC102)</f>
        <v/>
      </c>
      <c r="CE103" s="183">
        <f>AVERAGE(CE102,CD102)</f>
        <v/>
      </c>
      <c r="CF103" s="183">
        <f>AVERAGE(CF102,CE102)</f>
        <v/>
      </c>
      <c r="CG103" s="1013" t="n"/>
    </row>
    <row r="104" hidden="1" outlineLevel="1">
      <c r="A104" s="197" t="inlineStr">
        <is>
          <t>Average Invested Capital</t>
        </is>
      </c>
      <c r="B104" s="198" t="n"/>
      <c r="C104" s="183">
        <f>SUM(INDEX(SP_BSR_Debt_Avg,0,COLUMN()),INDEX(SP_BSR_SE_Avg,0,COLUMN()))</f>
        <v/>
      </c>
      <c r="D104" s="183">
        <f>SUM(INDEX(SP_BSR_Debt_Avg,0,COLUMN()),INDEX(SP_BSR_SE_Avg,0,COLUMN()))</f>
        <v/>
      </c>
      <c r="E104" s="183">
        <f>SUM(INDEX(SP_BSR_Debt_Avg,0,COLUMN()),INDEX(SP_BSR_SE_Avg,0,COLUMN()))</f>
        <v/>
      </c>
      <c r="F104" s="183">
        <f>SUM(INDEX(SP_BSR_Debt_Avg,0,COLUMN()),INDEX(SP_BSR_SE_Avg,0,COLUMN()))</f>
        <v/>
      </c>
      <c r="G104" s="1013">
        <f>SUM(INDEX(SP_BSR_Debt_Avg,0,COLUMN()),INDEX(SP_BSR_SE_Avg,0,COLUMN()))</f>
        <v/>
      </c>
      <c r="H104" s="1013">
        <f>SUM(INDEX(SP_BSR_Debt_Avg,0,COLUMN()),INDEX(SP_BSR_SE_Avg,0,COLUMN()))</f>
        <v/>
      </c>
      <c r="I104" s="1013">
        <f>SUM(INDEX(SP_BSR_Debt_Avg,0,COLUMN()),INDEX(SP_BSR_SE_Avg,0,COLUMN()))</f>
        <v/>
      </c>
      <c r="J104" s="1013">
        <f>SUM(INDEX(SP_BSR_Debt_Avg,0,COLUMN()),INDEX(SP_BSR_SE_Avg,0,COLUMN()))</f>
        <v/>
      </c>
      <c r="K104" s="183">
        <f>SUM(INDEX(SP_BSR_Debt_Avg,0,COLUMN()),INDEX(SP_BSR_SE_Avg,0,COLUMN()))</f>
        <v/>
      </c>
      <c r="L104" s="1013">
        <f>SUM(INDEX(SP_BSR_Debt_Avg,0,COLUMN()),INDEX(SP_BSR_SE_Avg,0,COLUMN()))</f>
        <v/>
      </c>
      <c r="M104" s="1013">
        <f>SUM(INDEX(SP_BSR_Debt_Avg,0,COLUMN()),INDEX(SP_BSR_SE_Avg,0,COLUMN()))</f>
        <v/>
      </c>
      <c r="N104" s="1013">
        <f>SUM(INDEX(SP_BSR_Debt_Avg,0,COLUMN()),INDEX(SP_BSR_SE_Avg,0,COLUMN()))</f>
        <v/>
      </c>
      <c r="O104" s="1013">
        <f>SUM(INDEX(SP_BSR_Debt_Avg,0,COLUMN()),INDEX(SP_BSR_SE_Avg,0,COLUMN()))</f>
        <v/>
      </c>
      <c r="P104" s="183">
        <f>SUM(INDEX(SP_BSR_Debt_Avg,0,COLUMN()),INDEX(SP_BSR_SE_Avg,0,COLUMN()))</f>
        <v/>
      </c>
      <c r="Q104" s="1013">
        <f>SUM(INDEX(SP_BSR_Debt_Avg,0,COLUMN()),INDEX(SP_BSR_SE_Avg,0,COLUMN()))</f>
        <v/>
      </c>
      <c r="R104" s="1013">
        <f>SUM(INDEX(SP_BSR_Debt_Avg,0,COLUMN()),INDEX(SP_BSR_SE_Avg,0,COLUMN()))</f>
        <v/>
      </c>
      <c r="S104" s="1013">
        <f>SUM(INDEX(SP_BSR_Debt_Avg,0,COLUMN()),INDEX(SP_BSR_SE_Avg,0,COLUMN()))</f>
        <v/>
      </c>
      <c r="T104" s="1013">
        <f>SUM(INDEX(SP_BSR_Debt_Avg,0,COLUMN()),INDEX(SP_BSR_SE_Avg,0,COLUMN()))</f>
        <v/>
      </c>
      <c r="U104" s="183">
        <f>SUM(INDEX(SP_BSR_Debt_Avg,0,COLUMN()),INDEX(SP_BSR_SE_Avg,0,COLUMN()))</f>
        <v/>
      </c>
      <c r="V104" s="1013">
        <f>SUM(INDEX(SP_BSR_Debt_Avg,0,COLUMN()),INDEX(SP_BSR_SE_Avg,0,COLUMN()))</f>
        <v/>
      </c>
      <c r="W104" s="1013">
        <f>SUM(INDEX(SP_BSR_Debt_Avg,0,COLUMN()),INDEX(SP_BSR_SE_Avg,0,COLUMN()))</f>
        <v/>
      </c>
      <c r="X104" s="1013">
        <f>SUM(INDEX(SP_BSR_Debt_Avg,0,COLUMN()),INDEX(SP_BSR_SE_Avg,0,COLUMN()))</f>
        <v/>
      </c>
      <c r="Y104" s="1013">
        <f>SUM(INDEX(SP_BSR_Debt_Avg,0,COLUMN()),INDEX(SP_BSR_SE_Avg,0,COLUMN()))</f>
        <v/>
      </c>
      <c r="Z104" s="183">
        <f>SUM(INDEX(SP_BSR_Debt_Avg,0,COLUMN()),INDEX(SP_BSR_SE_Avg,0,COLUMN()))</f>
        <v/>
      </c>
      <c r="AA104" s="1013">
        <f>SUM(INDEX(SP_BSR_Debt_Avg,0,COLUMN()),INDEX(SP_BSR_SE_Avg,0,COLUMN()))</f>
        <v/>
      </c>
      <c r="AB104" s="1013">
        <f>SUM(INDEX(SP_BSR_Debt_Avg,0,COLUMN()),INDEX(SP_BSR_SE_Avg,0,COLUMN()))</f>
        <v/>
      </c>
      <c r="AC104" s="1013">
        <f>SUM(INDEX(SP_BSR_Debt_Avg,0,COLUMN()),INDEX(SP_BSR_SE_Avg,0,COLUMN()))</f>
        <v/>
      </c>
      <c r="AD104" s="1013">
        <f>SUM(INDEX(SP_BSR_Debt_Avg,0,COLUMN()),INDEX(SP_BSR_SE_Avg,0,COLUMN()))</f>
        <v/>
      </c>
      <c r="AE104" s="183">
        <f>SUM(INDEX(SP_BSR_Debt_Avg,0,COLUMN()),INDEX(SP_BSR_SE_Avg,0,COLUMN()))</f>
        <v/>
      </c>
      <c r="AF104" s="1013">
        <f>SUM(INDEX(SP_BSR_Debt_Avg,0,COLUMN()),INDEX(SP_BSR_SE_Avg,0,COLUMN()))</f>
        <v/>
      </c>
      <c r="AG104" s="1013">
        <f>SUM(INDEX(SP_BSR_Debt_Avg,0,COLUMN()),INDEX(SP_BSR_SE_Avg,0,COLUMN()))</f>
        <v/>
      </c>
      <c r="AH104" s="1013">
        <f>SUM(INDEX(SP_BSR_Debt_Avg,0,COLUMN()),INDEX(SP_BSR_SE_Avg,0,COLUMN()))</f>
        <v/>
      </c>
      <c r="AI104" s="1013">
        <f>SUM(INDEX(SP_BSR_Debt_Avg,0,COLUMN()),INDEX(SP_BSR_SE_Avg,0,COLUMN()))</f>
        <v/>
      </c>
      <c r="AJ104" s="183">
        <f>SUM(INDEX(SP_BSR_Debt_Avg,0,COLUMN()),INDEX(SP_BSR_SE_Avg,0,COLUMN()))</f>
        <v/>
      </c>
      <c r="AK104" s="1013">
        <f>SUM(INDEX(SP_BSR_Debt_Avg,0,COLUMN()),INDEX(SP_BSR_SE_Avg,0,COLUMN()))</f>
        <v/>
      </c>
      <c r="AL104" s="1013">
        <f>SUM(INDEX(SP_BSR_Debt_Avg,0,COLUMN()),INDEX(SP_BSR_SE_Avg,0,COLUMN()))</f>
        <v/>
      </c>
      <c r="AM104" s="1013">
        <f>SUM(INDEX(SP_BSR_Debt_Avg,0,COLUMN()),INDEX(SP_BSR_SE_Avg,0,COLUMN()))</f>
        <v/>
      </c>
      <c r="AN104" s="1013">
        <f>SUM(INDEX(SP_BSR_Debt_Avg,0,COLUMN()),INDEX(SP_BSR_SE_Avg,0,COLUMN()))</f>
        <v/>
      </c>
      <c r="AO104" s="183">
        <f>SUM(INDEX(SP_BSR_Debt_Avg,0,COLUMN()),INDEX(SP_BSR_SE_Avg,0,COLUMN()))</f>
        <v/>
      </c>
      <c r="AP104" s="1013">
        <f>SUM(INDEX(SP_BSR_Debt_Avg,0,COLUMN()),INDEX(SP_BSR_SE_Avg,0,COLUMN()))</f>
        <v/>
      </c>
      <c r="AQ104" s="1013">
        <f>SUM(INDEX(SP_BSR_Debt_Avg,0,COLUMN()),INDEX(SP_BSR_SE_Avg,0,COLUMN()))</f>
        <v/>
      </c>
      <c r="AR104" s="1013">
        <f>SUM(INDEX(SP_BSR_Debt_Avg,0,COLUMN()),INDEX(SP_BSR_SE_Avg,0,COLUMN()))</f>
        <v/>
      </c>
      <c r="AS104" s="1013">
        <f>SUM(INDEX(SP_BSR_Debt_Avg,0,COLUMN()),INDEX(SP_BSR_SE_Avg,0,COLUMN()))</f>
        <v/>
      </c>
      <c r="AT104" s="183">
        <f>SUM(INDEX(SP_BSR_Debt_Avg,0,COLUMN()),INDEX(SP_BSR_SE_Avg,0,COLUMN()))</f>
        <v/>
      </c>
      <c r="AU104" s="1013">
        <f>SUM(INDEX(SP_BSR_Debt_Avg,0,COLUMN()),INDEX(SP_BSR_SE_Avg,0,COLUMN()))</f>
        <v/>
      </c>
      <c r="AV104" s="1013">
        <f>SUM(INDEX(SP_BSR_Debt_Avg,0,COLUMN()),INDEX(SP_BSR_SE_Avg,0,COLUMN()))</f>
        <v/>
      </c>
      <c r="AW104" s="1013">
        <f>SUM(INDEX(SP_BSR_Debt_Avg,0,COLUMN()),INDEX(SP_BSR_SE_Avg,0,COLUMN()))</f>
        <v/>
      </c>
      <c r="AX104" s="1013">
        <f>SUM(INDEX(SP_BSR_Debt_Avg,0,COLUMN()),INDEX(SP_BSR_SE_Avg,0,COLUMN()))</f>
        <v/>
      </c>
      <c r="AY104" s="183">
        <f>SUM(INDEX(SP_BSR_Debt_Avg,0,COLUMN()),INDEX(SP_BSR_SE_Avg,0,COLUMN()))</f>
        <v/>
      </c>
      <c r="AZ104" s="1013">
        <f>SUM(INDEX(SP_BSR_Debt_Avg,0,COLUMN()),INDEX(SP_BSR_SE_Avg,0,COLUMN()))</f>
        <v/>
      </c>
      <c r="BA104" s="1013">
        <f>SUM(INDEX(SP_BSR_Debt_Avg,0,COLUMN()),INDEX(SP_BSR_SE_Avg,0,COLUMN()))</f>
        <v/>
      </c>
      <c r="BB104" s="1013">
        <f>SUM(INDEX(SP_BSR_Debt_Avg,0,COLUMN()),INDEX(SP_BSR_SE_Avg,0,COLUMN()))</f>
        <v/>
      </c>
      <c r="BC104" s="1013">
        <f>SUM(INDEX(SP_BSR_Debt_Avg,0,COLUMN()),INDEX(SP_BSR_SE_Avg,0,COLUMN()))</f>
        <v/>
      </c>
      <c r="BD104" s="183">
        <f>SUM(INDEX(SP_BSR_Debt_Avg,0,COLUMN()),INDEX(SP_BSR_SE_Avg,0,COLUMN()))</f>
        <v/>
      </c>
      <c r="BE104" s="1013">
        <f>SUM(INDEX(SP_BSR_Debt_Avg,0,COLUMN()),INDEX(SP_BSR_SE_Avg,0,COLUMN()))</f>
        <v/>
      </c>
      <c r="BF104" s="1013">
        <f>SUM(INDEX(SP_BSR_Debt_Avg,0,COLUMN()),INDEX(SP_BSR_SE_Avg,0,COLUMN()))</f>
        <v/>
      </c>
      <c r="BG104" s="1013">
        <f>SUM(INDEX(SP_BSR_Debt_Avg,0,COLUMN()),INDEX(SP_BSR_SE_Avg,0,COLUMN()))</f>
        <v/>
      </c>
      <c r="BH104" s="1013">
        <f>SUM(INDEX(SP_BSR_Debt_Avg,0,COLUMN()),INDEX(SP_BSR_SE_Avg,0,COLUMN()))</f>
        <v/>
      </c>
      <c r="BI104" s="183">
        <f>SUM(INDEX(SP_BSR_Debt_Avg,0,COLUMN()),INDEX(SP_BSR_SE_Avg,0,COLUMN()))</f>
        <v/>
      </c>
      <c r="BJ104" s="1013">
        <f>SUM(INDEX(SP_BSR_Debt_Avg,0,COLUMN()),INDEX(SP_BSR_SE_Avg,0,COLUMN()))</f>
        <v/>
      </c>
      <c r="BK104" s="1013">
        <f>SUM(INDEX(SP_BSR_Debt_Avg,0,COLUMN()),INDEX(SP_BSR_SE_Avg,0,COLUMN()))</f>
        <v/>
      </c>
      <c r="BL104" s="1013">
        <f>SUM(INDEX(SP_BSR_Debt_Avg,0,COLUMN()),INDEX(SP_BSR_SE_Avg,0,COLUMN()))</f>
        <v/>
      </c>
      <c r="BM104" s="1013">
        <f>SUM(INDEX(SP_BSR_Debt_Avg,0,COLUMN()),INDEX(SP_BSR_SE_Avg,0,COLUMN()))</f>
        <v/>
      </c>
      <c r="BN104" s="183">
        <f>SUM(INDEX(SP_BSR_Debt_Avg,0,COLUMN()),INDEX(SP_BSR_SE_Avg,0,COLUMN()))</f>
        <v/>
      </c>
      <c r="BO104" s="1013">
        <f>SUM(INDEX(SP_BSR_Debt_Avg,0,COLUMN()),INDEX(SP_BSR_SE_Avg,0,COLUMN()))</f>
        <v/>
      </c>
      <c r="BP104" s="1013">
        <f>SUM(INDEX(SP_BSR_Debt_Avg,0,COLUMN()),INDEX(SP_BSR_SE_Avg,0,COLUMN()))</f>
        <v/>
      </c>
      <c r="BQ104" s="1013">
        <f>SUM(INDEX(SP_BSR_Debt_Avg,0,COLUMN()),INDEX(SP_BSR_SE_Avg,0,COLUMN()))</f>
        <v/>
      </c>
      <c r="BR104" s="1013">
        <f>SUM(INDEX(SP_BSR_Debt_Avg,0,COLUMN()),INDEX(SP_BSR_SE_Avg,0,COLUMN()))</f>
        <v/>
      </c>
      <c r="BS104" s="183">
        <f>SUM(INDEX(SP_BSR_Debt_Avg,0,COLUMN()),INDEX(SP_BSR_SE_Avg,0,COLUMN()))</f>
        <v/>
      </c>
      <c r="BT104" s="1013">
        <f>SUM(INDEX(SP_BSR_Debt_Avg,0,COLUMN()),INDEX(SP_BSR_SE_Avg,0,COLUMN()))</f>
        <v/>
      </c>
      <c r="BU104" s="1013">
        <f>SUM(INDEX(SP_BSR_Debt_Avg,0,COLUMN()),INDEX(SP_BSR_SE_Avg,0,COLUMN()))</f>
        <v/>
      </c>
      <c r="BV104" s="1014">
        <f>SUM(INDEX(SP_BSR_Debt_Avg,0,COLUMN()),INDEX(SP_BSR_SE_Avg,0,COLUMN()))</f>
        <v/>
      </c>
      <c r="BW104" s="1013">
        <f>SUM(INDEX(SP_BSR_Debt_Avg,0,COLUMN()),INDEX(SP_BSR_SE_Avg,0,COLUMN()))</f>
        <v/>
      </c>
      <c r="BX104" s="183">
        <f>SUM(INDEX(SP_BSR_Debt_Avg,0,COLUMN()),INDEX(SP_BSR_SE_Avg,0,COLUMN()))</f>
        <v/>
      </c>
      <c r="BY104" s="1013">
        <f>SUM(INDEX(SP_BSR_Debt_Avg,0,COLUMN()),INDEX(SP_BSR_SE_Avg,0,COLUMN()))</f>
        <v/>
      </c>
      <c r="BZ104" s="1013">
        <f>SUM(INDEX(SP_BSR_Debt_Avg,0,COLUMN()),INDEX(SP_BSR_SE_Avg,0,COLUMN()))</f>
        <v/>
      </c>
      <c r="CA104" s="1013">
        <f>SUM(INDEX(SP_BSR_Debt_Avg,0,COLUMN()),INDEX(SP_BSR_SE_Avg,0,COLUMN()))</f>
        <v/>
      </c>
      <c r="CB104" s="1013">
        <f>SUM(INDEX(SP_BSR_Debt_Avg,0,COLUMN()),INDEX(SP_BSR_SE_Avg,0,COLUMN()))</f>
        <v/>
      </c>
      <c r="CC104" s="183">
        <f>SUM(INDEX(SP_BSR_Debt_Avg,0,COLUMN()),INDEX(SP_BSR_SE_Avg,0,COLUMN()))</f>
        <v/>
      </c>
      <c r="CD104" s="183">
        <f>SUM(INDEX(SP_BSR_Debt_Avg,0,COLUMN()),INDEX(SP_BSR_SE_Avg,0,COLUMN()))</f>
        <v/>
      </c>
      <c r="CE104" s="183">
        <f>SUM(INDEX(SP_BSR_Debt_Avg,0,COLUMN()),INDEX(SP_BSR_SE_Avg,0,COLUMN()))</f>
        <v/>
      </c>
      <c r="CF104" s="183">
        <f>SUM(INDEX(SP_BSR_Debt_Avg,0,COLUMN()),INDEX(SP_BSR_SE_Avg,0,COLUMN()))</f>
        <v/>
      </c>
      <c r="CG104" s="1013" t="n"/>
    </row>
    <row r="105" collapsed="1" customFormat="1" s="976">
      <c r="A105" s="206" t="inlineStr">
        <is>
          <t>ROIC</t>
        </is>
      </c>
      <c r="B105" s="85" t="n"/>
      <c r="C105" s="1250">
        <f>IF(C104&lt;0,"NMF",IF(ABS(C98/C104)&gt;1,"NMF",C98/C104))</f>
        <v/>
      </c>
      <c r="D105" s="1250">
        <f>IF(D104&lt;0,"NMF",IF(ABS(D98/D104)&gt;1,"NMF",D98/D104))</f>
        <v/>
      </c>
      <c r="E105" s="1250">
        <f>IF(E104&lt;0,"NMF",IF(ABS(E98/E104)&gt;1,"NMF",E98/E104))</f>
        <v/>
      </c>
      <c r="F105" s="1250">
        <f>IF(F104&lt;0,"NMF",IF(ABS(F98/F104)&gt;1,"NMF",F98/F104))</f>
        <v/>
      </c>
      <c r="G105" s="136" t="n"/>
      <c r="H105" s="136" t="n"/>
      <c r="I105" s="136" t="n"/>
      <c r="J105" s="136">
        <f>IF(J104&lt;0,"NMF",IF(ABS(J98/J104)&gt;1,"NMF",J98/J104))</f>
        <v/>
      </c>
      <c r="K105" s="1250">
        <f>IF(K104&lt;0,"NMF",IF(ABS(K98/K104)&gt;1,"NMF",K98/K104))</f>
        <v/>
      </c>
      <c r="L105" s="136">
        <f>IF(L104&lt;0,"NMF",IF(ABS(L98/L104)&gt;1,"NMF",L98/L104))</f>
        <v/>
      </c>
      <c r="M105" s="136">
        <f>IF(M104&lt;0,"NMF",IF(ABS(M98/M104)&gt;1,"NMF",M98/M104))</f>
        <v/>
      </c>
      <c r="N105" s="136">
        <f>IF(N104&lt;0,"NMF",IF(ABS(N98/N104)&gt;1,"NMF",N98/N104))</f>
        <v/>
      </c>
      <c r="O105" s="136">
        <f>IF(O104&lt;0,"NMF",IF(ABS(O98/O104)&gt;1,"NMF",O98/O104))</f>
        <v/>
      </c>
      <c r="P105" s="1250">
        <f>IF(P104&lt;0,"NMF",IF(ABS(P98/P104)&gt;1,"NMF",P98/P104))</f>
        <v/>
      </c>
      <c r="Q105" s="136">
        <f>IF(Q104&lt;0,"NMF",IF(ABS(Q98/Q104)&gt;1,"NMF",Q98/Q104))</f>
        <v/>
      </c>
      <c r="R105" s="136">
        <f>IF(R104&lt;0,"NMF",IF(ABS(R98/R104)&gt;1,"NMF",R98/R104))</f>
        <v/>
      </c>
      <c r="S105" s="136">
        <f>IF(S104&lt;0,"NMF",IF(ABS(S98/S104)&gt;1,"NMF",S98/S104))</f>
        <v/>
      </c>
      <c r="T105" s="136">
        <f>IF(T104&lt;0,"NMF",IF(ABS(T98/T104)&gt;1,"NMF",T98/T104))</f>
        <v/>
      </c>
      <c r="U105" s="1250">
        <f>IF(U104&lt;0,"NMF",IF(ABS(U98/U104)&gt;1,"NMF",U98/U104))</f>
        <v/>
      </c>
      <c r="V105" s="136">
        <f>IF(V104&lt;0,"NMF",IF(ABS(V98/V104)&gt;1,"NMF",V98/V104))</f>
        <v/>
      </c>
      <c r="W105" s="136">
        <f>IF(W104&lt;0,"NMF",IF(ABS(W98/W104)&gt;1,"NMF",W98/W104))</f>
        <v/>
      </c>
      <c r="X105" s="136">
        <f>IF(X104&lt;0,"NMF",IF(ABS(X98/X104)&gt;1,"NMF",X98/X104))</f>
        <v/>
      </c>
      <c r="Y105" s="136">
        <f>IF(Y104&lt;0,"NMF",IF(ABS(Y98/Y104)&gt;1,"NMF",Y98/Y104))</f>
        <v/>
      </c>
      <c r="Z105" s="1250">
        <f>IF(Z104&lt;0,"NMF",IF(ABS(Z98/Z104)&gt;1,"NMF",Z98/Z104))</f>
        <v/>
      </c>
      <c r="AA105" s="136">
        <f>IF(AA104&lt;0,"NMF",IF(ABS(AA98/AA104)&gt;1,"NMF",AA98/AA104))</f>
        <v/>
      </c>
      <c r="AB105" s="136">
        <f>IF(AB104&lt;0,"NMF",IF(ABS(AB98/AB104)&gt;1,"NMF",AB98/AB104))</f>
        <v/>
      </c>
      <c r="AC105" s="136">
        <f>IF(AC104&lt;0,"NMF",IF(ABS(AC98/AC104)&gt;1,"NMF",AC98/AC104))</f>
        <v/>
      </c>
      <c r="AD105" s="136">
        <f>IF(AD104&lt;0,"NMF",IF(ABS(AD98/AD104)&gt;1,"NMF",AD98/AD104))</f>
        <v/>
      </c>
      <c r="AE105" s="1250">
        <f>IF(AE104&lt;0,"NMF",IF(ABS(AE98/AE104)&gt;1,"NMF",AE98/AE104))</f>
        <v/>
      </c>
      <c r="AF105" s="136">
        <f>IF(AF104&lt;0,"NMF",IF(ABS(AF98/AF104)&gt;1,"NMF",AF98/AF104))</f>
        <v/>
      </c>
      <c r="AG105" s="136">
        <f>IF(AG104&lt;0,"NMF",IF(ABS(AG98/AG104)&gt;1,"NMF",AG98/AG104))</f>
        <v/>
      </c>
      <c r="AH105" s="136">
        <f>IF(AH104&lt;0,"NMF",IF(ABS(AH98/AH104)&gt;1,"NMF",AH98/AH104))</f>
        <v/>
      </c>
      <c r="AI105" s="136">
        <f>IF(AI104&lt;0,"NMF",IF(ABS(AI98/AI104)&gt;1,"NMF",AI98/AI104))</f>
        <v/>
      </c>
      <c r="AJ105" s="1250">
        <f>IF(AJ104&lt;0,"NMF",IF(ABS(AJ98/AJ104)&gt;1,"NMF",AJ98/AJ104))</f>
        <v/>
      </c>
      <c r="AK105" s="136">
        <f>IF(AK104&lt;0,"NMF",IF(ABS(AK98/AK104)&gt;1,"NMF",AK98/AK104))</f>
        <v/>
      </c>
      <c r="AL105" s="136">
        <f>IF(AL104&lt;0,"NMF",IF(ABS(AL98/AL104)&gt;1,"NMF",AL98/AL104))</f>
        <v/>
      </c>
      <c r="AM105" s="136">
        <f>IF(AM104&lt;0,"NMF",IF(ABS(AM98/AM104)&gt;1,"NMF",AM98/AM104))</f>
        <v/>
      </c>
      <c r="AN105" s="136">
        <f>IF(AN104&lt;0,"NMF",IF(ABS(AN98/AN104)&gt;1,"NMF",AN98/AN104))</f>
        <v/>
      </c>
      <c r="AO105" s="1250">
        <f>IF(AO104&lt;0,"NMF",IF(ABS(AO98/AO104)&gt;1,"NMF",AO98/AO104))</f>
        <v/>
      </c>
      <c r="AP105" s="136">
        <f>IF(AP104&lt;0,"NMF",IF(ABS(AP98/AP104)&gt;1,"NMF",AP98/AP104))</f>
        <v/>
      </c>
      <c r="AQ105" s="136">
        <f>IF(AQ104&lt;0,"NMF",IF(ABS(AQ98/AQ104)&gt;1,"NMF",AQ98/AQ104))</f>
        <v/>
      </c>
      <c r="AR105" s="136">
        <f>IF(AR104&lt;0,"NMF",IF(ABS(AR98/AR104)&gt;1,"NMF",AR98/AR104))</f>
        <v/>
      </c>
      <c r="AS105" s="136">
        <f>IF(AS104&lt;0,"NMF",IF(ABS(AS98/AS104)&gt;1,"NMF",AS98/AS104))</f>
        <v/>
      </c>
      <c r="AT105" s="1250">
        <f>IF(AT104&lt;0,"NMF",IF(ABS(AT98/AT104)&gt;1,"NMF",AT98/AT104))</f>
        <v/>
      </c>
      <c r="AU105" s="136">
        <f>IF(AU104&lt;0,"NMF",IF(ABS(AU98/AU104)&gt;1,"NMF",AU98/AU104))</f>
        <v/>
      </c>
      <c r="AV105" s="136">
        <f>IF(AV104&lt;0,"NMF",IF(ABS(AV98/AV104)&gt;1,"NMF",AV98/AV104))</f>
        <v/>
      </c>
      <c r="AW105" s="136">
        <f>IF(AW104&lt;0,"NMF",IF(ABS(AW98/AW104)&gt;1,"NMF",AW98/AW104))</f>
        <v/>
      </c>
      <c r="AX105" s="136">
        <f>IF(AX104&lt;0,"NMF",IF(ABS(AX98/AX104)&gt;1,"NMF",AX98/AX104))</f>
        <v/>
      </c>
      <c r="AY105" s="1250">
        <f>IF(AY104&lt;0,"NMF",IF(ABS(AY98/AY104)&gt;1,"NMF",AY98/AY104))</f>
        <v/>
      </c>
      <c r="AZ105" s="136">
        <f>IF(AZ104&lt;0,"NMF",IF(ABS(AZ98/AZ104)&gt;1,"NMF",AZ98/AZ104))</f>
        <v/>
      </c>
      <c r="BA105" s="136">
        <f>IF(BA104&lt;0,"NMF",IF(ABS(BA98/BA104)&gt;1,"NMF",BA98/BA104))</f>
        <v/>
      </c>
      <c r="BB105" s="136">
        <f>IF(BB104&lt;0,"NMF",IF(ABS(BB98/BB104)&gt;1,"NMF",BB98/BB104))</f>
        <v/>
      </c>
      <c r="BC105" s="136">
        <f>IF(BC104&lt;0,"NMF",IF(ABS(BC98/BC104)&gt;1,"NMF",BC98/BC104))</f>
        <v/>
      </c>
      <c r="BD105" s="1250">
        <f>IF(BD104&lt;0,"NMF",IF(ABS(BD98/BD104)&gt;1,"NMF",BD98/BD104))</f>
        <v/>
      </c>
      <c r="BE105" s="136">
        <f>IF(BE104&lt;0,"NMF",IF(ABS(BE98/BE104)&gt;1,"NMF",BE98/BE104))</f>
        <v/>
      </c>
      <c r="BF105" s="136">
        <f>IF(BF104&lt;0,"NMF",IF(ABS(BF98/BF104)&gt;1,"NMF",BF98/BF104))</f>
        <v/>
      </c>
      <c r="BG105" s="136">
        <f>IF(BG104&lt;0,"NMF",IF(ABS(BG98/BG104)&gt;1,"NMF",BG98/BG104))</f>
        <v/>
      </c>
      <c r="BH105" s="136">
        <f>IF(BH104&lt;0,"NMF",IF(ABS(BH98/BH104)&gt;1,"NMF",BH98/BH104))</f>
        <v/>
      </c>
      <c r="BI105" s="1250">
        <f>IF(BI104&lt;0,"NMF",IF(ABS(BI98/BI104)&gt;1,"NMF",BI98/BI104))</f>
        <v/>
      </c>
      <c r="BJ105" s="136">
        <f>IF(BJ104&lt;0,"NMF",IF(ABS(BJ98/BJ104)&gt;1,"NMF",BJ98/BJ104))</f>
        <v/>
      </c>
      <c r="BK105" s="136">
        <f>IF(BK104&lt;0,"NMF",IF(ABS(BK98/BK104)&gt;1,"NMF",BK98/BK104))</f>
        <v/>
      </c>
      <c r="BL105" s="136">
        <f>IF(BL104&lt;0,"NMF",IF(ABS(BL98/BL104)&gt;1,"NMF",BL98/BL104))</f>
        <v/>
      </c>
      <c r="BM105" s="136">
        <f>IF(BM104&lt;0,"NMF",IF(ABS(BM98/BM104)&gt;1,"NMF",BM98/BM104))</f>
        <v/>
      </c>
      <c r="BN105" s="1250">
        <f>IF(BN104&lt;0,"NMF",IF(ABS(BN98/BN104)&gt;1,"NMF",BN98/BN104))</f>
        <v/>
      </c>
      <c r="BO105" s="136">
        <f>IF(BO104&lt;0,"NMF",IF(ABS(BO98/BO104)&gt;1,"NMF",BO98/BO104))</f>
        <v/>
      </c>
      <c r="BP105" s="136">
        <f>IF(BP104&lt;0,"NMF",IF(ABS(BP98/BP104)&gt;1,"NMF",BP98/BP104))</f>
        <v/>
      </c>
      <c r="BQ105" s="136">
        <f>IF(BQ104&lt;0,"NMF",IF(ABS(BQ98/BQ104)&gt;1,"NMF",BQ98/BQ104))</f>
        <v/>
      </c>
      <c r="BR105" s="136">
        <f>IF(BR104&lt;0,"NMF",IF(ABS(BR98/BR104)&gt;1,"NMF",BR98/BR104))</f>
        <v/>
      </c>
      <c r="BS105" s="1250">
        <f>IF(BS104&lt;0,"NMF",IF(ABS(BS98/BS104)&gt;1,"NMF",BS98/BS104))</f>
        <v/>
      </c>
      <c r="BT105" s="136">
        <f>IF(BT104&lt;0,"NMF",IF(ABS(BT98/BT104)&gt;1,"NMF",BT98/BT104))</f>
        <v/>
      </c>
      <c r="BU105" s="136">
        <f>IF(BU104&lt;0,"NMF",IF(ABS(BU98/BU104)&gt;1,"NMF",BU98/BU104))</f>
        <v/>
      </c>
      <c r="BV105" s="951">
        <f>IF(BV104&lt;0,"NMF",IF(ABS(BV98/BV104)&gt;1,"NMF",BV98/BV104))</f>
        <v/>
      </c>
      <c r="BW105" s="136">
        <f>IF(BW104&lt;0,"NMF",IF(ABS(BW98/BW104)&gt;1,"NMF",BW98/BW104))</f>
        <v/>
      </c>
      <c r="BX105" s="1250">
        <f>IF(BX104&lt;0,"NMF",IF(ABS(BX98/BX104)&gt;1,"NMF",BX98/BX104))</f>
        <v/>
      </c>
      <c r="BY105" s="136">
        <f>IF(BY104&lt;0,"NMF",IF(ABS(BY98/BY104)&gt;1,"NMF",BY98/BY104))</f>
        <v/>
      </c>
      <c r="BZ105" s="136">
        <f>IF(BZ104&lt;0,"NMF",IF(ABS(BZ98/BZ104)&gt;1,"NMF",BZ98/BZ104))</f>
        <v/>
      </c>
      <c r="CA105" s="136">
        <f>IF(CA104&lt;0,"NMF",IF(ABS(CA98/CA104)&gt;1,"NMF",CA98/CA104))</f>
        <v/>
      </c>
      <c r="CB105" s="136">
        <f>IF(CB104&lt;0,"NMF",IF(ABS(CB98/CB104)&gt;1,"NMF",CB98/CB104))</f>
        <v/>
      </c>
      <c r="CC105" s="1250">
        <f>IF(CC104&lt;0,"NMF",IF(ABS(CC98/CC104)&gt;1,"NMF",CC98/CC104))</f>
        <v/>
      </c>
      <c r="CD105" s="1250">
        <f>IF(CD104&lt;0,"NMF",IF(ABS(CD98/CD104)&gt;1,"NMF",CD98/CD104))</f>
        <v/>
      </c>
      <c r="CE105" s="1250">
        <f>IF(CE104&lt;0,"NMF",IF(ABS(CE98/CE104)&gt;1,"NMF",CE98/CE104))</f>
        <v/>
      </c>
      <c r="CF105" s="1250">
        <f>IF(CF104&lt;0,"NMF",IF(ABS(CF98/CF104)&gt;1,"NMF",CF98/CF104))</f>
        <v/>
      </c>
      <c r="CG105" s="132" t="n"/>
    </row>
    <row r="106" hidden="1" outlineLevel="1">
      <c r="A106" s="197" t="inlineStr">
        <is>
          <t>EBIT</t>
        </is>
      </c>
      <c r="B106" s="198" t="n"/>
      <c r="C106" s="183">
        <f>+C41</f>
        <v/>
      </c>
      <c r="D106" s="183">
        <f>+D41</f>
        <v/>
      </c>
      <c r="E106" s="183">
        <f>+E41</f>
        <v/>
      </c>
      <c r="F106" s="183">
        <f>+F41</f>
        <v/>
      </c>
      <c r="G106" s="1013">
        <f>+G41</f>
        <v/>
      </c>
      <c r="H106" s="1013">
        <f>+H41</f>
        <v/>
      </c>
      <c r="I106" s="1013">
        <f>+I41</f>
        <v/>
      </c>
      <c r="J106" s="1013">
        <f>+J41</f>
        <v/>
      </c>
      <c r="K106" s="183">
        <f>+K41</f>
        <v/>
      </c>
      <c r="L106" s="1013">
        <f>+L41</f>
        <v/>
      </c>
      <c r="M106" s="1013">
        <f>+M41</f>
        <v/>
      </c>
      <c r="N106" s="1013">
        <f>+N41</f>
        <v/>
      </c>
      <c r="O106" s="1013">
        <f>+O41</f>
        <v/>
      </c>
      <c r="P106" s="183">
        <f>+P41</f>
        <v/>
      </c>
      <c r="Q106" s="1013">
        <f>+Q41</f>
        <v/>
      </c>
      <c r="R106" s="1013">
        <f>+R41</f>
        <v/>
      </c>
      <c r="S106" s="1013">
        <f>+S41</f>
        <v/>
      </c>
      <c r="T106" s="1013">
        <f>+T41</f>
        <v/>
      </c>
      <c r="U106" s="183">
        <f>+U41</f>
        <v/>
      </c>
      <c r="V106" s="1013">
        <f>+V41</f>
        <v/>
      </c>
      <c r="W106" s="1013">
        <f>+W41</f>
        <v/>
      </c>
      <c r="X106" s="1013">
        <f>+X41</f>
        <v/>
      </c>
      <c r="Y106" s="1013">
        <f>+Y41</f>
        <v/>
      </c>
      <c r="Z106" s="183">
        <f>+Z41</f>
        <v/>
      </c>
      <c r="AA106" s="1013">
        <f>+AA41</f>
        <v/>
      </c>
      <c r="AB106" s="1013">
        <f>+AB41</f>
        <v/>
      </c>
      <c r="AC106" s="1013">
        <f>+AC41</f>
        <v/>
      </c>
      <c r="AD106" s="1013">
        <f>+AD41</f>
        <v/>
      </c>
      <c r="AE106" s="183">
        <f>+AE41</f>
        <v/>
      </c>
      <c r="AF106" s="1013">
        <f>+AF41</f>
        <v/>
      </c>
      <c r="AG106" s="1013">
        <f>+AG41</f>
        <v/>
      </c>
      <c r="AH106" s="1013">
        <f>+AH41</f>
        <v/>
      </c>
      <c r="AI106" s="1013">
        <f>+AI41</f>
        <v/>
      </c>
      <c r="AJ106" s="183">
        <f>+AJ41</f>
        <v/>
      </c>
      <c r="AK106" s="1013">
        <f>+AK41</f>
        <v/>
      </c>
      <c r="AL106" s="1013">
        <f>+AL41</f>
        <v/>
      </c>
      <c r="AM106" s="1013">
        <f>+AM41</f>
        <v/>
      </c>
      <c r="AN106" s="1013">
        <f>+AN41</f>
        <v/>
      </c>
      <c r="AO106" s="183">
        <f>+AO41</f>
        <v/>
      </c>
      <c r="AP106" s="1013">
        <f>+AP41</f>
        <v/>
      </c>
      <c r="AQ106" s="1013">
        <f>+AQ41</f>
        <v/>
      </c>
      <c r="AR106" s="1013">
        <f>+AR41</f>
        <v/>
      </c>
      <c r="AS106" s="1013">
        <f>+AS41</f>
        <v/>
      </c>
      <c r="AT106" s="183">
        <f>+AT41</f>
        <v/>
      </c>
      <c r="AU106" s="1013">
        <f>+AU41</f>
        <v/>
      </c>
      <c r="AV106" s="1013">
        <f>+AV41</f>
        <v/>
      </c>
      <c r="AW106" s="1013">
        <f>+AW41</f>
        <v/>
      </c>
      <c r="AX106" s="1013">
        <f>+AX41</f>
        <v/>
      </c>
      <c r="AY106" s="183">
        <f>+AY41</f>
        <v/>
      </c>
      <c r="AZ106" s="1013">
        <f>+AZ41</f>
        <v/>
      </c>
      <c r="BA106" s="1013">
        <f>+BA41</f>
        <v/>
      </c>
      <c r="BB106" s="1013">
        <f>+BB41</f>
        <v/>
      </c>
      <c r="BC106" s="1013">
        <f>+BC41</f>
        <v/>
      </c>
      <c r="BD106" s="183">
        <f>+BD41</f>
        <v/>
      </c>
      <c r="BE106" s="1013">
        <f>+BE41</f>
        <v/>
      </c>
      <c r="BF106" s="1013">
        <f>+BF41</f>
        <v/>
      </c>
      <c r="BG106" s="1013">
        <f>+BG41</f>
        <v/>
      </c>
      <c r="BH106" s="1013">
        <f>+BH41</f>
        <v/>
      </c>
      <c r="BI106" s="183">
        <f>+BI41</f>
        <v/>
      </c>
      <c r="BJ106" s="1013">
        <f>+BJ41</f>
        <v/>
      </c>
      <c r="BK106" s="1013">
        <f>+BK41</f>
        <v/>
      </c>
      <c r="BL106" s="1013">
        <f>+BL41</f>
        <v/>
      </c>
      <c r="BM106" s="1013">
        <f>+BM41</f>
        <v/>
      </c>
      <c r="BN106" s="183">
        <f>+BN41</f>
        <v/>
      </c>
      <c r="BO106" s="1013">
        <f>+BO41</f>
        <v/>
      </c>
      <c r="BP106" s="1013">
        <f>+BP41</f>
        <v/>
      </c>
      <c r="BQ106" s="1013">
        <f>+BQ41</f>
        <v/>
      </c>
      <c r="BR106" s="1013">
        <f>+BR41</f>
        <v/>
      </c>
      <c r="BS106" s="183">
        <f>+BS41</f>
        <v/>
      </c>
      <c r="BT106" s="1013">
        <f>+BT41</f>
        <v/>
      </c>
      <c r="BU106" s="1013">
        <f>+BU41</f>
        <v/>
      </c>
      <c r="BV106" s="1014">
        <f>+BV41</f>
        <v/>
      </c>
      <c r="BW106" s="1013">
        <f>+BW41</f>
        <v/>
      </c>
      <c r="BX106" s="183">
        <f>+BX41</f>
        <v/>
      </c>
      <c r="BY106" s="1013">
        <f>+BY41</f>
        <v/>
      </c>
      <c r="BZ106" s="1013">
        <f>+BZ41</f>
        <v/>
      </c>
      <c r="CA106" s="1013">
        <f>+CA41</f>
        <v/>
      </c>
      <c r="CB106" s="1013">
        <f>+CB41</f>
        <v/>
      </c>
      <c r="CC106" s="183">
        <f>+CC41</f>
        <v/>
      </c>
      <c r="CD106" s="183">
        <f>+CD41</f>
        <v/>
      </c>
      <c r="CE106" s="183">
        <f>+CE41</f>
        <v/>
      </c>
      <c r="CF106" s="183">
        <f>+CF41</f>
        <v/>
      </c>
      <c r="CG106" s="1013" t="n"/>
    </row>
    <row r="107" hidden="1" outlineLevel="1">
      <c r="A107" s="197" t="inlineStr">
        <is>
          <t>LTM EBIT</t>
        </is>
      </c>
      <c r="B107" s="198" t="n"/>
      <c r="C107" s="183">
        <f>C106</f>
        <v/>
      </c>
      <c r="D107" s="183">
        <f>D106</f>
        <v/>
      </c>
      <c r="E107" s="183">
        <f>E106</f>
        <v/>
      </c>
      <c r="F107" s="183">
        <f>F106</f>
        <v/>
      </c>
      <c r="G107" s="1013" t="n"/>
      <c r="H107" s="1013" t="n"/>
      <c r="I107" s="1013" t="n"/>
      <c r="J107" s="1013">
        <f>SUM(J106,I106,H106,G106)</f>
        <v/>
      </c>
      <c r="K107" s="183">
        <f>K106</f>
        <v/>
      </c>
      <c r="L107" s="1013">
        <f>SUM(L106,J106,I106,H106)</f>
        <v/>
      </c>
      <c r="M107" s="1013">
        <f>SUM(M106,L106,J106,I106)</f>
        <v/>
      </c>
      <c r="N107" s="1013">
        <f>SUM(N106,M106,L106,J106)</f>
        <v/>
      </c>
      <c r="O107" s="1013">
        <f>SUM(O106,N106,M106,L106)</f>
        <v/>
      </c>
      <c r="P107" s="183">
        <f>P106</f>
        <v/>
      </c>
      <c r="Q107" s="1013">
        <f>SUM(Q106,O106,N106,M106)</f>
        <v/>
      </c>
      <c r="R107" s="1013">
        <f>SUM(R106,Q106,O106,N106)</f>
        <v/>
      </c>
      <c r="S107" s="1013">
        <f>SUM(S106,R106,Q106,O106)</f>
        <v/>
      </c>
      <c r="T107" s="1013">
        <f>SUM(T106,S106,R106,Q106)</f>
        <v/>
      </c>
      <c r="U107" s="183">
        <f>U106</f>
        <v/>
      </c>
      <c r="V107" s="1013">
        <f>SUM(V106,T106,S106,R106)</f>
        <v/>
      </c>
      <c r="W107" s="1013">
        <f>SUM(W106,V106,T106,S106)</f>
        <v/>
      </c>
      <c r="X107" s="1013">
        <f>SUM(X106,W106,V106,T106)</f>
        <v/>
      </c>
      <c r="Y107" s="1013">
        <f>SUM(Y106,X106,W106,V106)</f>
        <v/>
      </c>
      <c r="Z107" s="183">
        <f>Z106</f>
        <v/>
      </c>
      <c r="AA107" s="1013">
        <f>SUM(AA106,Y106,X106,W106)</f>
        <v/>
      </c>
      <c r="AB107" s="1013">
        <f>SUM(AB106,AA106,Y106,X106)</f>
        <v/>
      </c>
      <c r="AC107" s="1013">
        <f>SUM(AC106,AB106,AA106,Y106)</f>
        <v/>
      </c>
      <c r="AD107" s="1013">
        <f>SUM(AD106,AC106,AB106,AA106)</f>
        <v/>
      </c>
      <c r="AE107" s="183">
        <f>AE106</f>
        <v/>
      </c>
      <c r="AF107" s="1013">
        <f>SUM(AF106,AD106,AC106,AB106)</f>
        <v/>
      </c>
      <c r="AG107" s="1013">
        <f>SUM(AG106,AF106,AD106,AC106)</f>
        <v/>
      </c>
      <c r="AH107" s="1013">
        <f>SUM(AH106,AG106,AF106,AD106)</f>
        <v/>
      </c>
      <c r="AI107" s="1013">
        <f>SUM(AI106,AH106,AG106,AF106)</f>
        <v/>
      </c>
      <c r="AJ107" s="183">
        <f>AJ106</f>
        <v/>
      </c>
      <c r="AK107" s="1013">
        <f>SUM(AK106,AI106,AH106,AG106)</f>
        <v/>
      </c>
      <c r="AL107" s="1013">
        <f>SUM(AL106,AK106,AI106,AH106)</f>
        <v/>
      </c>
      <c r="AM107" s="1013">
        <f>SUM(AM106,AL106,AK106,AI106)</f>
        <v/>
      </c>
      <c r="AN107" s="1013">
        <f>SUM(AN106,AM106,AL106,AK106)</f>
        <v/>
      </c>
      <c r="AO107" s="183">
        <f>AO106</f>
        <v/>
      </c>
      <c r="AP107" s="1013">
        <f>SUM(AP106,AN106,AM106,AL106)</f>
        <v/>
      </c>
      <c r="AQ107" s="1013">
        <f>SUM(AQ106,AP106,AN106,AM106)</f>
        <v/>
      </c>
      <c r="AR107" s="1013">
        <f>SUM(AR106,AQ106,AP106,AN106)</f>
        <v/>
      </c>
      <c r="AS107" s="1013">
        <f>SUM(AS106,AR106,AQ106,AP106)</f>
        <v/>
      </c>
      <c r="AT107" s="183">
        <f>AT106</f>
        <v/>
      </c>
      <c r="AU107" s="1013">
        <f>SUM(AU106,AS106,AR106,AQ106)</f>
        <v/>
      </c>
      <c r="AV107" s="1013">
        <f>SUM(AV106,AU106,AS106,AR106)</f>
        <v/>
      </c>
      <c r="AW107" s="1013">
        <f>SUM(AW106,AV106,AU106,AS106)</f>
        <v/>
      </c>
      <c r="AX107" s="1013">
        <f>SUM(AX106,AW106,AV106,AU106)</f>
        <v/>
      </c>
      <c r="AY107" s="183">
        <f>AY106</f>
        <v/>
      </c>
      <c r="AZ107" s="1013">
        <f>SUM(AZ106,AX106,AW106,AV106)</f>
        <v/>
      </c>
      <c r="BA107" s="1013">
        <f>SUM(BA106,AZ106,AX106,AW106)</f>
        <v/>
      </c>
      <c r="BB107" s="1013">
        <f>SUM(BB106,BA106,AZ106,AX106)</f>
        <v/>
      </c>
      <c r="BC107" s="1013">
        <f>SUM(BC106,BB106,BA106,AZ106)</f>
        <v/>
      </c>
      <c r="BD107" s="183">
        <f>BD106</f>
        <v/>
      </c>
      <c r="BE107" s="1013">
        <f>SUM(BE106,BC106,BB106,BA106)</f>
        <v/>
      </c>
      <c r="BF107" s="1013">
        <f>SUM(BF106,BE106,BC106,BB106)</f>
        <v/>
      </c>
      <c r="BG107" s="1013">
        <f>SUM(BG106,BF106,BE106,BC106)</f>
        <v/>
      </c>
      <c r="BH107" s="1013">
        <f>SUM(BH106,BG106,BF106,BE106)</f>
        <v/>
      </c>
      <c r="BI107" s="183">
        <f>BI106</f>
        <v/>
      </c>
      <c r="BJ107" s="1013">
        <f>SUM(BJ106,BH106,BG106,BF106)</f>
        <v/>
      </c>
      <c r="BK107" s="1013">
        <f>SUM(BK106,BJ106,BH106,BG106)</f>
        <v/>
      </c>
      <c r="BL107" s="1013">
        <f>SUM(BL106,BK106,BJ106,BH106)</f>
        <v/>
      </c>
      <c r="BM107" s="1013">
        <f>SUM(BM106,BL106,BK106,BJ106)</f>
        <v/>
      </c>
      <c r="BN107" s="183">
        <f>BN106</f>
        <v/>
      </c>
      <c r="BO107" s="1013">
        <f>SUM(BO106,BM106,BL106,BK106)</f>
        <v/>
      </c>
      <c r="BP107" s="1013">
        <f>SUM(BP106,BO106,BM106,BL106)</f>
        <v/>
      </c>
      <c r="BQ107" s="1013">
        <f>SUM(BQ106,BP106,BO106,BM106)</f>
        <v/>
      </c>
      <c r="BR107" s="1013">
        <f>SUM(BR106,BQ106,BP106,BO106)</f>
        <v/>
      </c>
      <c r="BS107" s="183">
        <f>BS106</f>
        <v/>
      </c>
      <c r="BT107" s="1013">
        <f>SUM(BT106,BR106,BQ106,BP106)</f>
        <v/>
      </c>
      <c r="BU107" s="1013">
        <f>SUM(BU106,BT106,BR106,BQ106)</f>
        <v/>
      </c>
      <c r="BV107" s="1014">
        <f>SUM(BV106,BU106,BT106,BR106)</f>
        <v/>
      </c>
      <c r="BW107" s="1013">
        <f>SUM(BW106,BV106,BU106,BT106)</f>
        <v/>
      </c>
      <c r="BX107" s="183">
        <f>BX106</f>
        <v/>
      </c>
      <c r="BY107" s="1013">
        <f>SUM(BY106,BW106,BV106,BU106)</f>
        <v/>
      </c>
      <c r="BZ107" s="1013">
        <f>SUM(BZ106,BY106,BW106,BV106)</f>
        <v/>
      </c>
      <c r="CA107" s="1013">
        <f>SUM(CA106,BZ106,BY106,BW106)</f>
        <v/>
      </c>
      <c r="CB107" s="1013">
        <f>SUM(CB106,CA106,BZ106,BY106)</f>
        <v/>
      </c>
      <c r="CC107" s="183">
        <f>CC106</f>
        <v/>
      </c>
      <c r="CD107" s="183">
        <f>CD106</f>
        <v/>
      </c>
      <c r="CE107" s="183">
        <f>CE106</f>
        <v/>
      </c>
      <c r="CF107" s="183">
        <f>CF106</f>
        <v/>
      </c>
      <c r="CG107" s="1013" t="n"/>
    </row>
    <row r="108" hidden="1" outlineLevel="1">
      <c r="A108" s="197" t="inlineStr">
        <is>
          <t>Current Liabilities</t>
        </is>
      </c>
      <c r="B108" s="198" t="n"/>
      <c r="C108" s="183">
        <f>INDEX(MO_BS_CL,0,COLUMN())</f>
        <v/>
      </c>
      <c r="D108" s="183">
        <f>INDEX(MO_BS_CL,0,COLUMN())</f>
        <v/>
      </c>
      <c r="E108" s="183">
        <f>INDEX(MO_BS_CL,0,COLUMN())</f>
        <v/>
      </c>
      <c r="F108" s="183">
        <f>INDEX(MO_BS_CL,0,COLUMN())</f>
        <v/>
      </c>
      <c r="G108" s="1013">
        <f>INDEX(MO_BS_CL,0,COLUMN())</f>
        <v/>
      </c>
      <c r="H108" s="1013">
        <f>INDEX(MO_BS_CL,0,COLUMN())</f>
        <v/>
      </c>
      <c r="I108" s="1013">
        <f>INDEX(MO_BS_CL,0,COLUMN())</f>
        <v/>
      </c>
      <c r="J108" s="1013">
        <f>INDEX(MO_BS_CL,0,COLUMN())</f>
        <v/>
      </c>
      <c r="K108" s="183">
        <f>INDEX(MO_BS_CL,0,COLUMN())</f>
        <v/>
      </c>
      <c r="L108" s="1013">
        <f>INDEX(MO_BS_CL,0,COLUMN())</f>
        <v/>
      </c>
      <c r="M108" s="1013">
        <f>INDEX(MO_BS_CL,0,COLUMN())</f>
        <v/>
      </c>
      <c r="N108" s="1013">
        <f>INDEX(MO_BS_CL,0,COLUMN())</f>
        <v/>
      </c>
      <c r="O108" s="1013">
        <f>INDEX(MO_BS_CL,0,COLUMN())</f>
        <v/>
      </c>
      <c r="P108" s="183">
        <f>INDEX(MO_BS_CL,0,COLUMN())</f>
        <v/>
      </c>
      <c r="Q108" s="1013">
        <f>INDEX(MO_BS_CL,0,COLUMN())</f>
        <v/>
      </c>
      <c r="R108" s="1013">
        <f>INDEX(MO_BS_CL,0,COLUMN())</f>
        <v/>
      </c>
      <c r="S108" s="1013">
        <f>INDEX(MO_BS_CL,0,COLUMN())</f>
        <v/>
      </c>
      <c r="T108" s="1013">
        <f>INDEX(MO_BS_CL,0,COLUMN())</f>
        <v/>
      </c>
      <c r="U108" s="183">
        <f>INDEX(MO_BS_CL,0,COLUMN())</f>
        <v/>
      </c>
      <c r="V108" s="1013">
        <f>INDEX(MO_BS_CL,0,COLUMN())</f>
        <v/>
      </c>
      <c r="W108" s="1013">
        <f>INDEX(MO_BS_CL,0,COLUMN())</f>
        <v/>
      </c>
      <c r="X108" s="1013">
        <f>INDEX(MO_BS_CL,0,COLUMN())</f>
        <v/>
      </c>
      <c r="Y108" s="1013">
        <f>INDEX(MO_BS_CL,0,COLUMN())</f>
        <v/>
      </c>
      <c r="Z108" s="183">
        <f>INDEX(MO_BS_CL,0,COLUMN())</f>
        <v/>
      </c>
      <c r="AA108" s="1013">
        <f>INDEX(MO_BS_CL,0,COLUMN())</f>
        <v/>
      </c>
      <c r="AB108" s="1013">
        <f>INDEX(MO_BS_CL,0,COLUMN())</f>
        <v/>
      </c>
      <c r="AC108" s="1013">
        <f>INDEX(MO_BS_CL,0,COLUMN())</f>
        <v/>
      </c>
      <c r="AD108" s="1013">
        <f>INDEX(MO_BS_CL,0,COLUMN())</f>
        <v/>
      </c>
      <c r="AE108" s="183">
        <f>INDEX(MO_BS_CL,0,COLUMN())</f>
        <v/>
      </c>
      <c r="AF108" s="1013">
        <f>INDEX(MO_BS_CL,0,COLUMN())</f>
        <v/>
      </c>
      <c r="AG108" s="1013">
        <f>INDEX(MO_BS_CL,0,COLUMN())</f>
        <v/>
      </c>
      <c r="AH108" s="1013">
        <f>INDEX(MO_BS_CL,0,COLUMN())</f>
        <v/>
      </c>
      <c r="AI108" s="1013">
        <f>INDEX(MO_BS_CL,0,COLUMN())</f>
        <v/>
      </c>
      <c r="AJ108" s="183">
        <f>INDEX(MO_BS_CL,0,COLUMN())</f>
        <v/>
      </c>
      <c r="AK108" s="1013">
        <f>INDEX(MO_BS_CL,0,COLUMN())</f>
        <v/>
      </c>
      <c r="AL108" s="1013">
        <f>INDEX(MO_BS_CL,0,COLUMN())</f>
        <v/>
      </c>
      <c r="AM108" s="1013">
        <f>INDEX(MO_BS_CL,0,COLUMN())</f>
        <v/>
      </c>
      <c r="AN108" s="1013">
        <f>INDEX(MO_BS_CL,0,COLUMN())</f>
        <v/>
      </c>
      <c r="AO108" s="183">
        <f>INDEX(MO_BS_CL,0,COLUMN())</f>
        <v/>
      </c>
      <c r="AP108" s="1013">
        <f>INDEX(MO_BS_CL,0,COLUMN())</f>
        <v/>
      </c>
      <c r="AQ108" s="1013">
        <f>INDEX(MO_BS_CL,0,COLUMN())</f>
        <v/>
      </c>
      <c r="AR108" s="1013">
        <f>INDEX(MO_BS_CL,0,COLUMN())</f>
        <v/>
      </c>
      <c r="AS108" s="1013">
        <f>INDEX(MO_BS_CL,0,COLUMN())</f>
        <v/>
      </c>
      <c r="AT108" s="183">
        <f>INDEX(MO_BS_CL,0,COLUMN())</f>
        <v/>
      </c>
      <c r="AU108" s="1013">
        <f>INDEX(MO_BS_CL,0,COLUMN())</f>
        <v/>
      </c>
      <c r="AV108" s="1013">
        <f>INDEX(MO_BS_CL,0,COLUMN())</f>
        <v/>
      </c>
      <c r="AW108" s="1013">
        <f>INDEX(MO_BS_CL,0,COLUMN())</f>
        <v/>
      </c>
      <c r="AX108" s="1013">
        <f>INDEX(MO_BS_CL,0,COLUMN())</f>
        <v/>
      </c>
      <c r="AY108" s="183">
        <f>INDEX(MO_BS_CL,0,COLUMN())</f>
        <v/>
      </c>
      <c r="AZ108" s="1013">
        <f>INDEX(MO_BS_CL,0,COLUMN())</f>
        <v/>
      </c>
      <c r="BA108" s="1013">
        <f>INDEX(MO_BS_CL,0,COLUMN())</f>
        <v/>
      </c>
      <c r="BB108" s="1013">
        <f>INDEX(MO_BS_CL,0,COLUMN())</f>
        <v/>
      </c>
      <c r="BC108" s="1013">
        <f>INDEX(MO_BS_CL,0,COLUMN())</f>
        <v/>
      </c>
      <c r="BD108" s="183">
        <f>INDEX(MO_BS_CL,0,COLUMN())</f>
        <v/>
      </c>
      <c r="BE108" s="1013">
        <f>INDEX(MO_BS_CL,0,COLUMN())</f>
        <v/>
      </c>
      <c r="BF108" s="1013">
        <f>INDEX(MO_BS_CL,0,COLUMN())</f>
        <v/>
      </c>
      <c r="BG108" s="1013">
        <f>INDEX(MO_BS_CL,0,COLUMN())</f>
        <v/>
      </c>
      <c r="BH108" s="1013">
        <f>INDEX(MO_BS_CL,0,COLUMN())</f>
        <v/>
      </c>
      <c r="BI108" s="183">
        <f>INDEX(MO_BS_CL,0,COLUMN())</f>
        <v/>
      </c>
      <c r="BJ108" s="1013">
        <f>INDEX(MO_BS_CL,0,COLUMN())</f>
        <v/>
      </c>
      <c r="BK108" s="1013">
        <f>INDEX(MO_BS_CL,0,COLUMN())</f>
        <v/>
      </c>
      <c r="BL108" s="1013">
        <f>INDEX(MO_BS_CL,0,COLUMN())</f>
        <v/>
      </c>
      <c r="BM108" s="1013">
        <f>INDEX(MO_BS_CL,0,COLUMN())</f>
        <v/>
      </c>
      <c r="BN108" s="183">
        <f>INDEX(MO_BS_CL,0,COLUMN())</f>
        <v/>
      </c>
      <c r="BO108" s="1013">
        <f>INDEX(MO_BS_CL,0,COLUMN())</f>
        <v/>
      </c>
      <c r="BP108" s="1013">
        <f>INDEX(MO_BS_CL,0,COLUMN())</f>
        <v/>
      </c>
      <c r="BQ108" s="1013">
        <f>INDEX(MO_BS_CL,0,COLUMN())</f>
        <v/>
      </c>
      <c r="BR108" s="1013">
        <f>INDEX(MO_BS_CL,0,COLUMN())</f>
        <v/>
      </c>
      <c r="BS108" s="183">
        <f>INDEX(MO_BS_CL,0,COLUMN())</f>
        <v/>
      </c>
      <c r="BT108" s="1013">
        <f>INDEX(MO_BS_CL,0,COLUMN())</f>
        <v/>
      </c>
      <c r="BU108" s="1013">
        <f>INDEX(MO_BS_CL,0,COLUMN())</f>
        <v/>
      </c>
      <c r="BV108" s="1014">
        <f>INDEX(MO_BS_CL,0,COLUMN())</f>
        <v/>
      </c>
      <c r="BW108" s="1013">
        <f>INDEX(MO_BS_CL,0,COLUMN())</f>
        <v/>
      </c>
      <c r="BX108" s="183">
        <f>INDEX(MO_BS_CL,0,COLUMN())</f>
        <v/>
      </c>
      <c r="BY108" s="1013">
        <f>INDEX(MO_BS_CL,0,COLUMN())</f>
        <v/>
      </c>
      <c r="BZ108" s="1013">
        <f>INDEX(MO_BS_CL,0,COLUMN())</f>
        <v/>
      </c>
      <c r="CA108" s="1013">
        <f>INDEX(MO_BS_CL,0,COLUMN())</f>
        <v/>
      </c>
      <c r="CB108" s="1013">
        <f>INDEX(MO_BS_CL,0,COLUMN())</f>
        <v/>
      </c>
      <c r="CC108" s="183">
        <f>INDEX(MO_BS_CL,0,COLUMN())</f>
        <v/>
      </c>
      <c r="CD108" s="183">
        <f>INDEX(MO_BS_CL,0,COLUMN())</f>
        <v/>
      </c>
      <c r="CE108" s="183">
        <f>INDEX(MO_BS_CL,0,COLUMN())</f>
        <v/>
      </c>
      <c r="CF108" s="183">
        <f>INDEX(MO_BS_CL,0,COLUMN())</f>
        <v/>
      </c>
      <c r="CG108" s="1013" t="n"/>
    </row>
    <row r="109" hidden="1" outlineLevel="1">
      <c r="A109" s="197" t="inlineStr">
        <is>
          <t>Average Current Liabilities</t>
        </is>
      </c>
      <c r="B109" s="198" t="n"/>
      <c r="C109" s="183">
        <f>C108</f>
        <v/>
      </c>
      <c r="D109" s="183">
        <f>AVERAGE(D108,C108)</f>
        <v/>
      </c>
      <c r="E109" s="183">
        <f>AVERAGE(E108,D108)</f>
        <v/>
      </c>
      <c r="F109" s="183">
        <f>AVERAGE(F108,E108)</f>
        <v/>
      </c>
      <c r="G109" s="1013" t="n"/>
      <c r="H109" s="1013" t="n"/>
      <c r="I109" s="1013" t="n"/>
      <c r="J109" s="1013">
        <f>AVERAGE(J108,I108,H108,G108)</f>
        <v/>
      </c>
      <c r="K109" s="183">
        <f>AVERAGE(K108,F108)</f>
        <v/>
      </c>
      <c r="L109" s="1013">
        <f>AVERAGE(L108,J108,I108,H108)</f>
        <v/>
      </c>
      <c r="M109" s="1013">
        <f>AVERAGE(M108,L108,J108,I108)</f>
        <v/>
      </c>
      <c r="N109" s="1013">
        <f>AVERAGE(N108,M108,L108,J108)</f>
        <v/>
      </c>
      <c r="O109" s="1013">
        <f>AVERAGE(O108,N108,M108,L108)</f>
        <v/>
      </c>
      <c r="P109" s="183">
        <f>AVERAGE(P108,K108)</f>
        <v/>
      </c>
      <c r="Q109" s="1013">
        <f>AVERAGE(Q108,O108,N108,M108)</f>
        <v/>
      </c>
      <c r="R109" s="1013">
        <f>AVERAGE(R108,Q108,O108,N108)</f>
        <v/>
      </c>
      <c r="S109" s="1013">
        <f>AVERAGE(S108,R108,Q108,O108)</f>
        <v/>
      </c>
      <c r="T109" s="1013">
        <f>AVERAGE(T108,S108,R108,Q108)</f>
        <v/>
      </c>
      <c r="U109" s="183">
        <f>AVERAGE(U108,P108)</f>
        <v/>
      </c>
      <c r="V109" s="1013">
        <f>AVERAGE(V108,T108,S108,R108)</f>
        <v/>
      </c>
      <c r="W109" s="1013">
        <f>AVERAGE(W108,V108,T108,S108)</f>
        <v/>
      </c>
      <c r="X109" s="1013">
        <f>AVERAGE(X108,W108,V108,T108)</f>
        <v/>
      </c>
      <c r="Y109" s="1013">
        <f>AVERAGE(Y108,X108,W108,V108)</f>
        <v/>
      </c>
      <c r="Z109" s="183">
        <f>AVERAGE(Z108,U108)</f>
        <v/>
      </c>
      <c r="AA109" s="1013">
        <f>AVERAGE(AA108,Y108,X108,W108)</f>
        <v/>
      </c>
      <c r="AB109" s="1013">
        <f>AVERAGE(AB108,AA108,Y108,X108)</f>
        <v/>
      </c>
      <c r="AC109" s="1013">
        <f>AVERAGE(AC108,AB108,AA108,Y108)</f>
        <v/>
      </c>
      <c r="AD109" s="1013">
        <f>AVERAGE(AD108,AC108,AB108,AA108)</f>
        <v/>
      </c>
      <c r="AE109" s="183">
        <f>AVERAGE(AE108,Z108)</f>
        <v/>
      </c>
      <c r="AF109" s="1013">
        <f>AVERAGE(AF108,AD108,AC108,AB108)</f>
        <v/>
      </c>
      <c r="AG109" s="1013">
        <f>AVERAGE(AG108,AF108,AD108,AC108)</f>
        <v/>
      </c>
      <c r="AH109" s="1013">
        <f>AVERAGE(AH108,AG108,AF108,AD108)</f>
        <v/>
      </c>
      <c r="AI109" s="1013">
        <f>AVERAGE(AI108,AH108,AG108,AF108)</f>
        <v/>
      </c>
      <c r="AJ109" s="183">
        <f>AVERAGE(AJ108,AE108)</f>
        <v/>
      </c>
      <c r="AK109" s="1013">
        <f>AVERAGE(AK108,AI108,AH108,AG108)</f>
        <v/>
      </c>
      <c r="AL109" s="1013">
        <f>AVERAGE(AL108,AK108,AI108,AH108)</f>
        <v/>
      </c>
      <c r="AM109" s="1013">
        <f>AVERAGE(AM108,AL108,AK108,AI108)</f>
        <v/>
      </c>
      <c r="AN109" s="1013">
        <f>AVERAGE(AN108,AM108,AL108,AK108)</f>
        <v/>
      </c>
      <c r="AO109" s="183">
        <f>AVERAGE(AO108,AJ108)</f>
        <v/>
      </c>
      <c r="AP109" s="1013">
        <f>AVERAGE(AP108,AN108,AM108,AL108)</f>
        <v/>
      </c>
      <c r="AQ109" s="1013">
        <f>AVERAGE(AQ108,AP108,AN108,AM108)</f>
        <v/>
      </c>
      <c r="AR109" s="1013">
        <f>AVERAGE(AR108,AQ108,AP108,AN108)</f>
        <v/>
      </c>
      <c r="AS109" s="1013">
        <f>AVERAGE(AS108,AR108,AQ108,AP108)</f>
        <v/>
      </c>
      <c r="AT109" s="183">
        <f>AVERAGE(AT108,AO108)</f>
        <v/>
      </c>
      <c r="AU109" s="1013">
        <f>AVERAGE(AU108,AS108,AR108,AQ108)</f>
        <v/>
      </c>
      <c r="AV109" s="1013">
        <f>AVERAGE(AV108,AU108,AS108,AR108)</f>
        <v/>
      </c>
      <c r="AW109" s="1013">
        <f>AVERAGE(AW108,AV108,AU108,AS108)</f>
        <v/>
      </c>
      <c r="AX109" s="1013">
        <f>AVERAGE(AX108,AW108,AV108,AU108)</f>
        <v/>
      </c>
      <c r="AY109" s="183">
        <f>AVERAGE(AY108,AT108)</f>
        <v/>
      </c>
      <c r="AZ109" s="1013">
        <f>AVERAGE(AZ108,AX108,AW108,AV108)</f>
        <v/>
      </c>
      <c r="BA109" s="1013">
        <f>AVERAGE(BA108,AZ108,AX108,AW108)</f>
        <v/>
      </c>
      <c r="BB109" s="1013">
        <f>AVERAGE(BB108,BA108,AZ108,AX108)</f>
        <v/>
      </c>
      <c r="BC109" s="1013">
        <f>AVERAGE(BC108,BB108,BA108,AZ108)</f>
        <v/>
      </c>
      <c r="BD109" s="183">
        <f>AVERAGE(BD108,AY108)</f>
        <v/>
      </c>
      <c r="BE109" s="1013">
        <f>AVERAGE(BE108,BC108,BB108,BA108)</f>
        <v/>
      </c>
      <c r="BF109" s="1013">
        <f>AVERAGE(BF108,BE108,BC108,BB108)</f>
        <v/>
      </c>
      <c r="BG109" s="1013">
        <f>AVERAGE(BG108,BF108,BE108,BC108)</f>
        <v/>
      </c>
      <c r="BH109" s="1013">
        <f>AVERAGE(BH108,BG108,BF108,BE108)</f>
        <v/>
      </c>
      <c r="BI109" s="183">
        <f>AVERAGE(BI108,BD108)</f>
        <v/>
      </c>
      <c r="BJ109" s="1013">
        <f>AVERAGE(BJ108,BH108,BG108,BF108)</f>
        <v/>
      </c>
      <c r="BK109" s="1013">
        <f>AVERAGE(BK108,BJ108,BH108,BG108)</f>
        <v/>
      </c>
      <c r="BL109" s="1013">
        <f>AVERAGE(BL108,BK108,BJ108,BH108)</f>
        <v/>
      </c>
      <c r="BM109" s="1013">
        <f>AVERAGE(BM108,BL108,BK108,BJ108)</f>
        <v/>
      </c>
      <c r="BN109" s="183">
        <f>AVERAGE(BN108,BI108)</f>
        <v/>
      </c>
      <c r="BO109" s="1013">
        <f>AVERAGE(BO108,BM108,BL108,BK108)</f>
        <v/>
      </c>
      <c r="BP109" s="1013">
        <f>AVERAGE(BP108,BO108,BM108,BL108)</f>
        <v/>
      </c>
      <c r="BQ109" s="1013">
        <f>AVERAGE(BQ108,BP108,BO108,BM108)</f>
        <v/>
      </c>
      <c r="BR109" s="1013">
        <f>AVERAGE(BR108,BQ108,BP108,BO108)</f>
        <v/>
      </c>
      <c r="BS109" s="183">
        <f>AVERAGE(BS108,BN108)</f>
        <v/>
      </c>
      <c r="BT109" s="1013">
        <f>AVERAGE(BT108,BR108,BQ108,BP108)</f>
        <v/>
      </c>
      <c r="BU109" s="1013">
        <f>AVERAGE(BU108,BT108,BR108,BQ108)</f>
        <v/>
      </c>
      <c r="BV109" s="1014">
        <f>AVERAGE(BV108,BU108,BT108,BR108)</f>
        <v/>
      </c>
      <c r="BW109" s="1013">
        <f>AVERAGE(BW108,BV108,BU108,BT108)</f>
        <v/>
      </c>
      <c r="BX109" s="183">
        <f>AVERAGE(BX108,BS108)</f>
        <v/>
      </c>
      <c r="BY109" s="1013">
        <f>AVERAGE(BY108,BW108,BV108,BU108)</f>
        <v/>
      </c>
      <c r="BZ109" s="1013">
        <f>AVERAGE(BZ108,BY108,BW108,BV108)</f>
        <v/>
      </c>
      <c r="CA109" s="1013">
        <f>AVERAGE(CA108,BZ108,BY108,BW108)</f>
        <v/>
      </c>
      <c r="CB109" s="1013">
        <f>AVERAGE(CB108,CA108,BZ108,BY108)</f>
        <v/>
      </c>
      <c r="CC109" s="183">
        <f>AVERAGE(CC108,BX108)</f>
        <v/>
      </c>
      <c r="CD109" s="183">
        <f>AVERAGE(CD108,CC108)</f>
        <v/>
      </c>
      <c r="CE109" s="183">
        <f>AVERAGE(CE108,CD108)</f>
        <v/>
      </c>
      <c r="CF109" s="183">
        <f>AVERAGE(CF108,CE108)</f>
        <v/>
      </c>
      <c r="CG109" s="1013" t="n"/>
    </row>
    <row r="110" hidden="1" outlineLevel="1">
      <c r="A110" s="197" t="inlineStr">
        <is>
          <t>Average Capital Employed</t>
        </is>
      </c>
      <c r="B110" s="198" t="n"/>
      <c r="C110" s="183">
        <f>INDEX(SP_BSR_TA_Avg,0,COLUMN())-INDEX(SP_BSR_CL_Avg,0,COLUMN())</f>
        <v/>
      </c>
      <c r="D110" s="183">
        <f>INDEX(SP_BSR_TA_Avg,0,COLUMN())-INDEX(SP_BSR_CL_Avg,0,COLUMN())</f>
        <v/>
      </c>
      <c r="E110" s="183">
        <f>INDEX(SP_BSR_TA_Avg,0,COLUMN())-INDEX(SP_BSR_CL_Avg,0,COLUMN())</f>
        <v/>
      </c>
      <c r="F110" s="183">
        <f>INDEX(SP_BSR_TA_Avg,0,COLUMN())-INDEX(SP_BSR_CL_Avg,0,COLUMN())</f>
        <v/>
      </c>
      <c r="G110" s="1013">
        <f>INDEX(SP_BSR_TA_Avg,0,COLUMN())-INDEX(SP_BSR_CL_Avg,0,COLUMN())</f>
        <v/>
      </c>
      <c r="H110" s="1013">
        <f>INDEX(SP_BSR_TA_Avg,0,COLUMN())-INDEX(SP_BSR_CL_Avg,0,COLUMN())</f>
        <v/>
      </c>
      <c r="I110" s="1013">
        <f>INDEX(SP_BSR_TA_Avg,0,COLUMN())-INDEX(SP_BSR_CL_Avg,0,COLUMN())</f>
        <v/>
      </c>
      <c r="J110" s="1013">
        <f>INDEX(SP_BSR_TA_Avg,0,COLUMN())-INDEX(SP_BSR_CL_Avg,0,COLUMN())</f>
        <v/>
      </c>
      <c r="K110" s="183">
        <f>INDEX(SP_BSR_TA_Avg,0,COLUMN())-INDEX(SP_BSR_CL_Avg,0,COLUMN())</f>
        <v/>
      </c>
      <c r="L110" s="1013">
        <f>INDEX(SP_BSR_TA_Avg,0,COLUMN())-INDEX(SP_BSR_CL_Avg,0,COLUMN())</f>
        <v/>
      </c>
      <c r="M110" s="1013">
        <f>INDEX(SP_BSR_TA_Avg,0,COLUMN())-INDEX(SP_BSR_CL_Avg,0,COLUMN())</f>
        <v/>
      </c>
      <c r="N110" s="1013">
        <f>INDEX(SP_BSR_TA_Avg,0,COLUMN())-INDEX(SP_BSR_CL_Avg,0,COLUMN())</f>
        <v/>
      </c>
      <c r="O110" s="1013">
        <f>INDEX(SP_BSR_TA_Avg,0,COLUMN())-INDEX(SP_BSR_CL_Avg,0,COLUMN())</f>
        <v/>
      </c>
      <c r="P110" s="183">
        <f>INDEX(SP_BSR_TA_Avg,0,COLUMN())-INDEX(SP_BSR_CL_Avg,0,COLUMN())</f>
        <v/>
      </c>
      <c r="Q110" s="1013">
        <f>INDEX(SP_BSR_TA_Avg,0,COLUMN())-INDEX(SP_BSR_CL_Avg,0,COLUMN())</f>
        <v/>
      </c>
      <c r="R110" s="1013">
        <f>INDEX(SP_BSR_TA_Avg,0,COLUMN())-INDEX(SP_BSR_CL_Avg,0,COLUMN())</f>
        <v/>
      </c>
      <c r="S110" s="1013">
        <f>INDEX(SP_BSR_TA_Avg,0,COLUMN())-INDEX(SP_BSR_CL_Avg,0,COLUMN())</f>
        <v/>
      </c>
      <c r="T110" s="1013">
        <f>INDEX(SP_BSR_TA_Avg,0,COLUMN())-INDEX(SP_BSR_CL_Avg,0,COLUMN())</f>
        <v/>
      </c>
      <c r="U110" s="183">
        <f>INDEX(SP_BSR_TA_Avg,0,COLUMN())-INDEX(SP_BSR_CL_Avg,0,COLUMN())</f>
        <v/>
      </c>
      <c r="V110" s="1013">
        <f>INDEX(SP_BSR_TA_Avg,0,COLUMN())-INDEX(SP_BSR_CL_Avg,0,COLUMN())</f>
        <v/>
      </c>
      <c r="W110" s="1013">
        <f>INDEX(SP_BSR_TA_Avg,0,COLUMN())-INDEX(SP_BSR_CL_Avg,0,COLUMN())</f>
        <v/>
      </c>
      <c r="X110" s="1013">
        <f>INDEX(SP_BSR_TA_Avg,0,COLUMN())-INDEX(SP_BSR_CL_Avg,0,COLUMN())</f>
        <v/>
      </c>
      <c r="Y110" s="1013">
        <f>INDEX(SP_BSR_TA_Avg,0,COLUMN())-INDEX(SP_BSR_CL_Avg,0,COLUMN())</f>
        <v/>
      </c>
      <c r="Z110" s="183">
        <f>INDEX(SP_BSR_TA_Avg,0,COLUMN())-INDEX(SP_BSR_CL_Avg,0,COLUMN())</f>
        <v/>
      </c>
      <c r="AA110" s="1013">
        <f>INDEX(SP_BSR_TA_Avg,0,COLUMN())-INDEX(SP_BSR_CL_Avg,0,COLUMN())</f>
        <v/>
      </c>
      <c r="AB110" s="1013">
        <f>INDEX(SP_BSR_TA_Avg,0,COLUMN())-INDEX(SP_BSR_CL_Avg,0,COLUMN())</f>
        <v/>
      </c>
      <c r="AC110" s="1013">
        <f>INDEX(SP_BSR_TA_Avg,0,COLUMN())-INDEX(SP_BSR_CL_Avg,0,COLUMN())</f>
        <v/>
      </c>
      <c r="AD110" s="1013">
        <f>INDEX(SP_BSR_TA_Avg,0,COLUMN())-INDEX(SP_BSR_CL_Avg,0,COLUMN())</f>
        <v/>
      </c>
      <c r="AE110" s="183">
        <f>INDEX(SP_BSR_TA_Avg,0,COLUMN())-INDEX(SP_BSR_CL_Avg,0,COLUMN())</f>
        <v/>
      </c>
      <c r="AF110" s="1013">
        <f>INDEX(SP_BSR_TA_Avg,0,COLUMN())-INDEX(SP_BSR_CL_Avg,0,COLUMN())</f>
        <v/>
      </c>
      <c r="AG110" s="1013">
        <f>INDEX(SP_BSR_TA_Avg,0,COLUMN())-INDEX(SP_BSR_CL_Avg,0,COLUMN())</f>
        <v/>
      </c>
      <c r="AH110" s="1013">
        <f>INDEX(SP_BSR_TA_Avg,0,COLUMN())-INDEX(SP_BSR_CL_Avg,0,COLUMN())</f>
        <v/>
      </c>
      <c r="AI110" s="1013">
        <f>INDEX(SP_BSR_TA_Avg,0,COLUMN())-INDEX(SP_BSR_CL_Avg,0,COLUMN())</f>
        <v/>
      </c>
      <c r="AJ110" s="183">
        <f>INDEX(SP_BSR_TA_Avg,0,COLUMN())-INDEX(SP_BSR_CL_Avg,0,COLUMN())</f>
        <v/>
      </c>
      <c r="AK110" s="1013">
        <f>INDEX(SP_BSR_TA_Avg,0,COLUMN())-INDEX(SP_BSR_CL_Avg,0,COLUMN())</f>
        <v/>
      </c>
      <c r="AL110" s="1013">
        <f>INDEX(SP_BSR_TA_Avg,0,COLUMN())-INDEX(SP_BSR_CL_Avg,0,COLUMN())</f>
        <v/>
      </c>
      <c r="AM110" s="1013">
        <f>INDEX(SP_BSR_TA_Avg,0,COLUMN())-INDEX(SP_BSR_CL_Avg,0,COLUMN())</f>
        <v/>
      </c>
      <c r="AN110" s="1013">
        <f>INDEX(SP_BSR_TA_Avg,0,COLUMN())-INDEX(SP_BSR_CL_Avg,0,COLUMN())</f>
        <v/>
      </c>
      <c r="AO110" s="183">
        <f>INDEX(SP_BSR_TA_Avg,0,COLUMN())-INDEX(SP_BSR_CL_Avg,0,COLUMN())</f>
        <v/>
      </c>
      <c r="AP110" s="1013">
        <f>INDEX(SP_BSR_TA_Avg,0,COLUMN())-INDEX(SP_BSR_CL_Avg,0,COLUMN())</f>
        <v/>
      </c>
      <c r="AQ110" s="1013">
        <f>INDEX(SP_BSR_TA_Avg,0,COLUMN())-INDEX(SP_BSR_CL_Avg,0,COLUMN())</f>
        <v/>
      </c>
      <c r="AR110" s="1013">
        <f>INDEX(SP_BSR_TA_Avg,0,COLUMN())-INDEX(SP_BSR_CL_Avg,0,COLUMN())</f>
        <v/>
      </c>
      <c r="AS110" s="1013">
        <f>INDEX(SP_BSR_TA_Avg,0,COLUMN())-INDEX(SP_BSR_CL_Avg,0,COLUMN())</f>
        <v/>
      </c>
      <c r="AT110" s="183">
        <f>INDEX(SP_BSR_TA_Avg,0,COLUMN())-INDEX(SP_BSR_CL_Avg,0,COLUMN())</f>
        <v/>
      </c>
      <c r="AU110" s="1013">
        <f>INDEX(SP_BSR_TA_Avg,0,COLUMN())-INDEX(SP_BSR_CL_Avg,0,COLUMN())</f>
        <v/>
      </c>
      <c r="AV110" s="1013">
        <f>INDEX(SP_BSR_TA_Avg,0,COLUMN())-INDEX(SP_BSR_CL_Avg,0,COLUMN())</f>
        <v/>
      </c>
      <c r="AW110" s="1013">
        <f>INDEX(SP_BSR_TA_Avg,0,COLUMN())-INDEX(SP_BSR_CL_Avg,0,COLUMN())</f>
        <v/>
      </c>
      <c r="AX110" s="1013">
        <f>INDEX(SP_BSR_TA_Avg,0,COLUMN())-INDEX(SP_BSR_CL_Avg,0,COLUMN())</f>
        <v/>
      </c>
      <c r="AY110" s="183">
        <f>INDEX(SP_BSR_TA_Avg,0,COLUMN())-INDEX(SP_BSR_CL_Avg,0,COLUMN())</f>
        <v/>
      </c>
      <c r="AZ110" s="1013">
        <f>INDEX(SP_BSR_TA_Avg,0,COLUMN())-INDEX(SP_BSR_CL_Avg,0,COLUMN())</f>
        <v/>
      </c>
      <c r="BA110" s="1013">
        <f>INDEX(SP_BSR_TA_Avg,0,COLUMN())-INDEX(SP_BSR_CL_Avg,0,COLUMN())</f>
        <v/>
      </c>
      <c r="BB110" s="1013">
        <f>INDEX(SP_BSR_TA_Avg,0,COLUMN())-INDEX(SP_BSR_CL_Avg,0,COLUMN())</f>
        <v/>
      </c>
      <c r="BC110" s="1013">
        <f>INDEX(SP_BSR_TA_Avg,0,COLUMN())-INDEX(SP_BSR_CL_Avg,0,COLUMN())</f>
        <v/>
      </c>
      <c r="BD110" s="183">
        <f>INDEX(SP_BSR_TA_Avg,0,COLUMN())-INDEX(SP_BSR_CL_Avg,0,COLUMN())</f>
        <v/>
      </c>
      <c r="BE110" s="1013">
        <f>INDEX(SP_BSR_TA_Avg,0,COLUMN())-INDEX(SP_BSR_CL_Avg,0,COLUMN())</f>
        <v/>
      </c>
      <c r="BF110" s="1013">
        <f>INDEX(SP_BSR_TA_Avg,0,COLUMN())-INDEX(SP_BSR_CL_Avg,0,COLUMN())</f>
        <v/>
      </c>
      <c r="BG110" s="1013">
        <f>INDEX(SP_BSR_TA_Avg,0,COLUMN())-INDEX(SP_BSR_CL_Avg,0,COLUMN())</f>
        <v/>
      </c>
      <c r="BH110" s="1013">
        <f>INDEX(SP_BSR_TA_Avg,0,COLUMN())-INDEX(SP_BSR_CL_Avg,0,COLUMN())</f>
        <v/>
      </c>
      <c r="BI110" s="183">
        <f>INDEX(SP_BSR_TA_Avg,0,COLUMN())-INDEX(SP_BSR_CL_Avg,0,COLUMN())</f>
        <v/>
      </c>
      <c r="BJ110" s="1013">
        <f>INDEX(SP_BSR_TA_Avg,0,COLUMN())-INDEX(SP_BSR_CL_Avg,0,COLUMN())</f>
        <v/>
      </c>
      <c r="BK110" s="1013">
        <f>INDEX(SP_BSR_TA_Avg,0,COLUMN())-INDEX(SP_BSR_CL_Avg,0,COLUMN())</f>
        <v/>
      </c>
      <c r="BL110" s="1013">
        <f>INDEX(SP_BSR_TA_Avg,0,COLUMN())-INDEX(SP_BSR_CL_Avg,0,COLUMN())</f>
        <v/>
      </c>
      <c r="BM110" s="1013">
        <f>INDEX(SP_BSR_TA_Avg,0,COLUMN())-INDEX(SP_BSR_CL_Avg,0,COLUMN())</f>
        <v/>
      </c>
      <c r="BN110" s="183">
        <f>INDEX(SP_BSR_TA_Avg,0,COLUMN())-INDEX(SP_BSR_CL_Avg,0,COLUMN())</f>
        <v/>
      </c>
      <c r="BO110" s="1013">
        <f>INDEX(SP_BSR_TA_Avg,0,COLUMN())-INDEX(SP_BSR_CL_Avg,0,COLUMN())</f>
        <v/>
      </c>
      <c r="BP110" s="1013">
        <f>INDEX(SP_BSR_TA_Avg,0,COLUMN())-INDEX(SP_BSR_CL_Avg,0,COLUMN())</f>
        <v/>
      </c>
      <c r="BQ110" s="1013">
        <f>INDEX(SP_BSR_TA_Avg,0,COLUMN())-INDEX(SP_BSR_CL_Avg,0,COLUMN())</f>
        <v/>
      </c>
      <c r="BR110" s="1013">
        <f>INDEX(SP_BSR_TA_Avg,0,COLUMN())-INDEX(SP_BSR_CL_Avg,0,COLUMN())</f>
        <v/>
      </c>
      <c r="BS110" s="183">
        <f>INDEX(SP_BSR_TA_Avg,0,COLUMN())-INDEX(SP_BSR_CL_Avg,0,COLUMN())</f>
        <v/>
      </c>
      <c r="BT110" s="1013">
        <f>INDEX(SP_BSR_TA_Avg,0,COLUMN())-INDEX(SP_BSR_CL_Avg,0,COLUMN())</f>
        <v/>
      </c>
      <c r="BU110" s="1013">
        <f>INDEX(SP_BSR_TA_Avg,0,COLUMN())-INDEX(SP_BSR_CL_Avg,0,COLUMN())</f>
        <v/>
      </c>
      <c r="BV110" s="1014">
        <f>INDEX(SP_BSR_TA_Avg,0,COLUMN())-INDEX(SP_BSR_CL_Avg,0,COLUMN())</f>
        <v/>
      </c>
      <c r="BW110" s="1013">
        <f>INDEX(SP_BSR_TA_Avg,0,COLUMN())-INDEX(SP_BSR_CL_Avg,0,COLUMN())</f>
        <v/>
      </c>
      <c r="BX110" s="183">
        <f>INDEX(SP_BSR_TA_Avg,0,COLUMN())-INDEX(SP_BSR_CL_Avg,0,COLUMN())</f>
        <v/>
      </c>
      <c r="BY110" s="1013">
        <f>INDEX(SP_BSR_TA_Avg,0,COLUMN())-INDEX(SP_BSR_CL_Avg,0,COLUMN())</f>
        <v/>
      </c>
      <c r="BZ110" s="1013">
        <f>INDEX(SP_BSR_TA_Avg,0,COLUMN())-INDEX(SP_BSR_CL_Avg,0,COLUMN())</f>
        <v/>
      </c>
      <c r="CA110" s="1013">
        <f>INDEX(SP_BSR_TA_Avg,0,COLUMN())-INDEX(SP_BSR_CL_Avg,0,COLUMN())</f>
        <v/>
      </c>
      <c r="CB110" s="1013">
        <f>INDEX(SP_BSR_TA_Avg,0,COLUMN())-INDEX(SP_BSR_CL_Avg,0,COLUMN())</f>
        <v/>
      </c>
      <c r="CC110" s="183">
        <f>INDEX(SP_BSR_TA_Avg,0,COLUMN())-INDEX(SP_BSR_CL_Avg,0,COLUMN())</f>
        <v/>
      </c>
      <c r="CD110" s="183">
        <f>INDEX(SP_BSR_TA_Avg,0,COLUMN())-INDEX(SP_BSR_CL_Avg,0,COLUMN())</f>
        <v/>
      </c>
      <c r="CE110" s="183">
        <f>INDEX(SP_BSR_TA_Avg,0,COLUMN())-INDEX(SP_BSR_CL_Avg,0,COLUMN())</f>
        <v/>
      </c>
      <c r="CF110" s="183">
        <f>INDEX(SP_BSR_TA_Avg,0,COLUMN())-INDEX(SP_BSR_CL_Avg,0,COLUMN())</f>
        <v/>
      </c>
      <c r="CG110" s="1013" t="n"/>
    </row>
    <row r="111" collapsed="1" customFormat="1" s="976">
      <c r="A111" s="206" t="inlineStr">
        <is>
          <t>ROCE</t>
        </is>
      </c>
      <c r="B111" s="85" t="n"/>
      <c r="C111" s="1250">
        <f>IF(C110&lt;0,"NMF",IF(ABS(C107/C110)&gt;1,"NMF",C107/C110))</f>
        <v/>
      </c>
      <c r="D111" s="1250">
        <f>IF(D110&lt;0,"NMF",IF(ABS(D107/D110)&gt;1,"NMF",D107/D110))</f>
        <v/>
      </c>
      <c r="E111" s="1250">
        <f>IF(E110&lt;0,"NMF",IF(ABS(E107/E110)&gt;1,"NMF",E107/E110))</f>
        <v/>
      </c>
      <c r="F111" s="1250">
        <f>IF(F110&lt;0,"NMF",IF(ABS(F107/F110)&gt;1,"NMF",F107/F110))</f>
        <v/>
      </c>
      <c r="G111" s="136" t="n"/>
      <c r="H111" s="136" t="n"/>
      <c r="I111" s="136" t="n"/>
      <c r="J111" s="136">
        <f>IF(J110&lt;0,"NMF",IF(ABS(J107/J110)&gt;1,"NMF",J107/J110))</f>
        <v/>
      </c>
      <c r="K111" s="1250">
        <f>IF(K110&lt;0,"NMF",IF(ABS(K107/K110)&gt;1,"NMF",K107/K110))</f>
        <v/>
      </c>
      <c r="L111" s="136">
        <f>IF(L110&lt;0,"NMF",IF(ABS(L107/L110)&gt;1,"NMF",L107/L110))</f>
        <v/>
      </c>
      <c r="M111" s="136">
        <f>IF(M110&lt;0,"NMF",IF(ABS(M107/M110)&gt;1,"NMF",M107/M110))</f>
        <v/>
      </c>
      <c r="N111" s="136">
        <f>IF(N110&lt;0,"NMF",IF(ABS(N107/N110)&gt;1,"NMF",N107/N110))</f>
        <v/>
      </c>
      <c r="O111" s="136">
        <f>IF(O110&lt;0,"NMF",IF(ABS(O107/O110)&gt;1,"NMF",O107/O110))</f>
        <v/>
      </c>
      <c r="P111" s="1250">
        <f>IF(P110&lt;0,"NMF",IF(ABS(P107/P110)&gt;1,"NMF",P107/P110))</f>
        <v/>
      </c>
      <c r="Q111" s="136">
        <f>IF(Q110&lt;0,"NMF",IF(ABS(Q107/Q110)&gt;1,"NMF",Q107/Q110))</f>
        <v/>
      </c>
      <c r="R111" s="136">
        <f>IF(R110&lt;0,"NMF",IF(ABS(R107/R110)&gt;1,"NMF",R107/R110))</f>
        <v/>
      </c>
      <c r="S111" s="136">
        <f>IF(S110&lt;0,"NMF",IF(ABS(S107/S110)&gt;1,"NMF",S107/S110))</f>
        <v/>
      </c>
      <c r="T111" s="136">
        <f>IF(T110&lt;0,"NMF",IF(ABS(T107/T110)&gt;1,"NMF",T107/T110))</f>
        <v/>
      </c>
      <c r="U111" s="1250">
        <f>IF(U110&lt;0,"NMF",IF(ABS(U107/U110)&gt;1,"NMF",U107/U110))</f>
        <v/>
      </c>
      <c r="V111" s="136">
        <f>IF(V110&lt;0,"NMF",IF(ABS(V107/V110)&gt;1,"NMF",V107/V110))</f>
        <v/>
      </c>
      <c r="W111" s="136">
        <f>IF(W110&lt;0,"NMF",IF(ABS(W107/W110)&gt;1,"NMF",W107/W110))</f>
        <v/>
      </c>
      <c r="X111" s="136">
        <f>IF(X110&lt;0,"NMF",IF(ABS(X107/X110)&gt;1,"NMF",X107/X110))</f>
        <v/>
      </c>
      <c r="Y111" s="136">
        <f>IF(Y110&lt;0,"NMF",IF(ABS(Y107/Y110)&gt;1,"NMF",Y107/Y110))</f>
        <v/>
      </c>
      <c r="Z111" s="1250">
        <f>IF(Z110&lt;0,"NMF",IF(ABS(Z107/Z110)&gt;1,"NMF",Z107/Z110))</f>
        <v/>
      </c>
      <c r="AA111" s="136">
        <f>IF(AA110&lt;0,"NMF",IF(ABS(AA107/AA110)&gt;1,"NMF",AA107/AA110))</f>
        <v/>
      </c>
      <c r="AB111" s="136">
        <f>IF(AB110&lt;0,"NMF",IF(ABS(AB107/AB110)&gt;1,"NMF",AB107/AB110))</f>
        <v/>
      </c>
      <c r="AC111" s="136">
        <f>IF(AC110&lt;0,"NMF",IF(ABS(AC107/AC110)&gt;1,"NMF",AC107/AC110))</f>
        <v/>
      </c>
      <c r="AD111" s="136">
        <f>IF(AD110&lt;0,"NMF",IF(ABS(AD107/AD110)&gt;1,"NMF",AD107/AD110))</f>
        <v/>
      </c>
      <c r="AE111" s="1250">
        <f>IF(AE110&lt;0,"NMF",IF(ABS(AE107/AE110)&gt;1,"NMF",AE107/AE110))</f>
        <v/>
      </c>
      <c r="AF111" s="136">
        <f>IF(AF110&lt;0,"NMF",IF(ABS(AF107/AF110)&gt;1,"NMF",AF107/AF110))</f>
        <v/>
      </c>
      <c r="AG111" s="136">
        <f>IF(AG110&lt;0,"NMF",IF(ABS(AG107/AG110)&gt;1,"NMF",AG107/AG110))</f>
        <v/>
      </c>
      <c r="AH111" s="136">
        <f>IF(AH110&lt;0,"NMF",IF(ABS(AH107/AH110)&gt;1,"NMF",AH107/AH110))</f>
        <v/>
      </c>
      <c r="AI111" s="136">
        <f>IF(AI110&lt;0,"NMF",IF(ABS(AI107/AI110)&gt;1,"NMF",AI107/AI110))</f>
        <v/>
      </c>
      <c r="AJ111" s="1250">
        <f>IF(AJ110&lt;0,"NMF",IF(ABS(AJ107/AJ110)&gt;1,"NMF",AJ107/AJ110))</f>
        <v/>
      </c>
      <c r="AK111" s="136">
        <f>IF(AK110&lt;0,"NMF",IF(ABS(AK107/AK110)&gt;1,"NMF",AK107/AK110))</f>
        <v/>
      </c>
      <c r="AL111" s="136">
        <f>IF(AL110&lt;0,"NMF",IF(ABS(AL107/AL110)&gt;1,"NMF",AL107/AL110))</f>
        <v/>
      </c>
      <c r="AM111" s="136">
        <f>IF(AM110&lt;0,"NMF",IF(ABS(AM107/AM110)&gt;1,"NMF",AM107/AM110))</f>
        <v/>
      </c>
      <c r="AN111" s="136">
        <f>IF(AN110&lt;0,"NMF",IF(ABS(AN107/AN110)&gt;1,"NMF",AN107/AN110))</f>
        <v/>
      </c>
      <c r="AO111" s="1250">
        <f>IF(AO110&lt;0,"NMF",IF(ABS(AO107/AO110)&gt;1,"NMF",AO107/AO110))</f>
        <v/>
      </c>
      <c r="AP111" s="136">
        <f>IF(AP110&lt;0,"NMF",IF(ABS(AP107/AP110)&gt;1,"NMF",AP107/AP110))</f>
        <v/>
      </c>
      <c r="AQ111" s="136">
        <f>IF(AQ110&lt;0,"NMF",IF(ABS(AQ107/AQ110)&gt;1,"NMF",AQ107/AQ110))</f>
        <v/>
      </c>
      <c r="AR111" s="136">
        <f>IF(AR110&lt;0,"NMF",IF(ABS(AR107/AR110)&gt;1,"NMF",AR107/AR110))</f>
        <v/>
      </c>
      <c r="AS111" s="136">
        <f>IF(AS110&lt;0,"NMF",IF(ABS(AS107/AS110)&gt;1,"NMF",AS107/AS110))</f>
        <v/>
      </c>
      <c r="AT111" s="1250">
        <f>IF(AT110&lt;0,"NMF",IF(ABS(AT107/AT110)&gt;1,"NMF",AT107/AT110))</f>
        <v/>
      </c>
      <c r="AU111" s="136">
        <f>IF(AU110&lt;0,"NMF",IF(ABS(AU107/AU110)&gt;1,"NMF",AU107/AU110))</f>
        <v/>
      </c>
      <c r="AV111" s="136">
        <f>IF(AV110&lt;0,"NMF",IF(ABS(AV107/AV110)&gt;1,"NMF",AV107/AV110))</f>
        <v/>
      </c>
      <c r="AW111" s="136">
        <f>IF(AW110&lt;0,"NMF",IF(ABS(AW107/AW110)&gt;1,"NMF",AW107/AW110))</f>
        <v/>
      </c>
      <c r="AX111" s="136">
        <f>IF(AX110&lt;0,"NMF",IF(ABS(AX107/AX110)&gt;1,"NMF",AX107/AX110))</f>
        <v/>
      </c>
      <c r="AY111" s="1250">
        <f>IF(AY110&lt;0,"NMF",IF(ABS(AY107/AY110)&gt;1,"NMF",AY107/AY110))</f>
        <v/>
      </c>
      <c r="AZ111" s="136">
        <f>IF(AZ110&lt;0,"NMF",IF(ABS(AZ107/AZ110)&gt;1,"NMF",AZ107/AZ110))</f>
        <v/>
      </c>
      <c r="BA111" s="136">
        <f>IF(BA110&lt;0,"NMF",IF(ABS(BA107/BA110)&gt;1,"NMF",BA107/BA110))</f>
        <v/>
      </c>
      <c r="BB111" s="136">
        <f>IF(BB110&lt;0,"NMF",IF(ABS(BB107/BB110)&gt;1,"NMF",BB107/BB110))</f>
        <v/>
      </c>
      <c r="BC111" s="136">
        <f>IF(BC110&lt;0,"NMF",IF(ABS(BC107/BC110)&gt;1,"NMF",BC107/BC110))</f>
        <v/>
      </c>
      <c r="BD111" s="1250">
        <f>IF(BD110&lt;0,"NMF",IF(ABS(BD107/BD110)&gt;1,"NMF",BD107/BD110))</f>
        <v/>
      </c>
      <c r="BE111" s="136">
        <f>IF(BE110&lt;0,"NMF",IF(ABS(BE107/BE110)&gt;1,"NMF",BE107/BE110))</f>
        <v/>
      </c>
      <c r="BF111" s="136">
        <f>IF(BF110&lt;0,"NMF",IF(ABS(BF107/BF110)&gt;1,"NMF",BF107/BF110))</f>
        <v/>
      </c>
      <c r="BG111" s="136">
        <f>IF(BG110&lt;0,"NMF",IF(ABS(BG107/BG110)&gt;1,"NMF",BG107/BG110))</f>
        <v/>
      </c>
      <c r="BH111" s="136">
        <f>IF(BH110&lt;0,"NMF",IF(ABS(BH107/BH110)&gt;1,"NMF",BH107/BH110))</f>
        <v/>
      </c>
      <c r="BI111" s="1250">
        <f>IF(BI110&lt;0,"NMF",IF(ABS(BI107/BI110)&gt;1,"NMF",BI107/BI110))</f>
        <v/>
      </c>
      <c r="BJ111" s="136">
        <f>IF(BJ110&lt;0,"NMF",IF(ABS(BJ107/BJ110)&gt;1,"NMF",BJ107/BJ110))</f>
        <v/>
      </c>
      <c r="BK111" s="136">
        <f>IF(BK110&lt;0,"NMF",IF(ABS(BK107/BK110)&gt;1,"NMF",BK107/BK110))</f>
        <v/>
      </c>
      <c r="BL111" s="136">
        <f>IF(BL110&lt;0,"NMF",IF(ABS(BL107/BL110)&gt;1,"NMF",BL107/BL110))</f>
        <v/>
      </c>
      <c r="BM111" s="136">
        <f>IF(BM110&lt;0,"NMF",IF(ABS(BM107/BM110)&gt;1,"NMF",BM107/BM110))</f>
        <v/>
      </c>
      <c r="BN111" s="1250">
        <f>IF(BN110&lt;0,"NMF",IF(ABS(BN107/BN110)&gt;1,"NMF",BN107/BN110))</f>
        <v/>
      </c>
      <c r="BO111" s="136">
        <f>IF(BO110&lt;0,"NMF",IF(ABS(BO107/BO110)&gt;1,"NMF",BO107/BO110))</f>
        <v/>
      </c>
      <c r="BP111" s="136">
        <f>IF(BP110&lt;0,"NMF",IF(ABS(BP107/BP110)&gt;1,"NMF",BP107/BP110))</f>
        <v/>
      </c>
      <c r="BQ111" s="136">
        <f>IF(BQ110&lt;0,"NMF",IF(ABS(BQ107/BQ110)&gt;1,"NMF",BQ107/BQ110))</f>
        <v/>
      </c>
      <c r="BR111" s="136">
        <f>IF(BR110&lt;0,"NMF",IF(ABS(BR107/BR110)&gt;1,"NMF",BR107/BR110))</f>
        <v/>
      </c>
      <c r="BS111" s="1250">
        <f>IF(BS110&lt;0,"NMF",IF(ABS(BS107/BS110)&gt;1,"NMF",BS107/BS110))</f>
        <v/>
      </c>
      <c r="BT111" s="136">
        <f>IF(BT110&lt;0,"NMF",IF(ABS(BT107/BT110)&gt;1,"NMF",BT107/BT110))</f>
        <v/>
      </c>
      <c r="BU111" s="136">
        <f>IF(BU110&lt;0,"NMF",IF(ABS(BU107/BU110)&gt;1,"NMF",BU107/BU110))</f>
        <v/>
      </c>
      <c r="BV111" s="951">
        <f>IF(BV110&lt;0,"NMF",IF(ABS(BV107/BV110)&gt;1,"NMF",BV107/BV110))</f>
        <v/>
      </c>
      <c r="BW111" s="136">
        <f>IF(BW110&lt;0,"NMF",IF(ABS(BW107/BW110)&gt;1,"NMF",BW107/BW110))</f>
        <v/>
      </c>
      <c r="BX111" s="1250">
        <f>IF(BX110&lt;0,"NMF",IF(ABS(BX107/BX110)&gt;1,"NMF",BX107/BX110))</f>
        <v/>
      </c>
      <c r="BY111" s="136">
        <f>IF(BY110&lt;0,"NMF",IF(ABS(BY107/BY110)&gt;1,"NMF",BY107/BY110))</f>
        <v/>
      </c>
      <c r="BZ111" s="136">
        <f>IF(BZ110&lt;0,"NMF",IF(ABS(BZ107/BZ110)&gt;1,"NMF",BZ107/BZ110))</f>
        <v/>
      </c>
      <c r="CA111" s="136">
        <f>IF(CA110&lt;0,"NMF",IF(ABS(CA107/CA110)&gt;1,"NMF",CA107/CA110))</f>
        <v/>
      </c>
      <c r="CB111" s="136">
        <f>IF(CB110&lt;0,"NMF",IF(ABS(CB107/CB110)&gt;1,"NMF",CB107/CB110))</f>
        <v/>
      </c>
      <c r="CC111" s="1250">
        <f>IF(CC110&lt;0,"NMF",IF(ABS(CC107/CC110)&gt;1,"NMF",CC107/CC110))</f>
        <v/>
      </c>
      <c r="CD111" s="1250">
        <f>IF(CD110&lt;0,"NMF",IF(ABS(CD107/CD110)&gt;1,"NMF",CD107/CD110))</f>
        <v/>
      </c>
      <c r="CE111" s="1250">
        <f>IF(CE110&lt;0,"NMF",IF(ABS(CE107/CE110)&gt;1,"NMF",CE107/CE110))</f>
        <v/>
      </c>
      <c r="CF111" s="1250">
        <f>IF(CF110&lt;0,"NMF",IF(ABS(CF107/CF110)&gt;1,"NMF",CF107/CF110))</f>
        <v/>
      </c>
      <c r="CG111" s="132" t="n"/>
    </row>
    <row r="112">
      <c r="A112" s="196" t="n"/>
      <c r="B112" s="200" t="n"/>
      <c r="C112" s="1244" t="n"/>
      <c r="D112" s="1244" t="n"/>
      <c r="E112" s="1244" t="n"/>
      <c r="F112" s="1244" t="n"/>
      <c r="G112" s="1011" t="n"/>
      <c r="H112" s="1011" t="n"/>
      <c r="I112" s="1011" t="n"/>
      <c r="J112" s="1011" t="n"/>
      <c r="K112" s="1244" t="n"/>
      <c r="L112" s="1011" t="n"/>
      <c r="M112" s="1011" t="n"/>
      <c r="N112" s="1011" t="n"/>
      <c r="O112" s="1011" t="n"/>
      <c r="P112" s="1244" t="n"/>
      <c r="Q112" s="1011" t="n"/>
      <c r="R112" s="1011" t="n"/>
      <c r="S112" s="1011" t="n"/>
      <c r="T112" s="1011" t="n"/>
      <c r="U112" s="1244" t="n"/>
      <c r="V112" s="1011" t="n"/>
      <c r="W112" s="1011" t="n"/>
      <c r="X112" s="1011" t="n"/>
      <c r="Y112" s="1011" t="n"/>
      <c r="Z112" s="1244" t="n"/>
      <c r="AA112" s="1011" t="n"/>
      <c r="AB112" s="1011" t="n"/>
      <c r="AC112" s="1011" t="n"/>
      <c r="AD112" s="1011" t="n"/>
      <c r="AE112" s="1244" t="n"/>
      <c r="AF112" s="1011" t="n"/>
      <c r="AG112" s="1011" t="n"/>
      <c r="AH112" s="1011" t="n"/>
      <c r="AI112" s="1011" t="n"/>
      <c r="AJ112" s="1244" t="n"/>
      <c r="AK112" s="1011" t="n"/>
      <c r="AL112" s="1011" t="n"/>
      <c r="AM112" s="1011" t="n"/>
      <c r="AN112" s="1011" t="n"/>
      <c r="AO112" s="1244" t="n"/>
      <c r="AP112" s="1011" t="n"/>
      <c r="AQ112" s="1011" t="n"/>
      <c r="AR112" s="1011" t="n"/>
      <c r="AS112" s="1011" t="n"/>
      <c r="AT112" s="1244" t="n"/>
      <c r="AU112" s="1011" t="n"/>
      <c r="AV112" s="1011" t="n"/>
      <c r="AW112" s="1011" t="n"/>
      <c r="AX112" s="1011" t="n"/>
      <c r="AY112" s="1244" t="n"/>
      <c r="AZ112" s="1011" t="n"/>
      <c r="BA112" s="1011" t="n"/>
      <c r="BB112" s="1011" t="n"/>
      <c r="BC112" s="1011" t="n"/>
      <c r="BD112" s="1244" t="n"/>
      <c r="BE112" s="1011" t="n"/>
      <c r="BF112" s="1011" t="n"/>
      <c r="BG112" s="1011" t="n"/>
      <c r="BH112" s="1011" t="n"/>
      <c r="BI112" s="1244" t="n"/>
      <c r="BJ112" s="1011" t="n"/>
      <c r="BK112" s="1011" t="n"/>
      <c r="BL112" s="1011" t="n"/>
      <c r="BM112" s="1011" t="n"/>
      <c r="BN112" s="1244" t="n"/>
      <c r="BO112" s="1011" t="n"/>
      <c r="BP112" s="1011" t="n"/>
      <c r="BQ112" s="1011" t="n"/>
      <c r="BR112" s="1011" t="n"/>
      <c r="BS112" s="1244" t="n"/>
      <c r="BT112" s="1011" t="n"/>
      <c r="BU112" s="1011" t="n"/>
      <c r="BV112" s="1047" t="n"/>
      <c r="BW112" s="1011" t="n"/>
      <c r="BX112" s="1244" t="n"/>
      <c r="BY112" s="1011" t="n"/>
      <c r="BZ112" s="1011" t="n"/>
      <c r="CA112" s="1011" t="n"/>
      <c r="CB112" s="1011" t="n"/>
      <c r="CC112" s="1244" t="n"/>
      <c r="CD112" s="1244" t="n"/>
      <c r="CE112" s="1244" t="n"/>
      <c r="CF112" s="1244" t="n"/>
      <c r="CG112" s="1011" t="n"/>
    </row>
    <row r="113">
      <c r="A113" s="126" t="inlineStr">
        <is>
          <t>Per-Share Growth Metrics</t>
        </is>
      </c>
      <c r="B113" s="1012" t="n"/>
      <c r="C113" s="1012" t="n"/>
      <c r="D113" s="1012" t="n"/>
      <c r="E113" s="1012" t="n"/>
      <c r="F113" s="1012" t="n"/>
      <c r="G113" s="1012" t="n"/>
      <c r="H113" s="1012" t="n"/>
      <c r="I113" s="1012" t="n"/>
      <c r="J113" s="1012" t="n"/>
      <c r="K113" s="1012" t="n"/>
      <c r="L113" s="1012" t="n"/>
      <c r="M113" s="1012" t="n"/>
      <c r="N113" s="1012" t="n"/>
      <c r="O113" s="1012" t="n"/>
      <c r="P113" s="1012" t="n"/>
      <c r="Q113" s="1012" t="n"/>
      <c r="R113" s="1012" t="n"/>
      <c r="S113" s="1012" t="n"/>
      <c r="T113" s="1012" t="n"/>
      <c r="U113" s="1012" t="n"/>
      <c r="V113" s="1012" t="n"/>
      <c r="W113" s="1012" t="n"/>
      <c r="X113" s="1012" t="n"/>
      <c r="Y113" s="1012" t="n"/>
      <c r="Z113" s="1012" t="n"/>
      <c r="AA113" s="1012" t="n"/>
      <c r="AB113" s="1012" t="n"/>
      <c r="AC113" s="1012" t="n"/>
      <c r="AD113" s="1012" t="n"/>
      <c r="AE113" s="1012" t="n"/>
      <c r="AF113" s="1012" t="n"/>
      <c r="AG113" s="1012" t="n"/>
      <c r="AH113" s="1012" t="n"/>
      <c r="AI113" s="1012" t="n"/>
      <c r="AJ113" s="1012" t="n"/>
      <c r="AK113" s="1012" t="n"/>
      <c r="AL113" s="1012" t="n"/>
      <c r="AM113" s="1012" t="n"/>
      <c r="AN113" s="1012" t="n"/>
      <c r="AO113" s="1012" t="n"/>
      <c r="AP113" s="1012" t="n"/>
      <c r="AQ113" s="1012" t="n"/>
      <c r="AR113" s="1012" t="n"/>
      <c r="AS113" s="1012" t="n"/>
      <c r="AT113" s="1012" t="n"/>
      <c r="AU113" s="1012" t="n"/>
      <c r="AV113" s="1012" t="n"/>
      <c r="AW113" s="1012" t="n"/>
      <c r="AX113" s="1012" t="n"/>
      <c r="AY113" s="1012" t="n"/>
      <c r="AZ113" s="1012" t="n"/>
      <c r="BA113" s="1012" t="n"/>
      <c r="BB113" s="1012" t="n"/>
      <c r="BC113" s="1012" t="n"/>
      <c r="BD113" s="1012" t="n"/>
      <c r="BE113" s="1012" t="n"/>
      <c r="BF113" s="1012" t="n"/>
      <c r="BG113" s="1012" t="n"/>
      <c r="BH113" s="1012" t="n"/>
      <c r="BI113" s="1012" t="n"/>
      <c r="BJ113" s="1012" t="n"/>
      <c r="BK113" s="1012" t="n"/>
      <c r="BL113" s="1012" t="n"/>
      <c r="BM113" s="1012" t="n"/>
      <c r="BN113" s="1012" t="n"/>
      <c r="BO113" s="1012" t="n"/>
      <c r="BP113" s="1012" t="n"/>
      <c r="BQ113" s="1012" t="n"/>
      <c r="BR113" s="1012" t="n"/>
      <c r="BS113" s="1012" t="n"/>
      <c r="BT113" s="1012" t="n"/>
      <c r="BU113" s="1012" t="n"/>
      <c r="BV113" s="1048" t="n"/>
      <c r="BW113" s="1012" t="n"/>
      <c r="BX113" s="1012" t="n"/>
      <c r="BY113" s="1012" t="n"/>
      <c r="BZ113" s="1012" t="n"/>
      <c r="CA113" s="1012" t="n"/>
      <c r="CB113" s="1012" t="n"/>
      <c r="CC113" s="1012" t="n"/>
      <c r="CD113" s="1012" t="n"/>
      <c r="CE113" s="1012" t="n"/>
      <c r="CF113" s="1012" t="n"/>
      <c r="CG113" s="1013" t="n"/>
    </row>
    <row r="114" customFormat="1" s="966">
      <c r="A114" s="219" t="inlineStr">
        <is>
          <t>Revenue Per Share Growth</t>
        </is>
      </c>
      <c r="B114" s="202" t="n"/>
      <c r="C114" s="1245" t="n"/>
      <c r="D114" s="1245">
        <f>IF(OR(INDEX(SP_GF_Rev,0,COLUMN())&lt;=0,C29&lt;=0),"NMF",IF(ABS((INDEX(SP_GF_Rev,0,COLUMN())/INDEX(SP_CS_ShareCount,0,COLUMN()))/(C29/C48)-1)&gt;10,"NMF",(INDEX(SP_GF_Rev,0,COLUMN())/INDEX(SP_CS_ShareCount,0,COLUMN()))/(C29/C48)-1))</f>
        <v/>
      </c>
      <c r="E114" s="1245">
        <f>IF(OR(INDEX(SP_GF_Rev,0,COLUMN())&lt;=0,D29&lt;=0),"NMF",IF(ABS((INDEX(SP_GF_Rev,0,COLUMN())/INDEX(SP_CS_ShareCount,0,COLUMN()))/(D29/D48)-1)&gt;10,"NMF",(INDEX(SP_GF_Rev,0,COLUMN())/INDEX(SP_CS_ShareCount,0,COLUMN()))/(D29/D48)-1))</f>
        <v/>
      </c>
      <c r="F114" s="1245">
        <f>IF(OR(INDEX(SP_GF_Rev,0,COLUMN())&lt;=0,E29&lt;=0),"NMF",IF(ABS((INDEX(SP_GF_Rev,0,COLUMN())/INDEX(SP_CS_ShareCount,0,COLUMN()))/(E29/E48)-1)&gt;10,"NMF",(INDEX(SP_GF_Rev,0,COLUMN())/INDEX(SP_CS_ShareCount,0,COLUMN()))/(E29/E48)-1))</f>
        <v/>
      </c>
      <c r="G114" s="129" t="n"/>
      <c r="H114" s="129" t="n"/>
      <c r="I114" s="129" t="n"/>
      <c r="J114" s="129" t="n"/>
      <c r="K114" s="1245">
        <f>IF(OR(INDEX(SP_GF_Rev,0,COLUMN())&lt;=0,F29&lt;=0),"NMF",IF(ABS((INDEX(SP_GF_Rev,0,COLUMN())/INDEX(SP_CS_ShareCount,0,COLUMN()))/(F29/F48)-1)&gt;10,"NMF",(INDEX(SP_GF_Rev,0,COLUMN())/INDEX(SP_CS_ShareCount,0,COLUMN()))/(F29/F48)-1))</f>
        <v/>
      </c>
      <c r="L114" s="129">
        <f>IF(OR(INDEX(SP_GF_Rev,0,COLUMN())&lt;=0,G29&lt;=0),"NMF",IF(ABS((INDEX(SP_GF_Rev,0,COLUMN())/INDEX(SP_CS_ShareCount,0,COLUMN()))/(G29/G48)-1)&gt;10,"NMF",(INDEX(SP_GF_Rev,0,COLUMN())/INDEX(SP_CS_ShareCount,0,COLUMN()))/(G29/G48)-1))</f>
        <v/>
      </c>
      <c r="M114" s="129">
        <f>IF(OR(INDEX(SP_GF_Rev,0,COLUMN())&lt;=0,H29&lt;=0),"NMF",IF(ABS((INDEX(SP_GF_Rev,0,COLUMN())/INDEX(SP_CS_ShareCount,0,COLUMN()))/(H29/H48)-1)&gt;10,"NMF",(INDEX(SP_GF_Rev,0,COLUMN())/INDEX(SP_CS_ShareCount,0,COLUMN()))/(H29/H48)-1))</f>
        <v/>
      </c>
      <c r="N114" s="129">
        <f>IF(OR(INDEX(SP_GF_Rev,0,COLUMN())&lt;=0,I29&lt;=0),"NMF",IF(ABS((INDEX(SP_GF_Rev,0,COLUMN())/INDEX(SP_CS_ShareCount,0,COLUMN()))/(I29/I48)-1)&gt;10,"NMF",(INDEX(SP_GF_Rev,0,COLUMN())/INDEX(SP_CS_ShareCount,0,COLUMN()))/(I29/I48)-1))</f>
        <v/>
      </c>
      <c r="O114" s="129">
        <f>IF(OR(INDEX(SP_GF_Rev,0,COLUMN())&lt;=0,J29&lt;=0),"NMF",IF(ABS((INDEX(SP_GF_Rev,0,COLUMN())/INDEX(SP_CS_ShareCount,0,COLUMN()))/(J29/J48)-1)&gt;10,"NMF",(INDEX(SP_GF_Rev,0,COLUMN())/INDEX(SP_CS_ShareCount,0,COLUMN()))/(J29/J48)-1))</f>
        <v/>
      </c>
      <c r="P114" s="1245">
        <f>IF(OR(INDEX(SP_GF_Rev,0,COLUMN())&lt;=0,K29&lt;=0),"NMF",IF(ABS((INDEX(SP_GF_Rev,0,COLUMN())/INDEX(SP_CS_ShareCount,0,COLUMN()))/(K29/K48)-1)&gt;10,"NMF",(INDEX(SP_GF_Rev,0,COLUMN())/INDEX(SP_CS_ShareCount,0,COLUMN()))/(K29/K48)-1))</f>
        <v/>
      </c>
      <c r="Q114" s="129">
        <f>IF(OR(INDEX(SP_GF_Rev,0,COLUMN())&lt;=0,L29&lt;=0),"NMF",IF(ABS((INDEX(SP_GF_Rev,0,COLUMN())/INDEX(SP_CS_ShareCount,0,COLUMN()))/(L29/L48)-1)&gt;10,"NMF",(INDEX(SP_GF_Rev,0,COLUMN())/INDEX(SP_CS_ShareCount,0,COLUMN()))/(L29/L48)-1))</f>
        <v/>
      </c>
      <c r="R114" s="129">
        <f>IF(OR(INDEX(SP_GF_Rev,0,COLUMN())&lt;=0,M29&lt;=0),"NMF",IF(ABS((INDEX(SP_GF_Rev,0,COLUMN())/INDEX(SP_CS_ShareCount,0,COLUMN()))/(M29/M48)-1)&gt;10,"NMF",(INDEX(SP_GF_Rev,0,COLUMN())/INDEX(SP_CS_ShareCount,0,COLUMN()))/(M29/M48)-1))</f>
        <v/>
      </c>
      <c r="S114" s="129">
        <f>IF(OR(INDEX(SP_GF_Rev,0,COLUMN())&lt;=0,N29&lt;=0),"NMF",IF(ABS((INDEX(SP_GF_Rev,0,COLUMN())/INDEX(SP_CS_ShareCount,0,COLUMN()))/(N29/N48)-1)&gt;10,"NMF",(INDEX(SP_GF_Rev,0,COLUMN())/INDEX(SP_CS_ShareCount,0,COLUMN()))/(N29/N48)-1))</f>
        <v/>
      </c>
      <c r="T114" s="129">
        <f>IF(OR(INDEX(SP_GF_Rev,0,COLUMN())&lt;=0,O29&lt;=0),"NMF",IF(ABS((INDEX(SP_GF_Rev,0,COLUMN())/INDEX(SP_CS_ShareCount,0,COLUMN()))/(O29/O48)-1)&gt;10,"NMF",(INDEX(SP_GF_Rev,0,COLUMN())/INDEX(SP_CS_ShareCount,0,COLUMN()))/(O29/O48)-1))</f>
        <v/>
      </c>
      <c r="U114" s="1245">
        <f>IF(OR(INDEX(SP_GF_Rev,0,COLUMN())&lt;=0,P29&lt;=0),"NMF",IF(ABS((INDEX(SP_GF_Rev,0,COLUMN())/INDEX(SP_CS_ShareCount,0,COLUMN()))/(P29/P48)-1)&gt;10,"NMF",(INDEX(SP_GF_Rev,0,COLUMN())/INDEX(SP_CS_ShareCount,0,COLUMN()))/(P29/P48)-1))</f>
        <v/>
      </c>
      <c r="V114" s="129">
        <f>IF(OR(INDEX(SP_GF_Rev,0,COLUMN())&lt;=0,Q29&lt;=0),"NMF",IF(ABS((INDEX(SP_GF_Rev,0,COLUMN())/INDEX(SP_CS_ShareCount,0,COLUMN()))/(Q29/Q48)-1)&gt;10,"NMF",(INDEX(SP_GF_Rev,0,COLUMN())/INDEX(SP_CS_ShareCount,0,COLUMN()))/(Q29/Q48)-1))</f>
        <v/>
      </c>
      <c r="W114" s="129">
        <f>IF(OR(INDEX(SP_GF_Rev,0,COLUMN())&lt;=0,R29&lt;=0),"NMF",IF(ABS((INDEX(SP_GF_Rev,0,COLUMN())/INDEX(SP_CS_ShareCount,0,COLUMN()))/(R29/R48)-1)&gt;10,"NMF",(INDEX(SP_GF_Rev,0,COLUMN())/INDEX(SP_CS_ShareCount,0,COLUMN()))/(R29/R48)-1))</f>
        <v/>
      </c>
      <c r="X114" s="129">
        <f>IF(OR(INDEX(SP_GF_Rev,0,COLUMN())&lt;=0,S29&lt;=0),"NMF",IF(ABS((INDEX(SP_GF_Rev,0,COLUMN())/INDEX(SP_CS_ShareCount,0,COLUMN()))/(S29/S48)-1)&gt;10,"NMF",(INDEX(SP_GF_Rev,0,COLUMN())/INDEX(SP_CS_ShareCount,0,COLUMN()))/(S29/S48)-1))</f>
        <v/>
      </c>
      <c r="Y114" s="129">
        <f>IF(OR(INDEX(SP_GF_Rev,0,COLUMN())&lt;=0,T29&lt;=0),"NMF",IF(ABS((INDEX(SP_GF_Rev,0,COLUMN())/INDEX(SP_CS_ShareCount,0,COLUMN()))/(T29/T48)-1)&gt;10,"NMF",(INDEX(SP_GF_Rev,0,COLUMN())/INDEX(SP_CS_ShareCount,0,COLUMN()))/(T29/T48)-1))</f>
        <v/>
      </c>
      <c r="Z114" s="1245">
        <f>IF(OR(INDEX(SP_GF_Rev,0,COLUMN())&lt;=0,U29&lt;=0),"NMF",IF(ABS((INDEX(SP_GF_Rev,0,COLUMN())/INDEX(SP_CS_ShareCount,0,COLUMN()))/(U29/U48)-1)&gt;10,"NMF",(INDEX(SP_GF_Rev,0,COLUMN())/INDEX(SP_CS_ShareCount,0,COLUMN()))/(U29/U48)-1))</f>
        <v/>
      </c>
      <c r="AA114" s="129">
        <f>IF(OR(INDEX(SP_GF_Rev,0,COLUMN())&lt;=0,V29&lt;=0),"NMF",IF(ABS((INDEX(SP_GF_Rev,0,COLUMN())/INDEX(SP_CS_ShareCount,0,COLUMN()))/(V29/V48)-1)&gt;10,"NMF",(INDEX(SP_GF_Rev,0,COLUMN())/INDEX(SP_CS_ShareCount,0,COLUMN()))/(V29/V48)-1))</f>
        <v/>
      </c>
      <c r="AB114" s="129">
        <f>IF(OR(INDEX(SP_GF_Rev,0,COLUMN())&lt;=0,W29&lt;=0),"NMF",IF(ABS((INDEX(SP_GF_Rev,0,COLUMN())/INDEX(SP_CS_ShareCount,0,COLUMN()))/(W29/W48)-1)&gt;10,"NMF",(INDEX(SP_GF_Rev,0,COLUMN())/INDEX(SP_CS_ShareCount,0,COLUMN()))/(W29/W48)-1))</f>
        <v/>
      </c>
      <c r="AC114" s="129">
        <f>IF(OR(INDEX(SP_GF_Rev,0,COLUMN())&lt;=0,X29&lt;=0),"NMF",IF(ABS((INDEX(SP_GF_Rev,0,COLUMN())/INDEX(SP_CS_ShareCount,0,COLUMN()))/(X29/X48)-1)&gt;10,"NMF",(INDEX(SP_GF_Rev,0,COLUMN())/INDEX(SP_CS_ShareCount,0,COLUMN()))/(X29/X48)-1))</f>
        <v/>
      </c>
      <c r="AD114" s="129">
        <f>IF(OR(INDEX(SP_GF_Rev,0,COLUMN())&lt;=0,Y29&lt;=0),"NMF",IF(ABS((INDEX(SP_GF_Rev,0,COLUMN())/INDEX(SP_CS_ShareCount,0,COLUMN()))/(Y29/Y48)-1)&gt;10,"NMF",(INDEX(SP_GF_Rev,0,COLUMN())/INDEX(SP_CS_ShareCount,0,COLUMN()))/(Y29/Y48)-1))</f>
        <v/>
      </c>
      <c r="AE114" s="1245">
        <f>IF(OR(INDEX(SP_GF_Rev,0,COLUMN())&lt;=0,Z29&lt;=0),"NMF",IF(ABS((INDEX(SP_GF_Rev,0,COLUMN())/INDEX(SP_CS_ShareCount,0,COLUMN()))/(Z29/Z48)-1)&gt;10,"NMF",(INDEX(SP_GF_Rev,0,COLUMN())/INDEX(SP_CS_ShareCount,0,COLUMN()))/(Z29/Z48)-1))</f>
        <v/>
      </c>
      <c r="AF114" s="129">
        <f>IF(OR(INDEX(SP_GF_Rev,0,COLUMN())&lt;=0,AA29&lt;=0),"NMF",IF(ABS((INDEX(SP_GF_Rev,0,COLUMN())/INDEX(SP_CS_ShareCount,0,COLUMN()))/(AA29/AA48)-1)&gt;10,"NMF",(INDEX(SP_GF_Rev,0,COLUMN())/INDEX(SP_CS_ShareCount,0,COLUMN()))/(AA29/AA48)-1))</f>
        <v/>
      </c>
      <c r="AG114" s="129">
        <f>IF(OR(INDEX(SP_GF_Rev,0,COLUMN())&lt;=0,AB29&lt;=0),"NMF",IF(ABS((INDEX(SP_GF_Rev,0,COLUMN())/INDEX(SP_CS_ShareCount,0,COLUMN()))/(AB29/AB48)-1)&gt;10,"NMF",(INDEX(SP_GF_Rev,0,COLUMN())/INDEX(SP_CS_ShareCount,0,COLUMN()))/(AB29/AB48)-1))</f>
        <v/>
      </c>
      <c r="AH114" s="129">
        <f>IF(OR(INDEX(SP_GF_Rev,0,COLUMN())&lt;=0,AC29&lt;=0),"NMF",IF(ABS((INDEX(SP_GF_Rev,0,COLUMN())/INDEX(SP_CS_ShareCount,0,COLUMN()))/(AC29/AC48)-1)&gt;10,"NMF",(INDEX(SP_GF_Rev,0,COLUMN())/INDEX(SP_CS_ShareCount,0,COLUMN()))/(AC29/AC48)-1))</f>
        <v/>
      </c>
      <c r="AI114" s="129">
        <f>IF(OR(INDEX(SP_GF_Rev,0,COLUMN())&lt;=0,AD29&lt;=0),"NMF",IF(ABS((INDEX(SP_GF_Rev,0,COLUMN())/INDEX(SP_CS_ShareCount,0,COLUMN()))/(AD29/AD48)-1)&gt;10,"NMF",(INDEX(SP_GF_Rev,0,COLUMN())/INDEX(SP_CS_ShareCount,0,COLUMN()))/(AD29/AD48)-1))</f>
        <v/>
      </c>
      <c r="AJ114" s="1245">
        <f>IF(OR(INDEX(SP_GF_Rev,0,COLUMN())&lt;=0,AE29&lt;=0),"NMF",IF(ABS((INDEX(SP_GF_Rev,0,COLUMN())/INDEX(SP_CS_ShareCount,0,COLUMN()))/(AE29/AE48)-1)&gt;10,"NMF",(INDEX(SP_GF_Rev,0,COLUMN())/INDEX(SP_CS_ShareCount,0,COLUMN()))/(AE29/AE48)-1))</f>
        <v/>
      </c>
      <c r="AK114" s="129">
        <f>IF(OR(INDEX(SP_GF_Rev,0,COLUMN())&lt;=0,AF29&lt;=0),"NMF",IF(ABS((INDEX(SP_GF_Rev,0,COLUMN())/INDEX(SP_CS_ShareCount,0,COLUMN()))/(AF29/AF48)-1)&gt;10,"NMF",(INDEX(SP_GF_Rev,0,COLUMN())/INDEX(SP_CS_ShareCount,0,COLUMN()))/(AF29/AF48)-1))</f>
        <v/>
      </c>
      <c r="AL114" s="129">
        <f>IF(OR(INDEX(SP_GF_Rev,0,COLUMN())&lt;=0,AG29&lt;=0),"NMF",IF(ABS((INDEX(SP_GF_Rev,0,COLUMN())/INDEX(SP_CS_ShareCount,0,COLUMN()))/(AG29/AG48)-1)&gt;10,"NMF",(INDEX(SP_GF_Rev,0,COLUMN())/INDEX(SP_CS_ShareCount,0,COLUMN()))/(AG29/AG48)-1))</f>
        <v/>
      </c>
      <c r="AM114" s="129">
        <f>IF(OR(INDEX(SP_GF_Rev,0,COLUMN())&lt;=0,AH29&lt;=0),"NMF",IF(ABS((INDEX(SP_GF_Rev,0,COLUMN())/INDEX(SP_CS_ShareCount,0,COLUMN()))/(AH29/AH48)-1)&gt;10,"NMF",(INDEX(SP_GF_Rev,0,COLUMN())/INDEX(SP_CS_ShareCount,0,COLUMN()))/(AH29/AH48)-1))</f>
        <v/>
      </c>
      <c r="AN114" s="129">
        <f>IF(OR(INDEX(SP_GF_Rev,0,COLUMN())&lt;=0,AI29&lt;=0),"NMF",IF(ABS((INDEX(SP_GF_Rev,0,COLUMN())/INDEX(SP_CS_ShareCount,0,COLUMN()))/(AI29/AI48)-1)&gt;10,"NMF",(INDEX(SP_GF_Rev,0,COLUMN())/INDEX(SP_CS_ShareCount,0,COLUMN()))/(AI29/AI48)-1))</f>
        <v/>
      </c>
      <c r="AO114" s="1245">
        <f>IF(OR(INDEX(SP_GF_Rev,0,COLUMN())&lt;=0,AJ29&lt;=0),"NMF",IF(ABS((INDEX(SP_GF_Rev,0,COLUMN())/INDEX(SP_CS_ShareCount,0,COLUMN()))/(AJ29/AJ48)-1)&gt;10,"NMF",(INDEX(SP_GF_Rev,0,COLUMN())/INDEX(SP_CS_ShareCount,0,COLUMN()))/(AJ29/AJ48)-1))</f>
        <v/>
      </c>
      <c r="AP114" s="129">
        <f>IF(OR(INDEX(SP_GF_Rev,0,COLUMN())&lt;=0,AK29&lt;=0),"NMF",IF(ABS((INDEX(SP_GF_Rev,0,COLUMN())/INDEX(SP_CS_ShareCount,0,COLUMN()))/(AK29/AK48)-1)&gt;10,"NMF",(INDEX(SP_GF_Rev,0,COLUMN())/INDEX(SP_CS_ShareCount,0,COLUMN()))/(AK29/AK48)-1))</f>
        <v/>
      </c>
      <c r="AQ114" s="129">
        <f>IF(OR(INDEX(SP_GF_Rev,0,COLUMN())&lt;=0,AL29&lt;=0),"NMF",IF(ABS((INDEX(SP_GF_Rev,0,COLUMN())/INDEX(SP_CS_ShareCount,0,COLUMN()))/(AL29/AL48)-1)&gt;10,"NMF",(INDEX(SP_GF_Rev,0,COLUMN())/INDEX(SP_CS_ShareCount,0,COLUMN()))/(AL29/AL48)-1))</f>
        <v/>
      </c>
      <c r="AR114" s="129">
        <f>IF(OR(INDEX(SP_GF_Rev,0,COLUMN())&lt;=0,AM29&lt;=0),"NMF",IF(ABS((INDEX(SP_GF_Rev,0,COLUMN())/INDEX(SP_CS_ShareCount,0,COLUMN()))/(AM29/AM48)-1)&gt;10,"NMF",(INDEX(SP_GF_Rev,0,COLUMN())/INDEX(SP_CS_ShareCount,0,COLUMN()))/(AM29/AM48)-1))</f>
        <v/>
      </c>
      <c r="AS114" s="129">
        <f>IF(OR(INDEX(SP_GF_Rev,0,COLUMN())&lt;=0,AN29&lt;=0),"NMF",IF(ABS((INDEX(SP_GF_Rev,0,COLUMN())/INDEX(SP_CS_ShareCount,0,COLUMN()))/(AN29/AN48)-1)&gt;10,"NMF",(INDEX(SP_GF_Rev,0,COLUMN())/INDEX(SP_CS_ShareCount,0,COLUMN()))/(AN29/AN48)-1))</f>
        <v/>
      </c>
      <c r="AT114" s="1245">
        <f>IF(OR(INDEX(SP_GF_Rev,0,COLUMN())&lt;=0,AO29&lt;=0),"NMF",IF(ABS((INDEX(SP_GF_Rev,0,COLUMN())/INDEX(SP_CS_ShareCount,0,COLUMN()))/(AO29/AO48)-1)&gt;10,"NMF",(INDEX(SP_GF_Rev,0,COLUMN())/INDEX(SP_CS_ShareCount,0,COLUMN()))/(AO29/AO48)-1))</f>
        <v/>
      </c>
      <c r="AU114" s="129">
        <f>IF(OR(INDEX(SP_GF_Rev,0,COLUMN())&lt;=0,AP29&lt;=0),"NMF",IF(ABS((INDEX(SP_GF_Rev,0,COLUMN())/INDEX(SP_CS_ShareCount,0,COLUMN()))/(AP29/AP48)-1)&gt;10,"NMF",(INDEX(SP_GF_Rev,0,COLUMN())/INDEX(SP_CS_ShareCount,0,COLUMN()))/(AP29/AP48)-1))</f>
        <v/>
      </c>
      <c r="AV114" s="129">
        <f>IF(OR(INDEX(SP_GF_Rev,0,COLUMN())&lt;=0,AQ29&lt;=0),"NMF",IF(ABS((INDEX(SP_GF_Rev,0,COLUMN())/INDEX(SP_CS_ShareCount,0,COLUMN()))/(AQ29/AQ48)-1)&gt;10,"NMF",(INDEX(SP_GF_Rev,0,COLUMN())/INDEX(SP_CS_ShareCount,0,COLUMN()))/(AQ29/AQ48)-1))</f>
        <v/>
      </c>
      <c r="AW114" s="129">
        <f>IF(OR(INDEX(SP_GF_Rev,0,COLUMN())&lt;=0,AR29&lt;=0),"NMF",IF(ABS((INDEX(SP_GF_Rev,0,COLUMN())/INDEX(SP_CS_ShareCount,0,COLUMN()))/(AR29/AR48)-1)&gt;10,"NMF",(INDEX(SP_GF_Rev,0,COLUMN())/INDEX(SP_CS_ShareCount,0,COLUMN()))/(AR29/AR48)-1))</f>
        <v/>
      </c>
      <c r="AX114" s="129">
        <f>IF(OR(INDEX(SP_GF_Rev,0,COLUMN())&lt;=0,AS29&lt;=0),"NMF",IF(ABS((INDEX(SP_GF_Rev,0,COLUMN())/INDEX(SP_CS_ShareCount,0,COLUMN()))/(AS29/AS48)-1)&gt;10,"NMF",(INDEX(SP_GF_Rev,0,COLUMN())/INDEX(SP_CS_ShareCount,0,COLUMN()))/(AS29/AS48)-1))</f>
        <v/>
      </c>
      <c r="AY114" s="1245">
        <f>IF(OR(INDEX(SP_GF_Rev,0,COLUMN())&lt;=0,AT29&lt;=0),"NMF",IF(ABS((INDEX(SP_GF_Rev,0,COLUMN())/INDEX(SP_CS_ShareCount,0,COLUMN()))/(AT29/AT48)-1)&gt;10,"NMF",(INDEX(SP_GF_Rev,0,COLUMN())/INDEX(SP_CS_ShareCount,0,COLUMN()))/(AT29/AT48)-1))</f>
        <v/>
      </c>
      <c r="AZ114" s="129">
        <f>IF(OR(INDEX(SP_GF_Rev,0,COLUMN())&lt;=0,AU29&lt;=0),"NMF",IF(ABS((INDEX(SP_GF_Rev,0,COLUMN())/INDEX(SP_CS_ShareCount,0,COLUMN()))/(AU29/AU48)-1)&gt;10,"NMF",(INDEX(SP_GF_Rev,0,COLUMN())/INDEX(SP_CS_ShareCount,0,COLUMN()))/(AU29/AU48)-1))</f>
        <v/>
      </c>
      <c r="BA114" s="129">
        <f>IF(OR(INDEX(SP_GF_Rev,0,COLUMN())&lt;=0,AV29&lt;=0),"NMF",IF(ABS((INDEX(SP_GF_Rev,0,COLUMN())/INDEX(SP_CS_ShareCount,0,COLUMN()))/(AV29/AV48)-1)&gt;10,"NMF",(INDEX(SP_GF_Rev,0,COLUMN())/INDEX(SP_CS_ShareCount,0,COLUMN()))/(AV29/AV48)-1))</f>
        <v/>
      </c>
      <c r="BB114" s="129">
        <f>IF(OR(INDEX(SP_GF_Rev,0,COLUMN())&lt;=0,AW29&lt;=0),"NMF",IF(ABS((INDEX(SP_GF_Rev,0,COLUMN())/INDEX(SP_CS_ShareCount,0,COLUMN()))/(AW29/AW48)-1)&gt;10,"NMF",(INDEX(SP_GF_Rev,0,COLUMN())/INDEX(SP_CS_ShareCount,0,COLUMN()))/(AW29/AW48)-1))</f>
        <v/>
      </c>
      <c r="BC114" s="129">
        <f>IF(OR(INDEX(SP_GF_Rev,0,COLUMN())&lt;=0,AX29&lt;=0),"NMF",IF(ABS((INDEX(SP_GF_Rev,0,COLUMN())/INDEX(SP_CS_ShareCount,0,COLUMN()))/(AX29/AX48)-1)&gt;10,"NMF",(INDEX(SP_GF_Rev,0,COLUMN())/INDEX(SP_CS_ShareCount,0,COLUMN()))/(AX29/AX48)-1))</f>
        <v/>
      </c>
      <c r="BD114" s="1245">
        <f>IF(OR(INDEX(SP_GF_Rev,0,COLUMN())&lt;=0,AY29&lt;=0),"NMF",IF(ABS((INDEX(SP_GF_Rev,0,COLUMN())/INDEX(SP_CS_ShareCount,0,COLUMN()))/(AY29/AY48)-1)&gt;10,"NMF",(INDEX(SP_GF_Rev,0,COLUMN())/INDEX(SP_CS_ShareCount,0,COLUMN()))/(AY29/AY48)-1))</f>
        <v/>
      </c>
      <c r="BE114" s="129">
        <f>IF(OR(INDEX(SP_GF_Rev,0,COLUMN())&lt;=0,AZ29&lt;=0),"NMF",IF(ABS((INDEX(SP_GF_Rev,0,COLUMN())/INDEX(SP_CS_ShareCount,0,COLUMN()))/(AZ29/AZ48)-1)&gt;10,"NMF",(INDEX(SP_GF_Rev,0,COLUMN())/INDEX(SP_CS_ShareCount,0,COLUMN()))/(AZ29/AZ48)-1))</f>
        <v/>
      </c>
      <c r="BF114" s="129">
        <f>IF(OR(INDEX(SP_GF_Rev,0,COLUMN())&lt;=0,BA29&lt;=0),"NMF",IF(ABS((INDEX(SP_GF_Rev,0,COLUMN())/INDEX(SP_CS_ShareCount,0,COLUMN()))/(BA29/BA48)-1)&gt;10,"NMF",(INDEX(SP_GF_Rev,0,COLUMN())/INDEX(SP_CS_ShareCount,0,COLUMN()))/(BA29/BA48)-1))</f>
        <v/>
      </c>
      <c r="BG114" s="129">
        <f>IF(OR(INDEX(SP_GF_Rev,0,COLUMN())&lt;=0,BB29&lt;=0),"NMF",IF(ABS((INDEX(SP_GF_Rev,0,COLUMN())/INDEX(SP_CS_ShareCount,0,COLUMN()))/(BB29/BB48)-1)&gt;10,"NMF",(INDEX(SP_GF_Rev,0,COLUMN())/INDEX(SP_CS_ShareCount,0,COLUMN()))/(BB29/BB48)-1))</f>
        <v/>
      </c>
      <c r="BH114" s="129">
        <f>IF(OR(INDEX(SP_GF_Rev,0,COLUMN())&lt;=0,BC29&lt;=0),"NMF",IF(ABS((INDEX(SP_GF_Rev,0,COLUMN())/INDEX(SP_CS_ShareCount,0,COLUMN()))/(BC29/BC48)-1)&gt;10,"NMF",(INDEX(SP_GF_Rev,0,COLUMN())/INDEX(SP_CS_ShareCount,0,COLUMN()))/(BC29/BC48)-1))</f>
        <v/>
      </c>
      <c r="BI114" s="1245">
        <f>IF(OR(INDEX(SP_GF_Rev,0,COLUMN())&lt;=0,BD29&lt;=0),"NMF",IF(ABS((INDEX(SP_GF_Rev,0,COLUMN())/INDEX(SP_CS_ShareCount,0,COLUMN()))/(BD29/BD48)-1)&gt;10,"NMF",(INDEX(SP_GF_Rev,0,COLUMN())/INDEX(SP_CS_ShareCount,0,COLUMN()))/(BD29/BD48)-1))</f>
        <v/>
      </c>
      <c r="BJ114" s="129">
        <f>IF(OR(INDEX(SP_GF_Rev,0,COLUMN())&lt;=0,BE29&lt;=0),"NMF",IF(ABS((INDEX(SP_GF_Rev,0,COLUMN())/INDEX(SP_CS_ShareCount,0,COLUMN()))/(BE29/BE48)-1)&gt;10,"NMF",(INDEX(SP_GF_Rev,0,COLUMN())/INDEX(SP_CS_ShareCount,0,COLUMN()))/(BE29/BE48)-1))</f>
        <v/>
      </c>
      <c r="BK114" s="129">
        <f>IF(OR(INDEX(SP_GF_Rev,0,COLUMN())&lt;=0,BF29&lt;=0),"NMF",IF(ABS((INDEX(SP_GF_Rev,0,COLUMN())/INDEX(SP_CS_ShareCount,0,COLUMN()))/(BF29/BF48)-1)&gt;10,"NMF",(INDEX(SP_GF_Rev,0,COLUMN())/INDEX(SP_CS_ShareCount,0,COLUMN()))/(BF29/BF48)-1))</f>
        <v/>
      </c>
      <c r="BL114" s="129">
        <f>IF(OR(INDEX(SP_GF_Rev,0,COLUMN())&lt;=0,BG29&lt;=0),"NMF",IF(ABS((INDEX(SP_GF_Rev,0,COLUMN())/INDEX(SP_CS_ShareCount,0,COLUMN()))/(BG29/BG48)-1)&gt;10,"NMF",(INDEX(SP_GF_Rev,0,COLUMN())/INDEX(SP_CS_ShareCount,0,COLUMN()))/(BG29/BG48)-1))</f>
        <v/>
      </c>
      <c r="BM114" s="129">
        <f>IF(OR(INDEX(SP_GF_Rev,0,COLUMN())&lt;=0,BH29&lt;=0),"NMF",IF(ABS((INDEX(SP_GF_Rev,0,COLUMN())/INDEX(SP_CS_ShareCount,0,COLUMN()))/(BH29/BH48)-1)&gt;10,"NMF",(INDEX(SP_GF_Rev,0,COLUMN())/INDEX(SP_CS_ShareCount,0,COLUMN()))/(BH29/BH48)-1))</f>
        <v/>
      </c>
      <c r="BN114" s="1245">
        <f>IF(OR(INDEX(SP_GF_Rev,0,COLUMN())&lt;=0,BI29&lt;=0),"NMF",IF(ABS((INDEX(SP_GF_Rev,0,COLUMN())/INDEX(SP_CS_ShareCount,0,COLUMN()))/(BI29/BI48)-1)&gt;10,"NMF",(INDEX(SP_GF_Rev,0,COLUMN())/INDEX(SP_CS_ShareCount,0,COLUMN()))/(BI29/BI48)-1))</f>
        <v/>
      </c>
      <c r="BO114" s="129">
        <f>IF(OR(INDEX(SP_GF_Rev,0,COLUMN())&lt;=0,BJ29&lt;=0),"NMF",IF(ABS((INDEX(SP_GF_Rev,0,COLUMN())/INDEX(SP_CS_ShareCount,0,COLUMN()))/(BJ29/BJ48)-1)&gt;10,"NMF",(INDEX(SP_GF_Rev,0,COLUMN())/INDEX(SP_CS_ShareCount,0,COLUMN()))/(BJ29/BJ48)-1))</f>
        <v/>
      </c>
      <c r="BP114" s="129">
        <f>IF(OR(INDEX(SP_GF_Rev,0,COLUMN())&lt;=0,BK29&lt;=0),"NMF",IF(ABS((INDEX(SP_GF_Rev,0,COLUMN())/INDEX(SP_CS_ShareCount,0,COLUMN()))/(BK29/BK48)-1)&gt;10,"NMF",(INDEX(SP_GF_Rev,0,COLUMN())/INDEX(SP_CS_ShareCount,0,COLUMN()))/(BK29/BK48)-1))</f>
        <v/>
      </c>
      <c r="BQ114" s="129">
        <f>IF(OR(INDEX(SP_GF_Rev,0,COLUMN())&lt;=0,BL29&lt;=0),"NMF",IF(ABS((INDEX(SP_GF_Rev,0,COLUMN())/INDEX(SP_CS_ShareCount,0,COLUMN()))/(BL29/BL48)-1)&gt;10,"NMF",(INDEX(SP_GF_Rev,0,COLUMN())/INDEX(SP_CS_ShareCount,0,COLUMN()))/(BL29/BL48)-1))</f>
        <v/>
      </c>
      <c r="BR114" s="129">
        <f>IF(OR(INDEX(SP_GF_Rev,0,COLUMN())&lt;=0,BM29&lt;=0),"NMF",IF(ABS((INDEX(SP_GF_Rev,0,COLUMN())/INDEX(SP_CS_ShareCount,0,COLUMN()))/(BM29/BM48)-1)&gt;10,"NMF",(INDEX(SP_GF_Rev,0,COLUMN())/INDEX(SP_CS_ShareCount,0,COLUMN()))/(BM29/BM48)-1))</f>
        <v/>
      </c>
      <c r="BS114" s="1245">
        <f>IF(OR(INDEX(SP_GF_Rev,0,COLUMN())&lt;=0,BN29&lt;=0),"NMF",IF(ABS((INDEX(SP_GF_Rev,0,COLUMN())/INDEX(SP_CS_ShareCount,0,COLUMN()))/(BN29/BN48)-1)&gt;10,"NMF",(INDEX(SP_GF_Rev,0,COLUMN())/INDEX(SP_CS_ShareCount,0,COLUMN()))/(BN29/BN48)-1))</f>
        <v/>
      </c>
      <c r="BT114" s="129">
        <f>IF(OR(INDEX(SP_GF_Rev,0,COLUMN())&lt;=0,BO29&lt;=0),"NMF",IF(ABS((INDEX(SP_GF_Rev,0,COLUMN())/INDEX(SP_CS_ShareCount,0,COLUMN()))/(BO29/BO48)-1)&gt;10,"NMF",(INDEX(SP_GF_Rev,0,COLUMN())/INDEX(SP_CS_ShareCount,0,COLUMN()))/(BO29/BO48)-1))</f>
        <v/>
      </c>
      <c r="BU114" s="129">
        <f>IF(OR(INDEX(SP_GF_Rev,0,COLUMN())&lt;=0,BP29&lt;=0),"NMF",IF(ABS((INDEX(SP_GF_Rev,0,COLUMN())/INDEX(SP_CS_ShareCount,0,COLUMN()))/(BP29/BP48)-1)&gt;10,"NMF",(INDEX(SP_GF_Rev,0,COLUMN())/INDEX(SP_CS_ShareCount,0,COLUMN()))/(BP29/BP48)-1))</f>
        <v/>
      </c>
      <c r="BV114" s="946">
        <f>IF(OR(INDEX(SP_GF_Rev,0,COLUMN())&lt;=0,BQ29&lt;=0),"NMF",IF(ABS((INDEX(SP_GF_Rev,0,COLUMN())/INDEX(SP_CS_ShareCount,0,COLUMN()))/(BQ29/BQ48)-1)&gt;10,"NMF",(INDEX(SP_GF_Rev,0,COLUMN())/INDEX(SP_CS_ShareCount,0,COLUMN()))/(BQ29/BQ48)-1))</f>
        <v/>
      </c>
      <c r="BW114" s="129">
        <f>IF(OR(INDEX(SP_GF_Rev,0,COLUMN())&lt;=0,BR29&lt;=0),"NMF",IF(ABS((INDEX(SP_GF_Rev,0,COLUMN())/INDEX(SP_CS_ShareCount,0,COLUMN()))/(BR29/BR48)-1)&gt;10,"NMF",(INDEX(SP_GF_Rev,0,COLUMN())/INDEX(SP_CS_ShareCount,0,COLUMN()))/(BR29/BR48)-1))</f>
        <v/>
      </c>
      <c r="BX114" s="1245">
        <f>IF(OR(INDEX(SP_GF_Rev,0,COLUMN())&lt;=0,BS29&lt;=0),"NMF",IF(ABS((INDEX(SP_GF_Rev,0,COLUMN())/INDEX(SP_CS_ShareCount,0,COLUMN()))/(BS29/BS48)-1)&gt;10,"NMF",(INDEX(SP_GF_Rev,0,COLUMN())/INDEX(SP_CS_ShareCount,0,COLUMN()))/(BS29/BS48)-1))</f>
        <v/>
      </c>
      <c r="BY114" s="129">
        <f>IF(OR(INDEX(SP_GF_Rev,0,COLUMN())&lt;=0,BT29&lt;=0),"NMF",IF(ABS((INDEX(SP_GF_Rev,0,COLUMN())/INDEX(SP_CS_ShareCount,0,COLUMN()))/(BT29/BT48)-1)&gt;10,"NMF",(INDEX(SP_GF_Rev,0,COLUMN())/INDEX(SP_CS_ShareCount,0,COLUMN()))/(BT29/BT48)-1))</f>
        <v/>
      </c>
      <c r="BZ114" s="129">
        <f>IF(OR(INDEX(SP_GF_Rev,0,COLUMN())&lt;=0,BU29&lt;=0),"NMF",IF(ABS((INDEX(SP_GF_Rev,0,COLUMN())/INDEX(SP_CS_ShareCount,0,COLUMN()))/(BU29/BU48)-1)&gt;10,"NMF",(INDEX(SP_GF_Rev,0,COLUMN())/INDEX(SP_CS_ShareCount,0,COLUMN()))/(BU29/BU48)-1))</f>
        <v/>
      </c>
      <c r="CA114" s="129">
        <f>IF(OR(INDEX(SP_GF_Rev,0,COLUMN())&lt;=0,BV29&lt;=0),"NMF",IF(ABS((INDEX(SP_GF_Rev,0,COLUMN())/INDEX(SP_CS_ShareCount,0,COLUMN()))/(BV29/BV48)-1)&gt;10,"NMF",(INDEX(SP_GF_Rev,0,COLUMN())/INDEX(SP_CS_ShareCount,0,COLUMN()))/(BV29/BV48)-1))</f>
        <v/>
      </c>
      <c r="CB114" s="129">
        <f>IF(OR(INDEX(SP_GF_Rev,0,COLUMN())&lt;=0,BW29&lt;=0),"NMF",IF(ABS((INDEX(SP_GF_Rev,0,COLUMN())/INDEX(SP_CS_ShareCount,0,COLUMN()))/(BW29/BW48)-1)&gt;10,"NMF",(INDEX(SP_GF_Rev,0,COLUMN())/INDEX(SP_CS_ShareCount,0,COLUMN()))/(BW29/BW48)-1))</f>
        <v/>
      </c>
      <c r="CC114" s="1245">
        <f>IF(OR(INDEX(SP_GF_Rev,0,COLUMN())&lt;=0,BX29&lt;=0),"NMF",IF(ABS((INDEX(SP_GF_Rev,0,COLUMN())/INDEX(SP_CS_ShareCount,0,COLUMN()))/(BX29/BX48)-1)&gt;10,"NMF",(INDEX(SP_GF_Rev,0,COLUMN())/INDEX(SP_CS_ShareCount,0,COLUMN()))/(BX29/BX48)-1))</f>
        <v/>
      </c>
      <c r="CD114" s="1245">
        <f>IF(OR(INDEX(SP_GF_Rev,0,COLUMN())&lt;=0,CC29&lt;=0),"NMF",IF(ABS((INDEX(SP_GF_Rev,0,COLUMN())/INDEX(SP_CS_ShareCount,0,COLUMN()))/(CC29/CC48)-1)&gt;10,"NMF",(INDEX(SP_GF_Rev,0,COLUMN())/INDEX(SP_CS_ShareCount,0,COLUMN()))/(CC29/CC48)-1))</f>
        <v/>
      </c>
      <c r="CE114" s="1245">
        <f>IF(OR(INDEX(SP_GF_Rev,0,COLUMN())&lt;=0,CD29&lt;=0),"NMF",IF(ABS((INDEX(SP_GF_Rev,0,COLUMN())/INDEX(SP_CS_ShareCount,0,COLUMN()))/(CD29/CD48)-1)&gt;10,"NMF",(INDEX(SP_GF_Rev,0,COLUMN())/INDEX(SP_CS_ShareCount,0,COLUMN()))/(CD29/CD48)-1))</f>
        <v/>
      </c>
      <c r="CF114" s="1245">
        <f>IF(OR(INDEX(SP_GF_Rev,0,COLUMN())&lt;=0,CE29&lt;=0),"NMF",IF(ABS((INDEX(SP_GF_Rev,0,COLUMN())/INDEX(SP_CS_ShareCount,0,COLUMN()))/(CE29/CE48)-1)&gt;10,"NMF",(INDEX(SP_GF_Rev,0,COLUMN())/INDEX(SP_CS_ShareCount,0,COLUMN()))/(CE29/CE48)-1))</f>
        <v/>
      </c>
      <c r="CG114" s="130" t="n"/>
    </row>
    <row r="115" customFormat="1" s="966">
      <c r="A115" s="219" t="inlineStr">
        <is>
          <t>Adj. EBITDA Per Share Growth</t>
        </is>
      </c>
      <c r="B115" s="202" t="n"/>
      <c r="C115" s="1245" t="n"/>
      <c r="D115" s="1245">
        <f>IF(OR(INDEX(SP_NGF_EBITDA,0,COLUMN())&lt;=0,C51&lt;=0),"NMF",IF(ABS((INDEX(SP_NGF_EBITDA,0,COLUMN())/INDEX(SP_CS_ShareCount,0,COLUMN()))/(C51/C48)-1)&gt;10,"NMF",(INDEX(SP_NGF_EBITDA,0,COLUMN())/INDEX(SP_CS_ShareCount,0,COLUMN()))/(C51/C48)-1))</f>
        <v/>
      </c>
      <c r="E115" s="1245">
        <f>IF(OR(INDEX(SP_NGF_EBITDA,0,COLUMN())&lt;=0,D51&lt;=0),"NMF",IF(ABS((INDEX(SP_NGF_EBITDA,0,COLUMN())/INDEX(SP_CS_ShareCount,0,COLUMN()))/(D51/D48)-1)&gt;10,"NMF",(INDEX(SP_NGF_EBITDA,0,COLUMN())/INDEX(SP_CS_ShareCount,0,COLUMN()))/(D51/D48)-1))</f>
        <v/>
      </c>
      <c r="F115" s="1245">
        <f>IF(OR(INDEX(SP_NGF_EBITDA,0,COLUMN())&lt;=0,E51&lt;=0),"NMF",IF(ABS((INDEX(SP_NGF_EBITDA,0,COLUMN())/INDEX(SP_CS_ShareCount,0,COLUMN()))/(E51/E48)-1)&gt;10,"NMF",(INDEX(SP_NGF_EBITDA,0,COLUMN())/INDEX(SP_CS_ShareCount,0,COLUMN()))/(E51/E48)-1))</f>
        <v/>
      </c>
      <c r="G115" s="129" t="n"/>
      <c r="H115" s="129" t="n"/>
      <c r="I115" s="129" t="n"/>
      <c r="J115" s="129" t="n"/>
      <c r="K115" s="1245">
        <f>IF(OR(INDEX(SP_NGF_EBITDA,0,COLUMN())&lt;=0,F51&lt;=0),"NMF",IF(ABS((INDEX(SP_NGF_EBITDA,0,COLUMN())/INDEX(SP_CS_ShareCount,0,COLUMN()))/(F51/F48)-1)&gt;10,"NMF",(INDEX(SP_NGF_EBITDA,0,COLUMN())/INDEX(SP_CS_ShareCount,0,COLUMN()))/(F51/F48)-1))</f>
        <v/>
      </c>
      <c r="L115" s="129">
        <f>IF(OR(INDEX(SP_NGF_EBITDA,0,COLUMN())&lt;=0,G51&lt;=0),"NMF",IF(ABS((INDEX(SP_NGF_EBITDA,0,COLUMN())/INDEX(SP_CS_ShareCount,0,COLUMN()))/(G51/G48)-1)&gt;10,"NMF",(INDEX(SP_NGF_EBITDA,0,COLUMN())/INDEX(SP_CS_ShareCount,0,COLUMN()))/(G51/G48)-1))</f>
        <v/>
      </c>
      <c r="M115" s="129">
        <f>IF(OR(INDEX(SP_NGF_EBITDA,0,COLUMN())&lt;=0,H51&lt;=0),"NMF",IF(ABS((INDEX(SP_NGF_EBITDA,0,COLUMN())/INDEX(SP_CS_ShareCount,0,COLUMN()))/(H51/H48)-1)&gt;10,"NMF",(INDEX(SP_NGF_EBITDA,0,COLUMN())/INDEX(SP_CS_ShareCount,0,COLUMN()))/(H51/H48)-1))</f>
        <v/>
      </c>
      <c r="N115" s="129">
        <f>IF(OR(INDEX(SP_NGF_EBITDA,0,COLUMN())&lt;=0,I51&lt;=0),"NMF",IF(ABS((INDEX(SP_NGF_EBITDA,0,COLUMN())/INDEX(SP_CS_ShareCount,0,COLUMN()))/(I51/I48)-1)&gt;10,"NMF",(INDEX(SP_NGF_EBITDA,0,COLUMN())/INDEX(SP_CS_ShareCount,0,COLUMN()))/(I51/I48)-1))</f>
        <v/>
      </c>
      <c r="O115" s="129">
        <f>IF(OR(INDEX(SP_NGF_EBITDA,0,COLUMN())&lt;=0,J51&lt;=0),"NMF",IF(ABS((INDEX(SP_NGF_EBITDA,0,COLUMN())/INDEX(SP_CS_ShareCount,0,COLUMN()))/(J51/J48)-1)&gt;10,"NMF",(INDEX(SP_NGF_EBITDA,0,COLUMN())/INDEX(SP_CS_ShareCount,0,COLUMN()))/(J51/J48)-1))</f>
        <v/>
      </c>
      <c r="P115" s="1245">
        <f>IF(OR(INDEX(SP_NGF_EBITDA,0,COLUMN())&lt;=0,K51&lt;=0),"NMF",IF(ABS((INDEX(SP_NGF_EBITDA,0,COLUMN())/INDEX(SP_CS_ShareCount,0,COLUMN()))/(K51/K48)-1)&gt;10,"NMF",(INDEX(SP_NGF_EBITDA,0,COLUMN())/INDEX(SP_CS_ShareCount,0,COLUMN()))/(K51/K48)-1))</f>
        <v/>
      </c>
      <c r="Q115" s="129">
        <f>IF(OR(INDEX(SP_NGF_EBITDA,0,COLUMN())&lt;=0,L51&lt;=0),"NMF",IF(ABS((INDEX(SP_NGF_EBITDA,0,COLUMN())/INDEX(SP_CS_ShareCount,0,COLUMN()))/(L51/L48)-1)&gt;10,"NMF",(INDEX(SP_NGF_EBITDA,0,COLUMN())/INDEX(SP_CS_ShareCount,0,COLUMN()))/(L51/L48)-1))</f>
        <v/>
      </c>
      <c r="R115" s="129">
        <f>IF(OR(INDEX(SP_NGF_EBITDA,0,COLUMN())&lt;=0,M51&lt;=0),"NMF",IF(ABS((INDEX(SP_NGF_EBITDA,0,COLUMN())/INDEX(SP_CS_ShareCount,0,COLUMN()))/(M51/M48)-1)&gt;10,"NMF",(INDEX(SP_NGF_EBITDA,0,COLUMN())/INDEX(SP_CS_ShareCount,0,COLUMN()))/(M51/M48)-1))</f>
        <v/>
      </c>
      <c r="S115" s="129">
        <f>IF(OR(INDEX(SP_NGF_EBITDA,0,COLUMN())&lt;=0,N51&lt;=0),"NMF",IF(ABS((INDEX(SP_NGF_EBITDA,0,COLUMN())/INDEX(SP_CS_ShareCount,0,COLUMN()))/(N51/N48)-1)&gt;10,"NMF",(INDEX(SP_NGF_EBITDA,0,COLUMN())/INDEX(SP_CS_ShareCount,0,COLUMN()))/(N51/N48)-1))</f>
        <v/>
      </c>
      <c r="T115" s="129">
        <f>IF(OR(INDEX(SP_NGF_EBITDA,0,COLUMN())&lt;=0,O51&lt;=0),"NMF",IF(ABS((INDEX(SP_NGF_EBITDA,0,COLUMN())/INDEX(SP_CS_ShareCount,0,COLUMN()))/(O51/O48)-1)&gt;10,"NMF",(INDEX(SP_NGF_EBITDA,0,COLUMN())/INDEX(SP_CS_ShareCount,0,COLUMN()))/(O51/O48)-1))</f>
        <v/>
      </c>
      <c r="U115" s="1245">
        <f>IF(OR(INDEX(SP_NGF_EBITDA,0,COLUMN())&lt;=0,P51&lt;=0),"NMF",IF(ABS((INDEX(SP_NGF_EBITDA,0,COLUMN())/INDEX(SP_CS_ShareCount,0,COLUMN()))/(P51/P48)-1)&gt;10,"NMF",(INDEX(SP_NGF_EBITDA,0,COLUMN())/INDEX(SP_CS_ShareCount,0,COLUMN()))/(P51/P48)-1))</f>
        <v/>
      </c>
      <c r="V115" s="129">
        <f>IF(OR(INDEX(SP_NGF_EBITDA,0,COLUMN())&lt;=0,Q51&lt;=0),"NMF",IF(ABS((INDEX(SP_NGF_EBITDA,0,COLUMN())/INDEX(SP_CS_ShareCount,0,COLUMN()))/(Q51/Q48)-1)&gt;10,"NMF",(INDEX(SP_NGF_EBITDA,0,COLUMN())/INDEX(SP_CS_ShareCount,0,COLUMN()))/(Q51/Q48)-1))</f>
        <v/>
      </c>
      <c r="W115" s="129">
        <f>IF(OR(INDEX(SP_NGF_EBITDA,0,COLUMN())&lt;=0,R51&lt;=0),"NMF",IF(ABS((INDEX(SP_NGF_EBITDA,0,COLUMN())/INDEX(SP_CS_ShareCount,0,COLUMN()))/(R51/R48)-1)&gt;10,"NMF",(INDEX(SP_NGF_EBITDA,0,COLUMN())/INDEX(SP_CS_ShareCount,0,COLUMN()))/(R51/R48)-1))</f>
        <v/>
      </c>
      <c r="X115" s="129">
        <f>IF(OR(INDEX(SP_NGF_EBITDA,0,COLUMN())&lt;=0,S51&lt;=0),"NMF",IF(ABS((INDEX(SP_NGF_EBITDA,0,COLUMN())/INDEX(SP_CS_ShareCount,0,COLUMN()))/(S51/S48)-1)&gt;10,"NMF",(INDEX(SP_NGF_EBITDA,0,COLUMN())/INDEX(SP_CS_ShareCount,0,COLUMN()))/(S51/S48)-1))</f>
        <v/>
      </c>
      <c r="Y115" s="129">
        <f>IF(OR(INDEX(SP_NGF_EBITDA,0,COLUMN())&lt;=0,T51&lt;=0),"NMF",IF(ABS((INDEX(SP_NGF_EBITDA,0,COLUMN())/INDEX(SP_CS_ShareCount,0,COLUMN()))/(T51/T48)-1)&gt;10,"NMF",(INDEX(SP_NGF_EBITDA,0,COLUMN())/INDEX(SP_CS_ShareCount,0,COLUMN()))/(T51/T48)-1))</f>
        <v/>
      </c>
      <c r="Z115" s="1245">
        <f>IF(OR(INDEX(SP_NGF_EBITDA,0,COLUMN())&lt;=0,U51&lt;=0),"NMF",IF(ABS((INDEX(SP_NGF_EBITDA,0,COLUMN())/INDEX(SP_CS_ShareCount,0,COLUMN()))/(U51/U48)-1)&gt;10,"NMF",(INDEX(SP_NGF_EBITDA,0,COLUMN())/INDEX(SP_CS_ShareCount,0,COLUMN()))/(U51/U48)-1))</f>
        <v/>
      </c>
      <c r="AA115" s="129">
        <f>IF(OR(INDEX(SP_NGF_EBITDA,0,COLUMN())&lt;=0,V51&lt;=0),"NMF",IF(ABS((INDEX(SP_NGF_EBITDA,0,COLUMN())/INDEX(SP_CS_ShareCount,0,COLUMN()))/(V51/V48)-1)&gt;10,"NMF",(INDEX(SP_NGF_EBITDA,0,COLUMN())/INDEX(SP_CS_ShareCount,0,COLUMN()))/(V51/V48)-1))</f>
        <v/>
      </c>
      <c r="AB115" s="129">
        <f>IF(OR(INDEX(SP_NGF_EBITDA,0,COLUMN())&lt;=0,W51&lt;=0),"NMF",IF(ABS((INDEX(SP_NGF_EBITDA,0,COLUMN())/INDEX(SP_CS_ShareCount,0,COLUMN()))/(W51/W48)-1)&gt;10,"NMF",(INDEX(SP_NGF_EBITDA,0,COLUMN())/INDEX(SP_CS_ShareCount,0,COLUMN()))/(W51/W48)-1))</f>
        <v/>
      </c>
      <c r="AC115" s="129">
        <f>IF(OR(INDEX(SP_NGF_EBITDA,0,COLUMN())&lt;=0,X51&lt;=0),"NMF",IF(ABS((INDEX(SP_NGF_EBITDA,0,COLUMN())/INDEX(SP_CS_ShareCount,0,COLUMN()))/(X51/X48)-1)&gt;10,"NMF",(INDEX(SP_NGF_EBITDA,0,COLUMN())/INDEX(SP_CS_ShareCount,0,COLUMN()))/(X51/X48)-1))</f>
        <v/>
      </c>
      <c r="AD115" s="129">
        <f>IF(OR(INDEX(SP_NGF_EBITDA,0,COLUMN())&lt;=0,Y51&lt;=0),"NMF",IF(ABS((INDEX(SP_NGF_EBITDA,0,COLUMN())/INDEX(SP_CS_ShareCount,0,COLUMN()))/(Y51/Y48)-1)&gt;10,"NMF",(INDEX(SP_NGF_EBITDA,0,COLUMN())/INDEX(SP_CS_ShareCount,0,COLUMN()))/(Y51/Y48)-1))</f>
        <v/>
      </c>
      <c r="AE115" s="1245">
        <f>IF(OR(INDEX(SP_NGF_EBITDA,0,COLUMN())&lt;=0,Z51&lt;=0),"NMF",IF(ABS((INDEX(SP_NGF_EBITDA,0,COLUMN())/INDEX(SP_CS_ShareCount,0,COLUMN()))/(Z51/Z48)-1)&gt;10,"NMF",(INDEX(SP_NGF_EBITDA,0,COLUMN())/INDEX(SP_CS_ShareCount,0,COLUMN()))/(Z51/Z48)-1))</f>
        <v/>
      </c>
      <c r="AF115" s="129">
        <f>IF(OR(INDEX(SP_NGF_EBITDA,0,COLUMN())&lt;=0,AA51&lt;=0),"NMF",IF(ABS((INDEX(SP_NGF_EBITDA,0,COLUMN())/INDEX(SP_CS_ShareCount,0,COLUMN()))/(AA51/AA48)-1)&gt;10,"NMF",(INDEX(SP_NGF_EBITDA,0,COLUMN())/INDEX(SP_CS_ShareCount,0,COLUMN()))/(AA51/AA48)-1))</f>
        <v/>
      </c>
      <c r="AG115" s="129">
        <f>IF(OR(INDEX(SP_NGF_EBITDA,0,COLUMN())&lt;=0,AB51&lt;=0),"NMF",IF(ABS((INDEX(SP_NGF_EBITDA,0,COLUMN())/INDEX(SP_CS_ShareCount,0,COLUMN()))/(AB51/AB48)-1)&gt;10,"NMF",(INDEX(SP_NGF_EBITDA,0,COLUMN())/INDEX(SP_CS_ShareCount,0,COLUMN()))/(AB51/AB48)-1))</f>
        <v/>
      </c>
      <c r="AH115" s="129">
        <f>IF(OR(INDEX(SP_NGF_EBITDA,0,COLUMN())&lt;=0,AC51&lt;=0),"NMF",IF(ABS((INDEX(SP_NGF_EBITDA,0,COLUMN())/INDEX(SP_CS_ShareCount,0,COLUMN()))/(AC51/AC48)-1)&gt;10,"NMF",(INDEX(SP_NGF_EBITDA,0,COLUMN())/INDEX(SP_CS_ShareCount,0,COLUMN()))/(AC51/AC48)-1))</f>
        <v/>
      </c>
      <c r="AI115" s="129">
        <f>IF(OR(INDEX(SP_NGF_EBITDA,0,COLUMN())&lt;=0,AD51&lt;=0),"NMF",IF(ABS((INDEX(SP_NGF_EBITDA,0,COLUMN())/INDEX(SP_CS_ShareCount,0,COLUMN()))/(AD51/AD48)-1)&gt;10,"NMF",(INDEX(SP_NGF_EBITDA,0,COLUMN())/INDEX(SP_CS_ShareCount,0,COLUMN()))/(AD51/AD48)-1))</f>
        <v/>
      </c>
      <c r="AJ115" s="1245">
        <f>IF(OR(INDEX(SP_NGF_EBITDA,0,COLUMN())&lt;=0,AE51&lt;=0),"NMF",IF(ABS((INDEX(SP_NGF_EBITDA,0,COLUMN())/INDEX(SP_CS_ShareCount,0,COLUMN()))/(AE51/AE48)-1)&gt;10,"NMF",(INDEX(SP_NGF_EBITDA,0,COLUMN())/INDEX(SP_CS_ShareCount,0,COLUMN()))/(AE51/AE48)-1))</f>
        <v/>
      </c>
      <c r="AK115" s="129">
        <f>IF(OR(INDEX(SP_NGF_EBITDA,0,COLUMN())&lt;=0,AF51&lt;=0),"NMF",IF(ABS((INDEX(SP_NGF_EBITDA,0,COLUMN())/INDEX(SP_CS_ShareCount,0,COLUMN()))/(AF51/AF48)-1)&gt;10,"NMF",(INDEX(SP_NGF_EBITDA,0,COLUMN())/INDEX(SP_CS_ShareCount,0,COLUMN()))/(AF51/AF48)-1))</f>
        <v/>
      </c>
      <c r="AL115" s="129">
        <f>IF(OR(INDEX(SP_NGF_EBITDA,0,COLUMN())&lt;=0,AG51&lt;=0),"NMF",IF(ABS((INDEX(SP_NGF_EBITDA,0,COLUMN())/INDEX(SP_CS_ShareCount,0,COLUMN()))/(AG51/AG48)-1)&gt;10,"NMF",(INDEX(SP_NGF_EBITDA,0,COLUMN())/INDEX(SP_CS_ShareCount,0,COLUMN()))/(AG51/AG48)-1))</f>
        <v/>
      </c>
      <c r="AM115" s="129">
        <f>IF(OR(INDEX(SP_NGF_EBITDA,0,COLUMN())&lt;=0,AH51&lt;=0),"NMF",IF(ABS((INDEX(SP_NGF_EBITDA,0,COLUMN())/INDEX(SP_CS_ShareCount,0,COLUMN()))/(AH51/AH48)-1)&gt;10,"NMF",(INDEX(SP_NGF_EBITDA,0,COLUMN())/INDEX(SP_CS_ShareCount,0,COLUMN()))/(AH51/AH48)-1))</f>
        <v/>
      </c>
      <c r="AN115" s="129">
        <f>IF(OR(INDEX(SP_NGF_EBITDA,0,COLUMN())&lt;=0,AI51&lt;=0),"NMF",IF(ABS((INDEX(SP_NGF_EBITDA,0,COLUMN())/INDEX(SP_CS_ShareCount,0,COLUMN()))/(AI51/AI48)-1)&gt;10,"NMF",(INDEX(SP_NGF_EBITDA,0,COLUMN())/INDEX(SP_CS_ShareCount,0,COLUMN()))/(AI51/AI48)-1))</f>
        <v/>
      </c>
      <c r="AO115" s="1245">
        <f>IF(OR(INDEX(SP_NGF_EBITDA,0,COLUMN())&lt;=0,AJ51&lt;=0),"NMF",IF(ABS((INDEX(SP_NGF_EBITDA,0,COLUMN())/INDEX(SP_CS_ShareCount,0,COLUMN()))/(AJ51/AJ48)-1)&gt;10,"NMF",(INDEX(SP_NGF_EBITDA,0,COLUMN())/INDEX(SP_CS_ShareCount,0,COLUMN()))/(AJ51/AJ48)-1))</f>
        <v/>
      </c>
      <c r="AP115" s="129">
        <f>IF(OR(INDEX(SP_NGF_EBITDA,0,COLUMN())&lt;=0,AK51&lt;=0),"NMF",IF(ABS((INDEX(SP_NGF_EBITDA,0,COLUMN())/INDEX(SP_CS_ShareCount,0,COLUMN()))/(AK51/AK48)-1)&gt;10,"NMF",(INDEX(SP_NGF_EBITDA,0,COLUMN())/INDEX(SP_CS_ShareCount,0,COLUMN()))/(AK51/AK48)-1))</f>
        <v/>
      </c>
      <c r="AQ115" s="129">
        <f>IF(OR(INDEX(SP_NGF_EBITDA,0,COLUMN())&lt;=0,AL51&lt;=0),"NMF",IF(ABS((INDEX(SP_NGF_EBITDA,0,COLUMN())/INDEX(SP_CS_ShareCount,0,COLUMN()))/(AL51/AL48)-1)&gt;10,"NMF",(INDEX(SP_NGF_EBITDA,0,COLUMN())/INDEX(SP_CS_ShareCount,0,COLUMN()))/(AL51/AL48)-1))</f>
        <v/>
      </c>
      <c r="AR115" s="129">
        <f>IF(OR(INDEX(SP_NGF_EBITDA,0,COLUMN())&lt;=0,AM51&lt;=0),"NMF",IF(ABS((INDEX(SP_NGF_EBITDA,0,COLUMN())/INDEX(SP_CS_ShareCount,0,COLUMN()))/(AM51/AM48)-1)&gt;10,"NMF",(INDEX(SP_NGF_EBITDA,0,COLUMN())/INDEX(SP_CS_ShareCount,0,COLUMN()))/(AM51/AM48)-1))</f>
        <v/>
      </c>
      <c r="AS115" s="129">
        <f>IF(OR(INDEX(SP_NGF_EBITDA,0,COLUMN())&lt;=0,AN51&lt;=0),"NMF",IF(ABS((INDEX(SP_NGF_EBITDA,0,COLUMN())/INDEX(SP_CS_ShareCount,0,COLUMN()))/(AN51/AN48)-1)&gt;10,"NMF",(INDEX(SP_NGF_EBITDA,0,COLUMN())/INDEX(SP_CS_ShareCount,0,COLUMN()))/(AN51/AN48)-1))</f>
        <v/>
      </c>
      <c r="AT115" s="1245">
        <f>IF(OR(INDEX(SP_NGF_EBITDA,0,COLUMN())&lt;=0,AO51&lt;=0),"NMF",IF(ABS((INDEX(SP_NGF_EBITDA,0,COLUMN())/INDEX(SP_CS_ShareCount,0,COLUMN()))/(AO51/AO48)-1)&gt;10,"NMF",(INDEX(SP_NGF_EBITDA,0,COLUMN())/INDEX(SP_CS_ShareCount,0,COLUMN()))/(AO51/AO48)-1))</f>
        <v/>
      </c>
      <c r="AU115" s="129">
        <f>IF(OR(INDEX(SP_NGF_EBITDA,0,COLUMN())&lt;=0,AP51&lt;=0),"NMF",IF(ABS((INDEX(SP_NGF_EBITDA,0,COLUMN())/INDEX(SP_CS_ShareCount,0,COLUMN()))/(AP51/AP48)-1)&gt;10,"NMF",(INDEX(SP_NGF_EBITDA,0,COLUMN())/INDEX(SP_CS_ShareCount,0,COLUMN()))/(AP51/AP48)-1))</f>
        <v/>
      </c>
      <c r="AV115" s="129">
        <f>IF(OR(INDEX(SP_NGF_EBITDA,0,COLUMN())&lt;=0,AQ51&lt;=0),"NMF",IF(ABS((INDEX(SP_NGF_EBITDA,0,COLUMN())/INDEX(SP_CS_ShareCount,0,COLUMN()))/(AQ51/AQ48)-1)&gt;10,"NMF",(INDEX(SP_NGF_EBITDA,0,COLUMN())/INDEX(SP_CS_ShareCount,0,COLUMN()))/(AQ51/AQ48)-1))</f>
        <v/>
      </c>
      <c r="AW115" s="129">
        <f>IF(OR(INDEX(SP_NGF_EBITDA,0,COLUMN())&lt;=0,AR51&lt;=0),"NMF",IF(ABS((INDEX(SP_NGF_EBITDA,0,COLUMN())/INDEX(SP_CS_ShareCount,0,COLUMN()))/(AR51/AR48)-1)&gt;10,"NMF",(INDEX(SP_NGF_EBITDA,0,COLUMN())/INDEX(SP_CS_ShareCount,0,COLUMN()))/(AR51/AR48)-1))</f>
        <v/>
      </c>
      <c r="AX115" s="129">
        <f>IF(OR(INDEX(SP_NGF_EBITDA,0,COLUMN())&lt;=0,AS51&lt;=0),"NMF",IF(ABS((INDEX(SP_NGF_EBITDA,0,COLUMN())/INDEX(SP_CS_ShareCount,0,COLUMN()))/(AS51/AS48)-1)&gt;10,"NMF",(INDEX(SP_NGF_EBITDA,0,COLUMN())/INDEX(SP_CS_ShareCount,0,COLUMN()))/(AS51/AS48)-1))</f>
        <v/>
      </c>
      <c r="AY115" s="1245">
        <f>IF(OR(INDEX(SP_NGF_EBITDA,0,COLUMN())&lt;=0,AT51&lt;=0),"NMF",IF(ABS((INDEX(SP_NGF_EBITDA,0,COLUMN())/INDEX(SP_CS_ShareCount,0,COLUMN()))/(AT51/AT48)-1)&gt;10,"NMF",(INDEX(SP_NGF_EBITDA,0,COLUMN())/INDEX(SP_CS_ShareCount,0,COLUMN()))/(AT51/AT48)-1))</f>
        <v/>
      </c>
      <c r="AZ115" s="129">
        <f>IF(OR(INDEX(SP_NGF_EBITDA,0,COLUMN())&lt;=0,AU51&lt;=0),"NMF",IF(ABS((INDEX(SP_NGF_EBITDA,0,COLUMN())/INDEX(SP_CS_ShareCount,0,COLUMN()))/(AU51/AU48)-1)&gt;10,"NMF",(INDEX(SP_NGF_EBITDA,0,COLUMN())/INDEX(SP_CS_ShareCount,0,COLUMN()))/(AU51/AU48)-1))</f>
        <v/>
      </c>
      <c r="BA115" s="129">
        <f>IF(OR(INDEX(SP_NGF_EBITDA,0,COLUMN())&lt;=0,AV51&lt;=0),"NMF",IF(ABS((INDEX(SP_NGF_EBITDA,0,COLUMN())/INDEX(SP_CS_ShareCount,0,COLUMN()))/(AV51/AV48)-1)&gt;10,"NMF",(INDEX(SP_NGF_EBITDA,0,COLUMN())/INDEX(SP_CS_ShareCount,0,COLUMN()))/(AV51/AV48)-1))</f>
        <v/>
      </c>
      <c r="BB115" s="129">
        <f>IF(OR(INDEX(SP_NGF_EBITDA,0,COLUMN())&lt;=0,AW51&lt;=0),"NMF",IF(ABS((INDEX(SP_NGF_EBITDA,0,COLUMN())/INDEX(SP_CS_ShareCount,0,COLUMN()))/(AW51/AW48)-1)&gt;10,"NMF",(INDEX(SP_NGF_EBITDA,0,COLUMN())/INDEX(SP_CS_ShareCount,0,COLUMN()))/(AW51/AW48)-1))</f>
        <v/>
      </c>
      <c r="BC115" s="129">
        <f>IF(OR(INDEX(SP_NGF_EBITDA,0,COLUMN())&lt;=0,AX51&lt;=0),"NMF",IF(ABS((INDEX(SP_NGF_EBITDA,0,COLUMN())/INDEX(SP_CS_ShareCount,0,COLUMN()))/(AX51/AX48)-1)&gt;10,"NMF",(INDEX(SP_NGF_EBITDA,0,COLUMN())/INDEX(SP_CS_ShareCount,0,COLUMN()))/(AX51/AX48)-1))</f>
        <v/>
      </c>
      <c r="BD115" s="1245">
        <f>IF(OR(INDEX(SP_NGF_EBITDA,0,COLUMN())&lt;=0,AY51&lt;=0),"NMF",IF(ABS((INDEX(SP_NGF_EBITDA,0,COLUMN())/INDEX(SP_CS_ShareCount,0,COLUMN()))/(AY51/AY48)-1)&gt;10,"NMF",(INDEX(SP_NGF_EBITDA,0,COLUMN())/INDEX(SP_CS_ShareCount,0,COLUMN()))/(AY51/AY48)-1))</f>
        <v/>
      </c>
      <c r="BE115" s="129">
        <f>IF(OR(INDEX(SP_NGF_EBITDA,0,COLUMN())&lt;=0,AZ51&lt;=0),"NMF",IF(ABS((INDEX(SP_NGF_EBITDA,0,COLUMN())/INDEX(SP_CS_ShareCount,0,COLUMN()))/(AZ51/AZ48)-1)&gt;10,"NMF",(INDEX(SP_NGF_EBITDA,0,COLUMN())/INDEX(SP_CS_ShareCount,0,COLUMN()))/(AZ51/AZ48)-1))</f>
        <v/>
      </c>
      <c r="BF115" s="129">
        <f>IF(OR(INDEX(SP_NGF_EBITDA,0,COLUMN())&lt;=0,BA51&lt;=0),"NMF",IF(ABS((INDEX(SP_NGF_EBITDA,0,COLUMN())/INDEX(SP_CS_ShareCount,0,COLUMN()))/(BA51/BA48)-1)&gt;10,"NMF",(INDEX(SP_NGF_EBITDA,0,COLUMN())/INDEX(SP_CS_ShareCount,0,COLUMN()))/(BA51/BA48)-1))</f>
        <v/>
      </c>
      <c r="BG115" s="129">
        <f>IF(OR(INDEX(SP_NGF_EBITDA,0,COLUMN())&lt;=0,BB51&lt;=0),"NMF",IF(ABS((INDEX(SP_NGF_EBITDA,0,COLUMN())/INDEX(SP_CS_ShareCount,0,COLUMN()))/(BB51/BB48)-1)&gt;10,"NMF",(INDEX(SP_NGF_EBITDA,0,COLUMN())/INDEX(SP_CS_ShareCount,0,COLUMN()))/(BB51/BB48)-1))</f>
        <v/>
      </c>
      <c r="BH115" s="129">
        <f>IF(OR(INDEX(SP_NGF_EBITDA,0,COLUMN())&lt;=0,BC51&lt;=0),"NMF",IF(ABS((INDEX(SP_NGF_EBITDA,0,COLUMN())/INDEX(SP_CS_ShareCount,0,COLUMN()))/(BC51/BC48)-1)&gt;10,"NMF",(INDEX(SP_NGF_EBITDA,0,COLUMN())/INDEX(SP_CS_ShareCount,0,COLUMN()))/(BC51/BC48)-1))</f>
        <v/>
      </c>
      <c r="BI115" s="1245">
        <f>IF(OR(INDEX(SP_NGF_EBITDA,0,COLUMN())&lt;=0,BD51&lt;=0),"NMF",IF(ABS((INDEX(SP_NGF_EBITDA,0,COLUMN())/INDEX(SP_CS_ShareCount,0,COLUMN()))/(BD51/BD48)-1)&gt;10,"NMF",(INDEX(SP_NGF_EBITDA,0,COLUMN())/INDEX(SP_CS_ShareCount,0,COLUMN()))/(BD51/BD48)-1))</f>
        <v/>
      </c>
      <c r="BJ115" s="129">
        <f>IF(OR(INDEX(SP_NGF_EBITDA,0,COLUMN())&lt;=0,BE51&lt;=0),"NMF",IF(ABS((INDEX(SP_NGF_EBITDA,0,COLUMN())/INDEX(SP_CS_ShareCount,0,COLUMN()))/(BE51/BE48)-1)&gt;10,"NMF",(INDEX(SP_NGF_EBITDA,0,COLUMN())/INDEX(SP_CS_ShareCount,0,COLUMN()))/(BE51/BE48)-1))</f>
        <v/>
      </c>
      <c r="BK115" s="129">
        <f>IF(OR(INDEX(SP_NGF_EBITDA,0,COLUMN())&lt;=0,BF51&lt;=0),"NMF",IF(ABS((INDEX(SP_NGF_EBITDA,0,COLUMN())/INDEX(SP_CS_ShareCount,0,COLUMN()))/(BF51/BF48)-1)&gt;10,"NMF",(INDEX(SP_NGF_EBITDA,0,COLUMN())/INDEX(SP_CS_ShareCount,0,COLUMN()))/(BF51/BF48)-1))</f>
        <v/>
      </c>
      <c r="BL115" s="129">
        <f>IF(OR(INDEX(SP_NGF_EBITDA,0,COLUMN())&lt;=0,BG51&lt;=0),"NMF",IF(ABS((INDEX(SP_NGF_EBITDA,0,COLUMN())/INDEX(SP_CS_ShareCount,0,COLUMN()))/(BG51/BG48)-1)&gt;10,"NMF",(INDEX(SP_NGF_EBITDA,0,COLUMN())/INDEX(SP_CS_ShareCount,0,COLUMN()))/(BG51/BG48)-1))</f>
        <v/>
      </c>
      <c r="BM115" s="129">
        <f>IF(OR(INDEX(SP_NGF_EBITDA,0,COLUMN())&lt;=0,BH51&lt;=0),"NMF",IF(ABS((INDEX(SP_NGF_EBITDA,0,COLUMN())/INDEX(SP_CS_ShareCount,0,COLUMN()))/(BH51/BH48)-1)&gt;10,"NMF",(INDEX(SP_NGF_EBITDA,0,COLUMN())/INDEX(SP_CS_ShareCount,0,COLUMN()))/(BH51/BH48)-1))</f>
        <v/>
      </c>
      <c r="BN115" s="1245">
        <f>IF(OR(INDEX(SP_NGF_EBITDA,0,COLUMN())&lt;=0,BI51&lt;=0),"NMF",IF(ABS((INDEX(SP_NGF_EBITDA,0,COLUMN())/INDEX(SP_CS_ShareCount,0,COLUMN()))/(BI51/BI48)-1)&gt;10,"NMF",(INDEX(SP_NGF_EBITDA,0,COLUMN())/INDEX(SP_CS_ShareCount,0,COLUMN()))/(BI51/BI48)-1))</f>
        <v/>
      </c>
      <c r="BO115" s="129">
        <f>IF(OR(INDEX(SP_NGF_EBITDA,0,COLUMN())&lt;=0,BJ51&lt;=0),"NMF",IF(ABS((INDEX(SP_NGF_EBITDA,0,COLUMN())/INDEX(SP_CS_ShareCount,0,COLUMN()))/(BJ51/BJ48)-1)&gt;10,"NMF",(INDEX(SP_NGF_EBITDA,0,COLUMN())/INDEX(SP_CS_ShareCount,0,COLUMN()))/(BJ51/BJ48)-1))</f>
        <v/>
      </c>
      <c r="BP115" s="129">
        <f>IF(OR(INDEX(SP_NGF_EBITDA,0,COLUMN())&lt;=0,BK51&lt;=0),"NMF",IF(ABS((INDEX(SP_NGF_EBITDA,0,COLUMN())/INDEX(SP_CS_ShareCount,0,COLUMN()))/(BK51/BK48)-1)&gt;10,"NMF",(INDEX(SP_NGF_EBITDA,0,COLUMN())/INDEX(SP_CS_ShareCount,0,COLUMN()))/(BK51/BK48)-1))</f>
        <v/>
      </c>
      <c r="BQ115" s="129">
        <f>IF(OR(INDEX(SP_NGF_EBITDA,0,COLUMN())&lt;=0,BL51&lt;=0),"NMF",IF(ABS((INDEX(SP_NGF_EBITDA,0,COLUMN())/INDEX(SP_CS_ShareCount,0,COLUMN()))/(BL51/BL48)-1)&gt;10,"NMF",(INDEX(SP_NGF_EBITDA,0,COLUMN())/INDEX(SP_CS_ShareCount,0,COLUMN()))/(BL51/BL48)-1))</f>
        <v/>
      </c>
      <c r="BR115" s="129">
        <f>IF(OR(INDEX(SP_NGF_EBITDA,0,COLUMN())&lt;=0,BM51&lt;=0),"NMF",IF(ABS((INDEX(SP_NGF_EBITDA,0,COLUMN())/INDEX(SP_CS_ShareCount,0,COLUMN()))/(BM51/BM48)-1)&gt;10,"NMF",(INDEX(SP_NGF_EBITDA,0,COLUMN())/INDEX(SP_CS_ShareCount,0,COLUMN()))/(BM51/BM48)-1))</f>
        <v/>
      </c>
      <c r="BS115" s="1245">
        <f>IF(OR(INDEX(SP_NGF_EBITDA,0,COLUMN())&lt;=0,BN51&lt;=0),"NMF",IF(ABS((INDEX(SP_NGF_EBITDA,0,COLUMN())/INDEX(SP_CS_ShareCount,0,COLUMN()))/(BN51/BN48)-1)&gt;10,"NMF",(INDEX(SP_NGF_EBITDA,0,COLUMN())/INDEX(SP_CS_ShareCount,0,COLUMN()))/(BN51/BN48)-1))</f>
        <v/>
      </c>
      <c r="BT115" s="129">
        <f>IF(OR(INDEX(SP_NGF_EBITDA,0,COLUMN())&lt;=0,BO51&lt;=0),"NMF",IF(ABS((INDEX(SP_NGF_EBITDA,0,COLUMN())/INDEX(SP_CS_ShareCount,0,COLUMN()))/(BO51/BO48)-1)&gt;10,"NMF",(INDEX(SP_NGF_EBITDA,0,COLUMN())/INDEX(SP_CS_ShareCount,0,COLUMN()))/(BO51/BO48)-1))</f>
        <v/>
      </c>
      <c r="BU115" s="129">
        <f>IF(OR(INDEX(SP_NGF_EBITDA,0,COLUMN())&lt;=0,BP51&lt;=0),"NMF",IF(ABS((INDEX(SP_NGF_EBITDA,0,COLUMN())/INDEX(SP_CS_ShareCount,0,COLUMN()))/(BP51/BP48)-1)&gt;10,"NMF",(INDEX(SP_NGF_EBITDA,0,COLUMN())/INDEX(SP_CS_ShareCount,0,COLUMN()))/(BP51/BP48)-1))</f>
        <v/>
      </c>
      <c r="BV115" s="946">
        <f>IF(OR(INDEX(SP_NGF_EBITDA,0,COLUMN())&lt;=0,BQ51&lt;=0),"NMF",IF(ABS((INDEX(SP_NGF_EBITDA,0,COLUMN())/INDEX(SP_CS_ShareCount,0,COLUMN()))/(BQ51/BQ48)-1)&gt;10,"NMF",(INDEX(SP_NGF_EBITDA,0,COLUMN())/INDEX(SP_CS_ShareCount,0,COLUMN()))/(BQ51/BQ48)-1))</f>
        <v/>
      </c>
      <c r="BW115" s="129">
        <f>IF(OR(INDEX(SP_NGF_EBITDA,0,COLUMN())&lt;=0,BR51&lt;=0),"NMF",IF(ABS((INDEX(SP_NGF_EBITDA,0,COLUMN())/INDEX(SP_CS_ShareCount,0,COLUMN()))/(BR51/BR48)-1)&gt;10,"NMF",(INDEX(SP_NGF_EBITDA,0,COLUMN())/INDEX(SP_CS_ShareCount,0,COLUMN()))/(BR51/BR48)-1))</f>
        <v/>
      </c>
      <c r="BX115" s="1245">
        <f>IF(OR(INDEX(SP_NGF_EBITDA,0,COLUMN())&lt;=0,BS51&lt;=0),"NMF",IF(ABS((INDEX(SP_NGF_EBITDA,0,COLUMN())/INDEX(SP_CS_ShareCount,0,COLUMN()))/(BS51/BS48)-1)&gt;10,"NMF",(INDEX(SP_NGF_EBITDA,0,COLUMN())/INDEX(SP_CS_ShareCount,0,COLUMN()))/(BS51/BS48)-1))</f>
        <v/>
      </c>
      <c r="BY115" s="129">
        <f>IF(OR(INDEX(SP_NGF_EBITDA,0,COLUMN())&lt;=0,BT51&lt;=0),"NMF",IF(ABS((INDEX(SP_NGF_EBITDA,0,COLUMN())/INDEX(SP_CS_ShareCount,0,COLUMN()))/(BT51/BT48)-1)&gt;10,"NMF",(INDEX(SP_NGF_EBITDA,0,COLUMN())/INDEX(SP_CS_ShareCount,0,COLUMN()))/(BT51/BT48)-1))</f>
        <v/>
      </c>
      <c r="BZ115" s="129">
        <f>IF(OR(INDEX(SP_NGF_EBITDA,0,COLUMN())&lt;=0,BU51&lt;=0),"NMF",IF(ABS((INDEX(SP_NGF_EBITDA,0,COLUMN())/INDEX(SP_CS_ShareCount,0,COLUMN()))/(BU51/BU48)-1)&gt;10,"NMF",(INDEX(SP_NGF_EBITDA,0,COLUMN())/INDEX(SP_CS_ShareCount,0,COLUMN()))/(BU51/BU48)-1))</f>
        <v/>
      </c>
      <c r="CA115" s="129">
        <f>IF(OR(INDEX(SP_NGF_EBITDA,0,COLUMN())&lt;=0,BV51&lt;=0),"NMF",IF(ABS((INDEX(SP_NGF_EBITDA,0,COLUMN())/INDEX(SP_CS_ShareCount,0,COLUMN()))/(BV51/BV48)-1)&gt;10,"NMF",(INDEX(SP_NGF_EBITDA,0,COLUMN())/INDEX(SP_CS_ShareCount,0,COLUMN()))/(BV51/BV48)-1))</f>
        <v/>
      </c>
      <c r="CB115" s="129">
        <f>IF(OR(INDEX(SP_NGF_EBITDA,0,COLUMN())&lt;=0,BW51&lt;=0),"NMF",IF(ABS((INDEX(SP_NGF_EBITDA,0,COLUMN())/INDEX(SP_CS_ShareCount,0,COLUMN()))/(BW51/BW48)-1)&gt;10,"NMF",(INDEX(SP_NGF_EBITDA,0,COLUMN())/INDEX(SP_CS_ShareCount,0,COLUMN()))/(BW51/BW48)-1))</f>
        <v/>
      </c>
      <c r="CC115" s="1245">
        <f>IF(OR(INDEX(SP_NGF_EBITDA,0,COLUMN())&lt;=0,BX51&lt;=0),"NMF",IF(ABS((INDEX(SP_NGF_EBITDA,0,COLUMN())/INDEX(SP_CS_ShareCount,0,COLUMN()))/(BX51/BX48)-1)&gt;10,"NMF",(INDEX(SP_NGF_EBITDA,0,COLUMN())/INDEX(SP_CS_ShareCount,0,COLUMN()))/(BX51/BX48)-1))</f>
        <v/>
      </c>
      <c r="CD115" s="1245">
        <f>IF(OR(INDEX(SP_NGF_EBITDA,0,COLUMN())&lt;=0,CC51&lt;=0),"NMF",IF(ABS((INDEX(SP_NGF_EBITDA,0,COLUMN())/INDEX(SP_CS_ShareCount,0,COLUMN()))/(CC51/CC48)-1)&gt;10,"NMF",(INDEX(SP_NGF_EBITDA,0,COLUMN())/INDEX(SP_CS_ShareCount,0,COLUMN()))/(CC51/CC48)-1))</f>
        <v/>
      </c>
      <c r="CE115" s="1245">
        <f>IF(OR(INDEX(SP_NGF_EBITDA,0,COLUMN())&lt;=0,CD51&lt;=0),"NMF",IF(ABS((INDEX(SP_NGF_EBITDA,0,COLUMN())/INDEX(SP_CS_ShareCount,0,COLUMN()))/(CD51/CD48)-1)&gt;10,"NMF",(INDEX(SP_NGF_EBITDA,0,COLUMN())/INDEX(SP_CS_ShareCount,0,COLUMN()))/(CD51/CD48)-1))</f>
        <v/>
      </c>
      <c r="CF115" s="1245">
        <f>IF(OR(INDEX(SP_NGF_EBITDA,0,COLUMN())&lt;=0,CE51&lt;=0),"NMF",IF(ABS((INDEX(SP_NGF_EBITDA,0,COLUMN())/INDEX(SP_CS_ShareCount,0,COLUMN()))/(CE51/CE48)-1)&gt;10,"NMF",(INDEX(SP_NGF_EBITDA,0,COLUMN())/INDEX(SP_CS_ShareCount,0,COLUMN()))/(CE51/CE48)-1))</f>
        <v/>
      </c>
      <c r="CG115" s="130" t="n"/>
    </row>
    <row r="116" customFormat="1" s="966">
      <c r="A116" s="219" t="inlineStr">
        <is>
          <t>Adj. Earnings Per Share Growth</t>
        </is>
      </c>
      <c r="B116" s="202" t="n"/>
      <c r="C116" s="1245" t="n"/>
      <c r="D116" s="1245">
        <f>IF(OR(INDEX(SP_NGF_NI,0,COLUMN())&lt;=0,C52&lt;=0),"NMF",IF(ABS((INDEX(SP_NGF_NI,0,COLUMN())/INDEX(SP_CS_ShareCount,0,COLUMN()))/(C52/C48)-1)&gt;10,"NMF",(INDEX(SP_NGF_NI,0,COLUMN())/INDEX(SP_CS_ShareCount,0,COLUMN()))/(C52/C48)-1))</f>
        <v/>
      </c>
      <c r="E116" s="1245">
        <f>IF(OR(INDEX(SP_NGF_NI,0,COLUMN())&lt;=0,D52&lt;=0),"NMF",IF(ABS((INDEX(SP_NGF_NI,0,COLUMN())/INDEX(SP_CS_ShareCount,0,COLUMN()))/(D52/D48)-1)&gt;10,"NMF",(INDEX(SP_NGF_NI,0,COLUMN())/INDEX(SP_CS_ShareCount,0,COLUMN()))/(D52/D48)-1))</f>
        <v/>
      </c>
      <c r="F116" s="1245">
        <f>IF(OR(INDEX(SP_NGF_NI,0,COLUMN())&lt;=0,E52&lt;=0),"NMF",IF(ABS((INDEX(SP_NGF_NI,0,COLUMN())/INDEX(SP_CS_ShareCount,0,COLUMN()))/(E52/E48)-1)&gt;10,"NMF",(INDEX(SP_NGF_NI,0,COLUMN())/INDEX(SP_CS_ShareCount,0,COLUMN()))/(E52/E48)-1))</f>
        <v/>
      </c>
      <c r="G116" s="129" t="n"/>
      <c r="H116" s="129" t="n"/>
      <c r="I116" s="129" t="n"/>
      <c r="J116" s="129" t="n"/>
      <c r="K116" s="1245">
        <f>IF(OR(INDEX(SP_NGF_NI,0,COLUMN())&lt;=0,F52&lt;=0),"NMF",IF(ABS((INDEX(SP_NGF_NI,0,COLUMN())/INDEX(SP_CS_ShareCount,0,COLUMN()))/(F52/F48)-1)&gt;10,"NMF",(INDEX(SP_NGF_NI,0,COLUMN())/INDEX(SP_CS_ShareCount,0,COLUMN()))/(F52/F48)-1))</f>
        <v/>
      </c>
      <c r="L116" s="129">
        <f>IF(OR(INDEX(SP_NGF_NI,0,COLUMN())&lt;=0,G52&lt;=0),"NMF",IF(ABS((INDEX(SP_NGF_NI,0,COLUMN())/INDEX(SP_CS_ShareCount,0,COLUMN()))/(G52/G48)-1)&gt;10,"NMF",(INDEX(SP_NGF_NI,0,COLUMN())/INDEX(SP_CS_ShareCount,0,COLUMN()))/(G52/G48)-1))</f>
        <v/>
      </c>
      <c r="M116" s="129">
        <f>IF(OR(INDEX(SP_NGF_NI,0,COLUMN())&lt;=0,H52&lt;=0),"NMF",IF(ABS((INDEX(SP_NGF_NI,0,COLUMN())/INDEX(SP_CS_ShareCount,0,COLUMN()))/(H52/H48)-1)&gt;10,"NMF",(INDEX(SP_NGF_NI,0,COLUMN())/INDEX(SP_CS_ShareCount,0,COLUMN()))/(H52/H48)-1))</f>
        <v/>
      </c>
      <c r="N116" s="129">
        <f>IF(OR(INDEX(SP_NGF_NI,0,COLUMN())&lt;=0,I52&lt;=0),"NMF",IF(ABS((INDEX(SP_NGF_NI,0,COLUMN())/INDEX(SP_CS_ShareCount,0,COLUMN()))/(I52/I48)-1)&gt;10,"NMF",(INDEX(SP_NGF_NI,0,COLUMN())/INDEX(SP_CS_ShareCount,0,COLUMN()))/(I52/I48)-1))</f>
        <v/>
      </c>
      <c r="O116" s="129">
        <f>IF(OR(INDEX(SP_NGF_NI,0,COLUMN())&lt;=0,J52&lt;=0),"NMF",IF(ABS((INDEX(SP_NGF_NI,0,COLUMN())/INDEX(SP_CS_ShareCount,0,COLUMN()))/(J52/J48)-1)&gt;10,"NMF",(INDEX(SP_NGF_NI,0,COLUMN())/INDEX(SP_CS_ShareCount,0,COLUMN()))/(J52/J48)-1))</f>
        <v/>
      </c>
      <c r="P116" s="1245">
        <f>IF(OR(INDEX(SP_NGF_NI,0,COLUMN())&lt;=0,K52&lt;=0),"NMF",IF(ABS((INDEX(SP_NGF_NI,0,COLUMN())/INDEX(SP_CS_ShareCount,0,COLUMN()))/(K52/K48)-1)&gt;10,"NMF",(INDEX(SP_NGF_NI,0,COLUMN())/INDEX(SP_CS_ShareCount,0,COLUMN()))/(K52/K48)-1))</f>
        <v/>
      </c>
      <c r="Q116" s="129">
        <f>IF(OR(INDEX(SP_NGF_NI,0,COLUMN())&lt;=0,L52&lt;=0),"NMF",IF(ABS((INDEX(SP_NGF_NI,0,COLUMN())/INDEX(SP_CS_ShareCount,0,COLUMN()))/(L52/L48)-1)&gt;10,"NMF",(INDEX(SP_NGF_NI,0,COLUMN())/INDEX(SP_CS_ShareCount,0,COLUMN()))/(L52/L48)-1))</f>
        <v/>
      </c>
      <c r="R116" s="129">
        <f>IF(OR(INDEX(SP_NGF_NI,0,COLUMN())&lt;=0,M52&lt;=0),"NMF",IF(ABS((INDEX(SP_NGF_NI,0,COLUMN())/INDEX(SP_CS_ShareCount,0,COLUMN()))/(M52/M48)-1)&gt;10,"NMF",(INDEX(SP_NGF_NI,0,COLUMN())/INDEX(SP_CS_ShareCount,0,COLUMN()))/(M52/M48)-1))</f>
        <v/>
      </c>
      <c r="S116" s="129">
        <f>IF(OR(INDEX(SP_NGF_NI,0,COLUMN())&lt;=0,N52&lt;=0),"NMF",IF(ABS((INDEX(SP_NGF_NI,0,COLUMN())/INDEX(SP_CS_ShareCount,0,COLUMN()))/(N52/N48)-1)&gt;10,"NMF",(INDEX(SP_NGF_NI,0,COLUMN())/INDEX(SP_CS_ShareCount,0,COLUMN()))/(N52/N48)-1))</f>
        <v/>
      </c>
      <c r="T116" s="129">
        <f>IF(OR(INDEX(SP_NGF_NI,0,COLUMN())&lt;=0,O52&lt;=0),"NMF",IF(ABS((INDEX(SP_NGF_NI,0,COLUMN())/INDEX(SP_CS_ShareCount,0,COLUMN()))/(O52/O48)-1)&gt;10,"NMF",(INDEX(SP_NGF_NI,0,COLUMN())/INDEX(SP_CS_ShareCount,0,COLUMN()))/(O52/O48)-1))</f>
        <v/>
      </c>
      <c r="U116" s="1245">
        <f>IF(OR(INDEX(SP_NGF_NI,0,COLUMN())&lt;=0,P52&lt;=0),"NMF",IF(ABS((INDEX(SP_NGF_NI,0,COLUMN())/INDEX(SP_CS_ShareCount,0,COLUMN()))/(P52/P48)-1)&gt;10,"NMF",(INDEX(SP_NGF_NI,0,COLUMN())/INDEX(SP_CS_ShareCount,0,COLUMN()))/(P52/P48)-1))</f>
        <v/>
      </c>
      <c r="V116" s="129">
        <f>IF(OR(INDEX(SP_NGF_NI,0,COLUMN())&lt;=0,Q52&lt;=0),"NMF",IF(ABS((INDEX(SP_NGF_NI,0,COLUMN())/INDEX(SP_CS_ShareCount,0,COLUMN()))/(Q52/Q48)-1)&gt;10,"NMF",(INDEX(SP_NGF_NI,0,COLUMN())/INDEX(SP_CS_ShareCount,0,COLUMN()))/(Q52/Q48)-1))</f>
        <v/>
      </c>
      <c r="W116" s="129">
        <f>IF(OR(INDEX(SP_NGF_NI,0,COLUMN())&lt;=0,R52&lt;=0),"NMF",IF(ABS((INDEX(SP_NGF_NI,0,COLUMN())/INDEX(SP_CS_ShareCount,0,COLUMN()))/(R52/R48)-1)&gt;10,"NMF",(INDEX(SP_NGF_NI,0,COLUMN())/INDEX(SP_CS_ShareCount,0,COLUMN()))/(R52/R48)-1))</f>
        <v/>
      </c>
      <c r="X116" s="129">
        <f>IF(OR(INDEX(SP_NGF_NI,0,COLUMN())&lt;=0,S52&lt;=0),"NMF",IF(ABS((INDEX(SP_NGF_NI,0,COLUMN())/INDEX(SP_CS_ShareCount,0,COLUMN()))/(S52/S48)-1)&gt;10,"NMF",(INDEX(SP_NGF_NI,0,COLUMN())/INDEX(SP_CS_ShareCount,0,COLUMN()))/(S52/S48)-1))</f>
        <v/>
      </c>
      <c r="Y116" s="129">
        <f>IF(OR(INDEX(SP_NGF_NI,0,COLUMN())&lt;=0,T52&lt;=0),"NMF",IF(ABS((INDEX(SP_NGF_NI,0,COLUMN())/INDEX(SP_CS_ShareCount,0,COLUMN()))/(T52/T48)-1)&gt;10,"NMF",(INDEX(SP_NGF_NI,0,COLUMN())/INDEX(SP_CS_ShareCount,0,COLUMN()))/(T52/T48)-1))</f>
        <v/>
      </c>
      <c r="Z116" s="1245">
        <f>IF(OR(INDEX(SP_NGF_NI,0,COLUMN())&lt;=0,U52&lt;=0),"NMF",IF(ABS((INDEX(SP_NGF_NI,0,COLUMN())/INDEX(SP_CS_ShareCount,0,COLUMN()))/(U52/U48)-1)&gt;10,"NMF",(INDEX(SP_NGF_NI,0,COLUMN())/INDEX(SP_CS_ShareCount,0,COLUMN()))/(U52/U48)-1))</f>
        <v/>
      </c>
      <c r="AA116" s="129">
        <f>IF(OR(INDEX(SP_NGF_NI,0,COLUMN())&lt;=0,V52&lt;=0),"NMF",IF(ABS((INDEX(SP_NGF_NI,0,COLUMN())/INDEX(SP_CS_ShareCount,0,COLUMN()))/(V52/V48)-1)&gt;10,"NMF",(INDEX(SP_NGF_NI,0,COLUMN())/INDEX(SP_CS_ShareCount,0,COLUMN()))/(V52/V48)-1))</f>
        <v/>
      </c>
      <c r="AB116" s="129">
        <f>IF(OR(INDEX(SP_NGF_NI,0,COLUMN())&lt;=0,W52&lt;=0),"NMF",IF(ABS((INDEX(SP_NGF_NI,0,COLUMN())/INDEX(SP_CS_ShareCount,0,COLUMN()))/(W52/W48)-1)&gt;10,"NMF",(INDEX(SP_NGF_NI,0,COLUMN())/INDEX(SP_CS_ShareCount,0,COLUMN()))/(W52/W48)-1))</f>
        <v/>
      </c>
      <c r="AC116" s="129">
        <f>IF(OR(INDEX(SP_NGF_NI,0,COLUMN())&lt;=0,X52&lt;=0),"NMF",IF(ABS((INDEX(SP_NGF_NI,0,COLUMN())/INDEX(SP_CS_ShareCount,0,COLUMN()))/(X52/X48)-1)&gt;10,"NMF",(INDEX(SP_NGF_NI,0,COLUMN())/INDEX(SP_CS_ShareCount,0,COLUMN()))/(X52/X48)-1))</f>
        <v/>
      </c>
      <c r="AD116" s="129">
        <f>IF(OR(INDEX(SP_NGF_NI,0,COLUMN())&lt;=0,Y52&lt;=0),"NMF",IF(ABS((INDEX(SP_NGF_NI,0,COLUMN())/INDEX(SP_CS_ShareCount,0,COLUMN()))/(Y52/Y48)-1)&gt;10,"NMF",(INDEX(SP_NGF_NI,0,COLUMN())/INDEX(SP_CS_ShareCount,0,COLUMN()))/(Y52/Y48)-1))</f>
        <v/>
      </c>
      <c r="AE116" s="1245">
        <f>IF(OR(INDEX(SP_NGF_NI,0,COLUMN())&lt;=0,Z52&lt;=0),"NMF",IF(ABS((INDEX(SP_NGF_NI,0,COLUMN())/INDEX(SP_CS_ShareCount,0,COLUMN()))/(Z52/Z48)-1)&gt;10,"NMF",(INDEX(SP_NGF_NI,0,COLUMN())/INDEX(SP_CS_ShareCount,0,COLUMN()))/(Z52/Z48)-1))</f>
        <v/>
      </c>
      <c r="AF116" s="129">
        <f>IF(OR(INDEX(SP_NGF_NI,0,COLUMN())&lt;=0,AA52&lt;=0),"NMF",IF(ABS((INDEX(SP_NGF_NI,0,COLUMN())/INDEX(SP_CS_ShareCount,0,COLUMN()))/(AA52/AA48)-1)&gt;10,"NMF",(INDEX(SP_NGF_NI,0,COLUMN())/INDEX(SP_CS_ShareCount,0,COLUMN()))/(AA52/AA48)-1))</f>
        <v/>
      </c>
      <c r="AG116" s="129">
        <f>IF(OR(INDEX(SP_NGF_NI,0,COLUMN())&lt;=0,AB52&lt;=0),"NMF",IF(ABS((INDEX(SP_NGF_NI,0,COLUMN())/INDEX(SP_CS_ShareCount,0,COLUMN()))/(AB52/AB48)-1)&gt;10,"NMF",(INDEX(SP_NGF_NI,0,COLUMN())/INDEX(SP_CS_ShareCount,0,COLUMN()))/(AB52/AB48)-1))</f>
        <v/>
      </c>
      <c r="AH116" s="129">
        <f>IF(OR(INDEX(SP_NGF_NI,0,COLUMN())&lt;=0,AC52&lt;=0),"NMF",IF(ABS((INDEX(SP_NGF_NI,0,COLUMN())/INDEX(SP_CS_ShareCount,0,COLUMN()))/(AC52/AC48)-1)&gt;10,"NMF",(INDEX(SP_NGF_NI,0,COLUMN())/INDEX(SP_CS_ShareCount,0,COLUMN()))/(AC52/AC48)-1))</f>
        <v/>
      </c>
      <c r="AI116" s="129">
        <f>IF(OR(INDEX(SP_NGF_NI,0,COLUMN())&lt;=0,AD52&lt;=0),"NMF",IF(ABS((INDEX(SP_NGF_NI,0,COLUMN())/INDEX(SP_CS_ShareCount,0,COLUMN()))/(AD52/AD48)-1)&gt;10,"NMF",(INDEX(SP_NGF_NI,0,COLUMN())/INDEX(SP_CS_ShareCount,0,COLUMN()))/(AD52/AD48)-1))</f>
        <v/>
      </c>
      <c r="AJ116" s="1245">
        <f>IF(OR(INDEX(SP_NGF_NI,0,COLUMN())&lt;=0,AE52&lt;=0),"NMF",IF(ABS((INDEX(SP_NGF_NI,0,COLUMN())/INDEX(SP_CS_ShareCount,0,COLUMN()))/(AE52/AE48)-1)&gt;10,"NMF",(INDEX(SP_NGF_NI,0,COLUMN())/INDEX(SP_CS_ShareCount,0,COLUMN()))/(AE52/AE48)-1))</f>
        <v/>
      </c>
      <c r="AK116" s="129">
        <f>IF(OR(INDEX(SP_NGF_NI,0,COLUMN())&lt;=0,AF52&lt;=0),"NMF",IF(ABS((INDEX(SP_NGF_NI,0,COLUMN())/INDEX(SP_CS_ShareCount,0,COLUMN()))/(AF52/AF48)-1)&gt;10,"NMF",(INDEX(SP_NGF_NI,0,COLUMN())/INDEX(SP_CS_ShareCount,0,COLUMN()))/(AF52/AF48)-1))</f>
        <v/>
      </c>
      <c r="AL116" s="129">
        <f>IF(OR(INDEX(SP_NGF_NI,0,COLUMN())&lt;=0,AG52&lt;=0),"NMF",IF(ABS((INDEX(SP_NGF_NI,0,COLUMN())/INDEX(SP_CS_ShareCount,0,COLUMN()))/(AG52/AG48)-1)&gt;10,"NMF",(INDEX(SP_NGF_NI,0,COLUMN())/INDEX(SP_CS_ShareCount,0,COLUMN()))/(AG52/AG48)-1))</f>
        <v/>
      </c>
      <c r="AM116" s="129">
        <f>IF(OR(INDEX(SP_NGF_NI,0,COLUMN())&lt;=0,AH52&lt;=0),"NMF",IF(ABS((INDEX(SP_NGF_NI,0,COLUMN())/INDEX(SP_CS_ShareCount,0,COLUMN()))/(AH52/AH48)-1)&gt;10,"NMF",(INDEX(SP_NGF_NI,0,COLUMN())/INDEX(SP_CS_ShareCount,0,COLUMN()))/(AH52/AH48)-1))</f>
        <v/>
      </c>
      <c r="AN116" s="129">
        <f>IF(OR(INDEX(SP_NGF_NI,0,COLUMN())&lt;=0,AI52&lt;=0),"NMF",IF(ABS((INDEX(SP_NGF_NI,0,COLUMN())/INDEX(SP_CS_ShareCount,0,COLUMN()))/(AI52/AI48)-1)&gt;10,"NMF",(INDEX(SP_NGF_NI,0,COLUMN())/INDEX(SP_CS_ShareCount,0,COLUMN()))/(AI52/AI48)-1))</f>
        <v/>
      </c>
      <c r="AO116" s="1245">
        <f>IF(OR(INDEX(SP_NGF_NI,0,COLUMN())&lt;=0,AJ52&lt;=0),"NMF",IF(ABS((INDEX(SP_NGF_NI,0,COLUMN())/INDEX(SP_CS_ShareCount,0,COLUMN()))/(AJ52/AJ48)-1)&gt;10,"NMF",(INDEX(SP_NGF_NI,0,COLUMN())/INDEX(SP_CS_ShareCount,0,COLUMN()))/(AJ52/AJ48)-1))</f>
        <v/>
      </c>
      <c r="AP116" s="129">
        <f>IF(OR(INDEX(SP_NGF_NI,0,COLUMN())&lt;=0,AK52&lt;=0),"NMF",IF(ABS((INDEX(SP_NGF_NI,0,COLUMN())/INDEX(SP_CS_ShareCount,0,COLUMN()))/(AK52/AK48)-1)&gt;10,"NMF",(INDEX(SP_NGF_NI,0,COLUMN())/INDEX(SP_CS_ShareCount,0,COLUMN()))/(AK52/AK48)-1))</f>
        <v/>
      </c>
      <c r="AQ116" s="129">
        <f>IF(OR(INDEX(SP_NGF_NI,0,COLUMN())&lt;=0,AL52&lt;=0),"NMF",IF(ABS((INDEX(SP_NGF_NI,0,COLUMN())/INDEX(SP_CS_ShareCount,0,COLUMN()))/(AL52/AL48)-1)&gt;10,"NMF",(INDEX(SP_NGF_NI,0,COLUMN())/INDEX(SP_CS_ShareCount,0,COLUMN()))/(AL52/AL48)-1))</f>
        <v/>
      </c>
      <c r="AR116" s="129">
        <f>IF(OR(INDEX(SP_NGF_NI,0,COLUMN())&lt;=0,AM52&lt;=0),"NMF",IF(ABS((INDEX(SP_NGF_NI,0,COLUMN())/INDEX(SP_CS_ShareCount,0,COLUMN()))/(AM52/AM48)-1)&gt;10,"NMF",(INDEX(SP_NGF_NI,0,COLUMN())/INDEX(SP_CS_ShareCount,0,COLUMN()))/(AM52/AM48)-1))</f>
        <v/>
      </c>
      <c r="AS116" s="129">
        <f>IF(OR(INDEX(SP_NGF_NI,0,COLUMN())&lt;=0,AN52&lt;=0),"NMF",IF(ABS((INDEX(SP_NGF_NI,0,COLUMN())/INDEX(SP_CS_ShareCount,0,COLUMN()))/(AN52/AN48)-1)&gt;10,"NMF",(INDEX(SP_NGF_NI,0,COLUMN())/INDEX(SP_CS_ShareCount,0,COLUMN()))/(AN52/AN48)-1))</f>
        <v/>
      </c>
      <c r="AT116" s="1245">
        <f>IF(OR(INDEX(SP_NGF_NI,0,COLUMN())&lt;=0,AO52&lt;=0),"NMF",IF(ABS((INDEX(SP_NGF_NI,0,COLUMN())/INDEX(SP_CS_ShareCount,0,COLUMN()))/(AO52/AO48)-1)&gt;10,"NMF",(INDEX(SP_NGF_NI,0,COLUMN())/INDEX(SP_CS_ShareCount,0,COLUMN()))/(AO52/AO48)-1))</f>
        <v/>
      </c>
      <c r="AU116" s="129">
        <f>IF(OR(INDEX(SP_NGF_NI,0,COLUMN())&lt;=0,AP52&lt;=0),"NMF",IF(ABS((INDEX(SP_NGF_NI,0,COLUMN())/INDEX(SP_CS_ShareCount,0,COLUMN()))/(AP52/AP48)-1)&gt;10,"NMF",(INDEX(SP_NGF_NI,0,COLUMN())/INDEX(SP_CS_ShareCount,0,COLUMN()))/(AP52/AP48)-1))</f>
        <v/>
      </c>
      <c r="AV116" s="129">
        <f>IF(OR(INDEX(SP_NGF_NI,0,COLUMN())&lt;=0,AQ52&lt;=0),"NMF",IF(ABS((INDEX(SP_NGF_NI,0,COLUMN())/INDEX(SP_CS_ShareCount,0,COLUMN()))/(AQ52/AQ48)-1)&gt;10,"NMF",(INDEX(SP_NGF_NI,0,COLUMN())/INDEX(SP_CS_ShareCount,0,COLUMN()))/(AQ52/AQ48)-1))</f>
        <v/>
      </c>
      <c r="AW116" s="129">
        <f>IF(OR(INDEX(SP_NGF_NI,0,COLUMN())&lt;=0,AR52&lt;=0),"NMF",IF(ABS((INDEX(SP_NGF_NI,0,COLUMN())/INDEX(SP_CS_ShareCount,0,COLUMN()))/(AR52/AR48)-1)&gt;10,"NMF",(INDEX(SP_NGF_NI,0,COLUMN())/INDEX(SP_CS_ShareCount,0,COLUMN()))/(AR52/AR48)-1))</f>
        <v/>
      </c>
      <c r="AX116" s="129">
        <f>IF(OR(INDEX(SP_NGF_NI,0,COLUMN())&lt;=0,AS52&lt;=0),"NMF",IF(ABS((INDEX(SP_NGF_NI,0,COLUMN())/INDEX(SP_CS_ShareCount,0,COLUMN()))/(AS52/AS48)-1)&gt;10,"NMF",(INDEX(SP_NGF_NI,0,COLUMN())/INDEX(SP_CS_ShareCount,0,COLUMN()))/(AS52/AS48)-1))</f>
        <v/>
      </c>
      <c r="AY116" s="1245">
        <f>IF(OR(INDEX(SP_NGF_NI,0,COLUMN())&lt;=0,AT52&lt;=0),"NMF",IF(ABS((INDEX(SP_NGF_NI,0,COLUMN())/INDEX(SP_CS_ShareCount,0,COLUMN()))/(AT52/AT48)-1)&gt;10,"NMF",(INDEX(SP_NGF_NI,0,COLUMN())/INDEX(SP_CS_ShareCount,0,COLUMN()))/(AT52/AT48)-1))</f>
        <v/>
      </c>
      <c r="AZ116" s="129">
        <f>IF(OR(INDEX(SP_NGF_NI,0,COLUMN())&lt;=0,AU52&lt;=0),"NMF",IF(ABS((INDEX(SP_NGF_NI,0,COLUMN())/INDEX(SP_CS_ShareCount,0,COLUMN()))/(AU52/AU48)-1)&gt;10,"NMF",(INDEX(SP_NGF_NI,0,COLUMN())/INDEX(SP_CS_ShareCount,0,COLUMN()))/(AU52/AU48)-1))</f>
        <v/>
      </c>
      <c r="BA116" s="129">
        <f>IF(OR(INDEX(SP_NGF_NI,0,COLUMN())&lt;=0,AV52&lt;=0),"NMF",IF(ABS((INDEX(SP_NGF_NI,0,COLUMN())/INDEX(SP_CS_ShareCount,0,COLUMN()))/(AV52/AV48)-1)&gt;10,"NMF",(INDEX(SP_NGF_NI,0,COLUMN())/INDEX(SP_CS_ShareCount,0,COLUMN()))/(AV52/AV48)-1))</f>
        <v/>
      </c>
      <c r="BB116" s="129">
        <f>IF(OR(INDEX(SP_NGF_NI,0,COLUMN())&lt;=0,AW52&lt;=0),"NMF",IF(ABS((INDEX(SP_NGF_NI,0,COLUMN())/INDEX(SP_CS_ShareCount,0,COLUMN()))/(AW52/AW48)-1)&gt;10,"NMF",(INDEX(SP_NGF_NI,0,COLUMN())/INDEX(SP_CS_ShareCount,0,COLUMN()))/(AW52/AW48)-1))</f>
        <v/>
      </c>
      <c r="BC116" s="129">
        <f>IF(OR(INDEX(SP_NGF_NI,0,COLUMN())&lt;=0,AX52&lt;=0),"NMF",IF(ABS((INDEX(SP_NGF_NI,0,COLUMN())/INDEX(SP_CS_ShareCount,0,COLUMN()))/(AX52/AX48)-1)&gt;10,"NMF",(INDEX(SP_NGF_NI,0,COLUMN())/INDEX(SP_CS_ShareCount,0,COLUMN()))/(AX52/AX48)-1))</f>
        <v/>
      </c>
      <c r="BD116" s="1245">
        <f>IF(OR(INDEX(SP_NGF_NI,0,COLUMN())&lt;=0,AY52&lt;=0),"NMF",IF(ABS((INDEX(SP_NGF_NI,0,COLUMN())/INDEX(SP_CS_ShareCount,0,COLUMN()))/(AY52/AY48)-1)&gt;10,"NMF",(INDEX(SP_NGF_NI,0,COLUMN())/INDEX(SP_CS_ShareCount,0,COLUMN()))/(AY52/AY48)-1))</f>
        <v/>
      </c>
      <c r="BE116" s="129">
        <f>IF(OR(INDEX(SP_NGF_NI,0,COLUMN())&lt;=0,AZ52&lt;=0),"NMF",IF(ABS((INDEX(SP_NGF_NI,0,COLUMN())/INDEX(SP_CS_ShareCount,0,COLUMN()))/(AZ52/AZ48)-1)&gt;10,"NMF",(INDEX(SP_NGF_NI,0,COLUMN())/INDEX(SP_CS_ShareCount,0,COLUMN()))/(AZ52/AZ48)-1))</f>
        <v/>
      </c>
      <c r="BF116" s="129">
        <f>IF(OR(INDEX(SP_NGF_NI,0,COLUMN())&lt;=0,BA52&lt;=0),"NMF",IF(ABS((INDEX(SP_NGF_NI,0,COLUMN())/INDEX(SP_CS_ShareCount,0,COLUMN()))/(BA52/BA48)-1)&gt;10,"NMF",(INDEX(SP_NGF_NI,0,COLUMN())/INDEX(SP_CS_ShareCount,0,COLUMN()))/(BA52/BA48)-1))</f>
        <v/>
      </c>
      <c r="BG116" s="129">
        <f>IF(OR(INDEX(SP_NGF_NI,0,COLUMN())&lt;=0,BB52&lt;=0),"NMF",IF(ABS((INDEX(SP_NGF_NI,0,COLUMN())/INDEX(SP_CS_ShareCount,0,COLUMN()))/(BB52/BB48)-1)&gt;10,"NMF",(INDEX(SP_NGF_NI,0,COLUMN())/INDEX(SP_CS_ShareCount,0,COLUMN()))/(BB52/BB48)-1))</f>
        <v/>
      </c>
      <c r="BH116" s="129">
        <f>IF(OR(INDEX(SP_NGF_NI,0,COLUMN())&lt;=0,BC52&lt;=0),"NMF",IF(ABS((INDEX(SP_NGF_NI,0,COLUMN())/INDEX(SP_CS_ShareCount,0,COLUMN()))/(BC52/BC48)-1)&gt;10,"NMF",(INDEX(SP_NGF_NI,0,COLUMN())/INDEX(SP_CS_ShareCount,0,COLUMN()))/(BC52/BC48)-1))</f>
        <v/>
      </c>
      <c r="BI116" s="1245">
        <f>IF(OR(INDEX(SP_NGF_NI,0,COLUMN())&lt;=0,BD52&lt;=0),"NMF",IF(ABS((INDEX(SP_NGF_NI,0,COLUMN())/INDEX(SP_CS_ShareCount,0,COLUMN()))/(BD52/BD48)-1)&gt;10,"NMF",(INDEX(SP_NGF_NI,0,COLUMN())/INDEX(SP_CS_ShareCount,0,COLUMN()))/(BD52/BD48)-1))</f>
        <v/>
      </c>
      <c r="BJ116" s="129">
        <f>IF(OR(INDEX(SP_NGF_NI,0,COLUMN())&lt;=0,BE52&lt;=0),"NMF",IF(ABS((INDEX(SP_NGF_NI,0,COLUMN())/INDEX(SP_CS_ShareCount,0,COLUMN()))/(BE52/BE48)-1)&gt;10,"NMF",(INDEX(SP_NGF_NI,0,COLUMN())/INDEX(SP_CS_ShareCount,0,COLUMN()))/(BE52/BE48)-1))</f>
        <v/>
      </c>
      <c r="BK116" s="129">
        <f>IF(OR(INDEX(SP_NGF_NI,0,COLUMN())&lt;=0,BF52&lt;=0),"NMF",IF(ABS((INDEX(SP_NGF_NI,0,COLUMN())/INDEX(SP_CS_ShareCount,0,COLUMN()))/(BF52/BF48)-1)&gt;10,"NMF",(INDEX(SP_NGF_NI,0,COLUMN())/INDEX(SP_CS_ShareCount,0,COLUMN()))/(BF52/BF48)-1))</f>
        <v/>
      </c>
      <c r="BL116" s="129">
        <f>IF(OR(INDEX(SP_NGF_NI,0,COLUMN())&lt;=0,BG52&lt;=0),"NMF",IF(ABS((INDEX(SP_NGF_NI,0,COLUMN())/INDEX(SP_CS_ShareCount,0,COLUMN()))/(BG52/BG48)-1)&gt;10,"NMF",(INDEX(SP_NGF_NI,0,COLUMN())/INDEX(SP_CS_ShareCount,0,COLUMN()))/(BG52/BG48)-1))</f>
        <v/>
      </c>
      <c r="BM116" s="129">
        <f>IF(OR(INDEX(SP_NGF_NI,0,COLUMN())&lt;=0,BH52&lt;=0),"NMF",IF(ABS((INDEX(SP_NGF_NI,0,COLUMN())/INDEX(SP_CS_ShareCount,0,COLUMN()))/(BH52/BH48)-1)&gt;10,"NMF",(INDEX(SP_NGF_NI,0,COLUMN())/INDEX(SP_CS_ShareCount,0,COLUMN()))/(BH52/BH48)-1))</f>
        <v/>
      </c>
      <c r="BN116" s="1245">
        <f>IF(OR(INDEX(SP_NGF_NI,0,COLUMN())&lt;=0,BI52&lt;=0),"NMF",IF(ABS((INDEX(SP_NGF_NI,0,COLUMN())/INDEX(SP_CS_ShareCount,0,COLUMN()))/(BI52/BI48)-1)&gt;10,"NMF",(INDEX(SP_NGF_NI,0,COLUMN())/INDEX(SP_CS_ShareCount,0,COLUMN()))/(BI52/BI48)-1))</f>
        <v/>
      </c>
      <c r="BO116" s="129">
        <f>IF(OR(INDEX(SP_NGF_NI,0,COLUMN())&lt;=0,BJ52&lt;=0),"NMF",IF(ABS((INDEX(SP_NGF_NI,0,COLUMN())/INDEX(SP_CS_ShareCount,0,COLUMN()))/(BJ52/BJ48)-1)&gt;10,"NMF",(INDEX(SP_NGF_NI,0,COLUMN())/INDEX(SP_CS_ShareCount,0,COLUMN()))/(BJ52/BJ48)-1))</f>
        <v/>
      </c>
      <c r="BP116" s="129">
        <f>IF(OR(INDEX(SP_NGF_NI,0,COLUMN())&lt;=0,BK52&lt;=0),"NMF",IF(ABS((INDEX(SP_NGF_NI,0,COLUMN())/INDEX(SP_CS_ShareCount,0,COLUMN()))/(BK52/BK48)-1)&gt;10,"NMF",(INDEX(SP_NGF_NI,0,COLUMN())/INDEX(SP_CS_ShareCount,0,COLUMN()))/(BK52/BK48)-1))</f>
        <v/>
      </c>
      <c r="BQ116" s="129">
        <f>IF(OR(INDEX(SP_NGF_NI,0,COLUMN())&lt;=0,BL52&lt;=0),"NMF",IF(ABS((INDEX(SP_NGF_NI,0,COLUMN())/INDEX(SP_CS_ShareCount,0,COLUMN()))/(BL52/BL48)-1)&gt;10,"NMF",(INDEX(SP_NGF_NI,0,COLUMN())/INDEX(SP_CS_ShareCount,0,COLUMN()))/(BL52/BL48)-1))</f>
        <v/>
      </c>
      <c r="BR116" s="129">
        <f>IF(OR(INDEX(SP_NGF_NI,0,COLUMN())&lt;=0,BM52&lt;=0),"NMF",IF(ABS((INDEX(SP_NGF_NI,0,COLUMN())/INDEX(SP_CS_ShareCount,0,COLUMN()))/(BM52/BM48)-1)&gt;10,"NMF",(INDEX(SP_NGF_NI,0,COLUMN())/INDEX(SP_CS_ShareCount,0,COLUMN()))/(BM52/BM48)-1))</f>
        <v/>
      </c>
      <c r="BS116" s="1245">
        <f>IF(OR(INDEX(SP_NGF_NI,0,COLUMN())&lt;=0,BN52&lt;=0),"NMF",IF(ABS((INDEX(SP_NGF_NI,0,COLUMN())/INDEX(SP_CS_ShareCount,0,COLUMN()))/(BN52/BN48)-1)&gt;10,"NMF",(INDEX(SP_NGF_NI,0,COLUMN())/INDEX(SP_CS_ShareCount,0,COLUMN()))/(BN52/BN48)-1))</f>
        <v/>
      </c>
      <c r="BT116" s="129">
        <f>IF(OR(INDEX(SP_NGF_NI,0,COLUMN())&lt;=0,BO52&lt;=0),"NMF",IF(ABS((INDEX(SP_NGF_NI,0,COLUMN())/INDEX(SP_CS_ShareCount,0,COLUMN()))/(BO52/BO48)-1)&gt;10,"NMF",(INDEX(SP_NGF_NI,0,COLUMN())/INDEX(SP_CS_ShareCount,0,COLUMN()))/(BO52/BO48)-1))</f>
        <v/>
      </c>
      <c r="BU116" s="129">
        <f>IF(OR(INDEX(SP_NGF_NI,0,COLUMN())&lt;=0,BP52&lt;=0),"NMF",IF(ABS((INDEX(SP_NGF_NI,0,COLUMN())/INDEX(SP_CS_ShareCount,0,COLUMN()))/(BP52/BP48)-1)&gt;10,"NMF",(INDEX(SP_NGF_NI,0,COLUMN())/INDEX(SP_CS_ShareCount,0,COLUMN()))/(BP52/BP48)-1))</f>
        <v/>
      </c>
      <c r="BV116" s="946">
        <f>IF(OR(INDEX(SP_NGF_NI,0,COLUMN())&lt;=0,BQ52&lt;=0),"NMF",IF(ABS((INDEX(SP_NGF_NI,0,COLUMN())/INDEX(SP_CS_ShareCount,0,COLUMN()))/(BQ52/BQ48)-1)&gt;10,"NMF",(INDEX(SP_NGF_NI,0,COLUMN())/INDEX(SP_CS_ShareCount,0,COLUMN()))/(BQ52/BQ48)-1))</f>
        <v/>
      </c>
      <c r="BW116" s="129">
        <f>IF(OR(INDEX(SP_NGF_NI,0,COLUMN())&lt;=0,BR52&lt;=0),"NMF",IF(ABS((INDEX(SP_NGF_NI,0,COLUMN())/INDEX(SP_CS_ShareCount,0,COLUMN()))/(BR52/BR48)-1)&gt;10,"NMF",(INDEX(SP_NGF_NI,0,COLUMN())/INDEX(SP_CS_ShareCount,0,COLUMN()))/(BR52/BR48)-1))</f>
        <v/>
      </c>
      <c r="BX116" s="1245">
        <f>IF(OR(INDEX(SP_NGF_NI,0,COLUMN())&lt;=0,BS52&lt;=0),"NMF",IF(ABS((INDEX(SP_NGF_NI,0,COLUMN())/INDEX(SP_CS_ShareCount,0,COLUMN()))/(BS52/BS48)-1)&gt;10,"NMF",(INDEX(SP_NGF_NI,0,COLUMN())/INDEX(SP_CS_ShareCount,0,COLUMN()))/(BS52/BS48)-1))</f>
        <v/>
      </c>
      <c r="BY116" s="129">
        <f>IF(OR(INDEX(SP_NGF_NI,0,COLUMN())&lt;=0,BT52&lt;=0),"NMF",IF(ABS((INDEX(SP_NGF_NI,0,COLUMN())/INDEX(SP_CS_ShareCount,0,COLUMN()))/(BT52/BT48)-1)&gt;10,"NMF",(INDEX(SP_NGF_NI,0,COLUMN())/INDEX(SP_CS_ShareCount,0,COLUMN()))/(BT52/BT48)-1))</f>
        <v/>
      </c>
      <c r="BZ116" s="129">
        <f>IF(OR(INDEX(SP_NGF_NI,0,COLUMN())&lt;=0,BU52&lt;=0),"NMF",IF(ABS((INDEX(SP_NGF_NI,0,COLUMN())/INDEX(SP_CS_ShareCount,0,COLUMN()))/(BU52/BU48)-1)&gt;10,"NMF",(INDEX(SP_NGF_NI,0,COLUMN())/INDEX(SP_CS_ShareCount,0,COLUMN()))/(BU52/BU48)-1))</f>
        <v/>
      </c>
      <c r="CA116" s="129">
        <f>IF(OR(INDEX(SP_NGF_NI,0,COLUMN())&lt;=0,BV52&lt;=0),"NMF",IF(ABS((INDEX(SP_NGF_NI,0,COLUMN())/INDEX(SP_CS_ShareCount,0,COLUMN()))/(BV52/BV48)-1)&gt;10,"NMF",(INDEX(SP_NGF_NI,0,COLUMN())/INDEX(SP_CS_ShareCount,0,COLUMN()))/(BV52/BV48)-1))</f>
        <v/>
      </c>
      <c r="CB116" s="129">
        <f>IF(OR(INDEX(SP_NGF_NI,0,COLUMN())&lt;=0,BW52&lt;=0),"NMF",IF(ABS((INDEX(SP_NGF_NI,0,COLUMN())/INDEX(SP_CS_ShareCount,0,COLUMN()))/(BW52/BW48)-1)&gt;10,"NMF",(INDEX(SP_NGF_NI,0,COLUMN())/INDEX(SP_CS_ShareCount,0,COLUMN()))/(BW52/BW48)-1))</f>
        <v/>
      </c>
      <c r="CC116" s="1245">
        <f>IF(OR(INDEX(SP_NGF_NI,0,COLUMN())&lt;=0,BX52&lt;=0),"NMF",IF(ABS((INDEX(SP_NGF_NI,0,COLUMN())/INDEX(SP_CS_ShareCount,0,COLUMN()))/(BX52/BX48)-1)&gt;10,"NMF",(INDEX(SP_NGF_NI,0,COLUMN())/INDEX(SP_CS_ShareCount,0,COLUMN()))/(BX52/BX48)-1))</f>
        <v/>
      </c>
      <c r="CD116" s="1245">
        <f>IF(OR(INDEX(SP_NGF_NI,0,COLUMN())&lt;=0,CC52&lt;=0),"NMF",IF(ABS((INDEX(SP_NGF_NI,0,COLUMN())/INDEX(SP_CS_ShareCount,0,COLUMN()))/(CC52/CC48)-1)&gt;10,"NMF",(INDEX(SP_NGF_NI,0,COLUMN())/INDEX(SP_CS_ShareCount,0,COLUMN()))/(CC52/CC48)-1))</f>
        <v/>
      </c>
      <c r="CE116" s="1245">
        <f>IF(OR(INDEX(SP_NGF_NI,0,COLUMN())&lt;=0,CD52&lt;=0),"NMF",IF(ABS((INDEX(SP_NGF_NI,0,COLUMN())/INDEX(SP_CS_ShareCount,0,COLUMN()))/(CD52/CD48)-1)&gt;10,"NMF",(INDEX(SP_NGF_NI,0,COLUMN())/INDEX(SP_CS_ShareCount,0,COLUMN()))/(CD52/CD48)-1))</f>
        <v/>
      </c>
      <c r="CF116" s="1245">
        <f>IF(OR(INDEX(SP_NGF_NI,0,COLUMN())&lt;=0,CE52&lt;=0),"NMF",IF(ABS((INDEX(SP_NGF_NI,0,COLUMN())/INDEX(SP_CS_ShareCount,0,COLUMN()))/(CE52/CE48)-1)&gt;10,"NMF",(INDEX(SP_NGF_NI,0,COLUMN())/INDEX(SP_CS_ShareCount,0,COLUMN()))/(CE52/CE48)-1))</f>
        <v/>
      </c>
      <c r="CG116" s="130" t="n"/>
    </row>
    <row r="117" customFormat="1" s="966">
      <c r="A117" s="219" t="inlineStr">
        <is>
          <t>Operating Cash Flow Per Share Growth</t>
        </is>
      </c>
      <c r="B117" s="202" t="n"/>
      <c r="C117" s="1245" t="n"/>
      <c r="D117" s="1245">
        <f>IFERROR(IF(OR(INDEX(SP_CFA_CFO,0,COLUMN())&lt;=0,C66&lt;=0),"NMF",IF(ABS((INDEX(SP_CFA_CFO,0,COLUMN())/INDEX(SP_GF_ShareCount,0,COLUMN()))/(C66/C48)-1)&gt;10,"NMF",(INDEX(SP_CFA_CFO,0,COLUMN())/INDEX(SP_GF_ShareCount,0,COLUMN()))/(C66/C48)-1)),"N/A")</f>
        <v/>
      </c>
      <c r="E117" s="1245">
        <f>IFERROR(IF(OR(INDEX(SP_CFA_CFO,0,COLUMN())&lt;=0,D66&lt;=0),"NMF",IF(ABS((INDEX(SP_CFA_CFO,0,COLUMN())/INDEX(SP_GF_ShareCount,0,COLUMN()))/(D66/D48)-1)&gt;10,"NMF",(INDEX(SP_CFA_CFO,0,COLUMN())/INDEX(SP_GF_ShareCount,0,COLUMN()))/(D66/D48)-1)),"N/A")</f>
        <v/>
      </c>
      <c r="F117" s="1245">
        <f>IFERROR(IF(OR(INDEX(SP_CFA_CFO,0,COLUMN())&lt;=0,E66&lt;=0),"NMF",IF(ABS((INDEX(SP_CFA_CFO,0,COLUMN())/INDEX(SP_GF_ShareCount,0,COLUMN()))/(E66/E48)-1)&gt;10,"NMF",(INDEX(SP_CFA_CFO,0,COLUMN())/INDEX(SP_GF_ShareCount,0,COLUMN()))/(E66/E48)-1)),"N/A")</f>
        <v/>
      </c>
      <c r="G117" s="129" t="n"/>
      <c r="H117" s="129" t="n"/>
      <c r="I117" s="129" t="n"/>
      <c r="J117" s="129" t="n"/>
      <c r="K117" s="1245">
        <f>IFERROR(IF(OR(INDEX(SP_CFA_CFO,0,COLUMN())&lt;=0,F66&lt;=0),"NMF",IF(ABS((INDEX(SP_CFA_CFO,0,COLUMN())/INDEX(SP_GF_ShareCount,0,COLUMN()))/(F66/F48)-1)&gt;10,"NMF",(INDEX(SP_CFA_CFO,0,COLUMN())/INDEX(SP_GF_ShareCount,0,COLUMN()))/(F66/F48)-1)),"N/A")</f>
        <v/>
      </c>
      <c r="L117" s="129">
        <f>IFERROR(IF(OR(INDEX(SP_CFA_CFO,0,COLUMN())&lt;=0,G66&lt;=0),"NMF",IF(ABS((INDEX(SP_CFA_CFO,0,COLUMN())/INDEX(SP_GF_ShareCount,0,COLUMN()))/(G66/G48)-1)&gt;10,"NMF",(INDEX(SP_CFA_CFO,0,COLUMN())/INDEX(SP_GF_ShareCount,0,COLUMN()))/(G66/G48)-1)),"N/A")</f>
        <v/>
      </c>
      <c r="M117" s="129">
        <f>IFERROR(IF(OR(INDEX(SP_CFA_CFO,0,COLUMN())&lt;=0,H66&lt;=0),"NMF",IF(ABS((INDEX(SP_CFA_CFO,0,COLUMN())/INDEX(SP_GF_ShareCount,0,COLUMN()))/(H66/H48)-1)&gt;10,"NMF",(INDEX(SP_CFA_CFO,0,COLUMN())/INDEX(SP_GF_ShareCount,0,COLUMN()))/(H66/H48)-1)),"N/A")</f>
        <v/>
      </c>
      <c r="N117" s="129">
        <f>IFERROR(IF(OR(INDEX(SP_CFA_CFO,0,COLUMN())&lt;=0,I66&lt;=0),"NMF",IF(ABS((INDEX(SP_CFA_CFO,0,COLUMN())/INDEX(SP_GF_ShareCount,0,COLUMN()))/(I66/I48)-1)&gt;10,"NMF",(INDEX(SP_CFA_CFO,0,COLUMN())/INDEX(SP_GF_ShareCount,0,COLUMN()))/(I66/I48)-1)),"N/A")</f>
        <v/>
      </c>
      <c r="O117" s="129">
        <f>IFERROR(IF(OR(INDEX(SP_CFA_CFO,0,COLUMN())&lt;=0,J66&lt;=0),"NMF",IF(ABS((INDEX(SP_CFA_CFO,0,COLUMN())/INDEX(SP_GF_ShareCount,0,COLUMN()))/(J66/J48)-1)&gt;10,"NMF",(INDEX(SP_CFA_CFO,0,COLUMN())/INDEX(SP_GF_ShareCount,0,COLUMN()))/(J66/J48)-1)),"N/A")</f>
        <v/>
      </c>
      <c r="P117" s="1245">
        <f>IFERROR(IF(OR(INDEX(SP_CFA_CFO,0,COLUMN())&lt;=0,K66&lt;=0),"NMF",IF(ABS((INDEX(SP_CFA_CFO,0,COLUMN())/INDEX(SP_GF_ShareCount,0,COLUMN()))/(K66/K48)-1)&gt;10,"NMF",(INDEX(SP_CFA_CFO,0,COLUMN())/INDEX(SP_GF_ShareCount,0,COLUMN()))/(K66/K48)-1)),"N/A")</f>
        <v/>
      </c>
      <c r="Q117" s="129">
        <f>IFERROR(IF(OR(INDEX(SP_CFA_CFO,0,COLUMN())&lt;=0,L66&lt;=0),"NMF",IF(ABS((INDEX(SP_CFA_CFO,0,COLUMN())/INDEX(SP_GF_ShareCount,0,COLUMN()))/(L66/L48)-1)&gt;10,"NMF",(INDEX(SP_CFA_CFO,0,COLUMN())/INDEX(SP_GF_ShareCount,0,COLUMN()))/(L66/L48)-1)),"N/A")</f>
        <v/>
      </c>
      <c r="R117" s="129">
        <f>IFERROR(IF(OR(INDEX(SP_CFA_CFO,0,COLUMN())&lt;=0,M66&lt;=0),"NMF",IF(ABS((INDEX(SP_CFA_CFO,0,COLUMN())/INDEX(SP_GF_ShareCount,0,COLUMN()))/(M66/M48)-1)&gt;10,"NMF",(INDEX(SP_CFA_CFO,0,COLUMN())/INDEX(SP_GF_ShareCount,0,COLUMN()))/(M66/M48)-1)),"N/A")</f>
        <v/>
      </c>
      <c r="S117" s="129">
        <f>IFERROR(IF(OR(INDEX(SP_CFA_CFO,0,COLUMN())&lt;=0,N66&lt;=0),"NMF",IF(ABS((INDEX(SP_CFA_CFO,0,COLUMN())/INDEX(SP_GF_ShareCount,0,COLUMN()))/(N66/N48)-1)&gt;10,"NMF",(INDEX(SP_CFA_CFO,0,COLUMN())/INDEX(SP_GF_ShareCount,0,COLUMN()))/(N66/N48)-1)),"N/A")</f>
        <v/>
      </c>
      <c r="T117" s="129">
        <f>IFERROR(IF(OR(INDEX(SP_CFA_CFO,0,COLUMN())&lt;=0,O66&lt;=0),"NMF",IF(ABS((INDEX(SP_CFA_CFO,0,COLUMN())/INDEX(SP_GF_ShareCount,0,COLUMN()))/(O66/O48)-1)&gt;10,"NMF",(INDEX(SP_CFA_CFO,0,COLUMN())/INDEX(SP_GF_ShareCount,0,COLUMN()))/(O66/O48)-1)),"N/A")</f>
        <v/>
      </c>
      <c r="U117" s="1245">
        <f>IFERROR(IF(OR(INDEX(SP_CFA_CFO,0,COLUMN())&lt;=0,P66&lt;=0),"NMF",IF(ABS((INDEX(SP_CFA_CFO,0,COLUMN())/INDEX(SP_GF_ShareCount,0,COLUMN()))/(P66/P48)-1)&gt;10,"NMF",(INDEX(SP_CFA_CFO,0,COLUMN())/INDEX(SP_GF_ShareCount,0,COLUMN()))/(P66/P48)-1)),"N/A")</f>
        <v/>
      </c>
      <c r="V117" s="129">
        <f>IFERROR(IF(OR(INDEX(SP_CFA_CFO,0,COLUMN())&lt;=0,Q66&lt;=0),"NMF",IF(ABS((INDEX(SP_CFA_CFO,0,COLUMN())/INDEX(SP_GF_ShareCount,0,COLUMN()))/(Q66/Q48)-1)&gt;10,"NMF",(INDEX(SP_CFA_CFO,0,COLUMN())/INDEX(SP_GF_ShareCount,0,COLUMN()))/(Q66/Q48)-1)),"N/A")</f>
        <v/>
      </c>
      <c r="W117" s="129">
        <f>IFERROR(IF(OR(INDEX(SP_CFA_CFO,0,COLUMN())&lt;=0,R66&lt;=0),"NMF",IF(ABS((INDEX(SP_CFA_CFO,0,COLUMN())/INDEX(SP_GF_ShareCount,0,COLUMN()))/(R66/R48)-1)&gt;10,"NMF",(INDEX(SP_CFA_CFO,0,COLUMN())/INDEX(SP_GF_ShareCount,0,COLUMN()))/(R66/R48)-1)),"N/A")</f>
        <v/>
      </c>
      <c r="X117" s="129">
        <f>IFERROR(IF(OR(INDEX(SP_CFA_CFO,0,COLUMN())&lt;=0,S66&lt;=0),"NMF",IF(ABS((INDEX(SP_CFA_CFO,0,COLUMN())/INDEX(SP_GF_ShareCount,0,COLUMN()))/(S66/S48)-1)&gt;10,"NMF",(INDEX(SP_CFA_CFO,0,COLUMN())/INDEX(SP_GF_ShareCount,0,COLUMN()))/(S66/S48)-1)),"N/A")</f>
        <v/>
      </c>
      <c r="Y117" s="129">
        <f>IFERROR(IF(OR(INDEX(SP_CFA_CFO,0,COLUMN())&lt;=0,T66&lt;=0),"NMF",IF(ABS((INDEX(SP_CFA_CFO,0,COLUMN())/INDEX(SP_GF_ShareCount,0,COLUMN()))/(T66/T48)-1)&gt;10,"NMF",(INDEX(SP_CFA_CFO,0,COLUMN())/INDEX(SP_GF_ShareCount,0,COLUMN()))/(T66/T48)-1)),"N/A")</f>
        <v/>
      </c>
      <c r="Z117" s="1245">
        <f>IFERROR(IF(OR(INDEX(SP_CFA_CFO,0,COLUMN())&lt;=0,U66&lt;=0),"NMF",IF(ABS((INDEX(SP_CFA_CFO,0,COLUMN())/INDEX(SP_GF_ShareCount,0,COLUMN()))/(U66/U48)-1)&gt;10,"NMF",(INDEX(SP_CFA_CFO,0,COLUMN())/INDEX(SP_GF_ShareCount,0,COLUMN()))/(U66/U48)-1)),"N/A")</f>
        <v/>
      </c>
      <c r="AA117" s="129">
        <f>IFERROR(IF(OR(INDEX(SP_CFA_CFO,0,COLUMN())&lt;=0,V66&lt;=0),"NMF",IF(ABS((INDEX(SP_CFA_CFO,0,COLUMN())/INDEX(SP_GF_ShareCount,0,COLUMN()))/(V66/V48)-1)&gt;10,"NMF",(INDEX(SP_CFA_CFO,0,COLUMN())/INDEX(SP_GF_ShareCount,0,COLUMN()))/(V66/V48)-1)),"N/A")</f>
        <v/>
      </c>
      <c r="AB117" s="129">
        <f>IFERROR(IF(OR(INDEX(SP_CFA_CFO,0,COLUMN())&lt;=0,W66&lt;=0),"NMF",IF(ABS((INDEX(SP_CFA_CFO,0,COLUMN())/INDEX(SP_GF_ShareCount,0,COLUMN()))/(W66/W48)-1)&gt;10,"NMF",(INDEX(SP_CFA_CFO,0,COLUMN())/INDEX(SP_GF_ShareCount,0,COLUMN()))/(W66/W48)-1)),"N/A")</f>
        <v/>
      </c>
      <c r="AC117" s="129">
        <f>IFERROR(IF(OR(INDEX(SP_CFA_CFO,0,COLUMN())&lt;=0,X66&lt;=0),"NMF",IF(ABS((INDEX(SP_CFA_CFO,0,COLUMN())/INDEX(SP_GF_ShareCount,0,COLUMN()))/(X66/X48)-1)&gt;10,"NMF",(INDEX(SP_CFA_CFO,0,COLUMN())/INDEX(SP_GF_ShareCount,0,COLUMN()))/(X66/X48)-1)),"N/A")</f>
        <v/>
      </c>
      <c r="AD117" s="129">
        <f>IFERROR(IF(OR(INDEX(SP_CFA_CFO,0,COLUMN())&lt;=0,Y66&lt;=0),"NMF",IF(ABS((INDEX(SP_CFA_CFO,0,COLUMN())/INDEX(SP_GF_ShareCount,0,COLUMN()))/(Y66/Y48)-1)&gt;10,"NMF",(INDEX(SP_CFA_CFO,0,COLUMN())/INDEX(SP_GF_ShareCount,0,COLUMN()))/(Y66/Y48)-1)),"N/A")</f>
        <v/>
      </c>
      <c r="AE117" s="1245">
        <f>IFERROR(IF(OR(INDEX(SP_CFA_CFO,0,COLUMN())&lt;=0,Z66&lt;=0),"NMF",IF(ABS((INDEX(SP_CFA_CFO,0,COLUMN())/INDEX(SP_GF_ShareCount,0,COLUMN()))/(Z66/Z48)-1)&gt;10,"NMF",(INDEX(SP_CFA_CFO,0,COLUMN())/INDEX(SP_GF_ShareCount,0,COLUMN()))/(Z66/Z48)-1)),"N/A")</f>
        <v/>
      </c>
      <c r="AF117" s="129">
        <f>IFERROR(IF(OR(INDEX(SP_CFA_CFO,0,COLUMN())&lt;=0,AA66&lt;=0),"NMF",IF(ABS((INDEX(SP_CFA_CFO,0,COLUMN())/INDEX(SP_GF_ShareCount,0,COLUMN()))/(AA66/AA48)-1)&gt;10,"NMF",(INDEX(SP_CFA_CFO,0,COLUMN())/INDEX(SP_GF_ShareCount,0,COLUMN()))/(AA66/AA48)-1)),"N/A")</f>
        <v/>
      </c>
      <c r="AG117" s="129">
        <f>IFERROR(IF(OR(INDEX(SP_CFA_CFO,0,COLUMN())&lt;=0,AB66&lt;=0),"NMF",IF(ABS((INDEX(SP_CFA_CFO,0,COLUMN())/INDEX(SP_GF_ShareCount,0,COLUMN()))/(AB66/AB48)-1)&gt;10,"NMF",(INDEX(SP_CFA_CFO,0,COLUMN())/INDEX(SP_GF_ShareCount,0,COLUMN()))/(AB66/AB48)-1)),"N/A")</f>
        <v/>
      </c>
      <c r="AH117" s="129">
        <f>IFERROR(IF(OR(INDEX(SP_CFA_CFO,0,COLUMN())&lt;=0,AC66&lt;=0),"NMF",IF(ABS((INDEX(SP_CFA_CFO,0,COLUMN())/INDEX(SP_GF_ShareCount,0,COLUMN()))/(AC66/AC48)-1)&gt;10,"NMF",(INDEX(SP_CFA_CFO,0,COLUMN())/INDEX(SP_GF_ShareCount,0,COLUMN()))/(AC66/AC48)-1)),"N/A")</f>
        <v/>
      </c>
      <c r="AI117" s="129">
        <f>IFERROR(IF(OR(INDEX(SP_CFA_CFO,0,COLUMN())&lt;=0,AD66&lt;=0),"NMF",IF(ABS((INDEX(SP_CFA_CFO,0,COLUMN())/INDEX(SP_GF_ShareCount,0,COLUMN()))/(AD66/AD48)-1)&gt;10,"NMF",(INDEX(SP_CFA_CFO,0,COLUMN())/INDEX(SP_GF_ShareCount,0,COLUMN()))/(AD66/AD48)-1)),"N/A")</f>
        <v/>
      </c>
      <c r="AJ117" s="1245">
        <f>IFERROR(IF(OR(INDEX(SP_CFA_CFO,0,COLUMN())&lt;=0,AE66&lt;=0),"NMF",IF(ABS((INDEX(SP_CFA_CFO,0,COLUMN())/INDEX(SP_GF_ShareCount,0,COLUMN()))/(AE66/AE48)-1)&gt;10,"NMF",(INDEX(SP_CFA_CFO,0,COLUMN())/INDEX(SP_GF_ShareCount,0,COLUMN()))/(AE66/AE48)-1)),"N/A")</f>
        <v/>
      </c>
      <c r="AK117" s="129">
        <f>IFERROR(IF(OR(INDEX(SP_CFA_CFO,0,COLUMN())&lt;=0,AF66&lt;=0),"NMF",IF(ABS((INDEX(SP_CFA_CFO,0,COLUMN())/INDEX(SP_GF_ShareCount,0,COLUMN()))/(AF66/AF48)-1)&gt;10,"NMF",(INDEX(SP_CFA_CFO,0,COLUMN())/INDEX(SP_GF_ShareCount,0,COLUMN()))/(AF66/AF48)-1)),"N/A")</f>
        <v/>
      </c>
      <c r="AL117" s="129">
        <f>IFERROR(IF(OR(INDEX(SP_CFA_CFO,0,COLUMN())&lt;=0,AG66&lt;=0),"NMF",IF(ABS((INDEX(SP_CFA_CFO,0,COLUMN())/INDEX(SP_GF_ShareCount,0,COLUMN()))/(AG66/AG48)-1)&gt;10,"NMF",(INDEX(SP_CFA_CFO,0,COLUMN())/INDEX(SP_GF_ShareCount,0,COLUMN()))/(AG66/AG48)-1)),"N/A")</f>
        <v/>
      </c>
      <c r="AM117" s="129">
        <f>IFERROR(IF(OR(INDEX(SP_CFA_CFO,0,COLUMN())&lt;=0,AH66&lt;=0),"NMF",IF(ABS((INDEX(SP_CFA_CFO,0,COLUMN())/INDEX(SP_GF_ShareCount,0,COLUMN()))/(AH66/AH48)-1)&gt;10,"NMF",(INDEX(SP_CFA_CFO,0,COLUMN())/INDEX(SP_GF_ShareCount,0,COLUMN()))/(AH66/AH48)-1)),"N/A")</f>
        <v/>
      </c>
      <c r="AN117" s="129">
        <f>IFERROR(IF(OR(INDEX(SP_CFA_CFO,0,COLUMN())&lt;=0,AI66&lt;=0),"NMF",IF(ABS((INDEX(SP_CFA_CFO,0,COLUMN())/INDEX(SP_GF_ShareCount,0,COLUMN()))/(AI66/AI48)-1)&gt;10,"NMF",(INDEX(SP_CFA_CFO,0,COLUMN())/INDEX(SP_GF_ShareCount,0,COLUMN()))/(AI66/AI48)-1)),"N/A")</f>
        <v/>
      </c>
      <c r="AO117" s="1245">
        <f>IFERROR(IF(OR(INDEX(SP_CFA_CFO,0,COLUMN())&lt;=0,AJ66&lt;=0),"NMF",IF(ABS((INDEX(SP_CFA_CFO,0,COLUMN())/INDEX(SP_GF_ShareCount,0,COLUMN()))/(AJ66/AJ48)-1)&gt;10,"NMF",(INDEX(SP_CFA_CFO,0,COLUMN())/INDEX(SP_GF_ShareCount,0,COLUMN()))/(AJ66/AJ48)-1)),"N/A")</f>
        <v/>
      </c>
      <c r="AP117" s="129">
        <f>IFERROR(IF(OR(INDEX(SP_CFA_CFO,0,COLUMN())&lt;=0,AK66&lt;=0),"NMF",IF(ABS((INDEX(SP_CFA_CFO,0,COLUMN())/INDEX(SP_GF_ShareCount,0,COLUMN()))/(AK66/AK48)-1)&gt;10,"NMF",(INDEX(SP_CFA_CFO,0,COLUMN())/INDEX(SP_GF_ShareCount,0,COLUMN()))/(AK66/AK48)-1)),"N/A")</f>
        <v/>
      </c>
      <c r="AQ117" s="129">
        <f>IFERROR(IF(OR(INDEX(SP_CFA_CFO,0,COLUMN())&lt;=0,AL66&lt;=0),"NMF",IF(ABS((INDEX(SP_CFA_CFO,0,COLUMN())/INDEX(SP_GF_ShareCount,0,COLUMN()))/(AL66/AL48)-1)&gt;10,"NMF",(INDEX(SP_CFA_CFO,0,COLUMN())/INDEX(SP_GF_ShareCount,0,COLUMN()))/(AL66/AL48)-1)),"N/A")</f>
        <v/>
      </c>
      <c r="AR117" s="129">
        <f>IFERROR(IF(OR(INDEX(SP_CFA_CFO,0,COLUMN())&lt;=0,AM66&lt;=0),"NMF",IF(ABS((INDEX(SP_CFA_CFO,0,COLUMN())/INDEX(SP_GF_ShareCount,0,COLUMN()))/(AM66/AM48)-1)&gt;10,"NMF",(INDEX(SP_CFA_CFO,0,COLUMN())/INDEX(SP_GF_ShareCount,0,COLUMN()))/(AM66/AM48)-1)),"N/A")</f>
        <v/>
      </c>
      <c r="AS117" s="129">
        <f>IFERROR(IF(OR(INDEX(SP_CFA_CFO,0,COLUMN())&lt;=0,AN66&lt;=0),"NMF",IF(ABS((INDEX(SP_CFA_CFO,0,COLUMN())/INDEX(SP_GF_ShareCount,0,COLUMN()))/(AN66/AN48)-1)&gt;10,"NMF",(INDEX(SP_CFA_CFO,0,COLUMN())/INDEX(SP_GF_ShareCount,0,COLUMN()))/(AN66/AN48)-1)),"N/A")</f>
        <v/>
      </c>
      <c r="AT117" s="1245">
        <f>IFERROR(IF(OR(INDEX(SP_CFA_CFO,0,COLUMN())&lt;=0,AO66&lt;=0),"NMF",IF(ABS((INDEX(SP_CFA_CFO,0,COLUMN())/INDEX(SP_GF_ShareCount,0,COLUMN()))/(AO66/AO48)-1)&gt;10,"NMF",(INDEX(SP_CFA_CFO,0,COLUMN())/INDEX(SP_GF_ShareCount,0,COLUMN()))/(AO66/AO48)-1)),"N/A")</f>
        <v/>
      </c>
      <c r="AU117" s="129">
        <f>IFERROR(IF(OR(INDEX(SP_CFA_CFO,0,COLUMN())&lt;=0,AP66&lt;=0),"NMF",IF(ABS((INDEX(SP_CFA_CFO,0,COLUMN())/INDEX(SP_GF_ShareCount,0,COLUMN()))/(AP66/AP48)-1)&gt;10,"NMF",(INDEX(SP_CFA_CFO,0,COLUMN())/INDEX(SP_GF_ShareCount,0,COLUMN()))/(AP66/AP48)-1)),"N/A")</f>
        <v/>
      </c>
      <c r="AV117" s="129">
        <f>IFERROR(IF(OR(INDEX(SP_CFA_CFO,0,COLUMN())&lt;=0,AQ66&lt;=0),"NMF",IF(ABS((INDEX(SP_CFA_CFO,0,COLUMN())/INDEX(SP_GF_ShareCount,0,COLUMN()))/(AQ66/AQ48)-1)&gt;10,"NMF",(INDEX(SP_CFA_CFO,0,COLUMN())/INDEX(SP_GF_ShareCount,0,COLUMN()))/(AQ66/AQ48)-1)),"N/A")</f>
        <v/>
      </c>
      <c r="AW117" s="129">
        <f>IFERROR(IF(OR(INDEX(SP_CFA_CFO,0,COLUMN())&lt;=0,AR66&lt;=0),"NMF",IF(ABS((INDEX(SP_CFA_CFO,0,COLUMN())/INDEX(SP_GF_ShareCount,0,COLUMN()))/(AR66/AR48)-1)&gt;10,"NMF",(INDEX(SP_CFA_CFO,0,COLUMN())/INDEX(SP_GF_ShareCount,0,COLUMN()))/(AR66/AR48)-1)),"N/A")</f>
        <v/>
      </c>
      <c r="AX117" s="129">
        <f>IFERROR(IF(OR(INDEX(SP_CFA_CFO,0,COLUMN())&lt;=0,AS66&lt;=0),"NMF",IF(ABS((INDEX(SP_CFA_CFO,0,COLUMN())/INDEX(SP_GF_ShareCount,0,COLUMN()))/(AS66/AS48)-1)&gt;10,"NMF",(INDEX(SP_CFA_CFO,0,COLUMN())/INDEX(SP_GF_ShareCount,0,COLUMN()))/(AS66/AS48)-1)),"N/A")</f>
        <v/>
      </c>
      <c r="AY117" s="1245">
        <f>IFERROR(IF(OR(INDEX(SP_CFA_CFO,0,COLUMN())&lt;=0,AT66&lt;=0),"NMF",IF(ABS((INDEX(SP_CFA_CFO,0,COLUMN())/INDEX(SP_GF_ShareCount,0,COLUMN()))/(AT66/AT48)-1)&gt;10,"NMF",(INDEX(SP_CFA_CFO,0,COLUMN())/INDEX(SP_GF_ShareCount,0,COLUMN()))/(AT66/AT48)-1)),"N/A")</f>
        <v/>
      </c>
      <c r="AZ117" s="129">
        <f>IFERROR(IF(OR(INDEX(SP_CFA_CFO,0,COLUMN())&lt;=0,AU66&lt;=0),"NMF",IF(ABS((INDEX(SP_CFA_CFO,0,COLUMN())/INDEX(SP_GF_ShareCount,0,COLUMN()))/(AU66/AU48)-1)&gt;10,"NMF",(INDEX(SP_CFA_CFO,0,COLUMN())/INDEX(SP_GF_ShareCount,0,COLUMN()))/(AU66/AU48)-1)),"N/A")</f>
        <v/>
      </c>
      <c r="BA117" s="129">
        <f>IFERROR(IF(OR(INDEX(SP_CFA_CFO,0,COLUMN())&lt;=0,AV66&lt;=0),"NMF",IF(ABS((INDEX(SP_CFA_CFO,0,COLUMN())/INDEX(SP_GF_ShareCount,0,COLUMN()))/(AV66/AV48)-1)&gt;10,"NMF",(INDEX(SP_CFA_CFO,0,COLUMN())/INDEX(SP_GF_ShareCount,0,COLUMN()))/(AV66/AV48)-1)),"N/A")</f>
        <v/>
      </c>
      <c r="BB117" s="129">
        <f>IFERROR(IF(OR(INDEX(SP_CFA_CFO,0,COLUMN())&lt;=0,AW66&lt;=0),"NMF",IF(ABS((INDEX(SP_CFA_CFO,0,COLUMN())/INDEX(SP_GF_ShareCount,0,COLUMN()))/(AW66/AW48)-1)&gt;10,"NMF",(INDEX(SP_CFA_CFO,0,COLUMN())/INDEX(SP_GF_ShareCount,0,COLUMN()))/(AW66/AW48)-1)),"N/A")</f>
        <v/>
      </c>
      <c r="BC117" s="129">
        <f>IFERROR(IF(OR(INDEX(SP_CFA_CFO,0,COLUMN())&lt;=0,AX66&lt;=0),"NMF",IF(ABS((INDEX(SP_CFA_CFO,0,COLUMN())/INDEX(SP_GF_ShareCount,0,COLUMN()))/(AX66/AX48)-1)&gt;10,"NMF",(INDEX(SP_CFA_CFO,0,COLUMN())/INDEX(SP_GF_ShareCount,0,COLUMN()))/(AX66/AX48)-1)),"N/A")</f>
        <v/>
      </c>
      <c r="BD117" s="1245">
        <f>IFERROR(IF(OR(INDEX(SP_CFA_CFO,0,COLUMN())&lt;=0,AY66&lt;=0),"NMF",IF(ABS((INDEX(SP_CFA_CFO,0,COLUMN())/INDEX(SP_GF_ShareCount,0,COLUMN()))/(AY66/AY48)-1)&gt;10,"NMF",(INDEX(SP_CFA_CFO,0,COLUMN())/INDEX(SP_GF_ShareCount,0,COLUMN()))/(AY66/AY48)-1)),"N/A")</f>
        <v/>
      </c>
      <c r="BE117" s="129">
        <f>IFERROR(IF(OR(INDEX(SP_CFA_CFO,0,COLUMN())&lt;=0,AZ66&lt;=0),"NMF",IF(ABS((INDEX(SP_CFA_CFO,0,COLUMN())/INDEX(SP_GF_ShareCount,0,COLUMN()))/(AZ66/AZ48)-1)&gt;10,"NMF",(INDEX(SP_CFA_CFO,0,COLUMN())/INDEX(SP_GF_ShareCount,0,COLUMN()))/(AZ66/AZ48)-1)),"N/A")</f>
        <v/>
      </c>
      <c r="BF117" s="129">
        <f>IFERROR(IF(OR(INDEX(SP_CFA_CFO,0,COLUMN())&lt;=0,BA66&lt;=0),"NMF",IF(ABS((INDEX(SP_CFA_CFO,0,COLUMN())/INDEX(SP_GF_ShareCount,0,COLUMN()))/(BA66/BA48)-1)&gt;10,"NMF",(INDEX(SP_CFA_CFO,0,COLUMN())/INDEX(SP_GF_ShareCount,0,COLUMN()))/(BA66/BA48)-1)),"N/A")</f>
        <v/>
      </c>
      <c r="BG117" s="129">
        <f>IFERROR(IF(OR(INDEX(SP_CFA_CFO,0,COLUMN())&lt;=0,BB66&lt;=0),"NMF",IF(ABS((INDEX(SP_CFA_CFO,0,COLUMN())/INDEX(SP_GF_ShareCount,0,COLUMN()))/(BB66/BB48)-1)&gt;10,"NMF",(INDEX(SP_CFA_CFO,0,COLUMN())/INDEX(SP_GF_ShareCount,0,COLUMN()))/(BB66/BB48)-1)),"N/A")</f>
        <v/>
      </c>
      <c r="BH117" s="129">
        <f>IFERROR(IF(OR(INDEX(SP_CFA_CFO,0,COLUMN())&lt;=0,BC66&lt;=0),"NMF",IF(ABS((INDEX(SP_CFA_CFO,0,COLUMN())/INDEX(SP_GF_ShareCount,0,COLUMN()))/(BC66/BC48)-1)&gt;10,"NMF",(INDEX(SP_CFA_CFO,0,COLUMN())/INDEX(SP_GF_ShareCount,0,COLUMN()))/(BC66/BC48)-1)),"N/A")</f>
        <v/>
      </c>
      <c r="BI117" s="1245">
        <f>IFERROR(IF(OR(INDEX(SP_CFA_CFO,0,COLUMN())&lt;=0,BD66&lt;=0),"NMF",IF(ABS((INDEX(SP_CFA_CFO,0,COLUMN())/INDEX(SP_GF_ShareCount,0,COLUMN()))/(BD66/BD48)-1)&gt;10,"NMF",(INDEX(SP_CFA_CFO,0,COLUMN())/INDEX(SP_GF_ShareCount,0,COLUMN()))/(BD66/BD48)-1)),"N/A")</f>
        <v/>
      </c>
      <c r="BJ117" s="129">
        <f>IFERROR(IF(OR(INDEX(SP_CFA_CFO,0,COLUMN())&lt;=0,BE66&lt;=0),"NMF",IF(ABS((INDEX(SP_CFA_CFO,0,COLUMN())/INDEX(SP_GF_ShareCount,0,COLUMN()))/(BE66/BE48)-1)&gt;10,"NMF",(INDEX(SP_CFA_CFO,0,COLUMN())/INDEX(SP_GF_ShareCount,0,COLUMN()))/(BE66/BE48)-1)),"N/A")</f>
        <v/>
      </c>
      <c r="BK117" s="129">
        <f>IFERROR(IF(OR(INDEX(SP_CFA_CFO,0,COLUMN())&lt;=0,BF66&lt;=0),"NMF",IF(ABS((INDEX(SP_CFA_CFO,0,COLUMN())/INDEX(SP_GF_ShareCount,0,COLUMN()))/(BF66/BF48)-1)&gt;10,"NMF",(INDEX(SP_CFA_CFO,0,COLUMN())/INDEX(SP_GF_ShareCount,0,COLUMN()))/(BF66/BF48)-1)),"N/A")</f>
        <v/>
      </c>
      <c r="BL117" s="129">
        <f>IFERROR(IF(OR(INDEX(SP_CFA_CFO,0,COLUMN())&lt;=0,BG66&lt;=0),"NMF",IF(ABS((INDEX(SP_CFA_CFO,0,COLUMN())/INDEX(SP_GF_ShareCount,0,COLUMN()))/(BG66/BG48)-1)&gt;10,"NMF",(INDEX(SP_CFA_CFO,0,COLUMN())/INDEX(SP_GF_ShareCount,0,COLUMN()))/(BG66/BG48)-1)),"N/A")</f>
        <v/>
      </c>
      <c r="BM117" s="129">
        <f>IFERROR(IF(OR(INDEX(SP_CFA_CFO,0,COLUMN())&lt;=0,BH66&lt;=0),"NMF",IF(ABS((INDEX(SP_CFA_CFO,0,COLUMN())/INDEX(SP_GF_ShareCount,0,COLUMN()))/(BH66/BH48)-1)&gt;10,"NMF",(INDEX(SP_CFA_CFO,0,COLUMN())/INDEX(SP_GF_ShareCount,0,COLUMN()))/(BH66/BH48)-1)),"N/A")</f>
        <v/>
      </c>
      <c r="BN117" s="1245">
        <f>IFERROR(IF(OR(INDEX(SP_CFA_CFO,0,COLUMN())&lt;=0,BI66&lt;=0),"NMF",IF(ABS((INDEX(SP_CFA_CFO,0,COLUMN())/INDEX(SP_GF_ShareCount,0,COLUMN()))/(BI66/BI48)-1)&gt;10,"NMF",(INDEX(SP_CFA_CFO,0,COLUMN())/INDEX(SP_GF_ShareCount,0,COLUMN()))/(BI66/BI48)-1)),"N/A")</f>
        <v/>
      </c>
      <c r="BO117" s="129">
        <f>IFERROR(IF(OR(INDEX(SP_CFA_CFO,0,COLUMN())&lt;=0,BJ66&lt;=0),"NMF",IF(ABS((INDEX(SP_CFA_CFO,0,COLUMN())/INDEX(SP_GF_ShareCount,0,COLUMN()))/(BJ66/BJ48)-1)&gt;10,"NMF",(INDEX(SP_CFA_CFO,0,COLUMN())/INDEX(SP_GF_ShareCount,0,COLUMN()))/(BJ66/BJ48)-1)),"N/A")</f>
        <v/>
      </c>
      <c r="BP117" s="129">
        <f>IFERROR(IF(OR(INDEX(SP_CFA_CFO,0,COLUMN())&lt;=0,BK66&lt;=0),"NMF",IF(ABS((INDEX(SP_CFA_CFO,0,COLUMN())/INDEX(SP_GF_ShareCount,0,COLUMN()))/(BK66/BK48)-1)&gt;10,"NMF",(INDEX(SP_CFA_CFO,0,COLUMN())/INDEX(SP_GF_ShareCount,0,COLUMN()))/(BK66/BK48)-1)),"N/A")</f>
        <v/>
      </c>
      <c r="BQ117" s="129">
        <f>IFERROR(IF(OR(INDEX(SP_CFA_CFO,0,COLUMN())&lt;=0,BL66&lt;=0),"NMF",IF(ABS((INDEX(SP_CFA_CFO,0,COLUMN())/INDEX(SP_GF_ShareCount,0,COLUMN()))/(BL66/BL48)-1)&gt;10,"NMF",(INDEX(SP_CFA_CFO,0,COLUMN())/INDEX(SP_GF_ShareCount,0,COLUMN()))/(BL66/BL48)-1)),"N/A")</f>
        <v/>
      </c>
      <c r="BR117" s="129">
        <f>IFERROR(IF(OR(INDEX(SP_CFA_CFO,0,COLUMN())&lt;=0,BM66&lt;=0),"NMF",IF(ABS((INDEX(SP_CFA_CFO,0,COLUMN())/INDEX(SP_GF_ShareCount,0,COLUMN()))/(BM66/BM48)-1)&gt;10,"NMF",(INDEX(SP_CFA_CFO,0,COLUMN())/INDEX(SP_GF_ShareCount,0,COLUMN()))/(BM66/BM48)-1)),"N/A")</f>
        <v/>
      </c>
      <c r="BS117" s="1245">
        <f>IFERROR(IF(OR(INDEX(SP_CFA_CFO,0,COLUMN())&lt;=0,BN66&lt;=0),"NMF",IF(ABS((INDEX(SP_CFA_CFO,0,COLUMN())/INDEX(SP_GF_ShareCount,0,COLUMN()))/(BN66/BN48)-1)&gt;10,"NMF",(INDEX(SP_CFA_CFO,0,COLUMN())/INDEX(SP_GF_ShareCount,0,COLUMN()))/(BN66/BN48)-1)),"N/A")</f>
        <v/>
      </c>
      <c r="BT117" s="129">
        <f>IFERROR(IF(OR(INDEX(SP_CFA_CFO,0,COLUMN())&lt;=0,BO66&lt;=0),"NMF",IF(ABS((INDEX(SP_CFA_CFO,0,COLUMN())/INDEX(SP_GF_ShareCount,0,COLUMN()))/(BO66/BO48)-1)&gt;10,"NMF",(INDEX(SP_CFA_CFO,0,COLUMN())/INDEX(SP_GF_ShareCount,0,COLUMN()))/(BO66/BO48)-1)),"N/A")</f>
        <v/>
      </c>
      <c r="BU117" s="129">
        <f>IFERROR(IF(OR(INDEX(SP_CFA_CFO,0,COLUMN())&lt;=0,BP66&lt;=0),"NMF",IF(ABS((INDEX(SP_CFA_CFO,0,COLUMN())/INDEX(SP_GF_ShareCount,0,COLUMN()))/(BP66/BP48)-1)&gt;10,"NMF",(INDEX(SP_CFA_CFO,0,COLUMN())/INDEX(SP_GF_ShareCount,0,COLUMN()))/(BP66/BP48)-1)),"N/A")</f>
        <v/>
      </c>
      <c r="BV117" s="946">
        <f>IFERROR(IF(OR(INDEX(SP_CFA_CFO,0,COLUMN())&lt;=0,BQ66&lt;=0),"NMF",IF(ABS((INDEX(SP_CFA_CFO,0,COLUMN())/INDEX(SP_GF_ShareCount,0,COLUMN()))/(BQ66/BQ48)-1)&gt;10,"NMF",(INDEX(SP_CFA_CFO,0,COLUMN())/INDEX(SP_GF_ShareCount,0,COLUMN()))/(BQ66/BQ48)-1)),"N/A")</f>
        <v/>
      </c>
      <c r="BW117" s="129">
        <f>IFERROR(IF(OR(INDEX(SP_CFA_CFO,0,COLUMN())&lt;=0,BR66&lt;=0),"NMF",IF(ABS((INDEX(SP_CFA_CFO,0,COLUMN())/INDEX(SP_GF_ShareCount,0,COLUMN()))/(BR66/BR48)-1)&gt;10,"NMF",(INDEX(SP_CFA_CFO,0,COLUMN())/INDEX(SP_GF_ShareCount,0,COLUMN()))/(BR66/BR48)-1)),"N/A")</f>
        <v/>
      </c>
      <c r="BX117" s="1245">
        <f>IFERROR(IF(OR(INDEX(SP_CFA_CFO,0,COLUMN())&lt;=0,BS66&lt;=0),"NMF",IF(ABS((INDEX(SP_CFA_CFO,0,COLUMN())/INDEX(SP_GF_ShareCount,0,COLUMN()))/(BS66/BS48)-1)&gt;10,"NMF",(INDEX(SP_CFA_CFO,0,COLUMN())/INDEX(SP_GF_ShareCount,0,COLUMN()))/(BS66/BS48)-1)),"N/A")</f>
        <v/>
      </c>
      <c r="BY117" s="129">
        <f>IFERROR(IF(OR(INDEX(SP_CFA_CFO,0,COLUMN())&lt;=0,BT66&lt;=0),"NMF",IF(ABS((INDEX(SP_CFA_CFO,0,COLUMN())/INDEX(SP_GF_ShareCount,0,COLUMN()))/(BT66/BT48)-1)&gt;10,"NMF",(INDEX(SP_CFA_CFO,0,COLUMN())/INDEX(SP_GF_ShareCount,0,COLUMN()))/(BT66/BT48)-1)),"N/A")</f>
        <v/>
      </c>
      <c r="BZ117" s="129">
        <f>IFERROR(IF(OR(INDEX(SP_CFA_CFO,0,COLUMN())&lt;=0,BU66&lt;=0),"NMF",IF(ABS((INDEX(SP_CFA_CFO,0,COLUMN())/INDEX(SP_GF_ShareCount,0,COLUMN()))/(BU66/BU48)-1)&gt;10,"NMF",(INDEX(SP_CFA_CFO,0,COLUMN())/INDEX(SP_GF_ShareCount,0,COLUMN()))/(BU66/BU48)-1)),"N/A")</f>
        <v/>
      </c>
      <c r="CA117" s="129">
        <f>IFERROR(IF(OR(INDEX(SP_CFA_CFO,0,COLUMN())&lt;=0,BV66&lt;=0),"NMF",IF(ABS((INDEX(SP_CFA_CFO,0,COLUMN())/INDEX(SP_GF_ShareCount,0,COLUMN()))/(BV66/BV48)-1)&gt;10,"NMF",(INDEX(SP_CFA_CFO,0,COLUMN())/INDEX(SP_GF_ShareCount,0,COLUMN()))/(BV66/BV48)-1)),"N/A")</f>
        <v/>
      </c>
      <c r="CB117" s="129">
        <f>IFERROR(IF(OR(INDEX(SP_CFA_CFO,0,COLUMN())&lt;=0,BW66&lt;=0),"NMF",IF(ABS((INDEX(SP_CFA_CFO,0,COLUMN())/INDEX(SP_GF_ShareCount,0,COLUMN()))/(BW66/BW48)-1)&gt;10,"NMF",(INDEX(SP_CFA_CFO,0,COLUMN())/INDEX(SP_GF_ShareCount,0,COLUMN()))/(BW66/BW48)-1)),"N/A")</f>
        <v/>
      </c>
      <c r="CC117" s="1245">
        <f>IFERROR(IF(OR(INDEX(SP_CFA_CFO,0,COLUMN())&lt;=0,BX66&lt;=0),"NMF",IF(ABS((INDEX(SP_CFA_CFO,0,COLUMN())/INDEX(SP_GF_ShareCount,0,COLUMN()))/(BX66/BX48)-1)&gt;10,"NMF",(INDEX(SP_CFA_CFO,0,COLUMN())/INDEX(SP_GF_ShareCount,0,COLUMN()))/(BX66/BX48)-1)),"N/A")</f>
        <v/>
      </c>
      <c r="CD117" s="1245">
        <f>IFERROR(IF(OR(INDEX(SP_CFA_CFO,0,COLUMN())&lt;=0,CC66&lt;=0),"NMF",IF(ABS((INDEX(SP_CFA_CFO,0,COLUMN())/INDEX(SP_GF_ShareCount,0,COLUMN()))/(CC66/CC48)-1)&gt;10,"NMF",(INDEX(SP_CFA_CFO,0,COLUMN())/INDEX(SP_GF_ShareCount,0,COLUMN()))/(CC66/CC48)-1)),"N/A")</f>
        <v/>
      </c>
      <c r="CE117" s="1245">
        <f>IFERROR(IF(OR(INDEX(SP_CFA_CFO,0,COLUMN())&lt;=0,CD66&lt;=0),"NMF",IF(ABS((INDEX(SP_CFA_CFO,0,COLUMN())/INDEX(SP_GF_ShareCount,0,COLUMN()))/(CD66/CD48)-1)&gt;10,"NMF",(INDEX(SP_CFA_CFO,0,COLUMN())/INDEX(SP_GF_ShareCount,0,COLUMN()))/(CD66/CD48)-1)),"N/A")</f>
        <v/>
      </c>
      <c r="CF117" s="1245">
        <f>IFERROR(IF(OR(INDEX(SP_CFA_CFO,0,COLUMN())&lt;=0,CE66&lt;=0),"NMF",IF(ABS((INDEX(SP_CFA_CFO,0,COLUMN())/INDEX(SP_GF_ShareCount,0,COLUMN()))/(CE66/CE48)-1)&gt;10,"NMF",(INDEX(SP_CFA_CFO,0,COLUMN())/INDEX(SP_GF_ShareCount,0,COLUMN()))/(CE66/CE48)-1)),"N/A")</f>
        <v/>
      </c>
      <c r="CG117" s="130" t="n"/>
    </row>
    <row r="118" customFormat="1" s="966">
      <c r="A118" s="219" t="inlineStr">
        <is>
          <t>Free Cash Flow Per Share Growth</t>
        </is>
      </c>
      <c r="B118" s="202" t="n"/>
      <c r="C118" s="1245" t="n"/>
      <c r="D118" s="1245">
        <f>IF(OR(INDEX(SP_CFA_FCF_PreDiv,0,COLUMN())&lt;=0,C68&lt;=0),"NMF",IF(ABS((INDEX(SP_CFA_FCF_PreDiv,0,COLUMN())/INDEX(SP_CS_ShareCount,0,COLUMN()))/(C68/C48)-1)&gt;10,"NMF",(INDEX(SP_CFA_FCF_PreDiv,0,COLUMN())/INDEX(SP_CS_ShareCount,0,COLUMN()))/(C68/C48)-1))</f>
        <v/>
      </c>
      <c r="E118" s="1245">
        <f>IF(OR(INDEX(SP_CFA_FCF_PreDiv,0,COLUMN())&lt;=0,D68&lt;=0),"NMF",IF(ABS((INDEX(SP_CFA_FCF_PreDiv,0,COLUMN())/INDEX(SP_CS_ShareCount,0,COLUMN()))/(D68/D48)-1)&gt;10,"NMF",(INDEX(SP_CFA_FCF_PreDiv,0,COLUMN())/INDEX(SP_CS_ShareCount,0,COLUMN()))/(D68/D48)-1))</f>
        <v/>
      </c>
      <c r="F118" s="1245">
        <f>IF(OR(INDEX(SP_CFA_FCF_PreDiv,0,COLUMN())&lt;=0,E68&lt;=0),"NMF",IF(ABS((INDEX(SP_CFA_FCF_PreDiv,0,COLUMN())/INDEX(SP_CS_ShareCount,0,COLUMN()))/(E68/E48)-1)&gt;10,"NMF",(INDEX(SP_CFA_FCF_PreDiv,0,COLUMN())/INDEX(SP_CS_ShareCount,0,COLUMN()))/(E68/E48)-1))</f>
        <v/>
      </c>
      <c r="G118" s="129" t="n"/>
      <c r="H118" s="129" t="n"/>
      <c r="I118" s="129" t="n"/>
      <c r="J118" s="129" t="n"/>
      <c r="K118" s="1245">
        <f>IF(OR(INDEX(SP_CFA_FCF_PreDiv,0,COLUMN())&lt;=0,F68&lt;=0),"NMF",IF(ABS((INDEX(SP_CFA_FCF_PreDiv,0,COLUMN())/INDEX(SP_CS_ShareCount,0,COLUMN()))/(F68/F48)-1)&gt;10,"NMF",(INDEX(SP_CFA_FCF_PreDiv,0,COLUMN())/INDEX(SP_CS_ShareCount,0,COLUMN()))/(F68/F48)-1))</f>
        <v/>
      </c>
      <c r="L118" s="129">
        <f>IF(OR(INDEX(SP_CFA_FCF_PreDiv,0,COLUMN())&lt;=0,G68&lt;=0),"NMF",IF(ABS((INDEX(SP_CFA_FCF_PreDiv,0,COLUMN())/INDEX(SP_CS_ShareCount,0,COLUMN()))/(G68/G48)-1)&gt;10,"NMF",(INDEX(SP_CFA_FCF_PreDiv,0,COLUMN())/INDEX(SP_CS_ShareCount,0,COLUMN()))/(G68/G48)-1))</f>
        <v/>
      </c>
      <c r="M118" s="129">
        <f>IF(OR(INDEX(SP_CFA_FCF_PreDiv,0,COLUMN())&lt;=0,H68&lt;=0),"NMF",IF(ABS((INDEX(SP_CFA_FCF_PreDiv,0,COLUMN())/INDEX(SP_CS_ShareCount,0,COLUMN()))/(H68/H48)-1)&gt;10,"NMF",(INDEX(SP_CFA_FCF_PreDiv,0,COLUMN())/INDEX(SP_CS_ShareCount,0,COLUMN()))/(H68/H48)-1))</f>
        <v/>
      </c>
      <c r="N118" s="129">
        <f>IF(OR(INDEX(SP_CFA_FCF_PreDiv,0,COLUMN())&lt;=0,I68&lt;=0),"NMF",IF(ABS((INDEX(SP_CFA_FCF_PreDiv,0,COLUMN())/INDEX(SP_CS_ShareCount,0,COLUMN()))/(I68/I48)-1)&gt;10,"NMF",(INDEX(SP_CFA_FCF_PreDiv,0,COLUMN())/INDEX(SP_CS_ShareCount,0,COLUMN()))/(I68/I48)-1))</f>
        <v/>
      </c>
      <c r="O118" s="129">
        <f>IF(OR(INDEX(SP_CFA_FCF_PreDiv,0,COLUMN())&lt;=0,J68&lt;=0),"NMF",IF(ABS((INDEX(SP_CFA_FCF_PreDiv,0,COLUMN())/INDEX(SP_CS_ShareCount,0,COLUMN()))/(J68/J48)-1)&gt;10,"NMF",(INDEX(SP_CFA_FCF_PreDiv,0,COLUMN())/INDEX(SP_CS_ShareCount,0,COLUMN()))/(J68/J48)-1))</f>
        <v/>
      </c>
      <c r="P118" s="1245">
        <f>IF(OR(INDEX(SP_CFA_FCF_PreDiv,0,COLUMN())&lt;=0,K68&lt;=0),"NMF",IF(ABS((INDEX(SP_CFA_FCF_PreDiv,0,COLUMN())/INDEX(SP_CS_ShareCount,0,COLUMN()))/(K68/K48)-1)&gt;10,"NMF",(INDEX(SP_CFA_FCF_PreDiv,0,COLUMN())/INDEX(SP_CS_ShareCount,0,COLUMN()))/(K68/K48)-1))</f>
        <v/>
      </c>
      <c r="Q118" s="129">
        <f>IF(OR(INDEX(SP_CFA_FCF_PreDiv,0,COLUMN())&lt;=0,L68&lt;=0),"NMF",IF(ABS((INDEX(SP_CFA_FCF_PreDiv,0,COLUMN())/INDEX(SP_CS_ShareCount,0,COLUMN()))/(L68/L48)-1)&gt;10,"NMF",(INDEX(SP_CFA_FCF_PreDiv,0,COLUMN())/INDEX(SP_CS_ShareCount,0,COLUMN()))/(L68/L48)-1))</f>
        <v/>
      </c>
      <c r="R118" s="129">
        <f>IF(OR(INDEX(SP_CFA_FCF_PreDiv,0,COLUMN())&lt;=0,M68&lt;=0),"NMF",IF(ABS((INDEX(SP_CFA_FCF_PreDiv,0,COLUMN())/INDEX(SP_CS_ShareCount,0,COLUMN()))/(M68/M48)-1)&gt;10,"NMF",(INDEX(SP_CFA_FCF_PreDiv,0,COLUMN())/INDEX(SP_CS_ShareCount,0,COLUMN()))/(M68/M48)-1))</f>
        <v/>
      </c>
      <c r="S118" s="129">
        <f>IF(OR(INDEX(SP_CFA_FCF_PreDiv,0,COLUMN())&lt;=0,N68&lt;=0),"NMF",IF(ABS((INDEX(SP_CFA_FCF_PreDiv,0,COLUMN())/INDEX(SP_CS_ShareCount,0,COLUMN()))/(N68/N48)-1)&gt;10,"NMF",(INDEX(SP_CFA_FCF_PreDiv,0,COLUMN())/INDEX(SP_CS_ShareCount,0,COLUMN()))/(N68/N48)-1))</f>
        <v/>
      </c>
      <c r="T118" s="129">
        <f>IF(OR(INDEX(SP_CFA_FCF_PreDiv,0,COLUMN())&lt;=0,O68&lt;=0),"NMF",IF(ABS((INDEX(SP_CFA_FCF_PreDiv,0,COLUMN())/INDEX(SP_CS_ShareCount,0,COLUMN()))/(O68/O48)-1)&gt;10,"NMF",(INDEX(SP_CFA_FCF_PreDiv,0,COLUMN())/INDEX(SP_CS_ShareCount,0,COLUMN()))/(O68/O48)-1))</f>
        <v/>
      </c>
      <c r="U118" s="1245">
        <f>IF(OR(INDEX(SP_CFA_FCF_PreDiv,0,COLUMN())&lt;=0,P68&lt;=0),"NMF",IF(ABS((INDEX(SP_CFA_FCF_PreDiv,0,COLUMN())/INDEX(SP_CS_ShareCount,0,COLUMN()))/(P68/P48)-1)&gt;10,"NMF",(INDEX(SP_CFA_FCF_PreDiv,0,COLUMN())/INDEX(SP_CS_ShareCount,0,COLUMN()))/(P68/P48)-1))</f>
        <v/>
      </c>
      <c r="V118" s="129">
        <f>IF(OR(INDEX(SP_CFA_FCF_PreDiv,0,COLUMN())&lt;=0,Q68&lt;=0),"NMF",IF(ABS((INDEX(SP_CFA_FCF_PreDiv,0,COLUMN())/INDEX(SP_CS_ShareCount,0,COLUMN()))/(Q68/Q48)-1)&gt;10,"NMF",(INDEX(SP_CFA_FCF_PreDiv,0,COLUMN())/INDEX(SP_CS_ShareCount,0,COLUMN()))/(Q68/Q48)-1))</f>
        <v/>
      </c>
      <c r="W118" s="129">
        <f>IF(OR(INDEX(SP_CFA_FCF_PreDiv,0,COLUMN())&lt;=0,R68&lt;=0),"NMF",IF(ABS((INDEX(SP_CFA_FCF_PreDiv,0,COLUMN())/INDEX(SP_CS_ShareCount,0,COLUMN()))/(R68/R48)-1)&gt;10,"NMF",(INDEX(SP_CFA_FCF_PreDiv,0,COLUMN())/INDEX(SP_CS_ShareCount,0,COLUMN()))/(R68/R48)-1))</f>
        <v/>
      </c>
      <c r="X118" s="129">
        <f>IF(OR(INDEX(SP_CFA_FCF_PreDiv,0,COLUMN())&lt;=0,S68&lt;=0),"NMF",IF(ABS((INDEX(SP_CFA_FCF_PreDiv,0,COLUMN())/INDEX(SP_CS_ShareCount,0,COLUMN()))/(S68/S48)-1)&gt;10,"NMF",(INDEX(SP_CFA_FCF_PreDiv,0,COLUMN())/INDEX(SP_CS_ShareCount,0,COLUMN()))/(S68/S48)-1))</f>
        <v/>
      </c>
      <c r="Y118" s="129">
        <f>IF(OR(INDEX(SP_CFA_FCF_PreDiv,0,COLUMN())&lt;=0,T68&lt;=0),"NMF",IF(ABS((INDEX(SP_CFA_FCF_PreDiv,0,COLUMN())/INDEX(SP_CS_ShareCount,0,COLUMN()))/(T68/T48)-1)&gt;10,"NMF",(INDEX(SP_CFA_FCF_PreDiv,0,COLUMN())/INDEX(SP_CS_ShareCount,0,COLUMN()))/(T68/T48)-1))</f>
        <v/>
      </c>
      <c r="Z118" s="1245">
        <f>IF(OR(INDEX(SP_CFA_FCF_PreDiv,0,COLUMN())&lt;=0,U68&lt;=0),"NMF",IF(ABS((INDEX(SP_CFA_FCF_PreDiv,0,COLUMN())/INDEX(SP_CS_ShareCount,0,COLUMN()))/(U68/U48)-1)&gt;10,"NMF",(INDEX(SP_CFA_FCF_PreDiv,0,COLUMN())/INDEX(SP_CS_ShareCount,0,COLUMN()))/(U68/U48)-1))</f>
        <v/>
      </c>
      <c r="AA118" s="129">
        <f>IF(OR(INDEX(SP_CFA_FCF_PreDiv,0,COLUMN())&lt;=0,V68&lt;=0),"NMF",IF(ABS((INDEX(SP_CFA_FCF_PreDiv,0,COLUMN())/INDEX(SP_CS_ShareCount,0,COLUMN()))/(V68/V48)-1)&gt;10,"NMF",(INDEX(SP_CFA_FCF_PreDiv,0,COLUMN())/INDEX(SP_CS_ShareCount,0,COLUMN()))/(V68/V48)-1))</f>
        <v/>
      </c>
      <c r="AB118" s="129">
        <f>IF(OR(INDEX(SP_CFA_FCF_PreDiv,0,COLUMN())&lt;=0,W68&lt;=0),"NMF",IF(ABS((INDEX(SP_CFA_FCF_PreDiv,0,COLUMN())/INDEX(SP_CS_ShareCount,0,COLUMN()))/(W68/W48)-1)&gt;10,"NMF",(INDEX(SP_CFA_FCF_PreDiv,0,COLUMN())/INDEX(SP_CS_ShareCount,0,COLUMN()))/(W68/W48)-1))</f>
        <v/>
      </c>
      <c r="AC118" s="129">
        <f>IF(OR(INDEX(SP_CFA_FCF_PreDiv,0,COLUMN())&lt;=0,X68&lt;=0),"NMF",IF(ABS((INDEX(SP_CFA_FCF_PreDiv,0,COLUMN())/INDEX(SP_CS_ShareCount,0,COLUMN()))/(X68/X48)-1)&gt;10,"NMF",(INDEX(SP_CFA_FCF_PreDiv,0,COLUMN())/INDEX(SP_CS_ShareCount,0,COLUMN()))/(X68/X48)-1))</f>
        <v/>
      </c>
      <c r="AD118" s="129">
        <f>IF(OR(INDEX(SP_CFA_FCF_PreDiv,0,COLUMN())&lt;=0,Y68&lt;=0),"NMF",IF(ABS((INDEX(SP_CFA_FCF_PreDiv,0,COLUMN())/INDEX(SP_CS_ShareCount,0,COLUMN()))/(Y68/Y48)-1)&gt;10,"NMF",(INDEX(SP_CFA_FCF_PreDiv,0,COLUMN())/INDEX(SP_CS_ShareCount,0,COLUMN()))/(Y68/Y48)-1))</f>
        <v/>
      </c>
      <c r="AE118" s="1245">
        <f>IF(OR(INDEX(SP_CFA_FCF_PreDiv,0,COLUMN())&lt;=0,Z68&lt;=0),"NMF",IF(ABS((INDEX(SP_CFA_FCF_PreDiv,0,COLUMN())/INDEX(SP_CS_ShareCount,0,COLUMN()))/(Z68/Z48)-1)&gt;10,"NMF",(INDEX(SP_CFA_FCF_PreDiv,0,COLUMN())/INDEX(SP_CS_ShareCount,0,COLUMN()))/(Z68/Z48)-1))</f>
        <v/>
      </c>
      <c r="AF118" s="129">
        <f>IF(OR(INDEX(SP_CFA_FCF_PreDiv,0,COLUMN())&lt;=0,AA68&lt;=0),"NMF",IF(ABS((INDEX(SP_CFA_FCF_PreDiv,0,COLUMN())/INDEX(SP_CS_ShareCount,0,COLUMN()))/(AA68/AA48)-1)&gt;10,"NMF",(INDEX(SP_CFA_FCF_PreDiv,0,COLUMN())/INDEX(SP_CS_ShareCount,0,COLUMN()))/(AA68/AA48)-1))</f>
        <v/>
      </c>
      <c r="AG118" s="129">
        <f>IF(OR(INDEX(SP_CFA_FCF_PreDiv,0,COLUMN())&lt;=0,AB68&lt;=0),"NMF",IF(ABS((INDEX(SP_CFA_FCF_PreDiv,0,COLUMN())/INDEX(SP_CS_ShareCount,0,COLUMN()))/(AB68/AB48)-1)&gt;10,"NMF",(INDEX(SP_CFA_FCF_PreDiv,0,COLUMN())/INDEX(SP_CS_ShareCount,0,COLUMN()))/(AB68/AB48)-1))</f>
        <v/>
      </c>
      <c r="AH118" s="129">
        <f>IF(OR(INDEX(SP_CFA_FCF_PreDiv,0,COLUMN())&lt;=0,AC68&lt;=0),"NMF",IF(ABS((INDEX(SP_CFA_FCF_PreDiv,0,COLUMN())/INDEX(SP_CS_ShareCount,0,COLUMN()))/(AC68/AC48)-1)&gt;10,"NMF",(INDEX(SP_CFA_FCF_PreDiv,0,COLUMN())/INDEX(SP_CS_ShareCount,0,COLUMN()))/(AC68/AC48)-1))</f>
        <v/>
      </c>
      <c r="AI118" s="129">
        <f>IF(OR(INDEX(SP_CFA_FCF_PreDiv,0,COLUMN())&lt;=0,AD68&lt;=0),"NMF",IF(ABS((INDEX(SP_CFA_FCF_PreDiv,0,COLUMN())/INDEX(SP_CS_ShareCount,0,COLUMN()))/(AD68/AD48)-1)&gt;10,"NMF",(INDEX(SP_CFA_FCF_PreDiv,0,COLUMN())/INDEX(SP_CS_ShareCount,0,COLUMN()))/(AD68/AD48)-1))</f>
        <v/>
      </c>
      <c r="AJ118" s="1245">
        <f>IF(OR(INDEX(SP_CFA_FCF_PreDiv,0,COLUMN())&lt;=0,AE68&lt;=0),"NMF",IF(ABS((INDEX(SP_CFA_FCF_PreDiv,0,COLUMN())/INDEX(SP_CS_ShareCount,0,COLUMN()))/(AE68/AE48)-1)&gt;10,"NMF",(INDEX(SP_CFA_FCF_PreDiv,0,COLUMN())/INDEX(SP_CS_ShareCount,0,COLUMN()))/(AE68/AE48)-1))</f>
        <v/>
      </c>
      <c r="AK118" s="129">
        <f>IF(OR(INDEX(SP_CFA_FCF_PreDiv,0,COLUMN())&lt;=0,AF68&lt;=0),"NMF",IF(ABS((INDEX(SP_CFA_FCF_PreDiv,0,COLUMN())/INDEX(SP_CS_ShareCount,0,COLUMN()))/(AF68/AF48)-1)&gt;10,"NMF",(INDEX(SP_CFA_FCF_PreDiv,0,COLUMN())/INDEX(SP_CS_ShareCount,0,COLUMN()))/(AF68/AF48)-1))</f>
        <v/>
      </c>
      <c r="AL118" s="129">
        <f>IF(OR(INDEX(SP_CFA_FCF_PreDiv,0,COLUMN())&lt;=0,AG68&lt;=0),"NMF",IF(ABS((INDEX(SP_CFA_FCF_PreDiv,0,COLUMN())/INDEX(SP_CS_ShareCount,0,COLUMN()))/(AG68/AG48)-1)&gt;10,"NMF",(INDEX(SP_CFA_FCF_PreDiv,0,COLUMN())/INDEX(SP_CS_ShareCount,0,COLUMN()))/(AG68/AG48)-1))</f>
        <v/>
      </c>
      <c r="AM118" s="129">
        <f>IF(OR(INDEX(SP_CFA_FCF_PreDiv,0,COLUMN())&lt;=0,AH68&lt;=0),"NMF",IF(ABS((INDEX(SP_CFA_FCF_PreDiv,0,COLUMN())/INDEX(SP_CS_ShareCount,0,COLUMN()))/(AH68/AH48)-1)&gt;10,"NMF",(INDEX(SP_CFA_FCF_PreDiv,0,COLUMN())/INDEX(SP_CS_ShareCount,0,COLUMN()))/(AH68/AH48)-1))</f>
        <v/>
      </c>
      <c r="AN118" s="129">
        <f>IF(OR(INDEX(SP_CFA_FCF_PreDiv,0,COLUMN())&lt;=0,AI68&lt;=0),"NMF",IF(ABS((INDEX(SP_CFA_FCF_PreDiv,0,COLUMN())/INDEX(SP_CS_ShareCount,0,COLUMN()))/(AI68/AI48)-1)&gt;10,"NMF",(INDEX(SP_CFA_FCF_PreDiv,0,COLUMN())/INDEX(SP_CS_ShareCount,0,COLUMN()))/(AI68/AI48)-1))</f>
        <v/>
      </c>
      <c r="AO118" s="1245">
        <f>IF(OR(INDEX(SP_CFA_FCF_PreDiv,0,COLUMN())&lt;=0,AJ68&lt;=0),"NMF",IF(ABS((INDEX(SP_CFA_FCF_PreDiv,0,COLUMN())/INDEX(SP_CS_ShareCount,0,COLUMN()))/(AJ68/AJ48)-1)&gt;10,"NMF",(INDEX(SP_CFA_FCF_PreDiv,0,COLUMN())/INDEX(SP_CS_ShareCount,0,COLUMN()))/(AJ68/AJ48)-1))</f>
        <v/>
      </c>
      <c r="AP118" s="129">
        <f>IF(OR(INDEX(SP_CFA_FCF_PreDiv,0,COLUMN())&lt;=0,AK68&lt;=0),"NMF",IF(ABS((INDEX(SP_CFA_FCF_PreDiv,0,COLUMN())/INDEX(SP_CS_ShareCount,0,COLUMN()))/(AK68/AK48)-1)&gt;10,"NMF",(INDEX(SP_CFA_FCF_PreDiv,0,COLUMN())/INDEX(SP_CS_ShareCount,0,COLUMN()))/(AK68/AK48)-1))</f>
        <v/>
      </c>
      <c r="AQ118" s="129">
        <f>IF(OR(INDEX(SP_CFA_FCF_PreDiv,0,COLUMN())&lt;=0,AL68&lt;=0),"NMF",IF(ABS((INDEX(SP_CFA_FCF_PreDiv,0,COLUMN())/INDEX(SP_CS_ShareCount,0,COLUMN()))/(AL68/AL48)-1)&gt;10,"NMF",(INDEX(SP_CFA_FCF_PreDiv,0,COLUMN())/INDEX(SP_CS_ShareCount,0,COLUMN()))/(AL68/AL48)-1))</f>
        <v/>
      </c>
      <c r="AR118" s="129">
        <f>IF(OR(INDEX(SP_CFA_FCF_PreDiv,0,COLUMN())&lt;=0,AM68&lt;=0),"NMF",IF(ABS((INDEX(SP_CFA_FCF_PreDiv,0,COLUMN())/INDEX(SP_CS_ShareCount,0,COLUMN()))/(AM68/AM48)-1)&gt;10,"NMF",(INDEX(SP_CFA_FCF_PreDiv,0,COLUMN())/INDEX(SP_CS_ShareCount,0,COLUMN()))/(AM68/AM48)-1))</f>
        <v/>
      </c>
      <c r="AS118" s="129">
        <f>IF(OR(INDEX(SP_CFA_FCF_PreDiv,0,COLUMN())&lt;=0,AN68&lt;=0),"NMF",IF(ABS((INDEX(SP_CFA_FCF_PreDiv,0,COLUMN())/INDEX(SP_CS_ShareCount,0,COLUMN()))/(AN68/AN48)-1)&gt;10,"NMF",(INDEX(SP_CFA_FCF_PreDiv,0,COLUMN())/INDEX(SP_CS_ShareCount,0,COLUMN()))/(AN68/AN48)-1))</f>
        <v/>
      </c>
      <c r="AT118" s="1245">
        <f>IF(OR(INDEX(SP_CFA_FCF_PreDiv,0,COLUMN())&lt;=0,AO68&lt;=0),"NMF",IF(ABS((INDEX(SP_CFA_FCF_PreDiv,0,COLUMN())/INDEX(SP_CS_ShareCount,0,COLUMN()))/(AO68/AO48)-1)&gt;10,"NMF",(INDEX(SP_CFA_FCF_PreDiv,0,COLUMN())/INDEX(SP_CS_ShareCount,0,COLUMN()))/(AO68/AO48)-1))</f>
        <v/>
      </c>
      <c r="AU118" s="129">
        <f>IF(OR(INDEX(SP_CFA_FCF_PreDiv,0,COLUMN())&lt;=0,AP68&lt;=0),"NMF",IF(ABS((INDEX(SP_CFA_FCF_PreDiv,0,COLUMN())/INDEX(SP_CS_ShareCount,0,COLUMN()))/(AP68/AP48)-1)&gt;10,"NMF",(INDEX(SP_CFA_FCF_PreDiv,0,COLUMN())/INDEX(SP_CS_ShareCount,0,COLUMN()))/(AP68/AP48)-1))</f>
        <v/>
      </c>
      <c r="AV118" s="129">
        <f>IF(OR(INDEX(SP_CFA_FCF_PreDiv,0,COLUMN())&lt;=0,AQ68&lt;=0),"NMF",IF(ABS((INDEX(SP_CFA_FCF_PreDiv,0,COLUMN())/INDEX(SP_CS_ShareCount,0,COLUMN()))/(AQ68/AQ48)-1)&gt;10,"NMF",(INDEX(SP_CFA_FCF_PreDiv,0,COLUMN())/INDEX(SP_CS_ShareCount,0,COLUMN()))/(AQ68/AQ48)-1))</f>
        <v/>
      </c>
      <c r="AW118" s="129">
        <f>IF(OR(INDEX(SP_CFA_FCF_PreDiv,0,COLUMN())&lt;=0,AR68&lt;=0),"NMF",IF(ABS((INDEX(SP_CFA_FCF_PreDiv,0,COLUMN())/INDEX(SP_CS_ShareCount,0,COLUMN()))/(AR68/AR48)-1)&gt;10,"NMF",(INDEX(SP_CFA_FCF_PreDiv,0,COLUMN())/INDEX(SP_CS_ShareCount,0,COLUMN()))/(AR68/AR48)-1))</f>
        <v/>
      </c>
      <c r="AX118" s="129">
        <f>IF(OR(INDEX(SP_CFA_FCF_PreDiv,0,COLUMN())&lt;=0,AS68&lt;=0),"NMF",IF(ABS((INDEX(SP_CFA_FCF_PreDiv,0,COLUMN())/INDEX(SP_CS_ShareCount,0,COLUMN()))/(AS68/AS48)-1)&gt;10,"NMF",(INDEX(SP_CFA_FCF_PreDiv,0,COLUMN())/INDEX(SP_CS_ShareCount,0,COLUMN()))/(AS68/AS48)-1))</f>
        <v/>
      </c>
      <c r="AY118" s="1245">
        <f>IF(OR(INDEX(SP_CFA_FCF_PreDiv,0,COLUMN())&lt;=0,AT68&lt;=0),"NMF",IF(ABS((INDEX(SP_CFA_FCF_PreDiv,0,COLUMN())/INDEX(SP_CS_ShareCount,0,COLUMN()))/(AT68/AT48)-1)&gt;10,"NMF",(INDEX(SP_CFA_FCF_PreDiv,0,COLUMN())/INDEX(SP_CS_ShareCount,0,COLUMN()))/(AT68/AT48)-1))</f>
        <v/>
      </c>
      <c r="AZ118" s="129">
        <f>IF(OR(INDEX(SP_CFA_FCF_PreDiv,0,COLUMN())&lt;=0,AU68&lt;=0),"NMF",IF(ABS((INDEX(SP_CFA_FCF_PreDiv,0,COLUMN())/INDEX(SP_CS_ShareCount,0,COLUMN()))/(AU68/AU48)-1)&gt;10,"NMF",(INDEX(SP_CFA_FCF_PreDiv,0,COLUMN())/INDEX(SP_CS_ShareCount,0,COLUMN()))/(AU68/AU48)-1))</f>
        <v/>
      </c>
      <c r="BA118" s="129">
        <f>IF(OR(INDEX(SP_CFA_FCF_PreDiv,0,COLUMN())&lt;=0,AV68&lt;=0),"NMF",IF(ABS((INDEX(SP_CFA_FCF_PreDiv,0,COLUMN())/INDEX(SP_CS_ShareCount,0,COLUMN()))/(AV68/AV48)-1)&gt;10,"NMF",(INDEX(SP_CFA_FCF_PreDiv,0,COLUMN())/INDEX(SP_CS_ShareCount,0,COLUMN()))/(AV68/AV48)-1))</f>
        <v/>
      </c>
      <c r="BB118" s="129">
        <f>IF(OR(INDEX(SP_CFA_FCF_PreDiv,0,COLUMN())&lt;=0,AW68&lt;=0),"NMF",IF(ABS((INDEX(SP_CFA_FCF_PreDiv,0,COLUMN())/INDEX(SP_CS_ShareCount,0,COLUMN()))/(AW68/AW48)-1)&gt;10,"NMF",(INDEX(SP_CFA_FCF_PreDiv,0,COLUMN())/INDEX(SP_CS_ShareCount,0,COLUMN()))/(AW68/AW48)-1))</f>
        <v/>
      </c>
      <c r="BC118" s="129">
        <f>IF(OR(INDEX(SP_CFA_FCF_PreDiv,0,COLUMN())&lt;=0,AX68&lt;=0),"NMF",IF(ABS((INDEX(SP_CFA_FCF_PreDiv,0,COLUMN())/INDEX(SP_CS_ShareCount,0,COLUMN()))/(AX68/AX48)-1)&gt;10,"NMF",(INDEX(SP_CFA_FCF_PreDiv,0,COLUMN())/INDEX(SP_CS_ShareCount,0,COLUMN()))/(AX68/AX48)-1))</f>
        <v/>
      </c>
      <c r="BD118" s="1245">
        <f>IF(OR(INDEX(SP_CFA_FCF_PreDiv,0,COLUMN())&lt;=0,AY68&lt;=0),"NMF",IF(ABS((INDEX(SP_CFA_FCF_PreDiv,0,COLUMN())/INDEX(SP_CS_ShareCount,0,COLUMN()))/(AY68/AY48)-1)&gt;10,"NMF",(INDEX(SP_CFA_FCF_PreDiv,0,COLUMN())/INDEX(SP_CS_ShareCount,0,COLUMN()))/(AY68/AY48)-1))</f>
        <v/>
      </c>
      <c r="BE118" s="129">
        <f>IF(OR(INDEX(SP_CFA_FCF_PreDiv,0,COLUMN())&lt;=0,AZ68&lt;=0),"NMF",IF(ABS((INDEX(SP_CFA_FCF_PreDiv,0,COLUMN())/INDEX(SP_CS_ShareCount,0,COLUMN()))/(AZ68/AZ48)-1)&gt;10,"NMF",(INDEX(SP_CFA_FCF_PreDiv,0,COLUMN())/INDEX(SP_CS_ShareCount,0,COLUMN()))/(AZ68/AZ48)-1))</f>
        <v/>
      </c>
      <c r="BF118" s="129">
        <f>IF(OR(INDEX(SP_CFA_FCF_PreDiv,0,COLUMN())&lt;=0,BA68&lt;=0),"NMF",IF(ABS((INDEX(SP_CFA_FCF_PreDiv,0,COLUMN())/INDEX(SP_CS_ShareCount,0,COLUMN()))/(BA68/BA48)-1)&gt;10,"NMF",(INDEX(SP_CFA_FCF_PreDiv,0,COLUMN())/INDEX(SP_CS_ShareCount,0,COLUMN()))/(BA68/BA48)-1))</f>
        <v/>
      </c>
      <c r="BG118" s="129">
        <f>IF(OR(INDEX(SP_CFA_FCF_PreDiv,0,COLUMN())&lt;=0,BB68&lt;=0),"NMF",IF(ABS((INDEX(SP_CFA_FCF_PreDiv,0,COLUMN())/INDEX(SP_CS_ShareCount,0,COLUMN()))/(BB68/BB48)-1)&gt;10,"NMF",(INDEX(SP_CFA_FCF_PreDiv,0,COLUMN())/INDEX(SP_CS_ShareCount,0,COLUMN()))/(BB68/BB48)-1))</f>
        <v/>
      </c>
      <c r="BH118" s="129">
        <f>IF(OR(INDEX(SP_CFA_FCF_PreDiv,0,COLUMN())&lt;=0,BC68&lt;=0),"NMF",IF(ABS((INDEX(SP_CFA_FCF_PreDiv,0,COLUMN())/INDEX(SP_CS_ShareCount,0,COLUMN()))/(BC68/BC48)-1)&gt;10,"NMF",(INDEX(SP_CFA_FCF_PreDiv,0,COLUMN())/INDEX(SP_CS_ShareCount,0,COLUMN()))/(BC68/BC48)-1))</f>
        <v/>
      </c>
      <c r="BI118" s="1245">
        <f>IF(OR(INDEX(SP_CFA_FCF_PreDiv,0,COLUMN())&lt;=0,BD68&lt;=0),"NMF",IF(ABS((INDEX(SP_CFA_FCF_PreDiv,0,COLUMN())/INDEX(SP_CS_ShareCount,0,COLUMN()))/(BD68/BD48)-1)&gt;10,"NMF",(INDEX(SP_CFA_FCF_PreDiv,0,COLUMN())/INDEX(SP_CS_ShareCount,0,COLUMN()))/(BD68/BD48)-1))</f>
        <v/>
      </c>
      <c r="BJ118" s="129">
        <f>IF(OR(INDEX(SP_CFA_FCF_PreDiv,0,COLUMN())&lt;=0,BE68&lt;=0),"NMF",IF(ABS((INDEX(SP_CFA_FCF_PreDiv,0,COLUMN())/INDEX(SP_CS_ShareCount,0,COLUMN()))/(BE68/BE48)-1)&gt;10,"NMF",(INDEX(SP_CFA_FCF_PreDiv,0,COLUMN())/INDEX(SP_CS_ShareCount,0,COLUMN()))/(BE68/BE48)-1))</f>
        <v/>
      </c>
      <c r="BK118" s="129">
        <f>IF(OR(INDEX(SP_CFA_FCF_PreDiv,0,COLUMN())&lt;=0,BF68&lt;=0),"NMF",IF(ABS((INDEX(SP_CFA_FCF_PreDiv,0,COLUMN())/INDEX(SP_CS_ShareCount,0,COLUMN()))/(BF68/BF48)-1)&gt;10,"NMF",(INDEX(SP_CFA_FCF_PreDiv,0,COLUMN())/INDEX(SP_CS_ShareCount,0,COLUMN()))/(BF68/BF48)-1))</f>
        <v/>
      </c>
      <c r="BL118" s="129">
        <f>IF(OR(INDEX(SP_CFA_FCF_PreDiv,0,COLUMN())&lt;=0,BG68&lt;=0),"NMF",IF(ABS((INDEX(SP_CFA_FCF_PreDiv,0,COLUMN())/INDEX(SP_CS_ShareCount,0,COLUMN()))/(BG68/BG48)-1)&gt;10,"NMF",(INDEX(SP_CFA_FCF_PreDiv,0,COLUMN())/INDEX(SP_CS_ShareCount,0,COLUMN()))/(BG68/BG48)-1))</f>
        <v/>
      </c>
      <c r="BM118" s="129">
        <f>IF(OR(INDEX(SP_CFA_FCF_PreDiv,0,COLUMN())&lt;=0,BH68&lt;=0),"NMF",IF(ABS((INDEX(SP_CFA_FCF_PreDiv,0,COLUMN())/INDEX(SP_CS_ShareCount,0,COLUMN()))/(BH68/BH48)-1)&gt;10,"NMF",(INDEX(SP_CFA_FCF_PreDiv,0,COLUMN())/INDEX(SP_CS_ShareCount,0,COLUMN()))/(BH68/BH48)-1))</f>
        <v/>
      </c>
      <c r="BN118" s="1245">
        <f>IF(OR(INDEX(SP_CFA_FCF_PreDiv,0,COLUMN())&lt;=0,BI68&lt;=0),"NMF",IF(ABS((INDEX(SP_CFA_FCF_PreDiv,0,COLUMN())/INDEX(SP_CS_ShareCount,0,COLUMN()))/(BI68/BI48)-1)&gt;10,"NMF",(INDEX(SP_CFA_FCF_PreDiv,0,COLUMN())/INDEX(SP_CS_ShareCount,0,COLUMN()))/(BI68/BI48)-1))</f>
        <v/>
      </c>
      <c r="BO118" s="129">
        <f>IF(OR(INDEX(SP_CFA_FCF_PreDiv,0,COLUMN())&lt;=0,BJ68&lt;=0),"NMF",IF(ABS((INDEX(SP_CFA_FCF_PreDiv,0,COLUMN())/INDEX(SP_CS_ShareCount,0,COLUMN()))/(BJ68/BJ48)-1)&gt;10,"NMF",(INDEX(SP_CFA_FCF_PreDiv,0,COLUMN())/INDEX(SP_CS_ShareCount,0,COLUMN()))/(BJ68/BJ48)-1))</f>
        <v/>
      </c>
      <c r="BP118" s="129">
        <f>IF(OR(INDEX(SP_CFA_FCF_PreDiv,0,COLUMN())&lt;=0,BK68&lt;=0),"NMF",IF(ABS((INDEX(SP_CFA_FCF_PreDiv,0,COLUMN())/INDEX(SP_CS_ShareCount,0,COLUMN()))/(BK68/BK48)-1)&gt;10,"NMF",(INDEX(SP_CFA_FCF_PreDiv,0,COLUMN())/INDEX(SP_CS_ShareCount,0,COLUMN()))/(BK68/BK48)-1))</f>
        <v/>
      </c>
      <c r="BQ118" s="129">
        <f>IF(OR(INDEX(SP_CFA_FCF_PreDiv,0,COLUMN())&lt;=0,BL68&lt;=0),"NMF",IF(ABS((INDEX(SP_CFA_FCF_PreDiv,0,COLUMN())/INDEX(SP_CS_ShareCount,0,COLUMN()))/(BL68/BL48)-1)&gt;10,"NMF",(INDEX(SP_CFA_FCF_PreDiv,0,COLUMN())/INDEX(SP_CS_ShareCount,0,COLUMN()))/(BL68/BL48)-1))</f>
        <v/>
      </c>
      <c r="BR118" s="129">
        <f>IF(OR(INDEX(SP_CFA_FCF_PreDiv,0,COLUMN())&lt;=0,BM68&lt;=0),"NMF",IF(ABS((INDEX(SP_CFA_FCF_PreDiv,0,COLUMN())/INDEX(SP_CS_ShareCount,0,COLUMN()))/(BM68/BM48)-1)&gt;10,"NMF",(INDEX(SP_CFA_FCF_PreDiv,0,COLUMN())/INDEX(SP_CS_ShareCount,0,COLUMN()))/(BM68/BM48)-1))</f>
        <v/>
      </c>
      <c r="BS118" s="1245">
        <f>IF(OR(INDEX(SP_CFA_FCF_PreDiv,0,COLUMN())&lt;=0,BN68&lt;=0),"NMF",IF(ABS((INDEX(SP_CFA_FCF_PreDiv,0,COLUMN())/INDEX(SP_CS_ShareCount,0,COLUMN()))/(BN68/BN48)-1)&gt;10,"NMF",(INDEX(SP_CFA_FCF_PreDiv,0,COLUMN())/INDEX(SP_CS_ShareCount,0,COLUMN()))/(BN68/BN48)-1))</f>
        <v/>
      </c>
      <c r="BT118" s="129">
        <f>IF(OR(INDEX(SP_CFA_FCF_PreDiv,0,COLUMN())&lt;=0,BO68&lt;=0),"NMF",IF(ABS((INDEX(SP_CFA_FCF_PreDiv,0,COLUMN())/INDEX(SP_CS_ShareCount,0,COLUMN()))/(BO68/BO48)-1)&gt;10,"NMF",(INDEX(SP_CFA_FCF_PreDiv,0,COLUMN())/INDEX(SP_CS_ShareCount,0,COLUMN()))/(BO68/BO48)-1))</f>
        <v/>
      </c>
      <c r="BU118" s="129">
        <f>IF(OR(INDEX(SP_CFA_FCF_PreDiv,0,COLUMN())&lt;=0,BP68&lt;=0),"NMF",IF(ABS((INDEX(SP_CFA_FCF_PreDiv,0,COLUMN())/INDEX(SP_CS_ShareCount,0,COLUMN()))/(BP68/BP48)-1)&gt;10,"NMF",(INDEX(SP_CFA_FCF_PreDiv,0,COLUMN())/INDEX(SP_CS_ShareCount,0,COLUMN()))/(BP68/BP48)-1))</f>
        <v/>
      </c>
      <c r="BV118" s="946">
        <f>IF(OR(INDEX(SP_CFA_FCF_PreDiv,0,COLUMN())&lt;=0,BQ68&lt;=0),"NMF",IF(ABS((INDEX(SP_CFA_FCF_PreDiv,0,COLUMN())/INDEX(SP_CS_ShareCount,0,COLUMN()))/(BQ68/BQ48)-1)&gt;10,"NMF",(INDEX(SP_CFA_FCF_PreDiv,0,COLUMN())/INDEX(SP_CS_ShareCount,0,COLUMN()))/(BQ68/BQ48)-1))</f>
        <v/>
      </c>
      <c r="BW118" s="129">
        <f>IF(OR(INDEX(SP_CFA_FCF_PreDiv,0,COLUMN())&lt;=0,BR68&lt;=0),"NMF",IF(ABS((INDEX(SP_CFA_FCF_PreDiv,0,COLUMN())/INDEX(SP_CS_ShareCount,0,COLUMN()))/(BR68/BR48)-1)&gt;10,"NMF",(INDEX(SP_CFA_FCF_PreDiv,0,COLUMN())/INDEX(SP_CS_ShareCount,0,COLUMN()))/(BR68/BR48)-1))</f>
        <v/>
      </c>
      <c r="BX118" s="1245">
        <f>IF(OR(INDEX(SP_CFA_FCF_PreDiv,0,COLUMN())&lt;=0,BS68&lt;=0),"NMF",IF(ABS((INDEX(SP_CFA_FCF_PreDiv,0,COLUMN())/INDEX(SP_CS_ShareCount,0,COLUMN()))/(BS68/BS48)-1)&gt;10,"NMF",(INDEX(SP_CFA_FCF_PreDiv,0,COLUMN())/INDEX(SP_CS_ShareCount,0,COLUMN()))/(BS68/BS48)-1))</f>
        <v/>
      </c>
      <c r="BY118" s="129">
        <f>IF(OR(INDEX(SP_CFA_FCF_PreDiv,0,COLUMN())&lt;=0,BT68&lt;=0),"NMF",IF(ABS((INDEX(SP_CFA_FCF_PreDiv,0,COLUMN())/INDEX(SP_CS_ShareCount,0,COLUMN()))/(BT68/BT48)-1)&gt;10,"NMF",(INDEX(SP_CFA_FCF_PreDiv,0,COLUMN())/INDEX(SP_CS_ShareCount,0,COLUMN()))/(BT68/BT48)-1))</f>
        <v/>
      </c>
      <c r="BZ118" s="129">
        <f>IF(OR(INDEX(SP_CFA_FCF_PreDiv,0,COLUMN())&lt;=0,BU68&lt;=0),"NMF",IF(ABS((INDEX(SP_CFA_FCF_PreDiv,0,COLUMN())/INDEX(SP_CS_ShareCount,0,COLUMN()))/(BU68/BU48)-1)&gt;10,"NMF",(INDEX(SP_CFA_FCF_PreDiv,0,COLUMN())/INDEX(SP_CS_ShareCount,0,COLUMN()))/(BU68/BU48)-1))</f>
        <v/>
      </c>
      <c r="CA118" s="129">
        <f>IF(OR(INDEX(SP_CFA_FCF_PreDiv,0,COLUMN())&lt;=0,BV68&lt;=0),"NMF",IF(ABS((INDEX(SP_CFA_FCF_PreDiv,0,COLUMN())/INDEX(SP_CS_ShareCount,0,COLUMN()))/(BV68/BV48)-1)&gt;10,"NMF",(INDEX(SP_CFA_FCF_PreDiv,0,COLUMN())/INDEX(SP_CS_ShareCount,0,COLUMN()))/(BV68/BV48)-1))</f>
        <v/>
      </c>
      <c r="CB118" s="129">
        <f>IF(OR(INDEX(SP_CFA_FCF_PreDiv,0,COLUMN())&lt;=0,BW68&lt;=0),"NMF",IF(ABS((INDEX(SP_CFA_FCF_PreDiv,0,COLUMN())/INDEX(SP_CS_ShareCount,0,COLUMN()))/(BW68/BW48)-1)&gt;10,"NMF",(INDEX(SP_CFA_FCF_PreDiv,0,COLUMN())/INDEX(SP_CS_ShareCount,0,COLUMN()))/(BW68/BW48)-1))</f>
        <v/>
      </c>
      <c r="CC118" s="1245">
        <f>IF(OR(INDEX(SP_CFA_FCF_PreDiv,0,COLUMN())&lt;=0,BX68&lt;=0),"NMF",IF(ABS((INDEX(SP_CFA_FCF_PreDiv,0,COLUMN())/INDEX(SP_CS_ShareCount,0,COLUMN()))/(BX68/BX48)-1)&gt;10,"NMF",(INDEX(SP_CFA_FCF_PreDiv,0,COLUMN())/INDEX(SP_CS_ShareCount,0,COLUMN()))/(BX68/BX48)-1))</f>
        <v/>
      </c>
      <c r="CD118" s="1245">
        <f>IF(OR(INDEX(SP_CFA_FCF_PreDiv,0,COLUMN())&lt;=0,CC68&lt;=0),"NMF",IF(ABS((INDEX(SP_CFA_FCF_PreDiv,0,COLUMN())/INDEX(SP_CS_ShareCount,0,COLUMN()))/(CC68/CC48)-1)&gt;10,"NMF",(INDEX(SP_CFA_FCF_PreDiv,0,COLUMN())/INDEX(SP_CS_ShareCount,0,COLUMN()))/(CC68/CC48)-1))</f>
        <v/>
      </c>
      <c r="CE118" s="1245">
        <f>IF(OR(INDEX(SP_CFA_FCF_PreDiv,0,COLUMN())&lt;=0,CD68&lt;=0),"NMF",IF(ABS((INDEX(SP_CFA_FCF_PreDiv,0,COLUMN())/INDEX(SP_CS_ShareCount,0,COLUMN()))/(CD68/CD48)-1)&gt;10,"NMF",(INDEX(SP_CFA_FCF_PreDiv,0,COLUMN())/INDEX(SP_CS_ShareCount,0,COLUMN()))/(CD68/CD48)-1))</f>
        <v/>
      </c>
      <c r="CF118" s="1245">
        <f>IF(OR(INDEX(SP_CFA_FCF_PreDiv,0,COLUMN())&lt;=0,CE68&lt;=0),"NMF",IF(ABS((INDEX(SP_CFA_FCF_PreDiv,0,COLUMN())/INDEX(SP_CS_ShareCount,0,COLUMN()))/(CE68/CE48)-1)&gt;10,"NMF",(INDEX(SP_CFA_FCF_PreDiv,0,COLUMN())/INDEX(SP_CS_ShareCount,0,COLUMN()))/(CE68/CE48)-1))</f>
        <v/>
      </c>
      <c r="CG118" s="130" t="n"/>
    </row>
    <row r="119">
      <c r="A119" s="196" t="n"/>
      <c r="B119" s="200" t="n"/>
      <c r="C119" s="1244" t="n"/>
      <c r="D119" s="1244" t="n"/>
      <c r="E119" s="1244" t="n"/>
      <c r="F119" s="1244" t="n"/>
      <c r="G119" s="1011" t="n"/>
      <c r="H119" s="1011" t="n"/>
      <c r="I119" s="1011" t="n"/>
      <c r="J119" s="1011" t="n"/>
      <c r="K119" s="1244" t="n"/>
      <c r="L119" s="1011" t="n"/>
      <c r="M119" s="1011" t="n"/>
      <c r="N119" s="1011" t="n"/>
      <c r="O119" s="1011" t="n"/>
      <c r="P119" s="1244" t="n"/>
      <c r="Q119" s="1011" t="n"/>
      <c r="R119" s="1011" t="n"/>
      <c r="S119" s="1011" t="n"/>
      <c r="T119" s="1011" t="n"/>
      <c r="U119" s="1244" t="n"/>
      <c r="V119" s="1011" t="n"/>
      <c r="W119" s="1011" t="n"/>
      <c r="X119" s="1011" t="n"/>
      <c r="Y119" s="1011" t="n"/>
      <c r="Z119" s="1244" t="n"/>
      <c r="AA119" s="1011" t="n"/>
      <c r="AB119" s="1011" t="n"/>
      <c r="AC119" s="1011" t="n"/>
      <c r="AD119" s="1011" t="n"/>
      <c r="AE119" s="1244" t="n"/>
      <c r="AF119" s="1011" t="n"/>
      <c r="AG119" s="1011" t="n"/>
      <c r="AH119" s="1011" t="n"/>
      <c r="AI119" s="1011" t="n"/>
      <c r="AJ119" s="1244" t="n"/>
      <c r="AK119" s="1011" t="n"/>
      <c r="AL119" s="1011" t="n"/>
      <c r="AM119" s="1011" t="n"/>
      <c r="AN119" s="1011" t="n"/>
      <c r="AO119" s="1244" t="n"/>
      <c r="AP119" s="1011" t="n"/>
      <c r="AQ119" s="1011" t="n"/>
      <c r="AR119" s="1011" t="n"/>
      <c r="AS119" s="1011" t="n"/>
      <c r="AT119" s="1244" t="n"/>
      <c r="AU119" s="1011" t="n"/>
      <c r="AV119" s="1011" t="n"/>
      <c r="AW119" s="1011" t="n"/>
      <c r="AX119" s="1011" t="n"/>
      <c r="AY119" s="1244" t="n"/>
      <c r="AZ119" s="1011" t="n"/>
      <c r="BA119" s="1011" t="n"/>
      <c r="BB119" s="1011" t="n"/>
      <c r="BC119" s="1011" t="n"/>
      <c r="BD119" s="1244" t="n"/>
      <c r="BE119" s="1011" t="n"/>
      <c r="BF119" s="1011" t="n"/>
      <c r="BG119" s="1011" t="n"/>
      <c r="BH119" s="1011" t="n"/>
      <c r="BI119" s="1244" t="n"/>
      <c r="BJ119" s="1011" t="n"/>
      <c r="BK119" s="1011" t="n"/>
      <c r="BL119" s="1011" t="n"/>
      <c r="BM119" s="1011" t="n"/>
      <c r="BN119" s="1244" t="n"/>
      <c r="BO119" s="1011" t="n"/>
      <c r="BP119" s="1011" t="n"/>
      <c r="BQ119" s="1011" t="n"/>
      <c r="BR119" s="1011" t="n"/>
      <c r="BS119" s="1244" t="n"/>
      <c r="BT119" s="1011" t="n"/>
      <c r="BU119" s="1011" t="n"/>
      <c r="BV119" s="1047" t="n"/>
      <c r="BW119" s="1011" t="n"/>
      <c r="BX119" s="1244" t="n"/>
      <c r="BY119" s="1011" t="n"/>
      <c r="BZ119" s="1011" t="n"/>
      <c r="CA119" s="1011" t="n"/>
      <c r="CB119" s="1011" t="n"/>
      <c r="CC119" s="1244" t="n"/>
      <c r="CD119" s="1244" t="n"/>
      <c r="CE119" s="1244" t="n"/>
      <c r="CF119" s="1244" t="n"/>
      <c r="CG119" s="1011" t="n"/>
    </row>
    <row r="120">
      <c r="A120" s="126" t="inlineStr">
        <is>
          <t>Valuation Metrics</t>
        </is>
      </c>
      <c r="B120" s="1012" t="n"/>
      <c r="C120" s="1012" t="n"/>
      <c r="D120" s="1012" t="n"/>
      <c r="E120" s="1012" t="n"/>
      <c r="F120" s="1012" t="n"/>
      <c r="G120" s="1012" t="n"/>
      <c r="H120" s="1012" t="n"/>
      <c r="I120" s="1012" t="n"/>
      <c r="J120" s="1012" t="n"/>
      <c r="K120" s="1012" t="n"/>
      <c r="L120" s="1012" t="n"/>
      <c r="M120" s="1012" t="n"/>
      <c r="N120" s="1012" t="n"/>
      <c r="O120" s="1012" t="n"/>
      <c r="P120" s="1012" t="n"/>
      <c r="Q120" s="1012" t="n"/>
      <c r="R120" s="1012" t="n"/>
      <c r="S120" s="1012" t="n"/>
      <c r="T120" s="1012" t="n"/>
      <c r="U120" s="1012" t="n"/>
      <c r="V120" s="1012" t="n"/>
      <c r="W120" s="1012" t="n"/>
      <c r="X120" s="1012" t="n"/>
      <c r="Y120" s="1012" t="n"/>
      <c r="Z120" s="1012" t="n"/>
      <c r="AA120" s="1012" t="n"/>
      <c r="AB120" s="1012" t="n"/>
      <c r="AC120" s="1012" t="n"/>
      <c r="AD120" s="1012" t="n"/>
      <c r="AE120" s="1012" t="n"/>
      <c r="AF120" s="1012" t="n"/>
      <c r="AG120" s="1012" t="n"/>
      <c r="AH120" s="1012" t="n"/>
      <c r="AI120" s="1012" t="n"/>
      <c r="AJ120" s="1012" t="n"/>
      <c r="AK120" s="1012" t="n"/>
      <c r="AL120" s="1012" t="n"/>
      <c r="AM120" s="1012" t="n"/>
      <c r="AN120" s="1012" t="n"/>
      <c r="AO120" s="1012" t="n"/>
      <c r="AP120" s="1012" t="n"/>
      <c r="AQ120" s="1012" t="n"/>
      <c r="AR120" s="1012" t="n"/>
      <c r="AS120" s="1012" t="n"/>
      <c r="AT120" s="1012" t="n"/>
      <c r="AU120" s="1012" t="n"/>
      <c r="AV120" s="1012" t="n"/>
      <c r="AW120" s="1012" t="n"/>
      <c r="AX120" s="1012" t="n"/>
      <c r="AY120" s="1012" t="n"/>
      <c r="AZ120" s="1012" t="n"/>
      <c r="BA120" s="1012" t="n"/>
      <c r="BB120" s="1012" t="n"/>
      <c r="BC120" s="1012" t="n"/>
      <c r="BD120" s="1012" t="n"/>
      <c r="BE120" s="1012" t="n"/>
      <c r="BF120" s="1012" t="n"/>
      <c r="BG120" s="1012" t="n"/>
      <c r="BH120" s="1012" t="n"/>
      <c r="BI120" s="1012" t="n"/>
      <c r="BJ120" s="1012" t="n"/>
      <c r="BK120" s="1012" t="n"/>
      <c r="BL120" s="1012" t="n"/>
      <c r="BM120" s="1012" t="n"/>
      <c r="BN120" s="1012" t="n"/>
      <c r="BO120" s="1012" t="n"/>
      <c r="BP120" s="1012" t="n"/>
      <c r="BQ120" s="1012" t="n"/>
      <c r="BR120" s="1012" t="n"/>
      <c r="BS120" s="1012" t="n"/>
      <c r="BT120" s="1012" t="n"/>
      <c r="BU120" s="1012" t="n"/>
      <c r="BV120" s="1048" t="n"/>
      <c r="BW120" s="1012" t="n"/>
      <c r="BX120" s="1012" t="n"/>
      <c r="BY120" s="1012" t="n"/>
      <c r="BZ120" s="1012" t="n"/>
      <c r="CA120" s="1012" t="n"/>
      <c r="CB120" s="1012" t="n"/>
      <c r="CC120" s="1012" t="n"/>
      <c r="CD120" s="1012" t="n"/>
      <c r="CE120" s="1012" t="n"/>
      <c r="CF120" s="1012" t="n"/>
      <c r="CG120" s="1013" t="n"/>
    </row>
    <row r="121" customFormat="1" s="980">
      <c r="A121" s="220">
        <f>"P/E - "&amp;SP.ValuationToggle</f>
        <v/>
      </c>
      <c r="B121" s="221" t="n"/>
      <c r="C121" s="1254">
        <f>INDEX(SP_CS_StockPrice,0,COLUMN())/INDEX(SP_NGF_EPS,0,COLUMN())</f>
        <v/>
      </c>
      <c r="D121" s="1254">
        <f>INDEX(SP_CS_StockPrice,0,COLUMN())/INDEX(SP_NGF_EPS,0,COLUMN())</f>
        <v/>
      </c>
      <c r="E121" s="1254">
        <f>INDEX(SP_CS_StockPrice,0,COLUMN())/INDEX(SP_NGF_EPS,0,COLUMN())</f>
        <v/>
      </c>
      <c r="F121" s="1254">
        <f>INDEX(SP_CS_StockPrice,0,COLUMN())/INDEX(SP_NGF_EPS,0,COLUMN())</f>
        <v/>
      </c>
      <c r="G121" s="1016" t="n"/>
      <c r="H121" s="1016" t="n"/>
      <c r="I121" s="1016" t="n"/>
      <c r="J121" s="1016" t="n"/>
      <c r="K121" s="1254">
        <f>INDEX(SP_CS_StockPrice,0,COLUMN())/INDEX(SP_NGF_EPS,0,COLUMN())</f>
        <v/>
      </c>
      <c r="L121" s="1016" t="n"/>
      <c r="M121" s="1016" t="n"/>
      <c r="N121" s="1016" t="n"/>
      <c r="O121" s="1016" t="n"/>
      <c r="P121" s="1254">
        <f>INDEX(SP_CS_StockPrice,0,COLUMN())/INDEX(SP_NGF_EPS,0,COLUMN())</f>
        <v/>
      </c>
      <c r="Q121" s="1016" t="n"/>
      <c r="R121" s="1016" t="n"/>
      <c r="S121" s="1016" t="n"/>
      <c r="T121" s="1016" t="n"/>
      <c r="U121" s="1254">
        <f>INDEX(SP_CS_StockPrice,0,COLUMN())/INDEX(SP_NGF_EPS,0,COLUMN())</f>
        <v/>
      </c>
      <c r="V121" s="1016" t="n"/>
      <c r="W121" s="138" t="n"/>
      <c r="X121" s="138" t="n"/>
      <c r="Y121" s="138" t="n"/>
      <c r="Z121" s="1254">
        <f>INDEX(SP_CS_StockPrice,0,COLUMN())/INDEX(SP_NGF_EPS,0,COLUMN())</f>
        <v/>
      </c>
      <c r="AA121" s="138" t="n"/>
      <c r="AB121" s="138" t="n"/>
      <c r="AC121" s="138" t="n"/>
      <c r="AD121" s="138" t="n"/>
      <c r="AE121" s="1254">
        <f>INDEX(SP_CS_StockPrice,0,COLUMN())/INDEX(SP_NGF_EPS,0,COLUMN())</f>
        <v/>
      </c>
      <c r="AF121" s="138" t="n"/>
      <c r="AG121" s="138" t="n"/>
      <c r="AH121" s="138" t="n"/>
      <c r="AI121" s="138" t="n"/>
      <c r="AJ121" s="1254">
        <f>INDEX(SP_CS_StockPrice,0,COLUMN())/INDEX(SP_NGF_EPS,0,COLUMN())</f>
        <v/>
      </c>
      <c r="AK121" s="138" t="n"/>
      <c r="AL121" s="138" t="n"/>
      <c r="AM121" s="138" t="n"/>
      <c r="AN121" s="138" t="n"/>
      <c r="AO121" s="1254">
        <f>INDEX(SP_CS_StockPrice,0,COLUMN())/INDEX(SP_NGF_EPS,0,COLUMN())</f>
        <v/>
      </c>
      <c r="AP121" s="138" t="n"/>
      <c r="AQ121" s="138" t="n"/>
      <c r="AR121" s="138" t="n"/>
      <c r="AS121" s="138" t="n"/>
      <c r="AT121" s="1254">
        <f>INDEX(SP_CS_StockPrice,0,COLUMN())/INDEX(SP_NGF_EPS,0,COLUMN())</f>
        <v/>
      </c>
      <c r="AU121" s="138" t="n"/>
      <c r="AV121" s="138" t="n"/>
      <c r="AW121" s="138" t="n"/>
      <c r="AX121" s="138" t="n"/>
      <c r="AY121" s="1254">
        <f>INDEX(SP_CS_StockPrice,0,COLUMN())/INDEX(SP_NGF_EPS,0,COLUMN())</f>
        <v/>
      </c>
      <c r="AZ121" s="138" t="n"/>
      <c r="BA121" s="138" t="n"/>
      <c r="BB121" s="138" t="n"/>
      <c r="BC121" s="138" t="n"/>
      <c r="BD121" s="1254">
        <f>INDEX(SP_CS_StockPrice,0,COLUMN())/INDEX(SP_NGF_EPS,0,COLUMN())</f>
        <v/>
      </c>
      <c r="BE121" s="138" t="n"/>
      <c r="BF121" s="138" t="n"/>
      <c r="BG121" s="138" t="n"/>
      <c r="BH121" s="138" t="n"/>
      <c r="BI121" s="1254">
        <f>INDEX(SP_CS_StockPrice,0,COLUMN())/INDEX(SP_NGF_EPS,0,COLUMN())</f>
        <v/>
      </c>
      <c r="BJ121" s="138" t="n"/>
      <c r="BK121" s="138" t="n"/>
      <c r="BL121" s="138" t="n"/>
      <c r="BM121" s="138" t="n"/>
      <c r="BN121" s="1254">
        <f>INDEX(SP_CS_StockPrice,0,COLUMN())/INDEX(SP_NGF_EPS,0,COLUMN())</f>
        <v/>
      </c>
      <c r="BO121" s="138" t="n"/>
      <c r="BP121" s="138" t="n"/>
      <c r="BQ121" s="138" t="n"/>
      <c r="BR121" s="138" t="n"/>
      <c r="BS121" s="1254">
        <f>INDEX(SP_CS_StockPrice,0,COLUMN())/INDEX(SP_NGF_EPS,0,COLUMN())</f>
        <v/>
      </c>
      <c r="BT121" s="138" t="n"/>
      <c r="BU121" s="138" t="n"/>
      <c r="BV121" s="940" t="n"/>
      <c r="BW121" s="138" t="n"/>
      <c r="BX121" s="1254">
        <f>INDEX(SP_CS_StockPrice,0,COLUMN())/INDEX(SP_NGF_EPS,0,COLUMN())</f>
        <v/>
      </c>
      <c r="BY121" s="138" t="n"/>
      <c r="BZ121" s="138" t="n"/>
      <c r="CA121" s="138" t="n"/>
      <c r="CB121" s="138" t="n"/>
      <c r="CC121" s="1254">
        <f>INDEX(SP_CS_StockPrice,0,COLUMN())/INDEX(SP_NGF_EPS,0,COLUMN())</f>
        <v/>
      </c>
      <c r="CD121" s="1254">
        <f>INDEX(SP_CS_StockPrice,0,COLUMN())/INDEX(SP_NGF_EPS,0,COLUMN())</f>
        <v/>
      </c>
      <c r="CE121" s="1254">
        <f>INDEX(SP_CS_StockPrice,0,COLUMN())/INDEX(SP_NGF_EPS,0,COLUMN())</f>
        <v/>
      </c>
      <c r="CF121" s="1254">
        <f>INDEX(SP_CS_StockPrice,0,COLUMN())/INDEX(SP_NGF_EPS,0,COLUMN())</f>
        <v/>
      </c>
      <c r="CG121" s="138" t="n"/>
    </row>
    <row r="122" customFormat="1" s="980">
      <c r="A122" s="220">
        <f>"EV/Sales - "&amp;SP.ValuationToggle</f>
        <v/>
      </c>
      <c r="B122" s="221" t="n"/>
      <c r="C122" s="1254">
        <f>INDEX(SP_CS_EV,0,COLUMN())/INDEX(SP_GF_Rev,0,COLUMN())</f>
        <v/>
      </c>
      <c r="D122" s="1254">
        <f>INDEX(SP_CS_EV,0,COLUMN())/INDEX(SP_GF_Rev,0,COLUMN())</f>
        <v/>
      </c>
      <c r="E122" s="1254">
        <f>INDEX(SP_CS_EV,0,COLUMN())/INDEX(SP_GF_Rev,0,COLUMN())</f>
        <v/>
      </c>
      <c r="F122" s="1254">
        <f>INDEX(SP_CS_EV,0,COLUMN())/INDEX(SP_GF_Rev,0,COLUMN())</f>
        <v/>
      </c>
      <c r="G122" s="1016" t="n"/>
      <c r="H122" s="1016" t="n"/>
      <c r="I122" s="1016" t="n"/>
      <c r="J122" s="1016" t="n"/>
      <c r="K122" s="1254">
        <f>INDEX(SP_CS_EV,0,COLUMN())/INDEX(SP_GF_Rev,0,COLUMN())</f>
        <v/>
      </c>
      <c r="L122" s="1016" t="n"/>
      <c r="M122" s="1016" t="n"/>
      <c r="N122" s="1016" t="n"/>
      <c r="O122" s="1016" t="n"/>
      <c r="P122" s="1254">
        <f>INDEX(SP_CS_EV,0,COLUMN())/INDEX(SP_GF_Rev,0,COLUMN())</f>
        <v/>
      </c>
      <c r="Q122" s="1016" t="n"/>
      <c r="R122" s="1016" t="n"/>
      <c r="S122" s="1016" t="n"/>
      <c r="T122" s="1016" t="n"/>
      <c r="U122" s="1254">
        <f>INDEX(SP_CS_EV,0,COLUMN())/INDEX(SP_GF_Rev,0,COLUMN())</f>
        <v/>
      </c>
      <c r="V122" s="1016" t="n"/>
      <c r="W122" s="138" t="n"/>
      <c r="X122" s="138" t="n"/>
      <c r="Y122" s="138" t="n"/>
      <c r="Z122" s="1254">
        <f>INDEX(SP_CS_EV,0,COLUMN())/INDEX(SP_GF_Rev,0,COLUMN())</f>
        <v/>
      </c>
      <c r="AA122" s="138" t="n"/>
      <c r="AB122" s="138" t="n"/>
      <c r="AC122" s="138" t="n"/>
      <c r="AD122" s="138" t="n"/>
      <c r="AE122" s="1254">
        <f>INDEX(SP_CS_EV,0,COLUMN())/INDEX(SP_GF_Rev,0,COLUMN())</f>
        <v/>
      </c>
      <c r="AF122" s="138" t="n"/>
      <c r="AG122" s="138" t="n"/>
      <c r="AH122" s="138" t="n"/>
      <c r="AI122" s="138" t="n"/>
      <c r="AJ122" s="1254">
        <f>INDEX(SP_CS_EV,0,COLUMN())/INDEX(SP_GF_Rev,0,COLUMN())</f>
        <v/>
      </c>
      <c r="AK122" s="138" t="n"/>
      <c r="AL122" s="138" t="n"/>
      <c r="AM122" s="138" t="n"/>
      <c r="AN122" s="138" t="n"/>
      <c r="AO122" s="1254">
        <f>INDEX(SP_CS_EV,0,COLUMN())/INDEX(SP_GF_Rev,0,COLUMN())</f>
        <v/>
      </c>
      <c r="AP122" s="138" t="n"/>
      <c r="AQ122" s="138" t="n"/>
      <c r="AR122" s="138" t="n"/>
      <c r="AS122" s="138" t="n"/>
      <c r="AT122" s="1254">
        <f>INDEX(SP_CS_EV,0,COLUMN())/INDEX(SP_GF_Rev,0,COLUMN())</f>
        <v/>
      </c>
      <c r="AU122" s="138" t="n"/>
      <c r="AV122" s="138" t="n"/>
      <c r="AW122" s="138" t="n"/>
      <c r="AX122" s="138" t="n"/>
      <c r="AY122" s="1254">
        <f>INDEX(SP_CS_EV,0,COLUMN())/INDEX(SP_GF_Rev,0,COLUMN())</f>
        <v/>
      </c>
      <c r="AZ122" s="138" t="n"/>
      <c r="BA122" s="138" t="n"/>
      <c r="BB122" s="138" t="n"/>
      <c r="BC122" s="138" t="n"/>
      <c r="BD122" s="1254">
        <f>INDEX(SP_CS_EV,0,COLUMN())/INDEX(SP_GF_Rev,0,COLUMN())</f>
        <v/>
      </c>
      <c r="BE122" s="138" t="n"/>
      <c r="BF122" s="138" t="n"/>
      <c r="BG122" s="138" t="n"/>
      <c r="BH122" s="138" t="n"/>
      <c r="BI122" s="1254">
        <f>INDEX(SP_CS_EV,0,COLUMN())/INDEX(SP_GF_Rev,0,COLUMN())</f>
        <v/>
      </c>
      <c r="BJ122" s="138" t="n"/>
      <c r="BK122" s="138" t="n"/>
      <c r="BL122" s="138" t="n"/>
      <c r="BM122" s="138" t="n"/>
      <c r="BN122" s="1254">
        <f>INDEX(SP_CS_EV,0,COLUMN())/INDEX(SP_GF_Rev,0,COLUMN())</f>
        <v/>
      </c>
      <c r="BO122" s="138" t="n"/>
      <c r="BP122" s="138" t="n"/>
      <c r="BQ122" s="138" t="n"/>
      <c r="BR122" s="138" t="n"/>
      <c r="BS122" s="1254">
        <f>INDEX(SP_CS_EV,0,COLUMN())/INDEX(SP_GF_Rev,0,COLUMN())</f>
        <v/>
      </c>
      <c r="BT122" s="138" t="n"/>
      <c r="BU122" s="138" t="n"/>
      <c r="BV122" s="940" t="n"/>
      <c r="BW122" s="138" t="n"/>
      <c r="BX122" s="1254">
        <f>INDEX(SP_CS_EV,0,COLUMN())/INDEX(SP_GF_Rev,0,COLUMN())</f>
        <v/>
      </c>
      <c r="BY122" s="138" t="n"/>
      <c r="BZ122" s="138" t="n"/>
      <c r="CA122" s="138" t="n"/>
      <c r="CB122" s="138" t="n"/>
      <c r="CC122" s="1254">
        <f>INDEX(SP_CS_EV,0,COLUMN())/INDEX(SP_GF_Rev,0,COLUMN())</f>
        <v/>
      </c>
      <c r="CD122" s="1254">
        <f>INDEX(SP_CS_EV,0,COLUMN())/INDEX(SP_GF_Rev,0,COLUMN())</f>
        <v/>
      </c>
      <c r="CE122" s="1254">
        <f>INDEX(SP_CS_EV,0,COLUMN())/INDEX(SP_GF_Rev,0,COLUMN())</f>
        <v/>
      </c>
      <c r="CF122" s="1254">
        <f>INDEX(SP_CS_EV,0,COLUMN())/INDEX(SP_GF_Rev,0,COLUMN())</f>
        <v/>
      </c>
      <c r="CG122" s="138" t="n"/>
    </row>
    <row r="123" customFormat="1" s="980">
      <c r="A123" s="220">
        <f>"EV/EBITDA - "&amp;SP.ValuationToggle</f>
        <v/>
      </c>
      <c r="B123" s="221" t="n"/>
      <c r="C123" s="1254" t="n"/>
      <c r="D123" s="1254">
        <f>INDEX(SP_CS_EV,0,COLUMN())/INDEX(SP_NGF_EBITDA,0,COLUMN())</f>
        <v/>
      </c>
      <c r="E123" s="1254">
        <f>INDEX(SP_CS_EV,0,COLUMN())/INDEX(SP_NGF_EBITDA,0,COLUMN())</f>
        <v/>
      </c>
      <c r="F123" s="1254">
        <f>INDEX(SP_CS_EV,0,COLUMN())/INDEX(SP_NGF_EBITDA,0,COLUMN())</f>
        <v/>
      </c>
      <c r="G123" s="1016" t="n"/>
      <c r="H123" s="1016" t="n"/>
      <c r="I123" s="1016" t="n"/>
      <c r="J123" s="1016" t="n"/>
      <c r="K123" s="1254">
        <f>INDEX(SP_CS_EV,0,COLUMN())/INDEX(SP_NGF_EBITDA,0,COLUMN())</f>
        <v/>
      </c>
      <c r="L123" s="1016" t="n"/>
      <c r="M123" s="1016" t="n"/>
      <c r="N123" s="1016" t="n"/>
      <c r="O123" s="1016" t="n"/>
      <c r="P123" s="1254">
        <f>INDEX(SP_CS_EV,0,COLUMN())/INDEX(SP_NGF_EBITDA,0,COLUMN())</f>
        <v/>
      </c>
      <c r="Q123" s="1016" t="n"/>
      <c r="R123" s="1016" t="n"/>
      <c r="S123" s="1016" t="n"/>
      <c r="T123" s="1016" t="n"/>
      <c r="U123" s="1254">
        <f>INDEX(SP_CS_EV,0,COLUMN())/INDEX(SP_NGF_EBITDA,0,COLUMN())</f>
        <v/>
      </c>
      <c r="V123" s="1016" t="n"/>
      <c r="W123" s="138" t="n"/>
      <c r="X123" s="138" t="n"/>
      <c r="Y123" s="138" t="n"/>
      <c r="Z123" s="1254">
        <f>INDEX(SP_CS_EV,0,COLUMN())/INDEX(SP_NGF_EBITDA,0,COLUMN())</f>
        <v/>
      </c>
      <c r="AA123" s="138" t="n"/>
      <c r="AB123" s="138" t="n"/>
      <c r="AC123" s="138" t="n"/>
      <c r="AD123" s="138" t="n"/>
      <c r="AE123" s="1254">
        <f>INDEX(SP_CS_EV,0,COLUMN())/INDEX(SP_NGF_EBITDA,0,COLUMN())</f>
        <v/>
      </c>
      <c r="AF123" s="138" t="n"/>
      <c r="AG123" s="138" t="n"/>
      <c r="AH123" s="138" t="n"/>
      <c r="AI123" s="138" t="n"/>
      <c r="AJ123" s="1254">
        <f>INDEX(SP_CS_EV,0,COLUMN())/INDEX(SP_NGF_EBITDA,0,COLUMN())</f>
        <v/>
      </c>
      <c r="AK123" s="138" t="n"/>
      <c r="AL123" s="138" t="n"/>
      <c r="AM123" s="138" t="n"/>
      <c r="AN123" s="138" t="n"/>
      <c r="AO123" s="1254">
        <f>INDEX(SP_CS_EV,0,COLUMN())/INDEX(SP_NGF_EBITDA,0,COLUMN())</f>
        <v/>
      </c>
      <c r="AP123" s="138" t="n"/>
      <c r="AQ123" s="138" t="n"/>
      <c r="AR123" s="138" t="n"/>
      <c r="AS123" s="138" t="n"/>
      <c r="AT123" s="1254">
        <f>INDEX(SP_CS_EV,0,COLUMN())/INDEX(SP_NGF_EBITDA,0,COLUMN())</f>
        <v/>
      </c>
      <c r="AU123" s="138" t="n"/>
      <c r="AV123" s="138" t="n"/>
      <c r="AW123" s="138" t="n"/>
      <c r="AX123" s="138" t="n"/>
      <c r="AY123" s="1254">
        <f>INDEX(SP_CS_EV,0,COLUMN())/INDEX(SP_NGF_EBITDA,0,COLUMN())</f>
        <v/>
      </c>
      <c r="AZ123" s="138" t="n"/>
      <c r="BA123" s="138" t="n"/>
      <c r="BB123" s="138" t="n"/>
      <c r="BC123" s="138" t="n"/>
      <c r="BD123" s="1254">
        <f>INDEX(SP_CS_EV,0,COLUMN())/INDEX(SP_NGF_EBITDA,0,COLUMN())</f>
        <v/>
      </c>
      <c r="BE123" s="138" t="n"/>
      <c r="BF123" s="138" t="n"/>
      <c r="BG123" s="138" t="n"/>
      <c r="BH123" s="138" t="n"/>
      <c r="BI123" s="1254">
        <f>INDEX(SP_CS_EV,0,COLUMN())/INDEX(SP_NGF_EBITDA,0,COLUMN())</f>
        <v/>
      </c>
      <c r="BJ123" s="138" t="n"/>
      <c r="BK123" s="138" t="n"/>
      <c r="BL123" s="138" t="n"/>
      <c r="BM123" s="138" t="n"/>
      <c r="BN123" s="1254">
        <f>INDEX(SP_CS_EV,0,COLUMN())/INDEX(SP_NGF_EBITDA,0,COLUMN())</f>
        <v/>
      </c>
      <c r="BO123" s="138" t="n"/>
      <c r="BP123" s="138" t="n"/>
      <c r="BQ123" s="138" t="n"/>
      <c r="BR123" s="138" t="n"/>
      <c r="BS123" s="1254">
        <f>INDEX(SP_CS_EV,0,COLUMN())/INDEX(SP_NGF_EBITDA,0,COLUMN())</f>
        <v/>
      </c>
      <c r="BT123" s="138" t="n"/>
      <c r="BU123" s="138" t="n"/>
      <c r="BV123" s="940" t="n"/>
      <c r="BW123" s="138" t="n"/>
      <c r="BX123" s="1254">
        <f>INDEX(SP_CS_EV,0,COLUMN())/INDEX(SP_NGF_EBITDA,0,COLUMN())</f>
        <v/>
      </c>
      <c r="BY123" s="138" t="n"/>
      <c r="BZ123" s="138" t="n"/>
      <c r="CA123" s="138" t="n"/>
      <c r="CB123" s="138" t="n"/>
      <c r="CC123" s="1254">
        <f>INDEX(SP_CS_EV,0,COLUMN())/INDEX(SP_NGF_EBITDA,0,COLUMN())</f>
        <v/>
      </c>
      <c r="CD123" s="1254">
        <f>INDEX(SP_CS_EV,0,COLUMN())/INDEX(SP_NGF_EBITDA,0,COLUMN())</f>
        <v/>
      </c>
      <c r="CE123" s="1254">
        <f>INDEX(SP_CS_EV,0,COLUMN())/INDEX(SP_NGF_EBITDA,0,COLUMN())</f>
        <v/>
      </c>
      <c r="CF123" s="1254">
        <f>INDEX(SP_CS_EV,0,COLUMN())/INDEX(SP_NGF_EBITDA,0,COLUMN())</f>
        <v/>
      </c>
      <c r="CG123" s="138" t="n"/>
    </row>
    <row r="124" customFormat="1" s="980">
      <c r="A124" s="220">
        <f>"P/CF - "&amp;SP.ValuationToggle</f>
        <v/>
      </c>
      <c r="B124" s="221" t="n"/>
      <c r="C124" s="1254">
        <f>INDEX(SP_CS_StockPrice,0,COLUMN())/INDEX(SP_CFA_CFO_PerShare,0,COLUMN())</f>
        <v/>
      </c>
      <c r="D124" s="1254">
        <f>INDEX(SP_CS_StockPrice,0,COLUMN())/INDEX(SP_CFA_CFO_PerShare,0,COLUMN())</f>
        <v/>
      </c>
      <c r="E124" s="1254">
        <f>INDEX(SP_CS_StockPrice,0,COLUMN())/INDEX(SP_CFA_CFO_PerShare,0,COLUMN())</f>
        <v/>
      </c>
      <c r="F124" s="1254">
        <f>INDEX(SP_CS_StockPrice,0,COLUMN())/INDEX(SP_CFA_CFO_PerShare,0,COLUMN())</f>
        <v/>
      </c>
      <c r="G124" s="1016" t="n"/>
      <c r="H124" s="1016" t="n"/>
      <c r="I124" s="1016" t="n"/>
      <c r="J124" s="1016" t="n"/>
      <c r="K124" s="1254">
        <f>INDEX(SP_CS_StockPrice,0,COLUMN())/INDEX(SP_CFA_CFO_PerShare,0,COLUMN())</f>
        <v/>
      </c>
      <c r="L124" s="1016" t="n"/>
      <c r="M124" s="1016" t="n"/>
      <c r="N124" s="1016" t="n"/>
      <c r="O124" s="1016" t="n"/>
      <c r="P124" s="1254">
        <f>INDEX(SP_CS_StockPrice,0,COLUMN())/INDEX(SP_CFA_CFO_PerShare,0,COLUMN())</f>
        <v/>
      </c>
      <c r="Q124" s="1016" t="n"/>
      <c r="R124" s="1016" t="n"/>
      <c r="S124" s="1016" t="n"/>
      <c r="T124" s="1016" t="n"/>
      <c r="U124" s="1254">
        <f>INDEX(SP_CS_StockPrice,0,COLUMN())/INDEX(SP_CFA_CFO_PerShare,0,COLUMN())</f>
        <v/>
      </c>
      <c r="V124" s="1016" t="n"/>
      <c r="W124" s="138" t="n"/>
      <c r="X124" s="138" t="n"/>
      <c r="Y124" s="138" t="n"/>
      <c r="Z124" s="1254">
        <f>INDEX(SP_CS_StockPrice,0,COLUMN())/INDEX(SP_CFA_CFO_PerShare,0,COLUMN())</f>
        <v/>
      </c>
      <c r="AA124" s="138" t="n"/>
      <c r="AB124" s="138" t="n"/>
      <c r="AC124" s="138" t="n"/>
      <c r="AD124" s="138" t="n"/>
      <c r="AE124" s="1254">
        <f>INDEX(SP_CS_StockPrice,0,COLUMN())/INDEX(SP_CFA_CFO_PerShare,0,COLUMN())</f>
        <v/>
      </c>
      <c r="AF124" s="138" t="n"/>
      <c r="AG124" s="138" t="n"/>
      <c r="AH124" s="138" t="n"/>
      <c r="AI124" s="138" t="n"/>
      <c r="AJ124" s="1254">
        <f>INDEX(SP_CS_StockPrice,0,COLUMN())/INDEX(SP_CFA_CFO_PerShare,0,COLUMN())</f>
        <v/>
      </c>
      <c r="AK124" s="138" t="n"/>
      <c r="AL124" s="138" t="n"/>
      <c r="AM124" s="138" t="n"/>
      <c r="AN124" s="138" t="n"/>
      <c r="AO124" s="1254">
        <f>INDEX(SP_CS_StockPrice,0,COLUMN())/INDEX(SP_CFA_CFO_PerShare,0,COLUMN())</f>
        <v/>
      </c>
      <c r="AP124" s="138" t="n"/>
      <c r="AQ124" s="138" t="n"/>
      <c r="AR124" s="138" t="n"/>
      <c r="AS124" s="138" t="n"/>
      <c r="AT124" s="1254">
        <f>INDEX(SP_CS_StockPrice,0,COLUMN())/INDEX(SP_CFA_CFO_PerShare,0,COLUMN())</f>
        <v/>
      </c>
      <c r="AU124" s="138" t="n"/>
      <c r="AV124" s="138" t="n"/>
      <c r="AW124" s="138" t="n"/>
      <c r="AX124" s="138" t="n"/>
      <c r="AY124" s="1254">
        <f>INDEX(SP_CS_StockPrice,0,COLUMN())/INDEX(SP_CFA_CFO_PerShare,0,COLUMN())</f>
        <v/>
      </c>
      <c r="AZ124" s="138" t="n"/>
      <c r="BA124" s="138" t="n"/>
      <c r="BB124" s="138" t="n"/>
      <c r="BC124" s="138" t="n"/>
      <c r="BD124" s="1254">
        <f>INDEX(SP_CS_StockPrice,0,COLUMN())/INDEX(SP_CFA_CFO_PerShare,0,COLUMN())</f>
        <v/>
      </c>
      <c r="BE124" s="138" t="n"/>
      <c r="BF124" s="138" t="n"/>
      <c r="BG124" s="138" t="n"/>
      <c r="BH124" s="138" t="n"/>
      <c r="BI124" s="1254">
        <f>INDEX(SP_CS_StockPrice,0,COLUMN())/INDEX(SP_CFA_CFO_PerShare,0,COLUMN())</f>
        <v/>
      </c>
      <c r="BJ124" s="138" t="n"/>
      <c r="BK124" s="138" t="n"/>
      <c r="BL124" s="138" t="n"/>
      <c r="BM124" s="138" t="n"/>
      <c r="BN124" s="1254">
        <f>INDEX(SP_CS_StockPrice,0,COLUMN())/INDEX(SP_CFA_CFO_PerShare,0,COLUMN())</f>
        <v/>
      </c>
      <c r="BO124" s="138" t="n"/>
      <c r="BP124" s="138" t="n"/>
      <c r="BQ124" s="138" t="n"/>
      <c r="BR124" s="138" t="n"/>
      <c r="BS124" s="1254">
        <f>INDEX(SP_CS_StockPrice,0,COLUMN())/INDEX(SP_CFA_CFO_PerShare,0,COLUMN())</f>
        <v/>
      </c>
      <c r="BT124" s="138" t="n"/>
      <c r="BU124" s="138" t="n"/>
      <c r="BV124" s="940" t="n"/>
      <c r="BW124" s="138" t="n"/>
      <c r="BX124" s="1254">
        <f>INDEX(SP_CS_StockPrice,0,COLUMN())/INDEX(SP_CFA_CFO_PerShare,0,COLUMN())</f>
        <v/>
      </c>
      <c r="BY124" s="138" t="n"/>
      <c r="BZ124" s="138" t="n"/>
      <c r="CA124" s="138" t="n"/>
      <c r="CB124" s="138" t="n"/>
      <c r="CC124" s="1254">
        <f>INDEX(SP_CS_StockPrice,0,COLUMN())/INDEX(SP_CFA_CFO_PerShare,0,COLUMN())</f>
        <v/>
      </c>
      <c r="CD124" s="1254">
        <f>INDEX(SP_CS_StockPrice,0,COLUMN())/INDEX(SP_CFA_CFO_PerShare,0,COLUMN())</f>
        <v/>
      </c>
      <c r="CE124" s="1254">
        <f>INDEX(SP_CS_StockPrice,0,COLUMN())/INDEX(SP_CFA_CFO_PerShare,0,COLUMN())</f>
        <v/>
      </c>
      <c r="CF124" s="1254">
        <f>INDEX(SP_CS_StockPrice,0,COLUMN())/INDEX(SP_CFA_CFO_PerShare,0,COLUMN())</f>
        <v/>
      </c>
      <c r="CG124" s="138" t="n"/>
    </row>
    <row r="125" customFormat="1" s="966">
      <c r="A125" s="219">
        <f>"FCF Yield % to "&amp;SP.ValuationToggle&amp;" Market Cap"</f>
        <v/>
      </c>
      <c r="B125" s="202" t="n"/>
      <c r="C125" s="1245">
        <f>INDEX(SP_CFA_FCF_PreDiv,0,COLUMN())/INDEX(SP_CS_MarketCap,0,COLUMN())</f>
        <v/>
      </c>
      <c r="D125" s="1245">
        <f>INDEX(SP_CFA_FCF_PreDiv,0,COLUMN())/INDEX(SP_CS_MarketCap,0,COLUMN())</f>
        <v/>
      </c>
      <c r="E125" s="1245">
        <f>INDEX(SP_CFA_FCF_PreDiv,0,COLUMN())/INDEX(SP_CS_MarketCap,0,COLUMN())</f>
        <v/>
      </c>
      <c r="F125" s="1245">
        <f>INDEX(SP_CFA_FCF_PreDiv,0,COLUMN())/INDEX(SP_CS_MarketCap,0,COLUMN())</f>
        <v/>
      </c>
      <c r="G125" s="129" t="n"/>
      <c r="H125" s="129" t="n"/>
      <c r="I125" s="129" t="n"/>
      <c r="J125" s="129" t="n"/>
      <c r="K125" s="1245">
        <f>INDEX(SP_CFA_FCF_PreDiv,0,COLUMN())/INDEX(SP_CS_MarketCap,0,COLUMN())</f>
        <v/>
      </c>
      <c r="L125" s="129" t="n"/>
      <c r="M125" s="129" t="n"/>
      <c r="N125" s="129" t="n"/>
      <c r="O125" s="129" t="n"/>
      <c r="P125" s="1245">
        <f>INDEX(SP_CFA_FCF_PreDiv,0,COLUMN())/INDEX(SP_CS_MarketCap,0,COLUMN())</f>
        <v/>
      </c>
      <c r="Q125" s="129" t="n"/>
      <c r="R125" s="129" t="n"/>
      <c r="S125" s="129" t="n"/>
      <c r="T125" s="129" t="n"/>
      <c r="U125" s="1245">
        <f>INDEX(SP_CFA_FCF_PreDiv,0,COLUMN())/INDEX(SP_CS_MarketCap,0,COLUMN())</f>
        <v/>
      </c>
      <c r="V125" s="129" t="n"/>
      <c r="W125" s="129" t="n"/>
      <c r="X125" s="129" t="n"/>
      <c r="Y125" s="129" t="n"/>
      <c r="Z125" s="1245">
        <f>INDEX(SP_CFA_FCF_PreDiv,0,COLUMN())/INDEX(SP_CS_MarketCap,0,COLUMN())</f>
        <v/>
      </c>
      <c r="AA125" s="129" t="n"/>
      <c r="AB125" s="129" t="n"/>
      <c r="AC125" s="129" t="n"/>
      <c r="AD125" s="129" t="n"/>
      <c r="AE125" s="1245">
        <f>INDEX(SP_CFA_FCF_PreDiv,0,COLUMN())/INDEX(SP_CS_MarketCap,0,COLUMN())</f>
        <v/>
      </c>
      <c r="AF125" s="129" t="n"/>
      <c r="AG125" s="129" t="n"/>
      <c r="AH125" s="129" t="n"/>
      <c r="AI125" s="129" t="n"/>
      <c r="AJ125" s="1245">
        <f>IFERROR(INDEX(SP_CFA_FCF_PreDiv,0,COLUMN())/INDEX(SP_CS_MarketCap,0,COLUMN()),"n/a")</f>
        <v/>
      </c>
      <c r="AK125" s="129" t="n"/>
      <c r="AL125" s="129" t="n"/>
      <c r="AM125" s="129" t="n"/>
      <c r="AN125" s="129" t="n"/>
      <c r="AO125" s="1245">
        <f>INDEX(SP_CFA_FCF_PreDiv,0,COLUMN())/INDEX(SP_CS_MarketCap,0,COLUMN())</f>
        <v/>
      </c>
      <c r="AP125" s="129" t="n"/>
      <c r="AQ125" s="129" t="n"/>
      <c r="AR125" s="129" t="n"/>
      <c r="AS125" s="129" t="n"/>
      <c r="AT125" s="1245">
        <f>INDEX(SP_CFA_FCF_PreDiv,0,COLUMN())/INDEX(SP_CS_MarketCap,0,COLUMN())</f>
        <v/>
      </c>
      <c r="AU125" s="129" t="n"/>
      <c r="AV125" s="129" t="n"/>
      <c r="AW125" s="129" t="n"/>
      <c r="AX125" s="129" t="n"/>
      <c r="AY125" s="1245">
        <f>INDEX(SP_CFA_FCF_PreDiv,0,COLUMN())/INDEX(SP_CS_MarketCap,0,COLUMN())</f>
        <v/>
      </c>
      <c r="AZ125" s="129" t="n"/>
      <c r="BA125" s="129" t="n"/>
      <c r="BB125" s="129" t="n"/>
      <c r="BC125" s="129" t="n"/>
      <c r="BD125" s="1245">
        <f>INDEX(SP_CFA_FCF_PreDiv,0,COLUMN())/INDEX(SP_CS_MarketCap,0,COLUMN())</f>
        <v/>
      </c>
      <c r="BE125" s="129" t="n"/>
      <c r="BF125" s="129" t="n"/>
      <c r="BG125" s="129" t="n"/>
      <c r="BH125" s="129" t="n"/>
      <c r="BI125" s="1245">
        <f>INDEX(SP_CFA_FCF_PreDiv,0,COLUMN())/INDEX(SP_CS_MarketCap,0,COLUMN())</f>
        <v/>
      </c>
      <c r="BJ125" s="129" t="n"/>
      <c r="BK125" s="129" t="n"/>
      <c r="BL125" s="129" t="n"/>
      <c r="BM125" s="129" t="n"/>
      <c r="BN125" s="1245">
        <f>INDEX(SP_CFA_FCF_PreDiv,0,COLUMN())/INDEX(SP_CS_MarketCap,0,COLUMN())</f>
        <v/>
      </c>
      <c r="BO125" s="129" t="n"/>
      <c r="BP125" s="129" t="n"/>
      <c r="BQ125" s="129" t="n"/>
      <c r="BR125" s="129" t="n"/>
      <c r="BS125" s="1245">
        <f>INDEX(SP_CFA_FCF_PreDiv,0,COLUMN())/INDEX(SP_CS_MarketCap,0,COLUMN())</f>
        <v/>
      </c>
      <c r="BT125" s="129" t="n"/>
      <c r="BU125" s="129" t="n"/>
      <c r="BV125" s="946" t="n"/>
      <c r="BW125" s="129" t="n"/>
      <c r="BX125" s="1245">
        <f>INDEX(SP_CFA_FCF_PreDiv,0,COLUMN())/INDEX(SP_CS_MarketCap,0,COLUMN())</f>
        <v/>
      </c>
      <c r="BY125" s="129" t="n"/>
      <c r="BZ125" s="129" t="n"/>
      <c r="CA125" s="129" t="n"/>
      <c r="CB125" s="129" t="n"/>
      <c r="CC125" s="1245">
        <f>INDEX(SP_CFA_FCF_PreDiv,0,COLUMN())/INDEX(SP_CS_MarketCap,0,COLUMN())</f>
        <v/>
      </c>
      <c r="CD125" s="1245">
        <f>INDEX(SP_CFA_FCF_PreDiv,0,COLUMN())/INDEX(SP_CS_MarketCap,0,COLUMN())</f>
        <v/>
      </c>
      <c r="CE125" s="1245">
        <f>INDEX(SP_CFA_FCF_PreDiv,0,COLUMN())/INDEX(SP_CS_MarketCap,0,COLUMN())</f>
        <v/>
      </c>
      <c r="CF125" s="1245">
        <f>INDEX(SP_CFA_FCF_PreDiv,0,COLUMN())/INDEX(SP_CS_MarketCap,0,COLUMN())</f>
        <v/>
      </c>
      <c r="CG125" s="130" t="n"/>
    </row>
    <row r="126" customFormat="1" s="966">
      <c r="A126" s="219">
        <f>"FCF Yield % to "&amp;SP.ValuationToggle&amp;" Enterprise Value"</f>
        <v/>
      </c>
      <c r="B126" s="202" t="n"/>
      <c r="C126" s="1245">
        <f>INDEX(SP_CFA_FCF_PreDiv,0,COLUMN())/INDEX(SP_CS_EV,0,COLUMN())</f>
        <v/>
      </c>
      <c r="D126" s="1245">
        <f>INDEX(SP_CFA_FCF_PreDiv,0,COLUMN())/INDEX(SP_CS_EV,0,COLUMN())</f>
        <v/>
      </c>
      <c r="E126" s="1245">
        <f>INDEX(SP_CFA_FCF_PreDiv,0,COLUMN())/INDEX(SP_CS_EV,0,COLUMN())</f>
        <v/>
      </c>
      <c r="F126" s="1245">
        <f>INDEX(SP_CFA_FCF_PreDiv,0,COLUMN())/INDEX(SP_CS_EV,0,COLUMN())</f>
        <v/>
      </c>
      <c r="G126" s="129" t="n"/>
      <c r="H126" s="129" t="n"/>
      <c r="I126" s="129" t="n"/>
      <c r="J126" s="129" t="n"/>
      <c r="K126" s="1245">
        <f>INDEX(SP_CFA_FCF_PreDiv,0,COLUMN())/INDEX(SP_CS_EV,0,COLUMN())</f>
        <v/>
      </c>
      <c r="L126" s="129" t="n"/>
      <c r="M126" s="129" t="n"/>
      <c r="N126" s="129" t="n"/>
      <c r="O126" s="129" t="n"/>
      <c r="P126" s="1245">
        <f>INDEX(SP_CFA_FCF_PreDiv,0,COLUMN())/INDEX(SP_CS_EV,0,COLUMN())</f>
        <v/>
      </c>
      <c r="Q126" s="129" t="n"/>
      <c r="R126" s="129" t="n"/>
      <c r="S126" s="129" t="n"/>
      <c r="T126" s="129" t="n"/>
      <c r="U126" s="1245">
        <f>INDEX(SP_CFA_FCF_PreDiv,0,COLUMN())/INDEX(SP_CS_EV,0,COLUMN())</f>
        <v/>
      </c>
      <c r="V126" s="129" t="n"/>
      <c r="W126" s="129" t="n"/>
      <c r="X126" s="129" t="n"/>
      <c r="Y126" s="129" t="n"/>
      <c r="Z126" s="1245">
        <f>INDEX(SP_CFA_FCF_PreDiv,0,COLUMN())/INDEX(SP_CS_EV,0,COLUMN())</f>
        <v/>
      </c>
      <c r="AA126" s="129" t="n"/>
      <c r="AB126" s="129" t="n"/>
      <c r="AC126" s="129" t="n"/>
      <c r="AD126" s="129" t="n"/>
      <c r="AE126" s="1245">
        <f>INDEX(SP_CFA_FCF_PreDiv,0,COLUMN())/INDEX(SP_CS_EV,0,COLUMN())</f>
        <v/>
      </c>
      <c r="AF126" s="129" t="n"/>
      <c r="AG126" s="129" t="n"/>
      <c r="AH126" s="129" t="n"/>
      <c r="AI126" s="129" t="n"/>
      <c r="AJ126" s="1245">
        <f>INDEX(SP_CFA_FCF_PreDiv,0,COLUMN())/INDEX(SP_CS_EV,0,COLUMN())</f>
        <v/>
      </c>
      <c r="AK126" s="129" t="n"/>
      <c r="AL126" s="129" t="n"/>
      <c r="AM126" s="129" t="n"/>
      <c r="AN126" s="129" t="n"/>
      <c r="AO126" s="1245">
        <f>INDEX(SP_CFA_FCF_PreDiv,0,COLUMN())/INDEX(SP_CS_EV,0,COLUMN())</f>
        <v/>
      </c>
      <c r="AP126" s="129" t="n"/>
      <c r="AQ126" s="129" t="n"/>
      <c r="AR126" s="129" t="n"/>
      <c r="AS126" s="129" t="n"/>
      <c r="AT126" s="1245">
        <f>INDEX(SP_CFA_FCF_PreDiv,0,COLUMN())/INDEX(SP_CS_EV,0,COLUMN())</f>
        <v/>
      </c>
      <c r="AU126" s="129" t="n"/>
      <c r="AV126" s="129" t="n"/>
      <c r="AW126" s="129" t="n"/>
      <c r="AX126" s="129" t="n"/>
      <c r="AY126" s="1245">
        <f>INDEX(SP_CFA_FCF_PreDiv,0,COLUMN())/INDEX(SP_CS_EV,0,COLUMN())</f>
        <v/>
      </c>
      <c r="AZ126" s="129" t="n"/>
      <c r="BA126" s="129" t="n"/>
      <c r="BB126" s="129" t="n"/>
      <c r="BC126" s="129" t="n"/>
      <c r="BD126" s="1245">
        <f>INDEX(SP_CFA_FCF_PreDiv,0,COLUMN())/INDEX(SP_CS_EV,0,COLUMN())</f>
        <v/>
      </c>
      <c r="BE126" s="129" t="n"/>
      <c r="BF126" s="129" t="n"/>
      <c r="BG126" s="129" t="n"/>
      <c r="BH126" s="129" t="n"/>
      <c r="BI126" s="1245">
        <f>INDEX(SP_CFA_FCF_PreDiv,0,COLUMN())/INDEX(SP_CS_EV,0,COLUMN())</f>
        <v/>
      </c>
      <c r="BJ126" s="129" t="n"/>
      <c r="BK126" s="129" t="n"/>
      <c r="BL126" s="129" t="n"/>
      <c r="BM126" s="129" t="n"/>
      <c r="BN126" s="1245">
        <f>INDEX(SP_CFA_FCF_PreDiv,0,COLUMN())/INDEX(SP_CS_EV,0,COLUMN())</f>
        <v/>
      </c>
      <c r="BO126" s="129" t="n"/>
      <c r="BP126" s="129" t="n"/>
      <c r="BQ126" s="129" t="n"/>
      <c r="BR126" s="129" t="n"/>
      <c r="BS126" s="1245">
        <f>INDEX(SP_CFA_FCF_PreDiv,0,COLUMN())/INDEX(SP_CS_EV,0,COLUMN())</f>
        <v/>
      </c>
      <c r="BT126" s="129" t="n"/>
      <c r="BU126" s="129" t="n"/>
      <c r="BV126" s="946" t="n"/>
      <c r="BW126" s="129" t="n"/>
      <c r="BX126" s="1245">
        <f>INDEX(SP_CFA_FCF_PreDiv,0,COLUMN())/INDEX(SP_CS_EV,0,COLUMN())</f>
        <v/>
      </c>
      <c r="BY126" s="129" t="n"/>
      <c r="BZ126" s="129" t="n"/>
      <c r="CA126" s="129" t="n"/>
      <c r="CB126" s="129" t="n"/>
      <c r="CC126" s="1245">
        <f>INDEX(SP_CFA_FCF_PreDiv,0,COLUMN())/INDEX(SP_CS_EV,0,COLUMN())</f>
        <v/>
      </c>
      <c r="CD126" s="1245">
        <f>INDEX(SP_CFA_FCF_PreDiv,0,COLUMN())/INDEX(SP_CS_EV,0,COLUMN())</f>
        <v/>
      </c>
      <c r="CE126" s="1245">
        <f>INDEX(SP_CFA_FCF_PreDiv,0,COLUMN())/INDEX(SP_CS_EV,0,COLUMN())</f>
        <v/>
      </c>
      <c r="CF126" s="1245">
        <f>INDEX(SP_CFA_FCF_PreDiv,0,COLUMN())/INDEX(SP_CS_EV,0,COLUMN())</f>
        <v/>
      </c>
      <c r="CG126" s="130" t="n"/>
    </row>
    <row r="127" customFormat="1" s="966">
      <c r="A127" s="219" t="n"/>
      <c r="B127" s="202" t="n"/>
      <c r="C127" s="1245" t="n"/>
      <c r="D127" s="1245" t="n"/>
      <c r="E127" s="1245" t="n"/>
      <c r="F127" s="1245" t="n"/>
      <c r="G127" s="129" t="n"/>
      <c r="H127" s="129" t="n"/>
      <c r="I127" s="129" t="n"/>
      <c r="J127" s="129" t="n"/>
      <c r="K127" s="1245" t="n"/>
      <c r="L127" s="129" t="n"/>
      <c r="M127" s="129" t="n"/>
      <c r="N127" s="129" t="n"/>
      <c r="O127" s="129" t="n"/>
      <c r="P127" s="1245" t="n"/>
      <c r="Q127" s="129" t="n"/>
      <c r="R127" s="129" t="n"/>
      <c r="S127" s="129" t="n"/>
      <c r="T127" s="129" t="n"/>
      <c r="U127" s="1245" t="n"/>
      <c r="V127" s="129" t="n"/>
      <c r="W127" s="129" t="n"/>
      <c r="X127" s="129" t="n"/>
      <c r="Y127" s="129" t="n"/>
      <c r="Z127" s="1245" t="n"/>
      <c r="AA127" s="129" t="n"/>
      <c r="AB127" s="129" t="n"/>
      <c r="AC127" s="129" t="n"/>
      <c r="AD127" s="129" t="n"/>
      <c r="AE127" s="1245" t="n"/>
      <c r="AF127" s="129" t="n"/>
      <c r="AG127" s="129" t="n"/>
      <c r="AH127" s="129" t="n"/>
      <c r="AI127" s="129" t="n"/>
      <c r="AJ127" s="1245" t="n"/>
      <c r="AK127" s="129" t="n"/>
      <c r="AL127" s="129" t="n"/>
      <c r="AM127" s="129" t="n"/>
      <c r="AN127" s="129" t="n"/>
      <c r="AO127" s="1245" t="n"/>
      <c r="AP127" s="129" t="n"/>
      <c r="AQ127" s="129" t="n"/>
      <c r="AR127" s="129" t="n"/>
      <c r="AS127" s="129" t="n"/>
      <c r="AT127" s="1245" t="n"/>
      <c r="AU127" s="129" t="n"/>
      <c r="AV127" s="129" t="n"/>
      <c r="AW127" s="129" t="n"/>
      <c r="AX127" s="129" t="n"/>
      <c r="AY127" s="1245" t="n"/>
      <c r="AZ127" s="129" t="n"/>
      <c r="BA127" s="129" t="n"/>
      <c r="BB127" s="129" t="n"/>
      <c r="BC127" s="129" t="n"/>
      <c r="BD127" s="1245" t="n"/>
      <c r="BE127" s="129" t="n"/>
      <c r="BF127" s="129" t="n"/>
      <c r="BG127" s="129" t="n"/>
      <c r="BH127" s="129" t="n"/>
      <c r="BI127" s="1245" t="n"/>
      <c r="BJ127" s="129" t="n"/>
      <c r="BK127" s="129" t="n"/>
      <c r="BL127" s="129" t="n"/>
      <c r="BM127" s="129" t="n"/>
      <c r="BN127" s="1245" t="n"/>
      <c r="BO127" s="129" t="n"/>
      <c r="BP127" s="129" t="n"/>
      <c r="BQ127" s="129" t="n"/>
      <c r="BR127" s="129" t="n"/>
      <c r="BS127" s="1245" t="n"/>
      <c r="BT127" s="129" t="n"/>
      <c r="BU127" s="129" t="n"/>
      <c r="BV127" s="946" t="n"/>
      <c r="BW127" s="129" t="n"/>
      <c r="BX127" s="1245" t="n"/>
      <c r="BY127" s="129" t="n"/>
      <c r="BZ127" s="129" t="n"/>
      <c r="CA127" s="129" t="n"/>
      <c r="CB127" s="129" t="n"/>
      <c r="CC127" s="1245" t="n"/>
      <c r="CD127" s="1245" t="n"/>
      <c r="CE127" s="1245" t="n"/>
      <c r="CF127" s="1245" t="n"/>
      <c r="CG127" s="130" t="n"/>
    </row>
    <row r="128">
      <c r="A128" s="126" t="inlineStr">
        <is>
          <t>Check</t>
        </is>
      </c>
      <c r="B128" s="1012" t="n"/>
      <c r="C128" s="1012" t="n"/>
      <c r="D128" s="1012" t="n"/>
      <c r="E128" s="1012" t="n"/>
      <c r="F128" s="1012" t="n"/>
      <c r="G128" s="1012" t="n"/>
      <c r="H128" s="1012" t="n"/>
      <c r="I128" s="1012" t="n"/>
      <c r="J128" s="1012" t="n"/>
      <c r="K128" s="1012" t="n"/>
      <c r="L128" s="1012" t="n"/>
      <c r="M128" s="1012" t="n"/>
      <c r="N128" s="1012" t="n"/>
      <c r="O128" s="1012" t="n"/>
      <c r="P128" s="1012" t="n"/>
      <c r="Q128" s="1012" t="n"/>
      <c r="R128" s="1012" t="n"/>
      <c r="S128" s="1012" t="n"/>
      <c r="T128" s="1012" t="n"/>
      <c r="U128" s="1012" t="n"/>
      <c r="V128" s="1012" t="n"/>
      <c r="W128" s="1012" t="n"/>
      <c r="X128" s="1012" t="n"/>
      <c r="Y128" s="1012" t="n"/>
      <c r="Z128" s="1012" t="n"/>
      <c r="AA128" s="1012" t="n"/>
      <c r="AB128" s="1012" t="n"/>
      <c r="AC128" s="1012" t="n"/>
      <c r="AD128" s="1012" t="n"/>
      <c r="AE128" s="1012" t="n"/>
      <c r="AF128" s="1012" t="n"/>
      <c r="AG128" s="1012" t="n"/>
      <c r="AH128" s="1012" t="n"/>
      <c r="AI128" s="1012" t="n"/>
      <c r="AJ128" s="1012" t="n"/>
      <c r="AK128" s="1012" t="n"/>
      <c r="AL128" s="1012" t="n"/>
      <c r="AM128" s="1012" t="n"/>
      <c r="AN128" s="1012" t="n"/>
      <c r="AO128" s="1012" t="n"/>
      <c r="AP128" s="1012" t="n"/>
      <c r="AQ128" s="1012" t="n"/>
      <c r="AR128" s="1012" t="n"/>
      <c r="AS128" s="1012" t="n"/>
      <c r="AT128" s="1012" t="n"/>
      <c r="AU128" s="1012" t="n"/>
      <c r="AV128" s="1012" t="n"/>
      <c r="AW128" s="1012" t="n"/>
      <c r="AX128" s="1012" t="n"/>
      <c r="AY128" s="1012" t="n"/>
      <c r="AZ128" s="1012" t="n"/>
      <c r="BA128" s="1012" t="n"/>
      <c r="BB128" s="1012" t="n"/>
      <c r="BC128" s="1012" t="n"/>
      <c r="BD128" s="1012" t="n"/>
      <c r="BE128" s="1012" t="n"/>
      <c r="BF128" s="1012" t="n"/>
      <c r="BG128" s="1012" t="n"/>
      <c r="BH128" s="1012" t="n"/>
      <c r="BI128" s="1012" t="n"/>
      <c r="BJ128" s="1012" t="n"/>
      <c r="BK128" s="1012" t="n"/>
      <c r="BL128" s="1012" t="n"/>
      <c r="BM128" s="1012" t="n"/>
      <c r="BN128" s="1012" t="n"/>
      <c r="BO128" s="1012" t="n"/>
      <c r="BP128" s="1012" t="n"/>
      <c r="BQ128" s="1012" t="n"/>
      <c r="BR128" s="1012" t="n"/>
      <c r="BS128" s="1012" t="n"/>
      <c r="BT128" s="1012" t="n"/>
      <c r="BU128" s="1012" t="n"/>
      <c r="BV128" s="1048" t="n"/>
      <c r="BW128" s="1012" t="n"/>
      <c r="BX128" s="1012" t="n"/>
      <c r="BY128" s="1012" t="n"/>
      <c r="BZ128" s="1012" t="n"/>
      <c r="CA128" s="1012" t="n"/>
      <c r="CB128" s="1012" t="n"/>
      <c r="CC128" s="1012" t="n"/>
      <c r="CD128" s="1012" t="n"/>
      <c r="CE128" s="1012" t="n"/>
      <c r="CF128" s="1012" t="n"/>
      <c r="CG128" s="130" t="n"/>
    </row>
    <row r="129" hidden="1" outlineLevel="1">
      <c r="A129" s="1013" t="inlineStr">
        <is>
          <t>Adjusted EBITDA</t>
        </is>
      </c>
      <c r="B129" s="171" t="n"/>
      <c r="C129" s="387">
        <f>ROUND(INDEX(SP_NGF_EBITDA,0,COLUMN())-INDEX(MO_RIS_EBITDA_Adj,0,COLUMN()),6)</f>
        <v/>
      </c>
      <c r="D129" s="387">
        <f>ROUND(INDEX(SP_NGF_EBITDA,0,COLUMN())-INDEX(MO_RIS_EBITDA_Adj,0,COLUMN()),6)</f>
        <v/>
      </c>
      <c r="E129" s="387">
        <f>ROUND(INDEX(SP_NGF_EBITDA,0,COLUMN())-INDEX(MO_RIS_EBITDA_Adj,0,COLUMN()),6)</f>
        <v/>
      </c>
      <c r="F129" s="387">
        <f>ROUND(INDEX(SP_NGF_EBITDA,0,COLUMN())-INDEX(MO_RIS_EBITDA_Adj,0,COLUMN()),6)</f>
        <v/>
      </c>
      <c r="G129" s="387">
        <f>ROUND(INDEX(SP_NGF_EBITDA,0,COLUMN())-INDEX(MO_RIS_EBITDA_Adj,0,COLUMN()),6)</f>
        <v/>
      </c>
      <c r="H129" s="387">
        <f>ROUND(INDEX(SP_NGF_EBITDA,0,COLUMN())-INDEX(MO_RIS_EBITDA_Adj,0,COLUMN()),6)</f>
        <v/>
      </c>
      <c r="I129" s="387">
        <f>ROUND(INDEX(SP_NGF_EBITDA,0,COLUMN())-INDEX(MO_RIS_EBITDA_Adj,0,COLUMN()),6)</f>
        <v/>
      </c>
      <c r="J129" s="387">
        <f>ROUND(INDEX(SP_NGF_EBITDA,0,COLUMN())-INDEX(MO_RIS_EBITDA_Adj,0,COLUMN()),6)</f>
        <v/>
      </c>
      <c r="K129" s="387">
        <f>ROUND(INDEX(SP_NGF_EBITDA,0,COLUMN())-INDEX(MO_RIS_EBITDA_Adj,0,COLUMN()),6)</f>
        <v/>
      </c>
      <c r="L129" s="387">
        <f>ROUND(INDEX(SP_NGF_EBITDA,0,COLUMN())-INDEX(MO_RIS_EBITDA_Adj,0,COLUMN()),6)</f>
        <v/>
      </c>
      <c r="M129" s="387">
        <f>ROUND(INDEX(SP_NGF_EBITDA,0,COLUMN())-INDEX(MO_RIS_EBITDA_Adj,0,COLUMN()),6)</f>
        <v/>
      </c>
      <c r="N129" s="387">
        <f>ROUND(INDEX(SP_NGF_EBITDA,0,COLUMN())-INDEX(MO_RIS_EBITDA_Adj,0,COLUMN()),6)</f>
        <v/>
      </c>
      <c r="O129" s="387">
        <f>ROUND(INDEX(SP_NGF_EBITDA,0,COLUMN())-INDEX(MO_RIS_EBITDA_Adj,0,COLUMN()),6)</f>
        <v/>
      </c>
      <c r="P129" s="387">
        <f>ROUND(INDEX(SP_NGF_EBITDA,0,COLUMN())-INDEX(MO_RIS_EBITDA_Adj,0,COLUMN()),6)</f>
        <v/>
      </c>
      <c r="Q129" s="387">
        <f>ROUND(INDEX(SP_NGF_EBITDA,0,COLUMN())-INDEX(MO_RIS_EBITDA_Adj,0,COLUMN()),6)</f>
        <v/>
      </c>
      <c r="R129" s="387">
        <f>ROUND(INDEX(SP_NGF_EBITDA,0,COLUMN())-INDEX(MO_RIS_EBITDA_Adj,0,COLUMN()),6)</f>
        <v/>
      </c>
      <c r="S129" s="387">
        <f>ROUND(INDEX(SP_NGF_EBITDA,0,COLUMN())-INDEX(MO_RIS_EBITDA_Adj,0,COLUMN()),6)</f>
        <v/>
      </c>
      <c r="T129" s="387">
        <f>ROUND(INDEX(SP_NGF_EBITDA,0,COLUMN())-INDEX(MO_RIS_EBITDA_Adj,0,COLUMN()),6)</f>
        <v/>
      </c>
      <c r="U129" s="387">
        <f>ROUND(INDEX(SP_NGF_EBITDA,0,COLUMN())-INDEX(MO_RIS_EBITDA_Adj,0,COLUMN()),6)</f>
        <v/>
      </c>
      <c r="V129" s="387">
        <f>ROUND(INDEX(SP_NGF_EBITDA,0,COLUMN())-INDEX(MO_RIS_EBITDA_Adj,0,COLUMN()),6)</f>
        <v/>
      </c>
      <c r="W129" s="387">
        <f>ROUND(INDEX(SP_NGF_EBITDA,0,COLUMN())-INDEX(MO_RIS_EBITDA_Adj,0,COLUMN()),6)</f>
        <v/>
      </c>
      <c r="X129" s="387">
        <f>ROUND(INDEX(SP_NGF_EBITDA,0,COLUMN())-INDEX(MO_RIS_EBITDA_Adj,0,COLUMN()),6)</f>
        <v/>
      </c>
      <c r="Y129" s="387">
        <f>ROUND(INDEX(SP_NGF_EBITDA,0,COLUMN())-INDEX(MO_RIS_EBITDA_Adj,0,COLUMN()),6)</f>
        <v/>
      </c>
      <c r="Z129" s="387">
        <f>ROUND(INDEX(SP_NGF_EBITDA,0,COLUMN())-INDEX(MO_RIS_EBITDA_Adj,0,COLUMN()),6)</f>
        <v/>
      </c>
      <c r="AA129" s="387">
        <f>ROUND(INDEX(SP_NGF_EBITDA,0,COLUMN())-INDEX(MO_RIS_EBITDA_Adj,0,COLUMN()),6)</f>
        <v/>
      </c>
      <c r="AB129" s="387">
        <f>ROUND(INDEX(SP_NGF_EBITDA,0,COLUMN())-INDEX(MO_RIS_EBITDA_Adj,0,COLUMN()),6)</f>
        <v/>
      </c>
      <c r="AC129" s="387">
        <f>ROUND(INDEX(SP_NGF_EBITDA,0,COLUMN())-INDEX(MO_RIS_EBITDA_Adj,0,COLUMN()),6)</f>
        <v/>
      </c>
      <c r="AD129" s="387">
        <f>ROUND(INDEX(SP_NGF_EBITDA,0,COLUMN())-INDEX(MO_RIS_EBITDA_Adj,0,COLUMN()),6)</f>
        <v/>
      </c>
      <c r="AE129" s="387">
        <f>ROUND(INDEX(SP_NGF_EBITDA,0,COLUMN())-INDEX(MO_RIS_EBITDA_Adj,0,COLUMN()),6)</f>
        <v/>
      </c>
      <c r="AF129" s="387">
        <f>ROUND(INDEX(SP_NGF_EBITDA,0,COLUMN())-INDEX(MO_RIS_EBITDA_Adj,0,COLUMN()),6)</f>
        <v/>
      </c>
      <c r="AG129" s="387">
        <f>ROUND(INDEX(SP_NGF_EBITDA,0,COLUMN())-INDEX(MO_RIS_EBITDA_Adj,0,COLUMN()),6)</f>
        <v/>
      </c>
      <c r="AH129" s="387">
        <f>ROUND(INDEX(SP_NGF_EBITDA,0,COLUMN())-INDEX(MO_RIS_EBITDA_Adj,0,COLUMN()),6)</f>
        <v/>
      </c>
      <c r="AI129" s="387">
        <f>ROUND(INDEX(SP_NGF_EBITDA,0,COLUMN())-INDEX(MO_RIS_EBITDA_Adj,0,COLUMN()),6)</f>
        <v/>
      </c>
      <c r="AJ129" s="387">
        <f>ROUND(INDEX(SP_NGF_EBITDA,0,COLUMN())-INDEX(MO_RIS_EBITDA_Adj,0,COLUMN()),6)</f>
        <v/>
      </c>
      <c r="AK129" s="387">
        <f>ROUND(INDEX(SP_NGF_EBITDA,0,COLUMN())-INDEX(MO_RIS_EBITDA_Adj,0,COLUMN()),6)</f>
        <v/>
      </c>
      <c r="AL129" s="387">
        <f>ROUND(INDEX(SP_NGF_EBITDA,0,COLUMN())-INDEX(MO_RIS_EBITDA_Adj,0,COLUMN()),6)</f>
        <v/>
      </c>
      <c r="AM129" s="387">
        <f>ROUND(INDEX(SP_NGF_EBITDA,0,COLUMN())-INDEX(MO_RIS_EBITDA_Adj,0,COLUMN()),6)</f>
        <v/>
      </c>
      <c r="AN129" s="387">
        <f>ROUND(INDEX(SP_NGF_EBITDA,0,COLUMN())-INDEX(MO_RIS_EBITDA_Adj,0,COLUMN()),6)</f>
        <v/>
      </c>
      <c r="AO129" s="387">
        <f>ROUND(INDEX(SP_NGF_EBITDA,0,COLUMN())-INDEX(MO_RIS_EBITDA_Adj,0,COLUMN()),6)</f>
        <v/>
      </c>
      <c r="AP129" s="387">
        <f>ROUND(INDEX(SP_NGF_EBITDA,0,COLUMN())-INDEX(MO_RIS_EBITDA_Adj,0,COLUMN()),6)</f>
        <v/>
      </c>
      <c r="AQ129" s="387">
        <f>ROUND(INDEX(SP_NGF_EBITDA,0,COLUMN())-INDEX(MO_RIS_EBITDA_Adj,0,COLUMN()),6)</f>
        <v/>
      </c>
      <c r="AR129" s="387">
        <f>ROUND(INDEX(SP_NGF_EBITDA,0,COLUMN())-INDEX(MO_RIS_EBITDA_Adj,0,COLUMN()),6)</f>
        <v/>
      </c>
      <c r="AS129" s="387">
        <f>ROUND(INDEX(SP_NGF_EBITDA,0,COLUMN())-INDEX(MO_RIS_EBITDA_Adj,0,COLUMN()),6)</f>
        <v/>
      </c>
      <c r="AT129" s="387">
        <f>ROUND(INDEX(SP_NGF_EBITDA,0,COLUMN())-INDEX(MO_RIS_EBITDA_Adj,0,COLUMN()),6)</f>
        <v/>
      </c>
      <c r="AU129" s="387">
        <f>ROUND(INDEX(SP_NGF_EBITDA,0,COLUMN())-INDEX(MO_RIS_EBITDA_Adj,0,COLUMN()),6)</f>
        <v/>
      </c>
      <c r="AV129" s="387">
        <f>ROUND(INDEX(SP_NGF_EBITDA,0,COLUMN())-INDEX(MO_RIS_EBITDA_Adj,0,COLUMN()),6)</f>
        <v/>
      </c>
      <c r="AW129" s="387">
        <f>ROUND(INDEX(SP_NGF_EBITDA,0,COLUMN())-INDEX(MO_RIS_EBITDA_Adj,0,COLUMN()),6)</f>
        <v/>
      </c>
      <c r="AX129" s="387">
        <f>ROUND(INDEX(SP_NGF_EBITDA,0,COLUMN())-INDEX(MO_RIS_EBITDA_Adj,0,COLUMN()),6)</f>
        <v/>
      </c>
      <c r="AY129" s="387">
        <f>ROUND(INDEX(SP_NGF_EBITDA,0,COLUMN())-INDEX(MO_RIS_EBITDA_Adj,0,COLUMN()),6)</f>
        <v/>
      </c>
      <c r="AZ129" s="387">
        <f>ROUND(INDEX(SP_NGF_EBITDA,0,COLUMN())-INDEX(MO_RIS_EBITDA_Adj,0,COLUMN()),6)</f>
        <v/>
      </c>
      <c r="BA129" s="387">
        <f>ROUND(INDEX(SP_NGF_EBITDA,0,COLUMN())-INDEX(MO_RIS_EBITDA_Adj,0,COLUMN()),6)</f>
        <v/>
      </c>
      <c r="BB129" s="387">
        <f>ROUND(INDEX(SP_NGF_EBITDA,0,COLUMN())-INDEX(MO_RIS_EBITDA_Adj,0,COLUMN()),6)</f>
        <v/>
      </c>
      <c r="BC129" s="387">
        <f>ROUND(INDEX(SP_NGF_EBITDA,0,COLUMN())-INDEX(MO_RIS_EBITDA_Adj,0,COLUMN()),6)</f>
        <v/>
      </c>
      <c r="BD129" s="387">
        <f>ROUND(INDEX(SP_NGF_EBITDA,0,COLUMN())-INDEX(MO_RIS_EBITDA_Adj,0,COLUMN()),6)</f>
        <v/>
      </c>
      <c r="BE129" s="387">
        <f>ROUND(INDEX(SP_NGF_EBITDA,0,COLUMN())-INDEX(MO_RIS_EBITDA_Adj,0,COLUMN()),6)</f>
        <v/>
      </c>
      <c r="BF129" s="387">
        <f>ROUND(INDEX(SP_NGF_EBITDA,0,COLUMN())-INDEX(MO_RIS_EBITDA_Adj,0,COLUMN()),6)</f>
        <v/>
      </c>
      <c r="BG129" s="387">
        <f>ROUND(INDEX(SP_NGF_EBITDA,0,COLUMN())-INDEX(MO_RIS_EBITDA_Adj,0,COLUMN()),6)</f>
        <v/>
      </c>
      <c r="BH129" s="387">
        <f>ROUND(INDEX(SP_NGF_EBITDA,0,COLUMN())-INDEX(MO_RIS_EBITDA_Adj,0,COLUMN()),6)</f>
        <v/>
      </c>
      <c r="BI129" s="387">
        <f>ROUND(INDEX(SP_NGF_EBITDA,0,COLUMN())-INDEX(MO_RIS_EBITDA_Adj,0,COLUMN()),6)</f>
        <v/>
      </c>
      <c r="BJ129" s="387">
        <f>ROUND(INDEX(SP_NGF_EBITDA,0,COLUMN())-INDEX(MO_RIS_EBITDA_Adj,0,COLUMN()),6)</f>
        <v/>
      </c>
      <c r="BK129" s="387">
        <f>ROUND(INDEX(SP_NGF_EBITDA,0,COLUMN())-INDEX(MO_RIS_EBITDA_Adj,0,COLUMN()),6)</f>
        <v/>
      </c>
      <c r="BL129" s="387">
        <f>ROUND(INDEX(SP_NGF_EBITDA,0,COLUMN())-INDEX(MO_RIS_EBITDA_Adj,0,COLUMN()),6)</f>
        <v/>
      </c>
      <c r="BM129" s="387">
        <f>ROUND(INDEX(SP_NGF_EBITDA,0,COLUMN())-INDEX(MO_RIS_EBITDA_Adj,0,COLUMN()),6)</f>
        <v/>
      </c>
      <c r="BN129" s="387">
        <f>ROUND(INDEX(SP_NGF_EBITDA,0,COLUMN())-INDEX(MO_RIS_EBITDA_Adj,0,COLUMN()),6)</f>
        <v/>
      </c>
      <c r="BO129" s="387">
        <f>ROUND(INDEX(SP_NGF_EBITDA,0,COLUMN())-INDEX(MO_RIS_EBITDA_Adj,0,COLUMN()),6)</f>
        <v/>
      </c>
      <c r="BP129" s="387">
        <f>ROUND(INDEX(SP_NGF_EBITDA,0,COLUMN())-INDEX(MO_RIS_EBITDA_Adj,0,COLUMN()),6)</f>
        <v/>
      </c>
      <c r="BQ129" s="387">
        <f>ROUND(INDEX(SP_NGF_EBITDA,0,COLUMN())-INDEX(MO_RIS_EBITDA_Adj,0,COLUMN()),6)</f>
        <v/>
      </c>
      <c r="BR129" s="387">
        <f>ROUND(INDEX(SP_NGF_EBITDA,0,COLUMN())-INDEX(MO_RIS_EBITDA_Adj,0,COLUMN()),6)</f>
        <v/>
      </c>
      <c r="BS129" s="387">
        <f>ROUND(INDEX(SP_NGF_EBITDA,0,COLUMN())-INDEX(MO_RIS_EBITDA_Adj,0,COLUMN()),6)</f>
        <v/>
      </c>
      <c r="BT129" s="387">
        <f>ROUND(INDEX(SP_NGF_EBITDA,0,COLUMN())-INDEX(MO_RIS_EBITDA_Adj,0,COLUMN()),6)</f>
        <v/>
      </c>
      <c r="BU129" s="387">
        <f>ROUND(INDEX(SP_NGF_EBITDA,0,COLUMN())-INDEX(MO_RIS_EBITDA_Adj,0,COLUMN()),6)</f>
        <v/>
      </c>
      <c r="BV129" s="1044">
        <f>ROUND(INDEX(SP_NGF_EBITDA,0,COLUMN())-INDEX(MO_RIS_EBITDA_Adj,0,COLUMN()),6)</f>
        <v/>
      </c>
      <c r="BW129" s="387">
        <f>ROUND(INDEX(SP_NGF_EBITDA,0,COLUMN())-INDEX(MO_RIS_EBITDA_Adj,0,COLUMN()),6)</f>
        <v/>
      </c>
      <c r="BX129" s="387">
        <f>ROUND(INDEX(SP_NGF_EBITDA,0,COLUMN())-INDEX(MO_RIS_EBITDA_Adj,0,COLUMN()),6)</f>
        <v/>
      </c>
      <c r="BY129" s="387">
        <f>ROUND(INDEX(SP_NGF_EBITDA,0,COLUMN())-INDEX(MO_RIS_EBITDA_Adj,0,COLUMN()),6)</f>
        <v/>
      </c>
      <c r="BZ129" s="387">
        <f>ROUND(INDEX(SP_NGF_EBITDA,0,COLUMN())-INDEX(MO_RIS_EBITDA_Adj,0,COLUMN()),6)</f>
        <v/>
      </c>
      <c r="CA129" s="387">
        <f>ROUND(INDEX(SP_NGF_EBITDA,0,COLUMN())-INDEX(MO_RIS_EBITDA_Adj,0,COLUMN()),6)</f>
        <v/>
      </c>
      <c r="CB129" s="387">
        <f>ROUND(INDEX(SP_NGF_EBITDA,0,COLUMN())-INDEX(MO_RIS_EBITDA_Adj,0,COLUMN()),6)</f>
        <v/>
      </c>
      <c r="CC129" s="387">
        <f>ROUND(INDEX(SP_NGF_EBITDA,0,COLUMN())-INDEX(MO_RIS_EBITDA_Adj,0,COLUMN()),6)</f>
        <v/>
      </c>
      <c r="CD129" s="387">
        <f>ROUND(INDEX(SP_NGF_EBITDA,0,COLUMN())-INDEX(MO_RIS_EBITDA_Adj,0,COLUMN()),6)</f>
        <v/>
      </c>
      <c r="CE129" s="387">
        <f>ROUND(INDEX(SP_NGF_EBITDA,0,COLUMN())-INDEX(MO_RIS_EBITDA_Adj,0,COLUMN()),6)</f>
        <v/>
      </c>
      <c r="CF129" s="387">
        <f>ROUND(INDEX(SP_NGF_EBITDA,0,COLUMN())-INDEX(MO_RIS_EBITDA_Adj,0,COLUMN()),6)</f>
        <v/>
      </c>
      <c r="CG129" s="130" t="n"/>
    </row>
    <row r="130" hidden="1" outlineLevel="1">
      <c r="A130" s="1013" t="inlineStr">
        <is>
          <t>Non GAAP NI</t>
        </is>
      </c>
      <c r="B130" s="171" t="n"/>
      <c r="C130" s="387">
        <f>ROUND(INDEX(SP_NGF_NI,0,COLUMN())-INDEX(MO_RIS_NI_NONGAAP_Diluted,0,COLUMN()),6)</f>
        <v/>
      </c>
      <c r="D130" s="387">
        <f>ROUND(INDEX(SP_NGF_NI,0,COLUMN())-INDEX(MO_RIS_NI_NONGAAP_Diluted,0,COLUMN()),6)</f>
        <v/>
      </c>
      <c r="E130" s="387">
        <f>ROUND(INDEX(SP_NGF_NI,0,COLUMN())-INDEX(MO_RIS_NI_NONGAAP_Diluted,0,COLUMN()),6)</f>
        <v/>
      </c>
      <c r="F130" s="387">
        <f>ROUND(INDEX(SP_NGF_NI,0,COLUMN())-INDEX(MO_RIS_NI_NONGAAP_Diluted,0,COLUMN()),6)</f>
        <v/>
      </c>
      <c r="G130" s="387">
        <f>ROUND(INDEX(SP_NGF_NI,0,COLUMN())-INDEX(MO_RIS_NI_NONGAAP_Diluted,0,COLUMN()),6)</f>
        <v/>
      </c>
      <c r="H130" s="387">
        <f>ROUND(INDEX(SP_NGF_NI,0,COLUMN())-INDEX(MO_RIS_NI_NONGAAP_Diluted,0,COLUMN()),6)</f>
        <v/>
      </c>
      <c r="I130" s="387">
        <f>ROUND(INDEX(SP_NGF_NI,0,COLUMN())-INDEX(MO_RIS_NI_NONGAAP_Diluted,0,COLUMN()),6)</f>
        <v/>
      </c>
      <c r="J130" s="387">
        <f>ROUND(INDEX(SP_NGF_NI,0,COLUMN())-INDEX(MO_RIS_NI_NONGAAP_Diluted,0,COLUMN()),6)</f>
        <v/>
      </c>
      <c r="K130" s="387">
        <f>ROUND(INDEX(SP_NGF_NI,0,COLUMN())-INDEX(MO_RIS_NI_NONGAAP_Diluted,0,COLUMN()),6)</f>
        <v/>
      </c>
      <c r="L130" s="387">
        <f>ROUND(INDEX(SP_NGF_NI,0,COLUMN())-INDEX(MO_RIS_NI_NONGAAP_Diluted,0,COLUMN()),6)</f>
        <v/>
      </c>
      <c r="M130" s="387">
        <f>ROUND(INDEX(SP_NGF_NI,0,COLUMN())-INDEX(MO_RIS_NI_NONGAAP_Diluted,0,COLUMN()),6)</f>
        <v/>
      </c>
      <c r="N130" s="387">
        <f>ROUND(INDEX(SP_NGF_NI,0,COLUMN())-INDEX(MO_RIS_NI_NONGAAP_Diluted,0,COLUMN()),6)</f>
        <v/>
      </c>
      <c r="O130" s="387">
        <f>ROUND(INDEX(SP_NGF_NI,0,COLUMN())-INDEX(MO_RIS_NI_NONGAAP_Diluted,0,COLUMN()),6)</f>
        <v/>
      </c>
      <c r="P130" s="387">
        <f>ROUND(INDEX(SP_NGF_NI,0,COLUMN())-INDEX(MO_RIS_NI_NONGAAP_Diluted,0,COLUMN()),6)</f>
        <v/>
      </c>
      <c r="Q130" s="387">
        <f>ROUND(INDEX(SP_NGF_NI,0,COLUMN())-INDEX(MO_RIS_NI_NONGAAP_Diluted,0,COLUMN()),6)</f>
        <v/>
      </c>
      <c r="R130" s="387">
        <f>ROUND(INDEX(SP_NGF_NI,0,COLUMN())-INDEX(MO_RIS_NI_NONGAAP_Diluted,0,COLUMN()),6)</f>
        <v/>
      </c>
      <c r="S130" s="387">
        <f>ROUND(INDEX(SP_NGF_NI,0,COLUMN())-INDEX(MO_RIS_NI_NONGAAP_Diluted,0,COLUMN()),6)</f>
        <v/>
      </c>
      <c r="T130" s="387">
        <f>ROUND(INDEX(SP_NGF_NI,0,COLUMN())-INDEX(MO_RIS_NI_NONGAAP_Diluted,0,COLUMN()),6)</f>
        <v/>
      </c>
      <c r="U130" s="387">
        <f>ROUND(INDEX(SP_NGF_NI,0,COLUMN())-INDEX(MO_RIS_NI_NONGAAP_Diluted,0,COLUMN()),6)</f>
        <v/>
      </c>
      <c r="V130" s="387">
        <f>ROUND(INDEX(SP_NGF_NI,0,COLUMN())-INDEX(MO_RIS_NI_NONGAAP_Diluted,0,COLUMN()),6)</f>
        <v/>
      </c>
      <c r="W130" s="387">
        <f>ROUND(INDEX(SP_NGF_NI,0,COLUMN())-INDEX(MO_RIS_NI_NONGAAP_Diluted,0,COLUMN()),6)</f>
        <v/>
      </c>
      <c r="X130" s="387">
        <f>ROUND(INDEX(SP_NGF_NI,0,COLUMN())-INDEX(MO_RIS_NI_NONGAAP_Diluted,0,COLUMN()),6)</f>
        <v/>
      </c>
      <c r="Y130" s="387">
        <f>ROUND(INDEX(SP_NGF_NI,0,COLUMN())-INDEX(MO_RIS_NI_NONGAAP_Diluted,0,COLUMN()),6)</f>
        <v/>
      </c>
      <c r="Z130" s="387">
        <f>ROUND(INDEX(SP_NGF_NI,0,COLUMN())-INDEX(MO_RIS_NI_NONGAAP_Diluted,0,COLUMN()),6)</f>
        <v/>
      </c>
      <c r="AA130" s="387">
        <f>ROUND(INDEX(SP_NGF_NI,0,COLUMN())-INDEX(MO_RIS_NI_NONGAAP_Diluted,0,COLUMN()),6)</f>
        <v/>
      </c>
      <c r="AB130" s="387">
        <f>ROUND(INDEX(SP_NGF_NI,0,COLUMN())-INDEX(MO_RIS_NI_NONGAAP_Diluted,0,COLUMN()),6)</f>
        <v/>
      </c>
      <c r="AC130" s="387">
        <f>ROUND(INDEX(SP_NGF_NI,0,COLUMN())-INDEX(MO_RIS_NI_NONGAAP_Diluted,0,COLUMN()),6)</f>
        <v/>
      </c>
      <c r="AD130" s="387">
        <f>ROUND(INDEX(SP_NGF_NI,0,COLUMN())-INDEX(MO_RIS_NI_NONGAAP_Diluted,0,COLUMN()),6)</f>
        <v/>
      </c>
      <c r="AE130" s="387">
        <f>ROUND(INDEX(SP_NGF_NI,0,COLUMN())-INDEX(MO_RIS_NI_NONGAAP_Diluted,0,COLUMN()),6)</f>
        <v/>
      </c>
      <c r="AF130" s="387">
        <f>ROUND(INDEX(SP_NGF_NI,0,COLUMN())-INDEX(MO_RIS_NI_NONGAAP_Diluted,0,COLUMN()),6)</f>
        <v/>
      </c>
      <c r="AG130" s="387">
        <f>ROUND(INDEX(SP_NGF_NI,0,COLUMN())-INDEX(MO_RIS_NI_NONGAAP_Diluted,0,COLUMN()),6)</f>
        <v/>
      </c>
      <c r="AH130" s="387">
        <f>ROUND(INDEX(SP_NGF_NI,0,COLUMN())-INDEX(MO_RIS_NI_NONGAAP_Diluted,0,COLUMN()),6)</f>
        <v/>
      </c>
      <c r="AI130" s="387">
        <f>ROUND(INDEX(SP_NGF_NI,0,COLUMN())-INDEX(MO_RIS_NI_NONGAAP_Diluted,0,COLUMN()),6)</f>
        <v/>
      </c>
      <c r="AJ130" s="387">
        <f>ROUND(INDEX(SP_NGF_NI,0,COLUMN())-INDEX(MO_RIS_NI_NONGAAP_Diluted,0,COLUMN()),6)</f>
        <v/>
      </c>
      <c r="AK130" s="387">
        <f>ROUND(INDEX(SP_NGF_NI,0,COLUMN())-INDEX(MO_RIS_NI_NONGAAP_Diluted,0,COLUMN()),6)</f>
        <v/>
      </c>
      <c r="AL130" s="387">
        <f>ROUND(INDEX(SP_NGF_NI,0,COLUMN())-INDEX(MO_RIS_NI_NONGAAP_Diluted,0,COLUMN()),6)</f>
        <v/>
      </c>
      <c r="AM130" s="387">
        <f>ROUND(INDEX(SP_NGF_NI,0,COLUMN())-INDEX(MO_RIS_NI_NONGAAP_Diluted,0,COLUMN()),6)</f>
        <v/>
      </c>
      <c r="AN130" s="387">
        <f>ROUND(INDEX(SP_NGF_NI,0,COLUMN())-INDEX(MO_RIS_NI_NONGAAP_Diluted,0,COLUMN()),6)</f>
        <v/>
      </c>
      <c r="AO130" s="387">
        <f>ROUND(INDEX(SP_NGF_NI,0,COLUMN())-INDEX(MO_RIS_NI_NONGAAP_Diluted,0,COLUMN()),6)</f>
        <v/>
      </c>
      <c r="AP130" s="387">
        <f>ROUND(INDEX(SP_NGF_NI,0,COLUMN())-INDEX(MO_RIS_NI_NONGAAP_Diluted,0,COLUMN()),6)</f>
        <v/>
      </c>
      <c r="AQ130" s="387">
        <f>ROUND(INDEX(SP_NGF_NI,0,COLUMN())-INDEX(MO_RIS_NI_NONGAAP_Diluted,0,COLUMN()),6)</f>
        <v/>
      </c>
      <c r="AR130" s="387">
        <f>ROUND(INDEX(SP_NGF_NI,0,COLUMN())-INDEX(MO_RIS_NI_NONGAAP_Diluted,0,COLUMN()),6)</f>
        <v/>
      </c>
      <c r="AS130" s="387">
        <f>ROUND(INDEX(SP_NGF_NI,0,COLUMN())-INDEX(MO_RIS_NI_NONGAAP_Diluted,0,COLUMN()),6)</f>
        <v/>
      </c>
      <c r="AT130" s="387">
        <f>ROUND(INDEX(SP_NGF_NI,0,COLUMN())-INDEX(MO_RIS_NI_NONGAAP_Diluted,0,COLUMN()),6)</f>
        <v/>
      </c>
      <c r="AU130" s="387">
        <f>ROUND(INDEX(SP_NGF_NI,0,COLUMN())-INDEX(MO_RIS_NI_NONGAAP_Diluted,0,COLUMN()),6)</f>
        <v/>
      </c>
      <c r="AV130" s="387">
        <f>ROUND(INDEX(SP_NGF_NI,0,COLUMN())-INDEX(MO_RIS_NI_NONGAAP_Diluted,0,COLUMN()),6)</f>
        <v/>
      </c>
      <c r="AW130" s="387">
        <f>ROUND(INDEX(SP_NGF_NI,0,COLUMN())-INDEX(MO_RIS_NI_NONGAAP_Diluted,0,COLUMN()),6)</f>
        <v/>
      </c>
      <c r="AX130" s="387">
        <f>ROUND(INDEX(SP_NGF_NI,0,COLUMN())-INDEX(MO_RIS_NI_NONGAAP_Diluted,0,COLUMN()),6)</f>
        <v/>
      </c>
      <c r="AY130" s="387">
        <f>ROUND(INDEX(SP_NGF_NI,0,COLUMN())-INDEX(MO_RIS_NI_NONGAAP_Diluted,0,COLUMN()),6)</f>
        <v/>
      </c>
      <c r="AZ130" s="387">
        <f>ROUND(INDEX(SP_NGF_NI,0,COLUMN())-INDEX(MO_RIS_NI_NONGAAP_Diluted,0,COLUMN()),6)</f>
        <v/>
      </c>
      <c r="BA130" s="387">
        <f>ROUND(INDEX(SP_NGF_NI,0,COLUMN())-INDEX(MO_RIS_NI_NONGAAP_Diluted,0,COLUMN()),6)</f>
        <v/>
      </c>
      <c r="BB130" s="387">
        <f>ROUND(INDEX(SP_NGF_NI,0,COLUMN())-INDEX(MO_RIS_NI_NONGAAP_Diluted,0,COLUMN()),6)</f>
        <v/>
      </c>
      <c r="BC130" s="387">
        <f>ROUND(INDEX(SP_NGF_NI,0,COLUMN())-INDEX(MO_RIS_NI_NONGAAP_Diluted,0,COLUMN()),6)</f>
        <v/>
      </c>
      <c r="BD130" s="387">
        <f>ROUND(INDEX(SP_NGF_NI,0,COLUMN())-INDEX(MO_RIS_NI_NONGAAP_Diluted,0,COLUMN()),6)</f>
        <v/>
      </c>
      <c r="BE130" s="387">
        <f>ROUND(INDEX(SP_NGF_NI,0,COLUMN())-INDEX(MO_RIS_NI_NONGAAP_Diluted,0,COLUMN()),6)</f>
        <v/>
      </c>
      <c r="BF130" s="387">
        <f>ROUND(INDEX(SP_NGF_NI,0,COLUMN())-INDEX(MO_RIS_NI_NONGAAP_Diluted,0,COLUMN()),6)</f>
        <v/>
      </c>
      <c r="BG130" s="387">
        <f>ROUND(INDEX(SP_NGF_NI,0,COLUMN())-INDEX(MO_RIS_NI_NONGAAP_Diluted,0,COLUMN()),6)</f>
        <v/>
      </c>
      <c r="BH130" s="387">
        <f>ROUND(INDEX(SP_NGF_NI,0,COLUMN())-INDEX(MO_RIS_NI_NONGAAP_Diluted,0,COLUMN()),6)</f>
        <v/>
      </c>
      <c r="BI130" s="387">
        <f>ROUND(INDEX(SP_NGF_NI,0,COLUMN())-INDEX(MO_RIS_NI_NONGAAP_Diluted,0,COLUMN()),6)</f>
        <v/>
      </c>
      <c r="BJ130" s="387">
        <f>ROUND(INDEX(SP_NGF_NI,0,COLUMN())-INDEX(MO_RIS_NI_NONGAAP_Diluted,0,COLUMN()),6)</f>
        <v/>
      </c>
      <c r="BK130" s="387">
        <f>ROUND(INDEX(SP_NGF_NI,0,COLUMN())-INDEX(MO_RIS_NI_NONGAAP_Diluted,0,COLUMN()),6)</f>
        <v/>
      </c>
      <c r="BL130" s="387">
        <f>ROUND(INDEX(SP_NGF_NI,0,COLUMN())-INDEX(MO_RIS_NI_NONGAAP_Diluted,0,COLUMN()),6)</f>
        <v/>
      </c>
      <c r="BM130" s="387">
        <f>ROUND(INDEX(SP_NGF_NI,0,COLUMN())-INDEX(MO_RIS_NI_NONGAAP_Diluted,0,COLUMN()),6)</f>
        <v/>
      </c>
      <c r="BN130" s="387">
        <f>ROUND(INDEX(SP_NGF_NI,0,COLUMN())-INDEX(MO_RIS_NI_NONGAAP_Diluted,0,COLUMN()),6)</f>
        <v/>
      </c>
      <c r="BO130" s="387">
        <f>ROUND(INDEX(SP_NGF_NI,0,COLUMN())-INDEX(MO_RIS_NI_NONGAAP_Diluted,0,COLUMN()),6)</f>
        <v/>
      </c>
      <c r="BP130" s="387">
        <f>ROUND(INDEX(SP_NGF_NI,0,COLUMN())-INDEX(MO_RIS_NI_NONGAAP_Diluted,0,COLUMN()),6)</f>
        <v/>
      </c>
      <c r="BQ130" s="387">
        <f>ROUND(INDEX(SP_NGF_NI,0,COLUMN())-INDEX(MO_RIS_NI_NONGAAP_Diluted,0,COLUMN()),6)</f>
        <v/>
      </c>
      <c r="BR130" s="387">
        <f>ROUND(INDEX(SP_NGF_NI,0,COLUMN())-INDEX(MO_RIS_NI_NONGAAP_Diluted,0,COLUMN()),6)</f>
        <v/>
      </c>
      <c r="BS130" s="387">
        <f>ROUND(INDEX(SP_NGF_NI,0,COLUMN())-INDEX(MO_RIS_NI_NONGAAP_Diluted,0,COLUMN()),6)</f>
        <v/>
      </c>
      <c r="BT130" s="387">
        <f>ROUND(INDEX(SP_NGF_NI,0,COLUMN())-INDEX(MO_RIS_NI_NONGAAP_Diluted,0,COLUMN()),6)</f>
        <v/>
      </c>
      <c r="BU130" s="387">
        <f>ROUND(INDEX(SP_NGF_NI,0,COLUMN())-INDEX(MO_RIS_NI_NONGAAP_Diluted,0,COLUMN()),6)</f>
        <v/>
      </c>
      <c r="BV130" s="1044">
        <f>ROUND(INDEX(SP_NGF_NI,0,COLUMN())-INDEX(MO_RIS_NI_NONGAAP_Diluted,0,COLUMN()),6)</f>
        <v/>
      </c>
      <c r="BW130" s="387">
        <f>ROUND(INDEX(SP_NGF_NI,0,COLUMN())-INDEX(MO_RIS_NI_NONGAAP_Diluted,0,COLUMN()),6)</f>
        <v/>
      </c>
      <c r="BX130" s="387">
        <f>ROUND(INDEX(SP_NGF_NI,0,COLUMN())-INDEX(MO_RIS_NI_NONGAAP_Diluted,0,COLUMN()),6)</f>
        <v/>
      </c>
      <c r="BY130" s="387">
        <f>ROUND(INDEX(SP_NGF_NI,0,COLUMN())-INDEX(MO_RIS_NI_NONGAAP_Diluted,0,COLUMN()),6)</f>
        <v/>
      </c>
      <c r="BZ130" s="387">
        <f>ROUND(INDEX(SP_NGF_NI,0,COLUMN())-INDEX(MO_RIS_NI_NONGAAP_Diluted,0,COLUMN()),6)</f>
        <v/>
      </c>
      <c r="CA130" s="387">
        <f>ROUND(INDEX(SP_NGF_NI,0,COLUMN())-INDEX(MO_RIS_NI_NONGAAP_Diluted,0,COLUMN()),6)</f>
        <v/>
      </c>
      <c r="CB130" s="387">
        <f>ROUND(INDEX(SP_NGF_NI,0,COLUMN())-INDEX(MO_RIS_NI_NONGAAP_Diluted,0,COLUMN()),6)</f>
        <v/>
      </c>
      <c r="CC130" s="387">
        <f>ROUND(INDEX(SP_NGF_NI,0,COLUMN())-INDEX(MO_RIS_NI_NONGAAP_Diluted,0,COLUMN()),6)</f>
        <v/>
      </c>
      <c r="CD130" s="387">
        <f>ROUND(INDEX(SP_NGF_NI,0,COLUMN())-INDEX(MO_RIS_NI_NONGAAP_Diluted,0,COLUMN()),6)</f>
        <v/>
      </c>
      <c r="CE130" s="387">
        <f>ROUND(INDEX(SP_NGF_NI,0,COLUMN())-INDEX(MO_RIS_NI_NONGAAP_Diluted,0,COLUMN()),6)</f>
        <v/>
      </c>
      <c r="CF130" s="387">
        <f>ROUND(INDEX(SP_NGF_NI,0,COLUMN())-INDEX(MO_RIS_NI_NONGAAP_Diluted,0,COLUMN()),6)</f>
        <v/>
      </c>
      <c r="CG130" s="130" t="n"/>
    </row>
    <row r="131" hidden="1" outlineLevel="1">
      <c r="A131" s="1013" t="inlineStr">
        <is>
          <t>GAAP NI</t>
        </is>
      </c>
      <c r="B131" s="171" t="n"/>
      <c r="C131" s="387">
        <f>ROUND(C45-INDEX(MO_RIS_NI_GAAP_Diluted,0,COLUMN()),6)</f>
        <v/>
      </c>
      <c r="D131" s="387">
        <f>ROUND(D45-INDEX(MO_RIS_NI_GAAP_Diluted,0,COLUMN()),6)</f>
        <v/>
      </c>
      <c r="E131" s="387">
        <f>ROUND(E45-INDEX(MO_RIS_NI_GAAP_Diluted,0,COLUMN()),6)</f>
        <v/>
      </c>
      <c r="F131" s="387">
        <f>ROUND(F45-INDEX(MO_RIS_NI_GAAP_Diluted,0,COLUMN()),6)</f>
        <v/>
      </c>
      <c r="G131" s="387">
        <f>ROUND(G45-INDEX(MO_RIS_NI_GAAP_Diluted,0,COLUMN()),6)</f>
        <v/>
      </c>
      <c r="H131" s="387">
        <f>ROUND(H45-INDEX(MO_RIS_NI_GAAP_Diluted,0,COLUMN()),6)</f>
        <v/>
      </c>
      <c r="I131" s="387">
        <f>ROUND(I45-INDEX(MO_RIS_NI_GAAP_Diluted,0,COLUMN()),6)</f>
        <v/>
      </c>
      <c r="J131" s="387">
        <f>ROUND(J45-INDEX(MO_RIS_NI_GAAP_Diluted,0,COLUMN()),6)</f>
        <v/>
      </c>
      <c r="K131" s="387">
        <f>ROUND(K45-INDEX(MO_RIS_NI_GAAP_Diluted,0,COLUMN()),6)</f>
        <v/>
      </c>
      <c r="L131" s="387">
        <f>ROUND(L45-INDEX(MO_RIS_NI_GAAP_Diluted,0,COLUMN()),6)</f>
        <v/>
      </c>
      <c r="M131" s="387">
        <f>ROUND(M45-INDEX(MO_RIS_NI_GAAP_Diluted,0,COLUMN()),6)</f>
        <v/>
      </c>
      <c r="N131" s="387">
        <f>ROUND(N45-INDEX(MO_RIS_NI_GAAP_Diluted,0,COLUMN()),6)</f>
        <v/>
      </c>
      <c r="O131" s="387">
        <f>ROUND(O45-INDEX(MO_RIS_NI_GAAP_Diluted,0,COLUMN()),6)</f>
        <v/>
      </c>
      <c r="P131" s="387">
        <f>ROUND(P45-INDEX(MO_RIS_NI_GAAP_Diluted,0,COLUMN()),6)</f>
        <v/>
      </c>
      <c r="Q131" s="387">
        <f>ROUND(Q45-INDEX(MO_RIS_NI_GAAP_Diluted,0,COLUMN()),6)</f>
        <v/>
      </c>
      <c r="R131" s="387">
        <f>ROUND(R45-INDEX(MO_RIS_NI_GAAP_Diluted,0,COLUMN()),6)</f>
        <v/>
      </c>
      <c r="S131" s="387">
        <f>ROUND(S45-INDEX(MO_RIS_NI_GAAP_Diluted,0,COLUMN()),6)</f>
        <v/>
      </c>
      <c r="T131" s="387">
        <f>ROUND(T45-INDEX(MO_RIS_NI_GAAP_Diluted,0,COLUMN()),6)</f>
        <v/>
      </c>
      <c r="U131" s="387">
        <f>ROUND(U45-INDEX(MO_RIS_NI_GAAP_Diluted,0,COLUMN()),6)</f>
        <v/>
      </c>
      <c r="V131" s="387">
        <f>ROUND(V45-INDEX(MO_RIS_NI_GAAP_Diluted,0,COLUMN()),6)</f>
        <v/>
      </c>
      <c r="W131" s="387">
        <f>ROUND(W45-INDEX(MO_RIS_NI_GAAP_Diluted,0,COLUMN()),6)</f>
        <v/>
      </c>
      <c r="X131" s="387">
        <f>ROUND(X45-INDEX(MO_RIS_NI_GAAP_Diluted,0,COLUMN()),6)</f>
        <v/>
      </c>
      <c r="Y131" s="387">
        <f>ROUND(Y45-INDEX(MO_RIS_NI_GAAP_Diluted,0,COLUMN()),6)</f>
        <v/>
      </c>
      <c r="Z131" s="387">
        <f>ROUND(Z45-INDEX(MO_RIS_NI_GAAP_Diluted,0,COLUMN()),6)</f>
        <v/>
      </c>
      <c r="AA131" s="387">
        <f>ROUND(AA45-INDEX(MO_RIS_NI_GAAP_Diluted,0,COLUMN()),6)</f>
        <v/>
      </c>
      <c r="AB131" s="387">
        <f>ROUND(AB45-INDEX(MO_RIS_NI_GAAP_Diluted,0,COLUMN()),6)</f>
        <v/>
      </c>
      <c r="AC131" s="387">
        <f>ROUND(AC45-INDEX(MO_RIS_NI_GAAP_Diluted,0,COLUMN()),6)</f>
        <v/>
      </c>
      <c r="AD131" s="387">
        <f>ROUND(AD45-INDEX(MO_RIS_NI_GAAP_Diluted,0,COLUMN()),6)</f>
        <v/>
      </c>
      <c r="AE131" s="387">
        <f>ROUND(AE45-INDEX(MO_RIS_NI_GAAP_Diluted,0,COLUMN()),6)</f>
        <v/>
      </c>
      <c r="AF131" s="387">
        <f>ROUND(AF45-INDEX(MO_RIS_NI_GAAP_Diluted,0,COLUMN()),6)</f>
        <v/>
      </c>
      <c r="AG131" s="387">
        <f>ROUND(AG45-INDEX(MO_RIS_NI_GAAP_Diluted,0,COLUMN()),6)</f>
        <v/>
      </c>
      <c r="AH131" s="387">
        <f>ROUND(AH45-INDEX(MO_RIS_NI_GAAP_Diluted,0,COLUMN()),6)</f>
        <v/>
      </c>
      <c r="AI131" s="387">
        <f>ROUND(AI45-INDEX(MO_RIS_NI_GAAP_Diluted,0,COLUMN()),6)</f>
        <v/>
      </c>
      <c r="AJ131" s="387">
        <f>ROUND(AJ45-INDEX(MO_RIS_NI_GAAP_Diluted,0,COLUMN()),6)</f>
        <v/>
      </c>
      <c r="AK131" s="387">
        <f>ROUND(AK45-INDEX(MO_RIS_NI_GAAP_Diluted,0,COLUMN()),6)</f>
        <v/>
      </c>
      <c r="AL131" s="387">
        <f>ROUND(AL45-INDEX(MO_RIS_NI_GAAP_Diluted,0,COLUMN()),6)</f>
        <v/>
      </c>
      <c r="AM131" s="387">
        <f>ROUND(AM45-INDEX(MO_RIS_NI_GAAP_Diluted,0,COLUMN()),6)</f>
        <v/>
      </c>
      <c r="AN131" s="387">
        <f>ROUND(AN45-INDEX(MO_RIS_NI_GAAP_Diluted,0,COLUMN()),6)</f>
        <v/>
      </c>
      <c r="AO131" s="387">
        <f>ROUND(AO45-INDEX(MO_RIS_NI_GAAP_Diluted,0,COLUMN()),6)</f>
        <v/>
      </c>
      <c r="AP131" s="387">
        <f>ROUND(AP45-INDEX(MO_RIS_NI_GAAP_Diluted,0,COLUMN()),6)</f>
        <v/>
      </c>
      <c r="AQ131" s="387">
        <f>ROUND(AQ45-INDEX(MO_RIS_NI_GAAP_Diluted,0,COLUMN()),6)</f>
        <v/>
      </c>
      <c r="AR131" s="387">
        <f>ROUND(AR45-INDEX(MO_RIS_NI_GAAP_Diluted,0,COLUMN()),6)</f>
        <v/>
      </c>
      <c r="AS131" s="387">
        <f>ROUND(AS45-INDEX(MO_RIS_NI_GAAP_Diluted,0,COLUMN()),6)</f>
        <v/>
      </c>
      <c r="AT131" s="387">
        <f>ROUND(AT45-INDEX(MO_RIS_NI_GAAP_Diluted,0,COLUMN()),6)</f>
        <v/>
      </c>
      <c r="AU131" s="387">
        <f>ROUND(AU45-INDEX(MO_RIS_NI_GAAP_Diluted,0,COLUMN()),6)</f>
        <v/>
      </c>
      <c r="AV131" s="387">
        <f>ROUND(AV45-INDEX(MO_RIS_NI_GAAP_Diluted,0,COLUMN()),6)</f>
        <v/>
      </c>
      <c r="AW131" s="387">
        <f>ROUND(AW45-INDEX(MO_RIS_NI_GAAP_Diluted,0,COLUMN()),6)</f>
        <v/>
      </c>
      <c r="AX131" s="387">
        <f>ROUND(AX45-INDEX(MO_RIS_NI_GAAP_Diluted,0,COLUMN()),6)</f>
        <v/>
      </c>
      <c r="AY131" s="387">
        <f>ROUND(AY45-INDEX(MO_RIS_NI_GAAP_Diluted,0,COLUMN()),6)</f>
        <v/>
      </c>
      <c r="AZ131" s="387">
        <f>ROUND(AZ45-INDEX(MO_RIS_NI_GAAP_Diluted,0,COLUMN()),6)</f>
        <v/>
      </c>
      <c r="BA131" s="387">
        <f>ROUND(BA45-INDEX(MO_RIS_NI_GAAP_Diluted,0,COLUMN()),6)</f>
        <v/>
      </c>
      <c r="BB131" s="387">
        <f>ROUND(BB45-INDEX(MO_RIS_NI_GAAP_Diluted,0,COLUMN()),6)</f>
        <v/>
      </c>
      <c r="BC131" s="387">
        <f>ROUND(BC45-INDEX(MO_RIS_NI_GAAP_Diluted,0,COLUMN()),6)</f>
        <v/>
      </c>
      <c r="BD131" s="387">
        <f>ROUND(BD45-INDEX(MO_RIS_NI_GAAP_Diluted,0,COLUMN()),6)</f>
        <v/>
      </c>
      <c r="BE131" s="387">
        <f>ROUND(BE45-INDEX(MO_RIS_NI_GAAP_Diluted,0,COLUMN()),6)</f>
        <v/>
      </c>
      <c r="BF131" s="387">
        <f>ROUND(BF45-INDEX(MO_RIS_NI_GAAP_Diluted,0,COLUMN()),6)</f>
        <v/>
      </c>
      <c r="BG131" s="387">
        <f>ROUND(BG45-INDEX(MO_RIS_NI_GAAP_Diluted,0,COLUMN()),6)</f>
        <v/>
      </c>
      <c r="BH131" s="387">
        <f>ROUND(BH45-INDEX(MO_RIS_NI_GAAP_Diluted,0,COLUMN()),6)</f>
        <v/>
      </c>
      <c r="BI131" s="387">
        <f>ROUND(BI45-INDEX(MO_RIS_NI_GAAP_Diluted,0,COLUMN()),6)</f>
        <v/>
      </c>
      <c r="BJ131" s="387">
        <f>ROUND(BJ45-INDEX(MO_RIS_NI_GAAP_Diluted,0,COLUMN()),6)</f>
        <v/>
      </c>
      <c r="BK131" s="387">
        <f>ROUND(BK45-INDEX(MO_RIS_NI_GAAP_Diluted,0,COLUMN()),6)</f>
        <v/>
      </c>
      <c r="BL131" s="387">
        <f>ROUND(BL45-INDEX(MO_RIS_NI_GAAP_Diluted,0,COLUMN()),6)</f>
        <v/>
      </c>
      <c r="BM131" s="387">
        <f>ROUND(BM45-INDEX(MO_RIS_NI_GAAP_Diluted,0,COLUMN()),6)</f>
        <v/>
      </c>
      <c r="BN131" s="387">
        <f>ROUND(BN45-INDEX(MO_RIS_NI_GAAP_Diluted,0,COLUMN()),6)</f>
        <v/>
      </c>
      <c r="BO131" s="387">
        <f>ROUND(BO45-INDEX(MO_RIS_NI_GAAP_Diluted,0,COLUMN()),6)</f>
        <v/>
      </c>
      <c r="BP131" s="387">
        <f>ROUND(BP45-INDEX(MO_RIS_NI_GAAP_Diluted,0,COLUMN()),6)</f>
        <v/>
      </c>
      <c r="BQ131" s="387">
        <f>ROUND(BQ45-INDEX(MO_RIS_NI_GAAP_Diluted,0,COLUMN()),6)</f>
        <v/>
      </c>
      <c r="BR131" s="387">
        <f>ROUND(BR45-INDEX(MO_RIS_NI_GAAP_Diluted,0,COLUMN()),6)</f>
        <v/>
      </c>
      <c r="BS131" s="387">
        <f>ROUND(BS45-INDEX(MO_RIS_NI_GAAP_Diluted,0,COLUMN()),6)</f>
        <v/>
      </c>
      <c r="BT131" s="387">
        <f>ROUND(BT45-INDEX(MO_RIS_NI_GAAP_Diluted,0,COLUMN()),6)</f>
        <v/>
      </c>
      <c r="BU131" s="387">
        <f>ROUND(BU45-INDEX(MO_RIS_NI_GAAP_Diluted,0,COLUMN()),6)</f>
        <v/>
      </c>
      <c r="BV131" s="1044">
        <f>ROUND(BV45-INDEX(MO_RIS_NI_GAAP_Diluted,0,COLUMN()),6)</f>
        <v/>
      </c>
      <c r="BW131" s="387">
        <f>ROUND(BW45-INDEX(MO_RIS_NI_GAAP_Diluted,0,COLUMN()),6)</f>
        <v/>
      </c>
      <c r="BX131" s="387">
        <f>ROUND(BX45-INDEX(MO_RIS_NI_GAAP_Diluted,0,COLUMN()),6)</f>
        <v/>
      </c>
      <c r="BY131" s="387">
        <f>ROUND(BY45-INDEX(MO_RIS_NI_GAAP_Diluted,0,COLUMN()),6)</f>
        <v/>
      </c>
      <c r="BZ131" s="387">
        <f>ROUND(BZ45-INDEX(MO_RIS_NI_GAAP_Diluted,0,COLUMN()),6)</f>
        <v/>
      </c>
      <c r="CA131" s="387">
        <f>ROUND(CA45-INDEX(MO_RIS_NI_GAAP_Diluted,0,COLUMN()),6)</f>
        <v/>
      </c>
      <c r="CB131" s="387">
        <f>ROUND(CB45-INDEX(MO_RIS_NI_GAAP_Diluted,0,COLUMN()),6)</f>
        <v/>
      </c>
      <c r="CC131" s="387">
        <f>ROUND(CC45-INDEX(MO_RIS_NI_GAAP_Diluted,0,COLUMN()),6)</f>
        <v/>
      </c>
      <c r="CD131" s="387">
        <f>ROUND(CD45-INDEX(MO_RIS_NI_GAAP_Diluted,0,COLUMN()),6)</f>
        <v/>
      </c>
      <c r="CE131" s="387">
        <f>ROUND(CE45-INDEX(MO_RIS_NI_GAAP_Diluted,0,COLUMN()),6)</f>
        <v/>
      </c>
      <c r="CF131" s="387">
        <f>ROUND(CF45-INDEX(MO_RIS_NI_GAAP_Diluted,0,COLUMN()),6)</f>
        <v/>
      </c>
      <c r="CG131" s="130" t="n"/>
    </row>
    <row r="132" hidden="1" outlineLevel="1">
      <c r="A132" s="1013" t="inlineStr">
        <is>
          <t>Change in Cash Summary = Change in Cash Model</t>
        </is>
      </c>
      <c r="B132" s="171" t="n"/>
      <c r="C132" s="387">
        <f>ROUND(INDEX(SP_CFA_NetChange,0,COLUMN())-INDEX(MO_CFS_NetChange,0,COLUMN()),6)</f>
        <v/>
      </c>
      <c r="D132" s="387">
        <f>ROUND(INDEX(SP_CFA_NetChange,0,COLUMN())-INDEX(MO_CFS_NetChange,0,COLUMN()),6)</f>
        <v/>
      </c>
      <c r="E132" s="387">
        <f>ROUND(INDEX(SP_CFA_NetChange,0,COLUMN())-INDEX(MO_CFS_NetChange,0,COLUMN()),6)</f>
        <v/>
      </c>
      <c r="F132" s="387">
        <f>ROUND(INDEX(SP_CFA_NetChange,0,COLUMN())-INDEX(MO_CFS_NetChange,0,COLUMN()),6)</f>
        <v/>
      </c>
      <c r="G132" s="387">
        <f>ROUND(INDEX(SP_CFA_NetChange,0,COLUMN())-INDEX(MO_CFS_NetChange,0,COLUMN()),6)</f>
        <v/>
      </c>
      <c r="H132" s="387">
        <f>ROUND(INDEX(SP_CFA_NetChange,0,COLUMN())-INDEX(MO_CFS_NetChange,0,COLUMN()),6)</f>
        <v/>
      </c>
      <c r="I132" s="387">
        <f>ROUND(INDEX(SP_CFA_NetChange,0,COLUMN())-INDEX(MO_CFS_NetChange,0,COLUMN()),6)</f>
        <v/>
      </c>
      <c r="J132" s="387">
        <f>ROUND(INDEX(SP_CFA_NetChange,0,COLUMN())-INDEX(MO_CFS_NetChange,0,COLUMN()),6)</f>
        <v/>
      </c>
      <c r="K132" s="387">
        <f>ROUND(INDEX(SP_CFA_NetChange,0,COLUMN())-INDEX(MO_CFS_NetChange,0,COLUMN()),6)</f>
        <v/>
      </c>
      <c r="L132" s="387">
        <f>ROUND(INDEX(SP_CFA_NetChange,0,COLUMN())-INDEX(MO_CFS_NetChange,0,COLUMN()),6)</f>
        <v/>
      </c>
      <c r="M132" s="387">
        <f>ROUND(INDEX(SP_CFA_NetChange,0,COLUMN())-INDEX(MO_CFS_NetChange,0,COLUMN()),6)</f>
        <v/>
      </c>
      <c r="N132" s="387">
        <f>ROUND(INDEX(SP_CFA_NetChange,0,COLUMN())-INDEX(MO_CFS_NetChange,0,COLUMN()),6)</f>
        <v/>
      </c>
      <c r="O132" s="387">
        <f>ROUND(INDEX(SP_CFA_NetChange,0,COLUMN())-INDEX(MO_CFS_NetChange,0,COLUMN()),6)</f>
        <v/>
      </c>
      <c r="P132" s="387">
        <f>ROUND(INDEX(SP_CFA_NetChange,0,COLUMN())-INDEX(MO_CFS_NetChange,0,COLUMN()),6)</f>
        <v/>
      </c>
      <c r="Q132" s="387">
        <f>ROUND(INDEX(SP_CFA_NetChange,0,COLUMN())-INDEX(MO_CFS_NetChange,0,COLUMN()),6)</f>
        <v/>
      </c>
      <c r="R132" s="387">
        <f>ROUND(INDEX(SP_CFA_NetChange,0,COLUMN())-INDEX(MO_CFS_NetChange,0,COLUMN()),6)</f>
        <v/>
      </c>
      <c r="S132" s="387">
        <f>ROUND(INDEX(SP_CFA_NetChange,0,COLUMN())-INDEX(MO_CFS_NetChange,0,COLUMN()),6)</f>
        <v/>
      </c>
      <c r="T132" s="387">
        <f>ROUND(INDEX(SP_CFA_NetChange,0,COLUMN())-INDEX(MO_CFS_NetChange,0,COLUMN()),6)</f>
        <v/>
      </c>
      <c r="U132" s="387">
        <f>ROUND(INDEX(SP_CFA_NetChange,0,COLUMN())-INDEX(MO_CFS_NetChange,0,COLUMN()),6)</f>
        <v/>
      </c>
      <c r="V132" s="387">
        <f>ROUND(INDEX(SP_CFA_NetChange,0,COLUMN())-INDEX(MO_CFS_NetChange,0,COLUMN()),6)</f>
        <v/>
      </c>
      <c r="W132" s="387">
        <f>ROUND(INDEX(SP_CFA_NetChange,0,COLUMN())-INDEX(MO_CFS_NetChange,0,COLUMN()),6)</f>
        <v/>
      </c>
      <c r="X132" s="387">
        <f>ROUND(INDEX(SP_CFA_NetChange,0,COLUMN())-INDEX(MO_CFS_NetChange,0,COLUMN()),6)</f>
        <v/>
      </c>
      <c r="Y132" s="387">
        <f>ROUND(INDEX(SP_CFA_NetChange,0,COLUMN())-INDEX(MO_CFS_NetChange,0,COLUMN()),6)</f>
        <v/>
      </c>
      <c r="Z132" s="387">
        <f>ROUND(INDEX(SP_CFA_NetChange,0,COLUMN())-INDEX(MO_CFS_NetChange,0,COLUMN()),6)</f>
        <v/>
      </c>
      <c r="AA132" s="387">
        <f>ROUND(INDEX(SP_CFA_NetChange,0,COLUMN())-INDEX(MO_CFS_NetChange,0,COLUMN()),6)</f>
        <v/>
      </c>
      <c r="AB132" s="387">
        <f>ROUND(INDEX(SP_CFA_NetChange,0,COLUMN())-INDEX(MO_CFS_NetChange,0,COLUMN()),6)</f>
        <v/>
      </c>
      <c r="AC132" s="387">
        <f>ROUND(INDEX(SP_CFA_NetChange,0,COLUMN())-INDEX(MO_CFS_NetChange,0,COLUMN()),6)</f>
        <v/>
      </c>
      <c r="AD132" s="387">
        <f>ROUND(INDEX(SP_CFA_NetChange,0,COLUMN())-INDEX(MO_CFS_NetChange,0,COLUMN()),6)</f>
        <v/>
      </c>
      <c r="AE132" s="387">
        <f>ROUND(INDEX(SP_CFA_NetChange,0,COLUMN())-INDEX(MO_CFS_NetChange,0,COLUMN()),6)</f>
        <v/>
      </c>
      <c r="AF132" s="387">
        <f>ROUND(INDEX(SP_CFA_NetChange,0,COLUMN())-INDEX(MO_CFS_NetChange,0,COLUMN()),6)</f>
        <v/>
      </c>
      <c r="AG132" s="387">
        <f>ROUND(INDEX(SP_CFA_NetChange,0,COLUMN())-INDEX(MO_CFS_NetChange,0,COLUMN()),6)</f>
        <v/>
      </c>
      <c r="AH132" s="387">
        <f>ROUND(INDEX(SP_CFA_NetChange,0,COLUMN())-INDEX(MO_CFS_NetChange,0,COLUMN()),6)</f>
        <v/>
      </c>
      <c r="AI132" s="387">
        <f>ROUND(INDEX(SP_CFA_NetChange,0,COLUMN())-INDEX(MO_CFS_NetChange,0,COLUMN()),6)</f>
        <v/>
      </c>
      <c r="AJ132" s="387">
        <f>ROUND(INDEX(SP_CFA_NetChange,0,COLUMN())-INDEX(MO_CFS_NetChange,0,COLUMN()),6)</f>
        <v/>
      </c>
      <c r="AK132" s="387">
        <f>ROUND(INDEX(SP_CFA_NetChange,0,COLUMN())-INDEX(MO_CFS_NetChange,0,COLUMN()),6)</f>
        <v/>
      </c>
      <c r="AL132" s="387">
        <f>ROUND(INDEX(SP_CFA_NetChange,0,COLUMN())-INDEX(MO_CFS_NetChange,0,COLUMN()),6)</f>
        <v/>
      </c>
      <c r="AM132" s="387">
        <f>ROUND(INDEX(SP_CFA_NetChange,0,COLUMN())-INDEX(MO_CFS_NetChange,0,COLUMN()),6)</f>
        <v/>
      </c>
      <c r="AN132" s="387">
        <f>ROUND(INDEX(SP_CFA_NetChange,0,COLUMN())-INDEX(MO_CFS_NetChange,0,COLUMN()),6)</f>
        <v/>
      </c>
      <c r="AO132" s="387">
        <f>ROUND(INDEX(SP_CFA_NetChange,0,COLUMN())-INDEX(MO_CFS_NetChange,0,COLUMN()),6)</f>
        <v/>
      </c>
      <c r="AP132" s="387">
        <f>ROUND(INDEX(SP_CFA_NetChange,0,COLUMN())-INDEX(MO_CFS_NetChange,0,COLUMN()),6)</f>
        <v/>
      </c>
      <c r="AQ132" s="387">
        <f>ROUND(INDEX(SP_CFA_NetChange,0,COLUMN())-INDEX(MO_CFS_NetChange,0,COLUMN()),6)</f>
        <v/>
      </c>
      <c r="AR132" s="387">
        <f>ROUND(INDEX(SP_CFA_NetChange,0,COLUMN())-INDEX(MO_CFS_NetChange,0,COLUMN()),6)</f>
        <v/>
      </c>
      <c r="AS132" s="387">
        <f>ROUND(INDEX(SP_CFA_NetChange,0,COLUMN())-INDEX(MO_CFS_NetChange,0,COLUMN()),6)</f>
        <v/>
      </c>
      <c r="AT132" s="387">
        <f>ROUND(INDEX(SP_CFA_NetChange,0,COLUMN())-INDEX(MO_CFS_NetChange,0,COLUMN()),6)</f>
        <v/>
      </c>
      <c r="AU132" s="387">
        <f>ROUND(INDEX(SP_CFA_NetChange,0,COLUMN())-INDEX(MO_CFS_NetChange,0,COLUMN()),6)</f>
        <v/>
      </c>
      <c r="AV132" s="387">
        <f>ROUND(INDEX(SP_CFA_NetChange,0,COLUMN())-INDEX(MO_CFS_NetChange,0,COLUMN()),6)</f>
        <v/>
      </c>
      <c r="AW132" s="387">
        <f>ROUND(INDEX(SP_CFA_NetChange,0,COLUMN())-INDEX(MO_CFS_NetChange,0,COLUMN()),6)</f>
        <v/>
      </c>
      <c r="AX132" s="387">
        <f>ROUND(INDEX(SP_CFA_NetChange,0,COLUMN())-INDEX(MO_CFS_NetChange,0,COLUMN()),6)</f>
        <v/>
      </c>
      <c r="AY132" s="387">
        <f>ROUND(INDEX(SP_CFA_NetChange,0,COLUMN())-INDEX(MO_CFS_NetChange,0,COLUMN()),6)</f>
        <v/>
      </c>
      <c r="AZ132" s="387">
        <f>ROUND(INDEX(SP_CFA_NetChange,0,COLUMN())-INDEX(MO_CFS_NetChange,0,COLUMN()),6)</f>
        <v/>
      </c>
      <c r="BA132" s="387">
        <f>ROUND(INDEX(SP_CFA_NetChange,0,COLUMN())-INDEX(MO_CFS_NetChange,0,COLUMN()),6)</f>
        <v/>
      </c>
      <c r="BB132" s="387">
        <f>ROUND(INDEX(SP_CFA_NetChange,0,COLUMN())-INDEX(MO_CFS_NetChange,0,COLUMN()),6)</f>
        <v/>
      </c>
      <c r="BC132" s="387">
        <f>ROUND(INDEX(SP_CFA_NetChange,0,COLUMN())-INDEX(MO_CFS_NetChange,0,COLUMN()),6)</f>
        <v/>
      </c>
      <c r="BD132" s="387">
        <f>ROUND(INDEX(SP_CFA_NetChange,0,COLUMN())-INDEX(MO_CFS_NetChange,0,COLUMN()),6)</f>
        <v/>
      </c>
      <c r="BE132" s="387">
        <f>ROUND(INDEX(SP_CFA_NetChange,0,COLUMN())-INDEX(MO_CFS_NetChange,0,COLUMN()),6)</f>
        <v/>
      </c>
      <c r="BF132" s="387">
        <f>ROUND(INDEX(SP_CFA_NetChange,0,COLUMN())-INDEX(MO_CFS_NetChange,0,COLUMN()),6)</f>
        <v/>
      </c>
      <c r="BG132" s="387">
        <f>ROUND(INDEX(SP_CFA_NetChange,0,COLUMN())-INDEX(MO_CFS_NetChange,0,COLUMN()),6)</f>
        <v/>
      </c>
      <c r="BH132" s="387">
        <f>ROUND(INDEX(SP_CFA_NetChange,0,COLUMN())-INDEX(MO_CFS_NetChange,0,COLUMN()),6)</f>
        <v/>
      </c>
      <c r="BI132" s="387">
        <f>ROUND(INDEX(SP_CFA_NetChange,0,COLUMN())-INDEX(MO_CFS_NetChange,0,COLUMN()),6)</f>
        <v/>
      </c>
      <c r="BJ132" s="387">
        <f>ROUND(INDEX(SP_CFA_NetChange,0,COLUMN())-INDEX(MO_CFS_NetChange,0,COLUMN()),6)</f>
        <v/>
      </c>
      <c r="BK132" s="387">
        <f>ROUND(INDEX(SP_CFA_NetChange,0,COLUMN())-INDEX(MO_CFS_NetChange,0,COLUMN()),6)</f>
        <v/>
      </c>
      <c r="BL132" s="387">
        <f>ROUND(INDEX(SP_CFA_NetChange,0,COLUMN())-INDEX(MO_CFS_NetChange,0,COLUMN()),6)</f>
        <v/>
      </c>
      <c r="BM132" s="387">
        <f>ROUND(INDEX(SP_CFA_NetChange,0,COLUMN())-INDEX(MO_CFS_NetChange,0,COLUMN()),6)</f>
        <v/>
      </c>
      <c r="BN132" s="387">
        <f>ROUND(INDEX(SP_CFA_NetChange,0,COLUMN())-INDEX(MO_CFS_NetChange,0,COLUMN()),6)</f>
        <v/>
      </c>
      <c r="BO132" s="387">
        <f>ROUND(INDEX(SP_CFA_NetChange,0,COLUMN())-INDEX(MO_CFS_NetChange,0,COLUMN()),6)</f>
        <v/>
      </c>
      <c r="BP132" s="387">
        <f>ROUND(INDEX(SP_CFA_NetChange,0,COLUMN())-INDEX(MO_CFS_NetChange,0,COLUMN()),6)</f>
        <v/>
      </c>
      <c r="BQ132" s="387">
        <f>ROUND(INDEX(SP_CFA_NetChange,0,COLUMN())-INDEX(MO_CFS_NetChange,0,COLUMN()),6)</f>
        <v/>
      </c>
      <c r="BR132" s="387">
        <f>ROUND(INDEX(SP_CFA_NetChange,0,COLUMN())-INDEX(MO_CFS_NetChange,0,COLUMN()),6)</f>
        <v/>
      </c>
      <c r="BS132" s="387">
        <f>ROUND(INDEX(SP_CFA_NetChange,0,COLUMN())-INDEX(MO_CFS_NetChange,0,COLUMN()),6)</f>
        <v/>
      </c>
      <c r="BT132" s="387">
        <f>ROUND(INDEX(SP_CFA_NetChange,0,COLUMN())-INDEX(MO_CFS_NetChange,0,COLUMN()),6)</f>
        <v/>
      </c>
      <c r="BU132" s="387">
        <f>ROUND(INDEX(SP_CFA_NetChange,0,COLUMN())-INDEX(MO_CFS_NetChange,0,COLUMN()),6)</f>
        <v/>
      </c>
      <c r="BV132" s="1044">
        <f>ROUND(INDEX(SP_CFA_NetChange,0,COLUMN())-INDEX(MO_CFS_NetChange,0,COLUMN()),6)</f>
        <v/>
      </c>
      <c r="BW132" s="387">
        <f>ROUND(INDEX(SP_CFA_NetChange,0,COLUMN())-INDEX(MO_CFS_NetChange,0,COLUMN()),6)</f>
        <v/>
      </c>
      <c r="BX132" s="387">
        <f>ROUND(INDEX(SP_CFA_NetChange,0,COLUMN())-INDEX(MO_CFS_NetChange,0,COLUMN()),6)</f>
        <v/>
      </c>
      <c r="BY132" s="387">
        <f>ROUND(INDEX(SP_CFA_NetChange,0,COLUMN())-INDEX(MO_CFS_NetChange,0,COLUMN()),6)</f>
        <v/>
      </c>
      <c r="BZ132" s="387">
        <f>ROUND(INDEX(SP_CFA_NetChange,0,COLUMN())-INDEX(MO_CFS_NetChange,0,COLUMN()),6)</f>
        <v/>
      </c>
      <c r="CA132" s="387">
        <f>ROUND(INDEX(SP_CFA_NetChange,0,COLUMN())-INDEX(MO_CFS_NetChange,0,COLUMN()),6)</f>
        <v/>
      </c>
      <c r="CB132" s="387">
        <f>ROUND(INDEX(SP_CFA_NetChange,0,COLUMN())-INDEX(MO_CFS_NetChange,0,COLUMN()),6)</f>
        <v/>
      </c>
      <c r="CC132" s="387">
        <f>ROUND(INDEX(SP_CFA_NetChange,0,COLUMN())-INDEX(MO_CFS_NetChange,0,COLUMN()),6)</f>
        <v/>
      </c>
      <c r="CD132" s="387">
        <f>ROUND(INDEX(SP_CFA_NetChange,0,COLUMN())-INDEX(MO_CFS_NetChange,0,COLUMN()),6)</f>
        <v/>
      </c>
      <c r="CE132" s="387">
        <f>ROUND(INDEX(SP_CFA_NetChange,0,COLUMN())-INDEX(MO_CFS_NetChange,0,COLUMN()),6)</f>
        <v/>
      </c>
      <c r="CF132" s="387">
        <f>ROUND(INDEX(SP_CFA_NetChange,0,COLUMN())-INDEX(MO_CFS_NetChange,0,COLUMN()),6)</f>
        <v/>
      </c>
      <c r="CG132" s="130" t="n"/>
    </row>
    <row r="133" collapsed="1">
      <c r="A133" s="130" t="n"/>
      <c r="B133" s="130" t="n"/>
      <c r="C133" s="185" t="n"/>
      <c r="D133" s="185" t="n"/>
      <c r="E133" s="185" t="n"/>
      <c r="F133" s="185" t="n"/>
      <c r="G133" s="130" t="n"/>
      <c r="H133" s="130" t="n"/>
      <c r="I133" s="130" t="n"/>
      <c r="J133" s="130" t="n"/>
      <c r="K133" s="185" t="n"/>
      <c r="L133" s="130" t="n"/>
      <c r="M133" s="130" t="n"/>
      <c r="N133" s="130" t="n"/>
      <c r="O133" s="130" t="n"/>
      <c r="P133" s="185" t="n"/>
      <c r="Q133" s="130" t="n"/>
      <c r="R133" s="130" t="n"/>
      <c r="S133" s="130" t="n"/>
      <c r="T133" s="130" t="n"/>
      <c r="U133" s="185" t="n"/>
      <c r="V133" s="130" t="n"/>
      <c r="W133" s="130" t="n"/>
      <c r="X133" s="130" t="n"/>
      <c r="Y133" s="130" t="n"/>
      <c r="Z133" s="185" t="n"/>
      <c r="AA133" s="130" t="n"/>
      <c r="AB133" s="130" t="n"/>
      <c r="AC133" s="130" t="n"/>
      <c r="AD133" s="130" t="n"/>
      <c r="AE133" s="185" t="n"/>
      <c r="AF133" s="130" t="n"/>
      <c r="AG133" s="130" t="n"/>
      <c r="AH133" s="130" t="n"/>
      <c r="AI133" s="130" t="n"/>
      <c r="AJ133" s="185" t="n"/>
      <c r="AK133" s="130" t="n"/>
      <c r="AL133" s="130" t="n"/>
      <c r="AM133" s="130" t="n"/>
      <c r="AN133" s="130" t="n"/>
      <c r="AO133" s="185" t="n"/>
      <c r="AP133" s="130" t="n"/>
      <c r="AQ133" s="130" t="n"/>
      <c r="AR133" s="130" t="n"/>
      <c r="AS133" s="130" t="n"/>
      <c r="AT133" s="185" t="n"/>
      <c r="AU133" s="130" t="n"/>
      <c r="AV133" s="130" t="n"/>
      <c r="AW133" s="130" t="n"/>
      <c r="AX133" s="130" t="n"/>
      <c r="AY133" s="185" t="n"/>
      <c r="AZ133" s="130" t="n"/>
      <c r="BA133" s="130" t="n"/>
      <c r="BB133" s="130" t="n"/>
      <c r="BC133" s="130" t="n"/>
      <c r="BD133" s="185" t="n"/>
      <c r="BE133" s="130" t="n"/>
      <c r="BF133" s="130" t="n"/>
      <c r="BG133" s="130" t="n"/>
      <c r="BH133" s="130" t="n"/>
      <c r="BI133" s="185" t="n"/>
      <c r="BJ133" s="130" t="n"/>
      <c r="BK133" s="130" t="n"/>
      <c r="BL133" s="130" t="n"/>
      <c r="BM133" s="130" t="n"/>
      <c r="BN133" s="185" t="n"/>
      <c r="BO133" s="130" t="n"/>
      <c r="BP133" s="130" t="n"/>
      <c r="BQ133" s="130" t="n"/>
      <c r="BR133" s="130" t="n"/>
      <c r="BS133" s="185" t="n"/>
      <c r="BT133" s="130" t="n"/>
      <c r="BU133" s="130" t="n"/>
      <c r="BV133" s="934" t="n"/>
      <c r="BW133" s="130" t="n"/>
      <c r="BX133" s="185" t="n"/>
      <c r="BY133" s="130" t="n"/>
      <c r="BZ133" s="130" t="n"/>
      <c r="CA133" s="130" t="n"/>
      <c r="CB133" s="130" t="n"/>
      <c r="CC133" s="185" t="n"/>
      <c r="CD133" s="185" t="n"/>
      <c r="CE133" s="185" t="n"/>
      <c r="CF133" s="185" t="n"/>
      <c r="CG133" s="130" t="n"/>
    </row>
    <row r="134">
      <c r="A134" s="573" t="inlineStr">
        <is>
          <t>Tegus</t>
        </is>
      </c>
      <c r="B134" s="127" t="n"/>
      <c r="C134" s="127" t="n"/>
      <c r="D134" s="127" t="n"/>
      <c r="E134" s="127" t="n"/>
      <c r="F134" s="127" t="n"/>
      <c r="G134" s="127" t="n"/>
      <c r="H134" s="127" t="n"/>
      <c r="I134" s="127" t="n"/>
      <c r="J134" s="127" t="n"/>
      <c r="K134" s="127" t="n"/>
      <c r="L134" s="127" t="n"/>
      <c r="M134" s="127" t="n"/>
      <c r="N134" s="127" t="n"/>
      <c r="O134" s="127" t="n"/>
      <c r="P134" s="127" t="n"/>
      <c r="Q134" s="127" t="n"/>
      <c r="R134" s="127" t="n"/>
      <c r="S134" s="127" t="n"/>
      <c r="T134" s="127" t="n"/>
      <c r="U134" s="127" t="n"/>
      <c r="V134" s="127" t="n"/>
      <c r="W134" s="127" t="n"/>
      <c r="X134" s="127" t="n"/>
      <c r="Y134" s="127" t="n"/>
      <c r="Z134" s="127" t="n"/>
      <c r="AA134" s="127" t="n"/>
      <c r="AB134" s="127" t="n"/>
      <c r="AC134" s="127" t="n"/>
      <c r="AD134" s="127" t="n"/>
      <c r="AE134" s="127" t="n"/>
      <c r="AF134" s="127" t="n"/>
      <c r="AG134" s="127" t="n"/>
      <c r="AH134" s="127" t="n"/>
      <c r="AI134" s="127" t="n"/>
      <c r="AJ134" s="127" t="n"/>
      <c r="AK134" s="127" t="n"/>
      <c r="AL134" s="127" t="n"/>
      <c r="AM134" s="127" t="n"/>
      <c r="AN134" s="127" t="n"/>
      <c r="AO134" s="127" t="n"/>
      <c r="AP134" s="127" t="n"/>
      <c r="AQ134" s="127" t="n"/>
      <c r="AR134" s="127" t="n"/>
      <c r="AS134" s="127" t="n"/>
      <c r="AT134" s="127" t="n"/>
      <c r="AU134" s="127" t="n"/>
      <c r="AV134" s="127" t="n"/>
      <c r="AW134" s="127" t="n"/>
      <c r="AX134" s="127" t="n"/>
      <c r="AY134" s="127" t="n"/>
      <c r="AZ134" s="127" t="n"/>
      <c r="BA134" s="127" t="n"/>
      <c r="BB134" s="127" t="n"/>
      <c r="BC134" s="127" t="n"/>
      <c r="BD134" s="127" t="n"/>
      <c r="BE134" s="127" t="n"/>
      <c r="BF134" s="127" t="n"/>
      <c r="BG134" s="127" t="n"/>
      <c r="BH134" s="127" t="n"/>
      <c r="BI134" s="127" t="n"/>
      <c r="BJ134" s="127" t="n"/>
      <c r="BK134" s="127" t="n"/>
      <c r="BL134" s="127" t="n"/>
      <c r="BM134" s="127" t="n"/>
      <c r="BN134" s="127" t="n"/>
      <c r="BO134" s="127" t="n"/>
      <c r="BP134" s="127" t="n"/>
      <c r="BQ134" s="127" t="n"/>
      <c r="BR134" s="127" t="n"/>
      <c r="BS134" s="127" t="n"/>
      <c r="BT134" s="127" t="n"/>
      <c r="BU134" s="127" t="n"/>
      <c r="BV134" s="127" t="n"/>
      <c r="BW134" s="127" t="n"/>
      <c r="BX134" s="127" t="n"/>
      <c r="BY134" s="127" t="n"/>
      <c r="BZ134" s="127" t="n"/>
      <c r="CA134" s="127" t="n"/>
      <c r="CB134" s="127" t="n"/>
      <c r="CC134" s="127" t="n"/>
      <c r="CD134" s="127" t="n"/>
      <c r="CE134" s="127" t="n"/>
      <c r="CF134" s="127" t="n"/>
      <c r="CG134" s="130" t="n"/>
    </row>
    <row r="135" collapsed="1">
      <c r="A135" s="574" t="n"/>
      <c r="B135" s="130" t="n"/>
      <c r="C135" s="130" t="n"/>
      <c r="D135" s="130" t="n"/>
      <c r="E135" s="130" t="n"/>
      <c r="F135" s="130" t="n"/>
      <c r="G135" s="130" t="n"/>
      <c r="H135" s="130" t="n"/>
      <c r="I135" s="130" t="n"/>
      <c r="J135" s="130" t="n"/>
      <c r="K135" s="130" t="n"/>
      <c r="L135" s="130" t="n"/>
      <c r="M135" s="130" t="n"/>
      <c r="N135" s="130" t="n"/>
      <c r="O135" s="130" t="n"/>
      <c r="P135" s="130" t="n"/>
      <c r="Q135" s="130" t="n"/>
      <c r="R135" s="130" t="n"/>
      <c r="S135" s="130" t="n"/>
      <c r="T135" s="130" t="n"/>
      <c r="U135" s="130" t="n"/>
      <c r="V135" s="130" t="n"/>
      <c r="W135" s="130" t="n"/>
      <c r="X135" s="130" t="n"/>
      <c r="Y135" s="130" t="n"/>
      <c r="Z135" s="130" t="n"/>
      <c r="AA135" s="130" t="n"/>
      <c r="AB135" s="130" t="n"/>
      <c r="AC135" s="130" t="n"/>
      <c r="AD135" s="130" t="n"/>
      <c r="AE135" s="130" t="n"/>
      <c r="AF135" s="130" t="n"/>
      <c r="AG135" s="130" t="n"/>
      <c r="AH135" s="130" t="n"/>
      <c r="AI135" s="130" t="n"/>
      <c r="AJ135" s="130" t="n"/>
      <c r="AK135" s="130" t="n"/>
      <c r="AL135" s="130" t="n"/>
      <c r="AM135" s="130" t="n"/>
      <c r="AN135" s="130" t="n"/>
      <c r="AO135" s="130" t="n"/>
      <c r="AP135" s="130" t="n"/>
      <c r="AQ135" s="130" t="n"/>
      <c r="AR135" s="130" t="n"/>
      <c r="AS135" s="130" t="n"/>
      <c r="AT135" s="130" t="n"/>
      <c r="AU135" s="130" t="n"/>
      <c r="AV135" s="130" t="n"/>
      <c r="AW135" s="130" t="n"/>
      <c r="AX135" s="130" t="n"/>
      <c r="AY135" s="130" t="n"/>
      <c r="AZ135" s="130" t="n"/>
      <c r="BA135" s="130" t="n"/>
      <c r="BB135" s="130" t="n"/>
      <c r="BC135" s="130" t="n"/>
      <c r="BD135" s="130" t="n"/>
      <c r="BE135" s="130" t="n"/>
      <c r="BF135" s="130" t="n"/>
      <c r="BG135" s="130" t="n"/>
      <c r="BH135" s="130" t="n"/>
      <c r="BI135" s="130" t="n"/>
      <c r="BJ135" s="130" t="n"/>
      <c r="BK135" s="130" t="n"/>
      <c r="BL135" s="130" t="n"/>
      <c r="BM135" s="130" t="n"/>
      <c r="BN135" s="130" t="n"/>
      <c r="BO135" s="130" t="n"/>
      <c r="BP135" s="130" t="n"/>
      <c r="BQ135" s="130" t="n"/>
      <c r="BR135" s="130" t="n"/>
      <c r="BS135" s="130" t="n"/>
      <c r="BT135" s="130" t="n"/>
      <c r="BU135" s="130" t="n"/>
      <c r="BV135" s="130" t="n"/>
      <c r="BW135" s="130" t="n"/>
      <c r="BX135" s="130" t="n"/>
      <c r="BY135" s="130" t="n"/>
      <c r="BZ135" s="130" t="n"/>
      <c r="CA135" s="130" t="n"/>
      <c r="CB135" s="130" t="n"/>
      <c r="CC135" s="130" t="n"/>
      <c r="CD135" s="130" t="n"/>
      <c r="CE135" s="130" t="n"/>
      <c r="CF135" s="130" t="n"/>
      <c r="CG135" s="130" t="n"/>
    </row>
  </sheetData>
  <conditionalFormatting sqref="C129:CF132">
    <cfRule type="cellIs" priority="269" operator="notEqual" dxfId="0">
      <formula>0</formula>
    </cfRule>
    <cfRule type="cellIs" priority="270" operator="equal" dxfId="1">
      <formula>0</formula>
    </cfRule>
  </conditionalFormatting>
  <dataValidations count="1">
    <dataValidation sqref="B4" showDropDown="0" showInputMessage="1" showErrorMessage="1" allowBlank="1" type="list">
      <formula1>OFFSET(tb_ValuationToggle,1,0,4,1)</formula1>
    </dataValidation>
  </dataValidations>
  <pageMargins left="0.7" right="0.7" top="0.75" bottom="0.75" header="0.3" footer="0.3"/>
  <pageSetup orientation="portrait" scale="38"/>
</worksheet>
</file>

<file path=xl/worksheets/sheet8.xml><?xml version="1.0" encoding="utf-8"?>
<worksheet xmlns="http://schemas.openxmlformats.org/spreadsheetml/2006/main">
  <sheetPr codeName="Sheet7">
    <outlinePr summaryBelow="1" summaryRight="1"/>
    <pageSetUpPr/>
  </sheetPr>
  <dimension ref="A1:AX496"/>
  <sheetViews>
    <sheetView workbookViewId="0">
      <pane xSplit="2" ySplit="5" topLeftCell="C6" activePane="bottomRight" state="frozenSplit"/>
      <selection pane="topRight" activeCell="C1" sqref="C1"/>
      <selection pane="bottomLeft" activeCell="A6" sqref="A6"/>
      <selection pane="bottomRight" activeCell="A1" sqref="A1"/>
    </sheetView>
  </sheetViews>
  <sheetFormatPr baseColWidth="10" defaultColWidth="8.83203125" defaultRowHeight="15" outlineLevelRow="2"/>
  <cols>
    <col width="50.6640625" customWidth="1" min="1" max="1"/>
    <col width="9.6640625" customWidth="1" min="2" max="6"/>
    <col hidden="1" outlineLevel="1" width="9.6640625" customWidth="1" min="7" max="10"/>
    <col collapsed="1" width="9.6640625" customWidth="1" min="11" max="11"/>
    <col hidden="1" outlineLevel="1" width="9.6640625" customWidth="1" min="12" max="15"/>
    <col collapsed="1" width="9.6640625" customWidth="1" min="16" max="16"/>
    <col hidden="1" outlineLevel="1" width="9.6640625" customWidth="1" min="17" max="20"/>
    <col collapsed="1" width="9.6640625" customWidth="1" min="21" max="21"/>
    <col hidden="1" outlineLevel="1" width="9.6640625" customWidth="1" min="22" max="25"/>
    <col collapsed="1" width="9.6640625" customWidth="1" min="26" max="26"/>
    <col hidden="1" outlineLevel="1" width="9.6640625" customWidth="1" min="27" max="30"/>
    <col collapsed="1" width="9.6640625" customWidth="1" min="31" max="31"/>
    <col hidden="1" outlineLevel="1" width="9.6640625" customWidth="1" min="32" max="35"/>
    <col collapsed="1" width="9.6640625" customWidth="1" min="36" max="36"/>
    <col hidden="1" outlineLevel="1" width="9.6640625" customWidth="1" min="37" max="40"/>
    <col collapsed="1" width="9.6640625" customWidth="1" min="41" max="41"/>
    <col hidden="1" outlineLevel="1" width="9.6640625" customWidth="1" min="42" max="45"/>
    <col collapsed="1" width="9.6640625" customWidth="1" min="46" max="46"/>
    <col width="9.6640625" customWidth="1" min="47" max="49"/>
    <col width="8.6640625" customWidth="1" min="50" max="50"/>
    <col width="9.33203125" customWidth="1" min="51" max="51"/>
  </cols>
  <sheetData>
    <row r="1" ht="29" customFormat="1" customHeight="1" s="228">
      <c r="A1" s="31" t="inlineStr">
        <is>
          <t>Mellanox Technologies, Ltd.</t>
        </is>
      </c>
      <c r="AL1" s="322" t="n"/>
    </row>
    <row r="2" customFormat="1" s="32">
      <c r="A2" s="325">
        <f>CHOOSE(MO.DataSourceIndex,MO.Ticker.Bloomberg,MO.Ticker.CapIQ,MO.Ticker.FactSet,MO.Ticker.Thomson)</f>
        <v/>
      </c>
      <c r="B2" s="156" t="n"/>
      <c r="C2" s="290">
        <f>EOMONTH(C4,-12)</f>
        <v/>
      </c>
      <c r="D2" s="155" t="n"/>
      <c r="E2" s="155" t="n"/>
      <c r="F2" s="155" t="n"/>
      <c r="G2" s="155" t="n"/>
      <c r="H2" s="155" t="n"/>
      <c r="I2" s="155" t="n"/>
      <c r="J2" s="155" t="n"/>
      <c r="K2" s="155" t="n"/>
      <c r="L2" s="155" t="n"/>
      <c r="M2" s="155" t="n"/>
      <c r="N2" s="155" t="n"/>
      <c r="O2" s="155" t="n"/>
      <c r="P2" s="155" t="n"/>
      <c r="Q2" s="155" t="n"/>
      <c r="R2" s="155" t="n"/>
      <c r="S2" s="155" t="n"/>
      <c r="T2" s="155" t="n"/>
      <c r="U2" s="155" t="n"/>
      <c r="V2" s="155" t="n"/>
      <c r="W2" s="155" t="n"/>
      <c r="X2" s="155" t="n"/>
      <c r="Y2" s="155" t="n"/>
      <c r="Z2" s="155" t="n"/>
      <c r="AA2" s="155" t="n"/>
      <c r="AB2" s="155" t="n"/>
      <c r="AC2" s="155" t="n"/>
      <c r="AD2" s="155" t="n"/>
      <c r="AE2" s="155" t="n"/>
      <c r="AF2" s="155" t="n"/>
      <c r="AG2" s="155" t="n"/>
      <c r="AH2" s="155" t="n"/>
      <c r="AI2" s="155" t="n"/>
      <c r="AJ2" s="155" t="n"/>
      <c r="AK2" s="155" t="n"/>
      <c r="AL2" s="323" t="n"/>
      <c r="AM2" s="155" t="n"/>
      <c r="AN2" s="155" t="n"/>
      <c r="AO2" s="155" t="n"/>
      <c r="AP2" s="155" t="n"/>
      <c r="AQ2" s="155" t="n"/>
      <c r="AR2" s="155" t="n"/>
      <c r="AS2" s="155" t="n"/>
      <c r="AT2" s="155" t="n"/>
      <c r="AU2" s="155" t="n"/>
      <c r="AV2" s="155" t="n"/>
      <c r="AW2" s="155" t="n"/>
      <c r="AX2" s="237" t="n"/>
    </row>
    <row r="3" customFormat="1" s="15">
      <c r="A3" s="222">
        <f>HP.TradeCurrency</f>
        <v/>
      </c>
      <c r="B3" s="151">
        <f>IF(MO.RealTime="OFF",MO.LastPriceHardcoded,MO.LastPriceFormula)</f>
        <v/>
      </c>
      <c r="C3" s="291">
        <f>C4-C2</f>
        <v/>
      </c>
      <c r="D3" s="291">
        <f>D4-C4</f>
        <v/>
      </c>
      <c r="E3" s="291">
        <f>E4-D4</f>
        <v/>
      </c>
      <c r="F3" s="291">
        <f>F4-E4</f>
        <v/>
      </c>
      <c r="G3" s="291">
        <f>G4-F4</f>
        <v/>
      </c>
      <c r="H3" s="291">
        <f>H4-G4</f>
        <v/>
      </c>
      <c r="I3" s="291">
        <f>I4-H4</f>
        <v/>
      </c>
      <c r="J3" s="291">
        <f>J4-I4</f>
        <v/>
      </c>
      <c r="K3" s="291">
        <f>K4-F4</f>
        <v/>
      </c>
      <c r="L3" s="291">
        <f>L4-K4</f>
        <v/>
      </c>
      <c r="M3" s="291">
        <f>M4-L4</f>
        <v/>
      </c>
      <c r="N3" s="291">
        <f>N4-M4</f>
        <v/>
      </c>
      <c r="O3" s="291">
        <f>O4-N4</f>
        <v/>
      </c>
      <c r="P3" s="291">
        <f>P4-K4</f>
        <v/>
      </c>
      <c r="Q3" s="291">
        <f>Q4-P4</f>
        <v/>
      </c>
      <c r="R3" s="291">
        <f>R4-Q4</f>
        <v/>
      </c>
      <c r="S3" s="291">
        <f>S4-R4</f>
        <v/>
      </c>
      <c r="T3" s="291">
        <f>T4-S4</f>
        <v/>
      </c>
      <c r="U3" s="291">
        <f>U4-P4</f>
        <v/>
      </c>
      <c r="V3" s="291">
        <f>V4-U4</f>
        <v/>
      </c>
      <c r="W3" s="291">
        <f>W4-V4</f>
        <v/>
      </c>
      <c r="X3" s="291">
        <f>X4-W4</f>
        <v/>
      </c>
      <c r="Y3" s="70">
        <f>Y4-X4</f>
        <v/>
      </c>
      <c r="Z3" s="70">
        <f>Z4-U4</f>
        <v/>
      </c>
      <c r="AA3" s="291">
        <f>AA4-Z4</f>
        <v/>
      </c>
      <c r="AB3" s="291">
        <f>AB4-AA4</f>
        <v/>
      </c>
      <c r="AC3" s="291">
        <f>AC4-AB4</f>
        <v/>
      </c>
      <c r="AD3" s="70">
        <f>AD4-AC4</f>
        <v/>
      </c>
      <c r="AE3" s="70">
        <f>AE4-Z4</f>
        <v/>
      </c>
      <c r="AF3" s="291">
        <f>AF4-AE4</f>
        <v/>
      </c>
      <c r="AG3" s="291">
        <f>AG4-AF4</f>
        <v/>
      </c>
      <c r="AH3" s="291">
        <f>AH4-AG4</f>
        <v/>
      </c>
      <c r="AI3" s="70">
        <f>AI4-AH4</f>
        <v/>
      </c>
      <c r="AJ3" s="70">
        <f>AJ4-AE4</f>
        <v/>
      </c>
      <c r="AK3" s="291">
        <f>AK4-AJ4</f>
        <v/>
      </c>
      <c r="AL3" s="300">
        <f>AL4-AK4</f>
        <v/>
      </c>
      <c r="AM3" s="70">
        <f>AM4-AL4</f>
        <v/>
      </c>
      <c r="AN3" s="70">
        <f>AN4-AM4</f>
        <v/>
      </c>
      <c r="AO3" s="70">
        <f>AO4-AJ4</f>
        <v/>
      </c>
      <c r="AP3" s="70">
        <f>AP4-AO4</f>
        <v/>
      </c>
      <c r="AQ3" s="70">
        <f>AQ4-AP4</f>
        <v/>
      </c>
      <c r="AR3" s="70">
        <f>AR4-AQ4</f>
        <v/>
      </c>
      <c r="AS3" s="70">
        <f>AS4-AR4</f>
        <v/>
      </c>
      <c r="AT3" s="70">
        <f>AT4-AO4</f>
        <v/>
      </c>
      <c r="AU3" s="70">
        <f>AU4-AT4</f>
        <v/>
      </c>
      <c r="AV3" s="70">
        <f>AV4-AU4</f>
        <v/>
      </c>
      <c r="AW3" s="70">
        <f>AW4-AV4</f>
        <v/>
      </c>
      <c r="AX3" s="326" t="n"/>
    </row>
    <row r="4">
      <c r="A4" s="223">
        <f>FP.DataSourceName</f>
        <v/>
      </c>
      <c r="B4" s="224">
        <f>IF(AND(MO.RealTimeStockPriceToggle,MO.LastPriceFormula&lt;&gt;"N/A"),"ON","OFF")</f>
        <v/>
      </c>
      <c r="C4" s="327" t="n">
        <v>40178</v>
      </c>
      <c r="D4" s="292">
        <f>EOMONTH(C4,12)</f>
        <v/>
      </c>
      <c r="E4" s="292">
        <f>EOMONTH(D4,12)</f>
        <v/>
      </c>
      <c r="F4" s="292">
        <f>EOMONTH(E4,12)</f>
        <v/>
      </c>
      <c r="G4" s="292">
        <f>EOMONTH(F4,3)</f>
        <v/>
      </c>
      <c r="H4" s="292">
        <f>EOMONTH(G4,3)</f>
        <v/>
      </c>
      <c r="I4" s="292">
        <f>EOMONTH(H4,3)</f>
        <v/>
      </c>
      <c r="J4" s="292">
        <f>EOMONTH(I4,3)</f>
        <v/>
      </c>
      <c r="K4" s="292">
        <f>J4</f>
        <v/>
      </c>
      <c r="L4" s="292">
        <f>EOMONTH(K4,3)</f>
        <v/>
      </c>
      <c r="M4" s="292">
        <f>EOMONTH(L4,3)</f>
        <v/>
      </c>
      <c r="N4" s="292">
        <f>EOMONTH(M4,3)</f>
        <v/>
      </c>
      <c r="O4" s="292">
        <f>EOMONTH(N4,3)</f>
        <v/>
      </c>
      <c r="P4" s="292">
        <f>O4</f>
        <v/>
      </c>
      <c r="Q4" s="292">
        <f>EOMONTH(P4,3)</f>
        <v/>
      </c>
      <c r="R4" s="292">
        <f>EOMONTH(Q4,3)</f>
        <v/>
      </c>
      <c r="S4" s="292">
        <f>EOMONTH(R4,3)</f>
        <v/>
      </c>
      <c r="T4" s="292">
        <f>EOMONTH(S4,3)</f>
        <v/>
      </c>
      <c r="U4" s="292">
        <f>T4</f>
        <v/>
      </c>
      <c r="V4" s="292">
        <f>EOMONTH(U4,3)</f>
        <v/>
      </c>
      <c r="W4" s="293">
        <f>EOMONTH(V4,3)</f>
        <v/>
      </c>
      <c r="X4" s="293">
        <f>EOMONTH(W4,3)</f>
        <v/>
      </c>
      <c r="Y4" s="71">
        <f>EOMONTH(X4,3)</f>
        <v/>
      </c>
      <c r="Z4" s="71">
        <f>Y4</f>
        <v/>
      </c>
      <c r="AA4" s="293">
        <f>EOMONTH(Z4,3)</f>
        <v/>
      </c>
      <c r="AB4" s="293">
        <f>EOMONTH(AA4,3)</f>
        <v/>
      </c>
      <c r="AC4" s="293">
        <f>EOMONTH(AB4,3)</f>
        <v/>
      </c>
      <c r="AD4" s="71">
        <f>EOMONTH(AC4,3)</f>
        <v/>
      </c>
      <c r="AE4" s="71">
        <f>AD4</f>
        <v/>
      </c>
      <c r="AF4" s="293">
        <f>EOMONTH(AE4,3)</f>
        <v/>
      </c>
      <c r="AG4" s="293">
        <f>EOMONTH(AF4,3)</f>
        <v/>
      </c>
      <c r="AH4" s="293">
        <f>EOMONTH(AG4,3)</f>
        <v/>
      </c>
      <c r="AI4" s="71">
        <f>EOMONTH(AH4,3)</f>
        <v/>
      </c>
      <c r="AJ4" s="71">
        <f>AI4</f>
        <v/>
      </c>
      <c r="AK4" s="293">
        <f>EOMONTH(AJ4,3)</f>
        <v/>
      </c>
      <c r="AL4" s="301">
        <f>EOMONTH(AK4,3)</f>
        <v/>
      </c>
      <c r="AM4" s="71">
        <f>EOMONTH(AL4,3)</f>
        <v/>
      </c>
      <c r="AN4" s="71">
        <f>EOMONTH(AM4,3)</f>
        <v/>
      </c>
      <c r="AO4" s="71">
        <f>AN4</f>
        <v/>
      </c>
      <c r="AP4" s="71">
        <f>EOMONTH(AO4,3)</f>
        <v/>
      </c>
      <c r="AQ4" s="71">
        <f>EOMONTH(AP4,3)</f>
        <v/>
      </c>
      <c r="AR4" s="71">
        <f>EOMONTH(AQ4,3)</f>
        <v/>
      </c>
      <c r="AS4" s="71">
        <f>EOMONTH(AR4,3)</f>
        <v/>
      </c>
      <c r="AT4" s="71">
        <f>AS4</f>
        <v/>
      </c>
      <c r="AU4" s="71">
        <f>EOMONTH(AT4,12)</f>
        <v/>
      </c>
      <c r="AV4" s="71">
        <f>EOMONTH(AU4,12)</f>
        <v/>
      </c>
      <c r="AW4" s="71">
        <f>EOMONTH(AV4,12)</f>
        <v/>
      </c>
      <c r="AX4" s="155" t="n"/>
    </row>
    <row r="5" customFormat="1" s="32">
      <c r="A5" s="74" t="inlineStr">
        <is>
          <t>USD</t>
        </is>
      </c>
      <c r="B5" s="152" t="n"/>
      <c r="C5" s="328" t="inlineStr">
        <is>
          <t>FY2009</t>
        </is>
      </c>
      <c r="D5" s="294">
        <f>CONCATENATE("FY",RIGHT(C5,4)+1)</f>
        <v/>
      </c>
      <c r="E5" s="294">
        <f>CONCATENATE("FY",RIGHT(D5,4)+1)</f>
        <v/>
      </c>
      <c r="F5" s="294">
        <f>CONCATENATE("FY",RIGHT(E5,4)+1)</f>
        <v/>
      </c>
      <c r="G5" s="294">
        <f>CONCATENATE("Q1","-",RIGHT(F5,4)+1)</f>
        <v/>
      </c>
      <c r="H5" s="294">
        <f>CONCATENATE("Q2","-",RIGHT(G5,4))</f>
        <v/>
      </c>
      <c r="I5" s="294">
        <f>CONCATENATE("Q3","-",RIGHT(H5,4))</f>
        <v/>
      </c>
      <c r="J5" s="294">
        <f>CONCATENATE("Q4","-",RIGHT(I5,4))</f>
        <v/>
      </c>
      <c r="K5" s="294">
        <f>CONCATENATE("FY",RIGHT(F5,4)+1)</f>
        <v/>
      </c>
      <c r="L5" s="294">
        <f>CONCATENATE("Q1","-",RIGHT(K5,4)+1)</f>
        <v/>
      </c>
      <c r="M5" s="294">
        <f>CONCATENATE("Q2","-",RIGHT(L5,4))</f>
        <v/>
      </c>
      <c r="N5" s="294">
        <f>CONCATENATE("Q3","-",RIGHT(M5,4))</f>
        <v/>
      </c>
      <c r="O5" s="294">
        <f>CONCATENATE("Q4","-",RIGHT(N5,4))</f>
        <v/>
      </c>
      <c r="P5" s="294">
        <f>CONCATENATE("FY",RIGHT(K5,4)+1)</f>
        <v/>
      </c>
      <c r="Q5" s="294">
        <f>CONCATENATE("Q1","-",RIGHT(P5,4)+1)</f>
        <v/>
      </c>
      <c r="R5" s="294">
        <f>CONCATENATE("Q2","-",RIGHT(Q5,4))</f>
        <v/>
      </c>
      <c r="S5" s="294">
        <f>CONCATENATE("Q3","-",RIGHT(R5,4))</f>
        <v/>
      </c>
      <c r="T5" s="294">
        <f>CONCATENATE("Q4","-",RIGHT(S5,4))</f>
        <v/>
      </c>
      <c r="U5" s="294">
        <f>CONCATENATE("FY",RIGHT(P5,4)+1)</f>
        <v/>
      </c>
      <c r="V5" s="294">
        <f>CONCATENATE("Q1","-",RIGHT(U5,4)+1)</f>
        <v/>
      </c>
      <c r="W5" s="295">
        <f>CONCATENATE("Q2","-",RIGHT(V5,4))</f>
        <v/>
      </c>
      <c r="X5" s="295">
        <f>CONCATENATE("Q3","-",RIGHT(W5,4))</f>
        <v/>
      </c>
      <c r="Y5" s="47">
        <f>CONCATENATE("Q4","-",RIGHT(X5,4))</f>
        <v/>
      </c>
      <c r="Z5" s="47">
        <f>CONCATENATE("FY",RIGHT(U5,4)+1)</f>
        <v/>
      </c>
      <c r="AA5" s="295">
        <f>CONCATENATE("Q1","-",RIGHT(Z5,4)+1)</f>
        <v/>
      </c>
      <c r="AB5" s="295">
        <f>CONCATENATE("Q2","-",RIGHT(AA5,4))</f>
        <v/>
      </c>
      <c r="AC5" s="295">
        <f>CONCATENATE("Q3","-",RIGHT(AB5,4))</f>
        <v/>
      </c>
      <c r="AD5" s="47">
        <f>CONCATENATE("Q4","-",RIGHT(AC5,4))</f>
        <v/>
      </c>
      <c r="AE5" s="47">
        <f>CONCATENATE("FY",RIGHT(Z5,4)+1)</f>
        <v/>
      </c>
      <c r="AF5" s="295">
        <f>CONCATENATE("Q1","-",RIGHT(AE5,4)+1)</f>
        <v/>
      </c>
      <c r="AG5" s="295">
        <f>CONCATENATE("Q2","-",RIGHT(AF5,4))</f>
        <v/>
      </c>
      <c r="AH5" s="295">
        <f>CONCATENATE("Q3","-",RIGHT(AG5,4))</f>
        <v/>
      </c>
      <c r="AI5" s="47">
        <f>CONCATENATE("Q4","-",RIGHT(AH5,4))</f>
        <v/>
      </c>
      <c r="AJ5" s="47">
        <f>CONCATENATE("FY",RIGHT(AE5,4)+1)</f>
        <v/>
      </c>
      <c r="AK5" s="295">
        <f>CONCATENATE("Q1","-",RIGHT(AJ5,4)+1)</f>
        <v/>
      </c>
      <c r="AL5" s="302">
        <f>CONCATENATE("Q2","-",RIGHT(AK5,4))</f>
        <v/>
      </c>
      <c r="AM5" s="47">
        <f>CONCATENATE("Q3","-",RIGHT(AL5,4))</f>
        <v/>
      </c>
      <c r="AN5" s="47">
        <f>CONCATENATE("Q4","-",RIGHT(AM5,4))</f>
        <v/>
      </c>
      <c r="AO5" s="47">
        <f>CONCATENATE("FY",RIGHT(AJ5,4)+1)</f>
        <v/>
      </c>
      <c r="AP5" s="47">
        <f>CONCATENATE("Q1","-",RIGHT(AO5,4)+1)</f>
        <v/>
      </c>
      <c r="AQ5" s="47">
        <f>CONCATENATE("Q2","-",RIGHT(AP5,4))</f>
        <v/>
      </c>
      <c r="AR5" s="47">
        <f>CONCATENATE("Q3","-",RIGHT(AQ5,4))</f>
        <v/>
      </c>
      <c r="AS5" s="47">
        <f>CONCATENATE("Q4","-",RIGHT(AR5,4))</f>
        <v/>
      </c>
      <c r="AT5" s="47">
        <f>CONCATENATE("FY",RIGHT(AO5,4)+1)</f>
        <v/>
      </c>
      <c r="AU5" s="47">
        <f>CONCATENATE("FY",RIGHT(AT5,4)+1)</f>
        <v/>
      </c>
      <c r="AV5" s="47">
        <f>CONCATENATE("FY",RIGHT(AU5,4)+1)</f>
        <v/>
      </c>
      <c r="AW5" s="47">
        <f>CONCATENATE("FY",RIGHT(AV5,4)+1)</f>
        <v/>
      </c>
      <c r="AX5" s="237" t="n"/>
    </row>
    <row r="6" customFormat="1" s="16">
      <c r="A6" s="46" t="inlineStr">
        <is>
          <t>Growth Analysis</t>
        </is>
      </c>
      <c r="B6" s="46" t="n"/>
      <c r="C6" s="46" t="n"/>
      <c r="D6" s="46" t="n"/>
      <c r="E6" s="46" t="n"/>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c r="AE6" s="46" t="n"/>
      <c r="AF6" s="46" t="n"/>
      <c r="AG6" s="46" t="n"/>
      <c r="AH6" s="46" t="n"/>
      <c r="AI6" s="46" t="n"/>
      <c r="AJ6" s="46" t="n"/>
      <c r="AK6" s="46" t="n"/>
      <c r="AL6" s="303" t="n"/>
      <c r="AM6" s="46" t="n"/>
      <c r="AN6" s="46" t="n"/>
      <c r="AO6" s="46" t="n"/>
      <c r="AP6" s="46" t="n"/>
      <c r="AQ6" s="46" t="n"/>
      <c r="AR6" s="46" t="n"/>
      <c r="AS6" s="46" t="n"/>
      <c r="AT6" s="46" t="n"/>
      <c r="AU6" s="46" t="n"/>
      <c r="AV6" s="46" t="n"/>
      <c r="AW6" s="46" t="n"/>
      <c r="AX6" s="25" t="n"/>
    </row>
    <row r="7" customFormat="1" s="333">
      <c r="A7" s="329" t="inlineStr">
        <is>
          <t>ICs Revenue Growth, %</t>
        </is>
      </c>
      <c r="B7" s="34" t="n"/>
      <c r="C7" s="285" t="n"/>
      <c r="D7" s="285">
        <f>D14/C14-1</f>
        <v/>
      </c>
      <c r="E7" s="285">
        <f>E14/D14-1</f>
        <v/>
      </c>
      <c r="F7" s="285">
        <f>F14/E14-1</f>
        <v/>
      </c>
      <c r="G7" s="330" t="n"/>
      <c r="H7" s="330" t="n"/>
      <c r="I7" s="330" t="n"/>
      <c r="J7" s="330" t="n"/>
      <c r="K7" s="285">
        <f>K14/F14-1</f>
        <v/>
      </c>
      <c r="L7" s="330">
        <f>L14/G14-1</f>
        <v/>
      </c>
      <c r="M7" s="330">
        <f>M14/H14-1</f>
        <v/>
      </c>
      <c r="N7" s="330">
        <f>N14/I14-1</f>
        <v/>
      </c>
      <c r="O7" s="330">
        <f>O14/J14-1</f>
        <v/>
      </c>
      <c r="P7" s="285">
        <f>P14/K14-1</f>
        <v/>
      </c>
      <c r="Q7" s="330">
        <f>Q14/L14-1</f>
        <v/>
      </c>
      <c r="R7" s="330">
        <f>R14/M14-1</f>
        <v/>
      </c>
      <c r="S7" s="330">
        <f>S14/N14-1</f>
        <v/>
      </c>
      <c r="T7" s="330">
        <f>T14/O14-1</f>
        <v/>
      </c>
      <c r="U7" s="285">
        <f>U14/P14-1</f>
        <v/>
      </c>
      <c r="V7" s="330">
        <f>V14/Q14-1</f>
        <v/>
      </c>
      <c r="W7" s="330">
        <f>W14/R14-1</f>
        <v/>
      </c>
      <c r="X7" s="330">
        <f>X14/S14-1</f>
        <v/>
      </c>
      <c r="Y7" s="330">
        <f>Y14/T14-1</f>
        <v/>
      </c>
      <c r="Z7" s="285">
        <f>Z14/U14-1</f>
        <v/>
      </c>
      <c r="AA7" s="330">
        <f>AA14/V14-1</f>
        <v/>
      </c>
      <c r="AB7" s="330">
        <f>AB14/W14-1</f>
        <v/>
      </c>
      <c r="AC7" s="330">
        <f>AC14/X14-1</f>
        <v/>
      </c>
      <c r="AD7" s="330">
        <f>AD14/Y14-1</f>
        <v/>
      </c>
      <c r="AE7" s="285">
        <f>AE14/Z14-1</f>
        <v/>
      </c>
      <c r="AF7" s="330">
        <f>AF14/AA14-1</f>
        <v/>
      </c>
      <c r="AG7" s="330">
        <f>AG14/AB14-1</f>
        <v/>
      </c>
      <c r="AH7" s="330">
        <f>AH14/AC14-1</f>
        <v/>
      </c>
      <c r="AI7" s="330">
        <f>AI14/AD14-1</f>
        <v/>
      </c>
      <c r="AJ7" s="285">
        <f>AJ14/AE14-1</f>
        <v/>
      </c>
      <c r="AK7" s="330">
        <f>AK14/AF14-1</f>
        <v/>
      </c>
      <c r="AL7" s="331">
        <f>AL14/AG14-1</f>
        <v/>
      </c>
      <c r="AM7" s="29" t="n"/>
      <c r="AN7" s="29" t="n"/>
      <c r="AO7" s="48" t="n"/>
      <c r="AP7" s="29" t="n"/>
      <c r="AQ7" s="29" t="n"/>
      <c r="AR7" s="29" t="n"/>
      <c r="AS7" s="29" t="n"/>
      <c r="AT7" s="48" t="n"/>
      <c r="AU7" s="7" t="n"/>
      <c r="AV7" s="7" t="n"/>
      <c r="AW7" s="7" t="n"/>
      <c r="AX7" s="332" t="n"/>
    </row>
    <row r="8" customFormat="1" s="333">
      <c r="A8" s="329" t="inlineStr">
        <is>
          <t>Boards Revenue Growth, %</t>
        </is>
      </c>
      <c r="B8" s="34" t="n"/>
      <c r="C8" s="285" t="n"/>
      <c r="D8" s="285">
        <f>D15/C15-1</f>
        <v/>
      </c>
      <c r="E8" s="285">
        <f>E15/D15-1</f>
        <v/>
      </c>
      <c r="F8" s="285">
        <f>F15/E15-1</f>
        <v/>
      </c>
      <c r="G8" s="330" t="n"/>
      <c r="H8" s="330" t="n"/>
      <c r="I8" s="330" t="n"/>
      <c r="J8" s="330" t="n"/>
      <c r="K8" s="285">
        <f>K15/F15-1</f>
        <v/>
      </c>
      <c r="L8" s="330">
        <f>L15/G15-1</f>
        <v/>
      </c>
      <c r="M8" s="330">
        <f>M15/H15-1</f>
        <v/>
      </c>
      <c r="N8" s="330">
        <f>N15/I15-1</f>
        <v/>
      </c>
      <c r="O8" s="330">
        <f>O15/J15-1</f>
        <v/>
      </c>
      <c r="P8" s="285">
        <f>P15/K15-1</f>
        <v/>
      </c>
      <c r="Q8" s="330">
        <f>Q15/L15-1</f>
        <v/>
      </c>
      <c r="R8" s="330">
        <f>R15/M15-1</f>
        <v/>
      </c>
      <c r="S8" s="330">
        <f>S15/N15-1</f>
        <v/>
      </c>
      <c r="T8" s="330">
        <f>T15/O15-1</f>
        <v/>
      </c>
      <c r="U8" s="285">
        <f>U15/P15-1</f>
        <v/>
      </c>
      <c r="V8" s="330">
        <f>V15/Q15-1</f>
        <v/>
      </c>
      <c r="W8" s="330">
        <f>W15/R15-1</f>
        <v/>
      </c>
      <c r="X8" s="330">
        <f>X15/S15-1</f>
        <v/>
      </c>
      <c r="Y8" s="330">
        <f>Y15/T15-1</f>
        <v/>
      </c>
      <c r="Z8" s="285">
        <f>Z15/U15-1</f>
        <v/>
      </c>
      <c r="AA8" s="330">
        <f>AA15/V15-1</f>
        <v/>
      </c>
      <c r="AB8" s="330">
        <f>AB15/W15-1</f>
        <v/>
      </c>
      <c r="AC8" s="330">
        <f>AC15/X15-1</f>
        <v/>
      </c>
      <c r="AD8" s="330">
        <f>AD15/Y15-1</f>
        <v/>
      </c>
      <c r="AE8" s="285">
        <f>AE15/Z15-1</f>
        <v/>
      </c>
      <c r="AF8" s="330">
        <f>AF15/AA15-1</f>
        <v/>
      </c>
      <c r="AG8" s="330">
        <f>AG15/AB15-1</f>
        <v/>
      </c>
      <c r="AH8" s="330">
        <f>AH15/AC15-1</f>
        <v/>
      </c>
      <c r="AI8" s="330">
        <f>AI15/AD15-1</f>
        <v/>
      </c>
      <c r="AJ8" s="285">
        <f>AJ15/AE15-1</f>
        <v/>
      </c>
      <c r="AK8" s="330">
        <f>AK15/AF15-1</f>
        <v/>
      </c>
      <c r="AL8" s="331">
        <f>AL15/AG15-1</f>
        <v/>
      </c>
      <c r="AM8" s="29" t="n"/>
      <c r="AN8" s="29" t="n"/>
      <c r="AO8" s="48" t="n"/>
      <c r="AP8" s="29" t="n"/>
      <c r="AQ8" s="29" t="n"/>
      <c r="AR8" s="29" t="n"/>
      <c r="AS8" s="29" t="n"/>
      <c r="AT8" s="48" t="n"/>
      <c r="AU8" s="7" t="n"/>
      <c r="AV8" s="7" t="n"/>
      <c r="AW8" s="7" t="n"/>
      <c r="AX8" s="332" t="n"/>
    </row>
    <row r="9" customFormat="1" s="333">
      <c r="A9" s="329" t="inlineStr">
        <is>
          <t>Switch and Gateway Systems Revenue Growth, %</t>
        </is>
      </c>
      <c r="B9" s="34" t="n"/>
      <c r="C9" s="285" t="n"/>
      <c r="D9" s="285">
        <f>D16/C16-1</f>
        <v/>
      </c>
      <c r="E9" s="285">
        <f>E16/D16-1</f>
        <v/>
      </c>
      <c r="F9" s="285">
        <f>F16/E16-1</f>
        <v/>
      </c>
      <c r="G9" s="330" t="n"/>
      <c r="H9" s="330" t="n"/>
      <c r="I9" s="330" t="n"/>
      <c r="J9" s="330" t="n"/>
      <c r="K9" s="285">
        <f>K16/F16-1</f>
        <v/>
      </c>
      <c r="L9" s="330">
        <f>L16/G16-1</f>
        <v/>
      </c>
      <c r="M9" s="330">
        <f>M16/H16-1</f>
        <v/>
      </c>
      <c r="N9" s="330">
        <f>N16/I16-1</f>
        <v/>
      </c>
      <c r="O9" s="330">
        <f>O16/J16-1</f>
        <v/>
      </c>
      <c r="P9" s="285">
        <f>P16/K16-1</f>
        <v/>
      </c>
      <c r="Q9" s="330">
        <f>Q16/L16-1</f>
        <v/>
      </c>
      <c r="R9" s="330">
        <f>R16/M16-1</f>
        <v/>
      </c>
      <c r="S9" s="330">
        <f>S16/N16-1</f>
        <v/>
      </c>
      <c r="T9" s="330">
        <f>T16/O16-1</f>
        <v/>
      </c>
      <c r="U9" s="285">
        <f>U16/P16-1</f>
        <v/>
      </c>
      <c r="V9" s="330">
        <f>V16/Q16-1</f>
        <v/>
      </c>
      <c r="W9" s="330">
        <f>W16/R16-1</f>
        <v/>
      </c>
      <c r="X9" s="330">
        <f>X16/S16-1</f>
        <v/>
      </c>
      <c r="Y9" s="330">
        <f>Y16/T16-1</f>
        <v/>
      </c>
      <c r="Z9" s="285">
        <f>Z16/U16-1</f>
        <v/>
      </c>
      <c r="AA9" s="330">
        <f>AA16/V16-1</f>
        <v/>
      </c>
      <c r="AB9" s="330">
        <f>AB16/W16-1</f>
        <v/>
      </c>
      <c r="AC9" s="330">
        <f>AC16/X16-1</f>
        <v/>
      </c>
      <c r="AD9" s="330">
        <f>AD16/Y16-1</f>
        <v/>
      </c>
      <c r="AE9" s="285">
        <f>AE16/Z16-1</f>
        <v/>
      </c>
      <c r="AF9" s="330">
        <f>AF16/AA16-1</f>
        <v/>
      </c>
      <c r="AG9" s="330">
        <f>AG16/AB16-1</f>
        <v/>
      </c>
      <c r="AH9" s="330">
        <f>AH16/AC16-1</f>
        <v/>
      </c>
      <c r="AI9" s="330">
        <f>AI16/AD16-1</f>
        <v/>
      </c>
      <c r="AJ9" s="285">
        <f>AJ16/AE16-1</f>
        <v/>
      </c>
      <c r="AK9" s="330">
        <f>AK16/AF16-1</f>
        <v/>
      </c>
      <c r="AL9" s="331">
        <f>AL16/AG16-1</f>
        <v/>
      </c>
      <c r="AM9" s="29" t="n"/>
      <c r="AN9" s="29" t="n"/>
      <c r="AO9" s="48" t="n"/>
      <c r="AP9" s="29" t="n"/>
      <c r="AQ9" s="29" t="n"/>
      <c r="AR9" s="29" t="n"/>
      <c r="AS9" s="29" t="n"/>
      <c r="AT9" s="48" t="n"/>
      <c r="AU9" s="7" t="n"/>
      <c r="AV9" s="7" t="n"/>
      <c r="AW9" s="7" t="n"/>
      <c r="AX9" s="332" t="n"/>
    </row>
    <row r="10" customFormat="1" s="333">
      <c r="A10" s="334" t="inlineStr">
        <is>
          <t>Cables, Accessories, and Other Revenue Growth, %</t>
        </is>
      </c>
      <c r="B10" s="335" t="n"/>
      <c r="C10" s="336" t="n"/>
      <c r="D10" s="336">
        <f>D17/C17-1</f>
        <v/>
      </c>
      <c r="E10" s="336">
        <f>E17/D17-1</f>
        <v/>
      </c>
      <c r="F10" s="336">
        <f>F17/E17-1</f>
        <v/>
      </c>
      <c r="G10" s="337" t="n"/>
      <c r="H10" s="337" t="n"/>
      <c r="I10" s="337" t="n"/>
      <c r="J10" s="337" t="n"/>
      <c r="K10" s="336">
        <f>K17/F17-1</f>
        <v/>
      </c>
      <c r="L10" s="337">
        <f>L17/G17-1</f>
        <v/>
      </c>
      <c r="M10" s="337">
        <f>M17/H17-1</f>
        <v/>
      </c>
      <c r="N10" s="337">
        <f>N17/I17-1</f>
        <v/>
      </c>
      <c r="O10" s="337">
        <f>O17/J17-1</f>
        <v/>
      </c>
      <c r="P10" s="336">
        <f>P17/K17-1</f>
        <v/>
      </c>
      <c r="Q10" s="337">
        <f>Q17/L17-1</f>
        <v/>
      </c>
      <c r="R10" s="337">
        <f>R17/M17-1</f>
        <v/>
      </c>
      <c r="S10" s="337">
        <f>S17/N17-1</f>
        <v/>
      </c>
      <c r="T10" s="337">
        <f>T17/O17-1</f>
        <v/>
      </c>
      <c r="U10" s="336">
        <f>U17/P17-1</f>
        <v/>
      </c>
      <c r="V10" s="337">
        <f>V17/Q17-1</f>
        <v/>
      </c>
      <c r="W10" s="337">
        <f>W17/R17-1</f>
        <v/>
      </c>
      <c r="X10" s="337">
        <f>X17/S17-1</f>
        <v/>
      </c>
      <c r="Y10" s="337">
        <f>Y17/T17-1</f>
        <v/>
      </c>
      <c r="Z10" s="336">
        <f>Z17/U17-1</f>
        <v/>
      </c>
      <c r="AA10" s="337">
        <f>AA17/V17-1</f>
        <v/>
      </c>
      <c r="AB10" s="337">
        <f>AB17/W17-1</f>
        <v/>
      </c>
      <c r="AC10" s="337">
        <f>AC17/X17-1</f>
        <v/>
      </c>
      <c r="AD10" s="337">
        <f>AD17/Y17-1</f>
        <v/>
      </c>
      <c r="AE10" s="336">
        <f>AE17/Z17-1</f>
        <v/>
      </c>
      <c r="AF10" s="337">
        <f>AF17/AA17-1</f>
        <v/>
      </c>
      <c r="AG10" s="337">
        <f>AG17/AB17-1</f>
        <v/>
      </c>
      <c r="AH10" s="337">
        <f>AH17/AC17-1</f>
        <v/>
      </c>
      <c r="AI10" s="337">
        <f>AI17/AD17-1</f>
        <v/>
      </c>
      <c r="AJ10" s="336">
        <f>AJ17/AE17-1</f>
        <v/>
      </c>
      <c r="AK10" s="337">
        <f>AK17/AF17-1</f>
        <v/>
      </c>
      <c r="AL10" s="338">
        <f>AL17/AG17-1</f>
        <v/>
      </c>
      <c r="AM10" s="339" t="n"/>
      <c r="AN10" s="339" t="n"/>
      <c r="AO10" s="340" t="n"/>
      <c r="AP10" s="339" t="n"/>
      <c r="AQ10" s="339" t="n"/>
      <c r="AR10" s="339" t="n"/>
      <c r="AS10" s="339" t="n"/>
      <c r="AT10" s="340" t="n"/>
      <c r="AU10" s="341" t="n"/>
      <c r="AV10" s="341" t="n"/>
      <c r="AW10" s="341" t="n"/>
      <c r="AX10" s="332" t="n"/>
    </row>
    <row r="11" customFormat="1" s="16">
      <c r="A11" s="96" t="inlineStr">
        <is>
          <t>Total Revenue Growth, %</t>
        </is>
      </c>
      <c r="B11" s="33" t="n"/>
      <c r="C11" s="6" t="n"/>
      <c r="D11" s="6">
        <f>D18/C18-1</f>
        <v/>
      </c>
      <c r="E11" s="6">
        <f>E18/D18-1</f>
        <v/>
      </c>
      <c r="F11" s="6">
        <f>F18/E18-1</f>
        <v/>
      </c>
      <c r="G11" s="23" t="n"/>
      <c r="H11" s="23" t="n"/>
      <c r="I11" s="23" t="n"/>
      <c r="J11" s="23" t="n"/>
      <c r="K11" s="6">
        <f>K18/F18-1</f>
        <v/>
      </c>
      <c r="L11" s="23">
        <f>L18/G18-1</f>
        <v/>
      </c>
      <c r="M11" s="23">
        <f>M18/H18-1</f>
        <v/>
      </c>
      <c r="N11" s="23">
        <f>N18/I18-1</f>
        <v/>
      </c>
      <c r="O11" s="23">
        <f>O18/J18-1</f>
        <v/>
      </c>
      <c r="P11" s="6">
        <f>P18/K18-1</f>
        <v/>
      </c>
      <c r="Q11" s="23">
        <f>Q18/L18-1</f>
        <v/>
      </c>
      <c r="R11" s="23">
        <f>R18/M18-1</f>
        <v/>
      </c>
      <c r="S11" s="23">
        <f>S18/N18-1</f>
        <v/>
      </c>
      <c r="T11" s="23">
        <f>T18/O18-1</f>
        <v/>
      </c>
      <c r="U11" s="6">
        <f>U18/P18-1</f>
        <v/>
      </c>
      <c r="V11" s="23">
        <f>V18/Q18-1</f>
        <v/>
      </c>
      <c r="W11" s="23">
        <f>W18/R18-1</f>
        <v/>
      </c>
      <c r="X11" s="23">
        <f>X18/S18-1</f>
        <v/>
      </c>
      <c r="Y11" s="86">
        <f>Y18/T18-1</f>
        <v/>
      </c>
      <c r="Z11" s="51">
        <f>Z18/U18-1</f>
        <v/>
      </c>
      <c r="AA11" s="23">
        <f>AA18/V18-1</f>
        <v/>
      </c>
      <c r="AB11" s="23">
        <f>AB18/W18-1</f>
        <v/>
      </c>
      <c r="AC11" s="23">
        <f>AC18/X18-1</f>
        <v/>
      </c>
      <c r="AD11" s="86">
        <f>AD18/Y18-1</f>
        <v/>
      </c>
      <c r="AE11" s="51">
        <f>AE18/Z18-1</f>
        <v/>
      </c>
      <c r="AF11" s="23">
        <f>AF18/AA18-1</f>
        <v/>
      </c>
      <c r="AG11" s="23">
        <f>AG18/AB18-1</f>
        <v/>
      </c>
      <c r="AH11" s="23">
        <f>AH18/AC18-1</f>
        <v/>
      </c>
      <c r="AI11" s="86">
        <f>AI18/AD18-1</f>
        <v/>
      </c>
      <c r="AJ11" s="51">
        <f>AJ18/AE18-1</f>
        <v/>
      </c>
      <c r="AK11" s="23">
        <f>AK18/AF18-1</f>
        <v/>
      </c>
      <c r="AL11" s="305">
        <f>AL18/AG18-1</f>
        <v/>
      </c>
      <c r="AM11" s="86" t="n"/>
      <c r="AN11" s="86" t="n"/>
      <c r="AO11" s="51" t="n"/>
      <c r="AP11" s="86" t="n"/>
      <c r="AQ11" s="86" t="n"/>
      <c r="AR11" s="86" t="n"/>
      <c r="AS11" s="86" t="n"/>
      <c r="AT11" s="51" t="n"/>
      <c r="AU11" s="51" t="n"/>
      <c r="AV11" s="51" t="n"/>
      <c r="AW11" s="51" t="n"/>
      <c r="AX11" s="25" t="n"/>
    </row>
    <row r="12" customFormat="1" s="16">
      <c r="A12" s="96" t="n"/>
      <c r="B12" s="33" t="n"/>
      <c r="C12" s="6" t="n"/>
      <c r="D12" s="6" t="n"/>
      <c r="E12" s="6" t="n"/>
      <c r="F12" s="6" t="n"/>
      <c r="G12" s="23" t="n"/>
      <c r="H12" s="23" t="n"/>
      <c r="I12" s="23" t="n"/>
      <c r="J12" s="23" t="n"/>
      <c r="K12" s="6" t="n"/>
      <c r="L12" s="23" t="n"/>
      <c r="M12" s="23" t="n"/>
      <c r="N12" s="23" t="n"/>
      <c r="O12" s="23" t="n"/>
      <c r="P12" s="6" t="n"/>
      <c r="Q12" s="23" t="n"/>
      <c r="R12" s="23" t="n"/>
      <c r="S12" s="23" t="n"/>
      <c r="T12" s="23" t="n"/>
      <c r="U12" s="6" t="n"/>
      <c r="V12" s="23" t="n"/>
      <c r="W12" s="23" t="n"/>
      <c r="X12" s="23" t="n"/>
      <c r="Y12" s="23" t="n"/>
      <c r="Z12" s="6" t="n"/>
      <c r="AA12" s="23" t="n"/>
      <c r="AB12" s="23" t="n"/>
      <c r="AC12" s="23" t="n"/>
      <c r="AD12" s="23" t="n"/>
      <c r="AE12" s="6" t="n"/>
      <c r="AF12" s="23" t="n"/>
      <c r="AG12" s="23" t="n"/>
      <c r="AH12" s="23" t="n"/>
      <c r="AI12" s="23" t="n"/>
      <c r="AJ12" s="6" t="n"/>
      <c r="AK12" s="23" t="n"/>
      <c r="AL12" s="305" t="n"/>
      <c r="AM12" s="23" t="n"/>
      <c r="AN12" s="23" t="n"/>
      <c r="AO12" s="6" t="n"/>
      <c r="AP12" s="23" t="n"/>
      <c r="AQ12" s="23" t="n"/>
      <c r="AR12" s="23" t="n"/>
      <c r="AS12" s="23" t="n"/>
      <c r="AT12" s="6" t="n"/>
      <c r="AU12" s="6" t="n"/>
      <c r="AV12" s="6" t="n"/>
      <c r="AW12" s="6" t="n"/>
      <c r="AX12" s="25" t="n"/>
    </row>
    <row r="13" customFormat="1" s="9">
      <c r="A13" s="45" t="inlineStr">
        <is>
          <t>Segmented Results - Revenue Breakdown - Product Category (FS)</t>
        </is>
      </c>
      <c r="B13" s="45" t="n"/>
      <c r="C13" s="45" t="n"/>
      <c r="D13" s="45" t="n"/>
      <c r="E13" s="45" t="n"/>
      <c r="F13" s="45" t="n"/>
      <c r="G13" s="45" t="n"/>
      <c r="H13" s="45" t="n"/>
      <c r="I13" s="45" t="n"/>
      <c r="J13" s="45" t="n"/>
      <c r="K13" s="45" t="n"/>
      <c r="L13" s="45" t="n"/>
      <c r="M13" s="45" t="n"/>
      <c r="N13" s="45" t="n"/>
      <c r="O13" s="45" t="n"/>
      <c r="P13" s="45" t="n"/>
      <c r="Q13" s="45" t="n"/>
      <c r="R13" s="45" t="n"/>
      <c r="S13" s="45" t="n"/>
      <c r="T13" s="45" t="n"/>
      <c r="U13" s="45" t="n"/>
      <c r="V13" s="45" t="n"/>
      <c r="W13" s="45" t="n"/>
      <c r="X13" s="45" t="n"/>
      <c r="Y13" s="45" t="n"/>
      <c r="Z13" s="45" t="n"/>
      <c r="AA13" s="45" t="n"/>
      <c r="AB13" s="45" t="n"/>
      <c r="AC13" s="45" t="n"/>
      <c r="AD13" s="45" t="n"/>
      <c r="AE13" s="45" t="n"/>
      <c r="AF13" s="45" t="n"/>
      <c r="AG13" s="45" t="n"/>
      <c r="AH13" s="45" t="n"/>
      <c r="AI13" s="45" t="n"/>
      <c r="AJ13" s="45" t="n"/>
      <c r="AK13" s="45" t="n"/>
      <c r="AL13" s="306" t="n"/>
      <c r="AM13" s="45" t="n"/>
      <c r="AN13" s="45" t="n"/>
      <c r="AO13" s="45" t="n"/>
      <c r="AP13" s="45" t="n"/>
      <c r="AQ13" s="45" t="n"/>
      <c r="AR13" s="45" t="n"/>
      <c r="AS13" s="45" t="n"/>
      <c r="AT13" s="45" t="n"/>
      <c r="AU13" s="45" t="n"/>
      <c r="AV13" s="45" t="n"/>
      <c r="AW13" s="45" t="n"/>
      <c r="AX13" s="22" t="n"/>
    </row>
    <row r="14" customFormat="1" s="5">
      <c r="A14" s="36" t="inlineStr">
        <is>
          <t>ICs Revenue, mm</t>
        </is>
      </c>
      <c r="B14" s="342" t="n"/>
      <c r="C14" s="343" t="n">
        <v>38.972</v>
      </c>
      <c r="D14" s="343" t="n">
        <v>57.03</v>
      </c>
      <c r="E14" s="343" t="n">
        <v>46.564</v>
      </c>
      <c r="F14" s="343" t="n">
        <v>95.10299999999999</v>
      </c>
      <c r="G14" s="228" t="n">
        <v>11.098</v>
      </c>
      <c r="H14" s="228" t="n">
        <v>13.559</v>
      </c>
      <c r="I14" s="228" t="n">
        <v>16.199</v>
      </c>
      <c r="J14" s="228">
        <f>K14-SUM(G14:I14)</f>
        <v/>
      </c>
      <c r="K14" s="343" t="n">
        <v>56.817</v>
      </c>
      <c r="L14" s="228" t="n">
        <v>12.687</v>
      </c>
      <c r="M14" s="228" t="n">
        <v>14.629</v>
      </c>
      <c r="N14" s="228" t="n">
        <v>18.803</v>
      </c>
      <c r="O14" s="228">
        <f>P14-SUM(L14:N14)</f>
        <v/>
      </c>
      <c r="P14" s="343" t="n">
        <v>70.84</v>
      </c>
      <c r="Q14" s="228" t="n">
        <v>29.307</v>
      </c>
      <c r="R14" s="228" t="n">
        <v>28.981</v>
      </c>
      <c r="S14" s="228" t="n">
        <v>20.518</v>
      </c>
      <c r="T14" s="228">
        <f>U14-SUM(Q14:S14)</f>
        <v/>
      </c>
      <c r="U14" s="343" t="n">
        <v>92.214</v>
      </c>
      <c r="V14" s="228" t="n">
        <v>28.531</v>
      </c>
      <c r="W14" s="228" t="n">
        <v>46.539</v>
      </c>
      <c r="X14" s="228" t="n">
        <v>51.462</v>
      </c>
      <c r="Y14" s="93">
        <f>Z14-SUM(V14:X14)</f>
        <v/>
      </c>
      <c r="Z14" s="344" t="n">
        <v>170.641</v>
      </c>
      <c r="AA14" s="228" t="n">
        <v>42.422</v>
      </c>
      <c r="AB14" s="228" t="n">
        <v>34.063</v>
      </c>
      <c r="AC14" s="228" t="n">
        <v>48.074</v>
      </c>
      <c r="AD14" s="93">
        <f>AE14-SUM(AA14:AC14)</f>
        <v/>
      </c>
      <c r="AE14" s="344" t="n">
        <v>161.216</v>
      </c>
      <c r="AF14" s="228" t="n">
        <v>28.587</v>
      </c>
      <c r="AG14" s="228" t="n">
        <v>28.934</v>
      </c>
      <c r="AH14" s="228" t="n">
        <v>46.397</v>
      </c>
      <c r="AI14" s="93">
        <f>AJ14-SUM(AF14:AH14)</f>
        <v/>
      </c>
      <c r="AJ14" s="344" t="n">
        <v>149.18</v>
      </c>
      <c r="AK14" s="228" t="n">
        <v>60.623</v>
      </c>
      <c r="AL14" s="322" t="n">
        <v>53.046</v>
      </c>
      <c r="AM14" s="93" t="n"/>
      <c r="AN14" s="93" t="n"/>
      <c r="AO14" s="344" t="n"/>
      <c r="AP14" s="93" t="n"/>
      <c r="AQ14" s="93" t="n"/>
      <c r="AR14" s="93" t="n"/>
      <c r="AS14" s="93" t="n"/>
      <c r="AT14" s="344" t="n"/>
      <c r="AU14" s="344" t="n"/>
      <c r="AV14" s="344" t="n"/>
      <c r="AW14" s="344" t="n"/>
      <c r="AX14" s="228" t="n"/>
    </row>
    <row r="15" customFormat="1" s="5">
      <c r="A15" s="36" t="inlineStr">
        <is>
          <t>Boards Revenue, mm</t>
        </is>
      </c>
      <c r="B15" s="342" t="n"/>
      <c r="C15" s="343" t="n">
        <v>61.556</v>
      </c>
      <c r="D15" s="343" t="n">
        <v>67.08499999999999</v>
      </c>
      <c r="E15" s="343" t="n">
        <v>98.004</v>
      </c>
      <c r="F15" s="343" t="n">
        <v>155.67</v>
      </c>
      <c r="G15" s="228" t="n">
        <v>23.668</v>
      </c>
      <c r="H15" s="228" t="n">
        <v>30.131</v>
      </c>
      <c r="I15" s="228" t="n">
        <v>30.82</v>
      </c>
      <c r="J15" s="228">
        <f>K15-SUM(G15:I15)</f>
        <v/>
      </c>
      <c r="K15" s="343" t="n">
        <v>119.399</v>
      </c>
      <c r="L15" s="228" t="n">
        <v>31.188</v>
      </c>
      <c r="M15" s="228" t="n">
        <v>29.583</v>
      </c>
      <c r="N15" s="228" t="n">
        <v>42.491</v>
      </c>
      <c r="O15" s="228">
        <f>P15-SUM(L15:N15)</f>
        <v/>
      </c>
      <c r="P15" s="343" t="n">
        <v>147.738</v>
      </c>
      <c r="Q15" s="228" t="n">
        <v>58.506</v>
      </c>
      <c r="R15" s="228" t="n">
        <v>64.06100000000001</v>
      </c>
      <c r="S15" s="228" t="n">
        <v>65.752</v>
      </c>
      <c r="T15" s="228">
        <f>U15-SUM(Q15:S15)</f>
        <v/>
      </c>
      <c r="U15" s="343" t="n">
        <v>265.249</v>
      </c>
      <c r="V15" s="228" t="n">
        <v>92.932</v>
      </c>
      <c r="W15" s="228" t="n">
        <v>82.48099999999999</v>
      </c>
      <c r="X15" s="228" t="n">
        <v>84.02200000000001</v>
      </c>
      <c r="Y15" s="93">
        <f>Z15-SUM(V15:X15)</f>
        <v/>
      </c>
      <c r="Z15" s="344" t="n">
        <v>337.304</v>
      </c>
      <c r="AA15" s="228" t="n">
        <v>64.292</v>
      </c>
      <c r="AB15" s="228" t="n">
        <v>80.425</v>
      </c>
      <c r="AC15" s="228" t="n">
        <v>84.247</v>
      </c>
      <c r="AD15" s="93">
        <f>AE15-SUM(AA15:AC15)</f>
        <v/>
      </c>
      <c r="AE15" s="344" t="n">
        <v>325.845</v>
      </c>
      <c r="AF15" s="228" t="n">
        <v>118.051</v>
      </c>
      <c r="AG15" s="228" t="n">
        <v>136.708</v>
      </c>
      <c r="AH15" s="228" t="n">
        <v>130.047</v>
      </c>
      <c r="AI15" s="93">
        <f>AJ15-SUM(AF15:AH15)</f>
        <v/>
      </c>
      <c r="AJ15" s="344" t="n">
        <v>495.753</v>
      </c>
      <c r="AK15" s="228" t="n">
        <v>108.43</v>
      </c>
      <c r="AL15" s="322" t="n">
        <v>120.643</v>
      </c>
      <c r="AM15" s="93" t="n"/>
      <c r="AN15" s="93" t="n"/>
      <c r="AO15" s="344" t="n"/>
      <c r="AP15" s="93" t="n"/>
      <c r="AQ15" s="93" t="n"/>
      <c r="AR15" s="93" t="n"/>
      <c r="AS15" s="93" t="n"/>
      <c r="AT15" s="344" t="n"/>
      <c r="AU15" s="344" t="n"/>
      <c r="AV15" s="344" t="n"/>
      <c r="AW15" s="344" t="n"/>
      <c r="AX15" s="228" t="n"/>
    </row>
    <row r="16" customFormat="1" s="5">
      <c r="A16" s="36" t="inlineStr">
        <is>
          <t>Switch and Gateway Systems Revenue, mm</t>
        </is>
      </c>
      <c r="B16" s="342" t="n"/>
      <c r="C16" s="343" t="n">
        <v>9.996</v>
      </c>
      <c r="D16" s="343" t="n">
        <v>19.461</v>
      </c>
      <c r="E16" s="343" t="n">
        <v>76.398</v>
      </c>
      <c r="F16" s="343" t="n">
        <v>168.231</v>
      </c>
      <c r="G16" s="228" t="n">
        <v>35.558</v>
      </c>
      <c r="H16" s="228" t="n">
        <v>39.051</v>
      </c>
      <c r="I16" s="228" t="n">
        <v>36.031</v>
      </c>
      <c r="J16" s="228">
        <f>K16-SUM(G16:I16)</f>
        <v/>
      </c>
      <c r="K16" s="343" t="n">
        <v>145.184</v>
      </c>
      <c r="L16" s="228" t="n">
        <v>32.343</v>
      </c>
      <c r="M16" s="228" t="n">
        <v>34.496</v>
      </c>
      <c r="N16" s="228" t="n">
        <v>36.623</v>
      </c>
      <c r="O16" s="228">
        <f>P16-SUM(L16:N16)</f>
        <v/>
      </c>
      <c r="P16" s="343" t="n">
        <v>147.403</v>
      </c>
      <c r="Q16" s="228" t="n">
        <v>34.467</v>
      </c>
      <c r="R16" s="228" t="n">
        <v>42.027</v>
      </c>
      <c r="S16" s="228" t="n">
        <v>51.825</v>
      </c>
      <c r="T16" s="228">
        <f>U16-SUM(Q16:S16)</f>
        <v/>
      </c>
      <c r="U16" s="343" t="n">
        <v>179.977</v>
      </c>
      <c r="V16" s="228" t="n">
        <v>43.823</v>
      </c>
      <c r="W16" s="228" t="n">
        <v>49.873</v>
      </c>
      <c r="X16" s="228" t="n">
        <v>51.622</v>
      </c>
      <c r="Y16" s="93">
        <f>Z16-SUM(V16:X16)</f>
        <v/>
      </c>
      <c r="Z16" s="344" t="n">
        <v>204.083</v>
      </c>
      <c r="AA16" s="228" t="n">
        <v>47.146</v>
      </c>
      <c r="AB16" s="228" t="n">
        <v>56.189</v>
      </c>
      <c r="AC16" s="228" t="n">
        <v>56.677</v>
      </c>
      <c r="AD16" s="93">
        <f>AE16-SUM(AA16:AC16)</f>
        <v/>
      </c>
      <c r="AE16" s="344" t="n">
        <v>222.836</v>
      </c>
      <c r="AF16" s="228" t="n">
        <v>55.647</v>
      </c>
      <c r="AG16" s="228" t="n">
        <v>57.074</v>
      </c>
      <c r="AH16" s="228" t="n">
        <v>53.484</v>
      </c>
      <c r="AI16" s="93">
        <f>AJ16-SUM(AF16:AH16)</f>
        <v/>
      </c>
      <c r="AJ16" s="344" t="n">
        <v>247.478</v>
      </c>
      <c r="AK16" s="228" t="n">
        <v>82.05800000000001</v>
      </c>
      <c r="AL16" s="322" t="n">
        <v>73.80800000000001</v>
      </c>
      <c r="AM16" s="93" t="n"/>
      <c r="AN16" s="93" t="n"/>
      <c r="AO16" s="344" t="n"/>
      <c r="AP16" s="93" t="n"/>
      <c r="AQ16" s="93" t="n"/>
      <c r="AR16" s="93" t="n"/>
      <c r="AS16" s="93" t="n"/>
      <c r="AT16" s="344" t="n"/>
      <c r="AU16" s="344" t="n"/>
      <c r="AV16" s="344" t="n"/>
      <c r="AW16" s="344" t="n"/>
      <c r="AX16" s="228" t="n"/>
    </row>
    <row r="17" customFormat="1" s="5">
      <c r="A17" s="36" t="inlineStr">
        <is>
          <t>Cables, Accessories, and Other Revenue, mm</t>
        </is>
      </c>
      <c r="B17" s="342" t="n"/>
      <c r="C17" s="343" t="n">
        <v>5.52</v>
      </c>
      <c r="D17" s="343" t="n">
        <v>11.064</v>
      </c>
      <c r="E17" s="343" t="n">
        <v>38.285</v>
      </c>
      <c r="F17" s="343" t="n">
        <v>81.795</v>
      </c>
      <c r="G17" s="228" t="n">
        <v>12.756</v>
      </c>
      <c r="H17" s="228" t="n">
        <v>15.427</v>
      </c>
      <c r="I17" s="228" t="n">
        <v>21.017</v>
      </c>
      <c r="J17" s="228">
        <f>K17-SUM(G17:I17)</f>
        <v/>
      </c>
      <c r="K17" s="343" t="n">
        <v>69.036</v>
      </c>
      <c r="L17" s="228" t="n">
        <v>22.784</v>
      </c>
      <c r="M17" s="228" t="n">
        <v>24.115</v>
      </c>
      <c r="N17" s="228" t="n">
        <v>22.791</v>
      </c>
      <c r="O17" s="228">
        <f>P17-SUM(L17:N17)</f>
        <v/>
      </c>
      <c r="P17" s="343" t="n">
        <v>97.66800000000001</v>
      </c>
      <c r="Q17" s="228" t="n">
        <v>24.395</v>
      </c>
      <c r="R17" s="228" t="n">
        <v>28.079</v>
      </c>
      <c r="S17" s="228" t="n">
        <v>33.282</v>
      </c>
      <c r="T17" s="228">
        <f>U17-SUM(Q17:S17)</f>
        <v/>
      </c>
      <c r="U17" s="343" t="n">
        <v>120.7</v>
      </c>
      <c r="V17" s="228" t="n">
        <v>31.524</v>
      </c>
      <c r="W17" s="228" t="n">
        <v>35.908</v>
      </c>
      <c r="X17" s="228" t="n">
        <v>37.105</v>
      </c>
      <c r="Y17" s="93">
        <f>Z17-SUM(V17:X17)</f>
        <v/>
      </c>
      <c r="Z17" s="344" t="n">
        <v>145.47</v>
      </c>
      <c r="AA17" s="228" t="n">
        <v>34.791</v>
      </c>
      <c r="AB17" s="228" t="n">
        <v>41.285</v>
      </c>
      <c r="AC17" s="228" t="n">
        <v>36.701</v>
      </c>
      <c r="AD17" s="93">
        <f>AE17-SUM(AA17:AC17)</f>
        <v/>
      </c>
      <c r="AE17" s="344" t="n">
        <v>153.996</v>
      </c>
      <c r="AF17" s="228" t="n">
        <v>48.715</v>
      </c>
      <c r="AG17" s="228" t="n">
        <v>45.746</v>
      </c>
      <c r="AH17" s="228" t="n">
        <v>49.283</v>
      </c>
      <c r="AI17" s="93">
        <f>AJ17-SUM(AF17:AH17)</f>
        <v/>
      </c>
      <c r="AJ17" s="344" t="n">
        <v>196.332</v>
      </c>
      <c r="AK17" s="345" t="n">
        <v>54.106</v>
      </c>
      <c r="AL17" s="346" t="n">
        <v>62.827</v>
      </c>
      <c r="AM17" s="93" t="n"/>
      <c r="AN17" s="93" t="n"/>
      <c r="AO17" s="344" t="n"/>
      <c r="AP17" s="93" t="n"/>
      <c r="AQ17" s="93" t="n"/>
      <c r="AR17" s="93" t="n"/>
      <c r="AS17" s="93" t="n"/>
      <c r="AT17" s="344" t="n"/>
      <c r="AU17" s="344" t="n"/>
      <c r="AV17" s="344" t="n"/>
      <c r="AW17" s="344" t="n"/>
      <c r="AX17" s="228" t="n"/>
    </row>
    <row r="18" customFormat="1" s="9">
      <c r="A18" s="347" t="inlineStr">
        <is>
          <t>Total Revenue, mm</t>
        </is>
      </c>
      <c r="B18" s="348" t="n"/>
      <c r="C18" s="349">
        <f>SUM(C14:C17)</f>
        <v/>
      </c>
      <c r="D18" s="349">
        <f>SUM(D14:D17)</f>
        <v/>
      </c>
      <c r="E18" s="349">
        <f>SUM(E14:E17)</f>
        <v/>
      </c>
      <c r="F18" s="349">
        <f>SUM(F14:F17)</f>
        <v/>
      </c>
      <c r="G18" s="350">
        <f>SUM(G14:G17)</f>
        <v/>
      </c>
      <c r="H18" s="350">
        <f>SUM(H14:H17)</f>
        <v/>
      </c>
      <c r="I18" s="350">
        <f>SUM(I14:I17)</f>
        <v/>
      </c>
      <c r="J18" s="350">
        <f>SUM(J14:J17)</f>
        <v/>
      </c>
      <c r="K18" s="349">
        <f>SUM(K14:K17)</f>
        <v/>
      </c>
      <c r="L18" s="350">
        <f>SUM(L14:L17)</f>
        <v/>
      </c>
      <c r="M18" s="350">
        <f>SUM(M14:M17)</f>
        <v/>
      </c>
      <c r="N18" s="350">
        <f>SUM(N14:N17)</f>
        <v/>
      </c>
      <c r="O18" s="350">
        <f>SUM(O14:O17)</f>
        <v/>
      </c>
      <c r="P18" s="349">
        <f>SUM(P14:P17)</f>
        <v/>
      </c>
      <c r="Q18" s="350">
        <f>SUM(Q14:Q17)</f>
        <v/>
      </c>
      <c r="R18" s="350">
        <f>SUM(R14:R17)</f>
        <v/>
      </c>
      <c r="S18" s="350">
        <f>SUM(S14:S17)</f>
        <v/>
      </c>
      <c r="T18" s="350">
        <f>SUM(T14:T17)</f>
        <v/>
      </c>
      <c r="U18" s="349">
        <f>SUM(U14:U17)</f>
        <v/>
      </c>
      <c r="V18" s="350">
        <f>SUM(V14:V17)</f>
        <v/>
      </c>
      <c r="W18" s="350">
        <f>SUM(W14:W17)</f>
        <v/>
      </c>
      <c r="X18" s="350">
        <f>SUM(X14:X17)</f>
        <v/>
      </c>
      <c r="Y18" s="351">
        <f>SUM(Y14:Y17)</f>
        <v/>
      </c>
      <c r="Z18" s="352">
        <f>SUM(Z14:Z17)</f>
        <v/>
      </c>
      <c r="AA18" s="350">
        <f>SUM(AA14:AA17)</f>
        <v/>
      </c>
      <c r="AB18" s="350">
        <f>SUM(AB14:AB17)</f>
        <v/>
      </c>
      <c r="AC18" s="350">
        <f>SUM(AC14:AC17)</f>
        <v/>
      </c>
      <c r="AD18" s="351">
        <f>SUM(AD14:AD17)</f>
        <v/>
      </c>
      <c r="AE18" s="352">
        <f>SUM(AE14:AE17)</f>
        <v/>
      </c>
      <c r="AF18" s="350">
        <f>SUM(AF14:AF17)</f>
        <v/>
      </c>
      <c r="AG18" s="350">
        <f>SUM(AG14:AG17)</f>
        <v/>
      </c>
      <c r="AH18" s="350">
        <f>SUM(AH14:AH17)</f>
        <v/>
      </c>
      <c r="AI18" s="351">
        <f>SUM(AI14:AI17)</f>
        <v/>
      </c>
      <c r="AJ18" s="352">
        <f>SUM(AJ14:AJ17)</f>
        <v/>
      </c>
      <c r="AK18" s="350">
        <f>SUM(AK14:AK17)</f>
        <v/>
      </c>
      <c r="AL18" s="353">
        <f>SUM(AL14:AL17)</f>
        <v/>
      </c>
      <c r="AM18" s="351" t="n"/>
      <c r="AN18" s="351" t="n"/>
      <c r="AO18" s="352" t="n"/>
      <c r="AP18" s="351" t="n"/>
      <c r="AQ18" s="351" t="n"/>
      <c r="AR18" s="351" t="n"/>
      <c r="AS18" s="351" t="n"/>
      <c r="AT18" s="352" t="n"/>
      <c r="AU18" s="352" t="n"/>
      <c r="AV18" s="352" t="n"/>
      <c r="AW18" s="352" t="n"/>
      <c r="AX18" s="22" t="n"/>
    </row>
    <row r="19" customFormat="1" s="5">
      <c r="A19" s="354" t="n"/>
      <c r="B19" s="342" t="n"/>
      <c r="C19" s="343" t="n"/>
      <c r="D19" s="343" t="n"/>
      <c r="E19" s="343" t="n"/>
      <c r="F19" s="343" t="n"/>
      <c r="G19" s="228" t="n"/>
      <c r="H19" s="228" t="n"/>
      <c r="I19" s="228" t="n"/>
      <c r="J19" s="228" t="n"/>
      <c r="K19" s="343" t="n"/>
      <c r="L19" s="228" t="n"/>
      <c r="M19" s="228" t="n"/>
      <c r="N19" s="228" t="n"/>
      <c r="O19" s="228" t="n"/>
      <c r="P19" s="343" t="n"/>
      <c r="Q19" s="228" t="n"/>
      <c r="R19" s="228" t="n"/>
      <c r="S19" s="228" t="n"/>
      <c r="T19" s="228" t="n"/>
      <c r="U19" s="343" t="n"/>
      <c r="V19" s="228" t="n"/>
      <c r="W19" s="228" t="n"/>
      <c r="X19" s="228" t="n"/>
      <c r="Y19" s="228" t="n"/>
      <c r="Z19" s="343" t="n"/>
      <c r="AA19" s="228" t="n"/>
      <c r="AB19" s="228" t="n"/>
      <c r="AC19" s="228" t="n"/>
      <c r="AD19" s="228" t="n"/>
      <c r="AE19" s="343" t="n"/>
      <c r="AF19" s="228" t="n"/>
      <c r="AG19" s="228" t="n"/>
      <c r="AH19" s="228" t="n"/>
      <c r="AI19" s="228" t="n"/>
      <c r="AJ19" s="343" t="n"/>
      <c r="AK19" s="228" t="n"/>
      <c r="AL19" s="322" t="n"/>
      <c r="AM19" s="228" t="n"/>
      <c r="AN19" s="228" t="n"/>
      <c r="AO19" s="343" t="n"/>
      <c r="AP19" s="228" t="n"/>
      <c r="AQ19" s="228" t="n"/>
      <c r="AR19" s="228" t="n"/>
      <c r="AS19" s="228" t="n"/>
      <c r="AT19" s="343" t="n"/>
      <c r="AU19" s="343" t="n"/>
      <c r="AV19" s="343" t="n"/>
      <c r="AW19" s="343" t="n"/>
      <c r="AX19" s="228" t="n"/>
    </row>
    <row r="20" customFormat="1" s="9">
      <c r="A20" s="45" t="inlineStr">
        <is>
          <t>Segmented Results - Revenue Breakdown - Interconnect Protocol and Data Rate (FS)</t>
        </is>
      </c>
      <c r="B20" s="45" t="n"/>
      <c r="C20" s="45" t="n"/>
      <c r="D20" s="45"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c r="AA20" s="45" t="n"/>
      <c r="AB20" s="45" t="n"/>
      <c r="AC20" s="45" t="n"/>
      <c r="AD20" s="45" t="n"/>
      <c r="AE20" s="45" t="n"/>
      <c r="AF20" s="45" t="n"/>
      <c r="AG20" s="45" t="n"/>
      <c r="AH20" s="45" t="n"/>
      <c r="AI20" s="45" t="n"/>
      <c r="AJ20" s="45" t="n"/>
      <c r="AK20" s="45" t="n"/>
      <c r="AL20" s="306" t="n"/>
      <c r="AM20" s="45" t="n"/>
      <c r="AN20" s="45" t="n"/>
      <c r="AO20" s="45" t="n"/>
      <c r="AP20" s="45" t="n"/>
      <c r="AQ20" s="45" t="n"/>
      <c r="AR20" s="45" t="n"/>
      <c r="AS20" s="45" t="n"/>
      <c r="AT20" s="45" t="n"/>
      <c r="AU20" s="45" t="n"/>
      <c r="AV20" s="45" t="n"/>
      <c r="AW20" s="45" t="n"/>
      <c r="AX20" s="22" t="n"/>
    </row>
    <row r="21" hidden="1" outlineLevel="1" customFormat="1" s="5">
      <c r="A21" s="36" t="inlineStr">
        <is>
          <t>HDR Revenue, mm</t>
        </is>
      </c>
      <c r="B21" s="342" t="n"/>
      <c r="C21" s="343" t="n"/>
      <c r="D21" s="343" t="n"/>
      <c r="E21" s="343" t="n"/>
      <c r="F21" s="343" t="n"/>
      <c r="G21" s="228" t="n"/>
      <c r="H21" s="228" t="n"/>
      <c r="I21" s="228" t="n"/>
      <c r="J21" s="228" t="n"/>
      <c r="K21" s="343" t="n"/>
      <c r="L21" s="228" t="n"/>
      <c r="M21" s="228" t="n"/>
      <c r="N21" s="228" t="n"/>
      <c r="O21" s="228" t="n"/>
      <c r="P21" s="343" t="n"/>
      <c r="Q21" s="228" t="n"/>
      <c r="R21" s="228" t="n"/>
      <c r="S21" s="228" t="n"/>
      <c r="T21" s="228" t="n"/>
      <c r="U21" s="343" t="n"/>
      <c r="V21" s="228" t="n"/>
      <c r="W21" s="228" t="n"/>
      <c r="X21" s="228" t="n"/>
      <c r="Y21" s="228" t="n"/>
      <c r="Z21" s="343" t="n"/>
      <c r="AA21" s="228" t="n"/>
      <c r="AB21" s="228" t="n"/>
      <c r="AC21" s="228" t="n"/>
      <c r="AD21" s="228" t="n"/>
      <c r="AE21" s="343" t="n"/>
      <c r="AF21" s="228" t="n"/>
      <c r="AG21" s="228" t="n"/>
      <c r="AH21" s="228" t="n"/>
      <c r="AI21" s="228">
        <f>AJ21-SUM(AF21:AH21)</f>
        <v/>
      </c>
      <c r="AJ21" s="343" t="n">
        <v>10.177</v>
      </c>
      <c r="AK21" s="228" t="n">
        <v>23.193</v>
      </c>
      <c r="AL21" s="322" t="n">
        <v>28.62</v>
      </c>
      <c r="AM21" s="228" t="n"/>
      <c r="AN21" s="228" t="n"/>
      <c r="AO21" s="343" t="n"/>
      <c r="AP21" s="228" t="n"/>
      <c r="AQ21" s="228" t="n"/>
      <c r="AR21" s="228" t="n"/>
      <c r="AS21" s="228" t="n"/>
      <c r="AT21" s="343" t="n"/>
      <c r="AU21" s="343" t="n"/>
      <c r="AV21" s="343" t="n"/>
      <c r="AW21" s="343" t="n"/>
      <c r="AX21" s="228" t="n"/>
    </row>
    <row r="22" hidden="1" outlineLevel="1" customFormat="1" s="5">
      <c r="A22" s="36" t="inlineStr">
        <is>
          <t>EDR Revenue, mm</t>
        </is>
      </c>
      <c r="B22" s="342" t="n"/>
      <c r="C22" s="343" t="n"/>
      <c r="D22" s="343" t="n">
        <v>0</v>
      </c>
      <c r="E22" s="343" t="n">
        <v>0</v>
      </c>
      <c r="F22" s="343" t="n">
        <v>0</v>
      </c>
      <c r="G22" s="228" t="n"/>
      <c r="H22" s="228" t="n"/>
      <c r="I22" s="228" t="n"/>
      <c r="J22" s="228">
        <f>K22-SUM(G22:I22)</f>
        <v/>
      </c>
      <c r="K22" s="343" t="n">
        <v>0</v>
      </c>
      <c r="L22" s="228" t="n">
        <v>0</v>
      </c>
      <c r="M22" s="228" t="n">
        <v>0</v>
      </c>
      <c r="N22" s="228" t="n">
        <v>0</v>
      </c>
      <c r="O22" s="228">
        <f>P22-SUM(L22:N22)</f>
        <v/>
      </c>
      <c r="P22" s="343" t="n">
        <v>0</v>
      </c>
      <c r="Q22" s="228" t="n">
        <v>0</v>
      </c>
      <c r="R22" s="228" t="n">
        <v>5.847</v>
      </c>
      <c r="S22" s="228" t="n">
        <v>14.431</v>
      </c>
      <c r="T22" s="228">
        <f>U22-SUM(Q22:S22)</f>
        <v/>
      </c>
      <c r="U22" s="343" t="n">
        <v>39.009</v>
      </c>
      <c r="V22" s="228" t="n">
        <v>21.003</v>
      </c>
      <c r="W22" s="228" t="n">
        <v>24.779</v>
      </c>
      <c r="X22" s="228" t="n">
        <v>30.715</v>
      </c>
      <c r="Y22" s="228">
        <f>Z22-SUM(V22:X22)</f>
        <v/>
      </c>
      <c r="Z22" s="343" t="n">
        <v>125.249</v>
      </c>
      <c r="AA22" s="228" t="n">
        <v>39.623</v>
      </c>
      <c r="AB22" s="228" t="n">
        <v>59.436</v>
      </c>
      <c r="AC22" s="228" t="n">
        <v>45.067</v>
      </c>
      <c r="AD22" s="228">
        <f>AE22-SUM(AA22:AC22)</f>
        <v/>
      </c>
      <c r="AE22" s="343" t="n">
        <v>194.261</v>
      </c>
      <c r="AF22" s="228" t="n">
        <v>55.946</v>
      </c>
      <c r="AG22" s="228" t="n">
        <v>59.319</v>
      </c>
      <c r="AH22" s="228" t="n">
        <v>51.658</v>
      </c>
      <c r="AI22" s="228">
        <f>AJ22-SUM(AF22:AH22)</f>
        <v/>
      </c>
      <c r="AJ22" s="343" t="n">
        <v>234.655</v>
      </c>
      <c r="AK22" s="228" t="n">
        <v>59.643</v>
      </c>
      <c r="AL22" s="322" t="n">
        <v>66.643</v>
      </c>
      <c r="AM22" s="228" t="n"/>
      <c r="AN22" s="228" t="n"/>
      <c r="AO22" s="343" t="n"/>
      <c r="AP22" s="228" t="n"/>
      <c r="AQ22" s="228" t="n"/>
      <c r="AR22" s="228" t="n"/>
      <c r="AS22" s="228" t="n"/>
      <c r="AT22" s="343" t="n"/>
      <c r="AU22" s="343" t="n"/>
      <c r="AV22" s="343" t="n"/>
      <c r="AW22" s="343" t="n"/>
      <c r="AX22" s="228" t="n"/>
    </row>
    <row r="23" hidden="1" outlineLevel="1" customFormat="1" s="5">
      <c r="A23" s="36" t="inlineStr">
        <is>
          <t>FDR Revenue, mm</t>
        </is>
      </c>
      <c r="B23" s="342" t="n"/>
      <c r="C23" s="343" t="n"/>
      <c r="D23" s="343" t="n">
        <v>0</v>
      </c>
      <c r="E23" s="343" t="n">
        <v>13.853</v>
      </c>
      <c r="F23" s="343" t="n">
        <v>236.728</v>
      </c>
      <c r="G23" s="228" t="n">
        <v>41.832</v>
      </c>
      <c r="H23" s="228" t="n">
        <v>50.754</v>
      </c>
      <c r="I23" s="228" t="n">
        <v>50.139</v>
      </c>
      <c r="J23" s="228">
        <f>K23-SUM(G23:I23)</f>
        <v/>
      </c>
      <c r="K23" s="343" t="n">
        <v>200.3</v>
      </c>
      <c r="L23" s="228" t="n">
        <v>51.432</v>
      </c>
      <c r="M23" s="228" t="n">
        <v>51.555</v>
      </c>
      <c r="N23" s="228" t="n">
        <v>73.39400000000001</v>
      </c>
      <c r="O23" s="228">
        <f>P23-SUM(L23:N23)</f>
        <v/>
      </c>
      <c r="P23" s="343" t="n">
        <v>264.785</v>
      </c>
      <c r="Q23" s="228" t="n">
        <v>82.866</v>
      </c>
      <c r="R23" s="228" t="n">
        <v>90.68000000000001</v>
      </c>
      <c r="S23" s="228" t="n">
        <v>95.483</v>
      </c>
      <c r="T23" s="228">
        <f>U23-SUM(Q23:S23)</f>
        <v/>
      </c>
      <c r="U23" s="343" t="n">
        <v>347.76</v>
      </c>
      <c r="V23" s="228" t="n">
        <v>80.342</v>
      </c>
      <c r="W23" s="228" t="n">
        <v>74.51000000000001</v>
      </c>
      <c r="X23" s="228" t="n">
        <v>77.678</v>
      </c>
      <c r="Y23" s="228">
        <f>Z23-SUM(V23:X23)</f>
        <v/>
      </c>
      <c r="Z23" s="343" t="n">
        <v>302.093</v>
      </c>
      <c r="AA23" s="228" t="n">
        <v>49.829</v>
      </c>
      <c r="AB23" s="228" t="n">
        <v>42.978</v>
      </c>
      <c r="AC23" s="228" t="n">
        <v>46.123</v>
      </c>
      <c r="AD23" s="228">
        <f>AE23-SUM(AA23:AC23)</f>
        <v/>
      </c>
      <c r="AE23" s="343" t="n">
        <v>181.465</v>
      </c>
      <c r="AF23" s="228" t="n">
        <v>41.748</v>
      </c>
      <c r="AG23" s="228" t="n">
        <v>35.649</v>
      </c>
      <c r="AH23" s="228" t="n">
        <v>33.227</v>
      </c>
      <c r="AI23" s="228">
        <f>AJ23-SUM(AF23:AH23)</f>
        <v/>
      </c>
      <c r="AJ23" s="343" t="n">
        <v>149.168</v>
      </c>
      <c r="AK23" s="228" t="n">
        <v>40.598</v>
      </c>
      <c r="AL23" s="322" t="n">
        <v>28.972</v>
      </c>
      <c r="AM23" s="228" t="n"/>
      <c r="AN23" s="228" t="n"/>
      <c r="AO23" s="343" t="n"/>
      <c r="AP23" s="228" t="n"/>
      <c r="AQ23" s="228" t="n"/>
      <c r="AR23" s="228" t="n"/>
      <c r="AS23" s="228" t="n"/>
      <c r="AT23" s="343" t="n"/>
      <c r="AU23" s="343" t="n"/>
      <c r="AV23" s="343" t="n"/>
      <c r="AW23" s="343" t="n"/>
      <c r="AX23" s="228" t="n"/>
    </row>
    <row r="24" hidden="1" outlineLevel="2" customFormat="1" s="5">
      <c r="A24" s="36" t="inlineStr">
        <is>
          <t>DDR Revenue, mm</t>
        </is>
      </c>
      <c r="B24" s="342" t="n"/>
      <c r="C24" s="343" t="n">
        <v>41.022</v>
      </c>
      <c r="D24" s="343" t="n">
        <v>17.569</v>
      </c>
      <c r="E24" s="343" t="n">
        <v>0</v>
      </c>
      <c r="F24" s="343" t="n"/>
      <c r="G24" s="228" t="n"/>
      <c r="H24" s="228" t="n"/>
      <c r="I24" s="228" t="n"/>
      <c r="J24" s="228">
        <f>K24-SUM(G24:I24)</f>
        <v/>
      </c>
      <c r="K24" s="343" t="n"/>
      <c r="L24" s="228" t="n"/>
      <c r="M24" s="228" t="n"/>
      <c r="N24" s="228" t="n"/>
      <c r="O24" s="228">
        <f>P24-SUM(L24:N24)</f>
        <v/>
      </c>
      <c r="P24" s="343" t="n"/>
      <c r="Q24" s="228" t="n"/>
      <c r="R24" s="228" t="n"/>
      <c r="S24" s="228" t="n"/>
      <c r="T24" s="228">
        <f>U24-SUM(Q24:S24)</f>
        <v/>
      </c>
      <c r="U24" s="343" t="n"/>
      <c r="V24" s="228" t="n"/>
      <c r="W24" s="228" t="n"/>
      <c r="X24" s="228" t="n"/>
      <c r="Y24" s="228" t="n"/>
      <c r="Z24" s="343" t="n"/>
      <c r="AA24" s="228" t="n"/>
      <c r="AB24" s="228" t="n"/>
      <c r="AC24" s="228" t="n"/>
      <c r="AD24" s="228" t="n"/>
      <c r="AE24" s="343" t="n"/>
      <c r="AF24" s="228" t="n"/>
      <c r="AG24" s="228" t="n"/>
      <c r="AH24" s="228" t="n"/>
      <c r="AI24" s="228" t="n"/>
      <c r="AJ24" s="343" t="n"/>
      <c r="AK24" s="228" t="n"/>
      <c r="AL24" s="322" t="n"/>
      <c r="AM24" s="228" t="n"/>
      <c r="AN24" s="228" t="n"/>
      <c r="AO24" s="343" t="n"/>
      <c r="AP24" s="228" t="n"/>
      <c r="AQ24" s="228" t="n"/>
      <c r="AR24" s="228" t="n"/>
      <c r="AS24" s="228" t="n"/>
      <c r="AT24" s="343" t="n"/>
      <c r="AU24" s="343" t="n"/>
      <c r="AV24" s="343" t="n"/>
      <c r="AW24" s="343" t="n"/>
      <c r="AX24" s="228" t="n"/>
    </row>
    <row r="25" hidden="1" outlineLevel="2" customFormat="1" s="5">
      <c r="A25" s="36" t="inlineStr">
        <is>
          <t>QDR Revenue, mm</t>
        </is>
      </c>
      <c r="B25" s="342" t="n"/>
      <c r="C25" s="343" t="n">
        <v>61.409</v>
      </c>
      <c r="D25" s="343" t="n">
        <v>108.009</v>
      </c>
      <c r="E25" s="343" t="n">
        <v>173.412</v>
      </c>
      <c r="F25" s="343" t="n">
        <v>175.65</v>
      </c>
      <c r="G25" s="228" t="n">
        <v>24.962</v>
      </c>
      <c r="H25" s="228" t="n">
        <v>24.935</v>
      </c>
      <c r="I25" s="228" t="n">
        <v>18.568</v>
      </c>
      <c r="J25" s="228">
        <f>K25-SUM(G25:I25)</f>
        <v/>
      </c>
      <c r="K25" s="343" t="n">
        <v>86.78400000000001</v>
      </c>
      <c r="L25" s="228" t="n">
        <v>0</v>
      </c>
      <c r="M25" s="228" t="n">
        <v>0</v>
      </c>
      <c r="N25" s="228" t="n">
        <v>0</v>
      </c>
      <c r="O25" s="228">
        <f>P25-SUM(L25:N25)</f>
        <v/>
      </c>
      <c r="P25" s="343" t="n">
        <v>0</v>
      </c>
      <c r="Q25" s="228" t="n">
        <v>0</v>
      </c>
      <c r="R25" s="228" t="n">
        <v>0</v>
      </c>
      <c r="S25" s="228" t="n">
        <v>0</v>
      </c>
      <c r="T25" s="228">
        <f>U25-SUM(Q25:S25)</f>
        <v/>
      </c>
      <c r="U25" s="343" t="n">
        <v>0</v>
      </c>
      <c r="V25" s="228" t="n">
        <v>0</v>
      </c>
      <c r="W25" s="228" t="n"/>
      <c r="X25" s="228" t="n"/>
      <c r="Y25" s="228" t="n"/>
      <c r="Z25" s="343" t="n"/>
      <c r="AA25" s="228" t="n"/>
      <c r="AB25" s="228" t="n"/>
      <c r="AC25" s="228" t="n"/>
      <c r="AD25" s="228" t="n"/>
      <c r="AE25" s="343" t="n"/>
      <c r="AF25" s="228" t="n"/>
      <c r="AG25" s="228" t="n"/>
      <c r="AH25" s="228" t="n"/>
      <c r="AI25" s="228" t="n"/>
      <c r="AJ25" s="343" t="n"/>
      <c r="AK25" s="228" t="n"/>
      <c r="AL25" s="322" t="n"/>
      <c r="AM25" s="228" t="n"/>
      <c r="AN25" s="228" t="n"/>
      <c r="AO25" s="343" t="n"/>
      <c r="AP25" s="228" t="n"/>
      <c r="AQ25" s="228" t="n"/>
      <c r="AR25" s="228" t="n"/>
      <c r="AS25" s="228" t="n"/>
      <c r="AT25" s="343" t="n"/>
      <c r="AU25" s="343" t="n"/>
      <c r="AV25" s="343" t="n"/>
      <c r="AW25" s="343" t="n"/>
      <c r="AX25" s="228" t="n"/>
    </row>
    <row r="26" hidden="1" outlineLevel="2" customFormat="1" s="5">
      <c r="A26" s="36" t="inlineStr">
        <is>
          <t>SDR Revenue, mm</t>
        </is>
      </c>
      <c r="B26" s="342" t="n"/>
      <c r="C26" s="343" t="n">
        <v>5.612</v>
      </c>
      <c r="D26" s="343" t="n">
        <v>8.364000000000001</v>
      </c>
      <c r="E26" s="343" t="n"/>
      <c r="F26" s="343" t="n"/>
      <c r="G26" s="228" t="n"/>
      <c r="H26" s="228" t="n"/>
      <c r="I26" s="228" t="n"/>
      <c r="J26" s="228">
        <f>K26-SUM(G26:I26)</f>
        <v/>
      </c>
      <c r="K26" s="343" t="n"/>
      <c r="L26" s="228" t="n"/>
      <c r="M26" s="228" t="n"/>
      <c r="N26" s="228" t="n"/>
      <c r="O26" s="228">
        <f>P26-SUM(L26:N26)</f>
        <v/>
      </c>
      <c r="P26" s="343" t="n"/>
      <c r="Q26" s="228" t="n"/>
      <c r="R26" s="228" t="n"/>
      <c r="S26" s="228" t="n"/>
      <c r="T26" s="228">
        <f>U26-SUM(Q26:S26)</f>
        <v/>
      </c>
      <c r="U26" s="343" t="n"/>
      <c r="V26" s="228" t="n"/>
      <c r="W26" s="228" t="n"/>
      <c r="X26" s="228" t="n"/>
      <c r="Y26" s="228" t="n"/>
      <c r="Z26" s="343" t="n"/>
      <c r="AA26" s="228" t="n"/>
      <c r="AB26" s="228" t="n"/>
      <c r="AC26" s="228" t="n"/>
      <c r="AD26" s="228" t="n"/>
      <c r="AE26" s="343" t="n"/>
      <c r="AF26" s="228" t="n"/>
      <c r="AG26" s="228" t="n"/>
      <c r="AH26" s="228" t="n"/>
      <c r="AI26" s="228" t="n"/>
      <c r="AJ26" s="343" t="n"/>
      <c r="AK26" s="228" t="n"/>
      <c r="AL26" s="322" t="n"/>
      <c r="AM26" s="228" t="n"/>
      <c r="AN26" s="228" t="n"/>
      <c r="AO26" s="343" t="n"/>
      <c r="AP26" s="228" t="n"/>
      <c r="AQ26" s="228" t="n"/>
      <c r="AR26" s="228" t="n"/>
      <c r="AS26" s="228" t="n"/>
      <c r="AT26" s="343" t="n"/>
      <c r="AU26" s="343" t="n"/>
      <c r="AV26" s="343" t="n"/>
      <c r="AW26" s="343" t="n"/>
      <c r="AX26" s="228" t="n"/>
    </row>
    <row r="27" hidden="1" outlineLevel="1" collapsed="1" customFormat="1" s="5">
      <c r="A27" s="36" t="inlineStr">
        <is>
          <t>DDR/SDR Revenue, mm</t>
        </is>
      </c>
      <c r="B27" s="342" t="n"/>
      <c r="C27" s="343" t="n">
        <v>0</v>
      </c>
      <c r="D27" s="343" t="n">
        <v>0</v>
      </c>
      <c r="E27" s="343" t="n">
        <v>34.157</v>
      </c>
      <c r="F27" s="343" t="n">
        <v>33.457</v>
      </c>
      <c r="G27" s="228" t="n">
        <v>4.146</v>
      </c>
      <c r="H27" s="228" t="n">
        <v>5.107</v>
      </c>
      <c r="I27" s="228" t="n">
        <v>7.765</v>
      </c>
      <c r="J27" s="228">
        <f>K27-SUM(G27:I27)</f>
        <v/>
      </c>
      <c r="K27" s="343" t="n">
        <v>21.211</v>
      </c>
      <c r="L27" s="228">
        <f>3.683+14.058</f>
        <v/>
      </c>
      <c r="M27" s="228" t="n">
        <v>18.956</v>
      </c>
      <c r="N27" s="228" t="n">
        <v>19.188</v>
      </c>
      <c r="O27" s="228">
        <f>P27-SUM(L27:N27)</f>
        <v/>
      </c>
      <c r="P27" s="343" t="n">
        <v>72.89</v>
      </c>
      <c r="Q27" s="228" t="n">
        <v>18.443</v>
      </c>
      <c r="R27" s="228" t="n">
        <v>17.358</v>
      </c>
      <c r="S27" s="228" t="n">
        <v>12.447</v>
      </c>
      <c r="T27" s="228">
        <f>U27-SUM(Q27:S27)</f>
        <v/>
      </c>
      <c r="U27" s="343" t="n">
        <v>63.745</v>
      </c>
      <c r="V27" s="228" t="n">
        <v>11.828</v>
      </c>
      <c r="W27" s="228" t="n">
        <v>11.715</v>
      </c>
      <c r="X27" s="228" t="n">
        <v>12.428</v>
      </c>
      <c r="Y27" s="228">
        <f>Z27-SUM(V27:X27)</f>
        <v/>
      </c>
      <c r="Z27" s="343" t="n">
        <v>49.987</v>
      </c>
      <c r="AA27" s="228" t="n">
        <v>7.533</v>
      </c>
      <c r="AB27" s="228" t="n">
        <v>5.697</v>
      </c>
      <c r="AC27" s="228" t="n">
        <v>8.994999999999999</v>
      </c>
      <c r="AD27" s="228">
        <f>AE27-SUM(AA27:AC27)</f>
        <v/>
      </c>
      <c r="AE27" s="343" t="n">
        <v>31.599</v>
      </c>
      <c r="AF27" s="228" t="n">
        <v>5.444</v>
      </c>
      <c r="AG27" s="228" t="n">
        <v>7.143</v>
      </c>
      <c r="AH27" s="228" t="n">
        <v>12.98</v>
      </c>
      <c r="AI27" s="228">
        <f>AJ27-SUM(AF27:AH27)</f>
        <v/>
      </c>
      <c r="AJ27" s="343" t="n">
        <v>44.359</v>
      </c>
      <c r="AK27" s="345" t="n">
        <v>14.704</v>
      </c>
      <c r="AL27" s="322" t="n">
        <v>8.646000000000001</v>
      </c>
      <c r="AM27" s="228" t="n"/>
      <c r="AN27" s="228" t="n"/>
      <c r="AO27" s="343" t="n"/>
      <c r="AP27" s="228" t="n"/>
      <c r="AQ27" s="228" t="n"/>
      <c r="AR27" s="228" t="n"/>
      <c r="AS27" s="228" t="n"/>
      <c r="AT27" s="343" t="n"/>
      <c r="AU27" s="343" t="n"/>
      <c r="AV27" s="343" t="n"/>
      <c r="AW27" s="343" t="n"/>
      <c r="AX27" s="228" t="n"/>
    </row>
    <row r="28" hidden="1" outlineLevel="1" customFormat="1" s="9">
      <c r="A28" s="347" t="inlineStr">
        <is>
          <t>Total Infiniband Revenue, mm</t>
        </is>
      </c>
      <c r="B28" s="348" t="n"/>
      <c r="C28" s="349">
        <f>SUM(C22:C27)</f>
        <v/>
      </c>
      <c r="D28" s="349">
        <f>SUM(D22:D27)</f>
        <v/>
      </c>
      <c r="E28" s="349">
        <f>SUM(E22:E27)</f>
        <v/>
      </c>
      <c r="F28" s="349">
        <f>SUM(F22:F27)</f>
        <v/>
      </c>
      <c r="G28" s="350">
        <f>SUM(G22:G27)</f>
        <v/>
      </c>
      <c r="H28" s="350">
        <f>SUM(H22:H27)</f>
        <v/>
      </c>
      <c r="I28" s="350">
        <f>SUM(I22:I27)</f>
        <v/>
      </c>
      <c r="J28" s="350">
        <f>SUM(J22:J27)</f>
        <v/>
      </c>
      <c r="K28" s="349">
        <f>SUM(K22:K27)</f>
        <v/>
      </c>
      <c r="L28" s="350">
        <f>SUM(L22:L27)</f>
        <v/>
      </c>
      <c r="M28" s="350">
        <f>SUM(M22:M27)</f>
        <v/>
      </c>
      <c r="N28" s="350">
        <f>SUM(N22:N27)</f>
        <v/>
      </c>
      <c r="O28" s="350">
        <f>SUM(O22:O27)</f>
        <v/>
      </c>
      <c r="P28" s="349">
        <f>SUM(P22:P27)</f>
        <v/>
      </c>
      <c r="Q28" s="350">
        <f>SUM(Q22:Q27)</f>
        <v/>
      </c>
      <c r="R28" s="350">
        <f>SUM(R22:R27)</f>
        <v/>
      </c>
      <c r="S28" s="350">
        <f>SUM(S22:S27)</f>
        <v/>
      </c>
      <c r="T28" s="350">
        <f>SUM(T22:T27)</f>
        <v/>
      </c>
      <c r="U28" s="349">
        <f>SUM(U22:U27)</f>
        <v/>
      </c>
      <c r="V28" s="350">
        <f>SUM(V22:V27)</f>
        <v/>
      </c>
      <c r="W28" s="350">
        <f>SUM(W22:W27)</f>
        <v/>
      </c>
      <c r="X28" s="350">
        <f>SUM(X22:X27)</f>
        <v/>
      </c>
      <c r="Y28" s="351">
        <f>SUM(Y22:Y27)</f>
        <v/>
      </c>
      <c r="Z28" s="352">
        <f>SUM(Z22:Z27)</f>
        <v/>
      </c>
      <c r="AA28" s="350">
        <f>SUM(AA22:AA27)</f>
        <v/>
      </c>
      <c r="AB28" s="350">
        <f>SUM(AB22:AB27)</f>
        <v/>
      </c>
      <c r="AC28" s="350">
        <f>SUM(AC22:AC27)</f>
        <v/>
      </c>
      <c r="AD28" s="351">
        <f>SUM(AD22:AD27)</f>
        <v/>
      </c>
      <c r="AE28" s="352">
        <f>SUM(AE22:AE27)</f>
        <v/>
      </c>
      <c r="AF28" s="350">
        <f>SUM(AF22:AF27)</f>
        <v/>
      </c>
      <c r="AG28" s="350">
        <f>SUM(AG22:AG27)</f>
        <v/>
      </c>
      <c r="AH28" s="350">
        <f>SUM(AH22:AH27)</f>
        <v/>
      </c>
      <c r="AI28" s="351">
        <f>SUM(AI21:AI27)</f>
        <v/>
      </c>
      <c r="AJ28" s="352">
        <f>SUM(AJ21:AJ27)</f>
        <v/>
      </c>
      <c r="AK28" s="350">
        <f>SUM(AK21:AK27)</f>
        <v/>
      </c>
      <c r="AL28" s="353">
        <f>SUM(AL21:AL27)</f>
        <v/>
      </c>
      <c r="AM28" s="351" t="n"/>
      <c r="AN28" s="351" t="n"/>
      <c r="AO28" s="352" t="n"/>
      <c r="AP28" s="351" t="n"/>
      <c r="AQ28" s="351" t="n"/>
      <c r="AR28" s="351" t="n"/>
      <c r="AS28" s="351" t="n"/>
      <c r="AT28" s="352" t="n"/>
      <c r="AU28" s="352" t="n"/>
      <c r="AV28" s="352" t="n"/>
      <c r="AW28" s="352" t="n"/>
      <c r="AX28" s="22" t="n"/>
    </row>
    <row r="29" hidden="1" outlineLevel="1" customFormat="1" s="5">
      <c r="A29" s="36" t="inlineStr">
        <is>
          <t>Ethernet Revenue, mm</t>
        </is>
      </c>
      <c r="B29" s="342" t="n"/>
      <c r="C29" s="343" t="n">
        <v>1.899</v>
      </c>
      <c r="D29" s="343" t="n">
        <v>8.223000000000001</v>
      </c>
      <c r="E29" s="343" t="n">
        <v>24.252</v>
      </c>
      <c r="F29" s="343" t="n">
        <v>42.523</v>
      </c>
      <c r="G29" s="228" t="n">
        <v>7.84</v>
      </c>
      <c r="H29" s="228" t="n">
        <v>13.941</v>
      </c>
      <c r="I29" s="228" t="n">
        <v>15.146</v>
      </c>
      <c r="J29" s="228">
        <f>K29-SUM(G29:I29)</f>
        <v/>
      </c>
      <c r="K29" s="343" t="n">
        <v>52.908</v>
      </c>
      <c r="L29" s="228" t="n">
        <v>18.997</v>
      </c>
      <c r="M29" s="228" t="n">
        <v>19.229</v>
      </c>
      <c r="N29" s="228" t="n">
        <v>19.66</v>
      </c>
      <c r="O29" s="228">
        <f>P29-SUM(L29:N29)</f>
        <v/>
      </c>
      <c r="P29" s="343" t="n">
        <v>83.47</v>
      </c>
      <c r="Q29" s="228" t="n">
        <v>34.68</v>
      </c>
      <c r="R29" s="228" t="n">
        <v>38.984</v>
      </c>
      <c r="S29" s="228" t="n">
        <v>35.459</v>
      </c>
      <c r="T29" s="228">
        <f>U29-SUM(Q29:S29)</f>
        <v/>
      </c>
      <c r="U29" s="343" t="n">
        <v>155.221</v>
      </c>
      <c r="V29" s="228" t="n">
        <v>68.625</v>
      </c>
      <c r="W29" s="228" t="n">
        <v>88.027</v>
      </c>
      <c r="X29" s="228" t="n">
        <v>89.55800000000001</v>
      </c>
      <c r="Y29" s="228">
        <f>Z29-SUM(V29:X29)</f>
        <v/>
      </c>
      <c r="Z29" s="343" t="n">
        <v>317.241</v>
      </c>
      <c r="AA29" s="228" t="n">
        <v>80.477</v>
      </c>
      <c r="AB29" s="228" t="n">
        <v>87.023</v>
      </c>
      <c r="AC29" s="228" t="n">
        <v>110.673</v>
      </c>
      <c r="AD29" s="228">
        <f>AE29-SUM(AA29:AC29)</f>
        <v/>
      </c>
      <c r="AE29" s="343" t="n">
        <v>401.005</v>
      </c>
      <c r="AF29" s="228" t="n">
        <v>136.948</v>
      </c>
      <c r="AG29" s="228" t="n">
        <v>157.47</v>
      </c>
      <c r="AH29" s="228" t="n">
        <v>175.517</v>
      </c>
      <c r="AI29" s="228">
        <f>AJ29-SUM(AF29:AH29)</f>
        <v/>
      </c>
      <c r="AJ29" s="343" t="n">
        <v>618.471</v>
      </c>
      <c r="AK29" s="228" t="n">
        <v>160.893</v>
      </c>
      <c r="AL29" s="322" t="n">
        <v>169.131</v>
      </c>
      <c r="AM29" s="228" t="n"/>
      <c r="AN29" s="228" t="n"/>
      <c r="AO29" s="343" t="n"/>
      <c r="AP29" s="228" t="n"/>
      <c r="AQ29" s="228" t="n"/>
      <c r="AR29" s="228" t="n"/>
      <c r="AS29" s="228" t="n"/>
      <c r="AT29" s="343" t="n"/>
      <c r="AU29" s="343" t="n"/>
      <c r="AV29" s="343" t="n"/>
      <c r="AW29" s="343" t="n"/>
      <c r="AX29" s="228" t="n"/>
    </row>
    <row r="30" hidden="1" outlineLevel="1" customFormat="1" s="5">
      <c r="A30" s="36" t="inlineStr">
        <is>
          <t>Other Revenue, mm</t>
        </is>
      </c>
      <c r="B30" s="342" t="n"/>
      <c r="C30" s="343" t="n">
        <v>6.102</v>
      </c>
      <c r="D30" s="343" t="n">
        <v>12.475</v>
      </c>
      <c r="E30" s="343" t="n">
        <v>13.577</v>
      </c>
      <c r="F30" s="343" t="n">
        <v>11.917</v>
      </c>
      <c r="G30" s="228" t="n">
        <v>4.3</v>
      </c>
      <c r="H30" s="228" t="n">
        <v>3.431</v>
      </c>
      <c r="I30" s="228" t="n">
        <v>12.449</v>
      </c>
      <c r="J30" s="228">
        <f>K30-SUM(G30:I30)</f>
        <v/>
      </c>
      <c r="K30" s="343" t="n">
        <v>29.233</v>
      </c>
      <c r="L30" s="228" t="n">
        <v>10.832</v>
      </c>
      <c r="M30" s="228" t="n">
        <v>13.083</v>
      </c>
      <c r="N30" s="228" t="n">
        <v>8.465999999999999</v>
      </c>
      <c r="O30" s="228">
        <f>P30-SUM(L30:N30)</f>
        <v/>
      </c>
      <c r="P30" s="343" t="n">
        <v>42.504</v>
      </c>
      <c r="Q30" s="228" t="n">
        <v>10.686</v>
      </c>
      <c r="R30" s="228" t="n">
        <v>10.279</v>
      </c>
      <c r="S30" s="228" t="n">
        <v>13.557</v>
      </c>
      <c r="T30" s="228">
        <f>U30-SUM(Q30:S30)</f>
        <v/>
      </c>
      <c r="U30" s="343" t="n">
        <v>52.405</v>
      </c>
      <c r="V30" s="228" t="n">
        <v>15.012</v>
      </c>
      <c r="W30" s="228" t="n">
        <v>15.77</v>
      </c>
      <c r="X30" s="228" t="n">
        <v>13.832</v>
      </c>
      <c r="Y30" s="228">
        <f>Z30-SUM(V30:X30)</f>
        <v/>
      </c>
      <c r="Z30" s="343" t="n">
        <v>62.928</v>
      </c>
      <c r="AA30" s="228" t="n">
        <v>11.189</v>
      </c>
      <c r="AB30" s="228" t="n">
        <v>16.828</v>
      </c>
      <c r="AC30" s="228" t="n">
        <v>14.841</v>
      </c>
      <c r="AD30" s="228">
        <f>AE30-SUM(AA30:AC30)</f>
        <v/>
      </c>
      <c r="AE30" s="343" t="n">
        <v>55.563</v>
      </c>
      <c r="AF30" s="228" t="n">
        <v>10.914</v>
      </c>
      <c r="AG30" s="228" t="n">
        <v>8.881</v>
      </c>
      <c r="AH30" s="228" t="n">
        <v>5.829</v>
      </c>
      <c r="AI30" s="228">
        <f>AJ30-SUM(AF30:AH30)</f>
        <v/>
      </c>
      <c r="AJ30" s="343" t="n">
        <v>31.913</v>
      </c>
      <c r="AK30" s="345" t="n">
        <v>6.186</v>
      </c>
      <c r="AL30" s="322" t="n">
        <v>8.311999999999999</v>
      </c>
      <c r="AM30" s="228" t="n"/>
      <c r="AN30" s="228" t="n"/>
      <c r="AO30" s="343" t="n"/>
      <c r="AP30" s="228" t="n"/>
      <c r="AQ30" s="228" t="n"/>
      <c r="AR30" s="228" t="n"/>
      <c r="AS30" s="228" t="n"/>
      <c r="AT30" s="343" t="n"/>
      <c r="AU30" s="343" t="n"/>
      <c r="AV30" s="343" t="n"/>
      <c r="AW30" s="343" t="n"/>
      <c r="AX30" s="228" t="n"/>
    </row>
    <row r="31" hidden="1" outlineLevel="1" customFormat="1" s="9">
      <c r="A31" s="347" t="inlineStr">
        <is>
          <t>Total Revenue, mm</t>
        </is>
      </c>
      <c r="B31" s="348" t="n"/>
      <c r="C31" s="349">
        <f>SUM(C28:C30)</f>
        <v/>
      </c>
      <c r="D31" s="349">
        <f>SUM(D28:D30)</f>
        <v/>
      </c>
      <c r="E31" s="349">
        <f>SUM(E28:E30)</f>
        <v/>
      </c>
      <c r="F31" s="349">
        <f>SUM(F28:F30)</f>
        <v/>
      </c>
      <c r="G31" s="350">
        <f>SUM(G28:G30)</f>
        <v/>
      </c>
      <c r="H31" s="350">
        <f>SUM(H28:H30)</f>
        <v/>
      </c>
      <c r="I31" s="350">
        <f>SUM(I28:I30)</f>
        <v/>
      </c>
      <c r="J31" s="350">
        <f>SUM(J28:J30)</f>
        <v/>
      </c>
      <c r="K31" s="349">
        <f>SUM(K28:K30)</f>
        <v/>
      </c>
      <c r="L31" s="350">
        <f>SUM(L28:L30)</f>
        <v/>
      </c>
      <c r="M31" s="350">
        <f>SUM(M28:M30)</f>
        <v/>
      </c>
      <c r="N31" s="350">
        <f>SUM(N28:N30)</f>
        <v/>
      </c>
      <c r="O31" s="350">
        <f>SUM(O28:O30)</f>
        <v/>
      </c>
      <c r="P31" s="349">
        <f>SUM(P28:P30)</f>
        <v/>
      </c>
      <c r="Q31" s="350">
        <f>SUM(Q28:Q30)</f>
        <v/>
      </c>
      <c r="R31" s="350">
        <f>SUM(R28:R30)</f>
        <v/>
      </c>
      <c r="S31" s="350">
        <f>SUM(S28:S30)</f>
        <v/>
      </c>
      <c r="T31" s="350">
        <f>SUM(T28:T30)</f>
        <v/>
      </c>
      <c r="U31" s="349">
        <f>SUM(U28:U30)</f>
        <v/>
      </c>
      <c r="V31" s="350">
        <f>SUM(V28:V30)</f>
        <v/>
      </c>
      <c r="W31" s="350">
        <f>SUM(W28:W30)</f>
        <v/>
      </c>
      <c r="X31" s="350">
        <f>SUM(X28:X30)</f>
        <v/>
      </c>
      <c r="Y31" s="351">
        <f>SUM(Y28:Y30)</f>
        <v/>
      </c>
      <c r="Z31" s="352">
        <f>SUM(Z28:Z30)</f>
        <v/>
      </c>
      <c r="AA31" s="350">
        <f>SUM(AA28:AA30)</f>
        <v/>
      </c>
      <c r="AB31" s="350">
        <f>SUM(AB28:AB30)</f>
        <v/>
      </c>
      <c r="AC31" s="350">
        <f>SUM(AC28:AC30)</f>
        <v/>
      </c>
      <c r="AD31" s="351">
        <f>SUM(AD28:AD30)</f>
        <v/>
      </c>
      <c r="AE31" s="352">
        <f>SUM(AE28:AE30)</f>
        <v/>
      </c>
      <c r="AF31" s="350">
        <f>SUM(AF28:AF30)</f>
        <v/>
      </c>
      <c r="AG31" s="350">
        <f>SUM(AG28:AG30)</f>
        <v/>
      </c>
      <c r="AH31" s="350">
        <f>SUM(AH28:AH30)</f>
        <v/>
      </c>
      <c r="AI31" s="351">
        <f>SUM(AI28:AI30)</f>
        <v/>
      </c>
      <c r="AJ31" s="352">
        <f>SUM(AJ28:AJ30)</f>
        <v/>
      </c>
      <c r="AK31" s="350">
        <f>SUM(AK28:AK30)</f>
        <v/>
      </c>
      <c r="AL31" s="353">
        <f>SUM(AL28:AL30)</f>
        <v/>
      </c>
      <c r="AM31" s="351" t="n"/>
      <c r="AN31" s="351" t="n"/>
      <c r="AO31" s="352" t="n"/>
      <c r="AP31" s="351" t="n"/>
      <c r="AQ31" s="351" t="n"/>
      <c r="AR31" s="351" t="n"/>
      <c r="AS31" s="351" t="n"/>
      <c r="AT31" s="352" t="n"/>
      <c r="AU31" s="352" t="n"/>
      <c r="AV31" s="352" t="n"/>
      <c r="AW31" s="352" t="n"/>
      <c r="AX31" s="22" t="n"/>
    </row>
    <row r="32" collapsed="1" customFormat="1" s="5">
      <c r="A32" s="354" t="n"/>
      <c r="B32" s="342" t="n"/>
      <c r="C32" s="343" t="n"/>
      <c r="D32" s="343" t="n"/>
      <c r="E32" s="343" t="n"/>
      <c r="F32" s="343" t="n"/>
      <c r="G32" s="228" t="n"/>
      <c r="H32" s="228" t="n"/>
      <c r="I32" s="228" t="n"/>
      <c r="J32" s="228" t="n"/>
      <c r="K32" s="343" t="n"/>
      <c r="L32" s="228" t="n"/>
      <c r="M32" s="228" t="n"/>
      <c r="N32" s="228" t="n"/>
      <c r="O32" s="228" t="n"/>
      <c r="P32" s="343" t="n"/>
      <c r="Q32" s="228" t="n"/>
      <c r="R32" s="228" t="n"/>
      <c r="S32" s="228" t="n"/>
      <c r="T32" s="228" t="n"/>
      <c r="U32" s="343" t="n"/>
      <c r="V32" s="228" t="n"/>
      <c r="W32" s="228" t="n"/>
      <c r="X32" s="228" t="n"/>
      <c r="Y32" s="228" t="n"/>
      <c r="Z32" s="343" t="n"/>
      <c r="AA32" s="228" t="n"/>
      <c r="AB32" s="228" t="n"/>
      <c r="AC32" s="228" t="n"/>
      <c r="AD32" s="228" t="n"/>
      <c r="AE32" s="343" t="n"/>
      <c r="AF32" s="228" t="n"/>
      <c r="AG32" s="228" t="n"/>
      <c r="AH32" s="228" t="n"/>
      <c r="AI32" s="228" t="n"/>
      <c r="AJ32" s="343" t="n"/>
      <c r="AK32" s="228" t="n"/>
      <c r="AL32" s="322" t="n"/>
      <c r="AM32" s="228" t="n"/>
      <c r="AN32" s="228" t="n"/>
      <c r="AO32" s="343" t="n"/>
      <c r="AP32" s="228" t="n"/>
      <c r="AQ32" s="228" t="n"/>
      <c r="AR32" s="228" t="n"/>
      <c r="AS32" s="228" t="n"/>
      <c r="AT32" s="343" t="n"/>
      <c r="AU32" s="343" t="n"/>
      <c r="AV32" s="343" t="n"/>
      <c r="AW32" s="343" t="n"/>
      <c r="AX32" s="228" t="n"/>
    </row>
    <row r="33" customFormat="1" s="9">
      <c r="A33" s="45" t="inlineStr">
        <is>
          <t>Key Metrics - Major Customers with Revenues &gt; 10% (FS)</t>
        </is>
      </c>
      <c r="B33" s="45" t="n"/>
      <c r="C33" s="45" t="n"/>
      <c r="D33" s="45" t="n"/>
      <c r="E33" s="45" t="n"/>
      <c r="F33" s="45" t="n"/>
      <c r="G33" s="45" t="n"/>
      <c r="H33" s="45" t="n"/>
      <c r="I33" s="45" t="n"/>
      <c r="J33" s="45" t="n"/>
      <c r="K33" s="45" t="n"/>
      <c r="L33" s="45" t="n"/>
      <c r="M33" s="45" t="n"/>
      <c r="N33" s="45" t="n"/>
      <c r="O33" s="45" t="n"/>
      <c r="P33" s="45" t="n"/>
      <c r="Q33" s="45" t="n"/>
      <c r="R33" s="45" t="n"/>
      <c r="S33" s="45" t="n"/>
      <c r="T33" s="45" t="n"/>
      <c r="U33" s="45" t="n"/>
      <c r="V33" s="45" t="n"/>
      <c r="W33" s="45" t="n"/>
      <c r="X33" s="45" t="n"/>
      <c r="Y33" s="45" t="n"/>
      <c r="Z33" s="45" t="n"/>
      <c r="AA33" s="45" t="n"/>
      <c r="AB33" s="45" t="n"/>
      <c r="AC33" s="45" t="n"/>
      <c r="AD33" s="45" t="n"/>
      <c r="AE33" s="45" t="n"/>
      <c r="AF33" s="45" t="n"/>
      <c r="AG33" s="45" t="n"/>
      <c r="AH33" s="45" t="n"/>
      <c r="AI33" s="45" t="n"/>
      <c r="AJ33" s="45" t="n"/>
      <c r="AK33" s="45" t="n"/>
      <c r="AL33" s="306" t="n"/>
      <c r="AM33" s="45" t="n"/>
      <c r="AN33" s="45" t="n"/>
      <c r="AO33" s="45" t="n"/>
      <c r="AP33" s="45" t="n"/>
      <c r="AQ33" s="45" t="n"/>
      <c r="AR33" s="45" t="n"/>
      <c r="AS33" s="45" t="n"/>
      <c r="AT33" s="45" t="n"/>
      <c r="AU33" s="45" t="n"/>
      <c r="AV33" s="45" t="n"/>
      <c r="AW33" s="45" t="n"/>
      <c r="AX33" s="22" t="n"/>
    </row>
    <row r="34" hidden="1" outlineLevel="1" customFormat="1" s="333">
      <c r="A34" s="355" t="inlineStr">
        <is>
          <t>Hewlett Packard, %</t>
        </is>
      </c>
      <c r="B34" s="356" t="n"/>
      <c r="C34" s="357" t="n"/>
      <c r="D34" s="357" t="n"/>
      <c r="E34" s="357" t="n">
        <v>0.19</v>
      </c>
      <c r="F34" s="357" t="n">
        <v>0.2</v>
      </c>
      <c r="G34" s="332" t="n">
        <v>0.16</v>
      </c>
      <c r="H34" s="332" t="n">
        <v>0.1</v>
      </c>
      <c r="I34" s="332" t="n">
        <v>0.12</v>
      </c>
      <c r="J34" s="332">
        <f>((K34*K$56)-SUMPRODUCT(G34:I34,G$56:I$56))/J$56</f>
        <v/>
      </c>
      <c r="K34" s="357" t="n">
        <v>0.13</v>
      </c>
      <c r="L34" s="332" t="n">
        <v>0</v>
      </c>
      <c r="M34" s="332" t="n">
        <v>0</v>
      </c>
      <c r="N34" s="332" t="n">
        <v>0.15</v>
      </c>
      <c r="O34" s="332" t="n"/>
      <c r="P34" s="357" t="n">
        <v>0.11</v>
      </c>
      <c r="Q34" s="332" t="n">
        <v>0.12</v>
      </c>
      <c r="R34" s="332" t="n">
        <v>0.15</v>
      </c>
      <c r="S34" s="332" t="n">
        <v>0.14</v>
      </c>
      <c r="T34" s="332">
        <f>((U34*U$56)-SUMPRODUCT(Q34:S34,Q$56:S$56))/T$56</f>
        <v/>
      </c>
      <c r="U34" s="357" t="n">
        <v>0.14</v>
      </c>
      <c r="V34" s="332" t="n">
        <v>0.2</v>
      </c>
      <c r="W34" s="332" t="n">
        <v>0.12</v>
      </c>
      <c r="X34" s="332" t="n">
        <v>0.17</v>
      </c>
      <c r="Y34" s="332">
        <f>((Z34*Z$56)-SUMPRODUCT(V34:X34,V$56:X$56))/Y$56</f>
        <v/>
      </c>
      <c r="Z34" s="357" t="n">
        <v>0.16</v>
      </c>
      <c r="AA34" s="332" t="n">
        <v>0.13</v>
      </c>
      <c r="AB34" s="332" t="n">
        <v>0.14</v>
      </c>
      <c r="AC34" s="332" t="n">
        <v>0.118</v>
      </c>
      <c r="AD34" s="332">
        <f>((AE34*AE$56)-SUMPRODUCT(AA34:AC34,AA$56:AC$56))/AD$56</f>
        <v/>
      </c>
      <c r="AE34" s="357" t="n">
        <v>0.13</v>
      </c>
      <c r="AF34" s="332" t="n">
        <v>0.17</v>
      </c>
      <c r="AG34" s="332" t="n">
        <v>0.13</v>
      </c>
      <c r="AH34" s="332" t="n"/>
      <c r="AI34" s="332" t="n"/>
      <c r="AJ34" s="357" t="n">
        <v>0.12</v>
      </c>
      <c r="AK34" s="332" t="n"/>
      <c r="AL34" s="358" t="n">
        <v>0.135</v>
      </c>
      <c r="AM34" s="332" t="n"/>
      <c r="AN34" s="332" t="n"/>
      <c r="AO34" s="357" t="n"/>
      <c r="AP34" s="332" t="n"/>
      <c r="AQ34" s="332" t="n"/>
      <c r="AR34" s="332" t="n"/>
      <c r="AS34" s="332" t="n"/>
      <c r="AT34" s="357" t="n"/>
      <c r="AU34" s="357" t="n"/>
      <c r="AV34" s="357" t="n"/>
      <c r="AW34" s="357" t="n"/>
      <c r="AX34" s="332" t="n"/>
    </row>
    <row r="35" hidden="1" outlineLevel="1" customFormat="1" s="333">
      <c r="A35" s="355" t="inlineStr">
        <is>
          <t>Dell, %</t>
        </is>
      </c>
      <c r="B35" s="356" t="n"/>
      <c r="C35" s="357" t="n"/>
      <c r="D35" s="357" t="n"/>
      <c r="E35" s="357" t="n">
        <v>0</v>
      </c>
      <c r="F35" s="357" t="n">
        <v>0</v>
      </c>
      <c r="G35" s="332" t="n">
        <v>0</v>
      </c>
      <c r="H35" s="332" t="n">
        <v>0</v>
      </c>
      <c r="I35" s="332" t="n">
        <v>0</v>
      </c>
      <c r="J35" s="332" t="n"/>
      <c r="K35" s="357" t="n">
        <v>0</v>
      </c>
      <c r="L35" s="332" t="n">
        <v>0.12</v>
      </c>
      <c r="M35" s="332" t="n">
        <v>0</v>
      </c>
      <c r="N35" s="332" t="n">
        <v>0.11</v>
      </c>
      <c r="O35" s="332" t="n"/>
      <c r="P35" s="357" t="n">
        <v>0.11</v>
      </c>
      <c r="Q35" s="332" t="n"/>
      <c r="R35" s="332" t="n"/>
      <c r="S35" s="332" t="n"/>
      <c r="T35" s="332" t="n"/>
      <c r="U35" s="357" t="n"/>
      <c r="V35" s="332" t="n"/>
      <c r="W35" s="332" t="n"/>
      <c r="X35" s="332" t="n"/>
      <c r="Y35" s="332" t="n"/>
      <c r="Z35" s="357" t="n"/>
      <c r="AA35" s="332" t="n">
        <v>0.13</v>
      </c>
      <c r="AB35" s="332" t="n">
        <v>0.11</v>
      </c>
      <c r="AC35" s="332" t="n"/>
      <c r="AD35" s="332" t="n"/>
      <c r="AE35" s="357" t="n">
        <v>0.11</v>
      </c>
      <c r="AF35" s="332" t="n">
        <v>0.1</v>
      </c>
      <c r="AG35" s="332" t="n">
        <v>0.14</v>
      </c>
      <c r="AH35" s="332" t="n">
        <v>0.11</v>
      </c>
      <c r="AI35" s="332">
        <f>((AJ35*AJ$56)-SUMPRODUCT(AF35:AH35,AF$56:AH$56))/AI$56</f>
        <v/>
      </c>
      <c r="AJ35" s="357" t="n">
        <v>0.12</v>
      </c>
      <c r="AK35" s="332" t="n">
        <v>0.15</v>
      </c>
      <c r="AL35" s="358" t="n"/>
      <c r="AM35" s="332" t="n"/>
      <c r="AN35" s="332" t="n"/>
      <c r="AO35" s="357" t="n"/>
      <c r="AP35" s="332" t="n"/>
      <c r="AQ35" s="332" t="n"/>
      <c r="AR35" s="332" t="n"/>
      <c r="AS35" s="332" t="n"/>
      <c r="AT35" s="357" t="n"/>
      <c r="AU35" s="357" t="n"/>
      <c r="AV35" s="357" t="n"/>
      <c r="AW35" s="357" t="n"/>
      <c r="AX35" s="332" t="n"/>
    </row>
    <row r="36" hidden="1" outlineLevel="1" customFormat="1" s="333">
      <c r="A36" s="355" t="inlineStr">
        <is>
          <t>IBM, %</t>
        </is>
      </c>
      <c r="B36" s="356" t="n"/>
      <c r="C36" s="357" t="n"/>
      <c r="D36" s="357" t="n"/>
      <c r="E36" s="357" t="n">
        <v>0.17</v>
      </c>
      <c r="F36" s="357" t="n">
        <v>0.19</v>
      </c>
      <c r="G36" s="332" t="n">
        <v>0.19</v>
      </c>
      <c r="H36" s="332" t="n">
        <v>0.19</v>
      </c>
      <c r="I36" s="332" t="n">
        <v>0.17</v>
      </c>
      <c r="J36" s="332">
        <f>((K36*K$56)-SUMPRODUCT(G36:I36,G$56:I$56))/J$56</f>
        <v/>
      </c>
      <c r="K36" s="357" t="n">
        <v>0.17</v>
      </c>
      <c r="L36" s="332" t="n">
        <v>0</v>
      </c>
      <c r="M36" s="332" t="n">
        <v>0.11</v>
      </c>
      <c r="N36" s="332" t="n">
        <v>0.11</v>
      </c>
      <c r="O36" s="332" t="n"/>
      <c r="P36" s="357" t="n">
        <v>0.1</v>
      </c>
      <c r="Q36" s="332" t="n"/>
      <c r="R36" s="332" t="n"/>
      <c r="S36" s="332" t="n"/>
      <c r="T36" s="332" t="n"/>
      <c r="U36" s="357" t="n"/>
      <c r="V36" s="332" t="n"/>
      <c r="W36" s="332" t="n"/>
      <c r="X36" s="332" t="n"/>
      <c r="Y36" s="332" t="n"/>
      <c r="Z36" s="357" t="n"/>
      <c r="AA36" s="332" t="n"/>
      <c r="AB36" s="332" t="n">
        <v>0.15</v>
      </c>
      <c r="AC36" s="332" t="n"/>
      <c r="AD36" s="332" t="n"/>
      <c r="AE36" s="357" t="n"/>
      <c r="AF36" s="332" t="n"/>
      <c r="AG36" s="332" t="n"/>
      <c r="AH36" s="332" t="n"/>
      <c r="AI36" s="332" t="n"/>
      <c r="AJ36" s="357" t="n"/>
      <c r="AK36" s="332" t="n"/>
      <c r="AL36" s="358" t="n"/>
      <c r="AM36" s="332" t="n"/>
      <c r="AN36" s="332" t="n"/>
      <c r="AO36" s="357" t="n"/>
      <c r="AP36" s="332" t="n"/>
      <c r="AQ36" s="332" t="n"/>
      <c r="AR36" s="332" t="n"/>
      <c r="AS36" s="332" t="n"/>
      <c r="AT36" s="357" t="n"/>
      <c r="AU36" s="357" t="n"/>
      <c r="AV36" s="357" t="n"/>
      <c r="AW36" s="357" t="n"/>
      <c r="AX36" s="332" t="n"/>
    </row>
    <row r="37" collapsed="1" customFormat="1" s="333">
      <c r="A37" s="329" t="n"/>
      <c r="B37" s="34" t="n"/>
      <c r="C37" s="285" t="n"/>
      <c r="D37" s="285" t="n"/>
      <c r="E37" s="285" t="n"/>
      <c r="F37" s="285" t="n"/>
      <c r="G37" s="330" t="n"/>
      <c r="H37" s="330" t="n"/>
      <c r="I37" s="330" t="n"/>
      <c r="J37" s="330" t="n"/>
      <c r="K37" s="285" t="n"/>
      <c r="L37" s="330" t="n"/>
      <c r="M37" s="330" t="n"/>
      <c r="N37" s="330" t="n"/>
      <c r="O37" s="330" t="n"/>
      <c r="P37" s="285" t="n"/>
      <c r="Q37" s="330" t="n"/>
      <c r="R37" s="330" t="n"/>
      <c r="S37" s="330" t="n"/>
      <c r="T37" s="330" t="n"/>
      <c r="U37" s="285" t="n"/>
      <c r="V37" s="330" t="n"/>
      <c r="W37" s="330" t="n"/>
      <c r="X37" s="330" t="n"/>
      <c r="Y37" s="330" t="n"/>
      <c r="Z37" s="285" t="n"/>
      <c r="AA37" s="330" t="n"/>
      <c r="AB37" s="330" t="n"/>
      <c r="AC37" s="330" t="n"/>
      <c r="AD37" s="330" t="n"/>
      <c r="AE37" s="285" t="n"/>
      <c r="AF37" s="330" t="n"/>
      <c r="AG37" s="330" t="n"/>
      <c r="AH37" s="330" t="n"/>
      <c r="AI37" s="330" t="n"/>
      <c r="AJ37" s="285" t="n"/>
      <c r="AK37" s="330" t="n"/>
      <c r="AL37" s="331" t="n"/>
      <c r="AM37" s="330" t="n"/>
      <c r="AN37" s="330" t="n"/>
      <c r="AO37" s="285" t="n"/>
      <c r="AP37" s="330" t="n"/>
      <c r="AQ37" s="330" t="n"/>
      <c r="AR37" s="330" t="n"/>
      <c r="AS37" s="330" t="n"/>
      <c r="AT37" s="285" t="n"/>
      <c r="AU37" s="285" t="n"/>
      <c r="AV37" s="285" t="n"/>
      <c r="AW37" s="285" t="n"/>
      <c r="AX37" s="332" t="n"/>
    </row>
    <row r="38" customFormat="1" s="16">
      <c r="A38" s="46" t="inlineStr">
        <is>
          <t>Margin Analysis</t>
        </is>
      </c>
      <c r="B38" s="46" t="n"/>
      <c r="C38" s="46" t="n"/>
      <c r="D38" s="46" t="n"/>
      <c r="E38" s="46" t="n"/>
      <c r="F38" s="46" t="n"/>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c r="AA38" s="46" t="n"/>
      <c r="AB38" s="46" t="n"/>
      <c r="AC38" s="46" t="n"/>
      <c r="AD38" s="46" t="n"/>
      <c r="AE38" s="46" t="n"/>
      <c r="AF38" s="46" t="n"/>
      <c r="AG38" s="46" t="n"/>
      <c r="AH38" s="46" t="n"/>
      <c r="AI38" s="46" t="n"/>
      <c r="AJ38" s="46" t="n"/>
      <c r="AK38" s="46" t="n"/>
      <c r="AL38" s="303" t="n"/>
      <c r="AM38" s="46" t="n"/>
      <c r="AN38" s="46" t="n"/>
      <c r="AO38" s="46" t="n"/>
      <c r="AP38" s="46" t="n"/>
      <c r="AQ38" s="46" t="n"/>
      <c r="AR38" s="46" t="n"/>
      <c r="AS38" s="46" t="n"/>
      <c r="AT38" s="46" t="n"/>
      <c r="AU38" s="46" t="n"/>
      <c r="AV38" s="46" t="n"/>
      <c r="AW38" s="46" t="n"/>
      <c r="AX38" s="25" t="n"/>
    </row>
    <row r="39" customFormat="1" s="16">
      <c r="A39" s="359" t="inlineStr">
        <is>
          <t>GAAP COGS Margin, %</t>
        </is>
      </c>
      <c r="B39" s="33" t="n"/>
      <c r="C39" s="6">
        <f>C136/C133</f>
        <v/>
      </c>
      <c r="D39" s="6">
        <f>D136/D133</f>
        <v/>
      </c>
      <c r="E39" s="6">
        <f>E136/E133</f>
        <v/>
      </c>
      <c r="F39" s="6">
        <f>F136/F133</f>
        <v/>
      </c>
      <c r="G39" s="23">
        <f>G136/G133</f>
        <v/>
      </c>
      <c r="H39" s="23">
        <f>H136/H133</f>
        <v/>
      </c>
      <c r="I39" s="23">
        <f>I136/I133</f>
        <v/>
      </c>
      <c r="J39" s="23">
        <f>J136/J133</f>
        <v/>
      </c>
      <c r="K39" s="6">
        <f>K136/K133</f>
        <v/>
      </c>
      <c r="L39" s="23">
        <f>L136/L133</f>
        <v/>
      </c>
      <c r="M39" s="23">
        <f>M136/M133</f>
        <v/>
      </c>
      <c r="N39" s="23">
        <f>N136/N133</f>
        <v/>
      </c>
      <c r="O39" s="23">
        <f>O136/O133</f>
        <v/>
      </c>
      <c r="P39" s="6">
        <f>P136/P133</f>
        <v/>
      </c>
      <c r="Q39" s="23">
        <f>Q136/Q133</f>
        <v/>
      </c>
      <c r="R39" s="23">
        <f>R136/R133</f>
        <v/>
      </c>
      <c r="S39" s="23">
        <f>S136/S133</f>
        <v/>
      </c>
      <c r="T39" s="23">
        <f>T136/T133</f>
        <v/>
      </c>
      <c r="U39" s="6">
        <f>U136/U133</f>
        <v/>
      </c>
      <c r="V39" s="23">
        <f>V136/V133</f>
        <v/>
      </c>
      <c r="W39" s="23">
        <f>W136/W133</f>
        <v/>
      </c>
      <c r="X39" s="23">
        <f>X136/X133</f>
        <v/>
      </c>
      <c r="Y39" s="23">
        <f>Y136/Y133</f>
        <v/>
      </c>
      <c r="Z39" s="6">
        <f>Z136/Z133</f>
        <v/>
      </c>
      <c r="AA39" s="23">
        <f>AA136/AA133</f>
        <v/>
      </c>
      <c r="AB39" s="23">
        <f>AB136/AB133</f>
        <v/>
      </c>
      <c r="AC39" s="23">
        <f>AC136/AC133</f>
        <v/>
      </c>
      <c r="AD39" s="23">
        <f>AD136/AD133</f>
        <v/>
      </c>
      <c r="AE39" s="6">
        <f>AE136/AE133</f>
        <v/>
      </c>
      <c r="AF39" s="23">
        <f>AF136/AF133</f>
        <v/>
      </c>
      <c r="AG39" s="23">
        <f>AG136/AG133</f>
        <v/>
      </c>
      <c r="AH39" s="23">
        <f>AH136/AH133</f>
        <v/>
      </c>
      <c r="AI39" s="23">
        <f>AI136/AI133</f>
        <v/>
      </c>
      <c r="AJ39" s="6">
        <f>AJ136/AJ133</f>
        <v/>
      </c>
      <c r="AK39" s="23">
        <f>AK136/AK133</f>
        <v/>
      </c>
      <c r="AL39" s="305">
        <f>AL136/AL133</f>
        <v/>
      </c>
      <c r="AM39" s="26" t="n"/>
      <c r="AN39" s="26" t="n"/>
      <c r="AO39" s="6" t="n"/>
      <c r="AP39" s="26" t="n"/>
      <c r="AQ39" s="26" t="n"/>
      <c r="AR39" s="26" t="n"/>
      <c r="AS39" s="26" t="n"/>
      <c r="AT39" s="6" t="n"/>
      <c r="AU39" s="13" t="n"/>
      <c r="AV39" s="13" t="n"/>
      <c r="AW39" s="13" t="n"/>
      <c r="AX39" s="25" t="n"/>
    </row>
    <row r="40" customFormat="1" s="87">
      <c r="A40" s="360" t="inlineStr">
        <is>
          <t>Non-GAAP COGS Margin, %</t>
        </is>
      </c>
      <c r="B40" s="85" t="n"/>
      <c r="C40" s="51">
        <f>(C133-C141)/C133</f>
        <v/>
      </c>
      <c r="D40" s="51">
        <f>(D133-D141)/D133</f>
        <v/>
      </c>
      <c r="E40" s="51">
        <f>(E133-E141)/E133</f>
        <v/>
      </c>
      <c r="F40" s="51">
        <f>(F133-F141)/F133</f>
        <v/>
      </c>
      <c r="G40" s="86">
        <f>(G133-G141)/G133</f>
        <v/>
      </c>
      <c r="H40" s="86">
        <f>(H133-H141)/H133</f>
        <v/>
      </c>
      <c r="I40" s="86">
        <f>(I133-I141)/I133</f>
        <v/>
      </c>
      <c r="J40" s="86">
        <f>(J133-J141)/J133</f>
        <v/>
      </c>
      <c r="K40" s="51">
        <f>(K133-K141)/K133</f>
        <v/>
      </c>
      <c r="L40" s="86">
        <f>(L133-L141)/L133</f>
        <v/>
      </c>
      <c r="M40" s="86">
        <f>(M133-M141)/M133</f>
        <v/>
      </c>
      <c r="N40" s="86">
        <f>(N133-N141)/N133</f>
        <v/>
      </c>
      <c r="O40" s="86">
        <f>(O133-O141)/O133</f>
        <v/>
      </c>
      <c r="P40" s="51">
        <f>(P133-P141)/P133</f>
        <v/>
      </c>
      <c r="Q40" s="86">
        <f>(Q133-Q141)/Q133</f>
        <v/>
      </c>
      <c r="R40" s="86">
        <f>(R133-R141)/R133</f>
        <v/>
      </c>
      <c r="S40" s="86">
        <f>(S133-S141)/S133</f>
        <v/>
      </c>
      <c r="T40" s="86">
        <f>(T133-T141)/T133</f>
        <v/>
      </c>
      <c r="U40" s="51">
        <f>(U133-U141)/U133</f>
        <v/>
      </c>
      <c r="V40" s="86">
        <f>(V133-V141)/V133</f>
        <v/>
      </c>
      <c r="W40" s="86">
        <f>(W133-W141)/W133</f>
        <v/>
      </c>
      <c r="X40" s="86">
        <f>(X133-X141)/X133</f>
        <v/>
      </c>
      <c r="Y40" s="86">
        <f>(Y133-Y141)/Y133</f>
        <v/>
      </c>
      <c r="Z40" s="51">
        <f>(Z133-Z141)/Z133</f>
        <v/>
      </c>
      <c r="AA40" s="86">
        <f>(AA133-AA141)/AA133</f>
        <v/>
      </c>
      <c r="AB40" s="86">
        <f>(AB133-AB141)/AB133</f>
        <v/>
      </c>
      <c r="AC40" s="86">
        <f>(AC133-AC141)/AC133</f>
        <v/>
      </c>
      <c r="AD40" s="86">
        <f>(AD133-AD141)/AD133</f>
        <v/>
      </c>
      <c r="AE40" s="51">
        <f>(AE133-AE141)/AE133</f>
        <v/>
      </c>
      <c r="AF40" s="86">
        <f>(AF133-AF141)/AF133</f>
        <v/>
      </c>
      <c r="AG40" s="86">
        <f>(AG133-AG141)/AG133</f>
        <v/>
      </c>
      <c r="AH40" s="86">
        <f>(AH133-AH141)/AH133</f>
        <v/>
      </c>
      <c r="AI40" s="86">
        <f>(AI133-AI141)/AI133</f>
        <v/>
      </c>
      <c r="AJ40" s="51">
        <f>(AJ133-AJ141)/AJ133</f>
        <v/>
      </c>
      <c r="AK40" s="86">
        <f>(AK133-AK141)/AK133</f>
        <v/>
      </c>
      <c r="AL40" s="319">
        <f>(AL133-AL141)/AL133</f>
        <v/>
      </c>
      <c r="AM40" s="86" t="n"/>
      <c r="AN40" s="86" t="n"/>
      <c r="AO40" s="51" t="n"/>
      <c r="AP40" s="86" t="n"/>
      <c r="AQ40" s="86" t="n"/>
      <c r="AR40" s="86" t="n"/>
      <c r="AS40" s="86" t="n"/>
      <c r="AT40" s="51" t="n"/>
      <c r="AU40" s="51" t="n"/>
      <c r="AV40" s="51" t="n"/>
      <c r="AW40" s="51" t="n"/>
      <c r="AX40" s="238" t="n"/>
    </row>
    <row r="41" customFormat="1" s="87">
      <c r="A41" s="361" t="inlineStr">
        <is>
          <t>GAAP Gross Margin, %</t>
        </is>
      </c>
      <c r="B41" s="88" t="n"/>
      <c r="C41" s="50">
        <f>1-C39</f>
        <v/>
      </c>
      <c r="D41" s="50">
        <f>1-D39</f>
        <v/>
      </c>
      <c r="E41" s="50">
        <f>1-E39</f>
        <v/>
      </c>
      <c r="F41" s="50">
        <f>1-F39</f>
        <v/>
      </c>
      <c r="G41" s="49">
        <f>1-G39</f>
        <v/>
      </c>
      <c r="H41" s="49">
        <f>1-H39</f>
        <v/>
      </c>
      <c r="I41" s="49">
        <f>1-I39</f>
        <v/>
      </c>
      <c r="J41" s="49">
        <f>1-J39</f>
        <v/>
      </c>
      <c r="K41" s="50">
        <f>1-K39</f>
        <v/>
      </c>
      <c r="L41" s="49">
        <f>1-L39</f>
        <v/>
      </c>
      <c r="M41" s="49">
        <f>1-M39</f>
        <v/>
      </c>
      <c r="N41" s="49">
        <f>1-N39</f>
        <v/>
      </c>
      <c r="O41" s="49">
        <f>1-O39</f>
        <v/>
      </c>
      <c r="P41" s="50">
        <f>1-P39</f>
        <v/>
      </c>
      <c r="Q41" s="49">
        <f>1-Q39</f>
        <v/>
      </c>
      <c r="R41" s="49">
        <f>1-R39</f>
        <v/>
      </c>
      <c r="S41" s="49">
        <f>1-S39</f>
        <v/>
      </c>
      <c r="T41" s="49">
        <f>1-T39</f>
        <v/>
      </c>
      <c r="U41" s="50">
        <f>1-U39</f>
        <v/>
      </c>
      <c r="V41" s="49">
        <f>1-V39</f>
        <v/>
      </c>
      <c r="W41" s="49">
        <f>1-W39</f>
        <v/>
      </c>
      <c r="X41" s="49">
        <f>1-X39</f>
        <v/>
      </c>
      <c r="Y41" s="49">
        <f>1-Y39</f>
        <v/>
      </c>
      <c r="Z41" s="50">
        <f>1-Z39</f>
        <v/>
      </c>
      <c r="AA41" s="49">
        <f>1-AA39</f>
        <v/>
      </c>
      <c r="AB41" s="49">
        <f>1-AB39</f>
        <v/>
      </c>
      <c r="AC41" s="49">
        <f>1-AC39</f>
        <v/>
      </c>
      <c r="AD41" s="49">
        <f>1-AD39</f>
        <v/>
      </c>
      <c r="AE41" s="50">
        <f>1-AE39</f>
        <v/>
      </c>
      <c r="AF41" s="49">
        <f>1-AF39</f>
        <v/>
      </c>
      <c r="AG41" s="49">
        <f>1-AG39</f>
        <v/>
      </c>
      <c r="AH41" s="49">
        <f>1-AH39</f>
        <v/>
      </c>
      <c r="AI41" s="49">
        <f>1-AI39</f>
        <v/>
      </c>
      <c r="AJ41" s="50">
        <f>1-AJ39</f>
        <v/>
      </c>
      <c r="AK41" s="49">
        <f>1-AK39</f>
        <v/>
      </c>
      <c r="AL41" s="362">
        <f>1-AL39</f>
        <v/>
      </c>
      <c r="AM41" s="49" t="n"/>
      <c r="AN41" s="49" t="n"/>
      <c r="AO41" s="50" t="n"/>
      <c r="AP41" s="49" t="n"/>
      <c r="AQ41" s="49" t="n"/>
      <c r="AR41" s="49" t="n"/>
      <c r="AS41" s="49" t="n"/>
      <c r="AT41" s="50" t="n"/>
      <c r="AU41" s="50" t="n"/>
      <c r="AV41" s="50" t="n"/>
      <c r="AW41" s="50" t="n"/>
      <c r="AX41" s="238" t="n"/>
    </row>
    <row r="42" customFormat="1" s="87">
      <c r="A42" s="363" t="inlineStr">
        <is>
          <t>Non-GAAP Gross Margin, %</t>
        </is>
      </c>
      <c r="B42" s="85" t="n"/>
      <c r="C42" s="51">
        <f>1-C40</f>
        <v/>
      </c>
      <c r="D42" s="51">
        <f>1-D40</f>
        <v/>
      </c>
      <c r="E42" s="51">
        <f>1-E40</f>
        <v/>
      </c>
      <c r="F42" s="51">
        <f>1-F40</f>
        <v/>
      </c>
      <c r="G42" s="86">
        <f>1-G40</f>
        <v/>
      </c>
      <c r="H42" s="86">
        <f>1-H40</f>
        <v/>
      </c>
      <c r="I42" s="86">
        <f>1-I40</f>
        <v/>
      </c>
      <c r="J42" s="86">
        <f>1-J40</f>
        <v/>
      </c>
      <c r="K42" s="51">
        <f>1-K40</f>
        <v/>
      </c>
      <c r="L42" s="86">
        <f>1-L40</f>
        <v/>
      </c>
      <c r="M42" s="86">
        <f>1-M40</f>
        <v/>
      </c>
      <c r="N42" s="86">
        <f>1-N40</f>
        <v/>
      </c>
      <c r="O42" s="86">
        <f>1-O40</f>
        <v/>
      </c>
      <c r="P42" s="51">
        <f>1-P40</f>
        <v/>
      </c>
      <c r="Q42" s="86">
        <f>1-Q40</f>
        <v/>
      </c>
      <c r="R42" s="86">
        <f>1-R40</f>
        <v/>
      </c>
      <c r="S42" s="86">
        <f>1-S40</f>
        <v/>
      </c>
      <c r="T42" s="86">
        <f>1-T40</f>
        <v/>
      </c>
      <c r="U42" s="51">
        <f>1-U40</f>
        <v/>
      </c>
      <c r="V42" s="86">
        <f>1-V40</f>
        <v/>
      </c>
      <c r="W42" s="86">
        <f>1-W40</f>
        <v/>
      </c>
      <c r="X42" s="86">
        <f>1-X40</f>
        <v/>
      </c>
      <c r="Y42" s="86">
        <f>1-Y40</f>
        <v/>
      </c>
      <c r="Z42" s="51">
        <f>1-Z40</f>
        <v/>
      </c>
      <c r="AA42" s="86">
        <f>1-AA40</f>
        <v/>
      </c>
      <c r="AB42" s="86">
        <f>1-AB40</f>
        <v/>
      </c>
      <c r="AC42" s="86">
        <f>1-AC40</f>
        <v/>
      </c>
      <c r="AD42" s="86">
        <f>1-AD40</f>
        <v/>
      </c>
      <c r="AE42" s="51">
        <f>1-AE40</f>
        <v/>
      </c>
      <c r="AF42" s="86">
        <f>1-AF40</f>
        <v/>
      </c>
      <c r="AG42" s="86">
        <f>1-AG40</f>
        <v/>
      </c>
      <c r="AH42" s="86">
        <f>1-AH40</f>
        <v/>
      </c>
      <c r="AI42" s="86">
        <f>1-AI40</f>
        <v/>
      </c>
      <c r="AJ42" s="51">
        <f>1-AJ40</f>
        <v/>
      </c>
      <c r="AK42" s="86">
        <f>1-AK40</f>
        <v/>
      </c>
      <c r="AL42" s="319">
        <f>1-AL40</f>
        <v/>
      </c>
      <c r="AM42" s="86" t="n"/>
      <c r="AN42" s="86" t="n"/>
      <c r="AO42" s="51" t="n"/>
      <c r="AP42" s="86" t="n"/>
      <c r="AQ42" s="86" t="n"/>
      <c r="AR42" s="86" t="n"/>
      <c r="AS42" s="86" t="n"/>
      <c r="AT42" s="51" t="n"/>
      <c r="AU42" s="51" t="n"/>
      <c r="AV42" s="51" t="n"/>
      <c r="AW42" s="51" t="n"/>
      <c r="AX42" s="238" t="n"/>
    </row>
    <row r="43" customFormat="1" s="92">
      <c r="A43" s="89" t="inlineStr">
        <is>
          <t>Consensus Estimates - Gross Margin, %</t>
        </is>
      </c>
      <c r="B43" s="101" t="n"/>
      <c r="C43" s="364" t="n"/>
      <c r="D43" s="364" t="n"/>
      <c r="E43" s="364" t="n"/>
      <c r="F43" s="364" t="n"/>
      <c r="G43" s="90" t="n"/>
      <c r="H43" s="90" t="n"/>
      <c r="I43" s="90" t="n"/>
      <c r="J43" s="90" t="n"/>
      <c r="K43" s="364" t="n"/>
      <c r="L43" s="90" t="n"/>
      <c r="M43" s="90" t="n"/>
      <c r="N43" s="90" t="n"/>
      <c r="O43" s="90" t="n"/>
      <c r="P43" s="364" t="n"/>
      <c r="Q43" s="90" t="n"/>
      <c r="R43" s="90" t="n"/>
      <c r="S43" s="90" t="n"/>
      <c r="T43" s="90" t="n"/>
      <c r="U43" s="364" t="n"/>
      <c r="V43" s="90" t="n"/>
      <c r="W43" s="365" t="n"/>
      <c r="X43" s="365" t="n"/>
      <c r="Y43" s="365" t="n"/>
      <c r="Z43" s="91" t="n"/>
      <c r="AA43" s="366" t="n"/>
      <c r="AB43" s="365" t="n"/>
      <c r="AC43" s="365" t="n"/>
      <c r="AD43" s="365" t="n"/>
      <c r="AE43" s="91" t="n"/>
      <c r="AF43" s="366" t="n"/>
      <c r="AG43" s="365" t="n"/>
      <c r="AH43" s="365" t="n"/>
      <c r="AI43" s="365" t="n"/>
      <c r="AJ43" s="91" t="n"/>
      <c r="AK43" s="366" t="n"/>
      <c r="AL43" s="367" t="n"/>
      <c r="AM43" s="90" t="n"/>
      <c r="AN43" s="90" t="n"/>
      <c r="AO43" s="91" t="n"/>
      <c r="AP43" s="90" t="n"/>
      <c r="AQ43" s="90" t="n"/>
      <c r="AR43" s="90" t="n"/>
      <c r="AS43" s="90" t="n"/>
      <c r="AT43" s="91" t="n"/>
      <c r="AU43" s="91" t="n"/>
      <c r="AV43" s="91" t="n"/>
      <c r="AW43" s="91" t="n"/>
      <c r="AX43" s="90" t="n"/>
    </row>
    <row r="44" customFormat="1" s="16">
      <c r="A44" s="97" t="n"/>
      <c r="B44" s="33" t="n"/>
      <c r="C44" s="6" t="n"/>
      <c r="D44" s="6" t="n"/>
      <c r="E44" s="6" t="n"/>
      <c r="F44" s="6" t="n"/>
      <c r="G44" s="23" t="n"/>
      <c r="H44" s="23" t="n"/>
      <c r="I44" s="23" t="n"/>
      <c r="J44" s="23" t="n"/>
      <c r="K44" s="6" t="n"/>
      <c r="L44" s="23" t="n"/>
      <c r="M44" s="23" t="n"/>
      <c r="N44" s="23" t="n"/>
      <c r="O44" s="23" t="n"/>
      <c r="P44" s="6" t="n"/>
      <c r="Q44" s="23" t="n"/>
      <c r="R44" s="23" t="n"/>
      <c r="S44" s="23" t="n"/>
      <c r="T44" s="23" t="n"/>
      <c r="U44" s="6" t="n"/>
      <c r="V44" s="23" t="n"/>
      <c r="W44" s="23" t="n"/>
      <c r="X44" s="23" t="n"/>
      <c r="Y44" s="23" t="n"/>
      <c r="Z44" s="6" t="n"/>
      <c r="AA44" s="23" t="n"/>
      <c r="AB44" s="23" t="n"/>
      <c r="AC44" s="23" t="n"/>
      <c r="AD44" s="23" t="n"/>
      <c r="AE44" s="6" t="n"/>
      <c r="AF44" s="23" t="n"/>
      <c r="AG44" s="23" t="n"/>
      <c r="AH44" s="23" t="n"/>
      <c r="AI44" s="23" t="n"/>
      <c r="AJ44" s="6" t="n"/>
      <c r="AK44" s="23" t="n"/>
      <c r="AL44" s="305" t="n"/>
      <c r="AM44" s="26" t="n"/>
      <c r="AN44" s="26" t="n"/>
      <c r="AO44" s="51" t="n"/>
      <c r="AP44" s="26" t="n"/>
      <c r="AQ44" s="26" t="n"/>
      <c r="AR44" s="26" t="n"/>
      <c r="AS44" s="26" t="n"/>
      <c r="AT44" s="51" t="n"/>
      <c r="AU44" s="13" t="n"/>
      <c r="AV44" s="13" t="n"/>
      <c r="AW44" s="13" t="n"/>
      <c r="AX44" s="25" t="n"/>
    </row>
    <row r="45" customFormat="1" s="16">
      <c r="A45" s="368" t="inlineStr">
        <is>
          <t>GAAP G&amp;A Margin, %</t>
        </is>
      </c>
      <c r="B45" s="33" t="n"/>
      <c r="C45" s="6">
        <f>C148/C$133</f>
        <v/>
      </c>
      <c r="D45" s="6">
        <f>D148/D$133</f>
        <v/>
      </c>
      <c r="E45" s="6">
        <f>E148/E$133</f>
        <v/>
      </c>
      <c r="F45" s="6">
        <f>F148/F$133</f>
        <v/>
      </c>
      <c r="G45" s="23">
        <f>G148/G$133</f>
        <v/>
      </c>
      <c r="H45" s="23">
        <f>H148/H$133</f>
        <v/>
      </c>
      <c r="I45" s="23">
        <f>I148/I$133</f>
        <v/>
      </c>
      <c r="J45" s="23">
        <f>J148/J$133</f>
        <v/>
      </c>
      <c r="K45" s="6">
        <f>K148/K$133</f>
        <v/>
      </c>
      <c r="L45" s="23">
        <f>L148/L$133</f>
        <v/>
      </c>
      <c r="M45" s="23">
        <f>M148/M$133</f>
        <v/>
      </c>
      <c r="N45" s="23">
        <f>N148/N$133</f>
        <v/>
      </c>
      <c r="O45" s="23">
        <f>O148/O$133</f>
        <v/>
      </c>
      <c r="P45" s="6">
        <f>P148/P$133</f>
        <v/>
      </c>
      <c r="Q45" s="23">
        <f>Q148/Q$133</f>
        <v/>
      </c>
      <c r="R45" s="23">
        <f>R148/R$133</f>
        <v/>
      </c>
      <c r="S45" s="23">
        <f>S148/S$133</f>
        <v/>
      </c>
      <c r="T45" s="23">
        <f>T148/T$133</f>
        <v/>
      </c>
      <c r="U45" s="6">
        <f>U148/U$133</f>
        <v/>
      </c>
      <c r="V45" s="23">
        <f>V148/V$133</f>
        <v/>
      </c>
      <c r="W45" s="23">
        <f>W148/W$133</f>
        <v/>
      </c>
      <c r="X45" s="23">
        <f>X148/X$133</f>
        <v/>
      </c>
      <c r="Y45" s="23">
        <f>Y148/Y$133</f>
        <v/>
      </c>
      <c r="Z45" s="6">
        <f>Z148/Z$133</f>
        <v/>
      </c>
      <c r="AA45" s="23">
        <f>AA148/AA$133</f>
        <v/>
      </c>
      <c r="AB45" s="23">
        <f>AB148/AB$133</f>
        <v/>
      </c>
      <c r="AC45" s="23">
        <f>AC148/AC$133</f>
        <v/>
      </c>
      <c r="AD45" s="23">
        <f>AD148/AD$133</f>
        <v/>
      </c>
      <c r="AE45" s="6">
        <f>AE148/AE$133</f>
        <v/>
      </c>
      <c r="AF45" s="23">
        <f>AF148/AF$133</f>
        <v/>
      </c>
      <c r="AG45" s="23">
        <f>AG148/AG$133</f>
        <v/>
      </c>
      <c r="AH45" s="23">
        <f>AH148/AH$133</f>
        <v/>
      </c>
      <c r="AI45" s="23">
        <f>AI148/AI$133</f>
        <v/>
      </c>
      <c r="AJ45" s="6">
        <f>AJ148/AJ$133</f>
        <v/>
      </c>
      <c r="AK45" s="23">
        <f>AK148/AK$133</f>
        <v/>
      </c>
      <c r="AL45" s="305">
        <f>AL148/AL$133</f>
        <v/>
      </c>
      <c r="AM45" s="26" t="n"/>
      <c r="AN45" s="26" t="n"/>
      <c r="AO45" s="6" t="n"/>
      <c r="AP45" s="26" t="n"/>
      <c r="AQ45" s="26" t="n"/>
      <c r="AR45" s="26" t="n"/>
      <c r="AS45" s="26" t="n"/>
      <c r="AT45" s="6" t="n"/>
      <c r="AU45" s="13" t="n"/>
      <c r="AV45" s="13" t="n"/>
      <c r="AW45" s="13" t="n"/>
      <c r="AX45" s="25" t="n"/>
    </row>
    <row r="46" customFormat="1" s="16">
      <c r="A46" s="368" t="inlineStr">
        <is>
          <t>Non-GAAP G&amp;A Margin, %</t>
        </is>
      </c>
      <c r="B46" s="33" t="n"/>
      <c r="C46" s="6">
        <f>C152/C$133</f>
        <v/>
      </c>
      <c r="D46" s="6">
        <f>D152/D$133</f>
        <v/>
      </c>
      <c r="E46" s="6">
        <f>E152/E$133</f>
        <v/>
      </c>
      <c r="F46" s="6">
        <f>F152/F$133</f>
        <v/>
      </c>
      <c r="G46" s="23">
        <f>G152/G$133</f>
        <v/>
      </c>
      <c r="H46" s="23">
        <f>H152/H$133</f>
        <v/>
      </c>
      <c r="I46" s="23">
        <f>I152/I$133</f>
        <v/>
      </c>
      <c r="J46" s="23">
        <f>J152/J$133</f>
        <v/>
      </c>
      <c r="K46" s="6">
        <f>K152/K$133</f>
        <v/>
      </c>
      <c r="L46" s="23">
        <f>L152/L$133</f>
        <v/>
      </c>
      <c r="M46" s="23">
        <f>M152/M$133</f>
        <v/>
      </c>
      <c r="N46" s="23">
        <f>N152/N$133</f>
        <v/>
      </c>
      <c r="O46" s="23">
        <f>O152/O$133</f>
        <v/>
      </c>
      <c r="P46" s="6">
        <f>P152/P$133</f>
        <v/>
      </c>
      <c r="Q46" s="23">
        <f>Q152/Q$133</f>
        <v/>
      </c>
      <c r="R46" s="23">
        <f>R152/R$133</f>
        <v/>
      </c>
      <c r="S46" s="23">
        <f>S152/S$133</f>
        <v/>
      </c>
      <c r="T46" s="23">
        <f>T152/T$133</f>
        <v/>
      </c>
      <c r="U46" s="6">
        <f>U152/U$133</f>
        <v/>
      </c>
      <c r="V46" s="23">
        <f>V152/V$133</f>
        <v/>
      </c>
      <c r="W46" s="23">
        <f>W152/W$133</f>
        <v/>
      </c>
      <c r="X46" s="23">
        <f>X152/X$133</f>
        <v/>
      </c>
      <c r="Y46" s="23">
        <f>Y152/Y$133</f>
        <v/>
      </c>
      <c r="Z46" s="6">
        <f>Z152/Z$133</f>
        <v/>
      </c>
      <c r="AA46" s="23">
        <f>AA152/AA$133</f>
        <v/>
      </c>
      <c r="AB46" s="23">
        <f>AB152/AB$133</f>
        <v/>
      </c>
      <c r="AC46" s="23">
        <f>AC152/AC$133</f>
        <v/>
      </c>
      <c r="AD46" s="23">
        <f>AD152/AD$133</f>
        <v/>
      </c>
      <c r="AE46" s="6">
        <f>AE152/AE$133</f>
        <v/>
      </c>
      <c r="AF46" s="23">
        <f>AF152/AF$133</f>
        <v/>
      </c>
      <c r="AG46" s="23">
        <f>AG152/AG$133</f>
        <v/>
      </c>
      <c r="AH46" s="23">
        <f>AH152/AH$133</f>
        <v/>
      </c>
      <c r="AI46" s="23">
        <f>AI152/AI$133</f>
        <v/>
      </c>
      <c r="AJ46" s="6">
        <f>AJ152/AJ$133</f>
        <v/>
      </c>
      <c r="AK46" s="23">
        <f>AK152/AK$133</f>
        <v/>
      </c>
      <c r="AL46" s="305">
        <f>AL152/AL$133</f>
        <v/>
      </c>
      <c r="AM46" s="23" t="n"/>
      <c r="AN46" s="23" t="n"/>
      <c r="AO46" s="6" t="n"/>
      <c r="AP46" s="23" t="n"/>
      <c r="AQ46" s="23" t="n"/>
      <c r="AR46" s="23" t="n"/>
      <c r="AS46" s="23" t="n"/>
      <c r="AT46" s="6" t="n"/>
      <c r="AU46" s="6" t="n"/>
      <c r="AV46" s="6" t="n"/>
      <c r="AW46" s="6" t="n"/>
      <c r="AX46" s="25" t="n"/>
    </row>
    <row r="47" customFormat="1" s="16">
      <c r="A47" s="368" t="inlineStr">
        <is>
          <t>GAAP S&amp;M Margin, %</t>
        </is>
      </c>
      <c r="B47" s="33" t="n"/>
      <c r="C47" s="6">
        <f>C153/C$133</f>
        <v/>
      </c>
      <c r="D47" s="6">
        <f>D153/D$133</f>
        <v/>
      </c>
      <c r="E47" s="6">
        <f>E153/E$133</f>
        <v/>
      </c>
      <c r="F47" s="6">
        <f>F153/F$133</f>
        <v/>
      </c>
      <c r="G47" s="23">
        <f>G153/G$133</f>
        <v/>
      </c>
      <c r="H47" s="23">
        <f>H153/H$133</f>
        <v/>
      </c>
      <c r="I47" s="23">
        <f>I153/I$133</f>
        <v/>
      </c>
      <c r="J47" s="23">
        <f>J153/J$133</f>
        <v/>
      </c>
      <c r="K47" s="6">
        <f>K153/K$133</f>
        <v/>
      </c>
      <c r="L47" s="23">
        <f>L153/L$133</f>
        <v/>
      </c>
      <c r="M47" s="23">
        <f>M153/M$133</f>
        <v/>
      </c>
      <c r="N47" s="23">
        <f>N153/N$133</f>
        <v/>
      </c>
      <c r="O47" s="23">
        <f>O153/O$133</f>
        <v/>
      </c>
      <c r="P47" s="6">
        <f>P153/P$133</f>
        <v/>
      </c>
      <c r="Q47" s="23">
        <f>Q153/Q$133</f>
        <v/>
      </c>
      <c r="R47" s="23">
        <f>R153/R$133</f>
        <v/>
      </c>
      <c r="S47" s="23">
        <f>S153/S$133</f>
        <v/>
      </c>
      <c r="T47" s="23">
        <f>T153/T$133</f>
        <v/>
      </c>
      <c r="U47" s="6">
        <f>U153/U$133</f>
        <v/>
      </c>
      <c r="V47" s="23">
        <f>V153/V$133</f>
        <v/>
      </c>
      <c r="W47" s="23">
        <f>W153/W$133</f>
        <v/>
      </c>
      <c r="X47" s="23">
        <f>X153/X$133</f>
        <v/>
      </c>
      <c r="Y47" s="23">
        <f>Y153/Y$133</f>
        <v/>
      </c>
      <c r="Z47" s="6">
        <f>Z153/Z$133</f>
        <v/>
      </c>
      <c r="AA47" s="23">
        <f>AA153/AA$133</f>
        <v/>
      </c>
      <c r="AB47" s="23">
        <f>AB153/AB$133</f>
        <v/>
      </c>
      <c r="AC47" s="23">
        <f>AC153/AC$133</f>
        <v/>
      </c>
      <c r="AD47" s="23">
        <f>AD153/AD$133</f>
        <v/>
      </c>
      <c r="AE47" s="6">
        <f>AE153/AE$133</f>
        <v/>
      </c>
      <c r="AF47" s="23">
        <f>AF153/AF$133</f>
        <v/>
      </c>
      <c r="AG47" s="23">
        <f>AG153/AG$133</f>
        <v/>
      </c>
      <c r="AH47" s="23">
        <f>AH153/AH$133</f>
        <v/>
      </c>
      <c r="AI47" s="23">
        <f>AI153/AI$133</f>
        <v/>
      </c>
      <c r="AJ47" s="6">
        <f>AJ153/AJ$133</f>
        <v/>
      </c>
      <c r="AK47" s="23">
        <f>AK153/AK$133</f>
        <v/>
      </c>
      <c r="AL47" s="305">
        <f>AL153/AL$133</f>
        <v/>
      </c>
      <c r="AM47" s="26" t="n"/>
      <c r="AN47" s="26" t="n"/>
      <c r="AO47" s="6" t="n"/>
      <c r="AP47" s="26" t="n"/>
      <c r="AQ47" s="26" t="n"/>
      <c r="AR47" s="26" t="n"/>
      <c r="AS47" s="26" t="n"/>
      <c r="AT47" s="6" t="n"/>
      <c r="AU47" s="13" t="n"/>
      <c r="AV47" s="13" t="n"/>
      <c r="AW47" s="13" t="n"/>
      <c r="AX47" s="25" t="n"/>
    </row>
    <row r="48" customFormat="1" s="16">
      <c r="A48" s="368" t="inlineStr">
        <is>
          <t>Non-GAAP S&amp;M Margin, %</t>
        </is>
      </c>
      <c r="B48" s="33" t="n"/>
      <c r="C48" s="6">
        <f>C157/C$133</f>
        <v/>
      </c>
      <c r="D48" s="6">
        <f>D157/D$133</f>
        <v/>
      </c>
      <c r="E48" s="6">
        <f>E157/E$133</f>
        <v/>
      </c>
      <c r="F48" s="6">
        <f>F157/F$133</f>
        <v/>
      </c>
      <c r="G48" s="23">
        <f>G157/G$133</f>
        <v/>
      </c>
      <c r="H48" s="23">
        <f>H157/H$133</f>
        <v/>
      </c>
      <c r="I48" s="23">
        <f>I157/I$133</f>
        <v/>
      </c>
      <c r="J48" s="23">
        <f>J157/J$133</f>
        <v/>
      </c>
      <c r="K48" s="6">
        <f>K157/K$133</f>
        <v/>
      </c>
      <c r="L48" s="23">
        <f>L157/L$133</f>
        <v/>
      </c>
      <c r="M48" s="23">
        <f>M157/M$133</f>
        <v/>
      </c>
      <c r="N48" s="23">
        <f>N157/N$133</f>
        <v/>
      </c>
      <c r="O48" s="23">
        <f>O157/O$133</f>
        <v/>
      </c>
      <c r="P48" s="6">
        <f>P157/P$133</f>
        <v/>
      </c>
      <c r="Q48" s="23">
        <f>Q157/Q$133</f>
        <v/>
      </c>
      <c r="R48" s="23">
        <f>R157/R$133</f>
        <v/>
      </c>
      <c r="S48" s="23">
        <f>S157/S$133</f>
        <v/>
      </c>
      <c r="T48" s="23">
        <f>T157/T$133</f>
        <v/>
      </c>
      <c r="U48" s="6">
        <f>U157/U$133</f>
        <v/>
      </c>
      <c r="V48" s="23">
        <f>V157/V$133</f>
        <v/>
      </c>
      <c r="W48" s="23">
        <f>W157/W$133</f>
        <v/>
      </c>
      <c r="X48" s="23">
        <f>X157/X$133</f>
        <v/>
      </c>
      <c r="Y48" s="23">
        <f>Y157/Y$133</f>
        <v/>
      </c>
      <c r="Z48" s="6">
        <f>Z157/Z$133</f>
        <v/>
      </c>
      <c r="AA48" s="23">
        <f>AA157/AA$133</f>
        <v/>
      </c>
      <c r="AB48" s="23">
        <f>AB157/AB$133</f>
        <v/>
      </c>
      <c r="AC48" s="23">
        <f>AC157/AC$133</f>
        <v/>
      </c>
      <c r="AD48" s="23">
        <f>AD157/AD$133</f>
        <v/>
      </c>
      <c r="AE48" s="6">
        <f>AE157/AE$133</f>
        <v/>
      </c>
      <c r="AF48" s="23">
        <f>AF157/AF$133</f>
        <v/>
      </c>
      <c r="AG48" s="23">
        <f>AG157/AG$133</f>
        <v/>
      </c>
      <c r="AH48" s="23">
        <f>AH157/AH$133</f>
        <v/>
      </c>
      <c r="AI48" s="23">
        <f>AI157/AI$133</f>
        <v/>
      </c>
      <c r="AJ48" s="6">
        <f>AJ157/AJ$133</f>
        <v/>
      </c>
      <c r="AK48" s="23">
        <f>AK157/AK$133</f>
        <v/>
      </c>
      <c r="AL48" s="305">
        <f>AL157/AL$133</f>
        <v/>
      </c>
      <c r="AM48" s="23" t="n"/>
      <c r="AN48" s="23" t="n"/>
      <c r="AO48" s="6" t="n"/>
      <c r="AP48" s="23" t="n"/>
      <c r="AQ48" s="23" t="n"/>
      <c r="AR48" s="23" t="n"/>
      <c r="AS48" s="23" t="n"/>
      <c r="AT48" s="6" t="n"/>
      <c r="AU48" s="6" t="n"/>
      <c r="AV48" s="6" t="n"/>
      <c r="AW48" s="6" t="n"/>
      <c r="AX48" s="25" t="n"/>
    </row>
    <row r="49" customFormat="1" s="16">
      <c r="A49" s="368" t="inlineStr">
        <is>
          <t>GAAP R&amp;D Margin, %</t>
        </is>
      </c>
      <c r="B49" s="33" t="n"/>
      <c r="C49" s="6">
        <f>C143/C$133</f>
        <v/>
      </c>
      <c r="D49" s="6">
        <f>D143/D$133</f>
        <v/>
      </c>
      <c r="E49" s="6">
        <f>E143/E$133</f>
        <v/>
      </c>
      <c r="F49" s="6">
        <f>F143/F$133</f>
        <v/>
      </c>
      <c r="G49" s="23">
        <f>G143/G$133</f>
        <v/>
      </c>
      <c r="H49" s="23">
        <f>H143/H$133</f>
        <v/>
      </c>
      <c r="I49" s="23">
        <f>I143/I$133</f>
        <v/>
      </c>
      <c r="J49" s="23">
        <f>J143/J$133</f>
        <v/>
      </c>
      <c r="K49" s="6">
        <f>K143/K$133</f>
        <v/>
      </c>
      <c r="L49" s="23">
        <f>L143/L$133</f>
        <v/>
      </c>
      <c r="M49" s="23">
        <f>M143/M$133</f>
        <v/>
      </c>
      <c r="N49" s="23">
        <f>N143/N$133</f>
        <v/>
      </c>
      <c r="O49" s="23">
        <f>O143/O$133</f>
        <v/>
      </c>
      <c r="P49" s="6">
        <f>P143/P$133</f>
        <v/>
      </c>
      <c r="Q49" s="23">
        <f>Q143/Q$133</f>
        <v/>
      </c>
      <c r="R49" s="23">
        <f>R143/R$133</f>
        <v/>
      </c>
      <c r="S49" s="23">
        <f>S143/S$133</f>
        <v/>
      </c>
      <c r="T49" s="23">
        <f>T143/T$133</f>
        <v/>
      </c>
      <c r="U49" s="6">
        <f>U143/U$133</f>
        <v/>
      </c>
      <c r="V49" s="23">
        <f>V143/V$133</f>
        <v/>
      </c>
      <c r="W49" s="23">
        <f>W143/W$133</f>
        <v/>
      </c>
      <c r="X49" s="23">
        <f>X143/X$133</f>
        <v/>
      </c>
      <c r="Y49" s="23">
        <f>Y143/Y$133</f>
        <v/>
      </c>
      <c r="Z49" s="6">
        <f>Z143/Z$133</f>
        <v/>
      </c>
      <c r="AA49" s="23">
        <f>AA143/AA$133</f>
        <v/>
      </c>
      <c r="AB49" s="23">
        <f>AB143/AB$133</f>
        <v/>
      </c>
      <c r="AC49" s="23">
        <f>AC143/AC$133</f>
        <v/>
      </c>
      <c r="AD49" s="23">
        <f>AD143/AD$133</f>
        <v/>
      </c>
      <c r="AE49" s="6">
        <f>AE143/AE$133</f>
        <v/>
      </c>
      <c r="AF49" s="23">
        <f>AF143/AF$133</f>
        <v/>
      </c>
      <c r="AG49" s="23">
        <f>AG143/AG$133</f>
        <v/>
      </c>
      <c r="AH49" s="23">
        <f>AH143/AH$133</f>
        <v/>
      </c>
      <c r="AI49" s="23">
        <f>AI143/AI$133</f>
        <v/>
      </c>
      <c r="AJ49" s="6">
        <f>AJ143/AJ$133</f>
        <v/>
      </c>
      <c r="AK49" s="23">
        <f>AK143/AK$133</f>
        <v/>
      </c>
      <c r="AL49" s="305">
        <f>AL143/AL$133</f>
        <v/>
      </c>
      <c r="AM49" s="26" t="n"/>
      <c r="AN49" s="26" t="n"/>
      <c r="AO49" s="6" t="n"/>
      <c r="AP49" s="26" t="n"/>
      <c r="AQ49" s="26" t="n"/>
      <c r="AR49" s="26" t="n"/>
      <c r="AS49" s="26" t="n"/>
      <c r="AT49" s="6" t="n"/>
      <c r="AU49" s="13" t="n"/>
      <c r="AV49" s="13" t="n"/>
      <c r="AW49" s="13" t="n"/>
      <c r="AX49" s="25" t="n"/>
    </row>
    <row r="50" customFormat="1" s="16">
      <c r="A50" s="368" t="inlineStr">
        <is>
          <t>Non-GAAP R&amp;D Margin, %</t>
        </is>
      </c>
      <c r="B50" s="33" t="n"/>
      <c r="C50" s="6">
        <f>C147/C$133</f>
        <v/>
      </c>
      <c r="D50" s="6">
        <f>D147/D$133</f>
        <v/>
      </c>
      <c r="E50" s="6">
        <f>E147/E$133</f>
        <v/>
      </c>
      <c r="F50" s="6">
        <f>F147/F$133</f>
        <v/>
      </c>
      <c r="G50" s="23">
        <f>G147/G$133</f>
        <v/>
      </c>
      <c r="H50" s="23">
        <f>H147/H$133</f>
        <v/>
      </c>
      <c r="I50" s="23">
        <f>I147/I$133</f>
        <v/>
      </c>
      <c r="J50" s="23">
        <f>J147/J$133</f>
        <v/>
      </c>
      <c r="K50" s="6">
        <f>K147/K$133</f>
        <v/>
      </c>
      <c r="L50" s="23">
        <f>L147/L$133</f>
        <v/>
      </c>
      <c r="M50" s="23">
        <f>M147/M$133</f>
        <v/>
      </c>
      <c r="N50" s="23">
        <f>N147/N$133</f>
        <v/>
      </c>
      <c r="O50" s="23">
        <f>O147/O$133</f>
        <v/>
      </c>
      <c r="P50" s="6">
        <f>P147/P$133</f>
        <v/>
      </c>
      <c r="Q50" s="23">
        <f>Q147/Q$133</f>
        <v/>
      </c>
      <c r="R50" s="23">
        <f>R147/R$133</f>
        <v/>
      </c>
      <c r="S50" s="23">
        <f>S147/S$133</f>
        <v/>
      </c>
      <c r="T50" s="23">
        <f>T147/T$133</f>
        <v/>
      </c>
      <c r="U50" s="6">
        <f>U147/U$133</f>
        <v/>
      </c>
      <c r="V50" s="23">
        <f>V147/V$133</f>
        <v/>
      </c>
      <c r="W50" s="23">
        <f>W147/W$133</f>
        <v/>
      </c>
      <c r="X50" s="23">
        <f>X147/X$133</f>
        <v/>
      </c>
      <c r="Y50" s="23">
        <f>Y147/Y$133</f>
        <v/>
      </c>
      <c r="Z50" s="6">
        <f>Z147/Z$133</f>
        <v/>
      </c>
      <c r="AA50" s="23">
        <f>AA147/AA$133</f>
        <v/>
      </c>
      <c r="AB50" s="23">
        <f>AB147/AB$133</f>
        <v/>
      </c>
      <c r="AC50" s="23">
        <f>AC147/AC$133</f>
        <v/>
      </c>
      <c r="AD50" s="23">
        <f>AD147/AD$133</f>
        <v/>
      </c>
      <c r="AE50" s="6">
        <f>AE147/AE$133</f>
        <v/>
      </c>
      <c r="AF50" s="23">
        <f>AF147/AF$133</f>
        <v/>
      </c>
      <c r="AG50" s="23">
        <f>AG147/AG$133</f>
        <v/>
      </c>
      <c r="AH50" s="23">
        <f>AH147/AH$133</f>
        <v/>
      </c>
      <c r="AI50" s="23">
        <f>AI147/AI$133</f>
        <v/>
      </c>
      <c r="AJ50" s="6">
        <f>AJ147/AJ$133</f>
        <v/>
      </c>
      <c r="AK50" s="23">
        <f>AK147/AK$133</f>
        <v/>
      </c>
      <c r="AL50" s="305">
        <f>AL147/AL$133</f>
        <v/>
      </c>
      <c r="AM50" s="23" t="n"/>
      <c r="AN50" s="23" t="n"/>
      <c r="AO50" s="6" t="n"/>
      <c r="AP50" s="23" t="n"/>
      <c r="AQ50" s="23" t="n"/>
      <c r="AR50" s="23" t="n"/>
      <c r="AS50" s="23" t="n"/>
      <c r="AT50" s="6" t="n"/>
      <c r="AU50" s="6" t="n"/>
      <c r="AV50" s="6" t="n"/>
      <c r="AW50" s="6" t="n"/>
      <c r="AX50" s="25" t="n"/>
    </row>
    <row r="51" customFormat="1" s="16">
      <c r="A51" s="212" t="inlineStr">
        <is>
          <t>Non-GAAP Operating Income Margin, %</t>
        </is>
      </c>
      <c r="B51" s="83" t="n"/>
      <c r="C51" s="20">
        <f>C158/C$133</f>
        <v/>
      </c>
      <c r="D51" s="20">
        <f>D158/D$133</f>
        <v/>
      </c>
      <c r="E51" s="20">
        <f>E158/E$133</f>
        <v/>
      </c>
      <c r="F51" s="20">
        <f>F158/F$133</f>
        <v/>
      </c>
      <c r="G51" s="21">
        <f>G158/G$133</f>
        <v/>
      </c>
      <c r="H51" s="21">
        <f>H158/H$133</f>
        <v/>
      </c>
      <c r="I51" s="21">
        <f>I158/I$133</f>
        <v/>
      </c>
      <c r="J51" s="21">
        <f>J158/J$133</f>
        <v/>
      </c>
      <c r="K51" s="20">
        <f>K158/K$133</f>
        <v/>
      </c>
      <c r="L51" s="21">
        <f>L158/L$133</f>
        <v/>
      </c>
      <c r="M51" s="21">
        <f>M158/M$133</f>
        <v/>
      </c>
      <c r="N51" s="21">
        <f>N158/N$133</f>
        <v/>
      </c>
      <c r="O51" s="21">
        <f>O158/O$133</f>
        <v/>
      </c>
      <c r="P51" s="20">
        <f>P158/P$133</f>
        <v/>
      </c>
      <c r="Q51" s="21">
        <f>Q158/Q$133</f>
        <v/>
      </c>
      <c r="R51" s="21">
        <f>R158/R$133</f>
        <v/>
      </c>
      <c r="S51" s="21">
        <f>S158/S$133</f>
        <v/>
      </c>
      <c r="T51" s="21">
        <f>T158/T$133</f>
        <v/>
      </c>
      <c r="U51" s="20">
        <f>U158/U$133</f>
        <v/>
      </c>
      <c r="V51" s="21">
        <f>V158/V$133</f>
        <v/>
      </c>
      <c r="W51" s="21">
        <f>W158/W$133</f>
        <v/>
      </c>
      <c r="X51" s="21">
        <f>X158/X$133</f>
        <v/>
      </c>
      <c r="Y51" s="21">
        <f>Y158/Y$133</f>
        <v/>
      </c>
      <c r="Z51" s="20">
        <f>Z158/Z$133</f>
        <v/>
      </c>
      <c r="AA51" s="21">
        <f>AA158/AA$133</f>
        <v/>
      </c>
      <c r="AB51" s="21">
        <f>AB158/AB$133</f>
        <v/>
      </c>
      <c r="AC51" s="21">
        <f>AC158/AC$133</f>
        <v/>
      </c>
      <c r="AD51" s="21">
        <f>AD158/AD$133</f>
        <v/>
      </c>
      <c r="AE51" s="20">
        <f>AE158/AE$133</f>
        <v/>
      </c>
      <c r="AF51" s="21">
        <f>AF158/AF$133</f>
        <v/>
      </c>
      <c r="AG51" s="21">
        <f>AG158/AG$133</f>
        <v/>
      </c>
      <c r="AH51" s="21">
        <f>AH158/AH$133</f>
        <v/>
      </c>
      <c r="AI51" s="21">
        <f>AI158/AI$133</f>
        <v/>
      </c>
      <c r="AJ51" s="20">
        <f>AJ158/AJ$133</f>
        <v/>
      </c>
      <c r="AK51" s="21">
        <f>AK158/AK$133</f>
        <v/>
      </c>
      <c r="AL51" s="304">
        <f>AL158/AL$133</f>
        <v/>
      </c>
      <c r="AM51" s="21" t="n"/>
      <c r="AN51" s="21" t="n"/>
      <c r="AO51" s="20" t="n"/>
      <c r="AP51" s="21" t="n"/>
      <c r="AQ51" s="21" t="n"/>
      <c r="AR51" s="21" t="n"/>
      <c r="AS51" s="21" t="n"/>
      <c r="AT51" s="20" t="n"/>
      <c r="AU51" s="20" t="n"/>
      <c r="AV51" s="20" t="n"/>
      <c r="AW51" s="20" t="n"/>
      <c r="AX51" s="25" t="n"/>
    </row>
    <row r="52" customFormat="1" s="16">
      <c r="A52" s="206" t="inlineStr">
        <is>
          <t>Company Reported Non-GAAP Operating Income Margin, %</t>
        </is>
      </c>
      <c r="B52" s="33" t="n"/>
      <c r="C52" s="6">
        <f>C160/C$133</f>
        <v/>
      </c>
      <c r="D52" s="6">
        <f>D160/D$133</f>
        <v/>
      </c>
      <c r="E52" s="6">
        <f>E160/E$133</f>
        <v/>
      </c>
      <c r="F52" s="6">
        <f>F160/F$133</f>
        <v/>
      </c>
      <c r="G52" s="23">
        <f>G160/G$133</f>
        <v/>
      </c>
      <c r="H52" s="23">
        <f>H160/H$133</f>
        <v/>
      </c>
      <c r="I52" s="23">
        <f>I160/I$133</f>
        <v/>
      </c>
      <c r="J52" s="23">
        <f>J160/J$133</f>
        <v/>
      </c>
      <c r="K52" s="6">
        <f>K160/K$133</f>
        <v/>
      </c>
      <c r="L52" s="23">
        <f>L160/L$133</f>
        <v/>
      </c>
      <c r="M52" s="23">
        <f>M160/M$133</f>
        <v/>
      </c>
      <c r="N52" s="23">
        <f>N160/N$133</f>
        <v/>
      </c>
      <c r="O52" s="23">
        <f>O160/O$133</f>
        <v/>
      </c>
      <c r="P52" s="6">
        <f>P160/P$133</f>
        <v/>
      </c>
      <c r="Q52" s="23">
        <f>Q160/Q$133</f>
        <v/>
      </c>
      <c r="R52" s="23">
        <f>R160/R$133</f>
        <v/>
      </c>
      <c r="S52" s="23">
        <f>S160/S$133</f>
        <v/>
      </c>
      <c r="T52" s="23">
        <f>T160/T$133</f>
        <v/>
      </c>
      <c r="U52" s="6">
        <f>U160/U$133</f>
        <v/>
      </c>
      <c r="V52" s="23">
        <f>V160/V$133</f>
        <v/>
      </c>
      <c r="W52" s="23">
        <f>W160/W$133</f>
        <v/>
      </c>
      <c r="X52" s="23">
        <f>X160/X$133</f>
        <v/>
      </c>
      <c r="Y52" s="23">
        <f>Y160/Y$133</f>
        <v/>
      </c>
      <c r="Z52" s="6">
        <f>Z160/Z$133</f>
        <v/>
      </c>
      <c r="AA52" s="23">
        <f>AA160/AA$133</f>
        <v/>
      </c>
      <c r="AB52" s="23">
        <f>AB160/AB$133</f>
        <v/>
      </c>
      <c r="AC52" s="23">
        <f>AC160/AC$133</f>
        <v/>
      </c>
      <c r="AD52" s="23">
        <f>AD160/AD$133</f>
        <v/>
      </c>
      <c r="AE52" s="6">
        <f>AE160/AE$133</f>
        <v/>
      </c>
      <c r="AF52" s="23">
        <f>AF160/AF$133</f>
        <v/>
      </c>
      <c r="AG52" s="23">
        <f>AG160/AG$133</f>
        <v/>
      </c>
      <c r="AH52" s="23">
        <f>AH160/AH$133</f>
        <v/>
      </c>
      <c r="AI52" s="23">
        <f>AI160/AI$133</f>
        <v/>
      </c>
      <c r="AJ52" s="6">
        <f>AJ160/AJ$133</f>
        <v/>
      </c>
      <c r="AK52" s="23">
        <f>AK160/AK$133</f>
        <v/>
      </c>
      <c r="AL52" s="305">
        <f>AL160/AL$133</f>
        <v/>
      </c>
      <c r="AM52" s="23" t="n"/>
      <c r="AN52" s="23" t="n"/>
      <c r="AO52" s="6" t="n"/>
      <c r="AP52" s="23" t="n"/>
      <c r="AQ52" s="23" t="n"/>
      <c r="AR52" s="23" t="n"/>
      <c r="AS52" s="23" t="n"/>
      <c r="AT52" s="6" t="n"/>
      <c r="AU52" s="6" t="n"/>
      <c r="AV52" s="6" t="n"/>
      <c r="AW52" s="6" t="n"/>
      <c r="AX52" s="25" t="n"/>
    </row>
    <row r="53" customFormat="1" s="82">
      <c r="A53" s="369">
        <f>CONCATENATE("Consensus Estimates - ",IFERROR(LEFT(A52,FIND("(",A52)-1),A52))</f>
        <v/>
      </c>
      <c r="B53" s="84" t="n"/>
      <c r="C53" s="370" t="n"/>
      <c r="D53" s="370" t="n"/>
      <c r="E53" s="370" t="n"/>
      <c r="F53" s="370" t="n"/>
      <c r="G53" s="81" t="n"/>
      <c r="H53" s="81" t="n"/>
      <c r="I53" s="81" t="n"/>
      <c r="J53" s="81" t="n"/>
      <c r="K53" s="370" t="n"/>
      <c r="L53" s="81" t="n"/>
      <c r="M53" s="81" t="n"/>
      <c r="N53" s="81" t="n"/>
      <c r="O53" s="81" t="n"/>
      <c r="P53" s="370" t="n"/>
      <c r="Q53" s="81" t="n"/>
      <c r="R53" s="81" t="n"/>
      <c r="S53" s="81" t="n"/>
      <c r="T53" s="81" t="n"/>
      <c r="U53" s="370" t="n"/>
      <c r="V53" s="81" t="n"/>
      <c r="W53" s="81" t="n"/>
      <c r="X53" s="81" t="n"/>
      <c r="Y53" s="81" t="n"/>
      <c r="Z53" s="370" t="n"/>
      <c r="AA53" s="81" t="n"/>
      <c r="AB53" s="81" t="n"/>
      <c r="AC53" s="81" t="n"/>
      <c r="AD53" s="81" t="n"/>
      <c r="AE53" s="370" t="n"/>
      <c r="AF53" s="81" t="n"/>
      <c r="AG53" s="81" t="n"/>
      <c r="AH53" s="81" t="n"/>
      <c r="AI53" s="81" t="n"/>
      <c r="AJ53" s="370" t="n"/>
      <c r="AK53" s="81" t="n"/>
      <c r="AL53" s="320" t="n"/>
      <c r="AM53" s="371" t="n"/>
      <c r="AN53" s="371" t="n"/>
      <c r="AO53" s="372" t="n"/>
      <c r="AP53" s="371" t="n"/>
      <c r="AQ53" s="371" t="n"/>
      <c r="AR53" s="371" t="n"/>
      <c r="AS53" s="371" t="n"/>
      <c r="AT53" s="372" t="n"/>
      <c r="AU53" s="372" t="n"/>
      <c r="AV53" s="372" t="n"/>
      <c r="AW53" s="372" t="n"/>
      <c r="AX53" s="81" t="n"/>
    </row>
    <row r="54" customFormat="1" s="333">
      <c r="A54" s="332" t="n"/>
      <c r="B54" s="34" t="n"/>
      <c r="C54" s="373" t="n"/>
      <c r="D54" s="373" t="n"/>
      <c r="E54" s="373" t="n"/>
      <c r="F54" s="373" t="n"/>
      <c r="G54" s="374" t="n"/>
      <c r="H54" s="374" t="n"/>
      <c r="I54" s="374" t="n"/>
      <c r="J54" s="374" t="n"/>
      <c r="K54" s="373" t="n"/>
      <c r="L54" s="374" t="n"/>
      <c r="M54" s="374" t="n"/>
      <c r="N54" s="374" t="n"/>
      <c r="O54" s="374" t="n"/>
      <c r="P54" s="373" t="n"/>
      <c r="Q54" s="374" t="n"/>
      <c r="R54" s="374" t="n"/>
      <c r="S54" s="374" t="n"/>
      <c r="T54" s="374" t="n"/>
      <c r="U54" s="373" t="n"/>
      <c r="V54" s="374" t="n"/>
      <c r="W54" s="374" t="n"/>
      <c r="X54" s="374" t="n"/>
      <c r="Y54" s="374" t="n"/>
      <c r="Z54" s="357" t="n"/>
      <c r="AA54" s="374" t="n"/>
      <c r="AB54" s="374" t="n"/>
      <c r="AC54" s="374" t="n"/>
      <c r="AD54" s="374" t="n"/>
      <c r="AE54" s="357" t="n"/>
      <c r="AF54" s="374" t="n"/>
      <c r="AG54" s="374" t="n"/>
      <c r="AH54" s="374" t="n"/>
      <c r="AI54" s="374" t="n"/>
      <c r="AJ54" s="357" t="n"/>
      <c r="AK54" s="374" t="n"/>
      <c r="AL54" s="375" t="n"/>
      <c r="AM54" s="374" t="n"/>
      <c r="AN54" s="374" t="n"/>
      <c r="AO54" s="357" t="n"/>
      <c r="AP54" s="374" t="n"/>
      <c r="AQ54" s="374" t="n"/>
      <c r="AR54" s="374" t="n"/>
      <c r="AS54" s="374" t="n"/>
      <c r="AT54" s="357" t="n"/>
      <c r="AU54" s="357" t="n"/>
      <c r="AV54" s="357" t="n"/>
      <c r="AW54" s="357" t="n"/>
      <c r="AX54" s="332" t="n"/>
    </row>
    <row r="55" customFormat="1" s="9">
      <c r="A55" s="45" t="inlineStr">
        <is>
          <t>Income Statement AS REPORTED</t>
        </is>
      </c>
      <c r="B55" s="45" t="n"/>
      <c r="C55" s="45" t="n"/>
      <c r="D55" s="45" t="n"/>
      <c r="E55" s="45" t="n"/>
      <c r="F55" s="45" t="n"/>
      <c r="G55" s="45" t="n"/>
      <c r="H55" s="45" t="n"/>
      <c r="I55" s="45" t="n"/>
      <c r="J55" s="45" t="n"/>
      <c r="K55" s="45" t="n"/>
      <c r="L55" s="45" t="n"/>
      <c r="M55" s="45" t="n"/>
      <c r="N55" s="45" t="n"/>
      <c r="O55" s="45" t="n"/>
      <c r="P55" s="45" t="n"/>
      <c r="Q55" s="45" t="n"/>
      <c r="R55" s="45" t="n"/>
      <c r="S55" s="45" t="n"/>
      <c r="T55" s="45" t="n"/>
      <c r="U55" s="45" t="n"/>
      <c r="V55" s="45" t="n"/>
      <c r="W55" s="45" t="n"/>
      <c r="X55" s="45" t="n"/>
      <c r="Y55" s="45" t="n"/>
      <c r="Z55" s="45" t="n"/>
      <c r="AA55" s="45" t="n"/>
      <c r="AB55" s="45" t="n"/>
      <c r="AC55" s="45" t="n"/>
      <c r="AD55" s="45" t="n"/>
      <c r="AE55" s="45" t="n"/>
      <c r="AF55" s="45" t="n"/>
      <c r="AG55" s="45" t="n"/>
      <c r="AH55" s="45" t="n"/>
      <c r="AI55" s="45" t="n"/>
      <c r="AJ55" s="45" t="n"/>
      <c r="AK55" s="45" t="n"/>
      <c r="AL55" s="306" t="n"/>
      <c r="AM55" s="45" t="n"/>
      <c r="AN55" s="45" t="n"/>
      <c r="AO55" s="45" t="n"/>
      <c r="AP55" s="45" t="n"/>
      <c r="AQ55" s="45" t="n"/>
      <c r="AR55" s="45" t="n"/>
      <c r="AS55" s="45" t="n"/>
      <c r="AT55" s="45" t="n"/>
      <c r="AU55" s="45" t="n"/>
      <c r="AV55" s="45" t="n"/>
      <c r="AW55" s="45" t="n"/>
      <c r="AX55" s="22" t="n"/>
    </row>
    <row r="56" hidden="1" outlineLevel="1" customFormat="1" s="9">
      <c r="A56" s="35" t="inlineStr">
        <is>
          <t>Total revenues</t>
        </is>
      </c>
      <c r="B56" s="103" t="n"/>
      <c r="C56" s="4" t="n">
        <v>116.044</v>
      </c>
      <c r="D56" s="4" t="n">
        <v>154.64</v>
      </c>
      <c r="E56" s="4" t="n">
        <v>259.251</v>
      </c>
      <c r="F56" s="4" t="n">
        <v>500.799</v>
      </c>
      <c r="G56" s="22" t="n">
        <v>83.08</v>
      </c>
      <c r="H56" s="22" t="n">
        <v>98.16800000000001</v>
      </c>
      <c r="I56" s="22" t="n">
        <v>104.067</v>
      </c>
      <c r="J56" s="22">
        <f>K56-SUM(G56:I56)</f>
        <v/>
      </c>
      <c r="K56" s="4" t="n">
        <v>390.436</v>
      </c>
      <c r="L56" s="22" t="n">
        <v>99.002</v>
      </c>
      <c r="M56" s="22" t="n">
        <v>102.823</v>
      </c>
      <c r="N56" s="22" t="n">
        <v>120.708</v>
      </c>
      <c r="O56" s="22">
        <f>P56-SUM(L56:N56)</f>
        <v/>
      </c>
      <c r="P56" s="4" t="n">
        <v>463.649</v>
      </c>
      <c r="Q56" s="22" t="n">
        <v>146.675</v>
      </c>
      <c r="R56" s="22" t="n">
        <v>163.148</v>
      </c>
      <c r="S56" s="22" t="n">
        <v>171.377</v>
      </c>
      <c r="T56" s="22">
        <f>U56-SUM(Q56:S56)</f>
        <v/>
      </c>
      <c r="U56" s="4" t="n">
        <v>658.14</v>
      </c>
      <c r="V56" s="22" t="n">
        <v>196.81</v>
      </c>
      <c r="W56" s="22" t="n">
        <v>214.801</v>
      </c>
      <c r="X56" s="22" t="n">
        <v>224.211</v>
      </c>
      <c r="Y56" s="22">
        <f>Z56-SUM(V56:X56)</f>
        <v/>
      </c>
      <c r="Z56" s="4" t="n">
        <v>857.498</v>
      </c>
      <c r="AA56" s="22" t="n">
        <v>188.651</v>
      </c>
      <c r="AB56" s="22" t="n">
        <v>211.962</v>
      </c>
      <c r="AC56" s="22" t="n">
        <v>225.699</v>
      </c>
      <c r="AD56" s="22">
        <f>AE56-SUM(AA56:AC56)</f>
        <v/>
      </c>
      <c r="AE56" s="4" t="n">
        <v>863.893</v>
      </c>
      <c r="AF56" s="22" t="n">
        <v>251</v>
      </c>
      <c r="AG56" s="22" t="n">
        <v>268.462</v>
      </c>
      <c r="AH56" s="22" t="n">
        <v>279.211</v>
      </c>
      <c r="AI56" s="22" t="n">
        <v>290.07</v>
      </c>
      <c r="AJ56" s="4" t="n">
        <v>1088.743</v>
      </c>
      <c r="AK56" s="22" t="n">
        <v>305.217</v>
      </c>
      <c r="AL56" s="308" t="n">
        <v>310.324</v>
      </c>
      <c r="AM56" s="22" t="n"/>
      <c r="AN56" s="22" t="n"/>
      <c r="AO56" s="4" t="n"/>
      <c r="AP56" s="22" t="n"/>
      <c r="AQ56" s="22" t="n"/>
      <c r="AR56" s="22" t="n"/>
      <c r="AS56" s="22" t="n"/>
      <c r="AT56" s="4" t="n"/>
      <c r="AU56" s="4" t="n"/>
      <c r="AV56" s="4" t="n"/>
      <c r="AW56" s="4" t="n"/>
      <c r="AX56" s="22" t="n"/>
    </row>
    <row r="57" hidden="1" outlineLevel="1" customFormat="1" s="5">
      <c r="A57" s="36" t="inlineStr">
        <is>
          <t>Cost of revenues</t>
        </is>
      </c>
      <c r="B57" s="376" t="n"/>
      <c r="C57" s="343" t="n">
        <v>28.669</v>
      </c>
      <c r="D57" s="343" t="n">
        <v>40.55</v>
      </c>
      <c r="E57" s="343" t="n">
        <v>92.015</v>
      </c>
      <c r="F57" s="343" t="n">
        <v>157.936</v>
      </c>
      <c r="G57" s="228" t="n">
        <v>28.948</v>
      </c>
      <c r="H57" s="228" t="n">
        <v>32.168</v>
      </c>
      <c r="I57" s="228" t="n">
        <v>36.869</v>
      </c>
      <c r="J57" s="228">
        <f>K57-SUM(G57:I57)</f>
        <v/>
      </c>
      <c r="K57" s="343" t="n">
        <v>134.282</v>
      </c>
      <c r="L57" s="228" t="n">
        <v>33.731</v>
      </c>
      <c r="M57" s="228" t="n">
        <v>34.433</v>
      </c>
      <c r="N57" s="228" t="n">
        <v>39.377</v>
      </c>
      <c r="O57" s="228">
        <f>P57-SUM(L57:N57)</f>
        <v/>
      </c>
      <c r="P57" s="343" t="n">
        <v>148.672</v>
      </c>
      <c r="Q57" s="228" t="n">
        <v>41.087</v>
      </c>
      <c r="R57" s="228" t="n">
        <v>47.178</v>
      </c>
      <c r="S57" s="228" t="n">
        <v>49.129</v>
      </c>
      <c r="T57" s="228">
        <f>U57-SUM(Q57:S57)</f>
        <v/>
      </c>
      <c r="U57" s="343" t="n">
        <v>189.209</v>
      </c>
      <c r="V57" s="228" t="n">
        <v>70.48099999999999</v>
      </c>
      <c r="W57" s="228" t="n">
        <v>79.807</v>
      </c>
      <c r="X57" s="228" t="n">
        <v>78.191</v>
      </c>
      <c r="Y57" s="228">
        <f>Z57-SUM(V57:X57)</f>
        <v/>
      </c>
      <c r="Z57" s="343" t="n">
        <v>301.986</v>
      </c>
      <c r="AA57" s="228" t="n">
        <v>64.45</v>
      </c>
      <c r="AB57" s="228" t="n">
        <v>73.42700000000001</v>
      </c>
      <c r="AC57" s="228" t="n">
        <v>77.33499999999999</v>
      </c>
      <c r="AD57" s="228">
        <f>AE57-SUM(AA57:AC57)</f>
        <v/>
      </c>
      <c r="AE57" s="343" t="n">
        <v>300.45</v>
      </c>
      <c r="AF57" s="228" t="n">
        <v>88.998</v>
      </c>
      <c r="AG57" s="228" t="n">
        <v>103.668</v>
      </c>
      <c r="AH57" s="228" t="n">
        <v>95.562</v>
      </c>
      <c r="AI57" s="228" t="n">
        <v>100.345</v>
      </c>
      <c r="AJ57" s="343" t="n">
        <v>388.573</v>
      </c>
      <c r="AK57" s="345" t="n">
        <v>108.086</v>
      </c>
      <c r="AL57" s="322" t="n">
        <v>110.034</v>
      </c>
      <c r="AM57" s="228" t="n"/>
      <c r="AN57" s="228" t="n"/>
      <c r="AO57" s="343" t="n"/>
      <c r="AP57" s="228" t="n"/>
      <c r="AQ57" s="228" t="n"/>
      <c r="AR57" s="228" t="n"/>
      <c r="AS57" s="228" t="n"/>
      <c r="AT57" s="343" t="n"/>
      <c r="AU57" s="343" t="n"/>
      <c r="AV57" s="343" t="n"/>
      <c r="AW57" s="343" t="n"/>
      <c r="AX57" s="228" t="n"/>
    </row>
    <row r="58" hidden="1" outlineLevel="1" customFormat="1" s="9">
      <c r="A58" s="347" t="inlineStr">
        <is>
          <t>Gross profit</t>
        </is>
      </c>
      <c r="B58" s="377" t="n"/>
      <c r="C58" s="349">
        <f>C56-C57</f>
        <v/>
      </c>
      <c r="D58" s="349">
        <f>D56-D57</f>
        <v/>
      </c>
      <c r="E58" s="349">
        <f>E56-E57</f>
        <v/>
      </c>
      <c r="F58" s="349">
        <f>F56-F57</f>
        <v/>
      </c>
      <c r="G58" s="350">
        <f>G56-G57</f>
        <v/>
      </c>
      <c r="H58" s="350">
        <f>H56-H57</f>
        <v/>
      </c>
      <c r="I58" s="350">
        <f>I56-I57</f>
        <v/>
      </c>
      <c r="J58" s="350">
        <f>J56-J57</f>
        <v/>
      </c>
      <c r="K58" s="349">
        <f>K56-K57</f>
        <v/>
      </c>
      <c r="L58" s="350">
        <f>L56-L57</f>
        <v/>
      </c>
      <c r="M58" s="350">
        <f>M56-M57</f>
        <v/>
      </c>
      <c r="N58" s="350">
        <f>N56-N57</f>
        <v/>
      </c>
      <c r="O58" s="350">
        <f>O56-O57</f>
        <v/>
      </c>
      <c r="P58" s="349">
        <f>P56-P57</f>
        <v/>
      </c>
      <c r="Q58" s="350">
        <f>Q56-Q57</f>
        <v/>
      </c>
      <c r="R58" s="350">
        <f>R56-R57</f>
        <v/>
      </c>
      <c r="S58" s="350">
        <f>S56-S57</f>
        <v/>
      </c>
      <c r="T58" s="350">
        <f>T56-T57</f>
        <v/>
      </c>
      <c r="U58" s="349">
        <f>U56-U57</f>
        <v/>
      </c>
      <c r="V58" s="350">
        <f>V56-V57</f>
        <v/>
      </c>
      <c r="W58" s="350">
        <f>W56-W57</f>
        <v/>
      </c>
      <c r="X58" s="350">
        <f>X56-X57</f>
        <v/>
      </c>
      <c r="Y58" s="351">
        <f>Y56-Y57</f>
        <v/>
      </c>
      <c r="Z58" s="352">
        <f>Z56-Z57</f>
        <v/>
      </c>
      <c r="AA58" s="350">
        <f>AA56-AA57</f>
        <v/>
      </c>
      <c r="AB58" s="350">
        <f>AB56-AB57</f>
        <v/>
      </c>
      <c r="AC58" s="350">
        <f>AC56-AC57</f>
        <v/>
      </c>
      <c r="AD58" s="351">
        <f>AD56-AD57</f>
        <v/>
      </c>
      <c r="AE58" s="352">
        <f>AE56-AE57</f>
        <v/>
      </c>
      <c r="AF58" s="350">
        <f>AF56-AF57</f>
        <v/>
      </c>
      <c r="AG58" s="350">
        <f>AG56-AG57</f>
        <v/>
      </c>
      <c r="AH58" s="350">
        <f>AH56-AH57</f>
        <v/>
      </c>
      <c r="AI58" s="351">
        <f>AI56-AI57</f>
        <v/>
      </c>
      <c r="AJ58" s="352">
        <f>AJ56-AJ57</f>
        <v/>
      </c>
      <c r="AK58" s="350">
        <f>AK56-AK57</f>
        <v/>
      </c>
      <c r="AL58" s="353">
        <f>AL56-AL57</f>
        <v/>
      </c>
      <c r="AM58" s="351" t="n"/>
      <c r="AN58" s="351" t="n"/>
      <c r="AO58" s="352" t="n"/>
      <c r="AP58" s="351" t="n"/>
      <c r="AQ58" s="351" t="n"/>
      <c r="AR58" s="351" t="n"/>
      <c r="AS58" s="351" t="n"/>
      <c r="AT58" s="352" t="n"/>
      <c r="AU58" s="352" t="n"/>
      <c r="AV58" s="352" t="n"/>
      <c r="AW58" s="352" t="n"/>
      <c r="AX58" s="22" t="n"/>
    </row>
    <row r="59" hidden="1" outlineLevel="1" customFormat="1" s="5">
      <c r="A59" s="36" t="inlineStr">
        <is>
          <t>Research and development</t>
        </is>
      </c>
      <c r="B59" s="376" t="n"/>
      <c r="C59" s="343" t="n">
        <v>42.241</v>
      </c>
      <c r="D59" s="343" t="n">
        <v>56.804</v>
      </c>
      <c r="E59" s="343" t="n">
        <v>92.508</v>
      </c>
      <c r="F59" s="343" t="n">
        <v>138.946</v>
      </c>
      <c r="G59" s="228" t="n">
        <v>38.149</v>
      </c>
      <c r="H59" s="228" t="n">
        <v>38.869</v>
      </c>
      <c r="I59" s="228" t="n">
        <v>44.607</v>
      </c>
      <c r="J59" s="228">
        <f>K59-SUM(G59:I59)</f>
        <v/>
      </c>
      <c r="K59" s="343" t="n">
        <v>169.382</v>
      </c>
      <c r="L59" s="228" t="n">
        <v>48.337</v>
      </c>
      <c r="M59" s="228" t="n">
        <v>49.506</v>
      </c>
      <c r="N59" s="228" t="n">
        <v>54.22</v>
      </c>
      <c r="O59" s="228">
        <f>P59-SUM(L59:N59)</f>
        <v/>
      </c>
      <c r="P59" s="343" t="n">
        <v>208.877</v>
      </c>
      <c r="Q59" s="228" t="n">
        <v>58.118</v>
      </c>
      <c r="R59" s="228" t="n">
        <v>62.576</v>
      </c>
      <c r="S59" s="228" t="n">
        <v>65.861</v>
      </c>
      <c r="T59" s="228">
        <f>U59-SUM(Q59:S59)</f>
        <v/>
      </c>
      <c r="U59" s="343" t="n">
        <v>252.175</v>
      </c>
      <c r="V59" s="228" t="n">
        <v>71.03400000000001</v>
      </c>
      <c r="W59" s="228" t="n">
        <v>82.324</v>
      </c>
      <c r="X59" s="228" t="n">
        <v>83.611</v>
      </c>
      <c r="Y59" s="228">
        <f>Z59-SUM(V59:X59)</f>
        <v/>
      </c>
      <c r="Z59" s="343" t="n">
        <v>322.62</v>
      </c>
      <c r="AA59" s="228" t="n">
        <v>88.491</v>
      </c>
      <c r="AB59" s="228" t="n">
        <v>92.348</v>
      </c>
      <c r="AC59" s="228" t="n">
        <v>90.916</v>
      </c>
      <c r="AD59" s="228">
        <f>AE59-SUM(AA59:AC59)</f>
        <v/>
      </c>
      <c r="AE59" s="343" t="n">
        <v>365.878</v>
      </c>
      <c r="AF59" s="228" t="n">
        <v>86.426</v>
      </c>
      <c r="AG59" s="228" t="n">
        <v>87.152</v>
      </c>
      <c r="AH59" s="228" t="n">
        <v>92.93000000000001</v>
      </c>
      <c r="AI59" s="228" t="n">
        <v>93.836</v>
      </c>
      <c r="AJ59" s="343" t="n">
        <v>360.3440000000001</v>
      </c>
      <c r="AK59" s="228" t="n">
        <v>92.205</v>
      </c>
      <c r="AL59" s="322" t="n">
        <v>99.32899999999999</v>
      </c>
      <c r="AM59" s="228" t="n"/>
      <c r="AN59" s="228" t="n"/>
      <c r="AO59" s="343" t="n"/>
      <c r="AP59" s="228" t="n"/>
      <c r="AQ59" s="228" t="n"/>
      <c r="AR59" s="228" t="n"/>
      <c r="AS59" s="228" t="n"/>
      <c r="AT59" s="343" t="n"/>
      <c r="AU59" s="343" t="n"/>
      <c r="AV59" s="343" t="n"/>
      <c r="AW59" s="343" t="n"/>
      <c r="AX59" s="228" t="n"/>
    </row>
    <row r="60" hidden="1" outlineLevel="1" customFormat="1" s="5">
      <c r="A60" s="36" t="inlineStr">
        <is>
          <t>Sales and marketing</t>
        </is>
      </c>
      <c r="B60" s="376" t="n"/>
      <c r="C60" s="343" t="n">
        <v>17.034</v>
      </c>
      <c r="D60" s="343" t="n">
        <v>22.104</v>
      </c>
      <c r="E60" s="343" t="n">
        <v>40.366</v>
      </c>
      <c r="F60" s="343" t="n">
        <v>61.068</v>
      </c>
      <c r="G60" s="228" t="n">
        <v>16.414</v>
      </c>
      <c r="H60" s="228" t="n">
        <v>16.797</v>
      </c>
      <c r="I60" s="228" t="n">
        <v>18.204</v>
      </c>
      <c r="J60" s="228">
        <f>K60-SUM(G60:I60)</f>
        <v/>
      </c>
      <c r="K60" s="343" t="n">
        <v>70.544</v>
      </c>
      <c r="L60" s="228" t="n">
        <v>19.279</v>
      </c>
      <c r="M60" s="228" t="n">
        <v>18.723</v>
      </c>
      <c r="N60" s="228" t="n">
        <v>18.863</v>
      </c>
      <c r="O60" s="228">
        <f>P60-SUM(L60:N60)</f>
        <v/>
      </c>
      <c r="P60" s="343" t="n">
        <v>76.86</v>
      </c>
      <c r="Q60" s="228" t="n">
        <v>22.558</v>
      </c>
      <c r="R60" s="228" t="n">
        <v>23.366</v>
      </c>
      <c r="S60" s="228" t="n">
        <v>24.816</v>
      </c>
      <c r="T60" s="228">
        <f>U60-SUM(Q60:S60)</f>
        <v/>
      </c>
      <c r="U60" s="343" t="n">
        <v>97.438</v>
      </c>
      <c r="V60" s="228" t="n">
        <v>31.228</v>
      </c>
      <c r="W60" s="228" t="n">
        <v>32.576</v>
      </c>
      <c r="X60" s="228" t="n">
        <v>34.408</v>
      </c>
      <c r="Y60" s="228">
        <f>Z60-SUM(V60:X60)</f>
        <v/>
      </c>
      <c r="Z60" s="343" t="n">
        <v>133.78</v>
      </c>
      <c r="AA60" s="228" t="n">
        <v>35.757</v>
      </c>
      <c r="AB60" s="228" t="n">
        <v>38.11</v>
      </c>
      <c r="AC60" s="228" t="n">
        <v>37.829</v>
      </c>
      <c r="AD60" s="228">
        <f>AE60-SUM(AA60:AC60)</f>
        <v/>
      </c>
      <c r="AE60" s="343" t="n">
        <v>150.457</v>
      </c>
      <c r="AF60" s="228" t="n">
        <v>39.494</v>
      </c>
      <c r="AG60" s="228" t="n">
        <v>35.673</v>
      </c>
      <c r="AH60" s="228" t="n">
        <v>36.344</v>
      </c>
      <c r="AI60" s="228" t="n">
        <v>37.042</v>
      </c>
      <c r="AJ60" s="343" t="n">
        <v>148.553</v>
      </c>
      <c r="AK60" s="228" t="n">
        <v>40.097</v>
      </c>
      <c r="AL60" s="322" t="n">
        <v>39.302</v>
      </c>
      <c r="AM60" s="228" t="n"/>
      <c r="AN60" s="228" t="n"/>
      <c r="AO60" s="343" t="n"/>
      <c r="AP60" s="228" t="n"/>
      <c r="AQ60" s="228" t="n"/>
      <c r="AR60" s="228" t="n"/>
      <c r="AS60" s="228" t="n"/>
      <c r="AT60" s="343" t="n"/>
      <c r="AU60" s="343" t="n"/>
      <c r="AV60" s="343" t="n"/>
      <c r="AW60" s="343" t="n"/>
      <c r="AX60" s="228" t="n"/>
    </row>
    <row r="61" hidden="1" outlineLevel="1" customFormat="1" s="5">
      <c r="A61" s="36" t="inlineStr">
        <is>
          <t>General and administrative</t>
        </is>
      </c>
      <c r="B61" s="376" t="n"/>
      <c r="C61" s="343" t="n">
        <v>9.353</v>
      </c>
      <c r="D61" s="343" t="n">
        <v>11.744</v>
      </c>
      <c r="E61" s="343" t="n">
        <v>21.769</v>
      </c>
      <c r="F61" s="343" t="n">
        <v>24.541</v>
      </c>
      <c r="G61" s="228" t="n">
        <v>7.485</v>
      </c>
      <c r="H61" s="228" t="n">
        <v>10.047</v>
      </c>
      <c r="I61" s="228" t="n">
        <v>9.673999999999999</v>
      </c>
      <c r="J61" s="228">
        <f>K61-SUM(G61:I61)</f>
        <v/>
      </c>
      <c r="K61" s="343" t="n">
        <v>37.046</v>
      </c>
      <c r="L61" s="228" t="n">
        <v>8.215</v>
      </c>
      <c r="M61" s="228" t="n">
        <v>9.461</v>
      </c>
      <c r="N61" s="228" t="n">
        <v>9.185</v>
      </c>
      <c r="O61" s="228">
        <f>P61-SUM(L61:N61)</f>
        <v/>
      </c>
      <c r="P61" s="343" t="n">
        <v>36.431</v>
      </c>
      <c r="Q61" s="228" t="n">
        <v>9.701000000000001</v>
      </c>
      <c r="R61" s="228" t="n">
        <v>10.67</v>
      </c>
      <c r="S61" s="228" t="n">
        <v>10.944</v>
      </c>
      <c r="T61" s="228">
        <f>U61-SUM(Q61:S61)</f>
        <v/>
      </c>
      <c r="U61" s="343" t="n">
        <v>44.212</v>
      </c>
      <c r="V61" s="228" t="n">
        <v>27.938</v>
      </c>
      <c r="W61" s="228" t="n">
        <v>13.494</v>
      </c>
      <c r="X61" s="228" t="n">
        <v>13.501</v>
      </c>
      <c r="Y61" s="228">
        <f>Z61-SUM(V61:X61)</f>
        <v/>
      </c>
      <c r="Z61" s="343" t="n">
        <v>68.52200000000001</v>
      </c>
      <c r="AA61" s="228" t="n">
        <v>12.519</v>
      </c>
      <c r="AB61" s="228" t="n">
        <v>12.476</v>
      </c>
      <c r="AC61" s="228" t="n">
        <v>13.039</v>
      </c>
      <c r="AD61" s="228">
        <f>AE61-SUM(AA61:AC61)</f>
        <v/>
      </c>
      <c r="AE61" s="343" t="n">
        <v>52.17</v>
      </c>
      <c r="AF61" s="228" t="n">
        <v>16.516</v>
      </c>
      <c r="AG61" s="228" t="n">
        <v>23.635</v>
      </c>
      <c r="AH61" s="228" t="n">
        <v>13.895</v>
      </c>
      <c r="AI61" s="228" t="n">
        <v>14.824</v>
      </c>
      <c r="AJ61" s="343" t="n">
        <v>68.86999999999999</v>
      </c>
      <c r="AK61" s="228" t="n">
        <v>19.271</v>
      </c>
      <c r="AL61" s="322" t="n">
        <v>19.199</v>
      </c>
      <c r="AM61" s="228" t="n"/>
      <c r="AN61" s="228" t="n"/>
      <c r="AO61" s="343" t="n"/>
      <c r="AP61" s="228" t="n"/>
      <c r="AQ61" s="228" t="n"/>
      <c r="AR61" s="228" t="n"/>
      <c r="AS61" s="228" t="n"/>
      <c r="AT61" s="343" t="n"/>
      <c r="AU61" s="343" t="n"/>
      <c r="AV61" s="343" t="n"/>
      <c r="AW61" s="343" t="n"/>
      <c r="AX61" s="228" t="n"/>
    </row>
    <row r="62" hidden="1" outlineLevel="1" customFormat="1" s="5">
      <c r="A62" s="36" t="inlineStr">
        <is>
          <t>Restructuring charges</t>
        </is>
      </c>
      <c r="B62" s="376" t="n"/>
      <c r="C62" s="343" t="n"/>
      <c r="D62" s="343" t="n"/>
      <c r="E62" s="343" t="n"/>
      <c r="F62" s="343" t="n"/>
      <c r="G62" s="228" t="n"/>
      <c r="H62" s="228" t="n"/>
      <c r="I62" s="228" t="n"/>
      <c r="J62" s="228" t="n"/>
      <c r="K62" s="343" t="n"/>
      <c r="L62" s="228" t="n"/>
      <c r="M62" s="228" t="n"/>
      <c r="N62" s="228" t="n"/>
      <c r="O62" s="228" t="n"/>
      <c r="P62" s="343" t="n"/>
      <c r="Q62" s="228" t="n"/>
      <c r="R62" s="228" t="n"/>
      <c r="S62" s="228" t="n"/>
      <c r="T62" s="228" t="n"/>
      <c r="U62" s="343" t="n"/>
      <c r="V62" s="228" t="n"/>
      <c r="W62" s="228" t="n"/>
      <c r="X62" s="228" t="n"/>
      <c r="Y62" s="228" t="n"/>
      <c r="Z62" s="343" t="n"/>
      <c r="AA62" s="228" t="n"/>
      <c r="AB62" s="228" t="n"/>
      <c r="AC62" s="228" t="n"/>
      <c r="AD62" s="228" t="n"/>
      <c r="AE62" s="343" t="n"/>
      <c r="AF62" s="228" t="n">
        <v>7.587</v>
      </c>
      <c r="AG62" s="228" t="n">
        <v>1.774</v>
      </c>
      <c r="AH62" s="228" t="n">
        <v>0.947</v>
      </c>
      <c r="AI62" s="228" t="n">
        <v>0.021</v>
      </c>
      <c r="AJ62" s="343" t="n">
        <v>10.329</v>
      </c>
      <c r="AK62" s="228" t="n">
        <v>0.903</v>
      </c>
      <c r="AL62" s="322" t="n">
        <v>0.275</v>
      </c>
      <c r="AM62" s="228" t="n"/>
      <c r="AN62" s="228" t="n"/>
      <c r="AO62" s="343" t="n"/>
      <c r="AP62" s="228" t="n"/>
      <c r="AQ62" s="228" t="n"/>
      <c r="AR62" s="228" t="n"/>
      <c r="AS62" s="228" t="n"/>
      <c r="AT62" s="343" t="n"/>
      <c r="AU62" s="343" t="n"/>
      <c r="AV62" s="343" t="n"/>
      <c r="AW62" s="343" t="n"/>
      <c r="AX62" s="228" t="n"/>
    </row>
    <row r="63" hidden="1" outlineLevel="1" customFormat="1" s="5">
      <c r="A63" s="36" t="inlineStr">
        <is>
          <t>Impairment of long-lived assets</t>
        </is>
      </c>
      <c r="B63" s="376" t="n"/>
      <c r="C63" s="343" t="n"/>
      <c r="D63" s="343" t="n"/>
      <c r="E63" s="343" t="n"/>
      <c r="F63" s="343" t="n"/>
      <c r="G63" s="228" t="n"/>
      <c r="H63" s="228" t="n"/>
      <c r="I63" s="228" t="n"/>
      <c r="J63" s="228" t="n"/>
      <c r="K63" s="343" t="n"/>
      <c r="L63" s="228" t="n"/>
      <c r="M63" s="228" t="n"/>
      <c r="N63" s="228" t="n"/>
      <c r="O63" s="228" t="n"/>
      <c r="P63" s="343" t="n"/>
      <c r="Q63" s="228" t="n"/>
      <c r="R63" s="228" t="n"/>
      <c r="S63" s="228" t="n"/>
      <c r="T63" s="228" t="n"/>
      <c r="U63" s="343" t="n"/>
      <c r="V63" s="228" t="n"/>
      <c r="W63" s="228" t="n"/>
      <c r="X63" s="228" t="n"/>
      <c r="Y63" s="228" t="n"/>
      <c r="Z63" s="343" t="n"/>
      <c r="AA63" s="228" t="n"/>
      <c r="AB63" s="228" t="n"/>
      <c r="AC63" s="228" t="n"/>
      <c r="AD63" s="228">
        <f>AE63-SUM(AA63:AC63)</f>
        <v/>
      </c>
      <c r="AE63" s="343" t="n">
        <v>12.019</v>
      </c>
      <c r="AF63" s="228" t="n"/>
      <c r="AG63" s="228" t="n"/>
      <c r="AH63" s="228" t="n"/>
      <c r="AI63" s="228" t="n"/>
      <c r="AJ63" s="343" t="n">
        <v>0</v>
      </c>
      <c r="AK63" s="228" t="n"/>
      <c r="AL63" s="322" t="n"/>
      <c r="AM63" s="228" t="n"/>
      <c r="AN63" s="228" t="n"/>
      <c r="AO63" s="343" t="n"/>
      <c r="AP63" s="228" t="n"/>
      <c r="AQ63" s="228" t="n"/>
      <c r="AR63" s="228" t="n"/>
      <c r="AS63" s="228" t="n"/>
      <c r="AT63" s="343" t="n"/>
      <c r="AU63" s="343" t="n"/>
      <c r="AV63" s="343" t="n"/>
      <c r="AW63" s="343" t="n"/>
      <c r="AX63" s="228" t="n"/>
    </row>
    <row r="64" hidden="1" outlineLevel="1" customFormat="1" s="9">
      <c r="A64" s="347" t="inlineStr">
        <is>
          <t>Total operating expenses</t>
        </is>
      </c>
      <c r="B64" s="377" t="n"/>
      <c r="C64" s="349">
        <f>SUM(C59:C63)</f>
        <v/>
      </c>
      <c r="D64" s="349">
        <f>SUM(D59:D63)</f>
        <v/>
      </c>
      <c r="E64" s="349">
        <f>SUM(E59:E63)</f>
        <v/>
      </c>
      <c r="F64" s="349">
        <f>SUM(F59:F63)</f>
        <v/>
      </c>
      <c r="G64" s="350">
        <f>SUM(G59:G63)</f>
        <v/>
      </c>
      <c r="H64" s="350">
        <f>SUM(H59:H63)</f>
        <v/>
      </c>
      <c r="I64" s="350">
        <f>SUM(I59:I63)</f>
        <v/>
      </c>
      <c r="J64" s="350">
        <f>SUM(J59:J63)</f>
        <v/>
      </c>
      <c r="K64" s="349">
        <f>SUM(K59:K63)</f>
        <v/>
      </c>
      <c r="L64" s="350">
        <f>SUM(L59:L63)</f>
        <v/>
      </c>
      <c r="M64" s="350">
        <f>SUM(M59:M63)</f>
        <v/>
      </c>
      <c r="N64" s="350">
        <f>SUM(N59:N63)</f>
        <v/>
      </c>
      <c r="O64" s="350">
        <f>SUM(O59:O63)</f>
        <v/>
      </c>
      <c r="P64" s="349">
        <f>SUM(P59:P63)</f>
        <v/>
      </c>
      <c r="Q64" s="350">
        <f>SUM(Q59:Q63)</f>
        <v/>
      </c>
      <c r="R64" s="350">
        <f>SUM(R59:R63)</f>
        <v/>
      </c>
      <c r="S64" s="350">
        <f>SUM(S59:S63)</f>
        <v/>
      </c>
      <c r="T64" s="350">
        <f>SUM(T59:T63)</f>
        <v/>
      </c>
      <c r="U64" s="349">
        <f>SUM(U59:U63)</f>
        <v/>
      </c>
      <c r="V64" s="350">
        <f>SUM(V59:V63)</f>
        <v/>
      </c>
      <c r="W64" s="350">
        <f>SUM(W59:W63)</f>
        <v/>
      </c>
      <c r="X64" s="350">
        <f>SUM(X59:X63)</f>
        <v/>
      </c>
      <c r="Y64" s="351">
        <f>SUM(Y59:Y63)</f>
        <v/>
      </c>
      <c r="Z64" s="352">
        <f>SUM(Z59:Z63)</f>
        <v/>
      </c>
      <c r="AA64" s="350">
        <f>SUM(AA59:AA63)</f>
        <v/>
      </c>
      <c r="AB64" s="350">
        <f>SUM(AB59:AB63)</f>
        <v/>
      </c>
      <c r="AC64" s="350">
        <f>SUM(AC59:AC63)</f>
        <v/>
      </c>
      <c r="AD64" s="351">
        <f>SUM(AD59:AD63)</f>
        <v/>
      </c>
      <c r="AE64" s="352">
        <f>SUM(AE59:AE63)</f>
        <v/>
      </c>
      <c r="AF64" s="350">
        <f>SUM(AF59:AF63)</f>
        <v/>
      </c>
      <c r="AG64" s="350">
        <f>SUM(AG59:AG63)</f>
        <v/>
      </c>
      <c r="AH64" s="350">
        <f>SUM(AH59:AH63)</f>
        <v/>
      </c>
      <c r="AI64" s="351">
        <f>SUM(AI59:AI63)</f>
        <v/>
      </c>
      <c r="AJ64" s="352">
        <f>SUM(AJ59:AJ63)</f>
        <v/>
      </c>
      <c r="AK64" s="350">
        <f>SUM(AK59:AK63)</f>
        <v/>
      </c>
      <c r="AL64" s="353">
        <f>SUM(AL59:AL63)</f>
        <v/>
      </c>
      <c r="AM64" s="351" t="n"/>
      <c r="AN64" s="351" t="n"/>
      <c r="AO64" s="352" t="n"/>
      <c r="AP64" s="351" t="n"/>
      <c r="AQ64" s="351" t="n"/>
      <c r="AR64" s="351" t="n"/>
      <c r="AS64" s="351" t="n"/>
      <c r="AT64" s="352" t="n"/>
      <c r="AU64" s="352" t="n"/>
      <c r="AV64" s="352" t="n"/>
      <c r="AW64" s="352" t="n"/>
      <c r="AX64" s="22" t="n"/>
    </row>
    <row r="65" hidden="1" outlineLevel="1" customFormat="1" s="9">
      <c r="A65" s="35" t="inlineStr">
        <is>
          <t>(Loss) income from operations</t>
        </is>
      </c>
      <c r="B65" s="103" t="n"/>
      <c r="C65" s="4">
        <f>C58-C64</f>
        <v/>
      </c>
      <c r="D65" s="4">
        <f>D58-D64</f>
        <v/>
      </c>
      <c r="E65" s="4">
        <f>E58-E64</f>
        <v/>
      </c>
      <c r="F65" s="4">
        <f>F58-F64</f>
        <v/>
      </c>
      <c r="G65" s="22">
        <f>G58-G64</f>
        <v/>
      </c>
      <c r="H65" s="22">
        <f>H58-H64</f>
        <v/>
      </c>
      <c r="I65" s="22">
        <f>I58-I64</f>
        <v/>
      </c>
      <c r="J65" s="22">
        <f>J58-J64</f>
        <v/>
      </c>
      <c r="K65" s="4">
        <f>K58-K64</f>
        <v/>
      </c>
      <c r="L65" s="22">
        <f>L58-L64</f>
        <v/>
      </c>
      <c r="M65" s="22">
        <f>M58-M64</f>
        <v/>
      </c>
      <c r="N65" s="22">
        <f>N58-N64</f>
        <v/>
      </c>
      <c r="O65" s="22">
        <f>O58-O64</f>
        <v/>
      </c>
      <c r="P65" s="4">
        <f>P58-P64</f>
        <v/>
      </c>
      <c r="Q65" s="22">
        <f>Q58-Q64</f>
        <v/>
      </c>
      <c r="R65" s="22">
        <f>R58-R64</f>
        <v/>
      </c>
      <c r="S65" s="22">
        <f>S58-S64</f>
        <v/>
      </c>
      <c r="T65" s="22">
        <f>T58-T64</f>
        <v/>
      </c>
      <c r="U65" s="4">
        <f>U58-U64</f>
        <v/>
      </c>
      <c r="V65" s="22">
        <f>V58-V64</f>
        <v/>
      </c>
      <c r="W65" s="22">
        <f>W58-W64</f>
        <v/>
      </c>
      <c r="X65" s="22">
        <f>X58-X64</f>
        <v/>
      </c>
      <c r="Y65" s="378">
        <f>Y58-Y64</f>
        <v/>
      </c>
      <c r="Z65" s="117">
        <f>Z58-Z64</f>
        <v/>
      </c>
      <c r="AA65" s="22">
        <f>AA58-AA64</f>
        <v/>
      </c>
      <c r="AB65" s="22">
        <f>AB58-AB64</f>
        <v/>
      </c>
      <c r="AC65" s="22">
        <f>AC58-AC64</f>
        <v/>
      </c>
      <c r="AD65" s="378">
        <f>AD58-AD64</f>
        <v/>
      </c>
      <c r="AE65" s="117">
        <f>AE58-AE64</f>
        <v/>
      </c>
      <c r="AF65" s="22">
        <f>AF58-AF64</f>
        <v/>
      </c>
      <c r="AG65" s="22">
        <f>AG58-AG64</f>
        <v/>
      </c>
      <c r="AH65" s="22">
        <f>AH58-AH64</f>
        <v/>
      </c>
      <c r="AI65" s="378">
        <f>AI58-AI64</f>
        <v/>
      </c>
      <c r="AJ65" s="117">
        <f>AJ58-AJ64</f>
        <v/>
      </c>
      <c r="AK65" s="22">
        <f>AK58-AK64</f>
        <v/>
      </c>
      <c r="AL65" s="308">
        <f>AL58-AL64</f>
        <v/>
      </c>
      <c r="AM65" s="378" t="n"/>
      <c r="AN65" s="378" t="n"/>
      <c r="AO65" s="117" t="n"/>
      <c r="AP65" s="378" t="n"/>
      <c r="AQ65" s="378" t="n"/>
      <c r="AR65" s="378" t="n"/>
      <c r="AS65" s="378" t="n"/>
      <c r="AT65" s="117" t="n"/>
      <c r="AU65" s="117" t="n"/>
      <c r="AV65" s="117" t="n"/>
      <c r="AW65" s="117" t="n"/>
      <c r="AX65" s="22" t="n"/>
    </row>
    <row r="66" hidden="1" outlineLevel="1" customFormat="1" s="5">
      <c r="A66" s="36" t="inlineStr">
        <is>
          <t>Interest expense</t>
        </is>
      </c>
      <c r="B66" s="376" t="n"/>
      <c r="C66" s="343" t="n"/>
      <c r="D66" s="343" t="n"/>
      <c r="E66" s="343" t="n"/>
      <c r="F66" s="343" t="n"/>
      <c r="G66" s="228" t="n"/>
      <c r="H66" s="228" t="n"/>
      <c r="I66" s="228" t="n"/>
      <c r="J66" s="228" t="n"/>
      <c r="K66" s="343" t="n"/>
      <c r="L66" s="228" t="n"/>
      <c r="M66" s="228" t="n"/>
      <c r="N66" s="228" t="n"/>
      <c r="O66" s="228" t="n"/>
      <c r="P66" s="343" t="n"/>
      <c r="Q66" s="228" t="n"/>
      <c r="R66" s="228" t="n"/>
      <c r="S66" s="228" t="n"/>
      <c r="T66" s="228" t="n"/>
      <c r="U66" s="343" t="n"/>
      <c r="V66" s="228" t="n"/>
      <c r="W66" s="228" t="n">
        <v>-2.215</v>
      </c>
      <c r="X66" s="228" t="n">
        <v>-2.195</v>
      </c>
      <c r="Y66" s="228">
        <f>Z66-SUM(V66:X66)</f>
        <v/>
      </c>
      <c r="Z66" s="343" t="n">
        <v>-7.352</v>
      </c>
      <c r="AA66" s="228" t="n">
        <v>-1.993</v>
      </c>
      <c r="AB66" s="228" t="n">
        <v>-1.996</v>
      </c>
      <c r="AC66" s="228" t="n">
        <v>-2.016</v>
      </c>
      <c r="AD66" s="228">
        <f>AE66-SUM(AA66:AC66)</f>
        <v/>
      </c>
      <c r="AE66" s="343" t="n">
        <v>-7.937</v>
      </c>
      <c r="AF66" s="228" t="n">
        <v>-1.171</v>
      </c>
      <c r="AG66" s="228" t="n">
        <v>-0.871</v>
      </c>
      <c r="AH66" s="228" t="n">
        <v>-0.066</v>
      </c>
      <c r="AI66" s="228" t="n">
        <v>-0.077</v>
      </c>
      <c r="AJ66" s="343" t="n">
        <v>-2.185</v>
      </c>
      <c r="AK66" s="228" t="n">
        <v>-0.014</v>
      </c>
      <c r="AL66" s="322" t="n">
        <v>-0.077</v>
      </c>
      <c r="AM66" s="228" t="n"/>
      <c r="AN66" s="228" t="n"/>
      <c r="AO66" s="343" t="n"/>
      <c r="AP66" s="228" t="n"/>
      <c r="AQ66" s="228" t="n"/>
      <c r="AR66" s="228" t="n"/>
      <c r="AS66" s="228" t="n"/>
      <c r="AT66" s="343" t="n"/>
      <c r="AU66" s="343" t="n"/>
      <c r="AV66" s="343" t="n"/>
      <c r="AW66" s="343" t="n"/>
      <c r="AX66" s="228" t="n"/>
    </row>
    <row r="67" hidden="1" outlineLevel="1" customFormat="1" s="5">
      <c r="A67" s="36" t="inlineStr">
        <is>
          <t>Other loss, net</t>
        </is>
      </c>
      <c r="B67" s="376" t="n"/>
      <c r="C67" s="343" t="n">
        <v>0.518</v>
      </c>
      <c r="D67" s="343" t="n">
        <v>-0.135</v>
      </c>
      <c r="E67" s="343" t="n">
        <v>0.759</v>
      </c>
      <c r="F67" s="343" t="n">
        <v>1.259</v>
      </c>
      <c r="G67" s="228" t="n">
        <v>0.213</v>
      </c>
      <c r="H67" s="228" t="n">
        <v>0.232</v>
      </c>
      <c r="I67" s="228" t="n">
        <v>0.482</v>
      </c>
      <c r="J67" s="228">
        <f>K67-SUM(G67:I67)</f>
        <v/>
      </c>
      <c r="K67" s="343" t="n">
        <v>1.228</v>
      </c>
      <c r="L67" s="228" t="n">
        <v>0.234</v>
      </c>
      <c r="M67" s="228" t="n">
        <v>0.357</v>
      </c>
      <c r="N67" s="228" t="n">
        <v>0.361</v>
      </c>
      <c r="O67" s="228">
        <f>P67-SUM(L67:N67)</f>
        <v/>
      </c>
      <c r="P67" s="343" t="n">
        <v>1.449</v>
      </c>
      <c r="Q67" s="228" t="n">
        <v>-2.469</v>
      </c>
      <c r="R67" s="228" t="n">
        <v>0.912</v>
      </c>
      <c r="S67" s="228" t="n">
        <v>0.441</v>
      </c>
      <c r="T67" s="228">
        <f>U67-SUM(Q67:S67)</f>
        <v/>
      </c>
      <c r="U67" s="343" t="n">
        <v>-0.524</v>
      </c>
      <c r="V67" s="228" t="n">
        <v>-0.9370000000000001</v>
      </c>
      <c r="W67" s="228" t="n">
        <v>0.315</v>
      </c>
      <c r="X67" s="228" t="n">
        <v>0.606</v>
      </c>
      <c r="Y67" s="228">
        <f>Z67-SUM(V67:X67)</f>
        <v/>
      </c>
      <c r="Z67" s="343" t="n">
        <v>1.09</v>
      </c>
      <c r="AA67" s="228" t="n">
        <v>0.6830000000000001</v>
      </c>
      <c r="AB67" s="228" t="n">
        <v>0.827</v>
      </c>
      <c r="AC67" s="228" t="n">
        <v>0.956</v>
      </c>
      <c r="AD67" s="228">
        <f>AE67-SUM(AA67:AC67)</f>
        <v/>
      </c>
      <c r="AE67" s="343" t="n">
        <v>3.115</v>
      </c>
      <c r="AF67" s="228" t="n">
        <v>0.638</v>
      </c>
      <c r="AG67" s="228" t="n">
        <v>0.533</v>
      </c>
      <c r="AH67" s="228" t="n">
        <v>1.112</v>
      </c>
      <c r="AI67" s="228" t="n">
        <v>0.039</v>
      </c>
      <c r="AJ67" s="343">
        <f>SUM(AF67:AI67)</f>
        <v/>
      </c>
      <c r="AK67" s="345" t="n">
        <v>8.244999999999999</v>
      </c>
      <c r="AL67" s="322" t="n">
        <v>2.345</v>
      </c>
      <c r="AM67" s="228" t="n"/>
      <c r="AN67" s="228" t="n"/>
      <c r="AO67" s="343" t="n"/>
      <c r="AP67" s="228" t="n"/>
      <c r="AQ67" s="228" t="n"/>
      <c r="AR67" s="228" t="n"/>
      <c r="AS67" s="228" t="n"/>
      <c r="AT67" s="343" t="n"/>
      <c r="AU67" s="343" t="n"/>
      <c r="AV67" s="343" t="n"/>
      <c r="AW67" s="343" t="n"/>
      <c r="AX67" s="228" t="n"/>
    </row>
    <row r="68" hidden="1" outlineLevel="1" customFormat="1" s="9">
      <c r="A68" s="347" t="inlineStr">
        <is>
          <t>(Loss) income before taxes on income</t>
        </is>
      </c>
      <c r="B68" s="377" t="n"/>
      <c r="C68" s="349">
        <f>SUM(C65:C67)</f>
        <v/>
      </c>
      <c r="D68" s="349">
        <f>SUM(D65:D67)</f>
        <v/>
      </c>
      <c r="E68" s="349">
        <f>SUM(E65:E67)</f>
        <v/>
      </c>
      <c r="F68" s="349">
        <f>SUM(F65:F67)</f>
        <v/>
      </c>
      <c r="G68" s="350">
        <f>SUM(G65:G67)</f>
        <v/>
      </c>
      <c r="H68" s="350">
        <f>SUM(H65:H67)</f>
        <v/>
      </c>
      <c r="I68" s="350">
        <f>SUM(I65:I67)</f>
        <v/>
      </c>
      <c r="J68" s="350">
        <f>SUM(J65:J67)</f>
        <v/>
      </c>
      <c r="K68" s="349">
        <f>SUM(K65:K67)</f>
        <v/>
      </c>
      <c r="L68" s="350">
        <f>SUM(L65:L67)</f>
        <v/>
      </c>
      <c r="M68" s="350">
        <f>SUM(M65:M67)</f>
        <v/>
      </c>
      <c r="N68" s="350">
        <f>SUM(N65:N67)</f>
        <v/>
      </c>
      <c r="O68" s="350">
        <f>SUM(O65:O67)</f>
        <v/>
      </c>
      <c r="P68" s="349">
        <f>SUM(P65:P67)</f>
        <v/>
      </c>
      <c r="Q68" s="350">
        <f>SUM(Q65:Q67)</f>
        <v/>
      </c>
      <c r="R68" s="350">
        <f>SUM(R65:R67)</f>
        <v/>
      </c>
      <c r="S68" s="350">
        <f>SUM(S65:S67)</f>
        <v/>
      </c>
      <c r="T68" s="350">
        <f>SUM(T65:T67)</f>
        <v/>
      </c>
      <c r="U68" s="349">
        <f>SUM(U65:U67)</f>
        <v/>
      </c>
      <c r="V68" s="350">
        <f>SUM(V65:V67)</f>
        <v/>
      </c>
      <c r="W68" s="350">
        <f>SUM(W65:W67)</f>
        <v/>
      </c>
      <c r="X68" s="350">
        <f>SUM(X65:X67)</f>
        <v/>
      </c>
      <c r="Y68" s="351">
        <f>SUM(Y65:Y67)</f>
        <v/>
      </c>
      <c r="Z68" s="352">
        <f>SUM(Z65:Z67)</f>
        <v/>
      </c>
      <c r="AA68" s="350">
        <f>SUM(AA65:AA67)</f>
        <v/>
      </c>
      <c r="AB68" s="350">
        <f>SUM(AB65:AB67)</f>
        <v/>
      </c>
      <c r="AC68" s="350">
        <f>SUM(AC65:AC67)</f>
        <v/>
      </c>
      <c r="AD68" s="351">
        <f>SUM(AD65:AD67)</f>
        <v/>
      </c>
      <c r="AE68" s="352">
        <f>SUM(AE65:AE67)</f>
        <v/>
      </c>
      <c r="AF68" s="350">
        <f>SUM(AF65:AF67)</f>
        <v/>
      </c>
      <c r="AG68" s="350">
        <f>SUM(AG65:AG67)</f>
        <v/>
      </c>
      <c r="AH68" s="350">
        <f>SUM(AH65:AH67)</f>
        <v/>
      </c>
      <c r="AI68" s="351">
        <f>SUM(AI65:AI67)</f>
        <v/>
      </c>
      <c r="AJ68" s="352">
        <f>SUM(AJ65:AJ67)</f>
        <v/>
      </c>
      <c r="AK68" s="350">
        <f>SUM(AK65:AK67)</f>
        <v/>
      </c>
      <c r="AL68" s="353">
        <f>SUM(AL65:AL67)</f>
        <v/>
      </c>
      <c r="AM68" s="351" t="n"/>
      <c r="AN68" s="351" t="n"/>
      <c r="AO68" s="352" t="n"/>
      <c r="AP68" s="351" t="n"/>
      <c r="AQ68" s="351" t="n"/>
      <c r="AR68" s="351" t="n"/>
      <c r="AS68" s="351" t="n"/>
      <c r="AT68" s="352" t="n"/>
      <c r="AU68" s="352" t="n"/>
      <c r="AV68" s="352" t="n"/>
      <c r="AW68" s="352" t="n"/>
      <c r="AX68" s="22" t="n"/>
    </row>
    <row r="69" hidden="1" outlineLevel="1" customFormat="1" s="5">
      <c r="A69" s="36" t="inlineStr">
        <is>
          <t>Provision for taxes on income</t>
        </is>
      </c>
      <c r="B69" s="376" t="n"/>
      <c r="C69" s="343" t="n">
        <v>-6.379</v>
      </c>
      <c r="D69" s="343" t="n">
        <v>-9.763</v>
      </c>
      <c r="E69" s="343" t="n">
        <v>-3.375</v>
      </c>
      <c r="F69" s="343" t="n">
        <v>-8.186999999999999</v>
      </c>
      <c r="G69" s="228" t="n">
        <v>-0.754</v>
      </c>
      <c r="H69" s="228" t="n">
        <v>-2.258</v>
      </c>
      <c r="I69" s="228" t="n">
        <v>-1.08</v>
      </c>
      <c r="J69" s="228">
        <f>K69-SUM(G69:I69)</f>
        <v/>
      </c>
      <c r="K69" s="343" t="n">
        <v>-3.752</v>
      </c>
      <c r="L69" s="228" t="n">
        <v>-0.654</v>
      </c>
      <c r="M69" s="228" t="n">
        <v>0.076</v>
      </c>
      <c r="N69" s="228" t="n">
        <v>1.167</v>
      </c>
      <c r="O69" s="228">
        <f>P69-SUM(L69:N69)</f>
        <v/>
      </c>
      <c r="P69" s="343" t="n">
        <v>-18.267</v>
      </c>
      <c r="Q69" s="228" t="n">
        <v>-2.246</v>
      </c>
      <c r="R69" s="228" t="n">
        <v>-1.022</v>
      </c>
      <c r="S69" s="228" t="n">
        <v>-1.116</v>
      </c>
      <c r="T69" s="228">
        <f>U69-SUM(Q69:S69)</f>
        <v/>
      </c>
      <c r="U69" s="343" t="n">
        <v>18.312</v>
      </c>
      <c r="V69" s="228" t="n">
        <v>-2.36</v>
      </c>
      <c r="W69" s="228" t="n">
        <v>-0.046</v>
      </c>
      <c r="X69" s="228" t="n">
        <v>-0.874</v>
      </c>
      <c r="Y69" s="228">
        <f>Z69-SUM(V69:X69)</f>
        <v/>
      </c>
      <c r="Z69" s="343" t="n">
        <v>-5.81</v>
      </c>
      <c r="AA69" s="228" t="n">
        <v>1.632</v>
      </c>
      <c r="AB69" s="228" t="n">
        <v>-2.423</v>
      </c>
      <c r="AC69" s="228" t="n">
        <v>-2.117</v>
      </c>
      <c r="AD69" s="228">
        <f>AE69-SUM(AA69:AC69)</f>
        <v/>
      </c>
      <c r="AE69" s="343" t="n">
        <v>2.478</v>
      </c>
      <c r="AF69" s="228" t="n">
        <v>26.397</v>
      </c>
      <c r="AG69" s="228" t="n">
        <v>0.304</v>
      </c>
      <c r="AH69" s="228" t="n">
        <v>-3.522</v>
      </c>
      <c r="AI69" s="228" t="n">
        <v>-1.132</v>
      </c>
      <c r="AJ69" s="343" t="n">
        <v>22.047</v>
      </c>
      <c r="AK69" s="345" t="n">
        <v>-4.266</v>
      </c>
      <c r="AL69" s="322" t="n">
        <v>-6.024</v>
      </c>
      <c r="AM69" s="228" t="n"/>
      <c r="AN69" s="228" t="n"/>
      <c r="AO69" s="343" t="n"/>
      <c r="AP69" s="228" t="n"/>
      <c r="AQ69" s="228" t="n"/>
      <c r="AR69" s="228" t="n"/>
      <c r="AS69" s="228" t="n"/>
      <c r="AT69" s="343" t="n"/>
      <c r="AU69" s="343" t="n"/>
      <c r="AV69" s="343" t="n"/>
      <c r="AW69" s="343" t="n"/>
      <c r="AX69" s="228" t="n"/>
    </row>
    <row r="70" hidden="1" outlineLevel="1" customFormat="1" s="9">
      <c r="A70" s="379" t="inlineStr">
        <is>
          <t>Net (loss) income</t>
        </is>
      </c>
      <c r="B70" s="380" t="n"/>
      <c r="C70" s="381">
        <f>SUM(C68:C69)</f>
        <v/>
      </c>
      <c r="D70" s="381">
        <f>SUM(D68:D69)</f>
        <v/>
      </c>
      <c r="E70" s="381">
        <f>SUM(E68:E69)</f>
        <v/>
      </c>
      <c r="F70" s="381">
        <f>SUM(F68:F69)</f>
        <v/>
      </c>
      <c r="G70" s="382">
        <f>SUM(G68:G69)</f>
        <v/>
      </c>
      <c r="H70" s="382">
        <f>SUM(H68:H69)</f>
        <v/>
      </c>
      <c r="I70" s="382">
        <f>SUM(I68:I69)</f>
        <v/>
      </c>
      <c r="J70" s="382">
        <f>SUM(J68:J69)</f>
        <v/>
      </c>
      <c r="K70" s="381">
        <f>SUM(K68:K69)</f>
        <v/>
      </c>
      <c r="L70" s="382">
        <f>SUM(L68:L69)</f>
        <v/>
      </c>
      <c r="M70" s="382">
        <f>SUM(M68:M69)</f>
        <v/>
      </c>
      <c r="N70" s="382">
        <f>SUM(N68:N69)</f>
        <v/>
      </c>
      <c r="O70" s="382">
        <f>SUM(O68:O69)</f>
        <v/>
      </c>
      <c r="P70" s="381">
        <f>SUM(P68:P69)</f>
        <v/>
      </c>
      <c r="Q70" s="382">
        <f>SUM(Q68:Q69)</f>
        <v/>
      </c>
      <c r="R70" s="382">
        <f>SUM(R68:R69)</f>
        <v/>
      </c>
      <c r="S70" s="382">
        <f>SUM(S68:S69)</f>
        <v/>
      </c>
      <c r="T70" s="382">
        <f>SUM(T68:T69)</f>
        <v/>
      </c>
      <c r="U70" s="381">
        <f>SUM(U68:U69)</f>
        <v/>
      </c>
      <c r="V70" s="382">
        <f>SUM(V68:V69)</f>
        <v/>
      </c>
      <c r="W70" s="382">
        <f>SUM(W68:W69)</f>
        <v/>
      </c>
      <c r="X70" s="382">
        <f>SUM(X68:X69)</f>
        <v/>
      </c>
      <c r="Y70" s="383">
        <f>SUM(Y68:Y69)</f>
        <v/>
      </c>
      <c r="Z70" s="384">
        <f>SUM(Z68:Z69)</f>
        <v/>
      </c>
      <c r="AA70" s="382">
        <f>SUM(AA68:AA69)</f>
        <v/>
      </c>
      <c r="AB70" s="382">
        <f>SUM(AB68:AB69)</f>
        <v/>
      </c>
      <c r="AC70" s="382">
        <f>SUM(AC68:AC69)</f>
        <v/>
      </c>
      <c r="AD70" s="383">
        <f>SUM(AD68:AD69)</f>
        <v/>
      </c>
      <c r="AE70" s="384">
        <f>SUM(AE68:AE69)</f>
        <v/>
      </c>
      <c r="AF70" s="382">
        <f>SUM(AF68:AF69)</f>
        <v/>
      </c>
      <c r="AG70" s="382">
        <f>SUM(AG68:AG69)</f>
        <v/>
      </c>
      <c r="AH70" s="382">
        <f>SUM(AH68:AH69)</f>
        <v/>
      </c>
      <c r="AI70" s="383">
        <f>SUM(AI68:AI69)</f>
        <v/>
      </c>
      <c r="AJ70" s="384">
        <f>SUM(AJ68:AJ69)</f>
        <v/>
      </c>
      <c r="AK70" s="382">
        <f>SUM(AK68:AK69)</f>
        <v/>
      </c>
      <c r="AL70" s="385">
        <f>SUM(AL68:AL69)</f>
        <v/>
      </c>
      <c r="AM70" s="383" t="n"/>
      <c r="AN70" s="383" t="n"/>
      <c r="AO70" s="384" t="n"/>
      <c r="AP70" s="383" t="n"/>
      <c r="AQ70" s="383" t="n"/>
      <c r="AR70" s="383" t="n"/>
      <c r="AS70" s="383" t="n"/>
      <c r="AT70" s="384" t="n"/>
      <c r="AU70" s="384" t="n"/>
      <c r="AV70" s="384" t="n"/>
      <c r="AW70" s="384" t="n"/>
      <c r="AX70" s="22" t="n"/>
    </row>
    <row r="71" hidden="1" outlineLevel="1" customFormat="1" s="5">
      <c r="A71" s="36" t="n"/>
      <c r="B71" s="376" t="n"/>
      <c r="C71" s="343" t="n"/>
      <c r="D71" s="343" t="n"/>
      <c r="E71" s="343" t="n"/>
      <c r="F71" s="343" t="n"/>
      <c r="G71" s="228" t="n"/>
      <c r="H71" s="228" t="n"/>
      <c r="I71" s="228" t="n"/>
      <c r="J71" s="228" t="n"/>
      <c r="K71" s="343" t="n"/>
      <c r="L71" s="228" t="n"/>
      <c r="M71" s="228" t="n"/>
      <c r="N71" s="228" t="n"/>
      <c r="O71" s="228" t="n"/>
      <c r="P71" s="343" t="n"/>
      <c r="Q71" s="228" t="n"/>
      <c r="R71" s="228" t="n"/>
      <c r="S71" s="228" t="n"/>
      <c r="T71" s="228" t="n"/>
      <c r="U71" s="343" t="n"/>
      <c r="V71" s="228" t="n"/>
      <c r="W71" s="228" t="n"/>
      <c r="X71" s="228" t="n"/>
      <c r="Y71" s="228" t="n"/>
      <c r="Z71" s="343" t="n"/>
      <c r="AA71" s="228" t="n"/>
      <c r="AB71" s="228" t="n"/>
      <c r="AC71" s="228" t="n"/>
      <c r="AD71" s="228" t="n"/>
      <c r="AE71" s="343" t="n"/>
      <c r="AF71" s="228" t="n"/>
      <c r="AG71" s="228" t="n"/>
      <c r="AH71" s="228" t="n"/>
      <c r="AI71" s="228" t="n"/>
      <c r="AJ71" s="343" t="n"/>
      <c r="AK71" s="228" t="n"/>
      <c r="AL71" s="322" t="n"/>
      <c r="AM71" s="228" t="n"/>
      <c r="AN71" s="228" t="n"/>
      <c r="AO71" s="343" t="n"/>
      <c r="AP71" s="228" t="n"/>
      <c r="AQ71" s="228" t="n"/>
      <c r="AR71" s="228" t="n"/>
      <c r="AS71" s="228" t="n"/>
      <c r="AT71" s="343" t="n"/>
      <c r="AU71" s="343" t="n"/>
      <c r="AV71" s="343" t="n"/>
      <c r="AW71" s="343" t="n"/>
      <c r="AX71" s="228" t="n"/>
    </row>
    <row r="72" hidden="1" outlineLevel="1" customFormat="1" s="5">
      <c r="A72" s="386" t="inlineStr">
        <is>
          <t>IS Check</t>
        </is>
      </c>
      <c r="B72" s="386" t="n"/>
      <c r="C72" s="387">
        <f>IF(ISBLANK(INDEX(MO_IS_FirstRow,0,COLUMN())),0,ROUND(C70-C288,6))</f>
        <v/>
      </c>
      <c r="D72" s="387">
        <f>IF(ISBLANK(INDEX(MO_IS_FirstRow,0,COLUMN())),0,ROUND(D70-D288,6))</f>
        <v/>
      </c>
      <c r="E72" s="387">
        <f>IF(ISBLANK(INDEX(MO_IS_FirstRow,0,COLUMN())),0,ROUND(E70-E288,6))</f>
        <v/>
      </c>
      <c r="F72" s="387">
        <f>IF(ISBLANK(INDEX(MO_IS_FirstRow,0,COLUMN())),0,ROUND(F70-F288,6))</f>
        <v/>
      </c>
      <c r="G72" s="387">
        <f>IF(ISBLANK(INDEX(MO_IS_FirstRow,0,COLUMN())),0,ROUND(G70-G288,6))</f>
        <v/>
      </c>
      <c r="H72" s="387">
        <f>IF(ISBLANK(INDEX(MO_IS_FirstRow,0,COLUMN())),0,ROUND(H70-H288,6))</f>
        <v/>
      </c>
      <c r="I72" s="387">
        <f>IF(ISBLANK(INDEX(MO_IS_FirstRow,0,COLUMN())),0,ROUND(I70-I288,6))</f>
        <v/>
      </c>
      <c r="J72" s="387">
        <f>IF(ISBLANK(INDEX(MO_IS_FirstRow,0,COLUMN())),0,ROUND(J70-J288,6))</f>
        <v/>
      </c>
      <c r="K72" s="387">
        <f>IF(ISBLANK(INDEX(MO_IS_FirstRow,0,COLUMN())),0,ROUND(K70-K288,6))</f>
        <v/>
      </c>
      <c r="L72" s="387">
        <f>IF(ISBLANK(INDEX(MO_IS_FirstRow,0,COLUMN())),0,ROUND(L70-L288,6))</f>
        <v/>
      </c>
      <c r="M72" s="387">
        <f>IF(ISBLANK(INDEX(MO_IS_FirstRow,0,COLUMN())),0,ROUND(M70-M288,6))</f>
        <v/>
      </c>
      <c r="N72" s="387">
        <f>IF(ISBLANK(INDEX(MO_IS_FirstRow,0,COLUMN())),0,ROUND(N70-N288,6))</f>
        <v/>
      </c>
      <c r="O72" s="387">
        <f>IF(ISBLANK(INDEX(MO_IS_FirstRow,0,COLUMN())),0,ROUND(O70-O288,6))</f>
        <v/>
      </c>
      <c r="P72" s="387">
        <f>IF(ISBLANK(INDEX(MO_IS_FirstRow,0,COLUMN())),0,ROUND(P70-P288,6))</f>
        <v/>
      </c>
      <c r="Q72" s="387">
        <f>IF(ISBLANK(INDEX(MO_IS_FirstRow,0,COLUMN())),0,ROUND(Q70-Q288,6))</f>
        <v/>
      </c>
      <c r="R72" s="387">
        <f>IF(ISBLANK(INDEX(MO_IS_FirstRow,0,COLUMN())),0,ROUND(R70-R288,6))</f>
        <v/>
      </c>
      <c r="S72" s="387">
        <f>IF(ISBLANK(INDEX(MO_IS_FirstRow,0,COLUMN())),0,ROUND(S70-S288,6))</f>
        <v/>
      </c>
      <c r="T72" s="387">
        <f>IF(ISBLANK(INDEX(MO_IS_FirstRow,0,COLUMN())),0,ROUND(T70-T288,6))</f>
        <v/>
      </c>
      <c r="U72" s="387">
        <f>IF(ISBLANK(INDEX(MO_IS_FirstRow,0,COLUMN())),0,ROUND(U70-U288,6))</f>
        <v/>
      </c>
      <c r="V72" s="387">
        <f>IF(ISBLANK(INDEX(MO_IS_FirstRow,0,COLUMN())),0,ROUND(V70-V288,6))</f>
        <v/>
      </c>
      <c r="W72" s="387">
        <f>IF(ISBLANK(INDEX(MO_IS_FirstRow,0,COLUMN())),0,ROUND(W70-W288,6))</f>
        <v/>
      </c>
      <c r="X72" s="387">
        <f>IF(ISBLANK(INDEX(MO_IS_FirstRow,0,COLUMN())),0,ROUND(X70-X288,6))</f>
        <v/>
      </c>
      <c r="Y72" s="387">
        <f>IF(ISBLANK(INDEX(MO_IS_FirstRow,0,COLUMN())),0,ROUND(Y70-Y288,6))</f>
        <v/>
      </c>
      <c r="Z72" s="387">
        <f>IF(ISBLANK(INDEX(MO_IS_FirstRow,0,COLUMN())),0,ROUND(Z70-Z288,6))</f>
        <v/>
      </c>
      <c r="AA72" s="387">
        <f>IF(ISBLANK(INDEX(MO_IS_FirstRow,0,COLUMN())),0,ROUND(AA70-AA288,6))</f>
        <v/>
      </c>
      <c r="AB72" s="387">
        <f>IF(ISBLANK(INDEX(MO_IS_FirstRow,0,COLUMN())),0,ROUND(AB70-AB288,6))</f>
        <v/>
      </c>
      <c r="AC72" s="387">
        <f>IF(ISBLANK(INDEX(MO_IS_FirstRow,0,COLUMN())),0,ROUND(AC70-AC288,6))</f>
        <v/>
      </c>
      <c r="AD72" s="387">
        <f>IF(ISBLANK(INDEX(MO_IS_FirstRow,0,COLUMN())),0,ROUND(AD70-AD288,6))</f>
        <v/>
      </c>
      <c r="AE72" s="387">
        <f>IF(ISBLANK(INDEX(MO_IS_FirstRow,0,COLUMN())),0,ROUND(AE70-AE288,6))</f>
        <v/>
      </c>
      <c r="AF72" s="387">
        <f>IF(ISBLANK(INDEX(MO_IS_FirstRow,0,COLUMN())),0,ROUND(AF70-AF288,6))</f>
        <v/>
      </c>
      <c r="AG72" s="387">
        <f>IF(ISBLANK(INDEX(MO_IS_FirstRow,0,COLUMN())),0,ROUND(AG70-AG288,6))</f>
        <v/>
      </c>
      <c r="AH72" s="387">
        <f>IF(ISBLANK(INDEX(MO_IS_FirstRow,0,COLUMN())),0,ROUND(AH70-AH288,6))</f>
        <v/>
      </c>
      <c r="AI72" s="387">
        <f>IF(ISBLANK(INDEX(MO_IS_FirstRow,0,COLUMN())),0,ROUND(AI70-AI288,6))</f>
        <v/>
      </c>
      <c r="AJ72" s="387">
        <f>IF(ISBLANK(INDEX(MO_IS_FirstRow,0,COLUMN())),0,ROUND(AJ70-AJ288,6))</f>
        <v/>
      </c>
      <c r="AK72" s="387">
        <f>IF(ISBLANK(INDEX(MO_IS_FirstRow,0,COLUMN())),0,ROUND(AK70-AK288,6))</f>
        <v/>
      </c>
      <c r="AL72" s="388">
        <f>IF(ISBLANK(INDEX(MO_IS_FirstRow,0,COLUMN())),0,ROUND(AL70-AL288,6))</f>
        <v/>
      </c>
      <c r="AM72" s="387" t="n"/>
      <c r="AN72" s="387" t="n"/>
      <c r="AO72" s="387" t="n"/>
      <c r="AP72" s="387" t="n"/>
      <c r="AQ72" s="387" t="n"/>
      <c r="AR72" s="387" t="n"/>
      <c r="AS72" s="387" t="n"/>
      <c r="AT72" s="387" t="n"/>
      <c r="AU72" s="387" t="n"/>
      <c r="AV72" s="387" t="n"/>
      <c r="AW72" s="387" t="n"/>
      <c r="AX72" s="228" t="n"/>
    </row>
    <row r="73" collapsed="1" customFormat="1" s="5">
      <c r="A73" s="36" t="n"/>
      <c r="B73" s="376" t="n"/>
      <c r="C73" s="343" t="n"/>
      <c r="D73" s="343" t="n"/>
      <c r="E73" s="343" t="n"/>
      <c r="F73" s="343" t="n"/>
      <c r="G73" s="228" t="n"/>
      <c r="H73" s="228" t="n"/>
      <c r="I73" s="228" t="n"/>
      <c r="J73" s="228" t="n"/>
      <c r="K73" s="343" t="n"/>
      <c r="L73" s="228" t="n"/>
      <c r="M73" s="228" t="n"/>
      <c r="N73" s="228" t="n"/>
      <c r="O73" s="228" t="n"/>
      <c r="P73" s="343" t="n"/>
      <c r="Q73" s="228" t="n"/>
      <c r="R73" s="228" t="n"/>
      <c r="S73" s="228" t="n"/>
      <c r="T73" s="228" t="n"/>
      <c r="U73" s="343" t="n"/>
      <c r="V73" s="228" t="n"/>
      <c r="W73" s="228" t="n"/>
      <c r="X73" s="228" t="n"/>
      <c r="Y73" s="228" t="n"/>
      <c r="Z73" s="343" t="n"/>
      <c r="AA73" s="228" t="n"/>
      <c r="AB73" s="228" t="n"/>
      <c r="AC73" s="228" t="n"/>
      <c r="AD73" s="228" t="n"/>
      <c r="AE73" s="343" t="n"/>
      <c r="AF73" s="228" t="n"/>
      <c r="AG73" s="228" t="n"/>
      <c r="AH73" s="228" t="n"/>
      <c r="AI73" s="228" t="n"/>
      <c r="AJ73" s="343" t="n"/>
      <c r="AK73" s="228" t="n"/>
      <c r="AL73" s="322" t="n"/>
      <c r="AM73" s="228" t="n"/>
      <c r="AN73" s="228" t="n"/>
      <c r="AO73" s="343" t="n"/>
      <c r="AP73" s="228" t="n"/>
      <c r="AQ73" s="228" t="n"/>
      <c r="AR73" s="228" t="n"/>
      <c r="AS73" s="228" t="n"/>
      <c r="AT73" s="343" t="n"/>
      <c r="AU73" s="343" t="n"/>
      <c r="AV73" s="343" t="n"/>
      <c r="AW73" s="343" t="n"/>
      <c r="AX73" s="228" t="n"/>
    </row>
    <row r="74" customFormat="1" s="9">
      <c r="A74" s="45" t="inlineStr">
        <is>
          <t>Adjusted Numbers AS REPORTED</t>
        </is>
      </c>
      <c r="B74" s="45" t="n"/>
      <c r="C74" s="45" t="n"/>
      <c r="D74" s="45" t="n"/>
      <c r="E74" s="45" t="n"/>
      <c r="F74" s="45" t="n"/>
      <c r="G74" s="45" t="n"/>
      <c r="H74" s="45" t="n"/>
      <c r="I74" s="45" t="n"/>
      <c r="J74" s="45" t="n"/>
      <c r="K74" s="45" t="n"/>
      <c r="L74" s="45" t="n"/>
      <c r="M74" s="45" t="n"/>
      <c r="N74" s="45" t="n"/>
      <c r="O74" s="45" t="n"/>
      <c r="P74" s="45" t="n"/>
      <c r="Q74" s="45" t="n"/>
      <c r="R74" s="45" t="n"/>
      <c r="S74" s="45" t="n"/>
      <c r="T74" s="45" t="n"/>
      <c r="U74" s="45" t="n"/>
      <c r="V74" s="45" t="n"/>
      <c r="W74" s="45" t="n"/>
      <c r="X74" s="45" t="n"/>
      <c r="Y74" s="45" t="n"/>
      <c r="Z74" s="45" t="n"/>
      <c r="AA74" s="45" t="n"/>
      <c r="AB74" s="45" t="n"/>
      <c r="AC74" s="45" t="n"/>
      <c r="AD74" s="45" t="n"/>
      <c r="AE74" s="45" t="n"/>
      <c r="AF74" s="45" t="n"/>
      <c r="AG74" s="45" t="n"/>
      <c r="AH74" s="45" t="n"/>
      <c r="AI74" s="45" t="n"/>
      <c r="AJ74" s="45" t="n"/>
      <c r="AK74" s="45" t="n"/>
      <c r="AL74" s="306" t="n"/>
      <c r="AM74" s="45" t="n"/>
      <c r="AN74" s="45" t="n"/>
      <c r="AO74" s="45" t="n"/>
      <c r="AP74" s="45" t="n"/>
      <c r="AQ74" s="45" t="n"/>
      <c r="AR74" s="45" t="n"/>
      <c r="AS74" s="45" t="n"/>
      <c r="AT74" s="45" t="n"/>
      <c r="AU74" s="45" t="n"/>
      <c r="AV74" s="45" t="n"/>
      <c r="AW74" s="45" t="n"/>
      <c r="AX74" s="22" t="n"/>
    </row>
    <row r="75" hidden="1" outlineLevel="1" customFormat="1" s="9">
      <c r="A75" s="347" t="inlineStr">
        <is>
          <t>GAAP (loss) net income</t>
        </is>
      </c>
      <c r="B75" s="377" t="n"/>
      <c r="C75" s="349">
        <f>C70</f>
        <v/>
      </c>
      <c r="D75" s="349">
        <f>D70</f>
        <v/>
      </c>
      <c r="E75" s="349">
        <f>E70</f>
        <v/>
      </c>
      <c r="F75" s="349">
        <f>F70</f>
        <v/>
      </c>
      <c r="G75" s="350">
        <f>G70</f>
        <v/>
      </c>
      <c r="H75" s="350">
        <f>H70</f>
        <v/>
      </c>
      <c r="I75" s="350">
        <f>I70</f>
        <v/>
      </c>
      <c r="J75" s="350">
        <f>J70</f>
        <v/>
      </c>
      <c r="K75" s="349">
        <f>K70</f>
        <v/>
      </c>
      <c r="L75" s="350">
        <f>L70</f>
        <v/>
      </c>
      <c r="M75" s="350">
        <f>M70</f>
        <v/>
      </c>
      <c r="N75" s="350">
        <f>N70</f>
        <v/>
      </c>
      <c r="O75" s="350">
        <f>O70</f>
        <v/>
      </c>
      <c r="P75" s="349">
        <f>P70</f>
        <v/>
      </c>
      <c r="Q75" s="350">
        <f>Q70</f>
        <v/>
      </c>
      <c r="R75" s="350">
        <f>R70</f>
        <v/>
      </c>
      <c r="S75" s="350">
        <f>S70</f>
        <v/>
      </c>
      <c r="T75" s="350">
        <f>T70</f>
        <v/>
      </c>
      <c r="U75" s="349">
        <f>U70</f>
        <v/>
      </c>
      <c r="V75" s="350">
        <f>V70</f>
        <v/>
      </c>
      <c r="W75" s="350">
        <f>W70</f>
        <v/>
      </c>
      <c r="X75" s="350">
        <f>X70</f>
        <v/>
      </c>
      <c r="Y75" s="350">
        <f>Y70</f>
        <v/>
      </c>
      <c r="Z75" s="349">
        <f>Z70</f>
        <v/>
      </c>
      <c r="AA75" s="350">
        <f>AA70</f>
        <v/>
      </c>
      <c r="AB75" s="350">
        <f>AB70</f>
        <v/>
      </c>
      <c r="AC75" s="350">
        <f>AC70</f>
        <v/>
      </c>
      <c r="AD75" s="350">
        <f>AD70</f>
        <v/>
      </c>
      <c r="AE75" s="349">
        <f>AE70</f>
        <v/>
      </c>
      <c r="AF75" s="350">
        <f>AF70</f>
        <v/>
      </c>
      <c r="AG75" s="350">
        <f>AG70</f>
        <v/>
      </c>
      <c r="AH75" s="350">
        <f>AH70</f>
        <v/>
      </c>
      <c r="AI75" s="350">
        <f>AI70</f>
        <v/>
      </c>
      <c r="AJ75" s="349">
        <f>AJ70</f>
        <v/>
      </c>
      <c r="AK75" s="350">
        <f>AK70</f>
        <v/>
      </c>
      <c r="AL75" s="353">
        <f>AL70</f>
        <v/>
      </c>
      <c r="AM75" s="350" t="n"/>
      <c r="AN75" s="350" t="n"/>
      <c r="AO75" s="349" t="n"/>
      <c r="AP75" s="350" t="n"/>
      <c r="AQ75" s="350" t="n"/>
      <c r="AR75" s="350" t="n"/>
      <c r="AS75" s="350" t="n"/>
      <c r="AT75" s="349" t="n"/>
      <c r="AU75" s="349" t="n"/>
      <c r="AV75" s="349" t="n"/>
      <c r="AW75" s="349" t="n"/>
      <c r="AX75" s="22" t="n"/>
    </row>
    <row r="76" hidden="1" outlineLevel="1" customFormat="1" s="5">
      <c r="A76" s="36" t="inlineStr">
        <is>
          <t>SBC expense</t>
        </is>
      </c>
      <c r="B76" s="376" t="n"/>
      <c r="C76" s="343" t="n">
        <v>10.736</v>
      </c>
      <c r="D76" s="343" t="n">
        <v>14.101</v>
      </c>
      <c r="E76" s="343" t="n">
        <v>21.412</v>
      </c>
      <c r="F76" s="343" t="n">
        <v>35.019</v>
      </c>
      <c r="G76" s="228" t="n">
        <v>10.375</v>
      </c>
      <c r="H76" s="228" t="n">
        <v>11.165</v>
      </c>
      <c r="I76" s="228" t="n">
        <v>11.932</v>
      </c>
      <c r="J76" s="228">
        <f>K76-SUM(G76:I76)</f>
        <v/>
      </c>
      <c r="K76" s="343" t="n">
        <v>45.138</v>
      </c>
      <c r="L76" s="228" t="n">
        <v>11.638</v>
      </c>
      <c r="M76" s="228" t="n">
        <v>11.947</v>
      </c>
      <c r="N76" s="228" t="n">
        <v>11.849</v>
      </c>
      <c r="O76" s="228">
        <f>P76-SUM(L76:N76)</f>
        <v/>
      </c>
      <c r="P76" s="343" t="n">
        <v>47.235</v>
      </c>
      <c r="Q76" s="228" t="n">
        <v>11.718</v>
      </c>
      <c r="R76" s="228" t="n">
        <v>13.286</v>
      </c>
      <c r="S76" s="228" t="n">
        <v>12.83</v>
      </c>
      <c r="T76" s="228">
        <f>U76-SUM(Q76:S76)</f>
        <v/>
      </c>
      <c r="U76" s="343" t="n">
        <v>50.764</v>
      </c>
      <c r="V76" s="228" t="n">
        <v>18.266</v>
      </c>
      <c r="W76" s="228" t="n">
        <v>18.094</v>
      </c>
      <c r="X76" s="228" t="n">
        <v>17.576</v>
      </c>
      <c r="Y76" s="228" t="n">
        <v>17.182</v>
      </c>
      <c r="Z76" s="343" t="n">
        <v>71.11799999999999</v>
      </c>
      <c r="AA76" s="228" t="n">
        <v>14.768</v>
      </c>
      <c r="AB76" s="228" t="n">
        <v>17.665</v>
      </c>
      <c r="AC76" s="228" t="n">
        <v>18.56</v>
      </c>
      <c r="AD76" s="228" t="n">
        <v>17.871</v>
      </c>
      <c r="AE76" s="343" t="n">
        <v>68.864</v>
      </c>
      <c r="AF76" s="228" t="n">
        <v>14.974</v>
      </c>
      <c r="AG76" s="228" t="n">
        <v>14.916</v>
      </c>
      <c r="AH76" s="228" t="n">
        <v>19.156</v>
      </c>
      <c r="AI76" s="228" t="n">
        <v>22.296</v>
      </c>
      <c r="AJ76" s="343" t="n">
        <v>71.342</v>
      </c>
      <c r="AK76" s="228" t="n">
        <v>24.242</v>
      </c>
      <c r="AL76" s="322" t="n">
        <v>26.949</v>
      </c>
      <c r="AM76" s="228" t="n"/>
      <c r="AN76" s="228" t="n"/>
      <c r="AO76" s="343" t="n"/>
      <c r="AP76" s="228" t="n"/>
      <c r="AQ76" s="228" t="n"/>
      <c r="AR76" s="228" t="n"/>
      <c r="AS76" s="228" t="n"/>
      <c r="AT76" s="343" t="n"/>
      <c r="AU76" s="343" t="n"/>
      <c r="AV76" s="343" t="n"/>
      <c r="AW76" s="343" t="n"/>
      <c r="AX76" s="228" t="n"/>
    </row>
    <row r="77" hidden="1" outlineLevel="1" customFormat="1" s="5">
      <c r="A77" s="36" t="inlineStr">
        <is>
          <t>Amortization of acquired intangibles</t>
        </is>
      </c>
      <c r="B77" s="376" t="n"/>
      <c r="C77" s="343" t="n">
        <v>0</v>
      </c>
      <c r="D77" s="343" t="n">
        <v>0</v>
      </c>
      <c r="E77" s="343" t="n">
        <v>9.815</v>
      </c>
      <c r="F77" s="343" t="n">
        <v>9.276999999999999</v>
      </c>
      <c r="G77" s="228" t="n">
        <v>2.396</v>
      </c>
      <c r="H77" s="228" t="n">
        <v>2.514</v>
      </c>
      <c r="I77" s="228" t="n">
        <v>4.571</v>
      </c>
      <c r="J77" s="228">
        <f>K77-SUM(G77:I77)</f>
        <v/>
      </c>
      <c r="K77" s="343" t="n">
        <v>14.006</v>
      </c>
      <c r="L77" s="228" t="n">
        <v>3.505</v>
      </c>
      <c r="M77" s="228" t="n">
        <v>3.012</v>
      </c>
      <c r="N77" s="228" t="n">
        <v>2.885</v>
      </c>
      <c r="O77" s="228">
        <f>P77-SUM(L77:N77)</f>
        <v/>
      </c>
      <c r="P77" s="343" t="n">
        <v>12.11</v>
      </c>
      <c r="Q77" s="228" t="n">
        <v>2.253</v>
      </c>
      <c r="R77" s="228" t="n">
        <v>2.465</v>
      </c>
      <c r="S77" s="228" t="n">
        <v>2.464</v>
      </c>
      <c r="T77" s="228">
        <f>U77-SUM(Q77:S77)</f>
        <v/>
      </c>
      <c r="U77" s="343" t="n">
        <v>9.646000000000001</v>
      </c>
      <c r="V77" s="228" t="n">
        <v>11.647</v>
      </c>
      <c r="W77" s="228" t="n">
        <v>15.961</v>
      </c>
      <c r="X77" s="228" t="n">
        <v>15.944</v>
      </c>
      <c r="Y77" s="228" t="n">
        <v>13.066</v>
      </c>
      <c r="Z77" s="343" t="n">
        <v>56.613</v>
      </c>
      <c r="AA77" s="228" t="n">
        <v>13.01</v>
      </c>
      <c r="AB77" s="228" t="n">
        <v>13.038</v>
      </c>
      <c r="AC77" s="228" t="n">
        <v>13.067</v>
      </c>
      <c r="AD77" s="228" t="n">
        <v>13.067</v>
      </c>
      <c r="AE77" s="343" t="n">
        <v>52.18</v>
      </c>
      <c r="AF77" s="228" t="n">
        <v>13.305</v>
      </c>
      <c r="AG77" s="228" t="n">
        <v>13.333</v>
      </c>
      <c r="AH77" s="228" t="n">
        <v>12.455</v>
      </c>
      <c r="AI77" s="228" t="n">
        <v>11.993</v>
      </c>
      <c r="AJ77" s="343" t="n">
        <v>51.086</v>
      </c>
      <c r="AK77" s="228" t="n">
        <v>11.744</v>
      </c>
      <c r="AL77" s="322" t="n">
        <v>11.496</v>
      </c>
      <c r="AM77" s="228" t="n"/>
      <c r="AN77" s="228" t="n"/>
      <c r="AO77" s="343" t="n"/>
      <c r="AP77" s="228" t="n"/>
      <c r="AQ77" s="228" t="n"/>
      <c r="AR77" s="228" t="n"/>
      <c r="AS77" s="228" t="n"/>
      <c r="AT77" s="343" t="n"/>
      <c r="AU77" s="343" t="n"/>
      <c r="AV77" s="343" t="n"/>
      <c r="AW77" s="343" t="n"/>
      <c r="AX77" s="228" t="n"/>
    </row>
    <row r="78" hidden="1" outlineLevel="1" customFormat="1" s="5">
      <c r="A78" s="36" t="inlineStr">
        <is>
          <t>Settlement costs</t>
        </is>
      </c>
      <c r="B78" s="376" t="n"/>
      <c r="C78" s="343" t="n">
        <v>0</v>
      </c>
      <c r="D78" s="343" t="n">
        <v>0</v>
      </c>
      <c r="E78" s="343" t="n">
        <v>0</v>
      </c>
      <c r="F78" s="343" t="n">
        <v>0</v>
      </c>
      <c r="G78" s="228" t="n">
        <v>0</v>
      </c>
      <c r="H78" s="228" t="n">
        <v>0</v>
      </c>
      <c r="I78" s="228" t="n">
        <v>0</v>
      </c>
      <c r="J78" s="228">
        <f>K78-SUM(G78:I78)</f>
        <v/>
      </c>
      <c r="K78" s="343" t="n">
        <v>0</v>
      </c>
      <c r="L78" s="228" t="n">
        <v>0</v>
      </c>
      <c r="M78" s="228" t="n">
        <v>0</v>
      </c>
      <c r="N78" s="228" t="n">
        <v>1.25</v>
      </c>
      <c r="O78" s="228">
        <f>P78-SUM(L78:N78)</f>
        <v/>
      </c>
      <c r="P78" s="343" t="n">
        <v>1.25</v>
      </c>
      <c r="Q78" s="228" t="n">
        <v>0</v>
      </c>
      <c r="R78" s="228" t="n">
        <v>0</v>
      </c>
      <c r="S78" s="228" t="n">
        <v>0</v>
      </c>
      <c r="T78" s="228">
        <f>U78-SUM(Q78:S78)</f>
        <v/>
      </c>
      <c r="U78" s="343" t="n">
        <v>0</v>
      </c>
      <c r="V78" s="228" t="n">
        <v>5.106</v>
      </c>
      <c r="W78" s="228" t="n"/>
      <c r="X78" s="228" t="n"/>
      <c r="Y78" s="228" t="n">
        <v>-0.125</v>
      </c>
      <c r="Z78" s="343" t="n">
        <v>4.981</v>
      </c>
      <c r="AA78" s="228" t="n">
        <v>0</v>
      </c>
      <c r="AB78" s="228" t="n"/>
      <c r="AC78" s="228" t="n"/>
      <c r="AD78" s="228" t="n"/>
      <c r="AE78" s="343" t="n"/>
      <c r="AF78" s="228" t="n"/>
      <c r="AG78" s="228" t="n">
        <v>9.161</v>
      </c>
      <c r="AH78" s="228" t="n"/>
      <c r="AI78" s="228" t="n"/>
      <c r="AJ78" s="343" t="n">
        <v>9.161</v>
      </c>
      <c r="AK78" s="228" t="n"/>
      <c r="AL78" s="322" t="n"/>
      <c r="AM78" s="228" t="n"/>
      <c r="AN78" s="228" t="n"/>
      <c r="AO78" s="343" t="n"/>
      <c r="AP78" s="228" t="n"/>
      <c r="AQ78" s="228" t="n"/>
      <c r="AR78" s="228" t="n"/>
      <c r="AS78" s="228" t="n"/>
      <c r="AT78" s="343" t="n"/>
      <c r="AU78" s="343" t="n"/>
      <c r="AV78" s="343" t="n"/>
      <c r="AW78" s="343" t="n"/>
      <c r="AX78" s="228" t="n"/>
    </row>
    <row r="79" hidden="1" outlineLevel="1" customFormat="1" s="5">
      <c r="A79" s="36" t="inlineStr">
        <is>
          <t>Acquisition related charges</t>
        </is>
      </c>
      <c r="B79" s="376" t="n"/>
      <c r="C79" s="343" t="n">
        <v>0</v>
      </c>
      <c r="D79" s="343" t="n">
        <v>0.861</v>
      </c>
      <c r="E79" s="343" t="n">
        <v>4.394</v>
      </c>
      <c r="F79" s="343" t="n">
        <v>0</v>
      </c>
      <c r="G79" s="228" t="n">
        <v>0</v>
      </c>
      <c r="H79" s="228" t="n">
        <v>1.828</v>
      </c>
      <c r="I79" s="228" t="n">
        <v>1.965</v>
      </c>
      <c r="J79" s="228">
        <f>K79-SUM(G79:I79)</f>
        <v/>
      </c>
      <c r="K79" s="343" t="n">
        <v>4.713</v>
      </c>
      <c r="L79" s="228" t="n">
        <v>0.72</v>
      </c>
      <c r="M79" s="228" t="n">
        <v>1.044</v>
      </c>
      <c r="N79" s="228" t="n">
        <v>1.671</v>
      </c>
      <c r="O79" s="228">
        <f>P79-SUM(L79:N79)</f>
        <v/>
      </c>
      <c r="P79" s="343" t="n">
        <v>4.405</v>
      </c>
      <c r="Q79" s="228" t="n">
        <v>0.988</v>
      </c>
      <c r="R79" s="228" t="n">
        <v>1.065</v>
      </c>
      <c r="S79" s="228" t="n">
        <v>1.032</v>
      </c>
      <c r="T79" s="228">
        <f>U79-SUM(Q79:S79)</f>
        <v/>
      </c>
      <c r="U79" s="343" t="n">
        <v>4.338</v>
      </c>
      <c r="V79" s="228" t="n">
        <v>10.18</v>
      </c>
      <c r="W79" s="228" t="n">
        <v>4.86</v>
      </c>
      <c r="X79" s="228" t="n">
        <v>1.221</v>
      </c>
      <c r="Y79" s="228" t="n">
        <v>0.884</v>
      </c>
      <c r="Z79" s="343" t="n">
        <v>17.145</v>
      </c>
      <c r="AA79" s="228" t="n">
        <v>0.477</v>
      </c>
      <c r="AB79" s="228" t="n">
        <v>0.153</v>
      </c>
      <c r="AC79" s="228" t="n">
        <v>0.29</v>
      </c>
      <c r="AD79" s="228" t="n">
        <v>1.748</v>
      </c>
      <c r="AE79" s="343" t="n">
        <v>2.669</v>
      </c>
      <c r="AF79" s="228" t="n">
        <v>4.278</v>
      </c>
      <c r="AG79" s="228" t="n">
        <v>10.502</v>
      </c>
      <c r="AH79" s="228" t="n">
        <v>1.125</v>
      </c>
      <c r="AI79" s="228" t="n">
        <v>0.345</v>
      </c>
      <c r="AJ79" s="343" t="n">
        <v>16.249</v>
      </c>
      <c r="AK79" s="228" t="n">
        <v>4.774</v>
      </c>
      <c r="AL79" s="322" t="n">
        <v>3.773</v>
      </c>
      <c r="AM79" s="228" t="n"/>
      <c r="AN79" s="228" t="n"/>
      <c r="AO79" s="343" t="n"/>
      <c r="AP79" s="228" t="n"/>
      <c r="AQ79" s="228" t="n"/>
      <c r="AR79" s="228" t="n"/>
      <c r="AS79" s="228" t="n"/>
      <c r="AT79" s="343" t="n"/>
      <c r="AU79" s="343" t="n"/>
      <c r="AV79" s="343" t="n"/>
      <c r="AW79" s="343" t="n"/>
      <c r="AX79" s="228" t="n"/>
    </row>
    <row r="80" hidden="1" outlineLevel="1" customFormat="1" s="5">
      <c r="A80" s="36" t="inlineStr">
        <is>
          <t>Impairment loss on equity investment in a private company</t>
        </is>
      </c>
      <c r="B80" s="376" t="n"/>
      <c r="C80" s="343" t="n">
        <v>0</v>
      </c>
      <c r="D80" s="343" t="n">
        <v>0</v>
      </c>
      <c r="E80" s="343" t="n">
        <v>0</v>
      </c>
      <c r="F80" s="343" t="n">
        <v>0</v>
      </c>
      <c r="G80" s="228" t="n">
        <v>0</v>
      </c>
      <c r="H80" s="228" t="n">
        <v>0</v>
      </c>
      <c r="I80" s="228" t="n">
        <v>0</v>
      </c>
      <c r="J80" s="228">
        <f>K80-SUM(G80:I80)</f>
        <v/>
      </c>
      <c r="K80" s="343" t="n">
        <v>0</v>
      </c>
      <c r="L80" s="228" t="n">
        <v>0</v>
      </c>
      <c r="M80" s="228" t="n">
        <v>0</v>
      </c>
      <c r="N80" s="228" t="n">
        <v>0</v>
      </c>
      <c r="O80" s="228">
        <f>P80-SUM(L80:N80)</f>
        <v/>
      </c>
      <c r="P80" s="343" t="n">
        <v>0</v>
      </c>
      <c r="Q80" s="228" t="n">
        <v>3.189</v>
      </c>
      <c r="R80" s="228" t="n">
        <v>0</v>
      </c>
      <c r="S80" s="228" t="n">
        <v>0</v>
      </c>
      <c r="T80" s="228">
        <f>U80-SUM(Q80:S80)</f>
        <v/>
      </c>
      <c r="U80" s="343" t="n">
        <v>3.189</v>
      </c>
      <c r="V80" s="228" t="n">
        <v>0</v>
      </c>
      <c r="W80" s="228" t="n"/>
      <c r="X80" s="228" t="n"/>
      <c r="Y80" s="228" t="n"/>
      <c r="Z80" s="343" t="n"/>
      <c r="AA80" s="228" t="n"/>
      <c r="AB80" s="228" t="n"/>
      <c r="AC80" s="228" t="n"/>
      <c r="AD80" s="228" t="n"/>
      <c r="AE80" s="343" t="n"/>
      <c r="AF80" s="228" t="n"/>
      <c r="AG80" s="228" t="n"/>
      <c r="AH80" s="228" t="n"/>
      <c r="AI80" s="228" t="n"/>
      <c r="AJ80" s="343" t="n"/>
      <c r="AK80" s="228" t="n"/>
      <c r="AL80" s="322" t="n"/>
      <c r="AM80" s="228" t="n"/>
      <c r="AN80" s="228" t="n"/>
      <c r="AO80" s="343" t="n"/>
      <c r="AP80" s="228" t="n"/>
      <c r="AQ80" s="228" t="n"/>
      <c r="AR80" s="228" t="n"/>
      <c r="AS80" s="228" t="n"/>
      <c r="AT80" s="343" t="n"/>
      <c r="AU80" s="343" t="n"/>
      <c r="AV80" s="343" t="n"/>
      <c r="AW80" s="343" t="n"/>
      <c r="AX80" s="228" t="n"/>
    </row>
    <row r="81" hidden="1" outlineLevel="1" customFormat="1" s="5">
      <c r="A81" s="36" t="inlineStr">
        <is>
          <t>(Benefit from) provision for income taxes-valuation allowance adjustment</t>
        </is>
      </c>
      <c r="B81" s="376" t="n"/>
      <c r="C81" s="343" t="n">
        <v>0</v>
      </c>
      <c r="D81" s="343" t="n">
        <v>0</v>
      </c>
      <c r="E81" s="343" t="n">
        <v>0</v>
      </c>
      <c r="F81" s="343" t="n">
        <v>0</v>
      </c>
      <c r="G81" s="228" t="n">
        <v>0</v>
      </c>
      <c r="H81" s="228" t="n">
        <v>0</v>
      </c>
      <c r="I81" s="228" t="n">
        <v>0</v>
      </c>
      <c r="J81" s="228">
        <f>K81-SUM(G81:I81)</f>
        <v/>
      </c>
      <c r="K81" s="343" t="n">
        <v>0</v>
      </c>
      <c r="L81" s="228" t="n">
        <v>0</v>
      </c>
      <c r="M81" s="228" t="n">
        <v>0</v>
      </c>
      <c r="N81" s="228" t="n"/>
      <c r="O81" s="228">
        <f>P81-SUM(L81:N81)</f>
        <v/>
      </c>
      <c r="P81" s="343" t="n">
        <v>17.231</v>
      </c>
      <c r="Q81" s="228" t="n"/>
      <c r="R81" s="228" t="n">
        <v>0</v>
      </c>
      <c r="S81" s="228" t="n"/>
      <c r="T81" s="228">
        <f>U81-SUM(Q81:S81)</f>
        <v/>
      </c>
      <c r="U81" s="343" t="n">
        <v>-22.41</v>
      </c>
      <c r="V81" s="228" t="n">
        <v>1.265</v>
      </c>
      <c r="W81" s="228" t="n">
        <v>-0.887</v>
      </c>
      <c r="X81" s="228" t="n">
        <v>-0.585</v>
      </c>
      <c r="Y81" s="228" t="n">
        <v>1.294</v>
      </c>
      <c r="Z81" s="343" t="n">
        <v>1.086</v>
      </c>
      <c r="AA81" s="228" t="n">
        <v>-1.351</v>
      </c>
      <c r="AB81" s="228" t="n">
        <v>-0.492</v>
      </c>
      <c r="AC81" s="228" t="n">
        <v>1.293</v>
      </c>
      <c r="AD81" s="228" t="n">
        <v>0.799</v>
      </c>
      <c r="AE81" s="343" t="n">
        <v>0.25</v>
      </c>
      <c r="AF81" s="228" t="n">
        <v>-26.604</v>
      </c>
      <c r="AG81" s="228" t="n">
        <v>0.366</v>
      </c>
      <c r="AH81" s="228" t="n">
        <v>0.673</v>
      </c>
      <c r="AI81" s="228" t="n">
        <v>-1.878</v>
      </c>
      <c r="AJ81" s="343" t="n">
        <v>-27.442</v>
      </c>
      <c r="AK81" s="228" t="n">
        <v>1.359</v>
      </c>
      <c r="AL81" s="322" t="n">
        <v>1.573</v>
      </c>
      <c r="AM81" s="228" t="n"/>
      <c r="AN81" s="228" t="n"/>
      <c r="AO81" s="343" t="n"/>
      <c r="AP81" s="228" t="n"/>
      <c r="AQ81" s="228" t="n"/>
      <c r="AR81" s="228" t="n"/>
      <c r="AS81" s="228" t="n"/>
      <c r="AT81" s="343" t="n"/>
      <c r="AU81" s="343" t="n"/>
      <c r="AV81" s="343" t="n"/>
      <c r="AW81" s="343" t="n"/>
      <c r="AX81" s="228" t="n"/>
    </row>
    <row r="82" hidden="1" outlineLevel="1" customFormat="1" s="5">
      <c r="A82" s="36" t="inlineStr">
        <is>
          <t>Restructuring and related charges</t>
        </is>
      </c>
      <c r="B82" s="376" t="n"/>
      <c r="C82" s="343" t="n"/>
      <c r="D82" s="343" t="n"/>
      <c r="E82" s="343" t="n"/>
      <c r="F82" s="343" t="n"/>
      <c r="G82" s="228" t="n"/>
      <c r="H82" s="228" t="n"/>
      <c r="I82" s="228" t="n"/>
      <c r="J82" s="228" t="n"/>
      <c r="K82" s="343" t="n"/>
      <c r="L82" s="228" t="n"/>
      <c r="M82" s="228" t="n"/>
      <c r="N82" s="228" t="n"/>
      <c r="O82" s="228" t="n"/>
      <c r="P82" s="343" t="n"/>
      <c r="Q82" s="228" t="n"/>
      <c r="R82" s="228" t="n"/>
      <c r="S82" s="228" t="n"/>
      <c r="T82" s="228" t="n"/>
      <c r="U82" s="343" t="n"/>
      <c r="V82" s="228" t="n"/>
      <c r="W82" s="228" t="n"/>
      <c r="X82" s="228" t="n"/>
      <c r="Y82" s="228" t="n"/>
      <c r="Z82" s="343" t="n"/>
      <c r="AA82" s="228" t="n"/>
      <c r="AB82" s="228" t="n"/>
      <c r="AC82" s="228" t="n"/>
      <c r="AD82" s="228" t="n">
        <v>12.019</v>
      </c>
      <c r="AE82" s="343" t="n">
        <v>12.019</v>
      </c>
      <c r="AF82" s="228" t="n">
        <v>7.587</v>
      </c>
      <c r="AG82" s="228" t="n">
        <v>1.774</v>
      </c>
      <c r="AH82" s="228" t="n">
        <v>0.947</v>
      </c>
      <c r="AI82" s="228" t="n">
        <v>1.515</v>
      </c>
      <c r="AJ82" s="343" t="n">
        <v>11.823</v>
      </c>
      <c r="AK82" s="228" t="n">
        <v>2.658</v>
      </c>
      <c r="AL82" s="322" t="n">
        <v>0.275</v>
      </c>
      <c r="AM82" s="228" t="n"/>
      <c r="AN82" s="228" t="n"/>
      <c r="AO82" s="343" t="n"/>
      <c r="AP82" s="228" t="n"/>
      <c r="AQ82" s="228" t="n"/>
      <c r="AR82" s="228" t="n"/>
      <c r="AS82" s="228" t="n"/>
      <c r="AT82" s="343" t="n"/>
      <c r="AU82" s="343" t="n"/>
      <c r="AV82" s="343" t="n"/>
      <c r="AW82" s="343" t="n"/>
      <c r="AX82" s="228" t="n"/>
    </row>
    <row r="83" hidden="1" outlineLevel="1" customFormat="1" s="5">
      <c r="A83" s="36" t="inlineStr">
        <is>
          <t>Other income, net</t>
        </is>
      </c>
      <c r="B83" s="376" t="n"/>
      <c r="C83" s="343" t="n"/>
      <c r="D83" s="343" t="n"/>
      <c r="E83" s="343" t="n"/>
      <c r="F83" s="343" t="n"/>
      <c r="G83" s="228" t="n"/>
      <c r="H83" s="228" t="n"/>
      <c r="I83" s="228" t="n"/>
      <c r="J83" s="228" t="n"/>
      <c r="K83" s="343" t="n"/>
      <c r="L83" s="228" t="n"/>
      <c r="M83" s="228" t="n"/>
      <c r="N83" s="228" t="n"/>
      <c r="O83" s="228" t="n"/>
      <c r="P83" s="343" t="n"/>
      <c r="Q83" s="228" t="n"/>
      <c r="R83" s="228" t="n"/>
      <c r="S83" s="228" t="n"/>
      <c r="T83" s="228" t="n"/>
      <c r="U83" s="343" t="n"/>
      <c r="V83" s="228" t="n"/>
      <c r="W83" s="228" t="n"/>
      <c r="X83" s="228" t="n"/>
      <c r="Y83" s="228" t="n"/>
      <c r="Z83" s="343" t="n"/>
      <c r="AA83" s="228" t="n"/>
      <c r="AB83" s="228" t="n"/>
      <c r="AC83" s="228" t="n"/>
      <c r="AD83" s="228" t="n"/>
      <c r="AE83" s="343" t="n"/>
      <c r="AF83" s="228" t="n"/>
      <c r="AG83" s="228" t="n"/>
      <c r="AH83" s="228" t="n"/>
      <c r="AI83" s="228" t="n"/>
      <c r="AJ83" s="343" t="n"/>
      <c r="AK83" s="228" t="n">
        <v>-9.128</v>
      </c>
      <c r="AL83" s="322" t="n">
        <v>-0.441</v>
      </c>
      <c r="AM83" s="228" t="n"/>
      <c r="AN83" s="228" t="n"/>
      <c r="AO83" s="343" t="n"/>
      <c r="AP83" s="228" t="n"/>
      <c r="AQ83" s="228" t="n"/>
      <c r="AR83" s="228" t="n"/>
      <c r="AS83" s="228" t="n"/>
      <c r="AT83" s="343" t="n"/>
      <c r="AU83" s="343" t="n"/>
      <c r="AV83" s="343" t="n"/>
      <c r="AW83" s="343" t="n"/>
      <c r="AX83" s="228" t="n"/>
    </row>
    <row r="84" hidden="1" outlineLevel="1" customFormat="1" s="5">
      <c r="A84" s="36" t="inlineStr">
        <is>
          <t>Non-operating foreign exchange loss</t>
        </is>
      </c>
      <c r="B84" s="376" t="n"/>
      <c r="C84" s="343" t="n"/>
      <c r="D84" s="343" t="n"/>
      <c r="E84" s="343" t="n"/>
      <c r="F84" s="343" t="n"/>
      <c r="G84" s="228" t="n"/>
      <c r="H84" s="228" t="n"/>
      <c r="I84" s="228" t="n"/>
      <c r="J84" s="228" t="n"/>
      <c r="K84" s="343" t="n"/>
      <c r="L84" s="228" t="n"/>
      <c r="M84" s="228" t="n"/>
      <c r="N84" s="228" t="n"/>
      <c r="O84" s="228" t="n"/>
      <c r="P84" s="343" t="n"/>
      <c r="Q84" s="228" t="n"/>
      <c r="R84" s="228" t="n"/>
      <c r="S84" s="228" t="n"/>
      <c r="T84" s="228" t="n"/>
      <c r="U84" s="343" t="n"/>
      <c r="V84" s="228" t="n"/>
      <c r="W84" s="228" t="n"/>
      <c r="X84" s="228" t="n"/>
      <c r="Y84" s="228" t="n"/>
      <c r="Z84" s="343" t="n"/>
      <c r="AA84" s="228" t="n"/>
      <c r="AB84" s="228" t="n"/>
      <c r="AC84" s="228" t="n"/>
      <c r="AD84" s="228" t="n"/>
      <c r="AE84" s="343" t="n"/>
      <c r="AF84" s="228" t="n"/>
      <c r="AG84" s="228" t="n"/>
      <c r="AH84" s="228" t="n"/>
      <c r="AI84" s="228" t="n"/>
      <c r="AJ84" s="343" t="n"/>
      <c r="AK84" s="228" t="n">
        <v>2.249</v>
      </c>
      <c r="AL84" s="322" t="n">
        <v>1.8</v>
      </c>
      <c r="AM84" s="228" t="n"/>
      <c r="AN84" s="228" t="n"/>
      <c r="AO84" s="343" t="n"/>
      <c r="AP84" s="228" t="n"/>
      <c r="AQ84" s="228" t="n"/>
      <c r="AR84" s="228" t="n"/>
      <c r="AS84" s="228" t="n"/>
      <c r="AT84" s="343" t="n"/>
      <c r="AU84" s="343" t="n"/>
      <c r="AV84" s="343" t="n"/>
      <c r="AW84" s="343" t="n"/>
      <c r="AX84" s="228" t="n"/>
    </row>
    <row r="85" hidden="1" outlineLevel="1" customFormat="1" s="5">
      <c r="A85" s="36" t="inlineStr">
        <is>
          <t>Deferred taxes on NOL Israel</t>
        </is>
      </c>
      <c r="B85" s="376" t="n"/>
      <c r="C85" s="343" t="n">
        <v>5.036</v>
      </c>
      <c r="D85" s="343" t="n">
        <v>8.180999999999999</v>
      </c>
      <c r="E85" s="343" t="n">
        <v>0</v>
      </c>
      <c r="F85" s="343" t="n">
        <v>0</v>
      </c>
      <c r="G85" s="228" t="n">
        <v>0</v>
      </c>
      <c r="H85" s="228" t="n">
        <v>0</v>
      </c>
      <c r="I85" s="228" t="n">
        <v>0</v>
      </c>
      <c r="J85" s="228">
        <f>K85-SUM(G85:I85)</f>
        <v/>
      </c>
      <c r="K85" s="343" t="n">
        <v>0</v>
      </c>
      <c r="L85" s="228" t="n">
        <v>0</v>
      </c>
      <c r="M85" s="228" t="n">
        <v>0</v>
      </c>
      <c r="N85" s="228" t="n"/>
      <c r="O85" s="228">
        <f>P85-SUM(L85:N85)</f>
        <v/>
      </c>
      <c r="P85" s="343" t="n"/>
      <c r="Q85" s="228" t="n">
        <v>0</v>
      </c>
      <c r="R85" s="228" t="n">
        <v>0</v>
      </c>
      <c r="S85" s="228" t="n"/>
      <c r="T85" s="228">
        <f>U85-SUM(Q85:S85)</f>
        <v/>
      </c>
      <c r="U85" s="343" t="n"/>
      <c r="V85" s="228" t="n"/>
      <c r="W85" s="228" t="n"/>
      <c r="X85" s="228" t="n"/>
      <c r="Y85" s="228" t="n"/>
      <c r="Z85" s="343" t="n"/>
      <c r="AA85" s="228" t="n"/>
      <c r="AB85" s="228" t="n"/>
      <c r="AC85" s="228" t="n"/>
      <c r="AD85" s="228" t="n"/>
      <c r="AE85" s="343" t="n"/>
      <c r="AF85" s="228" t="n"/>
      <c r="AG85" s="228" t="n"/>
      <c r="AH85" s="228" t="n"/>
      <c r="AI85" s="228" t="n"/>
      <c r="AJ85" s="343" t="n"/>
      <c r="AK85" s="228" t="n"/>
      <c r="AL85" s="322" t="n"/>
      <c r="AM85" s="228" t="n"/>
      <c r="AN85" s="228" t="n"/>
      <c r="AO85" s="343" t="n"/>
      <c r="AP85" s="228" t="n"/>
      <c r="AQ85" s="228" t="n"/>
      <c r="AR85" s="228" t="n"/>
      <c r="AS85" s="228" t="n"/>
      <c r="AT85" s="343" t="n"/>
      <c r="AU85" s="343" t="n"/>
      <c r="AV85" s="343" t="n"/>
      <c r="AW85" s="343" t="n"/>
      <c r="AX85" s="228" t="n"/>
    </row>
    <row r="86" hidden="1" outlineLevel="1" customFormat="1" s="9">
      <c r="A86" s="347" t="inlineStr">
        <is>
          <t>Non-GAAP net income</t>
        </is>
      </c>
      <c r="B86" s="377" t="n"/>
      <c r="C86" s="349">
        <f>SUM(C75:C85)</f>
        <v/>
      </c>
      <c r="D86" s="349">
        <f>SUM(D75:D85)</f>
        <v/>
      </c>
      <c r="E86" s="349">
        <f>SUM(E75:E85)</f>
        <v/>
      </c>
      <c r="F86" s="349">
        <f>SUM(F75:F85)</f>
        <v/>
      </c>
      <c r="G86" s="350">
        <f>SUM(G75:G85)</f>
        <v/>
      </c>
      <c r="H86" s="350">
        <f>SUM(H75:H85)</f>
        <v/>
      </c>
      <c r="I86" s="350">
        <f>SUM(I75:I85)</f>
        <v/>
      </c>
      <c r="J86" s="350">
        <f>SUM(J75:J85)</f>
        <v/>
      </c>
      <c r="K86" s="349">
        <f>SUM(K75:K85)</f>
        <v/>
      </c>
      <c r="L86" s="350">
        <f>SUM(L75:L85)</f>
        <v/>
      </c>
      <c r="M86" s="350">
        <f>SUM(M75:M85)</f>
        <v/>
      </c>
      <c r="N86" s="350">
        <f>SUM(N75:N85)</f>
        <v/>
      </c>
      <c r="O86" s="350">
        <f>SUM(O75:O85)</f>
        <v/>
      </c>
      <c r="P86" s="349">
        <f>SUM(P75:P85)</f>
        <v/>
      </c>
      <c r="Q86" s="350">
        <f>SUM(Q75:Q85)</f>
        <v/>
      </c>
      <c r="R86" s="350">
        <f>SUM(R75:R85)</f>
        <v/>
      </c>
      <c r="S86" s="350">
        <f>SUM(S75:S85)</f>
        <v/>
      </c>
      <c r="T86" s="350">
        <f>SUM(T75:T85)</f>
        <v/>
      </c>
      <c r="U86" s="349">
        <f>SUM(U75:U85)</f>
        <v/>
      </c>
      <c r="V86" s="350">
        <f>SUM(V75:V85)</f>
        <v/>
      </c>
      <c r="W86" s="350">
        <f>SUM(W75:W85)</f>
        <v/>
      </c>
      <c r="X86" s="350">
        <f>SUM(X75:X85)</f>
        <v/>
      </c>
      <c r="Y86" s="351">
        <f>SUM(Y75:Y85)</f>
        <v/>
      </c>
      <c r="Z86" s="352">
        <f>SUM(Z75:Z85)</f>
        <v/>
      </c>
      <c r="AA86" s="350">
        <f>SUM(AA75:AA85)</f>
        <v/>
      </c>
      <c r="AB86" s="350">
        <f>SUM(AB75:AB85)</f>
        <v/>
      </c>
      <c r="AC86" s="350">
        <f>SUM(AC75:AC85)</f>
        <v/>
      </c>
      <c r="AD86" s="351">
        <f>SUM(AD75:AD85)</f>
        <v/>
      </c>
      <c r="AE86" s="352">
        <f>SUM(AE75:AE85)</f>
        <v/>
      </c>
      <c r="AF86" s="350">
        <f>SUM(AF75:AF85)</f>
        <v/>
      </c>
      <c r="AG86" s="350">
        <f>SUM(AG75:AG85)</f>
        <v/>
      </c>
      <c r="AH86" s="350">
        <f>SUM(AH75:AH85)</f>
        <v/>
      </c>
      <c r="AI86" s="351">
        <f>SUM(AI75:AI85)</f>
        <v/>
      </c>
      <c r="AJ86" s="352">
        <f>SUM(AJ75:AJ85)</f>
        <v/>
      </c>
      <c r="AK86" s="350">
        <f>SUM(AK75:AK85)</f>
        <v/>
      </c>
      <c r="AL86" s="353">
        <f>SUM(AL75:AL85)</f>
        <v/>
      </c>
      <c r="AM86" s="351" t="n"/>
      <c r="AN86" s="351" t="n"/>
      <c r="AO86" s="352" t="n"/>
      <c r="AP86" s="351" t="n"/>
      <c r="AQ86" s="351" t="n"/>
      <c r="AR86" s="351" t="n"/>
      <c r="AS86" s="351" t="n"/>
      <c r="AT86" s="352" t="n"/>
      <c r="AU86" s="352" t="n"/>
      <c r="AV86" s="352" t="n"/>
      <c r="AW86" s="352" t="n"/>
      <c r="AX86" s="22" t="n"/>
    </row>
    <row r="87" hidden="1" outlineLevel="1" customFormat="1" s="9">
      <c r="A87" s="35" t="n"/>
      <c r="B87" s="103" t="n"/>
      <c r="C87" s="4" t="n"/>
      <c r="D87" s="4" t="n"/>
      <c r="E87" s="4" t="n"/>
      <c r="F87" s="4" t="n"/>
      <c r="G87" s="22" t="n"/>
      <c r="H87" s="22" t="n"/>
      <c r="I87" s="22" t="n"/>
      <c r="J87" s="22" t="n"/>
      <c r="K87" s="4" t="n"/>
      <c r="L87" s="22" t="n"/>
      <c r="M87" s="22" t="n"/>
      <c r="N87" s="22" t="n"/>
      <c r="O87" s="22" t="n"/>
      <c r="P87" s="4" t="n"/>
      <c r="Q87" s="22" t="n"/>
      <c r="R87" s="22" t="n"/>
      <c r="S87" s="22" t="n"/>
      <c r="T87" s="22" t="n"/>
      <c r="U87" s="4" t="n"/>
      <c r="V87" s="22" t="n"/>
      <c r="W87" s="22" t="n"/>
      <c r="X87" s="22" t="n"/>
      <c r="Y87" s="378" t="n"/>
      <c r="Z87" s="117" t="n"/>
      <c r="AA87" s="22" t="n"/>
      <c r="AB87" s="22" t="n"/>
      <c r="AC87" s="22" t="n"/>
      <c r="AD87" s="378" t="n"/>
      <c r="AE87" s="117" t="n"/>
      <c r="AF87" s="22" t="n"/>
      <c r="AG87" s="22" t="n"/>
      <c r="AH87" s="22" t="n"/>
      <c r="AI87" s="378" t="n"/>
      <c r="AJ87" s="117" t="n"/>
      <c r="AK87" s="22" t="n"/>
      <c r="AL87" s="308" t="n"/>
      <c r="AM87" s="378" t="n"/>
      <c r="AN87" s="378" t="n"/>
      <c r="AO87" s="117" t="n"/>
      <c r="AP87" s="378" t="n"/>
      <c r="AQ87" s="378" t="n"/>
      <c r="AR87" s="378" t="n"/>
      <c r="AS87" s="378" t="n"/>
      <c r="AT87" s="117" t="n"/>
      <c r="AU87" s="117" t="n"/>
      <c r="AV87" s="117" t="n"/>
      <c r="AW87" s="117" t="n"/>
      <c r="AX87" s="22" t="n"/>
    </row>
    <row r="88" hidden="1" outlineLevel="1" customFormat="1" s="9">
      <c r="A88" s="35" t="inlineStr">
        <is>
          <t>GAAP Gross Profit</t>
        </is>
      </c>
      <c r="B88" s="103" t="n"/>
      <c r="C88" s="4">
        <f>C58</f>
        <v/>
      </c>
      <c r="D88" s="4">
        <f>D58</f>
        <v/>
      </c>
      <c r="E88" s="4">
        <f>E58</f>
        <v/>
      </c>
      <c r="F88" s="4">
        <f>F58</f>
        <v/>
      </c>
      <c r="G88" s="22">
        <f>G58</f>
        <v/>
      </c>
      <c r="H88" s="22">
        <f>H58</f>
        <v/>
      </c>
      <c r="I88" s="22">
        <f>I58</f>
        <v/>
      </c>
      <c r="J88" s="22">
        <f>J58</f>
        <v/>
      </c>
      <c r="K88" s="4">
        <f>K58</f>
        <v/>
      </c>
      <c r="L88" s="22">
        <f>L58</f>
        <v/>
      </c>
      <c r="M88" s="22">
        <f>M58</f>
        <v/>
      </c>
      <c r="N88" s="22">
        <f>N58</f>
        <v/>
      </c>
      <c r="O88" s="22">
        <f>O58</f>
        <v/>
      </c>
      <c r="P88" s="4">
        <f>P58</f>
        <v/>
      </c>
      <c r="Q88" s="22">
        <f>Q58</f>
        <v/>
      </c>
      <c r="R88" s="22">
        <f>R58</f>
        <v/>
      </c>
      <c r="S88" s="22">
        <f>S58</f>
        <v/>
      </c>
      <c r="T88" s="22">
        <f>T58</f>
        <v/>
      </c>
      <c r="U88" s="4">
        <f>U58</f>
        <v/>
      </c>
      <c r="V88" s="22">
        <f>V58</f>
        <v/>
      </c>
      <c r="W88" s="22">
        <f>W58</f>
        <v/>
      </c>
      <c r="X88" s="22">
        <f>X58</f>
        <v/>
      </c>
      <c r="Y88" s="378">
        <f>Y58</f>
        <v/>
      </c>
      <c r="Z88" s="117">
        <f>Z58</f>
        <v/>
      </c>
      <c r="AA88" s="22">
        <f>AA58</f>
        <v/>
      </c>
      <c r="AB88" s="22">
        <f>AB58</f>
        <v/>
      </c>
      <c r="AC88" s="22">
        <f>AC58</f>
        <v/>
      </c>
      <c r="AD88" s="378">
        <f>AD58</f>
        <v/>
      </c>
      <c r="AE88" s="117">
        <f>AE58</f>
        <v/>
      </c>
      <c r="AF88" s="22">
        <f>AF58</f>
        <v/>
      </c>
      <c r="AG88" s="22">
        <f>AG58</f>
        <v/>
      </c>
      <c r="AH88" s="22">
        <f>AH58</f>
        <v/>
      </c>
      <c r="AI88" s="378">
        <f>AI58</f>
        <v/>
      </c>
      <c r="AJ88" s="117">
        <f>AJ58</f>
        <v/>
      </c>
      <c r="AK88" s="22">
        <f>AK58</f>
        <v/>
      </c>
      <c r="AL88" s="308">
        <f>AL58</f>
        <v/>
      </c>
      <c r="AM88" s="378" t="n"/>
      <c r="AN88" s="378" t="n"/>
      <c r="AO88" s="117" t="n"/>
      <c r="AP88" s="378" t="n"/>
      <c r="AQ88" s="378" t="n"/>
      <c r="AR88" s="378" t="n"/>
      <c r="AS88" s="378" t="n"/>
      <c r="AT88" s="117" t="n"/>
      <c r="AU88" s="117" t="n"/>
      <c r="AV88" s="117" t="n"/>
      <c r="AW88" s="117" t="n"/>
      <c r="AX88" s="22" t="n"/>
    </row>
    <row r="89" hidden="1" outlineLevel="1" customFormat="1" s="5">
      <c r="A89" s="36" t="inlineStr">
        <is>
          <t>SBC expense</t>
        </is>
      </c>
      <c r="B89" s="376" t="n"/>
      <c r="C89" s="343" t="n"/>
      <c r="D89" s="343" t="n">
        <v>0.385</v>
      </c>
      <c r="E89" s="343" t="n">
        <v>0.98</v>
      </c>
      <c r="F89" s="343" t="n">
        <v>1.621</v>
      </c>
      <c r="G89" s="228" t="n">
        <v>0.464</v>
      </c>
      <c r="H89" s="228" t="n">
        <v>0.434</v>
      </c>
      <c r="I89" s="228" t="n">
        <v>0.461</v>
      </c>
      <c r="J89" s="228" t="n">
        <v>0.469</v>
      </c>
      <c r="K89" s="343" t="n">
        <v>1.828</v>
      </c>
      <c r="L89" s="228" t="n">
        <v>0.522</v>
      </c>
      <c r="M89" s="228" t="n">
        <v>0.532</v>
      </c>
      <c r="N89" s="228" t="n">
        <v>0.532</v>
      </c>
      <c r="O89" s="228" t="n">
        <v>0.576</v>
      </c>
      <c r="P89" s="343" t="n">
        <v>2.162</v>
      </c>
      <c r="Q89" s="228" t="n">
        <v>0.547</v>
      </c>
      <c r="R89" s="228" t="n">
        <v>0.61</v>
      </c>
      <c r="S89" s="228" t="n">
        <v>0.592</v>
      </c>
      <c r="T89" s="228" t="n">
        <v>0.617</v>
      </c>
      <c r="U89" s="343" t="n">
        <v>2.366</v>
      </c>
      <c r="V89" s="228" t="n">
        <v>0.475</v>
      </c>
      <c r="W89" s="228" t="n">
        <v>0.671</v>
      </c>
      <c r="X89" s="228" t="n">
        <v>0.627</v>
      </c>
      <c r="Y89" s="93" t="n">
        <v>0.602</v>
      </c>
      <c r="Z89" s="344" t="n">
        <v>2.375</v>
      </c>
      <c r="AA89" s="228" t="n">
        <v>0.482</v>
      </c>
      <c r="AB89" s="228" t="n">
        <v>0.575</v>
      </c>
      <c r="AC89" s="228" t="n">
        <v>0.473</v>
      </c>
      <c r="AD89" s="93" t="n">
        <v>0.47</v>
      </c>
      <c r="AE89" s="344" t="n">
        <v>2</v>
      </c>
      <c r="AF89" s="228" t="n">
        <v>0.411</v>
      </c>
      <c r="AG89" s="228" t="n">
        <v>0.415</v>
      </c>
      <c r="AH89" s="228" t="n">
        <v>0.515</v>
      </c>
      <c r="AI89" s="93" t="n">
        <v>0.609</v>
      </c>
      <c r="AJ89" s="344" t="n">
        <v>1.95</v>
      </c>
      <c r="AK89" s="228" t="n">
        <v>0.6840000000000001</v>
      </c>
      <c r="AL89" s="322" t="n">
        <v>0.829</v>
      </c>
      <c r="AM89" s="93" t="n"/>
      <c r="AN89" s="93" t="n"/>
      <c r="AO89" s="344" t="n"/>
      <c r="AP89" s="93" t="n"/>
      <c r="AQ89" s="93" t="n"/>
      <c r="AR89" s="93" t="n"/>
      <c r="AS89" s="93" t="n"/>
      <c r="AT89" s="344" t="n"/>
      <c r="AU89" s="344" t="n"/>
      <c r="AV89" s="344" t="n"/>
      <c r="AW89" s="344" t="n"/>
      <c r="AX89" s="228" t="n"/>
    </row>
    <row r="90" hidden="1" outlineLevel="1" customFormat="1" s="5">
      <c r="A90" s="36" t="inlineStr">
        <is>
          <t>Amortization of acquired intangible assets</t>
        </is>
      </c>
      <c r="B90" s="376" t="n"/>
      <c r="C90" s="343" t="n"/>
      <c r="D90" s="343" t="n">
        <v>0</v>
      </c>
      <c r="E90" s="343" t="n">
        <v>8.246</v>
      </c>
      <c r="F90" s="343" t="n">
        <v>7.52</v>
      </c>
      <c r="G90" s="228" t="n">
        <v>1.957</v>
      </c>
      <c r="H90" s="228" t="n">
        <v>1.703</v>
      </c>
      <c r="I90" s="228" t="n">
        <v>3.57</v>
      </c>
      <c r="J90" s="228" t="n">
        <v>3.25</v>
      </c>
      <c r="K90" s="343" t="n">
        <v>10.548</v>
      </c>
      <c r="L90" s="228" t="n">
        <v>2.271</v>
      </c>
      <c r="M90" s="228" t="n">
        <v>1.777</v>
      </c>
      <c r="N90" s="228" t="n">
        <v>1.651</v>
      </c>
      <c r="O90" s="228" t="n">
        <v>1.474</v>
      </c>
      <c r="P90" s="343" t="n">
        <v>7.173</v>
      </c>
      <c r="Q90" s="228" t="n">
        <v>1.474</v>
      </c>
      <c r="R90" s="228" t="n">
        <v>2.073</v>
      </c>
      <c r="S90" s="228" t="n">
        <v>2.074</v>
      </c>
      <c r="T90" s="228" t="n">
        <v>2.073</v>
      </c>
      <c r="U90" s="343" t="n">
        <v>7.694</v>
      </c>
      <c r="V90" s="228" t="n">
        <v>10.429</v>
      </c>
      <c r="W90" s="228" t="n">
        <v>13.533</v>
      </c>
      <c r="X90" s="228" t="n">
        <v>13.519</v>
      </c>
      <c r="Y90" s="93" t="n">
        <v>10.64</v>
      </c>
      <c r="Z90" s="344" t="n">
        <v>48.119</v>
      </c>
      <c r="AA90" s="228" t="n">
        <v>10.588</v>
      </c>
      <c r="AB90" s="228" t="n">
        <v>10.614</v>
      </c>
      <c r="AC90" s="228" t="n">
        <v>10.641</v>
      </c>
      <c r="AD90" s="93" t="n">
        <v>10.641</v>
      </c>
      <c r="AE90" s="344" t="n">
        <v>42.482</v>
      </c>
      <c r="AF90" s="228" t="n">
        <v>10.883</v>
      </c>
      <c r="AG90" s="228" t="n">
        <v>11.106</v>
      </c>
      <c r="AH90" s="228" t="n">
        <v>10.226</v>
      </c>
      <c r="AI90" s="93" t="n">
        <v>9.763999999999999</v>
      </c>
      <c r="AJ90" s="344" t="n">
        <v>41.978</v>
      </c>
      <c r="AK90" s="228" t="n">
        <v>9.708</v>
      </c>
      <c r="AL90" s="322" t="n">
        <v>9.734999999999999</v>
      </c>
      <c r="AM90" s="93" t="n"/>
      <c r="AN90" s="93" t="n"/>
      <c r="AO90" s="344" t="n"/>
      <c r="AP90" s="93" t="n"/>
      <c r="AQ90" s="93" t="n"/>
      <c r="AR90" s="93" t="n"/>
      <c r="AS90" s="93" t="n"/>
      <c r="AT90" s="344" t="n"/>
      <c r="AU90" s="344" t="n"/>
      <c r="AV90" s="344" t="n"/>
      <c r="AW90" s="344" t="n"/>
      <c r="AX90" s="228" t="n"/>
    </row>
    <row r="91" hidden="1" outlineLevel="1" customFormat="1" s="5">
      <c r="A91" s="36" t="inlineStr">
        <is>
          <t>Settlement costs</t>
        </is>
      </c>
      <c r="B91" s="376" t="n"/>
      <c r="C91" s="343" t="n"/>
      <c r="D91" s="343" t="n">
        <v>0</v>
      </c>
      <c r="E91" s="343" t="n">
        <v>0</v>
      </c>
      <c r="F91" s="343" t="n">
        <v>0</v>
      </c>
      <c r="G91" s="228" t="n">
        <v>0</v>
      </c>
      <c r="H91" s="228" t="n">
        <v>0</v>
      </c>
      <c r="I91" s="228" t="n">
        <v>0</v>
      </c>
      <c r="J91" s="228" t="n">
        <v>0</v>
      </c>
      <c r="K91" s="343" t="n">
        <v>0</v>
      </c>
      <c r="L91" s="228" t="n">
        <v>0</v>
      </c>
      <c r="M91" s="228" t="n">
        <v>0</v>
      </c>
      <c r="N91" s="228" t="n">
        <v>1.25</v>
      </c>
      <c r="O91" s="228" t="n">
        <v>0</v>
      </c>
      <c r="P91" s="343" t="n">
        <v>1.25</v>
      </c>
      <c r="Q91" s="228" t="n"/>
      <c r="R91" s="228" t="n"/>
      <c r="S91" s="228" t="n"/>
      <c r="T91" s="228" t="n"/>
      <c r="U91" s="343" t="n"/>
      <c r="V91" s="228" t="n"/>
      <c r="W91" s="228" t="n"/>
      <c r="X91" s="228" t="n"/>
      <c r="Y91" s="93" t="n"/>
      <c r="Z91" s="344" t="n"/>
      <c r="AA91" s="228" t="n"/>
      <c r="AB91" s="228" t="n"/>
      <c r="AC91" s="228" t="n"/>
      <c r="AD91" s="93" t="n"/>
      <c r="AE91" s="344" t="n"/>
      <c r="AF91" s="228" t="n"/>
      <c r="AG91" s="228" t="n">
        <v>9.161</v>
      </c>
      <c r="AH91" s="228" t="n"/>
      <c r="AI91" s="93" t="n"/>
      <c r="AJ91" s="344" t="n">
        <v>9.161</v>
      </c>
      <c r="AK91" s="228" t="n"/>
      <c r="AL91" s="322" t="n"/>
      <c r="AM91" s="93" t="n"/>
      <c r="AN91" s="93" t="n"/>
      <c r="AO91" s="344" t="n"/>
      <c r="AP91" s="93" t="n"/>
      <c r="AQ91" s="93" t="n"/>
      <c r="AR91" s="93" t="n"/>
      <c r="AS91" s="93" t="n"/>
      <c r="AT91" s="344" t="n"/>
      <c r="AU91" s="344" t="n"/>
      <c r="AV91" s="344" t="n"/>
      <c r="AW91" s="344" t="n"/>
      <c r="AX91" s="228" t="n"/>
    </row>
    <row r="92" hidden="1" outlineLevel="1" customFormat="1" s="5">
      <c r="A92" s="36" t="inlineStr">
        <is>
          <t>Acquisition related charges</t>
        </is>
      </c>
      <c r="B92" s="376" t="n"/>
      <c r="C92" s="343" t="n"/>
      <c r="D92" s="343" t="n">
        <v>0</v>
      </c>
      <c r="E92" s="343" t="n">
        <v>0</v>
      </c>
      <c r="F92" s="343" t="n">
        <v>0</v>
      </c>
      <c r="G92" s="228" t="n">
        <v>0</v>
      </c>
      <c r="H92" s="228" t="n">
        <v>0</v>
      </c>
      <c r="I92" s="228" t="n">
        <v>0.699</v>
      </c>
      <c r="J92" s="228" t="n">
        <v>0.208</v>
      </c>
      <c r="K92" s="343" t="n">
        <v>0.907</v>
      </c>
      <c r="L92" s="228" t="n">
        <v>0.08400000000000001</v>
      </c>
      <c r="M92" s="228" t="n">
        <v>0.535</v>
      </c>
      <c r="N92" s="228" t="n">
        <v>0.23</v>
      </c>
      <c r="O92" s="228" t="n">
        <v>0</v>
      </c>
      <c r="P92" s="343" t="n">
        <v>0.849</v>
      </c>
      <c r="Q92" s="228" t="n">
        <v>0</v>
      </c>
      <c r="R92" s="228" t="n">
        <v>0</v>
      </c>
      <c r="S92" s="228" t="n">
        <v>0</v>
      </c>
      <c r="T92" s="228" t="n">
        <v>0</v>
      </c>
      <c r="U92" s="343" t="n">
        <v>0</v>
      </c>
      <c r="V92" s="228" t="n">
        <v>3.3</v>
      </c>
      <c r="W92" s="228" t="n">
        <v>4.233</v>
      </c>
      <c r="X92" s="228" t="n">
        <v>0.729</v>
      </c>
      <c r="Y92" s="93" t="n">
        <v>0</v>
      </c>
      <c r="Z92" s="344" t="n">
        <v>8.260999999999999</v>
      </c>
      <c r="AA92" s="228" t="n">
        <v>0</v>
      </c>
      <c r="AB92" s="228" t="n">
        <v>0</v>
      </c>
      <c r="AC92" s="228" t="n">
        <v>0</v>
      </c>
      <c r="AD92" s="93" t="n"/>
      <c r="AE92" s="344" t="n"/>
      <c r="AF92" s="228" t="n"/>
      <c r="AG92" s="228" t="n"/>
      <c r="AH92" s="228" t="n"/>
      <c r="AI92" s="93" t="n"/>
      <c r="AJ92" s="344" t="n"/>
      <c r="AK92" s="228" t="n"/>
      <c r="AL92" s="322" t="n"/>
      <c r="AM92" s="93" t="n"/>
      <c r="AN92" s="93" t="n"/>
      <c r="AO92" s="344" t="n"/>
      <c r="AP92" s="93" t="n"/>
      <c r="AQ92" s="93" t="n"/>
      <c r="AR92" s="93" t="n"/>
      <c r="AS92" s="93" t="n"/>
      <c r="AT92" s="344" t="n"/>
      <c r="AU92" s="344" t="n"/>
      <c r="AV92" s="344" t="n"/>
      <c r="AW92" s="344" t="n"/>
      <c r="AX92" s="228" t="n"/>
    </row>
    <row r="93" hidden="1" outlineLevel="1" customFormat="1" s="9">
      <c r="A93" s="347" t="inlineStr">
        <is>
          <t>Non-GAAP Gross Profit</t>
        </is>
      </c>
      <c r="B93" s="377" t="n"/>
      <c r="C93" s="349">
        <f>SUM(C88:C92)</f>
        <v/>
      </c>
      <c r="D93" s="349">
        <f>SUM(D88:D92)</f>
        <v/>
      </c>
      <c r="E93" s="349">
        <f>SUM(E88:E92)</f>
        <v/>
      </c>
      <c r="F93" s="349">
        <f>SUM(F88:F92)</f>
        <v/>
      </c>
      <c r="G93" s="350">
        <f>SUM(G88:G92)</f>
        <v/>
      </c>
      <c r="H93" s="350">
        <f>SUM(H88:H92)</f>
        <v/>
      </c>
      <c r="I93" s="350">
        <f>SUM(I88:I92)</f>
        <v/>
      </c>
      <c r="J93" s="350">
        <f>SUM(J88:J92)</f>
        <v/>
      </c>
      <c r="K93" s="349">
        <f>SUM(K88:K92)</f>
        <v/>
      </c>
      <c r="L93" s="350">
        <f>SUM(L88:L92)</f>
        <v/>
      </c>
      <c r="M93" s="350">
        <f>SUM(M88:M92)</f>
        <v/>
      </c>
      <c r="N93" s="350">
        <f>SUM(N88:N92)</f>
        <v/>
      </c>
      <c r="O93" s="350">
        <f>SUM(O88:O92)</f>
        <v/>
      </c>
      <c r="P93" s="349">
        <f>SUM(P88:P92)</f>
        <v/>
      </c>
      <c r="Q93" s="350">
        <f>SUM(Q88:Q92)</f>
        <v/>
      </c>
      <c r="R93" s="350">
        <f>SUM(R88:R92)</f>
        <v/>
      </c>
      <c r="S93" s="350">
        <f>SUM(S88:S92)</f>
        <v/>
      </c>
      <c r="T93" s="350">
        <f>SUM(T88:T92)</f>
        <v/>
      </c>
      <c r="U93" s="349">
        <f>SUM(U88:U92)</f>
        <v/>
      </c>
      <c r="V93" s="350">
        <f>SUM(V88:V92)</f>
        <v/>
      </c>
      <c r="W93" s="350">
        <f>SUM(W88:W92)</f>
        <v/>
      </c>
      <c r="X93" s="350">
        <f>SUM(X88:X92)</f>
        <v/>
      </c>
      <c r="Y93" s="351">
        <f>SUM(Y88:Y92)</f>
        <v/>
      </c>
      <c r="Z93" s="352">
        <f>SUM(Z88:Z92)</f>
        <v/>
      </c>
      <c r="AA93" s="350">
        <f>SUM(AA88:AA92)</f>
        <v/>
      </c>
      <c r="AB93" s="350">
        <f>SUM(AB88:AB92)</f>
        <v/>
      </c>
      <c r="AC93" s="350">
        <f>SUM(AC88:AC92)</f>
        <v/>
      </c>
      <c r="AD93" s="351">
        <f>SUM(AD88:AD92)</f>
        <v/>
      </c>
      <c r="AE93" s="352">
        <f>SUM(AE88:AE92)</f>
        <v/>
      </c>
      <c r="AF93" s="350">
        <f>SUM(AF88:AF92)</f>
        <v/>
      </c>
      <c r="AG93" s="350">
        <f>SUM(AG88:AG92)</f>
        <v/>
      </c>
      <c r="AH93" s="350">
        <f>SUM(AH88:AH92)</f>
        <v/>
      </c>
      <c r="AI93" s="351">
        <f>SUM(AI88:AI92)</f>
        <v/>
      </c>
      <c r="AJ93" s="352">
        <f>SUM(AJ88:AJ92)</f>
        <v/>
      </c>
      <c r="AK93" s="350">
        <f>SUM(AK88:AK92)</f>
        <v/>
      </c>
      <c r="AL93" s="353">
        <f>SUM(AL88:AL92)</f>
        <v/>
      </c>
      <c r="AM93" s="351" t="n"/>
      <c r="AN93" s="351" t="n"/>
      <c r="AO93" s="352" t="n"/>
      <c r="AP93" s="351" t="n"/>
      <c r="AQ93" s="351" t="n"/>
      <c r="AR93" s="351" t="n"/>
      <c r="AS93" s="351" t="n"/>
      <c r="AT93" s="352" t="n"/>
      <c r="AU93" s="352" t="n"/>
      <c r="AV93" s="352" t="n"/>
      <c r="AW93" s="352" t="n"/>
      <c r="AX93" s="22" t="n"/>
    </row>
    <row r="94" hidden="1" outlineLevel="1" customFormat="1" s="9">
      <c r="A94" s="35" t="n"/>
      <c r="B94" s="103" t="n"/>
      <c r="C94" s="4" t="n"/>
      <c r="D94" s="4" t="n"/>
      <c r="E94" s="4" t="n"/>
      <c r="F94" s="4" t="n"/>
      <c r="G94" s="22" t="n"/>
      <c r="H94" s="22" t="n"/>
      <c r="I94" s="22" t="n"/>
      <c r="J94" s="22" t="n"/>
      <c r="K94" s="4" t="n"/>
      <c r="L94" s="22" t="n"/>
      <c r="M94" s="22" t="n"/>
      <c r="N94" s="22" t="n"/>
      <c r="O94" s="22" t="n"/>
      <c r="P94" s="4" t="n"/>
      <c r="Q94" s="22" t="n"/>
      <c r="R94" s="22" t="n"/>
      <c r="S94" s="22" t="n"/>
      <c r="T94" s="22" t="n"/>
      <c r="U94" s="4" t="n"/>
      <c r="V94" s="22" t="n"/>
      <c r="W94" s="22" t="n"/>
      <c r="X94" s="22" t="n"/>
      <c r="Y94" s="378" t="n"/>
      <c r="Z94" s="117" t="n"/>
      <c r="AA94" s="22" t="n"/>
      <c r="AB94" s="22" t="n"/>
      <c r="AC94" s="22" t="n"/>
      <c r="AD94" s="378" t="n"/>
      <c r="AE94" s="117" t="n"/>
      <c r="AF94" s="22" t="n"/>
      <c r="AG94" s="22" t="n"/>
      <c r="AH94" s="22" t="n"/>
      <c r="AI94" s="378" t="n"/>
      <c r="AJ94" s="117" t="n"/>
      <c r="AK94" s="22" t="n"/>
      <c r="AL94" s="308" t="n"/>
      <c r="AM94" s="378" t="n"/>
      <c r="AN94" s="378" t="n"/>
      <c r="AO94" s="117" t="n"/>
      <c r="AP94" s="378" t="n"/>
      <c r="AQ94" s="378" t="n"/>
      <c r="AR94" s="378" t="n"/>
      <c r="AS94" s="378" t="n"/>
      <c r="AT94" s="117" t="n"/>
      <c r="AU94" s="117" t="n"/>
      <c r="AV94" s="117" t="n"/>
      <c r="AW94" s="117" t="n"/>
      <c r="AX94" s="22" t="n"/>
    </row>
    <row r="95" hidden="1" outlineLevel="1" customFormat="1" s="9">
      <c r="A95" s="35" t="inlineStr">
        <is>
          <t>GAAP Operating Expenses</t>
        </is>
      </c>
      <c r="B95" s="103" t="n"/>
      <c r="C95" s="4">
        <f>C64</f>
        <v/>
      </c>
      <c r="D95" s="4">
        <f>D64</f>
        <v/>
      </c>
      <c r="E95" s="4">
        <f>E64</f>
        <v/>
      </c>
      <c r="F95" s="4">
        <f>F64</f>
        <v/>
      </c>
      <c r="G95" s="22">
        <f>G64</f>
        <v/>
      </c>
      <c r="H95" s="22">
        <f>H64</f>
        <v/>
      </c>
      <c r="I95" s="22">
        <f>I64</f>
        <v/>
      </c>
      <c r="J95" s="22">
        <f>J64</f>
        <v/>
      </c>
      <c r="K95" s="4">
        <f>K64</f>
        <v/>
      </c>
      <c r="L95" s="22">
        <f>L64</f>
        <v/>
      </c>
      <c r="M95" s="22">
        <f>M64</f>
        <v/>
      </c>
      <c r="N95" s="22">
        <f>N64</f>
        <v/>
      </c>
      <c r="O95" s="22">
        <f>O64</f>
        <v/>
      </c>
      <c r="P95" s="4">
        <f>P64</f>
        <v/>
      </c>
      <c r="Q95" s="22">
        <f>Q64</f>
        <v/>
      </c>
      <c r="R95" s="22">
        <f>R64</f>
        <v/>
      </c>
      <c r="S95" s="22">
        <f>S64</f>
        <v/>
      </c>
      <c r="T95" s="22">
        <f>T64</f>
        <v/>
      </c>
      <c r="U95" s="4">
        <f>U64</f>
        <v/>
      </c>
      <c r="V95" s="22">
        <f>V64</f>
        <v/>
      </c>
      <c r="W95" s="22">
        <f>W64</f>
        <v/>
      </c>
      <c r="X95" s="22">
        <f>X64</f>
        <v/>
      </c>
      <c r="Y95" s="378">
        <f>Y64</f>
        <v/>
      </c>
      <c r="Z95" s="117">
        <f>Z64</f>
        <v/>
      </c>
      <c r="AA95" s="22">
        <f>AA64</f>
        <v/>
      </c>
      <c r="AB95" s="22">
        <f>AB64</f>
        <v/>
      </c>
      <c r="AC95" s="22">
        <f>AC64</f>
        <v/>
      </c>
      <c r="AD95" s="378">
        <f>AD64</f>
        <v/>
      </c>
      <c r="AE95" s="117">
        <f>AE64</f>
        <v/>
      </c>
      <c r="AF95" s="22">
        <f>AF64</f>
        <v/>
      </c>
      <c r="AG95" s="22">
        <f>AG64</f>
        <v/>
      </c>
      <c r="AH95" s="22">
        <f>AH64</f>
        <v/>
      </c>
      <c r="AI95" s="378">
        <f>AI64</f>
        <v/>
      </c>
      <c r="AJ95" s="117">
        <f>AJ64</f>
        <v/>
      </c>
      <c r="AK95" s="22">
        <f>AK64</f>
        <v/>
      </c>
      <c r="AL95" s="308">
        <f>AL64</f>
        <v/>
      </c>
      <c r="AM95" s="378" t="n"/>
      <c r="AN95" s="378" t="n"/>
      <c r="AO95" s="117" t="n"/>
      <c r="AP95" s="378" t="n"/>
      <c r="AQ95" s="378" t="n"/>
      <c r="AR95" s="378" t="n"/>
      <c r="AS95" s="378" t="n"/>
      <c r="AT95" s="117" t="n"/>
      <c r="AU95" s="117" t="n"/>
      <c r="AV95" s="117" t="n"/>
      <c r="AW95" s="117" t="n"/>
      <c r="AX95" s="22" t="n"/>
    </row>
    <row r="96" hidden="1" outlineLevel="1" customFormat="1" s="5">
      <c r="A96" s="36" t="inlineStr">
        <is>
          <t>SBC expense</t>
        </is>
      </c>
      <c r="B96" s="376" t="n"/>
      <c r="C96" s="343" t="n"/>
      <c r="D96" s="343" t="n">
        <v>-13.716</v>
      </c>
      <c r="E96" s="343" t="n">
        <v>-20.432</v>
      </c>
      <c r="F96" s="343" t="n">
        <v>-33.398</v>
      </c>
      <c r="G96" s="228" t="n">
        <v>-9.911</v>
      </c>
      <c r="H96" s="228" t="n">
        <v>-10.731</v>
      </c>
      <c r="I96" s="228" t="n">
        <v>-11.471</v>
      </c>
      <c r="J96" s="228" t="n">
        <v>-11.197</v>
      </c>
      <c r="K96" s="343" t="n">
        <v>-43.31</v>
      </c>
      <c r="L96" s="228" t="n">
        <v>-11.116</v>
      </c>
      <c r="M96" s="228" t="n">
        <v>-11.415</v>
      </c>
      <c r="N96" s="228" t="n">
        <v>-11.317</v>
      </c>
      <c r="O96" s="228" t="n">
        <v>-11.225</v>
      </c>
      <c r="P96" s="343" t="n">
        <v>-45.073</v>
      </c>
      <c r="Q96" s="228" t="n">
        <v>-11.171</v>
      </c>
      <c r="R96" s="228" t="n">
        <v>-12.676</v>
      </c>
      <c r="S96" s="228" t="n">
        <v>-12.238</v>
      </c>
      <c r="T96" s="228" t="n">
        <v>-12.313</v>
      </c>
      <c r="U96" s="343" t="n">
        <v>-48.398</v>
      </c>
      <c r="V96" s="228" t="n">
        <v>-17.791</v>
      </c>
      <c r="W96" s="228" t="n">
        <v>-17.423</v>
      </c>
      <c r="X96" s="228" t="n">
        <v>-16.949</v>
      </c>
      <c r="Y96" s="93" t="n">
        <v>-16.58</v>
      </c>
      <c r="Z96" s="344" t="n">
        <v>-68.74299999999999</v>
      </c>
      <c r="AA96" s="228" t="n">
        <v>-14.286</v>
      </c>
      <c r="AB96" s="228" t="n">
        <v>-17.09</v>
      </c>
      <c r="AC96" s="228" t="n">
        <v>-18.087</v>
      </c>
      <c r="AD96" s="93" t="n">
        <v>-17.401</v>
      </c>
      <c r="AE96" s="344" t="n">
        <v>-66.864</v>
      </c>
      <c r="AF96" s="228" t="n">
        <v>-14.563</v>
      </c>
      <c r="AG96" s="228" t="n">
        <v>-14.501</v>
      </c>
      <c r="AH96" s="228" t="n">
        <v>-18.641</v>
      </c>
      <c r="AI96" s="93" t="n">
        <v>-21.687</v>
      </c>
      <c r="AJ96" s="344" t="n">
        <v>-69.392</v>
      </c>
      <c r="AK96" s="228" t="n">
        <v>-23.558</v>
      </c>
      <c r="AL96" s="322" t="n">
        <v>-26.12</v>
      </c>
      <c r="AM96" s="93" t="n"/>
      <c r="AN96" s="93" t="n"/>
      <c r="AO96" s="344" t="n"/>
      <c r="AP96" s="93" t="n"/>
      <c r="AQ96" s="93" t="n"/>
      <c r="AR96" s="93" t="n"/>
      <c r="AS96" s="93" t="n"/>
      <c r="AT96" s="344" t="n"/>
      <c r="AU96" s="344" t="n"/>
      <c r="AV96" s="344" t="n"/>
      <c r="AW96" s="344" t="n"/>
      <c r="AX96" s="228" t="n"/>
    </row>
    <row r="97" hidden="1" outlineLevel="1" customFormat="1" s="5">
      <c r="A97" s="36" t="inlineStr">
        <is>
          <t>Amortization of acquired intangible assets</t>
        </is>
      </c>
      <c r="B97" s="376" t="n"/>
      <c r="C97" s="343" t="n"/>
      <c r="D97" s="343" t="n">
        <v>-0.861</v>
      </c>
      <c r="E97" s="343" t="n">
        <v>-5.963</v>
      </c>
      <c r="F97" s="343" t="n">
        <v>-1.757</v>
      </c>
      <c r="G97" s="228" t="n">
        <v>-0.439</v>
      </c>
      <c r="H97" s="228" t="n">
        <v>-0.8110000000000001</v>
      </c>
      <c r="I97" s="228" t="n">
        <v>-1.001</v>
      </c>
      <c r="J97" s="228" t="n">
        <v>-1.207</v>
      </c>
      <c r="K97" s="343" t="n">
        <v>-3.458</v>
      </c>
      <c r="L97" s="228" t="n">
        <v>-1.234</v>
      </c>
      <c r="M97" s="228" t="n">
        <v>-1.235</v>
      </c>
      <c r="N97" s="228" t="n">
        <v>-1.234</v>
      </c>
      <c r="O97" s="228" t="n">
        <v>-1.234</v>
      </c>
      <c r="P97" s="343" t="n">
        <v>-4.937</v>
      </c>
      <c r="Q97" s="228" t="n">
        <v>-0.779</v>
      </c>
      <c r="R97" s="228" t="n">
        <v>-0.392</v>
      </c>
      <c r="S97" s="228" t="n">
        <v>-0.39</v>
      </c>
      <c r="T97" s="228" t="n">
        <v>-0.391</v>
      </c>
      <c r="U97" s="343" t="n">
        <v>-1.952</v>
      </c>
      <c r="V97" s="228" t="n">
        <v>-1.218</v>
      </c>
      <c r="W97" s="228" t="n">
        <v>-2.428</v>
      </c>
      <c r="X97" s="228" t="n">
        <v>-2.425</v>
      </c>
      <c r="Y97" s="93" t="n">
        <v>-2.426</v>
      </c>
      <c r="Z97" s="344" t="n">
        <v>-8.494</v>
      </c>
      <c r="AA97" s="228" t="n">
        <v>-2.422</v>
      </c>
      <c r="AB97" s="228" t="n">
        <v>-2.424</v>
      </c>
      <c r="AC97" s="228" t="n">
        <v>-2.426</v>
      </c>
      <c r="AD97" s="93" t="n">
        <v>-2.426</v>
      </c>
      <c r="AE97" s="344" t="n">
        <v>-9.698</v>
      </c>
      <c r="AF97" s="228" t="n">
        <v>-2.422</v>
      </c>
      <c r="AG97" s="228" t="n">
        <v>-2.227</v>
      </c>
      <c r="AH97" s="228" t="n">
        <v>-2.229</v>
      </c>
      <c r="AI97" s="93" t="n">
        <v>-2.229</v>
      </c>
      <c r="AJ97" s="344" t="n">
        <v>-9.108000000000001</v>
      </c>
      <c r="AK97" s="228" t="n">
        <v>-2.036</v>
      </c>
      <c r="AL97" s="322" t="n">
        <v>-1.761</v>
      </c>
      <c r="AM97" s="93" t="n"/>
      <c r="AN97" s="93" t="n"/>
      <c r="AO97" s="344" t="n"/>
      <c r="AP97" s="93" t="n"/>
      <c r="AQ97" s="93" t="n"/>
      <c r="AR97" s="93" t="n"/>
      <c r="AS97" s="93" t="n"/>
      <c r="AT97" s="344" t="n"/>
      <c r="AU97" s="344" t="n"/>
      <c r="AV97" s="344" t="n"/>
      <c r="AW97" s="344" t="n"/>
      <c r="AX97" s="228" t="n"/>
    </row>
    <row r="98" hidden="1" outlineLevel="1" customFormat="1" s="5">
      <c r="A98" s="36" t="inlineStr">
        <is>
          <t>Settlement costs</t>
        </is>
      </c>
      <c r="B98" s="376" t="n"/>
      <c r="C98" s="343" t="n"/>
      <c r="D98" s="343" t="n">
        <v>0</v>
      </c>
      <c r="E98" s="343" t="n">
        <v>0</v>
      </c>
      <c r="F98" s="343" t="n">
        <v>0</v>
      </c>
      <c r="G98" s="228" t="n">
        <v>0</v>
      </c>
      <c r="H98" s="228" t="n">
        <v>0</v>
      </c>
      <c r="I98" s="228" t="n">
        <v>0</v>
      </c>
      <c r="J98" s="228" t="n">
        <v>0</v>
      </c>
      <c r="K98" s="343" t="n">
        <v>0</v>
      </c>
      <c r="L98" s="228" t="n">
        <v>0</v>
      </c>
      <c r="M98" s="228" t="n">
        <v>0</v>
      </c>
      <c r="N98" s="228" t="n">
        <v>0</v>
      </c>
      <c r="O98" s="228" t="n">
        <v>0</v>
      </c>
      <c r="P98" s="343" t="n">
        <v>0</v>
      </c>
      <c r="Q98" s="228" t="n">
        <v>0</v>
      </c>
      <c r="R98" s="228" t="n"/>
      <c r="S98" s="228" t="n">
        <v>0</v>
      </c>
      <c r="T98" s="228" t="n">
        <v>0</v>
      </c>
      <c r="U98" s="343" t="n">
        <v>0</v>
      </c>
      <c r="V98" s="228" t="n">
        <v>-5.106</v>
      </c>
      <c r="W98" s="228" t="n">
        <v>0</v>
      </c>
      <c r="X98" s="228" t="n">
        <v>0</v>
      </c>
      <c r="Y98" s="93" t="n">
        <v>0.125</v>
      </c>
      <c r="Z98" s="344" t="n">
        <v>-4.981</v>
      </c>
      <c r="AA98" s="228" t="n">
        <v>0</v>
      </c>
      <c r="AB98" s="228" t="n">
        <v>0</v>
      </c>
      <c r="AC98" s="228" t="n">
        <v>0</v>
      </c>
      <c r="AD98" s="93" t="n"/>
      <c r="AE98" s="344" t="n"/>
      <c r="AF98" s="228" t="n"/>
      <c r="AG98" s="228" t="n"/>
      <c r="AH98" s="228" t="n"/>
      <c r="AI98" s="93" t="n">
        <v>0</v>
      </c>
      <c r="AJ98" s="344" t="n">
        <v>0</v>
      </c>
      <c r="AK98" s="228" t="n"/>
      <c r="AL98" s="322" t="n"/>
      <c r="AM98" s="93" t="n"/>
      <c r="AN98" s="93" t="n"/>
      <c r="AO98" s="344" t="n"/>
      <c r="AP98" s="93" t="n"/>
      <c r="AQ98" s="93" t="n"/>
      <c r="AR98" s="93" t="n"/>
      <c r="AS98" s="93" t="n"/>
      <c r="AT98" s="344" t="n"/>
      <c r="AU98" s="344" t="n"/>
      <c r="AV98" s="344" t="n"/>
      <c r="AW98" s="344" t="n"/>
      <c r="AX98" s="228" t="n"/>
    </row>
    <row r="99" hidden="1" outlineLevel="1" customFormat="1" s="5">
      <c r="A99" s="36" t="inlineStr">
        <is>
          <t>Restructuring and related charges</t>
        </is>
      </c>
      <c r="B99" s="376" t="n"/>
      <c r="C99" s="343" t="n"/>
      <c r="D99" s="343" t="n"/>
      <c r="E99" s="343" t="n"/>
      <c r="F99" s="343" t="n"/>
      <c r="G99" s="228" t="n"/>
      <c r="H99" s="228" t="n"/>
      <c r="I99" s="228" t="n"/>
      <c r="J99" s="228" t="n"/>
      <c r="K99" s="343" t="n"/>
      <c r="L99" s="228" t="n"/>
      <c r="M99" s="228" t="n"/>
      <c r="N99" s="228" t="n"/>
      <c r="O99" s="228" t="n"/>
      <c r="P99" s="343" t="n"/>
      <c r="Q99" s="228" t="n"/>
      <c r="R99" s="228" t="n"/>
      <c r="S99" s="228" t="n"/>
      <c r="T99" s="228" t="n"/>
      <c r="U99" s="343" t="n"/>
      <c r="V99" s="228" t="n"/>
      <c r="W99" s="228" t="n"/>
      <c r="X99" s="228" t="n"/>
      <c r="Y99" s="93" t="n"/>
      <c r="Z99" s="344" t="n"/>
      <c r="AA99" s="228" t="n"/>
      <c r="AB99" s="228" t="n"/>
      <c r="AC99" s="228" t="n"/>
      <c r="AD99" s="93" t="n">
        <v>-12.019</v>
      </c>
      <c r="AE99" s="344" t="n">
        <v>-12.019</v>
      </c>
      <c r="AF99" s="228" t="n">
        <v>-7.587</v>
      </c>
      <c r="AG99" s="228" t="n">
        <v>-1.774</v>
      </c>
      <c r="AH99" s="228" t="n">
        <v>-0.947</v>
      </c>
      <c r="AI99" s="93" t="n">
        <v>-0.021</v>
      </c>
      <c r="AJ99" s="344" t="n">
        <v>-10.329</v>
      </c>
      <c r="AK99" s="228" t="n">
        <v>-0.903</v>
      </c>
      <c r="AL99" s="322" t="n">
        <v>-0.275</v>
      </c>
      <c r="AM99" s="93" t="n"/>
      <c r="AN99" s="93" t="n"/>
      <c r="AO99" s="344" t="n"/>
      <c r="AP99" s="93" t="n"/>
      <c r="AQ99" s="93" t="n"/>
      <c r="AR99" s="93" t="n"/>
      <c r="AS99" s="93" t="n"/>
      <c r="AT99" s="344" t="n"/>
      <c r="AU99" s="344" t="n"/>
      <c r="AV99" s="344" t="n"/>
      <c r="AW99" s="344" t="n"/>
      <c r="AX99" s="228" t="n"/>
    </row>
    <row r="100" hidden="1" outlineLevel="1" customFormat="1" s="5">
      <c r="A100" s="36" t="inlineStr">
        <is>
          <t>Acquisition related charges</t>
        </is>
      </c>
      <c r="B100" s="376" t="n"/>
      <c r="C100" s="343" t="n"/>
      <c r="D100" s="343" t="n">
        <v>0</v>
      </c>
      <c r="E100" s="343" t="n">
        <v>0</v>
      </c>
      <c r="F100" s="343" t="n">
        <v>0</v>
      </c>
      <c r="G100" s="228" t="n">
        <v>0</v>
      </c>
      <c r="H100" s="228" t="n">
        <v>-1.828</v>
      </c>
      <c r="I100" s="228" t="n">
        <v>-1.266</v>
      </c>
      <c r="J100" s="228" t="n">
        <v>-0.712</v>
      </c>
      <c r="K100" s="343" t="n">
        <v>-3.806</v>
      </c>
      <c r="L100" s="228" t="n">
        <v>-0.636</v>
      </c>
      <c r="M100" s="228" t="n">
        <v>-0.509</v>
      </c>
      <c r="N100" s="228" t="n">
        <v>-1.441</v>
      </c>
      <c r="O100" s="228" t="n">
        <v>-0.97</v>
      </c>
      <c r="P100" s="343" t="n">
        <v>-3.556</v>
      </c>
      <c r="Q100" s="228" t="n">
        <v>-0.988</v>
      </c>
      <c r="R100" s="228" t="n">
        <v>-1.065</v>
      </c>
      <c r="S100" s="228" t="n">
        <v>-1.032</v>
      </c>
      <c r="T100" s="228" t="n">
        <v>-1.303</v>
      </c>
      <c r="U100" s="343" t="n">
        <v>-4.388</v>
      </c>
      <c r="V100" s="228" t="n">
        <v>-6.88</v>
      </c>
      <c r="W100" s="228" t="n">
        <v>-0.627</v>
      </c>
      <c r="X100" s="228" t="n">
        <v>-0.492</v>
      </c>
      <c r="Y100" s="93" t="n">
        <v>-0.884</v>
      </c>
      <c r="Z100" s="344" t="n">
        <v>-8.884</v>
      </c>
      <c r="AA100" s="228" t="n">
        <v>-0.477</v>
      </c>
      <c r="AB100" s="228" t="n">
        <v>-0.153</v>
      </c>
      <c r="AC100" s="228" t="n">
        <v>-0.29</v>
      </c>
      <c r="AD100" s="93" t="n">
        <v>-1.748</v>
      </c>
      <c r="AE100" s="344" t="n">
        <v>-2.669</v>
      </c>
      <c r="AF100" s="228" t="n">
        <v>-4.278</v>
      </c>
      <c r="AG100" s="228" t="n">
        <v>-10.502</v>
      </c>
      <c r="AH100" s="228" t="n">
        <v>-1.125</v>
      </c>
      <c r="AI100" s="93" t="n">
        <v>-0.345</v>
      </c>
      <c r="AJ100" s="344" t="n">
        <v>-16.249</v>
      </c>
      <c r="AK100" s="345" t="n">
        <v>-4.774</v>
      </c>
      <c r="AL100" s="322" t="n">
        <v>-3.773</v>
      </c>
      <c r="AM100" s="93" t="n"/>
      <c r="AN100" s="93" t="n"/>
      <c r="AO100" s="344" t="n"/>
      <c r="AP100" s="93" t="n"/>
      <c r="AQ100" s="93" t="n"/>
      <c r="AR100" s="93" t="n"/>
      <c r="AS100" s="93" t="n"/>
      <c r="AT100" s="344" t="n"/>
      <c r="AU100" s="344" t="n"/>
      <c r="AV100" s="344" t="n"/>
      <c r="AW100" s="344" t="n"/>
      <c r="AX100" s="228" t="n"/>
    </row>
    <row r="101" hidden="1" outlineLevel="1" customFormat="1" s="9">
      <c r="A101" s="347" t="inlineStr">
        <is>
          <t>Non-GAAP Operating Expenses</t>
        </is>
      </c>
      <c r="B101" s="377" t="n"/>
      <c r="C101" s="349">
        <f>SUM(C95:C100)</f>
        <v/>
      </c>
      <c r="D101" s="349">
        <f>SUM(D95:D100)</f>
        <v/>
      </c>
      <c r="E101" s="349">
        <f>SUM(E95:E100)</f>
        <v/>
      </c>
      <c r="F101" s="349">
        <f>SUM(F95:F100)</f>
        <v/>
      </c>
      <c r="G101" s="350">
        <f>SUM(G95:G100)</f>
        <v/>
      </c>
      <c r="H101" s="350">
        <f>SUM(H95:H100)</f>
        <v/>
      </c>
      <c r="I101" s="350">
        <f>SUM(I95:I100)</f>
        <v/>
      </c>
      <c r="J101" s="350">
        <f>SUM(J95:J100)</f>
        <v/>
      </c>
      <c r="K101" s="349">
        <f>SUM(K95:K100)</f>
        <v/>
      </c>
      <c r="L101" s="350">
        <f>SUM(L95:L100)</f>
        <v/>
      </c>
      <c r="M101" s="350">
        <f>SUM(M95:M100)</f>
        <v/>
      </c>
      <c r="N101" s="350">
        <f>SUM(N95:N100)</f>
        <v/>
      </c>
      <c r="O101" s="350">
        <f>SUM(O95:O100)</f>
        <v/>
      </c>
      <c r="P101" s="349">
        <f>SUM(P95:P100)</f>
        <v/>
      </c>
      <c r="Q101" s="350">
        <f>SUM(Q95:Q100)</f>
        <v/>
      </c>
      <c r="R101" s="350">
        <f>SUM(R95:R100)</f>
        <v/>
      </c>
      <c r="S101" s="350">
        <f>SUM(S95:S100)</f>
        <v/>
      </c>
      <c r="T101" s="350">
        <f>SUM(T95:T100)</f>
        <v/>
      </c>
      <c r="U101" s="349">
        <f>SUM(U95:U100)</f>
        <v/>
      </c>
      <c r="V101" s="350">
        <f>SUM(V95:V100)</f>
        <v/>
      </c>
      <c r="W101" s="350">
        <f>SUM(W95:W100)</f>
        <v/>
      </c>
      <c r="X101" s="350">
        <f>SUM(X95:X100)</f>
        <v/>
      </c>
      <c r="Y101" s="351">
        <f>SUM(Y95:Y100)</f>
        <v/>
      </c>
      <c r="Z101" s="352">
        <f>SUM(Z95:Z100)</f>
        <v/>
      </c>
      <c r="AA101" s="350">
        <f>SUM(AA95:AA100)</f>
        <v/>
      </c>
      <c r="AB101" s="350">
        <f>SUM(AB95:AB100)</f>
        <v/>
      </c>
      <c r="AC101" s="350">
        <f>SUM(AC95:AC100)</f>
        <v/>
      </c>
      <c r="AD101" s="351">
        <f>SUM(AD95:AD100)</f>
        <v/>
      </c>
      <c r="AE101" s="352">
        <f>SUM(AE95:AE100)</f>
        <v/>
      </c>
      <c r="AF101" s="350">
        <f>SUM(AF95:AF100)</f>
        <v/>
      </c>
      <c r="AG101" s="350">
        <f>SUM(AG95:AG100)</f>
        <v/>
      </c>
      <c r="AH101" s="350">
        <f>SUM(AH95:AH100)</f>
        <v/>
      </c>
      <c r="AI101" s="351">
        <f>SUM(AI95:AI100)</f>
        <v/>
      </c>
      <c r="AJ101" s="352">
        <f>SUM(AJ95:AJ100)</f>
        <v/>
      </c>
      <c r="AK101" s="350">
        <f>SUM(AK95:AK100)</f>
        <v/>
      </c>
      <c r="AL101" s="353">
        <f>SUM(AL95:AL100)</f>
        <v/>
      </c>
      <c r="AM101" s="351" t="n"/>
      <c r="AN101" s="351" t="n"/>
      <c r="AO101" s="352" t="n"/>
      <c r="AP101" s="351" t="n"/>
      <c r="AQ101" s="351" t="n"/>
      <c r="AR101" s="351" t="n"/>
      <c r="AS101" s="351" t="n"/>
      <c r="AT101" s="352" t="n"/>
      <c r="AU101" s="352" t="n"/>
      <c r="AV101" s="352" t="n"/>
      <c r="AW101" s="352" t="n"/>
      <c r="AX101" s="22" t="n"/>
    </row>
    <row r="102" hidden="1" outlineLevel="1" customFormat="1" s="9">
      <c r="A102" s="35" t="n"/>
      <c r="B102" s="103" t="n"/>
      <c r="C102" s="4" t="n"/>
      <c r="D102" s="4" t="n"/>
      <c r="E102" s="4" t="n"/>
      <c r="F102" s="4" t="n"/>
      <c r="G102" s="22" t="n"/>
      <c r="H102" s="22" t="n"/>
      <c r="I102" s="22" t="n"/>
      <c r="J102" s="22" t="n"/>
      <c r="K102" s="4" t="n"/>
      <c r="L102" s="22" t="n"/>
      <c r="M102" s="22" t="n"/>
      <c r="N102" s="22" t="n"/>
      <c r="O102" s="22" t="n"/>
      <c r="P102" s="4" t="n"/>
      <c r="Q102" s="22" t="n"/>
      <c r="R102" s="22" t="n"/>
      <c r="S102" s="22" t="n"/>
      <c r="T102" s="22" t="n"/>
      <c r="U102" s="4" t="n"/>
      <c r="V102" s="22" t="n"/>
      <c r="W102" s="22" t="n"/>
      <c r="X102" s="22" t="n"/>
      <c r="Y102" s="378" t="n"/>
      <c r="Z102" s="117" t="n"/>
      <c r="AA102" s="22" t="n"/>
      <c r="AB102" s="22" t="n"/>
      <c r="AC102" s="22" t="n"/>
      <c r="AD102" s="378" t="n"/>
      <c r="AE102" s="117" t="n"/>
      <c r="AF102" s="22" t="n"/>
      <c r="AG102" s="22" t="n"/>
      <c r="AH102" s="22" t="n"/>
      <c r="AI102" s="378" t="n"/>
      <c r="AJ102" s="117" t="n"/>
      <c r="AK102" s="22" t="n"/>
      <c r="AL102" s="308" t="n"/>
      <c r="AM102" s="378" t="n"/>
      <c r="AN102" s="378" t="n"/>
      <c r="AO102" s="117" t="n"/>
      <c r="AP102" s="378" t="n"/>
      <c r="AQ102" s="378" t="n"/>
      <c r="AR102" s="378" t="n"/>
      <c r="AS102" s="378" t="n"/>
      <c r="AT102" s="117" t="n"/>
      <c r="AU102" s="117" t="n"/>
      <c r="AV102" s="117" t="n"/>
      <c r="AW102" s="117" t="n"/>
      <c r="AX102" s="22" t="n"/>
    </row>
    <row r="103" hidden="1" outlineLevel="1" customFormat="1" s="9">
      <c r="A103" s="35" t="inlineStr">
        <is>
          <t>GAAP income (loss) from operations</t>
        </is>
      </c>
      <c r="B103" s="103" t="n"/>
      <c r="C103" s="4">
        <f>C65</f>
        <v/>
      </c>
      <c r="D103" s="4">
        <f>D65</f>
        <v/>
      </c>
      <c r="E103" s="4">
        <f>E65</f>
        <v/>
      </c>
      <c r="F103" s="4">
        <f>F65</f>
        <v/>
      </c>
      <c r="G103" s="22">
        <f>G65</f>
        <v/>
      </c>
      <c r="H103" s="22">
        <f>H65</f>
        <v/>
      </c>
      <c r="I103" s="22">
        <f>I65</f>
        <v/>
      </c>
      <c r="J103" s="22">
        <f>J65</f>
        <v/>
      </c>
      <c r="K103" s="4">
        <f>K65</f>
        <v/>
      </c>
      <c r="L103" s="22">
        <f>L65</f>
        <v/>
      </c>
      <c r="M103" s="22">
        <f>M65</f>
        <v/>
      </c>
      <c r="N103" s="22">
        <f>N65</f>
        <v/>
      </c>
      <c r="O103" s="22">
        <f>O65</f>
        <v/>
      </c>
      <c r="P103" s="4">
        <f>P65</f>
        <v/>
      </c>
      <c r="Q103" s="22">
        <f>Q65</f>
        <v/>
      </c>
      <c r="R103" s="22">
        <f>R65</f>
        <v/>
      </c>
      <c r="S103" s="22">
        <f>S65</f>
        <v/>
      </c>
      <c r="T103" s="22">
        <f>T65</f>
        <v/>
      </c>
      <c r="U103" s="4">
        <f>U65</f>
        <v/>
      </c>
      <c r="V103" s="22">
        <f>V65</f>
        <v/>
      </c>
      <c r="W103" s="22">
        <f>W65</f>
        <v/>
      </c>
      <c r="X103" s="22">
        <f>X65</f>
        <v/>
      </c>
      <c r="Y103" s="378">
        <f>Y65</f>
        <v/>
      </c>
      <c r="Z103" s="117">
        <f>Z65</f>
        <v/>
      </c>
      <c r="AA103" s="22">
        <f>AA65</f>
        <v/>
      </c>
      <c r="AB103" s="22">
        <f>AB65</f>
        <v/>
      </c>
      <c r="AC103" s="22">
        <f>AC65</f>
        <v/>
      </c>
      <c r="AD103" s="378">
        <f>AD65</f>
        <v/>
      </c>
      <c r="AE103" s="117">
        <f>AE65</f>
        <v/>
      </c>
      <c r="AF103" s="22">
        <f>AF65</f>
        <v/>
      </c>
      <c r="AG103" s="22">
        <f>AG65</f>
        <v/>
      </c>
      <c r="AH103" s="22">
        <f>AH65</f>
        <v/>
      </c>
      <c r="AI103" s="378">
        <f>AI65</f>
        <v/>
      </c>
      <c r="AJ103" s="117">
        <f>AJ65</f>
        <v/>
      </c>
      <c r="AK103" s="22">
        <f>AK65</f>
        <v/>
      </c>
      <c r="AL103" s="308">
        <f>AL65</f>
        <v/>
      </c>
      <c r="AM103" s="378" t="n"/>
      <c r="AN103" s="378" t="n"/>
      <c r="AO103" s="117" t="n"/>
      <c r="AP103" s="378" t="n"/>
      <c r="AQ103" s="378" t="n"/>
      <c r="AR103" s="378" t="n"/>
      <c r="AS103" s="378" t="n"/>
      <c r="AT103" s="117" t="n"/>
      <c r="AU103" s="117" t="n"/>
      <c r="AV103" s="117" t="n"/>
      <c r="AW103" s="117" t="n"/>
      <c r="AX103" s="22" t="n"/>
    </row>
    <row r="104" hidden="1" outlineLevel="1" customFormat="1" s="5">
      <c r="A104" s="36" t="inlineStr">
        <is>
          <t>SBC expense</t>
        </is>
      </c>
      <c r="B104" s="376" t="n"/>
      <c r="C104" s="343" t="n"/>
      <c r="D104" s="343" t="n">
        <v>14.101</v>
      </c>
      <c r="E104" s="343" t="n">
        <v>21.412</v>
      </c>
      <c r="F104" s="343" t="n">
        <v>35.019</v>
      </c>
      <c r="G104" s="228" t="n">
        <v>10.375</v>
      </c>
      <c r="H104" s="228" t="n">
        <v>11.165</v>
      </c>
      <c r="I104" s="228" t="n">
        <v>11.932</v>
      </c>
      <c r="J104" s="228" t="n">
        <v>11.666</v>
      </c>
      <c r="K104" s="343" t="n">
        <v>45.138</v>
      </c>
      <c r="L104" s="228" t="n">
        <v>11.638</v>
      </c>
      <c r="M104" s="228" t="n">
        <v>11.947</v>
      </c>
      <c r="N104" s="228" t="n">
        <v>11.849</v>
      </c>
      <c r="O104" s="228" t="n">
        <v>11.801</v>
      </c>
      <c r="P104" s="343" t="n">
        <v>47.235</v>
      </c>
      <c r="Q104" s="228" t="n">
        <v>11.718</v>
      </c>
      <c r="R104" s="228" t="n">
        <v>13.286</v>
      </c>
      <c r="S104" s="228" t="n">
        <v>12.83</v>
      </c>
      <c r="T104" s="228" t="n">
        <v>12.93</v>
      </c>
      <c r="U104" s="343" t="n">
        <v>50.764</v>
      </c>
      <c r="V104" s="228" t="n">
        <v>18.266</v>
      </c>
      <c r="W104" s="228" t="n">
        <v>18.094</v>
      </c>
      <c r="X104" s="228" t="n">
        <v>17.576</v>
      </c>
      <c r="Y104" s="93" t="n">
        <v>17.182</v>
      </c>
      <c r="Z104" s="344" t="n">
        <v>71.11799999999999</v>
      </c>
      <c r="AA104" s="228" t="n">
        <v>14.768</v>
      </c>
      <c r="AB104" s="228" t="n">
        <v>17.665</v>
      </c>
      <c r="AC104" s="228" t="n">
        <v>18.56</v>
      </c>
      <c r="AD104" s="93" t="n">
        <v>17.871</v>
      </c>
      <c r="AE104" s="344" t="n">
        <v>68.864</v>
      </c>
      <c r="AF104" s="228" t="n">
        <v>14.974</v>
      </c>
      <c r="AG104" s="228" t="n">
        <v>14.916</v>
      </c>
      <c r="AH104" s="228" t="n">
        <v>19.156</v>
      </c>
      <c r="AI104" s="93" t="n">
        <v>22.296</v>
      </c>
      <c r="AJ104" s="344" t="n">
        <v>71.342</v>
      </c>
      <c r="AK104" s="228" t="n">
        <v>24.242</v>
      </c>
      <c r="AL104" s="322" t="n">
        <v>26.949</v>
      </c>
      <c r="AM104" s="93" t="n"/>
      <c r="AN104" s="93" t="n"/>
      <c r="AO104" s="344" t="n"/>
      <c r="AP104" s="93" t="n"/>
      <c r="AQ104" s="93" t="n"/>
      <c r="AR104" s="93" t="n"/>
      <c r="AS104" s="93" t="n"/>
      <c r="AT104" s="344" t="n"/>
      <c r="AU104" s="344" t="n"/>
      <c r="AV104" s="344" t="n"/>
      <c r="AW104" s="344" t="n"/>
      <c r="AX104" s="228" t="n"/>
    </row>
    <row r="105" hidden="1" outlineLevel="1" customFormat="1" s="5">
      <c r="A105" s="36" t="inlineStr">
        <is>
          <t>Settlement costs</t>
        </is>
      </c>
      <c r="B105" s="376" t="n"/>
      <c r="C105" s="343" t="n"/>
      <c r="D105" s="343" t="n">
        <v>0</v>
      </c>
      <c r="E105" s="343" t="n">
        <v>0</v>
      </c>
      <c r="F105" s="343" t="n">
        <v>0</v>
      </c>
      <c r="G105" s="228" t="n">
        <v>0</v>
      </c>
      <c r="H105" s="228" t="n">
        <v>0</v>
      </c>
      <c r="I105" s="228" t="n">
        <v>0</v>
      </c>
      <c r="J105" s="228" t="n">
        <v>0</v>
      </c>
      <c r="K105" s="343" t="n">
        <v>0</v>
      </c>
      <c r="L105" s="228" t="n">
        <v>0</v>
      </c>
      <c r="M105" s="228" t="n">
        <v>0</v>
      </c>
      <c r="N105" s="228" t="n">
        <v>1.25</v>
      </c>
      <c r="O105" s="228" t="n">
        <v>0</v>
      </c>
      <c r="P105" s="343" t="n">
        <v>1.25</v>
      </c>
      <c r="Q105" s="228" t="n">
        <v>0</v>
      </c>
      <c r="R105" s="228" t="n">
        <v>0</v>
      </c>
      <c r="S105" s="228" t="n">
        <v>0</v>
      </c>
      <c r="T105" s="228" t="n">
        <v>0</v>
      </c>
      <c r="U105" s="343" t="n">
        <v>0</v>
      </c>
      <c r="V105" s="228" t="n">
        <v>5.106</v>
      </c>
      <c r="W105" s="228" t="n">
        <v>0</v>
      </c>
      <c r="X105" s="228" t="n">
        <v>0</v>
      </c>
      <c r="Y105" s="93" t="n">
        <v>-0.125</v>
      </c>
      <c r="Z105" s="344" t="n">
        <v>4.981</v>
      </c>
      <c r="AA105" s="228" t="n">
        <v>0</v>
      </c>
      <c r="AB105" s="228" t="n">
        <v>0</v>
      </c>
      <c r="AC105" s="228" t="n">
        <v>0</v>
      </c>
      <c r="AD105" s="93" t="n"/>
      <c r="AE105" s="344" t="n"/>
      <c r="AF105" s="228" t="n"/>
      <c r="AG105" s="228" t="n">
        <v>9.161</v>
      </c>
      <c r="AH105" s="228" t="n"/>
      <c r="AI105" s="93" t="n"/>
      <c r="AJ105" s="344" t="n">
        <v>9.161</v>
      </c>
      <c r="AK105" s="228" t="n"/>
      <c r="AL105" s="322" t="n"/>
      <c r="AM105" s="93" t="n"/>
      <c r="AN105" s="93" t="n"/>
      <c r="AO105" s="344" t="n"/>
      <c r="AP105" s="93" t="n"/>
      <c r="AQ105" s="93" t="n"/>
      <c r="AR105" s="93" t="n"/>
      <c r="AS105" s="93" t="n"/>
      <c r="AT105" s="344" t="n"/>
      <c r="AU105" s="344" t="n"/>
      <c r="AV105" s="344" t="n"/>
      <c r="AW105" s="344" t="n"/>
      <c r="AX105" s="228" t="n"/>
    </row>
    <row r="106" hidden="1" outlineLevel="1" customFormat="1" s="5">
      <c r="A106" s="36" t="inlineStr">
        <is>
          <t>Amortization of acquired intangibles</t>
        </is>
      </c>
      <c r="B106" s="376" t="n"/>
      <c r="C106" s="343" t="n"/>
      <c r="D106" s="343" t="n">
        <v>0.861</v>
      </c>
      <c r="E106" s="343" t="n">
        <v>14.209</v>
      </c>
      <c r="F106" s="343" t="n">
        <v>9.276999999999999</v>
      </c>
      <c r="G106" s="228" t="n">
        <v>2.396</v>
      </c>
      <c r="H106" s="228" t="n">
        <v>2.514</v>
      </c>
      <c r="I106" s="228" t="n">
        <v>4.571</v>
      </c>
      <c r="J106" s="228" t="n">
        <v>4.457</v>
      </c>
      <c r="K106" s="343" t="n">
        <v>14.006</v>
      </c>
      <c r="L106" s="228" t="n">
        <v>3.505</v>
      </c>
      <c r="M106" s="228" t="n">
        <v>3.012</v>
      </c>
      <c r="N106" s="228" t="n">
        <v>2.885</v>
      </c>
      <c r="O106" s="228" t="n">
        <v>2.708</v>
      </c>
      <c r="P106" s="343" t="n">
        <v>12.11</v>
      </c>
      <c r="Q106" s="228" t="n">
        <v>2.253</v>
      </c>
      <c r="R106" s="228" t="n">
        <v>2.465</v>
      </c>
      <c r="S106" s="228" t="n">
        <v>2.464</v>
      </c>
      <c r="T106" s="228" t="n">
        <v>2.464</v>
      </c>
      <c r="U106" s="343" t="n">
        <v>9.646000000000001</v>
      </c>
      <c r="V106" s="228" t="n">
        <v>11.647</v>
      </c>
      <c r="W106" s="228" t="n">
        <v>15.961</v>
      </c>
      <c r="X106" s="228" t="n">
        <v>15.944</v>
      </c>
      <c r="Y106" s="93" t="n">
        <v>13.066</v>
      </c>
      <c r="Z106" s="344" t="n">
        <v>56.613</v>
      </c>
      <c r="AA106" s="228" t="n">
        <v>13.01</v>
      </c>
      <c r="AB106" s="228" t="n">
        <v>13.038</v>
      </c>
      <c r="AC106" s="228" t="n">
        <v>13.067</v>
      </c>
      <c r="AD106" s="93" t="n">
        <v>13.067</v>
      </c>
      <c r="AE106" s="344" t="n">
        <v>52.18</v>
      </c>
      <c r="AF106" s="228" t="n">
        <v>13.305</v>
      </c>
      <c r="AG106" s="228" t="n">
        <v>13.333</v>
      </c>
      <c r="AH106" s="228" t="n">
        <v>12.455</v>
      </c>
      <c r="AI106" s="93" t="n">
        <v>11.993</v>
      </c>
      <c r="AJ106" s="344" t="n">
        <v>51.086</v>
      </c>
      <c r="AK106" s="228" t="n">
        <v>11.744</v>
      </c>
      <c r="AL106" s="322" t="n">
        <v>11.496</v>
      </c>
      <c r="AM106" s="93" t="n"/>
      <c r="AN106" s="93" t="n"/>
      <c r="AO106" s="344" t="n"/>
      <c r="AP106" s="93" t="n"/>
      <c r="AQ106" s="93" t="n"/>
      <c r="AR106" s="93" t="n"/>
      <c r="AS106" s="93" t="n"/>
      <c r="AT106" s="344" t="n"/>
      <c r="AU106" s="344" t="n"/>
      <c r="AV106" s="344" t="n"/>
      <c r="AW106" s="344" t="n"/>
      <c r="AX106" s="228" t="n"/>
    </row>
    <row r="107" hidden="1" outlineLevel="1" customFormat="1" s="5">
      <c r="A107" s="36" t="inlineStr">
        <is>
          <t>Restructuring and related charges</t>
        </is>
      </c>
      <c r="B107" s="376" t="n"/>
      <c r="C107" s="343" t="n"/>
      <c r="D107" s="343" t="n"/>
      <c r="E107" s="343" t="n"/>
      <c r="F107" s="343" t="n"/>
      <c r="G107" s="228" t="n"/>
      <c r="H107" s="228" t="n"/>
      <c r="I107" s="228" t="n"/>
      <c r="J107" s="228" t="n"/>
      <c r="K107" s="343" t="n"/>
      <c r="L107" s="228" t="n"/>
      <c r="M107" s="228" t="n"/>
      <c r="N107" s="228" t="n"/>
      <c r="O107" s="228" t="n"/>
      <c r="P107" s="343" t="n"/>
      <c r="Q107" s="228" t="n"/>
      <c r="R107" s="228" t="n"/>
      <c r="S107" s="228" t="n"/>
      <c r="T107" s="228" t="n"/>
      <c r="U107" s="343" t="n"/>
      <c r="V107" s="228" t="n"/>
      <c r="W107" s="228" t="n"/>
      <c r="X107" s="228" t="n"/>
      <c r="Y107" s="93" t="n"/>
      <c r="Z107" s="344" t="n"/>
      <c r="AA107" s="228" t="n"/>
      <c r="AB107" s="228" t="n"/>
      <c r="AC107" s="228" t="n"/>
      <c r="AD107" s="93" t="n">
        <v>12.019</v>
      </c>
      <c r="AE107" s="344" t="n">
        <v>12.019</v>
      </c>
      <c r="AF107" s="228" t="n">
        <v>7.587</v>
      </c>
      <c r="AG107" s="228" t="n">
        <v>1.774</v>
      </c>
      <c r="AH107" s="228" t="n">
        <v>0.947</v>
      </c>
      <c r="AI107" s="93" t="n">
        <v>0.021</v>
      </c>
      <c r="AJ107" s="344" t="n">
        <v>10.329</v>
      </c>
      <c r="AK107" s="228" t="n">
        <v>0.903</v>
      </c>
      <c r="AL107" s="322" t="n">
        <v>0.275</v>
      </c>
      <c r="AM107" s="93" t="n"/>
      <c r="AN107" s="93" t="n"/>
      <c r="AO107" s="344" t="n"/>
      <c r="AP107" s="93" t="n"/>
      <c r="AQ107" s="93" t="n"/>
      <c r="AR107" s="93" t="n"/>
      <c r="AS107" s="93" t="n"/>
      <c r="AT107" s="344" t="n"/>
      <c r="AU107" s="344" t="n"/>
      <c r="AV107" s="344" t="n"/>
      <c r="AW107" s="344" t="n"/>
      <c r="AX107" s="228" t="n"/>
    </row>
    <row r="108" hidden="1" outlineLevel="1" customFormat="1" s="5">
      <c r="A108" s="36" t="inlineStr">
        <is>
          <t>Acquisition related charges</t>
        </is>
      </c>
      <c r="B108" s="376" t="n"/>
      <c r="C108" s="343" t="n"/>
      <c r="D108" s="343" t="n">
        <v>0</v>
      </c>
      <c r="E108" s="343" t="n">
        <v>0</v>
      </c>
      <c r="F108" s="343" t="n">
        <v>0</v>
      </c>
      <c r="G108" s="228" t="n">
        <v>0</v>
      </c>
      <c r="H108" s="228" t="n">
        <v>1.828</v>
      </c>
      <c r="I108" s="228" t="n">
        <v>1.965</v>
      </c>
      <c r="J108" s="228" t="n">
        <v>0.92</v>
      </c>
      <c r="K108" s="343" t="n">
        <v>4.713</v>
      </c>
      <c r="L108" s="228" t="n">
        <v>0.72</v>
      </c>
      <c r="M108" s="228" t="n">
        <v>1.044</v>
      </c>
      <c r="N108" s="228" t="n">
        <v>1.671</v>
      </c>
      <c r="O108" s="228" t="n">
        <v>0.97</v>
      </c>
      <c r="P108" s="343" t="n">
        <v>4.405</v>
      </c>
      <c r="Q108" s="228" t="n">
        <v>0.988</v>
      </c>
      <c r="R108" s="228" t="n">
        <v>1.065</v>
      </c>
      <c r="S108" s="228" t="n">
        <v>1.032</v>
      </c>
      <c r="T108" s="228" t="n">
        <v>1.303</v>
      </c>
      <c r="U108" s="343" t="n">
        <v>4.388</v>
      </c>
      <c r="V108" s="228" t="n">
        <v>10.18</v>
      </c>
      <c r="W108" s="228" t="n">
        <v>4.86</v>
      </c>
      <c r="X108" s="228" t="n">
        <v>1.221</v>
      </c>
      <c r="Y108" s="93" t="n">
        <v>0.884</v>
      </c>
      <c r="Z108" s="344" t="n">
        <v>17.145</v>
      </c>
      <c r="AA108" s="228" t="n">
        <v>0.477</v>
      </c>
      <c r="AB108" s="228" t="n">
        <v>0.153</v>
      </c>
      <c r="AC108" s="228" t="n">
        <v>0.29</v>
      </c>
      <c r="AD108" s="93" t="n">
        <v>1.748</v>
      </c>
      <c r="AE108" s="344" t="n">
        <v>2.669</v>
      </c>
      <c r="AF108" s="228" t="n">
        <v>4.278</v>
      </c>
      <c r="AG108" s="228" t="n">
        <v>10.502</v>
      </c>
      <c r="AH108" s="228" t="n">
        <v>1.125</v>
      </c>
      <c r="AI108" s="93" t="n">
        <v>0.345</v>
      </c>
      <c r="AJ108" s="344" t="n">
        <v>16.249</v>
      </c>
      <c r="AK108" s="345" t="n">
        <v>4.774</v>
      </c>
      <c r="AL108" s="322" t="n">
        <v>3.773</v>
      </c>
      <c r="AM108" s="93" t="n"/>
      <c r="AN108" s="93" t="n"/>
      <c r="AO108" s="344" t="n"/>
      <c r="AP108" s="93" t="n"/>
      <c r="AQ108" s="93" t="n"/>
      <c r="AR108" s="93" t="n"/>
      <c r="AS108" s="93" t="n"/>
      <c r="AT108" s="344" t="n"/>
      <c r="AU108" s="344" t="n"/>
      <c r="AV108" s="344" t="n"/>
      <c r="AW108" s="344" t="n"/>
      <c r="AX108" s="228" t="n"/>
    </row>
    <row r="109" hidden="1" outlineLevel="1" customFormat="1" s="9">
      <c r="A109" s="347" t="inlineStr">
        <is>
          <t>Non-GAAP Income from Operations</t>
        </is>
      </c>
      <c r="B109" s="377" t="n"/>
      <c r="C109" s="349">
        <f>SUM(C103:C108)</f>
        <v/>
      </c>
      <c r="D109" s="349">
        <f>SUM(D103:D108)</f>
        <v/>
      </c>
      <c r="E109" s="349">
        <f>SUM(E103:E108)</f>
        <v/>
      </c>
      <c r="F109" s="349">
        <f>SUM(F103:F108)</f>
        <v/>
      </c>
      <c r="G109" s="350">
        <f>SUM(G103:G108)</f>
        <v/>
      </c>
      <c r="H109" s="350">
        <f>SUM(H103:H108)</f>
        <v/>
      </c>
      <c r="I109" s="350">
        <f>SUM(I103:I108)</f>
        <v/>
      </c>
      <c r="J109" s="350">
        <f>SUM(J103:J108)</f>
        <v/>
      </c>
      <c r="K109" s="349">
        <f>SUM(K103:K108)</f>
        <v/>
      </c>
      <c r="L109" s="350">
        <f>SUM(L103:L108)</f>
        <v/>
      </c>
      <c r="M109" s="350">
        <f>SUM(M103:M108)</f>
        <v/>
      </c>
      <c r="N109" s="350">
        <f>SUM(N103:N108)</f>
        <v/>
      </c>
      <c r="O109" s="350">
        <f>SUM(O103:O108)</f>
        <v/>
      </c>
      <c r="P109" s="349">
        <f>SUM(P103:P108)</f>
        <v/>
      </c>
      <c r="Q109" s="350">
        <f>SUM(Q103:Q108)</f>
        <v/>
      </c>
      <c r="R109" s="350">
        <f>SUM(R103:R108)</f>
        <v/>
      </c>
      <c r="S109" s="350">
        <f>SUM(S103:S108)</f>
        <v/>
      </c>
      <c r="T109" s="350">
        <f>SUM(T103:T108)</f>
        <v/>
      </c>
      <c r="U109" s="349">
        <f>SUM(U103:U108)</f>
        <v/>
      </c>
      <c r="V109" s="350">
        <f>SUM(V103:V108)</f>
        <v/>
      </c>
      <c r="W109" s="350">
        <f>SUM(W103:W108)</f>
        <v/>
      </c>
      <c r="X109" s="350">
        <f>SUM(X103:X108)</f>
        <v/>
      </c>
      <c r="Y109" s="351">
        <f>SUM(Y103:Y108)</f>
        <v/>
      </c>
      <c r="Z109" s="352">
        <f>SUM(Z103:Z108)</f>
        <v/>
      </c>
      <c r="AA109" s="350">
        <f>SUM(AA103:AA108)</f>
        <v/>
      </c>
      <c r="AB109" s="350">
        <f>SUM(AB103:AB108)</f>
        <v/>
      </c>
      <c r="AC109" s="350">
        <f>SUM(AC103:AC108)</f>
        <v/>
      </c>
      <c r="AD109" s="351">
        <f>SUM(AD103:AD108)</f>
        <v/>
      </c>
      <c r="AE109" s="352">
        <f>SUM(AE103:AE108)</f>
        <v/>
      </c>
      <c r="AF109" s="350">
        <f>SUM(AF103:AF108)</f>
        <v/>
      </c>
      <c r="AG109" s="350">
        <f>SUM(AG103:AG108)</f>
        <v/>
      </c>
      <c r="AH109" s="350">
        <f>SUM(AH103:AH108)</f>
        <v/>
      </c>
      <c r="AI109" s="351">
        <f>SUM(AI103:AI108)</f>
        <v/>
      </c>
      <c r="AJ109" s="352">
        <f>SUM(AJ103:AJ108)</f>
        <v/>
      </c>
      <c r="AK109" s="350">
        <f>SUM(AK103:AK108)</f>
        <v/>
      </c>
      <c r="AL109" s="353">
        <f>SUM(AL103:AL108)</f>
        <v/>
      </c>
      <c r="AM109" s="351" t="n"/>
      <c r="AN109" s="351" t="n"/>
      <c r="AO109" s="352" t="n"/>
      <c r="AP109" s="351" t="n"/>
      <c r="AQ109" s="351" t="n"/>
      <c r="AR109" s="351" t="n"/>
      <c r="AS109" s="351" t="n"/>
      <c r="AT109" s="352" t="n"/>
      <c r="AU109" s="352" t="n"/>
      <c r="AV109" s="352" t="n"/>
      <c r="AW109" s="352" t="n"/>
      <c r="AX109" s="22" t="n"/>
    </row>
    <row r="110" hidden="1" outlineLevel="1" customFormat="1" s="9">
      <c r="A110" s="35" t="n"/>
      <c r="B110" s="103" t="n"/>
      <c r="C110" s="4" t="n"/>
      <c r="D110" s="4" t="n"/>
      <c r="E110" s="4" t="n"/>
      <c r="F110" s="4" t="n"/>
      <c r="G110" s="22" t="n"/>
      <c r="H110" s="22" t="n"/>
      <c r="I110" s="22" t="n"/>
      <c r="J110" s="22" t="n"/>
      <c r="K110" s="4" t="n"/>
      <c r="L110" s="22" t="n"/>
      <c r="M110" s="22" t="n"/>
      <c r="N110" s="22" t="n"/>
      <c r="O110" s="22" t="n"/>
      <c r="P110" s="4" t="n"/>
      <c r="Q110" s="22" t="n"/>
      <c r="R110" s="22" t="n"/>
      <c r="S110" s="22" t="n"/>
      <c r="T110" s="22" t="n"/>
      <c r="U110" s="4" t="n"/>
      <c r="V110" s="22" t="n"/>
      <c r="W110" s="22" t="n"/>
      <c r="X110" s="22" t="n"/>
      <c r="Y110" s="378" t="n"/>
      <c r="Z110" s="117" t="n"/>
      <c r="AA110" s="22" t="n"/>
      <c r="AB110" s="22" t="n"/>
      <c r="AC110" s="22" t="n"/>
      <c r="AD110" s="378" t="n"/>
      <c r="AE110" s="117" t="n"/>
      <c r="AF110" s="22" t="n"/>
      <c r="AG110" s="22" t="n"/>
      <c r="AH110" s="22" t="n"/>
      <c r="AI110" s="378" t="n"/>
      <c r="AJ110" s="117" t="n"/>
      <c r="AK110" s="22" t="n"/>
      <c r="AL110" s="308" t="n"/>
      <c r="AM110" s="378" t="n"/>
      <c r="AN110" s="378" t="n"/>
      <c r="AO110" s="117" t="n"/>
      <c r="AP110" s="378" t="n"/>
      <c r="AQ110" s="378" t="n"/>
      <c r="AR110" s="378" t="n"/>
      <c r="AS110" s="378" t="n"/>
      <c r="AT110" s="117" t="n"/>
      <c r="AU110" s="117" t="n"/>
      <c r="AV110" s="117" t="n"/>
      <c r="AW110" s="117" t="n"/>
      <c r="AX110" s="22" t="n"/>
    </row>
    <row r="111" hidden="1" outlineLevel="1" customFormat="1" s="5">
      <c r="A111" s="36" t="inlineStr">
        <is>
          <t>Cost of goods sold SBC</t>
        </is>
      </c>
      <c r="B111" s="376" t="n"/>
      <c r="C111" s="343" t="n"/>
      <c r="D111" s="343" t="n">
        <v>0.385</v>
      </c>
      <c r="E111" s="343" t="n">
        <v>0.98</v>
      </c>
      <c r="F111" s="343" t="n">
        <v>1.621</v>
      </c>
      <c r="G111" s="228" t="n">
        <v>0.464</v>
      </c>
      <c r="H111" s="228" t="n">
        <v>0.434</v>
      </c>
      <c r="I111" s="228" t="n">
        <v>0.461</v>
      </c>
      <c r="J111" s="228">
        <f>K111-SUM(G111:I111)</f>
        <v/>
      </c>
      <c r="K111" s="343" t="n">
        <v>1.828</v>
      </c>
      <c r="L111" s="228" t="n">
        <v>0.522</v>
      </c>
      <c r="M111" s="228" t="n">
        <v>0.532</v>
      </c>
      <c r="N111" s="228" t="n">
        <v>0.532</v>
      </c>
      <c r="O111" s="228">
        <f>P111-SUM(L111:N111)</f>
        <v/>
      </c>
      <c r="P111" s="343" t="n">
        <v>2.162</v>
      </c>
      <c r="Q111" s="228" t="n">
        <v>0.547</v>
      </c>
      <c r="R111" s="228" t="n">
        <v>0.61</v>
      </c>
      <c r="S111" s="228" t="n">
        <v>0.592</v>
      </c>
      <c r="T111" s="228">
        <f>U111-SUM(Q111:S111)</f>
        <v/>
      </c>
      <c r="U111" s="343" t="n">
        <v>2.366</v>
      </c>
      <c r="V111" s="228" t="n">
        <v>0.475</v>
      </c>
      <c r="W111" s="228" t="n">
        <v>0.671</v>
      </c>
      <c r="X111" s="228" t="n">
        <v>0.627</v>
      </c>
      <c r="Y111" s="93">
        <f>Z111-SUM(V111:X111)</f>
        <v/>
      </c>
      <c r="Z111" s="344" t="n">
        <v>2.375</v>
      </c>
      <c r="AA111" s="228" t="n">
        <v>0.482</v>
      </c>
      <c r="AB111" s="228" t="n">
        <v>0.575</v>
      </c>
      <c r="AC111" s="228" t="n">
        <v>0.473</v>
      </c>
      <c r="AD111" s="93" t="n">
        <v>0.47</v>
      </c>
      <c r="AE111" s="344" t="n">
        <v>2</v>
      </c>
      <c r="AF111" s="228" t="n">
        <v>0.411</v>
      </c>
      <c r="AG111" s="228" t="n">
        <v>0.415</v>
      </c>
      <c r="AH111" s="228" t="n">
        <v>0.515</v>
      </c>
      <c r="AI111" s="93" t="n">
        <v>0.609</v>
      </c>
      <c r="AJ111" s="344" t="n">
        <v>1.95</v>
      </c>
      <c r="AK111" s="228" t="n">
        <v>0.6840000000000001</v>
      </c>
      <c r="AL111" s="322" t="n">
        <v>0.829</v>
      </c>
      <c r="AM111" s="93" t="n"/>
      <c r="AN111" s="93" t="n"/>
      <c r="AO111" s="344" t="n"/>
      <c r="AP111" s="93" t="n"/>
      <c r="AQ111" s="93" t="n"/>
      <c r="AR111" s="93" t="n"/>
      <c r="AS111" s="93" t="n"/>
      <c r="AT111" s="344" t="n"/>
      <c r="AU111" s="344" t="n"/>
      <c r="AV111" s="344" t="n"/>
      <c r="AW111" s="344" t="n"/>
      <c r="AX111" s="228" t="n"/>
    </row>
    <row r="112" hidden="1" outlineLevel="1" customFormat="1" s="5">
      <c r="A112" s="36" t="inlineStr">
        <is>
          <t>Research and development SBC</t>
        </is>
      </c>
      <c r="B112" s="376" t="n"/>
      <c r="C112" s="343" t="n"/>
      <c r="D112" s="343" t="n">
        <v>8.031000000000001</v>
      </c>
      <c r="E112" s="343" t="n">
        <v>11.906</v>
      </c>
      <c r="F112" s="343" t="n">
        <v>19.356</v>
      </c>
      <c r="G112" s="228" t="n">
        <v>5.808</v>
      </c>
      <c r="H112" s="228" t="n">
        <v>6.442</v>
      </c>
      <c r="I112" s="228" t="n">
        <v>6.898</v>
      </c>
      <c r="J112" s="228">
        <f>K112-SUM(G112:I112)</f>
        <v/>
      </c>
      <c r="K112" s="343" t="n">
        <v>25.956</v>
      </c>
      <c r="L112" s="228" t="n">
        <v>6.678</v>
      </c>
      <c r="M112" s="228" t="n">
        <v>6.753</v>
      </c>
      <c r="N112" s="228" t="n">
        <v>6.756</v>
      </c>
      <c r="O112" s="228">
        <f>P112-SUM(L112:N112)</f>
        <v/>
      </c>
      <c r="P112" s="343" t="n">
        <v>26.979</v>
      </c>
      <c r="Q112" s="228" t="n">
        <v>6.768</v>
      </c>
      <c r="R112" s="228" t="n">
        <v>7.553</v>
      </c>
      <c r="S112" s="228" t="n">
        <v>7.183</v>
      </c>
      <c r="T112" s="228">
        <f>U112-SUM(Q112:S112)</f>
        <v/>
      </c>
      <c r="U112" s="343" t="n">
        <v>28.821</v>
      </c>
      <c r="V112" s="228" t="n">
        <v>9.151999999999999</v>
      </c>
      <c r="W112" s="228" t="n">
        <v>10.77</v>
      </c>
      <c r="X112" s="228" t="n">
        <v>10.396</v>
      </c>
      <c r="Y112" s="93">
        <f>Z112-SUM(V112:X112)</f>
        <v/>
      </c>
      <c r="Z112" s="344" t="n">
        <v>40.475</v>
      </c>
      <c r="AA112" s="228" t="n">
        <v>8.69</v>
      </c>
      <c r="AB112" s="228" t="n">
        <v>10.297</v>
      </c>
      <c r="AC112" s="228" t="n">
        <v>10.811</v>
      </c>
      <c r="AD112" s="93" t="n">
        <v>10.479</v>
      </c>
      <c r="AE112" s="344" t="n">
        <v>40.278</v>
      </c>
      <c r="AF112" s="228" t="n">
        <v>8.173999999999999</v>
      </c>
      <c r="AG112" s="228" t="n">
        <v>8.34</v>
      </c>
      <c r="AH112" s="228" t="n">
        <v>10.395</v>
      </c>
      <c r="AI112" s="93" t="n">
        <v>12.013</v>
      </c>
      <c r="AJ112" s="344" t="n">
        <v>38.922</v>
      </c>
      <c r="AK112" s="228" t="n">
        <v>13.241</v>
      </c>
      <c r="AL112" s="322" t="n">
        <v>14.486</v>
      </c>
      <c r="AM112" s="93" t="n"/>
      <c r="AN112" s="93" t="n"/>
      <c r="AO112" s="344" t="n"/>
      <c r="AP112" s="93" t="n"/>
      <c r="AQ112" s="93" t="n"/>
      <c r="AR112" s="93" t="n"/>
      <c r="AS112" s="93" t="n"/>
      <c r="AT112" s="344" t="n"/>
      <c r="AU112" s="344" t="n"/>
      <c r="AV112" s="344" t="n"/>
      <c r="AW112" s="344" t="n"/>
      <c r="AX112" s="228" t="n"/>
    </row>
    <row r="113" hidden="1" outlineLevel="1" customFormat="1" s="5">
      <c r="A113" s="36" t="inlineStr">
        <is>
          <t>Sales and marketing SBC</t>
        </is>
      </c>
      <c r="B113" s="376" t="n"/>
      <c r="C113" s="343" t="n"/>
      <c r="D113" s="343" t="n">
        <v>2.73</v>
      </c>
      <c r="E113" s="343" t="n">
        <v>4.894</v>
      </c>
      <c r="F113" s="343" t="n">
        <v>8.055</v>
      </c>
      <c r="G113" s="228" t="n">
        <v>2.124</v>
      </c>
      <c r="H113" s="228" t="n">
        <v>2.342</v>
      </c>
      <c r="I113" s="228" t="n">
        <v>2.407</v>
      </c>
      <c r="J113" s="228">
        <f>K113-SUM(G113:I113)</f>
        <v/>
      </c>
      <c r="K113" s="343" t="n">
        <v>9.198</v>
      </c>
      <c r="L113" s="228" t="n">
        <v>2.433</v>
      </c>
      <c r="M113" s="228" t="n">
        <v>2.479</v>
      </c>
      <c r="N113" s="228" t="n">
        <v>2.473</v>
      </c>
      <c r="O113" s="228">
        <f>P113-SUM(L113:N113)</f>
        <v/>
      </c>
      <c r="P113" s="343" t="n">
        <v>9.755000000000001</v>
      </c>
      <c r="Q113" s="228" t="n">
        <v>2.394</v>
      </c>
      <c r="R113" s="228" t="n">
        <v>2.75</v>
      </c>
      <c r="S113" s="228" t="n">
        <v>2.621</v>
      </c>
      <c r="T113" s="228">
        <f>U113-SUM(Q113:S113)</f>
        <v/>
      </c>
      <c r="U113" s="343" t="n">
        <v>10.309</v>
      </c>
      <c r="V113" s="228" t="n">
        <v>3.648</v>
      </c>
      <c r="W113" s="228" t="n">
        <v>3.889</v>
      </c>
      <c r="X113" s="228" t="n">
        <v>3.837</v>
      </c>
      <c r="Y113" s="93">
        <f>Z113-SUM(V113:X113)</f>
        <v/>
      </c>
      <c r="Z113" s="344" t="n">
        <v>15.183</v>
      </c>
      <c r="AA113" s="228" t="n">
        <v>3.338</v>
      </c>
      <c r="AB113" s="228" t="n">
        <v>4.01</v>
      </c>
      <c r="AC113" s="228" t="n">
        <v>4.336</v>
      </c>
      <c r="AD113" s="93" t="n">
        <v>4.009</v>
      </c>
      <c r="AE113" s="344" t="n">
        <v>15.693</v>
      </c>
      <c r="AF113" s="228" t="n">
        <v>3.599</v>
      </c>
      <c r="AG113" s="228" t="n">
        <v>3.646</v>
      </c>
      <c r="AH113" s="228" t="n">
        <v>4.645</v>
      </c>
      <c r="AI113" s="93" t="n">
        <v>5.152</v>
      </c>
      <c r="AJ113" s="344" t="n">
        <v>17.042</v>
      </c>
      <c r="AK113" s="228" t="n">
        <v>5.652</v>
      </c>
      <c r="AL113" s="322" t="n">
        <v>6.504</v>
      </c>
      <c r="AM113" s="93" t="n"/>
      <c r="AN113" s="93" t="n"/>
      <c r="AO113" s="344" t="n"/>
      <c r="AP113" s="93" t="n"/>
      <c r="AQ113" s="93" t="n"/>
      <c r="AR113" s="93" t="n"/>
      <c r="AS113" s="93" t="n"/>
      <c r="AT113" s="344" t="n"/>
      <c r="AU113" s="344" t="n"/>
      <c r="AV113" s="344" t="n"/>
      <c r="AW113" s="344" t="n"/>
      <c r="AX113" s="228" t="n"/>
    </row>
    <row r="114" hidden="1" outlineLevel="1" customFormat="1" s="5">
      <c r="A114" s="36" t="inlineStr">
        <is>
          <t>General and administrative SBC</t>
        </is>
      </c>
      <c r="B114" s="376" t="n"/>
      <c r="C114" s="343" t="n"/>
      <c r="D114" s="343" t="n">
        <v>2.955</v>
      </c>
      <c r="E114" s="343" t="n">
        <v>3.632</v>
      </c>
      <c r="F114" s="343" t="n">
        <v>5.987</v>
      </c>
      <c r="G114" s="228" t="n">
        <v>1.979</v>
      </c>
      <c r="H114" s="228" t="n">
        <v>1.947</v>
      </c>
      <c r="I114" s="228" t="n">
        <v>2.166</v>
      </c>
      <c r="J114" s="228">
        <f>K114-SUM(G114:I114)</f>
        <v/>
      </c>
      <c r="K114" s="343" t="n">
        <v>8.156000000000001</v>
      </c>
      <c r="L114" s="228" t="n">
        <v>2.005</v>
      </c>
      <c r="M114" s="228" t="n">
        <v>2.183</v>
      </c>
      <c r="N114" s="228" t="n">
        <v>2.088</v>
      </c>
      <c r="O114" s="228">
        <f>P114-SUM(L114:N114)</f>
        <v/>
      </c>
      <c r="P114" s="343" t="n">
        <v>8.339</v>
      </c>
      <c r="Q114" s="228" t="n">
        <v>2.009</v>
      </c>
      <c r="R114" s="228" t="n">
        <v>2.373</v>
      </c>
      <c r="S114" s="228" t="n">
        <v>2.434</v>
      </c>
      <c r="T114" s="228">
        <f>U114-SUM(Q114:S114)</f>
        <v/>
      </c>
      <c r="U114" s="343" t="n">
        <v>9.268000000000001</v>
      </c>
      <c r="V114" s="228" t="n">
        <v>4.991</v>
      </c>
      <c r="W114" s="228" t="n">
        <v>2.764</v>
      </c>
      <c r="X114" s="228" t="n">
        <v>2.716</v>
      </c>
      <c r="Y114" s="93">
        <f>Z114-SUM(V114:X114)</f>
        <v/>
      </c>
      <c r="Z114" s="344" t="n">
        <v>13.085</v>
      </c>
      <c r="AA114" s="228" t="n">
        <v>2.258</v>
      </c>
      <c r="AB114" s="228" t="n">
        <v>2.783</v>
      </c>
      <c r="AC114" s="228" t="n">
        <v>2.94</v>
      </c>
      <c r="AD114" s="93" t="n">
        <v>2.913</v>
      </c>
      <c r="AE114" s="344" t="n">
        <v>10.893</v>
      </c>
      <c r="AF114" s="228" t="n">
        <v>2.79</v>
      </c>
      <c r="AG114" s="228" t="n">
        <v>2.515</v>
      </c>
      <c r="AH114" s="228" t="n">
        <v>3.601</v>
      </c>
      <c r="AI114" s="93" t="n">
        <v>4.522</v>
      </c>
      <c r="AJ114" s="344" t="n">
        <v>13.428</v>
      </c>
      <c r="AK114" s="345" t="n">
        <v>4.665</v>
      </c>
      <c r="AL114" s="322" t="n">
        <v>5.13</v>
      </c>
      <c r="AM114" s="93" t="n"/>
      <c r="AN114" s="93" t="n"/>
      <c r="AO114" s="344" t="n"/>
      <c r="AP114" s="93" t="n"/>
      <c r="AQ114" s="93" t="n"/>
      <c r="AR114" s="93" t="n"/>
      <c r="AS114" s="93" t="n"/>
      <c r="AT114" s="344" t="n"/>
      <c r="AU114" s="344" t="n"/>
      <c r="AV114" s="344" t="n"/>
      <c r="AW114" s="344" t="n"/>
      <c r="AX114" s="228" t="n"/>
    </row>
    <row r="115" hidden="1" outlineLevel="1" customFormat="1" s="9">
      <c r="A115" s="347" t="inlineStr">
        <is>
          <t>Total Share-based Compensation Expense</t>
        </is>
      </c>
      <c r="B115" s="377" t="n"/>
      <c r="C115" s="349">
        <f>SUM(C111:C114)</f>
        <v/>
      </c>
      <c r="D115" s="349">
        <f>SUM(D111:D114)</f>
        <v/>
      </c>
      <c r="E115" s="349">
        <f>SUM(E111:E114)</f>
        <v/>
      </c>
      <c r="F115" s="349">
        <f>SUM(F111:F114)</f>
        <v/>
      </c>
      <c r="G115" s="350">
        <f>SUM(G111:G114)</f>
        <v/>
      </c>
      <c r="H115" s="350">
        <f>SUM(H111:H114)</f>
        <v/>
      </c>
      <c r="I115" s="350">
        <f>SUM(I111:I114)</f>
        <v/>
      </c>
      <c r="J115" s="350">
        <f>SUM(J111:J114)</f>
        <v/>
      </c>
      <c r="K115" s="349">
        <f>SUM(K111:K114)</f>
        <v/>
      </c>
      <c r="L115" s="350">
        <f>SUM(L111:L114)</f>
        <v/>
      </c>
      <c r="M115" s="350">
        <f>SUM(M111:M114)</f>
        <v/>
      </c>
      <c r="N115" s="350">
        <f>SUM(N111:N114)</f>
        <v/>
      </c>
      <c r="O115" s="350">
        <f>SUM(O111:O114)</f>
        <v/>
      </c>
      <c r="P115" s="349">
        <f>SUM(P111:P114)</f>
        <v/>
      </c>
      <c r="Q115" s="350">
        <f>SUM(Q111:Q114)</f>
        <v/>
      </c>
      <c r="R115" s="350">
        <f>SUM(R111:R114)</f>
        <v/>
      </c>
      <c r="S115" s="350">
        <f>SUM(S111:S114)</f>
        <v/>
      </c>
      <c r="T115" s="350">
        <f>SUM(T111:T114)</f>
        <v/>
      </c>
      <c r="U115" s="349">
        <f>SUM(U111:U114)</f>
        <v/>
      </c>
      <c r="V115" s="350">
        <f>SUM(V111:V114)</f>
        <v/>
      </c>
      <c r="W115" s="350">
        <f>SUM(W111:W114)</f>
        <v/>
      </c>
      <c r="X115" s="350">
        <f>SUM(X111:X114)</f>
        <v/>
      </c>
      <c r="Y115" s="351">
        <f>SUM(Y111:Y114)</f>
        <v/>
      </c>
      <c r="Z115" s="352">
        <f>SUM(Z111:Z114)</f>
        <v/>
      </c>
      <c r="AA115" s="350">
        <f>SUM(AA111:AA114)</f>
        <v/>
      </c>
      <c r="AB115" s="350">
        <f>SUM(AB111:AB114)</f>
        <v/>
      </c>
      <c r="AC115" s="350">
        <f>SUM(AC111:AC114)</f>
        <v/>
      </c>
      <c r="AD115" s="351">
        <f>SUM(AD111:AD114)</f>
        <v/>
      </c>
      <c r="AE115" s="352">
        <f>SUM(AE111:AE114)</f>
        <v/>
      </c>
      <c r="AF115" s="350">
        <f>SUM(AF111:AF114)</f>
        <v/>
      </c>
      <c r="AG115" s="350">
        <f>SUM(AG111:AG114)</f>
        <v/>
      </c>
      <c r="AH115" s="350">
        <f>SUM(AH111:AH114)</f>
        <v/>
      </c>
      <c r="AI115" s="351">
        <f>SUM(AI111:AI114)</f>
        <v/>
      </c>
      <c r="AJ115" s="352">
        <f>SUM(AJ111:AJ114)</f>
        <v/>
      </c>
      <c r="AK115" s="350">
        <f>SUM(AK111:AK114)</f>
        <v/>
      </c>
      <c r="AL115" s="353">
        <f>SUM(AL111:AL114)</f>
        <v/>
      </c>
      <c r="AM115" s="351" t="n"/>
      <c r="AN115" s="351" t="n"/>
      <c r="AO115" s="352" t="n"/>
      <c r="AP115" s="351" t="n"/>
      <c r="AQ115" s="351" t="n"/>
      <c r="AR115" s="351" t="n"/>
      <c r="AS115" s="351" t="n"/>
      <c r="AT115" s="352" t="n"/>
      <c r="AU115" s="352" t="n"/>
      <c r="AV115" s="352" t="n"/>
      <c r="AW115" s="352" t="n"/>
      <c r="AX115" s="22" t="n"/>
    </row>
    <row r="116" hidden="1" outlineLevel="1" customFormat="1" s="9">
      <c r="A116" s="35" t="n"/>
      <c r="B116" s="103" t="n"/>
      <c r="C116" s="4" t="n"/>
      <c r="D116" s="4" t="n"/>
      <c r="E116" s="4" t="n"/>
      <c r="F116" s="4" t="n"/>
      <c r="G116" s="22" t="n"/>
      <c r="H116" s="22" t="n"/>
      <c r="I116" s="22" t="n"/>
      <c r="J116" s="22" t="n"/>
      <c r="K116" s="4" t="n"/>
      <c r="L116" s="22" t="n"/>
      <c r="M116" s="22" t="n"/>
      <c r="N116" s="22" t="n"/>
      <c r="O116" s="22" t="n"/>
      <c r="P116" s="4" t="n"/>
      <c r="Q116" s="22" t="n"/>
      <c r="R116" s="22" t="n"/>
      <c r="S116" s="22" t="n"/>
      <c r="T116" s="22" t="n"/>
      <c r="U116" s="4" t="n"/>
      <c r="V116" s="22" t="n"/>
      <c r="W116" s="22" t="n"/>
      <c r="X116" s="22" t="n"/>
      <c r="Y116" s="378" t="n"/>
      <c r="Z116" s="117" t="n"/>
      <c r="AA116" s="22" t="n"/>
      <c r="AB116" s="22" t="n"/>
      <c r="AC116" s="22" t="n"/>
      <c r="AD116" s="378" t="n"/>
      <c r="AE116" s="117" t="n"/>
      <c r="AF116" s="22" t="n"/>
      <c r="AG116" s="22" t="n"/>
      <c r="AH116" s="22" t="n"/>
      <c r="AI116" s="378" t="n"/>
      <c r="AJ116" s="117" t="n"/>
      <c r="AK116" s="22" t="n"/>
      <c r="AL116" s="308" t="n"/>
      <c r="AM116" s="378" t="n"/>
      <c r="AN116" s="378" t="n"/>
      <c r="AO116" s="117" t="n"/>
      <c r="AP116" s="378" t="n"/>
      <c r="AQ116" s="378" t="n"/>
      <c r="AR116" s="378" t="n"/>
      <c r="AS116" s="378" t="n"/>
      <c r="AT116" s="117" t="n"/>
      <c r="AU116" s="117" t="n"/>
      <c r="AV116" s="117" t="n"/>
      <c r="AW116" s="117" t="n"/>
      <c r="AX116" s="22" t="n"/>
    </row>
    <row r="117" hidden="1" outlineLevel="1" customFormat="1" s="5">
      <c r="A117" s="36" t="inlineStr">
        <is>
          <t>Cost of revenues intangible amortization</t>
        </is>
      </c>
      <c r="B117" s="376" t="n"/>
      <c r="C117" s="343" t="n"/>
      <c r="D117" s="343" t="n"/>
      <c r="E117" s="343" t="n">
        <v>8.246</v>
      </c>
      <c r="F117" s="343" t="n">
        <v>7.52</v>
      </c>
      <c r="G117" s="228" t="n">
        <v>1.957</v>
      </c>
      <c r="H117" s="228" t="n">
        <v>1.703</v>
      </c>
      <c r="I117" s="228" t="n">
        <v>3.57</v>
      </c>
      <c r="J117" s="228" t="n">
        <v>3.25</v>
      </c>
      <c r="K117" s="343" t="n">
        <v>10.548</v>
      </c>
      <c r="L117" s="228" t="n">
        <v>2.271</v>
      </c>
      <c r="M117" s="228" t="n">
        <v>1.777</v>
      </c>
      <c r="N117" s="228" t="n">
        <v>1.651</v>
      </c>
      <c r="O117" s="228" t="n">
        <v>1.474</v>
      </c>
      <c r="P117" s="343" t="n">
        <v>7.173</v>
      </c>
      <c r="Q117" s="228" t="n">
        <v>1.474</v>
      </c>
      <c r="R117" s="228" t="n">
        <v>2.073</v>
      </c>
      <c r="S117" s="228" t="n">
        <v>2.074</v>
      </c>
      <c r="T117" s="228" t="n">
        <v>2.073</v>
      </c>
      <c r="U117" s="343" t="n">
        <v>7.694</v>
      </c>
      <c r="V117" s="228" t="n">
        <v>10.429</v>
      </c>
      <c r="W117" s="228" t="n">
        <v>13.533</v>
      </c>
      <c r="X117" s="228" t="n">
        <v>13.519</v>
      </c>
      <c r="Y117" s="93" t="n">
        <v>10.64</v>
      </c>
      <c r="Z117" s="344" t="n">
        <v>48.119</v>
      </c>
      <c r="AA117" s="228" t="n">
        <v>10.588</v>
      </c>
      <c r="AB117" s="228" t="n">
        <v>10.614</v>
      </c>
      <c r="AC117" s="228" t="n">
        <v>10.641</v>
      </c>
      <c r="AD117" s="93" t="n">
        <v>10.641</v>
      </c>
      <c r="AE117" s="344" t="n">
        <v>42.482</v>
      </c>
      <c r="AF117" s="228" t="n">
        <v>10.883</v>
      </c>
      <c r="AG117" s="228" t="n">
        <v>11.106</v>
      </c>
      <c r="AH117" s="228" t="n">
        <v>10.226</v>
      </c>
      <c r="AI117" s="93" t="n">
        <v>9.763999999999999</v>
      </c>
      <c r="AJ117" s="344" t="n">
        <v>41.978</v>
      </c>
      <c r="AK117" s="228" t="n">
        <v>9.708</v>
      </c>
      <c r="AL117" s="322" t="n">
        <v>9.734999999999999</v>
      </c>
      <c r="AM117" s="93" t="n"/>
      <c r="AN117" s="93" t="n"/>
      <c r="AO117" s="344" t="n"/>
      <c r="AP117" s="93" t="n"/>
      <c r="AQ117" s="93" t="n"/>
      <c r="AR117" s="93" t="n"/>
      <c r="AS117" s="93" t="n"/>
      <c r="AT117" s="344" t="n"/>
      <c r="AU117" s="344" t="n"/>
      <c r="AV117" s="344" t="n"/>
      <c r="AW117" s="344" t="n"/>
      <c r="AX117" s="228" t="n"/>
    </row>
    <row r="118" hidden="1" outlineLevel="1" customFormat="1" s="5">
      <c r="A118" s="36" t="inlineStr">
        <is>
          <t>Research and development intangible amortization</t>
        </is>
      </c>
      <c r="B118" s="376" t="n"/>
      <c r="C118" s="343" t="n"/>
      <c r="D118" s="343" t="n"/>
      <c r="E118" s="343" t="n">
        <v>0</v>
      </c>
      <c r="F118" s="343" t="n">
        <v>0</v>
      </c>
      <c r="G118" s="228" t="n">
        <v>0</v>
      </c>
      <c r="H118" s="228" t="n">
        <v>0.175</v>
      </c>
      <c r="I118" s="228" t="n">
        <v>0.164</v>
      </c>
      <c r="J118" s="228" t="n">
        <v>0.168</v>
      </c>
      <c r="K118" s="343" t="n">
        <v>0.507</v>
      </c>
      <c r="L118" s="228" t="n">
        <v>0.195</v>
      </c>
      <c r="M118" s="228" t="n">
        <v>0.196</v>
      </c>
      <c r="N118" s="228" t="n">
        <v>0.195</v>
      </c>
      <c r="O118" s="228" t="n">
        <v>0.195</v>
      </c>
      <c r="P118" s="343" t="n">
        <v>0.781</v>
      </c>
      <c r="Q118" s="228" t="n">
        <v>0.195</v>
      </c>
      <c r="R118" s="228" t="n">
        <v>0.195</v>
      </c>
      <c r="S118" s="228" t="n">
        <v>0.194</v>
      </c>
      <c r="T118" s="228" t="n">
        <v>0.195</v>
      </c>
      <c r="U118" s="343" t="n">
        <v>0.779</v>
      </c>
      <c r="V118" s="228" t="n">
        <v>0.195</v>
      </c>
      <c r="W118" s="228" t="n">
        <v>0.196</v>
      </c>
      <c r="X118" s="228" t="n">
        <v>0.195</v>
      </c>
      <c r="Y118" s="93" t="n">
        <v>0.196</v>
      </c>
      <c r="Z118" s="344" t="n">
        <v>0.781</v>
      </c>
      <c r="AA118" s="228" t="n">
        <v>0.192</v>
      </c>
      <c r="AB118" s="228" t="n">
        <v>0.194</v>
      </c>
      <c r="AC118" s="228" t="n">
        <v>0.196</v>
      </c>
      <c r="AD118" s="93" t="n">
        <v>0.196</v>
      </c>
      <c r="AE118" s="344" t="n">
        <v>0.779</v>
      </c>
      <c r="AF118" s="228" t="n">
        <v>0.192</v>
      </c>
      <c r="AG118" s="228" t="n">
        <v>0.194</v>
      </c>
      <c r="AH118" s="228" t="n">
        <v>0.196</v>
      </c>
      <c r="AI118" s="93" t="n">
        <v>0.196</v>
      </c>
      <c r="AJ118" s="344" t="n">
        <v>0.778</v>
      </c>
      <c r="AK118" s="228" t="n">
        <v>0.192</v>
      </c>
      <c r="AL118" s="322" t="n">
        <v>0.194</v>
      </c>
      <c r="AM118" s="93" t="n"/>
      <c r="AN118" s="93" t="n"/>
      <c r="AO118" s="344" t="n"/>
      <c r="AP118" s="93" t="n"/>
      <c r="AQ118" s="93" t="n"/>
      <c r="AR118" s="93" t="n"/>
      <c r="AS118" s="93" t="n"/>
      <c r="AT118" s="344" t="n"/>
      <c r="AU118" s="344" t="n"/>
      <c r="AV118" s="344" t="n"/>
      <c r="AW118" s="344" t="n"/>
      <c r="AX118" s="228" t="n"/>
    </row>
    <row r="119" hidden="1" outlineLevel="1" customFormat="1" s="5">
      <c r="A119" s="36" t="inlineStr">
        <is>
          <t>Sales and marketing intangible amortization</t>
        </is>
      </c>
      <c r="B119" s="376" t="n"/>
      <c r="C119" s="343" t="n"/>
      <c r="D119" s="343" t="n"/>
      <c r="E119" s="343" t="n">
        <v>1.569</v>
      </c>
      <c r="F119" s="343" t="n">
        <v>1.757</v>
      </c>
      <c r="G119" s="228" t="n">
        <v>0.439</v>
      </c>
      <c r="H119" s="228" t="n">
        <v>0.636</v>
      </c>
      <c r="I119" s="228" t="n">
        <v>0.837</v>
      </c>
      <c r="J119" s="228" t="n">
        <v>1.039</v>
      </c>
      <c r="K119" s="343" t="n">
        <v>2.951</v>
      </c>
      <c r="L119" s="228" t="n">
        <v>1.039</v>
      </c>
      <c r="M119" s="228" t="n">
        <v>1.039</v>
      </c>
      <c r="N119" s="228" t="n">
        <v>1.039</v>
      </c>
      <c r="O119" s="228" t="n">
        <v>1.039</v>
      </c>
      <c r="P119" s="343" t="n">
        <v>4.156</v>
      </c>
      <c r="Q119" s="228" t="n">
        <v>0.584</v>
      </c>
      <c r="R119" s="228" t="n">
        <v>0.197</v>
      </c>
      <c r="S119" s="228" t="n">
        <v>0.196</v>
      </c>
      <c r="T119" s="228" t="n">
        <v>0.196</v>
      </c>
      <c r="U119" s="343" t="n">
        <v>1.173</v>
      </c>
      <c r="V119" s="228" t="n">
        <v>1.023</v>
      </c>
      <c r="W119" s="228" t="n">
        <v>2.232</v>
      </c>
      <c r="X119" s="228" t="n">
        <v>2.23</v>
      </c>
      <c r="Y119" s="93" t="n">
        <v>2.23</v>
      </c>
      <c r="Z119" s="344" t="n">
        <v>7.713</v>
      </c>
      <c r="AA119" s="228" t="n">
        <v>2.23</v>
      </c>
      <c r="AB119" s="228" t="n">
        <v>2.23</v>
      </c>
      <c r="AC119" s="228" t="n">
        <v>2.23</v>
      </c>
      <c r="AD119" s="93" t="n">
        <v>2.23</v>
      </c>
      <c r="AE119" s="344" t="n">
        <v>8.919</v>
      </c>
      <c r="AF119" s="228" t="n">
        <v>2.23</v>
      </c>
      <c r="AG119" s="228" t="n">
        <v>2.033</v>
      </c>
      <c r="AH119" s="228" t="n">
        <v>2.033</v>
      </c>
      <c r="AI119" s="93" t="n">
        <v>2.033</v>
      </c>
      <c r="AJ119" s="344" t="n">
        <v>8.33</v>
      </c>
      <c r="AK119" s="345" t="n">
        <v>1.844</v>
      </c>
      <c r="AL119" s="322" t="n">
        <v>1.567</v>
      </c>
      <c r="AM119" s="93" t="n"/>
      <c r="AN119" s="93" t="n"/>
      <c r="AO119" s="344" t="n"/>
      <c r="AP119" s="93" t="n"/>
      <c r="AQ119" s="93" t="n"/>
      <c r="AR119" s="93" t="n"/>
      <c r="AS119" s="93" t="n"/>
      <c r="AT119" s="344" t="n"/>
      <c r="AU119" s="344" t="n"/>
      <c r="AV119" s="344" t="n"/>
      <c r="AW119" s="344" t="n"/>
      <c r="AX119" s="228" t="n"/>
    </row>
    <row r="120" hidden="1" outlineLevel="1" customFormat="1" s="9">
      <c r="A120" s="347" t="inlineStr">
        <is>
          <t>Total Amortization of Acquired Intangibles</t>
        </is>
      </c>
      <c r="B120" s="377" t="n"/>
      <c r="C120" s="349">
        <f>SUM(C117:C119)</f>
        <v/>
      </c>
      <c r="D120" s="349">
        <f>SUM(D117:D119)</f>
        <v/>
      </c>
      <c r="E120" s="349">
        <f>SUM(E117:E119)</f>
        <v/>
      </c>
      <c r="F120" s="349">
        <f>SUM(F117:F119)</f>
        <v/>
      </c>
      <c r="G120" s="350">
        <f>SUM(G117:G119)</f>
        <v/>
      </c>
      <c r="H120" s="350">
        <f>SUM(H117:H119)</f>
        <v/>
      </c>
      <c r="I120" s="350">
        <f>SUM(I117:I119)</f>
        <v/>
      </c>
      <c r="J120" s="350">
        <f>SUM(J117:J119)</f>
        <v/>
      </c>
      <c r="K120" s="349">
        <f>SUM(K117:K119)</f>
        <v/>
      </c>
      <c r="L120" s="350">
        <f>SUM(L117:L119)</f>
        <v/>
      </c>
      <c r="M120" s="350">
        <f>SUM(M117:M119)</f>
        <v/>
      </c>
      <c r="N120" s="350">
        <f>SUM(N117:N119)</f>
        <v/>
      </c>
      <c r="O120" s="350">
        <f>SUM(O117:O119)</f>
        <v/>
      </c>
      <c r="P120" s="349">
        <f>SUM(P117:P119)</f>
        <v/>
      </c>
      <c r="Q120" s="350">
        <f>SUM(Q117:Q119)</f>
        <v/>
      </c>
      <c r="R120" s="350">
        <f>SUM(R117:R119)</f>
        <v/>
      </c>
      <c r="S120" s="350">
        <f>SUM(S117:S119)</f>
        <v/>
      </c>
      <c r="T120" s="350">
        <f>SUM(T117:T119)</f>
        <v/>
      </c>
      <c r="U120" s="349">
        <f>SUM(U117:U119)</f>
        <v/>
      </c>
      <c r="V120" s="350">
        <f>SUM(V117:V119)</f>
        <v/>
      </c>
      <c r="W120" s="350">
        <f>SUM(W117:W119)</f>
        <v/>
      </c>
      <c r="X120" s="350">
        <f>SUM(X117:X119)</f>
        <v/>
      </c>
      <c r="Y120" s="351">
        <f>SUM(Y117:Y119)</f>
        <v/>
      </c>
      <c r="Z120" s="352">
        <f>SUM(Z117:Z119)</f>
        <v/>
      </c>
      <c r="AA120" s="350">
        <f>SUM(AA117:AA119)</f>
        <v/>
      </c>
      <c r="AB120" s="350">
        <f>SUM(AB117:AB119)</f>
        <v/>
      </c>
      <c r="AC120" s="350">
        <f>SUM(AC117:AC119)</f>
        <v/>
      </c>
      <c r="AD120" s="351">
        <f>SUM(AD117:AD119)</f>
        <v/>
      </c>
      <c r="AE120" s="352">
        <f>SUM(AE117:AE119)</f>
        <v/>
      </c>
      <c r="AF120" s="350">
        <f>SUM(AF117:AF119)</f>
        <v/>
      </c>
      <c r="AG120" s="350">
        <f>SUM(AG117:AG119)</f>
        <v/>
      </c>
      <c r="AH120" s="350">
        <f>SUM(AH117:AH119)</f>
        <v/>
      </c>
      <c r="AI120" s="351">
        <f>SUM(AI117:AI119)</f>
        <v/>
      </c>
      <c r="AJ120" s="352">
        <f>SUM(AJ117:AJ119)</f>
        <v/>
      </c>
      <c r="AK120" s="350">
        <f>SUM(AK117:AK119)</f>
        <v/>
      </c>
      <c r="AL120" s="353">
        <f>SUM(AL117:AL119)</f>
        <v/>
      </c>
      <c r="AM120" s="351" t="n"/>
      <c r="AN120" s="351" t="n"/>
      <c r="AO120" s="352" t="n"/>
      <c r="AP120" s="351" t="n"/>
      <c r="AQ120" s="351" t="n"/>
      <c r="AR120" s="351" t="n"/>
      <c r="AS120" s="351" t="n"/>
      <c r="AT120" s="352" t="n"/>
      <c r="AU120" s="352" t="n"/>
      <c r="AV120" s="352" t="n"/>
      <c r="AW120" s="352" t="n"/>
      <c r="AX120" s="22" t="n"/>
    </row>
    <row r="121" hidden="1" outlineLevel="1" customFormat="1" s="9">
      <c r="A121" s="35" t="n"/>
      <c r="B121" s="103" t="n"/>
      <c r="C121" s="4" t="n"/>
      <c r="D121" s="4" t="n"/>
      <c r="E121" s="4" t="n"/>
      <c r="F121" s="4" t="n"/>
      <c r="G121" s="22" t="n"/>
      <c r="H121" s="22" t="n"/>
      <c r="I121" s="22" t="n"/>
      <c r="J121" s="22" t="n"/>
      <c r="K121" s="4" t="n"/>
      <c r="L121" s="22" t="n"/>
      <c r="M121" s="22" t="n"/>
      <c r="N121" s="22" t="n"/>
      <c r="O121" s="22" t="n"/>
      <c r="P121" s="4" t="n"/>
      <c r="Q121" s="22" t="n"/>
      <c r="R121" s="22" t="n"/>
      <c r="S121" s="22" t="n"/>
      <c r="T121" s="22" t="n"/>
      <c r="U121" s="4" t="n"/>
      <c r="V121" s="22" t="n"/>
      <c r="W121" s="22" t="n"/>
      <c r="X121" s="22" t="n"/>
      <c r="Y121" s="378" t="n"/>
      <c r="Z121" s="117" t="n"/>
      <c r="AA121" s="22" t="n"/>
      <c r="AB121" s="22" t="n"/>
      <c r="AC121" s="22" t="n"/>
      <c r="AD121" s="378" t="n"/>
      <c r="AE121" s="117" t="n"/>
      <c r="AF121" s="22" t="n"/>
      <c r="AG121" s="22" t="n"/>
      <c r="AH121" s="22" t="n"/>
      <c r="AI121" s="378" t="n"/>
      <c r="AJ121" s="117" t="n"/>
      <c r="AK121" s="22" t="n"/>
      <c r="AL121" s="308" t="n"/>
      <c r="AM121" s="378" t="n"/>
      <c r="AN121" s="378" t="n"/>
      <c r="AO121" s="117" t="n"/>
      <c r="AP121" s="378" t="n"/>
      <c r="AQ121" s="378" t="n"/>
      <c r="AR121" s="378" t="n"/>
      <c r="AS121" s="378" t="n"/>
      <c r="AT121" s="117" t="n"/>
      <c r="AU121" s="117" t="n"/>
      <c r="AV121" s="117" t="n"/>
      <c r="AW121" s="117" t="n"/>
      <c r="AX121" s="22" t="n"/>
    </row>
    <row r="122" hidden="1" outlineLevel="1" customFormat="1" s="5">
      <c r="A122" s="36" t="inlineStr">
        <is>
          <t>Cost of goods sold acquisition related charges</t>
        </is>
      </c>
      <c r="B122" s="376" t="n"/>
      <c r="C122" s="343" t="n"/>
      <c r="D122" s="343" t="n"/>
      <c r="E122" s="343" t="n"/>
      <c r="F122" s="343" t="n"/>
      <c r="G122" s="228" t="n"/>
      <c r="H122" s="228" t="n">
        <v>0</v>
      </c>
      <c r="I122" s="228" t="n">
        <v>0.699</v>
      </c>
      <c r="J122" s="228" t="n">
        <v>0.208</v>
      </c>
      <c r="K122" s="343" t="n">
        <v>0.907</v>
      </c>
      <c r="L122" s="228" t="n">
        <v>0.08400000000000001</v>
      </c>
      <c r="M122" s="228" t="n">
        <v>0.535</v>
      </c>
      <c r="N122" s="228" t="n">
        <v>0.23</v>
      </c>
      <c r="O122" s="228" t="n">
        <v>0</v>
      </c>
      <c r="P122" s="343" t="n">
        <v>0.849</v>
      </c>
      <c r="Q122" s="228" t="n">
        <v>0</v>
      </c>
      <c r="R122" s="228" t="n">
        <v>0</v>
      </c>
      <c r="S122" s="228" t="n">
        <v>0</v>
      </c>
      <c r="T122" s="228" t="n">
        <v>0</v>
      </c>
      <c r="U122" s="343" t="n">
        <v>0</v>
      </c>
      <c r="V122" s="228" t="n">
        <v>3.3</v>
      </c>
      <c r="W122" s="228" t="n">
        <v>4.233</v>
      </c>
      <c r="X122" s="228" t="n">
        <v>0.729</v>
      </c>
      <c r="Y122" s="93" t="n">
        <v>0</v>
      </c>
      <c r="Z122" s="344" t="n">
        <v>8.260999999999999</v>
      </c>
      <c r="AA122" s="228" t="n">
        <v>0</v>
      </c>
      <c r="AB122" s="228" t="n">
        <v>0</v>
      </c>
      <c r="AC122" s="228" t="n">
        <v>0</v>
      </c>
      <c r="AD122" s="93" t="n">
        <v>0</v>
      </c>
      <c r="AE122" s="344" t="n">
        <v>0</v>
      </c>
      <c r="AF122" s="228" t="n">
        <v>0</v>
      </c>
      <c r="AG122" s="228" t="n">
        <v>0</v>
      </c>
      <c r="AH122" s="228" t="n">
        <v>0</v>
      </c>
      <c r="AI122" s="93" t="n"/>
      <c r="AJ122" s="344" t="n"/>
      <c r="AK122" s="228" t="n"/>
      <c r="AL122" s="322" t="n"/>
      <c r="AM122" s="93" t="n"/>
      <c r="AN122" s="93" t="n"/>
      <c r="AO122" s="344" t="n"/>
      <c r="AP122" s="93" t="n"/>
      <c r="AQ122" s="93" t="n"/>
      <c r="AR122" s="93" t="n"/>
      <c r="AS122" s="93" t="n"/>
      <c r="AT122" s="344" t="n"/>
      <c r="AU122" s="344" t="n"/>
      <c r="AV122" s="344" t="n"/>
      <c r="AW122" s="344" t="n"/>
      <c r="AX122" s="228" t="n"/>
    </row>
    <row r="123" hidden="1" outlineLevel="1" customFormat="1" s="5">
      <c r="A123" s="36" t="inlineStr">
        <is>
          <t>Research and development acquisition related charges</t>
        </is>
      </c>
      <c r="B123" s="376" t="n"/>
      <c r="C123" s="343" t="n"/>
      <c r="D123" s="343" t="n"/>
      <c r="E123" s="343" t="n"/>
      <c r="F123" s="343" t="n"/>
      <c r="G123" s="228" t="n"/>
      <c r="H123" s="228" t="n">
        <v>0</v>
      </c>
      <c r="I123" s="228" t="n">
        <v>0.333</v>
      </c>
      <c r="J123" s="228" t="n">
        <v>0.219</v>
      </c>
      <c r="K123" s="343" t="n">
        <v>0.552</v>
      </c>
      <c r="L123" s="228" t="n">
        <v>0.398</v>
      </c>
      <c r="M123" s="228" t="n">
        <v>0.335</v>
      </c>
      <c r="N123" s="228" t="n">
        <v>1.216</v>
      </c>
      <c r="O123" s="228" t="n">
        <v>0.744</v>
      </c>
      <c r="P123" s="343" t="n">
        <v>2.693</v>
      </c>
      <c r="Q123" s="228" t="n">
        <v>0.763</v>
      </c>
      <c r="R123" s="228" t="n">
        <v>0.84</v>
      </c>
      <c r="S123" s="228" t="n">
        <v>0.29</v>
      </c>
      <c r="T123" s="228" t="n">
        <v>0.225</v>
      </c>
      <c r="U123" s="343" t="n">
        <v>2.118</v>
      </c>
      <c r="V123" s="228" t="n">
        <v>0.476</v>
      </c>
      <c r="W123" s="228" t="n">
        <v>0.164</v>
      </c>
      <c r="X123" s="228" t="n">
        <v>0.407</v>
      </c>
      <c r="Y123" s="93" t="n">
        <v>0.787</v>
      </c>
      <c r="Z123" s="344" t="n">
        <v>1.834</v>
      </c>
      <c r="AA123" s="228" t="n">
        <v>0.283</v>
      </c>
      <c r="AB123" s="228" t="n">
        <v>0.153</v>
      </c>
      <c r="AC123" s="228" t="n">
        <v>0.105</v>
      </c>
      <c r="AD123" s="93" t="n">
        <v>0.193</v>
      </c>
      <c r="AE123" s="344" t="n">
        <v>0.734</v>
      </c>
      <c r="AF123" s="228" t="n">
        <v>0.287</v>
      </c>
      <c r="AG123" s="228" t="n">
        <v>0.08799999999999999</v>
      </c>
      <c r="AH123" s="228" t="n">
        <v>0.092</v>
      </c>
      <c r="AI123" s="93" t="n">
        <v>0.092</v>
      </c>
      <c r="AJ123" s="344" t="n">
        <v>0.5580000000000001</v>
      </c>
      <c r="AK123" s="228" t="n">
        <v>0.09</v>
      </c>
      <c r="AL123" s="322" t="n">
        <v>0.231</v>
      </c>
      <c r="AM123" s="93" t="n"/>
      <c r="AN123" s="93" t="n"/>
      <c r="AO123" s="344" t="n"/>
      <c r="AP123" s="93" t="n"/>
      <c r="AQ123" s="93" t="n"/>
      <c r="AR123" s="93" t="n"/>
      <c r="AS123" s="93" t="n"/>
      <c r="AT123" s="344" t="n"/>
      <c r="AU123" s="344" t="n"/>
      <c r="AV123" s="344" t="n"/>
      <c r="AW123" s="344" t="n"/>
      <c r="AX123" s="228" t="n"/>
    </row>
    <row r="124" hidden="1" outlineLevel="1" customFormat="1" s="5">
      <c r="A124" s="36" t="inlineStr">
        <is>
          <t>Sales and marketing acquisition related charges</t>
        </is>
      </c>
      <c r="B124" s="376" t="n"/>
      <c r="C124" s="343" t="n"/>
      <c r="D124" s="343" t="n"/>
      <c r="E124" s="343" t="n"/>
      <c r="F124" s="343" t="n"/>
      <c r="G124" s="228" t="n"/>
      <c r="H124" s="228" t="n">
        <v>0</v>
      </c>
      <c r="I124" s="228" t="n">
        <v>0.261</v>
      </c>
      <c r="J124" s="228" t="n">
        <v>0.219</v>
      </c>
      <c r="K124" s="343" t="n">
        <v>0.48</v>
      </c>
      <c r="L124" s="228" t="n">
        <v>0.238</v>
      </c>
      <c r="M124" s="228" t="n">
        <v>0.174</v>
      </c>
      <c r="N124" s="228" t="n">
        <v>0.225</v>
      </c>
      <c r="O124" s="228" t="n">
        <v>0.226</v>
      </c>
      <c r="P124" s="343" t="n">
        <v>0.863</v>
      </c>
      <c r="Q124" s="228" t="n">
        <v>0.225</v>
      </c>
      <c r="R124" s="228" t="n">
        <v>0.225</v>
      </c>
      <c r="S124" s="228" t="n">
        <v>0</v>
      </c>
      <c r="T124" s="228" t="n">
        <v>0</v>
      </c>
      <c r="U124" s="343" t="n">
        <v>0.45</v>
      </c>
      <c r="V124" s="228" t="n">
        <v>0.056</v>
      </c>
      <c r="W124" s="228" t="n">
        <v>0.15</v>
      </c>
      <c r="X124" s="228" t="n">
        <v>0</v>
      </c>
      <c r="Y124" s="93" t="n">
        <v>0</v>
      </c>
      <c r="Z124" s="344" t="n">
        <v>0.206</v>
      </c>
      <c r="AA124" s="228" t="n">
        <v>0.06</v>
      </c>
      <c r="AB124" s="228" t="n">
        <v>0</v>
      </c>
      <c r="AC124" s="228" t="n">
        <v>0.032</v>
      </c>
      <c r="AD124" s="93" t="n">
        <v>0.048</v>
      </c>
      <c r="AE124" s="344" t="n">
        <v>0.141</v>
      </c>
      <c r="AF124" s="228" t="n">
        <v>0.16</v>
      </c>
      <c r="AG124" s="228" t="n">
        <v>0.048</v>
      </c>
      <c r="AH124" s="228" t="n">
        <v>0.03</v>
      </c>
      <c r="AI124" s="93" t="n">
        <v>0.03</v>
      </c>
      <c r="AJ124" s="344" t="n">
        <v>0.268</v>
      </c>
      <c r="AK124" s="228" t="n">
        <v>0.03</v>
      </c>
      <c r="AL124" s="322" t="n">
        <v>0.108</v>
      </c>
      <c r="AM124" s="93" t="n"/>
      <c r="AN124" s="93" t="n"/>
      <c r="AO124" s="344" t="n"/>
      <c r="AP124" s="93" t="n"/>
      <c r="AQ124" s="93" t="n"/>
      <c r="AR124" s="93" t="n"/>
      <c r="AS124" s="93" t="n"/>
      <c r="AT124" s="344" t="n"/>
      <c r="AU124" s="344" t="n"/>
      <c r="AV124" s="344" t="n"/>
      <c r="AW124" s="344" t="n"/>
      <c r="AX124" s="228" t="n"/>
    </row>
    <row r="125" hidden="1" outlineLevel="1" customFormat="1" s="5">
      <c r="A125" s="36" t="inlineStr">
        <is>
          <t>General and administrative acquisition related charges</t>
        </is>
      </c>
      <c r="B125" s="376" t="n"/>
      <c r="C125" s="343" t="n"/>
      <c r="D125" s="343" t="n"/>
      <c r="E125" s="343" t="n"/>
      <c r="F125" s="343" t="n"/>
      <c r="G125" s="228" t="n"/>
      <c r="H125" s="228" t="n">
        <v>1.828</v>
      </c>
      <c r="I125" s="228" t="n">
        <v>0.672</v>
      </c>
      <c r="J125" s="228" t="n">
        <v>0.274</v>
      </c>
      <c r="K125" s="343" t="n">
        <v>2.774</v>
      </c>
      <c r="L125" s="228" t="n"/>
      <c r="M125" s="228" t="n">
        <v>0</v>
      </c>
      <c r="N125" s="228" t="n">
        <v>0</v>
      </c>
      <c r="O125" s="228" t="n">
        <v>0</v>
      </c>
      <c r="P125" s="343" t="n">
        <v>0</v>
      </c>
      <c r="Q125" s="228" t="n">
        <v>0</v>
      </c>
      <c r="R125" s="228" t="n">
        <v>0</v>
      </c>
      <c r="S125" s="228" t="n">
        <v>0.742</v>
      </c>
      <c r="T125" s="228" t="n">
        <v>1.078</v>
      </c>
      <c r="U125" s="343" t="n">
        <v>1.82</v>
      </c>
      <c r="V125" s="228" t="n">
        <v>6.348</v>
      </c>
      <c r="W125" s="228" t="n">
        <v>0.313</v>
      </c>
      <c r="X125" s="228" t="n">
        <v>0.08500000000000001</v>
      </c>
      <c r="Y125" s="93" t="n">
        <v>0.097</v>
      </c>
      <c r="Z125" s="344" t="n">
        <v>6.844</v>
      </c>
      <c r="AA125" s="228" t="n">
        <v>0.134</v>
      </c>
      <c r="AB125" s="228" t="n">
        <v>0</v>
      </c>
      <c r="AC125" s="228" t="n">
        <v>0.153</v>
      </c>
      <c r="AD125" s="93" t="n">
        <v>1.507</v>
      </c>
      <c r="AE125" s="344" t="n">
        <v>1.794</v>
      </c>
      <c r="AF125" s="228" t="n">
        <v>3.831</v>
      </c>
      <c r="AG125" s="228" t="n">
        <v>10.366</v>
      </c>
      <c r="AH125" s="228" t="n">
        <v>1.003</v>
      </c>
      <c r="AI125" s="93" t="n">
        <v>0.223</v>
      </c>
      <c r="AJ125" s="344" t="n">
        <v>15.423</v>
      </c>
      <c r="AK125" s="345" t="n">
        <v>4.654</v>
      </c>
      <c r="AL125" s="322" t="n">
        <v>3.434</v>
      </c>
      <c r="AM125" s="93" t="n"/>
      <c r="AN125" s="93" t="n"/>
      <c r="AO125" s="344" t="n"/>
      <c r="AP125" s="93" t="n"/>
      <c r="AQ125" s="93" t="n"/>
      <c r="AR125" s="93" t="n"/>
      <c r="AS125" s="93" t="n"/>
      <c r="AT125" s="344" t="n"/>
      <c r="AU125" s="344" t="n"/>
      <c r="AV125" s="344" t="n"/>
      <c r="AW125" s="344" t="n"/>
      <c r="AX125" s="228" t="n"/>
    </row>
    <row r="126" hidden="1" outlineLevel="1" customFormat="1" s="9">
      <c r="A126" s="347" t="inlineStr">
        <is>
          <t>Total Acquisition Related Charges</t>
        </is>
      </c>
      <c r="B126" s="377" t="n"/>
      <c r="C126" s="349">
        <f>SUM(C122:C125)</f>
        <v/>
      </c>
      <c r="D126" s="349">
        <f>SUM(D122:D125)</f>
        <v/>
      </c>
      <c r="E126" s="349">
        <f>SUM(E122:E125)</f>
        <v/>
      </c>
      <c r="F126" s="349">
        <f>SUM(F122:F125)</f>
        <v/>
      </c>
      <c r="G126" s="350">
        <f>SUM(G122:G125)</f>
        <v/>
      </c>
      <c r="H126" s="350">
        <f>SUM(H122:H125)</f>
        <v/>
      </c>
      <c r="I126" s="350">
        <f>SUM(I122:I125)</f>
        <v/>
      </c>
      <c r="J126" s="350">
        <f>SUM(J122:J125)</f>
        <v/>
      </c>
      <c r="K126" s="349">
        <f>SUM(K122:K125)</f>
        <v/>
      </c>
      <c r="L126" s="350">
        <f>SUM(L122:L125)</f>
        <v/>
      </c>
      <c r="M126" s="350">
        <f>SUM(M122:M125)</f>
        <v/>
      </c>
      <c r="N126" s="350">
        <f>SUM(N122:N125)</f>
        <v/>
      </c>
      <c r="O126" s="350">
        <f>SUM(O122:O125)</f>
        <v/>
      </c>
      <c r="P126" s="349">
        <f>SUM(P122:P125)</f>
        <v/>
      </c>
      <c r="Q126" s="350">
        <f>SUM(Q122:Q125)</f>
        <v/>
      </c>
      <c r="R126" s="350">
        <f>SUM(R122:R125)</f>
        <v/>
      </c>
      <c r="S126" s="350">
        <f>SUM(S122:S125)</f>
        <v/>
      </c>
      <c r="T126" s="350">
        <f>SUM(T122:T125)</f>
        <v/>
      </c>
      <c r="U126" s="349">
        <f>SUM(U122:U125)</f>
        <v/>
      </c>
      <c r="V126" s="350">
        <f>SUM(V122:V125)</f>
        <v/>
      </c>
      <c r="W126" s="350">
        <f>SUM(W122:W125)</f>
        <v/>
      </c>
      <c r="X126" s="350">
        <f>SUM(X122:X125)</f>
        <v/>
      </c>
      <c r="Y126" s="351">
        <f>SUM(Y122:Y125)</f>
        <v/>
      </c>
      <c r="Z126" s="352">
        <f>SUM(Z122:Z125)</f>
        <v/>
      </c>
      <c r="AA126" s="350">
        <f>SUM(AA122:AA125)</f>
        <v/>
      </c>
      <c r="AB126" s="350">
        <f>SUM(AB122:AB125)</f>
        <v/>
      </c>
      <c r="AC126" s="350">
        <f>SUM(AC122:AC125)</f>
        <v/>
      </c>
      <c r="AD126" s="351">
        <f>SUM(AD122:AD125)</f>
        <v/>
      </c>
      <c r="AE126" s="352">
        <f>SUM(AE122:AE125)</f>
        <v/>
      </c>
      <c r="AF126" s="350">
        <f>SUM(AF122:AF125)</f>
        <v/>
      </c>
      <c r="AG126" s="350">
        <f>SUM(AG122:AG125)</f>
        <v/>
      </c>
      <c r="AH126" s="350">
        <f>SUM(AH122:AH125)</f>
        <v/>
      </c>
      <c r="AI126" s="351">
        <f>SUM(AI122:AI125)</f>
        <v/>
      </c>
      <c r="AJ126" s="352">
        <f>SUM(AJ122:AJ125)</f>
        <v/>
      </c>
      <c r="AK126" s="350">
        <f>SUM(AK122:AK125)</f>
        <v/>
      </c>
      <c r="AL126" s="353">
        <f>SUM(AL122:AL125)</f>
        <v/>
      </c>
      <c r="AM126" s="351" t="n"/>
      <c r="AN126" s="351" t="n"/>
      <c r="AO126" s="352" t="n"/>
      <c r="AP126" s="351" t="n"/>
      <c r="AQ126" s="351" t="n"/>
      <c r="AR126" s="351" t="n"/>
      <c r="AS126" s="351" t="n"/>
      <c r="AT126" s="352" t="n"/>
      <c r="AU126" s="352" t="n"/>
      <c r="AV126" s="352" t="n"/>
      <c r="AW126" s="352" t="n"/>
      <c r="AX126" s="22" t="n"/>
    </row>
    <row r="127" hidden="1" outlineLevel="1" customFormat="1" s="9">
      <c r="A127" s="35" t="n"/>
      <c r="B127" s="103" t="n"/>
      <c r="C127" s="4" t="n"/>
      <c r="D127" s="4" t="n"/>
      <c r="E127" s="4" t="n"/>
      <c r="F127" s="4" t="n"/>
      <c r="G127" s="22" t="n"/>
      <c r="H127" s="22" t="n"/>
      <c r="I127" s="22" t="n"/>
      <c r="J127" s="22" t="n"/>
      <c r="K127" s="4" t="n"/>
      <c r="L127" s="22" t="n"/>
      <c r="M127" s="22" t="n"/>
      <c r="N127" s="22" t="n"/>
      <c r="O127" s="22" t="n"/>
      <c r="P127" s="4" t="n"/>
      <c r="Q127" s="22" t="n"/>
      <c r="R127" s="22" t="n"/>
      <c r="S127" s="22" t="n"/>
      <c r="T127" s="22" t="n"/>
      <c r="U127" s="4" t="n"/>
      <c r="V127" s="22" t="n"/>
      <c r="W127" s="22" t="n"/>
      <c r="X127" s="22" t="n"/>
      <c r="Y127" s="378" t="n"/>
      <c r="Z127" s="117" t="n"/>
      <c r="AA127" s="22" t="n"/>
      <c r="AB127" s="22" t="n"/>
      <c r="AC127" s="22" t="n"/>
      <c r="AD127" s="378" t="n"/>
      <c r="AE127" s="117" t="n"/>
      <c r="AF127" s="22" t="n"/>
      <c r="AG127" s="22" t="n"/>
      <c r="AH127" s="22" t="n"/>
      <c r="AI127" s="378" t="n"/>
      <c r="AJ127" s="117" t="n"/>
      <c r="AK127" s="22" t="n"/>
      <c r="AL127" s="308" t="n"/>
      <c r="AM127" s="378" t="n"/>
      <c r="AN127" s="378" t="n"/>
      <c r="AO127" s="117" t="n"/>
      <c r="AP127" s="378" t="n"/>
      <c r="AQ127" s="378" t="n"/>
      <c r="AR127" s="378" t="n"/>
      <c r="AS127" s="378" t="n"/>
      <c r="AT127" s="117" t="n"/>
      <c r="AU127" s="117" t="n"/>
      <c r="AV127" s="117" t="n"/>
      <c r="AW127" s="117" t="n"/>
      <c r="AX127" s="22" t="n"/>
    </row>
    <row r="128" hidden="1" outlineLevel="1" customFormat="1" s="5">
      <c r="A128" s="36" t="inlineStr">
        <is>
          <t>Cost of goods sold Settlement Costs</t>
        </is>
      </c>
      <c r="B128" s="376" t="n"/>
      <c r="C128" s="343" t="n"/>
      <c r="D128" s="343" t="n"/>
      <c r="E128" s="343" t="n"/>
      <c r="F128" s="343" t="n"/>
      <c r="G128" s="228" t="n"/>
      <c r="H128" s="228" t="n"/>
      <c r="I128" s="228" t="n"/>
      <c r="J128" s="228" t="n"/>
      <c r="K128" s="343" t="n"/>
      <c r="L128" s="228" t="n"/>
      <c r="M128" s="228" t="n"/>
      <c r="N128" s="228" t="n">
        <v>1.25</v>
      </c>
      <c r="O128" s="228" t="n">
        <v>0</v>
      </c>
      <c r="P128" s="343" t="n">
        <v>1.25</v>
      </c>
      <c r="Q128" s="228" t="n">
        <v>0</v>
      </c>
      <c r="R128" s="228" t="n">
        <v>0</v>
      </c>
      <c r="S128" s="228" t="n">
        <v>0</v>
      </c>
      <c r="T128" s="228" t="n">
        <v>0</v>
      </c>
      <c r="U128" s="343" t="n">
        <v>0</v>
      </c>
      <c r="V128" s="228" t="n">
        <v>0</v>
      </c>
      <c r="W128" s="228" t="n">
        <v>0</v>
      </c>
      <c r="X128" s="228" t="n">
        <v>0</v>
      </c>
      <c r="Y128" s="93" t="n">
        <v>0</v>
      </c>
      <c r="Z128" s="344" t="n">
        <v>0</v>
      </c>
      <c r="AA128" s="228" t="n"/>
      <c r="AB128" s="228" t="n"/>
      <c r="AC128" s="228" t="n"/>
      <c r="AD128" s="93" t="n"/>
      <c r="AE128" s="344" t="n"/>
      <c r="AF128" s="228" t="n"/>
      <c r="AG128" s="228" t="n">
        <v>9.161</v>
      </c>
      <c r="AH128" s="228" t="n">
        <v>0</v>
      </c>
      <c r="AI128" s="378" t="n"/>
      <c r="AJ128" s="344" t="n">
        <v>9.161</v>
      </c>
      <c r="AK128" s="228" t="n"/>
      <c r="AL128" s="322" t="n"/>
      <c r="AM128" s="93" t="n"/>
      <c r="AN128" s="93" t="n"/>
      <c r="AO128" s="344" t="n"/>
      <c r="AP128" s="93" t="n"/>
      <c r="AQ128" s="93" t="n"/>
      <c r="AR128" s="93" t="n"/>
      <c r="AS128" s="93" t="n"/>
      <c r="AT128" s="344" t="n"/>
      <c r="AU128" s="344" t="n"/>
      <c r="AV128" s="344" t="n"/>
      <c r="AW128" s="344" t="n"/>
      <c r="AX128" s="228" t="n"/>
    </row>
    <row r="129" hidden="1" outlineLevel="1" customFormat="1" s="5">
      <c r="A129" s="36" t="inlineStr">
        <is>
          <t>General and administrative Settlement Costs</t>
        </is>
      </c>
      <c r="B129" s="376" t="n"/>
      <c r="C129" s="343" t="n"/>
      <c r="D129" s="343" t="n"/>
      <c r="E129" s="343" t="n"/>
      <c r="F129" s="343" t="n"/>
      <c r="G129" s="228" t="n"/>
      <c r="H129" s="228" t="n"/>
      <c r="I129" s="228" t="n"/>
      <c r="J129" s="228" t="n"/>
      <c r="K129" s="343" t="n"/>
      <c r="L129" s="228" t="n"/>
      <c r="M129" s="228" t="n"/>
      <c r="N129" s="228" t="n">
        <v>0</v>
      </c>
      <c r="O129" s="228" t="n">
        <v>0</v>
      </c>
      <c r="P129" s="343" t="n">
        <v>0</v>
      </c>
      <c r="Q129" s="228" t="n">
        <v>0</v>
      </c>
      <c r="R129" s="228" t="n">
        <v>0</v>
      </c>
      <c r="S129" s="228" t="n">
        <v>0</v>
      </c>
      <c r="T129" s="228" t="n">
        <v>0</v>
      </c>
      <c r="U129" s="343" t="n">
        <v>0</v>
      </c>
      <c r="V129" s="228" t="n">
        <v>5.106</v>
      </c>
      <c r="W129" s="228" t="n">
        <v>0</v>
      </c>
      <c r="X129" s="228" t="n">
        <v>0</v>
      </c>
      <c r="Y129" s="93" t="n">
        <v>-0.125</v>
      </c>
      <c r="Z129" s="344" t="n">
        <v>4.981</v>
      </c>
      <c r="AA129" s="228" t="n"/>
      <c r="AB129" s="228" t="n"/>
      <c r="AC129" s="228" t="n"/>
      <c r="AD129" s="93" t="n"/>
      <c r="AE129" s="344" t="n"/>
      <c r="AF129" s="228" t="n"/>
      <c r="AG129" s="228" t="n"/>
      <c r="AH129" s="228" t="n"/>
      <c r="AI129" s="93" t="n"/>
      <c r="AJ129" s="344" t="n"/>
      <c r="AK129" s="228" t="n"/>
      <c r="AL129" s="322" t="n"/>
      <c r="AM129" s="93" t="n"/>
      <c r="AN129" s="93" t="n"/>
      <c r="AO129" s="344" t="n"/>
      <c r="AP129" s="93" t="n"/>
      <c r="AQ129" s="93" t="n"/>
      <c r="AR129" s="93" t="n"/>
      <c r="AS129" s="93" t="n"/>
      <c r="AT129" s="344" t="n"/>
      <c r="AU129" s="344" t="n"/>
      <c r="AV129" s="344" t="n"/>
      <c r="AW129" s="344" t="n"/>
      <c r="AX129" s="228" t="n"/>
    </row>
    <row r="130" hidden="1" outlineLevel="1" customFormat="1" s="9">
      <c r="A130" s="347" t="inlineStr">
        <is>
          <t>Total Settlement Costs</t>
        </is>
      </c>
      <c r="B130" s="377" t="n"/>
      <c r="C130" s="349">
        <f>SUM(C128:C129)</f>
        <v/>
      </c>
      <c r="D130" s="349">
        <f>SUM(D128:D129)</f>
        <v/>
      </c>
      <c r="E130" s="349">
        <f>SUM(E128:E129)</f>
        <v/>
      </c>
      <c r="F130" s="349">
        <f>SUM(F128:F129)</f>
        <v/>
      </c>
      <c r="G130" s="350">
        <f>SUM(G128:G129)</f>
        <v/>
      </c>
      <c r="H130" s="350">
        <f>SUM(H128:H129)</f>
        <v/>
      </c>
      <c r="I130" s="350">
        <f>SUM(I128:I129)</f>
        <v/>
      </c>
      <c r="J130" s="350">
        <f>SUM(J128:J129)</f>
        <v/>
      </c>
      <c r="K130" s="349">
        <f>SUM(K128:K129)</f>
        <v/>
      </c>
      <c r="L130" s="350">
        <f>SUM(L128:L129)</f>
        <v/>
      </c>
      <c r="M130" s="350">
        <f>SUM(M128:M129)</f>
        <v/>
      </c>
      <c r="N130" s="350">
        <f>SUM(N128:N129)</f>
        <v/>
      </c>
      <c r="O130" s="350">
        <f>SUM(O128:O129)</f>
        <v/>
      </c>
      <c r="P130" s="349">
        <f>SUM(P128:P129)</f>
        <v/>
      </c>
      <c r="Q130" s="350">
        <f>SUM(Q128:Q129)</f>
        <v/>
      </c>
      <c r="R130" s="350">
        <f>SUM(R128:R129)</f>
        <v/>
      </c>
      <c r="S130" s="350">
        <f>SUM(S128:S129)</f>
        <v/>
      </c>
      <c r="T130" s="350">
        <f>SUM(T128:T129)</f>
        <v/>
      </c>
      <c r="U130" s="349">
        <f>SUM(U128:U129)</f>
        <v/>
      </c>
      <c r="V130" s="350">
        <f>SUM(V128:V129)</f>
        <v/>
      </c>
      <c r="W130" s="350">
        <f>SUM(W128:W129)</f>
        <v/>
      </c>
      <c r="X130" s="350">
        <f>SUM(X128:X129)</f>
        <v/>
      </c>
      <c r="Y130" s="351">
        <f>SUM(Y128:Y129)</f>
        <v/>
      </c>
      <c r="Z130" s="352">
        <f>SUM(Z128:Z129)</f>
        <v/>
      </c>
      <c r="AA130" s="350">
        <f>SUM(AA128:AA129)</f>
        <v/>
      </c>
      <c r="AB130" s="350">
        <f>SUM(AB128:AB129)</f>
        <v/>
      </c>
      <c r="AC130" s="350">
        <f>SUM(AC128:AC129)</f>
        <v/>
      </c>
      <c r="AD130" s="351">
        <f>SUM(AD128:AD129)</f>
        <v/>
      </c>
      <c r="AE130" s="352">
        <f>SUM(AE128:AE129)</f>
        <v/>
      </c>
      <c r="AF130" s="350">
        <f>SUM(AF128:AF129)</f>
        <v/>
      </c>
      <c r="AG130" s="350">
        <f>SUM(AG128:AG129)</f>
        <v/>
      </c>
      <c r="AH130" s="350">
        <f>SUM(AH128:AH129)</f>
        <v/>
      </c>
      <c r="AI130" s="351">
        <f>SUM(AI128:AI129)</f>
        <v/>
      </c>
      <c r="AJ130" s="352">
        <f>SUM(AJ128:AJ129)</f>
        <v/>
      </c>
      <c r="AK130" s="350">
        <f>SUM(AK128:AK129)</f>
        <v/>
      </c>
      <c r="AL130" s="353">
        <f>SUM(AL128:AL129)</f>
        <v/>
      </c>
      <c r="AM130" s="351" t="n"/>
      <c r="AN130" s="351" t="n"/>
      <c r="AO130" s="352" t="n"/>
      <c r="AP130" s="351" t="n"/>
      <c r="AQ130" s="351" t="n"/>
      <c r="AR130" s="351" t="n"/>
      <c r="AS130" s="351" t="n"/>
      <c r="AT130" s="352" t="n"/>
      <c r="AU130" s="352" t="n"/>
      <c r="AV130" s="352" t="n"/>
      <c r="AW130" s="352" t="n"/>
      <c r="AX130" s="22" t="n"/>
    </row>
    <row r="131" collapsed="1" customFormat="1" s="9">
      <c r="A131" s="35" t="n"/>
      <c r="B131" s="103" t="n"/>
      <c r="C131" s="4" t="n"/>
      <c r="D131" s="4" t="n"/>
      <c r="E131" s="4" t="n"/>
      <c r="F131" s="4" t="n"/>
      <c r="G131" s="22" t="n"/>
      <c r="H131" s="22" t="n"/>
      <c r="I131" s="22" t="n"/>
      <c r="J131" s="22" t="n"/>
      <c r="K131" s="4" t="n"/>
      <c r="L131" s="22" t="n"/>
      <c r="M131" s="22" t="n"/>
      <c r="N131" s="22" t="n"/>
      <c r="O131" s="22" t="n"/>
      <c r="P131" s="4" t="n"/>
      <c r="Q131" s="22" t="n"/>
      <c r="R131" s="22" t="n"/>
      <c r="S131" s="22" t="n"/>
      <c r="T131" s="22" t="n"/>
      <c r="U131" s="4" t="n"/>
      <c r="V131" s="22" t="n"/>
      <c r="W131" s="22" t="n"/>
      <c r="X131" s="22" t="n"/>
      <c r="Y131" s="22" t="n"/>
      <c r="Z131" s="4" t="n"/>
      <c r="AA131" s="22" t="n"/>
      <c r="AB131" s="22" t="n"/>
      <c r="AC131" s="22" t="n"/>
      <c r="AD131" s="22" t="n"/>
      <c r="AE131" s="4" t="n"/>
      <c r="AF131" s="22" t="n"/>
      <c r="AG131" s="22" t="n"/>
      <c r="AH131" s="22" t="n"/>
      <c r="AI131" s="22" t="n"/>
      <c r="AJ131" s="4" t="n"/>
      <c r="AK131" s="22" t="n"/>
      <c r="AL131" s="308" t="n"/>
      <c r="AM131" s="22" t="n"/>
      <c r="AN131" s="22" t="n"/>
      <c r="AO131" s="4" t="n"/>
      <c r="AP131" s="22" t="n"/>
      <c r="AQ131" s="22" t="n"/>
      <c r="AR131" s="22" t="n"/>
      <c r="AS131" s="22" t="n"/>
      <c r="AT131" s="4" t="n"/>
      <c r="AU131" s="4" t="n"/>
      <c r="AV131" s="4" t="n"/>
      <c r="AW131" s="4" t="n"/>
      <c r="AX131" s="22" t="n"/>
    </row>
    <row r="132" customFormat="1" s="9">
      <c r="A132" s="45" t="inlineStr">
        <is>
          <t>Revised Income Statement</t>
        </is>
      </c>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c r="AA132" s="45" t="n"/>
      <c r="AB132" s="45" t="n"/>
      <c r="AC132" s="45" t="n"/>
      <c r="AD132" s="45" t="n"/>
      <c r="AE132" s="45" t="n"/>
      <c r="AF132" s="45" t="n"/>
      <c r="AG132" s="45" t="n"/>
      <c r="AH132" s="45" t="n"/>
      <c r="AI132" s="45" t="n"/>
      <c r="AJ132" s="45" t="n"/>
      <c r="AK132" s="45" t="n"/>
      <c r="AL132" s="306" t="n"/>
      <c r="AM132" s="45" t="n"/>
      <c r="AN132" s="45" t="n"/>
      <c r="AO132" s="45" t="n"/>
      <c r="AP132" s="45" t="n"/>
      <c r="AQ132" s="45" t="n"/>
      <c r="AR132" s="45" t="n"/>
      <c r="AS132" s="45" t="n"/>
      <c r="AT132" s="45" t="n"/>
      <c r="AU132" s="45" t="n"/>
      <c r="AV132" s="45" t="n"/>
      <c r="AW132" s="45" t="n"/>
      <c r="AX132" s="22" t="n"/>
    </row>
    <row r="133" customFormat="1" s="9">
      <c r="A133" s="35" t="inlineStr">
        <is>
          <t>Net Revenue</t>
        </is>
      </c>
      <c r="B133" s="103" t="n"/>
      <c r="C133" s="4">
        <f>C56</f>
        <v/>
      </c>
      <c r="D133" s="4">
        <f>D56</f>
        <v/>
      </c>
      <c r="E133" s="4">
        <f>E56</f>
        <v/>
      </c>
      <c r="F133" s="4">
        <f>F56</f>
        <v/>
      </c>
      <c r="G133" s="22">
        <f>G56</f>
        <v/>
      </c>
      <c r="H133" s="22">
        <f>H56</f>
        <v/>
      </c>
      <c r="I133" s="22">
        <f>I56</f>
        <v/>
      </c>
      <c r="J133" s="22">
        <f>J56</f>
        <v/>
      </c>
      <c r="K133" s="4">
        <f>K56</f>
        <v/>
      </c>
      <c r="L133" s="22">
        <f>L56</f>
        <v/>
      </c>
      <c r="M133" s="22">
        <f>M56</f>
        <v/>
      </c>
      <c r="N133" s="22">
        <f>N56</f>
        <v/>
      </c>
      <c r="O133" s="22">
        <f>O56</f>
        <v/>
      </c>
      <c r="P133" s="4">
        <f>P56</f>
        <v/>
      </c>
      <c r="Q133" s="22">
        <f>Q56</f>
        <v/>
      </c>
      <c r="R133" s="22">
        <f>R56</f>
        <v/>
      </c>
      <c r="S133" s="22">
        <f>S56</f>
        <v/>
      </c>
      <c r="T133" s="22">
        <f>T56</f>
        <v/>
      </c>
      <c r="U133" s="4">
        <f>U56</f>
        <v/>
      </c>
      <c r="V133" s="22">
        <f>V56</f>
        <v/>
      </c>
      <c r="W133" s="22">
        <f>W56</f>
        <v/>
      </c>
      <c r="X133" s="22">
        <f>X56</f>
        <v/>
      </c>
      <c r="Y133" s="22">
        <f>Y56</f>
        <v/>
      </c>
      <c r="Z133" s="4">
        <f>Z56</f>
        <v/>
      </c>
      <c r="AA133" s="22">
        <f>AA56</f>
        <v/>
      </c>
      <c r="AB133" s="22">
        <f>AB56</f>
        <v/>
      </c>
      <c r="AC133" s="22">
        <f>AC56</f>
        <v/>
      </c>
      <c r="AD133" s="22">
        <f>AD56</f>
        <v/>
      </c>
      <c r="AE133" s="4">
        <f>AE56</f>
        <v/>
      </c>
      <c r="AF133" s="22">
        <f>AF56</f>
        <v/>
      </c>
      <c r="AG133" s="22">
        <f>AG56</f>
        <v/>
      </c>
      <c r="AH133" s="22">
        <f>AH56</f>
        <v/>
      </c>
      <c r="AI133" s="22">
        <f>AI56</f>
        <v/>
      </c>
      <c r="AJ133" s="4">
        <f>AJ56</f>
        <v/>
      </c>
      <c r="AK133" s="22">
        <f>AK56</f>
        <v/>
      </c>
      <c r="AL133" s="308">
        <f>AL56</f>
        <v/>
      </c>
      <c r="AM133" s="378" t="n"/>
      <c r="AN133" s="378" t="n"/>
      <c r="AO133" s="117" t="n"/>
      <c r="AP133" s="378" t="n"/>
      <c r="AQ133" s="378" t="n"/>
      <c r="AR133" s="378" t="n"/>
      <c r="AS133" s="378" t="n"/>
      <c r="AT133" s="117" t="n"/>
      <c r="AU133" s="117" t="n"/>
      <c r="AV133" s="117" t="n"/>
      <c r="AW133" s="117" t="n"/>
      <c r="AX133" s="22" t="n"/>
    </row>
    <row r="134" customFormat="1" s="116">
      <c r="A134" s="111">
        <f>CONCATENATE("Consensus Estimates - ",IFERROR(LEFT(A133,FIND("(",A133)-1),A133))</f>
        <v/>
      </c>
      <c r="B134" s="112" t="n"/>
      <c r="C134" s="389" t="n"/>
      <c r="D134" s="389" t="n"/>
      <c r="E134" s="389" t="n"/>
      <c r="F134" s="389" t="n"/>
      <c r="G134" s="113" t="n"/>
      <c r="H134" s="113" t="n"/>
      <c r="I134" s="113" t="n"/>
      <c r="J134" s="113" t="n"/>
      <c r="K134" s="389" t="n"/>
      <c r="L134" s="113" t="n"/>
      <c r="M134" s="113" t="n"/>
      <c r="N134" s="113" t="n"/>
      <c r="O134" s="113" t="n"/>
      <c r="P134" s="389" t="n"/>
      <c r="Q134" s="113" t="n"/>
      <c r="R134" s="113" t="n"/>
      <c r="S134" s="113" t="n"/>
      <c r="T134" s="113" t="n"/>
      <c r="U134" s="389" t="n"/>
      <c r="V134" s="113" t="n"/>
      <c r="W134" s="114" t="n"/>
      <c r="X134" s="114" t="n"/>
      <c r="Y134" s="114" t="n"/>
      <c r="Z134" s="115" t="n"/>
      <c r="AA134" s="24" t="n"/>
      <c r="AB134" s="114" t="n"/>
      <c r="AC134" s="114" t="n"/>
      <c r="AD134" s="114" t="n"/>
      <c r="AE134" s="115" t="n"/>
      <c r="AF134" s="24" t="n"/>
      <c r="AG134" s="114" t="n"/>
      <c r="AH134" s="114" t="n"/>
      <c r="AI134" s="114" t="n"/>
      <c r="AJ134" s="115" t="n"/>
      <c r="AK134" s="24" t="n"/>
      <c r="AL134" s="390" t="n"/>
      <c r="AM134" s="113" t="n"/>
      <c r="AN134" s="113" t="n"/>
      <c r="AO134" s="115" t="n"/>
      <c r="AP134" s="113" t="n"/>
      <c r="AQ134" s="113" t="n"/>
      <c r="AR134" s="113" t="n"/>
      <c r="AS134" s="113" t="n"/>
      <c r="AT134" s="115" t="n"/>
      <c r="AU134" s="115" t="n"/>
      <c r="AV134" s="115" t="n"/>
      <c r="AW134" s="115" t="n"/>
      <c r="AX134" s="113" t="n"/>
    </row>
    <row r="135" customFormat="1" s="9">
      <c r="A135" s="35" t="n"/>
      <c r="B135" s="103" t="n"/>
      <c r="C135" s="4" t="n"/>
      <c r="D135" s="4" t="n"/>
      <c r="E135" s="4" t="n"/>
      <c r="F135" s="4" t="n"/>
      <c r="G135" s="22" t="n"/>
      <c r="H135" s="22" t="n"/>
      <c r="I135" s="22" t="n"/>
      <c r="J135" s="22" t="n"/>
      <c r="K135" s="4" t="n"/>
      <c r="L135" s="22" t="n"/>
      <c r="M135" s="22" t="n"/>
      <c r="N135" s="22" t="n"/>
      <c r="O135" s="22" t="n"/>
      <c r="P135" s="4" t="n"/>
      <c r="Q135" s="22" t="n"/>
      <c r="R135" s="22" t="n"/>
      <c r="S135" s="22" t="n"/>
      <c r="T135" s="22" t="n"/>
      <c r="U135" s="4" t="n"/>
      <c r="V135" s="22" t="n"/>
      <c r="W135" s="22" t="n"/>
      <c r="X135" s="22" t="n"/>
      <c r="Y135" s="22" t="n"/>
      <c r="Z135" s="4" t="n"/>
      <c r="AA135" s="22" t="n"/>
      <c r="AB135" s="22" t="n"/>
      <c r="AC135" s="22" t="n"/>
      <c r="AD135" s="22" t="n"/>
      <c r="AE135" s="4" t="n"/>
      <c r="AF135" s="22" t="n"/>
      <c r="AG135" s="22" t="n"/>
      <c r="AH135" s="22" t="n"/>
      <c r="AI135" s="22" t="n"/>
      <c r="AJ135" s="4" t="n"/>
      <c r="AK135" s="22" t="n"/>
      <c r="AL135" s="308" t="n"/>
      <c r="AM135" s="22" t="n"/>
      <c r="AN135" s="22" t="n"/>
      <c r="AO135" s="4" t="n"/>
      <c r="AP135" s="22" t="n"/>
      <c r="AQ135" s="22" t="n"/>
      <c r="AR135" s="22" t="n"/>
      <c r="AS135" s="22" t="n"/>
      <c r="AT135" s="4" t="n"/>
      <c r="AU135" s="4" t="n"/>
      <c r="AV135" s="4" t="n"/>
      <c r="AW135" s="4" t="n"/>
      <c r="AX135" s="22" t="n"/>
    </row>
    <row r="136" customFormat="1" s="5">
      <c r="A136" s="197" t="inlineStr">
        <is>
          <t>GAAP COGS</t>
        </is>
      </c>
      <c r="B136" s="376" t="n"/>
      <c r="C136" s="343">
        <f>C57</f>
        <v/>
      </c>
      <c r="D136" s="343">
        <f>D57</f>
        <v/>
      </c>
      <c r="E136" s="343">
        <f>E57</f>
        <v/>
      </c>
      <c r="F136" s="343">
        <f>F57</f>
        <v/>
      </c>
      <c r="G136" s="228">
        <f>G57</f>
        <v/>
      </c>
      <c r="H136" s="228">
        <f>H57</f>
        <v/>
      </c>
      <c r="I136" s="228">
        <f>I57</f>
        <v/>
      </c>
      <c r="J136" s="228">
        <f>J57</f>
        <v/>
      </c>
      <c r="K136" s="343">
        <f>K57</f>
        <v/>
      </c>
      <c r="L136" s="228">
        <f>L57</f>
        <v/>
      </c>
      <c r="M136" s="228">
        <f>M57</f>
        <v/>
      </c>
      <c r="N136" s="228">
        <f>N57</f>
        <v/>
      </c>
      <c r="O136" s="228">
        <f>O57</f>
        <v/>
      </c>
      <c r="P136" s="343">
        <f>P57</f>
        <v/>
      </c>
      <c r="Q136" s="228">
        <f>Q57</f>
        <v/>
      </c>
      <c r="R136" s="228">
        <f>R57</f>
        <v/>
      </c>
      <c r="S136" s="228">
        <f>S57</f>
        <v/>
      </c>
      <c r="T136" s="228">
        <f>T57</f>
        <v/>
      </c>
      <c r="U136" s="343">
        <f>U57</f>
        <v/>
      </c>
      <c r="V136" s="228">
        <f>V57</f>
        <v/>
      </c>
      <c r="W136" s="228">
        <f>W57</f>
        <v/>
      </c>
      <c r="X136" s="228">
        <f>X57</f>
        <v/>
      </c>
      <c r="Y136" s="228">
        <f>Y57</f>
        <v/>
      </c>
      <c r="Z136" s="343">
        <f>Z57</f>
        <v/>
      </c>
      <c r="AA136" s="228">
        <f>AA57</f>
        <v/>
      </c>
      <c r="AB136" s="228">
        <f>AB57</f>
        <v/>
      </c>
      <c r="AC136" s="228">
        <f>AC57</f>
        <v/>
      </c>
      <c r="AD136" s="228">
        <f>AD57</f>
        <v/>
      </c>
      <c r="AE136" s="343">
        <f>AE57</f>
        <v/>
      </c>
      <c r="AF136" s="228">
        <f>AF57</f>
        <v/>
      </c>
      <c r="AG136" s="228">
        <f>AG57</f>
        <v/>
      </c>
      <c r="AH136" s="228">
        <f>AH57</f>
        <v/>
      </c>
      <c r="AI136" s="228">
        <f>AI57</f>
        <v/>
      </c>
      <c r="AJ136" s="343">
        <f>AJ57</f>
        <v/>
      </c>
      <c r="AK136" s="228">
        <f>AK57</f>
        <v/>
      </c>
      <c r="AL136" s="322">
        <f>AL57</f>
        <v/>
      </c>
      <c r="AM136" s="228" t="n"/>
      <c r="AN136" s="228" t="n"/>
      <c r="AO136" s="343" t="n"/>
      <c r="AP136" s="228" t="n"/>
      <c r="AQ136" s="228" t="n"/>
      <c r="AR136" s="228" t="n"/>
      <c r="AS136" s="228" t="n"/>
      <c r="AT136" s="343" t="n"/>
      <c r="AU136" s="343" t="n"/>
      <c r="AV136" s="343" t="n"/>
      <c r="AW136" s="343" t="n"/>
      <c r="AX136" s="228" t="n"/>
    </row>
    <row r="137" customFormat="1" s="9">
      <c r="A137" s="197" t="inlineStr">
        <is>
          <t>SBC COGS</t>
        </is>
      </c>
      <c r="B137" s="376" t="n"/>
      <c r="C137" s="343">
        <f>-C111</f>
        <v/>
      </c>
      <c r="D137" s="343">
        <f>-D111</f>
        <v/>
      </c>
      <c r="E137" s="343">
        <f>-E111</f>
        <v/>
      </c>
      <c r="F137" s="343">
        <f>-F111</f>
        <v/>
      </c>
      <c r="G137" s="228">
        <f>-G111</f>
        <v/>
      </c>
      <c r="H137" s="228">
        <f>-H111</f>
        <v/>
      </c>
      <c r="I137" s="228">
        <f>-I111</f>
        <v/>
      </c>
      <c r="J137" s="228">
        <f>-J111</f>
        <v/>
      </c>
      <c r="K137" s="343">
        <f>-K111</f>
        <v/>
      </c>
      <c r="L137" s="228">
        <f>-L111</f>
        <v/>
      </c>
      <c r="M137" s="228">
        <f>-M111</f>
        <v/>
      </c>
      <c r="N137" s="228">
        <f>-N111</f>
        <v/>
      </c>
      <c r="O137" s="228">
        <f>-O111</f>
        <v/>
      </c>
      <c r="P137" s="343">
        <f>-P111</f>
        <v/>
      </c>
      <c r="Q137" s="228">
        <f>-Q111</f>
        <v/>
      </c>
      <c r="R137" s="228">
        <f>-R111</f>
        <v/>
      </c>
      <c r="S137" s="228">
        <f>-S111</f>
        <v/>
      </c>
      <c r="T137" s="228">
        <f>-T111</f>
        <v/>
      </c>
      <c r="U137" s="343">
        <f>-U111</f>
        <v/>
      </c>
      <c r="V137" s="228">
        <f>-V111</f>
        <v/>
      </c>
      <c r="W137" s="228">
        <f>-W111</f>
        <v/>
      </c>
      <c r="X137" s="228">
        <f>-X111</f>
        <v/>
      </c>
      <c r="Y137" s="228">
        <f>-Y111</f>
        <v/>
      </c>
      <c r="Z137" s="343">
        <f>-Z111</f>
        <v/>
      </c>
      <c r="AA137" s="228">
        <f>-AA111</f>
        <v/>
      </c>
      <c r="AB137" s="228">
        <f>-AB111</f>
        <v/>
      </c>
      <c r="AC137" s="228">
        <f>-AC111</f>
        <v/>
      </c>
      <c r="AD137" s="228">
        <f>-AD111</f>
        <v/>
      </c>
      <c r="AE137" s="343">
        <f>-AE111</f>
        <v/>
      </c>
      <c r="AF137" s="228">
        <f>-AF111</f>
        <v/>
      </c>
      <c r="AG137" s="228">
        <f>-AG111</f>
        <v/>
      </c>
      <c r="AH137" s="228">
        <f>-AH111</f>
        <v/>
      </c>
      <c r="AI137" s="228">
        <f>-AI111</f>
        <v/>
      </c>
      <c r="AJ137" s="343">
        <f>-AJ111</f>
        <v/>
      </c>
      <c r="AK137" s="228">
        <f>-AK111</f>
        <v/>
      </c>
      <c r="AL137" s="322">
        <f>-AL111</f>
        <v/>
      </c>
      <c r="AM137" s="391" t="n"/>
      <c r="AN137" s="391" t="n"/>
      <c r="AO137" s="343" t="n"/>
      <c r="AP137" s="391" t="n"/>
      <c r="AQ137" s="391" t="n"/>
      <c r="AR137" s="391" t="n"/>
      <c r="AS137" s="391" t="n"/>
      <c r="AT137" s="343" t="n"/>
      <c r="AU137" s="392" t="n"/>
      <c r="AV137" s="392" t="n"/>
      <c r="AW137" s="392" t="n"/>
      <c r="AX137" s="22" t="n"/>
    </row>
    <row r="138" customFormat="1" s="9">
      <c r="A138" s="197" t="inlineStr">
        <is>
          <t>Amortization of Intangibles COGS</t>
        </is>
      </c>
      <c r="B138" s="376" t="n"/>
      <c r="C138" s="343">
        <f>-C90</f>
        <v/>
      </c>
      <c r="D138" s="343">
        <f>-D90</f>
        <v/>
      </c>
      <c r="E138" s="343">
        <f>-E90</f>
        <v/>
      </c>
      <c r="F138" s="343">
        <f>-F90</f>
        <v/>
      </c>
      <c r="G138" s="228">
        <f>-G90</f>
        <v/>
      </c>
      <c r="H138" s="228">
        <f>-H90</f>
        <v/>
      </c>
      <c r="I138" s="228">
        <f>-I90</f>
        <v/>
      </c>
      <c r="J138" s="228">
        <f>-J90</f>
        <v/>
      </c>
      <c r="K138" s="343">
        <f>-K90</f>
        <v/>
      </c>
      <c r="L138" s="228">
        <f>-L90</f>
        <v/>
      </c>
      <c r="M138" s="228">
        <f>-M90</f>
        <v/>
      </c>
      <c r="N138" s="228">
        <f>-N90</f>
        <v/>
      </c>
      <c r="O138" s="228">
        <f>-O90</f>
        <v/>
      </c>
      <c r="P138" s="343">
        <f>-P90</f>
        <v/>
      </c>
      <c r="Q138" s="228">
        <f>-Q90</f>
        <v/>
      </c>
      <c r="R138" s="228">
        <f>-R90</f>
        <v/>
      </c>
      <c r="S138" s="228">
        <f>-S90</f>
        <v/>
      </c>
      <c r="T138" s="228">
        <f>-T90</f>
        <v/>
      </c>
      <c r="U138" s="343">
        <f>-U90</f>
        <v/>
      </c>
      <c r="V138" s="228">
        <f>-V90</f>
        <v/>
      </c>
      <c r="W138" s="228">
        <f>-W90</f>
        <v/>
      </c>
      <c r="X138" s="228">
        <f>-X90</f>
        <v/>
      </c>
      <c r="Y138" s="228">
        <f>-Y90</f>
        <v/>
      </c>
      <c r="Z138" s="343">
        <f>-Z90</f>
        <v/>
      </c>
      <c r="AA138" s="228">
        <f>-AA90</f>
        <v/>
      </c>
      <c r="AB138" s="228">
        <f>-AB90</f>
        <v/>
      </c>
      <c r="AC138" s="228">
        <f>-AC90</f>
        <v/>
      </c>
      <c r="AD138" s="228">
        <f>-AD90</f>
        <v/>
      </c>
      <c r="AE138" s="343">
        <f>-AE90</f>
        <v/>
      </c>
      <c r="AF138" s="228">
        <f>-AF90</f>
        <v/>
      </c>
      <c r="AG138" s="228">
        <f>-AG90</f>
        <v/>
      </c>
      <c r="AH138" s="228">
        <f>-AH90</f>
        <v/>
      </c>
      <c r="AI138" s="228">
        <f>-AI90</f>
        <v/>
      </c>
      <c r="AJ138" s="343">
        <f>-AJ90</f>
        <v/>
      </c>
      <c r="AK138" s="228">
        <f>-AK90</f>
        <v/>
      </c>
      <c r="AL138" s="322">
        <f>-AL90</f>
        <v/>
      </c>
      <c r="AM138" s="391" t="n"/>
      <c r="AN138" s="391" t="n"/>
      <c r="AO138" s="343" t="n"/>
      <c r="AP138" s="391" t="n"/>
      <c r="AQ138" s="391" t="n"/>
      <c r="AR138" s="391" t="n"/>
      <c r="AS138" s="391" t="n"/>
      <c r="AT138" s="343" t="n"/>
      <c r="AU138" s="392" t="n"/>
      <c r="AV138" s="392" t="n"/>
      <c r="AW138" s="392" t="n"/>
      <c r="AX138" s="22" t="n"/>
    </row>
    <row r="139" customFormat="1" s="9">
      <c r="A139" s="197" t="inlineStr">
        <is>
          <t>Acquisition related charges COGS</t>
        </is>
      </c>
      <c r="B139" s="376" t="n"/>
      <c r="C139" s="343">
        <f>-C92</f>
        <v/>
      </c>
      <c r="D139" s="343">
        <f>-D92</f>
        <v/>
      </c>
      <c r="E139" s="343">
        <f>-E92</f>
        <v/>
      </c>
      <c r="F139" s="343">
        <f>-F92</f>
        <v/>
      </c>
      <c r="G139" s="228">
        <f>-G92</f>
        <v/>
      </c>
      <c r="H139" s="228">
        <f>-H92</f>
        <v/>
      </c>
      <c r="I139" s="228">
        <f>-I92</f>
        <v/>
      </c>
      <c r="J139" s="228">
        <f>-J92</f>
        <v/>
      </c>
      <c r="K139" s="343">
        <f>-K92</f>
        <v/>
      </c>
      <c r="L139" s="228">
        <f>-L92</f>
        <v/>
      </c>
      <c r="M139" s="228">
        <f>-M92</f>
        <v/>
      </c>
      <c r="N139" s="228">
        <f>-N92</f>
        <v/>
      </c>
      <c r="O139" s="228">
        <f>-O92</f>
        <v/>
      </c>
      <c r="P139" s="343">
        <f>-P92</f>
        <v/>
      </c>
      <c r="Q139" s="228">
        <f>-Q92</f>
        <v/>
      </c>
      <c r="R139" s="228">
        <f>-R92</f>
        <v/>
      </c>
      <c r="S139" s="228">
        <f>-S92</f>
        <v/>
      </c>
      <c r="T139" s="228">
        <f>-T92</f>
        <v/>
      </c>
      <c r="U139" s="343">
        <f>-U92</f>
        <v/>
      </c>
      <c r="V139" s="228">
        <f>-V92</f>
        <v/>
      </c>
      <c r="W139" s="228">
        <f>-W92</f>
        <v/>
      </c>
      <c r="X139" s="228">
        <f>-X92</f>
        <v/>
      </c>
      <c r="Y139" s="228">
        <f>-Y92</f>
        <v/>
      </c>
      <c r="Z139" s="343">
        <f>-Z92</f>
        <v/>
      </c>
      <c r="AA139" s="228">
        <f>-AA92</f>
        <v/>
      </c>
      <c r="AB139" s="228">
        <f>-AB92</f>
        <v/>
      </c>
      <c r="AC139" s="228">
        <f>-AC92</f>
        <v/>
      </c>
      <c r="AD139" s="228">
        <f>-AD92</f>
        <v/>
      </c>
      <c r="AE139" s="343">
        <f>-AE92</f>
        <v/>
      </c>
      <c r="AF139" s="228">
        <f>-AF92</f>
        <v/>
      </c>
      <c r="AG139" s="228">
        <f>-AG92</f>
        <v/>
      </c>
      <c r="AH139" s="228">
        <f>-AH92</f>
        <v/>
      </c>
      <c r="AI139" s="228">
        <f>-AI92</f>
        <v/>
      </c>
      <c r="AJ139" s="343">
        <f>-AJ92</f>
        <v/>
      </c>
      <c r="AK139" s="228">
        <f>-AK92</f>
        <v/>
      </c>
      <c r="AL139" s="322">
        <f>-AL92</f>
        <v/>
      </c>
      <c r="AM139" s="391" t="n"/>
      <c r="AN139" s="391" t="n"/>
      <c r="AO139" s="343" t="n"/>
      <c r="AP139" s="391" t="n"/>
      <c r="AQ139" s="391" t="n"/>
      <c r="AR139" s="391" t="n"/>
      <c r="AS139" s="391" t="n"/>
      <c r="AT139" s="343" t="n"/>
      <c r="AU139" s="392" t="n"/>
      <c r="AV139" s="392" t="n"/>
      <c r="AW139" s="392" t="n"/>
      <c r="AX139" s="22" t="n"/>
    </row>
    <row r="140" customFormat="1" s="5">
      <c r="A140" s="197" t="inlineStr">
        <is>
          <t>Other COGS Adjustments</t>
        </is>
      </c>
      <c r="B140" s="376" t="n"/>
      <c r="C140" s="343">
        <f>ROUND(-(SUM(C89:C92)-C89-C90-C92),6)</f>
        <v/>
      </c>
      <c r="D140" s="343">
        <f>ROUND(-(SUM(D89:D92)-D89-D90-D92),6)</f>
        <v/>
      </c>
      <c r="E140" s="343">
        <f>ROUND(-(SUM(E89:E92)-E89-E90-E92),6)</f>
        <v/>
      </c>
      <c r="F140" s="343">
        <f>ROUND(-(SUM(F89:F92)-F89-F90-F92),6)</f>
        <v/>
      </c>
      <c r="G140" s="228">
        <f>ROUND(-(SUM(G89:G92)-G89-G90-G92),6)</f>
        <v/>
      </c>
      <c r="H140" s="228">
        <f>ROUND(-(SUM(H89:H92)-H89-H90-H92),6)</f>
        <v/>
      </c>
      <c r="I140" s="228">
        <f>ROUND(-(SUM(I89:I92)-I89-I90-I92),6)</f>
        <v/>
      </c>
      <c r="J140" s="228">
        <f>ROUND(-(SUM(J89:J92)-J89-J90-J92),6)</f>
        <v/>
      </c>
      <c r="K140" s="343">
        <f>ROUND(-(SUM(K89:K92)-K89-K90-K92),6)</f>
        <v/>
      </c>
      <c r="L140" s="228">
        <f>ROUND(-(SUM(L89:L92)-L89-L90-L92),6)</f>
        <v/>
      </c>
      <c r="M140" s="228">
        <f>ROUND(-(SUM(M89:M92)-M89-M90-M92),6)</f>
        <v/>
      </c>
      <c r="N140" s="228">
        <f>ROUND(-(SUM(N89:N92)-N89-N90-N92),6)</f>
        <v/>
      </c>
      <c r="O140" s="228">
        <f>ROUND(-(SUM(O89:O92)-O89-O90-O92),6)</f>
        <v/>
      </c>
      <c r="P140" s="343">
        <f>ROUND(-(SUM(P89:P92)-P89-P90-P92),6)</f>
        <v/>
      </c>
      <c r="Q140" s="228">
        <f>ROUND(-(SUM(Q89:Q92)-Q89-Q90-Q92),6)</f>
        <v/>
      </c>
      <c r="R140" s="228">
        <f>ROUND(-(SUM(R89:R92)-R89-R90-R92),6)</f>
        <v/>
      </c>
      <c r="S140" s="228">
        <f>ROUND(-(SUM(S89:S92)-S89-S90-S92),6)</f>
        <v/>
      </c>
      <c r="T140" s="228">
        <f>ROUND(-(SUM(T89:T92)-T89-T90-T92),6)</f>
        <v/>
      </c>
      <c r="U140" s="343">
        <f>ROUND(-(SUM(U89:U92)-U89-U90-U92),6)</f>
        <v/>
      </c>
      <c r="V140" s="228">
        <f>ROUND(-(SUM(V89:V92)-V89-V90-V92),6)</f>
        <v/>
      </c>
      <c r="W140" s="228">
        <f>ROUND(-(SUM(W89:W92)-W89-W90-W92),6)</f>
        <v/>
      </c>
      <c r="X140" s="228">
        <f>ROUND(-(SUM(X89:X92)-X89-X90-X92),6)</f>
        <v/>
      </c>
      <c r="Y140" s="228">
        <f>ROUND(-(SUM(Y89:Y92)-Y89-Y90-Y92),6)</f>
        <v/>
      </c>
      <c r="Z140" s="343">
        <f>ROUND(-(SUM(Z89:Z92)-Z89-Z90-Z92),6)</f>
        <v/>
      </c>
      <c r="AA140" s="228">
        <f>ROUND(-(SUM(AA89:AA92)-AA89-AA90-AA92),6)</f>
        <v/>
      </c>
      <c r="AB140" s="228">
        <f>ROUND(-(SUM(AB89:AB92)-AB89-AB90-AB92),6)</f>
        <v/>
      </c>
      <c r="AC140" s="228">
        <f>ROUND(-(SUM(AC89:AC92)-AC89-AC90-AC92),6)</f>
        <v/>
      </c>
      <c r="AD140" s="228">
        <f>ROUND(-(SUM(AD89:AD92)-AD89-AD90-AD92),6)</f>
        <v/>
      </c>
      <c r="AE140" s="343">
        <f>ROUND(-(SUM(AE89:AE92)-AE89-AE90-AE92),6)</f>
        <v/>
      </c>
      <c r="AF140" s="228">
        <f>ROUND(-(SUM(AF89:AF92)-AF89-AF90-AF92),6)</f>
        <v/>
      </c>
      <c r="AG140" s="228">
        <f>ROUND(-(SUM(AG89:AG92)-AG89-AG90-AG92),6)</f>
        <v/>
      </c>
      <c r="AH140" s="228">
        <f>ROUND(-(SUM(AH89:AH92)-AH89-AH90-AH92),6)</f>
        <v/>
      </c>
      <c r="AI140" s="228">
        <f>ROUND(-(SUM(AI89:AI92)-AI89-AI90-AI92),6)</f>
        <v/>
      </c>
      <c r="AJ140" s="343">
        <f>ROUND(-(SUM(AJ89:AJ92)-AJ89-AJ90-AJ92),6)</f>
        <v/>
      </c>
      <c r="AK140" s="228">
        <f>ROUND(-(SUM(AK89:AK92)-AK89-AK90-AK92),6)</f>
        <v/>
      </c>
      <c r="AL140" s="322">
        <f>ROUND(-(SUM(AL89:AL92)-AL89-AL90-AL92),6)</f>
        <v/>
      </c>
      <c r="AM140" s="391" t="n"/>
      <c r="AN140" s="391" t="n"/>
      <c r="AO140" s="343" t="n"/>
      <c r="AP140" s="391" t="n"/>
      <c r="AQ140" s="391" t="n"/>
      <c r="AR140" s="391" t="n"/>
      <c r="AS140" s="391" t="n"/>
      <c r="AT140" s="343" t="n"/>
      <c r="AU140" s="392" t="n"/>
      <c r="AV140" s="392" t="n"/>
      <c r="AW140" s="392" t="n"/>
      <c r="AX140" s="228" t="n"/>
    </row>
    <row r="141" customFormat="1" s="9">
      <c r="A141" s="199" t="inlineStr">
        <is>
          <t>Non-GAAP Gross Profit</t>
        </is>
      </c>
      <c r="B141" s="377" t="n"/>
      <c r="C141" s="349">
        <f>C133-SUM(C136:C140)</f>
        <v/>
      </c>
      <c r="D141" s="349">
        <f>D133-SUM(D136:D140)</f>
        <v/>
      </c>
      <c r="E141" s="349">
        <f>E133-SUM(E136:E140)</f>
        <v/>
      </c>
      <c r="F141" s="349">
        <f>F133-SUM(F136:F140)</f>
        <v/>
      </c>
      <c r="G141" s="350">
        <f>G133-SUM(G136:G140)</f>
        <v/>
      </c>
      <c r="H141" s="350">
        <f>H133-SUM(H136:H140)</f>
        <v/>
      </c>
      <c r="I141" s="350">
        <f>I133-SUM(I136:I140)</f>
        <v/>
      </c>
      <c r="J141" s="350">
        <f>J133-SUM(J136:J140)</f>
        <v/>
      </c>
      <c r="K141" s="349">
        <f>K133-SUM(K136:K140)</f>
        <v/>
      </c>
      <c r="L141" s="350">
        <f>L133-SUM(L136:L140)</f>
        <v/>
      </c>
      <c r="M141" s="350">
        <f>M133-SUM(M136:M140)</f>
        <v/>
      </c>
      <c r="N141" s="350">
        <f>N133-SUM(N136:N140)</f>
        <v/>
      </c>
      <c r="O141" s="350">
        <f>O133-SUM(O136:O140)</f>
        <v/>
      </c>
      <c r="P141" s="349">
        <f>P133-SUM(P136:P140)</f>
        <v/>
      </c>
      <c r="Q141" s="350">
        <f>Q133-SUM(Q136:Q140)</f>
        <v/>
      </c>
      <c r="R141" s="350">
        <f>R133-SUM(R136:R140)</f>
        <v/>
      </c>
      <c r="S141" s="350">
        <f>S133-SUM(S136:S140)</f>
        <v/>
      </c>
      <c r="T141" s="350">
        <f>T133-SUM(T136:T140)</f>
        <v/>
      </c>
      <c r="U141" s="349">
        <f>U133-SUM(U136:U140)</f>
        <v/>
      </c>
      <c r="V141" s="350">
        <f>V133-SUM(V136:V140)</f>
        <v/>
      </c>
      <c r="W141" s="350">
        <f>W133-SUM(W136:W140)</f>
        <v/>
      </c>
      <c r="X141" s="350">
        <f>X133-SUM(X136:X140)</f>
        <v/>
      </c>
      <c r="Y141" s="350">
        <f>Y133-SUM(Y136:Y140)</f>
        <v/>
      </c>
      <c r="Z141" s="349">
        <f>Z133-SUM(Z136:Z140)</f>
        <v/>
      </c>
      <c r="AA141" s="350">
        <f>AA133-SUM(AA136:AA140)</f>
        <v/>
      </c>
      <c r="AB141" s="350">
        <f>AB133-SUM(AB136:AB140)</f>
        <v/>
      </c>
      <c r="AC141" s="350">
        <f>AC133-SUM(AC136:AC140)</f>
        <v/>
      </c>
      <c r="AD141" s="350">
        <f>AD133-SUM(AD136:AD140)</f>
        <v/>
      </c>
      <c r="AE141" s="349">
        <f>AE133-SUM(AE136:AE140)</f>
        <v/>
      </c>
      <c r="AF141" s="350">
        <f>AF133-SUM(AF136:AF140)</f>
        <v/>
      </c>
      <c r="AG141" s="350">
        <f>AG133-SUM(AG136:AG140)</f>
        <v/>
      </c>
      <c r="AH141" s="350">
        <f>AH133-SUM(AH136:AH140)</f>
        <v/>
      </c>
      <c r="AI141" s="350">
        <f>AI133-SUM(AI136:AI140)</f>
        <v/>
      </c>
      <c r="AJ141" s="349">
        <f>AJ133-SUM(AJ136:AJ140)</f>
        <v/>
      </c>
      <c r="AK141" s="350">
        <f>AK133-SUM(AK136:AK140)</f>
        <v/>
      </c>
      <c r="AL141" s="353">
        <f>AL133-SUM(AL136:AL140)</f>
        <v/>
      </c>
      <c r="AM141" s="350" t="n"/>
      <c r="AN141" s="350" t="n"/>
      <c r="AO141" s="349" t="n"/>
      <c r="AP141" s="350" t="n"/>
      <c r="AQ141" s="350" t="n"/>
      <c r="AR141" s="350" t="n"/>
      <c r="AS141" s="350" t="n"/>
      <c r="AT141" s="349" t="n"/>
      <c r="AU141" s="349" t="n"/>
      <c r="AV141" s="349" t="n"/>
      <c r="AW141" s="349" t="n"/>
      <c r="AX141" s="22" t="n"/>
    </row>
    <row r="142" customFormat="1" s="5">
      <c r="A142" s="196" t="n"/>
      <c r="B142" s="376" t="n"/>
      <c r="C142" s="343" t="n"/>
      <c r="D142" s="343" t="n"/>
      <c r="E142" s="343" t="n"/>
      <c r="F142" s="343" t="n"/>
      <c r="G142" s="228" t="n"/>
      <c r="H142" s="228" t="n"/>
      <c r="I142" s="228" t="n"/>
      <c r="J142" s="228" t="n"/>
      <c r="K142" s="343" t="n"/>
      <c r="L142" s="228" t="n"/>
      <c r="M142" s="228" t="n"/>
      <c r="N142" s="228" t="n"/>
      <c r="O142" s="228" t="n"/>
      <c r="P142" s="343" t="n"/>
      <c r="Q142" s="228" t="n"/>
      <c r="R142" s="228" t="n"/>
      <c r="S142" s="228" t="n"/>
      <c r="T142" s="228" t="n"/>
      <c r="U142" s="343" t="n"/>
      <c r="V142" s="228" t="n"/>
      <c r="W142" s="228" t="n"/>
      <c r="X142" s="228" t="n"/>
      <c r="Y142" s="228" t="n"/>
      <c r="Z142" s="343" t="n"/>
      <c r="AA142" s="228" t="n"/>
      <c r="AB142" s="228" t="n"/>
      <c r="AC142" s="228" t="n"/>
      <c r="AD142" s="228" t="n"/>
      <c r="AE142" s="343" t="n"/>
      <c r="AF142" s="228" t="n"/>
      <c r="AG142" s="228" t="n"/>
      <c r="AH142" s="228" t="n"/>
      <c r="AI142" s="228" t="n"/>
      <c r="AJ142" s="343" t="n"/>
      <c r="AK142" s="228" t="n"/>
      <c r="AL142" s="322" t="n"/>
      <c r="AM142" s="228" t="n"/>
      <c r="AN142" s="228" t="n"/>
      <c r="AO142" s="343" t="n"/>
      <c r="AP142" s="228" t="n"/>
      <c r="AQ142" s="228" t="n"/>
      <c r="AR142" s="228" t="n"/>
      <c r="AS142" s="228" t="n"/>
      <c r="AT142" s="343" t="n"/>
      <c r="AU142" s="343" t="n"/>
      <c r="AV142" s="343" t="n"/>
      <c r="AW142" s="343" t="n"/>
      <c r="AX142" s="228" t="n"/>
    </row>
    <row r="143" customFormat="1" s="9">
      <c r="A143" s="393" t="inlineStr">
        <is>
          <t>GAAP R&amp;D</t>
        </is>
      </c>
      <c r="B143" s="376" t="n"/>
      <c r="C143" s="343">
        <f>C59</f>
        <v/>
      </c>
      <c r="D143" s="343">
        <f>D59</f>
        <v/>
      </c>
      <c r="E143" s="343">
        <f>E59</f>
        <v/>
      </c>
      <c r="F143" s="343">
        <f>F59</f>
        <v/>
      </c>
      <c r="G143" s="228">
        <f>G59</f>
        <v/>
      </c>
      <c r="H143" s="228">
        <f>H59</f>
        <v/>
      </c>
      <c r="I143" s="228">
        <f>I59</f>
        <v/>
      </c>
      <c r="J143" s="228">
        <f>J59</f>
        <v/>
      </c>
      <c r="K143" s="343">
        <f>K59</f>
        <v/>
      </c>
      <c r="L143" s="228">
        <f>L59</f>
        <v/>
      </c>
      <c r="M143" s="228">
        <f>M59</f>
        <v/>
      </c>
      <c r="N143" s="228">
        <f>N59</f>
        <v/>
      </c>
      <c r="O143" s="228">
        <f>O59</f>
        <v/>
      </c>
      <c r="P143" s="343">
        <f>P59</f>
        <v/>
      </c>
      <c r="Q143" s="228">
        <f>Q59</f>
        <v/>
      </c>
      <c r="R143" s="228">
        <f>R59</f>
        <v/>
      </c>
      <c r="S143" s="228">
        <f>S59</f>
        <v/>
      </c>
      <c r="T143" s="228">
        <f>T59</f>
        <v/>
      </c>
      <c r="U143" s="343">
        <f>U59</f>
        <v/>
      </c>
      <c r="V143" s="228">
        <f>V59</f>
        <v/>
      </c>
      <c r="W143" s="228">
        <f>W59</f>
        <v/>
      </c>
      <c r="X143" s="228">
        <f>X59</f>
        <v/>
      </c>
      <c r="Y143" s="228">
        <f>Y59</f>
        <v/>
      </c>
      <c r="Z143" s="343">
        <f>Z59</f>
        <v/>
      </c>
      <c r="AA143" s="228">
        <f>AA59</f>
        <v/>
      </c>
      <c r="AB143" s="228">
        <f>AB59</f>
        <v/>
      </c>
      <c r="AC143" s="228">
        <f>AC59</f>
        <v/>
      </c>
      <c r="AD143" s="228">
        <f>AD59</f>
        <v/>
      </c>
      <c r="AE143" s="343">
        <f>AE59</f>
        <v/>
      </c>
      <c r="AF143" s="228">
        <f>AF59</f>
        <v/>
      </c>
      <c r="AG143" s="228">
        <f>AG59</f>
        <v/>
      </c>
      <c r="AH143" s="228">
        <f>AH59</f>
        <v/>
      </c>
      <c r="AI143" s="228">
        <f>AI59</f>
        <v/>
      </c>
      <c r="AJ143" s="343">
        <f>AJ59</f>
        <v/>
      </c>
      <c r="AK143" s="228">
        <f>AK59</f>
        <v/>
      </c>
      <c r="AL143" s="322">
        <f>AL59</f>
        <v/>
      </c>
      <c r="AM143" s="228" t="n"/>
      <c r="AN143" s="228" t="n"/>
      <c r="AO143" s="343" t="n"/>
      <c r="AP143" s="228" t="n"/>
      <c r="AQ143" s="228" t="n"/>
      <c r="AR143" s="228" t="n"/>
      <c r="AS143" s="228" t="n"/>
      <c r="AT143" s="343" t="n"/>
      <c r="AU143" s="343" t="n"/>
      <c r="AV143" s="343" t="n"/>
      <c r="AW143" s="343" t="n"/>
      <c r="AX143" s="22" t="n"/>
    </row>
    <row r="144" customFormat="1" s="9">
      <c r="A144" s="394" t="inlineStr">
        <is>
          <t>SBC</t>
        </is>
      </c>
      <c r="B144" s="376" t="n"/>
      <c r="C144" s="343">
        <f>C112</f>
        <v/>
      </c>
      <c r="D144" s="343">
        <f>D112</f>
        <v/>
      </c>
      <c r="E144" s="343">
        <f>E112</f>
        <v/>
      </c>
      <c r="F144" s="343">
        <f>F112</f>
        <v/>
      </c>
      <c r="G144" s="228">
        <f>G112</f>
        <v/>
      </c>
      <c r="H144" s="228">
        <f>H112</f>
        <v/>
      </c>
      <c r="I144" s="228">
        <f>I112</f>
        <v/>
      </c>
      <c r="J144" s="228">
        <f>J112</f>
        <v/>
      </c>
      <c r="K144" s="343">
        <f>K112</f>
        <v/>
      </c>
      <c r="L144" s="228">
        <f>L112</f>
        <v/>
      </c>
      <c r="M144" s="228">
        <f>M112</f>
        <v/>
      </c>
      <c r="N144" s="228">
        <f>N112</f>
        <v/>
      </c>
      <c r="O144" s="228">
        <f>O112</f>
        <v/>
      </c>
      <c r="P144" s="343">
        <f>P112</f>
        <v/>
      </c>
      <c r="Q144" s="228">
        <f>Q112</f>
        <v/>
      </c>
      <c r="R144" s="228">
        <f>R112</f>
        <v/>
      </c>
      <c r="S144" s="228">
        <f>S112</f>
        <v/>
      </c>
      <c r="T144" s="228">
        <f>T112</f>
        <v/>
      </c>
      <c r="U144" s="343">
        <f>U112</f>
        <v/>
      </c>
      <c r="V144" s="228">
        <f>V112</f>
        <v/>
      </c>
      <c r="W144" s="228">
        <f>W112</f>
        <v/>
      </c>
      <c r="X144" s="228">
        <f>X112</f>
        <v/>
      </c>
      <c r="Y144" s="228">
        <f>Y112</f>
        <v/>
      </c>
      <c r="Z144" s="343">
        <f>Z112</f>
        <v/>
      </c>
      <c r="AA144" s="228">
        <f>AA112</f>
        <v/>
      </c>
      <c r="AB144" s="228">
        <f>AB112</f>
        <v/>
      </c>
      <c r="AC144" s="228">
        <f>AC112</f>
        <v/>
      </c>
      <c r="AD144" s="228">
        <f>AD112</f>
        <v/>
      </c>
      <c r="AE144" s="343">
        <f>AE112</f>
        <v/>
      </c>
      <c r="AF144" s="228">
        <f>AF112</f>
        <v/>
      </c>
      <c r="AG144" s="228">
        <f>AG112</f>
        <v/>
      </c>
      <c r="AH144" s="228">
        <f>AH112</f>
        <v/>
      </c>
      <c r="AI144" s="228">
        <f>AI112</f>
        <v/>
      </c>
      <c r="AJ144" s="343">
        <f>AJ112</f>
        <v/>
      </c>
      <c r="AK144" s="228">
        <f>AK112</f>
        <v/>
      </c>
      <c r="AL144" s="322">
        <f>AL112</f>
        <v/>
      </c>
      <c r="AM144" s="391" t="n"/>
      <c r="AN144" s="391" t="n"/>
      <c r="AO144" s="343" t="n"/>
      <c r="AP144" s="391" t="n"/>
      <c r="AQ144" s="391" t="n"/>
      <c r="AR144" s="391" t="n"/>
      <c r="AS144" s="391" t="n"/>
      <c r="AT144" s="343" t="n"/>
      <c r="AU144" s="392" t="n"/>
      <c r="AV144" s="392" t="n"/>
      <c r="AW144" s="392" t="n"/>
      <c r="AX144" s="22" t="n"/>
    </row>
    <row r="145" customFormat="1" s="9">
      <c r="A145" s="394" t="inlineStr">
        <is>
          <t>Amortization of Intangibles R&amp;D</t>
        </is>
      </c>
      <c r="B145" s="376" t="n"/>
      <c r="C145" s="343">
        <f>C118</f>
        <v/>
      </c>
      <c r="D145" s="343">
        <f>D118</f>
        <v/>
      </c>
      <c r="E145" s="343">
        <f>E118</f>
        <v/>
      </c>
      <c r="F145" s="343">
        <f>F118</f>
        <v/>
      </c>
      <c r="G145" s="228">
        <f>G118</f>
        <v/>
      </c>
      <c r="H145" s="228">
        <f>H118</f>
        <v/>
      </c>
      <c r="I145" s="228">
        <f>I118</f>
        <v/>
      </c>
      <c r="J145" s="228">
        <f>J118</f>
        <v/>
      </c>
      <c r="K145" s="343">
        <f>K118</f>
        <v/>
      </c>
      <c r="L145" s="228">
        <f>L118</f>
        <v/>
      </c>
      <c r="M145" s="228">
        <f>M118</f>
        <v/>
      </c>
      <c r="N145" s="228">
        <f>N118</f>
        <v/>
      </c>
      <c r="O145" s="228">
        <f>O118</f>
        <v/>
      </c>
      <c r="P145" s="343">
        <f>P118</f>
        <v/>
      </c>
      <c r="Q145" s="228">
        <f>Q118</f>
        <v/>
      </c>
      <c r="R145" s="228">
        <f>R118</f>
        <v/>
      </c>
      <c r="S145" s="228">
        <f>S118</f>
        <v/>
      </c>
      <c r="T145" s="228">
        <f>T118</f>
        <v/>
      </c>
      <c r="U145" s="343">
        <f>U118</f>
        <v/>
      </c>
      <c r="V145" s="228">
        <f>V118</f>
        <v/>
      </c>
      <c r="W145" s="228">
        <f>W118</f>
        <v/>
      </c>
      <c r="X145" s="228">
        <f>X118</f>
        <v/>
      </c>
      <c r="Y145" s="228">
        <f>Y118</f>
        <v/>
      </c>
      <c r="Z145" s="343">
        <f>Z118</f>
        <v/>
      </c>
      <c r="AA145" s="228">
        <f>AA118</f>
        <v/>
      </c>
      <c r="AB145" s="228">
        <f>AB118</f>
        <v/>
      </c>
      <c r="AC145" s="228">
        <f>AC118</f>
        <v/>
      </c>
      <c r="AD145" s="228">
        <f>AD118</f>
        <v/>
      </c>
      <c r="AE145" s="343">
        <f>AE118</f>
        <v/>
      </c>
      <c r="AF145" s="228">
        <f>AF118</f>
        <v/>
      </c>
      <c r="AG145" s="228">
        <f>AG118</f>
        <v/>
      </c>
      <c r="AH145" s="228">
        <f>AH118</f>
        <v/>
      </c>
      <c r="AI145" s="228">
        <f>AI118</f>
        <v/>
      </c>
      <c r="AJ145" s="343">
        <f>AJ118</f>
        <v/>
      </c>
      <c r="AK145" s="228">
        <f>AK118</f>
        <v/>
      </c>
      <c r="AL145" s="322">
        <f>AL118</f>
        <v/>
      </c>
      <c r="AM145" s="391" t="n"/>
      <c r="AN145" s="391" t="n"/>
      <c r="AO145" s="343" t="n"/>
      <c r="AP145" s="391" t="n"/>
      <c r="AQ145" s="391" t="n"/>
      <c r="AR145" s="391" t="n"/>
      <c r="AS145" s="391" t="n"/>
      <c r="AT145" s="343" t="n"/>
      <c r="AU145" s="392" t="n"/>
      <c r="AV145" s="392" t="n"/>
      <c r="AW145" s="392" t="n"/>
      <c r="AX145" s="22" t="n"/>
    </row>
    <row r="146" customFormat="1" s="9">
      <c r="A146" s="394" t="inlineStr">
        <is>
          <t>Acquisition related charges R&amp;D</t>
        </is>
      </c>
      <c r="B146" s="376" t="n"/>
      <c r="C146" s="343">
        <f>C123</f>
        <v/>
      </c>
      <c r="D146" s="343">
        <f>D123</f>
        <v/>
      </c>
      <c r="E146" s="343">
        <f>E123</f>
        <v/>
      </c>
      <c r="F146" s="343">
        <f>F123</f>
        <v/>
      </c>
      <c r="G146" s="228">
        <f>G123</f>
        <v/>
      </c>
      <c r="H146" s="228">
        <f>H123</f>
        <v/>
      </c>
      <c r="I146" s="228">
        <f>I123</f>
        <v/>
      </c>
      <c r="J146" s="228">
        <f>J123</f>
        <v/>
      </c>
      <c r="K146" s="343">
        <f>K123</f>
        <v/>
      </c>
      <c r="L146" s="228">
        <f>L123</f>
        <v/>
      </c>
      <c r="M146" s="228">
        <f>M123</f>
        <v/>
      </c>
      <c r="N146" s="228">
        <f>N123</f>
        <v/>
      </c>
      <c r="O146" s="228">
        <f>O123</f>
        <v/>
      </c>
      <c r="P146" s="343">
        <f>P123</f>
        <v/>
      </c>
      <c r="Q146" s="228">
        <f>Q123</f>
        <v/>
      </c>
      <c r="R146" s="228">
        <f>R123</f>
        <v/>
      </c>
      <c r="S146" s="228">
        <f>S123</f>
        <v/>
      </c>
      <c r="T146" s="228">
        <f>T123</f>
        <v/>
      </c>
      <c r="U146" s="343">
        <f>U123</f>
        <v/>
      </c>
      <c r="V146" s="228">
        <f>V123</f>
        <v/>
      </c>
      <c r="W146" s="228">
        <f>W123</f>
        <v/>
      </c>
      <c r="X146" s="228">
        <f>X123</f>
        <v/>
      </c>
      <c r="Y146" s="228">
        <f>Y123</f>
        <v/>
      </c>
      <c r="Z146" s="343">
        <f>Z123</f>
        <v/>
      </c>
      <c r="AA146" s="228">
        <f>AA123</f>
        <v/>
      </c>
      <c r="AB146" s="228">
        <f>AB123</f>
        <v/>
      </c>
      <c r="AC146" s="228">
        <f>AC123</f>
        <v/>
      </c>
      <c r="AD146" s="228">
        <f>AD123</f>
        <v/>
      </c>
      <c r="AE146" s="343">
        <f>AE123</f>
        <v/>
      </c>
      <c r="AF146" s="228">
        <f>AF123</f>
        <v/>
      </c>
      <c r="AG146" s="228">
        <f>AG123</f>
        <v/>
      </c>
      <c r="AH146" s="228">
        <f>AH123</f>
        <v/>
      </c>
      <c r="AI146" s="228">
        <f>AI123</f>
        <v/>
      </c>
      <c r="AJ146" s="343">
        <f>AJ123</f>
        <v/>
      </c>
      <c r="AK146" s="228">
        <f>AK123</f>
        <v/>
      </c>
      <c r="AL146" s="322">
        <f>AL123</f>
        <v/>
      </c>
      <c r="AM146" s="391" t="n"/>
      <c r="AN146" s="391" t="n"/>
      <c r="AO146" s="343" t="n"/>
      <c r="AP146" s="391" t="n"/>
      <c r="AQ146" s="391" t="n"/>
      <c r="AR146" s="391" t="n"/>
      <c r="AS146" s="391" t="n"/>
      <c r="AT146" s="343" t="n"/>
      <c r="AU146" s="392" t="n"/>
      <c r="AV146" s="392" t="n"/>
      <c r="AW146" s="392" t="n"/>
      <c r="AX146" s="22" t="n"/>
    </row>
    <row r="147" customFormat="1" s="116">
      <c r="A147" s="395" t="inlineStr">
        <is>
          <t>Non-GAAP R&amp;D</t>
        </is>
      </c>
      <c r="B147" s="396" t="n"/>
      <c r="C147" s="397">
        <f>C143-SUM(C144:C146)</f>
        <v/>
      </c>
      <c r="D147" s="397">
        <f>D143-SUM(D144:D146)</f>
        <v/>
      </c>
      <c r="E147" s="397">
        <f>E143-SUM(E144:E146)</f>
        <v/>
      </c>
      <c r="F147" s="397">
        <f>F143-SUM(F144:F146)</f>
        <v/>
      </c>
      <c r="G147" s="398">
        <f>G143-SUM(G144:G146)</f>
        <v/>
      </c>
      <c r="H147" s="398">
        <f>H143-SUM(H144:H146)</f>
        <v/>
      </c>
      <c r="I147" s="398">
        <f>I143-SUM(I144:I146)</f>
        <v/>
      </c>
      <c r="J147" s="398">
        <f>J143-SUM(J144:J146)</f>
        <v/>
      </c>
      <c r="K147" s="397">
        <f>K143-SUM(K144:K146)</f>
        <v/>
      </c>
      <c r="L147" s="398">
        <f>L143-SUM(L144:L146)</f>
        <v/>
      </c>
      <c r="M147" s="398">
        <f>M143-SUM(M144:M146)</f>
        <v/>
      </c>
      <c r="N147" s="398">
        <f>N143-SUM(N144:N146)</f>
        <v/>
      </c>
      <c r="O147" s="398">
        <f>O143-SUM(O144:O146)</f>
        <v/>
      </c>
      <c r="P147" s="397">
        <f>P143-SUM(P144:P146)</f>
        <v/>
      </c>
      <c r="Q147" s="398">
        <f>Q143-SUM(Q144:Q146)</f>
        <v/>
      </c>
      <c r="R147" s="398">
        <f>R143-SUM(R144:R146)</f>
        <v/>
      </c>
      <c r="S147" s="398">
        <f>S143-SUM(S144:S146)</f>
        <v/>
      </c>
      <c r="T147" s="398">
        <f>T143-SUM(T144:T146)</f>
        <v/>
      </c>
      <c r="U147" s="397">
        <f>U143-SUM(U144:U146)</f>
        <v/>
      </c>
      <c r="V147" s="398">
        <f>V143-SUM(V144:V146)</f>
        <v/>
      </c>
      <c r="W147" s="399">
        <f>W143-SUM(W144:W146)</f>
        <v/>
      </c>
      <c r="X147" s="399">
        <f>X143-SUM(X144:X146)</f>
        <v/>
      </c>
      <c r="Y147" s="399">
        <f>Y143-SUM(Y144:Y146)</f>
        <v/>
      </c>
      <c r="Z147" s="400">
        <f>Z143-SUM(Z144:Z146)</f>
        <v/>
      </c>
      <c r="AA147" s="401">
        <f>AA143-SUM(AA144:AA146)</f>
        <v/>
      </c>
      <c r="AB147" s="399">
        <f>AB143-SUM(AB144:AB146)</f>
        <v/>
      </c>
      <c r="AC147" s="399">
        <f>AC143-SUM(AC144:AC146)</f>
        <v/>
      </c>
      <c r="AD147" s="399">
        <f>AD143-SUM(AD144:AD146)</f>
        <v/>
      </c>
      <c r="AE147" s="400">
        <f>AE143-SUM(AE144:AE146)</f>
        <v/>
      </c>
      <c r="AF147" s="401">
        <f>AF143-SUM(AF144:AF146)</f>
        <v/>
      </c>
      <c r="AG147" s="399">
        <f>AG143-SUM(AG144:AG146)</f>
        <v/>
      </c>
      <c r="AH147" s="399">
        <f>AH143-SUM(AH144:AH146)</f>
        <v/>
      </c>
      <c r="AI147" s="399">
        <f>AI143-SUM(AI144:AI146)</f>
        <v/>
      </c>
      <c r="AJ147" s="400">
        <f>AJ143-SUM(AJ144:AJ146)</f>
        <v/>
      </c>
      <c r="AK147" s="401">
        <f>AK143-SUM(AK144:AK146)</f>
        <v/>
      </c>
      <c r="AL147" s="402">
        <f>AL143-SUM(AL144:AL146)</f>
        <v/>
      </c>
      <c r="AM147" s="401" t="n"/>
      <c r="AN147" s="401" t="n"/>
      <c r="AO147" s="403" t="n"/>
      <c r="AP147" s="401" t="n"/>
      <c r="AQ147" s="401" t="n"/>
      <c r="AR147" s="401" t="n"/>
      <c r="AS147" s="401" t="n"/>
      <c r="AT147" s="403" t="n"/>
      <c r="AU147" s="403" t="n"/>
      <c r="AV147" s="403" t="n"/>
      <c r="AW147" s="403" t="n"/>
      <c r="AX147" s="113" t="n"/>
    </row>
    <row r="148" customFormat="1" s="409">
      <c r="A148" s="404" t="inlineStr">
        <is>
          <t>GAAP G&amp;A</t>
        </is>
      </c>
      <c r="B148" s="376" t="n"/>
      <c r="C148" s="343">
        <f>C61</f>
        <v/>
      </c>
      <c r="D148" s="343">
        <f>D61</f>
        <v/>
      </c>
      <c r="E148" s="343">
        <f>E61</f>
        <v/>
      </c>
      <c r="F148" s="343">
        <f>F61</f>
        <v/>
      </c>
      <c r="G148" s="228">
        <f>G61</f>
        <v/>
      </c>
      <c r="H148" s="228">
        <f>H61</f>
        <v/>
      </c>
      <c r="I148" s="228">
        <f>I61</f>
        <v/>
      </c>
      <c r="J148" s="228">
        <f>J61</f>
        <v/>
      </c>
      <c r="K148" s="343">
        <f>K61</f>
        <v/>
      </c>
      <c r="L148" s="228">
        <f>L61</f>
        <v/>
      </c>
      <c r="M148" s="228">
        <f>M61</f>
        <v/>
      </c>
      <c r="N148" s="228">
        <f>N61</f>
        <v/>
      </c>
      <c r="O148" s="228">
        <f>O61</f>
        <v/>
      </c>
      <c r="P148" s="343">
        <f>P61</f>
        <v/>
      </c>
      <c r="Q148" s="228">
        <f>Q61</f>
        <v/>
      </c>
      <c r="R148" s="228">
        <f>R61</f>
        <v/>
      </c>
      <c r="S148" s="228">
        <f>S61</f>
        <v/>
      </c>
      <c r="T148" s="228">
        <f>T61</f>
        <v/>
      </c>
      <c r="U148" s="343">
        <f>U61</f>
        <v/>
      </c>
      <c r="V148" s="228">
        <f>V61</f>
        <v/>
      </c>
      <c r="W148" s="405">
        <f>W61</f>
        <v/>
      </c>
      <c r="X148" s="405">
        <f>X61</f>
        <v/>
      </c>
      <c r="Y148" s="405">
        <f>Y61</f>
        <v/>
      </c>
      <c r="Z148" s="343">
        <f>Z61</f>
        <v/>
      </c>
      <c r="AA148" s="228">
        <f>AA61</f>
        <v/>
      </c>
      <c r="AB148" s="405">
        <f>AB61</f>
        <v/>
      </c>
      <c r="AC148" s="405">
        <f>AC61</f>
        <v/>
      </c>
      <c r="AD148" s="405">
        <f>AD61</f>
        <v/>
      </c>
      <c r="AE148" s="343">
        <f>AE61</f>
        <v/>
      </c>
      <c r="AF148" s="228">
        <f>AF61</f>
        <v/>
      </c>
      <c r="AG148" s="405">
        <f>AG61</f>
        <v/>
      </c>
      <c r="AH148" s="405">
        <f>AH61</f>
        <v/>
      </c>
      <c r="AI148" s="405">
        <f>AI61</f>
        <v/>
      </c>
      <c r="AJ148" s="343">
        <f>AJ61</f>
        <v/>
      </c>
      <c r="AK148" s="228">
        <f>AK61</f>
        <v/>
      </c>
      <c r="AL148" s="406">
        <f>AL61</f>
        <v/>
      </c>
      <c r="AM148" s="228" t="n"/>
      <c r="AN148" s="228" t="n"/>
      <c r="AO148" s="343" t="n"/>
      <c r="AP148" s="228" t="n"/>
      <c r="AQ148" s="228" t="n"/>
      <c r="AR148" s="228" t="n"/>
      <c r="AS148" s="228" t="n"/>
      <c r="AT148" s="343" t="n"/>
      <c r="AU148" s="407" t="n"/>
      <c r="AV148" s="407" t="n"/>
      <c r="AW148" s="407" t="n"/>
      <c r="AX148" s="408" t="n"/>
    </row>
    <row r="149" customFormat="1" s="5">
      <c r="A149" s="410" t="inlineStr">
        <is>
          <t>SBC</t>
        </is>
      </c>
      <c r="B149" s="376" t="n"/>
      <c r="C149" s="343">
        <f>C114</f>
        <v/>
      </c>
      <c r="D149" s="343">
        <f>D114</f>
        <v/>
      </c>
      <c r="E149" s="343">
        <f>E114</f>
        <v/>
      </c>
      <c r="F149" s="343">
        <f>F114</f>
        <v/>
      </c>
      <c r="G149" s="228">
        <f>G114</f>
        <v/>
      </c>
      <c r="H149" s="228">
        <f>H114</f>
        <v/>
      </c>
      <c r="I149" s="228">
        <f>I114</f>
        <v/>
      </c>
      <c r="J149" s="228">
        <f>J114</f>
        <v/>
      </c>
      <c r="K149" s="343">
        <f>K114</f>
        <v/>
      </c>
      <c r="L149" s="228">
        <f>L114</f>
        <v/>
      </c>
      <c r="M149" s="228">
        <f>M114</f>
        <v/>
      </c>
      <c r="N149" s="228">
        <f>N114</f>
        <v/>
      </c>
      <c r="O149" s="228">
        <f>O114</f>
        <v/>
      </c>
      <c r="P149" s="343">
        <f>P114</f>
        <v/>
      </c>
      <c r="Q149" s="228">
        <f>Q114</f>
        <v/>
      </c>
      <c r="R149" s="228">
        <f>R114</f>
        <v/>
      </c>
      <c r="S149" s="228">
        <f>S114</f>
        <v/>
      </c>
      <c r="T149" s="228">
        <f>T114</f>
        <v/>
      </c>
      <c r="U149" s="343">
        <f>U114</f>
        <v/>
      </c>
      <c r="V149" s="228">
        <f>V114</f>
        <v/>
      </c>
      <c r="W149" s="228">
        <f>W114</f>
        <v/>
      </c>
      <c r="X149" s="228">
        <f>X114</f>
        <v/>
      </c>
      <c r="Y149" s="228">
        <f>Y114</f>
        <v/>
      </c>
      <c r="Z149" s="343">
        <f>Z114</f>
        <v/>
      </c>
      <c r="AA149" s="228">
        <f>AA114</f>
        <v/>
      </c>
      <c r="AB149" s="228">
        <f>AB114</f>
        <v/>
      </c>
      <c r="AC149" s="228">
        <f>AC114</f>
        <v/>
      </c>
      <c r="AD149" s="228">
        <f>AD114</f>
        <v/>
      </c>
      <c r="AE149" s="343">
        <f>AE114</f>
        <v/>
      </c>
      <c r="AF149" s="228">
        <f>AF114</f>
        <v/>
      </c>
      <c r="AG149" s="228">
        <f>AG114</f>
        <v/>
      </c>
      <c r="AH149" s="228">
        <f>AH114</f>
        <v/>
      </c>
      <c r="AI149" s="228">
        <f>AI114</f>
        <v/>
      </c>
      <c r="AJ149" s="343">
        <f>AJ114</f>
        <v/>
      </c>
      <c r="AK149" s="228">
        <f>AK114</f>
        <v/>
      </c>
      <c r="AL149" s="322">
        <f>AL114</f>
        <v/>
      </c>
      <c r="AM149" s="391" t="n"/>
      <c r="AN149" s="391" t="n"/>
      <c r="AO149" s="343" t="n"/>
      <c r="AP149" s="391" t="n"/>
      <c r="AQ149" s="391" t="n"/>
      <c r="AR149" s="391" t="n"/>
      <c r="AS149" s="391" t="n"/>
      <c r="AT149" s="343" t="n"/>
      <c r="AU149" s="392" t="n"/>
      <c r="AV149" s="392" t="n"/>
      <c r="AW149" s="392" t="n"/>
      <c r="AX149" s="228" t="n"/>
    </row>
    <row r="150" customFormat="1" s="5">
      <c r="A150" s="410" t="inlineStr">
        <is>
          <t>Acquisition related charges G&amp;A</t>
        </is>
      </c>
      <c r="B150" s="376" t="n"/>
      <c r="C150" s="343">
        <f>C125</f>
        <v/>
      </c>
      <c r="D150" s="343">
        <f>D125</f>
        <v/>
      </c>
      <c r="E150" s="343">
        <f>E125</f>
        <v/>
      </c>
      <c r="F150" s="343">
        <f>F125</f>
        <v/>
      </c>
      <c r="G150" s="228">
        <f>G125</f>
        <v/>
      </c>
      <c r="H150" s="228">
        <f>H125</f>
        <v/>
      </c>
      <c r="I150" s="228">
        <f>I125</f>
        <v/>
      </c>
      <c r="J150" s="228">
        <f>J125</f>
        <v/>
      </c>
      <c r="K150" s="343">
        <f>K125</f>
        <v/>
      </c>
      <c r="L150" s="228">
        <f>L125</f>
        <v/>
      </c>
      <c r="M150" s="228">
        <f>M125</f>
        <v/>
      </c>
      <c r="N150" s="228">
        <f>N125</f>
        <v/>
      </c>
      <c r="O150" s="228">
        <f>O125</f>
        <v/>
      </c>
      <c r="P150" s="343">
        <f>P125</f>
        <v/>
      </c>
      <c r="Q150" s="228">
        <f>Q125</f>
        <v/>
      </c>
      <c r="R150" s="228">
        <f>R125</f>
        <v/>
      </c>
      <c r="S150" s="228">
        <f>S125</f>
        <v/>
      </c>
      <c r="T150" s="228">
        <f>T125</f>
        <v/>
      </c>
      <c r="U150" s="343">
        <f>U125</f>
        <v/>
      </c>
      <c r="V150" s="228">
        <f>V125</f>
        <v/>
      </c>
      <c r="W150" s="228">
        <f>W125</f>
        <v/>
      </c>
      <c r="X150" s="228">
        <f>X125</f>
        <v/>
      </c>
      <c r="Y150" s="228">
        <f>Y125</f>
        <v/>
      </c>
      <c r="Z150" s="343">
        <f>Z125</f>
        <v/>
      </c>
      <c r="AA150" s="228">
        <f>AA125</f>
        <v/>
      </c>
      <c r="AB150" s="228">
        <f>AB125</f>
        <v/>
      </c>
      <c r="AC150" s="228">
        <f>AC125</f>
        <v/>
      </c>
      <c r="AD150" s="228">
        <f>AD125</f>
        <v/>
      </c>
      <c r="AE150" s="343">
        <f>AE125</f>
        <v/>
      </c>
      <c r="AF150" s="228">
        <f>AF125</f>
        <v/>
      </c>
      <c r="AG150" s="228">
        <f>AG125</f>
        <v/>
      </c>
      <c r="AH150" s="228">
        <f>AH125</f>
        <v/>
      </c>
      <c r="AI150" s="228">
        <f>AI125</f>
        <v/>
      </c>
      <c r="AJ150" s="343">
        <f>AJ125</f>
        <v/>
      </c>
      <c r="AK150" s="228">
        <f>AK125</f>
        <v/>
      </c>
      <c r="AL150" s="322">
        <f>AL125</f>
        <v/>
      </c>
      <c r="AM150" s="391" t="n"/>
      <c r="AN150" s="391" t="n"/>
      <c r="AO150" s="343" t="n"/>
      <c r="AP150" s="391" t="n"/>
      <c r="AQ150" s="391" t="n"/>
      <c r="AR150" s="391" t="n"/>
      <c r="AS150" s="391" t="n"/>
      <c r="AT150" s="343" t="n"/>
      <c r="AU150" s="392" t="n"/>
      <c r="AV150" s="392" t="n"/>
      <c r="AW150" s="392" t="n"/>
      <c r="AX150" s="228" t="n"/>
    </row>
    <row r="151" customFormat="1" s="5">
      <c r="A151" s="410" t="inlineStr">
        <is>
          <t>Others</t>
        </is>
      </c>
      <c r="B151" s="376" t="n"/>
      <c r="C151" s="343">
        <f>C129</f>
        <v/>
      </c>
      <c r="D151" s="343">
        <f>D129</f>
        <v/>
      </c>
      <c r="E151" s="343">
        <f>E129</f>
        <v/>
      </c>
      <c r="F151" s="343">
        <f>F129</f>
        <v/>
      </c>
      <c r="G151" s="228">
        <f>G129</f>
        <v/>
      </c>
      <c r="H151" s="228">
        <f>H129</f>
        <v/>
      </c>
      <c r="I151" s="228">
        <f>I129</f>
        <v/>
      </c>
      <c r="J151" s="228">
        <f>J129</f>
        <v/>
      </c>
      <c r="K151" s="343">
        <f>K129</f>
        <v/>
      </c>
      <c r="L151" s="228">
        <f>L129</f>
        <v/>
      </c>
      <c r="M151" s="228">
        <f>M129</f>
        <v/>
      </c>
      <c r="N151" s="228">
        <f>N129</f>
        <v/>
      </c>
      <c r="O151" s="228">
        <f>O129</f>
        <v/>
      </c>
      <c r="P151" s="343">
        <f>P129</f>
        <v/>
      </c>
      <c r="Q151" s="228">
        <f>Q129</f>
        <v/>
      </c>
      <c r="R151" s="228">
        <f>R129</f>
        <v/>
      </c>
      <c r="S151" s="228">
        <f>S129</f>
        <v/>
      </c>
      <c r="T151" s="228">
        <f>T129</f>
        <v/>
      </c>
      <c r="U151" s="343">
        <f>U129</f>
        <v/>
      </c>
      <c r="V151" s="228">
        <f>V129</f>
        <v/>
      </c>
      <c r="W151" s="228">
        <f>W129</f>
        <v/>
      </c>
      <c r="X151" s="228">
        <f>X129</f>
        <v/>
      </c>
      <c r="Y151" s="228">
        <f>Y129</f>
        <v/>
      </c>
      <c r="Z151" s="343">
        <f>Z129</f>
        <v/>
      </c>
      <c r="AA151" s="228">
        <f>AA129</f>
        <v/>
      </c>
      <c r="AB151" s="228">
        <f>AB129</f>
        <v/>
      </c>
      <c r="AC151" s="228">
        <f>AC129</f>
        <v/>
      </c>
      <c r="AD151" s="228">
        <f>AD129</f>
        <v/>
      </c>
      <c r="AE151" s="343">
        <f>AE129</f>
        <v/>
      </c>
      <c r="AF151" s="228">
        <f>AF129</f>
        <v/>
      </c>
      <c r="AG151" s="228">
        <f>AG129</f>
        <v/>
      </c>
      <c r="AH151" s="228">
        <f>AH129</f>
        <v/>
      </c>
      <c r="AI151" s="228">
        <f>AI129</f>
        <v/>
      </c>
      <c r="AJ151" s="343">
        <f>AJ129</f>
        <v/>
      </c>
      <c r="AK151" s="228">
        <f>AK129</f>
        <v/>
      </c>
      <c r="AL151" s="322">
        <f>AL129</f>
        <v/>
      </c>
      <c r="AM151" s="391" t="n"/>
      <c r="AN151" s="391" t="n"/>
      <c r="AO151" s="343" t="n"/>
      <c r="AP151" s="391" t="n"/>
      <c r="AQ151" s="391" t="n"/>
      <c r="AR151" s="391" t="n"/>
      <c r="AS151" s="391" t="n"/>
      <c r="AT151" s="343" t="n"/>
      <c r="AU151" s="392" t="n"/>
      <c r="AV151" s="392" t="n"/>
      <c r="AW151" s="392" t="n"/>
      <c r="AX151" s="228" t="n"/>
    </row>
    <row r="152" customFormat="1" s="9">
      <c r="A152" s="411" t="inlineStr">
        <is>
          <t>Non-GAAP G&amp;A</t>
        </is>
      </c>
      <c r="B152" s="412" t="n"/>
      <c r="C152" s="413">
        <f>C148-SUM(C149:C151)</f>
        <v/>
      </c>
      <c r="D152" s="413">
        <f>D148-SUM(D149:D151)</f>
        <v/>
      </c>
      <c r="E152" s="413">
        <f>E148-SUM(E149:E151)</f>
        <v/>
      </c>
      <c r="F152" s="413">
        <f>F148-SUM(F149:F151)</f>
        <v/>
      </c>
      <c r="G152" s="401">
        <f>G148-SUM(G149:G151)</f>
        <v/>
      </c>
      <c r="H152" s="401">
        <f>H148-SUM(H149:H151)</f>
        <v/>
      </c>
      <c r="I152" s="401">
        <f>I148-SUM(I149:I151)</f>
        <v/>
      </c>
      <c r="J152" s="401">
        <f>J148-SUM(J149:J151)</f>
        <v/>
      </c>
      <c r="K152" s="413">
        <f>K148-SUM(K149:K151)</f>
        <v/>
      </c>
      <c r="L152" s="401">
        <f>L148-SUM(L149:L151)</f>
        <v/>
      </c>
      <c r="M152" s="401">
        <f>M148-SUM(M149:M151)</f>
        <v/>
      </c>
      <c r="N152" s="401">
        <f>N148-SUM(N149:N151)</f>
        <v/>
      </c>
      <c r="O152" s="401">
        <f>O148-SUM(O149:O151)</f>
        <v/>
      </c>
      <c r="P152" s="413">
        <f>P148-SUM(P149:P151)</f>
        <v/>
      </c>
      <c r="Q152" s="401">
        <f>Q148-SUM(Q149:Q151)</f>
        <v/>
      </c>
      <c r="R152" s="401">
        <f>R148-SUM(R149:R151)</f>
        <v/>
      </c>
      <c r="S152" s="401">
        <f>S148-SUM(S149:S151)</f>
        <v/>
      </c>
      <c r="T152" s="401">
        <f>T148-SUM(T149:T151)</f>
        <v/>
      </c>
      <c r="U152" s="413">
        <f>U148-SUM(U149:U151)</f>
        <v/>
      </c>
      <c r="V152" s="401">
        <f>V148-SUM(V149:V151)</f>
        <v/>
      </c>
      <c r="W152" s="401">
        <f>W148-SUM(W149:W151)</f>
        <v/>
      </c>
      <c r="X152" s="401">
        <f>X148-SUM(X149:X151)</f>
        <v/>
      </c>
      <c r="Y152" s="401">
        <f>Y148-SUM(Y149:Y151)</f>
        <v/>
      </c>
      <c r="Z152" s="413">
        <f>Z148-SUM(Z149:Z151)</f>
        <v/>
      </c>
      <c r="AA152" s="401">
        <f>AA148-SUM(AA149:AA151)</f>
        <v/>
      </c>
      <c r="AB152" s="401">
        <f>AB148-SUM(AB149:AB151)</f>
        <v/>
      </c>
      <c r="AC152" s="401">
        <f>AC148-SUM(AC149:AC151)</f>
        <v/>
      </c>
      <c r="AD152" s="401">
        <f>AD148-SUM(AD149:AD151)</f>
        <v/>
      </c>
      <c r="AE152" s="413">
        <f>AE148-SUM(AE149:AE151)</f>
        <v/>
      </c>
      <c r="AF152" s="401">
        <f>AF148-SUM(AF149:AF151)</f>
        <v/>
      </c>
      <c r="AG152" s="401">
        <f>AG148-SUM(AG149:AG151)</f>
        <v/>
      </c>
      <c r="AH152" s="401">
        <f>AH148-SUM(AH149:AH151)</f>
        <v/>
      </c>
      <c r="AI152" s="401">
        <f>AI148-SUM(AI149:AI151)</f>
        <v/>
      </c>
      <c r="AJ152" s="413">
        <f>AJ148-SUM(AJ149:AJ151)</f>
        <v/>
      </c>
      <c r="AK152" s="401">
        <f>AK148-SUM(AK149:AK151)</f>
        <v/>
      </c>
      <c r="AL152" s="414">
        <f>AL148-SUM(AL149:AL151)</f>
        <v/>
      </c>
      <c r="AM152" s="401" t="n"/>
      <c r="AN152" s="401" t="n"/>
      <c r="AO152" s="413" t="n"/>
      <c r="AP152" s="401" t="n"/>
      <c r="AQ152" s="401" t="n"/>
      <c r="AR152" s="401" t="n"/>
      <c r="AS152" s="401" t="n"/>
      <c r="AT152" s="413" t="n"/>
      <c r="AU152" s="413" t="n"/>
      <c r="AV152" s="413" t="n"/>
      <c r="AW152" s="413" t="n"/>
      <c r="AX152" s="22" t="n"/>
    </row>
    <row r="153" customFormat="1" s="5">
      <c r="A153" s="404" t="inlineStr">
        <is>
          <t>GAAP S&amp;M</t>
        </is>
      </c>
      <c r="B153" s="376" t="n"/>
      <c r="C153" s="343">
        <f>C60</f>
        <v/>
      </c>
      <c r="D153" s="343">
        <f>D60</f>
        <v/>
      </c>
      <c r="E153" s="343">
        <f>E60</f>
        <v/>
      </c>
      <c r="F153" s="343">
        <f>F60</f>
        <v/>
      </c>
      <c r="G153" s="228">
        <f>G60</f>
        <v/>
      </c>
      <c r="H153" s="228">
        <f>H60</f>
        <v/>
      </c>
      <c r="I153" s="228">
        <f>I60</f>
        <v/>
      </c>
      <c r="J153" s="228">
        <f>J60</f>
        <v/>
      </c>
      <c r="K153" s="343">
        <f>K60</f>
        <v/>
      </c>
      <c r="L153" s="228">
        <f>L60</f>
        <v/>
      </c>
      <c r="M153" s="228">
        <f>M60</f>
        <v/>
      </c>
      <c r="N153" s="228">
        <f>N60</f>
        <v/>
      </c>
      <c r="O153" s="228">
        <f>O60</f>
        <v/>
      </c>
      <c r="P153" s="343">
        <f>P60</f>
        <v/>
      </c>
      <c r="Q153" s="228">
        <f>Q60</f>
        <v/>
      </c>
      <c r="R153" s="228">
        <f>R60</f>
        <v/>
      </c>
      <c r="S153" s="228">
        <f>S60</f>
        <v/>
      </c>
      <c r="T153" s="228">
        <f>T60</f>
        <v/>
      </c>
      <c r="U153" s="343">
        <f>U60</f>
        <v/>
      </c>
      <c r="V153" s="228">
        <f>V60</f>
        <v/>
      </c>
      <c r="W153" s="228">
        <f>W60</f>
        <v/>
      </c>
      <c r="X153" s="228">
        <f>X60</f>
        <v/>
      </c>
      <c r="Y153" s="228">
        <f>Y60</f>
        <v/>
      </c>
      <c r="Z153" s="343">
        <f>Z60</f>
        <v/>
      </c>
      <c r="AA153" s="228">
        <f>AA60</f>
        <v/>
      </c>
      <c r="AB153" s="228">
        <f>AB60</f>
        <v/>
      </c>
      <c r="AC153" s="228">
        <f>AC60</f>
        <v/>
      </c>
      <c r="AD153" s="228">
        <f>AD60</f>
        <v/>
      </c>
      <c r="AE153" s="343">
        <f>AE60</f>
        <v/>
      </c>
      <c r="AF153" s="228">
        <f>AF60</f>
        <v/>
      </c>
      <c r="AG153" s="228">
        <f>AG60</f>
        <v/>
      </c>
      <c r="AH153" s="228">
        <f>AH60</f>
        <v/>
      </c>
      <c r="AI153" s="228">
        <f>AI60</f>
        <v/>
      </c>
      <c r="AJ153" s="343">
        <f>AJ60</f>
        <v/>
      </c>
      <c r="AK153" s="228">
        <f>AK60</f>
        <v/>
      </c>
      <c r="AL153" s="322">
        <f>AL60</f>
        <v/>
      </c>
      <c r="AM153" s="228" t="n"/>
      <c r="AN153" s="228" t="n"/>
      <c r="AO153" s="343" t="n"/>
      <c r="AP153" s="228" t="n"/>
      <c r="AQ153" s="228" t="n"/>
      <c r="AR153" s="228" t="n"/>
      <c r="AS153" s="228" t="n"/>
      <c r="AT153" s="343" t="n"/>
      <c r="AU153" s="343" t="n"/>
      <c r="AV153" s="343" t="n"/>
      <c r="AW153" s="343" t="n"/>
      <c r="AX153" s="228" t="n"/>
    </row>
    <row r="154" customFormat="1" s="5">
      <c r="A154" s="410" t="inlineStr">
        <is>
          <t>SBC</t>
        </is>
      </c>
      <c r="B154" s="376" t="n"/>
      <c r="C154" s="343">
        <f>C113</f>
        <v/>
      </c>
      <c r="D154" s="343">
        <f>D113</f>
        <v/>
      </c>
      <c r="E154" s="343">
        <f>E113</f>
        <v/>
      </c>
      <c r="F154" s="343">
        <f>F113</f>
        <v/>
      </c>
      <c r="G154" s="228">
        <f>G113</f>
        <v/>
      </c>
      <c r="H154" s="228">
        <f>H113</f>
        <v/>
      </c>
      <c r="I154" s="228">
        <f>I113</f>
        <v/>
      </c>
      <c r="J154" s="228">
        <f>J113</f>
        <v/>
      </c>
      <c r="K154" s="343">
        <f>K113</f>
        <v/>
      </c>
      <c r="L154" s="228">
        <f>L113</f>
        <v/>
      </c>
      <c r="M154" s="228">
        <f>M113</f>
        <v/>
      </c>
      <c r="N154" s="228">
        <f>N113</f>
        <v/>
      </c>
      <c r="O154" s="228">
        <f>O113</f>
        <v/>
      </c>
      <c r="P154" s="343">
        <f>P113</f>
        <v/>
      </c>
      <c r="Q154" s="228">
        <f>Q113</f>
        <v/>
      </c>
      <c r="R154" s="228">
        <f>R113</f>
        <v/>
      </c>
      <c r="S154" s="228">
        <f>S113</f>
        <v/>
      </c>
      <c r="T154" s="228">
        <f>T113</f>
        <v/>
      </c>
      <c r="U154" s="343">
        <f>U113</f>
        <v/>
      </c>
      <c r="V154" s="228">
        <f>V113</f>
        <v/>
      </c>
      <c r="W154" s="228">
        <f>W113</f>
        <v/>
      </c>
      <c r="X154" s="228">
        <f>X113</f>
        <v/>
      </c>
      <c r="Y154" s="228">
        <f>Y113</f>
        <v/>
      </c>
      <c r="Z154" s="343">
        <f>Z113</f>
        <v/>
      </c>
      <c r="AA154" s="228">
        <f>AA113</f>
        <v/>
      </c>
      <c r="AB154" s="228">
        <f>AB113</f>
        <v/>
      </c>
      <c r="AC154" s="228">
        <f>AC113</f>
        <v/>
      </c>
      <c r="AD154" s="228">
        <f>AD113</f>
        <v/>
      </c>
      <c r="AE154" s="343">
        <f>AE113</f>
        <v/>
      </c>
      <c r="AF154" s="228">
        <f>AF113</f>
        <v/>
      </c>
      <c r="AG154" s="228">
        <f>AG113</f>
        <v/>
      </c>
      <c r="AH154" s="228">
        <f>AH113</f>
        <v/>
      </c>
      <c r="AI154" s="228">
        <f>AI113</f>
        <v/>
      </c>
      <c r="AJ154" s="343">
        <f>AJ113</f>
        <v/>
      </c>
      <c r="AK154" s="228">
        <f>AK113</f>
        <v/>
      </c>
      <c r="AL154" s="322">
        <f>AL113</f>
        <v/>
      </c>
      <c r="AM154" s="391" t="n"/>
      <c r="AN154" s="391" t="n"/>
      <c r="AO154" s="343" t="n"/>
      <c r="AP154" s="391" t="n"/>
      <c r="AQ154" s="391" t="n"/>
      <c r="AR154" s="391" t="n"/>
      <c r="AS154" s="391" t="n"/>
      <c r="AT154" s="343" t="n"/>
      <c r="AU154" s="392" t="n"/>
      <c r="AV154" s="392" t="n"/>
      <c r="AW154" s="392" t="n"/>
      <c r="AX154" s="228" t="n"/>
    </row>
    <row r="155" customFormat="1" s="5">
      <c r="A155" s="410" t="inlineStr">
        <is>
          <t>Amortization of Intangibles S&amp;M</t>
        </is>
      </c>
      <c r="B155" s="376" t="n"/>
      <c r="C155" s="343">
        <f>C119</f>
        <v/>
      </c>
      <c r="D155" s="343">
        <f>D119</f>
        <v/>
      </c>
      <c r="E155" s="343">
        <f>E119</f>
        <v/>
      </c>
      <c r="F155" s="343">
        <f>F119</f>
        <v/>
      </c>
      <c r="G155" s="228">
        <f>G119</f>
        <v/>
      </c>
      <c r="H155" s="228">
        <f>H119</f>
        <v/>
      </c>
      <c r="I155" s="228">
        <f>I119</f>
        <v/>
      </c>
      <c r="J155" s="228">
        <f>J119</f>
        <v/>
      </c>
      <c r="K155" s="343">
        <f>K119</f>
        <v/>
      </c>
      <c r="L155" s="228">
        <f>L119</f>
        <v/>
      </c>
      <c r="M155" s="228">
        <f>M119</f>
        <v/>
      </c>
      <c r="N155" s="228">
        <f>N119</f>
        <v/>
      </c>
      <c r="O155" s="228">
        <f>O119</f>
        <v/>
      </c>
      <c r="P155" s="343">
        <f>P119</f>
        <v/>
      </c>
      <c r="Q155" s="228">
        <f>Q119</f>
        <v/>
      </c>
      <c r="R155" s="228">
        <f>R119</f>
        <v/>
      </c>
      <c r="S155" s="228">
        <f>S119</f>
        <v/>
      </c>
      <c r="T155" s="228">
        <f>T119</f>
        <v/>
      </c>
      <c r="U155" s="343">
        <f>U119</f>
        <v/>
      </c>
      <c r="V155" s="228">
        <f>V119</f>
        <v/>
      </c>
      <c r="W155" s="228">
        <f>W119</f>
        <v/>
      </c>
      <c r="X155" s="228">
        <f>X119</f>
        <v/>
      </c>
      <c r="Y155" s="228">
        <f>Y119</f>
        <v/>
      </c>
      <c r="Z155" s="343">
        <f>Z119</f>
        <v/>
      </c>
      <c r="AA155" s="228">
        <f>AA119</f>
        <v/>
      </c>
      <c r="AB155" s="228">
        <f>AB119</f>
        <v/>
      </c>
      <c r="AC155" s="228">
        <f>AC119</f>
        <v/>
      </c>
      <c r="AD155" s="228">
        <f>AD119</f>
        <v/>
      </c>
      <c r="AE155" s="343">
        <f>AE119</f>
        <v/>
      </c>
      <c r="AF155" s="228">
        <f>AF119</f>
        <v/>
      </c>
      <c r="AG155" s="228">
        <f>AG119</f>
        <v/>
      </c>
      <c r="AH155" s="228">
        <f>AH119</f>
        <v/>
      </c>
      <c r="AI155" s="228">
        <f>AI119</f>
        <v/>
      </c>
      <c r="AJ155" s="343">
        <f>AJ119</f>
        <v/>
      </c>
      <c r="AK155" s="228">
        <f>AK119</f>
        <v/>
      </c>
      <c r="AL155" s="322">
        <f>AL119</f>
        <v/>
      </c>
      <c r="AM155" s="391" t="n"/>
      <c r="AN155" s="391" t="n"/>
      <c r="AO155" s="343" t="n"/>
      <c r="AP155" s="391" t="n"/>
      <c r="AQ155" s="391" t="n"/>
      <c r="AR155" s="391" t="n"/>
      <c r="AS155" s="391" t="n"/>
      <c r="AT155" s="343" t="n"/>
      <c r="AU155" s="392" t="n"/>
      <c r="AV155" s="392" t="n"/>
      <c r="AW155" s="392" t="n"/>
      <c r="AX155" s="228" t="n"/>
    </row>
    <row r="156" customFormat="1" s="5">
      <c r="A156" s="410" t="inlineStr">
        <is>
          <t>Acquisition related charges S&amp;M</t>
        </is>
      </c>
      <c r="B156" s="376" t="n"/>
      <c r="C156" s="343">
        <f>C124</f>
        <v/>
      </c>
      <c r="D156" s="343">
        <f>D124</f>
        <v/>
      </c>
      <c r="E156" s="343">
        <f>E124</f>
        <v/>
      </c>
      <c r="F156" s="343">
        <f>F124</f>
        <v/>
      </c>
      <c r="G156" s="228">
        <f>G124</f>
        <v/>
      </c>
      <c r="H156" s="228">
        <f>H124</f>
        <v/>
      </c>
      <c r="I156" s="228">
        <f>I124</f>
        <v/>
      </c>
      <c r="J156" s="228">
        <f>J124</f>
        <v/>
      </c>
      <c r="K156" s="343">
        <f>K124</f>
        <v/>
      </c>
      <c r="L156" s="228">
        <f>L124</f>
        <v/>
      </c>
      <c r="M156" s="228">
        <f>M124</f>
        <v/>
      </c>
      <c r="N156" s="228">
        <f>N124</f>
        <v/>
      </c>
      <c r="O156" s="228">
        <f>O124</f>
        <v/>
      </c>
      <c r="P156" s="343">
        <f>P124</f>
        <v/>
      </c>
      <c r="Q156" s="228">
        <f>Q124</f>
        <v/>
      </c>
      <c r="R156" s="228">
        <f>R124</f>
        <v/>
      </c>
      <c r="S156" s="228">
        <f>S124</f>
        <v/>
      </c>
      <c r="T156" s="228">
        <f>T124</f>
        <v/>
      </c>
      <c r="U156" s="343">
        <f>U124</f>
        <v/>
      </c>
      <c r="V156" s="228">
        <f>V124</f>
        <v/>
      </c>
      <c r="W156" s="228">
        <f>W124</f>
        <v/>
      </c>
      <c r="X156" s="228">
        <f>X124</f>
        <v/>
      </c>
      <c r="Y156" s="228">
        <f>Y124</f>
        <v/>
      </c>
      <c r="Z156" s="343">
        <f>Z124</f>
        <v/>
      </c>
      <c r="AA156" s="228">
        <f>AA124</f>
        <v/>
      </c>
      <c r="AB156" s="228">
        <f>AB124</f>
        <v/>
      </c>
      <c r="AC156" s="228">
        <f>AC124</f>
        <v/>
      </c>
      <c r="AD156" s="228">
        <f>AD124</f>
        <v/>
      </c>
      <c r="AE156" s="343">
        <f>AE124</f>
        <v/>
      </c>
      <c r="AF156" s="228">
        <f>AF124</f>
        <v/>
      </c>
      <c r="AG156" s="228">
        <f>AG124</f>
        <v/>
      </c>
      <c r="AH156" s="228">
        <f>AH124</f>
        <v/>
      </c>
      <c r="AI156" s="228">
        <f>AI124</f>
        <v/>
      </c>
      <c r="AJ156" s="343">
        <f>AJ124</f>
        <v/>
      </c>
      <c r="AK156" s="228">
        <f>AK124</f>
        <v/>
      </c>
      <c r="AL156" s="322">
        <f>AL124</f>
        <v/>
      </c>
      <c r="AM156" s="391" t="n"/>
      <c r="AN156" s="391" t="n"/>
      <c r="AO156" s="343" t="n"/>
      <c r="AP156" s="391" t="n"/>
      <c r="AQ156" s="391" t="n"/>
      <c r="AR156" s="391" t="n"/>
      <c r="AS156" s="391" t="n"/>
      <c r="AT156" s="343" t="n"/>
      <c r="AU156" s="392" t="n"/>
      <c r="AV156" s="392" t="n"/>
      <c r="AW156" s="392" t="n"/>
      <c r="AX156" s="228" t="n"/>
    </row>
    <row r="157" customFormat="1" s="5">
      <c r="A157" s="415" t="inlineStr">
        <is>
          <t>Non-GAAP S&amp;M</t>
        </is>
      </c>
      <c r="B157" s="416" t="n"/>
      <c r="C157" s="417">
        <f>C153-SUM(C154:C156)</f>
        <v/>
      </c>
      <c r="D157" s="417">
        <f>D153-SUM(D154:D156)</f>
        <v/>
      </c>
      <c r="E157" s="417">
        <f>E153-SUM(E154:E156)</f>
        <v/>
      </c>
      <c r="F157" s="417">
        <f>F153-SUM(F154:F156)</f>
        <v/>
      </c>
      <c r="G157" s="418">
        <f>G153-SUM(G154:G156)</f>
        <v/>
      </c>
      <c r="H157" s="418">
        <f>H153-SUM(H154:H156)</f>
        <v/>
      </c>
      <c r="I157" s="418">
        <f>I153-SUM(I154:I156)</f>
        <v/>
      </c>
      <c r="J157" s="418">
        <f>J153-SUM(J154:J156)</f>
        <v/>
      </c>
      <c r="K157" s="417">
        <f>K153-SUM(K154:K156)</f>
        <v/>
      </c>
      <c r="L157" s="418">
        <f>L153-SUM(L154:L156)</f>
        <v/>
      </c>
      <c r="M157" s="418">
        <f>M153-SUM(M154:M156)</f>
        <v/>
      </c>
      <c r="N157" s="418">
        <f>N153-SUM(N154:N156)</f>
        <v/>
      </c>
      <c r="O157" s="418">
        <f>O153-SUM(O154:O156)</f>
        <v/>
      </c>
      <c r="P157" s="417">
        <f>P153-SUM(P154:P156)</f>
        <v/>
      </c>
      <c r="Q157" s="418">
        <f>Q153-SUM(Q154:Q156)</f>
        <v/>
      </c>
      <c r="R157" s="418">
        <f>R153-SUM(R154:R156)</f>
        <v/>
      </c>
      <c r="S157" s="418">
        <f>S153-SUM(S154:S156)</f>
        <v/>
      </c>
      <c r="T157" s="418">
        <f>T153-SUM(T154:T156)</f>
        <v/>
      </c>
      <c r="U157" s="417">
        <f>U153-SUM(U154:U156)</f>
        <v/>
      </c>
      <c r="V157" s="418">
        <f>V153-SUM(V154:V156)</f>
        <v/>
      </c>
      <c r="W157" s="418">
        <f>W153-SUM(W154:W156)</f>
        <v/>
      </c>
      <c r="X157" s="418">
        <f>X153-SUM(X154:X156)</f>
        <v/>
      </c>
      <c r="Y157" s="418">
        <f>Y153-SUM(Y154:Y156)</f>
        <v/>
      </c>
      <c r="Z157" s="417">
        <f>Z153-SUM(Z154:Z156)</f>
        <v/>
      </c>
      <c r="AA157" s="418">
        <f>AA153-SUM(AA154:AA156)</f>
        <v/>
      </c>
      <c r="AB157" s="418">
        <f>AB153-SUM(AB154:AB156)</f>
        <v/>
      </c>
      <c r="AC157" s="418">
        <f>AC153-SUM(AC154:AC156)</f>
        <v/>
      </c>
      <c r="AD157" s="418">
        <f>AD153-SUM(AD154:AD156)</f>
        <v/>
      </c>
      <c r="AE157" s="417">
        <f>AE153-SUM(AE154:AE156)</f>
        <v/>
      </c>
      <c r="AF157" s="418">
        <f>AF153-SUM(AF154:AF156)</f>
        <v/>
      </c>
      <c r="AG157" s="418">
        <f>AG153-SUM(AG154:AG156)</f>
        <v/>
      </c>
      <c r="AH157" s="418">
        <f>AH153-SUM(AH154:AH156)</f>
        <v/>
      </c>
      <c r="AI157" s="418">
        <f>AI153-SUM(AI154:AI156)</f>
        <v/>
      </c>
      <c r="AJ157" s="417">
        <f>AJ153-SUM(AJ154:AJ156)</f>
        <v/>
      </c>
      <c r="AK157" s="418">
        <f>AK153-SUM(AK154:AK156)</f>
        <v/>
      </c>
      <c r="AL157" s="419">
        <f>AL153-SUM(AL154:AL156)</f>
        <v/>
      </c>
      <c r="AM157" s="418" t="n"/>
      <c r="AN157" s="418" t="n"/>
      <c r="AO157" s="417" t="n"/>
      <c r="AP157" s="418" t="n"/>
      <c r="AQ157" s="418" t="n"/>
      <c r="AR157" s="418" t="n"/>
      <c r="AS157" s="418" t="n"/>
      <c r="AT157" s="417" t="n"/>
      <c r="AU157" s="417" t="n"/>
      <c r="AV157" s="417" t="n"/>
      <c r="AW157" s="417" t="n"/>
      <c r="AX157" s="228" t="n"/>
    </row>
    <row r="158" customFormat="1" s="9">
      <c r="A158" s="420" t="inlineStr">
        <is>
          <t>Non-GAAP Operating Income Before Other</t>
        </is>
      </c>
      <c r="B158" s="103" t="n"/>
      <c r="C158" s="4">
        <f>C141-C147-C152-C157</f>
        <v/>
      </c>
      <c r="D158" s="4">
        <f>D141-D147-D152-D157</f>
        <v/>
      </c>
      <c r="E158" s="4">
        <f>E141-E147-E152-E157</f>
        <v/>
      </c>
      <c r="F158" s="4">
        <f>F141-F147-F152-F157</f>
        <v/>
      </c>
      <c r="G158" s="22">
        <f>G141-G147-G152-G157</f>
        <v/>
      </c>
      <c r="H158" s="22">
        <f>H141-H147-H152-H157</f>
        <v/>
      </c>
      <c r="I158" s="22">
        <f>I141-I147-I152-I157</f>
        <v/>
      </c>
      <c r="J158" s="22">
        <f>J141-J147-J152-J157</f>
        <v/>
      </c>
      <c r="K158" s="4">
        <f>K141-K147-K152-K157</f>
        <v/>
      </c>
      <c r="L158" s="22">
        <f>L141-L147-L152-L157</f>
        <v/>
      </c>
      <c r="M158" s="22">
        <f>M141-M147-M152-M157</f>
        <v/>
      </c>
      <c r="N158" s="22">
        <f>N141-N147-N152-N157</f>
        <v/>
      </c>
      <c r="O158" s="22">
        <f>O141-O147-O152-O157</f>
        <v/>
      </c>
      <c r="P158" s="4">
        <f>P141-P147-P152-P157</f>
        <v/>
      </c>
      <c r="Q158" s="22">
        <f>Q141-Q147-Q152-Q157</f>
        <v/>
      </c>
      <c r="R158" s="22">
        <f>R141-R147-R152-R157</f>
        <v/>
      </c>
      <c r="S158" s="22">
        <f>S141-S147-S152-S157</f>
        <v/>
      </c>
      <c r="T158" s="22">
        <f>T141-T147-T152-T157</f>
        <v/>
      </c>
      <c r="U158" s="4">
        <f>U141-U147-U152-U157</f>
        <v/>
      </c>
      <c r="V158" s="22">
        <f>V141-V147-V152-V157</f>
        <v/>
      </c>
      <c r="W158" s="22">
        <f>W141-W147-W152-W157</f>
        <v/>
      </c>
      <c r="X158" s="22">
        <f>X141-X147-X152-X157</f>
        <v/>
      </c>
      <c r="Y158" s="22">
        <f>Y141-Y147-Y152-Y157</f>
        <v/>
      </c>
      <c r="Z158" s="4">
        <f>Z141-Z147-Z152-Z157</f>
        <v/>
      </c>
      <c r="AA158" s="22">
        <f>AA141-AA147-AA152-AA157</f>
        <v/>
      </c>
      <c r="AB158" s="22">
        <f>AB141-AB147-AB152-AB157</f>
        <v/>
      </c>
      <c r="AC158" s="22">
        <f>AC141-AC147-AC152-AC157</f>
        <v/>
      </c>
      <c r="AD158" s="22">
        <f>AD141-AD147-AD152-AD157</f>
        <v/>
      </c>
      <c r="AE158" s="4">
        <f>AE141-AE147-AE152-AE157</f>
        <v/>
      </c>
      <c r="AF158" s="22">
        <f>AF141-AF147-AF152-AF157</f>
        <v/>
      </c>
      <c r="AG158" s="22">
        <f>AG141-AG147-AG152-AG157</f>
        <v/>
      </c>
      <c r="AH158" s="22">
        <f>AH141-AH147-AH152-AH157</f>
        <v/>
      </c>
      <c r="AI158" s="22">
        <f>AI141-AI147-AI152-AI157</f>
        <v/>
      </c>
      <c r="AJ158" s="4">
        <f>AJ141-AJ147-AJ152-AJ157</f>
        <v/>
      </c>
      <c r="AK158" s="22">
        <f>AK141-AK147-AK152-AK157</f>
        <v/>
      </c>
      <c r="AL158" s="308">
        <f>AL141-AL147-AL152-AL157</f>
        <v/>
      </c>
      <c r="AM158" s="22" t="n"/>
      <c r="AN158" s="22" t="n"/>
      <c r="AO158" s="4" t="n"/>
      <c r="AP158" s="22" t="n"/>
      <c r="AQ158" s="22" t="n"/>
      <c r="AR158" s="22" t="n"/>
      <c r="AS158" s="22" t="n"/>
      <c r="AT158" s="4" t="n"/>
      <c r="AU158" s="4" t="n"/>
      <c r="AV158" s="4" t="n"/>
      <c r="AW158" s="4" t="n"/>
      <c r="AX158" s="22" t="n"/>
    </row>
    <row r="159" customFormat="1" s="9">
      <c r="A159" s="197" t="inlineStr">
        <is>
          <t>Other Non-GAAP Operating Items</t>
        </is>
      </c>
      <c r="B159" s="376" t="n"/>
      <c r="C159" s="343">
        <f>ROUND(C158-C160,6)</f>
        <v/>
      </c>
      <c r="D159" s="343">
        <f>ROUND(D158-D160,6)</f>
        <v/>
      </c>
      <c r="E159" s="343">
        <f>ROUND(E158-E160,6)</f>
        <v/>
      </c>
      <c r="F159" s="343">
        <f>ROUND(F158-F160,6)</f>
        <v/>
      </c>
      <c r="G159" s="228">
        <f>ROUND(G158-G160,6)</f>
        <v/>
      </c>
      <c r="H159" s="228">
        <f>ROUND(H158-H160,6)</f>
        <v/>
      </c>
      <c r="I159" s="228">
        <f>ROUND(I158-I160,6)</f>
        <v/>
      </c>
      <c r="J159" s="228">
        <f>ROUND(J158-J160,6)</f>
        <v/>
      </c>
      <c r="K159" s="343">
        <f>ROUND(K158-K160,6)</f>
        <v/>
      </c>
      <c r="L159" s="228">
        <f>ROUND(L158-L160,6)</f>
        <v/>
      </c>
      <c r="M159" s="228">
        <f>ROUND(M158-M160,6)</f>
        <v/>
      </c>
      <c r="N159" s="228">
        <f>ROUND(N158-N160,6)</f>
        <v/>
      </c>
      <c r="O159" s="228">
        <f>ROUND(O158-O160,6)</f>
        <v/>
      </c>
      <c r="P159" s="343">
        <f>ROUND(P158-P160,6)</f>
        <v/>
      </c>
      <c r="Q159" s="228">
        <f>ROUND(Q158-Q160,6)</f>
        <v/>
      </c>
      <c r="R159" s="228">
        <f>ROUND(R158-R160,6)</f>
        <v/>
      </c>
      <c r="S159" s="228">
        <f>ROUND(S158-S160,6)</f>
        <v/>
      </c>
      <c r="T159" s="228">
        <f>ROUND(T158-T160,6)</f>
        <v/>
      </c>
      <c r="U159" s="343">
        <f>ROUND(U158-U160,6)</f>
        <v/>
      </c>
      <c r="V159" s="228">
        <f>ROUND(V158-V160,6)</f>
        <v/>
      </c>
      <c r="W159" s="228">
        <f>ROUND(W158-W160,6)</f>
        <v/>
      </c>
      <c r="X159" s="228">
        <f>ROUND(X158-X160,6)</f>
        <v/>
      </c>
      <c r="Y159" s="228">
        <f>ROUND(Y158-Y160,6)</f>
        <v/>
      </c>
      <c r="Z159" s="343">
        <f>ROUND(Z158-Z160,6)</f>
        <v/>
      </c>
      <c r="AA159" s="228">
        <f>ROUND(AA158-AA160,6)</f>
        <v/>
      </c>
      <c r="AB159" s="228">
        <f>ROUND(AB158-AB160,6)</f>
        <v/>
      </c>
      <c r="AC159" s="228">
        <f>ROUND(AC158-AC160,6)</f>
        <v/>
      </c>
      <c r="AD159" s="228">
        <f>ROUND(AD158-AD160,6)</f>
        <v/>
      </c>
      <c r="AE159" s="343">
        <f>ROUND(AE158-AE160,6)</f>
        <v/>
      </c>
      <c r="AF159" s="228">
        <f>ROUND(AF158-AF160,6)</f>
        <v/>
      </c>
      <c r="AG159" s="228">
        <f>ROUND(AG158-AG160,6)</f>
        <v/>
      </c>
      <c r="AH159" s="228">
        <f>ROUND(AH158-AH160,6)</f>
        <v/>
      </c>
      <c r="AI159" s="228">
        <f>ROUND(AI158-AI160,6)</f>
        <v/>
      </c>
      <c r="AJ159" s="343">
        <f>ROUND(AJ158-AJ160,6)</f>
        <v/>
      </c>
      <c r="AK159" s="228">
        <f>ROUND(AK158-AK160,6)</f>
        <v/>
      </c>
      <c r="AL159" s="322">
        <f>ROUND(AL158-AL160,6)</f>
        <v/>
      </c>
      <c r="AM159" s="391" t="n"/>
      <c r="AN159" s="391" t="n"/>
      <c r="AO159" s="343" t="n"/>
      <c r="AP159" s="391" t="n"/>
      <c r="AQ159" s="391" t="n"/>
      <c r="AR159" s="391" t="n"/>
      <c r="AS159" s="391" t="n"/>
      <c r="AT159" s="343" t="n"/>
      <c r="AU159" s="392" t="n"/>
      <c r="AV159" s="392" t="n"/>
      <c r="AW159" s="392" t="n"/>
      <c r="AX159" s="22" t="n"/>
    </row>
    <row r="160" customFormat="1" s="17">
      <c r="A160" s="421" t="inlineStr">
        <is>
          <t>Company Reported Non-GAAP Operating Income</t>
        </is>
      </c>
      <c r="B160" s="377" t="n"/>
      <c r="C160" s="349">
        <f>C109</f>
        <v/>
      </c>
      <c r="D160" s="349">
        <f>D109</f>
        <v/>
      </c>
      <c r="E160" s="349">
        <f>E109</f>
        <v/>
      </c>
      <c r="F160" s="349">
        <f>F109</f>
        <v/>
      </c>
      <c r="G160" s="350">
        <f>G109</f>
        <v/>
      </c>
      <c r="H160" s="350">
        <f>H109</f>
        <v/>
      </c>
      <c r="I160" s="350">
        <f>I109</f>
        <v/>
      </c>
      <c r="J160" s="350">
        <f>J109</f>
        <v/>
      </c>
      <c r="K160" s="349">
        <f>K109</f>
        <v/>
      </c>
      <c r="L160" s="350">
        <f>L109</f>
        <v/>
      </c>
      <c r="M160" s="350">
        <f>M109</f>
        <v/>
      </c>
      <c r="N160" s="350">
        <f>N109</f>
        <v/>
      </c>
      <c r="O160" s="350">
        <f>O109</f>
        <v/>
      </c>
      <c r="P160" s="349">
        <f>P109</f>
        <v/>
      </c>
      <c r="Q160" s="350">
        <f>Q109</f>
        <v/>
      </c>
      <c r="R160" s="350">
        <f>R109</f>
        <v/>
      </c>
      <c r="S160" s="350">
        <f>S109</f>
        <v/>
      </c>
      <c r="T160" s="350">
        <f>T109</f>
        <v/>
      </c>
      <c r="U160" s="349">
        <f>U109</f>
        <v/>
      </c>
      <c r="V160" s="350">
        <f>V109</f>
        <v/>
      </c>
      <c r="W160" s="350">
        <f>W109</f>
        <v/>
      </c>
      <c r="X160" s="350">
        <f>X109</f>
        <v/>
      </c>
      <c r="Y160" s="350">
        <f>Y109</f>
        <v/>
      </c>
      <c r="Z160" s="349">
        <f>Z109</f>
        <v/>
      </c>
      <c r="AA160" s="350">
        <f>AA109</f>
        <v/>
      </c>
      <c r="AB160" s="350">
        <f>AB109</f>
        <v/>
      </c>
      <c r="AC160" s="350">
        <f>AC109</f>
        <v/>
      </c>
      <c r="AD160" s="350">
        <f>AD109</f>
        <v/>
      </c>
      <c r="AE160" s="349">
        <f>AE109</f>
        <v/>
      </c>
      <c r="AF160" s="350">
        <f>AF109</f>
        <v/>
      </c>
      <c r="AG160" s="350">
        <f>AG109</f>
        <v/>
      </c>
      <c r="AH160" s="350">
        <f>AH109</f>
        <v/>
      </c>
      <c r="AI160" s="350">
        <f>AI109</f>
        <v/>
      </c>
      <c r="AJ160" s="349">
        <f>AJ109</f>
        <v/>
      </c>
      <c r="AK160" s="350">
        <f>AK109</f>
        <v/>
      </c>
      <c r="AL160" s="353">
        <f>AL109</f>
        <v/>
      </c>
      <c r="AM160" s="350" t="n"/>
      <c r="AN160" s="350" t="n"/>
      <c r="AO160" s="349" t="n"/>
      <c r="AP160" s="350" t="n"/>
      <c r="AQ160" s="350" t="n"/>
      <c r="AR160" s="350" t="n"/>
      <c r="AS160" s="350" t="n"/>
      <c r="AT160" s="349" t="n"/>
      <c r="AU160" s="349" t="n"/>
      <c r="AV160" s="349" t="n"/>
      <c r="AW160" s="349" t="n"/>
      <c r="AX160" s="24" t="n"/>
    </row>
    <row r="161" customFormat="1" s="5">
      <c r="A161" s="422" t="inlineStr">
        <is>
          <t>Consensus Estimates - Company Reported Non-GAAP Operating Income</t>
        </is>
      </c>
      <c r="B161" s="376" t="n"/>
      <c r="C161" s="343" t="n"/>
      <c r="D161" s="343" t="n"/>
      <c r="E161" s="343" t="n"/>
      <c r="F161" s="343" t="n"/>
      <c r="G161" s="228" t="n"/>
      <c r="H161" s="228" t="n"/>
      <c r="I161" s="228" t="n"/>
      <c r="J161" s="228" t="n"/>
      <c r="K161" s="343" t="n"/>
      <c r="L161" s="228" t="n"/>
      <c r="M161" s="228" t="n"/>
      <c r="N161" s="228" t="n"/>
      <c r="O161" s="228" t="n"/>
      <c r="P161" s="343" t="n"/>
      <c r="Q161" s="228" t="n"/>
      <c r="R161" s="228" t="n"/>
      <c r="S161" s="228" t="n"/>
      <c r="T161" s="228" t="n"/>
      <c r="U161" s="343" t="n"/>
      <c r="V161" s="228" t="n"/>
      <c r="W161" s="228" t="n"/>
      <c r="X161" s="228" t="n"/>
      <c r="Y161" s="228" t="n"/>
      <c r="Z161" s="343" t="n"/>
      <c r="AA161" s="228" t="n"/>
      <c r="AB161" s="228" t="n"/>
      <c r="AC161" s="228" t="n"/>
      <c r="AD161" s="228" t="n"/>
      <c r="AE161" s="343" t="n"/>
      <c r="AF161" s="228" t="n"/>
      <c r="AG161" s="228" t="n"/>
      <c r="AH161" s="228" t="n"/>
      <c r="AI161" s="228" t="n"/>
      <c r="AJ161" s="343" t="n"/>
      <c r="AK161" s="228" t="n"/>
      <c r="AL161" s="322" t="n"/>
      <c r="AM161" s="24" t="n"/>
      <c r="AN161" s="24" t="n"/>
      <c r="AO161" s="423" t="n"/>
      <c r="AP161" s="24" t="n"/>
      <c r="AQ161" s="24" t="n"/>
      <c r="AR161" s="24" t="n"/>
      <c r="AS161" s="24" t="n"/>
      <c r="AT161" s="423" t="n"/>
      <c r="AU161" s="423" t="n"/>
      <c r="AV161" s="423" t="n"/>
      <c r="AW161" s="423" t="n"/>
      <c r="AX161" s="228" t="n"/>
    </row>
    <row r="162" ht="6" customFormat="1" customHeight="1" s="5">
      <c r="A162" s="424" t="n"/>
      <c r="B162" s="376" t="n"/>
      <c r="C162" s="343" t="n"/>
      <c r="D162" s="343" t="n"/>
      <c r="E162" s="343" t="n"/>
      <c r="F162" s="343" t="n"/>
      <c r="G162" s="228" t="n"/>
      <c r="H162" s="228" t="n"/>
      <c r="I162" s="228" t="n"/>
      <c r="J162" s="228" t="n"/>
      <c r="K162" s="343" t="n"/>
      <c r="L162" s="228" t="n"/>
      <c r="M162" s="228" t="n"/>
      <c r="N162" s="228" t="n"/>
      <c r="O162" s="228" t="n"/>
      <c r="P162" s="343" t="n"/>
      <c r="Q162" s="228" t="n"/>
      <c r="R162" s="228" t="n"/>
      <c r="S162" s="228" t="n"/>
      <c r="T162" s="228" t="n"/>
      <c r="U162" s="343" t="n"/>
      <c r="V162" s="228" t="n"/>
      <c r="W162" s="228" t="n"/>
      <c r="X162" s="228" t="n"/>
      <c r="Y162" s="228" t="n"/>
      <c r="Z162" s="343" t="n"/>
      <c r="AA162" s="228" t="n"/>
      <c r="AB162" s="228" t="n"/>
      <c r="AC162" s="228" t="n"/>
      <c r="AD162" s="228" t="n"/>
      <c r="AE162" s="343" t="n"/>
      <c r="AF162" s="228" t="n"/>
      <c r="AG162" s="228" t="n"/>
      <c r="AH162" s="228" t="n"/>
      <c r="AI162" s="228" t="n"/>
      <c r="AJ162" s="343" t="n"/>
      <c r="AK162" s="228" t="n"/>
      <c r="AL162" s="322" t="n"/>
      <c r="AM162" s="228" t="n"/>
      <c r="AN162" s="228" t="n"/>
      <c r="AO162" s="343" t="n"/>
      <c r="AP162" s="228" t="n"/>
      <c r="AQ162" s="228" t="n"/>
      <c r="AR162" s="228" t="n"/>
      <c r="AS162" s="228" t="n"/>
      <c r="AT162" s="343" t="n"/>
      <c r="AU162" s="343" t="n"/>
      <c r="AV162" s="343" t="n"/>
      <c r="AW162" s="343" t="n"/>
      <c r="AX162" s="228" t="n"/>
    </row>
    <row r="163" hidden="1" outlineLevel="1" customFormat="1" s="9">
      <c r="A163" s="197" t="inlineStr">
        <is>
          <t>Reported Depreciation</t>
        </is>
      </c>
      <c r="B163" s="376" t="n"/>
      <c r="C163" s="343">
        <f>C289-C174</f>
        <v/>
      </c>
      <c r="D163" s="343">
        <f>D289-D174</f>
        <v/>
      </c>
      <c r="E163" s="343">
        <f>E289-E174</f>
        <v/>
      </c>
      <c r="F163" s="343">
        <f>F289-F174</f>
        <v/>
      </c>
      <c r="G163" s="228">
        <f>G289-G174</f>
        <v/>
      </c>
      <c r="H163" s="228">
        <f>H289-H174</f>
        <v/>
      </c>
      <c r="I163" s="228">
        <f>I289-I174</f>
        <v/>
      </c>
      <c r="J163" s="228">
        <f>J289-J174</f>
        <v/>
      </c>
      <c r="K163" s="343">
        <f>K289-K174</f>
        <v/>
      </c>
      <c r="L163" s="228">
        <f>L289-L174</f>
        <v/>
      </c>
      <c r="M163" s="228">
        <f>M289-M174</f>
        <v/>
      </c>
      <c r="N163" s="228">
        <f>N289-N174</f>
        <v/>
      </c>
      <c r="O163" s="228">
        <f>O289-O174</f>
        <v/>
      </c>
      <c r="P163" s="343">
        <f>P289-P174</f>
        <v/>
      </c>
      <c r="Q163" s="228">
        <f>Q289-Q174</f>
        <v/>
      </c>
      <c r="R163" s="228">
        <f>R289-R174</f>
        <v/>
      </c>
      <c r="S163" s="228">
        <f>S289-S174</f>
        <v/>
      </c>
      <c r="T163" s="228">
        <f>T289-T174</f>
        <v/>
      </c>
      <c r="U163" s="343">
        <f>U289-U174</f>
        <v/>
      </c>
      <c r="V163" s="228">
        <f>V289-V174</f>
        <v/>
      </c>
      <c r="W163" s="228">
        <f>W289-W174</f>
        <v/>
      </c>
      <c r="X163" s="228">
        <f>X289-X174</f>
        <v/>
      </c>
      <c r="Y163" s="228">
        <f>Y289-Y174</f>
        <v/>
      </c>
      <c r="Z163" s="343">
        <f>Z289-Z174</f>
        <v/>
      </c>
      <c r="AA163" s="228">
        <f>AA289-AA174</f>
        <v/>
      </c>
      <c r="AB163" s="228">
        <f>AB289-AB174</f>
        <v/>
      </c>
      <c r="AC163" s="228">
        <f>AC289-AC174</f>
        <v/>
      </c>
      <c r="AD163" s="228">
        <f>AD289-AD174</f>
        <v/>
      </c>
      <c r="AE163" s="343">
        <f>AE289-AE174</f>
        <v/>
      </c>
      <c r="AF163" s="228">
        <f>AF289-AF174</f>
        <v/>
      </c>
      <c r="AG163" s="228">
        <f>AG289-AG174</f>
        <v/>
      </c>
      <c r="AH163" s="228">
        <f>AH289-AH174</f>
        <v/>
      </c>
      <c r="AI163" s="228">
        <f>AI289-AI174</f>
        <v/>
      </c>
      <c r="AJ163" s="343">
        <f>AJ289-AJ174</f>
        <v/>
      </c>
      <c r="AK163" s="228">
        <f>AK289-AK174</f>
        <v/>
      </c>
      <c r="AL163" s="322">
        <f>AL289-AL174</f>
        <v/>
      </c>
      <c r="AM163" s="391" t="n"/>
      <c r="AN163" s="391" t="n"/>
      <c r="AO163" s="343" t="n"/>
      <c r="AP163" s="391" t="n"/>
      <c r="AQ163" s="391" t="n"/>
      <c r="AR163" s="391" t="n"/>
      <c r="AS163" s="391" t="n"/>
      <c r="AT163" s="343" t="n"/>
      <c r="AU163" s="392" t="n"/>
      <c r="AV163" s="392" t="n"/>
      <c r="AW163" s="392" t="n"/>
      <c r="AX163" s="22" t="n"/>
    </row>
    <row r="164" hidden="1" outlineLevel="1" customFormat="1" s="5">
      <c r="A164" s="421" t="inlineStr">
        <is>
          <t>Non-GAAP EBITDA</t>
        </is>
      </c>
      <c r="B164" s="377" t="n"/>
      <c r="C164" s="349">
        <f>C160+C163</f>
        <v/>
      </c>
      <c r="D164" s="349">
        <f>D160+D163</f>
        <v/>
      </c>
      <c r="E164" s="349">
        <f>E160+E163</f>
        <v/>
      </c>
      <c r="F164" s="349">
        <f>F160+F163</f>
        <v/>
      </c>
      <c r="G164" s="350">
        <f>G160+G163</f>
        <v/>
      </c>
      <c r="H164" s="350">
        <f>H160+H163</f>
        <v/>
      </c>
      <c r="I164" s="350">
        <f>I160+I163</f>
        <v/>
      </c>
      <c r="J164" s="350">
        <f>J160+J163</f>
        <v/>
      </c>
      <c r="K164" s="349">
        <f>K160+K163</f>
        <v/>
      </c>
      <c r="L164" s="350">
        <f>L160+L163</f>
        <v/>
      </c>
      <c r="M164" s="350">
        <f>M160+M163</f>
        <v/>
      </c>
      <c r="N164" s="350">
        <f>N160+N163</f>
        <v/>
      </c>
      <c r="O164" s="350">
        <f>O160+O163</f>
        <v/>
      </c>
      <c r="P164" s="349">
        <f>P160+P163</f>
        <v/>
      </c>
      <c r="Q164" s="350">
        <f>Q160+Q163</f>
        <v/>
      </c>
      <c r="R164" s="350">
        <f>R160+R163</f>
        <v/>
      </c>
      <c r="S164" s="350">
        <f>S160+S163</f>
        <v/>
      </c>
      <c r="T164" s="350">
        <f>T160+T163</f>
        <v/>
      </c>
      <c r="U164" s="349">
        <f>U160+U163</f>
        <v/>
      </c>
      <c r="V164" s="350">
        <f>V160+V163</f>
        <v/>
      </c>
      <c r="W164" s="350">
        <f>W160+W163</f>
        <v/>
      </c>
      <c r="X164" s="350">
        <f>X160+X163</f>
        <v/>
      </c>
      <c r="Y164" s="350">
        <f>Y160+Y163</f>
        <v/>
      </c>
      <c r="Z164" s="349">
        <f>Z160+Z163</f>
        <v/>
      </c>
      <c r="AA164" s="350">
        <f>AA160+AA163</f>
        <v/>
      </c>
      <c r="AB164" s="350">
        <f>AB160+AB163</f>
        <v/>
      </c>
      <c r="AC164" s="350">
        <f>AC160+AC163</f>
        <v/>
      </c>
      <c r="AD164" s="350">
        <f>AD160+AD163</f>
        <v/>
      </c>
      <c r="AE164" s="349">
        <f>AE160+AE163</f>
        <v/>
      </c>
      <c r="AF164" s="350">
        <f>AF160+AF163</f>
        <v/>
      </c>
      <c r="AG164" s="350">
        <f>AG160+AG163</f>
        <v/>
      </c>
      <c r="AH164" s="350">
        <f>AH160+AH163</f>
        <v/>
      </c>
      <c r="AI164" s="350">
        <f>AI160+AI163</f>
        <v/>
      </c>
      <c r="AJ164" s="349">
        <f>AJ160+AJ163</f>
        <v/>
      </c>
      <c r="AK164" s="350">
        <f>AK160+AK163</f>
        <v/>
      </c>
      <c r="AL164" s="353">
        <f>AL160+AL163</f>
        <v/>
      </c>
      <c r="AM164" s="350" t="n"/>
      <c r="AN164" s="350" t="n"/>
      <c r="AO164" s="349" t="n"/>
      <c r="AP164" s="350" t="n"/>
      <c r="AQ164" s="350" t="n"/>
      <c r="AR164" s="350" t="n"/>
      <c r="AS164" s="350" t="n"/>
      <c r="AT164" s="349" t="n"/>
      <c r="AU164" s="349" t="n"/>
      <c r="AV164" s="349" t="n"/>
      <c r="AW164" s="349" t="n"/>
      <c r="AX164" s="228" t="n"/>
    </row>
    <row r="165" hidden="1" outlineLevel="1" customFormat="1" s="5">
      <c r="A165" s="422" t="inlineStr">
        <is>
          <t>Consensus Estimates - Non-GAAP EBITDA</t>
        </is>
      </c>
      <c r="B165" s="376" t="n"/>
      <c r="C165" s="343" t="n"/>
      <c r="D165" s="343" t="n"/>
      <c r="E165" s="343" t="n"/>
      <c r="F165" s="343" t="n"/>
      <c r="G165" s="228" t="n"/>
      <c r="H165" s="228" t="n"/>
      <c r="I165" s="228" t="n"/>
      <c r="J165" s="228" t="n"/>
      <c r="K165" s="343" t="n"/>
      <c r="L165" s="228" t="n"/>
      <c r="M165" s="228" t="n"/>
      <c r="N165" s="228" t="n"/>
      <c r="O165" s="228" t="n"/>
      <c r="P165" s="343" t="n"/>
      <c r="Q165" s="228" t="n"/>
      <c r="R165" s="228" t="n"/>
      <c r="S165" s="228" t="n"/>
      <c r="T165" s="228" t="n"/>
      <c r="U165" s="343" t="n"/>
      <c r="V165" s="228" t="n"/>
      <c r="W165" s="228" t="n"/>
      <c r="X165" s="228" t="n"/>
      <c r="Y165" s="228" t="n"/>
      <c r="Z165" s="343" t="n"/>
      <c r="AA165" s="228" t="n"/>
      <c r="AB165" s="228" t="n"/>
      <c r="AC165" s="228" t="n"/>
      <c r="AD165" s="228" t="n"/>
      <c r="AE165" s="343" t="n"/>
      <c r="AF165" s="228" t="n"/>
      <c r="AG165" s="228" t="n"/>
      <c r="AH165" s="228" t="n"/>
      <c r="AI165" s="228" t="n"/>
      <c r="AJ165" s="343" t="n"/>
      <c r="AK165" s="228" t="n"/>
      <c r="AL165" s="322" t="n"/>
      <c r="AM165" s="24" t="n"/>
      <c r="AN165" s="24" t="n"/>
      <c r="AO165" s="423" t="n"/>
      <c r="AP165" s="24" t="n"/>
      <c r="AQ165" s="24" t="n"/>
      <c r="AR165" s="24" t="n"/>
      <c r="AS165" s="24" t="n"/>
      <c r="AT165" s="423" t="n"/>
      <c r="AU165" s="423" t="n"/>
      <c r="AV165" s="423" t="n"/>
      <c r="AW165" s="423" t="n"/>
      <c r="AX165" s="228" t="n"/>
    </row>
    <row r="166" hidden="1" outlineLevel="1" customFormat="1" s="9">
      <c r="A166" s="425" t="n"/>
      <c r="B166" s="376" t="n"/>
      <c r="C166" s="343" t="n"/>
      <c r="D166" s="343" t="n"/>
      <c r="E166" s="343" t="n"/>
      <c r="F166" s="343" t="n"/>
      <c r="G166" s="228" t="n"/>
      <c r="H166" s="228" t="n"/>
      <c r="I166" s="228" t="n"/>
      <c r="J166" s="228" t="n"/>
      <c r="K166" s="343" t="n"/>
      <c r="L166" s="228" t="n"/>
      <c r="M166" s="228" t="n"/>
      <c r="N166" s="228" t="n"/>
      <c r="O166" s="228" t="n"/>
      <c r="P166" s="343" t="n"/>
      <c r="Q166" s="228" t="n"/>
      <c r="R166" s="228" t="n"/>
      <c r="S166" s="228" t="n"/>
      <c r="T166" s="228" t="n"/>
      <c r="U166" s="343" t="n"/>
      <c r="V166" s="228" t="n"/>
      <c r="W166" s="228" t="n"/>
      <c r="X166" s="228" t="n"/>
      <c r="Y166" s="228" t="n"/>
      <c r="Z166" s="343" t="n"/>
      <c r="AA166" s="228" t="n"/>
      <c r="AB166" s="228" t="n"/>
      <c r="AC166" s="228" t="n"/>
      <c r="AD166" s="228" t="n"/>
      <c r="AE166" s="343" t="n"/>
      <c r="AF166" s="228" t="n"/>
      <c r="AG166" s="228" t="n"/>
      <c r="AH166" s="228" t="n"/>
      <c r="AI166" s="228" t="n"/>
      <c r="AJ166" s="343" t="n"/>
      <c r="AK166" s="228" t="n"/>
      <c r="AL166" s="322" t="n"/>
      <c r="AM166" s="228" t="n"/>
      <c r="AN166" s="228" t="n"/>
      <c r="AO166" s="343" t="n"/>
      <c r="AP166" s="228" t="n"/>
      <c r="AQ166" s="228" t="n"/>
      <c r="AR166" s="228" t="n"/>
      <c r="AS166" s="228" t="n"/>
      <c r="AT166" s="343" t="n"/>
      <c r="AU166" s="343" t="n"/>
      <c r="AV166" s="343" t="n"/>
      <c r="AW166" s="343" t="n"/>
      <c r="AX166" s="22" t="n"/>
    </row>
    <row r="167" collapsed="1" customFormat="1" s="5">
      <c r="A167" s="197" t="inlineStr">
        <is>
          <t>Non-GAAP Interest Expense</t>
        </is>
      </c>
      <c r="B167" s="376" t="n"/>
      <c r="C167" s="343">
        <f>-C66</f>
        <v/>
      </c>
      <c r="D167" s="343">
        <f>-D66</f>
        <v/>
      </c>
      <c r="E167" s="343">
        <f>-E66</f>
        <v/>
      </c>
      <c r="F167" s="343">
        <f>-F66</f>
        <v/>
      </c>
      <c r="G167" s="228">
        <f>-G66</f>
        <v/>
      </c>
      <c r="H167" s="228">
        <f>-H66</f>
        <v/>
      </c>
      <c r="I167" s="228">
        <f>-I66</f>
        <v/>
      </c>
      <c r="J167" s="228">
        <f>-J66</f>
        <v/>
      </c>
      <c r="K167" s="343">
        <f>-K66</f>
        <v/>
      </c>
      <c r="L167" s="228">
        <f>-L66</f>
        <v/>
      </c>
      <c r="M167" s="228">
        <f>-M66</f>
        <v/>
      </c>
      <c r="N167" s="228">
        <f>-N66</f>
        <v/>
      </c>
      <c r="O167" s="228">
        <f>-O66</f>
        <v/>
      </c>
      <c r="P167" s="343">
        <f>-P66</f>
        <v/>
      </c>
      <c r="Q167" s="228">
        <f>-Q66</f>
        <v/>
      </c>
      <c r="R167" s="228">
        <f>-R66</f>
        <v/>
      </c>
      <c r="S167" s="228">
        <f>-S66</f>
        <v/>
      </c>
      <c r="T167" s="228">
        <f>-T66</f>
        <v/>
      </c>
      <c r="U167" s="343">
        <f>-U66</f>
        <v/>
      </c>
      <c r="V167" s="228">
        <f>-V66</f>
        <v/>
      </c>
      <c r="W167" s="228">
        <f>-W66</f>
        <v/>
      </c>
      <c r="X167" s="228">
        <f>-X66</f>
        <v/>
      </c>
      <c r="Y167" s="228">
        <f>-Y66</f>
        <v/>
      </c>
      <c r="Z167" s="343">
        <f>-Z66</f>
        <v/>
      </c>
      <c r="AA167" s="228">
        <f>-AA66</f>
        <v/>
      </c>
      <c r="AB167" s="228">
        <f>-AB66</f>
        <v/>
      </c>
      <c r="AC167" s="228">
        <f>-AC66</f>
        <v/>
      </c>
      <c r="AD167" s="228">
        <f>-AD66</f>
        <v/>
      </c>
      <c r="AE167" s="343">
        <f>-AE66</f>
        <v/>
      </c>
      <c r="AF167" s="228">
        <f>-AF66</f>
        <v/>
      </c>
      <c r="AG167" s="228">
        <f>-AG66</f>
        <v/>
      </c>
      <c r="AH167" s="228">
        <f>-AH66</f>
        <v/>
      </c>
      <c r="AI167" s="228">
        <f>-AI66</f>
        <v/>
      </c>
      <c r="AJ167" s="343">
        <f>-AJ66</f>
        <v/>
      </c>
      <c r="AK167" s="228">
        <f>-AK66</f>
        <v/>
      </c>
      <c r="AL167" s="322">
        <f>-AL66</f>
        <v/>
      </c>
      <c r="AM167" s="391" t="n"/>
      <c r="AN167" s="391" t="n"/>
      <c r="AO167" s="343" t="n"/>
      <c r="AP167" s="391" t="n"/>
      <c r="AQ167" s="391" t="n"/>
      <c r="AR167" s="391" t="n"/>
      <c r="AS167" s="391" t="n"/>
      <c r="AT167" s="343" t="n"/>
      <c r="AU167" s="392" t="n"/>
      <c r="AV167" s="392" t="n"/>
      <c r="AW167" s="392" t="n"/>
      <c r="AX167" s="228" t="n"/>
    </row>
    <row r="168" customFormat="1" s="9">
      <c r="A168" s="197" t="inlineStr">
        <is>
          <t>Non-GAAP Other Items</t>
        </is>
      </c>
      <c r="B168" s="376" t="n"/>
      <c r="C168" s="343">
        <f>C160-C167-C169</f>
        <v/>
      </c>
      <c r="D168" s="343">
        <f>D160-D167-D169</f>
        <v/>
      </c>
      <c r="E168" s="343">
        <f>E160-E167-E169</f>
        <v/>
      </c>
      <c r="F168" s="343">
        <f>F160-F167-F169</f>
        <v/>
      </c>
      <c r="G168" s="228">
        <f>G160-G167-G169</f>
        <v/>
      </c>
      <c r="H168" s="228">
        <f>H160-H167-H169</f>
        <v/>
      </c>
      <c r="I168" s="228">
        <f>I160-I167-I169</f>
        <v/>
      </c>
      <c r="J168" s="228">
        <f>J160-J167-J169</f>
        <v/>
      </c>
      <c r="K168" s="343">
        <f>K160-K167-K169</f>
        <v/>
      </c>
      <c r="L168" s="228">
        <f>L160-L167-L169</f>
        <v/>
      </c>
      <c r="M168" s="228">
        <f>M160-M167-M169</f>
        <v/>
      </c>
      <c r="N168" s="228">
        <f>N160-N167-N169</f>
        <v/>
      </c>
      <c r="O168" s="228">
        <f>O160-O167-O169</f>
        <v/>
      </c>
      <c r="P168" s="343">
        <f>P160-P167-P169</f>
        <v/>
      </c>
      <c r="Q168" s="228">
        <f>Q160-Q167-Q169</f>
        <v/>
      </c>
      <c r="R168" s="228">
        <f>R160-R167-R169</f>
        <v/>
      </c>
      <c r="S168" s="228">
        <f>S160-S167-S169</f>
        <v/>
      </c>
      <c r="T168" s="228">
        <f>T160-T167-T169</f>
        <v/>
      </c>
      <c r="U168" s="343">
        <f>U160-U167-U169</f>
        <v/>
      </c>
      <c r="V168" s="228">
        <f>V160-V167-V169</f>
        <v/>
      </c>
      <c r="W168" s="228">
        <f>W160-W167-W169</f>
        <v/>
      </c>
      <c r="X168" s="228">
        <f>X160-X167-X169</f>
        <v/>
      </c>
      <c r="Y168" s="228">
        <f>Y160-Y167-Y169</f>
        <v/>
      </c>
      <c r="Z168" s="343">
        <f>Z160-Z167-Z169</f>
        <v/>
      </c>
      <c r="AA168" s="228">
        <f>AA160-AA167-AA169</f>
        <v/>
      </c>
      <c r="AB168" s="228">
        <f>AB160-AB167-AB169</f>
        <v/>
      </c>
      <c r="AC168" s="228">
        <f>AC160-AC167-AC169</f>
        <v/>
      </c>
      <c r="AD168" s="228">
        <f>AD160-AD167-AD169</f>
        <v/>
      </c>
      <c r="AE168" s="343">
        <f>AE160-AE167-AE169</f>
        <v/>
      </c>
      <c r="AF168" s="228">
        <f>AF160-AF167-AF169</f>
        <v/>
      </c>
      <c r="AG168" s="228">
        <f>AG160-AG167-AG169</f>
        <v/>
      </c>
      <c r="AH168" s="228">
        <f>AH160-AH167-AH169</f>
        <v/>
      </c>
      <c r="AI168" s="228">
        <f>AI160-AI167-AI169</f>
        <v/>
      </c>
      <c r="AJ168" s="343">
        <f>AJ160-AJ167-AJ169</f>
        <v/>
      </c>
      <c r="AK168" s="228">
        <f>AK160-AK167-AK169</f>
        <v/>
      </c>
      <c r="AL168" s="322">
        <f>AL160-AL167-AL169</f>
        <v/>
      </c>
      <c r="AM168" s="391" t="n"/>
      <c r="AN168" s="391" t="n"/>
      <c r="AO168" s="343" t="n"/>
      <c r="AP168" s="391" t="n"/>
      <c r="AQ168" s="391" t="n"/>
      <c r="AR168" s="391" t="n"/>
      <c r="AS168" s="391" t="n"/>
      <c r="AT168" s="343" t="n"/>
      <c r="AU168" s="392" t="n"/>
      <c r="AV168" s="392" t="n"/>
      <c r="AW168" s="392" t="n"/>
      <c r="AX168" s="22" t="n"/>
    </row>
    <row r="169" customFormat="1" s="5">
      <c r="A169" s="421" t="inlineStr">
        <is>
          <t>Non-GAAP Earnings Before Taxes</t>
        </is>
      </c>
      <c r="B169" s="377" t="n"/>
      <c r="C169" s="349">
        <f>C171+C172</f>
        <v/>
      </c>
      <c r="D169" s="349">
        <f>D171+D172</f>
        <v/>
      </c>
      <c r="E169" s="349">
        <f>E171+E172</f>
        <v/>
      </c>
      <c r="F169" s="349">
        <f>F171+F172</f>
        <v/>
      </c>
      <c r="G169" s="350">
        <f>G171+G172</f>
        <v/>
      </c>
      <c r="H169" s="350">
        <f>H171+H172</f>
        <v/>
      </c>
      <c r="I169" s="350">
        <f>I171+I172</f>
        <v/>
      </c>
      <c r="J169" s="350">
        <f>J171+J172</f>
        <v/>
      </c>
      <c r="K169" s="349">
        <f>K171+K172</f>
        <v/>
      </c>
      <c r="L169" s="350">
        <f>L171+L172</f>
        <v/>
      </c>
      <c r="M169" s="350">
        <f>M171+M172</f>
        <v/>
      </c>
      <c r="N169" s="350">
        <f>N171+N172</f>
        <v/>
      </c>
      <c r="O169" s="350">
        <f>O171+O172</f>
        <v/>
      </c>
      <c r="P169" s="349">
        <f>P171+P172</f>
        <v/>
      </c>
      <c r="Q169" s="350">
        <f>Q171+Q172</f>
        <v/>
      </c>
      <c r="R169" s="350">
        <f>R171+R172</f>
        <v/>
      </c>
      <c r="S169" s="350">
        <f>S171+S172</f>
        <v/>
      </c>
      <c r="T169" s="350">
        <f>T171+T172</f>
        <v/>
      </c>
      <c r="U169" s="349">
        <f>U171+U172</f>
        <v/>
      </c>
      <c r="V169" s="350">
        <f>V171+V172</f>
        <v/>
      </c>
      <c r="W169" s="350">
        <f>W171+W172</f>
        <v/>
      </c>
      <c r="X169" s="350">
        <f>X171+X172</f>
        <v/>
      </c>
      <c r="Y169" s="350">
        <f>Y171+Y172</f>
        <v/>
      </c>
      <c r="Z169" s="349">
        <f>Z171+Z172</f>
        <v/>
      </c>
      <c r="AA169" s="350">
        <f>AA171+AA172</f>
        <v/>
      </c>
      <c r="AB169" s="350">
        <f>AB171+AB172</f>
        <v/>
      </c>
      <c r="AC169" s="350">
        <f>AC171+AC172</f>
        <v/>
      </c>
      <c r="AD169" s="350">
        <f>AD171+AD172</f>
        <v/>
      </c>
      <c r="AE169" s="349">
        <f>AE171+AE172</f>
        <v/>
      </c>
      <c r="AF169" s="350">
        <f>AF171+AF172</f>
        <v/>
      </c>
      <c r="AG169" s="350">
        <f>AG171+AG172</f>
        <v/>
      </c>
      <c r="AH169" s="350">
        <f>AH171+AH172</f>
        <v/>
      </c>
      <c r="AI169" s="350">
        <f>AI171+AI172</f>
        <v/>
      </c>
      <c r="AJ169" s="349">
        <f>AJ171+AJ172</f>
        <v/>
      </c>
      <c r="AK169" s="350">
        <f>AK171+AK172</f>
        <v/>
      </c>
      <c r="AL169" s="353">
        <f>AL171+AL172</f>
        <v/>
      </c>
      <c r="AM169" s="350" t="n"/>
      <c r="AN169" s="350" t="n"/>
      <c r="AO169" s="349" t="n"/>
      <c r="AP169" s="350" t="n"/>
      <c r="AQ169" s="350" t="n"/>
      <c r="AR169" s="350" t="n"/>
      <c r="AS169" s="350" t="n"/>
      <c r="AT169" s="349" t="n"/>
      <c r="AU169" s="349" t="n"/>
      <c r="AV169" s="349" t="n"/>
      <c r="AW169" s="349" t="n"/>
      <c r="AX169" s="228" t="n"/>
    </row>
    <row r="170" customFormat="1" s="5">
      <c r="A170" s="425" t="n"/>
      <c r="B170" s="376" t="n"/>
      <c r="C170" s="343" t="n"/>
      <c r="D170" s="343" t="n"/>
      <c r="E170" s="343" t="n"/>
      <c r="F170" s="343" t="n"/>
      <c r="G170" s="228" t="n"/>
      <c r="H170" s="228" t="n"/>
      <c r="I170" s="228" t="n"/>
      <c r="J170" s="228" t="n"/>
      <c r="K170" s="343" t="n"/>
      <c r="L170" s="228" t="n"/>
      <c r="M170" s="228" t="n"/>
      <c r="N170" s="228" t="n"/>
      <c r="O170" s="228" t="n"/>
      <c r="P170" s="343" t="n"/>
      <c r="Q170" s="228" t="n"/>
      <c r="R170" s="228" t="n"/>
      <c r="S170" s="228" t="n"/>
      <c r="T170" s="228" t="n"/>
      <c r="U170" s="343" t="n"/>
      <c r="V170" s="228" t="n"/>
      <c r="W170" s="228" t="n"/>
      <c r="X170" s="228" t="n"/>
      <c r="Y170" s="228" t="n"/>
      <c r="Z170" s="343" t="n"/>
      <c r="AA170" s="228" t="n"/>
      <c r="AB170" s="228" t="n"/>
      <c r="AC170" s="228" t="n"/>
      <c r="AD170" s="228" t="n"/>
      <c r="AE170" s="343" t="n"/>
      <c r="AF170" s="228" t="n"/>
      <c r="AG170" s="228" t="n"/>
      <c r="AH170" s="228" t="n"/>
      <c r="AI170" s="228" t="n"/>
      <c r="AJ170" s="343" t="n"/>
      <c r="AK170" s="228" t="n"/>
      <c r="AL170" s="322" t="n"/>
      <c r="AM170" s="228" t="n"/>
      <c r="AN170" s="228" t="n"/>
      <c r="AO170" s="343" t="n"/>
      <c r="AP170" s="228" t="n"/>
      <c r="AQ170" s="228" t="n"/>
      <c r="AR170" s="228" t="n"/>
      <c r="AS170" s="228" t="n"/>
      <c r="AT170" s="343" t="n"/>
      <c r="AU170" s="343" t="n"/>
      <c r="AV170" s="343" t="n"/>
      <c r="AW170" s="343" t="n"/>
      <c r="AX170" s="228" t="n"/>
    </row>
    <row r="171" customFormat="1" s="9">
      <c r="A171" s="404" t="inlineStr">
        <is>
          <t>Non-GAAP Provision for taxes</t>
        </is>
      </c>
      <c r="B171" s="376" t="n"/>
      <c r="C171" s="343">
        <f>-C69-C81</f>
        <v/>
      </c>
      <c r="D171" s="343">
        <f>-D69-D81</f>
        <v/>
      </c>
      <c r="E171" s="343">
        <f>-E69-E81</f>
        <v/>
      </c>
      <c r="F171" s="343">
        <f>-F69-F81</f>
        <v/>
      </c>
      <c r="G171" s="228">
        <f>-G69-G81</f>
        <v/>
      </c>
      <c r="H171" s="228">
        <f>-H69-H81</f>
        <v/>
      </c>
      <c r="I171" s="228">
        <f>-I69-I81</f>
        <v/>
      </c>
      <c r="J171" s="228">
        <f>-J69-J81</f>
        <v/>
      </c>
      <c r="K171" s="343">
        <f>-K69-K81</f>
        <v/>
      </c>
      <c r="L171" s="228">
        <f>-L69-L81</f>
        <v/>
      </c>
      <c r="M171" s="228">
        <f>-M69-M81</f>
        <v/>
      </c>
      <c r="N171" s="228">
        <f>-N69-N81</f>
        <v/>
      </c>
      <c r="O171" s="228">
        <f>-O69-O81</f>
        <v/>
      </c>
      <c r="P171" s="343">
        <f>-P69-P81</f>
        <v/>
      </c>
      <c r="Q171" s="228">
        <f>-Q69-Q81</f>
        <v/>
      </c>
      <c r="R171" s="228">
        <f>-R69-R81</f>
        <v/>
      </c>
      <c r="S171" s="228">
        <f>-S69-S81</f>
        <v/>
      </c>
      <c r="T171" s="228">
        <f>-T69-T81</f>
        <v/>
      </c>
      <c r="U171" s="343">
        <f>-U69-U81</f>
        <v/>
      </c>
      <c r="V171" s="228">
        <f>-V69-V81</f>
        <v/>
      </c>
      <c r="W171" s="228">
        <f>-W69-W81</f>
        <v/>
      </c>
      <c r="X171" s="228">
        <f>-X69-X81</f>
        <v/>
      </c>
      <c r="Y171" s="228">
        <f>-Y69-Y81</f>
        <v/>
      </c>
      <c r="Z171" s="343">
        <f>-Z69-Z81</f>
        <v/>
      </c>
      <c r="AA171" s="228">
        <f>-AA69-AA81</f>
        <v/>
      </c>
      <c r="AB171" s="228">
        <f>-AB69-AB81</f>
        <v/>
      </c>
      <c r="AC171" s="228">
        <f>-AC69-AC81</f>
        <v/>
      </c>
      <c r="AD171" s="228">
        <f>-AD69-AD81</f>
        <v/>
      </c>
      <c r="AE171" s="343">
        <f>-AE69-AE81</f>
        <v/>
      </c>
      <c r="AF171" s="228">
        <f>-AF69-AF81</f>
        <v/>
      </c>
      <c r="AG171" s="228">
        <f>-AG69-AG81</f>
        <v/>
      </c>
      <c r="AH171" s="228">
        <f>-AH69-AH81</f>
        <v/>
      </c>
      <c r="AI171" s="228">
        <f>-AI69-AI81</f>
        <v/>
      </c>
      <c r="AJ171" s="343">
        <f>-AJ69-AJ81</f>
        <v/>
      </c>
      <c r="AK171" s="228">
        <f>-AK69-AK81</f>
        <v/>
      </c>
      <c r="AL171" s="322">
        <f>-AL69-AL81</f>
        <v/>
      </c>
      <c r="AM171" s="228" t="n"/>
      <c r="AN171" s="228" t="n"/>
      <c r="AO171" s="343" t="n"/>
      <c r="AP171" s="228" t="n"/>
      <c r="AQ171" s="228" t="n"/>
      <c r="AR171" s="228" t="n"/>
      <c r="AS171" s="228" t="n"/>
      <c r="AT171" s="343" t="n"/>
      <c r="AU171" s="343" t="n"/>
      <c r="AV171" s="343" t="n"/>
      <c r="AW171" s="343" t="n"/>
      <c r="AX171" s="22" t="n"/>
    </row>
    <row r="172" customFormat="1" s="17">
      <c r="A172" s="426" t="inlineStr">
        <is>
          <t>Non-GAAP Net Income to common shareholders</t>
        </is>
      </c>
      <c r="B172" s="380" t="n"/>
      <c r="C172" s="381">
        <f>C86</f>
        <v/>
      </c>
      <c r="D172" s="381">
        <f>D86</f>
        <v/>
      </c>
      <c r="E172" s="381">
        <f>E86</f>
        <v/>
      </c>
      <c r="F172" s="381">
        <f>F86</f>
        <v/>
      </c>
      <c r="G172" s="382">
        <f>G86</f>
        <v/>
      </c>
      <c r="H172" s="382">
        <f>H86</f>
        <v/>
      </c>
      <c r="I172" s="382">
        <f>I86</f>
        <v/>
      </c>
      <c r="J172" s="382">
        <f>J86</f>
        <v/>
      </c>
      <c r="K172" s="381">
        <f>K86</f>
        <v/>
      </c>
      <c r="L172" s="382">
        <f>L86</f>
        <v/>
      </c>
      <c r="M172" s="382">
        <f>M86</f>
        <v/>
      </c>
      <c r="N172" s="382">
        <f>N86</f>
        <v/>
      </c>
      <c r="O172" s="382">
        <f>O86</f>
        <v/>
      </c>
      <c r="P172" s="381">
        <f>P86</f>
        <v/>
      </c>
      <c r="Q172" s="382">
        <f>Q86</f>
        <v/>
      </c>
      <c r="R172" s="382">
        <f>R86</f>
        <v/>
      </c>
      <c r="S172" s="382">
        <f>S86</f>
        <v/>
      </c>
      <c r="T172" s="382">
        <f>T86</f>
        <v/>
      </c>
      <c r="U172" s="381">
        <f>U86</f>
        <v/>
      </c>
      <c r="V172" s="382">
        <f>V86</f>
        <v/>
      </c>
      <c r="W172" s="382">
        <f>W86</f>
        <v/>
      </c>
      <c r="X172" s="382">
        <f>X86</f>
        <v/>
      </c>
      <c r="Y172" s="382">
        <f>Y86</f>
        <v/>
      </c>
      <c r="Z172" s="381">
        <f>Z86</f>
        <v/>
      </c>
      <c r="AA172" s="382">
        <f>AA86</f>
        <v/>
      </c>
      <c r="AB172" s="382">
        <f>AB86</f>
        <v/>
      </c>
      <c r="AC172" s="382">
        <f>AC86</f>
        <v/>
      </c>
      <c r="AD172" s="382">
        <f>AD86</f>
        <v/>
      </c>
      <c r="AE172" s="381">
        <f>AE86</f>
        <v/>
      </c>
      <c r="AF172" s="382">
        <f>AF86</f>
        <v/>
      </c>
      <c r="AG172" s="382">
        <f>AG86</f>
        <v/>
      </c>
      <c r="AH172" s="382">
        <f>AH86</f>
        <v/>
      </c>
      <c r="AI172" s="382">
        <f>AI86</f>
        <v/>
      </c>
      <c r="AJ172" s="381">
        <f>AJ86</f>
        <v/>
      </c>
      <c r="AK172" s="382">
        <f>AK86</f>
        <v/>
      </c>
      <c r="AL172" s="385">
        <f>AL86</f>
        <v/>
      </c>
      <c r="AM172" s="382" t="n"/>
      <c r="AN172" s="382" t="n"/>
      <c r="AO172" s="381" t="n"/>
      <c r="AP172" s="382" t="n"/>
      <c r="AQ172" s="382" t="n"/>
      <c r="AR172" s="382" t="n"/>
      <c r="AS172" s="382" t="n"/>
      <c r="AT172" s="381" t="n"/>
      <c r="AU172" s="381" t="n"/>
      <c r="AV172" s="381" t="n"/>
      <c r="AW172" s="381" t="n"/>
      <c r="AX172" s="24" t="n"/>
    </row>
    <row r="173" customFormat="1" s="16">
      <c r="A173" s="404" t="inlineStr">
        <is>
          <t>SBC</t>
        </is>
      </c>
      <c r="B173" s="376" t="n"/>
      <c r="C173" s="343">
        <f>C76</f>
        <v/>
      </c>
      <c r="D173" s="343">
        <f>D76</f>
        <v/>
      </c>
      <c r="E173" s="343">
        <f>E76</f>
        <v/>
      </c>
      <c r="F173" s="343">
        <f>F76</f>
        <v/>
      </c>
      <c r="G173" s="228">
        <f>G76</f>
        <v/>
      </c>
      <c r="H173" s="228">
        <f>H76</f>
        <v/>
      </c>
      <c r="I173" s="228">
        <f>I76</f>
        <v/>
      </c>
      <c r="J173" s="228">
        <f>J76</f>
        <v/>
      </c>
      <c r="K173" s="343">
        <f>K76</f>
        <v/>
      </c>
      <c r="L173" s="228">
        <f>L76</f>
        <v/>
      </c>
      <c r="M173" s="228">
        <f>M76</f>
        <v/>
      </c>
      <c r="N173" s="228">
        <f>N76</f>
        <v/>
      </c>
      <c r="O173" s="228">
        <f>O76</f>
        <v/>
      </c>
      <c r="P173" s="343">
        <f>P76</f>
        <v/>
      </c>
      <c r="Q173" s="228">
        <f>Q76</f>
        <v/>
      </c>
      <c r="R173" s="228">
        <f>R76</f>
        <v/>
      </c>
      <c r="S173" s="228">
        <f>S76</f>
        <v/>
      </c>
      <c r="T173" s="228">
        <f>T76</f>
        <v/>
      </c>
      <c r="U173" s="343">
        <f>U76</f>
        <v/>
      </c>
      <c r="V173" s="228">
        <f>V76</f>
        <v/>
      </c>
      <c r="W173" s="228">
        <f>W76</f>
        <v/>
      </c>
      <c r="X173" s="228">
        <f>X76</f>
        <v/>
      </c>
      <c r="Y173" s="228">
        <f>Y76</f>
        <v/>
      </c>
      <c r="Z173" s="343">
        <f>Z76</f>
        <v/>
      </c>
      <c r="AA173" s="228">
        <f>AA76</f>
        <v/>
      </c>
      <c r="AB173" s="228">
        <f>AB76</f>
        <v/>
      </c>
      <c r="AC173" s="228">
        <f>AC76</f>
        <v/>
      </c>
      <c r="AD173" s="228">
        <f>AD76</f>
        <v/>
      </c>
      <c r="AE173" s="343">
        <f>AE76</f>
        <v/>
      </c>
      <c r="AF173" s="228">
        <f>AF76</f>
        <v/>
      </c>
      <c r="AG173" s="228">
        <f>AG76</f>
        <v/>
      </c>
      <c r="AH173" s="228">
        <f>AH76</f>
        <v/>
      </c>
      <c r="AI173" s="228">
        <f>AI76</f>
        <v/>
      </c>
      <c r="AJ173" s="343">
        <f>AJ76</f>
        <v/>
      </c>
      <c r="AK173" s="228">
        <f>AK76</f>
        <v/>
      </c>
      <c r="AL173" s="322">
        <f>AL76</f>
        <v/>
      </c>
      <c r="AM173" s="228" t="n"/>
      <c r="AN173" s="228" t="n"/>
      <c r="AO173" s="343" t="n"/>
      <c r="AP173" s="228" t="n"/>
      <c r="AQ173" s="228" t="n"/>
      <c r="AR173" s="228" t="n"/>
      <c r="AS173" s="228" t="n"/>
      <c r="AT173" s="343" t="n"/>
      <c r="AU173" s="343" t="n"/>
      <c r="AV173" s="343" t="n"/>
      <c r="AW173" s="343" t="n"/>
      <c r="AX173" s="25" t="n"/>
    </row>
    <row r="174" customFormat="1" s="16">
      <c r="A174" s="404" t="inlineStr">
        <is>
          <t>Amortizations of Intangibles</t>
        </is>
      </c>
      <c r="B174" s="376" t="n"/>
      <c r="C174" s="343">
        <f>C77</f>
        <v/>
      </c>
      <c r="D174" s="343">
        <f>D77</f>
        <v/>
      </c>
      <c r="E174" s="343">
        <f>E77</f>
        <v/>
      </c>
      <c r="F174" s="343">
        <f>F77</f>
        <v/>
      </c>
      <c r="G174" s="228">
        <f>G77</f>
        <v/>
      </c>
      <c r="H174" s="228">
        <f>H77</f>
        <v/>
      </c>
      <c r="I174" s="228">
        <f>I77</f>
        <v/>
      </c>
      <c r="J174" s="228">
        <f>J77</f>
        <v/>
      </c>
      <c r="K174" s="343">
        <f>K77</f>
        <v/>
      </c>
      <c r="L174" s="228">
        <f>L77</f>
        <v/>
      </c>
      <c r="M174" s="228">
        <f>M77</f>
        <v/>
      </c>
      <c r="N174" s="228">
        <f>N77</f>
        <v/>
      </c>
      <c r="O174" s="228">
        <f>O77</f>
        <v/>
      </c>
      <c r="P174" s="343">
        <f>P77</f>
        <v/>
      </c>
      <c r="Q174" s="228">
        <f>Q77</f>
        <v/>
      </c>
      <c r="R174" s="228">
        <f>R77</f>
        <v/>
      </c>
      <c r="S174" s="228">
        <f>S77</f>
        <v/>
      </c>
      <c r="T174" s="228">
        <f>T77</f>
        <v/>
      </c>
      <c r="U174" s="343">
        <f>U77</f>
        <v/>
      </c>
      <c r="V174" s="228">
        <f>V77</f>
        <v/>
      </c>
      <c r="W174" s="228">
        <f>W77</f>
        <v/>
      </c>
      <c r="X174" s="228">
        <f>X77</f>
        <v/>
      </c>
      <c r="Y174" s="228">
        <f>Y77</f>
        <v/>
      </c>
      <c r="Z174" s="343">
        <f>Z77</f>
        <v/>
      </c>
      <c r="AA174" s="228">
        <f>AA77</f>
        <v/>
      </c>
      <c r="AB174" s="228">
        <f>AB77</f>
        <v/>
      </c>
      <c r="AC174" s="228">
        <f>AC77</f>
        <v/>
      </c>
      <c r="AD174" s="228">
        <f>AD77</f>
        <v/>
      </c>
      <c r="AE174" s="343">
        <f>AE77</f>
        <v/>
      </c>
      <c r="AF174" s="228">
        <f>AF77</f>
        <v/>
      </c>
      <c r="AG174" s="228">
        <f>AG77</f>
        <v/>
      </c>
      <c r="AH174" s="228">
        <f>AH77</f>
        <v/>
      </c>
      <c r="AI174" s="228">
        <f>AI77</f>
        <v/>
      </c>
      <c r="AJ174" s="343">
        <f>AJ77</f>
        <v/>
      </c>
      <c r="AK174" s="228">
        <f>AK77</f>
        <v/>
      </c>
      <c r="AL174" s="322">
        <f>AL77</f>
        <v/>
      </c>
      <c r="AM174" s="228" t="n"/>
      <c r="AN174" s="228" t="n"/>
      <c r="AO174" s="343" t="n"/>
      <c r="AP174" s="228" t="n"/>
      <c r="AQ174" s="228" t="n"/>
      <c r="AR174" s="228" t="n"/>
      <c r="AS174" s="228" t="n"/>
      <c r="AT174" s="343" t="n"/>
      <c r="AU174" s="343" t="n"/>
      <c r="AV174" s="343" t="n"/>
      <c r="AW174" s="343" t="n"/>
      <c r="AX174" s="25" t="n"/>
    </row>
    <row r="175" customFormat="1" s="5">
      <c r="A175" s="197" t="inlineStr">
        <is>
          <t>Other Adjustments</t>
        </is>
      </c>
      <c r="B175" s="376" t="n"/>
      <c r="C175" s="343">
        <f>SUM(C76:C85)-C173-C174</f>
        <v/>
      </c>
      <c r="D175" s="343">
        <f>SUM(D76:D85)-D173-D174</f>
        <v/>
      </c>
      <c r="E175" s="343">
        <f>SUM(E76:E85)-E173-E174</f>
        <v/>
      </c>
      <c r="F175" s="343">
        <f>SUM(F76:F85)-F173-F174</f>
        <v/>
      </c>
      <c r="G175" s="228">
        <f>SUM(G76:G85)-G173-G174</f>
        <v/>
      </c>
      <c r="H175" s="228">
        <f>SUM(H76:H85)-H173-H174</f>
        <v/>
      </c>
      <c r="I175" s="228">
        <f>SUM(I76:I85)-I173-I174</f>
        <v/>
      </c>
      <c r="J175" s="228">
        <f>SUM(J76:J85)-J173-J174</f>
        <v/>
      </c>
      <c r="K175" s="343">
        <f>SUM(K76:K85)-K173-K174</f>
        <v/>
      </c>
      <c r="L175" s="228">
        <f>SUM(L76:L85)-L173-L174</f>
        <v/>
      </c>
      <c r="M175" s="228">
        <f>SUM(M76:M85)-M173-M174</f>
        <v/>
      </c>
      <c r="N175" s="228">
        <f>SUM(N76:N85)-N173-N174</f>
        <v/>
      </c>
      <c r="O175" s="228">
        <f>SUM(O76:O85)-O173-O174</f>
        <v/>
      </c>
      <c r="P175" s="343">
        <f>SUM(P76:P85)-P173-P174</f>
        <v/>
      </c>
      <c r="Q175" s="228">
        <f>SUM(Q76:Q85)-Q173-Q174</f>
        <v/>
      </c>
      <c r="R175" s="228">
        <f>SUM(R76:R85)-R173-R174</f>
        <v/>
      </c>
      <c r="S175" s="228">
        <f>SUM(S76:S85)-S173-S174</f>
        <v/>
      </c>
      <c r="T175" s="228">
        <f>SUM(T76:T85)-T173-T174</f>
        <v/>
      </c>
      <c r="U175" s="343">
        <f>SUM(U76:U85)-U173-U174</f>
        <v/>
      </c>
      <c r="V175" s="228">
        <f>SUM(V76:V85)-V173-V174</f>
        <v/>
      </c>
      <c r="W175" s="228">
        <f>SUM(W76:W85)-W173-W174</f>
        <v/>
      </c>
      <c r="X175" s="228">
        <f>SUM(X76:X85)-X173-X174</f>
        <v/>
      </c>
      <c r="Y175" s="228">
        <f>SUM(Y76:Y85)-Y173-Y174</f>
        <v/>
      </c>
      <c r="Z175" s="343">
        <f>SUM(Z76:Z85)-Z173-Z174</f>
        <v/>
      </c>
      <c r="AA175" s="228">
        <f>SUM(AA76:AA85)-AA173-AA174</f>
        <v/>
      </c>
      <c r="AB175" s="228">
        <f>SUM(AB76:AB85)-AB173-AB174</f>
        <v/>
      </c>
      <c r="AC175" s="228">
        <f>SUM(AC76:AC85)-AC173-AC174</f>
        <v/>
      </c>
      <c r="AD175" s="228">
        <f>SUM(AD76:AD85)-AD173-AD174</f>
        <v/>
      </c>
      <c r="AE175" s="343">
        <f>SUM(AE76:AE85)-AE173-AE174</f>
        <v/>
      </c>
      <c r="AF175" s="228">
        <f>SUM(AF76:AF85)-AF173-AF174</f>
        <v/>
      </c>
      <c r="AG175" s="228">
        <f>SUM(AG76:AG85)-AG173-AG174</f>
        <v/>
      </c>
      <c r="AH175" s="228">
        <f>SUM(AH76:AH85)-AH173-AH174</f>
        <v/>
      </c>
      <c r="AI175" s="228">
        <f>SUM(AI76:AI85)-AI173-AI174</f>
        <v/>
      </c>
      <c r="AJ175" s="343">
        <f>SUM(AJ76:AJ85)-AJ173-AJ174</f>
        <v/>
      </c>
      <c r="AK175" s="228">
        <f>SUM(AK76:AK85)-AK173-AK174</f>
        <v/>
      </c>
      <c r="AL175" s="322">
        <f>SUM(AL76:AL85)-AL173-AL174</f>
        <v/>
      </c>
      <c r="AM175" s="391" t="n"/>
      <c r="AN175" s="391" t="n"/>
      <c r="AO175" s="343" t="n"/>
      <c r="AP175" s="391" t="n"/>
      <c r="AQ175" s="391" t="n"/>
      <c r="AR175" s="391" t="n"/>
      <c r="AS175" s="391" t="n"/>
      <c r="AT175" s="343" t="n"/>
      <c r="AU175" s="392" t="n"/>
      <c r="AV175" s="392" t="n"/>
      <c r="AW175" s="392" t="n"/>
      <c r="AX175" s="228" t="n"/>
    </row>
    <row r="176" customFormat="1" s="17">
      <c r="A176" s="426" t="inlineStr">
        <is>
          <t>GAAP Net Income to common shareholders - Basic</t>
        </is>
      </c>
      <c r="B176" s="380" t="n"/>
      <c r="C176" s="381">
        <f>C172-SUM(C173:C175)</f>
        <v/>
      </c>
      <c r="D176" s="381">
        <f>D172-SUM(D173:D175)</f>
        <v/>
      </c>
      <c r="E176" s="381">
        <f>E172-SUM(E173:E175)</f>
        <v/>
      </c>
      <c r="F176" s="381">
        <f>F172-SUM(F173:F175)</f>
        <v/>
      </c>
      <c r="G176" s="382">
        <f>G172-SUM(G173:G175)</f>
        <v/>
      </c>
      <c r="H176" s="382">
        <f>H172-SUM(H173:H175)</f>
        <v/>
      </c>
      <c r="I176" s="382">
        <f>I172-SUM(I173:I175)</f>
        <v/>
      </c>
      <c r="J176" s="382">
        <f>J172-SUM(J173:J175)</f>
        <v/>
      </c>
      <c r="K176" s="381">
        <f>K172-SUM(K173:K175)</f>
        <v/>
      </c>
      <c r="L176" s="382">
        <f>L172-SUM(L173:L175)</f>
        <v/>
      </c>
      <c r="M176" s="382">
        <f>M172-SUM(M173:M175)</f>
        <v/>
      </c>
      <c r="N176" s="382">
        <f>N172-SUM(N173:N175)</f>
        <v/>
      </c>
      <c r="O176" s="382">
        <f>O172-SUM(O173:O175)</f>
        <v/>
      </c>
      <c r="P176" s="381">
        <f>P172-SUM(P173:P175)</f>
        <v/>
      </c>
      <c r="Q176" s="382">
        <f>Q172-SUM(Q173:Q175)</f>
        <v/>
      </c>
      <c r="R176" s="382">
        <f>R172-SUM(R173:R175)</f>
        <v/>
      </c>
      <c r="S176" s="382">
        <f>S172-SUM(S173:S175)</f>
        <v/>
      </c>
      <c r="T176" s="382">
        <f>T172-SUM(T173:T175)</f>
        <v/>
      </c>
      <c r="U176" s="381">
        <f>U172-SUM(U173:U175)</f>
        <v/>
      </c>
      <c r="V176" s="382">
        <f>V172-SUM(V173:V175)</f>
        <v/>
      </c>
      <c r="W176" s="382">
        <f>W172-SUM(W173:W175)</f>
        <v/>
      </c>
      <c r="X176" s="382">
        <f>X172-SUM(X173:X175)</f>
        <v/>
      </c>
      <c r="Y176" s="382">
        <f>Y172-SUM(Y173:Y175)</f>
        <v/>
      </c>
      <c r="Z176" s="381">
        <f>Z172-SUM(Z173:Z175)</f>
        <v/>
      </c>
      <c r="AA176" s="382">
        <f>AA172-SUM(AA173:AA175)</f>
        <v/>
      </c>
      <c r="AB176" s="382">
        <f>AB172-SUM(AB173:AB175)</f>
        <v/>
      </c>
      <c r="AC176" s="382">
        <f>AC172-SUM(AC173:AC175)</f>
        <v/>
      </c>
      <c r="AD176" s="382">
        <f>AD172-SUM(AD173:AD175)</f>
        <v/>
      </c>
      <c r="AE176" s="381">
        <f>AE172-SUM(AE173:AE175)</f>
        <v/>
      </c>
      <c r="AF176" s="382">
        <f>AF172-SUM(AF173:AF175)</f>
        <v/>
      </c>
      <c r="AG176" s="382">
        <f>AG172-SUM(AG173:AG175)</f>
        <v/>
      </c>
      <c r="AH176" s="382">
        <f>AH172-SUM(AH173:AH175)</f>
        <v/>
      </c>
      <c r="AI176" s="382">
        <f>AI172-SUM(AI173:AI175)</f>
        <v/>
      </c>
      <c r="AJ176" s="381">
        <f>AJ172-SUM(AJ173:AJ175)</f>
        <v/>
      </c>
      <c r="AK176" s="382">
        <f>AK172-SUM(AK173:AK175)</f>
        <v/>
      </c>
      <c r="AL176" s="385">
        <f>AL172-SUM(AL173:AL175)</f>
        <v/>
      </c>
      <c r="AM176" s="382" t="n"/>
      <c r="AN176" s="382" t="n"/>
      <c r="AO176" s="381" t="n"/>
      <c r="AP176" s="382" t="n"/>
      <c r="AQ176" s="382" t="n"/>
      <c r="AR176" s="382" t="n"/>
      <c r="AS176" s="382" t="n"/>
      <c r="AT176" s="381" t="n"/>
      <c r="AU176" s="381" t="n"/>
      <c r="AV176" s="381" t="n"/>
      <c r="AW176" s="381" t="n"/>
      <c r="AX176" s="24" t="n"/>
    </row>
    <row r="177" customFormat="1" s="18">
      <c r="A177" s="427" t="inlineStr">
        <is>
          <t>Adjustments for Convertible Securities</t>
        </is>
      </c>
      <c r="B177" s="376" t="n"/>
      <c r="C177" s="343" t="n"/>
      <c r="D177" s="343" t="n"/>
      <c r="E177" s="343" t="n"/>
      <c r="F177" s="343" t="n"/>
      <c r="G177" s="228" t="n"/>
      <c r="H177" s="228" t="n"/>
      <c r="I177" s="228" t="n"/>
      <c r="J177" s="228" t="n"/>
      <c r="K177" s="343" t="n"/>
      <c r="L177" s="228" t="n"/>
      <c r="M177" s="228" t="n"/>
      <c r="N177" s="228" t="n"/>
      <c r="O177" s="228" t="n"/>
      <c r="P177" s="343" t="n"/>
      <c r="Q177" s="228" t="n"/>
      <c r="R177" s="228" t="n"/>
      <c r="S177" s="228" t="n"/>
      <c r="T177" s="228" t="n"/>
      <c r="U177" s="343" t="n"/>
      <c r="V177" s="228" t="n"/>
      <c r="W177" s="228" t="n"/>
      <c r="X177" s="228" t="n"/>
      <c r="Y177" s="228" t="n"/>
      <c r="Z177" s="343" t="n"/>
      <c r="AA177" s="228" t="n"/>
      <c r="AB177" s="228" t="n"/>
      <c r="AC177" s="228" t="n"/>
      <c r="AD177" s="228" t="n"/>
      <c r="AE177" s="343" t="n"/>
      <c r="AF177" s="228" t="n"/>
      <c r="AG177" s="228" t="n"/>
      <c r="AH177" s="228" t="n"/>
      <c r="AI177" s="228" t="n"/>
      <c r="AJ177" s="343" t="n"/>
      <c r="AK177" s="228" t="n"/>
      <c r="AL177" s="322" t="n"/>
      <c r="AM177" s="228" t="n"/>
      <c r="AN177" s="228" t="n"/>
      <c r="AO177" s="343" t="n"/>
      <c r="AP177" s="228" t="n"/>
      <c r="AQ177" s="228" t="n"/>
      <c r="AR177" s="228" t="n"/>
      <c r="AS177" s="228" t="n"/>
      <c r="AT177" s="343" t="n"/>
      <c r="AU177" s="343" t="n"/>
      <c r="AV177" s="343" t="n"/>
      <c r="AW177" s="343" t="n"/>
      <c r="AX177" s="120" t="n"/>
    </row>
    <row r="178" customFormat="1" s="17">
      <c r="A178" s="426" t="inlineStr">
        <is>
          <t>GAAP Net Income to common shareholders - Diluted</t>
        </is>
      </c>
      <c r="B178" s="380" t="n"/>
      <c r="C178" s="381">
        <f>C176-C177</f>
        <v/>
      </c>
      <c r="D178" s="381">
        <f>D176-D177</f>
        <v/>
      </c>
      <c r="E178" s="381">
        <f>E176-E177</f>
        <v/>
      </c>
      <c r="F178" s="381">
        <f>F176-F177</f>
        <v/>
      </c>
      <c r="G178" s="382">
        <f>G176-G177</f>
        <v/>
      </c>
      <c r="H178" s="382">
        <f>H176-H177</f>
        <v/>
      </c>
      <c r="I178" s="382">
        <f>I176-I177</f>
        <v/>
      </c>
      <c r="J178" s="382">
        <f>J176-J177</f>
        <v/>
      </c>
      <c r="K178" s="381">
        <f>K176-K177</f>
        <v/>
      </c>
      <c r="L178" s="382">
        <f>L176-L177</f>
        <v/>
      </c>
      <c r="M178" s="382">
        <f>M176-M177</f>
        <v/>
      </c>
      <c r="N178" s="382">
        <f>N176-N177</f>
        <v/>
      </c>
      <c r="O178" s="382">
        <f>O176-O177</f>
        <v/>
      </c>
      <c r="P178" s="381">
        <f>P176-P177</f>
        <v/>
      </c>
      <c r="Q178" s="382">
        <f>Q176-Q177</f>
        <v/>
      </c>
      <c r="R178" s="382">
        <f>R176-R177</f>
        <v/>
      </c>
      <c r="S178" s="382">
        <f>S176-S177</f>
        <v/>
      </c>
      <c r="T178" s="382">
        <f>T176-T177</f>
        <v/>
      </c>
      <c r="U178" s="381">
        <f>U176-U177</f>
        <v/>
      </c>
      <c r="V178" s="382">
        <f>V176-V177</f>
        <v/>
      </c>
      <c r="W178" s="382">
        <f>W176-W177</f>
        <v/>
      </c>
      <c r="X178" s="382">
        <f>X176-X177</f>
        <v/>
      </c>
      <c r="Y178" s="382">
        <f>Y176-Y177</f>
        <v/>
      </c>
      <c r="Z178" s="381">
        <f>Z176-Z177</f>
        <v/>
      </c>
      <c r="AA178" s="382">
        <f>AA176-AA177</f>
        <v/>
      </c>
      <c r="AB178" s="382">
        <f>AB176-AB177</f>
        <v/>
      </c>
      <c r="AC178" s="382">
        <f>AC176-AC177</f>
        <v/>
      </c>
      <c r="AD178" s="382">
        <f>AD176-AD177</f>
        <v/>
      </c>
      <c r="AE178" s="381">
        <f>AE176-AE177</f>
        <v/>
      </c>
      <c r="AF178" s="382">
        <f>AF176-AF177</f>
        <v/>
      </c>
      <c r="AG178" s="382">
        <f>AG176-AG177</f>
        <v/>
      </c>
      <c r="AH178" s="382">
        <f>AH176-AH177</f>
        <v/>
      </c>
      <c r="AI178" s="382">
        <f>AI176-AI177</f>
        <v/>
      </c>
      <c r="AJ178" s="381">
        <f>AJ176-AJ177</f>
        <v/>
      </c>
      <c r="AK178" s="382">
        <f>AK176-AK177</f>
        <v/>
      </c>
      <c r="AL178" s="385">
        <f>AL176-AL177</f>
        <v/>
      </c>
      <c r="AM178" s="382" t="n"/>
      <c r="AN178" s="382" t="n"/>
      <c r="AO178" s="381" t="n"/>
      <c r="AP178" s="382" t="n"/>
      <c r="AQ178" s="382" t="n"/>
      <c r="AR178" s="382" t="n"/>
      <c r="AS178" s="382" t="n"/>
      <c r="AT178" s="381" t="n"/>
      <c r="AU178" s="381" t="n"/>
      <c r="AV178" s="381" t="n"/>
      <c r="AW178" s="381" t="n"/>
      <c r="AX178" s="24" t="n"/>
    </row>
    <row r="179" customFormat="1" s="80">
      <c r="A179" s="420" t="n"/>
      <c r="B179" s="428" t="n"/>
      <c r="C179" s="344" t="n"/>
      <c r="D179" s="344" t="n"/>
      <c r="E179" s="344" t="n"/>
      <c r="F179" s="344" t="n"/>
      <c r="G179" s="93" t="n"/>
      <c r="H179" s="93" t="n"/>
      <c r="I179" s="93" t="n"/>
      <c r="J179" s="93" t="n"/>
      <c r="K179" s="344" t="n"/>
      <c r="L179" s="93" t="n"/>
      <c r="M179" s="93" t="n"/>
      <c r="N179" s="93" t="n"/>
      <c r="O179" s="93" t="n"/>
      <c r="P179" s="344" t="n"/>
      <c r="Q179" s="93" t="n"/>
      <c r="R179" s="93" t="n"/>
      <c r="S179" s="93" t="n"/>
      <c r="T179" s="93" t="n"/>
      <c r="U179" s="344" t="n"/>
      <c r="V179" s="93" t="n"/>
      <c r="W179" s="429" t="n"/>
      <c r="X179" s="429" t="n"/>
      <c r="Y179" s="429" t="n"/>
      <c r="Z179" s="430" t="n"/>
      <c r="AA179" s="228" t="n"/>
      <c r="AB179" s="429" t="n"/>
      <c r="AC179" s="429" t="n"/>
      <c r="AD179" s="429" t="n"/>
      <c r="AE179" s="430" t="n"/>
      <c r="AF179" s="228" t="n"/>
      <c r="AG179" s="429" t="n"/>
      <c r="AH179" s="429" t="n"/>
      <c r="AI179" s="429" t="n"/>
      <c r="AJ179" s="430" t="n"/>
      <c r="AK179" s="228" t="n"/>
      <c r="AL179" s="431" t="n"/>
      <c r="AM179" s="228" t="n"/>
      <c r="AN179" s="228" t="n"/>
      <c r="AO179" s="432" t="n"/>
      <c r="AP179" s="228" t="n"/>
      <c r="AQ179" s="228" t="n"/>
      <c r="AR179" s="228" t="n"/>
      <c r="AS179" s="228" t="n"/>
      <c r="AT179" s="432" t="n"/>
      <c r="AU179" s="432" t="n"/>
      <c r="AV179" s="432" t="n"/>
      <c r="AW179" s="432" t="n"/>
      <c r="AX179" s="79" t="n"/>
    </row>
    <row r="180" customFormat="1" s="440">
      <c r="A180" s="433" t="inlineStr">
        <is>
          <t>Non-GAAP Tax Rate</t>
        </is>
      </c>
      <c r="B180" s="434" t="n"/>
      <c r="C180" s="284">
        <f>C171/C169</f>
        <v/>
      </c>
      <c r="D180" s="284">
        <f>D171/D169</f>
        <v/>
      </c>
      <c r="E180" s="284">
        <f>E171/E169</f>
        <v/>
      </c>
      <c r="F180" s="284">
        <f>F171/F169</f>
        <v/>
      </c>
      <c r="G180" s="288">
        <f>G171/G169</f>
        <v/>
      </c>
      <c r="H180" s="288">
        <f>H171/H169</f>
        <v/>
      </c>
      <c r="I180" s="288">
        <f>I171/I169</f>
        <v/>
      </c>
      <c r="J180" s="288">
        <f>J171/J169</f>
        <v/>
      </c>
      <c r="K180" s="284">
        <f>K171/K169</f>
        <v/>
      </c>
      <c r="L180" s="288">
        <f>L171/L169</f>
        <v/>
      </c>
      <c r="M180" s="288">
        <f>M171/M169</f>
        <v/>
      </c>
      <c r="N180" s="288">
        <f>N171/N169</f>
        <v/>
      </c>
      <c r="O180" s="288">
        <f>O171/O169</f>
        <v/>
      </c>
      <c r="P180" s="284">
        <f>P171/P169</f>
        <v/>
      </c>
      <c r="Q180" s="288">
        <f>Q171/Q169</f>
        <v/>
      </c>
      <c r="R180" s="288">
        <f>R171/R169</f>
        <v/>
      </c>
      <c r="S180" s="288">
        <f>S171/S169</f>
        <v/>
      </c>
      <c r="T180" s="288">
        <f>T171/T169</f>
        <v/>
      </c>
      <c r="U180" s="284">
        <f>U171/U169</f>
        <v/>
      </c>
      <c r="V180" s="288">
        <f>V171/V169</f>
        <v/>
      </c>
      <c r="W180" s="435">
        <f>W171/W169</f>
        <v/>
      </c>
      <c r="X180" s="435">
        <f>X171/X169</f>
        <v/>
      </c>
      <c r="Y180" s="435">
        <f>Y171/Y169</f>
        <v/>
      </c>
      <c r="Z180" s="436">
        <f>Z171/Z169</f>
        <v/>
      </c>
      <c r="AA180" s="287">
        <f>AA171/AA169</f>
        <v/>
      </c>
      <c r="AB180" s="435">
        <f>AB171/AB169</f>
        <v/>
      </c>
      <c r="AC180" s="435">
        <f>AC171/AC169</f>
        <v/>
      </c>
      <c r="AD180" s="435">
        <f>AD171/AD169</f>
        <v/>
      </c>
      <c r="AE180" s="436">
        <f>AE171/AE169</f>
        <v/>
      </c>
      <c r="AF180" s="287">
        <f>AF171/AF169</f>
        <v/>
      </c>
      <c r="AG180" s="435">
        <f>AG171/AG169</f>
        <v/>
      </c>
      <c r="AH180" s="435">
        <f>AH171/AH169</f>
        <v/>
      </c>
      <c r="AI180" s="435">
        <f>AI171/AI169</f>
        <v/>
      </c>
      <c r="AJ180" s="436">
        <f>AJ171/AJ169</f>
        <v/>
      </c>
      <c r="AK180" s="287">
        <f>AK171/AK169</f>
        <v/>
      </c>
      <c r="AL180" s="437">
        <f>AL171/AL169</f>
        <v/>
      </c>
      <c r="AM180" s="143" t="n"/>
      <c r="AN180" s="143" t="n"/>
      <c r="AO180" s="436" t="n"/>
      <c r="AP180" s="143" t="n"/>
      <c r="AQ180" s="143" t="n"/>
      <c r="AR180" s="143" t="n"/>
      <c r="AS180" s="143" t="n"/>
      <c r="AT180" s="436" t="n"/>
      <c r="AU180" s="438" t="n"/>
      <c r="AV180" s="438" t="n"/>
      <c r="AW180" s="438" t="n"/>
      <c r="AX180" s="439" t="n"/>
    </row>
    <row r="181" customFormat="1" s="440">
      <c r="A181" s="433" t="inlineStr">
        <is>
          <t>Deferred Income Tax as % of Non-GAAP Taxes</t>
        </is>
      </c>
      <c r="B181" s="434" t="n"/>
      <c r="C181" s="284">
        <f>C290/C171</f>
        <v/>
      </c>
      <c r="D181" s="284">
        <f>D290/D171</f>
        <v/>
      </c>
      <c r="E181" s="284">
        <f>E290/E171</f>
        <v/>
      </c>
      <c r="F181" s="284">
        <f>F290/F171</f>
        <v/>
      </c>
      <c r="G181" s="288">
        <f>G290/G171</f>
        <v/>
      </c>
      <c r="H181" s="288">
        <f>H290/H171</f>
        <v/>
      </c>
      <c r="I181" s="288">
        <f>I290/I171</f>
        <v/>
      </c>
      <c r="J181" s="288">
        <f>J290/J171</f>
        <v/>
      </c>
      <c r="K181" s="284">
        <f>K290/K171</f>
        <v/>
      </c>
      <c r="L181" s="288">
        <f>L290/L171</f>
        <v/>
      </c>
      <c r="M181" s="288">
        <f>M290/M171</f>
        <v/>
      </c>
      <c r="N181" s="288">
        <f>N290/N171</f>
        <v/>
      </c>
      <c r="O181" s="288">
        <f>O290/O171</f>
        <v/>
      </c>
      <c r="P181" s="284">
        <f>P290/P171</f>
        <v/>
      </c>
      <c r="Q181" s="288">
        <f>Q290/Q171</f>
        <v/>
      </c>
      <c r="R181" s="288">
        <f>R290/R171</f>
        <v/>
      </c>
      <c r="S181" s="288">
        <f>S290/S171</f>
        <v/>
      </c>
      <c r="T181" s="288">
        <f>T290/T171</f>
        <v/>
      </c>
      <c r="U181" s="284">
        <f>U290/U171</f>
        <v/>
      </c>
      <c r="V181" s="288">
        <f>V290/V171</f>
        <v/>
      </c>
      <c r="W181" s="435">
        <f>W290/W171</f>
        <v/>
      </c>
      <c r="X181" s="435">
        <f>X290/X171</f>
        <v/>
      </c>
      <c r="Y181" s="435">
        <f>Y290/Y171</f>
        <v/>
      </c>
      <c r="Z181" s="436">
        <f>Z290/Z171</f>
        <v/>
      </c>
      <c r="AA181" s="287">
        <f>AA290/AA171</f>
        <v/>
      </c>
      <c r="AB181" s="435">
        <f>AB290/AB171</f>
        <v/>
      </c>
      <c r="AC181" s="435">
        <f>AC290/AC171</f>
        <v/>
      </c>
      <c r="AD181" s="435">
        <f>AD290/AD171</f>
        <v/>
      </c>
      <c r="AE181" s="436">
        <f>AE290/AE171</f>
        <v/>
      </c>
      <c r="AF181" s="287">
        <f>AF290/AF171</f>
        <v/>
      </c>
      <c r="AG181" s="435">
        <f>AG290/AG171</f>
        <v/>
      </c>
      <c r="AH181" s="435">
        <f>AH290/AH171</f>
        <v/>
      </c>
      <c r="AI181" s="435">
        <f>AI290/AI171</f>
        <v/>
      </c>
      <c r="AJ181" s="436">
        <f>AJ290/AJ171</f>
        <v/>
      </c>
      <c r="AK181" s="287">
        <f>AK290/AK171</f>
        <v/>
      </c>
      <c r="AL181" s="437">
        <f>AL290/AL171</f>
        <v/>
      </c>
      <c r="AM181" s="143" t="n"/>
      <c r="AN181" s="143" t="n"/>
      <c r="AO181" s="436" t="n"/>
      <c r="AP181" s="143" t="n"/>
      <c r="AQ181" s="143" t="n"/>
      <c r="AR181" s="143" t="n"/>
      <c r="AS181" s="143" t="n"/>
      <c r="AT181" s="436" t="n"/>
      <c r="AU181" s="438" t="n"/>
      <c r="AV181" s="438" t="n"/>
      <c r="AW181" s="438" t="n"/>
      <c r="AX181" s="439" t="n"/>
    </row>
    <row r="182" customFormat="1" s="80">
      <c r="A182" s="420" t="n"/>
      <c r="B182" s="428" t="n"/>
      <c r="C182" s="344" t="n"/>
      <c r="D182" s="344" t="n"/>
      <c r="E182" s="344" t="n"/>
      <c r="F182" s="344" t="n"/>
      <c r="G182" s="93" t="n"/>
      <c r="H182" s="93" t="n"/>
      <c r="I182" s="93" t="n"/>
      <c r="J182" s="93" t="n"/>
      <c r="K182" s="344" t="n"/>
      <c r="L182" s="93" t="n"/>
      <c r="M182" s="93" t="n"/>
      <c r="N182" s="93" t="n"/>
      <c r="O182" s="93" t="n"/>
      <c r="P182" s="344" t="n"/>
      <c r="Q182" s="93" t="n"/>
      <c r="R182" s="93" t="n"/>
      <c r="S182" s="93" t="n"/>
      <c r="T182" s="93" t="n"/>
      <c r="U182" s="344" t="n"/>
      <c r="V182" s="93" t="n"/>
      <c r="W182" s="429" t="n"/>
      <c r="X182" s="429" t="n"/>
      <c r="Y182" s="429" t="n"/>
      <c r="Z182" s="430" t="n"/>
      <c r="AA182" s="228" t="n"/>
      <c r="AB182" s="429" t="n"/>
      <c r="AC182" s="429" t="n"/>
      <c r="AD182" s="429" t="n"/>
      <c r="AE182" s="430" t="n"/>
      <c r="AF182" s="228" t="n"/>
      <c r="AG182" s="429" t="n"/>
      <c r="AH182" s="429" t="n"/>
      <c r="AI182" s="429" t="n"/>
      <c r="AJ182" s="430" t="n"/>
      <c r="AK182" s="228" t="n"/>
      <c r="AL182" s="431" t="n"/>
      <c r="AM182" s="228" t="n"/>
      <c r="AN182" s="228" t="n"/>
      <c r="AO182" s="432" t="n"/>
      <c r="AP182" s="228" t="n"/>
      <c r="AQ182" s="228" t="n"/>
      <c r="AR182" s="228" t="n"/>
      <c r="AS182" s="228" t="n"/>
      <c r="AT182" s="432" t="n"/>
      <c r="AU182" s="432" t="n"/>
      <c r="AV182" s="432" t="n"/>
      <c r="AW182" s="432" t="n"/>
      <c r="AX182" s="79" t="n"/>
    </row>
    <row r="183" customFormat="1" s="1458">
      <c r="A183" s="1459" t="inlineStr">
        <is>
          <t>GAAP Earnings Per Share - WAB</t>
        </is>
      </c>
      <c r="B183" s="1460" t="n"/>
      <c r="C183" s="1461">
        <f>C176/C188</f>
        <v/>
      </c>
      <c r="D183" s="1461">
        <f>D176/D188</f>
        <v/>
      </c>
      <c r="E183" s="1461">
        <f>E176/E188</f>
        <v/>
      </c>
      <c r="F183" s="1461">
        <f>F176/F188</f>
        <v/>
      </c>
      <c r="G183" s="1462">
        <f>G176/G188</f>
        <v/>
      </c>
      <c r="H183" s="1462">
        <f>H176/H188</f>
        <v/>
      </c>
      <c r="I183" s="1462">
        <f>I176/I188</f>
        <v/>
      </c>
      <c r="J183" s="1462">
        <f>J176/J188</f>
        <v/>
      </c>
      <c r="K183" s="1461">
        <f>K176/K188</f>
        <v/>
      </c>
      <c r="L183" s="1462">
        <f>L176/L188</f>
        <v/>
      </c>
      <c r="M183" s="1462">
        <f>M176/M188</f>
        <v/>
      </c>
      <c r="N183" s="1462">
        <f>N176/N188</f>
        <v/>
      </c>
      <c r="O183" s="1462">
        <f>O176/O188</f>
        <v/>
      </c>
      <c r="P183" s="1461">
        <f>P176/P188</f>
        <v/>
      </c>
      <c r="Q183" s="1462">
        <f>Q176/Q188</f>
        <v/>
      </c>
      <c r="R183" s="1462">
        <f>R176/R188</f>
        <v/>
      </c>
      <c r="S183" s="1462">
        <f>S176/S188</f>
        <v/>
      </c>
      <c r="T183" s="1462">
        <f>T176/T188</f>
        <v/>
      </c>
      <c r="U183" s="1461">
        <f>U176/U188</f>
        <v/>
      </c>
      <c r="V183" s="1462">
        <f>V176/V188</f>
        <v/>
      </c>
      <c r="W183" s="1463">
        <f>W176/W188</f>
        <v/>
      </c>
      <c r="X183" s="1463">
        <f>X176/X188</f>
        <v/>
      </c>
      <c r="Y183" s="1463">
        <f>Y176/Y188</f>
        <v/>
      </c>
      <c r="Z183" s="1464">
        <f>Z176/Z188</f>
        <v/>
      </c>
      <c r="AA183" s="1465">
        <f>AA176/AA188</f>
        <v/>
      </c>
      <c r="AB183" s="1463">
        <f>AB176/AB188</f>
        <v/>
      </c>
      <c r="AC183" s="1463">
        <f>AC176/AC188</f>
        <v/>
      </c>
      <c r="AD183" s="1463">
        <f>AD176/AD188</f>
        <v/>
      </c>
      <c r="AE183" s="1464">
        <f>AE176/AE188</f>
        <v/>
      </c>
      <c r="AF183" s="1465">
        <f>AF176/AF188</f>
        <v/>
      </c>
      <c r="AG183" s="1463">
        <f>AG176/AG188</f>
        <v/>
      </c>
      <c r="AH183" s="1463">
        <f>AH176/AH188</f>
        <v/>
      </c>
      <c r="AI183" s="1463">
        <f>AI176/AI188</f>
        <v/>
      </c>
      <c r="AJ183" s="1464">
        <f>AJ176/AJ188</f>
        <v/>
      </c>
      <c r="AK183" s="1465">
        <f>AK176/AK188</f>
        <v/>
      </c>
      <c r="AL183" s="1466">
        <f>AL176/AL188</f>
        <v/>
      </c>
      <c r="AM183" s="1465" t="n"/>
      <c r="AN183" s="1465" t="n"/>
      <c r="AO183" s="1467" t="n"/>
      <c r="AP183" s="1465" t="n"/>
      <c r="AQ183" s="1465" t="n"/>
      <c r="AR183" s="1465" t="n"/>
      <c r="AS183" s="1465" t="n"/>
      <c r="AT183" s="1467" t="n"/>
      <c r="AU183" s="1467" t="n"/>
      <c r="AV183" s="1467" t="n"/>
      <c r="AW183" s="1467" t="n"/>
      <c r="AX183" s="1468" t="n"/>
    </row>
    <row r="184" customFormat="1" s="1458">
      <c r="A184" s="1459" t="inlineStr">
        <is>
          <t>GAAP Earnings Per Share - WAD</t>
        </is>
      </c>
      <c r="B184" s="1460" t="n"/>
      <c r="C184" s="1461">
        <f>C178/C189</f>
        <v/>
      </c>
      <c r="D184" s="1461">
        <f>D178/D189</f>
        <v/>
      </c>
      <c r="E184" s="1461">
        <f>E178/E189</f>
        <v/>
      </c>
      <c r="F184" s="1461">
        <f>F178/F189</f>
        <v/>
      </c>
      <c r="G184" s="1462">
        <f>G178/G189</f>
        <v/>
      </c>
      <c r="H184" s="1462">
        <f>H178/H189</f>
        <v/>
      </c>
      <c r="I184" s="1462">
        <f>I178/I189</f>
        <v/>
      </c>
      <c r="J184" s="1462">
        <f>J178/J189</f>
        <v/>
      </c>
      <c r="K184" s="1461">
        <f>K178/K189</f>
        <v/>
      </c>
      <c r="L184" s="1462">
        <f>L178/L189</f>
        <v/>
      </c>
      <c r="M184" s="1462">
        <f>M178/M189</f>
        <v/>
      </c>
      <c r="N184" s="1462">
        <f>N178/N189</f>
        <v/>
      </c>
      <c r="O184" s="1462">
        <f>O178/O189</f>
        <v/>
      </c>
      <c r="P184" s="1461">
        <f>P178/P189</f>
        <v/>
      </c>
      <c r="Q184" s="1462">
        <f>Q178/Q189</f>
        <v/>
      </c>
      <c r="R184" s="1462">
        <f>R178/R189</f>
        <v/>
      </c>
      <c r="S184" s="1462">
        <f>S178/S189</f>
        <v/>
      </c>
      <c r="T184" s="1462">
        <f>T178/T189</f>
        <v/>
      </c>
      <c r="U184" s="1461">
        <f>U178/U189</f>
        <v/>
      </c>
      <c r="V184" s="1462">
        <f>V178/V189</f>
        <v/>
      </c>
      <c r="W184" s="1463">
        <f>W178/W189</f>
        <v/>
      </c>
      <c r="X184" s="1463">
        <f>X178/X189</f>
        <v/>
      </c>
      <c r="Y184" s="1463">
        <f>Y178/Y189</f>
        <v/>
      </c>
      <c r="Z184" s="1464">
        <f>Z178/Z189</f>
        <v/>
      </c>
      <c r="AA184" s="1465">
        <f>AA178/AA189</f>
        <v/>
      </c>
      <c r="AB184" s="1463">
        <f>AB178/AB189</f>
        <v/>
      </c>
      <c r="AC184" s="1463">
        <f>AC178/AC189</f>
        <v/>
      </c>
      <c r="AD184" s="1463">
        <f>AD178/AD189</f>
        <v/>
      </c>
      <c r="AE184" s="1464">
        <f>AE178/AE189</f>
        <v/>
      </c>
      <c r="AF184" s="1465">
        <f>AF178/AF189</f>
        <v/>
      </c>
      <c r="AG184" s="1463">
        <f>AG178/AG189</f>
        <v/>
      </c>
      <c r="AH184" s="1463">
        <f>AH178/AH189</f>
        <v/>
      </c>
      <c r="AI184" s="1463">
        <f>AI178/AI189</f>
        <v/>
      </c>
      <c r="AJ184" s="1464">
        <f>AJ178/AJ189</f>
        <v/>
      </c>
      <c r="AK184" s="1465">
        <f>AK178/AK189</f>
        <v/>
      </c>
      <c r="AL184" s="1466">
        <f>AL178/AL189</f>
        <v/>
      </c>
      <c r="AM184" s="1465" t="n"/>
      <c r="AN184" s="1465" t="n"/>
      <c r="AO184" s="1467" t="n"/>
      <c r="AP184" s="1465" t="n"/>
      <c r="AQ184" s="1465" t="n"/>
      <c r="AR184" s="1465" t="n"/>
      <c r="AS184" s="1465" t="n"/>
      <c r="AT184" s="1467" t="n"/>
      <c r="AU184" s="1467" t="n"/>
      <c r="AV184" s="1467" t="n"/>
      <c r="AW184" s="1467" t="n"/>
      <c r="AX184" s="1468" t="n"/>
    </row>
    <row r="185" customFormat="1" s="1458">
      <c r="A185" s="1459" t="inlineStr">
        <is>
          <t>Non-GAAP Adjusted Earnings Per Share - WAD</t>
        </is>
      </c>
      <c r="B185" s="1460" t="n"/>
      <c r="C185" s="1461">
        <f>C172/C190</f>
        <v/>
      </c>
      <c r="D185" s="1461">
        <f>D172/D190</f>
        <v/>
      </c>
      <c r="E185" s="1461">
        <f>E172/E190</f>
        <v/>
      </c>
      <c r="F185" s="1461">
        <f>F172/F190</f>
        <v/>
      </c>
      <c r="G185" s="1462">
        <f>G172/G190</f>
        <v/>
      </c>
      <c r="H185" s="1462">
        <f>H172/H190</f>
        <v/>
      </c>
      <c r="I185" s="1462">
        <f>I172/I190</f>
        <v/>
      </c>
      <c r="J185" s="1462">
        <f>J172/J190</f>
        <v/>
      </c>
      <c r="K185" s="1461">
        <f>K172/K190</f>
        <v/>
      </c>
      <c r="L185" s="1462">
        <f>L172/L190</f>
        <v/>
      </c>
      <c r="M185" s="1462">
        <f>M172/M190</f>
        <v/>
      </c>
      <c r="N185" s="1462">
        <f>N172/N190</f>
        <v/>
      </c>
      <c r="O185" s="1462">
        <f>O172/O190</f>
        <v/>
      </c>
      <c r="P185" s="1461">
        <f>P172/P190</f>
        <v/>
      </c>
      <c r="Q185" s="1462">
        <f>Q172/Q190</f>
        <v/>
      </c>
      <c r="R185" s="1462">
        <f>R172/R190</f>
        <v/>
      </c>
      <c r="S185" s="1462">
        <f>S172/S190</f>
        <v/>
      </c>
      <c r="T185" s="1462">
        <f>T172/T190</f>
        <v/>
      </c>
      <c r="U185" s="1461">
        <f>U172/U190</f>
        <v/>
      </c>
      <c r="V185" s="1462">
        <f>V172/V190</f>
        <v/>
      </c>
      <c r="W185" s="1463">
        <f>W172/W190</f>
        <v/>
      </c>
      <c r="X185" s="1463">
        <f>X172/X190</f>
        <v/>
      </c>
      <c r="Y185" s="1463">
        <f>Y172/Y190</f>
        <v/>
      </c>
      <c r="Z185" s="1464">
        <f>Z172/Z190</f>
        <v/>
      </c>
      <c r="AA185" s="1465">
        <f>AA172/AA190</f>
        <v/>
      </c>
      <c r="AB185" s="1463">
        <f>AB172/AB190</f>
        <v/>
      </c>
      <c r="AC185" s="1463">
        <f>AC172/AC190</f>
        <v/>
      </c>
      <c r="AD185" s="1463">
        <f>AD172/AD190</f>
        <v/>
      </c>
      <c r="AE185" s="1464">
        <f>AE172/AE190</f>
        <v/>
      </c>
      <c r="AF185" s="1465">
        <f>AF172/AF190</f>
        <v/>
      </c>
      <c r="AG185" s="1463">
        <f>AG172/AG190</f>
        <v/>
      </c>
      <c r="AH185" s="1463">
        <f>AH172/AH190</f>
        <v/>
      </c>
      <c r="AI185" s="1463">
        <f>AI172/AI190</f>
        <v/>
      </c>
      <c r="AJ185" s="1464">
        <f>AJ172/AJ190</f>
        <v/>
      </c>
      <c r="AK185" s="1465">
        <f>AK172/AK190</f>
        <v/>
      </c>
      <c r="AL185" s="1466">
        <f>AL172/AL190</f>
        <v/>
      </c>
      <c r="AM185" s="1465" t="n"/>
      <c r="AN185" s="1465" t="n"/>
      <c r="AO185" s="1467" t="n"/>
      <c r="AP185" s="1465" t="n"/>
      <c r="AQ185" s="1465" t="n"/>
      <c r="AR185" s="1465" t="n"/>
      <c r="AS185" s="1465" t="n"/>
      <c r="AT185" s="1467" t="n"/>
      <c r="AU185" s="1467" t="n"/>
      <c r="AV185" s="1467" t="n"/>
      <c r="AW185" s="1467" t="n"/>
      <c r="AX185" s="1468" t="n"/>
    </row>
    <row r="186" customFormat="1" s="80">
      <c r="A186" s="1469">
        <f>"Consensus Estimates - "&amp;$A$185</f>
        <v/>
      </c>
      <c r="B186" s="1387" t="n"/>
      <c r="C186" s="1470" t="n"/>
      <c r="D186" s="1470" t="n"/>
      <c r="E186" s="1470" t="n"/>
      <c r="F186" s="1470" t="n"/>
      <c r="G186" s="1390" t="n"/>
      <c r="H186" s="1390" t="n"/>
      <c r="I186" s="1390" t="n"/>
      <c r="J186" s="1390" t="n"/>
      <c r="K186" s="1470" t="n"/>
      <c r="L186" s="1390" t="n"/>
      <c r="M186" s="1390" t="n"/>
      <c r="N186" s="1390" t="n"/>
      <c r="O186" s="1390" t="n"/>
      <c r="P186" s="1470" t="n"/>
      <c r="Q186" s="1390" t="n"/>
      <c r="R186" s="1390" t="n"/>
      <c r="S186" s="1390" t="n"/>
      <c r="T186" s="1390" t="n"/>
      <c r="U186" s="1470" t="n"/>
      <c r="V186" s="1390" t="n"/>
      <c r="W186" s="1471" t="n"/>
      <c r="X186" s="1471" t="n"/>
      <c r="Y186" s="1471" t="n"/>
      <c r="Z186" s="1472" t="n"/>
      <c r="AA186" s="1393" t="n"/>
      <c r="AB186" s="1471" t="n"/>
      <c r="AC186" s="1471" t="n"/>
      <c r="AD186" s="1471" t="n"/>
      <c r="AE186" s="1472" t="n"/>
      <c r="AF186" s="1393" t="n"/>
      <c r="AG186" s="1471" t="n"/>
      <c r="AH186" s="1471" t="n"/>
      <c r="AI186" s="1471" t="n"/>
      <c r="AJ186" s="1472" t="n"/>
      <c r="AK186" s="1393" t="n"/>
      <c r="AL186" s="1473" t="n"/>
      <c r="AM186" s="1474" t="n"/>
      <c r="AN186" s="1474" t="n"/>
      <c r="AO186" s="1475" t="n"/>
      <c r="AP186" s="1474" t="n"/>
      <c r="AQ186" s="1474" t="n"/>
      <c r="AR186" s="1474" t="n"/>
      <c r="AS186" s="1474" t="n"/>
      <c r="AT186" s="1475" t="n"/>
      <c r="AU186" s="1475" t="n"/>
      <c r="AV186" s="1475" t="n"/>
      <c r="AW186" s="1475" t="n"/>
      <c r="AX186" s="79" t="n"/>
    </row>
    <row r="187" customFormat="1" s="80">
      <c r="A187" s="462" t="n"/>
      <c r="B187" s="428" t="n"/>
      <c r="C187" s="344" t="n"/>
      <c r="D187" s="344" t="n"/>
      <c r="E187" s="344" t="n"/>
      <c r="F187" s="344" t="n"/>
      <c r="G187" s="93" t="n"/>
      <c r="H187" s="93" t="n"/>
      <c r="I187" s="93" t="n"/>
      <c r="J187" s="93" t="n"/>
      <c r="K187" s="344" t="n"/>
      <c r="L187" s="93" t="n"/>
      <c r="M187" s="93" t="n"/>
      <c r="N187" s="93" t="n"/>
      <c r="O187" s="93" t="n"/>
      <c r="P187" s="344" t="n"/>
      <c r="Q187" s="93" t="n"/>
      <c r="R187" s="93" t="n"/>
      <c r="S187" s="93" t="n"/>
      <c r="T187" s="93" t="n"/>
      <c r="U187" s="344" t="n"/>
      <c r="V187" s="93" t="n"/>
      <c r="W187" s="429" t="n"/>
      <c r="X187" s="429" t="n"/>
      <c r="Y187" s="429" t="n"/>
      <c r="Z187" s="430" t="n"/>
      <c r="AA187" s="228" t="n"/>
      <c r="AB187" s="429" t="n"/>
      <c r="AC187" s="429" t="n"/>
      <c r="AD187" s="429" t="n"/>
      <c r="AE187" s="430" t="n"/>
      <c r="AF187" s="228" t="n"/>
      <c r="AG187" s="429" t="n"/>
      <c r="AH187" s="429" t="n"/>
      <c r="AI187" s="429" t="n"/>
      <c r="AJ187" s="430" t="n"/>
      <c r="AK187" s="228" t="n"/>
      <c r="AL187" s="431" t="n"/>
      <c r="AM187" s="93" t="n"/>
      <c r="AN187" s="93" t="n"/>
      <c r="AO187" s="430" t="n"/>
      <c r="AP187" s="93" t="n"/>
      <c r="AQ187" s="93" t="n"/>
      <c r="AR187" s="93" t="n"/>
      <c r="AS187" s="93" t="n"/>
      <c r="AT187" s="430" t="n"/>
      <c r="AU187" s="430" t="n"/>
      <c r="AV187" s="430" t="n"/>
      <c r="AW187" s="430" t="n"/>
      <c r="AX187" s="79" t="n"/>
    </row>
    <row r="188" customFormat="1" s="5">
      <c r="A188" s="228" t="inlineStr">
        <is>
          <t>Shares Outstanding - WAB</t>
        </is>
      </c>
      <c r="B188" s="376" t="n"/>
      <c r="C188" s="343" t="n">
        <v>32.099</v>
      </c>
      <c r="D188" s="343" t="n">
        <v>33.591</v>
      </c>
      <c r="E188" s="343" t="n">
        <v>36.263</v>
      </c>
      <c r="F188" s="343" t="n">
        <v>41.308</v>
      </c>
      <c r="G188" s="228" t="n">
        <v>42.901</v>
      </c>
      <c r="H188" s="228" t="n">
        <v>43.284</v>
      </c>
      <c r="I188" s="228" t="n">
        <v>43.579</v>
      </c>
      <c r="J188" s="228" t="n">
        <v>43.907</v>
      </c>
      <c r="K188" s="343" t="n">
        <v>43.421</v>
      </c>
      <c r="L188" s="228" t="n">
        <v>44.276</v>
      </c>
      <c r="M188" s="228" t="n">
        <v>44.671</v>
      </c>
      <c r="N188" s="228" t="n">
        <v>44.984</v>
      </c>
      <c r="O188" s="228" t="n">
        <v>45.38</v>
      </c>
      <c r="P188" s="343" t="n">
        <v>44.831</v>
      </c>
      <c r="Q188" s="228" t="n">
        <v>45.691</v>
      </c>
      <c r="R188" s="228" t="n">
        <v>46.191</v>
      </c>
      <c r="S188" s="228" t="n">
        <v>46.583</v>
      </c>
      <c r="T188" s="228" t="n">
        <v>46.978</v>
      </c>
      <c r="U188" s="343" t="n">
        <v>46.365</v>
      </c>
      <c r="V188" s="228" t="n">
        <v>47.358</v>
      </c>
      <c r="W188" s="228" t="n">
        <v>47.9</v>
      </c>
      <c r="X188" s="228" t="n">
        <v>48.385</v>
      </c>
      <c r="Y188" s="228" t="n">
        <v>48.926</v>
      </c>
      <c r="Z188" s="344" t="n">
        <v>48.145</v>
      </c>
      <c r="AA188" s="228" t="n">
        <v>49.337</v>
      </c>
      <c r="AB188" s="228" t="n">
        <v>50.056</v>
      </c>
      <c r="AC188" s="228" t="n">
        <v>50.587</v>
      </c>
      <c r="AD188" s="228" t="n">
        <v>51.234</v>
      </c>
      <c r="AE188" s="344" t="n">
        <v>50.31</v>
      </c>
      <c r="AF188" s="228" t="n">
        <v>51.819</v>
      </c>
      <c r="AG188" s="228" t="n">
        <v>52.615</v>
      </c>
      <c r="AH188" s="228" t="n">
        <v>53.232</v>
      </c>
      <c r="AI188" s="228" t="n">
        <v>53.761</v>
      </c>
      <c r="AJ188" s="344" t="n">
        <v>52.863</v>
      </c>
      <c r="AK188" s="228" t="n">
        <v>54.227</v>
      </c>
      <c r="AL188" s="322" t="n">
        <v>54.707</v>
      </c>
      <c r="AM188" s="93" t="n"/>
      <c r="AN188" s="93" t="n"/>
      <c r="AO188" s="344" t="n"/>
      <c r="AP188" s="93" t="n"/>
      <c r="AQ188" s="93" t="n"/>
      <c r="AR188" s="93" t="n"/>
      <c r="AS188" s="93" t="n"/>
      <c r="AT188" s="344" t="n"/>
      <c r="AU188" s="344" t="n"/>
      <c r="AV188" s="344" t="n"/>
      <c r="AW188" s="344" t="n"/>
      <c r="AX188" s="228" t="n"/>
    </row>
    <row r="189" customFormat="1" s="5">
      <c r="A189" s="228" t="inlineStr">
        <is>
          <t>Shares Outstanding - WAD</t>
        </is>
      </c>
      <c r="B189" s="376" t="n"/>
      <c r="C189" s="343" t="n">
        <v>33.4</v>
      </c>
      <c r="D189" s="343" t="n">
        <v>35.483</v>
      </c>
      <c r="E189" s="343" t="n">
        <v>38.562</v>
      </c>
      <c r="F189" s="343" t="n">
        <v>43.901</v>
      </c>
      <c r="G189" s="228" t="n">
        <v>42.901</v>
      </c>
      <c r="H189" s="228" t="n">
        <v>43.284</v>
      </c>
      <c r="I189" s="228" t="n">
        <v>43.579</v>
      </c>
      <c r="J189" s="228" t="n">
        <v>43.907</v>
      </c>
      <c r="K189" s="343" t="n">
        <v>43.421</v>
      </c>
      <c r="L189" s="228" t="n">
        <v>44.276</v>
      </c>
      <c r="M189" s="228" t="n">
        <v>44.671</v>
      </c>
      <c r="N189" s="228" t="n">
        <v>46.229</v>
      </c>
      <c r="O189" s="228" t="n">
        <v>45.38</v>
      </c>
      <c r="P189" s="343" t="n">
        <v>44.831</v>
      </c>
      <c r="Q189" s="228" t="n">
        <v>47.034</v>
      </c>
      <c r="R189" s="228" t="n">
        <v>47.568</v>
      </c>
      <c r="S189" s="228" t="n">
        <v>47.725</v>
      </c>
      <c r="T189" s="228" t="n">
        <v>48.221</v>
      </c>
      <c r="U189" s="343" t="n">
        <v>47.778</v>
      </c>
      <c r="V189" s="228" t="n">
        <v>47.358</v>
      </c>
      <c r="W189" s="228" t="n">
        <v>49.194</v>
      </c>
      <c r="X189" s="228" t="n">
        <v>49.494</v>
      </c>
      <c r="Y189" s="228" t="n">
        <v>49.971</v>
      </c>
      <c r="Z189" s="344" t="n">
        <v>49.526</v>
      </c>
      <c r="AA189" s="228" t="n">
        <v>49.337</v>
      </c>
      <c r="AB189" s="228" t="n">
        <v>50.056</v>
      </c>
      <c r="AC189" s="228" t="n">
        <v>51.575</v>
      </c>
      <c r="AD189" s="228" t="n">
        <v>51.234</v>
      </c>
      <c r="AE189" s="344" t="n">
        <v>50.31</v>
      </c>
      <c r="AF189" s="228" t="n">
        <v>53.646</v>
      </c>
      <c r="AG189" s="228" t="n">
        <v>54.466</v>
      </c>
      <c r="AH189" s="228" t="n">
        <v>54.612</v>
      </c>
      <c r="AI189" s="228" t="n">
        <v>55.147</v>
      </c>
      <c r="AJ189" s="344" t="n">
        <v>54.646</v>
      </c>
      <c r="AK189" s="228" t="n">
        <v>55.794</v>
      </c>
      <c r="AL189" s="322" t="n">
        <v>56.48</v>
      </c>
      <c r="AM189" s="93" t="n"/>
      <c r="AN189" s="93" t="n"/>
      <c r="AO189" s="344" t="n"/>
      <c r="AP189" s="93" t="n"/>
      <c r="AQ189" s="93" t="n"/>
      <c r="AR189" s="93" t="n"/>
      <c r="AS189" s="93" t="n"/>
      <c r="AT189" s="344" t="n"/>
      <c r="AU189" s="344" t="n"/>
      <c r="AV189" s="344" t="n"/>
      <c r="AW189" s="344" t="n"/>
      <c r="AX189" s="228" t="n"/>
    </row>
    <row r="190" customFormat="1" s="5">
      <c r="A190" s="228" t="inlineStr">
        <is>
          <t>Adjusted Shares Outstanding - WAD</t>
        </is>
      </c>
      <c r="B190" s="376" t="n"/>
      <c r="C190" s="343" t="n">
        <v>35.381</v>
      </c>
      <c r="D190" s="343" t="n">
        <v>37.233</v>
      </c>
      <c r="E190" s="343" t="n">
        <v>39.3</v>
      </c>
      <c r="F190" s="343" t="n">
        <v>43.196</v>
      </c>
      <c r="G190" s="228" t="n">
        <v>44.803</v>
      </c>
      <c r="H190" s="228" t="n">
        <v>45.181</v>
      </c>
      <c r="I190" s="228" t="n">
        <v>45.49</v>
      </c>
      <c r="J190" s="228" t="n">
        <v>45.82</v>
      </c>
      <c r="K190" s="343" t="n">
        <v>45.334</v>
      </c>
      <c r="L190" s="228" t="n">
        <v>46.186</v>
      </c>
      <c r="M190" s="228" t="n">
        <v>46.522</v>
      </c>
      <c r="N190" s="228" t="n">
        <v>46.863</v>
      </c>
      <c r="O190" s="228" t="n">
        <v>47.217</v>
      </c>
      <c r="P190" s="343" t="n">
        <v>46.668</v>
      </c>
      <c r="Q190" s="228" t="n">
        <v>47.488</v>
      </c>
      <c r="R190" s="228" t="n">
        <v>47.827</v>
      </c>
      <c r="S190" s="228" t="n">
        <v>48.227</v>
      </c>
      <c r="T190" s="228" t="n">
        <v>48.524</v>
      </c>
      <c r="U190" s="343" t="n">
        <v>47.911</v>
      </c>
      <c r="V190" s="228" t="n">
        <v>48.808</v>
      </c>
      <c r="W190" s="228" t="n">
        <v>49.26</v>
      </c>
      <c r="X190" s="228" t="n">
        <v>49.65</v>
      </c>
      <c r="Y190" s="228" t="n">
        <v>50.143</v>
      </c>
      <c r="Z190" s="344" t="n">
        <v>49.362</v>
      </c>
      <c r="AA190" s="228" t="n">
        <v>50.453</v>
      </c>
      <c r="AB190" s="228" t="n">
        <v>51.125</v>
      </c>
      <c r="AC190" s="228" t="n">
        <v>51.617</v>
      </c>
      <c r="AD190" s="228" t="n">
        <v>52.069</v>
      </c>
      <c r="AE190" s="344" t="n">
        <v>51.145</v>
      </c>
      <c r="AF190" s="228" t="n">
        <v>52.64</v>
      </c>
      <c r="AG190" s="228" t="n">
        <v>53.215</v>
      </c>
      <c r="AH190" s="228" t="n">
        <v>53.715</v>
      </c>
      <c r="AI190" s="228" t="n">
        <v>54.121</v>
      </c>
      <c r="AJ190" s="344" t="n">
        <v>53.223</v>
      </c>
      <c r="AK190" s="228" t="n">
        <v>54.545</v>
      </c>
      <c r="AL190" s="322" t="n">
        <v>55</v>
      </c>
      <c r="AM190" s="93" t="n"/>
      <c r="AN190" s="93" t="n"/>
      <c r="AO190" s="344" t="n"/>
      <c r="AP190" s="93" t="n"/>
      <c r="AQ190" s="93" t="n"/>
      <c r="AR190" s="93" t="n"/>
      <c r="AS190" s="93" t="n"/>
      <c r="AT190" s="344" t="n"/>
      <c r="AU190" s="344" t="n"/>
      <c r="AV190" s="344" t="n"/>
      <c r="AW190" s="344" t="n"/>
      <c r="AX190" s="228" t="n"/>
    </row>
    <row r="191" customFormat="1" s="5">
      <c r="A191" s="376" t="n"/>
      <c r="B191" s="376" t="n"/>
      <c r="C191" s="343" t="n"/>
      <c r="D191" s="343" t="n"/>
      <c r="E191" s="343" t="n"/>
      <c r="F191" s="343" t="n"/>
      <c r="G191" s="228" t="n"/>
      <c r="H191" s="228" t="n"/>
      <c r="I191" s="228" t="n"/>
      <c r="J191" s="228" t="n"/>
      <c r="K191" s="343" t="n"/>
      <c r="L191" s="228" t="n"/>
      <c r="M191" s="228" t="n"/>
      <c r="N191" s="228" t="n"/>
      <c r="O191" s="228" t="n"/>
      <c r="P191" s="343" t="n"/>
      <c r="Q191" s="228" t="n"/>
      <c r="R191" s="228" t="n"/>
      <c r="S191" s="228" t="n"/>
      <c r="T191" s="228" t="n"/>
      <c r="U191" s="343" t="n"/>
      <c r="V191" s="228" t="n"/>
      <c r="W191" s="228" t="n"/>
      <c r="X191" s="228" t="n"/>
      <c r="Y191" s="228" t="n"/>
      <c r="Z191" s="343" t="n"/>
      <c r="AA191" s="228" t="n"/>
      <c r="AB191" s="228" t="n"/>
      <c r="AC191" s="228" t="n"/>
      <c r="AD191" s="228" t="n"/>
      <c r="AE191" s="343" t="n"/>
      <c r="AF191" s="228" t="n"/>
      <c r="AG191" s="228" t="n"/>
      <c r="AH191" s="228" t="n"/>
      <c r="AI191" s="228" t="n"/>
      <c r="AJ191" s="343" t="n"/>
      <c r="AK191" s="228" t="n"/>
      <c r="AL191" s="322" t="n"/>
      <c r="AM191" s="228" t="n"/>
      <c r="AN191" s="228" t="n"/>
      <c r="AO191" s="343" t="n"/>
      <c r="AP191" s="228" t="n"/>
      <c r="AQ191" s="228" t="n"/>
      <c r="AR191" s="228" t="n"/>
      <c r="AS191" s="228" t="n"/>
      <c r="AT191" s="343" t="n"/>
      <c r="AU191" s="343" t="n"/>
      <c r="AV191" s="343" t="n"/>
      <c r="AW191" s="343" t="n"/>
      <c r="AX191" s="228" t="n"/>
    </row>
    <row r="192" customFormat="1" s="9">
      <c r="A192" s="45" t="inlineStr">
        <is>
          <t>Cash Flow Summary</t>
        </is>
      </c>
      <c r="B192" s="45" t="n"/>
      <c r="C192" s="45" t="n"/>
      <c r="D192" s="45" t="n"/>
      <c r="E192" s="45" t="n"/>
      <c r="F192" s="45" t="n"/>
      <c r="G192" s="45" t="n"/>
      <c r="H192" s="45" t="n"/>
      <c r="I192" s="45" t="n"/>
      <c r="J192" s="45" t="n"/>
      <c r="K192" s="45" t="n"/>
      <c r="L192" s="45" t="n"/>
      <c r="M192" s="45" t="n"/>
      <c r="N192" s="45" t="n"/>
      <c r="O192" s="45" t="n"/>
      <c r="P192" s="45" t="n"/>
      <c r="Q192" s="45" t="n"/>
      <c r="R192" s="45" t="n"/>
      <c r="S192" s="45" t="n"/>
      <c r="T192" s="45" t="n"/>
      <c r="U192" s="45" t="n"/>
      <c r="V192" s="45" t="n"/>
      <c r="W192" s="45" t="n"/>
      <c r="X192" s="45" t="n"/>
      <c r="Y192" s="45" t="n"/>
      <c r="Z192" s="45" t="n"/>
      <c r="AA192" s="45" t="n"/>
      <c r="AB192" s="45" t="n"/>
      <c r="AC192" s="45" t="n"/>
      <c r="AD192" s="45" t="n"/>
      <c r="AE192" s="45" t="n"/>
      <c r="AF192" s="45" t="n"/>
      <c r="AG192" s="45" t="n"/>
      <c r="AH192" s="45" t="n"/>
      <c r="AI192" s="45" t="n"/>
      <c r="AJ192" s="45" t="n"/>
      <c r="AK192" s="45" t="n"/>
      <c r="AL192" s="306" t="n"/>
      <c r="AM192" s="45" t="n"/>
      <c r="AN192" s="45" t="n"/>
      <c r="AO192" s="45" t="n"/>
      <c r="AP192" s="45" t="n"/>
      <c r="AQ192" s="45" t="n"/>
      <c r="AR192" s="45" t="n"/>
      <c r="AS192" s="45" t="n"/>
      <c r="AT192" s="45" t="n"/>
      <c r="AU192" s="45" t="n"/>
      <c r="AV192" s="45" t="n"/>
      <c r="AW192" s="45" t="n"/>
      <c r="AX192" s="22" t="n"/>
    </row>
    <row r="193" customFormat="1" s="5">
      <c r="A193" s="228" t="inlineStr">
        <is>
          <t>Operating Cash Flow before WC</t>
        </is>
      </c>
      <c r="B193" s="376" t="n"/>
      <c r="C193" s="343">
        <f>C297</f>
        <v/>
      </c>
      <c r="D193" s="343">
        <f>D297</f>
        <v/>
      </c>
      <c r="E193" s="343">
        <f>E297</f>
        <v/>
      </c>
      <c r="F193" s="343">
        <f>F297</f>
        <v/>
      </c>
      <c r="G193" s="228">
        <f>G297</f>
        <v/>
      </c>
      <c r="H193" s="228">
        <f>H297</f>
        <v/>
      </c>
      <c r="I193" s="228">
        <f>I297</f>
        <v/>
      </c>
      <c r="J193" s="228">
        <f>J297</f>
        <v/>
      </c>
      <c r="K193" s="343">
        <f>K297</f>
        <v/>
      </c>
      <c r="L193" s="228">
        <f>L297</f>
        <v/>
      </c>
      <c r="M193" s="228">
        <f>M297</f>
        <v/>
      </c>
      <c r="N193" s="228">
        <f>N297</f>
        <v/>
      </c>
      <c r="O193" s="228">
        <f>O297</f>
        <v/>
      </c>
      <c r="P193" s="343">
        <f>P297</f>
        <v/>
      </c>
      <c r="Q193" s="228">
        <f>Q297</f>
        <v/>
      </c>
      <c r="R193" s="228">
        <f>R297</f>
        <v/>
      </c>
      <c r="S193" s="228">
        <f>S297</f>
        <v/>
      </c>
      <c r="T193" s="228">
        <f>T297</f>
        <v/>
      </c>
      <c r="U193" s="343">
        <f>U297</f>
        <v/>
      </c>
      <c r="V193" s="228">
        <f>V297</f>
        <v/>
      </c>
      <c r="W193" s="228">
        <f>W297</f>
        <v/>
      </c>
      <c r="X193" s="228">
        <f>X297</f>
        <v/>
      </c>
      <c r="Y193" s="228">
        <f>Y297</f>
        <v/>
      </c>
      <c r="Z193" s="343">
        <f>Z297</f>
        <v/>
      </c>
      <c r="AA193" s="228">
        <f>AA297</f>
        <v/>
      </c>
      <c r="AB193" s="228">
        <f>AB297</f>
        <v/>
      </c>
      <c r="AC193" s="228">
        <f>AC297</f>
        <v/>
      </c>
      <c r="AD193" s="228">
        <f>AD297</f>
        <v/>
      </c>
      <c r="AE193" s="343">
        <f>AE297</f>
        <v/>
      </c>
      <c r="AF193" s="228">
        <f>AF297</f>
        <v/>
      </c>
      <c r="AG193" s="228">
        <f>AG297</f>
        <v/>
      </c>
      <c r="AH193" s="228">
        <f>AH297</f>
        <v/>
      </c>
      <c r="AI193" s="228">
        <f>AI297</f>
        <v/>
      </c>
      <c r="AJ193" s="343">
        <f>AJ297</f>
        <v/>
      </c>
      <c r="AK193" s="228">
        <f>AK297</f>
        <v/>
      </c>
      <c r="AL193" s="322">
        <f>AL297</f>
        <v/>
      </c>
      <c r="AM193" s="93" t="n"/>
      <c r="AN193" s="93" t="n"/>
      <c r="AO193" s="344" t="n"/>
      <c r="AP193" s="93" t="n"/>
      <c r="AQ193" s="93" t="n"/>
      <c r="AR193" s="93" t="n"/>
      <c r="AS193" s="93" t="n"/>
      <c r="AT193" s="344" t="n"/>
      <c r="AU193" s="344" t="n"/>
      <c r="AV193" s="344" t="n"/>
      <c r="AW193" s="344" t="n"/>
      <c r="AX193" s="228" t="n"/>
    </row>
    <row r="194" customFormat="1" s="18">
      <c r="A194" s="39" t="inlineStr">
        <is>
          <t>Cash Flow Per Diluted Share</t>
        </is>
      </c>
      <c r="B194" s="105" t="n"/>
      <c r="C194" s="463">
        <f>C193/C190</f>
        <v/>
      </c>
      <c r="D194" s="463">
        <f>D193/D190</f>
        <v/>
      </c>
      <c r="E194" s="464">
        <f>E193/E190</f>
        <v/>
      </c>
      <c r="F194" s="464">
        <f>F193/F190</f>
        <v/>
      </c>
      <c r="G194" s="465">
        <f>G193/G190</f>
        <v/>
      </c>
      <c r="H194" s="465">
        <f>H193/H190</f>
        <v/>
      </c>
      <c r="I194" s="465">
        <f>I193/I190</f>
        <v/>
      </c>
      <c r="J194" s="465">
        <f>J193/J190</f>
        <v/>
      </c>
      <c r="K194" s="464">
        <f>K193/K190</f>
        <v/>
      </c>
      <c r="L194" s="465">
        <f>L193/L190</f>
        <v/>
      </c>
      <c r="M194" s="465">
        <f>M193/M190</f>
        <v/>
      </c>
      <c r="N194" s="465">
        <f>N193/N190</f>
        <v/>
      </c>
      <c r="O194" s="465">
        <f>O193/O190</f>
        <v/>
      </c>
      <c r="P194" s="464">
        <f>P193/P190</f>
        <v/>
      </c>
      <c r="Q194" s="465">
        <f>Q193/Q190</f>
        <v/>
      </c>
      <c r="R194" s="465">
        <f>R193/R190</f>
        <v/>
      </c>
      <c r="S194" s="465">
        <f>S193/S190</f>
        <v/>
      </c>
      <c r="T194" s="465">
        <f>T193/T190</f>
        <v/>
      </c>
      <c r="U194" s="464">
        <f>U193/U190</f>
        <v/>
      </c>
      <c r="V194" s="465">
        <f>V193/V190</f>
        <v/>
      </c>
      <c r="W194" s="465">
        <f>W193/W190</f>
        <v/>
      </c>
      <c r="X194" s="465">
        <f>X193/X190</f>
        <v/>
      </c>
      <c r="Y194" s="465">
        <f>Y193/Y190</f>
        <v/>
      </c>
      <c r="Z194" s="464">
        <f>Z193/Z190</f>
        <v/>
      </c>
      <c r="AA194" s="465">
        <f>AA193/AA190</f>
        <v/>
      </c>
      <c r="AB194" s="465">
        <f>AB193/AB190</f>
        <v/>
      </c>
      <c r="AC194" s="465">
        <f>AC193/AC190</f>
        <v/>
      </c>
      <c r="AD194" s="465">
        <f>AD193/AD190</f>
        <v/>
      </c>
      <c r="AE194" s="464">
        <f>AE193/AE190</f>
        <v/>
      </c>
      <c r="AF194" s="465">
        <f>AF193/AF190</f>
        <v/>
      </c>
      <c r="AG194" s="465">
        <f>AG193/AG190</f>
        <v/>
      </c>
      <c r="AH194" s="465">
        <f>AH193/AH190</f>
        <v/>
      </c>
      <c r="AI194" s="465">
        <f>AI193/AI190</f>
        <v/>
      </c>
      <c r="AJ194" s="464">
        <f>AJ193/AJ190</f>
        <v/>
      </c>
      <c r="AK194" s="465">
        <f>AK193/AK190</f>
        <v/>
      </c>
      <c r="AL194" s="466">
        <f>AL193/AL190</f>
        <v/>
      </c>
      <c r="AM194" s="94" t="n"/>
      <c r="AN194" s="94" t="n"/>
      <c r="AO194" s="53" t="n"/>
      <c r="AP194" s="94" t="n"/>
      <c r="AQ194" s="94" t="n"/>
      <c r="AR194" s="94" t="n"/>
      <c r="AS194" s="94" t="n"/>
      <c r="AT194" s="53" t="n"/>
      <c r="AU194" s="53" t="n"/>
      <c r="AV194" s="53" t="n"/>
      <c r="AW194" s="53" t="n"/>
      <c r="AX194" s="120" t="n"/>
    </row>
    <row r="195" customFormat="1" s="80">
      <c r="A195" s="78">
        <f>CONCATENATE("Consensus Estimates - ",IFERROR(LEFT(A194,FIND("(",A194)-1),A194))</f>
        <v/>
      </c>
      <c r="B195" s="106" t="n"/>
      <c r="C195" s="296" t="n"/>
      <c r="D195" s="296" t="n"/>
      <c r="E195" s="296" t="n"/>
      <c r="F195" s="296" t="n"/>
      <c r="G195" s="79" t="n"/>
      <c r="H195" s="79" t="n"/>
      <c r="I195" s="79" t="n"/>
      <c r="J195" s="79" t="n"/>
      <c r="K195" s="296" t="n"/>
      <c r="L195" s="79" t="n"/>
      <c r="M195" s="79" t="n"/>
      <c r="N195" s="79" t="n"/>
      <c r="O195" s="79" t="n"/>
      <c r="P195" s="296" t="n"/>
      <c r="Q195" s="79" t="n"/>
      <c r="R195" s="79" t="n"/>
      <c r="S195" s="79" t="n"/>
      <c r="T195" s="79" t="n"/>
      <c r="U195" s="296" t="n"/>
      <c r="V195" s="79" t="n"/>
      <c r="W195" s="297" t="n"/>
      <c r="X195" s="297" t="n"/>
      <c r="Y195" s="297" t="n"/>
      <c r="Z195" s="52" t="n"/>
      <c r="AA195" s="408" t="n"/>
      <c r="AB195" s="297" t="n"/>
      <c r="AC195" s="297" t="n"/>
      <c r="AD195" s="297" t="n"/>
      <c r="AE195" s="52" t="n"/>
      <c r="AF195" s="408" t="n"/>
      <c r="AG195" s="297" t="n"/>
      <c r="AH195" s="297" t="n"/>
      <c r="AI195" s="297" t="n"/>
      <c r="AJ195" s="52" t="n"/>
      <c r="AK195" s="408" t="n"/>
      <c r="AL195" s="467" t="n"/>
      <c r="AM195" s="79" t="n"/>
      <c r="AN195" s="79" t="n"/>
      <c r="AO195" s="52" t="n"/>
      <c r="AP195" s="79" t="n"/>
      <c r="AQ195" s="79" t="n"/>
      <c r="AR195" s="79" t="n"/>
      <c r="AS195" s="79" t="n"/>
      <c r="AT195" s="52" t="n"/>
      <c r="AU195" s="54" t="n"/>
      <c r="AV195" s="54" t="n"/>
      <c r="AW195" s="54" t="n"/>
      <c r="AX195" s="79" t="n"/>
    </row>
    <row r="196" customFormat="1" s="9">
      <c r="A196" s="468" t="inlineStr">
        <is>
          <t>Capex</t>
        </is>
      </c>
      <c r="B196" s="103" t="n"/>
      <c r="C196" s="4">
        <f>C311+C313</f>
        <v/>
      </c>
      <c r="D196" s="4">
        <f>D311+D313</f>
        <v/>
      </c>
      <c r="E196" s="4">
        <f>E311+E313</f>
        <v/>
      </c>
      <c r="F196" s="4">
        <f>F311+F313</f>
        <v/>
      </c>
      <c r="G196" s="22">
        <f>G311+G313</f>
        <v/>
      </c>
      <c r="H196" s="22">
        <f>H311+H313</f>
        <v/>
      </c>
      <c r="I196" s="22">
        <f>I311+I313</f>
        <v/>
      </c>
      <c r="J196" s="22">
        <f>J311+J313</f>
        <v/>
      </c>
      <c r="K196" s="4">
        <f>K311+K313</f>
        <v/>
      </c>
      <c r="L196" s="22">
        <f>L311+L313</f>
        <v/>
      </c>
      <c r="M196" s="22">
        <f>M311+M313</f>
        <v/>
      </c>
      <c r="N196" s="22">
        <f>N311+N313</f>
        <v/>
      </c>
      <c r="O196" s="22">
        <f>O311+O313</f>
        <v/>
      </c>
      <c r="P196" s="4">
        <f>P311+P313</f>
        <v/>
      </c>
      <c r="Q196" s="22">
        <f>Q311+Q313</f>
        <v/>
      </c>
      <c r="R196" s="22">
        <f>R311+R313</f>
        <v/>
      </c>
      <c r="S196" s="22">
        <f>S311+S313</f>
        <v/>
      </c>
      <c r="T196" s="22">
        <f>T311+T313</f>
        <v/>
      </c>
      <c r="U196" s="4">
        <f>U311+U313</f>
        <v/>
      </c>
      <c r="V196" s="22">
        <f>V311+V313</f>
        <v/>
      </c>
      <c r="W196" s="22">
        <f>W311+W313</f>
        <v/>
      </c>
      <c r="X196" s="22">
        <f>X311+X313</f>
        <v/>
      </c>
      <c r="Y196" s="22">
        <f>Y311+Y313</f>
        <v/>
      </c>
      <c r="Z196" s="4">
        <f>Z311+Z313</f>
        <v/>
      </c>
      <c r="AA196" s="22">
        <f>AA311+AA313</f>
        <v/>
      </c>
      <c r="AB196" s="22">
        <f>AB311+AB313</f>
        <v/>
      </c>
      <c r="AC196" s="22">
        <f>AC311+AC313</f>
        <v/>
      </c>
      <c r="AD196" s="22">
        <f>AD311+AD313</f>
        <v/>
      </c>
      <c r="AE196" s="4">
        <f>AE311+AE313</f>
        <v/>
      </c>
      <c r="AF196" s="22">
        <f>AF311+AF313</f>
        <v/>
      </c>
      <c r="AG196" s="22">
        <f>AG311+AG313</f>
        <v/>
      </c>
      <c r="AH196" s="22">
        <f>AH311+AH313</f>
        <v/>
      </c>
      <c r="AI196" s="22">
        <f>AI311+AI313</f>
        <v/>
      </c>
      <c r="AJ196" s="4">
        <f>AJ311+AJ313</f>
        <v/>
      </c>
      <c r="AK196" s="22">
        <f>AK311+AK313</f>
        <v/>
      </c>
      <c r="AL196" s="308">
        <f>AL311+AL313</f>
        <v/>
      </c>
      <c r="AM196" s="72" t="n"/>
      <c r="AN196" s="72" t="n"/>
      <c r="AO196" s="117" t="n"/>
      <c r="AP196" s="72" t="n"/>
      <c r="AQ196" s="72" t="n"/>
      <c r="AR196" s="72" t="n"/>
      <c r="AS196" s="72" t="n"/>
      <c r="AT196" s="117" t="n"/>
      <c r="AU196" s="8" t="n"/>
      <c r="AV196" s="8" t="n"/>
      <c r="AW196" s="8" t="n"/>
      <c r="AX196" s="22" t="n"/>
    </row>
    <row r="197" customFormat="1" s="116">
      <c r="A197" s="111">
        <f>CONCATENATE("Consensus Estimates - ",IFERROR(LEFT(A196,FIND("(",A196)-1),A196))</f>
        <v/>
      </c>
      <c r="B197" s="112" t="n"/>
      <c r="C197" s="389" t="n"/>
      <c r="D197" s="389" t="n"/>
      <c r="E197" s="389" t="n"/>
      <c r="F197" s="389" t="n"/>
      <c r="G197" s="113" t="n"/>
      <c r="H197" s="113" t="n"/>
      <c r="I197" s="113" t="n"/>
      <c r="J197" s="113" t="n"/>
      <c r="K197" s="389" t="n"/>
      <c r="L197" s="113" t="n"/>
      <c r="M197" s="113" t="n"/>
      <c r="N197" s="113" t="n"/>
      <c r="O197" s="113" t="n"/>
      <c r="P197" s="389" t="n"/>
      <c r="Q197" s="113" t="n"/>
      <c r="R197" s="113" t="n"/>
      <c r="S197" s="113" t="n"/>
      <c r="T197" s="113" t="n"/>
      <c r="U197" s="389" t="n"/>
      <c r="V197" s="113" t="n"/>
      <c r="W197" s="114" t="n"/>
      <c r="X197" s="114" t="n"/>
      <c r="Y197" s="114" t="n"/>
      <c r="Z197" s="115" t="n"/>
      <c r="AA197" s="24" t="n"/>
      <c r="AB197" s="114" t="n"/>
      <c r="AC197" s="114" t="n"/>
      <c r="AD197" s="114" t="n"/>
      <c r="AE197" s="115" t="n"/>
      <c r="AF197" s="24" t="n"/>
      <c r="AG197" s="114" t="n"/>
      <c r="AH197" s="114" t="n"/>
      <c r="AI197" s="114" t="n"/>
      <c r="AJ197" s="115" t="n"/>
      <c r="AK197" s="24" t="n"/>
      <c r="AL197" s="390" t="n"/>
      <c r="AM197" s="113" t="n"/>
      <c r="AN197" s="113" t="n"/>
      <c r="AO197" s="115" t="n"/>
      <c r="AP197" s="113" t="n"/>
      <c r="AQ197" s="113" t="n"/>
      <c r="AR197" s="113" t="n"/>
      <c r="AS197" s="113" t="n"/>
      <c r="AT197" s="115" t="n"/>
      <c r="AU197" s="469" t="n"/>
      <c r="AV197" s="469" t="n"/>
      <c r="AW197" s="469" t="n"/>
      <c r="AX197" s="113" t="n"/>
    </row>
    <row r="198" customFormat="1" s="5">
      <c r="A198" s="228" t="inlineStr">
        <is>
          <t>Acquisitions</t>
        </is>
      </c>
      <c r="B198" s="376" t="n"/>
      <c r="C198" s="343">
        <f>C316</f>
        <v/>
      </c>
      <c r="D198" s="343">
        <f>D316</f>
        <v/>
      </c>
      <c r="E198" s="343">
        <f>E316</f>
        <v/>
      </c>
      <c r="F198" s="343">
        <f>F316</f>
        <v/>
      </c>
      <c r="G198" s="228">
        <f>G316</f>
        <v/>
      </c>
      <c r="H198" s="228">
        <f>H316</f>
        <v/>
      </c>
      <c r="I198" s="228">
        <f>I316</f>
        <v/>
      </c>
      <c r="J198" s="228">
        <f>J316</f>
        <v/>
      </c>
      <c r="K198" s="343">
        <f>K316</f>
        <v/>
      </c>
      <c r="L198" s="228">
        <f>L316</f>
        <v/>
      </c>
      <c r="M198" s="228">
        <f>M316</f>
        <v/>
      </c>
      <c r="N198" s="228">
        <f>N316</f>
        <v/>
      </c>
      <c r="O198" s="228">
        <f>O316</f>
        <v/>
      </c>
      <c r="P198" s="343">
        <f>P316</f>
        <v/>
      </c>
      <c r="Q198" s="228">
        <f>Q316</f>
        <v/>
      </c>
      <c r="R198" s="228">
        <f>R316</f>
        <v/>
      </c>
      <c r="S198" s="228">
        <f>S316</f>
        <v/>
      </c>
      <c r="T198" s="228">
        <f>T316</f>
        <v/>
      </c>
      <c r="U198" s="343">
        <f>U316</f>
        <v/>
      </c>
      <c r="V198" s="228">
        <f>V316</f>
        <v/>
      </c>
      <c r="W198" s="228">
        <f>W316</f>
        <v/>
      </c>
      <c r="X198" s="228">
        <f>X316</f>
        <v/>
      </c>
      <c r="Y198" s="228">
        <f>Y316</f>
        <v/>
      </c>
      <c r="Z198" s="343">
        <f>Z316</f>
        <v/>
      </c>
      <c r="AA198" s="228">
        <f>AA316</f>
        <v/>
      </c>
      <c r="AB198" s="228">
        <f>AB316</f>
        <v/>
      </c>
      <c r="AC198" s="228">
        <f>AC316</f>
        <v/>
      </c>
      <c r="AD198" s="228">
        <f>AD316</f>
        <v/>
      </c>
      <c r="AE198" s="343">
        <f>AE316</f>
        <v/>
      </c>
      <c r="AF198" s="228">
        <f>AF316</f>
        <v/>
      </c>
      <c r="AG198" s="228">
        <f>AG316</f>
        <v/>
      </c>
      <c r="AH198" s="228">
        <f>AH316</f>
        <v/>
      </c>
      <c r="AI198" s="228">
        <f>AI316</f>
        <v/>
      </c>
      <c r="AJ198" s="343">
        <f>AJ316</f>
        <v/>
      </c>
      <c r="AK198" s="228">
        <f>AK316</f>
        <v/>
      </c>
      <c r="AL198" s="322">
        <f>AL316</f>
        <v/>
      </c>
      <c r="AM198" s="391" t="n"/>
      <c r="AN198" s="391" t="n"/>
      <c r="AO198" s="344" t="n"/>
      <c r="AP198" s="391" t="n"/>
      <c r="AQ198" s="391" t="n"/>
      <c r="AR198" s="391" t="n"/>
      <c r="AS198" s="391" t="n"/>
      <c r="AT198" s="344" t="n"/>
      <c r="AU198" s="392" t="n"/>
      <c r="AV198" s="392" t="n"/>
      <c r="AW198" s="392" t="n"/>
      <c r="AX198" s="228" t="n"/>
    </row>
    <row r="199" customFormat="1" s="5">
      <c r="A199" s="228" t="inlineStr">
        <is>
          <t>Divestiture</t>
        </is>
      </c>
      <c r="B199" s="376" t="n"/>
      <c r="C199" s="343">
        <f>C315+C309</f>
        <v/>
      </c>
      <c r="D199" s="343">
        <f>D315+D309</f>
        <v/>
      </c>
      <c r="E199" s="343">
        <f>E315+E309</f>
        <v/>
      </c>
      <c r="F199" s="343">
        <f>F315+F309</f>
        <v/>
      </c>
      <c r="G199" s="228">
        <f>G315+G309</f>
        <v/>
      </c>
      <c r="H199" s="228">
        <f>H315+H309</f>
        <v/>
      </c>
      <c r="I199" s="228">
        <f>I315+I309</f>
        <v/>
      </c>
      <c r="J199" s="228">
        <f>J315+J309</f>
        <v/>
      </c>
      <c r="K199" s="343">
        <f>K315+K309</f>
        <v/>
      </c>
      <c r="L199" s="228">
        <f>L315+L309</f>
        <v/>
      </c>
      <c r="M199" s="228">
        <f>M315+M309</f>
        <v/>
      </c>
      <c r="N199" s="228">
        <f>N315+N309</f>
        <v/>
      </c>
      <c r="O199" s="228">
        <f>O315+O309</f>
        <v/>
      </c>
      <c r="P199" s="343">
        <f>P315+P309</f>
        <v/>
      </c>
      <c r="Q199" s="228">
        <f>Q315+Q309</f>
        <v/>
      </c>
      <c r="R199" s="228">
        <f>R315+R309</f>
        <v/>
      </c>
      <c r="S199" s="228">
        <f>S315+S309</f>
        <v/>
      </c>
      <c r="T199" s="228">
        <f>T315+T309</f>
        <v/>
      </c>
      <c r="U199" s="343">
        <f>U315+U309</f>
        <v/>
      </c>
      <c r="V199" s="228">
        <f>V315+V309</f>
        <v/>
      </c>
      <c r="W199" s="228">
        <f>W315+W309</f>
        <v/>
      </c>
      <c r="X199" s="228">
        <f>X315+X309</f>
        <v/>
      </c>
      <c r="Y199" s="228">
        <f>Y315+Y309</f>
        <v/>
      </c>
      <c r="Z199" s="343">
        <f>Z315+Z309</f>
        <v/>
      </c>
      <c r="AA199" s="228">
        <f>AA315+AA309</f>
        <v/>
      </c>
      <c r="AB199" s="228">
        <f>AB315+AB309</f>
        <v/>
      </c>
      <c r="AC199" s="228">
        <f>AC315+AC309</f>
        <v/>
      </c>
      <c r="AD199" s="228">
        <f>AD315+AD309</f>
        <v/>
      </c>
      <c r="AE199" s="343">
        <f>AE315+AE309</f>
        <v/>
      </c>
      <c r="AF199" s="228">
        <f>AF315+AF309</f>
        <v/>
      </c>
      <c r="AG199" s="228">
        <f>AG315+AG309</f>
        <v/>
      </c>
      <c r="AH199" s="228">
        <f>AH315+AH309</f>
        <v/>
      </c>
      <c r="AI199" s="228">
        <f>AI315+AI309</f>
        <v/>
      </c>
      <c r="AJ199" s="343">
        <f>AJ315+AJ309</f>
        <v/>
      </c>
      <c r="AK199" s="228">
        <f>AK315+AK309</f>
        <v/>
      </c>
      <c r="AL199" s="322">
        <f>AL315+AL309</f>
        <v/>
      </c>
      <c r="AM199" s="391" t="n"/>
      <c r="AN199" s="391" t="n"/>
      <c r="AO199" s="343" t="n"/>
      <c r="AP199" s="391" t="n"/>
      <c r="AQ199" s="391" t="n"/>
      <c r="AR199" s="391" t="n"/>
      <c r="AS199" s="391" t="n"/>
      <c r="AT199" s="343" t="n"/>
      <c r="AU199" s="392" t="n"/>
      <c r="AV199" s="392" t="n"/>
      <c r="AW199" s="392" t="n"/>
      <c r="AX199" s="228" t="n"/>
    </row>
    <row r="200" customFormat="1" s="5">
      <c r="A200" s="93" t="inlineStr">
        <is>
          <t>Dividend Paid</t>
        </is>
      </c>
      <c r="B200" s="428" t="n"/>
      <c r="C200" s="344">
        <f>C326</f>
        <v/>
      </c>
      <c r="D200" s="344">
        <f>D326</f>
        <v/>
      </c>
      <c r="E200" s="344">
        <f>E326</f>
        <v/>
      </c>
      <c r="F200" s="344">
        <f>F326</f>
        <v/>
      </c>
      <c r="G200" s="93">
        <f>G326</f>
        <v/>
      </c>
      <c r="H200" s="93">
        <f>H326</f>
        <v/>
      </c>
      <c r="I200" s="93">
        <f>I326</f>
        <v/>
      </c>
      <c r="J200" s="93">
        <f>J326</f>
        <v/>
      </c>
      <c r="K200" s="344">
        <f>K326</f>
        <v/>
      </c>
      <c r="L200" s="93">
        <f>L326</f>
        <v/>
      </c>
      <c r="M200" s="93">
        <f>M326</f>
        <v/>
      </c>
      <c r="N200" s="93">
        <f>N326</f>
        <v/>
      </c>
      <c r="O200" s="93">
        <f>O326</f>
        <v/>
      </c>
      <c r="P200" s="344">
        <f>P326</f>
        <v/>
      </c>
      <c r="Q200" s="93">
        <f>Q326</f>
        <v/>
      </c>
      <c r="R200" s="93">
        <f>R326</f>
        <v/>
      </c>
      <c r="S200" s="93">
        <f>S326</f>
        <v/>
      </c>
      <c r="T200" s="93">
        <f>T326</f>
        <v/>
      </c>
      <c r="U200" s="344">
        <f>U326</f>
        <v/>
      </c>
      <c r="V200" s="93">
        <f>V326</f>
        <v/>
      </c>
      <c r="W200" s="93">
        <f>W326</f>
        <v/>
      </c>
      <c r="X200" s="93">
        <f>X326</f>
        <v/>
      </c>
      <c r="Y200" s="93">
        <f>Y326</f>
        <v/>
      </c>
      <c r="Z200" s="344">
        <f>Z326</f>
        <v/>
      </c>
      <c r="AA200" s="93">
        <f>AA326</f>
        <v/>
      </c>
      <c r="AB200" s="93">
        <f>AB326</f>
        <v/>
      </c>
      <c r="AC200" s="93">
        <f>AC326</f>
        <v/>
      </c>
      <c r="AD200" s="93">
        <f>AD326</f>
        <v/>
      </c>
      <c r="AE200" s="344">
        <f>AE326</f>
        <v/>
      </c>
      <c r="AF200" s="93">
        <f>AF326</f>
        <v/>
      </c>
      <c r="AG200" s="93">
        <f>AG326</f>
        <v/>
      </c>
      <c r="AH200" s="93">
        <f>AH326</f>
        <v/>
      </c>
      <c r="AI200" s="93">
        <f>AI326</f>
        <v/>
      </c>
      <c r="AJ200" s="344">
        <f>AJ326</f>
        <v/>
      </c>
      <c r="AK200" s="93">
        <f>AK326</f>
        <v/>
      </c>
      <c r="AL200" s="321">
        <f>AL326</f>
        <v/>
      </c>
      <c r="AM200" s="93" t="n"/>
      <c r="AN200" s="93" t="n"/>
      <c r="AO200" s="344" t="n"/>
      <c r="AP200" s="93" t="n"/>
      <c r="AQ200" s="93" t="n"/>
      <c r="AR200" s="93" t="n"/>
      <c r="AS200" s="93" t="n"/>
      <c r="AT200" s="344" t="n"/>
      <c r="AU200" s="344" t="n"/>
      <c r="AV200" s="344" t="n"/>
      <c r="AW200" s="344" t="n"/>
      <c r="AX200" s="228" t="n"/>
    </row>
    <row r="201" customFormat="1" s="475">
      <c r="A201" s="470" t="inlineStr">
        <is>
          <t>Dividend Per Share</t>
        </is>
      </c>
      <c r="B201" s="471" t="n"/>
      <c r="C201" s="472" t="n">
        <v>0</v>
      </c>
      <c r="D201" s="472" t="n">
        <v>0</v>
      </c>
      <c r="E201" s="472" t="n">
        <v>0</v>
      </c>
      <c r="F201" s="472" t="n">
        <v>0</v>
      </c>
      <c r="G201" s="473" t="n">
        <v>0</v>
      </c>
      <c r="H201" s="473" t="n">
        <v>0</v>
      </c>
      <c r="I201" s="473" t="n">
        <v>0</v>
      </c>
      <c r="J201" s="473" t="n">
        <v>0</v>
      </c>
      <c r="K201" s="472" t="n">
        <v>0</v>
      </c>
      <c r="L201" s="473" t="n">
        <v>0</v>
      </c>
      <c r="M201" s="473" t="n">
        <v>0</v>
      </c>
      <c r="N201" s="473" t="n">
        <v>0</v>
      </c>
      <c r="O201" s="473" t="n">
        <v>0</v>
      </c>
      <c r="P201" s="472" t="n">
        <v>0</v>
      </c>
      <c r="Q201" s="473" t="n">
        <v>0</v>
      </c>
      <c r="R201" s="473" t="n">
        <v>0</v>
      </c>
      <c r="S201" s="473" t="n">
        <v>0</v>
      </c>
      <c r="T201" s="473" t="n">
        <v>0</v>
      </c>
      <c r="U201" s="472" t="n">
        <v>0</v>
      </c>
      <c r="V201" s="473" t="n">
        <v>0</v>
      </c>
      <c r="W201" s="473" t="n">
        <v>0</v>
      </c>
      <c r="X201" s="473" t="n">
        <v>0</v>
      </c>
      <c r="Y201" s="473" t="n">
        <v>0</v>
      </c>
      <c r="Z201" s="472" t="n">
        <v>0</v>
      </c>
      <c r="AA201" s="473" t="n">
        <v>0</v>
      </c>
      <c r="AB201" s="473" t="n">
        <v>0</v>
      </c>
      <c r="AC201" s="473" t="n">
        <v>0</v>
      </c>
      <c r="AD201" s="473" t="n">
        <v>0</v>
      </c>
      <c r="AE201" s="472" t="n">
        <v>0</v>
      </c>
      <c r="AF201" s="473" t="n">
        <v>0</v>
      </c>
      <c r="AG201" s="473" t="n">
        <v>0</v>
      </c>
      <c r="AH201" s="473" t="n">
        <v>0</v>
      </c>
      <c r="AI201" s="473" t="n">
        <v>0</v>
      </c>
      <c r="AJ201" s="472" t="n">
        <v>0</v>
      </c>
      <c r="AK201" s="473" t="n">
        <v>0</v>
      </c>
      <c r="AL201" s="474" t="n">
        <v>0</v>
      </c>
      <c r="AM201" s="108" t="n"/>
      <c r="AN201" s="108" t="n"/>
      <c r="AO201" s="55" t="n"/>
      <c r="AP201" s="108" t="n"/>
      <c r="AQ201" s="108" t="n"/>
      <c r="AR201" s="108" t="n"/>
      <c r="AS201" s="108" t="n"/>
      <c r="AT201" s="55" t="n"/>
      <c r="AU201" s="14" t="n"/>
      <c r="AV201" s="14" t="n"/>
      <c r="AW201" s="14" t="n"/>
      <c r="AX201" s="473" t="n"/>
    </row>
    <row r="202" customFormat="1" s="17">
      <c r="A202" s="37" t="n"/>
      <c r="B202" s="104" t="n"/>
      <c r="C202" s="12" t="n"/>
      <c r="D202" s="12" t="n"/>
      <c r="E202" s="12" t="n"/>
      <c r="F202" s="12" t="n"/>
      <c r="G202" s="24" t="n"/>
      <c r="H202" s="24" t="n"/>
      <c r="I202" s="24" t="n"/>
      <c r="J202" s="24" t="n"/>
      <c r="K202" s="12" t="n"/>
      <c r="L202" s="24" t="n"/>
      <c r="M202" s="24" t="n"/>
      <c r="N202" s="24" t="n"/>
      <c r="O202" s="24" t="n"/>
      <c r="P202" s="12" t="n"/>
      <c r="Q202" s="24" t="n"/>
      <c r="R202" s="24" t="n"/>
      <c r="S202" s="24" t="n"/>
      <c r="T202" s="24" t="n"/>
      <c r="U202" s="12" t="n"/>
      <c r="V202" s="24" t="n"/>
      <c r="W202" s="24" t="n"/>
      <c r="X202" s="24" t="n"/>
      <c r="Y202" s="24" t="n"/>
      <c r="Z202" s="12" t="n"/>
      <c r="AA202" s="24" t="n"/>
      <c r="AB202" s="24" t="n"/>
      <c r="AC202" s="24" t="n"/>
      <c r="AD202" s="24" t="n"/>
      <c r="AE202" s="12" t="n"/>
      <c r="AF202" s="24" t="n"/>
      <c r="AG202" s="24" t="n"/>
      <c r="AH202" s="24" t="n"/>
      <c r="AI202" s="24" t="n"/>
      <c r="AJ202" s="12" t="n"/>
      <c r="AK202" s="24" t="n"/>
      <c r="AL202" s="307" t="n"/>
      <c r="AM202" s="24" t="n"/>
      <c r="AN202" s="24" t="n"/>
      <c r="AO202" s="12" t="n"/>
      <c r="AP202" s="24" t="n"/>
      <c r="AQ202" s="24" t="n"/>
      <c r="AR202" s="24" t="n"/>
      <c r="AS202" s="24" t="n"/>
      <c r="AT202" s="12" t="n"/>
      <c r="AU202" s="12" t="n"/>
      <c r="AV202" s="12" t="n"/>
      <c r="AW202" s="12" t="n"/>
      <c r="AX202" s="24" t="n"/>
    </row>
    <row r="203" customFormat="1" s="5">
      <c r="A203" s="228" t="inlineStr">
        <is>
          <t>FCF, Pre Div</t>
        </is>
      </c>
      <c r="B203" s="376" t="n"/>
      <c r="C203" s="343">
        <f>C193+C196</f>
        <v/>
      </c>
      <c r="D203" s="343">
        <f>D193+D196</f>
        <v/>
      </c>
      <c r="E203" s="343">
        <f>E193+E196</f>
        <v/>
      </c>
      <c r="F203" s="343">
        <f>F193+F196</f>
        <v/>
      </c>
      <c r="G203" s="228">
        <f>G193+G196</f>
        <v/>
      </c>
      <c r="H203" s="228">
        <f>H193+H196</f>
        <v/>
      </c>
      <c r="I203" s="228">
        <f>I193+I196</f>
        <v/>
      </c>
      <c r="J203" s="228">
        <f>J193+J196</f>
        <v/>
      </c>
      <c r="K203" s="343">
        <f>K193+K196</f>
        <v/>
      </c>
      <c r="L203" s="228">
        <f>L193+L196</f>
        <v/>
      </c>
      <c r="M203" s="228">
        <f>M193+M196</f>
        <v/>
      </c>
      <c r="N203" s="228">
        <f>N193+N196</f>
        <v/>
      </c>
      <c r="O203" s="228">
        <f>O193+O196</f>
        <v/>
      </c>
      <c r="P203" s="343">
        <f>P193+P196</f>
        <v/>
      </c>
      <c r="Q203" s="228">
        <f>Q193+Q196</f>
        <v/>
      </c>
      <c r="R203" s="228">
        <f>R193+R196</f>
        <v/>
      </c>
      <c r="S203" s="228">
        <f>S193+S196</f>
        <v/>
      </c>
      <c r="T203" s="228">
        <f>T193+T196</f>
        <v/>
      </c>
      <c r="U203" s="343">
        <f>U193+U196</f>
        <v/>
      </c>
      <c r="V203" s="228">
        <f>V193+V196</f>
        <v/>
      </c>
      <c r="W203" s="228">
        <f>W193+W196</f>
        <v/>
      </c>
      <c r="X203" s="228">
        <f>X193+X196</f>
        <v/>
      </c>
      <c r="Y203" s="228">
        <f>Y193+Y196</f>
        <v/>
      </c>
      <c r="Z203" s="343">
        <f>Z193+Z196</f>
        <v/>
      </c>
      <c r="AA203" s="228">
        <f>AA193+AA196</f>
        <v/>
      </c>
      <c r="AB203" s="228">
        <f>AB193+AB196</f>
        <v/>
      </c>
      <c r="AC203" s="228">
        <f>AC193+AC196</f>
        <v/>
      </c>
      <c r="AD203" s="228">
        <f>AD193+AD196</f>
        <v/>
      </c>
      <c r="AE203" s="343">
        <f>AE193+AE196</f>
        <v/>
      </c>
      <c r="AF203" s="228">
        <f>AF193+AF196</f>
        <v/>
      </c>
      <c r="AG203" s="228">
        <f>AG193+AG196</f>
        <v/>
      </c>
      <c r="AH203" s="228">
        <f>AH193+AH196</f>
        <v/>
      </c>
      <c r="AI203" s="228">
        <f>AI193+AI196</f>
        <v/>
      </c>
      <c r="AJ203" s="343">
        <f>AJ193+AJ196</f>
        <v/>
      </c>
      <c r="AK203" s="228">
        <f>AK193+AK196</f>
        <v/>
      </c>
      <c r="AL203" s="322">
        <f>AL193+AL196</f>
        <v/>
      </c>
      <c r="AM203" s="93" t="n"/>
      <c r="AN203" s="93" t="n"/>
      <c r="AO203" s="344" t="n"/>
      <c r="AP203" s="93" t="n"/>
      <c r="AQ203" s="93" t="n"/>
      <c r="AR203" s="93" t="n"/>
      <c r="AS203" s="93" t="n"/>
      <c r="AT203" s="344" t="n"/>
      <c r="AU203" s="344" t="n"/>
      <c r="AV203" s="344" t="n"/>
      <c r="AW203" s="344" t="n"/>
      <c r="AX203" s="228" t="n"/>
    </row>
    <row r="204" customFormat="1" s="5">
      <c r="A204" s="228" t="inlineStr">
        <is>
          <t>FCF, Post Div Pre A/D</t>
        </is>
      </c>
      <c r="B204" s="376" t="n"/>
      <c r="C204" s="343">
        <f>C203+C200</f>
        <v/>
      </c>
      <c r="D204" s="343">
        <f>D203+D200</f>
        <v/>
      </c>
      <c r="E204" s="343">
        <f>E203+E200</f>
        <v/>
      </c>
      <c r="F204" s="343">
        <f>F203+F200</f>
        <v/>
      </c>
      <c r="G204" s="228">
        <f>G203+G200</f>
        <v/>
      </c>
      <c r="H204" s="228">
        <f>H203+H200</f>
        <v/>
      </c>
      <c r="I204" s="228">
        <f>I203+I200</f>
        <v/>
      </c>
      <c r="J204" s="228">
        <f>J203+J200</f>
        <v/>
      </c>
      <c r="K204" s="343">
        <f>K203+K200</f>
        <v/>
      </c>
      <c r="L204" s="228">
        <f>L203+L200</f>
        <v/>
      </c>
      <c r="M204" s="228">
        <f>M203+M200</f>
        <v/>
      </c>
      <c r="N204" s="228">
        <f>N203+N200</f>
        <v/>
      </c>
      <c r="O204" s="228">
        <f>O203+O200</f>
        <v/>
      </c>
      <c r="P204" s="343">
        <f>P203+P200</f>
        <v/>
      </c>
      <c r="Q204" s="228">
        <f>Q203+Q200</f>
        <v/>
      </c>
      <c r="R204" s="228">
        <f>R203+R200</f>
        <v/>
      </c>
      <c r="S204" s="228">
        <f>S203+S200</f>
        <v/>
      </c>
      <c r="T204" s="228">
        <f>T203+T200</f>
        <v/>
      </c>
      <c r="U204" s="343">
        <f>U203+U200</f>
        <v/>
      </c>
      <c r="V204" s="228">
        <f>V203+V200</f>
        <v/>
      </c>
      <c r="W204" s="228">
        <f>W203+W200</f>
        <v/>
      </c>
      <c r="X204" s="228">
        <f>X203+X200</f>
        <v/>
      </c>
      <c r="Y204" s="228">
        <f>Y203+Y200</f>
        <v/>
      </c>
      <c r="Z204" s="343">
        <f>Z203+Z200</f>
        <v/>
      </c>
      <c r="AA204" s="228">
        <f>AA203+AA200</f>
        <v/>
      </c>
      <c r="AB204" s="228">
        <f>AB203+AB200</f>
        <v/>
      </c>
      <c r="AC204" s="228">
        <f>AC203+AC200</f>
        <v/>
      </c>
      <c r="AD204" s="228">
        <f>AD203+AD200</f>
        <v/>
      </c>
      <c r="AE204" s="343">
        <f>AE203+AE200</f>
        <v/>
      </c>
      <c r="AF204" s="228">
        <f>AF203+AF200</f>
        <v/>
      </c>
      <c r="AG204" s="228">
        <f>AG203+AG200</f>
        <v/>
      </c>
      <c r="AH204" s="228">
        <f>AH203+AH200</f>
        <v/>
      </c>
      <c r="AI204" s="228">
        <f>AI203+AI200</f>
        <v/>
      </c>
      <c r="AJ204" s="343">
        <f>AJ203+AJ200</f>
        <v/>
      </c>
      <c r="AK204" s="228">
        <f>AK203+AK200</f>
        <v/>
      </c>
      <c r="AL204" s="322">
        <f>AL203+AL200</f>
        <v/>
      </c>
      <c r="AM204" s="93" t="n"/>
      <c r="AN204" s="93" t="n"/>
      <c r="AO204" s="344" t="n"/>
      <c r="AP204" s="93" t="n"/>
      <c r="AQ204" s="93" t="n"/>
      <c r="AR204" s="93" t="n"/>
      <c r="AS204" s="93" t="n"/>
      <c r="AT204" s="344" t="n"/>
      <c r="AU204" s="344" t="n"/>
      <c r="AV204" s="344" t="n"/>
      <c r="AW204" s="344" t="n"/>
      <c r="AX204" s="228" t="n"/>
    </row>
    <row r="205" customFormat="1" s="5">
      <c r="A205" s="228" t="inlineStr">
        <is>
          <t>FCF, Post Div Post A/D</t>
        </is>
      </c>
      <c r="B205" s="376" t="n"/>
      <c r="C205" s="343">
        <f>C204+C198+C199</f>
        <v/>
      </c>
      <c r="D205" s="343">
        <f>D204+D198+D199</f>
        <v/>
      </c>
      <c r="E205" s="343">
        <f>E204+E198+E199</f>
        <v/>
      </c>
      <c r="F205" s="343">
        <f>F204+F198+F199</f>
        <v/>
      </c>
      <c r="G205" s="228">
        <f>G204+G198+G199</f>
        <v/>
      </c>
      <c r="H205" s="228">
        <f>H204+H198+H199</f>
        <v/>
      </c>
      <c r="I205" s="228">
        <f>I204+I198+I199</f>
        <v/>
      </c>
      <c r="J205" s="228">
        <f>J204+J198+J199</f>
        <v/>
      </c>
      <c r="K205" s="343">
        <f>K204+K198+K199</f>
        <v/>
      </c>
      <c r="L205" s="228">
        <f>L204+L198+L199</f>
        <v/>
      </c>
      <c r="M205" s="228">
        <f>M204+M198+M199</f>
        <v/>
      </c>
      <c r="N205" s="228">
        <f>N204+N198+N199</f>
        <v/>
      </c>
      <c r="O205" s="228">
        <f>O204+O198+O199</f>
        <v/>
      </c>
      <c r="P205" s="343">
        <f>P204+P198+P199</f>
        <v/>
      </c>
      <c r="Q205" s="228">
        <f>Q204+Q198+Q199</f>
        <v/>
      </c>
      <c r="R205" s="228">
        <f>R204+R198+R199</f>
        <v/>
      </c>
      <c r="S205" s="228">
        <f>S204+S198+S199</f>
        <v/>
      </c>
      <c r="T205" s="228">
        <f>T204+T198+T199</f>
        <v/>
      </c>
      <c r="U205" s="343">
        <f>U204+U198+U199</f>
        <v/>
      </c>
      <c r="V205" s="228">
        <f>V204+V198+V199</f>
        <v/>
      </c>
      <c r="W205" s="228">
        <f>W204+W198+W199</f>
        <v/>
      </c>
      <c r="X205" s="228">
        <f>X204+X198+X199</f>
        <v/>
      </c>
      <c r="Y205" s="228">
        <f>Y204+Y198+Y199</f>
        <v/>
      </c>
      <c r="Z205" s="343">
        <f>Z204+Z198+Z199</f>
        <v/>
      </c>
      <c r="AA205" s="228">
        <f>AA204+AA198+AA199</f>
        <v/>
      </c>
      <c r="AB205" s="228">
        <f>AB204+AB198+AB199</f>
        <v/>
      </c>
      <c r="AC205" s="228">
        <f>AC204+AC198+AC199</f>
        <v/>
      </c>
      <c r="AD205" s="228">
        <f>AD204+AD198+AD199</f>
        <v/>
      </c>
      <c r="AE205" s="343">
        <f>AE204+AE198+AE199</f>
        <v/>
      </c>
      <c r="AF205" s="228">
        <f>AF204+AF198+AF199</f>
        <v/>
      </c>
      <c r="AG205" s="228">
        <f>AG204+AG198+AG199</f>
        <v/>
      </c>
      <c r="AH205" s="228">
        <f>AH204+AH198+AH199</f>
        <v/>
      </c>
      <c r="AI205" s="228">
        <f>AI204+AI198+AI199</f>
        <v/>
      </c>
      <c r="AJ205" s="343">
        <f>AJ204+AJ198+AJ199</f>
        <v/>
      </c>
      <c r="AK205" s="228">
        <f>AK204+AK198+AK199</f>
        <v/>
      </c>
      <c r="AL205" s="322">
        <f>AL204+AL198+AL199</f>
        <v/>
      </c>
      <c r="AM205" s="93" t="n"/>
      <c r="AN205" s="93" t="n"/>
      <c r="AO205" s="344" t="n"/>
      <c r="AP205" s="93" t="n"/>
      <c r="AQ205" s="93" t="n"/>
      <c r="AR205" s="93" t="n"/>
      <c r="AS205" s="93" t="n"/>
      <c r="AT205" s="344" t="n"/>
      <c r="AU205" s="344" t="n"/>
      <c r="AV205" s="344" t="n"/>
      <c r="AW205" s="344" t="n"/>
      <c r="AX205" s="228" t="n"/>
    </row>
    <row r="206" customFormat="1" s="5">
      <c r="A206" s="228" t="n"/>
      <c r="B206" s="376" t="n"/>
      <c r="C206" s="343" t="n"/>
      <c r="D206" s="343" t="n"/>
      <c r="E206" s="343" t="n"/>
      <c r="F206" s="343" t="n"/>
      <c r="G206" s="228" t="n"/>
      <c r="H206" s="228" t="n"/>
      <c r="I206" s="228" t="n"/>
      <c r="J206" s="228" t="n"/>
      <c r="K206" s="343" t="n"/>
      <c r="L206" s="228" t="n"/>
      <c r="M206" s="228" t="n"/>
      <c r="N206" s="228" t="n"/>
      <c r="O206" s="228" t="n"/>
      <c r="P206" s="343" t="n"/>
      <c r="Q206" s="228" t="n"/>
      <c r="R206" s="228" t="n"/>
      <c r="S206" s="228" t="n"/>
      <c r="T206" s="228" t="n"/>
      <c r="U206" s="343" t="n"/>
      <c r="V206" s="228" t="n"/>
      <c r="W206" s="228" t="n"/>
      <c r="X206" s="228" t="n"/>
      <c r="Y206" s="228" t="n"/>
      <c r="Z206" s="343" t="n"/>
      <c r="AA206" s="228" t="n"/>
      <c r="AB206" s="228" t="n"/>
      <c r="AC206" s="228" t="n"/>
      <c r="AD206" s="228" t="n"/>
      <c r="AE206" s="343" t="n"/>
      <c r="AF206" s="228" t="n"/>
      <c r="AG206" s="228" t="n"/>
      <c r="AH206" s="228" t="n"/>
      <c r="AI206" s="228" t="n"/>
      <c r="AJ206" s="343" t="n"/>
      <c r="AK206" s="228" t="n"/>
      <c r="AL206" s="322" t="n"/>
      <c r="AM206" s="228" t="n"/>
      <c r="AN206" s="228" t="n"/>
      <c r="AO206" s="343" t="n"/>
      <c r="AP206" s="228" t="n"/>
      <c r="AQ206" s="228" t="n"/>
      <c r="AR206" s="228" t="n"/>
      <c r="AS206" s="228" t="n"/>
      <c r="AT206" s="343" t="n"/>
      <c r="AU206" s="343" t="n"/>
      <c r="AV206" s="343" t="n"/>
      <c r="AW206" s="343" t="n"/>
      <c r="AX206" s="228" t="n"/>
    </row>
    <row r="207" customFormat="1" s="9">
      <c r="A207" s="45" t="inlineStr">
        <is>
          <t>Balance Sheet Summary</t>
        </is>
      </c>
      <c r="B207" s="45" t="n"/>
      <c r="C207" s="45" t="n"/>
      <c r="D207" s="45" t="n"/>
      <c r="E207" s="45" t="n"/>
      <c r="F207" s="45" t="n"/>
      <c r="G207" s="45" t="n"/>
      <c r="H207" s="45" t="n"/>
      <c r="I207" s="45" t="n"/>
      <c r="J207" s="45" t="n"/>
      <c r="K207" s="45" t="n"/>
      <c r="L207" s="45" t="n"/>
      <c r="M207" s="45" t="n"/>
      <c r="N207" s="45" t="n"/>
      <c r="O207" s="45" t="n"/>
      <c r="P207" s="45" t="n"/>
      <c r="Q207" s="45" t="n"/>
      <c r="R207" s="45" t="n"/>
      <c r="S207" s="45" t="n"/>
      <c r="T207" s="45" t="n"/>
      <c r="U207" s="45" t="n"/>
      <c r="V207" s="45" t="n"/>
      <c r="W207" s="45" t="n"/>
      <c r="X207" s="45" t="n"/>
      <c r="Y207" s="45" t="n"/>
      <c r="Z207" s="45" t="n"/>
      <c r="AA207" s="45" t="n"/>
      <c r="AB207" s="45" t="n"/>
      <c r="AC207" s="45" t="n"/>
      <c r="AD207" s="45" t="n"/>
      <c r="AE207" s="45" t="n"/>
      <c r="AF207" s="45" t="n"/>
      <c r="AG207" s="45" t="n"/>
      <c r="AH207" s="45" t="n"/>
      <c r="AI207" s="45" t="n"/>
      <c r="AJ207" s="45" t="n"/>
      <c r="AK207" s="45" t="n"/>
      <c r="AL207" s="306" t="n"/>
      <c r="AM207" s="45" t="n"/>
      <c r="AN207" s="45" t="n"/>
      <c r="AO207" s="45" t="n"/>
      <c r="AP207" s="45" t="n"/>
      <c r="AQ207" s="45" t="n"/>
      <c r="AR207" s="45" t="n"/>
      <c r="AS207" s="45" t="n"/>
      <c r="AT207" s="45" t="n"/>
      <c r="AU207" s="45" t="n"/>
      <c r="AV207" s="45" t="n"/>
      <c r="AW207" s="45" t="n"/>
      <c r="AX207" s="22" t="n"/>
    </row>
    <row r="208" customFormat="1" s="5">
      <c r="A208" s="228" t="inlineStr">
        <is>
          <t>Cash</t>
        </is>
      </c>
      <c r="B208" s="376" t="n"/>
      <c r="C208" s="343">
        <f>C351+C352+C353+C367</f>
        <v/>
      </c>
      <c r="D208" s="343">
        <f>D351+D352+D353+D367</f>
        <v/>
      </c>
      <c r="E208" s="343">
        <f>E351+E352+E353+E367</f>
        <v/>
      </c>
      <c r="F208" s="343">
        <f>F351+F352+F353+F367</f>
        <v/>
      </c>
      <c r="G208" s="228">
        <f>G351+G352+G353+G367</f>
        <v/>
      </c>
      <c r="H208" s="228">
        <f>H351+H352+H353+H367</f>
        <v/>
      </c>
      <c r="I208" s="228">
        <f>I351+I352+I353+I367</f>
        <v/>
      </c>
      <c r="J208" s="228">
        <f>J351+J352+J353+J367</f>
        <v/>
      </c>
      <c r="K208" s="343">
        <f>K351+K352+K353+K367</f>
        <v/>
      </c>
      <c r="L208" s="228">
        <f>L351+L352+L353+L367</f>
        <v/>
      </c>
      <c r="M208" s="228">
        <f>M351+M352+M353+M367</f>
        <v/>
      </c>
      <c r="N208" s="228">
        <f>N351+N352+N353+N367</f>
        <v/>
      </c>
      <c r="O208" s="228">
        <f>O351+O352+O353+O367</f>
        <v/>
      </c>
      <c r="P208" s="343">
        <f>P351+P352+P353+P367</f>
        <v/>
      </c>
      <c r="Q208" s="228">
        <f>Q351+Q352+Q353+Q367</f>
        <v/>
      </c>
      <c r="R208" s="228">
        <f>R351+R352+R353+R367</f>
        <v/>
      </c>
      <c r="S208" s="228">
        <f>S351+S352+S353+S367</f>
        <v/>
      </c>
      <c r="T208" s="228">
        <f>T351+T352+T353+T367</f>
        <v/>
      </c>
      <c r="U208" s="343">
        <f>U351+U352+U353+U367</f>
        <v/>
      </c>
      <c r="V208" s="228">
        <f>V351+V352+V353+V367</f>
        <v/>
      </c>
      <c r="W208" s="228">
        <f>W351+W352+W353+W367</f>
        <v/>
      </c>
      <c r="X208" s="228">
        <f>X351+X352+X353+X367</f>
        <v/>
      </c>
      <c r="Y208" s="93">
        <f>Y351+Y352+Y353+Y367</f>
        <v/>
      </c>
      <c r="Z208" s="344">
        <f>Z351+Z352+Z353+Z367</f>
        <v/>
      </c>
      <c r="AA208" s="228">
        <f>AA351+AA352+AA353+AA367</f>
        <v/>
      </c>
      <c r="AB208" s="228">
        <f>AB351+AB352+AB353+AB367</f>
        <v/>
      </c>
      <c r="AC208" s="228">
        <f>AC351+AC352+AC353+AC367</f>
        <v/>
      </c>
      <c r="AD208" s="93">
        <f>AD351+AD352+AD353+AD367</f>
        <v/>
      </c>
      <c r="AE208" s="344">
        <f>AE351+AE352+AE353+AE367</f>
        <v/>
      </c>
      <c r="AF208" s="228">
        <f>AF351+AF352+AF353+AF367</f>
        <v/>
      </c>
      <c r="AG208" s="228">
        <f>AG351+AG352+AG353+AG367</f>
        <v/>
      </c>
      <c r="AH208" s="228">
        <f>AH351+AH352+AH353+AH367</f>
        <v/>
      </c>
      <c r="AI208" s="93">
        <f>AI351+AI352+AI353+AI367</f>
        <v/>
      </c>
      <c r="AJ208" s="344">
        <f>AJ351+AJ352+AJ353+AJ367</f>
        <v/>
      </c>
      <c r="AK208" s="228">
        <f>AK351+AK352+AK353+AK367</f>
        <v/>
      </c>
      <c r="AL208" s="322">
        <f>AL351+AL352+AL353+AL367</f>
        <v/>
      </c>
      <c r="AM208" s="93" t="n"/>
      <c r="AN208" s="93" t="n"/>
      <c r="AO208" s="344" t="n"/>
      <c r="AP208" s="93" t="n"/>
      <c r="AQ208" s="93" t="n"/>
      <c r="AR208" s="93" t="n"/>
      <c r="AS208" s="93" t="n"/>
      <c r="AT208" s="344" t="n"/>
      <c r="AU208" s="344" t="n"/>
      <c r="AV208" s="344" t="n"/>
      <c r="AW208" s="344" t="n"/>
      <c r="AX208" s="228" t="n"/>
    </row>
    <row r="209" customFormat="1" s="5">
      <c r="A209" s="228" t="inlineStr">
        <is>
          <t>Debt</t>
        </is>
      </c>
      <c r="B209" s="376" t="n"/>
      <c r="C209" s="343">
        <f>C377+C383+C385+C375+C376+C384</f>
        <v/>
      </c>
      <c r="D209" s="343">
        <f>D377+D383+D385+D375+D376+D384</f>
        <v/>
      </c>
      <c r="E209" s="343">
        <f>E377+E383+E385+E375+E376+E384</f>
        <v/>
      </c>
      <c r="F209" s="343">
        <f>F377+F383+F385+F375+F376+F384</f>
        <v/>
      </c>
      <c r="G209" s="228">
        <f>G377+G383+G385+G375+G376+G384</f>
        <v/>
      </c>
      <c r="H209" s="228">
        <f>H377+H383+H385+H375+H376+H384</f>
        <v/>
      </c>
      <c r="I209" s="228">
        <f>I377+I383+I385+I375+I376+I384</f>
        <v/>
      </c>
      <c r="J209" s="228">
        <f>J377+J383+J385+J375+J376+J384</f>
        <v/>
      </c>
      <c r="K209" s="343">
        <f>K377+K383+K385+K375+K376+K384</f>
        <v/>
      </c>
      <c r="L209" s="228">
        <f>L377+L383+L385+L375+L376+L384</f>
        <v/>
      </c>
      <c r="M209" s="228">
        <f>M377+M383+M385+M375+M376+M384</f>
        <v/>
      </c>
      <c r="N209" s="228">
        <f>N377+N383+N385+N375+N376+N384</f>
        <v/>
      </c>
      <c r="O209" s="228">
        <f>O377+O383+O385+O375+O376+O384</f>
        <v/>
      </c>
      <c r="P209" s="343">
        <f>P377+P383+P385+P375+P376+P384</f>
        <v/>
      </c>
      <c r="Q209" s="228">
        <f>Q377+Q383+Q385+Q375+Q376+Q384</f>
        <v/>
      </c>
      <c r="R209" s="228">
        <f>R377+R383+R385+R375+R376+R384</f>
        <v/>
      </c>
      <c r="S209" s="228">
        <f>S377+S383+S385+S375+S376+S384</f>
        <v/>
      </c>
      <c r="T209" s="228">
        <f>T377+T383+T385+T375+T376+T384</f>
        <v/>
      </c>
      <c r="U209" s="343">
        <f>U377+U383+U385+U375+U376+U384</f>
        <v/>
      </c>
      <c r="V209" s="228">
        <f>V377+V383+V385+V375+V376+V384</f>
        <v/>
      </c>
      <c r="W209" s="228">
        <f>W377+W383+W385+W375+W376+W384</f>
        <v/>
      </c>
      <c r="X209" s="228">
        <f>X377+X383+X385+X375+X376+X384</f>
        <v/>
      </c>
      <c r="Y209" s="93">
        <f>Y377+Y383+Y385+Y375+Y376+Y384</f>
        <v/>
      </c>
      <c r="Z209" s="344">
        <f>Z377+Z383+Z385+Z375+Z376+Z384</f>
        <v/>
      </c>
      <c r="AA209" s="228">
        <f>AA377+AA383+AA385+AA375+AA376+AA384</f>
        <v/>
      </c>
      <c r="AB209" s="228">
        <f>AB377+AB383+AB385+AB375+AB376+AB384</f>
        <v/>
      </c>
      <c r="AC209" s="228">
        <f>AC377+AC383+AC385+AC375+AC376+AC384</f>
        <v/>
      </c>
      <c r="AD209" s="93">
        <f>AD377+AD383+AD385+AD375+AD376+AD384</f>
        <v/>
      </c>
      <c r="AE209" s="344">
        <f>AE377+AE383+AE385+AE375+AE376+AE384</f>
        <v/>
      </c>
      <c r="AF209" s="228">
        <f>AF377+AF383+AF385+AF375+AF376+AF384</f>
        <v/>
      </c>
      <c r="AG209" s="228">
        <f>AG377+AG383+AG385+AG375+AG376+AG384</f>
        <v/>
      </c>
      <c r="AH209" s="228">
        <f>AH377+AH383+AH385+AH375+AH376+AH384</f>
        <v/>
      </c>
      <c r="AI209" s="93">
        <f>AI377+AI383+AI385+AI375+AI376+AI384</f>
        <v/>
      </c>
      <c r="AJ209" s="344">
        <f>AJ377+AJ383+AJ385+AJ375+AJ376+AJ384</f>
        <v/>
      </c>
      <c r="AK209" s="228">
        <f>AK377+AK383+AK385+AK375+AK376+AK384</f>
        <v/>
      </c>
      <c r="AL209" s="322">
        <f>AL377+AL383+AL385+AL375+AL376+AL384</f>
        <v/>
      </c>
      <c r="AM209" s="93" t="n"/>
      <c r="AN209" s="93" t="n"/>
      <c r="AO209" s="344" t="n"/>
      <c r="AP209" s="93" t="n"/>
      <c r="AQ209" s="93" t="n"/>
      <c r="AR209" s="93" t="n"/>
      <c r="AS209" s="93" t="n"/>
      <c r="AT209" s="344" t="n"/>
      <c r="AU209" s="344" t="n"/>
      <c r="AV209" s="344" t="n"/>
      <c r="AW209" s="344" t="n"/>
      <c r="AX209" s="228" t="n"/>
    </row>
    <row r="210" customFormat="1" s="5">
      <c r="A210" s="228" t="inlineStr">
        <is>
          <t>Net Debt</t>
        </is>
      </c>
      <c r="B210" s="376" t="n"/>
      <c r="C210" s="343">
        <f>C209-C208</f>
        <v/>
      </c>
      <c r="D210" s="343">
        <f>D209-D208</f>
        <v/>
      </c>
      <c r="E210" s="343">
        <f>E209-E208</f>
        <v/>
      </c>
      <c r="F210" s="343">
        <f>F209-F208</f>
        <v/>
      </c>
      <c r="G210" s="228">
        <f>G209-G208</f>
        <v/>
      </c>
      <c r="H210" s="228">
        <f>H209-H208</f>
        <v/>
      </c>
      <c r="I210" s="228">
        <f>I209-I208</f>
        <v/>
      </c>
      <c r="J210" s="228">
        <f>J209-J208</f>
        <v/>
      </c>
      <c r="K210" s="343">
        <f>K209-K208</f>
        <v/>
      </c>
      <c r="L210" s="228">
        <f>L209-L208</f>
        <v/>
      </c>
      <c r="M210" s="228">
        <f>M209-M208</f>
        <v/>
      </c>
      <c r="N210" s="228">
        <f>N209-N208</f>
        <v/>
      </c>
      <c r="O210" s="228">
        <f>O209-O208</f>
        <v/>
      </c>
      <c r="P210" s="343">
        <f>P209-P208</f>
        <v/>
      </c>
      <c r="Q210" s="228">
        <f>Q209-Q208</f>
        <v/>
      </c>
      <c r="R210" s="228">
        <f>R209-R208</f>
        <v/>
      </c>
      <c r="S210" s="228">
        <f>S209-S208</f>
        <v/>
      </c>
      <c r="T210" s="228">
        <f>T209-T208</f>
        <v/>
      </c>
      <c r="U210" s="343">
        <f>U209-U208</f>
        <v/>
      </c>
      <c r="V210" s="228">
        <f>V209-V208</f>
        <v/>
      </c>
      <c r="W210" s="228">
        <f>W209-W208</f>
        <v/>
      </c>
      <c r="X210" s="228">
        <f>X209-X208</f>
        <v/>
      </c>
      <c r="Y210" s="93">
        <f>Y209-Y208</f>
        <v/>
      </c>
      <c r="Z210" s="344">
        <f>Z209-Z208</f>
        <v/>
      </c>
      <c r="AA210" s="228">
        <f>AA209-AA208</f>
        <v/>
      </c>
      <c r="AB210" s="228">
        <f>AB209-AB208</f>
        <v/>
      </c>
      <c r="AC210" s="228">
        <f>AC209-AC208</f>
        <v/>
      </c>
      <c r="AD210" s="93">
        <f>AD209-AD208</f>
        <v/>
      </c>
      <c r="AE210" s="344">
        <f>AE209-AE208</f>
        <v/>
      </c>
      <c r="AF210" s="228">
        <f>AF209-AF208</f>
        <v/>
      </c>
      <c r="AG210" s="228">
        <f>AG209-AG208</f>
        <v/>
      </c>
      <c r="AH210" s="228">
        <f>AH209-AH208</f>
        <v/>
      </c>
      <c r="AI210" s="93">
        <f>AI209-AI208</f>
        <v/>
      </c>
      <c r="AJ210" s="344">
        <f>AJ209-AJ208</f>
        <v/>
      </c>
      <c r="AK210" s="228">
        <f>AK209-AK208</f>
        <v/>
      </c>
      <c r="AL210" s="322">
        <f>AL209-AL208</f>
        <v/>
      </c>
      <c r="AM210" s="93" t="n"/>
      <c r="AN210" s="93" t="n"/>
      <c r="AO210" s="344" t="n"/>
      <c r="AP210" s="93" t="n"/>
      <c r="AQ210" s="93" t="n"/>
      <c r="AR210" s="93" t="n"/>
      <c r="AS210" s="93" t="n"/>
      <c r="AT210" s="344" t="n"/>
      <c r="AU210" s="344" t="n"/>
      <c r="AV210" s="344" t="n"/>
      <c r="AW210" s="344" t="n"/>
      <c r="AX210" s="228" t="n"/>
    </row>
    <row r="211" customFormat="1" s="19">
      <c r="A211" s="40" t="inlineStr">
        <is>
          <t>Net Debt / EBITDA</t>
        </is>
      </c>
      <c r="B211" s="107" t="n"/>
      <c r="C211" s="10">
        <f>IF(C210&lt;0,"n/a",C210/C164)</f>
        <v/>
      </c>
      <c r="D211" s="10">
        <f>IF(D210&lt;0,"n/a",D210/D164)</f>
        <v/>
      </c>
      <c r="E211" s="10">
        <f>IF(E210&lt;0,"n/a",E210/E164)</f>
        <v/>
      </c>
      <c r="F211" s="10">
        <f>IF(F210&lt;0,"n/a",F210/F164)</f>
        <v/>
      </c>
      <c r="G211" s="476" t="n"/>
      <c r="H211" s="476" t="n"/>
      <c r="I211" s="476" t="n"/>
      <c r="J211" s="476" t="n"/>
      <c r="K211" s="10">
        <f>IF(K210&lt;0,"n/a",K210/K164)</f>
        <v/>
      </c>
      <c r="L211" s="476" t="n"/>
      <c r="M211" s="476" t="n"/>
      <c r="N211" s="476" t="n"/>
      <c r="O211" s="476" t="n"/>
      <c r="P211" s="10">
        <f>IF(P210&lt;0,"n/a",P210/P164)</f>
        <v/>
      </c>
      <c r="Q211" s="476" t="n"/>
      <c r="R211" s="476" t="n"/>
      <c r="S211" s="476" t="n"/>
      <c r="T211" s="476" t="n"/>
      <c r="U211" s="10">
        <f>IF(U210&lt;0,"n/a",U210/U164)</f>
        <v/>
      </c>
      <c r="V211" s="476" t="n"/>
      <c r="W211" s="30" t="n"/>
      <c r="X211" s="30" t="n"/>
      <c r="Y211" s="30" t="n"/>
      <c r="Z211" s="10">
        <f>IF(Z210&lt;0,"n/a",Z210/Z164)</f>
        <v/>
      </c>
      <c r="AA211" s="30" t="n"/>
      <c r="AB211" s="30" t="n"/>
      <c r="AC211" s="30" t="n"/>
      <c r="AD211" s="30" t="n"/>
      <c r="AE211" s="10">
        <f>IF(AE210&lt;0,"n/a",AE210/AE164)</f>
        <v/>
      </c>
      <c r="AF211" s="30" t="n"/>
      <c r="AG211" s="30" t="n"/>
      <c r="AH211" s="30" t="n"/>
      <c r="AI211" s="30" t="n"/>
      <c r="AJ211" s="10">
        <f>IF(AJ210&lt;0,"n/a",AJ210/AJ164)</f>
        <v/>
      </c>
      <c r="AK211" s="30" t="n"/>
      <c r="AL211" s="309" t="n"/>
      <c r="AM211" s="30" t="n"/>
      <c r="AN211" s="30" t="n"/>
      <c r="AO211" s="10" t="n"/>
      <c r="AP211" s="30" t="n"/>
      <c r="AQ211" s="30" t="n"/>
      <c r="AR211" s="30" t="n"/>
      <c r="AS211" s="30" t="n"/>
      <c r="AT211" s="10" t="n"/>
      <c r="AU211" s="10" t="n"/>
      <c r="AV211" s="10" t="n"/>
      <c r="AW211" s="10" t="n"/>
      <c r="AX211" s="30" t="n"/>
    </row>
    <row r="212" customFormat="1" s="19">
      <c r="A212" s="40" t="inlineStr">
        <is>
          <t>Net Debt / Cash Flow</t>
        </is>
      </c>
      <c r="B212" s="107" t="n"/>
      <c r="C212" s="10">
        <f>IF(C210&lt;0,"n/a",C210/C193)</f>
        <v/>
      </c>
      <c r="D212" s="10">
        <f>IF(D210&lt;0,"n/a",D210/D193)</f>
        <v/>
      </c>
      <c r="E212" s="10">
        <f>IF(E210&lt;0,"n/a",E210/E193)</f>
        <v/>
      </c>
      <c r="F212" s="10">
        <f>IF(F210&lt;0,"n/a",F210/F193)</f>
        <v/>
      </c>
      <c r="G212" s="476" t="n"/>
      <c r="H212" s="476" t="n"/>
      <c r="I212" s="476" t="n"/>
      <c r="J212" s="476" t="n"/>
      <c r="K212" s="10">
        <f>IF(K210&lt;0,"n/a",K210/K193)</f>
        <v/>
      </c>
      <c r="L212" s="476" t="n"/>
      <c r="M212" s="476" t="n"/>
      <c r="N212" s="476" t="n"/>
      <c r="O212" s="476" t="n"/>
      <c r="P212" s="10">
        <f>IF(P210&lt;0,"n/a",P210/P193)</f>
        <v/>
      </c>
      <c r="Q212" s="476" t="n"/>
      <c r="R212" s="476" t="n"/>
      <c r="S212" s="476" t="n"/>
      <c r="T212" s="476" t="n"/>
      <c r="U212" s="10">
        <f>IF(U210&lt;0,"n/a",U210/U193)</f>
        <v/>
      </c>
      <c r="V212" s="476" t="n"/>
      <c r="W212" s="30" t="n"/>
      <c r="X212" s="30" t="n"/>
      <c r="Y212" s="30" t="n"/>
      <c r="Z212" s="56">
        <f>IF(Z210&lt;0,"n/a",Z210/Z193)</f>
        <v/>
      </c>
      <c r="AA212" s="30" t="n"/>
      <c r="AB212" s="30" t="n"/>
      <c r="AC212" s="30" t="n"/>
      <c r="AD212" s="30" t="n"/>
      <c r="AE212" s="56">
        <f>IF(AE210&lt;0,"n/a",AE210/AE193)</f>
        <v/>
      </c>
      <c r="AF212" s="30" t="n"/>
      <c r="AG212" s="30" t="n"/>
      <c r="AH212" s="30" t="n"/>
      <c r="AI212" s="30" t="n"/>
      <c r="AJ212" s="56">
        <f>IF(AJ210&lt;0,"n/a",AJ210/AJ193)</f>
        <v/>
      </c>
      <c r="AK212" s="30" t="n"/>
      <c r="AL212" s="309" t="n"/>
      <c r="AM212" s="30" t="n"/>
      <c r="AN212" s="30" t="n"/>
      <c r="AO212" s="56" t="n"/>
      <c r="AP212" s="30" t="n"/>
      <c r="AQ212" s="30" t="n"/>
      <c r="AR212" s="30" t="n"/>
      <c r="AS212" s="30" t="n"/>
      <c r="AT212" s="56" t="n"/>
      <c r="AU212" s="56" t="n"/>
      <c r="AV212" s="56" t="n"/>
      <c r="AW212" s="56" t="n"/>
      <c r="AX212" s="30" t="n"/>
    </row>
    <row r="213">
      <c r="A213" s="477" t="n"/>
      <c r="B213" s="477" t="n"/>
      <c r="C213" s="478" t="n"/>
      <c r="D213" s="478" t="n"/>
      <c r="E213" s="478" t="n"/>
      <c r="F213" s="478" t="n"/>
      <c r="G213" s="155" t="n"/>
      <c r="H213" s="155" t="n"/>
      <c r="I213" s="155" t="n"/>
      <c r="J213" s="155" t="n"/>
      <c r="K213" s="478" t="n"/>
      <c r="L213" s="155" t="n"/>
      <c r="M213" s="155" t="n"/>
      <c r="N213" s="155" t="n"/>
      <c r="O213" s="155" t="n"/>
      <c r="P213" s="478" t="n"/>
      <c r="Q213" s="155" t="n"/>
      <c r="R213" s="155" t="n"/>
      <c r="S213" s="155" t="n"/>
      <c r="T213" s="155" t="n"/>
      <c r="U213" s="478" t="n"/>
      <c r="V213" s="155" t="n"/>
      <c r="W213" s="155" t="n"/>
      <c r="X213" s="155" t="n"/>
      <c r="Y213" s="155" t="n"/>
      <c r="Z213" s="478" t="n"/>
      <c r="AA213" s="155" t="n"/>
      <c r="AB213" s="155" t="n"/>
      <c r="AC213" s="155" t="n"/>
      <c r="AD213" s="155" t="n"/>
      <c r="AE213" s="478" t="n"/>
      <c r="AF213" s="155" t="n"/>
      <c r="AG213" s="155" t="n"/>
      <c r="AH213" s="155" t="n"/>
      <c r="AI213" s="155" t="n"/>
      <c r="AJ213" s="478" t="n"/>
      <c r="AK213" s="155" t="n"/>
      <c r="AL213" s="323" t="n"/>
      <c r="AM213" s="155" t="n"/>
      <c r="AN213" s="155" t="n"/>
      <c r="AO213" s="478" t="n"/>
      <c r="AP213" s="155" t="n"/>
      <c r="AQ213" s="155" t="n"/>
      <c r="AR213" s="155" t="n"/>
      <c r="AS213" s="155" t="n"/>
      <c r="AT213" s="478" t="n"/>
      <c r="AU213" s="478" t="n"/>
      <c r="AV213" s="478" t="n"/>
      <c r="AW213" s="478" t="n"/>
      <c r="AX213" s="155" t="n"/>
    </row>
    <row r="214" customFormat="1" s="9">
      <c r="A214" s="45" t="inlineStr">
        <is>
          <t>Valuation</t>
        </is>
      </c>
      <c r="B214" s="45" t="n"/>
      <c r="C214" s="45" t="n"/>
      <c r="D214" s="45" t="n"/>
      <c r="E214" s="45" t="n"/>
      <c r="F214" s="45" t="n"/>
      <c r="G214" s="45" t="n"/>
      <c r="H214" s="45" t="n"/>
      <c r="I214" s="45" t="n"/>
      <c r="J214" s="45" t="n"/>
      <c r="K214" s="45" t="n"/>
      <c r="L214" s="45" t="n"/>
      <c r="M214" s="45" t="n"/>
      <c r="N214" s="45" t="n"/>
      <c r="O214" s="45" t="n"/>
      <c r="P214" s="45" t="n"/>
      <c r="Q214" s="45" t="n"/>
      <c r="R214" s="45" t="n"/>
      <c r="S214" s="45" t="n"/>
      <c r="T214" s="45" t="n"/>
      <c r="U214" s="45" t="n"/>
      <c r="V214" s="45" t="n"/>
      <c r="W214" s="45" t="n"/>
      <c r="X214" s="45" t="n"/>
      <c r="Y214" s="45" t="n"/>
      <c r="Z214" s="45" t="n"/>
      <c r="AA214" s="45" t="n"/>
      <c r="AB214" s="45" t="n"/>
      <c r="AC214" s="45" t="n"/>
      <c r="AD214" s="45" t="n"/>
      <c r="AE214" s="45" t="n"/>
      <c r="AF214" s="45" t="n"/>
      <c r="AG214" s="45" t="n"/>
      <c r="AH214" s="45" t="n"/>
      <c r="AI214" s="45" t="n"/>
      <c r="AJ214" s="45" t="n"/>
      <c r="AK214" s="45" t="n"/>
      <c r="AL214" s="306" t="n"/>
      <c r="AM214" s="45" t="n"/>
      <c r="AN214" s="45" t="n"/>
      <c r="AO214" s="45" t="n"/>
      <c r="AP214" s="45" t="n"/>
      <c r="AQ214" s="45" t="n"/>
      <c r="AR214" s="45" t="n"/>
      <c r="AS214" s="45" t="n"/>
      <c r="AT214" s="45" t="n"/>
      <c r="AU214" s="45" t="n"/>
      <c r="AV214" s="45" t="n"/>
      <c r="AW214" s="45" t="n"/>
      <c r="AX214" s="22" t="n"/>
    </row>
    <row r="215" customFormat="1" s="278">
      <c r="A215" s="98" t="inlineStr">
        <is>
          <t>Stock Price (Reporting Cur.) - Avg, USD</t>
        </is>
      </c>
      <c r="B215" s="274" t="inlineStr">
        <is>
          <t>Avg</t>
        </is>
      </c>
      <c r="C215" s="479">
        <f>IFERROR(INDEX(MO_VA_StockPrice_TradingCurrency,1,COLUMN())/INDEX(MO_VA_FX_Average,1,COLUMN()),"N/A")</f>
        <v/>
      </c>
      <c r="D215" s="479">
        <f>IFERROR(INDEX(MO_VA_StockPrice_TradingCurrency,1,COLUMN())/INDEX(MO_VA_FX_Average,1,COLUMN()),"N/A")</f>
        <v/>
      </c>
      <c r="E215" s="479">
        <f>IFERROR(INDEX(MO_VA_StockPrice_TradingCurrency,1,COLUMN())/INDEX(MO_VA_FX_Average,1,COLUMN()),"N/A")</f>
        <v/>
      </c>
      <c r="F215" s="479">
        <f>IFERROR(INDEX(MO_VA_StockPrice_TradingCurrency,1,COLUMN())/INDEX(MO_VA_FX_Average,1,COLUMN()),"N/A")</f>
        <v/>
      </c>
      <c r="G215" s="275" t="n"/>
      <c r="H215" s="275" t="n"/>
      <c r="I215" s="275" t="n"/>
      <c r="J215" s="275" t="n"/>
      <c r="K215" s="479">
        <f>IFERROR(INDEX(MO_VA_StockPrice_TradingCurrency,1,COLUMN())/INDEX(MO_VA_FX_Average,1,COLUMN()),"N/A")</f>
        <v/>
      </c>
      <c r="L215" s="275" t="n"/>
      <c r="M215" s="275" t="n"/>
      <c r="N215" s="275" t="n"/>
      <c r="O215" s="275" t="n"/>
      <c r="P215" s="479">
        <f>IFERROR(INDEX(MO_VA_StockPrice_TradingCurrency,1,COLUMN())/INDEX(MO_VA_FX_Average,1,COLUMN()),"N/A")</f>
        <v/>
      </c>
      <c r="Q215" s="275" t="n"/>
      <c r="R215" s="275" t="n"/>
      <c r="S215" s="275" t="n"/>
      <c r="T215" s="275" t="n"/>
      <c r="U215" s="479">
        <f>IFERROR(INDEX(MO_VA_StockPrice_TradingCurrency,1,COLUMN())/INDEX(MO_VA_FX_Average,1,COLUMN()),"N/A")</f>
        <v/>
      </c>
      <c r="V215" s="275" t="n"/>
      <c r="W215" s="275" t="n"/>
      <c r="X215" s="275" t="n"/>
      <c r="Y215" s="275" t="n"/>
      <c r="Z215" s="276">
        <f>IFERROR(INDEX(MO_VA_StockPrice_TradingCurrency,1,COLUMN())/INDEX(MO_VA_FX_Average,1,COLUMN()),"N/A")</f>
        <v/>
      </c>
      <c r="AA215" s="275" t="n"/>
      <c r="AB215" s="275" t="n"/>
      <c r="AC215" s="275" t="n"/>
      <c r="AD215" s="275" t="n"/>
      <c r="AE215" s="276">
        <f>IFERROR(INDEX(MO_VA_StockPrice_TradingCurrency,1,COLUMN())/INDEX(MO_VA_FX_Average,1,COLUMN()),"N/A")</f>
        <v/>
      </c>
      <c r="AF215" s="275" t="n"/>
      <c r="AG215" s="275" t="n"/>
      <c r="AH215" s="275" t="n"/>
      <c r="AI215" s="275" t="n"/>
      <c r="AJ215" s="276">
        <f>IFERROR(INDEX(MO_VA_StockPrice_TradingCurrency,1,COLUMN())/INDEX(MO_VA_FX_Average,1,COLUMN()),"N/A")</f>
        <v/>
      </c>
      <c r="AK215" s="275" t="n"/>
      <c r="AL215" s="310" t="n"/>
      <c r="AM215" s="275" t="n"/>
      <c r="AN215" s="275" t="n"/>
      <c r="AO215" s="276" t="n"/>
      <c r="AP215" s="275" t="n"/>
      <c r="AQ215" s="275" t="n"/>
      <c r="AR215" s="275" t="n"/>
      <c r="AS215" s="275" t="n"/>
      <c r="AT215" s="276" t="n"/>
      <c r="AU215" s="276" t="n"/>
      <c r="AV215" s="276" t="n"/>
      <c r="AW215" s="276" t="n"/>
      <c r="AX215" s="277" t="n"/>
    </row>
    <row r="216" customFormat="1" s="5">
      <c r="A216" s="228">
        <f>IFERROR("Market Cap - "&amp;MO.ValuationToggle,"N/A")</f>
        <v/>
      </c>
      <c r="B216" s="376" t="n"/>
      <c r="C216" s="343">
        <f>IFERROR(C190*C215,"N/A")</f>
        <v/>
      </c>
      <c r="D216" s="343">
        <f>IFERROR(D190*D215,"N/A")</f>
        <v/>
      </c>
      <c r="E216" s="343">
        <f>IFERROR(E190*E215,"N/A")</f>
        <v/>
      </c>
      <c r="F216" s="343">
        <f>IFERROR(F190*F215,"N/A")</f>
        <v/>
      </c>
      <c r="G216" s="228" t="n"/>
      <c r="H216" s="228" t="n"/>
      <c r="I216" s="228" t="n"/>
      <c r="J216" s="228" t="n"/>
      <c r="K216" s="343">
        <f>IFERROR(K190*K215,"N/A")</f>
        <v/>
      </c>
      <c r="L216" s="228" t="n"/>
      <c r="M216" s="228" t="n"/>
      <c r="N216" s="228" t="n"/>
      <c r="O216" s="228" t="n"/>
      <c r="P216" s="343">
        <f>IFERROR(P190*P215,"N/A")</f>
        <v/>
      </c>
      <c r="Q216" s="228" t="n"/>
      <c r="R216" s="228" t="n"/>
      <c r="S216" s="228" t="n"/>
      <c r="T216" s="228" t="n"/>
      <c r="U216" s="343">
        <f>IFERROR(U190*U215,"N/A")</f>
        <v/>
      </c>
      <c r="V216" s="228" t="n"/>
      <c r="W216" s="228" t="n"/>
      <c r="X216" s="228" t="n"/>
      <c r="Y216" s="228" t="n"/>
      <c r="Z216" s="344">
        <f>IFERROR(Z190*Z215,"N/A")</f>
        <v/>
      </c>
      <c r="AA216" s="228" t="n"/>
      <c r="AB216" s="228" t="n"/>
      <c r="AC216" s="228" t="n"/>
      <c r="AD216" s="228" t="n"/>
      <c r="AE216" s="344">
        <f>IFERROR(AE190*AE215,"N/A")</f>
        <v/>
      </c>
      <c r="AF216" s="228" t="n"/>
      <c r="AG216" s="228" t="n"/>
      <c r="AH216" s="228" t="n"/>
      <c r="AI216" s="228" t="n"/>
      <c r="AJ216" s="344">
        <f>IFERROR(AJ190*AJ215,"N/A")</f>
        <v/>
      </c>
      <c r="AK216" s="228" t="n"/>
      <c r="AL216" s="322" t="n"/>
      <c r="AM216" s="228" t="n"/>
      <c r="AN216" s="228" t="n"/>
      <c r="AO216" s="344" t="n"/>
      <c r="AP216" s="228" t="n"/>
      <c r="AQ216" s="228" t="n"/>
      <c r="AR216" s="228" t="n"/>
      <c r="AS216" s="228" t="n"/>
      <c r="AT216" s="344" t="n"/>
      <c r="AU216" s="344" t="n"/>
      <c r="AV216" s="344" t="n"/>
      <c r="AW216" s="344" t="n"/>
      <c r="AX216" s="228" t="n"/>
    </row>
    <row r="217" customFormat="1" s="5">
      <c r="A217" s="228">
        <f>IFERROR("Enterprise Value - "&amp;MO.ValuationToggle,"N/A")</f>
        <v/>
      </c>
      <c r="B217" s="376" t="n"/>
      <c r="C217" s="343">
        <f>IFERROR(C210+C216+C232+C233+C234,"N/A")</f>
        <v/>
      </c>
      <c r="D217" s="343">
        <f>IFERROR(D210+D216+D232+D233+D234,"N/A")</f>
        <v/>
      </c>
      <c r="E217" s="343">
        <f>IFERROR(E210+E216+E232+E233+E234,"N/A")</f>
        <v/>
      </c>
      <c r="F217" s="343">
        <f>IFERROR(F210+F216+F232+F233+F234,"N/A")</f>
        <v/>
      </c>
      <c r="G217" s="228" t="n"/>
      <c r="H217" s="228" t="n"/>
      <c r="I217" s="228" t="n"/>
      <c r="J217" s="228" t="n"/>
      <c r="K217" s="343">
        <f>IFERROR(K210+K216+K232+K233+K234,"N/A")</f>
        <v/>
      </c>
      <c r="L217" s="228" t="n"/>
      <c r="M217" s="228" t="n"/>
      <c r="N217" s="228" t="n"/>
      <c r="O217" s="228" t="n"/>
      <c r="P217" s="343">
        <f>IFERROR(P210+P216+P232+P233+P234,"N/A")</f>
        <v/>
      </c>
      <c r="Q217" s="228" t="n"/>
      <c r="R217" s="228" t="n"/>
      <c r="S217" s="228" t="n"/>
      <c r="T217" s="228" t="n"/>
      <c r="U217" s="343">
        <f>IFERROR(U210+U216+U232+U233+U234,"N/A")</f>
        <v/>
      </c>
      <c r="V217" s="228" t="n"/>
      <c r="W217" s="228" t="n"/>
      <c r="X217" s="228" t="n"/>
      <c r="Y217" s="228" t="n"/>
      <c r="Z217" s="344">
        <f>IFERROR(Z210+Z216+Z232+Z233+Z234,"N/A")</f>
        <v/>
      </c>
      <c r="AA217" s="228" t="n"/>
      <c r="AB217" s="228" t="n"/>
      <c r="AC217" s="228" t="n"/>
      <c r="AD217" s="228" t="n"/>
      <c r="AE217" s="344">
        <f>IFERROR(AE210+AE216+AE232+AE233+AE234,"N/A")</f>
        <v/>
      </c>
      <c r="AF217" s="228" t="n"/>
      <c r="AG217" s="228" t="n"/>
      <c r="AH217" s="228" t="n"/>
      <c r="AI217" s="228" t="n"/>
      <c r="AJ217" s="344">
        <f>IFERROR(AJ210+AJ216+AJ232+AJ233+AJ234,"N/A")</f>
        <v/>
      </c>
      <c r="AK217" s="228" t="n"/>
      <c r="AL217" s="322" t="n"/>
      <c r="AM217" s="228" t="n"/>
      <c r="AN217" s="228" t="n"/>
      <c r="AO217" s="344" t="n"/>
      <c r="AP217" s="228" t="n"/>
      <c r="AQ217" s="228" t="n"/>
      <c r="AR217" s="228" t="n"/>
      <c r="AS217" s="228" t="n"/>
      <c r="AT217" s="344" t="n"/>
      <c r="AU217" s="344" t="n"/>
      <c r="AV217" s="344" t="n"/>
      <c r="AW217" s="344" t="n"/>
      <c r="AX217" s="228" t="n"/>
    </row>
    <row r="218" customFormat="1" s="484">
      <c r="A218" s="41" t="n"/>
      <c r="B218" s="480" t="n"/>
      <c r="C218" s="11" t="n"/>
      <c r="D218" s="11" t="n"/>
      <c r="E218" s="11" t="n"/>
      <c r="F218" s="11" t="n"/>
      <c r="G218" s="481" t="n"/>
      <c r="H218" s="481" t="n"/>
      <c r="I218" s="481" t="n"/>
      <c r="J218" s="481" t="n"/>
      <c r="K218" s="11" t="n"/>
      <c r="L218" s="481" t="n"/>
      <c r="M218" s="481" t="n"/>
      <c r="N218" s="481" t="n"/>
      <c r="O218" s="481" t="n"/>
      <c r="P218" s="11" t="n"/>
      <c r="Q218" s="481" t="n"/>
      <c r="R218" s="481" t="n"/>
      <c r="S218" s="481" t="n"/>
      <c r="T218" s="481" t="n"/>
      <c r="U218" s="11" t="n"/>
      <c r="V218" s="481" t="n"/>
      <c r="W218" s="482" t="n"/>
      <c r="X218" s="482" t="n"/>
      <c r="Y218" s="482" t="n"/>
      <c r="Z218" s="11" t="n"/>
      <c r="AA218" s="482" t="n"/>
      <c r="AB218" s="482" t="n"/>
      <c r="AC218" s="482" t="n"/>
      <c r="AD218" s="482" t="n"/>
      <c r="AE218" s="11" t="n"/>
      <c r="AF218" s="482" t="n"/>
      <c r="AG218" s="482" t="n"/>
      <c r="AH218" s="482" t="n"/>
      <c r="AI218" s="482" t="n"/>
      <c r="AJ218" s="11" t="n"/>
      <c r="AK218" s="482" t="n"/>
      <c r="AL218" s="483" t="n"/>
      <c r="AM218" s="482" t="n"/>
      <c r="AN218" s="482" t="n"/>
      <c r="AO218" s="11" t="n"/>
      <c r="AP218" s="482" t="n"/>
      <c r="AQ218" s="482" t="n"/>
      <c r="AR218" s="482" t="n"/>
      <c r="AS218" s="482" t="n"/>
      <c r="AT218" s="11" t="n"/>
      <c r="AU218" s="11" t="n"/>
      <c r="AV218" s="11" t="n"/>
      <c r="AW218" s="11" t="n"/>
      <c r="AX218" s="482" t="n"/>
    </row>
    <row r="219" customFormat="1" s="484">
      <c r="A219" s="485">
        <f>IFERROR("P/E - "&amp;MO.ValuationToggle,"N/A")</f>
        <v/>
      </c>
      <c r="B219" s="480" t="n"/>
      <c r="C219" s="11">
        <f>IFERROR(C215/C185,"N/A")</f>
        <v/>
      </c>
      <c r="D219" s="11">
        <f>IFERROR(D215/D185,"N/A")</f>
        <v/>
      </c>
      <c r="E219" s="11">
        <f>IFERROR(E215/E185,"N/A")</f>
        <v/>
      </c>
      <c r="F219" s="11">
        <f>IFERROR(F215/F185,"N/A")</f>
        <v/>
      </c>
      <c r="G219" s="481" t="n"/>
      <c r="H219" s="481" t="n"/>
      <c r="I219" s="481" t="n"/>
      <c r="J219" s="481" t="n"/>
      <c r="K219" s="11">
        <f>IFERROR(K215/K185,"N/A")</f>
        <v/>
      </c>
      <c r="L219" s="481" t="n"/>
      <c r="M219" s="481" t="n"/>
      <c r="N219" s="481" t="n"/>
      <c r="O219" s="481" t="n"/>
      <c r="P219" s="11">
        <f>IFERROR(P215/P185,"N/A")</f>
        <v/>
      </c>
      <c r="Q219" s="481" t="n"/>
      <c r="R219" s="481" t="n"/>
      <c r="S219" s="481" t="n"/>
      <c r="T219" s="481" t="n"/>
      <c r="U219" s="11">
        <f>IFERROR(U215/U185,"N/A")</f>
        <v/>
      </c>
      <c r="V219" s="481" t="n"/>
      <c r="W219" s="482" t="n"/>
      <c r="X219" s="482" t="n"/>
      <c r="Y219" s="482" t="n"/>
      <c r="Z219" s="11">
        <f>IFERROR(Z215/Z185,"N/A")</f>
        <v/>
      </c>
      <c r="AA219" s="482" t="n"/>
      <c r="AB219" s="482" t="n"/>
      <c r="AC219" s="482" t="n"/>
      <c r="AD219" s="482" t="n"/>
      <c r="AE219" s="11">
        <f>IFERROR(AE215/AE185,"N/A")</f>
        <v/>
      </c>
      <c r="AF219" s="482" t="n"/>
      <c r="AG219" s="482" t="n"/>
      <c r="AH219" s="482" t="n"/>
      <c r="AI219" s="482" t="n"/>
      <c r="AJ219" s="11">
        <f>IFERROR(AJ215/AJ185,"N/A")</f>
        <v/>
      </c>
      <c r="AK219" s="482" t="n"/>
      <c r="AL219" s="483" t="n"/>
      <c r="AM219" s="482" t="n"/>
      <c r="AN219" s="482" t="n"/>
      <c r="AO219" s="11" t="n"/>
      <c r="AP219" s="482" t="n"/>
      <c r="AQ219" s="482" t="n"/>
      <c r="AR219" s="482" t="n"/>
      <c r="AS219" s="482" t="n"/>
      <c r="AT219" s="11" t="n"/>
      <c r="AU219" s="11" t="n"/>
      <c r="AV219" s="11" t="n"/>
      <c r="AW219" s="11" t="n"/>
      <c r="AX219" s="482" t="n"/>
    </row>
    <row r="220" customFormat="1" s="484">
      <c r="A220" s="485">
        <f>IFERROR("EV/EBITDA - "&amp;MO.ValuationToggle,"N/A")</f>
        <v/>
      </c>
      <c r="B220" s="480" t="n"/>
      <c r="C220" s="11">
        <f>IFERROR(C217/C164,"N/A")</f>
        <v/>
      </c>
      <c r="D220" s="11">
        <f>IFERROR(D217/D164,"N/A")</f>
        <v/>
      </c>
      <c r="E220" s="11">
        <f>IFERROR(E217/E164,"N/A")</f>
        <v/>
      </c>
      <c r="F220" s="11">
        <f>IFERROR(F217/F164,"N/A")</f>
        <v/>
      </c>
      <c r="G220" s="481" t="n"/>
      <c r="H220" s="481" t="n"/>
      <c r="I220" s="481" t="n"/>
      <c r="J220" s="481" t="n"/>
      <c r="K220" s="11">
        <f>IFERROR(K217/K164,"N/A")</f>
        <v/>
      </c>
      <c r="L220" s="481" t="n"/>
      <c r="M220" s="481" t="n"/>
      <c r="N220" s="481" t="n"/>
      <c r="O220" s="481" t="n"/>
      <c r="P220" s="11">
        <f>IFERROR(P217/P164,"N/A")</f>
        <v/>
      </c>
      <c r="Q220" s="481" t="n"/>
      <c r="R220" s="481" t="n"/>
      <c r="S220" s="481" t="n"/>
      <c r="T220" s="481" t="n"/>
      <c r="U220" s="11">
        <f>IFERROR(U217/U164,"N/A")</f>
        <v/>
      </c>
      <c r="V220" s="481" t="n"/>
      <c r="W220" s="482" t="n"/>
      <c r="X220" s="482" t="n"/>
      <c r="Y220" s="482" t="n"/>
      <c r="Z220" s="11">
        <f>IFERROR(Z217/Z164,"N/A")</f>
        <v/>
      </c>
      <c r="AA220" s="482" t="n"/>
      <c r="AB220" s="482" t="n"/>
      <c r="AC220" s="482" t="n"/>
      <c r="AD220" s="482" t="n"/>
      <c r="AE220" s="11">
        <f>IFERROR(AE217/AE164,"N/A")</f>
        <v/>
      </c>
      <c r="AF220" s="482" t="n"/>
      <c r="AG220" s="482" t="n"/>
      <c r="AH220" s="482" t="n"/>
      <c r="AI220" s="482" t="n"/>
      <c r="AJ220" s="11">
        <f>IFERROR(AJ217/AJ164,"N/A")</f>
        <v/>
      </c>
      <c r="AK220" s="482" t="n"/>
      <c r="AL220" s="483" t="n"/>
      <c r="AM220" s="482" t="n"/>
      <c r="AN220" s="482" t="n"/>
      <c r="AO220" s="11" t="n"/>
      <c r="AP220" s="482" t="n"/>
      <c r="AQ220" s="482" t="n"/>
      <c r="AR220" s="482" t="n"/>
      <c r="AS220" s="482" t="n"/>
      <c r="AT220" s="11" t="n"/>
      <c r="AU220" s="11" t="n"/>
      <c r="AV220" s="11" t="n"/>
      <c r="AW220" s="11" t="n"/>
      <c r="AX220" s="482" t="n"/>
    </row>
    <row r="221" customFormat="1" s="484">
      <c r="A221" s="485">
        <f>IFERROR("P/CF - "&amp;MO.ValuationToggle,"N/A")</f>
        <v/>
      </c>
      <c r="B221" s="480" t="n"/>
      <c r="C221" s="11">
        <f>IFERROR(C215/C194,"N/A")</f>
        <v/>
      </c>
      <c r="D221" s="11">
        <f>IFERROR(D215/D194,"N/A")</f>
        <v/>
      </c>
      <c r="E221" s="11">
        <f>IFERROR(E215/E194,"N/A")</f>
        <v/>
      </c>
      <c r="F221" s="11">
        <f>IFERROR(F215/F194,"N/A")</f>
        <v/>
      </c>
      <c r="G221" s="481" t="n"/>
      <c r="H221" s="481" t="n"/>
      <c r="I221" s="481" t="n"/>
      <c r="J221" s="481" t="n"/>
      <c r="K221" s="11">
        <f>IFERROR(K215/K194,"N/A")</f>
        <v/>
      </c>
      <c r="L221" s="481" t="n"/>
      <c r="M221" s="481" t="n"/>
      <c r="N221" s="481" t="n"/>
      <c r="O221" s="481" t="n"/>
      <c r="P221" s="11">
        <f>IFERROR(P215/P194,"N/A")</f>
        <v/>
      </c>
      <c r="Q221" s="481" t="n"/>
      <c r="R221" s="481" t="n"/>
      <c r="S221" s="481" t="n"/>
      <c r="T221" s="481" t="n"/>
      <c r="U221" s="11">
        <f>IFERROR(U215/U194,"N/A")</f>
        <v/>
      </c>
      <c r="V221" s="481" t="n"/>
      <c r="W221" s="482" t="n"/>
      <c r="X221" s="482" t="n"/>
      <c r="Y221" s="482" t="n"/>
      <c r="Z221" s="57">
        <f>IFERROR(Z215/Z194,"N/A")</f>
        <v/>
      </c>
      <c r="AA221" s="482" t="n"/>
      <c r="AB221" s="482" t="n"/>
      <c r="AC221" s="482" t="n"/>
      <c r="AD221" s="482" t="n"/>
      <c r="AE221" s="57">
        <f>IFERROR(AE215/AE194,"N/A")</f>
        <v/>
      </c>
      <c r="AF221" s="482" t="n"/>
      <c r="AG221" s="482" t="n"/>
      <c r="AH221" s="482" t="n"/>
      <c r="AI221" s="482" t="n"/>
      <c r="AJ221" s="57">
        <f>IFERROR(AJ215/AJ194,"N/A")</f>
        <v/>
      </c>
      <c r="AK221" s="482" t="n"/>
      <c r="AL221" s="483" t="n"/>
      <c r="AM221" s="482" t="n"/>
      <c r="AN221" s="482" t="n"/>
      <c r="AO221" s="57" t="n"/>
      <c r="AP221" s="482" t="n"/>
      <c r="AQ221" s="482" t="n"/>
      <c r="AR221" s="482" t="n"/>
      <c r="AS221" s="482" t="n"/>
      <c r="AT221" s="57" t="n"/>
      <c r="AU221" s="57" t="n"/>
      <c r="AV221" s="57" t="n"/>
      <c r="AW221" s="57" t="n"/>
      <c r="AX221" s="482" t="n"/>
    </row>
    <row r="222" customFormat="1" s="333">
      <c r="A222" s="42">
        <f>IFERROR("FCF Yield % to "&amp;MO.ValuationToggle&amp;" Market Cap","N/A")</f>
        <v/>
      </c>
      <c r="B222" s="34" t="n"/>
      <c r="C222" s="285">
        <f>IFERROR(C$203/C216,"N/A")</f>
        <v/>
      </c>
      <c r="D222" s="285">
        <f>IFERROR(D$203/D216,"N/A")</f>
        <v/>
      </c>
      <c r="E222" s="285">
        <f>IFERROR(E$203/E216,"N/A")</f>
        <v/>
      </c>
      <c r="F222" s="285">
        <f>IFERROR(F$203/F216,"N/A")</f>
        <v/>
      </c>
      <c r="G222" s="330" t="n"/>
      <c r="H222" s="330" t="n"/>
      <c r="I222" s="330" t="n"/>
      <c r="J222" s="330" t="n"/>
      <c r="K222" s="285">
        <f>IFERROR(K$203/K216,"N/A")</f>
        <v/>
      </c>
      <c r="L222" s="330" t="n"/>
      <c r="M222" s="330" t="n"/>
      <c r="N222" s="330" t="n"/>
      <c r="O222" s="330" t="n"/>
      <c r="P222" s="285">
        <f>IFERROR(P$203/P216,"N/A")</f>
        <v/>
      </c>
      <c r="Q222" s="330" t="n"/>
      <c r="R222" s="330" t="n"/>
      <c r="S222" s="330" t="n"/>
      <c r="T222" s="330" t="n"/>
      <c r="U222" s="285">
        <f>IFERROR(U$203/U216,"N/A")</f>
        <v/>
      </c>
      <c r="V222" s="330" t="n"/>
      <c r="W222" s="330" t="n"/>
      <c r="X222" s="330" t="n"/>
      <c r="Y222" s="330" t="n"/>
      <c r="Z222" s="48">
        <f>IFERROR(Z$203/Z216,"N/A")</f>
        <v/>
      </c>
      <c r="AA222" s="330" t="n"/>
      <c r="AB222" s="330" t="n"/>
      <c r="AC222" s="330" t="n"/>
      <c r="AD222" s="330" t="n"/>
      <c r="AE222" s="48">
        <f>IFERROR(AE$203/AE216,"N/A")</f>
        <v/>
      </c>
      <c r="AF222" s="330" t="n"/>
      <c r="AG222" s="330" t="n"/>
      <c r="AH222" s="330" t="n"/>
      <c r="AI222" s="330" t="n"/>
      <c r="AJ222" s="48">
        <f>IFERROR(AJ$203/AJ216,"N/A")</f>
        <v/>
      </c>
      <c r="AK222" s="330" t="n"/>
      <c r="AL222" s="331" t="n"/>
      <c r="AM222" s="330" t="n"/>
      <c r="AN222" s="330" t="n"/>
      <c r="AO222" s="48" t="n"/>
      <c r="AP222" s="330" t="n"/>
      <c r="AQ222" s="330" t="n"/>
      <c r="AR222" s="330" t="n"/>
      <c r="AS222" s="330" t="n"/>
      <c r="AT222" s="48" t="n"/>
      <c r="AU222" s="48" t="n"/>
      <c r="AV222" s="48" t="n"/>
      <c r="AW222" s="48" t="n"/>
      <c r="AX222" s="332" t="n"/>
    </row>
    <row r="223" customFormat="1" s="333">
      <c r="A223" s="42">
        <f>IFERROR("FCF Yield % to "&amp;MO.ValuationToggle&amp;" Enterprise Value","N/A")</f>
        <v/>
      </c>
      <c r="B223" s="34" t="n"/>
      <c r="C223" s="285">
        <f>IFERROR(C$203/C217,"N/A")</f>
        <v/>
      </c>
      <c r="D223" s="285">
        <f>IFERROR(D$203/D217,"N/A")</f>
        <v/>
      </c>
      <c r="E223" s="285">
        <f>IFERROR(E$203/E217,"N/A")</f>
        <v/>
      </c>
      <c r="F223" s="285">
        <f>IFERROR(F$203/F217,"N/A")</f>
        <v/>
      </c>
      <c r="G223" s="330" t="n"/>
      <c r="H223" s="330" t="n"/>
      <c r="I223" s="330" t="n"/>
      <c r="J223" s="330" t="n"/>
      <c r="K223" s="285">
        <f>IFERROR(K$203/K217,"N/A")</f>
        <v/>
      </c>
      <c r="L223" s="330" t="n"/>
      <c r="M223" s="330" t="n"/>
      <c r="N223" s="330" t="n"/>
      <c r="O223" s="330" t="n"/>
      <c r="P223" s="285">
        <f>IFERROR(P$203/P217,"N/A")</f>
        <v/>
      </c>
      <c r="Q223" s="330" t="n"/>
      <c r="R223" s="330" t="n"/>
      <c r="S223" s="330" t="n"/>
      <c r="T223" s="330" t="n"/>
      <c r="U223" s="285">
        <f>IFERROR(U$203/U217,"N/A")</f>
        <v/>
      </c>
      <c r="V223" s="330" t="n"/>
      <c r="W223" s="330" t="n"/>
      <c r="X223" s="330" t="n"/>
      <c r="Y223" s="330" t="n"/>
      <c r="Z223" s="48">
        <f>IFERROR(Z$203/Z217,"N/A")</f>
        <v/>
      </c>
      <c r="AA223" s="330" t="n"/>
      <c r="AB223" s="330" t="n"/>
      <c r="AC223" s="330" t="n"/>
      <c r="AD223" s="330" t="n"/>
      <c r="AE223" s="48">
        <f>IFERROR(AE$203/AE217,"N/A")</f>
        <v/>
      </c>
      <c r="AF223" s="330" t="n"/>
      <c r="AG223" s="330" t="n"/>
      <c r="AH223" s="330" t="n"/>
      <c r="AI223" s="330" t="n"/>
      <c r="AJ223" s="48">
        <f>IFERROR(AJ$203/AJ217,"N/A")</f>
        <v/>
      </c>
      <c r="AK223" s="330" t="n"/>
      <c r="AL223" s="331" t="n"/>
      <c r="AM223" s="330" t="n"/>
      <c r="AN223" s="330" t="n"/>
      <c r="AO223" s="48" t="n"/>
      <c r="AP223" s="330" t="n"/>
      <c r="AQ223" s="330" t="n"/>
      <c r="AR223" s="330" t="n"/>
      <c r="AS223" s="330" t="n"/>
      <c r="AT223" s="48" t="n"/>
      <c r="AU223" s="48" t="n"/>
      <c r="AV223" s="48" t="n"/>
      <c r="AW223" s="48" t="n"/>
      <c r="AX223" s="332" t="n"/>
    </row>
    <row r="224" hidden="1" outlineLevel="1" customFormat="1" s="333">
      <c r="A224" s="42" t="n"/>
      <c r="B224" s="34" t="n"/>
      <c r="C224" s="285" t="n"/>
      <c r="D224" s="285" t="n"/>
      <c r="E224" s="285" t="n"/>
      <c r="F224" s="285" t="n"/>
      <c r="G224" s="330" t="n"/>
      <c r="H224" s="330" t="n"/>
      <c r="I224" s="330" t="n"/>
      <c r="J224" s="330" t="n"/>
      <c r="K224" s="285" t="n"/>
      <c r="L224" s="330" t="n"/>
      <c r="M224" s="330" t="n"/>
      <c r="N224" s="330" t="n"/>
      <c r="O224" s="330" t="n"/>
      <c r="P224" s="285" t="n"/>
      <c r="Q224" s="330" t="n"/>
      <c r="R224" s="330" t="n"/>
      <c r="S224" s="330" t="n"/>
      <c r="T224" s="330" t="n"/>
      <c r="U224" s="285" t="n"/>
      <c r="V224" s="330" t="n"/>
      <c r="W224" s="330" t="n"/>
      <c r="X224" s="330" t="n"/>
      <c r="Y224" s="330" t="n"/>
      <c r="Z224" s="48" t="n"/>
      <c r="AA224" s="330" t="n"/>
      <c r="AB224" s="330" t="n"/>
      <c r="AC224" s="330" t="n"/>
      <c r="AD224" s="330" t="n"/>
      <c r="AE224" s="48" t="n"/>
      <c r="AF224" s="330" t="n"/>
      <c r="AG224" s="330" t="n"/>
      <c r="AH224" s="330" t="n"/>
      <c r="AI224" s="330" t="n"/>
      <c r="AJ224" s="48" t="n"/>
      <c r="AK224" s="330" t="n"/>
      <c r="AL224" s="331" t="n"/>
      <c r="AM224" s="330" t="n"/>
      <c r="AN224" s="330" t="n"/>
      <c r="AO224" s="48" t="n"/>
      <c r="AP224" s="330" t="n"/>
      <c r="AQ224" s="330" t="n"/>
      <c r="AR224" s="330" t="n"/>
      <c r="AS224" s="330" t="n"/>
      <c r="AT224" s="48" t="n"/>
      <c r="AU224" s="48" t="n"/>
      <c r="AV224" s="48" t="n"/>
      <c r="AW224" s="48" t="n"/>
      <c r="AX224" s="332" t="n"/>
    </row>
    <row r="225" hidden="1" outlineLevel="1" customFormat="1" s="226">
      <c r="A225" s="230">
        <f>IFERROR("Stock High, "&amp;HP.TradeCurrency,"N/A")</f>
        <v/>
      </c>
      <c r="B225" s="269" t="n"/>
      <c r="C225" s="298">
        <f>IFERROR(IF(COLUMN()&gt;MO.MRFPColumnNumber,0,INDEX(MO_SPT_StockHigh,1,COLUMN())),"N/A")</f>
        <v/>
      </c>
      <c r="D225" s="298">
        <f>IFERROR(IF(COLUMN()&gt;MO.MRFPColumnNumber,0,INDEX(MO_SPT_StockHigh,1,COLUMN())),"N/A")</f>
        <v/>
      </c>
      <c r="E225" s="298">
        <f>IFERROR(IF(COLUMN()&gt;MO.MRFPColumnNumber,0,INDEX(MO_SPT_StockHigh,1,COLUMN())),"N/A")</f>
        <v/>
      </c>
      <c r="F225" s="298">
        <f>IFERROR(IF(COLUMN()&gt;MO.MRFPColumnNumber,0,INDEX(MO_SPT_StockHigh,1,COLUMN())),"N/A")</f>
        <v/>
      </c>
      <c r="G225" s="299" t="n"/>
      <c r="H225" s="299" t="n"/>
      <c r="I225" s="299" t="n"/>
      <c r="J225" s="299" t="n"/>
      <c r="K225" s="298">
        <f>IFERROR(IF(COLUMN()&gt;MO.MRFPColumnNumber,0,INDEX(MO_SPT_StockHigh,1,COLUMN())),"N/A")</f>
        <v/>
      </c>
      <c r="L225" s="299" t="n"/>
      <c r="M225" s="299" t="n"/>
      <c r="N225" s="299" t="n"/>
      <c r="O225" s="299" t="n"/>
      <c r="P225" s="298">
        <f>IFERROR(IF(COLUMN()&gt;MO.MRFPColumnNumber,0,INDEX(MO_SPT_StockHigh,1,COLUMN())),"N/A")</f>
        <v/>
      </c>
      <c r="Q225" s="299" t="n"/>
      <c r="R225" s="299" t="n"/>
      <c r="S225" s="299" t="n"/>
      <c r="T225" s="299" t="n"/>
      <c r="U225" s="298">
        <f>IFERROR(IF(COLUMN()&gt;MO.MRFPColumnNumber,0,INDEX(MO_SPT_StockHigh,1,COLUMN())),"N/A")</f>
        <v/>
      </c>
      <c r="V225" s="299" t="n"/>
      <c r="W225" s="299" t="n"/>
      <c r="X225" s="299" t="n"/>
      <c r="Y225" s="299" t="n"/>
      <c r="Z225" s="270">
        <f>IFERROR(IF(COLUMN()&gt;MO.MRFPColumnNumber,0,INDEX(MO_SPT_StockHigh,1,COLUMN())),"N/A")</f>
        <v/>
      </c>
      <c r="AA225" s="299" t="n"/>
      <c r="AB225" s="299" t="n"/>
      <c r="AC225" s="299" t="n"/>
      <c r="AD225" s="299" t="n"/>
      <c r="AE225" s="270">
        <f>IFERROR(IF(COLUMN()&gt;MO.MRFPColumnNumber,0,INDEX(MO_SPT_StockHigh,1,COLUMN())),"N/A")</f>
        <v/>
      </c>
      <c r="AF225" s="299" t="n"/>
      <c r="AG225" s="299" t="n"/>
      <c r="AH225" s="299" t="n"/>
      <c r="AI225" s="299" t="n"/>
      <c r="AJ225" s="270">
        <f>IFERROR(IF(COLUMN()&gt;MO.MRFPColumnNumber,0,INDEX(MO_SPT_StockHigh,1,COLUMN())),"N/A")</f>
        <v/>
      </c>
      <c r="AK225" s="299" t="n"/>
      <c r="AL225" s="486" t="n"/>
      <c r="AM225" s="299" t="n"/>
      <c r="AN225" s="299" t="n"/>
      <c r="AO225" s="270" t="n"/>
      <c r="AP225" s="299" t="n"/>
      <c r="AQ225" s="299" t="n"/>
      <c r="AR225" s="299" t="n"/>
      <c r="AS225" s="299" t="n"/>
      <c r="AT225" s="270" t="n"/>
      <c r="AU225" s="270" t="n"/>
      <c r="AV225" s="270" t="n"/>
      <c r="AW225" s="270" t="n"/>
      <c r="AX225" s="232" t="n"/>
    </row>
    <row r="226" hidden="1" outlineLevel="1" customFormat="1" s="226">
      <c r="A226" s="230">
        <f>IFERROR("Stock Low, "&amp;HP.TradeCurrency,"N/A")</f>
        <v/>
      </c>
      <c r="B226" s="269" t="n"/>
      <c r="C226" s="298">
        <f>IFERROR(IF(COLUMN()&gt;MO.MRFPColumnNumber,0,INDEX(MO_SPT_StockLow,1,COLUMN())),"N/A")</f>
        <v/>
      </c>
      <c r="D226" s="298">
        <f>IFERROR(IF(COLUMN()&gt;MO.MRFPColumnNumber,0,INDEX(MO_SPT_StockLow,1,COLUMN())),"N/A")</f>
        <v/>
      </c>
      <c r="E226" s="298">
        <f>IFERROR(IF(COLUMN()&gt;MO.MRFPColumnNumber,0,INDEX(MO_SPT_StockLow,1,COLUMN())),"N/A")</f>
        <v/>
      </c>
      <c r="F226" s="298">
        <f>IFERROR(IF(COLUMN()&gt;MO.MRFPColumnNumber,0,INDEX(MO_SPT_StockLow,1,COLUMN())),"N/A")</f>
        <v/>
      </c>
      <c r="G226" s="299" t="n"/>
      <c r="H226" s="299" t="n"/>
      <c r="I226" s="299" t="n"/>
      <c r="J226" s="299" t="n"/>
      <c r="K226" s="298">
        <f>IFERROR(IF(COLUMN()&gt;MO.MRFPColumnNumber,0,INDEX(MO_SPT_StockLow,1,COLUMN())),"N/A")</f>
        <v/>
      </c>
      <c r="L226" s="299" t="n"/>
      <c r="M226" s="299" t="n"/>
      <c r="N226" s="299" t="n"/>
      <c r="O226" s="299" t="n"/>
      <c r="P226" s="298">
        <f>IFERROR(IF(COLUMN()&gt;MO.MRFPColumnNumber,0,INDEX(MO_SPT_StockLow,1,COLUMN())),"N/A")</f>
        <v/>
      </c>
      <c r="Q226" s="299" t="n"/>
      <c r="R226" s="299" t="n"/>
      <c r="S226" s="299" t="n"/>
      <c r="T226" s="299" t="n"/>
      <c r="U226" s="298">
        <f>IFERROR(IF(COLUMN()&gt;MO.MRFPColumnNumber,0,INDEX(MO_SPT_StockLow,1,COLUMN())),"N/A")</f>
        <v/>
      </c>
      <c r="V226" s="299" t="n"/>
      <c r="W226" s="299" t="n"/>
      <c r="X226" s="299" t="n"/>
      <c r="Y226" s="299" t="n"/>
      <c r="Z226" s="270">
        <f>IFERROR(IF(COLUMN()&gt;MO.MRFPColumnNumber,0,INDEX(MO_SPT_StockLow,1,COLUMN())),"N/A")</f>
        <v/>
      </c>
      <c r="AA226" s="299" t="n"/>
      <c r="AB226" s="299" t="n"/>
      <c r="AC226" s="299" t="n"/>
      <c r="AD226" s="299" t="n"/>
      <c r="AE226" s="270">
        <f>IFERROR(IF(COLUMN()&gt;MO.MRFPColumnNumber,0,INDEX(MO_SPT_StockLow,1,COLUMN())),"N/A")</f>
        <v/>
      </c>
      <c r="AF226" s="299" t="n"/>
      <c r="AG226" s="299" t="n"/>
      <c r="AH226" s="299" t="n"/>
      <c r="AI226" s="299" t="n"/>
      <c r="AJ226" s="270">
        <f>IFERROR(IF(COLUMN()&gt;MO.MRFPColumnNumber,0,INDEX(MO_SPT_StockLow,1,COLUMN())),"N/A")</f>
        <v/>
      </c>
      <c r="AK226" s="299" t="n"/>
      <c r="AL226" s="486" t="n"/>
      <c r="AM226" s="299" t="n"/>
      <c r="AN226" s="299" t="n"/>
      <c r="AO226" s="270" t="n"/>
      <c r="AP226" s="299" t="n"/>
      <c r="AQ226" s="299" t="n"/>
      <c r="AR226" s="299" t="n"/>
      <c r="AS226" s="299" t="n"/>
      <c r="AT226" s="270" t="n"/>
      <c r="AU226" s="270" t="n"/>
      <c r="AV226" s="270" t="n"/>
      <c r="AW226" s="270" t="n"/>
      <c r="AX226" s="232" t="n"/>
    </row>
    <row r="227" hidden="1" outlineLevel="1" customFormat="1" s="226">
      <c r="A227" s="230">
        <f>IFERROR("Stock Average, "&amp;HP.TradeCurrency,"N/A")</f>
        <v/>
      </c>
      <c r="B227" s="269" t="n"/>
      <c r="C227" s="298">
        <f>IFERROR(IF(COLUMN()&gt;MO.MRFPColumnNumber,0,INDEX(MO_SPT_StockAverage,1,COLUMN())),"N/A")</f>
        <v/>
      </c>
      <c r="D227" s="298">
        <f>IFERROR(IF(COLUMN()&gt;MO.MRFPColumnNumber,0,INDEX(MO_SPT_StockAverage,1,COLUMN())),"N/A")</f>
        <v/>
      </c>
      <c r="E227" s="298">
        <f>IFERROR(IF(COLUMN()&gt;MO.MRFPColumnNumber,0,INDEX(MO_SPT_StockAverage,1,COLUMN())),"N/A")</f>
        <v/>
      </c>
      <c r="F227" s="298">
        <f>IFERROR(IF(COLUMN()&gt;MO.MRFPColumnNumber,0,INDEX(MO_SPT_StockAverage,1,COLUMN())),"N/A")</f>
        <v/>
      </c>
      <c r="G227" s="299" t="n"/>
      <c r="H227" s="299" t="n"/>
      <c r="I227" s="299" t="n"/>
      <c r="J227" s="299" t="n"/>
      <c r="K227" s="298">
        <f>IFERROR(IF(COLUMN()&gt;MO.MRFPColumnNumber,0,INDEX(MO_SPT_StockAverage,1,COLUMN())),"N/A")</f>
        <v/>
      </c>
      <c r="L227" s="299" t="n"/>
      <c r="M227" s="299" t="n"/>
      <c r="N227" s="299" t="n"/>
      <c r="O227" s="299" t="n"/>
      <c r="P227" s="298">
        <f>IFERROR(IF(COLUMN()&gt;MO.MRFPColumnNumber,0,INDEX(MO_SPT_StockAverage,1,COLUMN())),"N/A")</f>
        <v/>
      </c>
      <c r="Q227" s="299" t="n"/>
      <c r="R227" s="299" t="n"/>
      <c r="S227" s="299" t="n"/>
      <c r="T227" s="299" t="n"/>
      <c r="U227" s="298">
        <f>IFERROR(IF(COLUMN()&gt;MO.MRFPColumnNumber,0,INDEX(MO_SPT_StockAverage,1,COLUMN())),"N/A")</f>
        <v/>
      </c>
      <c r="V227" s="299" t="n"/>
      <c r="W227" s="299" t="n"/>
      <c r="X227" s="299" t="n"/>
      <c r="Y227" s="299" t="n"/>
      <c r="Z227" s="270">
        <f>IFERROR(IF(COLUMN()&gt;MO.MRFPColumnNumber,0,INDEX(MO_SPT_StockAverage,1,COLUMN())),"N/A")</f>
        <v/>
      </c>
      <c r="AA227" s="299" t="n"/>
      <c r="AB227" s="299" t="n"/>
      <c r="AC227" s="299" t="n"/>
      <c r="AD227" s="299" t="n"/>
      <c r="AE227" s="270">
        <f>IFERROR(IF(COLUMN()&gt;MO.MRFPColumnNumber,0,INDEX(MO_SPT_StockAverage,1,COLUMN())),"N/A")</f>
        <v/>
      </c>
      <c r="AF227" s="299" t="n"/>
      <c r="AG227" s="299" t="n"/>
      <c r="AH227" s="299" t="n"/>
      <c r="AI227" s="299" t="n"/>
      <c r="AJ227" s="270">
        <f>IFERROR(IF(COLUMN()&gt;MO.MRFPColumnNumber,0,INDEX(MO_SPT_StockAverage,1,COLUMN())),"N/A")</f>
        <v/>
      </c>
      <c r="AK227" s="299" t="n"/>
      <c r="AL227" s="486" t="n"/>
      <c r="AM227" s="299" t="n"/>
      <c r="AN227" s="299" t="n"/>
      <c r="AO227" s="270" t="n"/>
      <c r="AP227" s="299" t="n"/>
      <c r="AQ227" s="299" t="n"/>
      <c r="AR227" s="299" t="n"/>
      <c r="AS227" s="299" t="n"/>
      <c r="AT227" s="270" t="n"/>
      <c r="AU227" s="270" t="n"/>
      <c r="AV227" s="270" t="n"/>
      <c r="AW227" s="270" t="n"/>
      <c r="AX227" s="232" t="n"/>
    </row>
    <row r="228" hidden="1" outlineLevel="1" customFormat="1" s="490">
      <c r="A228" s="271">
        <f>IFERROR("Average FX Rate, "&amp;HP.TradeCurrency&amp;"/"&amp;MO.ReportCurrency,"N/A")</f>
        <v/>
      </c>
      <c r="B228" s="272" t="n"/>
      <c r="C228" s="487">
        <f>IFERROR(IF(INDEX(MO_SPT_FXAverage,1,COLUMN())=0,1,INDEX(MO_SPT_FXAverage,1,COLUMN())),"N/A")</f>
        <v/>
      </c>
      <c r="D228" s="487">
        <f>IFERROR(IF(INDEX(MO_SPT_FXAverage,1,COLUMN())=0,1,INDEX(MO_SPT_FXAverage,1,COLUMN())),"N/A")</f>
        <v/>
      </c>
      <c r="E228" s="487">
        <f>IFERROR(IF(INDEX(MO_SPT_FXAverage,1,COLUMN())=0,1,INDEX(MO_SPT_FXAverage,1,COLUMN())),"N/A")</f>
        <v/>
      </c>
      <c r="F228" s="487">
        <f>IFERROR(IF(INDEX(MO_SPT_FXAverage,1,COLUMN())=0,1,INDEX(MO_SPT_FXAverage,1,COLUMN())),"N/A")</f>
        <v/>
      </c>
      <c r="G228" s="488" t="n"/>
      <c r="H228" s="488" t="n"/>
      <c r="I228" s="488" t="n"/>
      <c r="J228" s="488" t="n"/>
      <c r="K228" s="487">
        <f>IFERROR(IF(INDEX(MO_SPT_FXAverage,1,COLUMN())=0,1,INDEX(MO_SPT_FXAverage,1,COLUMN())),"N/A")</f>
        <v/>
      </c>
      <c r="L228" s="488" t="n"/>
      <c r="M228" s="488" t="n"/>
      <c r="N228" s="488" t="n"/>
      <c r="O228" s="488" t="n"/>
      <c r="P228" s="487">
        <f>IFERROR(IF(INDEX(MO_SPT_FXAverage,1,COLUMN())=0,1,INDEX(MO_SPT_FXAverage,1,COLUMN())),"N/A")</f>
        <v/>
      </c>
      <c r="Q228" s="488" t="n"/>
      <c r="R228" s="488" t="n"/>
      <c r="S228" s="488" t="n"/>
      <c r="T228" s="488" t="n"/>
      <c r="U228" s="487">
        <f>IFERROR(IF(INDEX(MO_SPT_FXAverage,1,COLUMN())=0,1,INDEX(MO_SPT_FXAverage,1,COLUMN())),"N/A")</f>
        <v/>
      </c>
      <c r="V228" s="488" t="n"/>
      <c r="W228" s="488" t="n"/>
      <c r="X228" s="488" t="n"/>
      <c r="Y228" s="488" t="n"/>
      <c r="Z228" s="273">
        <f>IFERROR(IF(INDEX(MO_SPT_FXAverage,1,COLUMN())=0,1,INDEX(MO_SPT_FXAverage,1,COLUMN())),"N/A")</f>
        <v/>
      </c>
      <c r="AA228" s="488" t="n"/>
      <c r="AB228" s="488" t="n"/>
      <c r="AC228" s="488" t="n"/>
      <c r="AD228" s="488" t="n"/>
      <c r="AE228" s="273">
        <f>IFERROR(IF(INDEX(MO_SPT_FXAverage,1,COLUMN())=0,1,INDEX(MO_SPT_FXAverage,1,COLUMN())),"N/A")</f>
        <v/>
      </c>
      <c r="AF228" s="488" t="n"/>
      <c r="AG228" s="488" t="n"/>
      <c r="AH228" s="488" t="n"/>
      <c r="AI228" s="488" t="n"/>
      <c r="AJ228" s="273">
        <f>IFERROR(IF(INDEX(MO_SPT_FXAverage,1,COLUMN())=0,1,INDEX(MO_SPT_FXAverage,1,COLUMN())),"N/A")</f>
        <v/>
      </c>
      <c r="AK228" s="488" t="n"/>
      <c r="AL228" s="489" t="n"/>
      <c r="AM228" s="488" t="n"/>
      <c r="AN228" s="488" t="n"/>
      <c r="AO228" s="273" t="n"/>
      <c r="AP228" s="488" t="n"/>
      <c r="AQ228" s="488" t="n"/>
      <c r="AR228" s="488" t="n"/>
      <c r="AS228" s="488" t="n"/>
      <c r="AT228" s="273" t="n"/>
      <c r="AU228" s="273" t="n"/>
      <c r="AV228" s="273" t="n"/>
      <c r="AW228" s="273" t="n"/>
      <c r="AX228" s="251" t="n"/>
    </row>
    <row r="229" hidden="1" outlineLevel="1" customFormat="1" s="226">
      <c r="A229" s="230">
        <f>IFERROR("Stock Price (Trading Cur.) - "&amp;MO.ValuationToggle&amp;", "&amp;HP.TradeCurrency,"N/A")</f>
        <v/>
      </c>
      <c r="B229" s="269" t="n"/>
      <c r="C229" s="298">
        <f>IFERROR(IF(INDEX(MO_SNA_IsHistoricalPeriod,1,COLUMN())=FALSE,MO.LastPrice,CHOOSE(VLOOKUP(MO.ValuationToggle,tb_ValuationToggle,COLUMNS(tb_ValuationToggle),FALSE),C225,C226,C227)),"N/A")</f>
        <v/>
      </c>
      <c r="D229" s="298">
        <f>IFERROR(IF(INDEX(MO_SNA_IsHistoricalPeriod,1,COLUMN())=FALSE,MO.LastPrice,CHOOSE(VLOOKUP(MO.ValuationToggle,tb_ValuationToggle,COLUMNS(tb_ValuationToggle),FALSE),D225,D226,D227)),"N/A")</f>
        <v/>
      </c>
      <c r="E229" s="298">
        <f>IFERROR(IF(INDEX(MO_SNA_IsHistoricalPeriod,1,COLUMN())=FALSE,MO.LastPrice,CHOOSE(VLOOKUP(MO.ValuationToggle,tb_ValuationToggle,COLUMNS(tb_ValuationToggle),FALSE),E225,E226,E227)),"N/A")</f>
        <v/>
      </c>
      <c r="F229" s="298">
        <f>IFERROR(IF(INDEX(MO_SNA_IsHistoricalPeriod,1,COLUMN())=FALSE,MO.LastPrice,CHOOSE(VLOOKUP(MO.ValuationToggle,tb_ValuationToggle,COLUMNS(tb_ValuationToggle),FALSE),F225,F226,F227)),"N/A")</f>
        <v/>
      </c>
      <c r="G229" s="299" t="n"/>
      <c r="H229" s="299" t="n"/>
      <c r="I229" s="299" t="n"/>
      <c r="J229" s="299" t="n"/>
      <c r="K229" s="298">
        <f>IFERROR(IF(INDEX(MO_SNA_IsHistoricalPeriod,1,COLUMN())=FALSE,MO.LastPrice,CHOOSE(VLOOKUP(MO.ValuationToggle,tb_ValuationToggle,COLUMNS(tb_ValuationToggle),FALSE),K225,K226,K227)),"N/A")</f>
        <v/>
      </c>
      <c r="L229" s="299" t="n"/>
      <c r="M229" s="299" t="n"/>
      <c r="N229" s="299" t="n"/>
      <c r="O229" s="299" t="n"/>
      <c r="P229" s="298">
        <f>IFERROR(IF(INDEX(MO_SNA_IsHistoricalPeriod,1,COLUMN())=FALSE,MO.LastPrice,CHOOSE(VLOOKUP(MO.ValuationToggle,tb_ValuationToggle,COLUMNS(tb_ValuationToggle),FALSE),P225,P226,P227)),"N/A")</f>
        <v/>
      </c>
      <c r="Q229" s="299" t="n"/>
      <c r="R229" s="299" t="n"/>
      <c r="S229" s="299" t="n"/>
      <c r="T229" s="299" t="n"/>
      <c r="U229" s="298">
        <f>IFERROR(IF(INDEX(MO_SNA_IsHistoricalPeriod,1,COLUMN())=FALSE,MO.LastPrice,CHOOSE(VLOOKUP(MO.ValuationToggle,tb_ValuationToggle,COLUMNS(tb_ValuationToggle),FALSE),U225,U226,U227)),"N/A")</f>
        <v/>
      </c>
      <c r="V229" s="299" t="n"/>
      <c r="W229" s="299" t="n"/>
      <c r="X229" s="299" t="n"/>
      <c r="Y229" s="299" t="n"/>
      <c r="Z229" s="270">
        <f>IFERROR(IF(INDEX(MO_SNA_IsHistoricalPeriod,1,COLUMN())=FALSE,MO.LastPrice,CHOOSE(VLOOKUP(MO.ValuationToggle,tb_ValuationToggle,COLUMNS(tb_ValuationToggle),FALSE),Z225,Z226,Z227)),"N/A")</f>
        <v/>
      </c>
      <c r="AA229" s="299" t="n"/>
      <c r="AB229" s="299" t="n"/>
      <c r="AC229" s="299" t="n"/>
      <c r="AD229" s="299" t="n"/>
      <c r="AE229" s="270">
        <f>IFERROR(IF(INDEX(MO_SNA_IsHistoricalPeriod,1,COLUMN())=FALSE,MO.LastPrice,CHOOSE(VLOOKUP(MO.ValuationToggle,tb_ValuationToggle,COLUMNS(tb_ValuationToggle),FALSE),AE225,AE226,AE227)),"N/A")</f>
        <v/>
      </c>
      <c r="AF229" s="299" t="n"/>
      <c r="AG229" s="299" t="n"/>
      <c r="AH229" s="299" t="n"/>
      <c r="AI229" s="299" t="n"/>
      <c r="AJ229" s="270">
        <f>IFERROR(IF(INDEX(MO_SNA_IsHistoricalPeriod,1,COLUMN())=FALSE,MO.LastPrice,CHOOSE(VLOOKUP(MO.ValuationToggle,tb_ValuationToggle,COLUMNS(tb_ValuationToggle),FALSE),AJ225,AJ226,AJ227)),"N/A")</f>
        <v/>
      </c>
      <c r="AK229" s="299" t="n"/>
      <c r="AL229" s="486" t="n"/>
      <c r="AM229" s="299" t="n"/>
      <c r="AN229" s="299" t="n"/>
      <c r="AO229" s="270" t="n"/>
      <c r="AP229" s="299" t="n"/>
      <c r="AQ229" s="299" t="n"/>
      <c r="AR229" s="299" t="n"/>
      <c r="AS229" s="299" t="n"/>
      <c r="AT229" s="270" t="n"/>
      <c r="AU229" s="270" t="n"/>
      <c r="AV229" s="270" t="n"/>
      <c r="AW229" s="270" t="n"/>
      <c r="AX229" s="232" t="n"/>
    </row>
    <row r="230" hidden="1" outlineLevel="1" customFormat="1" s="5">
      <c r="A230" s="36" t="n"/>
      <c r="B230" s="376" t="n"/>
      <c r="C230" s="343" t="n"/>
      <c r="D230" s="343" t="n"/>
      <c r="E230" s="343" t="n"/>
      <c r="F230" s="343" t="n"/>
      <c r="G230" s="228" t="n"/>
      <c r="H230" s="228" t="n"/>
      <c r="I230" s="228" t="n"/>
      <c r="J230" s="228" t="n"/>
      <c r="K230" s="343" t="n"/>
      <c r="L230" s="228" t="n"/>
      <c r="M230" s="228" t="n"/>
      <c r="N230" s="228" t="n"/>
      <c r="O230" s="228" t="n"/>
      <c r="P230" s="343" t="n"/>
      <c r="Q230" s="228" t="n"/>
      <c r="R230" s="228" t="n"/>
      <c r="S230" s="228" t="n"/>
      <c r="T230" s="228" t="n"/>
      <c r="U230" s="343" t="n"/>
      <c r="V230" s="228" t="n"/>
      <c r="W230" s="228" t="n"/>
      <c r="X230" s="228" t="n"/>
      <c r="Y230" s="228" t="n"/>
      <c r="Z230" s="343" t="n"/>
      <c r="AA230" s="228" t="n"/>
      <c r="AB230" s="228" t="n"/>
      <c r="AC230" s="228" t="n"/>
      <c r="AD230" s="228" t="n"/>
      <c r="AE230" s="343" t="n"/>
      <c r="AF230" s="228" t="n"/>
      <c r="AG230" s="228" t="n"/>
      <c r="AH230" s="228" t="n"/>
      <c r="AI230" s="228" t="n"/>
      <c r="AJ230" s="343" t="n"/>
      <c r="AK230" s="228" t="n"/>
      <c r="AL230" s="322" t="n"/>
      <c r="AM230" s="228" t="n"/>
      <c r="AN230" s="228" t="n"/>
      <c r="AO230" s="343" t="n"/>
      <c r="AP230" s="228" t="n"/>
      <c r="AQ230" s="228" t="n"/>
      <c r="AR230" s="228" t="n"/>
      <c r="AS230" s="228" t="n"/>
      <c r="AT230" s="343" t="n"/>
      <c r="AU230" s="343" t="n"/>
      <c r="AV230" s="343" t="n"/>
      <c r="AW230" s="343" t="n"/>
      <c r="AX230" s="228" t="n"/>
    </row>
    <row r="231" hidden="1" outlineLevel="1" customFormat="1" s="9">
      <c r="A231" s="43" t="inlineStr">
        <is>
          <t>Enterprise Value Components</t>
        </is>
      </c>
      <c r="B231" s="103" t="n"/>
      <c r="C231" s="4" t="n"/>
      <c r="D231" s="4" t="n"/>
      <c r="E231" s="4" t="n"/>
      <c r="F231" s="4" t="n"/>
      <c r="G231" s="22" t="n"/>
      <c r="H231" s="22" t="n"/>
      <c r="I231" s="22" t="n"/>
      <c r="J231" s="22" t="n"/>
      <c r="K231" s="4" t="n"/>
      <c r="L231" s="22" t="n"/>
      <c r="M231" s="22" t="n"/>
      <c r="N231" s="22" t="n"/>
      <c r="O231" s="22" t="n"/>
      <c r="P231" s="4" t="n"/>
      <c r="Q231" s="22" t="n"/>
      <c r="R231" s="22" t="n"/>
      <c r="S231" s="22" t="n"/>
      <c r="T231" s="22" t="n"/>
      <c r="U231" s="4" t="n"/>
      <c r="V231" s="22" t="n"/>
      <c r="W231" s="22" t="n"/>
      <c r="X231" s="22" t="n"/>
      <c r="Y231" s="22" t="n"/>
      <c r="Z231" s="4" t="n"/>
      <c r="AA231" s="22" t="n"/>
      <c r="AB231" s="22" t="n"/>
      <c r="AC231" s="22" t="n"/>
      <c r="AD231" s="22" t="n"/>
      <c r="AE231" s="4" t="n"/>
      <c r="AF231" s="22" t="n"/>
      <c r="AG231" s="22" t="n"/>
      <c r="AH231" s="22" t="n"/>
      <c r="AI231" s="22" t="n"/>
      <c r="AJ231" s="4" t="n"/>
      <c r="AK231" s="22" t="n"/>
      <c r="AL231" s="308" t="n"/>
      <c r="AM231" s="22" t="n"/>
      <c r="AN231" s="22" t="n"/>
      <c r="AO231" s="4" t="n"/>
      <c r="AP231" s="22" t="n"/>
      <c r="AQ231" s="22" t="n"/>
      <c r="AR231" s="22" t="n"/>
      <c r="AS231" s="22" t="n"/>
      <c r="AT231" s="4" t="n"/>
      <c r="AU231" s="4" t="n"/>
      <c r="AV231" s="4" t="n"/>
      <c r="AW231" s="4" t="n"/>
      <c r="AX231" s="22" t="n"/>
    </row>
    <row r="232" hidden="1" outlineLevel="1" customFormat="1" s="5">
      <c r="A232" s="491" t="inlineStr">
        <is>
          <t>Noncontrolling Interest</t>
        </is>
      </c>
      <c r="B232" s="376" t="n"/>
      <c r="C232" s="343">
        <f>C396</f>
        <v/>
      </c>
      <c r="D232" s="343">
        <f>D396</f>
        <v/>
      </c>
      <c r="E232" s="343">
        <f>E396</f>
        <v/>
      </c>
      <c r="F232" s="343">
        <f>F396</f>
        <v/>
      </c>
      <c r="G232" s="228">
        <f>G396</f>
        <v/>
      </c>
      <c r="H232" s="228">
        <f>H396</f>
        <v/>
      </c>
      <c r="I232" s="228">
        <f>I396</f>
        <v/>
      </c>
      <c r="J232" s="228">
        <f>J396</f>
        <v/>
      </c>
      <c r="K232" s="343">
        <f>K396</f>
        <v/>
      </c>
      <c r="L232" s="228">
        <f>L396</f>
        <v/>
      </c>
      <c r="M232" s="228">
        <f>M396</f>
        <v/>
      </c>
      <c r="N232" s="228">
        <f>N396</f>
        <v/>
      </c>
      <c r="O232" s="228">
        <f>O396</f>
        <v/>
      </c>
      <c r="P232" s="343">
        <f>P396</f>
        <v/>
      </c>
      <c r="Q232" s="228">
        <f>Q396</f>
        <v/>
      </c>
      <c r="R232" s="228">
        <f>R396</f>
        <v/>
      </c>
      <c r="S232" s="228">
        <f>S396</f>
        <v/>
      </c>
      <c r="T232" s="228">
        <f>T396</f>
        <v/>
      </c>
      <c r="U232" s="343">
        <f>U396</f>
        <v/>
      </c>
      <c r="V232" s="228">
        <f>V396</f>
        <v/>
      </c>
      <c r="W232" s="228">
        <f>W396</f>
        <v/>
      </c>
      <c r="X232" s="228">
        <f>X396</f>
        <v/>
      </c>
      <c r="Y232" s="228">
        <f>Y396</f>
        <v/>
      </c>
      <c r="Z232" s="344">
        <f>Z396</f>
        <v/>
      </c>
      <c r="AA232" s="228">
        <f>AA396</f>
        <v/>
      </c>
      <c r="AB232" s="228">
        <f>AB396</f>
        <v/>
      </c>
      <c r="AC232" s="228">
        <f>AC396</f>
        <v/>
      </c>
      <c r="AD232" s="228">
        <f>AD396</f>
        <v/>
      </c>
      <c r="AE232" s="344">
        <f>AE396</f>
        <v/>
      </c>
      <c r="AF232" s="228">
        <f>AF396</f>
        <v/>
      </c>
      <c r="AG232" s="228">
        <f>AG396</f>
        <v/>
      </c>
      <c r="AH232" s="228">
        <f>AH396</f>
        <v/>
      </c>
      <c r="AI232" s="228">
        <f>AI396</f>
        <v/>
      </c>
      <c r="AJ232" s="344">
        <f>AJ396</f>
        <v/>
      </c>
      <c r="AK232" s="228">
        <f>AK396</f>
        <v/>
      </c>
      <c r="AL232" s="322">
        <f>AL396</f>
        <v/>
      </c>
      <c r="AM232" s="228" t="n"/>
      <c r="AN232" s="228" t="n"/>
      <c r="AO232" s="344" t="n"/>
      <c r="AP232" s="228" t="n"/>
      <c r="AQ232" s="228" t="n"/>
      <c r="AR232" s="228" t="n"/>
      <c r="AS232" s="228" t="n"/>
      <c r="AT232" s="344" t="n"/>
      <c r="AU232" s="344" t="n"/>
      <c r="AV232" s="344" t="n"/>
      <c r="AW232" s="344" t="n"/>
      <c r="AX232" s="228" t="n"/>
    </row>
    <row r="233" hidden="1" outlineLevel="1" customFormat="1" s="5">
      <c r="A233" s="491" t="inlineStr">
        <is>
          <t>Preferred Shares</t>
        </is>
      </c>
      <c r="B233" s="376" t="n"/>
      <c r="C233" s="343" t="n"/>
      <c r="D233" s="343" t="n"/>
      <c r="E233" s="343" t="n"/>
      <c r="F233" s="343" t="n"/>
      <c r="G233" s="228" t="n"/>
      <c r="H233" s="228" t="n"/>
      <c r="I233" s="228" t="n"/>
      <c r="J233" s="228" t="n"/>
      <c r="K233" s="343" t="n"/>
      <c r="L233" s="228" t="n"/>
      <c r="M233" s="228" t="n"/>
      <c r="N233" s="228" t="n"/>
      <c r="O233" s="228" t="n"/>
      <c r="P233" s="343" t="n"/>
      <c r="Q233" s="228" t="n"/>
      <c r="R233" s="228" t="n"/>
      <c r="S233" s="228" t="n"/>
      <c r="T233" s="228" t="n"/>
      <c r="U233" s="343" t="n"/>
      <c r="V233" s="228" t="n"/>
      <c r="W233" s="228" t="n"/>
      <c r="X233" s="228" t="n"/>
      <c r="Y233" s="228" t="n"/>
      <c r="Z233" s="343" t="n"/>
      <c r="AA233" s="228" t="n"/>
      <c r="AB233" s="228" t="n"/>
      <c r="AC233" s="228" t="n"/>
      <c r="AD233" s="228" t="n"/>
      <c r="AE233" s="343" t="n"/>
      <c r="AF233" s="228" t="n"/>
      <c r="AG233" s="228" t="n"/>
      <c r="AH233" s="228" t="n"/>
      <c r="AI233" s="228" t="n"/>
      <c r="AJ233" s="343" t="n"/>
      <c r="AK233" s="228" t="n"/>
      <c r="AL233" s="322" t="n"/>
      <c r="AM233" s="228" t="n"/>
      <c r="AN233" s="228" t="n"/>
      <c r="AO233" s="343" t="n"/>
      <c r="AP233" s="228" t="n"/>
      <c r="AQ233" s="228" t="n"/>
      <c r="AR233" s="228" t="n"/>
      <c r="AS233" s="228" t="n"/>
      <c r="AT233" s="343" t="n"/>
      <c r="AU233" s="343" t="n"/>
      <c r="AV233" s="343" t="n"/>
      <c r="AW233" s="343" t="n"/>
      <c r="AX233" s="228" t="n"/>
    </row>
    <row r="234" hidden="1" outlineLevel="1" customFormat="1" s="5">
      <c r="A234" s="491" t="inlineStr">
        <is>
          <t>Other EV Components</t>
        </is>
      </c>
      <c r="B234" s="376" t="n"/>
      <c r="C234" s="343">
        <f>+C381</f>
        <v/>
      </c>
      <c r="D234" s="343">
        <f>+D381</f>
        <v/>
      </c>
      <c r="E234" s="343">
        <f>+E381</f>
        <v/>
      </c>
      <c r="F234" s="343">
        <f>+F381</f>
        <v/>
      </c>
      <c r="G234" s="228">
        <f>+G381</f>
        <v/>
      </c>
      <c r="H234" s="228">
        <f>+H381</f>
        <v/>
      </c>
      <c r="I234" s="228">
        <f>+I381</f>
        <v/>
      </c>
      <c r="J234" s="228">
        <f>+J381</f>
        <v/>
      </c>
      <c r="K234" s="343">
        <f>+K381</f>
        <v/>
      </c>
      <c r="L234" s="228">
        <f>+L381</f>
        <v/>
      </c>
      <c r="M234" s="228">
        <f>+M381</f>
        <v/>
      </c>
      <c r="N234" s="228">
        <f>+N381</f>
        <v/>
      </c>
      <c r="O234" s="228">
        <f>+O381</f>
        <v/>
      </c>
      <c r="P234" s="343">
        <f>+P381</f>
        <v/>
      </c>
      <c r="Q234" s="228">
        <f>+Q381</f>
        <v/>
      </c>
      <c r="R234" s="228">
        <f>+R381</f>
        <v/>
      </c>
      <c r="S234" s="228">
        <f>+S381</f>
        <v/>
      </c>
      <c r="T234" s="228">
        <f>+T381</f>
        <v/>
      </c>
      <c r="U234" s="343">
        <f>+U381</f>
        <v/>
      </c>
      <c r="V234" s="228">
        <f>+V381</f>
        <v/>
      </c>
      <c r="W234" s="228">
        <f>+W381</f>
        <v/>
      </c>
      <c r="X234" s="228">
        <f>+X381</f>
        <v/>
      </c>
      <c r="Y234" s="228">
        <f>+Y381</f>
        <v/>
      </c>
      <c r="Z234" s="343">
        <f>+Z381</f>
        <v/>
      </c>
      <c r="AA234" s="228">
        <f>+AA381</f>
        <v/>
      </c>
      <c r="AB234" s="228">
        <f>+AB381</f>
        <v/>
      </c>
      <c r="AC234" s="228">
        <f>+AC381</f>
        <v/>
      </c>
      <c r="AD234" s="228">
        <f>+AD381</f>
        <v/>
      </c>
      <c r="AE234" s="343">
        <f>+AE381</f>
        <v/>
      </c>
      <c r="AF234" s="228">
        <f>+AF381</f>
        <v/>
      </c>
      <c r="AG234" s="228">
        <f>+AG381</f>
        <v/>
      </c>
      <c r="AH234" s="228">
        <f>+AH381</f>
        <v/>
      </c>
      <c r="AI234" s="228">
        <f>+AI381</f>
        <v/>
      </c>
      <c r="AJ234" s="343">
        <f>+AJ381</f>
        <v/>
      </c>
      <c r="AK234" s="228">
        <f>+AK381</f>
        <v/>
      </c>
      <c r="AL234" s="322">
        <f>+AL381</f>
        <v/>
      </c>
      <c r="AM234" s="228" t="n"/>
      <c r="AN234" s="228" t="n"/>
      <c r="AO234" s="343" t="n"/>
      <c r="AP234" s="228" t="n"/>
      <c r="AQ234" s="228" t="n"/>
      <c r="AR234" s="228" t="n"/>
      <c r="AS234" s="228" t="n"/>
      <c r="AT234" s="343" t="n"/>
      <c r="AU234" s="343" t="n"/>
      <c r="AV234" s="343" t="n"/>
      <c r="AW234" s="343" t="n"/>
      <c r="AX234" s="228" t="n"/>
    </row>
    <row r="235" collapsed="1" customFormat="1" s="5">
      <c r="A235" s="491" t="n"/>
      <c r="B235" s="376" t="n"/>
      <c r="C235" s="343" t="n"/>
      <c r="D235" s="343" t="n"/>
      <c r="E235" s="343" t="n"/>
      <c r="F235" s="343" t="n"/>
      <c r="G235" s="228" t="n"/>
      <c r="H235" s="228" t="n"/>
      <c r="I235" s="228" t="n"/>
      <c r="J235" s="228" t="n"/>
      <c r="K235" s="343" t="n"/>
      <c r="L235" s="228" t="n"/>
      <c r="M235" s="228" t="n"/>
      <c r="N235" s="228" t="n"/>
      <c r="O235" s="228" t="n"/>
      <c r="P235" s="343" t="n"/>
      <c r="Q235" s="228" t="n"/>
      <c r="R235" s="228" t="n"/>
      <c r="S235" s="228" t="n"/>
      <c r="T235" s="228" t="n"/>
      <c r="U235" s="343" t="n"/>
      <c r="V235" s="228" t="n"/>
      <c r="W235" s="228" t="n"/>
      <c r="X235" s="228" t="n"/>
      <c r="Y235" s="228" t="n"/>
      <c r="Z235" s="343" t="n"/>
      <c r="AA235" s="228" t="n"/>
      <c r="AB235" s="228" t="n"/>
      <c r="AC235" s="228" t="n"/>
      <c r="AD235" s="228" t="n"/>
      <c r="AE235" s="343" t="n"/>
      <c r="AF235" s="228" t="n"/>
      <c r="AG235" s="228" t="n"/>
      <c r="AH235" s="228" t="n"/>
      <c r="AI235" s="228" t="n"/>
      <c r="AJ235" s="343" t="n"/>
      <c r="AK235" s="228" t="n"/>
      <c r="AL235" s="322" t="n"/>
      <c r="AM235" s="228" t="n"/>
      <c r="AN235" s="228" t="n"/>
      <c r="AO235" s="343" t="n"/>
      <c r="AP235" s="228" t="n"/>
      <c r="AQ235" s="228" t="n"/>
      <c r="AR235" s="228" t="n"/>
      <c r="AS235" s="228" t="n"/>
      <c r="AT235" s="343" t="n"/>
      <c r="AU235" s="343" t="n"/>
      <c r="AV235" s="343" t="n"/>
      <c r="AW235" s="343" t="n"/>
      <c r="AX235" s="228" t="n"/>
    </row>
    <row r="236" customFormat="1" s="9">
      <c r="A236" s="45" t="inlineStr">
        <is>
          <t>Cumulative Cash Flow Statement</t>
        </is>
      </c>
      <c r="B236" s="45" t="n"/>
      <c r="C236" s="45" t="n"/>
      <c r="D236" s="45" t="n"/>
      <c r="E236" s="45" t="n"/>
      <c r="F236" s="45" t="n"/>
      <c r="G236" s="45" t="n"/>
      <c r="H236" s="45" t="n"/>
      <c r="I236" s="45" t="n"/>
      <c r="J236" s="45" t="n"/>
      <c r="K236" s="45" t="n"/>
      <c r="L236" s="45" t="n"/>
      <c r="M236" s="45" t="n"/>
      <c r="N236" s="45" t="n"/>
      <c r="O236" s="45" t="n"/>
      <c r="P236" s="45" t="n"/>
      <c r="Q236" s="45" t="n"/>
      <c r="R236" s="45" t="n"/>
      <c r="S236" s="45" t="n"/>
      <c r="T236" s="45" t="n"/>
      <c r="U236" s="45" t="n"/>
      <c r="V236" s="45" t="n"/>
      <c r="W236" s="45" t="n"/>
      <c r="X236" s="45" t="n"/>
      <c r="Y236" s="45" t="n"/>
      <c r="Z236" s="45" t="n"/>
      <c r="AA236" s="45" t="n"/>
      <c r="AB236" s="45" t="n"/>
      <c r="AC236" s="45" t="n"/>
      <c r="AD236" s="45" t="n"/>
      <c r="AE236" s="45" t="n"/>
      <c r="AF236" s="45" t="n"/>
      <c r="AG236" s="45" t="n"/>
      <c r="AH236" s="45" t="n"/>
      <c r="AI236" s="45" t="n"/>
      <c r="AJ236" s="45" t="n"/>
      <c r="AK236" s="45" t="n"/>
      <c r="AL236" s="306" t="n"/>
      <c r="AM236" s="45" t="n"/>
      <c r="AN236" s="45" t="n"/>
      <c r="AO236" s="45" t="n"/>
      <c r="AP236" s="45" t="n"/>
      <c r="AQ236" s="45" t="n"/>
      <c r="AR236" s="45" t="n"/>
      <c r="AS236" s="45" t="n"/>
      <c r="AT236" s="45" t="n"/>
      <c r="AU236" s="45" t="n"/>
      <c r="AV236" s="45" t="n"/>
      <c r="AW236" s="45" t="n"/>
      <c r="AX236" s="22" t="n"/>
    </row>
    <row r="237" hidden="1" outlineLevel="1" customFormat="1" s="9">
      <c r="A237" s="35" t="inlineStr">
        <is>
          <t>CFO</t>
        </is>
      </c>
      <c r="B237" s="103" t="n"/>
      <c r="C237" s="4" t="n"/>
      <c r="D237" s="4" t="n"/>
      <c r="E237" s="4" t="n"/>
      <c r="F237" s="4" t="n"/>
      <c r="G237" s="22" t="n"/>
      <c r="H237" s="22" t="n"/>
      <c r="I237" s="22" t="n"/>
      <c r="J237" s="22" t="n"/>
      <c r="K237" s="4" t="n"/>
      <c r="L237" s="22" t="n"/>
      <c r="M237" s="22" t="n"/>
      <c r="N237" s="22" t="n"/>
      <c r="O237" s="22" t="n"/>
      <c r="P237" s="4" t="n"/>
      <c r="Q237" s="22" t="n"/>
      <c r="R237" s="22" t="n"/>
      <c r="S237" s="22" t="n"/>
      <c r="T237" s="22" t="n"/>
      <c r="U237" s="4" t="n"/>
      <c r="V237" s="22" t="n"/>
      <c r="W237" s="22" t="n"/>
      <c r="X237" s="22" t="n"/>
      <c r="Y237" s="22" t="n"/>
      <c r="Z237" s="4" t="n"/>
      <c r="AA237" s="22" t="n"/>
      <c r="AB237" s="22" t="n"/>
      <c r="AC237" s="22" t="n"/>
      <c r="AD237" s="22" t="n"/>
      <c r="AE237" s="4" t="n"/>
      <c r="AF237" s="22" t="n"/>
      <c r="AG237" s="22" t="n"/>
      <c r="AH237" s="22" t="n"/>
      <c r="AI237" s="22" t="n"/>
      <c r="AJ237" s="4" t="n"/>
      <c r="AK237" s="22" t="n"/>
      <c r="AL237" s="308" t="n"/>
      <c r="AM237" s="22" t="n"/>
      <c r="AN237" s="22" t="n"/>
      <c r="AO237" s="4" t="n"/>
      <c r="AP237" s="22" t="n"/>
      <c r="AQ237" s="22" t="n"/>
      <c r="AR237" s="22" t="n"/>
      <c r="AS237" s="22" t="n"/>
      <c r="AT237" s="4" t="n"/>
      <c r="AU237" s="4" t="n"/>
      <c r="AV237" s="4" t="n"/>
      <c r="AW237" s="4" t="n"/>
      <c r="AX237" s="22" t="n"/>
    </row>
    <row r="238" hidden="1" outlineLevel="1" customFormat="1" s="5">
      <c r="A238" s="36" t="inlineStr">
        <is>
          <t>Net (loss) income</t>
        </is>
      </c>
      <c r="B238" s="376" t="n"/>
      <c r="C238" s="343" t="n">
        <v>12.886</v>
      </c>
      <c r="D238" s="343" t="n">
        <v>13.54</v>
      </c>
      <c r="E238" s="343" t="n">
        <v>9.977</v>
      </c>
      <c r="F238" s="343" t="n">
        <v>111.38</v>
      </c>
      <c r="G238" s="228" t="n">
        <v>-8.457000000000001</v>
      </c>
      <c r="H238" s="228" t="n">
        <v>-10.196</v>
      </c>
      <c r="I238" s="228" t="n">
        <v>-15.904</v>
      </c>
      <c r="J238" s="228">
        <f>K238</f>
        <v/>
      </c>
      <c r="K238" s="343" t="n">
        <v>-23.342</v>
      </c>
      <c r="L238" s="228" t="n">
        <v>-10.98</v>
      </c>
      <c r="M238" s="228" t="n">
        <v>-19.847</v>
      </c>
      <c r="N238" s="228" t="n">
        <v>-19.256</v>
      </c>
      <c r="O238" s="228">
        <f>P238</f>
        <v/>
      </c>
      <c r="P238" s="343" t="n">
        <v>-24.009</v>
      </c>
      <c r="Q238" s="228" t="n">
        <v>10.496</v>
      </c>
      <c r="R238" s="228" t="n">
        <v>29.744</v>
      </c>
      <c r="S238" s="228" t="n">
        <v>49.696</v>
      </c>
      <c r="T238" s="228">
        <f>U238</f>
        <v/>
      </c>
      <c r="U238" s="343" t="n">
        <v>92.89400000000001</v>
      </c>
      <c r="V238" s="228" t="n">
        <v>-7.168</v>
      </c>
      <c r="W238" s="228" t="n">
        <v>-2.514</v>
      </c>
      <c r="X238" s="228" t="n">
        <v>9.523</v>
      </c>
      <c r="Y238" s="93">
        <f>Z238</f>
        <v/>
      </c>
      <c r="Z238" s="343" t="n">
        <v>18.518</v>
      </c>
      <c r="AA238" s="228" t="n">
        <v>-12.244</v>
      </c>
      <c r="AB238" s="228" t="n">
        <v>-20.235</v>
      </c>
      <c r="AC238" s="228" t="n">
        <v>-16.832</v>
      </c>
      <c r="AD238" s="93">
        <f>AE238</f>
        <v/>
      </c>
      <c r="AE238" s="343" t="n">
        <v>-19.425</v>
      </c>
      <c r="AF238" s="228" t="n">
        <v>37.843</v>
      </c>
      <c r="AG238" s="228" t="n">
        <v>54.369</v>
      </c>
      <c r="AH238" s="228" t="n">
        <v>91.426</v>
      </c>
      <c r="AI238" s="93">
        <f>AJ238</f>
        <v/>
      </c>
      <c r="AJ238" s="343" t="n">
        <v>134.258</v>
      </c>
      <c r="AK238" s="228" t="n">
        <v>48.62</v>
      </c>
      <c r="AL238" s="322" t="n">
        <v>87.04900000000001</v>
      </c>
      <c r="AM238" s="228" t="n"/>
      <c r="AN238" s="93" t="n"/>
      <c r="AO238" s="343" t="n"/>
      <c r="AP238" s="228" t="n"/>
      <c r="AQ238" s="228" t="n"/>
      <c r="AR238" s="228" t="n"/>
      <c r="AS238" s="93" t="n"/>
      <c r="AT238" s="343" t="n"/>
      <c r="AU238" s="343" t="n"/>
      <c r="AV238" s="343" t="n"/>
      <c r="AW238" s="343" t="n"/>
      <c r="AX238" s="228" t="n"/>
    </row>
    <row r="239" hidden="1" outlineLevel="1" customFormat="1" s="5">
      <c r="A239" s="36" t="inlineStr">
        <is>
          <t>Depreciation and amortization</t>
        </is>
      </c>
      <c r="B239" s="376" t="n"/>
      <c r="C239" s="343" t="n">
        <v>4.071</v>
      </c>
      <c r="D239" s="343" t="n">
        <v>5.777</v>
      </c>
      <c r="E239" s="343" t="n">
        <v>19.745</v>
      </c>
      <c r="F239" s="343" t="n">
        <v>23.868</v>
      </c>
      <c r="G239" s="228" t="n">
        <v>7.35</v>
      </c>
      <c r="H239" s="228" t="n">
        <v>15.186</v>
      </c>
      <c r="I239" s="228" t="n">
        <v>25.439</v>
      </c>
      <c r="J239" s="228">
        <f>K239</f>
        <v/>
      </c>
      <c r="K239" s="343" t="n">
        <v>35.646</v>
      </c>
      <c r="L239" s="228" t="n">
        <v>9.996</v>
      </c>
      <c r="M239" s="228" t="n">
        <v>19.446</v>
      </c>
      <c r="N239" s="228" t="n">
        <v>28.983</v>
      </c>
      <c r="O239" s="228">
        <f>P239</f>
        <v/>
      </c>
      <c r="P239" s="343" t="n">
        <v>38.671</v>
      </c>
      <c r="Q239" s="228" t="n">
        <v>9.545999999999999</v>
      </c>
      <c r="R239" s="228" t="n">
        <v>19.775</v>
      </c>
      <c r="S239" s="228" t="n">
        <v>30.464</v>
      </c>
      <c r="T239" s="228">
        <f>U239</f>
        <v/>
      </c>
      <c r="U239" s="343" t="n">
        <v>41.372</v>
      </c>
      <c r="V239" s="228" t="n">
        <v>20.614</v>
      </c>
      <c r="W239" s="228" t="n">
        <v>46.231</v>
      </c>
      <c r="X239" s="228" t="n">
        <v>73.264</v>
      </c>
      <c r="Y239" s="93">
        <f>Z239</f>
        <v/>
      </c>
      <c r="Z239" s="343" t="n">
        <v>97.73099999999999</v>
      </c>
      <c r="AA239" s="228" t="n">
        <v>25.181</v>
      </c>
      <c r="AB239" s="228" t="n">
        <v>50.814</v>
      </c>
      <c r="AC239" s="228" t="n">
        <v>76.56399999999999</v>
      </c>
      <c r="AD239" s="93">
        <f>AE239</f>
        <v/>
      </c>
      <c r="AE239" s="343" t="n">
        <v>103.821</v>
      </c>
      <c r="AF239" s="228" t="n">
        <v>26.442</v>
      </c>
      <c r="AG239" s="228" t="n">
        <v>52.674</v>
      </c>
      <c r="AH239" s="228" t="n">
        <v>77.455</v>
      </c>
      <c r="AI239" s="93">
        <f>AJ239</f>
        <v/>
      </c>
      <c r="AJ239" s="343" t="n">
        <v>101.59</v>
      </c>
      <c r="AK239" s="228" t="n">
        <v>23.962</v>
      </c>
      <c r="AL239" s="322" t="n">
        <v>47.449</v>
      </c>
      <c r="AM239" s="228" t="n"/>
      <c r="AN239" s="93" t="n"/>
      <c r="AO239" s="343" t="n"/>
      <c r="AP239" s="228" t="n"/>
      <c r="AQ239" s="228" t="n"/>
      <c r="AR239" s="228" t="n"/>
      <c r="AS239" s="93" t="n"/>
      <c r="AT239" s="343" t="n"/>
      <c r="AU239" s="343" t="n"/>
      <c r="AV239" s="343" t="n"/>
      <c r="AW239" s="343" t="n"/>
      <c r="AX239" s="228" t="n"/>
    </row>
    <row r="240" hidden="1" outlineLevel="1" customFormat="1" s="5">
      <c r="A240" s="36" t="inlineStr">
        <is>
          <t>Deferred income taxes</t>
        </is>
      </c>
      <c r="B240" s="376" t="n"/>
      <c r="C240" s="343" t="n">
        <v>3.638</v>
      </c>
      <c r="D240" s="343" t="n">
        <v>7.379</v>
      </c>
      <c r="E240" s="343" t="n">
        <v>-0.228</v>
      </c>
      <c r="F240" s="343" t="n">
        <v>-3.454</v>
      </c>
      <c r="G240" s="228" t="n">
        <v>-1.051</v>
      </c>
      <c r="H240" s="228" t="n">
        <v>-1.93</v>
      </c>
      <c r="I240" s="228" t="n">
        <v>-2.403</v>
      </c>
      <c r="J240" s="228">
        <f>K240</f>
        <v/>
      </c>
      <c r="K240" s="343" t="n">
        <v>-1.24</v>
      </c>
      <c r="L240" s="228" t="n">
        <v>0.124</v>
      </c>
      <c r="M240" s="228" t="n">
        <v>0.8070000000000001</v>
      </c>
      <c r="N240" s="228" t="n">
        <v>-0.202</v>
      </c>
      <c r="O240" s="228">
        <f>P240</f>
        <v/>
      </c>
      <c r="P240" s="343" t="n">
        <v>13.832</v>
      </c>
      <c r="Q240" s="228" t="n">
        <v>0.104</v>
      </c>
      <c r="R240" s="228" t="n">
        <v>0.134</v>
      </c>
      <c r="S240" s="228" t="n">
        <v>0.134</v>
      </c>
      <c r="T240" s="228">
        <f>U240</f>
        <v/>
      </c>
      <c r="U240" s="343" t="n">
        <v>-22.607</v>
      </c>
      <c r="V240" s="228" t="n">
        <v>1.265</v>
      </c>
      <c r="W240" s="228" t="n">
        <v>1.266</v>
      </c>
      <c r="X240" s="228" t="n">
        <v>1.266</v>
      </c>
      <c r="Y240" s="93">
        <f>Z240</f>
        <v/>
      </c>
      <c r="Z240" s="343" t="n">
        <v>0.8090000000000001</v>
      </c>
      <c r="AA240" s="228" t="n">
        <v>-0.9419999999999999</v>
      </c>
      <c r="AB240" s="228" t="n">
        <v>-0.704</v>
      </c>
      <c r="AC240" s="228" t="n">
        <v>-0.704</v>
      </c>
      <c r="AD240" s="93">
        <f>AE240</f>
        <v/>
      </c>
      <c r="AE240" s="343" t="n">
        <v>-2.15</v>
      </c>
      <c r="AF240" s="228" t="n">
        <v>-26.827</v>
      </c>
      <c r="AG240" s="228" t="n">
        <v>-28.085</v>
      </c>
      <c r="AH240" s="228" t="n">
        <v>-27.973</v>
      </c>
      <c r="AI240" s="93">
        <f>AJ240</f>
        <v/>
      </c>
      <c r="AJ240" s="343" t="n">
        <v>-26.697</v>
      </c>
      <c r="AK240" s="228" t="n"/>
      <c r="AL240" s="322" t="n"/>
      <c r="AM240" s="228" t="n"/>
      <c r="AN240" s="93" t="n"/>
      <c r="AO240" s="343" t="n"/>
      <c r="AP240" s="228" t="n"/>
      <c r="AQ240" s="228" t="n"/>
      <c r="AR240" s="228" t="n"/>
      <c r="AS240" s="93" t="n"/>
      <c r="AT240" s="343" t="n"/>
      <c r="AU240" s="343" t="n"/>
      <c r="AV240" s="343" t="n"/>
      <c r="AW240" s="343" t="n"/>
      <c r="AX240" s="228" t="n"/>
    </row>
    <row r="241" hidden="1" outlineLevel="1" customFormat="1" s="5">
      <c r="A241" s="36" t="inlineStr">
        <is>
          <t>Share-based compensation</t>
        </is>
      </c>
      <c r="B241" s="376" t="n"/>
      <c r="C241" s="343" t="n">
        <v>10.736</v>
      </c>
      <c r="D241" s="343" t="n">
        <v>14.101</v>
      </c>
      <c r="E241" s="343" t="n">
        <v>21.412</v>
      </c>
      <c r="F241" s="343" t="n">
        <v>35.019</v>
      </c>
      <c r="G241" s="228" t="n">
        <v>10.375</v>
      </c>
      <c r="H241" s="228" t="n">
        <v>21.54</v>
      </c>
      <c r="I241" s="228" t="n">
        <v>33.472</v>
      </c>
      <c r="J241" s="228">
        <f>K241</f>
        <v/>
      </c>
      <c r="K241" s="343" t="n">
        <v>45.138</v>
      </c>
      <c r="L241" s="228" t="n">
        <v>11.638</v>
      </c>
      <c r="M241" s="228" t="n">
        <v>23.585</v>
      </c>
      <c r="N241" s="228" t="n">
        <v>35.434</v>
      </c>
      <c r="O241" s="228">
        <f>P241</f>
        <v/>
      </c>
      <c r="P241" s="343" t="n">
        <v>47.235</v>
      </c>
      <c r="Q241" s="228" t="n">
        <v>11.718</v>
      </c>
      <c r="R241" s="228" t="n">
        <v>25.004</v>
      </c>
      <c r="S241" s="228" t="n">
        <v>37.834</v>
      </c>
      <c r="T241" s="228">
        <f>U241</f>
        <v/>
      </c>
      <c r="U241" s="343" t="n">
        <v>50.764</v>
      </c>
      <c r="V241" s="228" t="n">
        <v>18.266</v>
      </c>
      <c r="W241" s="228" t="n">
        <v>36.36</v>
      </c>
      <c r="X241" s="228" t="n">
        <v>53.936</v>
      </c>
      <c r="Y241" s="93">
        <f>Z241</f>
        <v/>
      </c>
      <c r="Z241" s="343" t="n">
        <v>66.309</v>
      </c>
      <c r="AA241" s="228" t="n">
        <v>14.768</v>
      </c>
      <c r="AB241" s="228" t="n">
        <v>32.433</v>
      </c>
      <c r="AC241" s="228" t="n">
        <v>50.993</v>
      </c>
      <c r="AD241" s="93">
        <f>AE241</f>
        <v/>
      </c>
      <c r="AE241" s="343" t="n">
        <v>68.864</v>
      </c>
      <c r="AF241" s="228" t="n">
        <v>14.974</v>
      </c>
      <c r="AG241" s="228" t="n">
        <v>29.89</v>
      </c>
      <c r="AH241" s="228" t="n">
        <v>49.046</v>
      </c>
      <c r="AI241" s="93">
        <f>AJ241</f>
        <v/>
      </c>
      <c r="AJ241" s="343" t="n">
        <v>71.342</v>
      </c>
      <c r="AK241" s="228" t="n">
        <v>24.242</v>
      </c>
      <c r="AL241" s="322" t="n">
        <v>51.191</v>
      </c>
      <c r="AM241" s="228" t="n"/>
      <c r="AN241" s="93" t="n"/>
      <c r="AO241" s="343" t="n"/>
      <c r="AP241" s="228" t="n"/>
      <c r="AQ241" s="228" t="n"/>
      <c r="AR241" s="228" t="n"/>
      <c r="AS241" s="93" t="n"/>
      <c r="AT241" s="343" t="n"/>
      <c r="AU241" s="343" t="n"/>
      <c r="AV241" s="343" t="n"/>
      <c r="AW241" s="343" t="n"/>
      <c r="AX241" s="228" t="n"/>
    </row>
    <row r="242" hidden="1" outlineLevel="1" customFormat="1" s="5">
      <c r="A242" s="36" t="inlineStr">
        <is>
          <t>Loss (gain) on investments, net</t>
        </is>
      </c>
      <c r="B242" s="376" t="n"/>
      <c r="C242" s="343" t="n">
        <v>-0.827</v>
      </c>
      <c r="D242" s="343" t="n">
        <v>-0.025</v>
      </c>
      <c r="E242" s="343" t="n">
        <v>-0.015</v>
      </c>
      <c r="F242" s="343" t="n">
        <v>-0.896</v>
      </c>
      <c r="G242" s="228" t="n">
        <v>-0.223</v>
      </c>
      <c r="H242" s="228" t="n">
        <v>-0.439</v>
      </c>
      <c r="I242" s="228" t="n">
        <v>-0.71</v>
      </c>
      <c r="J242" s="228">
        <f>K242</f>
        <v/>
      </c>
      <c r="K242" s="343" t="n">
        <v>-1.219</v>
      </c>
      <c r="L242" s="228" t="n">
        <v>-0.416</v>
      </c>
      <c r="M242" s="228" t="n">
        <v>-1.2</v>
      </c>
      <c r="N242" s="228" t="n">
        <v>-0.094</v>
      </c>
      <c r="O242" s="228">
        <f>P242</f>
        <v/>
      </c>
      <c r="P242" s="343" t="n">
        <v>0.425</v>
      </c>
      <c r="Q242" s="228" t="n">
        <v>-0.309</v>
      </c>
      <c r="R242" s="228" t="n">
        <v>-2.388</v>
      </c>
      <c r="S242" s="228" t="n">
        <v>-2.193</v>
      </c>
      <c r="T242" s="228">
        <f>U242</f>
        <v/>
      </c>
      <c r="U242" s="343" t="n">
        <v>-3</v>
      </c>
      <c r="V242" s="228" t="n">
        <v>0.112</v>
      </c>
      <c r="W242" s="228" t="n">
        <v>-0.489</v>
      </c>
      <c r="X242" s="228" t="n">
        <v>-1.19</v>
      </c>
      <c r="Y242" s="93">
        <f>Z242</f>
        <v/>
      </c>
      <c r="Z242" s="343" t="n">
        <v>-1.774</v>
      </c>
      <c r="AA242" s="228" t="n">
        <v>-0.858</v>
      </c>
      <c r="AB242" s="228" t="n">
        <v>-1.701</v>
      </c>
      <c r="AC242" s="228" t="n">
        <v>-2.632</v>
      </c>
      <c r="AD242" s="93">
        <f>AE242</f>
        <v/>
      </c>
      <c r="AE242" s="343" t="n">
        <v>-3.46</v>
      </c>
      <c r="AF242" s="228" t="n">
        <v>-0.886</v>
      </c>
      <c r="AG242" s="228" t="n">
        <v>-1.828</v>
      </c>
      <c r="AH242" s="228" t="n">
        <v>-3.135</v>
      </c>
      <c r="AI242" s="93">
        <f>AJ242</f>
        <v/>
      </c>
      <c r="AJ242" s="343" t="n">
        <v>-5.278</v>
      </c>
      <c r="AK242" s="228" t="n">
        <v>-2.758</v>
      </c>
      <c r="AL242" s="322" t="n">
        <v>-6.558</v>
      </c>
      <c r="AM242" s="228" t="n"/>
      <c r="AN242" s="93" t="n"/>
      <c r="AO242" s="343" t="n"/>
      <c r="AP242" s="228" t="n"/>
      <c r="AQ242" s="228" t="n"/>
      <c r="AR242" s="228" t="n"/>
      <c r="AS242" s="93" t="n"/>
      <c r="AT242" s="343" t="n"/>
      <c r="AU242" s="343" t="n"/>
      <c r="AV242" s="343" t="n"/>
      <c r="AW242" s="343" t="n"/>
      <c r="AX242" s="228" t="n"/>
    </row>
    <row r="243" hidden="1" outlineLevel="1" customFormat="1" s="5">
      <c r="A243" s="36" t="inlineStr">
        <is>
          <t>Gain on sale of an investment in a privately-held company</t>
        </is>
      </c>
      <c r="B243" s="376" t="n"/>
      <c r="C243" s="343" t="n"/>
      <c r="D243" s="343" t="n"/>
      <c r="E243" s="343" t="n"/>
      <c r="F243" s="343" t="n"/>
      <c r="G243" s="228" t="n"/>
      <c r="H243" s="228" t="n"/>
      <c r="I243" s="228" t="n"/>
      <c r="J243" s="228" t="n"/>
      <c r="K243" s="343" t="n"/>
      <c r="L243" s="228" t="n"/>
      <c r="M243" s="228" t="n"/>
      <c r="N243" s="228" t="n"/>
      <c r="O243" s="228" t="n"/>
      <c r="P243" s="343" t="n"/>
      <c r="Q243" s="228" t="n"/>
      <c r="R243" s="228" t="n"/>
      <c r="S243" s="228" t="n"/>
      <c r="T243" s="228" t="n"/>
      <c r="U243" s="343" t="n"/>
      <c r="V243" s="228" t="n"/>
      <c r="W243" s="228" t="n"/>
      <c r="X243" s="228" t="n"/>
      <c r="Y243" s="93" t="n"/>
      <c r="Z243" s="343" t="n"/>
      <c r="AA243" s="228" t="n"/>
      <c r="AB243" s="228" t="n"/>
      <c r="AC243" s="228" t="n"/>
      <c r="AD243" s="93" t="n"/>
      <c r="AE243" s="343" t="n"/>
      <c r="AF243" s="228" t="n"/>
      <c r="AG243" s="228" t="n"/>
      <c r="AH243" s="228" t="n"/>
      <c r="AI243" s="93" t="n"/>
      <c r="AJ243" s="343" t="n"/>
      <c r="AK243" s="228" t="n">
        <v>-9.128</v>
      </c>
      <c r="AL243" s="322" t="n">
        <v>-9.569000000000001</v>
      </c>
      <c r="AM243" s="228" t="n"/>
      <c r="AN243" s="93" t="n"/>
      <c r="AO243" s="343" t="n"/>
      <c r="AP243" s="228" t="n"/>
      <c r="AQ243" s="228" t="n"/>
      <c r="AR243" s="228" t="n"/>
      <c r="AS243" s="93" t="n"/>
      <c r="AT243" s="343" t="n"/>
      <c r="AU243" s="343" t="n"/>
      <c r="AV243" s="343" t="n"/>
      <c r="AW243" s="343" t="n"/>
      <c r="AX243" s="228" t="n"/>
    </row>
    <row r="244" hidden="1" outlineLevel="1" customFormat="1" s="5">
      <c r="A244" s="36" t="inlineStr">
        <is>
          <t>Loss on disposal of property and equipment</t>
        </is>
      </c>
      <c r="B244" s="376" t="n"/>
      <c r="C244" s="343" t="n"/>
      <c r="D244" s="343" t="n"/>
      <c r="E244" s="343" t="n"/>
      <c r="F244" s="343" t="n"/>
      <c r="G244" s="228" t="n"/>
      <c r="H244" s="228" t="n"/>
      <c r="I244" s="228" t="n"/>
      <c r="J244" s="228" t="n"/>
      <c r="K244" s="343" t="n"/>
      <c r="L244" s="228" t="n"/>
      <c r="M244" s="228" t="n"/>
      <c r="N244" s="228" t="n"/>
      <c r="O244" s="228" t="n"/>
      <c r="P244" s="343" t="n"/>
      <c r="Q244" s="228" t="n"/>
      <c r="R244" s="228" t="n"/>
      <c r="S244" s="228" t="n"/>
      <c r="T244" s="228" t="n"/>
      <c r="U244" s="343" t="n"/>
      <c r="V244" s="228" t="n"/>
      <c r="W244" s="228" t="n"/>
      <c r="X244" s="228" t="n"/>
      <c r="Y244" s="93" t="n"/>
      <c r="Z244" s="343" t="n"/>
      <c r="AA244" s="228" t="n"/>
      <c r="AB244" s="228" t="n"/>
      <c r="AC244" s="228" t="n"/>
      <c r="AD244" s="93" t="n"/>
      <c r="AE244" s="343" t="n"/>
      <c r="AF244" s="228" t="n">
        <v>0.139</v>
      </c>
      <c r="AG244" s="228" t="n"/>
      <c r="AH244" s="228" t="n"/>
      <c r="AI244" s="93" t="n"/>
      <c r="AJ244" s="343" t="n"/>
      <c r="AK244" s="228" t="n"/>
      <c r="AL244" s="322" t="n"/>
      <c r="AM244" s="228" t="n"/>
      <c r="AN244" s="93" t="n"/>
      <c r="AO244" s="343" t="n"/>
      <c r="AP244" s="228" t="n"/>
      <c r="AQ244" s="228" t="n"/>
      <c r="AR244" s="228" t="n"/>
      <c r="AS244" s="93" t="n"/>
      <c r="AT244" s="343" t="n"/>
      <c r="AU244" s="343" t="n"/>
      <c r="AV244" s="343" t="n"/>
      <c r="AW244" s="343" t="n"/>
      <c r="AX244" s="228" t="n"/>
    </row>
    <row r="245" hidden="1" outlineLevel="1" customFormat="1" s="5">
      <c r="A245" s="36" t="inlineStr">
        <is>
          <t>Excess tax benefit from share-based compensation</t>
        </is>
      </c>
      <c r="B245" s="376" t="n"/>
      <c r="C245" s="343" t="n">
        <v>0</v>
      </c>
      <c r="D245" s="343" t="n">
        <v>-1.101</v>
      </c>
      <c r="E245" s="343" t="n">
        <v>-2.411</v>
      </c>
      <c r="F245" s="343" t="n">
        <v>-5.141</v>
      </c>
      <c r="G245" s="228" t="n">
        <v>-0.9320000000000001</v>
      </c>
      <c r="H245" s="228" t="n">
        <v>-1.939</v>
      </c>
      <c r="I245" s="228" t="n">
        <v>-2.796</v>
      </c>
      <c r="J245" s="228">
        <f>K245</f>
        <v/>
      </c>
      <c r="K245" s="343" t="n">
        <v>-2.662</v>
      </c>
      <c r="L245" s="228" t="n"/>
      <c r="M245" s="228" t="n"/>
      <c r="N245" s="228" t="n">
        <v>-0.346</v>
      </c>
      <c r="O245" s="228">
        <f>P245</f>
        <v/>
      </c>
      <c r="P245" s="343" t="n">
        <v>-0.342</v>
      </c>
      <c r="Q245" s="228" t="n"/>
      <c r="R245" s="228" t="n"/>
      <c r="S245" s="228" t="n"/>
      <c r="T245" s="228">
        <f>U245</f>
        <v/>
      </c>
      <c r="U245" s="343" t="n">
        <v>-0.053</v>
      </c>
      <c r="V245" s="228" t="n"/>
      <c r="W245" s="228" t="n"/>
      <c r="X245" s="228" t="n"/>
      <c r="Y245" s="93">
        <f>Z245</f>
        <v/>
      </c>
      <c r="Z245" s="343" t="n">
        <v>0.046</v>
      </c>
      <c r="AA245" s="228" t="n"/>
      <c r="AB245" s="228" t="n"/>
      <c r="AC245" s="228" t="n"/>
      <c r="AD245" s="93">
        <f>AE245</f>
        <v/>
      </c>
      <c r="AE245" s="343" t="n"/>
      <c r="AF245" s="228" t="n"/>
      <c r="AG245" s="228" t="n"/>
      <c r="AH245" s="228" t="n"/>
      <c r="AI245" s="93">
        <f>AJ245</f>
        <v/>
      </c>
      <c r="AJ245" s="343" t="n"/>
      <c r="AK245" s="228" t="n"/>
      <c r="AL245" s="322" t="n"/>
      <c r="AM245" s="228" t="n"/>
      <c r="AN245" s="93" t="n"/>
      <c r="AO245" s="343" t="n"/>
      <c r="AP245" s="228" t="n"/>
      <c r="AQ245" s="228" t="n"/>
      <c r="AR245" s="228" t="n"/>
      <c r="AS245" s="93" t="n"/>
      <c r="AT245" s="343" t="n"/>
      <c r="AU245" s="343" t="n"/>
      <c r="AV245" s="343" t="n"/>
      <c r="AW245" s="343" t="n"/>
      <c r="AX245" s="228" t="n"/>
    </row>
    <row r="246" hidden="1" outlineLevel="1" customFormat="1" s="5">
      <c r="A246" s="36" t="inlineStr">
        <is>
          <t>Impairment charges</t>
        </is>
      </c>
      <c r="B246" s="376" t="n"/>
      <c r="C246" s="343" t="n">
        <v>0.5</v>
      </c>
      <c r="D246" s="343" t="n"/>
      <c r="E246" s="343" t="n"/>
      <c r="F246" s="343" t="n"/>
      <c r="G246" s="228" t="n"/>
      <c r="H246" s="228" t="n"/>
      <c r="I246" s="228" t="n"/>
      <c r="J246" s="228">
        <f>K246</f>
        <v/>
      </c>
      <c r="K246" s="343" t="n"/>
      <c r="L246" s="228" t="n"/>
      <c r="M246" s="228" t="n"/>
      <c r="N246" s="228" t="n"/>
      <c r="O246" s="228">
        <f>P246</f>
        <v/>
      </c>
      <c r="P246" s="343" t="n"/>
      <c r="Q246" s="228" t="n">
        <v>3.189</v>
      </c>
      <c r="R246" s="228" t="n">
        <v>3.189</v>
      </c>
      <c r="S246" s="228" t="n">
        <v>3.189</v>
      </c>
      <c r="T246" s="228">
        <f>U246</f>
        <v/>
      </c>
      <c r="U246" s="343" t="n">
        <v>3.189</v>
      </c>
      <c r="V246" s="228" t="n">
        <v>0</v>
      </c>
      <c r="W246" s="228" t="n"/>
      <c r="X246" s="228" t="n"/>
      <c r="Y246" s="93">
        <f>Z246</f>
        <v/>
      </c>
      <c r="Z246" s="343" t="n"/>
      <c r="AA246" s="228" t="n"/>
      <c r="AB246" s="228" t="n"/>
      <c r="AC246" s="228" t="n"/>
      <c r="AD246" s="93">
        <f>AE246</f>
        <v/>
      </c>
      <c r="AE246" s="343" t="n">
        <v>12.019</v>
      </c>
      <c r="AF246" s="228" t="n"/>
      <c r="AG246" s="228" t="n">
        <v>1.567</v>
      </c>
      <c r="AH246" s="228" t="n">
        <v>2.806</v>
      </c>
      <c r="AI246" s="93">
        <f>AJ246</f>
        <v/>
      </c>
      <c r="AJ246" s="343" t="n">
        <v>4.754</v>
      </c>
      <c r="AK246" s="345" t="n">
        <v>2.544</v>
      </c>
      <c r="AL246" s="322" t="n">
        <v>2.843</v>
      </c>
      <c r="AM246" s="228" t="n"/>
      <c r="AN246" s="93" t="n"/>
      <c r="AO246" s="343" t="n"/>
      <c r="AP246" s="228" t="n"/>
      <c r="AQ246" s="228" t="n"/>
      <c r="AR246" s="228" t="n"/>
      <c r="AS246" s="93" t="n"/>
      <c r="AT246" s="343" t="n"/>
      <c r="AU246" s="343" t="n"/>
      <c r="AV246" s="343" t="n"/>
      <c r="AW246" s="343" t="n"/>
      <c r="AX246" s="228" t="n"/>
    </row>
    <row r="247" hidden="1" outlineLevel="1" customFormat="1" s="9">
      <c r="A247" s="347" t="inlineStr">
        <is>
          <t>CFO before WC</t>
        </is>
      </c>
      <c r="B247" s="377" t="n"/>
      <c r="C247" s="349">
        <f>SUM(C238:C246)</f>
        <v/>
      </c>
      <c r="D247" s="349">
        <f>SUM(D238:D246)</f>
        <v/>
      </c>
      <c r="E247" s="349">
        <f>SUM(E238:E246)</f>
        <v/>
      </c>
      <c r="F247" s="349">
        <f>SUM(F238:F246)</f>
        <v/>
      </c>
      <c r="G247" s="350">
        <f>SUM(G238:G246)</f>
        <v/>
      </c>
      <c r="H247" s="350">
        <f>SUM(H238:H246)</f>
        <v/>
      </c>
      <c r="I247" s="350">
        <f>SUM(I238:I246)</f>
        <v/>
      </c>
      <c r="J247" s="350">
        <f>SUM(J238:J246)</f>
        <v/>
      </c>
      <c r="K247" s="349">
        <f>SUM(K238:K246)</f>
        <v/>
      </c>
      <c r="L247" s="350">
        <f>SUM(L238:L246)</f>
        <v/>
      </c>
      <c r="M247" s="350">
        <f>SUM(M238:M246)</f>
        <v/>
      </c>
      <c r="N247" s="350">
        <f>SUM(N238:N246)</f>
        <v/>
      </c>
      <c r="O247" s="350">
        <f>SUM(O238:O246)</f>
        <v/>
      </c>
      <c r="P247" s="349">
        <f>SUM(P238:P246)</f>
        <v/>
      </c>
      <c r="Q247" s="350">
        <f>SUM(Q238:Q246)</f>
        <v/>
      </c>
      <c r="R247" s="350">
        <f>SUM(R238:R246)</f>
        <v/>
      </c>
      <c r="S247" s="350">
        <f>SUM(S238:S246)</f>
        <v/>
      </c>
      <c r="T247" s="350">
        <f>SUM(T238:T246)</f>
        <v/>
      </c>
      <c r="U247" s="349">
        <f>SUM(U238:U246)</f>
        <v/>
      </c>
      <c r="V247" s="350">
        <f>SUM(V238:V246)</f>
        <v/>
      </c>
      <c r="W247" s="350">
        <f>SUM(W238:W246)</f>
        <v/>
      </c>
      <c r="X247" s="350">
        <f>SUM(X238:X246)</f>
        <v/>
      </c>
      <c r="Y247" s="351">
        <f>SUM(Y238:Y246)</f>
        <v/>
      </c>
      <c r="Z247" s="352">
        <f>SUM(Z238:Z246)</f>
        <v/>
      </c>
      <c r="AA247" s="350">
        <f>SUM(AA238:AA246)</f>
        <v/>
      </c>
      <c r="AB247" s="350">
        <f>SUM(AB238:AB246)</f>
        <v/>
      </c>
      <c r="AC247" s="350">
        <f>SUM(AC238:AC246)</f>
        <v/>
      </c>
      <c r="AD247" s="351">
        <f>SUM(AD238:AD246)</f>
        <v/>
      </c>
      <c r="AE247" s="352">
        <f>SUM(AE238:AE246)</f>
        <v/>
      </c>
      <c r="AF247" s="350">
        <f>SUM(AF238:AF246)</f>
        <v/>
      </c>
      <c r="AG247" s="350">
        <f>SUM(AG238:AG246)</f>
        <v/>
      </c>
      <c r="AH247" s="350">
        <f>SUM(AH238:AH246)</f>
        <v/>
      </c>
      <c r="AI247" s="351">
        <f>SUM(AI238:AI246)</f>
        <v/>
      </c>
      <c r="AJ247" s="352">
        <f>SUM(AJ238:AJ246)</f>
        <v/>
      </c>
      <c r="AK247" s="350">
        <f>SUM(AK238:AK246)</f>
        <v/>
      </c>
      <c r="AL247" s="353">
        <f>SUM(AL238:AL246)</f>
        <v/>
      </c>
      <c r="AM247" s="351" t="n"/>
      <c r="AN247" s="351" t="n"/>
      <c r="AO247" s="352" t="n"/>
      <c r="AP247" s="351" t="n"/>
      <c r="AQ247" s="351" t="n"/>
      <c r="AR247" s="351" t="n"/>
      <c r="AS247" s="351" t="n"/>
      <c r="AT247" s="352" t="n"/>
      <c r="AU247" s="352" t="n"/>
      <c r="AV247" s="352" t="n"/>
      <c r="AW247" s="352" t="n"/>
      <c r="AX247" s="22" t="n"/>
    </row>
    <row r="248" hidden="1" outlineLevel="1" customFormat="1" s="5">
      <c r="A248" s="36" t="inlineStr">
        <is>
          <t>Accounts receivable</t>
        </is>
      </c>
      <c r="B248" s="376" t="n"/>
      <c r="C248" s="343" t="n">
        <v>2.981</v>
      </c>
      <c r="D248" s="343" t="n">
        <v>0.525</v>
      </c>
      <c r="E248" s="343" t="n">
        <v>-15.899</v>
      </c>
      <c r="F248" s="343" t="n">
        <v>-10.301</v>
      </c>
      <c r="G248" s="228" t="n">
        <v>-0.629</v>
      </c>
      <c r="H248" s="228" t="n">
        <v>-9.086</v>
      </c>
      <c r="I248" s="228" t="n">
        <v>-12.137</v>
      </c>
      <c r="J248" s="228">
        <f>K248</f>
        <v/>
      </c>
      <c r="K248" s="343" t="n">
        <v>-9.5</v>
      </c>
      <c r="L248" s="228" t="n">
        <v>5.036</v>
      </c>
      <c r="M248" s="228" t="n">
        <v>0.52</v>
      </c>
      <c r="N248" s="228" t="n">
        <v>-2.215</v>
      </c>
      <c r="O248" s="228">
        <f>P248</f>
        <v/>
      </c>
      <c r="P248" s="343" t="n">
        <v>5.421</v>
      </c>
      <c r="Q248" s="228" t="n">
        <v>9.005000000000001</v>
      </c>
      <c r="R248" s="228" t="n">
        <v>3.918</v>
      </c>
      <c r="S248" s="228" t="n">
        <v>0.229</v>
      </c>
      <c r="T248" s="228">
        <f>U248</f>
        <v/>
      </c>
      <c r="U248" s="343" t="n">
        <v>-19.351</v>
      </c>
      <c r="V248" s="228" t="n">
        <v>-4.677</v>
      </c>
      <c r="W248" s="228" t="n">
        <v>-16.886</v>
      </c>
      <c r="X248" s="228" t="n">
        <v>-32.698</v>
      </c>
      <c r="Y248" s="93">
        <f>Z248</f>
        <v/>
      </c>
      <c r="Z248" s="343" t="n">
        <v>-41.331</v>
      </c>
      <c r="AA248" s="228" t="n">
        <v>15.532</v>
      </c>
      <c r="AB248" s="228" t="n">
        <v>-7.78</v>
      </c>
      <c r="AC248" s="228" t="n">
        <v>8.42</v>
      </c>
      <c r="AD248" s="93">
        <f>AE248</f>
        <v/>
      </c>
      <c r="AE248" s="343" t="n">
        <v>-12.175</v>
      </c>
      <c r="AF248" s="228" t="n">
        <v>11.316</v>
      </c>
      <c r="AG248" s="228" t="n">
        <v>-1.451</v>
      </c>
      <c r="AH248" s="228" t="n">
        <v>11.441</v>
      </c>
      <c r="AI248" s="93">
        <f>AJ248</f>
        <v/>
      </c>
      <c r="AJ248" s="343" t="n">
        <v>3.588</v>
      </c>
      <c r="AK248" s="228" t="n">
        <v>-21.093</v>
      </c>
      <c r="AL248" s="322" t="n">
        <v>-49.726</v>
      </c>
      <c r="AM248" s="228" t="n"/>
      <c r="AN248" s="93" t="n"/>
      <c r="AO248" s="343" t="n"/>
      <c r="AP248" s="228" t="n"/>
      <c r="AQ248" s="228" t="n"/>
      <c r="AR248" s="228" t="n"/>
      <c r="AS248" s="93" t="n"/>
      <c r="AT248" s="343" t="n"/>
      <c r="AU248" s="343" t="n"/>
      <c r="AV248" s="343" t="n"/>
      <c r="AW248" s="343" t="n"/>
      <c r="AX248" s="228" t="n"/>
    </row>
    <row r="249" hidden="1" outlineLevel="1" customFormat="1" s="5">
      <c r="A249" s="36" t="inlineStr">
        <is>
          <t>Inventories</t>
        </is>
      </c>
      <c r="B249" s="376" t="n"/>
      <c r="C249" s="343" t="n">
        <v>-3.014</v>
      </c>
      <c r="D249" s="343" t="n">
        <v>-2.951</v>
      </c>
      <c r="E249" s="343" t="n">
        <v>-8.638999999999999</v>
      </c>
      <c r="F249" s="343" t="n">
        <v>-19.436</v>
      </c>
      <c r="G249" s="228" t="n">
        <v>-2.866</v>
      </c>
      <c r="H249" s="228" t="n">
        <v>5.895</v>
      </c>
      <c r="I249" s="228" t="n">
        <v>12.942</v>
      </c>
      <c r="J249" s="228">
        <f>K249</f>
        <v/>
      </c>
      <c r="K249" s="343" t="n">
        <v>9.472</v>
      </c>
      <c r="L249" s="228" t="n">
        <v>-2.874</v>
      </c>
      <c r="M249" s="228" t="n">
        <v>-1.15</v>
      </c>
      <c r="N249" s="228" t="n">
        <v>-3.732</v>
      </c>
      <c r="O249" s="228">
        <f>P249</f>
        <v/>
      </c>
      <c r="P249" s="343" t="n">
        <v>-9.624000000000001</v>
      </c>
      <c r="Q249" s="228" t="n">
        <v>-8.689</v>
      </c>
      <c r="R249" s="228" t="n">
        <v>-22.513</v>
      </c>
      <c r="S249" s="228" t="n">
        <v>-23.988</v>
      </c>
      <c r="T249" s="228">
        <f>U249</f>
        <v/>
      </c>
      <c r="U249" s="343" t="n">
        <v>-24.735</v>
      </c>
      <c r="V249" s="228" t="n">
        <v>4.361</v>
      </c>
      <c r="W249" s="228" t="n">
        <v>10.598</v>
      </c>
      <c r="X249" s="228" t="n">
        <v>12.624</v>
      </c>
      <c r="Y249" s="93">
        <f>Z249</f>
        <v/>
      </c>
      <c r="Z249" s="343" t="n">
        <v>8.263</v>
      </c>
      <c r="AA249" s="228" t="n">
        <v>-10.457</v>
      </c>
      <c r="AB249" s="228" t="n">
        <v>-7.679</v>
      </c>
      <c r="AC249" s="228" t="n">
        <v>2.349</v>
      </c>
      <c r="AD249" s="93">
        <f>AE249</f>
        <v/>
      </c>
      <c r="AE249" s="343" t="n">
        <v>-0.887</v>
      </c>
      <c r="AF249" s="228" t="n">
        <v>-5.654</v>
      </c>
      <c r="AG249" s="228" t="n">
        <v>-30.598</v>
      </c>
      <c r="AH249" s="228" t="n">
        <v>-41.837</v>
      </c>
      <c r="AI249" s="93">
        <f>AJ249</f>
        <v/>
      </c>
      <c r="AJ249" s="343" t="n">
        <v>-43.301</v>
      </c>
      <c r="AK249" s="228" t="n">
        <v>7.293</v>
      </c>
      <c r="AL249" s="322" t="n">
        <v>11.8</v>
      </c>
      <c r="AM249" s="228" t="n"/>
      <c r="AN249" s="93" t="n"/>
      <c r="AO249" s="343" t="n"/>
      <c r="AP249" s="228" t="n"/>
      <c r="AQ249" s="228" t="n"/>
      <c r="AR249" s="228" t="n"/>
      <c r="AS249" s="93" t="n"/>
      <c r="AT249" s="343" t="n"/>
      <c r="AU249" s="343" t="n"/>
      <c r="AV249" s="343" t="n"/>
      <c r="AW249" s="343" t="n"/>
      <c r="AX249" s="228" t="n"/>
    </row>
    <row r="250" hidden="1" outlineLevel="1" customFormat="1" s="5">
      <c r="A250" s="36" t="inlineStr">
        <is>
          <t>Prepaid expenses and other assets</t>
        </is>
      </c>
      <c r="B250" s="376" t="n"/>
      <c r="C250" s="343" t="n">
        <v>-0.982</v>
      </c>
      <c r="D250" s="343" t="n">
        <v>0.6889999999999999</v>
      </c>
      <c r="E250" s="343" t="n">
        <v>-0.513</v>
      </c>
      <c r="F250" s="343" t="n">
        <v>-3.239</v>
      </c>
      <c r="G250" s="228" t="n">
        <v>-0.178</v>
      </c>
      <c r="H250" s="228" t="n">
        <v>2.99</v>
      </c>
      <c r="I250" s="228" t="n">
        <v>0.699</v>
      </c>
      <c r="J250" s="228">
        <f>K250</f>
        <v/>
      </c>
      <c r="K250" s="343" t="n">
        <v>1.414</v>
      </c>
      <c r="L250" s="228" t="n">
        <v>-1.531</v>
      </c>
      <c r="M250" s="228" t="n">
        <v>-4.71</v>
      </c>
      <c r="N250" s="228" t="n">
        <v>-10.04</v>
      </c>
      <c r="O250" s="228">
        <f>P250</f>
        <v/>
      </c>
      <c r="P250" s="343" t="n">
        <v>-7.687</v>
      </c>
      <c r="Q250" s="228" t="n">
        <v>3.895</v>
      </c>
      <c r="R250" s="228" t="n">
        <v>0.419</v>
      </c>
      <c r="S250" s="228" t="n">
        <v>-0.504</v>
      </c>
      <c r="T250" s="228">
        <f>U250</f>
        <v/>
      </c>
      <c r="U250" s="343" t="n">
        <v>-2.619</v>
      </c>
      <c r="V250" s="228" t="n">
        <v>2.305</v>
      </c>
      <c r="W250" s="228" t="n">
        <v>3.598</v>
      </c>
      <c r="X250" s="228" t="n">
        <v>5.343</v>
      </c>
      <c r="Y250" s="93">
        <f>Z250</f>
        <v/>
      </c>
      <c r="Z250" s="343" t="n">
        <v>6.948</v>
      </c>
      <c r="AA250" s="228" t="n">
        <v>-3.693</v>
      </c>
      <c r="AB250" s="228" t="n">
        <v>-2.667</v>
      </c>
      <c r="AC250" s="228" t="n">
        <v>-5.802</v>
      </c>
      <c r="AD250" s="93">
        <f>AE250</f>
        <v/>
      </c>
      <c r="AE250" s="343" t="n">
        <v>-0.681</v>
      </c>
      <c r="AF250" s="228" t="n">
        <v>-1.349</v>
      </c>
      <c r="AG250" s="228" t="n">
        <v>0.718</v>
      </c>
      <c r="AH250" s="228" t="n">
        <v>-0.128</v>
      </c>
      <c r="AI250" s="93">
        <f>AJ250</f>
        <v/>
      </c>
      <c r="AJ250" s="343" t="n">
        <v>-2.65</v>
      </c>
      <c r="AK250" s="228" t="n">
        <v>-3.552</v>
      </c>
      <c r="AL250" s="322" t="n">
        <v>4.047</v>
      </c>
      <c r="AM250" s="228" t="n"/>
      <c r="AN250" s="93" t="n"/>
      <c r="AO250" s="343" t="n"/>
      <c r="AP250" s="228" t="n"/>
      <c r="AQ250" s="228" t="n"/>
      <c r="AR250" s="228" t="n"/>
      <c r="AS250" s="93" t="n"/>
      <c r="AT250" s="343" t="n"/>
      <c r="AU250" s="343" t="n"/>
      <c r="AV250" s="343" t="n"/>
      <c r="AW250" s="343" t="n"/>
      <c r="AX250" s="228" t="n"/>
    </row>
    <row r="251" hidden="1" outlineLevel="1" customFormat="1" s="5">
      <c r="A251" s="36" t="inlineStr">
        <is>
          <t>Accounts payable</t>
        </is>
      </c>
      <c r="B251" s="376" t="n"/>
      <c r="C251" s="343" t="n">
        <v>0.51</v>
      </c>
      <c r="D251" s="343" t="n">
        <v>-2.249</v>
      </c>
      <c r="E251" s="343" t="n">
        <v>21.065</v>
      </c>
      <c r="F251" s="343" t="n">
        <v>3.43</v>
      </c>
      <c r="G251" s="228" t="n">
        <v>-6.898</v>
      </c>
      <c r="H251" s="228" t="n">
        <v>-7.514</v>
      </c>
      <c r="I251" s="228" t="n">
        <v>-8.896000000000001</v>
      </c>
      <c r="J251" s="228">
        <f>K251</f>
        <v/>
      </c>
      <c r="K251" s="343" t="n">
        <v>-4.447</v>
      </c>
      <c r="L251" s="228" t="n">
        <v>-1.287</v>
      </c>
      <c r="M251" s="228" t="n">
        <v>0.594</v>
      </c>
      <c r="N251" s="228" t="n">
        <v>7.792</v>
      </c>
      <c r="O251" s="228">
        <f>P251</f>
        <v/>
      </c>
      <c r="P251" s="343" t="n">
        <v>9.659000000000001</v>
      </c>
      <c r="Q251" s="228" t="n">
        <v>-2.122</v>
      </c>
      <c r="R251" s="228" t="n">
        <v>8.755000000000001</v>
      </c>
      <c r="S251" s="228" t="n">
        <v>2.119</v>
      </c>
      <c r="T251" s="228">
        <f>U251</f>
        <v/>
      </c>
      <c r="U251" s="343" t="n">
        <v>3.75</v>
      </c>
      <c r="V251" s="228" t="n">
        <v>3.34</v>
      </c>
      <c r="W251" s="228" t="n">
        <v>9.679</v>
      </c>
      <c r="X251" s="228" t="n">
        <v>4.876</v>
      </c>
      <c r="Y251" s="93">
        <f>Z251</f>
        <v/>
      </c>
      <c r="Z251" s="343" t="n">
        <v>13.33</v>
      </c>
      <c r="AA251" s="228" t="n">
        <v>4.931</v>
      </c>
      <c r="AB251" s="228" t="n">
        <v>0.048</v>
      </c>
      <c r="AC251" s="228" t="n">
        <v>-14.876</v>
      </c>
      <c r="AD251" s="93">
        <f>AE251</f>
        <v/>
      </c>
      <c r="AE251" s="343" t="n">
        <v>0.17</v>
      </c>
      <c r="AF251" s="228" t="n">
        <v>3.911</v>
      </c>
      <c r="AG251" s="228" t="n">
        <v>12.53</v>
      </c>
      <c r="AH251" s="228" t="n">
        <v>13.661</v>
      </c>
      <c r="AI251" s="93">
        <f>AJ251</f>
        <v/>
      </c>
      <c r="AJ251" s="343" t="n">
        <v>10.486</v>
      </c>
      <c r="AK251" s="228" t="n">
        <v>-7.407</v>
      </c>
      <c r="AL251" s="322" t="n">
        <v>1.969</v>
      </c>
      <c r="AM251" s="228" t="n"/>
      <c r="AN251" s="93" t="n"/>
      <c r="AO251" s="343" t="n"/>
      <c r="AP251" s="228" t="n"/>
      <c r="AQ251" s="228" t="n"/>
      <c r="AR251" s="228" t="n"/>
      <c r="AS251" s="93" t="n"/>
      <c r="AT251" s="343" t="n"/>
      <c r="AU251" s="343" t="n"/>
      <c r="AV251" s="343" t="n"/>
      <c r="AW251" s="343" t="n"/>
      <c r="AX251" s="228" t="n"/>
    </row>
    <row r="252" hidden="1" outlineLevel="1" customFormat="1" s="5">
      <c r="A252" s="36" t="inlineStr">
        <is>
          <t>Accrued liabilities and other liabilities</t>
        </is>
      </c>
      <c r="B252" s="376" t="n"/>
      <c r="C252" s="343" t="n">
        <v>2.289</v>
      </c>
      <c r="D252" s="343" t="n">
        <v>5.547</v>
      </c>
      <c r="E252" s="343" t="n">
        <v>18.645</v>
      </c>
      <c r="F252" s="343" t="n">
        <v>51.259</v>
      </c>
      <c r="G252" s="228" t="n">
        <v>-3.095</v>
      </c>
      <c r="H252" s="228" t="n">
        <v>-9.651999999999999</v>
      </c>
      <c r="I252" s="228" t="n">
        <v>-8.429</v>
      </c>
      <c r="J252" s="228">
        <f>K252</f>
        <v/>
      </c>
      <c r="K252" s="343" t="n">
        <v>2.61</v>
      </c>
      <c r="L252" s="228" t="n">
        <v>0.879</v>
      </c>
      <c r="M252" s="228" t="n">
        <v>-0.091</v>
      </c>
      <c r="N252" s="228" t="n">
        <v>-1.174</v>
      </c>
      <c r="O252" s="228">
        <f>P252</f>
        <v/>
      </c>
      <c r="P252" s="343" t="n">
        <v>6.549</v>
      </c>
      <c r="Q252" s="228" t="n">
        <v>8.962</v>
      </c>
      <c r="R252" s="228" t="n">
        <v>21.063</v>
      </c>
      <c r="S252" s="228" t="n">
        <v>18.817</v>
      </c>
      <c r="T252" s="228">
        <f>U252</f>
        <v/>
      </c>
      <c r="U252" s="343" t="n">
        <v>30.884</v>
      </c>
      <c r="V252" s="228" t="n">
        <v>10.177</v>
      </c>
      <c r="W252" s="228" t="n">
        <v>5.583</v>
      </c>
      <c r="X252" s="228" t="n">
        <v>15.132</v>
      </c>
      <c r="Y252" s="93">
        <f>Z252</f>
        <v/>
      </c>
      <c r="Z252" s="343" t="n">
        <v>27.261</v>
      </c>
      <c r="AA252" s="228" t="n">
        <v>2.783</v>
      </c>
      <c r="AB252" s="228" t="n">
        <v>-1.141</v>
      </c>
      <c r="AC252" s="228" t="n">
        <v>-3.104</v>
      </c>
      <c r="AD252" s="93">
        <f>AE252</f>
        <v/>
      </c>
      <c r="AE252" s="343" t="n">
        <v>15.216</v>
      </c>
      <c r="AF252" s="228" t="n">
        <v>-4.504</v>
      </c>
      <c r="AG252" s="228" t="n">
        <v>12.334</v>
      </c>
      <c r="AH252" s="228" t="n">
        <v>-4.273</v>
      </c>
      <c r="AI252" s="93">
        <f>AJ252</f>
        <v/>
      </c>
      <c r="AJ252" s="343" t="n">
        <v>16.765</v>
      </c>
      <c r="AK252" s="345" t="n">
        <v>25.709</v>
      </c>
      <c r="AL252" s="322" t="n">
        <v>6.509</v>
      </c>
      <c r="AM252" s="228" t="n"/>
      <c r="AN252" s="93" t="n"/>
      <c r="AO252" s="343" t="n"/>
      <c r="AP252" s="228" t="n"/>
      <c r="AQ252" s="228" t="n"/>
      <c r="AR252" s="228" t="n"/>
      <c r="AS252" s="93" t="n"/>
      <c r="AT252" s="343" t="n"/>
      <c r="AU252" s="343" t="n"/>
      <c r="AV252" s="343" t="n"/>
      <c r="AW252" s="343" t="n"/>
      <c r="AX252" s="228" t="n"/>
    </row>
    <row r="253" hidden="1" outlineLevel="1" customFormat="1" s="9">
      <c r="A253" s="347" t="inlineStr">
        <is>
          <t>Net CFO</t>
        </is>
      </c>
      <c r="B253" s="377" t="n"/>
      <c r="C253" s="349">
        <f>SUM(C247:C252)</f>
        <v/>
      </c>
      <c r="D253" s="349">
        <f>SUM(D247:D252)</f>
        <v/>
      </c>
      <c r="E253" s="349">
        <f>SUM(E247:E252)</f>
        <v/>
      </c>
      <c r="F253" s="349">
        <f>SUM(F247:F252)</f>
        <v/>
      </c>
      <c r="G253" s="350">
        <f>SUM(G247:G252)</f>
        <v/>
      </c>
      <c r="H253" s="350">
        <f>SUM(H247:H252)</f>
        <v/>
      </c>
      <c r="I253" s="350">
        <f>SUM(I247:I252)</f>
        <v/>
      </c>
      <c r="J253" s="350">
        <f>SUM(J247:J252)</f>
        <v/>
      </c>
      <c r="K253" s="349">
        <f>SUM(K247:K252)</f>
        <v/>
      </c>
      <c r="L253" s="350">
        <f>SUM(L247:L252)</f>
        <v/>
      </c>
      <c r="M253" s="350">
        <f>SUM(M247:M252)</f>
        <v/>
      </c>
      <c r="N253" s="350">
        <f>SUM(N247:N252)</f>
        <v/>
      </c>
      <c r="O253" s="350">
        <f>SUM(O247:O252)</f>
        <v/>
      </c>
      <c r="P253" s="349">
        <f>SUM(P247:P252)</f>
        <v/>
      </c>
      <c r="Q253" s="350">
        <f>SUM(Q247:Q252)</f>
        <v/>
      </c>
      <c r="R253" s="350">
        <f>SUM(R247:R252)</f>
        <v/>
      </c>
      <c r="S253" s="350">
        <f>SUM(S247:S252)</f>
        <v/>
      </c>
      <c r="T253" s="350">
        <f>SUM(T247:T252)</f>
        <v/>
      </c>
      <c r="U253" s="349">
        <f>SUM(U247:U252)</f>
        <v/>
      </c>
      <c r="V253" s="350">
        <f>SUM(V247:V252)</f>
        <v/>
      </c>
      <c r="W253" s="350">
        <f>SUM(W247:W252)</f>
        <v/>
      </c>
      <c r="X253" s="350">
        <f>SUM(X247:X252)</f>
        <v/>
      </c>
      <c r="Y253" s="351">
        <f>SUM(Y247:Y252)</f>
        <v/>
      </c>
      <c r="Z253" s="352">
        <f>SUM(Z247:Z252)</f>
        <v/>
      </c>
      <c r="AA253" s="350">
        <f>SUM(AA247:AA252)</f>
        <v/>
      </c>
      <c r="AB253" s="350">
        <f>SUM(AB247:AB252)</f>
        <v/>
      </c>
      <c r="AC253" s="350">
        <f>SUM(AC247:AC252)</f>
        <v/>
      </c>
      <c r="AD253" s="351">
        <f>SUM(AD247:AD252)</f>
        <v/>
      </c>
      <c r="AE253" s="352">
        <f>SUM(AE247:AE252)</f>
        <v/>
      </c>
      <c r="AF253" s="350">
        <f>SUM(AF247:AF252)</f>
        <v/>
      </c>
      <c r="AG253" s="350">
        <f>SUM(AG247:AG252)</f>
        <v/>
      </c>
      <c r="AH253" s="350">
        <f>SUM(AH247:AH252)</f>
        <v/>
      </c>
      <c r="AI253" s="351">
        <f>SUM(AI247:AI252)</f>
        <v/>
      </c>
      <c r="AJ253" s="352">
        <f>SUM(AJ247:AJ252)</f>
        <v/>
      </c>
      <c r="AK253" s="350">
        <f>SUM(AK247:AK252)</f>
        <v/>
      </c>
      <c r="AL253" s="353">
        <f>SUM(AL247:AL252)</f>
        <v/>
      </c>
      <c r="AM253" s="351" t="n"/>
      <c r="AN253" s="351" t="n"/>
      <c r="AO253" s="352" t="n"/>
      <c r="AP253" s="351" t="n"/>
      <c r="AQ253" s="351" t="n"/>
      <c r="AR253" s="351" t="n"/>
      <c r="AS253" s="351" t="n"/>
      <c r="AT253" s="352" t="n"/>
      <c r="AU253" s="352" t="n"/>
      <c r="AV253" s="352" t="n"/>
      <c r="AW253" s="352" t="n"/>
      <c r="AX253" s="22" t="n"/>
    </row>
    <row r="254" hidden="1" outlineLevel="1" customFormat="1" s="9">
      <c r="A254" s="35" t="n"/>
      <c r="B254" s="103" t="n"/>
      <c r="C254" s="4" t="n"/>
      <c r="D254" s="4" t="n"/>
      <c r="E254" s="4" t="n"/>
      <c r="F254" s="4" t="n"/>
      <c r="G254" s="22" t="n"/>
      <c r="H254" s="22" t="n"/>
      <c r="I254" s="22" t="n"/>
      <c r="J254" s="22" t="n"/>
      <c r="K254" s="4" t="n"/>
      <c r="L254" s="22" t="n"/>
      <c r="M254" s="22" t="n"/>
      <c r="N254" s="22" t="n"/>
      <c r="O254" s="22" t="n"/>
      <c r="P254" s="4" t="n"/>
      <c r="Q254" s="22" t="n"/>
      <c r="R254" s="22" t="n"/>
      <c r="S254" s="22" t="n"/>
      <c r="T254" s="22" t="n"/>
      <c r="U254" s="4" t="n"/>
      <c r="V254" s="22" t="n"/>
      <c r="W254" s="22" t="n"/>
      <c r="X254" s="22" t="n"/>
      <c r="Y254" s="22" t="n"/>
      <c r="Z254" s="4" t="n"/>
      <c r="AA254" s="22" t="n"/>
      <c r="AB254" s="22" t="n"/>
      <c r="AC254" s="22" t="n"/>
      <c r="AD254" s="22" t="n"/>
      <c r="AE254" s="4" t="n"/>
      <c r="AF254" s="22" t="n"/>
      <c r="AG254" s="22" t="n"/>
      <c r="AH254" s="22" t="n"/>
      <c r="AI254" s="22" t="n"/>
      <c r="AJ254" s="4" t="n"/>
      <c r="AK254" s="22" t="n"/>
      <c r="AL254" s="308" t="n"/>
      <c r="AM254" s="22" t="n"/>
      <c r="AN254" s="22" t="n"/>
      <c r="AO254" s="4" t="n"/>
      <c r="AP254" s="22" t="n"/>
      <c r="AQ254" s="22" t="n"/>
      <c r="AR254" s="22" t="n"/>
      <c r="AS254" s="22" t="n"/>
      <c r="AT254" s="4" t="n"/>
      <c r="AU254" s="4" t="n"/>
      <c r="AV254" s="4" t="n"/>
      <c r="AW254" s="4" t="n"/>
      <c r="AX254" s="22" t="n"/>
    </row>
    <row r="255" hidden="1" outlineLevel="1" customFormat="1" s="9">
      <c r="A255" s="35" t="inlineStr">
        <is>
          <t>CFI</t>
        </is>
      </c>
      <c r="B255" s="103" t="n"/>
      <c r="C255" s="4" t="n"/>
      <c r="D255" s="4" t="n"/>
      <c r="E255" s="4" t="n"/>
      <c r="F255" s="4" t="n"/>
      <c r="G255" s="22" t="n"/>
      <c r="H255" s="22" t="n"/>
      <c r="I255" s="22" t="n"/>
      <c r="J255" s="22" t="n"/>
      <c r="K255" s="4" t="n"/>
      <c r="L255" s="22" t="n"/>
      <c r="M255" s="22" t="n"/>
      <c r="N255" s="22" t="n"/>
      <c r="O255" s="22" t="n"/>
      <c r="P255" s="4" t="n"/>
      <c r="Q255" s="22" t="n"/>
      <c r="R255" s="22" t="n"/>
      <c r="S255" s="22" t="n"/>
      <c r="T255" s="22" t="n"/>
      <c r="U255" s="4" t="n"/>
      <c r="V255" s="22" t="n"/>
      <c r="W255" s="22" t="n"/>
      <c r="X255" s="22" t="n"/>
      <c r="Y255" s="22" t="n"/>
      <c r="Z255" s="4" t="n"/>
      <c r="AA255" s="22" t="n"/>
      <c r="AB255" s="22" t="n"/>
      <c r="AC255" s="22" t="n"/>
      <c r="AD255" s="22" t="n"/>
      <c r="AE255" s="4" t="n"/>
      <c r="AF255" s="22" t="n"/>
      <c r="AG255" s="22" t="n"/>
      <c r="AH255" s="22" t="n"/>
      <c r="AI255" s="22" t="n"/>
      <c r="AJ255" s="4" t="n"/>
      <c r="AK255" s="22" t="n"/>
      <c r="AL255" s="308" t="n"/>
      <c r="AM255" s="22" t="n"/>
      <c r="AN255" s="22" t="n"/>
      <c r="AO255" s="4" t="n"/>
      <c r="AP255" s="22" t="n"/>
      <c r="AQ255" s="22" t="n"/>
      <c r="AR255" s="22" t="n"/>
      <c r="AS255" s="22" t="n"/>
      <c r="AT255" s="4" t="n"/>
      <c r="AU255" s="4" t="n"/>
      <c r="AV255" s="4" t="n"/>
      <c r="AW255" s="4" t="n"/>
      <c r="AX255" s="22" t="n"/>
    </row>
    <row r="256" hidden="1" outlineLevel="1" customFormat="1" s="5">
      <c r="A256" s="36" t="inlineStr">
        <is>
          <t>Purchase of severance-related insurance policies</t>
        </is>
      </c>
      <c r="B256" s="376" t="n"/>
      <c r="C256" s="343" t="n">
        <v>-0.857</v>
      </c>
      <c r="D256" s="343" t="n">
        <v>-0.789</v>
      </c>
      <c r="E256" s="343" t="n">
        <v>-0.832</v>
      </c>
      <c r="F256" s="343" t="n">
        <v>-0.783</v>
      </c>
      <c r="G256" s="228" t="n">
        <v>-0.186</v>
      </c>
      <c r="H256" s="228" t="n">
        <v>-0.412</v>
      </c>
      <c r="I256" s="228" t="n">
        <v>-0.632</v>
      </c>
      <c r="J256" s="228">
        <f>K256</f>
        <v/>
      </c>
      <c r="K256" s="343" t="n">
        <v>-0.849</v>
      </c>
      <c r="L256" s="228" t="n">
        <v>-0.205</v>
      </c>
      <c r="M256" s="228" t="n">
        <v>-0.409</v>
      </c>
      <c r="N256" s="228" t="n">
        <v>-0.597</v>
      </c>
      <c r="O256" s="228">
        <f>P256</f>
        <v/>
      </c>
      <c r="P256" s="343" t="n">
        <v>-0.777</v>
      </c>
      <c r="Q256" s="228" t="n">
        <v>-0.186</v>
      </c>
      <c r="R256" s="228" t="n">
        <v>-0.381</v>
      </c>
      <c r="S256" s="228" t="n">
        <v>-0.5629999999999999</v>
      </c>
      <c r="T256" s="228">
        <f>U256</f>
        <v/>
      </c>
      <c r="U256" s="343" t="n">
        <v>-0.743</v>
      </c>
      <c r="V256" s="228" t="n">
        <v>-0.226</v>
      </c>
      <c r="W256" s="228" t="n">
        <v>-0.546</v>
      </c>
      <c r="X256" s="228" t="n">
        <v>-0.865</v>
      </c>
      <c r="Y256" s="93">
        <f>Z256</f>
        <v/>
      </c>
      <c r="Z256" s="343" t="n">
        <v>-1.172</v>
      </c>
      <c r="AA256" s="228" t="n">
        <v>-0.315</v>
      </c>
      <c r="AB256" s="228" t="n">
        <v>-0.651</v>
      </c>
      <c r="AC256" s="228" t="n">
        <v>-0.983</v>
      </c>
      <c r="AD256" s="93">
        <f>AE256</f>
        <v/>
      </c>
      <c r="AE256" s="343" t="n">
        <v>-1.312</v>
      </c>
      <c r="AF256" s="228" t="n">
        <v>-0.317</v>
      </c>
      <c r="AG256" s="228" t="n">
        <v>-0.612</v>
      </c>
      <c r="AH256" s="228" t="n">
        <v>-0.916</v>
      </c>
      <c r="AI256" s="93">
        <f>AJ256</f>
        <v/>
      </c>
      <c r="AJ256" s="343" t="n">
        <v>-1.203</v>
      </c>
      <c r="AK256" s="228" t="n">
        <v>-0.09</v>
      </c>
      <c r="AL256" s="322" t="n"/>
      <c r="AM256" s="228" t="n"/>
      <c r="AN256" s="93" t="n"/>
      <c r="AO256" s="343" t="n"/>
      <c r="AP256" s="228" t="n"/>
      <c r="AQ256" s="228" t="n"/>
      <c r="AR256" s="228" t="n"/>
      <c r="AS256" s="93" t="n"/>
      <c r="AT256" s="343" t="n"/>
      <c r="AU256" s="343" t="n"/>
      <c r="AV256" s="343" t="n"/>
      <c r="AW256" s="343" t="n"/>
      <c r="AX256" s="228" t="n"/>
    </row>
    <row r="257" hidden="1" outlineLevel="1" customFormat="1" s="5">
      <c r="A257" s="36" t="inlineStr">
        <is>
          <t>Purchase of short-term investments</t>
        </is>
      </c>
      <c r="B257" s="376" t="n"/>
      <c r="C257" s="343" t="n">
        <v>-236.68</v>
      </c>
      <c r="D257" s="343" t="n">
        <v>-182.615</v>
      </c>
      <c r="E257" s="343" t="n">
        <v>-45.6</v>
      </c>
      <c r="F257" s="343" t="n">
        <v>-328.998</v>
      </c>
      <c r="G257" s="228" t="n">
        <v>-55.176</v>
      </c>
      <c r="H257" s="228" t="n">
        <v>-81.82299999999999</v>
      </c>
      <c r="I257" s="228" t="n">
        <v>-151.535</v>
      </c>
      <c r="J257" s="228">
        <f>K257</f>
        <v/>
      </c>
      <c r="K257" s="343" t="n">
        <v>-200.377</v>
      </c>
      <c r="L257" s="228" t="n">
        <v>-87.5</v>
      </c>
      <c r="M257" s="228" t="n">
        <v>-159.388</v>
      </c>
      <c r="N257" s="228" t="n">
        <v>-202.818</v>
      </c>
      <c r="O257" s="228">
        <f>P257</f>
        <v/>
      </c>
      <c r="P257" s="343" t="n">
        <v>-307.924</v>
      </c>
      <c r="Q257" s="228" t="n">
        <v>-87.79300000000001</v>
      </c>
      <c r="R257" s="228" t="n">
        <v>-188.161</v>
      </c>
      <c r="S257" s="228" t="n">
        <v>-219.459</v>
      </c>
      <c r="T257" s="228">
        <f>U257</f>
        <v/>
      </c>
      <c r="U257" s="343" t="n">
        <v>-219.459</v>
      </c>
      <c r="V257" s="228" t="n">
        <v>-64.908</v>
      </c>
      <c r="W257" s="228" t="n">
        <v>-153.486</v>
      </c>
      <c r="X257" s="228" t="n">
        <v>-218.642</v>
      </c>
      <c r="Y257" s="93">
        <f>Z257</f>
        <v/>
      </c>
      <c r="Z257" s="343" t="n">
        <v>-300.858</v>
      </c>
      <c r="AA257" s="228" t="n">
        <v>-50.302</v>
      </c>
      <c r="AB257" s="228" t="n">
        <v>-69.11</v>
      </c>
      <c r="AC257" s="228" t="n">
        <v>-139.861</v>
      </c>
      <c r="AD257" s="93">
        <f>AE257</f>
        <v/>
      </c>
      <c r="AE257" s="343" t="n">
        <v>-188.745</v>
      </c>
      <c r="AF257" s="228" t="n">
        <v>-20.899</v>
      </c>
      <c r="AG257" s="228" t="n">
        <v>-82.486</v>
      </c>
      <c r="AH257" s="228" t="n">
        <v>-228.229</v>
      </c>
      <c r="AI257" s="93">
        <f>AJ257</f>
        <v/>
      </c>
      <c r="AJ257" s="343" t="n">
        <v>-395.56</v>
      </c>
      <c r="AK257" s="228" t="n">
        <v>-191.203</v>
      </c>
      <c r="AL257" s="322" t="n">
        <v>-364.777</v>
      </c>
      <c r="AM257" s="228" t="n"/>
      <c r="AN257" s="93" t="n"/>
      <c r="AO257" s="343" t="n"/>
      <c r="AP257" s="228" t="n"/>
      <c r="AQ257" s="228" t="n"/>
      <c r="AR257" s="228" t="n"/>
      <c r="AS257" s="93" t="n"/>
      <c r="AT257" s="343" t="n"/>
      <c r="AU257" s="343" t="n"/>
      <c r="AV257" s="343" t="n"/>
      <c r="AW257" s="343" t="n"/>
      <c r="AX257" s="228" t="n"/>
    </row>
    <row r="258" hidden="1" outlineLevel="1" customFormat="1" s="5">
      <c r="A258" s="36" t="inlineStr">
        <is>
          <t>Proceeds from sales of short-term investments</t>
        </is>
      </c>
      <c r="B258" s="376" t="n"/>
      <c r="C258" s="343" t="n">
        <v>121.768</v>
      </c>
      <c r="D258" s="343" t="n">
        <v>157.377</v>
      </c>
      <c r="E258" s="343" t="n">
        <v>149.889</v>
      </c>
      <c r="F258" s="343" t="n">
        <v>14.86</v>
      </c>
      <c r="G258" s="228" t="n">
        <v>60.618</v>
      </c>
      <c r="H258" s="228" t="n">
        <v>103.339</v>
      </c>
      <c r="I258" s="228" t="n">
        <v>133.435</v>
      </c>
      <c r="J258" s="228">
        <f>K258</f>
        <v/>
      </c>
      <c r="K258" s="343" t="n">
        <v>122.997</v>
      </c>
      <c r="L258" s="228" t="n">
        <v>48.506</v>
      </c>
      <c r="M258" s="228" t="n">
        <v>90.321</v>
      </c>
      <c r="N258" s="228" t="n">
        <v>130.652</v>
      </c>
      <c r="O258" s="228">
        <f>P258</f>
        <v/>
      </c>
      <c r="P258" s="343" t="n">
        <v>158.054</v>
      </c>
      <c r="Q258" s="228" t="n">
        <v>37.326</v>
      </c>
      <c r="R258" s="228" t="n">
        <v>98.742</v>
      </c>
      <c r="S258" s="228" t="n">
        <v>148.697</v>
      </c>
      <c r="T258" s="228">
        <f>U258</f>
        <v/>
      </c>
      <c r="U258" s="343" t="n">
        <v>179.7</v>
      </c>
      <c r="V258" s="228" t="n">
        <v>199.932</v>
      </c>
      <c r="W258" s="228" t="n">
        <v>200.457</v>
      </c>
      <c r="X258" s="228" t="n">
        <v>209.456</v>
      </c>
      <c r="Y258" s="93">
        <f>Z258</f>
        <v/>
      </c>
      <c r="Z258" s="343" t="n">
        <v>237.764</v>
      </c>
      <c r="AA258" s="228" t="n">
        <v>54.242</v>
      </c>
      <c r="AB258" s="228" t="n">
        <v>74.35899999999999</v>
      </c>
      <c r="AC258" s="228" t="n">
        <v>95.414</v>
      </c>
      <c r="AD258" s="93">
        <f>AE258</f>
        <v/>
      </c>
      <c r="AE258" s="343" t="n">
        <v>193.082</v>
      </c>
      <c r="AF258" s="228" t="n">
        <v>8.943</v>
      </c>
      <c r="AG258" s="228" t="n">
        <v>13.893</v>
      </c>
      <c r="AH258" s="228" t="n">
        <v>53.809</v>
      </c>
      <c r="AI258" s="93">
        <f>AJ258</f>
        <v/>
      </c>
      <c r="AJ258" s="343" t="n">
        <v>87.542</v>
      </c>
      <c r="AK258" s="228" t="n">
        <v>99.256</v>
      </c>
      <c r="AL258" s="322" t="n">
        <v>198.221</v>
      </c>
      <c r="AM258" s="228" t="n"/>
      <c r="AN258" s="93" t="n"/>
      <c r="AO258" s="343" t="n"/>
      <c r="AP258" s="228" t="n"/>
      <c r="AQ258" s="228" t="n"/>
      <c r="AR258" s="228" t="n"/>
      <c r="AS258" s="93" t="n"/>
      <c r="AT258" s="343" t="n"/>
      <c r="AU258" s="343" t="n"/>
      <c r="AV258" s="343" t="n"/>
      <c r="AW258" s="343" t="n"/>
      <c r="AX258" s="228" t="n"/>
    </row>
    <row r="259" hidden="1" outlineLevel="1" customFormat="1" s="5">
      <c r="A259" s="36" t="inlineStr">
        <is>
          <t>Proceeds from sale of an investment in privately-held companies</t>
        </is>
      </c>
      <c r="B259" s="376" t="n"/>
      <c r="C259" s="343" t="n"/>
      <c r="D259" s="343" t="n"/>
      <c r="E259" s="343" t="n"/>
      <c r="F259" s="343" t="n"/>
      <c r="G259" s="228" t="n"/>
      <c r="H259" s="228" t="n"/>
      <c r="I259" s="228" t="n"/>
      <c r="J259" s="228" t="n"/>
      <c r="K259" s="343" t="n"/>
      <c r="L259" s="228" t="n"/>
      <c r="M259" s="228" t="n"/>
      <c r="N259" s="228" t="n"/>
      <c r="O259" s="228" t="n"/>
      <c r="P259" s="343" t="n"/>
      <c r="Q259" s="228" t="n"/>
      <c r="R259" s="228" t="n"/>
      <c r="S259" s="228" t="n"/>
      <c r="T259" s="228" t="n"/>
      <c r="U259" s="343" t="n"/>
      <c r="V259" s="228" t="n"/>
      <c r="W259" s="228" t="n"/>
      <c r="X259" s="228" t="n"/>
      <c r="Y259" s="93" t="n"/>
      <c r="Z259" s="343" t="n"/>
      <c r="AA259" s="228" t="n"/>
      <c r="AB259" s="228" t="n"/>
      <c r="AC259" s="228" t="n"/>
      <c r="AD259" s="93" t="n"/>
      <c r="AE259" s="343" t="n"/>
      <c r="AF259" s="228" t="n"/>
      <c r="AG259" s="228" t="n"/>
      <c r="AH259" s="228" t="n"/>
      <c r="AI259" s="93" t="n"/>
      <c r="AJ259" s="343" t="n"/>
      <c r="AK259" s="228" t="n">
        <v>16.887</v>
      </c>
      <c r="AL259" s="322" t="n">
        <v>16.887</v>
      </c>
      <c r="AM259" s="228" t="n"/>
      <c r="AN259" s="93" t="n"/>
      <c r="AO259" s="343" t="n"/>
      <c r="AP259" s="228" t="n"/>
      <c r="AQ259" s="228" t="n"/>
      <c r="AR259" s="228" t="n"/>
      <c r="AS259" s="93" t="n"/>
      <c r="AT259" s="343" t="n"/>
      <c r="AU259" s="343" t="n"/>
      <c r="AV259" s="343" t="n"/>
      <c r="AW259" s="343" t="n"/>
      <c r="AX259" s="228" t="n"/>
    </row>
    <row r="260" hidden="1" outlineLevel="1" customFormat="1" s="5">
      <c r="A260" s="36" t="inlineStr">
        <is>
          <t>Proceeds from maturities of short-term investments</t>
        </is>
      </c>
      <c r="B260" s="376" t="n"/>
      <c r="C260" s="343" t="n">
        <v>20.08</v>
      </c>
      <c r="D260" s="343" t="n">
        <v>50.628</v>
      </c>
      <c r="E260" s="343" t="n">
        <v>12.128</v>
      </c>
      <c r="F260" s="343" t="n">
        <v>64.68300000000001</v>
      </c>
      <c r="G260" s="228" t="n">
        <v>27.497</v>
      </c>
      <c r="H260" s="228" t="n">
        <v>50.447</v>
      </c>
      <c r="I260" s="228" t="n">
        <v>63.947</v>
      </c>
      <c r="J260" s="228">
        <f>K260</f>
        <v/>
      </c>
      <c r="K260" s="343" t="n">
        <v>117.806</v>
      </c>
      <c r="L260" s="228" t="n">
        <v>14.48</v>
      </c>
      <c r="M260" s="228" t="n">
        <v>37.76</v>
      </c>
      <c r="N260" s="228" t="n">
        <v>39.801</v>
      </c>
      <c r="O260" s="228">
        <f>P260</f>
        <v/>
      </c>
      <c r="P260" s="343" t="n">
        <v>78.56699999999999</v>
      </c>
      <c r="Q260" s="228" t="n">
        <v>17.798</v>
      </c>
      <c r="R260" s="228" t="n">
        <v>30.717</v>
      </c>
      <c r="S260" s="228" t="n">
        <v>62.144</v>
      </c>
      <c r="T260" s="228">
        <f>U260</f>
        <v/>
      </c>
      <c r="U260" s="343" t="n">
        <v>129.279</v>
      </c>
      <c r="V260" s="228" t="n">
        <v>77.715</v>
      </c>
      <c r="W260" s="228" t="n">
        <v>97.38800000000001</v>
      </c>
      <c r="X260" s="228" t="n">
        <v>130.187</v>
      </c>
      <c r="Y260" s="93">
        <f>Z260</f>
        <v/>
      </c>
      <c r="Z260" s="343" t="n">
        <v>149.725</v>
      </c>
      <c r="AA260" s="228" t="n">
        <v>1.815</v>
      </c>
      <c r="AB260" s="228" t="n">
        <v>13.59</v>
      </c>
      <c r="AC260" s="228" t="n">
        <v>31.008</v>
      </c>
      <c r="AD260" s="93">
        <f>AE260</f>
        <v/>
      </c>
      <c r="AE260" s="343" t="n">
        <v>59.129</v>
      </c>
      <c r="AF260" s="228" t="n">
        <v>28.104</v>
      </c>
      <c r="AG260" s="228" t="n">
        <v>62.396</v>
      </c>
      <c r="AH260" s="228" t="n">
        <v>102.935</v>
      </c>
      <c r="AI260" s="93">
        <f>AJ260</f>
        <v/>
      </c>
      <c r="AJ260" s="343" t="n">
        <v>143.087</v>
      </c>
      <c r="AK260" s="228" t="n"/>
      <c r="AL260" s="322" t="n"/>
      <c r="AM260" s="228" t="n"/>
      <c r="AN260" s="93" t="n"/>
      <c r="AO260" s="343" t="n"/>
      <c r="AP260" s="228" t="n"/>
      <c r="AQ260" s="228" t="n"/>
      <c r="AR260" s="228" t="n"/>
      <c r="AS260" s="93" t="n"/>
      <c r="AT260" s="343" t="n"/>
      <c r="AU260" s="343" t="n"/>
      <c r="AV260" s="343" t="n"/>
      <c r="AW260" s="343" t="n"/>
      <c r="AX260" s="228" t="n"/>
    </row>
    <row r="261" hidden="1" outlineLevel="1" customFormat="1" s="5">
      <c r="A261" s="36" t="inlineStr">
        <is>
          <t>Purchase of property and equipment</t>
        </is>
      </c>
      <c r="B261" s="376" t="n"/>
      <c r="C261" s="343" t="n">
        <v>-3.662</v>
      </c>
      <c r="D261" s="343" t="n">
        <v>-11.395</v>
      </c>
      <c r="E261" s="343" t="n">
        <v>-24.68</v>
      </c>
      <c r="F261" s="343" t="n">
        <v>-30.544</v>
      </c>
      <c r="G261" s="228" t="n">
        <v>-13.941</v>
      </c>
      <c r="H261" s="228" t="n">
        <v>-18.949</v>
      </c>
      <c r="I261" s="228" t="n">
        <v>-24.05</v>
      </c>
      <c r="J261" s="228">
        <f>K261</f>
        <v/>
      </c>
      <c r="K261" s="343" t="n">
        <v>-30.911</v>
      </c>
      <c r="L261" s="228" t="n">
        <v>-5.818</v>
      </c>
      <c r="M261" s="228" t="n">
        <v>-10.265</v>
      </c>
      <c r="N261" s="228" t="n">
        <v>-21.231</v>
      </c>
      <c r="O261" s="228">
        <f>P261</f>
        <v/>
      </c>
      <c r="P261" s="343" t="n">
        <v>-29.924</v>
      </c>
      <c r="Q261" s="228" t="n">
        <v>-9.521000000000001</v>
      </c>
      <c r="R261" s="228" t="n">
        <v>-20.413</v>
      </c>
      <c r="S261" s="228" t="n">
        <v>-36.972</v>
      </c>
      <c r="T261" s="228">
        <f>U261</f>
        <v/>
      </c>
      <c r="U261" s="343" t="n">
        <v>-48.601</v>
      </c>
      <c r="V261" s="228" t="n">
        <v>-8.282999999999999</v>
      </c>
      <c r="W261" s="228" t="n">
        <v>-15.755</v>
      </c>
      <c r="X261" s="228" t="n">
        <v>-32.748</v>
      </c>
      <c r="Y261" s="93">
        <f>Z261</f>
        <v/>
      </c>
      <c r="Z261" s="343" t="n">
        <v>-42.976</v>
      </c>
      <c r="AA261" s="228" t="n">
        <v>-15.911</v>
      </c>
      <c r="AB261" s="228" t="n">
        <v>-27.12</v>
      </c>
      <c r="AC261" s="228" t="n">
        <v>-35.243</v>
      </c>
      <c r="AD261" s="93">
        <f>AE261</f>
        <v/>
      </c>
      <c r="AE261" s="343" t="n">
        <v>-41.376</v>
      </c>
      <c r="AF261" s="228" t="n">
        <v>-7.226</v>
      </c>
      <c r="AG261" s="228" t="n">
        <v>-20.078</v>
      </c>
      <c r="AH261" s="228" t="n">
        <v>-28.992</v>
      </c>
      <c r="AI261" s="93">
        <f>AJ261</f>
        <v/>
      </c>
      <c r="AJ261" s="343" t="n">
        <v>-36.338</v>
      </c>
      <c r="AK261" s="228" t="n">
        <v>-7.686</v>
      </c>
      <c r="AL261" s="322" t="n">
        <v>-15.208</v>
      </c>
      <c r="AM261" s="228" t="n"/>
      <c r="AN261" s="93" t="n"/>
      <c r="AO261" s="343" t="n"/>
      <c r="AP261" s="228" t="n"/>
      <c r="AQ261" s="228" t="n"/>
      <c r="AR261" s="228" t="n"/>
      <c r="AS261" s="93" t="n"/>
      <c r="AT261" s="343" t="n"/>
      <c r="AU261" s="343" t="n"/>
      <c r="AV261" s="343" t="n"/>
      <c r="AW261" s="343" t="n"/>
      <c r="AX261" s="228" t="n"/>
    </row>
    <row r="262" hidden="1" outlineLevel="1" customFormat="1" s="5">
      <c r="A262" s="36" t="inlineStr">
        <is>
          <t>Restricted cash</t>
        </is>
      </c>
      <c r="B262" s="376" t="n"/>
      <c r="C262" s="343" t="n">
        <v>-0.88</v>
      </c>
      <c r="D262" s="343" t="n"/>
      <c r="E262" s="343" t="n">
        <v>-1.7</v>
      </c>
      <c r="F262" s="343" t="n">
        <v>1.327</v>
      </c>
      <c r="G262" s="228" t="n"/>
      <c r="H262" s="228" t="n">
        <v>-47.001</v>
      </c>
      <c r="I262" s="228" t="n">
        <v>-3.943</v>
      </c>
      <c r="J262" s="228">
        <f>K262</f>
        <v/>
      </c>
      <c r="K262" s="343" t="n">
        <v>3.468</v>
      </c>
      <c r="L262" s="228" t="n">
        <v>-0.103</v>
      </c>
      <c r="M262" s="228" t="n">
        <v>-0.103</v>
      </c>
      <c r="N262" s="228" t="n">
        <v>-0.103</v>
      </c>
      <c r="O262" s="228">
        <f>P262</f>
        <v/>
      </c>
      <c r="P262" s="343" t="n">
        <v>0</v>
      </c>
      <c r="Q262" s="228" t="n"/>
      <c r="R262" s="228" t="n"/>
      <c r="S262" s="228" t="n">
        <v>3.604</v>
      </c>
      <c r="T262" s="228">
        <f>U262</f>
        <v/>
      </c>
      <c r="U262" s="343" t="n">
        <v>3.604</v>
      </c>
      <c r="V262" s="228" t="n"/>
      <c r="W262" s="228" t="n"/>
      <c r="X262" s="228" t="n"/>
      <c r="Y262" s="93">
        <f>Z262</f>
        <v/>
      </c>
      <c r="Z262" s="343" t="n"/>
      <c r="AA262" s="228" t="n"/>
      <c r="AB262" s="228" t="n"/>
      <c r="AC262" s="228" t="n"/>
      <c r="AD262" s="93">
        <f>AE262</f>
        <v/>
      </c>
      <c r="AE262" s="343" t="n"/>
      <c r="AF262" s="228" t="n"/>
      <c r="AG262" s="228" t="n"/>
      <c r="AH262" s="228" t="n"/>
      <c r="AI262" s="93">
        <f>AJ262</f>
        <v/>
      </c>
      <c r="AJ262" s="343" t="n"/>
      <c r="AK262" s="228" t="n"/>
      <c r="AL262" s="322" t="n"/>
      <c r="AM262" s="228" t="n"/>
      <c r="AN262" s="93" t="n"/>
      <c r="AO262" s="343" t="n"/>
      <c r="AP262" s="228" t="n"/>
      <c r="AQ262" s="228" t="n"/>
      <c r="AR262" s="228" t="n"/>
      <c r="AS262" s="93" t="n"/>
      <c r="AT262" s="343" t="n"/>
      <c r="AU262" s="343" t="n"/>
      <c r="AV262" s="343" t="n"/>
      <c r="AW262" s="343" t="n"/>
      <c r="AX262" s="228" t="n"/>
    </row>
    <row r="263" hidden="1" outlineLevel="1" customFormat="1" s="5">
      <c r="A263" s="36" t="inlineStr">
        <is>
          <t>Purchase of intangible assets</t>
        </is>
      </c>
      <c r="B263" s="376" t="n"/>
      <c r="C263" s="343" t="n">
        <v>0</v>
      </c>
      <c r="D263" s="343" t="n"/>
      <c r="E263" s="343" t="n"/>
      <c r="F263" s="343" t="n"/>
      <c r="G263" s="228" t="n">
        <v>-6.327</v>
      </c>
      <c r="H263" s="228" t="n">
        <v>-6.327</v>
      </c>
      <c r="I263" s="228" t="n">
        <v>-6.44</v>
      </c>
      <c r="J263" s="228">
        <f>K263</f>
        <v/>
      </c>
      <c r="K263" s="343" t="n">
        <v>-7.44</v>
      </c>
      <c r="L263" s="228" t="n"/>
      <c r="M263" s="228" t="n"/>
      <c r="N263" s="228" t="n"/>
      <c r="O263" s="228">
        <f>P263</f>
        <v/>
      </c>
      <c r="P263" s="343" t="n">
        <v>0</v>
      </c>
      <c r="Q263" s="228" t="n"/>
      <c r="R263" s="228" t="n"/>
      <c r="S263" s="228" t="n">
        <v>-0.21</v>
      </c>
      <c r="T263" s="228">
        <f>U263</f>
        <v/>
      </c>
      <c r="U263" s="343" t="n">
        <v>-0.21</v>
      </c>
      <c r="V263" s="228" t="n"/>
      <c r="W263" s="228" t="n"/>
      <c r="X263" s="228" t="n">
        <v>-6.06</v>
      </c>
      <c r="Y263" s="93">
        <f>Z263</f>
        <v/>
      </c>
      <c r="Z263" s="343" t="n">
        <v>-7.962</v>
      </c>
      <c r="AA263" s="228" t="n">
        <v>-1.115</v>
      </c>
      <c r="AB263" s="228" t="n">
        <v>-1.647</v>
      </c>
      <c r="AC263" s="228" t="n">
        <v>-1.836</v>
      </c>
      <c r="AD263" s="93">
        <f>AE263</f>
        <v/>
      </c>
      <c r="AE263" s="343" t="n">
        <v>-2.843</v>
      </c>
      <c r="AF263" s="228" t="n">
        <v>-6.315</v>
      </c>
      <c r="AG263" s="228" t="n">
        <v>-6.383</v>
      </c>
      <c r="AH263" s="228" t="n">
        <v>-6.512</v>
      </c>
      <c r="AI263" s="93">
        <f>AJ263</f>
        <v/>
      </c>
      <c r="AJ263" s="343" t="n">
        <v>-6.535</v>
      </c>
      <c r="AK263" s="228" t="n">
        <v>-1.678</v>
      </c>
      <c r="AL263" s="322" t="n">
        <v>-2.85</v>
      </c>
      <c r="AM263" s="228" t="n"/>
      <c r="AN263" s="93" t="n"/>
      <c r="AO263" s="343" t="n"/>
      <c r="AP263" s="228" t="n"/>
      <c r="AQ263" s="228" t="n"/>
      <c r="AR263" s="228" t="n"/>
      <c r="AS263" s="93" t="n"/>
      <c r="AT263" s="343" t="n"/>
      <c r="AU263" s="343" t="n"/>
      <c r="AV263" s="343" t="n"/>
      <c r="AW263" s="343" t="n"/>
      <c r="AX263" s="228" t="n"/>
    </row>
    <row r="264" hidden="1" outlineLevel="1" customFormat="1" s="5">
      <c r="A264" s="36" t="inlineStr">
        <is>
          <t>Purchase of equity investments in private companies</t>
        </is>
      </c>
      <c r="B264" s="376" t="n"/>
      <c r="C264" s="343" t="n">
        <v>-3.5</v>
      </c>
      <c r="D264" s="343" t="n">
        <v>-0.135</v>
      </c>
      <c r="E264" s="343" t="n"/>
      <c r="F264" s="343" t="n">
        <v>-1.424</v>
      </c>
      <c r="G264" s="228" t="n">
        <v>-3</v>
      </c>
      <c r="H264" s="228" t="n">
        <v>-3</v>
      </c>
      <c r="I264" s="228" t="n">
        <v>-3.123</v>
      </c>
      <c r="J264" s="228">
        <f>K264</f>
        <v/>
      </c>
      <c r="K264" s="343" t="n">
        <v>-3.123</v>
      </c>
      <c r="L264" s="228" t="n">
        <v>-1.438</v>
      </c>
      <c r="M264" s="228" t="n">
        <v>-1.438</v>
      </c>
      <c r="N264" s="228" t="n">
        <v>-3.691</v>
      </c>
      <c r="O264" s="228">
        <f>P264</f>
        <v/>
      </c>
      <c r="P264" s="343" t="n">
        <v>-3.455</v>
      </c>
      <c r="Q264" s="228" t="n"/>
      <c r="R264" s="228" t="n"/>
      <c r="S264" s="228" t="n"/>
      <c r="T264" s="228">
        <f>U264</f>
        <v/>
      </c>
      <c r="U264" s="343" t="n">
        <v>0</v>
      </c>
      <c r="V264" s="228" t="n">
        <v>-0.107</v>
      </c>
      <c r="W264" s="228" t="n">
        <v>-0.107</v>
      </c>
      <c r="X264" s="228" t="n">
        <v>-1.284</v>
      </c>
      <c r="Y264" s="93">
        <f>Z264</f>
        <v/>
      </c>
      <c r="Z264" s="343" t="n">
        <v>-4.982</v>
      </c>
      <c r="AA264" s="228" t="n">
        <v>-11</v>
      </c>
      <c r="AB264" s="228" t="n">
        <v>-11</v>
      </c>
      <c r="AC264" s="228" t="n">
        <v>-13.5</v>
      </c>
      <c r="AD264" s="93">
        <f>AE264</f>
        <v/>
      </c>
      <c r="AE264" s="343" t="n">
        <v>-15.021</v>
      </c>
      <c r="AF264" s="228" t="n">
        <v>-2.5</v>
      </c>
      <c r="AG264" s="228" t="n">
        <v>-6</v>
      </c>
      <c r="AH264" s="228" t="n">
        <v>-7.5</v>
      </c>
      <c r="AI264" s="93">
        <f>AJ264</f>
        <v/>
      </c>
      <c r="AJ264" s="343" t="n">
        <v>-12.5</v>
      </c>
      <c r="AK264" s="228" t="n"/>
      <c r="AL264" s="322" t="n">
        <v>-4.247</v>
      </c>
      <c r="AM264" s="228" t="n"/>
      <c r="AN264" s="93" t="n"/>
      <c r="AO264" s="343" t="n"/>
      <c r="AP264" s="228" t="n"/>
      <c r="AQ264" s="228" t="n"/>
      <c r="AR264" s="228" t="n"/>
      <c r="AS264" s="93" t="n"/>
      <c r="AT264" s="343" t="n"/>
      <c r="AU264" s="343" t="n"/>
      <c r="AV264" s="343" t="n"/>
      <c r="AW264" s="343" t="n"/>
      <c r="AX264" s="228" t="n"/>
    </row>
    <row r="265" hidden="1" outlineLevel="1" customFormat="1" s="5">
      <c r="A265" s="36" t="inlineStr">
        <is>
          <t>Divestiture/ sale of PP&amp;E</t>
        </is>
      </c>
      <c r="B265" s="376" t="n"/>
      <c r="C265" s="343" t="n"/>
      <c r="D265" s="343" t="n"/>
      <c r="E265" s="343" t="n"/>
      <c r="F265" s="343" t="n"/>
      <c r="G265" s="228" t="n"/>
      <c r="H265" s="228" t="n"/>
      <c r="I265" s="228" t="n"/>
      <c r="J265" s="228" t="n"/>
      <c r="K265" s="343" t="n"/>
      <c r="L265" s="228" t="n"/>
      <c r="M265" s="228" t="n"/>
      <c r="N265" s="228" t="n"/>
      <c r="O265" s="228" t="n"/>
      <c r="P265" s="343" t="n"/>
      <c r="Q265" s="228" t="n"/>
      <c r="R265" s="228" t="n"/>
      <c r="S265" s="228" t="n"/>
      <c r="T265" s="228" t="n"/>
      <c r="U265" s="343" t="n"/>
      <c r="V265" s="228" t="n"/>
      <c r="W265" s="228" t="n"/>
      <c r="X265" s="228" t="n"/>
      <c r="Y265" s="228" t="n"/>
      <c r="Z265" s="343" t="n"/>
      <c r="AA265" s="228" t="n"/>
      <c r="AB265" s="228" t="n"/>
      <c r="AC265" s="228" t="n"/>
      <c r="AD265" s="228">
        <f>AE265</f>
        <v/>
      </c>
      <c r="AE265" s="343" t="n"/>
      <c r="AF265" s="228" t="n"/>
      <c r="AG265" s="228" t="n">
        <v>3.239</v>
      </c>
      <c r="AH265" s="228" t="n">
        <v>3.239</v>
      </c>
      <c r="AI265" s="228">
        <f>AJ265</f>
        <v/>
      </c>
      <c r="AJ265" s="343" t="n">
        <v>3.239</v>
      </c>
      <c r="AK265" s="228" t="n"/>
      <c r="AL265" s="322" t="n"/>
      <c r="AM265" s="228" t="n"/>
      <c r="AN265" s="228" t="n"/>
      <c r="AO265" s="343" t="n"/>
      <c r="AP265" s="228" t="n"/>
      <c r="AQ265" s="228" t="n"/>
      <c r="AR265" s="228" t="n"/>
      <c r="AS265" s="228" t="n"/>
      <c r="AT265" s="343" t="n"/>
      <c r="AU265" s="343" t="n"/>
      <c r="AV265" s="343" t="n"/>
      <c r="AW265" s="343" t="n"/>
      <c r="AX265" s="228" t="n"/>
    </row>
    <row r="266" hidden="1" outlineLevel="1" customFormat="1" s="5">
      <c r="A266" s="36" t="inlineStr">
        <is>
          <t>Acquisition net of cash acquired</t>
        </is>
      </c>
      <c r="B266" s="376" t="n"/>
      <c r="C266" s="343" t="n"/>
      <c r="D266" s="343" t="n"/>
      <c r="E266" s="343" t="n">
        <v>-203.704</v>
      </c>
      <c r="F266" s="343" t="n"/>
      <c r="G266" s="228" t="n"/>
      <c r="H266" s="228" t="n"/>
      <c r="I266" s="228">
        <f>-80.671-42.848</f>
        <v/>
      </c>
      <c r="J266" s="228">
        <f>K266</f>
        <v/>
      </c>
      <c r="K266" s="343">
        <f>-80.671-42.848</f>
        <v/>
      </c>
      <c r="L266" s="228" t="n"/>
      <c r="M266" s="228" t="n"/>
      <c r="N266" s="228" t="n"/>
      <c r="O266" s="228">
        <f>P266</f>
        <v/>
      </c>
      <c r="P266" s="343" t="n">
        <v>-2.253</v>
      </c>
      <c r="Q266" s="228" t="n"/>
      <c r="R266" s="228" t="n"/>
      <c r="S266" s="228" t="n"/>
      <c r="T266" s="228">
        <f>U266</f>
        <v/>
      </c>
      <c r="U266" s="343" t="n"/>
      <c r="V266" s="228" t="n">
        <v>-681.189</v>
      </c>
      <c r="W266" s="228" t="n">
        <v>-698.501</v>
      </c>
      <c r="X266" s="228" t="n">
        <v>-698.501</v>
      </c>
      <c r="Y266" s="93">
        <f>Z266</f>
        <v/>
      </c>
      <c r="Z266" s="343" t="n">
        <v>-693.692</v>
      </c>
      <c r="AA266" s="228" t="n"/>
      <c r="AB266" s="228" t="n"/>
      <c r="AC266" s="228" t="n">
        <v>-0.872</v>
      </c>
      <c r="AD266" s="93">
        <f>AE266</f>
        <v/>
      </c>
      <c r="AE266" s="343" t="n">
        <v>-0.872</v>
      </c>
      <c r="AF266" s="228" t="n"/>
      <c r="AG266" s="228" t="n">
        <v>-7.129</v>
      </c>
      <c r="AH266" s="228" t="n">
        <v>-7.379</v>
      </c>
      <c r="AI266" s="93">
        <f>AJ266</f>
        <v/>
      </c>
      <c r="AJ266" s="343" t="n">
        <v>-7.379</v>
      </c>
      <c r="AK266" s="228" t="n"/>
      <c r="AL266" s="322" t="n"/>
      <c r="AM266" s="228" t="n"/>
      <c r="AN266" s="93" t="n"/>
      <c r="AO266" s="343" t="n"/>
      <c r="AP266" s="228" t="n"/>
      <c r="AQ266" s="228" t="n"/>
      <c r="AR266" s="228" t="n"/>
      <c r="AS266" s="93" t="n"/>
      <c r="AT266" s="343" t="n"/>
      <c r="AU266" s="343" t="n"/>
      <c r="AV266" s="343" t="n"/>
      <c r="AW266" s="343" t="n"/>
      <c r="AX266" s="228" t="n"/>
    </row>
    <row r="267" hidden="1" outlineLevel="1" customFormat="1" s="9">
      <c r="A267" s="347" t="inlineStr">
        <is>
          <t>Net CFI</t>
        </is>
      </c>
      <c r="B267" s="377" t="n"/>
      <c r="C267" s="349">
        <f>SUM(C256:C266)</f>
        <v/>
      </c>
      <c r="D267" s="349">
        <f>SUM(D256:D266)</f>
        <v/>
      </c>
      <c r="E267" s="349">
        <f>SUM(E256:E266)</f>
        <v/>
      </c>
      <c r="F267" s="349">
        <f>SUM(F256:F266)</f>
        <v/>
      </c>
      <c r="G267" s="350">
        <f>SUM(G256:G266)</f>
        <v/>
      </c>
      <c r="H267" s="350">
        <f>SUM(H256:H266)</f>
        <v/>
      </c>
      <c r="I267" s="350">
        <f>SUM(I256:I266)</f>
        <v/>
      </c>
      <c r="J267" s="350">
        <f>SUM(J256:J266)</f>
        <v/>
      </c>
      <c r="K267" s="349">
        <f>SUM(K256:K266)</f>
        <v/>
      </c>
      <c r="L267" s="350">
        <f>SUM(L256:L266)</f>
        <v/>
      </c>
      <c r="M267" s="350">
        <f>SUM(M256:M266)</f>
        <v/>
      </c>
      <c r="N267" s="350">
        <f>SUM(N256:N266)</f>
        <v/>
      </c>
      <c r="O267" s="350">
        <f>SUM(O256:O266)</f>
        <v/>
      </c>
      <c r="P267" s="349">
        <f>SUM(P256:P266)</f>
        <v/>
      </c>
      <c r="Q267" s="350">
        <f>SUM(Q256:Q266)</f>
        <v/>
      </c>
      <c r="R267" s="350">
        <f>SUM(R256:R266)</f>
        <v/>
      </c>
      <c r="S267" s="350">
        <f>SUM(S256:S266)</f>
        <v/>
      </c>
      <c r="T267" s="350">
        <f>SUM(T256:T266)</f>
        <v/>
      </c>
      <c r="U267" s="349">
        <f>SUM(U256:U266)</f>
        <v/>
      </c>
      <c r="V267" s="350">
        <f>SUM(V256:V266)</f>
        <v/>
      </c>
      <c r="W267" s="350">
        <f>SUM(W256:W266)</f>
        <v/>
      </c>
      <c r="X267" s="350">
        <f>SUM(X256:X266)</f>
        <v/>
      </c>
      <c r="Y267" s="351">
        <f>SUM(Y256:Y266)</f>
        <v/>
      </c>
      <c r="Z267" s="352">
        <f>SUM(Z256:Z266)</f>
        <v/>
      </c>
      <c r="AA267" s="350">
        <f>SUM(AA256:AA266)</f>
        <v/>
      </c>
      <c r="AB267" s="350">
        <f>SUM(AB256:AB266)</f>
        <v/>
      </c>
      <c r="AC267" s="350">
        <f>SUM(AC256:AC266)</f>
        <v/>
      </c>
      <c r="AD267" s="351">
        <f>SUM(AD256:AD266)</f>
        <v/>
      </c>
      <c r="AE267" s="352">
        <f>SUM(AE256:AE266)</f>
        <v/>
      </c>
      <c r="AF267" s="350">
        <f>SUM(AF256:AF266)</f>
        <v/>
      </c>
      <c r="AG267" s="350">
        <f>SUM(AG256:AG266)</f>
        <v/>
      </c>
      <c r="AH267" s="350">
        <f>SUM(AH256:AH266)</f>
        <v/>
      </c>
      <c r="AI267" s="351">
        <f>SUM(AI256:AI266)</f>
        <v/>
      </c>
      <c r="AJ267" s="352">
        <f>SUM(AJ256:AJ266)</f>
        <v/>
      </c>
      <c r="AK267" s="350">
        <f>SUM(AK256:AK266)</f>
        <v/>
      </c>
      <c r="AL267" s="353">
        <f>SUM(AL256:AL266)</f>
        <v/>
      </c>
      <c r="AM267" s="351" t="n"/>
      <c r="AN267" s="351" t="n"/>
      <c r="AO267" s="352" t="n"/>
      <c r="AP267" s="351" t="n"/>
      <c r="AQ267" s="351" t="n"/>
      <c r="AR267" s="351" t="n"/>
      <c r="AS267" s="351" t="n"/>
      <c r="AT267" s="352" t="n"/>
      <c r="AU267" s="352" t="n"/>
      <c r="AV267" s="352" t="n"/>
      <c r="AW267" s="352" t="n"/>
      <c r="AX267" s="22" t="n"/>
    </row>
    <row r="268" hidden="1" outlineLevel="1" customFormat="1" s="9">
      <c r="A268" s="35" t="n"/>
      <c r="B268" s="103" t="n"/>
      <c r="C268" s="4" t="n"/>
      <c r="D268" s="4" t="n"/>
      <c r="E268" s="4" t="n"/>
      <c r="F268" s="4" t="n"/>
      <c r="G268" s="22" t="n"/>
      <c r="H268" s="22" t="n"/>
      <c r="I268" s="22" t="n"/>
      <c r="J268" s="22" t="n"/>
      <c r="K268" s="4" t="n"/>
      <c r="L268" s="22" t="n"/>
      <c r="M268" s="22" t="n"/>
      <c r="N268" s="22" t="n"/>
      <c r="O268" s="22" t="n"/>
      <c r="P268" s="4" t="n"/>
      <c r="Q268" s="22" t="n"/>
      <c r="R268" s="22" t="n"/>
      <c r="S268" s="22" t="n"/>
      <c r="T268" s="22" t="n"/>
      <c r="U268" s="4" t="n"/>
      <c r="V268" s="22" t="n"/>
      <c r="W268" s="22" t="n"/>
      <c r="X268" s="22" t="n"/>
      <c r="Y268" s="22" t="n"/>
      <c r="Z268" s="4" t="n"/>
      <c r="AA268" s="22" t="n"/>
      <c r="AB268" s="22" t="n"/>
      <c r="AC268" s="22" t="n"/>
      <c r="AD268" s="22" t="n"/>
      <c r="AE268" s="4" t="n"/>
      <c r="AF268" s="22" t="n"/>
      <c r="AG268" s="22" t="n"/>
      <c r="AH268" s="22" t="n"/>
      <c r="AI268" s="22" t="n"/>
      <c r="AJ268" s="4" t="n"/>
      <c r="AK268" s="22" t="n"/>
      <c r="AL268" s="308" t="n"/>
      <c r="AM268" s="22" t="n"/>
      <c r="AN268" s="22" t="n"/>
      <c r="AO268" s="4" t="n"/>
      <c r="AP268" s="22" t="n"/>
      <c r="AQ268" s="22" t="n"/>
      <c r="AR268" s="22" t="n"/>
      <c r="AS268" s="22" t="n"/>
      <c r="AT268" s="4" t="n"/>
      <c r="AU268" s="4" t="n"/>
      <c r="AV268" s="4" t="n"/>
      <c r="AW268" s="4" t="n"/>
      <c r="AX268" s="22" t="n"/>
    </row>
    <row r="269" hidden="1" outlineLevel="1" customFormat="1" s="9">
      <c r="A269" s="35" t="inlineStr">
        <is>
          <t>CFF</t>
        </is>
      </c>
      <c r="B269" s="103" t="n"/>
      <c r="C269" s="4" t="n"/>
      <c r="D269" s="4" t="n"/>
      <c r="E269" s="4" t="n"/>
      <c r="F269" s="4" t="n"/>
      <c r="G269" s="22" t="n"/>
      <c r="H269" s="22" t="n"/>
      <c r="I269" s="22" t="n"/>
      <c r="J269" s="22" t="n"/>
      <c r="K269" s="4" t="n"/>
      <c r="L269" s="22" t="n"/>
      <c r="M269" s="22" t="n"/>
      <c r="N269" s="22" t="n"/>
      <c r="O269" s="22" t="n"/>
      <c r="P269" s="4" t="n"/>
      <c r="Q269" s="22" t="n"/>
      <c r="R269" s="22" t="n"/>
      <c r="S269" s="22" t="n"/>
      <c r="T269" s="22" t="n"/>
      <c r="U269" s="4" t="n"/>
      <c r="V269" s="22" t="n"/>
      <c r="W269" s="22" t="n"/>
      <c r="X269" s="22" t="n"/>
      <c r="Y269" s="22" t="n"/>
      <c r="Z269" s="4" t="n"/>
      <c r="AA269" s="22" t="n"/>
      <c r="AB269" s="22" t="n"/>
      <c r="AC269" s="22" t="n"/>
      <c r="AD269" s="22" t="n"/>
      <c r="AE269" s="4" t="n"/>
      <c r="AF269" s="22" t="n"/>
      <c r="AG269" s="22" t="n"/>
      <c r="AH269" s="22" t="n"/>
      <c r="AI269" s="22" t="n"/>
      <c r="AJ269" s="4" t="n"/>
      <c r="AK269" s="22" t="n"/>
      <c r="AL269" s="308" t="n"/>
      <c r="AM269" s="22" t="n"/>
      <c r="AN269" s="22" t="n"/>
      <c r="AO269" s="4" t="n"/>
      <c r="AP269" s="22" t="n"/>
      <c r="AQ269" s="22" t="n"/>
      <c r="AR269" s="22" t="n"/>
      <c r="AS269" s="22" t="n"/>
      <c r="AT269" s="4" t="n"/>
      <c r="AU269" s="4" t="n"/>
      <c r="AV269" s="4" t="n"/>
      <c r="AW269" s="4" t="n"/>
      <c r="AX269" s="22" t="n"/>
    </row>
    <row r="270" hidden="1" outlineLevel="1" customFormat="1" s="5">
      <c r="A270" s="36" t="inlineStr">
        <is>
          <t>Proceeds from bank term debt</t>
        </is>
      </c>
      <c r="B270" s="376" t="n"/>
      <c r="C270" s="343" t="n"/>
      <c r="D270" s="343" t="n"/>
      <c r="E270" s="343" t="n"/>
      <c r="F270" s="343" t="n"/>
      <c r="G270" s="228" t="n"/>
      <c r="H270" s="228" t="n"/>
      <c r="I270" s="228" t="n"/>
      <c r="J270" s="228">
        <f>K270</f>
        <v/>
      </c>
      <c r="K270" s="343" t="n"/>
      <c r="L270" s="228" t="n"/>
      <c r="M270" s="228" t="n"/>
      <c r="N270" s="228" t="n"/>
      <c r="O270" s="228">
        <f>P270</f>
        <v/>
      </c>
      <c r="P270" s="343" t="n"/>
      <c r="Q270" s="228" t="n">
        <v>0</v>
      </c>
      <c r="R270" s="228" t="n"/>
      <c r="S270" s="228" t="n"/>
      <c r="T270" s="228">
        <f>U270</f>
        <v/>
      </c>
      <c r="U270" s="343" t="n"/>
      <c r="V270" s="228" t="n">
        <v>280</v>
      </c>
      <c r="W270" s="228" t="n">
        <v>280</v>
      </c>
      <c r="X270" s="228" t="n">
        <v>280</v>
      </c>
      <c r="Y270" s="93">
        <f>Z270</f>
        <v/>
      </c>
      <c r="Z270" s="343" t="n">
        <v>280</v>
      </c>
      <c r="AA270" s="228" t="n"/>
      <c r="AB270" s="228" t="n"/>
      <c r="AC270" s="228" t="n"/>
      <c r="AD270" s="93">
        <f>AE270</f>
        <v/>
      </c>
      <c r="AE270" s="343" t="n"/>
      <c r="AF270" s="228" t="n"/>
      <c r="AG270" s="228" t="n"/>
      <c r="AH270" s="228" t="n"/>
      <c r="AI270" s="93">
        <f>AJ270</f>
        <v/>
      </c>
      <c r="AJ270" s="343" t="n"/>
      <c r="AK270" s="228" t="n"/>
      <c r="AL270" s="322" t="n"/>
      <c r="AM270" s="228" t="n"/>
      <c r="AN270" s="93" t="n"/>
      <c r="AO270" s="343" t="n"/>
      <c r="AP270" s="228" t="n"/>
      <c r="AQ270" s="228" t="n"/>
      <c r="AR270" s="228" t="n"/>
      <c r="AS270" s="93" t="n"/>
      <c r="AT270" s="343" t="n"/>
      <c r="AU270" s="343" t="n"/>
      <c r="AV270" s="343" t="n"/>
      <c r="AW270" s="343" t="n"/>
      <c r="AX270" s="228" t="n"/>
    </row>
    <row r="271" hidden="1" outlineLevel="1" customFormat="1" s="5">
      <c r="A271" s="36" t="inlineStr">
        <is>
          <t>Debt issuance costs</t>
        </is>
      </c>
      <c r="B271" s="376" t="n"/>
      <c r="C271" s="343" t="n"/>
      <c r="D271" s="343" t="n"/>
      <c r="E271" s="343" t="n"/>
      <c r="F271" s="343" t="n"/>
      <c r="G271" s="228" t="n"/>
      <c r="H271" s="228" t="n"/>
      <c r="I271" s="228" t="n"/>
      <c r="J271" s="228">
        <f>K271</f>
        <v/>
      </c>
      <c r="K271" s="343" t="n"/>
      <c r="L271" s="228" t="n"/>
      <c r="M271" s="228" t="n"/>
      <c r="N271" s="228" t="n"/>
      <c r="O271" s="228">
        <f>P271</f>
        <v/>
      </c>
      <c r="P271" s="343" t="n"/>
      <c r="Q271" s="228" t="n">
        <v>0</v>
      </c>
      <c r="R271" s="228" t="n"/>
      <c r="S271" s="228" t="n"/>
      <c r="T271" s="228">
        <f>U271</f>
        <v/>
      </c>
      <c r="U271" s="343" t="n"/>
      <c r="V271" s="228" t="n">
        <v>-5.521</v>
      </c>
      <c r="W271" s="228" t="n">
        <v>-5.521</v>
      </c>
      <c r="X271" s="228" t="n">
        <v>-5.521</v>
      </c>
      <c r="Y271" s="93">
        <f>Z271</f>
        <v/>
      </c>
      <c r="Z271" s="343" t="n">
        <v>-5.521</v>
      </c>
      <c r="AA271" s="228" t="n"/>
      <c r="AB271" s="228" t="n"/>
      <c r="AC271" s="228" t="n"/>
      <c r="AD271" s="93">
        <f>AE271</f>
        <v/>
      </c>
      <c r="AE271" s="343" t="n"/>
      <c r="AF271" s="228" t="n"/>
      <c r="AG271" s="228" t="n"/>
      <c r="AH271" s="228" t="n"/>
      <c r="AI271" s="93">
        <f>AJ271</f>
        <v/>
      </c>
      <c r="AJ271" s="343" t="n"/>
      <c r="AK271" s="228" t="n"/>
      <c r="AL271" s="322" t="n"/>
      <c r="AM271" s="228" t="n"/>
      <c r="AN271" s="93" t="n"/>
      <c r="AO271" s="343" t="n"/>
      <c r="AP271" s="228" t="n"/>
      <c r="AQ271" s="228" t="n"/>
      <c r="AR271" s="228" t="n"/>
      <c r="AS271" s="93" t="n"/>
      <c r="AT271" s="343" t="n"/>
      <c r="AU271" s="343" t="n"/>
      <c r="AV271" s="343" t="n"/>
      <c r="AW271" s="343" t="n"/>
      <c r="AX271" s="228" t="n"/>
    </row>
    <row r="272" hidden="1" outlineLevel="1" customFormat="1" s="5">
      <c r="A272" s="36" t="inlineStr">
        <is>
          <t>Principal payments on term debt</t>
        </is>
      </c>
      <c r="B272" s="376" t="n"/>
      <c r="C272" s="343" t="n"/>
      <c r="D272" s="343" t="n"/>
      <c r="E272" s="343" t="n"/>
      <c r="F272" s="343" t="n"/>
      <c r="G272" s="228" t="n"/>
      <c r="H272" s="228" t="n"/>
      <c r="I272" s="228" t="n"/>
      <c r="J272" s="228" t="n"/>
      <c r="K272" s="343" t="n"/>
      <c r="L272" s="228" t="n"/>
      <c r="M272" s="228" t="n"/>
      <c r="N272" s="228" t="n"/>
      <c r="O272" s="228" t="n"/>
      <c r="P272" s="343" t="n"/>
      <c r="Q272" s="228" t="n"/>
      <c r="R272" s="228" t="n"/>
      <c r="S272" s="228" t="n"/>
      <c r="T272" s="228" t="n"/>
      <c r="U272" s="343" t="n"/>
      <c r="V272" s="228" t="n"/>
      <c r="W272" s="228" t="n">
        <v>-7</v>
      </c>
      <c r="X272" s="228" t="n">
        <v>-27</v>
      </c>
      <c r="Y272" s="228">
        <f>Z272</f>
        <v/>
      </c>
      <c r="Z272" s="343" t="n">
        <v>-34</v>
      </c>
      <c r="AA272" s="228" t="n">
        <v>-20</v>
      </c>
      <c r="AB272" s="228" t="n">
        <v>-30</v>
      </c>
      <c r="AC272" s="228" t="n">
        <v>-46</v>
      </c>
      <c r="AD272" s="228">
        <f>AE272</f>
        <v/>
      </c>
      <c r="AE272" s="343" t="n">
        <v>-172</v>
      </c>
      <c r="AF272" s="228" t="n">
        <v>-39</v>
      </c>
      <c r="AG272" s="228" t="n">
        <v>-74</v>
      </c>
      <c r="AH272" s="228" t="n">
        <v>-74</v>
      </c>
      <c r="AI272" s="228">
        <f>AJ272</f>
        <v/>
      </c>
      <c r="AJ272" s="343" t="n">
        <v>-74</v>
      </c>
      <c r="AK272" s="228" t="n"/>
      <c r="AL272" s="322" t="n"/>
      <c r="AM272" s="228" t="n"/>
      <c r="AN272" s="228" t="n"/>
      <c r="AO272" s="343" t="n"/>
      <c r="AP272" s="228" t="n"/>
      <c r="AQ272" s="228" t="n"/>
      <c r="AR272" s="228" t="n"/>
      <c r="AS272" s="228" t="n"/>
      <c r="AT272" s="343" t="n"/>
      <c r="AU272" s="343" t="n"/>
      <c r="AV272" s="343" t="n"/>
      <c r="AW272" s="343" t="n"/>
      <c r="AX272" s="228" t="n"/>
    </row>
    <row r="273" hidden="1" outlineLevel="1" customFormat="1" s="5">
      <c r="A273" s="36" t="inlineStr">
        <is>
          <t>Principal payments on capital lease obligations and intangible asset financing</t>
        </is>
      </c>
      <c r="B273" s="376" t="n"/>
      <c r="C273" s="343" t="n">
        <v>-0.465</v>
      </c>
      <c r="D273" s="343" t="n">
        <v>-0.528</v>
      </c>
      <c r="E273" s="343" t="n">
        <v>-0.459</v>
      </c>
      <c r="F273" s="343" t="n">
        <v>-0.918</v>
      </c>
      <c r="G273" s="228" t="n">
        <v>-0.279</v>
      </c>
      <c r="H273" s="228" t="n">
        <v>-0.695</v>
      </c>
      <c r="I273" s="228" t="n">
        <v>-0.96</v>
      </c>
      <c r="J273" s="228">
        <f>K273</f>
        <v/>
      </c>
      <c r="K273" s="343" t="n">
        <v>-1.111</v>
      </c>
      <c r="L273" s="228" t="n">
        <v>-0.356</v>
      </c>
      <c r="M273" s="228" t="n">
        <v>-0.6830000000000001</v>
      </c>
      <c r="N273" s="228" t="n">
        <v>-1.092</v>
      </c>
      <c r="O273" s="228">
        <f>P273</f>
        <v/>
      </c>
      <c r="P273" s="343" t="n">
        <v>-1.381</v>
      </c>
      <c r="Q273" s="228" t="n">
        <v>-0.281</v>
      </c>
      <c r="R273" s="228" t="n">
        <v>-0.556</v>
      </c>
      <c r="S273" s="228" t="n">
        <v>-0.831</v>
      </c>
      <c r="T273" s="228">
        <f>U273</f>
        <v/>
      </c>
      <c r="U273" s="343" t="n">
        <v>-1.105</v>
      </c>
      <c r="V273" s="228" t="n">
        <v>-0.274</v>
      </c>
      <c r="W273" s="228" t="n">
        <v>-0.491</v>
      </c>
      <c r="X273" s="228" t="n">
        <v>-0.491</v>
      </c>
      <c r="Y273" s="93">
        <f>Z273</f>
        <v/>
      </c>
      <c r="Z273" s="343" t="n">
        <v>-1.364</v>
      </c>
      <c r="AA273" s="228" t="n">
        <v>-2.514</v>
      </c>
      <c r="AB273" s="228" t="n">
        <v>-3.263</v>
      </c>
      <c r="AC273" s="228" t="n">
        <v>-5.969</v>
      </c>
      <c r="AD273" s="93">
        <f>AE273</f>
        <v/>
      </c>
      <c r="AE273" s="343" t="n">
        <v>-7.369</v>
      </c>
      <c r="AF273" s="228" t="n">
        <v>-2.173</v>
      </c>
      <c r="AG273" s="228" t="n">
        <v>-3.446</v>
      </c>
      <c r="AH273" s="228" t="n">
        <v>-6.519</v>
      </c>
      <c r="AI273" s="93">
        <f>AJ273</f>
        <v/>
      </c>
      <c r="AJ273" s="343" t="n">
        <v>-8.426</v>
      </c>
      <c r="AK273" s="228" t="n">
        <v>-2.303</v>
      </c>
      <c r="AL273" s="322" t="n">
        <v>-4.019</v>
      </c>
      <c r="AM273" s="228" t="n"/>
      <c r="AN273" s="93" t="n"/>
      <c r="AO273" s="343" t="n"/>
      <c r="AP273" s="228" t="n"/>
      <c r="AQ273" s="228" t="n"/>
      <c r="AR273" s="228" t="n"/>
      <c r="AS273" s="93" t="n"/>
      <c r="AT273" s="343" t="n"/>
      <c r="AU273" s="343" t="n"/>
      <c r="AV273" s="343" t="n"/>
      <c r="AW273" s="343" t="n"/>
      <c r="AX273" s="228" t="n"/>
    </row>
    <row r="274" hidden="1" outlineLevel="1" customFormat="1" s="5">
      <c r="A274" s="36" t="inlineStr">
        <is>
          <t>Proceeds from exercise of share awards</t>
        </is>
      </c>
      <c r="B274" s="376" t="n"/>
      <c r="C274" s="343" t="n">
        <v>3.664</v>
      </c>
      <c r="D274" s="343" t="n">
        <v>9.478</v>
      </c>
      <c r="E274" s="343" t="n">
        <v>18.471</v>
      </c>
      <c r="F274" s="343" t="n">
        <v>29.963</v>
      </c>
      <c r="G274" s="228" t="n">
        <v>5.671</v>
      </c>
      <c r="H274" s="228" t="n">
        <v>7.053</v>
      </c>
      <c r="I274" s="228" t="n">
        <v>13.571</v>
      </c>
      <c r="J274" s="228">
        <f>K274</f>
        <v/>
      </c>
      <c r="K274" s="343" t="n">
        <v>14.637</v>
      </c>
      <c r="L274" s="228" t="n">
        <v>6.699</v>
      </c>
      <c r="M274" s="228" t="n">
        <v>7.109</v>
      </c>
      <c r="N274" s="228" t="n">
        <v>15.271</v>
      </c>
      <c r="O274" s="228">
        <f>P274</f>
        <v/>
      </c>
      <c r="P274" s="343" t="n">
        <v>16.783</v>
      </c>
      <c r="Q274" s="228" t="n"/>
      <c r="R274" s="228" t="n">
        <v>9.829000000000001</v>
      </c>
      <c r="S274" s="228" t="n">
        <v>16.978</v>
      </c>
      <c r="T274" s="228">
        <f>U274</f>
        <v/>
      </c>
      <c r="U274" s="343" t="n">
        <v>18.867</v>
      </c>
      <c r="V274" s="228" t="n">
        <v>8.978999999999999</v>
      </c>
      <c r="W274" s="228" t="n">
        <v>10.438</v>
      </c>
      <c r="X274" s="228" t="n">
        <v>21.649</v>
      </c>
      <c r="Y274" s="93">
        <f>Z274</f>
        <v/>
      </c>
      <c r="Z274" s="343" t="n">
        <v>22.555</v>
      </c>
      <c r="AA274" s="228" t="n">
        <v>11.676</v>
      </c>
      <c r="AB274" s="228" t="n">
        <v>12.396</v>
      </c>
      <c r="AC274" s="228" t="n">
        <v>25.102</v>
      </c>
      <c r="AD274" s="93">
        <f>AE274</f>
        <v/>
      </c>
      <c r="AE274" s="343" t="n">
        <v>29.733</v>
      </c>
      <c r="AF274" s="228" t="n">
        <v>14.058</v>
      </c>
      <c r="AG274" s="228" t="n">
        <v>19.341</v>
      </c>
      <c r="AH274" s="228" t="n">
        <v>33.267</v>
      </c>
      <c r="AI274" s="93">
        <f>AJ274</f>
        <v/>
      </c>
      <c r="AJ274" s="343" t="n">
        <v>37.368</v>
      </c>
      <c r="AK274" s="228" t="n">
        <v>17.027</v>
      </c>
      <c r="AL274" s="322" t="n">
        <v>18.121</v>
      </c>
      <c r="AM274" s="228" t="n"/>
      <c r="AN274" s="93" t="n"/>
      <c r="AO274" s="343" t="n"/>
      <c r="AP274" s="228" t="n"/>
      <c r="AQ274" s="228" t="n"/>
      <c r="AR274" s="228" t="n"/>
      <c r="AS274" s="93" t="n"/>
      <c r="AT274" s="343" t="n"/>
      <c r="AU274" s="343" t="n"/>
      <c r="AV274" s="343" t="n"/>
      <c r="AW274" s="343" t="n"/>
      <c r="AX274" s="228" t="n"/>
    </row>
    <row r="275" hidden="1" outlineLevel="1" customFormat="1" s="5">
      <c r="A275" s="36" t="inlineStr">
        <is>
          <t>Excess tax benefit from SBC</t>
        </is>
      </c>
      <c r="B275" s="376" t="n"/>
      <c r="C275" s="343" t="n">
        <v>1.231</v>
      </c>
      <c r="D275" s="343" t="n">
        <v>1.101</v>
      </c>
      <c r="E275" s="343" t="n">
        <v>2.411</v>
      </c>
      <c r="F275" s="343" t="n">
        <v>5.141</v>
      </c>
      <c r="G275" s="228" t="n">
        <v>0.9320000000000001</v>
      </c>
      <c r="H275" s="228" t="n">
        <v>1.939</v>
      </c>
      <c r="I275" s="228" t="n">
        <v>2.796</v>
      </c>
      <c r="J275" s="228">
        <f>K275</f>
        <v/>
      </c>
      <c r="K275" s="343" t="n">
        <v>2.662</v>
      </c>
      <c r="L275" s="228" t="n"/>
      <c r="M275" s="228" t="n"/>
      <c r="N275" s="228" t="n">
        <v>0.346</v>
      </c>
      <c r="O275" s="228">
        <f>P275</f>
        <v/>
      </c>
      <c r="P275" s="343" t="n">
        <v>0.342</v>
      </c>
      <c r="Q275" s="228" t="n">
        <v>7.192</v>
      </c>
      <c r="R275" s="228" t="n"/>
      <c r="S275" s="228" t="n"/>
      <c r="T275" s="228">
        <f>U275</f>
        <v/>
      </c>
      <c r="U275" s="343" t="n">
        <v>0.053</v>
      </c>
      <c r="V275" s="228" t="n"/>
      <c r="W275" s="228" t="n"/>
      <c r="X275" s="228" t="n"/>
      <c r="Y275" s="93">
        <f>Z275</f>
        <v/>
      </c>
      <c r="Z275" s="343" t="n">
        <v>-0.046</v>
      </c>
      <c r="AA275" s="228" t="n"/>
      <c r="AB275" s="228" t="n"/>
      <c r="AC275" s="228" t="n"/>
      <c r="AD275" s="93">
        <f>AE275</f>
        <v/>
      </c>
      <c r="AE275" s="343" t="n"/>
      <c r="AF275" s="228" t="n"/>
      <c r="AG275" s="228" t="n"/>
      <c r="AH275" s="228" t="n"/>
      <c r="AI275" s="93">
        <f>AJ275</f>
        <v/>
      </c>
      <c r="AJ275" s="343" t="n"/>
      <c r="AK275" s="228" t="n"/>
      <c r="AL275" s="322" t="n"/>
      <c r="AM275" s="228" t="n"/>
      <c r="AN275" s="93" t="n"/>
      <c r="AO275" s="343" t="n"/>
      <c r="AP275" s="228" t="n"/>
      <c r="AQ275" s="228" t="n"/>
      <c r="AR275" s="228" t="n"/>
      <c r="AS275" s="93" t="n"/>
      <c r="AT275" s="343" t="n"/>
      <c r="AU275" s="343" t="n"/>
      <c r="AV275" s="343" t="n"/>
      <c r="AW275" s="343" t="n"/>
      <c r="AX275" s="228" t="n"/>
    </row>
    <row r="276" hidden="1" outlineLevel="1" customFormat="1" s="5">
      <c r="A276" s="36" t="inlineStr">
        <is>
          <t>Dividend paid</t>
        </is>
      </c>
      <c r="B276" s="376" t="n"/>
      <c r="C276" s="343" t="n"/>
      <c r="D276" s="343" t="n"/>
      <c r="E276" s="343" t="n"/>
      <c r="F276" s="343" t="n"/>
      <c r="G276" s="228" t="n"/>
      <c r="H276" s="228" t="n"/>
      <c r="I276" s="228" t="n"/>
      <c r="J276" s="228" t="n"/>
      <c r="K276" s="343" t="n"/>
      <c r="L276" s="228" t="n"/>
      <c r="M276" s="228" t="n"/>
      <c r="N276" s="228" t="n"/>
      <c r="O276" s="228" t="n"/>
      <c r="P276" s="343" t="n"/>
      <c r="Q276" s="228" t="n"/>
      <c r="R276" s="228" t="n"/>
      <c r="S276" s="228" t="n"/>
      <c r="T276" s="228" t="n"/>
      <c r="U276" s="343" t="n"/>
      <c r="V276" s="228" t="n"/>
      <c r="W276" s="228" t="n"/>
      <c r="X276" s="228" t="n"/>
      <c r="Y276" s="228" t="n"/>
      <c r="Z276" s="343" t="n"/>
      <c r="AA276" s="228" t="n"/>
      <c r="AB276" s="228" t="n"/>
      <c r="AC276" s="228" t="n"/>
      <c r="AD276" s="228">
        <f>AE276</f>
        <v/>
      </c>
      <c r="AE276" s="343" t="n"/>
      <c r="AF276" s="228" t="n"/>
      <c r="AG276" s="228" t="n"/>
      <c r="AH276" s="228" t="n"/>
      <c r="AI276" s="228">
        <f>AJ276</f>
        <v/>
      </c>
      <c r="AJ276" s="343" t="n"/>
      <c r="AK276" s="228" t="n"/>
      <c r="AL276" s="322" t="n"/>
      <c r="AM276" s="228" t="n"/>
      <c r="AN276" s="228" t="n"/>
      <c r="AO276" s="343" t="n"/>
      <c r="AP276" s="228" t="n"/>
      <c r="AQ276" s="228" t="n"/>
      <c r="AR276" s="228" t="n"/>
      <c r="AS276" s="228" t="n"/>
      <c r="AT276" s="343" t="n"/>
      <c r="AU276" s="343" t="n"/>
      <c r="AV276" s="343" t="n"/>
      <c r="AW276" s="343" t="n"/>
      <c r="AX276" s="228" t="n"/>
    </row>
    <row r="277" hidden="1" outlineLevel="1" customFormat="1" s="5">
      <c r="A277" s="36" t="inlineStr">
        <is>
          <t>Proceeds from public offering, net</t>
        </is>
      </c>
      <c r="B277" s="376" t="n"/>
      <c r="C277" s="343" t="n"/>
      <c r="D277" s="343" t="n"/>
      <c r="E277" s="343" t="n">
        <v>104.201</v>
      </c>
      <c r="F277" s="343" t="n"/>
      <c r="G277" s="228" t="n"/>
      <c r="H277" s="228" t="n"/>
      <c r="I277" s="228" t="n"/>
      <c r="J277" s="228" t="n"/>
      <c r="K277" s="343" t="n"/>
      <c r="L277" s="228" t="n"/>
      <c r="M277" s="228" t="n"/>
      <c r="N277" s="228" t="n"/>
      <c r="O277" s="228" t="n"/>
      <c r="P277" s="343" t="n"/>
      <c r="Q277" s="228" t="n"/>
      <c r="R277" s="228" t="n"/>
      <c r="S277" s="228" t="n"/>
      <c r="T277" s="228" t="n"/>
      <c r="U277" s="343" t="n"/>
      <c r="V277" s="228" t="n"/>
      <c r="W277" s="228" t="n"/>
      <c r="X277" s="228" t="n"/>
      <c r="Y277" s="93">
        <f>Z277</f>
        <v/>
      </c>
      <c r="Z277" s="343" t="n"/>
      <c r="AA277" s="228" t="n"/>
      <c r="AB277" s="228" t="n"/>
      <c r="AC277" s="228" t="n"/>
      <c r="AD277" s="93">
        <f>AE277</f>
        <v/>
      </c>
      <c r="AE277" s="343" t="n"/>
      <c r="AF277" s="228" t="n"/>
      <c r="AG277" s="228" t="n"/>
      <c r="AH277" s="228" t="n"/>
      <c r="AI277" s="93">
        <f>AJ277</f>
        <v/>
      </c>
      <c r="AJ277" s="343" t="n"/>
      <c r="AK277" s="228" t="n"/>
      <c r="AL277" s="322" t="n"/>
      <c r="AM277" s="228" t="n"/>
      <c r="AN277" s="93" t="n"/>
      <c r="AO277" s="343" t="n"/>
      <c r="AP277" s="228" t="n"/>
      <c r="AQ277" s="228" t="n"/>
      <c r="AR277" s="228" t="n"/>
      <c r="AS277" s="93" t="n"/>
      <c r="AT277" s="343" t="n"/>
      <c r="AU277" s="343" t="n"/>
      <c r="AV277" s="343" t="n"/>
      <c r="AW277" s="343" t="n"/>
      <c r="AX277" s="228" t="n"/>
    </row>
    <row r="278" hidden="1" outlineLevel="1" customFormat="1" s="9">
      <c r="A278" s="347" t="inlineStr">
        <is>
          <t>Net CFF</t>
        </is>
      </c>
      <c r="B278" s="377" t="n"/>
      <c r="C278" s="349">
        <f>SUM(C270:C277)</f>
        <v/>
      </c>
      <c r="D278" s="349">
        <f>SUM(D270:D277)</f>
        <v/>
      </c>
      <c r="E278" s="349">
        <f>SUM(E270:E277)</f>
        <v/>
      </c>
      <c r="F278" s="349">
        <f>SUM(F270:F277)</f>
        <v/>
      </c>
      <c r="G278" s="350">
        <f>SUM(G270:G277)</f>
        <v/>
      </c>
      <c r="H278" s="350">
        <f>SUM(H270:H277)</f>
        <v/>
      </c>
      <c r="I278" s="350">
        <f>SUM(I270:I277)</f>
        <v/>
      </c>
      <c r="J278" s="350">
        <f>SUM(J270:J277)</f>
        <v/>
      </c>
      <c r="K278" s="349">
        <f>SUM(K270:K277)</f>
        <v/>
      </c>
      <c r="L278" s="350">
        <f>SUM(L270:L277)</f>
        <v/>
      </c>
      <c r="M278" s="350">
        <f>SUM(M270:M277)</f>
        <v/>
      </c>
      <c r="N278" s="350">
        <f>SUM(N270:N277)</f>
        <v/>
      </c>
      <c r="O278" s="350">
        <f>SUM(O270:O277)</f>
        <v/>
      </c>
      <c r="P278" s="349">
        <f>SUM(P270:P277)</f>
        <v/>
      </c>
      <c r="Q278" s="350">
        <f>SUM(Q270:Q277)</f>
        <v/>
      </c>
      <c r="R278" s="350">
        <f>SUM(R270:R277)</f>
        <v/>
      </c>
      <c r="S278" s="350">
        <f>SUM(S270:S277)</f>
        <v/>
      </c>
      <c r="T278" s="350">
        <f>SUM(T270:T277)</f>
        <v/>
      </c>
      <c r="U278" s="349">
        <f>SUM(U270:U277)</f>
        <v/>
      </c>
      <c r="V278" s="350">
        <f>SUM(V270:V277)</f>
        <v/>
      </c>
      <c r="W278" s="350">
        <f>SUM(W270:W277)</f>
        <v/>
      </c>
      <c r="X278" s="350">
        <f>SUM(X270:X277)</f>
        <v/>
      </c>
      <c r="Y278" s="351">
        <f>SUM(Y270:Y277)</f>
        <v/>
      </c>
      <c r="Z278" s="352">
        <f>SUM(Z270:Z277)</f>
        <v/>
      </c>
      <c r="AA278" s="350">
        <f>SUM(AA270:AA277)</f>
        <v/>
      </c>
      <c r="AB278" s="350">
        <f>SUM(AB270:AB277)</f>
        <v/>
      </c>
      <c r="AC278" s="350">
        <f>SUM(AC270:AC277)</f>
        <v/>
      </c>
      <c r="AD278" s="351">
        <f>SUM(AD270:AD277)</f>
        <v/>
      </c>
      <c r="AE278" s="352">
        <f>SUM(AE270:AE277)</f>
        <v/>
      </c>
      <c r="AF278" s="350">
        <f>SUM(AF270:AF277)</f>
        <v/>
      </c>
      <c r="AG278" s="350">
        <f>SUM(AG270:AG277)</f>
        <v/>
      </c>
      <c r="AH278" s="350">
        <f>SUM(AH270:AH277)</f>
        <v/>
      </c>
      <c r="AI278" s="351">
        <f>SUM(AI270:AI277)</f>
        <v/>
      </c>
      <c r="AJ278" s="352">
        <f>SUM(AJ270:AJ277)</f>
        <v/>
      </c>
      <c r="AK278" s="350">
        <f>SUM(AK270:AK277)</f>
        <v/>
      </c>
      <c r="AL278" s="353">
        <f>SUM(AL270:AL277)</f>
        <v/>
      </c>
      <c r="AM278" s="351" t="n"/>
      <c r="AN278" s="351" t="n"/>
      <c r="AO278" s="352" t="n"/>
      <c r="AP278" s="351" t="n"/>
      <c r="AQ278" s="351" t="n"/>
      <c r="AR278" s="351" t="n"/>
      <c r="AS278" s="351" t="n"/>
      <c r="AT278" s="352" t="n"/>
      <c r="AU278" s="352" t="n"/>
      <c r="AV278" s="352" t="n"/>
      <c r="AW278" s="352" t="n"/>
      <c r="AX278" s="22" t="n"/>
    </row>
    <row r="279" hidden="1" outlineLevel="1" customFormat="1" s="9">
      <c r="A279" s="35" t="n"/>
      <c r="B279" s="103" t="n"/>
      <c r="C279" s="4" t="n"/>
      <c r="D279" s="4" t="n"/>
      <c r="E279" s="4" t="n"/>
      <c r="F279" s="4" t="n"/>
      <c r="G279" s="22" t="n"/>
      <c r="H279" s="22" t="n"/>
      <c r="I279" s="22" t="n"/>
      <c r="J279" s="22" t="n"/>
      <c r="K279" s="4" t="n"/>
      <c r="L279" s="22" t="n"/>
      <c r="M279" s="22" t="n"/>
      <c r="N279" s="22" t="n"/>
      <c r="O279" s="22" t="n"/>
      <c r="P279" s="4" t="n"/>
      <c r="Q279" s="22" t="n"/>
      <c r="R279" s="22" t="n"/>
      <c r="S279" s="22" t="n"/>
      <c r="T279" s="22" t="n"/>
      <c r="U279" s="4" t="n"/>
      <c r="V279" s="22" t="n"/>
      <c r="W279" s="22" t="n"/>
      <c r="X279" s="22" t="n"/>
      <c r="Y279" s="22" t="n"/>
      <c r="Z279" s="4" t="n"/>
      <c r="AA279" s="22" t="n"/>
      <c r="AB279" s="22" t="n"/>
      <c r="AC279" s="22" t="n"/>
      <c r="AD279" s="22" t="n"/>
      <c r="AE279" s="4" t="n"/>
      <c r="AF279" s="22" t="n"/>
      <c r="AG279" s="22" t="n"/>
      <c r="AH279" s="22" t="n"/>
      <c r="AI279" s="22" t="n"/>
      <c r="AJ279" s="4" t="n"/>
      <c r="AK279" s="22" t="n"/>
      <c r="AL279" s="308" t="n"/>
      <c r="AM279" s="22" t="n"/>
      <c r="AN279" s="22" t="n"/>
      <c r="AO279" s="4" t="n"/>
      <c r="AP279" s="22" t="n"/>
      <c r="AQ279" s="22" t="n"/>
      <c r="AR279" s="22" t="n"/>
      <c r="AS279" s="22" t="n"/>
      <c r="AT279" s="4" t="n"/>
      <c r="AU279" s="4" t="n"/>
      <c r="AV279" s="4" t="n"/>
      <c r="AW279" s="4" t="n"/>
      <c r="AX279" s="22" t="n"/>
    </row>
    <row r="280" hidden="1" outlineLevel="1" customFormat="1" s="9">
      <c r="A280" s="35" t="inlineStr">
        <is>
          <t>FX</t>
        </is>
      </c>
      <c r="B280" s="103" t="n"/>
      <c r="C280" s="4" t="n"/>
      <c r="D280" s="4" t="n"/>
      <c r="E280" s="4" t="n"/>
      <c r="F280" s="4" t="n"/>
      <c r="G280" s="22" t="n"/>
      <c r="H280" s="22" t="n"/>
      <c r="I280" s="22" t="n"/>
      <c r="J280" s="22">
        <f>K280</f>
        <v/>
      </c>
      <c r="K280" s="4" t="n"/>
      <c r="L280" s="22" t="n"/>
      <c r="M280" s="22" t="n"/>
      <c r="N280" s="22" t="n"/>
      <c r="O280" s="22">
        <f>P280</f>
        <v/>
      </c>
      <c r="P280" s="4" t="n"/>
      <c r="Q280" s="22" t="n"/>
      <c r="R280" s="22" t="n"/>
      <c r="S280" s="22" t="n"/>
      <c r="T280" s="22">
        <f>U280</f>
        <v/>
      </c>
      <c r="U280" s="4" t="n"/>
      <c r="V280" s="22" t="n"/>
      <c r="W280" s="22" t="n"/>
      <c r="X280" s="22" t="n"/>
      <c r="Y280" s="378">
        <f>Z280</f>
        <v/>
      </c>
      <c r="Z280" s="4" t="n"/>
      <c r="AA280" s="22" t="n"/>
      <c r="AB280" s="22" t="n"/>
      <c r="AC280" s="22" t="n"/>
      <c r="AD280" s="378">
        <f>AE280</f>
        <v/>
      </c>
      <c r="AE280" s="4" t="n"/>
      <c r="AF280" s="22" t="n"/>
      <c r="AG280" s="22" t="n"/>
      <c r="AH280" s="22" t="n"/>
      <c r="AI280" s="378">
        <f>AJ280</f>
        <v/>
      </c>
      <c r="AJ280" s="4" t="n"/>
      <c r="AK280" s="22" t="n"/>
      <c r="AL280" s="308" t="n"/>
      <c r="AM280" s="22" t="n"/>
      <c r="AN280" s="378" t="n"/>
      <c r="AO280" s="4" t="n"/>
      <c r="AP280" s="22" t="n"/>
      <c r="AQ280" s="22" t="n"/>
      <c r="AR280" s="22" t="n"/>
      <c r="AS280" s="378" t="n"/>
      <c r="AT280" s="4" t="n"/>
      <c r="AU280" s="4" t="n"/>
      <c r="AV280" s="4" t="n"/>
      <c r="AW280" s="4" t="n"/>
      <c r="AX280" s="22" t="n"/>
    </row>
    <row r="281" hidden="1" outlineLevel="1" customFormat="1" s="9">
      <c r="A281" s="35" t="inlineStr">
        <is>
          <t>Net Change in Cash Balance</t>
        </is>
      </c>
      <c r="B281" s="103" t="n"/>
      <c r="C281" s="4">
        <f>C278+C267+C253+C280</f>
        <v/>
      </c>
      <c r="D281" s="4">
        <f>D278+D267+D253+D280</f>
        <v/>
      </c>
      <c r="E281" s="4">
        <f>E278+E267+E253+E280</f>
        <v/>
      </c>
      <c r="F281" s="4">
        <f>F278+F267+F253+F280</f>
        <v/>
      </c>
      <c r="G281" s="22">
        <f>G278+G267+G253+G280</f>
        <v/>
      </c>
      <c r="H281" s="22">
        <f>H278+H267+H253+H280</f>
        <v/>
      </c>
      <c r="I281" s="22">
        <f>I278+I267+I253+I280</f>
        <v/>
      </c>
      <c r="J281" s="22">
        <f>J278+J267+J253+J280</f>
        <v/>
      </c>
      <c r="K281" s="4">
        <f>K278+K267+K253+K280</f>
        <v/>
      </c>
      <c r="L281" s="22">
        <f>L278+L267+L253+L280</f>
        <v/>
      </c>
      <c r="M281" s="22">
        <f>M278+M267+M253+M280</f>
        <v/>
      </c>
      <c r="N281" s="22">
        <f>N278+N267+N253+N280</f>
        <v/>
      </c>
      <c r="O281" s="22">
        <f>O278+O267+O253+O280</f>
        <v/>
      </c>
      <c r="P281" s="4">
        <f>P278+P267+P253+P280</f>
        <v/>
      </c>
      <c r="Q281" s="22">
        <f>Q278+Q267+Q253+Q280</f>
        <v/>
      </c>
      <c r="R281" s="22">
        <f>R278+R267+R253+R280</f>
        <v/>
      </c>
      <c r="S281" s="22">
        <f>S278+S267+S253+S280</f>
        <v/>
      </c>
      <c r="T281" s="22">
        <f>T278+T267+T253+T280</f>
        <v/>
      </c>
      <c r="U281" s="4">
        <f>U278+U267+U253+U280</f>
        <v/>
      </c>
      <c r="V281" s="22">
        <f>V278+V267+V253+V280</f>
        <v/>
      </c>
      <c r="W281" s="22">
        <f>W278+W267+W253+W280</f>
        <v/>
      </c>
      <c r="X281" s="22">
        <f>X278+X267+X253+X280</f>
        <v/>
      </c>
      <c r="Y281" s="378">
        <f>Y278+Y267+Y253+Y280</f>
        <v/>
      </c>
      <c r="Z281" s="117">
        <f>Z278+Z267+Z253+Z280</f>
        <v/>
      </c>
      <c r="AA281" s="22">
        <f>AA278+AA267+AA253+AA280</f>
        <v/>
      </c>
      <c r="AB281" s="22">
        <f>AB278+AB267+AB253+AB280</f>
        <v/>
      </c>
      <c r="AC281" s="22">
        <f>AC278+AC267+AC253+AC280</f>
        <v/>
      </c>
      <c r="AD281" s="378">
        <f>AD278+AD267+AD253+AD280</f>
        <v/>
      </c>
      <c r="AE281" s="117">
        <f>AE278+AE267+AE253+AE280</f>
        <v/>
      </c>
      <c r="AF281" s="22">
        <f>AF278+AF267+AF253+AF280</f>
        <v/>
      </c>
      <c r="AG281" s="22">
        <f>AG278+AG267+AG253+AG280</f>
        <v/>
      </c>
      <c r="AH281" s="22">
        <f>AH278+AH267+AH253+AH280</f>
        <v/>
      </c>
      <c r="AI281" s="378">
        <f>AI278+AI267+AI253+AI280</f>
        <v/>
      </c>
      <c r="AJ281" s="117">
        <f>AJ278+AJ267+AJ253+AJ280</f>
        <v/>
      </c>
      <c r="AK281" s="22">
        <f>AK278+AK267+AK253+AK280</f>
        <v/>
      </c>
      <c r="AL281" s="308">
        <f>AL278+AL267+AL253+AL280</f>
        <v/>
      </c>
      <c r="AM281" s="378" t="n"/>
      <c r="AN281" s="378" t="n"/>
      <c r="AO281" s="117" t="n"/>
      <c r="AP281" s="378" t="n"/>
      <c r="AQ281" s="378" t="n"/>
      <c r="AR281" s="378" t="n"/>
      <c r="AS281" s="378" t="n"/>
      <c r="AT281" s="117" t="n"/>
      <c r="AU281" s="117" t="n"/>
      <c r="AV281" s="117" t="n"/>
      <c r="AW281" s="117" t="n"/>
      <c r="AX281" s="22" t="n"/>
    </row>
    <row r="282" hidden="1" outlineLevel="1" customFormat="1" s="9">
      <c r="A282" s="35" t="n"/>
      <c r="B282" s="103" t="n"/>
      <c r="C282" s="4" t="n"/>
      <c r="D282" s="4" t="n"/>
      <c r="E282" s="4" t="n"/>
      <c r="F282" s="4" t="n"/>
      <c r="G282" s="22" t="n"/>
      <c r="H282" s="22" t="n"/>
      <c r="I282" s="22" t="n"/>
      <c r="J282" s="22" t="n"/>
      <c r="K282" s="4" t="n"/>
      <c r="L282" s="22" t="n"/>
      <c r="M282" s="22" t="n"/>
      <c r="N282" s="22" t="n"/>
      <c r="O282" s="22" t="n"/>
      <c r="P282" s="4" t="n"/>
      <c r="Q282" s="22" t="n"/>
      <c r="R282" s="22" t="n"/>
      <c r="S282" s="22" t="n"/>
      <c r="T282" s="22" t="n"/>
      <c r="U282" s="4" t="n"/>
      <c r="V282" s="22" t="n"/>
      <c r="W282" s="22" t="n"/>
      <c r="X282" s="22" t="n"/>
      <c r="Y282" s="22" t="n"/>
      <c r="Z282" s="4" t="n"/>
      <c r="AA282" s="22" t="n"/>
      <c r="AB282" s="22" t="n"/>
      <c r="AC282" s="22" t="n"/>
      <c r="AD282" s="22" t="n"/>
      <c r="AE282" s="4" t="n"/>
      <c r="AF282" s="22" t="n"/>
      <c r="AG282" s="22" t="n"/>
      <c r="AH282" s="22" t="n"/>
      <c r="AI282" s="22" t="n"/>
      <c r="AJ282" s="4" t="n"/>
      <c r="AK282" s="22" t="n"/>
      <c r="AL282" s="308" t="n"/>
      <c r="AM282" s="22" t="n"/>
      <c r="AN282" s="22" t="n"/>
      <c r="AO282" s="4" t="n"/>
      <c r="AP282" s="22" t="n"/>
      <c r="AQ282" s="22" t="n"/>
      <c r="AR282" s="22" t="n"/>
      <c r="AS282" s="22" t="n"/>
      <c r="AT282" s="4" t="n"/>
      <c r="AU282" s="4" t="n"/>
      <c r="AV282" s="4" t="n"/>
      <c r="AW282" s="4" t="n"/>
      <c r="AX282" s="22" t="n"/>
    </row>
    <row r="283" hidden="1" outlineLevel="1" customFormat="1" s="9">
      <c r="A283" s="35" t="inlineStr">
        <is>
          <t>Beginning Cash Balance</t>
        </is>
      </c>
      <c r="B283" s="103" t="n"/>
      <c r="C283" s="4" t="n">
        <v>110.153</v>
      </c>
      <c r="D283" s="4">
        <f>C284</f>
        <v/>
      </c>
      <c r="E283" s="4">
        <f>D284</f>
        <v/>
      </c>
      <c r="F283" s="4">
        <f>E284</f>
        <v/>
      </c>
      <c r="G283" s="22">
        <f>F284</f>
        <v/>
      </c>
      <c r="H283" s="22">
        <f>G283</f>
        <v/>
      </c>
      <c r="I283" s="22">
        <f>H283</f>
        <v/>
      </c>
      <c r="J283" s="22">
        <f>I283</f>
        <v/>
      </c>
      <c r="K283" s="4">
        <f>J283</f>
        <v/>
      </c>
      <c r="L283" s="22">
        <f>K284</f>
        <v/>
      </c>
      <c r="M283" s="22">
        <f>L283</f>
        <v/>
      </c>
      <c r="N283" s="22">
        <f>M283</f>
        <v/>
      </c>
      <c r="O283" s="22">
        <f>N283</f>
        <v/>
      </c>
      <c r="P283" s="4">
        <f>O283</f>
        <v/>
      </c>
      <c r="Q283" s="22">
        <f>P284</f>
        <v/>
      </c>
      <c r="R283" s="22">
        <f>Q283</f>
        <v/>
      </c>
      <c r="S283" s="22">
        <f>R283</f>
        <v/>
      </c>
      <c r="T283" s="22">
        <f>S283</f>
        <v/>
      </c>
      <c r="U283" s="4">
        <f>T283</f>
        <v/>
      </c>
      <c r="V283" s="22">
        <f>U284</f>
        <v/>
      </c>
      <c r="W283" s="22">
        <f>V283</f>
        <v/>
      </c>
      <c r="X283" s="22">
        <f>W283</f>
        <v/>
      </c>
      <c r="Y283" s="22">
        <f>X283</f>
        <v/>
      </c>
      <c r="Z283" s="4">
        <f>Y283</f>
        <v/>
      </c>
      <c r="AA283" s="22">
        <f>Z284</f>
        <v/>
      </c>
      <c r="AB283" s="22">
        <f>AA283</f>
        <v/>
      </c>
      <c r="AC283" s="22">
        <f>AB283</f>
        <v/>
      </c>
      <c r="AD283" s="22">
        <f>AC283</f>
        <v/>
      </c>
      <c r="AE283" s="4">
        <f>AD283</f>
        <v/>
      </c>
      <c r="AF283" s="22">
        <f>AE284</f>
        <v/>
      </c>
      <c r="AG283" s="22">
        <f>AF283</f>
        <v/>
      </c>
      <c r="AH283" s="22">
        <f>AG283</f>
        <v/>
      </c>
      <c r="AI283" s="22">
        <f>AH283</f>
        <v/>
      </c>
      <c r="AJ283" s="4">
        <f>AI283</f>
        <v/>
      </c>
      <c r="AK283" s="22">
        <f>AJ284</f>
        <v/>
      </c>
      <c r="AL283" s="308">
        <f>AK283</f>
        <v/>
      </c>
      <c r="AM283" s="22" t="n"/>
      <c r="AN283" s="22" t="n"/>
      <c r="AO283" s="4" t="n"/>
      <c r="AP283" s="22" t="n"/>
      <c r="AQ283" s="22" t="n"/>
      <c r="AR283" s="22" t="n"/>
      <c r="AS283" s="22" t="n"/>
      <c r="AT283" s="4" t="n"/>
      <c r="AU283" s="4" t="n"/>
      <c r="AV283" s="4" t="n"/>
      <c r="AW283" s="4" t="n"/>
      <c r="AX283" s="22" t="n"/>
    </row>
    <row r="284" hidden="1" outlineLevel="1" customFormat="1" s="9">
      <c r="A284" s="35" t="inlineStr">
        <is>
          <t>Ending Cash Balance</t>
        </is>
      </c>
      <c r="B284" s="103" t="n"/>
      <c r="C284" s="4">
        <f>C281+C283</f>
        <v/>
      </c>
      <c r="D284" s="4">
        <f>D281+D283</f>
        <v/>
      </c>
      <c r="E284" s="4">
        <f>E281+E283</f>
        <v/>
      </c>
      <c r="F284" s="4">
        <f>F281+F283</f>
        <v/>
      </c>
      <c r="G284" s="22">
        <f>G281+G283</f>
        <v/>
      </c>
      <c r="H284" s="22">
        <f>H281+H283</f>
        <v/>
      </c>
      <c r="I284" s="22">
        <f>I281+I283</f>
        <v/>
      </c>
      <c r="J284" s="22">
        <f>J281+J283</f>
        <v/>
      </c>
      <c r="K284" s="4">
        <f>K281+K283</f>
        <v/>
      </c>
      <c r="L284" s="22">
        <f>L281+L283</f>
        <v/>
      </c>
      <c r="M284" s="22">
        <f>M281+M283</f>
        <v/>
      </c>
      <c r="N284" s="22">
        <f>N281+N283</f>
        <v/>
      </c>
      <c r="O284" s="22">
        <f>O281+O283</f>
        <v/>
      </c>
      <c r="P284" s="4">
        <f>P281+P283</f>
        <v/>
      </c>
      <c r="Q284" s="22">
        <f>Q281+Q283</f>
        <v/>
      </c>
      <c r="R284" s="22">
        <f>R281+R283</f>
        <v/>
      </c>
      <c r="S284" s="22">
        <f>S281+S283</f>
        <v/>
      </c>
      <c r="T284" s="22">
        <f>T281+T283</f>
        <v/>
      </c>
      <c r="U284" s="4">
        <f>U281+U283</f>
        <v/>
      </c>
      <c r="V284" s="22">
        <f>V281+V283</f>
        <v/>
      </c>
      <c r="W284" s="22">
        <f>W281+W283</f>
        <v/>
      </c>
      <c r="X284" s="22">
        <f>X281+X283</f>
        <v/>
      </c>
      <c r="Y284" s="22">
        <f>Y281+Y283</f>
        <v/>
      </c>
      <c r="Z284" s="4">
        <f>Z281+Z283</f>
        <v/>
      </c>
      <c r="AA284" s="22">
        <f>AA281+AA283</f>
        <v/>
      </c>
      <c r="AB284" s="22">
        <f>AB281+AB283</f>
        <v/>
      </c>
      <c r="AC284" s="22">
        <f>AC281+AC283</f>
        <v/>
      </c>
      <c r="AD284" s="22">
        <f>AD281+AD283</f>
        <v/>
      </c>
      <c r="AE284" s="4">
        <f>AE281+AE283</f>
        <v/>
      </c>
      <c r="AF284" s="22">
        <f>AF281+AF283</f>
        <v/>
      </c>
      <c r="AG284" s="22">
        <f>AG281+AG283</f>
        <v/>
      </c>
      <c r="AH284" s="22">
        <f>AH281+AH283</f>
        <v/>
      </c>
      <c r="AI284" s="22">
        <f>AI281+AI283</f>
        <v/>
      </c>
      <c r="AJ284" s="4">
        <f>AJ281+AJ283</f>
        <v/>
      </c>
      <c r="AK284" s="22">
        <f>AK281+AK283</f>
        <v/>
      </c>
      <c r="AL284" s="308">
        <f>AL281+AL283</f>
        <v/>
      </c>
      <c r="AM284" s="22" t="n"/>
      <c r="AN284" s="22" t="n"/>
      <c r="AO284" s="4" t="n"/>
      <c r="AP284" s="22" t="n"/>
      <c r="AQ284" s="22" t="n"/>
      <c r="AR284" s="22" t="n"/>
      <c r="AS284" s="22" t="n"/>
      <c r="AT284" s="4" t="n"/>
      <c r="AU284" s="4" t="n"/>
      <c r="AV284" s="4" t="n"/>
      <c r="AW284" s="4" t="n"/>
      <c r="AX284" s="22" t="n"/>
    </row>
    <row r="285" collapsed="1" customFormat="1" s="9">
      <c r="A285" s="35" t="n"/>
      <c r="B285" s="103" t="n"/>
      <c r="C285" s="4" t="n"/>
      <c r="D285" s="4" t="n"/>
      <c r="E285" s="4" t="n"/>
      <c r="F285" s="4" t="n"/>
      <c r="G285" s="22" t="n"/>
      <c r="H285" s="22" t="n"/>
      <c r="I285" s="22" t="n"/>
      <c r="J285" s="22" t="n"/>
      <c r="K285" s="4" t="n"/>
      <c r="L285" s="22" t="n"/>
      <c r="M285" s="22" t="n"/>
      <c r="N285" s="22" t="n"/>
      <c r="O285" s="22" t="n"/>
      <c r="P285" s="4" t="n"/>
      <c r="Q285" s="22" t="n"/>
      <c r="R285" s="22" t="n"/>
      <c r="S285" s="22" t="n"/>
      <c r="T285" s="22" t="n"/>
      <c r="U285" s="4" t="n"/>
      <c r="V285" s="22" t="n"/>
      <c r="W285" s="22" t="n"/>
      <c r="X285" s="22" t="n"/>
      <c r="Y285" s="22" t="n"/>
      <c r="Z285" s="4" t="n"/>
      <c r="AA285" s="22" t="n"/>
      <c r="AB285" s="22" t="n"/>
      <c r="AC285" s="22" t="n"/>
      <c r="AD285" s="22" t="n"/>
      <c r="AE285" s="4" t="n"/>
      <c r="AF285" s="22" t="n"/>
      <c r="AG285" s="22" t="n"/>
      <c r="AH285" s="22" t="n"/>
      <c r="AI285" s="22" t="n"/>
      <c r="AJ285" s="4" t="n"/>
      <c r="AK285" s="22" t="n"/>
      <c r="AL285" s="308" t="n"/>
      <c r="AM285" s="22" t="n"/>
      <c r="AN285" s="22" t="n"/>
      <c r="AO285" s="4" t="n"/>
      <c r="AP285" s="22" t="n"/>
      <c r="AQ285" s="22" t="n"/>
      <c r="AR285" s="22" t="n"/>
      <c r="AS285" s="22" t="n"/>
      <c r="AT285" s="4" t="n"/>
      <c r="AU285" s="4" t="n"/>
      <c r="AV285" s="4" t="n"/>
      <c r="AW285" s="4" t="n"/>
      <c r="AX285" s="22" t="n"/>
    </row>
    <row r="286" customFormat="1" s="9">
      <c r="A286" s="45" t="inlineStr">
        <is>
          <t>Cash Flow Statement</t>
        </is>
      </c>
      <c r="B286" s="45" t="n"/>
      <c r="C286" s="45" t="n"/>
      <c r="D286" s="45" t="n"/>
      <c r="E286" s="45" t="n"/>
      <c r="F286" s="45" t="n"/>
      <c r="G286" s="45" t="n"/>
      <c r="H286" s="45" t="n"/>
      <c r="I286" s="45" t="n"/>
      <c r="J286" s="45" t="n"/>
      <c r="K286" s="45" t="n"/>
      <c r="L286" s="45" t="n"/>
      <c r="M286" s="45" t="n"/>
      <c r="N286" s="45" t="n"/>
      <c r="O286" s="45" t="n"/>
      <c r="P286" s="45" t="n"/>
      <c r="Q286" s="45" t="n"/>
      <c r="R286" s="45" t="n"/>
      <c r="S286" s="45" t="n"/>
      <c r="T286" s="45" t="n"/>
      <c r="U286" s="45" t="n"/>
      <c r="V286" s="45" t="n"/>
      <c r="W286" s="45" t="n"/>
      <c r="X286" s="45" t="n"/>
      <c r="Y286" s="45" t="n"/>
      <c r="Z286" s="45" t="n"/>
      <c r="AA286" s="45" t="n"/>
      <c r="AB286" s="45" t="n"/>
      <c r="AC286" s="45" t="n"/>
      <c r="AD286" s="45" t="n"/>
      <c r="AE286" s="45" t="n"/>
      <c r="AF286" s="45" t="n"/>
      <c r="AG286" s="45" t="n"/>
      <c r="AH286" s="45" t="n"/>
      <c r="AI286" s="45" t="n"/>
      <c r="AJ286" s="45" t="n"/>
      <c r="AK286" s="45" t="n"/>
      <c r="AL286" s="306" t="n"/>
      <c r="AM286" s="45" t="n"/>
      <c r="AN286" s="45" t="n"/>
      <c r="AO286" s="45" t="n"/>
      <c r="AP286" s="45" t="n"/>
      <c r="AQ286" s="45" t="n"/>
      <c r="AR286" s="45" t="n"/>
      <c r="AS286" s="45" t="n"/>
      <c r="AT286" s="45" t="n"/>
      <c r="AU286" s="45" t="n"/>
      <c r="AV286" s="45" t="n"/>
      <c r="AW286" s="45" t="n"/>
      <c r="AX286" s="22" t="n"/>
    </row>
    <row r="287" customFormat="1" s="9">
      <c r="A287" s="35">
        <f>A237</f>
        <v/>
      </c>
      <c r="B287" s="103" t="n"/>
      <c r="C287" s="4" t="n"/>
      <c r="D287" s="4" t="n"/>
      <c r="E287" s="4" t="n"/>
      <c r="F287" s="4" t="n"/>
      <c r="G287" s="22" t="n"/>
      <c r="H287" s="22" t="n"/>
      <c r="I287" s="22" t="n"/>
      <c r="J287" s="22" t="n"/>
      <c r="K287" s="4" t="n"/>
      <c r="L287" s="22" t="n"/>
      <c r="M287" s="22" t="n"/>
      <c r="N287" s="22" t="n"/>
      <c r="O287" s="22" t="n"/>
      <c r="P287" s="4" t="n"/>
      <c r="Q287" s="22" t="n"/>
      <c r="R287" s="22" t="n"/>
      <c r="S287" s="22" t="n"/>
      <c r="T287" s="22" t="n"/>
      <c r="U287" s="4" t="n"/>
      <c r="V287" s="22" t="n"/>
      <c r="W287" s="22" t="n"/>
      <c r="X287" s="22" t="n"/>
      <c r="Y287" s="72" t="n"/>
      <c r="Z287" s="8" t="n"/>
      <c r="AA287" s="22" t="n"/>
      <c r="AB287" s="22" t="n"/>
      <c r="AC287" s="22" t="n"/>
      <c r="AD287" s="72" t="n"/>
      <c r="AE287" s="8" t="n"/>
      <c r="AF287" s="22" t="n"/>
      <c r="AG287" s="22" t="n"/>
      <c r="AH287" s="22" t="n"/>
      <c r="AI287" s="72" t="n"/>
      <c r="AJ287" s="8" t="n"/>
      <c r="AK287" s="22" t="n"/>
      <c r="AL287" s="308" t="n"/>
      <c r="AM287" s="72" t="n"/>
      <c r="AN287" s="72" t="n"/>
      <c r="AO287" s="8" t="n"/>
      <c r="AP287" s="72" t="n"/>
      <c r="AQ287" s="72" t="n"/>
      <c r="AR287" s="72" t="n"/>
      <c r="AS287" s="72" t="n"/>
      <c r="AT287" s="8" t="n"/>
      <c r="AU287" s="8" t="n"/>
      <c r="AV287" s="8" t="n"/>
      <c r="AW287" s="8" t="n"/>
      <c r="AX287" s="22" t="n"/>
    </row>
    <row r="288" customFormat="1" s="5">
      <c r="A288" s="36">
        <f>A238</f>
        <v/>
      </c>
      <c r="B288" s="376" t="n"/>
      <c r="C288" s="343">
        <f>C238</f>
        <v/>
      </c>
      <c r="D288" s="343">
        <f>D238</f>
        <v/>
      </c>
      <c r="E288" s="343">
        <f>E238</f>
        <v/>
      </c>
      <c r="F288" s="343">
        <f>F238</f>
        <v/>
      </c>
      <c r="G288" s="228">
        <f>G238</f>
        <v/>
      </c>
      <c r="H288" s="228">
        <f>H238-G238</f>
        <v/>
      </c>
      <c r="I288" s="228">
        <f>I238-H238</f>
        <v/>
      </c>
      <c r="J288" s="228">
        <f>J238-I238</f>
        <v/>
      </c>
      <c r="K288" s="343">
        <f>K238</f>
        <v/>
      </c>
      <c r="L288" s="228">
        <f>L238</f>
        <v/>
      </c>
      <c r="M288" s="228">
        <f>M238-L238</f>
        <v/>
      </c>
      <c r="N288" s="228">
        <f>N238-M238</f>
        <v/>
      </c>
      <c r="O288" s="228">
        <f>O238-N238</f>
        <v/>
      </c>
      <c r="P288" s="343">
        <f>P238</f>
        <v/>
      </c>
      <c r="Q288" s="228">
        <f>Q238</f>
        <v/>
      </c>
      <c r="R288" s="228">
        <f>R238-Q238</f>
        <v/>
      </c>
      <c r="S288" s="228">
        <f>S238-R238</f>
        <v/>
      </c>
      <c r="T288" s="228">
        <f>T238-S238</f>
        <v/>
      </c>
      <c r="U288" s="343">
        <f>U238</f>
        <v/>
      </c>
      <c r="V288" s="228">
        <f>V238</f>
        <v/>
      </c>
      <c r="W288" s="228">
        <f>W238-V238</f>
        <v/>
      </c>
      <c r="X288" s="228">
        <f>X238-W238</f>
        <v/>
      </c>
      <c r="Y288" s="228">
        <f>Y238-X238</f>
        <v/>
      </c>
      <c r="Z288" s="343">
        <f>Z238</f>
        <v/>
      </c>
      <c r="AA288" s="228">
        <f>AA238</f>
        <v/>
      </c>
      <c r="AB288" s="228">
        <f>AB238-AA238</f>
        <v/>
      </c>
      <c r="AC288" s="228">
        <f>AC238-AB238</f>
        <v/>
      </c>
      <c r="AD288" s="228">
        <f>AD238-AC238</f>
        <v/>
      </c>
      <c r="AE288" s="343">
        <f>AE238</f>
        <v/>
      </c>
      <c r="AF288" s="228">
        <f>AF238</f>
        <v/>
      </c>
      <c r="AG288" s="228">
        <f>AG238-AF238</f>
        <v/>
      </c>
      <c r="AH288" s="228">
        <f>AH238-AG238</f>
        <v/>
      </c>
      <c r="AI288" s="228">
        <f>AI238-AH238</f>
        <v/>
      </c>
      <c r="AJ288" s="343">
        <f>AJ238</f>
        <v/>
      </c>
      <c r="AK288" s="228">
        <f>AK238</f>
        <v/>
      </c>
      <c r="AL288" s="322">
        <f>AL238-AK238</f>
        <v/>
      </c>
      <c r="AM288" s="93" t="n"/>
      <c r="AN288" s="93" t="n"/>
      <c r="AO288" s="344" t="n"/>
      <c r="AP288" s="93" t="n"/>
      <c r="AQ288" s="93" t="n"/>
      <c r="AR288" s="93" t="n"/>
      <c r="AS288" s="93" t="n"/>
      <c r="AT288" s="344" t="n"/>
      <c r="AU288" s="344" t="n"/>
      <c r="AV288" s="344" t="n"/>
      <c r="AW288" s="344" t="n"/>
      <c r="AX288" s="228" t="n"/>
    </row>
    <row r="289" customFormat="1" s="5">
      <c r="A289" s="36">
        <f>A239</f>
        <v/>
      </c>
      <c r="B289" s="376" t="n"/>
      <c r="C289" s="343">
        <f>C239</f>
        <v/>
      </c>
      <c r="D289" s="343">
        <f>D239</f>
        <v/>
      </c>
      <c r="E289" s="343">
        <f>E239</f>
        <v/>
      </c>
      <c r="F289" s="343">
        <f>F239</f>
        <v/>
      </c>
      <c r="G289" s="228">
        <f>G239</f>
        <v/>
      </c>
      <c r="H289" s="228">
        <f>H239-G239</f>
        <v/>
      </c>
      <c r="I289" s="228">
        <f>I239-H239</f>
        <v/>
      </c>
      <c r="J289" s="228">
        <f>J239-I239</f>
        <v/>
      </c>
      <c r="K289" s="343">
        <f>K239</f>
        <v/>
      </c>
      <c r="L289" s="228">
        <f>L239</f>
        <v/>
      </c>
      <c r="M289" s="228">
        <f>M239-L239</f>
        <v/>
      </c>
      <c r="N289" s="228">
        <f>N239-M239</f>
        <v/>
      </c>
      <c r="O289" s="228">
        <f>O239-N239</f>
        <v/>
      </c>
      <c r="P289" s="343">
        <f>P239</f>
        <v/>
      </c>
      <c r="Q289" s="228">
        <f>Q239</f>
        <v/>
      </c>
      <c r="R289" s="228">
        <f>R239-Q239</f>
        <v/>
      </c>
      <c r="S289" s="228">
        <f>S239-R239</f>
        <v/>
      </c>
      <c r="T289" s="228">
        <f>T239-S239</f>
        <v/>
      </c>
      <c r="U289" s="343">
        <f>U239</f>
        <v/>
      </c>
      <c r="V289" s="228">
        <f>V239</f>
        <v/>
      </c>
      <c r="W289" s="228">
        <f>W239-V239</f>
        <v/>
      </c>
      <c r="X289" s="228">
        <f>X239-W239</f>
        <v/>
      </c>
      <c r="Y289" s="228">
        <f>Y239-X239</f>
        <v/>
      </c>
      <c r="Z289" s="343">
        <f>Z239</f>
        <v/>
      </c>
      <c r="AA289" s="228">
        <f>AA239</f>
        <v/>
      </c>
      <c r="AB289" s="228">
        <f>AB239-AA239</f>
        <v/>
      </c>
      <c r="AC289" s="228">
        <f>AC239-AB239</f>
        <v/>
      </c>
      <c r="AD289" s="228">
        <f>AD239-AC239</f>
        <v/>
      </c>
      <c r="AE289" s="343">
        <f>AE239</f>
        <v/>
      </c>
      <c r="AF289" s="228">
        <f>AF239</f>
        <v/>
      </c>
      <c r="AG289" s="228">
        <f>AG239-AF239</f>
        <v/>
      </c>
      <c r="AH289" s="228">
        <f>AH239-AG239</f>
        <v/>
      </c>
      <c r="AI289" s="228">
        <f>AI239-AH239</f>
        <v/>
      </c>
      <c r="AJ289" s="343">
        <f>AJ239</f>
        <v/>
      </c>
      <c r="AK289" s="228">
        <f>AK239</f>
        <v/>
      </c>
      <c r="AL289" s="322">
        <f>AL239-AK239</f>
        <v/>
      </c>
      <c r="AM289" s="93" t="n"/>
      <c r="AN289" s="93" t="n"/>
      <c r="AO289" s="344" t="n"/>
      <c r="AP289" s="93" t="n"/>
      <c r="AQ289" s="93" t="n"/>
      <c r="AR289" s="93" t="n"/>
      <c r="AS289" s="93" t="n"/>
      <c r="AT289" s="344" t="n"/>
      <c r="AU289" s="344" t="n"/>
      <c r="AV289" s="344" t="n"/>
      <c r="AW289" s="344" t="n"/>
      <c r="AX289" s="228" t="n"/>
    </row>
    <row r="290" customFormat="1" s="5">
      <c r="A290" s="36">
        <f>A240</f>
        <v/>
      </c>
      <c r="B290" s="376" t="n"/>
      <c r="C290" s="343">
        <f>C240</f>
        <v/>
      </c>
      <c r="D290" s="343">
        <f>D240</f>
        <v/>
      </c>
      <c r="E290" s="343">
        <f>E240</f>
        <v/>
      </c>
      <c r="F290" s="343">
        <f>F240</f>
        <v/>
      </c>
      <c r="G290" s="228">
        <f>G240</f>
        <v/>
      </c>
      <c r="H290" s="228">
        <f>H240-G240</f>
        <v/>
      </c>
      <c r="I290" s="228">
        <f>I240-H240</f>
        <v/>
      </c>
      <c r="J290" s="228">
        <f>J240-I240</f>
        <v/>
      </c>
      <c r="K290" s="343">
        <f>K240</f>
        <v/>
      </c>
      <c r="L290" s="228">
        <f>L240</f>
        <v/>
      </c>
      <c r="M290" s="228">
        <f>M240-L240</f>
        <v/>
      </c>
      <c r="N290" s="228">
        <f>N240-M240</f>
        <v/>
      </c>
      <c r="O290" s="228">
        <f>O240-N240</f>
        <v/>
      </c>
      <c r="P290" s="343">
        <f>P240</f>
        <v/>
      </c>
      <c r="Q290" s="228">
        <f>Q240</f>
        <v/>
      </c>
      <c r="R290" s="228">
        <f>R240-Q240</f>
        <v/>
      </c>
      <c r="S290" s="228">
        <f>S240-R240</f>
        <v/>
      </c>
      <c r="T290" s="228">
        <f>T240-S240</f>
        <v/>
      </c>
      <c r="U290" s="343">
        <f>U240</f>
        <v/>
      </c>
      <c r="V290" s="228">
        <f>V240</f>
        <v/>
      </c>
      <c r="W290" s="228">
        <f>W240-V240</f>
        <v/>
      </c>
      <c r="X290" s="228">
        <f>X240-W240</f>
        <v/>
      </c>
      <c r="Y290" s="228">
        <f>Y240-X240</f>
        <v/>
      </c>
      <c r="Z290" s="343">
        <f>Z240</f>
        <v/>
      </c>
      <c r="AA290" s="228">
        <f>AA240</f>
        <v/>
      </c>
      <c r="AB290" s="228">
        <f>AB240-AA240</f>
        <v/>
      </c>
      <c r="AC290" s="228">
        <f>AC240-AB240</f>
        <v/>
      </c>
      <c r="AD290" s="228">
        <f>AD240-AC240</f>
        <v/>
      </c>
      <c r="AE290" s="343">
        <f>AE240</f>
        <v/>
      </c>
      <c r="AF290" s="228">
        <f>AF240</f>
        <v/>
      </c>
      <c r="AG290" s="228">
        <f>AG240-AF240</f>
        <v/>
      </c>
      <c r="AH290" s="228">
        <f>AH240-AG240</f>
        <v/>
      </c>
      <c r="AI290" s="228">
        <f>AI240-AH240</f>
        <v/>
      </c>
      <c r="AJ290" s="343">
        <f>AJ240</f>
        <v/>
      </c>
      <c r="AK290" s="228">
        <f>AK240</f>
        <v/>
      </c>
      <c r="AL290" s="322">
        <f>AL240-AK240</f>
        <v/>
      </c>
      <c r="AM290" s="93" t="n"/>
      <c r="AN290" s="93" t="n"/>
      <c r="AO290" s="344" t="n"/>
      <c r="AP290" s="93" t="n"/>
      <c r="AQ290" s="93" t="n"/>
      <c r="AR290" s="93" t="n"/>
      <c r="AS290" s="93" t="n"/>
      <c r="AT290" s="344" t="n"/>
      <c r="AU290" s="344" t="n"/>
      <c r="AV290" s="344" t="n"/>
      <c r="AW290" s="344" t="n"/>
      <c r="AX290" s="228" t="n"/>
    </row>
    <row r="291" customFormat="1" s="5">
      <c r="A291" s="36">
        <f>A241</f>
        <v/>
      </c>
      <c r="B291" s="376" t="n"/>
      <c r="C291" s="343">
        <f>C241</f>
        <v/>
      </c>
      <c r="D291" s="343">
        <f>D241</f>
        <v/>
      </c>
      <c r="E291" s="343">
        <f>E241</f>
        <v/>
      </c>
      <c r="F291" s="343">
        <f>F241</f>
        <v/>
      </c>
      <c r="G291" s="228">
        <f>G241</f>
        <v/>
      </c>
      <c r="H291" s="228">
        <f>H241-G241</f>
        <v/>
      </c>
      <c r="I291" s="228">
        <f>I241-H241</f>
        <v/>
      </c>
      <c r="J291" s="228">
        <f>J241-I241</f>
        <v/>
      </c>
      <c r="K291" s="343">
        <f>K241</f>
        <v/>
      </c>
      <c r="L291" s="228">
        <f>L241</f>
        <v/>
      </c>
      <c r="M291" s="228">
        <f>M241-L241</f>
        <v/>
      </c>
      <c r="N291" s="228">
        <f>N241-M241</f>
        <v/>
      </c>
      <c r="O291" s="228">
        <f>O241-N241</f>
        <v/>
      </c>
      <c r="P291" s="343">
        <f>P241</f>
        <v/>
      </c>
      <c r="Q291" s="228">
        <f>Q241</f>
        <v/>
      </c>
      <c r="R291" s="228">
        <f>R241-Q241</f>
        <v/>
      </c>
      <c r="S291" s="228">
        <f>S241-R241</f>
        <v/>
      </c>
      <c r="T291" s="228">
        <f>T241-S241</f>
        <v/>
      </c>
      <c r="U291" s="343">
        <f>U241</f>
        <v/>
      </c>
      <c r="V291" s="228">
        <f>V241</f>
        <v/>
      </c>
      <c r="W291" s="228">
        <f>W241-V241</f>
        <v/>
      </c>
      <c r="X291" s="228">
        <f>X241-W241</f>
        <v/>
      </c>
      <c r="Y291" s="228">
        <f>Y241-X241</f>
        <v/>
      </c>
      <c r="Z291" s="343">
        <f>Z241</f>
        <v/>
      </c>
      <c r="AA291" s="228">
        <f>AA241</f>
        <v/>
      </c>
      <c r="AB291" s="228">
        <f>AB241-AA241</f>
        <v/>
      </c>
      <c r="AC291" s="228">
        <f>AC241-AB241</f>
        <v/>
      </c>
      <c r="AD291" s="228">
        <f>AD241-AC241</f>
        <v/>
      </c>
      <c r="AE291" s="343">
        <f>AE241</f>
        <v/>
      </c>
      <c r="AF291" s="228">
        <f>AF241</f>
        <v/>
      </c>
      <c r="AG291" s="228">
        <f>AG241-AF241</f>
        <v/>
      </c>
      <c r="AH291" s="228">
        <f>AH241-AG241</f>
        <v/>
      </c>
      <c r="AI291" s="228">
        <f>AI241-AH241</f>
        <v/>
      </c>
      <c r="AJ291" s="343">
        <f>AJ241</f>
        <v/>
      </c>
      <c r="AK291" s="228">
        <f>AK241</f>
        <v/>
      </c>
      <c r="AL291" s="322">
        <f>AL241-AK241</f>
        <v/>
      </c>
      <c r="AM291" s="93" t="n"/>
      <c r="AN291" s="93" t="n"/>
      <c r="AO291" s="344" t="n"/>
      <c r="AP291" s="93" t="n"/>
      <c r="AQ291" s="93" t="n"/>
      <c r="AR291" s="93" t="n"/>
      <c r="AS291" s="93" t="n"/>
      <c r="AT291" s="344" t="n"/>
      <c r="AU291" s="344" t="n"/>
      <c r="AV291" s="344" t="n"/>
      <c r="AW291" s="344" t="n"/>
      <c r="AX291" s="228" t="n"/>
    </row>
    <row r="292" customFormat="1" s="5">
      <c r="A292" s="36">
        <f>A242</f>
        <v/>
      </c>
      <c r="B292" s="376" t="n"/>
      <c r="C292" s="343">
        <f>C242</f>
        <v/>
      </c>
      <c r="D292" s="343">
        <f>D242</f>
        <v/>
      </c>
      <c r="E292" s="343">
        <f>E242</f>
        <v/>
      </c>
      <c r="F292" s="343">
        <f>F242</f>
        <v/>
      </c>
      <c r="G292" s="228">
        <f>G242</f>
        <v/>
      </c>
      <c r="H292" s="228">
        <f>H242-G242</f>
        <v/>
      </c>
      <c r="I292" s="228">
        <f>I242-H242</f>
        <v/>
      </c>
      <c r="J292" s="228">
        <f>J242-I242</f>
        <v/>
      </c>
      <c r="K292" s="343">
        <f>K242</f>
        <v/>
      </c>
      <c r="L292" s="228">
        <f>L242</f>
        <v/>
      </c>
      <c r="M292" s="228">
        <f>M242-L242</f>
        <v/>
      </c>
      <c r="N292" s="228">
        <f>N242-M242</f>
        <v/>
      </c>
      <c r="O292" s="228">
        <f>O242-N242</f>
        <v/>
      </c>
      <c r="P292" s="343">
        <f>P242</f>
        <v/>
      </c>
      <c r="Q292" s="228">
        <f>Q242</f>
        <v/>
      </c>
      <c r="R292" s="228">
        <f>R242-Q242</f>
        <v/>
      </c>
      <c r="S292" s="228">
        <f>S242-R242</f>
        <v/>
      </c>
      <c r="T292" s="228">
        <f>T242-S242</f>
        <v/>
      </c>
      <c r="U292" s="343">
        <f>U242</f>
        <v/>
      </c>
      <c r="V292" s="228">
        <f>V242</f>
        <v/>
      </c>
      <c r="W292" s="228">
        <f>W242-V242</f>
        <v/>
      </c>
      <c r="X292" s="228">
        <f>X242-W242</f>
        <v/>
      </c>
      <c r="Y292" s="228">
        <f>Y242-X242</f>
        <v/>
      </c>
      <c r="Z292" s="343">
        <f>Z242</f>
        <v/>
      </c>
      <c r="AA292" s="228">
        <f>AA242</f>
        <v/>
      </c>
      <c r="AB292" s="228">
        <f>AB242-AA242</f>
        <v/>
      </c>
      <c r="AC292" s="228">
        <f>AC242-AB242</f>
        <v/>
      </c>
      <c r="AD292" s="228">
        <f>AD242-AC242</f>
        <v/>
      </c>
      <c r="AE292" s="343">
        <f>AE242</f>
        <v/>
      </c>
      <c r="AF292" s="228">
        <f>AF242</f>
        <v/>
      </c>
      <c r="AG292" s="228">
        <f>AG242-AF242</f>
        <v/>
      </c>
      <c r="AH292" s="228">
        <f>AH242-AG242</f>
        <v/>
      </c>
      <c r="AI292" s="228">
        <f>AI242-AH242</f>
        <v/>
      </c>
      <c r="AJ292" s="343">
        <f>AJ242</f>
        <v/>
      </c>
      <c r="AK292" s="228">
        <f>AK242</f>
        <v/>
      </c>
      <c r="AL292" s="322">
        <f>AL242-AK242</f>
        <v/>
      </c>
      <c r="AM292" s="391" t="n"/>
      <c r="AN292" s="391" t="n"/>
      <c r="AO292" s="344" t="n"/>
      <c r="AP292" s="391" t="n"/>
      <c r="AQ292" s="391" t="n"/>
      <c r="AR292" s="391" t="n"/>
      <c r="AS292" s="391" t="n"/>
      <c r="AT292" s="344" t="n"/>
      <c r="AU292" s="392" t="n"/>
      <c r="AV292" s="392" t="n"/>
      <c r="AW292" s="392" t="n"/>
      <c r="AX292" s="228" t="n"/>
    </row>
    <row r="293" customFormat="1" s="5">
      <c r="A293" s="36">
        <f>A243</f>
        <v/>
      </c>
      <c r="B293" s="376" t="n"/>
      <c r="C293" s="343">
        <f>C243</f>
        <v/>
      </c>
      <c r="D293" s="343">
        <f>D243</f>
        <v/>
      </c>
      <c r="E293" s="343">
        <f>E243</f>
        <v/>
      </c>
      <c r="F293" s="343">
        <f>F243</f>
        <v/>
      </c>
      <c r="G293" s="228">
        <f>G243</f>
        <v/>
      </c>
      <c r="H293" s="228">
        <f>H243-G243</f>
        <v/>
      </c>
      <c r="I293" s="228">
        <f>I243-H243</f>
        <v/>
      </c>
      <c r="J293" s="228">
        <f>J243-I243</f>
        <v/>
      </c>
      <c r="K293" s="343">
        <f>K243</f>
        <v/>
      </c>
      <c r="L293" s="228">
        <f>L243</f>
        <v/>
      </c>
      <c r="M293" s="228">
        <f>M243-L243</f>
        <v/>
      </c>
      <c r="N293" s="228">
        <f>N243-M243</f>
        <v/>
      </c>
      <c r="O293" s="228">
        <f>O243-N243</f>
        <v/>
      </c>
      <c r="P293" s="343">
        <f>P243</f>
        <v/>
      </c>
      <c r="Q293" s="228">
        <f>Q243</f>
        <v/>
      </c>
      <c r="R293" s="228">
        <f>R243-Q243</f>
        <v/>
      </c>
      <c r="S293" s="228">
        <f>S243-R243</f>
        <v/>
      </c>
      <c r="T293" s="228">
        <f>T243-S243</f>
        <v/>
      </c>
      <c r="U293" s="343">
        <f>U243</f>
        <v/>
      </c>
      <c r="V293" s="228">
        <f>V243</f>
        <v/>
      </c>
      <c r="W293" s="228">
        <f>W243-V243</f>
        <v/>
      </c>
      <c r="X293" s="228">
        <f>X243-W243</f>
        <v/>
      </c>
      <c r="Y293" s="228">
        <f>Y243-X243</f>
        <v/>
      </c>
      <c r="Z293" s="343">
        <f>Z243</f>
        <v/>
      </c>
      <c r="AA293" s="228">
        <f>AA243</f>
        <v/>
      </c>
      <c r="AB293" s="228">
        <f>AB243-AA243</f>
        <v/>
      </c>
      <c r="AC293" s="228">
        <f>AC243-AB243</f>
        <v/>
      </c>
      <c r="AD293" s="228">
        <f>AD243-AC243</f>
        <v/>
      </c>
      <c r="AE293" s="343">
        <f>AE243</f>
        <v/>
      </c>
      <c r="AF293" s="228">
        <f>AF243</f>
        <v/>
      </c>
      <c r="AG293" s="228">
        <f>AG243-AF243</f>
        <v/>
      </c>
      <c r="AH293" s="228">
        <f>AH243-AG243</f>
        <v/>
      </c>
      <c r="AI293" s="228">
        <f>AI243-AH243</f>
        <v/>
      </c>
      <c r="AJ293" s="343">
        <f>AJ243</f>
        <v/>
      </c>
      <c r="AK293" s="228">
        <f>AK243</f>
        <v/>
      </c>
      <c r="AL293" s="322">
        <f>AL243-AK243</f>
        <v/>
      </c>
      <c r="AM293" s="391" t="n"/>
      <c r="AN293" s="391" t="n"/>
      <c r="AO293" s="344" t="n"/>
      <c r="AP293" s="391" t="n"/>
      <c r="AQ293" s="391" t="n"/>
      <c r="AR293" s="391" t="n"/>
      <c r="AS293" s="391" t="n"/>
      <c r="AT293" s="344" t="n"/>
      <c r="AU293" s="392" t="n"/>
      <c r="AV293" s="392" t="n"/>
      <c r="AW293" s="392" t="n"/>
      <c r="AX293" s="228" t="n"/>
    </row>
    <row r="294" customFormat="1" s="5">
      <c r="A294" s="36">
        <f>A244</f>
        <v/>
      </c>
      <c r="B294" s="376" t="n"/>
      <c r="C294" s="343">
        <f>C244</f>
        <v/>
      </c>
      <c r="D294" s="343">
        <f>D244</f>
        <v/>
      </c>
      <c r="E294" s="343">
        <f>E244</f>
        <v/>
      </c>
      <c r="F294" s="343">
        <f>F244</f>
        <v/>
      </c>
      <c r="G294" s="228">
        <f>G244</f>
        <v/>
      </c>
      <c r="H294" s="228">
        <f>H244-G244</f>
        <v/>
      </c>
      <c r="I294" s="228">
        <f>I244-H244</f>
        <v/>
      </c>
      <c r="J294" s="228">
        <f>J244-I244</f>
        <v/>
      </c>
      <c r="K294" s="343">
        <f>K244</f>
        <v/>
      </c>
      <c r="L294" s="228">
        <f>L244</f>
        <v/>
      </c>
      <c r="M294" s="228">
        <f>M244-L244</f>
        <v/>
      </c>
      <c r="N294" s="228">
        <f>N244-M244</f>
        <v/>
      </c>
      <c r="O294" s="228">
        <f>O244-N244</f>
        <v/>
      </c>
      <c r="P294" s="343">
        <f>P244</f>
        <v/>
      </c>
      <c r="Q294" s="228">
        <f>Q244</f>
        <v/>
      </c>
      <c r="R294" s="228">
        <f>R244-Q244</f>
        <v/>
      </c>
      <c r="S294" s="228">
        <f>S244-R244</f>
        <v/>
      </c>
      <c r="T294" s="228">
        <f>T244-S244</f>
        <v/>
      </c>
      <c r="U294" s="343">
        <f>U244</f>
        <v/>
      </c>
      <c r="V294" s="228">
        <f>V244</f>
        <v/>
      </c>
      <c r="W294" s="228">
        <f>W244-V244</f>
        <v/>
      </c>
      <c r="X294" s="228">
        <f>X244-W244</f>
        <v/>
      </c>
      <c r="Y294" s="228">
        <f>Y244-X244</f>
        <v/>
      </c>
      <c r="Z294" s="343">
        <f>Z244</f>
        <v/>
      </c>
      <c r="AA294" s="228">
        <f>AA244</f>
        <v/>
      </c>
      <c r="AB294" s="228">
        <f>AB244-AA244</f>
        <v/>
      </c>
      <c r="AC294" s="228">
        <f>AC244-AB244</f>
        <v/>
      </c>
      <c r="AD294" s="228">
        <f>AD244-AC244</f>
        <v/>
      </c>
      <c r="AE294" s="343">
        <f>AE244</f>
        <v/>
      </c>
      <c r="AF294" s="228">
        <f>AF244</f>
        <v/>
      </c>
      <c r="AG294" s="228">
        <f>AG244-AF244</f>
        <v/>
      </c>
      <c r="AH294" s="228">
        <f>AH244-AG244</f>
        <v/>
      </c>
      <c r="AI294" s="228">
        <f>AI244-AH244</f>
        <v/>
      </c>
      <c r="AJ294" s="343">
        <f>AJ244</f>
        <v/>
      </c>
      <c r="AK294" s="228">
        <f>AK244</f>
        <v/>
      </c>
      <c r="AL294" s="322">
        <f>AL244-AK244</f>
        <v/>
      </c>
      <c r="AM294" s="391" t="n"/>
      <c r="AN294" s="391" t="n"/>
      <c r="AO294" s="344" t="n"/>
      <c r="AP294" s="391" t="n"/>
      <c r="AQ294" s="391" t="n"/>
      <c r="AR294" s="391" t="n"/>
      <c r="AS294" s="391" t="n"/>
      <c r="AT294" s="344" t="n"/>
      <c r="AU294" s="392" t="n"/>
      <c r="AV294" s="392" t="n"/>
      <c r="AW294" s="392" t="n"/>
      <c r="AX294" s="228" t="n"/>
    </row>
    <row r="295" customFormat="1" s="5">
      <c r="A295" s="36">
        <f>A245</f>
        <v/>
      </c>
      <c r="B295" s="376" t="n"/>
      <c r="C295" s="343">
        <f>C245</f>
        <v/>
      </c>
      <c r="D295" s="343">
        <f>D245</f>
        <v/>
      </c>
      <c r="E295" s="343">
        <f>E245</f>
        <v/>
      </c>
      <c r="F295" s="343">
        <f>F245</f>
        <v/>
      </c>
      <c r="G295" s="228">
        <f>G245</f>
        <v/>
      </c>
      <c r="H295" s="228">
        <f>H245-G245</f>
        <v/>
      </c>
      <c r="I295" s="228">
        <f>I245-H245</f>
        <v/>
      </c>
      <c r="J295" s="228">
        <f>J245-I245</f>
        <v/>
      </c>
      <c r="K295" s="343">
        <f>K245</f>
        <v/>
      </c>
      <c r="L295" s="228">
        <f>L245</f>
        <v/>
      </c>
      <c r="M295" s="228">
        <f>M245-L245</f>
        <v/>
      </c>
      <c r="N295" s="228">
        <f>N245-M245</f>
        <v/>
      </c>
      <c r="O295" s="228">
        <f>O245-N245</f>
        <v/>
      </c>
      <c r="P295" s="343">
        <f>P245</f>
        <v/>
      </c>
      <c r="Q295" s="228">
        <f>Q245</f>
        <v/>
      </c>
      <c r="R295" s="228">
        <f>R245-Q245</f>
        <v/>
      </c>
      <c r="S295" s="228">
        <f>S245-R245</f>
        <v/>
      </c>
      <c r="T295" s="228">
        <f>T245-S245</f>
        <v/>
      </c>
      <c r="U295" s="343">
        <f>U245</f>
        <v/>
      </c>
      <c r="V295" s="228">
        <f>V245</f>
        <v/>
      </c>
      <c r="W295" s="228">
        <f>W245-V245</f>
        <v/>
      </c>
      <c r="X295" s="228">
        <f>X245-W245</f>
        <v/>
      </c>
      <c r="Y295" s="228">
        <f>Y245-X245</f>
        <v/>
      </c>
      <c r="Z295" s="343">
        <f>Z245</f>
        <v/>
      </c>
      <c r="AA295" s="228">
        <f>AA245</f>
        <v/>
      </c>
      <c r="AB295" s="228">
        <f>AB245-AA245</f>
        <v/>
      </c>
      <c r="AC295" s="228">
        <f>AC245-AB245</f>
        <v/>
      </c>
      <c r="AD295" s="228">
        <f>AD245-AC245</f>
        <v/>
      </c>
      <c r="AE295" s="343">
        <f>AE245</f>
        <v/>
      </c>
      <c r="AF295" s="228">
        <f>AF245</f>
        <v/>
      </c>
      <c r="AG295" s="228">
        <f>AG245-AF245</f>
        <v/>
      </c>
      <c r="AH295" s="228">
        <f>AH245-AG245</f>
        <v/>
      </c>
      <c r="AI295" s="228">
        <f>AI245-AH245</f>
        <v/>
      </c>
      <c r="AJ295" s="343">
        <f>AJ245</f>
        <v/>
      </c>
      <c r="AK295" s="228">
        <f>AK245</f>
        <v/>
      </c>
      <c r="AL295" s="322">
        <f>AL245-AK245</f>
        <v/>
      </c>
      <c r="AM295" s="391" t="n"/>
      <c r="AN295" s="391" t="n"/>
      <c r="AO295" s="344" t="n"/>
      <c r="AP295" s="391" t="n"/>
      <c r="AQ295" s="391" t="n"/>
      <c r="AR295" s="391" t="n"/>
      <c r="AS295" s="391" t="n"/>
      <c r="AT295" s="344" t="n"/>
      <c r="AU295" s="392" t="n"/>
      <c r="AV295" s="392" t="n"/>
      <c r="AW295" s="392" t="n"/>
      <c r="AX295" s="228" t="n"/>
    </row>
    <row r="296" customFormat="1" s="5">
      <c r="A296" s="36">
        <f>A246</f>
        <v/>
      </c>
      <c r="B296" s="376" t="n"/>
      <c r="C296" s="343">
        <f>C246</f>
        <v/>
      </c>
      <c r="D296" s="343">
        <f>D246</f>
        <v/>
      </c>
      <c r="E296" s="343">
        <f>E246</f>
        <v/>
      </c>
      <c r="F296" s="343">
        <f>F246</f>
        <v/>
      </c>
      <c r="G296" s="228">
        <f>G246</f>
        <v/>
      </c>
      <c r="H296" s="228">
        <f>H246-G246</f>
        <v/>
      </c>
      <c r="I296" s="228">
        <f>I246-H246</f>
        <v/>
      </c>
      <c r="J296" s="228">
        <f>J246-I246</f>
        <v/>
      </c>
      <c r="K296" s="343">
        <f>K246</f>
        <v/>
      </c>
      <c r="L296" s="228">
        <f>L246</f>
        <v/>
      </c>
      <c r="M296" s="228">
        <f>M246-L246</f>
        <v/>
      </c>
      <c r="N296" s="228">
        <f>N246-M246</f>
        <v/>
      </c>
      <c r="O296" s="228">
        <f>O246-N246</f>
        <v/>
      </c>
      <c r="P296" s="343">
        <f>P246</f>
        <v/>
      </c>
      <c r="Q296" s="228">
        <f>Q246</f>
        <v/>
      </c>
      <c r="R296" s="228">
        <f>R246-Q246</f>
        <v/>
      </c>
      <c r="S296" s="228">
        <f>S246-R246</f>
        <v/>
      </c>
      <c r="T296" s="228">
        <f>T246-S246</f>
        <v/>
      </c>
      <c r="U296" s="343">
        <f>U246</f>
        <v/>
      </c>
      <c r="V296" s="228">
        <f>V246</f>
        <v/>
      </c>
      <c r="W296" s="228">
        <f>W246-V246</f>
        <v/>
      </c>
      <c r="X296" s="228">
        <f>X246-W246</f>
        <v/>
      </c>
      <c r="Y296" s="228">
        <f>Y246-X246</f>
        <v/>
      </c>
      <c r="Z296" s="343">
        <f>Z246</f>
        <v/>
      </c>
      <c r="AA296" s="228">
        <f>AA246</f>
        <v/>
      </c>
      <c r="AB296" s="228">
        <f>AB246-AA246</f>
        <v/>
      </c>
      <c r="AC296" s="228">
        <f>AC246-AB246</f>
        <v/>
      </c>
      <c r="AD296" s="228">
        <f>AD246-AC246</f>
        <v/>
      </c>
      <c r="AE296" s="343">
        <f>AE246</f>
        <v/>
      </c>
      <c r="AF296" s="228">
        <f>AF246</f>
        <v/>
      </c>
      <c r="AG296" s="228">
        <f>AG246-AF246</f>
        <v/>
      </c>
      <c r="AH296" s="228">
        <f>AH246-AG246</f>
        <v/>
      </c>
      <c r="AI296" s="228">
        <f>AI246-AH246</f>
        <v/>
      </c>
      <c r="AJ296" s="343">
        <f>AJ246</f>
        <v/>
      </c>
      <c r="AK296" s="228">
        <f>AK246</f>
        <v/>
      </c>
      <c r="AL296" s="322">
        <f>AL246-AK246</f>
        <v/>
      </c>
      <c r="AM296" s="391" t="n"/>
      <c r="AN296" s="391" t="n"/>
      <c r="AO296" s="344" t="n"/>
      <c r="AP296" s="391" t="n"/>
      <c r="AQ296" s="391" t="n"/>
      <c r="AR296" s="391" t="n"/>
      <c r="AS296" s="391" t="n"/>
      <c r="AT296" s="344" t="n"/>
      <c r="AU296" s="392" t="n"/>
      <c r="AV296" s="392" t="n"/>
      <c r="AW296" s="392" t="n"/>
      <c r="AX296" s="228" t="n"/>
    </row>
    <row r="297" customFormat="1" s="9">
      <c r="A297" s="347">
        <f>A247</f>
        <v/>
      </c>
      <c r="B297" s="377" t="n"/>
      <c r="C297" s="349">
        <f>SUM(C288:C296)</f>
        <v/>
      </c>
      <c r="D297" s="349">
        <f>SUM(D288:D296)</f>
        <v/>
      </c>
      <c r="E297" s="349">
        <f>SUM(E288:E296)</f>
        <v/>
      </c>
      <c r="F297" s="349">
        <f>SUM(F288:F296)</f>
        <v/>
      </c>
      <c r="G297" s="350">
        <f>SUM(G288:G296)</f>
        <v/>
      </c>
      <c r="H297" s="350">
        <f>SUM(H288:H296)</f>
        <v/>
      </c>
      <c r="I297" s="350">
        <f>SUM(I288:I296)</f>
        <v/>
      </c>
      <c r="J297" s="350">
        <f>SUM(J288:J296)</f>
        <v/>
      </c>
      <c r="K297" s="349">
        <f>SUM(K288:K296)</f>
        <v/>
      </c>
      <c r="L297" s="350">
        <f>SUM(L288:L296)</f>
        <v/>
      </c>
      <c r="M297" s="350">
        <f>SUM(M288:M296)</f>
        <v/>
      </c>
      <c r="N297" s="350">
        <f>SUM(N288:N296)</f>
        <v/>
      </c>
      <c r="O297" s="350">
        <f>SUM(O288:O296)</f>
        <v/>
      </c>
      <c r="P297" s="349">
        <f>SUM(P288:P296)</f>
        <v/>
      </c>
      <c r="Q297" s="350">
        <f>SUM(Q288:Q296)</f>
        <v/>
      </c>
      <c r="R297" s="350">
        <f>SUM(R288:R296)</f>
        <v/>
      </c>
      <c r="S297" s="350">
        <f>SUM(S288:S296)</f>
        <v/>
      </c>
      <c r="T297" s="350">
        <f>SUM(T288:T296)</f>
        <v/>
      </c>
      <c r="U297" s="349">
        <f>SUM(U288:U296)</f>
        <v/>
      </c>
      <c r="V297" s="350">
        <f>SUM(V288:V296)</f>
        <v/>
      </c>
      <c r="W297" s="350">
        <f>SUM(W288:W296)</f>
        <v/>
      </c>
      <c r="X297" s="350">
        <f>SUM(X288:X296)</f>
        <v/>
      </c>
      <c r="Y297" s="350">
        <f>SUM(Y288:Y296)</f>
        <v/>
      </c>
      <c r="Z297" s="349">
        <f>SUM(Z288:Z296)</f>
        <v/>
      </c>
      <c r="AA297" s="350">
        <f>SUM(AA288:AA296)</f>
        <v/>
      </c>
      <c r="AB297" s="350">
        <f>SUM(AB288:AB296)</f>
        <v/>
      </c>
      <c r="AC297" s="350">
        <f>SUM(AC288:AC296)</f>
        <v/>
      </c>
      <c r="AD297" s="350">
        <f>SUM(AD288:AD296)</f>
        <v/>
      </c>
      <c r="AE297" s="349">
        <f>SUM(AE288:AE296)</f>
        <v/>
      </c>
      <c r="AF297" s="350">
        <f>SUM(AF288:AF296)</f>
        <v/>
      </c>
      <c r="AG297" s="350">
        <f>SUM(AG288:AG296)</f>
        <v/>
      </c>
      <c r="AH297" s="350">
        <f>SUM(AH288:AH296)</f>
        <v/>
      </c>
      <c r="AI297" s="350">
        <f>SUM(AI288:AI296)</f>
        <v/>
      </c>
      <c r="AJ297" s="349">
        <f>SUM(AJ288:AJ296)</f>
        <v/>
      </c>
      <c r="AK297" s="350">
        <f>SUM(AK288:AK296)</f>
        <v/>
      </c>
      <c r="AL297" s="353">
        <f>SUM(AL288:AL296)</f>
        <v/>
      </c>
      <c r="AM297" s="351" t="n"/>
      <c r="AN297" s="351" t="n"/>
      <c r="AO297" s="352" t="n"/>
      <c r="AP297" s="351" t="n"/>
      <c r="AQ297" s="351" t="n"/>
      <c r="AR297" s="351" t="n"/>
      <c r="AS297" s="351" t="n"/>
      <c r="AT297" s="352" t="n"/>
      <c r="AU297" s="352" t="n"/>
      <c r="AV297" s="352" t="n"/>
      <c r="AW297" s="352" t="n"/>
      <c r="AX297" s="22" t="n"/>
    </row>
    <row r="298" customFormat="1" s="5">
      <c r="A298" s="492">
        <f>A248</f>
        <v/>
      </c>
      <c r="B298" s="428" t="n"/>
      <c r="C298" s="344">
        <f>C248</f>
        <v/>
      </c>
      <c r="D298" s="344">
        <f>D248</f>
        <v/>
      </c>
      <c r="E298" s="344">
        <f>E248</f>
        <v/>
      </c>
      <c r="F298" s="344">
        <f>F248</f>
        <v/>
      </c>
      <c r="G298" s="93">
        <f>G248</f>
        <v/>
      </c>
      <c r="H298" s="93">
        <f>H248-G248</f>
        <v/>
      </c>
      <c r="I298" s="93">
        <f>I248-H248</f>
        <v/>
      </c>
      <c r="J298" s="93">
        <f>J248-I248</f>
        <v/>
      </c>
      <c r="K298" s="344">
        <f>K248</f>
        <v/>
      </c>
      <c r="L298" s="93">
        <f>L248</f>
        <v/>
      </c>
      <c r="M298" s="93">
        <f>M248-L248</f>
        <v/>
      </c>
      <c r="N298" s="93">
        <f>N248-M248</f>
        <v/>
      </c>
      <c r="O298" s="93">
        <f>O248-N248</f>
        <v/>
      </c>
      <c r="P298" s="344">
        <f>P248</f>
        <v/>
      </c>
      <c r="Q298" s="93">
        <f>Q248</f>
        <v/>
      </c>
      <c r="R298" s="93">
        <f>R248-Q248</f>
        <v/>
      </c>
      <c r="S298" s="93">
        <f>S248-R248</f>
        <v/>
      </c>
      <c r="T298" s="93">
        <f>T248-S248</f>
        <v/>
      </c>
      <c r="U298" s="344">
        <f>U248</f>
        <v/>
      </c>
      <c r="V298" s="93">
        <f>V248</f>
        <v/>
      </c>
      <c r="W298" s="93">
        <f>W248-V248</f>
        <v/>
      </c>
      <c r="X298" s="93">
        <f>X248-W248</f>
        <v/>
      </c>
      <c r="Y298" s="93">
        <f>Y248-X248</f>
        <v/>
      </c>
      <c r="Z298" s="344">
        <f>Z248</f>
        <v/>
      </c>
      <c r="AA298" s="93">
        <f>AA248</f>
        <v/>
      </c>
      <c r="AB298" s="93">
        <f>AB248-AA248</f>
        <v/>
      </c>
      <c r="AC298" s="93">
        <f>AC248-AB248</f>
        <v/>
      </c>
      <c r="AD298" s="93">
        <f>AD248-AC248</f>
        <v/>
      </c>
      <c r="AE298" s="344">
        <f>AE248</f>
        <v/>
      </c>
      <c r="AF298" s="93">
        <f>AF248</f>
        <v/>
      </c>
      <c r="AG298" s="93">
        <f>AG248-AF248</f>
        <v/>
      </c>
      <c r="AH298" s="93">
        <f>AH248-AG248</f>
        <v/>
      </c>
      <c r="AI298" s="93">
        <f>AI248-AH248</f>
        <v/>
      </c>
      <c r="AJ298" s="344">
        <f>AJ248</f>
        <v/>
      </c>
      <c r="AK298" s="93">
        <f>AK248</f>
        <v/>
      </c>
      <c r="AL298" s="321">
        <f>AL248-AK248</f>
        <v/>
      </c>
      <c r="AM298" s="93" t="n"/>
      <c r="AN298" s="93" t="n"/>
      <c r="AO298" s="344" t="n"/>
      <c r="AP298" s="93" t="n"/>
      <c r="AQ298" s="93" t="n"/>
      <c r="AR298" s="93" t="n"/>
      <c r="AS298" s="93" t="n"/>
      <c r="AT298" s="344" t="n"/>
      <c r="AU298" s="344" t="n"/>
      <c r="AV298" s="344" t="n"/>
      <c r="AW298" s="344" t="n"/>
      <c r="AX298" s="228" t="n"/>
    </row>
    <row r="299" customFormat="1" s="5">
      <c r="A299" s="492">
        <f>A249</f>
        <v/>
      </c>
      <c r="B299" s="428" t="n"/>
      <c r="C299" s="344">
        <f>C249</f>
        <v/>
      </c>
      <c r="D299" s="344">
        <f>D249</f>
        <v/>
      </c>
      <c r="E299" s="344">
        <f>E249</f>
        <v/>
      </c>
      <c r="F299" s="344">
        <f>F249</f>
        <v/>
      </c>
      <c r="G299" s="93">
        <f>G249</f>
        <v/>
      </c>
      <c r="H299" s="93">
        <f>H249-G249</f>
        <v/>
      </c>
      <c r="I299" s="93">
        <f>I249-H249</f>
        <v/>
      </c>
      <c r="J299" s="93">
        <f>J249-I249</f>
        <v/>
      </c>
      <c r="K299" s="344">
        <f>K249</f>
        <v/>
      </c>
      <c r="L299" s="93">
        <f>L249</f>
        <v/>
      </c>
      <c r="M299" s="93">
        <f>M249-L249</f>
        <v/>
      </c>
      <c r="N299" s="93">
        <f>N249-M249</f>
        <v/>
      </c>
      <c r="O299" s="93">
        <f>O249-N249</f>
        <v/>
      </c>
      <c r="P299" s="344">
        <f>P249</f>
        <v/>
      </c>
      <c r="Q299" s="93">
        <f>Q249</f>
        <v/>
      </c>
      <c r="R299" s="93">
        <f>R249-Q249</f>
        <v/>
      </c>
      <c r="S299" s="93">
        <f>S249-R249</f>
        <v/>
      </c>
      <c r="T299" s="93">
        <f>T249-S249</f>
        <v/>
      </c>
      <c r="U299" s="344">
        <f>U249</f>
        <v/>
      </c>
      <c r="V299" s="93">
        <f>V249</f>
        <v/>
      </c>
      <c r="W299" s="93">
        <f>W249-V249</f>
        <v/>
      </c>
      <c r="X299" s="93">
        <f>X249-W249</f>
        <v/>
      </c>
      <c r="Y299" s="93">
        <f>Y249-X249</f>
        <v/>
      </c>
      <c r="Z299" s="344">
        <f>Z249</f>
        <v/>
      </c>
      <c r="AA299" s="93">
        <f>AA249</f>
        <v/>
      </c>
      <c r="AB299" s="93">
        <f>AB249-AA249</f>
        <v/>
      </c>
      <c r="AC299" s="93">
        <f>AC249-AB249</f>
        <v/>
      </c>
      <c r="AD299" s="93">
        <f>AD249-AC249</f>
        <v/>
      </c>
      <c r="AE299" s="344">
        <f>AE249</f>
        <v/>
      </c>
      <c r="AF299" s="93">
        <f>AF249</f>
        <v/>
      </c>
      <c r="AG299" s="93">
        <f>AG249-AF249</f>
        <v/>
      </c>
      <c r="AH299" s="93">
        <f>AH249-AG249</f>
        <v/>
      </c>
      <c r="AI299" s="93">
        <f>AI249-AH249</f>
        <v/>
      </c>
      <c r="AJ299" s="344">
        <f>AJ249</f>
        <v/>
      </c>
      <c r="AK299" s="93">
        <f>AK249</f>
        <v/>
      </c>
      <c r="AL299" s="321">
        <f>AL249-AK249</f>
        <v/>
      </c>
      <c r="AM299" s="93" t="n"/>
      <c r="AN299" s="93" t="n"/>
      <c r="AO299" s="344" t="n"/>
      <c r="AP299" s="93" t="n"/>
      <c r="AQ299" s="93" t="n"/>
      <c r="AR299" s="93" t="n"/>
      <c r="AS299" s="93" t="n"/>
      <c r="AT299" s="344" t="n"/>
      <c r="AU299" s="344" t="n"/>
      <c r="AV299" s="344" t="n"/>
      <c r="AW299" s="344" t="n"/>
      <c r="AX299" s="228" t="n"/>
    </row>
    <row r="300" customFormat="1" s="5">
      <c r="A300" s="492">
        <f>A250</f>
        <v/>
      </c>
      <c r="B300" s="428" t="n"/>
      <c r="C300" s="344">
        <f>C250</f>
        <v/>
      </c>
      <c r="D300" s="344">
        <f>D250</f>
        <v/>
      </c>
      <c r="E300" s="344">
        <f>E250</f>
        <v/>
      </c>
      <c r="F300" s="344">
        <f>F250</f>
        <v/>
      </c>
      <c r="G300" s="93">
        <f>G250</f>
        <v/>
      </c>
      <c r="H300" s="93">
        <f>H250-G250</f>
        <v/>
      </c>
      <c r="I300" s="93">
        <f>I250-H250</f>
        <v/>
      </c>
      <c r="J300" s="93">
        <f>J250-I250</f>
        <v/>
      </c>
      <c r="K300" s="344">
        <f>K250</f>
        <v/>
      </c>
      <c r="L300" s="93">
        <f>L250</f>
        <v/>
      </c>
      <c r="M300" s="93">
        <f>M250-L250</f>
        <v/>
      </c>
      <c r="N300" s="93">
        <f>N250-M250</f>
        <v/>
      </c>
      <c r="O300" s="93">
        <f>O250-N250</f>
        <v/>
      </c>
      <c r="P300" s="344">
        <f>P250</f>
        <v/>
      </c>
      <c r="Q300" s="93">
        <f>Q250</f>
        <v/>
      </c>
      <c r="R300" s="93">
        <f>R250-Q250</f>
        <v/>
      </c>
      <c r="S300" s="93">
        <f>S250-R250</f>
        <v/>
      </c>
      <c r="T300" s="93">
        <f>T250-S250</f>
        <v/>
      </c>
      <c r="U300" s="344">
        <f>U250</f>
        <v/>
      </c>
      <c r="V300" s="93">
        <f>V250</f>
        <v/>
      </c>
      <c r="W300" s="93">
        <f>W250-V250</f>
        <v/>
      </c>
      <c r="X300" s="93">
        <f>X250-W250</f>
        <v/>
      </c>
      <c r="Y300" s="93">
        <f>Y250-X250</f>
        <v/>
      </c>
      <c r="Z300" s="344">
        <f>Z250</f>
        <v/>
      </c>
      <c r="AA300" s="93">
        <f>AA250</f>
        <v/>
      </c>
      <c r="AB300" s="93">
        <f>AB250-AA250</f>
        <v/>
      </c>
      <c r="AC300" s="93">
        <f>AC250-AB250</f>
        <v/>
      </c>
      <c r="AD300" s="93">
        <f>AD250-AC250</f>
        <v/>
      </c>
      <c r="AE300" s="344">
        <f>AE250</f>
        <v/>
      </c>
      <c r="AF300" s="93">
        <f>AF250</f>
        <v/>
      </c>
      <c r="AG300" s="93">
        <f>AG250-AF250</f>
        <v/>
      </c>
      <c r="AH300" s="93">
        <f>AH250-AG250</f>
        <v/>
      </c>
      <c r="AI300" s="93">
        <f>AI250-AH250</f>
        <v/>
      </c>
      <c r="AJ300" s="344">
        <f>AJ250</f>
        <v/>
      </c>
      <c r="AK300" s="93">
        <f>AK250</f>
        <v/>
      </c>
      <c r="AL300" s="321">
        <f>AL250-AK250</f>
        <v/>
      </c>
      <c r="AM300" s="391" t="n"/>
      <c r="AN300" s="391" t="n"/>
      <c r="AO300" s="344" t="n"/>
      <c r="AP300" s="391" t="n"/>
      <c r="AQ300" s="391" t="n"/>
      <c r="AR300" s="391" t="n"/>
      <c r="AS300" s="391" t="n"/>
      <c r="AT300" s="344" t="n"/>
      <c r="AU300" s="392" t="n"/>
      <c r="AV300" s="392" t="n"/>
      <c r="AW300" s="392" t="n"/>
      <c r="AX300" s="228" t="n"/>
    </row>
    <row r="301" customFormat="1" s="5">
      <c r="A301" s="492">
        <f>A251</f>
        <v/>
      </c>
      <c r="B301" s="428" t="n"/>
      <c r="C301" s="344">
        <f>C251</f>
        <v/>
      </c>
      <c r="D301" s="344">
        <f>D251</f>
        <v/>
      </c>
      <c r="E301" s="344">
        <f>E251</f>
        <v/>
      </c>
      <c r="F301" s="344">
        <f>F251</f>
        <v/>
      </c>
      <c r="G301" s="93">
        <f>G251</f>
        <v/>
      </c>
      <c r="H301" s="93">
        <f>H251-G251</f>
        <v/>
      </c>
      <c r="I301" s="93">
        <f>I251-H251</f>
        <v/>
      </c>
      <c r="J301" s="93">
        <f>J251-I251</f>
        <v/>
      </c>
      <c r="K301" s="344">
        <f>K251</f>
        <v/>
      </c>
      <c r="L301" s="93">
        <f>L251</f>
        <v/>
      </c>
      <c r="M301" s="93">
        <f>M251-L251</f>
        <v/>
      </c>
      <c r="N301" s="93">
        <f>N251-M251</f>
        <v/>
      </c>
      <c r="O301" s="93">
        <f>O251-N251</f>
        <v/>
      </c>
      <c r="P301" s="344">
        <f>P251</f>
        <v/>
      </c>
      <c r="Q301" s="93">
        <f>Q251</f>
        <v/>
      </c>
      <c r="R301" s="93">
        <f>R251-Q251</f>
        <v/>
      </c>
      <c r="S301" s="93">
        <f>S251-R251</f>
        <v/>
      </c>
      <c r="T301" s="93">
        <f>T251-S251</f>
        <v/>
      </c>
      <c r="U301" s="344">
        <f>U251</f>
        <v/>
      </c>
      <c r="V301" s="93">
        <f>V251</f>
        <v/>
      </c>
      <c r="W301" s="93">
        <f>W251-V251</f>
        <v/>
      </c>
      <c r="X301" s="93">
        <f>X251-W251</f>
        <v/>
      </c>
      <c r="Y301" s="93">
        <f>Y251-X251</f>
        <v/>
      </c>
      <c r="Z301" s="344">
        <f>Z251</f>
        <v/>
      </c>
      <c r="AA301" s="93">
        <f>AA251</f>
        <v/>
      </c>
      <c r="AB301" s="93">
        <f>AB251-AA251</f>
        <v/>
      </c>
      <c r="AC301" s="93">
        <f>AC251-AB251</f>
        <v/>
      </c>
      <c r="AD301" s="93">
        <f>AD251-AC251</f>
        <v/>
      </c>
      <c r="AE301" s="344">
        <f>AE251</f>
        <v/>
      </c>
      <c r="AF301" s="93">
        <f>AF251</f>
        <v/>
      </c>
      <c r="AG301" s="93">
        <f>AG251-AF251</f>
        <v/>
      </c>
      <c r="AH301" s="93">
        <f>AH251-AG251</f>
        <v/>
      </c>
      <c r="AI301" s="93">
        <f>AI251-AH251</f>
        <v/>
      </c>
      <c r="AJ301" s="344">
        <f>AJ251</f>
        <v/>
      </c>
      <c r="AK301" s="93">
        <f>AK251</f>
        <v/>
      </c>
      <c r="AL301" s="321">
        <f>AL251-AK251</f>
        <v/>
      </c>
      <c r="AM301" s="93" t="n"/>
      <c r="AN301" s="93" t="n"/>
      <c r="AO301" s="344" t="n"/>
      <c r="AP301" s="93" t="n"/>
      <c r="AQ301" s="93" t="n"/>
      <c r="AR301" s="93" t="n"/>
      <c r="AS301" s="93" t="n"/>
      <c r="AT301" s="344" t="n"/>
      <c r="AU301" s="344" t="n"/>
      <c r="AV301" s="344" t="n"/>
      <c r="AW301" s="344" t="n"/>
      <c r="AX301" s="228" t="n"/>
    </row>
    <row r="302" customFormat="1" s="5">
      <c r="A302" s="492">
        <f>A252</f>
        <v/>
      </c>
      <c r="B302" s="428" t="n"/>
      <c r="C302" s="344">
        <f>C252</f>
        <v/>
      </c>
      <c r="D302" s="344">
        <f>D252</f>
        <v/>
      </c>
      <c r="E302" s="344">
        <f>E252</f>
        <v/>
      </c>
      <c r="F302" s="344">
        <f>F252</f>
        <v/>
      </c>
      <c r="G302" s="93">
        <f>G252</f>
        <v/>
      </c>
      <c r="H302" s="93">
        <f>H252-G252</f>
        <v/>
      </c>
      <c r="I302" s="93">
        <f>I252-H252</f>
        <v/>
      </c>
      <c r="J302" s="93">
        <f>J252-I252</f>
        <v/>
      </c>
      <c r="K302" s="344">
        <f>K252</f>
        <v/>
      </c>
      <c r="L302" s="93">
        <f>L252</f>
        <v/>
      </c>
      <c r="M302" s="93">
        <f>M252-L252</f>
        <v/>
      </c>
      <c r="N302" s="93">
        <f>N252-M252</f>
        <v/>
      </c>
      <c r="O302" s="93">
        <f>O252-N252</f>
        <v/>
      </c>
      <c r="P302" s="344">
        <f>P252</f>
        <v/>
      </c>
      <c r="Q302" s="93">
        <f>Q252</f>
        <v/>
      </c>
      <c r="R302" s="93">
        <f>R252-Q252</f>
        <v/>
      </c>
      <c r="S302" s="93">
        <f>S252-R252</f>
        <v/>
      </c>
      <c r="T302" s="93">
        <f>T252-S252</f>
        <v/>
      </c>
      <c r="U302" s="344">
        <f>U252</f>
        <v/>
      </c>
      <c r="V302" s="93">
        <f>V252</f>
        <v/>
      </c>
      <c r="W302" s="93">
        <f>W252-V252</f>
        <v/>
      </c>
      <c r="X302" s="93">
        <f>X252-W252</f>
        <v/>
      </c>
      <c r="Y302" s="93">
        <f>Y252-X252</f>
        <v/>
      </c>
      <c r="Z302" s="344">
        <f>Z252</f>
        <v/>
      </c>
      <c r="AA302" s="93">
        <f>AA252</f>
        <v/>
      </c>
      <c r="AB302" s="93">
        <f>AB252-AA252</f>
        <v/>
      </c>
      <c r="AC302" s="93">
        <f>AC252-AB252</f>
        <v/>
      </c>
      <c r="AD302" s="93">
        <f>AD252-AC252</f>
        <v/>
      </c>
      <c r="AE302" s="344">
        <f>AE252</f>
        <v/>
      </c>
      <c r="AF302" s="93">
        <f>AF252</f>
        <v/>
      </c>
      <c r="AG302" s="93">
        <f>AG252-AF252</f>
        <v/>
      </c>
      <c r="AH302" s="93">
        <f>AH252-AG252</f>
        <v/>
      </c>
      <c r="AI302" s="93">
        <f>AI252-AH252</f>
        <v/>
      </c>
      <c r="AJ302" s="344">
        <f>AJ252</f>
        <v/>
      </c>
      <c r="AK302" s="93">
        <f>AK252</f>
        <v/>
      </c>
      <c r="AL302" s="321">
        <f>AL252-AK252</f>
        <v/>
      </c>
      <c r="AM302" s="93" t="n"/>
      <c r="AN302" s="93" t="n"/>
      <c r="AO302" s="344" t="n"/>
      <c r="AP302" s="93" t="n"/>
      <c r="AQ302" s="93" t="n"/>
      <c r="AR302" s="93" t="n"/>
      <c r="AS302" s="93" t="n"/>
      <c r="AT302" s="344" t="n"/>
      <c r="AU302" s="344" t="n"/>
      <c r="AV302" s="344" t="n"/>
      <c r="AW302" s="344" t="n"/>
      <c r="AX302" s="228" t="n"/>
    </row>
    <row r="303" customFormat="1" s="9">
      <c r="A303" s="347">
        <f>A253</f>
        <v/>
      </c>
      <c r="B303" s="377" t="n"/>
      <c r="C303" s="349">
        <f>SUM(C297:C302)</f>
        <v/>
      </c>
      <c r="D303" s="349">
        <f>SUM(D297:D302)</f>
        <v/>
      </c>
      <c r="E303" s="349">
        <f>SUM(E297:E302)</f>
        <v/>
      </c>
      <c r="F303" s="349">
        <f>SUM(F297:F302)</f>
        <v/>
      </c>
      <c r="G303" s="350">
        <f>SUM(G297:G302)</f>
        <v/>
      </c>
      <c r="H303" s="350">
        <f>SUM(H297:H302)</f>
        <v/>
      </c>
      <c r="I303" s="350">
        <f>SUM(I297:I302)</f>
        <v/>
      </c>
      <c r="J303" s="350">
        <f>SUM(J297:J302)</f>
        <v/>
      </c>
      <c r="K303" s="349">
        <f>SUM(K297:K302)</f>
        <v/>
      </c>
      <c r="L303" s="350">
        <f>SUM(L297:L302)</f>
        <v/>
      </c>
      <c r="M303" s="350">
        <f>SUM(M297:M302)</f>
        <v/>
      </c>
      <c r="N303" s="350">
        <f>SUM(N297:N302)</f>
        <v/>
      </c>
      <c r="O303" s="350">
        <f>SUM(O297:O302)</f>
        <v/>
      </c>
      <c r="P303" s="349">
        <f>SUM(P297:P302)</f>
        <v/>
      </c>
      <c r="Q303" s="350">
        <f>SUM(Q297:Q302)</f>
        <v/>
      </c>
      <c r="R303" s="350">
        <f>SUM(R297:R302)</f>
        <v/>
      </c>
      <c r="S303" s="350">
        <f>SUM(S297:S302)</f>
        <v/>
      </c>
      <c r="T303" s="350">
        <f>SUM(T297:T302)</f>
        <v/>
      </c>
      <c r="U303" s="349">
        <f>SUM(U297:U302)</f>
        <v/>
      </c>
      <c r="V303" s="350">
        <f>SUM(V297:V302)</f>
        <v/>
      </c>
      <c r="W303" s="350">
        <f>SUM(W297:W302)</f>
        <v/>
      </c>
      <c r="X303" s="350">
        <f>SUM(X297:X302)</f>
        <v/>
      </c>
      <c r="Y303" s="350">
        <f>SUM(Y297:Y302)</f>
        <v/>
      </c>
      <c r="Z303" s="349">
        <f>SUM(Z297:Z302)</f>
        <v/>
      </c>
      <c r="AA303" s="350">
        <f>SUM(AA297:AA302)</f>
        <v/>
      </c>
      <c r="AB303" s="350">
        <f>SUM(AB297:AB302)</f>
        <v/>
      </c>
      <c r="AC303" s="350">
        <f>SUM(AC297:AC302)</f>
        <v/>
      </c>
      <c r="AD303" s="350">
        <f>SUM(AD297:AD302)</f>
        <v/>
      </c>
      <c r="AE303" s="349">
        <f>SUM(AE297:AE302)</f>
        <v/>
      </c>
      <c r="AF303" s="350">
        <f>SUM(AF297:AF302)</f>
        <v/>
      </c>
      <c r="AG303" s="350">
        <f>SUM(AG297:AG302)</f>
        <v/>
      </c>
      <c r="AH303" s="350">
        <f>SUM(AH297:AH302)</f>
        <v/>
      </c>
      <c r="AI303" s="350">
        <f>SUM(AI297:AI302)</f>
        <v/>
      </c>
      <c r="AJ303" s="349">
        <f>SUM(AJ297:AJ302)</f>
        <v/>
      </c>
      <c r="AK303" s="350">
        <f>SUM(AK297:AK302)</f>
        <v/>
      </c>
      <c r="AL303" s="353">
        <f>SUM(AL297:AL302)</f>
        <v/>
      </c>
      <c r="AM303" s="351" t="n"/>
      <c r="AN303" s="351" t="n"/>
      <c r="AO303" s="352" t="n"/>
      <c r="AP303" s="351" t="n"/>
      <c r="AQ303" s="351" t="n"/>
      <c r="AR303" s="351" t="n"/>
      <c r="AS303" s="351" t="n"/>
      <c r="AT303" s="352" t="n"/>
      <c r="AU303" s="352" t="n"/>
      <c r="AV303" s="352" t="n"/>
      <c r="AW303" s="352" t="n"/>
      <c r="AX303" s="22" t="n"/>
    </row>
    <row r="304" customFormat="1" s="9">
      <c r="A304" s="35" t="n"/>
      <c r="B304" s="103" t="n"/>
      <c r="C304" s="4" t="n"/>
      <c r="D304" s="4" t="n"/>
      <c r="E304" s="4" t="n"/>
      <c r="F304" s="4" t="n"/>
      <c r="G304" s="22" t="n"/>
      <c r="H304" s="22" t="n"/>
      <c r="I304" s="22" t="n"/>
      <c r="J304" s="22" t="n"/>
      <c r="K304" s="4" t="n"/>
      <c r="L304" s="22" t="n"/>
      <c r="M304" s="22" t="n"/>
      <c r="N304" s="22" t="n"/>
      <c r="O304" s="22" t="n"/>
      <c r="P304" s="4" t="n"/>
      <c r="Q304" s="22" t="n"/>
      <c r="R304" s="22" t="n"/>
      <c r="S304" s="22" t="n"/>
      <c r="T304" s="22" t="n"/>
      <c r="U304" s="4" t="n"/>
      <c r="V304" s="22" t="n"/>
      <c r="W304" s="22" t="n"/>
      <c r="X304" s="22" t="n"/>
      <c r="Y304" s="22" t="n"/>
      <c r="Z304" s="4" t="n"/>
      <c r="AA304" s="22" t="n"/>
      <c r="AB304" s="22" t="n"/>
      <c r="AC304" s="22" t="n"/>
      <c r="AD304" s="22" t="n"/>
      <c r="AE304" s="4" t="n"/>
      <c r="AF304" s="22" t="n"/>
      <c r="AG304" s="22" t="n"/>
      <c r="AH304" s="22" t="n"/>
      <c r="AI304" s="22" t="n"/>
      <c r="AJ304" s="4" t="n"/>
      <c r="AK304" s="22" t="n"/>
      <c r="AL304" s="308" t="n"/>
      <c r="AM304" s="72" t="n"/>
      <c r="AN304" s="72" t="n"/>
      <c r="AO304" s="8" t="n"/>
      <c r="AP304" s="72" t="n"/>
      <c r="AQ304" s="72" t="n"/>
      <c r="AR304" s="72" t="n"/>
      <c r="AS304" s="72" t="n"/>
      <c r="AT304" s="8" t="n"/>
      <c r="AU304" s="8" t="n"/>
      <c r="AV304" s="8" t="n"/>
      <c r="AW304" s="8" t="n"/>
      <c r="AX304" s="22" t="n"/>
    </row>
    <row r="305" customFormat="1" s="9">
      <c r="A305" s="35">
        <f>A255</f>
        <v/>
      </c>
      <c r="B305" s="103" t="n"/>
      <c r="C305" s="4" t="n"/>
      <c r="D305" s="4" t="n"/>
      <c r="E305" s="4" t="n"/>
      <c r="F305" s="4" t="n"/>
      <c r="G305" s="22" t="n"/>
      <c r="H305" s="22" t="n"/>
      <c r="I305" s="22" t="n"/>
      <c r="J305" s="22" t="n"/>
      <c r="K305" s="4" t="n"/>
      <c r="L305" s="22" t="n"/>
      <c r="M305" s="22" t="n"/>
      <c r="N305" s="22" t="n"/>
      <c r="O305" s="22" t="n"/>
      <c r="P305" s="4" t="n"/>
      <c r="Q305" s="22" t="n"/>
      <c r="R305" s="22" t="n"/>
      <c r="S305" s="22" t="n"/>
      <c r="T305" s="22" t="n"/>
      <c r="U305" s="4" t="n"/>
      <c r="V305" s="22" t="n"/>
      <c r="W305" s="22" t="n"/>
      <c r="X305" s="22" t="n"/>
      <c r="Y305" s="22" t="n"/>
      <c r="Z305" s="4" t="n"/>
      <c r="AA305" s="22" t="n"/>
      <c r="AB305" s="22" t="n"/>
      <c r="AC305" s="22" t="n"/>
      <c r="AD305" s="22" t="n"/>
      <c r="AE305" s="4" t="n"/>
      <c r="AF305" s="22" t="n"/>
      <c r="AG305" s="22" t="n"/>
      <c r="AH305" s="22" t="n"/>
      <c r="AI305" s="22" t="n"/>
      <c r="AJ305" s="4" t="n"/>
      <c r="AK305" s="22" t="n"/>
      <c r="AL305" s="308" t="n"/>
      <c r="AM305" s="72" t="n"/>
      <c r="AN305" s="72" t="n"/>
      <c r="AO305" s="8" t="n"/>
      <c r="AP305" s="72" t="n"/>
      <c r="AQ305" s="72" t="n"/>
      <c r="AR305" s="72" t="n"/>
      <c r="AS305" s="72" t="n"/>
      <c r="AT305" s="8" t="n"/>
      <c r="AU305" s="8" t="n"/>
      <c r="AV305" s="8" t="n"/>
      <c r="AW305" s="8" t="n"/>
      <c r="AX305" s="22" t="n"/>
    </row>
    <row r="306" customFormat="1" s="5">
      <c r="A306" s="36">
        <f>A256</f>
        <v/>
      </c>
      <c r="B306" s="228" t="n"/>
      <c r="C306" s="343">
        <f>C256</f>
        <v/>
      </c>
      <c r="D306" s="343">
        <f>D256</f>
        <v/>
      </c>
      <c r="E306" s="343">
        <f>E256</f>
        <v/>
      </c>
      <c r="F306" s="343">
        <f>F256</f>
        <v/>
      </c>
      <c r="G306" s="228">
        <f>G256</f>
        <v/>
      </c>
      <c r="H306" s="228">
        <f>H256-G256</f>
        <v/>
      </c>
      <c r="I306" s="228">
        <f>I256-H256</f>
        <v/>
      </c>
      <c r="J306" s="228">
        <f>J256-I256</f>
        <v/>
      </c>
      <c r="K306" s="343">
        <f>K256</f>
        <v/>
      </c>
      <c r="L306" s="228">
        <f>L256</f>
        <v/>
      </c>
      <c r="M306" s="228">
        <f>M256-L256</f>
        <v/>
      </c>
      <c r="N306" s="228">
        <f>N256-M256</f>
        <v/>
      </c>
      <c r="O306" s="228">
        <f>O256-N256</f>
        <v/>
      </c>
      <c r="P306" s="343">
        <f>P256</f>
        <v/>
      </c>
      <c r="Q306" s="228">
        <f>Q256</f>
        <v/>
      </c>
      <c r="R306" s="228">
        <f>R256-Q256</f>
        <v/>
      </c>
      <c r="S306" s="228">
        <f>S256-R256</f>
        <v/>
      </c>
      <c r="T306" s="228">
        <f>T256-S256</f>
        <v/>
      </c>
      <c r="U306" s="343">
        <f>U256</f>
        <v/>
      </c>
      <c r="V306" s="228">
        <f>V256</f>
        <v/>
      </c>
      <c r="W306" s="228">
        <f>W256-V256</f>
        <v/>
      </c>
      <c r="X306" s="228">
        <f>X256-W256</f>
        <v/>
      </c>
      <c r="Y306" s="228">
        <f>Y256-X256</f>
        <v/>
      </c>
      <c r="Z306" s="343">
        <f>Z256</f>
        <v/>
      </c>
      <c r="AA306" s="228">
        <f>AA256</f>
        <v/>
      </c>
      <c r="AB306" s="228">
        <f>AB256-AA256</f>
        <v/>
      </c>
      <c r="AC306" s="228">
        <f>AC256-AB256</f>
        <v/>
      </c>
      <c r="AD306" s="228">
        <f>AD256-AC256</f>
        <v/>
      </c>
      <c r="AE306" s="343">
        <f>AE256</f>
        <v/>
      </c>
      <c r="AF306" s="228">
        <f>AF256</f>
        <v/>
      </c>
      <c r="AG306" s="228">
        <f>AG256-AF256</f>
        <v/>
      </c>
      <c r="AH306" s="228">
        <f>AH256-AG256</f>
        <v/>
      </c>
      <c r="AI306" s="228">
        <f>AI256-AH256</f>
        <v/>
      </c>
      <c r="AJ306" s="343">
        <f>AJ256</f>
        <v/>
      </c>
      <c r="AK306" s="228">
        <f>AK256</f>
        <v/>
      </c>
      <c r="AL306" s="322">
        <f>AL256-AK256</f>
        <v/>
      </c>
      <c r="AM306" s="391" t="n"/>
      <c r="AN306" s="391" t="n"/>
      <c r="AO306" s="344" t="n"/>
      <c r="AP306" s="391" t="n"/>
      <c r="AQ306" s="391" t="n"/>
      <c r="AR306" s="391" t="n"/>
      <c r="AS306" s="391" t="n"/>
      <c r="AT306" s="344" t="n"/>
      <c r="AU306" s="392" t="n"/>
      <c r="AV306" s="392" t="n"/>
      <c r="AW306" s="392" t="n"/>
      <c r="AX306" s="228" t="n"/>
    </row>
    <row r="307" customFormat="1" s="5">
      <c r="A307" s="36">
        <f>A257</f>
        <v/>
      </c>
      <c r="B307" s="228" t="n"/>
      <c r="C307" s="343">
        <f>C257</f>
        <v/>
      </c>
      <c r="D307" s="343">
        <f>D257</f>
        <v/>
      </c>
      <c r="E307" s="343">
        <f>E257</f>
        <v/>
      </c>
      <c r="F307" s="343">
        <f>F257</f>
        <v/>
      </c>
      <c r="G307" s="228">
        <f>G257</f>
        <v/>
      </c>
      <c r="H307" s="228">
        <f>H257-G257</f>
        <v/>
      </c>
      <c r="I307" s="228">
        <f>I257-H257</f>
        <v/>
      </c>
      <c r="J307" s="228">
        <f>J257-I257</f>
        <v/>
      </c>
      <c r="K307" s="343">
        <f>K257</f>
        <v/>
      </c>
      <c r="L307" s="228">
        <f>L257</f>
        <v/>
      </c>
      <c r="M307" s="228">
        <f>M257-L257</f>
        <v/>
      </c>
      <c r="N307" s="228">
        <f>N257-M257</f>
        <v/>
      </c>
      <c r="O307" s="228">
        <f>O257-N257</f>
        <v/>
      </c>
      <c r="P307" s="343">
        <f>P257</f>
        <v/>
      </c>
      <c r="Q307" s="228">
        <f>Q257</f>
        <v/>
      </c>
      <c r="R307" s="228">
        <f>R257-Q257</f>
        <v/>
      </c>
      <c r="S307" s="228">
        <f>S257-R257</f>
        <v/>
      </c>
      <c r="T307" s="228">
        <f>T257-S257</f>
        <v/>
      </c>
      <c r="U307" s="343">
        <f>U257</f>
        <v/>
      </c>
      <c r="V307" s="228">
        <f>V257</f>
        <v/>
      </c>
      <c r="W307" s="228">
        <f>W257-V257</f>
        <v/>
      </c>
      <c r="X307" s="228">
        <f>X257-W257</f>
        <v/>
      </c>
      <c r="Y307" s="228">
        <f>Y257-X257</f>
        <v/>
      </c>
      <c r="Z307" s="343">
        <f>Z257</f>
        <v/>
      </c>
      <c r="AA307" s="228">
        <f>AA257</f>
        <v/>
      </c>
      <c r="AB307" s="228">
        <f>AB257-AA257</f>
        <v/>
      </c>
      <c r="AC307" s="228">
        <f>AC257-AB257</f>
        <v/>
      </c>
      <c r="AD307" s="228">
        <f>AD257-AC257</f>
        <v/>
      </c>
      <c r="AE307" s="343">
        <f>AE257</f>
        <v/>
      </c>
      <c r="AF307" s="228">
        <f>AF257</f>
        <v/>
      </c>
      <c r="AG307" s="228">
        <f>AG257-AF257</f>
        <v/>
      </c>
      <c r="AH307" s="228">
        <f>AH257-AG257</f>
        <v/>
      </c>
      <c r="AI307" s="228">
        <f>AI257-AH257</f>
        <v/>
      </c>
      <c r="AJ307" s="343">
        <f>AJ257</f>
        <v/>
      </c>
      <c r="AK307" s="228">
        <f>AK257</f>
        <v/>
      </c>
      <c r="AL307" s="322">
        <f>AL257-AK257</f>
        <v/>
      </c>
      <c r="AM307" s="391" t="n"/>
      <c r="AN307" s="391" t="n"/>
      <c r="AO307" s="344" t="n"/>
      <c r="AP307" s="391" t="n"/>
      <c r="AQ307" s="391" t="n"/>
      <c r="AR307" s="391" t="n"/>
      <c r="AS307" s="391" t="n"/>
      <c r="AT307" s="344" t="n"/>
      <c r="AU307" s="392" t="n"/>
      <c r="AV307" s="392" t="n"/>
      <c r="AW307" s="392" t="n"/>
      <c r="AX307" s="228" t="n"/>
    </row>
    <row r="308" customFormat="1" s="5">
      <c r="A308" s="36">
        <f>A258</f>
        <v/>
      </c>
      <c r="B308" s="228" t="n"/>
      <c r="C308" s="343">
        <f>C258</f>
        <v/>
      </c>
      <c r="D308" s="343">
        <f>D258</f>
        <v/>
      </c>
      <c r="E308" s="343">
        <f>E258</f>
        <v/>
      </c>
      <c r="F308" s="343">
        <f>F258</f>
        <v/>
      </c>
      <c r="G308" s="228">
        <f>G258</f>
        <v/>
      </c>
      <c r="H308" s="228">
        <f>H258-G258</f>
        <v/>
      </c>
      <c r="I308" s="228">
        <f>I258-H258</f>
        <v/>
      </c>
      <c r="J308" s="228">
        <f>J258-I258</f>
        <v/>
      </c>
      <c r="K308" s="343">
        <f>K258</f>
        <v/>
      </c>
      <c r="L308" s="228">
        <f>L258</f>
        <v/>
      </c>
      <c r="M308" s="228">
        <f>M258-L258</f>
        <v/>
      </c>
      <c r="N308" s="228">
        <f>N258-M258</f>
        <v/>
      </c>
      <c r="O308" s="228">
        <f>O258-N258</f>
        <v/>
      </c>
      <c r="P308" s="343">
        <f>P258</f>
        <v/>
      </c>
      <c r="Q308" s="228">
        <f>Q258</f>
        <v/>
      </c>
      <c r="R308" s="228">
        <f>R258-Q258</f>
        <v/>
      </c>
      <c r="S308" s="228">
        <f>S258-R258</f>
        <v/>
      </c>
      <c r="T308" s="228">
        <f>T258-S258</f>
        <v/>
      </c>
      <c r="U308" s="343">
        <f>U258</f>
        <v/>
      </c>
      <c r="V308" s="228">
        <f>V258</f>
        <v/>
      </c>
      <c r="W308" s="228">
        <f>W258-V258</f>
        <v/>
      </c>
      <c r="X308" s="228">
        <f>X258-W258</f>
        <v/>
      </c>
      <c r="Y308" s="228">
        <f>Y258-X258</f>
        <v/>
      </c>
      <c r="Z308" s="343">
        <f>Z258</f>
        <v/>
      </c>
      <c r="AA308" s="228">
        <f>AA258</f>
        <v/>
      </c>
      <c r="AB308" s="228">
        <f>AB258-AA258</f>
        <v/>
      </c>
      <c r="AC308" s="228">
        <f>AC258-AB258</f>
        <v/>
      </c>
      <c r="AD308" s="228">
        <f>AD258-AC258</f>
        <v/>
      </c>
      <c r="AE308" s="343">
        <f>AE258</f>
        <v/>
      </c>
      <c r="AF308" s="228">
        <f>AF258</f>
        <v/>
      </c>
      <c r="AG308" s="228">
        <f>AG258-AF258</f>
        <v/>
      </c>
      <c r="AH308" s="228">
        <f>AH258-AG258</f>
        <v/>
      </c>
      <c r="AI308" s="228">
        <f>AI258-AH258</f>
        <v/>
      </c>
      <c r="AJ308" s="343">
        <f>AJ258</f>
        <v/>
      </c>
      <c r="AK308" s="228">
        <f>AK258</f>
        <v/>
      </c>
      <c r="AL308" s="322">
        <f>AL258-AK258</f>
        <v/>
      </c>
      <c r="AM308" s="391" t="n"/>
      <c r="AN308" s="391" t="n"/>
      <c r="AO308" s="344" t="n"/>
      <c r="AP308" s="391" t="n"/>
      <c r="AQ308" s="391" t="n"/>
      <c r="AR308" s="391" t="n"/>
      <c r="AS308" s="391" t="n"/>
      <c r="AT308" s="344" t="n"/>
      <c r="AU308" s="392" t="n"/>
      <c r="AV308" s="392" t="n"/>
      <c r="AW308" s="392" t="n"/>
      <c r="AX308" s="228" t="n"/>
    </row>
    <row r="309" customFormat="1" s="5">
      <c r="A309" s="36">
        <f>A259</f>
        <v/>
      </c>
      <c r="B309" s="228" t="n"/>
      <c r="C309" s="343">
        <f>C259</f>
        <v/>
      </c>
      <c r="D309" s="343">
        <f>D259</f>
        <v/>
      </c>
      <c r="E309" s="343">
        <f>E259</f>
        <v/>
      </c>
      <c r="F309" s="343">
        <f>F259</f>
        <v/>
      </c>
      <c r="G309" s="228">
        <f>G259</f>
        <v/>
      </c>
      <c r="H309" s="228">
        <f>H259-G259</f>
        <v/>
      </c>
      <c r="I309" s="228">
        <f>I259-H259</f>
        <v/>
      </c>
      <c r="J309" s="228">
        <f>J259-I259</f>
        <v/>
      </c>
      <c r="K309" s="343">
        <f>K259</f>
        <v/>
      </c>
      <c r="L309" s="228">
        <f>L259</f>
        <v/>
      </c>
      <c r="M309" s="228">
        <f>M259-L259</f>
        <v/>
      </c>
      <c r="N309" s="228">
        <f>N259-M259</f>
        <v/>
      </c>
      <c r="O309" s="228">
        <f>O259-N259</f>
        <v/>
      </c>
      <c r="P309" s="343">
        <f>P259</f>
        <v/>
      </c>
      <c r="Q309" s="228">
        <f>Q259</f>
        <v/>
      </c>
      <c r="R309" s="228">
        <f>R259-Q259</f>
        <v/>
      </c>
      <c r="S309" s="228">
        <f>S259-R259</f>
        <v/>
      </c>
      <c r="T309" s="228">
        <f>T259-S259</f>
        <v/>
      </c>
      <c r="U309" s="343">
        <f>U259</f>
        <v/>
      </c>
      <c r="V309" s="228">
        <f>V259</f>
        <v/>
      </c>
      <c r="W309" s="228">
        <f>W259-V259</f>
        <v/>
      </c>
      <c r="X309" s="228">
        <f>X259-W259</f>
        <v/>
      </c>
      <c r="Y309" s="228">
        <f>Y259-X259</f>
        <v/>
      </c>
      <c r="Z309" s="343">
        <f>Z259</f>
        <v/>
      </c>
      <c r="AA309" s="228">
        <f>AA259</f>
        <v/>
      </c>
      <c r="AB309" s="228">
        <f>AB259-AA259</f>
        <v/>
      </c>
      <c r="AC309" s="228">
        <f>AC259-AB259</f>
        <v/>
      </c>
      <c r="AD309" s="228">
        <f>AD259-AC259</f>
        <v/>
      </c>
      <c r="AE309" s="343">
        <f>AE259</f>
        <v/>
      </c>
      <c r="AF309" s="228">
        <f>AF259</f>
        <v/>
      </c>
      <c r="AG309" s="228">
        <f>AG259-AF259</f>
        <v/>
      </c>
      <c r="AH309" s="228">
        <f>AH259-AG259</f>
        <v/>
      </c>
      <c r="AI309" s="228">
        <f>AI259-AH259</f>
        <v/>
      </c>
      <c r="AJ309" s="343">
        <f>AJ259</f>
        <v/>
      </c>
      <c r="AK309" s="228">
        <f>AK259</f>
        <v/>
      </c>
      <c r="AL309" s="322">
        <f>AL259-AK259</f>
        <v/>
      </c>
      <c r="AM309" s="391" t="n"/>
      <c r="AN309" s="391" t="n"/>
      <c r="AO309" s="344" t="n"/>
      <c r="AP309" s="391" t="n"/>
      <c r="AQ309" s="391" t="n"/>
      <c r="AR309" s="391" t="n"/>
      <c r="AS309" s="391" t="n"/>
      <c r="AT309" s="344" t="n"/>
      <c r="AU309" s="392" t="n"/>
      <c r="AV309" s="392" t="n"/>
      <c r="AW309" s="392" t="n"/>
      <c r="AX309" s="228" t="n"/>
    </row>
    <row r="310" customFormat="1" s="5">
      <c r="A310" s="36">
        <f>A260</f>
        <v/>
      </c>
      <c r="B310" s="228" t="n"/>
      <c r="C310" s="343">
        <f>C260</f>
        <v/>
      </c>
      <c r="D310" s="343">
        <f>D260</f>
        <v/>
      </c>
      <c r="E310" s="343">
        <f>E260</f>
        <v/>
      </c>
      <c r="F310" s="343">
        <f>F260</f>
        <v/>
      </c>
      <c r="G310" s="228">
        <f>G260</f>
        <v/>
      </c>
      <c r="H310" s="228">
        <f>H260-G260</f>
        <v/>
      </c>
      <c r="I310" s="228">
        <f>I260-H260</f>
        <v/>
      </c>
      <c r="J310" s="228">
        <f>J260-I260</f>
        <v/>
      </c>
      <c r="K310" s="343">
        <f>K260</f>
        <v/>
      </c>
      <c r="L310" s="228">
        <f>L260</f>
        <v/>
      </c>
      <c r="M310" s="228">
        <f>M260-L260</f>
        <v/>
      </c>
      <c r="N310" s="228">
        <f>N260-M260</f>
        <v/>
      </c>
      <c r="O310" s="228">
        <f>O260-N260</f>
        <v/>
      </c>
      <c r="P310" s="343">
        <f>P260</f>
        <v/>
      </c>
      <c r="Q310" s="228">
        <f>Q260</f>
        <v/>
      </c>
      <c r="R310" s="228">
        <f>R260-Q260</f>
        <v/>
      </c>
      <c r="S310" s="228">
        <f>S260-R260</f>
        <v/>
      </c>
      <c r="T310" s="228">
        <f>T260-S260</f>
        <v/>
      </c>
      <c r="U310" s="343">
        <f>U260</f>
        <v/>
      </c>
      <c r="V310" s="228">
        <f>V260</f>
        <v/>
      </c>
      <c r="W310" s="228">
        <f>W260-V260</f>
        <v/>
      </c>
      <c r="X310" s="228">
        <f>X260-W260</f>
        <v/>
      </c>
      <c r="Y310" s="228">
        <f>Y260-X260</f>
        <v/>
      </c>
      <c r="Z310" s="343">
        <f>Z260</f>
        <v/>
      </c>
      <c r="AA310" s="228">
        <f>AA260</f>
        <v/>
      </c>
      <c r="AB310" s="228">
        <f>AB260-AA260</f>
        <v/>
      </c>
      <c r="AC310" s="228">
        <f>AC260-AB260</f>
        <v/>
      </c>
      <c r="AD310" s="228">
        <f>AD260-AC260</f>
        <v/>
      </c>
      <c r="AE310" s="343">
        <f>AE260</f>
        <v/>
      </c>
      <c r="AF310" s="228">
        <f>AF260</f>
        <v/>
      </c>
      <c r="AG310" s="228">
        <f>AG260-AF260</f>
        <v/>
      </c>
      <c r="AH310" s="228">
        <f>AH260-AG260</f>
        <v/>
      </c>
      <c r="AI310" s="228">
        <f>AI260-AH260</f>
        <v/>
      </c>
      <c r="AJ310" s="343">
        <f>AJ260</f>
        <v/>
      </c>
      <c r="AK310" s="228">
        <f>AK260</f>
        <v/>
      </c>
      <c r="AL310" s="322">
        <f>AL260-AK260</f>
        <v/>
      </c>
      <c r="AM310" s="391" t="n"/>
      <c r="AN310" s="391" t="n"/>
      <c r="AO310" s="344" t="n"/>
      <c r="AP310" s="391" t="n"/>
      <c r="AQ310" s="391" t="n"/>
      <c r="AR310" s="391" t="n"/>
      <c r="AS310" s="391" t="n"/>
      <c r="AT310" s="344" t="n"/>
      <c r="AU310" s="392" t="n"/>
      <c r="AV310" s="392" t="n"/>
      <c r="AW310" s="392" t="n"/>
      <c r="AX310" s="228" t="n"/>
    </row>
    <row r="311" customFormat="1" s="5">
      <c r="A311" s="36">
        <f>A261</f>
        <v/>
      </c>
      <c r="B311" s="228" t="n"/>
      <c r="C311" s="343">
        <f>C261</f>
        <v/>
      </c>
      <c r="D311" s="343">
        <f>D261</f>
        <v/>
      </c>
      <c r="E311" s="343">
        <f>E261</f>
        <v/>
      </c>
      <c r="F311" s="343">
        <f>F261</f>
        <v/>
      </c>
      <c r="G311" s="228">
        <f>G261</f>
        <v/>
      </c>
      <c r="H311" s="228">
        <f>H261-G261</f>
        <v/>
      </c>
      <c r="I311" s="228">
        <f>I261-H261</f>
        <v/>
      </c>
      <c r="J311" s="228">
        <f>J261-I261</f>
        <v/>
      </c>
      <c r="K311" s="343">
        <f>K261</f>
        <v/>
      </c>
      <c r="L311" s="228">
        <f>L261</f>
        <v/>
      </c>
      <c r="M311" s="228">
        <f>M261-L261</f>
        <v/>
      </c>
      <c r="N311" s="228">
        <f>N261-M261</f>
        <v/>
      </c>
      <c r="O311" s="228">
        <f>O261-N261</f>
        <v/>
      </c>
      <c r="P311" s="343">
        <f>P261</f>
        <v/>
      </c>
      <c r="Q311" s="228">
        <f>Q261</f>
        <v/>
      </c>
      <c r="R311" s="228">
        <f>R261-Q261</f>
        <v/>
      </c>
      <c r="S311" s="228">
        <f>S261-R261</f>
        <v/>
      </c>
      <c r="T311" s="228">
        <f>T261-S261</f>
        <v/>
      </c>
      <c r="U311" s="343">
        <f>U261</f>
        <v/>
      </c>
      <c r="V311" s="228">
        <f>V261</f>
        <v/>
      </c>
      <c r="W311" s="228">
        <f>W261-V261</f>
        <v/>
      </c>
      <c r="X311" s="228">
        <f>X261-W261</f>
        <v/>
      </c>
      <c r="Y311" s="228">
        <f>Y261-X261</f>
        <v/>
      </c>
      <c r="Z311" s="343">
        <f>Z261</f>
        <v/>
      </c>
      <c r="AA311" s="228">
        <f>AA261</f>
        <v/>
      </c>
      <c r="AB311" s="228">
        <f>AB261-AA261</f>
        <v/>
      </c>
      <c r="AC311" s="228">
        <f>AC261-AB261</f>
        <v/>
      </c>
      <c r="AD311" s="228">
        <f>AD261-AC261</f>
        <v/>
      </c>
      <c r="AE311" s="343">
        <f>AE261</f>
        <v/>
      </c>
      <c r="AF311" s="228">
        <f>AF261</f>
        <v/>
      </c>
      <c r="AG311" s="228">
        <f>AG261-AF261</f>
        <v/>
      </c>
      <c r="AH311" s="228">
        <f>AH261-AG261</f>
        <v/>
      </c>
      <c r="AI311" s="228">
        <f>AI261-AH261</f>
        <v/>
      </c>
      <c r="AJ311" s="343">
        <f>AJ261</f>
        <v/>
      </c>
      <c r="AK311" s="228">
        <f>AK261</f>
        <v/>
      </c>
      <c r="AL311" s="322">
        <f>AL261-AK261</f>
        <v/>
      </c>
      <c r="AM311" s="93" t="n"/>
      <c r="AN311" s="93" t="n"/>
      <c r="AO311" s="344" t="n"/>
      <c r="AP311" s="93" t="n"/>
      <c r="AQ311" s="93" t="n"/>
      <c r="AR311" s="93" t="n"/>
      <c r="AS311" s="93" t="n"/>
      <c r="AT311" s="344" t="n"/>
      <c r="AU311" s="344" t="n"/>
      <c r="AV311" s="344" t="n"/>
      <c r="AW311" s="344" t="n"/>
      <c r="AX311" s="228" t="n"/>
    </row>
    <row r="312" customFormat="1" s="5">
      <c r="A312" s="36">
        <f>A262</f>
        <v/>
      </c>
      <c r="B312" s="228" t="n"/>
      <c r="C312" s="343">
        <f>C262</f>
        <v/>
      </c>
      <c r="D312" s="343">
        <f>D262</f>
        <v/>
      </c>
      <c r="E312" s="343">
        <f>E262</f>
        <v/>
      </c>
      <c r="F312" s="343">
        <f>F262</f>
        <v/>
      </c>
      <c r="G312" s="228">
        <f>G262</f>
        <v/>
      </c>
      <c r="H312" s="228">
        <f>H262-G262</f>
        <v/>
      </c>
      <c r="I312" s="228">
        <f>I262-H262</f>
        <v/>
      </c>
      <c r="J312" s="228">
        <f>J262-I262</f>
        <v/>
      </c>
      <c r="K312" s="343">
        <f>K262</f>
        <v/>
      </c>
      <c r="L312" s="228">
        <f>L262</f>
        <v/>
      </c>
      <c r="M312" s="228">
        <f>M262-L262</f>
        <v/>
      </c>
      <c r="N312" s="228">
        <f>N262-M262</f>
        <v/>
      </c>
      <c r="O312" s="228">
        <f>O262-N262</f>
        <v/>
      </c>
      <c r="P312" s="343">
        <f>P262</f>
        <v/>
      </c>
      <c r="Q312" s="228">
        <f>Q262</f>
        <v/>
      </c>
      <c r="R312" s="228">
        <f>R262-Q262</f>
        <v/>
      </c>
      <c r="S312" s="228">
        <f>S262-R262</f>
        <v/>
      </c>
      <c r="T312" s="228">
        <f>T262-S262</f>
        <v/>
      </c>
      <c r="U312" s="343">
        <f>U262</f>
        <v/>
      </c>
      <c r="V312" s="228">
        <f>V262</f>
        <v/>
      </c>
      <c r="W312" s="228">
        <f>W262-V262</f>
        <v/>
      </c>
      <c r="X312" s="228">
        <f>X262-W262</f>
        <v/>
      </c>
      <c r="Y312" s="228">
        <f>Y262-X262</f>
        <v/>
      </c>
      <c r="Z312" s="343">
        <f>Z262</f>
        <v/>
      </c>
      <c r="AA312" s="228">
        <f>AA262</f>
        <v/>
      </c>
      <c r="AB312" s="228">
        <f>AB262-AA262</f>
        <v/>
      </c>
      <c r="AC312" s="228">
        <f>AC262-AB262</f>
        <v/>
      </c>
      <c r="AD312" s="228">
        <f>AD262-AC262</f>
        <v/>
      </c>
      <c r="AE312" s="343">
        <f>AE262</f>
        <v/>
      </c>
      <c r="AF312" s="228">
        <f>AF262</f>
        <v/>
      </c>
      <c r="AG312" s="228">
        <f>AG262-AF262</f>
        <v/>
      </c>
      <c r="AH312" s="228">
        <f>AH262-AG262</f>
        <v/>
      </c>
      <c r="AI312" s="228">
        <f>AI262-AH262</f>
        <v/>
      </c>
      <c r="AJ312" s="343">
        <f>AJ262</f>
        <v/>
      </c>
      <c r="AK312" s="228">
        <f>AK262</f>
        <v/>
      </c>
      <c r="AL312" s="322">
        <f>AL262-AK262</f>
        <v/>
      </c>
      <c r="AM312" s="391" t="n"/>
      <c r="AN312" s="391" t="n"/>
      <c r="AO312" s="344" t="n"/>
      <c r="AP312" s="391" t="n"/>
      <c r="AQ312" s="391" t="n"/>
      <c r="AR312" s="391" t="n"/>
      <c r="AS312" s="391" t="n"/>
      <c r="AT312" s="344" t="n"/>
      <c r="AU312" s="392" t="n"/>
      <c r="AV312" s="392" t="n"/>
      <c r="AW312" s="392" t="n"/>
      <c r="AX312" s="228" t="n"/>
    </row>
    <row r="313" customFormat="1" s="5">
      <c r="A313" s="36">
        <f>A263</f>
        <v/>
      </c>
      <c r="B313" s="228" t="n"/>
      <c r="C313" s="343">
        <f>C263</f>
        <v/>
      </c>
      <c r="D313" s="343">
        <f>D263</f>
        <v/>
      </c>
      <c r="E313" s="343">
        <f>E263</f>
        <v/>
      </c>
      <c r="F313" s="343">
        <f>F263</f>
        <v/>
      </c>
      <c r="G313" s="228">
        <f>G263</f>
        <v/>
      </c>
      <c r="H313" s="228">
        <f>H263-G263</f>
        <v/>
      </c>
      <c r="I313" s="228">
        <f>I263-H263</f>
        <v/>
      </c>
      <c r="J313" s="228">
        <f>J263-I263</f>
        <v/>
      </c>
      <c r="K313" s="343">
        <f>K263</f>
        <v/>
      </c>
      <c r="L313" s="228">
        <f>L263</f>
        <v/>
      </c>
      <c r="M313" s="228">
        <f>M263-L263</f>
        <v/>
      </c>
      <c r="N313" s="228">
        <f>N263-M263</f>
        <v/>
      </c>
      <c r="O313" s="228">
        <f>O263-N263</f>
        <v/>
      </c>
      <c r="P313" s="343">
        <f>P263</f>
        <v/>
      </c>
      <c r="Q313" s="228">
        <f>Q263</f>
        <v/>
      </c>
      <c r="R313" s="228">
        <f>R263-Q263</f>
        <v/>
      </c>
      <c r="S313" s="228">
        <f>S263-R263</f>
        <v/>
      </c>
      <c r="T313" s="228">
        <f>T263-S263</f>
        <v/>
      </c>
      <c r="U313" s="343">
        <f>U263</f>
        <v/>
      </c>
      <c r="V313" s="228">
        <f>V263</f>
        <v/>
      </c>
      <c r="W313" s="228">
        <f>W263-V263</f>
        <v/>
      </c>
      <c r="X313" s="228">
        <f>X263-W263</f>
        <v/>
      </c>
      <c r="Y313" s="228">
        <f>Y263-X263</f>
        <v/>
      </c>
      <c r="Z313" s="343">
        <f>Z263</f>
        <v/>
      </c>
      <c r="AA313" s="228">
        <f>AA263</f>
        <v/>
      </c>
      <c r="AB313" s="228">
        <f>AB263-AA263</f>
        <v/>
      </c>
      <c r="AC313" s="228">
        <f>AC263-AB263</f>
        <v/>
      </c>
      <c r="AD313" s="228">
        <f>AD263-AC263</f>
        <v/>
      </c>
      <c r="AE313" s="343">
        <f>AE263</f>
        <v/>
      </c>
      <c r="AF313" s="228">
        <f>AF263</f>
        <v/>
      </c>
      <c r="AG313" s="228">
        <f>AG263-AF263</f>
        <v/>
      </c>
      <c r="AH313" s="228">
        <f>AH263-AG263</f>
        <v/>
      </c>
      <c r="AI313" s="228">
        <f>AI263-AH263</f>
        <v/>
      </c>
      <c r="AJ313" s="343">
        <f>AJ263</f>
        <v/>
      </c>
      <c r="AK313" s="228">
        <f>AK263</f>
        <v/>
      </c>
      <c r="AL313" s="322">
        <f>AL263-AK263</f>
        <v/>
      </c>
      <c r="AM313" s="391" t="n"/>
      <c r="AN313" s="391" t="n"/>
      <c r="AO313" s="344" t="n"/>
      <c r="AP313" s="391" t="n"/>
      <c r="AQ313" s="391" t="n"/>
      <c r="AR313" s="391" t="n"/>
      <c r="AS313" s="391" t="n"/>
      <c r="AT313" s="344" t="n"/>
      <c r="AU313" s="392" t="n"/>
      <c r="AV313" s="392" t="n"/>
      <c r="AW313" s="392" t="n"/>
      <c r="AX313" s="228" t="n"/>
    </row>
    <row r="314" customFormat="1" s="5">
      <c r="A314" s="36">
        <f>A264</f>
        <v/>
      </c>
      <c r="B314" s="228" t="n"/>
      <c r="C314" s="343">
        <f>C264</f>
        <v/>
      </c>
      <c r="D314" s="343">
        <f>D264</f>
        <v/>
      </c>
      <c r="E314" s="343">
        <f>E264</f>
        <v/>
      </c>
      <c r="F314" s="343">
        <f>F264</f>
        <v/>
      </c>
      <c r="G314" s="228">
        <f>G264</f>
        <v/>
      </c>
      <c r="H314" s="228">
        <f>H264-G264</f>
        <v/>
      </c>
      <c r="I314" s="228">
        <f>I264-H264</f>
        <v/>
      </c>
      <c r="J314" s="228">
        <f>J264-I264</f>
        <v/>
      </c>
      <c r="K314" s="343">
        <f>K264</f>
        <v/>
      </c>
      <c r="L314" s="228">
        <f>L264</f>
        <v/>
      </c>
      <c r="M314" s="228">
        <f>M264-L264</f>
        <v/>
      </c>
      <c r="N314" s="228">
        <f>N264-M264</f>
        <v/>
      </c>
      <c r="O314" s="228">
        <f>O264-N264</f>
        <v/>
      </c>
      <c r="P314" s="343">
        <f>P264</f>
        <v/>
      </c>
      <c r="Q314" s="228">
        <f>Q264</f>
        <v/>
      </c>
      <c r="R314" s="228">
        <f>R264-Q264</f>
        <v/>
      </c>
      <c r="S314" s="228">
        <f>S264-R264</f>
        <v/>
      </c>
      <c r="T314" s="228">
        <f>T264-S264</f>
        <v/>
      </c>
      <c r="U314" s="343">
        <f>U264</f>
        <v/>
      </c>
      <c r="V314" s="228">
        <f>V264</f>
        <v/>
      </c>
      <c r="W314" s="228">
        <f>W264-V264</f>
        <v/>
      </c>
      <c r="X314" s="228">
        <f>X264-W264</f>
        <v/>
      </c>
      <c r="Y314" s="228">
        <f>Y264-X264</f>
        <v/>
      </c>
      <c r="Z314" s="343">
        <f>Z264</f>
        <v/>
      </c>
      <c r="AA314" s="228">
        <f>AA264</f>
        <v/>
      </c>
      <c r="AB314" s="228">
        <f>AB264-AA264</f>
        <v/>
      </c>
      <c r="AC314" s="228">
        <f>AC264-AB264</f>
        <v/>
      </c>
      <c r="AD314" s="228">
        <f>AD264-AC264</f>
        <v/>
      </c>
      <c r="AE314" s="343">
        <f>AE264</f>
        <v/>
      </c>
      <c r="AF314" s="228">
        <f>AF264</f>
        <v/>
      </c>
      <c r="AG314" s="228">
        <f>AG264-AF264</f>
        <v/>
      </c>
      <c r="AH314" s="228">
        <f>AH264-AG264</f>
        <v/>
      </c>
      <c r="AI314" s="228">
        <f>AI264-AH264</f>
        <v/>
      </c>
      <c r="AJ314" s="343">
        <f>AJ264</f>
        <v/>
      </c>
      <c r="AK314" s="228">
        <f>AK264</f>
        <v/>
      </c>
      <c r="AL314" s="322">
        <f>AL264-AK264</f>
        <v/>
      </c>
      <c r="AM314" s="391" t="n"/>
      <c r="AN314" s="391" t="n"/>
      <c r="AO314" s="344" t="n"/>
      <c r="AP314" s="391" t="n"/>
      <c r="AQ314" s="391" t="n"/>
      <c r="AR314" s="391" t="n"/>
      <c r="AS314" s="391" t="n"/>
      <c r="AT314" s="344" t="n"/>
      <c r="AU314" s="392" t="n"/>
      <c r="AV314" s="392" t="n"/>
      <c r="AW314" s="392" t="n"/>
      <c r="AX314" s="228" t="n"/>
    </row>
    <row r="315" customFormat="1" s="5">
      <c r="A315" s="36">
        <f>A265</f>
        <v/>
      </c>
      <c r="B315" s="228" t="n"/>
      <c r="C315" s="343">
        <f>C265</f>
        <v/>
      </c>
      <c r="D315" s="343">
        <f>D265</f>
        <v/>
      </c>
      <c r="E315" s="343">
        <f>E265</f>
        <v/>
      </c>
      <c r="F315" s="343">
        <f>F265</f>
        <v/>
      </c>
      <c r="G315" s="228">
        <f>G265</f>
        <v/>
      </c>
      <c r="H315" s="228">
        <f>H265-G265</f>
        <v/>
      </c>
      <c r="I315" s="228">
        <f>I265-H265</f>
        <v/>
      </c>
      <c r="J315" s="228">
        <f>J265-I265</f>
        <v/>
      </c>
      <c r="K315" s="343">
        <f>K265</f>
        <v/>
      </c>
      <c r="L315" s="228">
        <f>L265</f>
        <v/>
      </c>
      <c r="M315" s="228">
        <f>M265-L265</f>
        <v/>
      </c>
      <c r="N315" s="228">
        <f>N265-M265</f>
        <v/>
      </c>
      <c r="O315" s="228">
        <f>O265-N265</f>
        <v/>
      </c>
      <c r="P315" s="343">
        <f>P265</f>
        <v/>
      </c>
      <c r="Q315" s="228">
        <f>Q265</f>
        <v/>
      </c>
      <c r="R315" s="228">
        <f>R265-Q265</f>
        <v/>
      </c>
      <c r="S315" s="228">
        <f>S265-R265</f>
        <v/>
      </c>
      <c r="T315" s="228">
        <f>T265-S265</f>
        <v/>
      </c>
      <c r="U315" s="343">
        <f>U265</f>
        <v/>
      </c>
      <c r="V315" s="228">
        <f>V265</f>
        <v/>
      </c>
      <c r="W315" s="228">
        <f>W265-V265</f>
        <v/>
      </c>
      <c r="X315" s="228">
        <f>X265-W265</f>
        <v/>
      </c>
      <c r="Y315" s="228">
        <f>Y265-X265</f>
        <v/>
      </c>
      <c r="Z315" s="343">
        <f>Z265</f>
        <v/>
      </c>
      <c r="AA315" s="228">
        <f>AA265</f>
        <v/>
      </c>
      <c r="AB315" s="228">
        <f>AB265-AA265</f>
        <v/>
      </c>
      <c r="AC315" s="228">
        <f>AC265-AB265</f>
        <v/>
      </c>
      <c r="AD315" s="228">
        <f>AD265-AC265</f>
        <v/>
      </c>
      <c r="AE315" s="343">
        <f>AE265</f>
        <v/>
      </c>
      <c r="AF315" s="228">
        <f>AF265</f>
        <v/>
      </c>
      <c r="AG315" s="228">
        <f>AG265-AF265</f>
        <v/>
      </c>
      <c r="AH315" s="228">
        <f>AH265-AG265</f>
        <v/>
      </c>
      <c r="AI315" s="228">
        <f>AI265-AH265</f>
        <v/>
      </c>
      <c r="AJ315" s="343">
        <f>AJ265</f>
        <v/>
      </c>
      <c r="AK315" s="228">
        <f>AK265</f>
        <v/>
      </c>
      <c r="AL315" s="322">
        <f>AL265-AK265</f>
        <v/>
      </c>
      <c r="AM315" s="93" t="n"/>
      <c r="AN315" s="93" t="n"/>
      <c r="AO315" s="344" t="n"/>
      <c r="AP315" s="93" t="n"/>
      <c r="AQ315" s="93" t="n"/>
      <c r="AR315" s="93" t="n"/>
      <c r="AS315" s="93" t="n"/>
      <c r="AT315" s="344" t="n"/>
      <c r="AU315" s="344" t="n"/>
      <c r="AV315" s="344" t="n"/>
      <c r="AW315" s="344" t="n"/>
      <c r="AX315" s="228" t="n"/>
    </row>
    <row r="316" customFormat="1" s="5">
      <c r="A316" s="36">
        <f>A266</f>
        <v/>
      </c>
      <c r="B316" s="228" t="n"/>
      <c r="C316" s="343">
        <f>C266</f>
        <v/>
      </c>
      <c r="D316" s="343">
        <f>D266</f>
        <v/>
      </c>
      <c r="E316" s="343">
        <f>E266</f>
        <v/>
      </c>
      <c r="F316" s="343">
        <f>F266</f>
        <v/>
      </c>
      <c r="G316" s="228">
        <f>G266</f>
        <v/>
      </c>
      <c r="H316" s="228">
        <f>H266-G266</f>
        <v/>
      </c>
      <c r="I316" s="228">
        <f>I266-H266</f>
        <v/>
      </c>
      <c r="J316" s="228">
        <f>J266-I266</f>
        <v/>
      </c>
      <c r="K316" s="343">
        <f>K266</f>
        <v/>
      </c>
      <c r="L316" s="228">
        <f>L266</f>
        <v/>
      </c>
      <c r="M316" s="228">
        <f>M266-L266</f>
        <v/>
      </c>
      <c r="N316" s="228">
        <f>N266-M266</f>
        <v/>
      </c>
      <c r="O316" s="228">
        <f>O266-N266</f>
        <v/>
      </c>
      <c r="P316" s="343">
        <f>P266</f>
        <v/>
      </c>
      <c r="Q316" s="228">
        <f>Q266</f>
        <v/>
      </c>
      <c r="R316" s="228">
        <f>R266-Q266</f>
        <v/>
      </c>
      <c r="S316" s="228">
        <f>S266-R266</f>
        <v/>
      </c>
      <c r="T316" s="228">
        <f>T266-S266</f>
        <v/>
      </c>
      <c r="U316" s="343">
        <f>U266</f>
        <v/>
      </c>
      <c r="V316" s="228">
        <f>V266</f>
        <v/>
      </c>
      <c r="W316" s="228">
        <f>W266-V266</f>
        <v/>
      </c>
      <c r="X316" s="228">
        <f>X266-W266</f>
        <v/>
      </c>
      <c r="Y316" s="228">
        <f>Y266-X266</f>
        <v/>
      </c>
      <c r="Z316" s="343">
        <f>Z266</f>
        <v/>
      </c>
      <c r="AA316" s="228">
        <f>AA266</f>
        <v/>
      </c>
      <c r="AB316" s="228">
        <f>AB266-AA266</f>
        <v/>
      </c>
      <c r="AC316" s="228">
        <f>AC266-AB266</f>
        <v/>
      </c>
      <c r="AD316" s="228">
        <f>AD266-AC266</f>
        <v/>
      </c>
      <c r="AE316" s="343">
        <f>AE266</f>
        <v/>
      </c>
      <c r="AF316" s="228">
        <f>AF266</f>
        <v/>
      </c>
      <c r="AG316" s="228">
        <f>AG266-AF266</f>
        <v/>
      </c>
      <c r="AH316" s="228">
        <f>AH266-AG266</f>
        <v/>
      </c>
      <c r="AI316" s="228">
        <f>AI266-AH266</f>
        <v/>
      </c>
      <c r="AJ316" s="343">
        <f>AJ266</f>
        <v/>
      </c>
      <c r="AK316" s="228">
        <f>AK266</f>
        <v/>
      </c>
      <c r="AL316" s="322">
        <f>AL266-AK266</f>
        <v/>
      </c>
      <c r="AM316" s="93" t="n"/>
      <c r="AN316" s="93" t="n"/>
      <c r="AO316" s="344" t="n"/>
      <c r="AP316" s="93" t="n"/>
      <c r="AQ316" s="93" t="n"/>
      <c r="AR316" s="93" t="n"/>
      <c r="AS316" s="93" t="n"/>
      <c r="AT316" s="344" t="n"/>
      <c r="AU316" s="344" t="n"/>
      <c r="AV316" s="344" t="n"/>
      <c r="AW316" s="344" t="n"/>
      <c r="AX316" s="228" t="n"/>
    </row>
    <row r="317" customFormat="1" s="9">
      <c r="A317" s="347">
        <f>A267</f>
        <v/>
      </c>
      <c r="B317" s="377" t="n"/>
      <c r="C317" s="349">
        <f>SUM(C306:C316)</f>
        <v/>
      </c>
      <c r="D317" s="349">
        <f>SUM(D306:D316)</f>
        <v/>
      </c>
      <c r="E317" s="349">
        <f>SUM(E306:E316)</f>
        <v/>
      </c>
      <c r="F317" s="349">
        <f>SUM(F306:F316)</f>
        <v/>
      </c>
      <c r="G317" s="350">
        <f>SUM(G306:G316)</f>
        <v/>
      </c>
      <c r="H317" s="350">
        <f>SUM(H306:H316)</f>
        <v/>
      </c>
      <c r="I317" s="350">
        <f>SUM(I306:I316)</f>
        <v/>
      </c>
      <c r="J317" s="350">
        <f>SUM(J306:J316)</f>
        <v/>
      </c>
      <c r="K317" s="349">
        <f>SUM(K306:K316)</f>
        <v/>
      </c>
      <c r="L317" s="350">
        <f>SUM(L306:L316)</f>
        <v/>
      </c>
      <c r="M317" s="350">
        <f>SUM(M306:M316)</f>
        <v/>
      </c>
      <c r="N317" s="350">
        <f>SUM(N306:N316)</f>
        <v/>
      </c>
      <c r="O317" s="350">
        <f>SUM(O306:O316)</f>
        <v/>
      </c>
      <c r="P317" s="349">
        <f>SUM(P306:P316)</f>
        <v/>
      </c>
      <c r="Q317" s="350">
        <f>SUM(Q306:Q316)</f>
        <v/>
      </c>
      <c r="R317" s="350">
        <f>SUM(R306:R316)</f>
        <v/>
      </c>
      <c r="S317" s="350">
        <f>SUM(S306:S316)</f>
        <v/>
      </c>
      <c r="T317" s="350">
        <f>SUM(T306:T316)</f>
        <v/>
      </c>
      <c r="U317" s="349">
        <f>SUM(U306:U316)</f>
        <v/>
      </c>
      <c r="V317" s="350">
        <f>SUM(V306:V316)</f>
        <v/>
      </c>
      <c r="W317" s="350">
        <f>SUM(W306:W316)</f>
        <v/>
      </c>
      <c r="X317" s="350">
        <f>SUM(X306:X316)</f>
        <v/>
      </c>
      <c r="Y317" s="350">
        <f>SUM(Y306:Y316)</f>
        <v/>
      </c>
      <c r="Z317" s="349">
        <f>SUM(Z306:Z316)</f>
        <v/>
      </c>
      <c r="AA317" s="350">
        <f>SUM(AA306:AA316)</f>
        <v/>
      </c>
      <c r="AB317" s="350">
        <f>SUM(AB306:AB316)</f>
        <v/>
      </c>
      <c r="AC317" s="350">
        <f>SUM(AC306:AC316)</f>
        <v/>
      </c>
      <c r="AD317" s="350">
        <f>SUM(AD306:AD316)</f>
        <v/>
      </c>
      <c r="AE317" s="349">
        <f>SUM(AE306:AE316)</f>
        <v/>
      </c>
      <c r="AF317" s="350">
        <f>SUM(AF306:AF316)</f>
        <v/>
      </c>
      <c r="AG317" s="350">
        <f>SUM(AG306:AG316)</f>
        <v/>
      </c>
      <c r="AH317" s="350">
        <f>SUM(AH306:AH316)</f>
        <v/>
      </c>
      <c r="AI317" s="350">
        <f>SUM(AI306:AI316)</f>
        <v/>
      </c>
      <c r="AJ317" s="349">
        <f>SUM(AJ306:AJ316)</f>
        <v/>
      </c>
      <c r="AK317" s="350">
        <f>SUM(AK306:AK316)</f>
        <v/>
      </c>
      <c r="AL317" s="353">
        <f>SUM(AL306:AL316)</f>
        <v/>
      </c>
      <c r="AM317" s="351" t="n"/>
      <c r="AN317" s="351" t="n"/>
      <c r="AO317" s="352" t="n"/>
      <c r="AP317" s="351" t="n"/>
      <c r="AQ317" s="351" t="n"/>
      <c r="AR317" s="351" t="n"/>
      <c r="AS317" s="351" t="n"/>
      <c r="AT317" s="352" t="n"/>
      <c r="AU317" s="352" t="n"/>
      <c r="AV317" s="352" t="n"/>
      <c r="AW317" s="352" t="n"/>
      <c r="AX317" s="22" t="n"/>
    </row>
    <row r="318" customFormat="1" s="9">
      <c r="A318" s="35" t="n"/>
      <c r="B318" s="103" t="n"/>
      <c r="C318" s="4" t="n"/>
      <c r="D318" s="4" t="n"/>
      <c r="E318" s="4" t="n"/>
      <c r="F318" s="4" t="n"/>
      <c r="G318" s="22" t="n"/>
      <c r="H318" s="22" t="n"/>
      <c r="I318" s="22" t="n"/>
      <c r="J318" s="22" t="n"/>
      <c r="K318" s="4" t="n"/>
      <c r="L318" s="22" t="n"/>
      <c r="M318" s="22" t="n"/>
      <c r="N318" s="22" t="n"/>
      <c r="O318" s="22" t="n"/>
      <c r="P318" s="4" t="n"/>
      <c r="Q318" s="22" t="n"/>
      <c r="R318" s="22" t="n"/>
      <c r="S318" s="22" t="n"/>
      <c r="T318" s="22" t="n"/>
      <c r="U318" s="4" t="n"/>
      <c r="V318" s="22" t="n"/>
      <c r="W318" s="22" t="n"/>
      <c r="X318" s="22" t="n"/>
      <c r="Y318" s="22" t="n"/>
      <c r="Z318" s="4" t="n"/>
      <c r="AA318" s="22" t="n"/>
      <c r="AB318" s="22" t="n"/>
      <c r="AC318" s="22" t="n"/>
      <c r="AD318" s="22" t="n"/>
      <c r="AE318" s="4" t="n"/>
      <c r="AF318" s="22" t="n"/>
      <c r="AG318" s="22" t="n"/>
      <c r="AH318" s="22" t="n"/>
      <c r="AI318" s="22" t="n"/>
      <c r="AJ318" s="4" t="n"/>
      <c r="AK318" s="22" t="n"/>
      <c r="AL318" s="308" t="n"/>
      <c r="AM318" s="72" t="n"/>
      <c r="AN318" s="72" t="n"/>
      <c r="AO318" s="8" t="n"/>
      <c r="AP318" s="72" t="n"/>
      <c r="AQ318" s="72" t="n"/>
      <c r="AR318" s="72" t="n"/>
      <c r="AS318" s="72" t="n"/>
      <c r="AT318" s="8" t="n"/>
      <c r="AU318" s="8" t="n"/>
      <c r="AV318" s="8" t="n"/>
      <c r="AW318" s="8" t="n"/>
      <c r="AX318" s="22" t="n"/>
    </row>
    <row r="319" customFormat="1" s="9">
      <c r="A319" s="35">
        <f>A269</f>
        <v/>
      </c>
      <c r="B319" s="103" t="n"/>
      <c r="C319" s="4" t="n"/>
      <c r="D319" s="4" t="n"/>
      <c r="E319" s="4" t="n"/>
      <c r="F319" s="4" t="n"/>
      <c r="G319" s="22" t="n"/>
      <c r="H319" s="22" t="n"/>
      <c r="I319" s="22" t="n"/>
      <c r="J319" s="22" t="n"/>
      <c r="K319" s="4" t="n"/>
      <c r="L319" s="22" t="n"/>
      <c r="M319" s="22" t="n"/>
      <c r="N319" s="22" t="n"/>
      <c r="O319" s="22" t="n"/>
      <c r="P319" s="4" t="n"/>
      <c r="Q319" s="22" t="n"/>
      <c r="R319" s="22" t="n"/>
      <c r="S319" s="22" t="n"/>
      <c r="T319" s="22" t="n"/>
      <c r="U319" s="4" t="n"/>
      <c r="V319" s="22" t="n"/>
      <c r="W319" s="22" t="n"/>
      <c r="X319" s="22" t="n"/>
      <c r="Y319" s="22" t="n"/>
      <c r="Z319" s="4" t="n"/>
      <c r="AA319" s="22" t="n"/>
      <c r="AB319" s="22" t="n"/>
      <c r="AC319" s="22" t="n"/>
      <c r="AD319" s="22" t="n"/>
      <c r="AE319" s="4" t="n"/>
      <c r="AF319" s="22" t="n"/>
      <c r="AG319" s="22" t="n"/>
      <c r="AH319" s="22" t="n"/>
      <c r="AI319" s="22" t="n"/>
      <c r="AJ319" s="4" t="n"/>
      <c r="AK319" s="22" t="n"/>
      <c r="AL319" s="308" t="n"/>
      <c r="AM319" s="72" t="n"/>
      <c r="AN319" s="72" t="n"/>
      <c r="AO319" s="8" t="n"/>
      <c r="AP319" s="72" t="n"/>
      <c r="AQ319" s="72" t="n"/>
      <c r="AR319" s="72" t="n"/>
      <c r="AS319" s="72" t="n"/>
      <c r="AT319" s="8" t="n"/>
      <c r="AU319" s="8" t="n"/>
      <c r="AV319" s="8" t="n"/>
      <c r="AW319" s="8" t="n"/>
      <c r="AX319" s="22" t="n"/>
    </row>
    <row r="320" customFormat="1" s="5">
      <c r="A320" s="36">
        <f>A270</f>
        <v/>
      </c>
      <c r="B320" s="228" t="n"/>
      <c r="C320" s="343">
        <f>C270</f>
        <v/>
      </c>
      <c r="D320" s="343">
        <f>D270</f>
        <v/>
      </c>
      <c r="E320" s="343">
        <f>E270</f>
        <v/>
      </c>
      <c r="F320" s="343">
        <f>F270</f>
        <v/>
      </c>
      <c r="G320" s="228">
        <f>G270</f>
        <v/>
      </c>
      <c r="H320" s="228">
        <f>H270-G270</f>
        <v/>
      </c>
      <c r="I320" s="228">
        <f>I270-H270</f>
        <v/>
      </c>
      <c r="J320" s="228">
        <f>J270-I270</f>
        <v/>
      </c>
      <c r="K320" s="343">
        <f>K270</f>
        <v/>
      </c>
      <c r="L320" s="228">
        <f>L270</f>
        <v/>
      </c>
      <c r="M320" s="228">
        <f>M270-L270</f>
        <v/>
      </c>
      <c r="N320" s="228">
        <f>N270-M270</f>
        <v/>
      </c>
      <c r="O320" s="228">
        <f>O270-N270</f>
        <v/>
      </c>
      <c r="P320" s="343">
        <f>P270</f>
        <v/>
      </c>
      <c r="Q320" s="228">
        <f>Q270</f>
        <v/>
      </c>
      <c r="R320" s="228">
        <f>R270-Q270</f>
        <v/>
      </c>
      <c r="S320" s="228">
        <f>S270-R270</f>
        <v/>
      </c>
      <c r="T320" s="228">
        <f>T270-S270</f>
        <v/>
      </c>
      <c r="U320" s="343">
        <f>U270</f>
        <v/>
      </c>
      <c r="V320" s="228">
        <f>V270</f>
        <v/>
      </c>
      <c r="W320" s="228">
        <f>W270-V270</f>
        <v/>
      </c>
      <c r="X320" s="228">
        <f>X270-W270</f>
        <v/>
      </c>
      <c r="Y320" s="228">
        <f>Y270-X270</f>
        <v/>
      </c>
      <c r="Z320" s="343">
        <f>Z270</f>
        <v/>
      </c>
      <c r="AA320" s="228">
        <f>AA270</f>
        <v/>
      </c>
      <c r="AB320" s="228">
        <f>AB270-AA270</f>
        <v/>
      </c>
      <c r="AC320" s="228">
        <f>AC270-AB270</f>
        <v/>
      </c>
      <c r="AD320" s="228">
        <f>AD270-AC270</f>
        <v/>
      </c>
      <c r="AE320" s="343">
        <f>AE270</f>
        <v/>
      </c>
      <c r="AF320" s="228">
        <f>AF270</f>
        <v/>
      </c>
      <c r="AG320" s="228">
        <f>AG270-AF270</f>
        <v/>
      </c>
      <c r="AH320" s="228">
        <f>AH270-AG270</f>
        <v/>
      </c>
      <c r="AI320" s="228">
        <f>AI270-AH270</f>
        <v/>
      </c>
      <c r="AJ320" s="343">
        <f>AJ270</f>
        <v/>
      </c>
      <c r="AK320" s="228">
        <f>AK270</f>
        <v/>
      </c>
      <c r="AL320" s="322">
        <f>AL270-AK270</f>
        <v/>
      </c>
      <c r="AM320" s="391" t="n"/>
      <c r="AN320" s="391" t="n"/>
      <c r="AO320" s="344" t="n"/>
      <c r="AP320" s="391" t="n"/>
      <c r="AQ320" s="391" t="n"/>
      <c r="AR320" s="391" t="n"/>
      <c r="AS320" s="391" t="n"/>
      <c r="AT320" s="344" t="n"/>
      <c r="AU320" s="392" t="n"/>
      <c r="AV320" s="392" t="n"/>
      <c r="AW320" s="392" t="n"/>
      <c r="AX320" s="228" t="n"/>
    </row>
    <row r="321" customFormat="1" s="5">
      <c r="A321" s="36">
        <f>A271</f>
        <v/>
      </c>
      <c r="B321" s="228" t="n"/>
      <c r="C321" s="343">
        <f>C271</f>
        <v/>
      </c>
      <c r="D321" s="343">
        <f>D271</f>
        <v/>
      </c>
      <c r="E321" s="343">
        <f>E271</f>
        <v/>
      </c>
      <c r="F321" s="343">
        <f>F271</f>
        <v/>
      </c>
      <c r="G321" s="228">
        <f>G271</f>
        <v/>
      </c>
      <c r="H321" s="228">
        <f>H271-G271</f>
        <v/>
      </c>
      <c r="I321" s="228">
        <f>I271-H271</f>
        <v/>
      </c>
      <c r="J321" s="228">
        <f>J271-I271</f>
        <v/>
      </c>
      <c r="K321" s="343">
        <f>K271</f>
        <v/>
      </c>
      <c r="L321" s="228">
        <f>L271</f>
        <v/>
      </c>
      <c r="M321" s="228">
        <f>M271-L271</f>
        <v/>
      </c>
      <c r="N321" s="228">
        <f>N271-M271</f>
        <v/>
      </c>
      <c r="O321" s="228">
        <f>O271-N271</f>
        <v/>
      </c>
      <c r="P321" s="343">
        <f>P271</f>
        <v/>
      </c>
      <c r="Q321" s="228">
        <f>Q271</f>
        <v/>
      </c>
      <c r="R321" s="228">
        <f>R271-Q271</f>
        <v/>
      </c>
      <c r="S321" s="228">
        <f>S271-R271</f>
        <v/>
      </c>
      <c r="T321" s="228">
        <f>T271-S271</f>
        <v/>
      </c>
      <c r="U321" s="343">
        <f>U271</f>
        <v/>
      </c>
      <c r="V321" s="228">
        <f>V271</f>
        <v/>
      </c>
      <c r="W321" s="228">
        <f>W271-V271</f>
        <v/>
      </c>
      <c r="X321" s="228">
        <f>X271-W271</f>
        <v/>
      </c>
      <c r="Y321" s="228">
        <f>Y271-X271</f>
        <v/>
      </c>
      <c r="Z321" s="343">
        <f>Z271</f>
        <v/>
      </c>
      <c r="AA321" s="228">
        <f>AA271</f>
        <v/>
      </c>
      <c r="AB321" s="228">
        <f>AB271-AA271</f>
        <v/>
      </c>
      <c r="AC321" s="228">
        <f>AC271-AB271</f>
        <v/>
      </c>
      <c r="AD321" s="228">
        <f>AD271-AC271</f>
        <v/>
      </c>
      <c r="AE321" s="343">
        <f>AE271</f>
        <v/>
      </c>
      <c r="AF321" s="228">
        <f>AF271</f>
        <v/>
      </c>
      <c r="AG321" s="228">
        <f>AG271-AF271</f>
        <v/>
      </c>
      <c r="AH321" s="228">
        <f>AH271-AG271</f>
        <v/>
      </c>
      <c r="AI321" s="228">
        <f>AI271-AH271</f>
        <v/>
      </c>
      <c r="AJ321" s="343">
        <f>AJ271</f>
        <v/>
      </c>
      <c r="AK321" s="228">
        <f>AK271</f>
        <v/>
      </c>
      <c r="AL321" s="322">
        <f>AL271-AK271</f>
        <v/>
      </c>
      <c r="AM321" s="391" t="n"/>
      <c r="AN321" s="391" t="n"/>
      <c r="AO321" s="344" t="n"/>
      <c r="AP321" s="391" t="n"/>
      <c r="AQ321" s="391" t="n"/>
      <c r="AR321" s="391" t="n"/>
      <c r="AS321" s="391" t="n"/>
      <c r="AT321" s="344" t="n"/>
      <c r="AU321" s="392" t="n"/>
      <c r="AV321" s="392" t="n"/>
      <c r="AW321" s="392" t="n"/>
      <c r="AX321" s="228" t="n"/>
    </row>
    <row r="322" customFormat="1" s="5">
      <c r="A322" s="36">
        <f>A272</f>
        <v/>
      </c>
      <c r="B322" s="228" t="n"/>
      <c r="C322" s="343">
        <f>C272</f>
        <v/>
      </c>
      <c r="D322" s="343">
        <f>D272</f>
        <v/>
      </c>
      <c r="E322" s="343">
        <f>E272</f>
        <v/>
      </c>
      <c r="F322" s="343">
        <f>F272</f>
        <v/>
      </c>
      <c r="G322" s="228">
        <f>G272</f>
        <v/>
      </c>
      <c r="H322" s="228">
        <f>H272-G272</f>
        <v/>
      </c>
      <c r="I322" s="228">
        <f>I272-H272</f>
        <v/>
      </c>
      <c r="J322" s="228">
        <f>J272-I272</f>
        <v/>
      </c>
      <c r="K322" s="343">
        <f>K272</f>
        <v/>
      </c>
      <c r="L322" s="228">
        <f>L272</f>
        <v/>
      </c>
      <c r="M322" s="228">
        <f>M272-L272</f>
        <v/>
      </c>
      <c r="N322" s="228">
        <f>N272-M272</f>
        <v/>
      </c>
      <c r="O322" s="228">
        <f>O272-N272</f>
        <v/>
      </c>
      <c r="P322" s="343">
        <f>P272</f>
        <v/>
      </c>
      <c r="Q322" s="228">
        <f>Q272</f>
        <v/>
      </c>
      <c r="R322" s="228">
        <f>R272-Q272</f>
        <v/>
      </c>
      <c r="S322" s="228">
        <f>S272-R272</f>
        <v/>
      </c>
      <c r="T322" s="228">
        <f>T272-S272</f>
        <v/>
      </c>
      <c r="U322" s="343">
        <f>U272</f>
        <v/>
      </c>
      <c r="V322" s="228">
        <f>V272</f>
        <v/>
      </c>
      <c r="W322" s="228">
        <f>W272-V272</f>
        <v/>
      </c>
      <c r="X322" s="228">
        <f>X272-W272</f>
        <v/>
      </c>
      <c r="Y322" s="228">
        <f>Y272-X272</f>
        <v/>
      </c>
      <c r="Z322" s="343">
        <f>Z272</f>
        <v/>
      </c>
      <c r="AA322" s="228">
        <f>AA272</f>
        <v/>
      </c>
      <c r="AB322" s="228">
        <f>AB272-AA272</f>
        <v/>
      </c>
      <c r="AC322" s="228">
        <f>AC272-AB272</f>
        <v/>
      </c>
      <c r="AD322" s="228">
        <f>AD272-AC272</f>
        <v/>
      </c>
      <c r="AE322" s="343">
        <f>AE272</f>
        <v/>
      </c>
      <c r="AF322" s="228">
        <f>AF272</f>
        <v/>
      </c>
      <c r="AG322" s="228">
        <f>AG272-AF272</f>
        <v/>
      </c>
      <c r="AH322" s="228">
        <f>AH272-AG272</f>
        <v/>
      </c>
      <c r="AI322" s="228">
        <f>AI272-AH272</f>
        <v/>
      </c>
      <c r="AJ322" s="343">
        <f>AJ272</f>
        <v/>
      </c>
      <c r="AK322" s="228">
        <f>AK272</f>
        <v/>
      </c>
      <c r="AL322" s="322">
        <f>AL272-AK272</f>
        <v/>
      </c>
      <c r="AM322" s="391" t="n"/>
      <c r="AN322" s="391" t="n"/>
      <c r="AO322" s="344" t="n"/>
      <c r="AP322" s="391" t="n"/>
      <c r="AQ322" s="391" t="n"/>
      <c r="AR322" s="391" t="n"/>
      <c r="AS322" s="391" t="n"/>
      <c r="AT322" s="344" t="n"/>
      <c r="AU322" s="392" t="n"/>
      <c r="AV322" s="392" t="n"/>
      <c r="AW322" s="392" t="n"/>
      <c r="AX322" s="228" t="n"/>
    </row>
    <row r="323" customFormat="1" s="5">
      <c r="A323" s="36">
        <f>A273</f>
        <v/>
      </c>
      <c r="B323" s="228" t="n"/>
      <c r="C323" s="343">
        <f>C273</f>
        <v/>
      </c>
      <c r="D323" s="343">
        <f>D273</f>
        <v/>
      </c>
      <c r="E323" s="343">
        <f>E273</f>
        <v/>
      </c>
      <c r="F323" s="343">
        <f>F273</f>
        <v/>
      </c>
      <c r="G323" s="228">
        <f>G273</f>
        <v/>
      </c>
      <c r="H323" s="228">
        <f>H273-G273</f>
        <v/>
      </c>
      <c r="I323" s="228">
        <f>I273-H273</f>
        <v/>
      </c>
      <c r="J323" s="228">
        <f>J273-I273</f>
        <v/>
      </c>
      <c r="K323" s="343">
        <f>K273</f>
        <v/>
      </c>
      <c r="L323" s="228">
        <f>L273</f>
        <v/>
      </c>
      <c r="M323" s="228">
        <f>M273-L273</f>
        <v/>
      </c>
      <c r="N323" s="228">
        <f>N273-M273</f>
        <v/>
      </c>
      <c r="O323" s="228">
        <f>O273-N273</f>
        <v/>
      </c>
      <c r="P323" s="343">
        <f>P273</f>
        <v/>
      </c>
      <c r="Q323" s="228">
        <f>Q273</f>
        <v/>
      </c>
      <c r="R323" s="228">
        <f>R273-Q273</f>
        <v/>
      </c>
      <c r="S323" s="228">
        <f>S273-R273</f>
        <v/>
      </c>
      <c r="T323" s="228">
        <f>T273-S273</f>
        <v/>
      </c>
      <c r="U323" s="343">
        <f>U273</f>
        <v/>
      </c>
      <c r="V323" s="228">
        <f>V273</f>
        <v/>
      </c>
      <c r="W323" s="228">
        <f>W273-V273</f>
        <v/>
      </c>
      <c r="X323" s="228">
        <f>X273-W273</f>
        <v/>
      </c>
      <c r="Y323" s="228">
        <f>Y273-X273</f>
        <v/>
      </c>
      <c r="Z323" s="343">
        <f>Z273</f>
        <v/>
      </c>
      <c r="AA323" s="228">
        <f>AA273</f>
        <v/>
      </c>
      <c r="AB323" s="228">
        <f>AB273-AA273</f>
        <v/>
      </c>
      <c r="AC323" s="228">
        <f>AC273-AB273</f>
        <v/>
      </c>
      <c r="AD323" s="228">
        <f>AD273-AC273</f>
        <v/>
      </c>
      <c r="AE323" s="343">
        <f>AE273</f>
        <v/>
      </c>
      <c r="AF323" s="228">
        <f>AF273</f>
        <v/>
      </c>
      <c r="AG323" s="228">
        <f>AG273-AF273</f>
        <v/>
      </c>
      <c r="AH323" s="228">
        <f>AH273-AG273</f>
        <v/>
      </c>
      <c r="AI323" s="228">
        <f>AI273-AH273</f>
        <v/>
      </c>
      <c r="AJ323" s="343">
        <f>AJ273</f>
        <v/>
      </c>
      <c r="AK323" s="228">
        <f>AK273</f>
        <v/>
      </c>
      <c r="AL323" s="322">
        <f>AL273-AK273</f>
        <v/>
      </c>
      <c r="AM323" s="391" t="n"/>
      <c r="AN323" s="391" t="n"/>
      <c r="AO323" s="344" t="n"/>
      <c r="AP323" s="391" t="n"/>
      <c r="AQ323" s="391" t="n"/>
      <c r="AR323" s="391" t="n"/>
      <c r="AS323" s="391" t="n"/>
      <c r="AT323" s="344" t="n"/>
      <c r="AU323" s="392" t="n"/>
      <c r="AV323" s="392" t="n"/>
      <c r="AW323" s="392" t="n"/>
      <c r="AX323" s="228" t="n"/>
    </row>
    <row r="324" customFormat="1" s="5">
      <c r="A324" s="36">
        <f>A274</f>
        <v/>
      </c>
      <c r="B324" s="228" t="n"/>
      <c r="C324" s="343">
        <f>C274</f>
        <v/>
      </c>
      <c r="D324" s="343">
        <f>D274</f>
        <v/>
      </c>
      <c r="E324" s="343">
        <f>E274</f>
        <v/>
      </c>
      <c r="F324" s="343">
        <f>F274</f>
        <v/>
      </c>
      <c r="G324" s="228">
        <f>G274</f>
        <v/>
      </c>
      <c r="H324" s="228">
        <f>H274-G274</f>
        <v/>
      </c>
      <c r="I324" s="228">
        <f>I274-H274</f>
        <v/>
      </c>
      <c r="J324" s="228">
        <f>J274-I274</f>
        <v/>
      </c>
      <c r="K324" s="343">
        <f>K274</f>
        <v/>
      </c>
      <c r="L324" s="228">
        <f>L274</f>
        <v/>
      </c>
      <c r="M324" s="228">
        <f>M274-L274</f>
        <v/>
      </c>
      <c r="N324" s="228">
        <f>N274-M274</f>
        <v/>
      </c>
      <c r="O324" s="228">
        <f>O274-N274</f>
        <v/>
      </c>
      <c r="P324" s="343">
        <f>P274</f>
        <v/>
      </c>
      <c r="Q324" s="228">
        <f>Q274</f>
        <v/>
      </c>
      <c r="R324" s="228">
        <f>R274-Q274</f>
        <v/>
      </c>
      <c r="S324" s="228">
        <f>S274-R274</f>
        <v/>
      </c>
      <c r="T324" s="228">
        <f>T274-S274</f>
        <v/>
      </c>
      <c r="U324" s="343">
        <f>U274</f>
        <v/>
      </c>
      <c r="V324" s="228">
        <f>V274</f>
        <v/>
      </c>
      <c r="W324" s="228">
        <f>W274-V274</f>
        <v/>
      </c>
      <c r="X324" s="228">
        <f>X274-W274</f>
        <v/>
      </c>
      <c r="Y324" s="228">
        <f>Y274-X274</f>
        <v/>
      </c>
      <c r="Z324" s="343">
        <f>Z274</f>
        <v/>
      </c>
      <c r="AA324" s="228">
        <f>AA274</f>
        <v/>
      </c>
      <c r="AB324" s="228">
        <f>AB274-AA274</f>
        <v/>
      </c>
      <c r="AC324" s="228">
        <f>AC274-AB274</f>
        <v/>
      </c>
      <c r="AD324" s="228">
        <f>AD274-AC274</f>
        <v/>
      </c>
      <c r="AE324" s="343">
        <f>AE274</f>
        <v/>
      </c>
      <c r="AF324" s="228">
        <f>AF274</f>
        <v/>
      </c>
      <c r="AG324" s="228">
        <f>AG274-AF274</f>
        <v/>
      </c>
      <c r="AH324" s="228">
        <f>AH274-AG274</f>
        <v/>
      </c>
      <c r="AI324" s="228">
        <f>AI274-AH274</f>
        <v/>
      </c>
      <c r="AJ324" s="343">
        <f>AJ274</f>
        <v/>
      </c>
      <c r="AK324" s="228">
        <f>AK274</f>
        <v/>
      </c>
      <c r="AL324" s="322">
        <f>AL274-AK274</f>
        <v/>
      </c>
      <c r="AM324" s="391" t="n"/>
      <c r="AN324" s="391" t="n"/>
      <c r="AO324" s="344" t="n"/>
      <c r="AP324" s="391" t="n"/>
      <c r="AQ324" s="391" t="n"/>
      <c r="AR324" s="391" t="n"/>
      <c r="AS324" s="391" t="n"/>
      <c r="AT324" s="344" t="n"/>
      <c r="AU324" s="392" t="n"/>
      <c r="AV324" s="392" t="n"/>
      <c r="AW324" s="392" t="n"/>
      <c r="AX324" s="228" t="n"/>
    </row>
    <row r="325" customFormat="1" s="5">
      <c r="A325" s="36">
        <f>A275</f>
        <v/>
      </c>
      <c r="B325" s="228" t="n"/>
      <c r="C325" s="343">
        <f>C275</f>
        <v/>
      </c>
      <c r="D325" s="343">
        <f>D275</f>
        <v/>
      </c>
      <c r="E325" s="343">
        <f>E275</f>
        <v/>
      </c>
      <c r="F325" s="343">
        <f>F275</f>
        <v/>
      </c>
      <c r="G325" s="228">
        <f>G275</f>
        <v/>
      </c>
      <c r="H325" s="228">
        <f>H275-G275</f>
        <v/>
      </c>
      <c r="I325" s="228">
        <f>I275-H275</f>
        <v/>
      </c>
      <c r="J325" s="228">
        <f>J275-I275</f>
        <v/>
      </c>
      <c r="K325" s="343">
        <f>K275</f>
        <v/>
      </c>
      <c r="L325" s="228">
        <f>L275</f>
        <v/>
      </c>
      <c r="M325" s="228">
        <f>M275-L275</f>
        <v/>
      </c>
      <c r="N325" s="228">
        <f>N275-M275</f>
        <v/>
      </c>
      <c r="O325" s="228">
        <f>O275-N275</f>
        <v/>
      </c>
      <c r="P325" s="343">
        <f>P275</f>
        <v/>
      </c>
      <c r="Q325" s="228">
        <f>Q275</f>
        <v/>
      </c>
      <c r="R325" s="228">
        <f>R275-Q275</f>
        <v/>
      </c>
      <c r="S325" s="228">
        <f>S275-R275</f>
        <v/>
      </c>
      <c r="T325" s="228">
        <f>T275-S275</f>
        <v/>
      </c>
      <c r="U325" s="343">
        <f>U275</f>
        <v/>
      </c>
      <c r="V325" s="228">
        <f>V275</f>
        <v/>
      </c>
      <c r="W325" s="228">
        <f>W275-V275</f>
        <v/>
      </c>
      <c r="X325" s="228">
        <f>X275-W275</f>
        <v/>
      </c>
      <c r="Y325" s="228">
        <f>Y275-X275</f>
        <v/>
      </c>
      <c r="Z325" s="343">
        <f>Z275</f>
        <v/>
      </c>
      <c r="AA325" s="228">
        <f>AA275</f>
        <v/>
      </c>
      <c r="AB325" s="228">
        <f>AB275-AA275</f>
        <v/>
      </c>
      <c r="AC325" s="228">
        <f>AC275-AB275</f>
        <v/>
      </c>
      <c r="AD325" s="228">
        <f>AD275-AC275</f>
        <v/>
      </c>
      <c r="AE325" s="343">
        <f>AE275</f>
        <v/>
      </c>
      <c r="AF325" s="228">
        <f>AF275</f>
        <v/>
      </c>
      <c r="AG325" s="228">
        <f>AG275-AF275</f>
        <v/>
      </c>
      <c r="AH325" s="228">
        <f>AH275-AG275</f>
        <v/>
      </c>
      <c r="AI325" s="228">
        <f>AI275-AH275</f>
        <v/>
      </c>
      <c r="AJ325" s="343">
        <f>AJ275</f>
        <v/>
      </c>
      <c r="AK325" s="228">
        <f>AK275</f>
        <v/>
      </c>
      <c r="AL325" s="322">
        <f>AL275-AK275</f>
        <v/>
      </c>
      <c r="AM325" s="391" t="n"/>
      <c r="AN325" s="391" t="n"/>
      <c r="AO325" s="344" t="n"/>
      <c r="AP325" s="391" t="n"/>
      <c r="AQ325" s="391" t="n"/>
      <c r="AR325" s="391" t="n"/>
      <c r="AS325" s="391" t="n"/>
      <c r="AT325" s="344" t="n"/>
      <c r="AU325" s="392" t="n"/>
      <c r="AV325" s="392" t="n"/>
      <c r="AW325" s="392" t="n"/>
      <c r="AX325" s="228" t="n"/>
    </row>
    <row r="326" customFormat="1" s="5">
      <c r="A326" s="36">
        <f>A276</f>
        <v/>
      </c>
      <c r="B326" s="228" t="n"/>
      <c r="C326" s="343">
        <f>C276</f>
        <v/>
      </c>
      <c r="D326" s="343">
        <f>D276</f>
        <v/>
      </c>
      <c r="E326" s="343">
        <f>E276</f>
        <v/>
      </c>
      <c r="F326" s="343">
        <f>F276</f>
        <v/>
      </c>
      <c r="G326" s="228">
        <f>G276</f>
        <v/>
      </c>
      <c r="H326" s="228">
        <f>H276-G276</f>
        <v/>
      </c>
      <c r="I326" s="228">
        <f>I276-H276</f>
        <v/>
      </c>
      <c r="J326" s="228">
        <f>J276-I276</f>
        <v/>
      </c>
      <c r="K326" s="343">
        <f>K276</f>
        <v/>
      </c>
      <c r="L326" s="228">
        <f>L276</f>
        <v/>
      </c>
      <c r="M326" s="228">
        <f>M276-L276</f>
        <v/>
      </c>
      <c r="N326" s="228">
        <f>N276-M276</f>
        <v/>
      </c>
      <c r="O326" s="228">
        <f>O276-N276</f>
        <v/>
      </c>
      <c r="P326" s="343">
        <f>P276</f>
        <v/>
      </c>
      <c r="Q326" s="228">
        <f>Q276</f>
        <v/>
      </c>
      <c r="R326" s="228">
        <f>R276-Q276</f>
        <v/>
      </c>
      <c r="S326" s="228">
        <f>S276-R276</f>
        <v/>
      </c>
      <c r="T326" s="228">
        <f>T276-S276</f>
        <v/>
      </c>
      <c r="U326" s="343">
        <f>U276</f>
        <v/>
      </c>
      <c r="V326" s="228">
        <f>V276</f>
        <v/>
      </c>
      <c r="W326" s="228">
        <f>W276-V276</f>
        <v/>
      </c>
      <c r="X326" s="228">
        <f>X276-W276</f>
        <v/>
      </c>
      <c r="Y326" s="228">
        <f>Y276-X276</f>
        <v/>
      </c>
      <c r="Z326" s="343">
        <f>Z276</f>
        <v/>
      </c>
      <c r="AA326" s="228">
        <f>AA276</f>
        <v/>
      </c>
      <c r="AB326" s="228">
        <f>AB276-AA276</f>
        <v/>
      </c>
      <c r="AC326" s="228">
        <f>AC276-AB276</f>
        <v/>
      </c>
      <c r="AD326" s="228">
        <f>AD276-AC276</f>
        <v/>
      </c>
      <c r="AE326" s="343">
        <f>AE276</f>
        <v/>
      </c>
      <c r="AF326" s="228">
        <f>AF276</f>
        <v/>
      </c>
      <c r="AG326" s="228">
        <f>AG276-AF276</f>
        <v/>
      </c>
      <c r="AH326" s="228">
        <f>AH276-AG276</f>
        <v/>
      </c>
      <c r="AI326" s="228">
        <f>AI276-AH276</f>
        <v/>
      </c>
      <c r="AJ326" s="343">
        <f>AJ276</f>
        <v/>
      </c>
      <c r="AK326" s="228">
        <f>AK276</f>
        <v/>
      </c>
      <c r="AL326" s="322">
        <f>AL276-AK276</f>
        <v/>
      </c>
      <c r="AM326" s="93" t="n"/>
      <c r="AN326" s="93" t="n"/>
      <c r="AO326" s="344" t="n"/>
      <c r="AP326" s="93" t="n"/>
      <c r="AQ326" s="93" t="n"/>
      <c r="AR326" s="93" t="n"/>
      <c r="AS326" s="93" t="n"/>
      <c r="AT326" s="344" t="n"/>
      <c r="AU326" s="344" t="n"/>
      <c r="AV326" s="344" t="n"/>
      <c r="AW326" s="344" t="n"/>
      <c r="AX326" s="228" t="n"/>
    </row>
    <row r="327" customFormat="1" s="5">
      <c r="A327" s="36">
        <f>A277</f>
        <v/>
      </c>
      <c r="B327" s="228" t="n"/>
      <c r="C327" s="343">
        <f>C277</f>
        <v/>
      </c>
      <c r="D327" s="343">
        <f>D277</f>
        <v/>
      </c>
      <c r="E327" s="343">
        <f>E277</f>
        <v/>
      </c>
      <c r="F327" s="343">
        <f>F277</f>
        <v/>
      </c>
      <c r="G327" s="228">
        <f>G277</f>
        <v/>
      </c>
      <c r="H327" s="228">
        <f>H277-G277</f>
        <v/>
      </c>
      <c r="I327" s="228">
        <f>I277-H277</f>
        <v/>
      </c>
      <c r="J327" s="228">
        <f>J277-I277</f>
        <v/>
      </c>
      <c r="K327" s="343">
        <f>K277</f>
        <v/>
      </c>
      <c r="L327" s="228">
        <f>L277</f>
        <v/>
      </c>
      <c r="M327" s="228">
        <f>M277-L277</f>
        <v/>
      </c>
      <c r="N327" s="228">
        <f>N277-M277</f>
        <v/>
      </c>
      <c r="O327" s="228">
        <f>O277-N277</f>
        <v/>
      </c>
      <c r="P327" s="343">
        <f>P277</f>
        <v/>
      </c>
      <c r="Q327" s="228">
        <f>Q277</f>
        <v/>
      </c>
      <c r="R327" s="228">
        <f>R277-Q277</f>
        <v/>
      </c>
      <c r="S327" s="228">
        <f>S277-R277</f>
        <v/>
      </c>
      <c r="T327" s="228">
        <f>T277-S277</f>
        <v/>
      </c>
      <c r="U327" s="343">
        <f>U277</f>
        <v/>
      </c>
      <c r="V327" s="228">
        <f>V277</f>
        <v/>
      </c>
      <c r="W327" s="228">
        <f>W277-V277</f>
        <v/>
      </c>
      <c r="X327" s="228">
        <f>X277-W277</f>
        <v/>
      </c>
      <c r="Y327" s="228">
        <f>Y277-X277</f>
        <v/>
      </c>
      <c r="Z327" s="343">
        <f>Z277</f>
        <v/>
      </c>
      <c r="AA327" s="228">
        <f>AA277</f>
        <v/>
      </c>
      <c r="AB327" s="228">
        <f>AB277-AA277</f>
        <v/>
      </c>
      <c r="AC327" s="228">
        <f>AC277-AB277</f>
        <v/>
      </c>
      <c r="AD327" s="228">
        <f>AD277-AC277</f>
        <v/>
      </c>
      <c r="AE327" s="343">
        <f>AE277</f>
        <v/>
      </c>
      <c r="AF327" s="228">
        <f>AF277</f>
        <v/>
      </c>
      <c r="AG327" s="228">
        <f>AG277-AF277</f>
        <v/>
      </c>
      <c r="AH327" s="228">
        <f>AH277-AG277</f>
        <v/>
      </c>
      <c r="AI327" s="228">
        <f>AI277-AH277</f>
        <v/>
      </c>
      <c r="AJ327" s="343">
        <f>AJ277</f>
        <v/>
      </c>
      <c r="AK327" s="228">
        <f>AK277</f>
        <v/>
      </c>
      <c r="AL327" s="322">
        <f>AL277-AK277</f>
        <v/>
      </c>
      <c r="AM327" s="391" t="n"/>
      <c r="AN327" s="391" t="n"/>
      <c r="AO327" s="344" t="n"/>
      <c r="AP327" s="391" t="n"/>
      <c r="AQ327" s="391" t="n"/>
      <c r="AR327" s="391" t="n"/>
      <c r="AS327" s="391" t="n"/>
      <c r="AT327" s="344" t="n"/>
      <c r="AU327" s="392" t="n"/>
      <c r="AV327" s="392" t="n"/>
      <c r="AW327" s="392" t="n"/>
      <c r="AX327" s="228" t="n"/>
    </row>
    <row r="328" customFormat="1" s="9">
      <c r="A328" s="347">
        <f>A278</f>
        <v/>
      </c>
      <c r="B328" s="377" t="n"/>
      <c r="C328" s="349">
        <f>SUM(C320:C327)</f>
        <v/>
      </c>
      <c r="D328" s="349">
        <f>SUM(D320:D327)</f>
        <v/>
      </c>
      <c r="E328" s="349">
        <f>SUM(E320:E327)</f>
        <v/>
      </c>
      <c r="F328" s="349">
        <f>SUM(F320:F327)</f>
        <v/>
      </c>
      <c r="G328" s="350">
        <f>SUM(G320:G327)</f>
        <v/>
      </c>
      <c r="H328" s="350">
        <f>SUM(H320:H327)</f>
        <v/>
      </c>
      <c r="I328" s="350">
        <f>SUM(I320:I327)</f>
        <v/>
      </c>
      <c r="J328" s="350">
        <f>SUM(J320:J327)</f>
        <v/>
      </c>
      <c r="K328" s="349">
        <f>SUM(K320:K327)</f>
        <v/>
      </c>
      <c r="L328" s="350">
        <f>SUM(L320:L327)</f>
        <v/>
      </c>
      <c r="M328" s="350">
        <f>SUM(M320:M327)</f>
        <v/>
      </c>
      <c r="N328" s="350">
        <f>SUM(N320:N327)</f>
        <v/>
      </c>
      <c r="O328" s="350">
        <f>SUM(O320:O327)</f>
        <v/>
      </c>
      <c r="P328" s="349">
        <f>SUM(P320:P327)</f>
        <v/>
      </c>
      <c r="Q328" s="350">
        <f>SUM(Q320:Q327)</f>
        <v/>
      </c>
      <c r="R328" s="350">
        <f>SUM(R320:R327)</f>
        <v/>
      </c>
      <c r="S328" s="350">
        <f>SUM(S320:S327)</f>
        <v/>
      </c>
      <c r="T328" s="350">
        <f>SUM(T320:T327)</f>
        <v/>
      </c>
      <c r="U328" s="349">
        <f>SUM(U320:U327)</f>
        <v/>
      </c>
      <c r="V328" s="350">
        <f>SUM(V320:V327)</f>
        <v/>
      </c>
      <c r="W328" s="350">
        <f>SUM(W320:W327)</f>
        <v/>
      </c>
      <c r="X328" s="350">
        <f>SUM(X320:X327)</f>
        <v/>
      </c>
      <c r="Y328" s="350">
        <f>SUM(Y320:Y327)</f>
        <v/>
      </c>
      <c r="Z328" s="349">
        <f>SUM(Z320:Z327)</f>
        <v/>
      </c>
      <c r="AA328" s="350">
        <f>SUM(AA320:AA327)</f>
        <v/>
      </c>
      <c r="AB328" s="350">
        <f>SUM(AB320:AB327)</f>
        <v/>
      </c>
      <c r="AC328" s="350">
        <f>SUM(AC320:AC327)</f>
        <v/>
      </c>
      <c r="AD328" s="350">
        <f>SUM(AD320:AD327)</f>
        <v/>
      </c>
      <c r="AE328" s="349">
        <f>SUM(AE320:AE327)</f>
        <v/>
      </c>
      <c r="AF328" s="350">
        <f>SUM(AF320:AF327)</f>
        <v/>
      </c>
      <c r="AG328" s="350">
        <f>SUM(AG320:AG327)</f>
        <v/>
      </c>
      <c r="AH328" s="350">
        <f>SUM(AH320:AH327)</f>
        <v/>
      </c>
      <c r="AI328" s="350">
        <f>SUM(AI320:AI327)</f>
        <v/>
      </c>
      <c r="AJ328" s="349">
        <f>SUM(AJ320:AJ327)</f>
        <v/>
      </c>
      <c r="AK328" s="350">
        <f>SUM(AK320:AK327)</f>
        <v/>
      </c>
      <c r="AL328" s="353">
        <f>SUM(AL320:AL327)</f>
        <v/>
      </c>
      <c r="AM328" s="351" t="n"/>
      <c r="AN328" s="351" t="n"/>
      <c r="AO328" s="352" t="n"/>
      <c r="AP328" s="351" t="n"/>
      <c r="AQ328" s="351" t="n"/>
      <c r="AR328" s="351" t="n"/>
      <c r="AS328" s="351" t="n"/>
      <c r="AT328" s="352" t="n"/>
      <c r="AU328" s="352" t="n"/>
      <c r="AV328" s="352" t="n"/>
      <c r="AW328" s="352" t="n"/>
      <c r="AX328" s="22" t="n"/>
    </row>
    <row r="329" customFormat="1" s="9">
      <c r="A329" s="35" t="n"/>
      <c r="B329" s="103" t="n"/>
      <c r="C329" s="4" t="n"/>
      <c r="D329" s="4" t="n"/>
      <c r="E329" s="4" t="n"/>
      <c r="F329" s="4" t="n"/>
      <c r="G329" s="22" t="n"/>
      <c r="H329" s="22" t="n"/>
      <c r="I329" s="22" t="n"/>
      <c r="J329" s="22" t="n"/>
      <c r="K329" s="4" t="n"/>
      <c r="L329" s="22" t="n"/>
      <c r="M329" s="22" t="n"/>
      <c r="N329" s="22" t="n"/>
      <c r="O329" s="22" t="n"/>
      <c r="P329" s="4" t="n"/>
      <c r="Q329" s="22" t="n"/>
      <c r="R329" s="22" t="n"/>
      <c r="S329" s="22" t="n"/>
      <c r="T329" s="22" t="n"/>
      <c r="U329" s="4" t="n"/>
      <c r="V329" s="22" t="n"/>
      <c r="W329" s="22" t="n"/>
      <c r="X329" s="22" t="n"/>
      <c r="Y329" s="22" t="n"/>
      <c r="Z329" s="4" t="n"/>
      <c r="AA329" s="22" t="n"/>
      <c r="AB329" s="22" t="n"/>
      <c r="AC329" s="22" t="n"/>
      <c r="AD329" s="22" t="n"/>
      <c r="AE329" s="4" t="n"/>
      <c r="AF329" s="22" t="n"/>
      <c r="AG329" s="22" t="n"/>
      <c r="AH329" s="22" t="n"/>
      <c r="AI329" s="22" t="n"/>
      <c r="AJ329" s="4" t="n"/>
      <c r="AK329" s="22" t="n"/>
      <c r="AL329" s="308" t="n"/>
      <c r="AM329" s="72" t="n"/>
      <c r="AN329" s="72" t="n"/>
      <c r="AO329" s="8" t="n"/>
      <c r="AP329" s="72" t="n"/>
      <c r="AQ329" s="72" t="n"/>
      <c r="AR329" s="72" t="n"/>
      <c r="AS329" s="72" t="n"/>
      <c r="AT329" s="8" t="n"/>
      <c r="AU329" s="8" t="n"/>
      <c r="AV329" s="8" t="n"/>
      <c r="AW329" s="8" t="n"/>
      <c r="AX329" s="22" t="n"/>
    </row>
    <row r="330" customFormat="1" s="5">
      <c r="A330" s="354">
        <f>A280</f>
        <v/>
      </c>
      <c r="B330" s="376" t="n"/>
      <c r="C330" s="343">
        <f>C280</f>
        <v/>
      </c>
      <c r="D330" s="343">
        <f>D280</f>
        <v/>
      </c>
      <c r="E330" s="343">
        <f>E280</f>
        <v/>
      </c>
      <c r="F330" s="343">
        <f>F280</f>
        <v/>
      </c>
      <c r="G330" s="228">
        <f>G280</f>
        <v/>
      </c>
      <c r="H330" s="228">
        <f>H280-G280</f>
        <v/>
      </c>
      <c r="I330" s="228">
        <f>I280-H280</f>
        <v/>
      </c>
      <c r="J330" s="228">
        <f>J280-I280</f>
        <v/>
      </c>
      <c r="K330" s="343">
        <f>K280</f>
        <v/>
      </c>
      <c r="L330" s="228">
        <f>L280</f>
        <v/>
      </c>
      <c r="M330" s="228">
        <f>M280-L280</f>
        <v/>
      </c>
      <c r="N330" s="228">
        <f>N280-M280</f>
        <v/>
      </c>
      <c r="O330" s="228">
        <f>O280-N280</f>
        <v/>
      </c>
      <c r="P330" s="343">
        <f>P280</f>
        <v/>
      </c>
      <c r="Q330" s="228">
        <f>Q280</f>
        <v/>
      </c>
      <c r="R330" s="228">
        <f>R280-Q280</f>
        <v/>
      </c>
      <c r="S330" s="228">
        <f>S280-R280</f>
        <v/>
      </c>
      <c r="T330" s="228">
        <f>T280-S280</f>
        <v/>
      </c>
      <c r="U330" s="343">
        <f>U280</f>
        <v/>
      </c>
      <c r="V330" s="228">
        <f>V280</f>
        <v/>
      </c>
      <c r="W330" s="228">
        <f>W280-V280</f>
        <v/>
      </c>
      <c r="X330" s="228">
        <f>X280-W280</f>
        <v/>
      </c>
      <c r="Y330" s="228">
        <f>Y280-X280</f>
        <v/>
      </c>
      <c r="Z330" s="343">
        <f>Z280</f>
        <v/>
      </c>
      <c r="AA330" s="228">
        <f>AA280</f>
        <v/>
      </c>
      <c r="AB330" s="228">
        <f>AB280-AA280</f>
        <v/>
      </c>
      <c r="AC330" s="228">
        <f>AC280-AB280</f>
        <v/>
      </c>
      <c r="AD330" s="228">
        <f>AD280-AC280</f>
        <v/>
      </c>
      <c r="AE330" s="343">
        <f>AE280</f>
        <v/>
      </c>
      <c r="AF330" s="228">
        <f>AF280</f>
        <v/>
      </c>
      <c r="AG330" s="228">
        <f>AG280-AF280</f>
        <v/>
      </c>
      <c r="AH330" s="228">
        <f>AH280-AG280</f>
        <v/>
      </c>
      <c r="AI330" s="228">
        <f>AI280-AH280</f>
        <v/>
      </c>
      <c r="AJ330" s="343">
        <f>AJ280</f>
        <v/>
      </c>
      <c r="AK330" s="228">
        <f>AK280</f>
        <v/>
      </c>
      <c r="AL330" s="322">
        <f>AL280-AK280</f>
        <v/>
      </c>
      <c r="AM330" s="391" t="n"/>
      <c r="AN330" s="391" t="n"/>
      <c r="AO330" s="344" t="n"/>
      <c r="AP330" s="391" t="n"/>
      <c r="AQ330" s="391" t="n"/>
      <c r="AR330" s="391" t="n"/>
      <c r="AS330" s="391" t="n"/>
      <c r="AT330" s="344" t="n"/>
      <c r="AU330" s="392" t="n"/>
      <c r="AV330" s="392" t="n"/>
      <c r="AW330" s="392" t="n"/>
      <c r="AX330" s="228" t="n"/>
    </row>
    <row r="331" customFormat="1" s="9">
      <c r="A331" s="35">
        <f>A281</f>
        <v/>
      </c>
      <c r="B331" s="103" t="n"/>
      <c r="C331" s="4">
        <f>C328+C317+C303+C330</f>
        <v/>
      </c>
      <c r="D331" s="4">
        <f>D328+D317+D303+D330</f>
        <v/>
      </c>
      <c r="E331" s="4">
        <f>E328+E317+E303+E330</f>
        <v/>
      </c>
      <c r="F331" s="4">
        <f>F328+F317+F303+F330</f>
        <v/>
      </c>
      <c r="G331" s="22">
        <f>G328+G317+G303+G330</f>
        <v/>
      </c>
      <c r="H331" s="22">
        <f>H328+H317+H303+H330</f>
        <v/>
      </c>
      <c r="I331" s="22">
        <f>I328+I317+I303+I330</f>
        <v/>
      </c>
      <c r="J331" s="22">
        <f>J328+J317+J303+J330</f>
        <v/>
      </c>
      <c r="K331" s="4">
        <f>K328+K317+K303+K330</f>
        <v/>
      </c>
      <c r="L331" s="22">
        <f>L328+L317+L303+L330</f>
        <v/>
      </c>
      <c r="M331" s="22">
        <f>M328+M317+M303+M330</f>
        <v/>
      </c>
      <c r="N331" s="22">
        <f>N328+N317+N303+N330</f>
        <v/>
      </c>
      <c r="O331" s="22">
        <f>O328+O317+O303+O330</f>
        <v/>
      </c>
      <c r="P331" s="4">
        <f>P328+P317+P303+P330</f>
        <v/>
      </c>
      <c r="Q331" s="22">
        <f>Q328+Q317+Q303+Q330</f>
        <v/>
      </c>
      <c r="R331" s="22">
        <f>R328+R317+R303+R330</f>
        <v/>
      </c>
      <c r="S331" s="22">
        <f>S328+S317+S303+S330</f>
        <v/>
      </c>
      <c r="T331" s="22">
        <f>T328+T317+T303+T330</f>
        <v/>
      </c>
      <c r="U331" s="4">
        <f>U328+U317+U303+U330</f>
        <v/>
      </c>
      <c r="V331" s="22">
        <f>V328+V317+V303+V330</f>
        <v/>
      </c>
      <c r="W331" s="22">
        <f>W328+W317+W303+W330</f>
        <v/>
      </c>
      <c r="X331" s="22">
        <f>X328+X317+X303+X330</f>
        <v/>
      </c>
      <c r="Y331" s="22">
        <f>Y328+Y317+Y303+Y330</f>
        <v/>
      </c>
      <c r="Z331" s="4">
        <f>Z328+Z317+Z303+Z330</f>
        <v/>
      </c>
      <c r="AA331" s="22">
        <f>AA328+AA317+AA303+AA330</f>
        <v/>
      </c>
      <c r="AB331" s="22">
        <f>AB328+AB317+AB303+AB330</f>
        <v/>
      </c>
      <c r="AC331" s="22">
        <f>AC328+AC317+AC303+AC330</f>
        <v/>
      </c>
      <c r="AD331" s="22">
        <f>AD328+AD317+AD303+AD330</f>
        <v/>
      </c>
      <c r="AE331" s="4">
        <f>AE328+AE317+AE303+AE330</f>
        <v/>
      </c>
      <c r="AF331" s="22">
        <f>AF328+AF317+AF303+AF330</f>
        <v/>
      </c>
      <c r="AG331" s="22">
        <f>AG328+AG317+AG303+AG330</f>
        <v/>
      </c>
      <c r="AH331" s="22">
        <f>AH328+AH317+AH303+AH330</f>
        <v/>
      </c>
      <c r="AI331" s="22">
        <f>AI328+AI317+AI303+AI330</f>
        <v/>
      </c>
      <c r="AJ331" s="4">
        <f>AJ328+AJ317+AJ303+AJ330</f>
        <v/>
      </c>
      <c r="AK331" s="22">
        <f>AK328+AK317+AK303+AK330</f>
        <v/>
      </c>
      <c r="AL331" s="308">
        <f>AL328+AL317+AL303+AL330</f>
        <v/>
      </c>
      <c r="AM331" s="378" t="n"/>
      <c r="AN331" s="378" t="n"/>
      <c r="AO331" s="117" t="n"/>
      <c r="AP331" s="378" t="n"/>
      <c r="AQ331" s="378" t="n"/>
      <c r="AR331" s="378" t="n"/>
      <c r="AS331" s="378" t="n"/>
      <c r="AT331" s="117" t="n"/>
      <c r="AU331" s="117" t="n"/>
      <c r="AV331" s="117" t="n"/>
      <c r="AW331" s="117" t="n"/>
      <c r="AX331" s="22" t="n"/>
    </row>
    <row r="332" customFormat="1" s="9">
      <c r="A332" s="35" t="n"/>
      <c r="B332" s="103" t="n"/>
      <c r="C332" s="4" t="n"/>
      <c r="D332" s="4" t="n"/>
      <c r="E332" s="4" t="n"/>
      <c r="F332" s="4" t="n"/>
      <c r="G332" s="22" t="n"/>
      <c r="H332" s="22" t="n"/>
      <c r="I332" s="22" t="n"/>
      <c r="J332" s="22" t="n"/>
      <c r="K332" s="4" t="n"/>
      <c r="L332" s="22" t="n"/>
      <c r="M332" s="22" t="n"/>
      <c r="N332" s="22" t="n"/>
      <c r="O332" s="22" t="n"/>
      <c r="P332" s="4" t="n"/>
      <c r="Q332" s="22" t="n"/>
      <c r="R332" s="22" t="n"/>
      <c r="S332" s="22" t="n"/>
      <c r="T332" s="22" t="n"/>
      <c r="U332" s="4" t="n"/>
      <c r="V332" s="22" t="n"/>
      <c r="W332" s="22" t="n"/>
      <c r="X332" s="22" t="n"/>
      <c r="Y332" s="22" t="n"/>
      <c r="Z332" s="4" t="n"/>
      <c r="AA332" s="22" t="n"/>
      <c r="AB332" s="22" t="n"/>
      <c r="AC332" s="22" t="n"/>
      <c r="AD332" s="22" t="n"/>
      <c r="AE332" s="4" t="n"/>
      <c r="AF332" s="22" t="n"/>
      <c r="AG332" s="22" t="n"/>
      <c r="AH332" s="22" t="n"/>
      <c r="AI332" s="22" t="n"/>
      <c r="AJ332" s="4" t="n"/>
      <c r="AK332" s="22" t="n"/>
      <c r="AL332" s="308" t="n"/>
      <c r="AM332" s="72" t="n"/>
      <c r="AN332" s="72" t="n"/>
      <c r="AO332" s="8" t="n"/>
      <c r="AP332" s="72" t="n"/>
      <c r="AQ332" s="72" t="n"/>
      <c r="AR332" s="72" t="n"/>
      <c r="AS332" s="72" t="n"/>
      <c r="AT332" s="8" t="n"/>
      <c r="AU332" s="8" t="n"/>
      <c r="AV332" s="8" t="n"/>
      <c r="AW332" s="8" t="n"/>
      <c r="AX332" s="22" t="n"/>
    </row>
    <row r="333" customFormat="1" s="9">
      <c r="A333" s="35">
        <f>A283</f>
        <v/>
      </c>
      <c r="B333" s="103" t="n"/>
      <c r="C333" s="4">
        <f>C283</f>
        <v/>
      </c>
      <c r="D333" s="4">
        <f>C334</f>
        <v/>
      </c>
      <c r="E333" s="4">
        <f>D334</f>
        <v/>
      </c>
      <c r="F333" s="4">
        <f>E334</f>
        <v/>
      </c>
      <c r="G333" s="22">
        <f>F334</f>
        <v/>
      </c>
      <c r="H333" s="22">
        <f>G334</f>
        <v/>
      </c>
      <c r="I333" s="22">
        <f>H334</f>
        <v/>
      </c>
      <c r="J333" s="22">
        <f>I334</f>
        <v/>
      </c>
      <c r="K333" s="4">
        <f>F334</f>
        <v/>
      </c>
      <c r="L333" s="22">
        <f>K334</f>
        <v/>
      </c>
      <c r="M333" s="22">
        <f>L334</f>
        <v/>
      </c>
      <c r="N333" s="22">
        <f>M334</f>
        <v/>
      </c>
      <c r="O333" s="22">
        <f>N334</f>
        <v/>
      </c>
      <c r="P333" s="4">
        <f>K334</f>
        <v/>
      </c>
      <c r="Q333" s="22">
        <f>P334</f>
        <v/>
      </c>
      <c r="R333" s="22">
        <f>Q334</f>
        <v/>
      </c>
      <c r="S333" s="22">
        <f>R334</f>
        <v/>
      </c>
      <c r="T333" s="22">
        <f>S334</f>
        <v/>
      </c>
      <c r="U333" s="4">
        <f>P334</f>
        <v/>
      </c>
      <c r="V333" s="22">
        <f>U334</f>
        <v/>
      </c>
      <c r="W333" s="22">
        <f>V334</f>
        <v/>
      </c>
      <c r="X333" s="22">
        <f>W334</f>
        <v/>
      </c>
      <c r="Y333" s="22">
        <f>X334</f>
        <v/>
      </c>
      <c r="Z333" s="4">
        <f>U334</f>
        <v/>
      </c>
      <c r="AA333" s="22">
        <f>Z334</f>
        <v/>
      </c>
      <c r="AB333" s="22">
        <f>AA334</f>
        <v/>
      </c>
      <c r="AC333" s="22">
        <f>AB334</f>
        <v/>
      </c>
      <c r="AD333" s="22">
        <f>AC334</f>
        <v/>
      </c>
      <c r="AE333" s="4">
        <f>Z334</f>
        <v/>
      </c>
      <c r="AF333" s="22">
        <f>AE334</f>
        <v/>
      </c>
      <c r="AG333" s="22">
        <f>AF334</f>
        <v/>
      </c>
      <c r="AH333" s="22">
        <f>AG334</f>
        <v/>
      </c>
      <c r="AI333" s="22">
        <f>AH334</f>
        <v/>
      </c>
      <c r="AJ333" s="4">
        <f>AE334</f>
        <v/>
      </c>
      <c r="AK333" s="22">
        <f>AJ334</f>
        <v/>
      </c>
      <c r="AL333" s="308">
        <f>AK334</f>
        <v/>
      </c>
      <c r="AM333" s="378" t="n"/>
      <c r="AN333" s="378" t="n"/>
      <c r="AO333" s="117" t="n"/>
      <c r="AP333" s="378" t="n"/>
      <c r="AQ333" s="378" t="n"/>
      <c r="AR333" s="378" t="n"/>
      <c r="AS333" s="378" t="n"/>
      <c r="AT333" s="117" t="n"/>
      <c r="AU333" s="117" t="n"/>
      <c r="AV333" s="117" t="n"/>
      <c r="AW333" s="117" t="n"/>
      <c r="AX333" s="22" t="n"/>
    </row>
    <row r="334" customFormat="1" s="9">
      <c r="A334" s="35">
        <f>A284</f>
        <v/>
      </c>
      <c r="B334" s="103" t="n"/>
      <c r="C334" s="4">
        <f>C333+C331</f>
        <v/>
      </c>
      <c r="D334" s="4">
        <f>D333+D331</f>
        <v/>
      </c>
      <c r="E334" s="4">
        <f>E333+E331</f>
        <v/>
      </c>
      <c r="F334" s="4">
        <f>F333+F331</f>
        <v/>
      </c>
      <c r="G334" s="22">
        <f>G333+G331</f>
        <v/>
      </c>
      <c r="H334" s="22">
        <f>H333+H331</f>
        <v/>
      </c>
      <c r="I334" s="22">
        <f>I333+I331</f>
        <v/>
      </c>
      <c r="J334" s="22">
        <f>J333+J331</f>
        <v/>
      </c>
      <c r="K334" s="4">
        <f>K333+K331</f>
        <v/>
      </c>
      <c r="L334" s="22">
        <f>L333+L331</f>
        <v/>
      </c>
      <c r="M334" s="22">
        <f>M333+M331</f>
        <v/>
      </c>
      <c r="N334" s="22">
        <f>N333+N331</f>
        <v/>
      </c>
      <c r="O334" s="22">
        <f>O333+O331</f>
        <v/>
      </c>
      <c r="P334" s="4">
        <f>P333+P331</f>
        <v/>
      </c>
      <c r="Q334" s="22">
        <f>Q333+Q331</f>
        <v/>
      </c>
      <c r="R334" s="22">
        <f>R333+R331</f>
        <v/>
      </c>
      <c r="S334" s="22">
        <f>S333+S331</f>
        <v/>
      </c>
      <c r="T334" s="22">
        <f>T333+T331</f>
        <v/>
      </c>
      <c r="U334" s="4">
        <f>U333+U331</f>
        <v/>
      </c>
      <c r="V334" s="22">
        <f>V333+V331</f>
        <v/>
      </c>
      <c r="W334" s="22">
        <f>W333+W331</f>
        <v/>
      </c>
      <c r="X334" s="22">
        <f>X333+X331</f>
        <v/>
      </c>
      <c r="Y334" s="22">
        <f>Y333+Y331</f>
        <v/>
      </c>
      <c r="Z334" s="4">
        <f>Z333+Z331</f>
        <v/>
      </c>
      <c r="AA334" s="22">
        <f>AA333+AA331</f>
        <v/>
      </c>
      <c r="AB334" s="22">
        <f>AB333+AB331</f>
        <v/>
      </c>
      <c r="AC334" s="22">
        <f>AC333+AC331</f>
        <v/>
      </c>
      <c r="AD334" s="22">
        <f>AD333+AD331</f>
        <v/>
      </c>
      <c r="AE334" s="4">
        <f>AE333+AE331</f>
        <v/>
      </c>
      <c r="AF334" s="22">
        <f>AF333+AF331</f>
        <v/>
      </c>
      <c r="AG334" s="22">
        <f>AG333+AG331</f>
        <v/>
      </c>
      <c r="AH334" s="22">
        <f>AH333+AH331</f>
        <v/>
      </c>
      <c r="AI334" s="22">
        <f>AI333+AI331</f>
        <v/>
      </c>
      <c r="AJ334" s="4">
        <f>AJ333+AJ331</f>
        <v/>
      </c>
      <c r="AK334" s="22">
        <f>AK333+AK331</f>
        <v/>
      </c>
      <c r="AL334" s="308">
        <f>AL333+AL331</f>
        <v/>
      </c>
      <c r="AM334" s="378" t="n"/>
      <c r="AN334" s="378" t="n"/>
      <c r="AO334" s="117" t="n"/>
      <c r="AP334" s="378" t="n"/>
      <c r="AQ334" s="378" t="n"/>
      <c r="AR334" s="378" t="n"/>
      <c r="AS334" s="378" t="n"/>
      <c r="AT334" s="117" t="n"/>
      <c r="AU334" s="117" t="n"/>
      <c r="AV334" s="117" t="n"/>
      <c r="AW334" s="117" t="n"/>
      <c r="AX334" s="22" t="n"/>
    </row>
    <row r="335" customFormat="1" s="9">
      <c r="A335" s="35" t="n"/>
      <c r="B335" s="103" t="n"/>
      <c r="C335" s="4" t="n"/>
      <c r="D335" s="4" t="n"/>
      <c r="E335" s="4" t="n"/>
      <c r="F335" s="4" t="n"/>
      <c r="G335" s="22" t="n"/>
      <c r="H335" s="22" t="n"/>
      <c r="I335" s="22" t="n"/>
      <c r="J335" s="22" t="n"/>
      <c r="K335" s="4" t="n"/>
      <c r="L335" s="22" t="n"/>
      <c r="M335" s="22" t="n"/>
      <c r="N335" s="22" t="n"/>
      <c r="O335" s="22" t="n"/>
      <c r="P335" s="4" t="n"/>
      <c r="Q335" s="22" t="n"/>
      <c r="R335" s="22" t="n"/>
      <c r="S335" s="22" t="n"/>
      <c r="T335" s="22" t="n"/>
      <c r="U335" s="4" t="n"/>
      <c r="V335" s="22" t="n"/>
      <c r="W335" s="22" t="n"/>
      <c r="X335" s="22" t="n"/>
      <c r="Y335" s="22" t="n"/>
      <c r="Z335" s="4" t="n"/>
      <c r="AA335" s="22" t="n"/>
      <c r="AB335" s="22" t="n"/>
      <c r="AC335" s="22" t="n"/>
      <c r="AD335" s="22" t="n"/>
      <c r="AE335" s="4" t="n"/>
      <c r="AF335" s="22" t="n"/>
      <c r="AG335" s="22" t="n"/>
      <c r="AH335" s="22" t="n"/>
      <c r="AI335" s="22" t="n"/>
      <c r="AJ335" s="4" t="n"/>
      <c r="AK335" s="22" t="n"/>
      <c r="AL335" s="308" t="n"/>
      <c r="AM335" s="22" t="n"/>
      <c r="AN335" s="22" t="n"/>
      <c r="AO335" s="4" t="n"/>
      <c r="AP335" s="22" t="n"/>
      <c r="AQ335" s="22" t="n"/>
      <c r="AR335" s="22" t="n"/>
      <c r="AS335" s="22" t="n"/>
      <c r="AT335" s="4" t="n"/>
      <c r="AU335" s="4" t="n"/>
      <c r="AV335" s="4" t="n"/>
      <c r="AW335" s="4" t="n"/>
      <c r="AX335" s="22" t="n"/>
    </row>
    <row r="336" customFormat="1" s="5">
      <c r="A336" s="386" t="inlineStr">
        <is>
          <t>CF Check</t>
        </is>
      </c>
      <c r="B336" s="386" t="n"/>
      <c r="C336" s="387">
        <f>ROUND(C334-C351-C367,6)</f>
        <v/>
      </c>
      <c r="D336" s="387">
        <f>ROUND(D334-D351-D367,6)</f>
        <v/>
      </c>
      <c r="E336" s="387">
        <f>ROUND(E334-E351-E367,6)</f>
        <v/>
      </c>
      <c r="F336" s="387">
        <f>ROUND(F334-F351-F367,6)</f>
        <v/>
      </c>
      <c r="G336" s="387">
        <f>ROUND(G334-G351-G367,6)</f>
        <v/>
      </c>
      <c r="H336" s="387">
        <f>ROUND(H334-H351-H367,6)</f>
        <v/>
      </c>
      <c r="I336" s="387">
        <f>ROUND(I334-I351-I367,6)</f>
        <v/>
      </c>
      <c r="J336" s="387">
        <f>ROUND(J334-J351-J367,6)</f>
        <v/>
      </c>
      <c r="K336" s="387">
        <f>ROUND(K334-K351-K367,6)</f>
        <v/>
      </c>
      <c r="L336" s="387">
        <f>ROUND(L334-L351-L367,6)</f>
        <v/>
      </c>
      <c r="M336" s="387">
        <f>ROUND(M334-M351-M367,6)</f>
        <v/>
      </c>
      <c r="N336" s="387">
        <f>ROUND(N334-N351-N367,6)</f>
        <v/>
      </c>
      <c r="O336" s="387">
        <f>ROUND(O334-O351-O367,6)</f>
        <v/>
      </c>
      <c r="P336" s="387">
        <f>ROUND(P334-P351-P367,6)</f>
        <v/>
      </c>
      <c r="Q336" s="387">
        <f>ROUND(Q334-Q351-Q367,6)</f>
        <v/>
      </c>
      <c r="R336" s="387">
        <f>ROUND(R334-R351-R367,6)</f>
        <v/>
      </c>
      <c r="S336" s="387">
        <f>ROUND(S334-S351-S367,6)</f>
        <v/>
      </c>
      <c r="T336" s="387">
        <f>ROUND(T334-T351-T367,6)</f>
        <v/>
      </c>
      <c r="U336" s="387">
        <f>ROUND(U334-U351-U367,6)</f>
        <v/>
      </c>
      <c r="V336" s="387">
        <f>ROUND(V334-V351-V367,6)</f>
        <v/>
      </c>
      <c r="W336" s="387">
        <f>ROUND(W334-W351-W367,6)</f>
        <v/>
      </c>
      <c r="X336" s="387">
        <f>ROUND(X334-X351-X367,6)</f>
        <v/>
      </c>
      <c r="Y336" s="387">
        <f>ROUND(Y334-Y351-Y367,6)</f>
        <v/>
      </c>
      <c r="Z336" s="387">
        <f>ROUND(Z334-Z351-Z367,6)</f>
        <v/>
      </c>
      <c r="AA336" s="387">
        <f>ROUND(AA334-AA351-AA367,6)</f>
        <v/>
      </c>
      <c r="AB336" s="387">
        <f>ROUND(AB334-AB351-AB367,6)</f>
        <v/>
      </c>
      <c r="AC336" s="387">
        <f>ROUND(AC334-AC351-AC367,6)</f>
        <v/>
      </c>
      <c r="AD336" s="387">
        <f>ROUND(AD334-AD351-AD367,6)</f>
        <v/>
      </c>
      <c r="AE336" s="387">
        <f>ROUND(AE334-AE351-AE367,6)</f>
        <v/>
      </c>
      <c r="AF336" s="387">
        <f>ROUND(AF334-AF351-AF367,6)</f>
        <v/>
      </c>
      <c r="AG336" s="387">
        <f>ROUND(AG334-AG351-AG367,6)</f>
        <v/>
      </c>
      <c r="AH336" s="387">
        <f>ROUND(AH334-AH351-AH367,6)</f>
        <v/>
      </c>
      <c r="AI336" s="387">
        <f>ROUND(AI334-AI351-AI367,6)</f>
        <v/>
      </c>
      <c r="AJ336" s="387">
        <f>ROUND(AJ334-AJ351-AJ367,6)</f>
        <v/>
      </c>
      <c r="AK336" s="387">
        <f>ROUND(AK334-AK351-AK367,6)</f>
        <v/>
      </c>
      <c r="AL336" s="388">
        <f>ROUND(AL334-AL351-AL367,6)</f>
        <v/>
      </c>
      <c r="AM336" s="387" t="n"/>
      <c r="AN336" s="387" t="n"/>
      <c r="AO336" s="387" t="n"/>
      <c r="AP336" s="387" t="n"/>
      <c r="AQ336" s="387" t="n"/>
      <c r="AR336" s="387" t="n"/>
      <c r="AS336" s="387" t="n"/>
      <c r="AT336" s="387" t="n"/>
      <c r="AU336" s="387" t="n"/>
      <c r="AV336" s="387" t="n"/>
      <c r="AW336" s="387" t="n"/>
      <c r="AX336" s="228" t="n"/>
    </row>
    <row r="337" customFormat="1" s="9">
      <c r="A337" s="35" t="n"/>
      <c r="B337" s="103" t="n"/>
      <c r="C337" s="4" t="n"/>
      <c r="D337" s="4" t="n"/>
      <c r="E337" s="4" t="n"/>
      <c r="F337" s="4" t="n"/>
      <c r="G337" s="22" t="n"/>
      <c r="H337" s="22" t="n"/>
      <c r="I337" s="22" t="n"/>
      <c r="J337" s="22" t="n"/>
      <c r="K337" s="4" t="n"/>
      <c r="L337" s="22" t="n"/>
      <c r="M337" s="22" t="n"/>
      <c r="N337" s="22" t="n"/>
      <c r="O337" s="22" t="n"/>
      <c r="P337" s="4" t="n"/>
      <c r="Q337" s="22" t="n"/>
      <c r="R337" s="22" t="n"/>
      <c r="S337" s="22" t="n"/>
      <c r="T337" s="22" t="n"/>
      <c r="U337" s="4" t="n"/>
      <c r="V337" s="22" t="n"/>
      <c r="W337" s="22" t="n"/>
      <c r="X337" s="22" t="n"/>
      <c r="Y337" s="22" t="n"/>
      <c r="Z337" s="4" t="n"/>
      <c r="AA337" s="22" t="n"/>
      <c r="AB337" s="22" t="n"/>
      <c r="AC337" s="22" t="n"/>
      <c r="AD337" s="22" t="n"/>
      <c r="AE337" s="4" t="n"/>
      <c r="AF337" s="22" t="n"/>
      <c r="AG337" s="22" t="n"/>
      <c r="AH337" s="22" t="n"/>
      <c r="AI337" s="22" t="n"/>
      <c r="AJ337" s="4" t="n"/>
      <c r="AK337" s="22" t="n"/>
      <c r="AL337" s="308" t="n"/>
      <c r="AM337" s="22" t="n"/>
      <c r="AN337" s="22" t="n"/>
      <c r="AO337" s="4" t="n"/>
      <c r="AP337" s="22" t="n"/>
      <c r="AQ337" s="22" t="n"/>
      <c r="AR337" s="22" t="n"/>
      <c r="AS337" s="22" t="n"/>
      <c r="AT337" s="4" t="n"/>
      <c r="AU337" s="4" t="n"/>
      <c r="AV337" s="4" t="n"/>
      <c r="AW337" s="4" t="n"/>
      <c r="AX337" s="22" t="n"/>
    </row>
    <row r="338" customFormat="1" s="9">
      <c r="A338" s="493" t="inlineStr">
        <is>
          <t>Working Capital Forecasting</t>
        </is>
      </c>
      <c r="B338" s="494" t="n"/>
      <c r="C338" s="45" t="n"/>
      <c r="D338" s="45" t="n"/>
      <c r="E338" s="45" t="n"/>
      <c r="F338" s="45" t="n"/>
      <c r="G338" s="45"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c r="AA338" s="45" t="n"/>
      <c r="AB338" s="45" t="n"/>
      <c r="AC338" s="45" t="n"/>
      <c r="AD338" s="45" t="n"/>
      <c r="AE338" s="45" t="n"/>
      <c r="AF338" s="45" t="n"/>
      <c r="AG338" s="45" t="n"/>
      <c r="AH338" s="45" t="n"/>
      <c r="AI338" s="45" t="n"/>
      <c r="AJ338" s="45" t="n"/>
      <c r="AK338" s="45" t="n"/>
      <c r="AL338" s="306" t="n"/>
      <c r="AM338" s="45" t="n"/>
      <c r="AN338" s="45" t="n"/>
      <c r="AO338" s="45" t="n"/>
      <c r="AP338" s="45" t="n"/>
      <c r="AQ338" s="45" t="n"/>
      <c r="AR338" s="45" t="n"/>
      <c r="AS338" s="45" t="n"/>
      <c r="AT338" s="45" t="n"/>
      <c r="AU338" s="45" t="n"/>
      <c r="AV338" s="45" t="n"/>
      <c r="AW338" s="45" t="n"/>
      <c r="AX338" s="22" t="n"/>
    </row>
    <row r="339" customFormat="1" s="16">
      <c r="A339" s="97" t="inlineStr">
        <is>
          <t>Accounts receivable, net, % of LTM Sales</t>
        </is>
      </c>
      <c r="B339" s="142" t="n"/>
      <c r="C339" s="245">
        <f>C354/C$133</f>
        <v/>
      </c>
      <c r="D339" s="245">
        <f>D354/D$133</f>
        <v/>
      </c>
      <c r="E339" s="245">
        <f>E354/E$133</f>
        <v/>
      </c>
      <c r="F339" s="245">
        <f>F354/F$133</f>
        <v/>
      </c>
      <c r="G339" s="25" t="n"/>
      <c r="H339" s="25" t="n"/>
      <c r="I339" s="25" t="n"/>
      <c r="J339" s="25" t="n"/>
      <c r="K339" s="245">
        <f>K354/K$133</f>
        <v/>
      </c>
      <c r="L339" s="25">
        <f>L354/(L$133+J$133+I$133+H$133)</f>
        <v/>
      </c>
      <c r="M339" s="25">
        <f>M354/(M$133+L$133+J$133+I$133)</f>
        <v/>
      </c>
      <c r="N339" s="25">
        <f>N354/(N$133+M$133+L$133+J$133)</f>
        <v/>
      </c>
      <c r="O339" s="25">
        <f>O354/(O$133+N$133+M$133+L$133)</f>
        <v/>
      </c>
      <c r="P339" s="245">
        <f>P354/P$133</f>
        <v/>
      </c>
      <c r="Q339" s="25">
        <f>Q354/(Q$133+O$133+N$133+M$133)</f>
        <v/>
      </c>
      <c r="R339" s="25">
        <f>R354/(R$133+Q$133+O$133+N$133)</f>
        <v/>
      </c>
      <c r="S339" s="25">
        <f>S354/(S$133+R$133+Q$133+O$133)</f>
        <v/>
      </c>
      <c r="T339" s="25">
        <f>T354/(T$133+S$133+R$133+Q$133)</f>
        <v/>
      </c>
      <c r="U339" s="245">
        <f>U354/U$133</f>
        <v/>
      </c>
      <c r="V339" s="25">
        <f>V354/(V$133+T$133+S$133+R$133)</f>
        <v/>
      </c>
      <c r="W339" s="25">
        <f>W354/(W$133+V$133+T$133+S$133)</f>
        <v/>
      </c>
      <c r="X339" s="25">
        <f>X354/(X$133+W$133+V$133+T$133)</f>
        <v/>
      </c>
      <c r="Y339" s="25">
        <f>Y354/(Y$133+X$133+W$133+V$133)</f>
        <v/>
      </c>
      <c r="Z339" s="245">
        <f>Z354/Z$133</f>
        <v/>
      </c>
      <c r="AA339" s="25">
        <f>AA354/(AA$133+Y$133+X$133+W$133)</f>
        <v/>
      </c>
      <c r="AB339" s="25">
        <f>AB354/(AB$133+AA$133+Y$133+X$133)</f>
        <v/>
      </c>
      <c r="AC339" s="25">
        <f>AC354/(AC$133+AB$133+AA$133+Y$133)</f>
        <v/>
      </c>
      <c r="AD339" s="25">
        <f>AD354/(AD$133+AC$133+AB$133+AA$133)</f>
        <v/>
      </c>
      <c r="AE339" s="245">
        <f>AE354/AE$133</f>
        <v/>
      </c>
      <c r="AF339" s="25">
        <f>AF354/(AF$133+AD$133+AC$133+AB$133)</f>
        <v/>
      </c>
      <c r="AG339" s="25">
        <f>AG354/(AG$133+AF$133+AD$133+AC$133)</f>
        <v/>
      </c>
      <c r="AH339" s="25">
        <f>AH354/(AH$133+AG$133+AF$133+AD$133)</f>
        <v/>
      </c>
      <c r="AI339" s="25">
        <f>AI354/(AI$133+AH$133+AG$133+AF$133)</f>
        <v/>
      </c>
      <c r="AJ339" s="245">
        <f>AJ354/AJ$133</f>
        <v/>
      </c>
      <c r="AK339" s="25">
        <f>AK354/(AK$133+AI$133+AH$133+AG$133)</f>
        <v/>
      </c>
      <c r="AL339" s="311">
        <f>AL354/(AL$133+AK$133+AI$133+AH$133)</f>
        <v/>
      </c>
      <c r="AM339" s="25" t="n"/>
      <c r="AN339" s="25" t="n"/>
      <c r="AO339" s="245" t="n"/>
      <c r="AP339" s="25" t="n"/>
      <c r="AQ339" s="25" t="n"/>
      <c r="AR339" s="25" t="n"/>
      <c r="AS339" s="25" t="n"/>
      <c r="AT339" s="245" t="n"/>
      <c r="AU339" s="245" t="n"/>
      <c r="AV339" s="245" t="n"/>
      <c r="AW339" s="245" t="n"/>
      <c r="AX339" s="25" t="n"/>
    </row>
    <row r="340" customFormat="1" s="16">
      <c r="A340" s="97" t="inlineStr">
        <is>
          <t>Inventories, % of LTM Sales</t>
        </is>
      </c>
      <c r="B340" s="142" t="n"/>
      <c r="C340" s="245">
        <f>C355/C$133</f>
        <v/>
      </c>
      <c r="D340" s="245">
        <f>D355/D$133</f>
        <v/>
      </c>
      <c r="E340" s="245">
        <f>E355/E$133</f>
        <v/>
      </c>
      <c r="F340" s="245">
        <f>F355/F$133</f>
        <v/>
      </c>
      <c r="G340" s="25" t="n"/>
      <c r="H340" s="25" t="n"/>
      <c r="I340" s="25" t="n"/>
      <c r="J340" s="25" t="n"/>
      <c r="K340" s="245">
        <f>K355/K$133</f>
        <v/>
      </c>
      <c r="L340" s="25">
        <f>L355/(L$133+J$133+I$133+H$133)</f>
        <v/>
      </c>
      <c r="M340" s="25">
        <f>M355/(M$133+L$133+J$133+I$133)</f>
        <v/>
      </c>
      <c r="N340" s="25">
        <f>N355/(N$133+M$133+L$133+J$133)</f>
        <v/>
      </c>
      <c r="O340" s="25">
        <f>O355/(O$133+N$133+M$133+L$133)</f>
        <v/>
      </c>
      <c r="P340" s="245">
        <f>P355/P$133</f>
        <v/>
      </c>
      <c r="Q340" s="25">
        <f>Q355/(Q$133+O$133+N$133+M$133)</f>
        <v/>
      </c>
      <c r="R340" s="25">
        <f>R355/(R$133+Q$133+O$133+N$133)</f>
        <v/>
      </c>
      <c r="S340" s="25">
        <f>S355/(S$133+R$133+Q$133+O$133)</f>
        <v/>
      </c>
      <c r="T340" s="25">
        <f>T355/(T$133+S$133+R$133+Q$133)</f>
        <v/>
      </c>
      <c r="U340" s="245">
        <f>U355/U$133</f>
        <v/>
      </c>
      <c r="V340" s="25">
        <f>V355/(V$133+T$133+S$133+R$133)</f>
        <v/>
      </c>
      <c r="W340" s="25">
        <f>W355/(W$133+V$133+T$133+S$133)</f>
        <v/>
      </c>
      <c r="X340" s="25">
        <f>X355/(X$133+W$133+V$133+T$133)</f>
        <v/>
      </c>
      <c r="Y340" s="25">
        <f>Y355/(Y$133+X$133+W$133+V$133)</f>
        <v/>
      </c>
      <c r="Z340" s="245">
        <f>Z355/Z$133</f>
        <v/>
      </c>
      <c r="AA340" s="25">
        <f>AA355/(AA$133+Y$133+X$133+W$133)</f>
        <v/>
      </c>
      <c r="AB340" s="25">
        <f>AB355/(AB$133+AA$133+Y$133+X$133)</f>
        <v/>
      </c>
      <c r="AC340" s="25">
        <f>AC355/(AC$133+AB$133+AA$133+Y$133)</f>
        <v/>
      </c>
      <c r="AD340" s="25">
        <f>AD355/(AD$133+AC$133+AB$133+AA$133)</f>
        <v/>
      </c>
      <c r="AE340" s="245">
        <f>AE355/AE$133</f>
        <v/>
      </c>
      <c r="AF340" s="25">
        <f>AF355/(AF$133+AD$133+AC$133+AB$133)</f>
        <v/>
      </c>
      <c r="AG340" s="25">
        <f>AG355/(AG$133+AF$133+AD$133+AC$133)</f>
        <v/>
      </c>
      <c r="AH340" s="25">
        <f>AH355/(AH$133+AG$133+AF$133+AD$133)</f>
        <v/>
      </c>
      <c r="AI340" s="25">
        <f>AI355/(AI$133+AH$133+AG$133+AF$133)</f>
        <v/>
      </c>
      <c r="AJ340" s="245">
        <f>AJ355/AJ$133</f>
        <v/>
      </c>
      <c r="AK340" s="25">
        <f>AK355/(AK$133+AI$133+AH$133+AG$133)</f>
        <v/>
      </c>
      <c r="AL340" s="311">
        <f>AL355/(AL$133+AK$133+AI$133+AH$133)</f>
        <v/>
      </c>
      <c r="AM340" s="25" t="n"/>
      <c r="AN340" s="25" t="n"/>
      <c r="AO340" s="245" t="n"/>
      <c r="AP340" s="25" t="n"/>
      <c r="AQ340" s="25" t="n"/>
      <c r="AR340" s="25" t="n"/>
      <c r="AS340" s="25" t="n"/>
      <c r="AT340" s="245" t="n"/>
      <c r="AU340" s="245" t="n"/>
      <c r="AV340" s="245" t="n"/>
      <c r="AW340" s="245" t="n"/>
      <c r="AX340" s="25" t="n"/>
    </row>
    <row r="341" customFormat="1" s="16">
      <c r="A341" s="97" t="inlineStr">
        <is>
          <t>Accounts payable, % of LTM Sales</t>
        </is>
      </c>
      <c r="B341" s="142" t="n"/>
      <c r="C341" s="245">
        <f>C372/C$133</f>
        <v/>
      </c>
      <c r="D341" s="245">
        <f>D372/D$133</f>
        <v/>
      </c>
      <c r="E341" s="245">
        <f>E372/E$133</f>
        <v/>
      </c>
      <c r="F341" s="245">
        <f>F372/F$133</f>
        <v/>
      </c>
      <c r="G341" s="25" t="n"/>
      <c r="H341" s="25" t="n"/>
      <c r="I341" s="25" t="n"/>
      <c r="J341" s="25" t="n"/>
      <c r="K341" s="245">
        <f>K372/K$133</f>
        <v/>
      </c>
      <c r="L341" s="25">
        <f>L372/(L$133+J$133+I$133+H$133)</f>
        <v/>
      </c>
      <c r="M341" s="25">
        <f>M372/(M$133+L$133+J$133+I$133)</f>
        <v/>
      </c>
      <c r="N341" s="25">
        <f>N372/(N$133+M$133+L$133+J$133)</f>
        <v/>
      </c>
      <c r="O341" s="25">
        <f>O372/(O$133+N$133+M$133+L$133)</f>
        <v/>
      </c>
      <c r="P341" s="245">
        <f>P372/P$133</f>
        <v/>
      </c>
      <c r="Q341" s="25">
        <f>Q372/(Q$133+O$133+N$133+M$133)</f>
        <v/>
      </c>
      <c r="R341" s="25">
        <f>R372/(R$133+Q$133+O$133+N$133)</f>
        <v/>
      </c>
      <c r="S341" s="25">
        <f>S372/(S$133+R$133+Q$133+O$133)</f>
        <v/>
      </c>
      <c r="T341" s="25">
        <f>T372/(T$133+S$133+R$133+Q$133)</f>
        <v/>
      </c>
      <c r="U341" s="245">
        <f>U372/U$133</f>
        <v/>
      </c>
      <c r="V341" s="25">
        <f>V372/(V$133+T$133+S$133+R$133)</f>
        <v/>
      </c>
      <c r="W341" s="25">
        <f>W372/(W$133+V$133+T$133+S$133)</f>
        <v/>
      </c>
      <c r="X341" s="25">
        <f>X372/(X$133+W$133+V$133+T$133)</f>
        <v/>
      </c>
      <c r="Y341" s="25">
        <f>Y372/(Y$133+X$133+W$133+V$133)</f>
        <v/>
      </c>
      <c r="Z341" s="245">
        <f>Z372/Z$133</f>
        <v/>
      </c>
      <c r="AA341" s="25">
        <f>AA372/(AA$133+Y$133+X$133+W$133)</f>
        <v/>
      </c>
      <c r="AB341" s="25">
        <f>AB372/(AB$133+AA$133+Y$133+X$133)</f>
        <v/>
      </c>
      <c r="AC341" s="25">
        <f>AC372/(AC$133+AB$133+AA$133+Y$133)</f>
        <v/>
      </c>
      <c r="AD341" s="25">
        <f>AD372/(AD$133+AC$133+AB$133+AA$133)</f>
        <v/>
      </c>
      <c r="AE341" s="245">
        <f>AE372/AE$133</f>
        <v/>
      </c>
      <c r="AF341" s="25">
        <f>AF372/(AF$133+AD$133+AC$133+AB$133)</f>
        <v/>
      </c>
      <c r="AG341" s="25">
        <f>AG372/(AG$133+AF$133+AD$133+AC$133)</f>
        <v/>
      </c>
      <c r="AH341" s="25">
        <f>AH372/(AH$133+AG$133+AF$133+AD$133)</f>
        <v/>
      </c>
      <c r="AI341" s="25">
        <f>AI372/(AI$133+AH$133+AG$133+AF$133)</f>
        <v/>
      </c>
      <c r="AJ341" s="245">
        <f>AJ372/AJ$133</f>
        <v/>
      </c>
      <c r="AK341" s="25">
        <f>AK372/(AK$133+AI$133+AH$133+AG$133)</f>
        <v/>
      </c>
      <c r="AL341" s="311">
        <f>AL372/(AL$133+AK$133+AI$133+AH$133)</f>
        <v/>
      </c>
      <c r="AM341" s="25" t="n"/>
      <c r="AN341" s="25" t="n"/>
      <c r="AO341" s="245" t="n"/>
      <c r="AP341" s="25" t="n"/>
      <c r="AQ341" s="25" t="n"/>
      <c r="AR341" s="25" t="n"/>
      <c r="AS341" s="25" t="n"/>
      <c r="AT341" s="245" t="n"/>
      <c r="AU341" s="245" t="n"/>
      <c r="AV341" s="245" t="n"/>
      <c r="AW341" s="245" t="n"/>
      <c r="AX341" s="25" t="n"/>
    </row>
    <row r="342" customFormat="1" s="16">
      <c r="A342" s="97" t="inlineStr">
        <is>
          <t>Accrued liabilities, % of LTM Sales</t>
        </is>
      </c>
      <c r="B342" s="142" t="n"/>
      <c r="C342" s="245">
        <f>C373/C$133</f>
        <v/>
      </c>
      <c r="D342" s="245">
        <f>D373/D$133</f>
        <v/>
      </c>
      <c r="E342" s="245">
        <f>E373/E$133</f>
        <v/>
      </c>
      <c r="F342" s="245">
        <f>F373/F$133</f>
        <v/>
      </c>
      <c r="G342" s="25" t="n"/>
      <c r="H342" s="25" t="n"/>
      <c r="I342" s="25" t="n"/>
      <c r="J342" s="25" t="n"/>
      <c r="K342" s="245">
        <f>K373/K$133</f>
        <v/>
      </c>
      <c r="L342" s="25">
        <f>L373/(L$133+J$133+I$133+H$133)</f>
        <v/>
      </c>
      <c r="M342" s="25">
        <f>M373/(M$133+L$133+J$133+I$133)</f>
        <v/>
      </c>
      <c r="N342" s="25">
        <f>N373/(N$133+M$133+L$133+J$133)</f>
        <v/>
      </c>
      <c r="O342" s="25">
        <f>O373/(O$133+N$133+M$133+L$133)</f>
        <v/>
      </c>
      <c r="P342" s="245">
        <f>P373/P$133</f>
        <v/>
      </c>
      <c r="Q342" s="25">
        <f>Q373/(Q$133+O$133+N$133+M$133)</f>
        <v/>
      </c>
      <c r="R342" s="25">
        <f>R373/(R$133+Q$133+O$133+N$133)</f>
        <v/>
      </c>
      <c r="S342" s="25">
        <f>S373/(S$133+R$133+Q$133+O$133)</f>
        <v/>
      </c>
      <c r="T342" s="25">
        <f>T373/(T$133+S$133+R$133+Q$133)</f>
        <v/>
      </c>
      <c r="U342" s="245">
        <f>U373/U$133</f>
        <v/>
      </c>
      <c r="V342" s="25">
        <f>V373/(V$133+T$133+S$133+R$133)</f>
        <v/>
      </c>
      <c r="W342" s="25">
        <f>W373/(W$133+V$133+T$133+S$133)</f>
        <v/>
      </c>
      <c r="X342" s="25">
        <f>X373/(X$133+W$133+V$133+T$133)</f>
        <v/>
      </c>
      <c r="Y342" s="25">
        <f>Y373/(Y$133+X$133+W$133+V$133)</f>
        <v/>
      </c>
      <c r="Z342" s="245">
        <f>Z373/Z$133</f>
        <v/>
      </c>
      <c r="AA342" s="25">
        <f>AA373/(AA$133+Y$133+X$133+W$133)</f>
        <v/>
      </c>
      <c r="AB342" s="25">
        <f>AB373/(AB$133+AA$133+Y$133+X$133)</f>
        <v/>
      </c>
      <c r="AC342" s="25">
        <f>AC373/(AC$133+AB$133+AA$133+Y$133)</f>
        <v/>
      </c>
      <c r="AD342" s="25">
        <f>AD373/(AD$133+AC$133+AB$133+AA$133)</f>
        <v/>
      </c>
      <c r="AE342" s="245">
        <f>AE373/AE$133</f>
        <v/>
      </c>
      <c r="AF342" s="25">
        <f>AF373/(AF$133+AD$133+AC$133+AB$133)</f>
        <v/>
      </c>
      <c r="AG342" s="25">
        <f>AG373/(AG$133+AF$133+AD$133+AC$133)</f>
        <v/>
      </c>
      <c r="AH342" s="25">
        <f>AH373/(AH$133+AG$133+AF$133+AD$133)</f>
        <v/>
      </c>
      <c r="AI342" s="25">
        <f>AI373/(AI$133+AH$133+AG$133+AF$133)</f>
        <v/>
      </c>
      <c r="AJ342" s="245">
        <f>AJ373/AJ$133</f>
        <v/>
      </c>
      <c r="AK342" s="25">
        <f>AK373/(AK$133+AI$133+AH$133+AG$133)</f>
        <v/>
      </c>
      <c r="AL342" s="311">
        <f>AL373/(AL$133+AK$133+AI$133+AH$133)</f>
        <v/>
      </c>
      <c r="AM342" s="25" t="n"/>
      <c r="AN342" s="25" t="n"/>
      <c r="AO342" s="245" t="n"/>
      <c r="AP342" s="25" t="n"/>
      <c r="AQ342" s="25" t="n"/>
      <c r="AR342" s="25" t="n"/>
      <c r="AS342" s="25" t="n"/>
      <c r="AT342" s="245" t="n"/>
      <c r="AU342" s="245" t="n"/>
      <c r="AV342" s="245" t="n"/>
      <c r="AW342" s="245" t="n"/>
      <c r="AX342" s="25" t="n"/>
    </row>
    <row r="343" customFormat="1" s="16">
      <c r="A343" s="97" t="n"/>
      <c r="B343" s="142" t="n"/>
      <c r="C343" s="245" t="n"/>
      <c r="D343" s="245" t="n"/>
      <c r="E343" s="245" t="n"/>
      <c r="F343" s="245" t="n"/>
      <c r="G343" s="25" t="n"/>
      <c r="H343" s="25" t="n"/>
      <c r="I343" s="25" t="n"/>
      <c r="J343" s="25" t="n"/>
      <c r="K343" s="245" t="n"/>
      <c r="L343" s="25" t="n"/>
      <c r="M343" s="25" t="n"/>
      <c r="N343" s="25" t="n"/>
      <c r="O343" s="25" t="n"/>
      <c r="P343" s="245" t="n"/>
      <c r="Q343" s="25" t="n"/>
      <c r="R343" s="25" t="n"/>
      <c r="S343" s="25" t="n"/>
      <c r="T343" s="25" t="n"/>
      <c r="U343" s="245" t="n"/>
      <c r="V343" s="25" t="n"/>
      <c r="W343" s="25" t="n"/>
      <c r="X343" s="25" t="n"/>
      <c r="Y343" s="25" t="n"/>
      <c r="Z343" s="245" t="n"/>
      <c r="AA343" s="25" t="n"/>
      <c r="AB343" s="25" t="n"/>
      <c r="AC343" s="25" t="n"/>
      <c r="AD343" s="25" t="n"/>
      <c r="AE343" s="245" t="n"/>
      <c r="AF343" s="25" t="n"/>
      <c r="AG343" s="25" t="n"/>
      <c r="AH343" s="25" t="n"/>
      <c r="AI343" s="25" t="n"/>
      <c r="AJ343" s="245" t="n"/>
      <c r="AK343" s="25" t="n"/>
      <c r="AL343" s="311" t="n"/>
      <c r="AM343" s="25" t="n"/>
      <c r="AN343" s="25" t="n"/>
      <c r="AO343" s="245" t="n"/>
      <c r="AP343" s="25" t="n"/>
      <c r="AQ343" s="25" t="n"/>
      <c r="AR343" s="25" t="n"/>
      <c r="AS343" s="25" t="n"/>
      <c r="AT343" s="245" t="n"/>
      <c r="AU343" s="245" t="n"/>
      <c r="AV343" s="245" t="n"/>
      <c r="AW343" s="245" t="n"/>
      <c r="AX343" s="25" t="n"/>
    </row>
    <row r="344" customFormat="1" s="16">
      <c r="A344" s="246" t="inlineStr">
        <is>
          <t>Accounts receivable, net, Y/Y Change, %</t>
        </is>
      </c>
      <c r="B344" s="247" t="n"/>
      <c r="C344" s="248" t="n"/>
      <c r="D344" s="248">
        <f>D339-C339</f>
        <v/>
      </c>
      <c r="E344" s="248">
        <f>E339-D339</f>
        <v/>
      </c>
      <c r="F344" s="248">
        <f>F339-E339</f>
        <v/>
      </c>
      <c r="G344" s="495" t="n"/>
      <c r="H344" s="495" t="n"/>
      <c r="I344" s="495" t="n"/>
      <c r="J344" s="495" t="n"/>
      <c r="K344" s="248">
        <f>K339-F339</f>
        <v/>
      </c>
      <c r="L344" s="495" t="n"/>
      <c r="M344" s="495" t="n"/>
      <c r="N344" s="495" t="n"/>
      <c r="O344" s="495" t="n"/>
      <c r="P344" s="248">
        <f>P339-K339</f>
        <v/>
      </c>
      <c r="Q344" s="495">
        <f>Q339-L339</f>
        <v/>
      </c>
      <c r="R344" s="495">
        <f>R339-M339</f>
        <v/>
      </c>
      <c r="S344" s="495">
        <f>S339-N339</f>
        <v/>
      </c>
      <c r="T344" s="495">
        <f>T339-O339</f>
        <v/>
      </c>
      <c r="U344" s="248">
        <f>U339-P339</f>
        <v/>
      </c>
      <c r="V344" s="495">
        <f>V339-Q339</f>
        <v/>
      </c>
      <c r="W344" s="495">
        <f>W339-R339</f>
        <v/>
      </c>
      <c r="X344" s="495">
        <f>X339-S339</f>
        <v/>
      </c>
      <c r="Y344" s="495">
        <f>Y339-T339</f>
        <v/>
      </c>
      <c r="Z344" s="248">
        <f>Z339-U339</f>
        <v/>
      </c>
      <c r="AA344" s="495">
        <f>AA339-V339</f>
        <v/>
      </c>
      <c r="AB344" s="495">
        <f>AB339-W339</f>
        <v/>
      </c>
      <c r="AC344" s="495">
        <f>AC339-X339</f>
        <v/>
      </c>
      <c r="AD344" s="495">
        <f>AD339-Y339</f>
        <v/>
      </c>
      <c r="AE344" s="248">
        <f>AE339-Z339</f>
        <v/>
      </c>
      <c r="AF344" s="495">
        <f>AF339-AA339</f>
        <v/>
      </c>
      <c r="AG344" s="495">
        <f>AG339-AB339</f>
        <v/>
      </c>
      <c r="AH344" s="495">
        <f>AH339-AC339</f>
        <v/>
      </c>
      <c r="AI344" s="495">
        <f>AI339-AD339</f>
        <v/>
      </c>
      <c r="AJ344" s="248">
        <f>AJ339-AE339</f>
        <v/>
      </c>
      <c r="AK344" s="495">
        <f>AK339-AF339</f>
        <v/>
      </c>
      <c r="AL344" s="312">
        <f>AL339-AG339</f>
        <v/>
      </c>
      <c r="AM344" s="249" t="n"/>
      <c r="AN344" s="249" t="n"/>
      <c r="AO344" s="248" t="n"/>
      <c r="AP344" s="249" t="n"/>
      <c r="AQ344" s="249" t="n"/>
      <c r="AR344" s="249" t="n"/>
      <c r="AS344" s="249" t="n"/>
      <c r="AT344" s="248" t="n"/>
      <c r="AU344" s="250" t="n"/>
      <c r="AV344" s="250" t="n"/>
      <c r="AW344" s="250" t="n"/>
      <c r="AX344" s="25" t="n"/>
    </row>
    <row r="345" customFormat="1" s="16">
      <c r="A345" s="246" t="inlineStr">
        <is>
          <t>Inventories, Y/Y Change, %</t>
        </is>
      </c>
      <c r="B345" s="247" t="n"/>
      <c r="C345" s="248" t="n"/>
      <c r="D345" s="248">
        <f>D340-C340</f>
        <v/>
      </c>
      <c r="E345" s="248">
        <f>E340-D340</f>
        <v/>
      </c>
      <c r="F345" s="248">
        <f>F340-E340</f>
        <v/>
      </c>
      <c r="G345" s="495" t="n"/>
      <c r="H345" s="495" t="n"/>
      <c r="I345" s="495" t="n"/>
      <c r="J345" s="495" t="n"/>
      <c r="K345" s="248">
        <f>K340-F340</f>
        <v/>
      </c>
      <c r="L345" s="495" t="n"/>
      <c r="M345" s="495" t="n"/>
      <c r="N345" s="495" t="n"/>
      <c r="O345" s="495" t="n"/>
      <c r="P345" s="248">
        <f>P340-K340</f>
        <v/>
      </c>
      <c r="Q345" s="495">
        <f>Q340-L340</f>
        <v/>
      </c>
      <c r="R345" s="495">
        <f>R340-M340</f>
        <v/>
      </c>
      <c r="S345" s="495">
        <f>S340-N340</f>
        <v/>
      </c>
      <c r="T345" s="495">
        <f>T340-O340</f>
        <v/>
      </c>
      <c r="U345" s="248">
        <f>U340-P340</f>
        <v/>
      </c>
      <c r="V345" s="495">
        <f>V340-Q340</f>
        <v/>
      </c>
      <c r="W345" s="495">
        <f>W340-R340</f>
        <v/>
      </c>
      <c r="X345" s="495">
        <f>X340-S340</f>
        <v/>
      </c>
      <c r="Y345" s="495">
        <f>Y340-T340</f>
        <v/>
      </c>
      <c r="Z345" s="248">
        <f>Z340-U340</f>
        <v/>
      </c>
      <c r="AA345" s="495">
        <f>AA340-V340</f>
        <v/>
      </c>
      <c r="AB345" s="495">
        <f>AB340-W340</f>
        <v/>
      </c>
      <c r="AC345" s="495">
        <f>AC340-X340</f>
        <v/>
      </c>
      <c r="AD345" s="495">
        <f>AD340-Y340</f>
        <v/>
      </c>
      <c r="AE345" s="248">
        <f>AE340-Z340</f>
        <v/>
      </c>
      <c r="AF345" s="495">
        <f>AF340-AA340</f>
        <v/>
      </c>
      <c r="AG345" s="495">
        <f>AG340-AB340</f>
        <v/>
      </c>
      <c r="AH345" s="495">
        <f>AH340-AC340</f>
        <v/>
      </c>
      <c r="AI345" s="495">
        <f>AI340-AD340</f>
        <v/>
      </c>
      <c r="AJ345" s="248">
        <f>AJ340-AE340</f>
        <v/>
      </c>
      <c r="AK345" s="495">
        <f>AK340-AF340</f>
        <v/>
      </c>
      <c r="AL345" s="312">
        <f>AL340-AG340</f>
        <v/>
      </c>
      <c r="AM345" s="249" t="n"/>
      <c r="AN345" s="249" t="n"/>
      <c r="AO345" s="248" t="n"/>
      <c r="AP345" s="249" t="n"/>
      <c r="AQ345" s="249" t="n"/>
      <c r="AR345" s="249" t="n"/>
      <c r="AS345" s="249" t="n"/>
      <c r="AT345" s="248" t="n"/>
      <c r="AU345" s="250" t="n"/>
      <c r="AV345" s="250" t="n"/>
      <c r="AW345" s="250" t="n"/>
      <c r="AX345" s="25" t="n"/>
    </row>
    <row r="346" customFormat="1" s="16">
      <c r="A346" s="246" t="inlineStr">
        <is>
          <t>Accounts payable, Y/Y Change, %</t>
        </is>
      </c>
      <c r="B346" s="247" t="n"/>
      <c r="C346" s="248" t="n"/>
      <c r="D346" s="248">
        <f>D341-C341</f>
        <v/>
      </c>
      <c r="E346" s="248">
        <f>E341-D341</f>
        <v/>
      </c>
      <c r="F346" s="248">
        <f>F341-E341</f>
        <v/>
      </c>
      <c r="G346" s="495" t="n"/>
      <c r="H346" s="495" t="n"/>
      <c r="I346" s="495" t="n"/>
      <c r="J346" s="495" t="n"/>
      <c r="K346" s="248">
        <f>K341-F341</f>
        <v/>
      </c>
      <c r="L346" s="495" t="n"/>
      <c r="M346" s="495" t="n"/>
      <c r="N346" s="495" t="n"/>
      <c r="O346" s="495" t="n"/>
      <c r="P346" s="248">
        <f>P341-K341</f>
        <v/>
      </c>
      <c r="Q346" s="495">
        <f>Q341-L341</f>
        <v/>
      </c>
      <c r="R346" s="495">
        <f>R341-M341</f>
        <v/>
      </c>
      <c r="S346" s="495">
        <f>S341-N341</f>
        <v/>
      </c>
      <c r="T346" s="495">
        <f>T341-O341</f>
        <v/>
      </c>
      <c r="U346" s="248">
        <f>U341-P341</f>
        <v/>
      </c>
      <c r="V346" s="495">
        <f>V341-Q341</f>
        <v/>
      </c>
      <c r="W346" s="495">
        <f>W341-R341</f>
        <v/>
      </c>
      <c r="X346" s="495">
        <f>X341-S341</f>
        <v/>
      </c>
      <c r="Y346" s="495">
        <f>Y341-T341</f>
        <v/>
      </c>
      <c r="Z346" s="248">
        <f>Z341-U341</f>
        <v/>
      </c>
      <c r="AA346" s="495">
        <f>AA341-V341</f>
        <v/>
      </c>
      <c r="AB346" s="495">
        <f>AB341-W341</f>
        <v/>
      </c>
      <c r="AC346" s="495">
        <f>AC341-X341</f>
        <v/>
      </c>
      <c r="AD346" s="495">
        <f>AD341-Y341</f>
        <v/>
      </c>
      <c r="AE346" s="248">
        <f>AE341-Z341</f>
        <v/>
      </c>
      <c r="AF346" s="495">
        <f>AF341-AA341</f>
        <v/>
      </c>
      <c r="AG346" s="495">
        <f>AG341-AB341</f>
        <v/>
      </c>
      <c r="AH346" s="495">
        <f>AH341-AC341</f>
        <v/>
      </c>
      <c r="AI346" s="495">
        <f>AI341-AD341</f>
        <v/>
      </c>
      <c r="AJ346" s="248">
        <f>AJ341-AE341</f>
        <v/>
      </c>
      <c r="AK346" s="495">
        <f>AK341-AF341</f>
        <v/>
      </c>
      <c r="AL346" s="312">
        <f>AL341-AG341</f>
        <v/>
      </c>
      <c r="AM346" s="249" t="n"/>
      <c r="AN346" s="249" t="n"/>
      <c r="AO346" s="248" t="n"/>
      <c r="AP346" s="249" t="n"/>
      <c r="AQ346" s="249" t="n"/>
      <c r="AR346" s="249" t="n"/>
      <c r="AS346" s="249" t="n"/>
      <c r="AT346" s="248" t="n"/>
      <c r="AU346" s="250" t="n"/>
      <c r="AV346" s="250" t="n"/>
      <c r="AW346" s="250" t="n"/>
      <c r="AX346" s="25" t="n"/>
    </row>
    <row r="347" customFormat="1" s="16">
      <c r="A347" s="246" t="inlineStr">
        <is>
          <t>Accrued liabilities, Y/Y Change, %</t>
        </is>
      </c>
      <c r="B347" s="247" t="n"/>
      <c r="C347" s="248" t="n"/>
      <c r="D347" s="248">
        <f>D342-C342</f>
        <v/>
      </c>
      <c r="E347" s="248">
        <f>E342-D342</f>
        <v/>
      </c>
      <c r="F347" s="248">
        <f>F342-E342</f>
        <v/>
      </c>
      <c r="G347" s="495" t="n"/>
      <c r="H347" s="495" t="n"/>
      <c r="I347" s="495" t="n"/>
      <c r="J347" s="495" t="n"/>
      <c r="K347" s="248">
        <f>K342-F342</f>
        <v/>
      </c>
      <c r="L347" s="495" t="n"/>
      <c r="M347" s="495" t="n"/>
      <c r="N347" s="495" t="n"/>
      <c r="O347" s="495" t="n"/>
      <c r="P347" s="248">
        <f>P342-K342</f>
        <v/>
      </c>
      <c r="Q347" s="495">
        <f>Q342-L342</f>
        <v/>
      </c>
      <c r="R347" s="495">
        <f>R342-M342</f>
        <v/>
      </c>
      <c r="S347" s="495">
        <f>S342-N342</f>
        <v/>
      </c>
      <c r="T347" s="495">
        <f>T342-O342</f>
        <v/>
      </c>
      <c r="U347" s="248">
        <f>U342-P342</f>
        <v/>
      </c>
      <c r="V347" s="495">
        <f>V342-Q342</f>
        <v/>
      </c>
      <c r="W347" s="495">
        <f>W342-R342</f>
        <v/>
      </c>
      <c r="X347" s="495">
        <f>X342-S342</f>
        <v/>
      </c>
      <c r="Y347" s="495">
        <f>Y342-T342</f>
        <v/>
      </c>
      <c r="Z347" s="248">
        <f>Z342-U342</f>
        <v/>
      </c>
      <c r="AA347" s="495">
        <f>AA342-V342</f>
        <v/>
      </c>
      <c r="AB347" s="495">
        <f>AB342-W342</f>
        <v/>
      </c>
      <c r="AC347" s="495">
        <f>AC342-X342</f>
        <v/>
      </c>
      <c r="AD347" s="495">
        <f>AD342-Y342</f>
        <v/>
      </c>
      <c r="AE347" s="248">
        <f>AE342-Z342</f>
        <v/>
      </c>
      <c r="AF347" s="495">
        <f>AF342-AA342</f>
        <v/>
      </c>
      <c r="AG347" s="495">
        <f>AG342-AB342</f>
        <v/>
      </c>
      <c r="AH347" s="495">
        <f>AH342-AC342</f>
        <v/>
      </c>
      <c r="AI347" s="495">
        <f>AI342-AD342</f>
        <v/>
      </c>
      <c r="AJ347" s="248">
        <f>AJ342-AE342</f>
        <v/>
      </c>
      <c r="AK347" s="495">
        <f>AK342-AF342</f>
        <v/>
      </c>
      <c r="AL347" s="312">
        <f>AL342-AG342</f>
        <v/>
      </c>
      <c r="AM347" s="249" t="n"/>
      <c r="AN347" s="249" t="n"/>
      <c r="AO347" s="248" t="n"/>
      <c r="AP347" s="249" t="n"/>
      <c r="AQ347" s="249" t="n"/>
      <c r="AR347" s="249" t="n"/>
      <c r="AS347" s="249" t="n"/>
      <c r="AT347" s="248" t="n"/>
      <c r="AU347" s="250" t="n"/>
      <c r="AV347" s="250" t="n"/>
      <c r="AW347" s="250" t="n"/>
      <c r="AX347" s="25" t="n"/>
    </row>
    <row r="348" customFormat="1" s="9">
      <c r="A348" s="496" t="n"/>
      <c r="B348" s="497" t="n"/>
      <c r="C348" s="243" t="n"/>
      <c r="D348" s="243" t="n"/>
      <c r="E348" s="243" t="n"/>
      <c r="F348" s="243" t="n"/>
      <c r="G348" s="244" t="n"/>
      <c r="H348" s="244" t="n"/>
      <c r="I348" s="244" t="n"/>
      <c r="J348" s="244" t="n"/>
      <c r="K348" s="243" t="n"/>
      <c r="L348" s="244" t="n"/>
      <c r="M348" s="244" t="n"/>
      <c r="N348" s="244" t="n"/>
      <c r="O348" s="244" t="n"/>
      <c r="P348" s="243" t="n"/>
      <c r="Q348" s="244" t="n"/>
      <c r="R348" s="244" t="n"/>
      <c r="S348" s="244" t="n"/>
      <c r="T348" s="244" t="n"/>
      <c r="U348" s="243" t="n"/>
      <c r="V348" s="244" t="n"/>
      <c r="W348" s="244" t="n"/>
      <c r="X348" s="244" t="n"/>
      <c r="Y348" s="244" t="n"/>
      <c r="Z348" s="243" t="n"/>
      <c r="AA348" s="244" t="n"/>
      <c r="AB348" s="244" t="n"/>
      <c r="AC348" s="244" t="n"/>
      <c r="AD348" s="244" t="n"/>
      <c r="AE348" s="243" t="n"/>
      <c r="AF348" s="244" t="n"/>
      <c r="AG348" s="244" t="n"/>
      <c r="AH348" s="244" t="n"/>
      <c r="AI348" s="244" t="n"/>
      <c r="AJ348" s="243" t="n"/>
      <c r="AK348" s="244" t="n"/>
      <c r="AL348" s="313" t="n"/>
      <c r="AM348" s="244" t="n"/>
      <c r="AN348" s="244" t="n"/>
      <c r="AO348" s="243" t="n"/>
      <c r="AP348" s="244" t="n"/>
      <c r="AQ348" s="244" t="n"/>
      <c r="AR348" s="244" t="n"/>
      <c r="AS348" s="244" t="n"/>
      <c r="AT348" s="243" t="n"/>
      <c r="AU348" s="243" t="n"/>
      <c r="AV348" s="243" t="n"/>
      <c r="AW348" s="243" t="n"/>
      <c r="AX348" s="22" t="n"/>
    </row>
    <row r="349" customFormat="1" s="9">
      <c r="A349" s="45" t="inlineStr">
        <is>
          <t>Balance Sheet</t>
        </is>
      </c>
      <c r="B349" s="45" t="n"/>
      <c r="C349" s="45" t="n"/>
      <c r="D349" s="45" t="n"/>
      <c r="E349" s="45" t="n"/>
      <c r="F349" s="45" t="n"/>
      <c r="G349" s="45" t="n"/>
      <c r="H349" s="45" t="n"/>
      <c r="I349" s="45" t="n"/>
      <c r="J349" s="45" t="n"/>
      <c r="K349" s="45" t="n"/>
      <c r="L349" s="45" t="n"/>
      <c r="M349" s="45" t="n"/>
      <c r="N349" s="45" t="n"/>
      <c r="O349" s="45" t="n"/>
      <c r="P349" s="45" t="n"/>
      <c r="Q349" s="45" t="n"/>
      <c r="R349" s="45" t="n"/>
      <c r="S349" s="45" t="n"/>
      <c r="T349" s="45" t="n"/>
      <c r="U349" s="45" t="n"/>
      <c r="V349" s="45" t="n"/>
      <c r="W349" s="45" t="n"/>
      <c r="X349" s="45" t="n"/>
      <c r="Y349" s="45" t="n"/>
      <c r="Z349" s="45" t="n"/>
      <c r="AA349" s="45" t="n"/>
      <c r="AB349" s="45" t="n"/>
      <c r="AC349" s="45" t="n"/>
      <c r="AD349" s="45" t="n"/>
      <c r="AE349" s="45" t="n"/>
      <c r="AF349" s="45" t="n"/>
      <c r="AG349" s="45" t="n"/>
      <c r="AH349" s="45" t="n"/>
      <c r="AI349" s="45" t="n"/>
      <c r="AJ349" s="45" t="n"/>
      <c r="AK349" s="45" t="n"/>
      <c r="AL349" s="306" t="n"/>
      <c r="AM349" s="45" t="n"/>
      <c r="AN349" s="45" t="n"/>
      <c r="AO349" s="45" t="n"/>
      <c r="AP349" s="45" t="n"/>
      <c r="AQ349" s="45" t="n"/>
      <c r="AR349" s="45" t="n"/>
      <c r="AS349" s="45" t="n"/>
      <c r="AT349" s="45" t="n"/>
      <c r="AU349" s="45" t="n"/>
      <c r="AV349" s="45" t="n"/>
      <c r="AW349" s="45" t="n"/>
      <c r="AX349" s="22" t="n"/>
    </row>
    <row r="350" customFormat="1" s="9">
      <c r="A350" s="35" t="inlineStr">
        <is>
          <t>Current Assets</t>
        </is>
      </c>
      <c r="B350" s="103" t="n"/>
      <c r="C350" s="4" t="n"/>
      <c r="D350" s="4" t="n"/>
      <c r="E350" s="4" t="n"/>
      <c r="F350" s="4" t="n"/>
      <c r="G350" s="22" t="n"/>
      <c r="H350" s="22" t="n"/>
      <c r="I350" s="22" t="n"/>
      <c r="J350" s="22" t="n"/>
      <c r="K350" s="4" t="n"/>
      <c r="L350" s="22" t="n"/>
      <c r="M350" s="22" t="n"/>
      <c r="N350" s="22" t="n"/>
      <c r="O350" s="22" t="n"/>
      <c r="P350" s="4" t="n"/>
      <c r="Q350" s="22" t="n"/>
      <c r="R350" s="22" t="n"/>
      <c r="S350" s="22" t="n"/>
      <c r="T350" s="22" t="n"/>
      <c r="U350" s="4" t="n"/>
      <c r="V350" s="22" t="n"/>
      <c r="W350" s="22" t="n"/>
      <c r="X350" s="22" t="n"/>
      <c r="Y350" s="22" t="n"/>
      <c r="Z350" s="4" t="n"/>
      <c r="AA350" s="22" t="n"/>
      <c r="AB350" s="22" t="n"/>
      <c r="AC350" s="22" t="n"/>
      <c r="AD350" s="22" t="n"/>
      <c r="AE350" s="4" t="n"/>
      <c r="AF350" s="22" t="n"/>
      <c r="AG350" s="22" t="n"/>
      <c r="AH350" s="22" t="n"/>
      <c r="AI350" s="22" t="n"/>
      <c r="AJ350" s="4" t="n"/>
      <c r="AK350" s="22" t="n"/>
      <c r="AL350" s="308" t="n"/>
      <c r="AM350" s="22" t="n"/>
      <c r="AN350" s="22" t="n"/>
      <c r="AO350" s="4" t="n"/>
      <c r="AP350" s="22" t="n"/>
      <c r="AQ350" s="22" t="n"/>
      <c r="AR350" s="22" t="n"/>
      <c r="AS350" s="22" t="n"/>
      <c r="AT350" s="4" t="n"/>
      <c r="AU350" s="4" t="n"/>
      <c r="AV350" s="4" t="n"/>
      <c r="AW350" s="4" t="n"/>
      <c r="AX350" s="22" t="n"/>
    </row>
    <row r="351" customFormat="1" s="5">
      <c r="A351" s="36" t="inlineStr">
        <is>
          <t>Cash and cash equivalents</t>
        </is>
      </c>
      <c r="B351" s="376" t="n"/>
      <c r="C351" s="343" t="n">
        <v>43.64</v>
      </c>
      <c r="D351" s="343" t="n">
        <v>107.994</v>
      </c>
      <c r="E351" s="343" t="n">
        <v>181.258</v>
      </c>
      <c r="F351" s="343" t="n">
        <v>117.054</v>
      </c>
      <c r="G351" s="228" t="n">
        <v>126.259</v>
      </c>
      <c r="H351" s="228" t="n">
        <v>126.48</v>
      </c>
      <c r="I351" s="228" t="n">
        <v>37.878</v>
      </c>
      <c r="J351" s="228">
        <f>K351</f>
        <v/>
      </c>
      <c r="K351" s="343" t="n">
        <v>63.164</v>
      </c>
      <c r="L351" s="228" t="n">
        <v>48.014</v>
      </c>
      <c r="M351" s="228" t="n">
        <v>44.022</v>
      </c>
      <c r="N351" s="228" t="n">
        <v>54.852</v>
      </c>
      <c r="O351" s="228">
        <f>P351</f>
        <v/>
      </c>
      <c r="P351" s="343" t="n">
        <v>51.326</v>
      </c>
      <c r="Q351" s="228" t="n">
        <v>61.656</v>
      </c>
      <c r="R351" s="228" t="n">
        <v>68.203</v>
      </c>
      <c r="S351" s="228" t="n">
        <v>140.511</v>
      </c>
      <c r="T351" s="228">
        <f>U351</f>
        <v/>
      </c>
      <c r="U351" s="343" t="n">
        <v>263.199</v>
      </c>
      <c r="V351" s="228" t="n">
        <v>117.912</v>
      </c>
      <c r="W351" s="228" t="n">
        <v>63.501</v>
      </c>
      <c r="X351" s="228" t="n">
        <v>55.455</v>
      </c>
      <c r="Y351" s="93">
        <f>Z351</f>
        <v/>
      </c>
      <c r="Z351" s="344" t="n">
        <v>56.78</v>
      </c>
      <c r="AA351" s="228" t="n">
        <v>58.357</v>
      </c>
      <c r="AB351" s="228" t="n">
        <v>55.722</v>
      </c>
      <c r="AC351" s="228" t="n">
        <v>58.416</v>
      </c>
      <c r="AD351" s="93">
        <f>AE351</f>
        <v/>
      </c>
      <c r="AE351" s="344" t="n">
        <v>62.473</v>
      </c>
      <c r="AF351" s="228" t="n">
        <v>90.578</v>
      </c>
      <c r="AG351" s="228" t="n">
        <v>63.422</v>
      </c>
      <c r="AH351" s="228" t="n">
        <v>64.248</v>
      </c>
      <c r="AI351" s="93">
        <f>AJ351</f>
        <v/>
      </c>
      <c r="AJ351" s="344" t="n">
        <v>56.766</v>
      </c>
      <c r="AK351" s="228" t="n">
        <v>75.352</v>
      </c>
      <c r="AL351" s="322" t="n">
        <v>53.782</v>
      </c>
      <c r="AM351" s="93" t="n"/>
      <c r="AN351" s="93" t="n"/>
      <c r="AO351" s="344" t="n"/>
      <c r="AP351" s="93" t="n"/>
      <c r="AQ351" s="93" t="n"/>
      <c r="AR351" s="93" t="n"/>
      <c r="AS351" s="93" t="n"/>
      <c r="AT351" s="344" t="n"/>
      <c r="AU351" s="344" t="n"/>
      <c r="AV351" s="344" t="n"/>
      <c r="AW351" s="344" t="n"/>
      <c r="AX351" s="228" t="n"/>
    </row>
    <row r="352" customFormat="1" s="5">
      <c r="A352" s="36" t="inlineStr">
        <is>
          <t>Short-term investments</t>
        </is>
      </c>
      <c r="B352" s="376" t="n"/>
      <c r="C352" s="343" t="n">
        <v>166.357</v>
      </c>
      <c r="D352" s="343" t="n">
        <v>141.959</v>
      </c>
      <c r="E352" s="343" t="n">
        <v>52.373</v>
      </c>
      <c r="F352" s="343" t="n">
        <v>302.593</v>
      </c>
      <c r="G352" s="228" t="n">
        <v>269.935</v>
      </c>
      <c r="H352" s="228" t="n">
        <v>231.062</v>
      </c>
      <c r="I352" s="228" t="n">
        <v>257.672</v>
      </c>
      <c r="J352" s="228">
        <f>K352</f>
        <v/>
      </c>
      <c r="K352" s="343" t="n">
        <v>263.528</v>
      </c>
      <c r="L352" s="228" t="n">
        <v>288.466</v>
      </c>
      <c r="M352" s="228" t="n">
        <v>296.051</v>
      </c>
      <c r="N352" s="228" t="n">
        <v>295.795</v>
      </c>
      <c r="O352" s="228">
        <f>P352</f>
        <v/>
      </c>
      <c r="P352" s="343" t="n">
        <v>334.038</v>
      </c>
      <c r="Q352" s="228" t="n">
        <v>367.468</v>
      </c>
      <c r="R352" s="228" t="n">
        <v>395.344</v>
      </c>
      <c r="S352" s="228" t="n">
        <v>345.091</v>
      </c>
      <c r="T352" s="228">
        <f>U352</f>
        <v/>
      </c>
      <c r="U352" s="343" t="n">
        <v>247.314</v>
      </c>
      <c r="V352" s="228" t="n">
        <v>143.926</v>
      </c>
      <c r="W352" s="228" t="n">
        <v>212.954</v>
      </c>
      <c r="X352" s="228" t="n">
        <v>236.934</v>
      </c>
      <c r="Y352" s="93">
        <f>Z352</f>
        <v/>
      </c>
      <c r="Z352" s="344" t="n">
        <v>271.661</v>
      </c>
      <c r="AA352" s="228" t="n">
        <v>266.833</v>
      </c>
      <c r="AB352" s="228" t="n">
        <v>254.545</v>
      </c>
      <c r="AC352" s="228" t="n">
        <v>287.743</v>
      </c>
      <c r="AD352" s="93">
        <f>AE352</f>
        <v/>
      </c>
      <c r="AE352" s="344" t="n">
        <v>211.281</v>
      </c>
      <c r="AF352" s="228" t="n">
        <v>195.726</v>
      </c>
      <c r="AG352" s="228" t="n">
        <v>219.225</v>
      </c>
      <c r="AH352" s="228" t="n">
        <v>285.955</v>
      </c>
      <c r="AI352" s="93">
        <f>AJ352</f>
        <v/>
      </c>
      <c r="AJ352" s="344" t="n">
        <v>381.724</v>
      </c>
      <c r="AK352" s="228" t="n">
        <v>477.211</v>
      </c>
      <c r="AL352" s="322" t="n">
        <v>556.806</v>
      </c>
      <c r="AM352" s="93" t="n"/>
      <c r="AN352" s="93" t="n"/>
      <c r="AO352" s="344" t="n"/>
      <c r="AP352" s="93" t="n"/>
      <c r="AQ352" s="93" t="n"/>
      <c r="AR352" s="93" t="n"/>
      <c r="AS352" s="93" t="n"/>
      <c r="AT352" s="344" t="n"/>
      <c r="AU352" s="344" t="n"/>
      <c r="AV352" s="344" t="n"/>
      <c r="AW352" s="344" t="n"/>
      <c r="AX352" s="228" t="n"/>
    </row>
    <row r="353" customFormat="1" s="5">
      <c r="A353" s="36" t="inlineStr">
        <is>
          <t>Restricted cash</t>
        </is>
      </c>
      <c r="B353" s="376" t="n"/>
      <c r="C353" s="343" t="n">
        <v>3.16</v>
      </c>
      <c r="D353" s="343" t="n">
        <v>3.353</v>
      </c>
      <c r="E353" s="343" t="n">
        <v>4.452</v>
      </c>
      <c r="F353" s="343" t="n">
        <v>3.229</v>
      </c>
      <c r="G353" s="228" t="n">
        <v>3.316</v>
      </c>
      <c r="H353" s="228" t="n">
        <v>50.356</v>
      </c>
      <c r="I353" s="228" t="n">
        <v>3.527</v>
      </c>
      <c r="J353" s="228">
        <f>K353</f>
        <v/>
      </c>
      <c r="K353" s="343" t="n"/>
      <c r="L353" s="228" t="n"/>
      <c r="M353" s="228" t="n"/>
      <c r="N353" s="228" t="n">
        <v>3.604</v>
      </c>
      <c r="O353" s="228">
        <f>P353</f>
        <v/>
      </c>
      <c r="P353" s="343" t="n">
        <v>3.604</v>
      </c>
      <c r="Q353" s="228" t="n">
        <v>3.604</v>
      </c>
      <c r="R353" s="228" t="n">
        <v>3.604</v>
      </c>
      <c r="S353" s="228" t="n"/>
      <c r="T353" s="228">
        <f>U353</f>
        <v/>
      </c>
      <c r="U353" s="343" t="n">
        <v>0</v>
      </c>
      <c r="V353" s="228" t="n"/>
      <c r="W353" s="228" t="n">
        <v>0</v>
      </c>
      <c r="X353" s="228" t="n">
        <v>0</v>
      </c>
      <c r="Y353" s="93">
        <f>Z353</f>
        <v/>
      </c>
      <c r="Z353" s="344" t="n">
        <v>0</v>
      </c>
      <c r="AA353" s="228" t="n"/>
      <c r="AB353" s="228" t="n"/>
      <c r="AC353" s="228" t="n"/>
      <c r="AD353" s="93">
        <f>AE353</f>
        <v/>
      </c>
      <c r="AE353" s="344" t="n"/>
      <c r="AF353" s="228" t="n"/>
      <c r="AG353" s="228" t="n"/>
      <c r="AH353" s="228" t="n"/>
      <c r="AI353" s="93">
        <f>AJ353</f>
        <v/>
      </c>
      <c r="AJ353" s="344" t="n"/>
      <c r="AK353" s="228" t="n"/>
      <c r="AL353" s="322" t="n"/>
      <c r="AM353" s="93" t="n"/>
      <c r="AN353" s="93" t="n"/>
      <c r="AO353" s="344" t="n"/>
      <c r="AP353" s="93" t="n"/>
      <c r="AQ353" s="93" t="n"/>
      <c r="AR353" s="93" t="n"/>
      <c r="AS353" s="93" t="n"/>
      <c r="AT353" s="344" t="n"/>
      <c r="AU353" s="344" t="n"/>
      <c r="AV353" s="344" t="n"/>
      <c r="AW353" s="344" t="n"/>
      <c r="AX353" s="228" t="n"/>
    </row>
    <row r="354" customFormat="1" s="5">
      <c r="A354" s="36" t="inlineStr">
        <is>
          <t>Accounts receivable, net</t>
        </is>
      </c>
      <c r="B354" s="376" t="n"/>
      <c r="C354" s="343" t="n">
        <v>20.418</v>
      </c>
      <c r="D354" s="343" t="n">
        <v>19.893</v>
      </c>
      <c r="E354" s="343" t="n">
        <v>48.215</v>
      </c>
      <c r="F354" s="343" t="n">
        <v>56.8</v>
      </c>
      <c r="G354" s="228" t="n">
        <v>59.145</v>
      </c>
      <c r="H354" s="228" t="n">
        <v>67.602</v>
      </c>
      <c r="I354" s="228" t="n">
        <v>73.833</v>
      </c>
      <c r="J354" s="228">
        <f>K354</f>
        <v/>
      </c>
      <c r="K354" s="343" t="n">
        <v>69.48</v>
      </c>
      <c r="L354" s="228" t="n">
        <v>65.09399999999999</v>
      </c>
      <c r="M354" s="228" t="n">
        <v>69.361</v>
      </c>
      <c r="N354" s="228" t="n">
        <v>72.959</v>
      </c>
      <c r="O354" s="228">
        <f>P354</f>
        <v/>
      </c>
      <c r="P354" s="343" t="n">
        <v>64.922</v>
      </c>
      <c r="Q354" s="228" t="n">
        <v>55.917</v>
      </c>
      <c r="R354" s="228" t="n">
        <v>61.004</v>
      </c>
      <c r="S354" s="228" t="n">
        <v>64.693</v>
      </c>
      <c r="T354" s="228">
        <f>U354</f>
        <v/>
      </c>
      <c r="U354" s="343" t="n">
        <v>84.273</v>
      </c>
      <c r="V354" s="228" t="n">
        <v>105.114</v>
      </c>
      <c r="W354" s="228" t="n">
        <v>117.323</v>
      </c>
      <c r="X354" s="228" t="n">
        <v>133.135</v>
      </c>
      <c r="Y354" s="93">
        <f>Z354</f>
        <v/>
      </c>
      <c r="Z354" s="344" t="n">
        <v>141.768</v>
      </c>
      <c r="AA354" s="228" t="n">
        <v>126.236</v>
      </c>
      <c r="AB354" s="228" t="n">
        <v>149.548</v>
      </c>
      <c r="AC354" s="228" t="n">
        <v>133.618</v>
      </c>
      <c r="AD354" s="93">
        <f>AE354</f>
        <v/>
      </c>
      <c r="AE354" s="344" t="n">
        <v>154.213</v>
      </c>
      <c r="AF354" s="228" t="n">
        <v>142.897</v>
      </c>
      <c r="AG354" s="228" t="n">
        <v>155.664</v>
      </c>
      <c r="AH354" s="228" t="n">
        <v>142.772</v>
      </c>
      <c r="AI354" s="93">
        <f>AJ354</f>
        <v/>
      </c>
      <c r="AJ354" s="344" t="n">
        <v>150.625</v>
      </c>
      <c r="AK354" s="228" t="n">
        <v>171.718</v>
      </c>
      <c r="AL354" s="322" t="n">
        <v>200.351</v>
      </c>
      <c r="AM354" s="93" t="n"/>
      <c r="AN354" s="93" t="n"/>
      <c r="AO354" s="344" t="n"/>
      <c r="AP354" s="93" t="n"/>
      <c r="AQ354" s="93" t="n"/>
      <c r="AR354" s="93" t="n"/>
      <c r="AS354" s="93" t="n"/>
      <c r="AT354" s="344" t="n"/>
      <c r="AU354" s="344" t="n"/>
      <c r="AV354" s="344" t="n"/>
      <c r="AW354" s="344" t="n"/>
      <c r="AX354" s="228" t="n"/>
    </row>
    <row r="355" customFormat="1" s="5">
      <c r="A355" s="36" t="inlineStr">
        <is>
          <t>Inventories</t>
        </is>
      </c>
      <c r="B355" s="376" t="n"/>
      <c r="C355" s="343" t="n">
        <v>9.327999999999999</v>
      </c>
      <c r="D355" s="343" t="n">
        <v>11.717</v>
      </c>
      <c r="E355" s="343" t="n">
        <v>24.955</v>
      </c>
      <c r="F355" s="343" t="n">
        <v>43.318</v>
      </c>
      <c r="G355" s="228" t="n">
        <v>45.672</v>
      </c>
      <c r="H355" s="228" t="n">
        <v>36.485</v>
      </c>
      <c r="I355" s="228" t="n">
        <v>32.47</v>
      </c>
      <c r="J355" s="228">
        <f>K355</f>
        <v/>
      </c>
      <c r="K355" s="343" t="n">
        <v>36.47</v>
      </c>
      <c r="L355" s="228" t="n">
        <v>38.766</v>
      </c>
      <c r="M355" s="228" t="n">
        <v>37.092</v>
      </c>
      <c r="N355" s="228" t="n">
        <v>39.326</v>
      </c>
      <c r="O355" s="228">
        <f>P355</f>
        <v/>
      </c>
      <c r="P355" s="343" t="n">
        <v>44.47</v>
      </c>
      <c r="Q355" s="228" t="n">
        <v>50.949</v>
      </c>
      <c r="R355" s="228" t="n">
        <v>62.805</v>
      </c>
      <c r="S355" s="228" t="n">
        <v>63.111</v>
      </c>
      <c r="T355" s="228">
        <f>U355</f>
        <v/>
      </c>
      <c r="U355" s="343" t="n">
        <v>62.473</v>
      </c>
      <c r="V355" s="228" t="n">
        <v>72.271</v>
      </c>
      <c r="W355" s="228" t="n">
        <v>64.651</v>
      </c>
      <c r="X355" s="228" t="n">
        <v>61.91</v>
      </c>
      <c r="Y355" s="93">
        <f>Z355</f>
        <v/>
      </c>
      <c r="Z355" s="344" t="n">
        <v>65.523</v>
      </c>
      <c r="AA355" s="228" t="n">
        <v>75.34699999999999</v>
      </c>
      <c r="AB355" s="228" t="n">
        <v>71.961</v>
      </c>
      <c r="AC355" s="228" t="n">
        <v>61.609</v>
      </c>
      <c r="AD355" s="93">
        <f>AE355</f>
        <v/>
      </c>
      <c r="AE355" s="344" t="n">
        <v>64.657</v>
      </c>
      <c r="AF355" s="228" t="n">
        <v>69.886</v>
      </c>
      <c r="AG355" s="228" t="n">
        <v>94.48399999999999</v>
      </c>
      <c r="AH355" s="228" t="n">
        <v>105.049</v>
      </c>
      <c r="AI355" s="93">
        <f>AJ355</f>
        <v/>
      </c>
      <c r="AJ355" s="344" t="n">
        <v>104.381</v>
      </c>
      <c r="AK355" s="228" t="n">
        <v>95.65600000000001</v>
      </c>
      <c r="AL355" s="322" t="n">
        <v>89.65000000000001</v>
      </c>
      <c r="AM355" s="93" t="n"/>
      <c r="AN355" s="93" t="n"/>
      <c r="AO355" s="344" t="n"/>
      <c r="AP355" s="93" t="n"/>
      <c r="AQ355" s="93" t="n"/>
      <c r="AR355" s="93" t="n"/>
      <c r="AS355" s="93" t="n"/>
      <c r="AT355" s="344" t="n"/>
      <c r="AU355" s="344" t="n"/>
      <c r="AV355" s="344" t="n"/>
      <c r="AW355" s="344" t="n"/>
      <c r="AX355" s="228" t="n"/>
    </row>
    <row r="356" customFormat="1" s="5">
      <c r="A356" s="36" t="inlineStr">
        <is>
          <t>Deferred Taxes</t>
        </is>
      </c>
      <c r="B356" s="376" t="n"/>
      <c r="C356" s="343" t="n">
        <v>8.605</v>
      </c>
      <c r="D356" s="343" t="n">
        <v>0.616</v>
      </c>
      <c r="E356" s="343" t="n"/>
      <c r="F356" s="343" t="n"/>
      <c r="G356" s="228" t="n"/>
      <c r="H356" s="228" t="n"/>
      <c r="I356" s="228" t="n"/>
      <c r="J356" s="228" t="n"/>
      <c r="K356" s="343" t="n"/>
      <c r="L356" s="228" t="n"/>
      <c r="M356" s="228" t="n"/>
      <c r="N356" s="228" t="n"/>
      <c r="O356" s="228" t="n"/>
      <c r="P356" s="343" t="n"/>
      <c r="Q356" s="228" t="n"/>
      <c r="R356" s="228" t="n"/>
      <c r="S356" s="228" t="n"/>
      <c r="T356" s="228" t="n"/>
      <c r="U356" s="343" t="n"/>
      <c r="V356" s="228" t="n"/>
      <c r="W356" s="228" t="n">
        <v>0</v>
      </c>
      <c r="X356" s="228" t="n">
        <v>0</v>
      </c>
      <c r="Y356" s="93">
        <f>Z356</f>
        <v/>
      </c>
      <c r="Z356" s="344" t="n">
        <v>0</v>
      </c>
      <c r="AA356" s="228" t="n"/>
      <c r="AB356" s="228" t="n"/>
      <c r="AC356" s="228" t="n"/>
      <c r="AD356" s="93">
        <f>AE356</f>
        <v/>
      </c>
      <c r="AE356" s="344" t="n"/>
      <c r="AF356" s="228" t="n"/>
      <c r="AG356" s="228" t="n"/>
      <c r="AH356" s="228" t="n"/>
      <c r="AI356" s="93">
        <f>AJ356</f>
        <v/>
      </c>
      <c r="AJ356" s="344" t="n"/>
      <c r="AK356" s="228" t="n"/>
      <c r="AL356" s="322" t="n"/>
      <c r="AM356" s="93" t="n"/>
      <c r="AN356" s="93" t="n"/>
      <c r="AO356" s="344" t="n"/>
      <c r="AP356" s="93" t="n"/>
      <c r="AQ356" s="93" t="n"/>
      <c r="AR356" s="93" t="n"/>
      <c r="AS356" s="93" t="n"/>
      <c r="AT356" s="344" t="n"/>
      <c r="AU356" s="344" t="n"/>
      <c r="AV356" s="344" t="n"/>
      <c r="AW356" s="344" t="n"/>
      <c r="AX356" s="228" t="n"/>
    </row>
    <row r="357" customFormat="1" s="5">
      <c r="A357" s="36" t="inlineStr">
        <is>
          <t>Other current assets</t>
        </is>
      </c>
      <c r="B357" s="376" t="n"/>
      <c r="C357" s="343" t="n">
        <v>3.825</v>
      </c>
      <c r="D357" s="343" t="n">
        <v>3.871</v>
      </c>
      <c r="E357" s="343" t="n">
        <v>7.373</v>
      </c>
      <c r="F357" s="343" t="n">
        <v>15.616</v>
      </c>
      <c r="G357" s="228" t="n">
        <v>16.762</v>
      </c>
      <c r="H357" s="228" t="n">
        <v>13.291</v>
      </c>
      <c r="I357" s="228" t="n">
        <v>16.232</v>
      </c>
      <c r="J357" s="228">
        <f>K357</f>
        <v/>
      </c>
      <c r="K357" s="343" t="n">
        <v>17.581</v>
      </c>
      <c r="L357" s="228" t="n">
        <v>18.498</v>
      </c>
      <c r="M357" s="228" t="n">
        <v>21.054</v>
      </c>
      <c r="N357" s="228" t="n">
        <v>24.511</v>
      </c>
      <c r="O357" s="228">
        <f>P357</f>
        <v/>
      </c>
      <c r="P357" s="343" t="n">
        <v>15.876</v>
      </c>
      <c r="Q357" s="228" t="n">
        <v>15.466</v>
      </c>
      <c r="R357" s="228" t="n">
        <v>21.88</v>
      </c>
      <c r="S357" s="228" t="n">
        <v>21.107</v>
      </c>
      <c r="T357" s="228">
        <f>U357</f>
        <v/>
      </c>
      <c r="U357" s="343" t="n">
        <v>19.979</v>
      </c>
      <c r="V357" s="228" t="n">
        <v>22.907</v>
      </c>
      <c r="W357" s="228" t="n">
        <v>20.498</v>
      </c>
      <c r="X357" s="228" t="n">
        <v>20.038</v>
      </c>
      <c r="Y357" s="93">
        <f>Z357</f>
        <v/>
      </c>
      <c r="Z357" s="344" t="n">
        <v>17.346</v>
      </c>
      <c r="AA357" s="228" t="n">
        <v>23.007</v>
      </c>
      <c r="AB357" s="228" t="n">
        <v>20.726</v>
      </c>
      <c r="AC357" s="228" t="n">
        <v>20.222</v>
      </c>
      <c r="AD357" s="93">
        <f>AE357</f>
        <v/>
      </c>
      <c r="AE357" s="344" t="n">
        <v>14.295</v>
      </c>
      <c r="AF357" s="228" t="n">
        <v>15.553</v>
      </c>
      <c r="AG357" s="228" t="n">
        <v>12.007</v>
      </c>
      <c r="AH357" s="228" t="n">
        <v>14.675</v>
      </c>
      <c r="AI357" s="93">
        <f>AJ357</f>
        <v/>
      </c>
      <c r="AJ357" s="344" t="n">
        <v>16.942</v>
      </c>
      <c r="AK357" s="345" t="n">
        <v>23.32</v>
      </c>
      <c r="AL357" s="346" t="n">
        <v>20.895</v>
      </c>
      <c r="AM357" s="93" t="n"/>
      <c r="AN357" s="93" t="n"/>
      <c r="AO357" s="344" t="n"/>
      <c r="AP357" s="93" t="n"/>
      <c r="AQ357" s="93" t="n"/>
      <c r="AR357" s="93" t="n"/>
      <c r="AS357" s="93" t="n"/>
      <c r="AT357" s="344" t="n"/>
      <c r="AU357" s="344" t="n"/>
      <c r="AV357" s="344" t="n"/>
      <c r="AW357" s="344" t="n"/>
      <c r="AX357" s="228" t="n"/>
    </row>
    <row r="358" customFormat="1" s="9">
      <c r="A358" s="347" t="inlineStr">
        <is>
          <t>Total Current Assets</t>
        </is>
      </c>
      <c r="B358" s="377" t="n"/>
      <c r="C358" s="349">
        <f>SUM(C351:C357)</f>
        <v/>
      </c>
      <c r="D358" s="349">
        <f>SUM(D351:D357)</f>
        <v/>
      </c>
      <c r="E358" s="349">
        <f>SUM(E351:E357)</f>
        <v/>
      </c>
      <c r="F358" s="349">
        <f>SUM(F351:F357)</f>
        <v/>
      </c>
      <c r="G358" s="350">
        <f>SUM(G351:G357)</f>
        <v/>
      </c>
      <c r="H358" s="350">
        <f>SUM(H351:H357)</f>
        <v/>
      </c>
      <c r="I358" s="350">
        <f>SUM(I351:I357)</f>
        <v/>
      </c>
      <c r="J358" s="350">
        <f>SUM(J351:J357)</f>
        <v/>
      </c>
      <c r="K358" s="349">
        <f>SUM(K351:K357)</f>
        <v/>
      </c>
      <c r="L358" s="350">
        <f>SUM(L351:L357)</f>
        <v/>
      </c>
      <c r="M358" s="350">
        <f>SUM(M351:M357)</f>
        <v/>
      </c>
      <c r="N358" s="350">
        <f>SUM(N351:N357)</f>
        <v/>
      </c>
      <c r="O358" s="350">
        <f>SUM(O351:O357)</f>
        <v/>
      </c>
      <c r="P358" s="349">
        <f>SUM(P351:P357)</f>
        <v/>
      </c>
      <c r="Q358" s="350">
        <f>SUM(Q351:Q357)</f>
        <v/>
      </c>
      <c r="R358" s="350">
        <f>SUM(R351:R357)</f>
        <v/>
      </c>
      <c r="S358" s="350">
        <f>SUM(S351:S357)</f>
        <v/>
      </c>
      <c r="T358" s="350">
        <f>SUM(T351:T357)</f>
        <v/>
      </c>
      <c r="U358" s="349">
        <f>SUM(U351:U357)</f>
        <v/>
      </c>
      <c r="V358" s="350">
        <f>SUM(V351:V357)</f>
        <v/>
      </c>
      <c r="W358" s="350">
        <f>SUM(W351:W357)</f>
        <v/>
      </c>
      <c r="X358" s="350">
        <f>SUM(X351:X357)</f>
        <v/>
      </c>
      <c r="Y358" s="351">
        <f>SUM(Y351:Y357)</f>
        <v/>
      </c>
      <c r="Z358" s="352">
        <f>SUM(Z351:Z357)</f>
        <v/>
      </c>
      <c r="AA358" s="350">
        <f>SUM(AA351:AA357)</f>
        <v/>
      </c>
      <c r="AB358" s="350">
        <f>SUM(AB351:AB357)</f>
        <v/>
      </c>
      <c r="AC358" s="350">
        <f>SUM(AC351:AC357)</f>
        <v/>
      </c>
      <c r="AD358" s="351">
        <f>SUM(AD351:AD357)</f>
        <v/>
      </c>
      <c r="AE358" s="352">
        <f>SUM(AE351:AE357)</f>
        <v/>
      </c>
      <c r="AF358" s="350">
        <f>SUM(AF351:AF357)</f>
        <v/>
      </c>
      <c r="AG358" s="350">
        <f>SUM(AG351:AG357)</f>
        <v/>
      </c>
      <c r="AH358" s="350">
        <f>SUM(AH351:AH357)</f>
        <v/>
      </c>
      <c r="AI358" s="351">
        <f>SUM(AI351:AI357)</f>
        <v/>
      </c>
      <c r="AJ358" s="352">
        <f>SUM(AJ351:AJ357)</f>
        <v/>
      </c>
      <c r="AK358" s="350">
        <f>SUM(AK351:AK357)</f>
        <v/>
      </c>
      <c r="AL358" s="353">
        <f>SUM(AL351:AL357)</f>
        <v/>
      </c>
      <c r="AM358" s="351" t="n"/>
      <c r="AN358" s="351" t="n"/>
      <c r="AO358" s="352" t="n"/>
      <c r="AP358" s="351" t="n"/>
      <c r="AQ358" s="351" t="n"/>
      <c r="AR358" s="351" t="n"/>
      <c r="AS358" s="351" t="n"/>
      <c r="AT358" s="352" t="n"/>
      <c r="AU358" s="352" t="n"/>
      <c r="AV358" s="352" t="n"/>
      <c r="AW358" s="352" t="n"/>
      <c r="AX358" s="22" t="n"/>
    </row>
    <row r="359" customFormat="1" s="9">
      <c r="A359" s="35" t="n"/>
      <c r="B359" s="103" t="n"/>
      <c r="C359" s="4" t="n"/>
      <c r="D359" s="4" t="n"/>
      <c r="E359" s="4" t="n"/>
      <c r="F359" s="4" t="n"/>
      <c r="G359" s="22" t="n"/>
      <c r="H359" s="22" t="n"/>
      <c r="I359" s="22" t="n"/>
      <c r="J359" s="22" t="n"/>
      <c r="K359" s="4" t="n"/>
      <c r="L359" s="22" t="n"/>
      <c r="M359" s="22" t="n"/>
      <c r="N359" s="22" t="n"/>
      <c r="O359" s="22" t="n"/>
      <c r="P359" s="4" t="n"/>
      <c r="Q359" s="22" t="n"/>
      <c r="R359" s="22" t="n"/>
      <c r="S359" s="22" t="n"/>
      <c r="T359" s="22" t="n"/>
      <c r="U359" s="4" t="n"/>
      <c r="V359" s="22" t="n"/>
      <c r="W359" s="22" t="n"/>
      <c r="X359" s="22" t="n"/>
      <c r="Y359" s="22" t="n"/>
      <c r="Z359" s="4" t="n"/>
      <c r="AA359" s="22" t="n"/>
      <c r="AB359" s="22" t="n"/>
      <c r="AC359" s="22" t="n"/>
      <c r="AD359" s="22" t="n"/>
      <c r="AE359" s="4" t="n"/>
      <c r="AF359" s="22" t="n"/>
      <c r="AG359" s="22" t="n"/>
      <c r="AH359" s="22" t="n"/>
      <c r="AI359" s="22" t="n"/>
      <c r="AJ359" s="4" t="n"/>
      <c r="AK359" s="22" t="n"/>
      <c r="AL359" s="308" t="n"/>
      <c r="AM359" s="22" t="n"/>
      <c r="AN359" s="22" t="n"/>
      <c r="AO359" s="4" t="n"/>
      <c r="AP359" s="22" t="n"/>
      <c r="AQ359" s="22" t="n"/>
      <c r="AR359" s="22" t="n"/>
      <c r="AS359" s="22" t="n"/>
      <c r="AT359" s="4" t="n"/>
      <c r="AU359" s="4" t="n"/>
      <c r="AV359" s="4" t="n"/>
      <c r="AW359" s="4" t="n"/>
      <c r="AX359" s="22" t="n"/>
    </row>
    <row r="360" customFormat="1" s="9">
      <c r="A360" s="468" t="inlineStr">
        <is>
          <t>Non-Current Assets</t>
        </is>
      </c>
      <c r="B360" s="103" t="n"/>
      <c r="C360" s="4" t="n"/>
      <c r="D360" s="4" t="n"/>
      <c r="E360" s="4" t="n"/>
      <c r="F360" s="4" t="n"/>
      <c r="G360" s="22" t="n"/>
      <c r="H360" s="22" t="n"/>
      <c r="I360" s="22" t="n"/>
      <c r="J360" s="22" t="n"/>
      <c r="K360" s="4" t="n"/>
      <c r="L360" s="22" t="n"/>
      <c r="M360" s="22" t="n"/>
      <c r="N360" s="22" t="n"/>
      <c r="O360" s="22" t="n"/>
      <c r="P360" s="4" t="n"/>
      <c r="Q360" s="22" t="n"/>
      <c r="R360" s="22" t="n"/>
      <c r="S360" s="22" t="n"/>
      <c r="T360" s="22" t="n"/>
      <c r="U360" s="4" t="n"/>
      <c r="V360" s="22" t="n"/>
      <c r="W360" s="22" t="n"/>
      <c r="X360" s="22" t="n"/>
      <c r="Y360" s="22" t="n"/>
      <c r="Z360" s="117" t="n"/>
      <c r="AA360" s="22" t="n"/>
      <c r="AB360" s="22" t="n"/>
      <c r="AC360" s="22" t="n"/>
      <c r="AD360" s="22" t="n"/>
      <c r="AE360" s="117" t="n"/>
      <c r="AF360" s="22" t="n"/>
      <c r="AG360" s="22" t="n"/>
      <c r="AH360" s="22" t="n"/>
      <c r="AI360" s="22" t="n"/>
      <c r="AJ360" s="117" t="n"/>
      <c r="AK360" s="22" t="n"/>
      <c r="AL360" s="308" t="n"/>
      <c r="AM360" s="22" t="n"/>
      <c r="AN360" s="22" t="n"/>
      <c r="AO360" s="117" t="n"/>
      <c r="AP360" s="22" t="n"/>
      <c r="AQ360" s="22" t="n"/>
      <c r="AR360" s="22" t="n"/>
      <c r="AS360" s="22" t="n"/>
      <c r="AT360" s="117" t="n"/>
      <c r="AU360" s="4" t="n"/>
      <c r="AV360" s="4" t="n"/>
      <c r="AW360" s="4" t="n"/>
      <c r="AX360" s="22" t="n"/>
    </row>
    <row r="361" customFormat="1" s="5">
      <c r="A361" s="36" t="inlineStr">
        <is>
          <t>Property and equipment, net</t>
        </is>
      </c>
      <c r="B361" s="376" t="n"/>
      <c r="C361" s="343" t="n">
        <v>9.734</v>
      </c>
      <c r="D361" s="343" t="n">
        <v>15.49</v>
      </c>
      <c r="E361" s="343" t="n">
        <v>36.806</v>
      </c>
      <c r="F361" s="343" t="n">
        <v>62.375</v>
      </c>
      <c r="G361" s="228" t="n">
        <v>67.229</v>
      </c>
      <c r="H361" s="228" t="n">
        <v>68.244</v>
      </c>
      <c r="I361" s="228" t="n">
        <v>68.931</v>
      </c>
      <c r="J361" s="228">
        <f>K361</f>
        <v/>
      </c>
      <c r="K361" s="343" t="n">
        <v>71.91500000000001</v>
      </c>
      <c r="L361" s="228" t="n">
        <v>70.405</v>
      </c>
      <c r="M361" s="228" t="n">
        <v>68.172</v>
      </c>
      <c r="N361" s="228" t="n">
        <v>73.95399999999999</v>
      </c>
      <c r="O361" s="228">
        <f>P361</f>
        <v/>
      </c>
      <c r="P361" s="343" t="n">
        <v>78.827</v>
      </c>
      <c r="Q361" s="228" t="n">
        <v>83.149</v>
      </c>
      <c r="R361" s="228" t="n">
        <v>92.26000000000001</v>
      </c>
      <c r="S361" s="228" t="n">
        <v>97.32899999999999</v>
      </c>
      <c r="T361" s="228">
        <f>U361</f>
        <v/>
      </c>
      <c r="U361" s="343" t="n">
        <v>100.018</v>
      </c>
      <c r="V361" s="228" t="n">
        <v>103.157</v>
      </c>
      <c r="W361" s="228" t="n">
        <v>112.264</v>
      </c>
      <c r="X361" s="228" t="n">
        <v>113.621</v>
      </c>
      <c r="Y361" s="93">
        <f>Z361</f>
        <v/>
      </c>
      <c r="Z361" s="344" t="n">
        <v>118.585</v>
      </c>
      <c r="AA361" s="228" t="n">
        <v>123.913</v>
      </c>
      <c r="AB361" s="228" t="n">
        <v>121.173</v>
      </c>
      <c r="AC361" s="228" t="n">
        <v>117.483</v>
      </c>
      <c r="AD361" s="93">
        <f>AE361</f>
        <v/>
      </c>
      <c r="AE361" s="344" t="n">
        <v>109.919</v>
      </c>
      <c r="AF361" s="228" t="n">
        <v>110.135</v>
      </c>
      <c r="AG361" s="228" t="n">
        <v>106.746</v>
      </c>
      <c r="AH361" s="228" t="n">
        <v>105.007</v>
      </c>
      <c r="AI361" s="93">
        <f>AJ361</f>
        <v/>
      </c>
      <c r="AJ361" s="344" t="n">
        <v>105.334</v>
      </c>
      <c r="AK361" s="228" t="n">
        <v>107.509</v>
      </c>
      <c r="AL361" s="322" t="n">
        <v>108.142</v>
      </c>
      <c r="AM361" s="93" t="n"/>
      <c r="AN361" s="93" t="n"/>
      <c r="AO361" s="344" t="n"/>
      <c r="AP361" s="93" t="n"/>
      <c r="AQ361" s="93" t="n"/>
      <c r="AR361" s="93" t="n"/>
      <c r="AS361" s="93" t="n"/>
      <c r="AT361" s="344" t="n"/>
      <c r="AU361" s="344" t="n"/>
      <c r="AV361" s="344" t="n"/>
      <c r="AW361" s="344" t="n"/>
      <c r="AX361" s="228" t="n"/>
    </row>
    <row r="362" customFormat="1" s="5">
      <c r="A362" s="36" t="inlineStr">
        <is>
          <t>Severance assets</t>
        </is>
      </c>
      <c r="B362" s="376" t="n"/>
      <c r="C362" s="343" t="n">
        <v>4.629</v>
      </c>
      <c r="D362" s="343" t="n">
        <v>5.792</v>
      </c>
      <c r="E362" s="343" t="n">
        <v>7.767</v>
      </c>
      <c r="F362" s="343" t="n">
        <v>8.907</v>
      </c>
      <c r="G362" s="228" t="n">
        <v>9.401999999999999</v>
      </c>
      <c r="H362" s="228" t="n">
        <v>9.845000000000001</v>
      </c>
      <c r="I362" s="228" t="n">
        <v>10.282</v>
      </c>
      <c r="J362" s="228">
        <f>K362</f>
        <v/>
      </c>
      <c r="K362" s="343" t="n">
        <v>10.63</v>
      </c>
      <c r="L362" s="228" t="n">
        <v>10.422</v>
      </c>
      <c r="M362" s="228" t="n">
        <v>10.439</v>
      </c>
      <c r="N362" s="228" t="n">
        <v>9.814</v>
      </c>
      <c r="O362" s="228">
        <f>P362</f>
        <v/>
      </c>
      <c r="P362" s="343" t="n">
        <v>9.474</v>
      </c>
      <c r="Q362" s="228" t="n">
        <v>9.334</v>
      </c>
      <c r="R362" s="228" t="n">
        <v>10.002</v>
      </c>
      <c r="S362" s="228" t="n">
        <v>9.542999999999999</v>
      </c>
      <c r="T362" s="228">
        <f>U362</f>
        <v/>
      </c>
      <c r="U362" s="343" t="n">
        <v>9.513999999999999</v>
      </c>
      <c r="V362" s="228" t="n">
        <v>15.787</v>
      </c>
      <c r="W362" s="228" t="n">
        <v>15.846</v>
      </c>
      <c r="X362" s="228" t="n">
        <v>16.429</v>
      </c>
      <c r="Y362" s="93">
        <f>Z362</f>
        <v/>
      </c>
      <c r="Z362" s="344" t="n">
        <v>15.87</v>
      </c>
      <c r="AA362" s="228" t="n">
        <v>16.857</v>
      </c>
      <c r="AB362" s="228" t="n">
        <v>17.814</v>
      </c>
      <c r="AC362" s="228" t="n">
        <v>17.839</v>
      </c>
      <c r="AD362" s="93">
        <f>AE362</f>
        <v/>
      </c>
      <c r="AE362" s="344" t="n">
        <v>18.302</v>
      </c>
      <c r="AF362" s="228" t="n">
        <v>18.012</v>
      </c>
      <c r="AG362" s="228" t="n">
        <v>17.111</v>
      </c>
      <c r="AH362" s="228" t="n">
        <v>17.78</v>
      </c>
      <c r="AI362" s="93">
        <f>AJ362</f>
        <v/>
      </c>
      <c r="AJ362" s="344" t="n">
        <v>17.043</v>
      </c>
      <c r="AK362" s="228" t="n">
        <v>5.067</v>
      </c>
      <c r="AL362" s="322" t="n"/>
      <c r="AM362" s="93" t="n"/>
      <c r="AN362" s="93" t="n"/>
      <c r="AO362" s="344" t="n"/>
      <c r="AP362" s="93" t="n"/>
      <c r="AQ362" s="93" t="n"/>
      <c r="AR362" s="93" t="n"/>
      <c r="AS362" s="93" t="n"/>
      <c r="AT362" s="344" t="n"/>
      <c r="AU362" s="344" t="n"/>
      <c r="AV362" s="344" t="n"/>
      <c r="AW362" s="344" t="n"/>
      <c r="AX362" s="228" t="n"/>
    </row>
    <row r="363" customFormat="1" s="5">
      <c r="A363" s="36" t="inlineStr">
        <is>
          <t>Intangible assets, net</t>
        </is>
      </c>
      <c r="B363" s="376" t="n"/>
      <c r="C363" s="343" t="n">
        <v>0.428</v>
      </c>
      <c r="D363" s="343" t="n">
        <v>0.29</v>
      </c>
      <c r="E363" s="343" t="n">
        <v>25.657</v>
      </c>
      <c r="F363" s="343" t="n">
        <v>16.134</v>
      </c>
      <c r="G363" s="228" t="n">
        <v>20.006</v>
      </c>
      <c r="H363" s="228" t="n">
        <v>17.344</v>
      </c>
      <c r="I363" s="228" t="n">
        <v>57.886</v>
      </c>
      <c r="J363" s="228">
        <f>K363</f>
        <v/>
      </c>
      <c r="K363" s="343" t="n">
        <v>54.249</v>
      </c>
      <c r="L363" s="228" t="n">
        <v>50.78</v>
      </c>
      <c r="M363" s="228" t="n">
        <v>47.877</v>
      </c>
      <c r="N363" s="228" t="n">
        <v>44.975</v>
      </c>
      <c r="O363" s="228">
        <f>P363</f>
        <v/>
      </c>
      <c r="P363" s="343" t="n">
        <v>42.067</v>
      </c>
      <c r="Q363" s="228" t="n">
        <v>39.708</v>
      </c>
      <c r="R363" s="228" t="n">
        <v>37.34</v>
      </c>
      <c r="S363" s="228" t="n">
        <v>34.744</v>
      </c>
      <c r="T363" s="228">
        <f>U363</f>
        <v/>
      </c>
      <c r="U363" s="343" t="n">
        <v>32.154</v>
      </c>
      <c r="V363" s="228" t="n">
        <v>308.721</v>
      </c>
      <c r="W363" s="228" t="n">
        <v>292.758</v>
      </c>
      <c r="X363" s="228" t="n">
        <v>288.722</v>
      </c>
      <c r="Y363" s="93">
        <f>Z363</f>
        <v/>
      </c>
      <c r="Z363" s="344" t="n">
        <v>278.031</v>
      </c>
      <c r="AA363" s="228" t="n">
        <v>267.375</v>
      </c>
      <c r="AB363" s="228" t="n">
        <v>253.44</v>
      </c>
      <c r="AC363" s="228" t="n">
        <v>247.431</v>
      </c>
      <c r="AD363" s="93">
        <f>AE363</f>
        <v/>
      </c>
      <c r="AE363" s="344" t="n">
        <v>228.195</v>
      </c>
      <c r="AF363" s="228" t="n">
        <v>218.738</v>
      </c>
      <c r="AG363" s="228" t="n">
        <v>208.45</v>
      </c>
      <c r="AH363" s="228" t="n">
        <v>194.54</v>
      </c>
      <c r="AI363" s="93">
        <f>AJ363</f>
        <v/>
      </c>
      <c r="AJ363" s="344" t="n">
        <v>179.328</v>
      </c>
      <c r="AK363" s="228" t="n">
        <v>166.686</v>
      </c>
      <c r="AL363" s="322" t="n">
        <v>159.046</v>
      </c>
      <c r="AM363" s="93" t="n"/>
      <c r="AN363" s="93" t="n"/>
      <c r="AO363" s="344" t="n"/>
      <c r="AP363" s="93" t="n"/>
      <c r="AQ363" s="93" t="n"/>
      <c r="AR363" s="93" t="n"/>
      <c r="AS363" s="93" t="n"/>
      <c r="AT363" s="344" t="n"/>
      <c r="AU363" s="344" t="n"/>
      <c r="AV363" s="344" t="n"/>
      <c r="AW363" s="344" t="n"/>
      <c r="AX363" s="228" t="n"/>
    </row>
    <row r="364" customFormat="1" s="5">
      <c r="A364" s="36" t="inlineStr">
        <is>
          <t>Right-of-use assets</t>
        </is>
      </c>
      <c r="B364" s="376" t="n"/>
      <c r="C364" s="343" t="n"/>
      <c r="D364" s="343" t="n"/>
      <c r="E364" s="343" t="n"/>
      <c r="F364" s="343" t="n"/>
      <c r="G364" s="228" t="n"/>
      <c r="H364" s="228" t="n"/>
      <c r="I364" s="228" t="n"/>
      <c r="J364" s="228" t="n"/>
      <c r="K364" s="343" t="n"/>
      <c r="L364" s="228" t="n"/>
      <c r="M364" s="228" t="n"/>
      <c r="N364" s="228" t="n"/>
      <c r="O364" s="228" t="n"/>
      <c r="P364" s="343" t="n"/>
      <c r="Q364" s="228" t="n"/>
      <c r="R364" s="228" t="n"/>
      <c r="S364" s="228" t="n"/>
      <c r="T364" s="228" t="n"/>
      <c r="U364" s="343" t="n"/>
      <c r="V364" s="228" t="n"/>
      <c r="W364" s="228" t="n"/>
      <c r="X364" s="228" t="n"/>
      <c r="Y364" s="93" t="n"/>
      <c r="Z364" s="344" t="n"/>
      <c r="AA364" s="228" t="n"/>
      <c r="AB364" s="228" t="n"/>
      <c r="AC364" s="228" t="n"/>
      <c r="AD364" s="93" t="n"/>
      <c r="AE364" s="344" t="n"/>
      <c r="AF364" s="228" t="n"/>
      <c r="AG364" s="228" t="n"/>
      <c r="AH364" s="228" t="n"/>
      <c r="AI364" s="93" t="n"/>
      <c r="AJ364" s="344" t="n"/>
      <c r="AK364" s="228" t="n">
        <v>65.733</v>
      </c>
      <c r="AL364" s="322" t="n"/>
      <c r="AM364" s="93" t="n"/>
      <c r="AN364" s="93" t="n"/>
      <c r="AO364" s="344" t="n"/>
      <c r="AP364" s="93" t="n"/>
      <c r="AQ364" s="93" t="n"/>
      <c r="AR364" s="93" t="n"/>
      <c r="AS364" s="93" t="n"/>
      <c r="AT364" s="344" t="n"/>
      <c r="AU364" s="344" t="n"/>
      <c r="AV364" s="344" t="n"/>
      <c r="AW364" s="344" t="n"/>
      <c r="AX364" s="228" t="n"/>
    </row>
    <row r="365" customFormat="1" s="5">
      <c r="A365" s="36" t="inlineStr">
        <is>
          <t>Goodwill</t>
        </is>
      </c>
      <c r="B365" s="376" t="n"/>
      <c r="C365" s="343" t="n"/>
      <c r="D365" s="343" t="n">
        <v>0</v>
      </c>
      <c r="E365" s="343" t="n">
        <v>132.885</v>
      </c>
      <c r="F365" s="343" t="n">
        <v>132.885</v>
      </c>
      <c r="G365" s="228" t="n">
        <v>132.885</v>
      </c>
      <c r="H365" s="228" t="n">
        <v>132.885</v>
      </c>
      <c r="I365" s="228" t="n">
        <v>199.558</v>
      </c>
      <c r="J365" s="228">
        <f>K365</f>
        <v/>
      </c>
      <c r="K365" s="343" t="n">
        <v>199.196</v>
      </c>
      <c r="L365" s="228" t="n">
        <v>199.558</v>
      </c>
      <c r="M365" s="228" t="n">
        <v>199.558</v>
      </c>
      <c r="N365" s="228" t="n">
        <v>201.105</v>
      </c>
      <c r="O365" s="228">
        <f>P365</f>
        <v/>
      </c>
      <c r="P365" s="343" t="n">
        <v>200.743</v>
      </c>
      <c r="Q365" s="228" t="n">
        <v>200.743</v>
      </c>
      <c r="R365" s="228" t="n">
        <v>200.743</v>
      </c>
      <c r="S365" s="228" t="n">
        <v>200.743</v>
      </c>
      <c r="T365" s="228">
        <f>U365</f>
        <v/>
      </c>
      <c r="U365" s="343" t="n">
        <v>200.743</v>
      </c>
      <c r="V365" s="228" t="n">
        <v>476.037</v>
      </c>
      <c r="W365" s="228" t="n">
        <v>476.037</v>
      </c>
      <c r="X365" s="228" t="n">
        <v>476.037</v>
      </c>
      <c r="Y365" s="93">
        <f>Z365</f>
        <v/>
      </c>
      <c r="Z365" s="344" t="n">
        <v>471.228</v>
      </c>
      <c r="AA365" s="228" t="n">
        <v>471.228</v>
      </c>
      <c r="AB365" s="228" t="n">
        <v>471.228</v>
      </c>
      <c r="AC365" s="228" t="n">
        <v>472.437</v>
      </c>
      <c r="AD365" s="93">
        <f>AE365</f>
        <v/>
      </c>
      <c r="AE365" s="344" t="n">
        <v>472.437</v>
      </c>
      <c r="AF365" s="228" t="n">
        <v>472.437</v>
      </c>
      <c r="AG365" s="228" t="n">
        <v>473.916</v>
      </c>
      <c r="AH365" s="228" t="n">
        <v>473.916</v>
      </c>
      <c r="AI365" s="93">
        <f>AJ365</f>
        <v/>
      </c>
      <c r="AJ365" s="344" t="n">
        <v>473.916</v>
      </c>
      <c r="AK365" s="228" t="n">
        <v>473.916</v>
      </c>
      <c r="AL365" s="322" t="n">
        <v>473.916</v>
      </c>
      <c r="AM365" s="93" t="n"/>
      <c r="AN365" s="93" t="n"/>
      <c r="AO365" s="344" t="n"/>
      <c r="AP365" s="93" t="n"/>
      <c r="AQ365" s="93" t="n"/>
      <c r="AR365" s="93" t="n"/>
      <c r="AS365" s="93" t="n"/>
      <c r="AT365" s="344" t="n"/>
      <c r="AU365" s="344" t="n"/>
      <c r="AV365" s="344" t="n"/>
      <c r="AW365" s="344" t="n"/>
      <c r="AX365" s="228" t="n"/>
    </row>
    <row r="366" customFormat="1" s="5">
      <c r="A366" s="36" t="inlineStr">
        <is>
          <t>Deferred taxes and other long-term assets</t>
        </is>
      </c>
      <c r="B366" s="376" t="n"/>
      <c r="C366" s="343">
        <f>0.812+4.45</f>
        <v/>
      </c>
      <c r="D366" s="343">
        <f>3.358+1.422</f>
        <v/>
      </c>
      <c r="E366" s="343" t="n">
        <v>8.289</v>
      </c>
      <c r="F366" s="343" t="n">
        <v>10.419</v>
      </c>
      <c r="G366" s="228" t="n">
        <v>14.471</v>
      </c>
      <c r="H366" s="228" t="n">
        <v>15.349</v>
      </c>
      <c r="I366" s="228" t="n">
        <v>28.656</v>
      </c>
      <c r="J366" s="228">
        <f>K366</f>
        <v/>
      </c>
      <c r="K366" s="343" t="n">
        <v>20.613</v>
      </c>
      <c r="L366" s="228" t="n">
        <v>21.997</v>
      </c>
      <c r="M366" s="228" t="n">
        <v>22.236</v>
      </c>
      <c r="N366" s="228" t="n">
        <v>21.327</v>
      </c>
      <c r="O366" s="228">
        <f>P366</f>
        <v/>
      </c>
      <c r="P366" s="343" t="n">
        <v>17.871</v>
      </c>
      <c r="Q366" s="228" t="n">
        <v>11.224</v>
      </c>
      <c r="R366" s="228" t="n">
        <v>9.813000000000001</v>
      </c>
      <c r="S366" s="228" t="n">
        <v>9.696999999999999</v>
      </c>
      <c r="T366" s="228">
        <f>U366</f>
        <v/>
      </c>
      <c r="U366" s="343" t="n">
        <v>33.715</v>
      </c>
      <c r="V366" s="228" t="n">
        <v>32.627</v>
      </c>
      <c r="W366" s="228" t="n">
        <v>31.759</v>
      </c>
      <c r="X366" s="228" t="n">
        <v>32.763</v>
      </c>
      <c r="Y366" s="93">
        <f>Z366</f>
        <v/>
      </c>
      <c r="Z366" s="344" t="n">
        <v>36.713</v>
      </c>
      <c r="AA366" s="228" t="n">
        <v>49.902</v>
      </c>
      <c r="AB366" s="228" t="n">
        <v>50.506</v>
      </c>
      <c r="AC366" s="228" t="n">
        <v>53.942</v>
      </c>
      <c r="AD366" s="93">
        <f>AE366</f>
        <v/>
      </c>
      <c r="AE366" s="344">
        <f>66.162-AE367</f>
        <v/>
      </c>
      <c r="AF366" s="228">
        <f>94.404-AF367</f>
        <v/>
      </c>
      <c r="AG366" s="228">
        <f>98.744-AG367</f>
        <v/>
      </c>
      <c r="AH366" s="228">
        <f>99.835-AH367</f>
        <v/>
      </c>
      <c r="AI366" s="93">
        <f>AJ366</f>
        <v/>
      </c>
      <c r="AJ366" s="344">
        <f>101.139-AJ367</f>
        <v/>
      </c>
      <c r="AK366" s="228">
        <f>95.605-AK367</f>
        <v/>
      </c>
      <c r="AL366" s="322">
        <f>159.52-AL367</f>
        <v/>
      </c>
      <c r="AM366" s="93" t="n"/>
      <c r="AN366" s="93" t="n"/>
      <c r="AO366" s="344" t="n"/>
      <c r="AP366" s="93" t="n"/>
      <c r="AQ366" s="93" t="n"/>
      <c r="AR366" s="93" t="n"/>
      <c r="AS366" s="93" t="n"/>
      <c r="AT366" s="344" t="n"/>
      <c r="AU366" s="344" t="n"/>
      <c r="AV366" s="344" t="n"/>
      <c r="AW366" s="344" t="n"/>
      <c r="AX366" s="228" t="n"/>
    </row>
    <row r="367" customFormat="1" s="5">
      <c r="A367" s="36" t="inlineStr">
        <is>
          <t>Restricted cash</t>
        </is>
      </c>
      <c r="B367" s="376" t="n"/>
      <c r="C367" s="343" t="n"/>
      <c r="D367" s="343" t="n"/>
      <c r="E367" s="343" t="n"/>
      <c r="F367" s="343" t="n"/>
      <c r="G367" s="228" t="n"/>
      <c r="H367" s="228" t="n"/>
      <c r="I367" s="228" t="n"/>
      <c r="J367" s="228" t="n"/>
      <c r="K367" s="343" t="n"/>
      <c r="L367" s="228" t="n"/>
      <c r="M367" s="228" t="n"/>
      <c r="N367" s="228" t="n"/>
      <c r="O367" s="228" t="n"/>
      <c r="P367" s="343" t="n"/>
      <c r="Q367" s="228" t="n"/>
      <c r="R367" s="228" t="n"/>
      <c r="S367" s="228" t="n"/>
      <c r="T367" s="228" t="n"/>
      <c r="U367" s="343" t="n"/>
      <c r="V367" s="228" t="n"/>
      <c r="W367" s="228" t="n"/>
      <c r="X367" s="228" t="n"/>
      <c r="Y367" s="93" t="n"/>
      <c r="Z367" s="344" t="n"/>
      <c r="AA367" s="228" t="n"/>
      <c r="AB367" s="228" t="n"/>
      <c r="AC367" s="228" t="n"/>
      <c r="AD367" s="93">
        <f>AE367</f>
        <v/>
      </c>
      <c r="AE367" s="344" t="n">
        <v>8.025</v>
      </c>
      <c r="AF367" s="228" t="n">
        <v>8</v>
      </c>
      <c r="AG367" s="228" t="n">
        <v>7.931</v>
      </c>
      <c r="AH367" s="228" t="n">
        <v>7.942</v>
      </c>
      <c r="AI367" s="93">
        <f>AJ367</f>
        <v/>
      </c>
      <c r="AJ367" s="344" t="n">
        <v>7.884</v>
      </c>
      <c r="AK367" s="345" t="n">
        <v>7.94</v>
      </c>
      <c r="AL367" s="322" t="n"/>
      <c r="AM367" s="93" t="n"/>
      <c r="AN367" s="93" t="n"/>
      <c r="AO367" s="344" t="n"/>
      <c r="AP367" s="93" t="n"/>
      <c r="AQ367" s="93" t="n"/>
      <c r="AR367" s="93" t="n"/>
      <c r="AS367" s="93" t="n"/>
      <c r="AT367" s="344" t="n"/>
      <c r="AU367" s="344" t="n"/>
      <c r="AV367" s="344" t="n"/>
      <c r="AW367" s="344" t="n"/>
      <c r="AX367" s="228" t="n"/>
    </row>
    <row r="368" customFormat="1" s="9">
      <c r="A368" s="347" t="inlineStr">
        <is>
          <t>Total Non-Current Assets</t>
        </is>
      </c>
      <c r="B368" s="377" t="n"/>
      <c r="C368" s="349">
        <f>SUM(C361:C367)</f>
        <v/>
      </c>
      <c r="D368" s="349">
        <f>SUM(D361:D367)</f>
        <v/>
      </c>
      <c r="E368" s="349">
        <f>SUM(E361:E367)</f>
        <v/>
      </c>
      <c r="F368" s="349">
        <f>SUM(F361:F367)</f>
        <v/>
      </c>
      <c r="G368" s="350">
        <f>SUM(G361:G367)</f>
        <v/>
      </c>
      <c r="H368" s="350">
        <f>SUM(H361:H367)</f>
        <v/>
      </c>
      <c r="I368" s="350">
        <f>SUM(I361:I367)</f>
        <v/>
      </c>
      <c r="J368" s="350">
        <f>SUM(J361:J367)</f>
        <v/>
      </c>
      <c r="K368" s="349">
        <f>SUM(K361:K367)</f>
        <v/>
      </c>
      <c r="L368" s="350">
        <f>SUM(L361:L367)</f>
        <v/>
      </c>
      <c r="M368" s="350">
        <f>SUM(M361:M367)</f>
        <v/>
      </c>
      <c r="N368" s="350">
        <f>SUM(N361:N367)</f>
        <v/>
      </c>
      <c r="O368" s="350">
        <f>SUM(O361:O367)</f>
        <v/>
      </c>
      <c r="P368" s="349">
        <f>SUM(P361:P367)</f>
        <v/>
      </c>
      <c r="Q368" s="350">
        <f>SUM(Q361:Q367)</f>
        <v/>
      </c>
      <c r="R368" s="350">
        <f>SUM(R361:R367)</f>
        <v/>
      </c>
      <c r="S368" s="350">
        <f>SUM(S361:S367)</f>
        <v/>
      </c>
      <c r="T368" s="350">
        <f>SUM(T361:T367)</f>
        <v/>
      </c>
      <c r="U368" s="349">
        <f>SUM(U361:U367)</f>
        <v/>
      </c>
      <c r="V368" s="350">
        <f>SUM(V361:V367)</f>
        <v/>
      </c>
      <c r="W368" s="350">
        <f>SUM(W361:W367)</f>
        <v/>
      </c>
      <c r="X368" s="350">
        <f>SUM(X361:X367)</f>
        <v/>
      </c>
      <c r="Y368" s="351">
        <f>SUM(Y361:Y367)</f>
        <v/>
      </c>
      <c r="Z368" s="352">
        <f>SUM(Z361:Z367)</f>
        <v/>
      </c>
      <c r="AA368" s="350">
        <f>SUM(AA361:AA367)</f>
        <v/>
      </c>
      <c r="AB368" s="350">
        <f>SUM(AB361:AB367)</f>
        <v/>
      </c>
      <c r="AC368" s="350">
        <f>SUM(AC361:AC367)</f>
        <v/>
      </c>
      <c r="AD368" s="351">
        <f>SUM(AD361:AD367)</f>
        <v/>
      </c>
      <c r="AE368" s="352">
        <f>SUM(AE361:AE367)</f>
        <v/>
      </c>
      <c r="AF368" s="350">
        <f>SUM(AF361:AF367)</f>
        <v/>
      </c>
      <c r="AG368" s="350">
        <f>SUM(AG361:AG367)</f>
        <v/>
      </c>
      <c r="AH368" s="350">
        <f>SUM(AH361:AH367)</f>
        <v/>
      </c>
      <c r="AI368" s="351">
        <f>SUM(AI361:AI367)</f>
        <v/>
      </c>
      <c r="AJ368" s="352">
        <f>SUM(AJ361:AJ367)</f>
        <v/>
      </c>
      <c r="AK368" s="350">
        <f>SUM(AK361:AK367)</f>
        <v/>
      </c>
      <c r="AL368" s="353">
        <f>SUM(AL361:AL367)</f>
        <v/>
      </c>
      <c r="AM368" s="351" t="n"/>
      <c r="AN368" s="351" t="n"/>
      <c r="AO368" s="352" t="n"/>
      <c r="AP368" s="351" t="n"/>
      <c r="AQ368" s="351" t="n"/>
      <c r="AR368" s="351" t="n"/>
      <c r="AS368" s="351" t="n"/>
      <c r="AT368" s="352" t="n"/>
      <c r="AU368" s="352" t="n"/>
      <c r="AV368" s="352" t="n"/>
      <c r="AW368" s="352" t="n"/>
      <c r="AX368" s="22" t="n"/>
    </row>
    <row r="369" customFormat="1" s="9">
      <c r="A369" s="35" t="inlineStr">
        <is>
          <t>Total Assets</t>
        </is>
      </c>
      <c r="B369" s="103" t="n"/>
      <c r="C369" s="4">
        <f>C358+C368</f>
        <v/>
      </c>
      <c r="D369" s="4">
        <f>D358+D368</f>
        <v/>
      </c>
      <c r="E369" s="4">
        <f>E358+E368</f>
        <v/>
      </c>
      <c r="F369" s="4">
        <f>F358+F368</f>
        <v/>
      </c>
      <c r="G369" s="22">
        <f>G358+G368</f>
        <v/>
      </c>
      <c r="H369" s="22">
        <f>H358+H368</f>
        <v/>
      </c>
      <c r="I369" s="22">
        <f>I358+I368</f>
        <v/>
      </c>
      <c r="J369" s="22">
        <f>J358+J368</f>
        <v/>
      </c>
      <c r="K369" s="4">
        <f>K358+K368</f>
        <v/>
      </c>
      <c r="L369" s="22">
        <f>L358+L368</f>
        <v/>
      </c>
      <c r="M369" s="22">
        <f>M358+M368</f>
        <v/>
      </c>
      <c r="N369" s="22">
        <f>N358+N368</f>
        <v/>
      </c>
      <c r="O369" s="22">
        <f>O358+O368</f>
        <v/>
      </c>
      <c r="P369" s="4">
        <f>P358+P368</f>
        <v/>
      </c>
      <c r="Q369" s="22">
        <f>Q358+Q368</f>
        <v/>
      </c>
      <c r="R369" s="22">
        <f>R358+R368</f>
        <v/>
      </c>
      <c r="S369" s="22">
        <f>S358+S368</f>
        <v/>
      </c>
      <c r="T369" s="22">
        <f>T358+T368</f>
        <v/>
      </c>
      <c r="U369" s="4">
        <f>U358+U368</f>
        <v/>
      </c>
      <c r="V369" s="22">
        <f>V358+V368</f>
        <v/>
      </c>
      <c r="W369" s="22">
        <f>W358+W368</f>
        <v/>
      </c>
      <c r="X369" s="22">
        <f>X358+X368</f>
        <v/>
      </c>
      <c r="Y369" s="378">
        <f>Y358+Y368</f>
        <v/>
      </c>
      <c r="Z369" s="117">
        <f>Z358+Z368</f>
        <v/>
      </c>
      <c r="AA369" s="22">
        <f>AA358+AA368</f>
        <v/>
      </c>
      <c r="AB369" s="22">
        <f>AB358+AB368</f>
        <v/>
      </c>
      <c r="AC369" s="22">
        <f>AC358+AC368</f>
        <v/>
      </c>
      <c r="AD369" s="378">
        <f>AD358+AD368</f>
        <v/>
      </c>
      <c r="AE369" s="117">
        <f>AE358+AE368</f>
        <v/>
      </c>
      <c r="AF369" s="22">
        <f>AF358+AF368</f>
        <v/>
      </c>
      <c r="AG369" s="22">
        <f>AG358+AG368</f>
        <v/>
      </c>
      <c r="AH369" s="22">
        <f>AH358+AH368</f>
        <v/>
      </c>
      <c r="AI369" s="378">
        <f>AI358+AI368</f>
        <v/>
      </c>
      <c r="AJ369" s="117">
        <f>AJ358+AJ368</f>
        <v/>
      </c>
      <c r="AK369" s="22">
        <f>AK358+AK368</f>
        <v/>
      </c>
      <c r="AL369" s="308">
        <f>AL358+AL368</f>
        <v/>
      </c>
      <c r="AM369" s="378" t="n"/>
      <c r="AN369" s="378" t="n"/>
      <c r="AO369" s="117" t="n"/>
      <c r="AP369" s="378" t="n"/>
      <c r="AQ369" s="378" t="n"/>
      <c r="AR369" s="378" t="n"/>
      <c r="AS369" s="378" t="n"/>
      <c r="AT369" s="117" t="n"/>
      <c r="AU369" s="117" t="n"/>
      <c r="AV369" s="117" t="n"/>
      <c r="AW369" s="117" t="n"/>
      <c r="AX369" s="22" t="n"/>
    </row>
    <row r="370" customFormat="1" s="9">
      <c r="A370" s="35" t="n"/>
      <c r="B370" s="103" t="n"/>
      <c r="C370" s="4" t="n"/>
      <c r="D370" s="4" t="n"/>
      <c r="E370" s="4" t="n"/>
      <c r="F370" s="4" t="n"/>
      <c r="G370" s="22" t="n"/>
      <c r="H370" s="22" t="n"/>
      <c r="I370" s="22" t="n"/>
      <c r="J370" s="22" t="n"/>
      <c r="K370" s="4" t="n"/>
      <c r="L370" s="22" t="n"/>
      <c r="M370" s="22" t="n"/>
      <c r="N370" s="22" t="n"/>
      <c r="O370" s="22" t="n"/>
      <c r="P370" s="4" t="n"/>
      <c r="Q370" s="22" t="n"/>
      <c r="R370" s="22" t="n"/>
      <c r="S370" s="22" t="n"/>
      <c r="T370" s="22" t="n"/>
      <c r="U370" s="4" t="n"/>
      <c r="V370" s="22" t="n"/>
      <c r="W370" s="22" t="n"/>
      <c r="X370" s="22" t="n"/>
      <c r="Y370" s="22" t="n"/>
      <c r="Z370" s="4" t="n"/>
      <c r="AA370" s="22" t="n"/>
      <c r="AB370" s="22" t="n"/>
      <c r="AC370" s="22" t="n"/>
      <c r="AD370" s="22" t="n"/>
      <c r="AE370" s="4" t="n"/>
      <c r="AF370" s="22" t="n"/>
      <c r="AG370" s="22" t="n"/>
      <c r="AH370" s="22" t="n"/>
      <c r="AI370" s="22" t="n"/>
      <c r="AJ370" s="4" t="n"/>
      <c r="AK370" s="22" t="n"/>
      <c r="AL370" s="308" t="n"/>
      <c r="AM370" s="22" t="n"/>
      <c r="AN370" s="22" t="n"/>
      <c r="AO370" s="4" t="n"/>
      <c r="AP370" s="22" t="n"/>
      <c r="AQ370" s="22" t="n"/>
      <c r="AR370" s="22" t="n"/>
      <c r="AS370" s="22" t="n"/>
      <c r="AT370" s="4" t="n"/>
      <c r="AU370" s="4" t="n"/>
      <c r="AV370" s="4" t="n"/>
      <c r="AW370" s="4" t="n"/>
      <c r="AX370" s="22" t="n"/>
    </row>
    <row r="371" customFormat="1" s="9">
      <c r="A371" s="35" t="inlineStr">
        <is>
          <t>Current Liabilities</t>
        </is>
      </c>
      <c r="B371" s="103" t="n"/>
      <c r="C371" s="4" t="n"/>
      <c r="D371" s="4" t="n"/>
      <c r="E371" s="4" t="n"/>
      <c r="F371" s="4" t="n"/>
      <c r="G371" s="22" t="n"/>
      <c r="H371" s="22" t="n"/>
      <c r="I371" s="22" t="n"/>
      <c r="J371" s="22" t="n"/>
      <c r="K371" s="4" t="n"/>
      <c r="L371" s="22" t="n"/>
      <c r="M371" s="22" t="n"/>
      <c r="N371" s="22" t="n"/>
      <c r="O371" s="22" t="n"/>
      <c r="P371" s="4" t="n"/>
      <c r="Q371" s="22" t="n"/>
      <c r="R371" s="22" t="n"/>
      <c r="S371" s="22" t="n"/>
      <c r="T371" s="22" t="n"/>
      <c r="U371" s="4" t="n"/>
      <c r="V371" s="22" t="n"/>
      <c r="W371" s="22" t="n"/>
      <c r="X371" s="22" t="n"/>
      <c r="Y371" s="22" t="n"/>
      <c r="Z371" s="4" t="n"/>
      <c r="AA371" s="22" t="n"/>
      <c r="AB371" s="22" t="n"/>
      <c r="AC371" s="22" t="n"/>
      <c r="AD371" s="22" t="n"/>
      <c r="AE371" s="4" t="n"/>
      <c r="AF371" s="22" t="n"/>
      <c r="AG371" s="22" t="n"/>
      <c r="AH371" s="22" t="n"/>
      <c r="AI371" s="22" t="n"/>
      <c r="AJ371" s="4" t="n"/>
      <c r="AK371" s="22" t="n"/>
      <c r="AL371" s="308" t="n"/>
      <c r="AM371" s="22" t="n"/>
      <c r="AN371" s="22" t="n"/>
      <c r="AO371" s="4" t="n"/>
      <c r="AP371" s="22" t="n"/>
      <c r="AQ371" s="22" t="n"/>
      <c r="AR371" s="22" t="n"/>
      <c r="AS371" s="22" t="n"/>
      <c r="AT371" s="4" t="n"/>
      <c r="AU371" s="4" t="n"/>
      <c r="AV371" s="4" t="n"/>
      <c r="AW371" s="4" t="n"/>
      <c r="AX371" s="22" t="n"/>
    </row>
    <row r="372" customFormat="1" s="5">
      <c r="A372" s="36" t="inlineStr">
        <is>
          <t>Accounts payable</t>
        </is>
      </c>
      <c r="B372" s="376" t="n"/>
      <c r="C372" s="343" t="n">
        <v>8.775</v>
      </c>
      <c r="D372" s="343" t="n">
        <v>6.526</v>
      </c>
      <c r="E372" s="343" t="n">
        <v>30.132</v>
      </c>
      <c r="F372" s="343" t="n">
        <v>37.431</v>
      </c>
      <c r="G372" s="228" t="n">
        <v>25.829</v>
      </c>
      <c r="H372" s="228" t="n">
        <v>25.968</v>
      </c>
      <c r="I372" s="228" t="n">
        <v>24.754</v>
      </c>
      <c r="J372" s="228">
        <f>K372</f>
        <v/>
      </c>
      <c r="K372" s="343" t="n">
        <v>29.964</v>
      </c>
      <c r="L372" s="228" t="n">
        <v>28.608</v>
      </c>
      <c r="M372" s="228" t="n">
        <v>30.19</v>
      </c>
      <c r="N372" s="228" t="n">
        <v>37.245</v>
      </c>
      <c r="O372" s="228">
        <f>P372</f>
        <v/>
      </c>
      <c r="P372" s="343" t="n">
        <v>39.811</v>
      </c>
      <c r="Q372" s="228" t="n">
        <v>40.296</v>
      </c>
      <c r="R372" s="228" t="n">
        <v>50.241</v>
      </c>
      <c r="S372" s="228" t="n">
        <v>42.216</v>
      </c>
      <c r="T372" s="228">
        <f>U372</f>
        <v/>
      </c>
      <c r="U372" s="343" t="n">
        <v>44.6</v>
      </c>
      <c r="V372" s="228" t="n">
        <v>47.632</v>
      </c>
      <c r="W372" s="228" t="n">
        <v>55.217</v>
      </c>
      <c r="X372" s="228" t="n">
        <v>50.45</v>
      </c>
      <c r="Y372" s="93">
        <f>Z372</f>
        <v/>
      </c>
      <c r="Z372" s="344" t="n">
        <v>59.533</v>
      </c>
      <c r="AA372" s="228" t="n">
        <v>63.452</v>
      </c>
      <c r="AB372" s="228" t="n">
        <v>58.754</v>
      </c>
      <c r="AC372" s="228" t="n">
        <v>42.067</v>
      </c>
      <c r="AD372" s="93">
        <f>AE372</f>
        <v/>
      </c>
      <c r="AE372" s="344" t="n">
        <v>59.09</v>
      </c>
      <c r="AF372" s="228" t="n">
        <v>64.498</v>
      </c>
      <c r="AG372" s="228" t="n">
        <v>71.137</v>
      </c>
      <c r="AH372" s="228" t="n">
        <v>72.922</v>
      </c>
      <c r="AI372" s="93">
        <f>AJ372</f>
        <v/>
      </c>
      <c r="AJ372" s="344" t="n">
        <v>70.336</v>
      </c>
      <c r="AK372" s="228" t="n">
        <v>63.349</v>
      </c>
      <c r="AL372" s="322" t="n">
        <v>73.79000000000001</v>
      </c>
      <c r="AM372" s="93" t="n"/>
      <c r="AN372" s="93" t="n"/>
      <c r="AO372" s="344" t="n"/>
      <c r="AP372" s="93" t="n"/>
      <c r="AQ372" s="93" t="n"/>
      <c r="AR372" s="93" t="n"/>
      <c r="AS372" s="93" t="n"/>
      <c r="AT372" s="344" t="n"/>
      <c r="AU372" s="344" t="n"/>
      <c r="AV372" s="344" t="n"/>
      <c r="AW372" s="344" t="n"/>
      <c r="AX372" s="228" t="n"/>
    </row>
    <row r="373" customFormat="1" s="5">
      <c r="A373" s="36" t="inlineStr">
        <is>
          <t>Accrued liabilities</t>
        </is>
      </c>
      <c r="B373" s="376" t="n"/>
      <c r="C373" s="343" t="n">
        <v>14.804</v>
      </c>
      <c r="D373" s="343" t="n">
        <v>16.936</v>
      </c>
      <c r="E373" s="343" t="n">
        <v>31.091</v>
      </c>
      <c r="F373" s="343" t="n">
        <v>55.696</v>
      </c>
      <c r="G373" s="228" t="n">
        <v>54.168</v>
      </c>
      <c r="H373" s="228" t="n">
        <v>43.544</v>
      </c>
      <c r="I373" s="228" t="n">
        <v>44.416</v>
      </c>
      <c r="J373" s="228">
        <f>K373</f>
        <v/>
      </c>
      <c r="K373" s="343" t="n">
        <v>51.011</v>
      </c>
      <c r="L373" s="228" t="n">
        <v>54.97</v>
      </c>
      <c r="M373" s="228" t="n">
        <v>55.755</v>
      </c>
      <c r="N373" s="228" t="n">
        <v>57.894</v>
      </c>
      <c r="O373" s="228">
        <f>P373</f>
        <v/>
      </c>
      <c r="P373" s="343" t="n">
        <v>61.974</v>
      </c>
      <c r="Q373" s="228" t="n">
        <v>62.522</v>
      </c>
      <c r="R373" s="228" t="n">
        <v>73.447</v>
      </c>
      <c r="S373" s="228" t="n">
        <v>66.729</v>
      </c>
      <c r="T373" s="228">
        <f>U373</f>
        <v/>
      </c>
      <c r="U373" s="343" t="n">
        <v>74.29600000000001</v>
      </c>
      <c r="V373" s="228" t="n">
        <v>106.684</v>
      </c>
      <c r="W373" s="228" t="n">
        <v>87.605</v>
      </c>
      <c r="X373" s="228" t="n">
        <v>90.437</v>
      </c>
      <c r="Y373" s="93">
        <f>Z373</f>
        <v/>
      </c>
      <c r="Z373" s="344" t="n">
        <v>105.042</v>
      </c>
      <c r="AA373" s="228" t="n">
        <v>107.142</v>
      </c>
      <c r="AB373" s="228" t="n">
        <v>94.446</v>
      </c>
      <c r="AC373" s="228" t="n">
        <v>91.51000000000001</v>
      </c>
      <c r="AD373" s="93">
        <f>AE373</f>
        <v/>
      </c>
      <c r="AE373" s="344" t="n">
        <v>114.058</v>
      </c>
      <c r="AF373" s="228" t="n">
        <v>107.661</v>
      </c>
      <c r="AG373" s="228" t="n">
        <v>124.792</v>
      </c>
      <c r="AH373" s="228" t="n">
        <v>100.426</v>
      </c>
      <c r="AI373" s="93">
        <f>AJ373</f>
        <v/>
      </c>
      <c r="AJ373" s="344" t="n">
        <v>121.878</v>
      </c>
      <c r="AK373" s="228" t="n">
        <v>145.901</v>
      </c>
      <c r="AL373" s="322" t="n">
        <v>142.246</v>
      </c>
      <c r="AM373" s="93" t="n"/>
      <c r="AN373" s="93" t="n"/>
      <c r="AO373" s="344" t="n"/>
      <c r="AP373" s="93" t="n"/>
      <c r="AQ373" s="93" t="n"/>
      <c r="AR373" s="93" t="n"/>
      <c r="AS373" s="93" t="n"/>
      <c r="AT373" s="344" t="n"/>
      <c r="AU373" s="344" t="n"/>
      <c r="AV373" s="344" t="n"/>
      <c r="AW373" s="344" t="n"/>
      <c r="AX373" s="228" t="n"/>
    </row>
    <row r="374" customFormat="1" s="5">
      <c r="A374" s="36" t="inlineStr">
        <is>
          <t>Deferred revenue</t>
        </is>
      </c>
      <c r="B374" s="376" t="n"/>
      <c r="C374" s="343" t="n"/>
      <c r="D374" s="343" t="n"/>
      <c r="E374" s="343" t="n">
        <v>5.571</v>
      </c>
      <c r="F374" s="343" t="n">
        <v>10.826</v>
      </c>
      <c r="G374" s="228" t="n">
        <v>11.159</v>
      </c>
      <c r="H374" s="228" t="n">
        <v>12.724</v>
      </c>
      <c r="I374" s="228" t="n">
        <v>13.529</v>
      </c>
      <c r="J374" s="228">
        <f>K374</f>
        <v/>
      </c>
      <c r="K374" s="343" t="n">
        <v>15.71</v>
      </c>
      <c r="L374" s="228" t="n">
        <v>14.006</v>
      </c>
      <c r="M374" s="228" t="n">
        <v>13.792</v>
      </c>
      <c r="N374" s="228" t="n">
        <v>14.539</v>
      </c>
      <c r="O374" s="228">
        <f>P374</f>
        <v/>
      </c>
      <c r="P374" s="343" t="n">
        <v>14.758</v>
      </c>
      <c r="Q374" s="228" t="n">
        <v>16.665</v>
      </c>
      <c r="R374" s="228" t="n">
        <v>16.186</v>
      </c>
      <c r="S374" s="228" t="n">
        <v>17.675</v>
      </c>
      <c r="T374" s="228">
        <f>U374</f>
        <v/>
      </c>
      <c r="U374" s="343" t="n">
        <v>17.743</v>
      </c>
      <c r="V374" s="228" t="n">
        <v>18.948</v>
      </c>
      <c r="W374" s="228" t="n">
        <v>21.829</v>
      </c>
      <c r="X374" s="228" t="n">
        <v>23.4</v>
      </c>
      <c r="Y374" s="93">
        <f>Z374</f>
        <v/>
      </c>
      <c r="Z374" s="344" t="n">
        <v>24.364</v>
      </c>
      <c r="AA374" s="228" t="n">
        <v>23.363</v>
      </c>
      <c r="AB374" s="228" t="n">
        <v>23.013</v>
      </c>
      <c r="AC374" s="228" t="n">
        <v>23.257</v>
      </c>
      <c r="AD374" s="93">
        <f>AE374</f>
        <v/>
      </c>
      <c r="AE374" s="344" t="n">
        <v>23.485</v>
      </c>
      <c r="AF374" s="228" t="n">
        <v>20.216</v>
      </c>
      <c r="AG374" s="228" t="n">
        <v>20.719</v>
      </c>
      <c r="AH374" s="228" t="n">
        <v>20.326</v>
      </c>
      <c r="AI374" s="93">
        <f>AJ374</f>
        <v/>
      </c>
      <c r="AJ374" s="344" t="n">
        <v>20.558</v>
      </c>
      <c r="AK374" s="228" t="n">
        <v>22.84</v>
      </c>
      <c r="AL374" s="322" t="n">
        <v>22.998</v>
      </c>
      <c r="AM374" s="93" t="n"/>
      <c r="AN374" s="93" t="n"/>
      <c r="AO374" s="344" t="n"/>
      <c r="AP374" s="93" t="n"/>
      <c r="AQ374" s="93" t="n"/>
      <c r="AR374" s="93" t="n"/>
      <c r="AS374" s="93" t="n"/>
      <c r="AT374" s="344" t="n"/>
      <c r="AU374" s="344" t="n"/>
      <c r="AV374" s="344" t="n"/>
      <c r="AW374" s="344" t="n"/>
      <c r="AX374" s="228" t="n"/>
    </row>
    <row r="375" customFormat="1" s="5">
      <c r="A375" s="36" t="inlineStr">
        <is>
          <t>Capital lease liabilities, current</t>
        </is>
      </c>
      <c r="B375" s="376" t="n"/>
      <c r="C375" s="343" t="n">
        <v>0.528</v>
      </c>
      <c r="D375" s="343" t="n">
        <v>0.316</v>
      </c>
      <c r="E375" s="343" t="n">
        <v>0.299</v>
      </c>
      <c r="F375" s="343" t="n">
        <v>1.253</v>
      </c>
      <c r="G375" s="228" t="n">
        <v>1.251</v>
      </c>
      <c r="H375" s="228" t="n">
        <v>1.109</v>
      </c>
      <c r="I375" s="228" t="n">
        <v>1.246</v>
      </c>
      <c r="J375" s="228">
        <f>K375</f>
        <v/>
      </c>
      <c r="K375" s="343" t="n">
        <v>1.377</v>
      </c>
      <c r="L375" s="228" t="n">
        <v>1.243</v>
      </c>
      <c r="M375" s="228" t="n">
        <v>1.241</v>
      </c>
      <c r="N375" s="228" t="n">
        <v>1.101</v>
      </c>
      <c r="O375" s="228">
        <f>P375</f>
        <v/>
      </c>
      <c r="P375" s="343" t="n">
        <v>1.102</v>
      </c>
      <c r="Q375" s="228" t="n">
        <v>1.098</v>
      </c>
      <c r="R375" s="228" t="n">
        <v>1.04</v>
      </c>
      <c r="S375" s="228" t="n">
        <v>0.765</v>
      </c>
      <c r="T375" s="228">
        <f>U375</f>
        <v/>
      </c>
      <c r="U375" s="343" t="n">
        <v>0.491</v>
      </c>
      <c r="V375" s="228" t="n">
        <v>0.217</v>
      </c>
      <c r="W375" s="228" t="n">
        <v>0</v>
      </c>
      <c r="X375" s="228" t="n">
        <v>0</v>
      </c>
      <c r="Y375" s="93">
        <f>Z375</f>
        <v/>
      </c>
      <c r="Z375" s="344" t="n">
        <v>0</v>
      </c>
      <c r="AA375" s="228" t="n"/>
      <c r="AB375" s="228" t="n"/>
      <c r="AC375" s="228" t="n"/>
      <c r="AD375" s="93">
        <f>AE375</f>
        <v/>
      </c>
      <c r="AE375" s="344" t="n"/>
      <c r="AF375" s="228" t="n"/>
      <c r="AG375" s="228" t="n"/>
      <c r="AH375" s="228" t="n"/>
      <c r="AI375" s="93">
        <f>AJ375</f>
        <v/>
      </c>
      <c r="AJ375" s="344" t="n"/>
      <c r="AK375" s="228" t="n"/>
      <c r="AL375" s="322" t="n"/>
      <c r="AM375" s="93" t="n"/>
      <c r="AN375" s="93" t="n"/>
      <c r="AO375" s="344" t="n"/>
      <c r="AP375" s="93" t="n"/>
      <c r="AQ375" s="93" t="n"/>
      <c r="AR375" s="93" t="n"/>
      <c r="AS375" s="93" t="n"/>
      <c r="AT375" s="344" t="n"/>
      <c r="AU375" s="344" t="n"/>
      <c r="AV375" s="344" t="n"/>
      <c r="AW375" s="344" t="n"/>
      <c r="AX375" s="228" t="n"/>
    </row>
    <row r="376" customFormat="1" s="5">
      <c r="A376" s="36" t="inlineStr">
        <is>
          <t>Lease liabilities</t>
        </is>
      </c>
      <c r="B376" s="376" t="n"/>
      <c r="C376" s="343" t="n"/>
      <c r="D376" s="343" t="n"/>
      <c r="E376" s="343" t="n"/>
      <c r="F376" s="343" t="n"/>
      <c r="G376" s="228" t="n"/>
      <c r="H376" s="228" t="n"/>
      <c r="I376" s="228" t="n"/>
      <c r="J376" s="228" t="n"/>
      <c r="K376" s="343" t="n"/>
      <c r="L376" s="228" t="n"/>
      <c r="M376" s="228" t="n"/>
      <c r="N376" s="228" t="n"/>
      <c r="O376" s="228" t="n"/>
      <c r="P376" s="343" t="n"/>
      <c r="Q376" s="228" t="n"/>
      <c r="R376" s="228" t="n"/>
      <c r="S376" s="228" t="n"/>
      <c r="T376" s="228" t="n"/>
      <c r="U376" s="343" t="n"/>
      <c r="V376" s="228" t="n"/>
      <c r="W376" s="228" t="n"/>
      <c r="X376" s="228" t="n"/>
      <c r="Y376" s="93" t="n"/>
      <c r="Z376" s="344" t="n"/>
      <c r="AA376" s="228" t="n"/>
      <c r="AB376" s="228" t="n"/>
      <c r="AC376" s="228" t="n"/>
      <c r="AD376" s="93" t="n"/>
      <c r="AE376" s="344" t="n"/>
      <c r="AF376" s="228" t="n"/>
      <c r="AG376" s="228" t="n"/>
      <c r="AH376" s="228" t="n"/>
      <c r="AI376" s="93" t="n"/>
      <c r="AJ376" s="344" t="n"/>
      <c r="AK376" s="228" t="n">
        <v>17.73</v>
      </c>
      <c r="AL376" s="322" t="n"/>
      <c r="AM376" s="93" t="n"/>
      <c r="AN376" s="93" t="n"/>
      <c r="AO376" s="344" t="n"/>
      <c r="AP376" s="93" t="n"/>
      <c r="AQ376" s="93" t="n"/>
      <c r="AR376" s="93" t="n"/>
      <c r="AS376" s="93" t="n"/>
      <c r="AT376" s="344" t="n"/>
      <c r="AU376" s="344" t="n"/>
      <c r="AV376" s="344" t="n"/>
      <c r="AW376" s="344" t="n"/>
      <c r="AX376" s="228" t="n"/>
    </row>
    <row r="377" customFormat="1" s="5">
      <c r="A377" s="36" t="inlineStr">
        <is>
          <t>Current portion of term debt</t>
        </is>
      </c>
      <c r="B377" s="376" t="n"/>
      <c r="C377" s="343" t="n"/>
      <c r="D377" s="343" t="n"/>
      <c r="E377" s="343" t="n"/>
      <c r="F377" s="343" t="n"/>
      <c r="G377" s="228" t="n"/>
      <c r="H377" s="228" t="n"/>
      <c r="I377" s="228" t="n"/>
      <c r="J377" s="228">
        <f>K377</f>
        <v/>
      </c>
      <c r="K377" s="343" t="n"/>
      <c r="L377" s="228" t="n"/>
      <c r="M377" s="228" t="n"/>
      <c r="N377" s="228" t="n"/>
      <c r="O377" s="228">
        <f>P377</f>
        <v/>
      </c>
      <c r="P377" s="343" t="n"/>
      <c r="Q377" s="228" t="n"/>
      <c r="R377" s="228" t="n"/>
      <c r="S377" s="228" t="n"/>
      <c r="T377" s="228">
        <f>U377</f>
        <v/>
      </c>
      <c r="U377" s="343" t="n"/>
      <c r="V377" s="228" t="n">
        <v>25.905</v>
      </c>
      <c r="W377" s="228" t="n">
        <v>29.471</v>
      </c>
      <c r="X377" s="228" t="n">
        <v>20.065</v>
      </c>
      <c r="Y377" s="93">
        <f>Z377</f>
        <v/>
      </c>
      <c r="Z377" s="344" t="n">
        <v>23.628</v>
      </c>
      <c r="AA377" s="228" t="n">
        <v>14.225</v>
      </c>
      <c r="AB377" s="228" t="n">
        <v>21.773</v>
      </c>
      <c r="AC377" s="228" t="n">
        <v>23.341</v>
      </c>
      <c r="AD377" s="93">
        <f>AE377</f>
        <v/>
      </c>
      <c r="AE377" s="344" t="n">
        <v>0</v>
      </c>
      <c r="AF377" s="228" t="n">
        <v>34.332</v>
      </c>
      <c r="AG377" s="228" t="n"/>
      <c r="AH377" s="228" t="n"/>
      <c r="AI377" s="93">
        <f>AJ377</f>
        <v/>
      </c>
      <c r="AJ377" s="344" t="n"/>
      <c r="AK377" s="228" t="n"/>
      <c r="AL377" s="322" t="n"/>
      <c r="AM377" s="93" t="n"/>
      <c r="AN377" s="93" t="n"/>
      <c r="AO377" s="344" t="n"/>
      <c r="AP377" s="93" t="n"/>
      <c r="AQ377" s="93" t="n"/>
      <c r="AR377" s="93" t="n"/>
      <c r="AS377" s="93" t="n"/>
      <c r="AT377" s="344" t="n"/>
      <c r="AU377" s="344" t="n"/>
      <c r="AV377" s="344" t="n"/>
      <c r="AW377" s="344" t="n"/>
      <c r="AX377" s="228" t="n"/>
    </row>
    <row r="378" customFormat="1" s="9">
      <c r="A378" s="347" t="inlineStr">
        <is>
          <t>Total Current Liabilities</t>
        </is>
      </c>
      <c r="B378" s="377" t="n"/>
      <c r="C378" s="349">
        <f>SUM(C372:C377)</f>
        <v/>
      </c>
      <c r="D378" s="349">
        <f>SUM(D372:D377)</f>
        <v/>
      </c>
      <c r="E378" s="349">
        <f>SUM(E372:E377)</f>
        <v/>
      </c>
      <c r="F378" s="349">
        <f>SUM(F372:F377)</f>
        <v/>
      </c>
      <c r="G378" s="350">
        <f>SUM(G372:G377)</f>
        <v/>
      </c>
      <c r="H378" s="350">
        <f>SUM(H372:H377)</f>
        <v/>
      </c>
      <c r="I378" s="350">
        <f>SUM(I372:I377)</f>
        <v/>
      </c>
      <c r="J378" s="350">
        <f>SUM(J372:J377)</f>
        <v/>
      </c>
      <c r="K378" s="349">
        <f>SUM(K372:K377)</f>
        <v/>
      </c>
      <c r="L378" s="350">
        <f>SUM(L372:L377)</f>
        <v/>
      </c>
      <c r="M378" s="350">
        <f>SUM(M372:M377)</f>
        <v/>
      </c>
      <c r="N378" s="350">
        <f>SUM(N372:N377)</f>
        <v/>
      </c>
      <c r="O378" s="350">
        <f>SUM(O372:O377)</f>
        <v/>
      </c>
      <c r="P378" s="349">
        <f>SUM(P372:P377)</f>
        <v/>
      </c>
      <c r="Q378" s="350">
        <f>SUM(Q372:Q377)</f>
        <v/>
      </c>
      <c r="R378" s="350">
        <f>SUM(R372:R377)</f>
        <v/>
      </c>
      <c r="S378" s="350">
        <f>SUM(S372:S377)</f>
        <v/>
      </c>
      <c r="T378" s="350">
        <f>SUM(T372:T377)</f>
        <v/>
      </c>
      <c r="U378" s="349">
        <f>SUM(U372:U377)</f>
        <v/>
      </c>
      <c r="V378" s="350">
        <f>SUM(V372:V377)</f>
        <v/>
      </c>
      <c r="W378" s="350">
        <f>SUM(W372:W377)</f>
        <v/>
      </c>
      <c r="X378" s="350">
        <f>SUM(X372:X377)</f>
        <v/>
      </c>
      <c r="Y378" s="351">
        <f>SUM(Y372:Y377)</f>
        <v/>
      </c>
      <c r="Z378" s="352">
        <f>SUM(Z372:Z377)</f>
        <v/>
      </c>
      <c r="AA378" s="350">
        <f>SUM(AA372:AA377)</f>
        <v/>
      </c>
      <c r="AB378" s="350">
        <f>SUM(AB372:AB377)</f>
        <v/>
      </c>
      <c r="AC378" s="350">
        <f>SUM(AC372:AC377)</f>
        <v/>
      </c>
      <c r="AD378" s="351">
        <f>SUM(AD372:AD377)</f>
        <v/>
      </c>
      <c r="AE378" s="352">
        <f>SUM(AE372:AE377)</f>
        <v/>
      </c>
      <c r="AF378" s="350">
        <f>SUM(AF372:AF377)</f>
        <v/>
      </c>
      <c r="AG378" s="350">
        <f>SUM(AG372:AG377)</f>
        <v/>
      </c>
      <c r="AH378" s="350">
        <f>SUM(AH372:AH377)</f>
        <v/>
      </c>
      <c r="AI378" s="351">
        <f>SUM(AI372:AI377)</f>
        <v/>
      </c>
      <c r="AJ378" s="352">
        <f>SUM(AJ372:AJ377)</f>
        <v/>
      </c>
      <c r="AK378" s="350">
        <f>SUM(AK372:AK377)</f>
        <v/>
      </c>
      <c r="AL378" s="353">
        <f>SUM(AL372:AL377)</f>
        <v/>
      </c>
      <c r="AM378" s="351" t="n"/>
      <c r="AN378" s="351" t="n"/>
      <c r="AO378" s="352" t="n"/>
      <c r="AP378" s="351" t="n"/>
      <c r="AQ378" s="351" t="n"/>
      <c r="AR378" s="351" t="n"/>
      <c r="AS378" s="351" t="n"/>
      <c r="AT378" s="352" t="n"/>
      <c r="AU378" s="352" t="n"/>
      <c r="AV378" s="352" t="n"/>
      <c r="AW378" s="352" t="n"/>
      <c r="AX378" s="22" t="n"/>
    </row>
    <row r="379" customFormat="1" s="9">
      <c r="A379" s="35" t="n"/>
      <c r="B379" s="103" t="n"/>
      <c r="C379" s="4" t="n"/>
      <c r="D379" s="4" t="n"/>
      <c r="E379" s="4" t="n"/>
      <c r="F379" s="4" t="n"/>
      <c r="G379" s="22" t="n"/>
      <c r="H379" s="22" t="n"/>
      <c r="I379" s="22" t="n"/>
      <c r="J379" s="22" t="n"/>
      <c r="K379" s="4" t="n"/>
      <c r="L379" s="22" t="n"/>
      <c r="M379" s="22" t="n"/>
      <c r="N379" s="22" t="n"/>
      <c r="O379" s="22" t="n"/>
      <c r="P379" s="4" t="n"/>
      <c r="Q379" s="22" t="n"/>
      <c r="R379" s="22" t="n"/>
      <c r="S379" s="22" t="n"/>
      <c r="T379" s="22" t="n"/>
      <c r="U379" s="4" t="n"/>
      <c r="V379" s="22" t="n"/>
      <c r="W379" s="22" t="n"/>
      <c r="X379" s="22" t="n"/>
      <c r="Y379" s="22" t="n"/>
      <c r="Z379" s="4" t="n"/>
      <c r="AA379" s="22" t="n"/>
      <c r="AB379" s="22" t="n"/>
      <c r="AC379" s="22" t="n"/>
      <c r="AD379" s="22" t="n"/>
      <c r="AE379" s="4" t="n"/>
      <c r="AF379" s="22" t="n"/>
      <c r="AG379" s="22" t="n"/>
      <c r="AH379" s="22" t="n"/>
      <c r="AI379" s="22" t="n"/>
      <c r="AJ379" s="4" t="n"/>
      <c r="AK379" s="22" t="n"/>
      <c r="AL379" s="308" t="n"/>
      <c r="AM379" s="22" t="n"/>
      <c r="AN379" s="22" t="n"/>
      <c r="AO379" s="4" t="n"/>
      <c r="AP379" s="22" t="n"/>
      <c r="AQ379" s="22" t="n"/>
      <c r="AR379" s="22" t="n"/>
      <c r="AS379" s="22" t="n"/>
      <c r="AT379" s="4" t="n"/>
      <c r="AU379" s="4" t="n"/>
      <c r="AV379" s="4" t="n"/>
      <c r="AW379" s="4" t="n"/>
      <c r="AX379" s="22" t="n"/>
    </row>
    <row r="380" customFormat="1" s="9">
      <c r="A380" s="468" t="inlineStr">
        <is>
          <t>Non-Current Liabilities</t>
        </is>
      </c>
      <c r="B380" s="103" t="n"/>
      <c r="C380" s="4" t="n"/>
      <c r="D380" s="4" t="n"/>
      <c r="E380" s="4" t="n"/>
      <c r="F380" s="4" t="n"/>
      <c r="G380" s="22" t="n"/>
      <c r="H380" s="22" t="n"/>
      <c r="I380" s="22" t="n"/>
      <c r="J380" s="22" t="n"/>
      <c r="K380" s="4" t="n"/>
      <c r="L380" s="22" t="n"/>
      <c r="M380" s="22" t="n"/>
      <c r="N380" s="22" t="n"/>
      <c r="O380" s="22" t="n"/>
      <c r="P380" s="4" t="n"/>
      <c r="Q380" s="22" t="n"/>
      <c r="R380" s="22" t="n"/>
      <c r="S380" s="22" t="n"/>
      <c r="T380" s="22" t="n"/>
      <c r="U380" s="4" t="n"/>
      <c r="V380" s="22" t="n"/>
      <c r="W380" s="22" t="n"/>
      <c r="X380" s="22" t="n"/>
      <c r="Y380" s="22" t="n"/>
      <c r="Z380" s="4" t="n"/>
      <c r="AA380" s="22" t="n"/>
      <c r="AB380" s="22" t="n"/>
      <c r="AC380" s="22" t="n"/>
      <c r="AD380" s="22" t="n"/>
      <c r="AE380" s="4" t="n"/>
      <c r="AF380" s="22" t="n"/>
      <c r="AG380" s="22" t="n"/>
      <c r="AH380" s="22" t="n"/>
      <c r="AI380" s="22" t="n"/>
      <c r="AJ380" s="4" t="n"/>
      <c r="AK380" s="22" t="n"/>
      <c r="AL380" s="308" t="n"/>
      <c r="AM380" s="22" t="n"/>
      <c r="AN380" s="22" t="n"/>
      <c r="AO380" s="4" t="n"/>
      <c r="AP380" s="22" t="n"/>
      <c r="AQ380" s="22" t="n"/>
      <c r="AR380" s="22" t="n"/>
      <c r="AS380" s="22" t="n"/>
      <c r="AT380" s="4" t="n"/>
      <c r="AU380" s="4" t="n"/>
      <c r="AV380" s="4" t="n"/>
      <c r="AW380" s="4" t="n"/>
      <c r="AX380" s="22" t="n"/>
    </row>
    <row r="381" customFormat="1" s="5">
      <c r="A381" s="36" t="inlineStr">
        <is>
          <t>Accrued severance</t>
        </is>
      </c>
      <c r="B381" s="376" t="n"/>
      <c r="C381" s="343" t="n">
        <v>5.778</v>
      </c>
      <c r="D381" s="343" t="n">
        <v>7.355</v>
      </c>
      <c r="E381" s="343" t="n">
        <v>10.433</v>
      </c>
      <c r="F381" s="343" t="n">
        <v>11.821</v>
      </c>
      <c r="G381" s="228" t="n">
        <v>12.327</v>
      </c>
      <c r="H381" s="228" t="n">
        <v>12.796</v>
      </c>
      <c r="I381" s="228" t="n">
        <v>13.274</v>
      </c>
      <c r="J381" s="228">
        <f>K381</f>
        <v/>
      </c>
      <c r="K381" s="343" t="n">
        <v>13.418</v>
      </c>
      <c r="L381" s="228" t="n">
        <v>13.249</v>
      </c>
      <c r="M381" s="228" t="n">
        <v>13.286</v>
      </c>
      <c r="N381" s="228" t="n">
        <v>12.401</v>
      </c>
      <c r="O381" s="228">
        <f>P381</f>
        <v/>
      </c>
      <c r="P381" s="343" t="n">
        <v>11.85</v>
      </c>
      <c r="Q381" s="228" t="n">
        <v>12.399</v>
      </c>
      <c r="R381" s="228" t="n">
        <v>13.087</v>
      </c>
      <c r="S381" s="228" t="n">
        <v>12.454</v>
      </c>
      <c r="T381" s="228">
        <f>U381</f>
        <v/>
      </c>
      <c r="U381" s="343" t="n">
        <v>12.464</v>
      </c>
      <c r="V381" s="228" t="n">
        <v>19.63</v>
      </c>
      <c r="W381" s="228" t="n">
        <v>20.219</v>
      </c>
      <c r="X381" s="228" t="n">
        <v>20.583</v>
      </c>
      <c r="Y381" s="93">
        <f>Z381</f>
        <v/>
      </c>
      <c r="Z381" s="344" t="n">
        <v>19.874</v>
      </c>
      <c r="AA381" s="228" t="n">
        <v>20.955</v>
      </c>
      <c r="AB381" s="228" t="n">
        <v>23.041</v>
      </c>
      <c r="AC381" s="228" t="n">
        <v>22.825</v>
      </c>
      <c r="AD381" s="93">
        <f>AE381</f>
        <v/>
      </c>
      <c r="AE381" s="344" t="n">
        <v>23.205</v>
      </c>
      <c r="AF381" s="228" t="n">
        <v>22.77</v>
      </c>
      <c r="AG381" s="228" t="n">
        <v>21.464</v>
      </c>
      <c r="AH381" s="228" t="n">
        <v>22.603</v>
      </c>
      <c r="AI381" s="93">
        <f>AJ381</f>
        <v/>
      </c>
      <c r="AJ381" s="344" t="n">
        <v>21.645</v>
      </c>
      <c r="AK381" s="228" t="n">
        <v>6.145</v>
      </c>
      <c r="AL381" s="322" t="n"/>
      <c r="AM381" s="93" t="n"/>
      <c r="AN381" s="93" t="n"/>
      <c r="AO381" s="344" t="n"/>
      <c r="AP381" s="93" t="n"/>
      <c r="AQ381" s="93" t="n"/>
      <c r="AR381" s="93" t="n"/>
      <c r="AS381" s="93" t="n"/>
      <c r="AT381" s="344" t="n"/>
      <c r="AU381" s="344" t="n"/>
      <c r="AV381" s="344" t="n"/>
      <c r="AW381" s="344" t="n"/>
      <c r="AX381" s="228" t="n"/>
    </row>
    <row r="382" customFormat="1" s="5">
      <c r="A382" s="36" t="inlineStr">
        <is>
          <t>Deferred revenue</t>
        </is>
      </c>
      <c r="B382" s="376" t="n"/>
      <c r="C382" s="343" t="n"/>
      <c r="D382" s="343" t="n">
        <v>0.5629999999999999</v>
      </c>
      <c r="E382" s="343" t="n">
        <v>3.664</v>
      </c>
      <c r="F382" s="343" t="n">
        <v>8.366</v>
      </c>
      <c r="G382" s="228" t="n">
        <v>8.499000000000001</v>
      </c>
      <c r="H382" s="228" t="n">
        <v>9.17</v>
      </c>
      <c r="I382" s="228" t="n">
        <v>9.179</v>
      </c>
      <c r="J382" s="228">
        <f>K382</f>
        <v/>
      </c>
      <c r="K382" s="343" t="n">
        <v>9.045</v>
      </c>
      <c r="L382" s="228" t="n">
        <v>9.019</v>
      </c>
      <c r="M382" s="228" t="n">
        <v>8.43</v>
      </c>
      <c r="N382" s="228" t="n">
        <v>8.669</v>
      </c>
      <c r="O382" s="228">
        <f>P382</f>
        <v/>
      </c>
      <c r="P382" s="343" t="n">
        <v>8.942</v>
      </c>
      <c r="Q382" s="228" t="n">
        <v>9.705</v>
      </c>
      <c r="R382" s="228" t="n">
        <v>10.348</v>
      </c>
      <c r="S382" s="228" t="n">
        <v>11.398</v>
      </c>
      <c r="T382" s="228">
        <f>U382</f>
        <v/>
      </c>
      <c r="U382" s="343" t="n">
        <v>12.439</v>
      </c>
      <c r="V382" s="228" t="n">
        <v>12.197</v>
      </c>
      <c r="W382" s="228" t="n">
        <v>14.195</v>
      </c>
      <c r="X382" s="228" t="n">
        <v>15.507</v>
      </c>
      <c r="Y382" s="93">
        <f>Z382</f>
        <v/>
      </c>
      <c r="Z382" s="344" t="n">
        <v>15.968</v>
      </c>
      <c r="AA382" s="228" t="n">
        <v>15.485</v>
      </c>
      <c r="AB382" s="228" t="n">
        <v>15.237</v>
      </c>
      <c r="AC382" s="228" t="n">
        <v>17.134</v>
      </c>
      <c r="AD382" s="93">
        <f>AE382</f>
        <v/>
      </c>
      <c r="AE382" s="344" t="n">
        <v>17.82</v>
      </c>
      <c r="AF382" s="228" t="n">
        <v>18.6</v>
      </c>
      <c r="AG382" s="228" t="n">
        <v>17.791</v>
      </c>
      <c r="AH382" s="228" t="n">
        <v>17.829</v>
      </c>
      <c r="AI382" s="93">
        <f>AJ382</f>
        <v/>
      </c>
      <c r="AJ382" s="344" t="n">
        <v>18.665</v>
      </c>
      <c r="AK382" s="228" t="n">
        <v>19.565</v>
      </c>
      <c r="AL382" s="322" t="n">
        <v>20.224</v>
      </c>
      <c r="AM382" s="93" t="n"/>
      <c r="AN382" s="93" t="n"/>
      <c r="AO382" s="344" t="n"/>
      <c r="AP382" s="93" t="n"/>
      <c r="AQ382" s="93" t="n"/>
      <c r="AR382" s="93" t="n"/>
      <c r="AS382" s="93" t="n"/>
      <c r="AT382" s="344" t="n"/>
      <c r="AU382" s="344" t="n"/>
      <c r="AV382" s="344" t="n"/>
      <c r="AW382" s="344" t="n"/>
      <c r="AX382" s="228" t="n"/>
    </row>
    <row r="383" customFormat="1" s="5">
      <c r="A383" s="36" t="inlineStr">
        <is>
          <t>Capital lease liabilities</t>
        </is>
      </c>
      <c r="B383" s="376" t="n"/>
      <c r="C383" s="343" t="n">
        <v>0.474</v>
      </c>
      <c r="D383" s="343" t="n">
        <v>0.158</v>
      </c>
      <c r="E383" s="343" t="n">
        <v>0.279</v>
      </c>
      <c r="F383" s="343" t="n">
        <v>2.835</v>
      </c>
      <c r="G383" s="228" t="n">
        <v>2.558</v>
      </c>
      <c r="H383" s="228" t="n">
        <v>2.284</v>
      </c>
      <c r="I383" s="228" t="n">
        <v>1.882</v>
      </c>
      <c r="J383" s="228">
        <f>K383</f>
        <v/>
      </c>
      <c r="K383" s="343" t="n">
        <v>1.6</v>
      </c>
      <c r="L383" s="228" t="n">
        <v>1.318</v>
      </c>
      <c r="M383" s="228" t="n">
        <v>1.043</v>
      </c>
      <c r="N383" s="228" t="n">
        <v>0.768</v>
      </c>
      <c r="O383" s="228">
        <f>P383</f>
        <v/>
      </c>
      <c r="P383" s="343" t="n">
        <v>0.494</v>
      </c>
      <c r="Q383" s="228" t="n">
        <v>0.217</v>
      </c>
      <c r="R383" s="228" t="n"/>
      <c r="S383" s="228" t="n"/>
      <c r="T383" s="228">
        <f>U383</f>
        <v/>
      </c>
      <c r="U383" s="343" t="n">
        <v>0</v>
      </c>
      <c r="V383" s="228" t="n"/>
      <c r="W383" s="228" t="n">
        <v>0</v>
      </c>
      <c r="X383" s="228" t="n">
        <v>0</v>
      </c>
      <c r="Y383" s="93">
        <f>Z383</f>
        <v/>
      </c>
      <c r="Z383" s="344" t="n">
        <v>0</v>
      </c>
      <c r="AA383" s="228" t="n"/>
      <c r="AB383" s="228" t="n"/>
      <c r="AC383" s="228" t="n"/>
      <c r="AD383" s="93">
        <f>AE383</f>
        <v/>
      </c>
      <c r="AE383" s="344" t="n"/>
      <c r="AF383" s="228" t="n"/>
      <c r="AG383" s="228" t="n"/>
      <c r="AH383" s="228" t="n"/>
      <c r="AI383" s="93">
        <f>AJ383</f>
        <v/>
      </c>
      <c r="AJ383" s="344" t="n"/>
      <c r="AK383" s="228" t="n"/>
      <c r="AL383" s="322" t="n"/>
      <c r="AM383" s="93" t="n"/>
      <c r="AN383" s="93" t="n"/>
      <c r="AO383" s="344" t="n"/>
      <c r="AP383" s="93" t="n"/>
      <c r="AQ383" s="93" t="n"/>
      <c r="AR383" s="93" t="n"/>
      <c r="AS383" s="93" t="n"/>
      <c r="AT383" s="344" t="n"/>
      <c r="AU383" s="344" t="n"/>
      <c r="AV383" s="344" t="n"/>
      <c r="AW383" s="344" t="n"/>
      <c r="AX383" s="228" t="n"/>
    </row>
    <row r="384" customFormat="1" s="5">
      <c r="A384" s="36" t="inlineStr">
        <is>
          <t>Lease liabilities, long term</t>
        </is>
      </c>
      <c r="B384" s="376" t="n"/>
      <c r="C384" s="343" t="n"/>
      <c r="D384" s="343" t="n"/>
      <c r="E384" s="343" t="n"/>
      <c r="F384" s="343" t="n"/>
      <c r="G384" s="228" t="n"/>
      <c r="H384" s="228" t="n"/>
      <c r="I384" s="228" t="n"/>
      <c r="J384" s="228" t="n"/>
      <c r="K384" s="343" t="n"/>
      <c r="L384" s="228" t="n"/>
      <c r="M384" s="228" t="n"/>
      <c r="N384" s="228" t="n"/>
      <c r="O384" s="228" t="n"/>
      <c r="P384" s="343" t="n"/>
      <c r="Q384" s="228" t="n"/>
      <c r="R384" s="228" t="n"/>
      <c r="S384" s="228" t="n"/>
      <c r="T384" s="228" t="n"/>
      <c r="U384" s="343" t="n"/>
      <c r="V384" s="228" t="n"/>
      <c r="W384" s="228" t="n"/>
      <c r="X384" s="228" t="n"/>
      <c r="Y384" s="93" t="n"/>
      <c r="Z384" s="344" t="n"/>
      <c r="AA384" s="228" t="n"/>
      <c r="AB384" s="228" t="n"/>
      <c r="AC384" s="228" t="n"/>
      <c r="AD384" s="93" t="n"/>
      <c r="AE384" s="344" t="n"/>
      <c r="AF384" s="228" t="n"/>
      <c r="AG384" s="228" t="n"/>
      <c r="AH384" s="228" t="n"/>
      <c r="AI384" s="93" t="n"/>
      <c r="AJ384" s="344" t="n"/>
      <c r="AK384" s="228" t="n">
        <v>53.66</v>
      </c>
      <c r="AL384" s="322" t="n"/>
      <c r="AM384" s="93" t="n"/>
      <c r="AN384" s="93" t="n"/>
      <c r="AO384" s="344" t="n"/>
      <c r="AP384" s="93" t="n"/>
      <c r="AQ384" s="93" t="n"/>
      <c r="AR384" s="93" t="n"/>
      <c r="AS384" s="93" t="n"/>
      <c r="AT384" s="344" t="n"/>
      <c r="AU384" s="344" t="n"/>
      <c r="AV384" s="344" t="n"/>
      <c r="AW384" s="344" t="n"/>
      <c r="AX384" s="228" t="n"/>
    </row>
    <row r="385" customFormat="1" s="5">
      <c r="A385" s="36" t="inlineStr">
        <is>
          <t>Term debt</t>
        </is>
      </c>
      <c r="B385" s="376" t="n"/>
      <c r="C385" s="343" t="n"/>
      <c r="D385" s="343" t="n"/>
      <c r="E385" s="343" t="n"/>
      <c r="F385" s="343" t="n"/>
      <c r="G385" s="228" t="n"/>
      <c r="H385" s="228" t="n"/>
      <c r="I385" s="228" t="n"/>
      <c r="J385" s="228">
        <f>K385</f>
        <v/>
      </c>
      <c r="K385" s="343" t="n"/>
      <c r="L385" s="228" t="n"/>
      <c r="M385" s="228" t="n"/>
      <c r="N385" s="228" t="n"/>
      <c r="O385" s="228">
        <f>P385</f>
        <v/>
      </c>
      <c r="P385" s="343" t="n"/>
      <c r="Q385" s="228" t="n"/>
      <c r="R385" s="228" t="n"/>
      <c r="S385" s="228" t="n"/>
      <c r="T385" s="228">
        <f>U385</f>
        <v/>
      </c>
      <c r="U385" s="343" t="n"/>
      <c r="V385" s="228" t="n">
        <v>248.926</v>
      </c>
      <c r="W385" s="228" t="n">
        <v>238.904</v>
      </c>
      <c r="X385" s="228" t="n">
        <v>228.85</v>
      </c>
      <c r="Y385" s="93">
        <f>Z385</f>
        <v/>
      </c>
      <c r="Z385" s="344" t="n">
        <v>218.786</v>
      </c>
      <c r="AA385" s="228" t="n">
        <v>208.673</v>
      </c>
      <c r="AB385" s="228" t="n">
        <v>191.57</v>
      </c>
      <c r="AC385" s="228" t="n">
        <v>174.441</v>
      </c>
      <c r="AD385" s="93">
        <f>AE385</f>
        <v/>
      </c>
      <c r="AE385" s="344" t="n">
        <v>72.761</v>
      </c>
      <c r="AF385" s="228" t="n"/>
      <c r="AG385" s="228" t="n"/>
      <c r="AH385" s="228" t="n"/>
      <c r="AI385" s="93">
        <f>AJ385</f>
        <v/>
      </c>
      <c r="AJ385" s="344" t="n"/>
      <c r="AK385" s="228" t="n"/>
      <c r="AL385" s="322" t="n"/>
      <c r="AM385" s="93" t="n"/>
      <c r="AN385" s="93" t="n"/>
      <c r="AO385" s="344" t="n"/>
      <c r="AP385" s="93" t="n"/>
      <c r="AQ385" s="93" t="n"/>
      <c r="AR385" s="93" t="n"/>
      <c r="AS385" s="93" t="n"/>
      <c r="AT385" s="344" t="n"/>
      <c r="AU385" s="344" t="n"/>
      <c r="AV385" s="344" t="n"/>
      <c r="AW385" s="344" t="n"/>
      <c r="AX385" s="228" t="n"/>
    </row>
    <row r="386" customFormat="1" s="5">
      <c r="A386" s="36" t="inlineStr">
        <is>
          <t>Other long-term liabilities</t>
        </is>
      </c>
      <c r="B386" s="376" t="n"/>
      <c r="C386" s="343" t="n">
        <v>2.144</v>
      </c>
      <c r="D386" s="343" t="n">
        <v>2.211</v>
      </c>
      <c r="E386" s="343" t="n">
        <v>6.214</v>
      </c>
      <c r="F386" s="343" t="n">
        <v>11.982</v>
      </c>
      <c r="G386" s="228" t="n">
        <v>12.471</v>
      </c>
      <c r="H386" s="228" t="n">
        <v>13.833</v>
      </c>
      <c r="I386" s="228" t="n">
        <v>17.579</v>
      </c>
      <c r="J386" s="228">
        <f>K386</f>
        <v/>
      </c>
      <c r="K386" s="343" t="n">
        <v>17.89</v>
      </c>
      <c r="L386" s="228" t="n">
        <v>17.355</v>
      </c>
      <c r="M386" s="228" t="n">
        <v>16.46</v>
      </c>
      <c r="N386" s="228" t="n">
        <v>14.889</v>
      </c>
      <c r="O386" s="228">
        <f>P386</f>
        <v/>
      </c>
      <c r="P386" s="343" t="n">
        <v>22.535</v>
      </c>
      <c r="Q386" s="228" t="n">
        <v>24.333</v>
      </c>
      <c r="R386" s="228" t="n">
        <v>26.276</v>
      </c>
      <c r="S386" s="228" t="n">
        <v>26.825</v>
      </c>
      <c r="T386" s="228">
        <f>U386</f>
        <v/>
      </c>
      <c r="U386" s="343" t="n">
        <v>24.668</v>
      </c>
      <c r="V386" s="228" t="n">
        <v>26.498</v>
      </c>
      <c r="W386" s="228" t="n">
        <v>26.217</v>
      </c>
      <c r="X386" s="228" t="n">
        <v>29.356</v>
      </c>
      <c r="Y386" s="93">
        <f>Z386</f>
        <v/>
      </c>
      <c r="Z386" s="344" t="n">
        <v>30.58</v>
      </c>
      <c r="AA386" s="228" t="n">
        <v>31.517</v>
      </c>
      <c r="AB386" s="228" t="n">
        <v>33.741</v>
      </c>
      <c r="AC386" s="228" t="n">
        <v>39.108</v>
      </c>
      <c r="AD386" s="93">
        <f>AE386</f>
        <v/>
      </c>
      <c r="AE386" s="344" t="n">
        <v>34.067</v>
      </c>
      <c r="AF386" s="228" t="n">
        <v>33.096</v>
      </c>
      <c r="AG386" s="228" t="n">
        <v>32.117</v>
      </c>
      <c r="AH386" s="228" t="n">
        <v>35.768</v>
      </c>
      <c r="AI386" s="93">
        <f>AJ386</f>
        <v/>
      </c>
      <c r="AJ386" s="344" t="n">
        <v>32.468</v>
      </c>
      <c r="AK386" s="345" t="n">
        <v>33.673</v>
      </c>
      <c r="AL386" s="346" t="n">
        <v>100.093</v>
      </c>
      <c r="AM386" s="93" t="n"/>
      <c r="AN386" s="93" t="n"/>
      <c r="AO386" s="344" t="n"/>
      <c r="AP386" s="93" t="n"/>
      <c r="AQ386" s="93" t="n"/>
      <c r="AR386" s="93" t="n"/>
      <c r="AS386" s="93" t="n"/>
      <c r="AT386" s="344" t="n"/>
      <c r="AU386" s="344" t="n"/>
      <c r="AV386" s="344" t="n"/>
      <c r="AW386" s="344" t="n"/>
      <c r="AX386" s="228" t="n"/>
    </row>
    <row r="387" customFormat="1" s="9">
      <c r="A387" s="347" t="inlineStr">
        <is>
          <t>Total Non-Current liabilities</t>
        </is>
      </c>
      <c r="B387" s="377" t="n"/>
      <c r="C387" s="349">
        <f>SUM(C381:C386)</f>
        <v/>
      </c>
      <c r="D387" s="349">
        <f>SUM(D381:D386)</f>
        <v/>
      </c>
      <c r="E387" s="349">
        <f>SUM(E381:E386)</f>
        <v/>
      </c>
      <c r="F387" s="349">
        <f>SUM(F381:F386)</f>
        <v/>
      </c>
      <c r="G387" s="350">
        <f>SUM(G381:G386)</f>
        <v/>
      </c>
      <c r="H387" s="350">
        <f>SUM(H381:H386)</f>
        <v/>
      </c>
      <c r="I387" s="350">
        <f>SUM(I381:I386)</f>
        <v/>
      </c>
      <c r="J387" s="350">
        <f>SUM(J381:J386)</f>
        <v/>
      </c>
      <c r="K387" s="349">
        <f>SUM(K381:K386)</f>
        <v/>
      </c>
      <c r="L387" s="350">
        <f>SUM(L381:L386)</f>
        <v/>
      </c>
      <c r="M387" s="350">
        <f>SUM(M381:M386)</f>
        <v/>
      </c>
      <c r="N387" s="350">
        <f>SUM(N381:N386)</f>
        <v/>
      </c>
      <c r="O387" s="350">
        <f>SUM(O381:O386)</f>
        <v/>
      </c>
      <c r="P387" s="349">
        <f>SUM(P381:P386)</f>
        <v/>
      </c>
      <c r="Q387" s="350">
        <f>SUM(Q381:Q386)</f>
        <v/>
      </c>
      <c r="R387" s="350">
        <f>SUM(R381:R386)</f>
        <v/>
      </c>
      <c r="S387" s="350">
        <f>SUM(S381:S386)</f>
        <v/>
      </c>
      <c r="T387" s="350">
        <f>SUM(T381:T386)</f>
        <v/>
      </c>
      <c r="U387" s="349">
        <f>SUM(U381:U386)</f>
        <v/>
      </c>
      <c r="V387" s="350">
        <f>SUM(V381:V386)</f>
        <v/>
      </c>
      <c r="W387" s="350">
        <f>SUM(W381:W386)</f>
        <v/>
      </c>
      <c r="X387" s="350">
        <f>SUM(X381:X386)</f>
        <v/>
      </c>
      <c r="Y387" s="351">
        <f>SUM(Y381:Y386)</f>
        <v/>
      </c>
      <c r="Z387" s="352">
        <f>SUM(Z381:Z386)</f>
        <v/>
      </c>
      <c r="AA387" s="350">
        <f>SUM(AA381:AA386)</f>
        <v/>
      </c>
      <c r="AB387" s="350">
        <f>SUM(AB381:AB386)</f>
        <v/>
      </c>
      <c r="AC387" s="350">
        <f>SUM(AC381:AC386)</f>
        <v/>
      </c>
      <c r="AD387" s="351">
        <f>SUM(AD381:AD386)</f>
        <v/>
      </c>
      <c r="AE387" s="352">
        <f>SUM(AE381:AE386)</f>
        <v/>
      </c>
      <c r="AF387" s="350">
        <f>SUM(AF381:AF386)</f>
        <v/>
      </c>
      <c r="AG387" s="350">
        <f>SUM(AG381:AG386)</f>
        <v/>
      </c>
      <c r="AH387" s="350">
        <f>SUM(AH381:AH386)</f>
        <v/>
      </c>
      <c r="AI387" s="351">
        <f>SUM(AI381:AI386)</f>
        <v/>
      </c>
      <c r="AJ387" s="352">
        <f>SUM(AJ381:AJ386)</f>
        <v/>
      </c>
      <c r="AK387" s="350">
        <f>SUM(AK381:AK386)</f>
        <v/>
      </c>
      <c r="AL387" s="353">
        <f>SUM(AL381:AL386)</f>
        <v/>
      </c>
      <c r="AM387" s="351" t="n"/>
      <c r="AN387" s="351" t="n"/>
      <c r="AO387" s="352" t="n"/>
      <c r="AP387" s="351" t="n"/>
      <c r="AQ387" s="351" t="n"/>
      <c r="AR387" s="351" t="n"/>
      <c r="AS387" s="351" t="n"/>
      <c r="AT387" s="352" t="n"/>
      <c r="AU387" s="352" t="n"/>
      <c r="AV387" s="352" t="n"/>
      <c r="AW387" s="352" t="n"/>
      <c r="AX387" s="22" t="n"/>
    </row>
    <row r="388" customFormat="1" s="9">
      <c r="A388" s="35" t="inlineStr">
        <is>
          <t>Total Liabilities</t>
        </is>
      </c>
      <c r="B388" s="103" t="n"/>
      <c r="C388" s="4">
        <f>C378+C387</f>
        <v/>
      </c>
      <c r="D388" s="4">
        <f>D378+D387</f>
        <v/>
      </c>
      <c r="E388" s="4">
        <f>E378+E387</f>
        <v/>
      </c>
      <c r="F388" s="4">
        <f>F378+F387</f>
        <v/>
      </c>
      <c r="G388" s="22">
        <f>G378+G387</f>
        <v/>
      </c>
      <c r="H388" s="22">
        <f>H378+H387</f>
        <v/>
      </c>
      <c r="I388" s="22">
        <f>I378+I387</f>
        <v/>
      </c>
      <c r="J388" s="22">
        <f>J378+J387</f>
        <v/>
      </c>
      <c r="K388" s="4">
        <f>K378+K387</f>
        <v/>
      </c>
      <c r="L388" s="22">
        <f>L378+L387</f>
        <v/>
      </c>
      <c r="M388" s="22">
        <f>M378+M387</f>
        <v/>
      </c>
      <c r="N388" s="22">
        <f>N378+N387</f>
        <v/>
      </c>
      <c r="O388" s="22">
        <f>O378+O387</f>
        <v/>
      </c>
      <c r="P388" s="4">
        <f>P378+P387</f>
        <v/>
      </c>
      <c r="Q388" s="22">
        <f>Q378+Q387</f>
        <v/>
      </c>
      <c r="R388" s="22">
        <f>R378+R387</f>
        <v/>
      </c>
      <c r="S388" s="22">
        <f>S378+S387</f>
        <v/>
      </c>
      <c r="T388" s="22">
        <f>T378+T387</f>
        <v/>
      </c>
      <c r="U388" s="4">
        <f>U378+U387</f>
        <v/>
      </c>
      <c r="V388" s="22">
        <f>V378+V387</f>
        <v/>
      </c>
      <c r="W388" s="22">
        <f>W378+W387</f>
        <v/>
      </c>
      <c r="X388" s="22">
        <f>X378+X387</f>
        <v/>
      </c>
      <c r="Y388" s="378">
        <f>Y378+Y387</f>
        <v/>
      </c>
      <c r="Z388" s="117">
        <f>Z378+Z387</f>
        <v/>
      </c>
      <c r="AA388" s="22">
        <f>AA378+AA387</f>
        <v/>
      </c>
      <c r="AB388" s="22">
        <f>AB378+AB387</f>
        <v/>
      </c>
      <c r="AC388" s="22">
        <f>AC378+AC387</f>
        <v/>
      </c>
      <c r="AD388" s="378">
        <f>AD378+AD387</f>
        <v/>
      </c>
      <c r="AE388" s="117">
        <f>AE378+AE387</f>
        <v/>
      </c>
      <c r="AF388" s="22">
        <f>AF378+AF387</f>
        <v/>
      </c>
      <c r="AG388" s="22">
        <f>AG378+AG387</f>
        <v/>
      </c>
      <c r="AH388" s="22">
        <f>AH378+AH387</f>
        <v/>
      </c>
      <c r="AI388" s="378">
        <f>AI378+AI387</f>
        <v/>
      </c>
      <c r="AJ388" s="117">
        <f>AJ378+AJ387</f>
        <v/>
      </c>
      <c r="AK388" s="22">
        <f>AK378+AK387</f>
        <v/>
      </c>
      <c r="AL388" s="308">
        <f>AL378+AL387</f>
        <v/>
      </c>
      <c r="AM388" s="378" t="n"/>
      <c r="AN388" s="378" t="n"/>
      <c r="AO388" s="117" t="n"/>
      <c r="AP388" s="378" t="n"/>
      <c r="AQ388" s="378" t="n"/>
      <c r="AR388" s="378" t="n"/>
      <c r="AS388" s="378" t="n"/>
      <c r="AT388" s="117" t="n"/>
      <c r="AU388" s="117" t="n"/>
      <c r="AV388" s="117" t="n"/>
      <c r="AW388" s="117" t="n"/>
      <c r="AX388" s="22" t="n"/>
    </row>
    <row r="389" customFormat="1" s="9">
      <c r="A389" s="35" t="n"/>
      <c r="B389" s="103" t="n"/>
      <c r="C389" s="4" t="n"/>
      <c r="D389" s="4" t="n"/>
      <c r="E389" s="4" t="n"/>
      <c r="F389" s="4" t="n"/>
      <c r="G389" s="22" t="n"/>
      <c r="H389" s="22" t="n"/>
      <c r="I389" s="22" t="n"/>
      <c r="J389" s="22" t="n"/>
      <c r="K389" s="4" t="n"/>
      <c r="L389" s="22" t="n"/>
      <c r="M389" s="22" t="n"/>
      <c r="N389" s="22" t="n"/>
      <c r="O389" s="22" t="n"/>
      <c r="P389" s="4" t="n"/>
      <c r="Q389" s="22" t="n"/>
      <c r="R389" s="22" t="n"/>
      <c r="S389" s="22" t="n"/>
      <c r="T389" s="22" t="n"/>
      <c r="U389" s="4" t="n"/>
      <c r="V389" s="22" t="n"/>
      <c r="W389" s="22" t="n"/>
      <c r="X389" s="22" t="n"/>
      <c r="Y389" s="22" t="n"/>
      <c r="Z389" s="4" t="n"/>
      <c r="AA389" s="22" t="n"/>
      <c r="AB389" s="22" t="n"/>
      <c r="AC389" s="22" t="n"/>
      <c r="AD389" s="22" t="n"/>
      <c r="AE389" s="4" t="n"/>
      <c r="AF389" s="22" t="n"/>
      <c r="AG389" s="22" t="n"/>
      <c r="AH389" s="22" t="n"/>
      <c r="AI389" s="22" t="n"/>
      <c r="AJ389" s="4" t="n"/>
      <c r="AK389" s="22" t="n"/>
      <c r="AL389" s="308" t="n"/>
      <c r="AM389" s="22" t="n"/>
      <c r="AN389" s="22" t="n"/>
      <c r="AO389" s="4" t="n"/>
      <c r="AP389" s="22" t="n"/>
      <c r="AQ389" s="22" t="n"/>
      <c r="AR389" s="22" t="n"/>
      <c r="AS389" s="22" t="n"/>
      <c r="AT389" s="4" t="n"/>
      <c r="AU389" s="4" t="n"/>
      <c r="AV389" s="4" t="n"/>
      <c r="AW389" s="4" t="n"/>
      <c r="AX389" s="22" t="n"/>
    </row>
    <row r="390" customFormat="1" s="9">
      <c r="A390" s="468" t="inlineStr">
        <is>
          <t>Shareholders' Equity</t>
        </is>
      </c>
      <c r="B390" s="103" t="n"/>
      <c r="C390" s="4" t="n"/>
      <c r="D390" s="4" t="n"/>
      <c r="E390" s="4" t="n"/>
      <c r="F390" s="4" t="n"/>
      <c r="G390" s="22" t="n"/>
      <c r="H390" s="22" t="n"/>
      <c r="I390" s="22" t="n"/>
      <c r="J390" s="22" t="n"/>
      <c r="K390" s="4" t="n"/>
      <c r="L390" s="22" t="n"/>
      <c r="M390" s="22" t="n"/>
      <c r="N390" s="22" t="n"/>
      <c r="O390" s="22" t="n"/>
      <c r="P390" s="4" t="n"/>
      <c r="Q390" s="22" t="n"/>
      <c r="R390" s="22" t="n"/>
      <c r="S390" s="22" t="n"/>
      <c r="T390" s="22" t="n"/>
      <c r="U390" s="4" t="n"/>
      <c r="V390" s="22" t="n"/>
      <c r="W390" s="22" t="n"/>
      <c r="X390" s="22" t="n"/>
      <c r="Y390" s="22" t="n"/>
      <c r="Z390" s="4" t="n"/>
      <c r="AA390" s="22" t="n"/>
      <c r="AB390" s="22" t="n"/>
      <c r="AC390" s="22" t="n"/>
      <c r="AD390" s="22" t="n"/>
      <c r="AE390" s="4" t="n"/>
      <c r="AF390" s="22" t="n"/>
      <c r="AG390" s="22" t="n"/>
      <c r="AH390" s="22" t="n"/>
      <c r="AI390" s="22" t="n"/>
      <c r="AJ390" s="4" t="n"/>
      <c r="AK390" s="22" t="n"/>
      <c r="AL390" s="308" t="n"/>
      <c r="AM390" s="22" t="n"/>
      <c r="AN390" s="22" t="n"/>
      <c r="AO390" s="4" t="n"/>
      <c r="AP390" s="22" t="n"/>
      <c r="AQ390" s="22" t="n"/>
      <c r="AR390" s="22" t="n"/>
      <c r="AS390" s="22" t="n"/>
      <c r="AT390" s="4" t="n"/>
      <c r="AU390" s="4" t="n"/>
      <c r="AV390" s="4" t="n"/>
      <c r="AW390" s="4" t="n"/>
      <c r="AX390" s="22" t="n"/>
    </row>
    <row r="391" customFormat="1" s="5">
      <c r="A391" s="36" t="inlineStr">
        <is>
          <t>Ordinary shares</t>
        </is>
      </c>
      <c r="B391" s="376" t="n"/>
      <c r="C391" s="343" t="n">
        <v>0.135</v>
      </c>
      <c r="D391" s="343" t="n">
        <v>0.141</v>
      </c>
      <c r="E391" s="343" t="n">
        <v>0.165</v>
      </c>
      <c r="F391" s="343" t="n">
        <v>0.178</v>
      </c>
      <c r="G391" s="228" t="n">
        <v>0.181</v>
      </c>
      <c r="H391" s="228" t="n">
        <v>0.182</v>
      </c>
      <c r="I391" s="228" t="n">
        <v>0.184</v>
      </c>
      <c r="J391" s="228">
        <f>K391</f>
        <v/>
      </c>
      <c r="K391" s="343" t="n">
        <v>0.185</v>
      </c>
      <c r="L391" s="228" t="n">
        <v>0.188</v>
      </c>
      <c r="M391" s="228" t="n">
        <v>0.189</v>
      </c>
      <c r="N391" s="228" t="n">
        <v>0.191</v>
      </c>
      <c r="O391" s="228">
        <f>P391</f>
        <v/>
      </c>
      <c r="P391" s="343" t="n">
        <v>0.192</v>
      </c>
      <c r="Q391" s="228" t="n">
        <v>0.194</v>
      </c>
      <c r="R391" s="228" t="n">
        <v>0.197</v>
      </c>
      <c r="S391" s="228" t="n">
        <v>0.198</v>
      </c>
      <c r="T391" s="228">
        <f>U391</f>
        <v/>
      </c>
      <c r="U391" s="343" t="n">
        <v>0.2</v>
      </c>
      <c r="V391" s="228" t="n">
        <v>0.202</v>
      </c>
      <c r="W391" s="228" t="n">
        <v>0.204</v>
      </c>
      <c r="X391" s="228" t="n">
        <v>0.207</v>
      </c>
      <c r="Y391" s="93">
        <f>Z391</f>
        <v/>
      </c>
      <c r="Z391" s="344" t="n">
        <v>0.209</v>
      </c>
      <c r="AA391" s="228" t="n">
        <v>0.212</v>
      </c>
      <c r="AB391" s="228" t="n">
        <v>0.215</v>
      </c>
      <c r="AC391" s="228" t="n">
        <v>0.218</v>
      </c>
      <c r="AD391" s="93">
        <f>AE391</f>
        <v/>
      </c>
      <c r="AE391" s="344" t="n">
        <v>0.221</v>
      </c>
      <c r="AF391" s="228" t="n">
        <v>0.224</v>
      </c>
      <c r="AG391" s="228" t="n">
        <v>0.229</v>
      </c>
      <c r="AH391" s="228" t="n">
        <v>0.232</v>
      </c>
      <c r="AI391" s="93">
        <f>AJ391</f>
        <v/>
      </c>
      <c r="AJ391" s="344" t="n">
        <v>0.233</v>
      </c>
      <c r="AK391" s="228" t="n">
        <v>0.236</v>
      </c>
      <c r="AL391" s="322" t="n">
        <v>0.237</v>
      </c>
      <c r="AM391" s="93" t="n"/>
      <c r="AN391" s="93" t="n"/>
      <c r="AO391" s="344" t="n"/>
      <c r="AP391" s="93" t="n"/>
      <c r="AQ391" s="93" t="n"/>
      <c r="AR391" s="93" t="n"/>
      <c r="AS391" s="93" t="n"/>
      <c r="AT391" s="344" t="n"/>
      <c r="AU391" s="344" t="n"/>
      <c r="AV391" s="344" t="n"/>
      <c r="AW391" s="344" t="n"/>
      <c r="AX391" s="228" t="n"/>
    </row>
    <row r="392" customFormat="1" s="5">
      <c r="A392" s="36" t="inlineStr">
        <is>
          <t>Additional paid-in capital</t>
        </is>
      </c>
      <c r="B392" s="376" t="n"/>
      <c r="C392" s="343" t="n">
        <v>240.807</v>
      </c>
      <c r="D392" s="343" t="n">
        <v>265.481</v>
      </c>
      <c r="E392" s="343" t="n">
        <v>418.255</v>
      </c>
      <c r="F392" s="343" t="n">
        <v>488.365</v>
      </c>
      <c r="G392" s="228" t="n">
        <v>505.34</v>
      </c>
      <c r="H392" s="228" t="n">
        <v>518.893</v>
      </c>
      <c r="I392" s="228" t="n">
        <v>538.198</v>
      </c>
      <c r="J392" s="228">
        <f>K392</f>
        <v/>
      </c>
      <c r="K392" s="343" t="n">
        <v>550.795</v>
      </c>
      <c r="L392" s="228" t="n">
        <v>569.129</v>
      </c>
      <c r="M392" s="228" t="n">
        <v>581.485</v>
      </c>
      <c r="N392" s="228" t="n">
        <v>601.84</v>
      </c>
      <c r="O392" s="228">
        <f>P392</f>
        <v/>
      </c>
      <c r="P392" s="343" t="n">
        <v>615.148</v>
      </c>
      <c r="Q392" s="228" t="n">
        <v>634.056</v>
      </c>
      <c r="R392" s="228" t="n">
        <v>649.976</v>
      </c>
      <c r="S392" s="228" t="n">
        <v>669.954</v>
      </c>
      <c r="T392" s="228">
        <f>U392</f>
        <v/>
      </c>
      <c r="U392" s="343" t="n">
        <v>684.824</v>
      </c>
      <c r="V392" s="228" t="n">
        <v>713.039</v>
      </c>
      <c r="W392" s="228" t="n">
        <v>732.59</v>
      </c>
      <c r="X392" s="228" t="n">
        <v>761.374</v>
      </c>
      <c r="Y392" s="93">
        <f>Z392</f>
        <v/>
      </c>
      <c r="Z392" s="344" t="n">
        <v>774.605</v>
      </c>
      <c r="AA392" s="228" t="n">
        <v>801.835</v>
      </c>
      <c r="AB392" s="228" t="n">
        <v>820.217</v>
      </c>
      <c r="AC392" s="228" t="n">
        <v>851.48</v>
      </c>
      <c r="AD392" s="93">
        <f>AE392</f>
        <v/>
      </c>
      <c r="AE392" s="344" t="n">
        <v>873.979</v>
      </c>
      <c r="AF392" s="228" t="n">
        <v>903.008</v>
      </c>
      <c r="AG392" s="228" t="n">
        <v>923.202</v>
      </c>
      <c r="AH392" s="228" t="n">
        <v>956.2809999999999</v>
      </c>
      <c r="AI392" s="93">
        <f>AJ392</f>
        <v/>
      </c>
      <c r="AJ392" s="344" t="n">
        <v>982.677</v>
      </c>
      <c r="AK392" s="228" t="n">
        <v>1023.943</v>
      </c>
      <c r="AL392" s="322" t="n">
        <v>1051.985</v>
      </c>
      <c r="AM392" s="93" t="n"/>
      <c r="AN392" s="93" t="n"/>
      <c r="AO392" s="344" t="n"/>
      <c r="AP392" s="93" t="n"/>
      <c r="AQ392" s="93" t="n"/>
      <c r="AR392" s="93" t="n"/>
      <c r="AS392" s="93" t="n"/>
      <c r="AT392" s="344" t="n"/>
      <c r="AU392" s="344" t="n"/>
      <c r="AV392" s="344" t="n"/>
      <c r="AW392" s="344" t="n"/>
      <c r="AX392" s="228" t="n"/>
    </row>
    <row r="393" customFormat="1" s="5">
      <c r="A393" s="36" t="inlineStr">
        <is>
          <t>Accumulated other comprehensive income (loss)</t>
        </is>
      </c>
      <c r="B393" s="376" t="n"/>
      <c r="C393" s="343" t="n">
        <v>0.367</v>
      </c>
      <c r="D393" s="343" t="n">
        <v>0.954</v>
      </c>
      <c r="E393" s="343" t="n">
        <v>-1.164</v>
      </c>
      <c r="F393" s="343" t="n">
        <v>2.794</v>
      </c>
      <c r="G393" s="228" t="n">
        <v>3.285</v>
      </c>
      <c r="H393" s="228" t="n">
        <v>2.165</v>
      </c>
      <c r="I393" s="228" t="n">
        <v>1.823</v>
      </c>
      <c r="J393" s="228">
        <f>K393</f>
        <v/>
      </c>
      <c r="K393" s="343" t="n">
        <v>1.39</v>
      </c>
      <c r="L393" s="228" t="n">
        <v>0.67</v>
      </c>
      <c r="M393" s="228" t="n">
        <v>0.721</v>
      </c>
      <c r="N393" s="228" t="n">
        <v>-2.213</v>
      </c>
      <c r="O393" s="228">
        <f>P393</f>
        <v/>
      </c>
      <c r="P393" s="343" t="n">
        <v>-4.02</v>
      </c>
      <c r="Q393" s="228" t="n">
        <v>-3.195</v>
      </c>
      <c r="R393" s="228" t="n">
        <v>2.024</v>
      </c>
      <c r="S393" s="228" t="n">
        <v>-1.773</v>
      </c>
      <c r="T393" s="228">
        <f>U393</f>
        <v/>
      </c>
      <c r="U393" s="343" t="n">
        <v>-1.669</v>
      </c>
      <c r="V393" s="228" t="n">
        <v>2.423</v>
      </c>
      <c r="W393" s="228" t="n">
        <v>0.328</v>
      </c>
      <c r="X393" s="228" t="n">
        <v>1.966</v>
      </c>
      <c r="Y393" s="93">
        <f>Z393</f>
        <v/>
      </c>
      <c r="Z393" s="344" t="n">
        <v>-0.928</v>
      </c>
      <c r="AA393" s="228" t="n">
        <v>3.385</v>
      </c>
      <c r="AB393" s="228" t="n">
        <v>3.836</v>
      </c>
      <c r="AC393" s="228" t="n">
        <v>1.136</v>
      </c>
      <c r="AD393" s="93">
        <f>AE393</f>
        <v/>
      </c>
      <c r="AE393" s="344" t="n">
        <v>1.618</v>
      </c>
      <c r="AF393" s="228" t="n">
        <v>-0.013</v>
      </c>
      <c r="AG393" s="228" t="n">
        <v>-2.182</v>
      </c>
      <c r="AH393" s="228" t="n">
        <v>-0.167</v>
      </c>
      <c r="AI393" s="93">
        <f>AJ393</f>
        <v/>
      </c>
      <c r="AJ393" s="344" t="n">
        <v>-1.051</v>
      </c>
      <c r="AK393" s="228" t="n">
        <v>2.322</v>
      </c>
      <c r="AL393" s="322" t="n">
        <v>2.394</v>
      </c>
      <c r="AM393" s="93" t="n"/>
      <c r="AN393" s="93" t="n"/>
      <c r="AO393" s="344" t="n"/>
      <c r="AP393" s="93" t="n"/>
      <c r="AQ393" s="93" t="n"/>
      <c r="AR393" s="93" t="n"/>
      <c r="AS393" s="93" t="n"/>
      <c r="AT393" s="344" t="n"/>
      <c r="AU393" s="344" t="n"/>
      <c r="AV393" s="344" t="n"/>
      <c r="AW393" s="344" t="n"/>
      <c r="AX393" s="228" t="n"/>
    </row>
    <row r="394" customFormat="1" s="5">
      <c r="A394" s="36" t="inlineStr">
        <is>
          <t>Retained earnings</t>
        </is>
      </c>
      <c r="B394" s="376" t="n"/>
      <c r="C394" s="343" t="n">
        <v>1.574</v>
      </c>
      <c r="D394" s="343" t="n">
        <v>15.114</v>
      </c>
      <c r="E394" s="343" t="n">
        <v>25.091</v>
      </c>
      <c r="F394" s="343" t="n">
        <v>137.783</v>
      </c>
      <c r="G394" s="228" t="n">
        <v>128.014</v>
      </c>
      <c r="H394" s="228" t="n">
        <v>126.275</v>
      </c>
      <c r="I394" s="228" t="n">
        <v>120.861</v>
      </c>
      <c r="J394" s="228">
        <f>K394</f>
        <v/>
      </c>
      <c r="K394" s="343" t="n">
        <v>114.441</v>
      </c>
      <c r="L394" s="228" t="n">
        <v>102.245</v>
      </c>
      <c r="M394" s="228" t="n">
        <v>93.27</v>
      </c>
      <c r="N394" s="228" t="n">
        <v>94.898</v>
      </c>
      <c r="O394" s="228">
        <f>P394</f>
        <v/>
      </c>
      <c r="P394" s="343" t="n">
        <v>90.432</v>
      </c>
      <c r="Q394" s="228" t="n">
        <v>100.928</v>
      </c>
      <c r="R394" s="228" t="n">
        <v>120.176</v>
      </c>
      <c r="S394" s="228" t="n">
        <v>140.128</v>
      </c>
      <c r="T394" s="228">
        <f>U394</f>
        <v/>
      </c>
      <c r="U394" s="343" t="n">
        <v>183.326</v>
      </c>
      <c r="V394" s="228" t="n">
        <v>176.158</v>
      </c>
      <c r="W394" s="228" t="n">
        <v>180.812</v>
      </c>
      <c r="X394" s="228" t="n">
        <v>192.849</v>
      </c>
      <c r="Y394" s="93">
        <f>Z394</f>
        <v/>
      </c>
      <c r="Z394" s="344" t="n">
        <v>201.844</v>
      </c>
      <c r="AA394" s="228" t="n">
        <v>188.811</v>
      </c>
      <c r="AB394" s="228" t="n">
        <v>180.82</v>
      </c>
      <c r="AC394" s="228" t="n">
        <v>184.223</v>
      </c>
      <c r="AD394" s="93">
        <f>AE394</f>
        <v/>
      </c>
      <c r="AE394" s="344" t="n">
        <v>181.63</v>
      </c>
      <c r="AF394" s="228" t="n">
        <v>223.974</v>
      </c>
      <c r="AG394" s="228" t="n">
        <v>240.5</v>
      </c>
      <c r="AH394" s="228" t="n">
        <v>277.557</v>
      </c>
      <c r="AI394" s="93">
        <f>AJ394</f>
        <v/>
      </c>
      <c r="AJ394" s="344" t="n">
        <v>319.789</v>
      </c>
      <c r="AK394" s="345" t="n">
        <v>368.409</v>
      </c>
      <c r="AL394" s="346" t="n">
        <v>408.141</v>
      </c>
      <c r="AM394" s="93" t="n"/>
      <c r="AN394" s="93" t="n"/>
      <c r="AO394" s="344" t="n"/>
      <c r="AP394" s="93" t="n"/>
      <c r="AQ394" s="93" t="n"/>
      <c r="AR394" s="93" t="n"/>
      <c r="AS394" s="93" t="n"/>
      <c r="AT394" s="344" t="n"/>
      <c r="AU394" s="344" t="n"/>
      <c r="AV394" s="344" t="n"/>
      <c r="AW394" s="344" t="n"/>
      <c r="AX394" s="228" t="n"/>
    </row>
    <row r="395" customFormat="1" s="9">
      <c r="A395" s="347" t="inlineStr">
        <is>
          <t>Total SE</t>
        </is>
      </c>
      <c r="B395" s="377" t="n"/>
      <c r="C395" s="349">
        <f>SUM(C391:C394)</f>
        <v/>
      </c>
      <c r="D395" s="349">
        <f>SUM(D391:D394)</f>
        <v/>
      </c>
      <c r="E395" s="349">
        <f>SUM(E391:E394)</f>
        <v/>
      </c>
      <c r="F395" s="349">
        <f>SUM(F391:F394)</f>
        <v/>
      </c>
      <c r="G395" s="350">
        <f>SUM(G391:G394)</f>
        <v/>
      </c>
      <c r="H395" s="350">
        <f>SUM(H391:H394)</f>
        <v/>
      </c>
      <c r="I395" s="350">
        <f>SUM(I391:I394)</f>
        <v/>
      </c>
      <c r="J395" s="350">
        <f>SUM(J391:J394)</f>
        <v/>
      </c>
      <c r="K395" s="349">
        <f>SUM(K391:K394)</f>
        <v/>
      </c>
      <c r="L395" s="350">
        <f>SUM(L391:L394)</f>
        <v/>
      </c>
      <c r="M395" s="350">
        <f>SUM(M391:M394)</f>
        <v/>
      </c>
      <c r="N395" s="350">
        <f>SUM(N391:N394)</f>
        <v/>
      </c>
      <c r="O395" s="350">
        <f>SUM(O391:O394)</f>
        <v/>
      </c>
      <c r="P395" s="349">
        <f>SUM(P391:P394)</f>
        <v/>
      </c>
      <c r="Q395" s="350">
        <f>SUM(Q391:Q394)</f>
        <v/>
      </c>
      <c r="R395" s="350">
        <f>SUM(R391:R394)</f>
        <v/>
      </c>
      <c r="S395" s="350">
        <f>SUM(S391:S394)</f>
        <v/>
      </c>
      <c r="T395" s="350">
        <f>SUM(T391:T394)</f>
        <v/>
      </c>
      <c r="U395" s="349">
        <f>SUM(U391:U394)</f>
        <v/>
      </c>
      <c r="V395" s="350">
        <f>SUM(V391:V394)</f>
        <v/>
      </c>
      <c r="W395" s="350">
        <f>SUM(W391:W394)</f>
        <v/>
      </c>
      <c r="X395" s="350">
        <f>SUM(X391:X394)</f>
        <v/>
      </c>
      <c r="Y395" s="351">
        <f>SUM(Y391:Y394)</f>
        <v/>
      </c>
      <c r="Z395" s="352">
        <f>SUM(Z391:Z394)</f>
        <v/>
      </c>
      <c r="AA395" s="350">
        <f>SUM(AA391:AA394)</f>
        <v/>
      </c>
      <c r="AB395" s="350">
        <f>SUM(AB391:AB394)</f>
        <v/>
      </c>
      <c r="AC395" s="350">
        <f>SUM(AC391:AC394)</f>
        <v/>
      </c>
      <c r="AD395" s="351">
        <f>SUM(AD391:AD394)</f>
        <v/>
      </c>
      <c r="AE395" s="352">
        <f>SUM(AE391:AE394)</f>
        <v/>
      </c>
      <c r="AF395" s="350">
        <f>SUM(AF391:AF394)</f>
        <v/>
      </c>
      <c r="AG395" s="350">
        <f>SUM(AG391:AG394)</f>
        <v/>
      </c>
      <c r="AH395" s="350">
        <f>SUM(AH391:AH394)</f>
        <v/>
      </c>
      <c r="AI395" s="351">
        <f>SUM(AI391:AI394)</f>
        <v/>
      </c>
      <c r="AJ395" s="352">
        <f>SUM(AJ391:AJ394)</f>
        <v/>
      </c>
      <c r="AK395" s="350">
        <f>SUM(AK391:AK394)</f>
        <v/>
      </c>
      <c r="AL395" s="353">
        <f>SUM(AL391:AL394)</f>
        <v/>
      </c>
      <c r="AM395" s="351" t="n"/>
      <c r="AN395" s="351" t="n"/>
      <c r="AO395" s="352" t="n"/>
      <c r="AP395" s="351" t="n"/>
      <c r="AQ395" s="351" t="n"/>
      <c r="AR395" s="351" t="n"/>
      <c r="AS395" s="351" t="n"/>
      <c r="AT395" s="352" t="n"/>
      <c r="AU395" s="352" t="n"/>
      <c r="AV395" s="352" t="n"/>
      <c r="AW395" s="352" t="n"/>
      <c r="AX395" s="22" t="n"/>
    </row>
    <row r="396" customFormat="1" s="5">
      <c r="A396" s="36" t="inlineStr">
        <is>
          <t>NCI</t>
        </is>
      </c>
      <c r="B396" s="376" t="n"/>
      <c r="C396" s="343" t="n"/>
      <c r="D396" s="343" t="n"/>
      <c r="E396" s="343" t="n"/>
      <c r="F396" s="343" t="n"/>
      <c r="G396" s="228" t="n"/>
      <c r="H396" s="228" t="n"/>
      <c r="I396" s="228" t="n"/>
      <c r="J396" s="228" t="n"/>
      <c r="K396" s="343" t="n"/>
      <c r="L396" s="228" t="n"/>
      <c r="M396" s="228" t="n"/>
      <c r="N396" s="228" t="n"/>
      <c r="O396" s="228" t="n"/>
      <c r="P396" s="343" t="n"/>
      <c r="Q396" s="228" t="n"/>
      <c r="R396" s="228" t="n"/>
      <c r="S396" s="228" t="n"/>
      <c r="T396" s="228" t="n"/>
      <c r="U396" s="343" t="n"/>
      <c r="V396" s="228" t="n"/>
      <c r="W396" s="228" t="n"/>
      <c r="X396" s="228" t="n"/>
      <c r="Y396" s="228" t="n"/>
      <c r="Z396" s="343" t="n"/>
      <c r="AA396" s="228" t="n"/>
      <c r="AB396" s="228" t="n"/>
      <c r="AC396" s="228" t="n"/>
      <c r="AD396" s="228" t="n"/>
      <c r="AE396" s="343" t="n"/>
      <c r="AF396" s="228" t="n"/>
      <c r="AG396" s="228" t="n"/>
      <c r="AH396" s="228" t="n"/>
      <c r="AI396" s="228" t="n"/>
      <c r="AJ396" s="343" t="n"/>
      <c r="AK396" s="228" t="n"/>
      <c r="AL396" s="322" t="n"/>
      <c r="AM396" s="228" t="n"/>
      <c r="AN396" s="228" t="n"/>
      <c r="AO396" s="343" t="n"/>
      <c r="AP396" s="228" t="n"/>
      <c r="AQ396" s="228" t="n"/>
      <c r="AR396" s="228" t="n"/>
      <c r="AS396" s="228" t="n"/>
      <c r="AT396" s="343" t="n"/>
      <c r="AU396" s="343" t="n"/>
      <c r="AV396" s="343" t="n"/>
      <c r="AW396" s="343" t="n"/>
      <c r="AX396" s="228" t="n"/>
    </row>
    <row r="397" customFormat="1" s="9">
      <c r="A397" s="35" t="inlineStr">
        <is>
          <t>Total Liabilities &amp; SE</t>
        </is>
      </c>
      <c r="B397" s="103" t="n"/>
      <c r="C397" s="4">
        <f>C395+C388+C396</f>
        <v/>
      </c>
      <c r="D397" s="4">
        <f>D395+D388+D396</f>
        <v/>
      </c>
      <c r="E397" s="4">
        <f>E395+E388+E396</f>
        <v/>
      </c>
      <c r="F397" s="4">
        <f>F395+F388+F396</f>
        <v/>
      </c>
      <c r="G397" s="22">
        <f>G395+G388+G396</f>
        <v/>
      </c>
      <c r="H397" s="22">
        <f>H395+H388+H396</f>
        <v/>
      </c>
      <c r="I397" s="22">
        <f>I395+I388+I396</f>
        <v/>
      </c>
      <c r="J397" s="22">
        <f>J395+J388+J396</f>
        <v/>
      </c>
      <c r="K397" s="4">
        <f>K395+K388+K396</f>
        <v/>
      </c>
      <c r="L397" s="22">
        <f>L395+L388+L396</f>
        <v/>
      </c>
      <c r="M397" s="22">
        <f>M395+M388+M396</f>
        <v/>
      </c>
      <c r="N397" s="22">
        <f>N395+N388+N396</f>
        <v/>
      </c>
      <c r="O397" s="22">
        <f>O395+O388+O396</f>
        <v/>
      </c>
      <c r="P397" s="4">
        <f>P395+P388+P396</f>
        <v/>
      </c>
      <c r="Q397" s="22">
        <f>Q395+Q388+Q396</f>
        <v/>
      </c>
      <c r="R397" s="22">
        <f>R395+R388+R396</f>
        <v/>
      </c>
      <c r="S397" s="22">
        <f>S395+S388+S396</f>
        <v/>
      </c>
      <c r="T397" s="22">
        <f>T395+T388+T396</f>
        <v/>
      </c>
      <c r="U397" s="4">
        <f>U395+U388+U396</f>
        <v/>
      </c>
      <c r="V397" s="22">
        <f>V395+V388+V396</f>
        <v/>
      </c>
      <c r="W397" s="22">
        <f>W395+W388+W396</f>
        <v/>
      </c>
      <c r="X397" s="22">
        <f>X395+X388+X396</f>
        <v/>
      </c>
      <c r="Y397" s="378">
        <f>Y395+Y388+Y396</f>
        <v/>
      </c>
      <c r="Z397" s="117">
        <f>Z395+Z388+Z396</f>
        <v/>
      </c>
      <c r="AA397" s="22">
        <f>AA395+AA388+AA396</f>
        <v/>
      </c>
      <c r="AB397" s="22">
        <f>AB395+AB388+AB396</f>
        <v/>
      </c>
      <c r="AC397" s="22">
        <f>AC395+AC388+AC396</f>
        <v/>
      </c>
      <c r="AD397" s="378">
        <f>AD395+AD388+AD396</f>
        <v/>
      </c>
      <c r="AE397" s="117">
        <f>AE395+AE388+AE396</f>
        <v/>
      </c>
      <c r="AF397" s="22">
        <f>AF395+AF388+AF396</f>
        <v/>
      </c>
      <c r="AG397" s="22">
        <f>AG395+AG388+AG396</f>
        <v/>
      </c>
      <c r="AH397" s="22">
        <f>AH395+AH388+AH396</f>
        <v/>
      </c>
      <c r="AI397" s="378">
        <f>AI395+AI388+AI396</f>
        <v/>
      </c>
      <c r="AJ397" s="117">
        <f>AJ395+AJ388+AJ396</f>
        <v/>
      </c>
      <c r="AK397" s="22">
        <f>AK395+AK388+AK396</f>
        <v/>
      </c>
      <c r="AL397" s="308">
        <f>AL395+AL388+AL396</f>
        <v/>
      </c>
      <c r="AM397" s="378" t="n"/>
      <c r="AN397" s="378" t="n"/>
      <c r="AO397" s="117" t="n"/>
      <c r="AP397" s="378" t="n"/>
      <c r="AQ397" s="378" t="n"/>
      <c r="AR397" s="378" t="n"/>
      <c r="AS397" s="378" t="n"/>
      <c r="AT397" s="117" t="n"/>
      <c r="AU397" s="117" t="n"/>
      <c r="AV397" s="117" t="n"/>
      <c r="AW397" s="117" t="n"/>
      <c r="AX397" s="22" t="n"/>
    </row>
    <row r="398" customFormat="1" s="5">
      <c r="A398" s="228" t="n"/>
      <c r="B398" s="228" t="n"/>
      <c r="C398" s="228" t="n"/>
      <c r="D398" s="228" t="n"/>
      <c r="E398" s="228" t="n"/>
      <c r="F398" s="228" t="n"/>
      <c r="G398" s="228" t="n"/>
      <c r="H398" s="228" t="n"/>
      <c r="I398" s="228" t="n"/>
      <c r="J398" s="228" t="n"/>
      <c r="K398" s="228" t="n"/>
      <c r="L398" s="228" t="n"/>
      <c r="M398" s="228" t="n"/>
      <c r="N398" s="228" t="n"/>
      <c r="O398" s="228" t="n"/>
      <c r="P398" s="228" t="n"/>
      <c r="Q398" s="228" t="n"/>
      <c r="R398" s="228" t="n"/>
      <c r="S398" s="228" t="n"/>
      <c r="T398" s="228" t="n"/>
      <c r="U398" s="228" t="n"/>
      <c r="V398" s="228" t="n"/>
      <c r="W398" s="228" t="n"/>
      <c r="X398" s="228" t="n"/>
      <c r="Y398" s="228" t="n"/>
      <c r="Z398" s="228" t="n"/>
      <c r="AA398" s="228" t="n"/>
      <c r="AB398" s="228" t="n"/>
      <c r="AC398" s="228" t="n"/>
      <c r="AD398" s="228" t="n"/>
      <c r="AE398" s="228" t="n"/>
      <c r="AF398" s="228" t="n"/>
      <c r="AG398" s="228" t="n"/>
      <c r="AH398" s="228" t="n"/>
      <c r="AI398" s="228" t="n"/>
      <c r="AJ398" s="228" t="n"/>
      <c r="AK398" s="228" t="n"/>
      <c r="AL398" s="322" t="n"/>
      <c r="AM398" s="228" t="n"/>
      <c r="AN398" s="228" t="n"/>
      <c r="AO398" s="228" t="n"/>
      <c r="AP398" s="228" t="n"/>
      <c r="AQ398" s="228" t="n"/>
      <c r="AR398" s="228" t="n"/>
      <c r="AS398" s="228" t="n"/>
      <c r="AT398" s="228" t="n"/>
      <c r="AU398" s="228" t="n"/>
      <c r="AV398" s="228" t="n"/>
      <c r="AW398" s="228" t="n"/>
      <c r="AX398" s="228" t="n"/>
    </row>
    <row r="399" customFormat="1" s="5">
      <c r="A399" s="386" t="inlineStr">
        <is>
          <t>BS Check</t>
        </is>
      </c>
      <c r="B399" s="386" t="n"/>
      <c r="C399" s="387">
        <f>ROUND(C369-C397,6)</f>
        <v/>
      </c>
      <c r="D399" s="387">
        <f>ROUND(D369-D397,6)</f>
        <v/>
      </c>
      <c r="E399" s="387">
        <f>ROUND(E369-E397,6)</f>
        <v/>
      </c>
      <c r="F399" s="387">
        <f>ROUND(F369-F397,6)</f>
        <v/>
      </c>
      <c r="G399" s="387">
        <f>ROUND(G369-G397,6)</f>
        <v/>
      </c>
      <c r="H399" s="387">
        <f>ROUND(H369-H397,6)</f>
        <v/>
      </c>
      <c r="I399" s="387">
        <f>ROUND(I369-I397,6)</f>
        <v/>
      </c>
      <c r="J399" s="387">
        <f>ROUND(J369-J397,6)</f>
        <v/>
      </c>
      <c r="K399" s="387">
        <f>ROUND(K369-K397,6)</f>
        <v/>
      </c>
      <c r="L399" s="387">
        <f>ROUND(L369-L397,6)</f>
        <v/>
      </c>
      <c r="M399" s="387">
        <f>ROUND(M369-M397,6)</f>
        <v/>
      </c>
      <c r="N399" s="387">
        <f>ROUND(N369-N397,6)</f>
        <v/>
      </c>
      <c r="O399" s="387">
        <f>ROUND(O369-O397,6)</f>
        <v/>
      </c>
      <c r="P399" s="387">
        <f>ROUND(P369-P397,6)</f>
        <v/>
      </c>
      <c r="Q399" s="387">
        <f>ROUND(Q369-Q397,6)</f>
        <v/>
      </c>
      <c r="R399" s="387">
        <f>ROUND(R369-R397,6)</f>
        <v/>
      </c>
      <c r="S399" s="387">
        <f>ROUND(S369-S397,6)</f>
        <v/>
      </c>
      <c r="T399" s="387">
        <f>ROUND(T369-T397,6)</f>
        <v/>
      </c>
      <c r="U399" s="387">
        <f>ROUND(U369-U397,6)</f>
        <v/>
      </c>
      <c r="V399" s="387">
        <f>ROUND(V369-V397,6)</f>
        <v/>
      </c>
      <c r="W399" s="387">
        <f>ROUND(W369-W397,6)</f>
        <v/>
      </c>
      <c r="X399" s="387">
        <f>ROUND(X369-X397,6)</f>
        <v/>
      </c>
      <c r="Y399" s="387">
        <f>ROUND(Y369-Y397,6)</f>
        <v/>
      </c>
      <c r="Z399" s="387">
        <f>ROUND(Z369-Z397,6)</f>
        <v/>
      </c>
      <c r="AA399" s="387">
        <f>ROUND(AA369-AA397,6)</f>
        <v/>
      </c>
      <c r="AB399" s="387">
        <f>ROUND(AB369-AB397,6)</f>
        <v/>
      </c>
      <c r="AC399" s="387">
        <f>ROUND(AC369-AC397,6)</f>
        <v/>
      </c>
      <c r="AD399" s="387">
        <f>ROUND(AD369-AD397,6)</f>
        <v/>
      </c>
      <c r="AE399" s="387">
        <f>ROUND(AE369-AE397,6)</f>
        <v/>
      </c>
      <c r="AF399" s="387">
        <f>ROUND(AF369-AF397,6)</f>
        <v/>
      </c>
      <c r="AG399" s="387">
        <f>ROUND(AG369-AG397,6)</f>
        <v/>
      </c>
      <c r="AH399" s="387">
        <f>ROUND(AH369-AH397,6)</f>
        <v/>
      </c>
      <c r="AI399" s="387">
        <f>ROUND(AI369-AI397,6)</f>
        <v/>
      </c>
      <c r="AJ399" s="387">
        <f>ROUND(AJ369-AJ397,6)</f>
        <v/>
      </c>
      <c r="AK399" s="387">
        <f>ROUND(AK369-AK397,6)</f>
        <v/>
      </c>
      <c r="AL399" s="388">
        <f>ROUND(AL369-AL397,6)</f>
        <v/>
      </c>
      <c r="AM399" s="387" t="n"/>
      <c r="AN399" s="387" t="n"/>
      <c r="AO399" s="387" t="n"/>
      <c r="AP399" s="387" t="n"/>
      <c r="AQ399" s="387" t="n"/>
      <c r="AR399" s="387" t="n"/>
      <c r="AS399" s="387" t="n"/>
      <c r="AT399" s="387" t="n"/>
      <c r="AU399" s="387" t="n"/>
      <c r="AV399" s="387" t="n"/>
      <c r="AW399" s="387" t="n"/>
      <c r="AX399" s="228" t="n"/>
    </row>
    <row r="400" customFormat="1" s="5">
      <c r="A400" s="228" t="n"/>
      <c r="B400" s="228" t="n"/>
      <c r="C400" s="228" t="n"/>
      <c r="D400" s="228" t="n"/>
      <c r="E400" s="228" t="n"/>
      <c r="F400" s="228" t="n"/>
      <c r="G400" s="228" t="n"/>
      <c r="H400" s="228" t="n"/>
      <c r="I400" s="228" t="n"/>
      <c r="J400" s="228" t="n"/>
      <c r="K400" s="228" t="n"/>
      <c r="L400" s="228" t="n"/>
      <c r="M400" s="228" t="n"/>
      <c r="N400" s="228" t="n"/>
      <c r="O400" s="228" t="n"/>
      <c r="P400" s="228" t="n"/>
      <c r="Q400" s="228" t="n"/>
      <c r="R400" s="228" t="n"/>
      <c r="S400" s="228" t="n"/>
      <c r="T400" s="228" t="n"/>
      <c r="U400" s="228" t="n"/>
      <c r="V400" s="228" t="n"/>
      <c r="W400" s="228" t="n"/>
      <c r="X400" s="228" t="n"/>
      <c r="Y400" s="228" t="n"/>
      <c r="Z400" s="228" t="n"/>
      <c r="AA400" s="228" t="n"/>
      <c r="AB400" s="228" t="n"/>
      <c r="AC400" s="228" t="n"/>
      <c r="AD400" s="228" t="n"/>
      <c r="AE400" s="228" t="n"/>
      <c r="AF400" s="228" t="n"/>
      <c r="AG400" s="228" t="n"/>
      <c r="AH400" s="228" t="n"/>
      <c r="AI400" s="228" t="n"/>
      <c r="AJ400" s="228" t="n"/>
      <c r="AK400" s="228" t="n"/>
      <c r="AL400" s="322" t="n"/>
      <c r="AM400" s="228" t="n"/>
      <c r="AN400" s="228" t="n"/>
      <c r="AO400" s="228" t="n"/>
      <c r="AP400" s="228" t="n"/>
      <c r="AQ400" s="228" t="n"/>
      <c r="AR400" s="228" t="n"/>
      <c r="AS400" s="228" t="n"/>
      <c r="AT400" s="228" t="n"/>
      <c r="AU400" s="228" t="n"/>
      <c r="AV400" s="228" t="n"/>
      <c r="AW400" s="228" t="n"/>
      <c r="AX400" s="228" t="n"/>
    </row>
    <row r="401" customFormat="1" s="9">
      <c r="A401" s="95" t="inlineStr">
        <is>
          <t>Model Checks</t>
        </is>
      </c>
      <c r="B401" s="95" t="n"/>
      <c r="C401" s="95" t="n"/>
      <c r="D401" s="95" t="n"/>
      <c r="E401" s="95" t="n"/>
      <c r="F401" s="95"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c r="AA401" s="95" t="n"/>
      <c r="AB401" s="95" t="n"/>
      <c r="AC401" s="95" t="n"/>
      <c r="AD401" s="95" t="n"/>
      <c r="AE401" s="95" t="n"/>
      <c r="AF401" s="95" t="n"/>
      <c r="AG401" s="95" t="n"/>
      <c r="AH401" s="95" t="n"/>
      <c r="AI401" s="95" t="n"/>
      <c r="AJ401" s="95" t="n"/>
      <c r="AK401" s="95" t="n"/>
      <c r="AL401" s="314" t="n"/>
      <c r="AM401" s="95" t="n"/>
      <c r="AN401" s="95" t="n"/>
      <c r="AO401" s="95" t="n"/>
      <c r="AP401" s="95" t="n"/>
      <c r="AQ401" s="95" t="n"/>
      <c r="AR401" s="95" t="n"/>
      <c r="AS401" s="95" t="n"/>
      <c r="AT401" s="95" t="n"/>
      <c r="AU401" s="95" t="n"/>
      <c r="AV401" s="95" t="n"/>
      <c r="AW401" s="95" t="n"/>
      <c r="AX401" s="22" t="n"/>
    </row>
    <row r="402" customFormat="1" s="5">
      <c r="A402" s="228" t="inlineStr">
        <is>
          <t>Net Income on Revised IS = NI on CF statement</t>
        </is>
      </c>
      <c r="B402" s="498" t="n"/>
      <c r="C402" s="387">
        <f>IF(ISBLANK(INDEX(MO_IS_FirstRow,0,COLUMN())),0,ROUND(C288-C176,6))</f>
        <v/>
      </c>
      <c r="D402" s="387">
        <f>IF(ISBLANK(INDEX(MO_IS_FirstRow,0,COLUMN())),0,ROUND(D288-D176,6))</f>
        <v/>
      </c>
      <c r="E402" s="387">
        <f>IF(ISBLANK(INDEX(MO_IS_FirstRow,0,COLUMN())),0,ROUND(E288-E176,6))</f>
        <v/>
      </c>
      <c r="F402" s="387">
        <f>IF(ISBLANK(INDEX(MO_IS_FirstRow,0,COLUMN())),0,ROUND(F288-F176,6))</f>
        <v/>
      </c>
      <c r="G402" s="387">
        <f>IF(ISBLANK(INDEX(MO_IS_FirstRow,0,COLUMN())),0,ROUND(G288-G176,6))</f>
        <v/>
      </c>
      <c r="H402" s="387">
        <f>IF(ISBLANK(INDEX(MO_IS_FirstRow,0,COLUMN())),0,ROUND(H288-H176,6))</f>
        <v/>
      </c>
      <c r="I402" s="387">
        <f>IF(ISBLANK(INDEX(MO_IS_FirstRow,0,COLUMN())),0,ROUND(I288-I176,6))</f>
        <v/>
      </c>
      <c r="J402" s="387">
        <f>IF(ISBLANK(INDEX(MO_IS_FirstRow,0,COLUMN())),0,ROUND(J288-J176,6))</f>
        <v/>
      </c>
      <c r="K402" s="387">
        <f>IF(ISBLANK(INDEX(MO_IS_FirstRow,0,COLUMN())),0,ROUND(K288-K176,6))</f>
        <v/>
      </c>
      <c r="L402" s="387">
        <f>IF(ISBLANK(INDEX(MO_IS_FirstRow,0,COLUMN())),0,ROUND(L288-L176,6))</f>
        <v/>
      </c>
      <c r="M402" s="387">
        <f>IF(ISBLANK(INDEX(MO_IS_FirstRow,0,COLUMN())),0,ROUND(M288-M176,6))</f>
        <v/>
      </c>
      <c r="N402" s="387">
        <f>IF(ISBLANK(INDEX(MO_IS_FirstRow,0,COLUMN())),0,ROUND(N288-N176,6))</f>
        <v/>
      </c>
      <c r="O402" s="387">
        <f>IF(ISBLANK(INDEX(MO_IS_FirstRow,0,COLUMN())),0,ROUND(O288-O176,6))</f>
        <v/>
      </c>
      <c r="P402" s="387">
        <f>IF(ISBLANK(INDEX(MO_IS_FirstRow,0,COLUMN())),0,ROUND(P288-P176,6))</f>
        <v/>
      </c>
      <c r="Q402" s="387">
        <f>IF(ISBLANK(INDEX(MO_IS_FirstRow,0,COLUMN())),0,ROUND(Q288-Q176,6))</f>
        <v/>
      </c>
      <c r="R402" s="387">
        <f>IF(ISBLANK(INDEX(MO_IS_FirstRow,0,COLUMN())),0,ROUND(R288-R176,6))</f>
        <v/>
      </c>
      <c r="S402" s="387">
        <f>IF(ISBLANK(INDEX(MO_IS_FirstRow,0,COLUMN())),0,ROUND(S288-S176,6))</f>
        <v/>
      </c>
      <c r="T402" s="387">
        <f>IF(ISBLANK(INDEX(MO_IS_FirstRow,0,COLUMN())),0,ROUND(T288-T176,6))</f>
        <v/>
      </c>
      <c r="U402" s="387">
        <f>IF(ISBLANK(INDEX(MO_IS_FirstRow,0,COLUMN())),0,ROUND(U288-U176,6))</f>
        <v/>
      </c>
      <c r="V402" s="387">
        <f>IF(ISBLANK(INDEX(MO_IS_FirstRow,0,COLUMN())),0,ROUND(V288-V176,6))</f>
        <v/>
      </c>
      <c r="W402" s="387">
        <f>IF(ISBLANK(INDEX(MO_IS_FirstRow,0,COLUMN())),0,ROUND(W288-W176,6))</f>
        <v/>
      </c>
      <c r="X402" s="387">
        <f>IF(ISBLANK(INDEX(MO_IS_FirstRow,0,COLUMN())),0,ROUND(X288-X176,6))</f>
        <v/>
      </c>
      <c r="Y402" s="387">
        <f>IF(ISBLANK(INDEX(MO_IS_FirstRow,0,COLUMN())),0,ROUND(Y288-Y176,6))</f>
        <v/>
      </c>
      <c r="Z402" s="387">
        <f>IF(ISBLANK(INDEX(MO_IS_FirstRow,0,COLUMN())),0,ROUND(Z288-Z176,6))</f>
        <v/>
      </c>
      <c r="AA402" s="387">
        <f>IF(ISBLANK(INDEX(MO_IS_FirstRow,0,COLUMN())),0,ROUND(AA288-AA176,6))</f>
        <v/>
      </c>
      <c r="AB402" s="387">
        <f>IF(ISBLANK(INDEX(MO_IS_FirstRow,0,COLUMN())),0,ROUND(AB288-AB176,6))</f>
        <v/>
      </c>
      <c r="AC402" s="387">
        <f>IF(ISBLANK(INDEX(MO_IS_FirstRow,0,COLUMN())),0,ROUND(AC288-AC176,6))</f>
        <v/>
      </c>
      <c r="AD402" s="387">
        <f>IF(ISBLANK(INDEX(MO_IS_FirstRow,0,COLUMN())),0,ROUND(AD288-AD176,6))</f>
        <v/>
      </c>
      <c r="AE402" s="387">
        <f>IF(ISBLANK(INDEX(MO_IS_FirstRow,0,COLUMN())),0,ROUND(AE288-AE176,6))</f>
        <v/>
      </c>
      <c r="AF402" s="387">
        <f>IF(ISBLANK(INDEX(MO_IS_FirstRow,0,COLUMN())),0,ROUND(AF288-AF176,6))</f>
        <v/>
      </c>
      <c r="AG402" s="387">
        <f>IF(ISBLANK(INDEX(MO_IS_FirstRow,0,COLUMN())),0,ROUND(AG288-AG176,6))</f>
        <v/>
      </c>
      <c r="AH402" s="387">
        <f>IF(ISBLANK(INDEX(MO_IS_FirstRow,0,COLUMN())),0,ROUND(AH288-AH176,6))</f>
        <v/>
      </c>
      <c r="AI402" s="387">
        <f>IF(ISBLANK(INDEX(MO_IS_FirstRow,0,COLUMN())),0,ROUND(AI288-AI176,6))</f>
        <v/>
      </c>
      <c r="AJ402" s="387">
        <f>IF(ISBLANK(INDEX(MO_IS_FirstRow,0,COLUMN())),0,ROUND(AJ288-AJ176,6))</f>
        <v/>
      </c>
      <c r="AK402" s="387">
        <f>IF(ISBLANK(INDEX(MO_IS_FirstRow,0,COLUMN())),0,ROUND(AK288-AK176,6))</f>
        <v/>
      </c>
      <c r="AL402" s="388">
        <f>IF(ISBLANK(INDEX(MO_IS_FirstRow,0,COLUMN())),0,ROUND(AL288-AL176,6))</f>
        <v/>
      </c>
      <c r="AM402" s="387" t="n"/>
      <c r="AN402" s="387" t="n"/>
      <c r="AO402" s="387" t="n"/>
      <c r="AP402" s="387" t="n"/>
      <c r="AQ402" s="387" t="n"/>
      <c r="AR402" s="387" t="n"/>
      <c r="AS402" s="387" t="n"/>
      <c r="AT402" s="387" t="n"/>
      <c r="AU402" s="387" t="n"/>
      <c r="AV402" s="387" t="n"/>
      <c r="AW402" s="387" t="n"/>
      <c r="AX402" s="228" t="n"/>
    </row>
    <row r="403" customFormat="1" s="5">
      <c r="A403" s="228" t="inlineStr">
        <is>
          <t>Net Income on Reported IS = NI on Revised</t>
        </is>
      </c>
      <c r="B403" s="498" t="n"/>
      <c r="C403" s="387">
        <f>IF(ISBLANK(INDEX(MO_IS_FirstRow,0,COLUMN())),0,ROUND(C70-C176,6))</f>
        <v/>
      </c>
      <c r="D403" s="387">
        <f>IF(ISBLANK(INDEX(MO_IS_FirstRow,0,COLUMN())),0,ROUND(D70-D176,6))</f>
        <v/>
      </c>
      <c r="E403" s="387">
        <f>IF(ISBLANK(INDEX(MO_IS_FirstRow,0,COLUMN())),0,ROUND(E70-E176,6))</f>
        <v/>
      </c>
      <c r="F403" s="387">
        <f>IF(ISBLANK(INDEX(MO_IS_FirstRow,0,COLUMN())),0,ROUND(F70-F176,6))</f>
        <v/>
      </c>
      <c r="G403" s="387">
        <f>IF(ISBLANK(INDEX(MO_IS_FirstRow,0,COLUMN())),0,ROUND(G70-G176,6))</f>
        <v/>
      </c>
      <c r="H403" s="387">
        <f>IF(ISBLANK(INDEX(MO_IS_FirstRow,0,COLUMN())),0,ROUND(H70-H176,6))</f>
        <v/>
      </c>
      <c r="I403" s="387">
        <f>IF(ISBLANK(INDEX(MO_IS_FirstRow,0,COLUMN())),0,ROUND(I70-I176,6))</f>
        <v/>
      </c>
      <c r="J403" s="387">
        <f>IF(ISBLANK(INDEX(MO_IS_FirstRow,0,COLUMN())),0,ROUND(J70-J176,6))</f>
        <v/>
      </c>
      <c r="K403" s="387">
        <f>IF(ISBLANK(INDEX(MO_IS_FirstRow,0,COLUMN())),0,ROUND(K70-K176,6))</f>
        <v/>
      </c>
      <c r="L403" s="387">
        <f>IF(ISBLANK(INDEX(MO_IS_FirstRow,0,COLUMN())),0,ROUND(L70-L176,6))</f>
        <v/>
      </c>
      <c r="M403" s="387">
        <f>IF(ISBLANK(INDEX(MO_IS_FirstRow,0,COLUMN())),0,ROUND(M70-M176,6))</f>
        <v/>
      </c>
      <c r="N403" s="387">
        <f>IF(ISBLANK(INDEX(MO_IS_FirstRow,0,COLUMN())),0,ROUND(N70-N176,6))</f>
        <v/>
      </c>
      <c r="O403" s="387">
        <f>IF(ISBLANK(INDEX(MO_IS_FirstRow,0,COLUMN())),0,ROUND(O70-O176,6))</f>
        <v/>
      </c>
      <c r="P403" s="387">
        <f>IF(ISBLANK(INDEX(MO_IS_FirstRow,0,COLUMN())),0,ROUND(P70-P176,6))</f>
        <v/>
      </c>
      <c r="Q403" s="387">
        <f>IF(ISBLANK(INDEX(MO_IS_FirstRow,0,COLUMN())),0,ROUND(Q70-Q176,6))</f>
        <v/>
      </c>
      <c r="R403" s="387">
        <f>IF(ISBLANK(INDEX(MO_IS_FirstRow,0,COLUMN())),0,ROUND(R70-R176,6))</f>
        <v/>
      </c>
      <c r="S403" s="387">
        <f>IF(ISBLANK(INDEX(MO_IS_FirstRow,0,COLUMN())),0,ROUND(S70-S176,6))</f>
        <v/>
      </c>
      <c r="T403" s="387">
        <f>IF(ISBLANK(INDEX(MO_IS_FirstRow,0,COLUMN())),0,ROUND(T70-T176,6))</f>
        <v/>
      </c>
      <c r="U403" s="387">
        <f>IF(ISBLANK(INDEX(MO_IS_FirstRow,0,COLUMN())),0,ROUND(U70-U176,6))</f>
        <v/>
      </c>
      <c r="V403" s="387">
        <f>IF(ISBLANK(INDEX(MO_IS_FirstRow,0,COLUMN())),0,ROUND(V70-V176,6))</f>
        <v/>
      </c>
      <c r="W403" s="387">
        <f>IF(ISBLANK(INDEX(MO_IS_FirstRow,0,COLUMN())),0,ROUND(W70-W176,6))</f>
        <v/>
      </c>
      <c r="X403" s="387">
        <f>IF(ISBLANK(INDEX(MO_IS_FirstRow,0,COLUMN())),0,ROUND(X70-X176,6))</f>
        <v/>
      </c>
      <c r="Y403" s="387">
        <f>IF(ISBLANK(INDEX(MO_IS_FirstRow,0,COLUMN())),0,ROUND(Y70-Y176,6))</f>
        <v/>
      </c>
      <c r="Z403" s="387">
        <f>IF(ISBLANK(INDEX(MO_IS_FirstRow,0,COLUMN())),0,ROUND(Z70-Z176,6))</f>
        <v/>
      </c>
      <c r="AA403" s="387">
        <f>IF(ISBLANK(INDEX(MO_IS_FirstRow,0,COLUMN())),0,ROUND(AA70-AA176,6))</f>
        <v/>
      </c>
      <c r="AB403" s="387">
        <f>IF(ISBLANK(INDEX(MO_IS_FirstRow,0,COLUMN())),0,ROUND(AB70-AB176,6))</f>
        <v/>
      </c>
      <c r="AC403" s="387">
        <f>IF(ISBLANK(INDEX(MO_IS_FirstRow,0,COLUMN())),0,ROUND(AC70-AC176,6))</f>
        <v/>
      </c>
      <c r="AD403" s="387">
        <f>IF(ISBLANK(INDEX(MO_IS_FirstRow,0,COLUMN())),0,ROUND(AD70-AD176,6))</f>
        <v/>
      </c>
      <c r="AE403" s="387">
        <f>IF(ISBLANK(INDEX(MO_IS_FirstRow,0,COLUMN())),0,ROUND(AE70-AE176,6))</f>
        <v/>
      </c>
      <c r="AF403" s="387">
        <f>IF(ISBLANK(INDEX(MO_IS_FirstRow,0,COLUMN())),0,ROUND(AF70-AF176,6))</f>
        <v/>
      </c>
      <c r="AG403" s="387">
        <f>IF(ISBLANK(INDEX(MO_IS_FirstRow,0,COLUMN())),0,ROUND(AG70-AG176,6))</f>
        <v/>
      </c>
      <c r="AH403" s="387">
        <f>IF(ISBLANK(INDEX(MO_IS_FirstRow,0,COLUMN())),0,ROUND(AH70-AH176,6))</f>
        <v/>
      </c>
      <c r="AI403" s="387">
        <f>IF(ISBLANK(INDEX(MO_IS_FirstRow,0,COLUMN())),0,ROUND(AI70-AI176,6))</f>
        <v/>
      </c>
      <c r="AJ403" s="387">
        <f>IF(ISBLANK(INDEX(MO_IS_FirstRow,0,COLUMN())),0,ROUND(AJ70-AJ176,6))</f>
        <v/>
      </c>
      <c r="AK403" s="387">
        <f>IF(ISBLANK(INDEX(MO_IS_FirstRow,0,COLUMN())),0,ROUND(AK70-AK176,6))</f>
        <v/>
      </c>
      <c r="AL403" s="388">
        <f>IF(ISBLANK(INDEX(MO_IS_FirstRow,0,COLUMN())),0,ROUND(AL70-AL176,6))</f>
        <v/>
      </c>
      <c r="AM403" s="387" t="n"/>
      <c r="AN403" s="387" t="n"/>
      <c r="AO403" s="387" t="n"/>
      <c r="AP403" s="387" t="n"/>
      <c r="AQ403" s="387" t="n"/>
      <c r="AR403" s="387" t="n"/>
      <c r="AS403" s="387" t="n"/>
      <c r="AT403" s="387" t="n"/>
      <c r="AU403" s="387" t="n"/>
      <c r="AV403" s="387" t="n"/>
      <c r="AW403" s="387" t="n"/>
      <c r="AX403" s="228" t="n"/>
    </row>
    <row r="404" customFormat="1" s="5">
      <c r="A404" s="228" t="inlineStr">
        <is>
          <t>Segmented Revenue = Revenue</t>
        </is>
      </c>
      <c r="B404" s="498" t="n"/>
      <c r="C404" s="387">
        <f>IF(AND(ISBLANK(C14),ISBLANK(C15),ISBLANK(C16),ISBLANK(C17)),0,ROUND(C133-C14-C17-C15-C16,6))</f>
        <v/>
      </c>
      <c r="D404" s="387">
        <f>IF(AND(ISBLANK(D14),ISBLANK(D15),ISBLANK(D16),ISBLANK(D17)),0,ROUND(D133-D14-D17-D15-D16,6))</f>
        <v/>
      </c>
      <c r="E404" s="387">
        <f>IF(AND(ISBLANK(E14),ISBLANK(E15),ISBLANK(E16),ISBLANK(E17)),0,ROUND(E133-E14-E17-E15-E16,6))</f>
        <v/>
      </c>
      <c r="F404" s="387">
        <f>IF(AND(ISBLANK(F14),ISBLANK(F15),ISBLANK(F16),ISBLANK(F17)),0,ROUND(F133-F14-F17-F15-F16,6))</f>
        <v/>
      </c>
      <c r="G404" s="387">
        <f>IF(AND(ISBLANK(G14),ISBLANK(G15),ISBLANK(G16),ISBLANK(G17)),0,ROUND(G133-G14-G17-G15-G16,6))</f>
        <v/>
      </c>
      <c r="H404" s="387">
        <f>IF(AND(ISBLANK(H14),ISBLANK(H15),ISBLANK(H16),ISBLANK(H17)),0,ROUND(H133-H14-H17-H15-H16,6))</f>
        <v/>
      </c>
      <c r="I404" s="387">
        <f>IF(AND(ISBLANK(I14),ISBLANK(I15),ISBLANK(I16),ISBLANK(I17)),0,ROUND(I133-I14-I17-I15-I16,6))</f>
        <v/>
      </c>
      <c r="J404" s="387">
        <f>IF(AND(ISBLANK(J14),ISBLANK(J15),ISBLANK(J16),ISBLANK(J17)),0,ROUND(J133-J14-J17-J15-J16,6))</f>
        <v/>
      </c>
      <c r="K404" s="387">
        <f>IF(AND(ISBLANK(K14),ISBLANK(K15),ISBLANK(K16),ISBLANK(K17)),0,ROUND(K133-K14-K17-K15-K16,6))</f>
        <v/>
      </c>
      <c r="L404" s="387">
        <f>IF(AND(ISBLANK(L14),ISBLANK(L15),ISBLANK(L16),ISBLANK(L17)),0,ROUND(L133-L14-L17-L15-L16,6))</f>
        <v/>
      </c>
      <c r="M404" s="387">
        <f>IF(AND(ISBLANK(M14),ISBLANK(M15),ISBLANK(M16),ISBLANK(M17)),0,ROUND(M133-M14-M17-M15-M16,6))</f>
        <v/>
      </c>
      <c r="N404" s="387">
        <f>IF(AND(ISBLANK(N14),ISBLANK(N15),ISBLANK(N16),ISBLANK(N17)),0,ROUND(N133-N14-N17-N15-N16,6))</f>
        <v/>
      </c>
      <c r="O404" s="387">
        <f>IF(AND(ISBLANK(O14),ISBLANK(O15),ISBLANK(O16),ISBLANK(O17)),0,ROUND(O133-O14-O17-O15-O16,6))</f>
        <v/>
      </c>
      <c r="P404" s="387">
        <f>IF(AND(ISBLANK(P14),ISBLANK(P15),ISBLANK(P16),ISBLANK(P17)),0,ROUND(P133-P14-P17-P15-P16,6))</f>
        <v/>
      </c>
      <c r="Q404" s="387">
        <f>IF(AND(ISBLANK(Q14),ISBLANK(Q15),ISBLANK(Q16),ISBLANK(Q17)),0,ROUND(Q133-Q14-Q17-Q15-Q16,6))</f>
        <v/>
      </c>
      <c r="R404" s="387">
        <f>IF(AND(ISBLANK(R14),ISBLANK(R15),ISBLANK(R16),ISBLANK(R17)),0,ROUND(R133-R14-R17-R15-R16,6))</f>
        <v/>
      </c>
      <c r="S404" s="387">
        <f>IF(AND(ISBLANK(S14),ISBLANK(S15),ISBLANK(S16),ISBLANK(S17)),0,ROUND(S133-S14-S17-S15-S16,6))</f>
        <v/>
      </c>
      <c r="T404" s="387">
        <f>IF(AND(ISBLANK(T14),ISBLANK(T15),ISBLANK(T16),ISBLANK(T17)),0,ROUND(T133-T14-T17-T15-T16,6))</f>
        <v/>
      </c>
      <c r="U404" s="387">
        <f>IF(AND(ISBLANK(U14),ISBLANK(U15),ISBLANK(U16),ISBLANK(U17)),0,ROUND(U133-U14-U17-U15-U16,6))</f>
        <v/>
      </c>
      <c r="V404" s="387">
        <f>IF(AND(ISBLANK(V14),ISBLANK(V15),ISBLANK(V16),ISBLANK(V17)),0,ROUND(V133-V14-V17-V15-V16,6))</f>
        <v/>
      </c>
      <c r="W404" s="387">
        <f>IF(AND(ISBLANK(W14),ISBLANK(W15),ISBLANK(W16),ISBLANK(W17)),0,ROUND(W133-W14-W17-W15-W16,6))</f>
        <v/>
      </c>
      <c r="X404" s="387">
        <f>IF(AND(ISBLANK(X14),ISBLANK(X15),ISBLANK(X16),ISBLANK(X17)),0,ROUND(X133-X14-X17-X15-X16,6))</f>
        <v/>
      </c>
      <c r="Y404" s="387">
        <f>IF(AND(ISBLANK(Y14),ISBLANK(Y15),ISBLANK(Y16),ISBLANK(Y17)),0,ROUND(Y133-Y14-Y17-Y15-Y16,6))</f>
        <v/>
      </c>
      <c r="Z404" s="387">
        <f>IF(AND(ISBLANK(Z14),ISBLANK(Z15),ISBLANK(Z16),ISBLANK(Z17)),0,ROUND(Z133-Z14-Z17-Z15-Z16,6))</f>
        <v/>
      </c>
      <c r="AA404" s="387">
        <f>IF(AND(ISBLANK(AA14),ISBLANK(AA15),ISBLANK(AA16),ISBLANK(AA17)),0,ROUND(AA133-AA14-AA17-AA15-AA16,6))</f>
        <v/>
      </c>
      <c r="AB404" s="387">
        <f>IF(AND(ISBLANK(AB14),ISBLANK(AB15),ISBLANK(AB16),ISBLANK(AB17)),0,ROUND(AB133-AB14-AB17-AB15-AB16,6))</f>
        <v/>
      </c>
      <c r="AC404" s="387">
        <f>IF(AND(ISBLANK(AC14),ISBLANK(AC15),ISBLANK(AC16),ISBLANK(AC17)),0,ROUND(AC133-AC14-AC17-AC15-AC16,6))</f>
        <v/>
      </c>
      <c r="AD404" s="387">
        <f>IF(AND(ISBLANK(AD14),ISBLANK(AD15),ISBLANK(AD16),ISBLANK(AD17)),0,ROUND(AD133-AD14-AD17-AD15-AD16,6))</f>
        <v/>
      </c>
      <c r="AE404" s="387">
        <f>IF(AND(ISBLANK(AE14),ISBLANK(AE15),ISBLANK(AE16),ISBLANK(AE17)),0,ROUND(AE133-AE14-AE17-AE15-AE16,6))</f>
        <v/>
      </c>
      <c r="AF404" s="387">
        <f>IF(AND(ISBLANK(AF14),ISBLANK(AF15),ISBLANK(AF16),ISBLANK(AF17)),0,ROUND(AF133-AF14-AF17-AF15-AF16,6))</f>
        <v/>
      </c>
      <c r="AG404" s="387">
        <f>IF(AND(ISBLANK(AG14),ISBLANK(AG15),ISBLANK(AG16),ISBLANK(AG17)),0,ROUND(AG133-AG14-AG17-AG15-AG16,6))</f>
        <v/>
      </c>
      <c r="AH404" s="387">
        <f>IF(AND(ISBLANK(AH14),ISBLANK(AH15),ISBLANK(AH16),ISBLANK(AH17)),0,ROUND(AH133-AH14-AH17-AH15-AH16,6))</f>
        <v/>
      </c>
      <c r="AI404" s="387">
        <f>IF(AND(ISBLANK(AI14),ISBLANK(AI15),ISBLANK(AI16),ISBLANK(AI17)),0,ROUND(AI133-AI14-AI17-AI15-AI16,6))</f>
        <v/>
      </c>
      <c r="AJ404" s="387">
        <f>IF(AND(ISBLANK(AJ14),ISBLANK(AJ15),ISBLANK(AJ16),ISBLANK(AJ17)),0,ROUND(AJ133-AJ14-AJ17-AJ15-AJ16,6))</f>
        <v/>
      </c>
      <c r="AK404" s="387">
        <f>IF(AND(ISBLANK(AK14),ISBLANK(AK15),ISBLANK(AK16),ISBLANK(AK17)),0,ROUND(AK133-AK14-AK17-AK15-AK16,6))</f>
        <v/>
      </c>
      <c r="AL404" s="388">
        <f>IF(AND(ISBLANK(AL14),ISBLANK(AL15),ISBLANK(AL16),ISBLANK(AL17)),0,ROUND(AL133-AL14-AL17-AL15-AL16,6))</f>
        <v/>
      </c>
      <c r="AM404" s="387" t="n"/>
      <c r="AN404" s="387" t="n"/>
      <c r="AO404" s="387" t="n"/>
      <c r="AP404" s="387" t="n"/>
      <c r="AQ404" s="387" t="n"/>
      <c r="AR404" s="387" t="n"/>
      <c r="AS404" s="387" t="n"/>
      <c r="AT404" s="387" t="n"/>
      <c r="AU404" s="387" t="n"/>
      <c r="AV404" s="387" t="n"/>
      <c r="AW404" s="387" t="n"/>
      <c r="AX404" s="228" t="n"/>
    </row>
    <row r="405" customFormat="1" s="5">
      <c r="A405" s="228" t="inlineStr">
        <is>
          <t>Cash Flow is not Repeated</t>
        </is>
      </c>
      <c r="B405" s="498" t="n"/>
      <c r="C405" s="387">
        <f>IF(ISBLANK(INDEX(MO_IS_FirstRow,0,COLUMN())),0,IF(OR(C331=B331,C331=D331),"CHECK",0))</f>
        <v/>
      </c>
      <c r="D405" s="387">
        <f>IF(ISBLANK(INDEX(MO_IS_FirstRow,0,COLUMN())),0,IF(OR(D331=C331,D331=E331),"CHECK",0))</f>
        <v/>
      </c>
      <c r="E405" s="387">
        <f>IF(ISBLANK(INDEX(MO_IS_FirstRow,0,COLUMN())),0,IF(OR(E331=D331,E331=F331),"CHECK",0))</f>
        <v/>
      </c>
      <c r="F405" s="387">
        <f>IF(ISBLANK(INDEX(MO_IS_FirstRow,0,COLUMN())),0,IF(OR(F331=E331,F331=K331),"CHECK",0))</f>
        <v/>
      </c>
      <c r="G405" s="387">
        <f>IF(ISBLANK(INDEX(MO_IS_FirstRow,0,COLUMN())),0,IF(OR(G331=B331,G331=H331,G331=E331),"CHECK",0))</f>
        <v/>
      </c>
      <c r="H405" s="387">
        <f>IF(ISBLANK(INDEX(MO_IS_FirstRow,0,COLUMN())),0,IF(OR(H331=C331,H331=I331,H331=G331),"CHECK",0))</f>
        <v/>
      </c>
      <c r="I405" s="387">
        <f>IF(ISBLANK(INDEX(MO_IS_FirstRow,0,COLUMN())),0,IF(OR(I331=D331,I331=J331,I331=H331),"CHECK",0))</f>
        <v/>
      </c>
      <c r="J405" s="387">
        <f>IF(ISBLANK(INDEX(MO_IS_FirstRow,0,COLUMN())),0,IF(OR(J331=E331,J331=K331,J331=I331),"CHECK",0))</f>
        <v/>
      </c>
      <c r="K405" s="387">
        <f>IF(ISBLANK(INDEX(MO_IS_FirstRow,0,COLUMN())),0,IF(K331=F331,"CHECK",0))</f>
        <v/>
      </c>
      <c r="L405" s="387">
        <f>IF(ISBLANK(INDEX(MO_IS_FirstRow,0,COLUMN())),0,IF(OR(L331=G331,L331=M331,L331=J331),"CHECK",0))</f>
        <v/>
      </c>
      <c r="M405" s="387">
        <f>IF(ISBLANK(INDEX(MO_IS_FirstRow,0,COLUMN())),0,IF(OR(M331=H331,M331=N331,M331=L331),"CHECK",0))</f>
        <v/>
      </c>
      <c r="N405" s="387">
        <f>IF(ISBLANK(INDEX(MO_IS_FirstRow,0,COLUMN())),0,IF(OR(N331=I331,N331=O331,N331=M331),"CHECK",0))</f>
        <v/>
      </c>
      <c r="O405" s="387">
        <f>IF(ISBLANK(INDEX(MO_IS_FirstRow,0,COLUMN())),0,IF(OR(O331=J331,O331=P331,O331=N331),"CHECK",0))</f>
        <v/>
      </c>
      <c r="P405" s="387">
        <f>IF(ISBLANK(INDEX(MO_IS_FirstRow,0,COLUMN())),0,IF(P331=K331,"CHECK",0))</f>
        <v/>
      </c>
      <c r="Q405" s="387">
        <f>IF(ISBLANK(INDEX(MO_IS_FirstRow,0,COLUMN())),0,IF(OR(Q331=L331,Q331=R331,Q331=O331),"CHECK",0))</f>
        <v/>
      </c>
      <c r="R405" s="387">
        <f>IF(ISBLANK(INDEX(MO_IS_FirstRow,0,COLUMN())),0,IF(OR(R331=M331,R331=S331,R331=Q331),"CHECK",0))</f>
        <v/>
      </c>
      <c r="S405" s="387">
        <f>IF(ISBLANK(INDEX(MO_IS_FirstRow,0,COLUMN())),0,IF(OR(S331=N331,S331=T331,S331=R331),"CHECK",0))</f>
        <v/>
      </c>
      <c r="T405" s="387">
        <f>IF(ISBLANK(INDEX(MO_IS_FirstRow,0,COLUMN())),0,IF(OR(T331=O331,T331=U331,T331=S331),"CHECK",0))</f>
        <v/>
      </c>
      <c r="U405" s="387">
        <f>IF(ISBLANK(INDEX(MO_IS_FirstRow,0,COLUMN())),0,IF(U331=P331,"CHECK",0))</f>
        <v/>
      </c>
      <c r="V405" s="387">
        <f>IF(ISBLANK(INDEX(MO_IS_FirstRow,0,COLUMN())),0,IF(OR(V331=Q331,V331=W331,V331=T331),"CHECK",0))</f>
        <v/>
      </c>
      <c r="W405" s="387">
        <f>IF(ISBLANK(INDEX(MO_IS_FirstRow,0,COLUMN())),0,IF(OR(W331=R331,W331=X331,W331=V331),"CHECK",0))</f>
        <v/>
      </c>
      <c r="X405" s="387">
        <f>IF(ISBLANK(INDEX(MO_IS_FirstRow,0,COLUMN())),0,IF(OR(X331=S331,X331=Y331,X331=W331),"CHECK",0))</f>
        <v/>
      </c>
      <c r="Y405" s="387">
        <f>IF(ISBLANK(INDEX(MO_IS_FirstRow,0,COLUMN())),0,IF(OR(Y331=T331,Y331=Z331,Y331=X331),"CHECK",0))</f>
        <v/>
      </c>
      <c r="Z405" s="387">
        <f>IF(ISBLANK(INDEX(MO_IS_FirstRow,0,COLUMN())),0,IF(Z331=U331,"CHECK",0))</f>
        <v/>
      </c>
      <c r="AA405" s="387">
        <f>IF(ISBLANK(INDEX(MO_IS_FirstRow,0,COLUMN())),0,IF(OR(AA331=V331,AA331=AB331,AA331=Y331),"CHECK",0))</f>
        <v/>
      </c>
      <c r="AB405" s="387">
        <f>IF(ISBLANK(INDEX(MO_IS_FirstRow,0,COLUMN())),0,IF(OR(AB331=W331,AB331=AC331,AB331=AA331),"CHECK",0))</f>
        <v/>
      </c>
      <c r="AC405" s="387">
        <f>IF(ISBLANK(INDEX(MO_IS_FirstRow,0,COLUMN())),0,IF(OR(AC331=X331,AC331=AD331,AC331=AB331),"CHECK",0))</f>
        <v/>
      </c>
      <c r="AD405" s="387">
        <f>IF(ISBLANK(INDEX(MO_IS_FirstRow,0,COLUMN())),0,IF(OR(AD331=Y331,AD331=AE331,AD331=AC331),"CHECK",0))</f>
        <v/>
      </c>
      <c r="AE405" s="387">
        <f>IF(ISBLANK(INDEX(MO_IS_FirstRow,0,COLUMN())),0,IF(AE331=Z331,"CHECK",0))</f>
        <v/>
      </c>
      <c r="AF405" s="387">
        <f>IF(ISBLANK(INDEX(MO_IS_FirstRow,0,COLUMN())),0,IF(OR(AF331=AA331,AF331=AG331,AF331=AD331),"CHECK",0))</f>
        <v/>
      </c>
      <c r="AG405" s="387">
        <f>IF(ISBLANK(INDEX(MO_IS_FirstRow,0,COLUMN())),0,IF(OR(AG331=AB331,AG331=AH331,AG331=AF331),"CHECK",0))</f>
        <v/>
      </c>
      <c r="AH405" s="387">
        <f>IF(ISBLANK(INDEX(MO_IS_FirstRow,0,COLUMN())),0,IF(OR(AH331=AC331,AH331=AI331,AH331=AG331),"CHECK",0))</f>
        <v/>
      </c>
      <c r="AI405" s="387">
        <f>IF(ISBLANK(INDEX(MO_IS_FirstRow,0,COLUMN())),0,IF(OR(AI331=AD331,AI331=AJ331,AI331=AH331),"CHECK",0))</f>
        <v/>
      </c>
      <c r="AJ405" s="387">
        <f>IF(ISBLANK(INDEX(MO_IS_FirstRow,0,COLUMN())),0,IF(AJ331=AE331,"CHECK",0))</f>
        <v/>
      </c>
      <c r="AK405" s="387">
        <f>IF(ISBLANK(INDEX(MO_IS_FirstRow,0,COLUMN())),0,IF(OR(AK331=AF331,AK331=AL331,AK331=AI331),"CHECK",0))</f>
        <v/>
      </c>
      <c r="AL405" s="388">
        <f>IF(ISBLANK(INDEX(MO_IS_FirstRow,0,COLUMN())),0,IF(OR(AL331=AG331,AL331=AM331,AL331=AK331),"CHECK",0))</f>
        <v/>
      </c>
      <c r="AM405" s="387" t="n"/>
      <c r="AN405" s="387" t="n"/>
      <c r="AO405" s="387" t="n"/>
      <c r="AP405" s="387" t="n"/>
      <c r="AQ405" s="387" t="n"/>
      <c r="AR405" s="387" t="n"/>
      <c r="AS405" s="387" t="n"/>
      <c r="AT405" s="387" t="n"/>
      <c r="AU405" s="387" t="n"/>
      <c r="AV405" s="387" t="n"/>
      <c r="AW405" s="387" t="n"/>
      <c r="AX405" s="228" t="n"/>
    </row>
    <row r="406" customFormat="1" s="5">
      <c r="A406" s="228" t="inlineStr">
        <is>
          <t>Income Statement is not Repeated</t>
        </is>
      </c>
      <c r="B406" s="498" t="n"/>
      <c r="C406" s="387" t="n"/>
      <c r="D406" s="387">
        <f>IF(ISBLANK(INDEX(MO_IS_FirstRow,0,COLUMN())),0,IF(OR(D176=A176,C176=E176,F176=B176),"CHECK",0))</f>
        <v/>
      </c>
      <c r="E406" s="387">
        <f>IF(ISBLANK(INDEX(MO_IS_FirstRow,0,COLUMN())),0,IF(OR(E176=B176,D176=F176,G176=C176),"CHECK",0))</f>
        <v/>
      </c>
      <c r="F406" s="387">
        <f>IF(ISBLANK(INDEX(MO_IS_FirstRow,0,COLUMN())),0,IF(OR(F176=C176,E176=G176,H176=D176),"CHECK",0))</f>
        <v/>
      </c>
      <c r="G406" s="387">
        <f>IF(ISBLANK(INDEX(MO_IS_FirstRow,0,COLUMN())),0,IF(OR(G176=D176,F176=H176,I176=E176),"CHECK",0))</f>
        <v/>
      </c>
      <c r="H406" s="387">
        <f>IF(ISBLANK(INDEX(MO_IS_FirstRow,0,COLUMN())),0,IF(OR(H176=E176,G176=I176,J176=F176),"CHECK",0))</f>
        <v/>
      </c>
      <c r="I406" s="387">
        <f>IF(ISBLANK(INDEX(MO_IS_FirstRow,0,COLUMN())),0,IF(OR(I176=F176,H176=J176,K176=G176),"CHECK",0))</f>
        <v/>
      </c>
      <c r="J406" s="387">
        <f>IF(ISBLANK(INDEX(MO_IS_FirstRow,0,COLUMN())),0,IF(OR(J176=G176,I176=K176,L176=H176),"CHECK",0))</f>
        <v/>
      </c>
      <c r="K406" s="387">
        <f>IF(ISBLANK(INDEX(MO_IS_FirstRow,0,COLUMN())),0,IF(OR(K176=H176,J176=L176,M176=I176),"CHECK",0))</f>
        <v/>
      </c>
      <c r="L406" s="387">
        <f>IF(ISBLANK(INDEX(MO_IS_FirstRow,0,COLUMN())),0,IF(OR(L176=I176,K176=M176,N176=J176),"CHECK",0))</f>
        <v/>
      </c>
      <c r="M406" s="387">
        <f>IF(ISBLANK(INDEX(MO_IS_FirstRow,0,COLUMN())),0,IF(OR(M176=J176,L176=N176,O176=K176),"CHECK",0))</f>
        <v/>
      </c>
      <c r="N406" s="387">
        <f>IF(ISBLANK(INDEX(MO_IS_FirstRow,0,COLUMN())),0,IF(OR(N176=K176,M176=O176,P176=L176),"CHECK",0))</f>
        <v/>
      </c>
      <c r="O406" s="387">
        <f>IF(ISBLANK(INDEX(MO_IS_FirstRow,0,COLUMN())),0,IF(OR(O176=L176,N176=P176,Q176=M176),"CHECK",0))</f>
        <v/>
      </c>
      <c r="P406" s="387">
        <f>IF(ISBLANK(INDEX(MO_IS_FirstRow,0,COLUMN())),0,IF(OR(P176=M176,O176=Q176,R176=N176),"CHECK",0))</f>
        <v/>
      </c>
      <c r="Q406" s="387">
        <f>IF(ISBLANK(INDEX(MO_IS_FirstRow,0,COLUMN())),0,IF(OR(Q176=N176,P176=R176,S176=O176),"CHECK",0))</f>
        <v/>
      </c>
      <c r="R406" s="387">
        <f>IF(ISBLANK(INDEX(MO_IS_FirstRow,0,COLUMN())),0,IF(OR(R176=O176,Q176=S176,T176=P176),"CHECK",0))</f>
        <v/>
      </c>
      <c r="S406" s="387">
        <f>IF(ISBLANK(INDEX(MO_IS_FirstRow,0,COLUMN())),0,IF(OR(S176=P176,R176=T176,U176=Q176),"CHECK",0))</f>
        <v/>
      </c>
      <c r="T406" s="387">
        <f>IF(ISBLANK(INDEX(MO_IS_FirstRow,0,COLUMN())),0,IF(OR(T176=Q176,S176=U176,V176=R176),"CHECK",0))</f>
        <v/>
      </c>
      <c r="U406" s="387">
        <f>IF(ISBLANK(INDEX(MO_IS_FirstRow,0,COLUMN())),0,IF(OR(U176=R176,T176=V176,W176=S176),"CHECK",0))</f>
        <v/>
      </c>
      <c r="V406" s="387">
        <f>IF(ISBLANK(INDEX(MO_IS_FirstRow,0,COLUMN())),0,IF(OR(V176=S176,U176=W176,X176=T176),"CHECK",0))</f>
        <v/>
      </c>
      <c r="W406" s="387">
        <f>IF(ISBLANK(INDEX(MO_IS_FirstRow,0,COLUMN())),0,IF(OR(W176=T176,V176=X176,Y176=U176),"CHECK",0))</f>
        <v/>
      </c>
      <c r="X406" s="387">
        <f>IF(ISBLANK(INDEX(MO_IS_FirstRow,0,COLUMN())),0,IF(OR(X176=U176,W176=Y176,Z176=V176),"CHECK",0))</f>
        <v/>
      </c>
      <c r="Y406" s="387">
        <f>IF(ISBLANK(INDEX(MO_IS_FirstRow,0,COLUMN())),0,IF(OR(Y176=V176,X176=Z176,AA176=W176),"CHECK",0))</f>
        <v/>
      </c>
      <c r="Z406" s="387">
        <f>IF(ISBLANK(INDEX(MO_IS_FirstRow,0,COLUMN())),0,IF(OR(Z176=W176,Y176=AA176,AB176=X176),"CHECK",0))</f>
        <v/>
      </c>
      <c r="AA406" s="387">
        <f>IF(ISBLANK(INDEX(MO_IS_FirstRow,0,COLUMN())),0,IF(OR(AA176=X176,Z176=AB176,AC176=Y176),"CHECK",0))</f>
        <v/>
      </c>
      <c r="AB406" s="387">
        <f>IF(ISBLANK(INDEX(MO_IS_FirstRow,0,COLUMN())),0,IF(OR(AB176=Y176,AA176=AC176,AD176=Z176),"CHECK",0))</f>
        <v/>
      </c>
      <c r="AC406" s="387">
        <f>IF(ISBLANK(INDEX(MO_IS_FirstRow,0,COLUMN())),0,IF(OR(AC176=Z176,AB176=AD176,AE176=AA176),"CHECK",0))</f>
        <v/>
      </c>
      <c r="AD406" s="387">
        <f>IF(ISBLANK(INDEX(MO_IS_FirstRow,0,COLUMN())),0,IF(OR(AD176=AA176,AC176=AE176,AF176=AB176),"CHECK",0))</f>
        <v/>
      </c>
      <c r="AE406" s="387">
        <f>IF(ISBLANK(INDEX(MO_IS_FirstRow,0,COLUMN())),0,IF(OR(AE176=AB176,AD176=AF176,AG176=AC176),"CHECK",0))</f>
        <v/>
      </c>
      <c r="AF406" s="387">
        <f>IF(ISBLANK(INDEX(MO_IS_FirstRow,0,COLUMN())),0,IF(OR(AF176=AC176,AE176=AG176,AH176=AD176),"CHECK",0))</f>
        <v/>
      </c>
      <c r="AG406" s="387">
        <f>IF(ISBLANK(INDEX(MO_IS_FirstRow,0,COLUMN())),0,IF(OR(AG176=AD176,AF176=AH176,AI176=AE176),"CHECK",0))</f>
        <v/>
      </c>
      <c r="AH406" s="387">
        <f>IF(ISBLANK(INDEX(MO_IS_FirstRow,0,COLUMN())),0,IF(OR(AH176=AE176,AG176=AI176,AJ176=AF176),"CHECK",0))</f>
        <v/>
      </c>
      <c r="AI406" s="387">
        <f>IF(ISBLANK(INDEX(MO_IS_FirstRow,0,COLUMN())),0,IF(OR(AI176=AF176,AH176=AJ176,AK176=AG176),"CHECK",0))</f>
        <v/>
      </c>
      <c r="AJ406" s="387">
        <f>IF(ISBLANK(INDEX(MO_IS_FirstRow,0,COLUMN())),0,IF(OR(AJ176=AG176,AI176=AK176,AL176=AH176),"CHECK",0))</f>
        <v/>
      </c>
      <c r="AK406" s="387">
        <f>IF(ISBLANK(INDEX(MO_IS_FirstRow,0,COLUMN())),0,IF(OR(AK176=AH176,AJ176=AL176,AM176=AI176),"CHECK",0))</f>
        <v/>
      </c>
      <c r="AL406" s="388">
        <f>IF(ISBLANK(INDEX(MO_IS_FirstRow,0,COLUMN())),0,IF(OR(AL176=AI176,AK176=AM176,AN176=AJ176),"CHECK",0))</f>
        <v/>
      </c>
      <c r="AM406" s="387" t="n"/>
      <c r="AN406" s="387" t="n"/>
      <c r="AO406" s="387" t="n"/>
      <c r="AP406" s="387" t="n"/>
      <c r="AQ406" s="387" t="n"/>
      <c r="AR406" s="387" t="n"/>
      <c r="AS406" s="387" t="n"/>
      <c r="AT406" s="387" t="n"/>
      <c r="AU406" s="387" t="n"/>
      <c r="AV406" s="387" t="n"/>
      <c r="AW406" s="387" t="n"/>
      <c r="AX406" s="228" t="n"/>
    </row>
    <row r="407" customFormat="1" s="5">
      <c r="A407" s="228" t="inlineStr">
        <is>
          <t>Balance Sheet is not Repeated</t>
        </is>
      </c>
      <c r="B407" s="498" t="n"/>
      <c r="C407" s="387">
        <f>IF(OR(C369=B369,C369=D369),"CHECK",0)</f>
        <v/>
      </c>
      <c r="D407" s="387">
        <f>IF(OR(D369=C369,D369=E369),"CHECK",0)</f>
        <v/>
      </c>
      <c r="E407" s="387">
        <f>IF(OR(E369=D369,E369=F369),"CHECK",0)</f>
        <v/>
      </c>
      <c r="F407" s="387">
        <f>IF(OR(F369=E369,F369=K369),"CHECK",0)</f>
        <v/>
      </c>
      <c r="G407" s="387">
        <f>IF(OR(G369=B369,G369=H369,G369=E369),"CHECK",0)</f>
        <v/>
      </c>
      <c r="H407" s="387">
        <f>IF(OR(H369=C369,H369=I369,H369=G369),"CHECK",0)</f>
        <v/>
      </c>
      <c r="I407" s="387">
        <f>IF(OR(I369=D369,I369=J369,I369=H369),"CHECK",0)</f>
        <v/>
      </c>
      <c r="J407" s="387">
        <f>IF(OR(J369=E369,J369=I369),"CHECK",0)</f>
        <v/>
      </c>
      <c r="K407" s="387">
        <f>IF(K369=F369,"CHECK",0)</f>
        <v/>
      </c>
      <c r="L407" s="387">
        <f>IF(OR(L369=G369,L369=M369,L369=J369),"CHECK",0)</f>
        <v/>
      </c>
      <c r="M407" s="387">
        <f>IF(OR(M369=H369,M369=N369,M369=L369),"CHECK",0)</f>
        <v/>
      </c>
      <c r="N407" s="387">
        <f>IF(OR(N369=I369,N369=O369,N369=M369),"CHECK",0)</f>
        <v/>
      </c>
      <c r="O407" s="387">
        <f>IF(OR(O369=J369,O369=N369),"CHECK",0)</f>
        <v/>
      </c>
      <c r="P407" s="387">
        <f>IF(P369=K369,"CHECK",0)</f>
        <v/>
      </c>
      <c r="Q407" s="387">
        <f>IF(OR(Q369=L369,Q369=R369,Q369=O369),"CHECK",0)</f>
        <v/>
      </c>
      <c r="R407" s="387">
        <f>IF(OR(R369=M369,R369=S369,R369=Q369),"CHECK",0)</f>
        <v/>
      </c>
      <c r="S407" s="387">
        <f>IF(OR(S369=N369,S369=T369,S369=R369),"CHECK",0)</f>
        <v/>
      </c>
      <c r="T407" s="387">
        <f>IF(OR(T369=O369,T369=S369),"CHECK",0)</f>
        <v/>
      </c>
      <c r="U407" s="387">
        <f>IF(U369=P369,"CHECK",0)</f>
        <v/>
      </c>
      <c r="V407" s="387">
        <f>IF(OR(V369=Q369,V369=W369,V369=T369),"CHECK",0)</f>
        <v/>
      </c>
      <c r="W407" s="387">
        <f>IF(OR(W369=R369,W369=X369,W369=V369),"CHECK",0)</f>
        <v/>
      </c>
      <c r="X407" s="387">
        <f>IF(OR(X369=S369,X369=Y369,X369=W369),"CHECK",0)</f>
        <v/>
      </c>
      <c r="Y407" s="387">
        <f>IF(OR(Y369=T369,Y369=X369),"CHECK",0)</f>
        <v/>
      </c>
      <c r="Z407" s="387">
        <f>IF(Z369=U369,"CHECK",0)</f>
        <v/>
      </c>
      <c r="AA407" s="387">
        <f>IF(OR(AA369=V369,AA369=AB369,AA369=Y369),"CHECK",0)</f>
        <v/>
      </c>
      <c r="AB407" s="387">
        <f>IF(OR(AB369=W369,AB369=AC369,AB369=AA369),"CHECK",0)</f>
        <v/>
      </c>
      <c r="AC407" s="387">
        <f>IF(OR(AC369=X369,AC369=AD369,AC369=AB369),"CHECK",0)</f>
        <v/>
      </c>
      <c r="AD407" s="387">
        <f>IF(OR(AD369=Y369,AD369=AC369),"CHECK",0)</f>
        <v/>
      </c>
      <c r="AE407" s="387">
        <f>IF(AE369=Z369,"CHECK",0)</f>
        <v/>
      </c>
      <c r="AF407" s="387">
        <f>IF(OR(AF369=AA369,AF369=AG369,AF369=AD369),"CHECK",0)</f>
        <v/>
      </c>
      <c r="AG407" s="387">
        <f>IF(OR(AG369=AB369,AG369=AH369,AG369=AF369),"CHECK",0)</f>
        <v/>
      </c>
      <c r="AH407" s="387">
        <f>IF(OR(AH369=AC369,AH369=AI369,AH369=AG369),"CHECK",0)</f>
        <v/>
      </c>
      <c r="AI407" s="387">
        <f>IF(OR(AI369=AD369,AI369=AH369),"CHECK",0)</f>
        <v/>
      </c>
      <c r="AJ407" s="387">
        <f>IF(AJ369=AE369,"CHECK",0)</f>
        <v/>
      </c>
      <c r="AK407" s="387">
        <f>IF(OR(AK369=AF369,AK369=AL369,AK369=AI369),"CHECK",0)</f>
        <v/>
      </c>
      <c r="AL407" s="388">
        <f>IF(OR(AL369=AG369,AL369=AM369,AL369=AK369),"CHECK",0)</f>
        <v/>
      </c>
      <c r="AM407" s="387" t="n"/>
      <c r="AN407" s="387" t="n"/>
      <c r="AO407" s="387" t="n"/>
      <c r="AP407" s="387" t="n"/>
      <c r="AQ407" s="387" t="n"/>
      <c r="AR407" s="387" t="n"/>
      <c r="AS407" s="387" t="n"/>
      <c r="AT407" s="387" t="n"/>
      <c r="AU407" s="387" t="n"/>
      <c r="AV407" s="387" t="n"/>
      <c r="AW407" s="387" t="n"/>
      <c r="AX407" s="228" t="n"/>
    </row>
    <row r="408" customFormat="1" s="5">
      <c r="A408" s="228" t="inlineStr">
        <is>
          <t>Ending CF = Ending Cumulative CF</t>
        </is>
      </c>
      <c r="B408" s="498" t="n"/>
      <c r="C408" s="387">
        <f>IF(ISBLANK(INDEX(MO_IS_FirstRow,0,COLUMN())),0,ROUND(C334-C284,6))</f>
        <v/>
      </c>
      <c r="D408" s="387">
        <f>IF(ISBLANK(INDEX(MO_IS_FirstRow,0,COLUMN())),0,ROUND(D334-D284,6))</f>
        <v/>
      </c>
      <c r="E408" s="387">
        <f>IF(ISBLANK(INDEX(MO_IS_FirstRow,0,COLUMN())),0,ROUND(E334-E284,6))</f>
        <v/>
      </c>
      <c r="F408" s="387">
        <f>IF(ISBLANK(INDEX(MO_IS_FirstRow,0,COLUMN())),0,ROUND(F334-F284,6))</f>
        <v/>
      </c>
      <c r="G408" s="387">
        <f>IF(ISBLANK(INDEX(MO_IS_FirstRow,0,COLUMN())),0,ROUND(G334-G284,6))</f>
        <v/>
      </c>
      <c r="H408" s="387">
        <f>IF(ISBLANK(INDEX(MO_IS_FirstRow,0,COLUMN())),0,ROUND(H334-H284,6))</f>
        <v/>
      </c>
      <c r="I408" s="387">
        <f>IF(ISBLANK(INDEX(MO_IS_FirstRow,0,COLUMN())),0,ROUND(I334-I284,6))</f>
        <v/>
      </c>
      <c r="J408" s="387">
        <f>IF(ISBLANK(INDEX(MO_IS_FirstRow,0,COLUMN())),0,ROUND(J334-J284,6))</f>
        <v/>
      </c>
      <c r="K408" s="387">
        <f>IF(ISBLANK(INDEX(MO_IS_FirstRow,0,COLUMN())),0,ROUND(K334-K284,6))</f>
        <v/>
      </c>
      <c r="L408" s="387">
        <f>IF(ISBLANK(INDEX(MO_IS_FirstRow,0,COLUMN())),0,ROUND(L334-L284,6))</f>
        <v/>
      </c>
      <c r="M408" s="387">
        <f>IF(ISBLANK(INDEX(MO_IS_FirstRow,0,COLUMN())),0,ROUND(M334-M284,6))</f>
        <v/>
      </c>
      <c r="N408" s="387">
        <f>IF(ISBLANK(INDEX(MO_IS_FirstRow,0,COLUMN())),0,ROUND(N334-N284,6))</f>
        <v/>
      </c>
      <c r="O408" s="387">
        <f>IF(ISBLANK(INDEX(MO_IS_FirstRow,0,COLUMN())),0,ROUND(O334-O284,6))</f>
        <v/>
      </c>
      <c r="P408" s="387">
        <f>IF(ISBLANK(INDEX(MO_IS_FirstRow,0,COLUMN())),0,ROUND(P334-P284,6))</f>
        <v/>
      </c>
      <c r="Q408" s="387">
        <f>IF(ISBLANK(INDEX(MO_IS_FirstRow,0,COLUMN())),0,ROUND(Q334-Q284,6))</f>
        <v/>
      </c>
      <c r="R408" s="387">
        <f>IF(ISBLANK(INDEX(MO_IS_FirstRow,0,COLUMN())),0,ROUND(R334-R284,6))</f>
        <v/>
      </c>
      <c r="S408" s="387">
        <f>IF(ISBLANK(INDEX(MO_IS_FirstRow,0,COLUMN())),0,ROUND(S334-S284,6))</f>
        <v/>
      </c>
      <c r="T408" s="387">
        <f>IF(ISBLANK(INDEX(MO_IS_FirstRow,0,COLUMN())),0,ROUND(T334-T284,6))</f>
        <v/>
      </c>
      <c r="U408" s="387">
        <f>IF(ISBLANK(INDEX(MO_IS_FirstRow,0,COLUMN())),0,ROUND(U334-U284,6))</f>
        <v/>
      </c>
      <c r="V408" s="387">
        <f>IF(ISBLANK(INDEX(MO_IS_FirstRow,0,COLUMN())),0,ROUND(V334-V284,6))</f>
        <v/>
      </c>
      <c r="W408" s="387">
        <f>IF(ISBLANK(INDEX(MO_IS_FirstRow,0,COLUMN())),0,ROUND(W334-W284,6))</f>
        <v/>
      </c>
      <c r="X408" s="387">
        <f>IF(ISBLANK(INDEX(MO_IS_FirstRow,0,COLUMN())),0,ROUND(X334-X284,6))</f>
        <v/>
      </c>
      <c r="Y408" s="387">
        <f>IF(ISBLANK(INDEX(MO_IS_FirstRow,0,COLUMN())),0,ROUND(Y334-Y284,6))</f>
        <v/>
      </c>
      <c r="Z408" s="387">
        <f>IF(ISBLANK(INDEX(MO_IS_FirstRow,0,COLUMN())),0,ROUND(Z334-Z284,6))</f>
        <v/>
      </c>
      <c r="AA408" s="387">
        <f>IF(ISBLANK(INDEX(MO_IS_FirstRow,0,COLUMN())),0,ROUND(AA334-AA284,6))</f>
        <v/>
      </c>
      <c r="AB408" s="387">
        <f>IF(ISBLANK(INDEX(MO_IS_FirstRow,0,COLUMN())),0,ROUND(AB334-AB284,6))</f>
        <v/>
      </c>
      <c r="AC408" s="387">
        <f>IF(ISBLANK(INDEX(MO_IS_FirstRow,0,COLUMN())),0,ROUND(AC334-AC284,6))</f>
        <v/>
      </c>
      <c r="AD408" s="387">
        <f>IF(ISBLANK(INDEX(MO_IS_FirstRow,0,COLUMN())),0,ROUND(AD334-AD284,6))</f>
        <v/>
      </c>
      <c r="AE408" s="387">
        <f>IF(ISBLANK(INDEX(MO_IS_FirstRow,0,COLUMN())),0,ROUND(AE334-AE284,6))</f>
        <v/>
      </c>
      <c r="AF408" s="387">
        <f>IF(ISBLANK(INDEX(MO_IS_FirstRow,0,COLUMN())),0,ROUND(AF334-AF284,6))</f>
        <v/>
      </c>
      <c r="AG408" s="387">
        <f>IF(ISBLANK(INDEX(MO_IS_FirstRow,0,COLUMN())),0,ROUND(AG334-AG284,6))</f>
        <v/>
      </c>
      <c r="AH408" s="387">
        <f>IF(ISBLANK(INDEX(MO_IS_FirstRow,0,COLUMN())),0,ROUND(AH334-AH284,6))</f>
        <v/>
      </c>
      <c r="AI408" s="387">
        <f>IF(ISBLANK(INDEX(MO_IS_FirstRow,0,COLUMN())),0,ROUND(AI334-AI284,6))</f>
        <v/>
      </c>
      <c r="AJ408" s="387">
        <f>IF(ISBLANK(INDEX(MO_IS_FirstRow,0,COLUMN())),0,ROUND(AJ334-AJ284,6))</f>
        <v/>
      </c>
      <c r="AK408" s="387">
        <f>IF(ISBLANK(INDEX(MO_IS_FirstRow,0,COLUMN())),0,ROUND(AK334-AK284,6))</f>
        <v/>
      </c>
      <c r="AL408" s="388">
        <f>IF(ISBLANK(INDEX(MO_IS_FirstRow,0,COLUMN())),0,ROUND(AL334-AL284,6))</f>
        <v/>
      </c>
      <c r="AM408" s="387" t="n"/>
      <c r="AN408" s="387" t="n"/>
      <c r="AO408" s="387" t="n"/>
      <c r="AP408" s="387" t="n"/>
      <c r="AQ408" s="387" t="n"/>
      <c r="AR408" s="387" t="n"/>
      <c r="AS408" s="387" t="n"/>
      <c r="AT408" s="387" t="n"/>
      <c r="AU408" s="387" t="n"/>
      <c r="AV408" s="387" t="n"/>
      <c r="AW408" s="387" t="n"/>
      <c r="AX408" s="228" t="n"/>
    </row>
    <row r="409" customFormat="1" s="5">
      <c r="A409" s="228" t="inlineStr">
        <is>
          <t>Capex is Updated</t>
        </is>
      </c>
      <c r="B409" s="498" t="n"/>
      <c r="C409" s="387">
        <f>ROUND(C196-C311-C313,6)</f>
        <v/>
      </c>
      <c r="D409" s="387">
        <f>ROUND(D196-D311-D313,6)</f>
        <v/>
      </c>
      <c r="E409" s="387">
        <f>ROUND(E196-E311-E313,6)</f>
        <v/>
      </c>
      <c r="F409" s="387">
        <f>ROUND(F196-F311-F313,6)</f>
        <v/>
      </c>
      <c r="G409" s="387">
        <f>ROUND(G196-G311-G313,6)</f>
        <v/>
      </c>
      <c r="H409" s="387">
        <f>ROUND(H196-H311-H313,6)</f>
        <v/>
      </c>
      <c r="I409" s="387">
        <f>ROUND(I196-I311-I313,6)</f>
        <v/>
      </c>
      <c r="J409" s="387">
        <f>ROUND(J196-J311-J313,6)</f>
        <v/>
      </c>
      <c r="K409" s="387">
        <f>ROUND(K196-K311-K313,6)</f>
        <v/>
      </c>
      <c r="L409" s="387">
        <f>ROUND(L196-L311-L313,6)</f>
        <v/>
      </c>
      <c r="M409" s="387">
        <f>ROUND(M196-M311-M313,6)</f>
        <v/>
      </c>
      <c r="N409" s="387">
        <f>ROUND(N196-N311-N313,6)</f>
        <v/>
      </c>
      <c r="O409" s="387">
        <f>ROUND(O196-O311-O313,6)</f>
        <v/>
      </c>
      <c r="P409" s="387">
        <f>ROUND(P196-P311-P313,6)</f>
        <v/>
      </c>
      <c r="Q409" s="387">
        <f>ROUND(Q196-Q311-Q313,6)</f>
        <v/>
      </c>
      <c r="R409" s="387">
        <f>ROUND(R196-R311-R313,6)</f>
        <v/>
      </c>
      <c r="S409" s="387">
        <f>ROUND(S196-S311-S313,6)</f>
        <v/>
      </c>
      <c r="T409" s="387">
        <f>ROUND(T196-T311-T313,6)</f>
        <v/>
      </c>
      <c r="U409" s="387">
        <f>ROUND(U196-U311-U313,6)</f>
        <v/>
      </c>
      <c r="V409" s="387">
        <f>ROUND(V196-V311-V313,6)</f>
        <v/>
      </c>
      <c r="W409" s="387">
        <f>ROUND(W196-W311-W313,6)</f>
        <v/>
      </c>
      <c r="X409" s="387">
        <f>ROUND(X196-X311-X313,6)</f>
        <v/>
      </c>
      <c r="Y409" s="387">
        <f>ROUND(Y196-Y311-Y313,6)</f>
        <v/>
      </c>
      <c r="Z409" s="387">
        <f>ROUND(Z196-Z311-Z313,6)</f>
        <v/>
      </c>
      <c r="AA409" s="387">
        <f>ROUND(AA196-AA311-AA313,6)</f>
        <v/>
      </c>
      <c r="AB409" s="387">
        <f>ROUND(AB196-AB311-AB313,6)</f>
        <v/>
      </c>
      <c r="AC409" s="387">
        <f>ROUND(AC196-AC311-AC313,6)</f>
        <v/>
      </c>
      <c r="AD409" s="387">
        <f>ROUND(AD196-AD311-AD313,6)</f>
        <v/>
      </c>
      <c r="AE409" s="387">
        <f>ROUND(AE196-AE311-AE313,6)</f>
        <v/>
      </c>
      <c r="AF409" s="387">
        <f>ROUND(AF196-AF311-AF313,6)</f>
        <v/>
      </c>
      <c r="AG409" s="387">
        <f>ROUND(AG196-AG311-AG313,6)</f>
        <v/>
      </c>
      <c r="AH409" s="387">
        <f>ROUND(AH196-AH311-AH313,6)</f>
        <v/>
      </c>
      <c r="AI409" s="387">
        <f>ROUND(AI196-AI311-AI313,6)</f>
        <v/>
      </c>
      <c r="AJ409" s="387">
        <f>ROUND(AJ196-AJ311-AJ313,6)</f>
        <v/>
      </c>
      <c r="AK409" s="387">
        <f>ROUND(AK196-AK311-AK313,6)</f>
        <v/>
      </c>
      <c r="AL409" s="388">
        <f>ROUND(AL196-AL311-AL313,6)</f>
        <v/>
      </c>
      <c r="AM409" s="387" t="n"/>
      <c r="AN409" s="387" t="n"/>
      <c r="AO409" s="387" t="n"/>
      <c r="AP409" s="387" t="n"/>
      <c r="AQ409" s="387" t="n"/>
      <c r="AR409" s="387" t="n"/>
      <c r="AS409" s="387" t="n"/>
      <c r="AT409" s="387" t="n"/>
      <c r="AU409" s="387" t="n"/>
      <c r="AV409" s="387" t="n"/>
      <c r="AW409" s="387" t="n"/>
      <c r="AX409" s="228" t="n"/>
    </row>
    <row r="410" customFormat="1" s="5">
      <c r="A410" s="228" t="inlineStr">
        <is>
          <t>Margin adds up to 100%</t>
        </is>
      </c>
      <c r="B410" s="498" t="n"/>
      <c r="C410" s="387">
        <f>ROUND(1-INDEX(MO_MA_COGS_NONGAAP,0,COLUMN())-INDEX(MO_MA_GA_NONGAAP,0,COLUMN())-INDEX(MO_MA_SM_NONGAAP,0,COLUMN())-INDEX(MO_MA_RD_NONGAAP,0,COLUMN())-INDEX(MO_MA_OperatingIncome_NONGAAP,0,COLUMN()),6)</f>
        <v/>
      </c>
      <c r="D410" s="387">
        <f>ROUND(1-INDEX(MO_MA_COGS_NONGAAP,0,COLUMN())-INDEX(MO_MA_GA_NONGAAP,0,COLUMN())-INDEX(MO_MA_SM_NONGAAP,0,COLUMN())-INDEX(MO_MA_RD_NONGAAP,0,COLUMN())-INDEX(MO_MA_OperatingIncome_NONGAAP,0,COLUMN()),6)</f>
        <v/>
      </c>
      <c r="E410" s="387">
        <f>ROUND(1-INDEX(MO_MA_COGS_NONGAAP,0,COLUMN())-INDEX(MO_MA_GA_NONGAAP,0,COLUMN())-INDEX(MO_MA_SM_NONGAAP,0,COLUMN())-INDEX(MO_MA_RD_NONGAAP,0,COLUMN())-INDEX(MO_MA_OperatingIncome_NONGAAP,0,COLUMN()),6)</f>
        <v/>
      </c>
      <c r="F410" s="387">
        <f>ROUND(1-INDEX(MO_MA_COGS_NONGAAP,0,COLUMN())-INDEX(MO_MA_GA_NONGAAP,0,COLUMN())-INDEX(MO_MA_SM_NONGAAP,0,COLUMN())-INDEX(MO_MA_RD_NONGAAP,0,COLUMN())-INDEX(MO_MA_OperatingIncome_NONGAAP,0,COLUMN()),6)</f>
        <v/>
      </c>
      <c r="G410" s="387">
        <f>ROUND(1-INDEX(MO_MA_COGS_NONGAAP,0,COLUMN())-INDEX(MO_MA_GA_NONGAAP,0,COLUMN())-INDEX(MO_MA_SM_NONGAAP,0,COLUMN())-INDEX(MO_MA_RD_NONGAAP,0,COLUMN())-INDEX(MO_MA_OperatingIncome_NONGAAP,0,COLUMN()),6)</f>
        <v/>
      </c>
      <c r="H410" s="387">
        <f>ROUND(1-INDEX(MO_MA_COGS_NONGAAP,0,COLUMN())-INDEX(MO_MA_GA_NONGAAP,0,COLUMN())-INDEX(MO_MA_SM_NONGAAP,0,COLUMN())-INDEX(MO_MA_RD_NONGAAP,0,COLUMN())-INDEX(MO_MA_OperatingIncome_NONGAAP,0,COLUMN()),6)</f>
        <v/>
      </c>
      <c r="I410" s="387">
        <f>ROUND(1-INDEX(MO_MA_COGS_NONGAAP,0,COLUMN())-INDEX(MO_MA_GA_NONGAAP,0,COLUMN())-INDEX(MO_MA_SM_NONGAAP,0,COLUMN())-INDEX(MO_MA_RD_NONGAAP,0,COLUMN())-INDEX(MO_MA_OperatingIncome_NONGAAP,0,COLUMN()),6)</f>
        <v/>
      </c>
      <c r="J410" s="387">
        <f>ROUND(1-INDEX(MO_MA_COGS_NONGAAP,0,COLUMN())-INDEX(MO_MA_GA_NONGAAP,0,COLUMN())-INDEX(MO_MA_SM_NONGAAP,0,COLUMN())-INDEX(MO_MA_RD_NONGAAP,0,COLUMN())-INDEX(MO_MA_OperatingIncome_NONGAAP,0,COLUMN()),6)</f>
        <v/>
      </c>
      <c r="K410" s="387">
        <f>ROUND(1-INDEX(MO_MA_COGS_NONGAAP,0,COLUMN())-INDEX(MO_MA_GA_NONGAAP,0,COLUMN())-INDEX(MO_MA_SM_NONGAAP,0,COLUMN())-INDEX(MO_MA_RD_NONGAAP,0,COLUMN())-INDEX(MO_MA_OperatingIncome_NONGAAP,0,COLUMN()),6)</f>
        <v/>
      </c>
      <c r="L410" s="387">
        <f>ROUND(1-INDEX(MO_MA_COGS_NONGAAP,0,COLUMN())-INDEX(MO_MA_GA_NONGAAP,0,COLUMN())-INDEX(MO_MA_SM_NONGAAP,0,COLUMN())-INDEX(MO_MA_RD_NONGAAP,0,COLUMN())-INDEX(MO_MA_OperatingIncome_NONGAAP,0,COLUMN()),6)</f>
        <v/>
      </c>
      <c r="M410" s="387">
        <f>ROUND(1-INDEX(MO_MA_COGS_NONGAAP,0,COLUMN())-INDEX(MO_MA_GA_NONGAAP,0,COLUMN())-INDEX(MO_MA_SM_NONGAAP,0,COLUMN())-INDEX(MO_MA_RD_NONGAAP,0,COLUMN())-INDEX(MO_MA_OperatingIncome_NONGAAP,0,COLUMN()),6)</f>
        <v/>
      </c>
      <c r="N410" s="387">
        <f>ROUND(1-INDEX(MO_MA_COGS_NONGAAP,0,COLUMN())-INDEX(MO_MA_GA_NONGAAP,0,COLUMN())-INDEX(MO_MA_SM_NONGAAP,0,COLUMN())-INDEX(MO_MA_RD_NONGAAP,0,COLUMN())-INDEX(MO_MA_OperatingIncome_NONGAAP,0,COLUMN()),6)</f>
        <v/>
      </c>
      <c r="O410" s="387">
        <f>ROUND(1-INDEX(MO_MA_COGS_NONGAAP,0,COLUMN())-INDEX(MO_MA_GA_NONGAAP,0,COLUMN())-INDEX(MO_MA_SM_NONGAAP,0,COLUMN())-INDEX(MO_MA_RD_NONGAAP,0,COLUMN())-INDEX(MO_MA_OperatingIncome_NONGAAP,0,COLUMN()),6)</f>
        <v/>
      </c>
      <c r="P410" s="387">
        <f>ROUND(1-INDEX(MO_MA_COGS_NONGAAP,0,COLUMN())-INDEX(MO_MA_GA_NONGAAP,0,COLUMN())-INDEX(MO_MA_SM_NONGAAP,0,COLUMN())-INDEX(MO_MA_RD_NONGAAP,0,COLUMN())-INDEX(MO_MA_OperatingIncome_NONGAAP,0,COLUMN()),6)</f>
        <v/>
      </c>
      <c r="Q410" s="387">
        <f>ROUND(1-INDEX(MO_MA_COGS_NONGAAP,0,COLUMN())-INDEX(MO_MA_GA_NONGAAP,0,COLUMN())-INDEX(MO_MA_SM_NONGAAP,0,COLUMN())-INDEX(MO_MA_RD_NONGAAP,0,COLUMN())-INDEX(MO_MA_OperatingIncome_NONGAAP,0,COLUMN()),6)</f>
        <v/>
      </c>
      <c r="R410" s="387">
        <f>ROUND(1-INDEX(MO_MA_COGS_NONGAAP,0,COLUMN())-INDEX(MO_MA_GA_NONGAAP,0,COLUMN())-INDEX(MO_MA_SM_NONGAAP,0,COLUMN())-INDEX(MO_MA_RD_NONGAAP,0,COLUMN())-INDEX(MO_MA_OperatingIncome_NONGAAP,0,COLUMN()),6)</f>
        <v/>
      </c>
      <c r="S410" s="387">
        <f>ROUND(1-INDEX(MO_MA_COGS_NONGAAP,0,COLUMN())-INDEX(MO_MA_GA_NONGAAP,0,COLUMN())-INDEX(MO_MA_SM_NONGAAP,0,COLUMN())-INDEX(MO_MA_RD_NONGAAP,0,COLUMN())-INDEX(MO_MA_OperatingIncome_NONGAAP,0,COLUMN()),6)</f>
        <v/>
      </c>
      <c r="T410" s="387">
        <f>ROUND(1-INDEX(MO_MA_COGS_NONGAAP,0,COLUMN())-INDEX(MO_MA_GA_NONGAAP,0,COLUMN())-INDEX(MO_MA_SM_NONGAAP,0,COLUMN())-INDEX(MO_MA_RD_NONGAAP,0,COLUMN())-INDEX(MO_MA_OperatingIncome_NONGAAP,0,COLUMN()),6)</f>
        <v/>
      </c>
      <c r="U410" s="387">
        <f>ROUND(1-INDEX(MO_MA_COGS_NONGAAP,0,COLUMN())-INDEX(MO_MA_GA_NONGAAP,0,COLUMN())-INDEX(MO_MA_SM_NONGAAP,0,COLUMN())-INDEX(MO_MA_RD_NONGAAP,0,COLUMN())-INDEX(MO_MA_OperatingIncome_NONGAAP,0,COLUMN()),6)</f>
        <v/>
      </c>
      <c r="V410" s="387">
        <f>ROUND(1-INDEX(MO_MA_COGS_NONGAAP,0,COLUMN())-INDEX(MO_MA_GA_NONGAAP,0,COLUMN())-INDEX(MO_MA_SM_NONGAAP,0,COLUMN())-INDEX(MO_MA_RD_NONGAAP,0,COLUMN())-INDEX(MO_MA_OperatingIncome_NONGAAP,0,COLUMN()),6)</f>
        <v/>
      </c>
      <c r="W410" s="387">
        <f>ROUND(1-INDEX(MO_MA_COGS_NONGAAP,0,COLUMN())-INDEX(MO_MA_GA_NONGAAP,0,COLUMN())-INDEX(MO_MA_SM_NONGAAP,0,COLUMN())-INDEX(MO_MA_RD_NONGAAP,0,COLUMN())-INDEX(MO_MA_OperatingIncome_NONGAAP,0,COLUMN()),6)</f>
        <v/>
      </c>
      <c r="X410" s="387">
        <f>ROUND(1-INDEX(MO_MA_COGS_NONGAAP,0,COLUMN())-INDEX(MO_MA_GA_NONGAAP,0,COLUMN())-INDEX(MO_MA_SM_NONGAAP,0,COLUMN())-INDEX(MO_MA_RD_NONGAAP,0,COLUMN())-INDEX(MO_MA_OperatingIncome_NONGAAP,0,COLUMN()),6)</f>
        <v/>
      </c>
      <c r="Y410" s="387">
        <f>ROUND(1-INDEX(MO_MA_COGS_NONGAAP,0,COLUMN())-INDEX(MO_MA_GA_NONGAAP,0,COLUMN())-INDEX(MO_MA_SM_NONGAAP,0,COLUMN())-INDEX(MO_MA_RD_NONGAAP,0,COLUMN())-INDEX(MO_MA_OperatingIncome_NONGAAP,0,COLUMN()),6)</f>
        <v/>
      </c>
      <c r="Z410" s="387">
        <f>ROUND(1-INDEX(MO_MA_COGS_NONGAAP,0,COLUMN())-INDEX(MO_MA_GA_NONGAAP,0,COLUMN())-INDEX(MO_MA_SM_NONGAAP,0,COLUMN())-INDEX(MO_MA_RD_NONGAAP,0,COLUMN())-INDEX(MO_MA_OperatingIncome_NONGAAP,0,COLUMN()),6)</f>
        <v/>
      </c>
      <c r="AA410" s="387">
        <f>ROUND(1-INDEX(MO_MA_COGS_NONGAAP,0,COLUMN())-INDEX(MO_MA_GA_NONGAAP,0,COLUMN())-INDEX(MO_MA_SM_NONGAAP,0,COLUMN())-INDEX(MO_MA_RD_NONGAAP,0,COLUMN())-INDEX(MO_MA_OperatingIncome_NONGAAP,0,COLUMN()),6)</f>
        <v/>
      </c>
      <c r="AB410" s="387">
        <f>ROUND(1-INDEX(MO_MA_COGS_NONGAAP,0,COLUMN())-INDEX(MO_MA_GA_NONGAAP,0,COLUMN())-INDEX(MO_MA_SM_NONGAAP,0,COLUMN())-INDEX(MO_MA_RD_NONGAAP,0,COLUMN())-INDEX(MO_MA_OperatingIncome_NONGAAP,0,COLUMN()),6)</f>
        <v/>
      </c>
      <c r="AC410" s="387">
        <f>ROUND(1-INDEX(MO_MA_COGS_NONGAAP,0,COLUMN())-INDEX(MO_MA_GA_NONGAAP,0,COLUMN())-INDEX(MO_MA_SM_NONGAAP,0,COLUMN())-INDEX(MO_MA_RD_NONGAAP,0,COLUMN())-INDEX(MO_MA_OperatingIncome_NONGAAP,0,COLUMN()),6)</f>
        <v/>
      </c>
      <c r="AD410" s="387">
        <f>ROUND(1-INDEX(MO_MA_COGS_NONGAAP,0,COLUMN())-INDEX(MO_MA_GA_NONGAAP,0,COLUMN())-INDEX(MO_MA_SM_NONGAAP,0,COLUMN())-INDEX(MO_MA_RD_NONGAAP,0,COLUMN())-INDEX(MO_MA_OperatingIncome_NONGAAP,0,COLUMN()),6)</f>
        <v/>
      </c>
      <c r="AE410" s="387">
        <f>ROUND(1-INDEX(MO_MA_COGS_NONGAAP,0,COLUMN())-INDEX(MO_MA_GA_NONGAAP,0,COLUMN())-INDEX(MO_MA_SM_NONGAAP,0,COLUMN())-INDEX(MO_MA_RD_NONGAAP,0,COLUMN())-INDEX(MO_MA_OperatingIncome_NONGAAP,0,COLUMN()),6)</f>
        <v/>
      </c>
      <c r="AF410" s="387">
        <f>ROUND(1-INDEX(MO_MA_COGS_NONGAAP,0,COLUMN())-INDEX(MO_MA_GA_NONGAAP,0,COLUMN())-INDEX(MO_MA_SM_NONGAAP,0,COLUMN())-INDEX(MO_MA_RD_NONGAAP,0,COLUMN())-INDEX(MO_MA_OperatingIncome_NONGAAP,0,COLUMN()),6)</f>
        <v/>
      </c>
      <c r="AG410" s="387">
        <f>ROUND(1-INDEX(MO_MA_COGS_NONGAAP,0,COLUMN())-INDEX(MO_MA_GA_NONGAAP,0,COLUMN())-INDEX(MO_MA_SM_NONGAAP,0,COLUMN())-INDEX(MO_MA_RD_NONGAAP,0,COLUMN())-INDEX(MO_MA_OperatingIncome_NONGAAP,0,COLUMN()),6)</f>
        <v/>
      </c>
      <c r="AH410" s="387">
        <f>ROUND(1-INDEX(MO_MA_COGS_NONGAAP,0,COLUMN())-INDEX(MO_MA_GA_NONGAAP,0,COLUMN())-INDEX(MO_MA_SM_NONGAAP,0,COLUMN())-INDEX(MO_MA_RD_NONGAAP,0,COLUMN())-INDEX(MO_MA_OperatingIncome_NONGAAP,0,COLUMN()),6)</f>
        <v/>
      </c>
      <c r="AI410" s="387">
        <f>ROUND(1-INDEX(MO_MA_COGS_NONGAAP,0,COLUMN())-INDEX(MO_MA_GA_NONGAAP,0,COLUMN())-INDEX(MO_MA_SM_NONGAAP,0,COLUMN())-INDEX(MO_MA_RD_NONGAAP,0,COLUMN())-INDEX(MO_MA_OperatingIncome_NONGAAP,0,COLUMN()),6)</f>
        <v/>
      </c>
      <c r="AJ410" s="387">
        <f>ROUND(1-INDEX(MO_MA_COGS_NONGAAP,0,COLUMN())-INDEX(MO_MA_GA_NONGAAP,0,COLUMN())-INDEX(MO_MA_SM_NONGAAP,0,COLUMN())-INDEX(MO_MA_RD_NONGAAP,0,COLUMN())-INDEX(MO_MA_OperatingIncome_NONGAAP,0,COLUMN()),6)</f>
        <v/>
      </c>
      <c r="AK410" s="387">
        <f>ROUND(1-INDEX(MO_MA_COGS_NONGAAP,0,COLUMN())-INDEX(MO_MA_GA_NONGAAP,0,COLUMN())-INDEX(MO_MA_SM_NONGAAP,0,COLUMN())-INDEX(MO_MA_RD_NONGAAP,0,COLUMN())-INDEX(MO_MA_OperatingIncome_NONGAAP,0,COLUMN()),6)</f>
        <v/>
      </c>
      <c r="AL410" s="388">
        <f>ROUND(1-INDEX(MO_MA_COGS_NONGAAP,0,COLUMN())-INDEX(MO_MA_GA_NONGAAP,0,COLUMN())-INDEX(MO_MA_SM_NONGAAP,0,COLUMN())-INDEX(MO_MA_RD_NONGAAP,0,COLUMN())-INDEX(MO_MA_OperatingIncome_NONGAAP,0,COLUMN()),6)</f>
        <v/>
      </c>
      <c r="AM410" s="387" t="n"/>
      <c r="AN410" s="387" t="n"/>
      <c r="AO410" s="387" t="n"/>
      <c r="AP410" s="387" t="n"/>
      <c r="AQ410" s="387" t="n"/>
      <c r="AR410" s="387" t="n"/>
      <c r="AS410" s="387" t="n"/>
      <c r="AT410" s="387" t="n"/>
      <c r="AU410" s="387" t="n"/>
      <c r="AV410" s="387" t="n"/>
      <c r="AW410" s="387" t="n"/>
      <c r="AX410" s="228" t="n"/>
    </row>
    <row r="411" customFormat="1" s="5">
      <c r="A411" s="228" t="inlineStr">
        <is>
          <t>Margin is Updated</t>
        </is>
      </c>
      <c r="B411" s="498" t="n"/>
      <c r="C411" s="387">
        <f>IF(ISBLANK(INDEX(MO_IS_FirstRow,0,COLUMN())),0,IF(MOD(C45*1000000,1)=0,"Check",0))</f>
        <v/>
      </c>
      <c r="D411" s="387">
        <f>IF(ISBLANK(INDEX(MO_IS_FirstRow,0,COLUMN())),0,IF(MOD(D45*1000000,1)=0,"Check",0))</f>
        <v/>
      </c>
      <c r="E411" s="387">
        <f>IF(ISBLANK(INDEX(MO_IS_FirstRow,0,COLUMN())),0,IF(MOD(E45*1000000,1)=0,"Check",0))</f>
        <v/>
      </c>
      <c r="F411" s="387">
        <f>IF(ISBLANK(INDEX(MO_IS_FirstRow,0,COLUMN())),0,IF(MOD(F45*1000000,1)=0,"Check",0))</f>
        <v/>
      </c>
      <c r="G411" s="387">
        <f>IF(ISBLANK(INDEX(MO_IS_FirstRow,0,COLUMN())),0,IF(MOD(G45*1000000,1)=0,"Check",0))</f>
        <v/>
      </c>
      <c r="H411" s="387">
        <f>IF(ISBLANK(INDEX(MO_IS_FirstRow,0,COLUMN())),0,IF(MOD(H45*1000000,1)=0,"Check",0))</f>
        <v/>
      </c>
      <c r="I411" s="387">
        <f>IF(ISBLANK(INDEX(MO_IS_FirstRow,0,COLUMN())),0,IF(MOD(I45*1000000,1)=0,"Check",0))</f>
        <v/>
      </c>
      <c r="J411" s="387">
        <f>IF(ISBLANK(INDEX(MO_IS_FirstRow,0,COLUMN())),0,IF(MOD(J45*1000000,1)=0,"Check",0))</f>
        <v/>
      </c>
      <c r="K411" s="387">
        <f>IF(ISBLANK(INDEX(MO_IS_FirstRow,0,COLUMN())),0,IF(MOD(K45*1000000,1)=0,"Check",0))</f>
        <v/>
      </c>
      <c r="L411" s="387">
        <f>IF(ISBLANK(INDEX(MO_IS_FirstRow,0,COLUMN())),0,IF(MOD(L45*1000000,1)=0,"Check",0))</f>
        <v/>
      </c>
      <c r="M411" s="387">
        <f>IF(ISBLANK(INDEX(MO_IS_FirstRow,0,COLUMN())),0,IF(MOD(M45*1000000,1)=0,"Check",0))</f>
        <v/>
      </c>
      <c r="N411" s="387">
        <f>IF(ISBLANK(INDEX(MO_IS_FirstRow,0,COLUMN())),0,IF(MOD(N45*1000000,1)=0,"Check",0))</f>
        <v/>
      </c>
      <c r="O411" s="387">
        <f>IF(ISBLANK(INDEX(MO_IS_FirstRow,0,COLUMN())),0,IF(MOD(O45*1000000,1)=0,"Check",0))</f>
        <v/>
      </c>
      <c r="P411" s="387">
        <f>IF(ISBLANK(INDEX(MO_IS_FirstRow,0,COLUMN())),0,IF(MOD(P45*1000000,1)=0,"Check",0))</f>
        <v/>
      </c>
      <c r="Q411" s="387">
        <f>IF(ISBLANK(INDEX(MO_IS_FirstRow,0,COLUMN())),0,IF(MOD(Q45*1000000,1)=0,"Check",0))</f>
        <v/>
      </c>
      <c r="R411" s="387">
        <f>IF(ISBLANK(INDEX(MO_IS_FirstRow,0,COLUMN())),0,IF(MOD(R45*1000000,1)=0,"Check",0))</f>
        <v/>
      </c>
      <c r="S411" s="387">
        <f>IF(ISBLANK(INDEX(MO_IS_FirstRow,0,COLUMN())),0,IF(MOD(S45*1000000,1)=0,"Check",0))</f>
        <v/>
      </c>
      <c r="T411" s="387">
        <f>IF(ISBLANK(INDEX(MO_IS_FirstRow,0,COLUMN())),0,IF(MOD(T45*1000000,1)=0,"Check",0))</f>
        <v/>
      </c>
      <c r="U411" s="387">
        <f>IF(ISBLANK(INDEX(MO_IS_FirstRow,0,COLUMN())),0,IF(MOD(U45*1000000,1)=0,"Check",0))</f>
        <v/>
      </c>
      <c r="V411" s="387">
        <f>IF(ISBLANK(INDEX(MO_IS_FirstRow,0,COLUMN())),0,IF(MOD(V45*1000000,1)=0,"Check",0))</f>
        <v/>
      </c>
      <c r="W411" s="387">
        <f>IF(ISBLANK(INDEX(MO_IS_FirstRow,0,COLUMN())),0,IF(MOD(W45*1000000,1)=0,"Check",0))</f>
        <v/>
      </c>
      <c r="X411" s="387">
        <f>IF(ISBLANK(INDEX(MO_IS_FirstRow,0,COLUMN())),0,IF(MOD(X45*1000000,1)=0,"Check",0))</f>
        <v/>
      </c>
      <c r="Y411" s="387">
        <f>IF(ISBLANK(INDEX(MO_IS_FirstRow,0,COLUMN())),0,IF(MOD(Y45*1000000,1)=0,"Check",0))</f>
        <v/>
      </c>
      <c r="Z411" s="387">
        <f>IF(ISBLANK(INDEX(MO_IS_FirstRow,0,COLUMN())),0,IF(MOD(Z45*1000000,1)=0,"Check",0))</f>
        <v/>
      </c>
      <c r="AA411" s="387">
        <f>IF(ISBLANK(INDEX(MO_IS_FirstRow,0,COLUMN())),0,IF(MOD(AA45*1000000,1)=0,"Check",0))</f>
        <v/>
      </c>
      <c r="AB411" s="387">
        <f>IF(ISBLANK(INDEX(MO_IS_FirstRow,0,COLUMN())),0,IF(MOD(AB45*1000000,1)=0,"Check",0))</f>
        <v/>
      </c>
      <c r="AC411" s="387">
        <f>IF(ISBLANK(INDEX(MO_IS_FirstRow,0,COLUMN())),0,IF(MOD(AC45*1000000,1)=0,"Check",0))</f>
        <v/>
      </c>
      <c r="AD411" s="387">
        <f>IF(ISBLANK(INDEX(MO_IS_FirstRow,0,COLUMN())),0,IF(MOD(AD45*1000000,1)=0,"Check",0))</f>
        <v/>
      </c>
      <c r="AE411" s="387">
        <f>IF(ISBLANK(INDEX(MO_IS_FirstRow,0,COLUMN())),0,IF(MOD(AE45*1000000,1)=0,"Check",0))</f>
        <v/>
      </c>
      <c r="AF411" s="387">
        <f>IF(ISBLANK(INDEX(MO_IS_FirstRow,0,COLUMN())),0,IF(MOD(AF45*1000000,1)=0,"Check",0))</f>
        <v/>
      </c>
      <c r="AG411" s="387">
        <f>IF(ISBLANK(INDEX(MO_IS_FirstRow,0,COLUMN())),0,IF(MOD(AG45*1000000,1)=0,"Check",0))</f>
        <v/>
      </c>
      <c r="AH411" s="387">
        <f>IF(ISBLANK(INDEX(MO_IS_FirstRow,0,COLUMN())),0,IF(MOD(AH45*1000000,1)=0,"Check",0))</f>
        <v/>
      </c>
      <c r="AI411" s="387">
        <f>IF(ISBLANK(INDEX(MO_IS_FirstRow,0,COLUMN())),0,IF(MOD(AI45*1000000,1)=0,"Check",0))</f>
        <v/>
      </c>
      <c r="AJ411" s="387">
        <f>IF(ISBLANK(INDEX(MO_IS_FirstRow,0,COLUMN())),0,IF(MOD(AJ45*1000000,1)=0,"Check",0))</f>
        <v/>
      </c>
      <c r="AK411" s="387">
        <f>IF(ISBLANK(INDEX(MO_IS_FirstRow,0,COLUMN())),0,IF(MOD(AK45*1000000,1)=0,"Check",0))</f>
        <v/>
      </c>
      <c r="AL411" s="388">
        <f>IF(ISBLANK(INDEX(MO_IS_FirstRow,0,COLUMN())),0,IF(MOD(AL45*1000000,1)=0,"Check",0))</f>
        <v/>
      </c>
      <c r="AM411" s="387" t="n"/>
      <c r="AN411" s="387" t="n"/>
      <c r="AO411" s="387" t="n"/>
      <c r="AP411" s="387" t="n"/>
      <c r="AQ411" s="387" t="n"/>
      <c r="AR411" s="387" t="n"/>
      <c r="AS411" s="387" t="n"/>
      <c r="AT411" s="387" t="n"/>
      <c r="AU411" s="387" t="n"/>
      <c r="AV411" s="387" t="n"/>
      <c r="AW411" s="387" t="n"/>
      <c r="AX411" s="228" t="n"/>
    </row>
    <row r="412" customFormat="1" s="5">
      <c r="A412" s="228" t="inlineStr">
        <is>
          <t>Adjusted Numbers FY = Sum of Qs</t>
        </is>
      </c>
      <c r="B412" s="498" t="n"/>
      <c r="C412" s="387" t="n"/>
      <c r="D412" s="387" t="n"/>
      <c r="E412" s="387" t="n"/>
      <c r="F412" s="387" t="n"/>
      <c r="G412" s="387" t="n"/>
      <c r="H412" s="387" t="n"/>
      <c r="I412" s="387" t="n"/>
      <c r="J412" s="387" t="n"/>
      <c r="K412" s="387">
        <f>IF(ISBLANK(INDEX(MO_IS_FirstRow,0,COLUMN())),0,ROUND(K75-SUM(G75:J75),6)+ROUND(K86-SUM(G86:J86),6))</f>
        <v/>
      </c>
      <c r="L412" s="387" t="n"/>
      <c r="M412" s="387" t="n"/>
      <c r="N412" s="387" t="n"/>
      <c r="O412" s="387" t="n"/>
      <c r="P412" s="387">
        <f>IF(ISBLANK(INDEX(MO_IS_FirstRow,0,COLUMN())),0,ROUND(P75-SUM(L75:O75),6)+ROUND(P86-SUM(L86:O86),6))</f>
        <v/>
      </c>
      <c r="Q412" s="387" t="n"/>
      <c r="R412" s="387" t="n"/>
      <c r="S412" s="387" t="n"/>
      <c r="T412" s="387" t="n"/>
      <c r="U412" s="387">
        <f>IF(ISBLANK(INDEX(MO_IS_FirstRow,0,COLUMN())),0,ROUND(U75-SUM(Q75:T75),6)+ROUND(U86-SUM(Q86:T86),6))</f>
        <v/>
      </c>
      <c r="V412" s="387" t="n"/>
      <c r="W412" s="387" t="n"/>
      <c r="X412" s="387" t="n"/>
      <c r="Y412" s="387" t="n"/>
      <c r="Z412" s="387">
        <f>IF(ISBLANK(INDEX(MO_IS_FirstRow,0,COLUMN())),0,ROUND(Z75-SUM(V75:Y75),6)+ROUND(Z86-SUM(V86:Y86),6))</f>
        <v/>
      </c>
      <c r="AA412" s="387" t="n"/>
      <c r="AB412" s="387" t="n"/>
      <c r="AC412" s="387" t="n"/>
      <c r="AD412" s="387" t="n"/>
      <c r="AE412" s="387">
        <f>IF(ISBLANK(INDEX(MO_IS_FirstRow,0,COLUMN())),0,ROUND(AE75-SUM(AA75:AD75),6)+ROUND(AE86-SUM(AA86:AD86),6))</f>
        <v/>
      </c>
      <c r="AF412" s="387" t="n"/>
      <c r="AG412" s="387" t="n"/>
      <c r="AH412" s="387" t="n"/>
      <c r="AI412" s="387" t="n"/>
      <c r="AJ412" s="387">
        <f>IF(ISBLANK(INDEX(MO_IS_FirstRow,0,COLUMN())),0,ROUND(AJ75-SUM(AF75:AI75),6)+ROUND(AJ86-SUM(AF86:AI86),6))</f>
        <v/>
      </c>
      <c r="AK412" s="387" t="n"/>
      <c r="AL412" s="388" t="n"/>
      <c r="AM412" s="387" t="n"/>
      <c r="AN412" s="387" t="n"/>
      <c r="AO412" s="387" t="n"/>
      <c r="AP412" s="387" t="n"/>
      <c r="AQ412" s="387" t="n"/>
      <c r="AR412" s="387" t="n"/>
      <c r="AS412" s="387" t="n"/>
      <c r="AT412" s="387" t="n"/>
      <c r="AU412" s="387" t="n"/>
      <c r="AV412" s="387" t="n"/>
      <c r="AW412" s="387" t="n"/>
      <c r="AX412" s="228" t="n"/>
    </row>
    <row r="413" customFormat="1" s="5">
      <c r="A413" s="228" t="inlineStr">
        <is>
          <t>*Share Count is Updated</t>
        </is>
      </c>
      <c r="B413" s="498" t="n"/>
      <c r="C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D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E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F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G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H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I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J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K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L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M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N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O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P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Q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R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S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T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U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V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W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X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Y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Z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A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B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C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D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E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F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G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H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I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J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K413" s="387">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L413" s="388">
        <f>IF(ISBLANK(INDEX(MO_IS_FirstRow,0,COLUMN())),0,IF(OR(ISBLANK(INDEX(MO_RIS_ShareCount_WAB,1,COLUMN())),ISBLANK(INDEX(MO_RIS_ShareCount_WAD,1,COLUMN()))),"BLANK",IF(OR(INDEX(MO_RIS_ShareCount_WAB,1,COLUMN())=INDEX(MO_RIS_ShareCount_WAB,1,COLUMN()-1),INDEX(MO_RIS_ShareCount_WAD,1,COLUMN())=INDEX(MO_RIS_ShareCount_WAD,1,COLUMN()-1)),"CHECK",0)))</f>
        <v/>
      </c>
      <c r="AM413" s="387" t="n"/>
      <c r="AN413" s="387" t="n"/>
      <c r="AO413" s="387" t="n"/>
      <c r="AP413" s="387" t="n"/>
      <c r="AQ413" s="387" t="n"/>
      <c r="AR413" s="387" t="n"/>
      <c r="AS413" s="387" t="n"/>
      <c r="AT413" s="387" t="n"/>
      <c r="AU413" s="387" t="n"/>
      <c r="AV413" s="387" t="n"/>
      <c r="AW413" s="387" t="n"/>
      <c r="AX413" s="228" t="n"/>
    </row>
    <row r="414" customFormat="1" s="5">
      <c r="A414" s="228" t="inlineStr">
        <is>
          <t>*Cash Flow Summary Signs are Correct</t>
        </is>
      </c>
      <c r="B414" s="498" t="n"/>
      <c r="C414" s="387">
        <f>IF(OR(INDEX(MO_CFSum_Acquisition,1,COLUMN())&gt;0,INDEX(MO_CFSum_Divestiture,1,COLUMN())&lt;0,INDEX(MO_CFSum_Capex,1,COLUMN())&gt;0,INDEX(MO_CFSum_Dividend,1,COLUMN())&gt;0),"CHECK",0)</f>
        <v/>
      </c>
      <c r="D414" s="387">
        <f>IF(OR(INDEX(MO_CFSum_Acquisition,1,COLUMN())&gt;0,INDEX(MO_CFSum_Divestiture,1,COLUMN())&lt;0,INDEX(MO_CFSum_Capex,1,COLUMN())&gt;0,INDEX(MO_CFSum_Dividend,1,COLUMN())&gt;0),"CHECK",0)</f>
        <v/>
      </c>
      <c r="E414" s="387">
        <f>IF(OR(INDEX(MO_CFSum_Acquisition,1,COLUMN())&gt;0,INDEX(MO_CFSum_Divestiture,1,COLUMN())&lt;0,INDEX(MO_CFSum_Capex,1,COLUMN())&gt;0,INDEX(MO_CFSum_Dividend,1,COLUMN())&gt;0),"CHECK",0)</f>
        <v/>
      </c>
      <c r="F414" s="387">
        <f>IF(OR(INDEX(MO_CFSum_Acquisition,1,COLUMN())&gt;0,INDEX(MO_CFSum_Divestiture,1,COLUMN())&lt;0,INDEX(MO_CFSum_Capex,1,COLUMN())&gt;0,INDEX(MO_CFSum_Dividend,1,COLUMN())&gt;0),"CHECK",0)</f>
        <v/>
      </c>
      <c r="G414" s="387">
        <f>IF(OR(INDEX(MO_CFSum_Acquisition,1,COLUMN())&gt;0,INDEX(MO_CFSum_Divestiture,1,COLUMN())&lt;0,INDEX(MO_CFSum_Capex,1,COLUMN())&gt;0,INDEX(MO_CFSum_Dividend,1,COLUMN())&gt;0),"CHECK",0)</f>
        <v/>
      </c>
      <c r="H414" s="387">
        <f>IF(OR(INDEX(MO_CFSum_Acquisition,1,COLUMN())&gt;0,INDEX(MO_CFSum_Divestiture,1,COLUMN())&lt;0,INDEX(MO_CFSum_Capex,1,COLUMN())&gt;0,INDEX(MO_CFSum_Dividend,1,COLUMN())&gt;0),"CHECK",0)</f>
        <v/>
      </c>
      <c r="I414" s="387">
        <f>IF(OR(INDEX(MO_CFSum_Acquisition,1,COLUMN())&gt;0,INDEX(MO_CFSum_Divestiture,1,COLUMN())&lt;0,INDEX(MO_CFSum_Capex,1,COLUMN())&gt;0,INDEX(MO_CFSum_Dividend,1,COLUMN())&gt;0),"CHECK",0)</f>
        <v/>
      </c>
      <c r="J414" s="387">
        <f>IF(OR(INDEX(MO_CFSum_Acquisition,1,COLUMN())&gt;0,INDEX(MO_CFSum_Divestiture,1,COLUMN())&lt;0,INDEX(MO_CFSum_Capex,1,COLUMN())&gt;0,INDEX(MO_CFSum_Dividend,1,COLUMN())&gt;0),"CHECK",0)</f>
        <v/>
      </c>
      <c r="K414" s="387">
        <f>IF(OR(INDEX(MO_CFSum_Acquisition,1,COLUMN())&gt;0,INDEX(MO_CFSum_Divestiture,1,COLUMN())&lt;0,INDEX(MO_CFSum_Capex,1,COLUMN())&gt;0,INDEX(MO_CFSum_Dividend,1,COLUMN())&gt;0),"CHECK",0)</f>
        <v/>
      </c>
      <c r="L414" s="387">
        <f>IF(OR(INDEX(MO_CFSum_Acquisition,1,COLUMN())&gt;0,INDEX(MO_CFSum_Divestiture,1,COLUMN())&lt;0,INDEX(MO_CFSum_Capex,1,COLUMN())&gt;0,INDEX(MO_CFSum_Dividend,1,COLUMN())&gt;0),"CHECK",0)</f>
        <v/>
      </c>
      <c r="M414" s="387">
        <f>IF(OR(INDEX(MO_CFSum_Acquisition,1,COLUMN())&gt;0,INDEX(MO_CFSum_Divestiture,1,COLUMN())&lt;0,INDEX(MO_CFSum_Capex,1,COLUMN())&gt;0,INDEX(MO_CFSum_Dividend,1,COLUMN())&gt;0),"CHECK",0)</f>
        <v/>
      </c>
      <c r="N414" s="387">
        <f>IF(OR(INDEX(MO_CFSum_Acquisition,1,COLUMN())&gt;0,INDEX(MO_CFSum_Divestiture,1,COLUMN())&lt;0,INDEX(MO_CFSum_Capex,1,COLUMN())&gt;0,INDEX(MO_CFSum_Dividend,1,COLUMN())&gt;0),"CHECK",0)</f>
        <v/>
      </c>
      <c r="O414" s="387">
        <f>IF(OR(INDEX(MO_CFSum_Acquisition,1,COLUMN())&gt;0,INDEX(MO_CFSum_Divestiture,1,COLUMN())&lt;0,INDEX(MO_CFSum_Capex,1,COLUMN())&gt;0,INDEX(MO_CFSum_Dividend,1,COLUMN())&gt;0),"CHECK",0)</f>
        <v/>
      </c>
      <c r="P414" s="387">
        <f>IF(OR(INDEX(MO_CFSum_Acquisition,1,COLUMN())&gt;0,INDEX(MO_CFSum_Divestiture,1,COLUMN())&lt;0,INDEX(MO_CFSum_Capex,1,COLUMN())&gt;0,INDEX(MO_CFSum_Dividend,1,COLUMN())&gt;0),"CHECK",0)</f>
        <v/>
      </c>
      <c r="Q414" s="387">
        <f>IF(OR(INDEX(MO_CFSum_Acquisition,1,COLUMN())&gt;0,INDEX(MO_CFSum_Divestiture,1,COLUMN())&lt;0,INDEX(MO_CFSum_Capex,1,COLUMN())&gt;0,INDEX(MO_CFSum_Dividend,1,COLUMN())&gt;0),"CHECK",0)</f>
        <v/>
      </c>
      <c r="R414" s="387">
        <f>IF(OR(INDEX(MO_CFSum_Acquisition,1,COLUMN())&gt;0,INDEX(MO_CFSum_Divestiture,1,COLUMN())&lt;0,INDEX(MO_CFSum_Capex,1,COLUMN())&gt;0,INDEX(MO_CFSum_Dividend,1,COLUMN())&gt;0),"CHECK",0)</f>
        <v/>
      </c>
      <c r="S414" s="387">
        <f>IF(OR(INDEX(MO_CFSum_Acquisition,1,COLUMN())&gt;0,INDEX(MO_CFSum_Divestiture,1,COLUMN())&lt;0,INDEX(MO_CFSum_Capex,1,COLUMN())&gt;0,INDEX(MO_CFSum_Dividend,1,COLUMN())&gt;0),"CHECK",0)</f>
        <v/>
      </c>
      <c r="T414" s="387">
        <f>IF(OR(INDEX(MO_CFSum_Acquisition,1,COLUMN())&gt;0,INDEX(MO_CFSum_Divestiture,1,COLUMN())&lt;0,INDEX(MO_CFSum_Capex,1,COLUMN())&gt;0,INDEX(MO_CFSum_Dividend,1,COLUMN())&gt;0),"CHECK",0)</f>
        <v/>
      </c>
      <c r="U414" s="387">
        <f>IF(OR(INDEX(MO_CFSum_Acquisition,1,COLUMN())&gt;0,INDEX(MO_CFSum_Divestiture,1,COLUMN())&lt;0,INDEX(MO_CFSum_Capex,1,COLUMN())&gt;0,INDEX(MO_CFSum_Dividend,1,COLUMN())&gt;0),"CHECK",0)</f>
        <v/>
      </c>
      <c r="V414" s="387">
        <f>IF(OR(INDEX(MO_CFSum_Acquisition,1,COLUMN())&gt;0,INDEX(MO_CFSum_Divestiture,1,COLUMN())&lt;0,INDEX(MO_CFSum_Capex,1,COLUMN())&gt;0,INDEX(MO_CFSum_Dividend,1,COLUMN())&gt;0),"CHECK",0)</f>
        <v/>
      </c>
      <c r="W414" s="387">
        <f>IF(OR(INDEX(MO_CFSum_Acquisition,1,COLUMN())&gt;0,INDEX(MO_CFSum_Divestiture,1,COLUMN())&lt;0,INDEX(MO_CFSum_Capex,1,COLUMN())&gt;0,INDEX(MO_CFSum_Dividend,1,COLUMN())&gt;0),"CHECK",0)</f>
        <v/>
      </c>
      <c r="X414" s="387">
        <f>IF(OR(INDEX(MO_CFSum_Acquisition,1,COLUMN())&gt;0,INDEX(MO_CFSum_Divestiture,1,COLUMN())&lt;0,INDEX(MO_CFSum_Capex,1,COLUMN())&gt;0,INDEX(MO_CFSum_Dividend,1,COLUMN())&gt;0),"CHECK",0)</f>
        <v/>
      </c>
      <c r="Y414" s="387">
        <f>IF(OR(INDEX(MO_CFSum_Acquisition,1,COLUMN())&gt;0,INDEX(MO_CFSum_Divestiture,1,COLUMN())&lt;0,INDEX(MO_CFSum_Capex,1,COLUMN())&gt;0,INDEX(MO_CFSum_Dividend,1,COLUMN())&gt;0),"CHECK",0)</f>
        <v/>
      </c>
      <c r="Z414" s="387">
        <f>IF(OR(INDEX(MO_CFSum_Acquisition,1,COLUMN())&gt;0,INDEX(MO_CFSum_Divestiture,1,COLUMN())&lt;0,INDEX(MO_CFSum_Capex,1,COLUMN())&gt;0,INDEX(MO_CFSum_Dividend,1,COLUMN())&gt;0),"CHECK",0)</f>
        <v/>
      </c>
      <c r="AA414" s="387">
        <f>IF(OR(INDEX(MO_CFSum_Acquisition,1,COLUMN())&gt;0,INDEX(MO_CFSum_Divestiture,1,COLUMN())&lt;0,INDEX(MO_CFSum_Capex,1,COLUMN())&gt;0,INDEX(MO_CFSum_Dividend,1,COLUMN())&gt;0),"CHECK",0)</f>
        <v/>
      </c>
      <c r="AB414" s="387">
        <f>IF(OR(INDEX(MO_CFSum_Acquisition,1,COLUMN())&gt;0,INDEX(MO_CFSum_Divestiture,1,COLUMN())&lt;0,INDEX(MO_CFSum_Capex,1,COLUMN())&gt;0,INDEX(MO_CFSum_Dividend,1,COLUMN())&gt;0),"CHECK",0)</f>
        <v/>
      </c>
      <c r="AC414" s="387">
        <f>IF(OR(INDEX(MO_CFSum_Acquisition,1,COLUMN())&gt;0,INDEX(MO_CFSum_Divestiture,1,COLUMN())&lt;0,INDEX(MO_CFSum_Capex,1,COLUMN())&gt;0,INDEX(MO_CFSum_Dividend,1,COLUMN())&gt;0),"CHECK",0)</f>
        <v/>
      </c>
      <c r="AD414" s="387">
        <f>IF(OR(INDEX(MO_CFSum_Acquisition,1,COLUMN())&gt;0,INDEX(MO_CFSum_Divestiture,1,COLUMN())&lt;0,INDEX(MO_CFSum_Capex,1,COLUMN())&gt;0,INDEX(MO_CFSum_Dividend,1,COLUMN())&gt;0),"CHECK",0)</f>
        <v/>
      </c>
      <c r="AE414" s="387">
        <f>IF(OR(INDEX(MO_CFSum_Acquisition,1,COLUMN())&gt;0,INDEX(MO_CFSum_Divestiture,1,COLUMN())&lt;0,INDEX(MO_CFSum_Capex,1,COLUMN())&gt;0,INDEX(MO_CFSum_Dividend,1,COLUMN())&gt;0),"CHECK",0)</f>
        <v/>
      </c>
      <c r="AF414" s="387">
        <f>IF(OR(INDEX(MO_CFSum_Acquisition,1,COLUMN())&gt;0,INDEX(MO_CFSum_Divestiture,1,COLUMN())&lt;0,INDEX(MO_CFSum_Capex,1,COLUMN())&gt;0,INDEX(MO_CFSum_Dividend,1,COLUMN())&gt;0),"CHECK",0)</f>
        <v/>
      </c>
      <c r="AG414" s="387">
        <f>IF(OR(INDEX(MO_CFSum_Acquisition,1,COLUMN())&gt;0,INDEX(MO_CFSum_Divestiture,1,COLUMN())&lt;0,INDEX(MO_CFSum_Capex,1,COLUMN())&gt;0,INDEX(MO_CFSum_Dividend,1,COLUMN())&gt;0),"CHECK",0)</f>
        <v/>
      </c>
      <c r="AH414" s="387">
        <f>IF(OR(INDEX(MO_CFSum_Acquisition,1,COLUMN())&gt;0,INDEX(MO_CFSum_Divestiture,1,COLUMN())&lt;0,INDEX(MO_CFSum_Capex,1,COLUMN())&gt;0,INDEX(MO_CFSum_Dividend,1,COLUMN())&gt;0),"CHECK",0)</f>
        <v/>
      </c>
      <c r="AI414" s="387">
        <f>IF(OR(INDEX(MO_CFSum_Acquisition,1,COLUMN())&gt;0,INDEX(MO_CFSum_Divestiture,1,COLUMN())&lt;0,INDEX(MO_CFSum_Capex,1,COLUMN())&gt;0,INDEX(MO_CFSum_Dividend,1,COLUMN())&gt;0),"CHECK",0)</f>
        <v/>
      </c>
      <c r="AJ414" s="387">
        <f>IF(OR(INDEX(MO_CFSum_Acquisition,1,COLUMN())&gt;0,INDEX(MO_CFSum_Divestiture,1,COLUMN())&lt;0,INDEX(MO_CFSum_Capex,1,COLUMN())&gt;0,INDEX(MO_CFSum_Dividend,1,COLUMN())&gt;0),"CHECK",0)</f>
        <v/>
      </c>
      <c r="AK414" s="387">
        <f>IF(OR(INDEX(MO_CFSum_Acquisition,1,COLUMN())&gt;0,INDEX(MO_CFSum_Divestiture,1,COLUMN())&lt;0,INDEX(MO_CFSum_Capex,1,COLUMN())&gt;0,INDEX(MO_CFSum_Dividend,1,COLUMN())&gt;0),"CHECK",0)</f>
        <v/>
      </c>
      <c r="AL414" s="388">
        <f>IF(OR(INDEX(MO_CFSum_Acquisition,1,COLUMN())&gt;0,INDEX(MO_CFSum_Divestiture,1,COLUMN())&lt;0,INDEX(MO_CFSum_Capex,1,COLUMN())&gt;0,INDEX(MO_CFSum_Dividend,1,COLUMN())&gt;0),"CHECK",0)</f>
        <v/>
      </c>
      <c r="AM414" s="387" t="n"/>
      <c r="AN414" s="387" t="n"/>
      <c r="AO414" s="387" t="n"/>
      <c r="AP414" s="387" t="n"/>
      <c r="AQ414" s="387" t="n"/>
      <c r="AR414" s="387" t="n"/>
      <c r="AS414" s="387" t="n"/>
      <c r="AT414" s="387" t="n"/>
      <c r="AU414" s="387" t="n"/>
      <c r="AV414" s="387" t="n"/>
      <c r="AW414" s="387" t="n"/>
      <c r="AX414" s="228" t="n"/>
    </row>
    <row r="415" customFormat="1" s="5">
      <c r="A415" s="228" t="inlineStr">
        <is>
          <t>*RIS NI FY = Sum of Qs</t>
        </is>
      </c>
      <c r="B415" s="498" t="n"/>
      <c r="C415" s="387" t="n"/>
      <c r="D415" s="387" t="n"/>
      <c r="E415" s="387" t="n"/>
      <c r="F415" s="387" t="n"/>
      <c r="G415" s="387" t="n"/>
      <c r="H415" s="387" t="n"/>
      <c r="I415" s="387" t="n"/>
      <c r="J415" s="387" t="n"/>
      <c r="K415" s="387">
        <f>ROUND(K176-SUM(G176:J176),6)</f>
        <v/>
      </c>
      <c r="L415" s="387" t="n"/>
      <c r="M415" s="387" t="n"/>
      <c r="N415" s="387" t="n"/>
      <c r="O415" s="387" t="n"/>
      <c r="P415" s="387">
        <f>ROUND(P176-SUM(L176:O176),6)</f>
        <v/>
      </c>
      <c r="Q415" s="387" t="n"/>
      <c r="R415" s="387" t="n"/>
      <c r="S415" s="387" t="n"/>
      <c r="T415" s="387" t="n"/>
      <c r="U415" s="387">
        <f>ROUND(U176-SUM(Q176:T176),6)</f>
        <v/>
      </c>
      <c r="V415" s="387" t="n"/>
      <c r="W415" s="387" t="n"/>
      <c r="X415" s="387" t="n"/>
      <c r="Y415" s="387" t="n"/>
      <c r="Z415" s="387">
        <f>ROUND(Z176-SUM(V176:Y176),6)</f>
        <v/>
      </c>
      <c r="AA415" s="387" t="n"/>
      <c r="AB415" s="387" t="n"/>
      <c r="AC415" s="387" t="n"/>
      <c r="AD415" s="387" t="n"/>
      <c r="AE415" s="387">
        <f>ROUND(AE176-SUM(AA176:AD176),6)</f>
        <v/>
      </c>
      <c r="AF415" s="387" t="n"/>
      <c r="AG415" s="387" t="n"/>
      <c r="AH415" s="387" t="n"/>
      <c r="AI415" s="387" t="n"/>
      <c r="AJ415" s="387">
        <f>ROUND(AJ176-SUM(AF176:AI176),6)</f>
        <v/>
      </c>
      <c r="AK415" s="387" t="n"/>
      <c r="AL415" s="388" t="n"/>
      <c r="AM415" s="387" t="n"/>
      <c r="AN415" s="387" t="n"/>
      <c r="AO415" s="387" t="n"/>
      <c r="AP415" s="387" t="n"/>
      <c r="AQ415" s="387" t="n"/>
      <c r="AR415" s="387" t="n"/>
      <c r="AS415" s="387" t="n"/>
      <c r="AT415" s="387" t="n"/>
      <c r="AU415" s="387" t="n"/>
      <c r="AV415" s="387" t="n"/>
      <c r="AW415" s="387" t="n"/>
      <c r="AX415" s="228" t="n"/>
    </row>
    <row r="416" customFormat="1" s="5">
      <c r="A416" s="228" t="inlineStr">
        <is>
          <t>*RIS Adjusted NI FY = Sum of Qs</t>
        </is>
      </c>
      <c r="B416" s="498" t="n"/>
      <c r="C416" s="387" t="n"/>
      <c r="D416" s="387" t="n"/>
      <c r="E416" s="387" t="n"/>
      <c r="F416" s="387" t="n"/>
      <c r="G416" s="387" t="n"/>
      <c r="H416" s="387" t="n"/>
      <c r="I416" s="387" t="n"/>
      <c r="J416" s="387" t="n"/>
      <c r="K416" s="387">
        <f>ROUND(SUM(OFFSET(INDEX(MO_RIS_NI_NONGAAP_Diluted,1,COLUMN()),0,-4,1,4))-INDEX(MO_RIS_NI_NONGAAP_Diluted,1,COLUMN()),6)</f>
        <v/>
      </c>
      <c r="L416" s="387" t="n"/>
      <c r="M416" s="387" t="n"/>
      <c r="N416" s="387" t="n"/>
      <c r="O416" s="387" t="n"/>
      <c r="P416" s="387">
        <f>ROUND(SUM(OFFSET(INDEX(MO_RIS_NI_NONGAAP_Diluted,1,COLUMN()),0,-4,1,4))-INDEX(MO_RIS_NI_NONGAAP_Diluted,1,COLUMN()),6)</f>
        <v/>
      </c>
      <c r="Q416" s="387" t="n"/>
      <c r="R416" s="387" t="n"/>
      <c r="S416" s="387" t="n"/>
      <c r="T416" s="387" t="n"/>
      <c r="U416" s="387">
        <f>ROUND(SUM(OFFSET(INDEX(MO_RIS_NI_NONGAAP_Diluted,1,COLUMN()),0,-4,1,4))-INDEX(MO_RIS_NI_NONGAAP_Diluted,1,COLUMN()),6)</f>
        <v/>
      </c>
      <c r="V416" s="387" t="n"/>
      <c r="W416" s="387" t="n"/>
      <c r="X416" s="387" t="n"/>
      <c r="Y416" s="387" t="n"/>
      <c r="Z416" s="387">
        <f>ROUND(SUM(OFFSET(INDEX(MO_RIS_NI_NONGAAP_Diluted,1,COLUMN()),0,-4,1,4))-INDEX(MO_RIS_NI_NONGAAP_Diluted,1,COLUMN()),6)</f>
        <v/>
      </c>
      <c r="AA416" s="387" t="n"/>
      <c r="AB416" s="387" t="n"/>
      <c r="AC416" s="387" t="n"/>
      <c r="AD416" s="387" t="n"/>
      <c r="AE416" s="387">
        <f>ROUND(SUM(OFFSET(INDEX(MO_RIS_NI_NONGAAP_Diluted,1,COLUMN()),0,-4,1,4))-INDEX(MO_RIS_NI_NONGAAP_Diluted,1,COLUMN()),6)</f>
        <v/>
      </c>
      <c r="AF416" s="387" t="n"/>
      <c r="AG416" s="387" t="n"/>
      <c r="AH416" s="387" t="n"/>
      <c r="AI416" s="387" t="n"/>
      <c r="AJ416" s="387">
        <f>ROUND(SUM(OFFSET(INDEX(MO_RIS_NI_NONGAAP_Diluted,1,COLUMN()),0,-4,1,4))-INDEX(MO_RIS_NI_NONGAAP_Diluted,1,COLUMN()),6)</f>
        <v/>
      </c>
      <c r="AK416" s="387" t="n"/>
      <c r="AL416" s="388" t="n"/>
      <c r="AM416" s="387" t="n"/>
      <c r="AN416" s="387" t="n"/>
      <c r="AO416" s="387" t="n"/>
      <c r="AP416" s="387" t="n"/>
      <c r="AQ416" s="387" t="n"/>
      <c r="AR416" s="387" t="n"/>
      <c r="AS416" s="387" t="n"/>
      <c r="AT416" s="387" t="n"/>
      <c r="AU416" s="387" t="n"/>
      <c r="AV416" s="387" t="n"/>
      <c r="AW416" s="387" t="n"/>
      <c r="AX416" s="228" t="n"/>
    </row>
    <row r="417" customFormat="1" s="5">
      <c r="A417" s="228" t="inlineStr">
        <is>
          <t>*CFO Before WC subtotal FY = Sum of Qs</t>
        </is>
      </c>
      <c r="B417" s="498" t="n"/>
      <c r="C417" s="387" t="n"/>
      <c r="D417" s="387" t="n"/>
      <c r="E417" s="387" t="n"/>
      <c r="F417" s="387" t="n"/>
      <c r="G417" s="387" t="n"/>
      <c r="H417" s="387" t="n"/>
      <c r="I417" s="387" t="n"/>
      <c r="J417" s="387" t="n"/>
      <c r="K417" s="387">
        <f>ROUND(SUM(OFFSET(INDEX(MO_CFS_CFO_BeforeWC,1,COLUMN()),0,-4,1,4))-SUM(OFFSET(INDEX(MO_CFS_CFO_BeforeWC,1,COLUMN()),ROW(INDEX(MO_SubSection_CFS_CFO,1,COLUMN()))-ROW(INDEX(MO_CFS_CFO_BeforeWC,1,COLUMN())),0,ROW(INDEX(MO_CFS_CFO_BeforeWC,1,COLUMN()))-ROW(INDEX(MO_SubSection_CFS_CFO,1,COLUMN())),1)),6)</f>
        <v/>
      </c>
      <c r="L417" s="387" t="n"/>
      <c r="M417" s="387" t="n"/>
      <c r="N417" s="387" t="n"/>
      <c r="O417" s="387" t="n"/>
      <c r="P417" s="387">
        <f>ROUND(SUM(OFFSET(INDEX(MO_CFS_CFO_BeforeWC,1,COLUMN()),0,-4,1,4))-SUM(OFFSET(INDEX(MO_CFS_CFO_BeforeWC,1,COLUMN()),ROW(INDEX(MO_SubSection_CFS_CFO,1,COLUMN()))-ROW(INDEX(MO_CFS_CFO_BeforeWC,1,COLUMN())),0,ROW(INDEX(MO_CFS_CFO_BeforeWC,1,COLUMN()))-ROW(INDEX(MO_SubSection_CFS_CFO,1,COLUMN())),1)),6)</f>
        <v/>
      </c>
      <c r="Q417" s="387" t="n"/>
      <c r="R417" s="387" t="n"/>
      <c r="S417" s="387" t="n"/>
      <c r="T417" s="387" t="n"/>
      <c r="U417" s="387">
        <f>ROUND(SUM(OFFSET(INDEX(MO_CFS_CFO_BeforeWC,1,COLUMN()),0,-4,1,4))-SUM(OFFSET(INDEX(MO_CFS_CFO_BeforeWC,1,COLUMN()),ROW(INDEX(MO_SubSection_CFS_CFO,1,COLUMN()))-ROW(INDEX(MO_CFS_CFO_BeforeWC,1,COLUMN())),0,ROW(INDEX(MO_CFS_CFO_BeforeWC,1,COLUMN()))-ROW(INDEX(MO_SubSection_CFS_CFO,1,COLUMN())),1)),6)</f>
        <v/>
      </c>
      <c r="V417" s="387" t="n"/>
      <c r="W417" s="387" t="n"/>
      <c r="X417" s="387" t="n"/>
      <c r="Y417" s="387" t="n"/>
      <c r="Z417" s="387">
        <f>ROUND(SUM(OFFSET(INDEX(MO_CFS_CFO_BeforeWC,1,COLUMN()),0,-4,1,4))-SUM(OFFSET(INDEX(MO_CFS_CFO_BeforeWC,1,COLUMN()),ROW(INDEX(MO_SubSection_CFS_CFO,1,COLUMN()))-ROW(INDEX(MO_CFS_CFO_BeforeWC,1,COLUMN())),0,ROW(INDEX(MO_CFS_CFO_BeforeWC,1,COLUMN()))-ROW(INDEX(MO_SubSection_CFS_CFO,1,COLUMN())),1)),6)</f>
        <v/>
      </c>
      <c r="AA417" s="387" t="n"/>
      <c r="AB417" s="387" t="n"/>
      <c r="AC417" s="387" t="n"/>
      <c r="AD417" s="387" t="n"/>
      <c r="AE417" s="387">
        <f>ROUND(SUM(OFFSET(INDEX(MO_CFS_CFO_BeforeWC,1,COLUMN()),0,-4,1,4))-SUM(OFFSET(INDEX(MO_CFS_CFO_BeforeWC,1,COLUMN()),ROW(INDEX(MO_SubSection_CFS_CFO,1,COLUMN()))-ROW(INDEX(MO_CFS_CFO_BeforeWC,1,COLUMN())),0,ROW(INDEX(MO_CFS_CFO_BeforeWC,1,COLUMN()))-ROW(INDEX(MO_SubSection_CFS_CFO,1,COLUMN())),1)),6)</f>
        <v/>
      </c>
      <c r="AF417" s="387" t="n"/>
      <c r="AG417" s="387" t="n"/>
      <c r="AH417" s="387" t="n"/>
      <c r="AI417" s="387" t="n"/>
      <c r="AJ417" s="387">
        <f>ROUND(SUM(OFFSET(INDEX(MO_CFS_CFO_BeforeWC,1,COLUMN()),0,-4,1,4))-SUM(OFFSET(INDEX(MO_CFS_CFO_BeforeWC,1,COLUMN()),ROW(INDEX(MO_SubSection_CFS_CFO,1,COLUMN()))-ROW(INDEX(MO_CFS_CFO_BeforeWC,1,COLUMN())),0,ROW(INDEX(MO_CFS_CFO_BeforeWC,1,COLUMN()))-ROW(INDEX(MO_SubSection_CFS_CFO,1,COLUMN())),1)),6)</f>
        <v/>
      </c>
      <c r="AK417" s="387" t="n"/>
      <c r="AL417" s="388" t="n"/>
      <c r="AM417" s="387" t="n"/>
      <c r="AN417" s="387" t="n"/>
      <c r="AO417" s="387" t="n"/>
      <c r="AP417" s="387" t="n"/>
      <c r="AQ417" s="387" t="n"/>
      <c r="AR417" s="387" t="n"/>
      <c r="AS417" s="387" t="n"/>
      <c r="AT417" s="387" t="n"/>
      <c r="AU417" s="387" t="n"/>
      <c r="AV417" s="387" t="n"/>
      <c r="AW417" s="387" t="n"/>
      <c r="AX417" s="228" t="n"/>
    </row>
    <row r="418" customFormat="1" s="5">
      <c r="A418" s="228" t="inlineStr">
        <is>
          <t>*CFO subtotal FY = Sum of Qs</t>
        </is>
      </c>
      <c r="B418" s="498" t="n"/>
      <c r="C418" s="387" t="n"/>
      <c r="D418" s="387" t="n"/>
      <c r="E418" s="387" t="n"/>
      <c r="F418" s="387" t="n"/>
      <c r="G418" s="387" t="n"/>
      <c r="H418" s="387" t="n"/>
      <c r="I418" s="387" t="n"/>
      <c r="J418" s="387" t="n"/>
      <c r="K418" s="387">
        <f>ROUND(SUM(OFFSET(INDEX(MO_CFS_CFO,1,COLUMN()),0,-4,1,4))-SUM(OFFSET(INDEX(MO_CFS_CFO,1,COLUMN()),ROW(INDEX(MO_CFS_CFO_BeforeWC,1,COLUMN()))-ROW(INDEX(MO_CFS_CFO,1,COLUMN())),0,ROW(INDEX(MO_CFS_CFO,1,COLUMN()))-ROW(INDEX(MO_CFS_CFO_BeforeWC,1,COLUMN())),1)),6)</f>
        <v/>
      </c>
      <c r="L418" s="387" t="n"/>
      <c r="M418" s="387" t="n"/>
      <c r="N418" s="387" t="n"/>
      <c r="O418" s="387" t="n"/>
      <c r="P418" s="387">
        <f>ROUND(SUM(OFFSET(INDEX(MO_CFS_CFO,1,COLUMN()),0,-4,1,4))-SUM(OFFSET(INDEX(MO_CFS_CFO,1,COLUMN()),ROW(INDEX(MO_CFS_CFO_BeforeWC,1,COLUMN()))-ROW(INDEX(MO_CFS_CFO,1,COLUMN())),0,ROW(INDEX(MO_CFS_CFO,1,COLUMN()))-ROW(INDEX(MO_CFS_CFO_BeforeWC,1,COLUMN())),1)),6)</f>
        <v/>
      </c>
      <c r="Q418" s="387" t="n"/>
      <c r="R418" s="387" t="n"/>
      <c r="S418" s="387" t="n"/>
      <c r="T418" s="387" t="n"/>
      <c r="U418" s="387">
        <f>ROUND(SUM(OFFSET(INDEX(MO_CFS_CFO,1,COLUMN()),0,-4,1,4))-SUM(OFFSET(INDEX(MO_CFS_CFO,1,COLUMN()),ROW(INDEX(MO_CFS_CFO_BeforeWC,1,COLUMN()))-ROW(INDEX(MO_CFS_CFO,1,COLUMN())),0,ROW(INDEX(MO_CFS_CFO,1,COLUMN()))-ROW(INDEX(MO_CFS_CFO_BeforeWC,1,COLUMN())),1)),6)</f>
        <v/>
      </c>
      <c r="V418" s="387" t="n"/>
      <c r="W418" s="387" t="n"/>
      <c r="X418" s="387" t="n"/>
      <c r="Y418" s="387" t="n"/>
      <c r="Z418" s="387">
        <f>ROUND(SUM(OFFSET(INDEX(MO_CFS_CFO,1,COLUMN()),0,-4,1,4))-SUM(OFFSET(INDEX(MO_CFS_CFO,1,COLUMN()),ROW(INDEX(MO_CFS_CFO_BeforeWC,1,COLUMN()))-ROW(INDEX(MO_CFS_CFO,1,COLUMN())),0,ROW(INDEX(MO_CFS_CFO,1,COLUMN()))-ROW(INDEX(MO_CFS_CFO_BeforeWC,1,COLUMN())),1)),6)</f>
        <v/>
      </c>
      <c r="AA418" s="387" t="n"/>
      <c r="AB418" s="387" t="n"/>
      <c r="AC418" s="387" t="n"/>
      <c r="AD418" s="387" t="n"/>
      <c r="AE418" s="387">
        <f>ROUND(SUM(OFFSET(INDEX(MO_CFS_CFO,1,COLUMN()),0,-4,1,4))-SUM(OFFSET(INDEX(MO_CFS_CFO,1,COLUMN()),ROW(INDEX(MO_CFS_CFO_BeforeWC,1,COLUMN()))-ROW(INDEX(MO_CFS_CFO,1,COLUMN())),0,ROW(INDEX(MO_CFS_CFO,1,COLUMN()))-ROW(INDEX(MO_CFS_CFO_BeforeWC,1,COLUMN())),1)),6)</f>
        <v/>
      </c>
      <c r="AF418" s="387" t="n"/>
      <c r="AG418" s="387" t="n"/>
      <c r="AH418" s="387" t="n"/>
      <c r="AI418" s="387" t="n"/>
      <c r="AJ418" s="387">
        <f>ROUND(SUM(OFFSET(INDEX(MO_CFS_CFO,1,COLUMN()),0,-4,1,4))-SUM(OFFSET(INDEX(MO_CFS_CFO,1,COLUMN()),ROW(INDEX(MO_CFS_CFO_BeforeWC,1,COLUMN()))-ROW(INDEX(MO_CFS_CFO,1,COLUMN())),0,ROW(INDEX(MO_CFS_CFO,1,COLUMN()))-ROW(INDEX(MO_CFS_CFO_BeforeWC,1,COLUMN())),1)),6)</f>
        <v/>
      </c>
      <c r="AK418" s="387" t="n"/>
      <c r="AL418" s="388" t="n"/>
      <c r="AM418" s="387" t="n"/>
      <c r="AN418" s="387" t="n"/>
      <c r="AO418" s="387" t="n"/>
      <c r="AP418" s="387" t="n"/>
      <c r="AQ418" s="387" t="n"/>
      <c r="AR418" s="387" t="n"/>
      <c r="AS418" s="387" t="n"/>
      <c r="AT418" s="387" t="n"/>
      <c r="AU418" s="387" t="n"/>
      <c r="AV418" s="387" t="n"/>
      <c r="AW418" s="387" t="n"/>
      <c r="AX418" s="228" t="n"/>
    </row>
    <row r="419" customFormat="1" s="5">
      <c r="A419" s="228" t="inlineStr">
        <is>
          <t>*CFI subtotal FY = Sum of Qs</t>
        </is>
      </c>
      <c r="B419" s="498" t="n"/>
      <c r="C419" s="387" t="n"/>
      <c r="D419" s="387" t="n"/>
      <c r="E419" s="387" t="n"/>
      <c r="F419" s="387" t="n"/>
      <c r="G419" s="387" t="n"/>
      <c r="H419" s="387" t="n"/>
      <c r="I419" s="387" t="n"/>
      <c r="J419" s="387" t="n"/>
      <c r="K419" s="387">
        <f>ROUND(SUM(OFFSET(INDEX(MO_CFS_CFI,1,COLUMN()),0,-4,1,4))-SUM(OFFSET(INDEX(MO_CFS_CFI,1,COLUMN()),ROW(INDEX(MO_SubSection_CFS_CFI,1,COLUMN()))-ROW(INDEX(MO_CFS_CFI,1,COLUMN())),0,ROW(INDEX(MO_CFS_CFI,1,COLUMN()))-ROW(INDEX(MO_SubSection_CFS_CFI,1,COLUMN())),1)),6)</f>
        <v/>
      </c>
      <c r="L419" s="387" t="n"/>
      <c r="M419" s="387" t="n"/>
      <c r="N419" s="387" t="n"/>
      <c r="O419" s="387" t="n"/>
      <c r="P419" s="387">
        <f>ROUND(SUM(OFFSET(INDEX(MO_CFS_CFI,1,COLUMN()),0,-4,1,4))-SUM(OFFSET(INDEX(MO_CFS_CFI,1,COLUMN()),ROW(INDEX(MO_SubSection_CFS_CFI,1,COLUMN()))-ROW(INDEX(MO_CFS_CFI,1,COLUMN())),0,ROW(INDEX(MO_CFS_CFI,1,COLUMN()))-ROW(INDEX(MO_SubSection_CFS_CFI,1,COLUMN())),1)),6)</f>
        <v/>
      </c>
      <c r="Q419" s="387" t="n"/>
      <c r="R419" s="387" t="n"/>
      <c r="S419" s="387" t="n"/>
      <c r="T419" s="387" t="n"/>
      <c r="U419" s="387">
        <f>ROUND(SUM(OFFSET(INDEX(MO_CFS_CFI,1,COLUMN()),0,-4,1,4))-SUM(OFFSET(INDEX(MO_CFS_CFI,1,COLUMN()),ROW(INDEX(MO_SubSection_CFS_CFI,1,COLUMN()))-ROW(INDEX(MO_CFS_CFI,1,COLUMN())),0,ROW(INDEX(MO_CFS_CFI,1,COLUMN()))-ROW(INDEX(MO_SubSection_CFS_CFI,1,COLUMN())),1)),6)</f>
        <v/>
      </c>
      <c r="V419" s="387" t="n"/>
      <c r="W419" s="387" t="n"/>
      <c r="X419" s="387" t="n"/>
      <c r="Y419" s="387" t="n"/>
      <c r="Z419" s="387">
        <f>ROUND(SUM(OFFSET(INDEX(MO_CFS_CFI,1,COLUMN()),0,-4,1,4))-SUM(OFFSET(INDEX(MO_CFS_CFI,1,COLUMN()),ROW(INDEX(MO_SubSection_CFS_CFI,1,COLUMN()))-ROW(INDEX(MO_CFS_CFI,1,COLUMN())),0,ROW(INDEX(MO_CFS_CFI,1,COLUMN()))-ROW(INDEX(MO_SubSection_CFS_CFI,1,COLUMN())),1)),6)</f>
        <v/>
      </c>
      <c r="AA419" s="387" t="n"/>
      <c r="AB419" s="387" t="n"/>
      <c r="AC419" s="387" t="n"/>
      <c r="AD419" s="387" t="n"/>
      <c r="AE419" s="387">
        <f>ROUND(SUM(OFFSET(INDEX(MO_CFS_CFI,1,COLUMN()),0,-4,1,4))-SUM(OFFSET(INDEX(MO_CFS_CFI,1,COLUMN()),ROW(INDEX(MO_SubSection_CFS_CFI,1,COLUMN()))-ROW(INDEX(MO_CFS_CFI,1,COLUMN())),0,ROW(INDEX(MO_CFS_CFI,1,COLUMN()))-ROW(INDEX(MO_SubSection_CFS_CFI,1,COLUMN())),1)),6)</f>
        <v/>
      </c>
      <c r="AF419" s="387" t="n"/>
      <c r="AG419" s="387" t="n"/>
      <c r="AH419" s="387" t="n"/>
      <c r="AI419" s="387" t="n"/>
      <c r="AJ419" s="387">
        <f>ROUND(SUM(OFFSET(INDEX(MO_CFS_CFI,1,COLUMN()),0,-4,1,4))-SUM(OFFSET(INDEX(MO_CFS_CFI,1,COLUMN()),ROW(INDEX(MO_SubSection_CFS_CFI,1,COLUMN()))-ROW(INDEX(MO_CFS_CFI,1,COLUMN())),0,ROW(INDEX(MO_CFS_CFI,1,COLUMN()))-ROW(INDEX(MO_SubSection_CFS_CFI,1,COLUMN())),1)),6)</f>
        <v/>
      </c>
      <c r="AK419" s="387" t="n"/>
      <c r="AL419" s="388" t="n"/>
      <c r="AM419" s="387" t="n"/>
      <c r="AN419" s="387" t="n"/>
      <c r="AO419" s="387" t="n"/>
      <c r="AP419" s="387" t="n"/>
      <c r="AQ419" s="387" t="n"/>
      <c r="AR419" s="387" t="n"/>
      <c r="AS419" s="387" t="n"/>
      <c r="AT419" s="387" t="n"/>
      <c r="AU419" s="387" t="n"/>
      <c r="AV419" s="387" t="n"/>
      <c r="AW419" s="387" t="n"/>
      <c r="AX419" s="228" t="n"/>
    </row>
    <row r="420" customFormat="1" s="5">
      <c r="A420" s="228" t="inlineStr">
        <is>
          <t>*CFF subtotal FY = Sum of Qs</t>
        </is>
      </c>
      <c r="B420" s="498" t="n"/>
      <c r="C420" s="387" t="n"/>
      <c r="D420" s="387" t="n"/>
      <c r="E420" s="387" t="n"/>
      <c r="F420" s="387" t="n"/>
      <c r="G420" s="387" t="n"/>
      <c r="H420" s="387" t="n"/>
      <c r="I420" s="387" t="n"/>
      <c r="J420" s="387" t="n"/>
      <c r="K420" s="387">
        <f>ROUND(SUM(OFFSET(INDEX(MO_CFS_CFF,1,COLUMN()),0,-4,1,4))-SUM(OFFSET(INDEX(MO_CFS_CFF,1,COLUMN()),ROW(INDEX(MO_SubSection_CFS_CFF,1,COLUMN()))-ROW(INDEX(MO_CFS_CFF,1,COLUMN())),0,ROW(INDEX(MO_CFS_CFF,1,COLUMN()))-ROW(INDEX(MO_SubSection_CFS_CFF,1,COLUMN())),1)),6)</f>
        <v/>
      </c>
      <c r="L420" s="387" t="n"/>
      <c r="M420" s="387" t="n"/>
      <c r="N420" s="387" t="n"/>
      <c r="O420" s="387" t="n"/>
      <c r="P420" s="387">
        <f>ROUND(SUM(OFFSET(INDEX(MO_CFS_CFF,1,COLUMN()),0,-4,1,4))-SUM(OFFSET(INDEX(MO_CFS_CFF,1,COLUMN()),ROW(INDEX(MO_SubSection_CFS_CFF,1,COLUMN()))-ROW(INDEX(MO_CFS_CFF,1,COLUMN())),0,ROW(INDEX(MO_CFS_CFF,1,COLUMN()))-ROW(INDEX(MO_SubSection_CFS_CFF,1,COLUMN())),1)),6)</f>
        <v/>
      </c>
      <c r="Q420" s="387" t="n"/>
      <c r="R420" s="387" t="n"/>
      <c r="S420" s="387" t="n"/>
      <c r="T420" s="387" t="n"/>
      <c r="U420" s="387">
        <f>ROUND(SUM(OFFSET(INDEX(MO_CFS_CFF,1,COLUMN()),0,-4,1,4))-SUM(OFFSET(INDEX(MO_CFS_CFF,1,COLUMN()),ROW(INDEX(MO_SubSection_CFS_CFF,1,COLUMN()))-ROW(INDEX(MO_CFS_CFF,1,COLUMN())),0,ROW(INDEX(MO_CFS_CFF,1,COLUMN()))-ROW(INDEX(MO_SubSection_CFS_CFF,1,COLUMN())),1)),6)</f>
        <v/>
      </c>
      <c r="V420" s="387" t="n"/>
      <c r="W420" s="387" t="n"/>
      <c r="X420" s="387" t="n"/>
      <c r="Y420" s="387" t="n"/>
      <c r="Z420" s="387">
        <f>ROUND(SUM(OFFSET(INDEX(MO_CFS_CFF,1,COLUMN()),0,-4,1,4))-SUM(OFFSET(INDEX(MO_CFS_CFF,1,COLUMN()),ROW(INDEX(MO_SubSection_CFS_CFF,1,COLUMN()))-ROW(INDEX(MO_CFS_CFF,1,COLUMN())),0,ROW(INDEX(MO_CFS_CFF,1,COLUMN()))-ROW(INDEX(MO_SubSection_CFS_CFF,1,COLUMN())),1)),6)</f>
        <v/>
      </c>
      <c r="AA420" s="387" t="n"/>
      <c r="AB420" s="387" t="n"/>
      <c r="AC420" s="387" t="n"/>
      <c r="AD420" s="387" t="n"/>
      <c r="AE420" s="387">
        <f>ROUND(SUM(OFFSET(INDEX(MO_CFS_CFF,1,COLUMN()),0,-4,1,4))-SUM(OFFSET(INDEX(MO_CFS_CFF,1,COLUMN()),ROW(INDEX(MO_SubSection_CFS_CFF,1,COLUMN()))-ROW(INDEX(MO_CFS_CFF,1,COLUMN())),0,ROW(INDEX(MO_CFS_CFF,1,COLUMN()))-ROW(INDEX(MO_SubSection_CFS_CFF,1,COLUMN())),1)),6)</f>
        <v/>
      </c>
      <c r="AF420" s="387" t="n"/>
      <c r="AG420" s="387" t="n"/>
      <c r="AH420" s="387" t="n"/>
      <c r="AI420" s="387" t="n"/>
      <c r="AJ420" s="387">
        <f>ROUND(SUM(OFFSET(INDEX(MO_CFS_CFF,1,COLUMN()),0,-4,1,4))-SUM(OFFSET(INDEX(MO_CFS_CFF,1,COLUMN()),ROW(INDEX(MO_SubSection_CFS_CFF,1,COLUMN()))-ROW(INDEX(MO_CFS_CFF,1,COLUMN())),0,ROW(INDEX(MO_CFS_CFF,1,COLUMN()))-ROW(INDEX(MO_SubSection_CFS_CFF,1,COLUMN())),1)),6)</f>
        <v/>
      </c>
      <c r="AK420" s="387" t="n"/>
      <c r="AL420" s="388" t="n"/>
      <c r="AM420" s="387" t="n"/>
      <c r="AN420" s="387" t="n"/>
      <c r="AO420" s="387" t="n"/>
      <c r="AP420" s="387" t="n"/>
      <c r="AQ420" s="387" t="n"/>
      <c r="AR420" s="387" t="n"/>
      <c r="AS420" s="387" t="n"/>
      <c r="AT420" s="387" t="n"/>
      <c r="AU420" s="387" t="n"/>
      <c r="AV420" s="387" t="n"/>
      <c r="AW420" s="387" t="n"/>
      <c r="AX420" s="228" t="n"/>
    </row>
    <row r="421" customFormat="1" s="5">
      <c r="A421" s="228" t="inlineStr">
        <is>
          <t>*CF Summary FY = Sum of Qs</t>
        </is>
      </c>
      <c r="B421" s="498" t="n"/>
      <c r="C421" s="387" t="n"/>
      <c r="D421" s="387" t="n"/>
      <c r="E421" s="387" t="n"/>
      <c r="F421" s="387" t="n"/>
      <c r="G421" s="387" t="n"/>
      <c r="H421" s="387" t="n"/>
      <c r="I421" s="387" t="n"/>
      <c r="J421" s="387" t="n"/>
      <c r="K421" s="387">
        <f>ROUND(SUM(INDEX(MO_CFSum_Acquisition,0,COLUMN()),INDEX(MO_CFSum_Capex,0,COLUMN()),INDEX(MO_CFSum_Divestiture,0,COLUMN()),INDEX(MO_CFSum_Dividend,0,COLUMN()))-SUM(OFFSET(INDEX(MO_CFSum_Acquisition,0,COLUMN()),0,-4,3,4))-SUM(OFFSET(INDEX(MO_CFSum_Capex,0,COLUMN()),0,-4,1,4)),6)</f>
        <v/>
      </c>
      <c r="L421" s="387" t="n"/>
      <c r="M421" s="387" t="n"/>
      <c r="N421" s="387" t="n"/>
      <c r="O421" s="387" t="n"/>
      <c r="P421" s="387">
        <f>ROUND(SUM(INDEX(MO_CFSum_Acquisition,0,COLUMN()),INDEX(MO_CFSum_Capex,0,COLUMN()),INDEX(MO_CFSum_Divestiture,0,COLUMN()),INDEX(MO_CFSum_Dividend,0,COLUMN()))-SUM(OFFSET(INDEX(MO_CFSum_Acquisition,0,COLUMN()),0,-4,3,4))-SUM(OFFSET(INDEX(MO_CFSum_Capex,0,COLUMN()),0,-4,1,4)),6)</f>
        <v/>
      </c>
      <c r="Q421" s="387" t="n"/>
      <c r="R421" s="387" t="n"/>
      <c r="S421" s="387" t="n"/>
      <c r="T421" s="387" t="n"/>
      <c r="U421" s="387">
        <f>ROUND(SUM(INDEX(MO_CFSum_Acquisition,0,COLUMN()),INDEX(MO_CFSum_Capex,0,COLUMN()),INDEX(MO_CFSum_Divestiture,0,COLUMN()),INDEX(MO_CFSum_Dividend,0,COLUMN()))-SUM(OFFSET(INDEX(MO_CFSum_Acquisition,0,COLUMN()),0,-4,3,4))-SUM(OFFSET(INDEX(MO_CFSum_Capex,0,COLUMN()),0,-4,1,4)),6)</f>
        <v/>
      </c>
      <c r="V421" s="387" t="n"/>
      <c r="W421" s="387" t="n"/>
      <c r="X421" s="387" t="n"/>
      <c r="Y421" s="387" t="n"/>
      <c r="Z421" s="387">
        <f>ROUND(SUM(INDEX(MO_CFSum_Acquisition,0,COLUMN()),INDEX(MO_CFSum_Capex,0,COLUMN()),INDEX(MO_CFSum_Divestiture,0,COLUMN()),INDEX(MO_CFSum_Dividend,0,COLUMN()))-SUM(OFFSET(INDEX(MO_CFSum_Acquisition,0,COLUMN()),0,-4,3,4))-SUM(OFFSET(INDEX(MO_CFSum_Capex,0,COLUMN()),0,-4,1,4)),6)</f>
        <v/>
      </c>
      <c r="AA421" s="387" t="n"/>
      <c r="AB421" s="387" t="n"/>
      <c r="AC421" s="387" t="n"/>
      <c r="AD421" s="387" t="n"/>
      <c r="AE421" s="387">
        <f>ROUND(SUM(INDEX(MO_CFSum_Acquisition,0,COLUMN()),INDEX(MO_CFSum_Capex,0,COLUMN()),INDEX(MO_CFSum_Divestiture,0,COLUMN()),INDEX(MO_CFSum_Dividend,0,COLUMN()))-SUM(OFFSET(INDEX(MO_CFSum_Acquisition,0,COLUMN()),0,-4,3,4))-SUM(OFFSET(INDEX(MO_CFSum_Capex,0,COLUMN()),0,-4,1,4)),6)</f>
        <v/>
      </c>
      <c r="AF421" s="387" t="n"/>
      <c r="AG421" s="387" t="n"/>
      <c r="AH421" s="387" t="n"/>
      <c r="AI421" s="387" t="n"/>
      <c r="AJ421" s="387">
        <f>ROUND(SUM(INDEX(MO_CFSum_Acquisition,0,COLUMN()),INDEX(MO_CFSum_Capex,0,COLUMN()),INDEX(MO_CFSum_Divestiture,0,COLUMN()),INDEX(MO_CFSum_Dividend,0,COLUMN()))-SUM(OFFSET(INDEX(MO_CFSum_Acquisition,0,COLUMN()),0,-4,3,4))-SUM(OFFSET(INDEX(MO_CFSum_Capex,0,COLUMN()),0,-4,1,4)),6)</f>
        <v/>
      </c>
      <c r="AK421" s="387" t="n"/>
      <c r="AL421" s="388" t="n"/>
      <c r="AM421" s="387" t="n"/>
      <c r="AN421" s="387" t="n"/>
      <c r="AO421" s="387" t="n"/>
      <c r="AP421" s="387" t="n"/>
      <c r="AQ421" s="387" t="n"/>
      <c r="AR421" s="387" t="n"/>
      <c r="AS421" s="387" t="n"/>
      <c r="AT421" s="387" t="n"/>
      <c r="AU421" s="387" t="n"/>
      <c r="AV421" s="387" t="n"/>
      <c r="AW421" s="387" t="n"/>
      <c r="AX421" s="228" t="n"/>
    </row>
    <row r="422" customFormat="1" s="5">
      <c r="A422" s="228" t="n"/>
      <c r="B422" s="228" t="n"/>
      <c r="C422" s="228" t="n"/>
      <c r="D422" s="228" t="n"/>
      <c r="E422" s="228" t="n"/>
      <c r="F422" s="228" t="n"/>
      <c r="G422" s="228" t="n"/>
      <c r="H422" s="228" t="n"/>
      <c r="I422" s="228" t="n"/>
      <c r="J422" s="228" t="n"/>
      <c r="K422" s="228" t="n"/>
      <c r="L422" s="228" t="n"/>
      <c r="M422" s="228" t="n"/>
      <c r="N422" s="228" t="n"/>
      <c r="O422" s="228" t="n"/>
      <c r="P422" s="228" t="n"/>
      <c r="Q422" s="228" t="n"/>
      <c r="R422" s="228" t="n"/>
      <c r="S422" s="228" t="n"/>
      <c r="T422" s="228" t="n"/>
      <c r="U422" s="228" t="n"/>
      <c r="V422" s="228" t="n"/>
      <c r="W422" s="228" t="n"/>
      <c r="X422" s="228" t="n"/>
      <c r="Y422" s="228" t="n"/>
      <c r="Z422" s="228" t="n"/>
      <c r="AA422" s="228" t="n"/>
      <c r="AB422" s="228" t="n"/>
      <c r="AC422" s="228" t="n"/>
      <c r="AD422" s="228" t="n"/>
      <c r="AE422" s="228" t="n"/>
      <c r="AF422" s="228" t="n"/>
      <c r="AG422" s="228" t="n"/>
      <c r="AH422" s="228" t="n"/>
      <c r="AI422" s="228" t="n"/>
      <c r="AJ422" s="228" t="n"/>
      <c r="AK422" s="228" t="n"/>
      <c r="AL422" s="499" t="n"/>
      <c r="AM422" s="228" t="n"/>
      <c r="AN422" s="228" t="n"/>
      <c r="AO422" s="228" t="n"/>
      <c r="AP422" s="228" t="n"/>
      <c r="AQ422" s="228" t="n"/>
      <c r="AR422" s="228" t="n"/>
      <c r="AS422" s="228" t="n"/>
      <c r="AT422" s="228" t="n"/>
      <c r="AU422" s="228" t="n"/>
      <c r="AV422" s="228" t="n"/>
      <c r="AW422" s="228" t="n"/>
      <c r="AX422" s="228" t="n"/>
    </row>
    <row r="423" customFormat="1" s="9">
      <c r="A423" s="95" t="inlineStr">
        <is>
          <t>Valuation &amp; Consensus Table</t>
        </is>
      </c>
      <c r="B423" s="95" t="n"/>
      <c r="C423" s="95" t="n"/>
      <c r="D423" s="95" t="n"/>
      <c r="E423" s="95" t="n"/>
      <c r="F423" s="95"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c r="AA423" s="95" t="n"/>
      <c r="AB423" s="95" t="n"/>
      <c r="AC423" s="95" t="n"/>
      <c r="AD423" s="95" t="n"/>
      <c r="AE423" s="95" t="n"/>
      <c r="AF423" s="95" t="n"/>
      <c r="AG423" s="95" t="n"/>
      <c r="AH423" s="95" t="n"/>
      <c r="AI423" s="95" t="n"/>
      <c r="AJ423" s="95" t="n"/>
      <c r="AK423" s="95" t="n"/>
      <c r="AL423" s="500" t="n"/>
      <c r="AM423" s="95" t="n"/>
      <c r="AN423" s="95" t="n"/>
      <c r="AO423" s="95" t="n"/>
      <c r="AP423" s="95" t="n"/>
      <c r="AQ423" s="95" t="n"/>
      <c r="AR423" s="95" t="n"/>
      <c r="AS423" s="95" t="n"/>
      <c r="AT423" s="95" t="n"/>
      <c r="AU423" s="95" t="n"/>
      <c r="AV423" s="95" t="n"/>
      <c r="AW423" s="95" t="n"/>
      <c r="AX423" s="22" t="n"/>
    </row>
    <row r="424" customFormat="1" s="5">
      <c r="A424" s="501" t="n"/>
      <c r="B424" s="228" t="n"/>
      <c r="C424" s="502" t="n"/>
      <c r="D424" s="502" t="n"/>
      <c r="E424" s="228" t="n"/>
      <c r="F424" s="228" t="n"/>
      <c r="G424" s="228" t="n"/>
      <c r="H424" s="228" t="n"/>
      <c r="I424" s="228" t="n"/>
      <c r="J424" s="228" t="n"/>
      <c r="K424" s="228" t="n"/>
      <c r="L424" s="228" t="n"/>
      <c r="M424" s="228" t="n"/>
      <c r="N424" s="228" t="n"/>
      <c r="O424" s="228" t="n"/>
      <c r="P424" s="228" t="n"/>
      <c r="Q424" s="228" t="n"/>
      <c r="R424" s="228" t="n"/>
      <c r="S424" s="228" t="n"/>
      <c r="T424" s="228" t="n"/>
      <c r="U424" s="228" t="n"/>
      <c r="V424" s="228" t="n"/>
      <c r="W424" s="228" t="n"/>
      <c r="X424" s="228" t="n"/>
      <c r="Y424" s="228" t="n"/>
      <c r="Z424" s="228" t="n"/>
      <c r="AA424" s="228" t="n"/>
      <c r="AB424" s="228" t="n"/>
      <c r="AC424" s="228" t="n"/>
      <c r="AD424" s="228" t="n"/>
      <c r="AE424" s="228" t="n"/>
      <c r="AF424" s="228" t="n"/>
      <c r="AG424" s="228" t="n"/>
      <c r="AH424" s="228" t="n"/>
      <c r="AI424" s="228" t="n"/>
      <c r="AJ424" s="228" t="n"/>
      <c r="AK424" s="228" t="n"/>
      <c r="AL424" s="499" t="n"/>
      <c r="AM424" s="228" t="n"/>
      <c r="AN424" s="228" t="n"/>
      <c r="AO424" s="228" t="n"/>
      <c r="AP424" s="228" t="n"/>
      <c r="AQ424" s="228" t="n"/>
      <c r="AR424" s="228" t="n"/>
      <c r="AS424" s="228" t="n"/>
      <c r="AT424" s="228" t="n"/>
      <c r="AU424" s="228" t="n"/>
      <c r="AV424" s="228" t="n"/>
      <c r="AW424" s="228" t="n"/>
      <c r="AX424" s="228" t="n"/>
    </row>
    <row r="425" customFormat="1" s="44">
      <c r="A425" s="503" t="inlineStr">
        <is>
          <t>Ticker Symbol</t>
        </is>
      </c>
      <c r="B425" s="28" t="n"/>
      <c r="C425" s="504" t="n"/>
      <c r="D425" s="504"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c r="AA425" s="28" t="n"/>
      <c r="AB425" s="28" t="n"/>
      <c r="AC425" s="28" t="n"/>
      <c r="AD425" s="28" t="n"/>
      <c r="AE425" s="28" t="n"/>
      <c r="AF425" s="28" t="n"/>
      <c r="AG425" s="28" t="n"/>
      <c r="AH425" s="28" t="n"/>
      <c r="AI425" s="28" t="n"/>
      <c r="AJ425" s="28" t="n"/>
      <c r="AK425" s="28" t="n"/>
      <c r="AL425" s="505" t="n"/>
      <c r="AM425" s="28" t="n"/>
      <c r="AN425" s="28" t="n"/>
      <c r="AO425" s="28" t="n"/>
      <c r="AP425" s="28" t="n"/>
      <c r="AQ425" s="28" t="n"/>
      <c r="AR425" s="28" t="n"/>
      <c r="AS425" s="28" t="n"/>
      <c r="AT425" s="28" t="n"/>
      <c r="AU425" s="28" t="n"/>
      <c r="AV425" s="28" t="n"/>
      <c r="AW425" s="28" t="n"/>
      <c r="AX425" s="28" t="n"/>
    </row>
    <row r="426" customFormat="1" s="227">
      <c r="A426" s="1476" t="inlineStr">
        <is>
          <t>MLNX US</t>
        </is>
      </c>
      <c r="B426" s="27" t="n"/>
      <c r="C426" s="507" t="n"/>
      <c r="D426" s="50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c r="AA426" s="27" t="n"/>
      <c r="AB426" s="27" t="n"/>
      <c r="AC426" s="27" t="n"/>
      <c r="AD426" s="27" t="n"/>
      <c r="AE426" s="27" t="n"/>
      <c r="AF426" s="27" t="n"/>
      <c r="AG426" s="27" t="n"/>
      <c r="AH426" s="27" t="n"/>
      <c r="AI426" s="27" t="n"/>
      <c r="AJ426" s="27" t="n"/>
      <c r="AK426" s="27" t="n"/>
      <c r="AL426" s="508" t="n"/>
      <c r="AM426" s="27" t="n"/>
      <c r="AN426" s="27" t="n"/>
      <c r="AO426" s="27" t="n"/>
      <c r="AP426" s="27" t="n"/>
      <c r="AQ426" s="27" t="n"/>
      <c r="AR426" s="27" t="n"/>
      <c r="AS426" s="27" t="n"/>
      <c r="AT426" s="27" t="n"/>
      <c r="AU426" s="27" t="n"/>
      <c r="AV426" s="27" t="n"/>
      <c r="AW426" s="27" t="n"/>
      <c r="AX426" s="27" t="n"/>
    </row>
    <row r="427" customFormat="1" s="227">
      <c r="A427" s="1477" t="inlineStr">
        <is>
          <t>NASDAQ:MLNX</t>
        </is>
      </c>
      <c r="B427" s="27" t="n"/>
      <c r="C427" s="507" t="n"/>
      <c r="D427" s="50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c r="AA427" s="27" t="n"/>
      <c r="AB427" s="27" t="n"/>
      <c r="AC427" s="27" t="n"/>
      <c r="AD427" s="27" t="n"/>
      <c r="AE427" s="27" t="n"/>
      <c r="AF427" s="27" t="n"/>
      <c r="AG427" s="27" t="n"/>
      <c r="AH427" s="27" t="n"/>
      <c r="AI427" s="27" t="n"/>
      <c r="AJ427" s="27" t="n"/>
      <c r="AK427" s="27" t="n"/>
      <c r="AL427" s="508" t="n"/>
      <c r="AM427" s="27" t="n"/>
      <c r="AN427" s="27" t="n"/>
      <c r="AO427" s="27" t="n"/>
      <c r="AP427" s="27" t="n"/>
      <c r="AQ427" s="27" t="n"/>
      <c r="AR427" s="27" t="n"/>
      <c r="AS427" s="27" t="n"/>
      <c r="AT427" s="27" t="n"/>
      <c r="AU427" s="27" t="n"/>
      <c r="AV427" s="27" t="n"/>
      <c r="AW427" s="27" t="n"/>
      <c r="AX427" s="27" t="n"/>
    </row>
    <row r="428" customFormat="1" s="227">
      <c r="A428" s="1478" t="inlineStr">
        <is>
          <t>MLNX-US</t>
        </is>
      </c>
      <c r="B428" s="27" t="n"/>
      <c r="C428" s="507" t="n"/>
      <c r="D428" s="50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c r="AA428" s="27" t="n"/>
      <c r="AB428" s="27" t="n"/>
      <c r="AC428" s="27" t="n"/>
      <c r="AD428" s="27" t="n"/>
      <c r="AE428" s="27" t="n"/>
      <c r="AF428" s="27" t="n"/>
      <c r="AG428" s="27" t="n"/>
      <c r="AH428" s="27" t="n"/>
      <c r="AI428" s="27" t="n"/>
      <c r="AJ428" s="27" t="n"/>
      <c r="AK428" s="27" t="n"/>
      <c r="AL428" s="508" t="n"/>
      <c r="AM428" s="27" t="n"/>
      <c r="AN428" s="27" t="n"/>
      <c r="AO428" s="27" t="n"/>
      <c r="AP428" s="27" t="n"/>
      <c r="AQ428" s="27" t="n"/>
      <c r="AR428" s="27" t="n"/>
      <c r="AS428" s="27" t="n"/>
      <c r="AT428" s="27" t="n"/>
      <c r="AU428" s="27" t="n"/>
      <c r="AV428" s="27" t="n"/>
      <c r="AW428" s="27" t="n"/>
      <c r="AX428" s="27" t="n"/>
    </row>
    <row r="429" customFormat="1" s="227">
      <c r="A429" s="1479" t="inlineStr">
        <is>
          <t>MLNX.OQ</t>
        </is>
      </c>
      <c r="B429" s="27" t="n"/>
      <c r="C429" s="507" t="n"/>
      <c r="D429" s="50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c r="AA429" s="27" t="n"/>
      <c r="AB429" s="27" t="n"/>
      <c r="AC429" s="27" t="n"/>
      <c r="AD429" s="27" t="n"/>
      <c r="AE429" s="27" t="n"/>
      <c r="AF429" s="27" t="n"/>
      <c r="AG429" s="27" t="n"/>
      <c r="AH429" s="27" t="n"/>
      <c r="AI429" s="27" t="n"/>
      <c r="AJ429" s="27" t="n"/>
      <c r="AK429" s="27" t="n"/>
      <c r="AL429" s="508" t="n"/>
      <c r="AM429" s="27" t="n"/>
      <c r="AN429" s="27" t="n"/>
      <c r="AO429" s="27" t="n"/>
      <c r="AP429" s="27" t="n"/>
      <c r="AQ429" s="27" t="n"/>
      <c r="AR429" s="27" t="n"/>
      <c r="AS429" s="27" t="n"/>
      <c r="AT429" s="27" t="n"/>
      <c r="AU429" s="27" t="n"/>
      <c r="AV429" s="27" t="n"/>
      <c r="AW429" s="27" t="n"/>
      <c r="AX429" s="27" t="n"/>
    </row>
    <row r="430" customFormat="1" s="227">
      <c r="A430" s="501" t="n"/>
      <c r="B430" s="27" t="n"/>
      <c r="C430" s="507" t="n"/>
      <c r="D430" s="50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c r="AA430" s="27" t="n"/>
      <c r="AB430" s="27" t="n"/>
      <c r="AC430" s="27" t="n"/>
      <c r="AD430" s="27" t="n"/>
      <c r="AE430" s="27" t="n"/>
      <c r="AF430" s="27" t="n"/>
      <c r="AG430" s="27" t="n"/>
      <c r="AH430" s="27" t="n"/>
      <c r="AI430" s="27" t="n"/>
      <c r="AJ430" s="27" t="n"/>
      <c r="AK430" s="27" t="n"/>
      <c r="AL430" s="508" t="n"/>
      <c r="AM430" s="27" t="n"/>
      <c r="AN430" s="27" t="n"/>
      <c r="AO430" s="27" t="n"/>
      <c r="AP430" s="27" t="n"/>
      <c r="AQ430" s="27" t="n"/>
      <c r="AR430" s="27" t="n"/>
      <c r="AS430" s="27" t="n"/>
      <c r="AT430" s="27" t="n"/>
      <c r="AU430" s="27" t="n"/>
      <c r="AV430" s="27" t="n"/>
      <c r="AW430" s="27" t="n"/>
      <c r="AX430" s="27" t="n"/>
    </row>
    <row r="431" customFormat="1" s="32">
      <c r="A431" s="512" t="inlineStr">
        <is>
          <t>Valuation Toggle Table</t>
        </is>
      </c>
      <c r="B431" s="324" t="n"/>
      <c r="C431" s="237" t="n"/>
      <c r="D431" s="237" t="n"/>
      <c r="E431" s="237" t="n"/>
      <c r="F431" s="237" t="n"/>
      <c r="G431" s="237" t="n"/>
      <c r="H431" s="237" t="n"/>
      <c r="I431" s="237" t="n"/>
      <c r="J431" s="237" t="n"/>
      <c r="K431" s="237" t="n"/>
      <c r="L431" s="237" t="n"/>
      <c r="M431" s="237" t="n"/>
      <c r="N431" s="237" t="n"/>
      <c r="O431" s="237" t="n"/>
      <c r="P431" s="237" t="n"/>
      <c r="Q431" s="237" t="n"/>
      <c r="R431" s="237" t="n"/>
      <c r="S431" s="237" t="n"/>
      <c r="T431" s="237" t="n"/>
      <c r="U431" s="237" t="n"/>
      <c r="V431" s="237" t="n"/>
      <c r="W431" s="237" t="n"/>
      <c r="X431" s="237" t="n"/>
      <c r="Y431" s="237" t="n"/>
      <c r="Z431" s="237" t="n"/>
      <c r="AA431" s="237" t="n"/>
      <c r="AB431" s="237" t="n"/>
      <c r="AC431" s="237" t="n"/>
      <c r="AD431" s="237" t="n"/>
      <c r="AE431" s="237" t="n"/>
      <c r="AF431" s="237" t="n"/>
      <c r="AG431" s="237" t="n"/>
      <c r="AH431" s="237" t="n"/>
      <c r="AI431" s="237" t="n"/>
      <c r="AJ431" s="237" t="n"/>
      <c r="AK431" s="237" t="n"/>
      <c r="AL431" s="513" t="n"/>
      <c r="AM431" s="237" t="n"/>
      <c r="AN431" s="237" t="n"/>
      <c r="AO431" s="237" t="n"/>
      <c r="AP431" s="237" t="n"/>
      <c r="AQ431" s="237" t="n"/>
      <c r="AR431" s="237" t="n"/>
      <c r="AS431" s="237" t="n"/>
      <c r="AT431" s="237" t="n"/>
      <c r="AU431" s="237" t="n"/>
      <c r="AV431" s="237" t="n"/>
      <c r="AW431" s="237" t="n"/>
      <c r="AX431" s="237" t="n"/>
    </row>
    <row r="432" customFormat="1" s="227">
      <c r="A432" s="514" t="inlineStr">
        <is>
          <t>High</t>
        </is>
      </c>
      <c r="B432" s="515" t="n">
        <v>1</v>
      </c>
      <c r="C432" s="27" t="n"/>
      <c r="D432" s="50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c r="AA432" s="27" t="n"/>
      <c r="AB432" s="27" t="n"/>
      <c r="AC432" s="27" t="n"/>
      <c r="AD432" s="27" t="n"/>
      <c r="AE432" s="27" t="n"/>
      <c r="AF432" s="27" t="n"/>
      <c r="AG432" s="27" t="n"/>
      <c r="AH432" s="27" t="n"/>
      <c r="AI432" s="27" t="n"/>
      <c r="AJ432" s="27" t="n"/>
      <c r="AK432" s="27" t="n"/>
      <c r="AL432" s="508" t="n"/>
      <c r="AM432" s="27" t="n"/>
      <c r="AN432" s="27" t="n"/>
      <c r="AO432" s="27" t="n"/>
      <c r="AP432" s="27" t="n"/>
      <c r="AQ432" s="27" t="n"/>
      <c r="AR432" s="27" t="n"/>
      <c r="AS432" s="27" t="n"/>
      <c r="AT432" s="27" t="n"/>
      <c r="AU432" s="27" t="n"/>
      <c r="AV432" s="27" t="n"/>
      <c r="AW432" s="27" t="n"/>
      <c r="AX432" s="27" t="n"/>
    </row>
    <row r="433" customFormat="1" s="227">
      <c r="A433" s="514" t="inlineStr">
        <is>
          <t>Low</t>
        </is>
      </c>
      <c r="B433" s="515" t="n">
        <v>2</v>
      </c>
      <c r="C433" s="27" t="n"/>
      <c r="D433" s="50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c r="AA433" s="27" t="n"/>
      <c r="AB433" s="27" t="n"/>
      <c r="AC433" s="27" t="n"/>
      <c r="AD433" s="27" t="n"/>
      <c r="AE433" s="27" t="n"/>
      <c r="AF433" s="27" t="n"/>
      <c r="AG433" s="27" t="n"/>
      <c r="AH433" s="27" t="n"/>
      <c r="AI433" s="27" t="n"/>
      <c r="AJ433" s="27" t="n"/>
      <c r="AK433" s="27" t="n"/>
      <c r="AL433" s="508" t="n"/>
      <c r="AM433" s="27" t="n"/>
      <c r="AN433" s="27" t="n"/>
      <c r="AO433" s="27" t="n"/>
      <c r="AP433" s="27" t="n"/>
      <c r="AQ433" s="27" t="n"/>
      <c r="AR433" s="27" t="n"/>
      <c r="AS433" s="27" t="n"/>
      <c r="AT433" s="27" t="n"/>
      <c r="AU433" s="27" t="n"/>
      <c r="AV433" s="27" t="n"/>
      <c r="AW433" s="27" t="n"/>
      <c r="AX433" s="27" t="n"/>
    </row>
    <row r="434" customFormat="1" s="227">
      <c r="A434" s="516" t="inlineStr">
        <is>
          <t>Avg</t>
        </is>
      </c>
      <c r="B434" s="517" t="n">
        <v>3</v>
      </c>
      <c r="C434" s="27" t="n"/>
      <c r="D434" s="50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c r="AA434" s="27" t="n"/>
      <c r="AB434" s="27" t="n"/>
      <c r="AC434" s="27" t="n"/>
      <c r="AD434" s="27" t="n"/>
      <c r="AE434" s="27" t="n"/>
      <c r="AF434" s="27" t="n"/>
      <c r="AG434" s="27" t="n"/>
      <c r="AH434" s="27" t="n"/>
      <c r="AI434" s="27" t="n"/>
      <c r="AJ434" s="27" t="n"/>
      <c r="AK434" s="27" t="n"/>
      <c r="AL434" s="508" t="n"/>
      <c r="AM434" s="27" t="n"/>
      <c r="AN434" s="27" t="n"/>
      <c r="AO434" s="27" t="n"/>
      <c r="AP434" s="27" t="n"/>
      <c r="AQ434" s="27" t="n"/>
      <c r="AR434" s="27" t="n"/>
      <c r="AS434" s="27" t="n"/>
      <c r="AT434" s="27" t="n"/>
      <c r="AU434" s="27" t="n"/>
      <c r="AV434" s="27" t="n"/>
      <c r="AW434" s="27" t="n"/>
      <c r="AX434" s="27" t="n"/>
    </row>
    <row r="435" customFormat="1" s="227">
      <c r="A435" s="501" t="n"/>
      <c r="B435" s="27" t="n"/>
      <c r="C435" s="507" t="n"/>
      <c r="D435" s="50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c r="AA435" s="27" t="n"/>
      <c r="AB435" s="27" t="n"/>
      <c r="AC435" s="27" t="n"/>
      <c r="AD435" s="27" t="n"/>
      <c r="AE435" s="27" t="n"/>
      <c r="AF435" s="27" t="n"/>
      <c r="AG435" s="27" t="n"/>
      <c r="AH435" s="27" t="n"/>
      <c r="AI435" s="27" t="n"/>
      <c r="AJ435" s="27" t="n"/>
      <c r="AK435" s="27" t="n"/>
      <c r="AL435" s="508" t="n"/>
      <c r="AM435" s="27" t="n"/>
      <c r="AN435" s="27" t="n"/>
      <c r="AO435" s="27" t="n"/>
      <c r="AP435" s="27" t="n"/>
      <c r="AQ435" s="27" t="n"/>
      <c r="AR435" s="27" t="n"/>
      <c r="AS435" s="27" t="n"/>
      <c r="AT435" s="27" t="n"/>
      <c r="AU435" s="27" t="n"/>
      <c r="AV435" s="27" t="n"/>
      <c r="AW435" s="27" t="n"/>
      <c r="AX435" s="27" t="n"/>
    </row>
    <row r="436" customFormat="1" s="9">
      <c r="A436" s="164" t="inlineStr">
        <is>
          <t>Consensus Estimate Table</t>
        </is>
      </c>
      <c r="B436" s="157" t="n"/>
      <c r="C436" s="157" t="n"/>
      <c r="D436" s="157" t="n"/>
      <c r="E436" s="157" t="n"/>
      <c r="F436" s="157" t="n"/>
      <c r="G436" s="157" t="n"/>
      <c r="H436" s="157" t="n"/>
      <c r="I436" s="157" t="n"/>
      <c r="J436" s="157" t="n"/>
      <c r="K436" s="157" t="n"/>
      <c r="L436" s="157" t="n"/>
      <c r="M436" s="157" t="n"/>
      <c r="N436" s="157" t="n"/>
      <c r="O436" s="157" t="n"/>
      <c r="P436" s="157" t="n"/>
      <c r="Q436" s="157" t="n"/>
      <c r="R436" s="157" t="n"/>
      <c r="S436" s="157" t="n"/>
      <c r="T436" s="157" t="n"/>
      <c r="U436" s="157" t="n"/>
      <c r="V436" s="157" t="n"/>
      <c r="W436" s="157" t="n"/>
      <c r="X436" s="157" t="n"/>
      <c r="Y436" s="157" t="n"/>
      <c r="Z436" s="157" t="n"/>
      <c r="AA436" s="157" t="n"/>
      <c r="AB436" s="157" t="n"/>
      <c r="AC436" s="157" t="n"/>
      <c r="AD436" s="157" t="n"/>
      <c r="AE436" s="157" t="n"/>
      <c r="AF436" s="157" t="n"/>
      <c r="AG436" s="157" t="n"/>
      <c r="AH436" s="157" t="n"/>
      <c r="AI436" s="157" t="n"/>
      <c r="AJ436" s="157" t="n"/>
      <c r="AK436" s="157" t="n"/>
      <c r="AL436" s="157" t="n"/>
      <c r="AM436" s="157">
        <f>AM5</f>
        <v/>
      </c>
      <c r="AN436" s="157">
        <f>AN5</f>
        <v/>
      </c>
      <c r="AO436" s="157">
        <f>AO5</f>
        <v/>
      </c>
      <c r="AP436" s="157">
        <f>AP5</f>
        <v/>
      </c>
      <c r="AQ436" s="157">
        <f>AQ5</f>
        <v/>
      </c>
      <c r="AR436" s="157">
        <f>AR5</f>
        <v/>
      </c>
      <c r="AS436" s="157">
        <f>AS5</f>
        <v/>
      </c>
      <c r="AT436" s="157">
        <f>AT5</f>
        <v/>
      </c>
      <c r="AU436" s="157">
        <f>AU5</f>
        <v/>
      </c>
      <c r="AV436" s="157">
        <f>AV5</f>
        <v/>
      </c>
      <c r="AW436" s="159">
        <f>AW5</f>
        <v/>
      </c>
      <c r="AX436" s="22" t="n"/>
    </row>
    <row r="437" customFormat="1" s="9">
      <c r="A437" s="165" t="inlineStr">
        <is>
          <t>FY or FQ</t>
        </is>
      </c>
      <c r="B437" s="378" t="n"/>
      <c r="C437" s="378" t="n"/>
      <c r="D437" s="378" t="n"/>
      <c r="E437" s="378" t="n"/>
      <c r="F437" s="378" t="n"/>
      <c r="G437" s="378" t="n"/>
      <c r="H437" s="378" t="n"/>
      <c r="I437" s="378" t="n"/>
      <c r="J437" s="378" t="n"/>
      <c r="K437" s="378" t="n"/>
      <c r="L437" s="378" t="n"/>
      <c r="M437" s="378" t="n"/>
      <c r="N437" s="378" t="n"/>
      <c r="O437" s="378" t="n"/>
      <c r="P437" s="378" t="n"/>
      <c r="Q437" s="378" t="n"/>
      <c r="R437" s="378" t="n"/>
      <c r="S437" s="378" t="n"/>
      <c r="T437" s="378" t="n"/>
      <c r="U437" s="378" t="n"/>
      <c r="V437" s="378" t="n"/>
      <c r="W437" s="378" t="n"/>
      <c r="X437" s="378" t="n"/>
      <c r="Y437" s="378" t="n"/>
      <c r="Z437" s="378" t="n"/>
      <c r="AA437" s="378" t="n"/>
      <c r="AB437" s="378" t="n"/>
      <c r="AC437" s="378" t="n"/>
      <c r="AD437" s="378" t="n"/>
      <c r="AE437" s="378" t="n"/>
      <c r="AF437" s="378" t="n"/>
      <c r="AG437" s="378" t="n"/>
      <c r="AH437" s="378" t="n"/>
      <c r="AI437" s="378" t="n"/>
      <c r="AJ437" s="378" t="n"/>
      <c r="AK437" s="378" t="n"/>
      <c r="AL437" s="378" t="n"/>
      <c r="AM437" s="378">
        <f>IF(MO.DataSourceIndex=3,IF(LEFT(AM436,2)="FY","ANNUAL",IF(LEFT(AM436,1)="Q","QUARTERLY","")),IF(LEFT(AM436,2)="FY","FY",IF(LEFT(AM436,1)="Q","FQ","")))</f>
        <v/>
      </c>
      <c r="AN437" s="378">
        <f>IF(MO.DataSourceIndex=3,IF(LEFT(AN436,2)="FY","ANNUAL",IF(LEFT(AN436,1)="Q","QUARTERLY","")),IF(LEFT(AN436,2)="FY","FY",IF(LEFT(AN436,1)="Q","FQ","")))</f>
        <v/>
      </c>
      <c r="AO437" s="378">
        <f>IF(MO.DataSourceIndex=3,IF(LEFT(AO436,2)="FY","ANNUAL",IF(LEFT(AO436,1)="Q","QUARTERLY","")),IF(LEFT(AO436,2)="FY","FY",IF(LEFT(AO436,1)="Q","FQ","")))</f>
        <v/>
      </c>
      <c r="AP437" s="378">
        <f>IF(MO.DataSourceIndex=3,IF(LEFT(AP436,2)="FY","ANNUAL",IF(LEFT(AP436,1)="Q","QUARTERLY","")),IF(LEFT(AP436,2)="FY","FY",IF(LEFT(AP436,1)="Q","FQ","")))</f>
        <v/>
      </c>
      <c r="AQ437" s="378">
        <f>IF(MO.DataSourceIndex=3,IF(LEFT(AQ436,2)="FY","ANNUAL",IF(LEFT(AQ436,1)="Q","QUARTERLY","")),IF(LEFT(AQ436,2)="FY","FY",IF(LEFT(AQ436,1)="Q","FQ","")))</f>
        <v/>
      </c>
      <c r="AR437" s="378">
        <f>IF(MO.DataSourceIndex=3,IF(LEFT(AR436,2)="FY","ANNUAL",IF(LEFT(AR436,1)="Q","QUARTERLY","")),IF(LEFT(AR436,2)="FY","FY",IF(LEFT(AR436,1)="Q","FQ","")))</f>
        <v/>
      </c>
      <c r="AS437" s="378">
        <f>IF(MO.DataSourceIndex=3,IF(LEFT(AS436,2)="FY","ANNUAL",IF(LEFT(AS436,1)="Q","QUARTERLY","")),IF(LEFT(AS436,2)="FY","FY",IF(LEFT(AS436,1)="Q","FQ","")))</f>
        <v/>
      </c>
      <c r="AT437" s="378">
        <f>IF(MO.DataSourceIndex=3,IF(LEFT(AT436,2)="FY","ANNUAL",IF(LEFT(AT436,1)="Q","QUARTERLY","")),IF(LEFT(AT436,2)="FY","FY",IF(LEFT(AT436,1)="Q","FQ","")))</f>
        <v/>
      </c>
      <c r="AU437" s="378">
        <f>IF(MO.DataSourceIndex=3,IF(LEFT(AU436,2)="FY","ANNUAL",IF(LEFT(AU436,1)="Q","QUARTERLY","")),IF(LEFT(AU436,2)="FY","FY",IF(LEFT(AU436,1)="Q","FQ","")))</f>
        <v/>
      </c>
      <c r="AV437" s="378">
        <f>IF(MO.DataSourceIndex=3,IF(LEFT(AV436,2)="FY","ANNUAL",IF(LEFT(AV436,1)="Q","QUARTERLY","")),IF(LEFT(AV436,2)="FY","FY",IF(LEFT(AV436,1)="Q","FQ","")))</f>
        <v/>
      </c>
      <c r="AW437" s="160">
        <f>IF(MO.DataSourceIndex=3,IF(LEFT(AW436,2)="FY","ANNUAL",IF(LEFT(AW436,1)="Q","QUARTERLY","")),IF(LEFT(AW436,2)="FY","FY",IF(LEFT(AW436,1)="Q","FQ","")))</f>
        <v/>
      </c>
      <c r="AX437" s="22" t="n"/>
    </row>
    <row r="438" customFormat="1" s="9">
      <c r="A438" s="165" t="inlineStr">
        <is>
          <t>Period</t>
        </is>
      </c>
      <c r="B438" s="378" t="n"/>
      <c r="C438" s="378" t="n"/>
      <c r="D438" s="378" t="n"/>
      <c r="E438" s="378" t="n"/>
      <c r="F438" s="378" t="n"/>
      <c r="G438" s="378" t="n"/>
      <c r="H438" s="378" t="n"/>
      <c r="I438" s="378" t="n"/>
      <c r="J438" s="378" t="n"/>
      <c r="K438" s="378" t="n"/>
      <c r="L438" s="378" t="n"/>
      <c r="M438" s="378" t="n"/>
      <c r="N438" s="378" t="n"/>
      <c r="O438" s="378" t="n"/>
      <c r="P438" s="378" t="n"/>
      <c r="Q438" s="378" t="n"/>
      <c r="R438" s="378" t="n"/>
      <c r="S438" s="378" t="n"/>
      <c r="T438" s="378" t="n"/>
      <c r="U438" s="378" t="n"/>
      <c r="V438" s="378" t="n"/>
      <c r="W438" s="378" t="n"/>
      <c r="X438" s="378" t="n"/>
      <c r="Y438" s="378" t="n"/>
      <c r="Z438" s="378" t="n"/>
      <c r="AA438" s="378" t="n"/>
      <c r="AB438" s="378" t="n"/>
      <c r="AC438" s="378" t="n"/>
      <c r="AD438" s="378" t="n"/>
      <c r="AE438" s="378" t="n"/>
      <c r="AF438" s="378" t="n"/>
      <c r="AG438" s="378" t="n"/>
      <c r="AH438" s="378" t="n"/>
      <c r="AI438" s="378" t="n"/>
      <c r="AJ438" s="378" t="n"/>
      <c r="AK438" s="378" t="n"/>
      <c r="AL438" s="378" t="n"/>
      <c r="AM438" s="378">
        <f>IF(MO.DataSourceIndex=3,IF(AM437="ANNUAL",COUNTIF(OFFSET($A$437,,,,COLUMN()),"ANNUAL"),IF(AM437="QUARTERLY",COUNTIF(OFFSET($A$437,,,,COLUMN()),"QUARTERLY"),"")),IF(AM437="FY",COUNTIF(OFFSET($A$437,,,,COLUMN()),"FY"),IF(AM437="FQ",COUNTIF(OFFSET($A$437,,,,COLUMN()),"FQ"),"")))</f>
        <v/>
      </c>
      <c r="AN438" s="378">
        <f>IF(MO.DataSourceIndex=3,IF(AN437="ANNUAL",COUNTIF(OFFSET($A$437,,,,COLUMN()),"ANNUAL"),IF(AN437="QUARTERLY",COUNTIF(OFFSET($A$437,,,,COLUMN()),"QUARTERLY"),"")),IF(AN437="FY",COUNTIF(OFFSET($A$437,,,,COLUMN()),"FY"),IF(AN437="FQ",COUNTIF(OFFSET($A$437,,,,COLUMN()),"FQ"),"")))</f>
        <v/>
      </c>
      <c r="AO438" s="378">
        <f>IF(MO.DataSourceIndex=3,IF(AO437="ANNUAL",COUNTIF(OFFSET($A$437,,,,COLUMN()),"ANNUAL"),IF(AO437="QUARTERLY",COUNTIF(OFFSET($A$437,,,,COLUMN()),"QUARTERLY"),"")),IF(AO437="FY",COUNTIF(OFFSET($A$437,,,,COLUMN()),"FY"),IF(AO437="FQ",COUNTIF(OFFSET($A$437,,,,COLUMN()),"FQ"),"")))</f>
        <v/>
      </c>
      <c r="AP438" s="378">
        <f>IF(MO.DataSourceIndex=3,IF(AP437="ANNUAL",COUNTIF(OFFSET($A$437,,,,COLUMN()),"ANNUAL"),IF(AP437="QUARTERLY",COUNTIF(OFFSET($A$437,,,,COLUMN()),"QUARTERLY"),"")),IF(AP437="FY",COUNTIF(OFFSET($A$437,,,,COLUMN()),"FY"),IF(AP437="FQ",COUNTIF(OFFSET($A$437,,,,COLUMN()),"FQ"),"")))</f>
        <v/>
      </c>
      <c r="AQ438" s="378">
        <f>IF(MO.DataSourceIndex=3,IF(AQ437="ANNUAL",COUNTIF(OFFSET($A$437,,,,COLUMN()),"ANNUAL"),IF(AQ437="QUARTERLY",COUNTIF(OFFSET($A$437,,,,COLUMN()),"QUARTERLY"),"")),IF(AQ437="FY",COUNTIF(OFFSET($A$437,,,,COLUMN()),"FY"),IF(AQ437="FQ",COUNTIF(OFFSET($A$437,,,,COLUMN()),"FQ"),"")))</f>
        <v/>
      </c>
      <c r="AR438" s="378">
        <f>IF(MO.DataSourceIndex=3,IF(AR437="ANNUAL",COUNTIF(OFFSET($A$437,,,,COLUMN()),"ANNUAL"),IF(AR437="QUARTERLY",COUNTIF(OFFSET($A$437,,,,COLUMN()),"QUARTERLY"),"")),IF(AR437="FY",COUNTIF(OFFSET($A$437,,,,COLUMN()),"FY"),IF(AR437="FQ",COUNTIF(OFFSET($A$437,,,,COLUMN()),"FQ"),"")))</f>
        <v/>
      </c>
      <c r="AS438" s="378">
        <f>IF(MO.DataSourceIndex=3,IF(AS437="ANNUAL",COUNTIF(OFFSET($A$437,,,,COLUMN()),"ANNUAL"),IF(AS437="QUARTERLY",COUNTIF(OFFSET($A$437,,,,COLUMN()),"QUARTERLY"),"")),IF(AS437="FY",COUNTIF(OFFSET($A$437,,,,COLUMN()),"FY"),IF(AS437="FQ",COUNTIF(OFFSET($A$437,,,,COLUMN()),"FQ"),"")))</f>
        <v/>
      </c>
      <c r="AT438" s="378">
        <f>IF(MO.DataSourceIndex=3,IF(AT437="ANNUAL",COUNTIF(OFFSET($A$437,,,,COLUMN()),"ANNUAL"),IF(AT437="QUARTERLY",COUNTIF(OFFSET($A$437,,,,COLUMN()),"QUARTERLY"),"")),IF(AT437="FY",COUNTIF(OFFSET($A$437,,,,COLUMN()),"FY"),IF(AT437="FQ",COUNTIF(OFFSET($A$437,,,,COLUMN()),"FQ"),"")))</f>
        <v/>
      </c>
      <c r="AU438" s="378">
        <f>IF(MO.DataSourceIndex=3,IF(AU437="ANNUAL",COUNTIF(OFFSET($A$437,,,,COLUMN()),"ANNUAL"),IF(AU437="QUARTERLY",COUNTIF(OFFSET($A$437,,,,COLUMN()),"QUARTERLY"),"")),IF(AU437="FY",COUNTIF(OFFSET($A$437,,,,COLUMN()),"FY"),IF(AU437="FQ",COUNTIF(OFFSET($A$437,,,,COLUMN()),"FQ"),"")))</f>
        <v/>
      </c>
      <c r="AV438" s="378">
        <f>IF(MO.DataSourceIndex=3,IF(AV437="ANNUAL",COUNTIF(OFFSET($A$437,,,,COLUMN()),"ANNUAL"),IF(AV437="QUARTERLY",COUNTIF(OFFSET($A$437,,,,COLUMN()),"QUARTERLY"),"")),IF(AV437="FY",COUNTIF(OFFSET($A$437,,,,COLUMN()),"FY"),IF(AV437="FQ",COUNTIF(OFFSET($A$437,,,,COLUMN()),"FQ"),"")))</f>
        <v/>
      </c>
      <c r="AW438" s="160">
        <f>IF(MO.DataSourceIndex=3,IF(AW437="ANNUAL",COUNTIF(OFFSET($A$437,,,,COLUMN()),"ANNUAL"),IF(AW437="QUARTERLY",COUNTIF(OFFSET($A$437,,,,COLUMN()),"QUARTERLY"),"")),IF(AW437="FY",COUNTIF(OFFSET($A$437,,,,COLUMN()),"FY"),IF(AW437="FQ",COUNTIF(OFFSET($A$437,,,,COLUMN()),"FQ"),"")))</f>
        <v/>
      </c>
      <c r="AX438" s="22" t="n"/>
    </row>
    <row r="439" customFormat="1" s="5">
      <c r="A439" s="514">
        <f>$A$43</f>
        <v/>
      </c>
      <c r="B439" s="93" t="n"/>
      <c r="C439" s="518" t="n"/>
      <c r="D439" s="518" t="n"/>
      <c r="E439" s="518" t="n"/>
      <c r="F439" s="518" t="n"/>
      <c r="G439" s="518" t="n"/>
      <c r="H439" s="315" t="n"/>
      <c r="I439" s="315" t="n"/>
      <c r="J439" s="315" t="n"/>
      <c r="K439" s="315" t="n"/>
      <c r="L439" s="315" t="n"/>
      <c r="M439" s="315" t="n"/>
      <c r="N439" s="315" t="n"/>
      <c r="O439" s="315" t="n"/>
      <c r="P439" s="93" t="n"/>
      <c r="Q439" s="93" t="n"/>
      <c r="R439" s="93" t="n"/>
      <c r="S439" s="93" t="n"/>
      <c r="T439" s="93" t="n"/>
      <c r="U439" s="93" t="n"/>
      <c r="V439" s="93" t="n"/>
      <c r="W439" s="93" t="n"/>
      <c r="X439" s="93" t="n"/>
      <c r="Y439" s="93" t="n"/>
      <c r="Z439" s="93" t="n"/>
      <c r="AA439" s="93" t="n"/>
      <c r="AB439" s="93" t="n"/>
      <c r="AC439" s="93" t="n"/>
      <c r="AD439" s="93" t="n"/>
      <c r="AE439" s="93" t="n"/>
      <c r="AF439" s="93" t="n"/>
      <c r="AG439" s="93" t="n"/>
      <c r="AH439" s="93" t="n"/>
      <c r="AI439" s="93" t="n"/>
      <c r="AJ439" s="93" t="n"/>
      <c r="AK439" s="93" t="n"/>
      <c r="AL439" s="93" t="n"/>
      <c r="AM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N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O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P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Q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R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S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T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U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V439" s="315">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W439" s="161">
        <f>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
      </c>
      <c r="AX439" s="228" t="n"/>
    </row>
    <row r="440" customFormat="1" s="5">
      <c r="A440" s="514">
        <f>$A$134</f>
        <v/>
      </c>
      <c r="B440" s="93" t="n"/>
      <c r="C440" s="519" t="n"/>
      <c r="D440" s="519" t="n"/>
      <c r="E440" s="519" t="n"/>
      <c r="F440" s="519" t="n"/>
      <c r="G440" s="519" t="n"/>
      <c r="H440" s="93" t="n"/>
      <c r="I440" s="93" t="n"/>
      <c r="J440" s="93" t="n"/>
      <c r="K440" s="93" t="n"/>
      <c r="L440" s="93" t="n"/>
      <c r="M440" s="93" t="n"/>
      <c r="N440" s="93" t="n"/>
      <c r="O440" s="93" t="n"/>
      <c r="P440" s="93" t="n"/>
      <c r="Q440" s="93" t="n"/>
      <c r="R440" s="93" t="n"/>
      <c r="S440" s="93" t="n"/>
      <c r="T440" s="93" t="n"/>
      <c r="U440" s="93" t="n"/>
      <c r="V440" s="93" t="n"/>
      <c r="W440" s="93" t="n"/>
      <c r="X440" s="93" t="n"/>
      <c r="Y440" s="93" t="n"/>
      <c r="Z440" s="93" t="n"/>
      <c r="AA440" s="93" t="n"/>
      <c r="AB440" s="93" t="n"/>
      <c r="AC440" s="93" t="n"/>
      <c r="AD440" s="93" t="n"/>
      <c r="AE440" s="93" t="n"/>
      <c r="AF440" s="93" t="n"/>
      <c r="AG440" s="93" t="n"/>
      <c r="AH440" s="93" t="n"/>
      <c r="AI440" s="93" t="n"/>
      <c r="AJ440" s="93" t="n"/>
      <c r="AK440" s="93" t="n"/>
      <c r="AL440" s="93" t="n"/>
      <c r="AM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N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O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P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Q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R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S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T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U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V440" s="93">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W440" s="162">
        <f>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
      </c>
      <c r="AX440" s="228" t="n"/>
    </row>
    <row r="441" customFormat="1" s="5">
      <c r="A441" s="514">
        <f>A161</f>
        <v/>
      </c>
      <c r="B441" s="93" t="n"/>
      <c r="C441" s="519" t="n"/>
      <c r="D441" s="519" t="n"/>
      <c r="E441" s="519" t="n"/>
      <c r="F441" s="519" t="n"/>
      <c r="G441" s="519" t="n"/>
      <c r="H441" s="93" t="n"/>
      <c r="I441" s="93" t="n"/>
      <c r="J441" s="93" t="n"/>
      <c r="K441" s="93" t="n"/>
      <c r="L441" s="93" t="n"/>
      <c r="M441" s="93" t="n"/>
      <c r="N441" s="93" t="n"/>
      <c r="O441" s="93" t="n"/>
      <c r="P441" s="93" t="n"/>
      <c r="Q441" s="93" t="n"/>
      <c r="R441" s="93" t="n"/>
      <c r="S441" s="93" t="n"/>
      <c r="T441" s="93" t="n"/>
      <c r="U441" s="93" t="n"/>
      <c r="V441" s="93" t="n"/>
      <c r="W441" s="93" t="n"/>
      <c r="X441" s="93" t="n"/>
      <c r="Y441" s="93" t="n"/>
      <c r="Z441" s="93" t="n"/>
      <c r="AA441" s="93" t="n"/>
      <c r="AB441" s="93" t="n"/>
      <c r="AC441" s="93" t="n"/>
      <c r="AD441" s="93" t="n"/>
      <c r="AE441" s="93" t="n"/>
      <c r="AF441" s="93" t="n"/>
      <c r="AG441" s="93" t="n"/>
      <c r="AH441" s="93" t="n"/>
      <c r="AI441" s="93" t="n"/>
      <c r="AJ441" s="93" t="n"/>
      <c r="AK441" s="93" t="n"/>
      <c r="AL441" s="93" t="n"/>
      <c r="AM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N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O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P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Q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R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S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T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U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V441" s="93">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W441" s="162">
        <f>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
      </c>
      <c r="AX441" s="228" t="n"/>
    </row>
    <row r="442" customFormat="1" s="5">
      <c r="A442" s="514">
        <f>$A$165</f>
        <v/>
      </c>
      <c r="B442" s="93" t="n"/>
      <c r="C442" s="519" t="n"/>
      <c r="D442" s="519" t="n"/>
      <c r="E442" s="519" t="n"/>
      <c r="F442" s="519" t="n"/>
      <c r="G442" s="519" t="n"/>
      <c r="H442" s="93" t="n"/>
      <c r="I442" s="93" t="n"/>
      <c r="J442" s="93" t="n"/>
      <c r="K442" s="93" t="n"/>
      <c r="L442" s="93" t="n"/>
      <c r="M442" s="93" t="n"/>
      <c r="N442" s="93" t="n"/>
      <c r="O442" s="93" t="n"/>
      <c r="P442" s="93" t="n"/>
      <c r="Q442" s="93" t="n"/>
      <c r="R442" s="93" t="n"/>
      <c r="S442" s="93" t="n"/>
      <c r="T442" s="93" t="n"/>
      <c r="U442" s="93" t="n"/>
      <c r="V442" s="93" t="n"/>
      <c r="W442" s="93" t="n"/>
      <c r="X442" s="93" t="n"/>
      <c r="Y442" s="93" t="n"/>
      <c r="Z442" s="93" t="n"/>
      <c r="AA442" s="93" t="n"/>
      <c r="AB442" s="93" t="n"/>
      <c r="AC442" s="93" t="n"/>
      <c r="AD442" s="93" t="n"/>
      <c r="AE442" s="93" t="n"/>
      <c r="AF442" s="93" t="n"/>
      <c r="AG442" s="93" t="n"/>
      <c r="AH442" s="93" t="n"/>
      <c r="AI442" s="93" t="n"/>
      <c r="AJ442" s="93" t="n"/>
      <c r="AK442" s="93" t="n"/>
      <c r="AL442" s="93" t="n"/>
      <c r="AM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N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O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P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Q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R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S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T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U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V442" s="93">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W442" s="162">
        <f>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
      </c>
      <c r="AX442" s="228" t="n"/>
    </row>
    <row r="443" customFormat="1" s="5">
      <c r="A443" s="514">
        <f>$A$186</f>
        <v/>
      </c>
      <c r="B443" s="93" t="n"/>
      <c r="C443" s="316" t="n"/>
      <c r="D443" s="316" t="n"/>
      <c r="E443" s="316" t="n"/>
      <c r="F443" s="316" t="n"/>
      <c r="G443" s="316" t="n"/>
      <c r="H443" s="93" t="n"/>
      <c r="I443" s="93" t="n"/>
      <c r="J443" s="93" t="n"/>
      <c r="K443" s="93" t="n"/>
      <c r="L443" s="93" t="n"/>
      <c r="M443" s="93" t="n"/>
      <c r="N443" s="93" t="n"/>
      <c r="O443" s="93" t="n"/>
      <c r="P443" s="93" t="n"/>
      <c r="Q443" s="93" t="n"/>
      <c r="R443" s="93" t="n"/>
      <c r="S443" s="93" t="n"/>
      <c r="T443" s="93" t="n"/>
      <c r="U443" s="93" t="n"/>
      <c r="V443" s="93" t="n"/>
      <c r="W443" s="93" t="n"/>
      <c r="X443" s="93" t="n"/>
      <c r="Y443" s="93" t="n"/>
      <c r="Z443" s="93" t="n"/>
      <c r="AA443" s="93" t="n"/>
      <c r="AB443" s="93" t="n"/>
      <c r="AC443" s="93" t="n"/>
      <c r="AD443" s="93" t="n"/>
      <c r="AE443" s="93" t="n"/>
      <c r="AF443" s="93" t="n"/>
      <c r="AG443" s="93" t="n"/>
      <c r="AH443" s="93" t="n"/>
      <c r="AI443" s="93" t="n"/>
      <c r="AJ443" s="93" t="n"/>
      <c r="AK443" s="93" t="n"/>
      <c r="AL443" s="93" t="n"/>
      <c r="AM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N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O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P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Q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R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S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T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U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V443" s="93">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W443" s="162">
        <f>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
      </c>
      <c r="AX443" s="228" t="n"/>
    </row>
    <row r="444" customFormat="1" s="5">
      <c r="A444" s="514">
        <f>$A$195</f>
        <v/>
      </c>
      <c r="B444" s="93" t="n"/>
      <c r="C444" s="316" t="n"/>
      <c r="D444" s="316" t="n"/>
      <c r="E444" s="316" t="n"/>
      <c r="F444" s="316" t="n"/>
      <c r="G444" s="316" t="n"/>
      <c r="H444" s="93" t="n"/>
      <c r="I444" s="93" t="n"/>
      <c r="J444" s="93" t="n"/>
      <c r="K444" s="93" t="n"/>
      <c r="L444" s="93" t="n"/>
      <c r="M444" s="93" t="n"/>
      <c r="N444" s="93" t="n"/>
      <c r="O444" s="93" t="n"/>
      <c r="P444" s="93" t="n"/>
      <c r="Q444" s="93" t="n"/>
      <c r="R444" s="93" t="n"/>
      <c r="S444" s="93" t="n"/>
      <c r="T444" s="93" t="n"/>
      <c r="U444" s="93" t="n"/>
      <c r="V444" s="93" t="n"/>
      <c r="W444" s="93" t="n"/>
      <c r="X444" s="93" t="n"/>
      <c r="Y444" s="93" t="n"/>
      <c r="Z444" s="93" t="n"/>
      <c r="AA444" s="93" t="n"/>
      <c r="AB444" s="93" t="n"/>
      <c r="AC444" s="93" t="n"/>
      <c r="AD444" s="93" t="n"/>
      <c r="AE444" s="93" t="n"/>
      <c r="AF444" s="93" t="n"/>
      <c r="AG444" s="93" t="n"/>
      <c r="AH444" s="93" t="n"/>
      <c r="AI444" s="93" t="n"/>
      <c r="AJ444" s="93" t="n"/>
      <c r="AK444" s="93" t="n"/>
      <c r="AL444" s="93" t="n"/>
      <c r="AM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N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O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P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Q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R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S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T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U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V444" s="93">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W444" s="162">
        <f>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
      </c>
      <c r="AX444" s="228" t="n"/>
    </row>
    <row r="445" customFormat="1" s="5">
      <c r="A445" s="514">
        <f>A197</f>
        <v/>
      </c>
      <c r="B445" s="93" t="n"/>
      <c r="C445" s="519" t="n"/>
      <c r="D445" s="519" t="n"/>
      <c r="E445" s="519" t="n"/>
      <c r="F445" s="519" t="n"/>
      <c r="G445" s="519" t="n"/>
      <c r="H445" s="93" t="n"/>
      <c r="I445" s="93" t="n"/>
      <c r="J445" s="93" t="n"/>
      <c r="K445" s="93" t="n"/>
      <c r="L445" s="93" t="n"/>
      <c r="M445" s="93" t="n"/>
      <c r="N445" s="93" t="n"/>
      <c r="O445" s="93" t="n"/>
      <c r="P445" s="93" t="n"/>
      <c r="Q445" s="93" t="n"/>
      <c r="R445" s="93" t="n"/>
      <c r="S445" s="93" t="n"/>
      <c r="T445" s="93" t="n"/>
      <c r="U445" s="93" t="n"/>
      <c r="V445" s="93" t="n"/>
      <c r="W445" s="93" t="n"/>
      <c r="X445" s="93" t="n"/>
      <c r="Y445" s="93" t="n"/>
      <c r="Z445" s="93" t="n"/>
      <c r="AA445" s="93" t="n"/>
      <c r="AB445" s="93" t="n"/>
      <c r="AC445" s="93" t="n"/>
      <c r="AD445" s="93" t="n"/>
      <c r="AE445" s="93" t="n"/>
      <c r="AF445" s="93" t="n"/>
      <c r="AG445" s="93" t="n"/>
      <c r="AH445" s="93" t="n"/>
      <c r="AI445" s="93" t="n"/>
      <c r="AJ445" s="93" t="n"/>
      <c r="AK445" s="93" t="n"/>
      <c r="AL445" s="93" t="n"/>
      <c r="AM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N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O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P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Q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R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S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T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U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V445" s="93">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W445" s="162">
        <f>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
      </c>
      <c r="AX445" s="228" t="n"/>
    </row>
    <row r="446" customFormat="1" s="5">
      <c r="A446" s="516" t="n"/>
      <c r="B446" s="158" t="n"/>
      <c r="C446" s="520" t="n"/>
      <c r="D446" s="520" t="n"/>
      <c r="E446" s="520" t="n"/>
      <c r="F446" s="520" t="n"/>
      <c r="G446" s="520" t="n"/>
      <c r="H446" s="158" t="n"/>
      <c r="I446" s="158" t="n"/>
      <c r="J446" s="158" t="n"/>
      <c r="K446" s="158" t="n"/>
      <c r="L446" s="158" t="n"/>
      <c r="M446" s="158" t="n"/>
      <c r="N446" s="158" t="n"/>
      <c r="O446" s="158" t="n"/>
      <c r="P446" s="158" t="n"/>
      <c r="Q446" s="158" t="n"/>
      <c r="R446" s="158" t="n"/>
      <c r="S446" s="158" t="n"/>
      <c r="T446" s="158" t="n"/>
      <c r="U446" s="158" t="n"/>
      <c r="V446" s="158" t="n"/>
      <c r="W446" s="158" t="n"/>
      <c r="X446" s="158" t="n"/>
      <c r="Y446" s="158" t="n"/>
      <c r="Z446" s="158" t="n"/>
      <c r="AA446" s="158" t="n"/>
      <c r="AB446" s="158" t="n"/>
      <c r="AC446" s="158" t="n"/>
      <c r="AD446" s="158" t="n"/>
      <c r="AE446" s="158" t="n"/>
      <c r="AF446" s="158" t="n"/>
      <c r="AG446" s="158" t="n"/>
      <c r="AH446" s="158" t="n"/>
      <c r="AI446" s="158" t="n"/>
      <c r="AJ446" s="158" t="n"/>
      <c r="AK446" s="158" t="n"/>
      <c r="AL446" s="158" t="n"/>
      <c r="AM446" s="158" t="n"/>
      <c r="AN446" s="158" t="n"/>
      <c r="AO446" s="158" t="n"/>
      <c r="AP446" s="158" t="n"/>
      <c r="AQ446" s="158" t="n"/>
      <c r="AR446" s="158" t="n"/>
      <c r="AS446" s="158" t="n"/>
      <c r="AT446" s="158" t="n"/>
      <c r="AU446" s="158" t="n"/>
      <c r="AV446" s="158" t="n"/>
      <c r="AW446" s="163" t="n"/>
      <c r="AX446" s="228" t="n"/>
    </row>
    <row r="447" customFormat="1" s="5">
      <c r="A447" s="521" t="n"/>
      <c r="B447" s="93" t="n"/>
      <c r="C447" s="519" t="n"/>
      <c r="D447" s="519" t="n"/>
      <c r="E447" s="519" t="n"/>
      <c r="F447" s="519" t="n"/>
      <c r="G447" s="519" t="n"/>
      <c r="H447" s="93" t="n"/>
      <c r="I447" s="93" t="n"/>
      <c r="J447" s="93" t="n"/>
      <c r="K447" s="93" t="n"/>
      <c r="L447" s="93" t="n"/>
      <c r="M447" s="93" t="n"/>
      <c r="N447" s="93" t="n"/>
      <c r="O447" s="93" t="n"/>
      <c r="P447" s="93" t="n"/>
      <c r="Q447" s="93" t="n"/>
      <c r="R447" s="93" t="n"/>
      <c r="S447" s="93" t="n"/>
      <c r="T447" s="93" t="n"/>
      <c r="U447" s="93" t="n"/>
      <c r="V447" s="93" t="n"/>
      <c r="W447" s="93" t="n"/>
      <c r="X447" s="93" t="n"/>
      <c r="Y447" s="93" t="n"/>
      <c r="Z447" s="93" t="n"/>
      <c r="AA447" s="93" t="n"/>
      <c r="AB447" s="93" t="n"/>
      <c r="AC447" s="93" t="n"/>
      <c r="AD447" s="93" t="n"/>
      <c r="AE447" s="93" t="n"/>
      <c r="AF447" s="93" t="n"/>
      <c r="AG447" s="93" t="n"/>
      <c r="AH447" s="93" t="n"/>
      <c r="AI447" s="93" t="n"/>
      <c r="AJ447" s="93" t="n"/>
      <c r="AK447" s="93" t="n"/>
      <c r="AL447" s="522" t="n"/>
      <c r="AM447" s="93" t="n"/>
      <c r="AN447" s="93" t="n"/>
      <c r="AO447" s="93" t="n"/>
      <c r="AP447" s="93" t="n"/>
      <c r="AQ447" s="93" t="n"/>
      <c r="AR447" s="93" t="n"/>
      <c r="AS447" s="93" t="n"/>
      <c r="AT447" s="93" t="n"/>
      <c r="AU447" s="93" t="n"/>
      <c r="AV447" s="93" t="n"/>
      <c r="AW447" s="93" t="n"/>
      <c r="AX447" s="228" t="n"/>
    </row>
    <row r="448" customFormat="1" s="5">
      <c r="A448" s="523" t="inlineStr">
        <is>
          <t>Stock Price Table</t>
        </is>
      </c>
      <c r="B448" s="254" t="n"/>
      <c r="C448" s="524" t="n"/>
      <c r="D448" s="524" t="n"/>
      <c r="E448" s="524" t="n"/>
      <c r="F448" s="524" t="n"/>
      <c r="G448" s="524" t="n"/>
      <c r="H448" s="254" t="n"/>
      <c r="I448" s="254" t="n"/>
      <c r="J448" s="254" t="n"/>
      <c r="K448" s="254" t="n"/>
      <c r="L448" s="254" t="n"/>
      <c r="M448" s="254" t="n"/>
      <c r="N448" s="254" t="n"/>
      <c r="O448" s="254" t="n"/>
      <c r="P448" s="254" t="n"/>
      <c r="Q448" s="254" t="n"/>
      <c r="R448" s="254" t="n"/>
      <c r="S448" s="254" t="n"/>
      <c r="T448" s="254" t="n"/>
      <c r="U448" s="254" t="n"/>
      <c r="V448" s="254" t="n"/>
      <c r="W448" s="254" t="n"/>
      <c r="X448" s="254" t="n"/>
      <c r="Y448" s="254" t="n"/>
      <c r="Z448" s="254" t="n"/>
      <c r="AA448" s="254" t="n"/>
      <c r="AB448" s="254" t="n"/>
      <c r="AC448" s="254" t="n"/>
      <c r="AD448" s="254" t="n"/>
      <c r="AE448" s="254" t="n"/>
      <c r="AF448" s="254" t="n"/>
      <c r="AG448" s="254" t="n"/>
      <c r="AH448" s="254" t="n"/>
      <c r="AI448" s="254" t="n"/>
      <c r="AJ448" s="254" t="n"/>
      <c r="AK448" s="254" t="n"/>
      <c r="AL448" s="525" t="n"/>
      <c r="AM448" s="254" t="n"/>
      <c r="AN448" s="254" t="n"/>
      <c r="AO448" s="254" t="n"/>
      <c r="AP448" s="254" t="n"/>
      <c r="AQ448" s="254" t="n"/>
      <c r="AR448" s="254" t="n"/>
      <c r="AS448" s="254" t="n"/>
      <c r="AT448" s="254" t="n"/>
      <c r="AU448" s="254" t="n"/>
      <c r="AV448" s="254" t="n"/>
      <c r="AW448" s="256" t="n"/>
      <c r="AX448" s="228" t="n"/>
    </row>
    <row r="449" customFormat="1" s="5">
      <c r="A449" s="526" t="inlineStr">
        <is>
          <t>Fiscal Period Start Date</t>
        </is>
      </c>
      <c r="B449" s="93" t="n"/>
      <c r="C449" s="527">
        <f>INDEX(MO_Common_QEndDate,0,COLUMN())-INDEX(MO_Common_FPDays,0,COLUMN())+1</f>
        <v/>
      </c>
      <c r="D449" s="527">
        <f>INDEX(MO_Common_QEndDate,0,COLUMN())-INDEX(MO_Common_FPDays,0,COLUMN())+1</f>
        <v/>
      </c>
      <c r="E449" s="527">
        <f>INDEX(MO_Common_QEndDate,0,COLUMN())-INDEX(MO_Common_FPDays,0,COLUMN())+1</f>
        <v/>
      </c>
      <c r="F449" s="527">
        <f>INDEX(MO_Common_QEndDate,0,COLUMN())-INDEX(MO_Common_FPDays,0,COLUMN())+1</f>
        <v/>
      </c>
      <c r="G449" s="527">
        <f>INDEX(MO_Common_QEndDate,0,COLUMN())-INDEX(MO_Common_FPDays,0,COLUMN())+1</f>
        <v/>
      </c>
      <c r="H449" s="259">
        <f>INDEX(MO_Common_QEndDate,0,COLUMN())-INDEX(MO_Common_FPDays,0,COLUMN())+1</f>
        <v/>
      </c>
      <c r="I449" s="259">
        <f>INDEX(MO_Common_QEndDate,0,COLUMN())-INDEX(MO_Common_FPDays,0,COLUMN())+1</f>
        <v/>
      </c>
      <c r="J449" s="259">
        <f>INDEX(MO_Common_QEndDate,0,COLUMN())-INDEX(MO_Common_FPDays,0,COLUMN())+1</f>
        <v/>
      </c>
      <c r="K449" s="259">
        <f>INDEX(MO_Common_QEndDate,0,COLUMN())-INDEX(MO_Common_FPDays,0,COLUMN())+1</f>
        <v/>
      </c>
      <c r="L449" s="259">
        <f>INDEX(MO_Common_QEndDate,0,COLUMN())-INDEX(MO_Common_FPDays,0,COLUMN())+1</f>
        <v/>
      </c>
      <c r="M449" s="259">
        <f>INDEX(MO_Common_QEndDate,0,COLUMN())-INDEX(MO_Common_FPDays,0,COLUMN())+1</f>
        <v/>
      </c>
      <c r="N449" s="259">
        <f>INDEX(MO_Common_QEndDate,0,COLUMN())-INDEX(MO_Common_FPDays,0,COLUMN())+1</f>
        <v/>
      </c>
      <c r="O449" s="259">
        <f>INDEX(MO_Common_QEndDate,0,COLUMN())-INDEX(MO_Common_FPDays,0,COLUMN())+1</f>
        <v/>
      </c>
      <c r="P449" s="259">
        <f>INDEX(MO_Common_QEndDate,0,COLUMN())-INDEX(MO_Common_FPDays,0,COLUMN())+1</f>
        <v/>
      </c>
      <c r="Q449" s="259">
        <f>INDEX(MO_Common_QEndDate,0,COLUMN())-INDEX(MO_Common_FPDays,0,COLUMN())+1</f>
        <v/>
      </c>
      <c r="R449" s="259">
        <f>INDEX(MO_Common_QEndDate,0,COLUMN())-INDEX(MO_Common_FPDays,0,COLUMN())+1</f>
        <v/>
      </c>
      <c r="S449" s="259">
        <f>INDEX(MO_Common_QEndDate,0,COLUMN())-INDEX(MO_Common_FPDays,0,COLUMN())+1</f>
        <v/>
      </c>
      <c r="T449" s="259">
        <f>INDEX(MO_Common_QEndDate,0,COLUMN())-INDEX(MO_Common_FPDays,0,COLUMN())+1</f>
        <v/>
      </c>
      <c r="U449" s="259">
        <f>INDEX(MO_Common_QEndDate,0,COLUMN())-INDEX(MO_Common_FPDays,0,COLUMN())+1</f>
        <v/>
      </c>
      <c r="V449" s="259">
        <f>INDEX(MO_Common_QEndDate,0,COLUMN())-INDEX(MO_Common_FPDays,0,COLUMN())+1</f>
        <v/>
      </c>
      <c r="W449" s="259">
        <f>INDEX(MO_Common_QEndDate,0,COLUMN())-INDEX(MO_Common_FPDays,0,COLUMN())+1</f>
        <v/>
      </c>
      <c r="X449" s="259">
        <f>INDEX(MO_Common_QEndDate,0,COLUMN())-INDEX(MO_Common_FPDays,0,COLUMN())+1</f>
        <v/>
      </c>
      <c r="Y449" s="259">
        <f>INDEX(MO_Common_QEndDate,0,COLUMN())-INDEX(MO_Common_FPDays,0,COLUMN())+1</f>
        <v/>
      </c>
      <c r="Z449" s="259">
        <f>INDEX(MO_Common_QEndDate,0,COLUMN())-INDEX(MO_Common_FPDays,0,COLUMN())+1</f>
        <v/>
      </c>
      <c r="AA449" s="259">
        <f>INDEX(MO_Common_QEndDate,0,COLUMN())-INDEX(MO_Common_FPDays,0,COLUMN())+1</f>
        <v/>
      </c>
      <c r="AB449" s="259">
        <f>INDEX(MO_Common_QEndDate,0,COLUMN())-INDEX(MO_Common_FPDays,0,COLUMN())+1</f>
        <v/>
      </c>
      <c r="AC449" s="259">
        <f>INDEX(MO_Common_QEndDate,0,COLUMN())-INDEX(MO_Common_FPDays,0,COLUMN())+1</f>
        <v/>
      </c>
      <c r="AD449" s="259">
        <f>INDEX(MO_Common_QEndDate,0,COLUMN())-INDEX(MO_Common_FPDays,0,COLUMN())+1</f>
        <v/>
      </c>
      <c r="AE449" s="259">
        <f>INDEX(MO_Common_QEndDate,0,COLUMN())-INDEX(MO_Common_FPDays,0,COLUMN())+1</f>
        <v/>
      </c>
      <c r="AF449" s="259">
        <f>INDEX(MO_Common_QEndDate,0,COLUMN())-INDEX(MO_Common_FPDays,0,COLUMN())+1</f>
        <v/>
      </c>
      <c r="AG449" s="259">
        <f>INDEX(MO_Common_QEndDate,0,COLUMN())-INDEX(MO_Common_FPDays,0,COLUMN())+1</f>
        <v/>
      </c>
      <c r="AH449" s="259">
        <f>INDEX(MO_Common_QEndDate,0,COLUMN())-INDEX(MO_Common_FPDays,0,COLUMN())+1</f>
        <v/>
      </c>
      <c r="AI449" s="259">
        <f>INDEX(MO_Common_QEndDate,0,COLUMN())-INDEX(MO_Common_FPDays,0,COLUMN())+1</f>
        <v/>
      </c>
      <c r="AJ449" s="259">
        <f>INDEX(MO_Common_QEndDate,0,COLUMN())-INDEX(MO_Common_FPDays,0,COLUMN())+1</f>
        <v/>
      </c>
      <c r="AK449" s="259">
        <f>INDEX(MO_Common_QEndDate,0,COLUMN())-INDEX(MO_Common_FPDays,0,COLUMN())+1</f>
        <v/>
      </c>
      <c r="AL449" s="528">
        <f>INDEX(MO_Common_QEndDate,0,COLUMN())-INDEX(MO_Common_FPDays,0,COLUMN())+1</f>
        <v/>
      </c>
      <c r="AM449" s="259">
        <f>INDEX(MO_Common_QEndDate,0,COLUMN())-INDEX(MO_Common_FPDays,0,COLUMN())+1</f>
        <v/>
      </c>
      <c r="AN449" s="259">
        <f>INDEX(MO_Common_QEndDate,0,COLUMN())-INDEX(MO_Common_FPDays,0,COLUMN())+1</f>
        <v/>
      </c>
      <c r="AO449" s="259">
        <f>INDEX(MO_Common_QEndDate,0,COLUMN())-INDEX(MO_Common_FPDays,0,COLUMN())+1</f>
        <v/>
      </c>
      <c r="AP449" s="259">
        <f>INDEX(MO_Common_QEndDate,0,COLUMN())-INDEX(MO_Common_FPDays,0,COLUMN())+1</f>
        <v/>
      </c>
      <c r="AQ449" s="259">
        <f>INDEX(MO_Common_QEndDate,0,COLUMN())-INDEX(MO_Common_FPDays,0,COLUMN())+1</f>
        <v/>
      </c>
      <c r="AR449" s="259">
        <f>INDEX(MO_Common_QEndDate,0,COLUMN())-INDEX(MO_Common_FPDays,0,COLUMN())+1</f>
        <v/>
      </c>
      <c r="AS449" s="259">
        <f>INDEX(MO_Common_QEndDate,0,COLUMN())-INDEX(MO_Common_FPDays,0,COLUMN())+1</f>
        <v/>
      </c>
      <c r="AT449" s="259">
        <f>INDEX(MO_Common_QEndDate,0,COLUMN())-INDEX(MO_Common_FPDays,0,COLUMN())+1</f>
        <v/>
      </c>
      <c r="AU449" s="259">
        <f>INDEX(MO_Common_QEndDate,0,COLUMN())-INDEX(MO_Common_FPDays,0,COLUMN())+1</f>
        <v/>
      </c>
      <c r="AV449" s="259">
        <f>INDEX(MO_Common_QEndDate,0,COLUMN())-INDEX(MO_Common_FPDays,0,COLUMN())+1</f>
        <v/>
      </c>
      <c r="AW449" s="260">
        <f>INDEX(MO_Common_QEndDate,0,COLUMN())-INDEX(MO_Common_FPDays,0,COLUMN())+1</f>
        <v/>
      </c>
      <c r="AX449" s="228" t="n"/>
    </row>
    <row r="450" customFormat="1" s="5">
      <c r="A450" s="526" t="inlineStr">
        <is>
          <t>Is Historical Period</t>
        </is>
      </c>
      <c r="B450" s="93" t="n"/>
      <c r="C450" s="527">
        <f>TRUE</f>
        <v/>
      </c>
      <c r="D450" s="527">
        <f>TRUE</f>
        <v/>
      </c>
      <c r="E450" s="527">
        <f>TRUE</f>
        <v/>
      </c>
      <c r="F450" s="527">
        <f>TRUE</f>
        <v/>
      </c>
      <c r="G450" s="527">
        <f>TRUE</f>
        <v/>
      </c>
      <c r="H450" s="259">
        <f>TRUE</f>
        <v/>
      </c>
      <c r="I450" s="259">
        <f>TRUE</f>
        <v/>
      </c>
      <c r="J450" s="259">
        <f>TRUE</f>
        <v/>
      </c>
      <c r="K450" s="259">
        <f>TRUE</f>
        <v/>
      </c>
      <c r="L450" s="259">
        <f>TRUE</f>
        <v/>
      </c>
      <c r="M450" s="259">
        <f>TRUE</f>
        <v/>
      </c>
      <c r="N450" s="259">
        <f>TRUE</f>
        <v/>
      </c>
      <c r="O450" s="259">
        <f>TRUE</f>
        <v/>
      </c>
      <c r="P450" s="259">
        <f>TRUE</f>
        <v/>
      </c>
      <c r="Q450" s="259">
        <f>TRUE</f>
        <v/>
      </c>
      <c r="R450" s="259">
        <f>TRUE</f>
        <v/>
      </c>
      <c r="S450" s="259">
        <f>TRUE</f>
        <v/>
      </c>
      <c r="T450" s="259">
        <f>TRUE</f>
        <v/>
      </c>
      <c r="U450" s="259">
        <f>TRUE</f>
        <v/>
      </c>
      <c r="V450" s="259">
        <f>TRUE</f>
        <v/>
      </c>
      <c r="W450" s="259">
        <f>TRUE</f>
        <v/>
      </c>
      <c r="X450" s="259">
        <f>TRUE</f>
        <v/>
      </c>
      <c r="Y450" s="259">
        <f>TRUE</f>
        <v/>
      </c>
      <c r="Z450" s="259">
        <f>TRUE</f>
        <v/>
      </c>
      <c r="AA450" s="259">
        <f>TRUE</f>
        <v/>
      </c>
      <c r="AB450" s="259">
        <f>TRUE</f>
        <v/>
      </c>
      <c r="AC450" s="259">
        <f>TRUE</f>
        <v/>
      </c>
      <c r="AD450" s="259">
        <f>TRUE</f>
        <v/>
      </c>
      <c r="AE450" s="259">
        <f>TRUE</f>
        <v/>
      </c>
      <c r="AF450" s="259">
        <f>TRUE</f>
        <v/>
      </c>
      <c r="AG450" s="259">
        <f>TRUE</f>
        <v/>
      </c>
      <c r="AH450" s="259">
        <f>TRUE</f>
        <v/>
      </c>
      <c r="AI450" s="259">
        <f>TRUE</f>
        <v/>
      </c>
      <c r="AJ450" s="259">
        <f>TRUE</f>
        <v/>
      </c>
      <c r="AK450" s="259">
        <f>TRUE</f>
        <v/>
      </c>
      <c r="AL450" s="528">
        <f>TRUE</f>
        <v/>
      </c>
      <c r="AM450" s="259">
        <f>FALSE</f>
        <v/>
      </c>
      <c r="AN450" s="259">
        <f>FALSE</f>
        <v/>
      </c>
      <c r="AO450" s="259">
        <f>FALSE</f>
        <v/>
      </c>
      <c r="AP450" s="259">
        <f>FALSE</f>
        <v/>
      </c>
      <c r="AQ450" s="259">
        <f>FALSE</f>
        <v/>
      </c>
      <c r="AR450" s="259">
        <f>FALSE</f>
        <v/>
      </c>
      <c r="AS450" s="259">
        <f>FALSE</f>
        <v/>
      </c>
      <c r="AT450" s="259">
        <f>FALSE</f>
        <v/>
      </c>
      <c r="AU450" s="259">
        <f>FALSE</f>
        <v/>
      </c>
      <c r="AV450" s="259">
        <f>FALSE</f>
        <v/>
      </c>
      <c r="AW450" s="260">
        <f>FALSE</f>
        <v/>
      </c>
      <c r="AX450" s="228" t="n"/>
    </row>
    <row r="451" customFormat="1" s="226">
      <c r="A451" s="529">
        <f>IFERROR("Stock High: "&amp;IF(OR(MO.RealTimeStockPriceToggle=FALSE,VLOOKUP(MO.DataSourceName,MO_SPT_StockHigh_Sources,COLUMN()+2,FALSE)="N/A"),"Real-Time Off Source",MO.DataSourceName),"N/A")</f>
        <v/>
      </c>
      <c r="B451" s="262" t="n"/>
      <c r="C451" s="530">
        <f>IFERROR(IF(OR(MO.RealTimeStockPriceToggle=FALSE,VLOOKUP(MO.DataSourceName,MO_SPT_StockHigh_Sources,COLUMN(),FALSE)="N/A"),VLOOKUP("Real-Time Off Source",MO_SPT_StockHigh_Sources,COLUMN(),FALSE),VLOOKUP(MO.DataSourceName,MO_SPT_StockHigh_Sources,COLUMN(),FALSE)),"N/A")</f>
        <v/>
      </c>
      <c r="D451" s="530">
        <f>IFERROR(IF(OR(MO.RealTimeStockPriceToggle=FALSE,VLOOKUP(MO.DataSourceName,MO_SPT_StockHigh_Sources,COLUMN(),FALSE)="N/A"),VLOOKUP("Real-Time Off Source",MO_SPT_StockHigh_Sources,COLUMN(),FALSE),VLOOKUP(MO.DataSourceName,MO_SPT_StockHigh_Sources,COLUMN(),FALSE)),"N/A")</f>
        <v/>
      </c>
      <c r="E451" s="530">
        <f>IFERROR(IF(OR(MO.RealTimeStockPriceToggle=FALSE,VLOOKUP(MO.DataSourceName,MO_SPT_StockHigh_Sources,COLUMN(),FALSE)="N/A"),VLOOKUP("Real-Time Off Source",MO_SPT_StockHigh_Sources,COLUMN(),FALSE),VLOOKUP(MO.DataSourceName,MO_SPT_StockHigh_Sources,COLUMN(),FALSE)),"N/A")</f>
        <v/>
      </c>
      <c r="F451" s="530">
        <f>IFERROR(IF(OR(MO.RealTimeStockPriceToggle=FALSE,VLOOKUP(MO.DataSourceName,MO_SPT_StockHigh_Sources,COLUMN(),FALSE)="N/A"),VLOOKUP("Real-Time Off Source",MO_SPT_StockHigh_Sources,COLUMN(),FALSE),VLOOKUP(MO.DataSourceName,MO_SPT_StockHigh_Sources,COLUMN(),FALSE)),"N/A")</f>
        <v/>
      </c>
      <c r="G451" s="530">
        <f>IFERROR(IF(OR(MO.RealTimeStockPriceToggle=FALSE,VLOOKUP(MO.DataSourceName,MO_SPT_StockHigh_Sources,COLUMN(),FALSE)="N/A"),VLOOKUP("Real-Time Off Source",MO_SPT_StockHigh_Sources,COLUMN(),FALSE),VLOOKUP(MO.DataSourceName,MO_SPT_StockHigh_Sources,COLUMN(),FALSE)),"N/A")</f>
        <v/>
      </c>
      <c r="H451" s="262">
        <f>IFERROR(IF(OR(MO.RealTimeStockPriceToggle=FALSE,VLOOKUP(MO.DataSourceName,MO_SPT_StockHigh_Sources,COLUMN(),FALSE)="N/A"),VLOOKUP("Real-Time Off Source",MO_SPT_StockHigh_Sources,COLUMN(),FALSE),VLOOKUP(MO.DataSourceName,MO_SPT_StockHigh_Sources,COLUMN(),FALSE)),"N/A")</f>
        <v/>
      </c>
      <c r="I451" s="262">
        <f>IFERROR(IF(OR(MO.RealTimeStockPriceToggle=FALSE,VLOOKUP(MO.DataSourceName,MO_SPT_StockHigh_Sources,COLUMN(),FALSE)="N/A"),VLOOKUP("Real-Time Off Source",MO_SPT_StockHigh_Sources,COLUMN(),FALSE),VLOOKUP(MO.DataSourceName,MO_SPT_StockHigh_Sources,COLUMN(),FALSE)),"N/A")</f>
        <v/>
      </c>
      <c r="J451" s="262">
        <f>IFERROR(IF(OR(MO.RealTimeStockPriceToggle=FALSE,VLOOKUP(MO.DataSourceName,MO_SPT_StockHigh_Sources,COLUMN(),FALSE)="N/A"),VLOOKUP("Real-Time Off Source",MO_SPT_StockHigh_Sources,COLUMN(),FALSE),VLOOKUP(MO.DataSourceName,MO_SPT_StockHigh_Sources,COLUMN(),FALSE)),"N/A")</f>
        <v/>
      </c>
      <c r="K451" s="262">
        <f>IFERROR(IF(OR(MO.RealTimeStockPriceToggle=FALSE,VLOOKUP(MO.DataSourceName,MO_SPT_StockHigh_Sources,COLUMN(),FALSE)="N/A"),VLOOKUP("Real-Time Off Source",MO_SPT_StockHigh_Sources,COLUMN(),FALSE),VLOOKUP(MO.DataSourceName,MO_SPT_StockHigh_Sources,COLUMN(),FALSE)),"N/A")</f>
        <v/>
      </c>
      <c r="L451" s="262">
        <f>IFERROR(IF(OR(MO.RealTimeStockPriceToggle=FALSE,VLOOKUP(MO.DataSourceName,MO_SPT_StockHigh_Sources,COLUMN(),FALSE)="N/A"),VLOOKUP("Real-Time Off Source",MO_SPT_StockHigh_Sources,COLUMN(),FALSE),VLOOKUP(MO.DataSourceName,MO_SPT_StockHigh_Sources,COLUMN(),FALSE)),"N/A")</f>
        <v/>
      </c>
      <c r="M451" s="262">
        <f>IFERROR(IF(OR(MO.RealTimeStockPriceToggle=FALSE,VLOOKUP(MO.DataSourceName,MO_SPT_StockHigh_Sources,COLUMN(),FALSE)="N/A"),VLOOKUP("Real-Time Off Source",MO_SPT_StockHigh_Sources,COLUMN(),FALSE),VLOOKUP(MO.DataSourceName,MO_SPT_StockHigh_Sources,COLUMN(),FALSE)),"N/A")</f>
        <v/>
      </c>
      <c r="N451" s="262">
        <f>IFERROR(IF(OR(MO.RealTimeStockPriceToggle=FALSE,VLOOKUP(MO.DataSourceName,MO_SPT_StockHigh_Sources,COLUMN(),FALSE)="N/A"),VLOOKUP("Real-Time Off Source",MO_SPT_StockHigh_Sources,COLUMN(),FALSE),VLOOKUP(MO.DataSourceName,MO_SPT_StockHigh_Sources,COLUMN(),FALSE)),"N/A")</f>
        <v/>
      </c>
      <c r="O451" s="262">
        <f>IFERROR(IF(OR(MO.RealTimeStockPriceToggle=FALSE,VLOOKUP(MO.DataSourceName,MO_SPT_StockHigh_Sources,COLUMN(),FALSE)="N/A"),VLOOKUP("Real-Time Off Source",MO_SPT_StockHigh_Sources,COLUMN(),FALSE),VLOOKUP(MO.DataSourceName,MO_SPT_StockHigh_Sources,COLUMN(),FALSE)),"N/A")</f>
        <v/>
      </c>
      <c r="P451" s="262">
        <f>IFERROR(IF(OR(MO.RealTimeStockPriceToggle=FALSE,VLOOKUP(MO.DataSourceName,MO_SPT_StockHigh_Sources,COLUMN(),FALSE)="N/A"),VLOOKUP("Real-Time Off Source",MO_SPT_StockHigh_Sources,COLUMN(),FALSE),VLOOKUP(MO.DataSourceName,MO_SPT_StockHigh_Sources,COLUMN(),FALSE)),"N/A")</f>
        <v/>
      </c>
      <c r="Q451" s="262">
        <f>IFERROR(IF(OR(MO.RealTimeStockPriceToggle=FALSE,VLOOKUP(MO.DataSourceName,MO_SPT_StockHigh_Sources,COLUMN(),FALSE)="N/A"),VLOOKUP("Real-Time Off Source",MO_SPT_StockHigh_Sources,COLUMN(),FALSE),VLOOKUP(MO.DataSourceName,MO_SPT_StockHigh_Sources,COLUMN(),FALSE)),"N/A")</f>
        <v/>
      </c>
      <c r="R451" s="262">
        <f>IFERROR(IF(OR(MO.RealTimeStockPriceToggle=FALSE,VLOOKUP(MO.DataSourceName,MO_SPT_StockHigh_Sources,COLUMN(),FALSE)="N/A"),VLOOKUP("Real-Time Off Source",MO_SPT_StockHigh_Sources,COLUMN(),FALSE),VLOOKUP(MO.DataSourceName,MO_SPT_StockHigh_Sources,COLUMN(),FALSE)),"N/A")</f>
        <v/>
      </c>
      <c r="S451" s="262">
        <f>IFERROR(IF(OR(MO.RealTimeStockPriceToggle=FALSE,VLOOKUP(MO.DataSourceName,MO_SPT_StockHigh_Sources,COLUMN(),FALSE)="N/A"),VLOOKUP("Real-Time Off Source",MO_SPT_StockHigh_Sources,COLUMN(),FALSE),VLOOKUP(MO.DataSourceName,MO_SPT_StockHigh_Sources,COLUMN(),FALSE)),"N/A")</f>
        <v/>
      </c>
      <c r="T451" s="262">
        <f>IFERROR(IF(OR(MO.RealTimeStockPriceToggle=FALSE,VLOOKUP(MO.DataSourceName,MO_SPT_StockHigh_Sources,COLUMN(),FALSE)="N/A"),VLOOKUP("Real-Time Off Source",MO_SPT_StockHigh_Sources,COLUMN(),FALSE),VLOOKUP(MO.DataSourceName,MO_SPT_StockHigh_Sources,COLUMN(),FALSE)),"N/A")</f>
        <v/>
      </c>
      <c r="U451" s="262">
        <f>IFERROR(IF(OR(MO.RealTimeStockPriceToggle=FALSE,VLOOKUP(MO.DataSourceName,MO_SPT_StockHigh_Sources,COLUMN(),FALSE)="N/A"),VLOOKUP("Real-Time Off Source",MO_SPT_StockHigh_Sources,COLUMN(),FALSE),VLOOKUP(MO.DataSourceName,MO_SPT_StockHigh_Sources,COLUMN(),FALSE)),"N/A")</f>
        <v/>
      </c>
      <c r="V451" s="262">
        <f>IFERROR(IF(OR(MO.RealTimeStockPriceToggle=FALSE,VLOOKUP(MO.DataSourceName,MO_SPT_StockHigh_Sources,COLUMN(),FALSE)="N/A"),VLOOKUP("Real-Time Off Source",MO_SPT_StockHigh_Sources,COLUMN(),FALSE),VLOOKUP(MO.DataSourceName,MO_SPT_StockHigh_Sources,COLUMN(),FALSE)),"N/A")</f>
        <v/>
      </c>
      <c r="W451" s="262">
        <f>IFERROR(IF(OR(MO.RealTimeStockPriceToggle=FALSE,VLOOKUP(MO.DataSourceName,MO_SPT_StockHigh_Sources,COLUMN(),FALSE)="N/A"),VLOOKUP("Real-Time Off Source",MO_SPT_StockHigh_Sources,COLUMN(),FALSE),VLOOKUP(MO.DataSourceName,MO_SPT_StockHigh_Sources,COLUMN(),FALSE)),"N/A")</f>
        <v/>
      </c>
      <c r="X451" s="262">
        <f>IFERROR(IF(OR(MO.RealTimeStockPriceToggle=FALSE,VLOOKUP(MO.DataSourceName,MO_SPT_StockHigh_Sources,COLUMN(),FALSE)="N/A"),VLOOKUP("Real-Time Off Source",MO_SPT_StockHigh_Sources,COLUMN(),FALSE),VLOOKUP(MO.DataSourceName,MO_SPT_StockHigh_Sources,COLUMN(),FALSE)),"N/A")</f>
        <v/>
      </c>
      <c r="Y451" s="262">
        <f>IFERROR(IF(OR(MO.RealTimeStockPriceToggle=FALSE,VLOOKUP(MO.DataSourceName,MO_SPT_StockHigh_Sources,COLUMN(),FALSE)="N/A"),VLOOKUP("Real-Time Off Source",MO_SPT_StockHigh_Sources,COLUMN(),FALSE),VLOOKUP(MO.DataSourceName,MO_SPT_StockHigh_Sources,COLUMN(),FALSE)),"N/A")</f>
        <v/>
      </c>
      <c r="Z451" s="262">
        <f>IFERROR(IF(OR(MO.RealTimeStockPriceToggle=FALSE,VLOOKUP(MO.DataSourceName,MO_SPT_StockHigh_Sources,COLUMN(),FALSE)="N/A"),VLOOKUP("Real-Time Off Source",MO_SPT_StockHigh_Sources,COLUMN(),FALSE),VLOOKUP(MO.DataSourceName,MO_SPT_StockHigh_Sources,COLUMN(),FALSE)),"N/A")</f>
        <v/>
      </c>
      <c r="AA451" s="262">
        <f>IFERROR(IF(OR(MO.RealTimeStockPriceToggle=FALSE,VLOOKUP(MO.DataSourceName,MO_SPT_StockHigh_Sources,COLUMN(),FALSE)="N/A"),VLOOKUP("Real-Time Off Source",MO_SPT_StockHigh_Sources,COLUMN(),FALSE),VLOOKUP(MO.DataSourceName,MO_SPT_StockHigh_Sources,COLUMN(),FALSE)),"N/A")</f>
        <v/>
      </c>
      <c r="AB451" s="262">
        <f>IFERROR(IF(OR(MO.RealTimeStockPriceToggle=FALSE,VLOOKUP(MO.DataSourceName,MO_SPT_StockHigh_Sources,COLUMN(),FALSE)="N/A"),VLOOKUP("Real-Time Off Source",MO_SPT_StockHigh_Sources,COLUMN(),FALSE),VLOOKUP(MO.DataSourceName,MO_SPT_StockHigh_Sources,COLUMN(),FALSE)),"N/A")</f>
        <v/>
      </c>
      <c r="AC451" s="262">
        <f>IFERROR(IF(OR(MO.RealTimeStockPriceToggle=FALSE,VLOOKUP(MO.DataSourceName,MO_SPT_StockHigh_Sources,COLUMN(),FALSE)="N/A"),VLOOKUP("Real-Time Off Source",MO_SPT_StockHigh_Sources,COLUMN(),FALSE),VLOOKUP(MO.DataSourceName,MO_SPT_StockHigh_Sources,COLUMN(),FALSE)),"N/A")</f>
        <v/>
      </c>
      <c r="AD451" s="262">
        <f>IFERROR(IF(OR(MO.RealTimeStockPriceToggle=FALSE,VLOOKUP(MO.DataSourceName,MO_SPT_StockHigh_Sources,COLUMN(),FALSE)="N/A"),VLOOKUP("Real-Time Off Source",MO_SPT_StockHigh_Sources,COLUMN(),FALSE),VLOOKUP(MO.DataSourceName,MO_SPT_StockHigh_Sources,COLUMN(),FALSE)),"N/A")</f>
        <v/>
      </c>
      <c r="AE451" s="262">
        <f>IFERROR(IF(OR(MO.RealTimeStockPriceToggle=FALSE,VLOOKUP(MO.DataSourceName,MO_SPT_StockHigh_Sources,COLUMN(),FALSE)="N/A"),VLOOKUP("Real-Time Off Source",MO_SPT_StockHigh_Sources,COLUMN(),FALSE),VLOOKUP(MO.DataSourceName,MO_SPT_StockHigh_Sources,COLUMN(),FALSE)),"N/A")</f>
        <v/>
      </c>
      <c r="AF451" s="262">
        <f>IFERROR(IF(OR(MO.RealTimeStockPriceToggle=FALSE,VLOOKUP(MO.DataSourceName,MO_SPT_StockHigh_Sources,COLUMN(),FALSE)="N/A"),VLOOKUP("Real-Time Off Source",MO_SPT_StockHigh_Sources,COLUMN(),FALSE),VLOOKUP(MO.DataSourceName,MO_SPT_StockHigh_Sources,COLUMN(),FALSE)),"N/A")</f>
        <v/>
      </c>
      <c r="AG451" s="262">
        <f>IFERROR(IF(OR(MO.RealTimeStockPriceToggle=FALSE,VLOOKUP(MO.DataSourceName,MO_SPT_StockHigh_Sources,COLUMN(),FALSE)="N/A"),VLOOKUP("Real-Time Off Source",MO_SPT_StockHigh_Sources,COLUMN(),FALSE),VLOOKUP(MO.DataSourceName,MO_SPT_StockHigh_Sources,COLUMN(),FALSE)),"N/A")</f>
        <v/>
      </c>
      <c r="AH451" s="262">
        <f>IFERROR(IF(OR(MO.RealTimeStockPriceToggle=FALSE,VLOOKUP(MO.DataSourceName,MO_SPT_StockHigh_Sources,COLUMN(),FALSE)="N/A"),VLOOKUP("Real-Time Off Source",MO_SPT_StockHigh_Sources,COLUMN(),FALSE),VLOOKUP(MO.DataSourceName,MO_SPT_StockHigh_Sources,COLUMN(),FALSE)),"N/A")</f>
        <v/>
      </c>
      <c r="AI451" s="262">
        <f>IFERROR(IF(OR(MO.RealTimeStockPriceToggle=FALSE,VLOOKUP(MO.DataSourceName,MO_SPT_StockHigh_Sources,COLUMN(),FALSE)="N/A"),VLOOKUP("Real-Time Off Source",MO_SPT_StockHigh_Sources,COLUMN(),FALSE),VLOOKUP(MO.DataSourceName,MO_SPT_StockHigh_Sources,COLUMN(),FALSE)),"N/A")</f>
        <v/>
      </c>
      <c r="AJ451" s="262">
        <f>IFERROR(IF(OR(MO.RealTimeStockPriceToggle=FALSE,VLOOKUP(MO.DataSourceName,MO_SPT_StockHigh_Sources,COLUMN(),FALSE)="N/A"),VLOOKUP("Real-Time Off Source",MO_SPT_StockHigh_Sources,COLUMN(),FALSE),VLOOKUP(MO.DataSourceName,MO_SPT_StockHigh_Sources,COLUMN(),FALSE)),"N/A")</f>
        <v/>
      </c>
      <c r="AK451" s="262">
        <f>IFERROR(IF(OR(MO.RealTimeStockPriceToggle=FALSE,VLOOKUP(MO.DataSourceName,MO_SPT_StockHigh_Sources,COLUMN(),FALSE)="N/A"),VLOOKUP("Real-Time Off Source",MO_SPT_StockHigh_Sources,COLUMN(),FALSE),VLOOKUP(MO.DataSourceName,MO_SPT_StockHigh_Sources,COLUMN(),FALSE)),"N/A")</f>
        <v/>
      </c>
      <c r="AL451" s="531">
        <f>IFERROR(IF(OR(MO.RealTimeStockPriceToggle=FALSE,VLOOKUP(MO.DataSourceName,MO_SPT_StockHigh_Sources,COLUMN(),FALSE)="N/A"),VLOOKUP("Real-Time Off Source",MO_SPT_StockHigh_Sources,COLUMN(),FALSE),VLOOKUP(MO.DataSourceName,MO_SPT_StockHigh_Sources,COLUMN(),FALSE)),"N/A")</f>
        <v/>
      </c>
      <c r="AM451" s="262">
        <f>IFERROR(IF(OR(MO.RealTimeStockPriceToggle=FALSE,VLOOKUP(MO.DataSourceName,MO_SPT_StockHigh_Sources,COLUMN(),FALSE)="N/A"),VLOOKUP("Real-Time Off Source",MO_SPT_StockHigh_Sources,COLUMN(),FALSE),VLOOKUP(MO.DataSourceName,MO_SPT_StockHigh_Sources,COLUMN(),FALSE)),"N/A")</f>
        <v/>
      </c>
      <c r="AN451" s="262">
        <f>IFERROR(IF(OR(MO.RealTimeStockPriceToggle=FALSE,VLOOKUP(MO.DataSourceName,MO_SPT_StockHigh_Sources,COLUMN(),FALSE)="N/A"),VLOOKUP("Real-Time Off Source",MO_SPT_StockHigh_Sources,COLUMN(),FALSE),VLOOKUP(MO.DataSourceName,MO_SPT_StockHigh_Sources,COLUMN(),FALSE)),"N/A")</f>
        <v/>
      </c>
      <c r="AO451" s="262">
        <f>IFERROR(IF(OR(MO.RealTimeStockPriceToggle=FALSE,VLOOKUP(MO.DataSourceName,MO_SPT_StockHigh_Sources,COLUMN(),FALSE)="N/A"),VLOOKUP("Real-Time Off Source",MO_SPT_StockHigh_Sources,COLUMN(),FALSE),VLOOKUP(MO.DataSourceName,MO_SPT_StockHigh_Sources,COLUMN(),FALSE)),"N/A")</f>
        <v/>
      </c>
      <c r="AP451" s="262">
        <f>IFERROR(IF(OR(MO.RealTimeStockPriceToggle=FALSE,VLOOKUP(MO.DataSourceName,MO_SPT_StockHigh_Sources,COLUMN(),FALSE)="N/A"),VLOOKUP("Real-Time Off Source",MO_SPT_StockHigh_Sources,COLUMN(),FALSE),VLOOKUP(MO.DataSourceName,MO_SPT_StockHigh_Sources,COLUMN(),FALSE)),"N/A")</f>
        <v/>
      </c>
      <c r="AQ451" s="262">
        <f>IFERROR(IF(OR(MO.RealTimeStockPriceToggle=FALSE,VLOOKUP(MO.DataSourceName,MO_SPT_StockHigh_Sources,COLUMN(),FALSE)="N/A"),VLOOKUP("Real-Time Off Source",MO_SPT_StockHigh_Sources,COLUMN(),FALSE),VLOOKUP(MO.DataSourceName,MO_SPT_StockHigh_Sources,COLUMN(),FALSE)),"N/A")</f>
        <v/>
      </c>
      <c r="AR451" s="262">
        <f>IFERROR(IF(OR(MO.RealTimeStockPriceToggle=FALSE,VLOOKUP(MO.DataSourceName,MO_SPT_StockHigh_Sources,COLUMN(),FALSE)="N/A"),VLOOKUP("Real-Time Off Source",MO_SPT_StockHigh_Sources,COLUMN(),FALSE),VLOOKUP(MO.DataSourceName,MO_SPT_StockHigh_Sources,COLUMN(),FALSE)),"N/A")</f>
        <v/>
      </c>
      <c r="AS451" s="262">
        <f>IFERROR(IF(OR(MO.RealTimeStockPriceToggle=FALSE,VLOOKUP(MO.DataSourceName,MO_SPT_StockHigh_Sources,COLUMN(),FALSE)="N/A"),VLOOKUP("Real-Time Off Source",MO_SPT_StockHigh_Sources,COLUMN(),FALSE),VLOOKUP(MO.DataSourceName,MO_SPT_StockHigh_Sources,COLUMN(),FALSE)),"N/A")</f>
        <v/>
      </c>
      <c r="AT451" s="262">
        <f>IFERROR(IF(OR(MO.RealTimeStockPriceToggle=FALSE,VLOOKUP(MO.DataSourceName,MO_SPT_StockHigh_Sources,COLUMN(),FALSE)="N/A"),VLOOKUP("Real-Time Off Source",MO_SPT_StockHigh_Sources,COLUMN(),FALSE),VLOOKUP(MO.DataSourceName,MO_SPT_StockHigh_Sources,COLUMN(),FALSE)),"N/A")</f>
        <v/>
      </c>
      <c r="AU451" s="262">
        <f>IFERROR(IF(OR(MO.RealTimeStockPriceToggle=FALSE,VLOOKUP(MO.DataSourceName,MO_SPT_StockHigh_Sources,COLUMN(),FALSE)="N/A"),VLOOKUP("Real-Time Off Source",MO_SPT_StockHigh_Sources,COLUMN(),FALSE),VLOOKUP(MO.DataSourceName,MO_SPT_StockHigh_Sources,COLUMN(),FALSE)),"N/A")</f>
        <v/>
      </c>
      <c r="AV451" s="262">
        <f>IFERROR(IF(OR(MO.RealTimeStockPriceToggle=FALSE,VLOOKUP(MO.DataSourceName,MO_SPT_StockHigh_Sources,COLUMN(),FALSE)="N/A"),VLOOKUP("Real-Time Off Source",MO_SPT_StockHigh_Sources,COLUMN(),FALSE),VLOOKUP(MO.DataSourceName,MO_SPT_StockHigh_Sources,COLUMN(),FALSE)),"N/A")</f>
        <v/>
      </c>
      <c r="AW451" s="263">
        <f>IFERROR(IF(OR(MO.RealTimeStockPriceToggle=FALSE,VLOOKUP(MO.DataSourceName,MO_SPT_StockHigh_Sources,COLUMN(),FALSE)="N/A"),VLOOKUP("Real-Time Off Source",MO_SPT_StockHigh_Sources,COLUMN(),FALSE),VLOOKUP(MO.DataSourceName,MO_SPT_StockHigh_Sources,COLUMN(),FALSE)),"N/A")</f>
        <v/>
      </c>
      <c r="AX451" s="232" t="n"/>
    </row>
    <row r="452" hidden="1" outlineLevel="1" customFormat="1" s="226">
      <c r="A452" s="532" t="inlineStr">
        <is>
          <t>Real-Time Off Source</t>
        </is>
      </c>
      <c r="B452" s="262" t="n"/>
      <c r="C452" s="530" t="n">
        <v>19.79</v>
      </c>
      <c r="D452" s="530" t="n">
        <v>27</v>
      </c>
      <c r="E452" s="530" t="n">
        <v>36.45</v>
      </c>
      <c r="F452" s="530" t="n">
        <v>120.05</v>
      </c>
      <c r="G452" s="530" t="n">
        <v>65.77</v>
      </c>
      <c r="H452" s="262" t="n">
        <v>63.09</v>
      </c>
      <c r="I452" s="262" t="n">
        <v>54.89</v>
      </c>
      <c r="J452" s="262" t="n">
        <v>42.45</v>
      </c>
      <c r="K452" s="262" t="n">
        <v>65.77</v>
      </c>
      <c r="L452" s="262" t="n">
        <v>46.04</v>
      </c>
      <c r="M452" s="262" t="n">
        <v>40.8</v>
      </c>
      <c r="N452" s="262" t="n">
        <v>45.15</v>
      </c>
      <c r="O452" s="262" t="n">
        <v>46.96</v>
      </c>
      <c r="P452" s="262" t="n">
        <v>46.96</v>
      </c>
      <c r="Q452" s="262" t="n">
        <v>48.92</v>
      </c>
      <c r="R452" s="262" t="n">
        <v>52.77</v>
      </c>
      <c r="S452" s="262" t="n">
        <v>49.59</v>
      </c>
      <c r="T452" s="262" t="n">
        <v>48.14</v>
      </c>
      <c r="U452" s="262" t="n">
        <v>52.77</v>
      </c>
      <c r="V452" s="262" t="n">
        <v>55.8</v>
      </c>
      <c r="W452" s="262" t="n">
        <v>55.45</v>
      </c>
      <c r="X452" s="262" t="n">
        <v>52.15</v>
      </c>
      <c r="Y452" s="262" t="n">
        <v>46.2</v>
      </c>
      <c r="Z452" s="262" t="n">
        <v>55.8</v>
      </c>
      <c r="AA452" s="262" t="n">
        <v>52.8</v>
      </c>
      <c r="AB452" s="262" t="n">
        <v>52.65</v>
      </c>
      <c r="AC452" s="262" t="n">
        <v>47.95</v>
      </c>
      <c r="AD452" s="262" t="n">
        <v>65.90000000000001</v>
      </c>
      <c r="AE452" s="262" t="n">
        <v>65.90000000000001</v>
      </c>
      <c r="AF452" s="262" t="n">
        <v>75.8</v>
      </c>
      <c r="AG452" s="262" t="n">
        <v>88.59999999999999</v>
      </c>
      <c r="AH452" s="262" t="n">
        <v>86.45</v>
      </c>
      <c r="AI452" s="262" t="n">
        <v>97.48</v>
      </c>
      <c r="AJ452" s="262" t="n">
        <v>97.48</v>
      </c>
      <c r="AK452" s="262" t="n">
        <v>118.36</v>
      </c>
      <c r="AL452" s="531" t="n">
        <v>120.81</v>
      </c>
      <c r="AM452" s="262" t="n"/>
      <c r="AN452" s="262" t="n"/>
      <c r="AO452" s="262" t="n"/>
      <c r="AP452" s="262" t="n"/>
      <c r="AQ452" s="262" t="n"/>
      <c r="AR452" s="262" t="n"/>
      <c r="AS452" s="262" t="n"/>
      <c r="AT452" s="262" t="n"/>
      <c r="AU452" s="262" t="n"/>
      <c r="AV452" s="262" t="n"/>
      <c r="AW452" s="263" t="n"/>
      <c r="AX452" s="232" t="n"/>
    </row>
    <row r="453" hidden="1" outlineLevel="1" customFormat="1" s="226">
      <c r="A453" s="532" t="inlineStr">
        <is>
          <t>Bloomberg</t>
        </is>
      </c>
      <c r="B453" s="262" t="n"/>
      <c r="C453" s="530">
        <f>IFERROR(IFERROR(_xll.BDP(MO.Ticker.Bloomberg&amp;" Equity","INTERVAL_HIGH","MARKET_DATA_OVERRIDE=PX_LAST","START_DATE_OVERRIDE",TEXT(INDEX(MO_SNA_FPStartDate,0,COLUMN()),"YYYYMMDD"),"END_DATE_OVERRIDE",TEXT(INDEX(MO_Common_QEndDate,0,COLUMN()),"YYYYMMDD")),"N/A"),"N/A")</f>
        <v/>
      </c>
      <c r="D453" s="530">
        <f>IFERROR(IFERROR(_xll.BDP(MO.Ticker.Bloomberg&amp;" Equity","INTERVAL_HIGH","MARKET_DATA_OVERRIDE=PX_LAST","START_DATE_OVERRIDE",TEXT(INDEX(MO_SNA_FPStartDate,0,COLUMN()),"YYYYMMDD"),"END_DATE_OVERRIDE",TEXT(INDEX(MO_Common_QEndDate,0,COLUMN()),"YYYYMMDD")),"N/A"),"N/A")</f>
        <v/>
      </c>
      <c r="E453" s="530">
        <f>IFERROR(IFERROR(_xll.BDP(MO.Ticker.Bloomberg&amp;" Equity","INTERVAL_HIGH","MARKET_DATA_OVERRIDE=PX_LAST","START_DATE_OVERRIDE",TEXT(INDEX(MO_SNA_FPStartDate,0,COLUMN()),"YYYYMMDD"),"END_DATE_OVERRIDE",TEXT(INDEX(MO_Common_QEndDate,0,COLUMN()),"YYYYMMDD")),"N/A"),"N/A")</f>
        <v/>
      </c>
      <c r="F453" s="530">
        <f>IFERROR(IFERROR(_xll.BDP(MO.Ticker.Bloomberg&amp;" Equity","INTERVAL_HIGH","MARKET_DATA_OVERRIDE=PX_LAST","START_DATE_OVERRIDE",TEXT(INDEX(MO_SNA_FPStartDate,0,COLUMN()),"YYYYMMDD"),"END_DATE_OVERRIDE",TEXT(INDEX(MO_Common_QEndDate,0,COLUMN()),"YYYYMMDD")),"N/A"),"N/A")</f>
        <v/>
      </c>
      <c r="G453" s="530">
        <f>IFERROR(IFERROR(_xll.BDP(MO.Ticker.Bloomberg&amp;" Equity","INTERVAL_HIGH","MARKET_DATA_OVERRIDE=PX_LAST","START_DATE_OVERRIDE",TEXT(INDEX(MO_SNA_FPStartDate,0,COLUMN()),"YYYYMMDD"),"END_DATE_OVERRIDE",TEXT(INDEX(MO_Common_QEndDate,0,COLUMN()),"YYYYMMDD")),"N/A"),"N/A")</f>
        <v/>
      </c>
      <c r="H453" s="262">
        <f>IFERROR(IFERROR(_xll.BDP(MO.Ticker.Bloomberg&amp;" Equity","INTERVAL_HIGH","MARKET_DATA_OVERRIDE=PX_LAST","START_DATE_OVERRIDE",TEXT(INDEX(MO_SNA_FPStartDate,0,COLUMN()),"YYYYMMDD"),"END_DATE_OVERRIDE",TEXT(INDEX(MO_Common_QEndDate,0,COLUMN()),"YYYYMMDD")),"N/A"),"N/A")</f>
        <v/>
      </c>
      <c r="I453" s="262">
        <f>IFERROR(IFERROR(_xll.BDP(MO.Ticker.Bloomberg&amp;" Equity","INTERVAL_HIGH","MARKET_DATA_OVERRIDE=PX_LAST","START_DATE_OVERRIDE",TEXT(INDEX(MO_SNA_FPStartDate,0,COLUMN()),"YYYYMMDD"),"END_DATE_OVERRIDE",TEXT(INDEX(MO_Common_QEndDate,0,COLUMN()),"YYYYMMDD")),"N/A"),"N/A")</f>
        <v/>
      </c>
      <c r="J453" s="262">
        <f>IFERROR(IFERROR(_xll.BDP(MO.Ticker.Bloomberg&amp;" Equity","INTERVAL_HIGH","MARKET_DATA_OVERRIDE=PX_LAST","START_DATE_OVERRIDE",TEXT(INDEX(MO_SNA_FPStartDate,0,COLUMN()),"YYYYMMDD"),"END_DATE_OVERRIDE",TEXT(INDEX(MO_Common_QEndDate,0,COLUMN()),"YYYYMMDD")),"N/A"),"N/A")</f>
        <v/>
      </c>
      <c r="K453" s="262">
        <f>IFERROR(IFERROR(_xll.BDP(MO.Ticker.Bloomberg&amp;" Equity","INTERVAL_HIGH","MARKET_DATA_OVERRIDE=PX_LAST","START_DATE_OVERRIDE",TEXT(INDEX(MO_SNA_FPStartDate,0,COLUMN()),"YYYYMMDD"),"END_DATE_OVERRIDE",TEXT(INDEX(MO_Common_QEndDate,0,COLUMN()),"YYYYMMDD")),"N/A"),"N/A")</f>
        <v/>
      </c>
      <c r="L453" s="262">
        <f>IFERROR(IFERROR(_xll.BDP(MO.Ticker.Bloomberg&amp;" Equity","INTERVAL_HIGH","MARKET_DATA_OVERRIDE=PX_LAST","START_DATE_OVERRIDE",TEXT(INDEX(MO_SNA_FPStartDate,0,COLUMN()),"YYYYMMDD"),"END_DATE_OVERRIDE",TEXT(INDEX(MO_Common_QEndDate,0,COLUMN()),"YYYYMMDD")),"N/A"),"N/A")</f>
        <v/>
      </c>
      <c r="M453" s="262">
        <f>IFERROR(IFERROR(_xll.BDP(MO.Ticker.Bloomberg&amp;" Equity","INTERVAL_HIGH","MARKET_DATA_OVERRIDE=PX_LAST","START_DATE_OVERRIDE",TEXT(INDEX(MO_SNA_FPStartDate,0,COLUMN()),"YYYYMMDD"),"END_DATE_OVERRIDE",TEXT(INDEX(MO_Common_QEndDate,0,COLUMN()),"YYYYMMDD")),"N/A"),"N/A")</f>
        <v/>
      </c>
      <c r="N453" s="262">
        <f>IFERROR(IFERROR(_xll.BDP(MO.Ticker.Bloomberg&amp;" Equity","INTERVAL_HIGH","MARKET_DATA_OVERRIDE=PX_LAST","START_DATE_OVERRIDE",TEXT(INDEX(MO_SNA_FPStartDate,0,COLUMN()),"YYYYMMDD"),"END_DATE_OVERRIDE",TEXT(INDEX(MO_Common_QEndDate,0,COLUMN()),"YYYYMMDD")),"N/A"),"N/A")</f>
        <v/>
      </c>
      <c r="O453" s="262">
        <f>IFERROR(IFERROR(_xll.BDP(MO.Ticker.Bloomberg&amp;" Equity","INTERVAL_HIGH","MARKET_DATA_OVERRIDE=PX_LAST","START_DATE_OVERRIDE",TEXT(INDEX(MO_SNA_FPStartDate,0,COLUMN()),"YYYYMMDD"),"END_DATE_OVERRIDE",TEXT(INDEX(MO_Common_QEndDate,0,COLUMN()),"YYYYMMDD")),"N/A"),"N/A")</f>
        <v/>
      </c>
      <c r="P453" s="262">
        <f>IFERROR(IFERROR(_xll.BDP(MO.Ticker.Bloomberg&amp;" Equity","INTERVAL_HIGH","MARKET_DATA_OVERRIDE=PX_LAST","START_DATE_OVERRIDE",TEXT(INDEX(MO_SNA_FPStartDate,0,COLUMN()),"YYYYMMDD"),"END_DATE_OVERRIDE",TEXT(INDEX(MO_Common_QEndDate,0,COLUMN()),"YYYYMMDD")),"N/A"),"N/A")</f>
        <v/>
      </c>
      <c r="Q453" s="262">
        <f>IFERROR(IFERROR(_xll.BDP(MO.Ticker.Bloomberg&amp;" Equity","INTERVAL_HIGH","MARKET_DATA_OVERRIDE=PX_LAST","START_DATE_OVERRIDE",TEXT(INDEX(MO_SNA_FPStartDate,0,COLUMN()),"YYYYMMDD"),"END_DATE_OVERRIDE",TEXT(INDEX(MO_Common_QEndDate,0,COLUMN()),"YYYYMMDD")),"N/A"),"N/A")</f>
        <v/>
      </c>
      <c r="R453" s="262">
        <f>IFERROR(IFERROR(_xll.BDP(MO.Ticker.Bloomberg&amp;" Equity","INTERVAL_HIGH","MARKET_DATA_OVERRIDE=PX_LAST","START_DATE_OVERRIDE",TEXT(INDEX(MO_SNA_FPStartDate,0,COLUMN()),"YYYYMMDD"),"END_DATE_OVERRIDE",TEXT(INDEX(MO_Common_QEndDate,0,COLUMN()),"YYYYMMDD")),"N/A"),"N/A")</f>
        <v/>
      </c>
      <c r="S453" s="262">
        <f>IFERROR(IFERROR(_xll.BDP(MO.Ticker.Bloomberg&amp;" Equity","INTERVAL_HIGH","MARKET_DATA_OVERRIDE=PX_LAST","START_DATE_OVERRIDE",TEXT(INDEX(MO_SNA_FPStartDate,0,COLUMN()),"YYYYMMDD"),"END_DATE_OVERRIDE",TEXT(INDEX(MO_Common_QEndDate,0,COLUMN()),"YYYYMMDD")),"N/A"),"N/A")</f>
        <v/>
      </c>
      <c r="T453" s="262">
        <f>IFERROR(IFERROR(_xll.BDP(MO.Ticker.Bloomberg&amp;" Equity","INTERVAL_HIGH","MARKET_DATA_OVERRIDE=PX_LAST","START_DATE_OVERRIDE",TEXT(INDEX(MO_SNA_FPStartDate,0,COLUMN()),"YYYYMMDD"),"END_DATE_OVERRIDE",TEXT(INDEX(MO_Common_QEndDate,0,COLUMN()),"YYYYMMDD")),"N/A"),"N/A")</f>
        <v/>
      </c>
      <c r="U453" s="262">
        <f>IFERROR(IFERROR(_xll.BDP(MO.Ticker.Bloomberg&amp;" Equity","INTERVAL_HIGH","MARKET_DATA_OVERRIDE=PX_LAST","START_DATE_OVERRIDE",TEXT(INDEX(MO_SNA_FPStartDate,0,COLUMN()),"YYYYMMDD"),"END_DATE_OVERRIDE",TEXT(INDEX(MO_Common_QEndDate,0,COLUMN()),"YYYYMMDD")),"N/A"),"N/A")</f>
        <v/>
      </c>
      <c r="V453" s="262">
        <f>IFERROR(IFERROR(_xll.BDP(MO.Ticker.Bloomberg&amp;" Equity","INTERVAL_HIGH","MARKET_DATA_OVERRIDE=PX_LAST","START_DATE_OVERRIDE",TEXT(INDEX(MO_SNA_FPStartDate,0,COLUMN()),"YYYYMMDD"),"END_DATE_OVERRIDE",TEXT(INDEX(MO_Common_QEndDate,0,COLUMN()),"YYYYMMDD")),"N/A"),"N/A")</f>
        <v/>
      </c>
      <c r="W453" s="262">
        <f>IFERROR(IFERROR(_xll.BDP(MO.Ticker.Bloomberg&amp;" Equity","INTERVAL_HIGH","MARKET_DATA_OVERRIDE=PX_LAST","START_DATE_OVERRIDE",TEXT(INDEX(MO_SNA_FPStartDate,0,COLUMN()),"YYYYMMDD"),"END_DATE_OVERRIDE",TEXT(INDEX(MO_Common_QEndDate,0,COLUMN()),"YYYYMMDD")),"N/A"),"N/A")</f>
        <v/>
      </c>
      <c r="X453" s="262">
        <f>IFERROR(IFERROR(_xll.BDP(MO.Ticker.Bloomberg&amp;" Equity","INTERVAL_HIGH","MARKET_DATA_OVERRIDE=PX_LAST","START_DATE_OVERRIDE",TEXT(INDEX(MO_SNA_FPStartDate,0,COLUMN()),"YYYYMMDD"),"END_DATE_OVERRIDE",TEXT(INDEX(MO_Common_QEndDate,0,COLUMN()),"YYYYMMDD")),"N/A"),"N/A")</f>
        <v/>
      </c>
      <c r="Y453" s="262">
        <f>IFERROR(IFERROR(_xll.BDP(MO.Ticker.Bloomberg&amp;" Equity","INTERVAL_HIGH","MARKET_DATA_OVERRIDE=PX_LAST","START_DATE_OVERRIDE",TEXT(INDEX(MO_SNA_FPStartDate,0,COLUMN()),"YYYYMMDD"),"END_DATE_OVERRIDE",TEXT(INDEX(MO_Common_QEndDate,0,COLUMN()),"YYYYMMDD")),"N/A"),"N/A")</f>
        <v/>
      </c>
      <c r="Z453" s="262">
        <f>IFERROR(IFERROR(_xll.BDP(MO.Ticker.Bloomberg&amp;" Equity","INTERVAL_HIGH","MARKET_DATA_OVERRIDE=PX_LAST","START_DATE_OVERRIDE",TEXT(INDEX(MO_SNA_FPStartDate,0,COLUMN()),"YYYYMMDD"),"END_DATE_OVERRIDE",TEXT(INDEX(MO_Common_QEndDate,0,COLUMN()),"YYYYMMDD")),"N/A"),"N/A")</f>
        <v/>
      </c>
      <c r="AA453" s="262">
        <f>IFERROR(IFERROR(_xll.BDP(MO.Ticker.Bloomberg&amp;" Equity","INTERVAL_HIGH","MARKET_DATA_OVERRIDE=PX_LAST","START_DATE_OVERRIDE",TEXT(INDEX(MO_SNA_FPStartDate,0,COLUMN()),"YYYYMMDD"),"END_DATE_OVERRIDE",TEXT(INDEX(MO_Common_QEndDate,0,COLUMN()),"YYYYMMDD")),"N/A"),"N/A")</f>
        <v/>
      </c>
      <c r="AB453" s="262">
        <f>IFERROR(IFERROR(_xll.BDP(MO.Ticker.Bloomberg&amp;" Equity","INTERVAL_HIGH","MARKET_DATA_OVERRIDE=PX_LAST","START_DATE_OVERRIDE",TEXT(INDEX(MO_SNA_FPStartDate,0,COLUMN()),"YYYYMMDD"),"END_DATE_OVERRIDE",TEXT(INDEX(MO_Common_QEndDate,0,COLUMN()),"YYYYMMDD")),"N/A"),"N/A")</f>
        <v/>
      </c>
      <c r="AC453" s="262">
        <f>IFERROR(IFERROR(_xll.BDP(MO.Ticker.Bloomberg&amp;" Equity","INTERVAL_HIGH","MARKET_DATA_OVERRIDE=PX_LAST","START_DATE_OVERRIDE",TEXT(INDEX(MO_SNA_FPStartDate,0,COLUMN()),"YYYYMMDD"),"END_DATE_OVERRIDE",TEXT(INDEX(MO_Common_QEndDate,0,COLUMN()),"YYYYMMDD")),"N/A"),"N/A")</f>
        <v/>
      </c>
      <c r="AD453" s="262">
        <f>IFERROR(IFERROR(_xll.BDP(MO.Ticker.Bloomberg&amp;" Equity","INTERVAL_HIGH","MARKET_DATA_OVERRIDE=PX_LAST","START_DATE_OVERRIDE",TEXT(INDEX(MO_SNA_FPStartDate,0,COLUMN()),"YYYYMMDD"),"END_DATE_OVERRIDE",TEXT(INDEX(MO_Common_QEndDate,0,COLUMN()),"YYYYMMDD")),"N/A"),"N/A")</f>
        <v/>
      </c>
      <c r="AE453" s="262">
        <f>IFERROR(IFERROR(_xll.BDP(MO.Ticker.Bloomberg&amp;" Equity","INTERVAL_HIGH","MARKET_DATA_OVERRIDE=PX_LAST","START_DATE_OVERRIDE",TEXT(INDEX(MO_SNA_FPStartDate,0,COLUMN()),"YYYYMMDD"),"END_DATE_OVERRIDE",TEXT(INDEX(MO_Common_QEndDate,0,COLUMN()),"YYYYMMDD")),"N/A"),"N/A")</f>
        <v/>
      </c>
      <c r="AF453" s="262">
        <f>IFERROR(IFERROR(_xll.BDP(MO.Ticker.Bloomberg&amp;" Equity","INTERVAL_HIGH","MARKET_DATA_OVERRIDE=PX_LAST","START_DATE_OVERRIDE",TEXT(INDEX(MO_SNA_FPStartDate,0,COLUMN()),"YYYYMMDD"),"END_DATE_OVERRIDE",TEXT(INDEX(MO_Common_QEndDate,0,COLUMN()),"YYYYMMDD")),"N/A"),"N/A")</f>
        <v/>
      </c>
      <c r="AG453" s="262">
        <f>IFERROR(IFERROR(_xll.BDP(MO.Ticker.Bloomberg&amp;" Equity","INTERVAL_HIGH","MARKET_DATA_OVERRIDE=PX_LAST","START_DATE_OVERRIDE",TEXT(INDEX(MO_SNA_FPStartDate,0,COLUMN()),"YYYYMMDD"),"END_DATE_OVERRIDE",TEXT(INDEX(MO_Common_QEndDate,0,COLUMN()),"YYYYMMDD")),"N/A"),"N/A")</f>
        <v/>
      </c>
      <c r="AH453" s="262">
        <f>IFERROR(IFERROR(_xll.BDP(MO.Ticker.Bloomberg&amp;" Equity","INTERVAL_HIGH","MARKET_DATA_OVERRIDE=PX_LAST","START_DATE_OVERRIDE",TEXT(INDEX(MO_SNA_FPStartDate,0,COLUMN()),"YYYYMMDD"),"END_DATE_OVERRIDE",TEXT(INDEX(MO_Common_QEndDate,0,COLUMN()),"YYYYMMDD")),"N/A"),"N/A")</f>
        <v/>
      </c>
      <c r="AI453" s="262">
        <f>IFERROR(IFERROR(_xll.BDP(MO.Ticker.Bloomberg&amp;" Equity","INTERVAL_HIGH","MARKET_DATA_OVERRIDE=PX_LAST","START_DATE_OVERRIDE",TEXT(INDEX(MO_SNA_FPStartDate,0,COLUMN()),"YYYYMMDD"),"END_DATE_OVERRIDE",TEXT(INDEX(MO_Common_QEndDate,0,COLUMN()),"YYYYMMDD")),"N/A"),"N/A")</f>
        <v/>
      </c>
      <c r="AJ453" s="262">
        <f>IFERROR(IFERROR(_xll.BDP(MO.Ticker.Bloomberg&amp;" Equity","INTERVAL_HIGH","MARKET_DATA_OVERRIDE=PX_LAST","START_DATE_OVERRIDE",TEXT(INDEX(MO_SNA_FPStartDate,0,COLUMN()),"YYYYMMDD"),"END_DATE_OVERRIDE",TEXT(INDEX(MO_Common_QEndDate,0,COLUMN()),"YYYYMMDD")),"N/A"),"N/A")</f>
        <v/>
      </c>
      <c r="AK453" s="262">
        <f>IFERROR(IFERROR(_xll.BDP(MO.Ticker.Bloomberg&amp;" Equity","INTERVAL_HIGH","MARKET_DATA_OVERRIDE=PX_LAST","START_DATE_OVERRIDE",TEXT(INDEX(MO_SNA_FPStartDate,0,COLUMN()),"YYYYMMDD"),"END_DATE_OVERRIDE",TEXT(INDEX(MO_Common_QEndDate,0,COLUMN()),"YYYYMMDD")),"N/A"),"N/A")</f>
        <v/>
      </c>
      <c r="AL453" s="531">
        <f>IFERROR(IFERROR(_xll.BDP(MO.Ticker.Bloomberg&amp;" Equity","INTERVAL_HIGH","MARKET_DATA_OVERRIDE=PX_LAST","START_DATE_OVERRIDE",TEXT(INDEX(MO_SNA_FPStartDate,0,COLUMN()),"YYYYMMDD"),"END_DATE_OVERRIDE",TEXT(INDEX(MO_Common_QEndDate,0,COLUMN()),"YYYYMMDD")),"N/A"),"N/A")</f>
        <v/>
      </c>
      <c r="AM453" s="262">
        <f>IFERROR(IFERROR(_xll.BDP(MO.Ticker.Bloomberg&amp;" Equity","INTERVAL_HIGH","MARKET_DATA_OVERRIDE=PX_LAST","START_DATE_OVERRIDE",TEXT(INDEX(MO_SNA_FPStartDate,0,COLUMN()),"YYYYMMDD"),"END_DATE_OVERRIDE",TEXT(INDEX(MO_Common_QEndDate,0,COLUMN()),"YYYYMMDD")),"N/A"),"N/A")</f>
        <v/>
      </c>
      <c r="AN453" s="262">
        <f>IFERROR(IFERROR(_xll.BDP(MO.Ticker.Bloomberg&amp;" Equity","INTERVAL_HIGH","MARKET_DATA_OVERRIDE=PX_LAST","START_DATE_OVERRIDE",TEXT(INDEX(MO_SNA_FPStartDate,0,COLUMN()),"YYYYMMDD"),"END_DATE_OVERRIDE",TEXT(INDEX(MO_Common_QEndDate,0,COLUMN()),"YYYYMMDD")),"N/A"),"N/A")</f>
        <v/>
      </c>
      <c r="AO453" s="262">
        <f>IFERROR(IFERROR(_xll.BDP(MO.Ticker.Bloomberg&amp;" Equity","INTERVAL_HIGH","MARKET_DATA_OVERRIDE=PX_LAST","START_DATE_OVERRIDE",TEXT(INDEX(MO_SNA_FPStartDate,0,COLUMN()),"YYYYMMDD"),"END_DATE_OVERRIDE",TEXT(INDEX(MO_Common_QEndDate,0,COLUMN()),"YYYYMMDD")),"N/A"),"N/A")</f>
        <v/>
      </c>
      <c r="AP453" s="262">
        <f>IFERROR(IFERROR(_xll.BDP(MO.Ticker.Bloomberg&amp;" Equity","INTERVAL_HIGH","MARKET_DATA_OVERRIDE=PX_LAST","START_DATE_OVERRIDE",TEXT(INDEX(MO_SNA_FPStartDate,0,COLUMN()),"YYYYMMDD"),"END_DATE_OVERRIDE",TEXT(INDEX(MO_Common_QEndDate,0,COLUMN()),"YYYYMMDD")),"N/A"),"N/A")</f>
        <v/>
      </c>
      <c r="AQ453" s="262">
        <f>IFERROR(IFERROR(_xll.BDP(MO.Ticker.Bloomberg&amp;" Equity","INTERVAL_HIGH","MARKET_DATA_OVERRIDE=PX_LAST","START_DATE_OVERRIDE",TEXT(INDEX(MO_SNA_FPStartDate,0,COLUMN()),"YYYYMMDD"),"END_DATE_OVERRIDE",TEXT(INDEX(MO_Common_QEndDate,0,COLUMN()),"YYYYMMDD")),"N/A"),"N/A")</f>
        <v/>
      </c>
      <c r="AR453" s="262">
        <f>IFERROR(IFERROR(_xll.BDP(MO.Ticker.Bloomberg&amp;" Equity","INTERVAL_HIGH","MARKET_DATA_OVERRIDE=PX_LAST","START_DATE_OVERRIDE",TEXT(INDEX(MO_SNA_FPStartDate,0,COLUMN()),"YYYYMMDD"),"END_DATE_OVERRIDE",TEXT(INDEX(MO_Common_QEndDate,0,COLUMN()),"YYYYMMDD")),"N/A"),"N/A")</f>
        <v/>
      </c>
      <c r="AS453" s="262">
        <f>IFERROR(IFERROR(_xll.BDP(MO.Ticker.Bloomberg&amp;" Equity","INTERVAL_HIGH","MARKET_DATA_OVERRIDE=PX_LAST","START_DATE_OVERRIDE",TEXT(INDEX(MO_SNA_FPStartDate,0,COLUMN()),"YYYYMMDD"),"END_DATE_OVERRIDE",TEXT(INDEX(MO_Common_QEndDate,0,COLUMN()),"YYYYMMDD")),"N/A"),"N/A")</f>
        <v/>
      </c>
      <c r="AT453" s="262">
        <f>IFERROR(IFERROR(_xll.BDP(MO.Ticker.Bloomberg&amp;" Equity","INTERVAL_HIGH","MARKET_DATA_OVERRIDE=PX_LAST","START_DATE_OVERRIDE",TEXT(INDEX(MO_SNA_FPStartDate,0,COLUMN()),"YYYYMMDD"),"END_DATE_OVERRIDE",TEXT(INDEX(MO_Common_QEndDate,0,COLUMN()),"YYYYMMDD")),"N/A"),"N/A")</f>
        <v/>
      </c>
      <c r="AU453" s="262">
        <f>IFERROR(IFERROR(_xll.BDP(MO.Ticker.Bloomberg&amp;" Equity","INTERVAL_HIGH","MARKET_DATA_OVERRIDE=PX_LAST","START_DATE_OVERRIDE",TEXT(INDEX(MO_SNA_FPStartDate,0,COLUMN()),"YYYYMMDD"),"END_DATE_OVERRIDE",TEXT(INDEX(MO_Common_QEndDate,0,COLUMN()),"YYYYMMDD")),"N/A"),"N/A")</f>
        <v/>
      </c>
      <c r="AV453" s="262">
        <f>IFERROR(IFERROR(_xll.BDP(MO.Ticker.Bloomberg&amp;" Equity","INTERVAL_HIGH","MARKET_DATA_OVERRIDE=PX_LAST","START_DATE_OVERRIDE",TEXT(INDEX(MO_SNA_FPStartDate,0,COLUMN()),"YYYYMMDD"),"END_DATE_OVERRIDE",TEXT(INDEX(MO_Common_QEndDate,0,COLUMN()),"YYYYMMDD")),"N/A"),"N/A")</f>
        <v/>
      </c>
      <c r="AW453" s="263">
        <f>IFERROR(IFERROR(_xll.BDP(MO.Ticker.Bloomberg&amp;" Equity","INTERVAL_HIGH","MARKET_DATA_OVERRIDE=PX_LAST","START_DATE_OVERRIDE",TEXT(INDEX(MO_SNA_FPStartDate,0,COLUMN()),"YYYYMMDD"),"END_DATE_OVERRIDE",TEXT(INDEX(MO_Common_QEndDate,0,COLUMN()),"YYYYMMDD")),"N/A"),"N/A")</f>
        <v/>
      </c>
      <c r="AX453" s="232" t="n"/>
    </row>
    <row r="454" hidden="1" outlineLevel="1" customFormat="1" s="226">
      <c r="A454" s="532" t="inlineStr">
        <is>
          <t>Capital IQ</t>
        </is>
      </c>
      <c r="B454" s="262" t="n"/>
      <c r="C454" s="530">
        <f>IFERROR(IFERROR(_xll.CIQHI(MO.Ticker.CapIQ,"IQ_LASTSALEPRICE",INDEX(MO_SNA_FPStartDate,0,COLUMN()),INDEX(MO_Common_QEndDate,0,COLUMN())),"N/A"),"N/A")</f>
        <v/>
      </c>
      <c r="D454" s="530">
        <f>IFERROR(IFERROR(_xll.CIQHI(MO.Ticker.CapIQ,"IQ_LASTSALEPRICE",INDEX(MO_SNA_FPStartDate,0,COLUMN()),INDEX(MO_Common_QEndDate,0,COLUMN())),"N/A"),"N/A")</f>
        <v/>
      </c>
      <c r="E454" s="530">
        <f>IFERROR(IFERROR(_xll.CIQHI(MO.Ticker.CapIQ,"IQ_LASTSALEPRICE",INDEX(MO_SNA_FPStartDate,0,COLUMN()),INDEX(MO_Common_QEndDate,0,COLUMN())),"N/A"),"N/A")</f>
        <v/>
      </c>
      <c r="F454" s="530">
        <f>IFERROR(IFERROR(_xll.CIQHI(MO.Ticker.CapIQ,"IQ_LASTSALEPRICE",INDEX(MO_SNA_FPStartDate,0,COLUMN()),INDEX(MO_Common_QEndDate,0,COLUMN())),"N/A"),"N/A")</f>
        <v/>
      </c>
      <c r="G454" s="530">
        <f>IFERROR(IFERROR(_xll.CIQHI(MO.Ticker.CapIQ,"IQ_LASTSALEPRICE",INDEX(MO_SNA_FPStartDate,0,COLUMN()),INDEX(MO_Common_QEndDate,0,COLUMN())),"N/A"),"N/A")</f>
        <v/>
      </c>
      <c r="H454" s="262">
        <f>IFERROR(IFERROR(_xll.CIQHI(MO.Ticker.CapIQ,"IQ_LASTSALEPRICE",INDEX(MO_SNA_FPStartDate,0,COLUMN()),INDEX(MO_Common_QEndDate,0,COLUMN())),"N/A"),"N/A")</f>
        <v/>
      </c>
      <c r="I454" s="262">
        <f>IFERROR(IFERROR(_xll.CIQHI(MO.Ticker.CapIQ,"IQ_LASTSALEPRICE",INDEX(MO_SNA_FPStartDate,0,COLUMN()),INDEX(MO_Common_QEndDate,0,COLUMN())),"N/A"),"N/A")</f>
        <v/>
      </c>
      <c r="J454" s="262">
        <f>IFERROR(IFERROR(_xll.CIQHI(MO.Ticker.CapIQ,"IQ_LASTSALEPRICE",INDEX(MO_SNA_FPStartDate,0,COLUMN()),INDEX(MO_Common_QEndDate,0,COLUMN())),"N/A"),"N/A")</f>
        <v/>
      </c>
      <c r="K454" s="262">
        <f>IFERROR(IFERROR(_xll.CIQHI(MO.Ticker.CapIQ,"IQ_LASTSALEPRICE",INDEX(MO_SNA_FPStartDate,0,COLUMN()),INDEX(MO_Common_QEndDate,0,COLUMN())),"N/A"),"N/A")</f>
        <v/>
      </c>
      <c r="L454" s="262">
        <f>IFERROR(IFERROR(_xll.CIQHI(MO.Ticker.CapIQ,"IQ_LASTSALEPRICE",INDEX(MO_SNA_FPStartDate,0,COLUMN()),INDEX(MO_Common_QEndDate,0,COLUMN())),"N/A"),"N/A")</f>
        <v/>
      </c>
      <c r="M454" s="262">
        <f>IFERROR(IFERROR(_xll.CIQHI(MO.Ticker.CapIQ,"IQ_LASTSALEPRICE",INDEX(MO_SNA_FPStartDate,0,COLUMN()),INDEX(MO_Common_QEndDate,0,COLUMN())),"N/A"),"N/A")</f>
        <v/>
      </c>
      <c r="N454" s="262">
        <f>IFERROR(IFERROR(_xll.CIQHI(MO.Ticker.CapIQ,"IQ_LASTSALEPRICE",INDEX(MO_SNA_FPStartDate,0,COLUMN()),INDEX(MO_Common_QEndDate,0,COLUMN())),"N/A"),"N/A")</f>
        <v/>
      </c>
      <c r="O454" s="262">
        <f>IFERROR(IFERROR(_xll.CIQHI(MO.Ticker.CapIQ,"IQ_LASTSALEPRICE",INDEX(MO_SNA_FPStartDate,0,COLUMN()),INDEX(MO_Common_QEndDate,0,COLUMN())),"N/A"),"N/A")</f>
        <v/>
      </c>
      <c r="P454" s="262">
        <f>IFERROR(IFERROR(_xll.CIQHI(MO.Ticker.CapIQ,"IQ_LASTSALEPRICE",INDEX(MO_SNA_FPStartDate,0,COLUMN()),INDEX(MO_Common_QEndDate,0,COLUMN())),"N/A"),"N/A")</f>
        <v/>
      </c>
      <c r="Q454" s="262">
        <f>IFERROR(IFERROR(_xll.CIQHI(MO.Ticker.CapIQ,"IQ_LASTSALEPRICE",INDEX(MO_SNA_FPStartDate,0,COLUMN()),INDEX(MO_Common_QEndDate,0,COLUMN())),"N/A"),"N/A")</f>
        <v/>
      </c>
      <c r="R454" s="262">
        <f>IFERROR(IFERROR(_xll.CIQHI(MO.Ticker.CapIQ,"IQ_LASTSALEPRICE",INDEX(MO_SNA_FPStartDate,0,COLUMN()),INDEX(MO_Common_QEndDate,0,COLUMN())),"N/A"),"N/A")</f>
        <v/>
      </c>
      <c r="S454" s="262">
        <f>IFERROR(IFERROR(_xll.CIQHI(MO.Ticker.CapIQ,"IQ_LASTSALEPRICE",INDEX(MO_SNA_FPStartDate,0,COLUMN()),INDEX(MO_Common_QEndDate,0,COLUMN())),"N/A"),"N/A")</f>
        <v/>
      </c>
      <c r="T454" s="262">
        <f>IFERROR(IFERROR(_xll.CIQHI(MO.Ticker.CapIQ,"IQ_LASTSALEPRICE",INDEX(MO_SNA_FPStartDate,0,COLUMN()),INDEX(MO_Common_QEndDate,0,COLUMN())),"N/A"),"N/A")</f>
        <v/>
      </c>
      <c r="U454" s="262">
        <f>IFERROR(IFERROR(_xll.CIQHI(MO.Ticker.CapIQ,"IQ_LASTSALEPRICE",INDEX(MO_SNA_FPStartDate,0,COLUMN()),INDEX(MO_Common_QEndDate,0,COLUMN())),"N/A"),"N/A")</f>
        <v/>
      </c>
      <c r="V454" s="262">
        <f>IFERROR(IFERROR(_xll.CIQHI(MO.Ticker.CapIQ,"IQ_LASTSALEPRICE",INDEX(MO_SNA_FPStartDate,0,COLUMN()),INDEX(MO_Common_QEndDate,0,COLUMN())),"N/A"),"N/A")</f>
        <v/>
      </c>
      <c r="W454" s="262">
        <f>IFERROR(IFERROR(_xll.CIQHI(MO.Ticker.CapIQ,"IQ_LASTSALEPRICE",INDEX(MO_SNA_FPStartDate,0,COLUMN()),INDEX(MO_Common_QEndDate,0,COLUMN())),"N/A"),"N/A")</f>
        <v/>
      </c>
      <c r="X454" s="262">
        <f>IFERROR(IFERROR(_xll.CIQHI(MO.Ticker.CapIQ,"IQ_LASTSALEPRICE",INDEX(MO_SNA_FPStartDate,0,COLUMN()),INDEX(MO_Common_QEndDate,0,COLUMN())),"N/A"),"N/A")</f>
        <v/>
      </c>
      <c r="Y454" s="262">
        <f>IFERROR(IFERROR(_xll.CIQHI(MO.Ticker.CapIQ,"IQ_LASTSALEPRICE",INDEX(MO_SNA_FPStartDate,0,COLUMN()),INDEX(MO_Common_QEndDate,0,COLUMN())),"N/A"),"N/A")</f>
        <v/>
      </c>
      <c r="Z454" s="262">
        <f>IFERROR(IFERROR(_xll.CIQHI(MO.Ticker.CapIQ,"IQ_LASTSALEPRICE",INDEX(MO_SNA_FPStartDate,0,COLUMN()),INDEX(MO_Common_QEndDate,0,COLUMN())),"N/A"),"N/A")</f>
        <v/>
      </c>
      <c r="AA454" s="262">
        <f>IFERROR(IFERROR(_xll.CIQHI(MO.Ticker.CapIQ,"IQ_LASTSALEPRICE",INDEX(MO_SNA_FPStartDate,0,COLUMN()),INDEX(MO_Common_QEndDate,0,COLUMN())),"N/A"),"N/A")</f>
        <v/>
      </c>
      <c r="AB454" s="262">
        <f>IFERROR(IFERROR(_xll.CIQHI(MO.Ticker.CapIQ,"IQ_LASTSALEPRICE",INDEX(MO_SNA_FPStartDate,0,COLUMN()),INDEX(MO_Common_QEndDate,0,COLUMN())),"N/A"),"N/A")</f>
        <v/>
      </c>
      <c r="AC454" s="262">
        <f>IFERROR(IFERROR(_xll.CIQHI(MO.Ticker.CapIQ,"IQ_LASTSALEPRICE",INDEX(MO_SNA_FPStartDate,0,COLUMN()),INDEX(MO_Common_QEndDate,0,COLUMN())),"N/A"),"N/A")</f>
        <v/>
      </c>
      <c r="AD454" s="262">
        <f>IFERROR(IFERROR(_xll.CIQHI(MO.Ticker.CapIQ,"IQ_LASTSALEPRICE",INDEX(MO_SNA_FPStartDate,0,COLUMN()),INDEX(MO_Common_QEndDate,0,COLUMN())),"N/A"),"N/A")</f>
        <v/>
      </c>
      <c r="AE454" s="262">
        <f>IFERROR(IFERROR(_xll.CIQHI(MO.Ticker.CapIQ,"IQ_LASTSALEPRICE",INDEX(MO_SNA_FPStartDate,0,COLUMN()),INDEX(MO_Common_QEndDate,0,COLUMN())),"N/A"),"N/A")</f>
        <v/>
      </c>
      <c r="AF454" s="262">
        <f>IFERROR(IFERROR(_xll.CIQHI(MO.Ticker.CapIQ,"IQ_LASTSALEPRICE",INDEX(MO_SNA_FPStartDate,0,COLUMN()),INDEX(MO_Common_QEndDate,0,COLUMN())),"N/A"),"N/A")</f>
        <v/>
      </c>
      <c r="AG454" s="262">
        <f>IFERROR(IFERROR(_xll.CIQHI(MO.Ticker.CapIQ,"IQ_LASTSALEPRICE",INDEX(MO_SNA_FPStartDate,0,COLUMN()),INDEX(MO_Common_QEndDate,0,COLUMN())),"N/A"),"N/A")</f>
        <v/>
      </c>
      <c r="AH454" s="262">
        <f>IFERROR(IFERROR(_xll.CIQHI(MO.Ticker.CapIQ,"IQ_LASTSALEPRICE",INDEX(MO_SNA_FPStartDate,0,COLUMN()),INDEX(MO_Common_QEndDate,0,COLUMN())),"N/A"),"N/A")</f>
        <v/>
      </c>
      <c r="AI454" s="262">
        <f>IFERROR(IFERROR(_xll.CIQHI(MO.Ticker.CapIQ,"IQ_LASTSALEPRICE",INDEX(MO_SNA_FPStartDate,0,COLUMN()),INDEX(MO_Common_QEndDate,0,COLUMN())),"N/A"),"N/A")</f>
        <v/>
      </c>
      <c r="AJ454" s="262">
        <f>IFERROR(IFERROR(_xll.CIQHI(MO.Ticker.CapIQ,"IQ_LASTSALEPRICE",INDEX(MO_SNA_FPStartDate,0,COLUMN()),INDEX(MO_Common_QEndDate,0,COLUMN())),"N/A"),"N/A")</f>
        <v/>
      </c>
      <c r="AK454" s="262">
        <f>IFERROR(IFERROR(_xll.CIQHI(MO.Ticker.CapIQ,"IQ_LASTSALEPRICE",INDEX(MO_SNA_FPStartDate,0,COLUMN()),INDEX(MO_Common_QEndDate,0,COLUMN())),"N/A"),"N/A")</f>
        <v/>
      </c>
      <c r="AL454" s="531">
        <f>IFERROR(IFERROR(_xll.CIQHI(MO.Ticker.CapIQ,"IQ_LASTSALEPRICE",INDEX(MO_SNA_FPStartDate,0,COLUMN()),INDEX(MO_Common_QEndDate,0,COLUMN())),"N/A"),"N/A")</f>
        <v/>
      </c>
      <c r="AM454" s="262">
        <f>IFERROR(IFERROR(_xll.CIQHI(MO.Ticker.CapIQ,"IQ_LASTSALEPRICE",INDEX(MO_SNA_FPStartDate,0,COLUMN()),INDEX(MO_Common_QEndDate,0,COLUMN())),"N/A"),"N/A")</f>
        <v/>
      </c>
      <c r="AN454" s="262">
        <f>IFERROR(IFERROR(_xll.CIQHI(MO.Ticker.CapIQ,"IQ_LASTSALEPRICE",INDEX(MO_SNA_FPStartDate,0,COLUMN()),INDEX(MO_Common_QEndDate,0,COLUMN())),"N/A"),"N/A")</f>
        <v/>
      </c>
      <c r="AO454" s="262">
        <f>IFERROR(IFERROR(_xll.CIQHI(MO.Ticker.CapIQ,"IQ_LASTSALEPRICE",INDEX(MO_SNA_FPStartDate,0,COLUMN()),INDEX(MO_Common_QEndDate,0,COLUMN())),"N/A"),"N/A")</f>
        <v/>
      </c>
      <c r="AP454" s="262">
        <f>IFERROR(IFERROR(_xll.CIQHI(MO.Ticker.CapIQ,"IQ_LASTSALEPRICE",INDEX(MO_SNA_FPStartDate,0,COLUMN()),INDEX(MO_Common_QEndDate,0,COLUMN())),"N/A"),"N/A")</f>
        <v/>
      </c>
      <c r="AQ454" s="262">
        <f>IFERROR(IFERROR(_xll.CIQHI(MO.Ticker.CapIQ,"IQ_LASTSALEPRICE",INDEX(MO_SNA_FPStartDate,0,COLUMN()),INDEX(MO_Common_QEndDate,0,COLUMN())),"N/A"),"N/A")</f>
        <v/>
      </c>
      <c r="AR454" s="262">
        <f>IFERROR(IFERROR(_xll.CIQHI(MO.Ticker.CapIQ,"IQ_LASTSALEPRICE",INDEX(MO_SNA_FPStartDate,0,COLUMN()),INDEX(MO_Common_QEndDate,0,COLUMN())),"N/A"),"N/A")</f>
        <v/>
      </c>
      <c r="AS454" s="262">
        <f>IFERROR(IFERROR(_xll.CIQHI(MO.Ticker.CapIQ,"IQ_LASTSALEPRICE",INDEX(MO_SNA_FPStartDate,0,COLUMN()),INDEX(MO_Common_QEndDate,0,COLUMN())),"N/A"),"N/A")</f>
        <v/>
      </c>
      <c r="AT454" s="262">
        <f>IFERROR(IFERROR(_xll.CIQHI(MO.Ticker.CapIQ,"IQ_LASTSALEPRICE",INDEX(MO_SNA_FPStartDate,0,COLUMN()),INDEX(MO_Common_QEndDate,0,COLUMN())),"N/A"),"N/A")</f>
        <v/>
      </c>
      <c r="AU454" s="262">
        <f>IFERROR(IFERROR(_xll.CIQHI(MO.Ticker.CapIQ,"IQ_LASTSALEPRICE",INDEX(MO_SNA_FPStartDate,0,COLUMN()),INDEX(MO_Common_QEndDate,0,COLUMN())),"N/A"),"N/A")</f>
        <v/>
      </c>
      <c r="AV454" s="262">
        <f>IFERROR(IFERROR(_xll.CIQHI(MO.Ticker.CapIQ,"IQ_LASTSALEPRICE",INDEX(MO_SNA_FPStartDate,0,COLUMN()),INDEX(MO_Common_QEndDate,0,COLUMN())),"N/A"),"N/A")</f>
        <v/>
      </c>
      <c r="AW454" s="263">
        <f>IFERROR(IFERROR(_xll.CIQHI(MO.Ticker.CapIQ,"IQ_LASTSALEPRICE",INDEX(MO_SNA_FPStartDate,0,COLUMN()),INDEX(MO_Common_QEndDate,0,COLUMN())),"N/A"),"N/A")</f>
        <v/>
      </c>
      <c r="AX454" s="232" t="n"/>
    </row>
    <row r="455" hidden="1" outlineLevel="1" customFormat="1" s="226">
      <c r="A455" s="532" t="inlineStr">
        <is>
          <t>FactSet</t>
        </is>
      </c>
      <c r="B455" s="262" t="n"/>
      <c r="C455" s="530">
        <f>IFERROR(IFERROR(_xll.FDS(MO.Ticker.FactSet,"P_PRICE_HIGH"&amp;"("&amp;INDEX(MO_SNA_FPStartDate,0,COLUMN())&amp;","&amp;INDEX(MO_Common_QEndDate,0,COLUMN())&amp;",,,,""PRICE"",""CLOSE"")"),"N/A"),"N/A")</f>
        <v/>
      </c>
      <c r="D455" s="530">
        <f>IFERROR(IFERROR(_xll.FDS(MO.Ticker.FactSet,"P_PRICE_HIGH"&amp;"("&amp;INDEX(MO_SNA_FPStartDate,0,COLUMN())&amp;","&amp;INDEX(MO_Common_QEndDate,0,COLUMN())&amp;",,,,""PRICE"",""CLOSE"")"),"N/A"),"N/A")</f>
        <v/>
      </c>
      <c r="E455" s="530">
        <f>IFERROR(IFERROR(_xll.FDS(MO.Ticker.FactSet,"P_PRICE_HIGH"&amp;"("&amp;INDEX(MO_SNA_FPStartDate,0,COLUMN())&amp;","&amp;INDEX(MO_Common_QEndDate,0,COLUMN())&amp;",,,,""PRICE"",""CLOSE"")"),"N/A"),"N/A")</f>
        <v/>
      </c>
      <c r="F455" s="530">
        <f>IFERROR(IFERROR(_xll.FDS(MO.Ticker.FactSet,"P_PRICE_HIGH"&amp;"("&amp;INDEX(MO_SNA_FPStartDate,0,COLUMN())&amp;","&amp;INDEX(MO_Common_QEndDate,0,COLUMN())&amp;",,,,""PRICE"",""CLOSE"")"),"N/A"),"N/A")</f>
        <v/>
      </c>
      <c r="G455" s="530">
        <f>IFERROR(IFERROR(_xll.FDS(MO.Ticker.FactSet,"P_PRICE_HIGH"&amp;"("&amp;INDEX(MO_SNA_FPStartDate,0,COLUMN())&amp;","&amp;INDEX(MO_Common_QEndDate,0,COLUMN())&amp;",,,,""PRICE"",""CLOSE"")"),"N/A"),"N/A")</f>
        <v/>
      </c>
      <c r="H455" s="262">
        <f>IFERROR(IFERROR(_xll.FDS(MO.Ticker.FactSet,"P_PRICE_HIGH"&amp;"("&amp;INDEX(MO_SNA_FPStartDate,0,COLUMN())&amp;","&amp;INDEX(MO_Common_QEndDate,0,COLUMN())&amp;",,,,""PRICE"",""CLOSE"")"),"N/A"),"N/A")</f>
        <v/>
      </c>
      <c r="I455" s="262">
        <f>IFERROR(IFERROR(_xll.FDS(MO.Ticker.FactSet,"P_PRICE_HIGH"&amp;"("&amp;INDEX(MO_SNA_FPStartDate,0,COLUMN())&amp;","&amp;INDEX(MO_Common_QEndDate,0,COLUMN())&amp;",,,,""PRICE"",""CLOSE"")"),"N/A"),"N/A")</f>
        <v/>
      </c>
      <c r="J455" s="262">
        <f>IFERROR(IFERROR(_xll.FDS(MO.Ticker.FactSet,"P_PRICE_HIGH"&amp;"("&amp;INDEX(MO_SNA_FPStartDate,0,COLUMN())&amp;","&amp;INDEX(MO_Common_QEndDate,0,COLUMN())&amp;",,,,""PRICE"",""CLOSE"")"),"N/A"),"N/A")</f>
        <v/>
      </c>
      <c r="K455" s="262">
        <f>IFERROR(IFERROR(_xll.FDS(MO.Ticker.FactSet,"P_PRICE_HIGH"&amp;"("&amp;INDEX(MO_SNA_FPStartDate,0,COLUMN())&amp;","&amp;INDEX(MO_Common_QEndDate,0,COLUMN())&amp;",,,,""PRICE"",""CLOSE"")"),"N/A"),"N/A")</f>
        <v/>
      </c>
      <c r="L455" s="262">
        <f>IFERROR(IFERROR(_xll.FDS(MO.Ticker.FactSet,"P_PRICE_HIGH"&amp;"("&amp;INDEX(MO_SNA_FPStartDate,0,COLUMN())&amp;","&amp;INDEX(MO_Common_QEndDate,0,COLUMN())&amp;",,,,""PRICE"",""CLOSE"")"),"N/A"),"N/A")</f>
        <v/>
      </c>
      <c r="M455" s="262">
        <f>IFERROR(IFERROR(_xll.FDS(MO.Ticker.FactSet,"P_PRICE_HIGH"&amp;"("&amp;INDEX(MO_SNA_FPStartDate,0,COLUMN())&amp;","&amp;INDEX(MO_Common_QEndDate,0,COLUMN())&amp;",,,,""PRICE"",""CLOSE"")"),"N/A"),"N/A")</f>
        <v/>
      </c>
      <c r="N455" s="262">
        <f>IFERROR(IFERROR(_xll.FDS(MO.Ticker.FactSet,"P_PRICE_HIGH"&amp;"("&amp;INDEX(MO_SNA_FPStartDate,0,COLUMN())&amp;","&amp;INDEX(MO_Common_QEndDate,0,COLUMN())&amp;",,,,""PRICE"",""CLOSE"")"),"N/A"),"N/A")</f>
        <v/>
      </c>
      <c r="O455" s="262">
        <f>IFERROR(IFERROR(_xll.FDS(MO.Ticker.FactSet,"P_PRICE_HIGH"&amp;"("&amp;INDEX(MO_SNA_FPStartDate,0,COLUMN())&amp;","&amp;INDEX(MO_Common_QEndDate,0,COLUMN())&amp;",,,,""PRICE"",""CLOSE"")"),"N/A"),"N/A")</f>
        <v/>
      </c>
      <c r="P455" s="262">
        <f>IFERROR(IFERROR(_xll.FDS(MO.Ticker.FactSet,"P_PRICE_HIGH"&amp;"("&amp;INDEX(MO_SNA_FPStartDate,0,COLUMN())&amp;","&amp;INDEX(MO_Common_QEndDate,0,COLUMN())&amp;",,,,""PRICE"",""CLOSE"")"),"N/A"),"N/A")</f>
        <v/>
      </c>
      <c r="Q455" s="262">
        <f>IFERROR(IFERROR(_xll.FDS(MO.Ticker.FactSet,"P_PRICE_HIGH"&amp;"("&amp;INDEX(MO_SNA_FPStartDate,0,COLUMN())&amp;","&amp;INDEX(MO_Common_QEndDate,0,COLUMN())&amp;",,,,""PRICE"",""CLOSE"")"),"N/A"),"N/A")</f>
        <v/>
      </c>
      <c r="R455" s="262">
        <f>IFERROR(IFERROR(_xll.FDS(MO.Ticker.FactSet,"P_PRICE_HIGH"&amp;"("&amp;INDEX(MO_SNA_FPStartDate,0,COLUMN())&amp;","&amp;INDEX(MO_Common_QEndDate,0,COLUMN())&amp;",,,,""PRICE"",""CLOSE"")"),"N/A"),"N/A")</f>
        <v/>
      </c>
      <c r="S455" s="262">
        <f>IFERROR(IFERROR(_xll.FDS(MO.Ticker.FactSet,"P_PRICE_HIGH"&amp;"("&amp;INDEX(MO_SNA_FPStartDate,0,COLUMN())&amp;","&amp;INDEX(MO_Common_QEndDate,0,COLUMN())&amp;",,,,""PRICE"",""CLOSE"")"),"N/A"),"N/A")</f>
        <v/>
      </c>
      <c r="T455" s="262">
        <f>IFERROR(IFERROR(_xll.FDS(MO.Ticker.FactSet,"P_PRICE_HIGH"&amp;"("&amp;INDEX(MO_SNA_FPStartDate,0,COLUMN())&amp;","&amp;INDEX(MO_Common_QEndDate,0,COLUMN())&amp;",,,,""PRICE"",""CLOSE"")"),"N/A"),"N/A")</f>
        <v/>
      </c>
      <c r="U455" s="262">
        <f>IFERROR(IFERROR(_xll.FDS(MO.Ticker.FactSet,"P_PRICE_HIGH"&amp;"("&amp;INDEX(MO_SNA_FPStartDate,0,COLUMN())&amp;","&amp;INDEX(MO_Common_QEndDate,0,COLUMN())&amp;",,,,""PRICE"",""CLOSE"")"),"N/A"),"N/A")</f>
        <v/>
      </c>
      <c r="V455" s="262">
        <f>IFERROR(IFERROR(_xll.FDS(MO.Ticker.FactSet,"P_PRICE_HIGH"&amp;"("&amp;INDEX(MO_SNA_FPStartDate,0,COLUMN())&amp;","&amp;INDEX(MO_Common_QEndDate,0,COLUMN())&amp;",,,,""PRICE"",""CLOSE"")"),"N/A"),"N/A")</f>
        <v/>
      </c>
      <c r="W455" s="262">
        <f>IFERROR(IFERROR(_xll.FDS(MO.Ticker.FactSet,"P_PRICE_HIGH"&amp;"("&amp;INDEX(MO_SNA_FPStartDate,0,COLUMN())&amp;","&amp;INDEX(MO_Common_QEndDate,0,COLUMN())&amp;",,,,""PRICE"",""CLOSE"")"),"N/A"),"N/A")</f>
        <v/>
      </c>
      <c r="X455" s="262">
        <f>IFERROR(IFERROR(_xll.FDS(MO.Ticker.FactSet,"P_PRICE_HIGH"&amp;"("&amp;INDEX(MO_SNA_FPStartDate,0,COLUMN())&amp;","&amp;INDEX(MO_Common_QEndDate,0,COLUMN())&amp;",,,,""PRICE"",""CLOSE"")"),"N/A"),"N/A")</f>
        <v/>
      </c>
      <c r="Y455" s="262">
        <f>IFERROR(IFERROR(_xll.FDS(MO.Ticker.FactSet,"P_PRICE_HIGH"&amp;"("&amp;INDEX(MO_SNA_FPStartDate,0,COLUMN())&amp;","&amp;INDEX(MO_Common_QEndDate,0,COLUMN())&amp;",,,,""PRICE"",""CLOSE"")"),"N/A"),"N/A")</f>
        <v/>
      </c>
      <c r="Z455" s="262">
        <f>IFERROR(IFERROR(_xll.FDS(MO.Ticker.FactSet,"P_PRICE_HIGH"&amp;"("&amp;INDEX(MO_SNA_FPStartDate,0,COLUMN())&amp;","&amp;INDEX(MO_Common_QEndDate,0,COLUMN())&amp;",,,,""PRICE"",""CLOSE"")"),"N/A"),"N/A")</f>
        <v/>
      </c>
      <c r="AA455" s="262">
        <f>IFERROR(IFERROR(_xll.FDS(MO.Ticker.FactSet,"P_PRICE_HIGH"&amp;"("&amp;INDEX(MO_SNA_FPStartDate,0,COLUMN())&amp;","&amp;INDEX(MO_Common_QEndDate,0,COLUMN())&amp;",,,,""PRICE"",""CLOSE"")"),"N/A"),"N/A")</f>
        <v/>
      </c>
      <c r="AB455" s="262">
        <f>IFERROR(IFERROR(_xll.FDS(MO.Ticker.FactSet,"P_PRICE_HIGH"&amp;"("&amp;INDEX(MO_SNA_FPStartDate,0,COLUMN())&amp;","&amp;INDEX(MO_Common_QEndDate,0,COLUMN())&amp;",,,,""PRICE"",""CLOSE"")"),"N/A"),"N/A")</f>
        <v/>
      </c>
      <c r="AC455" s="262">
        <f>IFERROR(IFERROR(_xll.FDS(MO.Ticker.FactSet,"P_PRICE_HIGH"&amp;"("&amp;INDEX(MO_SNA_FPStartDate,0,COLUMN())&amp;","&amp;INDEX(MO_Common_QEndDate,0,COLUMN())&amp;",,,,""PRICE"",""CLOSE"")"),"N/A"),"N/A")</f>
        <v/>
      </c>
      <c r="AD455" s="262">
        <f>IFERROR(IFERROR(_xll.FDS(MO.Ticker.FactSet,"P_PRICE_HIGH"&amp;"("&amp;INDEX(MO_SNA_FPStartDate,0,COLUMN())&amp;","&amp;INDEX(MO_Common_QEndDate,0,COLUMN())&amp;",,,,""PRICE"",""CLOSE"")"),"N/A"),"N/A")</f>
        <v/>
      </c>
      <c r="AE455" s="262">
        <f>IFERROR(IFERROR(_xll.FDS(MO.Ticker.FactSet,"P_PRICE_HIGH"&amp;"("&amp;INDEX(MO_SNA_FPStartDate,0,COLUMN())&amp;","&amp;INDEX(MO_Common_QEndDate,0,COLUMN())&amp;",,,,""PRICE"",""CLOSE"")"),"N/A"),"N/A")</f>
        <v/>
      </c>
      <c r="AF455" s="262">
        <f>IFERROR(IFERROR(_xll.FDS(MO.Ticker.FactSet,"P_PRICE_HIGH"&amp;"("&amp;INDEX(MO_SNA_FPStartDate,0,COLUMN())&amp;","&amp;INDEX(MO_Common_QEndDate,0,COLUMN())&amp;",,,,""PRICE"",""CLOSE"")"),"N/A"),"N/A")</f>
        <v/>
      </c>
      <c r="AG455" s="262">
        <f>IFERROR(IFERROR(_xll.FDS(MO.Ticker.FactSet,"P_PRICE_HIGH"&amp;"("&amp;INDEX(MO_SNA_FPStartDate,0,COLUMN())&amp;","&amp;INDEX(MO_Common_QEndDate,0,COLUMN())&amp;",,,,""PRICE"",""CLOSE"")"),"N/A"),"N/A")</f>
        <v/>
      </c>
      <c r="AH455" s="262">
        <f>IFERROR(IFERROR(_xll.FDS(MO.Ticker.FactSet,"P_PRICE_HIGH"&amp;"("&amp;INDEX(MO_SNA_FPStartDate,0,COLUMN())&amp;","&amp;INDEX(MO_Common_QEndDate,0,COLUMN())&amp;",,,,""PRICE"",""CLOSE"")"),"N/A"),"N/A")</f>
        <v/>
      </c>
      <c r="AI455" s="262">
        <f>IFERROR(IFERROR(_xll.FDS(MO.Ticker.FactSet,"P_PRICE_HIGH"&amp;"("&amp;INDEX(MO_SNA_FPStartDate,0,COLUMN())&amp;","&amp;INDEX(MO_Common_QEndDate,0,COLUMN())&amp;",,,,""PRICE"",""CLOSE"")"),"N/A"),"N/A")</f>
        <v/>
      </c>
      <c r="AJ455" s="262">
        <f>IFERROR(IFERROR(_xll.FDS(MO.Ticker.FactSet,"P_PRICE_HIGH"&amp;"("&amp;INDEX(MO_SNA_FPStartDate,0,COLUMN())&amp;","&amp;INDEX(MO_Common_QEndDate,0,COLUMN())&amp;",,,,""PRICE"",""CLOSE"")"),"N/A"),"N/A")</f>
        <v/>
      </c>
      <c r="AK455" s="262">
        <f>IFERROR(IFERROR(_xll.FDS(MO.Ticker.FactSet,"P_PRICE_HIGH"&amp;"("&amp;INDEX(MO_SNA_FPStartDate,0,COLUMN())&amp;","&amp;INDEX(MO_Common_QEndDate,0,COLUMN())&amp;",,,,""PRICE"",""CLOSE"")"),"N/A"),"N/A")</f>
        <v/>
      </c>
      <c r="AL455" s="531">
        <f>IFERROR(IFERROR(_xll.FDS(MO.Ticker.FactSet,"P_PRICE_HIGH"&amp;"("&amp;INDEX(MO_SNA_FPStartDate,0,COLUMN())&amp;","&amp;INDEX(MO_Common_QEndDate,0,COLUMN())&amp;",,,,""PRICE"",""CLOSE"")"),"N/A"),"N/A")</f>
        <v/>
      </c>
      <c r="AM455" s="262">
        <f>IFERROR(IFERROR(_xll.FDS(MO.Ticker.FactSet,"P_PRICE_HIGH"&amp;"("&amp;INDEX(MO_SNA_FPStartDate,0,COLUMN())&amp;","&amp;INDEX(MO_Common_QEndDate,0,COLUMN())&amp;",,,,""PRICE"",""CLOSE"")"),"N/A"),"N/A")</f>
        <v/>
      </c>
      <c r="AN455" s="262">
        <f>IFERROR(IFERROR(_xll.FDS(MO.Ticker.FactSet,"P_PRICE_HIGH"&amp;"("&amp;INDEX(MO_SNA_FPStartDate,0,COLUMN())&amp;","&amp;INDEX(MO_Common_QEndDate,0,COLUMN())&amp;",,,,""PRICE"",""CLOSE"")"),"N/A"),"N/A")</f>
        <v/>
      </c>
      <c r="AO455" s="262">
        <f>IFERROR(IFERROR(_xll.FDS(MO.Ticker.FactSet,"P_PRICE_HIGH"&amp;"("&amp;INDEX(MO_SNA_FPStartDate,0,COLUMN())&amp;","&amp;INDEX(MO_Common_QEndDate,0,COLUMN())&amp;",,,,""PRICE"",""CLOSE"")"),"N/A"),"N/A")</f>
        <v/>
      </c>
      <c r="AP455" s="262">
        <f>IFERROR(IFERROR(_xll.FDS(MO.Ticker.FactSet,"P_PRICE_HIGH"&amp;"("&amp;INDEX(MO_SNA_FPStartDate,0,COLUMN())&amp;","&amp;INDEX(MO_Common_QEndDate,0,COLUMN())&amp;",,,,""PRICE"",""CLOSE"")"),"N/A"),"N/A")</f>
        <v/>
      </c>
      <c r="AQ455" s="262">
        <f>IFERROR(IFERROR(_xll.FDS(MO.Ticker.FactSet,"P_PRICE_HIGH"&amp;"("&amp;INDEX(MO_SNA_FPStartDate,0,COLUMN())&amp;","&amp;INDEX(MO_Common_QEndDate,0,COLUMN())&amp;",,,,""PRICE"",""CLOSE"")"),"N/A"),"N/A")</f>
        <v/>
      </c>
      <c r="AR455" s="262">
        <f>IFERROR(IFERROR(_xll.FDS(MO.Ticker.FactSet,"P_PRICE_HIGH"&amp;"("&amp;INDEX(MO_SNA_FPStartDate,0,COLUMN())&amp;","&amp;INDEX(MO_Common_QEndDate,0,COLUMN())&amp;",,,,""PRICE"",""CLOSE"")"),"N/A"),"N/A")</f>
        <v/>
      </c>
      <c r="AS455" s="262">
        <f>IFERROR(IFERROR(_xll.FDS(MO.Ticker.FactSet,"P_PRICE_HIGH"&amp;"("&amp;INDEX(MO_SNA_FPStartDate,0,COLUMN())&amp;","&amp;INDEX(MO_Common_QEndDate,0,COLUMN())&amp;",,,,""PRICE"",""CLOSE"")"),"N/A"),"N/A")</f>
        <v/>
      </c>
      <c r="AT455" s="262">
        <f>IFERROR(IFERROR(_xll.FDS(MO.Ticker.FactSet,"P_PRICE_HIGH"&amp;"("&amp;INDEX(MO_SNA_FPStartDate,0,COLUMN())&amp;","&amp;INDEX(MO_Common_QEndDate,0,COLUMN())&amp;",,,,""PRICE"",""CLOSE"")"),"N/A"),"N/A")</f>
        <v/>
      </c>
      <c r="AU455" s="262">
        <f>IFERROR(IFERROR(_xll.FDS(MO.Ticker.FactSet,"P_PRICE_HIGH"&amp;"("&amp;INDEX(MO_SNA_FPStartDate,0,COLUMN())&amp;","&amp;INDEX(MO_Common_QEndDate,0,COLUMN())&amp;",,,,""PRICE"",""CLOSE"")"),"N/A"),"N/A")</f>
        <v/>
      </c>
      <c r="AV455" s="262">
        <f>IFERROR(IFERROR(_xll.FDS(MO.Ticker.FactSet,"P_PRICE_HIGH"&amp;"("&amp;INDEX(MO_SNA_FPStartDate,0,COLUMN())&amp;","&amp;INDEX(MO_Common_QEndDate,0,COLUMN())&amp;",,,,""PRICE"",""CLOSE"")"),"N/A"),"N/A")</f>
        <v/>
      </c>
      <c r="AW455" s="263">
        <f>IFERROR(IFERROR(_xll.FDS(MO.Ticker.FactSet,"P_PRICE_HIGH"&amp;"("&amp;INDEX(MO_SNA_FPStartDate,0,COLUMN())&amp;","&amp;INDEX(MO_Common_QEndDate,0,COLUMN())&amp;",,,,""PRICE"",""CLOSE"")"),"N/A"),"N/A")</f>
        <v/>
      </c>
      <c r="AX455" s="232" t="n"/>
    </row>
    <row r="456" hidden="1" outlineLevel="1" customFormat="1" s="226">
      <c r="A456" s="532" t="inlineStr">
        <is>
          <t>Thomson</t>
        </is>
      </c>
      <c r="B456" s="262" t="n"/>
      <c r="C456" s="530">
        <f>IFERROR(IFERROR(_xll.TR(MO.Ticker.Thomson,"MAX(TR.Pricehigh)","sdate:#1 edate:#2",,INDEX(MO_SNA_FPStartDate,0,COLUMN()),INDEX(MO_Common_QEndDate,0,COLUMN())),"N/A"),"N/A")</f>
        <v/>
      </c>
      <c r="D456" s="530">
        <f>IFERROR(IFERROR(_xll.TR(MO.Ticker.Thomson,"MAX(TR.Pricehigh)","sdate:#1 edate:#2",,INDEX(MO_SNA_FPStartDate,0,COLUMN()),INDEX(MO_Common_QEndDate,0,COLUMN())),"N/A"),"N/A")</f>
        <v/>
      </c>
      <c r="E456" s="530">
        <f>IFERROR(IFERROR(_xll.TR(MO.Ticker.Thomson,"MAX(TR.Pricehigh)","sdate:#1 edate:#2",,INDEX(MO_SNA_FPStartDate,0,COLUMN()),INDEX(MO_Common_QEndDate,0,COLUMN())),"N/A"),"N/A")</f>
        <v/>
      </c>
      <c r="F456" s="530">
        <f>IFERROR(IFERROR(_xll.TR(MO.Ticker.Thomson,"MAX(TR.Pricehigh)","sdate:#1 edate:#2",,INDEX(MO_SNA_FPStartDate,0,COLUMN()),INDEX(MO_Common_QEndDate,0,COLUMN())),"N/A"),"N/A")</f>
        <v/>
      </c>
      <c r="G456" s="530">
        <f>IFERROR(IFERROR(_xll.TR(MO.Ticker.Thomson,"MAX(TR.Pricehigh)","sdate:#1 edate:#2",,INDEX(MO_SNA_FPStartDate,0,COLUMN()),INDEX(MO_Common_QEndDate,0,COLUMN())),"N/A"),"N/A")</f>
        <v/>
      </c>
      <c r="H456" s="262">
        <f>IFERROR(IFERROR(_xll.TR(MO.Ticker.Thomson,"MAX(TR.Pricehigh)","sdate:#1 edate:#2",,INDEX(MO_SNA_FPStartDate,0,COLUMN()),INDEX(MO_Common_QEndDate,0,COLUMN())),"N/A"),"N/A")</f>
        <v/>
      </c>
      <c r="I456" s="262">
        <f>IFERROR(IFERROR(_xll.TR(MO.Ticker.Thomson,"MAX(TR.Pricehigh)","sdate:#1 edate:#2",,INDEX(MO_SNA_FPStartDate,0,COLUMN()),INDEX(MO_Common_QEndDate,0,COLUMN())),"N/A"),"N/A")</f>
        <v/>
      </c>
      <c r="J456" s="262">
        <f>IFERROR(IFERROR(_xll.TR(MO.Ticker.Thomson,"MAX(TR.Pricehigh)","sdate:#1 edate:#2",,INDEX(MO_SNA_FPStartDate,0,COLUMN()),INDEX(MO_Common_QEndDate,0,COLUMN())),"N/A"),"N/A")</f>
        <v/>
      </c>
      <c r="K456" s="262">
        <f>IFERROR(IFERROR(_xll.TR(MO.Ticker.Thomson,"MAX(TR.Pricehigh)","sdate:#1 edate:#2",,INDEX(MO_SNA_FPStartDate,0,COLUMN()),INDEX(MO_Common_QEndDate,0,COLUMN())),"N/A"),"N/A")</f>
        <v/>
      </c>
      <c r="L456" s="262">
        <f>IFERROR(IFERROR(_xll.TR(MO.Ticker.Thomson,"MAX(TR.Pricehigh)","sdate:#1 edate:#2",,INDEX(MO_SNA_FPStartDate,0,COLUMN()),INDEX(MO_Common_QEndDate,0,COLUMN())),"N/A"),"N/A")</f>
        <v/>
      </c>
      <c r="M456" s="262">
        <f>IFERROR(IFERROR(_xll.TR(MO.Ticker.Thomson,"MAX(TR.Pricehigh)","sdate:#1 edate:#2",,INDEX(MO_SNA_FPStartDate,0,COLUMN()),INDEX(MO_Common_QEndDate,0,COLUMN())),"N/A"),"N/A")</f>
        <v/>
      </c>
      <c r="N456" s="262">
        <f>IFERROR(IFERROR(_xll.TR(MO.Ticker.Thomson,"MAX(TR.Pricehigh)","sdate:#1 edate:#2",,INDEX(MO_SNA_FPStartDate,0,COLUMN()),INDEX(MO_Common_QEndDate,0,COLUMN())),"N/A"),"N/A")</f>
        <v/>
      </c>
      <c r="O456" s="262">
        <f>IFERROR(IFERROR(_xll.TR(MO.Ticker.Thomson,"MAX(TR.Pricehigh)","sdate:#1 edate:#2",,INDEX(MO_SNA_FPStartDate,0,COLUMN()),INDEX(MO_Common_QEndDate,0,COLUMN())),"N/A"),"N/A")</f>
        <v/>
      </c>
      <c r="P456" s="262">
        <f>IFERROR(IFERROR(_xll.TR(MO.Ticker.Thomson,"MAX(TR.Pricehigh)","sdate:#1 edate:#2",,INDEX(MO_SNA_FPStartDate,0,COLUMN()),INDEX(MO_Common_QEndDate,0,COLUMN())),"N/A"),"N/A")</f>
        <v/>
      </c>
      <c r="Q456" s="262">
        <f>IFERROR(IFERROR(_xll.TR(MO.Ticker.Thomson,"MAX(TR.Pricehigh)","sdate:#1 edate:#2",,INDEX(MO_SNA_FPStartDate,0,COLUMN()),INDEX(MO_Common_QEndDate,0,COLUMN())),"N/A"),"N/A")</f>
        <v/>
      </c>
      <c r="R456" s="262">
        <f>IFERROR(IFERROR(_xll.TR(MO.Ticker.Thomson,"MAX(TR.Pricehigh)","sdate:#1 edate:#2",,INDEX(MO_SNA_FPStartDate,0,COLUMN()),INDEX(MO_Common_QEndDate,0,COLUMN())),"N/A"),"N/A")</f>
        <v/>
      </c>
      <c r="S456" s="262">
        <f>IFERROR(IFERROR(_xll.TR(MO.Ticker.Thomson,"MAX(TR.Pricehigh)","sdate:#1 edate:#2",,INDEX(MO_SNA_FPStartDate,0,COLUMN()),INDEX(MO_Common_QEndDate,0,COLUMN())),"N/A"),"N/A")</f>
        <v/>
      </c>
      <c r="T456" s="262">
        <f>IFERROR(IFERROR(_xll.TR(MO.Ticker.Thomson,"MAX(TR.Pricehigh)","sdate:#1 edate:#2",,INDEX(MO_SNA_FPStartDate,0,COLUMN()),INDEX(MO_Common_QEndDate,0,COLUMN())),"N/A"),"N/A")</f>
        <v/>
      </c>
      <c r="U456" s="262">
        <f>IFERROR(IFERROR(_xll.TR(MO.Ticker.Thomson,"MAX(TR.Pricehigh)","sdate:#1 edate:#2",,INDEX(MO_SNA_FPStartDate,0,COLUMN()),INDEX(MO_Common_QEndDate,0,COLUMN())),"N/A"),"N/A")</f>
        <v/>
      </c>
      <c r="V456" s="262">
        <f>IFERROR(IFERROR(_xll.TR(MO.Ticker.Thomson,"MAX(TR.Pricehigh)","sdate:#1 edate:#2",,INDEX(MO_SNA_FPStartDate,0,COLUMN()),INDEX(MO_Common_QEndDate,0,COLUMN())),"N/A"),"N/A")</f>
        <v/>
      </c>
      <c r="W456" s="262">
        <f>IFERROR(IFERROR(_xll.TR(MO.Ticker.Thomson,"MAX(TR.Pricehigh)","sdate:#1 edate:#2",,INDEX(MO_SNA_FPStartDate,0,COLUMN()),INDEX(MO_Common_QEndDate,0,COLUMN())),"N/A"),"N/A")</f>
        <v/>
      </c>
      <c r="X456" s="262">
        <f>IFERROR(IFERROR(_xll.TR(MO.Ticker.Thomson,"MAX(TR.Pricehigh)","sdate:#1 edate:#2",,INDEX(MO_SNA_FPStartDate,0,COLUMN()),INDEX(MO_Common_QEndDate,0,COLUMN())),"N/A"),"N/A")</f>
        <v/>
      </c>
      <c r="Y456" s="262">
        <f>IFERROR(IFERROR(_xll.TR(MO.Ticker.Thomson,"MAX(TR.Pricehigh)","sdate:#1 edate:#2",,INDEX(MO_SNA_FPStartDate,0,COLUMN()),INDEX(MO_Common_QEndDate,0,COLUMN())),"N/A"),"N/A")</f>
        <v/>
      </c>
      <c r="Z456" s="262">
        <f>IFERROR(IFERROR(_xll.TR(MO.Ticker.Thomson,"MAX(TR.Pricehigh)","sdate:#1 edate:#2",,INDEX(MO_SNA_FPStartDate,0,COLUMN()),INDEX(MO_Common_QEndDate,0,COLUMN())),"N/A"),"N/A")</f>
        <v/>
      </c>
      <c r="AA456" s="262">
        <f>IFERROR(IFERROR(_xll.TR(MO.Ticker.Thomson,"MAX(TR.Pricehigh)","sdate:#1 edate:#2",,INDEX(MO_SNA_FPStartDate,0,COLUMN()),INDEX(MO_Common_QEndDate,0,COLUMN())),"N/A"),"N/A")</f>
        <v/>
      </c>
      <c r="AB456" s="262">
        <f>IFERROR(IFERROR(_xll.TR(MO.Ticker.Thomson,"MAX(TR.Pricehigh)","sdate:#1 edate:#2",,INDEX(MO_SNA_FPStartDate,0,COLUMN()),INDEX(MO_Common_QEndDate,0,COLUMN())),"N/A"),"N/A")</f>
        <v/>
      </c>
      <c r="AC456" s="262">
        <f>IFERROR(IFERROR(_xll.TR(MO.Ticker.Thomson,"MAX(TR.Pricehigh)","sdate:#1 edate:#2",,INDEX(MO_SNA_FPStartDate,0,COLUMN()),INDEX(MO_Common_QEndDate,0,COLUMN())),"N/A"),"N/A")</f>
        <v/>
      </c>
      <c r="AD456" s="262">
        <f>IFERROR(IFERROR(_xll.TR(MO.Ticker.Thomson,"MAX(TR.Pricehigh)","sdate:#1 edate:#2",,INDEX(MO_SNA_FPStartDate,0,COLUMN()),INDEX(MO_Common_QEndDate,0,COLUMN())),"N/A"),"N/A")</f>
        <v/>
      </c>
      <c r="AE456" s="262">
        <f>IFERROR(IFERROR(_xll.TR(MO.Ticker.Thomson,"MAX(TR.Pricehigh)","sdate:#1 edate:#2",,INDEX(MO_SNA_FPStartDate,0,COLUMN()),INDEX(MO_Common_QEndDate,0,COLUMN())),"N/A"),"N/A")</f>
        <v/>
      </c>
      <c r="AF456" s="262">
        <f>IFERROR(IFERROR(_xll.TR(MO.Ticker.Thomson,"MAX(TR.Pricehigh)","sdate:#1 edate:#2",,INDEX(MO_SNA_FPStartDate,0,COLUMN()),INDEX(MO_Common_QEndDate,0,COLUMN())),"N/A"),"N/A")</f>
        <v/>
      </c>
      <c r="AG456" s="262">
        <f>IFERROR(IFERROR(_xll.TR(MO.Ticker.Thomson,"MAX(TR.Pricehigh)","sdate:#1 edate:#2",,INDEX(MO_SNA_FPStartDate,0,COLUMN()),INDEX(MO_Common_QEndDate,0,COLUMN())),"N/A"),"N/A")</f>
        <v/>
      </c>
      <c r="AH456" s="262">
        <f>IFERROR(IFERROR(_xll.TR(MO.Ticker.Thomson,"MAX(TR.Pricehigh)","sdate:#1 edate:#2",,INDEX(MO_SNA_FPStartDate,0,COLUMN()),INDEX(MO_Common_QEndDate,0,COLUMN())),"N/A"),"N/A")</f>
        <v/>
      </c>
      <c r="AI456" s="262">
        <f>IFERROR(IFERROR(_xll.TR(MO.Ticker.Thomson,"MAX(TR.Pricehigh)","sdate:#1 edate:#2",,INDEX(MO_SNA_FPStartDate,0,COLUMN()),INDEX(MO_Common_QEndDate,0,COLUMN())),"N/A"),"N/A")</f>
        <v/>
      </c>
      <c r="AJ456" s="262">
        <f>IFERROR(IFERROR(_xll.TR(MO.Ticker.Thomson,"MAX(TR.Pricehigh)","sdate:#1 edate:#2",,INDEX(MO_SNA_FPStartDate,0,COLUMN()),INDEX(MO_Common_QEndDate,0,COLUMN())),"N/A"),"N/A")</f>
        <v/>
      </c>
      <c r="AK456" s="262">
        <f>IFERROR(IFERROR(_xll.TR(MO.Ticker.Thomson,"MAX(TR.Pricehigh)","sdate:#1 edate:#2",,INDEX(MO_SNA_FPStartDate,0,COLUMN()),INDEX(MO_Common_QEndDate,0,COLUMN())),"N/A"),"N/A")</f>
        <v/>
      </c>
      <c r="AL456" s="531">
        <f>IFERROR(IFERROR(_xll.TR(MO.Ticker.Thomson,"MAX(TR.Pricehigh)","sdate:#1 edate:#2",,INDEX(MO_SNA_FPStartDate,0,COLUMN()),INDEX(MO_Common_QEndDate,0,COLUMN())),"N/A"),"N/A")</f>
        <v/>
      </c>
      <c r="AM456" s="262">
        <f>IFERROR(IFERROR(_xll.TR(MO.Ticker.Thomson,"MAX(TR.Pricehigh)","sdate:#1 edate:#2",,INDEX(MO_SNA_FPStartDate,0,COLUMN()),INDEX(MO_Common_QEndDate,0,COLUMN())),"N/A"),"N/A")</f>
        <v/>
      </c>
      <c r="AN456" s="262">
        <f>IFERROR(IFERROR(_xll.TR(MO.Ticker.Thomson,"MAX(TR.Pricehigh)","sdate:#1 edate:#2",,INDEX(MO_SNA_FPStartDate,0,COLUMN()),INDEX(MO_Common_QEndDate,0,COLUMN())),"N/A"),"N/A")</f>
        <v/>
      </c>
      <c r="AO456" s="262">
        <f>IFERROR(IFERROR(_xll.TR(MO.Ticker.Thomson,"MAX(TR.Pricehigh)","sdate:#1 edate:#2",,INDEX(MO_SNA_FPStartDate,0,COLUMN()),INDEX(MO_Common_QEndDate,0,COLUMN())),"N/A"),"N/A")</f>
        <v/>
      </c>
      <c r="AP456" s="262">
        <f>IFERROR(IFERROR(_xll.TR(MO.Ticker.Thomson,"MAX(TR.Pricehigh)","sdate:#1 edate:#2",,INDEX(MO_SNA_FPStartDate,0,COLUMN()),INDEX(MO_Common_QEndDate,0,COLUMN())),"N/A"),"N/A")</f>
        <v/>
      </c>
      <c r="AQ456" s="262">
        <f>IFERROR(IFERROR(_xll.TR(MO.Ticker.Thomson,"MAX(TR.Pricehigh)","sdate:#1 edate:#2",,INDEX(MO_SNA_FPStartDate,0,COLUMN()),INDEX(MO_Common_QEndDate,0,COLUMN())),"N/A"),"N/A")</f>
        <v/>
      </c>
      <c r="AR456" s="262">
        <f>IFERROR(IFERROR(_xll.TR(MO.Ticker.Thomson,"MAX(TR.Pricehigh)","sdate:#1 edate:#2",,INDEX(MO_SNA_FPStartDate,0,COLUMN()),INDEX(MO_Common_QEndDate,0,COLUMN())),"N/A"),"N/A")</f>
        <v/>
      </c>
      <c r="AS456" s="262">
        <f>IFERROR(IFERROR(_xll.TR(MO.Ticker.Thomson,"MAX(TR.Pricehigh)","sdate:#1 edate:#2",,INDEX(MO_SNA_FPStartDate,0,COLUMN()),INDEX(MO_Common_QEndDate,0,COLUMN())),"N/A"),"N/A")</f>
        <v/>
      </c>
      <c r="AT456" s="262">
        <f>IFERROR(IFERROR(_xll.TR(MO.Ticker.Thomson,"MAX(TR.Pricehigh)","sdate:#1 edate:#2",,INDEX(MO_SNA_FPStartDate,0,COLUMN()),INDEX(MO_Common_QEndDate,0,COLUMN())),"N/A"),"N/A")</f>
        <v/>
      </c>
      <c r="AU456" s="262">
        <f>IFERROR(IFERROR(_xll.TR(MO.Ticker.Thomson,"MAX(TR.Pricehigh)","sdate:#1 edate:#2",,INDEX(MO_SNA_FPStartDate,0,COLUMN()),INDEX(MO_Common_QEndDate,0,COLUMN())),"N/A"),"N/A")</f>
        <v/>
      </c>
      <c r="AV456" s="262">
        <f>IFERROR(IFERROR(_xll.TR(MO.Ticker.Thomson,"MAX(TR.Pricehigh)","sdate:#1 edate:#2",,INDEX(MO_SNA_FPStartDate,0,COLUMN()),INDEX(MO_Common_QEndDate,0,COLUMN())),"N/A"),"N/A")</f>
        <v/>
      </c>
      <c r="AW456" s="263">
        <f>IFERROR(IFERROR(_xll.TR(MO.Ticker.Thomson,"MAX(TR.Pricehigh)","sdate:#1 edate:#2",,INDEX(MO_SNA_FPStartDate,0,COLUMN()),INDEX(MO_Common_QEndDate,0,COLUMN())),"N/A"),"N/A")</f>
        <v/>
      </c>
      <c r="AX456" s="232" t="n"/>
    </row>
    <row r="457" hidden="1" outlineLevel="1" customFormat="1" s="5">
      <c r="A457" s="514" t="n"/>
      <c r="B457" s="93" t="n"/>
      <c r="C457" s="519" t="n"/>
      <c r="D457" s="519" t="n"/>
      <c r="E457" s="519" t="n"/>
      <c r="F457" s="519" t="n"/>
      <c r="G457" s="519" t="n"/>
      <c r="H457" s="93" t="n"/>
      <c r="I457" s="93" t="n"/>
      <c r="J457" s="93" t="n"/>
      <c r="K457" s="93" t="n"/>
      <c r="L457" s="93" t="n"/>
      <c r="M457" s="93" t="n"/>
      <c r="N457" s="93" t="n"/>
      <c r="O457" s="93" t="n"/>
      <c r="P457" s="93" t="n"/>
      <c r="Q457" s="93" t="n"/>
      <c r="R457" s="93" t="n"/>
      <c r="S457" s="93" t="n"/>
      <c r="T457" s="93" t="n"/>
      <c r="U457" s="93" t="n"/>
      <c r="V457" s="93" t="n"/>
      <c r="W457" s="93" t="n"/>
      <c r="X457" s="93" t="n"/>
      <c r="Y457" s="93" t="n"/>
      <c r="Z457" s="93" t="n"/>
      <c r="AA457" s="93" t="n"/>
      <c r="AB457" s="93" t="n"/>
      <c r="AC457" s="93" t="n"/>
      <c r="AD457" s="93" t="n"/>
      <c r="AE457" s="93" t="n"/>
      <c r="AF457" s="93" t="n"/>
      <c r="AG457" s="93" t="n"/>
      <c r="AH457" s="93" t="n"/>
      <c r="AI457" s="93" t="n"/>
      <c r="AJ457" s="93" t="n"/>
      <c r="AK457" s="93" t="n"/>
      <c r="AL457" s="522" t="n"/>
      <c r="AM457" s="93" t="n"/>
      <c r="AN457" s="93" t="n"/>
      <c r="AO457" s="93" t="n"/>
      <c r="AP457" s="93" t="n"/>
      <c r="AQ457" s="93" t="n"/>
      <c r="AR457" s="93" t="n"/>
      <c r="AS457" s="93" t="n"/>
      <c r="AT457" s="93" t="n"/>
      <c r="AU457" s="93" t="n"/>
      <c r="AV457" s="93" t="n"/>
      <c r="AW457" s="162" t="n"/>
      <c r="AX457" s="228" t="n"/>
    </row>
    <row r="458" collapsed="1" customFormat="1" s="226">
      <c r="A458" s="529">
        <f>IFERROR("Stock Low: "&amp;IF(OR(MO.RealTimeStockPriceToggle=FALSE,VLOOKUP(MO.DataSourceName,MO_SPT_StockLow_Sources,COLUMN()+2,FALSE)="N/A"),"Real-Time Off Source",MO.DataSourceName),"N/A")</f>
        <v/>
      </c>
      <c r="B458" s="262" t="n"/>
      <c r="C458" s="530">
        <f>IFERROR(IF(OR(MO.RealTimeStockPriceToggle=FALSE,VLOOKUP(MO.DataSourceName,MO_SPT_StockLow_Sources,COLUMN(),FALSE)="N/A"),VLOOKUP("Real-Time Off Source",MO_SPT_StockLow_Sources,COLUMN(),FALSE),VLOOKUP(MO.DataSourceName,MO_SPT_StockLow_Sources,COLUMN(),FALSE)),"N/A")</f>
        <v/>
      </c>
      <c r="D458" s="530">
        <f>IFERROR(IF(OR(MO.RealTimeStockPriceToggle=FALSE,VLOOKUP(MO.DataSourceName,MO_SPT_StockLow_Sources,COLUMN(),FALSE)="N/A"),VLOOKUP("Real-Time Off Source",MO_SPT_StockLow_Sources,COLUMN(),FALSE),VLOOKUP(MO.DataSourceName,MO_SPT_StockLow_Sources,COLUMN(),FALSE)),"N/A")</f>
        <v/>
      </c>
      <c r="E458" s="530">
        <f>IFERROR(IF(OR(MO.RealTimeStockPriceToggle=FALSE,VLOOKUP(MO.DataSourceName,MO_SPT_StockLow_Sources,COLUMN(),FALSE)="N/A"),VLOOKUP("Real-Time Off Source",MO_SPT_StockLow_Sources,COLUMN(),FALSE),VLOOKUP(MO.DataSourceName,MO_SPT_StockLow_Sources,COLUMN(),FALSE)),"N/A")</f>
        <v/>
      </c>
      <c r="F458" s="530">
        <f>IFERROR(IF(OR(MO.RealTimeStockPriceToggle=FALSE,VLOOKUP(MO.DataSourceName,MO_SPT_StockLow_Sources,COLUMN(),FALSE)="N/A"),VLOOKUP("Real-Time Off Source",MO_SPT_StockLow_Sources,COLUMN(),FALSE),VLOOKUP(MO.DataSourceName,MO_SPT_StockLow_Sources,COLUMN(),FALSE)),"N/A")</f>
        <v/>
      </c>
      <c r="G458" s="530">
        <f>IFERROR(IF(OR(MO.RealTimeStockPriceToggle=FALSE,VLOOKUP(MO.DataSourceName,MO_SPT_StockLow_Sources,COLUMN(),FALSE)="N/A"),VLOOKUP("Real-Time Off Source",MO_SPT_StockLow_Sources,COLUMN(),FALSE),VLOOKUP(MO.DataSourceName,MO_SPT_StockLow_Sources,COLUMN(),FALSE)),"N/A")</f>
        <v/>
      </c>
      <c r="H458" s="262">
        <f>IFERROR(IF(OR(MO.RealTimeStockPriceToggle=FALSE,VLOOKUP(MO.DataSourceName,MO_SPT_StockLow_Sources,COLUMN(),FALSE)="N/A"),VLOOKUP("Real-Time Off Source",MO_SPT_StockLow_Sources,COLUMN(),FALSE),VLOOKUP(MO.DataSourceName,MO_SPT_StockLow_Sources,COLUMN(),FALSE)),"N/A")</f>
        <v/>
      </c>
      <c r="I458" s="262">
        <f>IFERROR(IF(OR(MO.RealTimeStockPriceToggle=FALSE,VLOOKUP(MO.DataSourceName,MO_SPT_StockLow_Sources,COLUMN(),FALSE)="N/A"),VLOOKUP("Real-Time Off Source",MO_SPT_StockLow_Sources,COLUMN(),FALSE),VLOOKUP(MO.DataSourceName,MO_SPT_StockLow_Sources,COLUMN(),FALSE)),"N/A")</f>
        <v/>
      </c>
      <c r="J458" s="262">
        <f>IFERROR(IF(OR(MO.RealTimeStockPriceToggle=FALSE,VLOOKUP(MO.DataSourceName,MO_SPT_StockLow_Sources,COLUMN(),FALSE)="N/A"),VLOOKUP("Real-Time Off Source",MO_SPT_StockLow_Sources,COLUMN(),FALSE),VLOOKUP(MO.DataSourceName,MO_SPT_StockLow_Sources,COLUMN(),FALSE)),"N/A")</f>
        <v/>
      </c>
      <c r="K458" s="262">
        <f>IFERROR(IF(OR(MO.RealTimeStockPriceToggle=FALSE,VLOOKUP(MO.DataSourceName,MO_SPT_StockLow_Sources,COLUMN(),FALSE)="N/A"),VLOOKUP("Real-Time Off Source",MO_SPT_StockLow_Sources,COLUMN(),FALSE),VLOOKUP(MO.DataSourceName,MO_SPT_StockLow_Sources,COLUMN(),FALSE)),"N/A")</f>
        <v/>
      </c>
      <c r="L458" s="262">
        <f>IFERROR(IF(OR(MO.RealTimeStockPriceToggle=FALSE,VLOOKUP(MO.DataSourceName,MO_SPT_StockLow_Sources,COLUMN(),FALSE)="N/A"),VLOOKUP("Real-Time Off Source",MO_SPT_StockLow_Sources,COLUMN(),FALSE),VLOOKUP(MO.DataSourceName,MO_SPT_StockLow_Sources,COLUMN(),FALSE)),"N/A")</f>
        <v/>
      </c>
      <c r="M458" s="262">
        <f>IFERROR(IF(OR(MO.RealTimeStockPriceToggle=FALSE,VLOOKUP(MO.DataSourceName,MO_SPT_StockLow_Sources,COLUMN(),FALSE)="N/A"),VLOOKUP("Real-Time Off Source",MO_SPT_StockLow_Sources,COLUMN(),FALSE),VLOOKUP(MO.DataSourceName,MO_SPT_StockLow_Sources,COLUMN(),FALSE)),"N/A")</f>
        <v/>
      </c>
      <c r="N458" s="262">
        <f>IFERROR(IF(OR(MO.RealTimeStockPriceToggle=FALSE,VLOOKUP(MO.DataSourceName,MO_SPT_StockLow_Sources,COLUMN(),FALSE)="N/A"),VLOOKUP("Real-Time Off Source",MO_SPT_StockLow_Sources,COLUMN(),FALSE),VLOOKUP(MO.DataSourceName,MO_SPT_StockLow_Sources,COLUMN(),FALSE)),"N/A")</f>
        <v/>
      </c>
      <c r="O458" s="262">
        <f>IFERROR(IF(OR(MO.RealTimeStockPriceToggle=FALSE,VLOOKUP(MO.DataSourceName,MO_SPT_StockLow_Sources,COLUMN(),FALSE)="N/A"),VLOOKUP("Real-Time Off Source",MO_SPT_StockLow_Sources,COLUMN(),FALSE),VLOOKUP(MO.DataSourceName,MO_SPT_StockLow_Sources,COLUMN(),FALSE)),"N/A")</f>
        <v/>
      </c>
      <c r="P458" s="262">
        <f>IFERROR(IF(OR(MO.RealTimeStockPriceToggle=FALSE,VLOOKUP(MO.DataSourceName,MO_SPT_StockLow_Sources,COLUMN(),FALSE)="N/A"),VLOOKUP("Real-Time Off Source",MO_SPT_StockLow_Sources,COLUMN(),FALSE),VLOOKUP(MO.DataSourceName,MO_SPT_StockLow_Sources,COLUMN(),FALSE)),"N/A")</f>
        <v/>
      </c>
      <c r="Q458" s="262">
        <f>IFERROR(IF(OR(MO.RealTimeStockPriceToggle=FALSE,VLOOKUP(MO.DataSourceName,MO_SPT_StockLow_Sources,COLUMN(),FALSE)="N/A"),VLOOKUP("Real-Time Off Source",MO_SPT_StockLow_Sources,COLUMN(),FALSE),VLOOKUP(MO.DataSourceName,MO_SPT_StockLow_Sources,COLUMN(),FALSE)),"N/A")</f>
        <v/>
      </c>
      <c r="R458" s="262">
        <f>IFERROR(IF(OR(MO.RealTimeStockPriceToggle=FALSE,VLOOKUP(MO.DataSourceName,MO_SPT_StockLow_Sources,COLUMN(),FALSE)="N/A"),VLOOKUP("Real-Time Off Source",MO_SPT_StockLow_Sources,COLUMN(),FALSE),VLOOKUP(MO.DataSourceName,MO_SPT_StockLow_Sources,COLUMN(),FALSE)),"N/A")</f>
        <v/>
      </c>
      <c r="S458" s="262">
        <f>IFERROR(IF(OR(MO.RealTimeStockPriceToggle=FALSE,VLOOKUP(MO.DataSourceName,MO_SPT_StockLow_Sources,COLUMN(),FALSE)="N/A"),VLOOKUP("Real-Time Off Source",MO_SPT_StockLow_Sources,COLUMN(),FALSE),VLOOKUP(MO.DataSourceName,MO_SPT_StockLow_Sources,COLUMN(),FALSE)),"N/A")</f>
        <v/>
      </c>
      <c r="T458" s="262">
        <f>IFERROR(IF(OR(MO.RealTimeStockPriceToggle=FALSE,VLOOKUP(MO.DataSourceName,MO_SPT_StockLow_Sources,COLUMN(),FALSE)="N/A"),VLOOKUP("Real-Time Off Source",MO_SPT_StockLow_Sources,COLUMN(),FALSE),VLOOKUP(MO.DataSourceName,MO_SPT_StockLow_Sources,COLUMN(),FALSE)),"N/A")</f>
        <v/>
      </c>
      <c r="U458" s="262">
        <f>IFERROR(IF(OR(MO.RealTimeStockPriceToggle=FALSE,VLOOKUP(MO.DataSourceName,MO_SPT_StockLow_Sources,COLUMN(),FALSE)="N/A"),VLOOKUP("Real-Time Off Source",MO_SPT_StockLow_Sources,COLUMN(),FALSE),VLOOKUP(MO.DataSourceName,MO_SPT_StockLow_Sources,COLUMN(),FALSE)),"N/A")</f>
        <v/>
      </c>
      <c r="V458" s="262">
        <f>IFERROR(IF(OR(MO.RealTimeStockPriceToggle=FALSE,VLOOKUP(MO.DataSourceName,MO_SPT_StockLow_Sources,COLUMN(),FALSE)="N/A"),VLOOKUP("Real-Time Off Source",MO_SPT_StockLow_Sources,COLUMN(),FALSE),VLOOKUP(MO.DataSourceName,MO_SPT_StockLow_Sources,COLUMN(),FALSE)),"N/A")</f>
        <v/>
      </c>
      <c r="W458" s="262">
        <f>IFERROR(IF(OR(MO.RealTimeStockPriceToggle=FALSE,VLOOKUP(MO.DataSourceName,MO_SPT_StockLow_Sources,COLUMN(),FALSE)="N/A"),VLOOKUP("Real-Time Off Source",MO_SPT_StockLow_Sources,COLUMN(),FALSE),VLOOKUP(MO.DataSourceName,MO_SPT_StockLow_Sources,COLUMN(),FALSE)),"N/A")</f>
        <v/>
      </c>
      <c r="X458" s="262">
        <f>IFERROR(IF(OR(MO.RealTimeStockPriceToggle=FALSE,VLOOKUP(MO.DataSourceName,MO_SPT_StockLow_Sources,COLUMN(),FALSE)="N/A"),VLOOKUP("Real-Time Off Source",MO_SPT_StockLow_Sources,COLUMN(),FALSE),VLOOKUP(MO.DataSourceName,MO_SPT_StockLow_Sources,COLUMN(),FALSE)),"N/A")</f>
        <v/>
      </c>
      <c r="Y458" s="262">
        <f>IFERROR(IF(OR(MO.RealTimeStockPriceToggle=FALSE,VLOOKUP(MO.DataSourceName,MO_SPT_StockLow_Sources,COLUMN(),FALSE)="N/A"),VLOOKUP("Real-Time Off Source",MO_SPT_StockLow_Sources,COLUMN(),FALSE),VLOOKUP(MO.DataSourceName,MO_SPT_StockLow_Sources,COLUMN(),FALSE)),"N/A")</f>
        <v/>
      </c>
      <c r="Z458" s="262">
        <f>IFERROR(IF(OR(MO.RealTimeStockPriceToggle=FALSE,VLOOKUP(MO.DataSourceName,MO_SPT_StockLow_Sources,COLUMN(),FALSE)="N/A"),VLOOKUP("Real-Time Off Source",MO_SPT_StockLow_Sources,COLUMN(),FALSE),VLOOKUP(MO.DataSourceName,MO_SPT_StockLow_Sources,COLUMN(),FALSE)),"N/A")</f>
        <v/>
      </c>
      <c r="AA458" s="262">
        <f>IFERROR(IF(OR(MO.RealTimeStockPriceToggle=FALSE,VLOOKUP(MO.DataSourceName,MO_SPT_StockLow_Sources,COLUMN(),FALSE)="N/A"),VLOOKUP("Real-Time Off Source",MO_SPT_StockLow_Sources,COLUMN(),FALSE),VLOOKUP(MO.DataSourceName,MO_SPT_StockLow_Sources,COLUMN(),FALSE)),"N/A")</f>
        <v/>
      </c>
      <c r="AB458" s="262">
        <f>IFERROR(IF(OR(MO.RealTimeStockPriceToggle=FALSE,VLOOKUP(MO.DataSourceName,MO_SPT_StockLow_Sources,COLUMN(),FALSE)="N/A"),VLOOKUP("Real-Time Off Source",MO_SPT_StockLow_Sources,COLUMN(),FALSE),VLOOKUP(MO.DataSourceName,MO_SPT_StockLow_Sources,COLUMN(),FALSE)),"N/A")</f>
        <v/>
      </c>
      <c r="AC458" s="262">
        <f>IFERROR(IF(OR(MO.RealTimeStockPriceToggle=FALSE,VLOOKUP(MO.DataSourceName,MO_SPT_StockLow_Sources,COLUMN(),FALSE)="N/A"),VLOOKUP("Real-Time Off Source",MO_SPT_StockLow_Sources,COLUMN(),FALSE),VLOOKUP(MO.DataSourceName,MO_SPT_StockLow_Sources,COLUMN(),FALSE)),"N/A")</f>
        <v/>
      </c>
      <c r="AD458" s="262">
        <f>IFERROR(IF(OR(MO.RealTimeStockPriceToggle=FALSE,VLOOKUP(MO.DataSourceName,MO_SPT_StockLow_Sources,COLUMN(),FALSE)="N/A"),VLOOKUP("Real-Time Off Source",MO_SPT_StockLow_Sources,COLUMN(),FALSE),VLOOKUP(MO.DataSourceName,MO_SPT_StockLow_Sources,COLUMN(),FALSE)),"N/A")</f>
        <v/>
      </c>
      <c r="AE458" s="262">
        <f>IFERROR(IF(OR(MO.RealTimeStockPriceToggle=FALSE,VLOOKUP(MO.DataSourceName,MO_SPT_StockLow_Sources,COLUMN(),FALSE)="N/A"),VLOOKUP("Real-Time Off Source",MO_SPT_StockLow_Sources,COLUMN(),FALSE),VLOOKUP(MO.DataSourceName,MO_SPT_StockLow_Sources,COLUMN(),FALSE)),"N/A")</f>
        <v/>
      </c>
      <c r="AF458" s="262">
        <f>IFERROR(IF(OR(MO.RealTimeStockPriceToggle=FALSE,VLOOKUP(MO.DataSourceName,MO_SPT_StockLow_Sources,COLUMN(),FALSE)="N/A"),VLOOKUP("Real-Time Off Source",MO_SPT_StockLow_Sources,COLUMN(),FALSE),VLOOKUP(MO.DataSourceName,MO_SPT_StockLow_Sources,COLUMN(),FALSE)),"N/A")</f>
        <v/>
      </c>
      <c r="AG458" s="262">
        <f>IFERROR(IF(OR(MO.RealTimeStockPriceToggle=FALSE,VLOOKUP(MO.DataSourceName,MO_SPT_StockLow_Sources,COLUMN(),FALSE)="N/A"),VLOOKUP("Real-Time Off Source",MO_SPT_StockLow_Sources,COLUMN(),FALSE),VLOOKUP(MO.DataSourceName,MO_SPT_StockLow_Sources,COLUMN(),FALSE)),"N/A")</f>
        <v/>
      </c>
      <c r="AH458" s="262">
        <f>IFERROR(IF(OR(MO.RealTimeStockPriceToggle=FALSE,VLOOKUP(MO.DataSourceName,MO_SPT_StockLow_Sources,COLUMN(),FALSE)="N/A"),VLOOKUP("Real-Time Off Source",MO_SPT_StockLow_Sources,COLUMN(),FALSE),VLOOKUP(MO.DataSourceName,MO_SPT_StockLow_Sources,COLUMN(),FALSE)),"N/A")</f>
        <v/>
      </c>
      <c r="AI458" s="262">
        <f>IFERROR(IF(OR(MO.RealTimeStockPriceToggle=FALSE,VLOOKUP(MO.DataSourceName,MO_SPT_StockLow_Sources,COLUMN(),FALSE)="N/A"),VLOOKUP("Real-Time Off Source",MO_SPT_StockLow_Sources,COLUMN(),FALSE),VLOOKUP(MO.DataSourceName,MO_SPT_StockLow_Sources,COLUMN(),FALSE)),"N/A")</f>
        <v/>
      </c>
      <c r="AJ458" s="262">
        <f>IFERROR(IF(OR(MO.RealTimeStockPriceToggle=FALSE,VLOOKUP(MO.DataSourceName,MO_SPT_StockLow_Sources,COLUMN(),FALSE)="N/A"),VLOOKUP("Real-Time Off Source",MO_SPT_StockLow_Sources,COLUMN(),FALSE),VLOOKUP(MO.DataSourceName,MO_SPT_StockLow_Sources,COLUMN(),FALSE)),"N/A")</f>
        <v/>
      </c>
      <c r="AK458" s="262">
        <f>IFERROR(IF(OR(MO.RealTimeStockPriceToggle=FALSE,VLOOKUP(MO.DataSourceName,MO_SPT_StockLow_Sources,COLUMN(),FALSE)="N/A"),VLOOKUP("Real-Time Off Source",MO_SPT_StockLow_Sources,COLUMN(),FALSE),VLOOKUP(MO.DataSourceName,MO_SPT_StockLow_Sources,COLUMN(),FALSE)),"N/A")</f>
        <v/>
      </c>
      <c r="AL458" s="531">
        <f>IFERROR(IF(OR(MO.RealTimeStockPriceToggle=FALSE,VLOOKUP(MO.DataSourceName,MO_SPT_StockLow_Sources,COLUMN(),FALSE)="N/A"),VLOOKUP("Real-Time Off Source",MO_SPT_StockLow_Sources,COLUMN(),FALSE),VLOOKUP(MO.DataSourceName,MO_SPT_StockLow_Sources,COLUMN(),FALSE)),"N/A")</f>
        <v/>
      </c>
      <c r="AM458" s="262">
        <f>IFERROR(IF(OR(MO.RealTimeStockPriceToggle=FALSE,VLOOKUP(MO.DataSourceName,MO_SPT_StockLow_Sources,COLUMN(),FALSE)="N/A"),VLOOKUP("Real-Time Off Source",MO_SPT_StockLow_Sources,COLUMN(),FALSE),VLOOKUP(MO.DataSourceName,MO_SPT_StockLow_Sources,COLUMN(),FALSE)),"N/A")</f>
        <v/>
      </c>
      <c r="AN458" s="262">
        <f>IFERROR(IF(OR(MO.RealTimeStockPriceToggle=FALSE,VLOOKUP(MO.DataSourceName,MO_SPT_StockLow_Sources,COLUMN(),FALSE)="N/A"),VLOOKUP("Real-Time Off Source",MO_SPT_StockLow_Sources,COLUMN(),FALSE),VLOOKUP(MO.DataSourceName,MO_SPT_StockLow_Sources,COLUMN(),FALSE)),"N/A")</f>
        <v/>
      </c>
      <c r="AO458" s="262">
        <f>IFERROR(IF(OR(MO.RealTimeStockPriceToggle=FALSE,VLOOKUP(MO.DataSourceName,MO_SPT_StockLow_Sources,COLUMN(),FALSE)="N/A"),VLOOKUP("Real-Time Off Source",MO_SPT_StockLow_Sources,COLUMN(),FALSE),VLOOKUP(MO.DataSourceName,MO_SPT_StockLow_Sources,COLUMN(),FALSE)),"N/A")</f>
        <v/>
      </c>
      <c r="AP458" s="262">
        <f>IFERROR(IF(OR(MO.RealTimeStockPriceToggle=FALSE,VLOOKUP(MO.DataSourceName,MO_SPT_StockLow_Sources,COLUMN(),FALSE)="N/A"),VLOOKUP("Real-Time Off Source",MO_SPT_StockLow_Sources,COLUMN(),FALSE),VLOOKUP(MO.DataSourceName,MO_SPT_StockLow_Sources,COLUMN(),FALSE)),"N/A")</f>
        <v/>
      </c>
      <c r="AQ458" s="262">
        <f>IFERROR(IF(OR(MO.RealTimeStockPriceToggle=FALSE,VLOOKUP(MO.DataSourceName,MO_SPT_StockLow_Sources,COLUMN(),FALSE)="N/A"),VLOOKUP("Real-Time Off Source",MO_SPT_StockLow_Sources,COLUMN(),FALSE),VLOOKUP(MO.DataSourceName,MO_SPT_StockLow_Sources,COLUMN(),FALSE)),"N/A")</f>
        <v/>
      </c>
      <c r="AR458" s="262">
        <f>IFERROR(IF(OR(MO.RealTimeStockPriceToggle=FALSE,VLOOKUP(MO.DataSourceName,MO_SPT_StockLow_Sources,COLUMN(),FALSE)="N/A"),VLOOKUP("Real-Time Off Source",MO_SPT_StockLow_Sources,COLUMN(),FALSE),VLOOKUP(MO.DataSourceName,MO_SPT_StockLow_Sources,COLUMN(),FALSE)),"N/A")</f>
        <v/>
      </c>
      <c r="AS458" s="262">
        <f>IFERROR(IF(OR(MO.RealTimeStockPriceToggle=FALSE,VLOOKUP(MO.DataSourceName,MO_SPT_StockLow_Sources,COLUMN(),FALSE)="N/A"),VLOOKUP("Real-Time Off Source",MO_SPT_StockLow_Sources,COLUMN(),FALSE),VLOOKUP(MO.DataSourceName,MO_SPT_StockLow_Sources,COLUMN(),FALSE)),"N/A")</f>
        <v/>
      </c>
      <c r="AT458" s="262">
        <f>IFERROR(IF(OR(MO.RealTimeStockPriceToggle=FALSE,VLOOKUP(MO.DataSourceName,MO_SPT_StockLow_Sources,COLUMN(),FALSE)="N/A"),VLOOKUP("Real-Time Off Source",MO_SPT_StockLow_Sources,COLUMN(),FALSE),VLOOKUP(MO.DataSourceName,MO_SPT_StockLow_Sources,COLUMN(),FALSE)),"N/A")</f>
        <v/>
      </c>
      <c r="AU458" s="262">
        <f>IFERROR(IF(OR(MO.RealTimeStockPriceToggle=FALSE,VLOOKUP(MO.DataSourceName,MO_SPT_StockLow_Sources,COLUMN(),FALSE)="N/A"),VLOOKUP("Real-Time Off Source",MO_SPT_StockLow_Sources,COLUMN(),FALSE),VLOOKUP(MO.DataSourceName,MO_SPT_StockLow_Sources,COLUMN(),FALSE)),"N/A")</f>
        <v/>
      </c>
      <c r="AV458" s="262">
        <f>IFERROR(IF(OR(MO.RealTimeStockPriceToggle=FALSE,VLOOKUP(MO.DataSourceName,MO_SPT_StockLow_Sources,COLUMN(),FALSE)="N/A"),VLOOKUP("Real-Time Off Source",MO_SPT_StockLow_Sources,COLUMN(),FALSE),VLOOKUP(MO.DataSourceName,MO_SPT_StockLow_Sources,COLUMN(),FALSE)),"N/A")</f>
        <v/>
      </c>
      <c r="AW458" s="263">
        <f>IFERROR(IF(OR(MO.RealTimeStockPriceToggle=FALSE,VLOOKUP(MO.DataSourceName,MO_SPT_StockLow_Sources,COLUMN(),FALSE)="N/A"),VLOOKUP("Real-Time Off Source",MO_SPT_StockLow_Sources,COLUMN(),FALSE),VLOOKUP(MO.DataSourceName,MO_SPT_StockLow_Sources,COLUMN(),FALSE)),"N/A")</f>
        <v/>
      </c>
      <c r="AX458" s="232" t="n"/>
    </row>
    <row r="459" hidden="1" outlineLevel="1" customFormat="1" s="226">
      <c r="A459" s="532" t="inlineStr">
        <is>
          <t>Real-Time Off Source</t>
        </is>
      </c>
      <c r="B459" s="262" t="n"/>
      <c r="C459" s="530" t="n">
        <v>6.9</v>
      </c>
      <c r="D459" s="530" t="n">
        <v>14.79</v>
      </c>
      <c r="E459" s="530" t="n">
        <v>23.96</v>
      </c>
      <c r="F459" s="530" t="n">
        <v>30</v>
      </c>
      <c r="G459" s="530" t="n">
        <v>41.75</v>
      </c>
      <c r="H459" s="262" t="n">
        <v>42.58</v>
      </c>
      <c r="I459" s="262" t="n">
        <v>33.69</v>
      </c>
      <c r="J459" s="262" t="n">
        <v>32.35</v>
      </c>
      <c r="K459" s="262" t="n">
        <v>32.35</v>
      </c>
      <c r="L459" s="262" t="n">
        <v>33.07</v>
      </c>
      <c r="M459" s="262" t="n">
        <v>30.58</v>
      </c>
      <c r="N459" s="262" t="n">
        <v>33.33</v>
      </c>
      <c r="O459" s="262" t="n">
        <v>39.21</v>
      </c>
      <c r="P459" s="262" t="n">
        <v>30.58</v>
      </c>
      <c r="Q459" s="262" t="n">
        <v>42.37</v>
      </c>
      <c r="R459" s="262" t="n">
        <v>44.28</v>
      </c>
      <c r="S459" s="262" t="n">
        <v>32.24</v>
      </c>
      <c r="T459" s="262" t="n">
        <v>37.05</v>
      </c>
      <c r="U459" s="262" t="n">
        <v>32.24</v>
      </c>
      <c r="V459" s="262" t="n">
        <v>37.54</v>
      </c>
      <c r="W459" s="262" t="n">
        <v>40.54</v>
      </c>
      <c r="X459" s="262" t="n">
        <v>39.53</v>
      </c>
      <c r="Y459" s="262" t="n">
        <v>38.75</v>
      </c>
      <c r="Z459" s="262" t="n">
        <v>37.54</v>
      </c>
      <c r="AA459" s="262" t="n">
        <v>40.7</v>
      </c>
      <c r="AB459" s="262" t="n">
        <v>41.55</v>
      </c>
      <c r="AC459" s="262" t="n">
        <v>42.05</v>
      </c>
      <c r="AD459" s="262" t="n">
        <v>42.25</v>
      </c>
      <c r="AE459" s="262" t="n">
        <v>40.7</v>
      </c>
      <c r="AF459" s="262" t="n">
        <v>59.3</v>
      </c>
      <c r="AG459" s="262" t="n">
        <v>71.2</v>
      </c>
      <c r="AH459" s="262" t="n">
        <v>72.40000000000001</v>
      </c>
      <c r="AI459" s="262" t="n">
        <v>65.98</v>
      </c>
      <c r="AJ459" s="262" t="n">
        <v>59.3</v>
      </c>
      <c r="AK459" s="262" t="n">
        <v>80.40000000000001</v>
      </c>
      <c r="AL459" s="531" t="n">
        <v>109.64</v>
      </c>
      <c r="AM459" s="262" t="n"/>
      <c r="AN459" s="262" t="n"/>
      <c r="AO459" s="262" t="n"/>
      <c r="AP459" s="262" t="n"/>
      <c r="AQ459" s="262" t="n"/>
      <c r="AR459" s="262" t="n"/>
      <c r="AS459" s="262" t="n"/>
      <c r="AT459" s="262" t="n"/>
      <c r="AU459" s="262" t="n"/>
      <c r="AV459" s="262" t="n"/>
      <c r="AW459" s="263" t="n"/>
      <c r="AX459" s="232" t="n"/>
    </row>
    <row r="460" hidden="1" outlineLevel="1" customFormat="1" s="226">
      <c r="A460" s="532" t="inlineStr">
        <is>
          <t>Bloomberg</t>
        </is>
      </c>
      <c r="B460" s="262" t="n"/>
      <c r="C460" s="530">
        <f>IFERROR(IFERROR(_xll.BDP(MO.Ticker.Bloomberg&amp;" Equity","INTERVAL_LOW","MARKET_DATA_OVERRIDE=PX_LAST","START_DATE_OVERRIDE",TEXT(INDEX(MO_SNA_FPStartDate,0,COLUMN()),"YYYYMMDD"),"END_DATE_OVERRIDE",TEXT(INDEX(MO_Common_QEndDate,0,COLUMN()),"YYYYMMDD")),"N/A"),"N/A")</f>
        <v/>
      </c>
      <c r="D460" s="530">
        <f>IFERROR(IFERROR(_xll.BDP(MO.Ticker.Bloomberg&amp;" Equity","INTERVAL_LOW","MARKET_DATA_OVERRIDE=PX_LAST","START_DATE_OVERRIDE",TEXT(INDEX(MO_SNA_FPStartDate,0,COLUMN()),"YYYYMMDD"),"END_DATE_OVERRIDE",TEXT(INDEX(MO_Common_QEndDate,0,COLUMN()),"YYYYMMDD")),"N/A"),"N/A")</f>
        <v/>
      </c>
      <c r="E460" s="530">
        <f>IFERROR(IFERROR(_xll.BDP(MO.Ticker.Bloomberg&amp;" Equity","INTERVAL_LOW","MARKET_DATA_OVERRIDE=PX_LAST","START_DATE_OVERRIDE",TEXT(INDEX(MO_SNA_FPStartDate,0,COLUMN()),"YYYYMMDD"),"END_DATE_OVERRIDE",TEXT(INDEX(MO_Common_QEndDate,0,COLUMN()),"YYYYMMDD")),"N/A"),"N/A")</f>
        <v/>
      </c>
      <c r="F460" s="530">
        <f>IFERROR(IFERROR(_xll.BDP(MO.Ticker.Bloomberg&amp;" Equity","INTERVAL_LOW","MARKET_DATA_OVERRIDE=PX_LAST","START_DATE_OVERRIDE",TEXT(INDEX(MO_SNA_FPStartDate,0,COLUMN()),"YYYYMMDD"),"END_DATE_OVERRIDE",TEXT(INDEX(MO_Common_QEndDate,0,COLUMN()),"YYYYMMDD")),"N/A"),"N/A")</f>
        <v/>
      </c>
      <c r="G460" s="530">
        <f>IFERROR(IFERROR(_xll.BDP(MO.Ticker.Bloomberg&amp;" Equity","INTERVAL_LOW","MARKET_DATA_OVERRIDE=PX_LAST","START_DATE_OVERRIDE",TEXT(INDEX(MO_SNA_FPStartDate,0,COLUMN()),"YYYYMMDD"),"END_DATE_OVERRIDE",TEXT(INDEX(MO_Common_QEndDate,0,COLUMN()),"YYYYMMDD")),"N/A"),"N/A")</f>
        <v/>
      </c>
      <c r="H460" s="262">
        <f>IFERROR(IFERROR(_xll.BDP(MO.Ticker.Bloomberg&amp;" Equity","INTERVAL_LOW","MARKET_DATA_OVERRIDE=PX_LAST","START_DATE_OVERRIDE",TEXT(INDEX(MO_SNA_FPStartDate,0,COLUMN()),"YYYYMMDD"),"END_DATE_OVERRIDE",TEXT(INDEX(MO_Common_QEndDate,0,COLUMN()),"YYYYMMDD")),"N/A"),"N/A")</f>
        <v/>
      </c>
      <c r="I460" s="262">
        <f>IFERROR(IFERROR(_xll.BDP(MO.Ticker.Bloomberg&amp;" Equity","INTERVAL_LOW","MARKET_DATA_OVERRIDE=PX_LAST","START_DATE_OVERRIDE",TEXT(INDEX(MO_SNA_FPStartDate,0,COLUMN()),"YYYYMMDD"),"END_DATE_OVERRIDE",TEXT(INDEX(MO_Common_QEndDate,0,COLUMN()),"YYYYMMDD")),"N/A"),"N/A")</f>
        <v/>
      </c>
      <c r="J460" s="262">
        <f>IFERROR(IFERROR(_xll.BDP(MO.Ticker.Bloomberg&amp;" Equity","INTERVAL_LOW","MARKET_DATA_OVERRIDE=PX_LAST","START_DATE_OVERRIDE",TEXT(INDEX(MO_SNA_FPStartDate,0,COLUMN()),"YYYYMMDD"),"END_DATE_OVERRIDE",TEXT(INDEX(MO_Common_QEndDate,0,COLUMN()),"YYYYMMDD")),"N/A"),"N/A")</f>
        <v/>
      </c>
      <c r="K460" s="262">
        <f>IFERROR(IFERROR(_xll.BDP(MO.Ticker.Bloomberg&amp;" Equity","INTERVAL_LOW","MARKET_DATA_OVERRIDE=PX_LAST","START_DATE_OVERRIDE",TEXT(INDEX(MO_SNA_FPStartDate,0,COLUMN()),"YYYYMMDD"),"END_DATE_OVERRIDE",TEXT(INDEX(MO_Common_QEndDate,0,COLUMN()),"YYYYMMDD")),"N/A"),"N/A")</f>
        <v/>
      </c>
      <c r="L460" s="262">
        <f>IFERROR(IFERROR(_xll.BDP(MO.Ticker.Bloomberg&amp;" Equity","INTERVAL_LOW","MARKET_DATA_OVERRIDE=PX_LAST","START_DATE_OVERRIDE",TEXT(INDEX(MO_SNA_FPStartDate,0,COLUMN()),"YYYYMMDD"),"END_DATE_OVERRIDE",TEXT(INDEX(MO_Common_QEndDate,0,COLUMN()),"YYYYMMDD")),"N/A"),"N/A")</f>
        <v/>
      </c>
      <c r="M460" s="262">
        <f>IFERROR(IFERROR(_xll.BDP(MO.Ticker.Bloomberg&amp;" Equity","INTERVAL_LOW","MARKET_DATA_OVERRIDE=PX_LAST","START_DATE_OVERRIDE",TEXT(INDEX(MO_SNA_FPStartDate,0,COLUMN()),"YYYYMMDD"),"END_DATE_OVERRIDE",TEXT(INDEX(MO_Common_QEndDate,0,COLUMN()),"YYYYMMDD")),"N/A"),"N/A")</f>
        <v/>
      </c>
      <c r="N460" s="262">
        <f>IFERROR(IFERROR(_xll.BDP(MO.Ticker.Bloomberg&amp;" Equity","INTERVAL_LOW","MARKET_DATA_OVERRIDE=PX_LAST","START_DATE_OVERRIDE",TEXT(INDEX(MO_SNA_FPStartDate,0,COLUMN()),"YYYYMMDD"),"END_DATE_OVERRIDE",TEXT(INDEX(MO_Common_QEndDate,0,COLUMN()),"YYYYMMDD")),"N/A"),"N/A")</f>
        <v/>
      </c>
      <c r="O460" s="262">
        <f>IFERROR(IFERROR(_xll.BDP(MO.Ticker.Bloomberg&amp;" Equity","INTERVAL_LOW","MARKET_DATA_OVERRIDE=PX_LAST","START_DATE_OVERRIDE",TEXT(INDEX(MO_SNA_FPStartDate,0,COLUMN()),"YYYYMMDD"),"END_DATE_OVERRIDE",TEXT(INDEX(MO_Common_QEndDate,0,COLUMN()),"YYYYMMDD")),"N/A"),"N/A")</f>
        <v/>
      </c>
      <c r="P460" s="262">
        <f>IFERROR(IFERROR(_xll.BDP(MO.Ticker.Bloomberg&amp;" Equity","INTERVAL_LOW","MARKET_DATA_OVERRIDE=PX_LAST","START_DATE_OVERRIDE",TEXT(INDEX(MO_SNA_FPStartDate,0,COLUMN()),"YYYYMMDD"),"END_DATE_OVERRIDE",TEXT(INDEX(MO_Common_QEndDate,0,COLUMN()),"YYYYMMDD")),"N/A"),"N/A")</f>
        <v/>
      </c>
      <c r="Q460" s="262">
        <f>IFERROR(IFERROR(_xll.BDP(MO.Ticker.Bloomberg&amp;" Equity","INTERVAL_LOW","MARKET_DATA_OVERRIDE=PX_LAST","START_DATE_OVERRIDE",TEXT(INDEX(MO_SNA_FPStartDate,0,COLUMN()),"YYYYMMDD"),"END_DATE_OVERRIDE",TEXT(INDEX(MO_Common_QEndDate,0,COLUMN()),"YYYYMMDD")),"N/A"),"N/A")</f>
        <v/>
      </c>
      <c r="R460" s="262">
        <f>IFERROR(IFERROR(_xll.BDP(MO.Ticker.Bloomberg&amp;" Equity","INTERVAL_LOW","MARKET_DATA_OVERRIDE=PX_LAST","START_DATE_OVERRIDE",TEXT(INDEX(MO_SNA_FPStartDate,0,COLUMN()),"YYYYMMDD"),"END_DATE_OVERRIDE",TEXT(INDEX(MO_Common_QEndDate,0,COLUMN()),"YYYYMMDD")),"N/A"),"N/A")</f>
        <v/>
      </c>
      <c r="S460" s="262">
        <f>IFERROR(IFERROR(_xll.BDP(MO.Ticker.Bloomberg&amp;" Equity","INTERVAL_LOW","MARKET_DATA_OVERRIDE=PX_LAST","START_DATE_OVERRIDE",TEXT(INDEX(MO_SNA_FPStartDate,0,COLUMN()),"YYYYMMDD"),"END_DATE_OVERRIDE",TEXT(INDEX(MO_Common_QEndDate,0,COLUMN()),"YYYYMMDD")),"N/A"),"N/A")</f>
        <v/>
      </c>
      <c r="T460" s="262">
        <f>IFERROR(IFERROR(_xll.BDP(MO.Ticker.Bloomberg&amp;" Equity","INTERVAL_LOW","MARKET_DATA_OVERRIDE=PX_LAST","START_DATE_OVERRIDE",TEXT(INDEX(MO_SNA_FPStartDate,0,COLUMN()),"YYYYMMDD"),"END_DATE_OVERRIDE",TEXT(INDEX(MO_Common_QEndDate,0,COLUMN()),"YYYYMMDD")),"N/A"),"N/A")</f>
        <v/>
      </c>
      <c r="U460" s="262">
        <f>IFERROR(IFERROR(_xll.BDP(MO.Ticker.Bloomberg&amp;" Equity","INTERVAL_LOW","MARKET_DATA_OVERRIDE=PX_LAST","START_DATE_OVERRIDE",TEXT(INDEX(MO_SNA_FPStartDate,0,COLUMN()),"YYYYMMDD"),"END_DATE_OVERRIDE",TEXT(INDEX(MO_Common_QEndDate,0,COLUMN()),"YYYYMMDD")),"N/A"),"N/A")</f>
        <v/>
      </c>
      <c r="V460" s="262">
        <f>IFERROR(IFERROR(_xll.BDP(MO.Ticker.Bloomberg&amp;" Equity","INTERVAL_LOW","MARKET_DATA_OVERRIDE=PX_LAST","START_DATE_OVERRIDE",TEXT(INDEX(MO_SNA_FPStartDate,0,COLUMN()),"YYYYMMDD"),"END_DATE_OVERRIDE",TEXT(INDEX(MO_Common_QEndDate,0,COLUMN()),"YYYYMMDD")),"N/A"),"N/A")</f>
        <v/>
      </c>
      <c r="W460" s="262">
        <f>IFERROR(IFERROR(_xll.BDP(MO.Ticker.Bloomberg&amp;" Equity","INTERVAL_LOW","MARKET_DATA_OVERRIDE=PX_LAST","START_DATE_OVERRIDE",TEXT(INDEX(MO_SNA_FPStartDate,0,COLUMN()),"YYYYMMDD"),"END_DATE_OVERRIDE",TEXT(INDEX(MO_Common_QEndDate,0,COLUMN()),"YYYYMMDD")),"N/A"),"N/A")</f>
        <v/>
      </c>
      <c r="X460" s="262">
        <f>IFERROR(IFERROR(_xll.BDP(MO.Ticker.Bloomberg&amp;" Equity","INTERVAL_LOW","MARKET_DATA_OVERRIDE=PX_LAST","START_DATE_OVERRIDE",TEXT(INDEX(MO_SNA_FPStartDate,0,COLUMN()),"YYYYMMDD"),"END_DATE_OVERRIDE",TEXT(INDEX(MO_Common_QEndDate,0,COLUMN()),"YYYYMMDD")),"N/A"),"N/A")</f>
        <v/>
      </c>
      <c r="Y460" s="262">
        <f>IFERROR(IFERROR(_xll.BDP(MO.Ticker.Bloomberg&amp;" Equity","INTERVAL_LOW","MARKET_DATA_OVERRIDE=PX_LAST","START_DATE_OVERRIDE",TEXT(INDEX(MO_SNA_FPStartDate,0,COLUMN()),"YYYYMMDD"),"END_DATE_OVERRIDE",TEXT(INDEX(MO_Common_QEndDate,0,COLUMN()),"YYYYMMDD")),"N/A"),"N/A")</f>
        <v/>
      </c>
      <c r="Z460" s="262">
        <f>IFERROR(IFERROR(_xll.BDP(MO.Ticker.Bloomberg&amp;" Equity","INTERVAL_LOW","MARKET_DATA_OVERRIDE=PX_LAST","START_DATE_OVERRIDE",TEXT(INDEX(MO_SNA_FPStartDate,0,COLUMN()),"YYYYMMDD"),"END_DATE_OVERRIDE",TEXT(INDEX(MO_Common_QEndDate,0,COLUMN()),"YYYYMMDD")),"N/A"),"N/A")</f>
        <v/>
      </c>
      <c r="AA460" s="262">
        <f>IFERROR(IFERROR(_xll.BDP(MO.Ticker.Bloomberg&amp;" Equity","INTERVAL_LOW","MARKET_DATA_OVERRIDE=PX_LAST","START_DATE_OVERRIDE",TEXT(INDEX(MO_SNA_FPStartDate,0,COLUMN()),"YYYYMMDD"),"END_DATE_OVERRIDE",TEXT(INDEX(MO_Common_QEndDate,0,COLUMN()),"YYYYMMDD")),"N/A"),"N/A")</f>
        <v/>
      </c>
      <c r="AB460" s="262">
        <f>IFERROR(IFERROR(_xll.BDP(MO.Ticker.Bloomberg&amp;" Equity","INTERVAL_LOW","MARKET_DATA_OVERRIDE=PX_LAST","START_DATE_OVERRIDE",TEXT(INDEX(MO_SNA_FPStartDate,0,COLUMN()),"YYYYMMDD"),"END_DATE_OVERRIDE",TEXT(INDEX(MO_Common_QEndDate,0,COLUMN()),"YYYYMMDD")),"N/A"),"N/A")</f>
        <v/>
      </c>
      <c r="AC460" s="262">
        <f>IFERROR(IFERROR(_xll.BDP(MO.Ticker.Bloomberg&amp;" Equity","INTERVAL_LOW","MARKET_DATA_OVERRIDE=PX_LAST","START_DATE_OVERRIDE",TEXT(INDEX(MO_SNA_FPStartDate,0,COLUMN()),"YYYYMMDD"),"END_DATE_OVERRIDE",TEXT(INDEX(MO_Common_QEndDate,0,COLUMN()),"YYYYMMDD")),"N/A"),"N/A")</f>
        <v/>
      </c>
      <c r="AD460" s="262">
        <f>IFERROR(IFERROR(_xll.BDP(MO.Ticker.Bloomberg&amp;" Equity","INTERVAL_LOW","MARKET_DATA_OVERRIDE=PX_LAST","START_DATE_OVERRIDE",TEXT(INDEX(MO_SNA_FPStartDate,0,COLUMN()),"YYYYMMDD"),"END_DATE_OVERRIDE",TEXT(INDEX(MO_Common_QEndDate,0,COLUMN()),"YYYYMMDD")),"N/A"),"N/A")</f>
        <v/>
      </c>
      <c r="AE460" s="262">
        <f>IFERROR(IFERROR(_xll.BDP(MO.Ticker.Bloomberg&amp;" Equity","INTERVAL_LOW","MARKET_DATA_OVERRIDE=PX_LAST","START_DATE_OVERRIDE",TEXT(INDEX(MO_SNA_FPStartDate,0,COLUMN()),"YYYYMMDD"),"END_DATE_OVERRIDE",TEXT(INDEX(MO_Common_QEndDate,0,COLUMN()),"YYYYMMDD")),"N/A"),"N/A")</f>
        <v/>
      </c>
      <c r="AF460" s="262">
        <f>IFERROR(IFERROR(_xll.BDP(MO.Ticker.Bloomberg&amp;" Equity","INTERVAL_LOW","MARKET_DATA_OVERRIDE=PX_LAST","START_DATE_OVERRIDE",TEXT(INDEX(MO_SNA_FPStartDate,0,COLUMN()),"YYYYMMDD"),"END_DATE_OVERRIDE",TEXT(INDEX(MO_Common_QEndDate,0,COLUMN()),"YYYYMMDD")),"N/A"),"N/A")</f>
        <v/>
      </c>
      <c r="AG460" s="262">
        <f>IFERROR(IFERROR(_xll.BDP(MO.Ticker.Bloomberg&amp;" Equity","INTERVAL_LOW","MARKET_DATA_OVERRIDE=PX_LAST","START_DATE_OVERRIDE",TEXT(INDEX(MO_SNA_FPStartDate,0,COLUMN()),"YYYYMMDD"),"END_DATE_OVERRIDE",TEXT(INDEX(MO_Common_QEndDate,0,COLUMN()),"YYYYMMDD")),"N/A"),"N/A")</f>
        <v/>
      </c>
      <c r="AH460" s="262">
        <f>IFERROR(IFERROR(_xll.BDP(MO.Ticker.Bloomberg&amp;" Equity","INTERVAL_LOW","MARKET_DATA_OVERRIDE=PX_LAST","START_DATE_OVERRIDE",TEXT(INDEX(MO_SNA_FPStartDate,0,COLUMN()),"YYYYMMDD"),"END_DATE_OVERRIDE",TEXT(INDEX(MO_Common_QEndDate,0,COLUMN()),"YYYYMMDD")),"N/A"),"N/A")</f>
        <v/>
      </c>
      <c r="AI460" s="262">
        <f>IFERROR(IFERROR(_xll.BDP(MO.Ticker.Bloomberg&amp;" Equity","INTERVAL_LOW","MARKET_DATA_OVERRIDE=PX_LAST","START_DATE_OVERRIDE",TEXT(INDEX(MO_SNA_FPStartDate,0,COLUMN()),"YYYYMMDD"),"END_DATE_OVERRIDE",TEXT(INDEX(MO_Common_QEndDate,0,COLUMN()),"YYYYMMDD")),"N/A"),"N/A")</f>
        <v/>
      </c>
      <c r="AJ460" s="262">
        <f>IFERROR(IFERROR(_xll.BDP(MO.Ticker.Bloomberg&amp;" Equity","INTERVAL_LOW","MARKET_DATA_OVERRIDE=PX_LAST","START_DATE_OVERRIDE",TEXT(INDEX(MO_SNA_FPStartDate,0,COLUMN()),"YYYYMMDD"),"END_DATE_OVERRIDE",TEXT(INDEX(MO_Common_QEndDate,0,COLUMN()),"YYYYMMDD")),"N/A"),"N/A")</f>
        <v/>
      </c>
      <c r="AK460" s="262">
        <f>IFERROR(IFERROR(_xll.BDP(MO.Ticker.Bloomberg&amp;" Equity","INTERVAL_LOW","MARKET_DATA_OVERRIDE=PX_LAST","START_DATE_OVERRIDE",TEXT(INDEX(MO_SNA_FPStartDate,0,COLUMN()),"YYYYMMDD"),"END_DATE_OVERRIDE",TEXT(INDEX(MO_Common_QEndDate,0,COLUMN()),"YYYYMMDD")),"N/A"),"N/A")</f>
        <v/>
      </c>
      <c r="AL460" s="531">
        <f>IFERROR(IFERROR(_xll.BDP(MO.Ticker.Bloomberg&amp;" Equity","INTERVAL_LOW","MARKET_DATA_OVERRIDE=PX_LAST","START_DATE_OVERRIDE",TEXT(INDEX(MO_SNA_FPStartDate,0,COLUMN()),"YYYYMMDD"),"END_DATE_OVERRIDE",TEXT(INDEX(MO_Common_QEndDate,0,COLUMN()),"YYYYMMDD")),"N/A"),"N/A")</f>
        <v/>
      </c>
      <c r="AM460" s="262">
        <f>IFERROR(IFERROR(_xll.BDP(MO.Ticker.Bloomberg&amp;" Equity","INTERVAL_LOW","MARKET_DATA_OVERRIDE=PX_LAST","START_DATE_OVERRIDE",TEXT(INDEX(MO_SNA_FPStartDate,0,COLUMN()),"YYYYMMDD"),"END_DATE_OVERRIDE",TEXT(INDEX(MO_Common_QEndDate,0,COLUMN()),"YYYYMMDD")),"N/A"),"N/A")</f>
        <v/>
      </c>
      <c r="AN460" s="262">
        <f>IFERROR(IFERROR(_xll.BDP(MO.Ticker.Bloomberg&amp;" Equity","INTERVAL_LOW","MARKET_DATA_OVERRIDE=PX_LAST","START_DATE_OVERRIDE",TEXT(INDEX(MO_SNA_FPStartDate,0,COLUMN()),"YYYYMMDD"),"END_DATE_OVERRIDE",TEXT(INDEX(MO_Common_QEndDate,0,COLUMN()),"YYYYMMDD")),"N/A"),"N/A")</f>
        <v/>
      </c>
      <c r="AO460" s="262">
        <f>IFERROR(IFERROR(_xll.BDP(MO.Ticker.Bloomberg&amp;" Equity","INTERVAL_LOW","MARKET_DATA_OVERRIDE=PX_LAST","START_DATE_OVERRIDE",TEXT(INDEX(MO_SNA_FPStartDate,0,COLUMN()),"YYYYMMDD"),"END_DATE_OVERRIDE",TEXT(INDEX(MO_Common_QEndDate,0,COLUMN()),"YYYYMMDD")),"N/A"),"N/A")</f>
        <v/>
      </c>
      <c r="AP460" s="262">
        <f>IFERROR(IFERROR(_xll.BDP(MO.Ticker.Bloomberg&amp;" Equity","INTERVAL_LOW","MARKET_DATA_OVERRIDE=PX_LAST","START_DATE_OVERRIDE",TEXT(INDEX(MO_SNA_FPStartDate,0,COLUMN()),"YYYYMMDD"),"END_DATE_OVERRIDE",TEXT(INDEX(MO_Common_QEndDate,0,COLUMN()),"YYYYMMDD")),"N/A"),"N/A")</f>
        <v/>
      </c>
      <c r="AQ460" s="262">
        <f>IFERROR(IFERROR(_xll.BDP(MO.Ticker.Bloomberg&amp;" Equity","INTERVAL_LOW","MARKET_DATA_OVERRIDE=PX_LAST","START_DATE_OVERRIDE",TEXT(INDEX(MO_SNA_FPStartDate,0,COLUMN()),"YYYYMMDD"),"END_DATE_OVERRIDE",TEXT(INDEX(MO_Common_QEndDate,0,COLUMN()),"YYYYMMDD")),"N/A"),"N/A")</f>
        <v/>
      </c>
      <c r="AR460" s="262">
        <f>IFERROR(IFERROR(_xll.BDP(MO.Ticker.Bloomberg&amp;" Equity","INTERVAL_LOW","MARKET_DATA_OVERRIDE=PX_LAST","START_DATE_OVERRIDE",TEXT(INDEX(MO_SNA_FPStartDate,0,COLUMN()),"YYYYMMDD"),"END_DATE_OVERRIDE",TEXT(INDEX(MO_Common_QEndDate,0,COLUMN()),"YYYYMMDD")),"N/A"),"N/A")</f>
        <v/>
      </c>
      <c r="AS460" s="262">
        <f>IFERROR(IFERROR(_xll.BDP(MO.Ticker.Bloomberg&amp;" Equity","INTERVAL_LOW","MARKET_DATA_OVERRIDE=PX_LAST","START_DATE_OVERRIDE",TEXT(INDEX(MO_SNA_FPStartDate,0,COLUMN()),"YYYYMMDD"),"END_DATE_OVERRIDE",TEXT(INDEX(MO_Common_QEndDate,0,COLUMN()),"YYYYMMDD")),"N/A"),"N/A")</f>
        <v/>
      </c>
      <c r="AT460" s="262">
        <f>IFERROR(IFERROR(_xll.BDP(MO.Ticker.Bloomberg&amp;" Equity","INTERVAL_LOW","MARKET_DATA_OVERRIDE=PX_LAST","START_DATE_OVERRIDE",TEXT(INDEX(MO_SNA_FPStartDate,0,COLUMN()),"YYYYMMDD"),"END_DATE_OVERRIDE",TEXT(INDEX(MO_Common_QEndDate,0,COLUMN()),"YYYYMMDD")),"N/A"),"N/A")</f>
        <v/>
      </c>
      <c r="AU460" s="262">
        <f>IFERROR(IFERROR(_xll.BDP(MO.Ticker.Bloomberg&amp;" Equity","INTERVAL_LOW","MARKET_DATA_OVERRIDE=PX_LAST","START_DATE_OVERRIDE",TEXT(INDEX(MO_SNA_FPStartDate,0,COLUMN()),"YYYYMMDD"),"END_DATE_OVERRIDE",TEXT(INDEX(MO_Common_QEndDate,0,COLUMN()),"YYYYMMDD")),"N/A"),"N/A")</f>
        <v/>
      </c>
      <c r="AV460" s="262">
        <f>IFERROR(IFERROR(_xll.BDP(MO.Ticker.Bloomberg&amp;" Equity","INTERVAL_LOW","MARKET_DATA_OVERRIDE=PX_LAST","START_DATE_OVERRIDE",TEXT(INDEX(MO_SNA_FPStartDate,0,COLUMN()),"YYYYMMDD"),"END_DATE_OVERRIDE",TEXT(INDEX(MO_Common_QEndDate,0,COLUMN()),"YYYYMMDD")),"N/A"),"N/A")</f>
        <v/>
      </c>
      <c r="AW460" s="263">
        <f>IFERROR(IFERROR(_xll.BDP(MO.Ticker.Bloomberg&amp;" Equity","INTERVAL_LOW","MARKET_DATA_OVERRIDE=PX_LAST","START_DATE_OVERRIDE",TEXT(INDEX(MO_SNA_FPStartDate,0,COLUMN()),"YYYYMMDD"),"END_DATE_OVERRIDE",TEXT(INDEX(MO_Common_QEndDate,0,COLUMN()),"YYYYMMDD")),"N/A"),"N/A")</f>
        <v/>
      </c>
      <c r="AX460" s="232" t="n"/>
    </row>
    <row r="461" hidden="1" outlineLevel="1" customFormat="1" s="226">
      <c r="A461" s="532" t="inlineStr">
        <is>
          <t>Capital IQ</t>
        </is>
      </c>
      <c r="B461" s="262" t="n"/>
      <c r="C461" s="530">
        <f>IFERROR(IFERROR(_xll.CIQHI(MO.Ticker.CapIQ,"IQ_LASTSALEPRICE",INDEX(MO_SNA_FPStartDate,0,COLUMN()),INDEX(MO_Common_QEndDate,0,COLUMN())),"N/A"),"N/A")</f>
        <v/>
      </c>
      <c r="D461" s="530">
        <f>IFERROR(IFERROR(_xll.CIQHI(MO.Ticker.CapIQ,"IQ_LASTSALEPRICE",INDEX(MO_SNA_FPStartDate,0,COLUMN()),INDEX(MO_Common_QEndDate,0,COLUMN())),"N/A"),"N/A")</f>
        <v/>
      </c>
      <c r="E461" s="530">
        <f>IFERROR(IFERROR(_xll.CIQHI(MO.Ticker.CapIQ,"IQ_LASTSALEPRICE",INDEX(MO_SNA_FPStartDate,0,COLUMN()),INDEX(MO_Common_QEndDate,0,COLUMN())),"N/A"),"N/A")</f>
        <v/>
      </c>
      <c r="F461" s="530">
        <f>IFERROR(IFERROR(_xll.CIQHI(MO.Ticker.CapIQ,"IQ_LASTSALEPRICE",INDEX(MO_SNA_FPStartDate,0,COLUMN()),INDEX(MO_Common_QEndDate,0,COLUMN())),"N/A"),"N/A")</f>
        <v/>
      </c>
      <c r="G461" s="530">
        <f>IFERROR(IFERROR(_xll.CIQHI(MO.Ticker.CapIQ,"IQ_LASTSALEPRICE",INDEX(MO_SNA_FPStartDate,0,COLUMN()),INDEX(MO_Common_QEndDate,0,COLUMN())),"N/A"),"N/A")</f>
        <v/>
      </c>
      <c r="H461" s="262">
        <f>IFERROR(IFERROR(_xll.CIQHI(MO.Ticker.CapIQ,"IQ_LASTSALEPRICE",INDEX(MO_SNA_FPStartDate,0,COLUMN()),INDEX(MO_Common_QEndDate,0,COLUMN())),"N/A"),"N/A")</f>
        <v/>
      </c>
      <c r="I461" s="262">
        <f>IFERROR(IFERROR(_xll.CIQHI(MO.Ticker.CapIQ,"IQ_LASTSALEPRICE",INDEX(MO_SNA_FPStartDate,0,COLUMN()),INDEX(MO_Common_QEndDate,0,COLUMN())),"N/A"),"N/A")</f>
        <v/>
      </c>
      <c r="J461" s="262">
        <f>IFERROR(IFERROR(_xll.CIQHI(MO.Ticker.CapIQ,"IQ_LASTSALEPRICE",INDEX(MO_SNA_FPStartDate,0,COLUMN()),INDEX(MO_Common_QEndDate,0,COLUMN())),"N/A"),"N/A")</f>
        <v/>
      </c>
      <c r="K461" s="262">
        <f>IFERROR(IFERROR(_xll.CIQHI(MO.Ticker.CapIQ,"IQ_LASTSALEPRICE",INDEX(MO_SNA_FPStartDate,0,COLUMN()),INDEX(MO_Common_QEndDate,0,COLUMN())),"N/A"),"N/A")</f>
        <v/>
      </c>
      <c r="L461" s="262">
        <f>IFERROR(IFERROR(_xll.CIQHI(MO.Ticker.CapIQ,"IQ_LASTSALEPRICE",INDEX(MO_SNA_FPStartDate,0,COLUMN()),INDEX(MO_Common_QEndDate,0,COLUMN())),"N/A"),"N/A")</f>
        <v/>
      </c>
      <c r="M461" s="262">
        <f>IFERROR(IFERROR(_xll.CIQHI(MO.Ticker.CapIQ,"IQ_LASTSALEPRICE",INDEX(MO_SNA_FPStartDate,0,COLUMN()),INDEX(MO_Common_QEndDate,0,COLUMN())),"N/A"),"N/A")</f>
        <v/>
      </c>
      <c r="N461" s="262">
        <f>IFERROR(IFERROR(_xll.CIQHI(MO.Ticker.CapIQ,"IQ_LASTSALEPRICE",INDEX(MO_SNA_FPStartDate,0,COLUMN()),INDEX(MO_Common_QEndDate,0,COLUMN())),"N/A"),"N/A")</f>
        <v/>
      </c>
      <c r="O461" s="262">
        <f>IFERROR(IFERROR(_xll.CIQHI(MO.Ticker.CapIQ,"IQ_LASTSALEPRICE",INDEX(MO_SNA_FPStartDate,0,COLUMN()),INDEX(MO_Common_QEndDate,0,COLUMN())),"N/A"),"N/A")</f>
        <v/>
      </c>
      <c r="P461" s="262">
        <f>IFERROR(IFERROR(_xll.CIQHI(MO.Ticker.CapIQ,"IQ_LASTSALEPRICE",INDEX(MO_SNA_FPStartDate,0,COLUMN()),INDEX(MO_Common_QEndDate,0,COLUMN())),"N/A"),"N/A")</f>
        <v/>
      </c>
      <c r="Q461" s="262">
        <f>IFERROR(IFERROR(_xll.CIQHI(MO.Ticker.CapIQ,"IQ_LASTSALEPRICE",INDEX(MO_SNA_FPStartDate,0,COLUMN()),INDEX(MO_Common_QEndDate,0,COLUMN())),"N/A"),"N/A")</f>
        <v/>
      </c>
      <c r="R461" s="262">
        <f>IFERROR(IFERROR(_xll.CIQHI(MO.Ticker.CapIQ,"IQ_LASTSALEPRICE",INDEX(MO_SNA_FPStartDate,0,COLUMN()),INDEX(MO_Common_QEndDate,0,COLUMN())),"N/A"),"N/A")</f>
        <v/>
      </c>
      <c r="S461" s="262">
        <f>IFERROR(IFERROR(_xll.CIQHI(MO.Ticker.CapIQ,"IQ_LASTSALEPRICE",INDEX(MO_SNA_FPStartDate,0,COLUMN()),INDEX(MO_Common_QEndDate,0,COLUMN())),"N/A"),"N/A")</f>
        <v/>
      </c>
      <c r="T461" s="262">
        <f>IFERROR(IFERROR(_xll.CIQHI(MO.Ticker.CapIQ,"IQ_LASTSALEPRICE",INDEX(MO_SNA_FPStartDate,0,COLUMN()),INDEX(MO_Common_QEndDate,0,COLUMN())),"N/A"),"N/A")</f>
        <v/>
      </c>
      <c r="U461" s="262">
        <f>IFERROR(IFERROR(_xll.CIQHI(MO.Ticker.CapIQ,"IQ_LASTSALEPRICE",INDEX(MO_SNA_FPStartDate,0,COLUMN()),INDEX(MO_Common_QEndDate,0,COLUMN())),"N/A"),"N/A")</f>
        <v/>
      </c>
      <c r="V461" s="262">
        <f>IFERROR(IFERROR(_xll.CIQHI(MO.Ticker.CapIQ,"IQ_LASTSALEPRICE",INDEX(MO_SNA_FPStartDate,0,COLUMN()),INDEX(MO_Common_QEndDate,0,COLUMN())),"N/A"),"N/A")</f>
        <v/>
      </c>
      <c r="W461" s="262">
        <f>IFERROR(IFERROR(_xll.CIQHI(MO.Ticker.CapIQ,"IQ_LASTSALEPRICE",INDEX(MO_SNA_FPStartDate,0,COLUMN()),INDEX(MO_Common_QEndDate,0,COLUMN())),"N/A"),"N/A")</f>
        <v/>
      </c>
      <c r="X461" s="262">
        <f>IFERROR(IFERROR(_xll.CIQHI(MO.Ticker.CapIQ,"IQ_LASTSALEPRICE",INDEX(MO_SNA_FPStartDate,0,COLUMN()),INDEX(MO_Common_QEndDate,0,COLUMN())),"N/A"),"N/A")</f>
        <v/>
      </c>
      <c r="Y461" s="262">
        <f>IFERROR(IFERROR(_xll.CIQHI(MO.Ticker.CapIQ,"IQ_LASTSALEPRICE",INDEX(MO_SNA_FPStartDate,0,COLUMN()),INDEX(MO_Common_QEndDate,0,COLUMN())),"N/A"),"N/A")</f>
        <v/>
      </c>
      <c r="Z461" s="262">
        <f>IFERROR(IFERROR(_xll.CIQHI(MO.Ticker.CapIQ,"IQ_LASTSALEPRICE",INDEX(MO_SNA_FPStartDate,0,COLUMN()),INDEX(MO_Common_QEndDate,0,COLUMN())),"N/A"),"N/A")</f>
        <v/>
      </c>
      <c r="AA461" s="262">
        <f>IFERROR(IFERROR(_xll.CIQHI(MO.Ticker.CapIQ,"IQ_LASTSALEPRICE",INDEX(MO_SNA_FPStartDate,0,COLUMN()),INDEX(MO_Common_QEndDate,0,COLUMN())),"N/A"),"N/A")</f>
        <v/>
      </c>
      <c r="AB461" s="262">
        <f>IFERROR(IFERROR(_xll.CIQHI(MO.Ticker.CapIQ,"IQ_LASTSALEPRICE",INDEX(MO_SNA_FPStartDate,0,COLUMN()),INDEX(MO_Common_QEndDate,0,COLUMN())),"N/A"),"N/A")</f>
        <v/>
      </c>
      <c r="AC461" s="262">
        <f>IFERROR(IFERROR(_xll.CIQHI(MO.Ticker.CapIQ,"IQ_LASTSALEPRICE",INDEX(MO_SNA_FPStartDate,0,COLUMN()),INDEX(MO_Common_QEndDate,0,COLUMN())),"N/A"),"N/A")</f>
        <v/>
      </c>
      <c r="AD461" s="262">
        <f>IFERROR(IFERROR(_xll.CIQHI(MO.Ticker.CapIQ,"IQ_LASTSALEPRICE",INDEX(MO_SNA_FPStartDate,0,COLUMN()),INDEX(MO_Common_QEndDate,0,COLUMN())),"N/A"),"N/A")</f>
        <v/>
      </c>
      <c r="AE461" s="262">
        <f>IFERROR(IFERROR(_xll.CIQHI(MO.Ticker.CapIQ,"IQ_LASTSALEPRICE",INDEX(MO_SNA_FPStartDate,0,COLUMN()),INDEX(MO_Common_QEndDate,0,COLUMN())),"N/A"),"N/A")</f>
        <v/>
      </c>
      <c r="AF461" s="262">
        <f>IFERROR(IFERROR(_xll.CIQHI(MO.Ticker.CapIQ,"IQ_LASTSALEPRICE",INDEX(MO_SNA_FPStartDate,0,COLUMN()),INDEX(MO_Common_QEndDate,0,COLUMN())),"N/A"),"N/A")</f>
        <v/>
      </c>
      <c r="AG461" s="262">
        <f>IFERROR(IFERROR(_xll.CIQHI(MO.Ticker.CapIQ,"IQ_LASTSALEPRICE",INDEX(MO_SNA_FPStartDate,0,COLUMN()),INDEX(MO_Common_QEndDate,0,COLUMN())),"N/A"),"N/A")</f>
        <v/>
      </c>
      <c r="AH461" s="262">
        <f>IFERROR(IFERROR(_xll.CIQHI(MO.Ticker.CapIQ,"IQ_LASTSALEPRICE",INDEX(MO_SNA_FPStartDate,0,COLUMN()),INDEX(MO_Common_QEndDate,0,COLUMN())),"N/A"),"N/A")</f>
        <v/>
      </c>
      <c r="AI461" s="262">
        <f>IFERROR(IFERROR(_xll.CIQHI(MO.Ticker.CapIQ,"IQ_LASTSALEPRICE",INDEX(MO_SNA_FPStartDate,0,COLUMN()),INDEX(MO_Common_QEndDate,0,COLUMN())),"N/A"),"N/A")</f>
        <v/>
      </c>
      <c r="AJ461" s="262">
        <f>IFERROR(IFERROR(_xll.CIQHI(MO.Ticker.CapIQ,"IQ_LASTSALEPRICE",INDEX(MO_SNA_FPStartDate,0,COLUMN()),INDEX(MO_Common_QEndDate,0,COLUMN())),"N/A"),"N/A")</f>
        <v/>
      </c>
      <c r="AK461" s="262">
        <f>IFERROR(IFERROR(_xll.CIQHI(MO.Ticker.CapIQ,"IQ_LASTSALEPRICE",INDEX(MO_SNA_FPStartDate,0,COLUMN()),INDEX(MO_Common_QEndDate,0,COLUMN())),"N/A"),"N/A")</f>
        <v/>
      </c>
      <c r="AL461" s="531">
        <f>IFERROR(IFERROR(_xll.CIQHI(MO.Ticker.CapIQ,"IQ_LASTSALEPRICE",INDEX(MO_SNA_FPStartDate,0,COLUMN()),INDEX(MO_Common_QEndDate,0,COLUMN())),"N/A"),"N/A")</f>
        <v/>
      </c>
      <c r="AM461" s="262">
        <f>IFERROR(IFERROR(_xll.CIQHI(MO.Ticker.CapIQ,"IQ_LASTSALEPRICE",INDEX(MO_SNA_FPStartDate,0,COLUMN()),INDEX(MO_Common_QEndDate,0,COLUMN())),"N/A"),"N/A")</f>
        <v/>
      </c>
      <c r="AN461" s="262">
        <f>IFERROR(IFERROR(_xll.CIQHI(MO.Ticker.CapIQ,"IQ_LASTSALEPRICE",INDEX(MO_SNA_FPStartDate,0,COLUMN()),INDEX(MO_Common_QEndDate,0,COLUMN())),"N/A"),"N/A")</f>
        <v/>
      </c>
      <c r="AO461" s="262">
        <f>IFERROR(IFERROR(_xll.CIQHI(MO.Ticker.CapIQ,"IQ_LASTSALEPRICE",INDEX(MO_SNA_FPStartDate,0,COLUMN()),INDEX(MO_Common_QEndDate,0,COLUMN())),"N/A"),"N/A")</f>
        <v/>
      </c>
      <c r="AP461" s="262">
        <f>IFERROR(IFERROR(_xll.CIQHI(MO.Ticker.CapIQ,"IQ_LASTSALEPRICE",INDEX(MO_SNA_FPStartDate,0,COLUMN()),INDEX(MO_Common_QEndDate,0,COLUMN())),"N/A"),"N/A")</f>
        <v/>
      </c>
      <c r="AQ461" s="262">
        <f>IFERROR(IFERROR(_xll.CIQHI(MO.Ticker.CapIQ,"IQ_LASTSALEPRICE",INDEX(MO_SNA_FPStartDate,0,COLUMN()),INDEX(MO_Common_QEndDate,0,COLUMN())),"N/A"),"N/A")</f>
        <v/>
      </c>
      <c r="AR461" s="262">
        <f>IFERROR(IFERROR(_xll.CIQHI(MO.Ticker.CapIQ,"IQ_LASTSALEPRICE",INDEX(MO_SNA_FPStartDate,0,COLUMN()),INDEX(MO_Common_QEndDate,0,COLUMN())),"N/A"),"N/A")</f>
        <v/>
      </c>
      <c r="AS461" s="262">
        <f>IFERROR(IFERROR(_xll.CIQHI(MO.Ticker.CapIQ,"IQ_LASTSALEPRICE",INDEX(MO_SNA_FPStartDate,0,COLUMN()),INDEX(MO_Common_QEndDate,0,COLUMN())),"N/A"),"N/A")</f>
        <v/>
      </c>
      <c r="AT461" s="262">
        <f>IFERROR(IFERROR(_xll.CIQHI(MO.Ticker.CapIQ,"IQ_LASTSALEPRICE",INDEX(MO_SNA_FPStartDate,0,COLUMN()),INDEX(MO_Common_QEndDate,0,COLUMN())),"N/A"),"N/A")</f>
        <v/>
      </c>
      <c r="AU461" s="262">
        <f>IFERROR(IFERROR(_xll.CIQHI(MO.Ticker.CapIQ,"IQ_LASTSALEPRICE",INDEX(MO_SNA_FPStartDate,0,COLUMN()),INDEX(MO_Common_QEndDate,0,COLUMN())),"N/A"),"N/A")</f>
        <v/>
      </c>
      <c r="AV461" s="262">
        <f>IFERROR(IFERROR(_xll.CIQHI(MO.Ticker.CapIQ,"IQ_LASTSALEPRICE",INDEX(MO_SNA_FPStartDate,0,COLUMN()),INDEX(MO_Common_QEndDate,0,COLUMN())),"N/A"),"N/A")</f>
        <v/>
      </c>
      <c r="AW461" s="263">
        <f>IFERROR(IFERROR(_xll.CIQHI(MO.Ticker.CapIQ,"IQ_LASTSALEPRICE",INDEX(MO_SNA_FPStartDate,0,COLUMN()),INDEX(MO_Common_QEndDate,0,COLUMN())),"N/A"),"N/A")</f>
        <v/>
      </c>
      <c r="AX461" s="232" t="n"/>
    </row>
    <row r="462" hidden="1" outlineLevel="1" customFormat="1" s="226">
      <c r="A462" s="532" t="inlineStr">
        <is>
          <t>FactSet</t>
        </is>
      </c>
      <c r="B462" s="262" t="n"/>
      <c r="C462" s="530">
        <f>IFERROR(IFERROR(_xll.FDS(MO.Ticker.FactSet,"P_PRICE_LOW"&amp;"("&amp;INDEX(MO_SNA_FPStartDate,0,COLUMN())&amp;","&amp;INDEX(MO_Common_QEndDate,0,COLUMN())&amp;",,,,""PRICE"",""CLOSE"")"),"N/A"),"N/A")</f>
        <v/>
      </c>
      <c r="D462" s="530">
        <f>IFERROR(IFERROR(_xll.FDS(MO.Ticker.FactSet,"P_PRICE_LOW"&amp;"("&amp;INDEX(MO_SNA_FPStartDate,0,COLUMN())&amp;","&amp;INDEX(MO_Common_QEndDate,0,COLUMN())&amp;",,,,""PRICE"",""CLOSE"")"),"N/A"),"N/A")</f>
        <v/>
      </c>
      <c r="E462" s="530">
        <f>IFERROR(IFERROR(_xll.FDS(MO.Ticker.FactSet,"P_PRICE_LOW"&amp;"("&amp;INDEX(MO_SNA_FPStartDate,0,COLUMN())&amp;","&amp;INDEX(MO_Common_QEndDate,0,COLUMN())&amp;",,,,""PRICE"",""CLOSE"")"),"N/A"),"N/A")</f>
        <v/>
      </c>
      <c r="F462" s="530">
        <f>IFERROR(IFERROR(_xll.FDS(MO.Ticker.FactSet,"P_PRICE_LOW"&amp;"("&amp;INDEX(MO_SNA_FPStartDate,0,COLUMN())&amp;","&amp;INDEX(MO_Common_QEndDate,0,COLUMN())&amp;",,,,""PRICE"",""CLOSE"")"),"N/A"),"N/A")</f>
        <v/>
      </c>
      <c r="G462" s="530">
        <f>IFERROR(IFERROR(_xll.FDS(MO.Ticker.FactSet,"P_PRICE_LOW"&amp;"("&amp;INDEX(MO_SNA_FPStartDate,0,COLUMN())&amp;","&amp;INDEX(MO_Common_QEndDate,0,COLUMN())&amp;",,,,""PRICE"",""CLOSE"")"),"N/A"),"N/A")</f>
        <v/>
      </c>
      <c r="H462" s="262">
        <f>IFERROR(IFERROR(_xll.FDS(MO.Ticker.FactSet,"P_PRICE_LOW"&amp;"("&amp;INDEX(MO_SNA_FPStartDate,0,COLUMN())&amp;","&amp;INDEX(MO_Common_QEndDate,0,COLUMN())&amp;",,,,""PRICE"",""CLOSE"")"),"N/A"),"N/A")</f>
        <v/>
      </c>
      <c r="I462" s="262">
        <f>IFERROR(IFERROR(_xll.FDS(MO.Ticker.FactSet,"P_PRICE_LOW"&amp;"("&amp;INDEX(MO_SNA_FPStartDate,0,COLUMN())&amp;","&amp;INDEX(MO_Common_QEndDate,0,COLUMN())&amp;",,,,""PRICE"",""CLOSE"")"),"N/A"),"N/A")</f>
        <v/>
      </c>
      <c r="J462" s="262">
        <f>IFERROR(IFERROR(_xll.FDS(MO.Ticker.FactSet,"P_PRICE_LOW"&amp;"("&amp;INDEX(MO_SNA_FPStartDate,0,COLUMN())&amp;","&amp;INDEX(MO_Common_QEndDate,0,COLUMN())&amp;",,,,""PRICE"",""CLOSE"")"),"N/A"),"N/A")</f>
        <v/>
      </c>
      <c r="K462" s="262">
        <f>IFERROR(IFERROR(_xll.FDS(MO.Ticker.FactSet,"P_PRICE_LOW"&amp;"("&amp;INDEX(MO_SNA_FPStartDate,0,COLUMN())&amp;","&amp;INDEX(MO_Common_QEndDate,0,COLUMN())&amp;",,,,""PRICE"",""CLOSE"")"),"N/A"),"N/A")</f>
        <v/>
      </c>
      <c r="L462" s="262">
        <f>IFERROR(IFERROR(_xll.FDS(MO.Ticker.FactSet,"P_PRICE_LOW"&amp;"("&amp;INDEX(MO_SNA_FPStartDate,0,COLUMN())&amp;","&amp;INDEX(MO_Common_QEndDate,0,COLUMN())&amp;",,,,""PRICE"",""CLOSE"")"),"N/A"),"N/A")</f>
        <v/>
      </c>
      <c r="M462" s="262">
        <f>IFERROR(IFERROR(_xll.FDS(MO.Ticker.FactSet,"P_PRICE_LOW"&amp;"("&amp;INDEX(MO_SNA_FPStartDate,0,COLUMN())&amp;","&amp;INDEX(MO_Common_QEndDate,0,COLUMN())&amp;",,,,""PRICE"",""CLOSE"")"),"N/A"),"N/A")</f>
        <v/>
      </c>
      <c r="N462" s="262">
        <f>IFERROR(IFERROR(_xll.FDS(MO.Ticker.FactSet,"P_PRICE_LOW"&amp;"("&amp;INDEX(MO_SNA_FPStartDate,0,COLUMN())&amp;","&amp;INDEX(MO_Common_QEndDate,0,COLUMN())&amp;",,,,""PRICE"",""CLOSE"")"),"N/A"),"N/A")</f>
        <v/>
      </c>
      <c r="O462" s="262">
        <f>IFERROR(IFERROR(_xll.FDS(MO.Ticker.FactSet,"P_PRICE_LOW"&amp;"("&amp;INDEX(MO_SNA_FPStartDate,0,COLUMN())&amp;","&amp;INDEX(MO_Common_QEndDate,0,COLUMN())&amp;",,,,""PRICE"",""CLOSE"")"),"N/A"),"N/A")</f>
        <v/>
      </c>
      <c r="P462" s="262">
        <f>IFERROR(IFERROR(_xll.FDS(MO.Ticker.FactSet,"P_PRICE_LOW"&amp;"("&amp;INDEX(MO_SNA_FPStartDate,0,COLUMN())&amp;","&amp;INDEX(MO_Common_QEndDate,0,COLUMN())&amp;",,,,""PRICE"",""CLOSE"")"),"N/A"),"N/A")</f>
        <v/>
      </c>
      <c r="Q462" s="262">
        <f>IFERROR(IFERROR(_xll.FDS(MO.Ticker.FactSet,"P_PRICE_LOW"&amp;"("&amp;INDEX(MO_SNA_FPStartDate,0,COLUMN())&amp;","&amp;INDEX(MO_Common_QEndDate,0,COLUMN())&amp;",,,,""PRICE"",""CLOSE"")"),"N/A"),"N/A")</f>
        <v/>
      </c>
      <c r="R462" s="262">
        <f>IFERROR(IFERROR(_xll.FDS(MO.Ticker.FactSet,"P_PRICE_LOW"&amp;"("&amp;INDEX(MO_SNA_FPStartDate,0,COLUMN())&amp;","&amp;INDEX(MO_Common_QEndDate,0,COLUMN())&amp;",,,,""PRICE"",""CLOSE"")"),"N/A"),"N/A")</f>
        <v/>
      </c>
      <c r="S462" s="262">
        <f>IFERROR(IFERROR(_xll.FDS(MO.Ticker.FactSet,"P_PRICE_LOW"&amp;"("&amp;INDEX(MO_SNA_FPStartDate,0,COLUMN())&amp;","&amp;INDEX(MO_Common_QEndDate,0,COLUMN())&amp;",,,,""PRICE"",""CLOSE"")"),"N/A"),"N/A")</f>
        <v/>
      </c>
      <c r="T462" s="262">
        <f>IFERROR(IFERROR(_xll.FDS(MO.Ticker.FactSet,"P_PRICE_LOW"&amp;"("&amp;INDEX(MO_SNA_FPStartDate,0,COLUMN())&amp;","&amp;INDEX(MO_Common_QEndDate,0,COLUMN())&amp;",,,,""PRICE"",""CLOSE"")"),"N/A"),"N/A")</f>
        <v/>
      </c>
      <c r="U462" s="262">
        <f>IFERROR(IFERROR(_xll.FDS(MO.Ticker.FactSet,"P_PRICE_LOW"&amp;"("&amp;INDEX(MO_SNA_FPStartDate,0,COLUMN())&amp;","&amp;INDEX(MO_Common_QEndDate,0,COLUMN())&amp;",,,,""PRICE"",""CLOSE"")"),"N/A"),"N/A")</f>
        <v/>
      </c>
      <c r="V462" s="262">
        <f>IFERROR(IFERROR(_xll.FDS(MO.Ticker.FactSet,"P_PRICE_LOW"&amp;"("&amp;INDEX(MO_SNA_FPStartDate,0,COLUMN())&amp;","&amp;INDEX(MO_Common_QEndDate,0,COLUMN())&amp;",,,,""PRICE"",""CLOSE"")"),"N/A"),"N/A")</f>
        <v/>
      </c>
      <c r="W462" s="262">
        <f>IFERROR(IFERROR(_xll.FDS(MO.Ticker.FactSet,"P_PRICE_LOW"&amp;"("&amp;INDEX(MO_SNA_FPStartDate,0,COLUMN())&amp;","&amp;INDEX(MO_Common_QEndDate,0,COLUMN())&amp;",,,,""PRICE"",""CLOSE"")"),"N/A"),"N/A")</f>
        <v/>
      </c>
      <c r="X462" s="262">
        <f>IFERROR(IFERROR(_xll.FDS(MO.Ticker.FactSet,"P_PRICE_LOW"&amp;"("&amp;INDEX(MO_SNA_FPStartDate,0,COLUMN())&amp;","&amp;INDEX(MO_Common_QEndDate,0,COLUMN())&amp;",,,,""PRICE"",""CLOSE"")"),"N/A"),"N/A")</f>
        <v/>
      </c>
      <c r="Y462" s="262">
        <f>IFERROR(IFERROR(_xll.FDS(MO.Ticker.FactSet,"P_PRICE_LOW"&amp;"("&amp;INDEX(MO_SNA_FPStartDate,0,COLUMN())&amp;","&amp;INDEX(MO_Common_QEndDate,0,COLUMN())&amp;",,,,""PRICE"",""CLOSE"")"),"N/A"),"N/A")</f>
        <v/>
      </c>
      <c r="Z462" s="262">
        <f>IFERROR(IFERROR(_xll.FDS(MO.Ticker.FactSet,"P_PRICE_LOW"&amp;"("&amp;INDEX(MO_SNA_FPStartDate,0,COLUMN())&amp;","&amp;INDEX(MO_Common_QEndDate,0,COLUMN())&amp;",,,,""PRICE"",""CLOSE"")"),"N/A"),"N/A")</f>
        <v/>
      </c>
      <c r="AA462" s="262">
        <f>IFERROR(IFERROR(_xll.FDS(MO.Ticker.FactSet,"P_PRICE_LOW"&amp;"("&amp;INDEX(MO_SNA_FPStartDate,0,COLUMN())&amp;","&amp;INDEX(MO_Common_QEndDate,0,COLUMN())&amp;",,,,""PRICE"",""CLOSE"")"),"N/A"),"N/A")</f>
        <v/>
      </c>
      <c r="AB462" s="262">
        <f>IFERROR(IFERROR(_xll.FDS(MO.Ticker.FactSet,"P_PRICE_LOW"&amp;"("&amp;INDEX(MO_SNA_FPStartDate,0,COLUMN())&amp;","&amp;INDEX(MO_Common_QEndDate,0,COLUMN())&amp;",,,,""PRICE"",""CLOSE"")"),"N/A"),"N/A")</f>
        <v/>
      </c>
      <c r="AC462" s="262">
        <f>IFERROR(IFERROR(_xll.FDS(MO.Ticker.FactSet,"P_PRICE_LOW"&amp;"("&amp;INDEX(MO_SNA_FPStartDate,0,COLUMN())&amp;","&amp;INDEX(MO_Common_QEndDate,0,COLUMN())&amp;",,,,""PRICE"",""CLOSE"")"),"N/A"),"N/A")</f>
        <v/>
      </c>
      <c r="AD462" s="262">
        <f>IFERROR(IFERROR(_xll.FDS(MO.Ticker.FactSet,"P_PRICE_LOW"&amp;"("&amp;INDEX(MO_SNA_FPStartDate,0,COLUMN())&amp;","&amp;INDEX(MO_Common_QEndDate,0,COLUMN())&amp;",,,,""PRICE"",""CLOSE"")"),"N/A"),"N/A")</f>
        <v/>
      </c>
      <c r="AE462" s="262">
        <f>IFERROR(IFERROR(_xll.FDS(MO.Ticker.FactSet,"P_PRICE_LOW"&amp;"("&amp;INDEX(MO_SNA_FPStartDate,0,COLUMN())&amp;","&amp;INDEX(MO_Common_QEndDate,0,COLUMN())&amp;",,,,""PRICE"",""CLOSE"")"),"N/A"),"N/A")</f>
        <v/>
      </c>
      <c r="AF462" s="262">
        <f>IFERROR(IFERROR(_xll.FDS(MO.Ticker.FactSet,"P_PRICE_LOW"&amp;"("&amp;INDEX(MO_SNA_FPStartDate,0,COLUMN())&amp;","&amp;INDEX(MO_Common_QEndDate,0,COLUMN())&amp;",,,,""PRICE"",""CLOSE"")"),"N/A"),"N/A")</f>
        <v/>
      </c>
      <c r="AG462" s="262">
        <f>IFERROR(IFERROR(_xll.FDS(MO.Ticker.FactSet,"P_PRICE_LOW"&amp;"("&amp;INDEX(MO_SNA_FPStartDate,0,COLUMN())&amp;","&amp;INDEX(MO_Common_QEndDate,0,COLUMN())&amp;",,,,""PRICE"",""CLOSE"")"),"N/A"),"N/A")</f>
        <v/>
      </c>
      <c r="AH462" s="262">
        <f>IFERROR(IFERROR(_xll.FDS(MO.Ticker.FactSet,"P_PRICE_LOW"&amp;"("&amp;INDEX(MO_SNA_FPStartDate,0,COLUMN())&amp;","&amp;INDEX(MO_Common_QEndDate,0,COLUMN())&amp;",,,,""PRICE"",""CLOSE"")"),"N/A"),"N/A")</f>
        <v/>
      </c>
      <c r="AI462" s="262">
        <f>IFERROR(IFERROR(_xll.FDS(MO.Ticker.FactSet,"P_PRICE_LOW"&amp;"("&amp;INDEX(MO_SNA_FPStartDate,0,COLUMN())&amp;","&amp;INDEX(MO_Common_QEndDate,0,COLUMN())&amp;",,,,""PRICE"",""CLOSE"")"),"N/A"),"N/A")</f>
        <v/>
      </c>
      <c r="AJ462" s="262">
        <f>IFERROR(IFERROR(_xll.FDS(MO.Ticker.FactSet,"P_PRICE_LOW"&amp;"("&amp;INDEX(MO_SNA_FPStartDate,0,COLUMN())&amp;","&amp;INDEX(MO_Common_QEndDate,0,COLUMN())&amp;",,,,""PRICE"",""CLOSE"")"),"N/A"),"N/A")</f>
        <v/>
      </c>
      <c r="AK462" s="262">
        <f>IFERROR(IFERROR(_xll.FDS(MO.Ticker.FactSet,"P_PRICE_LOW"&amp;"("&amp;INDEX(MO_SNA_FPStartDate,0,COLUMN())&amp;","&amp;INDEX(MO_Common_QEndDate,0,COLUMN())&amp;",,,,""PRICE"",""CLOSE"")"),"N/A"),"N/A")</f>
        <v/>
      </c>
      <c r="AL462" s="531">
        <f>IFERROR(IFERROR(_xll.FDS(MO.Ticker.FactSet,"P_PRICE_LOW"&amp;"("&amp;INDEX(MO_SNA_FPStartDate,0,COLUMN())&amp;","&amp;INDEX(MO_Common_QEndDate,0,COLUMN())&amp;",,,,""PRICE"",""CLOSE"")"),"N/A"),"N/A")</f>
        <v/>
      </c>
      <c r="AM462" s="262">
        <f>IFERROR(IFERROR(_xll.FDS(MO.Ticker.FactSet,"P_PRICE_LOW"&amp;"("&amp;INDEX(MO_SNA_FPStartDate,0,COLUMN())&amp;","&amp;INDEX(MO_Common_QEndDate,0,COLUMN())&amp;",,,,""PRICE"",""CLOSE"")"),"N/A"),"N/A")</f>
        <v/>
      </c>
      <c r="AN462" s="262">
        <f>IFERROR(IFERROR(_xll.FDS(MO.Ticker.FactSet,"P_PRICE_LOW"&amp;"("&amp;INDEX(MO_SNA_FPStartDate,0,COLUMN())&amp;","&amp;INDEX(MO_Common_QEndDate,0,COLUMN())&amp;",,,,""PRICE"",""CLOSE"")"),"N/A"),"N/A")</f>
        <v/>
      </c>
      <c r="AO462" s="262">
        <f>IFERROR(IFERROR(_xll.FDS(MO.Ticker.FactSet,"P_PRICE_LOW"&amp;"("&amp;INDEX(MO_SNA_FPStartDate,0,COLUMN())&amp;","&amp;INDEX(MO_Common_QEndDate,0,COLUMN())&amp;",,,,""PRICE"",""CLOSE"")"),"N/A"),"N/A")</f>
        <v/>
      </c>
      <c r="AP462" s="262">
        <f>IFERROR(IFERROR(_xll.FDS(MO.Ticker.FactSet,"P_PRICE_LOW"&amp;"("&amp;INDEX(MO_SNA_FPStartDate,0,COLUMN())&amp;","&amp;INDEX(MO_Common_QEndDate,0,COLUMN())&amp;",,,,""PRICE"",""CLOSE"")"),"N/A"),"N/A")</f>
        <v/>
      </c>
      <c r="AQ462" s="262">
        <f>IFERROR(IFERROR(_xll.FDS(MO.Ticker.FactSet,"P_PRICE_LOW"&amp;"("&amp;INDEX(MO_SNA_FPStartDate,0,COLUMN())&amp;","&amp;INDEX(MO_Common_QEndDate,0,COLUMN())&amp;",,,,""PRICE"",""CLOSE"")"),"N/A"),"N/A")</f>
        <v/>
      </c>
      <c r="AR462" s="262">
        <f>IFERROR(IFERROR(_xll.FDS(MO.Ticker.FactSet,"P_PRICE_LOW"&amp;"("&amp;INDEX(MO_SNA_FPStartDate,0,COLUMN())&amp;","&amp;INDEX(MO_Common_QEndDate,0,COLUMN())&amp;",,,,""PRICE"",""CLOSE"")"),"N/A"),"N/A")</f>
        <v/>
      </c>
      <c r="AS462" s="262">
        <f>IFERROR(IFERROR(_xll.FDS(MO.Ticker.FactSet,"P_PRICE_LOW"&amp;"("&amp;INDEX(MO_SNA_FPStartDate,0,COLUMN())&amp;","&amp;INDEX(MO_Common_QEndDate,0,COLUMN())&amp;",,,,""PRICE"",""CLOSE"")"),"N/A"),"N/A")</f>
        <v/>
      </c>
      <c r="AT462" s="262">
        <f>IFERROR(IFERROR(_xll.FDS(MO.Ticker.FactSet,"P_PRICE_LOW"&amp;"("&amp;INDEX(MO_SNA_FPStartDate,0,COLUMN())&amp;","&amp;INDEX(MO_Common_QEndDate,0,COLUMN())&amp;",,,,""PRICE"",""CLOSE"")"),"N/A"),"N/A")</f>
        <v/>
      </c>
      <c r="AU462" s="262">
        <f>IFERROR(IFERROR(_xll.FDS(MO.Ticker.FactSet,"P_PRICE_LOW"&amp;"("&amp;INDEX(MO_SNA_FPStartDate,0,COLUMN())&amp;","&amp;INDEX(MO_Common_QEndDate,0,COLUMN())&amp;",,,,""PRICE"",""CLOSE"")"),"N/A"),"N/A")</f>
        <v/>
      </c>
      <c r="AV462" s="262">
        <f>IFERROR(IFERROR(_xll.FDS(MO.Ticker.FactSet,"P_PRICE_LOW"&amp;"("&amp;INDEX(MO_SNA_FPStartDate,0,COLUMN())&amp;","&amp;INDEX(MO_Common_QEndDate,0,COLUMN())&amp;",,,,""PRICE"",""CLOSE"")"),"N/A"),"N/A")</f>
        <v/>
      </c>
      <c r="AW462" s="263">
        <f>IFERROR(IFERROR(_xll.FDS(MO.Ticker.FactSet,"P_PRICE_LOW"&amp;"("&amp;INDEX(MO_SNA_FPStartDate,0,COLUMN())&amp;","&amp;INDEX(MO_Common_QEndDate,0,COLUMN())&amp;",,,,""PRICE"",""CLOSE"")"),"N/A"),"N/A")</f>
        <v/>
      </c>
      <c r="AX462" s="232" t="n"/>
    </row>
    <row r="463" hidden="1" outlineLevel="1" customFormat="1" s="226">
      <c r="A463" s="532" t="inlineStr">
        <is>
          <t>Thomson</t>
        </is>
      </c>
      <c r="B463" s="262" t="n"/>
      <c r="C463" s="530">
        <f>IFERROR(IFERROR(_xll.TR(MO.Ticker.Thomson,"Min(TR.PriceLow)","sdate:#1 edate:#2",,INDEX(MO_SNA_FPStartDate,0,COLUMN()),INDEX(MO_Common_QEndDate,0,COLUMN())),"N/A"),"N/A")</f>
        <v/>
      </c>
      <c r="D463" s="530">
        <f>IFERROR(IFERROR(_xll.TR(MO.Ticker.Thomson,"Min(TR.PriceLow)","sdate:#1 edate:#2",,INDEX(MO_SNA_FPStartDate,0,COLUMN()),INDEX(MO_Common_QEndDate,0,COLUMN())),"N/A"),"N/A")</f>
        <v/>
      </c>
      <c r="E463" s="530">
        <f>IFERROR(IFERROR(_xll.TR(MO.Ticker.Thomson,"Min(TR.PriceLow)","sdate:#1 edate:#2",,INDEX(MO_SNA_FPStartDate,0,COLUMN()),INDEX(MO_Common_QEndDate,0,COLUMN())),"N/A"),"N/A")</f>
        <v/>
      </c>
      <c r="F463" s="530">
        <f>IFERROR(IFERROR(_xll.TR(MO.Ticker.Thomson,"Min(TR.PriceLow)","sdate:#1 edate:#2",,INDEX(MO_SNA_FPStartDate,0,COLUMN()),INDEX(MO_Common_QEndDate,0,COLUMN())),"N/A"),"N/A")</f>
        <v/>
      </c>
      <c r="G463" s="530">
        <f>IFERROR(IFERROR(_xll.TR(MO.Ticker.Thomson,"Min(TR.PriceLow)","sdate:#1 edate:#2",,INDEX(MO_SNA_FPStartDate,0,COLUMN()),INDEX(MO_Common_QEndDate,0,COLUMN())),"N/A"),"N/A")</f>
        <v/>
      </c>
      <c r="H463" s="262">
        <f>IFERROR(IFERROR(_xll.TR(MO.Ticker.Thomson,"Min(TR.PriceLow)","sdate:#1 edate:#2",,INDEX(MO_SNA_FPStartDate,0,COLUMN()),INDEX(MO_Common_QEndDate,0,COLUMN())),"N/A"),"N/A")</f>
        <v/>
      </c>
      <c r="I463" s="262">
        <f>IFERROR(IFERROR(_xll.TR(MO.Ticker.Thomson,"Min(TR.PriceLow)","sdate:#1 edate:#2",,INDEX(MO_SNA_FPStartDate,0,COLUMN()),INDEX(MO_Common_QEndDate,0,COLUMN())),"N/A"),"N/A")</f>
        <v/>
      </c>
      <c r="J463" s="262">
        <f>IFERROR(IFERROR(_xll.TR(MO.Ticker.Thomson,"Min(TR.PriceLow)","sdate:#1 edate:#2",,INDEX(MO_SNA_FPStartDate,0,COLUMN()),INDEX(MO_Common_QEndDate,0,COLUMN())),"N/A"),"N/A")</f>
        <v/>
      </c>
      <c r="K463" s="262">
        <f>IFERROR(IFERROR(_xll.TR(MO.Ticker.Thomson,"Min(TR.PriceLow)","sdate:#1 edate:#2",,INDEX(MO_SNA_FPStartDate,0,COLUMN()),INDEX(MO_Common_QEndDate,0,COLUMN())),"N/A"),"N/A")</f>
        <v/>
      </c>
      <c r="L463" s="262">
        <f>IFERROR(IFERROR(_xll.TR(MO.Ticker.Thomson,"Min(TR.PriceLow)","sdate:#1 edate:#2",,INDEX(MO_SNA_FPStartDate,0,COLUMN()),INDEX(MO_Common_QEndDate,0,COLUMN())),"N/A"),"N/A")</f>
        <v/>
      </c>
      <c r="M463" s="262">
        <f>IFERROR(IFERROR(_xll.TR(MO.Ticker.Thomson,"Min(TR.PriceLow)","sdate:#1 edate:#2",,INDEX(MO_SNA_FPStartDate,0,COLUMN()),INDEX(MO_Common_QEndDate,0,COLUMN())),"N/A"),"N/A")</f>
        <v/>
      </c>
      <c r="N463" s="262">
        <f>IFERROR(IFERROR(_xll.TR(MO.Ticker.Thomson,"Min(TR.PriceLow)","sdate:#1 edate:#2",,INDEX(MO_SNA_FPStartDate,0,COLUMN()),INDEX(MO_Common_QEndDate,0,COLUMN())),"N/A"),"N/A")</f>
        <v/>
      </c>
      <c r="O463" s="262">
        <f>IFERROR(IFERROR(_xll.TR(MO.Ticker.Thomson,"Min(TR.PriceLow)","sdate:#1 edate:#2",,INDEX(MO_SNA_FPStartDate,0,COLUMN()),INDEX(MO_Common_QEndDate,0,COLUMN())),"N/A"),"N/A")</f>
        <v/>
      </c>
      <c r="P463" s="262">
        <f>IFERROR(IFERROR(_xll.TR(MO.Ticker.Thomson,"Min(TR.PriceLow)","sdate:#1 edate:#2",,INDEX(MO_SNA_FPStartDate,0,COLUMN()),INDEX(MO_Common_QEndDate,0,COLUMN())),"N/A"),"N/A")</f>
        <v/>
      </c>
      <c r="Q463" s="262">
        <f>IFERROR(IFERROR(_xll.TR(MO.Ticker.Thomson,"Min(TR.PriceLow)","sdate:#1 edate:#2",,INDEX(MO_SNA_FPStartDate,0,COLUMN()),INDEX(MO_Common_QEndDate,0,COLUMN())),"N/A"),"N/A")</f>
        <v/>
      </c>
      <c r="R463" s="262">
        <f>IFERROR(IFERROR(_xll.TR(MO.Ticker.Thomson,"Min(TR.PriceLow)","sdate:#1 edate:#2",,INDEX(MO_SNA_FPStartDate,0,COLUMN()),INDEX(MO_Common_QEndDate,0,COLUMN())),"N/A"),"N/A")</f>
        <v/>
      </c>
      <c r="S463" s="262">
        <f>IFERROR(IFERROR(_xll.TR(MO.Ticker.Thomson,"Min(TR.PriceLow)","sdate:#1 edate:#2",,INDEX(MO_SNA_FPStartDate,0,COLUMN()),INDEX(MO_Common_QEndDate,0,COLUMN())),"N/A"),"N/A")</f>
        <v/>
      </c>
      <c r="T463" s="262">
        <f>IFERROR(IFERROR(_xll.TR(MO.Ticker.Thomson,"Min(TR.PriceLow)","sdate:#1 edate:#2",,INDEX(MO_SNA_FPStartDate,0,COLUMN()),INDEX(MO_Common_QEndDate,0,COLUMN())),"N/A"),"N/A")</f>
        <v/>
      </c>
      <c r="U463" s="262">
        <f>IFERROR(IFERROR(_xll.TR(MO.Ticker.Thomson,"Min(TR.PriceLow)","sdate:#1 edate:#2",,INDEX(MO_SNA_FPStartDate,0,COLUMN()),INDEX(MO_Common_QEndDate,0,COLUMN())),"N/A"),"N/A")</f>
        <v/>
      </c>
      <c r="V463" s="262">
        <f>IFERROR(IFERROR(_xll.TR(MO.Ticker.Thomson,"Min(TR.PriceLow)","sdate:#1 edate:#2",,INDEX(MO_SNA_FPStartDate,0,COLUMN()),INDEX(MO_Common_QEndDate,0,COLUMN())),"N/A"),"N/A")</f>
        <v/>
      </c>
      <c r="W463" s="262">
        <f>IFERROR(IFERROR(_xll.TR(MO.Ticker.Thomson,"Min(TR.PriceLow)","sdate:#1 edate:#2",,INDEX(MO_SNA_FPStartDate,0,COLUMN()),INDEX(MO_Common_QEndDate,0,COLUMN())),"N/A"),"N/A")</f>
        <v/>
      </c>
      <c r="X463" s="262">
        <f>IFERROR(IFERROR(_xll.TR(MO.Ticker.Thomson,"Min(TR.PriceLow)","sdate:#1 edate:#2",,INDEX(MO_SNA_FPStartDate,0,COLUMN()),INDEX(MO_Common_QEndDate,0,COLUMN())),"N/A"),"N/A")</f>
        <v/>
      </c>
      <c r="Y463" s="262">
        <f>IFERROR(IFERROR(_xll.TR(MO.Ticker.Thomson,"Min(TR.PriceLow)","sdate:#1 edate:#2",,INDEX(MO_SNA_FPStartDate,0,COLUMN()),INDEX(MO_Common_QEndDate,0,COLUMN())),"N/A"),"N/A")</f>
        <v/>
      </c>
      <c r="Z463" s="262">
        <f>IFERROR(IFERROR(_xll.TR(MO.Ticker.Thomson,"Min(TR.PriceLow)","sdate:#1 edate:#2",,INDEX(MO_SNA_FPStartDate,0,COLUMN()),INDEX(MO_Common_QEndDate,0,COLUMN())),"N/A"),"N/A")</f>
        <v/>
      </c>
      <c r="AA463" s="262">
        <f>IFERROR(IFERROR(_xll.TR(MO.Ticker.Thomson,"Min(TR.PriceLow)","sdate:#1 edate:#2",,INDEX(MO_SNA_FPStartDate,0,COLUMN()),INDEX(MO_Common_QEndDate,0,COLUMN())),"N/A"),"N/A")</f>
        <v/>
      </c>
      <c r="AB463" s="262">
        <f>IFERROR(IFERROR(_xll.TR(MO.Ticker.Thomson,"Min(TR.PriceLow)","sdate:#1 edate:#2",,INDEX(MO_SNA_FPStartDate,0,COLUMN()),INDEX(MO_Common_QEndDate,0,COLUMN())),"N/A"),"N/A")</f>
        <v/>
      </c>
      <c r="AC463" s="262">
        <f>IFERROR(IFERROR(_xll.TR(MO.Ticker.Thomson,"Min(TR.PriceLow)","sdate:#1 edate:#2",,INDEX(MO_SNA_FPStartDate,0,COLUMN()),INDEX(MO_Common_QEndDate,0,COLUMN())),"N/A"),"N/A")</f>
        <v/>
      </c>
      <c r="AD463" s="262">
        <f>IFERROR(IFERROR(_xll.TR(MO.Ticker.Thomson,"Min(TR.PriceLow)","sdate:#1 edate:#2",,INDEX(MO_SNA_FPStartDate,0,COLUMN()),INDEX(MO_Common_QEndDate,0,COLUMN())),"N/A"),"N/A")</f>
        <v/>
      </c>
      <c r="AE463" s="262">
        <f>IFERROR(IFERROR(_xll.TR(MO.Ticker.Thomson,"Min(TR.PriceLow)","sdate:#1 edate:#2",,INDEX(MO_SNA_FPStartDate,0,COLUMN()),INDEX(MO_Common_QEndDate,0,COLUMN())),"N/A"),"N/A")</f>
        <v/>
      </c>
      <c r="AF463" s="262">
        <f>IFERROR(IFERROR(_xll.TR(MO.Ticker.Thomson,"Min(TR.PriceLow)","sdate:#1 edate:#2",,INDEX(MO_SNA_FPStartDate,0,COLUMN()),INDEX(MO_Common_QEndDate,0,COLUMN())),"N/A"),"N/A")</f>
        <v/>
      </c>
      <c r="AG463" s="262">
        <f>IFERROR(IFERROR(_xll.TR(MO.Ticker.Thomson,"Min(TR.PriceLow)","sdate:#1 edate:#2",,INDEX(MO_SNA_FPStartDate,0,COLUMN()),INDEX(MO_Common_QEndDate,0,COLUMN())),"N/A"),"N/A")</f>
        <v/>
      </c>
      <c r="AH463" s="262">
        <f>IFERROR(IFERROR(_xll.TR(MO.Ticker.Thomson,"Min(TR.PriceLow)","sdate:#1 edate:#2",,INDEX(MO_SNA_FPStartDate,0,COLUMN()),INDEX(MO_Common_QEndDate,0,COLUMN())),"N/A"),"N/A")</f>
        <v/>
      </c>
      <c r="AI463" s="262">
        <f>IFERROR(IFERROR(_xll.TR(MO.Ticker.Thomson,"Min(TR.PriceLow)","sdate:#1 edate:#2",,INDEX(MO_SNA_FPStartDate,0,COLUMN()),INDEX(MO_Common_QEndDate,0,COLUMN())),"N/A"),"N/A")</f>
        <v/>
      </c>
      <c r="AJ463" s="262">
        <f>IFERROR(IFERROR(_xll.TR(MO.Ticker.Thomson,"Min(TR.PriceLow)","sdate:#1 edate:#2",,INDEX(MO_SNA_FPStartDate,0,COLUMN()),INDEX(MO_Common_QEndDate,0,COLUMN())),"N/A"),"N/A")</f>
        <v/>
      </c>
      <c r="AK463" s="262">
        <f>IFERROR(IFERROR(_xll.TR(MO.Ticker.Thomson,"Min(TR.PriceLow)","sdate:#1 edate:#2",,INDEX(MO_SNA_FPStartDate,0,COLUMN()),INDEX(MO_Common_QEndDate,0,COLUMN())),"N/A"),"N/A")</f>
        <v/>
      </c>
      <c r="AL463" s="531">
        <f>IFERROR(IFERROR(_xll.TR(MO.Ticker.Thomson,"Min(TR.PriceLow)","sdate:#1 edate:#2",,INDEX(MO_SNA_FPStartDate,0,COLUMN()),INDEX(MO_Common_QEndDate,0,COLUMN())),"N/A"),"N/A")</f>
        <v/>
      </c>
      <c r="AM463" s="262">
        <f>IFERROR(IFERROR(_xll.TR(MO.Ticker.Thomson,"Min(TR.PriceLow)","sdate:#1 edate:#2",,INDEX(MO_SNA_FPStartDate,0,COLUMN()),INDEX(MO_Common_QEndDate,0,COLUMN())),"N/A"),"N/A")</f>
        <v/>
      </c>
      <c r="AN463" s="262">
        <f>IFERROR(IFERROR(_xll.TR(MO.Ticker.Thomson,"Min(TR.PriceLow)","sdate:#1 edate:#2",,INDEX(MO_SNA_FPStartDate,0,COLUMN()),INDEX(MO_Common_QEndDate,0,COLUMN())),"N/A"),"N/A")</f>
        <v/>
      </c>
      <c r="AO463" s="262">
        <f>IFERROR(IFERROR(_xll.TR(MO.Ticker.Thomson,"Min(TR.PriceLow)","sdate:#1 edate:#2",,INDEX(MO_SNA_FPStartDate,0,COLUMN()),INDEX(MO_Common_QEndDate,0,COLUMN())),"N/A"),"N/A")</f>
        <v/>
      </c>
      <c r="AP463" s="262">
        <f>IFERROR(IFERROR(_xll.TR(MO.Ticker.Thomson,"Min(TR.PriceLow)","sdate:#1 edate:#2",,INDEX(MO_SNA_FPStartDate,0,COLUMN()),INDEX(MO_Common_QEndDate,0,COLUMN())),"N/A"),"N/A")</f>
        <v/>
      </c>
      <c r="AQ463" s="262">
        <f>IFERROR(IFERROR(_xll.TR(MO.Ticker.Thomson,"Min(TR.PriceLow)","sdate:#1 edate:#2",,INDEX(MO_SNA_FPStartDate,0,COLUMN()),INDEX(MO_Common_QEndDate,0,COLUMN())),"N/A"),"N/A")</f>
        <v/>
      </c>
      <c r="AR463" s="262">
        <f>IFERROR(IFERROR(_xll.TR(MO.Ticker.Thomson,"Min(TR.PriceLow)","sdate:#1 edate:#2",,INDEX(MO_SNA_FPStartDate,0,COLUMN()),INDEX(MO_Common_QEndDate,0,COLUMN())),"N/A"),"N/A")</f>
        <v/>
      </c>
      <c r="AS463" s="262">
        <f>IFERROR(IFERROR(_xll.TR(MO.Ticker.Thomson,"Min(TR.PriceLow)","sdate:#1 edate:#2",,INDEX(MO_SNA_FPStartDate,0,COLUMN()),INDEX(MO_Common_QEndDate,0,COLUMN())),"N/A"),"N/A")</f>
        <v/>
      </c>
      <c r="AT463" s="262">
        <f>IFERROR(IFERROR(_xll.TR(MO.Ticker.Thomson,"Min(TR.PriceLow)","sdate:#1 edate:#2",,INDEX(MO_SNA_FPStartDate,0,COLUMN()),INDEX(MO_Common_QEndDate,0,COLUMN())),"N/A"),"N/A")</f>
        <v/>
      </c>
      <c r="AU463" s="262">
        <f>IFERROR(IFERROR(_xll.TR(MO.Ticker.Thomson,"Min(TR.PriceLow)","sdate:#1 edate:#2",,INDEX(MO_SNA_FPStartDate,0,COLUMN()),INDEX(MO_Common_QEndDate,0,COLUMN())),"N/A"),"N/A")</f>
        <v/>
      </c>
      <c r="AV463" s="262">
        <f>IFERROR(IFERROR(_xll.TR(MO.Ticker.Thomson,"Min(TR.PriceLow)","sdate:#1 edate:#2",,INDEX(MO_SNA_FPStartDate,0,COLUMN()),INDEX(MO_Common_QEndDate,0,COLUMN())),"N/A"),"N/A")</f>
        <v/>
      </c>
      <c r="AW463" s="263">
        <f>IFERROR(IFERROR(_xll.TR(MO.Ticker.Thomson,"Min(TR.PriceLow)","sdate:#1 edate:#2",,INDEX(MO_SNA_FPStartDate,0,COLUMN()),INDEX(MO_Common_QEndDate,0,COLUMN())),"N/A"),"N/A")</f>
        <v/>
      </c>
      <c r="AX463" s="232" t="n"/>
    </row>
    <row r="464" hidden="1" outlineLevel="1" customFormat="1" s="5">
      <c r="A464" s="514" t="n"/>
      <c r="B464" s="93" t="n"/>
      <c r="C464" s="519" t="n"/>
      <c r="D464" s="519" t="n"/>
      <c r="E464" s="519" t="n"/>
      <c r="F464" s="519" t="n"/>
      <c r="G464" s="519" t="n"/>
      <c r="H464" s="93" t="n"/>
      <c r="I464" s="93" t="n"/>
      <c r="J464" s="93" t="n"/>
      <c r="K464" s="93" t="n"/>
      <c r="L464" s="93" t="n"/>
      <c r="M464" s="93" t="n"/>
      <c r="N464" s="93" t="n"/>
      <c r="O464" s="93" t="n"/>
      <c r="P464" s="93" t="n"/>
      <c r="Q464" s="93" t="n"/>
      <c r="R464" s="93" t="n"/>
      <c r="S464" s="93" t="n"/>
      <c r="T464" s="93" t="n"/>
      <c r="U464" s="93" t="n"/>
      <c r="V464" s="93" t="n"/>
      <c r="W464" s="93" t="n"/>
      <c r="X464" s="93" t="n"/>
      <c r="Y464" s="93" t="n"/>
      <c r="Z464" s="93" t="n"/>
      <c r="AA464" s="93" t="n"/>
      <c r="AB464" s="93" t="n"/>
      <c r="AC464" s="93" t="n"/>
      <c r="AD464" s="93" t="n"/>
      <c r="AE464" s="93" t="n"/>
      <c r="AF464" s="93" t="n"/>
      <c r="AG464" s="93" t="n"/>
      <c r="AH464" s="93" t="n"/>
      <c r="AI464" s="93" t="n"/>
      <c r="AJ464" s="93" t="n"/>
      <c r="AK464" s="93" t="n"/>
      <c r="AL464" s="522" t="n"/>
      <c r="AM464" s="93" t="n"/>
      <c r="AN464" s="93" t="n"/>
      <c r="AO464" s="93" t="n"/>
      <c r="AP464" s="93" t="n"/>
      <c r="AQ464" s="93" t="n"/>
      <c r="AR464" s="93" t="n"/>
      <c r="AS464" s="93" t="n"/>
      <c r="AT464" s="93" t="n"/>
      <c r="AU464" s="93" t="n"/>
      <c r="AV464" s="93" t="n"/>
      <c r="AW464" s="162" t="n"/>
      <c r="AX464" s="228" t="n"/>
    </row>
    <row r="465" collapsed="1" customFormat="1" s="226">
      <c r="A465" s="529">
        <f>IFERROR("Stock Average: "&amp;IF(OR(MO.RealTimeStockPriceToggle=FALSE,VLOOKUP(MO.DataSourceName,MO_SPT_StockAverage_Sources,COLUMN()+2,FALSE)="N/A"),"Real-Time Off Source",MO.DataSourceName),"N/A")</f>
        <v/>
      </c>
      <c r="B465" s="262" t="n"/>
      <c r="C465" s="530">
        <f>IFERROR(IF(OR(MO.RealTimeStockPriceToggle=FALSE,VLOOKUP(MO.DataSourceName,MO_SPT_StockAverage_Sources,COLUMN(),FALSE)="N/A"),VLOOKUP("Real-Time Off Source",MO_SPT_StockAverage_Sources,COLUMN(),FALSE),VLOOKUP(MO.DataSourceName,MO_SPT_StockAverage_Sources,COLUMN(),FALSE)),"N/A")</f>
        <v/>
      </c>
      <c r="D465" s="530">
        <f>IFERROR(IF(OR(MO.RealTimeStockPriceToggle=FALSE,VLOOKUP(MO.DataSourceName,MO_SPT_StockAverage_Sources,COLUMN(),FALSE)="N/A"),VLOOKUP("Real-Time Off Source",MO_SPT_StockAverage_Sources,COLUMN(),FALSE),VLOOKUP(MO.DataSourceName,MO_SPT_StockAverage_Sources,COLUMN(),FALSE)),"N/A")</f>
        <v/>
      </c>
      <c r="E465" s="530">
        <f>IFERROR(IF(OR(MO.RealTimeStockPriceToggle=FALSE,VLOOKUP(MO.DataSourceName,MO_SPT_StockAverage_Sources,COLUMN(),FALSE)="N/A"),VLOOKUP("Real-Time Off Source",MO_SPT_StockAverage_Sources,COLUMN(),FALSE),VLOOKUP(MO.DataSourceName,MO_SPT_StockAverage_Sources,COLUMN(),FALSE)),"N/A")</f>
        <v/>
      </c>
      <c r="F465" s="530">
        <f>IFERROR(IF(OR(MO.RealTimeStockPriceToggle=FALSE,VLOOKUP(MO.DataSourceName,MO_SPT_StockAverage_Sources,COLUMN(),FALSE)="N/A"),VLOOKUP("Real-Time Off Source",MO_SPT_StockAverage_Sources,COLUMN(),FALSE),VLOOKUP(MO.DataSourceName,MO_SPT_StockAverage_Sources,COLUMN(),FALSE)),"N/A")</f>
        <v/>
      </c>
      <c r="G465" s="530">
        <f>IFERROR(IF(OR(MO.RealTimeStockPriceToggle=FALSE,VLOOKUP(MO.DataSourceName,MO_SPT_StockAverage_Sources,COLUMN(),FALSE)="N/A"),VLOOKUP("Real-Time Off Source",MO_SPT_StockAverage_Sources,COLUMN(),FALSE),VLOOKUP(MO.DataSourceName,MO_SPT_StockAverage_Sources,COLUMN(),FALSE)),"N/A")</f>
        <v/>
      </c>
      <c r="H465" s="262">
        <f>IFERROR(IF(OR(MO.RealTimeStockPriceToggle=FALSE,VLOOKUP(MO.DataSourceName,MO_SPT_StockAverage_Sources,COLUMN(),FALSE)="N/A"),VLOOKUP("Real-Time Off Source",MO_SPT_StockAverage_Sources,COLUMN(),FALSE),VLOOKUP(MO.DataSourceName,MO_SPT_StockAverage_Sources,COLUMN(),FALSE)),"N/A")</f>
        <v/>
      </c>
      <c r="I465" s="262">
        <f>IFERROR(IF(OR(MO.RealTimeStockPriceToggle=FALSE,VLOOKUP(MO.DataSourceName,MO_SPT_StockAverage_Sources,COLUMN(),FALSE)="N/A"),VLOOKUP("Real-Time Off Source",MO_SPT_StockAverage_Sources,COLUMN(),FALSE),VLOOKUP(MO.DataSourceName,MO_SPT_StockAverage_Sources,COLUMN(),FALSE)),"N/A")</f>
        <v/>
      </c>
      <c r="J465" s="262">
        <f>IFERROR(IF(OR(MO.RealTimeStockPriceToggle=FALSE,VLOOKUP(MO.DataSourceName,MO_SPT_StockAverage_Sources,COLUMN(),FALSE)="N/A"),VLOOKUP("Real-Time Off Source",MO_SPT_StockAverage_Sources,COLUMN(),FALSE),VLOOKUP(MO.DataSourceName,MO_SPT_StockAverage_Sources,COLUMN(),FALSE)),"N/A")</f>
        <v/>
      </c>
      <c r="K465" s="262">
        <f>IFERROR(IF(OR(MO.RealTimeStockPriceToggle=FALSE,VLOOKUP(MO.DataSourceName,MO_SPT_StockAverage_Sources,COLUMN(),FALSE)="N/A"),VLOOKUP("Real-Time Off Source",MO_SPT_StockAverage_Sources,COLUMN(),FALSE),VLOOKUP(MO.DataSourceName,MO_SPT_StockAverage_Sources,COLUMN(),FALSE)),"N/A")</f>
        <v/>
      </c>
      <c r="L465" s="262">
        <f>IFERROR(IF(OR(MO.RealTimeStockPriceToggle=FALSE,VLOOKUP(MO.DataSourceName,MO_SPT_StockAverage_Sources,COLUMN(),FALSE)="N/A"),VLOOKUP("Real-Time Off Source",MO_SPT_StockAverage_Sources,COLUMN(),FALSE),VLOOKUP(MO.DataSourceName,MO_SPT_StockAverage_Sources,COLUMN(),FALSE)),"N/A")</f>
        <v/>
      </c>
      <c r="M465" s="262">
        <f>IFERROR(IF(OR(MO.RealTimeStockPriceToggle=FALSE,VLOOKUP(MO.DataSourceName,MO_SPT_StockAverage_Sources,COLUMN(),FALSE)="N/A"),VLOOKUP("Real-Time Off Source",MO_SPT_StockAverage_Sources,COLUMN(),FALSE),VLOOKUP(MO.DataSourceName,MO_SPT_StockAverage_Sources,COLUMN(),FALSE)),"N/A")</f>
        <v/>
      </c>
      <c r="N465" s="262">
        <f>IFERROR(IF(OR(MO.RealTimeStockPriceToggle=FALSE,VLOOKUP(MO.DataSourceName,MO_SPT_StockAverage_Sources,COLUMN(),FALSE)="N/A"),VLOOKUP("Real-Time Off Source",MO_SPT_StockAverage_Sources,COLUMN(),FALSE),VLOOKUP(MO.DataSourceName,MO_SPT_StockAverage_Sources,COLUMN(),FALSE)),"N/A")</f>
        <v/>
      </c>
      <c r="O465" s="262">
        <f>IFERROR(IF(OR(MO.RealTimeStockPriceToggle=FALSE,VLOOKUP(MO.DataSourceName,MO_SPT_StockAverage_Sources,COLUMN(),FALSE)="N/A"),VLOOKUP("Real-Time Off Source",MO_SPT_StockAverage_Sources,COLUMN(),FALSE),VLOOKUP(MO.DataSourceName,MO_SPT_StockAverage_Sources,COLUMN(),FALSE)),"N/A")</f>
        <v/>
      </c>
      <c r="P465" s="262">
        <f>IFERROR(IF(OR(MO.RealTimeStockPriceToggle=FALSE,VLOOKUP(MO.DataSourceName,MO_SPT_StockAverage_Sources,COLUMN(),FALSE)="N/A"),VLOOKUP("Real-Time Off Source",MO_SPT_StockAverage_Sources,COLUMN(),FALSE),VLOOKUP(MO.DataSourceName,MO_SPT_StockAverage_Sources,COLUMN(),FALSE)),"N/A")</f>
        <v/>
      </c>
      <c r="Q465" s="262">
        <f>IFERROR(IF(OR(MO.RealTimeStockPriceToggle=FALSE,VLOOKUP(MO.DataSourceName,MO_SPT_StockAverage_Sources,COLUMN(),FALSE)="N/A"),VLOOKUP("Real-Time Off Source",MO_SPT_StockAverage_Sources,COLUMN(),FALSE),VLOOKUP(MO.DataSourceName,MO_SPT_StockAverage_Sources,COLUMN(),FALSE)),"N/A")</f>
        <v/>
      </c>
      <c r="R465" s="262">
        <f>IFERROR(IF(OR(MO.RealTimeStockPriceToggle=FALSE,VLOOKUP(MO.DataSourceName,MO_SPT_StockAverage_Sources,COLUMN(),FALSE)="N/A"),VLOOKUP("Real-Time Off Source",MO_SPT_StockAverage_Sources,COLUMN(),FALSE),VLOOKUP(MO.DataSourceName,MO_SPT_StockAverage_Sources,COLUMN(),FALSE)),"N/A")</f>
        <v/>
      </c>
      <c r="S465" s="262">
        <f>IFERROR(IF(OR(MO.RealTimeStockPriceToggle=FALSE,VLOOKUP(MO.DataSourceName,MO_SPT_StockAverage_Sources,COLUMN(),FALSE)="N/A"),VLOOKUP("Real-Time Off Source",MO_SPT_StockAverage_Sources,COLUMN(),FALSE),VLOOKUP(MO.DataSourceName,MO_SPT_StockAverage_Sources,COLUMN(),FALSE)),"N/A")</f>
        <v/>
      </c>
      <c r="T465" s="262">
        <f>IFERROR(IF(OR(MO.RealTimeStockPriceToggle=FALSE,VLOOKUP(MO.DataSourceName,MO_SPT_StockAverage_Sources,COLUMN(),FALSE)="N/A"),VLOOKUP("Real-Time Off Source",MO_SPT_StockAverage_Sources,COLUMN(),FALSE),VLOOKUP(MO.DataSourceName,MO_SPT_StockAverage_Sources,COLUMN(),FALSE)),"N/A")</f>
        <v/>
      </c>
      <c r="U465" s="262">
        <f>IFERROR(IF(OR(MO.RealTimeStockPriceToggle=FALSE,VLOOKUP(MO.DataSourceName,MO_SPT_StockAverage_Sources,COLUMN(),FALSE)="N/A"),VLOOKUP("Real-Time Off Source",MO_SPT_StockAverage_Sources,COLUMN(),FALSE),VLOOKUP(MO.DataSourceName,MO_SPT_StockAverage_Sources,COLUMN(),FALSE)),"N/A")</f>
        <v/>
      </c>
      <c r="V465" s="262">
        <f>IFERROR(IF(OR(MO.RealTimeStockPriceToggle=FALSE,VLOOKUP(MO.DataSourceName,MO_SPT_StockAverage_Sources,COLUMN(),FALSE)="N/A"),VLOOKUP("Real-Time Off Source",MO_SPT_StockAverage_Sources,COLUMN(),FALSE),VLOOKUP(MO.DataSourceName,MO_SPT_StockAverage_Sources,COLUMN(),FALSE)),"N/A")</f>
        <v/>
      </c>
      <c r="W465" s="262">
        <f>IFERROR(IF(OR(MO.RealTimeStockPriceToggle=FALSE,VLOOKUP(MO.DataSourceName,MO_SPT_StockAverage_Sources,COLUMN(),FALSE)="N/A"),VLOOKUP("Real-Time Off Source",MO_SPT_StockAverage_Sources,COLUMN(),FALSE),VLOOKUP(MO.DataSourceName,MO_SPT_StockAverage_Sources,COLUMN(),FALSE)),"N/A")</f>
        <v/>
      </c>
      <c r="X465" s="262">
        <f>IFERROR(IF(OR(MO.RealTimeStockPriceToggle=FALSE,VLOOKUP(MO.DataSourceName,MO_SPT_StockAverage_Sources,COLUMN(),FALSE)="N/A"),VLOOKUP("Real-Time Off Source",MO_SPT_StockAverage_Sources,COLUMN(),FALSE),VLOOKUP(MO.DataSourceName,MO_SPT_StockAverage_Sources,COLUMN(),FALSE)),"N/A")</f>
        <v/>
      </c>
      <c r="Y465" s="262">
        <f>IFERROR(IF(OR(MO.RealTimeStockPriceToggle=FALSE,VLOOKUP(MO.DataSourceName,MO_SPT_StockAverage_Sources,COLUMN(),FALSE)="N/A"),VLOOKUP("Real-Time Off Source",MO_SPT_StockAverage_Sources,COLUMN(),FALSE),VLOOKUP(MO.DataSourceName,MO_SPT_StockAverage_Sources,COLUMN(),FALSE)),"N/A")</f>
        <v/>
      </c>
      <c r="Z465" s="262">
        <f>IFERROR(IF(OR(MO.RealTimeStockPriceToggle=FALSE,VLOOKUP(MO.DataSourceName,MO_SPT_StockAverage_Sources,COLUMN(),FALSE)="N/A"),VLOOKUP("Real-Time Off Source",MO_SPT_StockAverage_Sources,COLUMN(),FALSE),VLOOKUP(MO.DataSourceName,MO_SPT_StockAverage_Sources,COLUMN(),FALSE)),"N/A")</f>
        <v/>
      </c>
      <c r="AA465" s="262">
        <f>IFERROR(IF(OR(MO.RealTimeStockPriceToggle=FALSE,VLOOKUP(MO.DataSourceName,MO_SPT_StockAverage_Sources,COLUMN(),FALSE)="N/A"),VLOOKUP("Real-Time Off Source",MO_SPT_StockAverage_Sources,COLUMN(),FALSE),VLOOKUP(MO.DataSourceName,MO_SPT_StockAverage_Sources,COLUMN(),FALSE)),"N/A")</f>
        <v/>
      </c>
      <c r="AB465" s="262">
        <f>IFERROR(IF(OR(MO.RealTimeStockPriceToggle=FALSE,VLOOKUP(MO.DataSourceName,MO_SPT_StockAverage_Sources,COLUMN(),FALSE)="N/A"),VLOOKUP("Real-Time Off Source",MO_SPT_StockAverage_Sources,COLUMN(),FALSE),VLOOKUP(MO.DataSourceName,MO_SPT_StockAverage_Sources,COLUMN(),FALSE)),"N/A")</f>
        <v/>
      </c>
      <c r="AC465" s="262">
        <f>IFERROR(IF(OR(MO.RealTimeStockPriceToggle=FALSE,VLOOKUP(MO.DataSourceName,MO_SPT_StockAverage_Sources,COLUMN(),FALSE)="N/A"),VLOOKUP("Real-Time Off Source",MO_SPT_StockAverage_Sources,COLUMN(),FALSE),VLOOKUP(MO.DataSourceName,MO_SPT_StockAverage_Sources,COLUMN(),FALSE)),"N/A")</f>
        <v/>
      </c>
      <c r="AD465" s="262">
        <f>IFERROR(IF(OR(MO.RealTimeStockPriceToggle=FALSE,VLOOKUP(MO.DataSourceName,MO_SPT_StockAverage_Sources,COLUMN(),FALSE)="N/A"),VLOOKUP("Real-Time Off Source",MO_SPT_StockAverage_Sources,COLUMN(),FALSE),VLOOKUP(MO.DataSourceName,MO_SPT_StockAverage_Sources,COLUMN(),FALSE)),"N/A")</f>
        <v/>
      </c>
      <c r="AE465" s="262">
        <f>IFERROR(IF(OR(MO.RealTimeStockPriceToggle=FALSE,VLOOKUP(MO.DataSourceName,MO_SPT_StockAverage_Sources,COLUMN(),FALSE)="N/A"),VLOOKUP("Real-Time Off Source",MO_SPT_StockAverage_Sources,COLUMN(),FALSE),VLOOKUP(MO.DataSourceName,MO_SPT_StockAverage_Sources,COLUMN(),FALSE)),"N/A")</f>
        <v/>
      </c>
      <c r="AF465" s="262">
        <f>IFERROR(IF(OR(MO.RealTimeStockPriceToggle=FALSE,VLOOKUP(MO.DataSourceName,MO_SPT_StockAverage_Sources,COLUMN(),FALSE)="N/A"),VLOOKUP("Real-Time Off Source",MO_SPT_StockAverage_Sources,COLUMN(),FALSE),VLOOKUP(MO.DataSourceName,MO_SPT_StockAverage_Sources,COLUMN(),FALSE)),"N/A")</f>
        <v/>
      </c>
      <c r="AG465" s="262">
        <f>IFERROR(IF(OR(MO.RealTimeStockPriceToggle=FALSE,VLOOKUP(MO.DataSourceName,MO_SPT_StockAverage_Sources,COLUMN(),FALSE)="N/A"),VLOOKUP("Real-Time Off Source",MO_SPT_StockAverage_Sources,COLUMN(),FALSE),VLOOKUP(MO.DataSourceName,MO_SPT_StockAverage_Sources,COLUMN(),FALSE)),"N/A")</f>
        <v/>
      </c>
      <c r="AH465" s="262">
        <f>IFERROR(IF(OR(MO.RealTimeStockPriceToggle=FALSE,VLOOKUP(MO.DataSourceName,MO_SPT_StockAverage_Sources,COLUMN(),FALSE)="N/A"),VLOOKUP("Real-Time Off Source",MO_SPT_StockAverage_Sources,COLUMN(),FALSE),VLOOKUP(MO.DataSourceName,MO_SPT_StockAverage_Sources,COLUMN(),FALSE)),"N/A")</f>
        <v/>
      </c>
      <c r="AI465" s="262">
        <f>IFERROR(IF(OR(MO.RealTimeStockPriceToggle=FALSE,VLOOKUP(MO.DataSourceName,MO_SPT_StockAverage_Sources,COLUMN(),FALSE)="N/A"),VLOOKUP("Real-Time Off Source",MO_SPT_StockAverage_Sources,COLUMN(),FALSE),VLOOKUP(MO.DataSourceName,MO_SPT_StockAverage_Sources,COLUMN(),FALSE)),"N/A")</f>
        <v/>
      </c>
      <c r="AJ465" s="262">
        <f>IFERROR(IF(OR(MO.RealTimeStockPriceToggle=FALSE,VLOOKUP(MO.DataSourceName,MO_SPT_StockAverage_Sources,COLUMN(),FALSE)="N/A"),VLOOKUP("Real-Time Off Source",MO_SPT_StockAverage_Sources,COLUMN(),FALSE),VLOOKUP(MO.DataSourceName,MO_SPT_StockAverage_Sources,COLUMN(),FALSE)),"N/A")</f>
        <v/>
      </c>
      <c r="AK465" s="262">
        <f>IFERROR(IF(OR(MO.RealTimeStockPriceToggle=FALSE,VLOOKUP(MO.DataSourceName,MO_SPT_StockAverage_Sources,COLUMN(),FALSE)="N/A"),VLOOKUP("Real-Time Off Source",MO_SPT_StockAverage_Sources,COLUMN(),FALSE),VLOOKUP(MO.DataSourceName,MO_SPT_StockAverage_Sources,COLUMN(),FALSE)),"N/A")</f>
        <v/>
      </c>
      <c r="AL465" s="531">
        <f>IFERROR(IF(OR(MO.RealTimeStockPriceToggle=FALSE,VLOOKUP(MO.DataSourceName,MO_SPT_StockAverage_Sources,COLUMN(),FALSE)="N/A"),VLOOKUP("Real-Time Off Source",MO_SPT_StockAverage_Sources,COLUMN(),FALSE),VLOOKUP(MO.DataSourceName,MO_SPT_StockAverage_Sources,COLUMN(),FALSE)),"N/A")</f>
        <v/>
      </c>
      <c r="AM465" s="262">
        <f>IFERROR(IF(OR(MO.RealTimeStockPriceToggle=FALSE,VLOOKUP(MO.DataSourceName,MO_SPT_StockAverage_Sources,COLUMN(),FALSE)="N/A"),VLOOKUP("Real-Time Off Source",MO_SPT_StockAverage_Sources,COLUMN(),FALSE),VLOOKUP(MO.DataSourceName,MO_SPT_StockAverage_Sources,COLUMN(),FALSE)),"N/A")</f>
        <v/>
      </c>
      <c r="AN465" s="262">
        <f>IFERROR(IF(OR(MO.RealTimeStockPriceToggle=FALSE,VLOOKUP(MO.DataSourceName,MO_SPT_StockAverage_Sources,COLUMN(),FALSE)="N/A"),VLOOKUP("Real-Time Off Source",MO_SPT_StockAverage_Sources,COLUMN(),FALSE),VLOOKUP(MO.DataSourceName,MO_SPT_StockAverage_Sources,COLUMN(),FALSE)),"N/A")</f>
        <v/>
      </c>
      <c r="AO465" s="262">
        <f>IFERROR(IF(OR(MO.RealTimeStockPriceToggle=FALSE,VLOOKUP(MO.DataSourceName,MO_SPT_StockAverage_Sources,COLUMN(),FALSE)="N/A"),VLOOKUP("Real-Time Off Source",MO_SPT_StockAverage_Sources,COLUMN(),FALSE),VLOOKUP(MO.DataSourceName,MO_SPT_StockAverage_Sources,COLUMN(),FALSE)),"N/A")</f>
        <v/>
      </c>
      <c r="AP465" s="262">
        <f>IFERROR(IF(OR(MO.RealTimeStockPriceToggle=FALSE,VLOOKUP(MO.DataSourceName,MO_SPT_StockAverage_Sources,COLUMN(),FALSE)="N/A"),VLOOKUP("Real-Time Off Source",MO_SPT_StockAverage_Sources,COLUMN(),FALSE),VLOOKUP(MO.DataSourceName,MO_SPT_StockAverage_Sources,COLUMN(),FALSE)),"N/A")</f>
        <v/>
      </c>
      <c r="AQ465" s="262">
        <f>IFERROR(IF(OR(MO.RealTimeStockPriceToggle=FALSE,VLOOKUP(MO.DataSourceName,MO_SPT_StockAverage_Sources,COLUMN(),FALSE)="N/A"),VLOOKUP("Real-Time Off Source",MO_SPT_StockAverage_Sources,COLUMN(),FALSE),VLOOKUP(MO.DataSourceName,MO_SPT_StockAverage_Sources,COLUMN(),FALSE)),"N/A")</f>
        <v/>
      </c>
      <c r="AR465" s="262">
        <f>IFERROR(IF(OR(MO.RealTimeStockPriceToggle=FALSE,VLOOKUP(MO.DataSourceName,MO_SPT_StockAverage_Sources,COLUMN(),FALSE)="N/A"),VLOOKUP("Real-Time Off Source",MO_SPT_StockAverage_Sources,COLUMN(),FALSE),VLOOKUP(MO.DataSourceName,MO_SPT_StockAverage_Sources,COLUMN(),FALSE)),"N/A")</f>
        <v/>
      </c>
      <c r="AS465" s="262">
        <f>IFERROR(IF(OR(MO.RealTimeStockPriceToggle=FALSE,VLOOKUP(MO.DataSourceName,MO_SPT_StockAverage_Sources,COLUMN(),FALSE)="N/A"),VLOOKUP("Real-Time Off Source",MO_SPT_StockAverage_Sources,COLUMN(),FALSE),VLOOKUP(MO.DataSourceName,MO_SPT_StockAverage_Sources,COLUMN(),FALSE)),"N/A")</f>
        <v/>
      </c>
      <c r="AT465" s="262">
        <f>IFERROR(IF(OR(MO.RealTimeStockPriceToggle=FALSE,VLOOKUP(MO.DataSourceName,MO_SPT_StockAverage_Sources,COLUMN(),FALSE)="N/A"),VLOOKUP("Real-Time Off Source",MO_SPT_StockAverage_Sources,COLUMN(),FALSE),VLOOKUP(MO.DataSourceName,MO_SPT_StockAverage_Sources,COLUMN(),FALSE)),"N/A")</f>
        <v/>
      </c>
      <c r="AU465" s="262">
        <f>IFERROR(IF(OR(MO.RealTimeStockPriceToggle=FALSE,VLOOKUP(MO.DataSourceName,MO_SPT_StockAverage_Sources,COLUMN(),FALSE)="N/A"),VLOOKUP("Real-Time Off Source",MO_SPT_StockAverage_Sources,COLUMN(),FALSE),VLOOKUP(MO.DataSourceName,MO_SPT_StockAverage_Sources,COLUMN(),FALSE)),"N/A")</f>
        <v/>
      </c>
      <c r="AV465" s="262">
        <f>IFERROR(IF(OR(MO.RealTimeStockPriceToggle=FALSE,VLOOKUP(MO.DataSourceName,MO_SPT_StockAverage_Sources,COLUMN(),FALSE)="N/A"),VLOOKUP("Real-Time Off Source",MO_SPT_StockAverage_Sources,COLUMN(),FALSE),VLOOKUP(MO.DataSourceName,MO_SPT_StockAverage_Sources,COLUMN(),FALSE)),"N/A")</f>
        <v/>
      </c>
      <c r="AW465" s="263">
        <f>IFERROR(IF(OR(MO.RealTimeStockPriceToggle=FALSE,VLOOKUP(MO.DataSourceName,MO_SPT_StockAverage_Sources,COLUMN(),FALSE)="N/A"),VLOOKUP("Real-Time Off Source",MO_SPT_StockAverage_Sources,COLUMN(),FALSE),VLOOKUP(MO.DataSourceName,MO_SPT_StockAverage_Sources,COLUMN(),FALSE)),"N/A")</f>
        <v/>
      </c>
      <c r="AX465" s="232" t="n"/>
    </row>
    <row r="466" hidden="1" outlineLevel="1" customFormat="1" s="226">
      <c r="A466" s="532" t="inlineStr">
        <is>
          <t>Real-Time Off Source</t>
        </is>
      </c>
      <c r="B466" s="262" t="n"/>
      <c r="C466" s="530" t="n">
        <v>12.69375</v>
      </c>
      <c r="D466" s="530" t="n">
        <v>21.995</v>
      </c>
      <c r="E466" s="530" t="n">
        <v>29.84</v>
      </c>
      <c r="F466" s="530" t="n">
        <v>66.965</v>
      </c>
      <c r="G466" s="530" t="n">
        <v>53.76</v>
      </c>
      <c r="H466" s="262" t="n">
        <v>52.835</v>
      </c>
      <c r="I466" s="262" t="n">
        <v>44.29</v>
      </c>
      <c r="J466" s="262" t="n">
        <v>37.4</v>
      </c>
      <c r="K466" s="262" t="n">
        <v>47.07125</v>
      </c>
      <c r="L466" s="262" t="n">
        <v>39.555</v>
      </c>
      <c r="M466" s="262" t="n">
        <v>35.69</v>
      </c>
      <c r="N466" s="262" t="n">
        <v>39.24</v>
      </c>
      <c r="O466" s="262" t="n">
        <v>43.085</v>
      </c>
      <c r="P466" s="262" t="n">
        <v>39.3925</v>
      </c>
      <c r="Q466" s="262" t="n">
        <v>45.645</v>
      </c>
      <c r="R466" s="262" t="n">
        <v>48.525</v>
      </c>
      <c r="S466" s="262" t="n">
        <v>40.915</v>
      </c>
      <c r="T466" s="262" t="n">
        <v>42.595</v>
      </c>
      <c r="U466" s="262" t="n">
        <v>44.42</v>
      </c>
      <c r="V466" s="262" t="n">
        <v>46.67</v>
      </c>
      <c r="W466" s="262" t="n">
        <v>47.995</v>
      </c>
      <c r="X466" s="262" t="n">
        <v>45.84</v>
      </c>
      <c r="Y466" s="262" t="n">
        <v>42.475</v>
      </c>
      <c r="Z466" s="262" t="n">
        <v>45.745</v>
      </c>
      <c r="AA466" s="262" t="n">
        <v>46.75</v>
      </c>
      <c r="AB466" s="262" t="n">
        <v>47.1</v>
      </c>
      <c r="AC466" s="262" t="n">
        <v>45</v>
      </c>
      <c r="AD466" s="262" t="n">
        <v>54.075</v>
      </c>
      <c r="AE466" s="262" t="n">
        <v>48.23125</v>
      </c>
      <c r="AF466" s="262" t="n">
        <v>67.3254098360656</v>
      </c>
      <c r="AG466" s="262" t="n">
        <v>81.90078124999999</v>
      </c>
      <c r="AH466" s="262" t="n">
        <v>80.4484126984127</v>
      </c>
      <c r="AI466" s="262" t="n">
        <v>84.9746031746032</v>
      </c>
      <c r="AJ466" s="262" t="n">
        <v>78.7655378486056</v>
      </c>
      <c r="AK466" s="262" t="n">
        <v>100.560163934426</v>
      </c>
      <c r="AL466" s="531" t="n">
        <v>115.199206349206</v>
      </c>
      <c r="AM466" s="262" t="n"/>
      <c r="AN466" s="262" t="n"/>
      <c r="AO466" s="262" t="n"/>
      <c r="AP466" s="262" t="n"/>
      <c r="AQ466" s="262" t="n"/>
      <c r="AR466" s="262" t="n"/>
      <c r="AS466" s="262" t="n"/>
      <c r="AT466" s="262" t="n"/>
      <c r="AU466" s="262" t="n"/>
      <c r="AV466" s="262" t="n"/>
      <c r="AW466" s="263" t="n"/>
      <c r="AX466" s="232" t="n"/>
    </row>
    <row r="467" hidden="1" outlineLevel="1" customFormat="1" s="226">
      <c r="A467" s="532" t="inlineStr">
        <is>
          <t>Bloomberg</t>
        </is>
      </c>
      <c r="B467" s="262" t="n"/>
      <c r="C467" s="530">
        <f>IFERROR(IFERROR(_xll.BDP(MO.Ticker.Bloomberg&amp;" Equity","INTERVAL_AVG","MARKET_DATA_OVERRIDE=PX_LAST","START_DATE_OVERRIDE",TEXT(INDEX(MO_SNA_FPStartDate,0,COLUMN()),"YYYYMMDD"),"END_DATE_OVERRIDE",TEXT(INDEX(MO_Common_QEndDate,0,COLUMN()),"YYYYMMDD")),"N/A"),"N/A")</f>
        <v/>
      </c>
      <c r="D467" s="530">
        <f>IFERROR(IFERROR(_xll.BDP(MO.Ticker.Bloomberg&amp;" Equity","INTERVAL_AVG","MARKET_DATA_OVERRIDE=PX_LAST","START_DATE_OVERRIDE",TEXT(INDEX(MO_SNA_FPStartDate,0,COLUMN()),"YYYYMMDD"),"END_DATE_OVERRIDE",TEXT(INDEX(MO_Common_QEndDate,0,COLUMN()),"YYYYMMDD")),"N/A"),"N/A")</f>
        <v/>
      </c>
      <c r="E467" s="530">
        <f>IFERROR(IFERROR(_xll.BDP(MO.Ticker.Bloomberg&amp;" Equity","INTERVAL_AVG","MARKET_DATA_OVERRIDE=PX_LAST","START_DATE_OVERRIDE",TEXT(INDEX(MO_SNA_FPStartDate,0,COLUMN()),"YYYYMMDD"),"END_DATE_OVERRIDE",TEXT(INDEX(MO_Common_QEndDate,0,COLUMN()),"YYYYMMDD")),"N/A"),"N/A")</f>
        <v/>
      </c>
      <c r="F467" s="530">
        <f>IFERROR(IFERROR(_xll.BDP(MO.Ticker.Bloomberg&amp;" Equity","INTERVAL_AVG","MARKET_DATA_OVERRIDE=PX_LAST","START_DATE_OVERRIDE",TEXT(INDEX(MO_SNA_FPStartDate,0,COLUMN()),"YYYYMMDD"),"END_DATE_OVERRIDE",TEXT(INDEX(MO_Common_QEndDate,0,COLUMN()),"YYYYMMDD")),"N/A"),"N/A")</f>
        <v/>
      </c>
      <c r="G467" s="530">
        <f>IFERROR(IFERROR(_xll.BDP(MO.Ticker.Bloomberg&amp;" Equity","INTERVAL_AVG","MARKET_DATA_OVERRIDE=PX_LAST","START_DATE_OVERRIDE",TEXT(INDEX(MO_SNA_FPStartDate,0,COLUMN()),"YYYYMMDD"),"END_DATE_OVERRIDE",TEXT(INDEX(MO_Common_QEndDate,0,COLUMN()),"YYYYMMDD")),"N/A"),"N/A")</f>
        <v/>
      </c>
      <c r="H467" s="262">
        <f>IFERROR(IFERROR(_xll.BDP(MO.Ticker.Bloomberg&amp;" Equity","INTERVAL_AVG","MARKET_DATA_OVERRIDE=PX_LAST","START_DATE_OVERRIDE",TEXT(INDEX(MO_SNA_FPStartDate,0,COLUMN()),"YYYYMMDD"),"END_DATE_OVERRIDE",TEXT(INDEX(MO_Common_QEndDate,0,COLUMN()),"YYYYMMDD")),"N/A"),"N/A")</f>
        <v/>
      </c>
      <c r="I467" s="262">
        <f>IFERROR(IFERROR(_xll.BDP(MO.Ticker.Bloomberg&amp;" Equity","INTERVAL_AVG","MARKET_DATA_OVERRIDE=PX_LAST","START_DATE_OVERRIDE",TEXT(INDEX(MO_SNA_FPStartDate,0,COLUMN()),"YYYYMMDD"),"END_DATE_OVERRIDE",TEXT(INDEX(MO_Common_QEndDate,0,COLUMN()),"YYYYMMDD")),"N/A"),"N/A")</f>
        <v/>
      </c>
      <c r="J467" s="262">
        <f>IFERROR(IFERROR(_xll.BDP(MO.Ticker.Bloomberg&amp;" Equity","INTERVAL_AVG","MARKET_DATA_OVERRIDE=PX_LAST","START_DATE_OVERRIDE",TEXT(INDEX(MO_SNA_FPStartDate,0,COLUMN()),"YYYYMMDD"),"END_DATE_OVERRIDE",TEXT(INDEX(MO_Common_QEndDate,0,COLUMN()),"YYYYMMDD")),"N/A"),"N/A")</f>
        <v/>
      </c>
      <c r="K467" s="262">
        <f>IFERROR(IFERROR(_xll.BDP(MO.Ticker.Bloomberg&amp;" Equity","INTERVAL_AVG","MARKET_DATA_OVERRIDE=PX_LAST","START_DATE_OVERRIDE",TEXT(INDEX(MO_SNA_FPStartDate,0,COLUMN()),"YYYYMMDD"),"END_DATE_OVERRIDE",TEXT(INDEX(MO_Common_QEndDate,0,COLUMN()),"YYYYMMDD")),"N/A"),"N/A")</f>
        <v/>
      </c>
      <c r="L467" s="262">
        <f>IFERROR(IFERROR(_xll.BDP(MO.Ticker.Bloomberg&amp;" Equity","INTERVAL_AVG","MARKET_DATA_OVERRIDE=PX_LAST","START_DATE_OVERRIDE",TEXT(INDEX(MO_SNA_FPStartDate,0,COLUMN()),"YYYYMMDD"),"END_DATE_OVERRIDE",TEXT(INDEX(MO_Common_QEndDate,0,COLUMN()),"YYYYMMDD")),"N/A"),"N/A")</f>
        <v/>
      </c>
      <c r="M467" s="262">
        <f>IFERROR(IFERROR(_xll.BDP(MO.Ticker.Bloomberg&amp;" Equity","INTERVAL_AVG","MARKET_DATA_OVERRIDE=PX_LAST","START_DATE_OVERRIDE",TEXT(INDEX(MO_SNA_FPStartDate,0,COLUMN()),"YYYYMMDD"),"END_DATE_OVERRIDE",TEXT(INDEX(MO_Common_QEndDate,0,COLUMN()),"YYYYMMDD")),"N/A"),"N/A")</f>
        <v/>
      </c>
      <c r="N467" s="262">
        <f>IFERROR(IFERROR(_xll.BDP(MO.Ticker.Bloomberg&amp;" Equity","INTERVAL_AVG","MARKET_DATA_OVERRIDE=PX_LAST","START_DATE_OVERRIDE",TEXT(INDEX(MO_SNA_FPStartDate,0,COLUMN()),"YYYYMMDD"),"END_DATE_OVERRIDE",TEXT(INDEX(MO_Common_QEndDate,0,COLUMN()),"YYYYMMDD")),"N/A"),"N/A")</f>
        <v/>
      </c>
      <c r="O467" s="262">
        <f>IFERROR(IFERROR(_xll.BDP(MO.Ticker.Bloomberg&amp;" Equity","INTERVAL_AVG","MARKET_DATA_OVERRIDE=PX_LAST","START_DATE_OVERRIDE",TEXT(INDEX(MO_SNA_FPStartDate,0,COLUMN()),"YYYYMMDD"),"END_DATE_OVERRIDE",TEXT(INDEX(MO_Common_QEndDate,0,COLUMN()),"YYYYMMDD")),"N/A"),"N/A")</f>
        <v/>
      </c>
      <c r="P467" s="262">
        <f>IFERROR(IFERROR(_xll.BDP(MO.Ticker.Bloomberg&amp;" Equity","INTERVAL_AVG","MARKET_DATA_OVERRIDE=PX_LAST","START_DATE_OVERRIDE",TEXT(INDEX(MO_SNA_FPStartDate,0,COLUMN()),"YYYYMMDD"),"END_DATE_OVERRIDE",TEXT(INDEX(MO_Common_QEndDate,0,COLUMN()),"YYYYMMDD")),"N/A"),"N/A")</f>
        <v/>
      </c>
      <c r="Q467" s="262">
        <f>IFERROR(IFERROR(_xll.BDP(MO.Ticker.Bloomberg&amp;" Equity","INTERVAL_AVG","MARKET_DATA_OVERRIDE=PX_LAST","START_DATE_OVERRIDE",TEXT(INDEX(MO_SNA_FPStartDate,0,COLUMN()),"YYYYMMDD"),"END_DATE_OVERRIDE",TEXT(INDEX(MO_Common_QEndDate,0,COLUMN()),"YYYYMMDD")),"N/A"),"N/A")</f>
        <v/>
      </c>
      <c r="R467" s="262">
        <f>IFERROR(IFERROR(_xll.BDP(MO.Ticker.Bloomberg&amp;" Equity","INTERVAL_AVG","MARKET_DATA_OVERRIDE=PX_LAST","START_DATE_OVERRIDE",TEXT(INDEX(MO_SNA_FPStartDate,0,COLUMN()),"YYYYMMDD"),"END_DATE_OVERRIDE",TEXT(INDEX(MO_Common_QEndDate,0,COLUMN()),"YYYYMMDD")),"N/A"),"N/A")</f>
        <v/>
      </c>
      <c r="S467" s="262">
        <f>IFERROR(IFERROR(_xll.BDP(MO.Ticker.Bloomberg&amp;" Equity","INTERVAL_AVG","MARKET_DATA_OVERRIDE=PX_LAST","START_DATE_OVERRIDE",TEXT(INDEX(MO_SNA_FPStartDate,0,COLUMN()),"YYYYMMDD"),"END_DATE_OVERRIDE",TEXT(INDEX(MO_Common_QEndDate,0,COLUMN()),"YYYYMMDD")),"N/A"),"N/A")</f>
        <v/>
      </c>
      <c r="T467" s="262">
        <f>IFERROR(IFERROR(_xll.BDP(MO.Ticker.Bloomberg&amp;" Equity","INTERVAL_AVG","MARKET_DATA_OVERRIDE=PX_LAST","START_DATE_OVERRIDE",TEXT(INDEX(MO_SNA_FPStartDate,0,COLUMN()),"YYYYMMDD"),"END_DATE_OVERRIDE",TEXT(INDEX(MO_Common_QEndDate,0,COLUMN()),"YYYYMMDD")),"N/A"),"N/A")</f>
        <v/>
      </c>
      <c r="U467" s="262">
        <f>IFERROR(IFERROR(_xll.BDP(MO.Ticker.Bloomberg&amp;" Equity","INTERVAL_AVG","MARKET_DATA_OVERRIDE=PX_LAST","START_DATE_OVERRIDE",TEXT(INDEX(MO_SNA_FPStartDate,0,COLUMN()),"YYYYMMDD"),"END_DATE_OVERRIDE",TEXT(INDEX(MO_Common_QEndDate,0,COLUMN()),"YYYYMMDD")),"N/A"),"N/A")</f>
        <v/>
      </c>
      <c r="V467" s="262">
        <f>IFERROR(IFERROR(_xll.BDP(MO.Ticker.Bloomberg&amp;" Equity","INTERVAL_AVG","MARKET_DATA_OVERRIDE=PX_LAST","START_DATE_OVERRIDE",TEXT(INDEX(MO_SNA_FPStartDate,0,COLUMN()),"YYYYMMDD"),"END_DATE_OVERRIDE",TEXT(INDEX(MO_Common_QEndDate,0,COLUMN()),"YYYYMMDD")),"N/A"),"N/A")</f>
        <v/>
      </c>
      <c r="W467" s="262">
        <f>IFERROR(IFERROR(_xll.BDP(MO.Ticker.Bloomberg&amp;" Equity","INTERVAL_AVG","MARKET_DATA_OVERRIDE=PX_LAST","START_DATE_OVERRIDE",TEXT(INDEX(MO_SNA_FPStartDate,0,COLUMN()),"YYYYMMDD"),"END_DATE_OVERRIDE",TEXT(INDEX(MO_Common_QEndDate,0,COLUMN()),"YYYYMMDD")),"N/A"),"N/A")</f>
        <v/>
      </c>
      <c r="X467" s="262">
        <f>IFERROR(IFERROR(_xll.BDP(MO.Ticker.Bloomberg&amp;" Equity","INTERVAL_AVG","MARKET_DATA_OVERRIDE=PX_LAST","START_DATE_OVERRIDE",TEXT(INDEX(MO_SNA_FPStartDate,0,COLUMN()),"YYYYMMDD"),"END_DATE_OVERRIDE",TEXT(INDEX(MO_Common_QEndDate,0,COLUMN()),"YYYYMMDD")),"N/A"),"N/A")</f>
        <v/>
      </c>
      <c r="Y467" s="262">
        <f>IFERROR(IFERROR(_xll.BDP(MO.Ticker.Bloomberg&amp;" Equity","INTERVAL_AVG","MARKET_DATA_OVERRIDE=PX_LAST","START_DATE_OVERRIDE",TEXT(INDEX(MO_SNA_FPStartDate,0,COLUMN()),"YYYYMMDD"),"END_DATE_OVERRIDE",TEXT(INDEX(MO_Common_QEndDate,0,COLUMN()),"YYYYMMDD")),"N/A"),"N/A")</f>
        <v/>
      </c>
      <c r="Z467" s="262">
        <f>IFERROR(IFERROR(_xll.BDP(MO.Ticker.Bloomberg&amp;" Equity","INTERVAL_AVG","MARKET_DATA_OVERRIDE=PX_LAST","START_DATE_OVERRIDE",TEXT(INDEX(MO_SNA_FPStartDate,0,COLUMN()),"YYYYMMDD"),"END_DATE_OVERRIDE",TEXT(INDEX(MO_Common_QEndDate,0,COLUMN()),"YYYYMMDD")),"N/A"),"N/A")</f>
        <v/>
      </c>
      <c r="AA467" s="262">
        <f>IFERROR(IFERROR(_xll.BDP(MO.Ticker.Bloomberg&amp;" Equity","INTERVAL_AVG","MARKET_DATA_OVERRIDE=PX_LAST","START_DATE_OVERRIDE",TEXT(INDEX(MO_SNA_FPStartDate,0,COLUMN()),"YYYYMMDD"),"END_DATE_OVERRIDE",TEXT(INDEX(MO_Common_QEndDate,0,COLUMN()),"YYYYMMDD")),"N/A"),"N/A")</f>
        <v/>
      </c>
      <c r="AB467" s="262">
        <f>IFERROR(IFERROR(_xll.BDP(MO.Ticker.Bloomberg&amp;" Equity","INTERVAL_AVG","MARKET_DATA_OVERRIDE=PX_LAST","START_DATE_OVERRIDE",TEXT(INDEX(MO_SNA_FPStartDate,0,COLUMN()),"YYYYMMDD"),"END_DATE_OVERRIDE",TEXT(INDEX(MO_Common_QEndDate,0,COLUMN()),"YYYYMMDD")),"N/A"),"N/A")</f>
        <v/>
      </c>
      <c r="AC467" s="262">
        <f>IFERROR(IFERROR(_xll.BDP(MO.Ticker.Bloomberg&amp;" Equity","INTERVAL_AVG","MARKET_DATA_OVERRIDE=PX_LAST","START_DATE_OVERRIDE",TEXT(INDEX(MO_SNA_FPStartDate,0,COLUMN()),"YYYYMMDD"),"END_DATE_OVERRIDE",TEXT(INDEX(MO_Common_QEndDate,0,COLUMN()),"YYYYMMDD")),"N/A"),"N/A")</f>
        <v/>
      </c>
      <c r="AD467" s="262">
        <f>IFERROR(IFERROR(_xll.BDP(MO.Ticker.Bloomberg&amp;" Equity","INTERVAL_AVG","MARKET_DATA_OVERRIDE=PX_LAST","START_DATE_OVERRIDE",TEXT(INDEX(MO_SNA_FPStartDate,0,COLUMN()),"YYYYMMDD"),"END_DATE_OVERRIDE",TEXT(INDEX(MO_Common_QEndDate,0,COLUMN()),"YYYYMMDD")),"N/A"),"N/A")</f>
        <v/>
      </c>
      <c r="AE467" s="262">
        <f>IFERROR(IFERROR(_xll.BDP(MO.Ticker.Bloomberg&amp;" Equity","INTERVAL_AVG","MARKET_DATA_OVERRIDE=PX_LAST","START_DATE_OVERRIDE",TEXT(INDEX(MO_SNA_FPStartDate,0,COLUMN()),"YYYYMMDD"),"END_DATE_OVERRIDE",TEXT(INDEX(MO_Common_QEndDate,0,COLUMN()),"YYYYMMDD")),"N/A"),"N/A")</f>
        <v/>
      </c>
      <c r="AF467" s="262">
        <f>IFERROR(IFERROR(_xll.BDP(MO.Ticker.Bloomberg&amp;" Equity","INTERVAL_AVG","MARKET_DATA_OVERRIDE=PX_LAST","START_DATE_OVERRIDE",TEXT(INDEX(MO_SNA_FPStartDate,0,COLUMN()),"YYYYMMDD"),"END_DATE_OVERRIDE",TEXT(INDEX(MO_Common_QEndDate,0,COLUMN()),"YYYYMMDD")),"N/A"),"N/A")</f>
        <v/>
      </c>
      <c r="AG467" s="262">
        <f>IFERROR(IFERROR(_xll.BDP(MO.Ticker.Bloomberg&amp;" Equity","INTERVAL_AVG","MARKET_DATA_OVERRIDE=PX_LAST","START_DATE_OVERRIDE",TEXT(INDEX(MO_SNA_FPStartDate,0,COLUMN()),"YYYYMMDD"),"END_DATE_OVERRIDE",TEXT(INDEX(MO_Common_QEndDate,0,COLUMN()),"YYYYMMDD")),"N/A"),"N/A")</f>
        <v/>
      </c>
      <c r="AH467" s="262">
        <f>IFERROR(IFERROR(_xll.BDP(MO.Ticker.Bloomberg&amp;" Equity","INTERVAL_AVG","MARKET_DATA_OVERRIDE=PX_LAST","START_DATE_OVERRIDE",TEXT(INDEX(MO_SNA_FPStartDate,0,COLUMN()),"YYYYMMDD"),"END_DATE_OVERRIDE",TEXT(INDEX(MO_Common_QEndDate,0,COLUMN()),"YYYYMMDD")),"N/A"),"N/A")</f>
        <v/>
      </c>
      <c r="AI467" s="262">
        <f>IFERROR(IFERROR(_xll.BDP(MO.Ticker.Bloomberg&amp;" Equity","INTERVAL_AVG","MARKET_DATA_OVERRIDE=PX_LAST","START_DATE_OVERRIDE",TEXT(INDEX(MO_SNA_FPStartDate,0,COLUMN()),"YYYYMMDD"),"END_DATE_OVERRIDE",TEXT(INDEX(MO_Common_QEndDate,0,COLUMN()),"YYYYMMDD")),"N/A"),"N/A")</f>
        <v/>
      </c>
      <c r="AJ467" s="262">
        <f>IFERROR(IFERROR(_xll.BDP(MO.Ticker.Bloomberg&amp;" Equity","INTERVAL_AVG","MARKET_DATA_OVERRIDE=PX_LAST","START_DATE_OVERRIDE",TEXT(INDEX(MO_SNA_FPStartDate,0,COLUMN()),"YYYYMMDD"),"END_DATE_OVERRIDE",TEXT(INDEX(MO_Common_QEndDate,0,COLUMN()),"YYYYMMDD")),"N/A"),"N/A")</f>
        <v/>
      </c>
      <c r="AK467" s="262">
        <f>IFERROR(IFERROR(_xll.BDP(MO.Ticker.Bloomberg&amp;" Equity","INTERVAL_AVG","MARKET_DATA_OVERRIDE=PX_LAST","START_DATE_OVERRIDE",TEXT(INDEX(MO_SNA_FPStartDate,0,COLUMN()),"YYYYMMDD"),"END_DATE_OVERRIDE",TEXT(INDEX(MO_Common_QEndDate,0,COLUMN()),"YYYYMMDD")),"N/A"),"N/A")</f>
        <v/>
      </c>
      <c r="AL467" s="531">
        <f>IFERROR(IFERROR(_xll.BDP(MO.Ticker.Bloomberg&amp;" Equity","INTERVAL_AVG","MARKET_DATA_OVERRIDE=PX_LAST","START_DATE_OVERRIDE",TEXT(INDEX(MO_SNA_FPStartDate,0,COLUMN()),"YYYYMMDD"),"END_DATE_OVERRIDE",TEXT(INDEX(MO_Common_QEndDate,0,COLUMN()),"YYYYMMDD")),"N/A"),"N/A")</f>
        <v/>
      </c>
      <c r="AM467" s="262">
        <f>IFERROR(IFERROR(_xll.BDP(MO.Ticker.Bloomberg&amp;" Equity","INTERVAL_AVG","MARKET_DATA_OVERRIDE=PX_LAST","START_DATE_OVERRIDE",TEXT(INDEX(MO_SNA_FPStartDate,0,COLUMN()),"YYYYMMDD"),"END_DATE_OVERRIDE",TEXT(INDEX(MO_Common_QEndDate,0,COLUMN()),"YYYYMMDD")),"N/A"),"N/A")</f>
        <v/>
      </c>
      <c r="AN467" s="262">
        <f>IFERROR(IFERROR(_xll.BDP(MO.Ticker.Bloomberg&amp;" Equity","INTERVAL_AVG","MARKET_DATA_OVERRIDE=PX_LAST","START_DATE_OVERRIDE",TEXT(INDEX(MO_SNA_FPStartDate,0,COLUMN()),"YYYYMMDD"),"END_DATE_OVERRIDE",TEXT(INDEX(MO_Common_QEndDate,0,COLUMN()),"YYYYMMDD")),"N/A"),"N/A")</f>
        <v/>
      </c>
      <c r="AO467" s="262">
        <f>IFERROR(IFERROR(_xll.BDP(MO.Ticker.Bloomberg&amp;" Equity","INTERVAL_AVG","MARKET_DATA_OVERRIDE=PX_LAST","START_DATE_OVERRIDE",TEXT(INDEX(MO_SNA_FPStartDate,0,COLUMN()),"YYYYMMDD"),"END_DATE_OVERRIDE",TEXT(INDEX(MO_Common_QEndDate,0,COLUMN()),"YYYYMMDD")),"N/A"),"N/A")</f>
        <v/>
      </c>
      <c r="AP467" s="262">
        <f>IFERROR(IFERROR(_xll.BDP(MO.Ticker.Bloomberg&amp;" Equity","INTERVAL_AVG","MARKET_DATA_OVERRIDE=PX_LAST","START_DATE_OVERRIDE",TEXT(INDEX(MO_SNA_FPStartDate,0,COLUMN()),"YYYYMMDD"),"END_DATE_OVERRIDE",TEXT(INDEX(MO_Common_QEndDate,0,COLUMN()),"YYYYMMDD")),"N/A"),"N/A")</f>
        <v/>
      </c>
      <c r="AQ467" s="262">
        <f>IFERROR(IFERROR(_xll.BDP(MO.Ticker.Bloomberg&amp;" Equity","INTERVAL_AVG","MARKET_DATA_OVERRIDE=PX_LAST","START_DATE_OVERRIDE",TEXT(INDEX(MO_SNA_FPStartDate,0,COLUMN()),"YYYYMMDD"),"END_DATE_OVERRIDE",TEXT(INDEX(MO_Common_QEndDate,0,COLUMN()),"YYYYMMDD")),"N/A"),"N/A")</f>
        <v/>
      </c>
      <c r="AR467" s="262">
        <f>IFERROR(IFERROR(_xll.BDP(MO.Ticker.Bloomberg&amp;" Equity","INTERVAL_AVG","MARKET_DATA_OVERRIDE=PX_LAST","START_DATE_OVERRIDE",TEXT(INDEX(MO_SNA_FPStartDate,0,COLUMN()),"YYYYMMDD"),"END_DATE_OVERRIDE",TEXT(INDEX(MO_Common_QEndDate,0,COLUMN()),"YYYYMMDD")),"N/A"),"N/A")</f>
        <v/>
      </c>
      <c r="AS467" s="262">
        <f>IFERROR(IFERROR(_xll.BDP(MO.Ticker.Bloomberg&amp;" Equity","INTERVAL_AVG","MARKET_DATA_OVERRIDE=PX_LAST","START_DATE_OVERRIDE",TEXT(INDEX(MO_SNA_FPStartDate,0,COLUMN()),"YYYYMMDD"),"END_DATE_OVERRIDE",TEXT(INDEX(MO_Common_QEndDate,0,COLUMN()),"YYYYMMDD")),"N/A"),"N/A")</f>
        <v/>
      </c>
      <c r="AT467" s="262">
        <f>IFERROR(IFERROR(_xll.BDP(MO.Ticker.Bloomberg&amp;" Equity","INTERVAL_AVG","MARKET_DATA_OVERRIDE=PX_LAST","START_DATE_OVERRIDE",TEXT(INDEX(MO_SNA_FPStartDate,0,COLUMN()),"YYYYMMDD"),"END_DATE_OVERRIDE",TEXT(INDEX(MO_Common_QEndDate,0,COLUMN()),"YYYYMMDD")),"N/A"),"N/A")</f>
        <v/>
      </c>
      <c r="AU467" s="262">
        <f>IFERROR(IFERROR(_xll.BDP(MO.Ticker.Bloomberg&amp;" Equity","INTERVAL_AVG","MARKET_DATA_OVERRIDE=PX_LAST","START_DATE_OVERRIDE",TEXT(INDEX(MO_SNA_FPStartDate,0,COLUMN()),"YYYYMMDD"),"END_DATE_OVERRIDE",TEXT(INDEX(MO_Common_QEndDate,0,COLUMN()),"YYYYMMDD")),"N/A"),"N/A")</f>
        <v/>
      </c>
      <c r="AV467" s="262">
        <f>IFERROR(IFERROR(_xll.BDP(MO.Ticker.Bloomberg&amp;" Equity","INTERVAL_AVG","MARKET_DATA_OVERRIDE=PX_LAST","START_DATE_OVERRIDE",TEXT(INDEX(MO_SNA_FPStartDate,0,COLUMN()),"YYYYMMDD"),"END_DATE_OVERRIDE",TEXT(INDEX(MO_Common_QEndDate,0,COLUMN()),"YYYYMMDD")),"N/A"),"N/A")</f>
        <v/>
      </c>
      <c r="AW467" s="263">
        <f>IFERROR(IFERROR(_xll.BDP(MO.Ticker.Bloomberg&amp;" Equity","INTERVAL_AVG","MARKET_DATA_OVERRIDE=PX_LAST","START_DATE_OVERRIDE",TEXT(INDEX(MO_SNA_FPStartDate,0,COLUMN()),"YYYYMMDD"),"END_DATE_OVERRIDE",TEXT(INDEX(MO_Common_QEndDate,0,COLUMN()),"YYYYMMDD")),"N/A"),"N/A")</f>
        <v/>
      </c>
      <c r="AX467" s="232" t="n"/>
    </row>
    <row r="468" hidden="1" outlineLevel="1" customFormat="1" s="226">
      <c r="A468" s="532" t="inlineStr">
        <is>
          <t>Capital IQ</t>
        </is>
      </c>
      <c r="B468" s="262" t="n"/>
      <c r="C468" s="530">
        <f>IFERROR(IFERROR(_xll.CIQHI(MO.Ticker.CapIQ,"IQ_LASTSALEPRICE",INDEX(MO_SNA_FPStartDate,0,COLUMN()),INDEX(MO_Common_QEndDate,0,COLUMN())),"N/A"),"N/A")</f>
        <v/>
      </c>
      <c r="D468" s="530">
        <f>IFERROR(IFERROR(_xll.CIQHI(MO.Ticker.CapIQ,"IQ_LASTSALEPRICE",INDEX(MO_SNA_FPStartDate,0,COLUMN()),INDEX(MO_Common_QEndDate,0,COLUMN())),"N/A"),"N/A")</f>
        <v/>
      </c>
      <c r="E468" s="530">
        <f>IFERROR(IFERROR(_xll.CIQHI(MO.Ticker.CapIQ,"IQ_LASTSALEPRICE",INDEX(MO_SNA_FPStartDate,0,COLUMN()),INDEX(MO_Common_QEndDate,0,COLUMN())),"N/A"),"N/A")</f>
        <v/>
      </c>
      <c r="F468" s="530">
        <f>IFERROR(IFERROR(_xll.CIQHI(MO.Ticker.CapIQ,"IQ_LASTSALEPRICE",INDEX(MO_SNA_FPStartDate,0,COLUMN()),INDEX(MO_Common_QEndDate,0,COLUMN())),"N/A"),"N/A")</f>
        <v/>
      </c>
      <c r="G468" s="530">
        <f>IFERROR(IFERROR(_xll.CIQHI(MO.Ticker.CapIQ,"IQ_LASTSALEPRICE",INDEX(MO_SNA_FPStartDate,0,COLUMN()),INDEX(MO_Common_QEndDate,0,COLUMN())),"N/A"),"N/A")</f>
        <v/>
      </c>
      <c r="H468" s="262">
        <f>IFERROR(IFERROR(_xll.CIQHI(MO.Ticker.CapIQ,"IQ_LASTSALEPRICE",INDEX(MO_SNA_FPStartDate,0,COLUMN()),INDEX(MO_Common_QEndDate,0,COLUMN())),"N/A"),"N/A")</f>
        <v/>
      </c>
      <c r="I468" s="262">
        <f>IFERROR(IFERROR(_xll.CIQHI(MO.Ticker.CapIQ,"IQ_LASTSALEPRICE",INDEX(MO_SNA_FPStartDate,0,COLUMN()),INDEX(MO_Common_QEndDate,0,COLUMN())),"N/A"),"N/A")</f>
        <v/>
      </c>
      <c r="J468" s="262">
        <f>IFERROR(IFERROR(_xll.CIQHI(MO.Ticker.CapIQ,"IQ_LASTSALEPRICE",INDEX(MO_SNA_FPStartDate,0,COLUMN()),INDEX(MO_Common_QEndDate,0,COLUMN())),"N/A"),"N/A")</f>
        <v/>
      </c>
      <c r="K468" s="262">
        <f>IFERROR(IFERROR(_xll.CIQHI(MO.Ticker.CapIQ,"IQ_LASTSALEPRICE",INDEX(MO_SNA_FPStartDate,0,COLUMN()),INDEX(MO_Common_QEndDate,0,COLUMN())),"N/A"),"N/A")</f>
        <v/>
      </c>
      <c r="L468" s="262">
        <f>IFERROR(IFERROR(_xll.CIQHI(MO.Ticker.CapIQ,"IQ_LASTSALEPRICE",INDEX(MO_SNA_FPStartDate,0,COLUMN()),INDEX(MO_Common_QEndDate,0,COLUMN())),"N/A"),"N/A")</f>
        <v/>
      </c>
      <c r="M468" s="262">
        <f>IFERROR(IFERROR(_xll.CIQHI(MO.Ticker.CapIQ,"IQ_LASTSALEPRICE",INDEX(MO_SNA_FPStartDate,0,COLUMN()),INDEX(MO_Common_QEndDate,0,COLUMN())),"N/A"),"N/A")</f>
        <v/>
      </c>
      <c r="N468" s="262">
        <f>IFERROR(IFERROR(_xll.CIQHI(MO.Ticker.CapIQ,"IQ_LASTSALEPRICE",INDEX(MO_SNA_FPStartDate,0,COLUMN()),INDEX(MO_Common_QEndDate,0,COLUMN())),"N/A"),"N/A")</f>
        <v/>
      </c>
      <c r="O468" s="262">
        <f>IFERROR(IFERROR(_xll.CIQHI(MO.Ticker.CapIQ,"IQ_LASTSALEPRICE",INDEX(MO_SNA_FPStartDate,0,COLUMN()),INDEX(MO_Common_QEndDate,0,COLUMN())),"N/A"),"N/A")</f>
        <v/>
      </c>
      <c r="P468" s="262">
        <f>IFERROR(IFERROR(_xll.CIQHI(MO.Ticker.CapIQ,"IQ_LASTSALEPRICE",INDEX(MO_SNA_FPStartDate,0,COLUMN()),INDEX(MO_Common_QEndDate,0,COLUMN())),"N/A"),"N/A")</f>
        <v/>
      </c>
      <c r="Q468" s="262">
        <f>IFERROR(IFERROR(_xll.CIQHI(MO.Ticker.CapIQ,"IQ_LASTSALEPRICE",INDEX(MO_SNA_FPStartDate,0,COLUMN()),INDEX(MO_Common_QEndDate,0,COLUMN())),"N/A"),"N/A")</f>
        <v/>
      </c>
      <c r="R468" s="262">
        <f>IFERROR(IFERROR(_xll.CIQHI(MO.Ticker.CapIQ,"IQ_LASTSALEPRICE",INDEX(MO_SNA_FPStartDate,0,COLUMN()),INDEX(MO_Common_QEndDate,0,COLUMN())),"N/A"),"N/A")</f>
        <v/>
      </c>
      <c r="S468" s="262">
        <f>IFERROR(IFERROR(_xll.CIQHI(MO.Ticker.CapIQ,"IQ_LASTSALEPRICE",INDEX(MO_SNA_FPStartDate,0,COLUMN()),INDEX(MO_Common_QEndDate,0,COLUMN())),"N/A"),"N/A")</f>
        <v/>
      </c>
      <c r="T468" s="262">
        <f>IFERROR(IFERROR(_xll.CIQHI(MO.Ticker.CapIQ,"IQ_LASTSALEPRICE",INDEX(MO_SNA_FPStartDate,0,COLUMN()),INDEX(MO_Common_QEndDate,0,COLUMN())),"N/A"),"N/A")</f>
        <v/>
      </c>
      <c r="U468" s="262">
        <f>IFERROR(IFERROR(_xll.CIQHI(MO.Ticker.CapIQ,"IQ_LASTSALEPRICE",INDEX(MO_SNA_FPStartDate,0,COLUMN()),INDEX(MO_Common_QEndDate,0,COLUMN())),"N/A"),"N/A")</f>
        <v/>
      </c>
      <c r="V468" s="262">
        <f>IFERROR(IFERROR(_xll.CIQHI(MO.Ticker.CapIQ,"IQ_LASTSALEPRICE",INDEX(MO_SNA_FPStartDate,0,COLUMN()),INDEX(MO_Common_QEndDate,0,COLUMN())),"N/A"),"N/A")</f>
        <v/>
      </c>
      <c r="W468" s="262">
        <f>IFERROR(IFERROR(_xll.CIQHI(MO.Ticker.CapIQ,"IQ_LASTSALEPRICE",INDEX(MO_SNA_FPStartDate,0,COLUMN()),INDEX(MO_Common_QEndDate,0,COLUMN())),"N/A"),"N/A")</f>
        <v/>
      </c>
      <c r="X468" s="262">
        <f>IFERROR(IFERROR(_xll.CIQHI(MO.Ticker.CapIQ,"IQ_LASTSALEPRICE",INDEX(MO_SNA_FPStartDate,0,COLUMN()),INDEX(MO_Common_QEndDate,0,COLUMN())),"N/A"),"N/A")</f>
        <v/>
      </c>
      <c r="Y468" s="262">
        <f>IFERROR(IFERROR(_xll.CIQHI(MO.Ticker.CapIQ,"IQ_LASTSALEPRICE",INDEX(MO_SNA_FPStartDate,0,COLUMN()),INDEX(MO_Common_QEndDate,0,COLUMN())),"N/A"),"N/A")</f>
        <v/>
      </c>
      <c r="Z468" s="262">
        <f>IFERROR(IFERROR(_xll.CIQHI(MO.Ticker.CapIQ,"IQ_LASTSALEPRICE",INDEX(MO_SNA_FPStartDate,0,COLUMN()),INDEX(MO_Common_QEndDate,0,COLUMN())),"N/A"),"N/A")</f>
        <v/>
      </c>
      <c r="AA468" s="262">
        <f>IFERROR(IFERROR(_xll.CIQHI(MO.Ticker.CapIQ,"IQ_LASTSALEPRICE",INDEX(MO_SNA_FPStartDate,0,COLUMN()),INDEX(MO_Common_QEndDate,0,COLUMN())),"N/A"),"N/A")</f>
        <v/>
      </c>
      <c r="AB468" s="262">
        <f>IFERROR(IFERROR(_xll.CIQHI(MO.Ticker.CapIQ,"IQ_LASTSALEPRICE",INDEX(MO_SNA_FPStartDate,0,COLUMN()),INDEX(MO_Common_QEndDate,0,COLUMN())),"N/A"),"N/A")</f>
        <v/>
      </c>
      <c r="AC468" s="262">
        <f>IFERROR(IFERROR(_xll.CIQHI(MO.Ticker.CapIQ,"IQ_LASTSALEPRICE",INDEX(MO_SNA_FPStartDate,0,COLUMN()),INDEX(MO_Common_QEndDate,0,COLUMN())),"N/A"),"N/A")</f>
        <v/>
      </c>
      <c r="AD468" s="262">
        <f>IFERROR(IFERROR(_xll.CIQHI(MO.Ticker.CapIQ,"IQ_LASTSALEPRICE",INDEX(MO_SNA_FPStartDate,0,COLUMN()),INDEX(MO_Common_QEndDate,0,COLUMN())),"N/A"),"N/A")</f>
        <v/>
      </c>
      <c r="AE468" s="262">
        <f>IFERROR(IFERROR(_xll.CIQHI(MO.Ticker.CapIQ,"IQ_LASTSALEPRICE",INDEX(MO_SNA_FPStartDate,0,COLUMN()),INDEX(MO_Common_QEndDate,0,COLUMN())),"N/A"),"N/A")</f>
        <v/>
      </c>
      <c r="AF468" s="262">
        <f>IFERROR(IFERROR(_xll.CIQHI(MO.Ticker.CapIQ,"IQ_LASTSALEPRICE",INDEX(MO_SNA_FPStartDate,0,COLUMN()),INDEX(MO_Common_QEndDate,0,COLUMN())),"N/A"),"N/A")</f>
        <v/>
      </c>
      <c r="AG468" s="262">
        <f>IFERROR(IFERROR(_xll.CIQHI(MO.Ticker.CapIQ,"IQ_LASTSALEPRICE",INDEX(MO_SNA_FPStartDate,0,COLUMN()),INDEX(MO_Common_QEndDate,0,COLUMN())),"N/A"),"N/A")</f>
        <v/>
      </c>
      <c r="AH468" s="262">
        <f>IFERROR(IFERROR(_xll.CIQHI(MO.Ticker.CapIQ,"IQ_LASTSALEPRICE",INDEX(MO_SNA_FPStartDate,0,COLUMN()),INDEX(MO_Common_QEndDate,0,COLUMN())),"N/A"),"N/A")</f>
        <v/>
      </c>
      <c r="AI468" s="262">
        <f>IFERROR(IFERROR(_xll.CIQHI(MO.Ticker.CapIQ,"IQ_LASTSALEPRICE",INDEX(MO_SNA_FPStartDate,0,COLUMN()),INDEX(MO_Common_QEndDate,0,COLUMN())),"N/A"),"N/A")</f>
        <v/>
      </c>
      <c r="AJ468" s="262">
        <f>IFERROR(IFERROR(_xll.CIQHI(MO.Ticker.CapIQ,"IQ_LASTSALEPRICE",INDEX(MO_SNA_FPStartDate,0,COLUMN()),INDEX(MO_Common_QEndDate,0,COLUMN())),"N/A"),"N/A")</f>
        <v/>
      </c>
      <c r="AK468" s="262">
        <f>IFERROR(IFERROR(_xll.CIQHI(MO.Ticker.CapIQ,"IQ_LASTSALEPRICE",INDEX(MO_SNA_FPStartDate,0,COLUMN()),INDEX(MO_Common_QEndDate,0,COLUMN())),"N/A"),"N/A")</f>
        <v/>
      </c>
      <c r="AL468" s="531">
        <f>IFERROR(IFERROR(_xll.CIQHI(MO.Ticker.CapIQ,"IQ_LASTSALEPRICE",INDEX(MO_SNA_FPStartDate,0,COLUMN()),INDEX(MO_Common_QEndDate,0,COLUMN())),"N/A"),"N/A")</f>
        <v/>
      </c>
      <c r="AM468" s="262">
        <f>IFERROR(IFERROR(_xll.CIQHI(MO.Ticker.CapIQ,"IQ_LASTSALEPRICE",INDEX(MO_SNA_FPStartDate,0,COLUMN()),INDEX(MO_Common_QEndDate,0,COLUMN())),"N/A"),"N/A")</f>
        <v/>
      </c>
      <c r="AN468" s="262">
        <f>IFERROR(IFERROR(_xll.CIQHI(MO.Ticker.CapIQ,"IQ_LASTSALEPRICE",INDEX(MO_SNA_FPStartDate,0,COLUMN()),INDEX(MO_Common_QEndDate,0,COLUMN())),"N/A"),"N/A")</f>
        <v/>
      </c>
      <c r="AO468" s="262">
        <f>IFERROR(IFERROR(_xll.CIQHI(MO.Ticker.CapIQ,"IQ_LASTSALEPRICE",INDEX(MO_SNA_FPStartDate,0,COLUMN()),INDEX(MO_Common_QEndDate,0,COLUMN())),"N/A"),"N/A")</f>
        <v/>
      </c>
      <c r="AP468" s="262">
        <f>IFERROR(IFERROR(_xll.CIQHI(MO.Ticker.CapIQ,"IQ_LASTSALEPRICE",INDEX(MO_SNA_FPStartDate,0,COLUMN()),INDEX(MO_Common_QEndDate,0,COLUMN())),"N/A"),"N/A")</f>
        <v/>
      </c>
      <c r="AQ468" s="262">
        <f>IFERROR(IFERROR(_xll.CIQHI(MO.Ticker.CapIQ,"IQ_LASTSALEPRICE",INDEX(MO_SNA_FPStartDate,0,COLUMN()),INDEX(MO_Common_QEndDate,0,COLUMN())),"N/A"),"N/A")</f>
        <v/>
      </c>
      <c r="AR468" s="262">
        <f>IFERROR(IFERROR(_xll.CIQHI(MO.Ticker.CapIQ,"IQ_LASTSALEPRICE",INDEX(MO_SNA_FPStartDate,0,COLUMN()),INDEX(MO_Common_QEndDate,0,COLUMN())),"N/A"),"N/A")</f>
        <v/>
      </c>
      <c r="AS468" s="262">
        <f>IFERROR(IFERROR(_xll.CIQHI(MO.Ticker.CapIQ,"IQ_LASTSALEPRICE",INDEX(MO_SNA_FPStartDate,0,COLUMN()),INDEX(MO_Common_QEndDate,0,COLUMN())),"N/A"),"N/A")</f>
        <v/>
      </c>
      <c r="AT468" s="262">
        <f>IFERROR(IFERROR(_xll.CIQHI(MO.Ticker.CapIQ,"IQ_LASTSALEPRICE",INDEX(MO_SNA_FPStartDate,0,COLUMN()),INDEX(MO_Common_QEndDate,0,COLUMN())),"N/A"),"N/A")</f>
        <v/>
      </c>
      <c r="AU468" s="262">
        <f>IFERROR(IFERROR(_xll.CIQHI(MO.Ticker.CapIQ,"IQ_LASTSALEPRICE",INDEX(MO_SNA_FPStartDate,0,COLUMN()),INDEX(MO_Common_QEndDate,0,COLUMN())),"N/A"),"N/A")</f>
        <v/>
      </c>
      <c r="AV468" s="262">
        <f>IFERROR(IFERROR(_xll.CIQHI(MO.Ticker.CapIQ,"IQ_LASTSALEPRICE",INDEX(MO_SNA_FPStartDate,0,COLUMN()),INDEX(MO_Common_QEndDate,0,COLUMN())),"N/A"),"N/A")</f>
        <v/>
      </c>
      <c r="AW468" s="263">
        <f>IFERROR(IFERROR(_xll.CIQHI(MO.Ticker.CapIQ,"IQ_LASTSALEPRICE",INDEX(MO_SNA_FPStartDate,0,COLUMN()),INDEX(MO_Common_QEndDate,0,COLUMN())),"N/A"),"N/A")</f>
        <v/>
      </c>
      <c r="AX468" s="232" t="n"/>
    </row>
    <row r="469" hidden="1" outlineLevel="1" customFormat="1" s="226">
      <c r="A469" s="532" t="inlineStr">
        <is>
          <t>FactSet</t>
        </is>
      </c>
      <c r="B469" s="262" t="n"/>
      <c r="C469" s="530">
        <f>IFERROR(IFERROR(_xll.FDS(MO.Ticker.FactSet,"P_PRICE_AVG"&amp;"("&amp;INDEX(MO_SNA_FPStartDate,0,COLUMN())&amp;","&amp;INDEX(MO_Common_QEndDate,0,COLUMN())&amp;",,,,""PRICE"",""CLOSE"")"),"N/A"),"N/A")</f>
        <v/>
      </c>
      <c r="D469" s="530">
        <f>IFERROR(IFERROR(_xll.FDS(MO.Ticker.FactSet,"P_PRICE_AVG"&amp;"("&amp;INDEX(MO_SNA_FPStartDate,0,COLUMN())&amp;","&amp;INDEX(MO_Common_QEndDate,0,COLUMN())&amp;",,,,""PRICE"",""CLOSE"")"),"N/A"),"N/A")</f>
        <v/>
      </c>
      <c r="E469" s="530">
        <f>IFERROR(IFERROR(_xll.FDS(MO.Ticker.FactSet,"P_PRICE_AVG"&amp;"("&amp;INDEX(MO_SNA_FPStartDate,0,COLUMN())&amp;","&amp;INDEX(MO_Common_QEndDate,0,COLUMN())&amp;",,,,""PRICE"",""CLOSE"")"),"N/A"),"N/A")</f>
        <v/>
      </c>
      <c r="F469" s="530">
        <f>IFERROR(IFERROR(_xll.FDS(MO.Ticker.FactSet,"P_PRICE_AVG"&amp;"("&amp;INDEX(MO_SNA_FPStartDate,0,COLUMN())&amp;","&amp;INDEX(MO_Common_QEndDate,0,COLUMN())&amp;",,,,""PRICE"",""CLOSE"")"),"N/A"),"N/A")</f>
        <v/>
      </c>
      <c r="G469" s="530">
        <f>IFERROR(IFERROR(_xll.FDS(MO.Ticker.FactSet,"P_PRICE_AVG"&amp;"("&amp;INDEX(MO_SNA_FPStartDate,0,COLUMN())&amp;","&amp;INDEX(MO_Common_QEndDate,0,COLUMN())&amp;",,,,""PRICE"",""CLOSE"")"),"N/A"),"N/A")</f>
        <v/>
      </c>
      <c r="H469" s="262">
        <f>IFERROR(IFERROR(_xll.FDS(MO.Ticker.FactSet,"P_PRICE_AVG"&amp;"("&amp;INDEX(MO_SNA_FPStartDate,0,COLUMN())&amp;","&amp;INDEX(MO_Common_QEndDate,0,COLUMN())&amp;",,,,""PRICE"",""CLOSE"")"),"N/A"),"N/A")</f>
        <v/>
      </c>
      <c r="I469" s="262">
        <f>IFERROR(IFERROR(_xll.FDS(MO.Ticker.FactSet,"P_PRICE_AVG"&amp;"("&amp;INDEX(MO_SNA_FPStartDate,0,COLUMN())&amp;","&amp;INDEX(MO_Common_QEndDate,0,COLUMN())&amp;",,,,""PRICE"",""CLOSE"")"),"N/A"),"N/A")</f>
        <v/>
      </c>
      <c r="J469" s="262">
        <f>IFERROR(IFERROR(_xll.FDS(MO.Ticker.FactSet,"P_PRICE_AVG"&amp;"("&amp;INDEX(MO_SNA_FPStartDate,0,COLUMN())&amp;","&amp;INDEX(MO_Common_QEndDate,0,COLUMN())&amp;",,,,""PRICE"",""CLOSE"")"),"N/A"),"N/A")</f>
        <v/>
      </c>
      <c r="K469" s="262">
        <f>IFERROR(IFERROR(_xll.FDS(MO.Ticker.FactSet,"P_PRICE_AVG"&amp;"("&amp;INDEX(MO_SNA_FPStartDate,0,COLUMN())&amp;","&amp;INDEX(MO_Common_QEndDate,0,COLUMN())&amp;",,,,""PRICE"",""CLOSE"")"),"N/A"),"N/A")</f>
        <v/>
      </c>
      <c r="L469" s="262">
        <f>IFERROR(IFERROR(_xll.FDS(MO.Ticker.FactSet,"P_PRICE_AVG"&amp;"("&amp;INDEX(MO_SNA_FPStartDate,0,COLUMN())&amp;","&amp;INDEX(MO_Common_QEndDate,0,COLUMN())&amp;",,,,""PRICE"",""CLOSE"")"),"N/A"),"N/A")</f>
        <v/>
      </c>
      <c r="M469" s="262">
        <f>IFERROR(IFERROR(_xll.FDS(MO.Ticker.FactSet,"P_PRICE_AVG"&amp;"("&amp;INDEX(MO_SNA_FPStartDate,0,COLUMN())&amp;","&amp;INDEX(MO_Common_QEndDate,0,COLUMN())&amp;",,,,""PRICE"",""CLOSE"")"),"N/A"),"N/A")</f>
        <v/>
      </c>
      <c r="N469" s="262">
        <f>IFERROR(IFERROR(_xll.FDS(MO.Ticker.FactSet,"P_PRICE_AVG"&amp;"("&amp;INDEX(MO_SNA_FPStartDate,0,COLUMN())&amp;","&amp;INDEX(MO_Common_QEndDate,0,COLUMN())&amp;",,,,""PRICE"",""CLOSE"")"),"N/A"),"N/A")</f>
        <v/>
      </c>
      <c r="O469" s="262">
        <f>IFERROR(IFERROR(_xll.FDS(MO.Ticker.FactSet,"P_PRICE_AVG"&amp;"("&amp;INDEX(MO_SNA_FPStartDate,0,COLUMN())&amp;","&amp;INDEX(MO_Common_QEndDate,0,COLUMN())&amp;",,,,""PRICE"",""CLOSE"")"),"N/A"),"N/A")</f>
        <v/>
      </c>
      <c r="P469" s="262">
        <f>IFERROR(IFERROR(_xll.FDS(MO.Ticker.FactSet,"P_PRICE_AVG"&amp;"("&amp;INDEX(MO_SNA_FPStartDate,0,COLUMN())&amp;","&amp;INDEX(MO_Common_QEndDate,0,COLUMN())&amp;",,,,""PRICE"",""CLOSE"")"),"N/A"),"N/A")</f>
        <v/>
      </c>
      <c r="Q469" s="262">
        <f>IFERROR(IFERROR(_xll.FDS(MO.Ticker.FactSet,"P_PRICE_AVG"&amp;"("&amp;INDEX(MO_SNA_FPStartDate,0,COLUMN())&amp;","&amp;INDEX(MO_Common_QEndDate,0,COLUMN())&amp;",,,,""PRICE"",""CLOSE"")"),"N/A"),"N/A")</f>
        <v/>
      </c>
      <c r="R469" s="262">
        <f>IFERROR(IFERROR(_xll.FDS(MO.Ticker.FactSet,"P_PRICE_AVG"&amp;"("&amp;INDEX(MO_SNA_FPStartDate,0,COLUMN())&amp;","&amp;INDEX(MO_Common_QEndDate,0,COLUMN())&amp;",,,,""PRICE"",""CLOSE"")"),"N/A"),"N/A")</f>
        <v/>
      </c>
      <c r="S469" s="262">
        <f>IFERROR(IFERROR(_xll.FDS(MO.Ticker.FactSet,"P_PRICE_AVG"&amp;"("&amp;INDEX(MO_SNA_FPStartDate,0,COLUMN())&amp;","&amp;INDEX(MO_Common_QEndDate,0,COLUMN())&amp;",,,,""PRICE"",""CLOSE"")"),"N/A"),"N/A")</f>
        <v/>
      </c>
      <c r="T469" s="262">
        <f>IFERROR(IFERROR(_xll.FDS(MO.Ticker.FactSet,"P_PRICE_AVG"&amp;"("&amp;INDEX(MO_SNA_FPStartDate,0,COLUMN())&amp;","&amp;INDEX(MO_Common_QEndDate,0,COLUMN())&amp;",,,,""PRICE"",""CLOSE"")"),"N/A"),"N/A")</f>
        <v/>
      </c>
      <c r="U469" s="262">
        <f>IFERROR(IFERROR(_xll.FDS(MO.Ticker.FactSet,"P_PRICE_AVG"&amp;"("&amp;INDEX(MO_SNA_FPStartDate,0,COLUMN())&amp;","&amp;INDEX(MO_Common_QEndDate,0,COLUMN())&amp;",,,,""PRICE"",""CLOSE"")"),"N/A"),"N/A")</f>
        <v/>
      </c>
      <c r="V469" s="262">
        <f>IFERROR(IFERROR(_xll.FDS(MO.Ticker.FactSet,"P_PRICE_AVG"&amp;"("&amp;INDEX(MO_SNA_FPStartDate,0,COLUMN())&amp;","&amp;INDEX(MO_Common_QEndDate,0,COLUMN())&amp;",,,,""PRICE"",""CLOSE"")"),"N/A"),"N/A")</f>
        <v/>
      </c>
      <c r="W469" s="262">
        <f>IFERROR(IFERROR(_xll.FDS(MO.Ticker.FactSet,"P_PRICE_AVG"&amp;"("&amp;INDEX(MO_SNA_FPStartDate,0,COLUMN())&amp;","&amp;INDEX(MO_Common_QEndDate,0,COLUMN())&amp;",,,,""PRICE"",""CLOSE"")"),"N/A"),"N/A")</f>
        <v/>
      </c>
      <c r="X469" s="262">
        <f>IFERROR(IFERROR(_xll.FDS(MO.Ticker.FactSet,"P_PRICE_AVG"&amp;"("&amp;INDEX(MO_SNA_FPStartDate,0,COLUMN())&amp;","&amp;INDEX(MO_Common_QEndDate,0,COLUMN())&amp;",,,,""PRICE"",""CLOSE"")"),"N/A"),"N/A")</f>
        <v/>
      </c>
      <c r="Y469" s="262">
        <f>IFERROR(IFERROR(_xll.FDS(MO.Ticker.FactSet,"P_PRICE_AVG"&amp;"("&amp;INDEX(MO_SNA_FPStartDate,0,COLUMN())&amp;","&amp;INDEX(MO_Common_QEndDate,0,COLUMN())&amp;",,,,""PRICE"",""CLOSE"")"),"N/A"),"N/A")</f>
        <v/>
      </c>
      <c r="Z469" s="262">
        <f>IFERROR(IFERROR(_xll.FDS(MO.Ticker.FactSet,"P_PRICE_AVG"&amp;"("&amp;INDEX(MO_SNA_FPStartDate,0,COLUMN())&amp;","&amp;INDEX(MO_Common_QEndDate,0,COLUMN())&amp;",,,,""PRICE"",""CLOSE"")"),"N/A"),"N/A")</f>
        <v/>
      </c>
      <c r="AA469" s="262">
        <f>IFERROR(IFERROR(_xll.FDS(MO.Ticker.FactSet,"P_PRICE_AVG"&amp;"("&amp;INDEX(MO_SNA_FPStartDate,0,COLUMN())&amp;","&amp;INDEX(MO_Common_QEndDate,0,COLUMN())&amp;",,,,""PRICE"",""CLOSE"")"),"N/A"),"N/A")</f>
        <v/>
      </c>
      <c r="AB469" s="262">
        <f>IFERROR(IFERROR(_xll.FDS(MO.Ticker.FactSet,"P_PRICE_AVG"&amp;"("&amp;INDEX(MO_SNA_FPStartDate,0,COLUMN())&amp;","&amp;INDEX(MO_Common_QEndDate,0,COLUMN())&amp;",,,,""PRICE"",""CLOSE"")"),"N/A"),"N/A")</f>
        <v/>
      </c>
      <c r="AC469" s="262">
        <f>IFERROR(IFERROR(_xll.FDS(MO.Ticker.FactSet,"P_PRICE_AVG"&amp;"("&amp;INDEX(MO_SNA_FPStartDate,0,COLUMN())&amp;","&amp;INDEX(MO_Common_QEndDate,0,COLUMN())&amp;",,,,""PRICE"",""CLOSE"")"),"N/A"),"N/A")</f>
        <v/>
      </c>
      <c r="AD469" s="262">
        <f>IFERROR(IFERROR(_xll.FDS(MO.Ticker.FactSet,"P_PRICE_AVG"&amp;"("&amp;INDEX(MO_SNA_FPStartDate,0,COLUMN())&amp;","&amp;INDEX(MO_Common_QEndDate,0,COLUMN())&amp;",,,,""PRICE"",""CLOSE"")"),"N/A"),"N/A")</f>
        <v/>
      </c>
      <c r="AE469" s="262">
        <f>IFERROR(IFERROR(_xll.FDS(MO.Ticker.FactSet,"P_PRICE_AVG"&amp;"("&amp;INDEX(MO_SNA_FPStartDate,0,COLUMN())&amp;","&amp;INDEX(MO_Common_QEndDate,0,COLUMN())&amp;",,,,""PRICE"",""CLOSE"")"),"N/A"),"N/A")</f>
        <v/>
      </c>
      <c r="AF469" s="262">
        <f>IFERROR(IFERROR(_xll.FDS(MO.Ticker.FactSet,"P_PRICE_AVG"&amp;"("&amp;INDEX(MO_SNA_FPStartDate,0,COLUMN())&amp;","&amp;INDEX(MO_Common_QEndDate,0,COLUMN())&amp;",,,,""PRICE"",""CLOSE"")"),"N/A"),"N/A")</f>
        <v/>
      </c>
      <c r="AG469" s="262">
        <f>IFERROR(IFERROR(_xll.FDS(MO.Ticker.FactSet,"P_PRICE_AVG"&amp;"("&amp;INDEX(MO_SNA_FPStartDate,0,COLUMN())&amp;","&amp;INDEX(MO_Common_QEndDate,0,COLUMN())&amp;",,,,""PRICE"",""CLOSE"")"),"N/A"),"N/A")</f>
        <v/>
      </c>
      <c r="AH469" s="262">
        <f>IFERROR(IFERROR(_xll.FDS(MO.Ticker.FactSet,"P_PRICE_AVG"&amp;"("&amp;INDEX(MO_SNA_FPStartDate,0,COLUMN())&amp;","&amp;INDEX(MO_Common_QEndDate,0,COLUMN())&amp;",,,,""PRICE"",""CLOSE"")"),"N/A"),"N/A")</f>
        <v/>
      </c>
      <c r="AI469" s="262">
        <f>IFERROR(IFERROR(_xll.FDS(MO.Ticker.FactSet,"P_PRICE_AVG"&amp;"("&amp;INDEX(MO_SNA_FPStartDate,0,COLUMN())&amp;","&amp;INDEX(MO_Common_QEndDate,0,COLUMN())&amp;",,,,""PRICE"",""CLOSE"")"),"N/A"),"N/A")</f>
        <v/>
      </c>
      <c r="AJ469" s="262">
        <f>IFERROR(IFERROR(_xll.FDS(MO.Ticker.FactSet,"P_PRICE_AVG"&amp;"("&amp;INDEX(MO_SNA_FPStartDate,0,COLUMN())&amp;","&amp;INDEX(MO_Common_QEndDate,0,COLUMN())&amp;",,,,""PRICE"",""CLOSE"")"),"N/A"),"N/A")</f>
        <v/>
      </c>
      <c r="AK469" s="262">
        <f>IFERROR(IFERROR(_xll.FDS(MO.Ticker.FactSet,"P_PRICE_AVG"&amp;"("&amp;INDEX(MO_SNA_FPStartDate,0,COLUMN())&amp;","&amp;INDEX(MO_Common_QEndDate,0,COLUMN())&amp;",,,,""PRICE"",""CLOSE"")"),"N/A"),"N/A")</f>
        <v/>
      </c>
      <c r="AL469" s="531">
        <f>IFERROR(IFERROR(_xll.FDS(MO.Ticker.FactSet,"P_PRICE_AVG"&amp;"("&amp;INDEX(MO_SNA_FPStartDate,0,COLUMN())&amp;","&amp;INDEX(MO_Common_QEndDate,0,COLUMN())&amp;",,,,""PRICE"",""CLOSE"")"),"N/A"),"N/A")</f>
        <v/>
      </c>
      <c r="AM469" s="262">
        <f>IFERROR(IFERROR(_xll.FDS(MO.Ticker.FactSet,"P_PRICE_AVG"&amp;"("&amp;INDEX(MO_SNA_FPStartDate,0,COLUMN())&amp;","&amp;INDEX(MO_Common_QEndDate,0,COLUMN())&amp;",,,,""PRICE"",""CLOSE"")"),"N/A"),"N/A")</f>
        <v/>
      </c>
      <c r="AN469" s="262">
        <f>IFERROR(IFERROR(_xll.FDS(MO.Ticker.FactSet,"P_PRICE_AVG"&amp;"("&amp;INDEX(MO_SNA_FPStartDate,0,COLUMN())&amp;","&amp;INDEX(MO_Common_QEndDate,0,COLUMN())&amp;",,,,""PRICE"",""CLOSE"")"),"N/A"),"N/A")</f>
        <v/>
      </c>
      <c r="AO469" s="262">
        <f>IFERROR(IFERROR(_xll.FDS(MO.Ticker.FactSet,"P_PRICE_AVG"&amp;"("&amp;INDEX(MO_SNA_FPStartDate,0,COLUMN())&amp;","&amp;INDEX(MO_Common_QEndDate,0,COLUMN())&amp;",,,,""PRICE"",""CLOSE"")"),"N/A"),"N/A")</f>
        <v/>
      </c>
      <c r="AP469" s="262">
        <f>IFERROR(IFERROR(_xll.FDS(MO.Ticker.FactSet,"P_PRICE_AVG"&amp;"("&amp;INDEX(MO_SNA_FPStartDate,0,COLUMN())&amp;","&amp;INDEX(MO_Common_QEndDate,0,COLUMN())&amp;",,,,""PRICE"",""CLOSE"")"),"N/A"),"N/A")</f>
        <v/>
      </c>
      <c r="AQ469" s="262">
        <f>IFERROR(IFERROR(_xll.FDS(MO.Ticker.FactSet,"P_PRICE_AVG"&amp;"("&amp;INDEX(MO_SNA_FPStartDate,0,COLUMN())&amp;","&amp;INDEX(MO_Common_QEndDate,0,COLUMN())&amp;",,,,""PRICE"",""CLOSE"")"),"N/A"),"N/A")</f>
        <v/>
      </c>
      <c r="AR469" s="262">
        <f>IFERROR(IFERROR(_xll.FDS(MO.Ticker.FactSet,"P_PRICE_AVG"&amp;"("&amp;INDEX(MO_SNA_FPStartDate,0,COLUMN())&amp;","&amp;INDEX(MO_Common_QEndDate,0,COLUMN())&amp;",,,,""PRICE"",""CLOSE"")"),"N/A"),"N/A")</f>
        <v/>
      </c>
      <c r="AS469" s="262">
        <f>IFERROR(IFERROR(_xll.FDS(MO.Ticker.FactSet,"P_PRICE_AVG"&amp;"("&amp;INDEX(MO_SNA_FPStartDate,0,COLUMN())&amp;","&amp;INDEX(MO_Common_QEndDate,0,COLUMN())&amp;",,,,""PRICE"",""CLOSE"")"),"N/A"),"N/A")</f>
        <v/>
      </c>
      <c r="AT469" s="262">
        <f>IFERROR(IFERROR(_xll.FDS(MO.Ticker.FactSet,"P_PRICE_AVG"&amp;"("&amp;INDEX(MO_SNA_FPStartDate,0,COLUMN())&amp;","&amp;INDEX(MO_Common_QEndDate,0,COLUMN())&amp;",,,,""PRICE"",""CLOSE"")"),"N/A"),"N/A")</f>
        <v/>
      </c>
      <c r="AU469" s="262">
        <f>IFERROR(IFERROR(_xll.FDS(MO.Ticker.FactSet,"P_PRICE_AVG"&amp;"("&amp;INDEX(MO_SNA_FPStartDate,0,COLUMN())&amp;","&amp;INDEX(MO_Common_QEndDate,0,COLUMN())&amp;",,,,""PRICE"",""CLOSE"")"),"N/A"),"N/A")</f>
        <v/>
      </c>
      <c r="AV469" s="262">
        <f>IFERROR(IFERROR(_xll.FDS(MO.Ticker.FactSet,"P_PRICE_AVG"&amp;"("&amp;INDEX(MO_SNA_FPStartDate,0,COLUMN())&amp;","&amp;INDEX(MO_Common_QEndDate,0,COLUMN())&amp;",,,,""PRICE"",""CLOSE"")"),"N/A"),"N/A")</f>
        <v/>
      </c>
      <c r="AW469" s="263">
        <f>IFERROR(IFERROR(_xll.FDS(MO.Ticker.FactSet,"P_PRICE_AVG"&amp;"("&amp;INDEX(MO_SNA_FPStartDate,0,COLUMN())&amp;","&amp;INDEX(MO_Common_QEndDate,0,COLUMN())&amp;",,,,""PRICE"",""CLOSE"")"),"N/A"),"N/A")</f>
        <v/>
      </c>
      <c r="AX469" s="232" t="n"/>
    </row>
    <row r="470" hidden="1" outlineLevel="1" customFormat="1" s="226">
      <c r="A470" s="532" t="inlineStr">
        <is>
          <t>Thomson</t>
        </is>
      </c>
      <c r="B470" s="262" t="n"/>
      <c r="C470" s="530">
        <f>IFERROR(IFERROR(_xll.TR(MO.Ticker.Thomson,"AVG(TR.Priceclose)","sdate:#1 edate:#2",,INDEX(MO_SNA_FPStartDate,0,COLUMN()),INDEX(MO_Common_QEndDate,0,COLUMN())),"N/A"),"N/A")</f>
        <v/>
      </c>
      <c r="D470" s="530">
        <f>IFERROR(IFERROR(_xll.TR(MO.Ticker.Thomson,"AVG(TR.Priceclose)","sdate:#1 edate:#2",,INDEX(MO_SNA_FPStartDate,0,COLUMN()),INDEX(MO_Common_QEndDate,0,COLUMN())),"N/A"),"N/A")</f>
        <v/>
      </c>
      <c r="E470" s="530">
        <f>IFERROR(IFERROR(_xll.TR(MO.Ticker.Thomson,"AVG(TR.Priceclose)","sdate:#1 edate:#2",,INDEX(MO_SNA_FPStartDate,0,COLUMN()),INDEX(MO_Common_QEndDate,0,COLUMN())),"N/A"),"N/A")</f>
        <v/>
      </c>
      <c r="F470" s="530">
        <f>IFERROR(IFERROR(_xll.TR(MO.Ticker.Thomson,"AVG(TR.Priceclose)","sdate:#1 edate:#2",,INDEX(MO_SNA_FPStartDate,0,COLUMN()),INDEX(MO_Common_QEndDate,0,COLUMN())),"N/A"),"N/A")</f>
        <v/>
      </c>
      <c r="G470" s="530">
        <f>IFERROR(IFERROR(_xll.TR(MO.Ticker.Thomson,"AVG(TR.Priceclose)","sdate:#1 edate:#2",,INDEX(MO_SNA_FPStartDate,0,COLUMN()),INDEX(MO_Common_QEndDate,0,COLUMN())),"N/A"),"N/A")</f>
        <v/>
      </c>
      <c r="H470" s="262">
        <f>IFERROR(IFERROR(_xll.TR(MO.Ticker.Thomson,"AVG(TR.Priceclose)","sdate:#1 edate:#2",,INDEX(MO_SNA_FPStartDate,0,COLUMN()),INDEX(MO_Common_QEndDate,0,COLUMN())),"N/A"),"N/A")</f>
        <v/>
      </c>
      <c r="I470" s="262">
        <f>IFERROR(IFERROR(_xll.TR(MO.Ticker.Thomson,"AVG(TR.Priceclose)","sdate:#1 edate:#2",,INDEX(MO_SNA_FPStartDate,0,COLUMN()),INDEX(MO_Common_QEndDate,0,COLUMN())),"N/A"),"N/A")</f>
        <v/>
      </c>
      <c r="J470" s="262">
        <f>IFERROR(IFERROR(_xll.TR(MO.Ticker.Thomson,"AVG(TR.Priceclose)","sdate:#1 edate:#2",,INDEX(MO_SNA_FPStartDate,0,COLUMN()),INDEX(MO_Common_QEndDate,0,COLUMN())),"N/A"),"N/A")</f>
        <v/>
      </c>
      <c r="K470" s="262">
        <f>IFERROR(IFERROR(_xll.TR(MO.Ticker.Thomson,"AVG(TR.Priceclose)","sdate:#1 edate:#2",,INDEX(MO_SNA_FPStartDate,0,COLUMN()),INDEX(MO_Common_QEndDate,0,COLUMN())),"N/A"),"N/A")</f>
        <v/>
      </c>
      <c r="L470" s="262">
        <f>IFERROR(IFERROR(_xll.TR(MO.Ticker.Thomson,"AVG(TR.Priceclose)","sdate:#1 edate:#2",,INDEX(MO_SNA_FPStartDate,0,COLUMN()),INDEX(MO_Common_QEndDate,0,COLUMN())),"N/A"),"N/A")</f>
        <v/>
      </c>
      <c r="M470" s="262">
        <f>IFERROR(IFERROR(_xll.TR(MO.Ticker.Thomson,"AVG(TR.Priceclose)","sdate:#1 edate:#2",,INDEX(MO_SNA_FPStartDate,0,COLUMN()),INDEX(MO_Common_QEndDate,0,COLUMN())),"N/A"),"N/A")</f>
        <v/>
      </c>
      <c r="N470" s="262">
        <f>IFERROR(IFERROR(_xll.TR(MO.Ticker.Thomson,"AVG(TR.Priceclose)","sdate:#1 edate:#2",,INDEX(MO_SNA_FPStartDate,0,COLUMN()),INDEX(MO_Common_QEndDate,0,COLUMN())),"N/A"),"N/A")</f>
        <v/>
      </c>
      <c r="O470" s="262">
        <f>IFERROR(IFERROR(_xll.TR(MO.Ticker.Thomson,"AVG(TR.Priceclose)","sdate:#1 edate:#2",,INDEX(MO_SNA_FPStartDate,0,COLUMN()),INDEX(MO_Common_QEndDate,0,COLUMN())),"N/A"),"N/A")</f>
        <v/>
      </c>
      <c r="P470" s="262">
        <f>IFERROR(IFERROR(_xll.TR(MO.Ticker.Thomson,"AVG(TR.Priceclose)","sdate:#1 edate:#2",,INDEX(MO_SNA_FPStartDate,0,COLUMN()),INDEX(MO_Common_QEndDate,0,COLUMN())),"N/A"),"N/A")</f>
        <v/>
      </c>
      <c r="Q470" s="262">
        <f>IFERROR(IFERROR(_xll.TR(MO.Ticker.Thomson,"AVG(TR.Priceclose)","sdate:#1 edate:#2",,INDEX(MO_SNA_FPStartDate,0,COLUMN()),INDEX(MO_Common_QEndDate,0,COLUMN())),"N/A"),"N/A")</f>
        <v/>
      </c>
      <c r="R470" s="262">
        <f>IFERROR(IFERROR(_xll.TR(MO.Ticker.Thomson,"AVG(TR.Priceclose)","sdate:#1 edate:#2",,INDEX(MO_SNA_FPStartDate,0,COLUMN()),INDEX(MO_Common_QEndDate,0,COLUMN())),"N/A"),"N/A")</f>
        <v/>
      </c>
      <c r="S470" s="262">
        <f>IFERROR(IFERROR(_xll.TR(MO.Ticker.Thomson,"AVG(TR.Priceclose)","sdate:#1 edate:#2",,INDEX(MO_SNA_FPStartDate,0,COLUMN()),INDEX(MO_Common_QEndDate,0,COLUMN())),"N/A"),"N/A")</f>
        <v/>
      </c>
      <c r="T470" s="262">
        <f>IFERROR(IFERROR(_xll.TR(MO.Ticker.Thomson,"AVG(TR.Priceclose)","sdate:#1 edate:#2",,INDEX(MO_SNA_FPStartDate,0,COLUMN()),INDEX(MO_Common_QEndDate,0,COLUMN())),"N/A"),"N/A")</f>
        <v/>
      </c>
      <c r="U470" s="262">
        <f>IFERROR(IFERROR(_xll.TR(MO.Ticker.Thomson,"AVG(TR.Priceclose)","sdate:#1 edate:#2",,INDEX(MO_SNA_FPStartDate,0,COLUMN()),INDEX(MO_Common_QEndDate,0,COLUMN())),"N/A"),"N/A")</f>
        <v/>
      </c>
      <c r="V470" s="262">
        <f>IFERROR(IFERROR(_xll.TR(MO.Ticker.Thomson,"AVG(TR.Priceclose)","sdate:#1 edate:#2",,INDEX(MO_SNA_FPStartDate,0,COLUMN()),INDEX(MO_Common_QEndDate,0,COLUMN())),"N/A"),"N/A")</f>
        <v/>
      </c>
      <c r="W470" s="262">
        <f>IFERROR(IFERROR(_xll.TR(MO.Ticker.Thomson,"AVG(TR.Priceclose)","sdate:#1 edate:#2",,INDEX(MO_SNA_FPStartDate,0,COLUMN()),INDEX(MO_Common_QEndDate,0,COLUMN())),"N/A"),"N/A")</f>
        <v/>
      </c>
      <c r="X470" s="262">
        <f>IFERROR(IFERROR(_xll.TR(MO.Ticker.Thomson,"AVG(TR.Priceclose)","sdate:#1 edate:#2",,INDEX(MO_SNA_FPStartDate,0,COLUMN()),INDEX(MO_Common_QEndDate,0,COLUMN())),"N/A"),"N/A")</f>
        <v/>
      </c>
      <c r="Y470" s="262">
        <f>IFERROR(IFERROR(_xll.TR(MO.Ticker.Thomson,"AVG(TR.Priceclose)","sdate:#1 edate:#2",,INDEX(MO_SNA_FPStartDate,0,COLUMN()),INDEX(MO_Common_QEndDate,0,COLUMN())),"N/A"),"N/A")</f>
        <v/>
      </c>
      <c r="Z470" s="262">
        <f>IFERROR(IFERROR(_xll.TR(MO.Ticker.Thomson,"AVG(TR.Priceclose)","sdate:#1 edate:#2",,INDEX(MO_SNA_FPStartDate,0,COLUMN()),INDEX(MO_Common_QEndDate,0,COLUMN())),"N/A"),"N/A")</f>
        <v/>
      </c>
      <c r="AA470" s="262">
        <f>IFERROR(IFERROR(_xll.TR(MO.Ticker.Thomson,"AVG(TR.Priceclose)","sdate:#1 edate:#2",,INDEX(MO_SNA_FPStartDate,0,COLUMN()),INDEX(MO_Common_QEndDate,0,COLUMN())),"N/A"),"N/A")</f>
        <v/>
      </c>
      <c r="AB470" s="262">
        <f>IFERROR(IFERROR(_xll.TR(MO.Ticker.Thomson,"AVG(TR.Priceclose)","sdate:#1 edate:#2",,INDEX(MO_SNA_FPStartDate,0,COLUMN()),INDEX(MO_Common_QEndDate,0,COLUMN())),"N/A"),"N/A")</f>
        <v/>
      </c>
      <c r="AC470" s="262">
        <f>IFERROR(IFERROR(_xll.TR(MO.Ticker.Thomson,"AVG(TR.Priceclose)","sdate:#1 edate:#2",,INDEX(MO_SNA_FPStartDate,0,COLUMN()),INDEX(MO_Common_QEndDate,0,COLUMN())),"N/A"),"N/A")</f>
        <v/>
      </c>
      <c r="AD470" s="262">
        <f>IFERROR(IFERROR(_xll.TR(MO.Ticker.Thomson,"AVG(TR.Priceclose)","sdate:#1 edate:#2",,INDEX(MO_SNA_FPStartDate,0,COLUMN()),INDEX(MO_Common_QEndDate,0,COLUMN())),"N/A"),"N/A")</f>
        <v/>
      </c>
      <c r="AE470" s="262">
        <f>IFERROR(IFERROR(_xll.TR(MO.Ticker.Thomson,"AVG(TR.Priceclose)","sdate:#1 edate:#2",,INDEX(MO_SNA_FPStartDate,0,COLUMN()),INDEX(MO_Common_QEndDate,0,COLUMN())),"N/A"),"N/A")</f>
        <v/>
      </c>
      <c r="AF470" s="262">
        <f>IFERROR(IFERROR(_xll.TR(MO.Ticker.Thomson,"AVG(TR.Priceclose)","sdate:#1 edate:#2",,INDEX(MO_SNA_FPStartDate,0,COLUMN()),INDEX(MO_Common_QEndDate,0,COLUMN())),"N/A"),"N/A")</f>
        <v/>
      </c>
      <c r="AG470" s="262">
        <f>IFERROR(IFERROR(_xll.TR(MO.Ticker.Thomson,"AVG(TR.Priceclose)","sdate:#1 edate:#2",,INDEX(MO_SNA_FPStartDate,0,COLUMN()),INDEX(MO_Common_QEndDate,0,COLUMN())),"N/A"),"N/A")</f>
        <v/>
      </c>
      <c r="AH470" s="262">
        <f>IFERROR(IFERROR(_xll.TR(MO.Ticker.Thomson,"AVG(TR.Priceclose)","sdate:#1 edate:#2",,INDEX(MO_SNA_FPStartDate,0,COLUMN()),INDEX(MO_Common_QEndDate,0,COLUMN())),"N/A"),"N/A")</f>
        <v/>
      </c>
      <c r="AI470" s="262">
        <f>IFERROR(IFERROR(_xll.TR(MO.Ticker.Thomson,"AVG(TR.Priceclose)","sdate:#1 edate:#2",,INDEX(MO_SNA_FPStartDate,0,COLUMN()),INDEX(MO_Common_QEndDate,0,COLUMN())),"N/A"),"N/A")</f>
        <v/>
      </c>
      <c r="AJ470" s="262">
        <f>IFERROR(IFERROR(_xll.TR(MO.Ticker.Thomson,"AVG(TR.Priceclose)","sdate:#1 edate:#2",,INDEX(MO_SNA_FPStartDate,0,COLUMN()),INDEX(MO_Common_QEndDate,0,COLUMN())),"N/A"),"N/A")</f>
        <v/>
      </c>
      <c r="AK470" s="262">
        <f>IFERROR(IFERROR(_xll.TR(MO.Ticker.Thomson,"AVG(TR.Priceclose)","sdate:#1 edate:#2",,INDEX(MO_SNA_FPStartDate,0,COLUMN()),INDEX(MO_Common_QEndDate,0,COLUMN())),"N/A"),"N/A")</f>
        <v/>
      </c>
      <c r="AL470" s="531">
        <f>IFERROR(IFERROR(_xll.TR(MO.Ticker.Thomson,"AVG(TR.Priceclose)","sdate:#1 edate:#2",,INDEX(MO_SNA_FPStartDate,0,COLUMN()),INDEX(MO_Common_QEndDate,0,COLUMN())),"N/A"),"N/A")</f>
        <v/>
      </c>
      <c r="AM470" s="262">
        <f>IFERROR(IFERROR(_xll.TR(MO.Ticker.Thomson,"AVG(TR.Priceclose)","sdate:#1 edate:#2",,INDEX(MO_SNA_FPStartDate,0,COLUMN()),INDEX(MO_Common_QEndDate,0,COLUMN())),"N/A"),"N/A")</f>
        <v/>
      </c>
      <c r="AN470" s="262">
        <f>IFERROR(IFERROR(_xll.TR(MO.Ticker.Thomson,"AVG(TR.Priceclose)","sdate:#1 edate:#2",,INDEX(MO_SNA_FPStartDate,0,COLUMN()),INDEX(MO_Common_QEndDate,0,COLUMN())),"N/A"),"N/A")</f>
        <v/>
      </c>
      <c r="AO470" s="262">
        <f>IFERROR(IFERROR(_xll.TR(MO.Ticker.Thomson,"AVG(TR.Priceclose)","sdate:#1 edate:#2",,INDEX(MO_SNA_FPStartDate,0,COLUMN()),INDEX(MO_Common_QEndDate,0,COLUMN())),"N/A"),"N/A")</f>
        <v/>
      </c>
      <c r="AP470" s="262">
        <f>IFERROR(IFERROR(_xll.TR(MO.Ticker.Thomson,"AVG(TR.Priceclose)","sdate:#1 edate:#2",,INDEX(MO_SNA_FPStartDate,0,COLUMN()),INDEX(MO_Common_QEndDate,0,COLUMN())),"N/A"),"N/A")</f>
        <v/>
      </c>
      <c r="AQ470" s="262">
        <f>IFERROR(IFERROR(_xll.TR(MO.Ticker.Thomson,"AVG(TR.Priceclose)","sdate:#1 edate:#2",,INDEX(MO_SNA_FPStartDate,0,COLUMN()),INDEX(MO_Common_QEndDate,0,COLUMN())),"N/A"),"N/A")</f>
        <v/>
      </c>
      <c r="AR470" s="262">
        <f>IFERROR(IFERROR(_xll.TR(MO.Ticker.Thomson,"AVG(TR.Priceclose)","sdate:#1 edate:#2",,INDEX(MO_SNA_FPStartDate,0,COLUMN()),INDEX(MO_Common_QEndDate,0,COLUMN())),"N/A"),"N/A")</f>
        <v/>
      </c>
      <c r="AS470" s="262">
        <f>IFERROR(IFERROR(_xll.TR(MO.Ticker.Thomson,"AVG(TR.Priceclose)","sdate:#1 edate:#2",,INDEX(MO_SNA_FPStartDate,0,COLUMN()),INDEX(MO_Common_QEndDate,0,COLUMN())),"N/A"),"N/A")</f>
        <v/>
      </c>
      <c r="AT470" s="262">
        <f>IFERROR(IFERROR(_xll.TR(MO.Ticker.Thomson,"AVG(TR.Priceclose)","sdate:#1 edate:#2",,INDEX(MO_SNA_FPStartDate,0,COLUMN()),INDEX(MO_Common_QEndDate,0,COLUMN())),"N/A"),"N/A")</f>
        <v/>
      </c>
      <c r="AU470" s="262">
        <f>IFERROR(IFERROR(_xll.TR(MO.Ticker.Thomson,"AVG(TR.Priceclose)","sdate:#1 edate:#2",,INDEX(MO_SNA_FPStartDate,0,COLUMN()),INDEX(MO_Common_QEndDate,0,COLUMN())),"N/A"),"N/A")</f>
        <v/>
      </c>
      <c r="AV470" s="262">
        <f>IFERROR(IFERROR(_xll.TR(MO.Ticker.Thomson,"AVG(TR.Priceclose)","sdate:#1 edate:#2",,INDEX(MO_SNA_FPStartDate,0,COLUMN()),INDEX(MO_Common_QEndDate,0,COLUMN())),"N/A"),"N/A")</f>
        <v/>
      </c>
      <c r="AW470" s="263">
        <f>IFERROR(IFERROR(_xll.TR(MO.Ticker.Thomson,"AVG(TR.Priceclose)","sdate:#1 edate:#2",,INDEX(MO_SNA_FPStartDate,0,COLUMN()),INDEX(MO_Common_QEndDate,0,COLUMN())),"N/A"),"N/A")</f>
        <v/>
      </c>
      <c r="AX470" s="232" t="n"/>
    </row>
    <row r="471" hidden="1" outlineLevel="1" customFormat="1" s="5">
      <c r="A471" s="514" t="n"/>
      <c r="B471" s="93" t="n"/>
      <c r="C471" s="519" t="n"/>
      <c r="D471" s="519" t="n"/>
      <c r="E471" s="519" t="n"/>
      <c r="F471" s="519" t="n"/>
      <c r="G471" s="519" t="n"/>
      <c r="H471" s="93" t="n"/>
      <c r="I471" s="93" t="n"/>
      <c r="J471" s="93" t="n"/>
      <c r="K471" s="93" t="n"/>
      <c r="L471" s="93" t="n"/>
      <c r="M471" s="93" t="n"/>
      <c r="N471" s="93" t="n"/>
      <c r="O471" s="93" t="n"/>
      <c r="P471" s="93" t="n"/>
      <c r="Q471" s="93" t="n"/>
      <c r="R471" s="93" t="n"/>
      <c r="S471" s="93" t="n"/>
      <c r="T471" s="93" t="n"/>
      <c r="U471" s="93" t="n"/>
      <c r="V471" s="93" t="n"/>
      <c r="W471" s="93" t="n"/>
      <c r="X471" s="93" t="n"/>
      <c r="Y471" s="93" t="n"/>
      <c r="Z471" s="93" t="n"/>
      <c r="AA471" s="93" t="n"/>
      <c r="AB471" s="93" t="n"/>
      <c r="AC471" s="93" t="n"/>
      <c r="AD471" s="93" t="n"/>
      <c r="AE471" s="93" t="n"/>
      <c r="AF471" s="93" t="n"/>
      <c r="AG471" s="93" t="n"/>
      <c r="AH471" s="93" t="n"/>
      <c r="AI471" s="93" t="n"/>
      <c r="AJ471" s="93" t="n"/>
      <c r="AK471" s="93" t="n"/>
      <c r="AL471" s="522" t="n"/>
      <c r="AM471" s="93" t="n"/>
      <c r="AN471" s="93" t="n"/>
      <c r="AO471" s="93" t="n"/>
      <c r="AP471" s="93" t="n"/>
      <c r="AQ471" s="93" t="n"/>
      <c r="AR471" s="93" t="n"/>
      <c r="AS471" s="93" t="n"/>
      <c r="AT471" s="93" t="n"/>
      <c r="AU471" s="93" t="n"/>
      <c r="AV471" s="93" t="n"/>
      <c r="AW471" s="162" t="n"/>
      <c r="AX471" s="228" t="n"/>
    </row>
    <row r="472" collapsed="1" customFormat="1" s="490">
      <c r="A472" s="533">
        <f>IFERROR("FX Average: "&amp;IF(OR(MO.RealTimeStockPriceToggle=FALSE,VLOOKUP(MO.DataSourceName,MO_SPT_FXAverage_Sources,COLUMN()+2,FALSE)="N/A"),"Real-Time Off Source",MO.DataSourceName),"N/A")</f>
        <v/>
      </c>
      <c r="B472" s="266" t="n"/>
      <c r="C472" s="534">
        <f>IFERROR(IF(OR(MO.RealTimeStockPriceToggle=FALSE,AA.CurrencyMatch,VLOOKUP(MO.DataSourceName,MO_SPT_FXAverage_Sources,COLUMN(),FALSE)="N/A"),VLOOKUP("Real-Time Off Source",MO_SPT_FXAverage_Sources,COLUMN(),FALSE),VLOOKUP(MO.DataSourceName,MO_SPT_FXAverage_Sources,COLUMN(),FALSE)),"N/A")</f>
        <v/>
      </c>
      <c r="D472" s="534">
        <f>IFERROR(IF(OR(MO.RealTimeStockPriceToggle=FALSE,AA.CurrencyMatch,VLOOKUP(MO.DataSourceName,MO_SPT_FXAverage_Sources,COLUMN(),FALSE)="N/A"),VLOOKUP("Real-Time Off Source",MO_SPT_FXAverage_Sources,COLUMN(),FALSE),VLOOKUP(MO.DataSourceName,MO_SPT_FXAverage_Sources,COLUMN(),FALSE)),"N/A")</f>
        <v/>
      </c>
      <c r="E472" s="534">
        <f>IFERROR(IF(OR(MO.RealTimeStockPriceToggle=FALSE,AA.CurrencyMatch,VLOOKUP(MO.DataSourceName,MO_SPT_FXAverage_Sources,COLUMN(),FALSE)="N/A"),VLOOKUP("Real-Time Off Source",MO_SPT_FXAverage_Sources,COLUMN(),FALSE),VLOOKUP(MO.DataSourceName,MO_SPT_FXAverage_Sources,COLUMN(),FALSE)),"N/A")</f>
        <v/>
      </c>
      <c r="F472" s="534">
        <f>IFERROR(IF(OR(MO.RealTimeStockPriceToggle=FALSE,AA.CurrencyMatch,VLOOKUP(MO.DataSourceName,MO_SPT_FXAverage_Sources,COLUMN(),FALSE)="N/A"),VLOOKUP("Real-Time Off Source",MO_SPT_FXAverage_Sources,COLUMN(),FALSE),VLOOKUP(MO.DataSourceName,MO_SPT_FXAverage_Sources,COLUMN(),FALSE)),"N/A")</f>
        <v/>
      </c>
      <c r="G472" s="534">
        <f>IFERROR(IF(OR(MO.RealTimeStockPriceToggle=FALSE,AA.CurrencyMatch,VLOOKUP(MO.DataSourceName,MO_SPT_FXAverage_Sources,COLUMN(),FALSE)="N/A"),VLOOKUP("Real-Time Off Source",MO_SPT_FXAverage_Sources,COLUMN(),FALSE),VLOOKUP(MO.DataSourceName,MO_SPT_FXAverage_Sources,COLUMN(),FALSE)),"N/A")</f>
        <v/>
      </c>
      <c r="H472" s="266">
        <f>IFERROR(IF(OR(MO.RealTimeStockPriceToggle=FALSE,AA.CurrencyMatch,VLOOKUP(MO.DataSourceName,MO_SPT_FXAverage_Sources,COLUMN(),FALSE)="N/A"),VLOOKUP("Real-Time Off Source",MO_SPT_FXAverage_Sources,COLUMN(),FALSE),VLOOKUP(MO.DataSourceName,MO_SPT_FXAverage_Sources,COLUMN(),FALSE)),"N/A")</f>
        <v/>
      </c>
      <c r="I472" s="266">
        <f>IFERROR(IF(OR(MO.RealTimeStockPriceToggle=FALSE,AA.CurrencyMatch,VLOOKUP(MO.DataSourceName,MO_SPT_FXAverage_Sources,COLUMN(),FALSE)="N/A"),VLOOKUP("Real-Time Off Source",MO_SPT_FXAverage_Sources,COLUMN(),FALSE),VLOOKUP(MO.DataSourceName,MO_SPT_FXAverage_Sources,COLUMN(),FALSE)),"N/A")</f>
        <v/>
      </c>
      <c r="J472" s="266">
        <f>IFERROR(IF(OR(MO.RealTimeStockPriceToggle=FALSE,AA.CurrencyMatch,VLOOKUP(MO.DataSourceName,MO_SPT_FXAverage_Sources,COLUMN(),FALSE)="N/A"),VLOOKUP("Real-Time Off Source",MO_SPT_FXAverage_Sources,COLUMN(),FALSE),VLOOKUP(MO.DataSourceName,MO_SPT_FXAverage_Sources,COLUMN(),FALSE)),"N/A")</f>
        <v/>
      </c>
      <c r="K472" s="266">
        <f>IFERROR(IF(OR(MO.RealTimeStockPriceToggle=FALSE,AA.CurrencyMatch,VLOOKUP(MO.DataSourceName,MO_SPT_FXAverage_Sources,COLUMN(),FALSE)="N/A"),VLOOKUP("Real-Time Off Source",MO_SPT_FXAverage_Sources,COLUMN(),FALSE),VLOOKUP(MO.DataSourceName,MO_SPT_FXAverage_Sources,COLUMN(),FALSE)),"N/A")</f>
        <v/>
      </c>
      <c r="L472" s="266">
        <f>IFERROR(IF(OR(MO.RealTimeStockPriceToggle=FALSE,AA.CurrencyMatch,VLOOKUP(MO.DataSourceName,MO_SPT_FXAverage_Sources,COLUMN(),FALSE)="N/A"),VLOOKUP("Real-Time Off Source",MO_SPT_FXAverage_Sources,COLUMN(),FALSE),VLOOKUP(MO.DataSourceName,MO_SPT_FXAverage_Sources,COLUMN(),FALSE)),"N/A")</f>
        <v/>
      </c>
      <c r="M472" s="266">
        <f>IFERROR(IF(OR(MO.RealTimeStockPriceToggle=FALSE,AA.CurrencyMatch,VLOOKUP(MO.DataSourceName,MO_SPT_FXAverage_Sources,COLUMN(),FALSE)="N/A"),VLOOKUP("Real-Time Off Source",MO_SPT_FXAverage_Sources,COLUMN(),FALSE),VLOOKUP(MO.DataSourceName,MO_SPT_FXAverage_Sources,COLUMN(),FALSE)),"N/A")</f>
        <v/>
      </c>
      <c r="N472" s="266">
        <f>IFERROR(IF(OR(MO.RealTimeStockPriceToggle=FALSE,AA.CurrencyMatch,VLOOKUP(MO.DataSourceName,MO_SPT_FXAverage_Sources,COLUMN(),FALSE)="N/A"),VLOOKUP("Real-Time Off Source",MO_SPT_FXAverage_Sources,COLUMN(),FALSE),VLOOKUP(MO.DataSourceName,MO_SPT_FXAverage_Sources,COLUMN(),FALSE)),"N/A")</f>
        <v/>
      </c>
      <c r="O472" s="266">
        <f>IFERROR(IF(OR(MO.RealTimeStockPriceToggle=FALSE,AA.CurrencyMatch,VLOOKUP(MO.DataSourceName,MO_SPT_FXAverage_Sources,COLUMN(),FALSE)="N/A"),VLOOKUP("Real-Time Off Source",MO_SPT_FXAverage_Sources,COLUMN(),FALSE),VLOOKUP(MO.DataSourceName,MO_SPT_FXAverage_Sources,COLUMN(),FALSE)),"N/A")</f>
        <v/>
      </c>
      <c r="P472" s="266">
        <f>IFERROR(IF(OR(MO.RealTimeStockPriceToggle=FALSE,AA.CurrencyMatch,VLOOKUP(MO.DataSourceName,MO_SPT_FXAverage_Sources,COLUMN(),FALSE)="N/A"),VLOOKUP("Real-Time Off Source",MO_SPT_FXAverage_Sources,COLUMN(),FALSE),VLOOKUP(MO.DataSourceName,MO_SPT_FXAverage_Sources,COLUMN(),FALSE)),"N/A")</f>
        <v/>
      </c>
      <c r="Q472" s="266">
        <f>IFERROR(IF(OR(MO.RealTimeStockPriceToggle=FALSE,AA.CurrencyMatch,VLOOKUP(MO.DataSourceName,MO_SPT_FXAverage_Sources,COLUMN(),FALSE)="N/A"),VLOOKUP("Real-Time Off Source",MO_SPT_FXAverage_Sources,COLUMN(),FALSE),VLOOKUP(MO.DataSourceName,MO_SPT_FXAverage_Sources,COLUMN(),FALSE)),"N/A")</f>
        <v/>
      </c>
      <c r="R472" s="266">
        <f>IFERROR(IF(OR(MO.RealTimeStockPriceToggle=FALSE,AA.CurrencyMatch,VLOOKUP(MO.DataSourceName,MO_SPT_FXAverage_Sources,COLUMN(),FALSE)="N/A"),VLOOKUP("Real-Time Off Source",MO_SPT_FXAverage_Sources,COLUMN(),FALSE),VLOOKUP(MO.DataSourceName,MO_SPT_FXAverage_Sources,COLUMN(),FALSE)),"N/A")</f>
        <v/>
      </c>
      <c r="S472" s="266">
        <f>IFERROR(IF(OR(MO.RealTimeStockPriceToggle=FALSE,AA.CurrencyMatch,VLOOKUP(MO.DataSourceName,MO_SPT_FXAverage_Sources,COLUMN(),FALSE)="N/A"),VLOOKUP("Real-Time Off Source",MO_SPT_FXAverage_Sources,COLUMN(),FALSE),VLOOKUP(MO.DataSourceName,MO_SPT_FXAverage_Sources,COLUMN(),FALSE)),"N/A")</f>
        <v/>
      </c>
      <c r="T472" s="266">
        <f>IFERROR(IF(OR(MO.RealTimeStockPriceToggle=FALSE,AA.CurrencyMatch,VLOOKUP(MO.DataSourceName,MO_SPT_FXAverage_Sources,COLUMN(),FALSE)="N/A"),VLOOKUP("Real-Time Off Source",MO_SPT_FXAverage_Sources,COLUMN(),FALSE),VLOOKUP(MO.DataSourceName,MO_SPT_FXAverage_Sources,COLUMN(),FALSE)),"N/A")</f>
        <v/>
      </c>
      <c r="U472" s="266">
        <f>IFERROR(IF(OR(MO.RealTimeStockPriceToggle=FALSE,AA.CurrencyMatch,VLOOKUP(MO.DataSourceName,MO_SPT_FXAverage_Sources,COLUMN(),FALSE)="N/A"),VLOOKUP("Real-Time Off Source",MO_SPT_FXAverage_Sources,COLUMN(),FALSE),VLOOKUP(MO.DataSourceName,MO_SPT_FXAverage_Sources,COLUMN(),FALSE)),"N/A")</f>
        <v/>
      </c>
      <c r="V472" s="266">
        <f>IFERROR(IF(OR(MO.RealTimeStockPriceToggle=FALSE,AA.CurrencyMatch,VLOOKUP(MO.DataSourceName,MO_SPT_FXAverage_Sources,COLUMN(),FALSE)="N/A"),VLOOKUP("Real-Time Off Source",MO_SPT_FXAverage_Sources,COLUMN(),FALSE),VLOOKUP(MO.DataSourceName,MO_SPT_FXAverage_Sources,COLUMN(),FALSE)),"N/A")</f>
        <v/>
      </c>
      <c r="W472" s="266">
        <f>IFERROR(IF(OR(MO.RealTimeStockPriceToggle=FALSE,AA.CurrencyMatch,VLOOKUP(MO.DataSourceName,MO_SPT_FXAverage_Sources,COLUMN(),FALSE)="N/A"),VLOOKUP("Real-Time Off Source",MO_SPT_FXAverage_Sources,COLUMN(),FALSE),VLOOKUP(MO.DataSourceName,MO_SPT_FXAverage_Sources,COLUMN(),FALSE)),"N/A")</f>
        <v/>
      </c>
      <c r="X472" s="266">
        <f>IFERROR(IF(OR(MO.RealTimeStockPriceToggle=FALSE,AA.CurrencyMatch,VLOOKUP(MO.DataSourceName,MO_SPT_FXAverage_Sources,COLUMN(),FALSE)="N/A"),VLOOKUP("Real-Time Off Source",MO_SPT_FXAverage_Sources,COLUMN(),FALSE),VLOOKUP(MO.DataSourceName,MO_SPT_FXAverage_Sources,COLUMN(),FALSE)),"N/A")</f>
        <v/>
      </c>
      <c r="Y472" s="266">
        <f>IFERROR(IF(OR(MO.RealTimeStockPriceToggle=FALSE,AA.CurrencyMatch,VLOOKUP(MO.DataSourceName,MO_SPT_FXAverage_Sources,COLUMN(),FALSE)="N/A"),VLOOKUP("Real-Time Off Source",MO_SPT_FXAverage_Sources,COLUMN(),FALSE),VLOOKUP(MO.DataSourceName,MO_SPT_FXAverage_Sources,COLUMN(),FALSE)),"N/A")</f>
        <v/>
      </c>
      <c r="Z472" s="266">
        <f>IFERROR(IF(OR(MO.RealTimeStockPriceToggle=FALSE,AA.CurrencyMatch,VLOOKUP(MO.DataSourceName,MO_SPT_FXAverage_Sources,COLUMN(),FALSE)="N/A"),VLOOKUP("Real-Time Off Source",MO_SPT_FXAverage_Sources,COLUMN(),FALSE),VLOOKUP(MO.DataSourceName,MO_SPT_FXAverage_Sources,COLUMN(),FALSE)),"N/A")</f>
        <v/>
      </c>
      <c r="AA472" s="266">
        <f>IFERROR(IF(OR(MO.RealTimeStockPriceToggle=FALSE,AA.CurrencyMatch,VLOOKUP(MO.DataSourceName,MO_SPT_FXAverage_Sources,COLUMN(),FALSE)="N/A"),VLOOKUP("Real-Time Off Source",MO_SPT_FXAverage_Sources,COLUMN(),FALSE),VLOOKUP(MO.DataSourceName,MO_SPT_FXAverage_Sources,COLUMN(),FALSE)),"N/A")</f>
        <v/>
      </c>
      <c r="AB472" s="266">
        <f>IFERROR(IF(OR(MO.RealTimeStockPriceToggle=FALSE,AA.CurrencyMatch,VLOOKUP(MO.DataSourceName,MO_SPT_FXAverage_Sources,COLUMN(),FALSE)="N/A"),VLOOKUP("Real-Time Off Source",MO_SPT_FXAverage_Sources,COLUMN(),FALSE),VLOOKUP(MO.DataSourceName,MO_SPT_FXAverage_Sources,COLUMN(),FALSE)),"N/A")</f>
        <v/>
      </c>
      <c r="AC472" s="266">
        <f>IFERROR(IF(OR(MO.RealTimeStockPriceToggle=FALSE,AA.CurrencyMatch,VLOOKUP(MO.DataSourceName,MO_SPT_FXAverage_Sources,COLUMN(),FALSE)="N/A"),VLOOKUP("Real-Time Off Source",MO_SPT_FXAverage_Sources,COLUMN(),FALSE),VLOOKUP(MO.DataSourceName,MO_SPT_FXAverage_Sources,COLUMN(),FALSE)),"N/A")</f>
        <v/>
      </c>
      <c r="AD472" s="266">
        <f>IFERROR(IF(OR(MO.RealTimeStockPriceToggle=FALSE,AA.CurrencyMatch,VLOOKUP(MO.DataSourceName,MO_SPT_FXAverage_Sources,COLUMN(),FALSE)="N/A"),VLOOKUP("Real-Time Off Source",MO_SPT_FXAverage_Sources,COLUMN(),FALSE),VLOOKUP(MO.DataSourceName,MO_SPT_FXAverage_Sources,COLUMN(),FALSE)),"N/A")</f>
        <v/>
      </c>
      <c r="AE472" s="266">
        <f>IFERROR(IF(OR(MO.RealTimeStockPriceToggle=FALSE,AA.CurrencyMatch,VLOOKUP(MO.DataSourceName,MO_SPT_FXAverage_Sources,COLUMN(),FALSE)="N/A"),VLOOKUP("Real-Time Off Source",MO_SPT_FXAverage_Sources,COLUMN(),FALSE),VLOOKUP(MO.DataSourceName,MO_SPT_FXAverage_Sources,COLUMN(),FALSE)),"N/A")</f>
        <v/>
      </c>
      <c r="AF472" s="266">
        <f>IFERROR(IF(OR(MO.RealTimeStockPriceToggle=FALSE,AA.CurrencyMatch,VLOOKUP(MO.DataSourceName,MO_SPT_FXAverage_Sources,COLUMN(),FALSE)="N/A"),VLOOKUP("Real-Time Off Source",MO_SPT_FXAverage_Sources,COLUMN(),FALSE),VLOOKUP(MO.DataSourceName,MO_SPT_FXAverage_Sources,COLUMN(),FALSE)),"N/A")</f>
        <v/>
      </c>
      <c r="AG472" s="266">
        <f>IFERROR(IF(OR(MO.RealTimeStockPriceToggle=FALSE,AA.CurrencyMatch,VLOOKUP(MO.DataSourceName,MO_SPT_FXAverage_Sources,COLUMN(),FALSE)="N/A"),VLOOKUP("Real-Time Off Source",MO_SPT_FXAverage_Sources,COLUMN(),FALSE),VLOOKUP(MO.DataSourceName,MO_SPT_FXAverage_Sources,COLUMN(),FALSE)),"N/A")</f>
        <v/>
      </c>
      <c r="AH472" s="266">
        <f>IFERROR(IF(OR(MO.RealTimeStockPriceToggle=FALSE,AA.CurrencyMatch,VLOOKUP(MO.DataSourceName,MO_SPT_FXAverage_Sources,COLUMN(),FALSE)="N/A"),VLOOKUP("Real-Time Off Source",MO_SPT_FXAverage_Sources,COLUMN(),FALSE),VLOOKUP(MO.DataSourceName,MO_SPT_FXAverage_Sources,COLUMN(),FALSE)),"N/A")</f>
        <v/>
      </c>
      <c r="AI472" s="266">
        <f>IFERROR(IF(OR(MO.RealTimeStockPriceToggle=FALSE,AA.CurrencyMatch,VLOOKUP(MO.DataSourceName,MO_SPT_FXAverage_Sources,COLUMN(),FALSE)="N/A"),VLOOKUP("Real-Time Off Source",MO_SPT_FXAverage_Sources,COLUMN(),FALSE),VLOOKUP(MO.DataSourceName,MO_SPT_FXAverage_Sources,COLUMN(),FALSE)),"N/A")</f>
        <v/>
      </c>
      <c r="AJ472" s="266">
        <f>IFERROR(IF(OR(MO.RealTimeStockPriceToggle=FALSE,AA.CurrencyMatch,VLOOKUP(MO.DataSourceName,MO_SPT_FXAverage_Sources,COLUMN(),FALSE)="N/A"),VLOOKUP("Real-Time Off Source",MO_SPT_FXAverage_Sources,COLUMN(),FALSE),VLOOKUP(MO.DataSourceName,MO_SPT_FXAverage_Sources,COLUMN(),FALSE)),"N/A")</f>
        <v/>
      </c>
      <c r="AK472" s="266">
        <f>IFERROR(IF(OR(MO.RealTimeStockPriceToggle=FALSE,AA.CurrencyMatch,VLOOKUP(MO.DataSourceName,MO_SPT_FXAverage_Sources,COLUMN(),FALSE)="N/A"),VLOOKUP("Real-Time Off Source",MO_SPT_FXAverage_Sources,COLUMN(),FALSE),VLOOKUP(MO.DataSourceName,MO_SPT_FXAverage_Sources,COLUMN(),FALSE)),"N/A")</f>
        <v/>
      </c>
      <c r="AL472" s="535">
        <f>IFERROR(IF(OR(MO.RealTimeStockPriceToggle=FALSE,AA.CurrencyMatch,VLOOKUP(MO.DataSourceName,MO_SPT_FXAverage_Sources,COLUMN(),FALSE)="N/A"),VLOOKUP("Real-Time Off Source",MO_SPT_FXAverage_Sources,COLUMN(),FALSE),VLOOKUP(MO.DataSourceName,MO_SPT_FXAverage_Sources,COLUMN(),FALSE)),"N/A")</f>
        <v/>
      </c>
      <c r="AM472" s="266">
        <f>IFERROR(IF(OR(MO.RealTimeStockPriceToggle=FALSE,AA.CurrencyMatch,VLOOKUP(MO.DataSourceName,MO_SPT_FXAverage_Sources,COLUMN(),FALSE)="N/A"),VLOOKUP("Real-Time Off Source",MO_SPT_FXAverage_Sources,COLUMN(),FALSE),VLOOKUP(MO.DataSourceName,MO_SPT_FXAverage_Sources,COLUMN(),FALSE)),"N/A")</f>
        <v/>
      </c>
      <c r="AN472" s="266">
        <f>IFERROR(IF(OR(MO.RealTimeStockPriceToggle=FALSE,AA.CurrencyMatch,VLOOKUP(MO.DataSourceName,MO_SPT_FXAverage_Sources,COLUMN(),FALSE)="N/A"),VLOOKUP("Real-Time Off Source",MO_SPT_FXAverage_Sources,COLUMN(),FALSE),VLOOKUP(MO.DataSourceName,MO_SPT_FXAverage_Sources,COLUMN(),FALSE)),"N/A")</f>
        <v/>
      </c>
      <c r="AO472" s="266">
        <f>IFERROR(IF(OR(MO.RealTimeStockPriceToggle=FALSE,AA.CurrencyMatch,VLOOKUP(MO.DataSourceName,MO_SPT_FXAverage_Sources,COLUMN(),FALSE)="N/A"),VLOOKUP("Real-Time Off Source",MO_SPT_FXAverage_Sources,COLUMN(),FALSE),VLOOKUP(MO.DataSourceName,MO_SPT_FXAverage_Sources,COLUMN(),FALSE)),"N/A")</f>
        <v/>
      </c>
      <c r="AP472" s="266">
        <f>IFERROR(IF(OR(MO.RealTimeStockPriceToggle=FALSE,AA.CurrencyMatch,VLOOKUP(MO.DataSourceName,MO_SPT_FXAverage_Sources,COLUMN(),FALSE)="N/A"),VLOOKUP("Real-Time Off Source",MO_SPT_FXAverage_Sources,COLUMN(),FALSE),VLOOKUP(MO.DataSourceName,MO_SPT_FXAverage_Sources,COLUMN(),FALSE)),"N/A")</f>
        <v/>
      </c>
      <c r="AQ472" s="266">
        <f>IFERROR(IF(OR(MO.RealTimeStockPriceToggle=FALSE,AA.CurrencyMatch,VLOOKUP(MO.DataSourceName,MO_SPT_FXAverage_Sources,COLUMN(),FALSE)="N/A"),VLOOKUP("Real-Time Off Source",MO_SPT_FXAverage_Sources,COLUMN(),FALSE),VLOOKUP(MO.DataSourceName,MO_SPT_FXAverage_Sources,COLUMN(),FALSE)),"N/A")</f>
        <v/>
      </c>
      <c r="AR472" s="266">
        <f>IFERROR(IF(OR(MO.RealTimeStockPriceToggle=FALSE,AA.CurrencyMatch,VLOOKUP(MO.DataSourceName,MO_SPT_FXAverage_Sources,COLUMN(),FALSE)="N/A"),VLOOKUP("Real-Time Off Source",MO_SPT_FXAverage_Sources,COLUMN(),FALSE),VLOOKUP(MO.DataSourceName,MO_SPT_FXAverage_Sources,COLUMN(),FALSE)),"N/A")</f>
        <v/>
      </c>
      <c r="AS472" s="266">
        <f>IFERROR(IF(OR(MO.RealTimeStockPriceToggle=FALSE,AA.CurrencyMatch,VLOOKUP(MO.DataSourceName,MO_SPT_FXAverage_Sources,COLUMN(),FALSE)="N/A"),VLOOKUP("Real-Time Off Source",MO_SPT_FXAverage_Sources,COLUMN(),FALSE),VLOOKUP(MO.DataSourceName,MO_SPT_FXAverage_Sources,COLUMN(),FALSE)),"N/A")</f>
        <v/>
      </c>
      <c r="AT472" s="266">
        <f>IFERROR(IF(OR(MO.RealTimeStockPriceToggle=FALSE,AA.CurrencyMatch,VLOOKUP(MO.DataSourceName,MO_SPT_FXAverage_Sources,COLUMN(),FALSE)="N/A"),VLOOKUP("Real-Time Off Source",MO_SPT_FXAverage_Sources,COLUMN(),FALSE),VLOOKUP(MO.DataSourceName,MO_SPT_FXAverage_Sources,COLUMN(),FALSE)),"N/A")</f>
        <v/>
      </c>
      <c r="AU472" s="266">
        <f>IFERROR(IF(OR(MO.RealTimeStockPriceToggle=FALSE,AA.CurrencyMatch,VLOOKUP(MO.DataSourceName,MO_SPT_FXAverage_Sources,COLUMN(),FALSE)="N/A"),VLOOKUP("Real-Time Off Source",MO_SPT_FXAverage_Sources,COLUMN(),FALSE),VLOOKUP(MO.DataSourceName,MO_SPT_FXAverage_Sources,COLUMN(),FALSE)),"N/A")</f>
        <v/>
      </c>
      <c r="AV472" s="266">
        <f>IFERROR(IF(OR(MO.RealTimeStockPriceToggle=FALSE,AA.CurrencyMatch,VLOOKUP(MO.DataSourceName,MO_SPT_FXAverage_Sources,COLUMN(),FALSE)="N/A"),VLOOKUP("Real-Time Off Source",MO_SPT_FXAverage_Sources,COLUMN(),FALSE),VLOOKUP(MO.DataSourceName,MO_SPT_FXAverage_Sources,COLUMN(),FALSE)),"N/A")</f>
        <v/>
      </c>
      <c r="AW472" s="267">
        <f>IFERROR(IF(OR(MO.RealTimeStockPriceToggle=FALSE,AA.CurrencyMatch,VLOOKUP(MO.DataSourceName,MO_SPT_FXAverage_Sources,COLUMN(),FALSE)="N/A"),VLOOKUP("Real-Time Off Source",MO_SPT_FXAverage_Sources,COLUMN(),FALSE),VLOOKUP(MO.DataSourceName,MO_SPT_FXAverage_Sources,COLUMN(),FALSE)),"N/A")</f>
        <v/>
      </c>
      <c r="AX472" s="251" t="n"/>
    </row>
    <row r="473" hidden="1" outlineLevel="1" customFormat="1" s="490">
      <c r="A473" s="536" t="inlineStr">
        <is>
          <t>Real-Time Off Source</t>
        </is>
      </c>
      <c r="B473" s="266" t="n"/>
      <c r="C473" s="534" t="n"/>
      <c r="D473" s="534" t="n"/>
      <c r="E473" s="534" t="n"/>
      <c r="F473" s="534" t="n"/>
      <c r="G473" s="534" t="n"/>
      <c r="H473" s="266" t="n"/>
      <c r="I473" s="266" t="n"/>
      <c r="J473" s="266" t="n"/>
      <c r="K473" s="266" t="n"/>
      <c r="L473" s="266" t="n"/>
      <c r="M473" s="266" t="n"/>
      <c r="N473" s="266" t="n"/>
      <c r="O473" s="266" t="n"/>
      <c r="P473" s="266" t="n"/>
      <c r="Q473" s="266" t="n"/>
      <c r="R473" s="266" t="n"/>
      <c r="S473" s="266" t="n"/>
      <c r="T473" s="266" t="n"/>
      <c r="U473" s="266" t="n"/>
      <c r="V473" s="266" t="n"/>
      <c r="W473" s="266" t="n"/>
      <c r="X473" s="266" t="n"/>
      <c r="Y473" s="266" t="n"/>
      <c r="Z473" s="266" t="n"/>
      <c r="AA473" s="266" t="n"/>
      <c r="AB473" s="266" t="n"/>
      <c r="AC473" s="266" t="n"/>
      <c r="AD473" s="266" t="n"/>
      <c r="AE473" s="266" t="n"/>
      <c r="AF473" s="266" t="n"/>
      <c r="AG473" s="266" t="n"/>
      <c r="AH473" s="266" t="n"/>
      <c r="AI473" s="266" t="n"/>
      <c r="AJ473" s="266" t="n"/>
      <c r="AK473" s="266" t="n"/>
      <c r="AL473" s="535" t="n"/>
      <c r="AM473" s="266">
        <f>MO.MRFX.Hardcoded</f>
        <v/>
      </c>
      <c r="AN473" s="266">
        <f>MO.MRFX.Hardcoded</f>
        <v/>
      </c>
      <c r="AO473" s="266">
        <f>MO.MRFX.Hardcoded</f>
        <v/>
      </c>
      <c r="AP473" s="266">
        <f>MO.MRFX.Hardcoded</f>
        <v/>
      </c>
      <c r="AQ473" s="266">
        <f>MO.MRFX.Hardcoded</f>
        <v/>
      </c>
      <c r="AR473" s="266">
        <f>MO.MRFX.Hardcoded</f>
        <v/>
      </c>
      <c r="AS473" s="266">
        <f>MO.MRFX.Hardcoded</f>
        <v/>
      </c>
      <c r="AT473" s="266">
        <f>MO.MRFX.Hardcoded</f>
        <v/>
      </c>
      <c r="AU473" s="266">
        <f>MO.MRFX.Hardcoded</f>
        <v/>
      </c>
      <c r="AV473" s="266">
        <f>MO.MRFX.Hardcoded</f>
        <v/>
      </c>
      <c r="AW473" s="267">
        <f>MO.MRFX.Hardcoded</f>
        <v/>
      </c>
      <c r="AX473" s="251" t="n"/>
    </row>
    <row r="474" hidden="1" outlineLevel="1" customFormat="1" s="490">
      <c r="A474" s="536" t="inlineStr">
        <is>
          <t>Bloomberg</t>
        </is>
      </c>
      <c r="B474" s="266" t="n"/>
      <c r="C474" s="534">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D474" s="534">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E474" s="534">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F474" s="534">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G474" s="534">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H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I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J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K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L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M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N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O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P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Q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R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S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T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U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V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W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X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Y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Z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A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B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C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D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E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F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G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H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I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J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K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L474" s="535">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M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N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O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P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Q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R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S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T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U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V474" s="266">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W474" s="267">
        <f>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
      </c>
      <c r="AX474" s="251" t="n"/>
    </row>
    <row r="475" hidden="1" outlineLevel="1" customFormat="1" s="490">
      <c r="A475" s="536" t="inlineStr">
        <is>
          <t>Capital IQ</t>
        </is>
      </c>
      <c r="B475" s="266" t="n"/>
      <c r="C475" s="534">
        <f>IFERROR(IF(INDEX(MO_Common_QEndDate,0,COLUMN())&gt;TODAY(),_xll.CIQ("$"&amp;HP.TradeCurrency&amp;MO.ReportCurrency,"IQ_LASTSALEPRICE"),_xll.CIQAVG("$"&amp;HP.TradeCurrency&amp;MO.ReportCurrency,"IQ_LASTSALEPRICE",INDEX(MO_SNA_FPStartDate,0,COLUMN()),INDEX(MO_Common_QEndDate,0,COLUMN()))),"N/A")</f>
        <v/>
      </c>
      <c r="D475" s="534">
        <f>IFERROR(IF(INDEX(MO_Common_QEndDate,0,COLUMN())&gt;TODAY(),_xll.CIQ("$"&amp;HP.TradeCurrency&amp;MO.ReportCurrency,"IQ_LASTSALEPRICE"),_xll.CIQAVG("$"&amp;HP.TradeCurrency&amp;MO.ReportCurrency,"IQ_LASTSALEPRICE",INDEX(MO_SNA_FPStartDate,0,COLUMN()),INDEX(MO_Common_QEndDate,0,COLUMN()))),"N/A")</f>
        <v/>
      </c>
      <c r="E475" s="534">
        <f>IFERROR(IF(INDEX(MO_Common_QEndDate,0,COLUMN())&gt;TODAY(),_xll.CIQ("$"&amp;HP.TradeCurrency&amp;MO.ReportCurrency,"IQ_LASTSALEPRICE"),_xll.CIQAVG("$"&amp;HP.TradeCurrency&amp;MO.ReportCurrency,"IQ_LASTSALEPRICE",INDEX(MO_SNA_FPStartDate,0,COLUMN()),INDEX(MO_Common_QEndDate,0,COLUMN()))),"N/A")</f>
        <v/>
      </c>
      <c r="F475" s="534">
        <f>IFERROR(IF(INDEX(MO_Common_QEndDate,0,COLUMN())&gt;TODAY(),_xll.CIQ("$"&amp;HP.TradeCurrency&amp;MO.ReportCurrency,"IQ_LASTSALEPRICE"),_xll.CIQAVG("$"&amp;HP.TradeCurrency&amp;MO.ReportCurrency,"IQ_LASTSALEPRICE",INDEX(MO_SNA_FPStartDate,0,COLUMN()),INDEX(MO_Common_QEndDate,0,COLUMN()))),"N/A")</f>
        <v/>
      </c>
      <c r="G475" s="534">
        <f>IFERROR(IF(INDEX(MO_Common_QEndDate,0,COLUMN())&gt;TODAY(),_xll.CIQ("$"&amp;HP.TradeCurrency&amp;MO.ReportCurrency,"IQ_LASTSALEPRICE"),_xll.CIQAVG("$"&amp;HP.TradeCurrency&amp;MO.ReportCurrency,"IQ_LASTSALEPRICE",INDEX(MO_SNA_FPStartDate,0,COLUMN()),INDEX(MO_Common_QEndDate,0,COLUMN()))),"N/A")</f>
        <v/>
      </c>
      <c r="H475" s="266">
        <f>IFERROR(IF(INDEX(MO_Common_QEndDate,0,COLUMN())&gt;TODAY(),_xll.CIQ("$"&amp;HP.TradeCurrency&amp;MO.ReportCurrency,"IQ_LASTSALEPRICE"),_xll.CIQAVG("$"&amp;HP.TradeCurrency&amp;MO.ReportCurrency,"IQ_LASTSALEPRICE",INDEX(MO_SNA_FPStartDate,0,COLUMN()),INDEX(MO_Common_QEndDate,0,COLUMN()))),"N/A")</f>
        <v/>
      </c>
      <c r="I475" s="266">
        <f>IFERROR(IF(INDEX(MO_Common_QEndDate,0,COLUMN())&gt;TODAY(),_xll.CIQ("$"&amp;HP.TradeCurrency&amp;MO.ReportCurrency,"IQ_LASTSALEPRICE"),_xll.CIQAVG("$"&amp;HP.TradeCurrency&amp;MO.ReportCurrency,"IQ_LASTSALEPRICE",INDEX(MO_SNA_FPStartDate,0,COLUMN()),INDEX(MO_Common_QEndDate,0,COLUMN()))),"N/A")</f>
        <v/>
      </c>
      <c r="J475" s="266">
        <f>IFERROR(IF(INDEX(MO_Common_QEndDate,0,COLUMN())&gt;TODAY(),_xll.CIQ("$"&amp;HP.TradeCurrency&amp;MO.ReportCurrency,"IQ_LASTSALEPRICE"),_xll.CIQAVG("$"&amp;HP.TradeCurrency&amp;MO.ReportCurrency,"IQ_LASTSALEPRICE",INDEX(MO_SNA_FPStartDate,0,COLUMN()),INDEX(MO_Common_QEndDate,0,COLUMN()))),"N/A")</f>
        <v/>
      </c>
      <c r="K475" s="266">
        <f>IFERROR(IF(INDEX(MO_Common_QEndDate,0,COLUMN())&gt;TODAY(),_xll.CIQ("$"&amp;HP.TradeCurrency&amp;MO.ReportCurrency,"IQ_LASTSALEPRICE"),_xll.CIQAVG("$"&amp;HP.TradeCurrency&amp;MO.ReportCurrency,"IQ_LASTSALEPRICE",INDEX(MO_SNA_FPStartDate,0,COLUMN()),INDEX(MO_Common_QEndDate,0,COLUMN()))),"N/A")</f>
        <v/>
      </c>
      <c r="L475" s="266">
        <f>IFERROR(IF(INDEX(MO_Common_QEndDate,0,COLUMN())&gt;TODAY(),_xll.CIQ("$"&amp;HP.TradeCurrency&amp;MO.ReportCurrency,"IQ_LASTSALEPRICE"),_xll.CIQAVG("$"&amp;HP.TradeCurrency&amp;MO.ReportCurrency,"IQ_LASTSALEPRICE",INDEX(MO_SNA_FPStartDate,0,COLUMN()),INDEX(MO_Common_QEndDate,0,COLUMN()))),"N/A")</f>
        <v/>
      </c>
      <c r="M475" s="266">
        <f>IFERROR(IF(INDEX(MO_Common_QEndDate,0,COLUMN())&gt;TODAY(),_xll.CIQ("$"&amp;HP.TradeCurrency&amp;MO.ReportCurrency,"IQ_LASTSALEPRICE"),_xll.CIQAVG("$"&amp;HP.TradeCurrency&amp;MO.ReportCurrency,"IQ_LASTSALEPRICE",INDEX(MO_SNA_FPStartDate,0,COLUMN()),INDEX(MO_Common_QEndDate,0,COLUMN()))),"N/A")</f>
        <v/>
      </c>
      <c r="N475" s="266">
        <f>IFERROR(IF(INDEX(MO_Common_QEndDate,0,COLUMN())&gt;TODAY(),_xll.CIQ("$"&amp;HP.TradeCurrency&amp;MO.ReportCurrency,"IQ_LASTSALEPRICE"),_xll.CIQAVG("$"&amp;HP.TradeCurrency&amp;MO.ReportCurrency,"IQ_LASTSALEPRICE",INDEX(MO_SNA_FPStartDate,0,COLUMN()),INDEX(MO_Common_QEndDate,0,COLUMN()))),"N/A")</f>
        <v/>
      </c>
      <c r="O475" s="266">
        <f>IFERROR(IF(INDEX(MO_Common_QEndDate,0,COLUMN())&gt;TODAY(),_xll.CIQ("$"&amp;HP.TradeCurrency&amp;MO.ReportCurrency,"IQ_LASTSALEPRICE"),_xll.CIQAVG("$"&amp;HP.TradeCurrency&amp;MO.ReportCurrency,"IQ_LASTSALEPRICE",INDEX(MO_SNA_FPStartDate,0,COLUMN()),INDEX(MO_Common_QEndDate,0,COLUMN()))),"N/A")</f>
        <v/>
      </c>
      <c r="P475" s="266">
        <f>IFERROR(IF(INDEX(MO_Common_QEndDate,0,COLUMN())&gt;TODAY(),_xll.CIQ("$"&amp;HP.TradeCurrency&amp;MO.ReportCurrency,"IQ_LASTSALEPRICE"),_xll.CIQAVG("$"&amp;HP.TradeCurrency&amp;MO.ReportCurrency,"IQ_LASTSALEPRICE",INDEX(MO_SNA_FPStartDate,0,COLUMN()),INDEX(MO_Common_QEndDate,0,COLUMN()))),"N/A")</f>
        <v/>
      </c>
      <c r="Q475" s="266">
        <f>IFERROR(IF(INDEX(MO_Common_QEndDate,0,COLUMN())&gt;TODAY(),_xll.CIQ("$"&amp;HP.TradeCurrency&amp;MO.ReportCurrency,"IQ_LASTSALEPRICE"),_xll.CIQAVG("$"&amp;HP.TradeCurrency&amp;MO.ReportCurrency,"IQ_LASTSALEPRICE",INDEX(MO_SNA_FPStartDate,0,COLUMN()),INDEX(MO_Common_QEndDate,0,COLUMN()))),"N/A")</f>
        <v/>
      </c>
      <c r="R475" s="266">
        <f>IFERROR(IF(INDEX(MO_Common_QEndDate,0,COLUMN())&gt;TODAY(),_xll.CIQ("$"&amp;HP.TradeCurrency&amp;MO.ReportCurrency,"IQ_LASTSALEPRICE"),_xll.CIQAVG("$"&amp;HP.TradeCurrency&amp;MO.ReportCurrency,"IQ_LASTSALEPRICE",INDEX(MO_SNA_FPStartDate,0,COLUMN()),INDEX(MO_Common_QEndDate,0,COLUMN()))),"N/A")</f>
        <v/>
      </c>
      <c r="S475" s="266">
        <f>IFERROR(IF(INDEX(MO_Common_QEndDate,0,COLUMN())&gt;TODAY(),_xll.CIQ("$"&amp;HP.TradeCurrency&amp;MO.ReportCurrency,"IQ_LASTSALEPRICE"),_xll.CIQAVG("$"&amp;HP.TradeCurrency&amp;MO.ReportCurrency,"IQ_LASTSALEPRICE",INDEX(MO_SNA_FPStartDate,0,COLUMN()),INDEX(MO_Common_QEndDate,0,COLUMN()))),"N/A")</f>
        <v/>
      </c>
      <c r="T475" s="266">
        <f>IFERROR(IF(INDEX(MO_Common_QEndDate,0,COLUMN())&gt;TODAY(),_xll.CIQ("$"&amp;HP.TradeCurrency&amp;MO.ReportCurrency,"IQ_LASTSALEPRICE"),_xll.CIQAVG("$"&amp;HP.TradeCurrency&amp;MO.ReportCurrency,"IQ_LASTSALEPRICE",INDEX(MO_SNA_FPStartDate,0,COLUMN()),INDEX(MO_Common_QEndDate,0,COLUMN()))),"N/A")</f>
        <v/>
      </c>
      <c r="U475" s="266">
        <f>IFERROR(IF(INDEX(MO_Common_QEndDate,0,COLUMN())&gt;TODAY(),_xll.CIQ("$"&amp;HP.TradeCurrency&amp;MO.ReportCurrency,"IQ_LASTSALEPRICE"),_xll.CIQAVG("$"&amp;HP.TradeCurrency&amp;MO.ReportCurrency,"IQ_LASTSALEPRICE",INDEX(MO_SNA_FPStartDate,0,COLUMN()),INDEX(MO_Common_QEndDate,0,COLUMN()))),"N/A")</f>
        <v/>
      </c>
      <c r="V475" s="266">
        <f>IFERROR(IF(INDEX(MO_Common_QEndDate,0,COLUMN())&gt;TODAY(),_xll.CIQ("$"&amp;HP.TradeCurrency&amp;MO.ReportCurrency,"IQ_LASTSALEPRICE"),_xll.CIQAVG("$"&amp;HP.TradeCurrency&amp;MO.ReportCurrency,"IQ_LASTSALEPRICE",INDEX(MO_SNA_FPStartDate,0,COLUMN()),INDEX(MO_Common_QEndDate,0,COLUMN()))),"N/A")</f>
        <v/>
      </c>
      <c r="W475" s="266">
        <f>IFERROR(IF(INDEX(MO_Common_QEndDate,0,COLUMN())&gt;TODAY(),_xll.CIQ("$"&amp;HP.TradeCurrency&amp;MO.ReportCurrency,"IQ_LASTSALEPRICE"),_xll.CIQAVG("$"&amp;HP.TradeCurrency&amp;MO.ReportCurrency,"IQ_LASTSALEPRICE",INDEX(MO_SNA_FPStartDate,0,COLUMN()),INDEX(MO_Common_QEndDate,0,COLUMN()))),"N/A")</f>
        <v/>
      </c>
      <c r="X475" s="266">
        <f>IFERROR(IF(INDEX(MO_Common_QEndDate,0,COLUMN())&gt;TODAY(),_xll.CIQ("$"&amp;HP.TradeCurrency&amp;MO.ReportCurrency,"IQ_LASTSALEPRICE"),_xll.CIQAVG("$"&amp;HP.TradeCurrency&amp;MO.ReportCurrency,"IQ_LASTSALEPRICE",INDEX(MO_SNA_FPStartDate,0,COLUMN()),INDEX(MO_Common_QEndDate,0,COLUMN()))),"N/A")</f>
        <v/>
      </c>
      <c r="Y475" s="266">
        <f>IFERROR(IF(INDEX(MO_Common_QEndDate,0,COLUMN())&gt;TODAY(),_xll.CIQ("$"&amp;HP.TradeCurrency&amp;MO.ReportCurrency,"IQ_LASTSALEPRICE"),_xll.CIQAVG("$"&amp;HP.TradeCurrency&amp;MO.ReportCurrency,"IQ_LASTSALEPRICE",INDEX(MO_SNA_FPStartDate,0,COLUMN()),INDEX(MO_Common_QEndDate,0,COLUMN()))),"N/A")</f>
        <v/>
      </c>
      <c r="Z475" s="266">
        <f>IFERROR(IF(INDEX(MO_Common_QEndDate,0,COLUMN())&gt;TODAY(),_xll.CIQ("$"&amp;HP.TradeCurrency&amp;MO.ReportCurrency,"IQ_LASTSALEPRICE"),_xll.CIQAVG("$"&amp;HP.TradeCurrency&amp;MO.ReportCurrency,"IQ_LASTSALEPRICE",INDEX(MO_SNA_FPStartDate,0,COLUMN()),INDEX(MO_Common_QEndDate,0,COLUMN()))),"N/A")</f>
        <v/>
      </c>
      <c r="AA475" s="266">
        <f>IFERROR(IF(INDEX(MO_Common_QEndDate,0,COLUMN())&gt;TODAY(),_xll.CIQ("$"&amp;HP.TradeCurrency&amp;MO.ReportCurrency,"IQ_LASTSALEPRICE"),_xll.CIQAVG("$"&amp;HP.TradeCurrency&amp;MO.ReportCurrency,"IQ_LASTSALEPRICE",INDEX(MO_SNA_FPStartDate,0,COLUMN()),INDEX(MO_Common_QEndDate,0,COLUMN()))),"N/A")</f>
        <v/>
      </c>
      <c r="AB475" s="266">
        <f>IFERROR(IF(INDEX(MO_Common_QEndDate,0,COLUMN())&gt;TODAY(),_xll.CIQ("$"&amp;HP.TradeCurrency&amp;MO.ReportCurrency,"IQ_LASTSALEPRICE"),_xll.CIQAVG("$"&amp;HP.TradeCurrency&amp;MO.ReportCurrency,"IQ_LASTSALEPRICE",INDEX(MO_SNA_FPStartDate,0,COLUMN()),INDEX(MO_Common_QEndDate,0,COLUMN()))),"N/A")</f>
        <v/>
      </c>
      <c r="AC475" s="266">
        <f>IFERROR(IF(INDEX(MO_Common_QEndDate,0,COLUMN())&gt;TODAY(),_xll.CIQ("$"&amp;HP.TradeCurrency&amp;MO.ReportCurrency,"IQ_LASTSALEPRICE"),_xll.CIQAVG("$"&amp;HP.TradeCurrency&amp;MO.ReportCurrency,"IQ_LASTSALEPRICE",INDEX(MO_SNA_FPStartDate,0,COLUMN()),INDEX(MO_Common_QEndDate,0,COLUMN()))),"N/A")</f>
        <v/>
      </c>
      <c r="AD475" s="266">
        <f>IFERROR(IF(INDEX(MO_Common_QEndDate,0,COLUMN())&gt;TODAY(),_xll.CIQ("$"&amp;HP.TradeCurrency&amp;MO.ReportCurrency,"IQ_LASTSALEPRICE"),_xll.CIQAVG("$"&amp;HP.TradeCurrency&amp;MO.ReportCurrency,"IQ_LASTSALEPRICE",INDEX(MO_SNA_FPStartDate,0,COLUMN()),INDEX(MO_Common_QEndDate,0,COLUMN()))),"N/A")</f>
        <v/>
      </c>
      <c r="AE475" s="266">
        <f>IFERROR(IF(INDEX(MO_Common_QEndDate,0,COLUMN())&gt;TODAY(),_xll.CIQ("$"&amp;HP.TradeCurrency&amp;MO.ReportCurrency,"IQ_LASTSALEPRICE"),_xll.CIQAVG("$"&amp;HP.TradeCurrency&amp;MO.ReportCurrency,"IQ_LASTSALEPRICE",INDEX(MO_SNA_FPStartDate,0,COLUMN()),INDEX(MO_Common_QEndDate,0,COLUMN()))),"N/A")</f>
        <v/>
      </c>
      <c r="AF475" s="266">
        <f>IFERROR(IF(INDEX(MO_Common_QEndDate,0,COLUMN())&gt;TODAY(),_xll.CIQ("$"&amp;HP.TradeCurrency&amp;MO.ReportCurrency,"IQ_LASTSALEPRICE"),_xll.CIQAVG("$"&amp;HP.TradeCurrency&amp;MO.ReportCurrency,"IQ_LASTSALEPRICE",INDEX(MO_SNA_FPStartDate,0,COLUMN()),INDEX(MO_Common_QEndDate,0,COLUMN()))),"N/A")</f>
        <v/>
      </c>
      <c r="AG475" s="266">
        <f>IFERROR(IF(INDEX(MO_Common_QEndDate,0,COLUMN())&gt;TODAY(),_xll.CIQ("$"&amp;HP.TradeCurrency&amp;MO.ReportCurrency,"IQ_LASTSALEPRICE"),_xll.CIQAVG("$"&amp;HP.TradeCurrency&amp;MO.ReportCurrency,"IQ_LASTSALEPRICE",INDEX(MO_SNA_FPStartDate,0,COLUMN()),INDEX(MO_Common_QEndDate,0,COLUMN()))),"N/A")</f>
        <v/>
      </c>
      <c r="AH475" s="266">
        <f>IFERROR(IF(INDEX(MO_Common_QEndDate,0,COLUMN())&gt;TODAY(),_xll.CIQ("$"&amp;HP.TradeCurrency&amp;MO.ReportCurrency,"IQ_LASTSALEPRICE"),_xll.CIQAVG("$"&amp;HP.TradeCurrency&amp;MO.ReportCurrency,"IQ_LASTSALEPRICE",INDEX(MO_SNA_FPStartDate,0,COLUMN()),INDEX(MO_Common_QEndDate,0,COLUMN()))),"N/A")</f>
        <v/>
      </c>
      <c r="AI475" s="266">
        <f>IFERROR(IF(INDEX(MO_Common_QEndDate,0,COLUMN())&gt;TODAY(),_xll.CIQ("$"&amp;HP.TradeCurrency&amp;MO.ReportCurrency,"IQ_LASTSALEPRICE"),_xll.CIQAVG("$"&amp;HP.TradeCurrency&amp;MO.ReportCurrency,"IQ_LASTSALEPRICE",INDEX(MO_SNA_FPStartDate,0,COLUMN()),INDEX(MO_Common_QEndDate,0,COLUMN()))),"N/A")</f>
        <v/>
      </c>
      <c r="AJ475" s="266">
        <f>IFERROR(IF(INDEX(MO_Common_QEndDate,0,COLUMN())&gt;TODAY(),_xll.CIQ("$"&amp;HP.TradeCurrency&amp;MO.ReportCurrency,"IQ_LASTSALEPRICE"),_xll.CIQAVG("$"&amp;HP.TradeCurrency&amp;MO.ReportCurrency,"IQ_LASTSALEPRICE",INDEX(MO_SNA_FPStartDate,0,COLUMN()),INDEX(MO_Common_QEndDate,0,COLUMN()))),"N/A")</f>
        <v/>
      </c>
      <c r="AK475" s="266">
        <f>IFERROR(IF(INDEX(MO_Common_QEndDate,0,COLUMN())&gt;TODAY(),_xll.CIQ("$"&amp;HP.TradeCurrency&amp;MO.ReportCurrency,"IQ_LASTSALEPRICE"),_xll.CIQAVG("$"&amp;HP.TradeCurrency&amp;MO.ReportCurrency,"IQ_LASTSALEPRICE",INDEX(MO_SNA_FPStartDate,0,COLUMN()),INDEX(MO_Common_QEndDate,0,COLUMN()))),"N/A")</f>
        <v/>
      </c>
      <c r="AL475" s="535">
        <f>IFERROR(IF(INDEX(MO_Common_QEndDate,0,COLUMN())&gt;TODAY(),_xll.CIQ("$"&amp;HP.TradeCurrency&amp;MO.ReportCurrency,"IQ_LASTSALEPRICE"),_xll.CIQAVG("$"&amp;HP.TradeCurrency&amp;MO.ReportCurrency,"IQ_LASTSALEPRICE",INDEX(MO_SNA_FPStartDate,0,COLUMN()),INDEX(MO_Common_QEndDate,0,COLUMN()))),"N/A")</f>
        <v/>
      </c>
      <c r="AM475" s="266">
        <f>IFERROR(IF(INDEX(MO_Common_QEndDate,0,COLUMN())&gt;TODAY(),_xll.CIQ("$"&amp;HP.TradeCurrency&amp;MO.ReportCurrency,"IQ_LASTSALEPRICE"),_xll.CIQAVG("$"&amp;HP.TradeCurrency&amp;MO.ReportCurrency,"IQ_LASTSALEPRICE",INDEX(MO_SNA_FPStartDate,0,COLUMN()),INDEX(MO_Common_QEndDate,0,COLUMN()))),"N/A")</f>
        <v/>
      </c>
      <c r="AN475" s="266">
        <f>IFERROR(IF(INDEX(MO_Common_QEndDate,0,COLUMN())&gt;TODAY(),_xll.CIQ("$"&amp;HP.TradeCurrency&amp;MO.ReportCurrency,"IQ_LASTSALEPRICE"),_xll.CIQAVG("$"&amp;HP.TradeCurrency&amp;MO.ReportCurrency,"IQ_LASTSALEPRICE",INDEX(MO_SNA_FPStartDate,0,COLUMN()),INDEX(MO_Common_QEndDate,0,COLUMN()))),"N/A")</f>
        <v/>
      </c>
      <c r="AO475" s="266">
        <f>IFERROR(IF(INDEX(MO_Common_QEndDate,0,COLUMN())&gt;TODAY(),_xll.CIQ("$"&amp;HP.TradeCurrency&amp;MO.ReportCurrency,"IQ_LASTSALEPRICE"),_xll.CIQAVG("$"&amp;HP.TradeCurrency&amp;MO.ReportCurrency,"IQ_LASTSALEPRICE",INDEX(MO_SNA_FPStartDate,0,COLUMN()),INDEX(MO_Common_QEndDate,0,COLUMN()))),"N/A")</f>
        <v/>
      </c>
      <c r="AP475" s="266">
        <f>IFERROR(IF(INDEX(MO_Common_QEndDate,0,COLUMN())&gt;TODAY(),_xll.CIQ("$"&amp;HP.TradeCurrency&amp;MO.ReportCurrency,"IQ_LASTSALEPRICE"),_xll.CIQAVG("$"&amp;HP.TradeCurrency&amp;MO.ReportCurrency,"IQ_LASTSALEPRICE",INDEX(MO_SNA_FPStartDate,0,COLUMN()),INDEX(MO_Common_QEndDate,0,COLUMN()))),"N/A")</f>
        <v/>
      </c>
      <c r="AQ475" s="266">
        <f>IFERROR(IF(INDEX(MO_Common_QEndDate,0,COLUMN())&gt;TODAY(),_xll.CIQ("$"&amp;HP.TradeCurrency&amp;MO.ReportCurrency,"IQ_LASTSALEPRICE"),_xll.CIQAVG("$"&amp;HP.TradeCurrency&amp;MO.ReportCurrency,"IQ_LASTSALEPRICE",INDEX(MO_SNA_FPStartDate,0,COLUMN()),INDEX(MO_Common_QEndDate,0,COLUMN()))),"N/A")</f>
        <v/>
      </c>
      <c r="AR475" s="266">
        <f>IFERROR(IF(INDEX(MO_Common_QEndDate,0,COLUMN())&gt;TODAY(),_xll.CIQ("$"&amp;HP.TradeCurrency&amp;MO.ReportCurrency,"IQ_LASTSALEPRICE"),_xll.CIQAVG("$"&amp;HP.TradeCurrency&amp;MO.ReportCurrency,"IQ_LASTSALEPRICE",INDEX(MO_SNA_FPStartDate,0,COLUMN()),INDEX(MO_Common_QEndDate,0,COLUMN()))),"N/A")</f>
        <v/>
      </c>
      <c r="AS475" s="266">
        <f>IFERROR(IF(INDEX(MO_Common_QEndDate,0,COLUMN())&gt;TODAY(),_xll.CIQ("$"&amp;HP.TradeCurrency&amp;MO.ReportCurrency,"IQ_LASTSALEPRICE"),_xll.CIQAVG("$"&amp;HP.TradeCurrency&amp;MO.ReportCurrency,"IQ_LASTSALEPRICE",INDEX(MO_SNA_FPStartDate,0,COLUMN()),INDEX(MO_Common_QEndDate,0,COLUMN()))),"N/A")</f>
        <v/>
      </c>
      <c r="AT475" s="266">
        <f>IFERROR(IF(INDEX(MO_Common_QEndDate,0,COLUMN())&gt;TODAY(),_xll.CIQ("$"&amp;HP.TradeCurrency&amp;MO.ReportCurrency,"IQ_LASTSALEPRICE"),_xll.CIQAVG("$"&amp;HP.TradeCurrency&amp;MO.ReportCurrency,"IQ_LASTSALEPRICE",INDEX(MO_SNA_FPStartDate,0,COLUMN()),INDEX(MO_Common_QEndDate,0,COLUMN()))),"N/A")</f>
        <v/>
      </c>
      <c r="AU475" s="266">
        <f>IFERROR(IF(INDEX(MO_Common_QEndDate,0,COLUMN())&gt;TODAY(),_xll.CIQ("$"&amp;HP.TradeCurrency&amp;MO.ReportCurrency,"IQ_LASTSALEPRICE"),_xll.CIQAVG("$"&amp;HP.TradeCurrency&amp;MO.ReportCurrency,"IQ_LASTSALEPRICE",INDEX(MO_SNA_FPStartDate,0,COLUMN()),INDEX(MO_Common_QEndDate,0,COLUMN()))),"N/A")</f>
        <v/>
      </c>
      <c r="AV475" s="266">
        <f>IFERROR(IF(INDEX(MO_Common_QEndDate,0,COLUMN())&gt;TODAY(),_xll.CIQ("$"&amp;HP.TradeCurrency&amp;MO.ReportCurrency,"IQ_LASTSALEPRICE"),_xll.CIQAVG("$"&amp;HP.TradeCurrency&amp;MO.ReportCurrency,"IQ_LASTSALEPRICE",INDEX(MO_SNA_FPStartDate,0,COLUMN()),INDEX(MO_Common_QEndDate,0,COLUMN()))),"N/A")</f>
        <v/>
      </c>
      <c r="AW475" s="267">
        <f>IFERROR(IF(INDEX(MO_Common_QEndDate,0,COLUMN())&gt;TODAY(),_xll.CIQ("$"&amp;HP.TradeCurrency&amp;MO.ReportCurrency,"IQ_LASTSALEPRICE"),_xll.CIQAVG("$"&amp;HP.TradeCurrency&amp;MO.ReportCurrency,"IQ_LASTSALEPRICE",INDEX(MO_SNA_FPStartDate,0,COLUMN()),INDEX(MO_Common_QEndDate,0,COLUMN()))),"N/A")</f>
        <v/>
      </c>
      <c r="AX475" s="251" t="n"/>
    </row>
    <row r="476" hidden="1" outlineLevel="1" customFormat="1" s="490">
      <c r="A476" s="536" t="inlineStr">
        <is>
          <t>FactSet</t>
        </is>
      </c>
      <c r="B476" s="266" t="n"/>
      <c r="C476" s="534">
        <f>IFERROR(IF(INDEX(MO_Common_QEndDate,0,COLUMN())&gt;TODAY(),_xll.FDS(MO.ReportCurrency&amp;HP.TradeCurrency,"FG_PRICE(NOW)"),_xll.FDS(MO.ReportCurrency&amp;HP.TradeCurrency,"P_PRICE_AVG("&amp;INDEX(MO_SNA_FPStartDate,0,COLUMN())&amp;","&amp;INDEX(MO_Common_QEndDate,0,COLUMN())&amp;",,,,0)")),"N/A")</f>
        <v/>
      </c>
      <c r="D476" s="534">
        <f>IFERROR(IF(INDEX(MO_Common_QEndDate,0,COLUMN())&gt;TODAY(),_xll.FDS(MO.ReportCurrency&amp;HP.TradeCurrency,"FG_PRICE(NOW)"),_xll.FDS(MO.ReportCurrency&amp;HP.TradeCurrency,"P_PRICE_AVG("&amp;INDEX(MO_SNA_FPStartDate,0,COLUMN())&amp;","&amp;INDEX(MO_Common_QEndDate,0,COLUMN())&amp;",,,,0)")),"N/A")</f>
        <v/>
      </c>
      <c r="E476" s="534">
        <f>IFERROR(IF(INDEX(MO_Common_QEndDate,0,COLUMN())&gt;TODAY(),_xll.FDS(MO.ReportCurrency&amp;HP.TradeCurrency,"FG_PRICE(NOW)"),_xll.FDS(MO.ReportCurrency&amp;HP.TradeCurrency,"P_PRICE_AVG("&amp;INDEX(MO_SNA_FPStartDate,0,COLUMN())&amp;","&amp;INDEX(MO_Common_QEndDate,0,COLUMN())&amp;",,,,0)")),"N/A")</f>
        <v/>
      </c>
      <c r="F476" s="534">
        <f>IFERROR(IF(INDEX(MO_Common_QEndDate,0,COLUMN())&gt;TODAY(),_xll.FDS(MO.ReportCurrency&amp;HP.TradeCurrency,"FG_PRICE(NOW)"),_xll.FDS(MO.ReportCurrency&amp;HP.TradeCurrency,"P_PRICE_AVG("&amp;INDEX(MO_SNA_FPStartDate,0,COLUMN())&amp;","&amp;INDEX(MO_Common_QEndDate,0,COLUMN())&amp;",,,,0)")),"N/A")</f>
        <v/>
      </c>
      <c r="G476" s="534">
        <f>IFERROR(IF(INDEX(MO_Common_QEndDate,0,COLUMN())&gt;TODAY(),_xll.FDS(MO.ReportCurrency&amp;HP.TradeCurrency,"FG_PRICE(NOW)"),_xll.FDS(MO.ReportCurrency&amp;HP.TradeCurrency,"P_PRICE_AVG("&amp;INDEX(MO_SNA_FPStartDate,0,COLUMN())&amp;","&amp;INDEX(MO_Common_QEndDate,0,COLUMN())&amp;",,,,0)")),"N/A")</f>
        <v/>
      </c>
      <c r="H476" s="266">
        <f>IFERROR(IF(INDEX(MO_Common_QEndDate,0,COLUMN())&gt;TODAY(),_xll.FDS(MO.ReportCurrency&amp;HP.TradeCurrency,"FG_PRICE(NOW)"),_xll.FDS(MO.ReportCurrency&amp;HP.TradeCurrency,"P_PRICE_AVG("&amp;INDEX(MO_SNA_FPStartDate,0,COLUMN())&amp;","&amp;INDEX(MO_Common_QEndDate,0,COLUMN())&amp;",,,,0)")),"N/A")</f>
        <v/>
      </c>
      <c r="I476" s="266">
        <f>IFERROR(IF(INDEX(MO_Common_QEndDate,0,COLUMN())&gt;TODAY(),_xll.FDS(MO.ReportCurrency&amp;HP.TradeCurrency,"FG_PRICE(NOW)"),_xll.FDS(MO.ReportCurrency&amp;HP.TradeCurrency,"P_PRICE_AVG("&amp;INDEX(MO_SNA_FPStartDate,0,COLUMN())&amp;","&amp;INDEX(MO_Common_QEndDate,0,COLUMN())&amp;",,,,0)")),"N/A")</f>
        <v/>
      </c>
      <c r="J476" s="266">
        <f>IFERROR(IF(INDEX(MO_Common_QEndDate,0,COLUMN())&gt;TODAY(),_xll.FDS(MO.ReportCurrency&amp;HP.TradeCurrency,"FG_PRICE(NOW)"),_xll.FDS(MO.ReportCurrency&amp;HP.TradeCurrency,"P_PRICE_AVG("&amp;INDEX(MO_SNA_FPStartDate,0,COLUMN())&amp;","&amp;INDEX(MO_Common_QEndDate,0,COLUMN())&amp;",,,,0)")),"N/A")</f>
        <v/>
      </c>
      <c r="K476" s="266">
        <f>IFERROR(IF(INDEX(MO_Common_QEndDate,0,COLUMN())&gt;TODAY(),_xll.FDS(MO.ReportCurrency&amp;HP.TradeCurrency,"FG_PRICE(NOW)"),_xll.FDS(MO.ReportCurrency&amp;HP.TradeCurrency,"P_PRICE_AVG("&amp;INDEX(MO_SNA_FPStartDate,0,COLUMN())&amp;","&amp;INDEX(MO_Common_QEndDate,0,COLUMN())&amp;",,,,0)")),"N/A")</f>
        <v/>
      </c>
      <c r="L476" s="266">
        <f>IFERROR(IF(INDEX(MO_Common_QEndDate,0,COLUMN())&gt;TODAY(),_xll.FDS(MO.ReportCurrency&amp;HP.TradeCurrency,"FG_PRICE(NOW)"),_xll.FDS(MO.ReportCurrency&amp;HP.TradeCurrency,"P_PRICE_AVG("&amp;INDEX(MO_SNA_FPStartDate,0,COLUMN())&amp;","&amp;INDEX(MO_Common_QEndDate,0,COLUMN())&amp;",,,,0)")),"N/A")</f>
        <v/>
      </c>
      <c r="M476" s="266">
        <f>IFERROR(IF(INDEX(MO_Common_QEndDate,0,COLUMN())&gt;TODAY(),_xll.FDS(MO.ReportCurrency&amp;HP.TradeCurrency,"FG_PRICE(NOW)"),_xll.FDS(MO.ReportCurrency&amp;HP.TradeCurrency,"P_PRICE_AVG("&amp;INDEX(MO_SNA_FPStartDate,0,COLUMN())&amp;","&amp;INDEX(MO_Common_QEndDate,0,COLUMN())&amp;",,,,0)")),"N/A")</f>
        <v/>
      </c>
      <c r="N476" s="266">
        <f>IFERROR(IF(INDEX(MO_Common_QEndDate,0,COLUMN())&gt;TODAY(),_xll.FDS(MO.ReportCurrency&amp;HP.TradeCurrency,"FG_PRICE(NOW)"),_xll.FDS(MO.ReportCurrency&amp;HP.TradeCurrency,"P_PRICE_AVG("&amp;INDEX(MO_SNA_FPStartDate,0,COLUMN())&amp;","&amp;INDEX(MO_Common_QEndDate,0,COLUMN())&amp;",,,,0)")),"N/A")</f>
        <v/>
      </c>
      <c r="O476" s="266">
        <f>IFERROR(IF(INDEX(MO_Common_QEndDate,0,COLUMN())&gt;TODAY(),_xll.FDS(MO.ReportCurrency&amp;HP.TradeCurrency,"FG_PRICE(NOW)"),_xll.FDS(MO.ReportCurrency&amp;HP.TradeCurrency,"P_PRICE_AVG("&amp;INDEX(MO_SNA_FPStartDate,0,COLUMN())&amp;","&amp;INDEX(MO_Common_QEndDate,0,COLUMN())&amp;",,,,0)")),"N/A")</f>
        <v/>
      </c>
      <c r="P476" s="266">
        <f>IFERROR(IF(INDEX(MO_Common_QEndDate,0,COLUMN())&gt;TODAY(),_xll.FDS(MO.ReportCurrency&amp;HP.TradeCurrency,"FG_PRICE(NOW)"),_xll.FDS(MO.ReportCurrency&amp;HP.TradeCurrency,"P_PRICE_AVG("&amp;INDEX(MO_SNA_FPStartDate,0,COLUMN())&amp;","&amp;INDEX(MO_Common_QEndDate,0,COLUMN())&amp;",,,,0)")),"N/A")</f>
        <v/>
      </c>
      <c r="Q476" s="266">
        <f>IFERROR(IF(INDEX(MO_Common_QEndDate,0,COLUMN())&gt;TODAY(),_xll.FDS(MO.ReportCurrency&amp;HP.TradeCurrency,"FG_PRICE(NOW)"),_xll.FDS(MO.ReportCurrency&amp;HP.TradeCurrency,"P_PRICE_AVG("&amp;INDEX(MO_SNA_FPStartDate,0,COLUMN())&amp;","&amp;INDEX(MO_Common_QEndDate,0,COLUMN())&amp;",,,,0)")),"N/A")</f>
        <v/>
      </c>
      <c r="R476" s="266">
        <f>IFERROR(IF(INDEX(MO_Common_QEndDate,0,COLUMN())&gt;TODAY(),_xll.FDS(MO.ReportCurrency&amp;HP.TradeCurrency,"FG_PRICE(NOW)"),_xll.FDS(MO.ReportCurrency&amp;HP.TradeCurrency,"P_PRICE_AVG("&amp;INDEX(MO_SNA_FPStartDate,0,COLUMN())&amp;","&amp;INDEX(MO_Common_QEndDate,0,COLUMN())&amp;",,,,0)")),"N/A")</f>
        <v/>
      </c>
      <c r="S476" s="266">
        <f>IFERROR(IF(INDEX(MO_Common_QEndDate,0,COLUMN())&gt;TODAY(),_xll.FDS(MO.ReportCurrency&amp;HP.TradeCurrency,"FG_PRICE(NOW)"),_xll.FDS(MO.ReportCurrency&amp;HP.TradeCurrency,"P_PRICE_AVG("&amp;INDEX(MO_SNA_FPStartDate,0,COLUMN())&amp;","&amp;INDEX(MO_Common_QEndDate,0,COLUMN())&amp;",,,,0)")),"N/A")</f>
        <v/>
      </c>
      <c r="T476" s="266">
        <f>IFERROR(IF(INDEX(MO_Common_QEndDate,0,COLUMN())&gt;TODAY(),_xll.FDS(MO.ReportCurrency&amp;HP.TradeCurrency,"FG_PRICE(NOW)"),_xll.FDS(MO.ReportCurrency&amp;HP.TradeCurrency,"P_PRICE_AVG("&amp;INDEX(MO_SNA_FPStartDate,0,COLUMN())&amp;","&amp;INDEX(MO_Common_QEndDate,0,COLUMN())&amp;",,,,0)")),"N/A")</f>
        <v/>
      </c>
      <c r="U476" s="266">
        <f>IFERROR(IF(INDEX(MO_Common_QEndDate,0,COLUMN())&gt;TODAY(),_xll.FDS(MO.ReportCurrency&amp;HP.TradeCurrency,"FG_PRICE(NOW)"),_xll.FDS(MO.ReportCurrency&amp;HP.TradeCurrency,"P_PRICE_AVG("&amp;INDEX(MO_SNA_FPStartDate,0,COLUMN())&amp;","&amp;INDEX(MO_Common_QEndDate,0,COLUMN())&amp;",,,,0)")),"N/A")</f>
        <v/>
      </c>
      <c r="V476" s="266">
        <f>IFERROR(IF(INDEX(MO_Common_QEndDate,0,COLUMN())&gt;TODAY(),_xll.FDS(MO.ReportCurrency&amp;HP.TradeCurrency,"FG_PRICE(NOW)"),_xll.FDS(MO.ReportCurrency&amp;HP.TradeCurrency,"P_PRICE_AVG("&amp;INDEX(MO_SNA_FPStartDate,0,COLUMN())&amp;","&amp;INDEX(MO_Common_QEndDate,0,COLUMN())&amp;",,,,0)")),"N/A")</f>
        <v/>
      </c>
      <c r="W476" s="266">
        <f>IFERROR(IF(INDEX(MO_Common_QEndDate,0,COLUMN())&gt;TODAY(),_xll.FDS(MO.ReportCurrency&amp;HP.TradeCurrency,"FG_PRICE(NOW)"),_xll.FDS(MO.ReportCurrency&amp;HP.TradeCurrency,"P_PRICE_AVG("&amp;INDEX(MO_SNA_FPStartDate,0,COLUMN())&amp;","&amp;INDEX(MO_Common_QEndDate,0,COLUMN())&amp;",,,,0)")),"N/A")</f>
        <v/>
      </c>
      <c r="X476" s="266">
        <f>IFERROR(IF(INDEX(MO_Common_QEndDate,0,COLUMN())&gt;TODAY(),_xll.FDS(MO.ReportCurrency&amp;HP.TradeCurrency,"FG_PRICE(NOW)"),_xll.FDS(MO.ReportCurrency&amp;HP.TradeCurrency,"P_PRICE_AVG("&amp;INDEX(MO_SNA_FPStartDate,0,COLUMN())&amp;","&amp;INDEX(MO_Common_QEndDate,0,COLUMN())&amp;",,,,0)")),"N/A")</f>
        <v/>
      </c>
      <c r="Y476" s="266">
        <f>IFERROR(IF(INDEX(MO_Common_QEndDate,0,COLUMN())&gt;TODAY(),_xll.FDS(MO.ReportCurrency&amp;HP.TradeCurrency,"FG_PRICE(NOW)"),_xll.FDS(MO.ReportCurrency&amp;HP.TradeCurrency,"P_PRICE_AVG("&amp;INDEX(MO_SNA_FPStartDate,0,COLUMN())&amp;","&amp;INDEX(MO_Common_QEndDate,0,COLUMN())&amp;",,,,0)")),"N/A")</f>
        <v/>
      </c>
      <c r="Z476" s="266">
        <f>IFERROR(IF(INDEX(MO_Common_QEndDate,0,COLUMN())&gt;TODAY(),_xll.FDS(MO.ReportCurrency&amp;HP.TradeCurrency,"FG_PRICE(NOW)"),_xll.FDS(MO.ReportCurrency&amp;HP.TradeCurrency,"P_PRICE_AVG("&amp;INDEX(MO_SNA_FPStartDate,0,COLUMN())&amp;","&amp;INDEX(MO_Common_QEndDate,0,COLUMN())&amp;",,,,0)")),"N/A")</f>
        <v/>
      </c>
      <c r="AA476" s="266">
        <f>IFERROR(IF(INDEX(MO_Common_QEndDate,0,COLUMN())&gt;TODAY(),_xll.FDS(MO.ReportCurrency&amp;HP.TradeCurrency,"FG_PRICE(NOW)"),_xll.FDS(MO.ReportCurrency&amp;HP.TradeCurrency,"P_PRICE_AVG("&amp;INDEX(MO_SNA_FPStartDate,0,COLUMN())&amp;","&amp;INDEX(MO_Common_QEndDate,0,COLUMN())&amp;",,,,0)")),"N/A")</f>
        <v/>
      </c>
      <c r="AB476" s="266">
        <f>IFERROR(IF(INDEX(MO_Common_QEndDate,0,COLUMN())&gt;TODAY(),_xll.FDS(MO.ReportCurrency&amp;HP.TradeCurrency,"FG_PRICE(NOW)"),_xll.FDS(MO.ReportCurrency&amp;HP.TradeCurrency,"P_PRICE_AVG("&amp;INDEX(MO_SNA_FPStartDate,0,COLUMN())&amp;","&amp;INDEX(MO_Common_QEndDate,0,COLUMN())&amp;",,,,0)")),"N/A")</f>
        <v/>
      </c>
      <c r="AC476" s="266">
        <f>IFERROR(IF(INDEX(MO_Common_QEndDate,0,COLUMN())&gt;TODAY(),_xll.FDS(MO.ReportCurrency&amp;HP.TradeCurrency,"FG_PRICE(NOW)"),_xll.FDS(MO.ReportCurrency&amp;HP.TradeCurrency,"P_PRICE_AVG("&amp;INDEX(MO_SNA_FPStartDate,0,COLUMN())&amp;","&amp;INDEX(MO_Common_QEndDate,0,COLUMN())&amp;",,,,0)")),"N/A")</f>
        <v/>
      </c>
      <c r="AD476" s="266">
        <f>IFERROR(IF(INDEX(MO_Common_QEndDate,0,COLUMN())&gt;TODAY(),_xll.FDS(MO.ReportCurrency&amp;HP.TradeCurrency,"FG_PRICE(NOW)"),_xll.FDS(MO.ReportCurrency&amp;HP.TradeCurrency,"P_PRICE_AVG("&amp;INDEX(MO_SNA_FPStartDate,0,COLUMN())&amp;","&amp;INDEX(MO_Common_QEndDate,0,COLUMN())&amp;",,,,0)")),"N/A")</f>
        <v/>
      </c>
      <c r="AE476" s="266">
        <f>IFERROR(IF(INDEX(MO_Common_QEndDate,0,COLUMN())&gt;TODAY(),_xll.FDS(MO.ReportCurrency&amp;HP.TradeCurrency,"FG_PRICE(NOW)"),_xll.FDS(MO.ReportCurrency&amp;HP.TradeCurrency,"P_PRICE_AVG("&amp;INDEX(MO_SNA_FPStartDate,0,COLUMN())&amp;","&amp;INDEX(MO_Common_QEndDate,0,COLUMN())&amp;",,,,0)")),"N/A")</f>
        <v/>
      </c>
      <c r="AF476" s="266">
        <f>IFERROR(IF(INDEX(MO_Common_QEndDate,0,COLUMN())&gt;TODAY(),_xll.FDS(MO.ReportCurrency&amp;HP.TradeCurrency,"FG_PRICE(NOW)"),_xll.FDS(MO.ReportCurrency&amp;HP.TradeCurrency,"P_PRICE_AVG("&amp;INDEX(MO_SNA_FPStartDate,0,COLUMN())&amp;","&amp;INDEX(MO_Common_QEndDate,0,COLUMN())&amp;",,,,0)")),"N/A")</f>
        <v/>
      </c>
      <c r="AG476" s="266">
        <f>IFERROR(IF(INDEX(MO_Common_QEndDate,0,COLUMN())&gt;TODAY(),_xll.FDS(MO.ReportCurrency&amp;HP.TradeCurrency,"FG_PRICE(NOW)"),_xll.FDS(MO.ReportCurrency&amp;HP.TradeCurrency,"P_PRICE_AVG("&amp;INDEX(MO_SNA_FPStartDate,0,COLUMN())&amp;","&amp;INDEX(MO_Common_QEndDate,0,COLUMN())&amp;",,,,0)")),"N/A")</f>
        <v/>
      </c>
      <c r="AH476" s="266">
        <f>IFERROR(IF(INDEX(MO_Common_QEndDate,0,COLUMN())&gt;TODAY(),_xll.FDS(MO.ReportCurrency&amp;HP.TradeCurrency,"FG_PRICE(NOW)"),_xll.FDS(MO.ReportCurrency&amp;HP.TradeCurrency,"P_PRICE_AVG("&amp;INDEX(MO_SNA_FPStartDate,0,COLUMN())&amp;","&amp;INDEX(MO_Common_QEndDate,0,COLUMN())&amp;",,,,0)")),"N/A")</f>
        <v/>
      </c>
      <c r="AI476" s="266">
        <f>IFERROR(IF(INDEX(MO_Common_QEndDate,0,COLUMN())&gt;TODAY(),_xll.FDS(MO.ReportCurrency&amp;HP.TradeCurrency,"FG_PRICE(NOW)"),_xll.FDS(MO.ReportCurrency&amp;HP.TradeCurrency,"P_PRICE_AVG("&amp;INDEX(MO_SNA_FPStartDate,0,COLUMN())&amp;","&amp;INDEX(MO_Common_QEndDate,0,COLUMN())&amp;",,,,0)")),"N/A")</f>
        <v/>
      </c>
      <c r="AJ476" s="266">
        <f>IFERROR(IF(INDEX(MO_Common_QEndDate,0,COLUMN())&gt;TODAY(),_xll.FDS(MO.ReportCurrency&amp;HP.TradeCurrency,"FG_PRICE(NOW)"),_xll.FDS(MO.ReportCurrency&amp;HP.TradeCurrency,"P_PRICE_AVG("&amp;INDEX(MO_SNA_FPStartDate,0,COLUMN())&amp;","&amp;INDEX(MO_Common_QEndDate,0,COLUMN())&amp;",,,,0)")),"N/A")</f>
        <v/>
      </c>
      <c r="AK476" s="266">
        <f>IFERROR(IF(INDEX(MO_Common_QEndDate,0,COLUMN())&gt;TODAY(),_xll.FDS(MO.ReportCurrency&amp;HP.TradeCurrency,"FG_PRICE(NOW)"),_xll.FDS(MO.ReportCurrency&amp;HP.TradeCurrency,"P_PRICE_AVG("&amp;INDEX(MO_SNA_FPStartDate,0,COLUMN())&amp;","&amp;INDEX(MO_Common_QEndDate,0,COLUMN())&amp;",,,,0)")),"N/A")</f>
        <v/>
      </c>
      <c r="AL476" s="535">
        <f>IFERROR(IF(INDEX(MO_Common_QEndDate,0,COLUMN())&gt;TODAY(),_xll.FDS(MO.ReportCurrency&amp;HP.TradeCurrency,"FG_PRICE(NOW)"),_xll.FDS(MO.ReportCurrency&amp;HP.TradeCurrency,"P_PRICE_AVG("&amp;INDEX(MO_SNA_FPStartDate,0,COLUMN())&amp;","&amp;INDEX(MO_Common_QEndDate,0,COLUMN())&amp;",,,,0)")),"N/A")</f>
        <v/>
      </c>
      <c r="AM476" s="266">
        <f>IFERROR(IF(INDEX(MO_Common_QEndDate,0,COLUMN())&gt;TODAY(),_xll.FDS(MO.ReportCurrency&amp;HP.TradeCurrency,"FG_PRICE(NOW)"),_xll.FDS(MO.ReportCurrency&amp;HP.TradeCurrency,"P_PRICE_AVG("&amp;INDEX(MO_SNA_FPStartDate,0,COLUMN())&amp;","&amp;INDEX(MO_Common_QEndDate,0,COLUMN())&amp;",,,,0)")),"N/A")</f>
        <v/>
      </c>
      <c r="AN476" s="266">
        <f>IFERROR(IF(INDEX(MO_Common_QEndDate,0,COLUMN())&gt;TODAY(),_xll.FDS(MO.ReportCurrency&amp;HP.TradeCurrency,"FG_PRICE(NOW)"),_xll.FDS(MO.ReportCurrency&amp;HP.TradeCurrency,"P_PRICE_AVG("&amp;INDEX(MO_SNA_FPStartDate,0,COLUMN())&amp;","&amp;INDEX(MO_Common_QEndDate,0,COLUMN())&amp;",,,,0)")),"N/A")</f>
        <v/>
      </c>
      <c r="AO476" s="266">
        <f>IFERROR(IF(INDEX(MO_Common_QEndDate,0,COLUMN())&gt;TODAY(),_xll.FDS(MO.ReportCurrency&amp;HP.TradeCurrency,"FG_PRICE(NOW)"),_xll.FDS(MO.ReportCurrency&amp;HP.TradeCurrency,"P_PRICE_AVG("&amp;INDEX(MO_SNA_FPStartDate,0,COLUMN())&amp;","&amp;INDEX(MO_Common_QEndDate,0,COLUMN())&amp;",,,,0)")),"N/A")</f>
        <v/>
      </c>
      <c r="AP476" s="266">
        <f>IFERROR(IF(INDEX(MO_Common_QEndDate,0,COLUMN())&gt;TODAY(),_xll.FDS(MO.ReportCurrency&amp;HP.TradeCurrency,"FG_PRICE(NOW)"),_xll.FDS(MO.ReportCurrency&amp;HP.TradeCurrency,"P_PRICE_AVG("&amp;INDEX(MO_SNA_FPStartDate,0,COLUMN())&amp;","&amp;INDEX(MO_Common_QEndDate,0,COLUMN())&amp;",,,,0)")),"N/A")</f>
        <v/>
      </c>
      <c r="AQ476" s="266">
        <f>IFERROR(IF(INDEX(MO_Common_QEndDate,0,COLUMN())&gt;TODAY(),_xll.FDS(MO.ReportCurrency&amp;HP.TradeCurrency,"FG_PRICE(NOW)"),_xll.FDS(MO.ReportCurrency&amp;HP.TradeCurrency,"P_PRICE_AVG("&amp;INDEX(MO_SNA_FPStartDate,0,COLUMN())&amp;","&amp;INDEX(MO_Common_QEndDate,0,COLUMN())&amp;",,,,0)")),"N/A")</f>
        <v/>
      </c>
      <c r="AR476" s="266">
        <f>IFERROR(IF(INDEX(MO_Common_QEndDate,0,COLUMN())&gt;TODAY(),_xll.FDS(MO.ReportCurrency&amp;HP.TradeCurrency,"FG_PRICE(NOW)"),_xll.FDS(MO.ReportCurrency&amp;HP.TradeCurrency,"P_PRICE_AVG("&amp;INDEX(MO_SNA_FPStartDate,0,COLUMN())&amp;","&amp;INDEX(MO_Common_QEndDate,0,COLUMN())&amp;",,,,0)")),"N/A")</f>
        <v/>
      </c>
      <c r="AS476" s="266">
        <f>IFERROR(IF(INDEX(MO_Common_QEndDate,0,COLUMN())&gt;TODAY(),_xll.FDS(MO.ReportCurrency&amp;HP.TradeCurrency,"FG_PRICE(NOW)"),_xll.FDS(MO.ReportCurrency&amp;HP.TradeCurrency,"P_PRICE_AVG("&amp;INDEX(MO_SNA_FPStartDate,0,COLUMN())&amp;","&amp;INDEX(MO_Common_QEndDate,0,COLUMN())&amp;",,,,0)")),"N/A")</f>
        <v/>
      </c>
      <c r="AT476" s="266">
        <f>IFERROR(IF(INDEX(MO_Common_QEndDate,0,COLUMN())&gt;TODAY(),_xll.FDS(MO.ReportCurrency&amp;HP.TradeCurrency,"FG_PRICE(NOW)"),_xll.FDS(MO.ReportCurrency&amp;HP.TradeCurrency,"P_PRICE_AVG("&amp;INDEX(MO_SNA_FPStartDate,0,COLUMN())&amp;","&amp;INDEX(MO_Common_QEndDate,0,COLUMN())&amp;",,,,0)")),"N/A")</f>
        <v/>
      </c>
      <c r="AU476" s="266">
        <f>IFERROR(IF(INDEX(MO_Common_QEndDate,0,COLUMN())&gt;TODAY(),_xll.FDS(MO.ReportCurrency&amp;HP.TradeCurrency,"FG_PRICE(NOW)"),_xll.FDS(MO.ReportCurrency&amp;HP.TradeCurrency,"P_PRICE_AVG("&amp;INDEX(MO_SNA_FPStartDate,0,COLUMN())&amp;","&amp;INDEX(MO_Common_QEndDate,0,COLUMN())&amp;",,,,0)")),"N/A")</f>
        <v/>
      </c>
      <c r="AV476" s="266">
        <f>IFERROR(IF(INDEX(MO_Common_QEndDate,0,COLUMN())&gt;TODAY(),_xll.FDS(MO.ReportCurrency&amp;HP.TradeCurrency,"FG_PRICE(NOW)"),_xll.FDS(MO.ReportCurrency&amp;HP.TradeCurrency,"P_PRICE_AVG("&amp;INDEX(MO_SNA_FPStartDate,0,COLUMN())&amp;","&amp;INDEX(MO_Common_QEndDate,0,COLUMN())&amp;",,,,0)")),"N/A")</f>
        <v/>
      </c>
      <c r="AW476" s="267">
        <f>IFERROR(IF(INDEX(MO_Common_QEndDate,0,COLUMN())&gt;TODAY(),_xll.FDS(MO.ReportCurrency&amp;HP.TradeCurrency,"FG_PRICE(NOW)"),_xll.FDS(MO.ReportCurrency&amp;HP.TradeCurrency,"P_PRICE_AVG("&amp;INDEX(MO_SNA_FPStartDate,0,COLUMN())&amp;","&amp;INDEX(MO_Common_QEndDate,0,COLUMN())&amp;",,,,0)")),"N/A")</f>
        <v/>
      </c>
      <c r="AX476" s="251" t="n"/>
    </row>
    <row r="477" hidden="1" outlineLevel="1" customFormat="1" s="490">
      <c r="A477" s="536" t="inlineStr">
        <is>
          <t>Thomson</t>
        </is>
      </c>
      <c r="B477" s="266" t="n"/>
      <c r="C477" s="534">
        <f>"N/A"</f>
        <v/>
      </c>
      <c r="D477" s="534">
        <f>"N/A"</f>
        <v/>
      </c>
      <c r="E477" s="534">
        <f>"N/A"</f>
        <v/>
      </c>
      <c r="F477" s="534">
        <f>"N/A"</f>
        <v/>
      </c>
      <c r="G477" s="534">
        <f>"N/A"</f>
        <v/>
      </c>
      <c r="H477" s="266">
        <f>"N/A"</f>
        <v/>
      </c>
      <c r="I477" s="266">
        <f>"N/A"</f>
        <v/>
      </c>
      <c r="J477" s="266">
        <f>"N/A"</f>
        <v/>
      </c>
      <c r="K477" s="266">
        <f>"N/A"</f>
        <v/>
      </c>
      <c r="L477" s="266">
        <f>"N/A"</f>
        <v/>
      </c>
      <c r="M477" s="266">
        <f>"N/A"</f>
        <v/>
      </c>
      <c r="N477" s="266">
        <f>"N/A"</f>
        <v/>
      </c>
      <c r="O477" s="266">
        <f>"N/A"</f>
        <v/>
      </c>
      <c r="P477" s="266">
        <f>"N/A"</f>
        <v/>
      </c>
      <c r="Q477" s="266">
        <f>"N/A"</f>
        <v/>
      </c>
      <c r="R477" s="266">
        <f>"N/A"</f>
        <v/>
      </c>
      <c r="S477" s="266">
        <f>"N/A"</f>
        <v/>
      </c>
      <c r="T477" s="266">
        <f>"N/A"</f>
        <v/>
      </c>
      <c r="U477" s="266">
        <f>"N/A"</f>
        <v/>
      </c>
      <c r="V477" s="266">
        <f>"N/A"</f>
        <v/>
      </c>
      <c r="W477" s="266">
        <f>"N/A"</f>
        <v/>
      </c>
      <c r="X477" s="266">
        <f>"N/A"</f>
        <v/>
      </c>
      <c r="Y477" s="266">
        <f>"N/A"</f>
        <v/>
      </c>
      <c r="Z477" s="266">
        <f>"N/A"</f>
        <v/>
      </c>
      <c r="AA477" s="266">
        <f>"N/A"</f>
        <v/>
      </c>
      <c r="AB477" s="266">
        <f>"N/A"</f>
        <v/>
      </c>
      <c r="AC477" s="266">
        <f>"N/A"</f>
        <v/>
      </c>
      <c r="AD477" s="266">
        <f>"N/A"</f>
        <v/>
      </c>
      <c r="AE477" s="266">
        <f>"N/A"</f>
        <v/>
      </c>
      <c r="AF477" s="266">
        <f>"N/A"</f>
        <v/>
      </c>
      <c r="AG477" s="266">
        <f>"N/A"</f>
        <v/>
      </c>
      <c r="AH477" s="266">
        <f>"N/A"</f>
        <v/>
      </c>
      <c r="AI477" s="266">
        <f>"N/A"</f>
        <v/>
      </c>
      <c r="AJ477" s="266">
        <f>"N/A"</f>
        <v/>
      </c>
      <c r="AK477" s="266">
        <f>"N/A"</f>
        <v/>
      </c>
      <c r="AL477" s="535">
        <f>"N/A"</f>
        <v/>
      </c>
      <c r="AM477" s="266">
        <f>"N/A"</f>
        <v/>
      </c>
      <c r="AN477" s="266">
        <f>"N/A"</f>
        <v/>
      </c>
      <c r="AO477" s="266">
        <f>"N/A"</f>
        <v/>
      </c>
      <c r="AP477" s="266">
        <f>"N/A"</f>
        <v/>
      </c>
      <c r="AQ477" s="266">
        <f>"N/A"</f>
        <v/>
      </c>
      <c r="AR477" s="266">
        <f>"N/A"</f>
        <v/>
      </c>
      <c r="AS477" s="266">
        <f>"N/A"</f>
        <v/>
      </c>
      <c r="AT477" s="266">
        <f>"N/A"</f>
        <v/>
      </c>
      <c r="AU477" s="266">
        <f>"N/A"</f>
        <v/>
      </c>
      <c r="AV477" s="266">
        <f>"N/A"</f>
        <v/>
      </c>
      <c r="AW477" s="267">
        <f>"N/A"</f>
        <v/>
      </c>
      <c r="AX477" s="251" t="n"/>
    </row>
    <row r="478" collapsed="1" customFormat="1" s="5">
      <c r="A478" s="516" t="n"/>
      <c r="B478" s="158" t="n"/>
      <c r="C478" s="520" t="n"/>
      <c r="D478" s="520" t="n"/>
      <c r="E478" s="520" t="n"/>
      <c r="F478" s="520" t="n"/>
      <c r="G478" s="520" t="n"/>
      <c r="H478" s="158" t="n"/>
      <c r="I478" s="158" t="n"/>
      <c r="J478" s="158" t="n"/>
      <c r="K478" s="158" t="n"/>
      <c r="L478" s="158" t="n"/>
      <c r="M478" s="158" t="n"/>
      <c r="N478" s="158" t="n"/>
      <c r="O478" s="158" t="n"/>
      <c r="P478" s="158" t="n"/>
      <c r="Q478" s="158" t="n"/>
      <c r="R478" s="158" t="n"/>
      <c r="S478" s="158" t="n"/>
      <c r="T478" s="158" t="n"/>
      <c r="U478" s="158" t="n"/>
      <c r="V478" s="158" t="n"/>
      <c r="W478" s="158" t="n"/>
      <c r="X478" s="158" t="n"/>
      <c r="Y478" s="158" t="n"/>
      <c r="Z478" s="158" t="n"/>
      <c r="AA478" s="158" t="n"/>
      <c r="AB478" s="158" t="n"/>
      <c r="AC478" s="158" t="n"/>
      <c r="AD478" s="158" t="n"/>
      <c r="AE478" s="158" t="n"/>
      <c r="AF478" s="158" t="n"/>
      <c r="AG478" s="158" t="n"/>
      <c r="AH478" s="158" t="n"/>
      <c r="AI478" s="158" t="n"/>
      <c r="AJ478" s="158" t="n"/>
      <c r="AK478" s="158" t="n"/>
      <c r="AL478" s="537" t="n"/>
      <c r="AM478" s="158" t="n"/>
      <c r="AN478" s="158" t="n"/>
      <c r="AO478" s="158" t="n"/>
      <c r="AP478" s="158" t="n"/>
      <c r="AQ478" s="158" t="n"/>
      <c r="AR478" s="158" t="n"/>
      <c r="AS478" s="158" t="n"/>
      <c r="AT478" s="158" t="n"/>
      <c r="AU478" s="158" t="n"/>
      <c r="AV478" s="158" t="n"/>
      <c r="AW478" s="163" t="n"/>
      <c r="AX478" s="228" t="n"/>
    </row>
    <row r="479" customFormat="1" s="5">
      <c r="A479" s="501" t="n"/>
      <c r="B479" s="228" t="n"/>
      <c r="C479" s="502" t="n"/>
      <c r="D479" s="502" t="n"/>
      <c r="E479" s="228" t="n"/>
      <c r="F479" s="228" t="n"/>
      <c r="G479" s="228" t="n"/>
      <c r="H479" s="228" t="n"/>
      <c r="I479" s="228" t="n"/>
      <c r="J479" s="228" t="n"/>
      <c r="K479" s="228" t="n"/>
      <c r="L479" s="228" t="n"/>
      <c r="M479" s="228" t="n"/>
      <c r="N479" s="228" t="n"/>
      <c r="O479" s="228" t="n"/>
      <c r="P479" s="228" t="n"/>
      <c r="Q479" s="228" t="n"/>
      <c r="R479" s="228" t="n"/>
      <c r="S479" s="228" t="n"/>
      <c r="T479" s="228" t="n"/>
      <c r="U479" s="228" t="n"/>
      <c r="V479" s="228" t="n"/>
      <c r="W479" s="228" t="n"/>
      <c r="X479" s="228" t="n"/>
      <c r="Y479" s="228" t="n"/>
      <c r="Z479" s="228" t="n"/>
      <c r="AA479" s="228" t="n"/>
      <c r="AB479" s="228" t="n"/>
      <c r="AC479" s="228" t="n"/>
      <c r="AD479" s="228" t="n"/>
      <c r="AE479" s="228" t="n"/>
      <c r="AF479" s="228" t="n"/>
      <c r="AG479" s="228" t="n"/>
      <c r="AH479" s="228" t="n"/>
      <c r="AI479" s="228" t="n"/>
      <c r="AJ479" s="228" t="n"/>
      <c r="AK479" s="228" t="n"/>
      <c r="AL479" s="499" t="n"/>
      <c r="AM479" s="228" t="n"/>
      <c r="AN479" s="228" t="n"/>
      <c r="AO479" s="228" t="n"/>
      <c r="AP479" s="228" t="n"/>
      <c r="AQ479" s="228" t="n"/>
      <c r="AR479" s="228" t="n"/>
      <c r="AS479" s="228" t="n"/>
      <c r="AT479" s="228" t="n"/>
      <c r="AU479" s="228" t="n"/>
      <c r="AV479" s="228" t="n"/>
      <c r="AW479" s="228" t="n"/>
      <c r="AX479" s="228" t="n"/>
    </row>
    <row r="480" customFormat="1" s="5">
      <c r="A480" s="225" t="inlineStr">
        <is>
          <t>General Table</t>
        </is>
      </c>
      <c r="B480" s="229" t="n"/>
      <c r="C480" s="228" t="n"/>
      <c r="D480" s="228" t="n"/>
      <c r="E480" s="228" t="n"/>
      <c r="F480" s="228" t="n"/>
      <c r="G480" s="228" t="n"/>
      <c r="H480" s="228" t="n"/>
      <c r="I480" s="228" t="n"/>
      <c r="J480" s="228" t="n"/>
      <c r="K480" s="228" t="n"/>
      <c r="L480" s="228" t="n"/>
      <c r="M480" s="228" t="n"/>
      <c r="N480" s="228" t="n"/>
      <c r="O480" s="228" t="n"/>
      <c r="P480" s="228" t="n"/>
      <c r="Q480" s="228" t="n"/>
      <c r="R480" s="228" t="n"/>
      <c r="S480" s="228" t="n"/>
      <c r="T480" s="228" t="n"/>
      <c r="U480" s="228" t="n"/>
      <c r="V480" s="228" t="n"/>
      <c r="W480" s="228" t="n"/>
      <c r="X480" s="228" t="n"/>
      <c r="Y480" s="228" t="n"/>
      <c r="Z480" s="228" t="n"/>
      <c r="AA480" s="228" t="n"/>
      <c r="AB480" s="228" t="n"/>
      <c r="AC480" s="228" t="n"/>
      <c r="AD480" s="228" t="n"/>
      <c r="AE480" s="228" t="n"/>
      <c r="AF480" s="228" t="n"/>
      <c r="AG480" s="228" t="n"/>
      <c r="AH480" s="228" t="n"/>
      <c r="AI480" s="228" t="n"/>
      <c r="AJ480" s="228" t="n"/>
      <c r="AK480" s="228" t="n"/>
      <c r="AL480" s="499" t="n"/>
      <c r="AM480" s="228" t="n"/>
      <c r="AN480" s="228" t="n"/>
      <c r="AO480" s="228" t="n"/>
      <c r="AP480" s="228" t="n"/>
      <c r="AQ480" s="228" t="n"/>
      <c r="AR480" s="228" t="n"/>
      <c r="AS480" s="228" t="n"/>
      <c r="AT480" s="228" t="n"/>
      <c r="AU480" s="228" t="n"/>
      <c r="AV480" s="228" t="n"/>
      <c r="AW480" s="228" t="n"/>
      <c r="AX480" s="228" t="n"/>
    </row>
    <row r="481" customFormat="1" s="226">
      <c r="A481" s="230" t="inlineStr">
        <is>
          <t>Last Price</t>
        </is>
      </c>
      <c r="B481" s="231">
        <f>FP.LastPrice</f>
        <v/>
      </c>
      <c r="C481" s="232" t="n"/>
      <c r="D481" s="232" t="n"/>
      <c r="E481" s="232" t="n"/>
      <c r="F481" s="232" t="n"/>
      <c r="G481" s="232" t="n"/>
      <c r="H481" s="232" t="n"/>
      <c r="I481" s="232" t="n"/>
      <c r="J481" s="232" t="n"/>
      <c r="K481" s="232" t="n"/>
      <c r="L481" s="232" t="n"/>
      <c r="M481" s="232" t="n"/>
      <c r="N481" s="232" t="n"/>
      <c r="O481" s="232" t="n"/>
      <c r="P481" s="232" t="n"/>
      <c r="Q481" s="232" t="n"/>
      <c r="R481" s="232" t="n"/>
      <c r="S481" s="232" t="n"/>
      <c r="T481" s="232" t="n"/>
      <c r="U481" s="232" t="n"/>
      <c r="V481" s="232" t="n"/>
      <c r="W481" s="232" t="n"/>
      <c r="X481" s="232" t="n"/>
      <c r="Y481" s="232" t="n"/>
      <c r="Z481" s="232" t="n"/>
      <c r="AA481" s="232" t="n"/>
      <c r="AB481" s="232" t="n"/>
      <c r="AC481" s="232" t="n"/>
      <c r="AD481" s="232" t="n"/>
      <c r="AE481" s="232" t="n"/>
      <c r="AF481" s="232" t="n"/>
      <c r="AG481" s="232" t="n"/>
      <c r="AH481" s="232" t="n"/>
      <c r="AI481" s="232" t="n"/>
      <c r="AJ481" s="232" t="n"/>
      <c r="AK481" s="232" t="n"/>
      <c r="AL481" s="538" t="n"/>
      <c r="AM481" s="232" t="n"/>
      <c r="AN481" s="232" t="n"/>
      <c r="AO481" s="232" t="n"/>
      <c r="AP481" s="232" t="n"/>
      <c r="AQ481" s="232" t="n"/>
      <c r="AR481" s="232" t="n"/>
      <c r="AS481" s="232" t="n"/>
      <c r="AT481" s="232" t="n"/>
      <c r="AU481" s="232" t="n"/>
      <c r="AV481" s="232" t="n"/>
      <c r="AW481" s="232" t="n"/>
      <c r="AX481" s="232" t="n"/>
    </row>
    <row r="482">
      <c r="A482" s="36" t="inlineStr">
        <is>
          <t>Last Price Date</t>
        </is>
      </c>
      <c r="B482" s="233">
        <f>FP.LastPriceDate</f>
        <v/>
      </c>
      <c r="C482" s="155" t="n"/>
      <c r="D482" s="155" t="n"/>
      <c r="E482" s="155" t="n"/>
      <c r="F482" s="155" t="n"/>
      <c r="G482" s="155" t="n"/>
      <c r="H482" s="155" t="n"/>
      <c r="I482" s="155" t="n"/>
      <c r="J482" s="155" t="n"/>
      <c r="K482" s="155" t="n"/>
      <c r="L482" s="155" t="n"/>
      <c r="M482" s="155" t="n"/>
      <c r="N482" s="155" t="n"/>
      <c r="O482" s="155" t="n"/>
      <c r="P482" s="155" t="n"/>
      <c r="Q482" s="155" t="n"/>
      <c r="R482" s="155" t="n"/>
      <c r="S482" s="155" t="n"/>
      <c r="T482" s="155" t="n"/>
      <c r="U482" s="155" t="n"/>
      <c r="V482" s="155" t="n"/>
      <c r="W482" s="155" t="n"/>
      <c r="X482" s="155" t="n"/>
      <c r="Y482" s="155" t="n"/>
      <c r="Z482" s="155" t="n"/>
      <c r="AA482" s="155" t="n"/>
      <c r="AB482" s="155" t="n"/>
      <c r="AC482" s="155" t="n"/>
      <c r="AD482" s="155" t="n"/>
      <c r="AE482" s="155" t="n"/>
      <c r="AF482" s="155" t="n"/>
      <c r="AG482" s="155" t="n"/>
      <c r="AH482" s="155" t="n"/>
      <c r="AI482" s="155" t="n"/>
      <c r="AJ482" s="155" t="n"/>
      <c r="AK482" s="155" t="n"/>
      <c r="AL482" s="539" t="n"/>
      <c r="AM482" s="155" t="n"/>
      <c r="AN482" s="155" t="n"/>
      <c r="AO482" s="155" t="n"/>
      <c r="AP482" s="155" t="n"/>
      <c r="AQ482" s="155" t="n"/>
      <c r="AR482" s="155" t="n"/>
      <c r="AS482" s="155" t="n"/>
      <c r="AT482" s="155" t="n"/>
      <c r="AU482" s="155" t="n"/>
      <c r="AV482" s="155" t="n"/>
      <c r="AW482" s="155" t="n"/>
      <c r="AX482" s="155" t="n"/>
    </row>
    <row r="483">
      <c r="A483" s="36" t="inlineStr">
        <is>
          <t>Real-Time Stock Price</t>
        </is>
      </c>
      <c r="B483" s="155">
        <f>IF(FP.RealTimeToggle="ON",TRUE,FALSE)</f>
        <v/>
      </c>
      <c r="C483" s="155" t="n"/>
      <c r="D483" s="155" t="n"/>
      <c r="E483" s="155" t="n"/>
      <c r="F483" s="155" t="n"/>
      <c r="G483" s="155" t="n"/>
      <c r="H483" s="155" t="n"/>
      <c r="I483" s="155" t="n"/>
      <c r="J483" s="155" t="n"/>
      <c r="K483" s="155" t="n"/>
      <c r="L483" s="155" t="n"/>
      <c r="M483" s="155" t="n"/>
      <c r="N483" s="155" t="n"/>
      <c r="O483" s="155" t="n"/>
      <c r="P483" s="155" t="n"/>
      <c r="Q483" s="155" t="n"/>
      <c r="R483" s="155" t="n"/>
      <c r="S483" s="155" t="n"/>
      <c r="T483" s="155" t="n"/>
      <c r="U483" s="155" t="n"/>
      <c r="V483" s="155" t="n"/>
      <c r="W483" s="155" t="n"/>
      <c r="X483" s="155" t="n"/>
      <c r="Y483" s="155" t="n"/>
      <c r="Z483" s="155" t="n"/>
      <c r="AA483" s="155" t="n"/>
      <c r="AB483" s="155" t="n"/>
      <c r="AC483" s="155" t="n"/>
      <c r="AD483" s="155" t="n"/>
      <c r="AE483" s="155" t="n"/>
      <c r="AF483" s="155" t="n"/>
      <c r="AG483" s="155" t="n"/>
      <c r="AH483" s="155" t="n"/>
      <c r="AI483" s="155" t="n"/>
      <c r="AJ483" s="155" t="n"/>
      <c r="AK483" s="155" t="n"/>
      <c r="AL483" s="539" t="n"/>
      <c r="AM483" s="155" t="n"/>
      <c r="AN483" s="155" t="n"/>
      <c r="AO483" s="155" t="n"/>
      <c r="AP483" s="155" t="n"/>
      <c r="AQ483" s="155" t="n"/>
      <c r="AR483" s="155" t="n"/>
      <c r="AS483" s="155" t="n"/>
      <c r="AT483" s="155" t="n"/>
      <c r="AU483" s="155" t="n"/>
      <c r="AV483" s="155" t="n"/>
      <c r="AW483" s="155" t="n"/>
      <c r="AX483" s="155" t="n"/>
    </row>
    <row r="484" customFormat="1" s="226">
      <c r="A484" s="230" t="inlineStr">
        <is>
          <t>Last Price Formula</t>
        </is>
      </c>
      <c r="B484" s="232">
        <f>IFERROR(CHOOSE(MO.DataSourceIndex,_xll.BDP(MO.Ticker.Bloomberg&amp;" EQUITY","LAST_PRICE"),_xll.CIQ(MO.Ticker.CapIQ,"IQ_LASTSALEPRICE"),_xll.FDS(MO.Ticker.FactSet,"FG_PRICE(NOW)"),_xll.TR(MO.Ticker.Thomson,"TRDPRC_1")),"N/A")</f>
        <v/>
      </c>
      <c r="C484" s="232" t="n"/>
      <c r="D484" s="232" t="n"/>
      <c r="E484" s="232" t="n"/>
      <c r="F484" s="232" t="n"/>
      <c r="G484" s="232" t="n"/>
      <c r="H484" s="232" t="n"/>
      <c r="I484" s="232" t="n"/>
      <c r="J484" s="232" t="n"/>
      <c r="K484" s="232" t="n"/>
      <c r="L484" s="232" t="n"/>
      <c r="M484" s="232" t="n"/>
      <c r="N484" s="232" t="n"/>
      <c r="O484" s="232" t="n"/>
      <c r="P484" s="232" t="n"/>
      <c r="Q484" s="232" t="n"/>
      <c r="R484" s="232" t="n"/>
      <c r="S484" s="232" t="n"/>
      <c r="T484" s="232" t="n"/>
      <c r="U484" s="232" t="n"/>
      <c r="V484" s="232" t="n"/>
      <c r="W484" s="232" t="n"/>
      <c r="X484" s="232" t="n"/>
      <c r="Y484" s="232" t="n"/>
      <c r="Z484" s="232" t="n"/>
      <c r="AA484" s="232" t="n"/>
      <c r="AB484" s="232" t="n"/>
      <c r="AC484" s="232" t="n"/>
      <c r="AD484" s="232" t="n"/>
      <c r="AE484" s="232" t="n"/>
      <c r="AF484" s="232" t="n"/>
      <c r="AG484" s="232" t="n"/>
      <c r="AH484" s="232" t="n"/>
      <c r="AI484" s="232" t="n"/>
      <c r="AJ484" s="232" t="n"/>
      <c r="AK484" s="232" t="n"/>
      <c r="AL484" s="538" t="n"/>
      <c r="AM484" s="232" t="n"/>
      <c r="AN484" s="232" t="n"/>
      <c r="AO484" s="232" t="n"/>
      <c r="AP484" s="232" t="n"/>
      <c r="AQ484" s="232" t="n"/>
      <c r="AR484" s="232" t="n"/>
      <c r="AS484" s="232" t="n"/>
      <c r="AT484" s="232" t="n"/>
      <c r="AU484" s="232" t="n"/>
      <c r="AV484" s="232" t="n"/>
      <c r="AW484" s="232" t="n"/>
      <c r="AX484" s="232" t="n"/>
    </row>
    <row r="485" customFormat="1" s="226">
      <c r="A485" s="230" t="inlineStr">
        <is>
          <t>Trade Currency</t>
        </is>
      </c>
      <c r="B485" s="232">
        <f>IFERROR(CHOOSE(MO.DataSourceIndex,_xll.BDP(HP.Ticker&amp;" Equity","CRNCY"),_xll.CIQ(HP.Ticker,"IQ_TRADING_CURRENCY"),_xll.FDS(HP.Ticker,"P_CURRENCY(""ISO"")"),_xll.TR(HP.Ticker,"Currency")),HP.TradeCurrency.HardCoded)</f>
        <v/>
      </c>
      <c r="C485" s="232" t="n"/>
      <c r="D485" s="232" t="n"/>
      <c r="E485" s="232" t="n"/>
      <c r="F485" s="232" t="n"/>
      <c r="G485" s="232" t="n"/>
      <c r="H485" s="232" t="n"/>
      <c r="I485" s="232" t="n"/>
      <c r="J485" s="232" t="n"/>
      <c r="K485" s="232" t="n"/>
      <c r="L485" s="232" t="n"/>
      <c r="M485" s="232" t="n"/>
      <c r="N485" s="232" t="n"/>
      <c r="O485" s="232" t="n"/>
      <c r="P485" s="232" t="n"/>
      <c r="Q485" s="232" t="n"/>
      <c r="R485" s="232" t="n"/>
      <c r="S485" s="232" t="n"/>
      <c r="T485" s="232" t="n"/>
      <c r="U485" s="232" t="n"/>
      <c r="V485" s="232" t="n"/>
      <c r="W485" s="232" t="n"/>
      <c r="X485" s="232" t="n"/>
      <c r="Y485" s="232" t="n"/>
      <c r="Z485" s="232" t="n"/>
      <c r="AA485" s="232" t="n"/>
      <c r="AB485" s="232" t="n"/>
      <c r="AC485" s="232" t="n"/>
      <c r="AD485" s="232" t="n"/>
      <c r="AE485" s="232" t="n"/>
      <c r="AF485" s="232" t="n"/>
      <c r="AG485" s="232" t="n"/>
      <c r="AH485" s="232" t="n"/>
      <c r="AI485" s="232" t="n"/>
      <c r="AJ485" s="232" t="n"/>
      <c r="AK485" s="232" t="n"/>
      <c r="AL485" s="538" t="n"/>
      <c r="AM485" s="232" t="n"/>
      <c r="AN485" s="232" t="n"/>
      <c r="AO485" s="232" t="n"/>
      <c r="AP485" s="232" t="n"/>
      <c r="AQ485" s="232" t="n"/>
      <c r="AR485" s="232" t="n"/>
      <c r="AS485" s="232" t="n"/>
      <c r="AT485" s="232" t="n"/>
      <c r="AU485" s="232" t="n"/>
      <c r="AV485" s="232" t="n"/>
      <c r="AW485" s="232" t="n"/>
      <c r="AX485" s="232" t="n"/>
    </row>
    <row r="486" customFormat="1" s="226">
      <c r="A486" s="230" t="inlineStr">
        <is>
          <t>Trade Currency Hardcoded</t>
        </is>
      </c>
      <c r="B486" s="232" t="inlineStr">
        <is>
          <t>USD</t>
        </is>
      </c>
      <c r="C486" s="232" t="n"/>
      <c r="D486" s="232" t="n"/>
      <c r="E486" s="232" t="n"/>
      <c r="F486" s="232" t="n"/>
      <c r="G486" s="232" t="n"/>
      <c r="H486" s="232" t="n"/>
      <c r="I486" s="232" t="n"/>
      <c r="J486" s="232" t="n"/>
      <c r="K486" s="232" t="n"/>
      <c r="L486" s="232" t="n"/>
      <c r="M486" s="232" t="n"/>
      <c r="N486" s="232" t="n"/>
      <c r="O486" s="232" t="n"/>
      <c r="P486" s="232" t="n"/>
      <c r="Q486" s="232" t="n"/>
      <c r="R486" s="232" t="n"/>
      <c r="S486" s="232" t="n"/>
      <c r="T486" s="232" t="n"/>
      <c r="U486" s="232" t="n"/>
      <c r="V486" s="232" t="n"/>
      <c r="W486" s="232" t="n"/>
      <c r="X486" s="232" t="n"/>
      <c r="Y486" s="232" t="n"/>
      <c r="Z486" s="232" t="n"/>
      <c r="AA486" s="232" t="n"/>
      <c r="AB486" s="232" t="n"/>
      <c r="AC486" s="232" t="n"/>
      <c r="AD486" s="232" t="n"/>
      <c r="AE486" s="232" t="n"/>
      <c r="AF486" s="232" t="n"/>
      <c r="AG486" s="232" t="n"/>
      <c r="AH486" s="232" t="n"/>
      <c r="AI486" s="232" t="n"/>
      <c r="AJ486" s="232" t="n"/>
      <c r="AK486" s="232" t="n"/>
      <c r="AL486" s="538" t="n"/>
      <c r="AM486" s="232" t="n"/>
      <c r="AN486" s="232" t="n"/>
      <c r="AO486" s="232" t="n"/>
      <c r="AP486" s="232" t="n"/>
      <c r="AQ486" s="232" t="n"/>
      <c r="AR486" s="232" t="n"/>
      <c r="AS486" s="232" t="n"/>
      <c r="AT486" s="232" t="n"/>
      <c r="AU486" s="232" t="n"/>
      <c r="AV486" s="232" t="n"/>
      <c r="AW486" s="232" t="n"/>
      <c r="AX486" s="232" t="n"/>
    </row>
    <row r="487" customFormat="1" s="226">
      <c r="A487" s="230" t="inlineStr">
        <is>
          <t>Model Sheet Currency Hardcoded</t>
        </is>
      </c>
      <c r="B487" s="232" t="inlineStr">
        <is>
          <t>USD</t>
        </is>
      </c>
      <c r="C487" s="232" t="n"/>
      <c r="D487" s="232" t="n"/>
      <c r="E487" s="232" t="n"/>
      <c r="F487" s="232" t="n"/>
      <c r="G487" s="232" t="n"/>
      <c r="H487" s="232" t="n"/>
      <c r="I487" s="232" t="n"/>
      <c r="J487" s="232" t="n"/>
      <c r="K487" s="232" t="n"/>
      <c r="L487" s="232" t="n"/>
      <c r="M487" s="232" t="n"/>
      <c r="N487" s="232" t="n"/>
      <c r="O487" s="232" t="n"/>
      <c r="P487" s="232" t="n"/>
      <c r="Q487" s="232" t="n"/>
      <c r="R487" s="232" t="n"/>
      <c r="S487" s="232" t="n"/>
      <c r="T487" s="232" t="n"/>
      <c r="U487" s="232" t="n"/>
      <c r="V487" s="232" t="n"/>
      <c r="W487" s="232" t="n"/>
      <c r="X487" s="232" t="n"/>
      <c r="Y487" s="232" t="n"/>
      <c r="Z487" s="232" t="n"/>
      <c r="AA487" s="232" t="n"/>
      <c r="AB487" s="232" t="n"/>
      <c r="AC487" s="232" t="n"/>
      <c r="AD487" s="232" t="n"/>
      <c r="AE487" s="232" t="n"/>
      <c r="AF487" s="232" t="n"/>
      <c r="AG487" s="232" t="n"/>
      <c r="AH487" s="232" t="n"/>
      <c r="AI487" s="232" t="n"/>
      <c r="AJ487" s="232" t="n"/>
      <c r="AK487" s="232" t="n"/>
      <c r="AL487" s="538" t="n"/>
      <c r="AM487" s="232" t="n"/>
      <c r="AN487" s="232" t="n"/>
      <c r="AO487" s="232" t="n"/>
      <c r="AP487" s="232" t="n"/>
      <c r="AQ487" s="232" t="n"/>
      <c r="AR487" s="232" t="n"/>
      <c r="AS487" s="232" t="n"/>
      <c r="AT487" s="232" t="n"/>
      <c r="AU487" s="232" t="n"/>
      <c r="AV487" s="232" t="n"/>
      <c r="AW487" s="232" t="n"/>
      <c r="AX487" s="232" t="n"/>
    </row>
    <row r="488" customFormat="1" s="226">
      <c r="A488" s="230" t="inlineStr">
        <is>
          <t>Most Recent FX</t>
        </is>
      </c>
      <c r="B488" s="251">
        <f>IF(MO.ReportFX=HP.TradeCurrency,1,IF(OR(INDEX(MO_SPT_FXAverage,1,MO.MRFPColumnNumber+1)="N/A",ISERROR(INDEX(MO_SPT_FXAverage,1,MO.MRFPColumnNumber+1))),MO.MRFX.Hardcoded,INDEX(MO_SPT_FXAverage,1,MO.MRFPColumnNumber+1)))</f>
        <v/>
      </c>
      <c r="C488" s="232" t="n"/>
      <c r="D488" s="232" t="n"/>
      <c r="E488" s="232" t="n"/>
      <c r="F488" s="232" t="n"/>
      <c r="G488" s="232" t="n"/>
      <c r="H488" s="232" t="n"/>
      <c r="I488" s="232" t="n"/>
      <c r="J488" s="232" t="n"/>
      <c r="K488" s="232" t="n"/>
      <c r="L488" s="232" t="n"/>
      <c r="M488" s="232" t="n"/>
      <c r="N488" s="232" t="n"/>
      <c r="O488" s="232" t="n"/>
      <c r="P488" s="232" t="n"/>
      <c r="Q488" s="232" t="n"/>
      <c r="R488" s="232" t="n"/>
      <c r="S488" s="232" t="n"/>
      <c r="T488" s="232" t="n"/>
      <c r="U488" s="232" t="n"/>
      <c r="V488" s="232" t="n"/>
      <c r="W488" s="232" t="n"/>
      <c r="X488" s="232" t="n"/>
      <c r="Y488" s="232" t="n"/>
      <c r="Z488" s="232" t="n"/>
      <c r="AA488" s="232" t="n"/>
      <c r="AB488" s="232" t="n"/>
      <c r="AC488" s="232" t="n"/>
      <c r="AD488" s="232" t="n"/>
      <c r="AE488" s="232" t="n"/>
      <c r="AF488" s="232" t="n"/>
      <c r="AG488" s="232" t="n"/>
      <c r="AH488" s="232" t="n"/>
      <c r="AI488" s="232" t="n"/>
      <c r="AJ488" s="232" t="n"/>
      <c r="AK488" s="232" t="n"/>
      <c r="AL488" s="538" t="n"/>
      <c r="AM488" s="232" t="n"/>
      <c r="AN488" s="232" t="n"/>
      <c r="AO488" s="232" t="n"/>
      <c r="AP488" s="232" t="n"/>
      <c r="AQ488" s="232" t="n"/>
      <c r="AR488" s="232" t="n"/>
      <c r="AS488" s="232" t="n"/>
      <c r="AT488" s="232" t="n"/>
      <c r="AU488" s="232" t="n"/>
      <c r="AV488" s="232" t="n"/>
      <c r="AW488" s="232" t="n"/>
      <c r="AX488" s="232" t="n"/>
    </row>
    <row r="489" customFormat="1" s="226">
      <c r="A489" s="230" t="inlineStr">
        <is>
          <t>Most Recent FX Hardcoded</t>
        </is>
      </c>
      <c r="B489" s="252" t="n">
        <v>1</v>
      </c>
      <c r="C489" s="232" t="n"/>
      <c r="D489" s="232" t="n"/>
      <c r="E489" s="232" t="n"/>
      <c r="F489" s="232" t="n"/>
      <c r="G489" s="232" t="n"/>
      <c r="H489" s="232" t="n"/>
      <c r="I489" s="232" t="n"/>
      <c r="J489" s="232" t="n"/>
      <c r="K489" s="232" t="n"/>
      <c r="L489" s="232" t="n"/>
      <c r="M489" s="232" t="n"/>
      <c r="N489" s="232" t="n"/>
      <c r="O489" s="232" t="n"/>
      <c r="P489" s="232" t="n"/>
      <c r="Q489" s="232" t="n"/>
      <c r="R489" s="232" t="n"/>
      <c r="S489" s="232" t="n"/>
      <c r="T489" s="232" t="n"/>
      <c r="U489" s="232" t="n"/>
      <c r="V489" s="232" t="n"/>
      <c r="W489" s="232" t="n"/>
      <c r="X489" s="232" t="n"/>
      <c r="Y489" s="232" t="n"/>
      <c r="Z489" s="232" t="n"/>
      <c r="AA489" s="232" t="n"/>
      <c r="AB489" s="232" t="n"/>
      <c r="AC489" s="232" t="n"/>
      <c r="AD489" s="232" t="n"/>
      <c r="AE489" s="232" t="n"/>
      <c r="AF489" s="232" t="n"/>
      <c r="AG489" s="232" t="n"/>
      <c r="AH489" s="232" t="n"/>
      <c r="AI489" s="232" t="n"/>
      <c r="AJ489" s="232" t="n"/>
      <c r="AK489" s="232" t="n"/>
      <c r="AL489" s="538" t="n"/>
      <c r="AM489" s="232" t="n"/>
      <c r="AN489" s="232" t="n"/>
      <c r="AO489" s="232" t="n"/>
      <c r="AP489" s="232" t="n"/>
      <c r="AQ489" s="232" t="n"/>
      <c r="AR489" s="232" t="n"/>
      <c r="AS489" s="232" t="n"/>
      <c r="AT489" s="232" t="n"/>
      <c r="AU489" s="232" t="n"/>
      <c r="AV489" s="232" t="n"/>
      <c r="AW489" s="232" t="n"/>
      <c r="AX489" s="232" t="n"/>
    </row>
    <row r="490" customFormat="1" s="227">
      <c r="A490" s="67" t="inlineStr">
        <is>
          <t>MRFP Column Number</t>
        </is>
      </c>
      <c r="B490" s="27">
        <f>LOOKUP(2,1/(MO_IS_FirstRow&lt;&gt;""),COLUMN(MO_IS_FirstRow))</f>
        <v/>
      </c>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c r="AA490" s="27" t="n"/>
      <c r="AB490" s="27" t="n"/>
      <c r="AC490" s="27" t="n"/>
      <c r="AD490" s="27" t="n"/>
      <c r="AE490" s="27" t="n"/>
      <c r="AF490" s="27" t="n"/>
      <c r="AG490" s="27" t="n"/>
      <c r="AH490" s="27" t="n"/>
      <c r="AI490" s="27" t="n"/>
      <c r="AJ490" s="27" t="n"/>
      <c r="AK490" s="27" t="n"/>
      <c r="AL490" s="508" t="n"/>
      <c r="AM490" s="27" t="n"/>
      <c r="AN490" s="27" t="n"/>
      <c r="AO490" s="27" t="n"/>
      <c r="AP490" s="27" t="n"/>
      <c r="AQ490" s="27" t="n"/>
      <c r="AR490" s="27" t="n"/>
      <c r="AS490" s="27" t="n"/>
      <c r="AT490" s="27" t="n"/>
      <c r="AU490" s="27" t="n"/>
      <c r="AV490" s="27" t="n"/>
      <c r="AW490" s="27" t="n"/>
      <c r="AX490" s="27" t="n"/>
    </row>
    <row r="491" customFormat="1" s="227">
      <c r="A491" s="67" t="inlineStr">
        <is>
          <t>Most Recent Fiscal Period (MRFP)</t>
        </is>
      </c>
      <c r="B491" s="27">
        <f>INDEX(MO_Common_ColumnHeader,0,MO.MRFPColumnNumber)</f>
        <v/>
      </c>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c r="AA491" s="27" t="n"/>
      <c r="AB491" s="27" t="n"/>
      <c r="AC491" s="27" t="n"/>
      <c r="AD491" s="27" t="n"/>
      <c r="AE491" s="27" t="n"/>
      <c r="AF491" s="27" t="n"/>
      <c r="AG491" s="27" t="n"/>
      <c r="AH491" s="27" t="n"/>
      <c r="AI491" s="27" t="n"/>
      <c r="AJ491" s="27" t="n"/>
      <c r="AK491" s="27" t="n"/>
      <c r="AL491" s="508" t="n"/>
      <c r="AM491" s="27" t="n"/>
      <c r="AN491" s="27" t="n"/>
      <c r="AO491" s="27" t="n"/>
      <c r="AP491" s="27" t="n"/>
      <c r="AQ491" s="27" t="n"/>
      <c r="AR491" s="27" t="n"/>
      <c r="AS491" s="27" t="n"/>
      <c r="AT491" s="27" t="n"/>
      <c r="AU491" s="27" t="n"/>
      <c r="AV491" s="27" t="n"/>
      <c r="AW491" s="27" t="n"/>
      <c r="AX491" s="27" t="n"/>
    </row>
    <row r="492" customFormat="1" s="227">
      <c r="A492" s="67" t="inlineStr">
        <is>
          <t>Current Fiscal Year</t>
        </is>
      </c>
      <c r="B492" s="27">
        <f>"FY"&amp;RIGHT(MO.MRFP,4)</f>
        <v/>
      </c>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c r="AA492" s="27" t="n"/>
      <c r="AB492" s="27" t="n"/>
      <c r="AC492" s="27" t="n"/>
      <c r="AD492" s="27" t="n"/>
      <c r="AE492" s="27" t="n"/>
      <c r="AF492" s="27" t="n"/>
      <c r="AG492" s="27" t="n"/>
      <c r="AH492" s="27" t="n"/>
      <c r="AI492" s="27" t="n"/>
      <c r="AJ492" s="27" t="n"/>
      <c r="AK492" s="27" t="n"/>
      <c r="AL492" s="508" t="n"/>
      <c r="AM492" s="27" t="n"/>
      <c r="AN492" s="27" t="n"/>
      <c r="AO492" s="27" t="n"/>
      <c r="AP492" s="27" t="n"/>
      <c r="AQ492" s="27" t="n"/>
      <c r="AR492" s="27" t="n"/>
      <c r="AS492" s="27" t="n"/>
      <c r="AT492" s="27" t="n"/>
      <c r="AU492" s="27" t="n"/>
      <c r="AV492" s="27" t="n"/>
      <c r="AW492" s="27" t="n"/>
      <c r="AX492" s="27" t="n"/>
    </row>
    <row r="493" customFormat="1" s="227">
      <c r="A493" s="234" t="inlineStr">
        <is>
          <t>Data Source Index</t>
        </is>
      </c>
      <c r="B493" s="235">
        <f>IF(MO.DataSourceName="Bloomberg",1,IF(MO.DataSourceName="Capital IQ",2,IF(MO.DataSourceName="FactSet",3,IF(MO.DataSourceName="Thomson",4,1))))</f>
        <v/>
      </c>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c r="AA493" s="27" t="n"/>
      <c r="AB493" s="27" t="n"/>
      <c r="AC493" s="27" t="n"/>
      <c r="AD493" s="27" t="n"/>
      <c r="AE493" s="27" t="n"/>
      <c r="AF493" s="27" t="n"/>
      <c r="AG493" s="27" t="n"/>
      <c r="AH493" s="27" t="n"/>
      <c r="AI493" s="27" t="n"/>
      <c r="AJ493" s="27" t="n"/>
      <c r="AK493" s="27" t="n"/>
      <c r="AL493" s="508" t="n"/>
      <c r="AM493" s="27" t="n"/>
      <c r="AN493" s="27" t="n"/>
      <c r="AO493" s="27" t="n"/>
      <c r="AP493" s="27" t="n"/>
      <c r="AQ493" s="27" t="n"/>
      <c r="AR493" s="27" t="n"/>
      <c r="AS493" s="27" t="n"/>
      <c r="AT493" s="27" t="n"/>
      <c r="AU493" s="27" t="n"/>
      <c r="AV493" s="27" t="n"/>
      <c r="AW493" s="27" t="n"/>
      <c r="AX493" s="27" t="n"/>
    </row>
    <row r="494">
      <c r="A494" s="155" t="n"/>
      <c r="B494" s="155" t="n"/>
      <c r="C494" s="155" t="n"/>
      <c r="D494" s="155" t="n"/>
      <c r="E494" s="155" t="n"/>
      <c r="F494" s="155" t="n"/>
      <c r="G494" s="155" t="n"/>
      <c r="H494" s="155" t="n"/>
      <c r="I494" s="155" t="n"/>
      <c r="J494" s="155" t="n"/>
      <c r="K494" s="155" t="n"/>
      <c r="L494" s="155" t="n"/>
      <c r="M494" s="155" t="n"/>
      <c r="N494" s="155" t="n"/>
      <c r="O494" s="155" t="n"/>
      <c r="P494" s="155" t="n"/>
      <c r="Q494" s="155" t="n"/>
      <c r="R494" s="155" t="n"/>
      <c r="S494" s="155" t="n"/>
      <c r="T494" s="155" t="n"/>
      <c r="U494" s="155" t="n"/>
      <c r="V494" s="155" t="n"/>
      <c r="W494" s="155" t="n"/>
      <c r="X494" s="155" t="n"/>
      <c r="Y494" s="155" t="n"/>
      <c r="Z494" s="155" t="n"/>
      <c r="AA494" s="155" t="n"/>
      <c r="AB494" s="155" t="n"/>
      <c r="AC494" s="155" t="n"/>
      <c r="AD494" s="155" t="n"/>
      <c r="AE494" s="155" t="n"/>
      <c r="AF494" s="155" t="n"/>
      <c r="AG494" s="155" t="n"/>
      <c r="AH494" s="155" t="n"/>
      <c r="AI494" s="155" t="n"/>
      <c r="AJ494" s="155" t="n"/>
      <c r="AK494" s="155" t="n"/>
      <c r="AL494" s="539" t="n"/>
      <c r="AM494" s="155" t="n"/>
      <c r="AN494" s="155" t="n"/>
      <c r="AO494" s="155" t="n"/>
      <c r="AP494" s="155" t="n"/>
      <c r="AQ494" s="155" t="n"/>
      <c r="AR494" s="155" t="n"/>
      <c r="AS494" s="155" t="n"/>
      <c r="AT494" s="155" t="n"/>
      <c r="AU494" s="155" t="n"/>
      <c r="AV494" s="155" t="n"/>
      <c r="AW494" s="155" t="n"/>
      <c r="AX494" s="155" t="n"/>
    </row>
    <row r="495">
      <c r="A495" s="236" t="inlineStr">
        <is>
          <t>(C) 2019 Canalyst. All rights reserved.</t>
        </is>
      </c>
      <c r="B495" s="236" t="n"/>
      <c r="C495" s="236" t="n"/>
      <c r="D495" s="236" t="n"/>
      <c r="E495" s="236" t="n"/>
      <c r="F495" s="236" t="n"/>
      <c r="G495" s="236" t="n"/>
      <c r="H495" s="236" t="n"/>
      <c r="I495" s="236" t="n"/>
      <c r="J495" s="236" t="n"/>
      <c r="K495" s="236" t="n"/>
      <c r="L495" s="236" t="n"/>
      <c r="M495" s="236" t="n"/>
      <c r="N495" s="236" t="n"/>
      <c r="O495" s="236" t="n"/>
      <c r="P495" s="236" t="n"/>
      <c r="Q495" s="236" t="n"/>
      <c r="R495" s="236" t="n"/>
      <c r="S495" s="236" t="n"/>
      <c r="T495" s="236" t="n"/>
      <c r="U495" s="236" t="n"/>
      <c r="V495" s="236" t="n"/>
      <c r="W495" s="236" t="n"/>
      <c r="X495" s="236" t="n"/>
      <c r="Y495" s="236" t="n"/>
      <c r="Z495" s="236" t="n"/>
      <c r="AA495" s="236" t="n"/>
      <c r="AB495" s="236" t="n"/>
      <c r="AC495" s="236" t="n"/>
      <c r="AD495" s="236" t="n"/>
      <c r="AE495" s="236" t="n"/>
      <c r="AF495" s="236" t="n"/>
      <c r="AG495" s="236" t="n"/>
      <c r="AH495" s="236" t="n"/>
      <c r="AI495" s="236" t="n"/>
      <c r="AJ495" s="236" t="n"/>
      <c r="AK495" s="236" t="n"/>
      <c r="AL495" s="540" t="n"/>
      <c r="AM495" s="236" t="n"/>
      <c r="AN495" s="236" t="n"/>
      <c r="AO495" s="236" t="n"/>
      <c r="AP495" s="236" t="n"/>
      <c r="AQ495" s="236" t="n"/>
      <c r="AR495" s="236" t="n"/>
      <c r="AS495" s="236" t="n"/>
      <c r="AT495" s="236" t="n"/>
      <c r="AU495" s="236" t="n"/>
      <c r="AV495" s="236" t="n"/>
      <c r="AW495" s="236" t="n"/>
      <c r="AX495" s="155" t="n"/>
    </row>
    <row r="496">
      <c r="A496" s="155" t="n"/>
      <c r="B496" s="155" t="n"/>
      <c r="C496" s="155" t="n"/>
      <c r="D496" s="155" t="n"/>
      <c r="E496" s="155" t="n"/>
      <c r="F496" s="155" t="n"/>
      <c r="G496" s="155" t="n"/>
      <c r="H496" s="155" t="n"/>
      <c r="I496" s="155" t="n"/>
      <c r="J496" s="155" t="n"/>
      <c r="K496" s="155" t="n"/>
      <c r="L496" s="155" t="n"/>
      <c r="M496" s="155" t="n"/>
      <c r="N496" s="155" t="n"/>
      <c r="O496" s="155" t="n"/>
      <c r="P496" s="155" t="n"/>
      <c r="Q496" s="155" t="n"/>
      <c r="R496" s="155" t="n"/>
      <c r="S496" s="155" t="n"/>
      <c r="T496" s="155" t="n"/>
      <c r="U496" s="155" t="n"/>
      <c r="V496" s="155" t="n"/>
      <c r="W496" s="155" t="n"/>
      <c r="X496" s="155" t="n"/>
      <c r="Y496" s="155" t="n"/>
      <c r="Z496" s="155" t="n"/>
      <c r="AA496" s="155" t="n"/>
      <c r="AB496" s="155" t="n"/>
      <c r="AC496" s="155" t="n"/>
      <c r="AD496" s="155" t="n"/>
      <c r="AE496" s="155" t="n"/>
      <c r="AF496" s="155" t="n"/>
      <c r="AG496" s="155" t="n"/>
      <c r="AH496" s="155" t="n"/>
      <c r="AI496" s="155" t="n"/>
      <c r="AJ496" s="155" t="n"/>
      <c r="AK496" s="155" t="n"/>
      <c r="AL496" s="155" t="n"/>
      <c r="AM496" s="155" t="n"/>
      <c r="AN496" s="155" t="n"/>
      <c r="AO496" s="155" t="n"/>
      <c r="AP496" s="155" t="n"/>
      <c r="AQ496" s="155" t="n"/>
      <c r="AR496" s="155" t="n"/>
      <c r="AS496" s="155" t="n"/>
      <c r="AT496" s="155" t="n"/>
      <c r="AU496" s="155" t="n"/>
      <c r="AV496" s="155" t="n"/>
      <c r="AW496" s="155" t="n"/>
      <c r="AX496" s="155" t="n"/>
    </row>
  </sheetData>
  <conditionalFormatting sqref="C72:H72">
    <cfRule type="cellIs" priority="101" operator="notEqual" dxfId="0">
      <formula>0</formula>
    </cfRule>
    <cfRule type="cellIs" priority="102" operator="equal" dxfId="1">
      <formula>0</formula>
    </cfRule>
  </conditionalFormatting>
  <conditionalFormatting sqref="C402:H402 C403:AA411 C412:Y412 C413:AA413 C414:X414 C415:AA415 C416:Y416 C417:AA421 K402:AA402 Z414:AA414 AA412 AA416">
    <cfRule type="cellIs" priority="107" operator="equal" dxfId="1">
      <formula>0</formula>
    </cfRule>
    <cfRule type="cellIs" priority="108" operator="notEqual" dxfId="0">
      <formula>0</formula>
    </cfRule>
  </conditionalFormatting>
  <conditionalFormatting sqref="C336:AW336">
    <cfRule type="cellIs" priority="5" operator="notEqual" dxfId="0">
      <formula>0</formula>
    </cfRule>
    <cfRule type="cellIs" priority="6" operator="equal" dxfId="1">
      <formula>0</formula>
    </cfRule>
  </conditionalFormatting>
  <conditionalFormatting sqref="C399:AW399">
    <cfRule type="cellIs" priority="3" operator="equal" dxfId="1">
      <formula>0</formula>
    </cfRule>
    <cfRule type="cellIs" priority="4" operator="notEqual" dxfId="0">
      <formula>0</formula>
    </cfRule>
  </conditionalFormatting>
  <conditionalFormatting sqref="K72:AW72">
    <cfRule type="cellIs" priority="1" operator="notEqual" dxfId="0">
      <formula>0</formula>
    </cfRule>
    <cfRule type="cellIs" priority="2" operator="equal" dxfId="1">
      <formula>0</formula>
    </cfRule>
  </conditionalFormatting>
  <conditionalFormatting sqref="AB402:AC421">
    <cfRule type="cellIs" priority="91" operator="equal" dxfId="1">
      <formula>0</formula>
    </cfRule>
    <cfRule type="cellIs" priority="92" operator="notEqual" dxfId="0">
      <formula>0</formula>
    </cfRule>
  </conditionalFormatting>
  <conditionalFormatting sqref="AD402:AE411 AD412 AD413:AE413 AD415:AE415 AD416 AD417:AE421 AE414">
    <cfRule type="cellIs" priority="83" operator="equal" dxfId="1">
      <formula>0</formula>
    </cfRule>
    <cfRule type="cellIs" priority="84" operator="notEqual" dxfId="0">
      <formula>0</formula>
    </cfRule>
  </conditionalFormatting>
  <conditionalFormatting sqref="AF402:AH421">
    <cfRule type="cellIs" priority="49" operator="equal" dxfId="1">
      <formula>0</formula>
    </cfRule>
    <cfRule type="cellIs" priority="50" operator="notEqual" dxfId="0">
      <formula>0</formula>
    </cfRule>
  </conditionalFormatting>
  <conditionalFormatting sqref="AI402:AJ411 AI412 AI413:AJ413 AI415:AJ415 AI416 AI417:AJ421 AJ414">
    <cfRule type="cellIs" priority="41" operator="equal" dxfId="1">
      <formula>0</formula>
    </cfRule>
    <cfRule type="cellIs" priority="42" operator="notEqual" dxfId="0">
      <formula>0</formula>
    </cfRule>
  </conditionalFormatting>
  <conditionalFormatting sqref="AK402:AW421">
    <cfRule type="cellIs" priority="7" operator="equal" dxfId="1">
      <formula>0</formula>
    </cfRule>
    <cfRule type="cellIs" priority="8" operator="notEqual" dxfId="0">
      <formula>0</formula>
    </cfRule>
  </conditionalFormatting>
  <dataValidations count="2">
    <dataValidation sqref="C7:AW12" showDropDown="0" showInputMessage="1" showErrorMessage="1" allowBlank="0" type="decimal">
      <formula1>-1000</formula1>
      <formula2>1000</formula2>
    </dataValidation>
    <dataValidation sqref="B215" showDropDown="0" showInputMessage="1" showErrorMessage="1" allowBlank="1" type="list">
      <formula1>$A$432:$A$434</formula1>
    </dataValidation>
  </dataValidations>
  <hyperlinks>
    <hyperlink xmlns:r="http://schemas.openxmlformats.org/officeDocument/2006/relationships" ref="A1" r:id="rId1"/>
  </hyperlink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codeName="Sheet41">
    <outlinePr summaryBelow="1" summaryRight="1"/>
    <pageSetUpPr/>
  </sheetPr>
  <dimension ref="A1:J93"/>
  <sheetViews>
    <sheetView showGridLines="0" workbookViewId="0">
      <selection activeCell="A1" sqref="A1"/>
    </sheetView>
  </sheetViews>
  <sheetFormatPr baseColWidth="10" defaultColWidth="8.6640625" defaultRowHeight="15"/>
  <cols>
    <col width="4.5" customWidth="1" style="1330" min="1" max="1"/>
    <col width="9.6640625" customWidth="1" style="1330" min="2" max="2"/>
    <col width="15.6640625" customWidth="1" style="1330" min="3" max="3"/>
    <col width="20.6640625" customWidth="1" style="1330" min="4" max="4"/>
    <col width="30.6640625" customWidth="1" style="1330" min="5" max="5"/>
    <col width="20.6640625" customWidth="1" style="1330" min="6" max="6"/>
    <col width="23.6640625" customWidth="1" style="1330" min="7" max="7"/>
    <col width="45.6640625" customWidth="1" style="1330" min="8" max="8"/>
    <col width="7.6640625" customWidth="1" style="1330" min="9" max="9"/>
    <col width="8.6640625" customWidth="1" style="1330" min="10" max="17"/>
    <col width="8.6640625" customWidth="1" style="1330" min="18" max="16384"/>
  </cols>
  <sheetData>
    <row r="1">
      <c r="A1" s="3" t="n"/>
      <c r="B1" s="3" t="n"/>
      <c r="C1" s="3" t="n"/>
      <c r="D1" s="3" t="n"/>
      <c r="E1" s="3" t="n"/>
      <c r="F1" s="3" t="n"/>
      <c r="G1" s="3" t="n"/>
      <c r="H1" s="3" t="n"/>
      <c r="I1" s="3" t="n"/>
      <c r="J1" s="3" t="n"/>
    </row>
    <row r="2">
      <c r="A2" s="3" t="n"/>
      <c r="B2" s="3" t="n"/>
      <c r="C2" s="3" t="n"/>
      <c r="D2" s="3" t="n"/>
      <c r="E2" s="3" t="n"/>
      <c r="F2" s="3" t="n"/>
      <c r="G2" s="3" t="n"/>
      <c r="H2" s="3" t="n"/>
      <c r="I2" s="3" t="n"/>
      <c r="J2" s="3" t="n"/>
    </row>
    <row r="3">
      <c r="A3" s="3" t="n"/>
      <c r="B3" s="3" t="n"/>
      <c r="C3" s="3" t="n"/>
      <c r="D3" s="3" t="n"/>
      <c r="E3" s="3" t="n"/>
      <c r="F3" s="3" t="n"/>
      <c r="G3" s="3" t="n"/>
      <c r="H3" s="3" t="n"/>
      <c r="I3" s="3" t="n"/>
      <c r="J3" s="3" t="n"/>
    </row>
    <row r="4">
      <c r="A4" s="3" t="n"/>
      <c r="B4" s="3" t="n"/>
      <c r="C4" s="3" t="n"/>
      <c r="D4" s="3" t="n"/>
      <c r="E4" s="3" t="n"/>
      <c r="F4" s="3" t="n"/>
      <c r="G4" s="3" t="n"/>
      <c r="H4" s="3" t="n"/>
      <c r="I4" s="3" t="n"/>
      <c r="J4" s="3" t="n"/>
    </row>
    <row r="5">
      <c r="A5" s="3" t="n"/>
      <c r="B5" s="3" t="n"/>
      <c r="C5" s="3" t="n"/>
      <c r="D5" s="3" t="n"/>
      <c r="E5" s="3" t="n"/>
      <c r="F5" s="3" t="n"/>
      <c r="G5" s="3" t="n"/>
      <c r="H5" s="3" t="n"/>
      <c r="I5" s="3" t="n"/>
      <c r="J5" s="3" t="n"/>
    </row>
    <row r="6">
      <c r="A6" s="3" t="n"/>
      <c r="B6" s="3" t="n"/>
      <c r="C6" s="3" t="n"/>
      <c r="D6" s="3" t="n"/>
      <c r="E6" s="3" t="n"/>
      <c r="F6" s="3" t="n"/>
      <c r="G6" s="3" t="n"/>
      <c r="H6" s="3" t="n"/>
      <c r="I6" s="3" t="n"/>
      <c r="J6" s="3" t="n"/>
    </row>
    <row r="7" ht="19" customHeight="1">
      <c r="A7" s="3" t="n"/>
      <c r="B7" s="3" t="n"/>
      <c r="C7" s="3" t="n"/>
      <c r="D7" s="3" t="n"/>
      <c r="E7" s="1480">
        <f>MO.MRFPColumnNumber</f>
        <v/>
      </c>
      <c r="F7" s="756">
        <f>MO.MRFP</f>
        <v/>
      </c>
      <c r="G7" s="756" t="n"/>
      <c r="H7" s="1481">
        <f>AA.CSIN</f>
        <v/>
      </c>
      <c r="I7" s="752" t="n"/>
      <c r="J7" s="751" t="n"/>
    </row>
    <row r="8">
      <c r="A8" s="3" t="n"/>
      <c r="B8" s="3" t="n"/>
      <c r="C8" s="3" t="n"/>
      <c r="D8" s="3" t="n"/>
      <c r="E8" s="3" t="n"/>
      <c r="F8" s="3" t="n"/>
      <c r="G8" s="3" t="n"/>
      <c r="H8" s="1482">
        <f>+AA.ModelVersion</f>
        <v/>
      </c>
      <c r="I8" s="3" t="n"/>
      <c r="J8" s="3" t="n"/>
    </row>
    <row r="9">
      <c r="A9" s="3" t="n"/>
      <c r="B9" s="3" t="n"/>
      <c r="C9" s="3" t="n"/>
      <c r="D9" s="3" t="n"/>
      <c r="E9" s="3" t="n"/>
      <c r="F9" s="3" t="n"/>
      <c r="G9" s="3" t="n"/>
      <c r="H9" s="3" t="n"/>
      <c r="I9" s="3" t="n"/>
      <c r="J9" s="3" t="n"/>
    </row>
    <row r="10">
      <c r="A10" s="3" t="n"/>
      <c r="B10" s="3" t="n"/>
      <c r="C10" s="789" t="inlineStr">
        <is>
          <t>Update Date</t>
        </is>
      </c>
      <c r="D10" s="789" t="inlineStr">
        <is>
          <t>Updated By (Initials)</t>
        </is>
      </c>
      <c r="E10" s="789" t="inlineStr">
        <is>
          <t>Update Type</t>
        </is>
      </c>
      <c r="F10" s="789" t="inlineStr">
        <is>
          <t>Most Recent Period</t>
        </is>
      </c>
      <c r="G10" s="789" t="inlineStr">
        <is>
          <t>Special Comments</t>
        </is>
      </c>
      <c r="H10" s="790" t="inlineStr">
        <is>
          <t>Link to Press Release / News Item</t>
        </is>
      </c>
      <c r="I10" s="3" t="n"/>
      <c r="J10" s="3" t="n"/>
    </row>
    <row r="11">
      <c r="A11" s="3" t="n"/>
      <c r="B11" s="3" t="n"/>
      <c r="C11" s="767" t="n">
        <v>45980</v>
      </c>
      <c r="D11" s="768" t="inlineStr">
        <is>
          <t>AN</t>
        </is>
      </c>
      <c r="E11" s="769" t="inlineStr">
        <is>
          <t>Quarterly (Earnings Report)</t>
        </is>
      </c>
      <c r="F11" s="769" t="inlineStr">
        <is>
          <t>Q3-2026</t>
        </is>
      </c>
      <c r="G11" s="770" t="n"/>
      <c r="H11" s="1031" t="inlineStr">
        <is>
          <t>Earnings Press Release</t>
        </is>
      </c>
      <c r="I11" s="3" t="n"/>
      <c r="J11" s="3" t="n"/>
    </row>
    <row r="12">
      <c r="A12" s="3" t="n"/>
      <c r="B12" s="3" t="n"/>
      <c r="C12" s="767" t="n">
        <v>45896</v>
      </c>
      <c r="D12" s="768" t="inlineStr">
        <is>
          <t>TP</t>
        </is>
      </c>
      <c r="E12" s="769" t="inlineStr">
        <is>
          <t>Quarterly (Earnings Report)</t>
        </is>
      </c>
      <c r="F12" s="769" t="inlineStr">
        <is>
          <t>Q2-2026</t>
        </is>
      </c>
      <c r="G12" s="770" t="n"/>
      <c r="H12" s="635" t="inlineStr">
        <is>
          <t>Earnings Press Release</t>
        </is>
      </c>
      <c r="I12" s="3" t="n"/>
      <c r="J12" s="3" t="n"/>
    </row>
    <row r="13">
      <c r="A13" s="3" t="n"/>
      <c r="B13" s="3" t="n"/>
      <c r="C13" s="767" t="n">
        <v>45896</v>
      </c>
      <c r="D13" s="768" t="inlineStr">
        <is>
          <t>TP</t>
        </is>
      </c>
      <c r="E13" s="769" t="inlineStr">
        <is>
          <t>Quarterly (Earnings Report)</t>
        </is>
      </c>
      <c r="F13" s="769" t="inlineStr">
        <is>
          <t>Q2-2026</t>
        </is>
      </c>
      <c r="G13" s="770" t="n"/>
      <c r="H13" s="562" t="inlineStr">
        <is>
          <t>Earnings Press Release</t>
        </is>
      </c>
      <c r="I13" s="3" t="n"/>
      <c r="J13" s="3" t="n"/>
    </row>
    <row r="14">
      <c r="A14" s="3" t="n"/>
      <c r="B14" s="3" t="n"/>
      <c r="C14" s="767" t="n">
        <v>45805</v>
      </c>
      <c r="D14" s="768" t="inlineStr">
        <is>
          <t>TP</t>
        </is>
      </c>
      <c r="E14" s="769" t="inlineStr">
        <is>
          <t>Quarterly (Earnings Report)</t>
        </is>
      </c>
      <c r="F14" s="769" t="inlineStr">
        <is>
          <t>Q1-2026</t>
        </is>
      </c>
      <c r="G14" s="770" t="n"/>
      <c r="H14" s="864" t="inlineStr">
        <is>
          <t>Earnings Press Release</t>
        </is>
      </c>
      <c r="I14" s="3" t="n"/>
      <c r="J14" s="3" t="n"/>
    </row>
    <row r="15">
      <c r="A15" s="3" t="n"/>
      <c r="B15" s="3" t="n"/>
      <c r="C15" s="767" t="n">
        <v>45714</v>
      </c>
      <c r="D15" s="768" t="inlineStr">
        <is>
          <t>TP</t>
        </is>
      </c>
      <c r="E15" s="769" t="inlineStr">
        <is>
          <t>Annual (Earnings Report)</t>
        </is>
      </c>
      <c r="F15" s="769" t="inlineStr">
        <is>
          <t>FY2025</t>
        </is>
      </c>
      <c r="G15" s="770" t="n"/>
      <c r="H15" s="562" t="inlineStr">
        <is>
          <t>Earnings Press Release</t>
        </is>
      </c>
      <c r="I15" s="3" t="n"/>
      <c r="J15" s="3" t="n"/>
    </row>
    <row r="16">
      <c r="A16" s="3" t="n"/>
      <c r="B16" s="3" t="n"/>
      <c r="C16" s="767" t="n">
        <v>45714</v>
      </c>
      <c r="D16" s="768" t="inlineStr">
        <is>
          <t>TP</t>
        </is>
      </c>
      <c r="E16" s="769" t="inlineStr">
        <is>
          <t>Initial (Press Release)</t>
        </is>
      </c>
      <c r="F16" s="769" t="inlineStr">
        <is>
          <t>FY2025</t>
        </is>
      </c>
      <c r="G16" s="770" t="n"/>
      <c r="H16" s="562" t="inlineStr">
        <is>
          <t>Earnings Press Release</t>
        </is>
      </c>
      <c r="I16" s="3" t="n"/>
      <c r="J16" s="3" t="n"/>
    </row>
    <row r="17">
      <c r="A17" s="3" t="n"/>
      <c r="B17" s="3" t="n"/>
      <c r="C17" s="767" t="n">
        <v>45616</v>
      </c>
      <c r="D17" s="768" t="inlineStr">
        <is>
          <t>ALT</t>
        </is>
      </c>
      <c r="E17" s="769" t="inlineStr">
        <is>
          <t>Quarterly (Earnings Report)</t>
        </is>
      </c>
      <c r="F17" s="769" t="inlineStr">
        <is>
          <t>Q3-2025</t>
        </is>
      </c>
      <c r="G17" s="770" t="n"/>
      <c r="H17" s="562" t="inlineStr">
        <is>
          <t>Earnings Press Release</t>
        </is>
      </c>
      <c r="I17" s="3" t="n"/>
      <c r="J17" s="3" t="n"/>
    </row>
    <row r="18">
      <c r="A18" s="3" t="n"/>
      <c r="B18" s="3" t="n"/>
      <c r="C18" s="767" t="n">
        <v>45616</v>
      </c>
      <c r="D18" s="768" t="inlineStr">
        <is>
          <t>ALT</t>
        </is>
      </c>
      <c r="E18" s="769" t="inlineStr">
        <is>
          <t>Initial (Press Release)</t>
        </is>
      </c>
      <c r="F18" s="769" t="inlineStr">
        <is>
          <t>Q3-2025</t>
        </is>
      </c>
      <c r="G18" s="770" t="n"/>
      <c r="H18" s="562" t="inlineStr">
        <is>
          <t>Earnings Press Release</t>
        </is>
      </c>
      <c r="I18" s="3" t="n"/>
      <c r="J18" s="3" t="n"/>
    </row>
    <row r="19">
      <c r="A19" s="3" t="n"/>
      <c r="B19" s="3" t="n"/>
      <c r="C19" s="767" t="n">
        <v>45532</v>
      </c>
      <c r="D19" s="768" t="inlineStr">
        <is>
          <t>CZ</t>
        </is>
      </c>
      <c r="E19" s="769" t="inlineStr">
        <is>
          <t>Quarterly (Earnings Report)</t>
        </is>
      </c>
      <c r="F19" s="769" t="inlineStr">
        <is>
          <t>Q2-2025</t>
        </is>
      </c>
      <c r="G19" s="770" t="n"/>
      <c r="H19" s="562" t="inlineStr">
        <is>
          <t>Earnings Press Release</t>
        </is>
      </c>
      <c r="I19" s="3" t="n"/>
      <c r="J19" s="3" t="n"/>
    </row>
    <row r="20">
      <c r="A20" s="3" t="n"/>
      <c r="B20" s="3" t="n"/>
      <c r="C20" s="767" t="n">
        <v>45532</v>
      </c>
      <c r="D20" s="768" t="inlineStr">
        <is>
          <t>TP</t>
        </is>
      </c>
      <c r="E20" s="769" t="inlineStr">
        <is>
          <t>Initial (Press Release)</t>
        </is>
      </c>
      <c r="F20" s="769" t="inlineStr">
        <is>
          <t>Q2-2025</t>
        </is>
      </c>
      <c r="G20" s="770" t="n"/>
      <c r="H20" s="562" t="inlineStr">
        <is>
          <t>Earnings Press Release</t>
        </is>
      </c>
      <c r="I20" s="3" t="n"/>
      <c r="J20" s="3" t="n"/>
    </row>
    <row r="21">
      <c r="A21" s="3" t="n"/>
      <c r="B21" s="3" t="n"/>
      <c r="C21" s="767" t="n">
        <v>45441</v>
      </c>
      <c r="D21" s="768" t="inlineStr">
        <is>
          <t>AG</t>
        </is>
      </c>
      <c r="E21" s="769" t="inlineStr">
        <is>
          <t>Quarterly (Earnings Report)</t>
        </is>
      </c>
      <c r="F21" s="769" t="inlineStr">
        <is>
          <t>Q1-2025</t>
        </is>
      </c>
      <c r="G21" s="770" t="n"/>
      <c r="H21" s="562" t="inlineStr">
        <is>
          <t>Earnings Press Release</t>
        </is>
      </c>
      <c r="I21" s="3" t="n"/>
      <c r="J21" s="3" t="n"/>
    </row>
    <row r="22">
      <c r="A22" s="3" t="n"/>
      <c r="B22" s="3" t="n"/>
      <c r="C22" s="767" t="n">
        <v>45434</v>
      </c>
      <c r="D22" s="768" t="inlineStr">
        <is>
          <t>TP</t>
        </is>
      </c>
      <c r="E22" s="769" t="inlineStr">
        <is>
          <t>Initial (Press Release)</t>
        </is>
      </c>
      <c r="F22" s="769" t="inlineStr">
        <is>
          <t>Q1-2025</t>
        </is>
      </c>
      <c r="G22" s="770" t="n"/>
      <c r="H22" s="864" t="inlineStr">
        <is>
          <t>Earnings Press Release</t>
        </is>
      </c>
      <c r="I22" s="3" t="n"/>
      <c r="J22" s="3" t="n"/>
    </row>
    <row r="23">
      <c r="A23" s="3" t="n"/>
      <c r="B23" s="3" t="n"/>
      <c r="C23" s="767" t="n">
        <v>45343</v>
      </c>
      <c r="D23" s="768" t="inlineStr">
        <is>
          <t>TP</t>
        </is>
      </c>
      <c r="E23" s="769" t="inlineStr">
        <is>
          <t>Annual (Earnings Report)</t>
        </is>
      </c>
      <c r="F23" s="769" t="inlineStr">
        <is>
          <t>FY2024</t>
        </is>
      </c>
      <c r="G23" s="770" t="n"/>
      <c r="H23" s="562" t="inlineStr">
        <is>
          <t>Earnings Press Release</t>
        </is>
      </c>
      <c r="I23" s="3" t="n"/>
      <c r="J23" s="3" t="n"/>
    </row>
    <row r="24">
      <c r="A24" s="3" t="n"/>
      <c r="B24" s="3" t="n"/>
      <c r="C24" s="767" t="n">
        <v>45343</v>
      </c>
      <c r="D24" s="768" t="inlineStr">
        <is>
          <t>TP</t>
        </is>
      </c>
      <c r="E24" s="769" t="inlineStr">
        <is>
          <t>Initial (Press Release)</t>
        </is>
      </c>
      <c r="F24" s="769" t="inlineStr">
        <is>
          <t>FY2024</t>
        </is>
      </c>
      <c r="G24" s="770" t="n"/>
      <c r="H24" s="562" t="inlineStr">
        <is>
          <t>Earnings Press Release</t>
        </is>
      </c>
      <c r="I24" s="3" t="n"/>
      <c r="J24" s="3" t="n"/>
    </row>
    <row r="25">
      <c r="A25" s="3" t="n"/>
      <c r="B25" s="3" t="n"/>
      <c r="C25" s="767" t="n">
        <v>45251</v>
      </c>
      <c r="D25" s="768" t="inlineStr">
        <is>
          <t>TZ</t>
        </is>
      </c>
      <c r="E25" s="769" t="inlineStr">
        <is>
          <t>Quarterly (Earnings Report)</t>
        </is>
      </c>
      <c r="F25" s="769" t="inlineStr">
        <is>
          <t>Q3-2024</t>
        </is>
      </c>
      <c r="G25" s="770" t="n"/>
      <c r="H25" s="562" t="inlineStr">
        <is>
          <t>Earnings Press Release</t>
        </is>
      </c>
      <c r="I25" s="3" t="n"/>
      <c r="J25" s="3" t="n"/>
    </row>
    <row r="26">
      <c r="A26" s="3" t="n"/>
      <c r="B26" s="3" t="n"/>
      <c r="C26" s="767" t="n">
        <v>45251</v>
      </c>
      <c r="D26" s="768" t="inlineStr">
        <is>
          <t>TZ</t>
        </is>
      </c>
      <c r="E26" s="769" t="inlineStr">
        <is>
          <t>Initial (Press Release)</t>
        </is>
      </c>
      <c r="F26" s="769" t="inlineStr">
        <is>
          <t>Q3-2024</t>
        </is>
      </c>
      <c r="G26" s="770" t="n"/>
      <c r="H26" s="562" t="inlineStr">
        <is>
          <t>Earnings Press Release</t>
        </is>
      </c>
      <c r="I26" s="3" t="n"/>
      <c r="J26" s="3" t="n"/>
    </row>
    <row r="27">
      <c r="A27" s="3" t="n"/>
      <c r="B27" s="3" t="n"/>
      <c r="C27" s="767" t="n">
        <v>45166</v>
      </c>
      <c r="D27" s="768" t="inlineStr">
        <is>
          <t>WW</t>
        </is>
      </c>
      <c r="E27" s="769" t="inlineStr">
        <is>
          <t>Quarterly (Earnings Report)</t>
        </is>
      </c>
      <c r="F27" s="769" t="inlineStr">
        <is>
          <t>Q2-2024</t>
        </is>
      </c>
      <c r="G27" s="770" t="n"/>
      <c r="H27" s="562" t="inlineStr">
        <is>
          <t>Earnings Press Release</t>
        </is>
      </c>
      <c r="I27" s="3" t="n"/>
      <c r="J27" s="3" t="n"/>
    </row>
    <row r="28">
      <c r="A28" s="3" t="n"/>
      <c r="B28" s="3" t="n"/>
      <c r="C28" s="767" t="n">
        <v>45161</v>
      </c>
      <c r="D28" s="768" t="inlineStr">
        <is>
          <t>TP</t>
        </is>
      </c>
      <c r="E28" s="769" t="inlineStr">
        <is>
          <t>Initial (Press Release)</t>
        </is>
      </c>
      <c r="F28" s="769" t="inlineStr">
        <is>
          <t>Q2-2024</t>
        </is>
      </c>
      <c r="G28" s="770" t="n"/>
      <c r="H28" s="562" t="inlineStr">
        <is>
          <t>Earnings Press Release</t>
        </is>
      </c>
      <c r="I28" s="3" t="n"/>
      <c r="J28" s="3" t="n"/>
    </row>
    <row r="29">
      <c r="A29" s="3" t="n"/>
      <c r="B29" s="3" t="n"/>
      <c r="C29" s="767" t="n">
        <v>45072</v>
      </c>
      <c r="D29" s="768" t="inlineStr">
        <is>
          <t>DHJ</t>
        </is>
      </c>
      <c r="E29" s="769" t="inlineStr">
        <is>
          <t>Quarterly (Earnings Report)</t>
        </is>
      </c>
      <c r="F29" s="769" t="inlineStr">
        <is>
          <t>Q1-2024</t>
        </is>
      </c>
      <c r="G29" s="770" t="n"/>
      <c r="H29" s="562" t="inlineStr">
        <is>
          <t>Earnings Press Release</t>
        </is>
      </c>
      <c r="I29" s="3" t="n"/>
      <c r="J29" s="3" t="n"/>
    </row>
    <row r="30">
      <c r="A30" s="3" t="n"/>
      <c r="B30" s="3" t="n"/>
      <c r="C30" s="767" t="n">
        <v>45070</v>
      </c>
      <c r="D30" s="768" t="inlineStr">
        <is>
          <t>TZ</t>
        </is>
      </c>
      <c r="E30" s="769" t="inlineStr">
        <is>
          <t>Initial (Press Release)</t>
        </is>
      </c>
      <c r="F30" s="769" t="inlineStr">
        <is>
          <t>Q1-2024</t>
        </is>
      </c>
      <c r="G30" s="770" t="n"/>
      <c r="H30" s="562" t="inlineStr">
        <is>
          <t>Earnings Press Release</t>
        </is>
      </c>
      <c r="I30" s="3" t="n"/>
      <c r="J30" s="3" t="n"/>
    </row>
    <row r="31">
      <c r="A31" s="3" t="n"/>
      <c r="B31" s="3" t="n"/>
      <c r="C31" s="767" t="n">
        <v>44981</v>
      </c>
      <c r="D31" s="768" t="inlineStr">
        <is>
          <t>ALT</t>
        </is>
      </c>
      <c r="E31" s="769" t="inlineStr">
        <is>
          <t>Annual (Earnings Report)</t>
        </is>
      </c>
      <c r="F31" s="769" t="inlineStr">
        <is>
          <t>FY2023</t>
        </is>
      </c>
      <c r="G31" s="770" t="n"/>
      <c r="H31" s="562" t="inlineStr">
        <is>
          <t>Earnings Press Release</t>
        </is>
      </c>
      <c r="I31" s="3" t="n"/>
      <c r="J31" s="3" t="n"/>
    </row>
    <row r="32">
      <c r="A32" s="3" t="n"/>
      <c r="B32" s="3" t="n"/>
      <c r="C32" s="767" t="n">
        <v>44979</v>
      </c>
      <c r="D32" s="768" t="inlineStr">
        <is>
          <t>SH</t>
        </is>
      </c>
      <c r="E32" s="769" t="inlineStr">
        <is>
          <t>Initial (Press Release)</t>
        </is>
      </c>
      <c r="F32" s="769" t="inlineStr">
        <is>
          <t>FY2023</t>
        </is>
      </c>
      <c r="G32" s="770" t="n"/>
      <c r="H32" s="562" t="inlineStr">
        <is>
          <t>Earnings Press Release</t>
        </is>
      </c>
      <c r="I32" s="3" t="n"/>
      <c r="J32" s="3" t="n"/>
    </row>
    <row r="33">
      <c r="A33" s="3" t="n"/>
      <c r="B33" s="3" t="n"/>
      <c r="C33" s="767" t="n">
        <v>44883</v>
      </c>
      <c r="D33" s="768" t="inlineStr">
        <is>
          <t>BL</t>
        </is>
      </c>
      <c r="E33" s="769" t="inlineStr">
        <is>
          <t>Quarterly (Earnings Report)</t>
        </is>
      </c>
      <c r="F33" s="769" t="inlineStr">
        <is>
          <t>Q3-2023</t>
        </is>
      </c>
      <c r="G33" s="770" t="n"/>
      <c r="H33" s="635" t="inlineStr">
        <is>
          <t>Earnings Press Release</t>
        </is>
      </c>
      <c r="I33" s="3" t="n"/>
      <c r="J33" s="3" t="n"/>
    </row>
    <row r="34">
      <c r="A34" s="3" t="n"/>
      <c r="B34" s="3" t="n"/>
      <c r="C34" s="767" t="n">
        <v>44881</v>
      </c>
      <c r="D34" s="768" t="inlineStr">
        <is>
          <t>BL</t>
        </is>
      </c>
      <c r="E34" s="769" t="inlineStr">
        <is>
          <t>Initial (Press Release)</t>
        </is>
      </c>
      <c r="F34" s="769" t="inlineStr">
        <is>
          <t>Q3-2023</t>
        </is>
      </c>
      <c r="G34" s="770" t="n"/>
      <c r="H34" s="562" t="inlineStr">
        <is>
          <t>Earnings Press Release</t>
        </is>
      </c>
      <c r="I34" s="3" t="n"/>
      <c r="J34" s="3" t="n"/>
    </row>
    <row r="35">
      <c r="A35" s="3" t="n"/>
      <c r="B35" s="3" t="n"/>
      <c r="C35" s="767" t="n">
        <v>44804</v>
      </c>
      <c r="D35" s="768" t="inlineStr">
        <is>
          <t>LZ</t>
        </is>
      </c>
      <c r="E35" s="769" t="inlineStr">
        <is>
          <t>Quarterly (Earnings Report)</t>
        </is>
      </c>
      <c r="F35" s="769" t="inlineStr">
        <is>
          <t>Q2-2023</t>
        </is>
      </c>
      <c r="G35" s="770" t="n"/>
      <c r="H35" s="562" t="inlineStr">
        <is>
          <t>Earnings Press Release</t>
        </is>
      </c>
      <c r="I35" s="3" t="n"/>
      <c r="J35" s="3" t="n"/>
    </row>
    <row r="36">
      <c r="A36" s="3" t="n"/>
      <c r="B36" s="3" t="n"/>
      <c r="C36" s="767" t="n">
        <v>44797</v>
      </c>
      <c r="D36" s="768" t="inlineStr">
        <is>
          <t>TP</t>
        </is>
      </c>
      <c r="E36" s="769" t="inlineStr">
        <is>
          <t>Initial (Press Release)</t>
        </is>
      </c>
      <c r="F36" s="769" t="inlineStr">
        <is>
          <t>Q2-2023</t>
        </is>
      </c>
      <c r="G36" s="770" t="n"/>
      <c r="H36" s="562" t="inlineStr">
        <is>
          <t>Earnings Press Release</t>
        </is>
      </c>
      <c r="I36" s="3" t="n"/>
      <c r="J36" s="3" t="n"/>
    </row>
    <row r="37">
      <c r="A37" s="3" t="n"/>
      <c r="B37" s="3" t="n"/>
      <c r="C37" s="767" t="n">
        <v>44708</v>
      </c>
      <c r="D37" s="768" t="inlineStr">
        <is>
          <t>TP</t>
        </is>
      </c>
      <c r="E37" s="769" t="inlineStr">
        <is>
          <t>Quarterly (Earnings Report)</t>
        </is>
      </c>
      <c r="F37" s="769" t="inlineStr">
        <is>
          <t>Q1-2023</t>
        </is>
      </c>
      <c r="G37" s="770" t="n"/>
      <c r="H37" s="562" t="inlineStr">
        <is>
          <t>Earnings Press Release</t>
        </is>
      </c>
      <c r="I37" s="3" t="n"/>
      <c r="J37" s="3" t="n"/>
    </row>
    <row r="38">
      <c r="A38" s="3" t="n"/>
      <c r="B38" s="3" t="n"/>
      <c r="C38" s="767" t="n">
        <v>44706</v>
      </c>
      <c r="D38" s="768" t="inlineStr">
        <is>
          <t>TP</t>
        </is>
      </c>
      <c r="E38" s="769" t="inlineStr">
        <is>
          <t>Initial (Press Release)</t>
        </is>
      </c>
      <c r="F38" s="769" t="inlineStr">
        <is>
          <t>Q1-2023</t>
        </is>
      </c>
      <c r="G38" s="770" t="n"/>
      <c r="H38" s="562" t="inlineStr">
        <is>
          <t>Earnings Press Release</t>
        </is>
      </c>
      <c r="I38" s="3" t="n"/>
      <c r="J38" s="3" t="n"/>
    </row>
    <row r="39">
      <c r="A39" s="3" t="n"/>
      <c r="B39" s="3" t="n"/>
      <c r="C39" s="767" t="n">
        <v>44638</v>
      </c>
      <c r="D39" s="768" t="inlineStr">
        <is>
          <t>DH</t>
        </is>
      </c>
      <c r="E39" s="769" t="inlineStr">
        <is>
          <t>Annual (Earnings Report)</t>
        </is>
      </c>
      <c r="F39" s="769" t="inlineStr">
        <is>
          <t>FY2022</t>
        </is>
      </c>
      <c r="G39" s="770" t="n"/>
      <c r="H39" s="562" t="inlineStr">
        <is>
          <t>Earnings Press Release</t>
        </is>
      </c>
      <c r="I39" s="3" t="n"/>
      <c r="J39" s="3" t="n"/>
    </row>
    <row r="40">
      <c r="A40" s="3" t="n"/>
      <c r="B40" s="3" t="n"/>
      <c r="C40" s="767" t="n">
        <v>44608</v>
      </c>
      <c r="D40" s="768" t="inlineStr">
        <is>
          <t>EC</t>
        </is>
      </c>
      <c r="E40" s="769" t="inlineStr">
        <is>
          <t>Initial (Press Release)</t>
        </is>
      </c>
      <c r="F40" s="769" t="inlineStr">
        <is>
          <t>FY2022</t>
        </is>
      </c>
      <c r="G40" s="770" t="n"/>
      <c r="H40" s="562" t="inlineStr">
        <is>
          <t>Earnings Press Release</t>
        </is>
      </c>
      <c r="I40" s="3" t="n"/>
      <c r="J40" s="3" t="n"/>
    </row>
    <row r="41">
      <c r="A41" s="3" t="n"/>
      <c r="B41" s="3" t="n"/>
      <c r="C41" s="767" t="n">
        <v>44522</v>
      </c>
      <c r="D41" s="768" t="inlineStr">
        <is>
          <t>AA</t>
        </is>
      </c>
      <c r="E41" s="769" t="inlineStr">
        <is>
          <t>Quarterly (Earnings Report)</t>
        </is>
      </c>
      <c r="F41" s="769" t="inlineStr">
        <is>
          <t>Q3-2022</t>
        </is>
      </c>
      <c r="G41" s="770" t="n"/>
      <c r="H41" s="562" t="inlineStr">
        <is>
          <t>Earnings Press Release</t>
        </is>
      </c>
      <c r="I41" s="3" t="n"/>
      <c r="J41" s="3" t="n"/>
    </row>
    <row r="42">
      <c r="A42" s="3" t="n"/>
      <c r="B42" s="3" t="n"/>
      <c r="C42" s="767" t="n">
        <v>44517</v>
      </c>
      <c r="D42" s="768" t="inlineStr">
        <is>
          <t>LZ</t>
        </is>
      </c>
      <c r="E42" s="769" t="inlineStr">
        <is>
          <t>Initial (Press Release)</t>
        </is>
      </c>
      <c r="F42" s="769" t="inlineStr">
        <is>
          <t>Q3-2022</t>
        </is>
      </c>
      <c r="G42" s="770" t="n"/>
      <c r="H42" s="562" t="inlineStr">
        <is>
          <t>Earnings Press Release</t>
        </is>
      </c>
      <c r="I42" s="3" t="n"/>
      <c r="J42" s="3" t="n"/>
    </row>
    <row r="43">
      <c r="A43" s="3" t="n"/>
      <c r="B43" s="3" t="n"/>
      <c r="C43" s="767" t="n">
        <v>44428</v>
      </c>
      <c r="D43" s="768" t="inlineStr">
        <is>
          <t>TP</t>
        </is>
      </c>
      <c r="E43" s="769" t="inlineStr">
        <is>
          <t>Quarterly (Earnings Report)</t>
        </is>
      </c>
      <c r="F43" s="769" t="inlineStr">
        <is>
          <t>Q2-2022</t>
        </is>
      </c>
      <c r="G43" s="770" t="n"/>
      <c r="H43" s="562" t="inlineStr">
        <is>
          <t>Earnings Press Release</t>
        </is>
      </c>
      <c r="I43" s="3" t="n"/>
      <c r="J43" s="3" t="n"/>
    </row>
    <row r="44">
      <c r="A44" s="3" t="n"/>
      <c r="B44" s="3" t="n"/>
      <c r="C44" s="767" t="n">
        <v>44426</v>
      </c>
      <c r="D44" s="768" t="inlineStr">
        <is>
          <t>SK</t>
        </is>
      </c>
      <c r="E44" s="769" t="inlineStr">
        <is>
          <t>Initial (Press Release)</t>
        </is>
      </c>
      <c r="F44" s="769" t="inlineStr">
        <is>
          <t>Q2-2022</t>
        </is>
      </c>
      <c r="G44" s="770" t="n"/>
      <c r="H44" s="562" t="inlineStr">
        <is>
          <t>Earnings Press Release</t>
        </is>
      </c>
      <c r="I44" s="3" t="n"/>
      <c r="J44" s="3" t="n"/>
    </row>
    <row r="45">
      <c r="A45" s="3" t="n"/>
      <c r="B45" s="3" t="n"/>
      <c r="C45" s="767" t="n">
        <v>44342</v>
      </c>
      <c r="D45" s="768" t="inlineStr">
        <is>
          <t>TP</t>
        </is>
      </c>
      <c r="E45" s="769" t="inlineStr">
        <is>
          <t>Model Improvement</t>
        </is>
      </c>
      <c r="F45" s="769" t="inlineStr">
        <is>
          <t>Q1-2022</t>
        </is>
      </c>
      <c r="G45" s="770" t="inlineStr">
        <is>
          <t>Data Addition</t>
        </is>
      </c>
      <c r="H45" s="585" t="n"/>
      <c r="I45" s="3" t="n"/>
      <c r="J45" s="3" t="n"/>
    </row>
    <row r="46">
      <c r="A46" s="3" t="n"/>
      <c r="B46" s="3" t="n"/>
      <c r="C46" s="767" t="n">
        <v>44342</v>
      </c>
      <c r="D46" s="768" t="inlineStr">
        <is>
          <t>TP</t>
        </is>
      </c>
      <c r="E46" s="769" t="inlineStr">
        <is>
          <t>Quarterly (Earnings Report)</t>
        </is>
      </c>
      <c r="F46" s="769" t="inlineStr">
        <is>
          <t>Q1-2022</t>
        </is>
      </c>
      <c r="G46" s="770" t="n"/>
      <c r="H46" s="771" t="inlineStr">
        <is>
          <t>Earnings Press Release</t>
        </is>
      </c>
      <c r="I46" s="3" t="n"/>
      <c r="J46" s="3" t="n"/>
    </row>
    <row r="47">
      <c r="A47" s="3" t="n"/>
      <c r="B47" s="3" t="n"/>
      <c r="C47" s="767" t="n">
        <v>44253</v>
      </c>
      <c r="D47" s="768" t="inlineStr">
        <is>
          <t>TP</t>
        </is>
      </c>
      <c r="E47" s="769" t="inlineStr">
        <is>
          <t>Annual (Earnings Report)</t>
        </is>
      </c>
      <c r="F47" s="769" t="inlineStr">
        <is>
          <t>FY2021</t>
        </is>
      </c>
      <c r="G47" s="770" t="n"/>
      <c r="H47" s="562" t="inlineStr">
        <is>
          <t>Earnings Press Release</t>
        </is>
      </c>
      <c r="I47" s="3" t="n"/>
      <c r="J47" s="3" t="n"/>
    </row>
    <row r="48">
      <c r="A48" s="3" t="n"/>
      <c r="B48" s="3" t="n"/>
      <c r="C48" s="767" t="n">
        <v>44251</v>
      </c>
      <c r="D48" s="768" t="inlineStr">
        <is>
          <t>TP</t>
        </is>
      </c>
      <c r="E48" s="769" t="inlineStr">
        <is>
          <t>Initial (Press Release)</t>
        </is>
      </c>
      <c r="F48" s="769" t="inlineStr">
        <is>
          <t>FY2021</t>
        </is>
      </c>
      <c r="G48" s="770" t="n"/>
      <c r="H48" s="562" t="inlineStr">
        <is>
          <t>Earnings Press Release</t>
        </is>
      </c>
      <c r="I48" s="3" t="n"/>
      <c r="J48" s="3" t="n"/>
    </row>
    <row r="49">
      <c r="A49" s="3" t="n"/>
      <c r="B49" s="3" t="n"/>
      <c r="C49" s="767" t="n">
        <v>44153</v>
      </c>
      <c r="D49" s="768" t="inlineStr">
        <is>
          <t>HS</t>
        </is>
      </c>
      <c r="E49" s="769" t="inlineStr">
        <is>
          <t>Quarterly (Earnings Report)</t>
        </is>
      </c>
      <c r="F49" s="769" t="inlineStr">
        <is>
          <t>Q3-2021</t>
        </is>
      </c>
      <c r="G49" s="770" t="n"/>
      <c r="H49" s="585" t="inlineStr">
        <is>
          <t>Earnings Press Release</t>
        </is>
      </c>
      <c r="I49" s="3" t="n"/>
      <c r="J49" s="3" t="n"/>
    </row>
    <row r="50">
      <c r="A50" s="3" t="n"/>
      <c r="B50" s="3" t="n"/>
      <c r="C50" s="767" t="n">
        <v>44062</v>
      </c>
      <c r="D50" s="768" t="inlineStr">
        <is>
          <t>KZZH</t>
        </is>
      </c>
      <c r="E50" s="769" t="inlineStr">
        <is>
          <t>Quarterly (Earnings Report)</t>
        </is>
      </c>
      <c r="F50" s="769" t="inlineStr">
        <is>
          <t>Q2-2021</t>
        </is>
      </c>
      <c r="G50" s="770" t="n"/>
      <c r="H50" s="771" t="inlineStr">
        <is>
          <t>Earnings Press Release</t>
        </is>
      </c>
      <c r="I50" s="3" t="n"/>
      <c r="J50" s="3" t="n"/>
    </row>
    <row r="51">
      <c r="A51" s="3" t="n"/>
      <c r="B51" s="3" t="n"/>
      <c r="C51" s="767" t="n">
        <v>43972</v>
      </c>
      <c r="D51" s="768" t="inlineStr">
        <is>
          <t>AW</t>
        </is>
      </c>
      <c r="E51" s="769" t="inlineStr">
        <is>
          <t>Quarterly (Earnings Report)</t>
        </is>
      </c>
      <c r="F51" s="769" t="inlineStr">
        <is>
          <t>Q1-2021</t>
        </is>
      </c>
      <c r="G51" s="770" t="n"/>
      <c r="H51" s="771" t="inlineStr">
        <is>
          <t>Earnings Press Release</t>
        </is>
      </c>
      <c r="I51" s="3" t="n"/>
      <c r="J51" s="3" t="n"/>
    </row>
    <row r="52">
      <c r="A52" s="3" t="n"/>
      <c r="B52" s="3" t="n"/>
      <c r="C52" s="767" t="n">
        <v>43882</v>
      </c>
      <c r="D52" s="768" t="inlineStr">
        <is>
          <t>AP</t>
        </is>
      </c>
      <c r="E52" s="769" t="inlineStr">
        <is>
          <t>Annual (Earnings Report)</t>
        </is>
      </c>
      <c r="F52" s="769" t="inlineStr">
        <is>
          <t>FY2020</t>
        </is>
      </c>
      <c r="G52" s="770" t="n"/>
      <c r="H52" s="562" t="inlineStr">
        <is>
          <t>Earnings Press Release</t>
        </is>
      </c>
      <c r="I52" s="3" t="n"/>
      <c r="J52" s="3" t="n"/>
    </row>
    <row r="53">
      <c r="A53" s="3" t="n"/>
      <c r="B53" s="3" t="n"/>
      <c r="C53" s="767" t="n">
        <v>43874</v>
      </c>
      <c r="D53" s="768" t="inlineStr">
        <is>
          <t>AW</t>
        </is>
      </c>
      <c r="E53" s="769" t="inlineStr">
        <is>
          <t>Initial (Press Release)</t>
        </is>
      </c>
      <c r="F53" s="769" t="inlineStr">
        <is>
          <t>FY2020</t>
        </is>
      </c>
      <c r="G53" s="770" t="n"/>
      <c r="H53" s="772" t="inlineStr">
        <is>
          <t>Earnings Press Release</t>
        </is>
      </c>
      <c r="I53" s="3" t="n"/>
      <c r="J53" s="3" t="n"/>
    </row>
    <row r="54">
      <c r="A54" s="3" t="n"/>
      <c r="B54" s="3" t="n"/>
      <c r="C54" s="767" t="n">
        <v>43783</v>
      </c>
      <c r="D54" s="768" t="inlineStr">
        <is>
          <t>WC</t>
        </is>
      </c>
      <c r="E54" s="769" t="inlineStr">
        <is>
          <t>Quarterly (Earnings Report)</t>
        </is>
      </c>
      <c r="F54" s="769" t="inlineStr">
        <is>
          <t>Q3-2020</t>
        </is>
      </c>
      <c r="G54" s="770" t="n"/>
      <c r="H54" s="772" t="inlineStr">
        <is>
          <t>Earnings Press Release</t>
        </is>
      </c>
      <c r="I54" s="3" t="n"/>
      <c r="J54" s="3" t="n"/>
    </row>
    <row r="55">
      <c r="A55" s="3" t="n"/>
      <c r="B55" s="3" t="n"/>
      <c r="C55" s="773" t="n">
        <v>43692</v>
      </c>
      <c r="D55" s="774" t="inlineStr">
        <is>
          <t>WC</t>
        </is>
      </c>
      <c r="E55" s="775" t="inlineStr">
        <is>
          <t>Quarterly (Earnings Report)</t>
        </is>
      </c>
      <c r="F55" s="775" t="inlineStr">
        <is>
          <t>Q2-2020</t>
        </is>
      </c>
      <c r="G55" s="776" t="n"/>
      <c r="H55" s="777" t="inlineStr">
        <is>
          <t>Earnings Press Release</t>
        </is>
      </c>
      <c r="I55" s="3" t="n"/>
      <c r="J55" s="3" t="n"/>
    </row>
    <row r="56">
      <c r="A56" s="3" t="n"/>
      <c r="B56" s="3" t="n"/>
      <c r="C56" s="773" t="n">
        <v>43601</v>
      </c>
      <c r="D56" s="774" t="inlineStr">
        <is>
          <t>WC</t>
        </is>
      </c>
      <c r="E56" s="775" t="inlineStr">
        <is>
          <t>Quarterly (Earnings Report)</t>
        </is>
      </c>
      <c r="F56" s="775" t="inlineStr">
        <is>
          <t>Q1-2020</t>
        </is>
      </c>
      <c r="G56" s="776" t="n"/>
      <c r="H56" s="777" t="inlineStr">
        <is>
          <t>Earnings Press Release</t>
        </is>
      </c>
      <c r="I56" s="3" t="n"/>
      <c r="J56" s="3" t="n"/>
    </row>
    <row r="57">
      <c r="A57" s="3" t="n"/>
      <c r="B57" s="3" t="n"/>
      <c r="C57" s="773" t="n">
        <v>43521</v>
      </c>
      <c r="D57" s="774" t="inlineStr">
        <is>
          <t>LZ JK</t>
        </is>
      </c>
      <c r="E57" s="775" t="inlineStr">
        <is>
          <t>Annual (Earnings Report)</t>
        </is>
      </c>
      <c r="F57" s="775" t="inlineStr">
        <is>
          <t>FY2019</t>
        </is>
      </c>
      <c r="G57" s="776" t="n"/>
      <c r="H57" s="777" t="inlineStr">
        <is>
          <t>Earnings Press Release</t>
        </is>
      </c>
      <c r="I57" s="3" t="n"/>
      <c r="J57" s="3" t="n"/>
    </row>
    <row r="58">
      <c r="A58" s="3" t="n"/>
      <c r="B58" s="3" t="n"/>
      <c r="C58" s="773" t="n">
        <v>43440</v>
      </c>
      <c r="D58" s="774" t="inlineStr">
        <is>
          <t>NQ</t>
        </is>
      </c>
      <c r="E58" s="775" t="inlineStr">
        <is>
          <t>WC Project</t>
        </is>
      </c>
      <c r="F58" s="775" t="inlineStr">
        <is>
          <t>Q3-2019</t>
        </is>
      </c>
      <c r="G58" s="776" t="n"/>
      <c r="H58" s="778" t="n"/>
      <c r="I58" s="3" t="n"/>
      <c r="J58" s="3" t="n"/>
    </row>
    <row r="59">
      <c r="A59" s="3" t="n"/>
      <c r="B59" s="3" t="n"/>
      <c r="C59" s="773" t="n">
        <v>43419</v>
      </c>
      <c r="D59" s="774" t="inlineStr">
        <is>
          <t>LZ HS</t>
        </is>
      </c>
      <c r="E59" s="775" t="inlineStr">
        <is>
          <t>Quarterly (Earnings Report)</t>
        </is>
      </c>
      <c r="F59" s="775" t="inlineStr">
        <is>
          <t>Q3-2019</t>
        </is>
      </c>
      <c r="G59" s="776" t="n"/>
      <c r="H59" s="778" t="inlineStr">
        <is>
          <t>Earnings Press Release</t>
        </is>
      </c>
      <c r="I59" s="3" t="n"/>
      <c r="J59" s="3" t="n"/>
    </row>
    <row r="60">
      <c r="A60" s="3" t="n"/>
      <c r="B60" s="3" t="n"/>
      <c r="C60" s="773" t="n">
        <v>43329</v>
      </c>
      <c r="D60" s="774" t="inlineStr">
        <is>
          <t>TF RG</t>
        </is>
      </c>
      <c r="E60" s="775" t="inlineStr">
        <is>
          <t>Quarterly (Earnings Report)</t>
        </is>
      </c>
      <c r="F60" s="775" t="inlineStr">
        <is>
          <t>Q2-2019</t>
        </is>
      </c>
      <c r="G60" s="776" t="n"/>
      <c r="H60" s="778" t="inlineStr">
        <is>
          <t>Earnings Press Release</t>
        </is>
      </c>
      <c r="I60" s="3" t="n"/>
      <c r="J60" s="3" t="n"/>
    </row>
    <row r="61">
      <c r="A61" s="3" t="n"/>
      <c r="B61" s="3" t="n"/>
      <c r="C61" s="767" t="n">
        <v>43243</v>
      </c>
      <c r="D61" s="768" t="inlineStr">
        <is>
          <t>AH</t>
        </is>
      </c>
      <c r="E61" s="769" t="inlineStr">
        <is>
          <t>Quarterly (Earnings Report)</t>
        </is>
      </c>
      <c r="F61" s="769" t="inlineStr">
        <is>
          <t>Q1-2019</t>
        </is>
      </c>
      <c r="G61" s="770" t="n"/>
      <c r="H61" s="779" t="inlineStr">
        <is>
          <t>Earnings Press Release</t>
        </is>
      </c>
      <c r="I61" s="3" t="n"/>
      <c r="J61" s="3" t="n"/>
    </row>
    <row r="62">
      <c r="A62" s="3" t="n"/>
      <c r="B62" s="3" t="n"/>
      <c r="C62" s="780" t="n">
        <v>43159</v>
      </c>
      <c r="D62" s="781" t="inlineStr">
        <is>
          <t>AB VT</t>
        </is>
      </c>
      <c r="E62" s="782" t="inlineStr">
        <is>
          <t>Annual (Earnings Report)</t>
        </is>
      </c>
      <c r="F62" s="782" t="inlineStr">
        <is>
          <t>FY2018</t>
        </is>
      </c>
      <c r="G62" s="783" t="n"/>
      <c r="H62" s="784" t="inlineStr">
        <is>
          <t>Earnings Press Release</t>
        </is>
      </c>
      <c r="I62" s="3" t="n"/>
      <c r="J62" s="3" t="n"/>
    </row>
    <row r="63">
      <c r="A63" s="3" t="n"/>
      <c r="B63" s="3" t="n"/>
      <c r="C63" s="780" t="n">
        <v>43060</v>
      </c>
      <c r="D63" s="781" t="inlineStr">
        <is>
          <t>YK GJ</t>
        </is>
      </c>
      <c r="E63" s="782" t="inlineStr">
        <is>
          <t>Quarterly (Earnings Report)</t>
        </is>
      </c>
      <c r="F63" s="782" t="inlineStr">
        <is>
          <t>Q3-2018</t>
        </is>
      </c>
      <c r="G63" s="783" t="n"/>
      <c r="H63" s="784" t="inlineStr">
        <is>
          <t>Earnings Press Release</t>
        </is>
      </c>
      <c r="I63" s="3" t="n"/>
      <c r="J63" s="3" t="n"/>
    </row>
    <row r="64">
      <c r="A64" s="3" t="n"/>
      <c r="B64" s="3" t="n"/>
      <c r="C64" s="780" t="n">
        <v>42971</v>
      </c>
      <c r="D64" s="781" t="inlineStr">
        <is>
          <t>AH</t>
        </is>
      </c>
      <c r="E64" s="782" t="inlineStr">
        <is>
          <t>Quarterly (Earnings Report)</t>
        </is>
      </c>
      <c r="F64" s="782" t="inlineStr">
        <is>
          <t>Q2-2018</t>
        </is>
      </c>
      <c r="G64" s="783" t="n"/>
      <c r="H64" s="784" t="inlineStr">
        <is>
          <t>Earnings Press Release</t>
        </is>
      </c>
      <c r="I64" s="3" t="n"/>
      <c r="J64" s="3" t="n"/>
    </row>
    <row r="65">
      <c r="A65" s="3" t="n"/>
      <c r="B65" s="3" t="n"/>
      <c r="C65" s="780" t="n">
        <v>42864</v>
      </c>
      <c r="D65" s="781" t="inlineStr">
        <is>
          <t>BP TN</t>
        </is>
      </c>
      <c r="E65" s="782" t="inlineStr">
        <is>
          <t>Quarterly (Earnings Report)</t>
        </is>
      </c>
      <c r="F65" s="782" t="inlineStr">
        <is>
          <t>Q1-2018</t>
        </is>
      </c>
      <c r="G65" s="783" t="n"/>
      <c r="H65" s="784" t="inlineStr">
        <is>
          <t>Earnings Press Release</t>
        </is>
      </c>
      <c r="I65" s="3" t="n"/>
      <c r="J65" s="3" t="n"/>
    </row>
    <row r="66">
      <c r="A66" s="3" t="n"/>
      <c r="B66" s="3" t="n"/>
      <c r="C66" s="780" t="n">
        <v>42797</v>
      </c>
      <c r="D66" s="781" t="inlineStr">
        <is>
          <t>JA KY</t>
        </is>
      </c>
      <c r="E66" s="782" t="inlineStr">
        <is>
          <t>Annual (Earnings Report)</t>
        </is>
      </c>
      <c r="F66" s="782" t="inlineStr">
        <is>
          <t>FY2017</t>
        </is>
      </c>
      <c r="G66" s="783" t="n"/>
      <c r="H66" s="784" t="inlineStr">
        <is>
          <t>Earnings Press Release</t>
        </is>
      </c>
      <c r="I66" s="3" t="n"/>
      <c r="J66" s="3" t="n"/>
    </row>
    <row r="67">
      <c r="A67" s="3" t="n"/>
      <c r="B67" s="3" t="n"/>
      <c r="C67" s="780" t="n">
        <v>42716</v>
      </c>
      <c r="D67" s="781" t="inlineStr">
        <is>
          <t>BL</t>
        </is>
      </c>
      <c r="E67" s="782" t="inlineStr">
        <is>
          <t>Model Improvement</t>
        </is>
      </c>
      <c r="F67" s="782" t="inlineStr">
        <is>
          <t>Q3-2017</t>
        </is>
      </c>
      <c r="G67" s="783" t="inlineStr">
        <is>
          <t>Summary Page</t>
        </is>
      </c>
      <c r="H67" s="784" t="n"/>
      <c r="I67" s="3" t="n"/>
      <c r="J67" s="3" t="n"/>
    </row>
    <row r="68">
      <c r="A68" s="3" t="n"/>
      <c r="B68" s="3" t="n"/>
      <c r="C68" s="780" t="n">
        <v>42696</v>
      </c>
      <c r="D68" s="781" t="inlineStr">
        <is>
          <t>BP</t>
        </is>
      </c>
      <c r="E68" s="782" t="inlineStr">
        <is>
          <t>Quarterly (Earnings Report)</t>
        </is>
      </c>
      <c r="F68" s="782" t="inlineStr">
        <is>
          <t>Q3-2017</t>
        </is>
      </c>
      <c r="G68" s="783" t="n"/>
      <c r="H68" s="784" t="inlineStr">
        <is>
          <t>Earnings Press Release</t>
        </is>
      </c>
      <c r="I68" s="3" t="n"/>
      <c r="J68" s="3" t="n"/>
    </row>
    <row r="69">
      <c r="A69" s="3" t="n"/>
      <c r="B69" s="3" t="n"/>
      <c r="C69" s="780" t="n">
        <v>42691</v>
      </c>
      <c r="D69" s="781" t="inlineStr">
        <is>
          <t>BL</t>
        </is>
      </c>
      <c r="E69" s="782" t="inlineStr">
        <is>
          <t>Quarterly (Earnings Report)</t>
        </is>
      </c>
      <c r="F69" s="782" t="inlineStr">
        <is>
          <t>Q2-2017</t>
        </is>
      </c>
      <c r="G69" s="783" t="n"/>
      <c r="H69" s="784" t="inlineStr">
        <is>
          <t>Earnings Press Release</t>
        </is>
      </c>
      <c r="I69" s="3" t="n"/>
      <c r="J69" s="3" t="n"/>
    </row>
    <row r="70">
      <c r="A70" s="3" t="n"/>
      <c r="B70" s="3" t="n"/>
      <c r="C70" s="780" t="n">
        <v>42530</v>
      </c>
      <c r="D70" s="781" t="inlineStr">
        <is>
          <t>SC</t>
        </is>
      </c>
      <c r="E70" s="782" t="inlineStr">
        <is>
          <t>New Build</t>
        </is>
      </c>
      <c r="F70" s="782" t="inlineStr">
        <is>
          <t>Q1-2017</t>
        </is>
      </c>
      <c r="G70" s="783" t="n"/>
      <c r="H70" s="784" t="n"/>
      <c r="I70" s="3" t="n"/>
      <c r="J70" s="3" t="n"/>
    </row>
    <row r="71">
      <c r="A71" s="3" t="n"/>
      <c r="B71" s="3" t="n"/>
      <c r="C71" s="3" t="n"/>
      <c r="D71" s="3" t="n"/>
      <c r="E71" s="3" t="n"/>
      <c r="F71" s="3" t="n"/>
      <c r="G71" s="3" t="n"/>
      <c r="H71" s="3" t="n"/>
      <c r="I71" s="3" t="n"/>
      <c r="J71" s="3" t="n"/>
    </row>
    <row r="72">
      <c r="A72" s="3" t="n"/>
      <c r="B72" s="3" t="n"/>
      <c r="C72" s="3" t="n"/>
      <c r="D72" s="3" t="n"/>
      <c r="E72" s="3" t="n"/>
      <c r="F72" s="3" t="n"/>
      <c r="G72" s="3" t="n"/>
      <c r="H72" s="3" t="n"/>
      <c r="I72" s="3" t="n"/>
      <c r="J72" s="3" t="n"/>
    </row>
    <row r="73">
      <c r="A73" s="3" t="n"/>
      <c r="B73" s="3" t="n"/>
      <c r="C73" s="3" t="n"/>
      <c r="D73" s="3" t="n"/>
      <c r="E73" s="3" t="n"/>
      <c r="F73" s="3" t="n"/>
      <c r="G73" s="3" t="n"/>
      <c r="H73" s="3" t="n"/>
      <c r="I73" s="3" t="n"/>
      <c r="J73" s="3" t="n"/>
    </row>
    <row r="74">
      <c r="A74" s="3" t="n"/>
      <c r="B74" s="3" t="n"/>
      <c r="C74" s="3" t="n"/>
      <c r="D74" s="3" t="n"/>
      <c r="E74" s="3" t="n"/>
      <c r="F74" s="3" t="n"/>
      <c r="G74" s="3" t="n"/>
      <c r="H74" s="3" t="n"/>
      <c r="I74" s="3" t="n"/>
      <c r="J74" s="3" t="n"/>
    </row>
    <row r="75">
      <c r="A75" s="3" t="n"/>
      <c r="B75" s="3" t="n"/>
      <c r="C75" s="3" t="n"/>
      <c r="D75" s="3" t="n"/>
      <c r="E75" s="3" t="n"/>
      <c r="F75" s="3" t="n"/>
      <c r="G75" s="3" t="n"/>
      <c r="H75" s="3" t="n"/>
      <c r="I75" s="3" t="n"/>
      <c r="J75" s="3" t="n"/>
    </row>
    <row r="76">
      <c r="A76" s="3" t="n"/>
      <c r="B76" s="3" t="n"/>
      <c r="C76" s="3" t="n"/>
      <c r="D76" s="3" t="n"/>
      <c r="E76" s="3" t="n"/>
      <c r="F76" s="3" t="n"/>
      <c r="G76" s="3" t="n"/>
      <c r="H76" s="3" t="n"/>
      <c r="I76" s="3" t="n"/>
      <c r="J76" s="3" t="n"/>
    </row>
    <row r="77">
      <c r="A77" s="3" t="n"/>
      <c r="B77" s="3" t="n"/>
      <c r="C77" s="3" t="n"/>
      <c r="D77" s="3" t="n"/>
      <c r="E77" s="3" t="n"/>
      <c r="F77" s="3" t="n"/>
      <c r="G77" s="3" t="n"/>
      <c r="H77" s="3" t="n"/>
      <c r="I77" s="3" t="n"/>
      <c r="J77" s="3" t="n"/>
    </row>
    <row r="78">
      <c r="A78" s="3" t="n"/>
      <c r="B78" s="3" t="n"/>
      <c r="C78" s="3" t="n"/>
      <c r="D78" s="3" t="n"/>
      <c r="E78" s="3" t="n"/>
      <c r="F78" s="3" t="n"/>
      <c r="G78" s="3" t="n"/>
      <c r="H78" s="3" t="n"/>
      <c r="I78" s="3" t="n"/>
      <c r="J78" s="3" t="n"/>
    </row>
    <row r="79">
      <c r="A79" s="3" t="n"/>
      <c r="B79" s="3" t="n"/>
      <c r="C79" s="3" t="n"/>
      <c r="D79" s="3" t="n"/>
      <c r="E79" s="3" t="n"/>
      <c r="F79" s="3" t="n"/>
      <c r="G79" s="3" t="n"/>
      <c r="H79" s="3" t="n"/>
      <c r="I79" s="3" t="n"/>
      <c r="J79" s="3" t="n"/>
    </row>
    <row r="80">
      <c r="A80" s="3" t="n"/>
      <c r="B80" s="3" t="n"/>
      <c r="C80" s="3" t="n"/>
      <c r="D80" s="3" t="n"/>
      <c r="E80" s="3" t="n"/>
      <c r="F80" s="3" t="n"/>
      <c r="G80" s="3" t="n"/>
      <c r="H80" s="3" t="n"/>
      <c r="I80" s="3" t="n"/>
      <c r="J80" s="3" t="n"/>
    </row>
    <row r="81">
      <c r="A81" s="3" t="n"/>
      <c r="B81" s="3" t="n"/>
      <c r="C81" s="3" t="n"/>
      <c r="D81" s="3" t="n"/>
      <c r="E81" s="3" t="n"/>
      <c r="F81" s="3" t="n"/>
      <c r="G81" s="3" t="n"/>
      <c r="H81" s="3" t="n"/>
      <c r="I81" s="3" t="n"/>
      <c r="J81" s="3" t="n"/>
    </row>
    <row r="82">
      <c r="A82" s="3" t="n"/>
      <c r="B82" s="3" t="n"/>
      <c r="C82" s="3" t="n"/>
      <c r="D82" s="3" t="n"/>
      <c r="E82" s="3" t="n"/>
      <c r="F82" s="3" t="n"/>
      <c r="G82" s="3" t="n"/>
      <c r="H82" s="3" t="n"/>
      <c r="I82" s="3" t="n"/>
      <c r="J82" s="3" t="n"/>
    </row>
    <row r="83">
      <c r="A83" s="3" t="n"/>
      <c r="B83" s="3" t="n"/>
      <c r="C83" s="3" t="n"/>
      <c r="D83" s="3" t="n"/>
      <c r="E83" s="3" t="n"/>
      <c r="F83" s="3" t="n"/>
      <c r="G83" s="3" t="n"/>
      <c r="H83" s="3" t="n"/>
      <c r="I83" s="3" t="n"/>
      <c r="J83" s="3" t="n"/>
    </row>
    <row r="84">
      <c r="A84" s="3" t="n"/>
      <c r="B84" s="3" t="n"/>
      <c r="C84" s="3" t="n"/>
      <c r="D84" s="3" t="n"/>
      <c r="E84" s="3" t="n"/>
      <c r="F84" s="3" t="n"/>
      <c r="G84" s="3" t="n"/>
      <c r="H84" s="3" t="n"/>
      <c r="I84" s="3" t="n"/>
      <c r="J84" s="3" t="n"/>
    </row>
    <row r="85">
      <c r="A85" s="3" t="n"/>
      <c r="B85" s="3" t="n"/>
      <c r="C85" s="3" t="n"/>
      <c r="D85" s="3" t="n"/>
      <c r="E85" s="3" t="n"/>
      <c r="F85" s="3" t="n"/>
      <c r="G85" s="3" t="n"/>
      <c r="H85" s="3" t="n"/>
      <c r="I85" s="3" t="n"/>
      <c r="J85" s="3" t="n"/>
    </row>
    <row r="86">
      <c r="A86" s="3" t="n"/>
      <c r="B86" s="3" t="n"/>
      <c r="C86" s="3" t="n"/>
      <c r="D86" s="3" t="n"/>
      <c r="E86" s="3" t="n"/>
      <c r="F86" s="3" t="n"/>
      <c r="G86" s="3" t="n"/>
      <c r="H86" s="3" t="n"/>
      <c r="I86" s="3" t="n"/>
      <c r="J86" s="3" t="n"/>
    </row>
    <row r="87">
      <c r="A87" s="3" t="n"/>
      <c r="B87" s="3" t="n"/>
      <c r="C87" s="3" t="n"/>
      <c r="D87" s="3" t="n"/>
      <c r="E87" s="3" t="n"/>
      <c r="F87" s="3" t="n"/>
      <c r="G87" s="3" t="n"/>
      <c r="H87" s="3" t="n"/>
      <c r="I87" s="3" t="n"/>
      <c r="J87" s="3" t="n"/>
    </row>
    <row r="88">
      <c r="A88" s="3" t="n"/>
      <c r="B88" s="3" t="n"/>
      <c r="C88" s="3" t="n"/>
      <c r="D88" s="3" t="n"/>
      <c r="E88" s="3" t="n"/>
      <c r="F88" s="3" t="n"/>
      <c r="G88" s="3" t="n"/>
      <c r="H88" s="3" t="n"/>
      <c r="I88" s="3" t="n"/>
      <c r="J88" s="3" t="n"/>
    </row>
    <row r="89">
      <c r="A89" s="3" t="n"/>
      <c r="B89" s="3" t="n"/>
      <c r="C89" s="3" t="n"/>
      <c r="D89" s="3" t="n"/>
      <c r="E89" s="3" t="n"/>
      <c r="F89" s="3" t="n"/>
      <c r="G89" s="3" t="n"/>
      <c r="H89" s="3" t="n"/>
      <c r="I89" s="3" t="n"/>
      <c r="J89" s="3" t="n"/>
    </row>
    <row r="90">
      <c r="A90" s="3" t="n"/>
      <c r="B90" s="3" t="n"/>
      <c r="C90" s="3" t="n"/>
      <c r="D90" s="3" t="n"/>
      <c r="E90" s="3" t="n"/>
      <c r="F90" s="3" t="n"/>
      <c r="G90" s="3" t="n"/>
      <c r="H90" s="3" t="n"/>
      <c r="I90" s="3" t="n"/>
      <c r="J90" s="3" t="n"/>
    </row>
    <row r="91">
      <c r="A91" s="3" t="n"/>
      <c r="B91" s="3" t="n"/>
      <c r="C91" s="3" t="n"/>
      <c r="D91" s="3" t="n"/>
      <c r="E91" s="3" t="n"/>
      <c r="F91" s="3" t="n"/>
      <c r="G91" s="3" t="n"/>
      <c r="H91" s="3" t="n"/>
      <c r="I91" s="3" t="n"/>
      <c r="J91" s="3" t="n"/>
    </row>
    <row r="92">
      <c r="A92" s="3" t="n"/>
      <c r="B92" s="3" t="n"/>
      <c r="C92" s="3" t="n"/>
      <c r="D92" s="3" t="n"/>
      <c r="E92" s="3" t="n"/>
      <c r="F92" s="3" t="n"/>
      <c r="G92" s="3" t="n"/>
      <c r="H92" s="3" t="n"/>
      <c r="I92" s="3" t="n"/>
      <c r="J92" s="3" t="n"/>
    </row>
    <row r="93">
      <c r="A93" s="3" t="n"/>
      <c r="B93" s="3" t="n"/>
      <c r="C93" s="3" t="n"/>
      <c r="D93" s="3" t="n"/>
      <c r="E93" s="3" t="n"/>
      <c r="F93" s="3" t="n"/>
      <c r="G93" s="3" t="n"/>
      <c r="H93" s="3" t="n"/>
      <c r="I93" s="3" t="n"/>
      <c r="J93" s="3" t="n"/>
    </row>
  </sheetData>
  <hyperlinks>
    <hyperlink xmlns:r="http://schemas.openxmlformats.org/officeDocument/2006/relationships" ref="H11" r:id="rId1"/>
    <hyperlink xmlns:r="http://schemas.openxmlformats.org/officeDocument/2006/relationships" ref="H12" tooltip="Website Link" r:id="rId2"/>
    <hyperlink xmlns:r="http://schemas.openxmlformats.org/officeDocument/2006/relationships" ref="H13" tooltip="Website Link" r:id="rId3"/>
    <hyperlink xmlns:r="http://schemas.openxmlformats.org/officeDocument/2006/relationships" ref="H14" tooltip="Website Link" r:id="rId4"/>
    <hyperlink xmlns:r="http://schemas.openxmlformats.org/officeDocument/2006/relationships" ref="H15" tooltip="Website Link" r:id="rId5"/>
    <hyperlink xmlns:r="http://schemas.openxmlformats.org/officeDocument/2006/relationships" ref="H16" tooltip="Website Link" r:id="rId6"/>
    <hyperlink xmlns:r="http://schemas.openxmlformats.org/officeDocument/2006/relationships" ref="H17" tooltip="Website Link" r:id="rId7"/>
    <hyperlink xmlns:r="http://schemas.openxmlformats.org/officeDocument/2006/relationships" ref="H18" tooltip="Website Link" r:id="rId8"/>
    <hyperlink xmlns:r="http://schemas.openxmlformats.org/officeDocument/2006/relationships" ref="H19" tooltip="Website Link" r:id="rId9"/>
    <hyperlink xmlns:r="http://schemas.openxmlformats.org/officeDocument/2006/relationships" ref="H20" tooltip="Website Link" r:id="rId10"/>
    <hyperlink xmlns:r="http://schemas.openxmlformats.org/officeDocument/2006/relationships" ref="H21" tooltip="Website Link" r:id="rId11"/>
    <hyperlink xmlns:r="http://schemas.openxmlformats.org/officeDocument/2006/relationships" ref="H22" tooltip="Website Link" r:id="rId12"/>
    <hyperlink xmlns:r="http://schemas.openxmlformats.org/officeDocument/2006/relationships" ref="H23" tooltip="Website Link" r:id="rId13"/>
    <hyperlink xmlns:r="http://schemas.openxmlformats.org/officeDocument/2006/relationships" ref="H24" tooltip="Website Link" r:id="rId14"/>
    <hyperlink xmlns:r="http://schemas.openxmlformats.org/officeDocument/2006/relationships" ref="H25" tooltip="Website Link" r:id="rId15"/>
    <hyperlink xmlns:r="http://schemas.openxmlformats.org/officeDocument/2006/relationships" ref="H26" tooltip="Website Link" r:id="rId16"/>
    <hyperlink xmlns:r="http://schemas.openxmlformats.org/officeDocument/2006/relationships" ref="H27" tooltip="Website Link" r:id="rId17"/>
    <hyperlink xmlns:r="http://schemas.openxmlformats.org/officeDocument/2006/relationships" ref="H28" tooltip="Website Link" r:id="rId18"/>
    <hyperlink xmlns:r="http://schemas.openxmlformats.org/officeDocument/2006/relationships" ref="H29" tooltip="Website Link" r:id="rId19"/>
    <hyperlink xmlns:r="http://schemas.openxmlformats.org/officeDocument/2006/relationships" ref="H30" tooltip="Website Link" r:id="rId20"/>
    <hyperlink xmlns:r="http://schemas.openxmlformats.org/officeDocument/2006/relationships" ref="H31" tooltip="Website Link" r:id="rId21"/>
    <hyperlink xmlns:r="http://schemas.openxmlformats.org/officeDocument/2006/relationships" ref="H32" r:id="rId22"/>
    <hyperlink xmlns:r="http://schemas.openxmlformats.org/officeDocument/2006/relationships" ref="H33" tooltip="Website Link" r:id="rId23"/>
    <hyperlink xmlns:r="http://schemas.openxmlformats.org/officeDocument/2006/relationships" ref="H34" tooltip="Website Link" r:id="rId24"/>
    <hyperlink xmlns:r="http://schemas.openxmlformats.org/officeDocument/2006/relationships" ref="H35" tooltip="Website Link" r:id="rId25"/>
    <hyperlink xmlns:r="http://schemas.openxmlformats.org/officeDocument/2006/relationships" ref="H36" tooltip="Website Link" r:id="rId26"/>
    <hyperlink xmlns:r="http://schemas.openxmlformats.org/officeDocument/2006/relationships" ref="H37" tooltip="Website Link" r:id="rId27"/>
    <hyperlink xmlns:r="http://schemas.openxmlformats.org/officeDocument/2006/relationships" ref="H38" tooltip="Website Link" r:id="rId28"/>
    <hyperlink xmlns:r="http://schemas.openxmlformats.org/officeDocument/2006/relationships" ref="H39" tooltip="Website Link" r:id="rId29"/>
    <hyperlink xmlns:r="http://schemas.openxmlformats.org/officeDocument/2006/relationships" ref="H40" tooltip="Website Link" r:id="rId30"/>
    <hyperlink xmlns:r="http://schemas.openxmlformats.org/officeDocument/2006/relationships" ref="H41" tooltip="Website Link" r:id="rId31"/>
    <hyperlink xmlns:r="http://schemas.openxmlformats.org/officeDocument/2006/relationships" ref="H42" tooltip="Website Link" r:id="rId32"/>
    <hyperlink xmlns:r="http://schemas.openxmlformats.org/officeDocument/2006/relationships" ref="H43" tooltip="Website Link" r:id="rId33"/>
    <hyperlink xmlns:r="http://schemas.openxmlformats.org/officeDocument/2006/relationships" ref="H44" tooltip="Website Link" r:id="rId34"/>
    <hyperlink xmlns:r="http://schemas.openxmlformats.org/officeDocument/2006/relationships" ref="H46" tooltip="Website Link" r:id="rId35"/>
    <hyperlink xmlns:r="http://schemas.openxmlformats.org/officeDocument/2006/relationships" ref="H47" tooltip="Website Link" r:id="rId36"/>
    <hyperlink xmlns:r="http://schemas.openxmlformats.org/officeDocument/2006/relationships" ref="H48" tooltip="Website Link" r:id="rId37"/>
    <hyperlink xmlns:r="http://schemas.openxmlformats.org/officeDocument/2006/relationships" ref="H49" tooltip="Website Link" r:id="rId38"/>
    <hyperlink xmlns:r="http://schemas.openxmlformats.org/officeDocument/2006/relationships" ref="H50" tooltip="Website Link" r:id="rId39"/>
    <hyperlink xmlns:r="http://schemas.openxmlformats.org/officeDocument/2006/relationships" ref="H51" tooltip="Website Link" r:id="rId40"/>
    <hyperlink xmlns:r="http://schemas.openxmlformats.org/officeDocument/2006/relationships" ref="H52" tooltip="Website Link" r:id="rId41"/>
    <hyperlink xmlns:r="http://schemas.openxmlformats.org/officeDocument/2006/relationships" ref="H53" tooltip="Website Link" r:id="rId42"/>
    <hyperlink xmlns:r="http://schemas.openxmlformats.org/officeDocument/2006/relationships" ref="H54" tooltip="Website Link" r:id="rId43"/>
    <hyperlink xmlns:r="http://schemas.openxmlformats.org/officeDocument/2006/relationships" ref="H55" tooltip="Website Link" r:id="rId44"/>
    <hyperlink xmlns:r="http://schemas.openxmlformats.org/officeDocument/2006/relationships" ref="H56" tooltip="Website Link" r:id="rId45"/>
    <hyperlink xmlns:r="http://schemas.openxmlformats.org/officeDocument/2006/relationships" ref="H57" tooltip="Website Link" r:id="rId46"/>
    <hyperlink xmlns:r="http://schemas.openxmlformats.org/officeDocument/2006/relationships" ref="H59" tooltip="Website Link" r:id="rId47"/>
    <hyperlink xmlns:r="http://schemas.openxmlformats.org/officeDocument/2006/relationships" ref="H60" tooltip="Website Link" r:id="rId48"/>
    <hyperlink xmlns:r="http://schemas.openxmlformats.org/officeDocument/2006/relationships" ref="H61" tooltip="Website Link" r:id="rId49"/>
    <hyperlink xmlns:r="http://schemas.openxmlformats.org/officeDocument/2006/relationships" ref="H62" tooltip="Website Link" r:id="rId50"/>
    <hyperlink xmlns:r="http://schemas.openxmlformats.org/officeDocument/2006/relationships" ref="H63" tooltip="Website Link" r:id="rId51"/>
    <hyperlink xmlns:r="http://schemas.openxmlformats.org/officeDocument/2006/relationships" ref="H64" tooltip="Website Link" r:id="rId52"/>
    <hyperlink xmlns:r="http://schemas.openxmlformats.org/officeDocument/2006/relationships" ref="H65" r:id="rId53"/>
    <hyperlink xmlns:r="http://schemas.openxmlformats.org/officeDocument/2006/relationships" ref="H66" tooltip="Website Link" r:id="rId54"/>
    <hyperlink xmlns:r="http://schemas.openxmlformats.org/officeDocument/2006/relationships" ref="H68" tooltip="Website Link" r:id="rId55"/>
    <hyperlink xmlns:r="http://schemas.openxmlformats.org/officeDocument/2006/relationships" ref="H69" tooltip="Website Link" r:id="rId56"/>
  </hyperlinks>
  <pageMargins left="0.7" right="0.7" top="0.75" bottom="0.75" header="0.3" footer="0.3"/>
  <pageSetup orientation="portrait"/>
  <drawing xmlns:r="http://schemas.openxmlformats.org/officeDocument/2006/relationships" r:id="rId5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Canalyst</dc:creator>
  <dcterms:created xmlns:dcterms="http://purl.org/dc/terms/" xmlns:xsi="http://www.w3.org/2001/XMLSchema-instance" xsi:type="dcterms:W3CDTF">2016-04-22T21:21:10Z</dcterms:created>
  <dcterms:modified xmlns:dcterms="http://purl.org/dc/terms/" xmlns:xsi="http://www.w3.org/2001/XMLSchema-instance" xsi:type="dcterms:W3CDTF">2026-02-18T05:19:50Z</dcterms:modified>
  <cp:lastModifiedBy>Matthew Wolfman</cp:lastModifiedBy>
  <cp:lastPrinted>2016-04-29T05:43:54Z</cp:lastPrinted>
</cp:coreProperties>
</file>